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8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4" fontId="5" fillId="2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8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</v>
      </c>
      <c r="D1" t="inlineStr">
        <is>
          <t>Movida (MOVI3) - fonte: Planilha de Fundamentos 2T26 do RI (ri.movida.com.br &gt; Fundamentos e Planilhas): abas IS | DRE (com IFRS16, bloco REPORTADO), BS | BP (Proforma), CAPEX e Op Data. Moeda: BRL. Brutos JA EM R$ MILHOES (fator 1). Dividendos pagos: DFC dos ITR/DFP na CVM (dados.cvm.gov.br).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IS | DRE (w | com IFRS16), bloco Reportado, consolidado l.101-128; R$ milhoes). 1T23+ = CVM; 2020-22 = base pro forma da Cia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Líquida (DRE l.103)</t>
        </is>
      </c>
      <c r="J6" t="inlineStr">
        <is>
          <t>fonte</t>
        </is>
      </c>
      <c r="K6" s="258" t="n">
        <v>971.535</v>
      </c>
      <c r="L6" s="258" t="n">
        <v>1021.296</v>
      </c>
      <c r="M6" s="258" t="n">
        <v>1004.386</v>
      </c>
      <c r="N6" s="258" t="n">
        <v>958.0119999999999</v>
      </c>
      <c r="O6" s="258" t="n">
        <v>757.552</v>
      </c>
      <c r="P6" s="258" t="n">
        <v>1165.345</v>
      </c>
      <c r="Q6" s="258" t="n">
        <v>1521.076</v>
      </c>
      <c r="R6" s="258" t="n">
        <v>1689.065</v>
      </c>
      <c r="S6" s="258" t="n">
        <v>1905.657</v>
      </c>
      <c r="T6" s="258" t="n">
        <v>2230.992</v>
      </c>
      <c r="U6" s="258" t="n">
        <v>2536.864</v>
      </c>
      <c r="V6" s="258" t="n">
        <v>2626.633</v>
      </c>
      <c r="W6" s="258" t="n">
        <v>2703.206</v>
      </c>
      <c r="X6" s="258" t="n">
        <v>2479.144</v>
      </c>
      <c r="Y6" s="258" t="n">
        <v>2666.22</v>
      </c>
      <c r="Z6" s="258" t="n">
        <v>2493.444</v>
      </c>
      <c r="AA6" s="258" t="n">
        <v>3021.646</v>
      </c>
      <c r="AB6" s="258" t="n">
        <v>3435.604</v>
      </c>
      <c r="AC6" s="258" t="n">
        <v>3775.864</v>
      </c>
      <c r="AD6" s="258" t="n">
        <v>3248.157</v>
      </c>
      <c r="AE6" s="258" t="n">
        <v>3568.231</v>
      </c>
      <c r="AF6" s="258" t="n">
        <v>3679.006</v>
      </c>
      <c r="AG6" s="258" t="n">
        <v>3765.843</v>
      </c>
      <c r="AH6" s="258" t="n">
        <v>3658.97515495011</v>
      </c>
      <c r="AI6" s="258" t="n">
        <v>3780.644964961807</v>
      </c>
      <c r="AJ6" s="258" t="n">
        <v>3765.830207488205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Ex-depreciação (DRE l.106)</t>
        </is>
      </c>
      <c r="J7" t="inlineStr">
        <is>
          <t>fonte</t>
        </is>
      </c>
      <c r="K7" s="258" t="n">
        <v>-807.4829999999999</v>
      </c>
      <c r="L7" s="258" t="n">
        <v>-761.96</v>
      </c>
      <c r="M7" s="258" t="n">
        <v>-665.822</v>
      </c>
      <c r="N7" s="258" t="n">
        <v>-441.508</v>
      </c>
      <c r="O7" s="258" t="n">
        <v>-296.444</v>
      </c>
      <c r="P7" s="258" t="n">
        <v>-605.183</v>
      </c>
      <c r="Q7" s="258" t="n">
        <v>-729.162</v>
      </c>
      <c r="R7" s="258" t="n">
        <v>-699.45</v>
      </c>
      <c r="S7" s="258" t="n">
        <v>-822.587</v>
      </c>
      <c r="T7" s="258" t="n">
        <v>-1085.046</v>
      </c>
      <c r="U7" s="258" t="n">
        <v>-1337.89</v>
      </c>
      <c r="V7" s="258" t="n">
        <v>-1440.095</v>
      </c>
      <c r="W7" s="258" t="n">
        <v>-1511.48</v>
      </c>
      <c r="X7" s="258" t="n">
        <v>-1276.679</v>
      </c>
      <c r="Y7" s="258" t="n">
        <v>-1479.884</v>
      </c>
      <c r="Z7" s="258" t="n">
        <v>-1260.799</v>
      </c>
      <c r="AA7" s="258" t="n">
        <v>-1641.8</v>
      </c>
      <c r="AB7" s="258" t="n">
        <v>-1943.531</v>
      </c>
      <c r="AC7" s="258" t="n">
        <v>-2167.358</v>
      </c>
      <c r="AD7" s="258" t="n">
        <v>-1632.259</v>
      </c>
      <c r="AE7" s="258" t="n">
        <v>-1850.291</v>
      </c>
      <c r="AF7" s="258" t="n">
        <v>-1930.489</v>
      </c>
      <c r="AG7" s="258" t="n">
        <v>-1923.128</v>
      </c>
      <c r="AH7" s="258" t="n">
        <v>-1775.8778087</v>
      </c>
      <c r="AI7" s="258" t="n">
        <v>-1792.9548484</v>
      </c>
      <c r="AJ7" s="258" t="n">
        <v>-1658.1450488</v>
      </c>
    </row>
    <row r="8">
      <c r="A8" t="n">
        <v>2</v>
      </c>
      <c r="B8" t="n">
        <v>1</v>
      </c>
      <c r="G8" t="inlineStr">
        <is>
          <t>moeda</t>
        </is>
      </c>
      <c r="H8" t="inlineStr">
        <is>
          <t>Depreciação (DRE l.107) (depreciacao frota + outros + direito de uso; devolvida abaixo via D&amp;A)</t>
        </is>
      </c>
      <c r="J8" t="inlineStr">
        <is>
          <t>fonte</t>
        </is>
      </c>
      <c r="K8" s="258" t="n">
        <v>-107.222</v>
      </c>
      <c r="L8" s="258" t="n">
        <v>-101.508</v>
      </c>
      <c r="M8" s="258" t="n">
        <v>-119.025</v>
      </c>
      <c r="N8" s="258" t="n">
        <v>-85.125</v>
      </c>
      <c r="O8" s="258" t="n">
        <v>-62.178</v>
      </c>
      <c r="P8" s="258" t="n">
        <v>-72.93600000000001</v>
      </c>
      <c r="Q8" s="258" t="n">
        <v>-110.706</v>
      </c>
      <c r="R8" s="258" t="n">
        <v>-170.431</v>
      </c>
      <c r="S8" s="258" t="n">
        <v>-212.836</v>
      </c>
      <c r="T8" s="258" t="n">
        <v>-240.909</v>
      </c>
      <c r="U8" s="258" t="n">
        <v>-300.524</v>
      </c>
      <c r="V8" s="258" t="n">
        <v>-380.942</v>
      </c>
      <c r="W8" s="258" t="n">
        <v>-390.033</v>
      </c>
      <c r="X8" s="258" t="n">
        <v>-388.955</v>
      </c>
      <c r="Y8" s="258" t="n">
        <v>-412.766</v>
      </c>
      <c r="Z8" s="258" t="n">
        <v>-906.8099999999999</v>
      </c>
      <c r="AA8" s="258" t="n">
        <v>-447.805</v>
      </c>
      <c r="AB8" s="258" t="n">
        <v>-522.064</v>
      </c>
      <c r="AC8" s="258" t="n">
        <v>-551.278</v>
      </c>
      <c r="AD8" s="258" t="n">
        <v>-559.35</v>
      </c>
      <c r="AE8" s="258" t="n">
        <v>-572.374</v>
      </c>
      <c r="AF8" s="258" t="n">
        <v>-593.7329999999999</v>
      </c>
      <c r="AG8" s="258" t="n">
        <v>-624.564</v>
      </c>
      <c r="AH8" s="258" t="n">
        <v>-639.3592426</v>
      </c>
      <c r="AI8" s="258" t="n">
        <v>-650.5859214</v>
      </c>
      <c r="AJ8" s="258" t="n">
        <v>-671.5636214000001</v>
      </c>
    </row>
    <row r="9">
      <c r="A9" t="n">
        <v>3</v>
      </c>
      <c r="B9" t="n">
        <v>1</v>
      </c>
      <c r="G9" t="inlineStr">
        <is>
          <t>moeda</t>
        </is>
      </c>
      <c r="H9" t="inlineStr">
        <is>
          <t>Despesa Ex-depreciação (DRE l.114)</t>
        </is>
      </c>
      <c r="J9" t="inlineStr">
        <is>
          <t>fonte</t>
        </is>
      </c>
      <c r="K9" s="258" t="n">
        <v>-134.338</v>
      </c>
      <c r="L9" s="258" t="n">
        <v>-108.015</v>
      </c>
      <c r="M9" s="258" t="n">
        <v>-125.293</v>
      </c>
      <c r="N9" s="258" t="n">
        <v>-161.098</v>
      </c>
      <c r="O9" s="258" t="n">
        <v>-156.605</v>
      </c>
      <c r="P9" s="258" t="n">
        <v>-171.698</v>
      </c>
      <c r="Q9" s="258" t="n">
        <v>-178.506</v>
      </c>
      <c r="R9" s="258" t="n">
        <v>-213.003</v>
      </c>
      <c r="S9" s="258" t="n">
        <v>-234.631</v>
      </c>
      <c r="T9" s="258" t="n">
        <v>-257.54</v>
      </c>
      <c r="U9" s="258" t="n">
        <v>-292.522</v>
      </c>
      <c r="V9" s="258" t="n">
        <v>-344.544</v>
      </c>
      <c r="W9" s="258" t="n">
        <v>-332.775</v>
      </c>
      <c r="X9" s="258" t="n">
        <v>-329.942</v>
      </c>
      <c r="Y9" s="258" t="n">
        <v>-338.551</v>
      </c>
      <c r="Z9" s="258" t="n">
        <v>-366.571</v>
      </c>
      <c r="AA9" s="258" t="n">
        <v>-320.432</v>
      </c>
      <c r="AB9" s="258" t="n">
        <v>-315.813</v>
      </c>
      <c r="AC9" s="258" t="n">
        <v>-356.334</v>
      </c>
      <c r="AD9" s="258" t="n">
        <v>-371.618</v>
      </c>
      <c r="AE9" s="258" t="n">
        <v>-379.61</v>
      </c>
      <c r="AF9" s="258" t="n">
        <v>-369.393</v>
      </c>
      <c r="AG9" s="258" t="n">
        <v>-364.059</v>
      </c>
      <c r="AH9" s="258" t="n">
        <v>-393.0470863</v>
      </c>
      <c r="AI9" s="258" t="n">
        <v>-419.0255531618071</v>
      </c>
      <c r="AJ9" s="258" t="n">
        <v>-420.9415746882064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Depreciação Mais Valia (DRE l.115) (depreciacao de mais-valia)</t>
        </is>
      </c>
      <c r="J10" t="inlineStr">
        <is>
          <t>fonte</t>
        </is>
      </c>
      <c r="K10" s="258" t="n">
        <v>0</v>
      </c>
      <c r="L10" s="258" t="n">
        <v>0</v>
      </c>
      <c r="M10" s="258" t="n">
        <v>0</v>
      </c>
      <c r="N10" s="258" t="n">
        <v>0</v>
      </c>
      <c r="O10" s="258" t="n">
        <v>0</v>
      </c>
      <c r="P10" s="258" t="n">
        <v>0</v>
      </c>
      <c r="Q10" s="258" t="n">
        <v>0</v>
      </c>
      <c r="R10" s="258" t="n">
        <v>0</v>
      </c>
      <c r="S10" s="258" t="n">
        <v>0</v>
      </c>
      <c r="T10" s="258" t="n">
        <v>0</v>
      </c>
      <c r="U10" s="258" t="n">
        <v>0</v>
      </c>
      <c r="V10" s="258" t="n">
        <v>0</v>
      </c>
      <c r="W10" s="258" t="n">
        <v>0</v>
      </c>
      <c r="X10" s="258" t="n">
        <v>0</v>
      </c>
      <c r="Y10" s="258" t="n">
        <v>0</v>
      </c>
      <c r="Z10" s="258" t="n">
        <v>-139.114</v>
      </c>
      <c r="AA10" s="258" t="n">
        <v>0</v>
      </c>
      <c r="AB10" s="258" t="n">
        <v>0</v>
      </c>
      <c r="AC10" s="258" t="n">
        <v>0</v>
      </c>
      <c r="AD10" s="258" t="n">
        <v>0</v>
      </c>
      <c r="AE10" s="258" t="n">
        <v>0</v>
      </c>
      <c r="AF10" s="258" t="n">
        <v>0</v>
      </c>
      <c r="AG10" s="258" t="n">
        <v>0</v>
      </c>
      <c r="AH10" s="258" t="n">
        <v>0</v>
      </c>
      <c r="AI10" s="258" t="n">
        <v>0</v>
      </c>
      <c r="AJ10" s="258" t="n">
        <v>0</v>
      </c>
    </row>
    <row r="11">
      <c r="A11" t="n">
        <v>3</v>
      </c>
      <c r="B11" t="n">
        <v>1</v>
      </c>
      <c r="G11" t="inlineStr">
        <is>
          <t>moeda</t>
        </is>
      </c>
      <c r="H11" t="inlineStr">
        <is>
          <t>Impairment de Depreciação (DRE l.116) (impairment de depreciacao)</t>
        </is>
      </c>
      <c r="J11" t="inlineStr">
        <is>
          <t>fonte</t>
        </is>
      </c>
      <c r="K11" s="258" t="n">
        <v>0</v>
      </c>
      <c r="L11" s="258" t="n">
        <v>0</v>
      </c>
      <c r="M11" s="258" t="n">
        <v>0</v>
      </c>
      <c r="N11" s="258" t="n">
        <v>0</v>
      </c>
      <c r="O11" s="258" t="n">
        <v>0</v>
      </c>
      <c r="P11" s="258" t="n">
        <v>0</v>
      </c>
      <c r="Q11" s="258" t="n">
        <v>0</v>
      </c>
      <c r="R11" s="258" t="n">
        <v>0</v>
      </c>
      <c r="S11" s="258" t="n">
        <v>0</v>
      </c>
      <c r="T11" s="258" t="n">
        <v>0</v>
      </c>
      <c r="U11" s="258" t="n">
        <v>0</v>
      </c>
      <c r="V11" s="258" t="n">
        <v>0</v>
      </c>
      <c r="W11" s="258" t="n">
        <v>0</v>
      </c>
      <c r="X11" s="258" t="n">
        <v>0</v>
      </c>
      <c r="Y11" s="258" t="n">
        <v>0</v>
      </c>
      <c r="Z11" s="258" t="n">
        <v>0</v>
      </c>
      <c r="AA11" s="258" t="n">
        <v>0</v>
      </c>
      <c r="AB11" s="258" t="n">
        <v>-26.9</v>
      </c>
      <c r="AC11" s="258" t="n">
        <v>-4.696</v>
      </c>
      <c r="AD11" s="258" t="n">
        <v>0</v>
      </c>
      <c r="AE11" s="258" t="n">
        <v>0</v>
      </c>
      <c r="AF11" s="258" t="n">
        <v>0</v>
      </c>
      <c r="AG11" s="258" t="n">
        <v>0</v>
      </c>
      <c r="AH11" s="258" t="n">
        <v>0</v>
      </c>
      <c r="AI11" s="258" t="n">
        <v>0</v>
      </c>
      <c r="AJ11" s="258" t="n">
        <v>0</v>
      </c>
    </row>
    <row r="12">
      <c r="A12" t="n">
        <v>5</v>
      </c>
      <c r="B12" t="n">
        <v>1</v>
      </c>
      <c r="G12" t="inlineStr">
        <is>
          <t>moeda</t>
        </is>
      </c>
      <c r="H12" t="inlineStr">
        <is>
          <t>Despesas Financeiras (DRE l.124)</t>
        </is>
      </c>
      <c r="J12" t="inlineStr">
        <is>
          <t>fonte</t>
        </is>
      </c>
      <c r="K12" s="258" t="n">
        <v>-54.167</v>
      </c>
      <c r="L12" s="258" t="n">
        <v>-73.113</v>
      </c>
      <c r="M12" s="258" t="n">
        <v>-74.215</v>
      </c>
      <c r="N12" s="258" t="n">
        <v>-45.348</v>
      </c>
      <c r="O12" s="258" t="n">
        <v>-265.184</v>
      </c>
      <c r="P12" s="258" t="n">
        <v>239.899</v>
      </c>
      <c r="Q12" s="258" t="n">
        <v>-342.257</v>
      </c>
      <c r="R12" s="258" t="n">
        <v>-591.177</v>
      </c>
      <c r="S12" s="258" t="n">
        <v>-394.958</v>
      </c>
      <c r="T12" s="258" t="n">
        <v>-515.803</v>
      </c>
      <c r="U12" s="258" t="n">
        <v>-637.391</v>
      </c>
      <c r="V12" s="258" t="n">
        <v>-662.277</v>
      </c>
      <c r="W12" s="258" t="n">
        <v>-615.278</v>
      </c>
      <c r="X12" s="258" t="n">
        <v>-551.559</v>
      </c>
      <c r="Y12" s="258" t="n">
        <v>-590.177</v>
      </c>
      <c r="Z12" s="258" t="n">
        <v>-614.436</v>
      </c>
      <c r="AA12" s="258" t="n">
        <v>-627.625</v>
      </c>
      <c r="AB12" s="258" t="n">
        <v>-662.1369999999999</v>
      </c>
      <c r="AC12" s="258" t="n">
        <v>-707.297</v>
      </c>
      <c r="AD12" s="258" t="n">
        <v>-691.837</v>
      </c>
      <c r="AE12" s="258" t="n">
        <v>-745.217</v>
      </c>
      <c r="AF12" s="258" t="n">
        <v>-792.778</v>
      </c>
      <c r="AG12" s="258" t="n">
        <v>-895.889</v>
      </c>
      <c r="AH12" s="258" t="n">
        <v>-1154.5136507</v>
      </c>
      <c r="AI12" s="258" t="n">
        <v>-902.5778591</v>
      </c>
      <c r="AJ12" s="258" t="n">
        <v>-1000.7705251</v>
      </c>
    </row>
    <row r="13">
      <c r="A13" t="n">
        <v>6</v>
      </c>
      <c r="B13" t="n">
        <v>1</v>
      </c>
      <c r="G13" t="inlineStr">
        <is>
          <t>moeda</t>
        </is>
      </c>
      <c r="H13" t="inlineStr">
        <is>
          <t>Receitas Financeiras (DRE l.125)</t>
        </is>
      </c>
      <c r="J13" t="inlineStr">
        <is>
          <t>fonte</t>
        </is>
      </c>
      <c r="K13" s="258" t="n">
        <v>9.013999999999999</v>
      </c>
      <c r="L13" s="258" t="n">
        <v>27.271</v>
      </c>
      <c r="M13" s="258" t="n">
        <v>36.801</v>
      </c>
      <c r="N13" s="258" t="n">
        <v>8.439</v>
      </c>
      <c r="O13" s="258" t="n">
        <v>188.526</v>
      </c>
      <c r="P13" s="258" t="n">
        <v>-307.323</v>
      </c>
      <c r="Q13" s="258" t="n">
        <v>209.511</v>
      </c>
      <c r="R13" s="258" t="n">
        <v>383.039</v>
      </c>
      <c r="S13" s="258" t="n">
        <v>107.671</v>
      </c>
      <c r="T13" s="258" t="n">
        <v>116.444</v>
      </c>
      <c r="U13" s="258" t="n">
        <v>123.724</v>
      </c>
      <c r="V13" s="258" t="n">
        <v>161.251</v>
      </c>
      <c r="W13" s="258" t="n">
        <v>140.596</v>
      </c>
      <c r="X13" s="258" t="n">
        <v>25.985</v>
      </c>
      <c r="Y13" s="258" t="n">
        <v>47.438</v>
      </c>
      <c r="Z13" s="258" t="n">
        <v>59.055</v>
      </c>
      <c r="AA13" s="258" t="n">
        <v>88.86499999999999</v>
      </c>
      <c r="AB13" s="258" t="n">
        <v>91.414</v>
      </c>
      <c r="AC13" s="258" t="n">
        <v>112.895</v>
      </c>
      <c r="AD13" s="258" t="n">
        <v>85.172</v>
      </c>
      <c r="AE13" s="258" t="n">
        <v>90.00700000000001</v>
      </c>
      <c r="AF13" s="258" t="n">
        <v>98.699</v>
      </c>
      <c r="AG13" s="258" t="n">
        <v>100.571</v>
      </c>
      <c r="AH13" s="258" t="n">
        <v>390.591907105874</v>
      </c>
      <c r="AI13" s="258" t="n">
        <v>148.7954076</v>
      </c>
      <c r="AJ13" s="258" t="n">
        <v>155.1356947</v>
      </c>
    </row>
    <row r="14">
      <c r="G14" t="inlineStr">
        <is>
          <t>moeda</t>
        </is>
      </c>
      <c r="H14" t="inlineStr">
        <is>
          <t>Receita Bruta (DRE l.101) - memoria</t>
        </is>
      </c>
      <c r="J14" t="inlineStr">
        <is>
          <t>memoria</t>
        </is>
      </c>
      <c r="K14" s="258" t="n">
        <v>1032.858</v>
      </c>
      <c r="L14" s="258" t="n">
        <v>1064.341</v>
      </c>
      <c r="M14" s="258" t="n">
        <v>1057.032</v>
      </c>
      <c r="N14" s="258" t="n">
        <v>1022.181</v>
      </c>
      <c r="O14" s="258" t="n">
        <v>824.15</v>
      </c>
      <c r="P14" s="258" t="n">
        <v>1234.303</v>
      </c>
      <c r="Q14" s="258" t="n">
        <v>1605.965</v>
      </c>
      <c r="R14" s="258" t="n">
        <v>1797.894</v>
      </c>
      <c r="S14" s="258" t="n">
        <v>2023.882</v>
      </c>
      <c r="T14" s="258" t="n">
        <v>2354.247</v>
      </c>
      <c r="U14" s="258" t="n">
        <v>2680.451</v>
      </c>
      <c r="V14" s="258" t="n">
        <v>2779.739</v>
      </c>
      <c r="W14" s="258" t="n">
        <v>2871.596</v>
      </c>
      <c r="X14" s="258" t="n">
        <v>2647.105</v>
      </c>
      <c r="Y14" s="258" t="n">
        <v>2846.875</v>
      </c>
      <c r="Z14" s="258" t="n">
        <v>2686.001</v>
      </c>
      <c r="AA14" s="258" t="n">
        <v>3219.943</v>
      </c>
      <c r="AB14" s="258" t="n">
        <v>3657.546</v>
      </c>
      <c r="AC14" s="258" t="n">
        <v>4016.702</v>
      </c>
      <c r="AD14" s="258" t="n">
        <v>3493.321</v>
      </c>
      <c r="AE14" s="258" t="n">
        <v>3804.719</v>
      </c>
      <c r="AF14" s="258" t="n">
        <v>3930.928</v>
      </c>
      <c r="AG14" s="258" t="n">
        <v>4032.922</v>
      </c>
      <c r="AH14" s="258" t="n">
        <v>3935.85576465011</v>
      </c>
      <c r="AI14" s="258" t="n">
        <v>4069.234135101178</v>
      </c>
      <c r="AJ14" s="258" t="n">
        <v>4057.515436011026</v>
      </c>
    </row>
    <row r="15">
      <c r="G15" t="inlineStr">
        <is>
          <t>moeda</t>
        </is>
      </c>
      <c r="H15" t="inlineStr">
        <is>
          <t>Deduções (DRE l.102) - memoria</t>
        </is>
      </c>
      <c r="J15" t="inlineStr">
        <is>
          <t>memoria</t>
        </is>
      </c>
      <c r="K15" s="258" t="n">
        <v>-61.323</v>
      </c>
      <c r="L15" s="258" t="n">
        <v>-43.045</v>
      </c>
      <c r="M15" s="258" t="n">
        <v>-52.646</v>
      </c>
      <c r="N15" s="258" t="n">
        <v>-64.169</v>
      </c>
      <c r="O15" s="258" t="n">
        <v>-66.598</v>
      </c>
      <c r="P15" s="258" t="n">
        <v>-68.958</v>
      </c>
      <c r="Q15" s="258" t="n">
        <v>-84.889</v>
      </c>
      <c r="R15" s="258" t="n">
        <v>-108.829</v>
      </c>
      <c r="S15" s="258" t="n">
        <v>-118.225</v>
      </c>
      <c r="T15" s="258" t="n">
        <v>-123.255</v>
      </c>
      <c r="U15" s="258" t="n">
        <v>-143.587</v>
      </c>
      <c r="V15" s="258" t="n">
        <v>-153.106</v>
      </c>
      <c r="W15" s="258" t="n">
        <v>-168.39</v>
      </c>
      <c r="X15" s="258" t="n">
        <v>-167.961</v>
      </c>
      <c r="Y15" s="258" t="n">
        <v>-180.655</v>
      </c>
      <c r="Z15" s="258" t="n">
        <v>-192.557</v>
      </c>
      <c r="AA15" s="258" t="n">
        <v>-198.297</v>
      </c>
      <c r="AB15" s="258" t="n">
        <v>-221.943</v>
      </c>
      <c r="AC15" s="258" t="n">
        <v>-240.838</v>
      </c>
      <c r="AD15" s="258" t="n">
        <v>-245.164</v>
      </c>
      <c r="AE15" s="258" t="n">
        <v>-236.488</v>
      </c>
      <c r="AF15" s="258" t="n">
        <v>-251.923</v>
      </c>
      <c r="AG15" s="258" t="n">
        <v>-267.08</v>
      </c>
      <c r="AH15" s="258" t="n">
        <v>-276.8806097</v>
      </c>
      <c r="AI15" s="258" t="n">
        <v>-288.5891701393718</v>
      </c>
      <c r="AJ15" s="258" t="n">
        <v>-291.6852285228206</v>
      </c>
    </row>
    <row r="16">
      <c r="G16" t="inlineStr">
        <is>
          <t>moeda</t>
        </is>
      </c>
      <c r="H16" t="inlineStr">
        <is>
          <t>Receita Líquida de Serviços (DRE l.104) - memoria</t>
        </is>
      </c>
      <c r="J16" t="inlineStr">
        <is>
          <t>memoria</t>
        </is>
      </c>
      <c r="K16" s="258" t="n">
        <v>412.336</v>
      </c>
      <c r="L16" s="258" t="n">
        <v>272.22</v>
      </c>
      <c r="M16" s="258" t="n">
        <v>363.521</v>
      </c>
      <c r="N16" s="258" t="n">
        <v>467.299</v>
      </c>
      <c r="O16" s="258" t="n">
        <v>483.011</v>
      </c>
      <c r="P16" s="258" t="n">
        <v>491.865</v>
      </c>
      <c r="Q16" s="258" t="n">
        <v>676.455</v>
      </c>
      <c r="R16" s="258" t="n">
        <v>879.95</v>
      </c>
      <c r="S16" s="258" t="n">
        <v>931.895</v>
      </c>
      <c r="T16" s="258" t="n">
        <v>1002.358</v>
      </c>
      <c r="U16" s="258" t="n">
        <v>1126.436</v>
      </c>
      <c r="V16" s="258" t="n">
        <v>1222.226</v>
      </c>
      <c r="W16" s="258" t="n">
        <v>1239.742</v>
      </c>
      <c r="X16" s="258" t="n">
        <v>1233.781</v>
      </c>
      <c r="Y16" s="258" t="n">
        <v>1297.318</v>
      </c>
      <c r="Z16" s="258" t="n">
        <v>1339.621</v>
      </c>
      <c r="AA16" s="258" t="n">
        <v>1495.198</v>
      </c>
      <c r="AB16" s="258" t="n">
        <v>1608.087</v>
      </c>
      <c r="AC16" s="258" t="n">
        <v>1744.697</v>
      </c>
      <c r="AD16" s="258" t="n">
        <v>1791.057</v>
      </c>
      <c r="AE16" s="258" t="n">
        <v>1878.904</v>
      </c>
      <c r="AF16" s="258" t="n">
        <v>1892.632</v>
      </c>
      <c r="AG16" s="258" t="n">
        <v>2010.812</v>
      </c>
      <c r="AH16" s="258" t="n">
        <v>2096.3940893</v>
      </c>
      <c r="AI16" s="258" t="n">
        <v>2205.616503560628</v>
      </c>
      <c r="AJ16" s="258" t="n">
        <v>2295.334637079999</v>
      </c>
    </row>
    <row r="17">
      <c r="G17" t="inlineStr">
        <is>
          <t>moeda</t>
        </is>
      </c>
      <c r="H17" t="inlineStr">
        <is>
          <t>Custo (DRE l.105) - memoria</t>
        </is>
      </c>
      <c r="J17" t="inlineStr">
        <is>
          <t>memoria</t>
        </is>
      </c>
      <c r="K17" s="258" t="n">
        <v>-914.705</v>
      </c>
      <c r="L17" s="258" t="n">
        <v>-863.468</v>
      </c>
      <c r="M17" s="258" t="n">
        <v>-784.847</v>
      </c>
      <c r="N17" s="258" t="n">
        <v>-526.633</v>
      </c>
      <c r="O17" s="258" t="n">
        <v>-358.623</v>
      </c>
      <c r="P17" s="258" t="n">
        <v>-678.119</v>
      </c>
      <c r="Q17" s="258" t="n">
        <v>-839.8680000000001</v>
      </c>
      <c r="R17" s="258" t="n">
        <v>-869.881</v>
      </c>
      <c r="S17" s="258" t="n">
        <v>-1020.767</v>
      </c>
      <c r="T17" s="258" t="n">
        <v>-1309.105</v>
      </c>
      <c r="U17" s="258" t="n">
        <v>-1619.529</v>
      </c>
      <c r="V17" s="258" t="n">
        <v>-1804.787</v>
      </c>
      <c r="W17" s="258" t="n">
        <v>-1885.122</v>
      </c>
      <c r="X17" s="258" t="n">
        <v>-1648.165</v>
      </c>
      <c r="Y17" s="258" t="n">
        <v>-1872.509</v>
      </c>
      <c r="Z17" s="258" t="n">
        <v>-2167.697</v>
      </c>
      <c r="AA17" s="258" t="n">
        <v>-2089.568</v>
      </c>
      <c r="AB17" s="258" t="n">
        <v>-2465.595</v>
      </c>
      <c r="AC17" s="258" t="n">
        <v>-2718.636</v>
      </c>
      <c r="AD17" s="258" t="n">
        <v>-2191.609</v>
      </c>
      <c r="AE17" s="258" t="n">
        <v>-2422.665</v>
      </c>
      <c r="AF17" s="258" t="n">
        <v>-2524.222</v>
      </c>
      <c r="AG17" s="258" t="n">
        <v>-2547.692</v>
      </c>
      <c r="AH17" s="258" t="n">
        <v>-2415.2370513</v>
      </c>
      <c r="AI17" s="258" t="n">
        <v>-2443.5407698</v>
      </c>
      <c r="AJ17" s="258" t="n">
        <v>-2329.7086702</v>
      </c>
    </row>
    <row r="18">
      <c r="G18" t="inlineStr">
        <is>
          <t>moeda</t>
        </is>
      </c>
      <c r="H18" t="inlineStr">
        <is>
          <t>Lucro Bruto (DRE l.111) - memoria</t>
        </is>
      </c>
      <c r="J18" t="inlineStr">
        <is>
          <t>memoria</t>
        </is>
      </c>
      <c r="K18" s="258" t="n">
        <v>252.223</v>
      </c>
      <c r="L18" s="258" t="n">
        <v>157.828</v>
      </c>
      <c r="M18" s="258" t="n">
        <v>219.44</v>
      </c>
      <c r="N18" s="258" t="n">
        <v>381.234</v>
      </c>
      <c r="O18" s="258" t="n">
        <v>398.929</v>
      </c>
      <c r="P18" s="258" t="n">
        <v>487.226</v>
      </c>
      <c r="Q18" s="258" t="n">
        <v>681.208</v>
      </c>
      <c r="R18" s="258" t="n">
        <v>819.1849999999999</v>
      </c>
      <c r="S18" s="258" t="n">
        <v>884.89</v>
      </c>
      <c r="T18" s="258" t="n">
        <v>921.888</v>
      </c>
      <c r="U18" s="258" t="n">
        <v>917.335</v>
      </c>
      <c r="V18" s="258" t="n">
        <v>821.846</v>
      </c>
      <c r="W18" s="258" t="n">
        <v>818.0839999999999</v>
      </c>
      <c r="X18" s="258" t="n">
        <v>830.979</v>
      </c>
      <c r="Y18" s="258" t="n">
        <v>793.711</v>
      </c>
      <c r="Z18" s="258" t="n">
        <v>325.747</v>
      </c>
      <c r="AA18" s="258" t="n">
        <v>932.078</v>
      </c>
      <c r="AB18" s="258" t="n">
        <v>970.009</v>
      </c>
      <c r="AC18" s="258" t="n">
        <v>1057.228</v>
      </c>
      <c r="AD18" s="258" t="n">
        <v>1056.548</v>
      </c>
      <c r="AE18" s="258" t="n">
        <v>1145.565</v>
      </c>
      <c r="AF18" s="258" t="n">
        <v>1154.784</v>
      </c>
      <c r="AG18" s="258" t="n">
        <v>1218.15</v>
      </c>
      <c r="AH18" s="258" t="n">
        <v>1243.73810365011</v>
      </c>
      <c r="AI18" s="258" t="n">
        <v>1337.104195161807</v>
      </c>
      <c r="AJ18" s="258" t="n">
        <v>1436.121537288206</v>
      </c>
    </row>
    <row r="19">
      <c r="G19" t="inlineStr">
        <is>
          <t>moeda</t>
        </is>
      </c>
      <c r="H19" t="inlineStr">
        <is>
          <t>Despesas Administrativas (DRE l.113) - memoria</t>
        </is>
      </c>
      <c r="J19" t="inlineStr">
        <is>
          <t>memoria</t>
        </is>
      </c>
      <c r="K19" s="258" t="n">
        <v>-134.338</v>
      </c>
      <c r="L19" s="258" t="n">
        <v>-108.015</v>
      </c>
      <c r="M19" s="258" t="n">
        <v>-125.293</v>
      </c>
      <c r="N19" s="258" t="n">
        <v>-161.098</v>
      </c>
      <c r="O19" s="258" t="n">
        <v>-156.605</v>
      </c>
      <c r="P19" s="258" t="n">
        <v>-171.698</v>
      </c>
      <c r="Q19" s="258" t="n">
        <v>-178.506</v>
      </c>
      <c r="R19" s="258" t="n">
        <v>-213.003</v>
      </c>
      <c r="S19" s="258" t="n">
        <v>-234.631</v>
      </c>
      <c r="T19" s="258" t="n">
        <v>-257.54</v>
      </c>
      <c r="U19" s="258" t="n">
        <v>-292.522</v>
      </c>
      <c r="V19" s="258" t="n">
        <v>-344.544</v>
      </c>
      <c r="W19" s="258" t="n">
        <v>-332.775</v>
      </c>
      <c r="X19" s="258" t="n">
        <v>-329.942</v>
      </c>
      <c r="Y19" s="258" t="n">
        <v>-338.551</v>
      </c>
      <c r="Z19" s="258" t="n">
        <v>-505.686</v>
      </c>
      <c r="AA19" s="258" t="n">
        <v>-320.432</v>
      </c>
      <c r="AB19" s="258" t="n">
        <v>-342.713</v>
      </c>
      <c r="AC19" s="258" t="n">
        <v>-361.03</v>
      </c>
      <c r="AD19" s="258" t="n">
        <v>-371.618</v>
      </c>
      <c r="AE19" s="258" t="n">
        <v>-379.61</v>
      </c>
      <c r="AF19" s="258" t="n">
        <v>-369.393</v>
      </c>
      <c r="AG19" s="258" t="n">
        <v>-364.059</v>
      </c>
      <c r="AH19" s="258" t="n">
        <v>-393.0470863</v>
      </c>
      <c r="AI19" s="258" t="n">
        <v>-419.0255531618071</v>
      </c>
      <c r="AJ19" s="258" t="n">
        <v>-420.9415746882064</v>
      </c>
    </row>
    <row r="20">
      <c r="G20" t="inlineStr">
        <is>
          <t>moeda</t>
        </is>
      </c>
      <c r="H20" t="inlineStr">
        <is>
          <t>EBITDA (DRE l.117) - memoria</t>
        </is>
      </c>
      <c r="J20" t="inlineStr">
        <is>
          <t>memoria</t>
        </is>
      </c>
      <c r="K20" s="258" t="n">
        <v>225.107</v>
      </c>
      <c r="L20" s="258" t="n">
        <v>151.321</v>
      </c>
      <c r="M20" s="258" t="n">
        <v>213.172</v>
      </c>
      <c r="N20" s="258" t="n">
        <v>305.262</v>
      </c>
      <c r="O20" s="258" t="n">
        <v>304.502</v>
      </c>
      <c r="P20" s="258" t="n">
        <v>388.464</v>
      </c>
      <c r="Q20" s="258" t="n">
        <v>613.408</v>
      </c>
      <c r="R20" s="258" t="n">
        <v>776.612</v>
      </c>
      <c r="S20" s="258" t="n">
        <v>863.095</v>
      </c>
      <c r="T20" s="258" t="n">
        <v>905.256</v>
      </c>
      <c r="U20" s="258" t="n">
        <v>925.337</v>
      </c>
      <c r="V20" s="258" t="n">
        <v>858.2430000000001</v>
      </c>
      <c r="W20" s="258" t="n">
        <v>875.342</v>
      </c>
      <c r="X20" s="258" t="n">
        <v>889.992</v>
      </c>
      <c r="Y20" s="258" t="n">
        <v>867.926</v>
      </c>
      <c r="Z20" s="258" t="n">
        <v>866.073</v>
      </c>
      <c r="AA20" s="258" t="n">
        <v>1059.5</v>
      </c>
      <c r="AB20" s="258" t="n">
        <v>1149.36</v>
      </c>
      <c r="AC20" s="258" t="n">
        <v>1247.476</v>
      </c>
      <c r="AD20" s="258" t="n">
        <v>1244.28</v>
      </c>
      <c r="AE20" s="258" t="n">
        <v>1338.329</v>
      </c>
      <c r="AF20" s="258" t="n">
        <v>1379.123</v>
      </c>
      <c r="AG20" s="258" t="n">
        <v>1478.656</v>
      </c>
      <c r="AH20" s="258" t="n">
        <v>1490.05025995011</v>
      </c>
      <c r="AI20" s="258" t="n">
        <v>1568.6645634</v>
      </c>
      <c r="AJ20" s="258" t="n">
        <v>1686.743583999999</v>
      </c>
    </row>
    <row r="21">
      <c r="G21" t="inlineStr">
        <is>
          <t>moeda</t>
        </is>
      </c>
      <c r="H21" t="inlineStr">
        <is>
          <t>EBITDA de Serviços (DRE l.118) - memoria</t>
        </is>
      </c>
      <c r="J21" t="inlineStr">
        <is>
          <t>memoria</t>
        </is>
      </c>
      <c r="K21" s="258" t="n">
        <v>218.646</v>
      </c>
      <c r="L21" s="258" t="n">
        <v>135.883</v>
      </c>
      <c r="M21" s="258" t="n">
        <v>202.293</v>
      </c>
      <c r="N21" s="258" t="n">
        <v>247.909</v>
      </c>
      <c r="O21" s="258" t="n">
        <v>268.221</v>
      </c>
      <c r="P21" s="258" t="n">
        <v>268.356</v>
      </c>
      <c r="Q21" s="258" t="n">
        <v>426.207</v>
      </c>
      <c r="R21" s="258" t="n">
        <v>595.052</v>
      </c>
      <c r="S21" s="258" t="n">
        <v>658.624</v>
      </c>
      <c r="T21" s="258" t="n">
        <v>700.022</v>
      </c>
      <c r="U21" s="258" t="n">
        <v>789.148</v>
      </c>
      <c r="V21" s="258" t="n">
        <v>752.65</v>
      </c>
      <c r="W21" s="258" t="n">
        <v>788.955</v>
      </c>
      <c r="X21" s="258" t="n">
        <v>793.534</v>
      </c>
      <c r="Y21" s="258" t="n">
        <v>826.475</v>
      </c>
      <c r="Z21" s="258" t="n">
        <v>829.453</v>
      </c>
      <c r="AA21" s="258" t="n">
        <v>1020.779</v>
      </c>
      <c r="AB21" s="258" t="n">
        <v>1124.66</v>
      </c>
      <c r="AC21" s="258" t="n">
        <v>1225.769</v>
      </c>
      <c r="AD21" s="258" t="n">
        <v>1227.273</v>
      </c>
      <c r="AE21" s="258" t="n">
        <v>1320.16</v>
      </c>
      <c r="AF21" s="258" t="n">
        <v>1359.482</v>
      </c>
      <c r="AG21" s="258" t="n">
        <v>1460.057</v>
      </c>
      <c r="AH21" s="258" t="n">
        <v>1474.816229530622</v>
      </c>
      <c r="AI21" s="258" t="n">
        <v>1551.287182523495</v>
      </c>
      <c r="AJ21" s="258" t="n">
        <v>1671.048106858347</v>
      </c>
    </row>
    <row r="22">
      <c r="G22" t="inlineStr">
        <is>
          <t>moeda</t>
        </is>
      </c>
      <c r="H22" t="inlineStr">
        <is>
          <t>EBIT (DRE l.121) - memoria</t>
        </is>
      </c>
      <c r="J22" t="inlineStr">
        <is>
          <t>memoria</t>
        </is>
      </c>
      <c r="K22" s="258" t="n">
        <v>117.885</v>
      </c>
      <c r="L22" s="258" t="n">
        <v>49.813</v>
      </c>
      <c r="M22" s="258" t="n">
        <v>94.14700000000001</v>
      </c>
      <c r="N22" s="258" t="n">
        <v>220.137</v>
      </c>
      <c r="O22" s="258" t="n">
        <v>242.324</v>
      </c>
      <c r="P22" s="258" t="n">
        <v>315.528</v>
      </c>
      <c r="Q22" s="258" t="n">
        <v>502.702</v>
      </c>
      <c r="R22" s="258" t="n">
        <v>606.181</v>
      </c>
      <c r="S22" s="258" t="n">
        <v>650.259</v>
      </c>
      <c r="T22" s="258" t="n">
        <v>664.347</v>
      </c>
      <c r="U22" s="258" t="n">
        <v>624.813</v>
      </c>
      <c r="V22" s="258" t="n">
        <v>477.301</v>
      </c>
      <c r="W22" s="258" t="n">
        <v>485.309</v>
      </c>
      <c r="X22" s="258" t="n">
        <v>501.037</v>
      </c>
      <c r="Y22" s="258" t="n">
        <v>455.16</v>
      </c>
      <c r="Z22" s="258" t="n">
        <v>-179.939</v>
      </c>
      <c r="AA22" s="258" t="n">
        <v>611.645</v>
      </c>
      <c r="AB22" s="258" t="n">
        <v>627.326</v>
      </c>
      <c r="AC22" s="258" t="n">
        <v>696.198</v>
      </c>
      <c r="AD22" s="258" t="n">
        <v>684.929</v>
      </c>
      <c r="AE22" s="258" t="n">
        <v>765.955</v>
      </c>
      <c r="AF22" s="258" t="n">
        <v>785.39</v>
      </c>
      <c r="AG22" s="258" t="n">
        <v>854.091</v>
      </c>
      <c r="AH22" s="258" t="n">
        <v>850.6910173501101</v>
      </c>
      <c r="AI22" s="258" t="n">
        <v>918.0786419999997</v>
      </c>
      <c r="AJ22" s="258" t="n">
        <v>1015.179962599999</v>
      </c>
    </row>
    <row r="23">
      <c r="G23" t="inlineStr">
        <is>
          <t>moeda</t>
        </is>
      </c>
      <c r="H23" t="inlineStr">
        <is>
          <t>Resultado Financeiro³ (DRE l.123) - memoria</t>
        </is>
      </c>
      <c r="J23" t="inlineStr">
        <is>
          <t>memoria</t>
        </is>
      </c>
      <c r="K23" s="258" t="n">
        <v>-45.153</v>
      </c>
      <c r="L23" s="258" t="n">
        <v>-45.842</v>
      </c>
      <c r="M23" s="258" t="n">
        <v>-37.414</v>
      </c>
      <c r="N23" s="258" t="n">
        <v>-36.909</v>
      </c>
      <c r="O23" s="258" t="n">
        <v>-76.658</v>
      </c>
      <c r="P23" s="258" t="n">
        <v>-67.42400000000001</v>
      </c>
      <c r="Q23" s="258" t="n">
        <v>-132.746</v>
      </c>
      <c r="R23" s="258" t="n">
        <v>-208.138</v>
      </c>
      <c r="S23" s="258" t="n">
        <v>-287.287</v>
      </c>
      <c r="T23" s="258" t="n">
        <v>-399.359</v>
      </c>
      <c r="U23" s="258" t="n">
        <v>-513.667</v>
      </c>
      <c r="V23" s="258" t="n">
        <v>-501.027</v>
      </c>
      <c r="W23" s="258" t="n">
        <v>-474.682</v>
      </c>
      <c r="X23" s="258" t="n">
        <v>-525.574</v>
      </c>
      <c r="Y23" s="258" t="n">
        <v>-542.739</v>
      </c>
      <c r="Z23" s="258" t="n">
        <v>-555.381</v>
      </c>
      <c r="AA23" s="258" t="n">
        <v>-538.76</v>
      </c>
      <c r="AB23" s="258" t="n">
        <v>-570.722</v>
      </c>
      <c r="AC23" s="258" t="n">
        <v>-594.402</v>
      </c>
      <c r="AD23" s="258" t="n">
        <v>-606.664</v>
      </c>
      <c r="AE23" s="258" t="n">
        <v>-655.21</v>
      </c>
      <c r="AF23" s="258" t="n">
        <v>-694.079</v>
      </c>
      <c r="AG23" s="258" t="n">
        <v>-795.318</v>
      </c>
      <c r="AH23" s="258" t="n">
        <v>-763.9217435941262</v>
      </c>
      <c r="AI23" s="258" t="n">
        <v>-753.7824515</v>
      </c>
      <c r="AJ23" s="258" t="n">
        <v>-845.6348303999995</v>
      </c>
    </row>
    <row r="24">
      <c r="G24" t="inlineStr">
        <is>
          <t>moeda</t>
        </is>
      </c>
      <c r="H24" t="inlineStr">
        <is>
          <t>EBT (DRE l.126) - memoria</t>
        </is>
      </c>
      <c r="J24" t="inlineStr">
        <is>
          <t>memoria</t>
        </is>
      </c>
      <c r="K24" s="258" t="n">
        <v>72.732</v>
      </c>
      <c r="L24" s="258" t="n">
        <v>3.971</v>
      </c>
      <c r="M24" s="258" t="n">
        <v>56.733</v>
      </c>
      <c r="N24" s="258" t="n">
        <v>183.228</v>
      </c>
      <c r="O24" s="258" t="n">
        <v>165.666</v>
      </c>
      <c r="P24" s="258" t="n">
        <v>248.104</v>
      </c>
      <c r="Q24" s="258" t="n">
        <v>369.956</v>
      </c>
      <c r="R24" s="258" t="n">
        <v>398.043</v>
      </c>
      <c r="S24" s="258" t="n">
        <v>362.972</v>
      </c>
      <c r="T24" s="258" t="n">
        <v>264.989</v>
      </c>
      <c r="U24" s="258" t="n">
        <v>111.146</v>
      </c>
      <c r="V24" s="258" t="n">
        <v>-23.725</v>
      </c>
      <c r="W24" s="258" t="n">
        <v>10.627</v>
      </c>
      <c r="X24" s="258" t="n">
        <v>-24.537</v>
      </c>
      <c r="Y24" s="258" t="n">
        <v>-87.57899999999999</v>
      </c>
      <c r="Z24" s="258" t="n">
        <v>-735.3200000000001</v>
      </c>
      <c r="AA24" s="258" t="n">
        <v>72.886</v>
      </c>
      <c r="AB24" s="258" t="n">
        <v>56.604</v>
      </c>
      <c r="AC24" s="258" t="n">
        <v>101.796</v>
      </c>
      <c r="AD24" s="258" t="n">
        <v>78.265</v>
      </c>
      <c r="AE24" s="258" t="n">
        <v>110.745</v>
      </c>
      <c r="AF24" s="258" t="n">
        <v>91.31100000000001</v>
      </c>
      <c r="AG24" s="258" t="n">
        <v>58.774</v>
      </c>
      <c r="AH24" s="258" t="n">
        <v>86.76927375598393</v>
      </c>
      <c r="AI24" s="258" t="n">
        <v>164.2961904999997</v>
      </c>
      <c r="AJ24" s="258" t="n">
        <v>169.5451321999998</v>
      </c>
    </row>
    <row r="25">
      <c r="G25" t="inlineStr">
        <is>
          <t>moeda</t>
        </is>
      </c>
      <c r="H25" t="inlineStr">
        <is>
          <t>Lucro Líquido (DRE l.128) - memoria</t>
        </is>
      </c>
      <c r="J25" t="inlineStr">
        <is>
          <t>memoria</t>
        </is>
      </c>
      <c r="K25" s="258" t="n">
        <v>55.09</v>
      </c>
      <c r="L25" s="258" t="n">
        <v>2.613</v>
      </c>
      <c r="M25" s="258" t="n">
        <v>37.202</v>
      </c>
      <c r="N25" s="258" t="n">
        <v>138.693</v>
      </c>
      <c r="O25" s="258" t="n">
        <v>109.481</v>
      </c>
      <c r="P25" s="258" t="n">
        <v>173.921</v>
      </c>
      <c r="Q25" s="258" t="n">
        <v>259.381</v>
      </c>
      <c r="R25" s="258" t="n">
        <v>276.656</v>
      </c>
      <c r="S25" s="258" t="n">
        <v>258.068</v>
      </c>
      <c r="T25" s="258" t="n">
        <v>186.761</v>
      </c>
      <c r="U25" s="258" t="n">
        <v>93.718</v>
      </c>
      <c r="V25" s="258" t="n">
        <v>17.831</v>
      </c>
      <c r="W25" s="258" t="n">
        <v>21.044</v>
      </c>
      <c r="X25" s="258" t="n">
        <v>-17.864</v>
      </c>
      <c r="Y25" s="258" t="n">
        <v>-65.721</v>
      </c>
      <c r="Z25" s="258" t="n">
        <v>-588.309</v>
      </c>
      <c r="AA25" s="258" t="n">
        <v>48.599</v>
      </c>
      <c r="AB25" s="258" t="n">
        <v>42.548</v>
      </c>
      <c r="AC25" s="258" t="n">
        <v>78.194</v>
      </c>
      <c r="AD25" s="258" t="n">
        <v>62.171</v>
      </c>
      <c r="AE25" s="258" t="n">
        <v>78.468</v>
      </c>
      <c r="AF25" s="258" t="n">
        <v>67.595</v>
      </c>
      <c r="AG25" s="258" t="n">
        <v>69.955</v>
      </c>
      <c r="AH25" s="258" t="n">
        <v>102.3441069833983</v>
      </c>
      <c r="AI25" s="258" t="n">
        <v>124.5131911014022</v>
      </c>
      <c r="AJ25" s="258" t="n">
        <v>135.6496598765561</v>
      </c>
    </row>
    <row r="26">
      <c r="H26" s="254" t="inlineStr">
        <is>
          <t>DERIVADAS (formula nesta aba)</t>
        </is>
      </c>
    </row>
    <row r="27">
      <c r="A27" t="n">
        <v>2</v>
      </c>
      <c r="B27" t="n">
        <v>1</v>
      </c>
      <c r="G27" t="inlineStr">
        <is>
          <t>moeda</t>
        </is>
      </c>
      <c r="H27" t="inlineStr">
        <is>
          <t>Residuo do custo: EBT - (receita + custo ex-dep + depreciacao + despesas + desp. e rec. financeiras). Fecha o lucro bruto/EBT divulgados (1T22-3T23 ~15-20 = outros custos; 1T20 +195,4 e 4T20 -50,1 = base pro forma; demais = arredondamento)</t>
        </is>
      </c>
      <c r="J27" t="inlineStr">
        <is>
          <t>derivada</t>
        </is>
      </c>
      <c r="K27" s="258">
        <f>K24-K6-K7-K8-K9-K10-K11-K12-K13</f>
        <v>195.393</v>
      </c>
      <c r="L27" s="258">
        <f>L24-L6-L7-L8-L9-L10-L11-L12-L13</f>
        <v>0</v>
      </c>
      <c r="M27" s="258">
        <f>M24-M6-M7-M8-M9-M10-M11-M12-M13</f>
        <v>-0.0990000000000038</v>
      </c>
      <c r="N27" s="258">
        <f>N24-N6-N7-N8-N9-N10-N11-N12-N13</f>
        <v>-50.1439999999999</v>
      </c>
      <c r="O27" s="258">
        <f>O24-O6-O7-O8-O9-O10-O11-O12-O13</f>
        <v>-0.000999999999947931</v>
      </c>
      <c r="P27" s="258">
        <f>P24-P6-P7-P8-P9-P10-P11-P12-P13</f>
        <v>0</v>
      </c>
      <c r="Q27" s="258">
        <f>Q24-Q6-Q7-Q8-Q9-Q10-Q11-Q12-Q13</f>
        <v>0</v>
      </c>
      <c r="R27" s="258">
        <f>R24-R6-R7-R8-R9-R10-R11-R12-R13</f>
        <v>0</v>
      </c>
      <c r="S27" s="258">
        <f>S24-S6-S7-S8-S9-S10-S11-S12-S13</f>
        <v>14.656</v>
      </c>
      <c r="T27" s="258">
        <f>T24-T6-T7-T8-T9-T10-T11-T12-T13</f>
        <v>16.8509999999999</v>
      </c>
      <c r="U27" s="258">
        <f>U24-U6-U7-U8-U9-U10-U11-U12-U13</f>
        <v>18.8850000000002</v>
      </c>
      <c r="V27" s="258">
        <f>V24-V6-V7-V8-V9-V10-V11-V12-V13</f>
        <v>16.2490000000003</v>
      </c>
      <c r="W27" s="258">
        <f>W24-W6-W7-W8-W9-W10-W11-W12-W13</f>
        <v>16.3909999999999</v>
      </c>
      <c r="X27" s="258">
        <f>X24-X6-X7-X8-X9-X10-X11-X12-X13</f>
        <v>17.4690000000004</v>
      </c>
      <c r="Y27" s="258">
        <f>Y24-Y6-Y7-Y8-Y9-Y10-Y11-Y12-Y13</f>
        <v>20.1410000000001</v>
      </c>
      <c r="Z27" s="258">
        <f>Z24-Z6-Z7-Z8-Z9-Z10-Z11-Z12-Z13</f>
        <v>-0.0890000000001052</v>
      </c>
      <c r="AA27" s="258">
        <f>AA24-AA6-AA7-AA8-AA9-AA10-AA11-AA12-AA13</f>
        <v>0.0369999999998214</v>
      </c>
      <c r="AB27" s="258">
        <f>AB24-AB6-AB7-AB8-AB9-AB10-AB11-AB12-AB13</f>
        <v>0.0309999999998212</v>
      </c>
      <c r="AC27" s="258">
        <f>AC24-AC6-AC7-AC8-AC9-AC10-AC11-AC12-AC13</f>
        <v>0</v>
      </c>
      <c r="AD27" s="258">
        <f>AD24-AD6-AD7-AD8-AD9-AD10-AD11-AD12-AD13</f>
        <v>0</v>
      </c>
      <c r="AE27" s="258">
        <f>AE24-AE6-AE7-AE8-AE9-AE10-AE11-AE12-AE13</f>
        <v>-0.00100000000037426</v>
      </c>
      <c r="AF27" s="258">
        <f>AF24-AF6-AF7-AF8-AF9-AF10-AF11-AF12-AF13</f>
        <v>-0.000999999999677925</v>
      </c>
      <c r="AG27" s="258">
        <f>AG24-AG6-AG7-AG8-AG9-AG10-AG11-AG12-AG13</f>
        <v>0</v>
      </c>
      <c r="AH27" s="258">
        <f>AH24-AH6-AH7-AH8-AH9-AH10-AH11-AH12-AH13</f>
        <v>0</v>
      </c>
      <c r="AI27" s="258">
        <f>AI24-AI6-AI7-AI8-AI9-AI10-AI11-AI12-AI13</f>
        <v>0</v>
      </c>
      <c r="AJ27" s="258">
        <f>AJ24-AJ6-AJ7-AJ8-AJ9-AJ10-AJ11-AJ12-AJ13</f>
        <v>1.53477230924182e-12</v>
      </c>
    </row>
    <row r="28">
      <c r="A28" t="n">
        <v>7</v>
      </c>
      <c r="B28" t="n">
        <v>1</v>
      </c>
      <c r="G28" t="inlineStr">
        <is>
          <t>moeda</t>
        </is>
      </c>
      <c r="H28" t="inlineStr">
        <is>
          <t>IR/CS = lucro liquido - EBT (a planilha nao abre a linha de IR)</t>
        </is>
      </c>
      <c r="J28" t="inlineStr">
        <is>
          <t>derivada</t>
        </is>
      </c>
      <c r="K28" s="258">
        <f>K25-K24</f>
        <v>-17.642</v>
      </c>
      <c r="L28" s="258">
        <f>L25-L24</f>
        <v>-1.358</v>
      </c>
      <c r="M28" s="258">
        <f>M25-M24</f>
        <v>-19.531</v>
      </c>
      <c r="N28" s="258">
        <f>N25-N24</f>
        <v>-44.535</v>
      </c>
      <c r="O28" s="258">
        <f>O25-O24</f>
        <v>-56.185</v>
      </c>
      <c r="P28" s="258">
        <f>P25-P24</f>
        <v>-74.183</v>
      </c>
      <c r="Q28" s="258">
        <f>Q25-Q24</f>
        <v>-110.575</v>
      </c>
      <c r="R28" s="258">
        <f>R25-R24</f>
        <v>-121.387</v>
      </c>
      <c r="S28" s="258">
        <f>S25-S24</f>
        <v>-104.904</v>
      </c>
      <c r="T28" s="258">
        <f>T25-T24</f>
        <v>-78.228</v>
      </c>
      <c r="U28" s="258">
        <f>U25-U24</f>
        <v>-17.428</v>
      </c>
      <c r="V28" s="258">
        <f>V25-V24</f>
        <v>41.556</v>
      </c>
      <c r="W28" s="258">
        <f>W25-W24</f>
        <v>10.417</v>
      </c>
      <c r="X28" s="258">
        <f>X25-X24</f>
        <v>6.673</v>
      </c>
      <c r="Y28" s="258">
        <f>Y25-Y24</f>
        <v>21.858</v>
      </c>
      <c r="Z28" s="258">
        <f>Z25-Z24</f>
        <v>147.011</v>
      </c>
      <c r="AA28" s="258">
        <f>AA25-AA24</f>
        <v>-24.287</v>
      </c>
      <c r="AB28" s="258">
        <f>AB25-AB24</f>
        <v>-14.056</v>
      </c>
      <c r="AC28" s="258">
        <f>AC25-AC24</f>
        <v>-23.602</v>
      </c>
      <c r="AD28" s="258">
        <f>AD25-AD24</f>
        <v>-16.094</v>
      </c>
      <c r="AE28" s="258">
        <f>AE25-AE24</f>
        <v>-32.277</v>
      </c>
      <c r="AF28" s="258">
        <f>AF25-AF24</f>
        <v>-23.716</v>
      </c>
      <c r="AG28" s="258">
        <f>AG25-AG24</f>
        <v>11.181</v>
      </c>
      <c r="AH28" s="258">
        <f>AH25-AH24</f>
        <v>15.5748332274144</v>
      </c>
      <c r="AI28" s="258">
        <f>AI25-AI24</f>
        <v>-39.7829993985975</v>
      </c>
      <c r="AJ28" s="258">
        <f>AJ25-AJ24</f>
        <v>-33.8954723234437</v>
      </c>
    </row>
    <row r="29">
      <c r="A29" t="n">
        <v>4</v>
      </c>
      <c r="B29" t="n">
        <v>1</v>
      </c>
      <c r="C29" t="n">
        <v>2</v>
      </c>
      <c r="D29" t="n">
        <v>-1</v>
      </c>
      <c r="G29" t="inlineStr">
        <is>
          <t>moeda</t>
        </is>
      </c>
      <c r="H29" t="inlineStr">
        <is>
          <t>D&amp;A = EBIT - EBITDA (negativo): COD1=4 lanca; COD2=2 devolve ao custo (quase toda depreciacao e de frota). EBITDA do Model = EBITDA divulgado</t>
        </is>
      </c>
      <c r="J29" t="inlineStr">
        <is>
          <t>derivada</t>
        </is>
      </c>
      <c r="K29" s="258">
        <f>K22-K20</f>
        <v>-107.222</v>
      </c>
      <c r="L29" s="258">
        <f>L22-L20</f>
        <v>-101.508</v>
      </c>
      <c r="M29" s="258">
        <f>M22-M20</f>
        <v>-119.025</v>
      </c>
      <c r="N29" s="258">
        <f>N22-N20</f>
        <v>-85.125</v>
      </c>
      <c r="O29" s="258">
        <f>O22-O20</f>
        <v>-62.178</v>
      </c>
      <c r="P29" s="258">
        <f>P22-P20</f>
        <v>-72.936</v>
      </c>
      <c r="Q29" s="258">
        <f>Q22-Q20</f>
        <v>-110.706</v>
      </c>
      <c r="R29" s="258">
        <f>R22-R20</f>
        <v>-170.431</v>
      </c>
      <c r="S29" s="258">
        <f>S22-S20</f>
        <v>-212.836</v>
      </c>
      <c r="T29" s="258">
        <f>T22-T20</f>
        <v>-240.909</v>
      </c>
      <c r="U29" s="258">
        <f>U22-U20</f>
        <v>-300.524</v>
      </c>
      <c r="V29" s="258">
        <f>V22-V20</f>
        <v>-380.942</v>
      </c>
      <c r="W29" s="258">
        <f>W22-W20</f>
        <v>-390.033</v>
      </c>
      <c r="X29" s="258">
        <f>X22-X20</f>
        <v>-388.955</v>
      </c>
      <c r="Y29" s="258">
        <f>Y22-Y20</f>
        <v>-412.766</v>
      </c>
      <c r="Z29" s="258">
        <f>Z22-Z20</f>
        <v>-1046.012</v>
      </c>
      <c r="AA29" s="258">
        <f>AA22-AA20</f>
        <v>-447.855</v>
      </c>
      <c r="AB29" s="258">
        <f>AB22-AB20</f>
        <v>-522.034</v>
      </c>
      <c r="AC29" s="258">
        <f>AC22-AC20</f>
        <v>-551.278</v>
      </c>
      <c r="AD29" s="258">
        <f>AD22-AD20</f>
        <v>-559.351</v>
      </c>
      <c r="AE29" s="258">
        <f>AE22-AE20</f>
        <v>-572.374</v>
      </c>
      <c r="AF29" s="258">
        <f>AF22-AF20</f>
        <v>-593.733</v>
      </c>
      <c r="AG29" s="258">
        <f>AG22-AG20</f>
        <v>-624.565</v>
      </c>
      <c r="AH29" s="258">
        <f>AH22-AH20</f>
        <v>-639.3592426</v>
      </c>
      <c r="AI29" s="258">
        <f>AI22-AI20</f>
        <v>-650.5859214</v>
      </c>
      <c r="AJ29" s="258">
        <f>AJ22-AJ20</f>
        <v>-671.5636214</v>
      </c>
    </row>
    <row r="30">
      <c r="A30" t="n">
        <v>44</v>
      </c>
      <c r="B30" t="n">
        <v>1</v>
      </c>
      <c r="G30" t="inlineStr">
        <is>
          <t>moeda</t>
        </is>
      </c>
      <c r="H30" t="inlineStr">
        <is>
          <t>Lucro liquido (l.128; sem minoritarios) - COD 44 alimenta o check IS do Model</t>
        </is>
      </c>
      <c r="J30" t="inlineStr">
        <is>
          <t>derivada</t>
        </is>
      </c>
      <c r="K30" s="258">
        <f>K25</f>
        <v>55.09</v>
      </c>
      <c r="L30" s="258">
        <f>L25</f>
        <v>2.613</v>
      </c>
      <c r="M30" s="258">
        <f>M25</f>
        <v>37.202</v>
      </c>
      <c r="N30" s="258">
        <f>N25</f>
        <v>138.693</v>
      </c>
      <c r="O30" s="258">
        <f>O25</f>
        <v>109.481</v>
      </c>
      <c r="P30" s="258">
        <f>P25</f>
        <v>173.921</v>
      </c>
      <c r="Q30" s="258">
        <f>Q25</f>
        <v>259.381</v>
      </c>
      <c r="R30" s="258">
        <f>R25</f>
        <v>276.656</v>
      </c>
      <c r="S30" s="258">
        <f>S25</f>
        <v>258.068</v>
      </c>
      <c r="T30" s="258">
        <f>T25</f>
        <v>186.761</v>
      </c>
      <c r="U30" s="258">
        <f>U25</f>
        <v>93.718</v>
      </c>
      <c r="V30" s="258">
        <f>V25</f>
        <v>17.831</v>
      </c>
      <c r="W30" s="258">
        <f>W25</f>
        <v>21.044</v>
      </c>
      <c r="X30" s="258">
        <f>X25</f>
        <v>-17.864</v>
      </c>
      <c r="Y30" s="258">
        <f>Y25</f>
        <v>-65.721</v>
      </c>
      <c r="Z30" s="258">
        <f>Z25</f>
        <v>-588.309</v>
      </c>
      <c r="AA30" s="258">
        <f>AA25</f>
        <v>48.599</v>
      </c>
      <c r="AB30" s="258">
        <f>AB25</f>
        <v>42.548</v>
      </c>
      <c r="AC30" s="258">
        <f>AC25</f>
        <v>78.194</v>
      </c>
      <c r="AD30" s="258">
        <f>AD25</f>
        <v>62.171</v>
      </c>
      <c r="AE30" s="258">
        <f>AE25</f>
        <v>78.468</v>
      </c>
      <c r="AF30" s="258">
        <f>AF25</f>
        <v>67.595</v>
      </c>
      <c r="AG30" s="258">
        <f>AG25</f>
        <v>69.955</v>
      </c>
      <c r="AH30" s="258">
        <f>AH25</f>
        <v>102.344106983398</v>
      </c>
      <c r="AI30" s="258">
        <f>AI25</f>
        <v>124.513191101402</v>
      </c>
      <c r="AJ30" s="258">
        <f>AJ25</f>
        <v>135.649659876556</v>
      </c>
    </row>
    <row r="31">
      <c r="H31" s="254" t="inlineStr">
        <is>
          <t>DFC - ACUMULADO NO ANO (R$ milhoes): Dividendos e JCP pagos, DFC consolidada dos ITR/DFP na CVM (contas 6.03.xx "Dividendos..."). A planilha da Cia nao traz DFC</t>
        </is>
      </c>
    </row>
    <row r="32">
      <c r="G32" t="inlineStr">
        <is>
          <t>moeda</t>
        </is>
      </c>
      <c r="H32" t="inlineStr">
        <is>
          <t>Dividendos e JCP pagos - acumulado no ano (CVM; soma das contas 6.03 de dividendos/JCP)</t>
        </is>
      </c>
      <c r="J32" t="inlineStr">
        <is>
          <t>memoria</t>
        </is>
      </c>
      <c r="K32" s="258" t="n">
        <v>-22.944</v>
      </c>
      <c r="L32" s="258" t="n">
        <v>-22.933</v>
      </c>
      <c r="M32" s="258" t="n">
        <v>-22.933</v>
      </c>
      <c r="N32" s="258" t="n">
        <v>-56.736</v>
      </c>
      <c r="O32" s="258" t="n">
        <v>0</v>
      </c>
      <c r="P32" s="258" t="n">
        <v>0</v>
      </c>
      <c r="Q32" s="258" t="n">
        <v>-64.133</v>
      </c>
      <c r="R32" s="258" t="n">
        <v>-106.614</v>
      </c>
      <c r="S32" s="258" t="n">
        <v>-39.311</v>
      </c>
      <c r="T32" s="258" t="n">
        <v>-348.658</v>
      </c>
      <c r="U32" s="258" t="n">
        <v>-395.507</v>
      </c>
      <c r="V32" s="258" t="n">
        <v>-447.638</v>
      </c>
      <c r="W32" s="258" t="n">
        <v>-47.512</v>
      </c>
      <c r="X32" s="258" t="n">
        <v>-138.201</v>
      </c>
      <c r="Y32" s="258" t="n">
        <v>-138.2</v>
      </c>
      <c r="Z32" s="258" t="n">
        <v>-138.2</v>
      </c>
      <c r="AA32" s="258" t="n">
        <v>0</v>
      </c>
      <c r="AB32" s="258" t="n">
        <v>0</v>
      </c>
      <c r="AC32" s="258" t="n">
        <v>0</v>
      </c>
      <c r="AD32" s="258" t="n">
        <v>0</v>
      </c>
      <c r="AE32" s="258" t="n">
        <v>0</v>
      </c>
      <c r="AF32" s="258" t="n">
        <v>-55.05</v>
      </c>
      <c r="AG32" s="258" t="n">
        <v>-55.05</v>
      </c>
      <c r="AH32" s="258" t="n">
        <v>-55.05</v>
      </c>
      <c r="AI32" s="258" t="n">
        <v>0</v>
      </c>
      <c r="AJ32" s="258" t="n">
        <v>0</v>
      </c>
    </row>
    <row r="33">
      <c r="A33" t="n">
        <v>10</v>
      </c>
      <c r="B33" t="n">
        <v>1</v>
      </c>
      <c r="G33" t="inlineStr">
        <is>
          <t>moeda</t>
        </is>
      </c>
      <c r="H33" t="inlineStr">
        <is>
          <t>Dividendos e JCP pagos (trimestralizado)</t>
        </is>
      </c>
      <c r="J33" t="inlineStr">
        <is>
          <t>derivada</t>
        </is>
      </c>
      <c r="K33" s="258">
        <f>N(K32)</f>
        <v>-22.944</v>
      </c>
      <c r="L33" s="258">
        <f>N(L32)-N(K32)</f>
        <v>0.0109999999999992</v>
      </c>
      <c r="M33" s="258">
        <f>N(M32)-N(L32)</f>
        <v>0</v>
      </c>
      <c r="N33" s="258">
        <f>N(N32)-N(M32)</f>
        <v>-33.803</v>
      </c>
      <c r="O33" s="258">
        <f>N(O32)</f>
        <v>0</v>
      </c>
      <c r="P33" s="258">
        <f>N(P32)-N(O32)</f>
        <v>0</v>
      </c>
      <c r="Q33" s="258">
        <f>N(Q32)-N(P32)</f>
        <v>-64.133</v>
      </c>
      <c r="R33" s="258">
        <f>N(R32)-N(Q32)</f>
        <v>-42.481</v>
      </c>
      <c r="S33" s="258">
        <f>N(S32)</f>
        <v>-39.311</v>
      </c>
      <c r="T33" s="258">
        <f>N(T32)-N(S32)</f>
        <v>-309.347</v>
      </c>
      <c r="U33" s="258">
        <f>N(U32)-N(T32)</f>
        <v>-46.849</v>
      </c>
      <c r="V33" s="258">
        <f>N(V32)-N(U32)</f>
        <v>-52.131</v>
      </c>
      <c r="W33" s="258">
        <f>N(W32)</f>
        <v>-47.512</v>
      </c>
      <c r="X33" s="258">
        <f>N(X32)-N(W32)</f>
        <v>-90.689</v>
      </c>
      <c r="Y33" s="258">
        <f>N(Y32)-N(X32)</f>
        <v>0.00100000000000477</v>
      </c>
      <c r="Z33" s="258">
        <f>N(Z32)-N(Y32)</f>
        <v>0</v>
      </c>
      <c r="AA33" s="258">
        <f>N(AA32)</f>
        <v>0</v>
      </c>
      <c r="AB33" s="258">
        <f>N(AB32)-N(AA32)</f>
        <v>0</v>
      </c>
      <c r="AC33" s="258">
        <f>N(AC32)-N(AB32)</f>
        <v>0</v>
      </c>
      <c r="AD33" s="258">
        <f>N(AD32)-N(AC32)</f>
        <v>0</v>
      </c>
      <c r="AE33" s="258">
        <f>N(AE32)</f>
        <v>0</v>
      </c>
      <c r="AF33" s="258">
        <f>N(AF32)-N(AE32)</f>
        <v>-55.05</v>
      </c>
      <c r="AG33" s="258">
        <f>N(AG32)-N(AF32)</f>
        <v>0</v>
      </c>
      <c r="AH33" s="258">
        <f>N(AH32)-N(AG32)</f>
        <v>0</v>
      </c>
      <c r="AI33" s="258">
        <f>N(AI32)</f>
        <v>0</v>
      </c>
      <c r="AJ33" s="258">
        <f>N(AJ32)-N(AI32)</f>
        <v>0</v>
      </c>
    </row>
    <row r="34">
      <c r="H34" s="254" t="inlineStr">
        <is>
          <t>BALANCO (aba BS | BP (Proforma); R$ milhoes). TVM de longo prazo vai para caixa (cod 11), como no calculo de divida liquida da Cia</t>
        </is>
      </c>
    </row>
    <row r="35">
      <c r="A35" t="n">
        <v>11</v>
      </c>
      <c r="B35" t="n">
        <v>1</v>
      </c>
      <c r="G35" t="inlineStr">
        <is>
          <t>moeda</t>
        </is>
      </c>
      <c r="H35" t="inlineStr">
        <is>
          <t>A: Caixa e equivalentes de caixa (BP l.6)</t>
        </is>
      </c>
      <c r="J35" t="inlineStr">
        <is>
          <t>fonte</t>
        </is>
      </c>
      <c r="K35" s="258" t="n">
        <v>239.226</v>
      </c>
      <c r="L35" s="258" t="n">
        <v>287.411</v>
      </c>
      <c r="M35" s="258" t="n">
        <v>327.884</v>
      </c>
      <c r="N35" s="258" t="n">
        <v>68.64700000000001</v>
      </c>
      <c r="O35" s="258" t="n">
        <v>886.551</v>
      </c>
      <c r="P35" s="258" t="n">
        <v>2816.548</v>
      </c>
      <c r="Q35" s="258" t="n">
        <v>4643.996</v>
      </c>
      <c r="R35" s="258" t="n">
        <v>146.03</v>
      </c>
      <c r="S35" s="258" t="n">
        <v>903.521</v>
      </c>
      <c r="T35" s="258" t="n">
        <v>950.708</v>
      </c>
      <c r="U35" s="258" t="n">
        <v>401.837</v>
      </c>
      <c r="V35" s="258" t="n">
        <v>551.764</v>
      </c>
      <c r="W35" s="258" t="n">
        <v>486.982</v>
      </c>
      <c r="X35" s="258" t="n">
        <v>487.375</v>
      </c>
      <c r="Y35" s="258" t="n">
        <v>356.841</v>
      </c>
      <c r="Z35" s="258" t="n">
        <v>133.394</v>
      </c>
      <c r="AA35" s="258" t="n">
        <v>475.274</v>
      </c>
      <c r="AB35" s="258" t="n">
        <v>674.841</v>
      </c>
      <c r="AC35" s="258" t="n">
        <v>568.043</v>
      </c>
      <c r="AD35" s="258" t="n">
        <v>677.895</v>
      </c>
      <c r="AE35" s="258" t="n">
        <v>847.1079999999999</v>
      </c>
      <c r="AF35" s="258" t="n">
        <v>1002.896</v>
      </c>
      <c r="AG35" s="258" t="n">
        <v>1671.176</v>
      </c>
      <c r="AH35" s="258" t="n">
        <v>1322.044</v>
      </c>
      <c r="AI35" s="258" t="n">
        <v>1830.668</v>
      </c>
      <c r="AJ35" s="258" t="n">
        <v>1648.914</v>
      </c>
    </row>
    <row r="36">
      <c r="A36" t="n">
        <v>11</v>
      </c>
      <c r="B36" t="n">
        <v>1</v>
      </c>
      <c r="G36" t="inlineStr">
        <is>
          <t>moeda</t>
        </is>
      </c>
      <c r="H36" t="inlineStr">
        <is>
          <t>A: Títulos, valores mobiliários e aplicações financeiras (BP l.7) -&gt; caixa</t>
        </is>
      </c>
      <c r="J36" t="inlineStr">
        <is>
          <t>fonte</t>
        </is>
      </c>
      <c r="K36" s="258" t="n">
        <v>810.259</v>
      </c>
      <c r="L36" s="258" t="n">
        <v>1413.202</v>
      </c>
      <c r="M36" s="258" t="n">
        <v>1297.07</v>
      </c>
      <c r="N36" s="258" t="n">
        <v>1623.86</v>
      </c>
      <c r="O36" s="258" t="n">
        <v>2095.684</v>
      </c>
      <c r="P36" s="258" t="n">
        <v>2740.207</v>
      </c>
      <c r="Q36" s="258" t="n">
        <v>3630.317</v>
      </c>
      <c r="R36" s="258" t="n">
        <v>7640.423</v>
      </c>
      <c r="S36" s="258" t="n">
        <v>4747.063</v>
      </c>
      <c r="T36" s="258" t="n">
        <v>4771.989</v>
      </c>
      <c r="U36" s="258" t="n">
        <v>7393.62</v>
      </c>
      <c r="V36" s="258" t="n">
        <v>6275.771</v>
      </c>
      <c r="W36" s="258" t="n">
        <v>3436.117</v>
      </c>
      <c r="X36" s="258" t="n">
        <v>2090.491</v>
      </c>
      <c r="Y36" s="258" t="n">
        <v>1654.286</v>
      </c>
      <c r="Z36" s="258" t="n">
        <v>2865.358</v>
      </c>
      <c r="AA36" s="258" t="n">
        <v>2736.012</v>
      </c>
      <c r="AB36" s="258" t="n">
        <v>3010.162</v>
      </c>
      <c r="AC36" s="258" t="n">
        <v>3407.676</v>
      </c>
      <c r="AD36" s="258" t="n">
        <v>3613.468</v>
      </c>
      <c r="AE36" s="258" t="n">
        <v>2190.087</v>
      </c>
      <c r="AF36" s="258" t="n">
        <v>2436.181</v>
      </c>
      <c r="AG36" s="258" t="n">
        <v>1645.729</v>
      </c>
      <c r="AH36" s="258" t="n">
        <v>2799.536</v>
      </c>
      <c r="AI36" s="258" t="n">
        <v>3650.208</v>
      </c>
      <c r="AJ36" s="258" t="n">
        <v>1815.879</v>
      </c>
    </row>
    <row r="37">
      <c r="A37" t="n">
        <v>11</v>
      </c>
      <c r="B37" t="n">
        <v>1</v>
      </c>
      <c r="G37" t="inlineStr">
        <is>
          <t>moeda</t>
        </is>
      </c>
      <c r="H37" t="inlineStr">
        <is>
          <t>A: Títulos, valores mobiliários e aplicações financeiras (BP l.19) (LP) -&gt; caixa</t>
        </is>
      </c>
      <c r="J37" t="inlineStr">
        <is>
          <t>fonte</t>
        </is>
      </c>
      <c r="K37" s="258" t="n">
        <v>0</v>
      </c>
      <c r="L37" s="258" t="n">
        <v>40</v>
      </c>
      <c r="M37" s="258" t="n">
        <v>40.168</v>
      </c>
      <c r="N37" s="258" t="n">
        <v>40.375</v>
      </c>
      <c r="O37" s="258" t="n">
        <v>2529.645</v>
      </c>
      <c r="P37" s="258" t="n">
        <v>0</v>
      </c>
      <c r="Q37" s="258" t="n">
        <v>0</v>
      </c>
      <c r="R37" s="258" t="n">
        <v>0</v>
      </c>
      <c r="S37" s="258" t="n">
        <v>0</v>
      </c>
      <c r="T37" s="258" t="n">
        <v>0</v>
      </c>
      <c r="U37" s="258" t="n">
        <v>0</v>
      </c>
      <c r="V37" s="258" t="n">
        <v>0</v>
      </c>
      <c r="W37" s="258" t="n">
        <v>0</v>
      </c>
      <c r="X37" s="258" t="n">
        <v>0</v>
      </c>
      <c r="Y37" s="258" t="n">
        <v>0</v>
      </c>
      <c r="Z37" s="258" t="n">
        <v>0</v>
      </c>
      <c r="AA37" s="258" t="n">
        <v>0</v>
      </c>
      <c r="AB37" s="258" t="n">
        <v>0</v>
      </c>
      <c r="AC37" s="258" t="n">
        <v>0</v>
      </c>
      <c r="AD37" s="258" t="n">
        <v>0</v>
      </c>
      <c r="AE37" s="258" t="n">
        <v>0</v>
      </c>
      <c r="AF37" s="258" t="n">
        <v>2.563</v>
      </c>
      <c r="AG37" s="258" t="n">
        <v>2.584</v>
      </c>
      <c r="AH37" s="258" t="n">
        <v>2753.815</v>
      </c>
      <c r="AI37" s="258" t="n">
        <v>2612.312</v>
      </c>
      <c r="AJ37" s="258" t="n">
        <v>4014.504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A: Instrumentos financeiros derivativos (BP l.8)</t>
        </is>
      </c>
      <c r="J38" t="inlineStr">
        <is>
          <t>fonte</t>
        </is>
      </c>
      <c r="K38" s="258" t="n">
        <v>0</v>
      </c>
      <c r="L38" s="258" t="n">
        <v>0</v>
      </c>
      <c r="M38" s="258" t="n">
        <v>0</v>
      </c>
      <c r="N38" s="258" t="n">
        <v>0</v>
      </c>
      <c r="O38" s="258" t="n">
        <v>0</v>
      </c>
      <c r="P38" s="258" t="n">
        <v>0</v>
      </c>
      <c r="Q38" s="258" t="n">
        <v>0</v>
      </c>
      <c r="R38" s="258" t="n">
        <v>0</v>
      </c>
      <c r="S38" s="258" t="n">
        <v>0</v>
      </c>
      <c r="T38" s="258" t="n">
        <v>0</v>
      </c>
      <c r="U38" s="258" t="n">
        <v>0</v>
      </c>
      <c r="V38" s="258" t="n">
        <v>0</v>
      </c>
      <c r="W38" s="258" t="n">
        <v>0</v>
      </c>
      <c r="X38" s="258" t="n">
        <v>0</v>
      </c>
      <c r="Y38" s="258" t="n">
        <v>0</v>
      </c>
      <c r="Z38" s="258" t="n">
        <v>0</v>
      </c>
      <c r="AA38" s="258" t="n">
        <v>0</v>
      </c>
      <c r="AB38" s="258" t="n">
        <v>0</v>
      </c>
      <c r="AC38" s="258" t="n">
        <v>0</v>
      </c>
      <c r="AD38" s="258" t="n">
        <v>0</v>
      </c>
      <c r="AE38" s="258" t="n">
        <v>0</v>
      </c>
      <c r="AF38" s="258" t="n">
        <v>0</v>
      </c>
      <c r="AG38" s="258" t="n">
        <v>0</v>
      </c>
      <c r="AH38" s="258" t="n">
        <v>0</v>
      </c>
      <c r="AI38" s="258" t="n">
        <v>0</v>
      </c>
      <c r="AJ38" s="258" t="n">
        <v>31.224</v>
      </c>
    </row>
    <row r="39">
      <c r="A39" t="n">
        <v>12</v>
      </c>
      <c r="B39" t="n">
        <v>1</v>
      </c>
      <c r="G39" t="inlineStr">
        <is>
          <t>moeda</t>
        </is>
      </c>
      <c r="H39" t="inlineStr">
        <is>
          <t>A: Contas a receber (BP l.9)</t>
        </is>
      </c>
      <c r="J39" t="inlineStr">
        <is>
          <t>fonte</t>
        </is>
      </c>
      <c r="K39" s="258" t="n">
        <v>398.069</v>
      </c>
      <c r="L39" s="258" t="n">
        <v>376.408</v>
      </c>
      <c r="M39" s="258" t="n">
        <v>398.433</v>
      </c>
      <c r="N39" s="258" t="n">
        <v>455.421</v>
      </c>
      <c r="O39" s="258" t="n">
        <v>447.114</v>
      </c>
      <c r="P39" s="258" t="n">
        <v>550.855</v>
      </c>
      <c r="Q39" s="258" t="n">
        <v>631.554</v>
      </c>
      <c r="R39" s="258" t="n">
        <v>879.885</v>
      </c>
      <c r="S39" s="258" t="n">
        <v>1075.725</v>
      </c>
      <c r="T39" s="258" t="n">
        <v>1284.046</v>
      </c>
      <c r="U39" s="258" t="n">
        <v>1044.11</v>
      </c>
      <c r="V39" s="258" t="n">
        <v>1173.855</v>
      </c>
      <c r="W39" s="258" t="n">
        <v>1024.973</v>
      </c>
      <c r="X39" s="258" t="n">
        <v>1099.135</v>
      </c>
      <c r="Y39" s="258" t="n">
        <v>1309.929</v>
      </c>
      <c r="Z39" s="258" t="n">
        <v>1343.672</v>
      </c>
      <c r="AA39" s="258" t="n">
        <v>1541.19</v>
      </c>
      <c r="AB39" s="258" t="n">
        <v>1684.002</v>
      </c>
      <c r="AC39" s="258" t="n">
        <v>1736.952</v>
      </c>
      <c r="AD39" s="258" t="n">
        <v>1441.65</v>
      </c>
      <c r="AE39" s="258" t="n">
        <v>2183.36</v>
      </c>
      <c r="AF39" s="258" t="n">
        <v>2175.461</v>
      </c>
      <c r="AG39" s="258" t="n">
        <v>2216.498</v>
      </c>
      <c r="AH39" s="258" t="n">
        <v>1989.613</v>
      </c>
      <c r="AI39" s="258" t="n">
        <v>2172.228</v>
      </c>
      <c r="AJ39" s="258" t="n">
        <v>2293.273</v>
      </c>
    </row>
    <row r="40">
      <c r="A40" t="n">
        <v>12</v>
      </c>
      <c r="B40" t="n">
        <v>1</v>
      </c>
      <c r="G40" t="inlineStr">
        <is>
          <t>moeda</t>
        </is>
      </c>
      <c r="H40" t="inlineStr">
        <is>
          <t>A: Contas a receber (BP l.21)</t>
        </is>
      </c>
      <c r="J40" t="inlineStr">
        <is>
          <t>fonte</t>
        </is>
      </c>
      <c r="K40" s="258" t="n">
        <v>4.429</v>
      </c>
      <c r="L40" s="258" t="n">
        <v>3.95</v>
      </c>
      <c r="M40" s="258" t="n">
        <v>3.861</v>
      </c>
      <c r="N40" s="258" t="n">
        <v>3.211</v>
      </c>
      <c r="O40" s="258" t="n">
        <v>3.266</v>
      </c>
      <c r="P40" s="258" t="n">
        <v>2.84</v>
      </c>
      <c r="Q40" s="258" t="n">
        <v>2.809</v>
      </c>
      <c r="R40" s="258" t="n">
        <v>7.182</v>
      </c>
      <c r="S40" s="258" t="n">
        <v>2.11</v>
      </c>
      <c r="T40" s="258" t="n">
        <v>1.859</v>
      </c>
      <c r="U40" s="258" t="n">
        <v>1.938</v>
      </c>
      <c r="V40" s="258" t="n">
        <v>1.879</v>
      </c>
      <c r="W40" s="258" t="n">
        <v>2.037</v>
      </c>
      <c r="X40" s="258" t="n">
        <v>1.834</v>
      </c>
      <c r="Y40" s="258" t="n">
        <v>2.373</v>
      </c>
      <c r="Z40" s="258" t="n">
        <v>1.741</v>
      </c>
      <c r="AA40" s="258" t="n">
        <v>1.46</v>
      </c>
      <c r="AB40" s="258" t="n">
        <v>0.029</v>
      </c>
      <c r="AC40" s="258" t="n">
        <v>0.032</v>
      </c>
      <c r="AD40" s="258" t="n">
        <v>0.046</v>
      </c>
      <c r="AE40" s="258" t="n">
        <v>9.952999999999999</v>
      </c>
      <c r="AF40" s="258" t="n">
        <v>10.727</v>
      </c>
      <c r="AG40" s="258" t="n">
        <v>0.051</v>
      </c>
      <c r="AH40" s="258" t="n">
        <v>0.068</v>
      </c>
      <c r="AI40" s="258" t="n">
        <v>12.356</v>
      </c>
      <c r="AJ40" s="258" t="n">
        <v>16.601</v>
      </c>
    </row>
    <row r="41">
      <c r="A41" t="n">
        <v>16</v>
      </c>
      <c r="B41" t="n">
        <v>1</v>
      </c>
      <c r="G41" t="inlineStr">
        <is>
          <t>moeda</t>
        </is>
      </c>
      <c r="H41" t="inlineStr">
        <is>
          <t>A: Veículos desativados para renovação de frota (BP l.10) (veiculos desativados p/ renovacao = seminovos a venda)</t>
        </is>
      </c>
      <c r="J41" t="inlineStr">
        <is>
          <t>fonte</t>
        </is>
      </c>
      <c r="K41" s="258" t="n">
        <v>408.928</v>
      </c>
      <c r="L41" s="258" t="n">
        <v>425.943</v>
      </c>
      <c r="M41" s="258" t="n">
        <v>161.983</v>
      </c>
      <c r="N41" s="258" t="n">
        <v>136.734</v>
      </c>
      <c r="O41" s="258" t="n">
        <v>186.615</v>
      </c>
      <c r="P41" s="258" t="n">
        <v>299.967</v>
      </c>
      <c r="Q41" s="258" t="n">
        <v>335.63</v>
      </c>
      <c r="R41" s="258" t="n">
        <v>306.031</v>
      </c>
      <c r="S41" s="258" t="n">
        <v>611.1849999999999</v>
      </c>
      <c r="T41" s="258" t="n">
        <v>636.848</v>
      </c>
      <c r="U41" s="258" t="n">
        <v>922.505</v>
      </c>
      <c r="V41" s="258" t="n">
        <v>1195.478</v>
      </c>
      <c r="W41" s="258" t="n">
        <v>923.841</v>
      </c>
      <c r="X41" s="258" t="n">
        <v>782.096</v>
      </c>
      <c r="Y41" s="258" t="n">
        <v>854.867</v>
      </c>
      <c r="Z41" s="258" t="n">
        <v>617.403</v>
      </c>
      <c r="AA41" s="258" t="n">
        <v>945.7329999999999</v>
      </c>
      <c r="AB41" s="258" t="n">
        <v>858.674</v>
      </c>
      <c r="AC41" s="258" t="n">
        <v>840.3</v>
      </c>
      <c r="AD41" s="258" t="n">
        <v>705.821</v>
      </c>
      <c r="AE41" s="258" t="n">
        <v>1224.313</v>
      </c>
      <c r="AF41" s="258" t="n">
        <v>1187.739</v>
      </c>
      <c r="AG41" s="258" t="n">
        <v>988.59</v>
      </c>
      <c r="AH41" s="258" t="n">
        <v>380.837</v>
      </c>
      <c r="AI41" s="258" t="n">
        <v>607.159</v>
      </c>
      <c r="AJ41" s="258" t="n">
        <v>669.663</v>
      </c>
    </row>
    <row r="42">
      <c r="A42" t="n">
        <v>16</v>
      </c>
      <c r="B42" t="n">
        <v>1</v>
      </c>
      <c r="G42" t="inlineStr">
        <is>
          <t>moeda</t>
        </is>
      </c>
      <c r="H42" t="inlineStr">
        <is>
          <t>A: Tributos a recuperar (BP l.11)</t>
        </is>
      </c>
      <c r="J42" t="inlineStr">
        <is>
          <t>fonte</t>
        </is>
      </c>
      <c r="K42" s="258" t="n">
        <v>16.987</v>
      </c>
      <c r="L42" s="258" t="n">
        <v>8.334</v>
      </c>
      <c r="M42" s="258" t="n">
        <v>17.765</v>
      </c>
      <c r="N42" s="258" t="n">
        <v>16.283</v>
      </c>
      <c r="O42" s="258" t="n">
        <v>15.83</v>
      </c>
      <c r="P42" s="258" t="n">
        <v>17.706</v>
      </c>
      <c r="Q42" s="258" t="n">
        <v>24.078</v>
      </c>
      <c r="R42" s="258" t="n">
        <v>34.531</v>
      </c>
      <c r="S42" s="258" t="n">
        <v>92.999</v>
      </c>
      <c r="T42" s="258" t="n">
        <v>182.98</v>
      </c>
      <c r="U42" s="258" t="n">
        <v>230.581</v>
      </c>
      <c r="V42" s="258" t="n">
        <v>22.581</v>
      </c>
      <c r="W42" s="258" t="n">
        <v>43.777</v>
      </c>
      <c r="X42" s="258" t="n">
        <v>85.86</v>
      </c>
      <c r="Y42" s="258" t="n">
        <v>121.809</v>
      </c>
      <c r="Z42" s="258" t="n">
        <v>157.114</v>
      </c>
      <c r="AA42" s="258" t="n">
        <v>164.223</v>
      </c>
      <c r="AB42" s="258" t="n">
        <v>146.941</v>
      </c>
      <c r="AC42" s="258" t="n">
        <v>194.015</v>
      </c>
      <c r="AD42" s="258" t="n">
        <v>156.839</v>
      </c>
      <c r="AE42" s="258" t="n">
        <v>150.765</v>
      </c>
      <c r="AF42" s="258" t="n">
        <v>172.111</v>
      </c>
      <c r="AG42" s="258" t="n">
        <v>173.186</v>
      </c>
      <c r="AH42" s="258" t="n">
        <v>179.03</v>
      </c>
      <c r="AI42" s="258" t="n">
        <v>172.24</v>
      </c>
      <c r="AJ42" s="258" t="n">
        <v>161.87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A: Imposto de renda e contribuição social antecipados (BP l.12)</t>
        </is>
      </c>
      <c r="J43" t="inlineStr">
        <is>
          <t>fonte</t>
        </is>
      </c>
      <c r="K43" s="258" t="n">
        <v>71.518</v>
      </c>
      <c r="L43" s="258" t="n">
        <v>70.55800000000001</v>
      </c>
      <c r="M43" s="258" t="n">
        <v>71.91500000000001</v>
      </c>
      <c r="N43" s="258" t="n">
        <v>64.32899999999999</v>
      </c>
      <c r="O43" s="258" t="n">
        <v>55.244</v>
      </c>
      <c r="P43" s="258" t="n">
        <v>49.659</v>
      </c>
      <c r="Q43" s="258" t="n">
        <v>71.745</v>
      </c>
      <c r="R43" s="258" t="n">
        <v>74.712</v>
      </c>
      <c r="S43" s="258" t="n">
        <v>87.563</v>
      </c>
      <c r="T43" s="258" t="n">
        <v>106.897</v>
      </c>
      <c r="U43" s="258" t="n">
        <v>126.995</v>
      </c>
      <c r="V43" s="258" t="n">
        <v>151.503</v>
      </c>
      <c r="W43" s="258" t="n">
        <v>141.01</v>
      </c>
      <c r="X43" s="258" t="n">
        <v>170.638</v>
      </c>
      <c r="Y43" s="258" t="n">
        <v>207.206</v>
      </c>
      <c r="Z43" s="258" t="n">
        <v>228.626</v>
      </c>
      <c r="AA43" s="258" t="n">
        <v>226.421</v>
      </c>
      <c r="AB43" s="258" t="n">
        <v>208.491</v>
      </c>
      <c r="AC43" s="258" t="n">
        <v>171.478</v>
      </c>
      <c r="AD43" s="258" t="n">
        <v>243.243</v>
      </c>
      <c r="AE43" s="258" t="n">
        <v>262.55</v>
      </c>
      <c r="AF43" s="258" t="n">
        <v>333.338</v>
      </c>
      <c r="AG43" s="258" t="n">
        <v>325.527</v>
      </c>
      <c r="AH43" s="258" t="n">
        <v>205.498</v>
      </c>
      <c r="AI43" s="258" t="n">
        <v>224.054</v>
      </c>
      <c r="AJ43" s="258" t="n">
        <v>257.089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A: Partes Relacionadas (BP l.13)</t>
        </is>
      </c>
      <c r="J44" t="inlineStr">
        <is>
          <t>fonte</t>
        </is>
      </c>
      <c r="K44" s="258" t="n">
        <v>0</v>
      </c>
      <c r="L44" s="258" t="n">
        <v>0</v>
      </c>
      <c r="M44" s="258" t="n">
        <v>0</v>
      </c>
      <c r="N44" s="258" t="n">
        <v>0</v>
      </c>
      <c r="O44" s="258" t="n">
        <v>0</v>
      </c>
      <c r="P44" s="258" t="n">
        <v>0</v>
      </c>
      <c r="Q44" s="258" t="n">
        <v>0</v>
      </c>
      <c r="R44" s="258" t="n">
        <v>0</v>
      </c>
      <c r="S44" s="258" t="n">
        <v>0</v>
      </c>
      <c r="T44" s="258" t="n">
        <v>4.749</v>
      </c>
      <c r="U44" s="258" t="n">
        <v>0</v>
      </c>
      <c r="V44" s="258" t="n">
        <v>0</v>
      </c>
      <c r="W44" s="258" t="n">
        <v>0</v>
      </c>
      <c r="X44" s="258" t="n">
        <v>0</v>
      </c>
      <c r="Y44" s="258" t="n">
        <v>0</v>
      </c>
      <c r="Z44" s="258" t="n">
        <v>0</v>
      </c>
      <c r="AA44" s="258" t="n">
        <v>0</v>
      </c>
      <c r="AB44" s="258" t="n">
        <v>0</v>
      </c>
      <c r="AC44" s="258" t="n">
        <v>0</v>
      </c>
      <c r="AD44" s="258" t="n">
        <v>4.961</v>
      </c>
      <c r="AE44" s="258" t="n">
        <v>0</v>
      </c>
      <c r="AF44" s="258" t="n">
        <v>0</v>
      </c>
      <c r="AG44" s="258" t="n">
        <v>0</v>
      </c>
      <c r="AH44" s="258" t="n">
        <v>0.621</v>
      </c>
      <c r="AI44" s="258" t="n">
        <v>8.253</v>
      </c>
      <c r="AJ44" s="258" t="n">
        <v>2.522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A: Outros créditos e adiantamentos (BP l.14)</t>
        </is>
      </c>
      <c r="J45" t="inlineStr">
        <is>
          <t>fonte</t>
        </is>
      </c>
      <c r="K45" s="258" t="n">
        <v>76.675</v>
      </c>
      <c r="L45" s="258" t="n">
        <v>47.447</v>
      </c>
      <c r="M45" s="258" t="n">
        <v>34.765</v>
      </c>
      <c r="N45" s="258" t="n">
        <v>14.928</v>
      </c>
      <c r="O45" s="258" t="n">
        <v>79.816</v>
      </c>
      <c r="P45" s="258" t="n">
        <v>65.377</v>
      </c>
      <c r="Q45" s="258" t="n">
        <v>78.35599999999999</v>
      </c>
      <c r="R45" s="258" t="n">
        <v>65.346</v>
      </c>
      <c r="S45" s="258" t="n">
        <v>165.952</v>
      </c>
      <c r="T45" s="258" t="n">
        <v>155.56</v>
      </c>
      <c r="U45" s="258" t="n">
        <v>112.154</v>
      </c>
      <c r="V45" s="258" t="n">
        <v>69.313</v>
      </c>
      <c r="W45" s="258" t="n">
        <v>264.915</v>
      </c>
      <c r="X45" s="258" t="n">
        <v>261.563</v>
      </c>
      <c r="Y45" s="258" t="n">
        <v>241.5569999999995</v>
      </c>
      <c r="Z45" s="258" t="n">
        <v>83.75799999999933</v>
      </c>
      <c r="AA45" s="258" t="n">
        <v>238.7569999999992</v>
      </c>
      <c r="AB45" s="258" t="n">
        <v>283.7369999999999</v>
      </c>
      <c r="AC45" s="258" t="n">
        <v>211.2090000000002</v>
      </c>
      <c r="AD45" s="258" t="n">
        <v>106.9969999999994</v>
      </c>
      <c r="AE45" s="258" t="n">
        <v>394.8749999999991</v>
      </c>
      <c r="AF45" s="258" t="n">
        <v>307.3450000000008</v>
      </c>
      <c r="AG45" s="258" t="n">
        <v>239.8249999999992</v>
      </c>
      <c r="AH45" s="258" t="n">
        <v>176.1650000000001</v>
      </c>
      <c r="AI45" s="258" t="n">
        <v>393.0810000000017</v>
      </c>
      <c r="AJ45" s="258" t="n">
        <v>303.444</v>
      </c>
    </row>
    <row r="46">
      <c r="A46" t="n">
        <v>22</v>
      </c>
      <c r="B46" t="n">
        <v>1</v>
      </c>
      <c r="G46" t="inlineStr">
        <is>
          <t>moeda</t>
        </is>
      </c>
      <c r="H46" t="inlineStr">
        <is>
          <t>A: Instrumentos financeiros derivativos (BP l.20)</t>
        </is>
      </c>
      <c r="J46" t="inlineStr">
        <is>
          <t>fonte</t>
        </is>
      </c>
      <c r="K46" s="258" t="n">
        <v>11.159</v>
      </c>
      <c r="L46" s="258" t="n">
        <v>29.812</v>
      </c>
      <c r="M46" s="258" t="n">
        <v>55.183</v>
      </c>
      <c r="N46" s="258" t="n">
        <v>44.105</v>
      </c>
      <c r="O46" s="258" t="n">
        <v>59.057</v>
      </c>
      <c r="P46" s="258" t="n">
        <v>37.708</v>
      </c>
      <c r="Q46" s="258" t="n">
        <v>41.686</v>
      </c>
      <c r="R46" s="258" t="n">
        <v>38.781</v>
      </c>
      <c r="S46" s="258" t="n">
        <v>35.66</v>
      </c>
      <c r="T46" s="258" t="n">
        <v>33.572</v>
      </c>
      <c r="U46" s="258" t="n">
        <v>128.624</v>
      </c>
      <c r="V46" s="258" t="n">
        <v>85.43899999999999</v>
      </c>
      <c r="W46" s="258" t="n">
        <v>33.296</v>
      </c>
      <c r="X46" s="258" t="n">
        <v>56.445</v>
      </c>
      <c r="Y46" s="258" t="n">
        <v>2.145</v>
      </c>
      <c r="Z46" s="258" t="n">
        <v>2.44</v>
      </c>
      <c r="AA46" s="258" t="n">
        <v>0</v>
      </c>
      <c r="AB46" s="258" t="n">
        <v>467.871</v>
      </c>
      <c r="AC46" s="258" t="n">
        <v>484.887</v>
      </c>
      <c r="AD46" s="258" t="n">
        <v>1032.263</v>
      </c>
      <c r="AE46" s="258" t="n">
        <v>643.506</v>
      </c>
      <c r="AF46" s="258" t="n">
        <v>0</v>
      </c>
      <c r="AG46" s="258" t="n">
        <v>0</v>
      </c>
      <c r="AH46" s="258" t="n">
        <v>14.3</v>
      </c>
      <c r="AI46" s="258" t="n">
        <v>25.256</v>
      </c>
      <c r="AJ46" s="258" t="n">
        <v>7.299</v>
      </c>
    </row>
    <row r="47">
      <c r="A47" t="n">
        <v>22</v>
      </c>
      <c r="B47" t="n">
        <v>1</v>
      </c>
      <c r="G47" t="inlineStr">
        <is>
          <t>moeda</t>
        </is>
      </c>
      <c r="H47" t="inlineStr">
        <is>
          <t>A: Tributos a recuperar (BP l.22)</t>
        </is>
      </c>
      <c r="J47" t="inlineStr">
        <is>
          <t>fonte</t>
        </is>
      </c>
      <c r="K47" s="258" t="n">
        <v>28.793</v>
      </c>
      <c r="L47" s="258" t="n">
        <v>53.096</v>
      </c>
      <c r="M47" s="258" t="n">
        <v>50.135</v>
      </c>
      <c r="N47" s="258" t="n">
        <v>37.029</v>
      </c>
      <c r="O47" s="258" t="n">
        <v>37.65</v>
      </c>
      <c r="P47" s="258" t="n">
        <v>26.315</v>
      </c>
      <c r="Q47" s="258" t="n">
        <v>26.489</v>
      </c>
      <c r="R47" s="258" t="n">
        <v>26.436</v>
      </c>
      <c r="S47" s="258" t="n">
        <v>26.512</v>
      </c>
      <c r="T47" s="258" t="n">
        <v>18.06</v>
      </c>
      <c r="U47" s="258" t="n">
        <v>18.394</v>
      </c>
      <c r="V47" s="258" t="n">
        <v>243.041</v>
      </c>
      <c r="W47" s="258" t="n">
        <v>204.527</v>
      </c>
      <c r="X47" s="258" t="n">
        <v>177.877</v>
      </c>
      <c r="Y47" s="258" t="n">
        <v>165.813</v>
      </c>
      <c r="Z47" s="258" t="n">
        <v>150.633</v>
      </c>
      <c r="AA47" s="258" t="n">
        <v>177.981</v>
      </c>
      <c r="AB47" s="258" t="n">
        <v>185.881</v>
      </c>
      <c r="AC47" s="258" t="n">
        <v>208.874</v>
      </c>
      <c r="AD47" s="258" t="n">
        <v>226.337</v>
      </c>
      <c r="AE47" s="258" t="n">
        <v>237.554</v>
      </c>
      <c r="AF47" s="258" t="n">
        <v>280.173</v>
      </c>
      <c r="AG47" s="258" t="n">
        <v>336.214</v>
      </c>
      <c r="AH47" s="258" t="n">
        <v>374.496</v>
      </c>
      <c r="AI47" s="258" t="n">
        <v>413.394</v>
      </c>
      <c r="AJ47" s="258" t="n">
        <v>418.113</v>
      </c>
    </row>
    <row r="48">
      <c r="A48" t="n">
        <v>22</v>
      </c>
      <c r="B48" t="n">
        <v>1</v>
      </c>
      <c r="G48" t="inlineStr">
        <is>
          <t>moeda</t>
        </is>
      </c>
      <c r="H48" t="inlineStr">
        <is>
          <t>A: Depósitos judiciais (BP l.23)</t>
        </is>
      </c>
      <c r="J48" t="inlineStr">
        <is>
          <t>fonte</t>
        </is>
      </c>
      <c r="K48" s="258" t="n">
        <v>6.501</v>
      </c>
      <c r="L48" s="258" t="n">
        <v>7.057</v>
      </c>
      <c r="M48" s="258" t="n">
        <v>6.679</v>
      </c>
      <c r="N48" s="258" t="n">
        <v>6.495</v>
      </c>
      <c r="O48" s="258" t="n">
        <v>6.039</v>
      </c>
      <c r="P48" s="258" t="n">
        <v>5.975</v>
      </c>
      <c r="Q48" s="258" t="n">
        <v>6.426</v>
      </c>
      <c r="R48" s="258" t="n">
        <v>6.46</v>
      </c>
      <c r="S48" s="258" t="n">
        <v>8.053000000000001</v>
      </c>
      <c r="T48" s="258" t="n">
        <v>8.904999999999999</v>
      </c>
      <c r="U48" s="258" t="n">
        <v>10.266</v>
      </c>
      <c r="V48" s="258" t="n">
        <v>11.491</v>
      </c>
      <c r="W48" s="258" t="n">
        <v>12.176</v>
      </c>
      <c r="X48" s="258" t="n">
        <v>13.269</v>
      </c>
      <c r="Y48" s="258" t="n">
        <v>16.583</v>
      </c>
      <c r="Z48" s="258" t="n">
        <v>16.86</v>
      </c>
      <c r="AA48" s="258" t="n">
        <v>17.922</v>
      </c>
      <c r="AB48" s="258" t="n">
        <v>18.511</v>
      </c>
      <c r="AC48" s="258" t="n">
        <v>19.457</v>
      </c>
      <c r="AD48" s="258" t="n">
        <v>19.72</v>
      </c>
      <c r="AE48" s="258" t="n">
        <v>20.223</v>
      </c>
      <c r="AF48" s="258" t="n">
        <v>20.721</v>
      </c>
      <c r="AG48" s="258" t="n">
        <v>21.308</v>
      </c>
      <c r="AH48" s="258" t="n">
        <v>22.31</v>
      </c>
      <c r="AI48" s="258" t="n">
        <v>23.647</v>
      </c>
      <c r="AJ48" s="258" t="n">
        <v>24.92</v>
      </c>
    </row>
    <row r="49">
      <c r="A49" t="n">
        <v>22</v>
      </c>
      <c r="B49" t="n">
        <v>1</v>
      </c>
      <c r="G49" t="inlineStr">
        <is>
          <t>moeda</t>
        </is>
      </c>
      <c r="H49" t="inlineStr">
        <is>
          <t>A: Imposto de renda e contribuição social diferidos (BP l.24)</t>
        </is>
      </c>
      <c r="J49" t="inlineStr">
        <is>
          <t>fonte</t>
        </is>
      </c>
      <c r="K49" s="258" t="n">
        <v>95.152</v>
      </c>
      <c r="L49" s="258" t="n">
        <v>101.28</v>
      </c>
      <c r="M49" s="258" t="n">
        <v>95.913</v>
      </c>
      <c r="N49" s="258" t="n">
        <v>109.502</v>
      </c>
      <c r="O49" s="258" t="n">
        <v>122.934</v>
      </c>
      <c r="P49" s="258" t="n">
        <v>144.684</v>
      </c>
      <c r="Q49" s="258" t="n">
        <v>206.605</v>
      </c>
      <c r="R49" s="258" t="n">
        <v>154.427</v>
      </c>
      <c r="S49" s="258" t="n">
        <v>161.246</v>
      </c>
      <c r="T49" s="258" t="n">
        <v>178.263</v>
      </c>
      <c r="U49" s="258" t="n">
        <v>217.971</v>
      </c>
      <c r="V49" s="258" t="n">
        <v>311.237</v>
      </c>
      <c r="W49" s="258" t="n">
        <v>483.887</v>
      </c>
      <c r="X49" s="258" t="n">
        <v>437.441</v>
      </c>
      <c r="Y49" s="258" t="n">
        <v>451.312</v>
      </c>
      <c r="Z49" s="258" t="n">
        <v>513.9450000000001</v>
      </c>
      <c r="AA49" s="258" t="n">
        <v>544.5599999999999</v>
      </c>
      <c r="AB49" s="258" t="n">
        <v>605.66</v>
      </c>
      <c r="AC49" s="258" t="n">
        <v>646.026</v>
      </c>
      <c r="AD49" s="258" t="n">
        <v>63.188</v>
      </c>
      <c r="AE49" s="258" t="n">
        <v>0.308</v>
      </c>
      <c r="AF49" s="258" t="n">
        <v>0.308</v>
      </c>
      <c r="AG49" s="258" t="n">
        <v>0.379</v>
      </c>
      <c r="AH49" s="258" t="n">
        <v>0.484</v>
      </c>
      <c r="AI49" s="258" t="n">
        <v>0.59</v>
      </c>
      <c r="AJ49" s="258" t="n">
        <v>1.307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A: Ativos mantidos para distribuição aos acionistas (BP l.25)</t>
        </is>
      </c>
      <c r="J50" t="inlineStr">
        <is>
          <t>fonte</t>
        </is>
      </c>
      <c r="K50" s="258" t="n">
        <v>0</v>
      </c>
      <c r="L50" s="258" t="n">
        <v>0</v>
      </c>
      <c r="M50" s="258" t="n">
        <v>0</v>
      </c>
      <c r="N50" s="258" t="n">
        <v>0</v>
      </c>
      <c r="O50" s="258" t="n">
        <v>0</v>
      </c>
      <c r="P50" s="258" t="n">
        <v>0</v>
      </c>
      <c r="Q50" s="258" t="n">
        <v>0</v>
      </c>
      <c r="R50" s="258" t="n">
        <v>0</v>
      </c>
      <c r="S50" s="258" t="n">
        <v>0</v>
      </c>
      <c r="T50" s="258" t="n">
        <v>0</v>
      </c>
      <c r="U50" s="258" t="n">
        <v>0</v>
      </c>
      <c r="V50" s="258" t="n">
        <v>0</v>
      </c>
      <c r="W50" s="258" t="n">
        <v>0</v>
      </c>
      <c r="X50" s="258" t="n">
        <v>0</v>
      </c>
      <c r="Y50" s="258" t="n">
        <v>0</v>
      </c>
      <c r="Z50" s="258" t="n">
        <v>0</v>
      </c>
      <c r="AA50" s="258" t="n">
        <v>0</v>
      </c>
      <c r="AB50" s="258" t="n">
        <v>0</v>
      </c>
      <c r="AC50" s="258" t="n">
        <v>0</v>
      </c>
      <c r="AD50" s="258" t="n">
        <v>0</v>
      </c>
      <c r="AE50" s="258" t="n">
        <v>0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A: Imposto de renda e contribuição social a recuperar (BP l.26)</t>
        </is>
      </c>
      <c r="J51" t="inlineStr">
        <is>
          <t>fonte</t>
        </is>
      </c>
      <c r="K51" s="258" t="n">
        <v>0</v>
      </c>
      <c r="L51" s="258" t="n">
        <v>0</v>
      </c>
      <c r="M51" s="258" t="n">
        <v>0</v>
      </c>
      <c r="N51" s="258" t="n">
        <v>0</v>
      </c>
      <c r="O51" s="258" t="n">
        <v>0</v>
      </c>
      <c r="P51" s="258" t="n">
        <v>0</v>
      </c>
      <c r="Q51" s="258" t="n">
        <v>0</v>
      </c>
      <c r="R51" s="258" t="n">
        <v>4.851</v>
      </c>
      <c r="S51" s="258" t="n">
        <v>4.851</v>
      </c>
      <c r="T51" s="258" t="n">
        <v>4.851</v>
      </c>
      <c r="U51" s="258" t="n">
        <v>4.851</v>
      </c>
      <c r="V51" s="258" t="n">
        <v>4.851</v>
      </c>
      <c r="W51" s="258" t="n">
        <v>4.851</v>
      </c>
      <c r="X51" s="258" t="n">
        <v>4.851</v>
      </c>
      <c r="Y51" s="258" t="n">
        <v>4.851</v>
      </c>
      <c r="Z51" s="258" t="n">
        <v>4.851</v>
      </c>
      <c r="AA51" s="258" t="n">
        <v>0</v>
      </c>
      <c r="AB51" s="258" t="n">
        <v>0</v>
      </c>
      <c r="AC51" s="258" t="n">
        <v>0</v>
      </c>
      <c r="AD51" s="258" t="n">
        <v>0</v>
      </c>
      <c r="AE51" s="258" t="n">
        <v>0</v>
      </c>
      <c r="AF51" s="258" t="n">
        <v>0</v>
      </c>
      <c r="AG51" s="258" t="n">
        <v>0</v>
      </c>
      <c r="AH51" s="258" t="n">
        <v>144.48</v>
      </c>
      <c r="AI51" s="258" t="n">
        <v>144.48</v>
      </c>
      <c r="AJ51" s="258" t="n">
        <v>144.48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A: Partes relacionadas (BP l.27)</t>
        </is>
      </c>
      <c r="J52" t="inlineStr">
        <is>
          <t>fonte</t>
        </is>
      </c>
      <c r="K52" s="258" t="n">
        <v>0</v>
      </c>
      <c r="L52" s="258" t="n">
        <v>0</v>
      </c>
      <c r="M52" s="258" t="n">
        <v>0</v>
      </c>
      <c r="N52" s="258" t="n">
        <v>0</v>
      </c>
      <c r="O52" s="258" t="n">
        <v>0</v>
      </c>
      <c r="P52" s="258" t="n">
        <v>0</v>
      </c>
      <c r="Q52" s="258" t="n">
        <v>0</v>
      </c>
      <c r="R52" s="258" t="n">
        <v>0</v>
      </c>
      <c r="S52" s="258" t="n">
        <v>0</v>
      </c>
      <c r="T52" s="258" t="n">
        <v>0</v>
      </c>
      <c r="U52" s="258" t="n">
        <v>0</v>
      </c>
      <c r="V52" s="258" t="n">
        <v>0</v>
      </c>
      <c r="W52" s="258" t="n">
        <v>0</v>
      </c>
      <c r="X52" s="258" t="n">
        <v>0</v>
      </c>
      <c r="Y52" s="258" t="n">
        <v>0</v>
      </c>
      <c r="Z52" s="258" t="n">
        <v>0</v>
      </c>
      <c r="AA52" s="258" t="n">
        <v>0</v>
      </c>
      <c r="AB52" s="258" t="n">
        <v>0</v>
      </c>
      <c r="AC52" s="258" t="n">
        <v>0</v>
      </c>
      <c r="AD52" s="258" t="n">
        <v>0</v>
      </c>
      <c r="AE52" s="258" t="n">
        <v>0</v>
      </c>
      <c r="AF52" s="258" t="n">
        <v>0</v>
      </c>
      <c r="AG52" s="258" t="n">
        <v>0</v>
      </c>
      <c r="AH52" s="258" t="n">
        <v>0</v>
      </c>
      <c r="AI52" s="258" t="n">
        <v>0</v>
      </c>
      <c r="AJ52" s="258" t="n">
        <v>0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A: Outros créditos e adiantamentos (BP l.28)</t>
        </is>
      </c>
      <c r="J53" t="inlineStr">
        <is>
          <t>fonte</t>
        </is>
      </c>
      <c r="K53" s="258" t="n">
        <v>0</v>
      </c>
      <c r="L53" s="258" t="n">
        <v>0</v>
      </c>
      <c r="M53" s="258" t="n">
        <v>0</v>
      </c>
      <c r="N53" s="258" t="n">
        <v>0</v>
      </c>
      <c r="O53" s="258" t="n">
        <v>0</v>
      </c>
      <c r="P53" s="258" t="n">
        <v>0</v>
      </c>
      <c r="Q53" s="258" t="n">
        <v>9.612</v>
      </c>
      <c r="R53" s="258" t="n">
        <v>14.494</v>
      </c>
      <c r="S53" s="258" t="n">
        <v>16.19</v>
      </c>
      <c r="T53" s="258" t="n">
        <v>33.844</v>
      </c>
      <c r="U53" s="258" t="n">
        <v>294.199</v>
      </c>
      <c r="V53" s="258" t="n">
        <v>19.597</v>
      </c>
      <c r="W53" s="258" t="n">
        <v>17.098</v>
      </c>
      <c r="X53" s="258" t="n">
        <v>17.539</v>
      </c>
      <c r="Y53" s="258" t="n">
        <v>18.482</v>
      </c>
      <c r="Z53" s="258" t="n">
        <v>24.964</v>
      </c>
      <c r="AA53" s="258" t="n">
        <v>23.681</v>
      </c>
      <c r="AB53" s="258" t="n">
        <v>34.747</v>
      </c>
      <c r="AC53" s="258" t="n">
        <v>20.389</v>
      </c>
      <c r="AD53" s="258" t="n">
        <v>25.752</v>
      </c>
      <c r="AE53" s="258" t="n">
        <v>26.3</v>
      </c>
      <c r="AF53" s="258" t="n">
        <v>27.615</v>
      </c>
      <c r="AG53" s="258" t="n">
        <v>32.873</v>
      </c>
      <c r="AH53" s="258" t="n">
        <v>31.422</v>
      </c>
      <c r="AI53" s="258" t="n">
        <v>26.283</v>
      </c>
      <c r="AJ53" s="258" t="n">
        <v>28.052</v>
      </c>
    </row>
    <row r="54">
      <c r="A54" t="n">
        <v>17</v>
      </c>
      <c r="B54" t="n">
        <v>1</v>
      </c>
      <c r="G54" t="inlineStr">
        <is>
          <t>moeda</t>
        </is>
      </c>
      <c r="H54" t="inlineStr">
        <is>
          <t>A: Investimentos (BP l.31)</t>
        </is>
      </c>
      <c r="J54" t="inlineStr">
        <is>
          <t>fonte</t>
        </is>
      </c>
      <c r="K54" s="258" t="n">
        <v>1.118</v>
      </c>
      <c r="L54" s="258" t="n">
        <v>1.127</v>
      </c>
      <c r="M54" s="258" t="n">
        <v>1.233</v>
      </c>
      <c r="N54" s="258" t="n">
        <v>1.239</v>
      </c>
      <c r="O54" s="258" t="n">
        <v>1.985</v>
      </c>
      <c r="P54" s="258" t="n">
        <v>2.141</v>
      </c>
      <c r="Q54" s="258" t="n">
        <v>1.202</v>
      </c>
      <c r="R54" s="258" t="n">
        <v>1.191</v>
      </c>
      <c r="S54" s="258" t="n">
        <v>1.188</v>
      </c>
      <c r="T54" s="258" t="n">
        <v>1.139</v>
      </c>
      <c r="U54" s="258" t="n">
        <v>1.107</v>
      </c>
      <c r="V54" s="258" t="n">
        <v>1.102</v>
      </c>
      <c r="W54" s="258" t="n">
        <v>1.094</v>
      </c>
      <c r="X54" s="258" t="n">
        <v>1.113</v>
      </c>
      <c r="Y54" s="258" t="n">
        <v>0.676</v>
      </c>
      <c r="Z54" s="258" t="n">
        <v>1.142</v>
      </c>
      <c r="AA54" s="258" t="n">
        <v>0.612</v>
      </c>
      <c r="AB54" s="258" t="n">
        <v>0.589</v>
      </c>
      <c r="AC54" s="258" t="n">
        <v>0.5620000000000001</v>
      </c>
      <c r="AD54" s="258" t="n">
        <v>0.5620000000000001</v>
      </c>
      <c r="AE54" s="258" t="n">
        <v>0.5620000000000001</v>
      </c>
      <c r="AF54" s="258" t="n">
        <v>0</v>
      </c>
      <c r="AG54" s="258" t="n">
        <v>18.175</v>
      </c>
      <c r="AH54" s="258" t="n">
        <v>19.697</v>
      </c>
      <c r="AI54" s="258" t="n">
        <v>20.087</v>
      </c>
      <c r="AJ54" s="258" t="n">
        <v>38.7</v>
      </c>
    </row>
    <row r="55">
      <c r="A55" t="n">
        <v>18</v>
      </c>
      <c r="B55" t="n">
        <v>1</v>
      </c>
      <c r="G55" t="inlineStr">
        <is>
          <t>moeda</t>
        </is>
      </c>
      <c r="H55" t="inlineStr">
        <is>
          <t>A: Imobilizado (BP l.32)</t>
        </is>
      </c>
      <c r="J55" t="inlineStr">
        <is>
          <t>fonte</t>
        </is>
      </c>
      <c r="K55" s="258" t="n">
        <v>5005.772</v>
      </c>
      <c r="L55" s="258" t="n">
        <v>4468.999</v>
      </c>
      <c r="M55" s="258" t="n">
        <v>5036.472</v>
      </c>
      <c r="N55" s="258" t="n">
        <v>5738.753</v>
      </c>
      <c r="O55" s="258" t="n">
        <v>6358.238</v>
      </c>
      <c r="P55" s="258" t="n">
        <v>7287.437</v>
      </c>
      <c r="Q55" s="258" t="n">
        <v>9856.907999999999</v>
      </c>
      <c r="R55" s="258" t="n">
        <v>12140.029</v>
      </c>
      <c r="S55" s="258" t="n">
        <v>12833.83</v>
      </c>
      <c r="T55" s="258" t="n">
        <v>14798.069</v>
      </c>
      <c r="U55" s="258" t="n">
        <v>15290.954</v>
      </c>
      <c r="V55" s="258" t="n">
        <v>15842.199</v>
      </c>
      <c r="W55" s="258" t="n">
        <v>15303.402</v>
      </c>
      <c r="X55" s="258" t="n">
        <v>15083.106</v>
      </c>
      <c r="Y55" s="258" t="n">
        <v>16021.303</v>
      </c>
      <c r="Z55" s="258" t="n">
        <v>18637.281</v>
      </c>
      <c r="AA55" s="258" t="n">
        <v>18762.548</v>
      </c>
      <c r="AB55" s="258" t="n">
        <v>19168.4</v>
      </c>
      <c r="AC55" s="258" t="n">
        <v>19724.886</v>
      </c>
      <c r="AD55" s="258" t="n">
        <v>21912.952</v>
      </c>
      <c r="AE55" s="258" t="n">
        <v>20671.846</v>
      </c>
      <c r="AF55" s="258" t="n">
        <v>21464.854</v>
      </c>
      <c r="AG55" s="258" t="n">
        <v>21621.948</v>
      </c>
      <c r="AH55" s="258" t="n">
        <v>24160.768</v>
      </c>
      <c r="AI55" s="258" t="n">
        <v>23242.795</v>
      </c>
      <c r="AJ55" s="258" t="n">
        <v>25078.365</v>
      </c>
    </row>
    <row r="56">
      <c r="A56" t="n">
        <v>21</v>
      </c>
      <c r="B56" t="n">
        <v>1</v>
      </c>
      <c r="G56" t="inlineStr">
        <is>
          <t>moeda</t>
        </is>
      </c>
      <c r="H56" t="inlineStr">
        <is>
          <t>A: Intangível (BP l.33)</t>
        </is>
      </c>
      <c r="J56" t="inlineStr">
        <is>
          <t>fonte</t>
        </is>
      </c>
      <c r="K56" s="258" t="n">
        <v>115.979</v>
      </c>
      <c r="L56" s="258" t="n">
        <v>126.124</v>
      </c>
      <c r="M56" s="258" t="n">
        <v>135.161</v>
      </c>
      <c r="N56" s="258" t="n">
        <v>141.716</v>
      </c>
      <c r="O56" s="258" t="n">
        <v>156.288</v>
      </c>
      <c r="P56" s="258" t="n">
        <v>157.252</v>
      </c>
      <c r="Q56" s="258" t="n">
        <v>168.4</v>
      </c>
      <c r="R56" s="258" t="n">
        <v>175.044</v>
      </c>
      <c r="S56" s="258" t="n">
        <v>181.788</v>
      </c>
      <c r="T56" s="258" t="n">
        <v>200.519</v>
      </c>
      <c r="U56" s="258" t="n">
        <v>210.136</v>
      </c>
      <c r="V56" s="258" t="n">
        <v>287.792</v>
      </c>
      <c r="W56" s="258" t="n">
        <v>298.068</v>
      </c>
      <c r="X56" s="258" t="n">
        <v>299.325</v>
      </c>
      <c r="Y56" s="258" t="n">
        <v>304.534</v>
      </c>
      <c r="Z56" s="258" t="n">
        <v>336.311</v>
      </c>
      <c r="AA56" s="258" t="n">
        <v>329.214</v>
      </c>
      <c r="AB56" s="258" t="n">
        <v>335.703</v>
      </c>
      <c r="AC56" s="258" t="n">
        <v>339.4</v>
      </c>
      <c r="AD56" s="258" t="n">
        <v>342.163</v>
      </c>
      <c r="AE56" s="258" t="n">
        <v>348.058</v>
      </c>
      <c r="AF56" s="258" t="n">
        <v>353.536</v>
      </c>
      <c r="AG56" s="258" t="n">
        <v>347.501</v>
      </c>
      <c r="AH56" s="258" t="n">
        <v>350.075</v>
      </c>
      <c r="AI56" s="258" t="n">
        <v>357.283</v>
      </c>
      <c r="AJ56" s="258" t="n">
        <v>384.741</v>
      </c>
    </row>
    <row r="57">
      <c r="A57" t="n">
        <v>23</v>
      </c>
      <c r="B57" t="n">
        <v>1</v>
      </c>
      <c r="G57" t="inlineStr">
        <is>
          <t>moeda</t>
        </is>
      </c>
      <c r="H57" t="inlineStr">
        <is>
          <t>P: Fornecedores (BP l.41)</t>
        </is>
      </c>
      <c r="J57" t="inlineStr">
        <is>
          <t>fonte</t>
        </is>
      </c>
      <c r="K57" s="258" t="n">
        <v>1479.83</v>
      </c>
      <c r="L57" s="258" t="n">
        <v>727.1849999999999</v>
      </c>
      <c r="M57" s="258" t="n">
        <v>1142.946</v>
      </c>
      <c r="N57" s="258" t="n">
        <v>1172.715</v>
      </c>
      <c r="O57" s="258" t="n">
        <v>945.486</v>
      </c>
      <c r="P57" s="258" t="n">
        <v>1343.416</v>
      </c>
      <c r="Q57" s="258" t="n">
        <v>1360.476</v>
      </c>
      <c r="R57" s="258" t="n">
        <v>2316.752</v>
      </c>
      <c r="S57" s="258" t="n">
        <v>1725.608</v>
      </c>
      <c r="T57" s="258" t="n">
        <v>2454.363</v>
      </c>
      <c r="U57" s="258" t="n">
        <v>1654.353</v>
      </c>
      <c r="V57" s="258" t="n">
        <v>2264.908</v>
      </c>
      <c r="W57" s="258" t="n">
        <v>1063.365</v>
      </c>
      <c r="X57" s="258" t="n">
        <v>928.577</v>
      </c>
      <c r="Y57" s="258" t="n">
        <v>2091.418</v>
      </c>
      <c r="Z57" s="258" t="n">
        <v>4751.328</v>
      </c>
      <c r="AA57" s="258" t="n">
        <v>4072.857</v>
      </c>
      <c r="AB57" s="258" t="n">
        <v>3641.977</v>
      </c>
      <c r="AC57" s="258" t="n">
        <v>3717.829</v>
      </c>
      <c r="AD57" s="258" t="n">
        <v>5318.16</v>
      </c>
      <c r="AE57" s="258" t="n">
        <v>3497.195</v>
      </c>
      <c r="AF57" s="258" t="n">
        <v>4481.643</v>
      </c>
      <c r="AG57" s="258" t="n">
        <v>4425.851</v>
      </c>
      <c r="AH57" s="258" t="n">
        <v>5854.754</v>
      </c>
      <c r="AI57" s="258" t="n">
        <v>5026.274</v>
      </c>
      <c r="AJ57" s="258" t="n">
        <v>5451.752</v>
      </c>
    </row>
    <row r="58">
      <c r="A58" t="n">
        <v>27</v>
      </c>
      <c r="B58" t="n">
        <v>1</v>
      </c>
      <c r="G58" t="inlineStr">
        <is>
          <t>moeda</t>
        </is>
      </c>
      <c r="H58" t="inlineStr">
        <is>
          <t>P: Risco sacado a pagar - Confirming (BP l.42) (risco sacado -&gt; divida)</t>
        </is>
      </c>
      <c r="J58" t="inlineStr">
        <is>
          <t>fonte</t>
        </is>
      </c>
      <c r="K58" s="258" t="n">
        <v>56.874</v>
      </c>
      <c r="L58" s="258" t="n">
        <v>518.343</v>
      </c>
      <c r="M58" s="258" t="n">
        <v>230.026</v>
      </c>
      <c r="N58" s="258" t="n">
        <v>149.252</v>
      </c>
      <c r="O58" s="258" t="n">
        <v>0</v>
      </c>
      <c r="P58" s="258" t="n">
        <v>0</v>
      </c>
      <c r="Q58" s="258" t="n">
        <v>0</v>
      </c>
      <c r="R58" s="258" t="n">
        <v>0</v>
      </c>
      <c r="S58" s="258" t="n">
        <v>0</v>
      </c>
      <c r="T58" s="258" t="n">
        <v>0</v>
      </c>
      <c r="U58" s="258" t="n">
        <v>0</v>
      </c>
      <c r="V58" s="258" t="n">
        <v>41.601</v>
      </c>
      <c r="W58" s="258" t="n">
        <v>47.757</v>
      </c>
      <c r="X58" s="258" t="n">
        <v>23.771</v>
      </c>
      <c r="Y58" s="258" t="n">
        <v>55.124</v>
      </c>
      <c r="Z58" s="258" t="n">
        <v>62.293</v>
      </c>
      <c r="AA58" s="258" t="n">
        <v>49.956</v>
      </c>
      <c r="AB58" s="258" t="n">
        <v>24.946</v>
      </c>
      <c r="AC58" s="258" t="n">
        <v>60.997</v>
      </c>
      <c r="AD58" s="258" t="n">
        <v>30.34</v>
      </c>
      <c r="AE58" s="258" t="n">
        <v>0</v>
      </c>
      <c r="AF58" s="258" t="n">
        <v>27.194</v>
      </c>
      <c r="AG58" s="258" t="n">
        <v>48.935</v>
      </c>
      <c r="AH58" s="258" t="n">
        <v>17.576</v>
      </c>
      <c r="AI58" s="258" t="n">
        <v>0</v>
      </c>
      <c r="AJ58" s="258" t="n">
        <v>11.036</v>
      </c>
    </row>
    <row r="59">
      <c r="A59" t="n">
        <v>27</v>
      </c>
      <c r="B59" t="n">
        <v>1</v>
      </c>
      <c r="G59" t="inlineStr">
        <is>
          <t>moeda</t>
        </is>
      </c>
      <c r="H59" t="inlineStr">
        <is>
          <t>P: Empréstimos e Financiamentos (BP l.43)</t>
        </is>
      </c>
      <c r="J59" t="inlineStr">
        <is>
          <t>fonte</t>
        </is>
      </c>
      <c r="K59" s="258" t="n">
        <v>351.328</v>
      </c>
      <c r="L59" s="258" t="n">
        <v>326.963</v>
      </c>
      <c r="M59" s="258" t="n">
        <v>375.428</v>
      </c>
      <c r="N59" s="258" t="n">
        <v>526.634</v>
      </c>
      <c r="O59" s="258" t="n">
        <v>202.627</v>
      </c>
      <c r="P59" s="258" t="n">
        <v>144.797</v>
      </c>
      <c r="Q59" s="258" t="n">
        <v>131.123</v>
      </c>
      <c r="R59" s="258" t="n">
        <v>250.031</v>
      </c>
      <c r="S59" s="258" t="n">
        <v>232.205</v>
      </c>
      <c r="T59" s="258" t="n">
        <v>399.408</v>
      </c>
      <c r="U59" s="258" t="n">
        <v>309.723</v>
      </c>
      <c r="V59" s="258" t="n">
        <v>425.795</v>
      </c>
      <c r="W59" s="258" t="n">
        <v>311.48</v>
      </c>
      <c r="X59" s="258" t="n">
        <v>389.227</v>
      </c>
      <c r="Y59" s="258" t="n">
        <v>287.914</v>
      </c>
      <c r="Z59" s="258" t="n">
        <v>431.962</v>
      </c>
      <c r="AA59" s="258" t="n">
        <v>625.9450000000001</v>
      </c>
      <c r="AB59" s="258" t="n">
        <v>771.895</v>
      </c>
      <c r="AC59" s="258" t="n">
        <v>647.933</v>
      </c>
      <c r="AD59" s="258" t="n">
        <v>679.9299999999999</v>
      </c>
      <c r="AE59" s="258" t="n">
        <v>1008.567</v>
      </c>
      <c r="AF59" s="258" t="n">
        <v>1166.512</v>
      </c>
      <c r="AG59" s="258" t="n">
        <v>1185.419</v>
      </c>
      <c r="AH59" s="258" t="n">
        <v>2729.452</v>
      </c>
      <c r="AI59" s="258" t="n">
        <v>1201.488</v>
      </c>
      <c r="AJ59" s="258" t="n">
        <v>863.001</v>
      </c>
    </row>
    <row r="60">
      <c r="A60" t="n">
        <v>27</v>
      </c>
      <c r="B60" t="n">
        <v>1</v>
      </c>
      <c r="G60" t="inlineStr">
        <is>
          <t>moeda</t>
        </is>
      </c>
      <c r="H60" t="inlineStr">
        <is>
          <t>P: Debêntures (BP l.44)</t>
        </is>
      </c>
      <c r="J60" t="inlineStr">
        <is>
          <t>fonte</t>
        </is>
      </c>
      <c r="K60" s="258" t="n">
        <v>229.757</v>
      </c>
      <c r="L60" s="258" t="n">
        <v>399.197</v>
      </c>
      <c r="M60" s="258" t="n">
        <v>338.291</v>
      </c>
      <c r="N60" s="258" t="n">
        <v>376.684</v>
      </c>
      <c r="O60" s="258" t="n">
        <v>337.22</v>
      </c>
      <c r="P60" s="258" t="n">
        <v>348.829</v>
      </c>
      <c r="Q60" s="258" t="n">
        <v>346.61</v>
      </c>
      <c r="R60" s="258" t="n">
        <v>367.288</v>
      </c>
      <c r="S60" s="258" t="n">
        <v>463.885</v>
      </c>
      <c r="T60" s="258" t="n">
        <v>605.824</v>
      </c>
      <c r="U60" s="258" t="n">
        <v>819.177</v>
      </c>
      <c r="V60" s="258" t="n">
        <v>1460.404</v>
      </c>
      <c r="W60" s="258" t="n">
        <v>627.537</v>
      </c>
      <c r="X60" s="258" t="n">
        <v>421.691</v>
      </c>
      <c r="Y60" s="258" t="n">
        <v>340.875</v>
      </c>
      <c r="Z60" s="258" t="n">
        <v>642.13</v>
      </c>
      <c r="AA60" s="258" t="n">
        <v>658.6180000000001</v>
      </c>
      <c r="AB60" s="258" t="n">
        <v>339.809</v>
      </c>
      <c r="AC60" s="258" t="n">
        <v>862.485</v>
      </c>
      <c r="AD60" s="258" t="n">
        <v>1462.496</v>
      </c>
      <c r="AE60" s="258" t="n">
        <v>1472.019</v>
      </c>
      <c r="AF60" s="258" t="n">
        <v>1970.251</v>
      </c>
      <c r="AG60" s="258" t="n">
        <v>2314.25</v>
      </c>
      <c r="AH60" s="258" t="n">
        <v>1325.514</v>
      </c>
      <c r="AI60" s="258" t="n">
        <v>1988.969</v>
      </c>
      <c r="AJ60" s="258" t="n">
        <v>1854.274</v>
      </c>
    </row>
    <row r="61">
      <c r="A61" t="n">
        <v>27</v>
      </c>
      <c r="B61" t="n">
        <v>1</v>
      </c>
      <c r="G61" t="inlineStr">
        <is>
          <t>moeda</t>
        </is>
      </c>
      <c r="H61" t="inlineStr">
        <is>
          <t>P: Arrendamentos a pagar a instituições financeiras (BP l.49) (arrendamento c/ instituicoes financeiras -&gt; divida)</t>
        </is>
      </c>
      <c r="J61" t="inlineStr">
        <is>
          <t>fonte</t>
        </is>
      </c>
      <c r="K61" s="258" t="n">
        <v>0</v>
      </c>
      <c r="L61" s="258" t="n">
        <v>0</v>
      </c>
      <c r="M61" s="258" t="n">
        <v>0</v>
      </c>
      <c r="N61" s="258" t="n">
        <v>0</v>
      </c>
      <c r="O61" s="258" t="n">
        <v>0</v>
      </c>
      <c r="P61" s="258" t="n">
        <v>0</v>
      </c>
      <c r="Q61" s="258" t="n">
        <v>45.233</v>
      </c>
      <c r="R61" s="258" t="n">
        <v>37.731</v>
      </c>
      <c r="S61" s="258" t="n">
        <v>25.728</v>
      </c>
      <c r="T61" s="258" t="n">
        <v>20.198</v>
      </c>
      <c r="U61" s="258" t="n">
        <v>12.727</v>
      </c>
      <c r="V61" s="258" t="n">
        <v>19.636</v>
      </c>
      <c r="W61" s="258" t="n">
        <v>55.97</v>
      </c>
      <c r="X61" s="258" t="n">
        <v>55.259</v>
      </c>
      <c r="Y61" s="258" t="n">
        <v>53.272</v>
      </c>
      <c r="Z61" s="258" t="n">
        <v>51.732</v>
      </c>
      <c r="AA61" s="258" t="n">
        <v>49.56</v>
      </c>
      <c r="AB61" s="258" t="n">
        <v>52.432</v>
      </c>
      <c r="AC61" s="258" t="n">
        <v>68.746</v>
      </c>
      <c r="AD61" s="258" t="n">
        <v>66.83199999999999</v>
      </c>
      <c r="AE61" s="258" t="n">
        <v>61.717</v>
      </c>
      <c r="AF61" s="258" t="n">
        <v>68.33199999999999</v>
      </c>
      <c r="AG61" s="258" t="n">
        <v>79.33799999999999</v>
      </c>
      <c r="AH61" s="258" t="n">
        <v>69.79600000000001</v>
      </c>
      <c r="AI61" s="258" t="n">
        <v>58.652</v>
      </c>
      <c r="AJ61" s="258" t="n">
        <v>53.971</v>
      </c>
    </row>
    <row r="62">
      <c r="A62" t="n">
        <v>26</v>
      </c>
      <c r="B62" t="n">
        <v>1</v>
      </c>
      <c r="G62" t="inlineStr">
        <is>
          <t>moeda</t>
        </is>
      </c>
      <c r="H62" t="inlineStr">
        <is>
          <t>P: Instrumentos financeiros derivativos (BP l.45)</t>
        </is>
      </c>
      <c r="J62" t="inlineStr">
        <is>
          <t>fonte</t>
        </is>
      </c>
      <c r="K62" s="258" t="n">
        <v>0</v>
      </c>
      <c r="L62" s="258" t="n">
        <v>0</v>
      </c>
      <c r="M62" s="258" t="n">
        <v>0</v>
      </c>
      <c r="N62" s="258" t="n">
        <v>0</v>
      </c>
      <c r="O62" s="258" t="n">
        <v>0</v>
      </c>
      <c r="P62" s="258" t="n">
        <v>0</v>
      </c>
      <c r="Q62" s="258" t="n">
        <v>0</v>
      </c>
      <c r="R62" s="258" t="n">
        <v>270.875</v>
      </c>
      <c r="S62" s="258" t="n">
        <v>429.027</v>
      </c>
      <c r="T62" s="258" t="n">
        <v>470.643</v>
      </c>
      <c r="U62" s="258" t="n">
        <v>535.922</v>
      </c>
      <c r="V62" s="258" t="n">
        <v>547.115</v>
      </c>
      <c r="W62" s="258" t="n">
        <v>504.087</v>
      </c>
      <c r="X62" s="258" t="n">
        <v>420.84</v>
      </c>
      <c r="Y62" s="258" t="n">
        <v>266.898</v>
      </c>
      <c r="Z62" s="258" t="n">
        <v>83.247</v>
      </c>
      <c r="AA62" s="258" t="n">
        <v>130.793</v>
      </c>
      <c r="AB62" s="258" t="n">
        <v>187.616</v>
      </c>
      <c r="AC62" s="258" t="n">
        <v>227.258</v>
      </c>
      <c r="AD62" s="258" t="n">
        <v>251.555</v>
      </c>
      <c r="AE62" s="258" t="n">
        <v>311.279</v>
      </c>
      <c r="AF62" s="258" t="n">
        <v>339.117</v>
      </c>
      <c r="AG62" s="258" t="n">
        <v>393.63</v>
      </c>
      <c r="AH62" s="258" t="n">
        <v>295.773</v>
      </c>
      <c r="AI62" s="258" t="n">
        <v>368.145</v>
      </c>
      <c r="AJ62" s="258" t="n">
        <v>348.537</v>
      </c>
    </row>
    <row r="63">
      <c r="A63" t="n">
        <v>26</v>
      </c>
      <c r="B63" t="n">
        <v>1</v>
      </c>
      <c r="G63" t="inlineStr">
        <is>
          <t>moeda</t>
        </is>
      </c>
      <c r="H63" t="inlineStr">
        <is>
          <t>P: Cessão de direitos creditórios (BP l.46) (cessao de direitos creditorios)</t>
        </is>
      </c>
      <c r="J63" t="inlineStr">
        <is>
          <t>fonte</t>
        </is>
      </c>
      <c r="K63" s="258" t="n">
        <v>0</v>
      </c>
      <c r="L63" s="258" t="n">
        <v>0</v>
      </c>
      <c r="M63" s="258" t="n">
        <v>0</v>
      </c>
      <c r="N63" s="258" t="n">
        <v>0</v>
      </c>
      <c r="O63" s="258" t="n">
        <v>0</v>
      </c>
      <c r="P63" s="258" t="n">
        <v>0</v>
      </c>
      <c r="Q63" s="258" t="n">
        <v>0</v>
      </c>
      <c r="R63" s="258" t="n">
        <v>0</v>
      </c>
      <c r="S63" s="258" t="n">
        <v>0</v>
      </c>
      <c r="T63" s="258" t="n">
        <v>0</v>
      </c>
      <c r="U63" s="258" t="n">
        <v>0</v>
      </c>
      <c r="V63" s="258" t="n">
        <v>426.364</v>
      </c>
      <c r="W63" s="258" t="n">
        <v>452.162</v>
      </c>
      <c r="X63" s="258" t="n">
        <v>293.687</v>
      </c>
      <c r="Y63" s="258" t="n">
        <v>142.204</v>
      </c>
      <c r="Z63" s="258" t="n">
        <v>810.009</v>
      </c>
      <c r="AA63" s="258" t="n">
        <v>1402.928</v>
      </c>
      <c r="AB63" s="258" t="n">
        <v>1432.311</v>
      </c>
      <c r="AC63" s="258" t="n">
        <v>932.516</v>
      </c>
      <c r="AD63" s="258" t="n">
        <v>816.439</v>
      </c>
      <c r="AE63" s="258" t="n">
        <v>1178.763</v>
      </c>
      <c r="AF63" s="258" t="n">
        <v>1052.64</v>
      </c>
      <c r="AG63" s="258" t="n">
        <v>1430.292</v>
      </c>
      <c r="AH63" s="258" t="n">
        <v>1372.275</v>
      </c>
      <c r="AI63" s="258" t="n">
        <v>1167.327</v>
      </c>
      <c r="AJ63" s="258" t="n">
        <v>1020.727</v>
      </c>
    </row>
    <row r="64">
      <c r="A64" t="n">
        <v>26</v>
      </c>
      <c r="B64" t="n">
        <v>1</v>
      </c>
      <c r="G64" t="inlineStr">
        <is>
          <t>moeda</t>
        </is>
      </c>
      <c r="H64" t="inlineStr">
        <is>
          <t>P: Consórcio a pagar (BP l.47)</t>
        </is>
      </c>
      <c r="J64" t="inlineStr">
        <is>
          <t>fonte</t>
        </is>
      </c>
      <c r="K64" s="258" t="n">
        <v>0</v>
      </c>
      <c r="L64" s="258" t="n">
        <v>0</v>
      </c>
      <c r="M64" s="258" t="n">
        <v>0</v>
      </c>
      <c r="N64" s="258" t="n">
        <v>0</v>
      </c>
      <c r="O64" s="258" t="n">
        <v>0</v>
      </c>
      <c r="P64" s="258" t="n">
        <v>0</v>
      </c>
      <c r="Q64" s="258" t="n">
        <v>0</v>
      </c>
      <c r="R64" s="258" t="n">
        <v>0</v>
      </c>
      <c r="S64" s="258" t="n">
        <v>0</v>
      </c>
      <c r="T64" s="258" t="n">
        <v>0</v>
      </c>
      <c r="U64" s="258" t="n">
        <v>0</v>
      </c>
      <c r="V64" s="258" t="n">
        <v>0</v>
      </c>
      <c r="W64" s="258" t="n">
        <v>0</v>
      </c>
      <c r="X64" s="258" t="n">
        <v>0</v>
      </c>
      <c r="Y64" s="258" t="n">
        <v>0</v>
      </c>
      <c r="Z64" s="258" t="n">
        <v>0</v>
      </c>
      <c r="AA64" s="258" t="n">
        <v>0</v>
      </c>
      <c r="AB64" s="258" t="n">
        <v>0</v>
      </c>
      <c r="AC64" s="258" t="n">
        <v>0</v>
      </c>
      <c r="AD64" s="258" t="n">
        <v>0</v>
      </c>
      <c r="AE64" s="258" t="n">
        <v>14.086</v>
      </c>
      <c r="AF64" s="258" t="n">
        <v>16.388</v>
      </c>
      <c r="AG64" s="258" t="n">
        <v>14.001</v>
      </c>
      <c r="AH64" s="258" t="n">
        <v>11.7290000000012</v>
      </c>
      <c r="AI64" s="258" t="n">
        <v>9.23</v>
      </c>
      <c r="AJ64" s="258" t="n">
        <v>7.085</v>
      </c>
    </row>
    <row r="65">
      <c r="A65" t="n">
        <v>26</v>
      </c>
      <c r="B65" t="n">
        <v>1</v>
      </c>
      <c r="G65" t="inlineStr">
        <is>
          <t>moeda</t>
        </is>
      </c>
      <c r="H65" t="inlineStr">
        <is>
          <t>P: Aquisição de empresas a pagar (BP l.50)</t>
        </is>
      </c>
      <c r="J65" t="inlineStr">
        <is>
          <t>fonte</t>
        </is>
      </c>
      <c r="K65" s="258" t="n">
        <v>0</v>
      </c>
      <c r="L65" s="258" t="n">
        <v>0</v>
      </c>
      <c r="M65" s="258" t="n">
        <v>0</v>
      </c>
      <c r="N65" s="258" t="n">
        <v>0</v>
      </c>
      <c r="O65" s="258" t="n">
        <v>0</v>
      </c>
      <c r="P65" s="258" t="n">
        <v>0</v>
      </c>
      <c r="Q65" s="258" t="n">
        <v>9.473000000000001</v>
      </c>
      <c r="R65" s="258" t="n">
        <v>9.473000000000001</v>
      </c>
      <c r="S65" s="258" t="n">
        <v>0</v>
      </c>
      <c r="T65" s="258" t="n">
        <v>0</v>
      </c>
      <c r="U65" s="258" t="n">
        <v>24.882</v>
      </c>
      <c r="V65" s="258" t="n">
        <v>39.189</v>
      </c>
      <c r="W65" s="258" t="n">
        <v>14.307</v>
      </c>
      <c r="X65" s="258" t="n">
        <v>14.307</v>
      </c>
      <c r="Y65" s="258" t="n">
        <v>12.991</v>
      </c>
      <c r="Z65" s="258" t="n">
        <v>12.991</v>
      </c>
      <c r="AA65" s="258" t="n">
        <v>12.991</v>
      </c>
      <c r="AB65" s="258" t="n">
        <v>12.991</v>
      </c>
      <c r="AC65" s="258" t="n">
        <v>12.991</v>
      </c>
      <c r="AD65" s="258" t="n">
        <v>12.991</v>
      </c>
      <c r="AE65" s="258" t="n">
        <v>0</v>
      </c>
      <c r="AF65" s="258" t="n">
        <v>4.854</v>
      </c>
      <c r="AG65" s="258" t="n">
        <v>18.025</v>
      </c>
      <c r="AH65" s="258" t="n">
        <v>18.2</v>
      </c>
      <c r="AI65" s="258" t="n">
        <v>13.322</v>
      </c>
      <c r="AJ65" s="258" t="n">
        <v>15.349</v>
      </c>
    </row>
    <row r="66">
      <c r="A66" t="n">
        <v>26</v>
      </c>
      <c r="B66" t="n">
        <v>1</v>
      </c>
      <c r="G66" t="inlineStr">
        <is>
          <t>moeda</t>
        </is>
      </c>
      <c r="H66" t="inlineStr">
        <is>
          <t>P: Imposto de renda e contribuição social a recolher (BP l.53)</t>
        </is>
      </c>
      <c r="J66" t="inlineStr">
        <is>
          <t>fonte</t>
        </is>
      </c>
      <c r="K66" s="258" t="n">
        <v>1.334</v>
      </c>
      <c r="L66" s="258" t="n">
        <v>0.996</v>
      </c>
      <c r="M66" s="258" t="n">
        <v>0.161</v>
      </c>
      <c r="N66" s="258" t="n">
        <v>3.935</v>
      </c>
      <c r="O66" s="258" t="n">
        <v>0.838</v>
      </c>
      <c r="P66" s="258" t="n">
        <v>26.853</v>
      </c>
      <c r="Q66" s="258" t="n">
        <v>18.835</v>
      </c>
      <c r="R66" s="258" t="n">
        <v>1.769</v>
      </c>
      <c r="S66" s="258" t="n">
        <v>0</v>
      </c>
      <c r="T66" s="258" t="n">
        <v>0</v>
      </c>
      <c r="U66" s="258" t="n">
        <v>0</v>
      </c>
      <c r="V66" s="258" t="n">
        <v>0</v>
      </c>
      <c r="W66" s="258" t="n">
        <v>0.312</v>
      </c>
      <c r="X66" s="258" t="n">
        <v>0.533</v>
      </c>
      <c r="Y66" s="258" t="n">
        <v>4.109</v>
      </c>
      <c r="Z66" s="258" t="n">
        <v>0.489</v>
      </c>
      <c r="AA66" s="258" t="n">
        <v>1.239</v>
      </c>
      <c r="AB66" s="258" t="n">
        <v>1.204</v>
      </c>
      <c r="AC66" s="258" t="n">
        <v>1.204</v>
      </c>
      <c r="AD66" s="258" t="n">
        <v>1.2</v>
      </c>
      <c r="AE66" s="258" t="n">
        <v>1.204</v>
      </c>
      <c r="AF66" s="258" t="n">
        <v>1.204</v>
      </c>
      <c r="AG66" s="258" t="n">
        <v>0</v>
      </c>
      <c r="AH66" s="258" t="n">
        <v>0</v>
      </c>
      <c r="AI66" s="258" t="n">
        <v>0</v>
      </c>
      <c r="AJ66" s="258" t="n">
        <v>0</v>
      </c>
    </row>
    <row r="67">
      <c r="A67" t="n">
        <v>26</v>
      </c>
      <c r="B67" t="n">
        <v>1</v>
      </c>
      <c r="G67" t="inlineStr">
        <is>
          <t>moeda</t>
        </is>
      </c>
      <c r="H67" t="inlineStr">
        <is>
          <t>P: Dividendos e juros sobre capital próprio a pagar (BP l.54)</t>
        </is>
      </c>
      <c r="J67" t="inlineStr">
        <is>
          <t>fonte</t>
        </is>
      </c>
      <c r="K67" s="258" t="n">
        <v>33.792</v>
      </c>
      <c r="L67" s="258" t="n">
        <v>33.803</v>
      </c>
      <c r="M67" s="258" t="n">
        <v>33.803</v>
      </c>
      <c r="N67" s="258" t="n">
        <v>37.4</v>
      </c>
      <c r="O67" s="258" t="n">
        <v>60.35</v>
      </c>
      <c r="P67" s="258" t="n">
        <v>81.58499999999999</v>
      </c>
      <c r="Q67" s="258" t="n">
        <v>46.242</v>
      </c>
      <c r="R67" s="258" t="n">
        <v>130.121</v>
      </c>
      <c r="S67" s="258" t="n">
        <v>137.516</v>
      </c>
      <c r="T67" s="258" t="n">
        <v>90.77500000000001</v>
      </c>
      <c r="U67" s="258" t="n">
        <v>91.41800000000001</v>
      </c>
      <c r="V67" s="258" t="n">
        <v>138.2</v>
      </c>
      <c r="W67" s="258" t="n">
        <v>90.688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55.05</v>
      </c>
      <c r="AE67" s="258" t="n">
        <v>55.05</v>
      </c>
      <c r="AF67" s="258" t="n">
        <v>0</v>
      </c>
      <c r="AG67" s="258" t="n">
        <v>0</v>
      </c>
      <c r="AH67" s="258" t="n">
        <v>216.75</v>
      </c>
      <c r="AI67" s="258" t="n">
        <v>216.75</v>
      </c>
      <c r="AJ67" s="258" t="n">
        <v>216.75</v>
      </c>
    </row>
    <row r="68">
      <c r="A68" t="n">
        <v>26</v>
      </c>
      <c r="B68" t="n">
        <v>1</v>
      </c>
      <c r="G68" t="inlineStr">
        <is>
          <t>moeda</t>
        </is>
      </c>
      <c r="H68" t="inlineStr">
        <is>
          <t>P: Partes relacionadas (BP l.55)</t>
        </is>
      </c>
      <c r="J68" t="inlineStr">
        <is>
          <t>fonte</t>
        </is>
      </c>
      <c r="K68" s="258" t="n">
        <v>0</v>
      </c>
      <c r="L68" s="258" t="n">
        <v>0</v>
      </c>
      <c r="M68" s="258" t="n">
        <v>0</v>
      </c>
      <c r="N68" s="258" t="n">
        <v>0</v>
      </c>
      <c r="O68" s="258" t="n">
        <v>0</v>
      </c>
      <c r="P68" s="258" t="n">
        <v>0</v>
      </c>
      <c r="Q68" s="258" t="n">
        <v>0</v>
      </c>
      <c r="R68" s="258" t="n">
        <v>0</v>
      </c>
      <c r="S68" s="258" t="n">
        <v>0</v>
      </c>
      <c r="T68" s="258" t="n">
        <v>0</v>
      </c>
      <c r="U68" s="258" t="n">
        <v>0</v>
      </c>
      <c r="V68" s="258" t="n">
        <v>0</v>
      </c>
      <c r="W68" s="258" t="n">
        <v>0</v>
      </c>
      <c r="X68" s="258" t="n">
        <v>0</v>
      </c>
      <c r="Y68" s="258" t="n">
        <v>0</v>
      </c>
      <c r="Z68" s="258" t="n">
        <v>0</v>
      </c>
      <c r="AA68" s="258" t="n">
        <v>0</v>
      </c>
      <c r="AB68" s="258" t="n">
        <v>0</v>
      </c>
      <c r="AC68" s="258" t="n">
        <v>0</v>
      </c>
      <c r="AD68" s="258" t="n">
        <v>0</v>
      </c>
      <c r="AE68" s="258" t="n">
        <v>0</v>
      </c>
      <c r="AF68" s="258" t="n">
        <v>0</v>
      </c>
      <c r="AG68" s="258" t="n">
        <v>0</v>
      </c>
      <c r="AH68" s="258" t="n">
        <v>0</v>
      </c>
      <c r="AI68" s="258" t="n">
        <v>0</v>
      </c>
      <c r="AJ68" s="258" t="n">
        <v>0</v>
      </c>
    </row>
    <row r="69">
      <c r="A69" t="n">
        <v>26</v>
      </c>
      <c r="B69" t="n">
        <v>1</v>
      </c>
      <c r="G69" t="inlineStr">
        <is>
          <t>moeda</t>
        </is>
      </c>
      <c r="H69" t="inlineStr">
        <is>
          <t>P: Outras contas a pagar e adiantamentos (BP l.56)</t>
        </is>
      </c>
      <c r="J69" t="inlineStr">
        <is>
          <t>fonte</t>
        </is>
      </c>
      <c r="K69" s="258" t="n">
        <v>70.36499999999999</v>
      </c>
      <c r="L69" s="258" t="n">
        <v>70.16500000000001</v>
      </c>
      <c r="M69" s="258" t="n">
        <v>76.785</v>
      </c>
      <c r="N69" s="258" t="n">
        <v>73.253</v>
      </c>
      <c r="O69" s="258" t="n">
        <v>123.439</v>
      </c>
      <c r="P69" s="258" t="n">
        <v>111.532</v>
      </c>
      <c r="Q69" s="258" t="n">
        <v>157.735</v>
      </c>
      <c r="R69" s="258" t="n">
        <v>172.3</v>
      </c>
      <c r="S69" s="258" t="n">
        <v>184.616</v>
      </c>
      <c r="T69" s="258" t="n">
        <v>216.587</v>
      </c>
      <c r="U69" s="258" t="n">
        <v>199.89</v>
      </c>
      <c r="V69" s="258" t="n">
        <v>224.551</v>
      </c>
      <c r="W69" s="258" t="n">
        <v>257.841</v>
      </c>
      <c r="X69" s="258" t="n">
        <v>201.239</v>
      </c>
      <c r="Y69" s="258" t="n">
        <v>312.76</v>
      </c>
      <c r="Z69" s="258" t="n">
        <v>226.182</v>
      </c>
      <c r="AA69" s="258" t="n">
        <v>350.501</v>
      </c>
      <c r="AB69" s="258" t="n">
        <v>370.778</v>
      </c>
      <c r="AC69" s="258" t="n">
        <v>325.435</v>
      </c>
      <c r="AD69" s="258" t="n">
        <v>159.781</v>
      </c>
      <c r="AE69" s="258" t="n">
        <v>396.097</v>
      </c>
      <c r="AF69" s="258" t="n">
        <v>305.263</v>
      </c>
      <c r="AG69" s="258" t="n">
        <v>270.345</v>
      </c>
      <c r="AH69" s="258" t="n">
        <v>319.191</v>
      </c>
      <c r="AI69" s="258" t="n">
        <v>233.057</v>
      </c>
      <c r="AJ69" s="258" t="n">
        <v>224.54</v>
      </c>
    </row>
    <row r="70">
      <c r="A70" t="n">
        <v>29</v>
      </c>
      <c r="B70" t="n">
        <v>1</v>
      </c>
      <c r="G70" t="inlineStr">
        <is>
          <t>moeda</t>
        </is>
      </c>
      <c r="H70" t="inlineStr">
        <is>
          <t>P: Arrendamento por direito de uso (BP l.48) (IFRS16 -&gt; cod 29)</t>
        </is>
      </c>
      <c r="J70" t="inlineStr">
        <is>
          <t>fonte</t>
        </is>
      </c>
      <c r="K70" s="258" t="n">
        <v>51.973</v>
      </c>
      <c r="L70" s="258" t="n">
        <v>47.027</v>
      </c>
      <c r="M70" s="258" t="n">
        <v>46.636</v>
      </c>
      <c r="N70" s="258" t="n">
        <v>44.244</v>
      </c>
      <c r="O70" s="258" t="n">
        <v>61.994</v>
      </c>
      <c r="P70" s="258" t="n">
        <v>67.678</v>
      </c>
      <c r="Q70" s="258" t="n">
        <v>84.414</v>
      </c>
      <c r="R70" s="258" t="n">
        <v>103.044</v>
      </c>
      <c r="S70" s="258" t="n">
        <v>108.267</v>
      </c>
      <c r="T70" s="258" t="n">
        <v>119.982</v>
      </c>
      <c r="U70" s="258" t="n">
        <v>134.853</v>
      </c>
      <c r="V70" s="258" t="n">
        <v>137.485</v>
      </c>
      <c r="W70" s="258" t="n">
        <v>133.72</v>
      </c>
      <c r="X70" s="258" t="n">
        <v>132.466</v>
      </c>
      <c r="Y70" s="258" t="n">
        <v>140.545</v>
      </c>
      <c r="Z70" s="258" t="n">
        <v>155.635</v>
      </c>
      <c r="AA70" s="258" t="n">
        <v>159.147</v>
      </c>
      <c r="AB70" s="258" t="n">
        <v>171.944</v>
      </c>
      <c r="AC70" s="258" t="n">
        <v>180.835</v>
      </c>
      <c r="AD70" s="258" t="n">
        <v>167.348</v>
      </c>
      <c r="AE70" s="258" t="n">
        <v>153.154</v>
      </c>
      <c r="AF70" s="258" t="n">
        <v>174.068</v>
      </c>
      <c r="AG70" s="258" t="n">
        <v>180.979</v>
      </c>
      <c r="AH70" s="258" t="n">
        <v>177.918</v>
      </c>
      <c r="AI70" s="258" t="n">
        <v>177.143</v>
      </c>
      <c r="AJ70" s="258" t="n">
        <v>200.687</v>
      </c>
    </row>
    <row r="71">
      <c r="A71" t="n">
        <v>24</v>
      </c>
      <c r="B71" t="n">
        <v>1</v>
      </c>
      <c r="G71" t="inlineStr">
        <is>
          <t>moeda</t>
        </is>
      </c>
      <c r="H71" t="inlineStr">
        <is>
          <t>P: Obrigações trabalhistas e sociais (BP l.51)</t>
        </is>
      </c>
      <c r="J71" t="inlineStr">
        <is>
          <t>fonte</t>
        </is>
      </c>
      <c r="K71" s="258" t="n">
        <v>45.811</v>
      </c>
      <c r="L71" s="258" t="n">
        <v>48.565</v>
      </c>
      <c r="M71" s="258" t="n">
        <v>51.318</v>
      </c>
      <c r="N71" s="258" t="n">
        <v>50.475</v>
      </c>
      <c r="O71" s="258" t="n">
        <v>60.032</v>
      </c>
      <c r="P71" s="258" t="n">
        <v>70.925</v>
      </c>
      <c r="Q71" s="258" t="n">
        <v>73.60899999999999</v>
      </c>
      <c r="R71" s="258" t="n">
        <v>66.977</v>
      </c>
      <c r="S71" s="258" t="n">
        <v>80.682</v>
      </c>
      <c r="T71" s="258" t="n">
        <v>75.78700000000001</v>
      </c>
      <c r="U71" s="258" t="n">
        <v>92.79000000000001</v>
      </c>
      <c r="V71" s="258" t="n">
        <v>106.456</v>
      </c>
      <c r="W71" s="258" t="n">
        <v>129.605</v>
      </c>
      <c r="X71" s="258" t="n">
        <v>136.441</v>
      </c>
      <c r="Y71" s="258" t="n">
        <v>151.666</v>
      </c>
      <c r="Z71" s="258" t="n">
        <v>155.655</v>
      </c>
      <c r="AA71" s="258" t="n">
        <v>142.042</v>
      </c>
      <c r="AB71" s="258" t="n">
        <v>120.107</v>
      </c>
      <c r="AC71" s="258" t="n">
        <v>116.491</v>
      </c>
      <c r="AD71" s="258" t="n">
        <v>97.953</v>
      </c>
      <c r="AE71" s="258" t="n">
        <v>95.866</v>
      </c>
      <c r="AF71" s="258" t="n">
        <v>111.777</v>
      </c>
      <c r="AG71" s="258" t="n">
        <v>124.925</v>
      </c>
      <c r="AH71" s="258" t="n">
        <v>114.327</v>
      </c>
      <c r="AI71" s="258" t="n">
        <v>127.308</v>
      </c>
      <c r="AJ71" s="258" t="n">
        <v>126.412</v>
      </c>
    </row>
    <row r="72">
      <c r="A72" t="n">
        <v>25</v>
      </c>
      <c r="B72" t="n">
        <v>1</v>
      </c>
      <c r="G72" t="inlineStr">
        <is>
          <t>moeda</t>
        </is>
      </c>
      <c r="H72" t="inlineStr">
        <is>
          <t>P: Tributos a recolher (BP l.52)</t>
        </is>
      </c>
      <c r="J72" t="inlineStr">
        <is>
          <t>fonte</t>
        </is>
      </c>
      <c r="K72" s="258" t="n">
        <v>6.168</v>
      </c>
      <c r="L72" s="258" t="n">
        <v>11.296</v>
      </c>
      <c r="M72" s="258" t="n">
        <v>8.423</v>
      </c>
      <c r="N72" s="258" t="n">
        <v>13.644</v>
      </c>
      <c r="O72" s="258" t="n">
        <v>14.888</v>
      </c>
      <c r="P72" s="258" t="n">
        <v>20.693</v>
      </c>
      <c r="Q72" s="258" t="n">
        <v>22.33</v>
      </c>
      <c r="R72" s="258" t="n">
        <v>24.832</v>
      </c>
      <c r="S72" s="258" t="n">
        <v>25.379</v>
      </c>
      <c r="T72" s="258" t="n">
        <v>41.63</v>
      </c>
      <c r="U72" s="258" t="n">
        <v>25.26</v>
      </c>
      <c r="V72" s="258" t="n">
        <v>64.331</v>
      </c>
      <c r="W72" s="258" t="n">
        <v>38.35</v>
      </c>
      <c r="X72" s="258" t="n">
        <v>34.271</v>
      </c>
      <c r="Y72" s="258" t="n">
        <v>54.344</v>
      </c>
      <c r="Z72" s="258" t="n">
        <v>71.372</v>
      </c>
      <c r="AA72" s="258" t="n">
        <v>103.155</v>
      </c>
      <c r="AB72" s="258" t="n">
        <v>71.063</v>
      </c>
      <c r="AC72" s="258" t="n">
        <v>119.799</v>
      </c>
      <c r="AD72" s="258" t="n">
        <v>132.506</v>
      </c>
      <c r="AE72" s="258" t="n">
        <v>130.947</v>
      </c>
      <c r="AF72" s="258" t="n">
        <v>119.656</v>
      </c>
      <c r="AG72" s="258" t="n">
        <v>108.833</v>
      </c>
      <c r="AH72" s="258" t="n">
        <v>163.739</v>
      </c>
      <c r="AI72" s="258" t="n">
        <v>116.802</v>
      </c>
      <c r="AJ72" s="258" t="n">
        <v>85.66500000000001</v>
      </c>
    </row>
    <row r="73">
      <c r="A73" t="n">
        <v>30</v>
      </c>
      <c r="B73" t="n">
        <v>1</v>
      </c>
      <c r="G73" t="inlineStr">
        <is>
          <t>moeda</t>
        </is>
      </c>
      <c r="H73" t="inlineStr">
        <is>
          <t>P: Empréstimos e Financiamentos (BP l.62)</t>
        </is>
      </c>
      <c r="J73" t="inlineStr">
        <is>
          <t>fonte</t>
        </is>
      </c>
      <c r="K73" s="258" t="n">
        <v>417.286</v>
      </c>
      <c r="L73" s="258" t="n">
        <v>704.902</v>
      </c>
      <c r="M73" s="258" t="n">
        <v>800.624</v>
      </c>
      <c r="N73" s="258" t="n">
        <v>540.043</v>
      </c>
      <c r="O73" s="258" t="n">
        <v>5964.979</v>
      </c>
      <c r="P73" s="258" t="n">
        <v>5245.917</v>
      </c>
      <c r="Q73" s="258" t="n">
        <v>7555.142</v>
      </c>
      <c r="R73" s="258" t="n">
        <v>7717.093</v>
      </c>
      <c r="S73" s="258" t="n">
        <v>6952.233</v>
      </c>
      <c r="T73" s="258" t="n">
        <v>7858.851</v>
      </c>
      <c r="U73" s="258" t="n">
        <v>8915.508</v>
      </c>
      <c r="V73" s="258" t="n">
        <v>6263.27</v>
      </c>
      <c r="W73" s="258" t="n">
        <v>5433.468</v>
      </c>
      <c r="X73" s="258" t="n">
        <v>4153.692</v>
      </c>
      <c r="Y73" s="258" t="n">
        <v>4116.906</v>
      </c>
      <c r="Z73" s="258" t="n">
        <v>4565.716</v>
      </c>
      <c r="AA73" s="258" t="n">
        <v>4396.253</v>
      </c>
      <c r="AB73" s="258" t="n">
        <v>7033.059</v>
      </c>
      <c r="AC73" s="258" t="n">
        <v>6931.241</v>
      </c>
      <c r="AD73" s="258" t="n">
        <v>7609.603</v>
      </c>
      <c r="AE73" s="258" t="n">
        <v>6961.824</v>
      </c>
      <c r="AF73" s="258" t="n">
        <v>6115.241</v>
      </c>
      <c r="AG73" s="258" t="n">
        <v>5992.965999999999</v>
      </c>
      <c r="AH73" s="258" t="n">
        <v>5032.293</v>
      </c>
      <c r="AI73" s="258" t="n">
        <v>6517.039</v>
      </c>
      <c r="AJ73" s="258" t="n">
        <v>7619.951</v>
      </c>
    </row>
    <row r="74">
      <c r="A74" t="n">
        <v>30</v>
      </c>
      <c r="B74" t="n">
        <v>1</v>
      </c>
      <c r="G74" t="inlineStr">
        <is>
          <t>moeda</t>
        </is>
      </c>
      <c r="H74" t="inlineStr">
        <is>
          <t>P: Debêntures (BP l.63)</t>
        </is>
      </c>
      <c r="J74" t="inlineStr">
        <is>
          <t>fonte</t>
        </is>
      </c>
      <c r="K74" s="258" t="n">
        <v>2083.338</v>
      </c>
      <c r="L74" s="258" t="n">
        <v>2112.39</v>
      </c>
      <c r="M74" s="258" t="n">
        <v>2107.642</v>
      </c>
      <c r="N74" s="258" t="n">
        <v>2790.801</v>
      </c>
      <c r="O74" s="258" t="n">
        <v>2238.509</v>
      </c>
      <c r="P74" s="258" t="n">
        <v>3218.501</v>
      </c>
      <c r="Q74" s="258" t="n">
        <v>5545.001</v>
      </c>
      <c r="R74" s="258" t="n">
        <v>5978.107</v>
      </c>
      <c r="S74" s="258" t="n">
        <v>5781.505</v>
      </c>
      <c r="T74" s="258" t="n">
        <v>6499.925</v>
      </c>
      <c r="U74" s="258" t="n">
        <v>9108.073</v>
      </c>
      <c r="V74" s="258" t="n">
        <v>9081.321</v>
      </c>
      <c r="W74" s="258" t="n">
        <v>8401.236000000001</v>
      </c>
      <c r="X74" s="258" t="n">
        <v>8514.138999999999</v>
      </c>
      <c r="Y74" s="258" t="n">
        <v>8396.242</v>
      </c>
      <c r="Z74" s="258" t="n">
        <v>9115.870999999999</v>
      </c>
      <c r="AA74" s="258" t="n">
        <v>9969.269</v>
      </c>
      <c r="AB74" s="258" t="n">
        <v>9232.583000000001</v>
      </c>
      <c r="AC74" s="258" t="n">
        <v>9789.137000000001</v>
      </c>
      <c r="AD74" s="258" t="n">
        <v>10090.41</v>
      </c>
      <c r="AE74" s="258" t="n">
        <v>9841.870999999999</v>
      </c>
      <c r="AF74" s="258" t="n">
        <v>9492.593999999999</v>
      </c>
      <c r="AG74" s="258" t="n">
        <v>8408.120000000001</v>
      </c>
      <c r="AH74" s="258" t="n">
        <v>12063.339</v>
      </c>
      <c r="AI74" s="258" t="n">
        <v>13211.691</v>
      </c>
      <c r="AJ74" s="258" t="n">
        <v>12706.018</v>
      </c>
    </row>
    <row r="75">
      <c r="A75" t="n">
        <v>30</v>
      </c>
      <c r="B75" t="n">
        <v>1</v>
      </c>
      <c r="G75" t="inlineStr">
        <is>
          <t>moeda</t>
        </is>
      </c>
      <c r="H75" t="inlineStr">
        <is>
          <t>P: Arrendamentos a pagar a instituições financeiras (BP l.67) (arrendamento c/ instituicoes financeiras -&gt; divida)</t>
        </is>
      </c>
      <c r="J75" t="inlineStr">
        <is>
          <t>fonte</t>
        </is>
      </c>
      <c r="K75" s="258" t="n">
        <v>0</v>
      </c>
      <c r="L75" s="258" t="n">
        <v>0</v>
      </c>
      <c r="M75" s="258" t="n">
        <v>0</v>
      </c>
      <c r="N75" s="258" t="n">
        <v>0</v>
      </c>
      <c r="O75" s="258" t="n">
        <v>0</v>
      </c>
      <c r="P75" s="258" t="n">
        <v>0</v>
      </c>
      <c r="Q75" s="258" t="n">
        <v>31.477</v>
      </c>
      <c r="R75" s="258" t="n">
        <v>7.39</v>
      </c>
      <c r="S75" s="258" t="n">
        <v>3.189</v>
      </c>
      <c r="T75" s="258" t="n">
        <v>0.077</v>
      </c>
      <c r="U75" s="258" t="n">
        <v>0.006</v>
      </c>
      <c r="V75" s="258" t="n">
        <v>0</v>
      </c>
      <c r="W75" s="258" t="n">
        <v>0</v>
      </c>
      <c r="X75" s="258" t="n">
        <v>0</v>
      </c>
      <c r="Y75" s="258" t="n">
        <v>0</v>
      </c>
      <c r="Z75" s="258" t="n">
        <v>0</v>
      </c>
      <c r="AA75" s="258" t="n">
        <v>0</v>
      </c>
      <c r="AB75" s="258" t="n">
        <v>0</v>
      </c>
      <c r="AC75" s="258" t="n">
        <v>0</v>
      </c>
      <c r="AD75" s="258" t="n">
        <v>0</v>
      </c>
      <c r="AE75" s="258" t="n">
        <v>0</v>
      </c>
      <c r="AF75" s="258" t="n">
        <v>0</v>
      </c>
      <c r="AG75" s="258" t="n">
        <v>0</v>
      </c>
      <c r="AH75" s="258" t="n">
        <v>0</v>
      </c>
      <c r="AI75" s="258" t="n">
        <v>0</v>
      </c>
      <c r="AJ75" s="258" t="n">
        <v>0</v>
      </c>
    </row>
    <row r="76">
      <c r="A76" t="n">
        <v>34</v>
      </c>
      <c r="B76" t="n">
        <v>1</v>
      </c>
      <c r="G76" t="inlineStr">
        <is>
          <t>moeda</t>
        </is>
      </c>
      <c r="H76" t="inlineStr">
        <is>
          <t>P: Instrumentos financeiros derivativos (BP l.64)</t>
        </is>
      </c>
      <c r="J76" t="inlineStr">
        <is>
          <t>fonte</t>
        </is>
      </c>
      <c r="K76" s="258" t="n">
        <v>0</v>
      </c>
      <c r="L76" s="258" t="n">
        <v>2.761</v>
      </c>
      <c r="M76" s="258" t="n">
        <v>0</v>
      </c>
      <c r="N76" s="258" t="n">
        <v>0</v>
      </c>
      <c r="O76" s="258" t="n">
        <v>167.913</v>
      </c>
      <c r="P76" s="258" t="n">
        <v>364.055</v>
      </c>
      <c r="Q76" s="258" t="n">
        <v>378.379</v>
      </c>
      <c r="R76" s="258" t="n">
        <v>102.146</v>
      </c>
      <c r="S76" s="258" t="n">
        <v>681.5069999999999</v>
      </c>
      <c r="T76" s="258" t="n">
        <v>723.6950000000001</v>
      </c>
      <c r="U76" s="258" t="n">
        <v>739.963</v>
      </c>
      <c r="V76" s="258" t="n">
        <v>908.807</v>
      </c>
      <c r="W76" s="258" t="n">
        <v>883.182</v>
      </c>
      <c r="X76" s="258" t="n">
        <v>772.673</v>
      </c>
      <c r="Y76" s="258" t="n">
        <v>727.593</v>
      </c>
      <c r="Z76" s="258" t="n">
        <v>134.859</v>
      </c>
      <c r="AA76" s="258" t="n">
        <v>100.228</v>
      </c>
      <c r="AB76" s="258" t="n">
        <v>171.977</v>
      </c>
      <c r="AC76" s="258" t="n">
        <v>184.653</v>
      </c>
      <c r="AD76" s="258" t="n">
        <v>280.859</v>
      </c>
      <c r="AE76" s="258" t="n">
        <v>258.844</v>
      </c>
      <c r="AF76" s="258" t="n">
        <v>238.753</v>
      </c>
      <c r="AG76" s="258" t="n">
        <v>424.641</v>
      </c>
      <c r="AH76" s="258" t="n">
        <v>439.028</v>
      </c>
      <c r="AI76" s="258" t="n">
        <v>617.4880000000001</v>
      </c>
      <c r="AJ76" s="258" t="n">
        <v>917.0410000000001</v>
      </c>
    </row>
    <row r="77">
      <c r="A77" t="n">
        <v>34</v>
      </c>
      <c r="B77" t="n">
        <v>1</v>
      </c>
      <c r="G77" t="inlineStr">
        <is>
          <t>moeda</t>
        </is>
      </c>
      <c r="H77" t="inlineStr">
        <is>
          <t>P: Cessão de direitos créditorios (BP l.65) (cessao de direitos creditorios)</t>
        </is>
      </c>
      <c r="J77" t="inlineStr">
        <is>
          <t>fonte</t>
        </is>
      </c>
      <c r="K77" s="258" t="n">
        <v>0</v>
      </c>
      <c r="L77" s="258" t="n">
        <v>0</v>
      </c>
      <c r="M77" s="258" t="n">
        <v>0</v>
      </c>
      <c r="N77" s="258" t="n">
        <v>0</v>
      </c>
      <c r="O77" s="258" t="n">
        <v>0</v>
      </c>
      <c r="P77" s="258" t="n">
        <v>0</v>
      </c>
      <c r="Q77" s="258" t="n">
        <v>0</v>
      </c>
      <c r="R77" s="258" t="n">
        <v>0</v>
      </c>
      <c r="S77" s="258" t="n">
        <v>0</v>
      </c>
      <c r="T77" s="258" t="n">
        <v>0</v>
      </c>
      <c r="U77" s="258" t="n">
        <v>0</v>
      </c>
      <c r="V77" s="258" t="n">
        <v>348.107</v>
      </c>
      <c r="W77" s="258" t="n">
        <v>294.605</v>
      </c>
      <c r="X77" s="258" t="n">
        <v>334.28</v>
      </c>
      <c r="Y77" s="258" t="n">
        <v>359.438</v>
      </c>
      <c r="Z77" s="258" t="n">
        <v>171.452</v>
      </c>
      <c r="AA77" s="258" t="n">
        <v>299.157</v>
      </c>
      <c r="AB77" s="258" t="n">
        <v>320.192</v>
      </c>
      <c r="AC77" s="258" t="n">
        <v>366.931</v>
      </c>
      <c r="AD77" s="258" t="n">
        <v>56.072</v>
      </c>
      <c r="AE77" s="258" t="n">
        <v>278.405</v>
      </c>
      <c r="AF77" s="258" t="n">
        <v>527.729</v>
      </c>
      <c r="AG77" s="258" t="n">
        <v>486.843</v>
      </c>
      <c r="AH77" s="258" t="n">
        <v>619.3680000000001</v>
      </c>
      <c r="AI77" s="258" t="n">
        <v>707.79</v>
      </c>
      <c r="AJ77" s="258" t="n">
        <v>541.3910000000001</v>
      </c>
    </row>
    <row r="78">
      <c r="A78" t="n">
        <v>34</v>
      </c>
      <c r="B78" t="n">
        <v>1</v>
      </c>
      <c r="G78" t="inlineStr">
        <is>
          <t>moeda</t>
        </is>
      </c>
      <c r="H78" t="inlineStr">
        <is>
          <t>P: Aquisição de empresas a pagar (BP l.68)</t>
        </is>
      </c>
      <c r="J78" t="inlineStr">
        <is>
          <t>fonte</t>
        </is>
      </c>
      <c r="K78" s="258" t="n">
        <v>0</v>
      </c>
      <c r="L78" s="258" t="n">
        <v>0</v>
      </c>
      <c r="M78" s="258" t="n">
        <v>0</v>
      </c>
      <c r="N78" s="258" t="n">
        <v>0</v>
      </c>
      <c r="O78" s="258" t="n">
        <v>0</v>
      </c>
      <c r="P78" s="258" t="n">
        <v>0</v>
      </c>
      <c r="Q78" s="258" t="n">
        <v>0</v>
      </c>
      <c r="R78" s="258" t="n">
        <v>0</v>
      </c>
      <c r="S78" s="258" t="n">
        <v>0</v>
      </c>
      <c r="T78" s="258" t="n">
        <v>9.5</v>
      </c>
      <c r="U78" s="258" t="n">
        <v>10.012</v>
      </c>
      <c r="V78" s="258" t="n">
        <v>10.413</v>
      </c>
      <c r="W78" s="258" t="n">
        <v>10.757</v>
      </c>
      <c r="X78" s="258" t="n">
        <v>11.095</v>
      </c>
      <c r="Y78" s="258" t="n">
        <v>11.458</v>
      </c>
      <c r="Z78" s="258" t="n">
        <v>11.783</v>
      </c>
      <c r="AA78" s="258" t="n">
        <v>17.942</v>
      </c>
      <c r="AB78" s="258" t="n">
        <v>18.396</v>
      </c>
      <c r="AC78" s="258" t="n">
        <v>18.887</v>
      </c>
      <c r="AD78" s="258" t="n">
        <v>19.392</v>
      </c>
      <c r="AE78" s="258" t="n">
        <v>31.167</v>
      </c>
      <c r="AF78" s="258" t="n">
        <v>21.622</v>
      </c>
      <c r="AG78" s="258" t="n">
        <v>8.951000000000001</v>
      </c>
      <c r="AH78" s="258" t="n">
        <v>9.262</v>
      </c>
      <c r="AI78" s="258" t="n">
        <v>9.573</v>
      </c>
      <c r="AJ78" s="258" t="n">
        <v>22.526</v>
      </c>
    </row>
    <row r="79">
      <c r="A79" t="n">
        <v>34</v>
      </c>
      <c r="B79" t="n">
        <v>1</v>
      </c>
      <c r="G79" t="inlineStr">
        <is>
          <t>moeda</t>
        </is>
      </c>
      <c r="H79" t="inlineStr">
        <is>
          <t>P: Tributos a recolher (BP l.69)</t>
        </is>
      </c>
      <c r="J79" t="inlineStr">
        <is>
          <t>fonte</t>
        </is>
      </c>
      <c r="K79" s="258" t="n">
        <v>0</v>
      </c>
      <c r="L79" s="258" t="n">
        <v>0</v>
      </c>
      <c r="M79" s="258" t="n">
        <v>0</v>
      </c>
      <c r="N79" s="258" t="n">
        <v>0</v>
      </c>
      <c r="O79" s="258" t="n">
        <v>0</v>
      </c>
      <c r="P79" s="258" t="n">
        <v>0</v>
      </c>
      <c r="Q79" s="258" t="n">
        <v>0</v>
      </c>
      <c r="R79" s="258" t="n">
        <v>2.058</v>
      </c>
      <c r="S79" s="258" t="n">
        <v>1.926</v>
      </c>
      <c r="T79" s="258" t="n">
        <v>1.793</v>
      </c>
      <c r="U79" s="258" t="n">
        <v>1.72</v>
      </c>
      <c r="V79" s="258" t="n">
        <v>1.587</v>
      </c>
      <c r="W79" s="258" t="n">
        <v>1.455</v>
      </c>
      <c r="X79" s="258" t="n">
        <v>1.328</v>
      </c>
      <c r="Y79" s="258" t="n">
        <v>1.235</v>
      </c>
      <c r="Z79" s="258" t="n">
        <v>1.142</v>
      </c>
      <c r="AA79" s="258" t="n">
        <v>1.05</v>
      </c>
      <c r="AB79" s="258" t="n">
        <v>0.957</v>
      </c>
      <c r="AC79" s="258" t="n">
        <v>0.864</v>
      </c>
      <c r="AD79" s="258" t="n">
        <v>0.771</v>
      </c>
      <c r="AE79" s="258" t="n">
        <v>0.679</v>
      </c>
      <c r="AF79" s="258" t="n">
        <v>0.586</v>
      </c>
      <c r="AG79" s="258" t="n">
        <v>0.493</v>
      </c>
      <c r="AH79" s="258" t="n">
        <v>0.452</v>
      </c>
      <c r="AI79" s="258" t="n">
        <v>0.408</v>
      </c>
      <c r="AJ79" s="258" t="n">
        <v>0.379</v>
      </c>
    </row>
    <row r="80">
      <c r="A80" t="n">
        <v>34</v>
      </c>
      <c r="B80" t="n">
        <v>1</v>
      </c>
      <c r="G80" t="inlineStr">
        <is>
          <t>moeda</t>
        </is>
      </c>
      <c r="H80" t="inlineStr">
        <is>
          <t>P: Provisões para demandas judiciais e administrativas (BP l.70)</t>
        </is>
      </c>
      <c r="J80" t="inlineStr">
        <is>
          <t>fonte</t>
        </is>
      </c>
      <c r="K80" s="258" t="n">
        <v>5.213</v>
      </c>
      <c r="L80" s="258" t="n">
        <v>5.36</v>
      </c>
      <c r="M80" s="258" t="n">
        <v>5.177</v>
      </c>
      <c r="N80" s="258" t="n">
        <v>4.724</v>
      </c>
      <c r="O80" s="258" t="n">
        <v>4.555</v>
      </c>
      <c r="P80" s="258" t="n">
        <v>4.491</v>
      </c>
      <c r="Q80" s="258" t="n">
        <v>3.98</v>
      </c>
      <c r="R80" s="258" t="n">
        <v>4.712</v>
      </c>
      <c r="S80" s="258" t="n">
        <v>5.307</v>
      </c>
      <c r="T80" s="258" t="n">
        <v>8.670999999999999</v>
      </c>
      <c r="U80" s="258" t="n">
        <v>9.566000000000001</v>
      </c>
      <c r="V80" s="258" t="n">
        <v>9.526999999999999</v>
      </c>
      <c r="W80" s="258" t="n">
        <v>11.129</v>
      </c>
      <c r="X80" s="258" t="n">
        <v>12.403</v>
      </c>
      <c r="Y80" s="258" t="n">
        <v>12.561</v>
      </c>
      <c r="Z80" s="258" t="n">
        <v>12.165</v>
      </c>
      <c r="AA80" s="258" t="n">
        <v>12.456</v>
      </c>
      <c r="AB80" s="258" t="n">
        <v>13.011</v>
      </c>
      <c r="AC80" s="258" t="n">
        <v>13.478</v>
      </c>
      <c r="AD80" s="258" t="n">
        <v>14.491</v>
      </c>
      <c r="AE80" s="258" t="n">
        <v>15.762</v>
      </c>
      <c r="AF80" s="258" t="n">
        <v>17.329</v>
      </c>
      <c r="AG80" s="258" t="n">
        <v>18.256</v>
      </c>
      <c r="AH80" s="258" t="n">
        <v>16.87</v>
      </c>
      <c r="AI80" s="258" t="n">
        <v>20.657</v>
      </c>
      <c r="AJ80" s="258" t="n">
        <v>24.038</v>
      </c>
    </row>
    <row r="81">
      <c r="A81" t="n">
        <v>34</v>
      </c>
      <c r="B81" t="n">
        <v>1</v>
      </c>
      <c r="G81" t="inlineStr">
        <is>
          <t>moeda</t>
        </is>
      </c>
      <c r="H81" t="inlineStr">
        <is>
          <t>P: Passivos mantidos para distribuição aos acionistas (BP l.72)</t>
        </is>
      </c>
      <c r="J81" t="inlineStr">
        <is>
          <t>fonte</t>
        </is>
      </c>
      <c r="K81" s="258" t="n">
        <v>0</v>
      </c>
      <c r="L81" s="258" t="n">
        <v>0</v>
      </c>
      <c r="M81" s="258" t="n">
        <v>0</v>
      </c>
      <c r="N81" s="258" t="n">
        <v>0</v>
      </c>
      <c r="O81" s="258" t="n">
        <v>0</v>
      </c>
      <c r="P81" s="258" t="n">
        <v>0</v>
      </c>
      <c r="Q81" s="258" t="n">
        <v>0</v>
      </c>
      <c r="R81" s="258" t="n">
        <v>0</v>
      </c>
      <c r="S81" s="258" t="n">
        <v>0</v>
      </c>
      <c r="T81" s="258" t="n">
        <v>0</v>
      </c>
      <c r="U81" s="258" t="n">
        <v>0</v>
      </c>
      <c r="V81" s="258" t="n">
        <v>0</v>
      </c>
      <c r="W81" s="258" t="n">
        <v>0</v>
      </c>
      <c r="X81" s="258" t="n">
        <v>0</v>
      </c>
      <c r="Y81" s="258" t="n">
        <v>0</v>
      </c>
      <c r="Z81" s="258" t="n">
        <v>0</v>
      </c>
      <c r="AA81" s="258" t="n">
        <v>0</v>
      </c>
      <c r="AB81" s="258" t="n">
        <v>0</v>
      </c>
      <c r="AC81" s="258" t="n">
        <v>0</v>
      </c>
      <c r="AD81" s="258" t="n">
        <v>0</v>
      </c>
      <c r="AE81" s="258" t="n">
        <v>0</v>
      </c>
      <c r="AF81" s="258" t="n">
        <v>0</v>
      </c>
      <c r="AG81" s="258" t="n">
        <v>0</v>
      </c>
      <c r="AH81" s="258" t="n">
        <v>0</v>
      </c>
      <c r="AI81" s="258" t="n">
        <v>0</v>
      </c>
      <c r="AJ81" s="258" t="n">
        <v>0</v>
      </c>
    </row>
    <row r="82">
      <c r="A82" t="n">
        <v>34</v>
      </c>
      <c r="B82" t="n">
        <v>1</v>
      </c>
      <c r="G82" t="inlineStr">
        <is>
          <t>moeda</t>
        </is>
      </c>
      <c r="H82" t="inlineStr">
        <is>
          <t>P: Outras contas a pagar e adiantamentos (BP l.73)</t>
        </is>
      </c>
      <c r="J82" t="inlineStr">
        <is>
          <t>fonte</t>
        </is>
      </c>
      <c r="K82" s="258" t="n">
        <v>0.793</v>
      </c>
      <c r="L82" s="258" t="n">
        <v>0.711</v>
      </c>
      <c r="M82" s="258" t="n">
        <v>0.627</v>
      </c>
      <c r="N82" s="258" t="n">
        <v>0.548</v>
      </c>
      <c r="O82" s="258" t="n">
        <v>3.046</v>
      </c>
      <c r="P82" s="258" t="n">
        <v>0.395</v>
      </c>
      <c r="Q82" s="258" t="n">
        <v>6.847</v>
      </c>
      <c r="R82" s="258" t="n">
        <v>12.941</v>
      </c>
      <c r="S82" s="258" t="n">
        <v>12.649</v>
      </c>
      <c r="T82" s="258" t="n">
        <v>12.759</v>
      </c>
      <c r="U82" s="258" t="n">
        <v>17.192</v>
      </c>
      <c r="V82" s="258" t="n">
        <v>13.468</v>
      </c>
      <c r="W82" s="258" t="n">
        <v>12.922</v>
      </c>
      <c r="X82" s="258" t="n">
        <v>10.09</v>
      </c>
      <c r="Y82" s="258" t="n">
        <v>11.861</v>
      </c>
      <c r="Z82" s="258" t="n">
        <v>12.723</v>
      </c>
      <c r="AA82" s="258" t="n">
        <v>6.358</v>
      </c>
      <c r="AB82" s="258" t="n">
        <v>4.379</v>
      </c>
      <c r="AC82" s="258" t="n">
        <v>10.73</v>
      </c>
      <c r="AD82" s="258" t="n">
        <v>23.169</v>
      </c>
      <c r="AE82" s="258" t="n">
        <v>28.477</v>
      </c>
      <c r="AF82" s="258" t="n">
        <v>16.41</v>
      </c>
      <c r="AG82" s="258" t="n">
        <v>14.297</v>
      </c>
      <c r="AH82" s="258" t="n">
        <v>23.59</v>
      </c>
      <c r="AI82" s="258" t="n">
        <v>12.747</v>
      </c>
      <c r="AJ82" s="258" t="n">
        <v>16.464</v>
      </c>
    </row>
    <row r="83">
      <c r="A83" t="n">
        <v>31</v>
      </c>
      <c r="B83" t="n">
        <v>1</v>
      </c>
      <c r="G83" t="inlineStr">
        <is>
          <t>moeda</t>
        </is>
      </c>
      <c r="H83" t="inlineStr">
        <is>
          <t>P: Arrendamento por direito de uso (BP l.66) (IFRS16 -&gt; cod 31)</t>
        </is>
      </c>
      <c r="J83" t="inlineStr">
        <is>
          <t>fonte</t>
        </is>
      </c>
      <c r="K83" s="258" t="n">
        <v>135.339</v>
      </c>
      <c r="L83" s="258" t="n">
        <v>127.662</v>
      </c>
      <c r="M83" s="258" t="n">
        <v>137.361</v>
      </c>
      <c r="N83" s="258" t="n">
        <v>128.552</v>
      </c>
      <c r="O83" s="258" t="n">
        <v>253.437</v>
      </c>
      <c r="P83" s="258" t="n">
        <v>241.255</v>
      </c>
      <c r="Q83" s="258" t="n">
        <v>252.27</v>
      </c>
      <c r="R83" s="258" t="n">
        <v>304.983</v>
      </c>
      <c r="S83" s="258" t="n">
        <v>311.744</v>
      </c>
      <c r="T83" s="258" t="n">
        <v>330.194</v>
      </c>
      <c r="U83" s="258" t="n">
        <v>340.876</v>
      </c>
      <c r="V83" s="258" t="n">
        <v>336.068</v>
      </c>
      <c r="W83" s="258" t="n">
        <v>310.644</v>
      </c>
      <c r="X83" s="258" t="n">
        <v>306.138</v>
      </c>
      <c r="Y83" s="258" t="n">
        <v>341.102</v>
      </c>
      <c r="Z83" s="258" t="n">
        <v>336.4</v>
      </c>
      <c r="AA83" s="258" t="n">
        <v>328.396</v>
      </c>
      <c r="AB83" s="258" t="n">
        <v>325.94</v>
      </c>
      <c r="AC83" s="258" t="n">
        <v>388.496</v>
      </c>
      <c r="AD83" s="258" t="n">
        <v>414.895</v>
      </c>
      <c r="AE83" s="258" t="n">
        <v>479.603</v>
      </c>
      <c r="AF83" s="258" t="n">
        <v>500.576</v>
      </c>
      <c r="AG83" s="258" t="n">
        <v>510.209</v>
      </c>
      <c r="AH83" s="258" t="n">
        <v>511.61</v>
      </c>
      <c r="AI83" s="258" t="n">
        <v>494.532</v>
      </c>
      <c r="AJ83" s="258" t="n">
        <v>501.706</v>
      </c>
    </row>
    <row r="84">
      <c r="A84" t="n">
        <v>33</v>
      </c>
      <c r="B84" t="n">
        <v>1</v>
      </c>
      <c r="G84" t="inlineStr">
        <is>
          <t>moeda</t>
        </is>
      </c>
      <c r="H84" t="inlineStr">
        <is>
          <t>P: Imposto de renda e contribuição social diferidos (BP l.71)</t>
        </is>
      </c>
      <c r="J84" t="inlineStr">
        <is>
          <t>fonte</t>
        </is>
      </c>
      <c r="K84" s="258" t="n">
        <v>141.721</v>
      </c>
      <c r="L84" s="258" t="n">
        <v>144.148</v>
      </c>
      <c r="M84" s="258" t="n">
        <v>162.111</v>
      </c>
      <c r="N84" s="258" t="n">
        <v>231.043</v>
      </c>
      <c r="O84" s="258" t="n">
        <v>253.092</v>
      </c>
      <c r="P84" s="258" t="n">
        <v>354.903</v>
      </c>
      <c r="Q84" s="258" t="n">
        <v>488.512</v>
      </c>
      <c r="R84" s="258" t="n">
        <v>550.758</v>
      </c>
      <c r="S84" s="258" t="n">
        <v>551.177</v>
      </c>
      <c r="T84" s="258" t="n">
        <v>577.658</v>
      </c>
      <c r="U84" s="258" t="n">
        <v>589.252</v>
      </c>
      <c r="V84" s="258" t="n">
        <v>611.603</v>
      </c>
      <c r="W84" s="258" t="n">
        <v>764.597</v>
      </c>
      <c r="X84" s="258" t="n">
        <v>829.712</v>
      </c>
      <c r="Y84" s="258" t="n">
        <v>814.36</v>
      </c>
      <c r="Z84" s="258" t="n">
        <v>780.22</v>
      </c>
      <c r="AA84" s="258" t="n">
        <v>780.929</v>
      </c>
      <c r="AB84" s="258" t="n">
        <v>861.486</v>
      </c>
      <c r="AC84" s="258" t="n">
        <v>937.03</v>
      </c>
      <c r="AD84" s="258" t="n">
        <v>319.118</v>
      </c>
      <c r="AE84" s="258" t="n">
        <v>331.116</v>
      </c>
      <c r="AF84" s="258" t="n">
        <v>356.854</v>
      </c>
      <c r="AG84" s="258" t="n">
        <v>393.331</v>
      </c>
      <c r="AH84" s="258" t="n">
        <v>554.65</v>
      </c>
      <c r="AI84" s="258" t="n">
        <v>583.321</v>
      </c>
      <c r="AJ84" s="258" t="n">
        <v>610.153</v>
      </c>
    </row>
    <row r="85">
      <c r="A85" t="n">
        <v>37</v>
      </c>
      <c r="B85" t="n">
        <v>1</v>
      </c>
      <c r="G85" t="inlineStr">
        <is>
          <t>moeda</t>
        </is>
      </c>
      <c r="H85" t="inlineStr">
        <is>
          <t>PL: Capital Social (BP l.78)</t>
        </is>
      </c>
      <c r="J85" t="inlineStr">
        <is>
          <t>fonte</t>
        </is>
      </c>
      <c r="K85" s="258" t="n">
        <v>2009.942</v>
      </c>
      <c r="L85" s="258" t="n">
        <v>2009.942</v>
      </c>
      <c r="M85" s="258" t="n">
        <v>2009.942</v>
      </c>
      <c r="N85" s="258" t="n">
        <v>2009.942</v>
      </c>
      <c r="O85" s="258" t="n">
        <v>2009.942</v>
      </c>
      <c r="P85" s="258" t="n">
        <v>2009.942</v>
      </c>
      <c r="Q85" s="258" t="n">
        <v>2590.739</v>
      </c>
      <c r="R85" s="258" t="n">
        <v>2590.702</v>
      </c>
      <c r="S85" s="258" t="n">
        <v>2590.776</v>
      </c>
      <c r="T85" s="258" t="n">
        <v>2590.776</v>
      </c>
      <c r="U85" s="258" t="n">
        <v>2590.776</v>
      </c>
      <c r="V85" s="258" t="n">
        <v>2590.776</v>
      </c>
      <c r="W85" s="258" t="n">
        <v>2590.776</v>
      </c>
      <c r="X85" s="258" t="n">
        <v>2590.775</v>
      </c>
      <c r="Y85" s="258" t="n">
        <v>2590.776</v>
      </c>
      <c r="Z85" s="258" t="n">
        <v>2590.776</v>
      </c>
      <c r="AA85" s="258" t="n">
        <v>2590.776</v>
      </c>
      <c r="AB85" s="258" t="n">
        <v>2590.776</v>
      </c>
      <c r="AC85" s="258" t="n">
        <v>2590.776</v>
      </c>
      <c r="AD85" s="258" t="n">
        <v>2590.776</v>
      </c>
      <c r="AE85" s="258" t="n">
        <v>2590.776</v>
      </c>
      <c r="AF85" s="258" t="n">
        <v>2590.776</v>
      </c>
      <c r="AG85" s="258" t="n">
        <v>2590.776</v>
      </c>
      <c r="AH85" s="258" t="n">
        <v>2590.776</v>
      </c>
      <c r="AI85" s="258" t="n">
        <v>2590.776</v>
      </c>
      <c r="AJ85" s="258" t="n">
        <v>2694.115</v>
      </c>
    </row>
    <row r="86">
      <c r="A86" t="n">
        <v>37</v>
      </c>
      <c r="B86" t="n">
        <v>1</v>
      </c>
      <c r="G86" t="inlineStr">
        <is>
          <t>moeda</t>
        </is>
      </c>
      <c r="H86" t="inlineStr">
        <is>
          <t>PL: Reserva de Capital (BP l.80)</t>
        </is>
      </c>
      <c r="J86" t="inlineStr">
        <is>
          <t>fonte</t>
        </is>
      </c>
      <c r="K86" s="258" t="n">
        <v>65.227</v>
      </c>
      <c r="L86" s="258" t="n">
        <v>60.75</v>
      </c>
      <c r="M86" s="258" t="n">
        <v>60.807</v>
      </c>
      <c r="N86" s="258" t="n">
        <v>60.863</v>
      </c>
      <c r="O86" s="258" t="n">
        <v>60.871</v>
      </c>
      <c r="P86" s="258" t="n">
        <v>61.017</v>
      </c>
      <c r="Q86" s="258" t="n">
        <v>63.09</v>
      </c>
      <c r="R86" s="258" t="n">
        <v>61.633</v>
      </c>
      <c r="S86" s="258" t="n">
        <v>61.633</v>
      </c>
      <c r="T86" s="258" t="n">
        <v>61.633</v>
      </c>
      <c r="U86" s="258" t="n">
        <v>61.633</v>
      </c>
      <c r="V86" s="258" t="n">
        <v>61.633</v>
      </c>
      <c r="W86" s="258" t="n">
        <v>61.633</v>
      </c>
      <c r="X86" s="258" t="n">
        <v>61.633</v>
      </c>
      <c r="Y86" s="258" t="n">
        <v>61.633</v>
      </c>
      <c r="Z86" s="258" t="n">
        <v>61.633</v>
      </c>
      <c r="AA86" s="258" t="n">
        <v>61.633</v>
      </c>
      <c r="AB86" s="258" t="n">
        <v>61.633</v>
      </c>
      <c r="AC86" s="258" t="n">
        <v>61.633</v>
      </c>
      <c r="AD86" s="258" t="n">
        <v>61.633</v>
      </c>
      <c r="AE86" s="258" t="n">
        <v>61.633</v>
      </c>
      <c r="AF86" s="258" t="n">
        <v>61.633</v>
      </c>
      <c r="AG86" s="258" t="n">
        <v>61.633</v>
      </c>
      <c r="AH86" s="258" t="n">
        <v>61.633</v>
      </c>
      <c r="AI86" s="258" t="n">
        <v>0</v>
      </c>
      <c r="AJ86" s="258" t="n">
        <v>641.5930000000003</v>
      </c>
    </row>
    <row r="87">
      <c r="A87" t="n">
        <v>37</v>
      </c>
      <c r="B87" t="n">
        <v>1</v>
      </c>
      <c r="G87" t="inlineStr">
        <is>
          <t>moeda</t>
        </is>
      </c>
      <c r="H87" t="inlineStr">
        <is>
          <t>PL: Adiantamento para Futuro Aumento de Capital (BP l.85)</t>
        </is>
      </c>
      <c r="J87" t="inlineStr">
        <is>
          <t>fonte</t>
        </is>
      </c>
      <c r="K87" s="258" t="n">
        <v>0</v>
      </c>
      <c r="L87" s="258" t="n">
        <v>0</v>
      </c>
      <c r="M87" s="258" t="n">
        <v>0</v>
      </c>
      <c r="N87" s="258" t="n">
        <v>0</v>
      </c>
      <c r="O87" s="258" t="n">
        <v>0</v>
      </c>
      <c r="P87" s="258" t="n">
        <v>0</v>
      </c>
      <c r="Q87" s="258" t="n">
        <v>0</v>
      </c>
      <c r="R87" s="258" t="n">
        <v>0</v>
      </c>
      <c r="S87" s="258" t="n">
        <v>0</v>
      </c>
      <c r="T87" s="258" t="n">
        <v>0</v>
      </c>
      <c r="U87" s="258" t="n">
        <v>0</v>
      </c>
      <c r="V87" s="258" t="n">
        <v>0</v>
      </c>
      <c r="W87" s="258" t="n">
        <v>0</v>
      </c>
      <c r="X87" s="258" t="n">
        <v>0</v>
      </c>
      <c r="Y87" s="258" t="n">
        <v>0</v>
      </c>
      <c r="Z87" s="258" t="n">
        <v>0</v>
      </c>
      <c r="AA87" s="258" t="n">
        <v>0</v>
      </c>
      <c r="AB87" s="258" t="n">
        <v>0</v>
      </c>
      <c r="AC87" s="258" t="n">
        <v>0</v>
      </c>
      <c r="AD87" s="258" t="n">
        <v>0</v>
      </c>
      <c r="AE87" s="258" t="n">
        <v>0</v>
      </c>
      <c r="AF87" s="258" t="n">
        <v>0</v>
      </c>
      <c r="AG87" s="258" t="n">
        <v>0</v>
      </c>
      <c r="AH87" s="258" t="n">
        <v>0</v>
      </c>
      <c r="AI87" s="258" t="n">
        <v>0</v>
      </c>
      <c r="AJ87" s="258" t="n">
        <v>0</v>
      </c>
    </row>
    <row r="88">
      <c r="A88" t="n">
        <v>38</v>
      </c>
      <c r="B88" t="n">
        <v>1</v>
      </c>
      <c r="G88" t="inlineStr">
        <is>
          <t>moeda</t>
        </is>
      </c>
      <c r="H88" t="inlineStr">
        <is>
          <t>PL: Ações em tesouraria (BP l.79)</t>
        </is>
      </c>
      <c r="J88" t="inlineStr">
        <is>
          <t>fonte</t>
        </is>
      </c>
      <c r="K88" s="258" t="n">
        <v>-23.027</v>
      </c>
      <c r="L88" s="258" t="n">
        <v>-23.061</v>
      </c>
      <c r="M88" s="258" t="n">
        <v>-23.23</v>
      </c>
      <c r="N88" s="258" t="n">
        <v>-23.306</v>
      </c>
      <c r="O88" s="258" t="n">
        <v>-23.377</v>
      </c>
      <c r="P88" s="258" t="n">
        <v>-27.166</v>
      </c>
      <c r="Q88" s="258" t="n">
        <v>-12.509</v>
      </c>
      <c r="R88" s="258" t="n">
        <v>-12.639</v>
      </c>
      <c r="S88" s="258" t="n">
        <v>-12.649</v>
      </c>
      <c r="T88" s="258" t="n">
        <v>-13.53</v>
      </c>
      <c r="U88" s="258" t="n">
        <v>-14.41</v>
      </c>
      <c r="V88" s="258" t="n">
        <v>-14.419</v>
      </c>
      <c r="W88" s="258" t="n">
        <v>-29.946</v>
      </c>
      <c r="X88" s="258" t="n">
        <v>-29.97</v>
      </c>
      <c r="Y88" s="258" t="n">
        <v>-30.106</v>
      </c>
      <c r="Z88" s="258" t="n">
        <v>-50.667</v>
      </c>
      <c r="AA88" s="258" t="n">
        <v>-50.76</v>
      </c>
      <c r="AB88" s="258" t="n">
        <v>-50.763</v>
      </c>
      <c r="AC88" s="258" t="n">
        <v>-50.78</v>
      </c>
      <c r="AD88" s="258" t="n">
        <v>-50.803</v>
      </c>
      <c r="AE88" s="258" t="n">
        <v>-82.24299999999999</v>
      </c>
      <c r="AF88" s="258" t="n">
        <v>-124.687</v>
      </c>
      <c r="AG88" s="258" t="n">
        <v>-145.608</v>
      </c>
      <c r="AH88" s="258" t="n">
        <v>-153.531</v>
      </c>
      <c r="AI88" s="258" t="n">
        <v>-2.564</v>
      </c>
      <c r="AJ88" s="258" t="n">
        <v>-13.542</v>
      </c>
    </row>
    <row r="89">
      <c r="A89" t="n">
        <v>39</v>
      </c>
      <c r="B89" t="n">
        <v>1</v>
      </c>
      <c r="G89" t="inlineStr">
        <is>
          <t>moeda</t>
        </is>
      </c>
      <c r="H89" t="inlineStr">
        <is>
          <t>PL: Outros resultados abrangentes (BP l.81)</t>
        </is>
      </c>
      <c r="J89" t="inlineStr">
        <is>
          <t>fonte</t>
        </is>
      </c>
      <c r="K89" s="258" t="n">
        <v>-4.686</v>
      </c>
      <c r="L89" s="258" t="n">
        <v>-3.158</v>
      </c>
      <c r="M89" s="258" t="n">
        <v>-2.261</v>
      </c>
      <c r="N89" s="258" t="n">
        <v>-0.407</v>
      </c>
      <c r="O89" s="258" t="n">
        <v>-91.95399999999999</v>
      </c>
      <c r="P89" s="258" t="n">
        <v>-29.036</v>
      </c>
      <c r="Q89" s="258" t="n">
        <v>-235.068</v>
      </c>
      <c r="R89" s="258" t="n">
        <v>-269.184</v>
      </c>
      <c r="S89" s="258" t="n">
        <v>-516.528</v>
      </c>
      <c r="T89" s="258" t="n">
        <v>-818.601</v>
      </c>
      <c r="U89" s="258" t="n">
        <v>-933.9</v>
      </c>
      <c r="V89" s="258" t="n">
        <v>-861.809</v>
      </c>
      <c r="W89" s="258" t="n">
        <v>-805.138</v>
      </c>
      <c r="X89" s="258" t="n">
        <v>-546.023</v>
      </c>
      <c r="Y89" s="258" t="n">
        <v>-524.573</v>
      </c>
      <c r="Z89" s="258" t="n">
        <v>-421.258</v>
      </c>
      <c r="AA89" s="258" t="n">
        <v>-478.032</v>
      </c>
      <c r="AB89" s="258" t="n">
        <v>-531.21</v>
      </c>
      <c r="AC89" s="258" t="n">
        <v>-454.383</v>
      </c>
      <c r="AD89" s="258" t="n">
        <v>-618.961</v>
      </c>
      <c r="AE89" s="258" t="n">
        <v>-550.804</v>
      </c>
      <c r="AF89" s="258" t="n">
        <v>-534.657</v>
      </c>
      <c r="AG89" s="258" t="n">
        <v>-444.032</v>
      </c>
      <c r="AH89" s="258" t="n">
        <v>-104.285</v>
      </c>
      <c r="AI89" s="258" t="n">
        <v>-126.946</v>
      </c>
      <c r="AJ89" s="258" t="n">
        <v>-151.704</v>
      </c>
    </row>
    <row r="90">
      <c r="A90" t="n">
        <v>39</v>
      </c>
      <c r="B90" t="n">
        <v>1</v>
      </c>
      <c r="G90" t="inlineStr">
        <is>
          <t>moeda</t>
        </is>
      </c>
      <c r="H90" t="inlineStr">
        <is>
          <t>PL: Ajuste Patrimonial (BP l.83)</t>
        </is>
      </c>
      <c r="J90" t="inlineStr">
        <is>
          <t>fonte</t>
        </is>
      </c>
      <c r="K90" s="258" t="n">
        <v>0</v>
      </c>
      <c r="L90" s="258" t="n">
        <v>0</v>
      </c>
      <c r="M90" s="258" t="n">
        <v>0</v>
      </c>
      <c r="N90" s="258" t="n">
        <v>0</v>
      </c>
      <c r="O90" s="258" t="n">
        <v>0</v>
      </c>
      <c r="P90" s="258" t="n">
        <v>0</v>
      </c>
      <c r="Q90" s="258" t="n">
        <v>0</v>
      </c>
      <c r="R90" s="258" t="n">
        <v>0</v>
      </c>
      <c r="S90" s="258" t="n">
        <v>0</v>
      </c>
      <c r="T90" s="258" t="n">
        <v>0</v>
      </c>
      <c r="U90" s="258" t="n">
        <v>0</v>
      </c>
      <c r="V90" s="258" t="n">
        <v>0</v>
      </c>
      <c r="W90" s="258" t="n">
        <v>0</v>
      </c>
      <c r="X90" s="258" t="n">
        <v>0</v>
      </c>
      <c r="Y90" s="258" t="n">
        <v>0</v>
      </c>
      <c r="Z90" s="258" t="n">
        <v>0</v>
      </c>
      <c r="AA90" s="258" t="n">
        <v>0</v>
      </c>
      <c r="AB90" s="258" t="n">
        <v>0</v>
      </c>
      <c r="AC90" s="258" t="n">
        <v>0</v>
      </c>
      <c r="AD90" s="258" t="n">
        <v>0</v>
      </c>
      <c r="AE90" s="258" t="n">
        <v>0</v>
      </c>
      <c r="AF90" s="258" t="n">
        <v>0</v>
      </c>
      <c r="AG90" s="258" t="n">
        <v>0</v>
      </c>
      <c r="AH90" s="258" t="n">
        <v>0</v>
      </c>
      <c r="AI90" s="258" t="n">
        <v>0</v>
      </c>
      <c r="AJ90" s="258" t="n">
        <v>0</v>
      </c>
    </row>
    <row r="91">
      <c r="A91" t="n">
        <v>41</v>
      </c>
      <c r="B91" t="n">
        <v>1</v>
      </c>
      <c r="G91" t="inlineStr">
        <is>
          <t>moeda</t>
        </is>
      </c>
      <c r="H91" t="inlineStr">
        <is>
          <t>PL: Reservas de Lucros (BP l.82)</t>
        </is>
      </c>
      <c r="J91" t="inlineStr">
        <is>
          <t>fonte</t>
        </is>
      </c>
      <c r="K91" s="258" t="n">
        <v>132.187</v>
      </c>
      <c r="L91" s="258" t="n">
        <v>134.801</v>
      </c>
      <c r="M91" s="258" t="n">
        <v>172.003</v>
      </c>
      <c r="N91" s="258" t="n">
        <v>311.588</v>
      </c>
      <c r="O91" s="258" t="n">
        <v>394.069</v>
      </c>
      <c r="P91" s="258" t="n">
        <v>544.0890000000001</v>
      </c>
      <c r="Q91" s="258" t="n">
        <v>771.873</v>
      </c>
      <c r="R91" s="258" t="n">
        <v>913.96</v>
      </c>
      <c r="S91" s="258" t="n">
        <v>1118.054</v>
      </c>
      <c r="T91" s="258" t="n">
        <v>1034.26</v>
      </c>
      <c r="U91" s="258" t="n">
        <v>1072.979</v>
      </c>
      <c r="V91" s="258" t="n">
        <v>992.503</v>
      </c>
      <c r="W91" s="258" t="n">
        <v>1013.55</v>
      </c>
      <c r="X91" s="258" t="n">
        <v>995.684</v>
      </c>
      <c r="Y91" s="258" t="n">
        <v>929.958</v>
      </c>
      <c r="Z91" s="258" t="n">
        <v>341.65</v>
      </c>
      <c r="AA91" s="258" t="n">
        <v>390.201</v>
      </c>
      <c r="AB91" s="258" t="n">
        <v>432.75</v>
      </c>
      <c r="AC91" s="258" t="n">
        <v>510.974</v>
      </c>
      <c r="AD91" s="258" t="n">
        <v>509.847</v>
      </c>
      <c r="AE91" s="258" t="n">
        <v>588.314</v>
      </c>
      <c r="AF91" s="258" t="n">
        <v>655.91</v>
      </c>
      <c r="AG91" s="258" t="n">
        <v>725.865</v>
      </c>
      <c r="AH91" s="258" t="n">
        <v>573.2109999999971</v>
      </c>
      <c r="AI91" s="258" t="n">
        <v>595.395</v>
      </c>
      <c r="AJ91" s="258" t="n">
        <v>731.0450000000001</v>
      </c>
    </row>
    <row r="92">
      <c r="A92" t="n">
        <v>41</v>
      </c>
      <c r="B92" t="n">
        <v>1</v>
      </c>
      <c r="G92" t="inlineStr">
        <is>
          <t>moeda</t>
        </is>
      </c>
      <c r="H92" t="inlineStr">
        <is>
          <t>PL: Lucros acumulados do período (BP l.84)</t>
        </is>
      </c>
      <c r="J92" t="inlineStr">
        <is>
          <t>fonte</t>
        </is>
      </c>
      <c r="K92" s="258" t="n">
        <v>0</v>
      </c>
      <c r="L92" s="258" t="n">
        <v>0</v>
      </c>
      <c r="M92" s="258" t="n">
        <v>0</v>
      </c>
      <c r="N92" s="258" t="n">
        <v>0</v>
      </c>
      <c r="O92" s="258" t="n">
        <v>0</v>
      </c>
      <c r="P92" s="258" t="n">
        <v>0</v>
      </c>
      <c r="Q92" s="258" t="n">
        <v>0</v>
      </c>
      <c r="R92" s="258" t="n">
        <v>0</v>
      </c>
      <c r="S92" s="258" t="n">
        <v>0</v>
      </c>
      <c r="T92" s="258" t="n">
        <v>0</v>
      </c>
      <c r="U92" s="258" t="n">
        <v>0</v>
      </c>
      <c r="V92" s="258" t="n">
        <v>0</v>
      </c>
      <c r="W92" s="258" t="n">
        <v>0</v>
      </c>
      <c r="X92" s="258" t="n">
        <v>0</v>
      </c>
      <c r="Y92" s="258" t="n">
        <v>0</v>
      </c>
      <c r="Z92" s="258" t="n">
        <v>0</v>
      </c>
      <c r="AA92" s="258" t="n">
        <v>0</v>
      </c>
      <c r="AB92" s="258" t="n">
        <v>0</v>
      </c>
      <c r="AC92" s="258" t="n">
        <v>0</v>
      </c>
      <c r="AD92" s="258" t="n">
        <v>0</v>
      </c>
      <c r="AE92" s="258" t="n">
        <v>0</v>
      </c>
      <c r="AF92" s="258" t="n">
        <v>0</v>
      </c>
      <c r="AG92" s="258" t="n">
        <v>0</v>
      </c>
      <c r="AH92" s="258" t="n">
        <v>0</v>
      </c>
      <c r="AI92" s="258" t="n">
        <v>0</v>
      </c>
      <c r="AJ92" s="258" t="n">
        <v>0</v>
      </c>
    </row>
    <row r="93">
      <c r="A93" t="n">
        <v>13</v>
      </c>
      <c r="B93" t="n">
        <v>1</v>
      </c>
      <c r="G93" t="inlineStr">
        <is>
          <t>moeda</t>
        </is>
      </c>
      <c r="H93" t="inlineStr">
        <is>
          <t>A: Estoques - sem linha na planilha (zeros; seminovos a venda estao em veiculos desativados, cod 16). Linha existe para o Model projetar estoque = 0</t>
        </is>
      </c>
      <c r="J93" t="inlineStr">
        <is>
          <t>derivada</t>
        </is>
      </c>
      <c r="K93" s="258" t="n">
        <v>0</v>
      </c>
      <c r="L93" s="258" t="n">
        <v>0</v>
      </c>
      <c r="M93" s="258" t="n">
        <v>0</v>
      </c>
      <c r="N93" s="258" t="n">
        <v>0</v>
      </c>
      <c r="O93" s="258" t="n">
        <v>0</v>
      </c>
      <c r="P93" s="258" t="n">
        <v>0</v>
      </c>
      <c r="Q93" s="258" t="n">
        <v>0</v>
      </c>
      <c r="R93" s="258" t="n">
        <v>0</v>
      </c>
      <c r="S93" s="258" t="n">
        <v>0</v>
      </c>
      <c r="T93" s="258" t="n">
        <v>0</v>
      </c>
      <c r="U93" s="258" t="n">
        <v>0</v>
      </c>
      <c r="V93" s="258" t="n">
        <v>0</v>
      </c>
      <c r="W93" s="258" t="n">
        <v>0</v>
      </c>
      <c r="X93" s="258" t="n">
        <v>0</v>
      </c>
      <c r="Y93" s="258" t="n">
        <v>0</v>
      </c>
      <c r="Z93" s="258" t="n">
        <v>0</v>
      </c>
      <c r="AA93" s="258" t="n">
        <v>0</v>
      </c>
      <c r="AB93" s="258" t="n">
        <v>0</v>
      </c>
      <c r="AC93" s="258" t="n">
        <v>0</v>
      </c>
      <c r="AD93" s="258" t="n">
        <v>0</v>
      </c>
      <c r="AE93" s="258" t="n">
        <v>0</v>
      </c>
      <c r="AF93" s="258" t="n">
        <v>0</v>
      </c>
      <c r="AG93" s="258" t="n">
        <v>0</v>
      </c>
      <c r="AH93" s="258" t="n">
        <v>0</v>
      </c>
      <c r="AI93" s="258" t="n">
        <v>0</v>
      </c>
      <c r="AJ93" s="258" t="n">
        <v>0</v>
      </c>
    </row>
    <row r="94">
      <c r="H94" s="254" t="inlineStr">
        <is>
          <t>BALANCO - totais divulgados (memoria)</t>
        </is>
      </c>
    </row>
    <row r="95">
      <c r="G95" t="inlineStr">
        <is>
          <t>moeda</t>
        </is>
      </c>
      <c r="H95" t="inlineStr">
        <is>
          <t>Total do ativo (l.37)</t>
        </is>
      </c>
      <c r="J95" t="inlineStr">
        <is>
          <t>memoria</t>
        </is>
      </c>
      <c r="K95" s="258" t="n">
        <v>7290.565</v>
      </c>
      <c r="L95" s="258" t="n">
        <v>7460.748</v>
      </c>
      <c r="M95" s="258" t="n">
        <v>7734.62</v>
      </c>
      <c r="N95" s="258" t="n">
        <v>8502.627</v>
      </c>
      <c r="O95" s="258" t="n">
        <v>13041.956</v>
      </c>
      <c r="P95" s="258" t="n">
        <v>14204.671</v>
      </c>
      <c r="Q95" s="258" t="n">
        <v>19735.813</v>
      </c>
      <c r="R95" s="258" t="n">
        <v>21715.853</v>
      </c>
      <c r="S95" s="258" t="n">
        <v>20955.436</v>
      </c>
      <c r="T95" s="258" t="n">
        <v>23372.858</v>
      </c>
      <c r="U95" s="258" t="n">
        <v>26410.242</v>
      </c>
      <c r="V95" s="258" t="n">
        <v>26248.893</v>
      </c>
      <c r="W95" s="258" t="n">
        <v>22682.051</v>
      </c>
      <c r="X95" s="258" t="n">
        <v>21069.958</v>
      </c>
      <c r="Y95" s="258" t="n">
        <v>21734.567</v>
      </c>
      <c r="Z95" s="258" t="n">
        <v>25119.493</v>
      </c>
      <c r="AA95" s="258" t="n">
        <v>26185.588</v>
      </c>
      <c r="AB95" s="258" t="n">
        <v>27684.239</v>
      </c>
      <c r="AC95" s="258" t="n">
        <v>28574.186</v>
      </c>
      <c r="AD95" s="258" t="n">
        <v>30573.857</v>
      </c>
      <c r="AE95" s="258" t="n">
        <v>29211.368</v>
      </c>
      <c r="AF95" s="258" t="n">
        <v>29775.568</v>
      </c>
      <c r="AG95" s="258" t="n">
        <v>29641.564</v>
      </c>
      <c r="AH95" s="258" t="n">
        <v>34925.259</v>
      </c>
      <c r="AI95" s="258" t="n">
        <v>35936.374</v>
      </c>
      <c r="AJ95" s="258" t="n">
        <v>37340.96</v>
      </c>
    </row>
    <row r="96">
      <c r="G96" t="inlineStr">
        <is>
          <t>moeda</t>
        </is>
      </c>
      <c r="H96" t="inlineStr">
        <is>
          <t>Total do passivo e PL (l.89)</t>
        </is>
      </c>
      <c r="J96" t="inlineStr">
        <is>
          <t>memoria</t>
        </is>
      </c>
      <c r="K96" s="258" t="n">
        <v>7290.565</v>
      </c>
      <c r="L96" s="258" t="n">
        <v>7460.749</v>
      </c>
      <c r="M96" s="258" t="n">
        <v>7734.62</v>
      </c>
      <c r="N96" s="258" t="n">
        <v>8502.627</v>
      </c>
      <c r="O96" s="258" t="n">
        <v>13041.956</v>
      </c>
      <c r="P96" s="258" t="n">
        <v>14204.671</v>
      </c>
      <c r="Q96" s="258" t="n">
        <v>19735.813</v>
      </c>
      <c r="R96" s="258" t="n">
        <v>21715.853</v>
      </c>
      <c r="S96" s="258" t="n">
        <v>20955.436</v>
      </c>
      <c r="T96" s="258" t="n">
        <v>23372.858</v>
      </c>
      <c r="U96" s="258" t="n">
        <v>26410.241</v>
      </c>
      <c r="V96" s="258" t="n">
        <v>26248.89</v>
      </c>
      <c r="W96" s="258" t="n">
        <v>22682.051</v>
      </c>
      <c r="X96" s="258" t="n">
        <v>21069.958</v>
      </c>
      <c r="Y96" s="258" t="n">
        <v>21734.564</v>
      </c>
      <c r="Z96" s="258" t="n">
        <v>25119.49</v>
      </c>
      <c r="AA96" s="258" t="n">
        <v>26185.588</v>
      </c>
      <c r="AB96" s="258" t="n">
        <v>27684.239</v>
      </c>
      <c r="AC96" s="258" t="n">
        <v>28574.186</v>
      </c>
      <c r="AD96" s="258" t="n">
        <v>30573.857</v>
      </c>
      <c r="AE96" s="258" t="n">
        <v>29211.368</v>
      </c>
      <c r="AF96" s="258" t="n">
        <v>29775.568</v>
      </c>
      <c r="AG96" s="258" t="n">
        <v>29641.56399999999</v>
      </c>
      <c r="AH96" s="258" t="n">
        <v>34925.25999999999</v>
      </c>
      <c r="AI96" s="258" t="n">
        <v>35936.374</v>
      </c>
      <c r="AJ96" s="258" t="n">
        <v>37340.96</v>
      </c>
    </row>
    <row r="97">
      <c r="G97" t="inlineStr">
        <is>
          <t>moeda</t>
        </is>
      </c>
      <c r="H97" t="inlineStr">
        <is>
          <t>Total do PL (l.87)</t>
        </is>
      </c>
      <c r="J97" t="inlineStr">
        <is>
          <t>memoria</t>
        </is>
      </c>
      <c r="K97" s="258" t="n">
        <v>2179.643</v>
      </c>
      <c r="L97" s="258" t="n">
        <v>2179.275</v>
      </c>
      <c r="M97" s="258" t="n">
        <v>2217.261</v>
      </c>
      <c r="N97" s="258" t="n">
        <v>2358.68</v>
      </c>
      <c r="O97" s="258" t="n">
        <v>2349.551</v>
      </c>
      <c r="P97" s="258" t="n">
        <v>2558.846</v>
      </c>
      <c r="Q97" s="258" t="n">
        <v>3178.125</v>
      </c>
      <c r="R97" s="258" t="n">
        <v>3284.472</v>
      </c>
      <c r="S97" s="258" t="n">
        <v>3241.286</v>
      </c>
      <c r="T97" s="258" t="n">
        <v>2854.538</v>
      </c>
      <c r="U97" s="258" t="n">
        <v>2777.078</v>
      </c>
      <c r="V97" s="258" t="n">
        <v>2768.684</v>
      </c>
      <c r="W97" s="258" t="n">
        <v>2830.875</v>
      </c>
      <c r="X97" s="258" t="n">
        <v>3072.099</v>
      </c>
      <c r="Y97" s="258" t="n">
        <v>3027.688</v>
      </c>
      <c r="Z97" s="258" t="n">
        <v>2522.134</v>
      </c>
      <c r="AA97" s="258" t="n">
        <v>2513.818</v>
      </c>
      <c r="AB97" s="258" t="n">
        <v>2503.186</v>
      </c>
      <c r="AC97" s="258" t="n">
        <v>2658.22</v>
      </c>
      <c r="AD97" s="258" t="n">
        <v>2492.492</v>
      </c>
      <c r="AE97" s="258" t="n">
        <v>2607.676</v>
      </c>
      <c r="AF97" s="258" t="n">
        <v>2648.975</v>
      </c>
      <c r="AG97" s="258" t="n">
        <v>2788.633999999999</v>
      </c>
      <c r="AH97" s="258" t="n">
        <v>2967.803999999997</v>
      </c>
      <c r="AI97" s="258" t="n">
        <v>3056.661</v>
      </c>
      <c r="AJ97" s="258" t="n">
        <v>3901.507</v>
      </c>
    </row>
    <row r="98">
      <c r="H98" s="254" t="inlineStr">
        <is>
          <t>CHECKS (devem ser 0)</t>
        </is>
      </c>
    </row>
    <row r="99">
      <c r="G99" t="inlineStr">
        <is>
          <t>moeda</t>
        </is>
      </c>
      <c r="H99" t="inlineStr">
        <is>
          <t>CHECK: receita + custos + residuo + despesas + resultado financeiro + IR - lucro liquido</t>
        </is>
      </c>
      <c r="J99" t="inlineStr">
        <is>
          <t>derivada</t>
        </is>
      </c>
      <c r="K99" s="258">
        <f>ROUND(K6+K7+K8+K9+K10+K11+K12+K13+K27+K28-K30,1)</f>
        <v>0</v>
      </c>
      <c r="L99" s="258">
        <f>ROUND(L6+L7+L8+L9+L10+L11+L12+L13+L27+L28-L30,1)</f>
        <v>0</v>
      </c>
      <c r="M99" s="258">
        <f>ROUND(M6+M7+M8+M9+M10+M11+M12+M13+M27+M28-M30,1)</f>
        <v>0</v>
      </c>
      <c r="N99" s="258">
        <f>ROUND(N6+N7+N8+N9+N10+N11+N12+N13+N27+N28-N30,1)</f>
        <v>0</v>
      </c>
      <c r="O99" s="258">
        <f>ROUND(O6+O7+O8+O9+O10+O11+O12+O13+O27+O28-O30,1)</f>
        <v>0</v>
      </c>
      <c r="P99" s="258">
        <f>ROUND(P6+P7+P8+P9+P10+P11+P12+P13+P27+P28-P30,1)</f>
        <v>0</v>
      </c>
      <c r="Q99" s="258">
        <f>ROUND(Q6+Q7+Q8+Q9+Q10+Q11+Q12+Q13+Q27+Q28-Q30,1)</f>
        <v>0</v>
      </c>
      <c r="R99" s="258">
        <f>ROUND(R6+R7+R8+R9+R10+R11+R12+R13+R27+R28-R30,1)</f>
        <v>0</v>
      </c>
      <c r="S99" s="258">
        <f>ROUND(S6+S7+S8+S9+S10+S11+S12+S13+S27+S28-S30,1)</f>
        <v>0</v>
      </c>
      <c r="T99" s="258">
        <f>ROUND(T6+T7+T8+T9+T10+T11+T12+T13+T27+T28-T30,1)</f>
        <v>0</v>
      </c>
      <c r="U99" s="258">
        <f>ROUND(U6+U7+U8+U9+U10+U11+U12+U13+U27+U28-U30,1)</f>
        <v>0</v>
      </c>
      <c r="V99" s="258">
        <f>ROUND(V6+V7+V8+V9+V10+V11+V12+V13+V27+V28-V30,1)</f>
        <v>0</v>
      </c>
      <c r="W99" s="258">
        <f>ROUND(W6+W7+W8+W9+W10+W11+W12+W13+W27+W28-W30,1)</f>
        <v>0</v>
      </c>
      <c r="X99" s="258">
        <f>ROUND(X6+X7+X8+X9+X10+X11+X12+X13+X27+X28-X30,1)</f>
        <v>0</v>
      </c>
      <c r="Y99" s="258">
        <f>ROUND(Y6+Y7+Y8+Y9+Y10+Y11+Y12+Y13+Y27+Y28-Y30,1)</f>
        <v>0</v>
      </c>
      <c r="Z99" s="258">
        <f>ROUND(Z6+Z7+Z8+Z9+Z10+Z11+Z12+Z13+Z27+Z28-Z30,1)</f>
        <v>0</v>
      </c>
      <c r="AA99" s="258">
        <f>ROUND(AA6+AA7+AA8+AA9+AA10+AA11+AA12+AA13+AA27+AA28-AA30,1)</f>
        <v>0</v>
      </c>
      <c r="AB99" s="258">
        <f>ROUND(AB6+AB7+AB8+AB9+AB10+AB11+AB12+AB13+AB27+AB28-AB30,1)</f>
        <v>0</v>
      </c>
      <c r="AC99" s="258">
        <f>ROUND(AC6+AC7+AC8+AC9+AC10+AC11+AC12+AC13+AC27+AC28-AC30,1)</f>
        <v>0</v>
      </c>
      <c r="AD99" s="258">
        <f>ROUND(AD6+AD7+AD8+AD9+AD10+AD11+AD12+AD13+AD27+AD28-AD30,1)</f>
        <v>0</v>
      </c>
      <c r="AE99" s="258">
        <f>ROUND(AE6+AE7+AE8+AE9+AE10+AE11+AE12+AE13+AE27+AE28-AE30,1)</f>
        <v>0</v>
      </c>
      <c r="AF99" s="258">
        <f>ROUND(AF6+AF7+AF8+AF9+AF10+AF11+AF12+AF13+AF27+AF28-AF30,1)</f>
        <v>0</v>
      </c>
      <c r="AG99" s="258">
        <f>ROUND(AG6+AG7+AG8+AG9+AG10+AG11+AG12+AG13+AG27+AG28-AG30,1)</f>
        <v>0</v>
      </c>
      <c r="AH99" s="258">
        <f>ROUND(AH6+AH7+AH8+AH9+AH10+AH11+AH12+AH13+AH27+AH28-AH30,1)</f>
        <v>0</v>
      </c>
      <c r="AI99" s="258">
        <f>ROUND(AI6+AI7+AI8+AI9+AI10+AI11+AI12+AI13+AI27+AI28-AI30,1)</f>
        <v>0</v>
      </c>
      <c r="AJ99" s="258">
        <f>ROUND(AJ6+AJ7+AJ8+AJ9+AJ10+AJ11+AJ12+AJ13+AJ27+AJ28-AJ30,1)</f>
        <v>0</v>
      </c>
    </row>
    <row r="100">
      <c r="G100" t="inlineStr">
        <is>
          <t>moeda</t>
        </is>
      </c>
      <c r="H100" t="inlineStr">
        <is>
          <t>CHECK: contas de ativo - ativo total</t>
        </is>
      </c>
      <c r="J100" t="inlineStr">
        <is>
          <t>derivada</t>
        </is>
      </c>
      <c r="K100" s="258">
        <f>ROUND(K35+K36+K37+K38+K39+K40+K41+K42+K43+K44+K45+K46+K47+K48+K49+K50+K51+K52+K53+K54+K55+K56-K95,1)</f>
        <v>0</v>
      </c>
      <c r="L100" s="258">
        <f>ROUND(L35+L36+L37+L38+L39+L40+L41+L42+L43+L44+L45+L46+L47+L48+L49+L50+L51+L52+L53+L54+L55+L56-L95,1)</f>
        <v>0</v>
      </c>
      <c r="M100" s="258">
        <f>ROUND(M35+M36+M37+M38+M39+M40+M41+M42+M43+M44+M45+M46+M47+M48+M49+M50+M51+M52+M53+M54+M55+M56-M95,1)</f>
        <v>0</v>
      </c>
      <c r="N100" s="258">
        <f>ROUND(N35+N36+N37+N38+N39+N40+N41+N42+N43+N44+N45+N46+N47+N48+N49+N50+N51+N52+N53+N54+N55+N56-N95,1)</f>
        <v>0</v>
      </c>
      <c r="O100" s="258">
        <f>ROUND(O35+O36+O37+O38+O39+O40+O41+O42+O43+O44+O45+O46+O47+O48+O49+O50+O51+O52+O53+O54+O55+O56-O95,1)</f>
        <v>0</v>
      </c>
      <c r="P100" s="258">
        <f>ROUND(P35+P36+P37+P38+P39+P40+P41+P42+P43+P44+P45+P46+P47+P48+P49+P50+P51+P52+P53+P54+P55+P56-P95,1)</f>
        <v>0</v>
      </c>
      <c r="Q100" s="258">
        <f>ROUND(Q35+Q36+Q37+Q38+Q39+Q40+Q41+Q42+Q43+Q44+Q45+Q46+Q47+Q48+Q49+Q50+Q51+Q52+Q53+Q54+Q55+Q56-Q95,1)</f>
        <v>0</v>
      </c>
      <c r="R100" s="258">
        <f>ROUND(R35+R36+R37+R38+R39+R40+R41+R42+R43+R44+R45+R46+R47+R48+R49+R50+R51+R52+R53+R54+R55+R56-R95,1)</f>
        <v>0</v>
      </c>
      <c r="S100" s="258">
        <f>ROUND(S35+S36+S37+S38+S39+S40+S41+S42+S43+S44+S45+S46+S47+S48+S49+S50+S51+S52+S53+S54+S55+S56-S95,1)</f>
        <v>0</v>
      </c>
      <c r="T100" s="258">
        <f>ROUND(T35+T36+T37+T38+T39+T40+T41+T42+T43+T44+T45+T46+T47+T48+T49+T50+T51+T52+T53+T54+T55+T56-T95,1)</f>
        <v>0</v>
      </c>
      <c r="U100" s="258">
        <f>ROUND(U35+U36+U37+U38+U39+U40+U41+U42+U43+U44+U45+U46+U47+U48+U49+U50+U51+U52+U53+U54+U55+U56-U95,1)</f>
        <v>0</v>
      </c>
      <c r="V100" s="258">
        <f>ROUND(V35+V36+V37+V38+V39+V40+V41+V42+V43+V44+V45+V46+V47+V48+V49+V50+V51+V52+V53+V54+V55+V56-V95,1)</f>
        <v>0</v>
      </c>
      <c r="W100" s="258">
        <f>ROUND(W35+W36+W37+W38+W39+W40+W41+W42+W43+W44+W45+W46+W47+W48+W49+W50+W51+W52+W53+W54+W55+W56-W95,1)</f>
        <v>0</v>
      </c>
      <c r="X100" s="258">
        <f>ROUND(X35+X36+X37+X38+X39+X40+X41+X42+X43+X44+X45+X46+X47+X48+X49+X50+X51+X52+X53+X54+X55+X56-X95,1)</f>
        <v>0</v>
      </c>
      <c r="Y100" s="258">
        <f>ROUND(Y35+Y36+Y37+Y38+Y39+Y40+Y41+Y42+Y43+Y44+Y45+Y46+Y47+Y48+Y49+Y50+Y51+Y52+Y53+Y54+Y55+Y56-Y95,1)</f>
        <v>0</v>
      </c>
      <c r="Z100" s="258">
        <f>ROUND(Z35+Z36+Z37+Z38+Z39+Z40+Z41+Z42+Z43+Z44+Z45+Z46+Z47+Z48+Z49+Z50+Z51+Z52+Z53+Z54+Z55+Z56-Z95,1)</f>
        <v>0</v>
      </c>
      <c r="AA100" s="258">
        <f>ROUND(AA35+AA36+AA37+AA38+AA39+AA40+AA41+AA42+AA43+AA44+AA45+AA46+AA47+AA48+AA49+AA50+AA51+AA52+AA53+AA54+AA55+AA56-AA95,1)</f>
        <v>0</v>
      </c>
      <c r="AB100" s="258">
        <f>ROUND(AB35+AB36+AB37+AB38+AB39+AB40+AB41+AB42+AB43+AB44+AB45+AB46+AB47+AB48+AB49+AB50+AB51+AB52+AB53+AB54+AB55+AB56-AB95,1)</f>
        <v>0</v>
      </c>
      <c r="AC100" s="258">
        <f>ROUND(AC35+AC36+AC37+AC38+AC39+AC40+AC41+AC42+AC43+AC44+AC45+AC46+AC47+AC48+AC49+AC50+AC51+AC52+AC53+AC54+AC55+AC56-AC95,1)</f>
        <v>0</v>
      </c>
      <c r="AD100" s="258">
        <f>ROUND(AD35+AD36+AD37+AD38+AD39+AD40+AD41+AD42+AD43+AD44+AD45+AD46+AD47+AD48+AD49+AD50+AD51+AD52+AD53+AD54+AD55+AD56-AD95,1)</f>
        <v>0</v>
      </c>
      <c r="AE100" s="258">
        <f>ROUND(AE35+AE36+AE37+AE38+AE39+AE40+AE41+AE42+AE43+AE44+AE45+AE46+AE47+AE48+AE49+AE50+AE51+AE52+AE53+AE54+AE55+AE56-AE95,1)</f>
        <v>0</v>
      </c>
      <c r="AF100" s="258">
        <f>ROUND(AF35+AF36+AF37+AF38+AF39+AF40+AF41+AF42+AF43+AF44+AF45+AF46+AF47+AF48+AF49+AF50+AF51+AF52+AF53+AF54+AF55+AF56-AF95,1)</f>
        <v>0</v>
      </c>
      <c r="AG100" s="258">
        <f>ROUND(AG35+AG36+AG37+AG38+AG39+AG40+AG41+AG42+AG43+AG44+AG45+AG46+AG47+AG48+AG49+AG50+AG51+AG52+AG53+AG54+AG55+AG56-AG95,1)</f>
        <v>0</v>
      </c>
      <c r="AH100" s="258">
        <f>ROUND(AH35+AH36+AH37+AH38+AH39+AH40+AH41+AH42+AH43+AH44+AH45+AH46+AH47+AH48+AH49+AH50+AH51+AH52+AH53+AH54+AH55+AH56-AH95,1)</f>
        <v>0</v>
      </c>
      <c r="AI100" s="258">
        <f>ROUND(AI35+AI36+AI37+AI38+AI39+AI40+AI41+AI42+AI43+AI44+AI45+AI46+AI47+AI48+AI49+AI50+AI51+AI52+AI53+AI54+AI55+AI56-AI95,1)</f>
        <v>0</v>
      </c>
      <c r="AJ100" s="258">
        <f>ROUND(AJ35+AJ36+AJ37+AJ38+AJ39+AJ40+AJ41+AJ42+AJ43+AJ44+AJ45+AJ46+AJ47+AJ48+AJ49+AJ50+AJ51+AJ52+AJ53+AJ54+AJ55+AJ56-AJ95,1)</f>
        <v>0</v>
      </c>
    </row>
    <row r="101">
      <c r="G101" t="inlineStr">
        <is>
          <t>moeda</t>
        </is>
      </c>
      <c r="H101" t="inlineStr">
        <is>
          <t>CHECK: passivo + PL - passivo total</t>
        </is>
      </c>
      <c r="J101" t="inlineStr">
        <is>
          <t>derivada</t>
        </is>
      </c>
      <c r="K101" s="258">
        <f>ROUND(K57+K58+K59+K60+K61+K62+K63+K64+K65+K66+K67+K68+K69+K70+K71+K72+K73+K74+K75+K76+K77+K78+K79+K80+K81+K82+K83+K84+K85+K86+K87+K88+K89+K90+K91+K92-K96,1)</f>
        <v>0</v>
      </c>
      <c r="L101" s="258">
        <f>ROUND(L57+L58+L59+L60+L61+L62+L63+L64+L65+L66+L67+L68+L69+L70+L71+L72+L73+L74+L75+L76+L77+L78+L79+L80+L81+L82+L83+L84+L85+L86+L87+L88+L89+L90+L91+L92-L96,1)</f>
        <v>0</v>
      </c>
      <c r="M101" s="258">
        <f>ROUND(M57+M58+M59+M60+M61+M62+M63+M64+M65+M66+M67+M68+M69+M70+M71+M72+M73+M74+M75+M76+M77+M78+M79+M80+M81+M82+M83+M84+M85+M86+M87+M88+M89+M90+M91+M92-M96,1)</f>
        <v>0</v>
      </c>
      <c r="N101" s="258">
        <f>ROUND(N57+N58+N59+N60+N61+N62+N63+N64+N65+N66+N67+N68+N69+N70+N71+N72+N73+N74+N75+N76+N77+N78+N79+N80+N81+N82+N83+N84+N85+N86+N87+N88+N89+N90+N91+N92-N96,1)</f>
        <v>0</v>
      </c>
      <c r="O101" s="258">
        <f>ROUND(O57+O58+O59+O60+O61+O62+O63+O64+O65+O66+O67+O68+O69+O70+O71+O72+O73+O74+O75+O76+O77+O78+O79+O80+O81+O82+O83+O84+O85+O86+O87+O88+O89+O90+O91+O92-O96,1)</f>
        <v>0</v>
      </c>
      <c r="P101" s="258">
        <f>ROUND(P57+P58+P59+P60+P61+P62+P63+P64+P65+P66+P67+P68+P69+P70+P71+P72+P73+P74+P75+P76+P77+P78+P79+P80+P81+P82+P83+P84+P85+P86+P87+P88+P89+P90+P91+P92-P96,1)</f>
        <v>0</v>
      </c>
      <c r="Q101" s="258">
        <f>ROUND(Q57+Q58+Q59+Q60+Q61+Q62+Q63+Q64+Q65+Q66+Q67+Q68+Q69+Q70+Q71+Q72+Q73+Q74+Q75+Q76+Q77+Q78+Q79+Q80+Q81+Q82+Q83+Q84+Q85+Q86+Q87+Q88+Q89+Q90+Q91+Q92-Q96,1)</f>
        <v>0</v>
      </c>
      <c r="R101" s="258">
        <f>ROUND(R57+R58+R59+R60+R61+R62+R63+R64+R65+R66+R67+R68+R69+R70+R71+R72+R73+R74+R75+R76+R77+R78+R79+R80+R81+R82+R83+R84+R85+R86+R87+R88+R89+R90+R91+R92-R96,1)</f>
        <v>0</v>
      </c>
      <c r="S101" s="258">
        <f>ROUND(S57+S58+S59+S60+S61+S62+S63+S64+S65+S66+S67+S68+S69+S70+S71+S72+S73+S74+S75+S76+S77+S78+S79+S80+S81+S82+S83+S84+S85+S86+S87+S88+S89+S90+S91+S92-S96,1)</f>
        <v>0</v>
      </c>
      <c r="T101" s="258">
        <f>ROUND(T57+T58+T59+T60+T61+T62+T63+T64+T65+T66+T67+T68+T69+T70+T71+T72+T73+T74+T75+T76+T77+T78+T79+T80+T81+T82+T83+T84+T85+T86+T87+T88+T89+T90+T91+T92-T96,1)</f>
        <v>0</v>
      </c>
      <c r="U101" s="258">
        <f>ROUND(U57+U58+U59+U60+U61+U62+U63+U64+U65+U66+U67+U68+U69+U70+U71+U72+U73+U74+U75+U76+U77+U78+U79+U80+U81+U82+U83+U84+U85+U86+U87+U88+U89+U90+U91+U92-U96,1)</f>
        <v>0</v>
      </c>
      <c r="V101" s="258">
        <f>ROUND(V57+V58+V59+V60+V61+V62+V63+V64+V65+V66+V67+V68+V69+V70+V71+V72+V73+V74+V75+V76+V77+V78+V79+V80+V81+V82+V83+V84+V85+V86+V87+V88+V89+V90+V91+V92-V96,1)</f>
        <v>0</v>
      </c>
      <c r="W101" s="258">
        <f>ROUND(W57+W58+W59+W60+W61+W62+W63+W64+W65+W66+W67+W68+W69+W70+W71+W72+W73+W74+W75+W76+W77+W78+W79+W80+W81+W82+W83+W84+W85+W86+W87+W88+W89+W90+W91+W92-W96,1)</f>
        <v>0</v>
      </c>
      <c r="X101" s="258">
        <f>ROUND(X57+X58+X59+X60+X61+X62+X63+X64+X65+X66+X67+X68+X69+X70+X71+X72+X73+X74+X75+X76+X77+X78+X79+X80+X81+X82+X83+X84+X85+X86+X87+X88+X89+X90+X91+X92-X96,1)</f>
        <v>0</v>
      </c>
      <c r="Y101" s="258">
        <f>ROUND(Y57+Y58+Y59+Y60+Y61+Y62+Y63+Y64+Y65+Y66+Y67+Y68+Y69+Y70+Y71+Y72+Y73+Y74+Y75+Y76+Y77+Y78+Y79+Y80+Y81+Y82+Y83+Y84+Y85+Y86+Y87+Y88+Y89+Y90+Y91+Y92-Y96,1)</f>
        <v>0</v>
      </c>
      <c r="Z101" s="258">
        <f>ROUND(Z57+Z58+Z59+Z60+Z61+Z62+Z63+Z64+Z65+Z66+Z67+Z68+Z69+Z70+Z71+Z72+Z73+Z74+Z75+Z76+Z77+Z78+Z79+Z80+Z81+Z82+Z83+Z84+Z85+Z86+Z87+Z88+Z89+Z90+Z91+Z92-Z96,1)</f>
        <v>0</v>
      </c>
      <c r="AA101" s="258">
        <f>ROUND(AA57+AA58+AA59+AA60+AA61+AA62+AA63+AA64+AA65+AA66+AA67+AA68+AA69+AA70+AA71+AA72+AA73+AA74+AA75+AA76+AA77+AA78+AA79+AA80+AA81+AA82+AA83+AA84+AA85+AA86+AA87+AA88+AA89+AA90+AA91+AA92-AA96,1)</f>
        <v>0</v>
      </c>
      <c r="AB101" s="258">
        <f>ROUND(AB57+AB58+AB59+AB60+AB61+AB62+AB63+AB64+AB65+AB66+AB67+AB68+AB69+AB70+AB71+AB72+AB73+AB74+AB75+AB76+AB77+AB78+AB79+AB80+AB81+AB82+AB83+AB84+AB85+AB86+AB87+AB88+AB89+AB90+AB91+AB92-AB96,1)</f>
        <v>0</v>
      </c>
      <c r="AC101" s="258">
        <f>ROUND(AC57+AC58+AC59+AC60+AC61+AC62+AC63+AC64+AC65+AC66+AC67+AC68+AC69+AC70+AC71+AC72+AC73+AC74+AC75+AC76+AC77+AC78+AC79+AC80+AC81+AC82+AC83+AC84+AC85+AC86+AC87+AC88+AC89+AC90+AC91+AC92-AC96,1)</f>
        <v>0</v>
      </c>
      <c r="AD101" s="258">
        <f>ROUND(AD57+AD58+AD59+AD60+AD61+AD62+AD63+AD64+AD65+AD66+AD67+AD68+AD69+AD70+AD71+AD72+AD73+AD74+AD75+AD76+AD77+AD78+AD79+AD80+AD81+AD82+AD83+AD84+AD85+AD86+AD87+AD88+AD89+AD90+AD91+AD92-AD96,1)</f>
        <v>0</v>
      </c>
      <c r="AE101" s="258">
        <f>ROUND(AE57+AE58+AE59+AE60+AE61+AE62+AE63+AE64+AE65+AE66+AE67+AE68+AE69+AE70+AE71+AE72+AE73+AE74+AE75+AE76+AE77+AE78+AE79+AE80+AE81+AE82+AE83+AE84+AE85+AE86+AE87+AE88+AE89+AE90+AE91+AE92-AE96,1)</f>
        <v>0</v>
      </c>
      <c r="AF101" s="258">
        <f>ROUND(AF57+AF58+AF59+AF60+AF61+AF62+AF63+AF64+AF65+AF66+AF67+AF68+AF69+AF70+AF71+AF72+AF73+AF74+AF75+AF76+AF77+AF78+AF79+AF80+AF81+AF82+AF83+AF84+AF85+AF86+AF87+AF88+AF89+AF90+AF91+AF92-AF96,1)</f>
        <v>0</v>
      </c>
      <c r="AG101" s="258">
        <f>ROUND(AG57+AG58+AG59+AG60+AG61+AG62+AG63+AG64+AG65+AG66+AG67+AG68+AG69+AG70+AG71+AG72+AG73+AG74+AG75+AG76+AG77+AG78+AG79+AG80+AG81+AG82+AG83+AG84+AG85+AG86+AG87+AG88+AG89+AG90+AG91+AG92-AG96,1)</f>
        <v>0</v>
      </c>
      <c r="AH101" s="258">
        <f>ROUND(AH57+AH58+AH59+AH60+AH61+AH62+AH63+AH64+AH65+AH66+AH67+AH68+AH69+AH70+AH71+AH72+AH73+AH74+AH75+AH76+AH77+AH78+AH79+AH80+AH81+AH82+AH83+AH84+AH85+AH86+AH87+AH88+AH89+AH90+AH91+AH92-AH96,1)</f>
        <v>0</v>
      </c>
      <c r="AI101" s="258">
        <f>ROUND(AI57+AI58+AI59+AI60+AI61+AI62+AI63+AI64+AI65+AI66+AI67+AI68+AI69+AI70+AI71+AI72+AI73+AI74+AI75+AI76+AI77+AI78+AI79+AI80+AI81+AI82+AI83+AI84+AI85+AI86+AI87+AI88+AI89+AI90+AI91+AI92-AI96,1)</f>
        <v>0</v>
      </c>
      <c r="AJ101" s="258">
        <f>ROUND(AJ57+AJ58+AJ59+AJ60+AJ61+AJ62+AJ63+AJ64+AJ65+AJ66+AJ67+AJ68+AJ69+AJ70+AJ71+AJ72+AJ73+AJ74+AJ75+AJ76+AJ77+AJ78+AJ79+AJ80+AJ81+AJ82+AJ83+AJ84+AJ85+AJ86+AJ87+AJ88+AJ89+AJ90+AJ91+AJ92-AJ96,1)</f>
        <v>0</v>
      </c>
    </row>
    <row r="102">
      <c r="H102" t="inlineStr">
        <is>
          <t>[vazio] cod 8 Equity in affiliates: nao aberto na DRE da planilha (irrelevante)</t>
        </is>
      </c>
    </row>
    <row r="103">
      <c r="H103" t="inlineStr">
        <is>
          <t>[vazio] cod 9 Minority interest: sem minoritarios</t>
        </is>
      </c>
    </row>
    <row r="104">
      <c r="H104" t="inlineStr">
        <is>
          <t>[vazio] cod 13 Estoques: sem linha (seminovos em "veiculos desativados", cod 16)</t>
        </is>
      </c>
    </row>
    <row r="105">
      <c r="H105" t="inlineStr">
        <is>
          <t>[vazio] cod 20 Goodwill: dentro do intangivel</t>
        </is>
      </c>
    </row>
    <row r="106">
      <c r="H106" t="inlineStr">
        <is>
          <t>[vazio] cod 28 Revolver: sem linha propria</t>
        </is>
      </c>
    </row>
    <row r="107">
      <c r="H107" t="inlineStr">
        <is>
          <t>[vazio] cod 32 Convertible debt: inexistente</t>
        </is>
      </c>
    </row>
    <row r="108">
      <c r="H108" t="inlineStr">
        <is>
          <t>[vazio] cod 36 Convertible Preferred Stock: inexistente</t>
        </is>
      </c>
    </row>
    <row r="109">
      <c r="H109" t="inlineStr">
        <is>
          <t>Nota de base: de 1T23 em diante a DRE da planilha bate com a CVM (receita, EBIT e lucro). Em 2020-22 a planilha e pro forma (receita ~3% menor que a CVM; 1T20 lucro 55,1 x CVM -114,4 e 4T20 138,7 x 183,6): mantido o numero da Cia.</t>
        </is>
      </c>
    </row>
    <row r="111">
      <c r="H111" s="254" t="inlineStr">
        <is>
          <t>DRIVERS DE RECEITA (codigos 45+): receita e EBITDA por segmento, dados operacionais e capex da Planilha de Fundamentos da Movida (R$ milhoes, fator 1).</t>
        </is>
      </c>
    </row>
    <row r="112">
      <c r="A112" t="n">
        <v>45</v>
      </c>
      <c r="B112" t="n">
        <v>1</v>
      </c>
      <c r="G112" t="inlineStr">
        <is>
          <t>moeda</t>
        </is>
      </c>
      <c r="H112" t="inlineStr">
        <is>
          <t>Receita liquida RAC Brasil (DRE l.11)</t>
        </is>
      </c>
      <c r="J112" t="inlineStr">
        <is>
          <t>fonte</t>
        </is>
      </c>
      <c r="K112" s="260" t="n">
        <v>294.797</v>
      </c>
      <c r="L112" s="260" t="n">
        <v>155.985</v>
      </c>
      <c r="M112" s="260" t="n">
        <v>245.973</v>
      </c>
      <c r="N112" s="260" t="n">
        <v>333.947</v>
      </c>
      <c r="O112" s="260" t="n">
        <v>328.988</v>
      </c>
      <c r="P112" s="260" t="n">
        <v>308.291</v>
      </c>
      <c r="Q112" s="260" t="n">
        <v>403.799</v>
      </c>
      <c r="R112" s="260" t="n">
        <v>522.5700000000001</v>
      </c>
      <c r="S112" s="260" t="n">
        <v>552.692</v>
      </c>
      <c r="T112" s="260" t="n">
        <v>585.184</v>
      </c>
      <c r="U112" s="260" t="n">
        <v>675.359</v>
      </c>
      <c r="V112" s="260" t="n">
        <v>682.873</v>
      </c>
      <c r="W112" s="260" t="n">
        <v>686.638</v>
      </c>
      <c r="X112" s="260" t="n">
        <v>646.165</v>
      </c>
      <c r="Y112" s="260" t="n">
        <v>651.205</v>
      </c>
      <c r="Z112" s="260" t="n">
        <v>674.999</v>
      </c>
      <c r="AA112" s="260" t="n">
        <v>751.7619999999999</v>
      </c>
      <c r="AB112" s="260" t="n">
        <v>748.549</v>
      </c>
      <c r="AC112" s="260" t="n">
        <v>764.768</v>
      </c>
      <c r="AD112" s="260" t="n">
        <v>808.526</v>
      </c>
      <c r="AE112" s="260" t="n">
        <v>859.38</v>
      </c>
      <c r="AF112" s="260" t="n">
        <v>843.303</v>
      </c>
      <c r="AG112" s="260" t="n">
        <v>874.046</v>
      </c>
      <c r="AH112" s="260" t="n">
        <v>968.8707781940946</v>
      </c>
      <c r="AI112" s="260" t="n">
        <v>1076.120486637858</v>
      </c>
      <c r="AJ112" s="260" t="n">
        <v>1099.712331255328</v>
      </c>
    </row>
    <row r="113">
      <c r="A113" t="n">
        <v>46</v>
      </c>
      <c r="B113" t="n">
        <v>1</v>
      </c>
      <c r="G113" t="inlineStr">
        <is>
          <t>moeda</t>
        </is>
      </c>
      <c r="H113" t="inlineStr">
        <is>
          <t>Receita liquida RAC Portugal (DRE l.30; desde a aquisicao em 2023)</t>
        </is>
      </c>
      <c r="J113" t="inlineStr">
        <is>
          <t>fonte</t>
        </is>
      </c>
      <c r="K113" s="260" t="n">
        <v>0</v>
      </c>
      <c r="L113" s="260" t="n">
        <v>0</v>
      </c>
      <c r="M113" s="260" t="n">
        <v>0</v>
      </c>
      <c r="N113" s="260" t="n">
        <v>0</v>
      </c>
      <c r="O113" s="260" t="n">
        <v>0</v>
      </c>
      <c r="P113" s="260" t="n">
        <v>0</v>
      </c>
      <c r="Q113" s="260" t="n">
        <v>0</v>
      </c>
      <c r="R113" s="260" t="n">
        <v>0</v>
      </c>
      <c r="S113" s="260" t="n">
        <v>0</v>
      </c>
      <c r="T113" s="260" t="n">
        <v>0</v>
      </c>
      <c r="U113" s="260" t="n">
        <v>0</v>
      </c>
      <c r="V113" s="260" t="n">
        <v>43.829</v>
      </c>
      <c r="W113" s="260" t="n">
        <v>14.396</v>
      </c>
      <c r="X113" s="260" t="n">
        <v>29.467</v>
      </c>
      <c r="Y113" s="260" t="n">
        <v>64.989</v>
      </c>
      <c r="Z113" s="260" t="n">
        <v>29.385</v>
      </c>
      <c r="AA113" s="260" t="n">
        <v>23.047</v>
      </c>
      <c r="AB113" s="260" t="n">
        <v>43.533</v>
      </c>
      <c r="AC113" s="260" t="n">
        <v>90.502</v>
      </c>
      <c r="AD113" s="260" t="n">
        <v>39.179</v>
      </c>
      <c r="AE113" s="260" t="n">
        <v>26.343</v>
      </c>
      <c r="AF113" s="260" t="n">
        <v>53.453</v>
      </c>
      <c r="AG113" s="260" t="n">
        <v>103.339</v>
      </c>
      <c r="AH113" s="260" t="n">
        <v>43.91676634</v>
      </c>
      <c r="AI113" s="260" t="n">
        <v>27.88744168</v>
      </c>
      <c r="AJ113" s="260" t="n">
        <v>45.85325813</v>
      </c>
    </row>
    <row r="114">
      <c r="A114" t="n">
        <v>47</v>
      </c>
      <c r="B114" t="n">
        <v>1</v>
      </c>
      <c r="G114" t="inlineStr">
        <is>
          <t>moeda</t>
        </is>
      </c>
      <c r="H114" t="inlineStr">
        <is>
          <t>Receita liquida GTF - gestao e terceirizacao de frotas (DRE l.68)</t>
        </is>
      </c>
      <c r="J114" t="inlineStr">
        <is>
          <t>fonte</t>
        </is>
      </c>
      <c r="K114" s="260" t="n">
        <v>117.539</v>
      </c>
      <c r="L114" s="260" t="n">
        <v>116.236</v>
      </c>
      <c r="M114" s="260" t="n">
        <v>117.548</v>
      </c>
      <c r="N114" s="260" t="n">
        <v>133.352</v>
      </c>
      <c r="O114" s="260" t="n">
        <v>154.023</v>
      </c>
      <c r="P114" s="260" t="n">
        <v>183.574</v>
      </c>
      <c r="Q114" s="260" t="n">
        <v>272.657</v>
      </c>
      <c r="R114" s="260" t="n">
        <v>357.38</v>
      </c>
      <c r="S114" s="260" t="n">
        <v>379.203</v>
      </c>
      <c r="T114" s="260" t="n">
        <v>417.174</v>
      </c>
      <c r="U114" s="260" t="n">
        <v>451.078</v>
      </c>
      <c r="V114" s="260" t="n">
        <v>495.524</v>
      </c>
      <c r="W114" s="260" t="n">
        <v>538.708</v>
      </c>
      <c r="X114" s="260" t="n">
        <v>558.149</v>
      </c>
      <c r="Y114" s="260" t="n">
        <v>581.123</v>
      </c>
      <c r="Z114" s="260" t="n">
        <v>635.236</v>
      </c>
      <c r="AA114" s="260" t="n">
        <v>720.39</v>
      </c>
      <c r="AB114" s="260" t="n">
        <v>816.006</v>
      </c>
      <c r="AC114" s="260" t="n">
        <v>889.427</v>
      </c>
      <c r="AD114" s="260" t="n">
        <v>943.352</v>
      </c>
      <c r="AE114" s="260" t="n">
        <v>993.181</v>
      </c>
      <c r="AF114" s="260" t="n">
        <v>995.876</v>
      </c>
      <c r="AG114" s="260" t="n">
        <v>1033.426</v>
      </c>
      <c r="AH114" s="260" t="n">
        <v>1083.606544765905</v>
      </c>
      <c r="AI114" s="260" t="n">
        <v>1101.60857524277</v>
      </c>
      <c r="AJ114" s="260" t="n">
        <v>1149.769047694671</v>
      </c>
    </row>
    <row r="115">
      <c r="A115" t="n">
        <v>48</v>
      </c>
      <c r="B115" t="n">
        <v>1</v>
      </c>
      <c r="G115" t="inlineStr">
        <is>
          <t>moeda</t>
        </is>
      </c>
      <c r="H115" t="inlineStr">
        <is>
          <t>Receita liquida Seminovos (DRE l.87)</t>
        </is>
      </c>
      <c r="J115" t="inlineStr">
        <is>
          <t>fonte</t>
        </is>
      </c>
      <c r="K115" s="260" t="n">
        <v>559.199</v>
      </c>
      <c r="L115" s="260" t="n">
        <v>749.076</v>
      </c>
      <c r="M115" s="260" t="n">
        <v>640.865</v>
      </c>
      <c r="N115" s="260" t="n">
        <v>490.713</v>
      </c>
      <c r="O115" s="260" t="n">
        <v>274.54</v>
      </c>
      <c r="P115" s="260" t="n">
        <v>673.48</v>
      </c>
      <c r="Q115" s="260" t="n">
        <v>844.62</v>
      </c>
      <c r="R115" s="260" t="n">
        <v>809.115</v>
      </c>
      <c r="S115" s="260" t="n">
        <v>973.7619999999999</v>
      </c>
      <c r="T115" s="260" t="n">
        <v>1228.635</v>
      </c>
      <c r="U115" s="260" t="n">
        <v>1410.428</v>
      </c>
      <c r="V115" s="260" t="n">
        <v>1404.407</v>
      </c>
      <c r="W115" s="260" t="n">
        <v>1463.465</v>
      </c>
      <c r="X115" s="260" t="n">
        <v>1245.363</v>
      </c>
      <c r="Y115" s="260" t="n">
        <v>1368.902</v>
      </c>
      <c r="Z115" s="260" t="n">
        <v>1153.824</v>
      </c>
      <c r="AA115" s="260" t="n">
        <v>1526.448</v>
      </c>
      <c r="AB115" s="260" t="n">
        <v>1827.516</v>
      </c>
      <c r="AC115" s="260" t="n">
        <v>2031.166</v>
      </c>
      <c r="AD115" s="260" t="n">
        <v>1457.1</v>
      </c>
      <c r="AE115" s="260" t="n">
        <v>1689.326</v>
      </c>
      <c r="AF115" s="260" t="n">
        <v>1786.374</v>
      </c>
      <c r="AG115" s="260" t="n">
        <v>1755.031</v>
      </c>
      <c r="AH115" s="260" t="n">
        <v>1562.58106565011</v>
      </c>
      <c r="AI115" s="260" t="n">
        <v>1575.028461401178</v>
      </c>
      <c r="AJ115" s="260" t="n">
        <v>1470.495570408206</v>
      </c>
    </row>
    <row r="116">
      <c r="A116" t="n">
        <v>49</v>
      </c>
      <c r="B116" t="n">
        <v>1</v>
      </c>
      <c r="G116" t="inlineStr">
        <is>
          <t>moeda</t>
        </is>
      </c>
      <c r="H116" t="inlineStr">
        <is>
          <t>EBITDA RAC consolidado (DRE l.61)</t>
        </is>
      </c>
      <c r="J116" t="inlineStr">
        <is>
          <t>fonte</t>
        </is>
      </c>
      <c r="K116" s="260" t="n">
        <v>-59.487</v>
      </c>
      <c r="L116" s="260" t="n">
        <v>44.361</v>
      </c>
      <c r="M116" s="260" t="n">
        <v>120.19</v>
      </c>
      <c r="N116" s="260" t="n">
        <v>212.423</v>
      </c>
      <c r="O116" s="260" t="n">
        <v>168.74</v>
      </c>
      <c r="P116" s="260" t="n">
        <v>140.676</v>
      </c>
      <c r="Q116" s="260" t="n">
        <v>233.091</v>
      </c>
      <c r="R116" s="260" t="n">
        <v>333.123</v>
      </c>
      <c r="S116" s="260" t="n">
        <v>373.325</v>
      </c>
      <c r="T116" s="260" t="n">
        <v>384.781</v>
      </c>
      <c r="U116" s="260" t="n">
        <v>457.844</v>
      </c>
      <c r="V116" s="260" t="n">
        <v>416.559</v>
      </c>
      <c r="W116" s="260" t="n">
        <v>427.387</v>
      </c>
      <c r="X116" s="260" t="n">
        <v>381.802</v>
      </c>
      <c r="Y116" s="260" t="n">
        <v>395.515</v>
      </c>
      <c r="Z116" s="260" t="n">
        <v>367.098</v>
      </c>
      <c r="AA116" s="260" t="n">
        <v>485.485</v>
      </c>
      <c r="AB116" s="260" t="n">
        <v>504.709</v>
      </c>
      <c r="AC116" s="260" t="n">
        <v>550.01</v>
      </c>
      <c r="AD116" s="260" t="n">
        <v>543.336</v>
      </c>
      <c r="AE116" s="260" t="n">
        <v>563.843</v>
      </c>
      <c r="AF116" s="260" t="n">
        <v>602.0599999999999</v>
      </c>
      <c r="AG116" s="260" t="n">
        <v>669.054</v>
      </c>
      <c r="AH116" s="260" t="n">
        <v>663.0471533845352</v>
      </c>
      <c r="AI116" s="260" t="n">
        <v>717.757548914019</v>
      </c>
      <c r="AJ116" s="260" t="n">
        <v>775.9513693920222</v>
      </c>
    </row>
    <row r="117">
      <c r="A117" t="n">
        <v>50</v>
      </c>
      <c r="B117" t="n">
        <v>1</v>
      </c>
      <c r="G117" t="inlineStr">
        <is>
          <t>moeda</t>
        </is>
      </c>
      <c r="H117" t="inlineStr">
        <is>
          <t>EBITDA GTF (DRE l.80)</t>
        </is>
      </c>
      <c r="J117" t="inlineStr">
        <is>
          <t>fonte</t>
        </is>
      </c>
      <c r="K117" s="260" t="n">
        <v>83.307</v>
      </c>
      <c r="L117" s="260" t="n">
        <v>91.52200000000001</v>
      </c>
      <c r="M117" s="260" t="n">
        <v>82.203</v>
      </c>
      <c r="N117" s="260" t="n">
        <v>85.631</v>
      </c>
      <c r="O117" s="260" t="n">
        <v>99.48099999999999</v>
      </c>
      <c r="P117" s="260" t="n">
        <v>127.681</v>
      </c>
      <c r="Q117" s="260" t="n">
        <v>193.117</v>
      </c>
      <c r="R117" s="260" t="n">
        <v>261.929</v>
      </c>
      <c r="S117" s="260" t="n">
        <v>285.299</v>
      </c>
      <c r="T117" s="260" t="n">
        <v>315.241</v>
      </c>
      <c r="U117" s="260" t="n">
        <v>331.303</v>
      </c>
      <c r="V117" s="260" t="n">
        <v>336.091</v>
      </c>
      <c r="W117" s="260" t="n">
        <v>361.568</v>
      </c>
      <c r="X117" s="260" t="n">
        <v>411.732</v>
      </c>
      <c r="Y117" s="260" t="n">
        <v>430.96</v>
      </c>
      <c r="Z117" s="260" t="n">
        <v>462.355</v>
      </c>
      <c r="AA117" s="260" t="n">
        <v>535.294</v>
      </c>
      <c r="AB117" s="260" t="n">
        <v>619.952</v>
      </c>
      <c r="AC117" s="260" t="n">
        <v>675.759</v>
      </c>
      <c r="AD117" s="260" t="n">
        <v>683.937</v>
      </c>
      <c r="AE117" s="260" t="n">
        <v>756.317</v>
      </c>
      <c r="AF117" s="260" t="n">
        <v>757.422</v>
      </c>
      <c r="AG117" s="260" t="n">
        <v>791.002</v>
      </c>
      <c r="AH117" s="260" t="n">
        <v>811.7690761460867</v>
      </c>
      <c r="AI117" s="260" t="n">
        <v>833.5296336094757</v>
      </c>
      <c r="AJ117" s="260" t="n">
        <v>895.0967374663253</v>
      </c>
    </row>
    <row r="118">
      <c r="A118" t="n">
        <v>51</v>
      </c>
      <c r="B118" t="n">
        <v>1</v>
      </c>
      <c r="G118" t="inlineStr">
        <is>
          <t>moeda</t>
        </is>
      </c>
      <c r="H118" t="inlineStr">
        <is>
          <t>EBITDA Seminovos (DRE l.96)</t>
        </is>
      </c>
      <c r="J118" t="inlineStr">
        <is>
          <t>fonte</t>
        </is>
      </c>
      <c r="K118" s="260" t="n">
        <v>6.461</v>
      </c>
      <c r="L118" s="260" t="n">
        <v>15.438</v>
      </c>
      <c r="M118" s="260" t="n">
        <v>10.878</v>
      </c>
      <c r="N118" s="260" t="n">
        <v>57.352</v>
      </c>
      <c r="O118" s="260" t="n">
        <v>36.282</v>
      </c>
      <c r="P118" s="260" t="n">
        <v>120.108</v>
      </c>
      <c r="Q118" s="260" t="n">
        <v>187.2</v>
      </c>
      <c r="R118" s="260" t="n">
        <v>181.561</v>
      </c>
      <c r="S118" s="260" t="n">
        <v>204.472</v>
      </c>
      <c r="T118" s="260" t="n">
        <v>205.234</v>
      </c>
      <c r="U118" s="260" t="n">
        <v>136.19</v>
      </c>
      <c r="V118" s="260" t="n">
        <v>105.593</v>
      </c>
      <c r="W118" s="260" t="n">
        <v>86.387</v>
      </c>
      <c r="X118" s="260" t="n">
        <v>96.458</v>
      </c>
      <c r="Y118" s="260" t="n">
        <v>41.451</v>
      </c>
      <c r="Z118" s="260" t="n">
        <v>36.566</v>
      </c>
      <c r="AA118" s="260" t="n">
        <v>38.64</v>
      </c>
      <c r="AB118" s="260" t="n">
        <v>24.699</v>
      </c>
      <c r="AC118" s="260" t="n">
        <v>21.709</v>
      </c>
      <c r="AD118" s="260" t="n">
        <v>17.006</v>
      </c>
      <c r="AE118" s="260" t="n">
        <v>18.169</v>
      </c>
      <c r="AF118" s="260" t="n">
        <v>19.641</v>
      </c>
      <c r="AG118" s="260" t="n">
        <v>18.599</v>
      </c>
      <c r="AH118" s="260" t="n">
        <v>15.23403041948811</v>
      </c>
      <c r="AI118" s="260" t="n">
        <v>17.37738087650451</v>
      </c>
      <c r="AJ118" s="260" t="n">
        <v>15.69547714165169</v>
      </c>
    </row>
    <row r="119">
      <c r="A119" t="n">
        <v>52</v>
      </c>
      <c r="B119" t="n">
        <v>1</v>
      </c>
      <c r="G119" t="inlineStr">
        <is>
          <t>un</t>
        </is>
      </c>
      <c r="H119" t="inlineStr">
        <is>
          <t>RAC - frota no final do periodo (carros; Op Data l.7)</t>
        </is>
      </c>
      <c r="J119" t="inlineStr">
        <is>
          <t>fonte</t>
        </is>
      </c>
      <c r="K119" s="261" t="n">
        <v>78220</v>
      </c>
      <c r="L119" s="261" t="n">
        <v>66025</v>
      </c>
      <c r="M119" s="261" t="n">
        <v>67978</v>
      </c>
      <c r="N119" s="261" t="n">
        <v>71219</v>
      </c>
      <c r="O119" s="261" t="n">
        <v>70213</v>
      </c>
      <c r="P119" s="261" t="n">
        <v>78453</v>
      </c>
      <c r="Q119" s="261" t="n">
        <v>79888</v>
      </c>
      <c r="R119" s="261" t="n">
        <v>90671</v>
      </c>
      <c r="S119" s="261" t="n">
        <v>96572</v>
      </c>
      <c r="T119" s="261" t="n">
        <v>100403</v>
      </c>
      <c r="U119" s="261" t="n">
        <v>104987</v>
      </c>
      <c r="V119" s="261" t="n">
        <v>111632</v>
      </c>
      <c r="W119" s="261" t="n">
        <v>98373</v>
      </c>
      <c r="X119" s="261" t="n">
        <v>91632</v>
      </c>
      <c r="Y119" s="261" t="n">
        <v>94273</v>
      </c>
      <c r="Z119" s="261" t="n">
        <v>113150</v>
      </c>
      <c r="AA119" s="261" t="n">
        <v>110091</v>
      </c>
      <c r="AB119" s="261" t="n">
        <v>108716</v>
      </c>
      <c r="AC119" s="261" t="n">
        <v>110182</v>
      </c>
      <c r="AD119" s="261" t="n">
        <v>121942</v>
      </c>
      <c r="AE119" s="261" t="n">
        <v>113257</v>
      </c>
      <c r="AF119" s="261" t="n">
        <v>120133</v>
      </c>
      <c r="AG119" s="261" t="n">
        <v>115498</v>
      </c>
      <c r="AH119" s="261" t="n">
        <v>130634</v>
      </c>
      <c r="AI119" s="261" t="n">
        <v>125307</v>
      </c>
      <c r="AJ119" s="261" t="n">
        <v>139785</v>
      </c>
    </row>
    <row r="120">
      <c r="A120" t="n">
        <v>53</v>
      </c>
      <c r="B120" t="n">
        <v>1</v>
      </c>
      <c r="G120" t="inlineStr">
        <is>
          <t>un</t>
        </is>
      </c>
      <c r="H120" t="inlineStr">
        <is>
          <t>RAC - frota media operacional Brasil (Op Data l.11)</t>
        </is>
      </c>
      <c r="J120" t="inlineStr">
        <is>
          <t>fonte</t>
        </is>
      </c>
      <c r="K120" s="261" t="n">
        <v>64923.505</v>
      </c>
      <c r="L120" s="261" t="n">
        <v>50952.352</v>
      </c>
      <c r="M120" s="261" t="n">
        <v>56268.902</v>
      </c>
      <c r="N120" s="261" t="n">
        <v>59810.63</v>
      </c>
      <c r="O120" s="261" t="n">
        <v>64795.778</v>
      </c>
      <c r="P120" s="261" t="n">
        <v>63654.352</v>
      </c>
      <c r="Q120" s="261" t="n">
        <v>67380.652</v>
      </c>
      <c r="R120" s="261" t="n">
        <v>70538.359</v>
      </c>
      <c r="S120" s="261" t="n">
        <v>75286</v>
      </c>
      <c r="T120" s="261" t="n">
        <v>80205</v>
      </c>
      <c r="U120" s="261" t="n">
        <v>85151</v>
      </c>
      <c r="V120" s="261" t="n">
        <v>90852</v>
      </c>
      <c r="W120" s="261" t="n">
        <v>88866.19899999999</v>
      </c>
      <c r="X120" s="261" t="n">
        <v>82491</v>
      </c>
      <c r="Y120" s="261" t="n">
        <v>79085.54300000001</v>
      </c>
      <c r="Z120" s="261" t="n">
        <v>81070.652</v>
      </c>
      <c r="AA120" s="261" t="n">
        <v>89703.462</v>
      </c>
      <c r="AB120" s="261" t="n">
        <v>90071.198</v>
      </c>
      <c r="AC120" s="261" t="n">
        <v>87264.217</v>
      </c>
      <c r="AD120" s="261" t="n">
        <v>88526.512</v>
      </c>
      <c r="AE120" s="261" t="n">
        <v>95097.2</v>
      </c>
      <c r="AF120" s="261" t="n">
        <v>91009.04399999999</v>
      </c>
      <c r="AG120" s="261" t="n">
        <v>92381.45600000001</v>
      </c>
      <c r="AH120" s="261" t="n">
        <v>96659.3292019581</v>
      </c>
      <c r="AI120" s="261" t="n">
        <v>102753.8055925884</v>
      </c>
      <c r="AJ120" s="261" t="n">
        <v>108816.4205625207</v>
      </c>
    </row>
    <row r="121">
      <c r="A121" t="n">
        <v>54</v>
      </c>
      <c r="B121" t="n">
        <v>1</v>
      </c>
      <c r="G121" t="inlineStr">
        <is>
          <t>un</t>
        </is>
      </c>
      <c r="H121" t="inlineStr">
        <is>
          <t>RAC - frota media alugada (Op Data l.13)</t>
        </is>
      </c>
      <c r="J121" t="inlineStr">
        <is>
          <t>fonte</t>
        </is>
      </c>
      <c r="K121" s="261" t="n">
        <v>48798.693</v>
      </c>
      <c r="L121" s="261" t="n">
        <v>37161.198</v>
      </c>
      <c r="M121" s="261" t="n">
        <v>46517.628</v>
      </c>
      <c r="N121" s="261" t="n">
        <v>50502.289</v>
      </c>
      <c r="O121" s="261" t="n">
        <v>51370.093</v>
      </c>
      <c r="P121" s="261" t="n">
        <v>50671.055</v>
      </c>
      <c r="Q121" s="261" t="n">
        <v>55849.469</v>
      </c>
      <c r="R121" s="261" t="n">
        <v>57025.126</v>
      </c>
      <c r="S121" s="261" t="n">
        <v>57280.098</v>
      </c>
      <c r="T121" s="261" t="n">
        <v>63642.042</v>
      </c>
      <c r="U121" s="261" t="n">
        <v>65726.75599999999</v>
      </c>
      <c r="V121" s="261" t="n">
        <v>69565.355</v>
      </c>
      <c r="W121" s="261" t="n">
        <v>69616.243</v>
      </c>
      <c r="X121" s="261" t="n">
        <v>64568</v>
      </c>
      <c r="Y121" s="261" t="n">
        <v>64181.696</v>
      </c>
      <c r="Z121" s="261" t="n">
        <v>66467.20699999999</v>
      </c>
      <c r="AA121" s="261" t="n">
        <v>71924.826</v>
      </c>
      <c r="AB121" s="261" t="n">
        <v>70369.758</v>
      </c>
      <c r="AC121" s="261" t="n">
        <v>68114.141</v>
      </c>
      <c r="AD121" s="261" t="n">
        <v>66296.152</v>
      </c>
      <c r="AE121" s="261" t="n">
        <v>68229.89999999999</v>
      </c>
      <c r="AF121" s="261" t="n">
        <v>67397.041</v>
      </c>
      <c r="AG121" s="261" t="n">
        <v>66285.398</v>
      </c>
      <c r="AH121" s="261" t="n">
        <v>73313.1930240878</v>
      </c>
      <c r="AI121" s="261" t="n">
        <v>79411.65199217327</v>
      </c>
      <c r="AJ121" s="261" t="n">
        <v>82926.86327019257</v>
      </c>
    </row>
    <row r="122">
      <c r="A122" t="n">
        <v>55</v>
      </c>
      <c r="B122" t="n">
        <v>1</v>
      </c>
      <c r="G122" t="inlineStr">
        <is>
          <t>un</t>
        </is>
      </c>
      <c r="H122" t="inlineStr">
        <is>
          <t>RAC - numero de diarias (mil; Op Data l.15)</t>
        </is>
      </c>
      <c r="J122" t="inlineStr">
        <is>
          <t>fonte</t>
        </is>
      </c>
      <c r="K122" s="260" t="n">
        <v>4419.568</v>
      </c>
      <c r="L122" s="260" t="n">
        <v>3462.499</v>
      </c>
      <c r="M122" s="260" t="n">
        <v>4330.12</v>
      </c>
      <c r="N122" s="260" t="n">
        <v>4822.77</v>
      </c>
      <c r="O122" s="260" t="n">
        <v>5067.042</v>
      </c>
      <c r="P122" s="260" t="n">
        <v>4618.39</v>
      </c>
      <c r="Q122" s="260" t="n">
        <v>5143.355</v>
      </c>
      <c r="R122" s="260" t="n">
        <v>5281.203</v>
      </c>
      <c r="S122" s="260" t="n">
        <v>5224.573</v>
      </c>
      <c r="T122" s="260" t="n">
        <v>5677.49</v>
      </c>
      <c r="U122" s="260" t="n">
        <v>5888.846</v>
      </c>
      <c r="V122" s="260" t="n">
        <v>6111.338</v>
      </c>
      <c r="W122" s="260" t="n">
        <v>6218.754</v>
      </c>
      <c r="X122" s="260" t="n">
        <v>5837.236</v>
      </c>
      <c r="Y122" s="260" t="n">
        <v>5819.624</v>
      </c>
      <c r="Z122" s="260" t="n">
        <v>5945.636</v>
      </c>
      <c r="AA122" s="260" t="n">
        <v>6414.484</v>
      </c>
      <c r="AB122" s="260" t="n">
        <v>6200.041</v>
      </c>
      <c r="AC122" s="260" t="n">
        <v>6004.671</v>
      </c>
      <c r="AD122" s="260" t="n">
        <v>5958.805</v>
      </c>
      <c r="AE122" s="260" t="n">
        <v>6026.629</v>
      </c>
      <c r="AF122" s="260" t="n">
        <v>6070.355</v>
      </c>
      <c r="AG122" s="260" t="n">
        <v>6084.784</v>
      </c>
      <c r="AH122" s="260" t="n">
        <v>6688.82</v>
      </c>
      <c r="AI122" s="260" t="n">
        <v>7085.315149551208</v>
      </c>
      <c r="AJ122" s="260" t="n">
        <v>7412.78699999912</v>
      </c>
    </row>
    <row r="123">
      <c r="A123" t="n">
        <v>56</v>
      </c>
      <c r="B123" t="n">
        <v>1</v>
      </c>
      <c r="G123" t="inlineStr">
        <is>
          <t>un</t>
        </is>
      </c>
      <c r="H123" t="inlineStr">
        <is>
          <t>RAC - taxa de ocupacao (Op Data l.16)</t>
        </is>
      </c>
      <c r="J123" t="inlineStr">
        <is>
          <t>fonte</t>
        </is>
      </c>
      <c r="K123" s="262" t="n">
        <v>0.752</v>
      </c>
      <c r="L123" s="262" t="n">
        <v>0.729</v>
      </c>
      <c r="M123" s="262" t="n">
        <v>0.827</v>
      </c>
      <c r="N123" s="262" t="n">
        <v>0.844</v>
      </c>
      <c r="O123" s="262" t="n">
        <v>0.793</v>
      </c>
      <c r="P123" s="262" t="n">
        <v>0.796</v>
      </c>
      <c r="Q123" s="262" t="n">
        <v>0.829</v>
      </c>
      <c r="R123" s="262" t="n">
        <v>0.8080000000000001</v>
      </c>
      <c r="S123" s="262" t="n">
        <v>0.761</v>
      </c>
      <c r="T123" s="262" t="n">
        <v>0.793</v>
      </c>
      <c r="U123" s="262" t="n">
        <v>0.772</v>
      </c>
      <c r="V123" s="262" t="n">
        <v>0.766</v>
      </c>
      <c r="W123" s="262" t="n">
        <v>0.784</v>
      </c>
      <c r="X123" s="262" t="n">
        <v>0.783</v>
      </c>
      <c r="Y123" s="262" t="n">
        <v>0.8110000000000001</v>
      </c>
      <c r="Z123" s="262" t="n">
        <v>0.82</v>
      </c>
      <c r="AA123" s="262" t="n">
        <v>0.802</v>
      </c>
      <c r="AB123" s="262" t="n">
        <v>0.781</v>
      </c>
      <c r="AC123" s="262" t="n">
        <v>0.781</v>
      </c>
      <c r="AD123" s="262" t="n">
        <v>0.749</v>
      </c>
      <c r="AE123" s="262" t="n">
        <v>0.717</v>
      </c>
      <c r="AF123" s="262" t="n">
        <v>0.741</v>
      </c>
      <c r="AG123" s="262" t="n">
        <v>0.718</v>
      </c>
      <c r="AH123" s="262" t="n">
        <v>0.7584699131411171</v>
      </c>
      <c r="AI123" s="262" t="n">
        <v>0.7728341693448793</v>
      </c>
      <c r="AJ123" s="262" t="n">
        <v>0.7620804180242885</v>
      </c>
    </row>
    <row r="124">
      <c r="A124" t="n">
        <v>57</v>
      </c>
      <c r="B124" t="n">
        <v>1</v>
      </c>
      <c r="G124" t="inlineStr">
        <is>
          <t>un</t>
        </is>
      </c>
      <c r="H124" t="inlineStr">
        <is>
          <t>RAC - diaria media (R$; Op Data l.17)</t>
        </is>
      </c>
      <c r="J124" t="inlineStr">
        <is>
          <t>fonte</t>
        </is>
      </c>
      <c r="K124" s="263" t="n">
        <v>83.42700000000001</v>
      </c>
      <c r="L124" s="263" t="n">
        <v>59.514</v>
      </c>
      <c r="M124" s="263" t="n">
        <v>70.337</v>
      </c>
      <c r="N124" s="263" t="n">
        <v>84.379</v>
      </c>
      <c r="O124" s="263" t="n">
        <v>81.742</v>
      </c>
      <c r="P124" s="263" t="n">
        <v>84.087</v>
      </c>
      <c r="Q124" s="263" t="n">
        <v>96.404</v>
      </c>
      <c r="R124" s="263" t="n">
        <v>118.614</v>
      </c>
      <c r="S124" s="263" t="n">
        <v>118.61</v>
      </c>
      <c r="T124" s="263" t="n">
        <v>115.745</v>
      </c>
      <c r="U124" s="263" t="n">
        <v>128.557</v>
      </c>
      <c r="V124" s="263" t="n">
        <v>127.297</v>
      </c>
      <c r="W124" s="263" t="n">
        <v>126.002</v>
      </c>
      <c r="X124" s="263" t="n">
        <v>123.362</v>
      </c>
      <c r="Y124" s="263" t="n">
        <v>124.524</v>
      </c>
      <c r="Z124" s="263" t="n">
        <v>126.1</v>
      </c>
      <c r="AA124" s="263" t="n">
        <v>130.299</v>
      </c>
      <c r="AB124" s="263" t="n">
        <v>134.541</v>
      </c>
      <c r="AC124" s="263" t="n">
        <v>142.036</v>
      </c>
      <c r="AD124" s="263" t="n">
        <v>150.723</v>
      </c>
      <c r="AE124" s="263" t="n">
        <v>158.045</v>
      </c>
      <c r="AF124" s="263" t="n">
        <v>154.171</v>
      </c>
      <c r="AG124" s="263" t="n">
        <v>159.266</v>
      </c>
      <c r="AH124" s="263" t="n">
        <v>160.5878557097244</v>
      </c>
      <c r="AI124" s="263" t="n">
        <v>168.4518268076741</v>
      </c>
      <c r="AJ124" s="263" t="n">
        <v>164.7255923389758</v>
      </c>
    </row>
    <row r="125">
      <c r="A125" t="n">
        <v>58</v>
      </c>
      <c r="B125" t="n">
        <v>1</v>
      </c>
      <c r="G125" t="inlineStr">
        <is>
          <t>un</t>
        </is>
      </c>
      <c r="H125" t="inlineStr">
        <is>
          <t>RAC - receita media mensal por carro operacional (R$; Op Data l.18)</t>
        </is>
      </c>
      <c r="J125" t="inlineStr">
        <is>
          <t>fonte</t>
        </is>
      </c>
      <c r="K125" s="261" t="n">
        <v>1720.077</v>
      </c>
      <c r="L125" s="261" t="n">
        <v>1218.369</v>
      </c>
      <c r="M125" s="261" t="n">
        <v>1648.088</v>
      </c>
      <c r="N125" s="261" t="n">
        <v>2113.944</v>
      </c>
      <c r="O125" s="261" t="n">
        <v>1926.167</v>
      </c>
      <c r="P125" s="261" t="n">
        <v>1838.986</v>
      </c>
      <c r="Q125" s="261" t="n">
        <v>2237.514</v>
      </c>
      <c r="R125" s="261" t="n">
        <v>2769.63</v>
      </c>
      <c r="S125" s="261" t="n">
        <v>2743.698</v>
      </c>
      <c r="T125" s="261" t="n">
        <v>2731.097</v>
      </c>
      <c r="U125" s="261" t="n">
        <v>2963.558</v>
      </c>
      <c r="V125" s="261" t="n">
        <v>2854.288</v>
      </c>
      <c r="W125" s="261" t="n">
        <v>2939.168</v>
      </c>
      <c r="X125" s="261" t="n">
        <v>2909.796</v>
      </c>
      <c r="Y125" s="261" t="n">
        <v>3054.435</v>
      </c>
      <c r="Z125" s="261" t="n">
        <v>3082.674</v>
      </c>
      <c r="AA125" s="261" t="n">
        <v>3105.783</v>
      </c>
      <c r="AB125" s="261" t="n">
        <v>3087.035</v>
      </c>
      <c r="AC125" s="261" t="n">
        <v>3257.833</v>
      </c>
      <c r="AD125" s="261" t="n">
        <v>3381.404</v>
      </c>
      <c r="AE125" s="261" t="n">
        <v>3338.611</v>
      </c>
      <c r="AF125" s="261" t="n">
        <v>3427.762</v>
      </c>
      <c r="AG125" s="261" t="n">
        <v>3496.733</v>
      </c>
      <c r="AH125" s="261" t="n">
        <v>3704.223447775105</v>
      </c>
      <c r="AI125" s="261" t="n">
        <v>3871.825066289253</v>
      </c>
      <c r="AJ125" s="261" t="n">
        <v>3740.476309075501</v>
      </c>
    </row>
    <row r="126">
      <c r="A126" t="n">
        <v>59</v>
      </c>
      <c r="B126" t="n">
        <v>1</v>
      </c>
      <c r="G126" t="inlineStr">
        <is>
          <t>un</t>
        </is>
      </c>
      <c r="H126" t="inlineStr">
        <is>
          <t>GTF - frota no final do periodo (carros; Op Data l.20)</t>
        </is>
      </c>
      <c r="J126" t="inlineStr">
        <is>
          <t>fonte</t>
        </is>
      </c>
      <c r="K126" s="261" t="n">
        <v>40889</v>
      </c>
      <c r="L126" s="261" t="n">
        <v>39673</v>
      </c>
      <c r="M126" s="261" t="n">
        <v>40731</v>
      </c>
      <c r="N126" s="261" t="n">
        <v>47244</v>
      </c>
      <c r="O126" s="261" t="n">
        <v>52395</v>
      </c>
      <c r="P126" s="261" t="n">
        <v>55776</v>
      </c>
      <c r="Q126" s="261" t="n">
        <v>88379</v>
      </c>
      <c r="R126" s="261" t="n">
        <v>96303</v>
      </c>
      <c r="S126" s="261" t="n">
        <v>95370</v>
      </c>
      <c r="T126" s="261" t="n">
        <v>106498</v>
      </c>
      <c r="U126" s="261" t="n">
        <v>107728</v>
      </c>
      <c r="V126" s="261" t="n">
        <v>112352</v>
      </c>
      <c r="W126" s="261" t="n">
        <v>114617</v>
      </c>
      <c r="X126" s="261" t="n">
        <v>113678</v>
      </c>
      <c r="Y126" s="261" t="n">
        <v>119574</v>
      </c>
      <c r="Z126" s="261" t="n">
        <v>130781</v>
      </c>
      <c r="AA126" s="261" t="n">
        <v>135628</v>
      </c>
      <c r="AB126" s="261" t="n">
        <v>137648</v>
      </c>
      <c r="AC126" s="261" t="n">
        <v>137405</v>
      </c>
      <c r="AD126" s="261" t="n">
        <v>146543</v>
      </c>
      <c r="AE126" s="261" t="n">
        <v>143794</v>
      </c>
      <c r="AF126" s="261" t="n">
        <v>142296</v>
      </c>
      <c r="AG126" s="261" t="n">
        <v>143449</v>
      </c>
      <c r="AH126" s="261" t="n">
        <v>144207</v>
      </c>
      <c r="AI126" s="261" t="n">
        <v>141949</v>
      </c>
      <c r="AJ126" s="261" t="n">
        <v>145882</v>
      </c>
    </row>
    <row r="127">
      <c r="A127" t="n">
        <v>60</v>
      </c>
      <c r="B127" t="n">
        <v>1</v>
      </c>
      <c r="G127" t="inlineStr">
        <is>
          <t>un</t>
        </is>
      </c>
      <c r="H127" t="inlineStr">
        <is>
          <t>GTF - frota media operacional (Op Data l.21)</t>
        </is>
      </c>
      <c r="J127" t="inlineStr">
        <is>
          <t>fonte</t>
        </is>
      </c>
      <c r="K127" s="261" t="n">
        <v>34587</v>
      </c>
      <c r="L127" s="261" t="n">
        <v>32980</v>
      </c>
      <c r="M127" s="261" t="n">
        <v>33511.333</v>
      </c>
      <c r="N127" s="261" t="n">
        <v>39270.356</v>
      </c>
      <c r="O127" s="261" t="n">
        <v>44736.039</v>
      </c>
      <c r="P127" s="261" t="n">
        <v>49928.678</v>
      </c>
      <c r="Q127" s="261" t="n">
        <v>68034.931</v>
      </c>
      <c r="R127" s="261" t="n">
        <v>79897.806</v>
      </c>
      <c r="S127" s="261" t="n">
        <v>85083</v>
      </c>
      <c r="T127" s="261" t="n">
        <v>87101.167</v>
      </c>
      <c r="U127" s="261" t="n">
        <v>93595.19899999999</v>
      </c>
      <c r="V127" s="261" t="n">
        <v>95705.704</v>
      </c>
      <c r="W127" s="261" t="n">
        <v>98028</v>
      </c>
      <c r="X127" s="261" t="n">
        <v>100696.54</v>
      </c>
      <c r="Y127" s="261" t="n">
        <v>101695.065</v>
      </c>
      <c r="Z127" s="261" t="n">
        <v>107000.321</v>
      </c>
      <c r="AA127" s="261" t="n">
        <v>112709.434</v>
      </c>
      <c r="AB127" s="261" t="n">
        <v>118512.363</v>
      </c>
      <c r="AC127" s="261" t="n">
        <v>123986.478</v>
      </c>
      <c r="AD127" s="261" t="n">
        <v>127312.332</v>
      </c>
      <c r="AE127" s="261" t="n">
        <v>128683.5</v>
      </c>
      <c r="AF127" s="261" t="n">
        <v>126277.209</v>
      </c>
      <c r="AG127" s="261" t="n">
        <v>128188.924</v>
      </c>
      <c r="AH127" s="261" t="n">
        <v>129702.5597826087</v>
      </c>
      <c r="AI127" s="261" t="n">
        <v>131043.6444444444</v>
      </c>
      <c r="AJ127" s="261" t="n">
        <v>130822.8571428571</v>
      </c>
    </row>
    <row r="128">
      <c r="A128" t="n">
        <v>61</v>
      </c>
      <c r="B128" t="n">
        <v>1</v>
      </c>
      <c r="G128" t="inlineStr">
        <is>
          <t>un</t>
        </is>
      </c>
      <c r="H128" t="inlineStr">
        <is>
          <t>GTF - ticket medio mensal (R$; Op Data l.25)</t>
        </is>
      </c>
      <c r="J128" t="inlineStr">
        <is>
          <t>fonte</t>
        </is>
      </c>
      <c r="K128" s="261" t="n">
        <v>1353.649</v>
      </c>
      <c r="L128" s="261" t="n">
        <v>1390.284</v>
      </c>
      <c r="M128" s="261" t="n">
        <v>1241.48</v>
      </c>
      <c r="N128" s="261" t="n">
        <v>1196.553</v>
      </c>
      <c r="O128" s="261" t="n">
        <v>1372.319</v>
      </c>
      <c r="P128" s="261" t="n">
        <v>1446.677</v>
      </c>
      <c r="Q128" s="261" t="n">
        <v>1556.347</v>
      </c>
      <c r="R128" s="261" t="n">
        <v>1554.954</v>
      </c>
      <c r="S128" s="261" t="n">
        <v>1656.1</v>
      </c>
      <c r="T128" s="261" t="n">
        <v>1785.39</v>
      </c>
      <c r="U128" s="261" t="n">
        <v>1811.553</v>
      </c>
      <c r="V128" s="261" t="n">
        <v>1924.074</v>
      </c>
      <c r="W128" s="261" t="n">
        <v>2040.898</v>
      </c>
      <c r="X128" s="261" t="n">
        <v>2110.268</v>
      </c>
      <c r="Y128" s="261" t="n">
        <v>2191.255</v>
      </c>
      <c r="Z128" s="261" t="n">
        <v>2275.453</v>
      </c>
      <c r="AA128" s="261" t="n">
        <v>2380.167</v>
      </c>
      <c r="AB128" s="261" t="n">
        <v>2582.26</v>
      </c>
      <c r="AC128" s="261" t="n">
        <v>2695.784</v>
      </c>
      <c r="AD128" s="261" t="n">
        <v>2780.174</v>
      </c>
      <c r="AE128" s="261" t="n">
        <v>2855.385</v>
      </c>
      <c r="AF128" s="261" t="n">
        <v>2948.728</v>
      </c>
      <c r="AG128" s="261" t="n">
        <v>3025.387</v>
      </c>
      <c r="AH128" s="261" t="n">
        <v>3123.287436343066</v>
      </c>
      <c r="AI128" s="261" t="n">
        <v>3162.020318345195</v>
      </c>
      <c r="AJ128" s="261" t="n">
        <v>3288.956832502472</v>
      </c>
    </row>
    <row r="129">
      <c r="A129" t="n">
        <v>62</v>
      </c>
      <c r="B129" t="n">
        <v>1</v>
      </c>
      <c r="G129" t="inlineStr">
        <is>
          <t>un</t>
        </is>
      </c>
      <c r="H129" t="inlineStr">
        <is>
          <t>Seminovos - carros vendidos (Op Data l.28)</t>
        </is>
      </c>
      <c r="J129" t="inlineStr">
        <is>
          <t>fonte</t>
        </is>
      </c>
      <c r="K129" s="261" t="n">
        <v>14127</v>
      </c>
      <c r="L129" s="261" t="n">
        <v>18465</v>
      </c>
      <c r="M129" s="261" t="n">
        <v>14321</v>
      </c>
      <c r="N129" s="261" t="n">
        <v>9869</v>
      </c>
      <c r="O129" s="261" t="n">
        <v>5356</v>
      </c>
      <c r="P129" s="261" t="n">
        <v>12462</v>
      </c>
      <c r="Q129" s="261" t="n">
        <v>14509</v>
      </c>
      <c r="R129" s="261" t="n">
        <v>12472</v>
      </c>
      <c r="S129" s="261" t="n">
        <v>15225</v>
      </c>
      <c r="T129" s="261" t="n">
        <v>18474</v>
      </c>
      <c r="U129" s="261" t="n">
        <v>20023</v>
      </c>
      <c r="V129" s="261" t="n">
        <v>18697</v>
      </c>
      <c r="W129" s="261" t="n">
        <v>19610</v>
      </c>
      <c r="X129" s="261" t="n">
        <v>18806</v>
      </c>
      <c r="Y129" s="261" t="n">
        <v>20503</v>
      </c>
      <c r="Z129" s="261" t="n">
        <v>17253</v>
      </c>
      <c r="AA129" s="261" t="n">
        <v>23249</v>
      </c>
      <c r="AB129" s="261" t="n">
        <v>27954</v>
      </c>
      <c r="AC129" s="261" t="n">
        <v>30572</v>
      </c>
      <c r="AD129" s="261" t="n">
        <v>21916</v>
      </c>
      <c r="AE129" s="261" t="n">
        <v>24784</v>
      </c>
      <c r="AF129" s="261" t="n">
        <v>25917</v>
      </c>
      <c r="AG129" s="261" t="n">
        <v>24472</v>
      </c>
      <c r="AH129" s="261" t="n">
        <v>22172</v>
      </c>
      <c r="AI129" s="261" t="n">
        <v>20620</v>
      </c>
      <c r="AJ129" s="261" t="n">
        <v>19414</v>
      </c>
    </row>
    <row r="130">
      <c r="A130" t="n">
        <v>63</v>
      </c>
      <c r="B130" t="n">
        <v>1</v>
      </c>
      <c r="G130" t="inlineStr">
        <is>
          <t>un</t>
        </is>
      </c>
      <c r="H130" t="inlineStr">
        <is>
          <t>Seminovos - preco medio do carro vendido (R$; Op Data l.31)</t>
        </is>
      </c>
      <c r="J130" t="inlineStr">
        <is>
          <t>fonte</t>
        </is>
      </c>
      <c r="K130" s="261" t="n">
        <v>40161.535</v>
      </c>
      <c r="L130" s="261" t="n">
        <v>40614.688</v>
      </c>
      <c r="M130" s="261" t="n">
        <v>45289.77</v>
      </c>
      <c r="N130" s="261" t="n">
        <v>50153.014</v>
      </c>
      <c r="O130" s="261" t="n">
        <v>51893.918</v>
      </c>
      <c r="P130" s="261" t="n">
        <v>54575.562</v>
      </c>
      <c r="Q130" s="261" t="n">
        <v>58732.576</v>
      </c>
      <c r="R130" s="261" t="n">
        <v>65422.791</v>
      </c>
      <c r="S130" s="261" t="n">
        <v>64467.473</v>
      </c>
      <c r="T130" s="261" t="n">
        <v>66619.727</v>
      </c>
      <c r="U130" s="261" t="n">
        <v>70866.81200000001</v>
      </c>
      <c r="V130" s="261" t="n">
        <v>75437.883</v>
      </c>
      <c r="W130" s="261" t="n">
        <v>75131.641</v>
      </c>
      <c r="X130" s="261" t="n">
        <v>67009.986</v>
      </c>
      <c r="Y130" s="261" t="n">
        <v>67718.251</v>
      </c>
      <c r="Z130" s="261" t="n">
        <v>68176.185</v>
      </c>
      <c r="AA130" s="261" t="n">
        <v>66942.505</v>
      </c>
      <c r="AB130" s="261" t="n">
        <v>66598.72500000001</v>
      </c>
      <c r="AC130" s="261" t="n">
        <v>67728.675</v>
      </c>
      <c r="AD130" s="261" t="n">
        <v>68181.22500000001</v>
      </c>
      <c r="AE130" s="261" t="n">
        <v>69546.77899999999</v>
      </c>
      <c r="AF130" s="261" t="n">
        <v>70398.095</v>
      </c>
      <c r="AG130" s="261" t="n">
        <v>73431.67200000001</v>
      </c>
      <c r="AH130" s="261" t="n">
        <v>72269.74445472271</v>
      </c>
      <c r="AI130" s="261" t="n">
        <v>77823.72868094948</v>
      </c>
      <c r="AJ130" s="261" t="n">
        <v>77252.18405434357</v>
      </c>
    </row>
    <row r="131">
      <c r="A131" t="n">
        <v>64</v>
      </c>
      <c r="B131" t="n">
        <v>1</v>
      </c>
      <c r="G131" t="inlineStr">
        <is>
          <t>un</t>
        </is>
      </c>
      <c r="H131" t="inlineStr">
        <is>
          <t>Carros comprados (CAPEX l.22)</t>
        </is>
      </c>
      <c r="J131" t="inlineStr">
        <is>
          <t>fonte</t>
        </is>
      </c>
      <c r="K131" s="261" t="n">
        <v>24221</v>
      </c>
      <c r="L131" s="261" t="n">
        <v>5962</v>
      </c>
      <c r="M131" s="261" t="n">
        <v>18242</v>
      </c>
      <c r="N131" s="261" t="n">
        <v>21167</v>
      </c>
      <c r="O131" s="261" t="n">
        <v>10911</v>
      </c>
      <c r="P131" s="261" t="n">
        <v>23273</v>
      </c>
      <c r="Q131" s="261" t="n">
        <v>25098</v>
      </c>
      <c r="R131" s="261" t="n">
        <v>32177</v>
      </c>
      <c r="S131" s="261" t="n">
        <v>21202</v>
      </c>
      <c r="T131" s="261" t="n">
        <v>32840</v>
      </c>
      <c r="U131" s="261" t="n">
        <v>27096</v>
      </c>
      <c r="V131" s="261" t="n">
        <v>27209</v>
      </c>
      <c r="W131" s="261" t="n">
        <v>8899</v>
      </c>
      <c r="X131" s="261" t="n">
        <v>11971</v>
      </c>
      <c r="Y131" s="261" t="n">
        <v>29802</v>
      </c>
      <c r="Z131" s="261" t="n">
        <v>48289</v>
      </c>
      <c r="AA131" s="261" t="n">
        <v>26141</v>
      </c>
      <c r="AB131" s="261" t="n">
        <v>29647</v>
      </c>
      <c r="AC131" s="261" t="n">
        <v>33081</v>
      </c>
      <c r="AD131" s="261" t="n">
        <v>45949</v>
      </c>
      <c r="AE131" s="261" t="n">
        <v>16643</v>
      </c>
      <c r="AF131" s="261" t="n">
        <v>28084</v>
      </c>
      <c r="AG131" s="261" t="n">
        <v>21947</v>
      </c>
      <c r="AH131" s="261" t="n">
        <v>40352</v>
      </c>
      <c r="AI131" s="261" t="n">
        <v>14588</v>
      </c>
      <c r="AJ131" s="261" t="n">
        <v>38613</v>
      </c>
    </row>
    <row r="132">
      <c r="A132" t="n">
        <v>65</v>
      </c>
      <c r="B132" t="n">
        <v>1</v>
      </c>
      <c r="G132" t="inlineStr">
        <is>
          <t>un</t>
        </is>
      </c>
      <c r="H132" t="inlineStr">
        <is>
          <t>Preco medio do carro comprado (R$; CAPEX l.25)</t>
        </is>
      </c>
      <c r="J132" t="inlineStr">
        <is>
          <t>fonte</t>
        </is>
      </c>
      <c r="K132" s="261" t="n">
        <v>47031.149</v>
      </c>
      <c r="L132" s="261" t="n">
        <v>50847.289</v>
      </c>
      <c r="M132" s="261" t="n">
        <v>52071.464</v>
      </c>
      <c r="N132" s="261" t="n">
        <v>55619.125</v>
      </c>
      <c r="O132" s="261" t="n">
        <v>59451.895</v>
      </c>
      <c r="P132" s="261" t="n">
        <v>65849.458</v>
      </c>
      <c r="Q132" s="261" t="n">
        <v>83151.073</v>
      </c>
      <c r="R132" s="261" t="n">
        <v>90445.152</v>
      </c>
      <c r="S132" s="261" t="n">
        <v>90435.52499999999</v>
      </c>
      <c r="T132" s="261" t="n">
        <v>91843.12</v>
      </c>
      <c r="U132" s="261" t="n">
        <v>82230.106</v>
      </c>
      <c r="V132" s="261" t="n">
        <v>78693.27800000001</v>
      </c>
      <c r="W132" s="261" t="n">
        <v>88893.811</v>
      </c>
      <c r="X132" s="261" t="n">
        <v>95090.768</v>
      </c>
      <c r="Y132" s="261" t="n">
        <v>87377.337</v>
      </c>
      <c r="Z132" s="261" t="n">
        <v>90486.921</v>
      </c>
      <c r="AA132" s="261" t="n">
        <v>87279.205</v>
      </c>
      <c r="AB132" s="261" t="n">
        <v>85989.82799999999</v>
      </c>
      <c r="AC132" s="261" t="n">
        <v>89426.948</v>
      </c>
      <c r="AD132" s="261" t="n">
        <v>86193.12</v>
      </c>
      <c r="AE132" s="261" t="n">
        <v>90324.76754349349</v>
      </c>
      <c r="AF132" s="261" t="n">
        <v>94322.62190881174</v>
      </c>
      <c r="AG132" s="261" t="n">
        <v>101130.255</v>
      </c>
      <c r="AH132" s="261" t="n">
        <v>100334.8507800862</v>
      </c>
      <c r="AI132" s="261" t="n">
        <v>102359.6044694266</v>
      </c>
      <c r="AJ132" s="261" t="n">
        <v>101231.4230551911</v>
      </c>
    </row>
    <row r="133">
      <c r="A133" t="n">
        <v>66</v>
      </c>
      <c r="B133" t="n">
        <v>1</v>
      </c>
      <c r="G133" t="inlineStr">
        <is>
          <t>moeda</t>
        </is>
      </c>
      <c r="H133" t="inlineStr">
        <is>
          <t>Capex RAC - frota + lojas + outros (R$ mi; CAPEX l.13)</t>
        </is>
      </c>
      <c r="J133" t="inlineStr">
        <is>
          <t>fonte</t>
        </is>
      </c>
      <c r="K133" s="260" t="n">
        <v>963.697</v>
      </c>
      <c r="L133" s="260" t="n">
        <v>283.588</v>
      </c>
      <c r="M133" s="260" t="n">
        <v>737.328</v>
      </c>
      <c r="N133" s="260" t="n">
        <v>705.9690000000001</v>
      </c>
      <c r="O133" s="260" t="n">
        <v>281.818</v>
      </c>
      <c r="P133" s="260" t="n">
        <v>1318.926</v>
      </c>
      <c r="Q133" s="260" t="n">
        <v>1182.7</v>
      </c>
      <c r="R133" s="260" t="n">
        <v>1996.188</v>
      </c>
      <c r="S133" s="260" t="n">
        <v>1808.921</v>
      </c>
      <c r="T133" s="260" t="n">
        <v>1991.964</v>
      </c>
      <c r="U133" s="260" t="n">
        <v>1772.167</v>
      </c>
      <c r="V133" s="260" t="n">
        <v>1402.661</v>
      </c>
      <c r="W133" s="260" t="n">
        <v>76.92400000000001</v>
      </c>
      <c r="X133" s="260" t="n">
        <v>261.923</v>
      </c>
      <c r="Y133" s="260" t="n">
        <v>1026.842</v>
      </c>
      <c r="Z133" s="260" t="n">
        <v>2266.734</v>
      </c>
      <c r="AA133" s="260" t="n">
        <v>924.7859999999999</v>
      </c>
      <c r="AB133" s="260" t="n">
        <v>1095.802</v>
      </c>
      <c r="AC133" s="260" t="n">
        <v>1654.517</v>
      </c>
      <c r="AD133" s="260" t="n">
        <v>2135.623</v>
      </c>
      <c r="AE133" s="260" t="n">
        <v>663.0220867037779</v>
      </c>
      <c r="AF133" s="260" t="n">
        <v>1801.132913296222</v>
      </c>
      <c r="AG133" s="260" t="n">
        <v>955.412</v>
      </c>
      <c r="AH133" s="260" t="n">
        <v>2618.418224113924</v>
      </c>
      <c r="AI133" s="260" t="n">
        <v>570.4167984283711</v>
      </c>
      <c r="AJ133" s="260" t="n">
        <v>2267.391201594015</v>
      </c>
    </row>
    <row r="134">
      <c r="A134" t="n">
        <v>67</v>
      </c>
      <c r="B134" t="n">
        <v>1</v>
      </c>
      <c r="G134" t="inlineStr">
        <is>
          <t>moeda</t>
        </is>
      </c>
      <c r="H134" t="inlineStr">
        <is>
          <t>Capex GTF (R$ mi; CAPEX l.19)</t>
        </is>
      </c>
      <c r="J134" t="inlineStr">
        <is>
          <t>fonte</t>
        </is>
      </c>
      <c r="K134" s="260" t="n">
        <v>203.085</v>
      </c>
      <c r="L134" s="260" t="n">
        <v>39.702</v>
      </c>
      <c r="M134" s="260" t="n">
        <v>238.77</v>
      </c>
      <c r="N134" s="260" t="n">
        <v>500.861</v>
      </c>
      <c r="O134" s="260" t="n">
        <v>400.141</v>
      </c>
      <c r="P134" s="260" t="n">
        <v>268.452</v>
      </c>
      <c r="Q134" s="260" t="n">
        <v>945.323</v>
      </c>
      <c r="R134" s="260" t="n">
        <v>961.226</v>
      </c>
      <c r="S134" s="260" t="n">
        <v>154.34</v>
      </c>
      <c r="T134" s="260" t="n">
        <v>1080.363</v>
      </c>
      <c r="U134" s="260" t="n">
        <v>512.801</v>
      </c>
      <c r="V134" s="260" t="n">
        <v>791.89</v>
      </c>
      <c r="W134" s="260" t="n">
        <v>761.79</v>
      </c>
      <c r="X134" s="260" t="n">
        <v>920.396</v>
      </c>
      <c r="Y134" s="260" t="n">
        <v>1620.787</v>
      </c>
      <c r="Z134" s="260" t="n">
        <v>2148.859</v>
      </c>
      <c r="AA134" s="260" t="n">
        <v>1396.221</v>
      </c>
      <c r="AB134" s="260" t="n">
        <v>1503.655</v>
      </c>
      <c r="AC134" s="260" t="n">
        <v>1356.178</v>
      </c>
      <c r="AD134" s="260" t="n">
        <v>1870.277</v>
      </c>
      <c r="AE134" s="260" t="n">
        <v>815.7386047562235</v>
      </c>
      <c r="AF134" s="260" t="n">
        <v>1235.113590263442</v>
      </c>
      <c r="AG134" s="260" t="n">
        <v>1335.992</v>
      </c>
      <c r="AH134" s="260" t="n">
        <v>1493.408446854114</v>
      </c>
      <c r="AI134" s="260" t="n">
        <v>988.5002519416239</v>
      </c>
      <c r="AJ134" s="260" t="n">
        <v>1707.599346692971</v>
      </c>
    </row>
    <row r="135">
      <c r="H135" t="inlineStr">
        <is>
          <t>Notas: segmentos somam a receita consolidada em todos os trimestres. RAC Portugal so a partir de 2023. Dados operacionais sem fator (unidades, R$ e %).</t>
        </is>
      </c>
    </row>
    <row r="173">
      <c r="H173" s="254" t="inlineStr">
        <is>
          <t>CONVENCOES</t>
        </is>
      </c>
    </row>
    <row r="174">
      <c r="H174" t="inlineStr">
        <is>
          <t>Linhas de origem: 5 a 135. As formulas da Inputs (2) varrem as linhas 5 a 170; as linhas 136 a 170 estao livres para novas contas.</t>
        </is>
      </c>
    </row>
    <row r="175">
      <c r="H175" t="inlineStr">
        <is>
          <t>Periodos: colunas K a AJ (1Q20 a 2Q26 = 1T20 a 2T26).</t>
        </is>
      </c>
    </row>
    <row r="176">
      <c r="H176" t="inlineStr">
        <is>
          <t>Brutos ja em R$ milhoes (como na planilha da Cia): fator da celula B1 = 1.</t>
        </is>
      </c>
    </row>
    <row r="177">
      <c r="H177" t="inlineStr">
        <is>
          <t>ORIGEM: fonte = copiado da planilha; memoria = como divulgado, sem codigo; derivada = formula nesta aba.</t>
        </is>
      </c>
    </row>
    <row r="178">
      <c r="H178" t="inlineStr">
        <is>
          <t>Codigos 45 a 67: drivers de receita (memoria); alimentam o bloco logo abaixo da receita liquida no Model.</t>
        </is>
      </c>
    </row>
    <row r="179"/>
    <row r="180"/>
    <row r="181"/>
    <row r="182"/>
    <row r="183"/>
    <row r="18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5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67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$170=$B4)*ISNUMBER(INDEX(Inputs!$K$5:$AJ$170,0,MATCH(D$2,Inputs!$K$4:$AJ$4,0))))+SUMPRODUCT((Inputs!$C$5:$C$170=$B4)*ISNUMBER(INDEX(Inputs!$K$5:$AJ$170,0,MATCH(D$2,Inputs!$K$4:$AJ$4,0))))+SUMPRODUCT((Inputs!$E$5:$E$170=$B4)*ISNUMBER(INDEX(Inputs!$K$5:$AJ$170,0,MATCH(D$2,Inputs!$K$4:$AJ$4,0))))=0,NA(),SUMPRODUCT((Inputs!$A$5:$A$170=$B4)*Inputs!$B$5:$B$170*(((Inputs!$G$5:$G$170="moeda")+(Inputs!$G$5:$G$170="acoes"))*Inputs!$B$1+((Inputs!$G$5:$G$170&lt;&gt;"moeda")*(Inputs!$G$5:$G$170&lt;&gt;"acoes")))*INDEX(Inputs!$K$5:$AJ$170,0,MATCH(D$2,Inputs!$K$4:$AJ$4,0)))+SUMPRODUCT((Inputs!$C$5:$C$170=$B4)*Inputs!$D$5:$D$170*(((Inputs!$G$5:$G$170="moeda")+(Inputs!$G$5:$G$170="acoes"))*Inputs!$B$1+((Inputs!$G$5:$G$170&lt;&gt;"moeda")*(Inputs!$G$5:$G$170&lt;&gt;"acoes")))*INDEX(Inputs!$K$5:$AJ$170,0,MATCH(D$2,Inputs!$K$4:$AJ$4,0)))+SUMPRODUCT((Inputs!$E$5:$E$170=$B4)*Inputs!$F$5:$F$170*(((Inputs!$G$5:$G$170="moeda")+(Inputs!$G$5:$G$170="acoes"))*Inputs!$B$1+((Inputs!$G$5:$G$170&lt;&gt;"moeda")*(Inputs!$G$5:$G$170&lt;&gt;"acoes")))*INDEX(Inputs!$K$5:$AJ$170,0,MATCH(D$2,Inputs!$K$4:$AJ$4,0)))))</f>
        <v>757.552</v>
      </c>
      <c r="E4" s="6">
        <f>IF(ISNA(MATCH(E$2,Inputs!$K$4:$AJ$4,0)),NA(),IF(SUMPRODUCT((Inputs!$A$5:$A$170=$B4)*ISNUMBER(INDEX(Inputs!$K$5:$AJ$170,0,MATCH(E$2,Inputs!$K$4:$AJ$4,0))))+SUMPRODUCT((Inputs!$C$5:$C$170=$B4)*ISNUMBER(INDEX(Inputs!$K$5:$AJ$170,0,MATCH(E$2,Inputs!$K$4:$AJ$4,0))))+SUMPRODUCT((Inputs!$E$5:$E$170=$B4)*ISNUMBER(INDEX(Inputs!$K$5:$AJ$170,0,MATCH(E$2,Inputs!$K$4:$AJ$4,0))))=0,NA(),SUMPRODUCT((Inputs!$A$5:$A$170=$B4)*Inputs!$B$5:$B$170*(((Inputs!$G$5:$G$170="moeda")+(Inputs!$G$5:$G$170="acoes"))*Inputs!$B$1+((Inputs!$G$5:$G$170&lt;&gt;"moeda")*(Inputs!$G$5:$G$170&lt;&gt;"acoes")))*INDEX(Inputs!$K$5:$AJ$170,0,MATCH(E$2,Inputs!$K$4:$AJ$4,0)))+SUMPRODUCT((Inputs!$C$5:$C$170=$B4)*Inputs!$D$5:$D$170*(((Inputs!$G$5:$G$170="moeda")+(Inputs!$G$5:$G$170="acoes"))*Inputs!$B$1+((Inputs!$G$5:$G$170&lt;&gt;"moeda")*(Inputs!$G$5:$G$170&lt;&gt;"acoes")))*INDEX(Inputs!$K$5:$AJ$170,0,MATCH(E$2,Inputs!$K$4:$AJ$4,0)))+SUMPRODUCT((Inputs!$E$5:$E$170=$B4)*Inputs!$F$5:$F$170*(((Inputs!$G$5:$G$170="moeda")+(Inputs!$G$5:$G$170="acoes"))*Inputs!$B$1+((Inputs!$G$5:$G$170&lt;&gt;"moeda")*(Inputs!$G$5:$G$170&lt;&gt;"acoes")))*INDEX(Inputs!$K$5:$AJ$170,0,MATCH(E$2,Inputs!$K$4:$AJ$4,0)))))</f>
        <v>1165.345</v>
      </c>
      <c r="F4" s="6">
        <f>IF(ISNA(MATCH(F$2,Inputs!$K$4:$AJ$4,0)),NA(),IF(SUMPRODUCT((Inputs!$A$5:$A$170=$B4)*ISNUMBER(INDEX(Inputs!$K$5:$AJ$170,0,MATCH(F$2,Inputs!$K$4:$AJ$4,0))))+SUMPRODUCT((Inputs!$C$5:$C$170=$B4)*ISNUMBER(INDEX(Inputs!$K$5:$AJ$170,0,MATCH(F$2,Inputs!$K$4:$AJ$4,0))))+SUMPRODUCT((Inputs!$E$5:$E$170=$B4)*ISNUMBER(INDEX(Inputs!$K$5:$AJ$170,0,MATCH(F$2,Inputs!$K$4:$AJ$4,0))))=0,NA(),SUMPRODUCT((Inputs!$A$5:$A$170=$B4)*Inputs!$B$5:$B$170*(((Inputs!$G$5:$G$170="moeda")+(Inputs!$G$5:$G$170="acoes"))*Inputs!$B$1+((Inputs!$G$5:$G$170&lt;&gt;"moeda")*(Inputs!$G$5:$G$170&lt;&gt;"acoes")))*INDEX(Inputs!$K$5:$AJ$170,0,MATCH(F$2,Inputs!$K$4:$AJ$4,0)))+SUMPRODUCT((Inputs!$C$5:$C$170=$B4)*Inputs!$D$5:$D$170*(((Inputs!$G$5:$G$170="moeda")+(Inputs!$G$5:$G$170="acoes"))*Inputs!$B$1+((Inputs!$G$5:$G$170&lt;&gt;"moeda")*(Inputs!$G$5:$G$170&lt;&gt;"acoes")))*INDEX(Inputs!$K$5:$AJ$170,0,MATCH(F$2,Inputs!$K$4:$AJ$4,0)))+SUMPRODUCT((Inputs!$E$5:$E$170=$B4)*Inputs!$F$5:$F$170*(((Inputs!$G$5:$G$170="moeda")+(Inputs!$G$5:$G$170="acoes"))*Inputs!$B$1+((Inputs!$G$5:$G$170&lt;&gt;"moeda")*(Inputs!$G$5:$G$170&lt;&gt;"acoes")))*INDEX(Inputs!$K$5:$AJ$170,0,MATCH(F$2,Inputs!$K$4:$AJ$4,0)))))</f>
        <v>1521.076</v>
      </c>
      <c r="G4" s="6">
        <f>IF(ISNA(MATCH(G$2,Inputs!$K$4:$AJ$4,0)),NA(),IF(SUMPRODUCT((Inputs!$A$5:$A$170=$B4)*ISNUMBER(INDEX(Inputs!$K$5:$AJ$170,0,MATCH(G$2,Inputs!$K$4:$AJ$4,0))))+SUMPRODUCT((Inputs!$C$5:$C$170=$B4)*ISNUMBER(INDEX(Inputs!$K$5:$AJ$170,0,MATCH(G$2,Inputs!$K$4:$AJ$4,0))))+SUMPRODUCT((Inputs!$E$5:$E$170=$B4)*ISNUMBER(INDEX(Inputs!$K$5:$AJ$170,0,MATCH(G$2,Inputs!$K$4:$AJ$4,0))))=0,NA(),SUMPRODUCT((Inputs!$A$5:$A$170=$B4)*Inputs!$B$5:$B$170*(((Inputs!$G$5:$G$170="moeda")+(Inputs!$G$5:$G$170="acoes"))*Inputs!$B$1+((Inputs!$G$5:$G$170&lt;&gt;"moeda")*(Inputs!$G$5:$G$170&lt;&gt;"acoes")))*INDEX(Inputs!$K$5:$AJ$170,0,MATCH(G$2,Inputs!$K$4:$AJ$4,0)))+SUMPRODUCT((Inputs!$C$5:$C$170=$B4)*Inputs!$D$5:$D$170*(((Inputs!$G$5:$G$170="moeda")+(Inputs!$G$5:$G$170="acoes"))*Inputs!$B$1+((Inputs!$G$5:$G$170&lt;&gt;"moeda")*(Inputs!$G$5:$G$170&lt;&gt;"acoes")))*INDEX(Inputs!$K$5:$AJ$170,0,MATCH(G$2,Inputs!$K$4:$AJ$4,0)))+SUMPRODUCT((Inputs!$E$5:$E$170=$B4)*Inputs!$F$5:$F$170*(((Inputs!$G$5:$G$170="moeda")+(Inputs!$G$5:$G$170="acoes"))*Inputs!$B$1+((Inputs!$G$5:$G$170&lt;&gt;"moeda")*(Inputs!$G$5:$G$170&lt;&gt;"acoes")))*INDEX(Inputs!$K$5:$AJ$170,0,MATCH(G$2,Inputs!$K$4:$AJ$4,0)))))</f>
        <v>1689.065</v>
      </c>
      <c r="H4" s="3">
        <f>SUM(D4:G4)</f>
        <v>5133.038</v>
      </c>
      <c r="I4" s="6">
        <f>IF(ISNA(MATCH(I$2,Inputs!$K$4:$AJ$4,0)),NA(),IF(SUMPRODUCT((Inputs!$A$5:$A$170=$B4)*ISNUMBER(INDEX(Inputs!$K$5:$AJ$170,0,MATCH(I$2,Inputs!$K$4:$AJ$4,0))))+SUMPRODUCT((Inputs!$C$5:$C$170=$B4)*ISNUMBER(INDEX(Inputs!$K$5:$AJ$170,0,MATCH(I$2,Inputs!$K$4:$AJ$4,0))))+SUMPRODUCT((Inputs!$E$5:$E$170=$B4)*ISNUMBER(INDEX(Inputs!$K$5:$AJ$170,0,MATCH(I$2,Inputs!$K$4:$AJ$4,0))))=0,NA(),SUMPRODUCT((Inputs!$A$5:$A$170=$B4)*Inputs!$B$5:$B$170*(((Inputs!$G$5:$G$170="moeda")+(Inputs!$G$5:$G$170="acoes"))*Inputs!$B$1+((Inputs!$G$5:$G$170&lt;&gt;"moeda")*(Inputs!$G$5:$G$170&lt;&gt;"acoes")))*INDEX(Inputs!$K$5:$AJ$170,0,MATCH(I$2,Inputs!$K$4:$AJ$4,0)))+SUMPRODUCT((Inputs!$C$5:$C$170=$B4)*Inputs!$D$5:$D$170*(((Inputs!$G$5:$G$170="moeda")+(Inputs!$G$5:$G$170="acoes"))*Inputs!$B$1+((Inputs!$G$5:$G$170&lt;&gt;"moeda")*(Inputs!$G$5:$G$170&lt;&gt;"acoes")))*INDEX(Inputs!$K$5:$AJ$170,0,MATCH(I$2,Inputs!$K$4:$AJ$4,0)))+SUMPRODUCT((Inputs!$E$5:$E$170=$B4)*Inputs!$F$5:$F$170*(((Inputs!$G$5:$G$170="moeda")+(Inputs!$G$5:$G$170="acoes"))*Inputs!$B$1+((Inputs!$G$5:$G$170&lt;&gt;"moeda")*(Inputs!$G$5:$G$170&lt;&gt;"acoes")))*INDEX(Inputs!$K$5:$AJ$170,0,MATCH(I$2,Inputs!$K$4:$AJ$4,0)))))</f>
        <v>1905.657</v>
      </c>
      <c r="J4" s="6">
        <f>IF(ISNA(MATCH(J$2,Inputs!$K$4:$AJ$4,0)),NA(),IF(SUMPRODUCT((Inputs!$A$5:$A$170=$B4)*ISNUMBER(INDEX(Inputs!$K$5:$AJ$170,0,MATCH(J$2,Inputs!$K$4:$AJ$4,0))))+SUMPRODUCT((Inputs!$C$5:$C$170=$B4)*ISNUMBER(INDEX(Inputs!$K$5:$AJ$170,0,MATCH(J$2,Inputs!$K$4:$AJ$4,0))))+SUMPRODUCT((Inputs!$E$5:$E$170=$B4)*ISNUMBER(INDEX(Inputs!$K$5:$AJ$170,0,MATCH(J$2,Inputs!$K$4:$AJ$4,0))))=0,NA(),SUMPRODUCT((Inputs!$A$5:$A$170=$B4)*Inputs!$B$5:$B$170*(((Inputs!$G$5:$G$170="moeda")+(Inputs!$G$5:$G$170="acoes"))*Inputs!$B$1+((Inputs!$G$5:$G$170&lt;&gt;"moeda")*(Inputs!$G$5:$G$170&lt;&gt;"acoes")))*INDEX(Inputs!$K$5:$AJ$170,0,MATCH(J$2,Inputs!$K$4:$AJ$4,0)))+SUMPRODUCT((Inputs!$C$5:$C$170=$B4)*Inputs!$D$5:$D$170*(((Inputs!$G$5:$G$170="moeda")+(Inputs!$G$5:$G$170="acoes"))*Inputs!$B$1+((Inputs!$G$5:$G$170&lt;&gt;"moeda")*(Inputs!$G$5:$G$170&lt;&gt;"acoes")))*INDEX(Inputs!$K$5:$AJ$170,0,MATCH(J$2,Inputs!$K$4:$AJ$4,0)))+SUMPRODUCT((Inputs!$E$5:$E$170=$B4)*Inputs!$F$5:$F$170*(((Inputs!$G$5:$G$170="moeda")+(Inputs!$G$5:$G$170="acoes"))*Inputs!$B$1+((Inputs!$G$5:$G$170&lt;&gt;"moeda")*(Inputs!$G$5:$G$170&lt;&gt;"acoes")))*INDEX(Inputs!$K$5:$AJ$170,0,MATCH(J$2,Inputs!$K$4:$AJ$4,0)))))</f>
        <v>2230.992</v>
      </c>
      <c r="K4" s="6">
        <f>IF(ISNA(MATCH(K$2,Inputs!$K$4:$AJ$4,0)),NA(),IF(SUMPRODUCT((Inputs!$A$5:$A$170=$B4)*ISNUMBER(INDEX(Inputs!$K$5:$AJ$170,0,MATCH(K$2,Inputs!$K$4:$AJ$4,0))))+SUMPRODUCT((Inputs!$C$5:$C$170=$B4)*ISNUMBER(INDEX(Inputs!$K$5:$AJ$170,0,MATCH(K$2,Inputs!$K$4:$AJ$4,0))))+SUMPRODUCT((Inputs!$E$5:$E$170=$B4)*ISNUMBER(INDEX(Inputs!$K$5:$AJ$170,0,MATCH(K$2,Inputs!$K$4:$AJ$4,0))))=0,NA(),SUMPRODUCT((Inputs!$A$5:$A$170=$B4)*Inputs!$B$5:$B$170*(((Inputs!$G$5:$G$170="moeda")+(Inputs!$G$5:$G$170="acoes"))*Inputs!$B$1+((Inputs!$G$5:$G$170&lt;&gt;"moeda")*(Inputs!$G$5:$G$170&lt;&gt;"acoes")))*INDEX(Inputs!$K$5:$AJ$170,0,MATCH(K$2,Inputs!$K$4:$AJ$4,0)))+SUMPRODUCT((Inputs!$C$5:$C$170=$B4)*Inputs!$D$5:$D$170*(((Inputs!$G$5:$G$170="moeda")+(Inputs!$G$5:$G$170="acoes"))*Inputs!$B$1+((Inputs!$G$5:$G$170&lt;&gt;"moeda")*(Inputs!$G$5:$G$170&lt;&gt;"acoes")))*INDEX(Inputs!$K$5:$AJ$170,0,MATCH(K$2,Inputs!$K$4:$AJ$4,0)))+SUMPRODUCT((Inputs!$E$5:$E$170=$B4)*Inputs!$F$5:$F$170*(((Inputs!$G$5:$G$170="moeda")+(Inputs!$G$5:$G$170="acoes"))*Inputs!$B$1+((Inputs!$G$5:$G$170&lt;&gt;"moeda")*(Inputs!$G$5:$G$170&lt;&gt;"acoes")))*INDEX(Inputs!$K$5:$AJ$170,0,MATCH(K$2,Inputs!$K$4:$AJ$4,0)))))</f>
        <v>2536.864</v>
      </c>
      <c r="L4" s="6">
        <f>IF(ISNA(MATCH(L$2,Inputs!$K$4:$AJ$4,0)),NA(),IF(SUMPRODUCT((Inputs!$A$5:$A$170=$B4)*ISNUMBER(INDEX(Inputs!$K$5:$AJ$170,0,MATCH(L$2,Inputs!$K$4:$AJ$4,0))))+SUMPRODUCT((Inputs!$C$5:$C$170=$B4)*ISNUMBER(INDEX(Inputs!$K$5:$AJ$170,0,MATCH(L$2,Inputs!$K$4:$AJ$4,0))))+SUMPRODUCT((Inputs!$E$5:$E$170=$B4)*ISNUMBER(INDEX(Inputs!$K$5:$AJ$170,0,MATCH(L$2,Inputs!$K$4:$AJ$4,0))))=0,NA(),SUMPRODUCT((Inputs!$A$5:$A$170=$B4)*Inputs!$B$5:$B$170*(((Inputs!$G$5:$G$170="moeda")+(Inputs!$G$5:$G$170="acoes"))*Inputs!$B$1+((Inputs!$G$5:$G$170&lt;&gt;"moeda")*(Inputs!$G$5:$G$170&lt;&gt;"acoes")))*INDEX(Inputs!$K$5:$AJ$170,0,MATCH(L$2,Inputs!$K$4:$AJ$4,0)))+SUMPRODUCT((Inputs!$C$5:$C$170=$B4)*Inputs!$D$5:$D$170*(((Inputs!$G$5:$G$170="moeda")+(Inputs!$G$5:$G$170="acoes"))*Inputs!$B$1+((Inputs!$G$5:$G$170&lt;&gt;"moeda")*(Inputs!$G$5:$G$170&lt;&gt;"acoes")))*INDEX(Inputs!$K$5:$AJ$170,0,MATCH(L$2,Inputs!$K$4:$AJ$4,0)))+SUMPRODUCT((Inputs!$E$5:$E$170=$B4)*Inputs!$F$5:$F$170*(((Inputs!$G$5:$G$170="moeda")+(Inputs!$G$5:$G$170="acoes"))*Inputs!$B$1+((Inputs!$G$5:$G$170&lt;&gt;"moeda")*(Inputs!$G$5:$G$170&lt;&gt;"acoes")))*INDEX(Inputs!$K$5:$AJ$170,0,MATCH(L$2,Inputs!$K$4:$AJ$4,0)))))</f>
        <v>2626.633</v>
      </c>
      <c r="M4" s="3">
        <f>SUM(I4:L4)</f>
        <v>9300.146</v>
      </c>
      <c r="N4" s="6">
        <f>IF(ISNA(MATCH(N$2,Inputs!$K$4:$AJ$4,0)),NA(),IF(SUMPRODUCT((Inputs!$A$5:$A$170=$B4)*ISNUMBER(INDEX(Inputs!$K$5:$AJ$170,0,MATCH(N$2,Inputs!$K$4:$AJ$4,0))))+SUMPRODUCT((Inputs!$C$5:$C$170=$B4)*ISNUMBER(INDEX(Inputs!$K$5:$AJ$170,0,MATCH(N$2,Inputs!$K$4:$AJ$4,0))))+SUMPRODUCT((Inputs!$E$5:$E$170=$B4)*ISNUMBER(INDEX(Inputs!$K$5:$AJ$170,0,MATCH(N$2,Inputs!$K$4:$AJ$4,0))))=0,NA(),SUMPRODUCT((Inputs!$A$5:$A$170=$B4)*Inputs!$B$5:$B$170*(((Inputs!$G$5:$G$170="moeda")+(Inputs!$G$5:$G$170="acoes"))*Inputs!$B$1+((Inputs!$G$5:$G$170&lt;&gt;"moeda")*(Inputs!$G$5:$G$170&lt;&gt;"acoes")))*INDEX(Inputs!$K$5:$AJ$170,0,MATCH(N$2,Inputs!$K$4:$AJ$4,0)))+SUMPRODUCT((Inputs!$C$5:$C$170=$B4)*Inputs!$D$5:$D$170*(((Inputs!$G$5:$G$170="moeda")+(Inputs!$G$5:$G$170="acoes"))*Inputs!$B$1+((Inputs!$G$5:$G$170&lt;&gt;"moeda")*(Inputs!$G$5:$G$170&lt;&gt;"acoes")))*INDEX(Inputs!$K$5:$AJ$170,0,MATCH(N$2,Inputs!$K$4:$AJ$4,0)))+SUMPRODUCT((Inputs!$E$5:$E$170=$B4)*Inputs!$F$5:$F$170*(((Inputs!$G$5:$G$170="moeda")+(Inputs!$G$5:$G$170="acoes"))*Inputs!$B$1+((Inputs!$G$5:$G$170&lt;&gt;"moeda")*(Inputs!$G$5:$G$170&lt;&gt;"acoes")))*INDEX(Inputs!$K$5:$AJ$170,0,MATCH(N$2,Inputs!$K$4:$AJ$4,0)))))</f>
        <v>2703.206</v>
      </c>
      <c r="O4" s="6">
        <f>IF(ISNA(MATCH(O$2,Inputs!$K$4:$AJ$4,0)),NA(),IF(SUMPRODUCT((Inputs!$A$5:$A$170=$B4)*ISNUMBER(INDEX(Inputs!$K$5:$AJ$170,0,MATCH(O$2,Inputs!$K$4:$AJ$4,0))))+SUMPRODUCT((Inputs!$C$5:$C$170=$B4)*ISNUMBER(INDEX(Inputs!$K$5:$AJ$170,0,MATCH(O$2,Inputs!$K$4:$AJ$4,0))))+SUMPRODUCT((Inputs!$E$5:$E$170=$B4)*ISNUMBER(INDEX(Inputs!$K$5:$AJ$170,0,MATCH(O$2,Inputs!$K$4:$AJ$4,0))))=0,NA(),SUMPRODUCT((Inputs!$A$5:$A$170=$B4)*Inputs!$B$5:$B$170*(((Inputs!$G$5:$G$170="moeda")+(Inputs!$G$5:$G$170="acoes"))*Inputs!$B$1+((Inputs!$G$5:$G$170&lt;&gt;"moeda")*(Inputs!$G$5:$G$170&lt;&gt;"acoes")))*INDEX(Inputs!$K$5:$AJ$170,0,MATCH(O$2,Inputs!$K$4:$AJ$4,0)))+SUMPRODUCT((Inputs!$C$5:$C$170=$B4)*Inputs!$D$5:$D$170*(((Inputs!$G$5:$G$170="moeda")+(Inputs!$G$5:$G$170="acoes"))*Inputs!$B$1+((Inputs!$G$5:$G$170&lt;&gt;"moeda")*(Inputs!$G$5:$G$170&lt;&gt;"acoes")))*INDEX(Inputs!$K$5:$AJ$170,0,MATCH(O$2,Inputs!$K$4:$AJ$4,0)))+SUMPRODUCT((Inputs!$E$5:$E$170=$B4)*Inputs!$F$5:$F$170*(((Inputs!$G$5:$G$170="moeda")+(Inputs!$G$5:$G$170="acoes"))*Inputs!$B$1+((Inputs!$G$5:$G$170&lt;&gt;"moeda")*(Inputs!$G$5:$G$170&lt;&gt;"acoes")))*INDEX(Inputs!$K$5:$AJ$170,0,MATCH(O$2,Inputs!$K$4:$AJ$4,0)))))</f>
        <v>2479.144</v>
      </c>
      <c r="P4" s="6">
        <f>IF(ISNA(MATCH(P$2,Inputs!$K$4:$AJ$4,0)),NA(),IF(SUMPRODUCT((Inputs!$A$5:$A$170=$B4)*ISNUMBER(INDEX(Inputs!$K$5:$AJ$170,0,MATCH(P$2,Inputs!$K$4:$AJ$4,0))))+SUMPRODUCT((Inputs!$C$5:$C$170=$B4)*ISNUMBER(INDEX(Inputs!$K$5:$AJ$170,0,MATCH(P$2,Inputs!$K$4:$AJ$4,0))))+SUMPRODUCT((Inputs!$E$5:$E$170=$B4)*ISNUMBER(INDEX(Inputs!$K$5:$AJ$170,0,MATCH(P$2,Inputs!$K$4:$AJ$4,0))))=0,NA(),SUMPRODUCT((Inputs!$A$5:$A$170=$B4)*Inputs!$B$5:$B$170*(((Inputs!$G$5:$G$170="moeda")+(Inputs!$G$5:$G$170="acoes"))*Inputs!$B$1+((Inputs!$G$5:$G$170&lt;&gt;"moeda")*(Inputs!$G$5:$G$170&lt;&gt;"acoes")))*INDEX(Inputs!$K$5:$AJ$170,0,MATCH(P$2,Inputs!$K$4:$AJ$4,0)))+SUMPRODUCT((Inputs!$C$5:$C$170=$B4)*Inputs!$D$5:$D$170*(((Inputs!$G$5:$G$170="moeda")+(Inputs!$G$5:$G$170="acoes"))*Inputs!$B$1+((Inputs!$G$5:$G$170&lt;&gt;"moeda")*(Inputs!$G$5:$G$170&lt;&gt;"acoes")))*INDEX(Inputs!$K$5:$AJ$170,0,MATCH(P$2,Inputs!$K$4:$AJ$4,0)))+SUMPRODUCT((Inputs!$E$5:$E$170=$B4)*Inputs!$F$5:$F$170*(((Inputs!$G$5:$G$170="moeda")+(Inputs!$G$5:$G$170="acoes"))*Inputs!$B$1+((Inputs!$G$5:$G$170&lt;&gt;"moeda")*(Inputs!$G$5:$G$170&lt;&gt;"acoes")))*INDEX(Inputs!$K$5:$AJ$170,0,MATCH(P$2,Inputs!$K$4:$AJ$4,0)))))</f>
        <v>2666.22</v>
      </c>
      <c r="Q4" s="6">
        <f>IF(ISNA(MATCH(Q$2,Inputs!$K$4:$AJ$4,0)),NA(),IF(SUMPRODUCT((Inputs!$A$5:$A$170=$B4)*ISNUMBER(INDEX(Inputs!$K$5:$AJ$170,0,MATCH(Q$2,Inputs!$K$4:$AJ$4,0))))+SUMPRODUCT((Inputs!$C$5:$C$170=$B4)*ISNUMBER(INDEX(Inputs!$K$5:$AJ$170,0,MATCH(Q$2,Inputs!$K$4:$AJ$4,0))))+SUMPRODUCT((Inputs!$E$5:$E$170=$B4)*ISNUMBER(INDEX(Inputs!$K$5:$AJ$170,0,MATCH(Q$2,Inputs!$K$4:$AJ$4,0))))=0,NA(),SUMPRODUCT((Inputs!$A$5:$A$170=$B4)*Inputs!$B$5:$B$170*(((Inputs!$G$5:$G$170="moeda")+(Inputs!$G$5:$G$170="acoes"))*Inputs!$B$1+((Inputs!$G$5:$G$170&lt;&gt;"moeda")*(Inputs!$G$5:$G$170&lt;&gt;"acoes")))*INDEX(Inputs!$K$5:$AJ$170,0,MATCH(Q$2,Inputs!$K$4:$AJ$4,0)))+SUMPRODUCT((Inputs!$C$5:$C$170=$B4)*Inputs!$D$5:$D$170*(((Inputs!$G$5:$G$170="moeda")+(Inputs!$G$5:$G$170="acoes"))*Inputs!$B$1+((Inputs!$G$5:$G$170&lt;&gt;"moeda")*(Inputs!$G$5:$G$170&lt;&gt;"acoes")))*INDEX(Inputs!$K$5:$AJ$170,0,MATCH(Q$2,Inputs!$K$4:$AJ$4,0)))+SUMPRODUCT((Inputs!$E$5:$E$170=$B4)*Inputs!$F$5:$F$170*(((Inputs!$G$5:$G$170="moeda")+(Inputs!$G$5:$G$170="acoes"))*Inputs!$B$1+((Inputs!$G$5:$G$170&lt;&gt;"moeda")*(Inputs!$G$5:$G$170&lt;&gt;"acoes")))*INDEX(Inputs!$K$5:$AJ$170,0,MATCH(Q$2,Inputs!$K$4:$AJ$4,0)))))</f>
        <v>2493.444</v>
      </c>
      <c r="R4" s="3">
        <f>SUM(N4:Q4)</f>
        <v>10342.014</v>
      </c>
      <c r="S4" s="6">
        <f>IF(ISNA(MATCH(S$2,Inputs!$K$4:$AJ$4,0)),NA(),IF(SUMPRODUCT((Inputs!$A$5:$A$170=$B4)*ISNUMBER(INDEX(Inputs!$K$5:$AJ$170,0,MATCH(S$2,Inputs!$K$4:$AJ$4,0))))+SUMPRODUCT((Inputs!$C$5:$C$170=$B4)*ISNUMBER(INDEX(Inputs!$K$5:$AJ$170,0,MATCH(S$2,Inputs!$K$4:$AJ$4,0))))+SUMPRODUCT((Inputs!$E$5:$E$170=$B4)*ISNUMBER(INDEX(Inputs!$K$5:$AJ$170,0,MATCH(S$2,Inputs!$K$4:$AJ$4,0))))=0,NA(),SUMPRODUCT((Inputs!$A$5:$A$170=$B4)*Inputs!$B$5:$B$170*(((Inputs!$G$5:$G$170="moeda")+(Inputs!$G$5:$G$170="acoes"))*Inputs!$B$1+((Inputs!$G$5:$G$170&lt;&gt;"moeda")*(Inputs!$G$5:$G$170&lt;&gt;"acoes")))*INDEX(Inputs!$K$5:$AJ$170,0,MATCH(S$2,Inputs!$K$4:$AJ$4,0)))+SUMPRODUCT((Inputs!$C$5:$C$170=$B4)*Inputs!$D$5:$D$170*(((Inputs!$G$5:$G$170="moeda")+(Inputs!$G$5:$G$170="acoes"))*Inputs!$B$1+((Inputs!$G$5:$G$170&lt;&gt;"moeda")*(Inputs!$G$5:$G$170&lt;&gt;"acoes")))*INDEX(Inputs!$K$5:$AJ$170,0,MATCH(S$2,Inputs!$K$4:$AJ$4,0)))+SUMPRODUCT((Inputs!$E$5:$E$170=$B4)*Inputs!$F$5:$F$170*(((Inputs!$G$5:$G$170="moeda")+(Inputs!$G$5:$G$170="acoes"))*Inputs!$B$1+((Inputs!$G$5:$G$170&lt;&gt;"moeda")*(Inputs!$G$5:$G$170&lt;&gt;"acoes")))*INDEX(Inputs!$K$5:$AJ$170,0,MATCH(S$2,Inputs!$K$4:$AJ$4,0)))))</f>
        <v>3021.646</v>
      </c>
      <c r="T4" s="6">
        <f>IF(ISNA(MATCH(T$2,Inputs!$K$4:$AJ$4,0)),NA(),IF(SUMPRODUCT((Inputs!$A$5:$A$170=$B4)*ISNUMBER(INDEX(Inputs!$K$5:$AJ$170,0,MATCH(T$2,Inputs!$K$4:$AJ$4,0))))+SUMPRODUCT((Inputs!$C$5:$C$170=$B4)*ISNUMBER(INDEX(Inputs!$K$5:$AJ$170,0,MATCH(T$2,Inputs!$K$4:$AJ$4,0))))+SUMPRODUCT((Inputs!$E$5:$E$170=$B4)*ISNUMBER(INDEX(Inputs!$K$5:$AJ$170,0,MATCH(T$2,Inputs!$K$4:$AJ$4,0))))=0,NA(),SUMPRODUCT((Inputs!$A$5:$A$170=$B4)*Inputs!$B$5:$B$170*(((Inputs!$G$5:$G$170="moeda")+(Inputs!$G$5:$G$170="acoes"))*Inputs!$B$1+((Inputs!$G$5:$G$170&lt;&gt;"moeda")*(Inputs!$G$5:$G$170&lt;&gt;"acoes")))*INDEX(Inputs!$K$5:$AJ$170,0,MATCH(T$2,Inputs!$K$4:$AJ$4,0)))+SUMPRODUCT((Inputs!$C$5:$C$170=$B4)*Inputs!$D$5:$D$170*(((Inputs!$G$5:$G$170="moeda")+(Inputs!$G$5:$G$170="acoes"))*Inputs!$B$1+((Inputs!$G$5:$G$170&lt;&gt;"moeda")*(Inputs!$G$5:$G$170&lt;&gt;"acoes")))*INDEX(Inputs!$K$5:$AJ$170,0,MATCH(T$2,Inputs!$K$4:$AJ$4,0)))+SUMPRODUCT((Inputs!$E$5:$E$170=$B4)*Inputs!$F$5:$F$170*(((Inputs!$G$5:$G$170="moeda")+(Inputs!$G$5:$G$170="acoes"))*Inputs!$B$1+((Inputs!$G$5:$G$170&lt;&gt;"moeda")*(Inputs!$G$5:$G$170&lt;&gt;"acoes")))*INDEX(Inputs!$K$5:$AJ$170,0,MATCH(T$2,Inputs!$K$4:$AJ$4,0)))))</f>
        <v>3435.604</v>
      </c>
      <c r="U4" s="6">
        <f>IF(ISNA(MATCH(U$2,Inputs!$K$4:$AJ$4,0)),NA(),IF(SUMPRODUCT((Inputs!$A$5:$A$170=$B4)*ISNUMBER(INDEX(Inputs!$K$5:$AJ$170,0,MATCH(U$2,Inputs!$K$4:$AJ$4,0))))+SUMPRODUCT((Inputs!$C$5:$C$170=$B4)*ISNUMBER(INDEX(Inputs!$K$5:$AJ$170,0,MATCH(U$2,Inputs!$K$4:$AJ$4,0))))+SUMPRODUCT((Inputs!$E$5:$E$170=$B4)*ISNUMBER(INDEX(Inputs!$K$5:$AJ$170,0,MATCH(U$2,Inputs!$K$4:$AJ$4,0))))=0,NA(),SUMPRODUCT((Inputs!$A$5:$A$170=$B4)*Inputs!$B$5:$B$170*(((Inputs!$G$5:$G$170="moeda")+(Inputs!$G$5:$G$170="acoes"))*Inputs!$B$1+((Inputs!$G$5:$G$170&lt;&gt;"moeda")*(Inputs!$G$5:$G$170&lt;&gt;"acoes")))*INDEX(Inputs!$K$5:$AJ$170,0,MATCH(U$2,Inputs!$K$4:$AJ$4,0)))+SUMPRODUCT((Inputs!$C$5:$C$170=$B4)*Inputs!$D$5:$D$170*(((Inputs!$G$5:$G$170="moeda")+(Inputs!$G$5:$G$170="acoes"))*Inputs!$B$1+((Inputs!$G$5:$G$170&lt;&gt;"moeda")*(Inputs!$G$5:$G$170&lt;&gt;"acoes")))*INDEX(Inputs!$K$5:$AJ$170,0,MATCH(U$2,Inputs!$K$4:$AJ$4,0)))+SUMPRODUCT((Inputs!$E$5:$E$170=$B4)*Inputs!$F$5:$F$170*(((Inputs!$G$5:$G$170="moeda")+(Inputs!$G$5:$G$170="acoes"))*Inputs!$B$1+((Inputs!$G$5:$G$170&lt;&gt;"moeda")*(Inputs!$G$5:$G$170&lt;&gt;"acoes")))*INDEX(Inputs!$K$5:$AJ$170,0,MATCH(U$2,Inputs!$K$4:$AJ$4,0)))))</f>
        <v>3775.864</v>
      </c>
      <c r="V4" s="6">
        <f>IF(ISNA(MATCH(V$2,Inputs!$K$4:$AJ$4,0)),NA(),IF(SUMPRODUCT((Inputs!$A$5:$A$170=$B4)*ISNUMBER(INDEX(Inputs!$K$5:$AJ$170,0,MATCH(V$2,Inputs!$K$4:$AJ$4,0))))+SUMPRODUCT((Inputs!$C$5:$C$170=$B4)*ISNUMBER(INDEX(Inputs!$K$5:$AJ$170,0,MATCH(V$2,Inputs!$K$4:$AJ$4,0))))+SUMPRODUCT((Inputs!$E$5:$E$170=$B4)*ISNUMBER(INDEX(Inputs!$K$5:$AJ$170,0,MATCH(V$2,Inputs!$K$4:$AJ$4,0))))=0,NA(),SUMPRODUCT((Inputs!$A$5:$A$170=$B4)*Inputs!$B$5:$B$170*(((Inputs!$G$5:$G$170="moeda")+(Inputs!$G$5:$G$170="acoes"))*Inputs!$B$1+((Inputs!$G$5:$G$170&lt;&gt;"moeda")*(Inputs!$G$5:$G$170&lt;&gt;"acoes")))*INDEX(Inputs!$K$5:$AJ$170,0,MATCH(V$2,Inputs!$K$4:$AJ$4,0)))+SUMPRODUCT((Inputs!$C$5:$C$170=$B4)*Inputs!$D$5:$D$170*(((Inputs!$G$5:$G$170="moeda")+(Inputs!$G$5:$G$170="acoes"))*Inputs!$B$1+((Inputs!$G$5:$G$170&lt;&gt;"moeda")*(Inputs!$G$5:$G$170&lt;&gt;"acoes")))*INDEX(Inputs!$K$5:$AJ$170,0,MATCH(V$2,Inputs!$K$4:$AJ$4,0)))+SUMPRODUCT((Inputs!$E$5:$E$170=$B4)*Inputs!$F$5:$F$170*(((Inputs!$G$5:$G$170="moeda")+(Inputs!$G$5:$G$170="acoes"))*Inputs!$B$1+((Inputs!$G$5:$G$170&lt;&gt;"moeda")*(Inputs!$G$5:$G$170&lt;&gt;"acoes")))*INDEX(Inputs!$K$5:$AJ$170,0,MATCH(V$2,Inputs!$K$4:$AJ$4,0)))))</f>
        <v>3248.157</v>
      </c>
      <c r="W4" s="3">
        <f>SUM(S4:V4)</f>
        <v>13481.271</v>
      </c>
      <c r="X4" s="6">
        <f>IF(ISNA(MATCH(X$2,Inputs!$K$4:$AJ$4,0)),NA(),IF(SUMPRODUCT((Inputs!$A$5:$A$170=$B4)*ISNUMBER(INDEX(Inputs!$K$5:$AJ$170,0,MATCH(X$2,Inputs!$K$4:$AJ$4,0))))+SUMPRODUCT((Inputs!$C$5:$C$170=$B4)*ISNUMBER(INDEX(Inputs!$K$5:$AJ$170,0,MATCH(X$2,Inputs!$K$4:$AJ$4,0))))+SUMPRODUCT((Inputs!$E$5:$E$170=$B4)*ISNUMBER(INDEX(Inputs!$K$5:$AJ$170,0,MATCH(X$2,Inputs!$K$4:$AJ$4,0))))=0,NA(),SUMPRODUCT((Inputs!$A$5:$A$170=$B4)*Inputs!$B$5:$B$170*(((Inputs!$G$5:$G$170="moeda")+(Inputs!$G$5:$G$170="acoes"))*Inputs!$B$1+((Inputs!$G$5:$G$170&lt;&gt;"moeda")*(Inputs!$G$5:$G$170&lt;&gt;"acoes")))*INDEX(Inputs!$K$5:$AJ$170,0,MATCH(X$2,Inputs!$K$4:$AJ$4,0)))+SUMPRODUCT((Inputs!$C$5:$C$170=$B4)*Inputs!$D$5:$D$170*(((Inputs!$G$5:$G$170="moeda")+(Inputs!$G$5:$G$170="acoes"))*Inputs!$B$1+((Inputs!$G$5:$G$170&lt;&gt;"moeda")*(Inputs!$G$5:$G$170&lt;&gt;"acoes")))*INDEX(Inputs!$K$5:$AJ$170,0,MATCH(X$2,Inputs!$K$4:$AJ$4,0)))+SUMPRODUCT((Inputs!$E$5:$E$170=$B4)*Inputs!$F$5:$F$170*(((Inputs!$G$5:$G$170="moeda")+(Inputs!$G$5:$G$170="acoes"))*Inputs!$B$1+((Inputs!$G$5:$G$170&lt;&gt;"moeda")*(Inputs!$G$5:$G$170&lt;&gt;"acoes")))*INDEX(Inputs!$K$5:$AJ$170,0,MATCH(X$2,Inputs!$K$4:$AJ$4,0)))))</f>
        <v>3568.231</v>
      </c>
      <c r="Y4" s="6">
        <f>IF(ISNA(MATCH(Y$2,Inputs!$K$4:$AJ$4,0)),NA(),IF(SUMPRODUCT((Inputs!$A$5:$A$170=$B4)*ISNUMBER(INDEX(Inputs!$K$5:$AJ$170,0,MATCH(Y$2,Inputs!$K$4:$AJ$4,0))))+SUMPRODUCT((Inputs!$C$5:$C$170=$B4)*ISNUMBER(INDEX(Inputs!$K$5:$AJ$170,0,MATCH(Y$2,Inputs!$K$4:$AJ$4,0))))+SUMPRODUCT((Inputs!$E$5:$E$170=$B4)*ISNUMBER(INDEX(Inputs!$K$5:$AJ$170,0,MATCH(Y$2,Inputs!$K$4:$AJ$4,0))))=0,NA(),SUMPRODUCT((Inputs!$A$5:$A$170=$B4)*Inputs!$B$5:$B$170*(((Inputs!$G$5:$G$170="moeda")+(Inputs!$G$5:$G$170="acoes"))*Inputs!$B$1+((Inputs!$G$5:$G$170&lt;&gt;"moeda")*(Inputs!$G$5:$G$170&lt;&gt;"acoes")))*INDEX(Inputs!$K$5:$AJ$170,0,MATCH(Y$2,Inputs!$K$4:$AJ$4,0)))+SUMPRODUCT((Inputs!$C$5:$C$170=$B4)*Inputs!$D$5:$D$170*(((Inputs!$G$5:$G$170="moeda")+(Inputs!$G$5:$G$170="acoes"))*Inputs!$B$1+((Inputs!$G$5:$G$170&lt;&gt;"moeda")*(Inputs!$G$5:$G$170&lt;&gt;"acoes")))*INDEX(Inputs!$K$5:$AJ$170,0,MATCH(Y$2,Inputs!$K$4:$AJ$4,0)))+SUMPRODUCT((Inputs!$E$5:$E$170=$B4)*Inputs!$F$5:$F$170*(((Inputs!$G$5:$G$170="moeda")+(Inputs!$G$5:$G$170="acoes"))*Inputs!$B$1+((Inputs!$G$5:$G$170&lt;&gt;"moeda")*(Inputs!$G$5:$G$170&lt;&gt;"acoes")))*INDEX(Inputs!$K$5:$AJ$170,0,MATCH(Y$2,Inputs!$K$4:$AJ$4,0)))))</f>
        <v>3679.006</v>
      </c>
      <c r="Z4" s="6">
        <f>IF(ISNA(MATCH(Z$2,Inputs!$K$4:$AJ$4,0)),NA(),IF(SUMPRODUCT((Inputs!$A$5:$A$170=$B4)*ISNUMBER(INDEX(Inputs!$K$5:$AJ$170,0,MATCH(Z$2,Inputs!$K$4:$AJ$4,0))))+SUMPRODUCT((Inputs!$C$5:$C$170=$B4)*ISNUMBER(INDEX(Inputs!$K$5:$AJ$170,0,MATCH(Z$2,Inputs!$K$4:$AJ$4,0))))+SUMPRODUCT((Inputs!$E$5:$E$170=$B4)*ISNUMBER(INDEX(Inputs!$K$5:$AJ$170,0,MATCH(Z$2,Inputs!$K$4:$AJ$4,0))))=0,NA(),SUMPRODUCT((Inputs!$A$5:$A$170=$B4)*Inputs!$B$5:$B$170*(((Inputs!$G$5:$G$170="moeda")+(Inputs!$G$5:$G$170="acoes"))*Inputs!$B$1+((Inputs!$G$5:$G$170&lt;&gt;"moeda")*(Inputs!$G$5:$G$170&lt;&gt;"acoes")))*INDEX(Inputs!$K$5:$AJ$170,0,MATCH(Z$2,Inputs!$K$4:$AJ$4,0)))+SUMPRODUCT((Inputs!$C$5:$C$170=$B4)*Inputs!$D$5:$D$170*(((Inputs!$G$5:$G$170="moeda")+(Inputs!$G$5:$G$170="acoes"))*Inputs!$B$1+((Inputs!$G$5:$G$170&lt;&gt;"moeda")*(Inputs!$G$5:$G$170&lt;&gt;"acoes")))*INDEX(Inputs!$K$5:$AJ$170,0,MATCH(Z$2,Inputs!$K$4:$AJ$4,0)))+SUMPRODUCT((Inputs!$E$5:$E$170=$B4)*Inputs!$F$5:$F$170*(((Inputs!$G$5:$G$170="moeda")+(Inputs!$G$5:$G$170="acoes"))*Inputs!$B$1+((Inputs!$G$5:$G$170&lt;&gt;"moeda")*(Inputs!$G$5:$G$170&lt;&gt;"acoes")))*INDEX(Inputs!$K$5:$AJ$170,0,MATCH(Z$2,Inputs!$K$4:$AJ$4,0)))))</f>
        <v>3765.843</v>
      </c>
      <c r="AA4" s="6">
        <f>IF(ISNA(MATCH(AA$2,Inputs!$K$4:$AJ$4,0)),NA(),IF(SUMPRODUCT((Inputs!$A$5:$A$170=$B4)*ISNUMBER(INDEX(Inputs!$K$5:$AJ$170,0,MATCH(AA$2,Inputs!$K$4:$AJ$4,0))))+SUMPRODUCT((Inputs!$C$5:$C$170=$B4)*ISNUMBER(INDEX(Inputs!$K$5:$AJ$170,0,MATCH(AA$2,Inputs!$K$4:$AJ$4,0))))+SUMPRODUCT((Inputs!$E$5:$E$170=$B4)*ISNUMBER(INDEX(Inputs!$K$5:$AJ$170,0,MATCH(AA$2,Inputs!$K$4:$AJ$4,0))))=0,NA(),SUMPRODUCT((Inputs!$A$5:$A$170=$B4)*Inputs!$B$5:$B$170*(((Inputs!$G$5:$G$170="moeda")+(Inputs!$G$5:$G$170="acoes"))*Inputs!$B$1+((Inputs!$G$5:$G$170&lt;&gt;"moeda")*(Inputs!$G$5:$G$170&lt;&gt;"acoes")))*INDEX(Inputs!$K$5:$AJ$170,0,MATCH(AA$2,Inputs!$K$4:$AJ$4,0)))+SUMPRODUCT((Inputs!$C$5:$C$170=$B4)*Inputs!$D$5:$D$170*(((Inputs!$G$5:$G$170="moeda")+(Inputs!$G$5:$G$170="acoes"))*Inputs!$B$1+((Inputs!$G$5:$G$170&lt;&gt;"moeda")*(Inputs!$G$5:$G$170&lt;&gt;"acoes")))*INDEX(Inputs!$K$5:$AJ$170,0,MATCH(AA$2,Inputs!$K$4:$AJ$4,0)))+SUMPRODUCT((Inputs!$E$5:$E$170=$B4)*Inputs!$F$5:$F$170*(((Inputs!$G$5:$G$170="moeda")+(Inputs!$G$5:$G$170="acoes"))*Inputs!$B$1+((Inputs!$G$5:$G$170&lt;&gt;"moeda")*(Inputs!$G$5:$G$170&lt;&gt;"acoes")))*INDEX(Inputs!$K$5:$AJ$170,0,MATCH(AA$2,Inputs!$K$4:$AJ$4,0)))))</f>
        <v>3658.97515495011</v>
      </c>
      <c r="AB4" s="3">
        <f>SUM(X4:AA4)</f>
        <v>14672.0551549501</v>
      </c>
      <c r="AC4" s="6">
        <f>IF(ISNA(MATCH(AC$2,Inputs!$K$4:$AJ$4,0)),NA(),IF(SUMPRODUCT((Inputs!$A$5:$A$170=$B4)*ISNUMBER(INDEX(Inputs!$K$5:$AJ$170,0,MATCH(AC$2,Inputs!$K$4:$AJ$4,0))))+SUMPRODUCT((Inputs!$C$5:$C$170=$B4)*ISNUMBER(INDEX(Inputs!$K$5:$AJ$170,0,MATCH(AC$2,Inputs!$K$4:$AJ$4,0))))+SUMPRODUCT((Inputs!$E$5:$E$170=$B4)*ISNUMBER(INDEX(Inputs!$K$5:$AJ$170,0,MATCH(AC$2,Inputs!$K$4:$AJ$4,0))))=0,NA(),SUMPRODUCT((Inputs!$A$5:$A$170=$B4)*Inputs!$B$5:$B$170*(((Inputs!$G$5:$G$170="moeda")+(Inputs!$G$5:$G$170="acoes"))*Inputs!$B$1+((Inputs!$G$5:$G$170&lt;&gt;"moeda")*(Inputs!$G$5:$G$170&lt;&gt;"acoes")))*INDEX(Inputs!$K$5:$AJ$170,0,MATCH(AC$2,Inputs!$K$4:$AJ$4,0)))+SUMPRODUCT((Inputs!$C$5:$C$170=$B4)*Inputs!$D$5:$D$170*(((Inputs!$G$5:$G$170="moeda")+(Inputs!$G$5:$G$170="acoes"))*Inputs!$B$1+((Inputs!$G$5:$G$170&lt;&gt;"moeda")*(Inputs!$G$5:$G$170&lt;&gt;"acoes")))*INDEX(Inputs!$K$5:$AJ$170,0,MATCH(AC$2,Inputs!$K$4:$AJ$4,0)))+SUMPRODUCT((Inputs!$E$5:$E$170=$B4)*Inputs!$F$5:$F$170*(((Inputs!$G$5:$G$170="moeda")+(Inputs!$G$5:$G$170="acoes"))*Inputs!$B$1+((Inputs!$G$5:$G$170&lt;&gt;"moeda")*(Inputs!$G$5:$G$170&lt;&gt;"acoes")))*INDEX(Inputs!$K$5:$AJ$170,0,MATCH(AC$2,Inputs!$K$4:$AJ$4,0)))))</f>
        <v>3780.64496496181</v>
      </c>
      <c r="AD4" s="6">
        <f>IF(ISNA(MATCH(AD$2,Inputs!$K$4:$AJ$4,0)),NA(),IF(SUMPRODUCT((Inputs!$A$5:$A$170=$B4)*ISNUMBER(INDEX(Inputs!$K$5:$AJ$170,0,MATCH(AD$2,Inputs!$K$4:$AJ$4,0))))+SUMPRODUCT((Inputs!$C$5:$C$170=$B4)*ISNUMBER(INDEX(Inputs!$K$5:$AJ$170,0,MATCH(AD$2,Inputs!$K$4:$AJ$4,0))))+SUMPRODUCT((Inputs!$E$5:$E$170=$B4)*ISNUMBER(INDEX(Inputs!$K$5:$AJ$170,0,MATCH(AD$2,Inputs!$K$4:$AJ$4,0))))=0,NA(),SUMPRODUCT((Inputs!$A$5:$A$170=$B4)*Inputs!$B$5:$B$170*(((Inputs!$G$5:$G$170="moeda")+(Inputs!$G$5:$G$170="acoes"))*Inputs!$B$1+((Inputs!$G$5:$G$170&lt;&gt;"moeda")*(Inputs!$G$5:$G$170&lt;&gt;"acoes")))*INDEX(Inputs!$K$5:$AJ$170,0,MATCH(AD$2,Inputs!$K$4:$AJ$4,0)))+SUMPRODUCT((Inputs!$C$5:$C$170=$B4)*Inputs!$D$5:$D$170*(((Inputs!$G$5:$G$170="moeda")+(Inputs!$G$5:$G$170="acoes"))*Inputs!$B$1+((Inputs!$G$5:$G$170&lt;&gt;"moeda")*(Inputs!$G$5:$G$170&lt;&gt;"acoes")))*INDEX(Inputs!$K$5:$AJ$170,0,MATCH(AD$2,Inputs!$K$4:$AJ$4,0)))+SUMPRODUCT((Inputs!$E$5:$E$170=$B4)*Inputs!$F$5:$F$170*(((Inputs!$G$5:$G$170="moeda")+(Inputs!$G$5:$G$170="acoes"))*Inputs!$B$1+((Inputs!$G$5:$G$170&lt;&gt;"moeda")*(Inputs!$G$5:$G$170&lt;&gt;"acoes")))*INDEX(Inputs!$K$5:$AJ$170,0,MATCH(AD$2,Inputs!$K$4:$AJ$4,0)))))</f>
        <v>3765.83020748821</v>
      </c>
      <c r="AE4" s="6" t="e">
        <f>IF(ISNA(MATCH(AE$2,Inputs!$K$4:$AJ$4,0)),NA(),IF(SUMPRODUCT((Inputs!$A$5:$A$170=$B4)*ISNUMBER(INDEX(Inputs!$K$5:$AJ$170,0,MATCH(AE$2,Inputs!$K$4:$AJ$4,0))))+SUMPRODUCT((Inputs!$C$5:$C$170=$B4)*ISNUMBER(INDEX(Inputs!$K$5:$AJ$170,0,MATCH(AE$2,Inputs!$K$4:$AJ$4,0))))+SUMPRODUCT((Inputs!$E$5:$E$170=$B4)*ISNUMBER(INDEX(Inputs!$K$5:$AJ$170,0,MATCH(AE$2,Inputs!$K$4:$AJ$4,0))))=0,NA(),SUMPRODUCT((Inputs!$A$5:$A$170=$B4)*Inputs!$B$5:$B$170*(((Inputs!$G$5:$G$170="moeda")+(Inputs!$G$5:$G$170="acoes"))*Inputs!$B$1+((Inputs!$G$5:$G$170&lt;&gt;"moeda")*(Inputs!$G$5:$G$170&lt;&gt;"acoes")))*INDEX(Inputs!$K$5:$AJ$170,0,MATCH(AE$2,Inputs!$K$4:$AJ$4,0)))+SUMPRODUCT((Inputs!$C$5:$C$170=$B4)*Inputs!$D$5:$D$170*(((Inputs!$G$5:$G$170="moeda")+(Inputs!$G$5:$G$170="acoes"))*Inputs!$B$1+((Inputs!$G$5:$G$170&lt;&gt;"moeda")*(Inputs!$G$5:$G$170&lt;&gt;"acoes")))*INDEX(Inputs!$K$5:$AJ$170,0,MATCH(AE$2,Inputs!$K$4:$AJ$4,0)))+SUMPRODUCT((Inputs!$E$5:$E$170=$B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" s="6" t="e">
        <f>IF(ISNA(MATCH(AF$2,Inputs!$K$4:$AJ$4,0)),NA(),IF(SUMPRODUCT((Inputs!$A$5:$A$170=$B4)*ISNUMBER(INDEX(Inputs!$K$5:$AJ$170,0,MATCH(AF$2,Inputs!$K$4:$AJ$4,0))))+SUMPRODUCT((Inputs!$C$5:$C$170=$B4)*ISNUMBER(INDEX(Inputs!$K$5:$AJ$170,0,MATCH(AF$2,Inputs!$K$4:$AJ$4,0))))+SUMPRODUCT((Inputs!$E$5:$E$170=$B4)*ISNUMBER(INDEX(Inputs!$K$5:$AJ$170,0,MATCH(AF$2,Inputs!$K$4:$AJ$4,0))))=0,NA(),SUMPRODUCT((Inputs!$A$5:$A$170=$B4)*Inputs!$B$5:$B$170*(((Inputs!$G$5:$G$170="moeda")+(Inputs!$G$5:$G$170="acoes"))*Inputs!$B$1+((Inputs!$G$5:$G$170&lt;&gt;"moeda")*(Inputs!$G$5:$G$170&lt;&gt;"acoes")))*INDEX(Inputs!$K$5:$AJ$170,0,MATCH(AF$2,Inputs!$K$4:$AJ$4,0)))+SUMPRODUCT((Inputs!$C$5:$C$170=$B4)*Inputs!$D$5:$D$170*(((Inputs!$G$5:$G$170="moeda")+(Inputs!$G$5:$G$170="acoes"))*Inputs!$B$1+((Inputs!$G$5:$G$170&lt;&gt;"moeda")*(Inputs!$G$5:$G$170&lt;&gt;"acoes")))*INDEX(Inputs!$K$5:$AJ$170,0,MATCH(AF$2,Inputs!$K$4:$AJ$4,0)))+SUMPRODUCT((Inputs!$E$5:$E$170=$B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" s="3" t="e">
        <f>SUM(AC4:AF4)</f>
        <v>#N/A</v>
      </c>
      <c r="AH4" s="6">
        <f>IF(ISNA(MATCH(AH$2,Inputs!$K$4:$AJ$4,0)),NA(),IF(SUMPRODUCT((Inputs!$A$5:$A$170=$B4)*ISNUMBER(INDEX(Inputs!$K$5:$AJ$170,0,MATCH(AH$2,Inputs!$K$4:$AJ$4,0))))+SUMPRODUCT((Inputs!$C$5:$C$170=$B4)*ISNUMBER(INDEX(Inputs!$K$5:$AJ$170,0,MATCH(AH$2,Inputs!$K$4:$AJ$4,0))))+SUMPRODUCT((Inputs!$E$5:$E$170=$B4)*ISNUMBER(INDEX(Inputs!$K$5:$AJ$170,0,MATCH(AH$2,Inputs!$K$4:$AJ$4,0))))=0,NA(),SUMPRODUCT((Inputs!$A$5:$A$170=$B4)*Inputs!$B$5:$B$170*(((Inputs!$G$5:$G$170="moeda")+(Inputs!$G$5:$G$170="acoes"))*Inputs!$B$1+((Inputs!$G$5:$G$170&lt;&gt;"moeda")*(Inputs!$G$5:$G$170&lt;&gt;"acoes")))*INDEX(Inputs!$K$5:$AJ$170,0,MATCH(AH$2,Inputs!$K$4:$AJ$4,0)))+SUMPRODUCT((Inputs!$C$5:$C$170=$B4)*Inputs!$D$5:$D$170*(((Inputs!$G$5:$G$170="moeda")+(Inputs!$G$5:$G$170="acoes"))*Inputs!$B$1+((Inputs!$G$5:$G$170&lt;&gt;"moeda")*(Inputs!$G$5:$G$170&lt;&gt;"acoes")))*INDEX(Inputs!$K$5:$AJ$170,0,MATCH(AH$2,Inputs!$K$4:$AJ$4,0)))+SUMPRODUCT((Inputs!$E$5:$E$170=$B4)*Inputs!$F$5:$F$170*(((Inputs!$G$5:$G$170="moeda")+(Inputs!$G$5:$G$170="acoes"))*Inputs!$B$1+((Inputs!$G$5:$G$170&lt;&gt;"moeda")*(Inputs!$G$5:$G$170&lt;&gt;"acoes")))*INDEX(Inputs!$K$5:$AJ$170,0,MATCH(AH$2,Inputs!$K$4:$AJ$4,0)))))</f>
        <v>971.535</v>
      </c>
      <c r="AI4" s="6">
        <f>IF(ISNA(MATCH(AI$2,Inputs!$K$4:$AJ$4,0)),NA(),IF(SUMPRODUCT((Inputs!$A$5:$A$170=$B4)*ISNUMBER(INDEX(Inputs!$K$5:$AJ$170,0,MATCH(AI$2,Inputs!$K$4:$AJ$4,0))))+SUMPRODUCT((Inputs!$C$5:$C$170=$B4)*ISNUMBER(INDEX(Inputs!$K$5:$AJ$170,0,MATCH(AI$2,Inputs!$K$4:$AJ$4,0))))+SUMPRODUCT((Inputs!$E$5:$E$170=$B4)*ISNUMBER(INDEX(Inputs!$K$5:$AJ$170,0,MATCH(AI$2,Inputs!$K$4:$AJ$4,0))))=0,NA(),SUMPRODUCT((Inputs!$A$5:$A$170=$B4)*Inputs!$B$5:$B$170*(((Inputs!$G$5:$G$170="moeda")+(Inputs!$G$5:$G$170="acoes"))*Inputs!$B$1+((Inputs!$G$5:$G$170&lt;&gt;"moeda")*(Inputs!$G$5:$G$170&lt;&gt;"acoes")))*INDEX(Inputs!$K$5:$AJ$170,0,MATCH(AI$2,Inputs!$K$4:$AJ$4,0)))+SUMPRODUCT((Inputs!$C$5:$C$170=$B4)*Inputs!$D$5:$D$170*(((Inputs!$G$5:$G$170="moeda")+(Inputs!$G$5:$G$170="acoes"))*Inputs!$B$1+((Inputs!$G$5:$G$170&lt;&gt;"moeda")*(Inputs!$G$5:$G$170&lt;&gt;"acoes")))*INDEX(Inputs!$K$5:$AJ$170,0,MATCH(AI$2,Inputs!$K$4:$AJ$4,0)))+SUMPRODUCT((Inputs!$E$5:$E$170=$B4)*Inputs!$F$5:$F$170*(((Inputs!$G$5:$G$170="moeda")+(Inputs!$G$5:$G$170="acoes"))*Inputs!$B$1+((Inputs!$G$5:$G$170&lt;&gt;"moeda")*(Inputs!$G$5:$G$170&lt;&gt;"acoes")))*INDEX(Inputs!$K$5:$AJ$170,0,MATCH(AI$2,Inputs!$K$4:$AJ$4,0)))))</f>
        <v>1021.296</v>
      </c>
      <c r="AJ4" s="6">
        <f>IF(ISNA(MATCH(AJ$2,Inputs!$K$4:$AJ$4,0)),NA(),IF(SUMPRODUCT((Inputs!$A$5:$A$170=$B4)*ISNUMBER(INDEX(Inputs!$K$5:$AJ$170,0,MATCH(AJ$2,Inputs!$K$4:$AJ$4,0))))+SUMPRODUCT((Inputs!$C$5:$C$170=$B4)*ISNUMBER(INDEX(Inputs!$K$5:$AJ$170,0,MATCH(AJ$2,Inputs!$K$4:$AJ$4,0))))+SUMPRODUCT((Inputs!$E$5:$E$170=$B4)*ISNUMBER(INDEX(Inputs!$K$5:$AJ$170,0,MATCH(AJ$2,Inputs!$K$4:$AJ$4,0))))=0,NA(),SUMPRODUCT((Inputs!$A$5:$A$170=$B4)*Inputs!$B$5:$B$170*(((Inputs!$G$5:$G$170="moeda")+(Inputs!$G$5:$G$170="acoes"))*Inputs!$B$1+((Inputs!$G$5:$G$170&lt;&gt;"moeda")*(Inputs!$G$5:$G$170&lt;&gt;"acoes")))*INDEX(Inputs!$K$5:$AJ$170,0,MATCH(AJ$2,Inputs!$K$4:$AJ$4,0)))+SUMPRODUCT((Inputs!$C$5:$C$170=$B4)*Inputs!$D$5:$D$170*(((Inputs!$G$5:$G$170="moeda")+(Inputs!$G$5:$G$170="acoes"))*Inputs!$B$1+((Inputs!$G$5:$G$170&lt;&gt;"moeda")*(Inputs!$G$5:$G$170&lt;&gt;"acoes")))*INDEX(Inputs!$K$5:$AJ$170,0,MATCH(AJ$2,Inputs!$K$4:$AJ$4,0)))+SUMPRODUCT((Inputs!$E$5:$E$170=$B4)*Inputs!$F$5:$F$170*(((Inputs!$G$5:$G$170="moeda")+(Inputs!$G$5:$G$170="acoes"))*Inputs!$B$1+((Inputs!$G$5:$G$170&lt;&gt;"moeda")*(Inputs!$G$5:$G$170&lt;&gt;"acoes")))*INDEX(Inputs!$K$5:$AJ$170,0,MATCH(AJ$2,Inputs!$K$4:$AJ$4,0)))))</f>
        <v>1004.386</v>
      </c>
      <c r="AK4" s="6">
        <f>IF(ISNA(MATCH(AK$2,Inputs!$K$4:$AJ$4,0)),NA(),IF(SUMPRODUCT((Inputs!$A$5:$A$170=$B4)*ISNUMBER(INDEX(Inputs!$K$5:$AJ$170,0,MATCH(AK$2,Inputs!$K$4:$AJ$4,0))))+SUMPRODUCT((Inputs!$C$5:$C$170=$B4)*ISNUMBER(INDEX(Inputs!$K$5:$AJ$170,0,MATCH(AK$2,Inputs!$K$4:$AJ$4,0))))+SUMPRODUCT((Inputs!$E$5:$E$170=$B4)*ISNUMBER(INDEX(Inputs!$K$5:$AJ$170,0,MATCH(AK$2,Inputs!$K$4:$AJ$4,0))))=0,NA(),SUMPRODUCT((Inputs!$A$5:$A$170=$B4)*Inputs!$B$5:$B$170*(((Inputs!$G$5:$G$170="moeda")+(Inputs!$G$5:$G$170="acoes"))*Inputs!$B$1+((Inputs!$G$5:$G$170&lt;&gt;"moeda")*(Inputs!$G$5:$G$170&lt;&gt;"acoes")))*INDEX(Inputs!$K$5:$AJ$170,0,MATCH(AK$2,Inputs!$K$4:$AJ$4,0)))+SUMPRODUCT((Inputs!$C$5:$C$170=$B4)*Inputs!$D$5:$D$170*(((Inputs!$G$5:$G$170="moeda")+(Inputs!$G$5:$G$170="acoes"))*Inputs!$B$1+((Inputs!$G$5:$G$170&lt;&gt;"moeda")*(Inputs!$G$5:$G$170&lt;&gt;"acoes")))*INDEX(Inputs!$K$5:$AJ$170,0,MATCH(AK$2,Inputs!$K$4:$AJ$4,0)))+SUMPRODUCT((Inputs!$E$5:$E$170=$B4)*Inputs!$F$5:$F$170*(((Inputs!$G$5:$G$170="moeda")+(Inputs!$G$5:$G$170="acoes"))*Inputs!$B$1+((Inputs!$G$5:$G$170&lt;&gt;"moeda")*(Inputs!$G$5:$G$170&lt;&gt;"acoes")))*INDEX(Inputs!$K$5:$AJ$170,0,MATCH(AK$2,Inputs!$K$4:$AJ$4,0)))))</f>
        <v>958.012</v>
      </c>
      <c r="AL4" s="3">
        <f>SUM(AH4:AK4)</f>
        <v>3955.229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$170=$B5)*ISNUMBER(INDEX(Inputs!$K$5:$AJ$170,0,MATCH(D$2,Inputs!$K$4:$AJ$4,0))))+SUMPRODUCT((Inputs!$C$5:$C$170=$B5)*ISNUMBER(INDEX(Inputs!$K$5:$AJ$170,0,MATCH(D$2,Inputs!$K$4:$AJ$4,0))))+SUMPRODUCT((Inputs!$E$5:$E$170=$B5)*ISNUMBER(INDEX(Inputs!$K$5:$AJ$170,0,MATCH(D$2,Inputs!$K$4:$AJ$4,0))))=0,NA(),SUMPRODUCT((Inputs!$A$5:$A$170=$B5)*Inputs!$B$5:$B$170*(((Inputs!$G$5:$G$170="moeda")+(Inputs!$G$5:$G$170="acoes"))*Inputs!$B$1+((Inputs!$G$5:$G$170&lt;&gt;"moeda")*(Inputs!$G$5:$G$170&lt;&gt;"acoes")))*INDEX(Inputs!$K$5:$AJ$170,0,MATCH(D$2,Inputs!$K$4:$AJ$4,0)))+SUMPRODUCT((Inputs!$C$5:$C$170=$B5)*Inputs!$D$5:$D$170*(((Inputs!$G$5:$G$170="moeda")+(Inputs!$G$5:$G$170="acoes"))*Inputs!$B$1+((Inputs!$G$5:$G$170&lt;&gt;"moeda")*(Inputs!$G$5:$G$170&lt;&gt;"acoes")))*INDEX(Inputs!$K$5:$AJ$170,0,MATCH(D$2,Inputs!$K$4:$AJ$4,0)))+SUMPRODUCT((Inputs!$E$5:$E$170=$B5)*Inputs!$F$5:$F$170*(((Inputs!$G$5:$G$170="moeda")+(Inputs!$G$5:$G$170="acoes"))*Inputs!$B$1+((Inputs!$G$5:$G$170&lt;&gt;"moeda")*(Inputs!$G$5:$G$170&lt;&gt;"acoes")))*INDEX(Inputs!$K$5:$AJ$170,0,MATCH(D$2,Inputs!$K$4:$AJ$4,0)))))</f>
        <v>-296.445</v>
      </c>
      <c r="E5" s="6">
        <f>IF(ISNA(MATCH(E$2,Inputs!$K$4:$AJ$4,0)),NA(),IF(SUMPRODUCT((Inputs!$A$5:$A$170=$B5)*ISNUMBER(INDEX(Inputs!$K$5:$AJ$170,0,MATCH(E$2,Inputs!$K$4:$AJ$4,0))))+SUMPRODUCT((Inputs!$C$5:$C$170=$B5)*ISNUMBER(INDEX(Inputs!$K$5:$AJ$170,0,MATCH(E$2,Inputs!$K$4:$AJ$4,0))))+SUMPRODUCT((Inputs!$E$5:$E$170=$B5)*ISNUMBER(INDEX(Inputs!$K$5:$AJ$170,0,MATCH(E$2,Inputs!$K$4:$AJ$4,0))))=0,NA(),SUMPRODUCT((Inputs!$A$5:$A$170=$B5)*Inputs!$B$5:$B$170*(((Inputs!$G$5:$G$170="moeda")+(Inputs!$G$5:$G$170="acoes"))*Inputs!$B$1+((Inputs!$G$5:$G$170&lt;&gt;"moeda")*(Inputs!$G$5:$G$170&lt;&gt;"acoes")))*INDEX(Inputs!$K$5:$AJ$170,0,MATCH(E$2,Inputs!$K$4:$AJ$4,0)))+SUMPRODUCT((Inputs!$C$5:$C$170=$B5)*Inputs!$D$5:$D$170*(((Inputs!$G$5:$G$170="moeda")+(Inputs!$G$5:$G$170="acoes"))*Inputs!$B$1+((Inputs!$G$5:$G$170&lt;&gt;"moeda")*(Inputs!$G$5:$G$170&lt;&gt;"acoes")))*INDEX(Inputs!$K$5:$AJ$170,0,MATCH(E$2,Inputs!$K$4:$AJ$4,0)))+SUMPRODUCT((Inputs!$E$5:$E$170=$B5)*Inputs!$F$5:$F$170*(((Inputs!$G$5:$G$170="moeda")+(Inputs!$G$5:$G$170="acoes"))*Inputs!$B$1+((Inputs!$G$5:$G$170&lt;&gt;"moeda")*(Inputs!$G$5:$G$170&lt;&gt;"acoes")))*INDEX(Inputs!$K$5:$AJ$170,0,MATCH(E$2,Inputs!$K$4:$AJ$4,0)))))</f>
        <v>-605.183</v>
      </c>
      <c r="F5" s="6">
        <f>IF(ISNA(MATCH(F$2,Inputs!$K$4:$AJ$4,0)),NA(),IF(SUMPRODUCT((Inputs!$A$5:$A$170=$B5)*ISNUMBER(INDEX(Inputs!$K$5:$AJ$170,0,MATCH(F$2,Inputs!$K$4:$AJ$4,0))))+SUMPRODUCT((Inputs!$C$5:$C$170=$B5)*ISNUMBER(INDEX(Inputs!$K$5:$AJ$170,0,MATCH(F$2,Inputs!$K$4:$AJ$4,0))))+SUMPRODUCT((Inputs!$E$5:$E$170=$B5)*ISNUMBER(INDEX(Inputs!$K$5:$AJ$170,0,MATCH(F$2,Inputs!$K$4:$AJ$4,0))))=0,NA(),SUMPRODUCT((Inputs!$A$5:$A$170=$B5)*Inputs!$B$5:$B$170*(((Inputs!$G$5:$G$170="moeda")+(Inputs!$G$5:$G$170="acoes"))*Inputs!$B$1+((Inputs!$G$5:$G$170&lt;&gt;"moeda")*(Inputs!$G$5:$G$170&lt;&gt;"acoes")))*INDEX(Inputs!$K$5:$AJ$170,0,MATCH(F$2,Inputs!$K$4:$AJ$4,0)))+SUMPRODUCT((Inputs!$C$5:$C$170=$B5)*Inputs!$D$5:$D$170*(((Inputs!$G$5:$G$170="moeda")+(Inputs!$G$5:$G$170="acoes"))*Inputs!$B$1+((Inputs!$G$5:$G$170&lt;&gt;"moeda")*(Inputs!$G$5:$G$170&lt;&gt;"acoes")))*INDEX(Inputs!$K$5:$AJ$170,0,MATCH(F$2,Inputs!$K$4:$AJ$4,0)))+SUMPRODUCT((Inputs!$E$5:$E$170=$B5)*Inputs!$F$5:$F$170*(((Inputs!$G$5:$G$170="moeda")+(Inputs!$G$5:$G$170="acoes"))*Inputs!$B$1+((Inputs!$G$5:$G$170&lt;&gt;"moeda")*(Inputs!$G$5:$G$170&lt;&gt;"acoes")))*INDEX(Inputs!$K$5:$AJ$170,0,MATCH(F$2,Inputs!$K$4:$AJ$4,0)))))</f>
        <v>-729.162</v>
      </c>
      <c r="G5" s="6">
        <f>IF(ISNA(MATCH(G$2,Inputs!$K$4:$AJ$4,0)),NA(),IF(SUMPRODUCT((Inputs!$A$5:$A$170=$B5)*ISNUMBER(INDEX(Inputs!$K$5:$AJ$170,0,MATCH(G$2,Inputs!$K$4:$AJ$4,0))))+SUMPRODUCT((Inputs!$C$5:$C$170=$B5)*ISNUMBER(INDEX(Inputs!$K$5:$AJ$170,0,MATCH(G$2,Inputs!$K$4:$AJ$4,0))))+SUMPRODUCT((Inputs!$E$5:$E$170=$B5)*ISNUMBER(INDEX(Inputs!$K$5:$AJ$170,0,MATCH(G$2,Inputs!$K$4:$AJ$4,0))))=0,NA(),SUMPRODUCT((Inputs!$A$5:$A$170=$B5)*Inputs!$B$5:$B$170*(((Inputs!$G$5:$G$170="moeda")+(Inputs!$G$5:$G$170="acoes"))*Inputs!$B$1+((Inputs!$G$5:$G$170&lt;&gt;"moeda")*(Inputs!$G$5:$G$170&lt;&gt;"acoes")))*INDEX(Inputs!$K$5:$AJ$170,0,MATCH(G$2,Inputs!$K$4:$AJ$4,0)))+SUMPRODUCT((Inputs!$C$5:$C$170=$B5)*Inputs!$D$5:$D$170*(((Inputs!$G$5:$G$170="moeda")+(Inputs!$G$5:$G$170="acoes"))*Inputs!$B$1+((Inputs!$G$5:$G$170&lt;&gt;"moeda")*(Inputs!$G$5:$G$170&lt;&gt;"acoes")))*INDEX(Inputs!$K$5:$AJ$170,0,MATCH(G$2,Inputs!$K$4:$AJ$4,0)))+SUMPRODUCT((Inputs!$E$5:$E$170=$B5)*Inputs!$F$5:$F$170*(((Inputs!$G$5:$G$170="moeda")+(Inputs!$G$5:$G$170="acoes"))*Inputs!$B$1+((Inputs!$G$5:$G$170&lt;&gt;"moeda")*(Inputs!$G$5:$G$170&lt;&gt;"acoes")))*INDEX(Inputs!$K$5:$AJ$170,0,MATCH(G$2,Inputs!$K$4:$AJ$4,0)))))</f>
        <v>-699.45</v>
      </c>
      <c r="H5" s="3">
        <f>SUM(D5:G5)</f>
        <v>-2330.24</v>
      </c>
      <c r="I5" s="6">
        <f>IF(ISNA(MATCH(I$2,Inputs!$K$4:$AJ$4,0)),NA(),IF(SUMPRODUCT((Inputs!$A$5:$A$170=$B5)*ISNUMBER(INDEX(Inputs!$K$5:$AJ$170,0,MATCH(I$2,Inputs!$K$4:$AJ$4,0))))+SUMPRODUCT((Inputs!$C$5:$C$170=$B5)*ISNUMBER(INDEX(Inputs!$K$5:$AJ$170,0,MATCH(I$2,Inputs!$K$4:$AJ$4,0))))+SUMPRODUCT((Inputs!$E$5:$E$170=$B5)*ISNUMBER(INDEX(Inputs!$K$5:$AJ$170,0,MATCH(I$2,Inputs!$K$4:$AJ$4,0))))=0,NA(),SUMPRODUCT((Inputs!$A$5:$A$170=$B5)*Inputs!$B$5:$B$170*(((Inputs!$G$5:$G$170="moeda")+(Inputs!$G$5:$G$170="acoes"))*Inputs!$B$1+((Inputs!$G$5:$G$170&lt;&gt;"moeda")*(Inputs!$G$5:$G$170&lt;&gt;"acoes")))*INDEX(Inputs!$K$5:$AJ$170,0,MATCH(I$2,Inputs!$K$4:$AJ$4,0)))+SUMPRODUCT((Inputs!$C$5:$C$170=$B5)*Inputs!$D$5:$D$170*(((Inputs!$G$5:$G$170="moeda")+(Inputs!$G$5:$G$170="acoes"))*Inputs!$B$1+((Inputs!$G$5:$G$170&lt;&gt;"moeda")*(Inputs!$G$5:$G$170&lt;&gt;"acoes")))*INDEX(Inputs!$K$5:$AJ$170,0,MATCH(I$2,Inputs!$K$4:$AJ$4,0)))+SUMPRODUCT((Inputs!$E$5:$E$170=$B5)*Inputs!$F$5:$F$170*(((Inputs!$G$5:$G$170="moeda")+(Inputs!$G$5:$G$170="acoes"))*Inputs!$B$1+((Inputs!$G$5:$G$170&lt;&gt;"moeda")*(Inputs!$G$5:$G$170&lt;&gt;"acoes")))*INDEX(Inputs!$K$5:$AJ$170,0,MATCH(I$2,Inputs!$K$4:$AJ$4,0)))))</f>
        <v>-807.931</v>
      </c>
      <c r="J5" s="6">
        <f>IF(ISNA(MATCH(J$2,Inputs!$K$4:$AJ$4,0)),NA(),IF(SUMPRODUCT((Inputs!$A$5:$A$170=$B5)*ISNUMBER(INDEX(Inputs!$K$5:$AJ$170,0,MATCH(J$2,Inputs!$K$4:$AJ$4,0))))+SUMPRODUCT((Inputs!$C$5:$C$170=$B5)*ISNUMBER(INDEX(Inputs!$K$5:$AJ$170,0,MATCH(J$2,Inputs!$K$4:$AJ$4,0))))+SUMPRODUCT((Inputs!$E$5:$E$170=$B5)*ISNUMBER(INDEX(Inputs!$K$5:$AJ$170,0,MATCH(J$2,Inputs!$K$4:$AJ$4,0))))=0,NA(),SUMPRODUCT((Inputs!$A$5:$A$170=$B5)*Inputs!$B$5:$B$170*(((Inputs!$G$5:$G$170="moeda")+(Inputs!$G$5:$G$170="acoes"))*Inputs!$B$1+((Inputs!$G$5:$G$170&lt;&gt;"moeda")*(Inputs!$G$5:$G$170&lt;&gt;"acoes")))*INDEX(Inputs!$K$5:$AJ$170,0,MATCH(J$2,Inputs!$K$4:$AJ$4,0)))+SUMPRODUCT((Inputs!$C$5:$C$170=$B5)*Inputs!$D$5:$D$170*(((Inputs!$G$5:$G$170="moeda")+(Inputs!$G$5:$G$170="acoes"))*Inputs!$B$1+((Inputs!$G$5:$G$170&lt;&gt;"moeda")*(Inputs!$G$5:$G$170&lt;&gt;"acoes")))*INDEX(Inputs!$K$5:$AJ$170,0,MATCH(J$2,Inputs!$K$4:$AJ$4,0)))+SUMPRODUCT((Inputs!$E$5:$E$170=$B5)*Inputs!$F$5:$F$170*(((Inputs!$G$5:$G$170="moeda")+(Inputs!$G$5:$G$170="acoes"))*Inputs!$B$1+((Inputs!$G$5:$G$170&lt;&gt;"moeda")*(Inputs!$G$5:$G$170&lt;&gt;"acoes")))*INDEX(Inputs!$K$5:$AJ$170,0,MATCH(J$2,Inputs!$K$4:$AJ$4,0)))))</f>
        <v>-1068.195</v>
      </c>
      <c r="K5" s="6">
        <f>IF(ISNA(MATCH(K$2,Inputs!$K$4:$AJ$4,0)),NA(),IF(SUMPRODUCT((Inputs!$A$5:$A$170=$B5)*ISNUMBER(INDEX(Inputs!$K$5:$AJ$170,0,MATCH(K$2,Inputs!$K$4:$AJ$4,0))))+SUMPRODUCT((Inputs!$C$5:$C$170=$B5)*ISNUMBER(INDEX(Inputs!$K$5:$AJ$170,0,MATCH(K$2,Inputs!$K$4:$AJ$4,0))))+SUMPRODUCT((Inputs!$E$5:$E$170=$B5)*ISNUMBER(INDEX(Inputs!$K$5:$AJ$170,0,MATCH(K$2,Inputs!$K$4:$AJ$4,0))))=0,NA(),SUMPRODUCT((Inputs!$A$5:$A$170=$B5)*Inputs!$B$5:$B$170*(((Inputs!$G$5:$G$170="moeda")+(Inputs!$G$5:$G$170="acoes"))*Inputs!$B$1+((Inputs!$G$5:$G$170&lt;&gt;"moeda")*(Inputs!$G$5:$G$170&lt;&gt;"acoes")))*INDEX(Inputs!$K$5:$AJ$170,0,MATCH(K$2,Inputs!$K$4:$AJ$4,0)))+SUMPRODUCT((Inputs!$C$5:$C$170=$B5)*Inputs!$D$5:$D$170*(((Inputs!$G$5:$G$170="moeda")+(Inputs!$G$5:$G$170="acoes"))*Inputs!$B$1+((Inputs!$G$5:$G$170&lt;&gt;"moeda")*(Inputs!$G$5:$G$170&lt;&gt;"acoes")))*INDEX(Inputs!$K$5:$AJ$170,0,MATCH(K$2,Inputs!$K$4:$AJ$4,0)))+SUMPRODUCT((Inputs!$E$5:$E$170=$B5)*Inputs!$F$5:$F$170*(((Inputs!$G$5:$G$170="moeda")+(Inputs!$G$5:$G$170="acoes"))*Inputs!$B$1+((Inputs!$G$5:$G$170&lt;&gt;"moeda")*(Inputs!$G$5:$G$170&lt;&gt;"acoes")))*INDEX(Inputs!$K$5:$AJ$170,0,MATCH(K$2,Inputs!$K$4:$AJ$4,0)))))</f>
        <v>-1319.005</v>
      </c>
      <c r="L5" s="6">
        <f>IF(ISNA(MATCH(L$2,Inputs!$K$4:$AJ$4,0)),NA(),IF(SUMPRODUCT((Inputs!$A$5:$A$170=$B5)*ISNUMBER(INDEX(Inputs!$K$5:$AJ$170,0,MATCH(L$2,Inputs!$K$4:$AJ$4,0))))+SUMPRODUCT((Inputs!$C$5:$C$170=$B5)*ISNUMBER(INDEX(Inputs!$K$5:$AJ$170,0,MATCH(L$2,Inputs!$K$4:$AJ$4,0))))+SUMPRODUCT((Inputs!$E$5:$E$170=$B5)*ISNUMBER(INDEX(Inputs!$K$5:$AJ$170,0,MATCH(L$2,Inputs!$K$4:$AJ$4,0))))=0,NA(),SUMPRODUCT((Inputs!$A$5:$A$170=$B5)*Inputs!$B$5:$B$170*(((Inputs!$G$5:$G$170="moeda")+(Inputs!$G$5:$G$170="acoes"))*Inputs!$B$1+((Inputs!$G$5:$G$170&lt;&gt;"moeda")*(Inputs!$G$5:$G$170&lt;&gt;"acoes")))*INDEX(Inputs!$K$5:$AJ$170,0,MATCH(L$2,Inputs!$K$4:$AJ$4,0)))+SUMPRODUCT((Inputs!$C$5:$C$170=$B5)*Inputs!$D$5:$D$170*(((Inputs!$G$5:$G$170="moeda")+(Inputs!$G$5:$G$170="acoes"))*Inputs!$B$1+((Inputs!$G$5:$G$170&lt;&gt;"moeda")*(Inputs!$G$5:$G$170&lt;&gt;"acoes")))*INDEX(Inputs!$K$5:$AJ$170,0,MATCH(L$2,Inputs!$K$4:$AJ$4,0)))+SUMPRODUCT((Inputs!$E$5:$E$170=$B5)*Inputs!$F$5:$F$170*(((Inputs!$G$5:$G$170="moeda")+(Inputs!$G$5:$G$170="acoes"))*Inputs!$B$1+((Inputs!$G$5:$G$170&lt;&gt;"moeda")*(Inputs!$G$5:$G$170&lt;&gt;"acoes")))*INDEX(Inputs!$K$5:$AJ$170,0,MATCH(L$2,Inputs!$K$4:$AJ$4,0)))))</f>
        <v>-1423.846</v>
      </c>
      <c r="M5" s="3">
        <f>SUM(I5:L5)</f>
        <v>-4618.977</v>
      </c>
      <c r="N5" s="6">
        <f>IF(ISNA(MATCH(N$2,Inputs!$K$4:$AJ$4,0)),NA(),IF(SUMPRODUCT((Inputs!$A$5:$A$170=$B5)*ISNUMBER(INDEX(Inputs!$K$5:$AJ$170,0,MATCH(N$2,Inputs!$K$4:$AJ$4,0))))+SUMPRODUCT((Inputs!$C$5:$C$170=$B5)*ISNUMBER(INDEX(Inputs!$K$5:$AJ$170,0,MATCH(N$2,Inputs!$K$4:$AJ$4,0))))+SUMPRODUCT((Inputs!$E$5:$E$170=$B5)*ISNUMBER(INDEX(Inputs!$K$5:$AJ$170,0,MATCH(N$2,Inputs!$K$4:$AJ$4,0))))=0,NA(),SUMPRODUCT((Inputs!$A$5:$A$170=$B5)*Inputs!$B$5:$B$170*(((Inputs!$G$5:$G$170="moeda")+(Inputs!$G$5:$G$170="acoes"))*Inputs!$B$1+((Inputs!$G$5:$G$170&lt;&gt;"moeda")*(Inputs!$G$5:$G$170&lt;&gt;"acoes")))*INDEX(Inputs!$K$5:$AJ$170,0,MATCH(N$2,Inputs!$K$4:$AJ$4,0)))+SUMPRODUCT((Inputs!$C$5:$C$170=$B5)*Inputs!$D$5:$D$170*(((Inputs!$G$5:$G$170="moeda")+(Inputs!$G$5:$G$170="acoes"))*Inputs!$B$1+((Inputs!$G$5:$G$170&lt;&gt;"moeda")*(Inputs!$G$5:$G$170&lt;&gt;"acoes")))*INDEX(Inputs!$K$5:$AJ$170,0,MATCH(N$2,Inputs!$K$4:$AJ$4,0)))+SUMPRODUCT((Inputs!$E$5:$E$170=$B5)*Inputs!$F$5:$F$170*(((Inputs!$G$5:$G$170="moeda")+(Inputs!$G$5:$G$170="acoes"))*Inputs!$B$1+((Inputs!$G$5:$G$170&lt;&gt;"moeda")*(Inputs!$G$5:$G$170&lt;&gt;"acoes")))*INDEX(Inputs!$K$5:$AJ$170,0,MATCH(N$2,Inputs!$K$4:$AJ$4,0)))))</f>
        <v>-1495.089</v>
      </c>
      <c r="O5" s="6">
        <f>IF(ISNA(MATCH(O$2,Inputs!$K$4:$AJ$4,0)),NA(),IF(SUMPRODUCT((Inputs!$A$5:$A$170=$B5)*ISNUMBER(INDEX(Inputs!$K$5:$AJ$170,0,MATCH(O$2,Inputs!$K$4:$AJ$4,0))))+SUMPRODUCT((Inputs!$C$5:$C$170=$B5)*ISNUMBER(INDEX(Inputs!$K$5:$AJ$170,0,MATCH(O$2,Inputs!$K$4:$AJ$4,0))))+SUMPRODUCT((Inputs!$E$5:$E$170=$B5)*ISNUMBER(INDEX(Inputs!$K$5:$AJ$170,0,MATCH(O$2,Inputs!$K$4:$AJ$4,0))))=0,NA(),SUMPRODUCT((Inputs!$A$5:$A$170=$B5)*Inputs!$B$5:$B$170*(((Inputs!$G$5:$G$170="moeda")+(Inputs!$G$5:$G$170="acoes"))*Inputs!$B$1+((Inputs!$G$5:$G$170&lt;&gt;"moeda")*(Inputs!$G$5:$G$170&lt;&gt;"acoes")))*INDEX(Inputs!$K$5:$AJ$170,0,MATCH(O$2,Inputs!$K$4:$AJ$4,0)))+SUMPRODUCT((Inputs!$C$5:$C$170=$B5)*Inputs!$D$5:$D$170*(((Inputs!$G$5:$G$170="moeda")+(Inputs!$G$5:$G$170="acoes"))*Inputs!$B$1+((Inputs!$G$5:$G$170&lt;&gt;"moeda")*(Inputs!$G$5:$G$170&lt;&gt;"acoes")))*INDEX(Inputs!$K$5:$AJ$170,0,MATCH(O$2,Inputs!$K$4:$AJ$4,0)))+SUMPRODUCT((Inputs!$E$5:$E$170=$B5)*Inputs!$F$5:$F$170*(((Inputs!$G$5:$G$170="moeda")+(Inputs!$G$5:$G$170="acoes"))*Inputs!$B$1+((Inputs!$G$5:$G$170&lt;&gt;"moeda")*(Inputs!$G$5:$G$170&lt;&gt;"acoes")))*INDEX(Inputs!$K$5:$AJ$170,0,MATCH(O$2,Inputs!$K$4:$AJ$4,0)))))</f>
        <v>-1259.21</v>
      </c>
      <c r="P5" s="6">
        <f>IF(ISNA(MATCH(P$2,Inputs!$K$4:$AJ$4,0)),NA(),IF(SUMPRODUCT((Inputs!$A$5:$A$170=$B5)*ISNUMBER(INDEX(Inputs!$K$5:$AJ$170,0,MATCH(P$2,Inputs!$K$4:$AJ$4,0))))+SUMPRODUCT((Inputs!$C$5:$C$170=$B5)*ISNUMBER(INDEX(Inputs!$K$5:$AJ$170,0,MATCH(P$2,Inputs!$K$4:$AJ$4,0))))+SUMPRODUCT((Inputs!$E$5:$E$170=$B5)*ISNUMBER(INDEX(Inputs!$K$5:$AJ$170,0,MATCH(P$2,Inputs!$K$4:$AJ$4,0))))=0,NA(),SUMPRODUCT((Inputs!$A$5:$A$170=$B5)*Inputs!$B$5:$B$170*(((Inputs!$G$5:$G$170="moeda")+(Inputs!$G$5:$G$170="acoes"))*Inputs!$B$1+((Inputs!$G$5:$G$170&lt;&gt;"moeda")*(Inputs!$G$5:$G$170&lt;&gt;"acoes")))*INDEX(Inputs!$K$5:$AJ$170,0,MATCH(P$2,Inputs!$K$4:$AJ$4,0)))+SUMPRODUCT((Inputs!$C$5:$C$170=$B5)*Inputs!$D$5:$D$170*(((Inputs!$G$5:$G$170="moeda")+(Inputs!$G$5:$G$170="acoes"))*Inputs!$B$1+((Inputs!$G$5:$G$170&lt;&gt;"moeda")*(Inputs!$G$5:$G$170&lt;&gt;"acoes")))*INDEX(Inputs!$K$5:$AJ$170,0,MATCH(P$2,Inputs!$K$4:$AJ$4,0)))+SUMPRODUCT((Inputs!$E$5:$E$170=$B5)*Inputs!$F$5:$F$170*(((Inputs!$G$5:$G$170="moeda")+(Inputs!$G$5:$G$170="acoes"))*Inputs!$B$1+((Inputs!$G$5:$G$170&lt;&gt;"moeda")*(Inputs!$G$5:$G$170&lt;&gt;"acoes")))*INDEX(Inputs!$K$5:$AJ$170,0,MATCH(P$2,Inputs!$K$4:$AJ$4,0)))))</f>
        <v>-1459.743</v>
      </c>
      <c r="Q5" s="6">
        <f>IF(ISNA(MATCH(Q$2,Inputs!$K$4:$AJ$4,0)),NA(),IF(SUMPRODUCT((Inputs!$A$5:$A$170=$B5)*ISNUMBER(INDEX(Inputs!$K$5:$AJ$170,0,MATCH(Q$2,Inputs!$K$4:$AJ$4,0))))+SUMPRODUCT((Inputs!$C$5:$C$170=$B5)*ISNUMBER(INDEX(Inputs!$K$5:$AJ$170,0,MATCH(Q$2,Inputs!$K$4:$AJ$4,0))))+SUMPRODUCT((Inputs!$E$5:$E$170=$B5)*ISNUMBER(INDEX(Inputs!$K$5:$AJ$170,0,MATCH(Q$2,Inputs!$K$4:$AJ$4,0))))=0,NA(),SUMPRODUCT((Inputs!$A$5:$A$170=$B5)*Inputs!$B$5:$B$170*(((Inputs!$G$5:$G$170="moeda")+(Inputs!$G$5:$G$170="acoes"))*Inputs!$B$1+((Inputs!$G$5:$G$170&lt;&gt;"moeda")*(Inputs!$G$5:$G$170&lt;&gt;"acoes")))*INDEX(Inputs!$K$5:$AJ$170,0,MATCH(Q$2,Inputs!$K$4:$AJ$4,0)))+SUMPRODUCT((Inputs!$C$5:$C$170=$B5)*Inputs!$D$5:$D$170*(((Inputs!$G$5:$G$170="moeda")+(Inputs!$G$5:$G$170="acoes"))*Inputs!$B$1+((Inputs!$G$5:$G$170&lt;&gt;"moeda")*(Inputs!$G$5:$G$170&lt;&gt;"acoes")))*INDEX(Inputs!$K$5:$AJ$170,0,MATCH(Q$2,Inputs!$K$4:$AJ$4,0)))+SUMPRODUCT((Inputs!$E$5:$E$170=$B5)*Inputs!$F$5:$F$170*(((Inputs!$G$5:$G$170="moeda")+(Inputs!$G$5:$G$170="acoes"))*Inputs!$B$1+((Inputs!$G$5:$G$170&lt;&gt;"moeda")*(Inputs!$G$5:$G$170&lt;&gt;"acoes")))*INDEX(Inputs!$K$5:$AJ$170,0,MATCH(Q$2,Inputs!$K$4:$AJ$4,0)))))</f>
        <v>-1121.686</v>
      </c>
      <c r="R5" s="3">
        <f>SUM(N5:Q5)</f>
        <v>-5335.728</v>
      </c>
      <c r="S5" s="6">
        <f>IF(ISNA(MATCH(S$2,Inputs!$K$4:$AJ$4,0)),NA(),IF(SUMPRODUCT((Inputs!$A$5:$A$170=$B5)*ISNUMBER(INDEX(Inputs!$K$5:$AJ$170,0,MATCH(S$2,Inputs!$K$4:$AJ$4,0))))+SUMPRODUCT((Inputs!$C$5:$C$170=$B5)*ISNUMBER(INDEX(Inputs!$K$5:$AJ$170,0,MATCH(S$2,Inputs!$K$4:$AJ$4,0))))+SUMPRODUCT((Inputs!$E$5:$E$170=$B5)*ISNUMBER(INDEX(Inputs!$K$5:$AJ$170,0,MATCH(S$2,Inputs!$K$4:$AJ$4,0))))=0,NA(),SUMPRODUCT((Inputs!$A$5:$A$170=$B5)*Inputs!$B$5:$B$170*(((Inputs!$G$5:$G$170="moeda")+(Inputs!$G$5:$G$170="acoes"))*Inputs!$B$1+((Inputs!$G$5:$G$170&lt;&gt;"moeda")*(Inputs!$G$5:$G$170&lt;&gt;"acoes")))*INDEX(Inputs!$K$5:$AJ$170,0,MATCH(S$2,Inputs!$K$4:$AJ$4,0)))+SUMPRODUCT((Inputs!$C$5:$C$170=$B5)*Inputs!$D$5:$D$170*(((Inputs!$G$5:$G$170="moeda")+(Inputs!$G$5:$G$170="acoes"))*Inputs!$B$1+((Inputs!$G$5:$G$170&lt;&gt;"moeda")*(Inputs!$G$5:$G$170&lt;&gt;"acoes")))*INDEX(Inputs!$K$5:$AJ$170,0,MATCH(S$2,Inputs!$K$4:$AJ$4,0)))+SUMPRODUCT((Inputs!$E$5:$E$170=$B5)*Inputs!$F$5:$F$170*(((Inputs!$G$5:$G$170="moeda")+(Inputs!$G$5:$G$170="acoes"))*Inputs!$B$1+((Inputs!$G$5:$G$170&lt;&gt;"moeda")*(Inputs!$G$5:$G$170&lt;&gt;"acoes")))*INDEX(Inputs!$K$5:$AJ$170,0,MATCH(S$2,Inputs!$K$4:$AJ$4,0)))))</f>
        <v>-1641.713</v>
      </c>
      <c r="T5" s="6">
        <f>IF(ISNA(MATCH(T$2,Inputs!$K$4:$AJ$4,0)),NA(),IF(SUMPRODUCT((Inputs!$A$5:$A$170=$B5)*ISNUMBER(INDEX(Inputs!$K$5:$AJ$170,0,MATCH(T$2,Inputs!$K$4:$AJ$4,0))))+SUMPRODUCT((Inputs!$C$5:$C$170=$B5)*ISNUMBER(INDEX(Inputs!$K$5:$AJ$170,0,MATCH(T$2,Inputs!$K$4:$AJ$4,0))))+SUMPRODUCT((Inputs!$E$5:$E$170=$B5)*ISNUMBER(INDEX(Inputs!$K$5:$AJ$170,0,MATCH(T$2,Inputs!$K$4:$AJ$4,0))))=0,NA(),SUMPRODUCT((Inputs!$A$5:$A$170=$B5)*Inputs!$B$5:$B$170*(((Inputs!$G$5:$G$170="moeda")+(Inputs!$G$5:$G$170="acoes"))*Inputs!$B$1+((Inputs!$G$5:$G$170&lt;&gt;"moeda")*(Inputs!$G$5:$G$170&lt;&gt;"acoes")))*INDEX(Inputs!$K$5:$AJ$170,0,MATCH(T$2,Inputs!$K$4:$AJ$4,0)))+SUMPRODUCT((Inputs!$C$5:$C$170=$B5)*Inputs!$D$5:$D$170*(((Inputs!$G$5:$G$170="moeda")+(Inputs!$G$5:$G$170="acoes"))*Inputs!$B$1+((Inputs!$G$5:$G$170&lt;&gt;"moeda")*(Inputs!$G$5:$G$170&lt;&gt;"acoes")))*INDEX(Inputs!$K$5:$AJ$170,0,MATCH(T$2,Inputs!$K$4:$AJ$4,0)))+SUMPRODUCT((Inputs!$E$5:$E$170=$B5)*Inputs!$F$5:$F$170*(((Inputs!$G$5:$G$170="moeda")+(Inputs!$G$5:$G$170="acoes"))*Inputs!$B$1+((Inputs!$G$5:$G$170&lt;&gt;"moeda")*(Inputs!$G$5:$G$170&lt;&gt;"acoes")))*INDEX(Inputs!$K$5:$AJ$170,0,MATCH(T$2,Inputs!$K$4:$AJ$4,0)))))</f>
        <v>-1943.53</v>
      </c>
      <c r="U5" s="6">
        <f>IF(ISNA(MATCH(U$2,Inputs!$K$4:$AJ$4,0)),NA(),IF(SUMPRODUCT((Inputs!$A$5:$A$170=$B5)*ISNUMBER(INDEX(Inputs!$K$5:$AJ$170,0,MATCH(U$2,Inputs!$K$4:$AJ$4,0))))+SUMPRODUCT((Inputs!$C$5:$C$170=$B5)*ISNUMBER(INDEX(Inputs!$K$5:$AJ$170,0,MATCH(U$2,Inputs!$K$4:$AJ$4,0))))+SUMPRODUCT((Inputs!$E$5:$E$170=$B5)*ISNUMBER(INDEX(Inputs!$K$5:$AJ$170,0,MATCH(U$2,Inputs!$K$4:$AJ$4,0))))=0,NA(),SUMPRODUCT((Inputs!$A$5:$A$170=$B5)*Inputs!$B$5:$B$170*(((Inputs!$G$5:$G$170="moeda")+(Inputs!$G$5:$G$170="acoes"))*Inputs!$B$1+((Inputs!$G$5:$G$170&lt;&gt;"moeda")*(Inputs!$G$5:$G$170&lt;&gt;"acoes")))*INDEX(Inputs!$K$5:$AJ$170,0,MATCH(U$2,Inputs!$K$4:$AJ$4,0)))+SUMPRODUCT((Inputs!$C$5:$C$170=$B5)*Inputs!$D$5:$D$170*(((Inputs!$G$5:$G$170="moeda")+(Inputs!$G$5:$G$170="acoes"))*Inputs!$B$1+((Inputs!$G$5:$G$170&lt;&gt;"moeda")*(Inputs!$G$5:$G$170&lt;&gt;"acoes")))*INDEX(Inputs!$K$5:$AJ$170,0,MATCH(U$2,Inputs!$K$4:$AJ$4,0)))+SUMPRODUCT((Inputs!$E$5:$E$170=$B5)*Inputs!$F$5:$F$170*(((Inputs!$G$5:$G$170="moeda")+(Inputs!$G$5:$G$170="acoes"))*Inputs!$B$1+((Inputs!$G$5:$G$170&lt;&gt;"moeda")*(Inputs!$G$5:$G$170&lt;&gt;"acoes")))*INDEX(Inputs!$K$5:$AJ$170,0,MATCH(U$2,Inputs!$K$4:$AJ$4,0)))))</f>
        <v>-2167.358</v>
      </c>
      <c r="V5" s="6">
        <f>IF(ISNA(MATCH(V$2,Inputs!$K$4:$AJ$4,0)),NA(),IF(SUMPRODUCT((Inputs!$A$5:$A$170=$B5)*ISNUMBER(INDEX(Inputs!$K$5:$AJ$170,0,MATCH(V$2,Inputs!$K$4:$AJ$4,0))))+SUMPRODUCT((Inputs!$C$5:$C$170=$B5)*ISNUMBER(INDEX(Inputs!$K$5:$AJ$170,0,MATCH(V$2,Inputs!$K$4:$AJ$4,0))))+SUMPRODUCT((Inputs!$E$5:$E$170=$B5)*ISNUMBER(INDEX(Inputs!$K$5:$AJ$170,0,MATCH(V$2,Inputs!$K$4:$AJ$4,0))))=0,NA(),SUMPRODUCT((Inputs!$A$5:$A$170=$B5)*Inputs!$B$5:$B$170*(((Inputs!$G$5:$G$170="moeda")+(Inputs!$G$5:$G$170="acoes"))*Inputs!$B$1+((Inputs!$G$5:$G$170&lt;&gt;"moeda")*(Inputs!$G$5:$G$170&lt;&gt;"acoes")))*INDEX(Inputs!$K$5:$AJ$170,0,MATCH(V$2,Inputs!$K$4:$AJ$4,0)))+SUMPRODUCT((Inputs!$C$5:$C$170=$B5)*Inputs!$D$5:$D$170*(((Inputs!$G$5:$G$170="moeda")+(Inputs!$G$5:$G$170="acoes"))*Inputs!$B$1+((Inputs!$G$5:$G$170&lt;&gt;"moeda")*(Inputs!$G$5:$G$170&lt;&gt;"acoes")))*INDEX(Inputs!$K$5:$AJ$170,0,MATCH(V$2,Inputs!$K$4:$AJ$4,0)))+SUMPRODUCT((Inputs!$E$5:$E$170=$B5)*Inputs!$F$5:$F$170*(((Inputs!$G$5:$G$170="moeda")+(Inputs!$G$5:$G$170="acoes"))*Inputs!$B$1+((Inputs!$G$5:$G$170&lt;&gt;"moeda")*(Inputs!$G$5:$G$170&lt;&gt;"acoes")))*INDEX(Inputs!$K$5:$AJ$170,0,MATCH(V$2,Inputs!$K$4:$AJ$4,0)))))</f>
        <v>-1632.258</v>
      </c>
      <c r="W5" s="3">
        <f>SUM(S5:V5)</f>
        <v>-7384.859</v>
      </c>
      <c r="X5" s="6">
        <f>IF(ISNA(MATCH(X$2,Inputs!$K$4:$AJ$4,0)),NA(),IF(SUMPRODUCT((Inputs!$A$5:$A$170=$B5)*ISNUMBER(INDEX(Inputs!$K$5:$AJ$170,0,MATCH(X$2,Inputs!$K$4:$AJ$4,0))))+SUMPRODUCT((Inputs!$C$5:$C$170=$B5)*ISNUMBER(INDEX(Inputs!$K$5:$AJ$170,0,MATCH(X$2,Inputs!$K$4:$AJ$4,0))))+SUMPRODUCT((Inputs!$E$5:$E$170=$B5)*ISNUMBER(INDEX(Inputs!$K$5:$AJ$170,0,MATCH(X$2,Inputs!$K$4:$AJ$4,0))))=0,NA(),SUMPRODUCT((Inputs!$A$5:$A$170=$B5)*Inputs!$B$5:$B$170*(((Inputs!$G$5:$G$170="moeda")+(Inputs!$G$5:$G$170="acoes"))*Inputs!$B$1+((Inputs!$G$5:$G$170&lt;&gt;"moeda")*(Inputs!$G$5:$G$170&lt;&gt;"acoes")))*INDEX(Inputs!$K$5:$AJ$170,0,MATCH(X$2,Inputs!$K$4:$AJ$4,0)))+SUMPRODUCT((Inputs!$C$5:$C$170=$B5)*Inputs!$D$5:$D$170*(((Inputs!$G$5:$G$170="moeda")+(Inputs!$G$5:$G$170="acoes"))*Inputs!$B$1+((Inputs!$G$5:$G$170&lt;&gt;"moeda")*(Inputs!$G$5:$G$170&lt;&gt;"acoes")))*INDEX(Inputs!$K$5:$AJ$170,0,MATCH(X$2,Inputs!$K$4:$AJ$4,0)))+SUMPRODUCT((Inputs!$E$5:$E$170=$B5)*Inputs!$F$5:$F$170*(((Inputs!$G$5:$G$170="moeda")+(Inputs!$G$5:$G$170="acoes"))*Inputs!$B$1+((Inputs!$G$5:$G$170&lt;&gt;"moeda")*(Inputs!$G$5:$G$170&lt;&gt;"acoes")))*INDEX(Inputs!$K$5:$AJ$170,0,MATCH(X$2,Inputs!$K$4:$AJ$4,0)))))</f>
        <v>-1850.292</v>
      </c>
      <c r="Y5" s="6">
        <f>IF(ISNA(MATCH(Y$2,Inputs!$K$4:$AJ$4,0)),NA(),IF(SUMPRODUCT((Inputs!$A$5:$A$170=$B5)*ISNUMBER(INDEX(Inputs!$K$5:$AJ$170,0,MATCH(Y$2,Inputs!$K$4:$AJ$4,0))))+SUMPRODUCT((Inputs!$C$5:$C$170=$B5)*ISNUMBER(INDEX(Inputs!$K$5:$AJ$170,0,MATCH(Y$2,Inputs!$K$4:$AJ$4,0))))+SUMPRODUCT((Inputs!$E$5:$E$170=$B5)*ISNUMBER(INDEX(Inputs!$K$5:$AJ$170,0,MATCH(Y$2,Inputs!$K$4:$AJ$4,0))))=0,NA(),SUMPRODUCT((Inputs!$A$5:$A$170=$B5)*Inputs!$B$5:$B$170*(((Inputs!$G$5:$G$170="moeda")+(Inputs!$G$5:$G$170="acoes"))*Inputs!$B$1+((Inputs!$G$5:$G$170&lt;&gt;"moeda")*(Inputs!$G$5:$G$170&lt;&gt;"acoes")))*INDEX(Inputs!$K$5:$AJ$170,0,MATCH(Y$2,Inputs!$K$4:$AJ$4,0)))+SUMPRODUCT((Inputs!$C$5:$C$170=$B5)*Inputs!$D$5:$D$170*(((Inputs!$G$5:$G$170="moeda")+(Inputs!$G$5:$G$170="acoes"))*Inputs!$B$1+((Inputs!$G$5:$G$170&lt;&gt;"moeda")*(Inputs!$G$5:$G$170&lt;&gt;"acoes")))*INDEX(Inputs!$K$5:$AJ$170,0,MATCH(Y$2,Inputs!$K$4:$AJ$4,0)))+SUMPRODUCT((Inputs!$E$5:$E$170=$B5)*Inputs!$F$5:$F$170*(((Inputs!$G$5:$G$170="moeda")+(Inputs!$G$5:$G$170="acoes"))*Inputs!$B$1+((Inputs!$G$5:$G$170&lt;&gt;"moeda")*(Inputs!$G$5:$G$170&lt;&gt;"acoes")))*INDEX(Inputs!$K$5:$AJ$170,0,MATCH(Y$2,Inputs!$K$4:$AJ$4,0)))))</f>
        <v>-1930.49</v>
      </c>
      <c r="Z5" s="6">
        <f>IF(ISNA(MATCH(Z$2,Inputs!$K$4:$AJ$4,0)),NA(),IF(SUMPRODUCT((Inputs!$A$5:$A$170=$B5)*ISNUMBER(INDEX(Inputs!$K$5:$AJ$170,0,MATCH(Z$2,Inputs!$K$4:$AJ$4,0))))+SUMPRODUCT((Inputs!$C$5:$C$170=$B5)*ISNUMBER(INDEX(Inputs!$K$5:$AJ$170,0,MATCH(Z$2,Inputs!$K$4:$AJ$4,0))))+SUMPRODUCT((Inputs!$E$5:$E$170=$B5)*ISNUMBER(INDEX(Inputs!$K$5:$AJ$170,0,MATCH(Z$2,Inputs!$K$4:$AJ$4,0))))=0,NA(),SUMPRODUCT((Inputs!$A$5:$A$170=$B5)*Inputs!$B$5:$B$170*(((Inputs!$G$5:$G$170="moeda")+(Inputs!$G$5:$G$170="acoes"))*Inputs!$B$1+((Inputs!$G$5:$G$170&lt;&gt;"moeda")*(Inputs!$G$5:$G$170&lt;&gt;"acoes")))*INDEX(Inputs!$K$5:$AJ$170,0,MATCH(Z$2,Inputs!$K$4:$AJ$4,0)))+SUMPRODUCT((Inputs!$C$5:$C$170=$B5)*Inputs!$D$5:$D$170*(((Inputs!$G$5:$G$170="moeda")+(Inputs!$G$5:$G$170="acoes"))*Inputs!$B$1+((Inputs!$G$5:$G$170&lt;&gt;"moeda")*(Inputs!$G$5:$G$170&lt;&gt;"acoes")))*INDEX(Inputs!$K$5:$AJ$170,0,MATCH(Z$2,Inputs!$K$4:$AJ$4,0)))+SUMPRODUCT((Inputs!$E$5:$E$170=$B5)*Inputs!$F$5:$F$170*(((Inputs!$G$5:$G$170="moeda")+(Inputs!$G$5:$G$170="acoes"))*Inputs!$B$1+((Inputs!$G$5:$G$170&lt;&gt;"moeda")*(Inputs!$G$5:$G$170&lt;&gt;"acoes")))*INDEX(Inputs!$K$5:$AJ$170,0,MATCH(Z$2,Inputs!$K$4:$AJ$4,0)))))</f>
        <v>-1923.127</v>
      </c>
      <c r="AA5" s="6">
        <f>IF(ISNA(MATCH(AA$2,Inputs!$K$4:$AJ$4,0)),NA(),IF(SUMPRODUCT((Inputs!$A$5:$A$170=$B5)*ISNUMBER(INDEX(Inputs!$K$5:$AJ$170,0,MATCH(AA$2,Inputs!$K$4:$AJ$4,0))))+SUMPRODUCT((Inputs!$C$5:$C$170=$B5)*ISNUMBER(INDEX(Inputs!$K$5:$AJ$170,0,MATCH(AA$2,Inputs!$K$4:$AJ$4,0))))+SUMPRODUCT((Inputs!$E$5:$E$170=$B5)*ISNUMBER(INDEX(Inputs!$K$5:$AJ$170,0,MATCH(AA$2,Inputs!$K$4:$AJ$4,0))))=0,NA(),SUMPRODUCT((Inputs!$A$5:$A$170=$B5)*Inputs!$B$5:$B$170*(((Inputs!$G$5:$G$170="moeda")+(Inputs!$G$5:$G$170="acoes"))*Inputs!$B$1+((Inputs!$G$5:$G$170&lt;&gt;"moeda")*(Inputs!$G$5:$G$170&lt;&gt;"acoes")))*INDEX(Inputs!$K$5:$AJ$170,0,MATCH(AA$2,Inputs!$K$4:$AJ$4,0)))+SUMPRODUCT((Inputs!$C$5:$C$170=$B5)*Inputs!$D$5:$D$170*(((Inputs!$G$5:$G$170="moeda")+(Inputs!$G$5:$G$170="acoes"))*Inputs!$B$1+((Inputs!$G$5:$G$170&lt;&gt;"moeda")*(Inputs!$G$5:$G$170&lt;&gt;"acoes")))*INDEX(Inputs!$K$5:$AJ$170,0,MATCH(AA$2,Inputs!$K$4:$AJ$4,0)))+SUMPRODUCT((Inputs!$E$5:$E$170=$B5)*Inputs!$F$5:$F$170*(((Inputs!$G$5:$G$170="moeda")+(Inputs!$G$5:$G$170="acoes"))*Inputs!$B$1+((Inputs!$G$5:$G$170&lt;&gt;"moeda")*(Inputs!$G$5:$G$170&lt;&gt;"acoes")))*INDEX(Inputs!$K$5:$AJ$170,0,MATCH(AA$2,Inputs!$K$4:$AJ$4,0)))))</f>
        <v>-1775.8778087</v>
      </c>
      <c r="AB5" s="3">
        <f>SUM(X5:AA5)</f>
        <v>-7479.7868087</v>
      </c>
      <c r="AC5" s="6">
        <f>IF(ISNA(MATCH(AC$2,Inputs!$K$4:$AJ$4,0)),NA(),IF(SUMPRODUCT((Inputs!$A$5:$A$170=$B5)*ISNUMBER(INDEX(Inputs!$K$5:$AJ$170,0,MATCH(AC$2,Inputs!$K$4:$AJ$4,0))))+SUMPRODUCT((Inputs!$C$5:$C$170=$B5)*ISNUMBER(INDEX(Inputs!$K$5:$AJ$170,0,MATCH(AC$2,Inputs!$K$4:$AJ$4,0))))+SUMPRODUCT((Inputs!$E$5:$E$170=$B5)*ISNUMBER(INDEX(Inputs!$K$5:$AJ$170,0,MATCH(AC$2,Inputs!$K$4:$AJ$4,0))))=0,NA(),SUMPRODUCT((Inputs!$A$5:$A$170=$B5)*Inputs!$B$5:$B$170*(((Inputs!$G$5:$G$170="moeda")+(Inputs!$G$5:$G$170="acoes"))*Inputs!$B$1+((Inputs!$G$5:$G$170&lt;&gt;"moeda")*(Inputs!$G$5:$G$170&lt;&gt;"acoes")))*INDEX(Inputs!$K$5:$AJ$170,0,MATCH(AC$2,Inputs!$K$4:$AJ$4,0)))+SUMPRODUCT((Inputs!$C$5:$C$170=$B5)*Inputs!$D$5:$D$170*(((Inputs!$G$5:$G$170="moeda")+(Inputs!$G$5:$G$170="acoes"))*Inputs!$B$1+((Inputs!$G$5:$G$170&lt;&gt;"moeda")*(Inputs!$G$5:$G$170&lt;&gt;"acoes")))*INDEX(Inputs!$K$5:$AJ$170,0,MATCH(AC$2,Inputs!$K$4:$AJ$4,0)))+SUMPRODUCT((Inputs!$E$5:$E$170=$B5)*Inputs!$F$5:$F$170*(((Inputs!$G$5:$G$170="moeda")+(Inputs!$G$5:$G$170="acoes"))*Inputs!$B$1+((Inputs!$G$5:$G$170&lt;&gt;"moeda")*(Inputs!$G$5:$G$170&lt;&gt;"acoes")))*INDEX(Inputs!$K$5:$AJ$170,0,MATCH(AC$2,Inputs!$K$4:$AJ$4,0)))))</f>
        <v>-1792.9548484</v>
      </c>
      <c r="AD5" s="6">
        <f>IF(ISNA(MATCH(AD$2,Inputs!$K$4:$AJ$4,0)),NA(),IF(SUMPRODUCT((Inputs!$A$5:$A$170=$B5)*ISNUMBER(INDEX(Inputs!$K$5:$AJ$170,0,MATCH(AD$2,Inputs!$K$4:$AJ$4,0))))+SUMPRODUCT((Inputs!$C$5:$C$170=$B5)*ISNUMBER(INDEX(Inputs!$K$5:$AJ$170,0,MATCH(AD$2,Inputs!$K$4:$AJ$4,0))))+SUMPRODUCT((Inputs!$E$5:$E$170=$B5)*ISNUMBER(INDEX(Inputs!$K$5:$AJ$170,0,MATCH(AD$2,Inputs!$K$4:$AJ$4,0))))=0,NA(),SUMPRODUCT((Inputs!$A$5:$A$170=$B5)*Inputs!$B$5:$B$170*(((Inputs!$G$5:$G$170="moeda")+(Inputs!$G$5:$G$170="acoes"))*Inputs!$B$1+((Inputs!$G$5:$G$170&lt;&gt;"moeda")*(Inputs!$G$5:$G$170&lt;&gt;"acoes")))*INDEX(Inputs!$K$5:$AJ$170,0,MATCH(AD$2,Inputs!$K$4:$AJ$4,0)))+SUMPRODUCT((Inputs!$C$5:$C$170=$B5)*Inputs!$D$5:$D$170*(((Inputs!$G$5:$G$170="moeda")+(Inputs!$G$5:$G$170="acoes"))*Inputs!$B$1+((Inputs!$G$5:$G$170&lt;&gt;"moeda")*(Inputs!$G$5:$G$170&lt;&gt;"acoes")))*INDEX(Inputs!$K$5:$AJ$170,0,MATCH(AD$2,Inputs!$K$4:$AJ$4,0)))+SUMPRODUCT((Inputs!$E$5:$E$170=$B5)*Inputs!$F$5:$F$170*(((Inputs!$G$5:$G$170="moeda")+(Inputs!$G$5:$G$170="acoes"))*Inputs!$B$1+((Inputs!$G$5:$G$170&lt;&gt;"moeda")*(Inputs!$G$5:$G$170&lt;&gt;"acoes")))*INDEX(Inputs!$K$5:$AJ$170,0,MATCH(AD$2,Inputs!$K$4:$AJ$4,0)))))</f>
        <v>-1658.1450488</v>
      </c>
      <c r="AE5" s="6" t="e">
        <f>IF(ISNA(MATCH(AE$2,Inputs!$K$4:$AJ$4,0)),NA(),IF(SUMPRODUCT((Inputs!$A$5:$A$170=$B5)*ISNUMBER(INDEX(Inputs!$K$5:$AJ$170,0,MATCH(AE$2,Inputs!$K$4:$AJ$4,0))))+SUMPRODUCT((Inputs!$C$5:$C$170=$B5)*ISNUMBER(INDEX(Inputs!$K$5:$AJ$170,0,MATCH(AE$2,Inputs!$K$4:$AJ$4,0))))+SUMPRODUCT((Inputs!$E$5:$E$170=$B5)*ISNUMBER(INDEX(Inputs!$K$5:$AJ$170,0,MATCH(AE$2,Inputs!$K$4:$AJ$4,0))))=0,NA(),SUMPRODUCT((Inputs!$A$5:$A$170=$B5)*Inputs!$B$5:$B$170*(((Inputs!$G$5:$G$170="moeda")+(Inputs!$G$5:$G$170="acoes"))*Inputs!$B$1+((Inputs!$G$5:$G$170&lt;&gt;"moeda")*(Inputs!$G$5:$G$170&lt;&gt;"acoes")))*INDEX(Inputs!$K$5:$AJ$170,0,MATCH(AE$2,Inputs!$K$4:$AJ$4,0)))+SUMPRODUCT((Inputs!$C$5:$C$170=$B5)*Inputs!$D$5:$D$170*(((Inputs!$G$5:$G$170="moeda")+(Inputs!$G$5:$G$170="acoes"))*Inputs!$B$1+((Inputs!$G$5:$G$170&lt;&gt;"moeda")*(Inputs!$G$5:$G$170&lt;&gt;"acoes")))*INDEX(Inputs!$K$5:$AJ$170,0,MATCH(AE$2,Inputs!$K$4:$AJ$4,0)))+SUMPRODUCT((Inputs!$E$5:$E$170=$B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" s="6" t="e">
        <f>IF(ISNA(MATCH(AF$2,Inputs!$K$4:$AJ$4,0)),NA(),IF(SUMPRODUCT((Inputs!$A$5:$A$170=$B5)*ISNUMBER(INDEX(Inputs!$K$5:$AJ$170,0,MATCH(AF$2,Inputs!$K$4:$AJ$4,0))))+SUMPRODUCT((Inputs!$C$5:$C$170=$B5)*ISNUMBER(INDEX(Inputs!$K$5:$AJ$170,0,MATCH(AF$2,Inputs!$K$4:$AJ$4,0))))+SUMPRODUCT((Inputs!$E$5:$E$170=$B5)*ISNUMBER(INDEX(Inputs!$K$5:$AJ$170,0,MATCH(AF$2,Inputs!$K$4:$AJ$4,0))))=0,NA(),SUMPRODUCT((Inputs!$A$5:$A$170=$B5)*Inputs!$B$5:$B$170*(((Inputs!$G$5:$G$170="moeda")+(Inputs!$G$5:$G$170="acoes"))*Inputs!$B$1+((Inputs!$G$5:$G$170&lt;&gt;"moeda")*(Inputs!$G$5:$G$170&lt;&gt;"acoes")))*INDEX(Inputs!$K$5:$AJ$170,0,MATCH(AF$2,Inputs!$K$4:$AJ$4,0)))+SUMPRODUCT((Inputs!$C$5:$C$170=$B5)*Inputs!$D$5:$D$170*(((Inputs!$G$5:$G$170="moeda")+(Inputs!$G$5:$G$170="acoes"))*Inputs!$B$1+((Inputs!$G$5:$G$170&lt;&gt;"moeda")*(Inputs!$G$5:$G$170&lt;&gt;"acoes")))*INDEX(Inputs!$K$5:$AJ$170,0,MATCH(AF$2,Inputs!$K$4:$AJ$4,0)))+SUMPRODUCT((Inputs!$E$5:$E$170=$B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" s="3" t="e">
        <f>SUM(AC5:AF5)</f>
        <v>#N/A</v>
      </c>
      <c r="AH5" s="6">
        <f>IF(ISNA(MATCH(AH$2,Inputs!$K$4:$AJ$4,0)),NA(),IF(SUMPRODUCT((Inputs!$A$5:$A$170=$B5)*ISNUMBER(INDEX(Inputs!$K$5:$AJ$170,0,MATCH(AH$2,Inputs!$K$4:$AJ$4,0))))+SUMPRODUCT((Inputs!$C$5:$C$170=$B5)*ISNUMBER(INDEX(Inputs!$K$5:$AJ$170,0,MATCH(AH$2,Inputs!$K$4:$AJ$4,0))))+SUMPRODUCT((Inputs!$E$5:$E$170=$B5)*ISNUMBER(INDEX(Inputs!$K$5:$AJ$170,0,MATCH(AH$2,Inputs!$K$4:$AJ$4,0))))=0,NA(),SUMPRODUCT((Inputs!$A$5:$A$170=$B5)*Inputs!$B$5:$B$170*(((Inputs!$G$5:$G$170="moeda")+(Inputs!$G$5:$G$170="acoes"))*Inputs!$B$1+((Inputs!$G$5:$G$170&lt;&gt;"moeda")*(Inputs!$G$5:$G$170&lt;&gt;"acoes")))*INDEX(Inputs!$K$5:$AJ$170,0,MATCH(AH$2,Inputs!$K$4:$AJ$4,0)))+SUMPRODUCT((Inputs!$C$5:$C$170=$B5)*Inputs!$D$5:$D$170*(((Inputs!$G$5:$G$170="moeda")+(Inputs!$G$5:$G$170="acoes"))*Inputs!$B$1+((Inputs!$G$5:$G$170&lt;&gt;"moeda")*(Inputs!$G$5:$G$170&lt;&gt;"acoes")))*INDEX(Inputs!$K$5:$AJ$170,0,MATCH(AH$2,Inputs!$K$4:$AJ$4,0)))+SUMPRODUCT((Inputs!$E$5:$E$170=$B5)*Inputs!$F$5:$F$170*(((Inputs!$G$5:$G$170="moeda")+(Inputs!$G$5:$G$170="acoes"))*Inputs!$B$1+((Inputs!$G$5:$G$170&lt;&gt;"moeda")*(Inputs!$G$5:$G$170&lt;&gt;"acoes")))*INDEX(Inputs!$K$5:$AJ$170,0,MATCH(AH$2,Inputs!$K$4:$AJ$4,0)))))</f>
        <v>-612.09</v>
      </c>
      <c r="AI5" s="6">
        <f>IF(ISNA(MATCH(AI$2,Inputs!$K$4:$AJ$4,0)),NA(),IF(SUMPRODUCT((Inputs!$A$5:$A$170=$B5)*ISNUMBER(INDEX(Inputs!$K$5:$AJ$170,0,MATCH(AI$2,Inputs!$K$4:$AJ$4,0))))+SUMPRODUCT((Inputs!$C$5:$C$170=$B5)*ISNUMBER(INDEX(Inputs!$K$5:$AJ$170,0,MATCH(AI$2,Inputs!$K$4:$AJ$4,0))))+SUMPRODUCT((Inputs!$E$5:$E$170=$B5)*ISNUMBER(INDEX(Inputs!$K$5:$AJ$170,0,MATCH(AI$2,Inputs!$K$4:$AJ$4,0))))=0,NA(),SUMPRODUCT((Inputs!$A$5:$A$170=$B5)*Inputs!$B$5:$B$170*(((Inputs!$G$5:$G$170="moeda")+(Inputs!$G$5:$G$170="acoes"))*Inputs!$B$1+((Inputs!$G$5:$G$170&lt;&gt;"moeda")*(Inputs!$G$5:$G$170&lt;&gt;"acoes")))*INDEX(Inputs!$K$5:$AJ$170,0,MATCH(AI$2,Inputs!$K$4:$AJ$4,0)))+SUMPRODUCT((Inputs!$C$5:$C$170=$B5)*Inputs!$D$5:$D$170*(((Inputs!$G$5:$G$170="moeda")+(Inputs!$G$5:$G$170="acoes"))*Inputs!$B$1+((Inputs!$G$5:$G$170&lt;&gt;"moeda")*(Inputs!$G$5:$G$170&lt;&gt;"acoes")))*INDEX(Inputs!$K$5:$AJ$170,0,MATCH(AI$2,Inputs!$K$4:$AJ$4,0)))+SUMPRODUCT((Inputs!$E$5:$E$170=$B5)*Inputs!$F$5:$F$170*(((Inputs!$G$5:$G$170="moeda")+(Inputs!$G$5:$G$170="acoes"))*Inputs!$B$1+((Inputs!$G$5:$G$170&lt;&gt;"moeda")*(Inputs!$G$5:$G$170&lt;&gt;"acoes")))*INDEX(Inputs!$K$5:$AJ$170,0,MATCH(AI$2,Inputs!$K$4:$AJ$4,0)))))</f>
        <v>-761.96</v>
      </c>
      <c r="AJ5" s="6">
        <f>IF(ISNA(MATCH(AJ$2,Inputs!$K$4:$AJ$4,0)),NA(),IF(SUMPRODUCT((Inputs!$A$5:$A$170=$B5)*ISNUMBER(INDEX(Inputs!$K$5:$AJ$170,0,MATCH(AJ$2,Inputs!$K$4:$AJ$4,0))))+SUMPRODUCT((Inputs!$C$5:$C$170=$B5)*ISNUMBER(INDEX(Inputs!$K$5:$AJ$170,0,MATCH(AJ$2,Inputs!$K$4:$AJ$4,0))))+SUMPRODUCT((Inputs!$E$5:$E$170=$B5)*ISNUMBER(INDEX(Inputs!$K$5:$AJ$170,0,MATCH(AJ$2,Inputs!$K$4:$AJ$4,0))))=0,NA(),SUMPRODUCT((Inputs!$A$5:$A$170=$B5)*Inputs!$B$5:$B$170*(((Inputs!$G$5:$G$170="moeda")+(Inputs!$G$5:$G$170="acoes"))*Inputs!$B$1+((Inputs!$G$5:$G$170&lt;&gt;"moeda")*(Inputs!$G$5:$G$170&lt;&gt;"acoes")))*INDEX(Inputs!$K$5:$AJ$170,0,MATCH(AJ$2,Inputs!$K$4:$AJ$4,0)))+SUMPRODUCT((Inputs!$C$5:$C$170=$B5)*Inputs!$D$5:$D$170*(((Inputs!$G$5:$G$170="moeda")+(Inputs!$G$5:$G$170="acoes"))*Inputs!$B$1+((Inputs!$G$5:$G$170&lt;&gt;"moeda")*(Inputs!$G$5:$G$170&lt;&gt;"acoes")))*INDEX(Inputs!$K$5:$AJ$170,0,MATCH(AJ$2,Inputs!$K$4:$AJ$4,0)))+SUMPRODUCT((Inputs!$E$5:$E$170=$B5)*Inputs!$F$5:$F$170*(((Inputs!$G$5:$G$170="moeda")+(Inputs!$G$5:$G$170="acoes"))*Inputs!$B$1+((Inputs!$G$5:$G$170&lt;&gt;"moeda")*(Inputs!$G$5:$G$170&lt;&gt;"acoes")))*INDEX(Inputs!$K$5:$AJ$170,0,MATCH(AJ$2,Inputs!$K$4:$AJ$4,0)))))</f>
        <v>-665.921</v>
      </c>
      <c r="AK5" s="6">
        <f>IF(ISNA(MATCH(AK$2,Inputs!$K$4:$AJ$4,0)),NA(),IF(SUMPRODUCT((Inputs!$A$5:$A$170=$B5)*ISNUMBER(INDEX(Inputs!$K$5:$AJ$170,0,MATCH(AK$2,Inputs!$K$4:$AJ$4,0))))+SUMPRODUCT((Inputs!$C$5:$C$170=$B5)*ISNUMBER(INDEX(Inputs!$K$5:$AJ$170,0,MATCH(AK$2,Inputs!$K$4:$AJ$4,0))))+SUMPRODUCT((Inputs!$E$5:$E$170=$B5)*ISNUMBER(INDEX(Inputs!$K$5:$AJ$170,0,MATCH(AK$2,Inputs!$K$4:$AJ$4,0))))=0,NA(),SUMPRODUCT((Inputs!$A$5:$A$170=$B5)*Inputs!$B$5:$B$170*(((Inputs!$G$5:$G$170="moeda")+(Inputs!$G$5:$G$170="acoes"))*Inputs!$B$1+((Inputs!$G$5:$G$170&lt;&gt;"moeda")*(Inputs!$G$5:$G$170&lt;&gt;"acoes")))*INDEX(Inputs!$K$5:$AJ$170,0,MATCH(AK$2,Inputs!$K$4:$AJ$4,0)))+SUMPRODUCT((Inputs!$C$5:$C$170=$B5)*Inputs!$D$5:$D$170*(((Inputs!$G$5:$G$170="moeda")+(Inputs!$G$5:$G$170="acoes"))*Inputs!$B$1+((Inputs!$G$5:$G$170&lt;&gt;"moeda")*(Inputs!$G$5:$G$170&lt;&gt;"acoes")))*INDEX(Inputs!$K$5:$AJ$170,0,MATCH(AK$2,Inputs!$K$4:$AJ$4,0)))+SUMPRODUCT((Inputs!$E$5:$E$170=$B5)*Inputs!$F$5:$F$170*(((Inputs!$G$5:$G$170="moeda")+(Inputs!$G$5:$G$170="acoes"))*Inputs!$B$1+((Inputs!$G$5:$G$170&lt;&gt;"moeda")*(Inputs!$G$5:$G$170&lt;&gt;"acoes")))*INDEX(Inputs!$K$5:$AJ$170,0,MATCH(AK$2,Inputs!$K$4:$AJ$4,0)))))</f>
        <v>-491.652</v>
      </c>
      <c r="AL5" s="3">
        <f>SUM(AH5:AK5)</f>
        <v>-2531.623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$170=$B6)*ISNUMBER(INDEX(Inputs!$K$5:$AJ$170,0,MATCH(D$2,Inputs!$K$4:$AJ$4,0))))+SUMPRODUCT((Inputs!$C$5:$C$170=$B6)*ISNUMBER(INDEX(Inputs!$K$5:$AJ$170,0,MATCH(D$2,Inputs!$K$4:$AJ$4,0))))+SUMPRODUCT((Inputs!$E$5:$E$170=$B6)*ISNUMBER(INDEX(Inputs!$K$5:$AJ$170,0,MATCH(D$2,Inputs!$K$4:$AJ$4,0))))=0,NA(),SUMPRODUCT((Inputs!$A$5:$A$170=$B6)*Inputs!$B$5:$B$170*(((Inputs!$G$5:$G$170="moeda")+(Inputs!$G$5:$G$170="acoes"))*Inputs!$B$1+((Inputs!$G$5:$G$170&lt;&gt;"moeda")*(Inputs!$G$5:$G$170&lt;&gt;"acoes")))*INDEX(Inputs!$K$5:$AJ$170,0,MATCH(D$2,Inputs!$K$4:$AJ$4,0)))+SUMPRODUCT((Inputs!$C$5:$C$170=$B6)*Inputs!$D$5:$D$170*(((Inputs!$G$5:$G$170="moeda")+(Inputs!$G$5:$G$170="acoes"))*Inputs!$B$1+((Inputs!$G$5:$G$170&lt;&gt;"moeda")*(Inputs!$G$5:$G$170&lt;&gt;"acoes")))*INDEX(Inputs!$K$5:$AJ$170,0,MATCH(D$2,Inputs!$K$4:$AJ$4,0)))+SUMPRODUCT((Inputs!$E$5:$E$170=$B6)*Inputs!$F$5:$F$170*(((Inputs!$G$5:$G$170="moeda")+(Inputs!$G$5:$G$170="acoes"))*Inputs!$B$1+((Inputs!$G$5:$G$170&lt;&gt;"moeda")*(Inputs!$G$5:$G$170&lt;&gt;"acoes")))*INDEX(Inputs!$K$5:$AJ$170,0,MATCH(D$2,Inputs!$K$4:$AJ$4,0)))))</f>
        <v>-156.605</v>
      </c>
      <c r="E6" s="6">
        <f>IF(ISNA(MATCH(E$2,Inputs!$K$4:$AJ$4,0)),NA(),IF(SUMPRODUCT((Inputs!$A$5:$A$170=$B6)*ISNUMBER(INDEX(Inputs!$K$5:$AJ$170,0,MATCH(E$2,Inputs!$K$4:$AJ$4,0))))+SUMPRODUCT((Inputs!$C$5:$C$170=$B6)*ISNUMBER(INDEX(Inputs!$K$5:$AJ$170,0,MATCH(E$2,Inputs!$K$4:$AJ$4,0))))+SUMPRODUCT((Inputs!$E$5:$E$170=$B6)*ISNUMBER(INDEX(Inputs!$K$5:$AJ$170,0,MATCH(E$2,Inputs!$K$4:$AJ$4,0))))=0,NA(),SUMPRODUCT((Inputs!$A$5:$A$170=$B6)*Inputs!$B$5:$B$170*(((Inputs!$G$5:$G$170="moeda")+(Inputs!$G$5:$G$170="acoes"))*Inputs!$B$1+((Inputs!$G$5:$G$170&lt;&gt;"moeda")*(Inputs!$G$5:$G$170&lt;&gt;"acoes")))*INDEX(Inputs!$K$5:$AJ$170,0,MATCH(E$2,Inputs!$K$4:$AJ$4,0)))+SUMPRODUCT((Inputs!$C$5:$C$170=$B6)*Inputs!$D$5:$D$170*(((Inputs!$G$5:$G$170="moeda")+(Inputs!$G$5:$G$170="acoes"))*Inputs!$B$1+((Inputs!$G$5:$G$170&lt;&gt;"moeda")*(Inputs!$G$5:$G$170&lt;&gt;"acoes")))*INDEX(Inputs!$K$5:$AJ$170,0,MATCH(E$2,Inputs!$K$4:$AJ$4,0)))+SUMPRODUCT((Inputs!$E$5:$E$170=$B6)*Inputs!$F$5:$F$170*(((Inputs!$G$5:$G$170="moeda")+(Inputs!$G$5:$G$170="acoes"))*Inputs!$B$1+((Inputs!$G$5:$G$170&lt;&gt;"moeda")*(Inputs!$G$5:$G$170&lt;&gt;"acoes")))*INDEX(Inputs!$K$5:$AJ$170,0,MATCH(E$2,Inputs!$K$4:$AJ$4,0)))))</f>
        <v>-171.698</v>
      </c>
      <c r="F6" s="6">
        <f>IF(ISNA(MATCH(F$2,Inputs!$K$4:$AJ$4,0)),NA(),IF(SUMPRODUCT((Inputs!$A$5:$A$170=$B6)*ISNUMBER(INDEX(Inputs!$K$5:$AJ$170,0,MATCH(F$2,Inputs!$K$4:$AJ$4,0))))+SUMPRODUCT((Inputs!$C$5:$C$170=$B6)*ISNUMBER(INDEX(Inputs!$K$5:$AJ$170,0,MATCH(F$2,Inputs!$K$4:$AJ$4,0))))+SUMPRODUCT((Inputs!$E$5:$E$170=$B6)*ISNUMBER(INDEX(Inputs!$K$5:$AJ$170,0,MATCH(F$2,Inputs!$K$4:$AJ$4,0))))=0,NA(),SUMPRODUCT((Inputs!$A$5:$A$170=$B6)*Inputs!$B$5:$B$170*(((Inputs!$G$5:$G$170="moeda")+(Inputs!$G$5:$G$170="acoes"))*Inputs!$B$1+((Inputs!$G$5:$G$170&lt;&gt;"moeda")*(Inputs!$G$5:$G$170&lt;&gt;"acoes")))*INDEX(Inputs!$K$5:$AJ$170,0,MATCH(F$2,Inputs!$K$4:$AJ$4,0)))+SUMPRODUCT((Inputs!$C$5:$C$170=$B6)*Inputs!$D$5:$D$170*(((Inputs!$G$5:$G$170="moeda")+(Inputs!$G$5:$G$170="acoes"))*Inputs!$B$1+((Inputs!$G$5:$G$170&lt;&gt;"moeda")*(Inputs!$G$5:$G$170&lt;&gt;"acoes")))*INDEX(Inputs!$K$5:$AJ$170,0,MATCH(F$2,Inputs!$K$4:$AJ$4,0)))+SUMPRODUCT((Inputs!$E$5:$E$170=$B6)*Inputs!$F$5:$F$170*(((Inputs!$G$5:$G$170="moeda")+(Inputs!$G$5:$G$170="acoes"))*Inputs!$B$1+((Inputs!$G$5:$G$170&lt;&gt;"moeda")*(Inputs!$G$5:$G$170&lt;&gt;"acoes")))*INDEX(Inputs!$K$5:$AJ$170,0,MATCH(F$2,Inputs!$K$4:$AJ$4,0)))))</f>
        <v>-178.506</v>
      </c>
      <c r="G6" s="6">
        <f>IF(ISNA(MATCH(G$2,Inputs!$K$4:$AJ$4,0)),NA(),IF(SUMPRODUCT((Inputs!$A$5:$A$170=$B6)*ISNUMBER(INDEX(Inputs!$K$5:$AJ$170,0,MATCH(G$2,Inputs!$K$4:$AJ$4,0))))+SUMPRODUCT((Inputs!$C$5:$C$170=$B6)*ISNUMBER(INDEX(Inputs!$K$5:$AJ$170,0,MATCH(G$2,Inputs!$K$4:$AJ$4,0))))+SUMPRODUCT((Inputs!$E$5:$E$170=$B6)*ISNUMBER(INDEX(Inputs!$K$5:$AJ$170,0,MATCH(G$2,Inputs!$K$4:$AJ$4,0))))=0,NA(),SUMPRODUCT((Inputs!$A$5:$A$170=$B6)*Inputs!$B$5:$B$170*(((Inputs!$G$5:$G$170="moeda")+(Inputs!$G$5:$G$170="acoes"))*Inputs!$B$1+((Inputs!$G$5:$G$170&lt;&gt;"moeda")*(Inputs!$G$5:$G$170&lt;&gt;"acoes")))*INDEX(Inputs!$K$5:$AJ$170,0,MATCH(G$2,Inputs!$K$4:$AJ$4,0)))+SUMPRODUCT((Inputs!$C$5:$C$170=$B6)*Inputs!$D$5:$D$170*(((Inputs!$G$5:$G$170="moeda")+(Inputs!$G$5:$G$170="acoes"))*Inputs!$B$1+((Inputs!$G$5:$G$170&lt;&gt;"moeda")*(Inputs!$G$5:$G$170&lt;&gt;"acoes")))*INDEX(Inputs!$K$5:$AJ$170,0,MATCH(G$2,Inputs!$K$4:$AJ$4,0)))+SUMPRODUCT((Inputs!$E$5:$E$170=$B6)*Inputs!$F$5:$F$170*(((Inputs!$G$5:$G$170="moeda")+(Inputs!$G$5:$G$170="acoes"))*Inputs!$B$1+((Inputs!$G$5:$G$170&lt;&gt;"moeda")*(Inputs!$G$5:$G$170&lt;&gt;"acoes")))*INDEX(Inputs!$K$5:$AJ$170,0,MATCH(G$2,Inputs!$K$4:$AJ$4,0)))))</f>
        <v>-213.003</v>
      </c>
      <c r="H6" s="3">
        <f>SUM(D6:G6)</f>
        <v>-719.812</v>
      </c>
      <c r="I6" s="6">
        <f>IF(ISNA(MATCH(I$2,Inputs!$K$4:$AJ$4,0)),NA(),IF(SUMPRODUCT((Inputs!$A$5:$A$170=$B6)*ISNUMBER(INDEX(Inputs!$K$5:$AJ$170,0,MATCH(I$2,Inputs!$K$4:$AJ$4,0))))+SUMPRODUCT((Inputs!$C$5:$C$170=$B6)*ISNUMBER(INDEX(Inputs!$K$5:$AJ$170,0,MATCH(I$2,Inputs!$K$4:$AJ$4,0))))+SUMPRODUCT((Inputs!$E$5:$E$170=$B6)*ISNUMBER(INDEX(Inputs!$K$5:$AJ$170,0,MATCH(I$2,Inputs!$K$4:$AJ$4,0))))=0,NA(),SUMPRODUCT((Inputs!$A$5:$A$170=$B6)*Inputs!$B$5:$B$170*(((Inputs!$G$5:$G$170="moeda")+(Inputs!$G$5:$G$170="acoes"))*Inputs!$B$1+((Inputs!$G$5:$G$170&lt;&gt;"moeda")*(Inputs!$G$5:$G$170&lt;&gt;"acoes")))*INDEX(Inputs!$K$5:$AJ$170,0,MATCH(I$2,Inputs!$K$4:$AJ$4,0)))+SUMPRODUCT((Inputs!$C$5:$C$170=$B6)*Inputs!$D$5:$D$170*(((Inputs!$G$5:$G$170="moeda")+(Inputs!$G$5:$G$170="acoes"))*Inputs!$B$1+((Inputs!$G$5:$G$170&lt;&gt;"moeda")*(Inputs!$G$5:$G$170&lt;&gt;"acoes")))*INDEX(Inputs!$K$5:$AJ$170,0,MATCH(I$2,Inputs!$K$4:$AJ$4,0)))+SUMPRODUCT((Inputs!$E$5:$E$170=$B6)*Inputs!$F$5:$F$170*(((Inputs!$G$5:$G$170="moeda")+(Inputs!$G$5:$G$170="acoes"))*Inputs!$B$1+((Inputs!$G$5:$G$170&lt;&gt;"moeda")*(Inputs!$G$5:$G$170&lt;&gt;"acoes")))*INDEX(Inputs!$K$5:$AJ$170,0,MATCH(I$2,Inputs!$K$4:$AJ$4,0)))))</f>
        <v>-234.631</v>
      </c>
      <c r="J6" s="6">
        <f>IF(ISNA(MATCH(J$2,Inputs!$K$4:$AJ$4,0)),NA(),IF(SUMPRODUCT((Inputs!$A$5:$A$170=$B6)*ISNUMBER(INDEX(Inputs!$K$5:$AJ$170,0,MATCH(J$2,Inputs!$K$4:$AJ$4,0))))+SUMPRODUCT((Inputs!$C$5:$C$170=$B6)*ISNUMBER(INDEX(Inputs!$K$5:$AJ$170,0,MATCH(J$2,Inputs!$K$4:$AJ$4,0))))+SUMPRODUCT((Inputs!$E$5:$E$170=$B6)*ISNUMBER(INDEX(Inputs!$K$5:$AJ$170,0,MATCH(J$2,Inputs!$K$4:$AJ$4,0))))=0,NA(),SUMPRODUCT((Inputs!$A$5:$A$170=$B6)*Inputs!$B$5:$B$170*(((Inputs!$G$5:$G$170="moeda")+(Inputs!$G$5:$G$170="acoes"))*Inputs!$B$1+((Inputs!$G$5:$G$170&lt;&gt;"moeda")*(Inputs!$G$5:$G$170&lt;&gt;"acoes")))*INDEX(Inputs!$K$5:$AJ$170,0,MATCH(J$2,Inputs!$K$4:$AJ$4,0)))+SUMPRODUCT((Inputs!$C$5:$C$170=$B6)*Inputs!$D$5:$D$170*(((Inputs!$G$5:$G$170="moeda")+(Inputs!$G$5:$G$170="acoes"))*Inputs!$B$1+((Inputs!$G$5:$G$170&lt;&gt;"moeda")*(Inputs!$G$5:$G$170&lt;&gt;"acoes")))*INDEX(Inputs!$K$5:$AJ$170,0,MATCH(J$2,Inputs!$K$4:$AJ$4,0)))+SUMPRODUCT((Inputs!$E$5:$E$170=$B6)*Inputs!$F$5:$F$170*(((Inputs!$G$5:$G$170="moeda")+(Inputs!$G$5:$G$170="acoes"))*Inputs!$B$1+((Inputs!$G$5:$G$170&lt;&gt;"moeda")*(Inputs!$G$5:$G$170&lt;&gt;"acoes")))*INDEX(Inputs!$K$5:$AJ$170,0,MATCH(J$2,Inputs!$K$4:$AJ$4,0)))))</f>
        <v>-257.54</v>
      </c>
      <c r="K6" s="6">
        <f>IF(ISNA(MATCH(K$2,Inputs!$K$4:$AJ$4,0)),NA(),IF(SUMPRODUCT((Inputs!$A$5:$A$170=$B6)*ISNUMBER(INDEX(Inputs!$K$5:$AJ$170,0,MATCH(K$2,Inputs!$K$4:$AJ$4,0))))+SUMPRODUCT((Inputs!$C$5:$C$170=$B6)*ISNUMBER(INDEX(Inputs!$K$5:$AJ$170,0,MATCH(K$2,Inputs!$K$4:$AJ$4,0))))+SUMPRODUCT((Inputs!$E$5:$E$170=$B6)*ISNUMBER(INDEX(Inputs!$K$5:$AJ$170,0,MATCH(K$2,Inputs!$K$4:$AJ$4,0))))=0,NA(),SUMPRODUCT((Inputs!$A$5:$A$170=$B6)*Inputs!$B$5:$B$170*(((Inputs!$G$5:$G$170="moeda")+(Inputs!$G$5:$G$170="acoes"))*Inputs!$B$1+((Inputs!$G$5:$G$170&lt;&gt;"moeda")*(Inputs!$G$5:$G$170&lt;&gt;"acoes")))*INDEX(Inputs!$K$5:$AJ$170,0,MATCH(K$2,Inputs!$K$4:$AJ$4,0)))+SUMPRODUCT((Inputs!$C$5:$C$170=$B6)*Inputs!$D$5:$D$170*(((Inputs!$G$5:$G$170="moeda")+(Inputs!$G$5:$G$170="acoes"))*Inputs!$B$1+((Inputs!$G$5:$G$170&lt;&gt;"moeda")*(Inputs!$G$5:$G$170&lt;&gt;"acoes")))*INDEX(Inputs!$K$5:$AJ$170,0,MATCH(K$2,Inputs!$K$4:$AJ$4,0)))+SUMPRODUCT((Inputs!$E$5:$E$170=$B6)*Inputs!$F$5:$F$170*(((Inputs!$G$5:$G$170="moeda")+(Inputs!$G$5:$G$170="acoes"))*Inputs!$B$1+((Inputs!$G$5:$G$170&lt;&gt;"moeda")*(Inputs!$G$5:$G$170&lt;&gt;"acoes")))*INDEX(Inputs!$K$5:$AJ$170,0,MATCH(K$2,Inputs!$K$4:$AJ$4,0)))))</f>
        <v>-292.522</v>
      </c>
      <c r="L6" s="6">
        <f>IF(ISNA(MATCH(L$2,Inputs!$K$4:$AJ$4,0)),NA(),IF(SUMPRODUCT((Inputs!$A$5:$A$170=$B6)*ISNUMBER(INDEX(Inputs!$K$5:$AJ$170,0,MATCH(L$2,Inputs!$K$4:$AJ$4,0))))+SUMPRODUCT((Inputs!$C$5:$C$170=$B6)*ISNUMBER(INDEX(Inputs!$K$5:$AJ$170,0,MATCH(L$2,Inputs!$K$4:$AJ$4,0))))+SUMPRODUCT((Inputs!$E$5:$E$170=$B6)*ISNUMBER(INDEX(Inputs!$K$5:$AJ$170,0,MATCH(L$2,Inputs!$K$4:$AJ$4,0))))=0,NA(),SUMPRODUCT((Inputs!$A$5:$A$170=$B6)*Inputs!$B$5:$B$170*(((Inputs!$G$5:$G$170="moeda")+(Inputs!$G$5:$G$170="acoes"))*Inputs!$B$1+((Inputs!$G$5:$G$170&lt;&gt;"moeda")*(Inputs!$G$5:$G$170&lt;&gt;"acoes")))*INDEX(Inputs!$K$5:$AJ$170,0,MATCH(L$2,Inputs!$K$4:$AJ$4,0)))+SUMPRODUCT((Inputs!$C$5:$C$170=$B6)*Inputs!$D$5:$D$170*(((Inputs!$G$5:$G$170="moeda")+(Inputs!$G$5:$G$170="acoes"))*Inputs!$B$1+((Inputs!$G$5:$G$170&lt;&gt;"moeda")*(Inputs!$G$5:$G$170&lt;&gt;"acoes")))*INDEX(Inputs!$K$5:$AJ$170,0,MATCH(L$2,Inputs!$K$4:$AJ$4,0)))+SUMPRODUCT((Inputs!$E$5:$E$170=$B6)*Inputs!$F$5:$F$170*(((Inputs!$G$5:$G$170="moeda")+(Inputs!$G$5:$G$170="acoes"))*Inputs!$B$1+((Inputs!$G$5:$G$170&lt;&gt;"moeda")*(Inputs!$G$5:$G$170&lt;&gt;"acoes")))*INDEX(Inputs!$K$5:$AJ$170,0,MATCH(L$2,Inputs!$K$4:$AJ$4,0)))))</f>
        <v>-344.544</v>
      </c>
      <c r="M6" s="3">
        <f>SUM(I6:L6)</f>
        <v>-1129.237</v>
      </c>
      <c r="N6" s="6">
        <f>IF(ISNA(MATCH(N$2,Inputs!$K$4:$AJ$4,0)),NA(),IF(SUMPRODUCT((Inputs!$A$5:$A$170=$B6)*ISNUMBER(INDEX(Inputs!$K$5:$AJ$170,0,MATCH(N$2,Inputs!$K$4:$AJ$4,0))))+SUMPRODUCT((Inputs!$C$5:$C$170=$B6)*ISNUMBER(INDEX(Inputs!$K$5:$AJ$170,0,MATCH(N$2,Inputs!$K$4:$AJ$4,0))))+SUMPRODUCT((Inputs!$E$5:$E$170=$B6)*ISNUMBER(INDEX(Inputs!$K$5:$AJ$170,0,MATCH(N$2,Inputs!$K$4:$AJ$4,0))))=0,NA(),SUMPRODUCT((Inputs!$A$5:$A$170=$B6)*Inputs!$B$5:$B$170*(((Inputs!$G$5:$G$170="moeda")+(Inputs!$G$5:$G$170="acoes"))*Inputs!$B$1+((Inputs!$G$5:$G$170&lt;&gt;"moeda")*(Inputs!$G$5:$G$170&lt;&gt;"acoes")))*INDEX(Inputs!$K$5:$AJ$170,0,MATCH(N$2,Inputs!$K$4:$AJ$4,0)))+SUMPRODUCT((Inputs!$C$5:$C$170=$B6)*Inputs!$D$5:$D$170*(((Inputs!$G$5:$G$170="moeda")+(Inputs!$G$5:$G$170="acoes"))*Inputs!$B$1+((Inputs!$G$5:$G$170&lt;&gt;"moeda")*(Inputs!$G$5:$G$170&lt;&gt;"acoes")))*INDEX(Inputs!$K$5:$AJ$170,0,MATCH(N$2,Inputs!$K$4:$AJ$4,0)))+SUMPRODUCT((Inputs!$E$5:$E$170=$B6)*Inputs!$F$5:$F$170*(((Inputs!$G$5:$G$170="moeda")+(Inputs!$G$5:$G$170="acoes"))*Inputs!$B$1+((Inputs!$G$5:$G$170&lt;&gt;"moeda")*(Inputs!$G$5:$G$170&lt;&gt;"acoes")))*INDEX(Inputs!$K$5:$AJ$170,0,MATCH(N$2,Inputs!$K$4:$AJ$4,0)))))</f>
        <v>-332.775</v>
      </c>
      <c r="O6" s="6">
        <f>IF(ISNA(MATCH(O$2,Inputs!$K$4:$AJ$4,0)),NA(),IF(SUMPRODUCT((Inputs!$A$5:$A$170=$B6)*ISNUMBER(INDEX(Inputs!$K$5:$AJ$170,0,MATCH(O$2,Inputs!$K$4:$AJ$4,0))))+SUMPRODUCT((Inputs!$C$5:$C$170=$B6)*ISNUMBER(INDEX(Inputs!$K$5:$AJ$170,0,MATCH(O$2,Inputs!$K$4:$AJ$4,0))))+SUMPRODUCT((Inputs!$E$5:$E$170=$B6)*ISNUMBER(INDEX(Inputs!$K$5:$AJ$170,0,MATCH(O$2,Inputs!$K$4:$AJ$4,0))))=0,NA(),SUMPRODUCT((Inputs!$A$5:$A$170=$B6)*Inputs!$B$5:$B$170*(((Inputs!$G$5:$G$170="moeda")+(Inputs!$G$5:$G$170="acoes"))*Inputs!$B$1+((Inputs!$G$5:$G$170&lt;&gt;"moeda")*(Inputs!$G$5:$G$170&lt;&gt;"acoes")))*INDEX(Inputs!$K$5:$AJ$170,0,MATCH(O$2,Inputs!$K$4:$AJ$4,0)))+SUMPRODUCT((Inputs!$C$5:$C$170=$B6)*Inputs!$D$5:$D$170*(((Inputs!$G$5:$G$170="moeda")+(Inputs!$G$5:$G$170="acoes"))*Inputs!$B$1+((Inputs!$G$5:$G$170&lt;&gt;"moeda")*(Inputs!$G$5:$G$170&lt;&gt;"acoes")))*INDEX(Inputs!$K$5:$AJ$170,0,MATCH(O$2,Inputs!$K$4:$AJ$4,0)))+SUMPRODUCT((Inputs!$E$5:$E$170=$B6)*Inputs!$F$5:$F$170*(((Inputs!$G$5:$G$170="moeda")+(Inputs!$G$5:$G$170="acoes"))*Inputs!$B$1+((Inputs!$G$5:$G$170&lt;&gt;"moeda")*(Inputs!$G$5:$G$170&lt;&gt;"acoes")))*INDEX(Inputs!$K$5:$AJ$170,0,MATCH(O$2,Inputs!$K$4:$AJ$4,0)))))</f>
        <v>-329.942</v>
      </c>
      <c r="P6" s="6">
        <f>IF(ISNA(MATCH(P$2,Inputs!$K$4:$AJ$4,0)),NA(),IF(SUMPRODUCT((Inputs!$A$5:$A$170=$B6)*ISNUMBER(INDEX(Inputs!$K$5:$AJ$170,0,MATCH(P$2,Inputs!$K$4:$AJ$4,0))))+SUMPRODUCT((Inputs!$C$5:$C$170=$B6)*ISNUMBER(INDEX(Inputs!$K$5:$AJ$170,0,MATCH(P$2,Inputs!$K$4:$AJ$4,0))))+SUMPRODUCT((Inputs!$E$5:$E$170=$B6)*ISNUMBER(INDEX(Inputs!$K$5:$AJ$170,0,MATCH(P$2,Inputs!$K$4:$AJ$4,0))))=0,NA(),SUMPRODUCT((Inputs!$A$5:$A$170=$B6)*Inputs!$B$5:$B$170*(((Inputs!$G$5:$G$170="moeda")+(Inputs!$G$5:$G$170="acoes"))*Inputs!$B$1+((Inputs!$G$5:$G$170&lt;&gt;"moeda")*(Inputs!$G$5:$G$170&lt;&gt;"acoes")))*INDEX(Inputs!$K$5:$AJ$170,0,MATCH(P$2,Inputs!$K$4:$AJ$4,0)))+SUMPRODUCT((Inputs!$C$5:$C$170=$B6)*Inputs!$D$5:$D$170*(((Inputs!$G$5:$G$170="moeda")+(Inputs!$G$5:$G$170="acoes"))*Inputs!$B$1+((Inputs!$G$5:$G$170&lt;&gt;"moeda")*(Inputs!$G$5:$G$170&lt;&gt;"acoes")))*INDEX(Inputs!$K$5:$AJ$170,0,MATCH(P$2,Inputs!$K$4:$AJ$4,0)))+SUMPRODUCT((Inputs!$E$5:$E$170=$B6)*Inputs!$F$5:$F$170*(((Inputs!$G$5:$G$170="moeda")+(Inputs!$G$5:$G$170="acoes"))*Inputs!$B$1+((Inputs!$G$5:$G$170&lt;&gt;"moeda")*(Inputs!$G$5:$G$170&lt;&gt;"acoes")))*INDEX(Inputs!$K$5:$AJ$170,0,MATCH(P$2,Inputs!$K$4:$AJ$4,0)))))</f>
        <v>-338.551</v>
      </c>
      <c r="Q6" s="6">
        <f>IF(ISNA(MATCH(Q$2,Inputs!$K$4:$AJ$4,0)),NA(),IF(SUMPRODUCT((Inputs!$A$5:$A$170=$B6)*ISNUMBER(INDEX(Inputs!$K$5:$AJ$170,0,MATCH(Q$2,Inputs!$K$4:$AJ$4,0))))+SUMPRODUCT((Inputs!$C$5:$C$170=$B6)*ISNUMBER(INDEX(Inputs!$K$5:$AJ$170,0,MATCH(Q$2,Inputs!$K$4:$AJ$4,0))))+SUMPRODUCT((Inputs!$E$5:$E$170=$B6)*ISNUMBER(INDEX(Inputs!$K$5:$AJ$170,0,MATCH(Q$2,Inputs!$K$4:$AJ$4,0))))=0,NA(),SUMPRODUCT((Inputs!$A$5:$A$170=$B6)*Inputs!$B$5:$B$170*(((Inputs!$G$5:$G$170="moeda")+(Inputs!$G$5:$G$170="acoes"))*Inputs!$B$1+((Inputs!$G$5:$G$170&lt;&gt;"moeda")*(Inputs!$G$5:$G$170&lt;&gt;"acoes")))*INDEX(Inputs!$K$5:$AJ$170,0,MATCH(Q$2,Inputs!$K$4:$AJ$4,0)))+SUMPRODUCT((Inputs!$C$5:$C$170=$B6)*Inputs!$D$5:$D$170*(((Inputs!$G$5:$G$170="moeda")+(Inputs!$G$5:$G$170="acoes"))*Inputs!$B$1+((Inputs!$G$5:$G$170&lt;&gt;"moeda")*(Inputs!$G$5:$G$170&lt;&gt;"acoes")))*INDEX(Inputs!$K$5:$AJ$170,0,MATCH(Q$2,Inputs!$K$4:$AJ$4,0)))+SUMPRODUCT((Inputs!$E$5:$E$170=$B6)*Inputs!$F$5:$F$170*(((Inputs!$G$5:$G$170="moeda")+(Inputs!$G$5:$G$170="acoes"))*Inputs!$B$1+((Inputs!$G$5:$G$170&lt;&gt;"moeda")*(Inputs!$G$5:$G$170&lt;&gt;"acoes")))*INDEX(Inputs!$K$5:$AJ$170,0,MATCH(Q$2,Inputs!$K$4:$AJ$4,0)))))</f>
        <v>-505.685</v>
      </c>
      <c r="R6" s="3">
        <f>SUM(N6:Q6)</f>
        <v>-1506.953</v>
      </c>
      <c r="S6" s="6">
        <f>IF(ISNA(MATCH(S$2,Inputs!$K$4:$AJ$4,0)),NA(),IF(SUMPRODUCT((Inputs!$A$5:$A$170=$B6)*ISNUMBER(INDEX(Inputs!$K$5:$AJ$170,0,MATCH(S$2,Inputs!$K$4:$AJ$4,0))))+SUMPRODUCT((Inputs!$C$5:$C$170=$B6)*ISNUMBER(INDEX(Inputs!$K$5:$AJ$170,0,MATCH(S$2,Inputs!$K$4:$AJ$4,0))))+SUMPRODUCT((Inputs!$E$5:$E$170=$B6)*ISNUMBER(INDEX(Inputs!$K$5:$AJ$170,0,MATCH(S$2,Inputs!$K$4:$AJ$4,0))))=0,NA(),SUMPRODUCT((Inputs!$A$5:$A$170=$B6)*Inputs!$B$5:$B$170*(((Inputs!$G$5:$G$170="moeda")+(Inputs!$G$5:$G$170="acoes"))*Inputs!$B$1+((Inputs!$G$5:$G$170&lt;&gt;"moeda")*(Inputs!$G$5:$G$170&lt;&gt;"acoes")))*INDEX(Inputs!$K$5:$AJ$170,0,MATCH(S$2,Inputs!$K$4:$AJ$4,0)))+SUMPRODUCT((Inputs!$C$5:$C$170=$B6)*Inputs!$D$5:$D$170*(((Inputs!$G$5:$G$170="moeda")+(Inputs!$G$5:$G$170="acoes"))*Inputs!$B$1+((Inputs!$G$5:$G$170&lt;&gt;"moeda")*(Inputs!$G$5:$G$170&lt;&gt;"acoes")))*INDEX(Inputs!$K$5:$AJ$170,0,MATCH(S$2,Inputs!$K$4:$AJ$4,0)))+SUMPRODUCT((Inputs!$E$5:$E$170=$B6)*Inputs!$F$5:$F$170*(((Inputs!$G$5:$G$170="moeda")+(Inputs!$G$5:$G$170="acoes"))*Inputs!$B$1+((Inputs!$G$5:$G$170&lt;&gt;"moeda")*(Inputs!$G$5:$G$170&lt;&gt;"acoes")))*INDEX(Inputs!$K$5:$AJ$170,0,MATCH(S$2,Inputs!$K$4:$AJ$4,0)))))</f>
        <v>-320.432</v>
      </c>
      <c r="T6" s="6">
        <f>IF(ISNA(MATCH(T$2,Inputs!$K$4:$AJ$4,0)),NA(),IF(SUMPRODUCT((Inputs!$A$5:$A$170=$B6)*ISNUMBER(INDEX(Inputs!$K$5:$AJ$170,0,MATCH(T$2,Inputs!$K$4:$AJ$4,0))))+SUMPRODUCT((Inputs!$C$5:$C$170=$B6)*ISNUMBER(INDEX(Inputs!$K$5:$AJ$170,0,MATCH(T$2,Inputs!$K$4:$AJ$4,0))))+SUMPRODUCT((Inputs!$E$5:$E$170=$B6)*ISNUMBER(INDEX(Inputs!$K$5:$AJ$170,0,MATCH(T$2,Inputs!$K$4:$AJ$4,0))))=0,NA(),SUMPRODUCT((Inputs!$A$5:$A$170=$B6)*Inputs!$B$5:$B$170*(((Inputs!$G$5:$G$170="moeda")+(Inputs!$G$5:$G$170="acoes"))*Inputs!$B$1+((Inputs!$G$5:$G$170&lt;&gt;"moeda")*(Inputs!$G$5:$G$170&lt;&gt;"acoes")))*INDEX(Inputs!$K$5:$AJ$170,0,MATCH(T$2,Inputs!$K$4:$AJ$4,0)))+SUMPRODUCT((Inputs!$C$5:$C$170=$B6)*Inputs!$D$5:$D$170*(((Inputs!$G$5:$G$170="moeda")+(Inputs!$G$5:$G$170="acoes"))*Inputs!$B$1+((Inputs!$G$5:$G$170&lt;&gt;"moeda")*(Inputs!$G$5:$G$170&lt;&gt;"acoes")))*INDEX(Inputs!$K$5:$AJ$170,0,MATCH(T$2,Inputs!$K$4:$AJ$4,0)))+SUMPRODUCT((Inputs!$E$5:$E$170=$B6)*Inputs!$F$5:$F$170*(((Inputs!$G$5:$G$170="moeda")+(Inputs!$G$5:$G$170="acoes"))*Inputs!$B$1+((Inputs!$G$5:$G$170&lt;&gt;"moeda")*(Inputs!$G$5:$G$170&lt;&gt;"acoes")))*INDEX(Inputs!$K$5:$AJ$170,0,MATCH(T$2,Inputs!$K$4:$AJ$4,0)))))</f>
        <v>-342.713</v>
      </c>
      <c r="U6" s="6">
        <f>IF(ISNA(MATCH(U$2,Inputs!$K$4:$AJ$4,0)),NA(),IF(SUMPRODUCT((Inputs!$A$5:$A$170=$B6)*ISNUMBER(INDEX(Inputs!$K$5:$AJ$170,0,MATCH(U$2,Inputs!$K$4:$AJ$4,0))))+SUMPRODUCT((Inputs!$C$5:$C$170=$B6)*ISNUMBER(INDEX(Inputs!$K$5:$AJ$170,0,MATCH(U$2,Inputs!$K$4:$AJ$4,0))))+SUMPRODUCT((Inputs!$E$5:$E$170=$B6)*ISNUMBER(INDEX(Inputs!$K$5:$AJ$170,0,MATCH(U$2,Inputs!$K$4:$AJ$4,0))))=0,NA(),SUMPRODUCT((Inputs!$A$5:$A$170=$B6)*Inputs!$B$5:$B$170*(((Inputs!$G$5:$G$170="moeda")+(Inputs!$G$5:$G$170="acoes"))*Inputs!$B$1+((Inputs!$G$5:$G$170&lt;&gt;"moeda")*(Inputs!$G$5:$G$170&lt;&gt;"acoes")))*INDEX(Inputs!$K$5:$AJ$170,0,MATCH(U$2,Inputs!$K$4:$AJ$4,0)))+SUMPRODUCT((Inputs!$C$5:$C$170=$B6)*Inputs!$D$5:$D$170*(((Inputs!$G$5:$G$170="moeda")+(Inputs!$G$5:$G$170="acoes"))*Inputs!$B$1+((Inputs!$G$5:$G$170&lt;&gt;"moeda")*(Inputs!$G$5:$G$170&lt;&gt;"acoes")))*INDEX(Inputs!$K$5:$AJ$170,0,MATCH(U$2,Inputs!$K$4:$AJ$4,0)))+SUMPRODUCT((Inputs!$E$5:$E$170=$B6)*Inputs!$F$5:$F$170*(((Inputs!$G$5:$G$170="moeda")+(Inputs!$G$5:$G$170="acoes"))*Inputs!$B$1+((Inputs!$G$5:$G$170&lt;&gt;"moeda")*(Inputs!$G$5:$G$170&lt;&gt;"acoes")))*INDEX(Inputs!$K$5:$AJ$170,0,MATCH(U$2,Inputs!$K$4:$AJ$4,0)))))</f>
        <v>-361.03</v>
      </c>
      <c r="V6" s="6">
        <f>IF(ISNA(MATCH(V$2,Inputs!$K$4:$AJ$4,0)),NA(),IF(SUMPRODUCT((Inputs!$A$5:$A$170=$B6)*ISNUMBER(INDEX(Inputs!$K$5:$AJ$170,0,MATCH(V$2,Inputs!$K$4:$AJ$4,0))))+SUMPRODUCT((Inputs!$C$5:$C$170=$B6)*ISNUMBER(INDEX(Inputs!$K$5:$AJ$170,0,MATCH(V$2,Inputs!$K$4:$AJ$4,0))))+SUMPRODUCT((Inputs!$E$5:$E$170=$B6)*ISNUMBER(INDEX(Inputs!$K$5:$AJ$170,0,MATCH(V$2,Inputs!$K$4:$AJ$4,0))))=0,NA(),SUMPRODUCT((Inputs!$A$5:$A$170=$B6)*Inputs!$B$5:$B$170*(((Inputs!$G$5:$G$170="moeda")+(Inputs!$G$5:$G$170="acoes"))*Inputs!$B$1+((Inputs!$G$5:$G$170&lt;&gt;"moeda")*(Inputs!$G$5:$G$170&lt;&gt;"acoes")))*INDEX(Inputs!$K$5:$AJ$170,0,MATCH(V$2,Inputs!$K$4:$AJ$4,0)))+SUMPRODUCT((Inputs!$C$5:$C$170=$B6)*Inputs!$D$5:$D$170*(((Inputs!$G$5:$G$170="moeda")+(Inputs!$G$5:$G$170="acoes"))*Inputs!$B$1+((Inputs!$G$5:$G$170&lt;&gt;"moeda")*(Inputs!$G$5:$G$170&lt;&gt;"acoes")))*INDEX(Inputs!$K$5:$AJ$170,0,MATCH(V$2,Inputs!$K$4:$AJ$4,0)))+SUMPRODUCT((Inputs!$E$5:$E$170=$B6)*Inputs!$F$5:$F$170*(((Inputs!$G$5:$G$170="moeda")+(Inputs!$G$5:$G$170="acoes"))*Inputs!$B$1+((Inputs!$G$5:$G$170&lt;&gt;"moeda")*(Inputs!$G$5:$G$170&lt;&gt;"acoes")))*INDEX(Inputs!$K$5:$AJ$170,0,MATCH(V$2,Inputs!$K$4:$AJ$4,0)))))</f>
        <v>-371.618</v>
      </c>
      <c r="W6" s="3">
        <f>SUM(S6:V6)</f>
        <v>-1395.793</v>
      </c>
      <c r="X6" s="6">
        <f>IF(ISNA(MATCH(X$2,Inputs!$K$4:$AJ$4,0)),NA(),IF(SUMPRODUCT((Inputs!$A$5:$A$170=$B6)*ISNUMBER(INDEX(Inputs!$K$5:$AJ$170,0,MATCH(X$2,Inputs!$K$4:$AJ$4,0))))+SUMPRODUCT((Inputs!$C$5:$C$170=$B6)*ISNUMBER(INDEX(Inputs!$K$5:$AJ$170,0,MATCH(X$2,Inputs!$K$4:$AJ$4,0))))+SUMPRODUCT((Inputs!$E$5:$E$170=$B6)*ISNUMBER(INDEX(Inputs!$K$5:$AJ$170,0,MATCH(X$2,Inputs!$K$4:$AJ$4,0))))=0,NA(),SUMPRODUCT((Inputs!$A$5:$A$170=$B6)*Inputs!$B$5:$B$170*(((Inputs!$G$5:$G$170="moeda")+(Inputs!$G$5:$G$170="acoes"))*Inputs!$B$1+((Inputs!$G$5:$G$170&lt;&gt;"moeda")*(Inputs!$G$5:$G$170&lt;&gt;"acoes")))*INDEX(Inputs!$K$5:$AJ$170,0,MATCH(X$2,Inputs!$K$4:$AJ$4,0)))+SUMPRODUCT((Inputs!$C$5:$C$170=$B6)*Inputs!$D$5:$D$170*(((Inputs!$G$5:$G$170="moeda")+(Inputs!$G$5:$G$170="acoes"))*Inputs!$B$1+((Inputs!$G$5:$G$170&lt;&gt;"moeda")*(Inputs!$G$5:$G$170&lt;&gt;"acoes")))*INDEX(Inputs!$K$5:$AJ$170,0,MATCH(X$2,Inputs!$K$4:$AJ$4,0)))+SUMPRODUCT((Inputs!$E$5:$E$170=$B6)*Inputs!$F$5:$F$170*(((Inputs!$G$5:$G$170="moeda")+(Inputs!$G$5:$G$170="acoes"))*Inputs!$B$1+((Inputs!$G$5:$G$170&lt;&gt;"moeda")*(Inputs!$G$5:$G$170&lt;&gt;"acoes")))*INDEX(Inputs!$K$5:$AJ$170,0,MATCH(X$2,Inputs!$K$4:$AJ$4,0)))))</f>
        <v>-379.61</v>
      </c>
      <c r="Y6" s="6">
        <f>IF(ISNA(MATCH(Y$2,Inputs!$K$4:$AJ$4,0)),NA(),IF(SUMPRODUCT((Inputs!$A$5:$A$170=$B6)*ISNUMBER(INDEX(Inputs!$K$5:$AJ$170,0,MATCH(Y$2,Inputs!$K$4:$AJ$4,0))))+SUMPRODUCT((Inputs!$C$5:$C$170=$B6)*ISNUMBER(INDEX(Inputs!$K$5:$AJ$170,0,MATCH(Y$2,Inputs!$K$4:$AJ$4,0))))+SUMPRODUCT((Inputs!$E$5:$E$170=$B6)*ISNUMBER(INDEX(Inputs!$K$5:$AJ$170,0,MATCH(Y$2,Inputs!$K$4:$AJ$4,0))))=0,NA(),SUMPRODUCT((Inputs!$A$5:$A$170=$B6)*Inputs!$B$5:$B$170*(((Inputs!$G$5:$G$170="moeda")+(Inputs!$G$5:$G$170="acoes"))*Inputs!$B$1+((Inputs!$G$5:$G$170&lt;&gt;"moeda")*(Inputs!$G$5:$G$170&lt;&gt;"acoes")))*INDEX(Inputs!$K$5:$AJ$170,0,MATCH(Y$2,Inputs!$K$4:$AJ$4,0)))+SUMPRODUCT((Inputs!$C$5:$C$170=$B6)*Inputs!$D$5:$D$170*(((Inputs!$G$5:$G$170="moeda")+(Inputs!$G$5:$G$170="acoes"))*Inputs!$B$1+((Inputs!$G$5:$G$170&lt;&gt;"moeda")*(Inputs!$G$5:$G$170&lt;&gt;"acoes")))*INDEX(Inputs!$K$5:$AJ$170,0,MATCH(Y$2,Inputs!$K$4:$AJ$4,0)))+SUMPRODUCT((Inputs!$E$5:$E$170=$B6)*Inputs!$F$5:$F$170*(((Inputs!$G$5:$G$170="moeda")+(Inputs!$G$5:$G$170="acoes"))*Inputs!$B$1+((Inputs!$G$5:$G$170&lt;&gt;"moeda")*(Inputs!$G$5:$G$170&lt;&gt;"acoes")))*INDEX(Inputs!$K$5:$AJ$170,0,MATCH(Y$2,Inputs!$K$4:$AJ$4,0)))))</f>
        <v>-369.393</v>
      </c>
      <c r="Z6" s="6">
        <f>IF(ISNA(MATCH(Z$2,Inputs!$K$4:$AJ$4,0)),NA(),IF(SUMPRODUCT((Inputs!$A$5:$A$170=$B6)*ISNUMBER(INDEX(Inputs!$K$5:$AJ$170,0,MATCH(Z$2,Inputs!$K$4:$AJ$4,0))))+SUMPRODUCT((Inputs!$C$5:$C$170=$B6)*ISNUMBER(INDEX(Inputs!$K$5:$AJ$170,0,MATCH(Z$2,Inputs!$K$4:$AJ$4,0))))+SUMPRODUCT((Inputs!$E$5:$E$170=$B6)*ISNUMBER(INDEX(Inputs!$K$5:$AJ$170,0,MATCH(Z$2,Inputs!$K$4:$AJ$4,0))))=0,NA(),SUMPRODUCT((Inputs!$A$5:$A$170=$B6)*Inputs!$B$5:$B$170*(((Inputs!$G$5:$G$170="moeda")+(Inputs!$G$5:$G$170="acoes"))*Inputs!$B$1+((Inputs!$G$5:$G$170&lt;&gt;"moeda")*(Inputs!$G$5:$G$170&lt;&gt;"acoes")))*INDEX(Inputs!$K$5:$AJ$170,0,MATCH(Z$2,Inputs!$K$4:$AJ$4,0)))+SUMPRODUCT((Inputs!$C$5:$C$170=$B6)*Inputs!$D$5:$D$170*(((Inputs!$G$5:$G$170="moeda")+(Inputs!$G$5:$G$170="acoes"))*Inputs!$B$1+((Inputs!$G$5:$G$170&lt;&gt;"moeda")*(Inputs!$G$5:$G$170&lt;&gt;"acoes")))*INDEX(Inputs!$K$5:$AJ$170,0,MATCH(Z$2,Inputs!$K$4:$AJ$4,0)))+SUMPRODUCT((Inputs!$E$5:$E$170=$B6)*Inputs!$F$5:$F$170*(((Inputs!$G$5:$G$170="moeda")+(Inputs!$G$5:$G$170="acoes"))*Inputs!$B$1+((Inputs!$G$5:$G$170&lt;&gt;"moeda")*(Inputs!$G$5:$G$170&lt;&gt;"acoes")))*INDEX(Inputs!$K$5:$AJ$170,0,MATCH(Z$2,Inputs!$K$4:$AJ$4,0)))))</f>
        <v>-364.059</v>
      </c>
      <c r="AA6" s="6">
        <f>IF(ISNA(MATCH(AA$2,Inputs!$K$4:$AJ$4,0)),NA(),IF(SUMPRODUCT((Inputs!$A$5:$A$170=$B6)*ISNUMBER(INDEX(Inputs!$K$5:$AJ$170,0,MATCH(AA$2,Inputs!$K$4:$AJ$4,0))))+SUMPRODUCT((Inputs!$C$5:$C$170=$B6)*ISNUMBER(INDEX(Inputs!$K$5:$AJ$170,0,MATCH(AA$2,Inputs!$K$4:$AJ$4,0))))+SUMPRODUCT((Inputs!$E$5:$E$170=$B6)*ISNUMBER(INDEX(Inputs!$K$5:$AJ$170,0,MATCH(AA$2,Inputs!$K$4:$AJ$4,0))))=0,NA(),SUMPRODUCT((Inputs!$A$5:$A$170=$B6)*Inputs!$B$5:$B$170*(((Inputs!$G$5:$G$170="moeda")+(Inputs!$G$5:$G$170="acoes"))*Inputs!$B$1+((Inputs!$G$5:$G$170&lt;&gt;"moeda")*(Inputs!$G$5:$G$170&lt;&gt;"acoes")))*INDEX(Inputs!$K$5:$AJ$170,0,MATCH(AA$2,Inputs!$K$4:$AJ$4,0)))+SUMPRODUCT((Inputs!$C$5:$C$170=$B6)*Inputs!$D$5:$D$170*(((Inputs!$G$5:$G$170="moeda")+(Inputs!$G$5:$G$170="acoes"))*Inputs!$B$1+((Inputs!$G$5:$G$170&lt;&gt;"moeda")*(Inputs!$G$5:$G$170&lt;&gt;"acoes")))*INDEX(Inputs!$K$5:$AJ$170,0,MATCH(AA$2,Inputs!$K$4:$AJ$4,0)))+SUMPRODUCT((Inputs!$E$5:$E$170=$B6)*Inputs!$F$5:$F$170*(((Inputs!$G$5:$G$170="moeda")+(Inputs!$G$5:$G$170="acoes"))*Inputs!$B$1+((Inputs!$G$5:$G$170&lt;&gt;"moeda")*(Inputs!$G$5:$G$170&lt;&gt;"acoes")))*INDEX(Inputs!$K$5:$AJ$170,0,MATCH(AA$2,Inputs!$K$4:$AJ$4,0)))))</f>
        <v>-393.0470863</v>
      </c>
      <c r="AB6" s="3">
        <f>SUM(X6:AA6)</f>
        <v>-1506.1090863</v>
      </c>
      <c r="AC6" s="6">
        <f>IF(ISNA(MATCH(AC$2,Inputs!$K$4:$AJ$4,0)),NA(),IF(SUMPRODUCT((Inputs!$A$5:$A$170=$B6)*ISNUMBER(INDEX(Inputs!$K$5:$AJ$170,0,MATCH(AC$2,Inputs!$K$4:$AJ$4,0))))+SUMPRODUCT((Inputs!$C$5:$C$170=$B6)*ISNUMBER(INDEX(Inputs!$K$5:$AJ$170,0,MATCH(AC$2,Inputs!$K$4:$AJ$4,0))))+SUMPRODUCT((Inputs!$E$5:$E$170=$B6)*ISNUMBER(INDEX(Inputs!$K$5:$AJ$170,0,MATCH(AC$2,Inputs!$K$4:$AJ$4,0))))=0,NA(),SUMPRODUCT((Inputs!$A$5:$A$170=$B6)*Inputs!$B$5:$B$170*(((Inputs!$G$5:$G$170="moeda")+(Inputs!$G$5:$G$170="acoes"))*Inputs!$B$1+((Inputs!$G$5:$G$170&lt;&gt;"moeda")*(Inputs!$G$5:$G$170&lt;&gt;"acoes")))*INDEX(Inputs!$K$5:$AJ$170,0,MATCH(AC$2,Inputs!$K$4:$AJ$4,0)))+SUMPRODUCT((Inputs!$C$5:$C$170=$B6)*Inputs!$D$5:$D$170*(((Inputs!$G$5:$G$170="moeda")+(Inputs!$G$5:$G$170="acoes"))*Inputs!$B$1+((Inputs!$G$5:$G$170&lt;&gt;"moeda")*(Inputs!$G$5:$G$170&lt;&gt;"acoes")))*INDEX(Inputs!$K$5:$AJ$170,0,MATCH(AC$2,Inputs!$K$4:$AJ$4,0)))+SUMPRODUCT((Inputs!$E$5:$E$170=$B6)*Inputs!$F$5:$F$170*(((Inputs!$G$5:$G$170="moeda")+(Inputs!$G$5:$G$170="acoes"))*Inputs!$B$1+((Inputs!$G$5:$G$170&lt;&gt;"moeda")*(Inputs!$G$5:$G$170&lt;&gt;"acoes")))*INDEX(Inputs!$K$5:$AJ$170,0,MATCH(AC$2,Inputs!$K$4:$AJ$4,0)))))</f>
        <v>-419.025553161807</v>
      </c>
      <c r="AD6" s="6">
        <f>IF(ISNA(MATCH(AD$2,Inputs!$K$4:$AJ$4,0)),NA(),IF(SUMPRODUCT((Inputs!$A$5:$A$170=$B6)*ISNUMBER(INDEX(Inputs!$K$5:$AJ$170,0,MATCH(AD$2,Inputs!$K$4:$AJ$4,0))))+SUMPRODUCT((Inputs!$C$5:$C$170=$B6)*ISNUMBER(INDEX(Inputs!$K$5:$AJ$170,0,MATCH(AD$2,Inputs!$K$4:$AJ$4,0))))+SUMPRODUCT((Inputs!$E$5:$E$170=$B6)*ISNUMBER(INDEX(Inputs!$K$5:$AJ$170,0,MATCH(AD$2,Inputs!$K$4:$AJ$4,0))))=0,NA(),SUMPRODUCT((Inputs!$A$5:$A$170=$B6)*Inputs!$B$5:$B$170*(((Inputs!$G$5:$G$170="moeda")+(Inputs!$G$5:$G$170="acoes"))*Inputs!$B$1+((Inputs!$G$5:$G$170&lt;&gt;"moeda")*(Inputs!$G$5:$G$170&lt;&gt;"acoes")))*INDEX(Inputs!$K$5:$AJ$170,0,MATCH(AD$2,Inputs!$K$4:$AJ$4,0)))+SUMPRODUCT((Inputs!$C$5:$C$170=$B6)*Inputs!$D$5:$D$170*(((Inputs!$G$5:$G$170="moeda")+(Inputs!$G$5:$G$170="acoes"))*Inputs!$B$1+((Inputs!$G$5:$G$170&lt;&gt;"moeda")*(Inputs!$G$5:$G$170&lt;&gt;"acoes")))*INDEX(Inputs!$K$5:$AJ$170,0,MATCH(AD$2,Inputs!$K$4:$AJ$4,0)))+SUMPRODUCT((Inputs!$E$5:$E$170=$B6)*Inputs!$F$5:$F$170*(((Inputs!$G$5:$G$170="moeda")+(Inputs!$G$5:$G$170="acoes"))*Inputs!$B$1+((Inputs!$G$5:$G$170&lt;&gt;"moeda")*(Inputs!$G$5:$G$170&lt;&gt;"acoes")))*INDEX(Inputs!$K$5:$AJ$170,0,MATCH(AD$2,Inputs!$K$4:$AJ$4,0)))))</f>
        <v>-420.941574688206</v>
      </c>
      <c r="AE6" s="6" t="e">
        <f>IF(ISNA(MATCH(AE$2,Inputs!$K$4:$AJ$4,0)),NA(),IF(SUMPRODUCT((Inputs!$A$5:$A$170=$B6)*ISNUMBER(INDEX(Inputs!$K$5:$AJ$170,0,MATCH(AE$2,Inputs!$K$4:$AJ$4,0))))+SUMPRODUCT((Inputs!$C$5:$C$170=$B6)*ISNUMBER(INDEX(Inputs!$K$5:$AJ$170,0,MATCH(AE$2,Inputs!$K$4:$AJ$4,0))))+SUMPRODUCT((Inputs!$E$5:$E$170=$B6)*ISNUMBER(INDEX(Inputs!$K$5:$AJ$170,0,MATCH(AE$2,Inputs!$K$4:$AJ$4,0))))=0,NA(),SUMPRODUCT((Inputs!$A$5:$A$170=$B6)*Inputs!$B$5:$B$170*(((Inputs!$G$5:$G$170="moeda")+(Inputs!$G$5:$G$170="acoes"))*Inputs!$B$1+((Inputs!$G$5:$G$170&lt;&gt;"moeda")*(Inputs!$G$5:$G$170&lt;&gt;"acoes")))*INDEX(Inputs!$K$5:$AJ$170,0,MATCH(AE$2,Inputs!$K$4:$AJ$4,0)))+SUMPRODUCT((Inputs!$C$5:$C$170=$B6)*Inputs!$D$5:$D$170*(((Inputs!$G$5:$G$170="moeda")+(Inputs!$G$5:$G$170="acoes"))*Inputs!$B$1+((Inputs!$G$5:$G$170&lt;&gt;"moeda")*(Inputs!$G$5:$G$170&lt;&gt;"acoes")))*INDEX(Inputs!$K$5:$AJ$170,0,MATCH(AE$2,Inputs!$K$4:$AJ$4,0)))+SUMPRODUCT((Inputs!$E$5:$E$170=$B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" s="6" t="e">
        <f>IF(ISNA(MATCH(AF$2,Inputs!$K$4:$AJ$4,0)),NA(),IF(SUMPRODUCT((Inputs!$A$5:$A$170=$B6)*ISNUMBER(INDEX(Inputs!$K$5:$AJ$170,0,MATCH(AF$2,Inputs!$K$4:$AJ$4,0))))+SUMPRODUCT((Inputs!$C$5:$C$170=$B6)*ISNUMBER(INDEX(Inputs!$K$5:$AJ$170,0,MATCH(AF$2,Inputs!$K$4:$AJ$4,0))))+SUMPRODUCT((Inputs!$E$5:$E$170=$B6)*ISNUMBER(INDEX(Inputs!$K$5:$AJ$170,0,MATCH(AF$2,Inputs!$K$4:$AJ$4,0))))=0,NA(),SUMPRODUCT((Inputs!$A$5:$A$170=$B6)*Inputs!$B$5:$B$170*(((Inputs!$G$5:$G$170="moeda")+(Inputs!$G$5:$G$170="acoes"))*Inputs!$B$1+((Inputs!$G$5:$G$170&lt;&gt;"moeda")*(Inputs!$G$5:$G$170&lt;&gt;"acoes")))*INDEX(Inputs!$K$5:$AJ$170,0,MATCH(AF$2,Inputs!$K$4:$AJ$4,0)))+SUMPRODUCT((Inputs!$C$5:$C$170=$B6)*Inputs!$D$5:$D$170*(((Inputs!$G$5:$G$170="moeda")+(Inputs!$G$5:$G$170="acoes"))*Inputs!$B$1+((Inputs!$G$5:$G$170&lt;&gt;"moeda")*(Inputs!$G$5:$G$170&lt;&gt;"acoes")))*INDEX(Inputs!$K$5:$AJ$170,0,MATCH(AF$2,Inputs!$K$4:$AJ$4,0)))+SUMPRODUCT((Inputs!$E$5:$E$170=$B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" s="3" t="e">
        <f>SUM(AC6:AF6)</f>
        <v>#N/A</v>
      </c>
      <c r="AH6" s="6">
        <f>IF(ISNA(MATCH(AH$2,Inputs!$K$4:$AJ$4,0)),NA(),IF(SUMPRODUCT((Inputs!$A$5:$A$170=$B6)*ISNUMBER(INDEX(Inputs!$K$5:$AJ$170,0,MATCH(AH$2,Inputs!$K$4:$AJ$4,0))))+SUMPRODUCT((Inputs!$C$5:$C$170=$B6)*ISNUMBER(INDEX(Inputs!$K$5:$AJ$170,0,MATCH(AH$2,Inputs!$K$4:$AJ$4,0))))+SUMPRODUCT((Inputs!$E$5:$E$170=$B6)*ISNUMBER(INDEX(Inputs!$K$5:$AJ$170,0,MATCH(AH$2,Inputs!$K$4:$AJ$4,0))))=0,NA(),SUMPRODUCT((Inputs!$A$5:$A$170=$B6)*Inputs!$B$5:$B$170*(((Inputs!$G$5:$G$170="moeda")+(Inputs!$G$5:$G$170="acoes"))*Inputs!$B$1+((Inputs!$G$5:$G$170&lt;&gt;"moeda")*(Inputs!$G$5:$G$170&lt;&gt;"acoes")))*INDEX(Inputs!$K$5:$AJ$170,0,MATCH(AH$2,Inputs!$K$4:$AJ$4,0)))+SUMPRODUCT((Inputs!$C$5:$C$170=$B6)*Inputs!$D$5:$D$170*(((Inputs!$G$5:$G$170="moeda")+(Inputs!$G$5:$G$170="acoes"))*Inputs!$B$1+((Inputs!$G$5:$G$170&lt;&gt;"moeda")*(Inputs!$G$5:$G$170&lt;&gt;"acoes")))*INDEX(Inputs!$K$5:$AJ$170,0,MATCH(AH$2,Inputs!$K$4:$AJ$4,0)))+SUMPRODUCT((Inputs!$E$5:$E$170=$B6)*Inputs!$F$5:$F$170*(((Inputs!$G$5:$G$170="moeda")+(Inputs!$G$5:$G$170="acoes"))*Inputs!$B$1+((Inputs!$G$5:$G$170&lt;&gt;"moeda")*(Inputs!$G$5:$G$170&lt;&gt;"acoes")))*INDEX(Inputs!$K$5:$AJ$170,0,MATCH(AH$2,Inputs!$K$4:$AJ$4,0)))))</f>
        <v>-134.338</v>
      </c>
      <c r="AI6" s="6">
        <f>IF(ISNA(MATCH(AI$2,Inputs!$K$4:$AJ$4,0)),NA(),IF(SUMPRODUCT((Inputs!$A$5:$A$170=$B6)*ISNUMBER(INDEX(Inputs!$K$5:$AJ$170,0,MATCH(AI$2,Inputs!$K$4:$AJ$4,0))))+SUMPRODUCT((Inputs!$C$5:$C$170=$B6)*ISNUMBER(INDEX(Inputs!$K$5:$AJ$170,0,MATCH(AI$2,Inputs!$K$4:$AJ$4,0))))+SUMPRODUCT((Inputs!$E$5:$E$170=$B6)*ISNUMBER(INDEX(Inputs!$K$5:$AJ$170,0,MATCH(AI$2,Inputs!$K$4:$AJ$4,0))))=0,NA(),SUMPRODUCT((Inputs!$A$5:$A$170=$B6)*Inputs!$B$5:$B$170*(((Inputs!$G$5:$G$170="moeda")+(Inputs!$G$5:$G$170="acoes"))*Inputs!$B$1+((Inputs!$G$5:$G$170&lt;&gt;"moeda")*(Inputs!$G$5:$G$170&lt;&gt;"acoes")))*INDEX(Inputs!$K$5:$AJ$170,0,MATCH(AI$2,Inputs!$K$4:$AJ$4,0)))+SUMPRODUCT((Inputs!$C$5:$C$170=$B6)*Inputs!$D$5:$D$170*(((Inputs!$G$5:$G$170="moeda")+(Inputs!$G$5:$G$170="acoes"))*Inputs!$B$1+((Inputs!$G$5:$G$170&lt;&gt;"moeda")*(Inputs!$G$5:$G$170&lt;&gt;"acoes")))*INDEX(Inputs!$K$5:$AJ$170,0,MATCH(AI$2,Inputs!$K$4:$AJ$4,0)))+SUMPRODUCT((Inputs!$E$5:$E$170=$B6)*Inputs!$F$5:$F$170*(((Inputs!$G$5:$G$170="moeda")+(Inputs!$G$5:$G$170="acoes"))*Inputs!$B$1+((Inputs!$G$5:$G$170&lt;&gt;"moeda")*(Inputs!$G$5:$G$170&lt;&gt;"acoes")))*INDEX(Inputs!$K$5:$AJ$170,0,MATCH(AI$2,Inputs!$K$4:$AJ$4,0)))))</f>
        <v>-108.015</v>
      </c>
      <c r="AJ6" s="6">
        <f>IF(ISNA(MATCH(AJ$2,Inputs!$K$4:$AJ$4,0)),NA(),IF(SUMPRODUCT((Inputs!$A$5:$A$170=$B6)*ISNUMBER(INDEX(Inputs!$K$5:$AJ$170,0,MATCH(AJ$2,Inputs!$K$4:$AJ$4,0))))+SUMPRODUCT((Inputs!$C$5:$C$170=$B6)*ISNUMBER(INDEX(Inputs!$K$5:$AJ$170,0,MATCH(AJ$2,Inputs!$K$4:$AJ$4,0))))+SUMPRODUCT((Inputs!$E$5:$E$170=$B6)*ISNUMBER(INDEX(Inputs!$K$5:$AJ$170,0,MATCH(AJ$2,Inputs!$K$4:$AJ$4,0))))=0,NA(),SUMPRODUCT((Inputs!$A$5:$A$170=$B6)*Inputs!$B$5:$B$170*(((Inputs!$G$5:$G$170="moeda")+(Inputs!$G$5:$G$170="acoes"))*Inputs!$B$1+((Inputs!$G$5:$G$170&lt;&gt;"moeda")*(Inputs!$G$5:$G$170&lt;&gt;"acoes")))*INDEX(Inputs!$K$5:$AJ$170,0,MATCH(AJ$2,Inputs!$K$4:$AJ$4,0)))+SUMPRODUCT((Inputs!$C$5:$C$170=$B6)*Inputs!$D$5:$D$170*(((Inputs!$G$5:$G$170="moeda")+(Inputs!$G$5:$G$170="acoes"))*Inputs!$B$1+((Inputs!$G$5:$G$170&lt;&gt;"moeda")*(Inputs!$G$5:$G$170&lt;&gt;"acoes")))*INDEX(Inputs!$K$5:$AJ$170,0,MATCH(AJ$2,Inputs!$K$4:$AJ$4,0)))+SUMPRODUCT((Inputs!$E$5:$E$170=$B6)*Inputs!$F$5:$F$170*(((Inputs!$G$5:$G$170="moeda")+(Inputs!$G$5:$G$170="acoes"))*Inputs!$B$1+((Inputs!$G$5:$G$170&lt;&gt;"moeda")*(Inputs!$G$5:$G$170&lt;&gt;"acoes")))*INDEX(Inputs!$K$5:$AJ$170,0,MATCH(AJ$2,Inputs!$K$4:$AJ$4,0)))))</f>
        <v>-125.293</v>
      </c>
      <c r="AK6" s="6">
        <f>IF(ISNA(MATCH(AK$2,Inputs!$K$4:$AJ$4,0)),NA(),IF(SUMPRODUCT((Inputs!$A$5:$A$170=$B6)*ISNUMBER(INDEX(Inputs!$K$5:$AJ$170,0,MATCH(AK$2,Inputs!$K$4:$AJ$4,0))))+SUMPRODUCT((Inputs!$C$5:$C$170=$B6)*ISNUMBER(INDEX(Inputs!$K$5:$AJ$170,0,MATCH(AK$2,Inputs!$K$4:$AJ$4,0))))+SUMPRODUCT((Inputs!$E$5:$E$170=$B6)*ISNUMBER(INDEX(Inputs!$K$5:$AJ$170,0,MATCH(AK$2,Inputs!$K$4:$AJ$4,0))))=0,NA(),SUMPRODUCT((Inputs!$A$5:$A$170=$B6)*Inputs!$B$5:$B$170*(((Inputs!$G$5:$G$170="moeda")+(Inputs!$G$5:$G$170="acoes"))*Inputs!$B$1+((Inputs!$G$5:$G$170&lt;&gt;"moeda")*(Inputs!$G$5:$G$170&lt;&gt;"acoes")))*INDEX(Inputs!$K$5:$AJ$170,0,MATCH(AK$2,Inputs!$K$4:$AJ$4,0)))+SUMPRODUCT((Inputs!$C$5:$C$170=$B6)*Inputs!$D$5:$D$170*(((Inputs!$G$5:$G$170="moeda")+(Inputs!$G$5:$G$170="acoes"))*Inputs!$B$1+((Inputs!$G$5:$G$170&lt;&gt;"moeda")*(Inputs!$G$5:$G$170&lt;&gt;"acoes")))*INDEX(Inputs!$K$5:$AJ$170,0,MATCH(AK$2,Inputs!$K$4:$AJ$4,0)))+SUMPRODUCT((Inputs!$E$5:$E$170=$B6)*Inputs!$F$5:$F$170*(((Inputs!$G$5:$G$170="moeda")+(Inputs!$G$5:$G$170="acoes"))*Inputs!$B$1+((Inputs!$G$5:$G$170&lt;&gt;"moeda")*(Inputs!$G$5:$G$170&lt;&gt;"acoes")))*INDEX(Inputs!$K$5:$AJ$170,0,MATCH(AK$2,Inputs!$K$4:$AJ$4,0)))))</f>
        <v>-161.098</v>
      </c>
      <c r="AL6" s="3">
        <f>SUM(AH6:AK6)</f>
        <v>-528.744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$170=$B7)*ISNUMBER(INDEX(Inputs!$K$5:$AJ$170,0,MATCH(D$2,Inputs!$K$4:$AJ$4,0))))+SUMPRODUCT((Inputs!$C$5:$C$170=$B7)*ISNUMBER(INDEX(Inputs!$K$5:$AJ$170,0,MATCH(D$2,Inputs!$K$4:$AJ$4,0))))+SUMPRODUCT((Inputs!$E$5:$E$170=$B7)*ISNUMBER(INDEX(Inputs!$K$5:$AJ$170,0,MATCH(D$2,Inputs!$K$4:$AJ$4,0))))=0,NA(),SUMPRODUCT((Inputs!$A$5:$A$170=$B7)*Inputs!$B$5:$B$170*(((Inputs!$G$5:$G$170="moeda")+(Inputs!$G$5:$G$170="acoes"))*Inputs!$B$1+((Inputs!$G$5:$G$170&lt;&gt;"moeda")*(Inputs!$G$5:$G$170&lt;&gt;"acoes")))*INDEX(Inputs!$K$5:$AJ$170,0,MATCH(D$2,Inputs!$K$4:$AJ$4,0)))+SUMPRODUCT((Inputs!$C$5:$C$170=$B7)*Inputs!$D$5:$D$170*(((Inputs!$G$5:$G$170="moeda")+(Inputs!$G$5:$G$170="acoes"))*Inputs!$B$1+((Inputs!$G$5:$G$170&lt;&gt;"moeda")*(Inputs!$G$5:$G$170&lt;&gt;"acoes")))*INDEX(Inputs!$K$5:$AJ$170,0,MATCH(D$2,Inputs!$K$4:$AJ$4,0)))+SUMPRODUCT((Inputs!$E$5:$E$170=$B7)*Inputs!$F$5:$F$170*(((Inputs!$G$5:$G$170="moeda")+(Inputs!$G$5:$G$170="acoes"))*Inputs!$B$1+((Inputs!$G$5:$G$170&lt;&gt;"moeda")*(Inputs!$G$5:$G$170&lt;&gt;"acoes")))*INDEX(Inputs!$K$5:$AJ$170,0,MATCH(D$2,Inputs!$K$4:$AJ$4,0)))))</f>
        <v>-62.178</v>
      </c>
      <c r="E7" s="6">
        <f>IF(ISNA(MATCH(E$2,Inputs!$K$4:$AJ$4,0)),NA(),IF(SUMPRODUCT((Inputs!$A$5:$A$170=$B7)*ISNUMBER(INDEX(Inputs!$K$5:$AJ$170,0,MATCH(E$2,Inputs!$K$4:$AJ$4,0))))+SUMPRODUCT((Inputs!$C$5:$C$170=$B7)*ISNUMBER(INDEX(Inputs!$K$5:$AJ$170,0,MATCH(E$2,Inputs!$K$4:$AJ$4,0))))+SUMPRODUCT((Inputs!$E$5:$E$170=$B7)*ISNUMBER(INDEX(Inputs!$K$5:$AJ$170,0,MATCH(E$2,Inputs!$K$4:$AJ$4,0))))=0,NA(),SUMPRODUCT((Inputs!$A$5:$A$170=$B7)*Inputs!$B$5:$B$170*(((Inputs!$G$5:$G$170="moeda")+(Inputs!$G$5:$G$170="acoes"))*Inputs!$B$1+((Inputs!$G$5:$G$170&lt;&gt;"moeda")*(Inputs!$G$5:$G$170&lt;&gt;"acoes")))*INDEX(Inputs!$K$5:$AJ$170,0,MATCH(E$2,Inputs!$K$4:$AJ$4,0)))+SUMPRODUCT((Inputs!$C$5:$C$170=$B7)*Inputs!$D$5:$D$170*(((Inputs!$G$5:$G$170="moeda")+(Inputs!$G$5:$G$170="acoes"))*Inputs!$B$1+((Inputs!$G$5:$G$170&lt;&gt;"moeda")*(Inputs!$G$5:$G$170&lt;&gt;"acoes")))*INDEX(Inputs!$K$5:$AJ$170,0,MATCH(E$2,Inputs!$K$4:$AJ$4,0)))+SUMPRODUCT((Inputs!$E$5:$E$170=$B7)*Inputs!$F$5:$F$170*(((Inputs!$G$5:$G$170="moeda")+(Inputs!$G$5:$G$170="acoes"))*Inputs!$B$1+((Inputs!$G$5:$G$170&lt;&gt;"moeda")*(Inputs!$G$5:$G$170&lt;&gt;"acoes")))*INDEX(Inputs!$K$5:$AJ$170,0,MATCH(E$2,Inputs!$K$4:$AJ$4,0)))))</f>
        <v>-72.936</v>
      </c>
      <c r="F7" s="6">
        <f>IF(ISNA(MATCH(F$2,Inputs!$K$4:$AJ$4,0)),NA(),IF(SUMPRODUCT((Inputs!$A$5:$A$170=$B7)*ISNUMBER(INDEX(Inputs!$K$5:$AJ$170,0,MATCH(F$2,Inputs!$K$4:$AJ$4,0))))+SUMPRODUCT((Inputs!$C$5:$C$170=$B7)*ISNUMBER(INDEX(Inputs!$K$5:$AJ$170,0,MATCH(F$2,Inputs!$K$4:$AJ$4,0))))+SUMPRODUCT((Inputs!$E$5:$E$170=$B7)*ISNUMBER(INDEX(Inputs!$K$5:$AJ$170,0,MATCH(F$2,Inputs!$K$4:$AJ$4,0))))=0,NA(),SUMPRODUCT((Inputs!$A$5:$A$170=$B7)*Inputs!$B$5:$B$170*(((Inputs!$G$5:$G$170="moeda")+(Inputs!$G$5:$G$170="acoes"))*Inputs!$B$1+((Inputs!$G$5:$G$170&lt;&gt;"moeda")*(Inputs!$G$5:$G$170&lt;&gt;"acoes")))*INDEX(Inputs!$K$5:$AJ$170,0,MATCH(F$2,Inputs!$K$4:$AJ$4,0)))+SUMPRODUCT((Inputs!$C$5:$C$170=$B7)*Inputs!$D$5:$D$170*(((Inputs!$G$5:$G$170="moeda")+(Inputs!$G$5:$G$170="acoes"))*Inputs!$B$1+((Inputs!$G$5:$G$170&lt;&gt;"moeda")*(Inputs!$G$5:$G$170&lt;&gt;"acoes")))*INDEX(Inputs!$K$5:$AJ$170,0,MATCH(F$2,Inputs!$K$4:$AJ$4,0)))+SUMPRODUCT((Inputs!$E$5:$E$170=$B7)*Inputs!$F$5:$F$170*(((Inputs!$G$5:$G$170="moeda")+(Inputs!$G$5:$G$170="acoes"))*Inputs!$B$1+((Inputs!$G$5:$G$170&lt;&gt;"moeda")*(Inputs!$G$5:$G$170&lt;&gt;"acoes")))*INDEX(Inputs!$K$5:$AJ$170,0,MATCH(F$2,Inputs!$K$4:$AJ$4,0)))))</f>
        <v>-110.706</v>
      </c>
      <c r="G7" s="6">
        <f>IF(ISNA(MATCH(G$2,Inputs!$K$4:$AJ$4,0)),NA(),IF(SUMPRODUCT((Inputs!$A$5:$A$170=$B7)*ISNUMBER(INDEX(Inputs!$K$5:$AJ$170,0,MATCH(G$2,Inputs!$K$4:$AJ$4,0))))+SUMPRODUCT((Inputs!$C$5:$C$170=$B7)*ISNUMBER(INDEX(Inputs!$K$5:$AJ$170,0,MATCH(G$2,Inputs!$K$4:$AJ$4,0))))+SUMPRODUCT((Inputs!$E$5:$E$170=$B7)*ISNUMBER(INDEX(Inputs!$K$5:$AJ$170,0,MATCH(G$2,Inputs!$K$4:$AJ$4,0))))=0,NA(),SUMPRODUCT((Inputs!$A$5:$A$170=$B7)*Inputs!$B$5:$B$170*(((Inputs!$G$5:$G$170="moeda")+(Inputs!$G$5:$G$170="acoes"))*Inputs!$B$1+((Inputs!$G$5:$G$170&lt;&gt;"moeda")*(Inputs!$G$5:$G$170&lt;&gt;"acoes")))*INDEX(Inputs!$K$5:$AJ$170,0,MATCH(G$2,Inputs!$K$4:$AJ$4,0)))+SUMPRODUCT((Inputs!$C$5:$C$170=$B7)*Inputs!$D$5:$D$170*(((Inputs!$G$5:$G$170="moeda")+(Inputs!$G$5:$G$170="acoes"))*Inputs!$B$1+((Inputs!$G$5:$G$170&lt;&gt;"moeda")*(Inputs!$G$5:$G$170&lt;&gt;"acoes")))*INDEX(Inputs!$K$5:$AJ$170,0,MATCH(G$2,Inputs!$K$4:$AJ$4,0)))+SUMPRODUCT((Inputs!$E$5:$E$170=$B7)*Inputs!$F$5:$F$170*(((Inputs!$G$5:$G$170="moeda")+(Inputs!$G$5:$G$170="acoes"))*Inputs!$B$1+((Inputs!$G$5:$G$170&lt;&gt;"moeda")*(Inputs!$G$5:$G$170&lt;&gt;"acoes")))*INDEX(Inputs!$K$5:$AJ$170,0,MATCH(G$2,Inputs!$K$4:$AJ$4,0)))))</f>
        <v>-170.431</v>
      </c>
      <c r="H7" s="3">
        <f>SUM(D7:G7)</f>
        <v>-416.251</v>
      </c>
      <c r="I7" s="6">
        <f>IF(ISNA(MATCH(I$2,Inputs!$K$4:$AJ$4,0)),NA(),IF(SUMPRODUCT((Inputs!$A$5:$A$170=$B7)*ISNUMBER(INDEX(Inputs!$K$5:$AJ$170,0,MATCH(I$2,Inputs!$K$4:$AJ$4,0))))+SUMPRODUCT((Inputs!$C$5:$C$170=$B7)*ISNUMBER(INDEX(Inputs!$K$5:$AJ$170,0,MATCH(I$2,Inputs!$K$4:$AJ$4,0))))+SUMPRODUCT((Inputs!$E$5:$E$170=$B7)*ISNUMBER(INDEX(Inputs!$K$5:$AJ$170,0,MATCH(I$2,Inputs!$K$4:$AJ$4,0))))=0,NA(),SUMPRODUCT((Inputs!$A$5:$A$170=$B7)*Inputs!$B$5:$B$170*(((Inputs!$G$5:$G$170="moeda")+(Inputs!$G$5:$G$170="acoes"))*Inputs!$B$1+((Inputs!$G$5:$G$170&lt;&gt;"moeda")*(Inputs!$G$5:$G$170&lt;&gt;"acoes")))*INDEX(Inputs!$K$5:$AJ$170,0,MATCH(I$2,Inputs!$K$4:$AJ$4,0)))+SUMPRODUCT((Inputs!$C$5:$C$170=$B7)*Inputs!$D$5:$D$170*(((Inputs!$G$5:$G$170="moeda")+(Inputs!$G$5:$G$170="acoes"))*Inputs!$B$1+((Inputs!$G$5:$G$170&lt;&gt;"moeda")*(Inputs!$G$5:$G$170&lt;&gt;"acoes")))*INDEX(Inputs!$K$5:$AJ$170,0,MATCH(I$2,Inputs!$K$4:$AJ$4,0)))+SUMPRODUCT((Inputs!$E$5:$E$170=$B7)*Inputs!$F$5:$F$170*(((Inputs!$G$5:$G$170="moeda")+(Inputs!$G$5:$G$170="acoes"))*Inputs!$B$1+((Inputs!$G$5:$G$170&lt;&gt;"moeda")*(Inputs!$G$5:$G$170&lt;&gt;"acoes")))*INDEX(Inputs!$K$5:$AJ$170,0,MATCH(I$2,Inputs!$K$4:$AJ$4,0)))))</f>
        <v>-212.836</v>
      </c>
      <c r="J7" s="6">
        <f>IF(ISNA(MATCH(J$2,Inputs!$K$4:$AJ$4,0)),NA(),IF(SUMPRODUCT((Inputs!$A$5:$A$170=$B7)*ISNUMBER(INDEX(Inputs!$K$5:$AJ$170,0,MATCH(J$2,Inputs!$K$4:$AJ$4,0))))+SUMPRODUCT((Inputs!$C$5:$C$170=$B7)*ISNUMBER(INDEX(Inputs!$K$5:$AJ$170,0,MATCH(J$2,Inputs!$K$4:$AJ$4,0))))+SUMPRODUCT((Inputs!$E$5:$E$170=$B7)*ISNUMBER(INDEX(Inputs!$K$5:$AJ$170,0,MATCH(J$2,Inputs!$K$4:$AJ$4,0))))=0,NA(),SUMPRODUCT((Inputs!$A$5:$A$170=$B7)*Inputs!$B$5:$B$170*(((Inputs!$G$5:$G$170="moeda")+(Inputs!$G$5:$G$170="acoes"))*Inputs!$B$1+((Inputs!$G$5:$G$170&lt;&gt;"moeda")*(Inputs!$G$5:$G$170&lt;&gt;"acoes")))*INDEX(Inputs!$K$5:$AJ$170,0,MATCH(J$2,Inputs!$K$4:$AJ$4,0)))+SUMPRODUCT((Inputs!$C$5:$C$170=$B7)*Inputs!$D$5:$D$170*(((Inputs!$G$5:$G$170="moeda")+(Inputs!$G$5:$G$170="acoes"))*Inputs!$B$1+((Inputs!$G$5:$G$170&lt;&gt;"moeda")*(Inputs!$G$5:$G$170&lt;&gt;"acoes")))*INDEX(Inputs!$K$5:$AJ$170,0,MATCH(J$2,Inputs!$K$4:$AJ$4,0)))+SUMPRODUCT((Inputs!$E$5:$E$170=$B7)*Inputs!$F$5:$F$170*(((Inputs!$G$5:$G$170="moeda")+(Inputs!$G$5:$G$170="acoes"))*Inputs!$B$1+((Inputs!$G$5:$G$170&lt;&gt;"moeda")*(Inputs!$G$5:$G$170&lt;&gt;"acoes")))*INDEX(Inputs!$K$5:$AJ$170,0,MATCH(J$2,Inputs!$K$4:$AJ$4,0)))))</f>
        <v>-240.909</v>
      </c>
      <c r="K7" s="6">
        <f>IF(ISNA(MATCH(K$2,Inputs!$K$4:$AJ$4,0)),NA(),IF(SUMPRODUCT((Inputs!$A$5:$A$170=$B7)*ISNUMBER(INDEX(Inputs!$K$5:$AJ$170,0,MATCH(K$2,Inputs!$K$4:$AJ$4,0))))+SUMPRODUCT((Inputs!$C$5:$C$170=$B7)*ISNUMBER(INDEX(Inputs!$K$5:$AJ$170,0,MATCH(K$2,Inputs!$K$4:$AJ$4,0))))+SUMPRODUCT((Inputs!$E$5:$E$170=$B7)*ISNUMBER(INDEX(Inputs!$K$5:$AJ$170,0,MATCH(K$2,Inputs!$K$4:$AJ$4,0))))=0,NA(),SUMPRODUCT((Inputs!$A$5:$A$170=$B7)*Inputs!$B$5:$B$170*(((Inputs!$G$5:$G$170="moeda")+(Inputs!$G$5:$G$170="acoes"))*Inputs!$B$1+((Inputs!$G$5:$G$170&lt;&gt;"moeda")*(Inputs!$G$5:$G$170&lt;&gt;"acoes")))*INDEX(Inputs!$K$5:$AJ$170,0,MATCH(K$2,Inputs!$K$4:$AJ$4,0)))+SUMPRODUCT((Inputs!$C$5:$C$170=$B7)*Inputs!$D$5:$D$170*(((Inputs!$G$5:$G$170="moeda")+(Inputs!$G$5:$G$170="acoes"))*Inputs!$B$1+((Inputs!$G$5:$G$170&lt;&gt;"moeda")*(Inputs!$G$5:$G$170&lt;&gt;"acoes")))*INDEX(Inputs!$K$5:$AJ$170,0,MATCH(K$2,Inputs!$K$4:$AJ$4,0)))+SUMPRODUCT((Inputs!$E$5:$E$170=$B7)*Inputs!$F$5:$F$170*(((Inputs!$G$5:$G$170="moeda")+(Inputs!$G$5:$G$170="acoes"))*Inputs!$B$1+((Inputs!$G$5:$G$170&lt;&gt;"moeda")*(Inputs!$G$5:$G$170&lt;&gt;"acoes")))*INDEX(Inputs!$K$5:$AJ$170,0,MATCH(K$2,Inputs!$K$4:$AJ$4,0)))))</f>
        <v>-300.524</v>
      </c>
      <c r="L7" s="6">
        <f>IF(ISNA(MATCH(L$2,Inputs!$K$4:$AJ$4,0)),NA(),IF(SUMPRODUCT((Inputs!$A$5:$A$170=$B7)*ISNUMBER(INDEX(Inputs!$K$5:$AJ$170,0,MATCH(L$2,Inputs!$K$4:$AJ$4,0))))+SUMPRODUCT((Inputs!$C$5:$C$170=$B7)*ISNUMBER(INDEX(Inputs!$K$5:$AJ$170,0,MATCH(L$2,Inputs!$K$4:$AJ$4,0))))+SUMPRODUCT((Inputs!$E$5:$E$170=$B7)*ISNUMBER(INDEX(Inputs!$K$5:$AJ$170,0,MATCH(L$2,Inputs!$K$4:$AJ$4,0))))=0,NA(),SUMPRODUCT((Inputs!$A$5:$A$170=$B7)*Inputs!$B$5:$B$170*(((Inputs!$G$5:$G$170="moeda")+(Inputs!$G$5:$G$170="acoes"))*Inputs!$B$1+((Inputs!$G$5:$G$170&lt;&gt;"moeda")*(Inputs!$G$5:$G$170&lt;&gt;"acoes")))*INDEX(Inputs!$K$5:$AJ$170,0,MATCH(L$2,Inputs!$K$4:$AJ$4,0)))+SUMPRODUCT((Inputs!$C$5:$C$170=$B7)*Inputs!$D$5:$D$170*(((Inputs!$G$5:$G$170="moeda")+(Inputs!$G$5:$G$170="acoes"))*Inputs!$B$1+((Inputs!$G$5:$G$170&lt;&gt;"moeda")*(Inputs!$G$5:$G$170&lt;&gt;"acoes")))*INDEX(Inputs!$K$5:$AJ$170,0,MATCH(L$2,Inputs!$K$4:$AJ$4,0)))+SUMPRODUCT((Inputs!$E$5:$E$170=$B7)*Inputs!$F$5:$F$170*(((Inputs!$G$5:$G$170="moeda")+(Inputs!$G$5:$G$170="acoes"))*Inputs!$B$1+((Inputs!$G$5:$G$170&lt;&gt;"moeda")*(Inputs!$G$5:$G$170&lt;&gt;"acoes")))*INDEX(Inputs!$K$5:$AJ$170,0,MATCH(L$2,Inputs!$K$4:$AJ$4,0)))))</f>
        <v>-380.942</v>
      </c>
      <c r="M7" s="3">
        <f>SUM(I7:L7)</f>
        <v>-1135.211</v>
      </c>
      <c r="N7" s="6">
        <f>IF(ISNA(MATCH(N$2,Inputs!$K$4:$AJ$4,0)),NA(),IF(SUMPRODUCT((Inputs!$A$5:$A$170=$B7)*ISNUMBER(INDEX(Inputs!$K$5:$AJ$170,0,MATCH(N$2,Inputs!$K$4:$AJ$4,0))))+SUMPRODUCT((Inputs!$C$5:$C$170=$B7)*ISNUMBER(INDEX(Inputs!$K$5:$AJ$170,0,MATCH(N$2,Inputs!$K$4:$AJ$4,0))))+SUMPRODUCT((Inputs!$E$5:$E$170=$B7)*ISNUMBER(INDEX(Inputs!$K$5:$AJ$170,0,MATCH(N$2,Inputs!$K$4:$AJ$4,0))))=0,NA(),SUMPRODUCT((Inputs!$A$5:$A$170=$B7)*Inputs!$B$5:$B$170*(((Inputs!$G$5:$G$170="moeda")+(Inputs!$G$5:$G$170="acoes"))*Inputs!$B$1+((Inputs!$G$5:$G$170&lt;&gt;"moeda")*(Inputs!$G$5:$G$170&lt;&gt;"acoes")))*INDEX(Inputs!$K$5:$AJ$170,0,MATCH(N$2,Inputs!$K$4:$AJ$4,0)))+SUMPRODUCT((Inputs!$C$5:$C$170=$B7)*Inputs!$D$5:$D$170*(((Inputs!$G$5:$G$170="moeda")+(Inputs!$G$5:$G$170="acoes"))*Inputs!$B$1+((Inputs!$G$5:$G$170&lt;&gt;"moeda")*(Inputs!$G$5:$G$170&lt;&gt;"acoes")))*INDEX(Inputs!$K$5:$AJ$170,0,MATCH(N$2,Inputs!$K$4:$AJ$4,0)))+SUMPRODUCT((Inputs!$E$5:$E$170=$B7)*Inputs!$F$5:$F$170*(((Inputs!$G$5:$G$170="moeda")+(Inputs!$G$5:$G$170="acoes"))*Inputs!$B$1+((Inputs!$G$5:$G$170&lt;&gt;"moeda")*(Inputs!$G$5:$G$170&lt;&gt;"acoes")))*INDEX(Inputs!$K$5:$AJ$170,0,MATCH(N$2,Inputs!$K$4:$AJ$4,0)))))</f>
        <v>-390.033</v>
      </c>
      <c r="O7" s="6">
        <f>IF(ISNA(MATCH(O$2,Inputs!$K$4:$AJ$4,0)),NA(),IF(SUMPRODUCT((Inputs!$A$5:$A$170=$B7)*ISNUMBER(INDEX(Inputs!$K$5:$AJ$170,0,MATCH(O$2,Inputs!$K$4:$AJ$4,0))))+SUMPRODUCT((Inputs!$C$5:$C$170=$B7)*ISNUMBER(INDEX(Inputs!$K$5:$AJ$170,0,MATCH(O$2,Inputs!$K$4:$AJ$4,0))))+SUMPRODUCT((Inputs!$E$5:$E$170=$B7)*ISNUMBER(INDEX(Inputs!$K$5:$AJ$170,0,MATCH(O$2,Inputs!$K$4:$AJ$4,0))))=0,NA(),SUMPRODUCT((Inputs!$A$5:$A$170=$B7)*Inputs!$B$5:$B$170*(((Inputs!$G$5:$G$170="moeda")+(Inputs!$G$5:$G$170="acoes"))*Inputs!$B$1+((Inputs!$G$5:$G$170&lt;&gt;"moeda")*(Inputs!$G$5:$G$170&lt;&gt;"acoes")))*INDEX(Inputs!$K$5:$AJ$170,0,MATCH(O$2,Inputs!$K$4:$AJ$4,0)))+SUMPRODUCT((Inputs!$C$5:$C$170=$B7)*Inputs!$D$5:$D$170*(((Inputs!$G$5:$G$170="moeda")+(Inputs!$G$5:$G$170="acoes"))*Inputs!$B$1+((Inputs!$G$5:$G$170&lt;&gt;"moeda")*(Inputs!$G$5:$G$170&lt;&gt;"acoes")))*INDEX(Inputs!$K$5:$AJ$170,0,MATCH(O$2,Inputs!$K$4:$AJ$4,0)))+SUMPRODUCT((Inputs!$E$5:$E$170=$B7)*Inputs!$F$5:$F$170*(((Inputs!$G$5:$G$170="moeda")+(Inputs!$G$5:$G$170="acoes"))*Inputs!$B$1+((Inputs!$G$5:$G$170&lt;&gt;"moeda")*(Inputs!$G$5:$G$170&lt;&gt;"acoes")))*INDEX(Inputs!$K$5:$AJ$170,0,MATCH(O$2,Inputs!$K$4:$AJ$4,0)))))</f>
        <v>-388.955</v>
      </c>
      <c r="P7" s="6">
        <f>IF(ISNA(MATCH(P$2,Inputs!$K$4:$AJ$4,0)),NA(),IF(SUMPRODUCT((Inputs!$A$5:$A$170=$B7)*ISNUMBER(INDEX(Inputs!$K$5:$AJ$170,0,MATCH(P$2,Inputs!$K$4:$AJ$4,0))))+SUMPRODUCT((Inputs!$C$5:$C$170=$B7)*ISNUMBER(INDEX(Inputs!$K$5:$AJ$170,0,MATCH(P$2,Inputs!$K$4:$AJ$4,0))))+SUMPRODUCT((Inputs!$E$5:$E$170=$B7)*ISNUMBER(INDEX(Inputs!$K$5:$AJ$170,0,MATCH(P$2,Inputs!$K$4:$AJ$4,0))))=0,NA(),SUMPRODUCT((Inputs!$A$5:$A$170=$B7)*Inputs!$B$5:$B$170*(((Inputs!$G$5:$G$170="moeda")+(Inputs!$G$5:$G$170="acoes"))*Inputs!$B$1+((Inputs!$G$5:$G$170&lt;&gt;"moeda")*(Inputs!$G$5:$G$170&lt;&gt;"acoes")))*INDEX(Inputs!$K$5:$AJ$170,0,MATCH(P$2,Inputs!$K$4:$AJ$4,0)))+SUMPRODUCT((Inputs!$C$5:$C$170=$B7)*Inputs!$D$5:$D$170*(((Inputs!$G$5:$G$170="moeda")+(Inputs!$G$5:$G$170="acoes"))*Inputs!$B$1+((Inputs!$G$5:$G$170&lt;&gt;"moeda")*(Inputs!$G$5:$G$170&lt;&gt;"acoes")))*INDEX(Inputs!$K$5:$AJ$170,0,MATCH(P$2,Inputs!$K$4:$AJ$4,0)))+SUMPRODUCT((Inputs!$E$5:$E$170=$B7)*Inputs!$F$5:$F$170*(((Inputs!$G$5:$G$170="moeda")+(Inputs!$G$5:$G$170="acoes"))*Inputs!$B$1+((Inputs!$G$5:$G$170&lt;&gt;"moeda")*(Inputs!$G$5:$G$170&lt;&gt;"acoes")))*INDEX(Inputs!$K$5:$AJ$170,0,MATCH(P$2,Inputs!$K$4:$AJ$4,0)))))</f>
        <v>-412.766</v>
      </c>
      <c r="Q7" s="6">
        <f>IF(ISNA(MATCH(Q$2,Inputs!$K$4:$AJ$4,0)),NA(),IF(SUMPRODUCT((Inputs!$A$5:$A$170=$B7)*ISNUMBER(INDEX(Inputs!$K$5:$AJ$170,0,MATCH(Q$2,Inputs!$K$4:$AJ$4,0))))+SUMPRODUCT((Inputs!$C$5:$C$170=$B7)*ISNUMBER(INDEX(Inputs!$K$5:$AJ$170,0,MATCH(Q$2,Inputs!$K$4:$AJ$4,0))))+SUMPRODUCT((Inputs!$E$5:$E$170=$B7)*ISNUMBER(INDEX(Inputs!$K$5:$AJ$170,0,MATCH(Q$2,Inputs!$K$4:$AJ$4,0))))=0,NA(),SUMPRODUCT((Inputs!$A$5:$A$170=$B7)*Inputs!$B$5:$B$170*(((Inputs!$G$5:$G$170="moeda")+(Inputs!$G$5:$G$170="acoes"))*Inputs!$B$1+((Inputs!$G$5:$G$170&lt;&gt;"moeda")*(Inputs!$G$5:$G$170&lt;&gt;"acoes")))*INDEX(Inputs!$K$5:$AJ$170,0,MATCH(Q$2,Inputs!$K$4:$AJ$4,0)))+SUMPRODUCT((Inputs!$C$5:$C$170=$B7)*Inputs!$D$5:$D$170*(((Inputs!$G$5:$G$170="moeda")+(Inputs!$G$5:$G$170="acoes"))*Inputs!$B$1+((Inputs!$G$5:$G$170&lt;&gt;"moeda")*(Inputs!$G$5:$G$170&lt;&gt;"acoes")))*INDEX(Inputs!$K$5:$AJ$170,0,MATCH(Q$2,Inputs!$K$4:$AJ$4,0)))+SUMPRODUCT((Inputs!$E$5:$E$170=$B7)*Inputs!$F$5:$F$170*(((Inputs!$G$5:$G$170="moeda")+(Inputs!$G$5:$G$170="acoes"))*Inputs!$B$1+((Inputs!$G$5:$G$170&lt;&gt;"moeda")*(Inputs!$G$5:$G$170&lt;&gt;"acoes")))*INDEX(Inputs!$K$5:$AJ$170,0,MATCH(Q$2,Inputs!$K$4:$AJ$4,0)))))</f>
        <v>-1046.012</v>
      </c>
      <c r="R7" s="3">
        <f>SUM(N7:Q7)</f>
        <v>-2237.766</v>
      </c>
      <c r="S7" s="6">
        <f>IF(ISNA(MATCH(S$2,Inputs!$K$4:$AJ$4,0)),NA(),IF(SUMPRODUCT((Inputs!$A$5:$A$170=$B7)*ISNUMBER(INDEX(Inputs!$K$5:$AJ$170,0,MATCH(S$2,Inputs!$K$4:$AJ$4,0))))+SUMPRODUCT((Inputs!$C$5:$C$170=$B7)*ISNUMBER(INDEX(Inputs!$K$5:$AJ$170,0,MATCH(S$2,Inputs!$K$4:$AJ$4,0))))+SUMPRODUCT((Inputs!$E$5:$E$170=$B7)*ISNUMBER(INDEX(Inputs!$K$5:$AJ$170,0,MATCH(S$2,Inputs!$K$4:$AJ$4,0))))=0,NA(),SUMPRODUCT((Inputs!$A$5:$A$170=$B7)*Inputs!$B$5:$B$170*(((Inputs!$G$5:$G$170="moeda")+(Inputs!$G$5:$G$170="acoes"))*Inputs!$B$1+((Inputs!$G$5:$G$170&lt;&gt;"moeda")*(Inputs!$G$5:$G$170&lt;&gt;"acoes")))*INDEX(Inputs!$K$5:$AJ$170,0,MATCH(S$2,Inputs!$K$4:$AJ$4,0)))+SUMPRODUCT((Inputs!$C$5:$C$170=$B7)*Inputs!$D$5:$D$170*(((Inputs!$G$5:$G$170="moeda")+(Inputs!$G$5:$G$170="acoes"))*Inputs!$B$1+((Inputs!$G$5:$G$170&lt;&gt;"moeda")*(Inputs!$G$5:$G$170&lt;&gt;"acoes")))*INDEX(Inputs!$K$5:$AJ$170,0,MATCH(S$2,Inputs!$K$4:$AJ$4,0)))+SUMPRODUCT((Inputs!$E$5:$E$170=$B7)*Inputs!$F$5:$F$170*(((Inputs!$G$5:$G$170="moeda")+(Inputs!$G$5:$G$170="acoes"))*Inputs!$B$1+((Inputs!$G$5:$G$170&lt;&gt;"moeda")*(Inputs!$G$5:$G$170&lt;&gt;"acoes")))*INDEX(Inputs!$K$5:$AJ$170,0,MATCH(S$2,Inputs!$K$4:$AJ$4,0)))))</f>
        <v>-447.855</v>
      </c>
      <c r="T7" s="6">
        <f>IF(ISNA(MATCH(T$2,Inputs!$K$4:$AJ$4,0)),NA(),IF(SUMPRODUCT((Inputs!$A$5:$A$170=$B7)*ISNUMBER(INDEX(Inputs!$K$5:$AJ$170,0,MATCH(T$2,Inputs!$K$4:$AJ$4,0))))+SUMPRODUCT((Inputs!$C$5:$C$170=$B7)*ISNUMBER(INDEX(Inputs!$K$5:$AJ$170,0,MATCH(T$2,Inputs!$K$4:$AJ$4,0))))+SUMPRODUCT((Inputs!$E$5:$E$170=$B7)*ISNUMBER(INDEX(Inputs!$K$5:$AJ$170,0,MATCH(T$2,Inputs!$K$4:$AJ$4,0))))=0,NA(),SUMPRODUCT((Inputs!$A$5:$A$170=$B7)*Inputs!$B$5:$B$170*(((Inputs!$G$5:$G$170="moeda")+(Inputs!$G$5:$G$170="acoes"))*Inputs!$B$1+((Inputs!$G$5:$G$170&lt;&gt;"moeda")*(Inputs!$G$5:$G$170&lt;&gt;"acoes")))*INDEX(Inputs!$K$5:$AJ$170,0,MATCH(T$2,Inputs!$K$4:$AJ$4,0)))+SUMPRODUCT((Inputs!$C$5:$C$170=$B7)*Inputs!$D$5:$D$170*(((Inputs!$G$5:$G$170="moeda")+(Inputs!$G$5:$G$170="acoes"))*Inputs!$B$1+((Inputs!$G$5:$G$170&lt;&gt;"moeda")*(Inputs!$G$5:$G$170&lt;&gt;"acoes")))*INDEX(Inputs!$K$5:$AJ$170,0,MATCH(T$2,Inputs!$K$4:$AJ$4,0)))+SUMPRODUCT((Inputs!$E$5:$E$170=$B7)*Inputs!$F$5:$F$170*(((Inputs!$G$5:$G$170="moeda")+(Inputs!$G$5:$G$170="acoes"))*Inputs!$B$1+((Inputs!$G$5:$G$170&lt;&gt;"moeda")*(Inputs!$G$5:$G$170&lt;&gt;"acoes")))*INDEX(Inputs!$K$5:$AJ$170,0,MATCH(T$2,Inputs!$K$4:$AJ$4,0)))))</f>
        <v>-522.034</v>
      </c>
      <c r="U7" s="6">
        <f>IF(ISNA(MATCH(U$2,Inputs!$K$4:$AJ$4,0)),NA(),IF(SUMPRODUCT((Inputs!$A$5:$A$170=$B7)*ISNUMBER(INDEX(Inputs!$K$5:$AJ$170,0,MATCH(U$2,Inputs!$K$4:$AJ$4,0))))+SUMPRODUCT((Inputs!$C$5:$C$170=$B7)*ISNUMBER(INDEX(Inputs!$K$5:$AJ$170,0,MATCH(U$2,Inputs!$K$4:$AJ$4,0))))+SUMPRODUCT((Inputs!$E$5:$E$170=$B7)*ISNUMBER(INDEX(Inputs!$K$5:$AJ$170,0,MATCH(U$2,Inputs!$K$4:$AJ$4,0))))=0,NA(),SUMPRODUCT((Inputs!$A$5:$A$170=$B7)*Inputs!$B$5:$B$170*(((Inputs!$G$5:$G$170="moeda")+(Inputs!$G$5:$G$170="acoes"))*Inputs!$B$1+((Inputs!$G$5:$G$170&lt;&gt;"moeda")*(Inputs!$G$5:$G$170&lt;&gt;"acoes")))*INDEX(Inputs!$K$5:$AJ$170,0,MATCH(U$2,Inputs!$K$4:$AJ$4,0)))+SUMPRODUCT((Inputs!$C$5:$C$170=$B7)*Inputs!$D$5:$D$170*(((Inputs!$G$5:$G$170="moeda")+(Inputs!$G$5:$G$170="acoes"))*Inputs!$B$1+((Inputs!$G$5:$G$170&lt;&gt;"moeda")*(Inputs!$G$5:$G$170&lt;&gt;"acoes")))*INDEX(Inputs!$K$5:$AJ$170,0,MATCH(U$2,Inputs!$K$4:$AJ$4,0)))+SUMPRODUCT((Inputs!$E$5:$E$170=$B7)*Inputs!$F$5:$F$170*(((Inputs!$G$5:$G$170="moeda")+(Inputs!$G$5:$G$170="acoes"))*Inputs!$B$1+((Inputs!$G$5:$G$170&lt;&gt;"moeda")*(Inputs!$G$5:$G$170&lt;&gt;"acoes")))*INDEX(Inputs!$K$5:$AJ$170,0,MATCH(U$2,Inputs!$K$4:$AJ$4,0)))))</f>
        <v>-551.278</v>
      </c>
      <c r="V7" s="6">
        <f>IF(ISNA(MATCH(V$2,Inputs!$K$4:$AJ$4,0)),NA(),IF(SUMPRODUCT((Inputs!$A$5:$A$170=$B7)*ISNUMBER(INDEX(Inputs!$K$5:$AJ$170,0,MATCH(V$2,Inputs!$K$4:$AJ$4,0))))+SUMPRODUCT((Inputs!$C$5:$C$170=$B7)*ISNUMBER(INDEX(Inputs!$K$5:$AJ$170,0,MATCH(V$2,Inputs!$K$4:$AJ$4,0))))+SUMPRODUCT((Inputs!$E$5:$E$170=$B7)*ISNUMBER(INDEX(Inputs!$K$5:$AJ$170,0,MATCH(V$2,Inputs!$K$4:$AJ$4,0))))=0,NA(),SUMPRODUCT((Inputs!$A$5:$A$170=$B7)*Inputs!$B$5:$B$170*(((Inputs!$G$5:$G$170="moeda")+(Inputs!$G$5:$G$170="acoes"))*Inputs!$B$1+((Inputs!$G$5:$G$170&lt;&gt;"moeda")*(Inputs!$G$5:$G$170&lt;&gt;"acoes")))*INDEX(Inputs!$K$5:$AJ$170,0,MATCH(V$2,Inputs!$K$4:$AJ$4,0)))+SUMPRODUCT((Inputs!$C$5:$C$170=$B7)*Inputs!$D$5:$D$170*(((Inputs!$G$5:$G$170="moeda")+(Inputs!$G$5:$G$170="acoes"))*Inputs!$B$1+((Inputs!$G$5:$G$170&lt;&gt;"moeda")*(Inputs!$G$5:$G$170&lt;&gt;"acoes")))*INDEX(Inputs!$K$5:$AJ$170,0,MATCH(V$2,Inputs!$K$4:$AJ$4,0)))+SUMPRODUCT((Inputs!$E$5:$E$170=$B7)*Inputs!$F$5:$F$170*(((Inputs!$G$5:$G$170="moeda")+(Inputs!$G$5:$G$170="acoes"))*Inputs!$B$1+((Inputs!$G$5:$G$170&lt;&gt;"moeda")*(Inputs!$G$5:$G$170&lt;&gt;"acoes")))*INDEX(Inputs!$K$5:$AJ$170,0,MATCH(V$2,Inputs!$K$4:$AJ$4,0)))))</f>
        <v>-559.351</v>
      </c>
      <c r="W7" s="3">
        <f>SUM(S7:V7)</f>
        <v>-2080.518</v>
      </c>
      <c r="X7" s="6">
        <f>IF(ISNA(MATCH(X$2,Inputs!$K$4:$AJ$4,0)),NA(),IF(SUMPRODUCT((Inputs!$A$5:$A$170=$B7)*ISNUMBER(INDEX(Inputs!$K$5:$AJ$170,0,MATCH(X$2,Inputs!$K$4:$AJ$4,0))))+SUMPRODUCT((Inputs!$C$5:$C$170=$B7)*ISNUMBER(INDEX(Inputs!$K$5:$AJ$170,0,MATCH(X$2,Inputs!$K$4:$AJ$4,0))))+SUMPRODUCT((Inputs!$E$5:$E$170=$B7)*ISNUMBER(INDEX(Inputs!$K$5:$AJ$170,0,MATCH(X$2,Inputs!$K$4:$AJ$4,0))))=0,NA(),SUMPRODUCT((Inputs!$A$5:$A$170=$B7)*Inputs!$B$5:$B$170*(((Inputs!$G$5:$G$170="moeda")+(Inputs!$G$5:$G$170="acoes"))*Inputs!$B$1+((Inputs!$G$5:$G$170&lt;&gt;"moeda")*(Inputs!$G$5:$G$170&lt;&gt;"acoes")))*INDEX(Inputs!$K$5:$AJ$170,0,MATCH(X$2,Inputs!$K$4:$AJ$4,0)))+SUMPRODUCT((Inputs!$C$5:$C$170=$B7)*Inputs!$D$5:$D$170*(((Inputs!$G$5:$G$170="moeda")+(Inputs!$G$5:$G$170="acoes"))*Inputs!$B$1+((Inputs!$G$5:$G$170&lt;&gt;"moeda")*(Inputs!$G$5:$G$170&lt;&gt;"acoes")))*INDEX(Inputs!$K$5:$AJ$170,0,MATCH(X$2,Inputs!$K$4:$AJ$4,0)))+SUMPRODUCT((Inputs!$E$5:$E$170=$B7)*Inputs!$F$5:$F$170*(((Inputs!$G$5:$G$170="moeda")+(Inputs!$G$5:$G$170="acoes"))*Inputs!$B$1+((Inputs!$G$5:$G$170&lt;&gt;"moeda")*(Inputs!$G$5:$G$170&lt;&gt;"acoes")))*INDEX(Inputs!$K$5:$AJ$170,0,MATCH(X$2,Inputs!$K$4:$AJ$4,0)))))</f>
        <v>-572.374</v>
      </c>
      <c r="Y7" s="6">
        <f>IF(ISNA(MATCH(Y$2,Inputs!$K$4:$AJ$4,0)),NA(),IF(SUMPRODUCT((Inputs!$A$5:$A$170=$B7)*ISNUMBER(INDEX(Inputs!$K$5:$AJ$170,0,MATCH(Y$2,Inputs!$K$4:$AJ$4,0))))+SUMPRODUCT((Inputs!$C$5:$C$170=$B7)*ISNUMBER(INDEX(Inputs!$K$5:$AJ$170,0,MATCH(Y$2,Inputs!$K$4:$AJ$4,0))))+SUMPRODUCT((Inputs!$E$5:$E$170=$B7)*ISNUMBER(INDEX(Inputs!$K$5:$AJ$170,0,MATCH(Y$2,Inputs!$K$4:$AJ$4,0))))=0,NA(),SUMPRODUCT((Inputs!$A$5:$A$170=$B7)*Inputs!$B$5:$B$170*(((Inputs!$G$5:$G$170="moeda")+(Inputs!$G$5:$G$170="acoes"))*Inputs!$B$1+((Inputs!$G$5:$G$170&lt;&gt;"moeda")*(Inputs!$G$5:$G$170&lt;&gt;"acoes")))*INDEX(Inputs!$K$5:$AJ$170,0,MATCH(Y$2,Inputs!$K$4:$AJ$4,0)))+SUMPRODUCT((Inputs!$C$5:$C$170=$B7)*Inputs!$D$5:$D$170*(((Inputs!$G$5:$G$170="moeda")+(Inputs!$G$5:$G$170="acoes"))*Inputs!$B$1+((Inputs!$G$5:$G$170&lt;&gt;"moeda")*(Inputs!$G$5:$G$170&lt;&gt;"acoes")))*INDEX(Inputs!$K$5:$AJ$170,0,MATCH(Y$2,Inputs!$K$4:$AJ$4,0)))+SUMPRODUCT((Inputs!$E$5:$E$170=$B7)*Inputs!$F$5:$F$170*(((Inputs!$G$5:$G$170="moeda")+(Inputs!$G$5:$G$170="acoes"))*Inputs!$B$1+((Inputs!$G$5:$G$170&lt;&gt;"moeda")*(Inputs!$G$5:$G$170&lt;&gt;"acoes")))*INDEX(Inputs!$K$5:$AJ$170,0,MATCH(Y$2,Inputs!$K$4:$AJ$4,0)))))</f>
        <v>-593.733</v>
      </c>
      <c r="Z7" s="6">
        <f>IF(ISNA(MATCH(Z$2,Inputs!$K$4:$AJ$4,0)),NA(),IF(SUMPRODUCT((Inputs!$A$5:$A$170=$B7)*ISNUMBER(INDEX(Inputs!$K$5:$AJ$170,0,MATCH(Z$2,Inputs!$K$4:$AJ$4,0))))+SUMPRODUCT((Inputs!$C$5:$C$170=$B7)*ISNUMBER(INDEX(Inputs!$K$5:$AJ$170,0,MATCH(Z$2,Inputs!$K$4:$AJ$4,0))))+SUMPRODUCT((Inputs!$E$5:$E$170=$B7)*ISNUMBER(INDEX(Inputs!$K$5:$AJ$170,0,MATCH(Z$2,Inputs!$K$4:$AJ$4,0))))=0,NA(),SUMPRODUCT((Inputs!$A$5:$A$170=$B7)*Inputs!$B$5:$B$170*(((Inputs!$G$5:$G$170="moeda")+(Inputs!$G$5:$G$170="acoes"))*Inputs!$B$1+((Inputs!$G$5:$G$170&lt;&gt;"moeda")*(Inputs!$G$5:$G$170&lt;&gt;"acoes")))*INDEX(Inputs!$K$5:$AJ$170,0,MATCH(Z$2,Inputs!$K$4:$AJ$4,0)))+SUMPRODUCT((Inputs!$C$5:$C$170=$B7)*Inputs!$D$5:$D$170*(((Inputs!$G$5:$G$170="moeda")+(Inputs!$G$5:$G$170="acoes"))*Inputs!$B$1+((Inputs!$G$5:$G$170&lt;&gt;"moeda")*(Inputs!$G$5:$G$170&lt;&gt;"acoes")))*INDEX(Inputs!$K$5:$AJ$170,0,MATCH(Z$2,Inputs!$K$4:$AJ$4,0)))+SUMPRODUCT((Inputs!$E$5:$E$170=$B7)*Inputs!$F$5:$F$170*(((Inputs!$G$5:$G$170="moeda")+(Inputs!$G$5:$G$170="acoes"))*Inputs!$B$1+((Inputs!$G$5:$G$170&lt;&gt;"moeda")*(Inputs!$G$5:$G$170&lt;&gt;"acoes")))*INDEX(Inputs!$K$5:$AJ$170,0,MATCH(Z$2,Inputs!$K$4:$AJ$4,0)))))</f>
        <v>-624.565</v>
      </c>
      <c r="AA7" s="6">
        <f>IF(ISNA(MATCH(AA$2,Inputs!$K$4:$AJ$4,0)),NA(),IF(SUMPRODUCT((Inputs!$A$5:$A$170=$B7)*ISNUMBER(INDEX(Inputs!$K$5:$AJ$170,0,MATCH(AA$2,Inputs!$K$4:$AJ$4,0))))+SUMPRODUCT((Inputs!$C$5:$C$170=$B7)*ISNUMBER(INDEX(Inputs!$K$5:$AJ$170,0,MATCH(AA$2,Inputs!$K$4:$AJ$4,0))))+SUMPRODUCT((Inputs!$E$5:$E$170=$B7)*ISNUMBER(INDEX(Inputs!$K$5:$AJ$170,0,MATCH(AA$2,Inputs!$K$4:$AJ$4,0))))=0,NA(),SUMPRODUCT((Inputs!$A$5:$A$170=$B7)*Inputs!$B$5:$B$170*(((Inputs!$G$5:$G$170="moeda")+(Inputs!$G$5:$G$170="acoes"))*Inputs!$B$1+((Inputs!$G$5:$G$170&lt;&gt;"moeda")*(Inputs!$G$5:$G$170&lt;&gt;"acoes")))*INDEX(Inputs!$K$5:$AJ$170,0,MATCH(AA$2,Inputs!$K$4:$AJ$4,0)))+SUMPRODUCT((Inputs!$C$5:$C$170=$B7)*Inputs!$D$5:$D$170*(((Inputs!$G$5:$G$170="moeda")+(Inputs!$G$5:$G$170="acoes"))*Inputs!$B$1+((Inputs!$G$5:$G$170&lt;&gt;"moeda")*(Inputs!$G$5:$G$170&lt;&gt;"acoes")))*INDEX(Inputs!$K$5:$AJ$170,0,MATCH(AA$2,Inputs!$K$4:$AJ$4,0)))+SUMPRODUCT((Inputs!$E$5:$E$170=$B7)*Inputs!$F$5:$F$170*(((Inputs!$G$5:$G$170="moeda")+(Inputs!$G$5:$G$170="acoes"))*Inputs!$B$1+((Inputs!$G$5:$G$170&lt;&gt;"moeda")*(Inputs!$G$5:$G$170&lt;&gt;"acoes")))*INDEX(Inputs!$K$5:$AJ$170,0,MATCH(AA$2,Inputs!$K$4:$AJ$4,0)))))</f>
        <v>-639.3592426</v>
      </c>
      <c r="AB7" s="3">
        <f>SUM(X7:AA7)</f>
        <v>-2430.0312426</v>
      </c>
      <c r="AC7" s="6">
        <f>IF(ISNA(MATCH(AC$2,Inputs!$K$4:$AJ$4,0)),NA(),IF(SUMPRODUCT((Inputs!$A$5:$A$170=$B7)*ISNUMBER(INDEX(Inputs!$K$5:$AJ$170,0,MATCH(AC$2,Inputs!$K$4:$AJ$4,0))))+SUMPRODUCT((Inputs!$C$5:$C$170=$B7)*ISNUMBER(INDEX(Inputs!$K$5:$AJ$170,0,MATCH(AC$2,Inputs!$K$4:$AJ$4,0))))+SUMPRODUCT((Inputs!$E$5:$E$170=$B7)*ISNUMBER(INDEX(Inputs!$K$5:$AJ$170,0,MATCH(AC$2,Inputs!$K$4:$AJ$4,0))))=0,NA(),SUMPRODUCT((Inputs!$A$5:$A$170=$B7)*Inputs!$B$5:$B$170*(((Inputs!$G$5:$G$170="moeda")+(Inputs!$G$5:$G$170="acoes"))*Inputs!$B$1+((Inputs!$G$5:$G$170&lt;&gt;"moeda")*(Inputs!$G$5:$G$170&lt;&gt;"acoes")))*INDEX(Inputs!$K$5:$AJ$170,0,MATCH(AC$2,Inputs!$K$4:$AJ$4,0)))+SUMPRODUCT((Inputs!$C$5:$C$170=$B7)*Inputs!$D$5:$D$170*(((Inputs!$G$5:$G$170="moeda")+(Inputs!$G$5:$G$170="acoes"))*Inputs!$B$1+((Inputs!$G$5:$G$170&lt;&gt;"moeda")*(Inputs!$G$5:$G$170&lt;&gt;"acoes")))*INDEX(Inputs!$K$5:$AJ$170,0,MATCH(AC$2,Inputs!$K$4:$AJ$4,0)))+SUMPRODUCT((Inputs!$E$5:$E$170=$B7)*Inputs!$F$5:$F$170*(((Inputs!$G$5:$G$170="moeda")+(Inputs!$G$5:$G$170="acoes"))*Inputs!$B$1+((Inputs!$G$5:$G$170&lt;&gt;"moeda")*(Inputs!$G$5:$G$170&lt;&gt;"acoes")))*INDEX(Inputs!$K$5:$AJ$170,0,MATCH(AC$2,Inputs!$K$4:$AJ$4,0)))))</f>
        <v>-650.5859214</v>
      </c>
      <c r="AD7" s="6">
        <f>IF(ISNA(MATCH(AD$2,Inputs!$K$4:$AJ$4,0)),NA(),IF(SUMPRODUCT((Inputs!$A$5:$A$170=$B7)*ISNUMBER(INDEX(Inputs!$K$5:$AJ$170,0,MATCH(AD$2,Inputs!$K$4:$AJ$4,0))))+SUMPRODUCT((Inputs!$C$5:$C$170=$B7)*ISNUMBER(INDEX(Inputs!$K$5:$AJ$170,0,MATCH(AD$2,Inputs!$K$4:$AJ$4,0))))+SUMPRODUCT((Inputs!$E$5:$E$170=$B7)*ISNUMBER(INDEX(Inputs!$K$5:$AJ$170,0,MATCH(AD$2,Inputs!$K$4:$AJ$4,0))))=0,NA(),SUMPRODUCT((Inputs!$A$5:$A$170=$B7)*Inputs!$B$5:$B$170*(((Inputs!$G$5:$G$170="moeda")+(Inputs!$G$5:$G$170="acoes"))*Inputs!$B$1+((Inputs!$G$5:$G$170&lt;&gt;"moeda")*(Inputs!$G$5:$G$170&lt;&gt;"acoes")))*INDEX(Inputs!$K$5:$AJ$170,0,MATCH(AD$2,Inputs!$K$4:$AJ$4,0)))+SUMPRODUCT((Inputs!$C$5:$C$170=$B7)*Inputs!$D$5:$D$170*(((Inputs!$G$5:$G$170="moeda")+(Inputs!$G$5:$G$170="acoes"))*Inputs!$B$1+((Inputs!$G$5:$G$170&lt;&gt;"moeda")*(Inputs!$G$5:$G$170&lt;&gt;"acoes")))*INDEX(Inputs!$K$5:$AJ$170,0,MATCH(AD$2,Inputs!$K$4:$AJ$4,0)))+SUMPRODUCT((Inputs!$E$5:$E$170=$B7)*Inputs!$F$5:$F$170*(((Inputs!$G$5:$G$170="moeda")+(Inputs!$G$5:$G$170="acoes"))*Inputs!$B$1+((Inputs!$G$5:$G$170&lt;&gt;"moeda")*(Inputs!$G$5:$G$170&lt;&gt;"acoes")))*INDEX(Inputs!$K$5:$AJ$170,0,MATCH(AD$2,Inputs!$K$4:$AJ$4,0)))))</f>
        <v>-671.5636214</v>
      </c>
      <c r="AE7" s="6" t="e">
        <f>IF(ISNA(MATCH(AE$2,Inputs!$K$4:$AJ$4,0)),NA(),IF(SUMPRODUCT((Inputs!$A$5:$A$170=$B7)*ISNUMBER(INDEX(Inputs!$K$5:$AJ$170,0,MATCH(AE$2,Inputs!$K$4:$AJ$4,0))))+SUMPRODUCT((Inputs!$C$5:$C$170=$B7)*ISNUMBER(INDEX(Inputs!$K$5:$AJ$170,0,MATCH(AE$2,Inputs!$K$4:$AJ$4,0))))+SUMPRODUCT((Inputs!$E$5:$E$170=$B7)*ISNUMBER(INDEX(Inputs!$K$5:$AJ$170,0,MATCH(AE$2,Inputs!$K$4:$AJ$4,0))))=0,NA(),SUMPRODUCT((Inputs!$A$5:$A$170=$B7)*Inputs!$B$5:$B$170*(((Inputs!$G$5:$G$170="moeda")+(Inputs!$G$5:$G$170="acoes"))*Inputs!$B$1+((Inputs!$G$5:$G$170&lt;&gt;"moeda")*(Inputs!$G$5:$G$170&lt;&gt;"acoes")))*INDEX(Inputs!$K$5:$AJ$170,0,MATCH(AE$2,Inputs!$K$4:$AJ$4,0)))+SUMPRODUCT((Inputs!$C$5:$C$170=$B7)*Inputs!$D$5:$D$170*(((Inputs!$G$5:$G$170="moeda")+(Inputs!$G$5:$G$170="acoes"))*Inputs!$B$1+((Inputs!$G$5:$G$170&lt;&gt;"moeda")*(Inputs!$G$5:$G$170&lt;&gt;"acoes")))*INDEX(Inputs!$K$5:$AJ$170,0,MATCH(AE$2,Inputs!$K$4:$AJ$4,0)))+SUMPRODUCT((Inputs!$E$5:$E$170=$B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" s="6" t="e">
        <f>IF(ISNA(MATCH(AF$2,Inputs!$K$4:$AJ$4,0)),NA(),IF(SUMPRODUCT((Inputs!$A$5:$A$170=$B7)*ISNUMBER(INDEX(Inputs!$K$5:$AJ$170,0,MATCH(AF$2,Inputs!$K$4:$AJ$4,0))))+SUMPRODUCT((Inputs!$C$5:$C$170=$B7)*ISNUMBER(INDEX(Inputs!$K$5:$AJ$170,0,MATCH(AF$2,Inputs!$K$4:$AJ$4,0))))+SUMPRODUCT((Inputs!$E$5:$E$170=$B7)*ISNUMBER(INDEX(Inputs!$K$5:$AJ$170,0,MATCH(AF$2,Inputs!$K$4:$AJ$4,0))))=0,NA(),SUMPRODUCT((Inputs!$A$5:$A$170=$B7)*Inputs!$B$5:$B$170*(((Inputs!$G$5:$G$170="moeda")+(Inputs!$G$5:$G$170="acoes"))*Inputs!$B$1+((Inputs!$G$5:$G$170&lt;&gt;"moeda")*(Inputs!$G$5:$G$170&lt;&gt;"acoes")))*INDEX(Inputs!$K$5:$AJ$170,0,MATCH(AF$2,Inputs!$K$4:$AJ$4,0)))+SUMPRODUCT((Inputs!$C$5:$C$170=$B7)*Inputs!$D$5:$D$170*(((Inputs!$G$5:$G$170="moeda")+(Inputs!$G$5:$G$170="acoes"))*Inputs!$B$1+((Inputs!$G$5:$G$170&lt;&gt;"moeda")*(Inputs!$G$5:$G$170&lt;&gt;"acoes")))*INDEX(Inputs!$K$5:$AJ$170,0,MATCH(AF$2,Inputs!$K$4:$AJ$4,0)))+SUMPRODUCT((Inputs!$E$5:$E$170=$B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" s="3" t="e">
        <f>SUM(AC7:AF7)</f>
        <v>#N/A</v>
      </c>
      <c r="AH7" s="6">
        <f>IF(ISNA(MATCH(AH$2,Inputs!$K$4:$AJ$4,0)),NA(),IF(SUMPRODUCT((Inputs!$A$5:$A$170=$B7)*ISNUMBER(INDEX(Inputs!$K$5:$AJ$170,0,MATCH(AH$2,Inputs!$K$4:$AJ$4,0))))+SUMPRODUCT((Inputs!$C$5:$C$170=$B7)*ISNUMBER(INDEX(Inputs!$K$5:$AJ$170,0,MATCH(AH$2,Inputs!$K$4:$AJ$4,0))))+SUMPRODUCT((Inputs!$E$5:$E$170=$B7)*ISNUMBER(INDEX(Inputs!$K$5:$AJ$170,0,MATCH(AH$2,Inputs!$K$4:$AJ$4,0))))=0,NA(),SUMPRODUCT((Inputs!$A$5:$A$170=$B7)*Inputs!$B$5:$B$170*(((Inputs!$G$5:$G$170="moeda")+(Inputs!$G$5:$G$170="acoes"))*Inputs!$B$1+((Inputs!$G$5:$G$170&lt;&gt;"moeda")*(Inputs!$G$5:$G$170&lt;&gt;"acoes")))*INDEX(Inputs!$K$5:$AJ$170,0,MATCH(AH$2,Inputs!$K$4:$AJ$4,0)))+SUMPRODUCT((Inputs!$C$5:$C$170=$B7)*Inputs!$D$5:$D$170*(((Inputs!$G$5:$G$170="moeda")+(Inputs!$G$5:$G$170="acoes"))*Inputs!$B$1+((Inputs!$G$5:$G$170&lt;&gt;"moeda")*(Inputs!$G$5:$G$170&lt;&gt;"acoes")))*INDEX(Inputs!$K$5:$AJ$170,0,MATCH(AH$2,Inputs!$K$4:$AJ$4,0)))+SUMPRODUCT((Inputs!$E$5:$E$170=$B7)*Inputs!$F$5:$F$170*(((Inputs!$G$5:$G$170="moeda")+(Inputs!$G$5:$G$170="acoes"))*Inputs!$B$1+((Inputs!$G$5:$G$170&lt;&gt;"moeda")*(Inputs!$G$5:$G$170&lt;&gt;"acoes")))*INDEX(Inputs!$K$5:$AJ$170,0,MATCH(AH$2,Inputs!$K$4:$AJ$4,0)))))</f>
        <v>-107.222</v>
      </c>
      <c r="AI7" s="6">
        <f>IF(ISNA(MATCH(AI$2,Inputs!$K$4:$AJ$4,0)),NA(),IF(SUMPRODUCT((Inputs!$A$5:$A$170=$B7)*ISNUMBER(INDEX(Inputs!$K$5:$AJ$170,0,MATCH(AI$2,Inputs!$K$4:$AJ$4,0))))+SUMPRODUCT((Inputs!$C$5:$C$170=$B7)*ISNUMBER(INDEX(Inputs!$K$5:$AJ$170,0,MATCH(AI$2,Inputs!$K$4:$AJ$4,0))))+SUMPRODUCT((Inputs!$E$5:$E$170=$B7)*ISNUMBER(INDEX(Inputs!$K$5:$AJ$170,0,MATCH(AI$2,Inputs!$K$4:$AJ$4,0))))=0,NA(),SUMPRODUCT((Inputs!$A$5:$A$170=$B7)*Inputs!$B$5:$B$170*(((Inputs!$G$5:$G$170="moeda")+(Inputs!$G$5:$G$170="acoes"))*Inputs!$B$1+((Inputs!$G$5:$G$170&lt;&gt;"moeda")*(Inputs!$G$5:$G$170&lt;&gt;"acoes")))*INDEX(Inputs!$K$5:$AJ$170,0,MATCH(AI$2,Inputs!$K$4:$AJ$4,0)))+SUMPRODUCT((Inputs!$C$5:$C$170=$B7)*Inputs!$D$5:$D$170*(((Inputs!$G$5:$G$170="moeda")+(Inputs!$G$5:$G$170="acoes"))*Inputs!$B$1+((Inputs!$G$5:$G$170&lt;&gt;"moeda")*(Inputs!$G$5:$G$170&lt;&gt;"acoes")))*INDEX(Inputs!$K$5:$AJ$170,0,MATCH(AI$2,Inputs!$K$4:$AJ$4,0)))+SUMPRODUCT((Inputs!$E$5:$E$170=$B7)*Inputs!$F$5:$F$170*(((Inputs!$G$5:$G$170="moeda")+(Inputs!$G$5:$G$170="acoes"))*Inputs!$B$1+((Inputs!$G$5:$G$170&lt;&gt;"moeda")*(Inputs!$G$5:$G$170&lt;&gt;"acoes")))*INDEX(Inputs!$K$5:$AJ$170,0,MATCH(AI$2,Inputs!$K$4:$AJ$4,0)))))</f>
        <v>-101.508</v>
      </c>
      <c r="AJ7" s="6">
        <f>IF(ISNA(MATCH(AJ$2,Inputs!$K$4:$AJ$4,0)),NA(),IF(SUMPRODUCT((Inputs!$A$5:$A$170=$B7)*ISNUMBER(INDEX(Inputs!$K$5:$AJ$170,0,MATCH(AJ$2,Inputs!$K$4:$AJ$4,0))))+SUMPRODUCT((Inputs!$C$5:$C$170=$B7)*ISNUMBER(INDEX(Inputs!$K$5:$AJ$170,0,MATCH(AJ$2,Inputs!$K$4:$AJ$4,0))))+SUMPRODUCT((Inputs!$E$5:$E$170=$B7)*ISNUMBER(INDEX(Inputs!$K$5:$AJ$170,0,MATCH(AJ$2,Inputs!$K$4:$AJ$4,0))))=0,NA(),SUMPRODUCT((Inputs!$A$5:$A$170=$B7)*Inputs!$B$5:$B$170*(((Inputs!$G$5:$G$170="moeda")+(Inputs!$G$5:$G$170="acoes"))*Inputs!$B$1+((Inputs!$G$5:$G$170&lt;&gt;"moeda")*(Inputs!$G$5:$G$170&lt;&gt;"acoes")))*INDEX(Inputs!$K$5:$AJ$170,0,MATCH(AJ$2,Inputs!$K$4:$AJ$4,0)))+SUMPRODUCT((Inputs!$C$5:$C$170=$B7)*Inputs!$D$5:$D$170*(((Inputs!$G$5:$G$170="moeda")+(Inputs!$G$5:$G$170="acoes"))*Inputs!$B$1+((Inputs!$G$5:$G$170&lt;&gt;"moeda")*(Inputs!$G$5:$G$170&lt;&gt;"acoes")))*INDEX(Inputs!$K$5:$AJ$170,0,MATCH(AJ$2,Inputs!$K$4:$AJ$4,0)))+SUMPRODUCT((Inputs!$E$5:$E$170=$B7)*Inputs!$F$5:$F$170*(((Inputs!$G$5:$G$170="moeda")+(Inputs!$G$5:$G$170="acoes"))*Inputs!$B$1+((Inputs!$G$5:$G$170&lt;&gt;"moeda")*(Inputs!$G$5:$G$170&lt;&gt;"acoes")))*INDEX(Inputs!$K$5:$AJ$170,0,MATCH(AJ$2,Inputs!$K$4:$AJ$4,0)))))</f>
        <v>-119.025</v>
      </c>
      <c r="AK7" s="6">
        <f>IF(ISNA(MATCH(AK$2,Inputs!$K$4:$AJ$4,0)),NA(),IF(SUMPRODUCT((Inputs!$A$5:$A$170=$B7)*ISNUMBER(INDEX(Inputs!$K$5:$AJ$170,0,MATCH(AK$2,Inputs!$K$4:$AJ$4,0))))+SUMPRODUCT((Inputs!$C$5:$C$170=$B7)*ISNUMBER(INDEX(Inputs!$K$5:$AJ$170,0,MATCH(AK$2,Inputs!$K$4:$AJ$4,0))))+SUMPRODUCT((Inputs!$E$5:$E$170=$B7)*ISNUMBER(INDEX(Inputs!$K$5:$AJ$170,0,MATCH(AK$2,Inputs!$K$4:$AJ$4,0))))=0,NA(),SUMPRODUCT((Inputs!$A$5:$A$170=$B7)*Inputs!$B$5:$B$170*(((Inputs!$G$5:$G$170="moeda")+(Inputs!$G$5:$G$170="acoes"))*Inputs!$B$1+((Inputs!$G$5:$G$170&lt;&gt;"moeda")*(Inputs!$G$5:$G$170&lt;&gt;"acoes")))*INDEX(Inputs!$K$5:$AJ$170,0,MATCH(AK$2,Inputs!$K$4:$AJ$4,0)))+SUMPRODUCT((Inputs!$C$5:$C$170=$B7)*Inputs!$D$5:$D$170*(((Inputs!$G$5:$G$170="moeda")+(Inputs!$G$5:$G$170="acoes"))*Inputs!$B$1+((Inputs!$G$5:$G$170&lt;&gt;"moeda")*(Inputs!$G$5:$G$170&lt;&gt;"acoes")))*INDEX(Inputs!$K$5:$AJ$170,0,MATCH(AK$2,Inputs!$K$4:$AJ$4,0)))+SUMPRODUCT((Inputs!$E$5:$E$170=$B7)*Inputs!$F$5:$F$170*(((Inputs!$G$5:$G$170="moeda")+(Inputs!$G$5:$G$170="acoes"))*Inputs!$B$1+((Inputs!$G$5:$G$170&lt;&gt;"moeda")*(Inputs!$G$5:$G$170&lt;&gt;"acoes")))*INDEX(Inputs!$K$5:$AJ$170,0,MATCH(AK$2,Inputs!$K$4:$AJ$4,0)))))</f>
        <v>-85.125</v>
      </c>
      <c r="AL7" s="3">
        <f>SUM(AH7:AK7)</f>
        <v>-412.88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$170=$B8)*ISNUMBER(INDEX(Inputs!$K$5:$AJ$170,0,MATCH(D$2,Inputs!$K$4:$AJ$4,0))))+SUMPRODUCT((Inputs!$C$5:$C$170=$B8)*ISNUMBER(INDEX(Inputs!$K$5:$AJ$170,0,MATCH(D$2,Inputs!$K$4:$AJ$4,0))))+SUMPRODUCT((Inputs!$E$5:$E$170=$B8)*ISNUMBER(INDEX(Inputs!$K$5:$AJ$170,0,MATCH(D$2,Inputs!$K$4:$AJ$4,0))))=0,NA(),SUMPRODUCT((Inputs!$A$5:$A$170=$B8)*Inputs!$B$5:$B$170*(((Inputs!$G$5:$G$170="moeda")+(Inputs!$G$5:$G$170="acoes"))*Inputs!$B$1+((Inputs!$G$5:$G$170&lt;&gt;"moeda")*(Inputs!$G$5:$G$170&lt;&gt;"acoes")))*INDEX(Inputs!$K$5:$AJ$170,0,MATCH(D$2,Inputs!$K$4:$AJ$4,0)))+SUMPRODUCT((Inputs!$C$5:$C$170=$B8)*Inputs!$D$5:$D$170*(((Inputs!$G$5:$G$170="moeda")+(Inputs!$G$5:$G$170="acoes"))*Inputs!$B$1+((Inputs!$G$5:$G$170&lt;&gt;"moeda")*(Inputs!$G$5:$G$170&lt;&gt;"acoes")))*INDEX(Inputs!$K$5:$AJ$170,0,MATCH(D$2,Inputs!$K$4:$AJ$4,0)))+SUMPRODUCT((Inputs!$E$5:$E$170=$B8)*Inputs!$F$5:$F$170*(((Inputs!$G$5:$G$170="moeda")+(Inputs!$G$5:$G$170="acoes"))*Inputs!$B$1+((Inputs!$G$5:$G$170&lt;&gt;"moeda")*(Inputs!$G$5:$G$170&lt;&gt;"acoes")))*INDEX(Inputs!$K$5:$AJ$170,0,MATCH(D$2,Inputs!$K$4:$AJ$4,0)))))</f>
        <v>-265.184</v>
      </c>
      <c r="E8" s="6">
        <f>IF(ISNA(MATCH(E$2,Inputs!$K$4:$AJ$4,0)),NA(),IF(SUMPRODUCT((Inputs!$A$5:$A$170=$B8)*ISNUMBER(INDEX(Inputs!$K$5:$AJ$170,0,MATCH(E$2,Inputs!$K$4:$AJ$4,0))))+SUMPRODUCT((Inputs!$C$5:$C$170=$B8)*ISNUMBER(INDEX(Inputs!$K$5:$AJ$170,0,MATCH(E$2,Inputs!$K$4:$AJ$4,0))))+SUMPRODUCT((Inputs!$E$5:$E$170=$B8)*ISNUMBER(INDEX(Inputs!$K$5:$AJ$170,0,MATCH(E$2,Inputs!$K$4:$AJ$4,0))))=0,NA(),SUMPRODUCT((Inputs!$A$5:$A$170=$B8)*Inputs!$B$5:$B$170*(((Inputs!$G$5:$G$170="moeda")+(Inputs!$G$5:$G$170="acoes"))*Inputs!$B$1+((Inputs!$G$5:$G$170&lt;&gt;"moeda")*(Inputs!$G$5:$G$170&lt;&gt;"acoes")))*INDEX(Inputs!$K$5:$AJ$170,0,MATCH(E$2,Inputs!$K$4:$AJ$4,0)))+SUMPRODUCT((Inputs!$C$5:$C$170=$B8)*Inputs!$D$5:$D$170*(((Inputs!$G$5:$G$170="moeda")+(Inputs!$G$5:$G$170="acoes"))*Inputs!$B$1+((Inputs!$G$5:$G$170&lt;&gt;"moeda")*(Inputs!$G$5:$G$170&lt;&gt;"acoes")))*INDEX(Inputs!$K$5:$AJ$170,0,MATCH(E$2,Inputs!$K$4:$AJ$4,0)))+SUMPRODUCT((Inputs!$E$5:$E$170=$B8)*Inputs!$F$5:$F$170*(((Inputs!$G$5:$G$170="moeda")+(Inputs!$G$5:$G$170="acoes"))*Inputs!$B$1+((Inputs!$G$5:$G$170&lt;&gt;"moeda")*(Inputs!$G$5:$G$170&lt;&gt;"acoes")))*INDEX(Inputs!$K$5:$AJ$170,0,MATCH(E$2,Inputs!$K$4:$AJ$4,0)))))</f>
        <v>239.899</v>
      </c>
      <c r="F8" s="6">
        <f>IF(ISNA(MATCH(F$2,Inputs!$K$4:$AJ$4,0)),NA(),IF(SUMPRODUCT((Inputs!$A$5:$A$170=$B8)*ISNUMBER(INDEX(Inputs!$K$5:$AJ$170,0,MATCH(F$2,Inputs!$K$4:$AJ$4,0))))+SUMPRODUCT((Inputs!$C$5:$C$170=$B8)*ISNUMBER(INDEX(Inputs!$K$5:$AJ$170,0,MATCH(F$2,Inputs!$K$4:$AJ$4,0))))+SUMPRODUCT((Inputs!$E$5:$E$170=$B8)*ISNUMBER(INDEX(Inputs!$K$5:$AJ$170,0,MATCH(F$2,Inputs!$K$4:$AJ$4,0))))=0,NA(),SUMPRODUCT((Inputs!$A$5:$A$170=$B8)*Inputs!$B$5:$B$170*(((Inputs!$G$5:$G$170="moeda")+(Inputs!$G$5:$G$170="acoes"))*Inputs!$B$1+((Inputs!$G$5:$G$170&lt;&gt;"moeda")*(Inputs!$G$5:$G$170&lt;&gt;"acoes")))*INDEX(Inputs!$K$5:$AJ$170,0,MATCH(F$2,Inputs!$K$4:$AJ$4,0)))+SUMPRODUCT((Inputs!$C$5:$C$170=$B8)*Inputs!$D$5:$D$170*(((Inputs!$G$5:$G$170="moeda")+(Inputs!$G$5:$G$170="acoes"))*Inputs!$B$1+((Inputs!$G$5:$G$170&lt;&gt;"moeda")*(Inputs!$G$5:$G$170&lt;&gt;"acoes")))*INDEX(Inputs!$K$5:$AJ$170,0,MATCH(F$2,Inputs!$K$4:$AJ$4,0)))+SUMPRODUCT((Inputs!$E$5:$E$170=$B8)*Inputs!$F$5:$F$170*(((Inputs!$G$5:$G$170="moeda")+(Inputs!$G$5:$G$170="acoes"))*Inputs!$B$1+((Inputs!$G$5:$G$170&lt;&gt;"moeda")*(Inputs!$G$5:$G$170&lt;&gt;"acoes")))*INDEX(Inputs!$K$5:$AJ$170,0,MATCH(F$2,Inputs!$K$4:$AJ$4,0)))))</f>
        <v>-342.257</v>
      </c>
      <c r="G8" s="6">
        <f>IF(ISNA(MATCH(G$2,Inputs!$K$4:$AJ$4,0)),NA(),IF(SUMPRODUCT((Inputs!$A$5:$A$170=$B8)*ISNUMBER(INDEX(Inputs!$K$5:$AJ$170,0,MATCH(G$2,Inputs!$K$4:$AJ$4,0))))+SUMPRODUCT((Inputs!$C$5:$C$170=$B8)*ISNUMBER(INDEX(Inputs!$K$5:$AJ$170,0,MATCH(G$2,Inputs!$K$4:$AJ$4,0))))+SUMPRODUCT((Inputs!$E$5:$E$170=$B8)*ISNUMBER(INDEX(Inputs!$K$5:$AJ$170,0,MATCH(G$2,Inputs!$K$4:$AJ$4,0))))=0,NA(),SUMPRODUCT((Inputs!$A$5:$A$170=$B8)*Inputs!$B$5:$B$170*(((Inputs!$G$5:$G$170="moeda")+(Inputs!$G$5:$G$170="acoes"))*Inputs!$B$1+((Inputs!$G$5:$G$170&lt;&gt;"moeda")*(Inputs!$G$5:$G$170&lt;&gt;"acoes")))*INDEX(Inputs!$K$5:$AJ$170,0,MATCH(G$2,Inputs!$K$4:$AJ$4,0)))+SUMPRODUCT((Inputs!$C$5:$C$170=$B8)*Inputs!$D$5:$D$170*(((Inputs!$G$5:$G$170="moeda")+(Inputs!$G$5:$G$170="acoes"))*Inputs!$B$1+((Inputs!$G$5:$G$170&lt;&gt;"moeda")*(Inputs!$G$5:$G$170&lt;&gt;"acoes")))*INDEX(Inputs!$K$5:$AJ$170,0,MATCH(G$2,Inputs!$K$4:$AJ$4,0)))+SUMPRODUCT((Inputs!$E$5:$E$170=$B8)*Inputs!$F$5:$F$170*(((Inputs!$G$5:$G$170="moeda")+(Inputs!$G$5:$G$170="acoes"))*Inputs!$B$1+((Inputs!$G$5:$G$170&lt;&gt;"moeda")*(Inputs!$G$5:$G$170&lt;&gt;"acoes")))*INDEX(Inputs!$K$5:$AJ$170,0,MATCH(G$2,Inputs!$K$4:$AJ$4,0)))))</f>
        <v>-591.177</v>
      </c>
      <c r="H8" s="3">
        <f>SUM(D8:G8)</f>
        <v>-958.719</v>
      </c>
      <c r="I8" s="6">
        <f>IF(ISNA(MATCH(I$2,Inputs!$K$4:$AJ$4,0)),NA(),IF(SUMPRODUCT((Inputs!$A$5:$A$170=$B8)*ISNUMBER(INDEX(Inputs!$K$5:$AJ$170,0,MATCH(I$2,Inputs!$K$4:$AJ$4,0))))+SUMPRODUCT((Inputs!$C$5:$C$170=$B8)*ISNUMBER(INDEX(Inputs!$K$5:$AJ$170,0,MATCH(I$2,Inputs!$K$4:$AJ$4,0))))+SUMPRODUCT((Inputs!$E$5:$E$170=$B8)*ISNUMBER(INDEX(Inputs!$K$5:$AJ$170,0,MATCH(I$2,Inputs!$K$4:$AJ$4,0))))=0,NA(),SUMPRODUCT((Inputs!$A$5:$A$170=$B8)*Inputs!$B$5:$B$170*(((Inputs!$G$5:$G$170="moeda")+(Inputs!$G$5:$G$170="acoes"))*Inputs!$B$1+((Inputs!$G$5:$G$170&lt;&gt;"moeda")*(Inputs!$G$5:$G$170&lt;&gt;"acoes")))*INDEX(Inputs!$K$5:$AJ$170,0,MATCH(I$2,Inputs!$K$4:$AJ$4,0)))+SUMPRODUCT((Inputs!$C$5:$C$170=$B8)*Inputs!$D$5:$D$170*(((Inputs!$G$5:$G$170="moeda")+(Inputs!$G$5:$G$170="acoes"))*Inputs!$B$1+((Inputs!$G$5:$G$170&lt;&gt;"moeda")*(Inputs!$G$5:$G$170&lt;&gt;"acoes")))*INDEX(Inputs!$K$5:$AJ$170,0,MATCH(I$2,Inputs!$K$4:$AJ$4,0)))+SUMPRODUCT((Inputs!$E$5:$E$170=$B8)*Inputs!$F$5:$F$170*(((Inputs!$G$5:$G$170="moeda")+(Inputs!$G$5:$G$170="acoes"))*Inputs!$B$1+((Inputs!$G$5:$G$170&lt;&gt;"moeda")*(Inputs!$G$5:$G$170&lt;&gt;"acoes")))*INDEX(Inputs!$K$5:$AJ$170,0,MATCH(I$2,Inputs!$K$4:$AJ$4,0)))))</f>
        <v>-394.958</v>
      </c>
      <c r="J8" s="6">
        <f>IF(ISNA(MATCH(J$2,Inputs!$K$4:$AJ$4,0)),NA(),IF(SUMPRODUCT((Inputs!$A$5:$A$170=$B8)*ISNUMBER(INDEX(Inputs!$K$5:$AJ$170,0,MATCH(J$2,Inputs!$K$4:$AJ$4,0))))+SUMPRODUCT((Inputs!$C$5:$C$170=$B8)*ISNUMBER(INDEX(Inputs!$K$5:$AJ$170,0,MATCH(J$2,Inputs!$K$4:$AJ$4,0))))+SUMPRODUCT((Inputs!$E$5:$E$170=$B8)*ISNUMBER(INDEX(Inputs!$K$5:$AJ$170,0,MATCH(J$2,Inputs!$K$4:$AJ$4,0))))=0,NA(),SUMPRODUCT((Inputs!$A$5:$A$170=$B8)*Inputs!$B$5:$B$170*(((Inputs!$G$5:$G$170="moeda")+(Inputs!$G$5:$G$170="acoes"))*Inputs!$B$1+((Inputs!$G$5:$G$170&lt;&gt;"moeda")*(Inputs!$G$5:$G$170&lt;&gt;"acoes")))*INDEX(Inputs!$K$5:$AJ$170,0,MATCH(J$2,Inputs!$K$4:$AJ$4,0)))+SUMPRODUCT((Inputs!$C$5:$C$170=$B8)*Inputs!$D$5:$D$170*(((Inputs!$G$5:$G$170="moeda")+(Inputs!$G$5:$G$170="acoes"))*Inputs!$B$1+((Inputs!$G$5:$G$170&lt;&gt;"moeda")*(Inputs!$G$5:$G$170&lt;&gt;"acoes")))*INDEX(Inputs!$K$5:$AJ$170,0,MATCH(J$2,Inputs!$K$4:$AJ$4,0)))+SUMPRODUCT((Inputs!$E$5:$E$170=$B8)*Inputs!$F$5:$F$170*(((Inputs!$G$5:$G$170="moeda")+(Inputs!$G$5:$G$170="acoes"))*Inputs!$B$1+((Inputs!$G$5:$G$170&lt;&gt;"moeda")*(Inputs!$G$5:$G$170&lt;&gt;"acoes")))*INDEX(Inputs!$K$5:$AJ$170,0,MATCH(J$2,Inputs!$K$4:$AJ$4,0)))))</f>
        <v>-515.803</v>
      </c>
      <c r="K8" s="6">
        <f>IF(ISNA(MATCH(K$2,Inputs!$K$4:$AJ$4,0)),NA(),IF(SUMPRODUCT((Inputs!$A$5:$A$170=$B8)*ISNUMBER(INDEX(Inputs!$K$5:$AJ$170,0,MATCH(K$2,Inputs!$K$4:$AJ$4,0))))+SUMPRODUCT((Inputs!$C$5:$C$170=$B8)*ISNUMBER(INDEX(Inputs!$K$5:$AJ$170,0,MATCH(K$2,Inputs!$K$4:$AJ$4,0))))+SUMPRODUCT((Inputs!$E$5:$E$170=$B8)*ISNUMBER(INDEX(Inputs!$K$5:$AJ$170,0,MATCH(K$2,Inputs!$K$4:$AJ$4,0))))=0,NA(),SUMPRODUCT((Inputs!$A$5:$A$170=$B8)*Inputs!$B$5:$B$170*(((Inputs!$G$5:$G$170="moeda")+(Inputs!$G$5:$G$170="acoes"))*Inputs!$B$1+((Inputs!$G$5:$G$170&lt;&gt;"moeda")*(Inputs!$G$5:$G$170&lt;&gt;"acoes")))*INDEX(Inputs!$K$5:$AJ$170,0,MATCH(K$2,Inputs!$K$4:$AJ$4,0)))+SUMPRODUCT((Inputs!$C$5:$C$170=$B8)*Inputs!$D$5:$D$170*(((Inputs!$G$5:$G$170="moeda")+(Inputs!$G$5:$G$170="acoes"))*Inputs!$B$1+((Inputs!$G$5:$G$170&lt;&gt;"moeda")*(Inputs!$G$5:$G$170&lt;&gt;"acoes")))*INDEX(Inputs!$K$5:$AJ$170,0,MATCH(K$2,Inputs!$K$4:$AJ$4,0)))+SUMPRODUCT((Inputs!$E$5:$E$170=$B8)*Inputs!$F$5:$F$170*(((Inputs!$G$5:$G$170="moeda")+(Inputs!$G$5:$G$170="acoes"))*Inputs!$B$1+((Inputs!$G$5:$G$170&lt;&gt;"moeda")*(Inputs!$G$5:$G$170&lt;&gt;"acoes")))*INDEX(Inputs!$K$5:$AJ$170,0,MATCH(K$2,Inputs!$K$4:$AJ$4,0)))))</f>
        <v>-637.391</v>
      </c>
      <c r="L8" s="6">
        <f>IF(ISNA(MATCH(L$2,Inputs!$K$4:$AJ$4,0)),NA(),IF(SUMPRODUCT((Inputs!$A$5:$A$170=$B8)*ISNUMBER(INDEX(Inputs!$K$5:$AJ$170,0,MATCH(L$2,Inputs!$K$4:$AJ$4,0))))+SUMPRODUCT((Inputs!$C$5:$C$170=$B8)*ISNUMBER(INDEX(Inputs!$K$5:$AJ$170,0,MATCH(L$2,Inputs!$K$4:$AJ$4,0))))+SUMPRODUCT((Inputs!$E$5:$E$170=$B8)*ISNUMBER(INDEX(Inputs!$K$5:$AJ$170,0,MATCH(L$2,Inputs!$K$4:$AJ$4,0))))=0,NA(),SUMPRODUCT((Inputs!$A$5:$A$170=$B8)*Inputs!$B$5:$B$170*(((Inputs!$G$5:$G$170="moeda")+(Inputs!$G$5:$G$170="acoes"))*Inputs!$B$1+((Inputs!$G$5:$G$170&lt;&gt;"moeda")*(Inputs!$G$5:$G$170&lt;&gt;"acoes")))*INDEX(Inputs!$K$5:$AJ$170,0,MATCH(L$2,Inputs!$K$4:$AJ$4,0)))+SUMPRODUCT((Inputs!$C$5:$C$170=$B8)*Inputs!$D$5:$D$170*(((Inputs!$G$5:$G$170="moeda")+(Inputs!$G$5:$G$170="acoes"))*Inputs!$B$1+((Inputs!$G$5:$G$170&lt;&gt;"moeda")*(Inputs!$G$5:$G$170&lt;&gt;"acoes")))*INDEX(Inputs!$K$5:$AJ$170,0,MATCH(L$2,Inputs!$K$4:$AJ$4,0)))+SUMPRODUCT((Inputs!$E$5:$E$170=$B8)*Inputs!$F$5:$F$170*(((Inputs!$G$5:$G$170="moeda")+(Inputs!$G$5:$G$170="acoes"))*Inputs!$B$1+((Inputs!$G$5:$G$170&lt;&gt;"moeda")*(Inputs!$G$5:$G$170&lt;&gt;"acoes")))*INDEX(Inputs!$K$5:$AJ$170,0,MATCH(L$2,Inputs!$K$4:$AJ$4,0)))))</f>
        <v>-662.277</v>
      </c>
      <c r="M8" s="3">
        <f>SUM(I8:L8)</f>
        <v>-2210.429</v>
      </c>
      <c r="N8" s="6">
        <f>IF(ISNA(MATCH(N$2,Inputs!$K$4:$AJ$4,0)),NA(),IF(SUMPRODUCT((Inputs!$A$5:$A$170=$B8)*ISNUMBER(INDEX(Inputs!$K$5:$AJ$170,0,MATCH(N$2,Inputs!$K$4:$AJ$4,0))))+SUMPRODUCT((Inputs!$C$5:$C$170=$B8)*ISNUMBER(INDEX(Inputs!$K$5:$AJ$170,0,MATCH(N$2,Inputs!$K$4:$AJ$4,0))))+SUMPRODUCT((Inputs!$E$5:$E$170=$B8)*ISNUMBER(INDEX(Inputs!$K$5:$AJ$170,0,MATCH(N$2,Inputs!$K$4:$AJ$4,0))))=0,NA(),SUMPRODUCT((Inputs!$A$5:$A$170=$B8)*Inputs!$B$5:$B$170*(((Inputs!$G$5:$G$170="moeda")+(Inputs!$G$5:$G$170="acoes"))*Inputs!$B$1+((Inputs!$G$5:$G$170&lt;&gt;"moeda")*(Inputs!$G$5:$G$170&lt;&gt;"acoes")))*INDEX(Inputs!$K$5:$AJ$170,0,MATCH(N$2,Inputs!$K$4:$AJ$4,0)))+SUMPRODUCT((Inputs!$C$5:$C$170=$B8)*Inputs!$D$5:$D$170*(((Inputs!$G$5:$G$170="moeda")+(Inputs!$G$5:$G$170="acoes"))*Inputs!$B$1+((Inputs!$G$5:$G$170&lt;&gt;"moeda")*(Inputs!$G$5:$G$170&lt;&gt;"acoes")))*INDEX(Inputs!$K$5:$AJ$170,0,MATCH(N$2,Inputs!$K$4:$AJ$4,0)))+SUMPRODUCT((Inputs!$E$5:$E$170=$B8)*Inputs!$F$5:$F$170*(((Inputs!$G$5:$G$170="moeda")+(Inputs!$G$5:$G$170="acoes"))*Inputs!$B$1+((Inputs!$G$5:$G$170&lt;&gt;"moeda")*(Inputs!$G$5:$G$170&lt;&gt;"acoes")))*INDEX(Inputs!$K$5:$AJ$170,0,MATCH(N$2,Inputs!$K$4:$AJ$4,0)))))</f>
        <v>-615.278</v>
      </c>
      <c r="O8" s="6">
        <f>IF(ISNA(MATCH(O$2,Inputs!$K$4:$AJ$4,0)),NA(),IF(SUMPRODUCT((Inputs!$A$5:$A$170=$B8)*ISNUMBER(INDEX(Inputs!$K$5:$AJ$170,0,MATCH(O$2,Inputs!$K$4:$AJ$4,0))))+SUMPRODUCT((Inputs!$C$5:$C$170=$B8)*ISNUMBER(INDEX(Inputs!$K$5:$AJ$170,0,MATCH(O$2,Inputs!$K$4:$AJ$4,0))))+SUMPRODUCT((Inputs!$E$5:$E$170=$B8)*ISNUMBER(INDEX(Inputs!$K$5:$AJ$170,0,MATCH(O$2,Inputs!$K$4:$AJ$4,0))))=0,NA(),SUMPRODUCT((Inputs!$A$5:$A$170=$B8)*Inputs!$B$5:$B$170*(((Inputs!$G$5:$G$170="moeda")+(Inputs!$G$5:$G$170="acoes"))*Inputs!$B$1+((Inputs!$G$5:$G$170&lt;&gt;"moeda")*(Inputs!$G$5:$G$170&lt;&gt;"acoes")))*INDEX(Inputs!$K$5:$AJ$170,0,MATCH(O$2,Inputs!$K$4:$AJ$4,0)))+SUMPRODUCT((Inputs!$C$5:$C$170=$B8)*Inputs!$D$5:$D$170*(((Inputs!$G$5:$G$170="moeda")+(Inputs!$G$5:$G$170="acoes"))*Inputs!$B$1+((Inputs!$G$5:$G$170&lt;&gt;"moeda")*(Inputs!$G$5:$G$170&lt;&gt;"acoes")))*INDEX(Inputs!$K$5:$AJ$170,0,MATCH(O$2,Inputs!$K$4:$AJ$4,0)))+SUMPRODUCT((Inputs!$E$5:$E$170=$B8)*Inputs!$F$5:$F$170*(((Inputs!$G$5:$G$170="moeda")+(Inputs!$G$5:$G$170="acoes"))*Inputs!$B$1+((Inputs!$G$5:$G$170&lt;&gt;"moeda")*(Inputs!$G$5:$G$170&lt;&gt;"acoes")))*INDEX(Inputs!$K$5:$AJ$170,0,MATCH(O$2,Inputs!$K$4:$AJ$4,0)))))</f>
        <v>-551.559</v>
      </c>
      <c r="P8" s="6">
        <f>IF(ISNA(MATCH(P$2,Inputs!$K$4:$AJ$4,0)),NA(),IF(SUMPRODUCT((Inputs!$A$5:$A$170=$B8)*ISNUMBER(INDEX(Inputs!$K$5:$AJ$170,0,MATCH(P$2,Inputs!$K$4:$AJ$4,0))))+SUMPRODUCT((Inputs!$C$5:$C$170=$B8)*ISNUMBER(INDEX(Inputs!$K$5:$AJ$170,0,MATCH(P$2,Inputs!$K$4:$AJ$4,0))))+SUMPRODUCT((Inputs!$E$5:$E$170=$B8)*ISNUMBER(INDEX(Inputs!$K$5:$AJ$170,0,MATCH(P$2,Inputs!$K$4:$AJ$4,0))))=0,NA(),SUMPRODUCT((Inputs!$A$5:$A$170=$B8)*Inputs!$B$5:$B$170*(((Inputs!$G$5:$G$170="moeda")+(Inputs!$G$5:$G$170="acoes"))*Inputs!$B$1+((Inputs!$G$5:$G$170&lt;&gt;"moeda")*(Inputs!$G$5:$G$170&lt;&gt;"acoes")))*INDEX(Inputs!$K$5:$AJ$170,0,MATCH(P$2,Inputs!$K$4:$AJ$4,0)))+SUMPRODUCT((Inputs!$C$5:$C$170=$B8)*Inputs!$D$5:$D$170*(((Inputs!$G$5:$G$170="moeda")+(Inputs!$G$5:$G$170="acoes"))*Inputs!$B$1+((Inputs!$G$5:$G$170&lt;&gt;"moeda")*(Inputs!$G$5:$G$170&lt;&gt;"acoes")))*INDEX(Inputs!$K$5:$AJ$170,0,MATCH(P$2,Inputs!$K$4:$AJ$4,0)))+SUMPRODUCT((Inputs!$E$5:$E$170=$B8)*Inputs!$F$5:$F$170*(((Inputs!$G$5:$G$170="moeda")+(Inputs!$G$5:$G$170="acoes"))*Inputs!$B$1+((Inputs!$G$5:$G$170&lt;&gt;"moeda")*(Inputs!$G$5:$G$170&lt;&gt;"acoes")))*INDEX(Inputs!$K$5:$AJ$170,0,MATCH(P$2,Inputs!$K$4:$AJ$4,0)))))</f>
        <v>-590.177</v>
      </c>
      <c r="Q8" s="6">
        <f>IF(ISNA(MATCH(Q$2,Inputs!$K$4:$AJ$4,0)),NA(),IF(SUMPRODUCT((Inputs!$A$5:$A$170=$B8)*ISNUMBER(INDEX(Inputs!$K$5:$AJ$170,0,MATCH(Q$2,Inputs!$K$4:$AJ$4,0))))+SUMPRODUCT((Inputs!$C$5:$C$170=$B8)*ISNUMBER(INDEX(Inputs!$K$5:$AJ$170,0,MATCH(Q$2,Inputs!$K$4:$AJ$4,0))))+SUMPRODUCT((Inputs!$E$5:$E$170=$B8)*ISNUMBER(INDEX(Inputs!$K$5:$AJ$170,0,MATCH(Q$2,Inputs!$K$4:$AJ$4,0))))=0,NA(),SUMPRODUCT((Inputs!$A$5:$A$170=$B8)*Inputs!$B$5:$B$170*(((Inputs!$G$5:$G$170="moeda")+(Inputs!$G$5:$G$170="acoes"))*Inputs!$B$1+((Inputs!$G$5:$G$170&lt;&gt;"moeda")*(Inputs!$G$5:$G$170&lt;&gt;"acoes")))*INDEX(Inputs!$K$5:$AJ$170,0,MATCH(Q$2,Inputs!$K$4:$AJ$4,0)))+SUMPRODUCT((Inputs!$C$5:$C$170=$B8)*Inputs!$D$5:$D$170*(((Inputs!$G$5:$G$170="moeda")+(Inputs!$G$5:$G$170="acoes"))*Inputs!$B$1+((Inputs!$G$5:$G$170&lt;&gt;"moeda")*(Inputs!$G$5:$G$170&lt;&gt;"acoes")))*INDEX(Inputs!$K$5:$AJ$170,0,MATCH(Q$2,Inputs!$K$4:$AJ$4,0)))+SUMPRODUCT((Inputs!$E$5:$E$170=$B8)*Inputs!$F$5:$F$170*(((Inputs!$G$5:$G$170="moeda")+(Inputs!$G$5:$G$170="acoes"))*Inputs!$B$1+((Inputs!$G$5:$G$170&lt;&gt;"moeda")*(Inputs!$G$5:$G$170&lt;&gt;"acoes")))*INDEX(Inputs!$K$5:$AJ$170,0,MATCH(Q$2,Inputs!$K$4:$AJ$4,0)))))</f>
        <v>-614.436</v>
      </c>
      <c r="R8" s="3">
        <f>SUM(N8:Q8)</f>
        <v>-2371.45</v>
      </c>
      <c r="S8" s="6">
        <f>IF(ISNA(MATCH(S$2,Inputs!$K$4:$AJ$4,0)),NA(),IF(SUMPRODUCT((Inputs!$A$5:$A$170=$B8)*ISNUMBER(INDEX(Inputs!$K$5:$AJ$170,0,MATCH(S$2,Inputs!$K$4:$AJ$4,0))))+SUMPRODUCT((Inputs!$C$5:$C$170=$B8)*ISNUMBER(INDEX(Inputs!$K$5:$AJ$170,0,MATCH(S$2,Inputs!$K$4:$AJ$4,0))))+SUMPRODUCT((Inputs!$E$5:$E$170=$B8)*ISNUMBER(INDEX(Inputs!$K$5:$AJ$170,0,MATCH(S$2,Inputs!$K$4:$AJ$4,0))))=0,NA(),SUMPRODUCT((Inputs!$A$5:$A$170=$B8)*Inputs!$B$5:$B$170*(((Inputs!$G$5:$G$170="moeda")+(Inputs!$G$5:$G$170="acoes"))*Inputs!$B$1+((Inputs!$G$5:$G$170&lt;&gt;"moeda")*(Inputs!$G$5:$G$170&lt;&gt;"acoes")))*INDEX(Inputs!$K$5:$AJ$170,0,MATCH(S$2,Inputs!$K$4:$AJ$4,0)))+SUMPRODUCT((Inputs!$C$5:$C$170=$B8)*Inputs!$D$5:$D$170*(((Inputs!$G$5:$G$170="moeda")+(Inputs!$G$5:$G$170="acoes"))*Inputs!$B$1+((Inputs!$G$5:$G$170&lt;&gt;"moeda")*(Inputs!$G$5:$G$170&lt;&gt;"acoes")))*INDEX(Inputs!$K$5:$AJ$170,0,MATCH(S$2,Inputs!$K$4:$AJ$4,0)))+SUMPRODUCT((Inputs!$E$5:$E$170=$B8)*Inputs!$F$5:$F$170*(((Inputs!$G$5:$G$170="moeda")+(Inputs!$G$5:$G$170="acoes"))*Inputs!$B$1+((Inputs!$G$5:$G$170&lt;&gt;"moeda")*(Inputs!$G$5:$G$170&lt;&gt;"acoes")))*INDEX(Inputs!$K$5:$AJ$170,0,MATCH(S$2,Inputs!$K$4:$AJ$4,0)))))</f>
        <v>-627.625</v>
      </c>
      <c r="T8" s="6">
        <f>IF(ISNA(MATCH(T$2,Inputs!$K$4:$AJ$4,0)),NA(),IF(SUMPRODUCT((Inputs!$A$5:$A$170=$B8)*ISNUMBER(INDEX(Inputs!$K$5:$AJ$170,0,MATCH(T$2,Inputs!$K$4:$AJ$4,0))))+SUMPRODUCT((Inputs!$C$5:$C$170=$B8)*ISNUMBER(INDEX(Inputs!$K$5:$AJ$170,0,MATCH(T$2,Inputs!$K$4:$AJ$4,0))))+SUMPRODUCT((Inputs!$E$5:$E$170=$B8)*ISNUMBER(INDEX(Inputs!$K$5:$AJ$170,0,MATCH(T$2,Inputs!$K$4:$AJ$4,0))))=0,NA(),SUMPRODUCT((Inputs!$A$5:$A$170=$B8)*Inputs!$B$5:$B$170*(((Inputs!$G$5:$G$170="moeda")+(Inputs!$G$5:$G$170="acoes"))*Inputs!$B$1+((Inputs!$G$5:$G$170&lt;&gt;"moeda")*(Inputs!$G$5:$G$170&lt;&gt;"acoes")))*INDEX(Inputs!$K$5:$AJ$170,0,MATCH(T$2,Inputs!$K$4:$AJ$4,0)))+SUMPRODUCT((Inputs!$C$5:$C$170=$B8)*Inputs!$D$5:$D$170*(((Inputs!$G$5:$G$170="moeda")+(Inputs!$G$5:$G$170="acoes"))*Inputs!$B$1+((Inputs!$G$5:$G$170&lt;&gt;"moeda")*(Inputs!$G$5:$G$170&lt;&gt;"acoes")))*INDEX(Inputs!$K$5:$AJ$170,0,MATCH(T$2,Inputs!$K$4:$AJ$4,0)))+SUMPRODUCT((Inputs!$E$5:$E$170=$B8)*Inputs!$F$5:$F$170*(((Inputs!$G$5:$G$170="moeda")+(Inputs!$G$5:$G$170="acoes"))*Inputs!$B$1+((Inputs!$G$5:$G$170&lt;&gt;"moeda")*(Inputs!$G$5:$G$170&lt;&gt;"acoes")))*INDEX(Inputs!$K$5:$AJ$170,0,MATCH(T$2,Inputs!$K$4:$AJ$4,0)))))</f>
        <v>-662.137</v>
      </c>
      <c r="U8" s="6">
        <f>IF(ISNA(MATCH(U$2,Inputs!$K$4:$AJ$4,0)),NA(),IF(SUMPRODUCT((Inputs!$A$5:$A$170=$B8)*ISNUMBER(INDEX(Inputs!$K$5:$AJ$170,0,MATCH(U$2,Inputs!$K$4:$AJ$4,0))))+SUMPRODUCT((Inputs!$C$5:$C$170=$B8)*ISNUMBER(INDEX(Inputs!$K$5:$AJ$170,0,MATCH(U$2,Inputs!$K$4:$AJ$4,0))))+SUMPRODUCT((Inputs!$E$5:$E$170=$B8)*ISNUMBER(INDEX(Inputs!$K$5:$AJ$170,0,MATCH(U$2,Inputs!$K$4:$AJ$4,0))))=0,NA(),SUMPRODUCT((Inputs!$A$5:$A$170=$B8)*Inputs!$B$5:$B$170*(((Inputs!$G$5:$G$170="moeda")+(Inputs!$G$5:$G$170="acoes"))*Inputs!$B$1+((Inputs!$G$5:$G$170&lt;&gt;"moeda")*(Inputs!$G$5:$G$170&lt;&gt;"acoes")))*INDEX(Inputs!$K$5:$AJ$170,0,MATCH(U$2,Inputs!$K$4:$AJ$4,0)))+SUMPRODUCT((Inputs!$C$5:$C$170=$B8)*Inputs!$D$5:$D$170*(((Inputs!$G$5:$G$170="moeda")+(Inputs!$G$5:$G$170="acoes"))*Inputs!$B$1+((Inputs!$G$5:$G$170&lt;&gt;"moeda")*(Inputs!$G$5:$G$170&lt;&gt;"acoes")))*INDEX(Inputs!$K$5:$AJ$170,0,MATCH(U$2,Inputs!$K$4:$AJ$4,0)))+SUMPRODUCT((Inputs!$E$5:$E$170=$B8)*Inputs!$F$5:$F$170*(((Inputs!$G$5:$G$170="moeda")+(Inputs!$G$5:$G$170="acoes"))*Inputs!$B$1+((Inputs!$G$5:$G$170&lt;&gt;"moeda")*(Inputs!$G$5:$G$170&lt;&gt;"acoes")))*INDEX(Inputs!$K$5:$AJ$170,0,MATCH(U$2,Inputs!$K$4:$AJ$4,0)))))</f>
        <v>-707.297</v>
      </c>
      <c r="V8" s="6">
        <f>IF(ISNA(MATCH(V$2,Inputs!$K$4:$AJ$4,0)),NA(),IF(SUMPRODUCT((Inputs!$A$5:$A$170=$B8)*ISNUMBER(INDEX(Inputs!$K$5:$AJ$170,0,MATCH(V$2,Inputs!$K$4:$AJ$4,0))))+SUMPRODUCT((Inputs!$C$5:$C$170=$B8)*ISNUMBER(INDEX(Inputs!$K$5:$AJ$170,0,MATCH(V$2,Inputs!$K$4:$AJ$4,0))))+SUMPRODUCT((Inputs!$E$5:$E$170=$B8)*ISNUMBER(INDEX(Inputs!$K$5:$AJ$170,0,MATCH(V$2,Inputs!$K$4:$AJ$4,0))))=0,NA(),SUMPRODUCT((Inputs!$A$5:$A$170=$B8)*Inputs!$B$5:$B$170*(((Inputs!$G$5:$G$170="moeda")+(Inputs!$G$5:$G$170="acoes"))*Inputs!$B$1+((Inputs!$G$5:$G$170&lt;&gt;"moeda")*(Inputs!$G$5:$G$170&lt;&gt;"acoes")))*INDEX(Inputs!$K$5:$AJ$170,0,MATCH(V$2,Inputs!$K$4:$AJ$4,0)))+SUMPRODUCT((Inputs!$C$5:$C$170=$B8)*Inputs!$D$5:$D$170*(((Inputs!$G$5:$G$170="moeda")+(Inputs!$G$5:$G$170="acoes"))*Inputs!$B$1+((Inputs!$G$5:$G$170&lt;&gt;"moeda")*(Inputs!$G$5:$G$170&lt;&gt;"acoes")))*INDEX(Inputs!$K$5:$AJ$170,0,MATCH(V$2,Inputs!$K$4:$AJ$4,0)))+SUMPRODUCT((Inputs!$E$5:$E$170=$B8)*Inputs!$F$5:$F$170*(((Inputs!$G$5:$G$170="moeda")+(Inputs!$G$5:$G$170="acoes"))*Inputs!$B$1+((Inputs!$G$5:$G$170&lt;&gt;"moeda")*(Inputs!$G$5:$G$170&lt;&gt;"acoes")))*INDEX(Inputs!$K$5:$AJ$170,0,MATCH(V$2,Inputs!$K$4:$AJ$4,0)))))</f>
        <v>-691.837</v>
      </c>
      <c r="W8" s="3">
        <f>SUM(S8:V8)</f>
        <v>-2688.896</v>
      </c>
      <c r="X8" s="6">
        <f>IF(ISNA(MATCH(X$2,Inputs!$K$4:$AJ$4,0)),NA(),IF(SUMPRODUCT((Inputs!$A$5:$A$170=$B8)*ISNUMBER(INDEX(Inputs!$K$5:$AJ$170,0,MATCH(X$2,Inputs!$K$4:$AJ$4,0))))+SUMPRODUCT((Inputs!$C$5:$C$170=$B8)*ISNUMBER(INDEX(Inputs!$K$5:$AJ$170,0,MATCH(X$2,Inputs!$K$4:$AJ$4,0))))+SUMPRODUCT((Inputs!$E$5:$E$170=$B8)*ISNUMBER(INDEX(Inputs!$K$5:$AJ$170,0,MATCH(X$2,Inputs!$K$4:$AJ$4,0))))=0,NA(),SUMPRODUCT((Inputs!$A$5:$A$170=$B8)*Inputs!$B$5:$B$170*(((Inputs!$G$5:$G$170="moeda")+(Inputs!$G$5:$G$170="acoes"))*Inputs!$B$1+((Inputs!$G$5:$G$170&lt;&gt;"moeda")*(Inputs!$G$5:$G$170&lt;&gt;"acoes")))*INDEX(Inputs!$K$5:$AJ$170,0,MATCH(X$2,Inputs!$K$4:$AJ$4,0)))+SUMPRODUCT((Inputs!$C$5:$C$170=$B8)*Inputs!$D$5:$D$170*(((Inputs!$G$5:$G$170="moeda")+(Inputs!$G$5:$G$170="acoes"))*Inputs!$B$1+((Inputs!$G$5:$G$170&lt;&gt;"moeda")*(Inputs!$G$5:$G$170&lt;&gt;"acoes")))*INDEX(Inputs!$K$5:$AJ$170,0,MATCH(X$2,Inputs!$K$4:$AJ$4,0)))+SUMPRODUCT((Inputs!$E$5:$E$170=$B8)*Inputs!$F$5:$F$170*(((Inputs!$G$5:$G$170="moeda")+(Inputs!$G$5:$G$170="acoes"))*Inputs!$B$1+((Inputs!$G$5:$G$170&lt;&gt;"moeda")*(Inputs!$G$5:$G$170&lt;&gt;"acoes")))*INDEX(Inputs!$K$5:$AJ$170,0,MATCH(X$2,Inputs!$K$4:$AJ$4,0)))))</f>
        <v>-745.217</v>
      </c>
      <c r="Y8" s="6">
        <f>IF(ISNA(MATCH(Y$2,Inputs!$K$4:$AJ$4,0)),NA(),IF(SUMPRODUCT((Inputs!$A$5:$A$170=$B8)*ISNUMBER(INDEX(Inputs!$K$5:$AJ$170,0,MATCH(Y$2,Inputs!$K$4:$AJ$4,0))))+SUMPRODUCT((Inputs!$C$5:$C$170=$B8)*ISNUMBER(INDEX(Inputs!$K$5:$AJ$170,0,MATCH(Y$2,Inputs!$K$4:$AJ$4,0))))+SUMPRODUCT((Inputs!$E$5:$E$170=$B8)*ISNUMBER(INDEX(Inputs!$K$5:$AJ$170,0,MATCH(Y$2,Inputs!$K$4:$AJ$4,0))))=0,NA(),SUMPRODUCT((Inputs!$A$5:$A$170=$B8)*Inputs!$B$5:$B$170*(((Inputs!$G$5:$G$170="moeda")+(Inputs!$G$5:$G$170="acoes"))*Inputs!$B$1+((Inputs!$G$5:$G$170&lt;&gt;"moeda")*(Inputs!$G$5:$G$170&lt;&gt;"acoes")))*INDEX(Inputs!$K$5:$AJ$170,0,MATCH(Y$2,Inputs!$K$4:$AJ$4,0)))+SUMPRODUCT((Inputs!$C$5:$C$170=$B8)*Inputs!$D$5:$D$170*(((Inputs!$G$5:$G$170="moeda")+(Inputs!$G$5:$G$170="acoes"))*Inputs!$B$1+((Inputs!$G$5:$G$170&lt;&gt;"moeda")*(Inputs!$G$5:$G$170&lt;&gt;"acoes")))*INDEX(Inputs!$K$5:$AJ$170,0,MATCH(Y$2,Inputs!$K$4:$AJ$4,0)))+SUMPRODUCT((Inputs!$E$5:$E$170=$B8)*Inputs!$F$5:$F$170*(((Inputs!$G$5:$G$170="moeda")+(Inputs!$G$5:$G$170="acoes"))*Inputs!$B$1+((Inputs!$G$5:$G$170&lt;&gt;"moeda")*(Inputs!$G$5:$G$170&lt;&gt;"acoes")))*INDEX(Inputs!$K$5:$AJ$170,0,MATCH(Y$2,Inputs!$K$4:$AJ$4,0)))))</f>
        <v>-792.778</v>
      </c>
      <c r="Z8" s="6">
        <f>IF(ISNA(MATCH(Z$2,Inputs!$K$4:$AJ$4,0)),NA(),IF(SUMPRODUCT((Inputs!$A$5:$A$170=$B8)*ISNUMBER(INDEX(Inputs!$K$5:$AJ$170,0,MATCH(Z$2,Inputs!$K$4:$AJ$4,0))))+SUMPRODUCT((Inputs!$C$5:$C$170=$B8)*ISNUMBER(INDEX(Inputs!$K$5:$AJ$170,0,MATCH(Z$2,Inputs!$K$4:$AJ$4,0))))+SUMPRODUCT((Inputs!$E$5:$E$170=$B8)*ISNUMBER(INDEX(Inputs!$K$5:$AJ$170,0,MATCH(Z$2,Inputs!$K$4:$AJ$4,0))))=0,NA(),SUMPRODUCT((Inputs!$A$5:$A$170=$B8)*Inputs!$B$5:$B$170*(((Inputs!$G$5:$G$170="moeda")+(Inputs!$G$5:$G$170="acoes"))*Inputs!$B$1+((Inputs!$G$5:$G$170&lt;&gt;"moeda")*(Inputs!$G$5:$G$170&lt;&gt;"acoes")))*INDEX(Inputs!$K$5:$AJ$170,0,MATCH(Z$2,Inputs!$K$4:$AJ$4,0)))+SUMPRODUCT((Inputs!$C$5:$C$170=$B8)*Inputs!$D$5:$D$170*(((Inputs!$G$5:$G$170="moeda")+(Inputs!$G$5:$G$170="acoes"))*Inputs!$B$1+((Inputs!$G$5:$G$170&lt;&gt;"moeda")*(Inputs!$G$5:$G$170&lt;&gt;"acoes")))*INDEX(Inputs!$K$5:$AJ$170,0,MATCH(Z$2,Inputs!$K$4:$AJ$4,0)))+SUMPRODUCT((Inputs!$E$5:$E$170=$B8)*Inputs!$F$5:$F$170*(((Inputs!$G$5:$G$170="moeda")+(Inputs!$G$5:$G$170="acoes"))*Inputs!$B$1+((Inputs!$G$5:$G$170&lt;&gt;"moeda")*(Inputs!$G$5:$G$170&lt;&gt;"acoes")))*INDEX(Inputs!$K$5:$AJ$170,0,MATCH(Z$2,Inputs!$K$4:$AJ$4,0)))))</f>
        <v>-895.889</v>
      </c>
      <c r="AA8" s="6">
        <f>IF(ISNA(MATCH(AA$2,Inputs!$K$4:$AJ$4,0)),NA(),IF(SUMPRODUCT((Inputs!$A$5:$A$170=$B8)*ISNUMBER(INDEX(Inputs!$K$5:$AJ$170,0,MATCH(AA$2,Inputs!$K$4:$AJ$4,0))))+SUMPRODUCT((Inputs!$C$5:$C$170=$B8)*ISNUMBER(INDEX(Inputs!$K$5:$AJ$170,0,MATCH(AA$2,Inputs!$K$4:$AJ$4,0))))+SUMPRODUCT((Inputs!$E$5:$E$170=$B8)*ISNUMBER(INDEX(Inputs!$K$5:$AJ$170,0,MATCH(AA$2,Inputs!$K$4:$AJ$4,0))))=0,NA(),SUMPRODUCT((Inputs!$A$5:$A$170=$B8)*Inputs!$B$5:$B$170*(((Inputs!$G$5:$G$170="moeda")+(Inputs!$G$5:$G$170="acoes"))*Inputs!$B$1+((Inputs!$G$5:$G$170&lt;&gt;"moeda")*(Inputs!$G$5:$G$170&lt;&gt;"acoes")))*INDEX(Inputs!$K$5:$AJ$170,0,MATCH(AA$2,Inputs!$K$4:$AJ$4,0)))+SUMPRODUCT((Inputs!$C$5:$C$170=$B8)*Inputs!$D$5:$D$170*(((Inputs!$G$5:$G$170="moeda")+(Inputs!$G$5:$G$170="acoes"))*Inputs!$B$1+((Inputs!$G$5:$G$170&lt;&gt;"moeda")*(Inputs!$G$5:$G$170&lt;&gt;"acoes")))*INDEX(Inputs!$K$5:$AJ$170,0,MATCH(AA$2,Inputs!$K$4:$AJ$4,0)))+SUMPRODUCT((Inputs!$E$5:$E$170=$B8)*Inputs!$F$5:$F$170*(((Inputs!$G$5:$G$170="moeda")+(Inputs!$G$5:$G$170="acoes"))*Inputs!$B$1+((Inputs!$G$5:$G$170&lt;&gt;"moeda")*(Inputs!$G$5:$G$170&lt;&gt;"acoes")))*INDEX(Inputs!$K$5:$AJ$170,0,MATCH(AA$2,Inputs!$K$4:$AJ$4,0)))))</f>
        <v>-1154.5136507</v>
      </c>
      <c r="AB8" s="3">
        <f>SUM(X8:AA8)</f>
        <v>-3588.3976507</v>
      </c>
      <c r="AC8" s="6">
        <f>IF(ISNA(MATCH(AC$2,Inputs!$K$4:$AJ$4,0)),NA(),IF(SUMPRODUCT((Inputs!$A$5:$A$170=$B8)*ISNUMBER(INDEX(Inputs!$K$5:$AJ$170,0,MATCH(AC$2,Inputs!$K$4:$AJ$4,0))))+SUMPRODUCT((Inputs!$C$5:$C$170=$B8)*ISNUMBER(INDEX(Inputs!$K$5:$AJ$170,0,MATCH(AC$2,Inputs!$K$4:$AJ$4,0))))+SUMPRODUCT((Inputs!$E$5:$E$170=$B8)*ISNUMBER(INDEX(Inputs!$K$5:$AJ$170,0,MATCH(AC$2,Inputs!$K$4:$AJ$4,0))))=0,NA(),SUMPRODUCT((Inputs!$A$5:$A$170=$B8)*Inputs!$B$5:$B$170*(((Inputs!$G$5:$G$170="moeda")+(Inputs!$G$5:$G$170="acoes"))*Inputs!$B$1+((Inputs!$G$5:$G$170&lt;&gt;"moeda")*(Inputs!$G$5:$G$170&lt;&gt;"acoes")))*INDEX(Inputs!$K$5:$AJ$170,0,MATCH(AC$2,Inputs!$K$4:$AJ$4,0)))+SUMPRODUCT((Inputs!$C$5:$C$170=$B8)*Inputs!$D$5:$D$170*(((Inputs!$G$5:$G$170="moeda")+(Inputs!$G$5:$G$170="acoes"))*Inputs!$B$1+((Inputs!$G$5:$G$170&lt;&gt;"moeda")*(Inputs!$G$5:$G$170&lt;&gt;"acoes")))*INDEX(Inputs!$K$5:$AJ$170,0,MATCH(AC$2,Inputs!$K$4:$AJ$4,0)))+SUMPRODUCT((Inputs!$E$5:$E$170=$B8)*Inputs!$F$5:$F$170*(((Inputs!$G$5:$G$170="moeda")+(Inputs!$G$5:$G$170="acoes"))*Inputs!$B$1+((Inputs!$G$5:$G$170&lt;&gt;"moeda")*(Inputs!$G$5:$G$170&lt;&gt;"acoes")))*INDEX(Inputs!$K$5:$AJ$170,0,MATCH(AC$2,Inputs!$K$4:$AJ$4,0)))))</f>
        <v>-902.5778591</v>
      </c>
      <c r="AD8" s="6">
        <f>IF(ISNA(MATCH(AD$2,Inputs!$K$4:$AJ$4,0)),NA(),IF(SUMPRODUCT((Inputs!$A$5:$A$170=$B8)*ISNUMBER(INDEX(Inputs!$K$5:$AJ$170,0,MATCH(AD$2,Inputs!$K$4:$AJ$4,0))))+SUMPRODUCT((Inputs!$C$5:$C$170=$B8)*ISNUMBER(INDEX(Inputs!$K$5:$AJ$170,0,MATCH(AD$2,Inputs!$K$4:$AJ$4,0))))+SUMPRODUCT((Inputs!$E$5:$E$170=$B8)*ISNUMBER(INDEX(Inputs!$K$5:$AJ$170,0,MATCH(AD$2,Inputs!$K$4:$AJ$4,0))))=0,NA(),SUMPRODUCT((Inputs!$A$5:$A$170=$B8)*Inputs!$B$5:$B$170*(((Inputs!$G$5:$G$170="moeda")+(Inputs!$G$5:$G$170="acoes"))*Inputs!$B$1+((Inputs!$G$5:$G$170&lt;&gt;"moeda")*(Inputs!$G$5:$G$170&lt;&gt;"acoes")))*INDEX(Inputs!$K$5:$AJ$170,0,MATCH(AD$2,Inputs!$K$4:$AJ$4,0)))+SUMPRODUCT((Inputs!$C$5:$C$170=$B8)*Inputs!$D$5:$D$170*(((Inputs!$G$5:$G$170="moeda")+(Inputs!$G$5:$G$170="acoes"))*Inputs!$B$1+((Inputs!$G$5:$G$170&lt;&gt;"moeda")*(Inputs!$G$5:$G$170&lt;&gt;"acoes")))*INDEX(Inputs!$K$5:$AJ$170,0,MATCH(AD$2,Inputs!$K$4:$AJ$4,0)))+SUMPRODUCT((Inputs!$E$5:$E$170=$B8)*Inputs!$F$5:$F$170*(((Inputs!$G$5:$G$170="moeda")+(Inputs!$G$5:$G$170="acoes"))*Inputs!$B$1+((Inputs!$G$5:$G$170&lt;&gt;"moeda")*(Inputs!$G$5:$G$170&lt;&gt;"acoes")))*INDEX(Inputs!$K$5:$AJ$170,0,MATCH(AD$2,Inputs!$K$4:$AJ$4,0)))))</f>
        <v>-1000.7705251</v>
      </c>
      <c r="AE8" s="6" t="e">
        <f>IF(ISNA(MATCH(AE$2,Inputs!$K$4:$AJ$4,0)),NA(),IF(SUMPRODUCT((Inputs!$A$5:$A$170=$B8)*ISNUMBER(INDEX(Inputs!$K$5:$AJ$170,0,MATCH(AE$2,Inputs!$K$4:$AJ$4,0))))+SUMPRODUCT((Inputs!$C$5:$C$170=$B8)*ISNUMBER(INDEX(Inputs!$K$5:$AJ$170,0,MATCH(AE$2,Inputs!$K$4:$AJ$4,0))))+SUMPRODUCT((Inputs!$E$5:$E$170=$B8)*ISNUMBER(INDEX(Inputs!$K$5:$AJ$170,0,MATCH(AE$2,Inputs!$K$4:$AJ$4,0))))=0,NA(),SUMPRODUCT((Inputs!$A$5:$A$170=$B8)*Inputs!$B$5:$B$170*(((Inputs!$G$5:$G$170="moeda")+(Inputs!$G$5:$G$170="acoes"))*Inputs!$B$1+((Inputs!$G$5:$G$170&lt;&gt;"moeda")*(Inputs!$G$5:$G$170&lt;&gt;"acoes")))*INDEX(Inputs!$K$5:$AJ$170,0,MATCH(AE$2,Inputs!$K$4:$AJ$4,0)))+SUMPRODUCT((Inputs!$C$5:$C$170=$B8)*Inputs!$D$5:$D$170*(((Inputs!$G$5:$G$170="moeda")+(Inputs!$G$5:$G$170="acoes"))*Inputs!$B$1+((Inputs!$G$5:$G$170&lt;&gt;"moeda")*(Inputs!$G$5:$G$170&lt;&gt;"acoes")))*INDEX(Inputs!$K$5:$AJ$170,0,MATCH(AE$2,Inputs!$K$4:$AJ$4,0)))+SUMPRODUCT((Inputs!$E$5:$E$170=$B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8" s="6" t="e">
        <f>IF(ISNA(MATCH(AF$2,Inputs!$K$4:$AJ$4,0)),NA(),IF(SUMPRODUCT((Inputs!$A$5:$A$170=$B8)*ISNUMBER(INDEX(Inputs!$K$5:$AJ$170,0,MATCH(AF$2,Inputs!$K$4:$AJ$4,0))))+SUMPRODUCT((Inputs!$C$5:$C$170=$B8)*ISNUMBER(INDEX(Inputs!$K$5:$AJ$170,0,MATCH(AF$2,Inputs!$K$4:$AJ$4,0))))+SUMPRODUCT((Inputs!$E$5:$E$170=$B8)*ISNUMBER(INDEX(Inputs!$K$5:$AJ$170,0,MATCH(AF$2,Inputs!$K$4:$AJ$4,0))))=0,NA(),SUMPRODUCT((Inputs!$A$5:$A$170=$B8)*Inputs!$B$5:$B$170*(((Inputs!$G$5:$G$170="moeda")+(Inputs!$G$5:$G$170="acoes"))*Inputs!$B$1+((Inputs!$G$5:$G$170&lt;&gt;"moeda")*(Inputs!$G$5:$G$170&lt;&gt;"acoes")))*INDEX(Inputs!$K$5:$AJ$170,0,MATCH(AF$2,Inputs!$K$4:$AJ$4,0)))+SUMPRODUCT((Inputs!$C$5:$C$170=$B8)*Inputs!$D$5:$D$170*(((Inputs!$G$5:$G$170="moeda")+(Inputs!$G$5:$G$170="acoes"))*Inputs!$B$1+((Inputs!$G$5:$G$170&lt;&gt;"moeda")*(Inputs!$G$5:$G$170&lt;&gt;"acoes")))*INDEX(Inputs!$K$5:$AJ$170,0,MATCH(AF$2,Inputs!$K$4:$AJ$4,0)))+SUMPRODUCT((Inputs!$E$5:$E$170=$B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8" s="3" t="e">
        <f>SUM(AC8:AF8)</f>
        <v>#N/A</v>
      </c>
      <c r="AH8" s="6">
        <f>IF(ISNA(MATCH(AH$2,Inputs!$K$4:$AJ$4,0)),NA(),IF(SUMPRODUCT((Inputs!$A$5:$A$170=$B8)*ISNUMBER(INDEX(Inputs!$K$5:$AJ$170,0,MATCH(AH$2,Inputs!$K$4:$AJ$4,0))))+SUMPRODUCT((Inputs!$C$5:$C$170=$B8)*ISNUMBER(INDEX(Inputs!$K$5:$AJ$170,0,MATCH(AH$2,Inputs!$K$4:$AJ$4,0))))+SUMPRODUCT((Inputs!$E$5:$E$170=$B8)*ISNUMBER(INDEX(Inputs!$K$5:$AJ$170,0,MATCH(AH$2,Inputs!$K$4:$AJ$4,0))))=0,NA(),SUMPRODUCT((Inputs!$A$5:$A$170=$B8)*Inputs!$B$5:$B$170*(((Inputs!$G$5:$G$170="moeda")+(Inputs!$G$5:$G$170="acoes"))*Inputs!$B$1+((Inputs!$G$5:$G$170&lt;&gt;"moeda")*(Inputs!$G$5:$G$170&lt;&gt;"acoes")))*INDEX(Inputs!$K$5:$AJ$170,0,MATCH(AH$2,Inputs!$K$4:$AJ$4,0)))+SUMPRODUCT((Inputs!$C$5:$C$170=$B8)*Inputs!$D$5:$D$170*(((Inputs!$G$5:$G$170="moeda")+(Inputs!$G$5:$G$170="acoes"))*Inputs!$B$1+((Inputs!$G$5:$G$170&lt;&gt;"moeda")*(Inputs!$G$5:$G$170&lt;&gt;"acoes")))*INDEX(Inputs!$K$5:$AJ$170,0,MATCH(AH$2,Inputs!$K$4:$AJ$4,0)))+SUMPRODUCT((Inputs!$E$5:$E$170=$B8)*Inputs!$F$5:$F$170*(((Inputs!$G$5:$G$170="moeda")+(Inputs!$G$5:$G$170="acoes"))*Inputs!$B$1+((Inputs!$G$5:$G$170&lt;&gt;"moeda")*(Inputs!$G$5:$G$170&lt;&gt;"acoes")))*INDEX(Inputs!$K$5:$AJ$170,0,MATCH(AH$2,Inputs!$K$4:$AJ$4,0)))))</f>
        <v>-54.167</v>
      </c>
      <c r="AI8" s="6">
        <f>IF(ISNA(MATCH(AI$2,Inputs!$K$4:$AJ$4,0)),NA(),IF(SUMPRODUCT((Inputs!$A$5:$A$170=$B8)*ISNUMBER(INDEX(Inputs!$K$5:$AJ$170,0,MATCH(AI$2,Inputs!$K$4:$AJ$4,0))))+SUMPRODUCT((Inputs!$C$5:$C$170=$B8)*ISNUMBER(INDEX(Inputs!$K$5:$AJ$170,0,MATCH(AI$2,Inputs!$K$4:$AJ$4,0))))+SUMPRODUCT((Inputs!$E$5:$E$170=$B8)*ISNUMBER(INDEX(Inputs!$K$5:$AJ$170,0,MATCH(AI$2,Inputs!$K$4:$AJ$4,0))))=0,NA(),SUMPRODUCT((Inputs!$A$5:$A$170=$B8)*Inputs!$B$5:$B$170*(((Inputs!$G$5:$G$170="moeda")+(Inputs!$G$5:$G$170="acoes"))*Inputs!$B$1+((Inputs!$G$5:$G$170&lt;&gt;"moeda")*(Inputs!$G$5:$G$170&lt;&gt;"acoes")))*INDEX(Inputs!$K$5:$AJ$170,0,MATCH(AI$2,Inputs!$K$4:$AJ$4,0)))+SUMPRODUCT((Inputs!$C$5:$C$170=$B8)*Inputs!$D$5:$D$170*(((Inputs!$G$5:$G$170="moeda")+(Inputs!$G$5:$G$170="acoes"))*Inputs!$B$1+((Inputs!$G$5:$G$170&lt;&gt;"moeda")*(Inputs!$G$5:$G$170&lt;&gt;"acoes")))*INDEX(Inputs!$K$5:$AJ$170,0,MATCH(AI$2,Inputs!$K$4:$AJ$4,0)))+SUMPRODUCT((Inputs!$E$5:$E$170=$B8)*Inputs!$F$5:$F$170*(((Inputs!$G$5:$G$170="moeda")+(Inputs!$G$5:$G$170="acoes"))*Inputs!$B$1+((Inputs!$G$5:$G$170&lt;&gt;"moeda")*(Inputs!$G$5:$G$170&lt;&gt;"acoes")))*INDEX(Inputs!$K$5:$AJ$170,0,MATCH(AI$2,Inputs!$K$4:$AJ$4,0)))))</f>
        <v>-73.113</v>
      </c>
      <c r="AJ8" s="6">
        <f>IF(ISNA(MATCH(AJ$2,Inputs!$K$4:$AJ$4,0)),NA(),IF(SUMPRODUCT((Inputs!$A$5:$A$170=$B8)*ISNUMBER(INDEX(Inputs!$K$5:$AJ$170,0,MATCH(AJ$2,Inputs!$K$4:$AJ$4,0))))+SUMPRODUCT((Inputs!$C$5:$C$170=$B8)*ISNUMBER(INDEX(Inputs!$K$5:$AJ$170,0,MATCH(AJ$2,Inputs!$K$4:$AJ$4,0))))+SUMPRODUCT((Inputs!$E$5:$E$170=$B8)*ISNUMBER(INDEX(Inputs!$K$5:$AJ$170,0,MATCH(AJ$2,Inputs!$K$4:$AJ$4,0))))=0,NA(),SUMPRODUCT((Inputs!$A$5:$A$170=$B8)*Inputs!$B$5:$B$170*(((Inputs!$G$5:$G$170="moeda")+(Inputs!$G$5:$G$170="acoes"))*Inputs!$B$1+((Inputs!$G$5:$G$170&lt;&gt;"moeda")*(Inputs!$G$5:$G$170&lt;&gt;"acoes")))*INDEX(Inputs!$K$5:$AJ$170,0,MATCH(AJ$2,Inputs!$K$4:$AJ$4,0)))+SUMPRODUCT((Inputs!$C$5:$C$170=$B8)*Inputs!$D$5:$D$170*(((Inputs!$G$5:$G$170="moeda")+(Inputs!$G$5:$G$170="acoes"))*Inputs!$B$1+((Inputs!$G$5:$G$170&lt;&gt;"moeda")*(Inputs!$G$5:$G$170&lt;&gt;"acoes")))*INDEX(Inputs!$K$5:$AJ$170,0,MATCH(AJ$2,Inputs!$K$4:$AJ$4,0)))+SUMPRODUCT((Inputs!$E$5:$E$170=$B8)*Inputs!$F$5:$F$170*(((Inputs!$G$5:$G$170="moeda")+(Inputs!$G$5:$G$170="acoes"))*Inputs!$B$1+((Inputs!$G$5:$G$170&lt;&gt;"moeda")*(Inputs!$G$5:$G$170&lt;&gt;"acoes")))*INDEX(Inputs!$K$5:$AJ$170,0,MATCH(AJ$2,Inputs!$K$4:$AJ$4,0)))))</f>
        <v>-74.215</v>
      </c>
      <c r="AK8" s="6">
        <f>IF(ISNA(MATCH(AK$2,Inputs!$K$4:$AJ$4,0)),NA(),IF(SUMPRODUCT((Inputs!$A$5:$A$170=$B8)*ISNUMBER(INDEX(Inputs!$K$5:$AJ$170,0,MATCH(AK$2,Inputs!$K$4:$AJ$4,0))))+SUMPRODUCT((Inputs!$C$5:$C$170=$B8)*ISNUMBER(INDEX(Inputs!$K$5:$AJ$170,0,MATCH(AK$2,Inputs!$K$4:$AJ$4,0))))+SUMPRODUCT((Inputs!$E$5:$E$170=$B8)*ISNUMBER(INDEX(Inputs!$K$5:$AJ$170,0,MATCH(AK$2,Inputs!$K$4:$AJ$4,0))))=0,NA(),SUMPRODUCT((Inputs!$A$5:$A$170=$B8)*Inputs!$B$5:$B$170*(((Inputs!$G$5:$G$170="moeda")+(Inputs!$G$5:$G$170="acoes"))*Inputs!$B$1+((Inputs!$G$5:$G$170&lt;&gt;"moeda")*(Inputs!$G$5:$G$170&lt;&gt;"acoes")))*INDEX(Inputs!$K$5:$AJ$170,0,MATCH(AK$2,Inputs!$K$4:$AJ$4,0)))+SUMPRODUCT((Inputs!$C$5:$C$170=$B8)*Inputs!$D$5:$D$170*(((Inputs!$G$5:$G$170="moeda")+(Inputs!$G$5:$G$170="acoes"))*Inputs!$B$1+((Inputs!$G$5:$G$170&lt;&gt;"moeda")*(Inputs!$G$5:$G$170&lt;&gt;"acoes")))*INDEX(Inputs!$K$5:$AJ$170,0,MATCH(AK$2,Inputs!$K$4:$AJ$4,0)))+SUMPRODUCT((Inputs!$E$5:$E$170=$B8)*Inputs!$F$5:$F$170*(((Inputs!$G$5:$G$170="moeda")+(Inputs!$G$5:$G$170="acoes"))*Inputs!$B$1+((Inputs!$G$5:$G$170&lt;&gt;"moeda")*(Inputs!$G$5:$G$170&lt;&gt;"acoes")))*INDEX(Inputs!$K$5:$AJ$170,0,MATCH(AK$2,Inputs!$K$4:$AJ$4,0)))))</f>
        <v>-45.348</v>
      </c>
      <c r="AL8" s="3">
        <f>SUM(AH8:AK8)</f>
        <v>-246.843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$170=$B9)*ISNUMBER(INDEX(Inputs!$K$5:$AJ$170,0,MATCH(D$2,Inputs!$K$4:$AJ$4,0))))+SUMPRODUCT((Inputs!$C$5:$C$170=$B9)*ISNUMBER(INDEX(Inputs!$K$5:$AJ$170,0,MATCH(D$2,Inputs!$K$4:$AJ$4,0))))+SUMPRODUCT((Inputs!$E$5:$E$170=$B9)*ISNUMBER(INDEX(Inputs!$K$5:$AJ$170,0,MATCH(D$2,Inputs!$K$4:$AJ$4,0))))=0,NA(),SUMPRODUCT((Inputs!$A$5:$A$170=$B9)*Inputs!$B$5:$B$170*(((Inputs!$G$5:$G$170="moeda")+(Inputs!$G$5:$G$170="acoes"))*Inputs!$B$1+((Inputs!$G$5:$G$170&lt;&gt;"moeda")*(Inputs!$G$5:$G$170&lt;&gt;"acoes")))*INDEX(Inputs!$K$5:$AJ$170,0,MATCH(D$2,Inputs!$K$4:$AJ$4,0)))+SUMPRODUCT((Inputs!$C$5:$C$170=$B9)*Inputs!$D$5:$D$170*(((Inputs!$G$5:$G$170="moeda")+(Inputs!$G$5:$G$170="acoes"))*Inputs!$B$1+((Inputs!$G$5:$G$170&lt;&gt;"moeda")*(Inputs!$G$5:$G$170&lt;&gt;"acoes")))*INDEX(Inputs!$K$5:$AJ$170,0,MATCH(D$2,Inputs!$K$4:$AJ$4,0)))+SUMPRODUCT((Inputs!$E$5:$E$170=$B9)*Inputs!$F$5:$F$170*(((Inputs!$G$5:$G$170="moeda")+(Inputs!$G$5:$G$170="acoes"))*Inputs!$B$1+((Inputs!$G$5:$G$170&lt;&gt;"moeda")*(Inputs!$G$5:$G$170&lt;&gt;"acoes")))*INDEX(Inputs!$K$5:$AJ$170,0,MATCH(D$2,Inputs!$K$4:$AJ$4,0)))))</f>
        <v>188.526</v>
      </c>
      <c r="E9" s="6">
        <f>IF(ISNA(MATCH(E$2,Inputs!$K$4:$AJ$4,0)),NA(),IF(SUMPRODUCT((Inputs!$A$5:$A$170=$B9)*ISNUMBER(INDEX(Inputs!$K$5:$AJ$170,0,MATCH(E$2,Inputs!$K$4:$AJ$4,0))))+SUMPRODUCT((Inputs!$C$5:$C$170=$B9)*ISNUMBER(INDEX(Inputs!$K$5:$AJ$170,0,MATCH(E$2,Inputs!$K$4:$AJ$4,0))))+SUMPRODUCT((Inputs!$E$5:$E$170=$B9)*ISNUMBER(INDEX(Inputs!$K$5:$AJ$170,0,MATCH(E$2,Inputs!$K$4:$AJ$4,0))))=0,NA(),SUMPRODUCT((Inputs!$A$5:$A$170=$B9)*Inputs!$B$5:$B$170*(((Inputs!$G$5:$G$170="moeda")+(Inputs!$G$5:$G$170="acoes"))*Inputs!$B$1+((Inputs!$G$5:$G$170&lt;&gt;"moeda")*(Inputs!$G$5:$G$170&lt;&gt;"acoes")))*INDEX(Inputs!$K$5:$AJ$170,0,MATCH(E$2,Inputs!$K$4:$AJ$4,0)))+SUMPRODUCT((Inputs!$C$5:$C$170=$B9)*Inputs!$D$5:$D$170*(((Inputs!$G$5:$G$170="moeda")+(Inputs!$G$5:$G$170="acoes"))*Inputs!$B$1+((Inputs!$G$5:$G$170&lt;&gt;"moeda")*(Inputs!$G$5:$G$170&lt;&gt;"acoes")))*INDEX(Inputs!$K$5:$AJ$170,0,MATCH(E$2,Inputs!$K$4:$AJ$4,0)))+SUMPRODUCT((Inputs!$E$5:$E$170=$B9)*Inputs!$F$5:$F$170*(((Inputs!$G$5:$G$170="moeda")+(Inputs!$G$5:$G$170="acoes"))*Inputs!$B$1+((Inputs!$G$5:$G$170&lt;&gt;"moeda")*(Inputs!$G$5:$G$170&lt;&gt;"acoes")))*INDEX(Inputs!$K$5:$AJ$170,0,MATCH(E$2,Inputs!$K$4:$AJ$4,0)))))</f>
        <v>-307.323</v>
      </c>
      <c r="F9" s="6">
        <f>IF(ISNA(MATCH(F$2,Inputs!$K$4:$AJ$4,0)),NA(),IF(SUMPRODUCT((Inputs!$A$5:$A$170=$B9)*ISNUMBER(INDEX(Inputs!$K$5:$AJ$170,0,MATCH(F$2,Inputs!$K$4:$AJ$4,0))))+SUMPRODUCT((Inputs!$C$5:$C$170=$B9)*ISNUMBER(INDEX(Inputs!$K$5:$AJ$170,0,MATCH(F$2,Inputs!$K$4:$AJ$4,0))))+SUMPRODUCT((Inputs!$E$5:$E$170=$B9)*ISNUMBER(INDEX(Inputs!$K$5:$AJ$170,0,MATCH(F$2,Inputs!$K$4:$AJ$4,0))))=0,NA(),SUMPRODUCT((Inputs!$A$5:$A$170=$B9)*Inputs!$B$5:$B$170*(((Inputs!$G$5:$G$170="moeda")+(Inputs!$G$5:$G$170="acoes"))*Inputs!$B$1+((Inputs!$G$5:$G$170&lt;&gt;"moeda")*(Inputs!$G$5:$G$170&lt;&gt;"acoes")))*INDEX(Inputs!$K$5:$AJ$170,0,MATCH(F$2,Inputs!$K$4:$AJ$4,0)))+SUMPRODUCT((Inputs!$C$5:$C$170=$B9)*Inputs!$D$5:$D$170*(((Inputs!$G$5:$G$170="moeda")+(Inputs!$G$5:$G$170="acoes"))*Inputs!$B$1+((Inputs!$G$5:$G$170&lt;&gt;"moeda")*(Inputs!$G$5:$G$170&lt;&gt;"acoes")))*INDEX(Inputs!$K$5:$AJ$170,0,MATCH(F$2,Inputs!$K$4:$AJ$4,0)))+SUMPRODUCT((Inputs!$E$5:$E$170=$B9)*Inputs!$F$5:$F$170*(((Inputs!$G$5:$G$170="moeda")+(Inputs!$G$5:$G$170="acoes"))*Inputs!$B$1+((Inputs!$G$5:$G$170&lt;&gt;"moeda")*(Inputs!$G$5:$G$170&lt;&gt;"acoes")))*INDEX(Inputs!$K$5:$AJ$170,0,MATCH(F$2,Inputs!$K$4:$AJ$4,0)))))</f>
        <v>209.511</v>
      </c>
      <c r="G9" s="6">
        <f>IF(ISNA(MATCH(G$2,Inputs!$K$4:$AJ$4,0)),NA(),IF(SUMPRODUCT((Inputs!$A$5:$A$170=$B9)*ISNUMBER(INDEX(Inputs!$K$5:$AJ$170,0,MATCH(G$2,Inputs!$K$4:$AJ$4,0))))+SUMPRODUCT((Inputs!$C$5:$C$170=$B9)*ISNUMBER(INDEX(Inputs!$K$5:$AJ$170,0,MATCH(G$2,Inputs!$K$4:$AJ$4,0))))+SUMPRODUCT((Inputs!$E$5:$E$170=$B9)*ISNUMBER(INDEX(Inputs!$K$5:$AJ$170,0,MATCH(G$2,Inputs!$K$4:$AJ$4,0))))=0,NA(),SUMPRODUCT((Inputs!$A$5:$A$170=$B9)*Inputs!$B$5:$B$170*(((Inputs!$G$5:$G$170="moeda")+(Inputs!$G$5:$G$170="acoes"))*Inputs!$B$1+((Inputs!$G$5:$G$170&lt;&gt;"moeda")*(Inputs!$G$5:$G$170&lt;&gt;"acoes")))*INDEX(Inputs!$K$5:$AJ$170,0,MATCH(G$2,Inputs!$K$4:$AJ$4,0)))+SUMPRODUCT((Inputs!$C$5:$C$170=$B9)*Inputs!$D$5:$D$170*(((Inputs!$G$5:$G$170="moeda")+(Inputs!$G$5:$G$170="acoes"))*Inputs!$B$1+((Inputs!$G$5:$G$170&lt;&gt;"moeda")*(Inputs!$G$5:$G$170&lt;&gt;"acoes")))*INDEX(Inputs!$K$5:$AJ$170,0,MATCH(G$2,Inputs!$K$4:$AJ$4,0)))+SUMPRODUCT((Inputs!$E$5:$E$170=$B9)*Inputs!$F$5:$F$170*(((Inputs!$G$5:$G$170="moeda")+(Inputs!$G$5:$G$170="acoes"))*Inputs!$B$1+((Inputs!$G$5:$G$170&lt;&gt;"moeda")*(Inputs!$G$5:$G$170&lt;&gt;"acoes")))*INDEX(Inputs!$K$5:$AJ$170,0,MATCH(G$2,Inputs!$K$4:$AJ$4,0)))))</f>
        <v>383.039</v>
      </c>
      <c r="H9" s="3">
        <f>SUM(D9:G9)</f>
        <v>473.753</v>
      </c>
      <c r="I9" s="6">
        <f>IF(ISNA(MATCH(I$2,Inputs!$K$4:$AJ$4,0)),NA(),IF(SUMPRODUCT((Inputs!$A$5:$A$170=$B9)*ISNUMBER(INDEX(Inputs!$K$5:$AJ$170,0,MATCH(I$2,Inputs!$K$4:$AJ$4,0))))+SUMPRODUCT((Inputs!$C$5:$C$170=$B9)*ISNUMBER(INDEX(Inputs!$K$5:$AJ$170,0,MATCH(I$2,Inputs!$K$4:$AJ$4,0))))+SUMPRODUCT((Inputs!$E$5:$E$170=$B9)*ISNUMBER(INDEX(Inputs!$K$5:$AJ$170,0,MATCH(I$2,Inputs!$K$4:$AJ$4,0))))=0,NA(),SUMPRODUCT((Inputs!$A$5:$A$170=$B9)*Inputs!$B$5:$B$170*(((Inputs!$G$5:$G$170="moeda")+(Inputs!$G$5:$G$170="acoes"))*Inputs!$B$1+((Inputs!$G$5:$G$170&lt;&gt;"moeda")*(Inputs!$G$5:$G$170&lt;&gt;"acoes")))*INDEX(Inputs!$K$5:$AJ$170,0,MATCH(I$2,Inputs!$K$4:$AJ$4,0)))+SUMPRODUCT((Inputs!$C$5:$C$170=$B9)*Inputs!$D$5:$D$170*(((Inputs!$G$5:$G$170="moeda")+(Inputs!$G$5:$G$170="acoes"))*Inputs!$B$1+((Inputs!$G$5:$G$170&lt;&gt;"moeda")*(Inputs!$G$5:$G$170&lt;&gt;"acoes")))*INDEX(Inputs!$K$5:$AJ$170,0,MATCH(I$2,Inputs!$K$4:$AJ$4,0)))+SUMPRODUCT((Inputs!$E$5:$E$170=$B9)*Inputs!$F$5:$F$170*(((Inputs!$G$5:$G$170="moeda")+(Inputs!$G$5:$G$170="acoes"))*Inputs!$B$1+((Inputs!$G$5:$G$170&lt;&gt;"moeda")*(Inputs!$G$5:$G$170&lt;&gt;"acoes")))*INDEX(Inputs!$K$5:$AJ$170,0,MATCH(I$2,Inputs!$K$4:$AJ$4,0)))))</f>
        <v>107.671</v>
      </c>
      <c r="J9" s="6">
        <f>IF(ISNA(MATCH(J$2,Inputs!$K$4:$AJ$4,0)),NA(),IF(SUMPRODUCT((Inputs!$A$5:$A$170=$B9)*ISNUMBER(INDEX(Inputs!$K$5:$AJ$170,0,MATCH(J$2,Inputs!$K$4:$AJ$4,0))))+SUMPRODUCT((Inputs!$C$5:$C$170=$B9)*ISNUMBER(INDEX(Inputs!$K$5:$AJ$170,0,MATCH(J$2,Inputs!$K$4:$AJ$4,0))))+SUMPRODUCT((Inputs!$E$5:$E$170=$B9)*ISNUMBER(INDEX(Inputs!$K$5:$AJ$170,0,MATCH(J$2,Inputs!$K$4:$AJ$4,0))))=0,NA(),SUMPRODUCT((Inputs!$A$5:$A$170=$B9)*Inputs!$B$5:$B$170*(((Inputs!$G$5:$G$170="moeda")+(Inputs!$G$5:$G$170="acoes"))*Inputs!$B$1+((Inputs!$G$5:$G$170&lt;&gt;"moeda")*(Inputs!$G$5:$G$170&lt;&gt;"acoes")))*INDEX(Inputs!$K$5:$AJ$170,0,MATCH(J$2,Inputs!$K$4:$AJ$4,0)))+SUMPRODUCT((Inputs!$C$5:$C$170=$B9)*Inputs!$D$5:$D$170*(((Inputs!$G$5:$G$170="moeda")+(Inputs!$G$5:$G$170="acoes"))*Inputs!$B$1+((Inputs!$G$5:$G$170&lt;&gt;"moeda")*(Inputs!$G$5:$G$170&lt;&gt;"acoes")))*INDEX(Inputs!$K$5:$AJ$170,0,MATCH(J$2,Inputs!$K$4:$AJ$4,0)))+SUMPRODUCT((Inputs!$E$5:$E$170=$B9)*Inputs!$F$5:$F$170*(((Inputs!$G$5:$G$170="moeda")+(Inputs!$G$5:$G$170="acoes"))*Inputs!$B$1+((Inputs!$G$5:$G$170&lt;&gt;"moeda")*(Inputs!$G$5:$G$170&lt;&gt;"acoes")))*INDEX(Inputs!$K$5:$AJ$170,0,MATCH(J$2,Inputs!$K$4:$AJ$4,0)))))</f>
        <v>116.444</v>
      </c>
      <c r="K9" s="6">
        <f>IF(ISNA(MATCH(K$2,Inputs!$K$4:$AJ$4,0)),NA(),IF(SUMPRODUCT((Inputs!$A$5:$A$170=$B9)*ISNUMBER(INDEX(Inputs!$K$5:$AJ$170,0,MATCH(K$2,Inputs!$K$4:$AJ$4,0))))+SUMPRODUCT((Inputs!$C$5:$C$170=$B9)*ISNUMBER(INDEX(Inputs!$K$5:$AJ$170,0,MATCH(K$2,Inputs!$K$4:$AJ$4,0))))+SUMPRODUCT((Inputs!$E$5:$E$170=$B9)*ISNUMBER(INDEX(Inputs!$K$5:$AJ$170,0,MATCH(K$2,Inputs!$K$4:$AJ$4,0))))=0,NA(),SUMPRODUCT((Inputs!$A$5:$A$170=$B9)*Inputs!$B$5:$B$170*(((Inputs!$G$5:$G$170="moeda")+(Inputs!$G$5:$G$170="acoes"))*Inputs!$B$1+((Inputs!$G$5:$G$170&lt;&gt;"moeda")*(Inputs!$G$5:$G$170&lt;&gt;"acoes")))*INDEX(Inputs!$K$5:$AJ$170,0,MATCH(K$2,Inputs!$K$4:$AJ$4,0)))+SUMPRODUCT((Inputs!$C$5:$C$170=$B9)*Inputs!$D$5:$D$170*(((Inputs!$G$5:$G$170="moeda")+(Inputs!$G$5:$G$170="acoes"))*Inputs!$B$1+((Inputs!$G$5:$G$170&lt;&gt;"moeda")*(Inputs!$G$5:$G$170&lt;&gt;"acoes")))*INDEX(Inputs!$K$5:$AJ$170,0,MATCH(K$2,Inputs!$K$4:$AJ$4,0)))+SUMPRODUCT((Inputs!$E$5:$E$170=$B9)*Inputs!$F$5:$F$170*(((Inputs!$G$5:$G$170="moeda")+(Inputs!$G$5:$G$170="acoes"))*Inputs!$B$1+((Inputs!$G$5:$G$170&lt;&gt;"moeda")*(Inputs!$G$5:$G$170&lt;&gt;"acoes")))*INDEX(Inputs!$K$5:$AJ$170,0,MATCH(K$2,Inputs!$K$4:$AJ$4,0)))))</f>
        <v>123.724</v>
      </c>
      <c r="L9" s="6">
        <f>IF(ISNA(MATCH(L$2,Inputs!$K$4:$AJ$4,0)),NA(),IF(SUMPRODUCT((Inputs!$A$5:$A$170=$B9)*ISNUMBER(INDEX(Inputs!$K$5:$AJ$170,0,MATCH(L$2,Inputs!$K$4:$AJ$4,0))))+SUMPRODUCT((Inputs!$C$5:$C$170=$B9)*ISNUMBER(INDEX(Inputs!$K$5:$AJ$170,0,MATCH(L$2,Inputs!$K$4:$AJ$4,0))))+SUMPRODUCT((Inputs!$E$5:$E$170=$B9)*ISNUMBER(INDEX(Inputs!$K$5:$AJ$170,0,MATCH(L$2,Inputs!$K$4:$AJ$4,0))))=0,NA(),SUMPRODUCT((Inputs!$A$5:$A$170=$B9)*Inputs!$B$5:$B$170*(((Inputs!$G$5:$G$170="moeda")+(Inputs!$G$5:$G$170="acoes"))*Inputs!$B$1+((Inputs!$G$5:$G$170&lt;&gt;"moeda")*(Inputs!$G$5:$G$170&lt;&gt;"acoes")))*INDEX(Inputs!$K$5:$AJ$170,0,MATCH(L$2,Inputs!$K$4:$AJ$4,0)))+SUMPRODUCT((Inputs!$C$5:$C$170=$B9)*Inputs!$D$5:$D$170*(((Inputs!$G$5:$G$170="moeda")+(Inputs!$G$5:$G$170="acoes"))*Inputs!$B$1+((Inputs!$G$5:$G$170&lt;&gt;"moeda")*(Inputs!$G$5:$G$170&lt;&gt;"acoes")))*INDEX(Inputs!$K$5:$AJ$170,0,MATCH(L$2,Inputs!$K$4:$AJ$4,0)))+SUMPRODUCT((Inputs!$E$5:$E$170=$B9)*Inputs!$F$5:$F$170*(((Inputs!$G$5:$G$170="moeda")+(Inputs!$G$5:$G$170="acoes"))*Inputs!$B$1+((Inputs!$G$5:$G$170&lt;&gt;"moeda")*(Inputs!$G$5:$G$170&lt;&gt;"acoes")))*INDEX(Inputs!$K$5:$AJ$170,0,MATCH(L$2,Inputs!$K$4:$AJ$4,0)))))</f>
        <v>161.251</v>
      </c>
      <c r="M9" s="3">
        <f>SUM(I9:L9)</f>
        <v>509.09</v>
      </c>
      <c r="N9" s="6">
        <f>IF(ISNA(MATCH(N$2,Inputs!$K$4:$AJ$4,0)),NA(),IF(SUMPRODUCT((Inputs!$A$5:$A$170=$B9)*ISNUMBER(INDEX(Inputs!$K$5:$AJ$170,0,MATCH(N$2,Inputs!$K$4:$AJ$4,0))))+SUMPRODUCT((Inputs!$C$5:$C$170=$B9)*ISNUMBER(INDEX(Inputs!$K$5:$AJ$170,0,MATCH(N$2,Inputs!$K$4:$AJ$4,0))))+SUMPRODUCT((Inputs!$E$5:$E$170=$B9)*ISNUMBER(INDEX(Inputs!$K$5:$AJ$170,0,MATCH(N$2,Inputs!$K$4:$AJ$4,0))))=0,NA(),SUMPRODUCT((Inputs!$A$5:$A$170=$B9)*Inputs!$B$5:$B$170*(((Inputs!$G$5:$G$170="moeda")+(Inputs!$G$5:$G$170="acoes"))*Inputs!$B$1+((Inputs!$G$5:$G$170&lt;&gt;"moeda")*(Inputs!$G$5:$G$170&lt;&gt;"acoes")))*INDEX(Inputs!$K$5:$AJ$170,0,MATCH(N$2,Inputs!$K$4:$AJ$4,0)))+SUMPRODUCT((Inputs!$C$5:$C$170=$B9)*Inputs!$D$5:$D$170*(((Inputs!$G$5:$G$170="moeda")+(Inputs!$G$5:$G$170="acoes"))*Inputs!$B$1+((Inputs!$G$5:$G$170&lt;&gt;"moeda")*(Inputs!$G$5:$G$170&lt;&gt;"acoes")))*INDEX(Inputs!$K$5:$AJ$170,0,MATCH(N$2,Inputs!$K$4:$AJ$4,0)))+SUMPRODUCT((Inputs!$E$5:$E$170=$B9)*Inputs!$F$5:$F$170*(((Inputs!$G$5:$G$170="moeda")+(Inputs!$G$5:$G$170="acoes"))*Inputs!$B$1+((Inputs!$G$5:$G$170&lt;&gt;"moeda")*(Inputs!$G$5:$G$170&lt;&gt;"acoes")))*INDEX(Inputs!$K$5:$AJ$170,0,MATCH(N$2,Inputs!$K$4:$AJ$4,0)))))</f>
        <v>140.596</v>
      </c>
      <c r="O9" s="6">
        <f>IF(ISNA(MATCH(O$2,Inputs!$K$4:$AJ$4,0)),NA(),IF(SUMPRODUCT((Inputs!$A$5:$A$170=$B9)*ISNUMBER(INDEX(Inputs!$K$5:$AJ$170,0,MATCH(O$2,Inputs!$K$4:$AJ$4,0))))+SUMPRODUCT((Inputs!$C$5:$C$170=$B9)*ISNUMBER(INDEX(Inputs!$K$5:$AJ$170,0,MATCH(O$2,Inputs!$K$4:$AJ$4,0))))+SUMPRODUCT((Inputs!$E$5:$E$170=$B9)*ISNUMBER(INDEX(Inputs!$K$5:$AJ$170,0,MATCH(O$2,Inputs!$K$4:$AJ$4,0))))=0,NA(),SUMPRODUCT((Inputs!$A$5:$A$170=$B9)*Inputs!$B$5:$B$170*(((Inputs!$G$5:$G$170="moeda")+(Inputs!$G$5:$G$170="acoes"))*Inputs!$B$1+((Inputs!$G$5:$G$170&lt;&gt;"moeda")*(Inputs!$G$5:$G$170&lt;&gt;"acoes")))*INDEX(Inputs!$K$5:$AJ$170,0,MATCH(O$2,Inputs!$K$4:$AJ$4,0)))+SUMPRODUCT((Inputs!$C$5:$C$170=$B9)*Inputs!$D$5:$D$170*(((Inputs!$G$5:$G$170="moeda")+(Inputs!$G$5:$G$170="acoes"))*Inputs!$B$1+((Inputs!$G$5:$G$170&lt;&gt;"moeda")*(Inputs!$G$5:$G$170&lt;&gt;"acoes")))*INDEX(Inputs!$K$5:$AJ$170,0,MATCH(O$2,Inputs!$K$4:$AJ$4,0)))+SUMPRODUCT((Inputs!$E$5:$E$170=$B9)*Inputs!$F$5:$F$170*(((Inputs!$G$5:$G$170="moeda")+(Inputs!$G$5:$G$170="acoes"))*Inputs!$B$1+((Inputs!$G$5:$G$170&lt;&gt;"moeda")*(Inputs!$G$5:$G$170&lt;&gt;"acoes")))*INDEX(Inputs!$K$5:$AJ$170,0,MATCH(O$2,Inputs!$K$4:$AJ$4,0)))))</f>
        <v>25.985</v>
      </c>
      <c r="P9" s="6">
        <f>IF(ISNA(MATCH(P$2,Inputs!$K$4:$AJ$4,0)),NA(),IF(SUMPRODUCT((Inputs!$A$5:$A$170=$B9)*ISNUMBER(INDEX(Inputs!$K$5:$AJ$170,0,MATCH(P$2,Inputs!$K$4:$AJ$4,0))))+SUMPRODUCT((Inputs!$C$5:$C$170=$B9)*ISNUMBER(INDEX(Inputs!$K$5:$AJ$170,0,MATCH(P$2,Inputs!$K$4:$AJ$4,0))))+SUMPRODUCT((Inputs!$E$5:$E$170=$B9)*ISNUMBER(INDEX(Inputs!$K$5:$AJ$170,0,MATCH(P$2,Inputs!$K$4:$AJ$4,0))))=0,NA(),SUMPRODUCT((Inputs!$A$5:$A$170=$B9)*Inputs!$B$5:$B$170*(((Inputs!$G$5:$G$170="moeda")+(Inputs!$G$5:$G$170="acoes"))*Inputs!$B$1+((Inputs!$G$5:$G$170&lt;&gt;"moeda")*(Inputs!$G$5:$G$170&lt;&gt;"acoes")))*INDEX(Inputs!$K$5:$AJ$170,0,MATCH(P$2,Inputs!$K$4:$AJ$4,0)))+SUMPRODUCT((Inputs!$C$5:$C$170=$B9)*Inputs!$D$5:$D$170*(((Inputs!$G$5:$G$170="moeda")+(Inputs!$G$5:$G$170="acoes"))*Inputs!$B$1+((Inputs!$G$5:$G$170&lt;&gt;"moeda")*(Inputs!$G$5:$G$170&lt;&gt;"acoes")))*INDEX(Inputs!$K$5:$AJ$170,0,MATCH(P$2,Inputs!$K$4:$AJ$4,0)))+SUMPRODUCT((Inputs!$E$5:$E$170=$B9)*Inputs!$F$5:$F$170*(((Inputs!$G$5:$G$170="moeda")+(Inputs!$G$5:$G$170="acoes"))*Inputs!$B$1+((Inputs!$G$5:$G$170&lt;&gt;"moeda")*(Inputs!$G$5:$G$170&lt;&gt;"acoes")))*INDEX(Inputs!$K$5:$AJ$170,0,MATCH(P$2,Inputs!$K$4:$AJ$4,0)))))</f>
        <v>47.438</v>
      </c>
      <c r="Q9" s="6">
        <f>IF(ISNA(MATCH(Q$2,Inputs!$K$4:$AJ$4,0)),NA(),IF(SUMPRODUCT((Inputs!$A$5:$A$170=$B9)*ISNUMBER(INDEX(Inputs!$K$5:$AJ$170,0,MATCH(Q$2,Inputs!$K$4:$AJ$4,0))))+SUMPRODUCT((Inputs!$C$5:$C$170=$B9)*ISNUMBER(INDEX(Inputs!$K$5:$AJ$170,0,MATCH(Q$2,Inputs!$K$4:$AJ$4,0))))+SUMPRODUCT((Inputs!$E$5:$E$170=$B9)*ISNUMBER(INDEX(Inputs!$K$5:$AJ$170,0,MATCH(Q$2,Inputs!$K$4:$AJ$4,0))))=0,NA(),SUMPRODUCT((Inputs!$A$5:$A$170=$B9)*Inputs!$B$5:$B$170*(((Inputs!$G$5:$G$170="moeda")+(Inputs!$G$5:$G$170="acoes"))*Inputs!$B$1+((Inputs!$G$5:$G$170&lt;&gt;"moeda")*(Inputs!$G$5:$G$170&lt;&gt;"acoes")))*INDEX(Inputs!$K$5:$AJ$170,0,MATCH(Q$2,Inputs!$K$4:$AJ$4,0)))+SUMPRODUCT((Inputs!$C$5:$C$170=$B9)*Inputs!$D$5:$D$170*(((Inputs!$G$5:$G$170="moeda")+(Inputs!$G$5:$G$170="acoes"))*Inputs!$B$1+((Inputs!$G$5:$G$170&lt;&gt;"moeda")*(Inputs!$G$5:$G$170&lt;&gt;"acoes")))*INDEX(Inputs!$K$5:$AJ$170,0,MATCH(Q$2,Inputs!$K$4:$AJ$4,0)))+SUMPRODUCT((Inputs!$E$5:$E$170=$B9)*Inputs!$F$5:$F$170*(((Inputs!$G$5:$G$170="moeda")+(Inputs!$G$5:$G$170="acoes"))*Inputs!$B$1+((Inputs!$G$5:$G$170&lt;&gt;"moeda")*(Inputs!$G$5:$G$170&lt;&gt;"acoes")))*INDEX(Inputs!$K$5:$AJ$170,0,MATCH(Q$2,Inputs!$K$4:$AJ$4,0)))))</f>
        <v>59.055</v>
      </c>
      <c r="R9" s="3">
        <f>SUM(N9:Q9)</f>
        <v>273.074</v>
      </c>
      <c r="S9" s="6">
        <f>IF(ISNA(MATCH(S$2,Inputs!$K$4:$AJ$4,0)),NA(),IF(SUMPRODUCT((Inputs!$A$5:$A$170=$B9)*ISNUMBER(INDEX(Inputs!$K$5:$AJ$170,0,MATCH(S$2,Inputs!$K$4:$AJ$4,0))))+SUMPRODUCT((Inputs!$C$5:$C$170=$B9)*ISNUMBER(INDEX(Inputs!$K$5:$AJ$170,0,MATCH(S$2,Inputs!$K$4:$AJ$4,0))))+SUMPRODUCT((Inputs!$E$5:$E$170=$B9)*ISNUMBER(INDEX(Inputs!$K$5:$AJ$170,0,MATCH(S$2,Inputs!$K$4:$AJ$4,0))))=0,NA(),SUMPRODUCT((Inputs!$A$5:$A$170=$B9)*Inputs!$B$5:$B$170*(((Inputs!$G$5:$G$170="moeda")+(Inputs!$G$5:$G$170="acoes"))*Inputs!$B$1+((Inputs!$G$5:$G$170&lt;&gt;"moeda")*(Inputs!$G$5:$G$170&lt;&gt;"acoes")))*INDEX(Inputs!$K$5:$AJ$170,0,MATCH(S$2,Inputs!$K$4:$AJ$4,0)))+SUMPRODUCT((Inputs!$C$5:$C$170=$B9)*Inputs!$D$5:$D$170*(((Inputs!$G$5:$G$170="moeda")+(Inputs!$G$5:$G$170="acoes"))*Inputs!$B$1+((Inputs!$G$5:$G$170&lt;&gt;"moeda")*(Inputs!$G$5:$G$170&lt;&gt;"acoes")))*INDEX(Inputs!$K$5:$AJ$170,0,MATCH(S$2,Inputs!$K$4:$AJ$4,0)))+SUMPRODUCT((Inputs!$E$5:$E$170=$B9)*Inputs!$F$5:$F$170*(((Inputs!$G$5:$G$170="moeda")+(Inputs!$G$5:$G$170="acoes"))*Inputs!$B$1+((Inputs!$G$5:$G$170&lt;&gt;"moeda")*(Inputs!$G$5:$G$170&lt;&gt;"acoes")))*INDEX(Inputs!$K$5:$AJ$170,0,MATCH(S$2,Inputs!$K$4:$AJ$4,0)))))</f>
        <v>88.865</v>
      </c>
      <c r="T9" s="6">
        <f>IF(ISNA(MATCH(T$2,Inputs!$K$4:$AJ$4,0)),NA(),IF(SUMPRODUCT((Inputs!$A$5:$A$170=$B9)*ISNUMBER(INDEX(Inputs!$K$5:$AJ$170,0,MATCH(T$2,Inputs!$K$4:$AJ$4,0))))+SUMPRODUCT((Inputs!$C$5:$C$170=$B9)*ISNUMBER(INDEX(Inputs!$K$5:$AJ$170,0,MATCH(T$2,Inputs!$K$4:$AJ$4,0))))+SUMPRODUCT((Inputs!$E$5:$E$170=$B9)*ISNUMBER(INDEX(Inputs!$K$5:$AJ$170,0,MATCH(T$2,Inputs!$K$4:$AJ$4,0))))=0,NA(),SUMPRODUCT((Inputs!$A$5:$A$170=$B9)*Inputs!$B$5:$B$170*(((Inputs!$G$5:$G$170="moeda")+(Inputs!$G$5:$G$170="acoes"))*Inputs!$B$1+((Inputs!$G$5:$G$170&lt;&gt;"moeda")*(Inputs!$G$5:$G$170&lt;&gt;"acoes")))*INDEX(Inputs!$K$5:$AJ$170,0,MATCH(T$2,Inputs!$K$4:$AJ$4,0)))+SUMPRODUCT((Inputs!$C$5:$C$170=$B9)*Inputs!$D$5:$D$170*(((Inputs!$G$5:$G$170="moeda")+(Inputs!$G$5:$G$170="acoes"))*Inputs!$B$1+((Inputs!$G$5:$G$170&lt;&gt;"moeda")*(Inputs!$G$5:$G$170&lt;&gt;"acoes")))*INDEX(Inputs!$K$5:$AJ$170,0,MATCH(T$2,Inputs!$K$4:$AJ$4,0)))+SUMPRODUCT((Inputs!$E$5:$E$170=$B9)*Inputs!$F$5:$F$170*(((Inputs!$G$5:$G$170="moeda")+(Inputs!$G$5:$G$170="acoes"))*Inputs!$B$1+((Inputs!$G$5:$G$170&lt;&gt;"moeda")*(Inputs!$G$5:$G$170&lt;&gt;"acoes")))*INDEX(Inputs!$K$5:$AJ$170,0,MATCH(T$2,Inputs!$K$4:$AJ$4,0)))))</f>
        <v>91.414</v>
      </c>
      <c r="U9" s="6">
        <f>IF(ISNA(MATCH(U$2,Inputs!$K$4:$AJ$4,0)),NA(),IF(SUMPRODUCT((Inputs!$A$5:$A$170=$B9)*ISNUMBER(INDEX(Inputs!$K$5:$AJ$170,0,MATCH(U$2,Inputs!$K$4:$AJ$4,0))))+SUMPRODUCT((Inputs!$C$5:$C$170=$B9)*ISNUMBER(INDEX(Inputs!$K$5:$AJ$170,0,MATCH(U$2,Inputs!$K$4:$AJ$4,0))))+SUMPRODUCT((Inputs!$E$5:$E$170=$B9)*ISNUMBER(INDEX(Inputs!$K$5:$AJ$170,0,MATCH(U$2,Inputs!$K$4:$AJ$4,0))))=0,NA(),SUMPRODUCT((Inputs!$A$5:$A$170=$B9)*Inputs!$B$5:$B$170*(((Inputs!$G$5:$G$170="moeda")+(Inputs!$G$5:$G$170="acoes"))*Inputs!$B$1+((Inputs!$G$5:$G$170&lt;&gt;"moeda")*(Inputs!$G$5:$G$170&lt;&gt;"acoes")))*INDEX(Inputs!$K$5:$AJ$170,0,MATCH(U$2,Inputs!$K$4:$AJ$4,0)))+SUMPRODUCT((Inputs!$C$5:$C$170=$B9)*Inputs!$D$5:$D$170*(((Inputs!$G$5:$G$170="moeda")+(Inputs!$G$5:$G$170="acoes"))*Inputs!$B$1+((Inputs!$G$5:$G$170&lt;&gt;"moeda")*(Inputs!$G$5:$G$170&lt;&gt;"acoes")))*INDEX(Inputs!$K$5:$AJ$170,0,MATCH(U$2,Inputs!$K$4:$AJ$4,0)))+SUMPRODUCT((Inputs!$E$5:$E$170=$B9)*Inputs!$F$5:$F$170*(((Inputs!$G$5:$G$170="moeda")+(Inputs!$G$5:$G$170="acoes"))*Inputs!$B$1+((Inputs!$G$5:$G$170&lt;&gt;"moeda")*(Inputs!$G$5:$G$170&lt;&gt;"acoes")))*INDEX(Inputs!$K$5:$AJ$170,0,MATCH(U$2,Inputs!$K$4:$AJ$4,0)))))</f>
        <v>112.895</v>
      </c>
      <c r="V9" s="6">
        <f>IF(ISNA(MATCH(V$2,Inputs!$K$4:$AJ$4,0)),NA(),IF(SUMPRODUCT((Inputs!$A$5:$A$170=$B9)*ISNUMBER(INDEX(Inputs!$K$5:$AJ$170,0,MATCH(V$2,Inputs!$K$4:$AJ$4,0))))+SUMPRODUCT((Inputs!$C$5:$C$170=$B9)*ISNUMBER(INDEX(Inputs!$K$5:$AJ$170,0,MATCH(V$2,Inputs!$K$4:$AJ$4,0))))+SUMPRODUCT((Inputs!$E$5:$E$170=$B9)*ISNUMBER(INDEX(Inputs!$K$5:$AJ$170,0,MATCH(V$2,Inputs!$K$4:$AJ$4,0))))=0,NA(),SUMPRODUCT((Inputs!$A$5:$A$170=$B9)*Inputs!$B$5:$B$170*(((Inputs!$G$5:$G$170="moeda")+(Inputs!$G$5:$G$170="acoes"))*Inputs!$B$1+((Inputs!$G$5:$G$170&lt;&gt;"moeda")*(Inputs!$G$5:$G$170&lt;&gt;"acoes")))*INDEX(Inputs!$K$5:$AJ$170,0,MATCH(V$2,Inputs!$K$4:$AJ$4,0)))+SUMPRODUCT((Inputs!$C$5:$C$170=$B9)*Inputs!$D$5:$D$170*(((Inputs!$G$5:$G$170="moeda")+(Inputs!$G$5:$G$170="acoes"))*Inputs!$B$1+((Inputs!$G$5:$G$170&lt;&gt;"moeda")*(Inputs!$G$5:$G$170&lt;&gt;"acoes")))*INDEX(Inputs!$K$5:$AJ$170,0,MATCH(V$2,Inputs!$K$4:$AJ$4,0)))+SUMPRODUCT((Inputs!$E$5:$E$170=$B9)*Inputs!$F$5:$F$170*(((Inputs!$G$5:$G$170="moeda")+(Inputs!$G$5:$G$170="acoes"))*Inputs!$B$1+((Inputs!$G$5:$G$170&lt;&gt;"moeda")*(Inputs!$G$5:$G$170&lt;&gt;"acoes")))*INDEX(Inputs!$K$5:$AJ$170,0,MATCH(V$2,Inputs!$K$4:$AJ$4,0)))))</f>
        <v>85.172</v>
      </c>
      <c r="W9" s="3">
        <f>SUM(S9:V9)</f>
        <v>378.346</v>
      </c>
      <c r="X9" s="6">
        <f>IF(ISNA(MATCH(X$2,Inputs!$K$4:$AJ$4,0)),NA(),IF(SUMPRODUCT((Inputs!$A$5:$A$170=$B9)*ISNUMBER(INDEX(Inputs!$K$5:$AJ$170,0,MATCH(X$2,Inputs!$K$4:$AJ$4,0))))+SUMPRODUCT((Inputs!$C$5:$C$170=$B9)*ISNUMBER(INDEX(Inputs!$K$5:$AJ$170,0,MATCH(X$2,Inputs!$K$4:$AJ$4,0))))+SUMPRODUCT((Inputs!$E$5:$E$170=$B9)*ISNUMBER(INDEX(Inputs!$K$5:$AJ$170,0,MATCH(X$2,Inputs!$K$4:$AJ$4,0))))=0,NA(),SUMPRODUCT((Inputs!$A$5:$A$170=$B9)*Inputs!$B$5:$B$170*(((Inputs!$G$5:$G$170="moeda")+(Inputs!$G$5:$G$170="acoes"))*Inputs!$B$1+((Inputs!$G$5:$G$170&lt;&gt;"moeda")*(Inputs!$G$5:$G$170&lt;&gt;"acoes")))*INDEX(Inputs!$K$5:$AJ$170,0,MATCH(X$2,Inputs!$K$4:$AJ$4,0)))+SUMPRODUCT((Inputs!$C$5:$C$170=$B9)*Inputs!$D$5:$D$170*(((Inputs!$G$5:$G$170="moeda")+(Inputs!$G$5:$G$170="acoes"))*Inputs!$B$1+((Inputs!$G$5:$G$170&lt;&gt;"moeda")*(Inputs!$G$5:$G$170&lt;&gt;"acoes")))*INDEX(Inputs!$K$5:$AJ$170,0,MATCH(X$2,Inputs!$K$4:$AJ$4,0)))+SUMPRODUCT((Inputs!$E$5:$E$170=$B9)*Inputs!$F$5:$F$170*(((Inputs!$G$5:$G$170="moeda")+(Inputs!$G$5:$G$170="acoes"))*Inputs!$B$1+((Inputs!$G$5:$G$170&lt;&gt;"moeda")*(Inputs!$G$5:$G$170&lt;&gt;"acoes")))*INDEX(Inputs!$K$5:$AJ$170,0,MATCH(X$2,Inputs!$K$4:$AJ$4,0)))))</f>
        <v>90.007</v>
      </c>
      <c r="Y9" s="6">
        <f>IF(ISNA(MATCH(Y$2,Inputs!$K$4:$AJ$4,0)),NA(),IF(SUMPRODUCT((Inputs!$A$5:$A$170=$B9)*ISNUMBER(INDEX(Inputs!$K$5:$AJ$170,0,MATCH(Y$2,Inputs!$K$4:$AJ$4,0))))+SUMPRODUCT((Inputs!$C$5:$C$170=$B9)*ISNUMBER(INDEX(Inputs!$K$5:$AJ$170,0,MATCH(Y$2,Inputs!$K$4:$AJ$4,0))))+SUMPRODUCT((Inputs!$E$5:$E$170=$B9)*ISNUMBER(INDEX(Inputs!$K$5:$AJ$170,0,MATCH(Y$2,Inputs!$K$4:$AJ$4,0))))=0,NA(),SUMPRODUCT((Inputs!$A$5:$A$170=$B9)*Inputs!$B$5:$B$170*(((Inputs!$G$5:$G$170="moeda")+(Inputs!$G$5:$G$170="acoes"))*Inputs!$B$1+((Inputs!$G$5:$G$170&lt;&gt;"moeda")*(Inputs!$G$5:$G$170&lt;&gt;"acoes")))*INDEX(Inputs!$K$5:$AJ$170,0,MATCH(Y$2,Inputs!$K$4:$AJ$4,0)))+SUMPRODUCT((Inputs!$C$5:$C$170=$B9)*Inputs!$D$5:$D$170*(((Inputs!$G$5:$G$170="moeda")+(Inputs!$G$5:$G$170="acoes"))*Inputs!$B$1+((Inputs!$G$5:$G$170&lt;&gt;"moeda")*(Inputs!$G$5:$G$170&lt;&gt;"acoes")))*INDEX(Inputs!$K$5:$AJ$170,0,MATCH(Y$2,Inputs!$K$4:$AJ$4,0)))+SUMPRODUCT((Inputs!$E$5:$E$170=$B9)*Inputs!$F$5:$F$170*(((Inputs!$G$5:$G$170="moeda")+(Inputs!$G$5:$G$170="acoes"))*Inputs!$B$1+((Inputs!$G$5:$G$170&lt;&gt;"moeda")*(Inputs!$G$5:$G$170&lt;&gt;"acoes")))*INDEX(Inputs!$K$5:$AJ$170,0,MATCH(Y$2,Inputs!$K$4:$AJ$4,0)))))</f>
        <v>98.699</v>
      </c>
      <c r="Z9" s="6">
        <f>IF(ISNA(MATCH(Z$2,Inputs!$K$4:$AJ$4,0)),NA(),IF(SUMPRODUCT((Inputs!$A$5:$A$170=$B9)*ISNUMBER(INDEX(Inputs!$K$5:$AJ$170,0,MATCH(Z$2,Inputs!$K$4:$AJ$4,0))))+SUMPRODUCT((Inputs!$C$5:$C$170=$B9)*ISNUMBER(INDEX(Inputs!$K$5:$AJ$170,0,MATCH(Z$2,Inputs!$K$4:$AJ$4,0))))+SUMPRODUCT((Inputs!$E$5:$E$170=$B9)*ISNUMBER(INDEX(Inputs!$K$5:$AJ$170,0,MATCH(Z$2,Inputs!$K$4:$AJ$4,0))))=0,NA(),SUMPRODUCT((Inputs!$A$5:$A$170=$B9)*Inputs!$B$5:$B$170*(((Inputs!$G$5:$G$170="moeda")+(Inputs!$G$5:$G$170="acoes"))*Inputs!$B$1+((Inputs!$G$5:$G$170&lt;&gt;"moeda")*(Inputs!$G$5:$G$170&lt;&gt;"acoes")))*INDEX(Inputs!$K$5:$AJ$170,0,MATCH(Z$2,Inputs!$K$4:$AJ$4,0)))+SUMPRODUCT((Inputs!$C$5:$C$170=$B9)*Inputs!$D$5:$D$170*(((Inputs!$G$5:$G$170="moeda")+(Inputs!$G$5:$G$170="acoes"))*Inputs!$B$1+((Inputs!$G$5:$G$170&lt;&gt;"moeda")*(Inputs!$G$5:$G$170&lt;&gt;"acoes")))*INDEX(Inputs!$K$5:$AJ$170,0,MATCH(Z$2,Inputs!$K$4:$AJ$4,0)))+SUMPRODUCT((Inputs!$E$5:$E$170=$B9)*Inputs!$F$5:$F$170*(((Inputs!$G$5:$G$170="moeda")+(Inputs!$G$5:$G$170="acoes"))*Inputs!$B$1+((Inputs!$G$5:$G$170&lt;&gt;"moeda")*(Inputs!$G$5:$G$170&lt;&gt;"acoes")))*INDEX(Inputs!$K$5:$AJ$170,0,MATCH(Z$2,Inputs!$K$4:$AJ$4,0)))))</f>
        <v>100.571</v>
      </c>
      <c r="AA9" s="6">
        <f>IF(ISNA(MATCH(AA$2,Inputs!$K$4:$AJ$4,0)),NA(),IF(SUMPRODUCT((Inputs!$A$5:$A$170=$B9)*ISNUMBER(INDEX(Inputs!$K$5:$AJ$170,0,MATCH(AA$2,Inputs!$K$4:$AJ$4,0))))+SUMPRODUCT((Inputs!$C$5:$C$170=$B9)*ISNUMBER(INDEX(Inputs!$K$5:$AJ$170,0,MATCH(AA$2,Inputs!$K$4:$AJ$4,0))))+SUMPRODUCT((Inputs!$E$5:$E$170=$B9)*ISNUMBER(INDEX(Inputs!$K$5:$AJ$170,0,MATCH(AA$2,Inputs!$K$4:$AJ$4,0))))=0,NA(),SUMPRODUCT((Inputs!$A$5:$A$170=$B9)*Inputs!$B$5:$B$170*(((Inputs!$G$5:$G$170="moeda")+(Inputs!$G$5:$G$170="acoes"))*Inputs!$B$1+((Inputs!$G$5:$G$170&lt;&gt;"moeda")*(Inputs!$G$5:$G$170&lt;&gt;"acoes")))*INDEX(Inputs!$K$5:$AJ$170,0,MATCH(AA$2,Inputs!$K$4:$AJ$4,0)))+SUMPRODUCT((Inputs!$C$5:$C$170=$B9)*Inputs!$D$5:$D$170*(((Inputs!$G$5:$G$170="moeda")+(Inputs!$G$5:$G$170="acoes"))*Inputs!$B$1+((Inputs!$G$5:$G$170&lt;&gt;"moeda")*(Inputs!$G$5:$G$170&lt;&gt;"acoes")))*INDEX(Inputs!$K$5:$AJ$170,0,MATCH(AA$2,Inputs!$K$4:$AJ$4,0)))+SUMPRODUCT((Inputs!$E$5:$E$170=$B9)*Inputs!$F$5:$F$170*(((Inputs!$G$5:$G$170="moeda")+(Inputs!$G$5:$G$170="acoes"))*Inputs!$B$1+((Inputs!$G$5:$G$170&lt;&gt;"moeda")*(Inputs!$G$5:$G$170&lt;&gt;"acoes")))*INDEX(Inputs!$K$5:$AJ$170,0,MATCH(AA$2,Inputs!$K$4:$AJ$4,0)))))</f>
        <v>390.591907105874</v>
      </c>
      <c r="AB9" s="3">
        <f>SUM(X9:AA9)</f>
        <v>679.868907105874</v>
      </c>
      <c r="AC9" s="6">
        <f>IF(ISNA(MATCH(AC$2,Inputs!$K$4:$AJ$4,0)),NA(),IF(SUMPRODUCT((Inputs!$A$5:$A$170=$B9)*ISNUMBER(INDEX(Inputs!$K$5:$AJ$170,0,MATCH(AC$2,Inputs!$K$4:$AJ$4,0))))+SUMPRODUCT((Inputs!$C$5:$C$170=$B9)*ISNUMBER(INDEX(Inputs!$K$5:$AJ$170,0,MATCH(AC$2,Inputs!$K$4:$AJ$4,0))))+SUMPRODUCT((Inputs!$E$5:$E$170=$B9)*ISNUMBER(INDEX(Inputs!$K$5:$AJ$170,0,MATCH(AC$2,Inputs!$K$4:$AJ$4,0))))=0,NA(),SUMPRODUCT((Inputs!$A$5:$A$170=$B9)*Inputs!$B$5:$B$170*(((Inputs!$G$5:$G$170="moeda")+(Inputs!$G$5:$G$170="acoes"))*Inputs!$B$1+((Inputs!$G$5:$G$170&lt;&gt;"moeda")*(Inputs!$G$5:$G$170&lt;&gt;"acoes")))*INDEX(Inputs!$K$5:$AJ$170,0,MATCH(AC$2,Inputs!$K$4:$AJ$4,0)))+SUMPRODUCT((Inputs!$C$5:$C$170=$B9)*Inputs!$D$5:$D$170*(((Inputs!$G$5:$G$170="moeda")+(Inputs!$G$5:$G$170="acoes"))*Inputs!$B$1+((Inputs!$G$5:$G$170&lt;&gt;"moeda")*(Inputs!$G$5:$G$170&lt;&gt;"acoes")))*INDEX(Inputs!$K$5:$AJ$170,0,MATCH(AC$2,Inputs!$K$4:$AJ$4,0)))+SUMPRODUCT((Inputs!$E$5:$E$170=$B9)*Inputs!$F$5:$F$170*(((Inputs!$G$5:$G$170="moeda")+(Inputs!$G$5:$G$170="acoes"))*Inputs!$B$1+((Inputs!$G$5:$G$170&lt;&gt;"moeda")*(Inputs!$G$5:$G$170&lt;&gt;"acoes")))*INDEX(Inputs!$K$5:$AJ$170,0,MATCH(AC$2,Inputs!$K$4:$AJ$4,0)))))</f>
        <v>148.7954076</v>
      </c>
      <c r="AD9" s="6">
        <f>IF(ISNA(MATCH(AD$2,Inputs!$K$4:$AJ$4,0)),NA(),IF(SUMPRODUCT((Inputs!$A$5:$A$170=$B9)*ISNUMBER(INDEX(Inputs!$K$5:$AJ$170,0,MATCH(AD$2,Inputs!$K$4:$AJ$4,0))))+SUMPRODUCT((Inputs!$C$5:$C$170=$B9)*ISNUMBER(INDEX(Inputs!$K$5:$AJ$170,0,MATCH(AD$2,Inputs!$K$4:$AJ$4,0))))+SUMPRODUCT((Inputs!$E$5:$E$170=$B9)*ISNUMBER(INDEX(Inputs!$K$5:$AJ$170,0,MATCH(AD$2,Inputs!$K$4:$AJ$4,0))))=0,NA(),SUMPRODUCT((Inputs!$A$5:$A$170=$B9)*Inputs!$B$5:$B$170*(((Inputs!$G$5:$G$170="moeda")+(Inputs!$G$5:$G$170="acoes"))*Inputs!$B$1+((Inputs!$G$5:$G$170&lt;&gt;"moeda")*(Inputs!$G$5:$G$170&lt;&gt;"acoes")))*INDEX(Inputs!$K$5:$AJ$170,0,MATCH(AD$2,Inputs!$K$4:$AJ$4,0)))+SUMPRODUCT((Inputs!$C$5:$C$170=$B9)*Inputs!$D$5:$D$170*(((Inputs!$G$5:$G$170="moeda")+(Inputs!$G$5:$G$170="acoes"))*Inputs!$B$1+((Inputs!$G$5:$G$170&lt;&gt;"moeda")*(Inputs!$G$5:$G$170&lt;&gt;"acoes")))*INDEX(Inputs!$K$5:$AJ$170,0,MATCH(AD$2,Inputs!$K$4:$AJ$4,0)))+SUMPRODUCT((Inputs!$E$5:$E$170=$B9)*Inputs!$F$5:$F$170*(((Inputs!$G$5:$G$170="moeda")+(Inputs!$G$5:$G$170="acoes"))*Inputs!$B$1+((Inputs!$G$5:$G$170&lt;&gt;"moeda")*(Inputs!$G$5:$G$170&lt;&gt;"acoes")))*INDEX(Inputs!$K$5:$AJ$170,0,MATCH(AD$2,Inputs!$K$4:$AJ$4,0)))))</f>
        <v>155.1356947</v>
      </c>
      <c r="AE9" s="6" t="e">
        <f>IF(ISNA(MATCH(AE$2,Inputs!$K$4:$AJ$4,0)),NA(),IF(SUMPRODUCT((Inputs!$A$5:$A$170=$B9)*ISNUMBER(INDEX(Inputs!$K$5:$AJ$170,0,MATCH(AE$2,Inputs!$K$4:$AJ$4,0))))+SUMPRODUCT((Inputs!$C$5:$C$170=$B9)*ISNUMBER(INDEX(Inputs!$K$5:$AJ$170,0,MATCH(AE$2,Inputs!$K$4:$AJ$4,0))))+SUMPRODUCT((Inputs!$E$5:$E$170=$B9)*ISNUMBER(INDEX(Inputs!$K$5:$AJ$170,0,MATCH(AE$2,Inputs!$K$4:$AJ$4,0))))=0,NA(),SUMPRODUCT((Inputs!$A$5:$A$170=$B9)*Inputs!$B$5:$B$170*(((Inputs!$G$5:$G$170="moeda")+(Inputs!$G$5:$G$170="acoes"))*Inputs!$B$1+((Inputs!$G$5:$G$170&lt;&gt;"moeda")*(Inputs!$G$5:$G$170&lt;&gt;"acoes")))*INDEX(Inputs!$K$5:$AJ$170,0,MATCH(AE$2,Inputs!$K$4:$AJ$4,0)))+SUMPRODUCT((Inputs!$C$5:$C$170=$B9)*Inputs!$D$5:$D$170*(((Inputs!$G$5:$G$170="moeda")+(Inputs!$G$5:$G$170="acoes"))*Inputs!$B$1+((Inputs!$G$5:$G$170&lt;&gt;"moeda")*(Inputs!$G$5:$G$170&lt;&gt;"acoes")))*INDEX(Inputs!$K$5:$AJ$170,0,MATCH(AE$2,Inputs!$K$4:$AJ$4,0)))+SUMPRODUCT((Inputs!$E$5:$E$170=$B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9" s="6" t="e">
        <f>IF(ISNA(MATCH(AF$2,Inputs!$K$4:$AJ$4,0)),NA(),IF(SUMPRODUCT((Inputs!$A$5:$A$170=$B9)*ISNUMBER(INDEX(Inputs!$K$5:$AJ$170,0,MATCH(AF$2,Inputs!$K$4:$AJ$4,0))))+SUMPRODUCT((Inputs!$C$5:$C$170=$B9)*ISNUMBER(INDEX(Inputs!$K$5:$AJ$170,0,MATCH(AF$2,Inputs!$K$4:$AJ$4,0))))+SUMPRODUCT((Inputs!$E$5:$E$170=$B9)*ISNUMBER(INDEX(Inputs!$K$5:$AJ$170,0,MATCH(AF$2,Inputs!$K$4:$AJ$4,0))))=0,NA(),SUMPRODUCT((Inputs!$A$5:$A$170=$B9)*Inputs!$B$5:$B$170*(((Inputs!$G$5:$G$170="moeda")+(Inputs!$G$5:$G$170="acoes"))*Inputs!$B$1+((Inputs!$G$5:$G$170&lt;&gt;"moeda")*(Inputs!$G$5:$G$170&lt;&gt;"acoes")))*INDEX(Inputs!$K$5:$AJ$170,0,MATCH(AF$2,Inputs!$K$4:$AJ$4,0)))+SUMPRODUCT((Inputs!$C$5:$C$170=$B9)*Inputs!$D$5:$D$170*(((Inputs!$G$5:$G$170="moeda")+(Inputs!$G$5:$G$170="acoes"))*Inputs!$B$1+((Inputs!$G$5:$G$170&lt;&gt;"moeda")*(Inputs!$G$5:$G$170&lt;&gt;"acoes")))*INDEX(Inputs!$K$5:$AJ$170,0,MATCH(AF$2,Inputs!$K$4:$AJ$4,0)))+SUMPRODUCT((Inputs!$E$5:$E$170=$B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9" s="3" t="e">
        <f>SUM(AC9:AF9)</f>
        <v>#N/A</v>
      </c>
      <c r="AH9" s="6">
        <f>IF(ISNA(MATCH(AH$2,Inputs!$K$4:$AJ$4,0)),NA(),IF(SUMPRODUCT((Inputs!$A$5:$A$170=$B9)*ISNUMBER(INDEX(Inputs!$K$5:$AJ$170,0,MATCH(AH$2,Inputs!$K$4:$AJ$4,0))))+SUMPRODUCT((Inputs!$C$5:$C$170=$B9)*ISNUMBER(INDEX(Inputs!$K$5:$AJ$170,0,MATCH(AH$2,Inputs!$K$4:$AJ$4,0))))+SUMPRODUCT((Inputs!$E$5:$E$170=$B9)*ISNUMBER(INDEX(Inputs!$K$5:$AJ$170,0,MATCH(AH$2,Inputs!$K$4:$AJ$4,0))))=0,NA(),SUMPRODUCT((Inputs!$A$5:$A$170=$B9)*Inputs!$B$5:$B$170*(((Inputs!$G$5:$G$170="moeda")+(Inputs!$G$5:$G$170="acoes"))*Inputs!$B$1+((Inputs!$G$5:$G$170&lt;&gt;"moeda")*(Inputs!$G$5:$G$170&lt;&gt;"acoes")))*INDEX(Inputs!$K$5:$AJ$170,0,MATCH(AH$2,Inputs!$K$4:$AJ$4,0)))+SUMPRODUCT((Inputs!$C$5:$C$170=$B9)*Inputs!$D$5:$D$170*(((Inputs!$G$5:$G$170="moeda")+(Inputs!$G$5:$G$170="acoes"))*Inputs!$B$1+((Inputs!$G$5:$G$170&lt;&gt;"moeda")*(Inputs!$G$5:$G$170&lt;&gt;"acoes")))*INDEX(Inputs!$K$5:$AJ$170,0,MATCH(AH$2,Inputs!$K$4:$AJ$4,0)))+SUMPRODUCT((Inputs!$E$5:$E$170=$B9)*Inputs!$F$5:$F$170*(((Inputs!$G$5:$G$170="moeda")+(Inputs!$G$5:$G$170="acoes"))*Inputs!$B$1+((Inputs!$G$5:$G$170&lt;&gt;"moeda")*(Inputs!$G$5:$G$170&lt;&gt;"acoes")))*INDEX(Inputs!$K$5:$AJ$170,0,MATCH(AH$2,Inputs!$K$4:$AJ$4,0)))))</f>
        <v>9.014</v>
      </c>
      <c r="AI9" s="6">
        <f>IF(ISNA(MATCH(AI$2,Inputs!$K$4:$AJ$4,0)),NA(),IF(SUMPRODUCT((Inputs!$A$5:$A$170=$B9)*ISNUMBER(INDEX(Inputs!$K$5:$AJ$170,0,MATCH(AI$2,Inputs!$K$4:$AJ$4,0))))+SUMPRODUCT((Inputs!$C$5:$C$170=$B9)*ISNUMBER(INDEX(Inputs!$K$5:$AJ$170,0,MATCH(AI$2,Inputs!$K$4:$AJ$4,0))))+SUMPRODUCT((Inputs!$E$5:$E$170=$B9)*ISNUMBER(INDEX(Inputs!$K$5:$AJ$170,0,MATCH(AI$2,Inputs!$K$4:$AJ$4,0))))=0,NA(),SUMPRODUCT((Inputs!$A$5:$A$170=$B9)*Inputs!$B$5:$B$170*(((Inputs!$G$5:$G$170="moeda")+(Inputs!$G$5:$G$170="acoes"))*Inputs!$B$1+((Inputs!$G$5:$G$170&lt;&gt;"moeda")*(Inputs!$G$5:$G$170&lt;&gt;"acoes")))*INDEX(Inputs!$K$5:$AJ$170,0,MATCH(AI$2,Inputs!$K$4:$AJ$4,0)))+SUMPRODUCT((Inputs!$C$5:$C$170=$B9)*Inputs!$D$5:$D$170*(((Inputs!$G$5:$G$170="moeda")+(Inputs!$G$5:$G$170="acoes"))*Inputs!$B$1+((Inputs!$G$5:$G$170&lt;&gt;"moeda")*(Inputs!$G$5:$G$170&lt;&gt;"acoes")))*INDEX(Inputs!$K$5:$AJ$170,0,MATCH(AI$2,Inputs!$K$4:$AJ$4,0)))+SUMPRODUCT((Inputs!$E$5:$E$170=$B9)*Inputs!$F$5:$F$170*(((Inputs!$G$5:$G$170="moeda")+(Inputs!$G$5:$G$170="acoes"))*Inputs!$B$1+((Inputs!$G$5:$G$170&lt;&gt;"moeda")*(Inputs!$G$5:$G$170&lt;&gt;"acoes")))*INDEX(Inputs!$K$5:$AJ$170,0,MATCH(AI$2,Inputs!$K$4:$AJ$4,0)))))</f>
        <v>27.271</v>
      </c>
      <c r="AJ9" s="6">
        <f>IF(ISNA(MATCH(AJ$2,Inputs!$K$4:$AJ$4,0)),NA(),IF(SUMPRODUCT((Inputs!$A$5:$A$170=$B9)*ISNUMBER(INDEX(Inputs!$K$5:$AJ$170,0,MATCH(AJ$2,Inputs!$K$4:$AJ$4,0))))+SUMPRODUCT((Inputs!$C$5:$C$170=$B9)*ISNUMBER(INDEX(Inputs!$K$5:$AJ$170,0,MATCH(AJ$2,Inputs!$K$4:$AJ$4,0))))+SUMPRODUCT((Inputs!$E$5:$E$170=$B9)*ISNUMBER(INDEX(Inputs!$K$5:$AJ$170,0,MATCH(AJ$2,Inputs!$K$4:$AJ$4,0))))=0,NA(),SUMPRODUCT((Inputs!$A$5:$A$170=$B9)*Inputs!$B$5:$B$170*(((Inputs!$G$5:$G$170="moeda")+(Inputs!$G$5:$G$170="acoes"))*Inputs!$B$1+((Inputs!$G$5:$G$170&lt;&gt;"moeda")*(Inputs!$G$5:$G$170&lt;&gt;"acoes")))*INDEX(Inputs!$K$5:$AJ$170,0,MATCH(AJ$2,Inputs!$K$4:$AJ$4,0)))+SUMPRODUCT((Inputs!$C$5:$C$170=$B9)*Inputs!$D$5:$D$170*(((Inputs!$G$5:$G$170="moeda")+(Inputs!$G$5:$G$170="acoes"))*Inputs!$B$1+((Inputs!$G$5:$G$170&lt;&gt;"moeda")*(Inputs!$G$5:$G$170&lt;&gt;"acoes")))*INDEX(Inputs!$K$5:$AJ$170,0,MATCH(AJ$2,Inputs!$K$4:$AJ$4,0)))+SUMPRODUCT((Inputs!$E$5:$E$170=$B9)*Inputs!$F$5:$F$170*(((Inputs!$G$5:$G$170="moeda")+(Inputs!$G$5:$G$170="acoes"))*Inputs!$B$1+((Inputs!$G$5:$G$170&lt;&gt;"moeda")*(Inputs!$G$5:$G$170&lt;&gt;"acoes")))*INDEX(Inputs!$K$5:$AJ$170,0,MATCH(AJ$2,Inputs!$K$4:$AJ$4,0)))))</f>
        <v>36.801</v>
      </c>
      <c r="AK9" s="6">
        <f>IF(ISNA(MATCH(AK$2,Inputs!$K$4:$AJ$4,0)),NA(),IF(SUMPRODUCT((Inputs!$A$5:$A$170=$B9)*ISNUMBER(INDEX(Inputs!$K$5:$AJ$170,0,MATCH(AK$2,Inputs!$K$4:$AJ$4,0))))+SUMPRODUCT((Inputs!$C$5:$C$170=$B9)*ISNUMBER(INDEX(Inputs!$K$5:$AJ$170,0,MATCH(AK$2,Inputs!$K$4:$AJ$4,0))))+SUMPRODUCT((Inputs!$E$5:$E$170=$B9)*ISNUMBER(INDEX(Inputs!$K$5:$AJ$170,0,MATCH(AK$2,Inputs!$K$4:$AJ$4,0))))=0,NA(),SUMPRODUCT((Inputs!$A$5:$A$170=$B9)*Inputs!$B$5:$B$170*(((Inputs!$G$5:$G$170="moeda")+(Inputs!$G$5:$G$170="acoes"))*Inputs!$B$1+((Inputs!$G$5:$G$170&lt;&gt;"moeda")*(Inputs!$G$5:$G$170&lt;&gt;"acoes")))*INDEX(Inputs!$K$5:$AJ$170,0,MATCH(AK$2,Inputs!$K$4:$AJ$4,0)))+SUMPRODUCT((Inputs!$C$5:$C$170=$B9)*Inputs!$D$5:$D$170*(((Inputs!$G$5:$G$170="moeda")+(Inputs!$G$5:$G$170="acoes"))*Inputs!$B$1+((Inputs!$G$5:$G$170&lt;&gt;"moeda")*(Inputs!$G$5:$G$170&lt;&gt;"acoes")))*INDEX(Inputs!$K$5:$AJ$170,0,MATCH(AK$2,Inputs!$K$4:$AJ$4,0)))+SUMPRODUCT((Inputs!$E$5:$E$170=$B9)*Inputs!$F$5:$F$170*(((Inputs!$G$5:$G$170="moeda")+(Inputs!$G$5:$G$170="acoes"))*Inputs!$B$1+((Inputs!$G$5:$G$170&lt;&gt;"moeda")*(Inputs!$G$5:$G$170&lt;&gt;"acoes")))*INDEX(Inputs!$K$5:$AJ$170,0,MATCH(AK$2,Inputs!$K$4:$AJ$4,0)))))</f>
        <v>8.439</v>
      </c>
      <c r="AL9" s="3">
        <f>SUM(AH9:AK9)</f>
        <v>81.525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$170=$B10)*ISNUMBER(INDEX(Inputs!$K$5:$AJ$170,0,MATCH(D$2,Inputs!$K$4:$AJ$4,0))))+SUMPRODUCT((Inputs!$C$5:$C$170=$B10)*ISNUMBER(INDEX(Inputs!$K$5:$AJ$170,0,MATCH(D$2,Inputs!$K$4:$AJ$4,0))))+SUMPRODUCT((Inputs!$E$5:$E$170=$B10)*ISNUMBER(INDEX(Inputs!$K$5:$AJ$170,0,MATCH(D$2,Inputs!$K$4:$AJ$4,0))))=0,NA(),SUMPRODUCT((Inputs!$A$5:$A$170=$B10)*Inputs!$B$5:$B$170*(((Inputs!$G$5:$G$170="moeda")+(Inputs!$G$5:$G$170="acoes"))*Inputs!$B$1+((Inputs!$G$5:$G$170&lt;&gt;"moeda")*(Inputs!$G$5:$G$170&lt;&gt;"acoes")))*INDEX(Inputs!$K$5:$AJ$170,0,MATCH(D$2,Inputs!$K$4:$AJ$4,0)))+SUMPRODUCT((Inputs!$C$5:$C$170=$B10)*Inputs!$D$5:$D$170*(((Inputs!$G$5:$G$170="moeda")+(Inputs!$G$5:$G$170="acoes"))*Inputs!$B$1+((Inputs!$G$5:$G$170&lt;&gt;"moeda")*(Inputs!$G$5:$G$170&lt;&gt;"acoes")))*INDEX(Inputs!$K$5:$AJ$170,0,MATCH(D$2,Inputs!$K$4:$AJ$4,0)))+SUMPRODUCT((Inputs!$E$5:$E$170=$B10)*Inputs!$F$5:$F$170*(((Inputs!$G$5:$G$170="moeda")+(Inputs!$G$5:$G$170="acoes"))*Inputs!$B$1+((Inputs!$G$5:$G$170&lt;&gt;"moeda")*(Inputs!$G$5:$G$170&lt;&gt;"acoes")))*INDEX(Inputs!$K$5:$AJ$170,0,MATCH(D$2,Inputs!$K$4:$AJ$4,0)))))</f>
        <v>-56.185</v>
      </c>
      <c r="E10" s="6">
        <f>IF(ISNA(MATCH(E$2,Inputs!$K$4:$AJ$4,0)),NA(),IF(SUMPRODUCT((Inputs!$A$5:$A$170=$B10)*ISNUMBER(INDEX(Inputs!$K$5:$AJ$170,0,MATCH(E$2,Inputs!$K$4:$AJ$4,0))))+SUMPRODUCT((Inputs!$C$5:$C$170=$B10)*ISNUMBER(INDEX(Inputs!$K$5:$AJ$170,0,MATCH(E$2,Inputs!$K$4:$AJ$4,0))))+SUMPRODUCT((Inputs!$E$5:$E$170=$B10)*ISNUMBER(INDEX(Inputs!$K$5:$AJ$170,0,MATCH(E$2,Inputs!$K$4:$AJ$4,0))))=0,NA(),SUMPRODUCT((Inputs!$A$5:$A$170=$B10)*Inputs!$B$5:$B$170*(((Inputs!$G$5:$G$170="moeda")+(Inputs!$G$5:$G$170="acoes"))*Inputs!$B$1+((Inputs!$G$5:$G$170&lt;&gt;"moeda")*(Inputs!$G$5:$G$170&lt;&gt;"acoes")))*INDEX(Inputs!$K$5:$AJ$170,0,MATCH(E$2,Inputs!$K$4:$AJ$4,0)))+SUMPRODUCT((Inputs!$C$5:$C$170=$B10)*Inputs!$D$5:$D$170*(((Inputs!$G$5:$G$170="moeda")+(Inputs!$G$5:$G$170="acoes"))*Inputs!$B$1+((Inputs!$G$5:$G$170&lt;&gt;"moeda")*(Inputs!$G$5:$G$170&lt;&gt;"acoes")))*INDEX(Inputs!$K$5:$AJ$170,0,MATCH(E$2,Inputs!$K$4:$AJ$4,0)))+SUMPRODUCT((Inputs!$E$5:$E$170=$B10)*Inputs!$F$5:$F$170*(((Inputs!$G$5:$G$170="moeda")+(Inputs!$G$5:$G$170="acoes"))*Inputs!$B$1+((Inputs!$G$5:$G$170&lt;&gt;"moeda")*(Inputs!$G$5:$G$170&lt;&gt;"acoes")))*INDEX(Inputs!$K$5:$AJ$170,0,MATCH(E$2,Inputs!$K$4:$AJ$4,0)))))</f>
        <v>-74.183</v>
      </c>
      <c r="F10" s="6">
        <f>IF(ISNA(MATCH(F$2,Inputs!$K$4:$AJ$4,0)),NA(),IF(SUMPRODUCT((Inputs!$A$5:$A$170=$B10)*ISNUMBER(INDEX(Inputs!$K$5:$AJ$170,0,MATCH(F$2,Inputs!$K$4:$AJ$4,0))))+SUMPRODUCT((Inputs!$C$5:$C$170=$B10)*ISNUMBER(INDEX(Inputs!$K$5:$AJ$170,0,MATCH(F$2,Inputs!$K$4:$AJ$4,0))))+SUMPRODUCT((Inputs!$E$5:$E$170=$B10)*ISNUMBER(INDEX(Inputs!$K$5:$AJ$170,0,MATCH(F$2,Inputs!$K$4:$AJ$4,0))))=0,NA(),SUMPRODUCT((Inputs!$A$5:$A$170=$B10)*Inputs!$B$5:$B$170*(((Inputs!$G$5:$G$170="moeda")+(Inputs!$G$5:$G$170="acoes"))*Inputs!$B$1+((Inputs!$G$5:$G$170&lt;&gt;"moeda")*(Inputs!$G$5:$G$170&lt;&gt;"acoes")))*INDEX(Inputs!$K$5:$AJ$170,0,MATCH(F$2,Inputs!$K$4:$AJ$4,0)))+SUMPRODUCT((Inputs!$C$5:$C$170=$B10)*Inputs!$D$5:$D$170*(((Inputs!$G$5:$G$170="moeda")+(Inputs!$G$5:$G$170="acoes"))*Inputs!$B$1+((Inputs!$G$5:$G$170&lt;&gt;"moeda")*(Inputs!$G$5:$G$170&lt;&gt;"acoes")))*INDEX(Inputs!$K$5:$AJ$170,0,MATCH(F$2,Inputs!$K$4:$AJ$4,0)))+SUMPRODUCT((Inputs!$E$5:$E$170=$B10)*Inputs!$F$5:$F$170*(((Inputs!$G$5:$G$170="moeda")+(Inputs!$G$5:$G$170="acoes"))*Inputs!$B$1+((Inputs!$G$5:$G$170&lt;&gt;"moeda")*(Inputs!$G$5:$G$170&lt;&gt;"acoes")))*INDEX(Inputs!$K$5:$AJ$170,0,MATCH(F$2,Inputs!$K$4:$AJ$4,0)))))</f>
        <v>-110.575</v>
      </c>
      <c r="G10" s="6">
        <f>IF(ISNA(MATCH(G$2,Inputs!$K$4:$AJ$4,0)),NA(),IF(SUMPRODUCT((Inputs!$A$5:$A$170=$B10)*ISNUMBER(INDEX(Inputs!$K$5:$AJ$170,0,MATCH(G$2,Inputs!$K$4:$AJ$4,0))))+SUMPRODUCT((Inputs!$C$5:$C$170=$B10)*ISNUMBER(INDEX(Inputs!$K$5:$AJ$170,0,MATCH(G$2,Inputs!$K$4:$AJ$4,0))))+SUMPRODUCT((Inputs!$E$5:$E$170=$B10)*ISNUMBER(INDEX(Inputs!$K$5:$AJ$170,0,MATCH(G$2,Inputs!$K$4:$AJ$4,0))))=0,NA(),SUMPRODUCT((Inputs!$A$5:$A$170=$B10)*Inputs!$B$5:$B$170*(((Inputs!$G$5:$G$170="moeda")+(Inputs!$G$5:$G$170="acoes"))*Inputs!$B$1+((Inputs!$G$5:$G$170&lt;&gt;"moeda")*(Inputs!$G$5:$G$170&lt;&gt;"acoes")))*INDEX(Inputs!$K$5:$AJ$170,0,MATCH(G$2,Inputs!$K$4:$AJ$4,0)))+SUMPRODUCT((Inputs!$C$5:$C$170=$B10)*Inputs!$D$5:$D$170*(((Inputs!$G$5:$G$170="moeda")+(Inputs!$G$5:$G$170="acoes"))*Inputs!$B$1+((Inputs!$G$5:$G$170&lt;&gt;"moeda")*(Inputs!$G$5:$G$170&lt;&gt;"acoes")))*INDEX(Inputs!$K$5:$AJ$170,0,MATCH(G$2,Inputs!$K$4:$AJ$4,0)))+SUMPRODUCT((Inputs!$E$5:$E$170=$B10)*Inputs!$F$5:$F$170*(((Inputs!$G$5:$G$170="moeda")+(Inputs!$G$5:$G$170="acoes"))*Inputs!$B$1+((Inputs!$G$5:$G$170&lt;&gt;"moeda")*(Inputs!$G$5:$G$170&lt;&gt;"acoes")))*INDEX(Inputs!$K$5:$AJ$170,0,MATCH(G$2,Inputs!$K$4:$AJ$4,0)))))</f>
        <v>-121.387</v>
      </c>
      <c r="H10" s="3">
        <f>SUM(D10:G10)</f>
        <v>-362.33</v>
      </c>
      <c r="I10" s="6">
        <f>IF(ISNA(MATCH(I$2,Inputs!$K$4:$AJ$4,0)),NA(),IF(SUMPRODUCT((Inputs!$A$5:$A$170=$B10)*ISNUMBER(INDEX(Inputs!$K$5:$AJ$170,0,MATCH(I$2,Inputs!$K$4:$AJ$4,0))))+SUMPRODUCT((Inputs!$C$5:$C$170=$B10)*ISNUMBER(INDEX(Inputs!$K$5:$AJ$170,0,MATCH(I$2,Inputs!$K$4:$AJ$4,0))))+SUMPRODUCT((Inputs!$E$5:$E$170=$B10)*ISNUMBER(INDEX(Inputs!$K$5:$AJ$170,0,MATCH(I$2,Inputs!$K$4:$AJ$4,0))))=0,NA(),SUMPRODUCT((Inputs!$A$5:$A$170=$B10)*Inputs!$B$5:$B$170*(((Inputs!$G$5:$G$170="moeda")+(Inputs!$G$5:$G$170="acoes"))*Inputs!$B$1+((Inputs!$G$5:$G$170&lt;&gt;"moeda")*(Inputs!$G$5:$G$170&lt;&gt;"acoes")))*INDEX(Inputs!$K$5:$AJ$170,0,MATCH(I$2,Inputs!$K$4:$AJ$4,0)))+SUMPRODUCT((Inputs!$C$5:$C$170=$B10)*Inputs!$D$5:$D$170*(((Inputs!$G$5:$G$170="moeda")+(Inputs!$G$5:$G$170="acoes"))*Inputs!$B$1+((Inputs!$G$5:$G$170&lt;&gt;"moeda")*(Inputs!$G$5:$G$170&lt;&gt;"acoes")))*INDEX(Inputs!$K$5:$AJ$170,0,MATCH(I$2,Inputs!$K$4:$AJ$4,0)))+SUMPRODUCT((Inputs!$E$5:$E$170=$B10)*Inputs!$F$5:$F$170*(((Inputs!$G$5:$G$170="moeda")+(Inputs!$G$5:$G$170="acoes"))*Inputs!$B$1+((Inputs!$G$5:$G$170&lt;&gt;"moeda")*(Inputs!$G$5:$G$170&lt;&gt;"acoes")))*INDEX(Inputs!$K$5:$AJ$170,0,MATCH(I$2,Inputs!$K$4:$AJ$4,0)))))</f>
        <v>-104.904</v>
      </c>
      <c r="J10" s="6">
        <f>IF(ISNA(MATCH(J$2,Inputs!$K$4:$AJ$4,0)),NA(),IF(SUMPRODUCT((Inputs!$A$5:$A$170=$B10)*ISNUMBER(INDEX(Inputs!$K$5:$AJ$170,0,MATCH(J$2,Inputs!$K$4:$AJ$4,0))))+SUMPRODUCT((Inputs!$C$5:$C$170=$B10)*ISNUMBER(INDEX(Inputs!$K$5:$AJ$170,0,MATCH(J$2,Inputs!$K$4:$AJ$4,0))))+SUMPRODUCT((Inputs!$E$5:$E$170=$B10)*ISNUMBER(INDEX(Inputs!$K$5:$AJ$170,0,MATCH(J$2,Inputs!$K$4:$AJ$4,0))))=0,NA(),SUMPRODUCT((Inputs!$A$5:$A$170=$B10)*Inputs!$B$5:$B$170*(((Inputs!$G$5:$G$170="moeda")+(Inputs!$G$5:$G$170="acoes"))*Inputs!$B$1+((Inputs!$G$5:$G$170&lt;&gt;"moeda")*(Inputs!$G$5:$G$170&lt;&gt;"acoes")))*INDEX(Inputs!$K$5:$AJ$170,0,MATCH(J$2,Inputs!$K$4:$AJ$4,0)))+SUMPRODUCT((Inputs!$C$5:$C$170=$B10)*Inputs!$D$5:$D$170*(((Inputs!$G$5:$G$170="moeda")+(Inputs!$G$5:$G$170="acoes"))*Inputs!$B$1+((Inputs!$G$5:$G$170&lt;&gt;"moeda")*(Inputs!$G$5:$G$170&lt;&gt;"acoes")))*INDEX(Inputs!$K$5:$AJ$170,0,MATCH(J$2,Inputs!$K$4:$AJ$4,0)))+SUMPRODUCT((Inputs!$E$5:$E$170=$B10)*Inputs!$F$5:$F$170*(((Inputs!$G$5:$G$170="moeda")+(Inputs!$G$5:$G$170="acoes"))*Inputs!$B$1+((Inputs!$G$5:$G$170&lt;&gt;"moeda")*(Inputs!$G$5:$G$170&lt;&gt;"acoes")))*INDEX(Inputs!$K$5:$AJ$170,0,MATCH(J$2,Inputs!$K$4:$AJ$4,0)))))</f>
        <v>-78.228</v>
      </c>
      <c r="K10" s="6">
        <f>IF(ISNA(MATCH(K$2,Inputs!$K$4:$AJ$4,0)),NA(),IF(SUMPRODUCT((Inputs!$A$5:$A$170=$B10)*ISNUMBER(INDEX(Inputs!$K$5:$AJ$170,0,MATCH(K$2,Inputs!$K$4:$AJ$4,0))))+SUMPRODUCT((Inputs!$C$5:$C$170=$B10)*ISNUMBER(INDEX(Inputs!$K$5:$AJ$170,0,MATCH(K$2,Inputs!$K$4:$AJ$4,0))))+SUMPRODUCT((Inputs!$E$5:$E$170=$B10)*ISNUMBER(INDEX(Inputs!$K$5:$AJ$170,0,MATCH(K$2,Inputs!$K$4:$AJ$4,0))))=0,NA(),SUMPRODUCT((Inputs!$A$5:$A$170=$B10)*Inputs!$B$5:$B$170*(((Inputs!$G$5:$G$170="moeda")+(Inputs!$G$5:$G$170="acoes"))*Inputs!$B$1+((Inputs!$G$5:$G$170&lt;&gt;"moeda")*(Inputs!$G$5:$G$170&lt;&gt;"acoes")))*INDEX(Inputs!$K$5:$AJ$170,0,MATCH(K$2,Inputs!$K$4:$AJ$4,0)))+SUMPRODUCT((Inputs!$C$5:$C$170=$B10)*Inputs!$D$5:$D$170*(((Inputs!$G$5:$G$170="moeda")+(Inputs!$G$5:$G$170="acoes"))*Inputs!$B$1+((Inputs!$G$5:$G$170&lt;&gt;"moeda")*(Inputs!$G$5:$G$170&lt;&gt;"acoes")))*INDEX(Inputs!$K$5:$AJ$170,0,MATCH(K$2,Inputs!$K$4:$AJ$4,0)))+SUMPRODUCT((Inputs!$E$5:$E$170=$B10)*Inputs!$F$5:$F$170*(((Inputs!$G$5:$G$170="moeda")+(Inputs!$G$5:$G$170="acoes"))*Inputs!$B$1+((Inputs!$G$5:$G$170&lt;&gt;"moeda")*(Inputs!$G$5:$G$170&lt;&gt;"acoes")))*INDEX(Inputs!$K$5:$AJ$170,0,MATCH(K$2,Inputs!$K$4:$AJ$4,0)))))</f>
        <v>-17.428</v>
      </c>
      <c r="L10" s="6">
        <f>IF(ISNA(MATCH(L$2,Inputs!$K$4:$AJ$4,0)),NA(),IF(SUMPRODUCT((Inputs!$A$5:$A$170=$B10)*ISNUMBER(INDEX(Inputs!$K$5:$AJ$170,0,MATCH(L$2,Inputs!$K$4:$AJ$4,0))))+SUMPRODUCT((Inputs!$C$5:$C$170=$B10)*ISNUMBER(INDEX(Inputs!$K$5:$AJ$170,0,MATCH(L$2,Inputs!$K$4:$AJ$4,0))))+SUMPRODUCT((Inputs!$E$5:$E$170=$B10)*ISNUMBER(INDEX(Inputs!$K$5:$AJ$170,0,MATCH(L$2,Inputs!$K$4:$AJ$4,0))))=0,NA(),SUMPRODUCT((Inputs!$A$5:$A$170=$B10)*Inputs!$B$5:$B$170*(((Inputs!$G$5:$G$170="moeda")+(Inputs!$G$5:$G$170="acoes"))*Inputs!$B$1+((Inputs!$G$5:$G$170&lt;&gt;"moeda")*(Inputs!$G$5:$G$170&lt;&gt;"acoes")))*INDEX(Inputs!$K$5:$AJ$170,0,MATCH(L$2,Inputs!$K$4:$AJ$4,0)))+SUMPRODUCT((Inputs!$C$5:$C$170=$B10)*Inputs!$D$5:$D$170*(((Inputs!$G$5:$G$170="moeda")+(Inputs!$G$5:$G$170="acoes"))*Inputs!$B$1+((Inputs!$G$5:$G$170&lt;&gt;"moeda")*(Inputs!$G$5:$G$170&lt;&gt;"acoes")))*INDEX(Inputs!$K$5:$AJ$170,0,MATCH(L$2,Inputs!$K$4:$AJ$4,0)))+SUMPRODUCT((Inputs!$E$5:$E$170=$B10)*Inputs!$F$5:$F$170*(((Inputs!$G$5:$G$170="moeda")+(Inputs!$G$5:$G$170="acoes"))*Inputs!$B$1+((Inputs!$G$5:$G$170&lt;&gt;"moeda")*(Inputs!$G$5:$G$170&lt;&gt;"acoes")))*INDEX(Inputs!$K$5:$AJ$170,0,MATCH(L$2,Inputs!$K$4:$AJ$4,0)))))</f>
        <v>41.556</v>
      </c>
      <c r="M10" s="3">
        <f>SUM(I10:L10)</f>
        <v>-159.004</v>
      </c>
      <c r="N10" s="6">
        <f>IF(ISNA(MATCH(N$2,Inputs!$K$4:$AJ$4,0)),NA(),IF(SUMPRODUCT((Inputs!$A$5:$A$170=$B10)*ISNUMBER(INDEX(Inputs!$K$5:$AJ$170,0,MATCH(N$2,Inputs!$K$4:$AJ$4,0))))+SUMPRODUCT((Inputs!$C$5:$C$170=$B10)*ISNUMBER(INDEX(Inputs!$K$5:$AJ$170,0,MATCH(N$2,Inputs!$K$4:$AJ$4,0))))+SUMPRODUCT((Inputs!$E$5:$E$170=$B10)*ISNUMBER(INDEX(Inputs!$K$5:$AJ$170,0,MATCH(N$2,Inputs!$K$4:$AJ$4,0))))=0,NA(),SUMPRODUCT((Inputs!$A$5:$A$170=$B10)*Inputs!$B$5:$B$170*(((Inputs!$G$5:$G$170="moeda")+(Inputs!$G$5:$G$170="acoes"))*Inputs!$B$1+((Inputs!$G$5:$G$170&lt;&gt;"moeda")*(Inputs!$G$5:$G$170&lt;&gt;"acoes")))*INDEX(Inputs!$K$5:$AJ$170,0,MATCH(N$2,Inputs!$K$4:$AJ$4,0)))+SUMPRODUCT((Inputs!$C$5:$C$170=$B10)*Inputs!$D$5:$D$170*(((Inputs!$G$5:$G$170="moeda")+(Inputs!$G$5:$G$170="acoes"))*Inputs!$B$1+((Inputs!$G$5:$G$170&lt;&gt;"moeda")*(Inputs!$G$5:$G$170&lt;&gt;"acoes")))*INDEX(Inputs!$K$5:$AJ$170,0,MATCH(N$2,Inputs!$K$4:$AJ$4,0)))+SUMPRODUCT((Inputs!$E$5:$E$170=$B10)*Inputs!$F$5:$F$170*(((Inputs!$G$5:$G$170="moeda")+(Inputs!$G$5:$G$170="acoes"))*Inputs!$B$1+((Inputs!$G$5:$G$170&lt;&gt;"moeda")*(Inputs!$G$5:$G$170&lt;&gt;"acoes")))*INDEX(Inputs!$K$5:$AJ$170,0,MATCH(N$2,Inputs!$K$4:$AJ$4,0)))))</f>
        <v>10.417</v>
      </c>
      <c r="O10" s="6">
        <f>IF(ISNA(MATCH(O$2,Inputs!$K$4:$AJ$4,0)),NA(),IF(SUMPRODUCT((Inputs!$A$5:$A$170=$B10)*ISNUMBER(INDEX(Inputs!$K$5:$AJ$170,0,MATCH(O$2,Inputs!$K$4:$AJ$4,0))))+SUMPRODUCT((Inputs!$C$5:$C$170=$B10)*ISNUMBER(INDEX(Inputs!$K$5:$AJ$170,0,MATCH(O$2,Inputs!$K$4:$AJ$4,0))))+SUMPRODUCT((Inputs!$E$5:$E$170=$B10)*ISNUMBER(INDEX(Inputs!$K$5:$AJ$170,0,MATCH(O$2,Inputs!$K$4:$AJ$4,0))))=0,NA(),SUMPRODUCT((Inputs!$A$5:$A$170=$B10)*Inputs!$B$5:$B$170*(((Inputs!$G$5:$G$170="moeda")+(Inputs!$G$5:$G$170="acoes"))*Inputs!$B$1+((Inputs!$G$5:$G$170&lt;&gt;"moeda")*(Inputs!$G$5:$G$170&lt;&gt;"acoes")))*INDEX(Inputs!$K$5:$AJ$170,0,MATCH(O$2,Inputs!$K$4:$AJ$4,0)))+SUMPRODUCT((Inputs!$C$5:$C$170=$B10)*Inputs!$D$5:$D$170*(((Inputs!$G$5:$G$170="moeda")+(Inputs!$G$5:$G$170="acoes"))*Inputs!$B$1+((Inputs!$G$5:$G$170&lt;&gt;"moeda")*(Inputs!$G$5:$G$170&lt;&gt;"acoes")))*INDEX(Inputs!$K$5:$AJ$170,0,MATCH(O$2,Inputs!$K$4:$AJ$4,0)))+SUMPRODUCT((Inputs!$E$5:$E$170=$B10)*Inputs!$F$5:$F$170*(((Inputs!$G$5:$G$170="moeda")+(Inputs!$G$5:$G$170="acoes"))*Inputs!$B$1+((Inputs!$G$5:$G$170&lt;&gt;"moeda")*(Inputs!$G$5:$G$170&lt;&gt;"acoes")))*INDEX(Inputs!$K$5:$AJ$170,0,MATCH(O$2,Inputs!$K$4:$AJ$4,0)))))</f>
        <v>6.673</v>
      </c>
      <c r="P10" s="6">
        <f>IF(ISNA(MATCH(P$2,Inputs!$K$4:$AJ$4,0)),NA(),IF(SUMPRODUCT((Inputs!$A$5:$A$170=$B10)*ISNUMBER(INDEX(Inputs!$K$5:$AJ$170,0,MATCH(P$2,Inputs!$K$4:$AJ$4,0))))+SUMPRODUCT((Inputs!$C$5:$C$170=$B10)*ISNUMBER(INDEX(Inputs!$K$5:$AJ$170,0,MATCH(P$2,Inputs!$K$4:$AJ$4,0))))+SUMPRODUCT((Inputs!$E$5:$E$170=$B10)*ISNUMBER(INDEX(Inputs!$K$5:$AJ$170,0,MATCH(P$2,Inputs!$K$4:$AJ$4,0))))=0,NA(),SUMPRODUCT((Inputs!$A$5:$A$170=$B10)*Inputs!$B$5:$B$170*(((Inputs!$G$5:$G$170="moeda")+(Inputs!$G$5:$G$170="acoes"))*Inputs!$B$1+((Inputs!$G$5:$G$170&lt;&gt;"moeda")*(Inputs!$G$5:$G$170&lt;&gt;"acoes")))*INDEX(Inputs!$K$5:$AJ$170,0,MATCH(P$2,Inputs!$K$4:$AJ$4,0)))+SUMPRODUCT((Inputs!$C$5:$C$170=$B10)*Inputs!$D$5:$D$170*(((Inputs!$G$5:$G$170="moeda")+(Inputs!$G$5:$G$170="acoes"))*Inputs!$B$1+((Inputs!$G$5:$G$170&lt;&gt;"moeda")*(Inputs!$G$5:$G$170&lt;&gt;"acoes")))*INDEX(Inputs!$K$5:$AJ$170,0,MATCH(P$2,Inputs!$K$4:$AJ$4,0)))+SUMPRODUCT((Inputs!$E$5:$E$170=$B10)*Inputs!$F$5:$F$170*(((Inputs!$G$5:$G$170="moeda")+(Inputs!$G$5:$G$170="acoes"))*Inputs!$B$1+((Inputs!$G$5:$G$170&lt;&gt;"moeda")*(Inputs!$G$5:$G$170&lt;&gt;"acoes")))*INDEX(Inputs!$K$5:$AJ$170,0,MATCH(P$2,Inputs!$K$4:$AJ$4,0)))))</f>
        <v>21.858</v>
      </c>
      <c r="Q10" s="6">
        <f>IF(ISNA(MATCH(Q$2,Inputs!$K$4:$AJ$4,0)),NA(),IF(SUMPRODUCT((Inputs!$A$5:$A$170=$B10)*ISNUMBER(INDEX(Inputs!$K$5:$AJ$170,0,MATCH(Q$2,Inputs!$K$4:$AJ$4,0))))+SUMPRODUCT((Inputs!$C$5:$C$170=$B10)*ISNUMBER(INDEX(Inputs!$K$5:$AJ$170,0,MATCH(Q$2,Inputs!$K$4:$AJ$4,0))))+SUMPRODUCT((Inputs!$E$5:$E$170=$B10)*ISNUMBER(INDEX(Inputs!$K$5:$AJ$170,0,MATCH(Q$2,Inputs!$K$4:$AJ$4,0))))=0,NA(),SUMPRODUCT((Inputs!$A$5:$A$170=$B10)*Inputs!$B$5:$B$170*(((Inputs!$G$5:$G$170="moeda")+(Inputs!$G$5:$G$170="acoes"))*Inputs!$B$1+((Inputs!$G$5:$G$170&lt;&gt;"moeda")*(Inputs!$G$5:$G$170&lt;&gt;"acoes")))*INDEX(Inputs!$K$5:$AJ$170,0,MATCH(Q$2,Inputs!$K$4:$AJ$4,0)))+SUMPRODUCT((Inputs!$C$5:$C$170=$B10)*Inputs!$D$5:$D$170*(((Inputs!$G$5:$G$170="moeda")+(Inputs!$G$5:$G$170="acoes"))*Inputs!$B$1+((Inputs!$G$5:$G$170&lt;&gt;"moeda")*(Inputs!$G$5:$G$170&lt;&gt;"acoes")))*INDEX(Inputs!$K$5:$AJ$170,0,MATCH(Q$2,Inputs!$K$4:$AJ$4,0)))+SUMPRODUCT((Inputs!$E$5:$E$170=$B10)*Inputs!$F$5:$F$170*(((Inputs!$G$5:$G$170="moeda")+(Inputs!$G$5:$G$170="acoes"))*Inputs!$B$1+((Inputs!$G$5:$G$170&lt;&gt;"moeda")*(Inputs!$G$5:$G$170&lt;&gt;"acoes")))*INDEX(Inputs!$K$5:$AJ$170,0,MATCH(Q$2,Inputs!$K$4:$AJ$4,0)))))</f>
        <v>147.011</v>
      </c>
      <c r="R10" s="3">
        <f>SUM(N10:Q10)</f>
        <v>185.959</v>
      </c>
      <c r="S10" s="6">
        <f>IF(ISNA(MATCH(S$2,Inputs!$K$4:$AJ$4,0)),NA(),IF(SUMPRODUCT((Inputs!$A$5:$A$170=$B10)*ISNUMBER(INDEX(Inputs!$K$5:$AJ$170,0,MATCH(S$2,Inputs!$K$4:$AJ$4,0))))+SUMPRODUCT((Inputs!$C$5:$C$170=$B10)*ISNUMBER(INDEX(Inputs!$K$5:$AJ$170,0,MATCH(S$2,Inputs!$K$4:$AJ$4,0))))+SUMPRODUCT((Inputs!$E$5:$E$170=$B10)*ISNUMBER(INDEX(Inputs!$K$5:$AJ$170,0,MATCH(S$2,Inputs!$K$4:$AJ$4,0))))=0,NA(),SUMPRODUCT((Inputs!$A$5:$A$170=$B10)*Inputs!$B$5:$B$170*(((Inputs!$G$5:$G$170="moeda")+(Inputs!$G$5:$G$170="acoes"))*Inputs!$B$1+((Inputs!$G$5:$G$170&lt;&gt;"moeda")*(Inputs!$G$5:$G$170&lt;&gt;"acoes")))*INDEX(Inputs!$K$5:$AJ$170,0,MATCH(S$2,Inputs!$K$4:$AJ$4,0)))+SUMPRODUCT((Inputs!$C$5:$C$170=$B10)*Inputs!$D$5:$D$170*(((Inputs!$G$5:$G$170="moeda")+(Inputs!$G$5:$G$170="acoes"))*Inputs!$B$1+((Inputs!$G$5:$G$170&lt;&gt;"moeda")*(Inputs!$G$5:$G$170&lt;&gt;"acoes")))*INDEX(Inputs!$K$5:$AJ$170,0,MATCH(S$2,Inputs!$K$4:$AJ$4,0)))+SUMPRODUCT((Inputs!$E$5:$E$170=$B10)*Inputs!$F$5:$F$170*(((Inputs!$G$5:$G$170="moeda")+(Inputs!$G$5:$G$170="acoes"))*Inputs!$B$1+((Inputs!$G$5:$G$170&lt;&gt;"moeda")*(Inputs!$G$5:$G$170&lt;&gt;"acoes")))*INDEX(Inputs!$K$5:$AJ$170,0,MATCH(S$2,Inputs!$K$4:$AJ$4,0)))))</f>
        <v>-24.287</v>
      </c>
      <c r="T10" s="6">
        <f>IF(ISNA(MATCH(T$2,Inputs!$K$4:$AJ$4,0)),NA(),IF(SUMPRODUCT((Inputs!$A$5:$A$170=$B10)*ISNUMBER(INDEX(Inputs!$K$5:$AJ$170,0,MATCH(T$2,Inputs!$K$4:$AJ$4,0))))+SUMPRODUCT((Inputs!$C$5:$C$170=$B10)*ISNUMBER(INDEX(Inputs!$K$5:$AJ$170,0,MATCH(T$2,Inputs!$K$4:$AJ$4,0))))+SUMPRODUCT((Inputs!$E$5:$E$170=$B10)*ISNUMBER(INDEX(Inputs!$K$5:$AJ$170,0,MATCH(T$2,Inputs!$K$4:$AJ$4,0))))=0,NA(),SUMPRODUCT((Inputs!$A$5:$A$170=$B10)*Inputs!$B$5:$B$170*(((Inputs!$G$5:$G$170="moeda")+(Inputs!$G$5:$G$170="acoes"))*Inputs!$B$1+((Inputs!$G$5:$G$170&lt;&gt;"moeda")*(Inputs!$G$5:$G$170&lt;&gt;"acoes")))*INDEX(Inputs!$K$5:$AJ$170,0,MATCH(T$2,Inputs!$K$4:$AJ$4,0)))+SUMPRODUCT((Inputs!$C$5:$C$170=$B10)*Inputs!$D$5:$D$170*(((Inputs!$G$5:$G$170="moeda")+(Inputs!$G$5:$G$170="acoes"))*Inputs!$B$1+((Inputs!$G$5:$G$170&lt;&gt;"moeda")*(Inputs!$G$5:$G$170&lt;&gt;"acoes")))*INDEX(Inputs!$K$5:$AJ$170,0,MATCH(T$2,Inputs!$K$4:$AJ$4,0)))+SUMPRODUCT((Inputs!$E$5:$E$170=$B10)*Inputs!$F$5:$F$170*(((Inputs!$G$5:$G$170="moeda")+(Inputs!$G$5:$G$170="acoes"))*Inputs!$B$1+((Inputs!$G$5:$G$170&lt;&gt;"moeda")*(Inputs!$G$5:$G$170&lt;&gt;"acoes")))*INDEX(Inputs!$K$5:$AJ$170,0,MATCH(T$2,Inputs!$K$4:$AJ$4,0)))))</f>
        <v>-14.056</v>
      </c>
      <c r="U10" s="6">
        <f>IF(ISNA(MATCH(U$2,Inputs!$K$4:$AJ$4,0)),NA(),IF(SUMPRODUCT((Inputs!$A$5:$A$170=$B10)*ISNUMBER(INDEX(Inputs!$K$5:$AJ$170,0,MATCH(U$2,Inputs!$K$4:$AJ$4,0))))+SUMPRODUCT((Inputs!$C$5:$C$170=$B10)*ISNUMBER(INDEX(Inputs!$K$5:$AJ$170,0,MATCH(U$2,Inputs!$K$4:$AJ$4,0))))+SUMPRODUCT((Inputs!$E$5:$E$170=$B10)*ISNUMBER(INDEX(Inputs!$K$5:$AJ$170,0,MATCH(U$2,Inputs!$K$4:$AJ$4,0))))=0,NA(),SUMPRODUCT((Inputs!$A$5:$A$170=$B10)*Inputs!$B$5:$B$170*(((Inputs!$G$5:$G$170="moeda")+(Inputs!$G$5:$G$170="acoes"))*Inputs!$B$1+((Inputs!$G$5:$G$170&lt;&gt;"moeda")*(Inputs!$G$5:$G$170&lt;&gt;"acoes")))*INDEX(Inputs!$K$5:$AJ$170,0,MATCH(U$2,Inputs!$K$4:$AJ$4,0)))+SUMPRODUCT((Inputs!$C$5:$C$170=$B10)*Inputs!$D$5:$D$170*(((Inputs!$G$5:$G$170="moeda")+(Inputs!$G$5:$G$170="acoes"))*Inputs!$B$1+((Inputs!$G$5:$G$170&lt;&gt;"moeda")*(Inputs!$G$5:$G$170&lt;&gt;"acoes")))*INDEX(Inputs!$K$5:$AJ$170,0,MATCH(U$2,Inputs!$K$4:$AJ$4,0)))+SUMPRODUCT((Inputs!$E$5:$E$170=$B10)*Inputs!$F$5:$F$170*(((Inputs!$G$5:$G$170="moeda")+(Inputs!$G$5:$G$170="acoes"))*Inputs!$B$1+((Inputs!$G$5:$G$170&lt;&gt;"moeda")*(Inputs!$G$5:$G$170&lt;&gt;"acoes")))*INDEX(Inputs!$K$5:$AJ$170,0,MATCH(U$2,Inputs!$K$4:$AJ$4,0)))))</f>
        <v>-23.602</v>
      </c>
      <c r="V10" s="6">
        <f>IF(ISNA(MATCH(V$2,Inputs!$K$4:$AJ$4,0)),NA(),IF(SUMPRODUCT((Inputs!$A$5:$A$170=$B10)*ISNUMBER(INDEX(Inputs!$K$5:$AJ$170,0,MATCH(V$2,Inputs!$K$4:$AJ$4,0))))+SUMPRODUCT((Inputs!$C$5:$C$170=$B10)*ISNUMBER(INDEX(Inputs!$K$5:$AJ$170,0,MATCH(V$2,Inputs!$K$4:$AJ$4,0))))+SUMPRODUCT((Inputs!$E$5:$E$170=$B10)*ISNUMBER(INDEX(Inputs!$K$5:$AJ$170,0,MATCH(V$2,Inputs!$K$4:$AJ$4,0))))=0,NA(),SUMPRODUCT((Inputs!$A$5:$A$170=$B10)*Inputs!$B$5:$B$170*(((Inputs!$G$5:$G$170="moeda")+(Inputs!$G$5:$G$170="acoes"))*Inputs!$B$1+((Inputs!$G$5:$G$170&lt;&gt;"moeda")*(Inputs!$G$5:$G$170&lt;&gt;"acoes")))*INDEX(Inputs!$K$5:$AJ$170,0,MATCH(V$2,Inputs!$K$4:$AJ$4,0)))+SUMPRODUCT((Inputs!$C$5:$C$170=$B10)*Inputs!$D$5:$D$170*(((Inputs!$G$5:$G$170="moeda")+(Inputs!$G$5:$G$170="acoes"))*Inputs!$B$1+((Inputs!$G$5:$G$170&lt;&gt;"moeda")*(Inputs!$G$5:$G$170&lt;&gt;"acoes")))*INDEX(Inputs!$K$5:$AJ$170,0,MATCH(V$2,Inputs!$K$4:$AJ$4,0)))+SUMPRODUCT((Inputs!$E$5:$E$170=$B10)*Inputs!$F$5:$F$170*(((Inputs!$G$5:$G$170="moeda")+(Inputs!$G$5:$G$170="acoes"))*Inputs!$B$1+((Inputs!$G$5:$G$170&lt;&gt;"moeda")*(Inputs!$G$5:$G$170&lt;&gt;"acoes")))*INDEX(Inputs!$K$5:$AJ$170,0,MATCH(V$2,Inputs!$K$4:$AJ$4,0)))))</f>
        <v>-16.094</v>
      </c>
      <c r="W10" s="3">
        <f>SUM(S10:V10)</f>
        <v>-78.039</v>
      </c>
      <c r="X10" s="6">
        <f>IF(ISNA(MATCH(X$2,Inputs!$K$4:$AJ$4,0)),NA(),IF(SUMPRODUCT((Inputs!$A$5:$A$170=$B10)*ISNUMBER(INDEX(Inputs!$K$5:$AJ$170,0,MATCH(X$2,Inputs!$K$4:$AJ$4,0))))+SUMPRODUCT((Inputs!$C$5:$C$170=$B10)*ISNUMBER(INDEX(Inputs!$K$5:$AJ$170,0,MATCH(X$2,Inputs!$K$4:$AJ$4,0))))+SUMPRODUCT((Inputs!$E$5:$E$170=$B10)*ISNUMBER(INDEX(Inputs!$K$5:$AJ$170,0,MATCH(X$2,Inputs!$K$4:$AJ$4,0))))=0,NA(),SUMPRODUCT((Inputs!$A$5:$A$170=$B10)*Inputs!$B$5:$B$170*(((Inputs!$G$5:$G$170="moeda")+(Inputs!$G$5:$G$170="acoes"))*Inputs!$B$1+((Inputs!$G$5:$G$170&lt;&gt;"moeda")*(Inputs!$G$5:$G$170&lt;&gt;"acoes")))*INDEX(Inputs!$K$5:$AJ$170,0,MATCH(X$2,Inputs!$K$4:$AJ$4,0)))+SUMPRODUCT((Inputs!$C$5:$C$170=$B10)*Inputs!$D$5:$D$170*(((Inputs!$G$5:$G$170="moeda")+(Inputs!$G$5:$G$170="acoes"))*Inputs!$B$1+((Inputs!$G$5:$G$170&lt;&gt;"moeda")*(Inputs!$G$5:$G$170&lt;&gt;"acoes")))*INDEX(Inputs!$K$5:$AJ$170,0,MATCH(X$2,Inputs!$K$4:$AJ$4,0)))+SUMPRODUCT((Inputs!$E$5:$E$170=$B10)*Inputs!$F$5:$F$170*(((Inputs!$G$5:$G$170="moeda")+(Inputs!$G$5:$G$170="acoes"))*Inputs!$B$1+((Inputs!$G$5:$G$170&lt;&gt;"moeda")*(Inputs!$G$5:$G$170&lt;&gt;"acoes")))*INDEX(Inputs!$K$5:$AJ$170,0,MATCH(X$2,Inputs!$K$4:$AJ$4,0)))))</f>
        <v>-32.277</v>
      </c>
      <c r="Y10" s="6">
        <f>IF(ISNA(MATCH(Y$2,Inputs!$K$4:$AJ$4,0)),NA(),IF(SUMPRODUCT((Inputs!$A$5:$A$170=$B10)*ISNUMBER(INDEX(Inputs!$K$5:$AJ$170,0,MATCH(Y$2,Inputs!$K$4:$AJ$4,0))))+SUMPRODUCT((Inputs!$C$5:$C$170=$B10)*ISNUMBER(INDEX(Inputs!$K$5:$AJ$170,0,MATCH(Y$2,Inputs!$K$4:$AJ$4,0))))+SUMPRODUCT((Inputs!$E$5:$E$170=$B10)*ISNUMBER(INDEX(Inputs!$K$5:$AJ$170,0,MATCH(Y$2,Inputs!$K$4:$AJ$4,0))))=0,NA(),SUMPRODUCT((Inputs!$A$5:$A$170=$B10)*Inputs!$B$5:$B$170*(((Inputs!$G$5:$G$170="moeda")+(Inputs!$G$5:$G$170="acoes"))*Inputs!$B$1+((Inputs!$G$5:$G$170&lt;&gt;"moeda")*(Inputs!$G$5:$G$170&lt;&gt;"acoes")))*INDEX(Inputs!$K$5:$AJ$170,0,MATCH(Y$2,Inputs!$K$4:$AJ$4,0)))+SUMPRODUCT((Inputs!$C$5:$C$170=$B10)*Inputs!$D$5:$D$170*(((Inputs!$G$5:$G$170="moeda")+(Inputs!$G$5:$G$170="acoes"))*Inputs!$B$1+((Inputs!$G$5:$G$170&lt;&gt;"moeda")*(Inputs!$G$5:$G$170&lt;&gt;"acoes")))*INDEX(Inputs!$K$5:$AJ$170,0,MATCH(Y$2,Inputs!$K$4:$AJ$4,0)))+SUMPRODUCT((Inputs!$E$5:$E$170=$B10)*Inputs!$F$5:$F$170*(((Inputs!$G$5:$G$170="moeda")+(Inputs!$G$5:$G$170="acoes"))*Inputs!$B$1+((Inputs!$G$5:$G$170&lt;&gt;"moeda")*(Inputs!$G$5:$G$170&lt;&gt;"acoes")))*INDEX(Inputs!$K$5:$AJ$170,0,MATCH(Y$2,Inputs!$K$4:$AJ$4,0)))))</f>
        <v>-23.716</v>
      </c>
      <c r="Z10" s="6">
        <f>IF(ISNA(MATCH(Z$2,Inputs!$K$4:$AJ$4,0)),NA(),IF(SUMPRODUCT((Inputs!$A$5:$A$170=$B10)*ISNUMBER(INDEX(Inputs!$K$5:$AJ$170,0,MATCH(Z$2,Inputs!$K$4:$AJ$4,0))))+SUMPRODUCT((Inputs!$C$5:$C$170=$B10)*ISNUMBER(INDEX(Inputs!$K$5:$AJ$170,0,MATCH(Z$2,Inputs!$K$4:$AJ$4,0))))+SUMPRODUCT((Inputs!$E$5:$E$170=$B10)*ISNUMBER(INDEX(Inputs!$K$5:$AJ$170,0,MATCH(Z$2,Inputs!$K$4:$AJ$4,0))))=0,NA(),SUMPRODUCT((Inputs!$A$5:$A$170=$B10)*Inputs!$B$5:$B$170*(((Inputs!$G$5:$G$170="moeda")+(Inputs!$G$5:$G$170="acoes"))*Inputs!$B$1+((Inputs!$G$5:$G$170&lt;&gt;"moeda")*(Inputs!$G$5:$G$170&lt;&gt;"acoes")))*INDEX(Inputs!$K$5:$AJ$170,0,MATCH(Z$2,Inputs!$K$4:$AJ$4,0)))+SUMPRODUCT((Inputs!$C$5:$C$170=$B10)*Inputs!$D$5:$D$170*(((Inputs!$G$5:$G$170="moeda")+(Inputs!$G$5:$G$170="acoes"))*Inputs!$B$1+((Inputs!$G$5:$G$170&lt;&gt;"moeda")*(Inputs!$G$5:$G$170&lt;&gt;"acoes")))*INDEX(Inputs!$K$5:$AJ$170,0,MATCH(Z$2,Inputs!$K$4:$AJ$4,0)))+SUMPRODUCT((Inputs!$E$5:$E$170=$B10)*Inputs!$F$5:$F$170*(((Inputs!$G$5:$G$170="moeda")+(Inputs!$G$5:$G$170="acoes"))*Inputs!$B$1+((Inputs!$G$5:$G$170&lt;&gt;"moeda")*(Inputs!$G$5:$G$170&lt;&gt;"acoes")))*INDEX(Inputs!$K$5:$AJ$170,0,MATCH(Z$2,Inputs!$K$4:$AJ$4,0)))))</f>
        <v>11.181</v>
      </c>
      <c r="AA10" s="6">
        <f>IF(ISNA(MATCH(AA$2,Inputs!$K$4:$AJ$4,0)),NA(),IF(SUMPRODUCT((Inputs!$A$5:$A$170=$B10)*ISNUMBER(INDEX(Inputs!$K$5:$AJ$170,0,MATCH(AA$2,Inputs!$K$4:$AJ$4,0))))+SUMPRODUCT((Inputs!$C$5:$C$170=$B10)*ISNUMBER(INDEX(Inputs!$K$5:$AJ$170,0,MATCH(AA$2,Inputs!$K$4:$AJ$4,0))))+SUMPRODUCT((Inputs!$E$5:$E$170=$B10)*ISNUMBER(INDEX(Inputs!$K$5:$AJ$170,0,MATCH(AA$2,Inputs!$K$4:$AJ$4,0))))=0,NA(),SUMPRODUCT((Inputs!$A$5:$A$170=$B10)*Inputs!$B$5:$B$170*(((Inputs!$G$5:$G$170="moeda")+(Inputs!$G$5:$G$170="acoes"))*Inputs!$B$1+((Inputs!$G$5:$G$170&lt;&gt;"moeda")*(Inputs!$G$5:$G$170&lt;&gt;"acoes")))*INDEX(Inputs!$K$5:$AJ$170,0,MATCH(AA$2,Inputs!$K$4:$AJ$4,0)))+SUMPRODUCT((Inputs!$C$5:$C$170=$B10)*Inputs!$D$5:$D$170*(((Inputs!$G$5:$G$170="moeda")+(Inputs!$G$5:$G$170="acoes"))*Inputs!$B$1+((Inputs!$G$5:$G$170&lt;&gt;"moeda")*(Inputs!$G$5:$G$170&lt;&gt;"acoes")))*INDEX(Inputs!$K$5:$AJ$170,0,MATCH(AA$2,Inputs!$K$4:$AJ$4,0)))+SUMPRODUCT((Inputs!$E$5:$E$170=$B10)*Inputs!$F$5:$F$170*(((Inputs!$G$5:$G$170="moeda")+(Inputs!$G$5:$G$170="acoes"))*Inputs!$B$1+((Inputs!$G$5:$G$170&lt;&gt;"moeda")*(Inputs!$G$5:$G$170&lt;&gt;"acoes")))*INDEX(Inputs!$K$5:$AJ$170,0,MATCH(AA$2,Inputs!$K$4:$AJ$4,0)))))</f>
        <v>15.5748332274144</v>
      </c>
      <c r="AB10" s="3">
        <f>SUM(X10:AA10)</f>
        <v>-29.2371667725856</v>
      </c>
      <c r="AC10" s="6">
        <f>IF(ISNA(MATCH(AC$2,Inputs!$K$4:$AJ$4,0)),NA(),IF(SUMPRODUCT((Inputs!$A$5:$A$170=$B10)*ISNUMBER(INDEX(Inputs!$K$5:$AJ$170,0,MATCH(AC$2,Inputs!$K$4:$AJ$4,0))))+SUMPRODUCT((Inputs!$C$5:$C$170=$B10)*ISNUMBER(INDEX(Inputs!$K$5:$AJ$170,0,MATCH(AC$2,Inputs!$K$4:$AJ$4,0))))+SUMPRODUCT((Inputs!$E$5:$E$170=$B10)*ISNUMBER(INDEX(Inputs!$K$5:$AJ$170,0,MATCH(AC$2,Inputs!$K$4:$AJ$4,0))))=0,NA(),SUMPRODUCT((Inputs!$A$5:$A$170=$B10)*Inputs!$B$5:$B$170*(((Inputs!$G$5:$G$170="moeda")+(Inputs!$G$5:$G$170="acoes"))*Inputs!$B$1+((Inputs!$G$5:$G$170&lt;&gt;"moeda")*(Inputs!$G$5:$G$170&lt;&gt;"acoes")))*INDEX(Inputs!$K$5:$AJ$170,0,MATCH(AC$2,Inputs!$K$4:$AJ$4,0)))+SUMPRODUCT((Inputs!$C$5:$C$170=$B10)*Inputs!$D$5:$D$170*(((Inputs!$G$5:$G$170="moeda")+(Inputs!$G$5:$G$170="acoes"))*Inputs!$B$1+((Inputs!$G$5:$G$170&lt;&gt;"moeda")*(Inputs!$G$5:$G$170&lt;&gt;"acoes")))*INDEX(Inputs!$K$5:$AJ$170,0,MATCH(AC$2,Inputs!$K$4:$AJ$4,0)))+SUMPRODUCT((Inputs!$E$5:$E$170=$B10)*Inputs!$F$5:$F$170*(((Inputs!$G$5:$G$170="moeda")+(Inputs!$G$5:$G$170="acoes"))*Inputs!$B$1+((Inputs!$G$5:$G$170&lt;&gt;"moeda")*(Inputs!$G$5:$G$170&lt;&gt;"acoes")))*INDEX(Inputs!$K$5:$AJ$170,0,MATCH(AC$2,Inputs!$K$4:$AJ$4,0)))))</f>
        <v>-39.7829993985975</v>
      </c>
      <c r="AD10" s="6">
        <f>IF(ISNA(MATCH(AD$2,Inputs!$K$4:$AJ$4,0)),NA(),IF(SUMPRODUCT((Inputs!$A$5:$A$170=$B10)*ISNUMBER(INDEX(Inputs!$K$5:$AJ$170,0,MATCH(AD$2,Inputs!$K$4:$AJ$4,0))))+SUMPRODUCT((Inputs!$C$5:$C$170=$B10)*ISNUMBER(INDEX(Inputs!$K$5:$AJ$170,0,MATCH(AD$2,Inputs!$K$4:$AJ$4,0))))+SUMPRODUCT((Inputs!$E$5:$E$170=$B10)*ISNUMBER(INDEX(Inputs!$K$5:$AJ$170,0,MATCH(AD$2,Inputs!$K$4:$AJ$4,0))))=0,NA(),SUMPRODUCT((Inputs!$A$5:$A$170=$B10)*Inputs!$B$5:$B$170*(((Inputs!$G$5:$G$170="moeda")+(Inputs!$G$5:$G$170="acoes"))*Inputs!$B$1+((Inputs!$G$5:$G$170&lt;&gt;"moeda")*(Inputs!$G$5:$G$170&lt;&gt;"acoes")))*INDEX(Inputs!$K$5:$AJ$170,0,MATCH(AD$2,Inputs!$K$4:$AJ$4,0)))+SUMPRODUCT((Inputs!$C$5:$C$170=$B10)*Inputs!$D$5:$D$170*(((Inputs!$G$5:$G$170="moeda")+(Inputs!$G$5:$G$170="acoes"))*Inputs!$B$1+((Inputs!$G$5:$G$170&lt;&gt;"moeda")*(Inputs!$G$5:$G$170&lt;&gt;"acoes")))*INDEX(Inputs!$K$5:$AJ$170,0,MATCH(AD$2,Inputs!$K$4:$AJ$4,0)))+SUMPRODUCT((Inputs!$E$5:$E$170=$B10)*Inputs!$F$5:$F$170*(((Inputs!$G$5:$G$170="moeda")+(Inputs!$G$5:$G$170="acoes"))*Inputs!$B$1+((Inputs!$G$5:$G$170&lt;&gt;"moeda")*(Inputs!$G$5:$G$170&lt;&gt;"acoes")))*INDEX(Inputs!$K$5:$AJ$170,0,MATCH(AD$2,Inputs!$K$4:$AJ$4,0)))))</f>
        <v>-33.8954723234437</v>
      </c>
      <c r="AE10" s="6" t="e">
        <f>IF(ISNA(MATCH(AE$2,Inputs!$K$4:$AJ$4,0)),NA(),IF(SUMPRODUCT((Inputs!$A$5:$A$170=$B10)*ISNUMBER(INDEX(Inputs!$K$5:$AJ$170,0,MATCH(AE$2,Inputs!$K$4:$AJ$4,0))))+SUMPRODUCT((Inputs!$C$5:$C$170=$B10)*ISNUMBER(INDEX(Inputs!$K$5:$AJ$170,0,MATCH(AE$2,Inputs!$K$4:$AJ$4,0))))+SUMPRODUCT((Inputs!$E$5:$E$170=$B10)*ISNUMBER(INDEX(Inputs!$K$5:$AJ$170,0,MATCH(AE$2,Inputs!$K$4:$AJ$4,0))))=0,NA(),SUMPRODUCT((Inputs!$A$5:$A$170=$B10)*Inputs!$B$5:$B$170*(((Inputs!$G$5:$G$170="moeda")+(Inputs!$G$5:$G$170="acoes"))*Inputs!$B$1+((Inputs!$G$5:$G$170&lt;&gt;"moeda")*(Inputs!$G$5:$G$170&lt;&gt;"acoes")))*INDEX(Inputs!$K$5:$AJ$170,0,MATCH(AE$2,Inputs!$K$4:$AJ$4,0)))+SUMPRODUCT((Inputs!$C$5:$C$170=$B10)*Inputs!$D$5:$D$170*(((Inputs!$G$5:$G$170="moeda")+(Inputs!$G$5:$G$170="acoes"))*Inputs!$B$1+((Inputs!$G$5:$G$170&lt;&gt;"moeda")*(Inputs!$G$5:$G$170&lt;&gt;"acoes")))*INDEX(Inputs!$K$5:$AJ$170,0,MATCH(AE$2,Inputs!$K$4:$AJ$4,0)))+SUMPRODUCT((Inputs!$E$5:$E$170=$B10)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0" s="6" t="e">
        <f>IF(ISNA(MATCH(AF$2,Inputs!$K$4:$AJ$4,0)),NA(),IF(SUMPRODUCT((Inputs!$A$5:$A$170=$B10)*ISNUMBER(INDEX(Inputs!$K$5:$AJ$170,0,MATCH(AF$2,Inputs!$K$4:$AJ$4,0))))+SUMPRODUCT((Inputs!$C$5:$C$170=$B10)*ISNUMBER(INDEX(Inputs!$K$5:$AJ$170,0,MATCH(AF$2,Inputs!$K$4:$AJ$4,0))))+SUMPRODUCT((Inputs!$E$5:$E$170=$B10)*ISNUMBER(INDEX(Inputs!$K$5:$AJ$170,0,MATCH(AF$2,Inputs!$K$4:$AJ$4,0))))=0,NA(),SUMPRODUCT((Inputs!$A$5:$A$170=$B10)*Inputs!$B$5:$B$170*(((Inputs!$G$5:$G$170="moeda")+(Inputs!$G$5:$G$170="acoes"))*Inputs!$B$1+((Inputs!$G$5:$G$170&lt;&gt;"moeda")*(Inputs!$G$5:$G$170&lt;&gt;"acoes")))*INDEX(Inputs!$K$5:$AJ$170,0,MATCH(AF$2,Inputs!$K$4:$AJ$4,0)))+SUMPRODUCT((Inputs!$C$5:$C$170=$B10)*Inputs!$D$5:$D$170*(((Inputs!$G$5:$G$170="moeda")+(Inputs!$G$5:$G$170="acoes"))*Inputs!$B$1+((Inputs!$G$5:$G$170&lt;&gt;"moeda")*(Inputs!$G$5:$G$170&lt;&gt;"acoes")))*INDEX(Inputs!$K$5:$AJ$170,0,MATCH(AF$2,Inputs!$K$4:$AJ$4,0)))+SUMPRODUCT((Inputs!$E$5:$E$170=$B10)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$170=$B10)*ISNUMBER(INDEX(Inputs!$K$5:$AJ$170,0,MATCH(AH$2,Inputs!$K$4:$AJ$4,0))))+SUMPRODUCT((Inputs!$C$5:$C$170=$B10)*ISNUMBER(INDEX(Inputs!$K$5:$AJ$170,0,MATCH(AH$2,Inputs!$K$4:$AJ$4,0))))+SUMPRODUCT((Inputs!$E$5:$E$170=$B10)*ISNUMBER(INDEX(Inputs!$K$5:$AJ$170,0,MATCH(AH$2,Inputs!$K$4:$AJ$4,0))))=0,NA(),SUMPRODUCT((Inputs!$A$5:$A$170=$B10)*Inputs!$B$5:$B$170*(((Inputs!$G$5:$G$170="moeda")+(Inputs!$G$5:$G$170="acoes"))*Inputs!$B$1+((Inputs!$G$5:$G$170&lt;&gt;"moeda")*(Inputs!$G$5:$G$170&lt;&gt;"acoes")))*INDEX(Inputs!$K$5:$AJ$170,0,MATCH(AH$2,Inputs!$K$4:$AJ$4,0)))+SUMPRODUCT((Inputs!$C$5:$C$170=$B10)*Inputs!$D$5:$D$170*(((Inputs!$G$5:$G$170="moeda")+(Inputs!$G$5:$G$170="acoes"))*Inputs!$B$1+((Inputs!$G$5:$G$170&lt;&gt;"moeda")*(Inputs!$G$5:$G$170&lt;&gt;"acoes")))*INDEX(Inputs!$K$5:$AJ$170,0,MATCH(AH$2,Inputs!$K$4:$AJ$4,0)))+SUMPRODUCT((Inputs!$E$5:$E$170=$B10)*Inputs!$F$5:$F$170*(((Inputs!$G$5:$G$170="moeda")+(Inputs!$G$5:$G$170="acoes"))*Inputs!$B$1+((Inputs!$G$5:$G$170&lt;&gt;"moeda")*(Inputs!$G$5:$G$170&lt;&gt;"acoes")))*INDEX(Inputs!$K$5:$AJ$170,0,MATCH(AH$2,Inputs!$K$4:$AJ$4,0)))))</f>
        <v>-17.642</v>
      </c>
      <c r="AI10" s="6">
        <f>IF(ISNA(MATCH(AI$2,Inputs!$K$4:$AJ$4,0)),NA(),IF(SUMPRODUCT((Inputs!$A$5:$A$170=$B10)*ISNUMBER(INDEX(Inputs!$K$5:$AJ$170,0,MATCH(AI$2,Inputs!$K$4:$AJ$4,0))))+SUMPRODUCT((Inputs!$C$5:$C$170=$B10)*ISNUMBER(INDEX(Inputs!$K$5:$AJ$170,0,MATCH(AI$2,Inputs!$K$4:$AJ$4,0))))+SUMPRODUCT((Inputs!$E$5:$E$170=$B10)*ISNUMBER(INDEX(Inputs!$K$5:$AJ$170,0,MATCH(AI$2,Inputs!$K$4:$AJ$4,0))))=0,NA(),SUMPRODUCT((Inputs!$A$5:$A$170=$B10)*Inputs!$B$5:$B$170*(((Inputs!$G$5:$G$170="moeda")+(Inputs!$G$5:$G$170="acoes"))*Inputs!$B$1+((Inputs!$G$5:$G$170&lt;&gt;"moeda")*(Inputs!$G$5:$G$170&lt;&gt;"acoes")))*INDEX(Inputs!$K$5:$AJ$170,0,MATCH(AI$2,Inputs!$K$4:$AJ$4,0)))+SUMPRODUCT((Inputs!$C$5:$C$170=$B10)*Inputs!$D$5:$D$170*(((Inputs!$G$5:$G$170="moeda")+(Inputs!$G$5:$G$170="acoes"))*Inputs!$B$1+((Inputs!$G$5:$G$170&lt;&gt;"moeda")*(Inputs!$G$5:$G$170&lt;&gt;"acoes")))*INDEX(Inputs!$K$5:$AJ$170,0,MATCH(AI$2,Inputs!$K$4:$AJ$4,0)))+SUMPRODUCT((Inputs!$E$5:$E$170=$B10)*Inputs!$F$5:$F$170*(((Inputs!$G$5:$G$170="moeda")+(Inputs!$G$5:$G$170="acoes"))*Inputs!$B$1+((Inputs!$G$5:$G$170&lt;&gt;"moeda")*(Inputs!$G$5:$G$170&lt;&gt;"acoes")))*INDEX(Inputs!$K$5:$AJ$170,0,MATCH(AI$2,Inputs!$K$4:$AJ$4,0)))))</f>
        <v>-1.358</v>
      </c>
      <c r="AJ10" s="6">
        <f>IF(ISNA(MATCH(AJ$2,Inputs!$K$4:$AJ$4,0)),NA(),IF(SUMPRODUCT((Inputs!$A$5:$A$170=$B10)*ISNUMBER(INDEX(Inputs!$K$5:$AJ$170,0,MATCH(AJ$2,Inputs!$K$4:$AJ$4,0))))+SUMPRODUCT((Inputs!$C$5:$C$170=$B10)*ISNUMBER(INDEX(Inputs!$K$5:$AJ$170,0,MATCH(AJ$2,Inputs!$K$4:$AJ$4,0))))+SUMPRODUCT((Inputs!$E$5:$E$170=$B10)*ISNUMBER(INDEX(Inputs!$K$5:$AJ$170,0,MATCH(AJ$2,Inputs!$K$4:$AJ$4,0))))=0,NA(),SUMPRODUCT((Inputs!$A$5:$A$170=$B10)*Inputs!$B$5:$B$170*(((Inputs!$G$5:$G$170="moeda")+(Inputs!$G$5:$G$170="acoes"))*Inputs!$B$1+((Inputs!$G$5:$G$170&lt;&gt;"moeda")*(Inputs!$G$5:$G$170&lt;&gt;"acoes")))*INDEX(Inputs!$K$5:$AJ$170,0,MATCH(AJ$2,Inputs!$K$4:$AJ$4,0)))+SUMPRODUCT((Inputs!$C$5:$C$170=$B10)*Inputs!$D$5:$D$170*(((Inputs!$G$5:$G$170="moeda")+(Inputs!$G$5:$G$170="acoes"))*Inputs!$B$1+((Inputs!$G$5:$G$170&lt;&gt;"moeda")*(Inputs!$G$5:$G$170&lt;&gt;"acoes")))*INDEX(Inputs!$K$5:$AJ$170,0,MATCH(AJ$2,Inputs!$K$4:$AJ$4,0)))+SUMPRODUCT((Inputs!$E$5:$E$170=$B10)*Inputs!$F$5:$F$170*(((Inputs!$G$5:$G$170="moeda")+(Inputs!$G$5:$G$170="acoes"))*Inputs!$B$1+((Inputs!$G$5:$G$170&lt;&gt;"moeda")*(Inputs!$G$5:$G$170&lt;&gt;"acoes")))*INDEX(Inputs!$K$5:$AJ$170,0,MATCH(AJ$2,Inputs!$K$4:$AJ$4,0)))))</f>
        <v>-19.531</v>
      </c>
      <c r="AK10" s="6">
        <f>IF(ISNA(MATCH(AK$2,Inputs!$K$4:$AJ$4,0)),NA(),IF(SUMPRODUCT((Inputs!$A$5:$A$170=$B10)*ISNUMBER(INDEX(Inputs!$K$5:$AJ$170,0,MATCH(AK$2,Inputs!$K$4:$AJ$4,0))))+SUMPRODUCT((Inputs!$C$5:$C$170=$B10)*ISNUMBER(INDEX(Inputs!$K$5:$AJ$170,0,MATCH(AK$2,Inputs!$K$4:$AJ$4,0))))+SUMPRODUCT((Inputs!$E$5:$E$170=$B10)*ISNUMBER(INDEX(Inputs!$K$5:$AJ$170,0,MATCH(AK$2,Inputs!$K$4:$AJ$4,0))))=0,NA(),SUMPRODUCT((Inputs!$A$5:$A$170=$B10)*Inputs!$B$5:$B$170*(((Inputs!$G$5:$G$170="moeda")+(Inputs!$G$5:$G$170="acoes"))*Inputs!$B$1+((Inputs!$G$5:$G$170&lt;&gt;"moeda")*(Inputs!$G$5:$G$170&lt;&gt;"acoes")))*INDEX(Inputs!$K$5:$AJ$170,0,MATCH(AK$2,Inputs!$K$4:$AJ$4,0)))+SUMPRODUCT((Inputs!$C$5:$C$170=$B10)*Inputs!$D$5:$D$170*(((Inputs!$G$5:$G$170="moeda")+(Inputs!$G$5:$G$170="acoes"))*Inputs!$B$1+((Inputs!$G$5:$G$170&lt;&gt;"moeda")*(Inputs!$G$5:$G$170&lt;&gt;"acoes")))*INDEX(Inputs!$K$5:$AJ$170,0,MATCH(AK$2,Inputs!$K$4:$AJ$4,0)))+SUMPRODUCT((Inputs!$E$5:$E$170=$B10)*Inputs!$F$5:$F$170*(((Inputs!$G$5:$G$170="moeda")+(Inputs!$G$5:$G$170="acoes"))*Inputs!$B$1+((Inputs!$G$5:$G$170&lt;&gt;"moeda")*(Inputs!$G$5:$G$170&lt;&gt;"acoes")))*INDEX(Inputs!$K$5:$AJ$170,0,MATCH(AK$2,Inputs!$K$4:$AJ$4,0)))))</f>
        <v>-44.535</v>
      </c>
      <c r="AL10" s="3">
        <f>SUM(AH10:AK10)</f>
        <v>-83.066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$170=$B11)*ISNUMBER(INDEX(Inputs!$K$5:$AJ$170,0,MATCH(D$2,Inputs!$K$4:$AJ$4,0))))+SUMPRODUCT((Inputs!$C$5:$C$170=$B11)*ISNUMBER(INDEX(Inputs!$K$5:$AJ$170,0,MATCH(D$2,Inputs!$K$4:$AJ$4,0))))+SUMPRODUCT((Inputs!$E$5:$E$170=$B11)*ISNUMBER(INDEX(Inputs!$K$5:$AJ$170,0,MATCH(D$2,Inputs!$K$4:$AJ$4,0))))=0,NA(),SUMPRODUCT((Inputs!$A$5:$A$170=$B11)*Inputs!$B$5:$B$170*(((Inputs!$G$5:$G$170="moeda")+(Inputs!$G$5:$G$170="acoes"))*Inputs!$B$1+((Inputs!$G$5:$G$170&lt;&gt;"moeda")*(Inputs!$G$5:$G$170&lt;&gt;"acoes")))*INDEX(Inputs!$K$5:$AJ$170,0,MATCH(D$2,Inputs!$K$4:$AJ$4,0)))+SUMPRODUCT((Inputs!$C$5:$C$170=$B11)*Inputs!$D$5:$D$170*(((Inputs!$G$5:$G$170="moeda")+(Inputs!$G$5:$G$170="acoes"))*Inputs!$B$1+((Inputs!$G$5:$G$170&lt;&gt;"moeda")*(Inputs!$G$5:$G$170&lt;&gt;"acoes")))*INDEX(Inputs!$K$5:$AJ$170,0,MATCH(D$2,Inputs!$K$4:$AJ$4,0)))+SUMPRODUCT((Inputs!$E$5:$E$170=$B11)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1" s="6" t="e">
        <f>IF(ISNA(MATCH(E$2,Inputs!$K$4:$AJ$4,0)),NA(),IF(SUMPRODUCT((Inputs!$A$5:$A$170=$B11)*ISNUMBER(INDEX(Inputs!$K$5:$AJ$170,0,MATCH(E$2,Inputs!$K$4:$AJ$4,0))))+SUMPRODUCT((Inputs!$C$5:$C$170=$B11)*ISNUMBER(INDEX(Inputs!$K$5:$AJ$170,0,MATCH(E$2,Inputs!$K$4:$AJ$4,0))))+SUMPRODUCT((Inputs!$E$5:$E$170=$B11)*ISNUMBER(INDEX(Inputs!$K$5:$AJ$170,0,MATCH(E$2,Inputs!$K$4:$AJ$4,0))))=0,NA(),SUMPRODUCT((Inputs!$A$5:$A$170=$B11)*Inputs!$B$5:$B$170*(((Inputs!$G$5:$G$170="moeda")+(Inputs!$G$5:$G$170="acoes"))*Inputs!$B$1+((Inputs!$G$5:$G$170&lt;&gt;"moeda")*(Inputs!$G$5:$G$170&lt;&gt;"acoes")))*INDEX(Inputs!$K$5:$AJ$170,0,MATCH(E$2,Inputs!$K$4:$AJ$4,0)))+SUMPRODUCT((Inputs!$C$5:$C$170=$B11)*Inputs!$D$5:$D$170*(((Inputs!$G$5:$G$170="moeda")+(Inputs!$G$5:$G$170="acoes"))*Inputs!$B$1+((Inputs!$G$5:$G$170&lt;&gt;"moeda")*(Inputs!$G$5:$G$170&lt;&gt;"acoes")))*INDEX(Inputs!$K$5:$AJ$170,0,MATCH(E$2,Inputs!$K$4:$AJ$4,0)))+SUMPRODUCT((Inputs!$E$5:$E$170=$B11)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1" s="6" t="e">
        <f>IF(ISNA(MATCH(F$2,Inputs!$K$4:$AJ$4,0)),NA(),IF(SUMPRODUCT((Inputs!$A$5:$A$170=$B11)*ISNUMBER(INDEX(Inputs!$K$5:$AJ$170,0,MATCH(F$2,Inputs!$K$4:$AJ$4,0))))+SUMPRODUCT((Inputs!$C$5:$C$170=$B11)*ISNUMBER(INDEX(Inputs!$K$5:$AJ$170,0,MATCH(F$2,Inputs!$K$4:$AJ$4,0))))+SUMPRODUCT((Inputs!$E$5:$E$170=$B11)*ISNUMBER(INDEX(Inputs!$K$5:$AJ$170,0,MATCH(F$2,Inputs!$K$4:$AJ$4,0))))=0,NA(),SUMPRODUCT((Inputs!$A$5:$A$170=$B11)*Inputs!$B$5:$B$170*(((Inputs!$G$5:$G$170="moeda")+(Inputs!$G$5:$G$170="acoes"))*Inputs!$B$1+((Inputs!$G$5:$G$170&lt;&gt;"moeda")*(Inputs!$G$5:$G$170&lt;&gt;"acoes")))*INDEX(Inputs!$K$5:$AJ$170,0,MATCH(F$2,Inputs!$K$4:$AJ$4,0)))+SUMPRODUCT((Inputs!$C$5:$C$170=$B11)*Inputs!$D$5:$D$170*(((Inputs!$G$5:$G$170="moeda")+(Inputs!$G$5:$G$170="acoes"))*Inputs!$B$1+((Inputs!$G$5:$G$170&lt;&gt;"moeda")*(Inputs!$G$5:$G$170&lt;&gt;"acoes")))*INDEX(Inputs!$K$5:$AJ$170,0,MATCH(F$2,Inputs!$K$4:$AJ$4,0)))+SUMPRODUCT((Inputs!$E$5:$E$170=$B11)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1" s="6" t="e">
        <f>IF(ISNA(MATCH(G$2,Inputs!$K$4:$AJ$4,0)),NA(),IF(SUMPRODUCT((Inputs!$A$5:$A$170=$B11)*ISNUMBER(INDEX(Inputs!$K$5:$AJ$170,0,MATCH(G$2,Inputs!$K$4:$AJ$4,0))))+SUMPRODUCT((Inputs!$C$5:$C$170=$B11)*ISNUMBER(INDEX(Inputs!$K$5:$AJ$170,0,MATCH(G$2,Inputs!$K$4:$AJ$4,0))))+SUMPRODUCT((Inputs!$E$5:$E$170=$B11)*ISNUMBER(INDEX(Inputs!$K$5:$AJ$170,0,MATCH(G$2,Inputs!$K$4:$AJ$4,0))))=0,NA(),SUMPRODUCT((Inputs!$A$5:$A$170=$B11)*Inputs!$B$5:$B$170*(((Inputs!$G$5:$G$170="moeda")+(Inputs!$G$5:$G$170="acoes"))*Inputs!$B$1+((Inputs!$G$5:$G$170&lt;&gt;"moeda")*(Inputs!$G$5:$G$170&lt;&gt;"acoes")))*INDEX(Inputs!$K$5:$AJ$170,0,MATCH(G$2,Inputs!$K$4:$AJ$4,0)))+SUMPRODUCT((Inputs!$C$5:$C$170=$B11)*Inputs!$D$5:$D$170*(((Inputs!$G$5:$G$170="moeda")+(Inputs!$G$5:$G$170="acoes"))*Inputs!$B$1+((Inputs!$G$5:$G$170&lt;&gt;"moeda")*(Inputs!$G$5:$G$170&lt;&gt;"acoes")))*INDEX(Inputs!$K$5:$AJ$170,0,MATCH(G$2,Inputs!$K$4:$AJ$4,0)))+SUMPRODUCT((Inputs!$E$5:$E$170=$B11)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$170=$B11)*ISNUMBER(INDEX(Inputs!$K$5:$AJ$170,0,MATCH(I$2,Inputs!$K$4:$AJ$4,0))))+SUMPRODUCT((Inputs!$C$5:$C$170=$B11)*ISNUMBER(INDEX(Inputs!$K$5:$AJ$170,0,MATCH(I$2,Inputs!$K$4:$AJ$4,0))))+SUMPRODUCT((Inputs!$E$5:$E$170=$B11)*ISNUMBER(INDEX(Inputs!$K$5:$AJ$170,0,MATCH(I$2,Inputs!$K$4:$AJ$4,0))))=0,NA(),SUMPRODUCT((Inputs!$A$5:$A$170=$B11)*Inputs!$B$5:$B$170*(((Inputs!$G$5:$G$170="moeda")+(Inputs!$G$5:$G$170="acoes"))*Inputs!$B$1+((Inputs!$G$5:$G$170&lt;&gt;"moeda")*(Inputs!$G$5:$G$170&lt;&gt;"acoes")))*INDEX(Inputs!$K$5:$AJ$170,0,MATCH(I$2,Inputs!$K$4:$AJ$4,0)))+SUMPRODUCT((Inputs!$C$5:$C$170=$B11)*Inputs!$D$5:$D$170*(((Inputs!$G$5:$G$170="moeda")+(Inputs!$G$5:$G$170="acoes"))*Inputs!$B$1+((Inputs!$G$5:$G$170&lt;&gt;"moeda")*(Inputs!$G$5:$G$170&lt;&gt;"acoes")))*INDEX(Inputs!$K$5:$AJ$170,0,MATCH(I$2,Inputs!$K$4:$AJ$4,0)))+SUMPRODUCT((Inputs!$E$5:$E$170=$B11)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1" s="6" t="e">
        <f>IF(ISNA(MATCH(J$2,Inputs!$K$4:$AJ$4,0)),NA(),IF(SUMPRODUCT((Inputs!$A$5:$A$170=$B11)*ISNUMBER(INDEX(Inputs!$K$5:$AJ$170,0,MATCH(J$2,Inputs!$K$4:$AJ$4,0))))+SUMPRODUCT((Inputs!$C$5:$C$170=$B11)*ISNUMBER(INDEX(Inputs!$K$5:$AJ$170,0,MATCH(J$2,Inputs!$K$4:$AJ$4,0))))+SUMPRODUCT((Inputs!$E$5:$E$170=$B11)*ISNUMBER(INDEX(Inputs!$K$5:$AJ$170,0,MATCH(J$2,Inputs!$K$4:$AJ$4,0))))=0,NA(),SUMPRODUCT((Inputs!$A$5:$A$170=$B11)*Inputs!$B$5:$B$170*(((Inputs!$G$5:$G$170="moeda")+(Inputs!$G$5:$G$170="acoes"))*Inputs!$B$1+((Inputs!$G$5:$G$170&lt;&gt;"moeda")*(Inputs!$G$5:$G$170&lt;&gt;"acoes")))*INDEX(Inputs!$K$5:$AJ$170,0,MATCH(J$2,Inputs!$K$4:$AJ$4,0)))+SUMPRODUCT((Inputs!$C$5:$C$170=$B11)*Inputs!$D$5:$D$170*(((Inputs!$G$5:$G$170="moeda")+(Inputs!$G$5:$G$170="acoes"))*Inputs!$B$1+((Inputs!$G$5:$G$170&lt;&gt;"moeda")*(Inputs!$G$5:$G$170&lt;&gt;"acoes")))*INDEX(Inputs!$K$5:$AJ$170,0,MATCH(J$2,Inputs!$K$4:$AJ$4,0)))+SUMPRODUCT((Inputs!$E$5:$E$170=$B11)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1" s="6" t="e">
        <f>IF(ISNA(MATCH(K$2,Inputs!$K$4:$AJ$4,0)),NA(),IF(SUMPRODUCT((Inputs!$A$5:$A$170=$B11)*ISNUMBER(INDEX(Inputs!$K$5:$AJ$170,0,MATCH(K$2,Inputs!$K$4:$AJ$4,0))))+SUMPRODUCT((Inputs!$C$5:$C$170=$B11)*ISNUMBER(INDEX(Inputs!$K$5:$AJ$170,0,MATCH(K$2,Inputs!$K$4:$AJ$4,0))))+SUMPRODUCT((Inputs!$E$5:$E$170=$B11)*ISNUMBER(INDEX(Inputs!$K$5:$AJ$170,0,MATCH(K$2,Inputs!$K$4:$AJ$4,0))))=0,NA(),SUMPRODUCT((Inputs!$A$5:$A$170=$B11)*Inputs!$B$5:$B$170*(((Inputs!$G$5:$G$170="moeda")+(Inputs!$G$5:$G$170="acoes"))*Inputs!$B$1+((Inputs!$G$5:$G$170&lt;&gt;"moeda")*(Inputs!$G$5:$G$170&lt;&gt;"acoes")))*INDEX(Inputs!$K$5:$AJ$170,0,MATCH(K$2,Inputs!$K$4:$AJ$4,0)))+SUMPRODUCT((Inputs!$C$5:$C$170=$B11)*Inputs!$D$5:$D$170*(((Inputs!$G$5:$G$170="moeda")+(Inputs!$G$5:$G$170="acoes"))*Inputs!$B$1+((Inputs!$G$5:$G$170&lt;&gt;"moeda")*(Inputs!$G$5:$G$170&lt;&gt;"acoes")))*INDEX(Inputs!$K$5:$AJ$170,0,MATCH(K$2,Inputs!$K$4:$AJ$4,0)))+SUMPRODUCT((Inputs!$E$5:$E$170=$B11)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1" s="6" t="e">
        <f>IF(ISNA(MATCH(L$2,Inputs!$K$4:$AJ$4,0)),NA(),IF(SUMPRODUCT((Inputs!$A$5:$A$170=$B11)*ISNUMBER(INDEX(Inputs!$K$5:$AJ$170,0,MATCH(L$2,Inputs!$K$4:$AJ$4,0))))+SUMPRODUCT((Inputs!$C$5:$C$170=$B11)*ISNUMBER(INDEX(Inputs!$K$5:$AJ$170,0,MATCH(L$2,Inputs!$K$4:$AJ$4,0))))+SUMPRODUCT((Inputs!$E$5:$E$170=$B11)*ISNUMBER(INDEX(Inputs!$K$5:$AJ$170,0,MATCH(L$2,Inputs!$K$4:$AJ$4,0))))=0,NA(),SUMPRODUCT((Inputs!$A$5:$A$170=$B11)*Inputs!$B$5:$B$170*(((Inputs!$G$5:$G$170="moeda")+(Inputs!$G$5:$G$170="acoes"))*Inputs!$B$1+((Inputs!$G$5:$G$170&lt;&gt;"moeda")*(Inputs!$G$5:$G$170&lt;&gt;"acoes")))*INDEX(Inputs!$K$5:$AJ$170,0,MATCH(L$2,Inputs!$K$4:$AJ$4,0)))+SUMPRODUCT((Inputs!$C$5:$C$170=$B11)*Inputs!$D$5:$D$170*(((Inputs!$G$5:$G$170="moeda")+(Inputs!$G$5:$G$170="acoes"))*Inputs!$B$1+((Inputs!$G$5:$G$170&lt;&gt;"moeda")*(Inputs!$G$5:$G$170&lt;&gt;"acoes")))*INDEX(Inputs!$K$5:$AJ$170,0,MATCH(L$2,Inputs!$K$4:$AJ$4,0)))+SUMPRODUCT((Inputs!$E$5:$E$170=$B11)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$170=$B11)*ISNUMBER(INDEX(Inputs!$K$5:$AJ$170,0,MATCH(N$2,Inputs!$K$4:$AJ$4,0))))+SUMPRODUCT((Inputs!$C$5:$C$170=$B11)*ISNUMBER(INDEX(Inputs!$K$5:$AJ$170,0,MATCH(N$2,Inputs!$K$4:$AJ$4,0))))+SUMPRODUCT((Inputs!$E$5:$E$170=$B11)*ISNUMBER(INDEX(Inputs!$K$5:$AJ$170,0,MATCH(N$2,Inputs!$K$4:$AJ$4,0))))=0,NA(),SUMPRODUCT((Inputs!$A$5:$A$170=$B11)*Inputs!$B$5:$B$170*(((Inputs!$G$5:$G$170="moeda")+(Inputs!$G$5:$G$170="acoes"))*Inputs!$B$1+((Inputs!$G$5:$G$170&lt;&gt;"moeda")*(Inputs!$G$5:$G$170&lt;&gt;"acoes")))*INDEX(Inputs!$K$5:$AJ$170,0,MATCH(N$2,Inputs!$K$4:$AJ$4,0)))+SUMPRODUCT((Inputs!$C$5:$C$170=$B11)*Inputs!$D$5:$D$170*(((Inputs!$G$5:$G$170="moeda")+(Inputs!$G$5:$G$170="acoes"))*Inputs!$B$1+((Inputs!$G$5:$G$170&lt;&gt;"moeda")*(Inputs!$G$5:$G$170&lt;&gt;"acoes")))*INDEX(Inputs!$K$5:$AJ$170,0,MATCH(N$2,Inputs!$K$4:$AJ$4,0)))+SUMPRODUCT((Inputs!$E$5:$E$170=$B11)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1" s="6" t="e">
        <f>IF(ISNA(MATCH(O$2,Inputs!$K$4:$AJ$4,0)),NA(),IF(SUMPRODUCT((Inputs!$A$5:$A$170=$B11)*ISNUMBER(INDEX(Inputs!$K$5:$AJ$170,0,MATCH(O$2,Inputs!$K$4:$AJ$4,0))))+SUMPRODUCT((Inputs!$C$5:$C$170=$B11)*ISNUMBER(INDEX(Inputs!$K$5:$AJ$170,0,MATCH(O$2,Inputs!$K$4:$AJ$4,0))))+SUMPRODUCT((Inputs!$E$5:$E$170=$B11)*ISNUMBER(INDEX(Inputs!$K$5:$AJ$170,0,MATCH(O$2,Inputs!$K$4:$AJ$4,0))))=0,NA(),SUMPRODUCT((Inputs!$A$5:$A$170=$B11)*Inputs!$B$5:$B$170*(((Inputs!$G$5:$G$170="moeda")+(Inputs!$G$5:$G$170="acoes"))*Inputs!$B$1+((Inputs!$G$5:$G$170&lt;&gt;"moeda")*(Inputs!$G$5:$G$170&lt;&gt;"acoes")))*INDEX(Inputs!$K$5:$AJ$170,0,MATCH(O$2,Inputs!$K$4:$AJ$4,0)))+SUMPRODUCT((Inputs!$C$5:$C$170=$B11)*Inputs!$D$5:$D$170*(((Inputs!$G$5:$G$170="moeda")+(Inputs!$G$5:$G$170="acoes"))*Inputs!$B$1+((Inputs!$G$5:$G$170&lt;&gt;"moeda")*(Inputs!$G$5:$G$170&lt;&gt;"acoes")))*INDEX(Inputs!$K$5:$AJ$170,0,MATCH(O$2,Inputs!$K$4:$AJ$4,0)))+SUMPRODUCT((Inputs!$E$5:$E$170=$B11)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1" s="6" t="e">
        <f>IF(ISNA(MATCH(P$2,Inputs!$K$4:$AJ$4,0)),NA(),IF(SUMPRODUCT((Inputs!$A$5:$A$170=$B11)*ISNUMBER(INDEX(Inputs!$K$5:$AJ$170,0,MATCH(P$2,Inputs!$K$4:$AJ$4,0))))+SUMPRODUCT((Inputs!$C$5:$C$170=$B11)*ISNUMBER(INDEX(Inputs!$K$5:$AJ$170,0,MATCH(P$2,Inputs!$K$4:$AJ$4,0))))+SUMPRODUCT((Inputs!$E$5:$E$170=$B11)*ISNUMBER(INDEX(Inputs!$K$5:$AJ$170,0,MATCH(P$2,Inputs!$K$4:$AJ$4,0))))=0,NA(),SUMPRODUCT((Inputs!$A$5:$A$170=$B11)*Inputs!$B$5:$B$170*(((Inputs!$G$5:$G$170="moeda")+(Inputs!$G$5:$G$170="acoes"))*Inputs!$B$1+((Inputs!$G$5:$G$170&lt;&gt;"moeda")*(Inputs!$G$5:$G$170&lt;&gt;"acoes")))*INDEX(Inputs!$K$5:$AJ$170,0,MATCH(P$2,Inputs!$K$4:$AJ$4,0)))+SUMPRODUCT((Inputs!$C$5:$C$170=$B11)*Inputs!$D$5:$D$170*(((Inputs!$G$5:$G$170="moeda")+(Inputs!$G$5:$G$170="acoes"))*Inputs!$B$1+((Inputs!$G$5:$G$170&lt;&gt;"moeda")*(Inputs!$G$5:$G$170&lt;&gt;"acoes")))*INDEX(Inputs!$K$5:$AJ$170,0,MATCH(P$2,Inputs!$K$4:$AJ$4,0)))+SUMPRODUCT((Inputs!$E$5:$E$170=$B11)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1" s="6" t="e">
        <f>IF(ISNA(MATCH(Q$2,Inputs!$K$4:$AJ$4,0)),NA(),IF(SUMPRODUCT((Inputs!$A$5:$A$170=$B11)*ISNUMBER(INDEX(Inputs!$K$5:$AJ$170,0,MATCH(Q$2,Inputs!$K$4:$AJ$4,0))))+SUMPRODUCT((Inputs!$C$5:$C$170=$B11)*ISNUMBER(INDEX(Inputs!$K$5:$AJ$170,0,MATCH(Q$2,Inputs!$K$4:$AJ$4,0))))+SUMPRODUCT((Inputs!$E$5:$E$170=$B11)*ISNUMBER(INDEX(Inputs!$K$5:$AJ$170,0,MATCH(Q$2,Inputs!$K$4:$AJ$4,0))))=0,NA(),SUMPRODUCT((Inputs!$A$5:$A$170=$B11)*Inputs!$B$5:$B$170*(((Inputs!$G$5:$G$170="moeda")+(Inputs!$G$5:$G$170="acoes"))*Inputs!$B$1+((Inputs!$G$5:$G$170&lt;&gt;"moeda")*(Inputs!$G$5:$G$170&lt;&gt;"acoes")))*INDEX(Inputs!$K$5:$AJ$170,0,MATCH(Q$2,Inputs!$K$4:$AJ$4,0)))+SUMPRODUCT((Inputs!$C$5:$C$170=$B11)*Inputs!$D$5:$D$170*(((Inputs!$G$5:$G$170="moeda")+(Inputs!$G$5:$G$170="acoes"))*Inputs!$B$1+((Inputs!$G$5:$G$170&lt;&gt;"moeda")*(Inputs!$G$5:$G$170&lt;&gt;"acoes")))*INDEX(Inputs!$K$5:$AJ$170,0,MATCH(Q$2,Inputs!$K$4:$AJ$4,0)))+SUMPRODUCT((Inputs!$E$5:$E$170=$B11)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$170=$B11)*ISNUMBER(INDEX(Inputs!$K$5:$AJ$170,0,MATCH(S$2,Inputs!$K$4:$AJ$4,0))))+SUMPRODUCT((Inputs!$C$5:$C$170=$B11)*ISNUMBER(INDEX(Inputs!$K$5:$AJ$170,0,MATCH(S$2,Inputs!$K$4:$AJ$4,0))))+SUMPRODUCT((Inputs!$E$5:$E$170=$B11)*ISNUMBER(INDEX(Inputs!$K$5:$AJ$170,0,MATCH(S$2,Inputs!$K$4:$AJ$4,0))))=0,NA(),SUMPRODUCT((Inputs!$A$5:$A$170=$B11)*Inputs!$B$5:$B$170*(((Inputs!$G$5:$G$170="moeda")+(Inputs!$G$5:$G$170="acoes"))*Inputs!$B$1+((Inputs!$G$5:$G$170&lt;&gt;"moeda")*(Inputs!$G$5:$G$170&lt;&gt;"acoes")))*INDEX(Inputs!$K$5:$AJ$170,0,MATCH(S$2,Inputs!$K$4:$AJ$4,0)))+SUMPRODUCT((Inputs!$C$5:$C$170=$B11)*Inputs!$D$5:$D$170*(((Inputs!$G$5:$G$170="moeda")+(Inputs!$G$5:$G$170="acoes"))*Inputs!$B$1+((Inputs!$G$5:$G$170&lt;&gt;"moeda")*(Inputs!$G$5:$G$170&lt;&gt;"acoes")))*INDEX(Inputs!$K$5:$AJ$170,0,MATCH(S$2,Inputs!$K$4:$AJ$4,0)))+SUMPRODUCT((Inputs!$E$5:$E$170=$B11)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1" s="6" t="e">
        <f>IF(ISNA(MATCH(T$2,Inputs!$K$4:$AJ$4,0)),NA(),IF(SUMPRODUCT((Inputs!$A$5:$A$170=$B11)*ISNUMBER(INDEX(Inputs!$K$5:$AJ$170,0,MATCH(T$2,Inputs!$K$4:$AJ$4,0))))+SUMPRODUCT((Inputs!$C$5:$C$170=$B11)*ISNUMBER(INDEX(Inputs!$K$5:$AJ$170,0,MATCH(T$2,Inputs!$K$4:$AJ$4,0))))+SUMPRODUCT((Inputs!$E$5:$E$170=$B11)*ISNUMBER(INDEX(Inputs!$K$5:$AJ$170,0,MATCH(T$2,Inputs!$K$4:$AJ$4,0))))=0,NA(),SUMPRODUCT((Inputs!$A$5:$A$170=$B11)*Inputs!$B$5:$B$170*(((Inputs!$G$5:$G$170="moeda")+(Inputs!$G$5:$G$170="acoes"))*Inputs!$B$1+((Inputs!$G$5:$G$170&lt;&gt;"moeda")*(Inputs!$G$5:$G$170&lt;&gt;"acoes")))*INDEX(Inputs!$K$5:$AJ$170,0,MATCH(T$2,Inputs!$K$4:$AJ$4,0)))+SUMPRODUCT((Inputs!$C$5:$C$170=$B11)*Inputs!$D$5:$D$170*(((Inputs!$G$5:$G$170="moeda")+(Inputs!$G$5:$G$170="acoes"))*Inputs!$B$1+((Inputs!$G$5:$G$170&lt;&gt;"moeda")*(Inputs!$G$5:$G$170&lt;&gt;"acoes")))*INDEX(Inputs!$K$5:$AJ$170,0,MATCH(T$2,Inputs!$K$4:$AJ$4,0)))+SUMPRODUCT((Inputs!$E$5:$E$170=$B11)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1" s="6" t="e">
        <f>IF(ISNA(MATCH(U$2,Inputs!$K$4:$AJ$4,0)),NA(),IF(SUMPRODUCT((Inputs!$A$5:$A$170=$B11)*ISNUMBER(INDEX(Inputs!$K$5:$AJ$170,0,MATCH(U$2,Inputs!$K$4:$AJ$4,0))))+SUMPRODUCT((Inputs!$C$5:$C$170=$B11)*ISNUMBER(INDEX(Inputs!$K$5:$AJ$170,0,MATCH(U$2,Inputs!$K$4:$AJ$4,0))))+SUMPRODUCT((Inputs!$E$5:$E$170=$B11)*ISNUMBER(INDEX(Inputs!$K$5:$AJ$170,0,MATCH(U$2,Inputs!$K$4:$AJ$4,0))))=0,NA(),SUMPRODUCT((Inputs!$A$5:$A$170=$B11)*Inputs!$B$5:$B$170*(((Inputs!$G$5:$G$170="moeda")+(Inputs!$G$5:$G$170="acoes"))*Inputs!$B$1+((Inputs!$G$5:$G$170&lt;&gt;"moeda")*(Inputs!$G$5:$G$170&lt;&gt;"acoes")))*INDEX(Inputs!$K$5:$AJ$170,0,MATCH(U$2,Inputs!$K$4:$AJ$4,0)))+SUMPRODUCT((Inputs!$C$5:$C$170=$B11)*Inputs!$D$5:$D$170*(((Inputs!$G$5:$G$170="moeda")+(Inputs!$G$5:$G$170="acoes"))*Inputs!$B$1+((Inputs!$G$5:$G$170&lt;&gt;"moeda")*(Inputs!$G$5:$G$170&lt;&gt;"acoes")))*INDEX(Inputs!$K$5:$AJ$170,0,MATCH(U$2,Inputs!$K$4:$AJ$4,0)))+SUMPRODUCT((Inputs!$E$5:$E$170=$B11)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1" s="6" t="e">
        <f>IF(ISNA(MATCH(V$2,Inputs!$K$4:$AJ$4,0)),NA(),IF(SUMPRODUCT((Inputs!$A$5:$A$170=$B11)*ISNUMBER(INDEX(Inputs!$K$5:$AJ$170,0,MATCH(V$2,Inputs!$K$4:$AJ$4,0))))+SUMPRODUCT((Inputs!$C$5:$C$170=$B11)*ISNUMBER(INDEX(Inputs!$K$5:$AJ$170,0,MATCH(V$2,Inputs!$K$4:$AJ$4,0))))+SUMPRODUCT((Inputs!$E$5:$E$170=$B11)*ISNUMBER(INDEX(Inputs!$K$5:$AJ$170,0,MATCH(V$2,Inputs!$K$4:$AJ$4,0))))=0,NA(),SUMPRODUCT((Inputs!$A$5:$A$170=$B11)*Inputs!$B$5:$B$170*(((Inputs!$G$5:$G$170="moeda")+(Inputs!$G$5:$G$170="acoes"))*Inputs!$B$1+((Inputs!$G$5:$G$170&lt;&gt;"moeda")*(Inputs!$G$5:$G$170&lt;&gt;"acoes")))*INDEX(Inputs!$K$5:$AJ$170,0,MATCH(V$2,Inputs!$K$4:$AJ$4,0)))+SUMPRODUCT((Inputs!$C$5:$C$170=$B11)*Inputs!$D$5:$D$170*(((Inputs!$G$5:$G$170="moeda")+(Inputs!$G$5:$G$170="acoes"))*Inputs!$B$1+((Inputs!$G$5:$G$170&lt;&gt;"moeda")*(Inputs!$G$5:$G$170&lt;&gt;"acoes")))*INDEX(Inputs!$K$5:$AJ$170,0,MATCH(V$2,Inputs!$K$4:$AJ$4,0)))+SUMPRODUCT((Inputs!$E$5:$E$170=$B11)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$170=$B11)*ISNUMBER(INDEX(Inputs!$K$5:$AJ$170,0,MATCH(X$2,Inputs!$K$4:$AJ$4,0))))+SUMPRODUCT((Inputs!$C$5:$C$170=$B11)*ISNUMBER(INDEX(Inputs!$K$5:$AJ$170,0,MATCH(X$2,Inputs!$K$4:$AJ$4,0))))+SUMPRODUCT((Inputs!$E$5:$E$170=$B11)*ISNUMBER(INDEX(Inputs!$K$5:$AJ$170,0,MATCH(X$2,Inputs!$K$4:$AJ$4,0))))=0,NA(),SUMPRODUCT((Inputs!$A$5:$A$170=$B11)*Inputs!$B$5:$B$170*(((Inputs!$G$5:$G$170="moeda")+(Inputs!$G$5:$G$170="acoes"))*Inputs!$B$1+((Inputs!$G$5:$G$170&lt;&gt;"moeda")*(Inputs!$G$5:$G$170&lt;&gt;"acoes")))*INDEX(Inputs!$K$5:$AJ$170,0,MATCH(X$2,Inputs!$K$4:$AJ$4,0)))+SUMPRODUCT((Inputs!$C$5:$C$170=$B11)*Inputs!$D$5:$D$170*(((Inputs!$G$5:$G$170="moeda")+(Inputs!$G$5:$G$170="acoes"))*Inputs!$B$1+((Inputs!$G$5:$G$170&lt;&gt;"moeda")*(Inputs!$G$5:$G$170&lt;&gt;"acoes")))*INDEX(Inputs!$K$5:$AJ$170,0,MATCH(X$2,Inputs!$K$4:$AJ$4,0)))+SUMPRODUCT((Inputs!$E$5:$E$170=$B11)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1" s="6" t="e">
        <f>IF(ISNA(MATCH(Y$2,Inputs!$K$4:$AJ$4,0)),NA(),IF(SUMPRODUCT((Inputs!$A$5:$A$170=$B11)*ISNUMBER(INDEX(Inputs!$K$5:$AJ$170,0,MATCH(Y$2,Inputs!$K$4:$AJ$4,0))))+SUMPRODUCT((Inputs!$C$5:$C$170=$B11)*ISNUMBER(INDEX(Inputs!$K$5:$AJ$170,0,MATCH(Y$2,Inputs!$K$4:$AJ$4,0))))+SUMPRODUCT((Inputs!$E$5:$E$170=$B11)*ISNUMBER(INDEX(Inputs!$K$5:$AJ$170,0,MATCH(Y$2,Inputs!$K$4:$AJ$4,0))))=0,NA(),SUMPRODUCT((Inputs!$A$5:$A$170=$B11)*Inputs!$B$5:$B$170*(((Inputs!$G$5:$G$170="moeda")+(Inputs!$G$5:$G$170="acoes"))*Inputs!$B$1+((Inputs!$G$5:$G$170&lt;&gt;"moeda")*(Inputs!$G$5:$G$170&lt;&gt;"acoes")))*INDEX(Inputs!$K$5:$AJ$170,0,MATCH(Y$2,Inputs!$K$4:$AJ$4,0)))+SUMPRODUCT((Inputs!$C$5:$C$170=$B11)*Inputs!$D$5:$D$170*(((Inputs!$G$5:$G$170="moeda")+(Inputs!$G$5:$G$170="acoes"))*Inputs!$B$1+((Inputs!$G$5:$G$170&lt;&gt;"moeda")*(Inputs!$G$5:$G$170&lt;&gt;"acoes")))*INDEX(Inputs!$K$5:$AJ$170,0,MATCH(Y$2,Inputs!$K$4:$AJ$4,0)))+SUMPRODUCT((Inputs!$E$5:$E$170=$B11)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1" s="6" t="e">
        <f>IF(ISNA(MATCH(Z$2,Inputs!$K$4:$AJ$4,0)),NA(),IF(SUMPRODUCT((Inputs!$A$5:$A$170=$B11)*ISNUMBER(INDEX(Inputs!$K$5:$AJ$170,0,MATCH(Z$2,Inputs!$K$4:$AJ$4,0))))+SUMPRODUCT((Inputs!$C$5:$C$170=$B11)*ISNUMBER(INDEX(Inputs!$K$5:$AJ$170,0,MATCH(Z$2,Inputs!$K$4:$AJ$4,0))))+SUMPRODUCT((Inputs!$E$5:$E$170=$B11)*ISNUMBER(INDEX(Inputs!$K$5:$AJ$170,0,MATCH(Z$2,Inputs!$K$4:$AJ$4,0))))=0,NA(),SUMPRODUCT((Inputs!$A$5:$A$170=$B11)*Inputs!$B$5:$B$170*(((Inputs!$G$5:$G$170="moeda")+(Inputs!$G$5:$G$170="acoes"))*Inputs!$B$1+((Inputs!$G$5:$G$170&lt;&gt;"moeda")*(Inputs!$G$5:$G$170&lt;&gt;"acoes")))*INDEX(Inputs!$K$5:$AJ$170,0,MATCH(Z$2,Inputs!$K$4:$AJ$4,0)))+SUMPRODUCT((Inputs!$C$5:$C$170=$B11)*Inputs!$D$5:$D$170*(((Inputs!$G$5:$G$170="moeda")+(Inputs!$G$5:$G$170="acoes"))*Inputs!$B$1+((Inputs!$G$5:$G$170&lt;&gt;"moeda")*(Inputs!$G$5:$G$170&lt;&gt;"acoes")))*INDEX(Inputs!$K$5:$AJ$170,0,MATCH(Z$2,Inputs!$K$4:$AJ$4,0)))+SUMPRODUCT((Inputs!$E$5:$E$170=$B11)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1" s="6" t="e">
        <f>IF(ISNA(MATCH(AA$2,Inputs!$K$4:$AJ$4,0)),NA(),IF(SUMPRODUCT((Inputs!$A$5:$A$170=$B11)*ISNUMBER(INDEX(Inputs!$K$5:$AJ$170,0,MATCH(AA$2,Inputs!$K$4:$AJ$4,0))))+SUMPRODUCT((Inputs!$C$5:$C$170=$B11)*ISNUMBER(INDEX(Inputs!$K$5:$AJ$170,0,MATCH(AA$2,Inputs!$K$4:$AJ$4,0))))+SUMPRODUCT((Inputs!$E$5:$E$170=$B11)*ISNUMBER(INDEX(Inputs!$K$5:$AJ$170,0,MATCH(AA$2,Inputs!$K$4:$AJ$4,0))))=0,NA(),SUMPRODUCT((Inputs!$A$5:$A$170=$B11)*Inputs!$B$5:$B$170*(((Inputs!$G$5:$G$170="moeda")+(Inputs!$G$5:$G$170="acoes"))*Inputs!$B$1+((Inputs!$G$5:$G$170&lt;&gt;"moeda")*(Inputs!$G$5:$G$170&lt;&gt;"acoes")))*INDEX(Inputs!$K$5:$AJ$170,0,MATCH(AA$2,Inputs!$K$4:$AJ$4,0)))+SUMPRODUCT((Inputs!$C$5:$C$170=$B11)*Inputs!$D$5:$D$170*(((Inputs!$G$5:$G$170="moeda")+(Inputs!$G$5:$G$170="acoes"))*Inputs!$B$1+((Inputs!$G$5:$G$170&lt;&gt;"moeda")*(Inputs!$G$5:$G$170&lt;&gt;"acoes")))*INDEX(Inputs!$K$5:$AJ$170,0,MATCH(AA$2,Inputs!$K$4:$AJ$4,0)))+SUMPRODUCT((Inputs!$E$5:$E$170=$B11)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$170=$B11)*ISNUMBER(INDEX(Inputs!$K$5:$AJ$170,0,MATCH(AC$2,Inputs!$K$4:$AJ$4,0))))+SUMPRODUCT((Inputs!$C$5:$C$170=$B11)*ISNUMBER(INDEX(Inputs!$K$5:$AJ$170,0,MATCH(AC$2,Inputs!$K$4:$AJ$4,0))))+SUMPRODUCT((Inputs!$E$5:$E$170=$B11)*ISNUMBER(INDEX(Inputs!$K$5:$AJ$170,0,MATCH(AC$2,Inputs!$K$4:$AJ$4,0))))=0,NA(),SUMPRODUCT((Inputs!$A$5:$A$170=$B11)*Inputs!$B$5:$B$170*(((Inputs!$G$5:$G$170="moeda")+(Inputs!$G$5:$G$170="acoes"))*Inputs!$B$1+((Inputs!$G$5:$G$170&lt;&gt;"moeda")*(Inputs!$G$5:$G$170&lt;&gt;"acoes")))*INDEX(Inputs!$K$5:$AJ$170,0,MATCH(AC$2,Inputs!$K$4:$AJ$4,0)))+SUMPRODUCT((Inputs!$C$5:$C$170=$B11)*Inputs!$D$5:$D$170*(((Inputs!$G$5:$G$170="moeda")+(Inputs!$G$5:$G$170="acoes"))*Inputs!$B$1+((Inputs!$G$5:$G$170&lt;&gt;"moeda")*(Inputs!$G$5:$G$170&lt;&gt;"acoes")))*INDEX(Inputs!$K$5:$AJ$170,0,MATCH(AC$2,Inputs!$K$4:$AJ$4,0)))+SUMPRODUCT((Inputs!$E$5:$E$170=$B11)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1" s="6" t="e">
        <f>IF(ISNA(MATCH(AD$2,Inputs!$K$4:$AJ$4,0)),NA(),IF(SUMPRODUCT((Inputs!$A$5:$A$170=$B11)*ISNUMBER(INDEX(Inputs!$K$5:$AJ$170,0,MATCH(AD$2,Inputs!$K$4:$AJ$4,0))))+SUMPRODUCT((Inputs!$C$5:$C$170=$B11)*ISNUMBER(INDEX(Inputs!$K$5:$AJ$170,0,MATCH(AD$2,Inputs!$K$4:$AJ$4,0))))+SUMPRODUCT((Inputs!$E$5:$E$170=$B11)*ISNUMBER(INDEX(Inputs!$K$5:$AJ$170,0,MATCH(AD$2,Inputs!$K$4:$AJ$4,0))))=0,NA(),SUMPRODUCT((Inputs!$A$5:$A$170=$B11)*Inputs!$B$5:$B$170*(((Inputs!$G$5:$G$170="moeda")+(Inputs!$G$5:$G$170="acoes"))*Inputs!$B$1+((Inputs!$G$5:$G$170&lt;&gt;"moeda")*(Inputs!$G$5:$G$170&lt;&gt;"acoes")))*INDEX(Inputs!$K$5:$AJ$170,0,MATCH(AD$2,Inputs!$K$4:$AJ$4,0)))+SUMPRODUCT((Inputs!$C$5:$C$170=$B11)*Inputs!$D$5:$D$170*(((Inputs!$G$5:$G$170="moeda")+(Inputs!$G$5:$G$170="acoes"))*Inputs!$B$1+((Inputs!$G$5:$G$170&lt;&gt;"moeda")*(Inputs!$G$5:$G$170&lt;&gt;"acoes")))*INDEX(Inputs!$K$5:$AJ$170,0,MATCH(AD$2,Inputs!$K$4:$AJ$4,0)))+SUMPRODUCT((Inputs!$E$5:$E$170=$B11)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1" s="6" t="e">
        <f>IF(ISNA(MATCH(AE$2,Inputs!$K$4:$AJ$4,0)),NA(),IF(SUMPRODUCT((Inputs!$A$5:$A$170=$B11)*ISNUMBER(INDEX(Inputs!$K$5:$AJ$170,0,MATCH(AE$2,Inputs!$K$4:$AJ$4,0))))+SUMPRODUCT((Inputs!$C$5:$C$170=$B11)*ISNUMBER(INDEX(Inputs!$K$5:$AJ$170,0,MATCH(AE$2,Inputs!$K$4:$AJ$4,0))))+SUMPRODUCT((Inputs!$E$5:$E$170=$B11)*ISNUMBER(INDEX(Inputs!$K$5:$AJ$170,0,MATCH(AE$2,Inputs!$K$4:$AJ$4,0))))=0,NA(),SUMPRODUCT((Inputs!$A$5:$A$170=$B11)*Inputs!$B$5:$B$170*(((Inputs!$G$5:$G$170="moeda")+(Inputs!$G$5:$G$170="acoes"))*Inputs!$B$1+((Inputs!$G$5:$G$170&lt;&gt;"moeda")*(Inputs!$G$5:$G$170&lt;&gt;"acoes")))*INDEX(Inputs!$K$5:$AJ$170,0,MATCH(AE$2,Inputs!$K$4:$AJ$4,0)))+SUMPRODUCT((Inputs!$C$5:$C$170=$B11)*Inputs!$D$5:$D$170*(((Inputs!$G$5:$G$170="moeda")+(Inputs!$G$5:$G$170="acoes"))*Inputs!$B$1+((Inputs!$G$5:$G$170&lt;&gt;"moeda")*(Inputs!$G$5:$G$170&lt;&gt;"acoes")))*INDEX(Inputs!$K$5:$AJ$170,0,MATCH(AE$2,Inputs!$K$4:$AJ$4,0)))+SUMPRODUCT((Inputs!$E$5:$E$170=$B11)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1" s="6" t="e">
        <f>IF(ISNA(MATCH(AF$2,Inputs!$K$4:$AJ$4,0)),NA(),IF(SUMPRODUCT((Inputs!$A$5:$A$170=$B11)*ISNUMBER(INDEX(Inputs!$K$5:$AJ$170,0,MATCH(AF$2,Inputs!$K$4:$AJ$4,0))))+SUMPRODUCT((Inputs!$C$5:$C$170=$B11)*ISNUMBER(INDEX(Inputs!$K$5:$AJ$170,0,MATCH(AF$2,Inputs!$K$4:$AJ$4,0))))+SUMPRODUCT((Inputs!$E$5:$E$170=$B11)*ISNUMBER(INDEX(Inputs!$K$5:$AJ$170,0,MATCH(AF$2,Inputs!$K$4:$AJ$4,0))))=0,NA(),SUMPRODUCT((Inputs!$A$5:$A$170=$B11)*Inputs!$B$5:$B$170*(((Inputs!$G$5:$G$170="moeda")+(Inputs!$G$5:$G$170="acoes"))*Inputs!$B$1+((Inputs!$G$5:$G$170&lt;&gt;"moeda")*(Inputs!$G$5:$G$170&lt;&gt;"acoes")))*INDEX(Inputs!$K$5:$AJ$170,0,MATCH(AF$2,Inputs!$K$4:$AJ$4,0)))+SUMPRODUCT((Inputs!$C$5:$C$170=$B11)*Inputs!$D$5:$D$170*(((Inputs!$G$5:$G$170="moeda")+(Inputs!$G$5:$G$170="acoes"))*Inputs!$B$1+((Inputs!$G$5:$G$170&lt;&gt;"moeda")*(Inputs!$G$5:$G$170&lt;&gt;"acoes")))*INDEX(Inputs!$K$5:$AJ$170,0,MATCH(AF$2,Inputs!$K$4:$AJ$4,0)))+SUMPRODUCT((Inputs!$E$5:$E$170=$B11)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$170=$B11)*ISNUMBER(INDEX(Inputs!$K$5:$AJ$170,0,MATCH(AH$2,Inputs!$K$4:$AJ$4,0))))+SUMPRODUCT((Inputs!$C$5:$C$170=$B11)*ISNUMBER(INDEX(Inputs!$K$5:$AJ$170,0,MATCH(AH$2,Inputs!$K$4:$AJ$4,0))))+SUMPRODUCT((Inputs!$E$5:$E$170=$B11)*ISNUMBER(INDEX(Inputs!$K$5:$AJ$170,0,MATCH(AH$2,Inputs!$K$4:$AJ$4,0))))=0,NA(),SUMPRODUCT((Inputs!$A$5:$A$170=$B11)*Inputs!$B$5:$B$170*(((Inputs!$G$5:$G$170="moeda")+(Inputs!$G$5:$G$170="acoes"))*Inputs!$B$1+((Inputs!$G$5:$G$170&lt;&gt;"moeda")*(Inputs!$G$5:$G$170&lt;&gt;"acoes")))*INDEX(Inputs!$K$5:$AJ$170,0,MATCH(AH$2,Inputs!$K$4:$AJ$4,0)))+SUMPRODUCT((Inputs!$C$5:$C$170=$B11)*Inputs!$D$5:$D$170*(((Inputs!$G$5:$G$170="moeda")+(Inputs!$G$5:$G$170="acoes"))*Inputs!$B$1+((Inputs!$G$5:$G$170&lt;&gt;"moeda")*(Inputs!$G$5:$G$170&lt;&gt;"acoes")))*INDEX(Inputs!$K$5:$AJ$170,0,MATCH(AH$2,Inputs!$K$4:$AJ$4,0)))+SUMPRODUCT((Inputs!$E$5:$E$170=$B11)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1" s="6" t="e">
        <f>IF(ISNA(MATCH(AI$2,Inputs!$K$4:$AJ$4,0)),NA(),IF(SUMPRODUCT((Inputs!$A$5:$A$170=$B11)*ISNUMBER(INDEX(Inputs!$K$5:$AJ$170,0,MATCH(AI$2,Inputs!$K$4:$AJ$4,0))))+SUMPRODUCT((Inputs!$C$5:$C$170=$B11)*ISNUMBER(INDEX(Inputs!$K$5:$AJ$170,0,MATCH(AI$2,Inputs!$K$4:$AJ$4,0))))+SUMPRODUCT((Inputs!$E$5:$E$170=$B11)*ISNUMBER(INDEX(Inputs!$K$5:$AJ$170,0,MATCH(AI$2,Inputs!$K$4:$AJ$4,0))))=0,NA(),SUMPRODUCT((Inputs!$A$5:$A$170=$B11)*Inputs!$B$5:$B$170*(((Inputs!$G$5:$G$170="moeda")+(Inputs!$G$5:$G$170="acoes"))*Inputs!$B$1+((Inputs!$G$5:$G$170&lt;&gt;"moeda")*(Inputs!$G$5:$G$170&lt;&gt;"acoes")))*INDEX(Inputs!$K$5:$AJ$170,0,MATCH(AI$2,Inputs!$K$4:$AJ$4,0)))+SUMPRODUCT((Inputs!$C$5:$C$170=$B11)*Inputs!$D$5:$D$170*(((Inputs!$G$5:$G$170="moeda")+(Inputs!$G$5:$G$170="acoes"))*Inputs!$B$1+((Inputs!$G$5:$G$170&lt;&gt;"moeda")*(Inputs!$G$5:$G$170&lt;&gt;"acoes")))*INDEX(Inputs!$K$5:$AJ$170,0,MATCH(AI$2,Inputs!$K$4:$AJ$4,0)))+SUMPRODUCT((Inputs!$E$5:$E$170=$B11)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1" s="6" t="e">
        <f>IF(ISNA(MATCH(AJ$2,Inputs!$K$4:$AJ$4,0)),NA(),IF(SUMPRODUCT((Inputs!$A$5:$A$170=$B11)*ISNUMBER(INDEX(Inputs!$K$5:$AJ$170,0,MATCH(AJ$2,Inputs!$K$4:$AJ$4,0))))+SUMPRODUCT((Inputs!$C$5:$C$170=$B11)*ISNUMBER(INDEX(Inputs!$K$5:$AJ$170,0,MATCH(AJ$2,Inputs!$K$4:$AJ$4,0))))+SUMPRODUCT((Inputs!$E$5:$E$170=$B11)*ISNUMBER(INDEX(Inputs!$K$5:$AJ$170,0,MATCH(AJ$2,Inputs!$K$4:$AJ$4,0))))=0,NA(),SUMPRODUCT((Inputs!$A$5:$A$170=$B11)*Inputs!$B$5:$B$170*(((Inputs!$G$5:$G$170="moeda")+(Inputs!$G$5:$G$170="acoes"))*Inputs!$B$1+((Inputs!$G$5:$G$170&lt;&gt;"moeda")*(Inputs!$G$5:$G$170&lt;&gt;"acoes")))*INDEX(Inputs!$K$5:$AJ$170,0,MATCH(AJ$2,Inputs!$K$4:$AJ$4,0)))+SUMPRODUCT((Inputs!$C$5:$C$170=$B11)*Inputs!$D$5:$D$170*(((Inputs!$G$5:$G$170="moeda")+(Inputs!$G$5:$G$170="acoes"))*Inputs!$B$1+((Inputs!$G$5:$G$170&lt;&gt;"moeda")*(Inputs!$G$5:$G$170&lt;&gt;"acoes")))*INDEX(Inputs!$K$5:$AJ$170,0,MATCH(AJ$2,Inputs!$K$4:$AJ$4,0)))+SUMPRODUCT((Inputs!$E$5:$E$170=$B11)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1" s="6" t="e">
        <f>IF(ISNA(MATCH(AK$2,Inputs!$K$4:$AJ$4,0)),NA(),IF(SUMPRODUCT((Inputs!$A$5:$A$170=$B11)*ISNUMBER(INDEX(Inputs!$K$5:$AJ$170,0,MATCH(AK$2,Inputs!$K$4:$AJ$4,0))))+SUMPRODUCT((Inputs!$C$5:$C$170=$B11)*ISNUMBER(INDEX(Inputs!$K$5:$AJ$170,0,MATCH(AK$2,Inputs!$K$4:$AJ$4,0))))+SUMPRODUCT((Inputs!$E$5:$E$170=$B11)*ISNUMBER(INDEX(Inputs!$K$5:$AJ$170,0,MATCH(AK$2,Inputs!$K$4:$AJ$4,0))))=0,NA(),SUMPRODUCT((Inputs!$A$5:$A$170=$B11)*Inputs!$B$5:$B$170*(((Inputs!$G$5:$G$170="moeda")+(Inputs!$G$5:$G$170="acoes"))*Inputs!$B$1+((Inputs!$G$5:$G$170&lt;&gt;"moeda")*(Inputs!$G$5:$G$170&lt;&gt;"acoes")))*INDEX(Inputs!$K$5:$AJ$170,0,MATCH(AK$2,Inputs!$K$4:$AJ$4,0)))+SUMPRODUCT((Inputs!$C$5:$C$170=$B11)*Inputs!$D$5:$D$170*(((Inputs!$G$5:$G$170="moeda")+(Inputs!$G$5:$G$170="acoes"))*Inputs!$B$1+((Inputs!$G$5:$G$170&lt;&gt;"moeda")*(Inputs!$G$5:$G$170&lt;&gt;"acoes")))*INDEX(Inputs!$K$5:$AJ$170,0,MATCH(AK$2,Inputs!$K$4:$AJ$4,0)))+SUMPRODUCT((Inputs!$E$5:$E$170=$B11)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$170=$B12)*ISNUMBER(INDEX(Inputs!$K$5:$AJ$170,0,MATCH(D$2,Inputs!$K$4:$AJ$4,0))))+SUMPRODUCT((Inputs!$C$5:$C$170=$B12)*ISNUMBER(INDEX(Inputs!$K$5:$AJ$170,0,MATCH(D$2,Inputs!$K$4:$AJ$4,0))))+SUMPRODUCT((Inputs!$E$5:$E$170=$B12)*ISNUMBER(INDEX(Inputs!$K$5:$AJ$170,0,MATCH(D$2,Inputs!$K$4:$AJ$4,0))))=0,NA(),SUMPRODUCT((Inputs!$A$5:$A$170=$B12)*Inputs!$B$5:$B$170*(((Inputs!$G$5:$G$170="moeda")+(Inputs!$G$5:$G$170="acoes"))*Inputs!$B$1+((Inputs!$G$5:$G$170&lt;&gt;"moeda")*(Inputs!$G$5:$G$170&lt;&gt;"acoes")))*INDEX(Inputs!$K$5:$AJ$170,0,MATCH(D$2,Inputs!$K$4:$AJ$4,0)))+SUMPRODUCT((Inputs!$C$5:$C$170=$B12)*Inputs!$D$5:$D$170*(((Inputs!$G$5:$G$170="moeda")+(Inputs!$G$5:$G$170="acoes"))*Inputs!$B$1+((Inputs!$G$5:$G$170&lt;&gt;"moeda")*(Inputs!$G$5:$G$170&lt;&gt;"acoes")))*INDEX(Inputs!$K$5:$AJ$170,0,MATCH(D$2,Inputs!$K$4:$AJ$4,0)))+SUMPRODUCT((Inputs!$E$5:$E$170=$B12)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2" s="6" t="e">
        <f>IF(ISNA(MATCH(E$2,Inputs!$K$4:$AJ$4,0)),NA(),IF(SUMPRODUCT((Inputs!$A$5:$A$170=$B12)*ISNUMBER(INDEX(Inputs!$K$5:$AJ$170,0,MATCH(E$2,Inputs!$K$4:$AJ$4,0))))+SUMPRODUCT((Inputs!$C$5:$C$170=$B12)*ISNUMBER(INDEX(Inputs!$K$5:$AJ$170,0,MATCH(E$2,Inputs!$K$4:$AJ$4,0))))+SUMPRODUCT((Inputs!$E$5:$E$170=$B12)*ISNUMBER(INDEX(Inputs!$K$5:$AJ$170,0,MATCH(E$2,Inputs!$K$4:$AJ$4,0))))=0,NA(),SUMPRODUCT((Inputs!$A$5:$A$170=$B12)*Inputs!$B$5:$B$170*(((Inputs!$G$5:$G$170="moeda")+(Inputs!$G$5:$G$170="acoes"))*Inputs!$B$1+((Inputs!$G$5:$G$170&lt;&gt;"moeda")*(Inputs!$G$5:$G$170&lt;&gt;"acoes")))*INDEX(Inputs!$K$5:$AJ$170,0,MATCH(E$2,Inputs!$K$4:$AJ$4,0)))+SUMPRODUCT((Inputs!$C$5:$C$170=$B12)*Inputs!$D$5:$D$170*(((Inputs!$G$5:$G$170="moeda")+(Inputs!$G$5:$G$170="acoes"))*Inputs!$B$1+((Inputs!$G$5:$G$170&lt;&gt;"moeda")*(Inputs!$G$5:$G$170&lt;&gt;"acoes")))*INDEX(Inputs!$K$5:$AJ$170,0,MATCH(E$2,Inputs!$K$4:$AJ$4,0)))+SUMPRODUCT((Inputs!$E$5:$E$170=$B12)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2" s="6" t="e">
        <f>IF(ISNA(MATCH(F$2,Inputs!$K$4:$AJ$4,0)),NA(),IF(SUMPRODUCT((Inputs!$A$5:$A$170=$B12)*ISNUMBER(INDEX(Inputs!$K$5:$AJ$170,0,MATCH(F$2,Inputs!$K$4:$AJ$4,0))))+SUMPRODUCT((Inputs!$C$5:$C$170=$B12)*ISNUMBER(INDEX(Inputs!$K$5:$AJ$170,0,MATCH(F$2,Inputs!$K$4:$AJ$4,0))))+SUMPRODUCT((Inputs!$E$5:$E$170=$B12)*ISNUMBER(INDEX(Inputs!$K$5:$AJ$170,0,MATCH(F$2,Inputs!$K$4:$AJ$4,0))))=0,NA(),SUMPRODUCT((Inputs!$A$5:$A$170=$B12)*Inputs!$B$5:$B$170*(((Inputs!$G$5:$G$170="moeda")+(Inputs!$G$5:$G$170="acoes"))*Inputs!$B$1+((Inputs!$G$5:$G$170&lt;&gt;"moeda")*(Inputs!$G$5:$G$170&lt;&gt;"acoes")))*INDEX(Inputs!$K$5:$AJ$170,0,MATCH(F$2,Inputs!$K$4:$AJ$4,0)))+SUMPRODUCT((Inputs!$C$5:$C$170=$B12)*Inputs!$D$5:$D$170*(((Inputs!$G$5:$G$170="moeda")+(Inputs!$G$5:$G$170="acoes"))*Inputs!$B$1+((Inputs!$G$5:$G$170&lt;&gt;"moeda")*(Inputs!$G$5:$G$170&lt;&gt;"acoes")))*INDEX(Inputs!$K$5:$AJ$170,0,MATCH(F$2,Inputs!$K$4:$AJ$4,0)))+SUMPRODUCT((Inputs!$E$5:$E$170=$B12)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2" s="6" t="e">
        <f>IF(ISNA(MATCH(G$2,Inputs!$K$4:$AJ$4,0)),NA(),IF(SUMPRODUCT((Inputs!$A$5:$A$170=$B12)*ISNUMBER(INDEX(Inputs!$K$5:$AJ$170,0,MATCH(G$2,Inputs!$K$4:$AJ$4,0))))+SUMPRODUCT((Inputs!$C$5:$C$170=$B12)*ISNUMBER(INDEX(Inputs!$K$5:$AJ$170,0,MATCH(G$2,Inputs!$K$4:$AJ$4,0))))+SUMPRODUCT((Inputs!$E$5:$E$170=$B12)*ISNUMBER(INDEX(Inputs!$K$5:$AJ$170,0,MATCH(G$2,Inputs!$K$4:$AJ$4,0))))=0,NA(),SUMPRODUCT((Inputs!$A$5:$A$170=$B12)*Inputs!$B$5:$B$170*(((Inputs!$G$5:$G$170="moeda")+(Inputs!$G$5:$G$170="acoes"))*Inputs!$B$1+((Inputs!$G$5:$G$170&lt;&gt;"moeda")*(Inputs!$G$5:$G$170&lt;&gt;"acoes")))*INDEX(Inputs!$K$5:$AJ$170,0,MATCH(G$2,Inputs!$K$4:$AJ$4,0)))+SUMPRODUCT((Inputs!$C$5:$C$170=$B12)*Inputs!$D$5:$D$170*(((Inputs!$G$5:$G$170="moeda")+(Inputs!$G$5:$G$170="acoes"))*Inputs!$B$1+((Inputs!$G$5:$G$170&lt;&gt;"moeda")*(Inputs!$G$5:$G$170&lt;&gt;"acoes")))*INDEX(Inputs!$K$5:$AJ$170,0,MATCH(G$2,Inputs!$K$4:$AJ$4,0)))+SUMPRODUCT((Inputs!$E$5:$E$170=$B12)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$170=$B12)*ISNUMBER(INDEX(Inputs!$K$5:$AJ$170,0,MATCH(I$2,Inputs!$K$4:$AJ$4,0))))+SUMPRODUCT((Inputs!$C$5:$C$170=$B12)*ISNUMBER(INDEX(Inputs!$K$5:$AJ$170,0,MATCH(I$2,Inputs!$K$4:$AJ$4,0))))+SUMPRODUCT((Inputs!$E$5:$E$170=$B12)*ISNUMBER(INDEX(Inputs!$K$5:$AJ$170,0,MATCH(I$2,Inputs!$K$4:$AJ$4,0))))=0,NA(),SUMPRODUCT((Inputs!$A$5:$A$170=$B12)*Inputs!$B$5:$B$170*(((Inputs!$G$5:$G$170="moeda")+(Inputs!$G$5:$G$170="acoes"))*Inputs!$B$1+((Inputs!$G$5:$G$170&lt;&gt;"moeda")*(Inputs!$G$5:$G$170&lt;&gt;"acoes")))*INDEX(Inputs!$K$5:$AJ$170,0,MATCH(I$2,Inputs!$K$4:$AJ$4,0)))+SUMPRODUCT((Inputs!$C$5:$C$170=$B12)*Inputs!$D$5:$D$170*(((Inputs!$G$5:$G$170="moeda")+(Inputs!$G$5:$G$170="acoes"))*Inputs!$B$1+((Inputs!$G$5:$G$170&lt;&gt;"moeda")*(Inputs!$G$5:$G$170&lt;&gt;"acoes")))*INDEX(Inputs!$K$5:$AJ$170,0,MATCH(I$2,Inputs!$K$4:$AJ$4,0)))+SUMPRODUCT((Inputs!$E$5:$E$170=$B12)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2" s="6" t="e">
        <f>IF(ISNA(MATCH(J$2,Inputs!$K$4:$AJ$4,0)),NA(),IF(SUMPRODUCT((Inputs!$A$5:$A$170=$B12)*ISNUMBER(INDEX(Inputs!$K$5:$AJ$170,0,MATCH(J$2,Inputs!$K$4:$AJ$4,0))))+SUMPRODUCT((Inputs!$C$5:$C$170=$B12)*ISNUMBER(INDEX(Inputs!$K$5:$AJ$170,0,MATCH(J$2,Inputs!$K$4:$AJ$4,0))))+SUMPRODUCT((Inputs!$E$5:$E$170=$B12)*ISNUMBER(INDEX(Inputs!$K$5:$AJ$170,0,MATCH(J$2,Inputs!$K$4:$AJ$4,0))))=0,NA(),SUMPRODUCT((Inputs!$A$5:$A$170=$B12)*Inputs!$B$5:$B$170*(((Inputs!$G$5:$G$170="moeda")+(Inputs!$G$5:$G$170="acoes"))*Inputs!$B$1+((Inputs!$G$5:$G$170&lt;&gt;"moeda")*(Inputs!$G$5:$G$170&lt;&gt;"acoes")))*INDEX(Inputs!$K$5:$AJ$170,0,MATCH(J$2,Inputs!$K$4:$AJ$4,0)))+SUMPRODUCT((Inputs!$C$5:$C$170=$B12)*Inputs!$D$5:$D$170*(((Inputs!$G$5:$G$170="moeda")+(Inputs!$G$5:$G$170="acoes"))*Inputs!$B$1+((Inputs!$G$5:$G$170&lt;&gt;"moeda")*(Inputs!$G$5:$G$170&lt;&gt;"acoes")))*INDEX(Inputs!$K$5:$AJ$170,0,MATCH(J$2,Inputs!$K$4:$AJ$4,0)))+SUMPRODUCT((Inputs!$E$5:$E$170=$B12)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2" s="6" t="e">
        <f>IF(ISNA(MATCH(K$2,Inputs!$K$4:$AJ$4,0)),NA(),IF(SUMPRODUCT((Inputs!$A$5:$A$170=$B12)*ISNUMBER(INDEX(Inputs!$K$5:$AJ$170,0,MATCH(K$2,Inputs!$K$4:$AJ$4,0))))+SUMPRODUCT((Inputs!$C$5:$C$170=$B12)*ISNUMBER(INDEX(Inputs!$K$5:$AJ$170,0,MATCH(K$2,Inputs!$K$4:$AJ$4,0))))+SUMPRODUCT((Inputs!$E$5:$E$170=$B12)*ISNUMBER(INDEX(Inputs!$K$5:$AJ$170,0,MATCH(K$2,Inputs!$K$4:$AJ$4,0))))=0,NA(),SUMPRODUCT((Inputs!$A$5:$A$170=$B12)*Inputs!$B$5:$B$170*(((Inputs!$G$5:$G$170="moeda")+(Inputs!$G$5:$G$170="acoes"))*Inputs!$B$1+((Inputs!$G$5:$G$170&lt;&gt;"moeda")*(Inputs!$G$5:$G$170&lt;&gt;"acoes")))*INDEX(Inputs!$K$5:$AJ$170,0,MATCH(K$2,Inputs!$K$4:$AJ$4,0)))+SUMPRODUCT((Inputs!$C$5:$C$170=$B12)*Inputs!$D$5:$D$170*(((Inputs!$G$5:$G$170="moeda")+(Inputs!$G$5:$G$170="acoes"))*Inputs!$B$1+((Inputs!$G$5:$G$170&lt;&gt;"moeda")*(Inputs!$G$5:$G$170&lt;&gt;"acoes")))*INDEX(Inputs!$K$5:$AJ$170,0,MATCH(K$2,Inputs!$K$4:$AJ$4,0)))+SUMPRODUCT((Inputs!$E$5:$E$170=$B12)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2" s="6" t="e">
        <f>IF(ISNA(MATCH(L$2,Inputs!$K$4:$AJ$4,0)),NA(),IF(SUMPRODUCT((Inputs!$A$5:$A$170=$B12)*ISNUMBER(INDEX(Inputs!$K$5:$AJ$170,0,MATCH(L$2,Inputs!$K$4:$AJ$4,0))))+SUMPRODUCT((Inputs!$C$5:$C$170=$B12)*ISNUMBER(INDEX(Inputs!$K$5:$AJ$170,0,MATCH(L$2,Inputs!$K$4:$AJ$4,0))))+SUMPRODUCT((Inputs!$E$5:$E$170=$B12)*ISNUMBER(INDEX(Inputs!$K$5:$AJ$170,0,MATCH(L$2,Inputs!$K$4:$AJ$4,0))))=0,NA(),SUMPRODUCT((Inputs!$A$5:$A$170=$B12)*Inputs!$B$5:$B$170*(((Inputs!$G$5:$G$170="moeda")+(Inputs!$G$5:$G$170="acoes"))*Inputs!$B$1+((Inputs!$G$5:$G$170&lt;&gt;"moeda")*(Inputs!$G$5:$G$170&lt;&gt;"acoes")))*INDEX(Inputs!$K$5:$AJ$170,0,MATCH(L$2,Inputs!$K$4:$AJ$4,0)))+SUMPRODUCT((Inputs!$C$5:$C$170=$B12)*Inputs!$D$5:$D$170*(((Inputs!$G$5:$G$170="moeda")+(Inputs!$G$5:$G$170="acoes"))*Inputs!$B$1+((Inputs!$G$5:$G$170&lt;&gt;"moeda")*(Inputs!$G$5:$G$170&lt;&gt;"acoes")))*INDEX(Inputs!$K$5:$AJ$170,0,MATCH(L$2,Inputs!$K$4:$AJ$4,0)))+SUMPRODUCT((Inputs!$E$5:$E$170=$B12)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$170=$B12)*ISNUMBER(INDEX(Inputs!$K$5:$AJ$170,0,MATCH(N$2,Inputs!$K$4:$AJ$4,0))))+SUMPRODUCT((Inputs!$C$5:$C$170=$B12)*ISNUMBER(INDEX(Inputs!$K$5:$AJ$170,0,MATCH(N$2,Inputs!$K$4:$AJ$4,0))))+SUMPRODUCT((Inputs!$E$5:$E$170=$B12)*ISNUMBER(INDEX(Inputs!$K$5:$AJ$170,0,MATCH(N$2,Inputs!$K$4:$AJ$4,0))))=0,NA(),SUMPRODUCT((Inputs!$A$5:$A$170=$B12)*Inputs!$B$5:$B$170*(((Inputs!$G$5:$G$170="moeda")+(Inputs!$G$5:$G$170="acoes"))*Inputs!$B$1+((Inputs!$G$5:$G$170&lt;&gt;"moeda")*(Inputs!$G$5:$G$170&lt;&gt;"acoes")))*INDEX(Inputs!$K$5:$AJ$170,0,MATCH(N$2,Inputs!$K$4:$AJ$4,0)))+SUMPRODUCT((Inputs!$C$5:$C$170=$B12)*Inputs!$D$5:$D$170*(((Inputs!$G$5:$G$170="moeda")+(Inputs!$G$5:$G$170="acoes"))*Inputs!$B$1+((Inputs!$G$5:$G$170&lt;&gt;"moeda")*(Inputs!$G$5:$G$170&lt;&gt;"acoes")))*INDEX(Inputs!$K$5:$AJ$170,0,MATCH(N$2,Inputs!$K$4:$AJ$4,0)))+SUMPRODUCT((Inputs!$E$5:$E$170=$B12)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2" s="6" t="e">
        <f>IF(ISNA(MATCH(O$2,Inputs!$K$4:$AJ$4,0)),NA(),IF(SUMPRODUCT((Inputs!$A$5:$A$170=$B12)*ISNUMBER(INDEX(Inputs!$K$5:$AJ$170,0,MATCH(O$2,Inputs!$K$4:$AJ$4,0))))+SUMPRODUCT((Inputs!$C$5:$C$170=$B12)*ISNUMBER(INDEX(Inputs!$K$5:$AJ$170,0,MATCH(O$2,Inputs!$K$4:$AJ$4,0))))+SUMPRODUCT((Inputs!$E$5:$E$170=$B12)*ISNUMBER(INDEX(Inputs!$K$5:$AJ$170,0,MATCH(O$2,Inputs!$K$4:$AJ$4,0))))=0,NA(),SUMPRODUCT((Inputs!$A$5:$A$170=$B12)*Inputs!$B$5:$B$170*(((Inputs!$G$5:$G$170="moeda")+(Inputs!$G$5:$G$170="acoes"))*Inputs!$B$1+((Inputs!$G$5:$G$170&lt;&gt;"moeda")*(Inputs!$G$5:$G$170&lt;&gt;"acoes")))*INDEX(Inputs!$K$5:$AJ$170,0,MATCH(O$2,Inputs!$K$4:$AJ$4,0)))+SUMPRODUCT((Inputs!$C$5:$C$170=$B12)*Inputs!$D$5:$D$170*(((Inputs!$G$5:$G$170="moeda")+(Inputs!$G$5:$G$170="acoes"))*Inputs!$B$1+((Inputs!$G$5:$G$170&lt;&gt;"moeda")*(Inputs!$G$5:$G$170&lt;&gt;"acoes")))*INDEX(Inputs!$K$5:$AJ$170,0,MATCH(O$2,Inputs!$K$4:$AJ$4,0)))+SUMPRODUCT((Inputs!$E$5:$E$170=$B12)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2" s="6" t="e">
        <f>IF(ISNA(MATCH(P$2,Inputs!$K$4:$AJ$4,0)),NA(),IF(SUMPRODUCT((Inputs!$A$5:$A$170=$B12)*ISNUMBER(INDEX(Inputs!$K$5:$AJ$170,0,MATCH(P$2,Inputs!$K$4:$AJ$4,0))))+SUMPRODUCT((Inputs!$C$5:$C$170=$B12)*ISNUMBER(INDEX(Inputs!$K$5:$AJ$170,0,MATCH(P$2,Inputs!$K$4:$AJ$4,0))))+SUMPRODUCT((Inputs!$E$5:$E$170=$B12)*ISNUMBER(INDEX(Inputs!$K$5:$AJ$170,0,MATCH(P$2,Inputs!$K$4:$AJ$4,0))))=0,NA(),SUMPRODUCT((Inputs!$A$5:$A$170=$B12)*Inputs!$B$5:$B$170*(((Inputs!$G$5:$G$170="moeda")+(Inputs!$G$5:$G$170="acoes"))*Inputs!$B$1+((Inputs!$G$5:$G$170&lt;&gt;"moeda")*(Inputs!$G$5:$G$170&lt;&gt;"acoes")))*INDEX(Inputs!$K$5:$AJ$170,0,MATCH(P$2,Inputs!$K$4:$AJ$4,0)))+SUMPRODUCT((Inputs!$C$5:$C$170=$B12)*Inputs!$D$5:$D$170*(((Inputs!$G$5:$G$170="moeda")+(Inputs!$G$5:$G$170="acoes"))*Inputs!$B$1+((Inputs!$G$5:$G$170&lt;&gt;"moeda")*(Inputs!$G$5:$G$170&lt;&gt;"acoes")))*INDEX(Inputs!$K$5:$AJ$170,0,MATCH(P$2,Inputs!$K$4:$AJ$4,0)))+SUMPRODUCT((Inputs!$E$5:$E$170=$B12)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2" s="6" t="e">
        <f>IF(ISNA(MATCH(Q$2,Inputs!$K$4:$AJ$4,0)),NA(),IF(SUMPRODUCT((Inputs!$A$5:$A$170=$B12)*ISNUMBER(INDEX(Inputs!$K$5:$AJ$170,0,MATCH(Q$2,Inputs!$K$4:$AJ$4,0))))+SUMPRODUCT((Inputs!$C$5:$C$170=$B12)*ISNUMBER(INDEX(Inputs!$K$5:$AJ$170,0,MATCH(Q$2,Inputs!$K$4:$AJ$4,0))))+SUMPRODUCT((Inputs!$E$5:$E$170=$B12)*ISNUMBER(INDEX(Inputs!$K$5:$AJ$170,0,MATCH(Q$2,Inputs!$K$4:$AJ$4,0))))=0,NA(),SUMPRODUCT((Inputs!$A$5:$A$170=$B12)*Inputs!$B$5:$B$170*(((Inputs!$G$5:$G$170="moeda")+(Inputs!$G$5:$G$170="acoes"))*Inputs!$B$1+((Inputs!$G$5:$G$170&lt;&gt;"moeda")*(Inputs!$G$5:$G$170&lt;&gt;"acoes")))*INDEX(Inputs!$K$5:$AJ$170,0,MATCH(Q$2,Inputs!$K$4:$AJ$4,0)))+SUMPRODUCT((Inputs!$C$5:$C$170=$B12)*Inputs!$D$5:$D$170*(((Inputs!$G$5:$G$170="moeda")+(Inputs!$G$5:$G$170="acoes"))*Inputs!$B$1+((Inputs!$G$5:$G$170&lt;&gt;"moeda")*(Inputs!$G$5:$G$170&lt;&gt;"acoes")))*INDEX(Inputs!$K$5:$AJ$170,0,MATCH(Q$2,Inputs!$K$4:$AJ$4,0)))+SUMPRODUCT((Inputs!$E$5:$E$170=$B12)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$170=$B12)*ISNUMBER(INDEX(Inputs!$K$5:$AJ$170,0,MATCH(S$2,Inputs!$K$4:$AJ$4,0))))+SUMPRODUCT((Inputs!$C$5:$C$170=$B12)*ISNUMBER(INDEX(Inputs!$K$5:$AJ$170,0,MATCH(S$2,Inputs!$K$4:$AJ$4,0))))+SUMPRODUCT((Inputs!$E$5:$E$170=$B12)*ISNUMBER(INDEX(Inputs!$K$5:$AJ$170,0,MATCH(S$2,Inputs!$K$4:$AJ$4,0))))=0,NA(),SUMPRODUCT((Inputs!$A$5:$A$170=$B12)*Inputs!$B$5:$B$170*(((Inputs!$G$5:$G$170="moeda")+(Inputs!$G$5:$G$170="acoes"))*Inputs!$B$1+((Inputs!$G$5:$G$170&lt;&gt;"moeda")*(Inputs!$G$5:$G$170&lt;&gt;"acoes")))*INDEX(Inputs!$K$5:$AJ$170,0,MATCH(S$2,Inputs!$K$4:$AJ$4,0)))+SUMPRODUCT((Inputs!$C$5:$C$170=$B12)*Inputs!$D$5:$D$170*(((Inputs!$G$5:$G$170="moeda")+(Inputs!$G$5:$G$170="acoes"))*Inputs!$B$1+((Inputs!$G$5:$G$170&lt;&gt;"moeda")*(Inputs!$G$5:$G$170&lt;&gt;"acoes")))*INDEX(Inputs!$K$5:$AJ$170,0,MATCH(S$2,Inputs!$K$4:$AJ$4,0)))+SUMPRODUCT((Inputs!$E$5:$E$170=$B12)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2" s="6" t="e">
        <f>IF(ISNA(MATCH(T$2,Inputs!$K$4:$AJ$4,0)),NA(),IF(SUMPRODUCT((Inputs!$A$5:$A$170=$B12)*ISNUMBER(INDEX(Inputs!$K$5:$AJ$170,0,MATCH(T$2,Inputs!$K$4:$AJ$4,0))))+SUMPRODUCT((Inputs!$C$5:$C$170=$B12)*ISNUMBER(INDEX(Inputs!$K$5:$AJ$170,0,MATCH(T$2,Inputs!$K$4:$AJ$4,0))))+SUMPRODUCT((Inputs!$E$5:$E$170=$B12)*ISNUMBER(INDEX(Inputs!$K$5:$AJ$170,0,MATCH(T$2,Inputs!$K$4:$AJ$4,0))))=0,NA(),SUMPRODUCT((Inputs!$A$5:$A$170=$B12)*Inputs!$B$5:$B$170*(((Inputs!$G$5:$G$170="moeda")+(Inputs!$G$5:$G$170="acoes"))*Inputs!$B$1+((Inputs!$G$5:$G$170&lt;&gt;"moeda")*(Inputs!$G$5:$G$170&lt;&gt;"acoes")))*INDEX(Inputs!$K$5:$AJ$170,0,MATCH(T$2,Inputs!$K$4:$AJ$4,0)))+SUMPRODUCT((Inputs!$C$5:$C$170=$B12)*Inputs!$D$5:$D$170*(((Inputs!$G$5:$G$170="moeda")+(Inputs!$G$5:$G$170="acoes"))*Inputs!$B$1+((Inputs!$G$5:$G$170&lt;&gt;"moeda")*(Inputs!$G$5:$G$170&lt;&gt;"acoes")))*INDEX(Inputs!$K$5:$AJ$170,0,MATCH(T$2,Inputs!$K$4:$AJ$4,0)))+SUMPRODUCT((Inputs!$E$5:$E$170=$B12)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2" s="6" t="e">
        <f>IF(ISNA(MATCH(U$2,Inputs!$K$4:$AJ$4,0)),NA(),IF(SUMPRODUCT((Inputs!$A$5:$A$170=$B12)*ISNUMBER(INDEX(Inputs!$K$5:$AJ$170,0,MATCH(U$2,Inputs!$K$4:$AJ$4,0))))+SUMPRODUCT((Inputs!$C$5:$C$170=$B12)*ISNUMBER(INDEX(Inputs!$K$5:$AJ$170,0,MATCH(U$2,Inputs!$K$4:$AJ$4,0))))+SUMPRODUCT((Inputs!$E$5:$E$170=$B12)*ISNUMBER(INDEX(Inputs!$K$5:$AJ$170,0,MATCH(U$2,Inputs!$K$4:$AJ$4,0))))=0,NA(),SUMPRODUCT((Inputs!$A$5:$A$170=$B12)*Inputs!$B$5:$B$170*(((Inputs!$G$5:$G$170="moeda")+(Inputs!$G$5:$G$170="acoes"))*Inputs!$B$1+((Inputs!$G$5:$G$170&lt;&gt;"moeda")*(Inputs!$G$5:$G$170&lt;&gt;"acoes")))*INDEX(Inputs!$K$5:$AJ$170,0,MATCH(U$2,Inputs!$K$4:$AJ$4,0)))+SUMPRODUCT((Inputs!$C$5:$C$170=$B12)*Inputs!$D$5:$D$170*(((Inputs!$G$5:$G$170="moeda")+(Inputs!$G$5:$G$170="acoes"))*Inputs!$B$1+((Inputs!$G$5:$G$170&lt;&gt;"moeda")*(Inputs!$G$5:$G$170&lt;&gt;"acoes")))*INDEX(Inputs!$K$5:$AJ$170,0,MATCH(U$2,Inputs!$K$4:$AJ$4,0)))+SUMPRODUCT((Inputs!$E$5:$E$170=$B12)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2" s="6" t="e">
        <f>IF(ISNA(MATCH(V$2,Inputs!$K$4:$AJ$4,0)),NA(),IF(SUMPRODUCT((Inputs!$A$5:$A$170=$B12)*ISNUMBER(INDEX(Inputs!$K$5:$AJ$170,0,MATCH(V$2,Inputs!$K$4:$AJ$4,0))))+SUMPRODUCT((Inputs!$C$5:$C$170=$B12)*ISNUMBER(INDEX(Inputs!$K$5:$AJ$170,0,MATCH(V$2,Inputs!$K$4:$AJ$4,0))))+SUMPRODUCT((Inputs!$E$5:$E$170=$B12)*ISNUMBER(INDEX(Inputs!$K$5:$AJ$170,0,MATCH(V$2,Inputs!$K$4:$AJ$4,0))))=0,NA(),SUMPRODUCT((Inputs!$A$5:$A$170=$B12)*Inputs!$B$5:$B$170*(((Inputs!$G$5:$G$170="moeda")+(Inputs!$G$5:$G$170="acoes"))*Inputs!$B$1+((Inputs!$G$5:$G$170&lt;&gt;"moeda")*(Inputs!$G$5:$G$170&lt;&gt;"acoes")))*INDEX(Inputs!$K$5:$AJ$170,0,MATCH(V$2,Inputs!$K$4:$AJ$4,0)))+SUMPRODUCT((Inputs!$C$5:$C$170=$B12)*Inputs!$D$5:$D$170*(((Inputs!$G$5:$G$170="moeda")+(Inputs!$G$5:$G$170="acoes"))*Inputs!$B$1+((Inputs!$G$5:$G$170&lt;&gt;"moeda")*(Inputs!$G$5:$G$170&lt;&gt;"acoes")))*INDEX(Inputs!$K$5:$AJ$170,0,MATCH(V$2,Inputs!$K$4:$AJ$4,0)))+SUMPRODUCT((Inputs!$E$5:$E$170=$B12)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$170=$B12)*ISNUMBER(INDEX(Inputs!$K$5:$AJ$170,0,MATCH(X$2,Inputs!$K$4:$AJ$4,0))))+SUMPRODUCT((Inputs!$C$5:$C$170=$B12)*ISNUMBER(INDEX(Inputs!$K$5:$AJ$170,0,MATCH(X$2,Inputs!$K$4:$AJ$4,0))))+SUMPRODUCT((Inputs!$E$5:$E$170=$B12)*ISNUMBER(INDEX(Inputs!$K$5:$AJ$170,0,MATCH(X$2,Inputs!$K$4:$AJ$4,0))))=0,NA(),SUMPRODUCT((Inputs!$A$5:$A$170=$B12)*Inputs!$B$5:$B$170*(((Inputs!$G$5:$G$170="moeda")+(Inputs!$G$5:$G$170="acoes"))*Inputs!$B$1+((Inputs!$G$5:$G$170&lt;&gt;"moeda")*(Inputs!$G$5:$G$170&lt;&gt;"acoes")))*INDEX(Inputs!$K$5:$AJ$170,0,MATCH(X$2,Inputs!$K$4:$AJ$4,0)))+SUMPRODUCT((Inputs!$C$5:$C$170=$B12)*Inputs!$D$5:$D$170*(((Inputs!$G$5:$G$170="moeda")+(Inputs!$G$5:$G$170="acoes"))*Inputs!$B$1+((Inputs!$G$5:$G$170&lt;&gt;"moeda")*(Inputs!$G$5:$G$170&lt;&gt;"acoes")))*INDEX(Inputs!$K$5:$AJ$170,0,MATCH(X$2,Inputs!$K$4:$AJ$4,0)))+SUMPRODUCT((Inputs!$E$5:$E$170=$B12)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2" s="6" t="e">
        <f>IF(ISNA(MATCH(Y$2,Inputs!$K$4:$AJ$4,0)),NA(),IF(SUMPRODUCT((Inputs!$A$5:$A$170=$B12)*ISNUMBER(INDEX(Inputs!$K$5:$AJ$170,0,MATCH(Y$2,Inputs!$K$4:$AJ$4,0))))+SUMPRODUCT((Inputs!$C$5:$C$170=$B12)*ISNUMBER(INDEX(Inputs!$K$5:$AJ$170,0,MATCH(Y$2,Inputs!$K$4:$AJ$4,0))))+SUMPRODUCT((Inputs!$E$5:$E$170=$B12)*ISNUMBER(INDEX(Inputs!$K$5:$AJ$170,0,MATCH(Y$2,Inputs!$K$4:$AJ$4,0))))=0,NA(),SUMPRODUCT((Inputs!$A$5:$A$170=$B12)*Inputs!$B$5:$B$170*(((Inputs!$G$5:$G$170="moeda")+(Inputs!$G$5:$G$170="acoes"))*Inputs!$B$1+((Inputs!$G$5:$G$170&lt;&gt;"moeda")*(Inputs!$G$5:$G$170&lt;&gt;"acoes")))*INDEX(Inputs!$K$5:$AJ$170,0,MATCH(Y$2,Inputs!$K$4:$AJ$4,0)))+SUMPRODUCT((Inputs!$C$5:$C$170=$B12)*Inputs!$D$5:$D$170*(((Inputs!$G$5:$G$170="moeda")+(Inputs!$G$5:$G$170="acoes"))*Inputs!$B$1+((Inputs!$G$5:$G$170&lt;&gt;"moeda")*(Inputs!$G$5:$G$170&lt;&gt;"acoes")))*INDEX(Inputs!$K$5:$AJ$170,0,MATCH(Y$2,Inputs!$K$4:$AJ$4,0)))+SUMPRODUCT((Inputs!$E$5:$E$170=$B12)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2" s="6" t="e">
        <f>IF(ISNA(MATCH(Z$2,Inputs!$K$4:$AJ$4,0)),NA(),IF(SUMPRODUCT((Inputs!$A$5:$A$170=$B12)*ISNUMBER(INDEX(Inputs!$K$5:$AJ$170,0,MATCH(Z$2,Inputs!$K$4:$AJ$4,0))))+SUMPRODUCT((Inputs!$C$5:$C$170=$B12)*ISNUMBER(INDEX(Inputs!$K$5:$AJ$170,0,MATCH(Z$2,Inputs!$K$4:$AJ$4,0))))+SUMPRODUCT((Inputs!$E$5:$E$170=$B12)*ISNUMBER(INDEX(Inputs!$K$5:$AJ$170,0,MATCH(Z$2,Inputs!$K$4:$AJ$4,0))))=0,NA(),SUMPRODUCT((Inputs!$A$5:$A$170=$B12)*Inputs!$B$5:$B$170*(((Inputs!$G$5:$G$170="moeda")+(Inputs!$G$5:$G$170="acoes"))*Inputs!$B$1+((Inputs!$G$5:$G$170&lt;&gt;"moeda")*(Inputs!$G$5:$G$170&lt;&gt;"acoes")))*INDEX(Inputs!$K$5:$AJ$170,0,MATCH(Z$2,Inputs!$K$4:$AJ$4,0)))+SUMPRODUCT((Inputs!$C$5:$C$170=$B12)*Inputs!$D$5:$D$170*(((Inputs!$G$5:$G$170="moeda")+(Inputs!$G$5:$G$170="acoes"))*Inputs!$B$1+((Inputs!$G$5:$G$170&lt;&gt;"moeda")*(Inputs!$G$5:$G$170&lt;&gt;"acoes")))*INDEX(Inputs!$K$5:$AJ$170,0,MATCH(Z$2,Inputs!$K$4:$AJ$4,0)))+SUMPRODUCT((Inputs!$E$5:$E$170=$B12)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2" s="6" t="e">
        <f>IF(ISNA(MATCH(AA$2,Inputs!$K$4:$AJ$4,0)),NA(),IF(SUMPRODUCT((Inputs!$A$5:$A$170=$B12)*ISNUMBER(INDEX(Inputs!$K$5:$AJ$170,0,MATCH(AA$2,Inputs!$K$4:$AJ$4,0))))+SUMPRODUCT((Inputs!$C$5:$C$170=$B12)*ISNUMBER(INDEX(Inputs!$K$5:$AJ$170,0,MATCH(AA$2,Inputs!$K$4:$AJ$4,0))))+SUMPRODUCT((Inputs!$E$5:$E$170=$B12)*ISNUMBER(INDEX(Inputs!$K$5:$AJ$170,0,MATCH(AA$2,Inputs!$K$4:$AJ$4,0))))=0,NA(),SUMPRODUCT((Inputs!$A$5:$A$170=$B12)*Inputs!$B$5:$B$170*(((Inputs!$G$5:$G$170="moeda")+(Inputs!$G$5:$G$170="acoes"))*Inputs!$B$1+((Inputs!$G$5:$G$170&lt;&gt;"moeda")*(Inputs!$G$5:$G$170&lt;&gt;"acoes")))*INDEX(Inputs!$K$5:$AJ$170,0,MATCH(AA$2,Inputs!$K$4:$AJ$4,0)))+SUMPRODUCT((Inputs!$C$5:$C$170=$B12)*Inputs!$D$5:$D$170*(((Inputs!$G$5:$G$170="moeda")+(Inputs!$G$5:$G$170="acoes"))*Inputs!$B$1+((Inputs!$G$5:$G$170&lt;&gt;"moeda")*(Inputs!$G$5:$G$170&lt;&gt;"acoes")))*INDEX(Inputs!$K$5:$AJ$170,0,MATCH(AA$2,Inputs!$K$4:$AJ$4,0)))+SUMPRODUCT((Inputs!$E$5:$E$170=$B12)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$170=$B12)*ISNUMBER(INDEX(Inputs!$K$5:$AJ$170,0,MATCH(AC$2,Inputs!$K$4:$AJ$4,0))))+SUMPRODUCT((Inputs!$C$5:$C$170=$B12)*ISNUMBER(INDEX(Inputs!$K$5:$AJ$170,0,MATCH(AC$2,Inputs!$K$4:$AJ$4,0))))+SUMPRODUCT((Inputs!$E$5:$E$170=$B12)*ISNUMBER(INDEX(Inputs!$K$5:$AJ$170,0,MATCH(AC$2,Inputs!$K$4:$AJ$4,0))))=0,NA(),SUMPRODUCT((Inputs!$A$5:$A$170=$B12)*Inputs!$B$5:$B$170*(((Inputs!$G$5:$G$170="moeda")+(Inputs!$G$5:$G$170="acoes"))*Inputs!$B$1+((Inputs!$G$5:$G$170&lt;&gt;"moeda")*(Inputs!$G$5:$G$170&lt;&gt;"acoes")))*INDEX(Inputs!$K$5:$AJ$170,0,MATCH(AC$2,Inputs!$K$4:$AJ$4,0)))+SUMPRODUCT((Inputs!$C$5:$C$170=$B12)*Inputs!$D$5:$D$170*(((Inputs!$G$5:$G$170="moeda")+(Inputs!$G$5:$G$170="acoes"))*Inputs!$B$1+((Inputs!$G$5:$G$170&lt;&gt;"moeda")*(Inputs!$G$5:$G$170&lt;&gt;"acoes")))*INDEX(Inputs!$K$5:$AJ$170,0,MATCH(AC$2,Inputs!$K$4:$AJ$4,0)))+SUMPRODUCT((Inputs!$E$5:$E$170=$B12)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2" s="6" t="e">
        <f>IF(ISNA(MATCH(AD$2,Inputs!$K$4:$AJ$4,0)),NA(),IF(SUMPRODUCT((Inputs!$A$5:$A$170=$B12)*ISNUMBER(INDEX(Inputs!$K$5:$AJ$170,0,MATCH(AD$2,Inputs!$K$4:$AJ$4,0))))+SUMPRODUCT((Inputs!$C$5:$C$170=$B12)*ISNUMBER(INDEX(Inputs!$K$5:$AJ$170,0,MATCH(AD$2,Inputs!$K$4:$AJ$4,0))))+SUMPRODUCT((Inputs!$E$5:$E$170=$B12)*ISNUMBER(INDEX(Inputs!$K$5:$AJ$170,0,MATCH(AD$2,Inputs!$K$4:$AJ$4,0))))=0,NA(),SUMPRODUCT((Inputs!$A$5:$A$170=$B12)*Inputs!$B$5:$B$170*(((Inputs!$G$5:$G$170="moeda")+(Inputs!$G$5:$G$170="acoes"))*Inputs!$B$1+((Inputs!$G$5:$G$170&lt;&gt;"moeda")*(Inputs!$G$5:$G$170&lt;&gt;"acoes")))*INDEX(Inputs!$K$5:$AJ$170,0,MATCH(AD$2,Inputs!$K$4:$AJ$4,0)))+SUMPRODUCT((Inputs!$C$5:$C$170=$B12)*Inputs!$D$5:$D$170*(((Inputs!$G$5:$G$170="moeda")+(Inputs!$G$5:$G$170="acoes"))*Inputs!$B$1+((Inputs!$G$5:$G$170&lt;&gt;"moeda")*(Inputs!$G$5:$G$170&lt;&gt;"acoes")))*INDEX(Inputs!$K$5:$AJ$170,0,MATCH(AD$2,Inputs!$K$4:$AJ$4,0)))+SUMPRODUCT((Inputs!$E$5:$E$170=$B12)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2" s="6" t="e">
        <f>IF(ISNA(MATCH(AE$2,Inputs!$K$4:$AJ$4,0)),NA(),IF(SUMPRODUCT((Inputs!$A$5:$A$170=$B12)*ISNUMBER(INDEX(Inputs!$K$5:$AJ$170,0,MATCH(AE$2,Inputs!$K$4:$AJ$4,0))))+SUMPRODUCT((Inputs!$C$5:$C$170=$B12)*ISNUMBER(INDEX(Inputs!$K$5:$AJ$170,0,MATCH(AE$2,Inputs!$K$4:$AJ$4,0))))+SUMPRODUCT((Inputs!$E$5:$E$170=$B12)*ISNUMBER(INDEX(Inputs!$K$5:$AJ$170,0,MATCH(AE$2,Inputs!$K$4:$AJ$4,0))))=0,NA(),SUMPRODUCT((Inputs!$A$5:$A$170=$B12)*Inputs!$B$5:$B$170*(((Inputs!$G$5:$G$170="moeda")+(Inputs!$G$5:$G$170="acoes"))*Inputs!$B$1+((Inputs!$G$5:$G$170&lt;&gt;"moeda")*(Inputs!$G$5:$G$170&lt;&gt;"acoes")))*INDEX(Inputs!$K$5:$AJ$170,0,MATCH(AE$2,Inputs!$K$4:$AJ$4,0)))+SUMPRODUCT((Inputs!$C$5:$C$170=$B12)*Inputs!$D$5:$D$170*(((Inputs!$G$5:$G$170="moeda")+(Inputs!$G$5:$G$170="acoes"))*Inputs!$B$1+((Inputs!$G$5:$G$170&lt;&gt;"moeda")*(Inputs!$G$5:$G$170&lt;&gt;"acoes")))*INDEX(Inputs!$K$5:$AJ$170,0,MATCH(AE$2,Inputs!$K$4:$AJ$4,0)))+SUMPRODUCT((Inputs!$E$5:$E$170=$B12)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2" s="6" t="e">
        <f>IF(ISNA(MATCH(AF$2,Inputs!$K$4:$AJ$4,0)),NA(),IF(SUMPRODUCT((Inputs!$A$5:$A$170=$B12)*ISNUMBER(INDEX(Inputs!$K$5:$AJ$170,0,MATCH(AF$2,Inputs!$K$4:$AJ$4,0))))+SUMPRODUCT((Inputs!$C$5:$C$170=$B12)*ISNUMBER(INDEX(Inputs!$K$5:$AJ$170,0,MATCH(AF$2,Inputs!$K$4:$AJ$4,0))))+SUMPRODUCT((Inputs!$E$5:$E$170=$B12)*ISNUMBER(INDEX(Inputs!$K$5:$AJ$170,0,MATCH(AF$2,Inputs!$K$4:$AJ$4,0))))=0,NA(),SUMPRODUCT((Inputs!$A$5:$A$170=$B12)*Inputs!$B$5:$B$170*(((Inputs!$G$5:$G$170="moeda")+(Inputs!$G$5:$G$170="acoes"))*Inputs!$B$1+((Inputs!$G$5:$G$170&lt;&gt;"moeda")*(Inputs!$G$5:$G$170&lt;&gt;"acoes")))*INDEX(Inputs!$K$5:$AJ$170,0,MATCH(AF$2,Inputs!$K$4:$AJ$4,0)))+SUMPRODUCT((Inputs!$C$5:$C$170=$B12)*Inputs!$D$5:$D$170*(((Inputs!$G$5:$G$170="moeda")+(Inputs!$G$5:$G$170="acoes"))*Inputs!$B$1+((Inputs!$G$5:$G$170&lt;&gt;"moeda")*(Inputs!$G$5:$G$170&lt;&gt;"acoes")))*INDEX(Inputs!$K$5:$AJ$170,0,MATCH(AF$2,Inputs!$K$4:$AJ$4,0)))+SUMPRODUCT((Inputs!$E$5:$E$170=$B12)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$170=$B12)*ISNUMBER(INDEX(Inputs!$K$5:$AJ$170,0,MATCH(AH$2,Inputs!$K$4:$AJ$4,0))))+SUMPRODUCT((Inputs!$C$5:$C$170=$B12)*ISNUMBER(INDEX(Inputs!$K$5:$AJ$170,0,MATCH(AH$2,Inputs!$K$4:$AJ$4,0))))+SUMPRODUCT((Inputs!$E$5:$E$170=$B12)*ISNUMBER(INDEX(Inputs!$K$5:$AJ$170,0,MATCH(AH$2,Inputs!$K$4:$AJ$4,0))))=0,NA(),SUMPRODUCT((Inputs!$A$5:$A$170=$B12)*Inputs!$B$5:$B$170*(((Inputs!$G$5:$G$170="moeda")+(Inputs!$G$5:$G$170="acoes"))*Inputs!$B$1+((Inputs!$G$5:$G$170&lt;&gt;"moeda")*(Inputs!$G$5:$G$170&lt;&gt;"acoes")))*INDEX(Inputs!$K$5:$AJ$170,0,MATCH(AH$2,Inputs!$K$4:$AJ$4,0)))+SUMPRODUCT((Inputs!$C$5:$C$170=$B12)*Inputs!$D$5:$D$170*(((Inputs!$G$5:$G$170="moeda")+(Inputs!$G$5:$G$170="acoes"))*Inputs!$B$1+((Inputs!$G$5:$G$170&lt;&gt;"moeda")*(Inputs!$G$5:$G$170&lt;&gt;"acoes")))*INDEX(Inputs!$K$5:$AJ$170,0,MATCH(AH$2,Inputs!$K$4:$AJ$4,0)))+SUMPRODUCT((Inputs!$E$5:$E$170=$B12)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2" s="6" t="e">
        <f>IF(ISNA(MATCH(AI$2,Inputs!$K$4:$AJ$4,0)),NA(),IF(SUMPRODUCT((Inputs!$A$5:$A$170=$B12)*ISNUMBER(INDEX(Inputs!$K$5:$AJ$170,0,MATCH(AI$2,Inputs!$K$4:$AJ$4,0))))+SUMPRODUCT((Inputs!$C$5:$C$170=$B12)*ISNUMBER(INDEX(Inputs!$K$5:$AJ$170,0,MATCH(AI$2,Inputs!$K$4:$AJ$4,0))))+SUMPRODUCT((Inputs!$E$5:$E$170=$B12)*ISNUMBER(INDEX(Inputs!$K$5:$AJ$170,0,MATCH(AI$2,Inputs!$K$4:$AJ$4,0))))=0,NA(),SUMPRODUCT((Inputs!$A$5:$A$170=$B12)*Inputs!$B$5:$B$170*(((Inputs!$G$5:$G$170="moeda")+(Inputs!$G$5:$G$170="acoes"))*Inputs!$B$1+((Inputs!$G$5:$G$170&lt;&gt;"moeda")*(Inputs!$G$5:$G$170&lt;&gt;"acoes")))*INDEX(Inputs!$K$5:$AJ$170,0,MATCH(AI$2,Inputs!$K$4:$AJ$4,0)))+SUMPRODUCT((Inputs!$C$5:$C$170=$B12)*Inputs!$D$5:$D$170*(((Inputs!$G$5:$G$170="moeda")+(Inputs!$G$5:$G$170="acoes"))*Inputs!$B$1+((Inputs!$G$5:$G$170&lt;&gt;"moeda")*(Inputs!$G$5:$G$170&lt;&gt;"acoes")))*INDEX(Inputs!$K$5:$AJ$170,0,MATCH(AI$2,Inputs!$K$4:$AJ$4,0)))+SUMPRODUCT((Inputs!$E$5:$E$170=$B12)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2" s="6" t="e">
        <f>IF(ISNA(MATCH(AJ$2,Inputs!$K$4:$AJ$4,0)),NA(),IF(SUMPRODUCT((Inputs!$A$5:$A$170=$B12)*ISNUMBER(INDEX(Inputs!$K$5:$AJ$170,0,MATCH(AJ$2,Inputs!$K$4:$AJ$4,0))))+SUMPRODUCT((Inputs!$C$5:$C$170=$B12)*ISNUMBER(INDEX(Inputs!$K$5:$AJ$170,0,MATCH(AJ$2,Inputs!$K$4:$AJ$4,0))))+SUMPRODUCT((Inputs!$E$5:$E$170=$B12)*ISNUMBER(INDEX(Inputs!$K$5:$AJ$170,0,MATCH(AJ$2,Inputs!$K$4:$AJ$4,0))))=0,NA(),SUMPRODUCT((Inputs!$A$5:$A$170=$B12)*Inputs!$B$5:$B$170*(((Inputs!$G$5:$G$170="moeda")+(Inputs!$G$5:$G$170="acoes"))*Inputs!$B$1+((Inputs!$G$5:$G$170&lt;&gt;"moeda")*(Inputs!$G$5:$G$170&lt;&gt;"acoes")))*INDEX(Inputs!$K$5:$AJ$170,0,MATCH(AJ$2,Inputs!$K$4:$AJ$4,0)))+SUMPRODUCT((Inputs!$C$5:$C$170=$B12)*Inputs!$D$5:$D$170*(((Inputs!$G$5:$G$170="moeda")+(Inputs!$G$5:$G$170="acoes"))*Inputs!$B$1+((Inputs!$G$5:$G$170&lt;&gt;"moeda")*(Inputs!$G$5:$G$170&lt;&gt;"acoes")))*INDEX(Inputs!$K$5:$AJ$170,0,MATCH(AJ$2,Inputs!$K$4:$AJ$4,0)))+SUMPRODUCT((Inputs!$E$5:$E$170=$B12)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2" s="6" t="e">
        <f>IF(ISNA(MATCH(AK$2,Inputs!$K$4:$AJ$4,0)),NA(),IF(SUMPRODUCT((Inputs!$A$5:$A$170=$B12)*ISNUMBER(INDEX(Inputs!$K$5:$AJ$170,0,MATCH(AK$2,Inputs!$K$4:$AJ$4,0))))+SUMPRODUCT((Inputs!$C$5:$C$170=$B12)*ISNUMBER(INDEX(Inputs!$K$5:$AJ$170,0,MATCH(AK$2,Inputs!$K$4:$AJ$4,0))))+SUMPRODUCT((Inputs!$E$5:$E$170=$B12)*ISNUMBER(INDEX(Inputs!$K$5:$AJ$170,0,MATCH(AK$2,Inputs!$K$4:$AJ$4,0))))=0,NA(),SUMPRODUCT((Inputs!$A$5:$A$170=$B12)*Inputs!$B$5:$B$170*(((Inputs!$G$5:$G$170="moeda")+(Inputs!$G$5:$G$170="acoes"))*Inputs!$B$1+((Inputs!$G$5:$G$170&lt;&gt;"moeda")*(Inputs!$G$5:$G$170&lt;&gt;"acoes")))*INDEX(Inputs!$K$5:$AJ$170,0,MATCH(AK$2,Inputs!$K$4:$AJ$4,0)))+SUMPRODUCT((Inputs!$C$5:$C$170=$B12)*Inputs!$D$5:$D$170*(((Inputs!$G$5:$G$170="moeda")+(Inputs!$G$5:$G$170="acoes"))*Inputs!$B$1+((Inputs!$G$5:$G$170&lt;&gt;"moeda")*(Inputs!$G$5:$G$170&lt;&gt;"acoes")))*INDEX(Inputs!$K$5:$AJ$170,0,MATCH(AK$2,Inputs!$K$4:$AJ$4,0)))+SUMPRODUCT((Inputs!$E$5:$E$170=$B12)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$170=$B13)*ISNUMBER(INDEX(Inputs!$K$5:$AJ$170,0,MATCH(D$2,Inputs!$K$4:$AJ$4,0))))+SUMPRODUCT((Inputs!$C$5:$C$170=$B13)*ISNUMBER(INDEX(Inputs!$K$5:$AJ$170,0,MATCH(D$2,Inputs!$K$4:$AJ$4,0))))+SUMPRODUCT((Inputs!$E$5:$E$170=$B13)*ISNUMBER(INDEX(Inputs!$K$5:$AJ$170,0,MATCH(D$2,Inputs!$K$4:$AJ$4,0))))=0,NA(),SUMPRODUCT((Inputs!$A$5:$A$170=$B13)*Inputs!$B$5:$B$170*(((Inputs!$G$5:$G$170="moeda")+(Inputs!$G$5:$G$170="acoes"))*Inputs!$B$1+((Inputs!$G$5:$G$170&lt;&gt;"moeda")*(Inputs!$G$5:$G$170&lt;&gt;"acoes")))*INDEX(Inputs!$K$5:$AJ$170,0,MATCH(D$2,Inputs!$K$4:$AJ$4,0)))+SUMPRODUCT((Inputs!$C$5:$C$170=$B13)*Inputs!$D$5:$D$170*(((Inputs!$G$5:$G$170="moeda")+(Inputs!$G$5:$G$170="acoes"))*Inputs!$B$1+((Inputs!$G$5:$G$170&lt;&gt;"moeda")*(Inputs!$G$5:$G$170&lt;&gt;"acoes")))*INDEX(Inputs!$K$5:$AJ$170,0,MATCH(D$2,Inputs!$K$4:$AJ$4,0)))+SUMPRODUCT((Inputs!$E$5:$E$170=$B13)*Inputs!$F$5:$F$170*(((Inputs!$G$5:$G$170="moeda")+(Inputs!$G$5:$G$170="acoes"))*Inputs!$B$1+((Inputs!$G$5:$G$170&lt;&gt;"moeda")*(Inputs!$G$5:$G$170&lt;&gt;"acoes")))*INDEX(Inputs!$K$5:$AJ$170,0,MATCH(D$2,Inputs!$K$4:$AJ$4,0)))))</f>
        <v>0</v>
      </c>
      <c r="E13" s="6">
        <f>IF(ISNA(MATCH(E$2,Inputs!$K$4:$AJ$4,0)),NA(),IF(SUMPRODUCT((Inputs!$A$5:$A$170=$B13)*ISNUMBER(INDEX(Inputs!$K$5:$AJ$170,0,MATCH(E$2,Inputs!$K$4:$AJ$4,0))))+SUMPRODUCT((Inputs!$C$5:$C$170=$B13)*ISNUMBER(INDEX(Inputs!$K$5:$AJ$170,0,MATCH(E$2,Inputs!$K$4:$AJ$4,0))))+SUMPRODUCT((Inputs!$E$5:$E$170=$B13)*ISNUMBER(INDEX(Inputs!$K$5:$AJ$170,0,MATCH(E$2,Inputs!$K$4:$AJ$4,0))))=0,NA(),SUMPRODUCT((Inputs!$A$5:$A$170=$B13)*Inputs!$B$5:$B$170*(((Inputs!$G$5:$G$170="moeda")+(Inputs!$G$5:$G$170="acoes"))*Inputs!$B$1+((Inputs!$G$5:$G$170&lt;&gt;"moeda")*(Inputs!$G$5:$G$170&lt;&gt;"acoes")))*INDEX(Inputs!$K$5:$AJ$170,0,MATCH(E$2,Inputs!$K$4:$AJ$4,0)))+SUMPRODUCT((Inputs!$C$5:$C$170=$B13)*Inputs!$D$5:$D$170*(((Inputs!$G$5:$G$170="moeda")+(Inputs!$G$5:$G$170="acoes"))*Inputs!$B$1+((Inputs!$G$5:$G$170&lt;&gt;"moeda")*(Inputs!$G$5:$G$170&lt;&gt;"acoes")))*INDEX(Inputs!$K$5:$AJ$170,0,MATCH(E$2,Inputs!$K$4:$AJ$4,0)))+SUMPRODUCT((Inputs!$E$5:$E$170=$B13)*Inputs!$F$5:$F$170*(((Inputs!$G$5:$G$170="moeda")+(Inputs!$G$5:$G$170="acoes"))*Inputs!$B$1+((Inputs!$G$5:$G$170&lt;&gt;"moeda")*(Inputs!$G$5:$G$170&lt;&gt;"acoes")))*INDEX(Inputs!$K$5:$AJ$170,0,MATCH(E$2,Inputs!$K$4:$AJ$4,0)))))</f>
        <v>0</v>
      </c>
      <c r="F13" s="6">
        <f>IF(ISNA(MATCH(F$2,Inputs!$K$4:$AJ$4,0)),NA(),IF(SUMPRODUCT((Inputs!$A$5:$A$170=$B13)*ISNUMBER(INDEX(Inputs!$K$5:$AJ$170,0,MATCH(F$2,Inputs!$K$4:$AJ$4,0))))+SUMPRODUCT((Inputs!$C$5:$C$170=$B13)*ISNUMBER(INDEX(Inputs!$K$5:$AJ$170,0,MATCH(F$2,Inputs!$K$4:$AJ$4,0))))+SUMPRODUCT((Inputs!$E$5:$E$170=$B13)*ISNUMBER(INDEX(Inputs!$K$5:$AJ$170,0,MATCH(F$2,Inputs!$K$4:$AJ$4,0))))=0,NA(),SUMPRODUCT((Inputs!$A$5:$A$170=$B13)*Inputs!$B$5:$B$170*(((Inputs!$G$5:$G$170="moeda")+(Inputs!$G$5:$G$170="acoes"))*Inputs!$B$1+((Inputs!$G$5:$G$170&lt;&gt;"moeda")*(Inputs!$G$5:$G$170&lt;&gt;"acoes")))*INDEX(Inputs!$K$5:$AJ$170,0,MATCH(F$2,Inputs!$K$4:$AJ$4,0)))+SUMPRODUCT((Inputs!$C$5:$C$170=$B13)*Inputs!$D$5:$D$170*(((Inputs!$G$5:$G$170="moeda")+(Inputs!$G$5:$G$170="acoes"))*Inputs!$B$1+((Inputs!$G$5:$G$170&lt;&gt;"moeda")*(Inputs!$G$5:$G$170&lt;&gt;"acoes")))*INDEX(Inputs!$K$5:$AJ$170,0,MATCH(F$2,Inputs!$K$4:$AJ$4,0)))+SUMPRODUCT((Inputs!$E$5:$E$170=$B13)*Inputs!$F$5:$F$170*(((Inputs!$G$5:$G$170="moeda")+(Inputs!$G$5:$G$170="acoes"))*Inputs!$B$1+((Inputs!$G$5:$G$170&lt;&gt;"moeda")*(Inputs!$G$5:$G$170&lt;&gt;"acoes")))*INDEX(Inputs!$K$5:$AJ$170,0,MATCH(F$2,Inputs!$K$4:$AJ$4,0)))))</f>
        <v>-64.133</v>
      </c>
      <c r="G13" s="6">
        <f>IF(ISNA(MATCH(G$2,Inputs!$K$4:$AJ$4,0)),NA(),IF(SUMPRODUCT((Inputs!$A$5:$A$170=$B13)*ISNUMBER(INDEX(Inputs!$K$5:$AJ$170,0,MATCH(G$2,Inputs!$K$4:$AJ$4,0))))+SUMPRODUCT((Inputs!$C$5:$C$170=$B13)*ISNUMBER(INDEX(Inputs!$K$5:$AJ$170,0,MATCH(G$2,Inputs!$K$4:$AJ$4,0))))+SUMPRODUCT((Inputs!$E$5:$E$170=$B13)*ISNUMBER(INDEX(Inputs!$K$5:$AJ$170,0,MATCH(G$2,Inputs!$K$4:$AJ$4,0))))=0,NA(),SUMPRODUCT((Inputs!$A$5:$A$170=$B13)*Inputs!$B$5:$B$170*(((Inputs!$G$5:$G$170="moeda")+(Inputs!$G$5:$G$170="acoes"))*Inputs!$B$1+((Inputs!$G$5:$G$170&lt;&gt;"moeda")*(Inputs!$G$5:$G$170&lt;&gt;"acoes")))*INDEX(Inputs!$K$5:$AJ$170,0,MATCH(G$2,Inputs!$K$4:$AJ$4,0)))+SUMPRODUCT((Inputs!$C$5:$C$170=$B13)*Inputs!$D$5:$D$170*(((Inputs!$G$5:$G$170="moeda")+(Inputs!$G$5:$G$170="acoes"))*Inputs!$B$1+((Inputs!$G$5:$G$170&lt;&gt;"moeda")*(Inputs!$G$5:$G$170&lt;&gt;"acoes")))*INDEX(Inputs!$K$5:$AJ$170,0,MATCH(G$2,Inputs!$K$4:$AJ$4,0)))+SUMPRODUCT((Inputs!$E$5:$E$170=$B13)*Inputs!$F$5:$F$170*(((Inputs!$G$5:$G$170="moeda")+(Inputs!$G$5:$G$170="acoes"))*Inputs!$B$1+((Inputs!$G$5:$G$170&lt;&gt;"moeda")*(Inputs!$G$5:$G$170&lt;&gt;"acoes")))*INDEX(Inputs!$K$5:$AJ$170,0,MATCH(G$2,Inputs!$K$4:$AJ$4,0)))))</f>
        <v>-42.481</v>
      </c>
      <c r="H13" s="3">
        <f>SUM(D13:G13)</f>
        <v>-106.614</v>
      </c>
      <c r="I13" s="6">
        <f>IF(ISNA(MATCH(I$2,Inputs!$K$4:$AJ$4,0)),NA(),IF(SUMPRODUCT((Inputs!$A$5:$A$170=$B13)*ISNUMBER(INDEX(Inputs!$K$5:$AJ$170,0,MATCH(I$2,Inputs!$K$4:$AJ$4,0))))+SUMPRODUCT((Inputs!$C$5:$C$170=$B13)*ISNUMBER(INDEX(Inputs!$K$5:$AJ$170,0,MATCH(I$2,Inputs!$K$4:$AJ$4,0))))+SUMPRODUCT((Inputs!$E$5:$E$170=$B13)*ISNUMBER(INDEX(Inputs!$K$5:$AJ$170,0,MATCH(I$2,Inputs!$K$4:$AJ$4,0))))=0,NA(),SUMPRODUCT((Inputs!$A$5:$A$170=$B13)*Inputs!$B$5:$B$170*(((Inputs!$G$5:$G$170="moeda")+(Inputs!$G$5:$G$170="acoes"))*Inputs!$B$1+((Inputs!$G$5:$G$170&lt;&gt;"moeda")*(Inputs!$G$5:$G$170&lt;&gt;"acoes")))*INDEX(Inputs!$K$5:$AJ$170,0,MATCH(I$2,Inputs!$K$4:$AJ$4,0)))+SUMPRODUCT((Inputs!$C$5:$C$170=$B13)*Inputs!$D$5:$D$170*(((Inputs!$G$5:$G$170="moeda")+(Inputs!$G$5:$G$170="acoes"))*Inputs!$B$1+((Inputs!$G$5:$G$170&lt;&gt;"moeda")*(Inputs!$G$5:$G$170&lt;&gt;"acoes")))*INDEX(Inputs!$K$5:$AJ$170,0,MATCH(I$2,Inputs!$K$4:$AJ$4,0)))+SUMPRODUCT((Inputs!$E$5:$E$170=$B13)*Inputs!$F$5:$F$170*(((Inputs!$G$5:$G$170="moeda")+(Inputs!$G$5:$G$170="acoes"))*Inputs!$B$1+((Inputs!$G$5:$G$170&lt;&gt;"moeda")*(Inputs!$G$5:$G$170&lt;&gt;"acoes")))*INDEX(Inputs!$K$5:$AJ$170,0,MATCH(I$2,Inputs!$K$4:$AJ$4,0)))))</f>
        <v>-39.311</v>
      </c>
      <c r="J13" s="6">
        <f>IF(ISNA(MATCH(J$2,Inputs!$K$4:$AJ$4,0)),NA(),IF(SUMPRODUCT((Inputs!$A$5:$A$170=$B13)*ISNUMBER(INDEX(Inputs!$K$5:$AJ$170,0,MATCH(J$2,Inputs!$K$4:$AJ$4,0))))+SUMPRODUCT((Inputs!$C$5:$C$170=$B13)*ISNUMBER(INDEX(Inputs!$K$5:$AJ$170,0,MATCH(J$2,Inputs!$K$4:$AJ$4,0))))+SUMPRODUCT((Inputs!$E$5:$E$170=$B13)*ISNUMBER(INDEX(Inputs!$K$5:$AJ$170,0,MATCH(J$2,Inputs!$K$4:$AJ$4,0))))=0,NA(),SUMPRODUCT((Inputs!$A$5:$A$170=$B13)*Inputs!$B$5:$B$170*(((Inputs!$G$5:$G$170="moeda")+(Inputs!$G$5:$G$170="acoes"))*Inputs!$B$1+((Inputs!$G$5:$G$170&lt;&gt;"moeda")*(Inputs!$G$5:$G$170&lt;&gt;"acoes")))*INDEX(Inputs!$K$5:$AJ$170,0,MATCH(J$2,Inputs!$K$4:$AJ$4,0)))+SUMPRODUCT((Inputs!$C$5:$C$170=$B13)*Inputs!$D$5:$D$170*(((Inputs!$G$5:$G$170="moeda")+(Inputs!$G$5:$G$170="acoes"))*Inputs!$B$1+((Inputs!$G$5:$G$170&lt;&gt;"moeda")*(Inputs!$G$5:$G$170&lt;&gt;"acoes")))*INDEX(Inputs!$K$5:$AJ$170,0,MATCH(J$2,Inputs!$K$4:$AJ$4,0)))+SUMPRODUCT((Inputs!$E$5:$E$170=$B13)*Inputs!$F$5:$F$170*(((Inputs!$G$5:$G$170="moeda")+(Inputs!$G$5:$G$170="acoes"))*Inputs!$B$1+((Inputs!$G$5:$G$170&lt;&gt;"moeda")*(Inputs!$G$5:$G$170&lt;&gt;"acoes")))*INDEX(Inputs!$K$5:$AJ$170,0,MATCH(J$2,Inputs!$K$4:$AJ$4,0)))))</f>
        <v>-309.347</v>
      </c>
      <c r="K13" s="6">
        <f>IF(ISNA(MATCH(K$2,Inputs!$K$4:$AJ$4,0)),NA(),IF(SUMPRODUCT((Inputs!$A$5:$A$170=$B13)*ISNUMBER(INDEX(Inputs!$K$5:$AJ$170,0,MATCH(K$2,Inputs!$K$4:$AJ$4,0))))+SUMPRODUCT((Inputs!$C$5:$C$170=$B13)*ISNUMBER(INDEX(Inputs!$K$5:$AJ$170,0,MATCH(K$2,Inputs!$K$4:$AJ$4,0))))+SUMPRODUCT((Inputs!$E$5:$E$170=$B13)*ISNUMBER(INDEX(Inputs!$K$5:$AJ$170,0,MATCH(K$2,Inputs!$K$4:$AJ$4,0))))=0,NA(),SUMPRODUCT((Inputs!$A$5:$A$170=$B13)*Inputs!$B$5:$B$170*(((Inputs!$G$5:$G$170="moeda")+(Inputs!$G$5:$G$170="acoes"))*Inputs!$B$1+((Inputs!$G$5:$G$170&lt;&gt;"moeda")*(Inputs!$G$5:$G$170&lt;&gt;"acoes")))*INDEX(Inputs!$K$5:$AJ$170,0,MATCH(K$2,Inputs!$K$4:$AJ$4,0)))+SUMPRODUCT((Inputs!$C$5:$C$170=$B13)*Inputs!$D$5:$D$170*(((Inputs!$G$5:$G$170="moeda")+(Inputs!$G$5:$G$170="acoes"))*Inputs!$B$1+((Inputs!$G$5:$G$170&lt;&gt;"moeda")*(Inputs!$G$5:$G$170&lt;&gt;"acoes")))*INDEX(Inputs!$K$5:$AJ$170,0,MATCH(K$2,Inputs!$K$4:$AJ$4,0)))+SUMPRODUCT((Inputs!$E$5:$E$170=$B13)*Inputs!$F$5:$F$170*(((Inputs!$G$5:$G$170="moeda")+(Inputs!$G$5:$G$170="acoes"))*Inputs!$B$1+((Inputs!$G$5:$G$170&lt;&gt;"moeda")*(Inputs!$G$5:$G$170&lt;&gt;"acoes")))*INDEX(Inputs!$K$5:$AJ$170,0,MATCH(K$2,Inputs!$K$4:$AJ$4,0)))))</f>
        <v>-46.849</v>
      </c>
      <c r="L13" s="6">
        <f>IF(ISNA(MATCH(L$2,Inputs!$K$4:$AJ$4,0)),NA(),IF(SUMPRODUCT((Inputs!$A$5:$A$170=$B13)*ISNUMBER(INDEX(Inputs!$K$5:$AJ$170,0,MATCH(L$2,Inputs!$K$4:$AJ$4,0))))+SUMPRODUCT((Inputs!$C$5:$C$170=$B13)*ISNUMBER(INDEX(Inputs!$K$5:$AJ$170,0,MATCH(L$2,Inputs!$K$4:$AJ$4,0))))+SUMPRODUCT((Inputs!$E$5:$E$170=$B13)*ISNUMBER(INDEX(Inputs!$K$5:$AJ$170,0,MATCH(L$2,Inputs!$K$4:$AJ$4,0))))=0,NA(),SUMPRODUCT((Inputs!$A$5:$A$170=$B13)*Inputs!$B$5:$B$170*(((Inputs!$G$5:$G$170="moeda")+(Inputs!$G$5:$G$170="acoes"))*Inputs!$B$1+((Inputs!$G$5:$G$170&lt;&gt;"moeda")*(Inputs!$G$5:$G$170&lt;&gt;"acoes")))*INDEX(Inputs!$K$5:$AJ$170,0,MATCH(L$2,Inputs!$K$4:$AJ$4,0)))+SUMPRODUCT((Inputs!$C$5:$C$170=$B13)*Inputs!$D$5:$D$170*(((Inputs!$G$5:$G$170="moeda")+(Inputs!$G$5:$G$170="acoes"))*Inputs!$B$1+((Inputs!$G$5:$G$170&lt;&gt;"moeda")*(Inputs!$G$5:$G$170&lt;&gt;"acoes")))*INDEX(Inputs!$K$5:$AJ$170,0,MATCH(L$2,Inputs!$K$4:$AJ$4,0)))+SUMPRODUCT((Inputs!$E$5:$E$170=$B13)*Inputs!$F$5:$F$170*(((Inputs!$G$5:$G$170="moeda")+(Inputs!$G$5:$G$170="acoes"))*Inputs!$B$1+((Inputs!$G$5:$G$170&lt;&gt;"moeda")*(Inputs!$G$5:$G$170&lt;&gt;"acoes")))*INDEX(Inputs!$K$5:$AJ$170,0,MATCH(L$2,Inputs!$K$4:$AJ$4,0)))))</f>
        <v>-52.131</v>
      </c>
      <c r="M13" s="3">
        <f>SUM(I13:L13)</f>
        <v>-447.638</v>
      </c>
      <c r="N13" s="6">
        <f>IF(ISNA(MATCH(N$2,Inputs!$K$4:$AJ$4,0)),NA(),IF(SUMPRODUCT((Inputs!$A$5:$A$170=$B13)*ISNUMBER(INDEX(Inputs!$K$5:$AJ$170,0,MATCH(N$2,Inputs!$K$4:$AJ$4,0))))+SUMPRODUCT((Inputs!$C$5:$C$170=$B13)*ISNUMBER(INDEX(Inputs!$K$5:$AJ$170,0,MATCH(N$2,Inputs!$K$4:$AJ$4,0))))+SUMPRODUCT((Inputs!$E$5:$E$170=$B13)*ISNUMBER(INDEX(Inputs!$K$5:$AJ$170,0,MATCH(N$2,Inputs!$K$4:$AJ$4,0))))=0,NA(),SUMPRODUCT((Inputs!$A$5:$A$170=$B13)*Inputs!$B$5:$B$170*(((Inputs!$G$5:$G$170="moeda")+(Inputs!$G$5:$G$170="acoes"))*Inputs!$B$1+((Inputs!$G$5:$G$170&lt;&gt;"moeda")*(Inputs!$G$5:$G$170&lt;&gt;"acoes")))*INDEX(Inputs!$K$5:$AJ$170,0,MATCH(N$2,Inputs!$K$4:$AJ$4,0)))+SUMPRODUCT((Inputs!$C$5:$C$170=$B13)*Inputs!$D$5:$D$170*(((Inputs!$G$5:$G$170="moeda")+(Inputs!$G$5:$G$170="acoes"))*Inputs!$B$1+((Inputs!$G$5:$G$170&lt;&gt;"moeda")*(Inputs!$G$5:$G$170&lt;&gt;"acoes")))*INDEX(Inputs!$K$5:$AJ$170,0,MATCH(N$2,Inputs!$K$4:$AJ$4,0)))+SUMPRODUCT((Inputs!$E$5:$E$170=$B13)*Inputs!$F$5:$F$170*(((Inputs!$G$5:$G$170="moeda")+(Inputs!$G$5:$G$170="acoes"))*Inputs!$B$1+((Inputs!$G$5:$G$170&lt;&gt;"moeda")*(Inputs!$G$5:$G$170&lt;&gt;"acoes")))*INDEX(Inputs!$K$5:$AJ$170,0,MATCH(N$2,Inputs!$K$4:$AJ$4,0)))))</f>
        <v>-47.512</v>
      </c>
      <c r="O13" s="6">
        <f>IF(ISNA(MATCH(O$2,Inputs!$K$4:$AJ$4,0)),NA(),IF(SUMPRODUCT((Inputs!$A$5:$A$170=$B13)*ISNUMBER(INDEX(Inputs!$K$5:$AJ$170,0,MATCH(O$2,Inputs!$K$4:$AJ$4,0))))+SUMPRODUCT((Inputs!$C$5:$C$170=$B13)*ISNUMBER(INDEX(Inputs!$K$5:$AJ$170,0,MATCH(O$2,Inputs!$K$4:$AJ$4,0))))+SUMPRODUCT((Inputs!$E$5:$E$170=$B13)*ISNUMBER(INDEX(Inputs!$K$5:$AJ$170,0,MATCH(O$2,Inputs!$K$4:$AJ$4,0))))=0,NA(),SUMPRODUCT((Inputs!$A$5:$A$170=$B13)*Inputs!$B$5:$B$170*(((Inputs!$G$5:$G$170="moeda")+(Inputs!$G$5:$G$170="acoes"))*Inputs!$B$1+((Inputs!$G$5:$G$170&lt;&gt;"moeda")*(Inputs!$G$5:$G$170&lt;&gt;"acoes")))*INDEX(Inputs!$K$5:$AJ$170,0,MATCH(O$2,Inputs!$K$4:$AJ$4,0)))+SUMPRODUCT((Inputs!$C$5:$C$170=$B13)*Inputs!$D$5:$D$170*(((Inputs!$G$5:$G$170="moeda")+(Inputs!$G$5:$G$170="acoes"))*Inputs!$B$1+((Inputs!$G$5:$G$170&lt;&gt;"moeda")*(Inputs!$G$5:$G$170&lt;&gt;"acoes")))*INDEX(Inputs!$K$5:$AJ$170,0,MATCH(O$2,Inputs!$K$4:$AJ$4,0)))+SUMPRODUCT((Inputs!$E$5:$E$170=$B13)*Inputs!$F$5:$F$170*(((Inputs!$G$5:$G$170="moeda")+(Inputs!$G$5:$G$170="acoes"))*Inputs!$B$1+((Inputs!$G$5:$G$170&lt;&gt;"moeda")*(Inputs!$G$5:$G$170&lt;&gt;"acoes")))*INDEX(Inputs!$K$5:$AJ$170,0,MATCH(O$2,Inputs!$K$4:$AJ$4,0)))))</f>
        <v>-90.689</v>
      </c>
      <c r="P13" s="6">
        <f>IF(ISNA(MATCH(P$2,Inputs!$K$4:$AJ$4,0)),NA(),IF(SUMPRODUCT((Inputs!$A$5:$A$170=$B13)*ISNUMBER(INDEX(Inputs!$K$5:$AJ$170,0,MATCH(P$2,Inputs!$K$4:$AJ$4,0))))+SUMPRODUCT((Inputs!$C$5:$C$170=$B13)*ISNUMBER(INDEX(Inputs!$K$5:$AJ$170,0,MATCH(P$2,Inputs!$K$4:$AJ$4,0))))+SUMPRODUCT((Inputs!$E$5:$E$170=$B13)*ISNUMBER(INDEX(Inputs!$K$5:$AJ$170,0,MATCH(P$2,Inputs!$K$4:$AJ$4,0))))=0,NA(),SUMPRODUCT((Inputs!$A$5:$A$170=$B13)*Inputs!$B$5:$B$170*(((Inputs!$G$5:$G$170="moeda")+(Inputs!$G$5:$G$170="acoes"))*Inputs!$B$1+((Inputs!$G$5:$G$170&lt;&gt;"moeda")*(Inputs!$G$5:$G$170&lt;&gt;"acoes")))*INDEX(Inputs!$K$5:$AJ$170,0,MATCH(P$2,Inputs!$K$4:$AJ$4,0)))+SUMPRODUCT((Inputs!$C$5:$C$170=$B13)*Inputs!$D$5:$D$170*(((Inputs!$G$5:$G$170="moeda")+(Inputs!$G$5:$G$170="acoes"))*Inputs!$B$1+((Inputs!$G$5:$G$170&lt;&gt;"moeda")*(Inputs!$G$5:$G$170&lt;&gt;"acoes")))*INDEX(Inputs!$K$5:$AJ$170,0,MATCH(P$2,Inputs!$K$4:$AJ$4,0)))+SUMPRODUCT((Inputs!$E$5:$E$170=$B13)*Inputs!$F$5:$F$170*(((Inputs!$G$5:$G$170="moeda")+(Inputs!$G$5:$G$170="acoes"))*Inputs!$B$1+((Inputs!$G$5:$G$170&lt;&gt;"moeda")*(Inputs!$G$5:$G$170&lt;&gt;"acoes")))*INDEX(Inputs!$K$5:$AJ$170,0,MATCH(P$2,Inputs!$K$4:$AJ$4,0)))))</f>
        <v>0.00100000000000477</v>
      </c>
      <c r="Q13" s="6">
        <f>IF(ISNA(MATCH(Q$2,Inputs!$K$4:$AJ$4,0)),NA(),IF(SUMPRODUCT((Inputs!$A$5:$A$170=$B13)*ISNUMBER(INDEX(Inputs!$K$5:$AJ$170,0,MATCH(Q$2,Inputs!$K$4:$AJ$4,0))))+SUMPRODUCT((Inputs!$C$5:$C$170=$B13)*ISNUMBER(INDEX(Inputs!$K$5:$AJ$170,0,MATCH(Q$2,Inputs!$K$4:$AJ$4,0))))+SUMPRODUCT((Inputs!$E$5:$E$170=$B13)*ISNUMBER(INDEX(Inputs!$K$5:$AJ$170,0,MATCH(Q$2,Inputs!$K$4:$AJ$4,0))))=0,NA(),SUMPRODUCT((Inputs!$A$5:$A$170=$B13)*Inputs!$B$5:$B$170*(((Inputs!$G$5:$G$170="moeda")+(Inputs!$G$5:$G$170="acoes"))*Inputs!$B$1+((Inputs!$G$5:$G$170&lt;&gt;"moeda")*(Inputs!$G$5:$G$170&lt;&gt;"acoes")))*INDEX(Inputs!$K$5:$AJ$170,0,MATCH(Q$2,Inputs!$K$4:$AJ$4,0)))+SUMPRODUCT((Inputs!$C$5:$C$170=$B13)*Inputs!$D$5:$D$170*(((Inputs!$G$5:$G$170="moeda")+(Inputs!$G$5:$G$170="acoes"))*Inputs!$B$1+((Inputs!$G$5:$G$170&lt;&gt;"moeda")*(Inputs!$G$5:$G$170&lt;&gt;"acoes")))*INDEX(Inputs!$K$5:$AJ$170,0,MATCH(Q$2,Inputs!$K$4:$AJ$4,0)))+SUMPRODUCT((Inputs!$E$5:$E$170=$B13)*Inputs!$F$5:$F$170*(((Inputs!$G$5:$G$170="moeda")+(Inputs!$G$5:$G$170="acoes"))*Inputs!$B$1+((Inputs!$G$5:$G$170&lt;&gt;"moeda")*(Inputs!$G$5:$G$170&lt;&gt;"acoes")))*INDEX(Inputs!$K$5:$AJ$170,0,MATCH(Q$2,Inputs!$K$4:$AJ$4,0)))))</f>
        <v>0</v>
      </c>
      <c r="R13" s="3">
        <f>SUM(N13:Q13)</f>
        <v>-138.2</v>
      </c>
      <c r="S13" s="6">
        <f>IF(ISNA(MATCH(S$2,Inputs!$K$4:$AJ$4,0)),NA(),IF(SUMPRODUCT((Inputs!$A$5:$A$170=$B13)*ISNUMBER(INDEX(Inputs!$K$5:$AJ$170,0,MATCH(S$2,Inputs!$K$4:$AJ$4,0))))+SUMPRODUCT((Inputs!$C$5:$C$170=$B13)*ISNUMBER(INDEX(Inputs!$K$5:$AJ$170,0,MATCH(S$2,Inputs!$K$4:$AJ$4,0))))+SUMPRODUCT((Inputs!$E$5:$E$170=$B13)*ISNUMBER(INDEX(Inputs!$K$5:$AJ$170,0,MATCH(S$2,Inputs!$K$4:$AJ$4,0))))=0,NA(),SUMPRODUCT((Inputs!$A$5:$A$170=$B13)*Inputs!$B$5:$B$170*(((Inputs!$G$5:$G$170="moeda")+(Inputs!$G$5:$G$170="acoes"))*Inputs!$B$1+((Inputs!$G$5:$G$170&lt;&gt;"moeda")*(Inputs!$G$5:$G$170&lt;&gt;"acoes")))*INDEX(Inputs!$K$5:$AJ$170,0,MATCH(S$2,Inputs!$K$4:$AJ$4,0)))+SUMPRODUCT((Inputs!$C$5:$C$170=$B13)*Inputs!$D$5:$D$170*(((Inputs!$G$5:$G$170="moeda")+(Inputs!$G$5:$G$170="acoes"))*Inputs!$B$1+((Inputs!$G$5:$G$170&lt;&gt;"moeda")*(Inputs!$G$5:$G$170&lt;&gt;"acoes")))*INDEX(Inputs!$K$5:$AJ$170,0,MATCH(S$2,Inputs!$K$4:$AJ$4,0)))+SUMPRODUCT((Inputs!$E$5:$E$170=$B13)*Inputs!$F$5:$F$170*(((Inputs!$G$5:$G$170="moeda")+(Inputs!$G$5:$G$170="acoes"))*Inputs!$B$1+((Inputs!$G$5:$G$170&lt;&gt;"moeda")*(Inputs!$G$5:$G$170&lt;&gt;"acoes")))*INDEX(Inputs!$K$5:$AJ$170,0,MATCH(S$2,Inputs!$K$4:$AJ$4,0)))))</f>
        <v>0</v>
      </c>
      <c r="T13" s="6">
        <f>IF(ISNA(MATCH(T$2,Inputs!$K$4:$AJ$4,0)),NA(),IF(SUMPRODUCT((Inputs!$A$5:$A$170=$B13)*ISNUMBER(INDEX(Inputs!$K$5:$AJ$170,0,MATCH(T$2,Inputs!$K$4:$AJ$4,0))))+SUMPRODUCT((Inputs!$C$5:$C$170=$B13)*ISNUMBER(INDEX(Inputs!$K$5:$AJ$170,0,MATCH(T$2,Inputs!$K$4:$AJ$4,0))))+SUMPRODUCT((Inputs!$E$5:$E$170=$B13)*ISNUMBER(INDEX(Inputs!$K$5:$AJ$170,0,MATCH(T$2,Inputs!$K$4:$AJ$4,0))))=0,NA(),SUMPRODUCT((Inputs!$A$5:$A$170=$B13)*Inputs!$B$5:$B$170*(((Inputs!$G$5:$G$170="moeda")+(Inputs!$G$5:$G$170="acoes"))*Inputs!$B$1+((Inputs!$G$5:$G$170&lt;&gt;"moeda")*(Inputs!$G$5:$G$170&lt;&gt;"acoes")))*INDEX(Inputs!$K$5:$AJ$170,0,MATCH(T$2,Inputs!$K$4:$AJ$4,0)))+SUMPRODUCT((Inputs!$C$5:$C$170=$B13)*Inputs!$D$5:$D$170*(((Inputs!$G$5:$G$170="moeda")+(Inputs!$G$5:$G$170="acoes"))*Inputs!$B$1+((Inputs!$G$5:$G$170&lt;&gt;"moeda")*(Inputs!$G$5:$G$170&lt;&gt;"acoes")))*INDEX(Inputs!$K$5:$AJ$170,0,MATCH(T$2,Inputs!$K$4:$AJ$4,0)))+SUMPRODUCT((Inputs!$E$5:$E$170=$B13)*Inputs!$F$5:$F$170*(((Inputs!$G$5:$G$170="moeda")+(Inputs!$G$5:$G$170="acoes"))*Inputs!$B$1+((Inputs!$G$5:$G$170&lt;&gt;"moeda")*(Inputs!$G$5:$G$170&lt;&gt;"acoes")))*INDEX(Inputs!$K$5:$AJ$170,0,MATCH(T$2,Inputs!$K$4:$AJ$4,0)))))</f>
        <v>0</v>
      </c>
      <c r="U13" s="6">
        <f>IF(ISNA(MATCH(U$2,Inputs!$K$4:$AJ$4,0)),NA(),IF(SUMPRODUCT((Inputs!$A$5:$A$170=$B13)*ISNUMBER(INDEX(Inputs!$K$5:$AJ$170,0,MATCH(U$2,Inputs!$K$4:$AJ$4,0))))+SUMPRODUCT((Inputs!$C$5:$C$170=$B13)*ISNUMBER(INDEX(Inputs!$K$5:$AJ$170,0,MATCH(U$2,Inputs!$K$4:$AJ$4,0))))+SUMPRODUCT((Inputs!$E$5:$E$170=$B13)*ISNUMBER(INDEX(Inputs!$K$5:$AJ$170,0,MATCH(U$2,Inputs!$K$4:$AJ$4,0))))=0,NA(),SUMPRODUCT((Inputs!$A$5:$A$170=$B13)*Inputs!$B$5:$B$170*(((Inputs!$G$5:$G$170="moeda")+(Inputs!$G$5:$G$170="acoes"))*Inputs!$B$1+((Inputs!$G$5:$G$170&lt;&gt;"moeda")*(Inputs!$G$5:$G$170&lt;&gt;"acoes")))*INDEX(Inputs!$K$5:$AJ$170,0,MATCH(U$2,Inputs!$K$4:$AJ$4,0)))+SUMPRODUCT((Inputs!$C$5:$C$170=$B13)*Inputs!$D$5:$D$170*(((Inputs!$G$5:$G$170="moeda")+(Inputs!$G$5:$G$170="acoes"))*Inputs!$B$1+((Inputs!$G$5:$G$170&lt;&gt;"moeda")*(Inputs!$G$5:$G$170&lt;&gt;"acoes")))*INDEX(Inputs!$K$5:$AJ$170,0,MATCH(U$2,Inputs!$K$4:$AJ$4,0)))+SUMPRODUCT((Inputs!$E$5:$E$170=$B13)*Inputs!$F$5:$F$170*(((Inputs!$G$5:$G$170="moeda")+(Inputs!$G$5:$G$170="acoes"))*Inputs!$B$1+((Inputs!$G$5:$G$170&lt;&gt;"moeda")*(Inputs!$G$5:$G$170&lt;&gt;"acoes")))*INDEX(Inputs!$K$5:$AJ$170,0,MATCH(U$2,Inputs!$K$4:$AJ$4,0)))))</f>
        <v>0</v>
      </c>
      <c r="V13" s="6">
        <f>IF(ISNA(MATCH(V$2,Inputs!$K$4:$AJ$4,0)),NA(),IF(SUMPRODUCT((Inputs!$A$5:$A$170=$B13)*ISNUMBER(INDEX(Inputs!$K$5:$AJ$170,0,MATCH(V$2,Inputs!$K$4:$AJ$4,0))))+SUMPRODUCT((Inputs!$C$5:$C$170=$B13)*ISNUMBER(INDEX(Inputs!$K$5:$AJ$170,0,MATCH(V$2,Inputs!$K$4:$AJ$4,0))))+SUMPRODUCT((Inputs!$E$5:$E$170=$B13)*ISNUMBER(INDEX(Inputs!$K$5:$AJ$170,0,MATCH(V$2,Inputs!$K$4:$AJ$4,0))))=0,NA(),SUMPRODUCT((Inputs!$A$5:$A$170=$B13)*Inputs!$B$5:$B$170*(((Inputs!$G$5:$G$170="moeda")+(Inputs!$G$5:$G$170="acoes"))*Inputs!$B$1+((Inputs!$G$5:$G$170&lt;&gt;"moeda")*(Inputs!$G$5:$G$170&lt;&gt;"acoes")))*INDEX(Inputs!$K$5:$AJ$170,0,MATCH(V$2,Inputs!$K$4:$AJ$4,0)))+SUMPRODUCT((Inputs!$C$5:$C$170=$B13)*Inputs!$D$5:$D$170*(((Inputs!$G$5:$G$170="moeda")+(Inputs!$G$5:$G$170="acoes"))*Inputs!$B$1+((Inputs!$G$5:$G$170&lt;&gt;"moeda")*(Inputs!$G$5:$G$170&lt;&gt;"acoes")))*INDEX(Inputs!$K$5:$AJ$170,0,MATCH(V$2,Inputs!$K$4:$AJ$4,0)))+SUMPRODUCT((Inputs!$E$5:$E$170=$B13)*Inputs!$F$5:$F$170*(((Inputs!$G$5:$G$170="moeda")+(Inputs!$G$5:$G$170="acoes"))*Inputs!$B$1+((Inputs!$G$5:$G$170&lt;&gt;"moeda")*(Inputs!$G$5:$G$170&lt;&gt;"acoes")))*INDEX(Inputs!$K$5:$AJ$170,0,MATCH(V$2,Inputs!$K$4:$AJ$4,0)))))</f>
        <v>0</v>
      </c>
      <c r="W13" s="3">
        <f>SUM(S13:V13)</f>
        <v>0</v>
      </c>
      <c r="X13" s="6">
        <f>IF(ISNA(MATCH(X$2,Inputs!$K$4:$AJ$4,0)),NA(),IF(SUMPRODUCT((Inputs!$A$5:$A$170=$B13)*ISNUMBER(INDEX(Inputs!$K$5:$AJ$170,0,MATCH(X$2,Inputs!$K$4:$AJ$4,0))))+SUMPRODUCT((Inputs!$C$5:$C$170=$B13)*ISNUMBER(INDEX(Inputs!$K$5:$AJ$170,0,MATCH(X$2,Inputs!$K$4:$AJ$4,0))))+SUMPRODUCT((Inputs!$E$5:$E$170=$B13)*ISNUMBER(INDEX(Inputs!$K$5:$AJ$170,0,MATCH(X$2,Inputs!$K$4:$AJ$4,0))))=0,NA(),SUMPRODUCT((Inputs!$A$5:$A$170=$B13)*Inputs!$B$5:$B$170*(((Inputs!$G$5:$G$170="moeda")+(Inputs!$G$5:$G$170="acoes"))*Inputs!$B$1+((Inputs!$G$5:$G$170&lt;&gt;"moeda")*(Inputs!$G$5:$G$170&lt;&gt;"acoes")))*INDEX(Inputs!$K$5:$AJ$170,0,MATCH(X$2,Inputs!$K$4:$AJ$4,0)))+SUMPRODUCT((Inputs!$C$5:$C$170=$B13)*Inputs!$D$5:$D$170*(((Inputs!$G$5:$G$170="moeda")+(Inputs!$G$5:$G$170="acoes"))*Inputs!$B$1+((Inputs!$G$5:$G$170&lt;&gt;"moeda")*(Inputs!$G$5:$G$170&lt;&gt;"acoes")))*INDEX(Inputs!$K$5:$AJ$170,0,MATCH(X$2,Inputs!$K$4:$AJ$4,0)))+SUMPRODUCT((Inputs!$E$5:$E$170=$B13)*Inputs!$F$5:$F$170*(((Inputs!$G$5:$G$170="moeda")+(Inputs!$G$5:$G$170="acoes"))*Inputs!$B$1+((Inputs!$G$5:$G$170&lt;&gt;"moeda")*(Inputs!$G$5:$G$170&lt;&gt;"acoes")))*INDEX(Inputs!$K$5:$AJ$170,0,MATCH(X$2,Inputs!$K$4:$AJ$4,0)))))</f>
        <v>0</v>
      </c>
      <c r="Y13" s="6">
        <f>IF(ISNA(MATCH(Y$2,Inputs!$K$4:$AJ$4,0)),NA(),IF(SUMPRODUCT((Inputs!$A$5:$A$170=$B13)*ISNUMBER(INDEX(Inputs!$K$5:$AJ$170,0,MATCH(Y$2,Inputs!$K$4:$AJ$4,0))))+SUMPRODUCT((Inputs!$C$5:$C$170=$B13)*ISNUMBER(INDEX(Inputs!$K$5:$AJ$170,0,MATCH(Y$2,Inputs!$K$4:$AJ$4,0))))+SUMPRODUCT((Inputs!$E$5:$E$170=$B13)*ISNUMBER(INDEX(Inputs!$K$5:$AJ$170,0,MATCH(Y$2,Inputs!$K$4:$AJ$4,0))))=0,NA(),SUMPRODUCT((Inputs!$A$5:$A$170=$B13)*Inputs!$B$5:$B$170*(((Inputs!$G$5:$G$170="moeda")+(Inputs!$G$5:$G$170="acoes"))*Inputs!$B$1+((Inputs!$G$5:$G$170&lt;&gt;"moeda")*(Inputs!$G$5:$G$170&lt;&gt;"acoes")))*INDEX(Inputs!$K$5:$AJ$170,0,MATCH(Y$2,Inputs!$K$4:$AJ$4,0)))+SUMPRODUCT((Inputs!$C$5:$C$170=$B13)*Inputs!$D$5:$D$170*(((Inputs!$G$5:$G$170="moeda")+(Inputs!$G$5:$G$170="acoes"))*Inputs!$B$1+((Inputs!$G$5:$G$170&lt;&gt;"moeda")*(Inputs!$G$5:$G$170&lt;&gt;"acoes")))*INDEX(Inputs!$K$5:$AJ$170,0,MATCH(Y$2,Inputs!$K$4:$AJ$4,0)))+SUMPRODUCT((Inputs!$E$5:$E$170=$B13)*Inputs!$F$5:$F$170*(((Inputs!$G$5:$G$170="moeda")+(Inputs!$G$5:$G$170="acoes"))*Inputs!$B$1+((Inputs!$G$5:$G$170&lt;&gt;"moeda")*(Inputs!$G$5:$G$170&lt;&gt;"acoes")))*INDEX(Inputs!$K$5:$AJ$170,0,MATCH(Y$2,Inputs!$K$4:$AJ$4,0)))))</f>
        <v>-55.05</v>
      </c>
      <c r="Z13" s="6">
        <f>IF(ISNA(MATCH(Z$2,Inputs!$K$4:$AJ$4,0)),NA(),IF(SUMPRODUCT((Inputs!$A$5:$A$170=$B13)*ISNUMBER(INDEX(Inputs!$K$5:$AJ$170,0,MATCH(Z$2,Inputs!$K$4:$AJ$4,0))))+SUMPRODUCT((Inputs!$C$5:$C$170=$B13)*ISNUMBER(INDEX(Inputs!$K$5:$AJ$170,0,MATCH(Z$2,Inputs!$K$4:$AJ$4,0))))+SUMPRODUCT((Inputs!$E$5:$E$170=$B13)*ISNUMBER(INDEX(Inputs!$K$5:$AJ$170,0,MATCH(Z$2,Inputs!$K$4:$AJ$4,0))))=0,NA(),SUMPRODUCT((Inputs!$A$5:$A$170=$B13)*Inputs!$B$5:$B$170*(((Inputs!$G$5:$G$170="moeda")+(Inputs!$G$5:$G$170="acoes"))*Inputs!$B$1+((Inputs!$G$5:$G$170&lt;&gt;"moeda")*(Inputs!$G$5:$G$170&lt;&gt;"acoes")))*INDEX(Inputs!$K$5:$AJ$170,0,MATCH(Z$2,Inputs!$K$4:$AJ$4,0)))+SUMPRODUCT((Inputs!$C$5:$C$170=$B13)*Inputs!$D$5:$D$170*(((Inputs!$G$5:$G$170="moeda")+(Inputs!$G$5:$G$170="acoes"))*Inputs!$B$1+((Inputs!$G$5:$G$170&lt;&gt;"moeda")*(Inputs!$G$5:$G$170&lt;&gt;"acoes")))*INDEX(Inputs!$K$5:$AJ$170,0,MATCH(Z$2,Inputs!$K$4:$AJ$4,0)))+SUMPRODUCT((Inputs!$E$5:$E$170=$B13)*Inputs!$F$5:$F$170*(((Inputs!$G$5:$G$170="moeda")+(Inputs!$G$5:$G$170="acoes"))*Inputs!$B$1+((Inputs!$G$5:$G$170&lt;&gt;"moeda")*(Inputs!$G$5:$G$170&lt;&gt;"acoes")))*INDEX(Inputs!$K$5:$AJ$170,0,MATCH(Z$2,Inputs!$K$4:$AJ$4,0)))))</f>
        <v>0</v>
      </c>
      <c r="AA13" s="6">
        <f>IF(ISNA(MATCH(AA$2,Inputs!$K$4:$AJ$4,0)),NA(),IF(SUMPRODUCT((Inputs!$A$5:$A$170=$B13)*ISNUMBER(INDEX(Inputs!$K$5:$AJ$170,0,MATCH(AA$2,Inputs!$K$4:$AJ$4,0))))+SUMPRODUCT((Inputs!$C$5:$C$170=$B13)*ISNUMBER(INDEX(Inputs!$K$5:$AJ$170,0,MATCH(AA$2,Inputs!$K$4:$AJ$4,0))))+SUMPRODUCT((Inputs!$E$5:$E$170=$B13)*ISNUMBER(INDEX(Inputs!$K$5:$AJ$170,0,MATCH(AA$2,Inputs!$K$4:$AJ$4,0))))=0,NA(),SUMPRODUCT((Inputs!$A$5:$A$170=$B13)*Inputs!$B$5:$B$170*(((Inputs!$G$5:$G$170="moeda")+(Inputs!$G$5:$G$170="acoes"))*Inputs!$B$1+((Inputs!$G$5:$G$170&lt;&gt;"moeda")*(Inputs!$G$5:$G$170&lt;&gt;"acoes")))*INDEX(Inputs!$K$5:$AJ$170,0,MATCH(AA$2,Inputs!$K$4:$AJ$4,0)))+SUMPRODUCT((Inputs!$C$5:$C$170=$B13)*Inputs!$D$5:$D$170*(((Inputs!$G$5:$G$170="moeda")+(Inputs!$G$5:$G$170="acoes"))*Inputs!$B$1+((Inputs!$G$5:$G$170&lt;&gt;"moeda")*(Inputs!$G$5:$G$170&lt;&gt;"acoes")))*INDEX(Inputs!$K$5:$AJ$170,0,MATCH(AA$2,Inputs!$K$4:$AJ$4,0)))+SUMPRODUCT((Inputs!$E$5:$E$170=$B13)*Inputs!$F$5:$F$170*(((Inputs!$G$5:$G$170="moeda")+(Inputs!$G$5:$G$170="acoes"))*Inputs!$B$1+((Inputs!$G$5:$G$170&lt;&gt;"moeda")*(Inputs!$G$5:$G$170&lt;&gt;"acoes")))*INDEX(Inputs!$K$5:$AJ$170,0,MATCH(AA$2,Inputs!$K$4:$AJ$4,0)))))</f>
        <v>0</v>
      </c>
      <c r="AB13" s="3">
        <f>SUM(X13:AA13)</f>
        <v>-55.05</v>
      </c>
      <c r="AC13" s="6">
        <f>IF(ISNA(MATCH(AC$2,Inputs!$K$4:$AJ$4,0)),NA(),IF(SUMPRODUCT((Inputs!$A$5:$A$170=$B13)*ISNUMBER(INDEX(Inputs!$K$5:$AJ$170,0,MATCH(AC$2,Inputs!$K$4:$AJ$4,0))))+SUMPRODUCT((Inputs!$C$5:$C$170=$B13)*ISNUMBER(INDEX(Inputs!$K$5:$AJ$170,0,MATCH(AC$2,Inputs!$K$4:$AJ$4,0))))+SUMPRODUCT((Inputs!$E$5:$E$170=$B13)*ISNUMBER(INDEX(Inputs!$K$5:$AJ$170,0,MATCH(AC$2,Inputs!$K$4:$AJ$4,0))))=0,NA(),SUMPRODUCT((Inputs!$A$5:$A$170=$B13)*Inputs!$B$5:$B$170*(((Inputs!$G$5:$G$170="moeda")+(Inputs!$G$5:$G$170="acoes"))*Inputs!$B$1+((Inputs!$G$5:$G$170&lt;&gt;"moeda")*(Inputs!$G$5:$G$170&lt;&gt;"acoes")))*INDEX(Inputs!$K$5:$AJ$170,0,MATCH(AC$2,Inputs!$K$4:$AJ$4,0)))+SUMPRODUCT((Inputs!$C$5:$C$170=$B13)*Inputs!$D$5:$D$170*(((Inputs!$G$5:$G$170="moeda")+(Inputs!$G$5:$G$170="acoes"))*Inputs!$B$1+((Inputs!$G$5:$G$170&lt;&gt;"moeda")*(Inputs!$G$5:$G$170&lt;&gt;"acoes")))*INDEX(Inputs!$K$5:$AJ$170,0,MATCH(AC$2,Inputs!$K$4:$AJ$4,0)))+SUMPRODUCT((Inputs!$E$5:$E$170=$B13)*Inputs!$F$5:$F$170*(((Inputs!$G$5:$G$170="moeda")+(Inputs!$G$5:$G$170="acoes"))*Inputs!$B$1+((Inputs!$G$5:$G$170&lt;&gt;"moeda")*(Inputs!$G$5:$G$170&lt;&gt;"acoes")))*INDEX(Inputs!$K$5:$AJ$170,0,MATCH(AC$2,Inputs!$K$4:$AJ$4,0)))))</f>
        <v>0</v>
      </c>
      <c r="AD13" s="6">
        <f>IF(ISNA(MATCH(AD$2,Inputs!$K$4:$AJ$4,0)),NA(),IF(SUMPRODUCT((Inputs!$A$5:$A$170=$B13)*ISNUMBER(INDEX(Inputs!$K$5:$AJ$170,0,MATCH(AD$2,Inputs!$K$4:$AJ$4,0))))+SUMPRODUCT((Inputs!$C$5:$C$170=$B13)*ISNUMBER(INDEX(Inputs!$K$5:$AJ$170,0,MATCH(AD$2,Inputs!$K$4:$AJ$4,0))))+SUMPRODUCT((Inputs!$E$5:$E$170=$B13)*ISNUMBER(INDEX(Inputs!$K$5:$AJ$170,0,MATCH(AD$2,Inputs!$K$4:$AJ$4,0))))=0,NA(),SUMPRODUCT((Inputs!$A$5:$A$170=$B13)*Inputs!$B$5:$B$170*(((Inputs!$G$5:$G$170="moeda")+(Inputs!$G$5:$G$170="acoes"))*Inputs!$B$1+((Inputs!$G$5:$G$170&lt;&gt;"moeda")*(Inputs!$G$5:$G$170&lt;&gt;"acoes")))*INDEX(Inputs!$K$5:$AJ$170,0,MATCH(AD$2,Inputs!$K$4:$AJ$4,0)))+SUMPRODUCT((Inputs!$C$5:$C$170=$B13)*Inputs!$D$5:$D$170*(((Inputs!$G$5:$G$170="moeda")+(Inputs!$G$5:$G$170="acoes"))*Inputs!$B$1+((Inputs!$G$5:$G$170&lt;&gt;"moeda")*(Inputs!$G$5:$G$170&lt;&gt;"acoes")))*INDEX(Inputs!$K$5:$AJ$170,0,MATCH(AD$2,Inputs!$K$4:$AJ$4,0)))+SUMPRODUCT((Inputs!$E$5:$E$170=$B13)*Inputs!$F$5:$F$170*(((Inputs!$G$5:$G$170="moeda")+(Inputs!$G$5:$G$170="acoes"))*Inputs!$B$1+((Inputs!$G$5:$G$170&lt;&gt;"moeda")*(Inputs!$G$5:$G$170&lt;&gt;"acoes")))*INDEX(Inputs!$K$5:$AJ$170,0,MATCH(AD$2,Inputs!$K$4:$AJ$4,0)))))</f>
        <v>0</v>
      </c>
      <c r="AE13" s="6" t="e">
        <f>IF(ISNA(MATCH(AE$2,Inputs!$K$4:$AJ$4,0)),NA(),IF(SUMPRODUCT((Inputs!$A$5:$A$170=$B13)*ISNUMBER(INDEX(Inputs!$K$5:$AJ$170,0,MATCH(AE$2,Inputs!$K$4:$AJ$4,0))))+SUMPRODUCT((Inputs!$C$5:$C$170=$B13)*ISNUMBER(INDEX(Inputs!$K$5:$AJ$170,0,MATCH(AE$2,Inputs!$K$4:$AJ$4,0))))+SUMPRODUCT((Inputs!$E$5:$E$170=$B13)*ISNUMBER(INDEX(Inputs!$K$5:$AJ$170,0,MATCH(AE$2,Inputs!$K$4:$AJ$4,0))))=0,NA(),SUMPRODUCT((Inputs!$A$5:$A$170=$B13)*Inputs!$B$5:$B$170*(((Inputs!$G$5:$G$170="moeda")+(Inputs!$G$5:$G$170="acoes"))*Inputs!$B$1+((Inputs!$G$5:$G$170&lt;&gt;"moeda")*(Inputs!$G$5:$G$170&lt;&gt;"acoes")))*INDEX(Inputs!$K$5:$AJ$170,0,MATCH(AE$2,Inputs!$K$4:$AJ$4,0)))+SUMPRODUCT((Inputs!$C$5:$C$170=$B13)*Inputs!$D$5:$D$170*(((Inputs!$G$5:$G$170="moeda")+(Inputs!$G$5:$G$170="acoes"))*Inputs!$B$1+((Inputs!$G$5:$G$170&lt;&gt;"moeda")*(Inputs!$G$5:$G$170&lt;&gt;"acoes")))*INDEX(Inputs!$K$5:$AJ$170,0,MATCH(AE$2,Inputs!$K$4:$AJ$4,0)))+SUMPRODUCT((Inputs!$E$5:$E$170=$B13)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3" s="6" t="e">
        <f>IF(ISNA(MATCH(AF$2,Inputs!$K$4:$AJ$4,0)),NA(),IF(SUMPRODUCT((Inputs!$A$5:$A$170=$B13)*ISNUMBER(INDEX(Inputs!$K$5:$AJ$170,0,MATCH(AF$2,Inputs!$K$4:$AJ$4,0))))+SUMPRODUCT((Inputs!$C$5:$C$170=$B13)*ISNUMBER(INDEX(Inputs!$K$5:$AJ$170,0,MATCH(AF$2,Inputs!$K$4:$AJ$4,0))))+SUMPRODUCT((Inputs!$E$5:$E$170=$B13)*ISNUMBER(INDEX(Inputs!$K$5:$AJ$170,0,MATCH(AF$2,Inputs!$K$4:$AJ$4,0))))=0,NA(),SUMPRODUCT((Inputs!$A$5:$A$170=$B13)*Inputs!$B$5:$B$170*(((Inputs!$G$5:$G$170="moeda")+(Inputs!$G$5:$G$170="acoes"))*Inputs!$B$1+((Inputs!$G$5:$G$170&lt;&gt;"moeda")*(Inputs!$G$5:$G$170&lt;&gt;"acoes")))*INDEX(Inputs!$K$5:$AJ$170,0,MATCH(AF$2,Inputs!$K$4:$AJ$4,0)))+SUMPRODUCT((Inputs!$C$5:$C$170=$B13)*Inputs!$D$5:$D$170*(((Inputs!$G$5:$G$170="moeda")+(Inputs!$G$5:$G$170="acoes"))*Inputs!$B$1+((Inputs!$G$5:$G$170&lt;&gt;"moeda")*(Inputs!$G$5:$G$170&lt;&gt;"acoes")))*INDEX(Inputs!$K$5:$AJ$170,0,MATCH(AF$2,Inputs!$K$4:$AJ$4,0)))+SUMPRODUCT((Inputs!$E$5:$E$170=$B13)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$170=$B13)*ISNUMBER(INDEX(Inputs!$K$5:$AJ$170,0,MATCH(AH$2,Inputs!$K$4:$AJ$4,0))))+SUMPRODUCT((Inputs!$C$5:$C$170=$B13)*ISNUMBER(INDEX(Inputs!$K$5:$AJ$170,0,MATCH(AH$2,Inputs!$K$4:$AJ$4,0))))+SUMPRODUCT((Inputs!$E$5:$E$170=$B13)*ISNUMBER(INDEX(Inputs!$K$5:$AJ$170,0,MATCH(AH$2,Inputs!$K$4:$AJ$4,0))))=0,NA(),SUMPRODUCT((Inputs!$A$5:$A$170=$B13)*Inputs!$B$5:$B$170*(((Inputs!$G$5:$G$170="moeda")+(Inputs!$G$5:$G$170="acoes"))*Inputs!$B$1+((Inputs!$G$5:$G$170&lt;&gt;"moeda")*(Inputs!$G$5:$G$170&lt;&gt;"acoes")))*INDEX(Inputs!$K$5:$AJ$170,0,MATCH(AH$2,Inputs!$K$4:$AJ$4,0)))+SUMPRODUCT((Inputs!$C$5:$C$170=$B13)*Inputs!$D$5:$D$170*(((Inputs!$G$5:$G$170="moeda")+(Inputs!$G$5:$G$170="acoes"))*Inputs!$B$1+((Inputs!$G$5:$G$170&lt;&gt;"moeda")*(Inputs!$G$5:$G$170&lt;&gt;"acoes")))*INDEX(Inputs!$K$5:$AJ$170,0,MATCH(AH$2,Inputs!$K$4:$AJ$4,0)))+SUMPRODUCT((Inputs!$E$5:$E$170=$B13)*Inputs!$F$5:$F$170*(((Inputs!$G$5:$G$170="moeda")+(Inputs!$G$5:$G$170="acoes"))*Inputs!$B$1+((Inputs!$G$5:$G$170&lt;&gt;"moeda")*(Inputs!$G$5:$G$170&lt;&gt;"acoes")))*INDEX(Inputs!$K$5:$AJ$170,0,MATCH(AH$2,Inputs!$K$4:$AJ$4,0)))))</f>
        <v>-22.944</v>
      </c>
      <c r="AI13" s="6">
        <f>IF(ISNA(MATCH(AI$2,Inputs!$K$4:$AJ$4,0)),NA(),IF(SUMPRODUCT((Inputs!$A$5:$A$170=$B13)*ISNUMBER(INDEX(Inputs!$K$5:$AJ$170,0,MATCH(AI$2,Inputs!$K$4:$AJ$4,0))))+SUMPRODUCT((Inputs!$C$5:$C$170=$B13)*ISNUMBER(INDEX(Inputs!$K$5:$AJ$170,0,MATCH(AI$2,Inputs!$K$4:$AJ$4,0))))+SUMPRODUCT((Inputs!$E$5:$E$170=$B13)*ISNUMBER(INDEX(Inputs!$K$5:$AJ$170,0,MATCH(AI$2,Inputs!$K$4:$AJ$4,0))))=0,NA(),SUMPRODUCT((Inputs!$A$5:$A$170=$B13)*Inputs!$B$5:$B$170*(((Inputs!$G$5:$G$170="moeda")+(Inputs!$G$5:$G$170="acoes"))*Inputs!$B$1+((Inputs!$G$5:$G$170&lt;&gt;"moeda")*(Inputs!$G$5:$G$170&lt;&gt;"acoes")))*INDEX(Inputs!$K$5:$AJ$170,0,MATCH(AI$2,Inputs!$K$4:$AJ$4,0)))+SUMPRODUCT((Inputs!$C$5:$C$170=$B13)*Inputs!$D$5:$D$170*(((Inputs!$G$5:$G$170="moeda")+(Inputs!$G$5:$G$170="acoes"))*Inputs!$B$1+((Inputs!$G$5:$G$170&lt;&gt;"moeda")*(Inputs!$G$5:$G$170&lt;&gt;"acoes")))*INDEX(Inputs!$K$5:$AJ$170,0,MATCH(AI$2,Inputs!$K$4:$AJ$4,0)))+SUMPRODUCT((Inputs!$E$5:$E$170=$B13)*Inputs!$F$5:$F$170*(((Inputs!$G$5:$G$170="moeda")+(Inputs!$G$5:$G$170="acoes"))*Inputs!$B$1+((Inputs!$G$5:$G$170&lt;&gt;"moeda")*(Inputs!$G$5:$G$170&lt;&gt;"acoes")))*INDEX(Inputs!$K$5:$AJ$170,0,MATCH(AI$2,Inputs!$K$4:$AJ$4,0)))))</f>
        <v>0.0109999999999992</v>
      </c>
      <c r="AJ13" s="6">
        <f>IF(ISNA(MATCH(AJ$2,Inputs!$K$4:$AJ$4,0)),NA(),IF(SUMPRODUCT((Inputs!$A$5:$A$170=$B13)*ISNUMBER(INDEX(Inputs!$K$5:$AJ$170,0,MATCH(AJ$2,Inputs!$K$4:$AJ$4,0))))+SUMPRODUCT((Inputs!$C$5:$C$170=$B13)*ISNUMBER(INDEX(Inputs!$K$5:$AJ$170,0,MATCH(AJ$2,Inputs!$K$4:$AJ$4,0))))+SUMPRODUCT((Inputs!$E$5:$E$170=$B13)*ISNUMBER(INDEX(Inputs!$K$5:$AJ$170,0,MATCH(AJ$2,Inputs!$K$4:$AJ$4,0))))=0,NA(),SUMPRODUCT((Inputs!$A$5:$A$170=$B13)*Inputs!$B$5:$B$170*(((Inputs!$G$5:$G$170="moeda")+(Inputs!$G$5:$G$170="acoes"))*Inputs!$B$1+((Inputs!$G$5:$G$170&lt;&gt;"moeda")*(Inputs!$G$5:$G$170&lt;&gt;"acoes")))*INDEX(Inputs!$K$5:$AJ$170,0,MATCH(AJ$2,Inputs!$K$4:$AJ$4,0)))+SUMPRODUCT((Inputs!$C$5:$C$170=$B13)*Inputs!$D$5:$D$170*(((Inputs!$G$5:$G$170="moeda")+(Inputs!$G$5:$G$170="acoes"))*Inputs!$B$1+((Inputs!$G$5:$G$170&lt;&gt;"moeda")*(Inputs!$G$5:$G$170&lt;&gt;"acoes")))*INDEX(Inputs!$K$5:$AJ$170,0,MATCH(AJ$2,Inputs!$K$4:$AJ$4,0)))+SUMPRODUCT((Inputs!$E$5:$E$170=$B13)*Inputs!$F$5:$F$170*(((Inputs!$G$5:$G$170="moeda")+(Inputs!$G$5:$G$170="acoes"))*Inputs!$B$1+((Inputs!$G$5:$G$170&lt;&gt;"moeda")*(Inputs!$G$5:$G$170&lt;&gt;"acoes")))*INDEX(Inputs!$K$5:$AJ$170,0,MATCH(AJ$2,Inputs!$K$4:$AJ$4,0)))))</f>
        <v>0</v>
      </c>
      <c r="AK13" s="6">
        <f>IF(ISNA(MATCH(AK$2,Inputs!$K$4:$AJ$4,0)),NA(),IF(SUMPRODUCT((Inputs!$A$5:$A$170=$B13)*ISNUMBER(INDEX(Inputs!$K$5:$AJ$170,0,MATCH(AK$2,Inputs!$K$4:$AJ$4,0))))+SUMPRODUCT((Inputs!$C$5:$C$170=$B13)*ISNUMBER(INDEX(Inputs!$K$5:$AJ$170,0,MATCH(AK$2,Inputs!$K$4:$AJ$4,0))))+SUMPRODUCT((Inputs!$E$5:$E$170=$B13)*ISNUMBER(INDEX(Inputs!$K$5:$AJ$170,0,MATCH(AK$2,Inputs!$K$4:$AJ$4,0))))=0,NA(),SUMPRODUCT((Inputs!$A$5:$A$170=$B13)*Inputs!$B$5:$B$170*(((Inputs!$G$5:$G$170="moeda")+(Inputs!$G$5:$G$170="acoes"))*Inputs!$B$1+((Inputs!$G$5:$G$170&lt;&gt;"moeda")*(Inputs!$G$5:$G$170&lt;&gt;"acoes")))*INDEX(Inputs!$K$5:$AJ$170,0,MATCH(AK$2,Inputs!$K$4:$AJ$4,0)))+SUMPRODUCT((Inputs!$C$5:$C$170=$B13)*Inputs!$D$5:$D$170*(((Inputs!$G$5:$G$170="moeda")+(Inputs!$G$5:$G$170="acoes"))*Inputs!$B$1+((Inputs!$G$5:$G$170&lt;&gt;"moeda")*(Inputs!$G$5:$G$170&lt;&gt;"acoes")))*INDEX(Inputs!$K$5:$AJ$170,0,MATCH(AK$2,Inputs!$K$4:$AJ$4,0)))+SUMPRODUCT((Inputs!$E$5:$E$170=$B13)*Inputs!$F$5:$F$170*(((Inputs!$G$5:$G$170="moeda")+(Inputs!$G$5:$G$170="acoes"))*Inputs!$B$1+((Inputs!$G$5:$G$170&lt;&gt;"moeda")*(Inputs!$G$5:$G$170&lt;&gt;"acoes")))*INDEX(Inputs!$K$5:$AJ$170,0,MATCH(AK$2,Inputs!$K$4:$AJ$4,0)))))</f>
        <v>-33.803</v>
      </c>
      <c r="AL13" s="3">
        <f>SUM(AH13:AK13)</f>
        <v>-56.736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$170=$B15)*ISNUMBER(INDEX(Inputs!$K$5:$AJ$170,0,MATCH(D$2,Inputs!$K$4:$AJ$4,0))))+SUMPRODUCT((Inputs!$C$5:$C$170=$B15)*ISNUMBER(INDEX(Inputs!$K$5:$AJ$170,0,MATCH(D$2,Inputs!$K$4:$AJ$4,0))))+SUMPRODUCT((Inputs!$E$5:$E$170=$B15)*ISNUMBER(INDEX(Inputs!$K$5:$AJ$170,0,MATCH(D$2,Inputs!$K$4:$AJ$4,0))))=0,NA(),SUMPRODUCT((Inputs!$A$5:$A$170=$B15)*Inputs!$B$5:$B$170*(((Inputs!$G$5:$G$170="moeda")+(Inputs!$G$5:$G$170="acoes"))*Inputs!$B$1+((Inputs!$G$5:$G$170&lt;&gt;"moeda")*(Inputs!$G$5:$G$170&lt;&gt;"acoes")))*INDEX(Inputs!$K$5:$AJ$170,0,MATCH(D$2,Inputs!$K$4:$AJ$4,0)))+SUMPRODUCT((Inputs!$C$5:$C$170=$B15)*Inputs!$D$5:$D$170*(((Inputs!$G$5:$G$170="moeda")+(Inputs!$G$5:$G$170="acoes"))*Inputs!$B$1+((Inputs!$G$5:$G$170&lt;&gt;"moeda")*(Inputs!$G$5:$G$170&lt;&gt;"acoes")))*INDEX(Inputs!$K$5:$AJ$170,0,MATCH(D$2,Inputs!$K$4:$AJ$4,0)))+SUMPRODUCT((Inputs!$E$5:$E$170=$B15)*Inputs!$F$5:$F$170*(((Inputs!$G$5:$G$170="moeda")+(Inputs!$G$5:$G$170="acoes"))*Inputs!$B$1+((Inputs!$G$5:$G$170&lt;&gt;"moeda")*(Inputs!$G$5:$G$170&lt;&gt;"acoes")))*INDEX(Inputs!$K$5:$AJ$170,0,MATCH(D$2,Inputs!$K$4:$AJ$4,0)))))</f>
        <v>5511.88</v>
      </c>
      <c r="E15" s="6">
        <f>IF(ISNA(MATCH(E$2,Inputs!$K$4:$AJ$4,0)),NA(),IF(SUMPRODUCT((Inputs!$A$5:$A$170=$B15)*ISNUMBER(INDEX(Inputs!$K$5:$AJ$170,0,MATCH(E$2,Inputs!$K$4:$AJ$4,0))))+SUMPRODUCT((Inputs!$C$5:$C$170=$B15)*ISNUMBER(INDEX(Inputs!$K$5:$AJ$170,0,MATCH(E$2,Inputs!$K$4:$AJ$4,0))))+SUMPRODUCT((Inputs!$E$5:$E$170=$B15)*ISNUMBER(INDEX(Inputs!$K$5:$AJ$170,0,MATCH(E$2,Inputs!$K$4:$AJ$4,0))))=0,NA(),SUMPRODUCT((Inputs!$A$5:$A$170=$B15)*Inputs!$B$5:$B$170*(((Inputs!$G$5:$G$170="moeda")+(Inputs!$G$5:$G$170="acoes"))*Inputs!$B$1+((Inputs!$G$5:$G$170&lt;&gt;"moeda")*(Inputs!$G$5:$G$170&lt;&gt;"acoes")))*INDEX(Inputs!$K$5:$AJ$170,0,MATCH(E$2,Inputs!$K$4:$AJ$4,0)))+SUMPRODUCT((Inputs!$C$5:$C$170=$B15)*Inputs!$D$5:$D$170*(((Inputs!$G$5:$G$170="moeda")+(Inputs!$G$5:$G$170="acoes"))*Inputs!$B$1+((Inputs!$G$5:$G$170&lt;&gt;"moeda")*(Inputs!$G$5:$G$170&lt;&gt;"acoes")))*INDEX(Inputs!$K$5:$AJ$170,0,MATCH(E$2,Inputs!$K$4:$AJ$4,0)))+SUMPRODUCT((Inputs!$E$5:$E$170=$B15)*Inputs!$F$5:$F$170*(((Inputs!$G$5:$G$170="moeda")+(Inputs!$G$5:$G$170="acoes"))*Inputs!$B$1+((Inputs!$G$5:$G$170&lt;&gt;"moeda")*(Inputs!$G$5:$G$170&lt;&gt;"acoes")))*INDEX(Inputs!$K$5:$AJ$170,0,MATCH(E$2,Inputs!$K$4:$AJ$4,0)))))</f>
        <v>5556.755</v>
      </c>
      <c r="F15" s="6">
        <f>IF(ISNA(MATCH(F$2,Inputs!$K$4:$AJ$4,0)),NA(),IF(SUMPRODUCT((Inputs!$A$5:$A$170=$B15)*ISNUMBER(INDEX(Inputs!$K$5:$AJ$170,0,MATCH(F$2,Inputs!$K$4:$AJ$4,0))))+SUMPRODUCT((Inputs!$C$5:$C$170=$B15)*ISNUMBER(INDEX(Inputs!$K$5:$AJ$170,0,MATCH(F$2,Inputs!$K$4:$AJ$4,0))))+SUMPRODUCT((Inputs!$E$5:$E$170=$B15)*ISNUMBER(INDEX(Inputs!$K$5:$AJ$170,0,MATCH(F$2,Inputs!$K$4:$AJ$4,0))))=0,NA(),SUMPRODUCT((Inputs!$A$5:$A$170=$B15)*Inputs!$B$5:$B$170*(((Inputs!$G$5:$G$170="moeda")+(Inputs!$G$5:$G$170="acoes"))*Inputs!$B$1+((Inputs!$G$5:$G$170&lt;&gt;"moeda")*(Inputs!$G$5:$G$170&lt;&gt;"acoes")))*INDEX(Inputs!$K$5:$AJ$170,0,MATCH(F$2,Inputs!$K$4:$AJ$4,0)))+SUMPRODUCT((Inputs!$C$5:$C$170=$B15)*Inputs!$D$5:$D$170*(((Inputs!$G$5:$G$170="moeda")+(Inputs!$G$5:$G$170="acoes"))*Inputs!$B$1+((Inputs!$G$5:$G$170&lt;&gt;"moeda")*(Inputs!$G$5:$G$170&lt;&gt;"acoes")))*INDEX(Inputs!$K$5:$AJ$170,0,MATCH(F$2,Inputs!$K$4:$AJ$4,0)))+SUMPRODUCT((Inputs!$E$5:$E$170=$B15)*Inputs!$F$5:$F$170*(((Inputs!$G$5:$G$170="moeda")+(Inputs!$G$5:$G$170="acoes"))*Inputs!$B$1+((Inputs!$G$5:$G$170&lt;&gt;"moeda")*(Inputs!$G$5:$G$170&lt;&gt;"acoes")))*INDEX(Inputs!$K$5:$AJ$170,0,MATCH(F$2,Inputs!$K$4:$AJ$4,0)))))</f>
        <v>8274.313</v>
      </c>
      <c r="G15" s="6">
        <f>IF(ISNA(MATCH(G$2,Inputs!$K$4:$AJ$4,0)),NA(),IF(SUMPRODUCT((Inputs!$A$5:$A$170=$B15)*ISNUMBER(INDEX(Inputs!$K$5:$AJ$170,0,MATCH(G$2,Inputs!$K$4:$AJ$4,0))))+SUMPRODUCT((Inputs!$C$5:$C$170=$B15)*ISNUMBER(INDEX(Inputs!$K$5:$AJ$170,0,MATCH(G$2,Inputs!$K$4:$AJ$4,0))))+SUMPRODUCT((Inputs!$E$5:$E$170=$B15)*ISNUMBER(INDEX(Inputs!$K$5:$AJ$170,0,MATCH(G$2,Inputs!$K$4:$AJ$4,0))))=0,NA(),SUMPRODUCT((Inputs!$A$5:$A$170=$B15)*Inputs!$B$5:$B$170*(((Inputs!$G$5:$G$170="moeda")+(Inputs!$G$5:$G$170="acoes"))*Inputs!$B$1+((Inputs!$G$5:$G$170&lt;&gt;"moeda")*(Inputs!$G$5:$G$170&lt;&gt;"acoes")))*INDEX(Inputs!$K$5:$AJ$170,0,MATCH(G$2,Inputs!$K$4:$AJ$4,0)))+SUMPRODUCT((Inputs!$C$5:$C$170=$B15)*Inputs!$D$5:$D$170*(((Inputs!$G$5:$G$170="moeda")+(Inputs!$G$5:$G$170="acoes"))*Inputs!$B$1+((Inputs!$G$5:$G$170&lt;&gt;"moeda")*(Inputs!$G$5:$G$170&lt;&gt;"acoes")))*INDEX(Inputs!$K$5:$AJ$170,0,MATCH(G$2,Inputs!$K$4:$AJ$4,0)))+SUMPRODUCT((Inputs!$E$5:$E$170=$B15)*Inputs!$F$5:$F$170*(((Inputs!$G$5:$G$170="moeda")+(Inputs!$G$5:$G$170="acoes"))*Inputs!$B$1+((Inputs!$G$5:$G$170&lt;&gt;"moeda")*(Inputs!$G$5:$G$170&lt;&gt;"acoes")))*INDEX(Inputs!$K$5:$AJ$170,0,MATCH(G$2,Inputs!$K$4:$AJ$4,0)))))</f>
        <v>7786.453</v>
      </c>
      <c r="H15" s="3">
        <f>G15</f>
        <v>7786.453</v>
      </c>
      <c r="I15" s="6">
        <f>IF(ISNA(MATCH(I$2,Inputs!$K$4:$AJ$4,0)),NA(),IF(SUMPRODUCT((Inputs!$A$5:$A$170=$B15)*ISNUMBER(INDEX(Inputs!$K$5:$AJ$170,0,MATCH(I$2,Inputs!$K$4:$AJ$4,0))))+SUMPRODUCT((Inputs!$C$5:$C$170=$B15)*ISNUMBER(INDEX(Inputs!$K$5:$AJ$170,0,MATCH(I$2,Inputs!$K$4:$AJ$4,0))))+SUMPRODUCT((Inputs!$E$5:$E$170=$B15)*ISNUMBER(INDEX(Inputs!$K$5:$AJ$170,0,MATCH(I$2,Inputs!$K$4:$AJ$4,0))))=0,NA(),SUMPRODUCT((Inputs!$A$5:$A$170=$B15)*Inputs!$B$5:$B$170*(((Inputs!$G$5:$G$170="moeda")+(Inputs!$G$5:$G$170="acoes"))*Inputs!$B$1+((Inputs!$G$5:$G$170&lt;&gt;"moeda")*(Inputs!$G$5:$G$170&lt;&gt;"acoes")))*INDEX(Inputs!$K$5:$AJ$170,0,MATCH(I$2,Inputs!$K$4:$AJ$4,0)))+SUMPRODUCT((Inputs!$C$5:$C$170=$B15)*Inputs!$D$5:$D$170*(((Inputs!$G$5:$G$170="moeda")+(Inputs!$G$5:$G$170="acoes"))*Inputs!$B$1+((Inputs!$G$5:$G$170&lt;&gt;"moeda")*(Inputs!$G$5:$G$170&lt;&gt;"acoes")))*INDEX(Inputs!$K$5:$AJ$170,0,MATCH(I$2,Inputs!$K$4:$AJ$4,0)))+SUMPRODUCT((Inputs!$E$5:$E$170=$B15)*Inputs!$F$5:$F$170*(((Inputs!$G$5:$G$170="moeda")+(Inputs!$G$5:$G$170="acoes"))*Inputs!$B$1+((Inputs!$G$5:$G$170&lt;&gt;"moeda")*(Inputs!$G$5:$G$170&lt;&gt;"acoes")))*INDEX(Inputs!$K$5:$AJ$170,0,MATCH(I$2,Inputs!$K$4:$AJ$4,0)))))</f>
        <v>5650.584</v>
      </c>
      <c r="J15" s="6">
        <f>IF(ISNA(MATCH(J$2,Inputs!$K$4:$AJ$4,0)),NA(),IF(SUMPRODUCT((Inputs!$A$5:$A$170=$B15)*ISNUMBER(INDEX(Inputs!$K$5:$AJ$170,0,MATCH(J$2,Inputs!$K$4:$AJ$4,0))))+SUMPRODUCT((Inputs!$C$5:$C$170=$B15)*ISNUMBER(INDEX(Inputs!$K$5:$AJ$170,0,MATCH(J$2,Inputs!$K$4:$AJ$4,0))))+SUMPRODUCT((Inputs!$E$5:$E$170=$B15)*ISNUMBER(INDEX(Inputs!$K$5:$AJ$170,0,MATCH(J$2,Inputs!$K$4:$AJ$4,0))))=0,NA(),SUMPRODUCT((Inputs!$A$5:$A$170=$B15)*Inputs!$B$5:$B$170*(((Inputs!$G$5:$G$170="moeda")+(Inputs!$G$5:$G$170="acoes"))*Inputs!$B$1+((Inputs!$G$5:$G$170&lt;&gt;"moeda")*(Inputs!$G$5:$G$170&lt;&gt;"acoes")))*INDEX(Inputs!$K$5:$AJ$170,0,MATCH(J$2,Inputs!$K$4:$AJ$4,0)))+SUMPRODUCT((Inputs!$C$5:$C$170=$B15)*Inputs!$D$5:$D$170*(((Inputs!$G$5:$G$170="moeda")+(Inputs!$G$5:$G$170="acoes"))*Inputs!$B$1+((Inputs!$G$5:$G$170&lt;&gt;"moeda")*(Inputs!$G$5:$G$170&lt;&gt;"acoes")))*INDEX(Inputs!$K$5:$AJ$170,0,MATCH(J$2,Inputs!$K$4:$AJ$4,0)))+SUMPRODUCT((Inputs!$E$5:$E$170=$B15)*Inputs!$F$5:$F$170*(((Inputs!$G$5:$G$170="moeda")+(Inputs!$G$5:$G$170="acoes"))*Inputs!$B$1+((Inputs!$G$5:$G$170&lt;&gt;"moeda")*(Inputs!$G$5:$G$170&lt;&gt;"acoes")))*INDEX(Inputs!$K$5:$AJ$170,0,MATCH(J$2,Inputs!$K$4:$AJ$4,0)))))</f>
        <v>5722.697</v>
      </c>
      <c r="K15" s="6">
        <f>IF(ISNA(MATCH(K$2,Inputs!$K$4:$AJ$4,0)),NA(),IF(SUMPRODUCT((Inputs!$A$5:$A$170=$B15)*ISNUMBER(INDEX(Inputs!$K$5:$AJ$170,0,MATCH(K$2,Inputs!$K$4:$AJ$4,0))))+SUMPRODUCT((Inputs!$C$5:$C$170=$B15)*ISNUMBER(INDEX(Inputs!$K$5:$AJ$170,0,MATCH(K$2,Inputs!$K$4:$AJ$4,0))))+SUMPRODUCT((Inputs!$E$5:$E$170=$B15)*ISNUMBER(INDEX(Inputs!$K$5:$AJ$170,0,MATCH(K$2,Inputs!$K$4:$AJ$4,0))))=0,NA(),SUMPRODUCT((Inputs!$A$5:$A$170=$B15)*Inputs!$B$5:$B$170*(((Inputs!$G$5:$G$170="moeda")+(Inputs!$G$5:$G$170="acoes"))*Inputs!$B$1+((Inputs!$G$5:$G$170&lt;&gt;"moeda")*(Inputs!$G$5:$G$170&lt;&gt;"acoes")))*INDEX(Inputs!$K$5:$AJ$170,0,MATCH(K$2,Inputs!$K$4:$AJ$4,0)))+SUMPRODUCT((Inputs!$C$5:$C$170=$B15)*Inputs!$D$5:$D$170*(((Inputs!$G$5:$G$170="moeda")+(Inputs!$G$5:$G$170="acoes"))*Inputs!$B$1+((Inputs!$G$5:$G$170&lt;&gt;"moeda")*(Inputs!$G$5:$G$170&lt;&gt;"acoes")))*INDEX(Inputs!$K$5:$AJ$170,0,MATCH(K$2,Inputs!$K$4:$AJ$4,0)))+SUMPRODUCT((Inputs!$E$5:$E$170=$B15)*Inputs!$F$5:$F$170*(((Inputs!$G$5:$G$170="moeda")+(Inputs!$G$5:$G$170="acoes"))*Inputs!$B$1+((Inputs!$G$5:$G$170&lt;&gt;"moeda")*(Inputs!$G$5:$G$170&lt;&gt;"acoes")))*INDEX(Inputs!$K$5:$AJ$170,0,MATCH(K$2,Inputs!$K$4:$AJ$4,0)))))</f>
        <v>7795.457</v>
      </c>
      <c r="L15" s="6">
        <f>IF(ISNA(MATCH(L$2,Inputs!$K$4:$AJ$4,0)),NA(),IF(SUMPRODUCT((Inputs!$A$5:$A$170=$B15)*ISNUMBER(INDEX(Inputs!$K$5:$AJ$170,0,MATCH(L$2,Inputs!$K$4:$AJ$4,0))))+SUMPRODUCT((Inputs!$C$5:$C$170=$B15)*ISNUMBER(INDEX(Inputs!$K$5:$AJ$170,0,MATCH(L$2,Inputs!$K$4:$AJ$4,0))))+SUMPRODUCT((Inputs!$E$5:$E$170=$B15)*ISNUMBER(INDEX(Inputs!$K$5:$AJ$170,0,MATCH(L$2,Inputs!$K$4:$AJ$4,0))))=0,NA(),SUMPRODUCT((Inputs!$A$5:$A$170=$B15)*Inputs!$B$5:$B$170*(((Inputs!$G$5:$G$170="moeda")+(Inputs!$G$5:$G$170="acoes"))*Inputs!$B$1+((Inputs!$G$5:$G$170&lt;&gt;"moeda")*(Inputs!$G$5:$G$170&lt;&gt;"acoes")))*INDEX(Inputs!$K$5:$AJ$170,0,MATCH(L$2,Inputs!$K$4:$AJ$4,0)))+SUMPRODUCT((Inputs!$C$5:$C$170=$B15)*Inputs!$D$5:$D$170*(((Inputs!$G$5:$G$170="moeda")+(Inputs!$G$5:$G$170="acoes"))*Inputs!$B$1+((Inputs!$G$5:$G$170&lt;&gt;"moeda")*(Inputs!$G$5:$G$170&lt;&gt;"acoes")))*INDEX(Inputs!$K$5:$AJ$170,0,MATCH(L$2,Inputs!$K$4:$AJ$4,0)))+SUMPRODUCT((Inputs!$E$5:$E$170=$B15)*Inputs!$F$5:$F$170*(((Inputs!$G$5:$G$170="moeda")+(Inputs!$G$5:$G$170="acoes"))*Inputs!$B$1+((Inputs!$G$5:$G$170&lt;&gt;"moeda")*(Inputs!$G$5:$G$170&lt;&gt;"acoes")))*INDEX(Inputs!$K$5:$AJ$170,0,MATCH(L$2,Inputs!$K$4:$AJ$4,0)))))</f>
        <v>6827.535</v>
      </c>
      <c r="M15" s="3">
        <f>L15</f>
        <v>6827.535</v>
      </c>
      <c r="N15" s="6">
        <f>IF(ISNA(MATCH(N$2,Inputs!$K$4:$AJ$4,0)),NA(),IF(SUMPRODUCT((Inputs!$A$5:$A$170=$B15)*ISNUMBER(INDEX(Inputs!$K$5:$AJ$170,0,MATCH(N$2,Inputs!$K$4:$AJ$4,0))))+SUMPRODUCT((Inputs!$C$5:$C$170=$B15)*ISNUMBER(INDEX(Inputs!$K$5:$AJ$170,0,MATCH(N$2,Inputs!$K$4:$AJ$4,0))))+SUMPRODUCT((Inputs!$E$5:$E$170=$B15)*ISNUMBER(INDEX(Inputs!$K$5:$AJ$170,0,MATCH(N$2,Inputs!$K$4:$AJ$4,0))))=0,NA(),SUMPRODUCT((Inputs!$A$5:$A$170=$B15)*Inputs!$B$5:$B$170*(((Inputs!$G$5:$G$170="moeda")+(Inputs!$G$5:$G$170="acoes"))*Inputs!$B$1+((Inputs!$G$5:$G$170&lt;&gt;"moeda")*(Inputs!$G$5:$G$170&lt;&gt;"acoes")))*INDEX(Inputs!$K$5:$AJ$170,0,MATCH(N$2,Inputs!$K$4:$AJ$4,0)))+SUMPRODUCT((Inputs!$C$5:$C$170=$B15)*Inputs!$D$5:$D$170*(((Inputs!$G$5:$G$170="moeda")+(Inputs!$G$5:$G$170="acoes"))*Inputs!$B$1+((Inputs!$G$5:$G$170&lt;&gt;"moeda")*(Inputs!$G$5:$G$170&lt;&gt;"acoes")))*INDEX(Inputs!$K$5:$AJ$170,0,MATCH(N$2,Inputs!$K$4:$AJ$4,0)))+SUMPRODUCT((Inputs!$E$5:$E$170=$B15)*Inputs!$F$5:$F$170*(((Inputs!$G$5:$G$170="moeda")+(Inputs!$G$5:$G$170="acoes"))*Inputs!$B$1+((Inputs!$G$5:$G$170&lt;&gt;"moeda")*(Inputs!$G$5:$G$170&lt;&gt;"acoes")))*INDEX(Inputs!$K$5:$AJ$170,0,MATCH(N$2,Inputs!$K$4:$AJ$4,0)))))</f>
        <v>3923.099</v>
      </c>
      <c r="O15" s="6">
        <f>IF(ISNA(MATCH(O$2,Inputs!$K$4:$AJ$4,0)),NA(),IF(SUMPRODUCT((Inputs!$A$5:$A$170=$B15)*ISNUMBER(INDEX(Inputs!$K$5:$AJ$170,0,MATCH(O$2,Inputs!$K$4:$AJ$4,0))))+SUMPRODUCT((Inputs!$C$5:$C$170=$B15)*ISNUMBER(INDEX(Inputs!$K$5:$AJ$170,0,MATCH(O$2,Inputs!$K$4:$AJ$4,0))))+SUMPRODUCT((Inputs!$E$5:$E$170=$B15)*ISNUMBER(INDEX(Inputs!$K$5:$AJ$170,0,MATCH(O$2,Inputs!$K$4:$AJ$4,0))))=0,NA(),SUMPRODUCT((Inputs!$A$5:$A$170=$B15)*Inputs!$B$5:$B$170*(((Inputs!$G$5:$G$170="moeda")+(Inputs!$G$5:$G$170="acoes"))*Inputs!$B$1+((Inputs!$G$5:$G$170&lt;&gt;"moeda")*(Inputs!$G$5:$G$170&lt;&gt;"acoes")))*INDEX(Inputs!$K$5:$AJ$170,0,MATCH(O$2,Inputs!$K$4:$AJ$4,0)))+SUMPRODUCT((Inputs!$C$5:$C$170=$B15)*Inputs!$D$5:$D$170*(((Inputs!$G$5:$G$170="moeda")+(Inputs!$G$5:$G$170="acoes"))*Inputs!$B$1+((Inputs!$G$5:$G$170&lt;&gt;"moeda")*(Inputs!$G$5:$G$170&lt;&gt;"acoes")))*INDEX(Inputs!$K$5:$AJ$170,0,MATCH(O$2,Inputs!$K$4:$AJ$4,0)))+SUMPRODUCT((Inputs!$E$5:$E$170=$B15)*Inputs!$F$5:$F$170*(((Inputs!$G$5:$G$170="moeda")+(Inputs!$G$5:$G$170="acoes"))*Inputs!$B$1+((Inputs!$G$5:$G$170&lt;&gt;"moeda")*(Inputs!$G$5:$G$170&lt;&gt;"acoes")))*INDEX(Inputs!$K$5:$AJ$170,0,MATCH(O$2,Inputs!$K$4:$AJ$4,0)))))</f>
        <v>2577.866</v>
      </c>
      <c r="P15" s="6">
        <f>IF(ISNA(MATCH(P$2,Inputs!$K$4:$AJ$4,0)),NA(),IF(SUMPRODUCT((Inputs!$A$5:$A$170=$B15)*ISNUMBER(INDEX(Inputs!$K$5:$AJ$170,0,MATCH(P$2,Inputs!$K$4:$AJ$4,0))))+SUMPRODUCT((Inputs!$C$5:$C$170=$B15)*ISNUMBER(INDEX(Inputs!$K$5:$AJ$170,0,MATCH(P$2,Inputs!$K$4:$AJ$4,0))))+SUMPRODUCT((Inputs!$E$5:$E$170=$B15)*ISNUMBER(INDEX(Inputs!$K$5:$AJ$170,0,MATCH(P$2,Inputs!$K$4:$AJ$4,0))))=0,NA(),SUMPRODUCT((Inputs!$A$5:$A$170=$B15)*Inputs!$B$5:$B$170*(((Inputs!$G$5:$G$170="moeda")+(Inputs!$G$5:$G$170="acoes"))*Inputs!$B$1+((Inputs!$G$5:$G$170&lt;&gt;"moeda")*(Inputs!$G$5:$G$170&lt;&gt;"acoes")))*INDEX(Inputs!$K$5:$AJ$170,0,MATCH(P$2,Inputs!$K$4:$AJ$4,0)))+SUMPRODUCT((Inputs!$C$5:$C$170=$B15)*Inputs!$D$5:$D$170*(((Inputs!$G$5:$G$170="moeda")+(Inputs!$G$5:$G$170="acoes"))*Inputs!$B$1+((Inputs!$G$5:$G$170&lt;&gt;"moeda")*(Inputs!$G$5:$G$170&lt;&gt;"acoes")))*INDEX(Inputs!$K$5:$AJ$170,0,MATCH(P$2,Inputs!$K$4:$AJ$4,0)))+SUMPRODUCT((Inputs!$E$5:$E$170=$B15)*Inputs!$F$5:$F$170*(((Inputs!$G$5:$G$170="moeda")+(Inputs!$G$5:$G$170="acoes"))*Inputs!$B$1+((Inputs!$G$5:$G$170&lt;&gt;"moeda")*(Inputs!$G$5:$G$170&lt;&gt;"acoes")))*INDEX(Inputs!$K$5:$AJ$170,0,MATCH(P$2,Inputs!$K$4:$AJ$4,0)))))</f>
        <v>2011.127</v>
      </c>
      <c r="Q15" s="6">
        <f>IF(ISNA(MATCH(Q$2,Inputs!$K$4:$AJ$4,0)),NA(),IF(SUMPRODUCT((Inputs!$A$5:$A$170=$B15)*ISNUMBER(INDEX(Inputs!$K$5:$AJ$170,0,MATCH(Q$2,Inputs!$K$4:$AJ$4,0))))+SUMPRODUCT((Inputs!$C$5:$C$170=$B15)*ISNUMBER(INDEX(Inputs!$K$5:$AJ$170,0,MATCH(Q$2,Inputs!$K$4:$AJ$4,0))))+SUMPRODUCT((Inputs!$E$5:$E$170=$B15)*ISNUMBER(INDEX(Inputs!$K$5:$AJ$170,0,MATCH(Q$2,Inputs!$K$4:$AJ$4,0))))=0,NA(),SUMPRODUCT((Inputs!$A$5:$A$170=$B15)*Inputs!$B$5:$B$170*(((Inputs!$G$5:$G$170="moeda")+(Inputs!$G$5:$G$170="acoes"))*Inputs!$B$1+((Inputs!$G$5:$G$170&lt;&gt;"moeda")*(Inputs!$G$5:$G$170&lt;&gt;"acoes")))*INDEX(Inputs!$K$5:$AJ$170,0,MATCH(Q$2,Inputs!$K$4:$AJ$4,0)))+SUMPRODUCT((Inputs!$C$5:$C$170=$B15)*Inputs!$D$5:$D$170*(((Inputs!$G$5:$G$170="moeda")+(Inputs!$G$5:$G$170="acoes"))*Inputs!$B$1+((Inputs!$G$5:$G$170&lt;&gt;"moeda")*(Inputs!$G$5:$G$170&lt;&gt;"acoes")))*INDEX(Inputs!$K$5:$AJ$170,0,MATCH(Q$2,Inputs!$K$4:$AJ$4,0)))+SUMPRODUCT((Inputs!$E$5:$E$170=$B15)*Inputs!$F$5:$F$170*(((Inputs!$G$5:$G$170="moeda")+(Inputs!$G$5:$G$170="acoes"))*Inputs!$B$1+((Inputs!$G$5:$G$170&lt;&gt;"moeda")*(Inputs!$G$5:$G$170&lt;&gt;"acoes")))*INDEX(Inputs!$K$5:$AJ$170,0,MATCH(Q$2,Inputs!$K$4:$AJ$4,0)))))</f>
        <v>2998.752</v>
      </c>
      <c r="R15" s="3">
        <f>Q15</f>
        <v>2998.752</v>
      </c>
      <c r="S15" s="6">
        <f>IF(ISNA(MATCH(S$2,Inputs!$K$4:$AJ$4,0)),NA(),IF(SUMPRODUCT((Inputs!$A$5:$A$170=$B15)*ISNUMBER(INDEX(Inputs!$K$5:$AJ$170,0,MATCH(S$2,Inputs!$K$4:$AJ$4,0))))+SUMPRODUCT((Inputs!$C$5:$C$170=$B15)*ISNUMBER(INDEX(Inputs!$K$5:$AJ$170,0,MATCH(S$2,Inputs!$K$4:$AJ$4,0))))+SUMPRODUCT((Inputs!$E$5:$E$170=$B15)*ISNUMBER(INDEX(Inputs!$K$5:$AJ$170,0,MATCH(S$2,Inputs!$K$4:$AJ$4,0))))=0,NA(),SUMPRODUCT((Inputs!$A$5:$A$170=$B15)*Inputs!$B$5:$B$170*(((Inputs!$G$5:$G$170="moeda")+(Inputs!$G$5:$G$170="acoes"))*Inputs!$B$1+((Inputs!$G$5:$G$170&lt;&gt;"moeda")*(Inputs!$G$5:$G$170&lt;&gt;"acoes")))*INDEX(Inputs!$K$5:$AJ$170,0,MATCH(S$2,Inputs!$K$4:$AJ$4,0)))+SUMPRODUCT((Inputs!$C$5:$C$170=$B15)*Inputs!$D$5:$D$170*(((Inputs!$G$5:$G$170="moeda")+(Inputs!$G$5:$G$170="acoes"))*Inputs!$B$1+((Inputs!$G$5:$G$170&lt;&gt;"moeda")*(Inputs!$G$5:$G$170&lt;&gt;"acoes")))*INDEX(Inputs!$K$5:$AJ$170,0,MATCH(S$2,Inputs!$K$4:$AJ$4,0)))+SUMPRODUCT((Inputs!$E$5:$E$170=$B15)*Inputs!$F$5:$F$170*(((Inputs!$G$5:$G$170="moeda")+(Inputs!$G$5:$G$170="acoes"))*Inputs!$B$1+((Inputs!$G$5:$G$170&lt;&gt;"moeda")*(Inputs!$G$5:$G$170&lt;&gt;"acoes")))*INDEX(Inputs!$K$5:$AJ$170,0,MATCH(S$2,Inputs!$K$4:$AJ$4,0)))))</f>
        <v>3211.286</v>
      </c>
      <c r="T15" s="6">
        <f>IF(ISNA(MATCH(T$2,Inputs!$K$4:$AJ$4,0)),NA(),IF(SUMPRODUCT((Inputs!$A$5:$A$170=$B15)*ISNUMBER(INDEX(Inputs!$K$5:$AJ$170,0,MATCH(T$2,Inputs!$K$4:$AJ$4,0))))+SUMPRODUCT((Inputs!$C$5:$C$170=$B15)*ISNUMBER(INDEX(Inputs!$K$5:$AJ$170,0,MATCH(T$2,Inputs!$K$4:$AJ$4,0))))+SUMPRODUCT((Inputs!$E$5:$E$170=$B15)*ISNUMBER(INDEX(Inputs!$K$5:$AJ$170,0,MATCH(T$2,Inputs!$K$4:$AJ$4,0))))=0,NA(),SUMPRODUCT((Inputs!$A$5:$A$170=$B15)*Inputs!$B$5:$B$170*(((Inputs!$G$5:$G$170="moeda")+(Inputs!$G$5:$G$170="acoes"))*Inputs!$B$1+((Inputs!$G$5:$G$170&lt;&gt;"moeda")*(Inputs!$G$5:$G$170&lt;&gt;"acoes")))*INDEX(Inputs!$K$5:$AJ$170,0,MATCH(T$2,Inputs!$K$4:$AJ$4,0)))+SUMPRODUCT((Inputs!$C$5:$C$170=$B15)*Inputs!$D$5:$D$170*(((Inputs!$G$5:$G$170="moeda")+(Inputs!$G$5:$G$170="acoes"))*Inputs!$B$1+((Inputs!$G$5:$G$170&lt;&gt;"moeda")*(Inputs!$G$5:$G$170&lt;&gt;"acoes")))*INDEX(Inputs!$K$5:$AJ$170,0,MATCH(T$2,Inputs!$K$4:$AJ$4,0)))+SUMPRODUCT((Inputs!$E$5:$E$170=$B15)*Inputs!$F$5:$F$170*(((Inputs!$G$5:$G$170="moeda")+(Inputs!$G$5:$G$170="acoes"))*Inputs!$B$1+((Inputs!$G$5:$G$170&lt;&gt;"moeda")*(Inputs!$G$5:$G$170&lt;&gt;"acoes")))*INDEX(Inputs!$K$5:$AJ$170,0,MATCH(T$2,Inputs!$K$4:$AJ$4,0)))))</f>
        <v>3685.003</v>
      </c>
      <c r="U15" s="6">
        <f>IF(ISNA(MATCH(U$2,Inputs!$K$4:$AJ$4,0)),NA(),IF(SUMPRODUCT((Inputs!$A$5:$A$170=$B15)*ISNUMBER(INDEX(Inputs!$K$5:$AJ$170,0,MATCH(U$2,Inputs!$K$4:$AJ$4,0))))+SUMPRODUCT((Inputs!$C$5:$C$170=$B15)*ISNUMBER(INDEX(Inputs!$K$5:$AJ$170,0,MATCH(U$2,Inputs!$K$4:$AJ$4,0))))+SUMPRODUCT((Inputs!$E$5:$E$170=$B15)*ISNUMBER(INDEX(Inputs!$K$5:$AJ$170,0,MATCH(U$2,Inputs!$K$4:$AJ$4,0))))=0,NA(),SUMPRODUCT((Inputs!$A$5:$A$170=$B15)*Inputs!$B$5:$B$170*(((Inputs!$G$5:$G$170="moeda")+(Inputs!$G$5:$G$170="acoes"))*Inputs!$B$1+((Inputs!$G$5:$G$170&lt;&gt;"moeda")*(Inputs!$G$5:$G$170&lt;&gt;"acoes")))*INDEX(Inputs!$K$5:$AJ$170,0,MATCH(U$2,Inputs!$K$4:$AJ$4,0)))+SUMPRODUCT((Inputs!$C$5:$C$170=$B15)*Inputs!$D$5:$D$170*(((Inputs!$G$5:$G$170="moeda")+(Inputs!$G$5:$G$170="acoes"))*Inputs!$B$1+((Inputs!$G$5:$G$170&lt;&gt;"moeda")*(Inputs!$G$5:$G$170&lt;&gt;"acoes")))*INDEX(Inputs!$K$5:$AJ$170,0,MATCH(U$2,Inputs!$K$4:$AJ$4,0)))+SUMPRODUCT((Inputs!$E$5:$E$170=$B15)*Inputs!$F$5:$F$170*(((Inputs!$G$5:$G$170="moeda")+(Inputs!$G$5:$G$170="acoes"))*Inputs!$B$1+((Inputs!$G$5:$G$170&lt;&gt;"moeda")*(Inputs!$G$5:$G$170&lt;&gt;"acoes")))*INDEX(Inputs!$K$5:$AJ$170,0,MATCH(U$2,Inputs!$K$4:$AJ$4,0)))))</f>
        <v>3975.719</v>
      </c>
      <c r="V15" s="6">
        <f>IF(ISNA(MATCH(V$2,Inputs!$K$4:$AJ$4,0)),NA(),IF(SUMPRODUCT((Inputs!$A$5:$A$170=$B15)*ISNUMBER(INDEX(Inputs!$K$5:$AJ$170,0,MATCH(V$2,Inputs!$K$4:$AJ$4,0))))+SUMPRODUCT((Inputs!$C$5:$C$170=$B15)*ISNUMBER(INDEX(Inputs!$K$5:$AJ$170,0,MATCH(V$2,Inputs!$K$4:$AJ$4,0))))+SUMPRODUCT((Inputs!$E$5:$E$170=$B15)*ISNUMBER(INDEX(Inputs!$K$5:$AJ$170,0,MATCH(V$2,Inputs!$K$4:$AJ$4,0))))=0,NA(),SUMPRODUCT((Inputs!$A$5:$A$170=$B15)*Inputs!$B$5:$B$170*(((Inputs!$G$5:$G$170="moeda")+(Inputs!$G$5:$G$170="acoes"))*Inputs!$B$1+((Inputs!$G$5:$G$170&lt;&gt;"moeda")*(Inputs!$G$5:$G$170&lt;&gt;"acoes")))*INDEX(Inputs!$K$5:$AJ$170,0,MATCH(V$2,Inputs!$K$4:$AJ$4,0)))+SUMPRODUCT((Inputs!$C$5:$C$170=$B15)*Inputs!$D$5:$D$170*(((Inputs!$G$5:$G$170="moeda")+(Inputs!$G$5:$G$170="acoes"))*Inputs!$B$1+((Inputs!$G$5:$G$170&lt;&gt;"moeda")*(Inputs!$G$5:$G$170&lt;&gt;"acoes")))*INDEX(Inputs!$K$5:$AJ$170,0,MATCH(V$2,Inputs!$K$4:$AJ$4,0)))+SUMPRODUCT((Inputs!$E$5:$E$170=$B15)*Inputs!$F$5:$F$170*(((Inputs!$G$5:$G$170="moeda")+(Inputs!$G$5:$G$170="acoes"))*Inputs!$B$1+((Inputs!$G$5:$G$170&lt;&gt;"moeda")*(Inputs!$G$5:$G$170&lt;&gt;"acoes")))*INDEX(Inputs!$K$5:$AJ$170,0,MATCH(V$2,Inputs!$K$4:$AJ$4,0)))))</f>
        <v>4291.363</v>
      </c>
      <c r="W15" s="3">
        <f>V15</f>
        <v>4291.363</v>
      </c>
      <c r="X15" s="6">
        <f>IF(ISNA(MATCH(X$2,Inputs!$K$4:$AJ$4,0)),NA(),IF(SUMPRODUCT((Inputs!$A$5:$A$170=$B15)*ISNUMBER(INDEX(Inputs!$K$5:$AJ$170,0,MATCH(X$2,Inputs!$K$4:$AJ$4,0))))+SUMPRODUCT((Inputs!$C$5:$C$170=$B15)*ISNUMBER(INDEX(Inputs!$K$5:$AJ$170,0,MATCH(X$2,Inputs!$K$4:$AJ$4,0))))+SUMPRODUCT((Inputs!$E$5:$E$170=$B15)*ISNUMBER(INDEX(Inputs!$K$5:$AJ$170,0,MATCH(X$2,Inputs!$K$4:$AJ$4,0))))=0,NA(),SUMPRODUCT((Inputs!$A$5:$A$170=$B15)*Inputs!$B$5:$B$170*(((Inputs!$G$5:$G$170="moeda")+(Inputs!$G$5:$G$170="acoes"))*Inputs!$B$1+((Inputs!$G$5:$G$170&lt;&gt;"moeda")*(Inputs!$G$5:$G$170&lt;&gt;"acoes")))*INDEX(Inputs!$K$5:$AJ$170,0,MATCH(X$2,Inputs!$K$4:$AJ$4,0)))+SUMPRODUCT((Inputs!$C$5:$C$170=$B15)*Inputs!$D$5:$D$170*(((Inputs!$G$5:$G$170="moeda")+(Inputs!$G$5:$G$170="acoes"))*Inputs!$B$1+((Inputs!$G$5:$G$170&lt;&gt;"moeda")*(Inputs!$G$5:$G$170&lt;&gt;"acoes")))*INDEX(Inputs!$K$5:$AJ$170,0,MATCH(X$2,Inputs!$K$4:$AJ$4,0)))+SUMPRODUCT((Inputs!$E$5:$E$170=$B15)*Inputs!$F$5:$F$170*(((Inputs!$G$5:$G$170="moeda")+(Inputs!$G$5:$G$170="acoes"))*Inputs!$B$1+((Inputs!$G$5:$G$170&lt;&gt;"moeda")*(Inputs!$G$5:$G$170&lt;&gt;"acoes")))*INDEX(Inputs!$K$5:$AJ$170,0,MATCH(X$2,Inputs!$K$4:$AJ$4,0)))))</f>
        <v>3037.195</v>
      </c>
      <c r="Y15" s="6">
        <f>IF(ISNA(MATCH(Y$2,Inputs!$K$4:$AJ$4,0)),NA(),IF(SUMPRODUCT((Inputs!$A$5:$A$170=$B15)*ISNUMBER(INDEX(Inputs!$K$5:$AJ$170,0,MATCH(Y$2,Inputs!$K$4:$AJ$4,0))))+SUMPRODUCT((Inputs!$C$5:$C$170=$B15)*ISNUMBER(INDEX(Inputs!$K$5:$AJ$170,0,MATCH(Y$2,Inputs!$K$4:$AJ$4,0))))+SUMPRODUCT((Inputs!$E$5:$E$170=$B15)*ISNUMBER(INDEX(Inputs!$K$5:$AJ$170,0,MATCH(Y$2,Inputs!$K$4:$AJ$4,0))))=0,NA(),SUMPRODUCT((Inputs!$A$5:$A$170=$B15)*Inputs!$B$5:$B$170*(((Inputs!$G$5:$G$170="moeda")+(Inputs!$G$5:$G$170="acoes"))*Inputs!$B$1+((Inputs!$G$5:$G$170&lt;&gt;"moeda")*(Inputs!$G$5:$G$170&lt;&gt;"acoes")))*INDEX(Inputs!$K$5:$AJ$170,0,MATCH(Y$2,Inputs!$K$4:$AJ$4,0)))+SUMPRODUCT((Inputs!$C$5:$C$170=$B15)*Inputs!$D$5:$D$170*(((Inputs!$G$5:$G$170="moeda")+(Inputs!$G$5:$G$170="acoes"))*Inputs!$B$1+((Inputs!$G$5:$G$170&lt;&gt;"moeda")*(Inputs!$G$5:$G$170&lt;&gt;"acoes")))*INDEX(Inputs!$K$5:$AJ$170,0,MATCH(Y$2,Inputs!$K$4:$AJ$4,0)))+SUMPRODUCT((Inputs!$E$5:$E$170=$B15)*Inputs!$F$5:$F$170*(((Inputs!$G$5:$G$170="moeda")+(Inputs!$G$5:$G$170="acoes"))*Inputs!$B$1+((Inputs!$G$5:$G$170&lt;&gt;"moeda")*(Inputs!$G$5:$G$170&lt;&gt;"acoes")))*INDEX(Inputs!$K$5:$AJ$170,0,MATCH(Y$2,Inputs!$K$4:$AJ$4,0)))))</f>
        <v>3441.64</v>
      </c>
      <c r="Z15" s="6">
        <f>IF(ISNA(MATCH(Z$2,Inputs!$K$4:$AJ$4,0)),NA(),IF(SUMPRODUCT((Inputs!$A$5:$A$170=$B15)*ISNUMBER(INDEX(Inputs!$K$5:$AJ$170,0,MATCH(Z$2,Inputs!$K$4:$AJ$4,0))))+SUMPRODUCT((Inputs!$C$5:$C$170=$B15)*ISNUMBER(INDEX(Inputs!$K$5:$AJ$170,0,MATCH(Z$2,Inputs!$K$4:$AJ$4,0))))+SUMPRODUCT((Inputs!$E$5:$E$170=$B15)*ISNUMBER(INDEX(Inputs!$K$5:$AJ$170,0,MATCH(Z$2,Inputs!$K$4:$AJ$4,0))))=0,NA(),SUMPRODUCT((Inputs!$A$5:$A$170=$B15)*Inputs!$B$5:$B$170*(((Inputs!$G$5:$G$170="moeda")+(Inputs!$G$5:$G$170="acoes"))*Inputs!$B$1+((Inputs!$G$5:$G$170&lt;&gt;"moeda")*(Inputs!$G$5:$G$170&lt;&gt;"acoes")))*INDEX(Inputs!$K$5:$AJ$170,0,MATCH(Z$2,Inputs!$K$4:$AJ$4,0)))+SUMPRODUCT((Inputs!$C$5:$C$170=$B15)*Inputs!$D$5:$D$170*(((Inputs!$G$5:$G$170="moeda")+(Inputs!$G$5:$G$170="acoes"))*Inputs!$B$1+((Inputs!$G$5:$G$170&lt;&gt;"moeda")*(Inputs!$G$5:$G$170&lt;&gt;"acoes")))*INDEX(Inputs!$K$5:$AJ$170,0,MATCH(Z$2,Inputs!$K$4:$AJ$4,0)))+SUMPRODUCT((Inputs!$E$5:$E$170=$B15)*Inputs!$F$5:$F$170*(((Inputs!$G$5:$G$170="moeda")+(Inputs!$G$5:$G$170="acoes"))*Inputs!$B$1+((Inputs!$G$5:$G$170&lt;&gt;"moeda")*(Inputs!$G$5:$G$170&lt;&gt;"acoes")))*INDEX(Inputs!$K$5:$AJ$170,0,MATCH(Z$2,Inputs!$K$4:$AJ$4,0)))))</f>
        <v>3319.489</v>
      </c>
      <c r="AA15" s="6">
        <f>IF(ISNA(MATCH(AA$2,Inputs!$K$4:$AJ$4,0)),NA(),IF(SUMPRODUCT((Inputs!$A$5:$A$170=$B15)*ISNUMBER(INDEX(Inputs!$K$5:$AJ$170,0,MATCH(AA$2,Inputs!$K$4:$AJ$4,0))))+SUMPRODUCT((Inputs!$C$5:$C$170=$B15)*ISNUMBER(INDEX(Inputs!$K$5:$AJ$170,0,MATCH(AA$2,Inputs!$K$4:$AJ$4,0))))+SUMPRODUCT((Inputs!$E$5:$E$170=$B15)*ISNUMBER(INDEX(Inputs!$K$5:$AJ$170,0,MATCH(AA$2,Inputs!$K$4:$AJ$4,0))))=0,NA(),SUMPRODUCT((Inputs!$A$5:$A$170=$B15)*Inputs!$B$5:$B$170*(((Inputs!$G$5:$G$170="moeda")+(Inputs!$G$5:$G$170="acoes"))*Inputs!$B$1+((Inputs!$G$5:$G$170&lt;&gt;"moeda")*(Inputs!$G$5:$G$170&lt;&gt;"acoes")))*INDEX(Inputs!$K$5:$AJ$170,0,MATCH(AA$2,Inputs!$K$4:$AJ$4,0)))+SUMPRODUCT((Inputs!$C$5:$C$170=$B15)*Inputs!$D$5:$D$170*(((Inputs!$G$5:$G$170="moeda")+(Inputs!$G$5:$G$170="acoes"))*Inputs!$B$1+((Inputs!$G$5:$G$170&lt;&gt;"moeda")*(Inputs!$G$5:$G$170&lt;&gt;"acoes")))*INDEX(Inputs!$K$5:$AJ$170,0,MATCH(AA$2,Inputs!$K$4:$AJ$4,0)))+SUMPRODUCT((Inputs!$E$5:$E$170=$B15)*Inputs!$F$5:$F$170*(((Inputs!$G$5:$G$170="moeda")+(Inputs!$G$5:$G$170="acoes"))*Inputs!$B$1+((Inputs!$G$5:$G$170&lt;&gt;"moeda")*(Inputs!$G$5:$G$170&lt;&gt;"acoes")))*INDEX(Inputs!$K$5:$AJ$170,0,MATCH(AA$2,Inputs!$K$4:$AJ$4,0)))))</f>
        <v>6875.395</v>
      </c>
      <c r="AB15" s="3">
        <f>AA15</f>
        <v>6875.395</v>
      </c>
      <c r="AC15" s="6">
        <f>IF(ISNA(MATCH(AC$2,Inputs!$K$4:$AJ$4,0)),NA(),IF(SUMPRODUCT((Inputs!$A$5:$A$170=$B15)*ISNUMBER(INDEX(Inputs!$K$5:$AJ$170,0,MATCH(AC$2,Inputs!$K$4:$AJ$4,0))))+SUMPRODUCT((Inputs!$C$5:$C$170=$B15)*ISNUMBER(INDEX(Inputs!$K$5:$AJ$170,0,MATCH(AC$2,Inputs!$K$4:$AJ$4,0))))+SUMPRODUCT((Inputs!$E$5:$E$170=$B15)*ISNUMBER(INDEX(Inputs!$K$5:$AJ$170,0,MATCH(AC$2,Inputs!$K$4:$AJ$4,0))))=0,NA(),SUMPRODUCT((Inputs!$A$5:$A$170=$B15)*Inputs!$B$5:$B$170*(((Inputs!$G$5:$G$170="moeda")+(Inputs!$G$5:$G$170="acoes"))*Inputs!$B$1+((Inputs!$G$5:$G$170&lt;&gt;"moeda")*(Inputs!$G$5:$G$170&lt;&gt;"acoes")))*INDEX(Inputs!$K$5:$AJ$170,0,MATCH(AC$2,Inputs!$K$4:$AJ$4,0)))+SUMPRODUCT((Inputs!$C$5:$C$170=$B15)*Inputs!$D$5:$D$170*(((Inputs!$G$5:$G$170="moeda")+(Inputs!$G$5:$G$170="acoes"))*Inputs!$B$1+((Inputs!$G$5:$G$170&lt;&gt;"moeda")*(Inputs!$G$5:$G$170&lt;&gt;"acoes")))*INDEX(Inputs!$K$5:$AJ$170,0,MATCH(AC$2,Inputs!$K$4:$AJ$4,0)))+SUMPRODUCT((Inputs!$E$5:$E$170=$B15)*Inputs!$F$5:$F$170*(((Inputs!$G$5:$G$170="moeda")+(Inputs!$G$5:$G$170="acoes"))*Inputs!$B$1+((Inputs!$G$5:$G$170&lt;&gt;"moeda")*(Inputs!$G$5:$G$170&lt;&gt;"acoes")))*INDEX(Inputs!$K$5:$AJ$170,0,MATCH(AC$2,Inputs!$K$4:$AJ$4,0)))))</f>
        <v>8093.188</v>
      </c>
      <c r="AD15" s="6">
        <f>IF(ISNA(MATCH(AD$2,Inputs!$K$4:$AJ$4,0)),NA(),IF(SUMPRODUCT((Inputs!$A$5:$A$170=$B15)*ISNUMBER(INDEX(Inputs!$K$5:$AJ$170,0,MATCH(AD$2,Inputs!$K$4:$AJ$4,0))))+SUMPRODUCT((Inputs!$C$5:$C$170=$B15)*ISNUMBER(INDEX(Inputs!$K$5:$AJ$170,0,MATCH(AD$2,Inputs!$K$4:$AJ$4,0))))+SUMPRODUCT((Inputs!$E$5:$E$170=$B15)*ISNUMBER(INDEX(Inputs!$K$5:$AJ$170,0,MATCH(AD$2,Inputs!$K$4:$AJ$4,0))))=0,NA(),SUMPRODUCT((Inputs!$A$5:$A$170=$B15)*Inputs!$B$5:$B$170*(((Inputs!$G$5:$G$170="moeda")+(Inputs!$G$5:$G$170="acoes"))*Inputs!$B$1+((Inputs!$G$5:$G$170&lt;&gt;"moeda")*(Inputs!$G$5:$G$170&lt;&gt;"acoes")))*INDEX(Inputs!$K$5:$AJ$170,0,MATCH(AD$2,Inputs!$K$4:$AJ$4,0)))+SUMPRODUCT((Inputs!$C$5:$C$170=$B15)*Inputs!$D$5:$D$170*(((Inputs!$G$5:$G$170="moeda")+(Inputs!$G$5:$G$170="acoes"))*Inputs!$B$1+((Inputs!$G$5:$G$170&lt;&gt;"moeda")*(Inputs!$G$5:$G$170&lt;&gt;"acoes")))*INDEX(Inputs!$K$5:$AJ$170,0,MATCH(AD$2,Inputs!$K$4:$AJ$4,0)))+SUMPRODUCT((Inputs!$E$5:$E$170=$B15)*Inputs!$F$5:$F$170*(((Inputs!$G$5:$G$170="moeda")+(Inputs!$G$5:$G$170="acoes"))*Inputs!$B$1+((Inputs!$G$5:$G$170&lt;&gt;"moeda")*(Inputs!$G$5:$G$170&lt;&gt;"acoes")))*INDEX(Inputs!$K$5:$AJ$170,0,MATCH(AD$2,Inputs!$K$4:$AJ$4,0)))))</f>
        <v>7479.297</v>
      </c>
      <c r="AE15" s="6" t="e">
        <f>IF(ISNA(MATCH(AE$2,Inputs!$K$4:$AJ$4,0)),NA(),IF(SUMPRODUCT((Inputs!$A$5:$A$170=$B15)*ISNUMBER(INDEX(Inputs!$K$5:$AJ$170,0,MATCH(AE$2,Inputs!$K$4:$AJ$4,0))))+SUMPRODUCT((Inputs!$C$5:$C$170=$B15)*ISNUMBER(INDEX(Inputs!$K$5:$AJ$170,0,MATCH(AE$2,Inputs!$K$4:$AJ$4,0))))+SUMPRODUCT((Inputs!$E$5:$E$170=$B15)*ISNUMBER(INDEX(Inputs!$K$5:$AJ$170,0,MATCH(AE$2,Inputs!$K$4:$AJ$4,0))))=0,NA(),SUMPRODUCT((Inputs!$A$5:$A$170=$B15)*Inputs!$B$5:$B$170*(((Inputs!$G$5:$G$170="moeda")+(Inputs!$G$5:$G$170="acoes"))*Inputs!$B$1+((Inputs!$G$5:$G$170&lt;&gt;"moeda")*(Inputs!$G$5:$G$170&lt;&gt;"acoes")))*INDEX(Inputs!$K$5:$AJ$170,0,MATCH(AE$2,Inputs!$K$4:$AJ$4,0)))+SUMPRODUCT((Inputs!$C$5:$C$170=$B15)*Inputs!$D$5:$D$170*(((Inputs!$G$5:$G$170="moeda")+(Inputs!$G$5:$G$170="acoes"))*Inputs!$B$1+((Inputs!$G$5:$G$170&lt;&gt;"moeda")*(Inputs!$G$5:$G$170&lt;&gt;"acoes")))*INDEX(Inputs!$K$5:$AJ$170,0,MATCH(AE$2,Inputs!$K$4:$AJ$4,0)))+SUMPRODUCT((Inputs!$E$5:$E$170=$B15)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5" s="6" t="e">
        <f>IF(ISNA(MATCH(AF$2,Inputs!$K$4:$AJ$4,0)),NA(),IF(SUMPRODUCT((Inputs!$A$5:$A$170=$B15)*ISNUMBER(INDEX(Inputs!$K$5:$AJ$170,0,MATCH(AF$2,Inputs!$K$4:$AJ$4,0))))+SUMPRODUCT((Inputs!$C$5:$C$170=$B15)*ISNUMBER(INDEX(Inputs!$K$5:$AJ$170,0,MATCH(AF$2,Inputs!$K$4:$AJ$4,0))))+SUMPRODUCT((Inputs!$E$5:$E$170=$B15)*ISNUMBER(INDEX(Inputs!$K$5:$AJ$170,0,MATCH(AF$2,Inputs!$K$4:$AJ$4,0))))=0,NA(),SUMPRODUCT((Inputs!$A$5:$A$170=$B15)*Inputs!$B$5:$B$170*(((Inputs!$G$5:$G$170="moeda")+(Inputs!$G$5:$G$170="acoes"))*Inputs!$B$1+((Inputs!$G$5:$G$170&lt;&gt;"moeda")*(Inputs!$G$5:$G$170&lt;&gt;"acoes")))*INDEX(Inputs!$K$5:$AJ$170,0,MATCH(AF$2,Inputs!$K$4:$AJ$4,0)))+SUMPRODUCT((Inputs!$C$5:$C$170=$B15)*Inputs!$D$5:$D$170*(((Inputs!$G$5:$G$170="moeda")+(Inputs!$G$5:$G$170="acoes"))*Inputs!$B$1+((Inputs!$G$5:$G$170&lt;&gt;"moeda")*(Inputs!$G$5:$G$170&lt;&gt;"acoes")))*INDEX(Inputs!$K$5:$AJ$170,0,MATCH(AF$2,Inputs!$K$4:$AJ$4,0)))+SUMPRODUCT((Inputs!$E$5:$E$170=$B15)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5" s="3" t="e">
        <f>AF15</f>
        <v>#N/A</v>
      </c>
      <c r="AH15" s="6">
        <f>IF(ISNA(MATCH(AH$2,Inputs!$K$4:$AJ$4,0)),NA(),IF(SUMPRODUCT((Inputs!$A$5:$A$170=$B15)*ISNUMBER(INDEX(Inputs!$K$5:$AJ$170,0,MATCH(AH$2,Inputs!$K$4:$AJ$4,0))))+SUMPRODUCT((Inputs!$C$5:$C$170=$B15)*ISNUMBER(INDEX(Inputs!$K$5:$AJ$170,0,MATCH(AH$2,Inputs!$K$4:$AJ$4,0))))+SUMPRODUCT((Inputs!$E$5:$E$170=$B15)*ISNUMBER(INDEX(Inputs!$K$5:$AJ$170,0,MATCH(AH$2,Inputs!$K$4:$AJ$4,0))))=0,NA(),SUMPRODUCT((Inputs!$A$5:$A$170=$B15)*Inputs!$B$5:$B$170*(((Inputs!$G$5:$G$170="moeda")+(Inputs!$G$5:$G$170="acoes"))*Inputs!$B$1+((Inputs!$G$5:$G$170&lt;&gt;"moeda")*(Inputs!$G$5:$G$170&lt;&gt;"acoes")))*INDEX(Inputs!$K$5:$AJ$170,0,MATCH(AH$2,Inputs!$K$4:$AJ$4,0)))+SUMPRODUCT((Inputs!$C$5:$C$170=$B15)*Inputs!$D$5:$D$170*(((Inputs!$G$5:$G$170="moeda")+(Inputs!$G$5:$G$170="acoes"))*Inputs!$B$1+((Inputs!$G$5:$G$170&lt;&gt;"moeda")*(Inputs!$G$5:$G$170&lt;&gt;"acoes")))*INDEX(Inputs!$K$5:$AJ$170,0,MATCH(AH$2,Inputs!$K$4:$AJ$4,0)))+SUMPRODUCT((Inputs!$E$5:$E$170=$B15)*Inputs!$F$5:$F$170*(((Inputs!$G$5:$G$170="moeda")+(Inputs!$G$5:$G$170="acoes"))*Inputs!$B$1+((Inputs!$G$5:$G$170&lt;&gt;"moeda")*(Inputs!$G$5:$G$170&lt;&gt;"acoes")))*INDEX(Inputs!$K$5:$AJ$170,0,MATCH(AH$2,Inputs!$K$4:$AJ$4,0)))))</f>
        <v>1049.485</v>
      </c>
      <c r="AI15" s="6">
        <f>IF(ISNA(MATCH(AI$2,Inputs!$K$4:$AJ$4,0)),NA(),IF(SUMPRODUCT((Inputs!$A$5:$A$170=$B15)*ISNUMBER(INDEX(Inputs!$K$5:$AJ$170,0,MATCH(AI$2,Inputs!$K$4:$AJ$4,0))))+SUMPRODUCT((Inputs!$C$5:$C$170=$B15)*ISNUMBER(INDEX(Inputs!$K$5:$AJ$170,0,MATCH(AI$2,Inputs!$K$4:$AJ$4,0))))+SUMPRODUCT((Inputs!$E$5:$E$170=$B15)*ISNUMBER(INDEX(Inputs!$K$5:$AJ$170,0,MATCH(AI$2,Inputs!$K$4:$AJ$4,0))))=0,NA(),SUMPRODUCT((Inputs!$A$5:$A$170=$B15)*Inputs!$B$5:$B$170*(((Inputs!$G$5:$G$170="moeda")+(Inputs!$G$5:$G$170="acoes"))*Inputs!$B$1+((Inputs!$G$5:$G$170&lt;&gt;"moeda")*(Inputs!$G$5:$G$170&lt;&gt;"acoes")))*INDEX(Inputs!$K$5:$AJ$170,0,MATCH(AI$2,Inputs!$K$4:$AJ$4,0)))+SUMPRODUCT((Inputs!$C$5:$C$170=$B15)*Inputs!$D$5:$D$170*(((Inputs!$G$5:$G$170="moeda")+(Inputs!$G$5:$G$170="acoes"))*Inputs!$B$1+((Inputs!$G$5:$G$170&lt;&gt;"moeda")*(Inputs!$G$5:$G$170&lt;&gt;"acoes")))*INDEX(Inputs!$K$5:$AJ$170,0,MATCH(AI$2,Inputs!$K$4:$AJ$4,0)))+SUMPRODUCT((Inputs!$E$5:$E$170=$B15)*Inputs!$F$5:$F$170*(((Inputs!$G$5:$G$170="moeda")+(Inputs!$G$5:$G$170="acoes"))*Inputs!$B$1+((Inputs!$G$5:$G$170&lt;&gt;"moeda")*(Inputs!$G$5:$G$170&lt;&gt;"acoes")))*INDEX(Inputs!$K$5:$AJ$170,0,MATCH(AI$2,Inputs!$K$4:$AJ$4,0)))))</f>
        <v>1740.613</v>
      </c>
      <c r="AJ15" s="6">
        <f>IF(ISNA(MATCH(AJ$2,Inputs!$K$4:$AJ$4,0)),NA(),IF(SUMPRODUCT((Inputs!$A$5:$A$170=$B15)*ISNUMBER(INDEX(Inputs!$K$5:$AJ$170,0,MATCH(AJ$2,Inputs!$K$4:$AJ$4,0))))+SUMPRODUCT((Inputs!$C$5:$C$170=$B15)*ISNUMBER(INDEX(Inputs!$K$5:$AJ$170,0,MATCH(AJ$2,Inputs!$K$4:$AJ$4,0))))+SUMPRODUCT((Inputs!$E$5:$E$170=$B15)*ISNUMBER(INDEX(Inputs!$K$5:$AJ$170,0,MATCH(AJ$2,Inputs!$K$4:$AJ$4,0))))=0,NA(),SUMPRODUCT((Inputs!$A$5:$A$170=$B15)*Inputs!$B$5:$B$170*(((Inputs!$G$5:$G$170="moeda")+(Inputs!$G$5:$G$170="acoes"))*Inputs!$B$1+((Inputs!$G$5:$G$170&lt;&gt;"moeda")*(Inputs!$G$5:$G$170&lt;&gt;"acoes")))*INDEX(Inputs!$K$5:$AJ$170,0,MATCH(AJ$2,Inputs!$K$4:$AJ$4,0)))+SUMPRODUCT((Inputs!$C$5:$C$170=$B15)*Inputs!$D$5:$D$170*(((Inputs!$G$5:$G$170="moeda")+(Inputs!$G$5:$G$170="acoes"))*Inputs!$B$1+((Inputs!$G$5:$G$170&lt;&gt;"moeda")*(Inputs!$G$5:$G$170&lt;&gt;"acoes")))*INDEX(Inputs!$K$5:$AJ$170,0,MATCH(AJ$2,Inputs!$K$4:$AJ$4,0)))+SUMPRODUCT((Inputs!$E$5:$E$170=$B15)*Inputs!$F$5:$F$170*(((Inputs!$G$5:$G$170="moeda")+(Inputs!$G$5:$G$170="acoes"))*Inputs!$B$1+((Inputs!$G$5:$G$170&lt;&gt;"moeda")*(Inputs!$G$5:$G$170&lt;&gt;"acoes")))*INDEX(Inputs!$K$5:$AJ$170,0,MATCH(AJ$2,Inputs!$K$4:$AJ$4,0)))))</f>
        <v>1665.122</v>
      </c>
      <c r="AK15" s="6">
        <f>IF(ISNA(MATCH(AK$2,Inputs!$K$4:$AJ$4,0)),NA(),IF(SUMPRODUCT((Inputs!$A$5:$A$170=$B15)*ISNUMBER(INDEX(Inputs!$K$5:$AJ$170,0,MATCH(AK$2,Inputs!$K$4:$AJ$4,0))))+SUMPRODUCT((Inputs!$C$5:$C$170=$B15)*ISNUMBER(INDEX(Inputs!$K$5:$AJ$170,0,MATCH(AK$2,Inputs!$K$4:$AJ$4,0))))+SUMPRODUCT((Inputs!$E$5:$E$170=$B15)*ISNUMBER(INDEX(Inputs!$K$5:$AJ$170,0,MATCH(AK$2,Inputs!$K$4:$AJ$4,0))))=0,NA(),SUMPRODUCT((Inputs!$A$5:$A$170=$B15)*Inputs!$B$5:$B$170*(((Inputs!$G$5:$G$170="moeda")+(Inputs!$G$5:$G$170="acoes"))*Inputs!$B$1+((Inputs!$G$5:$G$170&lt;&gt;"moeda")*(Inputs!$G$5:$G$170&lt;&gt;"acoes")))*INDEX(Inputs!$K$5:$AJ$170,0,MATCH(AK$2,Inputs!$K$4:$AJ$4,0)))+SUMPRODUCT((Inputs!$C$5:$C$170=$B15)*Inputs!$D$5:$D$170*(((Inputs!$G$5:$G$170="moeda")+(Inputs!$G$5:$G$170="acoes"))*Inputs!$B$1+((Inputs!$G$5:$G$170&lt;&gt;"moeda")*(Inputs!$G$5:$G$170&lt;&gt;"acoes")))*INDEX(Inputs!$K$5:$AJ$170,0,MATCH(AK$2,Inputs!$K$4:$AJ$4,0)))+SUMPRODUCT((Inputs!$E$5:$E$170=$B15)*Inputs!$F$5:$F$170*(((Inputs!$G$5:$G$170="moeda")+(Inputs!$G$5:$G$170="acoes"))*Inputs!$B$1+((Inputs!$G$5:$G$170&lt;&gt;"moeda")*(Inputs!$G$5:$G$170&lt;&gt;"acoes")))*INDEX(Inputs!$K$5:$AJ$170,0,MATCH(AK$2,Inputs!$K$4:$AJ$4,0)))))</f>
        <v>1732.882</v>
      </c>
      <c r="AL15" s="3">
        <f>AK15</f>
        <v>1732.882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$170=$B16)*ISNUMBER(INDEX(Inputs!$K$5:$AJ$170,0,MATCH(D$2,Inputs!$K$4:$AJ$4,0))))+SUMPRODUCT((Inputs!$C$5:$C$170=$B16)*ISNUMBER(INDEX(Inputs!$K$5:$AJ$170,0,MATCH(D$2,Inputs!$K$4:$AJ$4,0))))+SUMPRODUCT((Inputs!$E$5:$E$170=$B16)*ISNUMBER(INDEX(Inputs!$K$5:$AJ$170,0,MATCH(D$2,Inputs!$K$4:$AJ$4,0))))=0,NA(),SUMPRODUCT((Inputs!$A$5:$A$170=$B16)*Inputs!$B$5:$B$170*(((Inputs!$G$5:$G$170="moeda")+(Inputs!$G$5:$G$170="acoes"))*Inputs!$B$1+((Inputs!$G$5:$G$170&lt;&gt;"moeda")*(Inputs!$G$5:$G$170&lt;&gt;"acoes")))*INDEX(Inputs!$K$5:$AJ$170,0,MATCH(D$2,Inputs!$K$4:$AJ$4,0)))+SUMPRODUCT((Inputs!$C$5:$C$170=$B16)*Inputs!$D$5:$D$170*(((Inputs!$G$5:$G$170="moeda")+(Inputs!$G$5:$G$170="acoes"))*Inputs!$B$1+((Inputs!$G$5:$G$170&lt;&gt;"moeda")*(Inputs!$G$5:$G$170&lt;&gt;"acoes")))*INDEX(Inputs!$K$5:$AJ$170,0,MATCH(D$2,Inputs!$K$4:$AJ$4,0)))+SUMPRODUCT((Inputs!$E$5:$E$170=$B16)*Inputs!$F$5:$F$170*(((Inputs!$G$5:$G$170="moeda")+(Inputs!$G$5:$G$170="acoes"))*Inputs!$B$1+((Inputs!$G$5:$G$170&lt;&gt;"moeda")*(Inputs!$G$5:$G$170&lt;&gt;"acoes")))*INDEX(Inputs!$K$5:$AJ$170,0,MATCH(D$2,Inputs!$K$4:$AJ$4,0)))))</f>
        <v>450.38</v>
      </c>
      <c r="E16" s="6">
        <f>IF(ISNA(MATCH(E$2,Inputs!$K$4:$AJ$4,0)),NA(),IF(SUMPRODUCT((Inputs!$A$5:$A$170=$B16)*ISNUMBER(INDEX(Inputs!$K$5:$AJ$170,0,MATCH(E$2,Inputs!$K$4:$AJ$4,0))))+SUMPRODUCT((Inputs!$C$5:$C$170=$B16)*ISNUMBER(INDEX(Inputs!$K$5:$AJ$170,0,MATCH(E$2,Inputs!$K$4:$AJ$4,0))))+SUMPRODUCT((Inputs!$E$5:$E$170=$B16)*ISNUMBER(INDEX(Inputs!$K$5:$AJ$170,0,MATCH(E$2,Inputs!$K$4:$AJ$4,0))))=0,NA(),SUMPRODUCT((Inputs!$A$5:$A$170=$B16)*Inputs!$B$5:$B$170*(((Inputs!$G$5:$G$170="moeda")+(Inputs!$G$5:$G$170="acoes"))*Inputs!$B$1+((Inputs!$G$5:$G$170&lt;&gt;"moeda")*(Inputs!$G$5:$G$170&lt;&gt;"acoes")))*INDEX(Inputs!$K$5:$AJ$170,0,MATCH(E$2,Inputs!$K$4:$AJ$4,0)))+SUMPRODUCT((Inputs!$C$5:$C$170=$B16)*Inputs!$D$5:$D$170*(((Inputs!$G$5:$G$170="moeda")+(Inputs!$G$5:$G$170="acoes"))*Inputs!$B$1+((Inputs!$G$5:$G$170&lt;&gt;"moeda")*(Inputs!$G$5:$G$170&lt;&gt;"acoes")))*INDEX(Inputs!$K$5:$AJ$170,0,MATCH(E$2,Inputs!$K$4:$AJ$4,0)))+SUMPRODUCT((Inputs!$E$5:$E$170=$B16)*Inputs!$F$5:$F$170*(((Inputs!$G$5:$G$170="moeda")+(Inputs!$G$5:$G$170="acoes"))*Inputs!$B$1+((Inputs!$G$5:$G$170&lt;&gt;"moeda")*(Inputs!$G$5:$G$170&lt;&gt;"acoes")))*INDEX(Inputs!$K$5:$AJ$170,0,MATCH(E$2,Inputs!$K$4:$AJ$4,0)))))</f>
        <v>553.695</v>
      </c>
      <c r="F16" s="6">
        <f>IF(ISNA(MATCH(F$2,Inputs!$K$4:$AJ$4,0)),NA(),IF(SUMPRODUCT((Inputs!$A$5:$A$170=$B16)*ISNUMBER(INDEX(Inputs!$K$5:$AJ$170,0,MATCH(F$2,Inputs!$K$4:$AJ$4,0))))+SUMPRODUCT((Inputs!$C$5:$C$170=$B16)*ISNUMBER(INDEX(Inputs!$K$5:$AJ$170,0,MATCH(F$2,Inputs!$K$4:$AJ$4,0))))+SUMPRODUCT((Inputs!$E$5:$E$170=$B16)*ISNUMBER(INDEX(Inputs!$K$5:$AJ$170,0,MATCH(F$2,Inputs!$K$4:$AJ$4,0))))=0,NA(),SUMPRODUCT((Inputs!$A$5:$A$170=$B16)*Inputs!$B$5:$B$170*(((Inputs!$G$5:$G$170="moeda")+(Inputs!$G$5:$G$170="acoes"))*Inputs!$B$1+((Inputs!$G$5:$G$170&lt;&gt;"moeda")*(Inputs!$G$5:$G$170&lt;&gt;"acoes")))*INDEX(Inputs!$K$5:$AJ$170,0,MATCH(F$2,Inputs!$K$4:$AJ$4,0)))+SUMPRODUCT((Inputs!$C$5:$C$170=$B16)*Inputs!$D$5:$D$170*(((Inputs!$G$5:$G$170="moeda")+(Inputs!$G$5:$G$170="acoes"))*Inputs!$B$1+((Inputs!$G$5:$G$170&lt;&gt;"moeda")*(Inputs!$G$5:$G$170&lt;&gt;"acoes")))*INDEX(Inputs!$K$5:$AJ$170,0,MATCH(F$2,Inputs!$K$4:$AJ$4,0)))+SUMPRODUCT((Inputs!$E$5:$E$170=$B16)*Inputs!$F$5:$F$170*(((Inputs!$G$5:$G$170="moeda")+(Inputs!$G$5:$G$170="acoes"))*Inputs!$B$1+((Inputs!$G$5:$G$170&lt;&gt;"moeda")*(Inputs!$G$5:$G$170&lt;&gt;"acoes")))*INDEX(Inputs!$K$5:$AJ$170,0,MATCH(F$2,Inputs!$K$4:$AJ$4,0)))))</f>
        <v>634.363</v>
      </c>
      <c r="G16" s="6">
        <f>IF(ISNA(MATCH(G$2,Inputs!$K$4:$AJ$4,0)),NA(),IF(SUMPRODUCT((Inputs!$A$5:$A$170=$B16)*ISNUMBER(INDEX(Inputs!$K$5:$AJ$170,0,MATCH(G$2,Inputs!$K$4:$AJ$4,0))))+SUMPRODUCT((Inputs!$C$5:$C$170=$B16)*ISNUMBER(INDEX(Inputs!$K$5:$AJ$170,0,MATCH(G$2,Inputs!$K$4:$AJ$4,0))))+SUMPRODUCT((Inputs!$E$5:$E$170=$B16)*ISNUMBER(INDEX(Inputs!$K$5:$AJ$170,0,MATCH(G$2,Inputs!$K$4:$AJ$4,0))))=0,NA(),SUMPRODUCT((Inputs!$A$5:$A$170=$B16)*Inputs!$B$5:$B$170*(((Inputs!$G$5:$G$170="moeda")+(Inputs!$G$5:$G$170="acoes"))*Inputs!$B$1+((Inputs!$G$5:$G$170&lt;&gt;"moeda")*(Inputs!$G$5:$G$170&lt;&gt;"acoes")))*INDEX(Inputs!$K$5:$AJ$170,0,MATCH(G$2,Inputs!$K$4:$AJ$4,0)))+SUMPRODUCT((Inputs!$C$5:$C$170=$B16)*Inputs!$D$5:$D$170*(((Inputs!$G$5:$G$170="moeda")+(Inputs!$G$5:$G$170="acoes"))*Inputs!$B$1+((Inputs!$G$5:$G$170&lt;&gt;"moeda")*(Inputs!$G$5:$G$170&lt;&gt;"acoes")))*INDEX(Inputs!$K$5:$AJ$170,0,MATCH(G$2,Inputs!$K$4:$AJ$4,0)))+SUMPRODUCT((Inputs!$E$5:$E$170=$B16)*Inputs!$F$5:$F$170*(((Inputs!$G$5:$G$170="moeda")+(Inputs!$G$5:$G$170="acoes"))*Inputs!$B$1+((Inputs!$G$5:$G$170&lt;&gt;"moeda")*(Inputs!$G$5:$G$170&lt;&gt;"acoes")))*INDEX(Inputs!$K$5:$AJ$170,0,MATCH(G$2,Inputs!$K$4:$AJ$4,0)))))</f>
        <v>887.067</v>
      </c>
      <c r="H16" s="3">
        <f>G16</f>
        <v>887.067</v>
      </c>
      <c r="I16" s="6">
        <f>IF(ISNA(MATCH(I$2,Inputs!$K$4:$AJ$4,0)),NA(),IF(SUMPRODUCT((Inputs!$A$5:$A$170=$B16)*ISNUMBER(INDEX(Inputs!$K$5:$AJ$170,0,MATCH(I$2,Inputs!$K$4:$AJ$4,0))))+SUMPRODUCT((Inputs!$C$5:$C$170=$B16)*ISNUMBER(INDEX(Inputs!$K$5:$AJ$170,0,MATCH(I$2,Inputs!$K$4:$AJ$4,0))))+SUMPRODUCT((Inputs!$E$5:$E$170=$B16)*ISNUMBER(INDEX(Inputs!$K$5:$AJ$170,0,MATCH(I$2,Inputs!$K$4:$AJ$4,0))))=0,NA(),SUMPRODUCT((Inputs!$A$5:$A$170=$B16)*Inputs!$B$5:$B$170*(((Inputs!$G$5:$G$170="moeda")+(Inputs!$G$5:$G$170="acoes"))*Inputs!$B$1+((Inputs!$G$5:$G$170&lt;&gt;"moeda")*(Inputs!$G$5:$G$170&lt;&gt;"acoes")))*INDEX(Inputs!$K$5:$AJ$170,0,MATCH(I$2,Inputs!$K$4:$AJ$4,0)))+SUMPRODUCT((Inputs!$C$5:$C$170=$B16)*Inputs!$D$5:$D$170*(((Inputs!$G$5:$G$170="moeda")+(Inputs!$G$5:$G$170="acoes"))*Inputs!$B$1+((Inputs!$G$5:$G$170&lt;&gt;"moeda")*(Inputs!$G$5:$G$170&lt;&gt;"acoes")))*INDEX(Inputs!$K$5:$AJ$170,0,MATCH(I$2,Inputs!$K$4:$AJ$4,0)))+SUMPRODUCT((Inputs!$E$5:$E$170=$B16)*Inputs!$F$5:$F$170*(((Inputs!$G$5:$G$170="moeda")+(Inputs!$G$5:$G$170="acoes"))*Inputs!$B$1+((Inputs!$G$5:$G$170&lt;&gt;"moeda")*(Inputs!$G$5:$G$170&lt;&gt;"acoes")))*INDEX(Inputs!$K$5:$AJ$170,0,MATCH(I$2,Inputs!$K$4:$AJ$4,0)))))</f>
        <v>1077.835</v>
      </c>
      <c r="J16" s="6">
        <f>IF(ISNA(MATCH(J$2,Inputs!$K$4:$AJ$4,0)),NA(),IF(SUMPRODUCT((Inputs!$A$5:$A$170=$B16)*ISNUMBER(INDEX(Inputs!$K$5:$AJ$170,0,MATCH(J$2,Inputs!$K$4:$AJ$4,0))))+SUMPRODUCT((Inputs!$C$5:$C$170=$B16)*ISNUMBER(INDEX(Inputs!$K$5:$AJ$170,0,MATCH(J$2,Inputs!$K$4:$AJ$4,0))))+SUMPRODUCT((Inputs!$E$5:$E$170=$B16)*ISNUMBER(INDEX(Inputs!$K$5:$AJ$170,0,MATCH(J$2,Inputs!$K$4:$AJ$4,0))))=0,NA(),SUMPRODUCT((Inputs!$A$5:$A$170=$B16)*Inputs!$B$5:$B$170*(((Inputs!$G$5:$G$170="moeda")+(Inputs!$G$5:$G$170="acoes"))*Inputs!$B$1+((Inputs!$G$5:$G$170&lt;&gt;"moeda")*(Inputs!$G$5:$G$170&lt;&gt;"acoes")))*INDEX(Inputs!$K$5:$AJ$170,0,MATCH(J$2,Inputs!$K$4:$AJ$4,0)))+SUMPRODUCT((Inputs!$C$5:$C$170=$B16)*Inputs!$D$5:$D$170*(((Inputs!$G$5:$G$170="moeda")+(Inputs!$G$5:$G$170="acoes"))*Inputs!$B$1+((Inputs!$G$5:$G$170&lt;&gt;"moeda")*(Inputs!$G$5:$G$170&lt;&gt;"acoes")))*INDEX(Inputs!$K$5:$AJ$170,0,MATCH(J$2,Inputs!$K$4:$AJ$4,0)))+SUMPRODUCT((Inputs!$E$5:$E$170=$B16)*Inputs!$F$5:$F$170*(((Inputs!$G$5:$G$170="moeda")+(Inputs!$G$5:$G$170="acoes"))*Inputs!$B$1+((Inputs!$G$5:$G$170&lt;&gt;"moeda")*(Inputs!$G$5:$G$170&lt;&gt;"acoes")))*INDEX(Inputs!$K$5:$AJ$170,0,MATCH(J$2,Inputs!$K$4:$AJ$4,0)))))</f>
        <v>1285.905</v>
      </c>
      <c r="K16" s="6">
        <f>IF(ISNA(MATCH(K$2,Inputs!$K$4:$AJ$4,0)),NA(),IF(SUMPRODUCT((Inputs!$A$5:$A$170=$B16)*ISNUMBER(INDEX(Inputs!$K$5:$AJ$170,0,MATCH(K$2,Inputs!$K$4:$AJ$4,0))))+SUMPRODUCT((Inputs!$C$5:$C$170=$B16)*ISNUMBER(INDEX(Inputs!$K$5:$AJ$170,0,MATCH(K$2,Inputs!$K$4:$AJ$4,0))))+SUMPRODUCT((Inputs!$E$5:$E$170=$B16)*ISNUMBER(INDEX(Inputs!$K$5:$AJ$170,0,MATCH(K$2,Inputs!$K$4:$AJ$4,0))))=0,NA(),SUMPRODUCT((Inputs!$A$5:$A$170=$B16)*Inputs!$B$5:$B$170*(((Inputs!$G$5:$G$170="moeda")+(Inputs!$G$5:$G$170="acoes"))*Inputs!$B$1+((Inputs!$G$5:$G$170&lt;&gt;"moeda")*(Inputs!$G$5:$G$170&lt;&gt;"acoes")))*INDEX(Inputs!$K$5:$AJ$170,0,MATCH(K$2,Inputs!$K$4:$AJ$4,0)))+SUMPRODUCT((Inputs!$C$5:$C$170=$B16)*Inputs!$D$5:$D$170*(((Inputs!$G$5:$G$170="moeda")+(Inputs!$G$5:$G$170="acoes"))*Inputs!$B$1+((Inputs!$G$5:$G$170&lt;&gt;"moeda")*(Inputs!$G$5:$G$170&lt;&gt;"acoes")))*INDEX(Inputs!$K$5:$AJ$170,0,MATCH(K$2,Inputs!$K$4:$AJ$4,0)))+SUMPRODUCT((Inputs!$E$5:$E$170=$B16)*Inputs!$F$5:$F$170*(((Inputs!$G$5:$G$170="moeda")+(Inputs!$G$5:$G$170="acoes"))*Inputs!$B$1+((Inputs!$G$5:$G$170&lt;&gt;"moeda")*(Inputs!$G$5:$G$170&lt;&gt;"acoes")))*INDEX(Inputs!$K$5:$AJ$170,0,MATCH(K$2,Inputs!$K$4:$AJ$4,0)))))</f>
        <v>1046.048</v>
      </c>
      <c r="L16" s="6">
        <f>IF(ISNA(MATCH(L$2,Inputs!$K$4:$AJ$4,0)),NA(),IF(SUMPRODUCT((Inputs!$A$5:$A$170=$B16)*ISNUMBER(INDEX(Inputs!$K$5:$AJ$170,0,MATCH(L$2,Inputs!$K$4:$AJ$4,0))))+SUMPRODUCT((Inputs!$C$5:$C$170=$B16)*ISNUMBER(INDEX(Inputs!$K$5:$AJ$170,0,MATCH(L$2,Inputs!$K$4:$AJ$4,0))))+SUMPRODUCT((Inputs!$E$5:$E$170=$B16)*ISNUMBER(INDEX(Inputs!$K$5:$AJ$170,0,MATCH(L$2,Inputs!$K$4:$AJ$4,0))))=0,NA(),SUMPRODUCT((Inputs!$A$5:$A$170=$B16)*Inputs!$B$5:$B$170*(((Inputs!$G$5:$G$170="moeda")+(Inputs!$G$5:$G$170="acoes"))*Inputs!$B$1+((Inputs!$G$5:$G$170&lt;&gt;"moeda")*(Inputs!$G$5:$G$170&lt;&gt;"acoes")))*INDEX(Inputs!$K$5:$AJ$170,0,MATCH(L$2,Inputs!$K$4:$AJ$4,0)))+SUMPRODUCT((Inputs!$C$5:$C$170=$B16)*Inputs!$D$5:$D$170*(((Inputs!$G$5:$G$170="moeda")+(Inputs!$G$5:$G$170="acoes"))*Inputs!$B$1+((Inputs!$G$5:$G$170&lt;&gt;"moeda")*(Inputs!$G$5:$G$170&lt;&gt;"acoes")))*INDEX(Inputs!$K$5:$AJ$170,0,MATCH(L$2,Inputs!$K$4:$AJ$4,0)))+SUMPRODUCT((Inputs!$E$5:$E$170=$B16)*Inputs!$F$5:$F$170*(((Inputs!$G$5:$G$170="moeda")+(Inputs!$G$5:$G$170="acoes"))*Inputs!$B$1+((Inputs!$G$5:$G$170&lt;&gt;"moeda")*(Inputs!$G$5:$G$170&lt;&gt;"acoes")))*INDEX(Inputs!$K$5:$AJ$170,0,MATCH(L$2,Inputs!$K$4:$AJ$4,0)))))</f>
        <v>1175.734</v>
      </c>
      <c r="M16" s="3">
        <f>L16</f>
        <v>1175.734</v>
      </c>
      <c r="N16" s="6">
        <f>IF(ISNA(MATCH(N$2,Inputs!$K$4:$AJ$4,0)),NA(),IF(SUMPRODUCT((Inputs!$A$5:$A$170=$B16)*ISNUMBER(INDEX(Inputs!$K$5:$AJ$170,0,MATCH(N$2,Inputs!$K$4:$AJ$4,0))))+SUMPRODUCT((Inputs!$C$5:$C$170=$B16)*ISNUMBER(INDEX(Inputs!$K$5:$AJ$170,0,MATCH(N$2,Inputs!$K$4:$AJ$4,0))))+SUMPRODUCT((Inputs!$E$5:$E$170=$B16)*ISNUMBER(INDEX(Inputs!$K$5:$AJ$170,0,MATCH(N$2,Inputs!$K$4:$AJ$4,0))))=0,NA(),SUMPRODUCT((Inputs!$A$5:$A$170=$B16)*Inputs!$B$5:$B$170*(((Inputs!$G$5:$G$170="moeda")+(Inputs!$G$5:$G$170="acoes"))*Inputs!$B$1+((Inputs!$G$5:$G$170&lt;&gt;"moeda")*(Inputs!$G$5:$G$170&lt;&gt;"acoes")))*INDEX(Inputs!$K$5:$AJ$170,0,MATCH(N$2,Inputs!$K$4:$AJ$4,0)))+SUMPRODUCT((Inputs!$C$5:$C$170=$B16)*Inputs!$D$5:$D$170*(((Inputs!$G$5:$G$170="moeda")+(Inputs!$G$5:$G$170="acoes"))*Inputs!$B$1+((Inputs!$G$5:$G$170&lt;&gt;"moeda")*(Inputs!$G$5:$G$170&lt;&gt;"acoes")))*INDEX(Inputs!$K$5:$AJ$170,0,MATCH(N$2,Inputs!$K$4:$AJ$4,0)))+SUMPRODUCT((Inputs!$E$5:$E$170=$B16)*Inputs!$F$5:$F$170*(((Inputs!$G$5:$G$170="moeda")+(Inputs!$G$5:$G$170="acoes"))*Inputs!$B$1+((Inputs!$G$5:$G$170&lt;&gt;"moeda")*(Inputs!$G$5:$G$170&lt;&gt;"acoes")))*INDEX(Inputs!$K$5:$AJ$170,0,MATCH(N$2,Inputs!$K$4:$AJ$4,0)))))</f>
        <v>1027.01</v>
      </c>
      <c r="O16" s="6">
        <f>IF(ISNA(MATCH(O$2,Inputs!$K$4:$AJ$4,0)),NA(),IF(SUMPRODUCT((Inputs!$A$5:$A$170=$B16)*ISNUMBER(INDEX(Inputs!$K$5:$AJ$170,0,MATCH(O$2,Inputs!$K$4:$AJ$4,0))))+SUMPRODUCT((Inputs!$C$5:$C$170=$B16)*ISNUMBER(INDEX(Inputs!$K$5:$AJ$170,0,MATCH(O$2,Inputs!$K$4:$AJ$4,0))))+SUMPRODUCT((Inputs!$E$5:$E$170=$B16)*ISNUMBER(INDEX(Inputs!$K$5:$AJ$170,0,MATCH(O$2,Inputs!$K$4:$AJ$4,0))))=0,NA(),SUMPRODUCT((Inputs!$A$5:$A$170=$B16)*Inputs!$B$5:$B$170*(((Inputs!$G$5:$G$170="moeda")+(Inputs!$G$5:$G$170="acoes"))*Inputs!$B$1+((Inputs!$G$5:$G$170&lt;&gt;"moeda")*(Inputs!$G$5:$G$170&lt;&gt;"acoes")))*INDEX(Inputs!$K$5:$AJ$170,0,MATCH(O$2,Inputs!$K$4:$AJ$4,0)))+SUMPRODUCT((Inputs!$C$5:$C$170=$B16)*Inputs!$D$5:$D$170*(((Inputs!$G$5:$G$170="moeda")+(Inputs!$G$5:$G$170="acoes"))*Inputs!$B$1+((Inputs!$G$5:$G$170&lt;&gt;"moeda")*(Inputs!$G$5:$G$170&lt;&gt;"acoes")))*INDEX(Inputs!$K$5:$AJ$170,0,MATCH(O$2,Inputs!$K$4:$AJ$4,0)))+SUMPRODUCT((Inputs!$E$5:$E$170=$B16)*Inputs!$F$5:$F$170*(((Inputs!$G$5:$G$170="moeda")+(Inputs!$G$5:$G$170="acoes"))*Inputs!$B$1+((Inputs!$G$5:$G$170&lt;&gt;"moeda")*(Inputs!$G$5:$G$170&lt;&gt;"acoes")))*INDEX(Inputs!$K$5:$AJ$170,0,MATCH(O$2,Inputs!$K$4:$AJ$4,0)))))</f>
        <v>1100.969</v>
      </c>
      <c r="P16" s="6">
        <f>IF(ISNA(MATCH(P$2,Inputs!$K$4:$AJ$4,0)),NA(),IF(SUMPRODUCT((Inputs!$A$5:$A$170=$B16)*ISNUMBER(INDEX(Inputs!$K$5:$AJ$170,0,MATCH(P$2,Inputs!$K$4:$AJ$4,0))))+SUMPRODUCT((Inputs!$C$5:$C$170=$B16)*ISNUMBER(INDEX(Inputs!$K$5:$AJ$170,0,MATCH(P$2,Inputs!$K$4:$AJ$4,0))))+SUMPRODUCT((Inputs!$E$5:$E$170=$B16)*ISNUMBER(INDEX(Inputs!$K$5:$AJ$170,0,MATCH(P$2,Inputs!$K$4:$AJ$4,0))))=0,NA(),SUMPRODUCT((Inputs!$A$5:$A$170=$B16)*Inputs!$B$5:$B$170*(((Inputs!$G$5:$G$170="moeda")+(Inputs!$G$5:$G$170="acoes"))*Inputs!$B$1+((Inputs!$G$5:$G$170&lt;&gt;"moeda")*(Inputs!$G$5:$G$170&lt;&gt;"acoes")))*INDEX(Inputs!$K$5:$AJ$170,0,MATCH(P$2,Inputs!$K$4:$AJ$4,0)))+SUMPRODUCT((Inputs!$C$5:$C$170=$B16)*Inputs!$D$5:$D$170*(((Inputs!$G$5:$G$170="moeda")+(Inputs!$G$5:$G$170="acoes"))*Inputs!$B$1+((Inputs!$G$5:$G$170&lt;&gt;"moeda")*(Inputs!$G$5:$G$170&lt;&gt;"acoes")))*INDEX(Inputs!$K$5:$AJ$170,0,MATCH(P$2,Inputs!$K$4:$AJ$4,0)))+SUMPRODUCT((Inputs!$E$5:$E$170=$B16)*Inputs!$F$5:$F$170*(((Inputs!$G$5:$G$170="moeda")+(Inputs!$G$5:$G$170="acoes"))*Inputs!$B$1+((Inputs!$G$5:$G$170&lt;&gt;"moeda")*(Inputs!$G$5:$G$170&lt;&gt;"acoes")))*INDEX(Inputs!$K$5:$AJ$170,0,MATCH(P$2,Inputs!$K$4:$AJ$4,0)))))</f>
        <v>1312.302</v>
      </c>
      <c r="Q16" s="6">
        <f>IF(ISNA(MATCH(Q$2,Inputs!$K$4:$AJ$4,0)),NA(),IF(SUMPRODUCT((Inputs!$A$5:$A$170=$B16)*ISNUMBER(INDEX(Inputs!$K$5:$AJ$170,0,MATCH(Q$2,Inputs!$K$4:$AJ$4,0))))+SUMPRODUCT((Inputs!$C$5:$C$170=$B16)*ISNUMBER(INDEX(Inputs!$K$5:$AJ$170,0,MATCH(Q$2,Inputs!$K$4:$AJ$4,0))))+SUMPRODUCT((Inputs!$E$5:$E$170=$B16)*ISNUMBER(INDEX(Inputs!$K$5:$AJ$170,0,MATCH(Q$2,Inputs!$K$4:$AJ$4,0))))=0,NA(),SUMPRODUCT((Inputs!$A$5:$A$170=$B16)*Inputs!$B$5:$B$170*(((Inputs!$G$5:$G$170="moeda")+(Inputs!$G$5:$G$170="acoes"))*Inputs!$B$1+((Inputs!$G$5:$G$170&lt;&gt;"moeda")*(Inputs!$G$5:$G$170&lt;&gt;"acoes")))*INDEX(Inputs!$K$5:$AJ$170,0,MATCH(Q$2,Inputs!$K$4:$AJ$4,0)))+SUMPRODUCT((Inputs!$C$5:$C$170=$B16)*Inputs!$D$5:$D$170*(((Inputs!$G$5:$G$170="moeda")+(Inputs!$G$5:$G$170="acoes"))*Inputs!$B$1+((Inputs!$G$5:$G$170&lt;&gt;"moeda")*(Inputs!$G$5:$G$170&lt;&gt;"acoes")))*INDEX(Inputs!$K$5:$AJ$170,0,MATCH(Q$2,Inputs!$K$4:$AJ$4,0)))+SUMPRODUCT((Inputs!$E$5:$E$170=$B16)*Inputs!$F$5:$F$170*(((Inputs!$G$5:$G$170="moeda")+(Inputs!$G$5:$G$170="acoes"))*Inputs!$B$1+((Inputs!$G$5:$G$170&lt;&gt;"moeda")*(Inputs!$G$5:$G$170&lt;&gt;"acoes")))*INDEX(Inputs!$K$5:$AJ$170,0,MATCH(Q$2,Inputs!$K$4:$AJ$4,0)))))</f>
        <v>1345.413</v>
      </c>
      <c r="R16" s="3">
        <f>Q16</f>
        <v>1345.413</v>
      </c>
      <c r="S16" s="6">
        <f>IF(ISNA(MATCH(S$2,Inputs!$K$4:$AJ$4,0)),NA(),IF(SUMPRODUCT((Inputs!$A$5:$A$170=$B16)*ISNUMBER(INDEX(Inputs!$K$5:$AJ$170,0,MATCH(S$2,Inputs!$K$4:$AJ$4,0))))+SUMPRODUCT((Inputs!$C$5:$C$170=$B16)*ISNUMBER(INDEX(Inputs!$K$5:$AJ$170,0,MATCH(S$2,Inputs!$K$4:$AJ$4,0))))+SUMPRODUCT((Inputs!$E$5:$E$170=$B16)*ISNUMBER(INDEX(Inputs!$K$5:$AJ$170,0,MATCH(S$2,Inputs!$K$4:$AJ$4,0))))=0,NA(),SUMPRODUCT((Inputs!$A$5:$A$170=$B16)*Inputs!$B$5:$B$170*(((Inputs!$G$5:$G$170="moeda")+(Inputs!$G$5:$G$170="acoes"))*Inputs!$B$1+((Inputs!$G$5:$G$170&lt;&gt;"moeda")*(Inputs!$G$5:$G$170&lt;&gt;"acoes")))*INDEX(Inputs!$K$5:$AJ$170,0,MATCH(S$2,Inputs!$K$4:$AJ$4,0)))+SUMPRODUCT((Inputs!$C$5:$C$170=$B16)*Inputs!$D$5:$D$170*(((Inputs!$G$5:$G$170="moeda")+(Inputs!$G$5:$G$170="acoes"))*Inputs!$B$1+((Inputs!$G$5:$G$170&lt;&gt;"moeda")*(Inputs!$G$5:$G$170&lt;&gt;"acoes")))*INDEX(Inputs!$K$5:$AJ$170,0,MATCH(S$2,Inputs!$K$4:$AJ$4,0)))+SUMPRODUCT((Inputs!$E$5:$E$170=$B16)*Inputs!$F$5:$F$170*(((Inputs!$G$5:$G$170="moeda")+(Inputs!$G$5:$G$170="acoes"))*Inputs!$B$1+((Inputs!$G$5:$G$170&lt;&gt;"moeda")*(Inputs!$G$5:$G$170&lt;&gt;"acoes")))*INDEX(Inputs!$K$5:$AJ$170,0,MATCH(S$2,Inputs!$K$4:$AJ$4,0)))))</f>
        <v>1542.65</v>
      </c>
      <c r="T16" s="6">
        <f>IF(ISNA(MATCH(T$2,Inputs!$K$4:$AJ$4,0)),NA(),IF(SUMPRODUCT((Inputs!$A$5:$A$170=$B16)*ISNUMBER(INDEX(Inputs!$K$5:$AJ$170,0,MATCH(T$2,Inputs!$K$4:$AJ$4,0))))+SUMPRODUCT((Inputs!$C$5:$C$170=$B16)*ISNUMBER(INDEX(Inputs!$K$5:$AJ$170,0,MATCH(T$2,Inputs!$K$4:$AJ$4,0))))+SUMPRODUCT((Inputs!$E$5:$E$170=$B16)*ISNUMBER(INDEX(Inputs!$K$5:$AJ$170,0,MATCH(T$2,Inputs!$K$4:$AJ$4,0))))=0,NA(),SUMPRODUCT((Inputs!$A$5:$A$170=$B16)*Inputs!$B$5:$B$170*(((Inputs!$G$5:$G$170="moeda")+(Inputs!$G$5:$G$170="acoes"))*Inputs!$B$1+((Inputs!$G$5:$G$170&lt;&gt;"moeda")*(Inputs!$G$5:$G$170&lt;&gt;"acoes")))*INDEX(Inputs!$K$5:$AJ$170,0,MATCH(T$2,Inputs!$K$4:$AJ$4,0)))+SUMPRODUCT((Inputs!$C$5:$C$170=$B16)*Inputs!$D$5:$D$170*(((Inputs!$G$5:$G$170="moeda")+(Inputs!$G$5:$G$170="acoes"))*Inputs!$B$1+((Inputs!$G$5:$G$170&lt;&gt;"moeda")*(Inputs!$G$5:$G$170&lt;&gt;"acoes")))*INDEX(Inputs!$K$5:$AJ$170,0,MATCH(T$2,Inputs!$K$4:$AJ$4,0)))+SUMPRODUCT((Inputs!$E$5:$E$170=$B16)*Inputs!$F$5:$F$170*(((Inputs!$G$5:$G$170="moeda")+(Inputs!$G$5:$G$170="acoes"))*Inputs!$B$1+((Inputs!$G$5:$G$170&lt;&gt;"moeda")*(Inputs!$G$5:$G$170&lt;&gt;"acoes")))*INDEX(Inputs!$K$5:$AJ$170,0,MATCH(T$2,Inputs!$K$4:$AJ$4,0)))))</f>
        <v>1684.031</v>
      </c>
      <c r="U16" s="6">
        <f>IF(ISNA(MATCH(U$2,Inputs!$K$4:$AJ$4,0)),NA(),IF(SUMPRODUCT((Inputs!$A$5:$A$170=$B16)*ISNUMBER(INDEX(Inputs!$K$5:$AJ$170,0,MATCH(U$2,Inputs!$K$4:$AJ$4,0))))+SUMPRODUCT((Inputs!$C$5:$C$170=$B16)*ISNUMBER(INDEX(Inputs!$K$5:$AJ$170,0,MATCH(U$2,Inputs!$K$4:$AJ$4,0))))+SUMPRODUCT((Inputs!$E$5:$E$170=$B16)*ISNUMBER(INDEX(Inputs!$K$5:$AJ$170,0,MATCH(U$2,Inputs!$K$4:$AJ$4,0))))=0,NA(),SUMPRODUCT((Inputs!$A$5:$A$170=$B16)*Inputs!$B$5:$B$170*(((Inputs!$G$5:$G$170="moeda")+(Inputs!$G$5:$G$170="acoes"))*Inputs!$B$1+((Inputs!$G$5:$G$170&lt;&gt;"moeda")*(Inputs!$G$5:$G$170&lt;&gt;"acoes")))*INDEX(Inputs!$K$5:$AJ$170,0,MATCH(U$2,Inputs!$K$4:$AJ$4,0)))+SUMPRODUCT((Inputs!$C$5:$C$170=$B16)*Inputs!$D$5:$D$170*(((Inputs!$G$5:$G$170="moeda")+(Inputs!$G$5:$G$170="acoes"))*Inputs!$B$1+((Inputs!$G$5:$G$170&lt;&gt;"moeda")*(Inputs!$G$5:$G$170&lt;&gt;"acoes")))*INDEX(Inputs!$K$5:$AJ$170,0,MATCH(U$2,Inputs!$K$4:$AJ$4,0)))+SUMPRODUCT((Inputs!$E$5:$E$170=$B16)*Inputs!$F$5:$F$170*(((Inputs!$G$5:$G$170="moeda")+(Inputs!$G$5:$G$170="acoes"))*Inputs!$B$1+((Inputs!$G$5:$G$170&lt;&gt;"moeda")*(Inputs!$G$5:$G$170&lt;&gt;"acoes")))*INDEX(Inputs!$K$5:$AJ$170,0,MATCH(U$2,Inputs!$K$4:$AJ$4,0)))))</f>
        <v>1736.984</v>
      </c>
      <c r="V16" s="6">
        <f>IF(ISNA(MATCH(V$2,Inputs!$K$4:$AJ$4,0)),NA(),IF(SUMPRODUCT((Inputs!$A$5:$A$170=$B16)*ISNUMBER(INDEX(Inputs!$K$5:$AJ$170,0,MATCH(V$2,Inputs!$K$4:$AJ$4,0))))+SUMPRODUCT((Inputs!$C$5:$C$170=$B16)*ISNUMBER(INDEX(Inputs!$K$5:$AJ$170,0,MATCH(V$2,Inputs!$K$4:$AJ$4,0))))+SUMPRODUCT((Inputs!$E$5:$E$170=$B16)*ISNUMBER(INDEX(Inputs!$K$5:$AJ$170,0,MATCH(V$2,Inputs!$K$4:$AJ$4,0))))=0,NA(),SUMPRODUCT((Inputs!$A$5:$A$170=$B16)*Inputs!$B$5:$B$170*(((Inputs!$G$5:$G$170="moeda")+(Inputs!$G$5:$G$170="acoes"))*Inputs!$B$1+((Inputs!$G$5:$G$170&lt;&gt;"moeda")*(Inputs!$G$5:$G$170&lt;&gt;"acoes")))*INDEX(Inputs!$K$5:$AJ$170,0,MATCH(V$2,Inputs!$K$4:$AJ$4,0)))+SUMPRODUCT((Inputs!$C$5:$C$170=$B16)*Inputs!$D$5:$D$170*(((Inputs!$G$5:$G$170="moeda")+(Inputs!$G$5:$G$170="acoes"))*Inputs!$B$1+((Inputs!$G$5:$G$170&lt;&gt;"moeda")*(Inputs!$G$5:$G$170&lt;&gt;"acoes")))*INDEX(Inputs!$K$5:$AJ$170,0,MATCH(V$2,Inputs!$K$4:$AJ$4,0)))+SUMPRODUCT((Inputs!$E$5:$E$170=$B16)*Inputs!$F$5:$F$170*(((Inputs!$G$5:$G$170="moeda")+(Inputs!$G$5:$G$170="acoes"))*Inputs!$B$1+((Inputs!$G$5:$G$170&lt;&gt;"moeda")*(Inputs!$G$5:$G$170&lt;&gt;"acoes")))*INDEX(Inputs!$K$5:$AJ$170,0,MATCH(V$2,Inputs!$K$4:$AJ$4,0)))))</f>
        <v>1441.696</v>
      </c>
      <c r="W16" s="3">
        <f>V16</f>
        <v>1441.696</v>
      </c>
      <c r="X16" s="6">
        <f>IF(ISNA(MATCH(X$2,Inputs!$K$4:$AJ$4,0)),NA(),IF(SUMPRODUCT((Inputs!$A$5:$A$170=$B16)*ISNUMBER(INDEX(Inputs!$K$5:$AJ$170,0,MATCH(X$2,Inputs!$K$4:$AJ$4,0))))+SUMPRODUCT((Inputs!$C$5:$C$170=$B16)*ISNUMBER(INDEX(Inputs!$K$5:$AJ$170,0,MATCH(X$2,Inputs!$K$4:$AJ$4,0))))+SUMPRODUCT((Inputs!$E$5:$E$170=$B16)*ISNUMBER(INDEX(Inputs!$K$5:$AJ$170,0,MATCH(X$2,Inputs!$K$4:$AJ$4,0))))=0,NA(),SUMPRODUCT((Inputs!$A$5:$A$170=$B16)*Inputs!$B$5:$B$170*(((Inputs!$G$5:$G$170="moeda")+(Inputs!$G$5:$G$170="acoes"))*Inputs!$B$1+((Inputs!$G$5:$G$170&lt;&gt;"moeda")*(Inputs!$G$5:$G$170&lt;&gt;"acoes")))*INDEX(Inputs!$K$5:$AJ$170,0,MATCH(X$2,Inputs!$K$4:$AJ$4,0)))+SUMPRODUCT((Inputs!$C$5:$C$170=$B16)*Inputs!$D$5:$D$170*(((Inputs!$G$5:$G$170="moeda")+(Inputs!$G$5:$G$170="acoes"))*Inputs!$B$1+((Inputs!$G$5:$G$170&lt;&gt;"moeda")*(Inputs!$G$5:$G$170&lt;&gt;"acoes")))*INDEX(Inputs!$K$5:$AJ$170,0,MATCH(X$2,Inputs!$K$4:$AJ$4,0)))+SUMPRODUCT((Inputs!$E$5:$E$170=$B16)*Inputs!$F$5:$F$170*(((Inputs!$G$5:$G$170="moeda")+(Inputs!$G$5:$G$170="acoes"))*Inputs!$B$1+((Inputs!$G$5:$G$170&lt;&gt;"moeda")*(Inputs!$G$5:$G$170&lt;&gt;"acoes")))*INDEX(Inputs!$K$5:$AJ$170,0,MATCH(X$2,Inputs!$K$4:$AJ$4,0)))))</f>
        <v>2193.313</v>
      </c>
      <c r="Y16" s="6">
        <f>IF(ISNA(MATCH(Y$2,Inputs!$K$4:$AJ$4,0)),NA(),IF(SUMPRODUCT((Inputs!$A$5:$A$170=$B16)*ISNUMBER(INDEX(Inputs!$K$5:$AJ$170,0,MATCH(Y$2,Inputs!$K$4:$AJ$4,0))))+SUMPRODUCT((Inputs!$C$5:$C$170=$B16)*ISNUMBER(INDEX(Inputs!$K$5:$AJ$170,0,MATCH(Y$2,Inputs!$K$4:$AJ$4,0))))+SUMPRODUCT((Inputs!$E$5:$E$170=$B16)*ISNUMBER(INDEX(Inputs!$K$5:$AJ$170,0,MATCH(Y$2,Inputs!$K$4:$AJ$4,0))))=0,NA(),SUMPRODUCT((Inputs!$A$5:$A$170=$B16)*Inputs!$B$5:$B$170*(((Inputs!$G$5:$G$170="moeda")+(Inputs!$G$5:$G$170="acoes"))*Inputs!$B$1+((Inputs!$G$5:$G$170&lt;&gt;"moeda")*(Inputs!$G$5:$G$170&lt;&gt;"acoes")))*INDEX(Inputs!$K$5:$AJ$170,0,MATCH(Y$2,Inputs!$K$4:$AJ$4,0)))+SUMPRODUCT((Inputs!$C$5:$C$170=$B16)*Inputs!$D$5:$D$170*(((Inputs!$G$5:$G$170="moeda")+(Inputs!$G$5:$G$170="acoes"))*Inputs!$B$1+((Inputs!$G$5:$G$170&lt;&gt;"moeda")*(Inputs!$G$5:$G$170&lt;&gt;"acoes")))*INDEX(Inputs!$K$5:$AJ$170,0,MATCH(Y$2,Inputs!$K$4:$AJ$4,0)))+SUMPRODUCT((Inputs!$E$5:$E$170=$B16)*Inputs!$F$5:$F$170*(((Inputs!$G$5:$G$170="moeda")+(Inputs!$G$5:$G$170="acoes"))*Inputs!$B$1+((Inputs!$G$5:$G$170&lt;&gt;"moeda")*(Inputs!$G$5:$G$170&lt;&gt;"acoes")))*INDEX(Inputs!$K$5:$AJ$170,0,MATCH(Y$2,Inputs!$K$4:$AJ$4,0)))))</f>
        <v>2186.188</v>
      </c>
      <c r="Z16" s="6">
        <f>IF(ISNA(MATCH(Z$2,Inputs!$K$4:$AJ$4,0)),NA(),IF(SUMPRODUCT((Inputs!$A$5:$A$170=$B16)*ISNUMBER(INDEX(Inputs!$K$5:$AJ$170,0,MATCH(Z$2,Inputs!$K$4:$AJ$4,0))))+SUMPRODUCT((Inputs!$C$5:$C$170=$B16)*ISNUMBER(INDEX(Inputs!$K$5:$AJ$170,0,MATCH(Z$2,Inputs!$K$4:$AJ$4,0))))+SUMPRODUCT((Inputs!$E$5:$E$170=$B16)*ISNUMBER(INDEX(Inputs!$K$5:$AJ$170,0,MATCH(Z$2,Inputs!$K$4:$AJ$4,0))))=0,NA(),SUMPRODUCT((Inputs!$A$5:$A$170=$B16)*Inputs!$B$5:$B$170*(((Inputs!$G$5:$G$170="moeda")+(Inputs!$G$5:$G$170="acoes"))*Inputs!$B$1+((Inputs!$G$5:$G$170&lt;&gt;"moeda")*(Inputs!$G$5:$G$170&lt;&gt;"acoes")))*INDEX(Inputs!$K$5:$AJ$170,0,MATCH(Z$2,Inputs!$K$4:$AJ$4,0)))+SUMPRODUCT((Inputs!$C$5:$C$170=$B16)*Inputs!$D$5:$D$170*(((Inputs!$G$5:$G$170="moeda")+(Inputs!$G$5:$G$170="acoes"))*Inputs!$B$1+((Inputs!$G$5:$G$170&lt;&gt;"moeda")*(Inputs!$G$5:$G$170&lt;&gt;"acoes")))*INDEX(Inputs!$K$5:$AJ$170,0,MATCH(Z$2,Inputs!$K$4:$AJ$4,0)))+SUMPRODUCT((Inputs!$E$5:$E$170=$B16)*Inputs!$F$5:$F$170*(((Inputs!$G$5:$G$170="moeda")+(Inputs!$G$5:$G$170="acoes"))*Inputs!$B$1+((Inputs!$G$5:$G$170&lt;&gt;"moeda")*(Inputs!$G$5:$G$170&lt;&gt;"acoes")))*INDEX(Inputs!$K$5:$AJ$170,0,MATCH(Z$2,Inputs!$K$4:$AJ$4,0)))))</f>
        <v>2216.549</v>
      </c>
      <c r="AA16" s="6">
        <f>IF(ISNA(MATCH(AA$2,Inputs!$K$4:$AJ$4,0)),NA(),IF(SUMPRODUCT((Inputs!$A$5:$A$170=$B16)*ISNUMBER(INDEX(Inputs!$K$5:$AJ$170,0,MATCH(AA$2,Inputs!$K$4:$AJ$4,0))))+SUMPRODUCT((Inputs!$C$5:$C$170=$B16)*ISNUMBER(INDEX(Inputs!$K$5:$AJ$170,0,MATCH(AA$2,Inputs!$K$4:$AJ$4,0))))+SUMPRODUCT((Inputs!$E$5:$E$170=$B16)*ISNUMBER(INDEX(Inputs!$K$5:$AJ$170,0,MATCH(AA$2,Inputs!$K$4:$AJ$4,0))))=0,NA(),SUMPRODUCT((Inputs!$A$5:$A$170=$B16)*Inputs!$B$5:$B$170*(((Inputs!$G$5:$G$170="moeda")+(Inputs!$G$5:$G$170="acoes"))*Inputs!$B$1+((Inputs!$G$5:$G$170&lt;&gt;"moeda")*(Inputs!$G$5:$G$170&lt;&gt;"acoes")))*INDEX(Inputs!$K$5:$AJ$170,0,MATCH(AA$2,Inputs!$K$4:$AJ$4,0)))+SUMPRODUCT((Inputs!$C$5:$C$170=$B16)*Inputs!$D$5:$D$170*(((Inputs!$G$5:$G$170="moeda")+(Inputs!$G$5:$G$170="acoes"))*Inputs!$B$1+((Inputs!$G$5:$G$170&lt;&gt;"moeda")*(Inputs!$G$5:$G$170&lt;&gt;"acoes")))*INDEX(Inputs!$K$5:$AJ$170,0,MATCH(AA$2,Inputs!$K$4:$AJ$4,0)))+SUMPRODUCT((Inputs!$E$5:$E$170=$B16)*Inputs!$F$5:$F$170*(((Inputs!$G$5:$G$170="moeda")+(Inputs!$G$5:$G$170="acoes"))*Inputs!$B$1+((Inputs!$G$5:$G$170&lt;&gt;"moeda")*(Inputs!$G$5:$G$170&lt;&gt;"acoes")))*INDEX(Inputs!$K$5:$AJ$170,0,MATCH(AA$2,Inputs!$K$4:$AJ$4,0)))))</f>
        <v>1989.681</v>
      </c>
      <c r="AB16" s="3">
        <f>AA16</f>
        <v>1989.681</v>
      </c>
      <c r="AC16" s="6">
        <f>IF(ISNA(MATCH(AC$2,Inputs!$K$4:$AJ$4,0)),NA(),IF(SUMPRODUCT((Inputs!$A$5:$A$170=$B16)*ISNUMBER(INDEX(Inputs!$K$5:$AJ$170,0,MATCH(AC$2,Inputs!$K$4:$AJ$4,0))))+SUMPRODUCT((Inputs!$C$5:$C$170=$B16)*ISNUMBER(INDEX(Inputs!$K$5:$AJ$170,0,MATCH(AC$2,Inputs!$K$4:$AJ$4,0))))+SUMPRODUCT((Inputs!$E$5:$E$170=$B16)*ISNUMBER(INDEX(Inputs!$K$5:$AJ$170,0,MATCH(AC$2,Inputs!$K$4:$AJ$4,0))))=0,NA(),SUMPRODUCT((Inputs!$A$5:$A$170=$B16)*Inputs!$B$5:$B$170*(((Inputs!$G$5:$G$170="moeda")+(Inputs!$G$5:$G$170="acoes"))*Inputs!$B$1+((Inputs!$G$5:$G$170&lt;&gt;"moeda")*(Inputs!$G$5:$G$170&lt;&gt;"acoes")))*INDEX(Inputs!$K$5:$AJ$170,0,MATCH(AC$2,Inputs!$K$4:$AJ$4,0)))+SUMPRODUCT((Inputs!$C$5:$C$170=$B16)*Inputs!$D$5:$D$170*(((Inputs!$G$5:$G$170="moeda")+(Inputs!$G$5:$G$170="acoes"))*Inputs!$B$1+((Inputs!$G$5:$G$170&lt;&gt;"moeda")*(Inputs!$G$5:$G$170&lt;&gt;"acoes")))*INDEX(Inputs!$K$5:$AJ$170,0,MATCH(AC$2,Inputs!$K$4:$AJ$4,0)))+SUMPRODUCT((Inputs!$E$5:$E$170=$B16)*Inputs!$F$5:$F$170*(((Inputs!$G$5:$G$170="moeda")+(Inputs!$G$5:$G$170="acoes"))*Inputs!$B$1+((Inputs!$G$5:$G$170&lt;&gt;"moeda")*(Inputs!$G$5:$G$170&lt;&gt;"acoes")))*INDEX(Inputs!$K$5:$AJ$170,0,MATCH(AC$2,Inputs!$K$4:$AJ$4,0)))))</f>
        <v>2184.584</v>
      </c>
      <c r="AD16" s="6">
        <f>IF(ISNA(MATCH(AD$2,Inputs!$K$4:$AJ$4,0)),NA(),IF(SUMPRODUCT((Inputs!$A$5:$A$170=$B16)*ISNUMBER(INDEX(Inputs!$K$5:$AJ$170,0,MATCH(AD$2,Inputs!$K$4:$AJ$4,0))))+SUMPRODUCT((Inputs!$C$5:$C$170=$B16)*ISNUMBER(INDEX(Inputs!$K$5:$AJ$170,0,MATCH(AD$2,Inputs!$K$4:$AJ$4,0))))+SUMPRODUCT((Inputs!$E$5:$E$170=$B16)*ISNUMBER(INDEX(Inputs!$K$5:$AJ$170,0,MATCH(AD$2,Inputs!$K$4:$AJ$4,0))))=0,NA(),SUMPRODUCT((Inputs!$A$5:$A$170=$B16)*Inputs!$B$5:$B$170*(((Inputs!$G$5:$G$170="moeda")+(Inputs!$G$5:$G$170="acoes"))*Inputs!$B$1+((Inputs!$G$5:$G$170&lt;&gt;"moeda")*(Inputs!$G$5:$G$170&lt;&gt;"acoes")))*INDEX(Inputs!$K$5:$AJ$170,0,MATCH(AD$2,Inputs!$K$4:$AJ$4,0)))+SUMPRODUCT((Inputs!$C$5:$C$170=$B16)*Inputs!$D$5:$D$170*(((Inputs!$G$5:$G$170="moeda")+(Inputs!$G$5:$G$170="acoes"))*Inputs!$B$1+((Inputs!$G$5:$G$170&lt;&gt;"moeda")*(Inputs!$G$5:$G$170&lt;&gt;"acoes")))*INDEX(Inputs!$K$5:$AJ$170,0,MATCH(AD$2,Inputs!$K$4:$AJ$4,0)))+SUMPRODUCT((Inputs!$E$5:$E$170=$B16)*Inputs!$F$5:$F$170*(((Inputs!$G$5:$G$170="moeda")+(Inputs!$G$5:$G$170="acoes"))*Inputs!$B$1+((Inputs!$G$5:$G$170&lt;&gt;"moeda")*(Inputs!$G$5:$G$170&lt;&gt;"acoes")))*INDEX(Inputs!$K$5:$AJ$170,0,MATCH(AD$2,Inputs!$K$4:$AJ$4,0)))))</f>
        <v>2309.874</v>
      </c>
      <c r="AE16" s="6" t="e">
        <f>IF(ISNA(MATCH(AE$2,Inputs!$K$4:$AJ$4,0)),NA(),IF(SUMPRODUCT((Inputs!$A$5:$A$170=$B16)*ISNUMBER(INDEX(Inputs!$K$5:$AJ$170,0,MATCH(AE$2,Inputs!$K$4:$AJ$4,0))))+SUMPRODUCT((Inputs!$C$5:$C$170=$B16)*ISNUMBER(INDEX(Inputs!$K$5:$AJ$170,0,MATCH(AE$2,Inputs!$K$4:$AJ$4,0))))+SUMPRODUCT((Inputs!$E$5:$E$170=$B16)*ISNUMBER(INDEX(Inputs!$K$5:$AJ$170,0,MATCH(AE$2,Inputs!$K$4:$AJ$4,0))))=0,NA(),SUMPRODUCT((Inputs!$A$5:$A$170=$B16)*Inputs!$B$5:$B$170*(((Inputs!$G$5:$G$170="moeda")+(Inputs!$G$5:$G$170="acoes"))*Inputs!$B$1+((Inputs!$G$5:$G$170&lt;&gt;"moeda")*(Inputs!$G$5:$G$170&lt;&gt;"acoes")))*INDEX(Inputs!$K$5:$AJ$170,0,MATCH(AE$2,Inputs!$K$4:$AJ$4,0)))+SUMPRODUCT((Inputs!$C$5:$C$170=$B16)*Inputs!$D$5:$D$170*(((Inputs!$G$5:$G$170="moeda")+(Inputs!$G$5:$G$170="acoes"))*Inputs!$B$1+((Inputs!$G$5:$G$170&lt;&gt;"moeda")*(Inputs!$G$5:$G$170&lt;&gt;"acoes")))*INDEX(Inputs!$K$5:$AJ$170,0,MATCH(AE$2,Inputs!$K$4:$AJ$4,0)))+SUMPRODUCT((Inputs!$E$5:$E$170=$B16)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6" s="6" t="e">
        <f>IF(ISNA(MATCH(AF$2,Inputs!$K$4:$AJ$4,0)),NA(),IF(SUMPRODUCT((Inputs!$A$5:$A$170=$B16)*ISNUMBER(INDEX(Inputs!$K$5:$AJ$170,0,MATCH(AF$2,Inputs!$K$4:$AJ$4,0))))+SUMPRODUCT((Inputs!$C$5:$C$170=$B16)*ISNUMBER(INDEX(Inputs!$K$5:$AJ$170,0,MATCH(AF$2,Inputs!$K$4:$AJ$4,0))))+SUMPRODUCT((Inputs!$E$5:$E$170=$B16)*ISNUMBER(INDEX(Inputs!$K$5:$AJ$170,0,MATCH(AF$2,Inputs!$K$4:$AJ$4,0))))=0,NA(),SUMPRODUCT((Inputs!$A$5:$A$170=$B16)*Inputs!$B$5:$B$170*(((Inputs!$G$5:$G$170="moeda")+(Inputs!$G$5:$G$170="acoes"))*Inputs!$B$1+((Inputs!$G$5:$G$170&lt;&gt;"moeda")*(Inputs!$G$5:$G$170&lt;&gt;"acoes")))*INDEX(Inputs!$K$5:$AJ$170,0,MATCH(AF$2,Inputs!$K$4:$AJ$4,0)))+SUMPRODUCT((Inputs!$C$5:$C$170=$B16)*Inputs!$D$5:$D$170*(((Inputs!$G$5:$G$170="moeda")+(Inputs!$G$5:$G$170="acoes"))*Inputs!$B$1+((Inputs!$G$5:$G$170&lt;&gt;"moeda")*(Inputs!$G$5:$G$170&lt;&gt;"acoes")))*INDEX(Inputs!$K$5:$AJ$170,0,MATCH(AF$2,Inputs!$K$4:$AJ$4,0)))+SUMPRODUCT((Inputs!$E$5:$E$170=$B16)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6" s="3" t="e">
        <f>AF16</f>
        <v>#N/A</v>
      </c>
      <c r="AH16" s="6">
        <f>IF(ISNA(MATCH(AH$2,Inputs!$K$4:$AJ$4,0)),NA(),IF(SUMPRODUCT((Inputs!$A$5:$A$170=$B16)*ISNUMBER(INDEX(Inputs!$K$5:$AJ$170,0,MATCH(AH$2,Inputs!$K$4:$AJ$4,0))))+SUMPRODUCT((Inputs!$C$5:$C$170=$B16)*ISNUMBER(INDEX(Inputs!$K$5:$AJ$170,0,MATCH(AH$2,Inputs!$K$4:$AJ$4,0))))+SUMPRODUCT((Inputs!$E$5:$E$170=$B16)*ISNUMBER(INDEX(Inputs!$K$5:$AJ$170,0,MATCH(AH$2,Inputs!$K$4:$AJ$4,0))))=0,NA(),SUMPRODUCT((Inputs!$A$5:$A$170=$B16)*Inputs!$B$5:$B$170*(((Inputs!$G$5:$G$170="moeda")+(Inputs!$G$5:$G$170="acoes"))*Inputs!$B$1+((Inputs!$G$5:$G$170&lt;&gt;"moeda")*(Inputs!$G$5:$G$170&lt;&gt;"acoes")))*INDEX(Inputs!$K$5:$AJ$170,0,MATCH(AH$2,Inputs!$K$4:$AJ$4,0)))+SUMPRODUCT((Inputs!$C$5:$C$170=$B16)*Inputs!$D$5:$D$170*(((Inputs!$G$5:$G$170="moeda")+(Inputs!$G$5:$G$170="acoes"))*Inputs!$B$1+((Inputs!$G$5:$G$170&lt;&gt;"moeda")*(Inputs!$G$5:$G$170&lt;&gt;"acoes")))*INDEX(Inputs!$K$5:$AJ$170,0,MATCH(AH$2,Inputs!$K$4:$AJ$4,0)))+SUMPRODUCT((Inputs!$E$5:$E$170=$B16)*Inputs!$F$5:$F$170*(((Inputs!$G$5:$G$170="moeda")+(Inputs!$G$5:$G$170="acoes"))*Inputs!$B$1+((Inputs!$G$5:$G$170&lt;&gt;"moeda")*(Inputs!$G$5:$G$170&lt;&gt;"acoes")))*INDEX(Inputs!$K$5:$AJ$170,0,MATCH(AH$2,Inputs!$K$4:$AJ$4,0)))))</f>
        <v>402.498</v>
      </c>
      <c r="AI16" s="6">
        <f>IF(ISNA(MATCH(AI$2,Inputs!$K$4:$AJ$4,0)),NA(),IF(SUMPRODUCT((Inputs!$A$5:$A$170=$B16)*ISNUMBER(INDEX(Inputs!$K$5:$AJ$170,0,MATCH(AI$2,Inputs!$K$4:$AJ$4,0))))+SUMPRODUCT((Inputs!$C$5:$C$170=$B16)*ISNUMBER(INDEX(Inputs!$K$5:$AJ$170,0,MATCH(AI$2,Inputs!$K$4:$AJ$4,0))))+SUMPRODUCT((Inputs!$E$5:$E$170=$B16)*ISNUMBER(INDEX(Inputs!$K$5:$AJ$170,0,MATCH(AI$2,Inputs!$K$4:$AJ$4,0))))=0,NA(),SUMPRODUCT((Inputs!$A$5:$A$170=$B16)*Inputs!$B$5:$B$170*(((Inputs!$G$5:$G$170="moeda")+(Inputs!$G$5:$G$170="acoes"))*Inputs!$B$1+((Inputs!$G$5:$G$170&lt;&gt;"moeda")*(Inputs!$G$5:$G$170&lt;&gt;"acoes")))*INDEX(Inputs!$K$5:$AJ$170,0,MATCH(AI$2,Inputs!$K$4:$AJ$4,0)))+SUMPRODUCT((Inputs!$C$5:$C$170=$B16)*Inputs!$D$5:$D$170*(((Inputs!$G$5:$G$170="moeda")+(Inputs!$G$5:$G$170="acoes"))*Inputs!$B$1+((Inputs!$G$5:$G$170&lt;&gt;"moeda")*(Inputs!$G$5:$G$170&lt;&gt;"acoes")))*INDEX(Inputs!$K$5:$AJ$170,0,MATCH(AI$2,Inputs!$K$4:$AJ$4,0)))+SUMPRODUCT((Inputs!$E$5:$E$170=$B16)*Inputs!$F$5:$F$170*(((Inputs!$G$5:$G$170="moeda")+(Inputs!$G$5:$G$170="acoes"))*Inputs!$B$1+((Inputs!$G$5:$G$170&lt;&gt;"moeda")*(Inputs!$G$5:$G$170&lt;&gt;"acoes")))*INDEX(Inputs!$K$5:$AJ$170,0,MATCH(AI$2,Inputs!$K$4:$AJ$4,0)))))</f>
        <v>380.358</v>
      </c>
      <c r="AJ16" s="6">
        <f>IF(ISNA(MATCH(AJ$2,Inputs!$K$4:$AJ$4,0)),NA(),IF(SUMPRODUCT((Inputs!$A$5:$A$170=$B16)*ISNUMBER(INDEX(Inputs!$K$5:$AJ$170,0,MATCH(AJ$2,Inputs!$K$4:$AJ$4,0))))+SUMPRODUCT((Inputs!$C$5:$C$170=$B16)*ISNUMBER(INDEX(Inputs!$K$5:$AJ$170,0,MATCH(AJ$2,Inputs!$K$4:$AJ$4,0))))+SUMPRODUCT((Inputs!$E$5:$E$170=$B16)*ISNUMBER(INDEX(Inputs!$K$5:$AJ$170,0,MATCH(AJ$2,Inputs!$K$4:$AJ$4,0))))=0,NA(),SUMPRODUCT((Inputs!$A$5:$A$170=$B16)*Inputs!$B$5:$B$170*(((Inputs!$G$5:$G$170="moeda")+(Inputs!$G$5:$G$170="acoes"))*Inputs!$B$1+((Inputs!$G$5:$G$170&lt;&gt;"moeda")*(Inputs!$G$5:$G$170&lt;&gt;"acoes")))*INDEX(Inputs!$K$5:$AJ$170,0,MATCH(AJ$2,Inputs!$K$4:$AJ$4,0)))+SUMPRODUCT((Inputs!$C$5:$C$170=$B16)*Inputs!$D$5:$D$170*(((Inputs!$G$5:$G$170="moeda")+(Inputs!$G$5:$G$170="acoes"))*Inputs!$B$1+((Inputs!$G$5:$G$170&lt;&gt;"moeda")*(Inputs!$G$5:$G$170&lt;&gt;"acoes")))*INDEX(Inputs!$K$5:$AJ$170,0,MATCH(AJ$2,Inputs!$K$4:$AJ$4,0)))+SUMPRODUCT((Inputs!$E$5:$E$170=$B16)*Inputs!$F$5:$F$170*(((Inputs!$G$5:$G$170="moeda")+(Inputs!$G$5:$G$170="acoes"))*Inputs!$B$1+((Inputs!$G$5:$G$170&lt;&gt;"moeda")*(Inputs!$G$5:$G$170&lt;&gt;"acoes")))*INDEX(Inputs!$K$5:$AJ$170,0,MATCH(AJ$2,Inputs!$K$4:$AJ$4,0)))))</f>
        <v>402.294</v>
      </c>
      <c r="AK16" s="6">
        <f>IF(ISNA(MATCH(AK$2,Inputs!$K$4:$AJ$4,0)),NA(),IF(SUMPRODUCT((Inputs!$A$5:$A$170=$B16)*ISNUMBER(INDEX(Inputs!$K$5:$AJ$170,0,MATCH(AK$2,Inputs!$K$4:$AJ$4,0))))+SUMPRODUCT((Inputs!$C$5:$C$170=$B16)*ISNUMBER(INDEX(Inputs!$K$5:$AJ$170,0,MATCH(AK$2,Inputs!$K$4:$AJ$4,0))))+SUMPRODUCT((Inputs!$E$5:$E$170=$B16)*ISNUMBER(INDEX(Inputs!$K$5:$AJ$170,0,MATCH(AK$2,Inputs!$K$4:$AJ$4,0))))=0,NA(),SUMPRODUCT((Inputs!$A$5:$A$170=$B16)*Inputs!$B$5:$B$170*(((Inputs!$G$5:$G$170="moeda")+(Inputs!$G$5:$G$170="acoes"))*Inputs!$B$1+((Inputs!$G$5:$G$170&lt;&gt;"moeda")*(Inputs!$G$5:$G$170&lt;&gt;"acoes")))*INDEX(Inputs!$K$5:$AJ$170,0,MATCH(AK$2,Inputs!$K$4:$AJ$4,0)))+SUMPRODUCT((Inputs!$C$5:$C$170=$B16)*Inputs!$D$5:$D$170*(((Inputs!$G$5:$G$170="moeda")+(Inputs!$G$5:$G$170="acoes"))*Inputs!$B$1+((Inputs!$G$5:$G$170&lt;&gt;"moeda")*(Inputs!$G$5:$G$170&lt;&gt;"acoes")))*INDEX(Inputs!$K$5:$AJ$170,0,MATCH(AK$2,Inputs!$K$4:$AJ$4,0)))+SUMPRODUCT((Inputs!$E$5:$E$170=$B16)*Inputs!$F$5:$F$170*(((Inputs!$G$5:$G$170="moeda")+(Inputs!$G$5:$G$170="acoes"))*Inputs!$B$1+((Inputs!$G$5:$G$170&lt;&gt;"moeda")*(Inputs!$G$5:$G$170&lt;&gt;"acoes")))*INDEX(Inputs!$K$5:$AJ$170,0,MATCH(AK$2,Inputs!$K$4:$AJ$4,0)))))</f>
        <v>458.632</v>
      </c>
      <c r="AL16" s="3">
        <f>AK16</f>
        <v>458.632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$170=$B17)*ISNUMBER(INDEX(Inputs!$K$5:$AJ$170,0,MATCH(D$2,Inputs!$K$4:$AJ$4,0))))+SUMPRODUCT((Inputs!$C$5:$C$170=$B17)*ISNUMBER(INDEX(Inputs!$K$5:$AJ$170,0,MATCH(D$2,Inputs!$K$4:$AJ$4,0))))+SUMPRODUCT((Inputs!$E$5:$E$170=$B17)*ISNUMBER(INDEX(Inputs!$K$5:$AJ$170,0,MATCH(D$2,Inputs!$K$4:$AJ$4,0))))=0,NA(),SUMPRODUCT((Inputs!$A$5:$A$170=$B17)*Inputs!$B$5:$B$170*(((Inputs!$G$5:$G$170="moeda")+(Inputs!$G$5:$G$170="acoes"))*Inputs!$B$1+((Inputs!$G$5:$G$170&lt;&gt;"moeda")*(Inputs!$G$5:$G$170&lt;&gt;"acoes")))*INDEX(Inputs!$K$5:$AJ$170,0,MATCH(D$2,Inputs!$K$4:$AJ$4,0)))+SUMPRODUCT((Inputs!$C$5:$C$170=$B17)*Inputs!$D$5:$D$170*(((Inputs!$G$5:$G$170="moeda")+(Inputs!$G$5:$G$170="acoes"))*Inputs!$B$1+((Inputs!$G$5:$G$170&lt;&gt;"moeda")*(Inputs!$G$5:$G$170&lt;&gt;"acoes")))*INDEX(Inputs!$K$5:$AJ$170,0,MATCH(D$2,Inputs!$K$4:$AJ$4,0)))+SUMPRODUCT((Inputs!$E$5:$E$170=$B17)*Inputs!$F$5:$F$170*(((Inputs!$G$5:$G$170="moeda")+(Inputs!$G$5:$G$170="acoes"))*Inputs!$B$1+((Inputs!$G$5:$G$170&lt;&gt;"moeda")*(Inputs!$G$5:$G$170&lt;&gt;"acoes")))*INDEX(Inputs!$K$5:$AJ$170,0,MATCH(D$2,Inputs!$K$4:$AJ$4,0)))))</f>
        <v>0</v>
      </c>
      <c r="E17" s="6">
        <f>IF(ISNA(MATCH(E$2,Inputs!$K$4:$AJ$4,0)),NA(),IF(SUMPRODUCT((Inputs!$A$5:$A$170=$B17)*ISNUMBER(INDEX(Inputs!$K$5:$AJ$170,0,MATCH(E$2,Inputs!$K$4:$AJ$4,0))))+SUMPRODUCT((Inputs!$C$5:$C$170=$B17)*ISNUMBER(INDEX(Inputs!$K$5:$AJ$170,0,MATCH(E$2,Inputs!$K$4:$AJ$4,0))))+SUMPRODUCT((Inputs!$E$5:$E$170=$B17)*ISNUMBER(INDEX(Inputs!$K$5:$AJ$170,0,MATCH(E$2,Inputs!$K$4:$AJ$4,0))))=0,NA(),SUMPRODUCT((Inputs!$A$5:$A$170=$B17)*Inputs!$B$5:$B$170*(((Inputs!$G$5:$G$170="moeda")+(Inputs!$G$5:$G$170="acoes"))*Inputs!$B$1+((Inputs!$G$5:$G$170&lt;&gt;"moeda")*(Inputs!$G$5:$G$170&lt;&gt;"acoes")))*INDEX(Inputs!$K$5:$AJ$170,0,MATCH(E$2,Inputs!$K$4:$AJ$4,0)))+SUMPRODUCT((Inputs!$C$5:$C$170=$B17)*Inputs!$D$5:$D$170*(((Inputs!$G$5:$G$170="moeda")+(Inputs!$G$5:$G$170="acoes"))*Inputs!$B$1+((Inputs!$G$5:$G$170&lt;&gt;"moeda")*(Inputs!$G$5:$G$170&lt;&gt;"acoes")))*INDEX(Inputs!$K$5:$AJ$170,0,MATCH(E$2,Inputs!$K$4:$AJ$4,0)))+SUMPRODUCT((Inputs!$E$5:$E$170=$B17)*Inputs!$F$5:$F$170*(((Inputs!$G$5:$G$170="moeda")+(Inputs!$G$5:$G$170="acoes"))*Inputs!$B$1+((Inputs!$G$5:$G$170&lt;&gt;"moeda")*(Inputs!$G$5:$G$170&lt;&gt;"acoes")))*INDEX(Inputs!$K$5:$AJ$170,0,MATCH(E$2,Inputs!$K$4:$AJ$4,0)))))</f>
        <v>0</v>
      </c>
      <c r="F17" s="6">
        <f>IF(ISNA(MATCH(F$2,Inputs!$K$4:$AJ$4,0)),NA(),IF(SUMPRODUCT((Inputs!$A$5:$A$170=$B17)*ISNUMBER(INDEX(Inputs!$K$5:$AJ$170,0,MATCH(F$2,Inputs!$K$4:$AJ$4,0))))+SUMPRODUCT((Inputs!$C$5:$C$170=$B17)*ISNUMBER(INDEX(Inputs!$K$5:$AJ$170,0,MATCH(F$2,Inputs!$K$4:$AJ$4,0))))+SUMPRODUCT((Inputs!$E$5:$E$170=$B17)*ISNUMBER(INDEX(Inputs!$K$5:$AJ$170,0,MATCH(F$2,Inputs!$K$4:$AJ$4,0))))=0,NA(),SUMPRODUCT((Inputs!$A$5:$A$170=$B17)*Inputs!$B$5:$B$170*(((Inputs!$G$5:$G$170="moeda")+(Inputs!$G$5:$G$170="acoes"))*Inputs!$B$1+((Inputs!$G$5:$G$170&lt;&gt;"moeda")*(Inputs!$G$5:$G$170&lt;&gt;"acoes")))*INDEX(Inputs!$K$5:$AJ$170,0,MATCH(F$2,Inputs!$K$4:$AJ$4,0)))+SUMPRODUCT((Inputs!$C$5:$C$170=$B17)*Inputs!$D$5:$D$170*(((Inputs!$G$5:$G$170="moeda")+(Inputs!$G$5:$G$170="acoes"))*Inputs!$B$1+((Inputs!$G$5:$G$170&lt;&gt;"moeda")*(Inputs!$G$5:$G$170&lt;&gt;"acoes")))*INDEX(Inputs!$K$5:$AJ$170,0,MATCH(F$2,Inputs!$K$4:$AJ$4,0)))+SUMPRODUCT((Inputs!$E$5:$E$170=$B17)*Inputs!$F$5:$F$170*(((Inputs!$G$5:$G$170="moeda")+(Inputs!$G$5:$G$170="acoes"))*Inputs!$B$1+((Inputs!$G$5:$G$170&lt;&gt;"moeda")*(Inputs!$G$5:$G$170&lt;&gt;"acoes")))*INDEX(Inputs!$K$5:$AJ$170,0,MATCH(F$2,Inputs!$K$4:$AJ$4,0)))))</f>
        <v>0</v>
      </c>
      <c r="G17" s="6">
        <f>IF(ISNA(MATCH(G$2,Inputs!$K$4:$AJ$4,0)),NA(),IF(SUMPRODUCT((Inputs!$A$5:$A$170=$B17)*ISNUMBER(INDEX(Inputs!$K$5:$AJ$170,0,MATCH(G$2,Inputs!$K$4:$AJ$4,0))))+SUMPRODUCT((Inputs!$C$5:$C$170=$B17)*ISNUMBER(INDEX(Inputs!$K$5:$AJ$170,0,MATCH(G$2,Inputs!$K$4:$AJ$4,0))))+SUMPRODUCT((Inputs!$E$5:$E$170=$B17)*ISNUMBER(INDEX(Inputs!$K$5:$AJ$170,0,MATCH(G$2,Inputs!$K$4:$AJ$4,0))))=0,NA(),SUMPRODUCT((Inputs!$A$5:$A$170=$B17)*Inputs!$B$5:$B$170*(((Inputs!$G$5:$G$170="moeda")+(Inputs!$G$5:$G$170="acoes"))*Inputs!$B$1+((Inputs!$G$5:$G$170&lt;&gt;"moeda")*(Inputs!$G$5:$G$170&lt;&gt;"acoes")))*INDEX(Inputs!$K$5:$AJ$170,0,MATCH(G$2,Inputs!$K$4:$AJ$4,0)))+SUMPRODUCT((Inputs!$C$5:$C$170=$B17)*Inputs!$D$5:$D$170*(((Inputs!$G$5:$G$170="moeda")+(Inputs!$G$5:$G$170="acoes"))*Inputs!$B$1+((Inputs!$G$5:$G$170&lt;&gt;"moeda")*(Inputs!$G$5:$G$170&lt;&gt;"acoes")))*INDEX(Inputs!$K$5:$AJ$170,0,MATCH(G$2,Inputs!$K$4:$AJ$4,0)))+SUMPRODUCT((Inputs!$E$5:$E$170=$B17)*Inputs!$F$5:$F$170*(((Inputs!$G$5:$G$170="moeda")+(Inputs!$G$5:$G$170="acoes"))*Inputs!$B$1+((Inputs!$G$5:$G$170&lt;&gt;"moeda")*(Inputs!$G$5:$G$170&lt;&gt;"acoes")))*INDEX(Inputs!$K$5:$AJ$170,0,MATCH(G$2,Inputs!$K$4:$AJ$4,0)))))</f>
        <v>0</v>
      </c>
      <c r="H17" s="3">
        <f>G17</f>
        <v>0</v>
      </c>
      <c r="I17" s="6">
        <f>IF(ISNA(MATCH(I$2,Inputs!$K$4:$AJ$4,0)),NA(),IF(SUMPRODUCT((Inputs!$A$5:$A$170=$B17)*ISNUMBER(INDEX(Inputs!$K$5:$AJ$170,0,MATCH(I$2,Inputs!$K$4:$AJ$4,0))))+SUMPRODUCT((Inputs!$C$5:$C$170=$B17)*ISNUMBER(INDEX(Inputs!$K$5:$AJ$170,0,MATCH(I$2,Inputs!$K$4:$AJ$4,0))))+SUMPRODUCT((Inputs!$E$5:$E$170=$B17)*ISNUMBER(INDEX(Inputs!$K$5:$AJ$170,0,MATCH(I$2,Inputs!$K$4:$AJ$4,0))))=0,NA(),SUMPRODUCT((Inputs!$A$5:$A$170=$B17)*Inputs!$B$5:$B$170*(((Inputs!$G$5:$G$170="moeda")+(Inputs!$G$5:$G$170="acoes"))*Inputs!$B$1+((Inputs!$G$5:$G$170&lt;&gt;"moeda")*(Inputs!$G$5:$G$170&lt;&gt;"acoes")))*INDEX(Inputs!$K$5:$AJ$170,0,MATCH(I$2,Inputs!$K$4:$AJ$4,0)))+SUMPRODUCT((Inputs!$C$5:$C$170=$B17)*Inputs!$D$5:$D$170*(((Inputs!$G$5:$G$170="moeda")+(Inputs!$G$5:$G$170="acoes"))*Inputs!$B$1+((Inputs!$G$5:$G$170&lt;&gt;"moeda")*(Inputs!$G$5:$G$170&lt;&gt;"acoes")))*INDEX(Inputs!$K$5:$AJ$170,0,MATCH(I$2,Inputs!$K$4:$AJ$4,0)))+SUMPRODUCT((Inputs!$E$5:$E$170=$B17)*Inputs!$F$5:$F$170*(((Inputs!$G$5:$G$170="moeda")+(Inputs!$G$5:$G$170="acoes"))*Inputs!$B$1+((Inputs!$G$5:$G$170&lt;&gt;"moeda")*(Inputs!$G$5:$G$170&lt;&gt;"acoes")))*INDEX(Inputs!$K$5:$AJ$170,0,MATCH(I$2,Inputs!$K$4:$AJ$4,0)))))</f>
        <v>0</v>
      </c>
      <c r="J17" s="6">
        <f>IF(ISNA(MATCH(J$2,Inputs!$K$4:$AJ$4,0)),NA(),IF(SUMPRODUCT((Inputs!$A$5:$A$170=$B17)*ISNUMBER(INDEX(Inputs!$K$5:$AJ$170,0,MATCH(J$2,Inputs!$K$4:$AJ$4,0))))+SUMPRODUCT((Inputs!$C$5:$C$170=$B17)*ISNUMBER(INDEX(Inputs!$K$5:$AJ$170,0,MATCH(J$2,Inputs!$K$4:$AJ$4,0))))+SUMPRODUCT((Inputs!$E$5:$E$170=$B17)*ISNUMBER(INDEX(Inputs!$K$5:$AJ$170,0,MATCH(J$2,Inputs!$K$4:$AJ$4,0))))=0,NA(),SUMPRODUCT((Inputs!$A$5:$A$170=$B17)*Inputs!$B$5:$B$170*(((Inputs!$G$5:$G$170="moeda")+(Inputs!$G$5:$G$170="acoes"))*Inputs!$B$1+((Inputs!$G$5:$G$170&lt;&gt;"moeda")*(Inputs!$G$5:$G$170&lt;&gt;"acoes")))*INDEX(Inputs!$K$5:$AJ$170,0,MATCH(J$2,Inputs!$K$4:$AJ$4,0)))+SUMPRODUCT((Inputs!$C$5:$C$170=$B17)*Inputs!$D$5:$D$170*(((Inputs!$G$5:$G$170="moeda")+(Inputs!$G$5:$G$170="acoes"))*Inputs!$B$1+((Inputs!$G$5:$G$170&lt;&gt;"moeda")*(Inputs!$G$5:$G$170&lt;&gt;"acoes")))*INDEX(Inputs!$K$5:$AJ$170,0,MATCH(J$2,Inputs!$K$4:$AJ$4,0)))+SUMPRODUCT((Inputs!$E$5:$E$170=$B17)*Inputs!$F$5:$F$170*(((Inputs!$G$5:$G$170="moeda")+(Inputs!$G$5:$G$170="acoes"))*Inputs!$B$1+((Inputs!$G$5:$G$170&lt;&gt;"moeda")*(Inputs!$G$5:$G$170&lt;&gt;"acoes")))*INDEX(Inputs!$K$5:$AJ$170,0,MATCH(J$2,Inputs!$K$4:$AJ$4,0)))))</f>
        <v>0</v>
      </c>
      <c r="K17" s="6">
        <f>IF(ISNA(MATCH(K$2,Inputs!$K$4:$AJ$4,0)),NA(),IF(SUMPRODUCT((Inputs!$A$5:$A$170=$B17)*ISNUMBER(INDEX(Inputs!$K$5:$AJ$170,0,MATCH(K$2,Inputs!$K$4:$AJ$4,0))))+SUMPRODUCT((Inputs!$C$5:$C$170=$B17)*ISNUMBER(INDEX(Inputs!$K$5:$AJ$170,0,MATCH(K$2,Inputs!$K$4:$AJ$4,0))))+SUMPRODUCT((Inputs!$E$5:$E$170=$B17)*ISNUMBER(INDEX(Inputs!$K$5:$AJ$170,0,MATCH(K$2,Inputs!$K$4:$AJ$4,0))))=0,NA(),SUMPRODUCT((Inputs!$A$5:$A$170=$B17)*Inputs!$B$5:$B$170*(((Inputs!$G$5:$G$170="moeda")+(Inputs!$G$5:$G$170="acoes"))*Inputs!$B$1+((Inputs!$G$5:$G$170&lt;&gt;"moeda")*(Inputs!$G$5:$G$170&lt;&gt;"acoes")))*INDEX(Inputs!$K$5:$AJ$170,0,MATCH(K$2,Inputs!$K$4:$AJ$4,0)))+SUMPRODUCT((Inputs!$C$5:$C$170=$B17)*Inputs!$D$5:$D$170*(((Inputs!$G$5:$G$170="moeda")+(Inputs!$G$5:$G$170="acoes"))*Inputs!$B$1+((Inputs!$G$5:$G$170&lt;&gt;"moeda")*(Inputs!$G$5:$G$170&lt;&gt;"acoes")))*INDEX(Inputs!$K$5:$AJ$170,0,MATCH(K$2,Inputs!$K$4:$AJ$4,0)))+SUMPRODUCT((Inputs!$E$5:$E$170=$B17)*Inputs!$F$5:$F$170*(((Inputs!$G$5:$G$170="moeda")+(Inputs!$G$5:$G$170="acoes"))*Inputs!$B$1+((Inputs!$G$5:$G$170&lt;&gt;"moeda")*(Inputs!$G$5:$G$170&lt;&gt;"acoes")))*INDEX(Inputs!$K$5:$AJ$170,0,MATCH(K$2,Inputs!$K$4:$AJ$4,0)))))</f>
        <v>0</v>
      </c>
      <c r="L17" s="6">
        <f>IF(ISNA(MATCH(L$2,Inputs!$K$4:$AJ$4,0)),NA(),IF(SUMPRODUCT((Inputs!$A$5:$A$170=$B17)*ISNUMBER(INDEX(Inputs!$K$5:$AJ$170,0,MATCH(L$2,Inputs!$K$4:$AJ$4,0))))+SUMPRODUCT((Inputs!$C$5:$C$170=$B17)*ISNUMBER(INDEX(Inputs!$K$5:$AJ$170,0,MATCH(L$2,Inputs!$K$4:$AJ$4,0))))+SUMPRODUCT((Inputs!$E$5:$E$170=$B17)*ISNUMBER(INDEX(Inputs!$K$5:$AJ$170,0,MATCH(L$2,Inputs!$K$4:$AJ$4,0))))=0,NA(),SUMPRODUCT((Inputs!$A$5:$A$170=$B17)*Inputs!$B$5:$B$170*(((Inputs!$G$5:$G$170="moeda")+(Inputs!$G$5:$G$170="acoes"))*Inputs!$B$1+((Inputs!$G$5:$G$170&lt;&gt;"moeda")*(Inputs!$G$5:$G$170&lt;&gt;"acoes")))*INDEX(Inputs!$K$5:$AJ$170,0,MATCH(L$2,Inputs!$K$4:$AJ$4,0)))+SUMPRODUCT((Inputs!$C$5:$C$170=$B17)*Inputs!$D$5:$D$170*(((Inputs!$G$5:$G$170="moeda")+(Inputs!$G$5:$G$170="acoes"))*Inputs!$B$1+((Inputs!$G$5:$G$170&lt;&gt;"moeda")*(Inputs!$G$5:$G$170&lt;&gt;"acoes")))*INDEX(Inputs!$K$5:$AJ$170,0,MATCH(L$2,Inputs!$K$4:$AJ$4,0)))+SUMPRODUCT((Inputs!$E$5:$E$170=$B17)*Inputs!$F$5:$F$170*(((Inputs!$G$5:$G$170="moeda")+(Inputs!$G$5:$G$170="acoes"))*Inputs!$B$1+((Inputs!$G$5:$G$170&lt;&gt;"moeda")*(Inputs!$G$5:$G$170&lt;&gt;"acoes")))*INDEX(Inputs!$K$5:$AJ$170,0,MATCH(L$2,Inputs!$K$4:$AJ$4,0)))))</f>
        <v>0</v>
      </c>
      <c r="M17" s="3">
        <f>L17</f>
        <v>0</v>
      </c>
      <c r="N17" s="6">
        <f>IF(ISNA(MATCH(N$2,Inputs!$K$4:$AJ$4,0)),NA(),IF(SUMPRODUCT((Inputs!$A$5:$A$170=$B17)*ISNUMBER(INDEX(Inputs!$K$5:$AJ$170,0,MATCH(N$2,Inputs!$K$4:$AJ$4,0))))+SUMPRODUCT((Inputs!$C$5:$C$170=$B17)*ISNUMBER(INDEX(Inputs!$K$5:$AJ$170,0,MATCH(N$2,Inputs!$K$4:$AJ$4,0))))+SUMPRODUCT((Inputs!$E$5:$E$170=$B17)*ISNUMBER(INDEX(Inputs!$K$5:$AJ$170,0,MATCH(N$2,Inputs!$K$4:$AJ$4,0))))=0,NA(),SUMPRODUCT((Inputs!$A$5:$A$170=$B17)*Inputs!$B$5:$B$170*(((Inputs!$G$5:$G$170="moeda")+(Inputs!$G$5:$G$170="acoes"))*Inputs!$B$1+((Inputs!$G$5:$G$170&lt;&gt;"moeda")*(Inputs!$G$5:$G$170&lt;&gt;"acoes")))*INDEX(Inputs!$K$5:$AJ$170,0,MATCH(N$2,Inputs!$K$4:$AJ$4,0)))+SUMPRODUCT((Inputs!$C$5:$C$170=$B17)*Inputs!$D$5:$D$170*(((Inputs!$G$5:$G$170="moeda")+(Inputs!$G$5:$G$170="acoes"))*Inputs!$B$1+((Inputs!$G$5:$G$170&lt;&gt;"moeda")*(Inputs!$G$5:$G$170&lt;&gt;"acoes")))*INDEX(Inputs!$K$5:$AJ$170,0,MATCH(N$2,Inputs!$K$4:$AJ$4,0)))+SUMPRODUCT((Inputs!$E$5:$E$170=$B17)*Inputs!$F$5:$F$170*(((Inputs!$G$5:$G$170="moeda")+(Inputs!$G$5:$G$170="acoes"))*Inputs!$B$1+((Inputs!$G$5:$G$170&lt;&gt;"moeda")*(Inputs!$G$5:$G$170&lt;&gt;"acoes")))*INDEX(Inputs!$K$5:$AJ$170,0,MATCH(N$2,Inputs!$K$4:$AJ$4,0)))))</f>
        <v>0</v>
      </c>
      <c r="O17" s="6">
        <f>IF(ISNA(MATCH(O$2,Inputs!$K$4:$AJ$4,0)),NA(),IF(SUMPRODUCT((Inputs!$A$5:$A$170=$B17)*ISNUMBER(INDEX(Inputs!$K$5:$AJ$170,0,MATCH(O$2,Inputs!$K$4:$AJ$4,0))))+SUMPRODUCT((Inputs!$C$5:$C$170=$B17)*ISNUMBER(INDEX(Inputs!$K$5:$AJ$170,0,MATCH(O$2,Inputs!$K$4:$AJ$4,0))))+SUMPRODUCT((Inputs!$E$5:$E$170=$B17)*ISNUMBER(INDEX(Inputs!$K$5:$AJ$170,0,MATCH(O$2,Inputs!$K$4:$AJ$4,0))))=0,NA(),SUMPRODUCT((Inputs!$A$5:$A$170=$B17)*Inputs!$B$5:$B$170*(((Inputs!$G$5:$G$170="moeda")+(Inputs!$G$5:$G$170="acoes"))*Inputs!$B$1+((Inputs!$G$5:$G$170&lt;&gt;"moeda")*(Inputs!$G$5:$G$170&lt;&gt;"acoes")))*INDEX(Inputs!$K$5:$AJ$170,0,MATCH(O$2,Inputs!$K$4:$AJ$4,0)))+SUMPRODUCT((Inputs!$C$5:$C$170=$B17)*Inputs!$D$5:$D$170*(((Inputs!$G$5:$G$170="moeda")+(Inputs!$G$5:$G$170="acoes"))*Inputs!$B$1+((Inputs!$G$5:$G$170&lt;&gt;"moeda")*(Inputs!$G$5:$G$170&lt;&gt;"acoes")))*INDEX(Inputs!$K$5:$AJ$170,0,MATCH(O$2,Inputs!$K$4:$AJ$4,0)))+SUMPRODUCT((Inputs!$E$5:$E$170=$B17)*Inputs!$F$5:$F$170*(((Inputs!$G$5:$G$170="moeda")+(Inputs!$G$5:$G$170="acoes"))*Inputs!$B$1+((Inputs!$G$5:$G$170&lt;&gt;"moeda")*(Inputs!$G$5:$G$170&lt;&gt;"acoes")))*INDEX(Inputs!$K$5:$AJ$170,0,MATCH(O$2,Inputs!$K$4:$AJ$4,0)))))</f>
        <v>0</v>
      </c>
      <c r="P17" s="6">
        <f>IF(ISNA(MATCH(P$2,Inputs!$K$4:$AJ$4,0)),NA(),IF(SUMPRODUCT((Inputs!$A$5:$A$170=$B17)*ISNUMBER(INDEX(Inputs!$K$5:$AJ$170,0,MATCH(P$2,Inputs!$K$4:$AJ$4,0))))+SUMPRODUCT((Inputs!$C$5:$C$170=$B17)*ISNUMBER(INDEX(Inputs!$K$5:$AJ$170,0,MATCH(P$2,Inputs!$K$4:$AJ$4,0))))+SUMPRODUCT((Inputs!$E$5:$E$170=$B17)*ISNUMBER(INDEX(Inputs!$K$5:$AJ$170,0,MATCH(P$2,Inputs!$K$4:$AJ$4,0))))=0,NA(),SUMPRODUCT((Inputs!$A$5:$A$170=$B17)*Inputs!$B$5:$B$170*(((Inputs!$G$5:$G$170="moeda")+(Inputs!$G$5:$G$170="acoes"))*Inputs!$B$1+((Inputs!$G$5:$G$170&lt;&gt;"moeda")*(Inputs!$G$5:$G$170&lt;&gt;"acoes")))*INDEX(Inputs!$K$5:$AJ$170,0,MATCH(P$2,Inputs!$K$4:$AJ$4,0)))+SUMPRODUCT((Inputs!$C$5:$C$170=$B17)*Inputs!$D$5:$D$170*(((Inputs!$G$5:$G$170="moeda")+(Inputs!$G$5:$G$170="acoes"))*Inputs!$B$1+((Inputs!$G$5:$G$170&lt;&gt;"moeda")*(Inputs!$G$5:$G$170&lt;&gt;"acoes")))*INDEX(Inputs!$K$5:$AJ$170,0,MATCH(P$2,Inputs!$K$4:$AJ$4,0)))+SUMPRODUCT((Inputs!$E$5:$E$170=$B17)*Inputs!$F$5:$F$170*(((Inputs!$G$5:$G$170="moeda")+(Inputs!$G$5:$G$170="acoes"))*Inputs!$B$1+((Inputs!$G$5:$G$170&lt;&gt;"moeda")*(Inputs!$G$5:$G$170&lt;&gt;"acoes")))*INDEX(Inputs!$K$5:$AJ$170,0,MATCH(P$2,Inputs!$K$4:$AJ$4,0)))))</f>
        <v>0</v>
      </c>
      <c r="Q17" s="6">
        <f>IF(ISNA(MATCH(Q$2,Inputs!$K$4:$AJ$4,0)),NA(),IF(SUMPRODUCT((Inputs!$A$5:$A$170=$B17)*ISNUMBER(INDEX(Inputs!$K$5:$AJ$170,0,MATCH(Q$2,Inputs!$K$4:$AJ$4,0))))+SUMPRODUCT((Inputs!$C$5:$C$170=$B17)*ISNUMBER(INDEX(Inputs!$K$5:$AJ$170,0,MATCH(Q$2,Inputs!$K$4:$AJ$4,0))))+SUMPRODUCT((Inputs!$E$5:$E$170=$B17)*ISNUMBER(INDEX(Inputs!$K$5:$AJ$170,0,MATCH(Q$2,Inputs!$K$4:$AJ$4,0))))=0,NA(),SUMPRODUCT((Inputs!$A$5:$A$170=$B17)*Inputs!$B$5:$B$170*(((Inputs!$G$5:$G$170="moeda")+(Inputs!$G$5:$G$170="acoes"))*Inputs!$B$1+((Inputs!$G$5:$G$170&lt;&gt;"moeda")*(Inputs!$G$5:$G$170&lt;&gt;"acoes")))*INDEX(Inputs!$K$5:$AJ$170,0,MATCH(Q$2,Inputs!$K$4:$AJ$4,0)))+SUMPRODUCT((Inputs!$C$5:$C$170=$B17)*Inputs!$D$5:$D$170*(((Inputs!$G$5:$G$170="moeda")+(Inputs!$G$5:$G$170="acoes"))*Inputs!$B$1+((Inputs!$G$5:$G$170&lt;&gt;"moeda")*(Inputs!$G$5:$G$170&lt;&gt;"acoes")))*INDEX(Inputs!$K$5:$AJ$170,0,MATCH(Q$2,Inputs!$K$4:$AJ$4,0)))+SUMPRODUCT((Inputs!$E$5:$E$170=$B17)*Inputs!$F$5:$F$170*(((Inputs!$G$5:$G$170="moeda")+(Inputs!$G$5:$G$170="acoes"))*Inputs!$B$1+((Inputs!$G$5:$G$170&lt;&gt;"moeda")*(Inputs!$G$5:$G$170&lt;&gt;"acoes")))*INDEX(Inputs!$K$5:$AJ$170,0,MATCH(Q$2,Inputs!$K$4:$AJ$4,0)))))</f>
        <v>0</v>
      </c>
      <c r="R17" s="3">
        <f>Q17</f>
        <v>0</v>
      </c>
      <c r="S17" s="6">
        <f>IF(ISNA(MATCH(S$2,Inputs!$K$4:$AJ$4,0)),NA(),IF(SUMPRODUCT((Inputs!$A$5:$A$170=$B17)*ISNUMBER(INDEX(Inputs!$K$5:$AJ$170,0,MATCH(S$2,Inputs!$K$4:$AJ$4,0))))+SUMPRODUCT((Inputs!$C$5:$C$170=$B17)*ISNUMBER(INDEX(Inputs!$K$5:$AJ$170,0,MATCH(S$2,Inputs!$K$4:$AJ$4,0))))+SUMPRODUCT((Inputs!$E$5:$E$170=$B17)*ISNUMBER(INDEX(Inputs!$K$5:$AJ$170,0,MATCH(S$2,Inputs!$K$4:$AJ$4,0))))=0,NA(),SUMPRODUCT((Inputs!$A$5:$A$170=$B17)*Inputs!$B$5:$B$170*(((Inputs!$G$5:$G$170="moeda")+(Inputs!$G$5:$G$170="acoes"))*Inputs!$B$1+((Inputs!$G$5:$G$170&lt;&gt;"moeda")*(Inputs!$G$5:$G$170&lt;&gt;"acoes")))*INDEX(Inputs!$K$5:$AJ$170,0,MATCH(S$2,Inputs!$K$4:$AJ$4,0)))+SUMPRODUCT((Inputs!$C$5:$C$170=$B17)*Inputs!$D$5:$D$170*(((Inputs!$G$5:$G$170="moeda")+(Inputs!$G$5:$G$170="acoes"))*Inputs!$B$1+((Inputs!$G$5:$G$170&lt;&gt;"moeda")*(Inputs!$G$5:$G$170&lt;&gt;"acoes")))*INDEX(Inputs!$K$5:$AJ$170,0,MATCH(S$2,Inputs!$K$4:$AJ$4,0)))+SUMPRODUCT((Inputs!$E$5:$E$170=$B17)*Inputs!$F$5:$F$170*(((Inputs!$G$5:$G$170="moeda")+(Inputs!$G$5:$G$170="acoes"))*Inputs!$B$1+((Inputs!$G$5:$G$170&lt;&gt;"moeda")*(Inputs!$G$5:$G$170&lt;&gt;"acoes")))*INDEX(Inputs!$K$5:$AJ$170,0,MATCH(S$2,Inputs!$K$4:$AJ$4,0)))))</f>
        <v>0</v>
      </c>
      <c r="T17" s="6">
        <f>IF(ISNA(MATCH(T$2,Inputs!$K$4:$AJ$4,0)),NA(),IF(SUMPRODUCT((Inputs!$A$5:$A$170=$B17)*ISNUMBER(INDEX(Inputs!$K$5:$AJ$170,0,MATCH(T$2,Inputs!$K$4:$AJ$4,0))))+SUMPRODUCT((Inputs!$C$5:$C$170=$B17)*ISNUMBER(INDEX(Inputs!$K$5:$AJ$170,0,MATCH(T$2,Inputs!$K$4:$AJ$4,0))))+SUMPRODUCT((Inputs!$E$5:$E$170=$B17)*ISNUMBER(INDEX(Inputs!$K$5:$AJ$170,0,MATCH(T$2,Inputs!$K$4:$AJ$4,0))))=0,NA(),SUMPRODUCT((Inputs!$A$5:$A$170=$B17)*Inputs!$B$5:$B$170*(((Inputs!$G$5:$G$170="moeda")+(Inputs!$G$5:$G$170="acoes"))*Inputs!$B$1+((Inputs!$G$5:$G$170&lt;&gt;"moeda")*(Inputs!$G$5:$G$170&lt;&gt;"acoes")))*INDEX(Inputs!$K$5:$AJ$170,0,MATCH(T$2,Inputs!$K$4:$AJ$4,0)))+SUMPRODUCT((Inputs!$C$5:$C$170=$B17)*Inputs!$D$5:$D$170*(((Inputs!$G$5:$G$170="moeda")+(Inputs!$G$5:$G$170="acoes"))*Inputs!$B$1+((Inputs!$G$5:$G$170&lt;&gt;"moeda")*(Inputs!$G$5:$G$170&lt;&gt;"acoes")))*INDEX(Inputs!$K$5:$AJ$170,0,MATCH(T$2,Inputs!$K$4:$AJ$4,0)))+SUMPRODUCT((Inputs!$E$5:$E$170=$B17)*Inputs!$F$5:$F$170*(((Inputs!$G$5:$G$170="moeda")+(Inputs!$G$5:$G$170="acoes"))*Inputs!$B$1+((Inputs!$G$5:$G$170&lt;&gt;"moeda")*(Inputs!$G$5:$G$170&lt;&gt;"acoes")))*INDEX(Inputs!$K$5:$AJ$170,0,MATCH(T$2,Inputs!$K$4:$AJ$4,0)))))</f>
        <v>0</v>
      </c>
      <c r="U17" s="6">
        <f>IF(ISNA(MATCH(U$2,Inputs!$K$4:$AJ$4,0)),NA(),IF(SUMPRODUCT((Inputs!$A$5:$A$170=$B17)*ISNUMBER(INDEX(Inputs!$K$5:$AJ$170,0,MATCH(U$2,Inputs!$K$4:$AJ$4,0))))+SUMPRODUCT((Inputs!$C$5:$C$170=$B17)*ISNUMBER(INDEX(Inputs!$K$5:$AJ$170,0,MATCH(U$2,Inputs!$K$4:$AJ$4,0))))+SUMPRODUCT((Inputs!$E$5:$E$170=$B17)*ISNUMBER(INDEX(Inputs!$K$5:$AJ$170,0,MATCH(U$2,Inputs!$K$4:$AJ$4,0))))=0,NA(),SUMPRODUCT((Inputs!$A$5:$A$170=$B17)*Inputs!$B$5:$B$170*(((Inputs!$G$5:$G$170="moeda")+(Inputs!$G$5:$G$170="acoes"))*Inputs!$B$1+((Inputs!$G$5:$G$170&lt;&gt;"moeda")*(Inputs!$G$5:$G$170&lt;&gt;"acoes")))*INDEX(Inputs!$K$5:$AJ$170,0,MATCH(U$2,Inputs!$K$4:$AJ$4,0)))+SUMPRODUCT((Inputs!$C$5:$C$170=$B17)*Inputs!$D$5:$D$170*(((Inputs!$G$5:$G$170="moeda")+(Inputs!$G$5:$G$170="acoes"))*Inputs!$B$1+((Inputs!$G$5:$G$170&lt;&gt;"moeda")*(Inputs!$G$5:$G$170&lt;&gt;"acoes")))*INDEX(Inputs!$K$5:$AJ$170,0,MATCH(U$2,Inputs!$K$4:$AJ$4,0)))+SUMPRODUCT((Inputs!$E$5:$E$170=$B17)*Inputs!$F$5:$F$170*(((Inputs!$G$5:$G$170="moeda")+(Inputs!$G$5:$G$170="acoes"))*Inputs!$B$1+((Inputs!$G$5:$G$170&lt;&gt;"moeda")*(Inputs!$G$5:$G$170&lt;&gt;"acoes")))*INDEX(Inputs!$K$5:$AJ$170,0,MATCH(U$2,Inputs!$K$4:$AJ$4,0)))))</f>
        <v>0</v>
      </c>
      <c r="V17" s="6">
        <f>IF(ISNA(MATCH(V$2,Inputs!$K$4:$AJ$4,0)),NA(),IF(SUMPRODUCT((Inputs!$A$5:$A$170=$B17)*ISNUMBER(INDEX(Inputs!$K$5:$AJ$170,0,MATCH(V$2,Inputs!$K$4:$AJ$4,0))))+SUMPRODUCT((Inputs!$C$5:$C$170=$B17)*ISNUMBER(INDEX(Inputs!$K$5:$AJ$170,0,MATCH(V$2,Inputs!$K$4:$AJ$4,0))))+SUMPRODUCT((Inputs!$E$5:$E$170=$B17)*ISNUMBER(INDEX(Inputs!$K$5:$AJ$170,0,MATCH(V$2,Inputs!$K$4:$AJ$4,0))))=0,NA(),SUMPRODUCT((Inputs!$A$5:$A$170=$B17)*Inputs!$B$5:$B$170*(((Inputs!$G$5:$G$170="moeda")+(Inputs!$G$5:$G$170="acoes"))*Inputs!$B$1+((Inputs!$G$5:$G$170&lt;&gt;"moeda")*(Inputs!$G$5:$G$170&lt;&gt;"acoes")))*INDEX(Inputs!$K$5:$AJ$170,0,MATCH(V$2,Inputs!$K$4:$AJ$4,0)))+SUMPRODUCT((Inputs!$C$5:$C$170=$B17)*Inputs!$D$5:$D$170*(((Inputs!$G$5:$G$170="moeda")+(Inputs!$G$5:$G$170="acoes"))*Inputs!$B$1+((Inputs!$G$5:$G$170&lt;&gt;"moeda")*(Inputs!$G$5:$G$170&lt;&gt;"acoes")))*INDEX(Inputs!$K$5:$AJ$170,0,MATCH(V$2,Inputs!$K$4:$AJ$4,0)))+SUMPRODUCT((Inputs!$E$5:$E$170=$B17)*Inputs!$F$5:$F$170*(((Inputs!$G$5:$G$170="moeda")+(Inputs!$G$5:$G$170="acoes"))*Inputs!$B$1+((Inputs!$G$5:$G$170&lt;&gt;"moeda")*(Inputs!$G$5:$G$170&lt;&gt;"acoes")))*INDEX(Inputs!$K$5:$AJ$170,0,MATCH(V$2,Inputs!$K$4:$AJ$4,0)))))</f>
        <v>0</v>
      </c>
      <c r="W17" s="3">
        <f>V17</f>
        <v>0</v>
      </c>
      <c r="X17" s="6">
        <f>IF(ISNA(MATCH(X$2,Inputs!$K$4:$AJ$4,0)),NA(),IF(SUMPRODUCT((Inputs!$A$5:$A$170=$B17)*ISNUMBER(INDEX(Inputs!$K$5:$AJ$170,0,MATCH(X$2,Inputs!$K$4:$AJ$4,0))))+SUMPRODUCT((Inputs!$C$5:$C$170=$B17)*ISNUMBER(INDEX(Inputs!$K$5:$AJ$170,0,MATCH(X$2,Inputs!$K$4:$AJ$4,0))))+SUMPRODUCT((Inputs!$E$5:$E$170=$B17)*ISNUMBER(INDEX(Inputs!$K$5:$AJ$170,0,MATCH(X$2,Inputs!$K$4:$AJ$4,0))))=0,NA(),SUMPRODUCT((Inputs!$A$5:$A$170=$B17)*Inputs!$B$5:$B$170*(((Inputs!$G$5:$G$170="moeda")+(Inputs!$G$5:$G$170="acoes"))*Inputs!$B$1+((Inputs!$G$5:$G$170&lt;&gt;"moeda")*(Inputs!$G$5:$G$170&lt;&gt;"acoes")))*INDEX(Inputs!$K$5:$AJ$170,0,MATCH(X$2,Inputs!$K$4:$AJ$4,0)))+SUMPRODUCT((Inputs!$C$5:$C$170=$B17)*Inputs!$D$5:$D$170*(((Inputs!$G$5:$G$170="moeda")+(Inputs!$G$5:$G$170="acoes"))*Inputs!$B$1+((Inputs!$G$5:$G$170&lt;&gt;"moeda")*(Inputs!$G$5:$G$170&lt;&gt;"acoes")))*INDEX(Inputs!$K$5:$AJ$170,0,MATCH(X$2,Inputs!$K$4:$AJ$4,0)))+SUMPRODUCT((Inputs!$E$5:$E$170=$B17)*Inputs!$F$5:$F$170*(((Inputs!$G$5:$G$170="moeda")+(Inputs!$G$5:$G$170="acoes"))*Inputs!$B$1+((Inputs!$G$5:$G$170&lt;&gt;"moeda")*(Inputs!$G$5:$G$170&lt;&gt;"acoes")))*INDEX(Inputs!$K$5:$AJ$170,0,MATCH(X$2,Inputs!$K$4:$AJ$4,0)))))</f>
        <v>0</v>
      </c>
      <c r="Y17" s="6">
        <f>IF(ISNA(MATCH(Y$2,Inputs!$K$4:$AJ$4,0)),NA(),IF(SUMPRODUCT((Inputs!$A$5:$A$170=$B17)*ISNUMBER(INDEX(Inputs!$K$5:$AJ$170,0,MATCH(Y$2,Inputs!$K$4:$AJ$4,0))))+SUMPRODUCT((Inputs!$C$5:$C$170=$B17)*ISNUMBER(INDEX(Inputs!$K$5:$AJ$170,0,MATCH(Y$2,Inputs!$K$4:$AJ$4,0))))+SUMPRODUCT((Inputs!$E$5:$E$170=$B17)*ISNUMBER(INDEX(Inputs!$K$5:$AJ$170,0,MATCH(Y$2,Inputs!$K$4:$AJ$4,0))))=0,NA(),SUMPRODUCT((Inputs!$A$5:$A$170=$B17)*Inputs!$B$5:$B$170*(((Inputs!$G$5:$G$170="moeda")+(Inputs!$G$5:$G$170="acoes"))*Inputs!$B$1+((Inputs!$G$5:$G$170&lt;&gt;"moeda")*(Inputs!$G$5:$G$170&lt;&gt;"acoes")))*INDEX(Inputs!$K$5:$AJ$170,0,MATCH(Y$2,Inputs!$K$4:$AJ$4,0)))+SUMPRODUCT((Inputs!$C$5:$C$170=$B17)*Inputs!$D$5:$D$170*(((Inputs!$G$5:$G$170="moeda")+(Inputs!$G$5:$G$170="acoes"))*Inputs!$B$1+((Inputs!$G$5:$G$170&lt;&gt;"moeda")*(Inputs!$G$5:$G$170&lt;&gt;"acoes")))*INDEX(Inputs!$K$5:$AJ$170,0,MATCH(Y$2,Inputs!$K$4:$AJ$4,0)))+SUMPRODUCT((Inputs!$E$5:$E$170=$B17)*Inputs!$F$5:$F$170*(((Inputs!$G$5:$G$170="moeda")+(Inputs!$G$5:$G$170="acoes"))*Inputs!$B$1+((Inputs!$G$5:$G$170&lt;&gt;"moeda")*(Inputs!$G$5:$G$170&lt;&gt;"acoes")))*INDEX(Inputs!$K$5:$AJ$170,0,MATCH(Y$2,Inputs!$K$4:$AJ$4,0)))))</f>
        <v>0</v>
      </c>
      <c r="Z17" s="6">
        <f>IF(ISNA(MATCH(Z$2,Inputs!$K$4:$AJ$4,0)),NA(),IF(SUMPRODUCT((Inputs!$A$5:$A$170=$B17)*ISNUMBER(INDEX(Inputs!$K$5:$AJ$170,0,MATCH(Z$2,Inputs!$K$4:$AJ$4,0))))+SUMPRODUCT((Inputs!$C$5:$C$170=$B17)*ISNUMBER(INDEX(Inputs!$K$5:$AJ$170,0,MATCH(Z$2,Inputs!$K$4:$AJ$4,0))))+SUMPRODUCT((Inputs!$E$5:$E$170=$B17)*ISNUMBER(INDEX(Inputs!$K$5:$AJ$170,0,MATCH(Z$2,Inputs!$K$4:$AJ$4,0))))=0,NA(),SUMPRODUCT((Inputs!$A$5:$A$170=$B17)*Inputs!$B$5:$B$170*(((Inputs!$G$5:$G$170="moeda")+(Inputs!$G$5:$G$170="acoes"))*Inputs!$B$1+((Inputs!$G$5:$G$170&lt;&gt;"moeda")*(Inputs!$G$5:$G$170&lt;&gt;"acoes")))*INDEX(Inputs!$K$5:$AJ$170,0,MATCH(Z$2,Inputs!$K$4:$AJ$4,0)))+SUMPRODUCT((Inputs!$C$5:$C$170=$B17)*Inputs!$D$5:$D$170*(((Inputs!$G$5:$G$170="moeda")+(Inputs!$G$5:$G$170="acoes"))*Inputs!$B$1+((Inputs!$G$5:$G$170&lt;&gt;"moeda")*(Inputs!$G$5:$G$170&lt;&gt;"acoes")))*INDEX(Inputs!$K$5:$AJ$170,0,MATCH(Z$2,Inputs!$K$4:$AJ$4,0)))+SUMPRODUCT((Inputs!$E$5:$E$170=$B17)*Inputs!$F$5:$F$170*(((Inputs!$G$5:$G$170="moeda")+(Inputs!$G$5:$G$170="acoes"))*Inputs!$B$1+((Inputs!$G$5:$G$170&lt;&gt;"moeda")*(Inputs!$G$5:$G$170&lt;&gt;"acoes")))*INDEX(Inputs!$K$5:$AJ$170,0,MATCH(Z$2,Inputs!$K$4:$AJ$4,0)))))</f>
        <v>0</v>
      </c>
      <c r="AA17" s="6">
        <f>IF(ISNA(MATCH(AA$2,Inputs!$K$4:$AJ$4,0)),NA(),IF(SUMPRODUCT((Inputs!$A$5:$A$170=$B17)*ISNUMBER(INDEX(Inputs!$K$5:$AJ$170,0,MATCH(AA$2,Inputs!$K$4:$AJ$4,0))))+SUMPRODUCT((Inputs!$C$5:$C$170=$B17)*ISNUMBER(INDEX(Inputs!$K$5:$AJ$170,0,MATCH(AA$2,Inputs!$K$4:$AJ$4,0))))+SUMPRODUCT((Inputs!$E$5:$E$170=$B17)*ISNUMBER(INDEX(Inputs!$K$5:$AJ$170,0,MATCH(AA$2,Inputs!$K$4:$AJ$4,0))))=0,NA(),SUMPRODUCT((Inputs!$A$5:$A$170=$B17)*Inputs!$B$5:$B$170*(((Inputs!$G$5:$G$170="moeda")+(Inputs!$G$5:$G$170="acoes"))*Inputs!$B$1+((Inputs!$G$5:$G$170&lt;&gt;"moeda")*(Inputs!$G$5:$G$170&lt;&gt;"acoes")))*INDEX(Inputs!$K$5:$AJ$170,0,MATCH(AA$2,Inputs!$K$4:$AJ$4,0)))+SUMPRODUCT((Inputs!$C$5:$C$170=$B17)*Inputs!$D$5:$D$170*(((Inputs!$G$5:$G$170="moeda")+(Inputs!$G$5:$G$170="acoes"))*Inputs!$B$1+((Inputs!$G$5:$G$170&lt;&gt;"moeda")*(Inputs!$G$5:$G$170&lt;&gt;"acoes")))*INDEX(Inputs!$K$5:$AJ$170,0,MATCH(AA$2,Inputs!$K$4:$AJ$4,0)))+SUMPRODUCT((Inputs!$E$5:$E$170=$B17)*Inputs!$F$5:$F$170*(((Inputs!$G$5:$G$170="moeda")+(Inputs!$G$5:$G$170="acoes"))*Inputs!$B$1+((Inputs!$G$5:$G$170&lt;&gt;"moeda")*(Inputs!$G$5:$G$170&lt;&gt;"acoes")))*INDEX(Inputs!$K$5:$AJ$170,0,MATCH(AA$2,Inputs!$K$4:$AJ$4,0)))))</f>
        <v>0</v>
      </c>
      <c r="AB17" s="3">
        <f>AA17</f>
        <v>0</v>
      </c>
      <c r="AC17" s="6">
        <f>IF(ISNA(MATCH(AC$2,Inputs!$K$4:$AJ$4,0)),NA(),IF(SUMPRODUCT((Inputs!$A$5:$A$170=$B17)*ISNUMBER(INDEX(Inputs!$K$5:$AJ$170,0,MATCH(AC$2,Inputs!$K$4:$AJ$4,0))))+SUMPRODUCT((Inputs!$C$5:$C$170=$B17)*ISNUMBER(INDEX(Inputs!$K$5:$AJ$170,0,MATCH(AC$2,Inputs!$K$4:$AJ$4,0))))+SUMPRODUCT((Inputs!$E$5:$E$170=$B17)*ISNUMBER(INDEX(Inputs!$K$5:$AJ$170,0,MATCH(AC$2,Inputs!$K$4:$AJ$4,0))))=0,NA(),SUMPRODUCT((Inputs!$A$5:$A$170=$B17)*Inputs!$B$5:$B$170*(((Inputs!$G$5:$G$170="moeda")+(Inputs!$G$5:$G$170="acoes"))*Inputs!$B$1+((Inputs!$G$5:$G$170&lt;&gt;"moeda")*(Inputs!$G$5:$G$170&lt;&gt;"acoes")))*INDEX(Inputs!$K$5:$AJ$170,0,MATCH(AC$2,Inputs!$K$4:$AJ$4,0)))+SUMPRODUCT((Inputs!$C$5:$C$170=$B17)*Inputs!$D$5:$D$170*(((Inputs!$G$5:$G$170="moeda")+(Inputs!$G$5:$G$170="acoes"))*Inputs!$B$1+((Inputs!$G$5:$G$170&lt;&gt;"moeda")*(Inputs!$G$5:$G$170&lt;&gt;"acoes")))*INDEX(Inputs!$K$5:$AJ$170,0,MATCH(AC$2,Inputs!$K$4:$AJ$4,0)))+SUMPRODUCT((Inputs!$E$5:$E$170=$B17)*Inputs!$F$5:$F$170*(((Inputs!$G$5:$G$170="moeda")+(Inputs!$G$5:$G$170="acoes"))*Inputs!$B$1+((Inputs!$G$5:$G$170&lt;&gt;"moeda")*(Inputs!$G$5:$G$170&lt;&gt;"acoes")))*INDEX(Inputs!$K$5:$AJ$170,0,MATCH(AC$2,Inputs!$K$4:$AJ$4,0)))))</f>
        <v>0</v>
      </c>
      <c r="AD17" s="6">
        <f>IF(ISNA(MATCH(AD$2,Inputs!$K$4:$AJ$4,0)),NA(),IF(SUMPRODUCT((Inputs!$A$5:$A$170=$B17)*ISNUMBER(INDEX(Inputs!$K$5:$AJ$170,0,MATCH(AD$2,Inputs!$K$4:$AJ$4,0))))+SUMPRODUCT((Inputs!$C$5:$C$170=$B17)*ISNUMBER(INDEX(Inputs!$K$5:$AJ$170,0,MATCH(AD$2,Inputs!$K$4:$AJ$4,0))))+SUMPRODUCT((Inputs!$E$5:$E$170=$B17)*ISNUMBER(INDEX(Inputs!$K$5:$AJ$170,0,MATCH(AD$2,Inputs!$K$4:$AJ$4,0))))=0,NA(),SUMPRODUCT((Inputs!$A$5:$A$170=$B17)*Inputs!$B$5:$B$170*(((Inputs!$G$5:$G$170="moeda")+(Inputs!$G$5:$G$170="acoes"))*Inputs!$B$1+((Inputs!$G$5:$G$170&lt;&gt;"moeda")*(Inputs!$G$5:$G$170&lt;&gt;"acoes")))*INDEX(Inputs!$K$5:$AJ$170,0,MATCH(AD$2,Inputs!$K$4:$AJ$4,0)))+SUMPRODUCT((Inputs!$C$5:$C$170=$B17)*Inputs!$D$5:$D$170*(((Inputs!$G$5:$G$170="moeda")+(Inputs!$G$5:$G$170="acoes"))*Inputs!$B$1+((Inputs!$G$5:$G$170&lt;&gt;"moeda")*(Inputs!$G$5:$G$170&lt;&gt;"acoes")))*INDEX(Inputs!$K$5:$AJ$170,0,MATCH(AD$2,Inputs!$K$4:$AJ$4,0)))+SUMPRODUCT((Inputs!$E$5:$E$170=$B17)*Inputs!$F$5:$F$170*(((Inputs!$G$5:$G$170="moeda")+(Inputs!$G$5:$G$170="acoes"))*Inputs!$B$1+((Inputs!$G$5:$G$170&lt;&gt;"moeda")*(Inputs!$G$5:$G$170&lt;&gt;"acoes")))*INDEX(Inputs!$K$5:$AJ$170,0,MATCH(AD$2,Inputs!$K$4:$AJ$4,0)))))</f>
        <v>0</v>
      </c>
      <c r="AE17" s="6" t="e">
        <f>IF(ISNA(MATCH(AE$2,Inputs!$K$4:$AJ$4,0)),NA(),IF(SUMPRODUCT((Inputs!$A$5:$A$170=$B17)*ISNUMBER(INDEX(Inputs!$K$5:$AJ$170,0,MATCH(AE$2,Inputs!$K$4:$AJ$4,0))))+SUMPRODUCT((Inputs!$C$5:$C$170=$B17)*ISNUMBER(INDEX(Inputs!$K$5:$AJ$170,0,MATCH(AE$2,Inputs!$K$4:$AJ$4,0))))+SUMPRODUCT((Inputs!$E$5:$E$170=$B17)*ISNUMBER(INDEX(Inputs!$K$5:$AJ$170,0,MATCH(AE$2,Inputs!$K$4:$AJ$4,0))))=0,NA(),SUMPRODUCT((Inputs!$A$5:$A$170=$B17)*Inputs!$B$5:$B$170*(((Inputs!$G$5:$G$170="moeda")+(Inputs!$G$5:$G$170="acoes"))*Inputs!$B$1+((Inputs!$G$5:$G$170&lt;&gt;"moeda")*(Inputs!$G$5:$G$170&lt;&gt;"acoes")))*INDEX(Inputs!$K$5:$AJ$170,0,MATCH(AE$2,Inputs!$K$4:$AJ$4,0)))+SUMPRODUCT((Inputs!$C$5:$C$170=$B17)*Inputs!$D$5:$D$170*(((Inputs!$G$5:$G$170="moeda")+(Inputs!$G$5:$G$170="acoes"))*Inputs!$B$1+((Inputs!$G$5:$G$170&lt;&gt;"moeda")*(Inputs!$G$5:$G$170&lt;&gt;"acoes")))*INDEX(Inputs!$K$5:$AJ$170,0,MATCH(AE$2,Inputs!$K$4:$AJ$4,0)))+SUMPRODUCT((Inputs!$E$5:$E$170=$B17)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7" s="6" t="e">
        <f>IF(ISNA(MATCH(AF$2,Inputs!$K$4:$AJ$4,0)),NA(),IF(SUMPRODUCT((Inputs!$A$5:$A$170=$B17)*ISNUMBER(INDEX(Inputs!$K$5:$AJ$170,0,MATCH(AF$2,Inputs!$K$4:$AJ$4,0))))+SUMPRODUCT((Inputs!$C$5:$C$170=$B17)*ISNUMBER(INDEX(Inputs!$K$5:$AJ$170,0,MATCH(AF$2,Inputs!$K$4:$AJ$4,0))))+SUMPRODUCT((Inputs!$E$5:$E$170=$B17)*ISNUMBER(INDEX(Inputs!$K$5:$AJ$170,0,MATCH(AF$2,Inputs!$K$4:$AJ$4,0))))=0,NA(),SUMPRODUCT((Inputs!$A$5:$A$170=$B17)*Inputs!$B$5:$B$170*(((Inputs!$G$5:$G$170="moeda")+(Inputs!$G$5:$G$170="acoes"))*Inputs!$B$1+((Inputs!$G$5:$G$170&lt;&gt;"moeda")*(Inputs!$G$5:$G$170&lt;&gt;"acoes")))*INDEX(Inputs!$K$5:$AJ$170,0,MATCH(AF$2,Inputs!$K$4:$AJ$4,0)))+SUMPRODUCT((Inputs!$C$5:$C$170=$B17)*Inputs!$D$5:$D$170*(((Inputs!$G$5:$G$170="moeda")+(Inputs!$G$5:$G$170="acoes"))*Inputs!$B$1+((Inputs!$G$5:$G$170&lt;&gt;"moeda")*(Inputs!$G$5:$G$170&lt;&gt;"acoes")))*INDEX(Inputs!$K$5:$AJ$170,0,MATCH(AF$2,Inputs!$K$4:$AJ$4,0)))+SUMPRODUCT((Inputs!$E$5:$E$170=$B17)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7" s="3" t="e">
        <f>AF17</f>
        <v>#N/A</v>
      </c>
      <c r="AH17" s="6">
        <f>IF(ISNA(MATCH(AH$2,Inputs!$K$4:$AJ$4,0)),NA(),IF(SUMPRODUCT((Inputs!$A$5:$A$170=$B17)*ISNUMBER(INDEX(Inputs!$K$5:$AJ$170,0,MATCH(AH$2,Inputs!$K$4:$AJ$4,0))))+SUMPRODUCT((Inputs!$C$5:$C$170=$B17)*ISNUMBER(INDEX(Inputs!$K$5:$AJ$170,0,MATCH(AH$2,Inputs!$K$4:$AJ$4,0))))+SUMPRODUCT((Inputs!$E$5:$E$170=$B17)*ISNUMBER(INDEX(Inputs!$K$5:$AJ$170,0,MATCH(AH$2,Inputs!$K$4:$AJ$4,0))))=0,NA(),SUMPRODUCT((Inputs!$A$5:$A$170=$B17)*Inputs!$B$5:$B$170*(((Inputs!$G$5:$G$170="moeda")+(Inputs!$G$5:$G$170="acoes"))*Inputs!$B$1+((Inputs!$G$5:$G$170&lt;&gt;"moeda")*(Inputs!$G$5:$G$170&lt;&gt;"acoes")))*INDEX(Inputs!$K$5:$AJ$170,0,MATCH(AH$2,Inputs!$K$4:$AJ$4,0)))+SUMPRODUCT((Inputs!$C$5:$C$170=$B17)*Inputs!$D$5:$D$170*(((Inputs!$G$5:$G$170="moeda")+(Inputs!$G$5:$G$170="acoes"))*Inputs!$B$1+((Inputs!$G$5:$G$170&lt;&gt;"moeda")*(Inputs!$G$5:$G$170&lt;&gt;"acoes")))*INDEX(Inputs!$K$5:$AJ$170,0,MATCH(AH$2,Inputs!$K$4:$AJ$4,0)))+SUMPRODUCT((Inputs!$E$5:$E$170=$B17)*Inputs!$F$5:$F$170*(((Inputs!$G$5:$G$170="moeda")+(Inputs!$G$5:$G$170="acoes"))*Inputs!$B$1+((Inputs!$G$5:$G$170&lt;&gt;"moeda")*(Inputs!$G$5:$G$170&lt;&gt;"acoes")))*INDEX(Inputs!$K$5:$AJ$170,0,MATCH(AH$2,Inputs!$K$4:$AJ$4,0)))))</f>
        <v>0</v>
      </c>
      <c r="AI17" s="6">
        <f>IF(ISNA(MATCH(AI$2,Inputs!$K$4:$AJ$4,0)),NA(),IF(SUMPRODUCT((Inputs!$A$5:$A$170=$B17)*ISNUMBER(INDEX(Inputs!$K$5:$AJ$170,0,MATCH(AI$2,Inputs!$K$4:$AJ$4,0))))+SUMPRODUCT((Inputs!$C$5:$C$170=$B17)*ISNUMBER(INDEX(Inputs!$K$5:$AJ$170,0,MATCH(AI$2,Inputs!$K$4:$AJ$4,0))))+SUMPRODUCT((Inputs!$E$5:$E$170=$B17)*ISNUMBER(INDEX(Inputs!$K$5:$AJ$170,0,MATCH(AI$2,Inputs!$K$4:$AJ$4,0))))=0,NA(),SUMPRODUCT((Inputs!$A$5:$A$170=$B17)*Inputs!$B$5:$B$170*(((Inputs!$G$5:$G$170="moeda")+(Inputs!$G$5:$G$170="acoes"))*Inputs!$B$1+((Inputs!$G$5:$G$170&lt;&gt;"moeda")*(Inputs!$G$5:$G$170&lt;&gt;"acoes")))*INDEX(Inputs!$K$5:$AJ$170,0,MATCH(AI$2,Inputs!$K$4:$AJ$4,0)))+SUMPRODUCT((Inputs!$C$5:$C$170=$B17)*Inputs!$D$5:$D$170*(((Inputs!$G$5:$G$170="moeda")+(Inputs!$G$5:$G$170="acoes"))*Inputs!$B$1+((Inputs!$G$5:$G$170&lt;&gt;"moeda")*(Inputs!$G$5:$G$170&lt;&gt;"acoes")))*INDEX(Inputs!$K$5:$AJ$170,0,MATCH(AI$2,Inputs!$K$4:$AJ$4,0)))+SUMPRODUCT((Inputs!$E$5:$E$170=$B17)*Inputs!$F$5:$F$170*(((Inputs!$G$5:$G$170="moeda")+(Inputs!$G$5:$G$170="acoes"))*Inputs!$B$1+((Inputs!$G$5:$G$170&lt;&gt;"moeda")*(Inputs!$G$5:$G$170&lt;&gt;"acoes")))*INDEX(Inputs!$K$5:$AJ$170,0,MATCH(AI$2,Inputs!$K$4:$AJ$4,0)))))</f>
        <v>0</v>
      </c>
      <c r="AJ17" s="6">
        <f>IF(ISNA(MATCH(AJ$2,Inputs!$K$4:$AJ$4,0)),NA(),IF(SUMPRODUCT((Inputs!$A$5:$A$170=$B17)*ISNUMBER(INDEX(Inputs!$K$5:$AJ$170,0,MATCH(AJ$2,Inputs!$K$4:$AJ$4,0))))+SUMPRODUCT((Inputs!$C$5:$C$170=$B17)*ISNUMBER(INDEX(Inputs!$K$5:$AJ$170,0,MATCH(AJ$2,Inputs!$K$4:$AJ$4,0))))+SUMPRODUCT((Inputs!$E$5:$E$170=$B17)*ISNUMBER(INDEX(Inputs!$K$5:$AJ$170,0,MATCH(AJ$2,Inputs!$K$4:$AJ$4,0))))=0,NA(),SUMPRODUCT((Inputs!$A$5:$A$170=$B17)*Inputs!$B$5:$B$170*(((Inputs!$G$5:$G$170="moeda")+(Inputs!$G$5:$G$170="acoes"))*Inputs!$B$1+((Inputs!$G$5:$G$170&lt;&gt;"moeda")*(Inputs!$G$5:$G$170&lt;&gt;"acoes")))*INDEX(Inputs!$K$5:$AJ$170,0,MATCH(AJ$2,Inputs!$K$4:$AJ$4,0)))+SUMPRODUCT((Inputs!$C$5:$C$170=$B17)*Inputs!$D$5:$D$170*(((Inputs!$G$5:$G$170="moeda")+(Inputs!$G$5:$G$170="acoes"))*Inputs!$B$1+((Inputs!$G$5:$G$170&lt;&gt;"moeda")*(Inputs!$G$5:$G$170&lt;&gt;"acoes")))*INDEX(Inputs!$K$5:$AJ$170,0,MATCH(AJ$2,Inputs!$K$4:$AJ$4,0)))+SUMPRODUCT((Inputs!$E$5:$E$170=$B17)*Inputs!$F$5:$F$170*(((Inputs!$G$5:$G$170="moeda")+(Inputs!$G$5:$G$170="acoes"))*Inputs!$B$1+((Inputs!$G$5:$G$170&lt;&gt;"moeda")*(Inputs!$G$5:$G$170&lt;&gt;"acoes")))*INDEX(Inputs!$K$5:$AJ$170,0,MATCH(AJ$2,Inputs!$K$4:$AJ$4,0)))))</f>
        <v>0</v>
      </c>
      <c r="AK17" s="6">
        <f>IF(ISNA(MATCH(AK$2,Inputs!$K$4:$AJ$4,0)),NA(),IF(SUMPRODUCT((Inputs!$A$5:$A$170=$B17)*ISNUMBER(INDEX(Inputs!$K$5:$AJ$170,0,MATCH(AK$2,Inputs!$K$4:$AJ$4,0))))+SUMPRODUCT((Inputs!$C$5:$C$170=$B17)*ISNUMBER(INDEX(Inputs!$K$5:$AJ$170,0,MATCH(AK$2,Inputs!$K$4:$AJ$4,0))))+SUMPRODUCT((Inputs!$E$5:$E$170=$B17)*ISNUMBER(INDEX(Inputs!$K$5:$AJ$170,0,MATCH(AK$2,Inputs!$K$4:$AJ$4,0))))=0,NA(),SUMPRODUCT((Inputs!$A$5:$A$170=$B17)*Inputs!$B$5:$B$170*(((Inputs!$G$5:$G$170="moeda")+(Inputs!$G$5:$G$170="acoes"))*Inputs!$B$1+((Inputs!$G$5:$G$170&lt;&gt;"moeda")*(Inputs!$G$5:$G$170&lt;&gt;"acoes")))*INDEX(Inputs!$K$5:$AJ$170,0,MATCH(AK$2,Inputs!$K$4:$AJ$4,0)))+SUMPRODUCT((Inputs!$C$5:$C$170=$B17)*Inputs!$D$5:$D$170*(((Inputs!$G$5:$G$170="moeda")+(Inputs!$G$5:$G$170="acoes"))*Inputs!$B$1+((Inputs!$G$5:$G$170&lt;&gt;"moeda")*(Inputs!$G$5:$G$170&lt;&gt;"acoes")))*INDEX(Inputs!$K$5:$AJ$170,0,MATCH(AK$2,Inputs!$K$4:$AJ$4,0)))+SUMPRODUCT((Inputs!$E$5:$E$170=$B17)*Inputs!$F$5:$F$170*(((Inputs!$G$5:$G$170="moeda")+(Inputs!$G$5:$G$170="acoes"))*Inputs!$B$1+((Inputs!$G$5:$G$170&lt;&gt;"moeda")*(Inputs!$G$5:$G$170&lt;&gt;"acoes")))*INDEX(Inputs!$K$5:$AJ$170,0,MATCH(AK$2,Inputs!$K$4:$AJ$4,0)))))</f>
        <v>0</v>
      </c>
      <c r="AL17" s="3">
        <f>AK17</f>
        <v>0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$170=$B18)*ISNUMBER(INDEX(Inputs!$K$5:$AJ$170,0,MATCH(D$2,Inputs!$K$4:$AJ$4,0))))+SUMPRODUCT((Inputs!$C$5:$C$170=$B18)*ISNUMBER(INDEX(Inputs!$K$5:$AJ$170,0,MATCH(D$2,Inputs!$K$4:$AJ$4,0))))+SUMPRODUCT((Inputs!$E$5:$E$170=$B18)*ISNUMBER(INDEX(Inputs!$K$5:$AJ$170,0,MATCH(D$2,Inputs!$K$4:$AJ$4,0))))=0,NA(),SUMPRODUCT((Inputs!$A$5:$A$170=$B18)*Inputs!$B$5:$B$170*(((Inputs!$G$5:$G$170="moeda")+(Inputs!$G$5:$G$170="acoes"))*Inputs!$B$1+((Inputs!$G$5:$G$170&lt;&gt;"moeda")*(Inputs!$G$5:$G$170&lt;&gt;"acoes")))*INDEX(Inputs!$K$5:$AJ$170,0,MATCH(D$2,Inputs!$K$4:$AJ$4,0)))+SUMPRODUCT((Inputs!$C$5:$C$170=$B18)*Inputs!$D$5:$D$170*(((Inputs!$G$5:$G$170="moeda")+(Inputs!$G$5:$G$170="acoes"))*Inputs!$B$1+((Inputs!$G$5:$G$170&lt;&gt;"moeda")*(Inputs!$G$5:$G$170&lt;&gt;"acoes")))*INDEX(Inputs!$K$5:$AJ$170,0,MATCH(D$2,Inputs!$K$4:$AJ$4,0)))+SUMPRODUCT((Inputs!$E$5:$E$170=$B18)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8" s="6" t="e">
        <f>IF(ISNA(MATCH(E$2,Inputs!$K$4:$AJ$4,0)),NA(),IF(SUMPRODUCT((Inputs!$A$5:$A$170=$B18)*ISNUMBER(INDEX(Inputs!$K$5:$AJ$170,0,MATCH(E$2,Inputs!$K$4:$AJ$4,0))))+SUMPRODUCT((Inputs!$C$5:$C$170=$B18)*ISNUMBER(INDEX(Inputs!$K$5:$AJ$170,0,MATCH(E$2,Inputs!$K$4:$AJ$4,0))))+SUMPRODUCT((Inputs!$E$5:$E$170=$B18)*ISNUMBER(INDEX(Inputs!$K$5:$AJ$170,0,MATCH(E$2,Inputs!$K$4:$AJ$4,0))))=0,NA(),SUMPRODUCT((Inputs!$A$5:$A$170=$B18)*Inputs!$B$5:$B$170*(((Inputs!$G$5:$G$170="moeda")+(Inputs!$G$5:$G$170="acoes"))*Inputs!$B$1+((Inputs!$G$5:$G$170&lt;&gt;"moeda")*(Inputs!$G$5:$G$170&lt;&gt;"acoes")))*INDEX(Inputs!$K$5:$AJ$170,0,MATCH(E$2,Inputs!$K$4:$AJ$4,0)))+SUMPRODUCT((Inputs!$C$5:$C$170=$B18)*Inputs!$D$5:$D$170*(((Inputs!$G$5:$G$170="moeda")+(Inputs!$G$5:$G$170="acoes"))*Inputs!$B$1+((Inputs!$G$5:$G$170&lt;&gt;"moeda")*(Inputs!$G$5:$G$170&lt;&gt;"acoes")))*INDEX(Inputs!$K$5:$AJ$170,0,MATCH(E$2,Inputs!$K$4:$AJ$4,0)))+SUMPRODUCT((Inputs!$E$5:$E$170=$B18)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8" s="6" t="e">
        <f>IF(ISNA(MATCH(F$2,Inputs!$K$4:$AJ$4,0)),NA(),IF(SUMPRODUCT((Inputs!$A$5:$A$170=$B18)*ISNUMBER(INDEX(Inputs!$K$5:$AJ$170,0,MATCH(F$2,Inputs!$K$4:$AJ$4,0))))+SUMPRODUCT((Inputs!$C$5:$C$170=$B18)*ISNUMBER(INDEX(Inputs!$K$5:$AJ$170,0,MATCH(F$2,Inputs!$K$4:$AJ$4,0))))+SUMPRODUCT((Inputs!$E$5:$E$170=$B18)*ISNUMBER(INDEX(Inputs!$K$5:$AJ$170,0,MATCH(F$2,Inputs!$K$4:$AJ$4,0))))=0,NA(),SUMPRODUCT((Inputs!$A$5:$A$170=$B18)*Inputs!$B$5:$B$170*(((Inputs!$G$5:$G$170="moeda")+(Inputs!$G$5:$G$170="acoes"))*Inputs!$B$1+((Inputs!$G$5:$G$170&lt;&gt;"moeda")*(Inputs!$G$5:$G$170&lt;&gt;"acoes")))*INDEX(Inputs!$K$5:$AJ$170,0,MATCH(F$2,Inputs!$K$4:$AJ$4,0)))+SUMPRODUCT((Inputs!$C$5:$C$170=$B18)*Inputs!$D$5:$D$170*(((Inputs!$G$5:$G$170="moeda")+(Inputs!$G$5:$G$170="acoes"))*Inputs!$B$1+((Inputs!$G$5:$G$170&lt;&gt;"moeda")*(Inputs!$G$5:$G$170&lt;&gt;"acoes")))*INDEX(Inputs!$K$5:$AJ$170,0,MATCH(F$2,Inputs!$K$4:$AJ$4,0)))+SUMPRODUCT((Inputs!$E$5:$E$170=$B18)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8" s="6" t="e">
        <f>IF(ISNA(MATCH(G$2,Inputs!$K$4:$AJ$4,0)),NA(),IF(SUMPRODUCT((Inputs!$A$5:$A$170=$B18)*ISNUMBER(INDEX(Inputs!$K$5:$AJ$170,0,MATCH(G$2,Inputs!$K$4:$AJ$4,0))))+SUMPRODUCT((Inputs!$C$5:$C$170=$B18)*ISNUMBER(INDEX(Inputs!$K$5:$AJ$170,0,MATCH(G$2,Inputs!$K$4:$AJ$4,0))))+SUMPRODUCT((Inputs!$E$5:$E$170=$B18)*ISNUMBER(INDEX(Inputs!$K$5:$AJ$170,0,MATCH(G$2,Inputs!$K$4:$AJ$4,0))))=0,NA(),SUMPRODUCT((Inputs!$A$5:$A$170=$B18)*Inputs!$B$5:$B$170*(((Inputs!$G$5:$G$170="moeda")+(Inputs!$G$5:$G$170="acoes"))*Inputs!$B$1+((Inputs!$G$5:$G$170&lt;&gt;"moeda")*(Inputs!$G$5:$G$170&lt;&gt;"acoes")))*INDEX(Inputs!$K$5:$AJ$170,0,MATCH(G$2,Inputs!$K$4:$AJ$4,0)))+SUMPRODUCT((Inputs!$C$5:$C$170=$B18)*Inputs!$D$5:$D$170*(((Inputs!$G$5:$G$170="moeda")+(Inputs!$G$5:$G$170="acoes"))*Inputs!$B$1+((Inputs!$G$5:$G$170&lt;&gt;"moeda")*(Inputs!$G$5:$G$170&lt;&gt;"acoes")))*INDEX(Inputs!$K$5:$AJ$170,0,MATCH(G$2,Inputs!$K$4:$AJ$4,0)))+SUMPRODUCT((Inputs!$E$5:$E$170=$B18)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8" s="3" t="e">
        <f>G18</f>
        <v>#N/A</v>
      </c>
      <c r="I18" s="6" t="e">
        <f>IF(ISNA(MATCH(I$2,Inputs!$K$4:$AJ$4,0)),NA(),IF(SUMPRODUCT((Inputs!$A$5:$A$170=$B18)*ISNUMBER(INDEX(Inputs!$K$5:$AJ$170,0,MATCH(I$2,Inputs!$K$4:$AJ$4,0))))+SUMPRODUCT((Inputs!$C$5:$C$170=$B18)*ISNUMBER(INDEX(Inputs!$K$5:$AJ$170,0,MATCH(I$2,Inputs!$K$4:$AJ$4,0))))+SUMPRODUCT((Inputs!$E$5:$E$170=$B18)*ISNUMBER(INDEX(Inputs!$K$5:$AJ$170,0,MATCH(I$2,Inputs!$K$4:$AJ$4,0))))=0,NA(),SUMPRODUCT((Inputs!$A$5:$A$170=$B18)*Inputs!$B$5:$B$170*(((Inputs!$G$5:$G$170="moeda")+(Inputs!$G$5:$G$170="acoes"))*Inputs!$B$1+((Inputs!$G$5:$G$170&lt;&gt;"moeda")*(Inputs!$G$5:$G$170&lt;&gt;"acoes")))*INDEX(Inputs!$K$5:$AJ$170,0,MATCH(I$2,Inputs!$K$4:$AJ$4,0)))+SUMPRODUCT((Inputs!$C$5:$C$170=$B18)*Inputs!$D$5:$D$170*(((Inputs!$G$5:$G$170="moeda")+(Inputs!$G$5:$G$170="acoes"))*Inputs!$B$1+((Inputs!$G$5:$G$170&lt;&gt;"moeda")*(Inputs!$G$5:$G$170&lt;&gt;"acoes")))*INDEX(Inputs!$K$5:$AJ$170,0,MATCH(I$2,Inputs!$K$4:$AJ$4,0)))+SUMPRODUCT((Inputs!$E$5:$E$170=$B18)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8" s="6" t="e">
        <f>IF(ISNA(MATCH(J$2,Inputs!$K$4:$AJ$4,0)),NA(),IF(SUMPRODUCT((Inputs!$A$5:$A$170=$B18)*ISNUMBER(INDEX(Inputs!$K$5:$AJ$170,0,MATCH(J$2,Inputs!$K$4:$AJ$4,0))))+SUMPRODUCT((Inputs!$C$5:$C$170=$B18)*ISNUMBER(INDEX(Inputs!$K$5:$AJ$170,0,MATCH(J$2,Inputs!$K$4:$AJ$4,0))))+SUMPRODUCT((Inputs!$E$5:$E$170=$B18)*ISNUMBER(INDEX(Inputs!$K$5:$AJ$170,0,MATCH(J$2,Inputs!$K$4:$AJ$4,0))))=0,NA(),SUMPRODUCT((Inputs!$A$5:$A$170=$B18)*Inputs!$B$5:$B$170*(((Inputs!$G$5:$G$170="moeda")+(Inputs!$G$5:$G$170="acoes"))*Inputs!$B$1+((Inputs!$G$5:$G$170&lt;&gt;"moeda")*(Inputs!$G$5:$G$170&lt;&gt;"acoes")))*INDEX(Inputs!$K$5:$AJ$170,0,MATCH(J$2,Inputs!$K$4:$AJ$4,0)))+SUMPRODUCT((Inputs!$C$5:$C$170=$B18)*Inputs!$D$5:$D$170*(((Inputs!$G$5:$G$170="moeda")+(Inputs!$G$5:$G$170="acoes"))*Inputs!$B$1+((Inputs!$G$5:$G$170&lt;&gt;"moeda")*(Inputs!$G$5:$G$170&lt;&gt;"acoes")))*INDEX(Inputs!$K$5:$AJ$170,0,MATCH(J$2,Inputs!$K$4:$AJ$4,0)))+SUMPRODUCT((Inputs!$E$5:$E$170=$B18)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8" s="6" t="e">
        <f>IF(ISNA(MATCH(K$2,Inputs!$K$4:$AJ$4,0)),NA(),IF(SUMPRODUCT((Inputs!$A$5:$A$170=$B18)*ISNUMBER(INDEX(Inputs!$K$5:$AJ$170,0,MATCH(K$2,Inputs!$K$4:$AJ$4,0))))+SUMPRODUCT((Inputs!$C$5:$C$170=$B18)*ISNUMBER(INDEX(Inputs!$K$5:$AJ$170,0,MATCH(K$2,Inputs!$K$4:$AJ$4,0))))+SUMPRODUCT((Inputs!$E$5:$E$170=$B18)*ISNUMBER(INDEX(Inputs!$K$5:$AJ$170,0,MATCH(K$2,Inputs!$K$4:$AJ$4,0))))=0,NA(),SUMPRODUCT((Inputs!$A$5:$A$170=$B18)*Inputs!$B$5:$B$170*(((Inputs!$G$5:$G$170="moeda")+(Inputs!$G$5:$G$170="acoes"))*Inputs!$B$1+((Inputs!$G$5:$G$170&lt;&gt;"moeda")*(Inputs!$G$5:$G$170&lt;&gt;"acoes")))*INDEX(Inputs!$K$5:$AJ$170,0,MATCH(K$2,Inputs!$K$4:$AJ$4,0)))+SUMPRODUCT((Inputs!$C$5:$C$170=$B18)*Inputs!$D$5:$D$170*(((Inputs!$G$5:$G$170="moeda")+(Inputs!$G$5:$G$170="acoes"))*Inputs!$B$1+((Inputs!$G$5:$G$170&lt;&gt;"moeda")*(Inputs!$G$5:$G$170&lt;&gt;"acoes")))*INDEX(Inputs!$K$5:$AJ$170,0,MATCH(K$2,Inputs!$K$4:$AJ$4,0)))+SUMPRODUCT((Inputs!$E$5:$E$170=$B18)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8" s="6" t="e">
        <f>IF(ISNA(MATCH(L$2,Inputs!$K$4:$AJ$4,0)),NA(),IF(SUMPRODUCT((Inputs!$A$5:$A$170=$B18)*ISNUMBER(INDEX(Inputs!$K$5:$AJ$170,0,MATCH(L$2,Inputs!$K$4:$AJ$4,0))))+SUMPRODUCT((Inputs!$C$5:$C$170=$B18)*ISNUMBER(INDEX(Inputs!$K$5:$AJ$170,0,MATCH(L$2,Inputs!$K$4:$AJ$4,0))))+SUMPRODUCT((Inputs!$E$5:$E$170=$B18)*ISNUMBER(INDEX(Inputs!$K$5:$AJ$170,0,MATCH(L$2,Inputs!$K$4:$AJ$4,0))))=0,NA(),SUMPRODUCT((Inputs!$A$5:$A$170=$B18)*Inputs!$B$5:$B$170*(((Inputs!$G$5:$G$170="moeda")+(Inputs!$G$5:$G$170="acoes"))*Inputs!$B$1+((Inputs!$G$5:$G$170&lt;&gt;"moeda")*(Inputs!$G$5:$G$170&lt;&gt;"acoes")))*INDEX(Inputs!$K$5:$AJ$170,0,MATCH(L$2,Inputs!$K$4:$AJ$4,0)))+SUMPRODUCT((Inputs!$C$5:$C$170=$B18)*Inputs!$D$5:$D$170*(((Inputs!$G$5:$G$170="moeda")+(Inputs!$G$5:$G$170="acoes"))*Inputs!$B$1+((Inputs!$G$5:$G$170&lt;&gt;"moeda")*(Inputs!$G$5:$G$170&lt;&gt;"acoes")))*INDEX(Inputs!$K$5:$AJ$170,0,MATCH(L$2,Inputs!$K$4:$AJ$4,0)))+SUMPRODUCT((Inputs!$E$5:$E$170=$B18)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8" s="3" t="e">
        <f>L18</f>
        <v>#N/A</v>
      </c>
      <c r="N18" s="6" t="e">
        <f>IF(ISNA(MATCH(N$2,Inputs!$K$4:$AJ$4,0)),NA(),IF(SUMPRODUCT((Inputs!$A$5:$A$170=$B18)*ISNUMBER(INDEX(Inputs!$K$5:$AJ$170,0,MATCH(N$2,Inputs!$K$4:$AJ$4,0))))+SUMPRODUCT((Inputs!$C$5:$C$170=$B18)*ISNUMBER(INDEX(Inputs!$K$5:$AJ$170,0,MATCH(N$2,Inputs!$K$4:$AJ$4,0))))+SUMPRODUCT((Inputs!$E$5:$E$170=$B18)*ISNUMBER(INDEX(Inputs!$K$5:$AJ$170,0,MATCH(N$2,Inputs!$K$4:$AJ$4,0))))=0,NA(),SUMPRODUCT((Inputs!$A$5:$A$170=$B18)*Inputs!$B$5:$B$170*(((Inputs!$G$5:$G$170="moeda")+(Inputs!$G$5:$G$170="acoes"))*Inputs!$B$1+((Inputs!$G$5:$G$170&lt;&gt;"moeda")*(Inputs!$G$5:$G$170&lt;&gt;"acoes")))*INDEX(Inputs!$K$5:$AJ$170,0,MATCH(N$2,Inputs!$K$4:$AJ$4,0)))+SUMPRODUCT((Inputs!$C$5:$C$170=$B18)*Inputs!$D$5:$D$170*(((Inputs!$G$5:$G$170="moeda")+(Inputs!$G$5:$G$170="acoes"))*Inputs!$B$1+((Inputs!$G$5:$G$170&lt;&gt;"moeda")*(Inputs!$G$5:$G$170&lt;&gt;"acoes")))*INDEX(Inputs!$K$5:$AJ$170,0,MATCH(N$2,Inputs!$K$4:$AJ$4,0)))+SUMPRODUCT((Inputs!$E$5:$E$170=$B18)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8" s="6" t="e">
        <f>IF(ISNA(MATCH(O$2,Inputs!$K$4:$AJ$4,0)),NA(),IF(SUMPRODUCT((Inputs!$A$5:$A$170=$B18)*ISNUMBER(INDEX(Inputs!$K$5:$AJ$170,0,MATCH(O$2,Inputs!$K$4:$AJ$4,0))))+SUMPRODUCT((Inputs!$C$5:$C$170=$B18)*ISNUMBER(INDEX(Inputs!$K$5:$AJ$170,0,MATCH(O$2,Inputs!$K$4:$AJ$4,0))))+SUMPRODUCT((Inputs!$E$5:$E$170=$B18)*ISNUMBER(INDEX(Inputs!$K$5:$AJ$170,0,MATCH(O$2,Inputs!$K$4:$AJ$4,0))))=0,NA(),SUMPRODUCT((Inputs!$A$5:$A$170=$B18)*Inputs!$B$5:$B$170*(((Inputs!$G$5:$G$170="moeda")+(Inputs!$G$5:$G$170="acoes"))*Inputs!$B$1+((Inputs!$G$5:$G$170&lt;&gt;"moeda")*(Inputs!$G$5:$G$170&lt;&gt;"acoes")))*INDEX(Inputs!$K$5:$AJ$170,0,MATCH(O$2,Inputs!$K$4:$AJ$4,0)))+SUMPRODUCT((Inputs!$C$5:$C$170=$B18)*Inputs!$D$5:$D$170*(((Inputs!$G$5:$G$170="moeda")+(Inputs!$G$5:$G$170="acoes"))*Inputs!$B$1+((Inputs!$G$5:$G$170&lt;&gt;"moeda")*(Inputs!$G$5:$G$170&lt;&gt;"acoes")))*INDEX(Inputs!$K$5:$AJ$170,0,MATCH(O$2,Inputs!$K$4:$AJ$4,0)))+SUMPRODUCT((Inputs!$E$5:$E$170=$B18)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8" s="6" t="e">
        <f>IF(ISNA(MATCH(P$2,Inputs!$K$4:$AJ$4,0)),NA(),IF(SUMPRODUCT((Inputs!$A$5:$A$170=$B18)*ISNUMBER(INDEX(Inputs!$K$5:$AJ$170,0,MATCH(P$2,Inputs!$K$4:$AJ$4,0))))+SUMPRODUCT((Inputs!$C$5:$C$170=$B18)*ISNUMBER(INDEX(Inputs!$K$5:$AJ$170,0,MATCH(P$2,Inputs!$K$4:$AJ$4,0))))+SUMPRODUCT((Inputs!$E$5:$E$170=$B18)*ISNUMBER(INDEX(Inputs!$K$5:$AJ$170,0,MATCH(P$2,Inputs!$K$4:$AJ$4,0))))=0,NA(),SUMPRODUCT((Inputs!$A$5:$A$170=$B18)*Inputs!$B$5:$B$170*(((Inputs!$G$5:$G$170="moeda")+(Inputs!$G$5:$G$170="acoes"))*Inputs!$B$1+((Inputs!$G$5:$G$170&lt;&gt;"moeda")*(Inputs!$G$5:$G$170&lt;&gt;"acoes")))*INDEX(Inputs!$K$5:$AJ$170,0,MATCH(P$2,Inputs!$K$4:$AJ$4,0)))+SUMPRODUCT((Inputs!$C$5:$C$170=$B18)*Inputs!$D$5:$D$170*(((Inputs!$G$5:$G$170="moeda")+(Inputs!$G$5:$G$170="acoes"))*Inputs!$B$1+((Inputs!$G$5:$G$170&lt;&gt;"moeda")*(Inputs!$G$5:$G$170&lt;&gt;"acoes")))*INDEX(Inputs!$K$5:$AJ$170,0,MATCH(P$2,Inputs!$K$4:$AJ$4,0)))+SUMPRODUCT((Inputs!$E$5:$E$170=$B18)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8" s="6" t="e">
        <f>IF(ISNA(MATCH(Q$2,Inputs!$K$4:$AJ$4,0)),NA(),IF(SUMPRODUCT((Inputs!$A$5:$A$170=$B18)*ISNUMBER(INDEX(Inputs!$K$5:$AJ$170,0,MATCH(Q$2,Inputs!$K$4:$AJ$4,0))))+SUMPRODUCT((Inputs!$C$5:$C$170=$B18)*ISNUMBER(INDEX(Inputs!$K$5:$AJ$170,0,MATCH(Q$2,Inputs!$K$4:$AJ$4,0))))+SUMPRODUCT((Inputs!$E$5:$E$170=$B18)*ISNUMBER(INDEX(Inputs!$K$5:$AJ$170,0,MATCH(Q$2,Inputs!$K$4:$AJ$4,0))))=0,NA(),SUMPRODUCT((Inputs!$A$5:$A$170=$B18)*Inputs!$B$5:$B$170*(((Inputs!$G$5:$G$170="moeda")+(Inputs!$G$5:$G$170="acoes"))*Inputs!$B$1+((Inputs!$G$5:$G$170&lt;&gt;"moeda")*(Inputs!$G$5:$G$170&lt;&gt;"acoes")))*INDEX(Inputs!$K$5:$AJ$170,0,MATCH(Q$2,Inputs!$K$4:$AJ$4,0)))+SUMPRODUCT((Inputs!$C$5:$C$170=$B18)*Inputs!$D$5:$D$170*(((Inputs!$G$5:$G$170="moeda")+(Inputs!$G$5:$G$170="acoes"))*Inputs!$B$1+((Inputs!$G$5:$G$170&lt;&gt;"moeda")*(Inputs!$G$5:$G$170&lt;&gt;"acoes")))*INDEX(Inputs!$K$5:$AJ$170,0,MATCH(Q$2,Inputs!$K$4:$AJ$4,0)))+SUMPRODUCT((Inputs!$E$5:$E$170=$B18)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8" s="3" t="e">
        <f>Q18</f>
        <v>#N/A</v>
      </c>
      <c r="S18" s="6" t="e">
        <f>IF(ISNA(MATCH(S$2,Inputs!$K$4:$AJ$4,0)),NA(),IF(SUMPRODUCT((Inputs!$A$5:$A$170=$B18)*ISNUMBER(INDEX(Inputs!$K$5:$AJ$170,0,MATCH(S$2,Inputs!$K$4:$AJ$4,0))))+SUMPRODUCT((Inputs!$C$5:$C$170=$B18)*ISNUMBER(INDEX(Inputs!$K$5:$AJ$170,0,MATCH(S$2,Inputs!$K$4:$AJ$4,0))))+SUMPRODUCT((Inputs!$E$5:$E$170=$B18)*ISNUMBER(INDEX(Inputs!$K$5:$AJ$170,0,MATCH(S$2,Inputs!$K$4:$AJ$4,0))))=0,NA(),SUMPRODUCT((Inputs!$A$5:$A$170=$B18)*Inputs!$B$5:$B$170*(((Inputs!$G$5:$G$170="moeda")+(Inputs!$G$5:$G$170="acoes"))*Inputs!$B$1+((Inputs!$G$5:$G$170&lt;&gt;"moeda")*(Inputs!$G$5:$G$170&lt;&gt;"acoes")))*INDEX(Inputs!$K$5:$AJ$170,0,MATCH(S$2,Inputs!$K$4:$AJ$4,0)))+SUMPRODUCT((Inputs!$C$5:$C$170=$B18)*Inputs!$D$5:$D$170*(((Inputs!$G$5:$G$170="moeda")+(Inputs!$G$5:$G$170="acoes"))*Inputs!$B$1+((Inputs!$G$5:$G$170&lt;&gt;"moeda")*(Inputs!$G$5:$G$170&lt;&gt;"acoes")))*INDEX(Inputs!$K$5:$AJ$170,0,MATCH(S$2,Inputs!$K$4:$AJ$4,0)))+SUMPRODUCT((Inputs!$E$5:$E$170=$B18)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8" s="6" t="e">
        <f>IF(ISNA(MATCH(T$2,Inputs!$K$4:$AJ$4,0)),NA(),IF(SUMPRODUCT((Inputs!$A$5:$A$170=$B18)*ISNUMBER(INDEX(Inputs!$K$5:$AJ$170,0,MATCH(T$2,Inputs!$K$4:$AJ$4,0))))+SUMPRODUCT((Inputs!$C$5:$C$170=$B18)*ISNUMBER(INDEX(Inputs!$K$5:$AJ$170,0,MATCH(T$2,Inputs!$K$4:$AJ$4,0))))+SUMPRODUCT((Inputs!$E$5:$E$170=$B18)*ISNUMBER(INDEX(Inputs!$K$5:$AJ$170,0,MATCH(T$2,Inputs!$K$4:$AJ$4,0))))=0,NA(),SUMPRODUCT((Inputs!$A$5:$A$170=$B18)*Inputs!$B$5:$B$170*(((Inputs!$G$5:$G$170="moeda")+(Inputs!$G$5:$G$170="acoes"))*Inputs!$B$1+((Inputs!$G$5:$G$170&lt;&gt;"moeda")*(Inputs!$G$5:$G$170&lt;&gt;"acoes")))*INDEX(Inputs!$K$5:$AJ$170,0,MATCH(T$2,Inputs!$K$4:$AJ$4,0)))+SUMPRODUCT((Inputs!$C$5:$C$170=$B18)*Inputs!$D$5:$D$170*(((Inputs!$G$5:$G$170="moeda")+(Inputs!$G$5:$G$170="acoes"))*Inputs!$B$1+((Inputs!$G$5:$G$170&lt;&gt;"moeda")*(Inputs!$G$5:$G$170&lt;&gt;"acoes")))*INDEX(Inputs!$K$5:$AJ$170,0,MATCH(T$2,Inputs!$K$4:$AJ$4,0)))+SUMPRODUCT((Inputs!$E$5:$E$170=$B18)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8" s="6" t="e">
        <f>IF(ISNA(MATCH(U$2,Inputs!$K$4:$AJ$4,0)),NA(),IF(SUMPRODUCT((Inputs!$A$5:$A$170=$B18)*ISNUMBER(INDEX(Inputs!$K$5:$AJ$170,0,MATCH(U$2,Inputs!$K$4:$AJ$4,0))))+SUMPRODUCT((Inputs!$C$5:$C$170=$B18)*ISNUMBER(INDEX(Inputs!$K$5:$AJ$170,0,MATCH(U$2,Inputs!$K$4:$AJ$4,0))))+SUMPRODUCT((Inputs!$E$5:$E$170=$B18)*ISNUMBER(INDEX(Inputs!$K$5:$AJ$170,0,MATCH(U$2,Inputs!$K$4:$AJ$4,0))))=0,NA(),SUMPRODUCT((Inputs!$A$5:$A$170=$B18)*Inputs!$B$5:$B$170*(((Inputs!$G$5:$G$170="moeda")+(Inputs!$G$5:$G$170="acoes"))*Inputs!$B$1+((Inputs!$G$5:$G$170&lt;&gt;"moeda")*(Inputs!$G$5:$G$170&lt;&gt;"acoes")))*INDEX(Inputs!$K$5:$AJ$170,0,MATCH(U$2,Inputs!$K$4:$AJ$4,0)))+SUMPRODUCT((Inputs!$C$5:$C$170=$B18)*Inputs!$D$5:$D$170*(((Inputs!$G$5:$G$170="moeda")+(Inputs!$G$5:$G$170="acoes"))*Inputs!$B$1+((Inputs!$G$5:$G$170&lt;&gt;"moeda")*(Inputs!$G$5:$G$170&lt;&gt;"acoes")))*INDEX(Inputs!$K$5:$AJ$170,0,MATCH(U$2,Inputs!$K$4:$AJ$4,0)))+SUMPRODUCT((Inputs!$E$5:$E$170=$B18)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8" s="6" t="e">
        <f>IF(ISNA(MATCH(V$2,Inputs!$K$4:$AJ$4,0)),NA(),IF(SUMPRODUCT((Inputs!$A$5:$A$170=$B18)*ISNUMBER(INDEX(Inputs!$K$5:$AJ$170,0,MATCH(V$2,Inputs!$K$4:$AJ$4,0))))+SUMPRODUCT((Inputs!$C$5:$C$170=$B18)*ISNUMBER(INDEX(Inputs!$K$5:$AJ$170,0,MATCH(V$2,Inputs!$K$4:$AJ$4,0))))+SUMPRODUCT((Inputs!$E$5:$E$170=$B18)*ISNUMBER(INDEX(Inputs!$K$5:$AJ$170,0,MATCH(V$2,Inputs!$K$4:$AJ$4,0))))=0,NA(),SUMPRODUCT((Inputs!$A$5:$A$170=$B18)*Inputs!$B$5:$B$170*(((Inputs!$G$5:$G$170="moeda")+(Inputs!$G$5:$G$170="acoes"))*Inputs!$B$1+((Inputs!$G$5:$G$170&lt;&gt;"moeda")*(Inputs!$G$5:$G$170&lt;&gt;"acoes")))*INDEX(Inputs!$K$5:$AJ$170,0,MATCH(V$2,Inputs!$K$4:$AJ$4,0)))+SUMPRODUCT((Inputs!$C$5:$C$170=$B18)*Inputs!$D$5:$D$170*(((Inputs!$G$5:$G$170="moeda")+(Inputs!$G$5:$G$170="acoes"))*Inputs!$B$1+((Inputs!$G$5:$G$170&lt;&gt;"moeda")*(Inputs!$G$5:$G$170&lt;&gt;"acoes")))*INDEX(Inputs!$K$5:$AJ$170,0,MATCH(V$2,Inputs!$K$4:$AJ$4,0)))+SUMPRODUCT((Inputs!$E$5:$E$170=$B18)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8" s="3" t="e">
        <f>V18</f>
        <v>#N/A</v>
      </c>
      <c r="X18" s="6" t="e">
        <f>IF(ISNA(MATCH(X$2,Inputs!$K$4:$AJ$4,0)),NA(),IF(SUMPRODUCT((Inputs!$A$5:$A$170=$B18)*ISNUMBER(INDEX(Inputs!$K$5:$AJ$170,0,MATCH(X$2,Inputs!$K$4:$AJ$4,0))))+SUMPRODUCT((Inputs!$C$5:$C$170=$B18)*ISNUMBER(INDEX(Inputs!$K$5:$AJ$170,0,MATCH(X$2,Inputs!$K$4:$AJ$4,0))))+SUMPRODUCT((Inputs!$E$5:$E$170=$B18)*ISNUMBER(INDEX(Inputs!$K$5:$AJ$170,0,MATCH(X$2,Inputs!$K$4:$AJ$4,0))))=0,NA(),SUMPRODUCT((Inputs!$A$5:$A$170=$B18)*Inputs!$B$5:$B$170*(((Inputs!$G$5:$G$170="moeda")+(Inputs!$G$5:$G$170="acoes"))*Inputs!$B$1+((Inputs!$G$5:$G$170&lt;&gt;"moeda")*(Inputs!$G$5:$G$170&lt;&gt;"acoes")))*INDEX(Inputs!$K$5:$AJ$170,0,MATCH(X$2,Inputs!$K$4:$AJ$4,0)))+SUMPRODUCT((Inputs!$C$5:$C$170=$B18)*Inputs!$D$5:$D$170*(((Inputs!$G$5:$G$170="moeda")+(Inputs!$G$5:$G$170="acoes"))*Inputs!$B$1+((Inputs!$G$5:$G$170&lt;&gt;"moeda")*(Inputs!$G$5:$G$170&lt;&gt;"acoes")))*INDEX(Inputs!$K$5:$AJ$170,0,MATCH(X$2,Inputs!$K$4:$AJ$4,0)))+SUMPRODUCT((Inputs!$E$5:$E$170=$B18)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8" s="6" t="e">
        <f>IF(ISNA(MATCH(Y$2,Inputs!$K$4:$AJ$4,0)),NA(),IF(SUMPRODUCT((Inputs!$A$5:$A$170=$B18)*ISNUMBER(INDEX(Inputs!$K$5:$AJ$170,0,MATCH(Y$2,Inputs!$K$4:$AJ$4,0))))+SUMPRODUCT((Inputs!$C$5:$C$170=$B18)*ISNUMBER(INDEX(Inputs!$K$5:$AJ$170,0,MATCH(Y$2,Inputs!$K$4:$AJ$4,0))))+SUMPRODUCT((Inputs!$E$5:$E$170=$B18)*ISNUMBER(INDEX(Inputs!$K$5:$AJ$170,0,MATCH(Y$2,Inputs!$K$4:$AJ$4,0))))=0,NA(),SUMPRODUCT((Inputs!$A$5:$A$170=$B18)*Inputs!$B$5:$B$170*(((Inputs!$G$5:$G$170="moeda")+(Inputs!$G$5:$G$170="acoes"))*Inputs!$B$1+((Inputs!$G$5:$G$170&lt;&gt;"moeda")*(Inputs!$G$5:$G$170&lt;&gt;"acoes")))*INDEX(Inputs!$K$5:$AJ$170,0,MATCH(Y$2,Inputs!$K$4:$AJ$4,0)))+SUMPRODUCT((Inputs!$C$5:$C$170=$B18)*Inputs!$D$5:$D$170*(((Inputs!$G$5:$G$170="moeda")+(Inputs!$G$5:$G$170="acoes"))*Inputs!$B$1+((Inputs!$G$5:$G$170&lt;&gt;"moeda")*(Inputs!$G$5:$G$170&lt;&gt;"acoes")))*INDEX(Inputs!$K$5:$AJ$170,0,MATCH(Y$2,Inputs!$K$4:$AJ$4,0)))+SUMPRODUCT((Inputs!$E$5:$E$170=$B18)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8" s="6" t="e">
        <f>IF(ISNA(MATCH(Z$2,Inputs!$K$4:$AJ$4,0)),NA(),IF(SUMPRODUCT((Inputs!$A$5:$A$170=$B18)*ISNUMBER(INDEX(Inputs!$K$5:$AJ$170,0,MATCH(Z$2,Inputs!$K$4:$AJ$4,0))))+SUMPRODUCT((Inputs!$C$5:$C$170=$B18)*ISNUMBER(INDEX(Inputs!$K$5:$AJ$170,0,MATCH(Z$2,Inputs!$K$4:$AJ$4,0))))+SUMPRODUCT((Inputs!$E$5:$E$170=$B18)*ISNUMBER(INDEX(Inputs!$K$5:$AJ$170,0,MATCH(Z$2,Inputs!$K$4:$AJ$4,0))))=0,NA(),SUMPRODUCT((Inputs!$A$5:$A$170=$B18)*Inputs!$B$5:$B$170*(((Inputs!$G$5:$G$170="moeda")+(Inputs!$G$5:$G$170="acoes"))*Inputs!$B$1+((Inputs!$G$5:$G$170&lt;&gt;"moeda")*(Inputs!$G$5:$G$170&lt;&gt;"acoes")))*INDEX(Inputs!$K$5:$AJ$170,0,MATCH(Z$2,Inputs!$K$4:$AJ$4,0)))+SUMPRODUCT((Inputs!$C$5:$C$170=$B18)*Inputs!$D$5:$D$170*(((Inputs!$G$5:$G$170="moeda")+(Inputs!$G$5:$G$170="acoes"))*Inputs!$B$1+((Inputs!$G$5:$G$170&lt;&gt;"moeda")*(Inputs!$G$5:$G$170&lt;&gt;"acoes")))*INDEX(Inputs!$K$5:$AJ$170,0,MATCH(Z$2,Inputs!$K$4:$AJ$4,0)))+SUMPRODUCT((Inputs!$E$5:$E$170=$B18)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8" s="6" t="e">
        <f>IF(ISNA(MATCH(AA$2,Inputs!$K$4:$AJ$4,0)),NA(),IF(SUMPRODUCT((Inputs!$A$5:$A$170=$B18)*ISNUMBER(INDEX(Inputs!$K$5:$AJ$170,0,MATCH(AA$2,Inputs!$K$4:$AJ$4,0))))+SUMPRODUCT((Inputs!$C$5:$C$170=$B18)*ISNUMBER(INDEX(Inputs!$K$5:$AJ$170,0,MATCH(AA$2,Inputs!$K$4:$AJ$4,0))))+SUMPRODUCT((Inputs!$E$5:$E$170=$B18)*ISNUMBER(INDEX(Inputs!$K$5:$AJ$170,0,MATCH(AA$2,Inputs!$K$4:$AJ$4,0))))=0,NA(),SUMPRODUCT((Inputs!$A$5:$A$170=$B18)*Inputs!$B$5:$B$170*(((Inputs!$G$5:$G$170="moeda")+(Inputs!$G$5:$G$170="acoes"))*Inputs!$B$1+((Inputs!$G$5:$G$170&lt;&gt;"moeda")*(Inputs!$G$5:$G$170&lt;&gt;"acoes")))*INDEX(Inputs!$K$5:$AJ$170,0,MATCH(AA$2,Inputs!$K$4:$AJ$4,0)))+SUMPRODUCT((Inputs!$C$5:$C$170=$B18)*Inputs!$D$5:$D$170*(((Inputs!$G$5:$G$170="moeda")+(Inputs!$G$5:$G$170="acoes"))*Inputs!$B$1+((Inputs!$G$5:$G$170&lt;&gt;"moeda")*(Inputs!$G$5:$G$170&lt;&gt;"acoes")))*INDEX(Inputs!$K$5:$AJ$170,0,MATCH(AA$2,Inputs!$K$4:$AJ$4,0)))+SUMPRODUCT((Inputs!$E$5:$E$170=$B18)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8" s="3" t="e">
        <f>AA18</f>
        <v>#N/A</v>
      </c>
      <c r="AC18" s="6" t="e">
        <f>IF(ISNA(MATCH(AC$2,Inputs!$K$4:$AJ$4,0)),NA(),IF(SUMPRODUCT((Inputs!$A$5:$A$170=$B18)*ISNUMBER(INDEX(Inputs!$K$5:$AJ$170,0,MATCH(AC$2,Inputs!$K$4:$AJ$4,0))))+SUMPRODUCT((Inputs!$C$5:$C$170=$B18)*ISNUMBER(INDEX(Inputs!$K$5:$AJ$170,0,MATCH(AC$2,Inputs!$K$4:$AJ$4,0))))+SUMPRODUCT((Inputs!$E$5:$E$170=$B18)*ISNUMBER(INDEX(Inputs!$K$5:$AJ$170,0,MATCH(AC$2,Inputs!$K$4:$AJ$4,0))))=0,NA(),SUMPRODUCT((Inputs!$A$5:$A$170=$B18)*Inputs!$B$5:$B$170*(((Inputs!$G$5:$G$170="moeda")+(Inputs!$G$5:$G$170="acoes"))*Inputs!$B$1+((Inputs!$G$5:$G$170&lt;&gt;"moeda")*(Inputs!$G$5:$G$170&lt;&gt;"acoes")))*INDEX(Inputs!$K$5:$AJ$170,0,MATCH(AC$2,Inputs!$K$4:$AJ$4,0)))+SUMPRODUCT((Inputs!$C$5:$C$170=$B18)*Inputs!$D$5:$D$170*(((Inputs!$G$5:$G$170="moeda")+(Inputs!$G$5:$G$170="acoes"))*Inputs!$B$1+((Inputs!$G$5:$G$170&lt;&gt;"moeda")*(Inputs!$G$5:$G$170&lt;&gt;"acoes")))*INDEX(Inputs!$K$5:$AJ$170,0,MATCH(AC$2,Inputs!$K$4:$AJ$4,0)))+SUMPRODUCT((Inputs!$E$5:$E$170=$B18)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8" s="6" t="e">
        <f>IF(ISNA(MATCH(AD$2,Inputs!$K$4:$AJ$4,0)),NA(),IF(SUMPRODUCT((Inputs!$A$5:$A$170=$B18)*ISNUMBER(INDEX(Inputs!$K$5:$AJ$170,0,MATCH(AD$2,Inputs!$K$4:$AJ$4,0))))+SUMPRODUCT((Inputs!$C$5:$C$170=$B18)*ISNUMBER(INDEX(Inputs!$K$5:$AJ$170,0,MATCH(AD$2,Inputs!$K$4:$AJ$4,0))))+SUMPRODUCT((Inputs!$E$5:$E$170=$B18)*ISNUMBER(INDEX(Inputs!$K$5:$AJ$170,0,MATCH(AD$2,Inputs!$K$4:$AJ$4,0))))=0,NA(),SUMPRODUCT((Inputs!$A$5:$A$170=$B18)*Inputs!$B$5:$B$170*(((Inputs!$G$5:$G$170="moeda")+(Inputs!$G$5:$G$170="acoes"))*Inputs!$B$1+((Inputs!$G$5:$G$170&lt;&gt;"moeda")*(Inputs!$G$5:$G$170&lt;&gt;"acoes")))*INDEX(Inputs!$K$5:$AJ$170,0,MATCH(AD$2,Inputs!$K$4:$AJ$4,0)))+SUMPRODUCT((Inputs!$C$5:$C$170=$B18)*Inputs!$D$5:$D$170*(((Inputs!$G$5:$G$170="moeda")+(Inputs!$G$5:$G$170="acoes"))*Inputs!$B$1+((Inputs!$G$5:$G$170&lt;&gt;"moeda")*(Inputs!$G$5:$G$170&lt;&gt;"acoes")))*INDEX(Inputs!$K$5:$AJ$170,0,MATCH(AD$2,Inputs!$K$4:$AJ$4,0)))+SUMPRODUCT((Inputs!$E$5:$E$170=$B18)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8" s="6" t="e">
        <f>IF(ISNA(MATCH(AE$2,Inputs!$K$4:$AJ$4,0)),NA(),IF(SUMPRODUCT((Inputs!$A$5:$A$170=$B18)*ISNUMBER(INDEX(Inputs!$K$5:$AJ$170,0,MATCH(AE$2,Inputs!$K$4:$AJ$4,0))))+SUMPRODUCT((Inputs!$C$5:$C$170=$B18)*ISNUMBER(INDEX(Inputs!$K$5:$AJ$170,0,MATCH(AE$2,Inputs!$K$4:$AJ$4,0))))+SUMPRODUCT((Inputs!$E$5:$E$170=$B18)*ISNUMBER(INDEX(Inputs!$K$5:$AJ$170,0,MATCH(AE$2,Inputs!$K$4:$AJ$4,0))))=0,NA(),SUMPRODUCT((Inputs!$A$5:$A$170=$B18)*Inputs!$B$5:$B$170*(((Inputs!$G$5:$G$170="moeda")+(Inputs!$G$5:$G$170="acoes"))*Inputs!$B$1+((Inputs!$G$5:$G$170&lt;&gt;"moeda")*(Inputs!$G$5:$G$170&lt;&gt;"acoes")))*INDEX(Inputs!$K$5:$AJ$170,0,MATCH(AE$2,Inputs!$K$4:$AJ$4,0)))+SUMPRODUCT((Inputs!$C$5:$C$170=$B18)*Inputs!$D$5:$D$170*(((Inputs!$G$5:$G$170="moeda")+(Inputs!$G$5:$G$170="acoes"))*Inputs!$B$1+((Inputs!$G$5:$G$170&lt;&gt;"moeda")*(Inputs!$G$5:$G$170&lt;&gt;"acoes")))*INDEX(Inputs!$K$5:$AJ$170,0,MATCH(AE$2,Inputs!$K$4:$AJ$4,0)))+SUMPRODUCT((Inputs!$E$5:$E$170=$B18)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8" s="6" t="e">
        <f>IF(ISNA(MATCH(AF$2,Inputs!$K$4:$AJ$4,0)),NA(),IF(SUMPRODUCT((Inputs!$A$5:$A$170=$B18)*ISNUMBER(INDEX(Inputs!$K$5:$AJ$170,0,MATCH(AF$2,Inputs!$K$4:$AJ$4,0))))+SUMPRODUCT((Inputs!$C$5:$C$170=$B18)*ISNUMBER(INDEX(Inputs!$K$5:$AJ$170,0,MATCH(AF$2,Inputs!$K$4:$AJ$4,0))))+SUMPRODUCT((Inputs!$E$5:$E$170=$B18)*ISNUMBER(INDEX(Inputs!$K$5:$AJ$170,0,MATCH(AF$2,Inputs!$K$4:$AJ$4,0))))=0,NA(),SUMPRODUCT((Inputs!$A$5:$A$170=$B18)*Inputs!$B$5:$B$170*(((Inputs!$G$5:$G$170="moeda")+(Inputs!$G$5:$G$170="acoes"))*Inputs!$B$1+((Inputs!$G$5:$G$170&lt;&gt;"moeda")*(Inputs!$G$5:$G$170&lt;&gt;"acoes")))*INDEX(Inputs!$K$5:$AJ$170,0,MATCH(AF$2,Inputs!$K$4:$AJ$4,0)))+SUMPRODUCT((Inputs!$C$5:$C$170=$B18)*Inputs!$D$5:$D$170*(((Inputs!$G$5:$G$170="moeda")+(Inputs!$G$5:$G$170="acoes"))*Inputs!$B$1+((Inputs!$G$5:$G$170&lt;&gt;"moeda")*(Inputs!$G$5:$G$170&lt;&gt;"acoes")))*INDEX(Inputs!$K$5:$AJ$170,0,MATCH(AF$2,Inputs!$K$4:$AJ$4,0)))+SUMPRODUCT((Inputs!$E$5:$E$170=$B18)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8" s="3" t="e">
        <f>AF18</f>
        <v>#N/A</v>
      </c>
      <c r="AH18" s="6" t="e">
        <f>IF(ISNA(MATCH(AH$2,Inputs!$K$4:$AJ$4,0)),NA(),IF(SUMPRODUCT((Inputs!$A$5:$A$170=$B18)*ISNUMBER(INDEX(Inputs!$K$5:$AJ$170,0,MATCH(AH$2,Inputs!$K$4:$AJ$4,0))))+SUMPRODUCT((Inputs!$C$5:$C$170=$B18)*ISNUMBER(INDEX(Inputs!$K$5:$AJ$170,0,MATCH(AH$2,Inputs!$K$4:$AJ$4,0))))+SUMPRODUCT((Inputs!$E$5:$E$170=$B18)*ISNUMBER(INDEX(Inputs!$K$5:$AJ$170,0,MATCH(AH$2,Inputs!$K$4:$AJ$4,0))))=0,NA(),SUMPRODUCT((Inputs!$A$5:$A$170=$B18)*Inputs!$B$5:$B$170*(((Inputs!$G$5:$G$170="moeda")+(Inputs!$G$5:$G$170="acoes"))*Inputs!$B$1+((Inputs!$G$5:$G$170&lt;&gt;"moeda")*(Inputs!$G$5:$G$170&lt;&gt;"acoes")))*INDEX(Inputs!$K$5:$AJ$170,0,MATCH(AH$2,Inputs!$K$4:$AJ$4,0)))+SUMPRODUCT((Inputs!$C$5:$C$170=$B18)*Inputs!$D$5:$D$170*(((Inputs!$G$5:$G$170="moeda")+(Inputs!$G$5:$G$170="acoes"))*Inputs!$B$1+((Inputs!$G$5:$G$170&lt;&gt;"moeda")*(Inputs!$G$5:$G$170&lt;&gt;"acoes")))*INDEX(Inputs!$K$5:$AJ$170,0,MATCH(AH$2,Inputs!$K$4:$AJ$4,0)))+SUMPRODUCT((Inputs!$E$5:$E$170=$B18)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8" s="6" t="e">
        <f>IF(ISNA(MATCH(AI$2,Inputs!$K$4:$AJ$4,0)),NA(),IF(SUMPRODUCT((Inputs!$A$5:$A$170=$B18)*ISNUMBER(INDEX(Inputs!$K$5:$AJ$170,0,MATCH(AI$2,Inputs!$K$4:$AJ$4,0))))+SUMPRODUCT((Inputs!$C$5:$C$170=$B18)*ISNUMBER(INDEX(Inputs!$K$5:$AJ$170,0,MATCH(AI$2,Inputs!$K$4:$AJ$4,0))))+SUMPRODUCT((Inputs!$E$5:$E$170=$B18)*ISNUMBER(INDEX(Inputs!$K$5:$AJ$170,0,MATCH(AI$2,Inputs!$K$4:$AJ$4,0))))=0,NA(),SUMPRODUCT((Inputs!$A$5:$A$170=$B18)*Inputs!$B$5:$B$170*(((Inputs!$G$5:$G$170="moeda")+(Inputs!$G$5:$G$170="acoes"))*Inputs!$B$1+((Inputs!$G$5:$G$170&lt;&gt;"moeda")*(Inputs!$G$5:$G$170&lt;&gt;"acoes")))*INDEX(Inputs!$K$5:$AJ$170,0,MATCH(AI$2,Inputs!$K$4:$AJ$4,0)))+SUMPRODUCT((Inputs!$C$5:$C$170=$B18)*Inputs!$D$5:$D$170*(((Inputs!$G$5:$G$170="moeda")+(Inputs!$G$5:$G$170="acoes"))*Inputs!$B$1+((Inputs!$G$5:$G$170&lt;&gt;"moeda")*(Inputs!$G$5:$G$170&lt;&gt;"acoes")))*INDEX(Inputs!$K$5:$AJ$170,0,MATCH(AI$2,Inputs!$K$4:$AJ$4,0)))+SUMPRODUCT((Inputs!$E$5:$E$170=$B18)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8" s="6" t="e">
        <f>IF(ISNA(MATCH(AJ$2,Inputs!$K$4:$AJ$4,0)),NA(),IF(SUMPRODUCT((Inputs!$A$5:$A$170=$B18)*ISNUMBER(INDEX(Inputs!$K$5:$AJ$170,0,MATCH(AJ$2,Inputs!$K$4:$AJ$4,0))))+SUMPRODUCT((Inputs!$C$5:$C$170=$B18)*ISNUMBER(INDEX(Inputs!$K$5:$AJ$170,0,MATCH(AJ$2,Inputs!$K$4:$AJ$4,0))))+SUMPRODUCT((Inputs!$E$5:$E$170=$B18)*ISNUMBER(INDEX(Inputs!$K$5:$AJ$170,0,MATCH(AJ$2,Inputs!$K$4:$AJ$4,0))))=0,NA(),SUMPRODUCT((Inputs!$A$5:$A$170=$B18)*Inputs!$B$5:$B$170*(((Inputs!$G$5:$G$170="moeda")+(Inputs!$G$5:$G$170="acoes"))*Inputs!$B$1+((Inputs!$G$5:$G$170&lt;&gt;"moeda")*(Inputs!$G$5:$G$170&lt;&gt;"acoes")))*INDEX(Inputs!$K$5:$AJ$170,0,MATCH(AJ$2,Inputs!$K$4:$AJ$4,0)))+SUMPRODUCT((Inputs!$C$5:$C$170=$B18)*Inputs!$D$5:$D$170*(((Inputs!$G$5:$G$170="moeda")+(Inputs!$G$5:$G$170="acoes"))*Inputs!$B$1+((Inputs!$G$5:$G$170&lt;&gt;"moeda")*(Inputs!$G$5:$G$170&lt;&gt;"acoes")))*INDEX(Inputs!$K$5:$AJ$170,0,MATCH(AJ$2,Inputs!$K$4:$AJ$4,0)))+SUMPRODUCT((Inputs!$E$5:$E$170=$B18)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8" s="6" t="e">
        <f>IF(ISNA(MATCH(AK$2,Inputs!$K$4:$AJ$4,0)),NA(),IF(SUMPRODUCT((Inputs!$A$5:$A$170=$B18)*ISNUMBER(INDEX(Inputs!$K$5:$AJ$170,0,MATCH(AK$2,Inputs!$K$4:$AJ$4,0))))+SUMPRODUCT((Inputs!$C$5:$C$170=$B18)*ISNUMBER(INDEX(Inputs!$K$5:$AJ$170,0,MATCH(AK$2,Inputs!$K$4:$AJ$4,0))))+SUMPRODUCT((Inputs!$E$5:$E$170=$B18)*ISNUMBER(INDEX(Inputs!$K$5:$AJ$170,0,MATCH(AK$2,Inputs!$K$4:$AJ$4,0))))=0,NA(),SUMPRODUCT((Inputs!$A$5:$A$170=$B18)*Inputs!$B$5:$B$170*(((Inputs!$G$5:$G$170="moeda")+(Inputs!$G$5:$G$170="acoes"))*Inputs!$B$1+((Inputs!$G$5:$G$170&lt;&gt;"moeda")*(Inputs!$G$5:$G$170&lt;&gt;"acoes")))*INDEX(Inputs!$K$5:$AJ$170,0,MATCH(AK$2,Inputs!$K$4:$AJ$4,0)))+SUMPRODUCT((Inputs!$C$5:$C$170=$B18)*Inputs!$D$5:$D$170*(((Inputs!$G$5:$G$170="moeda")+(Inputs!$G$5:$G$170="acoes"))*Inputs!$B$1+((Inputs!$G$5:$G$170&lt;&gt;"moeda")*(Inputs!$G$5:$G$170&lt;&gt;"acoes")))*INDEX(Inputs!$K$5:$AJ$170,0,MATCH(AK$2,Inputs!$K$4:$AJ$4,0)))+SUMPRODUCT((Inputs!$E$5:$E$170=$B18)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$170=$B19)*ISNUMBER(INDEX(Inputs!$K$5:$AJ$170,0,MATCH(D$2,Inputs!$K$4:$AJ$4,0))))+SUMPRODUCT((Inputs!$C$5:$C$170=$B19)*ISNUMBER(INDEX(Inputs!$K$5:$AJ$170,0,MATCH(D$2,Inputs!$K$4:$AJ$4,0))))+SUMPRODUCT((Inputs!$E$5:$E$170=$B19)*ISNUMBER(INDEX(Inputs!$K$5:$AJ$170,0,MATCH(D$2,Inputs!$K$4:$AJ$4,0))))=0,NA(),SUMPRODUCT((Inputs!$A$5:$A$170=$B19)*Inputs!$B$5:$B$170*(((Inputs!$G$5:$G$170="moeda")+(Inputs!$G$5:$G$170="acoes"))*Inputs!$B$1+((Inputs!$G$5:$G$170&lt;&gt;"moeda")*(Inputs!$G$5:$G$170&lt;&gt;"acoes")))*INDEX(Inputs!$K$5:$AJ$170,0,MATCH(D$2,Inputs!$K$4:$AJ$4,0)))+SUMPRODUCT((Inputs!$C$5:$C$170=$B19)*Inputs!$D$5:$D$170*(((Inputs!$G$5:$G$170="moeda")+(Inputs!$G$5:$G$170="acoes"))*Inputs!$B$1+((Inputs!$G$5:$G$170&lt;&gt;"moeda")*(Inputs!$G$5:$G$170&lt;&gt;"acoes")))*INDEX(Inputs!$K$5:$AJ$170,0,MATCH(D$2,Inputs!$K$4:$AJ$4,0)))+SUMPRODUCT((Inputs!$E$5:$E$170=$B19)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19" s="6" t="e">
        <f>IF(ISNA(MATCH(E$2,Inputs!$K$4:$AJ$4,0)),NA(),IF(SUMPRODUCT((Inputs!$A$5:$A$170=$B19)*ISNUMBER(INDEX(Inputs!$K$5:$AJ$170,0,MATCH(E$2,Inputs!$K$4:$AJ$4,0))))+SUMPRODUCT((Inputs!$C$5:$C$170=$B19)*ISNUMBER(INDEX(Inputs!$K$5:$AJ$170,0,MATCH(E$2,Inputs!$K$4:$AJ$4,0))))+SUMPRODUCT((Inputs!$E$5:$E$170=$B19)*ISNUMBER(INDEX(Inputs!$K$5:$AJ$170,0,MATCH(E$2,Inputs!$K$4:$AJ$4,0))))=0,NA(),SUMPRODUCT((Inputs!$A$5:$A$170=$B19)*Inputs!$B$5:$B$170*(((Inputs!$G$5:$G$170="moeda")+(Inputs!$G$5:$G$170="acoes"))*Inputs!$B$1+((Inputs!$G$5:$G$170&lt;&gt;"moeda")*(Inputs!$G$5:$G$170&lt;&gt;"acoes")))*INDEX(Inputs!$K$5:$AJ$170,0,MATCH(E$2,Inputs!$K$4:$AJ$4,0)))+SUMPRODUCT((Inputs!$C$5:$C$170=$B19)*Inputs!$D$5:$D$170*(((Inputs!$G$5:$G$170="moeda")+(Inputs!$G$5:$G$170="acoes"))*Inputs!$B$1+((Inputs!$G$5:$G$170&lt;&gt;"moeda")*(Inputs!$G$5:$G$170&lt;&gt;"acoes")))*INDEX(Inputs!$K$5:$AJ$170,0,MATCH(E$2,Inputs!$K$4:$AJ$4,0)))+SUMPRODUCT((Inputs!$E$5:$E$170=$B19)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19" s="6" t="e">
        <f>IF(ISNA(MATCH(F$2,Inputs!$K$4:$AJ$4,0)),NA(),IF(SUMPRODUCT((Inputs!$A$5:$A$170=$B19)*ISNUMBER(INDEX(Inputs!$K$5:$AJ$170,0,MATCH(F$2,Inputs!$K$4:$AJ$4,0))))+SUMPRODUCT((Inputs!$C$5:$C$170=$B19)*ISNUMBER(INDEX(Inputs!$K$5:$AJ$170,0,MATCH(F$2,Inputs!$K$4:$AJ$4,0))))+SUMPRODUCT((Inputs!$E$5:$E$170=$B19)*ISNUMBER(INDEX(Inputs!$K$5:$AJ$170,0,MATCH(F$2,Inputs!$K$4:$AJ$4,0))))=0,NA(),SUMPRODUCT((Inputs!$A$5:$A$170=$B19)*Inputs!$B$5:$B$170*(((Inputs!$G$5:$G$170="moeda")+(Inputs!$G$5:$G$170="acoes"))*Inputs!$B$1+((Inputs!$G$5:$G$170&lt;&gt;"moeda")*(Inputs!$G$5:$G$170&lt;&gt;"acoes")))*INDEX(Inputs!$K$5:$AJ$170,0,MATCH(F$2,Inputs!$K$4:$AJ$4,0)))+SUMPRODUCT((Inputs!$C$5:$C$170=$B19)*Inputs!$D$5:$D$170*(((Inputs!$G$5:$G$170="moeda")+(Inputs!$G$5:$G$170="acoes"))*Inputs!$B$1+((Inputs!$G$5:$G$170&lt;&gt;"moeda")*(Inputs!$G$5:$G$170&lt;&gt;"acoes")))*INDEX(Inputs!$K$5:$AJ$170,0,MATCH(F$2,Inputs!$K$4:$AJ$4,0)))+SUMPRODUCT((Inputs!$E$5:$E$170=$B19)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19" s="6" t="e">
        <f>IF(ISNA(MATCH(G$2,Inputs!$K$4:$AJ$4,0)),NA(),IF(SUMPRODUCT((Inputs!$A$5:$A$170=$B19)*ISNUMBER(INDEX(Inputs!$K$5:$AJ$170,0,MATCH(G$2,Inputs!$K$4:$AJ$4,0))))+SUMPRODUCT((Inputs!$C$5:$C$170=$B19)*ISNUMBER(INDEX(Inputs!$K$5:$AJ$170,0,MATCH(G$2,Inputs!$K$4:$AJ$4,0))))+SUMPRODUCT((Inputs!$E$5:$E$170=$B19)*ISNUMBER(INDEX(Inputs!$K$5:$AJ$170,0,MATCH(G$2,Inputs!$K$4:$AJ$4,0))))=0,NA(),SUMPRODUCT((Inputs!$A$5:$A$170=$B19)*Inputs!$B$5:$B$170*(((Inputs!$G$5:$G$170="moeda")+(Inputs!$G$5:$G$170="acoes"))*Inputs!$B$1+((Inputs!$G$5:$G$170&lt;&gt;"moeda")*(Inputs!$G$5:$G$170&lt;&gt;"acoes")))*INDEX(Inputs!$K$5:$AJ$170,0,MATCH(G$2,Inputs!$K$4:$AJ$4,0)))+SUMPRODUCT((Inputs!$C$5:$C$170=$B19)*Inputs!$D$5:$D$170*(((Inputs!$G$5:$G$170="moeda")+(Inputs!$G$5:$G$170="acoes"))*Inputs!$B$1+((Inputs!$G$5:$G$170&lt;&gt;"moeda")*(Inputs!$G$5:$G$170&lt;&gt;"acoes")))*INDEX(Inputs!$K$5:$AJ$170,0,MATCH(G$2,Inputs!$K$4:$AJ$4,0)))+SUMPRODUCT((Inputs!$E$5:$E$170=$B19)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19" s="3" t="e">
        <f>G19</f>
        <v>#N/A</v>
      </c>
      <c r="I19" s="6" t="e">
        <f>IF(ISNA(MATCH(I$2,Inputs!$K$4:$AJ$4,0)),NA(),IF(SUMPRODUCT((Inputs!$A$5:$A$170=$B19)*ISNUMBER(INDEX(Inputs!$K$5:$AJ$170,0,MATCH(I$2,Inputs!$K$4:$AJ$4,0))))+SUMPRODUCT((Inputs!$C$5:$C$170=$B19)*ISNUMBER(INDEX(Inputs!$K$5:$AJ$170,0,MATCH(I$2,Inputs!$K$4:$AJ$4,0))))+SUMPRODUCT((Inputs!$E$5:$E$170=$B19)*ISNUMBER(INDEX(Inputs!$K$5:$AJ$170,0,MATCH(I$2,Inputs!$K$4:$AJ$4,0))))=0,NA(),SUMPRODUCT((Inputs!$A$5:$A$170=$B19)*Inputs!$B$5:$B$170*(((Inputs!$G$5:$G$170="moeda")+(Inputs!$G$5:$G$170="acoes"))*Inputs!$B$1+((Inputs!$G$5:$G$170&lt;&gt;"moeda")*(Inputs!$G$5:$G$170&lt;&gt;"acoes")))*INDEX(Inputs!$K$5:$AJ$170,0,MATCH(I$2,Inputs!$K$4:$AJ$4,0)))+SUMPRODUCT((Inputs!$C$5:$C$170=$B19)*Inputs!$D$5:$D$170*(((Inputs!$G$5:$G$170="moeda")+(Inputs!$G$5:$G$170="acoes"))*Inputs!$B$1+((Inputs!$G$5:$G$170&lt;&gt;"moeda")*(Inputs!$G$5:$G$170&lt;&gt;"acoes")))*INDEX(Inputs!$K$5:$AJ$170,0,MATCH(I$2,Inputs!$K$4:$AJ$4,0)))+SUMPRODUCT((Inputs!$E$5:$E$170=$B19)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19" s="6" t="e">
        <f>IF(ISNA(MATCH(J$2,Inputs!$K$4:$AJ$4,0)),NA(),IF(SUMPRODUCT((Inputs!$A$5:$A$170=$B19)*ISNUMBER(INDEX(Inputs!$K$5:$AJ$170,0,MATCH(J$2,Inputs!$K$4:$AJ$4,0))))+SUMPRODUCT((Inputs!$C$5:$C$170=$B19)*ISNUMBER(INDEX(Inputs!$K$5:$AJ$170,0,MATCH(J$2,Inputs!$K$4:$AJ$4,0))))+SUMPRODUCT((Inputs!$E$5:$E$170=$B19)*ISNUMBER(INDEX(Inputs!$K$5:$AJ$170,0,MATCH(J$2,Inputs!$K$4:$AJ$4,0))))=0,NA(),SUMPRODUCT((Inputs!$A$5:$A$170=$B19)*Inputs!$B$5:$B$170*(((Inputs!$G$5:$G$170="moeda")+(Inputs!$G$5:$G$170="acoes"))*Inputs!$B$1+((Inputs!$G$5:$G$170&lt;&gt;"moeda")*(Inputs!$G$5:$G$170&lt;&gt;"acoes")))*INDEX(Inputs!$K$5:$AJ$170,0,MATCH(J$2,Inputs!$K$4:$AJ$4,0)))+SUMPRODUCT((Inputs!$C$5:$C$170=$B19)*Inputs!$D$5:$D$170*(((Inputs!$G$5:$G$170="moeda")+(Inputs!$G$5:$G$170="acoes"))*Inputs!$B$1+((Inputs!$G$5:$G$170&lt;&gt;"moeda")*(Inputs!$G$5:$G$170&lt;&gt;"acoes")))*INDEX(Inputs!$K$5:$AJ$170,0,MATCH(J$2,Inputs!$K$4:$AJ$4,0)))+SUMPRODUCT((Inputs!$E$5:$E$170=$B19)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19" s="6" t="e">
        <f>IF(ISNA(MATCH(K$2,Inputs!$K$4:$AJ$4,0)),NA(),IF(SUMPRODUCT((Inputs!$A$5:$A$170=$B19)*ISNUMBER(INDEX(Inputs!$K$5:$AJ$170,0,MATCH(K$2,Inputs!$K$4:$AJ$4,0))))+SUMPRODUCT((Inputs!$C$5:$C$170=$B19)*ISNUMBER(INDEX(Inputs!$K$5:$AJ$170,0,MATCH(K$2,Inputs!$K$4:$AJ$4,0))))+SUMPRODUCT((Inputs!$E$5:$E$170=$B19)*ISNUMBER(INDEX(Inputs!$K$5:$AJ$170,0,MATCH(K$2,Inputs!$K$4:$AJ$4,0))))=0,NA(),SUMPRODUCT((Inputs!$A$5:$A$170=$B19)*Inputs!$B$5:$B$170*(((Inputs!$G$5:$G$170="moeda")+(Inputs!$G$5:$G$170="acoes"))*Inputs!$B$1+((Inputs!$G$5:$G$170&lt;&gt;"moeda")*(Inputs!$G$5:$G$170&lt;&gt;"acoes")))*INDEX(Inputs!$K$5:$AJ$170,0,MATCH(K$2,Inputs!$K$4:$AJ$4,0)))+SUMPRODUCT((Inputs!$C$5:$C$170=$B19)*Inputs!$D$5:$D$170*(((Inputs!$G$5:$G$170="moeda")+(Inputs!$G$5:$G$170="acoes"))*Inputs!$B$1+((Inputs!$G$5:$G$170&lt;&gt;"moeda")*(Inputs!$G$5:$G$170&lt;&gt;"acoes")))*INDEX(Inputs!$K$5:$AJ$170,0,MATCH(K$2,Inputs!$K$4:$AJ$4,0)))+SUMPRODUCT((Inputs!$E$5:$E$170=$B19)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19" s="6" t="e">
        <f>IF(ISNA(MATCH(L$2,Inputs!$K$4:$AJ$4,0)),NA(),IF(SUMPRODUCT((Inputs!$A$5:$A$170=$B19)*ISNUMBER(INDEX(Inputs!$K$5:$AJ$170,0,MATCH(L$2,Inputs!$K$4:$AJ$4,0))))+SUMPRODUCT((Inputs!$C$5:$C$170=$B19)*ISNUMBER(INDEX(Inputs!$K$5:$AJ$170,0,MATCH(L$2,Inputs!$K$4:$AJ$4,0))))+SUMPRODUCT((Inputs!$E$5:$E$170=$B19)*ISNUMBER(INDEX(Inputs!$K$5:$AJ$170,0,MATCH(L$2,Inputs!$K$4:$AJ$4,0))))=0,NA(),SUMPRODUCT((Inputs!$A$5:$A$170=$B19)*Inputs!$B$5:$B$170*(((Inputs!$G$5:$G$170="moeda")+(Inputs!$G$5:$G$170="acoes"))*Inputs!$B$1+((Inputs!$G$5:$G$170&lt;&gt;"moeda")*(Inputs!$G$5:$G$170&lt;&gt;"acoes")))*INDEX(Inputs!$K$5:$AJ$170,0,MATCH(L$2,Inputs!$K$4:$AJ$4,0)))+SUMPRODUCT((Inputs!$C$5:$C$170=$B19)*Inputs!$D$5:$D$170*(((Inputs!$G$5:$G$170="moeda")+(Inputs!$G$5:$G$170="acoes"))*Inputs!$B$1+((Inputs!$G$5:$G$170&lt;&gt;"moeda")*(Inputs!$G$5:$G$170&lt;&gt;"acoes")))*INDEX(Inputs!$K$5:$AJ$170,0,MATCH(L$2,Inputs!$K$4:$AJ$4,0)))+SUMPRODUCT((Inputs!$E$5:$E$170=$B19)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19" s="3" t="e">
        <f>L19</f>
        <v>#N/A</v>
      </c>
      <c r="N19" s="6" t="e">
        <f>IF(ISNA(MATCH(N$2,Inputs!$K$4:$AJ$4,0)),NA(),IF(SUMPRODUCT((Inputs!$A$5:$A$170=$B19)*ISNUMBER(INDEX(Inputs!$K$5:$AJ$170,0,MATCH(N$2,Inputs!$K$4:$AJ$4,0))))+SUMPRODUCT((Inputs!$C$5:$C$170=$B19)*ISNUMBER(INDEX(Inputs!$K$5:$AJ$170,0,MATCH(N$2,Inputs!$K$4:$AJ$4,0))))+SUMPRODUCT((Inputs!$E$5:$E$170=$B19)*ISNUMBER(INDEX(Inputs!$K$5:$AJ$170,0,MATCH(N$2,Inputs!$K$4:$AJ$4,0))))=0,NA(),SUMPRODUCT((Inputs!$A$5:$A$170=$B19)*Inputs!$B$5:$B$170*(((Inputs!$G$5:$G$170="moeda")+(Inputs!$G$5:$G$170="acoes"))*Inputs!$B$1+((Inputs!$G$5:$G$170&lt;&gt;"moeda")*(Inputs!$G$5:$G$170&lt;&gt;"acoes")))*INDEX(Inputs!$K$5:$AJ$170,0,MATCH(N$2,Inputs!$K$4:$AJ$4,0)))+SUMPRODUCT((Inputs!$C$5:$C$170=$B19)*Inputs!$D$5:$D$170*(((Inputs!$G$5:$G$170="moeda")+(Inputs!$G$5:$G$170="acoes"))*Inputs!$B$1+((Inputs!$G$5:$G$170&lt;&gt;"moeda")*(Inputs!$G$5:$G$170&lt;&gt;"acoes")))*INDEX(Inputs!$K$5:$AJ$170,0,MATCH(N$2,Inputs!$K$4:$AJ$4,0)))+SUMPRODUCT((Inputs!$E$5:$E$170=$B19)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19" s="6" t="e">
        <f>IF(ISNA(MATCH(O$2,Inputs!$K$4:$AJ$4,0)),NA(),IF(SUMPRODUCT((Inputs!$A$5:$A$170=$B19)*ISNUMBER(INDEX(Inputs!$K$5:$AJ$170,0,MATCH(O$2,Inputs!$K$4:$AJ$4,0))))+SUMPRODUCT((Inputs!$C$5:$C$170=$B19)*ISNUMBER(INDEX(Inputs!$K$5:$AJ$170,0,MATCH(O$2,Inputs!$K$4:$AJ$4,0))))+SUMPRODUCT((Inputs!$E$5:$E$170=$B19)*ISNUMBER(INDEX(Inputs!$K$5:$AJ$170,0,MATCH(O$2,Inputs!$K$4:$AJ$4,0))))=0,NA(),SUMPRODUCT((Inputs!$A$5:$A$170=$B19)*Inputs!$B$5:$B$170*(((Inputs!$G$5:$G$170="moeda")+(Inputs!$G$5:$G$170="acoes"))*Inputs!$B$1+((Inputs!$G$5:$G$170&lt;&gt;"moeda")*(Inputs!$G$5:$G$170&lt;&gt;"acoes")))*INDEX(Inputs!$K$5:$AJ$170,0,MATCH(O$2,Inputs!$K$4:$AJ$4,0)))+SUMPRODUCT((Inputs!$C$5:$C$170=$B19)*Inputs!$D$5:$D$170*(((Inputs!$G$5:$G$170="moeda")+(Inputs!$G$5:$G$170="acoes"))*Inputs!$B$1+((Inputs!$G$5:$G$170&lt;&gt;"moeda")*(Inputs!$G$5:$G$170&lt;&gt;"acoes")))*INDEX(Inputs!$K$5:$AJ$170,0,MATCH(O$2,Inputs!$K$4:$AJ$4,0)))+SUMPRODUCT((Inputs!$E$5:$E$170=$B19)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19" s="6" t="e">
        <f>IF(ISNA(MATCH(P$2,Inputs!$K$4:$AJ$4,0)),NA(),IF(SUMPRODUCT((Inputs!$A$5:$A$170=$B19)*ISNUMBER(INDEX(Inputs!$K$5:$AJ$170,0,MATCH(P$2,Inputs!$K$4:$AJ$4,0))))+SUMPRODUCT((Inputs!$C$5:$C$170=$B19)*ISNUMBER(INDEX(Inputs!$K$5:$AJ$170,0,MATCH(P$2,Inputs!$K$4:$AJ$4,0))))+SUMPRODUCT((Inputs!$E$5:$E$170=$B19)*ISNUMBER(INDEX(Inputs!$K$5:$AJ$170,0,MATCH(P$2,Inputs!$K$4:$AJ$4,0))))=0,NA(),SUMPRODUCT((Inputs!$A$5:$A$170=$B19)*Inputs!$B$5:$B$170*(((Inputs!$G$5:$G$170="moeda")+(Inputs!$G$5:$G$170="acoes"))*Inputs!$B$1+((Inputs!$G$5:$G$170&lt;&gt;"moeda")*(Inputs!$G$5:$G$170&lt;&gt;"acoes")))*INDEX(Inputs!$K$5:$AJ$170,0,MATCH(P$2,Inputs!$K$4:$AJ$4,0)))+SUMPRODUCT((Inputs!$C$5:$C$170=$B19)*Inputs!$D$5:$D$170*(((Inputs!$G$5:$G$170="moeda")+(Inputs!$G$5:$G$170="acoes"))*Inputs!$B$1+((Inputs!$G$5:$G$170&lt;&gt;"moeda")*(Inputs!$G$5:$G$170&lt;&gt;"acoes")))*INDEX(Inputs!$K$5:$AJ$170,0,MATCH(P$2,Inputs!$K$4:$AJ$4,0)))+SUMPRODUCT((Inputs!$E$5:$E$170=$B19)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19" s="6" t="e">
        <f>IF(ISNA(MATCH(Q$2,Inputs!$K$4:$AJ$4,0)),NA(),IF(SUMPRODUCT((Inputs!$A$5:$A$170=$B19)*ISNUMBER(INDEX(Inputs!$K$5:$AJ$170,0,MATCH(Q$2,Inputs!$K$4:$AJ$4,0))))+SUMPRODUCT((Inputs!$C$5:$C$170=$B19)*ISNUMBER(INDEX(Inputs!$K$5:$AJ$170,0,MATCH(Q$2,Inputs!$K$4:$AJ$4,0))))+SUMPRODUCT((Inputs!$E$5:$E$170=$B19)*ISNUMBER(INDEX(Inputs!$K$5:$AJ$170,0,MATCH(Q$2,Inputs!$K$4:$AJ$4,0))))=0,NA(),SUMPRODUCT((Inputs!$A$5:$A$170=$B19)*Inputs!$B$5:$B$170*(((Inputs!$G$5:$G$170="moeda")+(Inputs!$G$5:$G$170="acoes"))*Inputs!$B$1+((Inputs!$G$5:$G$170&lt;&gt;"moeda")*(Inputs!$G$5:$G$170&lt;&gt;"acoes")))*INDEX(Inputs!$K$5:$AJ$170,0,MATCH(Q$2,Inputs!$K$4:$AJ$4,0)))+SUMPRODUCT((Inputs!$C$5:$C$170=$B19)*Inputs!$D$5:$D$170*(((Inputs!$G$5:$G$170="moeda")+(Inputs!$G$5:$G$170="acoes"))*Inputs!$B$1+((Inputs!$G$5:$G$170&lt;&gt;"moeda")*(Inputs!$G$5:$G$170&lt;&gt;"acoes")))*INDEX(Inputs!$K$5:$AJ$170,0,MATCH(Q$2,Inputs!$K$4:$AJ$4,0)))+SUMPRODUCT((Inputs!$E$5:$E$170=$B19)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19" s="3" t="e">
        <f>Q19</f>
        <v>#N/A</v>
      </c>
      <c r="S19" s="6" t="e">
        <f>IF(ISNA(MATCH(S$2,Inputs!$K$4:$AJ$4,0)),NA(),IF(SUMPRODUCT((Inputs!$A$5:$A$170=$B19)*ISNUMBER(INDEX(Inputs!$K$5:$AJ$170,0,MATCH(S$2,Inputs!$K$4:$AJ$4,0))))+SUMPRODUCT((Inputs!$C$5:$C$170=$B19)*ISNUMBER(INDEX(Inputs!$K$5:$AJ$170,0,MATCH(S$2,Inputs!$K$4:$AJ$4,0))))+SUMPRODUCT((Inputs!$E$5:$E$170=$B19)*ISNUMBER(INDEX(Inputs!$K$5:$AJ$170,0,MATCH(S$2,Inputs!$K$4:$AJ$4,0))))=0,NA(),SUMPRODUCT((Inputs!$A$5:$A$170=$B19)*Inputs!$B$5:$B$170*(((Inputs!$G$5:$G$170="moeda")+(Inputs!$G$5:$G$170="acoes"))*Inputs!$B$1+((Inputs!$G$5:$G$170&lt;&gt;"moeda")*(Inputs!$G$5:$G$170&lt;&gt;"acoes")))*INDEX(Inputs!$K$5:$AJ$170,0,MATCH(S$2,Inputs!$K$4:$AJ$4,0)))+SUMPRODUCT((Inputs!$C$5:$C$170=$B19)*Inputs!$D$5:$D$170*(((Inputs!$G$5:$G$170="moeda")+(Inputs!$G$5:$G$170="acoes"))*Inputs!$B$1+((Inputs!$G$5:$G$170&lt;&gt;"moeda")*(Inputs!$G$5:$G$170&lt;&gt;"acoes")))*INDEX(Inputs!$K$5:$AJ$170,0,MATCH(S$2,Inputs!$K$4:$AJ$4,0)))+SUMPRODUCT((Inputs!$E$5:$E$170=$B19)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19" s="6" t="e">
        <f>IF(ISNA(MATCH(T$2,Inputs!$K$4:$AJ$4,0)),NA(),IF(SUMPRODUCT((Inputs!$A$5:$A$170=$B19)*ISNUMBER(INDEX(Inputs!$K$5:$AJ$170,0,MATCH(T$2,Inputs!$K$4:$AJ$4,0))))+SUMPRODUCT((Inputs!$C$5:$C$170=$B19)*ISNUMBER(INDEX(Inputs!$K$5:$AJ$170,0,MATCH(T$2,Inputs!$K$4:$AJ$4,0))))+SUMPRODUCT((Inputs!$E$5:$E$170=$B19)*ISNUMBER(INDEX(Inputs!$K$5:$AJ$170,0,MATCH(T$2,Inputs!$K$4:$AJ$4,0))))=0,NA(),SUMPRODUCT((Inputs!$A$5:$A$170=$B19)*Inputs!$B$5:$B$170*(((Inputs!$G$5:$G$170="moeda")+(Inputs!$G$5:$G$170="acoes"))*Inputs!$B$1+((Inputs!$G$5:$G$170&lt;&gt;"moeda")*(Inputs!$G$5:$G$170&lt;&gt;"acoes")))*INDEX(Inputs!$K$5:$AJ$170,0,MATCH(T$2,Inputs!$K$4:$AJ$4,0)))+SUMPRODUCT((Inputs!$C$5:$C$170=$B19)*Inputs!$D$5:$D$170*(((Inputs!$G$5:$G$170="moeda")+(Inputs!$G$5:$G$170="acoes"))*Inputs!$B$1+((Inputs!$G$5:$G$170&lt;&gt;"moeda")*(Inputs!$G$5:$G$170&lt;&gt;"acoes")))*INDEX(Inputs!$K$5:$AJ$170,0,MATCH(T$2,Inputs!$K$4:$AJ$4,0)))+SUMPRODUCT((Inputs!$E$5:$E$170=$B19)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19" s="6" t="e">
        <f>IF(ISNA(MATCH(U$2,Inputs!$K$4:$AJ$4,0)),NA(),IF(SUMPRODUCT((Inputs!$A$5:$A$170=$B19)*ISNUMBER(INDEX(Inputs!$K$5:$AJ$170,0,MATCH(U$2,Inputs!$K$4:$AJ$4,0))))+SUMPRODUCT((Inputs!$C$5:$C$170=$B19)*ISNUMBER(INDEX(Inputs!$K$5:$AJ$170,0,MATCH(U$2,Inputs!$K$4:$AJ$4,0))))+SUMPRODUCT((Inputs!$E$5:$E$170=$B19)*ISNUMBER(INDEX(Inputs!$K$5:$AJ$170,0,MATCH(U$2,Inputs!$K$4:$AJ$4,0))))=0,NA(),SUMPRODUCT((Inputs!$A$5:$A$170=$B19)*Inputs!$B$5:$B$170*(((Inputs!$G$5:$G$170="moeda")+(Inputs!$G$5:$G$170="acoes"))*Inputs!$B$1+((Inputs!$G$5:$G$170&lt;&gt;"moeda")*(Inputs!$G$5:$G$170&lt;&gt;"acoes")))*INDEX(Inputs!$K$5:$AJ$170,0,MATCH(U$2,Inputs!$K$4:$AJ$4,0)))+SUMPRODUCT((Inputs!$C$5:$C$170=$B19)*Inputs!$D$5:$D$170*(((Inputs!$G$5:$G$170="moeda")+(Inputs!$G$5:$G$170="acoes"))*Inputs!$B$1+((Inputs!$G$5:$G$170&lt;&gt;"moeda")*(Inputs!$G$5:$G$170&lt;&gt;"acoes")))*INDEX(Inputs!$K$5:$AJ$170,0,MATCH(U$2,Inputs!$K$4:$AJ$4,0)))+SUMPRODUCT((Inputs!$E$5:$E$170=$B19)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19" s="6" t="e">
        <f>IF(ISNA(MATCH(V$2,Inputs!$K$4:$AJ$4,0)),NA(),IF(SUMPRODUCT((Inputs!$A$5:$A$170=$B19)*ISNUMBER(INDEX(Inputs!$K$5:$AJ$170,0,MATCH(V$2,Inputs!$K$4:$AJ$4,0))))+SUMPRODUCT((Inputs!$C$5:$C$170=$B19)*ISNUMBER(INDEX(Inputs!$K$5:$AJ$170,0,MATCH(V$2,Inputs!$K$4:$AJ$4,0))))+SUMPRODUCT((Inputs!$E$5:$E$170=$B19)*ISNUMBER(INDEX(Inputs!$K$5:$AJ$170,0,MATCH(V$2,Inputs!$K$4:$AJ$4,0))))=0,NA(),SUMPRODUCT((Inputs!$A$5:$A$170=$B19)*Inputs!$B$5:$B$170*(((Inputs!$G$5:$G$170="moeda")+(Inputs!$G$5:$G$170="acoes"))*Inputs!$B$1+((Inputs!$G$5:$G$170&lt;&gt;"moeda")*(Inputs!$G$5:$G$170&lt;&gt;"acoes")))*INDEX(Inputs!$K$5:$AJ$170,0,MATCH(V$2,Inputs!$K$4:$AJ$4,0)))+SUMPRODUCT((Inputs!$C$5:$C$170=$B19)*Inputs!$D$5:$D$170*(((Inputs!$G$5:$G$170="moeda")+(Inputs!$G$5:$G$170="acoes"))*Inputs!$B$1+((Inputs!$G$5:$G$170&lt;&gt;"moeda")*(Inputs!$G$5:$G$170&lt;&gt;"acoes")))*INDEX(Inputs!$K$5:$AJ$170,0,MATCH(V$2,Inputs!$K$4:$AJ$4,0)))+SUMPRODUCT((Inputs!$E$5:$E$170=$B19)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19" s="3" t="e">
        <f>V19</f>
        <v>#N/A</v>
      </c>
      <c r="X19" s="6" t="e">
        <f>IF(ISNA(MATCH(X$2,Inputs!$K$4:$AJ$4,0)),NA(),IF(SUMPRODUCT((Inputs!$A$5:$A$170=$B19)*ISNUMBER(INDEX(Inputs!$K$5:$AJ$170,0,MATCH(X$2,Inputs!$K$4:$AJ$4,0))))+SUMPRODUCT((Inputs!$C$5:$C$170=$B19)*ISNUMBER(INDEX(Inputs!$K$5:$AJ$170,0,MATCH(X$2,Inputs!$K$4:$AJ$4,0))))+SUMPRODUCT((Inputs!$E$5:$E$170=$B19)*ISNUMBER(INDEX(Inputs!$K$5:$AJ$170,0,MATCH(X$2,Inputs!$K$4:$AJ$4,0))))=0,NA(),SUMPRODUCT((Inputs!$A$5:$A$170=$B19)*Inputs!$B$5:$B$170*(((Inputs!$G$5:$G$170="moeda")+(Inputs!$G$5:$G$170="acoes"))*Inputs!$B$1+((Inputs!$G$5:$G$170&lt;&gt;"moeda")*(Inputs!$G$5:$G$170&lt;&gt;"acoes")))*INDEX(Inputs!$K$5:$AJ$170,0,MATCH(X$2,Inputs!$K$4:$AJ$4,0)))+SUMPRODUCT((Inputs!$C$5:$C$170=$B19)*Inputs!$D$5:$D$170*(((Inputs!$G$5:$G$170="moeda")+(Inputs!$G$5:$G$170="acoes"))*Inputs!$B$1+((Inputs!$G$5:$G$170&lt;&gt;"moeda")*(Inputs!$G$5:$G$170&lt;&gt;"acoes")))*INDEX(Inputs!$K$5:$AJ$170,0,MATCH(X$2,Inputs!$K$4:$AJ$4,0)))+SUMPRODUCT((Inputs!$E$5:$E$170=$B19)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19" s="6" t="e">
        <f>IF(ISNA(MATCH(Y$2,Inputs!$K$4:$AJ$4,0)),NA(),IF(SUMPRODUCT((Inputs!$A$5:$A$170=$B19)*ISNUMBER(INDEX(Inputs!$K$5:$AJ$170,0,MATCH(Y$2,Inputs!$K$4:$AJ$4,0))))+SUMPRODUCT((Inputs!$C$5:$C$170=$B19)*ISNUMBER(INDEX(Inputs!$K$5:$AJ$170,0,MATCH(Y$2,Inputs!$K$4:$AJ$4,0))))+SUMPRODUCT((Inputs!$E$5:$E$170=$B19)*ISNUMBER(INDEX(Inputs!$K$5:$AJ$170,0,MATCH(Y$2,Inputs!$K$4:$AJ$4,0))))=0,NA(),SUMPRODUCT((Inputs!$A$5:$A$170=$B19)*Inputs!$B$5:$B$170*(((Inputs!$G$5:$G$170="moeda")+(Inputs!$G$5:$G$170="acoes"))*Inputs!$B$1+((Inputs!$G$5:$G$170&lt;&gt;"moeda")*(Inputs!$G$5:$G$170&lt;&gt;"acoes")))*INDEX(Inputs!$K$5:$AJ$170,0,MATCH(Y$2,Inputs!$K$4:$AJ$4,0)))+SUMPRODUCT((Inputs!$C$5:$C$170=$B19)*Inputs!$D$5:$D$170*(((Inputs!$G$5:$G$170="moeda")+(Inputs!$G$5:$G$170="acoes"))*Inputs!$B$1+((Inputs!$G$5:$G$170&lt;&gt;"moeda")*(Inputs!$G$5:$G$170&lt;&gt;"acoes")))*INDEX(Inputs!$K$5:$AJ$170,0,MATCH(Y$2,Inputs!$K$4:$AJ$4,0)))+SUMPRODUCT((Inputs!$E$5:$E$170=$B19)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19" s="6" t="e">
        <f>IF(ISNA(MATCH(Z$2,Inputs!$K$4:$AJ$4,0)),NA(),IF(SUMPRODUCT((Inputs!$A$5:$A$170=$B19)*ISNUMBER(INDEX(Inputs!$K$5:$AJ$170,0,MATCH(Z$2,Inputs!$K$4:$AJ$4,0))))+SUMPRODUCT((Inputs!$C$5:$C$170=$B19)*ISNUMBER(INDEX(Inputs!$K$5:$AJ$170,0,MATCH(Z$2,Inputs!$K$4:$AJ$4,0))))+SUMPRODUCT((Inputs!$E$5:$E$170=$B19)*ISNUMBER(INDEX(Inputs!$K$5:$AJ$170,0,MATCH(Z$2,Inputs!$K$4:$AJ$4,0))))=0,NA(),SUMPRODUCT((Inputs!$A$5:$A$170=$B19)*Inputs!$B$5:$B$170*(((Inputs!$G$5:$G$170="moeda")+(Inputs!$G$5:$G$170="acoes"))*Inputs!$B$1+((Inputs!$G$5:$G$170&lt;&gt;"moeda")*(Inputs!$G$5:$G$170&lt;&gt;"acoes")))*INDEX(Inputs!$K$5:$AJ$170,0,MATCH(Z$2,Inputs!$K$4:$AJ$4,0)))+SUMPRODUCT((Inputs!$C$5:$C$170=$B19)*Inputs!$D$5:$D$170*(((Inputs!$G$5:$G$170="moeda")+(Inputs!$G$5:$G$170="acoes"))*Inputs!$B$1+((Inputs!$G$5:$G$170&lt;&gt;"moeda")*(Inputs!$G$5:$G$170&lt;&gt;"acoes")))*INDEX(Inputs!$K$5:$AJ$170,0,MATCH(Z$2,Inputs!$K$4:$AJ$4,0)))+SUMPRODUCT((Inputs!$E$5:$E$170=$B19)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19" s="6" t="e">
        <f>IF(ISNA(MATCH(AA$2,Inputs!$K$4:$AJ$4,0)),NA(),IF(SUMPRODUCT((Inputs!$A$5:$A$170=$B19)*ISNUMBER(INDEX(Inputs!$K$5:$AJ$170,0,MATCH(AA$2,Inputs!$K$4:$AJ$4,0))))+SUMPRODUCT((Inputs!$C$5:$C$170=$B19)*ISNUMBER(INDEX(Inputs!$K$5:$AJ$170,0,MATCH(AA$2,Inputs!$K$4:$AJ$4,0))))+SUMPRODUCT((Inputs!$E$5:$E$170=$B19)*ISNUMBER(INDEX(Inputs!$K$5:$AJ$170,0,MATCH(AA$2,Inputs!$K$4:$AJ$4,0))))=0,NA(),SUMPRODUCT((Inputs!$A$5:$A$170=$B19)*Inputs!$B$5:$B$170*(((Inputs!$G$5:$G$170="moeda")+(Inputs!$G$5:$G$170="acoes"))*Inputs!$B$1+((Inputs!$G$5:$G$170&lt;&gt;"moeda")*(Inputs!$G$5:$G$170&lt;&gt;"acoes")))*INDEX(Inputs!$K$5:$AJ$170,0,MATCH(AA$2,Inputs!$K$4:$AJ$4,0)))+SUMPRODUCT((Inputs!$C$5:$C$170=$B19)*Inputs!$D$5:$D$170*(((Inputs!$G$5:$G$170="moeda")+(Inputs!$G$5:$G$170="acoes"))*Inputs!$B$1+((Inputs!$G$5:$G$170&lt;&gt;"moeda")*(Inputs!$G$5:$G$170&lt;&gt;"acoes")))*INDEX(Inputs!$K$5:$AJ$170,0,MATCH(AA$2,Inputs!$K$4:$AJ$4,0)))+SUMPRODUCT((Inputs!$E$5:$E$170=$B19)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19" s="3" t="e">
        <f>AA19</f>
        <v>#N/A</v>
      </c>
      <c r="AC19" s="6" t="e">
        <f>IF(ISNA(MATCH(AC$2,Inputs!$K$4:$AJ$4,0)),NA(),IF(SUMPRODUCT((Inputs!$A$5:$A$170=$B19)*ISNUMBER(INDEX(Inputs!$K$5:$AJ$170,0,MATCH(AC$2,Inputs!$K$4:$AJ$4,0))))+SUMPRODUCT((Inputs!$C$5:$C$170=$B19)*ISNUMBER(INDEX(Inputs!$K$5:$AJ$170,0,MATCH(AC$2,Inputs!$K$4:$AJ$4,0))))+SUMPRODUCT((Inputs!$E$5:$E$170=$B19)*ISNUMBER(INDEX(Inputs!$K$5:$AJ$170,0,MATCH(AC$2,Inputs!$K$4:$AJ$4,0))))=0,NA(),SUMPRODUCT((Inputs!$A$5:$A$170=$B19)*Inputs!$B$5:$B$170*(((Inputs!$G$5:$G$170="moeda")+(Inputs!$G$5:$G$170="acoes"))*Inputs!$B$1+((Inputs!$G$5:$G$170&lt;&gt;"moeda")*(Inputs!$G$5:$G$170&lt;&gt;"acoes")))*INDEX(Inputs!$K$5:$AJ$170,0,MATCH(AC$2,Inputs!$K$4:$AJ$4,0)))+SUMPRODUCT((Inputs!$C$5:$C$170=$B19)*Inputs!$D$5:$D$170*(((Inputs!$G$5:$G$170="moeda")+(Inputs!$G$5:$G$170="acoes"))*Inputs!$B$1+((Inputs!$G$5:$G$170&lt;&gt;"moeda")*(Inputs!$G$5:$G$170&lt;&gt;"acoes")))*INDEX(Inputs!$K$5:$AJ$170,0,MATCH(AC$2,Inputs!$K$4:$AJ$4,0)))+SUMPRODUCT((Inputs!$E$5:$E$170=$B19)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19" s="6" t="e">
        <f>IF(ISNA(MATCH(AD$2,Inputs!$K$4:$AJ$4,0)),NA(),IF(SUMPRODUCT((Inputs!$A$5:$A$170=$B19)*ISNUMBER(INDEX(Inputs!$K$5:$AJ$170,0,MATCH(AD$2,Inputs!$K$4:$AJ$4,0))))+SUMPRODUCT((Inputs!$C$5:$C$170=$B19)*ISNUMBER(INDEX(Inputs!$K$5:$AJ$170,0,MATCH(AD$2,Inputs!$K$4:$AJ$4,0))))+SUMPRODUCT((Inputs!$E$5:$E$170=$B19)*ISNUMBER(INDEX(Inputs!$K$5:$AJ$170,0,MATCH(AD$2,Inputs!$K$4:$AJ$4,0))))=0,NA(),SUMPRODUCT((Inputs!$A$5:$A$170=$B19)*Inputs!$B$5:$B$170*(((Inputs!$G$5:$G$170="moeda")+(Inputs!$G$5:$G$170="acoes"))*Inputs!$B$1+((Inputs!$G$5:$G$170&lt;&gt;"moeda")*(Inputs!$G$5:$G$170&lt;&gt;"acoes")))*INDEX(Inputs!$K$5:$AJ$170,0,MATCH(AD$2,Inputs!$K$4:$AJ$4,0)))+SUMPRODUCT((Inputs!$C$5:$C$170=$B19)*Inputs!$D$5:$D$170*(((Inputs!$G$5:$G$170="moeda")+(Inputs!$G$5:$G$170="acoes"))*Inputs!$B$1+((Inputs!$G$5:$G$170&lt;&gt;"moeda")*(Inputs!$G$5:$G$170&lt;&gt;"acoes")))*INDEX(Inputs!$K$5:$AJ$170,0,MATCH(AD$2,Inputs!$K$4:$AJ$4,0)))+SUMPRODUCT((Inputs!$E$5:$E$170=$B19)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19" s="6" t="e">
        <f>IF(ISNA(MATCH(AE$2,Inputs!$K$4:$AJ$4,0)),NA(),IF(SUMPRODUCT((Inputs!$A$5:$A$170=$B19)*ISNUMBER(INDEX(Inputs!$K$5:$AJ$170,0,MATCH(AE$2,Inputs!$K$4:$AJ$4,0))))+SUMPRODUCT((Inputs!$C$5:$C$170=$B19)*ISNUMBER(INDEX(Inputs!$K$5:$AJ$170,0,MATCH(AE$2,Inputs!$K$4:$AJ$4,0))))+SUMPRODUCT((Inputs!$E$5:$E$170=$B19)*ISNUMBER(INDEX(Inputs!$K$5:$AJ$170,0,MATCH(AE$2,Inputs!$K$4:$AJ$4,0))))=0,NA(),SUMPRODUCT((Inputs!$A$5:$A$170=$B19)*Inputs!$B$5:$B$170*(((Inputs!$G$5:$G$170="moeda")+(Inputs!$G$5:$G$170="acoes"))*Inputs!$B$1+((Inputs!$G$5:$G$170&lt;&gt;"moeda")*(Inputs!$G$5:$G$170&lt;&gt;"acoes")))*INDEX(Inputs!$K$5:$AJ$170,0,MATCH(AE$2,Inputs!$K$4:$AJ$4,0)))+SUMPRODUCT((Inputs!$C$5:$C$170=$B19)*Inputs!$D$5:$D$170*(((Inputs!$G$5:$G$170="moeda")+(Inputs!$G$5:$G$170="acoes"))*Inputs!$B$1+((Inputs!$G$5:$G$170&lt;&gt;"moeda")*(Inputs!$G$5:$G$170&lt;&gt;"acoes")))*INDEX(Inputs!$K$5:$AJ$170,0,MATCH(AE$2,Inputs!$K$4:$AJ$4,0)))+SUMPRODUCT((Inputs!$E$5:$E$170=$B19)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19" s="6" t="e">
        <f>IF(ISNA(MATCH(AF$2,Inputs!$K$4:$AJ$4,0)),NA(),IF(SUMPRODUCT((Inputs!$A$5:$A$170=$B19)*ISNUMBER(INDEX(Inputs!$K$5:$AJ$170,0,MATCH(AF$2,Inputs!$K$4:$AJ$4,0))))+SUMPRODUCT((Inputs!$C$5:$C$170=$B19)*ISNUMBER(INDEX(Inputs!$K$5:$AJ$170,0,MATCH(AF$2,Inputs!$K$4:$AJ$4,0))))+SUMPRODUCT((Inputs!$E$5:$E$170=$B19)*ISNUMBER(INDEX(Inputs!$K$5:$AJ$170,0,MATCH(AF$2,Inputs!$K$4:$AJ$4,0))))=0,NA(),SUMPRODUCT((Inputs!$A$5:$A$170=$B19)*Inputs!$B$5:$B$170*(((Inputs!$G$5:$G$170="moeda")+(Inputs!$G$5:$G$170="acoes"))*Inputs!$B$1+((Inputs!$G$5:$G$170&lt;&gt;"moeda")*(Inputs!$G$5:$G$170&lt;&gt;"acoes")))*INDEX(Inputs!$K$5:$AJ$170,0,MATCH(AF$2,Inputs!$K$4:$AJ$4,0)))+SUMPRODUCT((Inputs!$C$5:$C$170=$B19)*Inputs!$D$5:$D$170*(((Inputs!$G$5:$G$170="moeda")+(Inputs!$G$5:$G$170="acoes"))*Inputs!$B$1+((Inputs!$G$5:$G$170&lt;&gt;"moeda")*(Inputs!$G$5:$G$170&lt;&gt;"acoes")))*INDEX(Inputs!$K$5:$AJ$170,0,MATCH(AF$2,Inputs!$K$4:$AJ$4,0)))+SUMPRODUCT((Inputs!$E$5:$E$170=$B19)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19" s="3" t="e">
        <f>AF19</f>
        <v>#N/A</v>
      </c>
      <c r="AH19" s="6" t="e">
        <f>IF(ISNA(MATCH(AH$2,Inputs!$K$4:$AJ$4,0)),NA(),IF(SUMPRODUCT((Inputs!$A$5:$A$170=$B19)*ISNUMBER(INDEX(Inputs!$K$5:$AJ$170,0,MATCH(AH$2,Inputs!$K$4:$AJ$4,0))))+SUMPRODUCT((Inputs!$C$5:$C$170=$B19)*ISNUMBER(INDEX(Inputs!$K$5:$AJ$170,0,MATCH(AH$2,Inputs!$K$4:$AJ$4,0))))+SUMPRODUCT((Inputs!$E$5:$E$170=$B19)*ISNUMBER(INDEX(Inputs!$K$5:$AJ$170,0,MATCH(AH$2,Inputs!$K$4:$AJ$4,0))))=0,NA(),SUMPRODUCT((Inputs!$A$5:$A$170=$B19)*Inputs!$B$5:$B$170*(((Inputs!$G$5:$G$170="moeda")+(Inputs!$G$5:$G$170="acoes"))*Inputs!$B$1+((Inputs!$G$5:$G$170&lt;&gt;"moeda")*(Inputs!$G$5:$G$170&lt;&gt;"acoes")))*INDEX(Inputs!$K$5:$AJ$170,0,MATCH(AH$2,Inputs!$K$4:$AJ$4,0)))+SUMPRODUCT((Inputs!$C$5:$C$170=$B19)*Inputs!$D$5:$D$170*(((Inputs!$G$5:$G$170="moeda")+(Inputs!$G$5:$G$170="acoes"))*Inputs!$B$1+((Inputs!$G$5:$G$170&lt;&gt;"moeda")*(Inputs!$G$5:$G$170&lt;&gt;"acoes")))*INDEX(Inputs!$K$5:$AJ$170,0,MATCH(AH$2,Inputs!$K$4:$AJ$4,0)))+SUMPRODUCT((Inputs!$E$5:$E$170=$B19)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19" s="6" t="e">
        <f>IF(ISNA(MATCH(AI$2,Inputs!$K$4:$AJ$4,0)),NA(),IF(SUMPRODUCT((Inputs!$A$5:$A$170=$B19)*ISNUMBER(INDEX(Inputs!$K$5:$AJ$170,0,MATCH(AI$2,Inputs!$K$4:$AJ$4,0))))+SUMPRODUCT((Inputs!$C$5:$C$170=$B19)*ISNUMBER(INDEX(Inputs!$K$5:$AJ$170,0,MATCH(AI$2,Inputs!$K$4:$AJ$4,0))))+SUMPRODUCT((Inputs!$E$5:$E$170=$B19)*ISNUMBER(INDEX(Inputs!$K$5:$AJ$170,0,MATCH(AI$2,Inputs!$K$4:$AJ$4,0))))=0,NA(),SUMPRODUCT((Inputs!$A$5:$A$170=$B19)*Inputs!$B$5:$B$170*(((Inputs!$G$5:$G$170="moeda")+(Inputs!$G$5:$G$170="acoes"))*Inputs!$B$1+((Inputs!$G$5:$G$170&lt;&gt;"moeda")*(Inputs!$G$5:$G$170&lt;&gt;"acoes")))*INDEX(Inputs!$K$5:$AJ$170,0,MATCH(AI$2,Inputs!$K$4:$AJ$4,0)))+SUMPRODUCT((Inputs!$C$5:$C$170=$B19)*Inputs!$D$5:$D$170*(((Inputs!$G$5:$G$170="moeda")+(Inputs!$G$5:$G$170="acoes"))*Inputs!$B$1+((Inputs!$G$5:$G$170&lt;&gt;"moeda")*(Inputs!$G$5:$G$170&lt;&gt;"acoes")))*INDEX(Inputs!$K$5:$AJ$170,0,MATCH(AI$2,Inputs!$K$4:$AJ$4,0)))+SUMPRODUCT((Inputs!$E$5:$E$170=$B19)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19" s="6" t="e">
        <f>IF(ISNA(MATCH(AJ$2,Inputs!$K$4:$AJ$4,0)),NA(),IF(SUMPRODUCT((Inputs!$A$5:$A$170=$B19)*ISNUMBER(INDEX(Inputs!$K$5:$AJ$170,0,MATCH(AJ$2,Inputs!$K$4:$AJ$4,0))))+SUMPRODUCT((Inputs!$C$5:$C$170=$B19)*ISNUMBER(INDEX(Inputs!$K$5:$AJ$170,0,MATCH(AJ$2,Inputs!$K$4:$AJ$4,0))))+SUMPRODUCT((Inputs!$E$5:$E$170=$B19)*ISNUMBER(INDEX(Inputs!$K$5:$AJ$170,0,MATCH(AJ$2,Inputs!$K$4:$AJ$4,0))))=0,NA(),SUMPRODUCT((Inputs!$A$5:$A$170=$B19)*Inputs!$B$5:$B$170*(((Inputs!$G$5:$G$170="moeda")+(Inputs!$G$5:$G$170="acoes"))*Inputs!$B$1+((Inputs!$G$5:$G$170&lt;&gt;"moeda")*(Inputs!$G$5:$G$170&lt;&gt;"acoes")))*INDEX(Inputs!$K$5:$AJ$170,0,MATCH(AJ$2,Inputs!$K$4:$AJ$4,0)))+SUMPRODUCT((Inputs!$C$5:$C$170=$B19)*Inputs!$D$5:$D$170*(((Inputs!$G$5:$G$170="moeda")+(Inputs!$G$5:$G$170="acoes"))*Inputs!$B$1+((Inputs!$G$5:$G$170&lt;&gt;"moeda")*(Inputs!$G$5:$G$170&lt;&gt;"acoes")))*INDEX(Inputs!$K$5:$AJ$170,0,MATCH(AJ$2,Inputs!$K$4:$AJ$4,0)))+SUMPRODUCT((Inputs!$E$5:$E$170=$B19)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19" s="6" t="e">
        <f>IF(ISNA(MATCH(AK$2,Inputs!$K$4:$AJ$4,0)),NA(),IF(SUMPRODUCT((Inputs!$A$5:$A$170=$B19)*ISNUMBER(INDEX(Inputs!$K$5:$AJ$170,0,MATCH(AK$2,Inputs!$K$4:$AJ$4,0))))+SUMPRODUCT((Inputs!$C$5:$C$170=$B19)*ISNUMBER(INDEX(Inputs!$K$5:$AJ$170,0,MATCH(AK$2,Inputs!$K$4:$AJ$4,0))))+SUMPRODUCT((Inputs!$E$5:$E$170=$B19)*ISNUMBER(INDEX(Inputs!$K$5:$AJ$170,0,MATCH(AK$2,Inputs!$K$4:$AJ$4,0))))=0,NA(),SUMPRODUCT((Inputs!$A$5:$A$170=$B19)*Inputs!$B$5:$B$170*(((Inputs!$G$5:$G$170="moeda")+(Inputs!$G$5:$G$170="acoes"))*Inputs!$B$1+((Inputs!$G$5:$G$170&lt;&gt;"moeda")*(Inputs!$G$5:$G$170&lt;&gt;"acoes")))*INDEX(Inputs!$K$5:$AJ$170,0,MATCH(AK$2,Inputs!$K$4:$AJ$4,0)))+SUMPRODUCT((Inputs!$C$5:$C$170=$B19)*Inputs!$D$5:$D$170*(((Inputs!$G$5:$G$170="moeda")+(Inputs!$G$5:$G$170="acoes"))*Inputs!$B$1+((Inputs!$G$5:$G$170&lt;&gt;"moeda")*(Inputs!$G$5:$G$170&lt;&gt;"acoes")))*INDEX(Inputs!$K$5:$AJ$170,0,MATCH(AK$2,Inputs!$K$4:$AJ$4,0)))+SUMPRODUCT((Inputs!$E$5:$E$170=$B19)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$170=$B20)*ISNUMBER(INDEX(Inputs!$K$5:$AJ$170,0,MATCH(D$2,Inputs!$K$4:$AJ$4,0))))+SUMPRODUCT((Inputs!$C$5:$C$170=$B20)*ISNUMBER(INDEX(Inputs!$K$5:$AJ$170,0,MATCH(D$2,Inputs!$K$4:$AJ$4,0))))+SUMPRODUCT((Inputs!$E$5:$E$170=$B20)*ISNUMBER(INDEX(Inputs!$K$5:$AJ$170,0,MATCH(D$2,Inputs!$K$4:$AJ$4,0))))=0,NA(),SUMPRODUCT((Inputs!$A$5:$A$170=$B20)*Inputs!$B$5:$B$170*(((Inputs!$G$5:$G$170="moeda")+(Inputs!$G$5:$G$170="acoes"))*Inputs!$B$1+((Inputs!$G$5:$G$170&lt;&gt;"moeda")*(Inputs!$G$5:$G$170&lt;&gt;"acoes")))*INDEX(Inputs!$K$5:$AJ$170,0,MATCH(D$2,Inputs!$K$4:$AJ$4,0)))+SUMPRODUCT((Inputs!$C$5:$C$170=$B20)*Inputs!$D$5:$D$170*(((Inputs!$G$5:$G$170="moeda")+(Inputs!$G$5:$G$170="acoes"))*Inputs!$B$1+((Inputs!$G$5:$G$170&lt;&gt;"moeda")*(Inputs!$G$5:$G$170&lt;&gt;"acoes")))*INDEX(Inputs!$K$5:$AJ$170,0,MATCH(D$2,Inputs!$K$4:$AJ$4,0)))+SUMPRODUCT((Inputs!$E$5:$E$170=$B20)*Inputs!$F$5:$F$170*(((Inputs!$G$5:$G$170="moeda")+(Inputs!$G$5:$G$170="acoes"))*Inputs!$B$1+((Inputs!$G$5:$G$170&lt;&gt;"moeda")*(Inputs!$G$5:$G$170&lt;&gt;"acoes")))*INDEX(Inputs!$K$5:$AJ$170,0,MATCH(D$2,Inputs!$K$4:$AJ$4,0)))))</f>
        <v>337.505</v>
      </c>
      <c r="E20" s="6">
        <f>IF(ISNA(MATCH(E$2,Inputs!$K$4:$AJ$4,0)),NA(),IF(SUMPRODUCT((Inputs!$A$5:$A$170=$B20)*ISNUMBER(INDEX(Inputs!$K$5:$AJ$170,0,MATCH(E$2,Inputs!$K$4:$AJ$4,0))))+SUMPRODUCT((Inputs!$C$5:$C$170=$B20)*ISNUMBER(INDEX(Inputs!$K$5:$AJ$170,0,MATCH(E$2,Inputs!$K$4:$AJ$4,0))))+SUMPRODUCT((Inputs!$E$5:$E$170=$B20)*ISNUMBER(INDEX(Inputs!$K$5:$AJ$170,0,MATCH(E$2,Inputs!$K$4:$AJ$4,0))))=0,NA(),SUMPRODUCT((Inputs!$A$5:$A$170=$B20)*Inputs!$B$5:$B$170*(((Inputs!$G$5:$G$170="moeda")+(Inputs!$G$5:$G$170="acoes"))*Inputs!$B$1+((Inputs!$G$5:$G$170&lt;&gt;"moeda")*(Inputs!$G$5:$G$170&lt;&gt;"acoes")))*INDEX(Inputs!$K$5:$AJ$170,0,MATCH(E$2,Inputs!$K$4:$AJ$4,0)))+SUMPRODUCT((Inputs!$C$5:$C$170=$B20)*Inputs!$D$5:$D$170*(((Inputs!$G$5:$G$170="moeda")+(Inputs!$G$5:$G$170="acoes"))*Inputs!$B$1+((Inputs!$G$5:$G$170&lt;&gt;"moeda")*(Inputs!$G$5:$G$170&lt;&gt;"acoes")))*INDEX(Inputs!$K$5:$AJ$170,0,MATCH(E$2,Inputs!$K$4:$AJ$4,0)))+SUMPRODUCT((Inputs!$E$5:$E$170=$B20)*Inputs!$F$5:$F$170*(((Inputs!$G$5:$G$170="moeda")+(Inputs!$G$5:$G$170="acoes"))*Inputs!$B$1+((Inputs!$G$5:$G$170&lt;&gt;"moeda")*(Inputs!$G$5:$G$170&lt;&gt;"acoes")))*INDEX(Inputs!$K$5:$AJ$170,0,MATCH(E$2,Inputs!$K$4:$AJ$4,0)))))</f>
        <v>432.709</v>
      </c>
      <c r="F20" s="6">
        <f>IF(ISNA(MATCH(F$2,Inputs!$K$4:$AJ$4,0)),NA(),IF(SUMPRODUCT((Inputs!$A$5:$A$170=$B20)*ISNUMBER(INDEX(Inputs!$K$5:$AJ$170,0,MATCH(F$2,Inputs!$K$4:$AJ$4,0))))+SUMPRODUCT((Inputs!$C$5:$C$170=$B20)*ISNUMBER(INDEX(Inputs!$K$5:$AJ$170,0,MATCH(F$2,Inputs!$K$4:$AJ$4,0))))+SUMPRODUCT((Inputs!$E$5:$E$170=$B20)*ISNUMBER(INDEX(Inputs!$K$5:$AJ$170,0,MATCH(F$2,Inputs!$K$4:$AJ$4,0))))=0,NA(),SUMPRODUCT((Inputs!$A$5:$A$170=$B20)*Inputs!$B$5:$B$170*(((Inputs!$G$5:$G$170="moeda")+(Inputs!$G$5:$G$170="acoes"))*Inputs!$B$1+((Inputs!$G$5:$G$170&lt;&gt;"moeda")*(Inputs!$G$5:$G$170&lt;&gt;"acoes")))*INDEX(Inputs!$K$5:$AJ$170,0,MATCH(F$2,Inputs!$K$4:$AJ$4,0)))+SUMPRODUCT((Inputs!$C$5:$C$170=$B20)*Inputs!$D$5:$D$170*(((Inputs!$G$5:$G$170="moeda")+(Inputs!$G$5:$G$170="acoes"))*Inputs!$B$1+((Inputs!$G$5:$G$170&lt;&gt;"moeda")*(Inputs!$G$5:$G$170&lt;&gt;"acoes")))*INDEX(Inputs!$K$5:$AJ$170,0,MATCH(F$2,Inputs!$K$4:$AJ$4,0)))+SUMPRODUCT((Inputs!$E$5:$E$170=$B20)*Inputs!$F$5:$F$170*(((Inputs!$G$5:$G$170="moeda")+(Inputs!$G$5:$G$170="acoes"))*Inputs!$B$1+((Inputs!$G$5:$G$170&lt;&gt;"moeda")*(Inputs!$G$5:$G$170&lt;&gt;"acoes")))*INDEX(Inputs!$K$5:$AJ$170,0,MATCH(F$2,Inputs!$K$4:$AJ$4,0)))))</f>
        <v>509.809</v>
      </c>
      <c r="G20" s="6">
        <f>IF(ISNA(MATCH(G$2,Inputs!$K$4:$AJ$4,0)),NA(),IF(SUMPRODUCT((Inputs!$A$5:$A$170=$B20)*ISNUMBER(INDEX(Inputs!$K$5:$AJ$170,0,MATCH(G$2,Inputs!$K$4:$AJ$4,0))))+SUMPRODUCT((Inputs!$C$5:$C$170=$B20)*ISNUMBER(INDEX(Inputs!$K$5:$AJ$170,0,MATCH(G$2,Inputs!$K$4:$AJ$4,0))))+SUMPRODUCT((Inputs!$E$5:$E$170=$B20)*ISNUMBER(INDEX(Inputs!$K$5:$AJ$170,0,MATCH(G$2,Inputs!$K$4:$AJ$4,0))))=0,NA(),SUMPRODUCT((Inputs!$A$5:$A$170=$B20)*Inputs!$B$5:$B$170*(((Inputs!$G$5:$G$170="moeda")+(Inputs!$G$5:$G$170="acoes"))*Inputs!$B$1+((Inputs!$G$5:$G$170&lt;&gt;"moeda")*(Inputs!$G$5:$G$170&lt;&gt;"acoes")))*INDEX(Inputs!$K$5:$AJ$170,0,MATCH(G$2,Inputs!$K$4:$AJ$4,0)))+SUMPRODUCT((Inputs!$C$5:$C$170=$B20)*Inputs!$D$5:$D$170*(((Inputs!$G$5:$G$170="moeda")+(Inputs!$G$5:$G$170="acoes"))*Inputs!$B$1+((Inputs!$G$5:$G$170&lt;&gt;"moeda")*(Inputs!$G$5:$G$170&lt;&gt;"acoes")))*INDEX(Inputs!$K$5:$AJ$170,0,MATCH(G$2,Inputs!$K$4:$AJ$4,0)))+SUMPRODUCT((Inputs!$E$5:$E$170=$B20)*Inputs!$F$5:$F$170*(((Inputs!$G$5:$G$170="moeda")+(Inputs!$G$5:$G$170="acoes"))*Inputs!$B$1+((Inputs!$G$5:$G$170&lt;&gt;"moeda")*(Inputs!$G$5:$G$170&lt;&gt;"acoes")))*INDEX(Inputs!$K$5:$AJ$170,0,MATCH(G$2,Inputs!$K$4:$AJ$4,0)))))</f>
        <v>480.62</v>
      </c>
      <c r="H20" s="3">
        <f>G20</f>
        <v>480.62</v>
      </c>
      <c r="I20" s="6">
        <f>IF(ISNA(MATCH(I$2,Inputs!$K$4:$AJ$4,0)),NA(),IF(SUMPRODUCT((Inputs!$A$5:$A$170=$B20)*ISNUMBER(INDEX(Inputs!$K$5:$AJ$170,0,MATCH(I$2,Inputs!$K$4:$AJ$4,0))))+SUMPRODUCT((Inputs!$C$5:$C$170=$B20)*ISNUMBER(INDEX(Inputs!$K$5:$AJ$170,0,MATCH(I$2,Inputs!$K$4:$AJ$4,0))))+SUMPRODUCT((Inputs!$E$5:$E$170=$B20)*ISNUMBER(INDEX(Inputs!$K$5:$AJ$170,0,MATCH(I$2,Inputs!$K$4:$AJ$4,0))))=0,NA(),SUMPRODUCT((Inputs!$A$5:$A$170=$B20)*Inputs!$B$5:$B$170*(((Inputs!$G$5:$G$170="moeda")+(Inputs!$G$5:$G$170="acoes"))*Inputs!$B$1+((Inputs!$G$5:$G$170&lt;&gt;"moeda")*(Inputs!$G$5:$G$170&lt;&gt;"acoes")))*INDEX(Inputs!$K$5:$AJ$170,0,MATCH(I$2,Inputs!$K$4:$AJ$4,0)))+SUMPRODUCT((Inputs!$C$5:$C$170=$B20)*Inputs!$D$5:$D$170*(((Inputs!$G$5:$G$170="moeda")+(Inputs!$G$5:$G$170="acoes"))*Inputs!$B$1+((Inputs!$G$5:$G$170&lt;&gt;"moeda")*(Inputs!$G$5:$G$170&lt;&gt;"acoes")))*INDEX(Inputs!$K$5:$AJ$170,0,MATCH(I$2,Inputs!$K$4:$AJ$4,0)))+SUMPRODUCT((Inputs!$E$5:$E$170=$B20)*Inputs!$F$5:$F$170*(((Inputs!$G$5:$G$170="moeda")+(Inputs!$G$5:$G$170="acoes"))*Inputs!$B$1+((Inputs!$G$5:$G$170&lt;&gt;"moeda")*(Inputs!$G$5:$G$170&lt;&gt;"acoes")))*INDEX(Inputs!$K$5:$AJ$170,0,MATCH(I$2,Inputs!$K$4:$AJ$4,0)))))</f>
        <v>957.699</v>
      </c>
      <c r="J20" s="6">
        <f>IF(ISNA(MATCH(J$2,Inputs!$K$4:$AJ$4,0)),NA(),IF(SUMPRODUCT((Inputs!$A$5:$A$170=$B20)*ISNUMBER(INDEX(Inputs!$K$5:$AJ$170,0,MATCH(J$2,Inputs!$K$4:$AJ$4,0))))+SUMPRODUCT((Inputs!$C$5:$C$170=$B20)*ISNUMBER(INDEX(Inputs!$K$5:$AJ$170,0,MATCH(J$2,Inputs!$K$4:$AJ$4,0))))+SUMPRODUCT((Inputs!$E$5:$E$170=$B20)*ISNUMBER(INDEX(Inputs!$K$5:$AJ$170,0,MATCH(J$2,Inputs!$K$4:$AJ$4,0))))=0,NA(),SUMPRODUCT((Inputs!$A$5:$A$170=$B20)*Inputs!$B$5:$B$170*(((Inputs!$G$5:$G$170="moeda")+(Inputs!$G$5:$G$170="acoes"))*Inputs!$B$1+((Inputs!$G$5:$G$170&lt;&gt;"moeda")*(Inputs!$G$5:$G$170&lt;&gt;"acoes")))*INDEX(Inputs!$K$5:$AJ$170,0,MATCH(J$2,Inputs!$K$4:$AJ$4,0)))+SUMPRODUCT((Inputs!$C$5:$C$170=$B20)*Inputs!$D$5:$D$170*(((Inputs!$G$5:$G$170="moeda")+(Inputs!$G$5:$G$170="acoes"))*Inputs!$B$1+((Inputs!$G$5:$G$170&lt;&gt;"moeda")*(Inputs!$G$5:$G$170&lt;&gt;"acoes")))*INDEX(Inputs!$K$5:$AJ$170,0,MATCH(J$2,Inputs!$K$4:$AJ$4,0)))+SUMPRODUCT((Inputs!$E$5:$E$170=$B20)*Inputs!$F$5:$F$170*(((Inputs!$G$5:$G$170="moeda")+(Inputs!$G$5:$G$170="acoes"))*Inputs!$B$1+((Inputs!$G$5:$G$170&lt;&gt;"moeda")*(Inputs!$G$5:$G$170&lt;&gt;"acoes")))*INDEX(Inputs!$K$5:$AJ$170,0,MATCH(J$2,Inputs!$K$4:$AJ$4,0)))))</f>
        <v>1087.034</v>
      </c>
      <c r="K20" s="6">
        <f>IF(ISNA(MATCH(K$2,Inputs!$K$4:$AJ$4,0)),NA(),IF(SUMPRODUCT((Inputs!$A$5:$A$170=$B20)*ISNUMBER(INDEX(Inputs!$K$5:$AJ$170,0,MATCH(K$2,Inputs!$K$4:$AJ$4,0))))+SUMPRODUCT((Inputs!$C$5:$C$170=$B20)*ISNUMBER(INDEX(Inputs!$K$5:$AJ$170,0,MATCH(K$2,Inputs!$K$4:$AJ$4,0))))+SUMPRODUCT((Inputs!$E$5:$E$170=$B20)*ISNUMBER(INDEX(Inputs!$K$5:$AJ$170,0,MATCH(K$2,Inputs!$K$4:$AJ$4,0))))=0,NA(),SUMPRODUCT((Inputs!$A$5:$A$170=$B20)*Inputs!$B$5:$B$170*(((Inputs!$G$5:$G$170="moeda")+(Inputs!$G$5:$G$170="acoes"))*Inputs!$B$1+((Inputs!$G$5:$G$170&lt;&gt;"moeda")*(Inputs!$G$5:$G$170&lt;&gt;"acoes")))*INDEX(Inputs!$K$5:$AJ$170,0,MATCH(K$2,Inputs!$K$4:$AJ$4,0)))+SUMPRODUCT((Inputs!$C$5:$C$170=$B20)*Inputs!$D$5:$D$170*(((Inputs!$G$5:$G$170="moeda")+(Inputs!$G$5:$G$170="acoes"))*Inputs!$B$1+((Inputs!$G$5:$G$170&lt;&gt;"moeda")*(Inputs!$G$5:$G$170&lt;&gt;"acoes")))*INDEX(Inputs!$K$5:$AJ$170,0,MATCH(K$2,Inputs!$K$4:$AJ$4,0)))+SUMPRODUCT((Inputs!$E$5:$E$170=$B20)*Inputs!$F$5:$F$170*(((Inputs!$G$5:$G$170="moeda")+(Inputs!$G$5:$G$170="acoes"))*Inputs!$B$1+((Inputs!$G$5:$G$170&lt;&gt;"moeda")*(Inputs!$G$5:$G$170&lt;&gt;"acoes")))*INDEX(Inputs!$K$5:$AJ$170,0,MATCH(K$2,Inputs!$K$4:$AJ$4,0)))))</f>
        <v>1392.235</v>
      </c>
      <c r="L20" s="6">
        <f>IF(ISNA(MATCH(L$2,Inputs!$K$4:$AJ$4,0)),NA(),IF(SUMPRODUCT((Inputs!$A$5:$A$170=$B20)*ISNUMBER(INDEX(Inputs!$K$5:$AJ$170,0,MATCH(L$2,Inputs!$K$4:$AJ$4,0))))+SUMPRODUCT((Inputs!$C$5:$C$170=$B20)*ISNUMBER(INDEX(Inputs!$K$5:$AJ$170,0,MATCH(L$2,Inputs!$K$4:$AJ$4,0))))+SUMPRODUCT((Inputs!$E$5:$E$170=$B20)*ISNUMBER(INDEX(Inputs!$K$5:$AJ$170,0,MATCH(L$2,Inputs!$K$4:$AJ$4,0))))=0,NA(),SUMPRODUCT((Inputs!$A$5:$A$170=$B20)*Inputs!$B$5:$B$170*(((Inputs!$G$5:$G$170="moeda")+(Inputs!$G$5:$G$170="acoes"))*Inputs!$B$1+((Inputs!$G$5:$G$170&lt;&gt;"moeda")*(Inputs!$G$5:$G$170&lt;&gt;"acoes")))*INDEX(Inputs!$K$5:$AJ$170,0,MATCH(L$2,Inputs!$K$4:$AJ$4,0)))+SUMPRODUCT((Inputs!$C$5:$C$170=$B20)*Inputs!$D$5:$D$170*(((Inputs!$G$5:$G$170="moeda")+(Inputs!$G$5:$G$170="acoes"))*Inputs!$B$1+((Inputs!$G$5:$G$170&lt;&gt;"moeda")*(Inputs!$G$5:$G$170&lt;&gt;"acoes")))*INDEX(Inputs!$K$5:$AJ$170,0,MATCH(L$2,Inputs!$K$4:$AJ$4,0)))+SUMPRODUCT((Inputs!$E$5:$E$170=$B20)*Inputs!$F$5:$F$170*(((Inputs!$G$5:$G$170="moeda")+(Inputs!$G$5:$G$170="acoes"))*Inputs!$B$1+((Inputs!$G$5:$G$170&lt;&gt;"moeda")*(Inputs!$G$5:$G$170&lt;&gt;"acoes")))*INDEX(Inputs!$K$5:$AJ$170,0,MATCH(L$2,Inputs!$K$4:$AJ$4,0)))))</f>
        <v>1438.875</v>
      </c>
      <c r="M20" s="3">
        <f>L20</f>
        <v>1438.875</v>
      </c>
      <c r="N20" s="6">
        <f>IF(ISNA(MATCH(N$2,Inputs!$K$4:$AJ$4,0)),NA(),IF(SUMPRODUCT((Inputs!$A$5:$A$170=$B20)*ISNUMBER(INDEX(Inputs!$K$5:$AJ$170,0,MATCH(N$2,Inputs!$K$4:$AJ$4,0))))+SUMPRODUCT((Inputs!$C$5:$C$170=$B20)*ISNUMBER(INDEX(Inputs!$K$5:$AJ$170,0,MATCH(N$2,Inputs!$K$4:$AJ$4,0))))+SUMPRODUCT((Inputs!$E$5:$E$170=$B20)*ISNUMBER(INDEX(Inputs!$K$5:$AJ$170,0,MATCH(N$2,Inputs!$K$4:$AJ$4,0))))=0,NA(),SUMPRODUCT((Inputs!$A$5:$A$170=$B20)*Inputs!$B$5:$B$170*(((Inputs!$G$5:$G$170="moeda")+(Inputs!$G$5:$G$170="acoes"))*Inputs!$B$1+((Inputs!$G$5:$G$170&lt;&gt;"moeda")*(Inputs!$G$5:$G$170&lt;&gt;"acoes")))*INDEX(Inputs!$K$5:$AJ$170,0,MATCH(N$2,Inputs!$K$4:$AJ$4,0)))+SUMPRODUCT((Inputs!$C$5:$C$170=$B20)*Inputs!$D$5:$D$170*(((Inputs!$G$5:$G$170="moeda")+(Inputs!$G$5:$G$170="acoes"))*Inputs!$B$1+((Inputs!$G$5:$G$170&lt;&gt;"moeda")*(Inputs!$G$5:$G$170&lt;&gt;"acoes")))*INDEX(Inputs!$K$5:$AJ$170,0,MATCH(N$2,Inputs!$K$4:$AJ$4,0)))+SUMPRODUCT((Inputs!$E$5:$E$170=$B20)*Inputs!$F$5:$F$170*(((Inputs!$G$5:$G$170="moeda")+(Inputs!$G$5:$G$170="acoes"))*Inputs!$B$1+((Inputs!$G$5:$G$170&lt;&gt;"moeda")*(Inputs!$G$5:$G$170&lt;&gt;"acoes")))*INDEX(Inputs!$K$5:$AJ$170,0,MATCH(N$2,Inputs!$K$4:$AJ$4,0)))))</f>
        <v>1373.543</v>
      </c>
      <c r="O20" s="6">
        <f>IF(ISNA(MATCH(O$2,Inputs!$K$4:$AJ$4,0)),NA(),IF(SUMPRODUCT((Inputs!$A$5:$A$170=$B20)*ISNUMBER(INDEX(Inputs!$K$5:$AJ$170,0,MATCH(O$2,Inputs!$K$4:$AJ$4,0))))+SUMPRODUCT((Inputs!$C$5:$C$170=$B20)*ISNUMBER(INDEX(Inputs!$K$5:$AJ$170,0,MATCH(O$2,Inputs!$K$4:$AJ$4,0))))+SUMPRODUCT((Inputs!$E$5:$E$170=$B20)*ISNUMBER(INDEX(Inputs!$K$5:$AJ$170,0,MATCH(O$2,Inputs!$K$4:$AJ$4,0))))=0,NA(),SUMPRODUCT((Inputs!$A$5:$A$170=$B20)*Inputs!$B$5:$B$170*(((Inputs!$G$5:$G$170="moeda")+(Inputs!$G$5:$G$170="acoes"))*Inputs!$B$1+((Inputs!$G$5:$G$170&lt;&gt;"moeda")*(Inputs!$G$5:$G$170&lt;&gt;"acoes")))*INDEX(Inputs!$K$5:$AJ$170,0,MATCH(O$2,Inputs!$K$4:$AJ$4,0)))+SUMPRODUCT((Inputs!$C$5:$C$170=$B20)*Inputs!$D$5:$D$170*(((Inputs!$G$5:$G$170="moeda")+(Inputs!$G$5:$G$170="acoes"))*Inputs!$B$1+((Inputs!$G$5:$G$170&lt;&gt;"moeda")*(Inputs!$G$5:$G$170&lt;&gt;"acoes")))*INDEX(Inputs!$K$5:$AJ$170,0,MATCH(O$2,Inputs!$K$4:$AJ$4,0)))+SUMPRODUCT((Inputs!$E$5:$E$170=$B20)*Inputs!$F$5:$F$170*(((Inputs!$G$5:$G$170="moeda")+(Inputs!$G$5:$G$170="acoes"))*Inputs!$B$1+((Inputs!$G$5:$G$170&lt;&gt;"moeda")*(Inputs!$G$5:$G$170&lt;&gt;"acoes")))*INDEX(Inputs!$K$5:$AJ$170,0,MATCH(O$2,Inputs!$K$4:$AJ$4,0)))))</f>
        <v>1300.157</v>
      </c>
      <c r="P20" s="6">
        <f>IF(ISNA(MATCH(P$2,Inputs!$K$4:$AJ$4,0)),NA(),IF(SUMPRODUCT((Inputs!$A$5:$A$170=$B20)*ISNUMBER(INDEX(Inputs!$K$5:$AJ$170,0,MATCH(P$2,Inputs!$K$4:$AJ$4,0))))+SUMPRODUCT((Inputs!$C$5:$C$170=$B20)*ISNUMBER(INDEX(Inputs!$K$5:$AJ$170,0,MATCH(P$2,Inputs!$K$4:$AJ$4,0))))+SUMPRODUCT((Inputs!$E$5:$E$170=$B20)*ISNUMBER(INDEX(Inputs!$K$5:$AJ$170,0,MATCH(P$2,Inputs!$K$4:$AJ$4,0))))=0,NA(),SUMPRODUCT((Inputs!$A$5:$A$170=$B20)*Inputs!$B$5:$B$170*(((Inputs!$G$5:$G$170="moeda")+(Inputs!$G$5:$G$170="acoes"))*Inputs!$B$1+((Inputs!$G$5:$G$170&lt;&gt;"moeda")*(Inputs!$G$5:$G$170&lt;&gt;"acoes")))*INDEX(Inputs!$K$5:$AJ$170,0,MATCH(P$2,Inputs!$K$4:$AJ$4,0)))+SUMPRODUCT((Inputs!$C$5:$C$170=$B20)*Inputs!$D$5:$D$170*(((Inputs!$G$5:$G$170="moeda")+(Inputs!$G$5:$G$170="acoes"))*Inputs!$B$1+((Inputs!$G$5:$G$170&lt;&gt;"moeda")*(Inputs!$G$5:$G$170&lt;&gt;"acoes")))*INDEX(Inputs!$K$5:$AJ$170,0,MATCH(P$2,Inputs!$K$4:$AJ$4,0)))+SUMPRODUCT((Inputs!$E$5:$E$170=$B20)*Inputs!$F$5:$F$170*(((Inputs!$G$5:$G$170="moeda")+(Inputs!$G$5:$G$170="acoes"))*Inputs!$B$1+((Inputs!$G$5:$G$170&lt;&gt;"moeda")*(Inputs!$G$5:$G$170&lt;&gt;"acoes")))*INDEX(Inputs!$K$5:$AJ$170,0,MATCH(P$2,Inputs!$K$4:$AJ$4,0)))))</f>
        <v>1425.439</v>
      </c>
      <c r="Q20" s="6">
        <f>IF(ISNA(MATCH(Q$2,Inputs!$K$4:$AJ$4,0)),NA(),IF(SUMPRODUCT((Inputs!$A$5:$A$170=$B20)*ISNUMBER(INDEX(Inputs!$K$5:$AJ$170,0,MATCH(Q$2,Inputs!$K$4:$AJ$4,0))))+SUMPRODUCT((Inputs!$C$5:$C$170=$B20)*ISNUMBER(INDEX(Inputs!$K$5:$AJ$170,0,MATCH(Q$2,Inputs!$K$4:$AJ$4,0))))+SUMPRODUCT((Inputs!$E$5:$E$170=$B20)*ISNUMBER(INDEX(Inputs!$K$5:$AJ$170,0,MATCH(Q$2,Inputs!$K$4:$AJ$4,0))))=0,NA(),SUMPRODUCT((Inputs!$A$5:$A$170=$B20)*Inputs!$B$5:$B$170*(((Inputs!$G$5:$G$170="moeda")+(Inputs!$G$5:$G$170="acoes"))*Inputs!$B$1+((Inputs!$G$5:$G$170&lt;&gt;"moeda")*(Inputs!$G$5:$G$170&lt;&gt;"acoes")))*INDEX(Inputs!$K$5:$AJ$170,0,MATCH(Q$2,Inputs!$K$4:$AJ$4,0)))+SUMPRODUCT((Inputs!$C$5:$C$170=$B20)*Inputs!$D$5:$D$170*(((Inputs!$G$5:$G$170="moeda")+(Inputs!$G$5:$G$170="acoes"))*Inputs!$B$1+((Inputs!$G$5:$G$170&lt;&gt;"moeda")*(Inputs!$G$5:$G$170&lt;&gt;"acoes")))*INDEX(Inputs!$K$5:$AJ$170,0,MATCH(Q$2,Inputs!$K$4:$AJ$4,0)))+SUMPRODUCT((Inputs!$E$5:$E$170=$B20)*Inputs!$F$5:$F$170*(((Inputs!$G$5:$G$170="moeda")+(Inputs!$G$5:$G$170="acoes"))*Inputs!$B$1+((Inputs!$G$5:$G$170&lt;&gt;"moeda")*(Inputs!$G$5:$G$170&lt;&gt;"acoes")))*INDEX(Inputs!$K$5:$AJ$170,0,MATCH(Q$2,Inputs!$K$4:$AJ$4,0)))))</f>
        <v>1086.901</v>
      </c>
      <c r="R20" s="3">
        <f>Q20</f>
        <v>1086.901</v>
      </c>
      <c r="S20" s="6">
        <f>IF(ISNA(MATCH(S$2,Inputs!$K$4:$AJ$4,0)),NA(),IF(SUMPRODUCT((Inputs!$A$5:$A$170=$B20)*ISNUMBER(INDEX(Inputs!$K$5:$AJ$170,0,MATCH(S$2,Inputs!$K$4:$AJ$4,0))))+SUMPRODUCT((Inputs!$C$5:$C$170=$B20)*ISNUMBER(INDEX(Inputs!$K$5:$AJ$170,0,MATCH(S$2,Inputs!$K$4:$AJ$4,0))))+SUMPRODUCT((Inputs!$E$5:$E$170=$B20)*ISNUMBER(INDEX(Inputs!$K$5:$AJ$170,0,MATCH(S$2,Inputs!$K$4:$AJ$4,0))))=0,NA(),SUMPRODUCT((Inputs!$A$5:$A$170=$B20)*Inputs!$B$5:$B$170*(((Inputs!$G$5:$G$170="moeda")+(Inputs!$G$5:$G$170="acoes"))*Inputs!$B$1+((Inputs!$G$5:$G$170&lt;&gt;"moeda")*(Inputs!$G$5:$G$170&lt;&gt;"acoes")))*INDEX(Inputs!$K$5:$AJ$170,0,MATCH(S$2,Inputs!$K$4:$AJ$4,0)))+SUMPRODUCT((Inputs!$C$5:$C$170=$B20)*Inputs!$D$5:$D$170*(((Inputs!$G$5:$G$170="moeda")+(Inputs!$G$5:$G$170="acoes"))*Inputs!$B$1+((Inputs!$G$5:$G$170&lt;&gt;"moeda")*(Inputs!$G$5:$G$170&lt;&gt;"acoes")))*INDEX(Inputs!$K$5:$AJ$170,0,MATCH(S$2,Inputs!$K$4:$AJ$4,0)))+SUMPRODUCT((Inputs!$E$5:$E$170=$B20)*Inputs!$F$5:$F$170*(((Inputs!$G$5:$G$170="moeda")+(Inputs!$G$5:$G$170="acoes"))*Inputs!$B$1+((Inputs!$G$5:$G$170&lt;&gt;"moeda")*(Inputs!$G$5:$G$170&lt;&gt;"acoes")))*INDEX(Inputs!$K$5:$AJ$170,0,MATCH(S$2,Inputs!$K$4:$AJ$4,0)))))</f>
        <v>1575.134</v>
      </c>
      <c r="T20" s="6">
        <f>IF(ISNA(MATCH(T$2,Inputs!$K$4:$AJ$4,0)),NA(),IF(SUMPRODUCT((Inputs!$A$5:$A$170=$B20)*ISNUMBER(INDEX(Inputs!$K$5:$AJ$170,0,MATCH(T$2,Inputs!$K$4:$AJ$4,0))))+SUMPRODUCT((Inputs!$C$5:$C$170=$B20)*ISNUMBER(INDEX(Inputs!$K$5:$AJ$170,0,MATCH(T$2,Inputs!$K$4:$AJ$4,0))))+SUMPRODUCT((Inputs!$E$5:$E$170=$B20)*ISNUMBER(INDEX(Inputs!$K$5:$AJ$170,0,MATCH(T$2,Inputs!$K$4:$AJ$4,0))))=0,NA(),SUMPRODUCT((Inputs!$A$5:$A$170=$B20)*Inputs!$B$5:$B$170*(((Inputs!$G$5:$G$170="moeda")+(Inputs!$G$5:$G$170="acoes"))*Inputs!$B$1+((Inputs!$G$5:$G$170&lt;&gt;"moeda")*(Inputs!$G$5:$G$170&lt;&gt;"acoes")))*INDEX(Inputs!$K$5:$AJ$170,0,MATCH(T$2,Inputs!$K$4:$AJ$4,0)))+SUMPRODUCT((Inputs!$C$5:$C$170=$B20)*Inputs!$D$5:$D$170*(((Inputs!$G$5:$G$170="moeda")+(Inputs!$G$5:$G$170="acoes"))*Inputs!$B$1+((Inputs!$G$5:$G$170&lt;&gt;"moeda")*(Inputs!$G$5:$G$170&lt;&gt;"acoes")))*INDEX(Inputs!$K$5:$AJ$170,0,MATCH(T$2,Inputs!$K$4:$AJ$4,0)))+SUMPRODUCT((Inputs!$E$5:$E$170=$B20)*Inputs!$F$5:$F$170*(((Inputs!$G$5:$G$170="moeda")+(Inputs!$G$5:$G$170="acoes"))*Inputs!$B$1+((Inputs!$G$5:$G$170&lt;&gt;"moeda")*(Inputs!$G$5:$G$170&lt;&gt;"acoes")))*INDEX(Inputs!$K$5:$AJ$170,0,MATCH(T$2,Inputs!$K$4:$AJ$4,0)))))</f>
        <v>1497.843</v>
      </c>
      <c r="U20" s="6">
        <f>IF(ISNA(MATCH(U$2,Inputs!$K$4:$AJ$4,0)),NA(),IF(SUMPRODUCT((Inputs!$A$5:$A$170=$B20)*ISNUMBER(INDEX(Inputs!$K$5:$AJ$170,0,MATCH(U$2,Inputs!$K$4:$AJ$4,0))))+SUMPRODUCT((Inputs!$C$5:$C$170=$B20)*ISNUMBER(INDEX(Inputs!$K$5:$AJ$170,0,MATCH(U$2,Inputs!$K$4:$AJ$4,0))))+SUMPRODUCT((Inputs!$E$5:$E$170=$B20)*ISNUMBER(INDEX(Inputs!$K$5:$AJ$170,0,MATCH(U$2,Inputs!$K$4:$AJ$4,0))))=0,NA(),SUMPRODUCT((Inputs!$A$5:$A$170=$B20)*Inputs!$B$5:$B$170*(((Inputs!$G$5:$G$170="moeda")+(Inputs!$G$5:$G$170="acoes"))*Inputs!$B$1+((Inputs!$G$5:$G$170&lt;&gt;"moeda")*(Inputs!$G$5:$G$170&lt;&gt;"acoes")))*INDEX(Inputs!$K$5:$AJ$170,0,MATCH(U$2,Inputs!$K$4:$AJ$4,0)))+SUMPRODUCT((Inputs!$C$5:$C$170=$B20)*Inputs!$D$5:$D$170*(((Inputs!$G$5:$G$170="moeda")+(Inputs!$G$5:$G$170="acoes"))*Inputs!$B$1+((Inputs!$G$5:$G$170&lt;&gt;"moeda")*(Inputs!$G$5:$G$170&lt;&gt;"acoes")))*INDEX(Inputs!$K$5:$AJ$170,0,MATCH(U$2,Inputs!$K$4:$AJ$4,0)))+SUMPRODUCT((Inputs!$E$5:$E$170=$B20)*Inputs!$F$5:$F$170*(((Inputs!$G$5:$G$170="moeda")+(Inputs!$G$5:$G$170="acoes"))*Inputs!$B$1+((Inputs!$G$5:$G$170&lt;&gt;"moeda")*(Inputs!$G$5:$G$170&lt;&gt;"acoes")))*INDEX(Inputs!$K$5:$AJ$170,0,MATCH(U$2,Inputs!$K$4:$AJ$4,0)))))</f>
        <v>1417.002</v>
      </c>
      <c r="V20" s="6">
        <f>IF(ISNA(MATCH(V$2,Inputs!$K$4:$AJ$4,0)),NA(),IF(SUMPRODUCT((Inputs!$A$5:$A$170=$B20)*ISNUMBER(INDEX(Inputs!$K$5:$AJ$170,0,MATCH(V$2,Inputs!$K$4:$AJ$4,0))))+SUMPRODUCT((Inputs!$C$5:$C$170=$B20)*ISNUMBER(INDEX(Inputs!$K$5:$AJ$170,0,MATCH(V$2,Inputs!$K$4:$AJ$4,0))))+SUMPRODUCT((Inputs!$E$5:$E$170=$B20)*ISNUMBER(INDEX(Inputs!$K$5:$AJ$170,0,MATCH(V$2,Inputs!$K$4:$AJ$4,0))))=0,NA(),SUMPRODUCT((Inputs!$A$5:$A$170=$B20)*Inputs!$B$5:$B$170*(((Inputs!$G$5:$G$170="moeda")+(Inputs!$G$5:$G$170="acoes"))*Inputs!$B$1+((Inputs!$G$5:$G$170&lt;&gt;"moeda")*(Inputs!$G$5:$G$170&lt;&gt;"acoes")))*INDEX(Inputs!$K$5:$AJ$170,0,MATCH(V$2,Inputs!$K$4:$AJ$4,0)))+SUMPRODUCT((Inputs!$C$5:$C$170=$B20)*Inputs!$D$5:$D$170*(((Inputs!$G$5:$G$170="moeda")+(Inputs!$G$5:$G$170="acoes"))*Inputs!$B$1+((Inputs!$G$5:$G$170&lt;&gt;"moeda")*(Inputs!$G$5:$G$170&lt;&gt;"acoes")))*INDEX(Inputs!$K$5:$AJ$170,0,MATCH(V$2,Inputs!$K$4:$AJ$4,0)))+SUMPRODUCT((Inputs!$E$5:$E$170=$B20)*Inputs!$F$5:$F$170*(((Inputs!$G$5:$G$170="moeda")+(Inputs!$G$5:$G$170="acoes"))*Inputs!$B$1+((Inputs!$G$5:$G$170&lt;&gt;"moeda")*(Inputs!$G$5:$G$170&lt;&gt;"acoes")))*INDEX(Inputs!$K$5:$AJ$170,0,MATCH(V$2,Inputs!$K$4:$AJ$4,0)))))</f>
        <v>1217.861</v>
      </c>
      <c r="W20" s="3">
        <f>V20</f>
        <v>1217.861</v>
      </c>
      <c r="X20" s="6">
        <f>IF(ISNA(MATCH(X$2,Inputs!$K$4:$AJ$4,0)),NA(),IF(SUMPRODUCT((Inputs!$A$5:$A$170=$B20)*ISNUMBER(INDEX(Inputs!$K$5:$AJ$170,0,MATCH(X$2,Inputs!$K$4:$AJ$4,0))))+SUMPRODUCT((Inputs!$C$5:$C$170=$B20)*ISNUMBER(INDEX(Inputs!$K$5:$AJ$170,0,MATCH(X$2,Inputs!$K$4:$AJ$4,0))))+SUMPRODUCT((Inputs!$E$5:$E$170=$B20)*ISNUMBER(INDEX(Inputs!$K$5:$AJ$170,0,MATCH(X$2,Inputs!$K$4:$AJ$4,0))))=0,NA(),SUMPRODUCT((Inputs!$A$5:$A$170=$B20)*Inputs!$B$5:$B$170*(((Inputs!$G$5:$G$170="moeda")+(Inputs!$G$5:$G$170="acoes"))*Inputs!$B$1+((Inputs!$G$5:$G$170&lt;&gt;"moeda")*(Inputs!$G$5:$G$170&lt;&gt;"acoes")))*INDEX(Inputs!$K$5:$AJ$170,0,MATCH(X$2,Inputs!$K$4:$AJ$4,0)))+SUMPRODUCT((Inputs!$C$5:$C$170=$B20)*Inputs!$D$5:$D$170*(((Inputs!$G$5:$G$170="moeda")+(Inputs!$G$5:$G$170="acoes"))*Inputs!$B$1+((Inputs!$G$5:$G$170&lt;&gt;"moeda")*(Inputs!$G$5:$G$170&lt;&gt;"acoes")))*INDEX(Inputs!$K$5:$AJ$170,0,MATCH(X$2,Inputs!$K$4:$AJ$4,0)))+SUMPRODUCT((Inputs!$E$5:$E$170=$B20)*Inputs!$F$5:$F$170*(((Inputs!$G$5:$G$170="moeda")+(Inputs!$G$5:$G$170="acoes"))*Inputs!$B$1+((Inputs!$G$5:$G$170&lt;&gt;"moeda")*(Inputs!$G$5:$G$170&lt;&gt;"acoes")))*INDEX(Inputs!$K$5:$AJ$170,0,MATCH(X$2,Inputs!$K$4:$AJ$4,0)))))</f>
        <v>2032.503</v>
      </c>
      <c r="Y20" s="6">
        <f>IF(ISNA(MATCH(Y$2,Inputs!$K$4:$AJ$4,0)),NA(),IF(SUMPRODUCT((Inputs!$A$5:$A$170=$B20)*ISNUMBER(INDEX(Inputs!$K$5:$AJ$170,0,MATCH(Y$2,Inputs!$K$4:$AJ$4,0))))+SUMPRODUCT((Inputs!$C$5:$C$170=$B20)*ISNUMBER(INDEX(Inputs!$K$5:$AJ$170,0,MATCH(Y$2,Inputs!$K$4:$AJ$4,0))))+SUMPRODUCT((Inputs!$E$5:$E$170=$B20)*ISNUMBER(INDEX(Inputs!$K$5:$AJ$170,0,MATCH(Y$2,Inputs!$K$4:$AJ$4,0))))=0,NA(),SUMPRODUCT((Inputs!$A$5:$A$170=$B20)*Inputs!$B$5:$B$170*(((Inputs!$G$5:$G$170="moeda")+(Inputs!$G$5:$G$170="acoes"))*Inputs!$B$1+((Inputs!$G$5:$G$170&lt;&gt;"moeda")*(Inputs!$G$5:$G$170&lt;&gt;"acoes")))*INDEX(Inputs!$K$5:$AJ$170,0,MATCH(Y$2,Inputs!$K$4:$AJ$4,0)))+SUMPRODUCT((Inputs!$C$5:$C$170=$B20)*Inputs!$D$5:$D$170*(((Inputs!$G$5:$G$170="moeda")+(Inputs!$G$5:$G$170="acoes"))*Inputs!$B$1+((Inputs!$G$5:$G$170&lt;&gt;"moeda")*(Inputs!$G$5:$G$170&lt;&gt;"acoes")))*INDEX(Inputs!$K$5:$AJ$170,0,MATCH(Y$2,Inputs!$K$4:$AJ$4,0)))+SUMPRODUCT((Inputs!$E$5:$E$170=$B20)*Inputs!$F$5:$F$170*(((Inputs!$G$5:$G$170="moeda")+(Inputs!$G$5:$G$170="acoes"))*Inputs!$B$1+((Inputs!$G$5:$G$170&lt;&gt;"moeda")*(Inputs!$G$5:$G$170&lt;&gt;"acoes")))*INDEX(Inputs!$K$5:$AJ$170,0,MATCH(Y$2,Inputs!$K$4:$AJ$4,0)))))</f>
        <v>2000.533</v>
      </c>
      <c r="Z20" s="6">
        <f>IF(ISNA(MATCH(Z$2,Inputs!$K$4:$AJ$4,0)),NA(),IF(SUMPRODUCT((Inputs!$A$5:$A$170=$B20)*ISNUMBER(INDEX(Inputs!$K$5:$AJ$170,0,MATCH(Z$2,Inputs!$K$4:$AJ$4,0))))+SUMPRODUCT((Inputs!$C$5:$C$170=$B20)*ISNUMBER(INDEX(Inputs!$K$5:$AJ$170,0,MATCH(Z$2,Inputs!$K$4:$AJ$4,0))))+SUMPRODUCT((Inputs!$E$5:$E$170=$B20)*ISNUMBER(INDEX(Inputs!$K$5:$AJ$170,0,MATCH(Z$2,Inputs!$K$4:$AJ$4,0))))=0,NA(),SUMPRODUCT((Inputs!$A$5:$A$170=$B20)*Inputs!$B$5:$B$170*(((Inputs!$G$5:$G$170="moeda")+(Inputs!$G$5:$G$170="acoes"))*Inputs!$B$1+((Inputs!$G$5:$G$170&lt;&gt;"moeda")*(Inputs!$G$5:$G$170&lt;&gt;"acoes")))*INDEX(Inputs!$K$5:$AJ$170,0,MATCH(Z$2,Inputs!$K$4:$AJ$4,0)))+SUMPRODUCT((Inputs!$C$5:$C$170=$B20)*Inputs!$D$5:$D$170*(((Inputs!$G$5:$G$170="moeda")+(Inputs!$G$5:$G$170="acoes"))*Inputs!$B$1+((Inputs!$G$5:$G$170&lt;&gt;"moeda")*(Inputs!$G$5:$G$170&lt;&gt;"acoes")))*INDEX(Inputs!$K$5:$AJ$170,0,MATCH(Z$2,Inputs!$K$4:$AJ$4,0)))+SUMPRODUCT((Inputs!$E$5:$E$170=$B20)*Inputs!$F$5:$F$170*(((Inputs!$G$5:$G$170="moeda")+(Inputs!$G$5:$G$170="acoes"))*Inputs!$B$1+((Inputs!$G$5:$G$170&lt;&gt;"moeda")*(Inputs!$G$5:$G$170&lt;&gt;"acoes")))*INDEX(Inputs!$K$5:$AJ$170,0,MATCH(Z$2,Inputs!$K$4:$AJ$4,0)))))</f>
        <v>1727.128</v>
      </c>
      <c r="AA20" s="6">
        <f>IF(ISNA(MATCH(AA$2,Inputs!$K$4:$AJ$4,0)),NA(),IF(SUMPRODUCT((Inputs!$A$5:$A$170=$B20)*ISNUMBER(INDEX(Inputs!$K$5:$AJ$170,0,MATCH(AA$2,Inputs!$K$4:$AJ$4,0))))+SUMPRODUCT((Inputs!$C$5:$C$170=$B20)*ISNUMBER(INDEX(Inputs!$K$5:$AJ$170,0,MATCH(AA$2,Inputs!$K$4:$AJ$4,0))))+SUMPRODUCT((Inputs!$E$5:$E$170=$B20)*ISNUMBER(INDEX(Inputs!$K$5:$AJ$170,0,MATCH(AA$2,Inputs!$K$4:$AJ$4,0))))=0,NA(),SUMPRODUCT((Inputs!$A$5:$A$170=$B20)*Inputs!$B$5:$B$170*(((Inputs!$G$5:$G$170="moeda")+(Inputs!$G$5:$G$170="acoes"))*Inputs!$B$1+((Inputs!$G$5:$G$170&lt;&gt;"moeda")*(Inputs!$G$5:$G$170&lt;&gt;"acoes")))*INDEX(Inputs!$K$5:$AJ$170,0,MATCH(AA$2,Inputs!$K$4:$AJ$4,0)))+SUMPRODUCT((Inputs!$C$5:$C$170=$B20)*Inputs!$D$5:$D$170*(((Inputs!$G$5:$G$170="moeda")+(Inputs!$G$5:$G$170="acoes"))*Inputs!$B$1+((Inputs!$G$5:$G$170&lt;&gt;"moeda")*(Inputs!$G$5:$G$170&lt;&gt;"acoes")))*INDEX(Inputs!$K$5:$AJ$170,0,MATCH(AA$2,Inputs!$K$4:$AJ$4,0)))+SUMPRODUCT((Inputs!$E$5:$E$170=$B20)*Inputs!$F$5:$F$170*(((Inputs!$G$5:$G$170="moeda")+(Inputs!$G$5:$G$170="acoes"))*Inputs!$B$1+((Inputs!$G$5:$G$170&lt;&gt;"moeda")*(Inputs!$G$5:$G$170&lt;&gt;"acoes")))*INDEX(Inputs!$K$5:$AJ$170,0,MATCH(AA$2,Inputs!$K$4:$AJ$4,0)))))</f>
        <v>942.151</v>
      </c>
      <c r="AB20" s="3">
        <f>AA20</f>
        <v>942.151</v>
      </c>
      <c r="AC20" s="6">
        <f>IF(ISNA(MATCH(AC$2,Inputs!$K$4:$AJ$4,0)),NA(),IF(SUMPRODUCT((Inputs!$A$5:$A$170=$B20)*ISNUMBER(INDEX(Inputs!$K$5:$AJ$170,0,MATCH(AC$2,Inputs!$K$4:$AJ$4,0))))+SUMPRODUCT((Inputs!$C$5:$C$170=$B20)*ISNUMBER(INDEX(Inputs!$K$5:$AJ$170,0,MATCH(AC$2,Inputs!$K$4:$AJ$4,0))))+SUMPRODUCT((Inputs!$E$5:$E$170=$B20)*ISNUMBER(INDEX(Inputs!$K$5:$AJ$170,0,MATCH(AC$2,Inputs!$K$4:$AJ$4,0))))=0,NA(),SUMPRODUCT((Inputs!$A$5:$A$170=$B20)*Inputs!$B$5:$B$170*(((Inputs!$G$5:$G$170="moeda")+(Inputs!$G$5:$G$170="acoes"))*Inputs!$B$1+((Inputs!$G$5:$G$170&lt;&gt;"moeda")*(Inputs!$G$5:$G$170&lt;&gt;"acoes")))*INDEX(Inputs!$K$5:$AJ$170,0,MATCH(AC$2,Inputs!$K$4:$AJ$4,0)))+SUMPRODUCT((Inputs!$C$5:$C$170=$B20)*Inputs!$D$5:$D$170*(((Inputs!$G$5:$G$170="moeda")+(Inputs!$G$5:$G$170="acoes"))*Inputs!$B$1+((Inputs!$G$5:$G$170&lt;&gt;"moeda")*(Inputs!$G$5:$G$170&lt;&gt;"acoes")))*INDEX(Inputs!$K$5:$AJ$170,0,MATCH(AC$2,Inputs!$K$4:$AJ$4,0)))+SUMPRODUCT((Inputs!$E$5:$E$170=$B20)*Inputs!$F$5:$F$170*(((Inputs!$G$5:$G$170="moeda")+(Inputs!$G$5:$G$170="acoes"))*Inputs!$B$1+((Inputs!$G$5:$G$170&lt;&gt;"moeda")*(Inputs!$G$5:$G$170&lt;&gt;"acoes")))*INDEX(Inputs!$K$5:$AJ$170,0,MATCH(AC$2,Inputs!$K$4:$AJ$4,0)))))</f>
        <v>1404.787</v>
      </c>
      <c r="AD20" s="6">
        <f>IF(ISNA(MATCH(AD$2,Inputs!$K$4:$AJ$4,0)),NA(),IF(SUMPRODUCT((Inputs!$A$5:$A$170=$B20)*ISNUMBER(INDEX(Inputs!$K$5:$AJ$170,0,MATCH(AD$2,Inputs!$K$4:$AJ$4,0))))+SUMPRODUCT((Inputs!$C$5:$C$170=$B20)*ISNUMBER(INDEX(Inputs!$K$5:$AJ$170,0,MATCH(AD$2,Inputs!$K$4:$AJ$4,0))))+SUMPRODUCT((Inputs!$E$5:$E$170=$B20)*ISNUMBER(INDEX(Inputs!$K$5:$AJ$170,0,MATCH(AD$2,Inputs!$K$4:$AJ$4,0))))=0,NA(),SUMPRODUCT((Inputs!$A$5:$A$170=$B20)*Inputs!$B$5:$B$170*(((Inputs!$G$5:$G$170="moeda")+(Inputs!$G$5:$G$170="acoes"))*Inputs!$B$1+((Inputs!$G$5:$G$170&lt;&gt;"moeda")*(Inputs!$G$5:$G$170&lt;&gt;"acoes")))*INDEX(Inputs!$K$5:$AJ$170,0,MATCH(AD$2,Inputs!$K$4:$AJ$4,0)))+SUMPRODUCT((Inputs!$C$5:$C$170=$B20)*Inputs!$D$5:$D$170*(((Inputs!$G$5:$G$170="moeda")+(Inputs!$G$5:$G$170="acoes"))*Inputs!$B$1+((Inputs!$G$5:$G$170&lt;&gt;"moeda")*(Inputs!$G$5:$G$170&lt;&gt;"acoes")))*INDEX(Inputs!$K$5:$AJ$170,0,MATCH(AD$2,Inputs!$K$4:$AJ$4,0)))+SUMPRODUCT((Inputs!$E$5:$E$170=$B20)*Inputs!$F$5:$F$170*(((Inputs!$G$5:$G$170="moeda")+(Inputs!$G$5:$G$170="acoes"))*Inputs!$B$1+((Inputs!$G$5:$G$170&lt;&gt;"moeda")*(Inputs!$G$5:$G$170&lt;&gt;"acoes")))*INDEX(Inputs!$K$5:$AJ$170,0,MATCH(AD$2,Inputs!$K$4:$AJ$4,0)))))</f>
        <v>1394.588</v>
      </c>
      <c r="AE20" s="6" t="e">
        <f>IF(ISNA(MATCH(AE$2,Inputs!$K$4:$AJ$4,0)),NA(),IF(SUMPRODUCT((Inputs!$A$5:$A$170=$B20)*ISNUMBER(INDEX(Inputs!$K$5:$AJ$170,0,MATCH(AE$2,Inputs!$K$4:$AJ$4,0))))+SUMPRODUCT((Inputs!$C$5:$C$170=$B20)*ISNUMBER(INDEX(Inputs!$K$5:$AJ$170,0,MATCH(AE$2,Inputs!$K$4:$AJ$4,0))))+SUMPRODUCT((Inputs!$E$5:$E$170=$B20)*ISNUMBER(INDEX(Inputs!$K$5:$AJ$170,0,MATCH(AE$2,Inputs!$K$4:$AJ$4,0))))=0,NA(),SUMPRODUCT((Inputs!$A$5:$A$170=$B20)*Inputs!$B$5:$B$170*(((Inputs!$G$5:$G$170="moeda")+(Inputs!$G$5:$G$170="acoes"))*Inputs!$B$1+((Inputs!$G$5:$G$170&lt;&gt;"moeda")*(Inputs!$G$5:$G$170&lt;&gt;"acoes")))*INDEX(Inputs!$K$5:$AJ$170,0,MATCH(AE$2,Inputs!$K$4:$AJ$4,0)))+SUMPRODUCT((Inputs!$C$5:$C$170=$B20)*Inputs!$D$5:$D$170*(((Inputs!$G$5:$G$170="moeda")+(Inputs!$G$5:$G$170="acoes"))*Inputs!$B$1+((Inputs!$G$5:$G$170&lt;&gt;"moeda")*(Inputs!$G$5:$G$170&lt;&gt;"acoes")))*INDEX(Inputs!$K$5:$AJ$170,0,MATCH(AE$2,Inputs!$K$4:$AJ$4,0)))+SUMPRODUCT((Inputs!$E$5:$E$170=$B20)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0" s="6" t="e">
        <f>IF(ISNA(MATCH(AF$2,Inputs!$K$4:$AJ$4,0)),NA(),IF(SUMPRODUCT((Inputs!$A$5:$A$170=$B20)*ISNUMBER(INDEX(Inputs!$K$5:$AJ$170,0,MATCH(AF$2,Inputs!$K$4:$AJ$4,0))))+SUMPRODUCT((Inputs!$C$5:$C$170=$B20)*ISNUMBER(INDEX(Inputs!$K$5:$AJ$170,0,MATCH(AF$2,Inputs!$K$4:$AJ$4,0))))+SUMPRODUCT((Inputs!$E$5:$E$170=$B20)*ISNUMBER(INDEX(Inputs!$K$5:$AJ$170,0,MATCH(AF$2,Inputs!$K$4:$AJ$4,0))))=0,NA(),SUMPRODUCT((Inputs!$A$5:$A$170=$B20)*Inputs!$B$5:$B$170*(((Inputs!$G$5:$G$170="moeda")+(Inputs!$G$5:$G$170="acoes"))*Inputs!$B$1+((Inputs!$G$5:$G$170&lt;&gt;"moeda")*(Inputs!$G$5:$G$170&lt;&gt;"acoes")))*INDEX(Inputs!$K$5:$AJ$170,0,MATCH(AF$2,Inputs!$K$4:$AJ$4,0)))+SUMPRODUCT((Inputs!$C$5:$C$170=$B20)*Inputs!$D$5:$D$170*(((Inputs!$G$5:$G$170="moeda")+(Inputs!$G$5:$G$170="acoes"))*Inputs!$B$1+((Inputs!$G$5:$G$170&lt;&gt;"moeda")*(Inputs!$G$5:$G$170&lt;&gt;"acoes")))*INDEX(Inputs!$K$5:$AJ$170,0,MATCH(AF$2,Inputs!$K$4:$AJ$4,0)))+SUMPRODUCT((Inputs!$E$5:$E$170=$B20)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0" s="3" t="e">
        <f>AF20</f>
        <v>#N/A</v>
      </c>
      <c r="AH20" s="6">
        <f>IF(ISNA(MATCH(AH$2,Inputs!$K$4:$AJ$4,0)),NA(),IF(SUMPRODUCT((Inputs!$A$5:$A$170=$B20)*ISNUMBER(INDEX(Inputs!$K$5:$AJ$170,0,MATCH(AH$2,Inputs!$K$4:$AJ$4,0))))+SUMPRODUCT((Inputs!$C$5:$C$170=$B20)*ISNUMBER(INDEX(Inputs!$K$5:$AJ$170,0,MATCH(AH$2,Inputs!$K$4:$AJ$4,0))))+SUMPRODUCT((Inputs!$E$5:$E$170=$B20)*ISNUMBER(INDEX(Inputs!$K$5:$AJ$170,0,MATCH(AH$2,Inputs!$K$4:$AJ$4,0))))=0,NA(),SUMPRODUCT((Inputs!$A$5:$A$170=$B20)*Inputs!$B$5:$B$170*(((Inputs!$G$5:$G$170="moeda")+(Inputs!$G$5:$G$170="acoes"))*Inputs!$B$1+((Inputs!$G$5:$G$170&lt;&gt;"moeda")*(Inputs!$G$5:$G$170&lt;&gt;"acoes")))*INDEX(Inputs!$K$5:$AJ$170,0,MATCH(AH$2,Inputs!$K$4:$AJ$4,0)))+SUMPRODUCT((Inputs!$C$5:$C$170=$B20)*Inputs!$D$5:$D$170*(((Inputs!$G$5:$G$170="moeda")+(Inputs!$G$5:$G$170="acoes"))*Inputs!$B$1+((Inputs!$G$5:$G$170&lt;&gt;"moeda")*(Inputs!$G$5:$G$170&lt;&gt;"acoes")))*INDEX(Inputs!$K$5:$AJ$170,0,MATCH(AH$2,Inputs!$K$4:$AJ$4,0)))+SUMPRODUCT((Inputs!$E$5:$E$170=$B20)*Inputs!$F$5:$F$170*(((Inputs!$G$5:$G$170="moeda")+(Inputs!$G$5:$G$170="acoes"))*Inputs!$B$1+((Inputs!$G$5:$G$170&lt;&gt;"moeda")*(Inputs!$G$5:$G$170&lt;&gt;"acoes")))*INDEX(Inputs!$K$5:$AJ$170,0,MATCH(AH$2,Inputs!$K$4:$AJ$4,0)))))</f>
        <v>574.108</v>
      </c>
      <c r="AI20" s="6">
        <f>IF(ISNA(MATCH(AI$2,Inputs!$K$4:$AJ$4,0)),NA(),IF(SUMPRODUCT((Inputs!$A$5:$A$170=$B20)*ISNUMBER(INDEX(Inputs!$K$5:$AJ$170,0,MATCH(AI$2,Inputs!$K$4:$AJ$4,0))))+SUMPRODUCT((Inputs!$C$5:$C$170=$B20)*ISNUMBER(INDEX(Inputs!$K$5:$AJ$170,0,MATCH(AI$2,Inputs!$K$4:$AJ$4,0))))+SUMPRODUCT((Inputs!$E$5:$E$170=$B20)*ISNUMBER(INDEX(Inputs!$K$5:$AJ$170,0,MATCH(AI$2,Inputs!$K$4:$AJ$4,0))))=0,NA(),SUMPRODUCT((Inputs!$A$5:$A$170=$B20)*Inputs!$B$5:$B$170*(((Inputs!$G$5:$G$170="moeda")+(Inputs!$G$5:$G$170="acoes"))*Inputs!$B$1+((Inputs!$G$5:$G$170&lt;&gt;"moeda")*(Inputs!$G$5:$G$170&lt;&gt;"acoes")))*INDEX(Inputs!$K$5:$AJ$170,0,MATCH(AI$2,Inputs!$K$4:$AJ$4,0)))+SUMPRODUCT((Inputs!$C$5:$C$170=$B20)*Inputs!$D$5:$D$170*(((Inputs!$G$5:$G$170="moeda")+(Inputs!$G$5:$G$170="acoes"))*Inputs!$B$1+((Inputs!$G$5:$G$170&lt;&gt;"moeda")*(Inputs!$G$5:$G$170&lt;&gt;"acoes")))*INDEX(Inputs!$K$5:$AJ$170,0,MATCH(AI$2,Inputs!$K$4:$AJ$4,0)))+SUMPRODUCT((Inputs!$E$5:$E$170=$B20)*Inputs!$F$5:$F$170*(((Inputs!$G$5:$G$170="moeda")+(Inputs!$G$5:$G$170="acoes"))*Inputs!$B$1+((Inputs!$G$5:$G$170&lt;&gt;"moeda")*(Inputs!$G$5:$G$170&lt;&gt;"acoes")))*INDEX(Inputs!$K$5:$AJ$170,0,MATCH(AI$2,Inputs!$K$4:$AJ$4,0)))))</f>
        <v>552.282</v>
      </c>
      <c r="AJ20" s="6">
        <f>IF(ISNA(MATCH(AJ$2,Inputs!$K$4:$AJ$4,0)),NA(),IF(SUMPRODUCT((Inputs!$A$5:$A$170=$B20)*ISNUMBER(INDEX(Inputs!$K$5:$AJ$170,0,MATCH(AJ$2,Inputs!$K$4:$AJ$4,0))))+SUMPRODUCT((Inputs!$C$5:$C$170=$B20)*ISNUMBER(INDEX(Inputs!$K$5:$AJ$170,0,MATCH(AJ$2,Inputs!$K$4:$AJ$4,0))))+SUMPRODUCT((Inputs!$E$5:$E$170=$B20)*ISNUMBER(INDEX(Inputs!$K$5:$AJ$170,0,MATCH(AJ$2,Inputs!$K$4:$AJ$4,0))))=0,NA(),SUMPRODUCT((Inputs!$A$5:$A$170=$B20)*Inputs!$B$5:$B$170*(((Inputs!$G$5:$G$170="moeda")+(Inputs!$G$5:$G$170="acoes"))*Inputs!$B$1+((Inputs!$G$5:$G$170&lt;&gt;"moeda")*(Inputs!$G$5:$G$170&lt;&gt;"acoes")))*INDEX(Inputs!$K$5:$AJ$170,0,MATCH(AJ$2,Inputs!$K$4:$AJ$4,0)))+SUMPRODUCT((Inputs!$C$5:$C$170=$B20)*Inputs!$D$5:$D$170*(((Inputs!$G$5:$G$170="moeda")+(Inputs!$G$5:$G$170="acoes"))*Inputs!$B$1+((Inputs!$G$5:$G$170&lt;&gt;"moeda")*(Inputs!$G$5:$G$170&lt;&gt;"acoes")))*INDEX(Inputs!$K$5:$AJ$170,0,MATCH(AJ$2,Inputs!$K$4:$AJ$4,0)))+SUMPRODUCT((Inputs!$E$5:$E$170=$B20)*Inputs!$F$5:$F$170*(((Inputs!$G$5:$G$170="moeda")+(Inputs!$G$5:$G$170="acoes"))*Inputs!$B$1+((Inputs!$G$5:$G$170&lt;&gt;"moeda")*(Inputs!$G$5:$G$170&lt;&gt;"acoes")))*INDEX(Inputs!$K$5:$AJ$170,0,MATCH(AJ$2,Inputs!$K$4:$AJ$4,0)))))</f>
        <v>286.428</v>
      </c>
      <c r="AK20" s="6">
        <f>IF(ISNA(MATCH(AK$2,Inputs!$K$4:$AJ$4,0)),NA(),IF(SUMPRODUCT((Inputs!$A$5:$A$170=$B20)*ISNUMBER(INDEX(Inputs!$K$5:$AJ$170,0,MATCH(AK$2,Inputs!$K$4:$AJ$4,0))))+SUMPRODUCT((Inputs!$C$5:$C$170=$B20)*ISNUMBER(INDEX(Inputs!$K$5:$AJ$170,0,MATCH(AK$2,Inputs!$K$4:$AJ$4,0))))+SUMPRODUCT((Inputs!$E$5:$E$170=$B20)*ISNUMBER(INDEX(Inputs!$K$5:$AJ$170,0,MATCH(AK$2,Inputs!$K$4:$AJ$4,0))))=0,NA(),SUMPRODUCT((Inputs!$A$5:$A$170=$B20)*Inputs!$B$5:$B$170*(((Inputs!$G$5:$G$170="moeda")+(Inputs!$G$5:$G$170="acoes"))*Inputs!$B$1+((Inputs!$G$5:$G$170&lt;&gt;"moeda")*(Inputs!$G$5:$G$170&lt;&gt;"acoes")))*INDEX(Inputs!$K$5:$AJ$170,0,MATCH(AK$2,Inputs!$K$4:$AJ$4,0)))+SUMPRODUCT((Inputs!$C$5:$C$170=$B20)*Inputs!$D$5:$D$170*(((Inputs!$G$5:$G$170="moeda")+(Inputs!$G$5:$G$170="acoes"))*Inputs!$B$1+((Inputs!$G$5:$G$170&lt;&gt;"moeda")*(Inputs!$G$5:$G$170&lt;&gt;"acoes")))*INDEX(Inputs!$K$5:$AJ$170,0,MATCH(AK$2,Inputs!$K$4:$AJ$4,0)))+SUMPRODUCT((Inputs!$E$5:$E$170=$B20)*Inputs!$F$5:$F$170*(((Inputs!$G$5:$G$170="moeda")+(Inputs!$G$5:$G$170="acoes"))*Inputs!$B$1+((Inputs!$G$5:$G$170&lt;&gt;"moeda")*(Inputs!$G$5:$G$170&lt;&gt;"acoes")))*INDEX(Inputs!$K$5:$AJ$170,0,MATCH(AK$2,Inputs!$K$4:$AJ$4,0)))))</f>
        <v>232.274</v>
      </c>
      <c r="AL20" s="3">
        <f>AK20</f>
        <v>232.274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$170=$B21)*ISNUMBER(INDEX(Inputs!$K$5:$AJ$170,0,MATCH(D$2,Inputs!$K$4:$AJ$4,0))))+SUMPRODUCT((Inputs!$C$5:$C$170=$B21)*ISNUMBER(INDEX(Inputs!$K$5:$AJ$170,0,MATCH(D$2,Inputs!$K$4:$AJ$4,0))))+SUMPRODUCT((Inputs!$E$5:$E$170=$B21)*ISNUMBER(INDEX(Inputs!$K$5:$AJ$170,0,MATCH(D$2,Inputs!$K$4:$AJ$4,0))))=0,NA(),SUMPRODUCT((Inputs!$A$5:$A$170=$B21)*Inputs!$B$5:$B$170*(((Inputs!$G$5:$G$170="moeda")+(Inputs!$G$5:$G$170="acoes"))*Inputs!$B$1+((Inputs!$G$5:$G$170&lt;&gt;"moeda")*(Inputs!$G$5:$G$170&lt;&gt;"acoes")))*INDEX(Inputs!$K$5:$AJ$170,0,MATCH(D$2,Inputs!$K$4:$AJ$4,0)))+SUMPRODUCT((Inputs!$C$5:$C$170=$B21)*Inputs!$D$5:$D$170*(((Inputs!$G$5:$G$170="moeda")+(Inputs!$G$5:$G$170="acoes"))*Inputs!$B$1+((Inputs!$G$5:$G$170&lt;&gt;"moeda")*(Inputs!$G$5:$G$170&lt;&gt;"acoes")))*INDEX(Inputs!$K$5:$AJ$170,0,MATCH(D$2,Inputs!$K$4:$AJ$4,0)))+SUMPRODUCT((Inputs!$E$5:$E$170=$B21)*Inputs!$F$5:$F$170*(((Inputs!$G$5:$G$170="moeda")+(Inputs!$G$5:$G$170="acoes"))*Inputs!$B$1+((Inputs!$G$5:$G$170&lt;&gt;"moeda")*(Inputs!$G$5:$G$170&lt;&gt;"acoes")))*INDEX(Inputs!$K$5:$AJ$170,0,MATCH(D$2,Inputs!$K$4:$AJ$4,0)))))</f>
        <v>1.985</v>
      </c>
      <c r="E21" s="6">
        <f>IF(ISNA(MATCH(E$2,Inputs!$K$4:$AJ$4,0)),NA(),IF(SUMPRODUCT((Inputs!$A$5:$A$170=$B21)*ISNUMBER(INDEX(Inputs!$K$5:$AJ$170,0,MATCH(E$2,Inputs!$K$4:$AJ$4,0))))+SUMPRODUCT((Inputs!$C$5:$C$170=$B21)*ISNUMBER(INDEX(Inputs!$K$5:$AJ$170,0,MATCH(E$2,Inputs!$K$4:$AJ$4,0))))+SUMPRODUCT((Inputs!$E$5:$E$170=$B21)*ISNUMBER(INDEX(Inputs!$K$5:$AJ$170,0,MATCH(E$2,Inputs!$K$4:$AJ$4,0))))=0,NA(),SUMPRODUCT((Inputs!$A$5:$A$170=$B21)*Inputs!$B$5:$B$170*(((Inputs!$G$5:$G$170="moeda")+(Inputs!$G$5:$G$170="acoes"))*Inputs!$B$1+((Inputs!$G$5:$G$170&lt;&gt;"moeda")*(Inputs!$G$5:$G$170&lt;&gt;"acoes")))*INDEX(Inputs!$K$5:$AJ$170,0,MATCH(E$2,Inputs!$K$4:$AJ$4,0)))+SUMPRODUCT((Inputs!$C$5:$C$170=$B21)*Inputs!$D$5:$D$170*(((Inputs!$G$5:$G$170="moeda")+(Inputs!$G$5:$G$170="acoes"))*Inputs!$B$1+((Inputs!$G$5:$G$170&lt;&gt;"moeda")*(Inputs!$G$5:$G$170&lt;&gt;"acoes")))*INDEX(Inputs!$K$5:$AJ$170,0,MATCH(E$2,Inputs!$K$4:$AJ$4,0)))+SUMPRODUCT((Inputs!$E$5:$E$170=$B21)*Inputs!$F$5:$F$170*(((Inputs!$G$5:$G$170="moeda")+(Inputs!$G$5:$G$170="acoes"))*Inputs!$B$1+((Inputs!$G$5:$G$170&lt;&gt;"moeda")*(Inputs!$G$5:$G$170&lt;&gt;"acoes")))*INDEX(Inputs!$K$5:$AJ$170,0,MATCH(E$2,Inputs!$K$4:$AJ$4,0)))))</f>
        <v>2.141</v>
      </c>
      <c r="F21" s="6">
        <f>IF(ISNA(MATCH(F$2,Inputs!$K$4:$AJ$4,0)),NA(),IF(SUMPRODUCT((Inputs!$A$5:$A$170=$B21)*ISNUMBER(INDEX(Inputs!$K$5:$AJ$170,0,MATCH(F$2,Inputs!$K$4:$AJ$4,0))))+SUMPRODUCT((Inputs!$C$5:$C$170=$B21)*ISNUMBER(INDEX(Inputs!$K$5:$AJ$170,0,MATCH(F$2,Inputs!$K$4:$AJ$4,0))))+SUMPRODUCT((Inputs!$E$5:$E$170=$B21)*ISNUMBER(INDEX(Inputs!$K$5:$AJ$170,0,MATCH(F$2,Inputs!$K$4:$AJ$4,0))))=0,NA(),SUMPRODUCT((Inputs!$A$5:$A$170=$B21)*Inputs!$B$5:$B$170*(((Inputs!$G$5:$G$170="moeda")+(Inputs!$G$5:$G$170="acoes"))*Inputs!$B$1+((Inputs!$G$5:$G$170&lt;&gt;"moeda")*(Inputs!$G$5:$G$170&lt;&gt;"acoes")))*INDEX(Inputs!$K$5:$AJ$170,0,MATCH(F$2,Inputs!$K$4:$AJ$4,0)))+SUMPRODUCT((Inputs!$C$5:$C$170=$B21)*Inputs!$D$5:$D$170*(((Inputs!$G$5:$G$170="moeda")+(Inputs!$G$5:$G$170="acoes"))*Inputs!$B$1+((Inputs!$G$5:$G$170&lt;&gt;"moeda")*(Inputs!$G$5:$G$170&lt;&gt;"acoes")))*INDEX(Inputs!$K$5:$AJ$170,0,MATCH(F$2,Inputs!$K$4:$AJ$4,0)))+SUMPRODUCT((Inputs!$E$5:$E$170=$B21)*Inputs!$F$5:$F$170*(((Inputs!$G$5:$G$170="moeda")+(Inputs!$G$5:$G$170="acoes"))*Inputs!$B$1+((Inputs!$G$5:$G$170&lt;&gt;"moeda")*(Inputs!$G$5:$G$170&lt;&gt;"acoes")))*INDEX(Inputs!$K$5:$AJ$170,0,MATCH(F$2,Inputs!$K$4:$AJ$4,0)))))</f>
        <v>1.202</v>
      </c>
      <c r="G21" s="6">
        <f>IF(ISNA(MATCH(G$2,Inputs!$K$4:$AJ$4,0)),NA(),IF(SUMPRODUCT((Inputs!$A$5:$A$170=$B21)*ISNUMBER(INDEX(Inputs!$K$5:$AJ$170,0,MATCH(G$2,Inputs!$K$4:$AJ$4,0))))+SUMPRODUCT((Inputs!$C$5:$C$170=$B21)*ISNUMBER(INDEX(Inputs!$K$5:$AJ$170,0,MATCH(G$2,Inputs!$K$4:$AJ$4,0))))+SUMPRODUCT((Inputs!$E$5:$E$170=$B21)*ISNUMBER(INDEX(Inputs!$K$5:$AJ$170,0,MATCH(G$2,Inputs!$K$4:$AJ$4,0))))=0,NA(),SUMPRODUCT((Inputs!$A$5:$A$170=$B21)*Inputs!$B$5:$B$170*(((Inputs!$G$5:$G$170="moeda")+(Inputs!$G$5:$G$170="acoes"))*Inputs!$B$1+((Inputs!$G$5:$G$170&lt;&gt;"moeda")*(Inputs!$G$5:$G$170&lt;&gt;"acoes")))*INDEX(Inputs!$K$5:$AJ$170,0,MATCH(G$2,Inputs!$K$4:$AJ$4,0)))+SUMPRODUCT((Inputs!$C$5:$C$170=$B21)*Inputs!$D$5:$D$170*(((Inputs!$G$5:$G$170="moeda")+(Inputs!$G$5:$G$170="acoes"))*Inputs!$B$1+((Inputs!$G$5:$G$170&lt;&gt;"moeda")*(Inputs!$G$5:$G$170&lt;&gt;"acoes")))*INDEX(Inputs!$K$5:$AJ$170,0,MATCH(G$2,Inputs!$K$4:$AJ$4,0)))+SUMPRODUCT((Inputs!$E$5:$E$170=$B21)*Inputs!$F$5:$F$170*(((Inputs!$G$5:$G$170="moeda")+(Inputs!$G$5:$G$170="acoes"))*Inputs!$B$1+((Inputs!$G$5:$G$170&lt;&gt;"moeda")*(Inputs!$G$5:$G$170&lt;&gt;"acoes")))*INDEX(Inputs!$K$5:$AJ$170,0,MATCH(G$2,Inputs!$K$4:$AJ$4,0)))))</f>
        <v>1.191</v>
      </c>
      <c r="H21" s="3">
        <f>G21</f>
        <v>1.191</v>
      </c>
      <c r="I21" s="6">
        <f>IF(ISNA(MATCH(I$2,Inputs!$K$4:$AJ$4,0)),NA(),IF(SUMPRODUCT((Inputs!$A$5:$A$170=$B21)*ISNUMBER(INDEX(Inputs!$K$5:$AJ$170,0,MATCH(I$2,Inputs!$K$4:$AJ$4,0))))+SUMPRODUCT((Inputs!$C$5:$C$170=$B21)*ISNUMBER(INDEX(Inputs!$K$5:$AJ$170,0,MATCH(I$2,Inputs!$K$4:$AJ$4,0))))+SUMPRODUCT((Inputs!$E$5:$E$170=$B21)*ISNUMBER(INDEX(Inputs!$K$5:$AJ$170,0,MATCH(I$2,Inputs!$K$4:$AJ$4,0))))=0,NA(),SUMPRODUCT((Inputs!$A$5:$A$170=$B21)*Inputs!$B$5:$B$170*(((Inputs!$G$5:$G$170="moeda")+(Inputs!$G$5:$G$170="acoes"))*Inputs!$B$1+((Inputs!$G$5:$G$170&lt;&gt;"moeda")*(Inputs!$G$5:$G$170&lt;&gt;"acoes")))*INDEX(Inputs!$K$5:$AJ$170,0,MATCH(I$2,Inputs!$K$4:$AJ$4,0)))+SUMPRODUCT((Inputs!$C$5:$C$170=$B21)*Inputs!$D$5:$D$170*(((Inputs!$G$5:$G$170="moeda")+(Inputs!$G$5:$G$170="acoes"))*Inputs!$B$1+((Inputs!$G$5:$G$170&lt;&gt;"moeda")*(Inputs!$G$5:$G$170&lt;&gt;"acoes")))*INDEX(Inputs!$K$5:$AJ$170,0,MATCH(I$2,Inputs!$K$4:$AJ$4,0)))+SUMPRODUCT((Inputs!$E$5:$E$170=$B21)*Inputs!$F$5:$F$170*(((Inputs!$G$5:$G$170="moeda")+(Inputs!$G$5:$G$170="acoes"))*Inputs!$B$1+((Inputs!$G$5:$G$170&lt;&gt;"moeda")*(Inputs!$G$5:$G$170&lt;&gt;"acoes")))*INDEX(Inputs!$K$5:$AJ$170,0,MATCH(I$2,Inputs!$K$4:$AJ$4,0)))))</f>
        <v>1.188</v>
      </c>
      <c r="J21" s="6">
        <f>IF(ISNA(MATCH(J$2,Inputs!$K$4:$AJ$4,0)),NA(),IF(SUMPRODUCT((Inputs!$A$5:$A$170=$B21)*ISNUMBER(INDEX(Inputs!$K$5:$AJ$170,0,MATCH(J$2,Inputs!$K$4:$AJ$4,0))))+SUMPRODUCT((Inputs!$C$5:$C$170=$B21)*ISNUMBER(INDEX(Inputs!$K$5:$AJ$170,0,MATCH(J$2,Inputs!$K$4:$AJ$4,0))))+SUMPRODUCT((Inputs!$E$5:$E$170=$B21)*ISNUMBER(INDEX(Inputs!$K$5:$AJ$170,0,MATCH(J$2,Inputs!$K$4:$AJ$4,0))))=0,NA(),SUMPRODUCT((Inputs!$A$5:$A$170=$B21)*Inputs!$B$5:$B$170*(((Inputs!$G$5:$G$170="moeda")+(Inputs!$G$5:$G$170="acoes"))*Inputs!$B$1+((Inputs!$G$5:$G$170&lt;&gt;"moeda")*(Inputs!$G$5:$G$170&lt;&gt;"acoes")))*INDEX(Inputs!$K$5:$AJ$170,0,MATCH(J$2,Inputs!$K$4:$AJ$4,0)))+SUMPRODUCT((Inputs!$C$5:$C$170=$B21)*Inputs!$D$5:$D$170*(((Inputs!$G$5:$G$170="moeda")+(Inputs!$G$5:$G$170="acoes"))*Inputs!$B$1+((Inputs!$G$5:$G$170&lt;&gt;"moeda")*(Inputs!$G$5:$G$170&lt;&gt;"acoes")))*INDEX(Inputs!$K$5:$AJ$170,0,MATCH(J$2,Inputs!$K$4:$AJ$4,0)))+SUMPRODUCT((Inputs!$E$5:$E$170=$B21)*Inputs!$F$5:$F$170*(((Inputs!$G$5:$G$170="moeda")+(Inputs!$G$5:$G$170="acoes"))*Inputs!$B$1+((Inputs!$G$5:$G$170&lt;&gt;"moeda")*(Inputs!$G$5:$G$170&lt;&gt;"acoes")))*INDEX(Inputs!$K$5:$AJ$170,0,MATCH(J$2,Inputs!$K$4:$AJ$4,0)))))</f>
        <v>1.139</v>
      </c>
      <c r="K21" s="6">
        <f>IF(ISNA(MATCH(K$2,Inputs!$K$4:$AJ$4,0)),NA(),IF(SUMPRODUCT((Inputs!$A$5:$A$170=$B21)*ISNUMBER(INDEX(Inputs!$K$5:$AJ$170,0,MATCH(K$2,Inputs!$K$4:$AJ$4,0))))+SUMPRODUCT((Inputs!$C$5:$C$170=$B21)*ISNUMBER(INDEX(Inputs!$K$5:$AJ$170,0,MATCH(K$2,Inputs!$K$4:$AJ$4,0))))+SUMPRODUCT((Inputs!$E$5:$E$170=$B21)*ISNUMBER(INDEX(Inputs!$K$5:$AJ$170,0,MATCH(K$2,Inputs!$K$4:$AJ$4,0))))=0,NA(),SUMPRODUCT((Inputs!$A$5:$A$170=$B21)*Inputs!$B$5:$B$170*(((Inputs!$G$5:$G$170="moeda")+(Inputs!$G$5:$G$170="acoes"))*Inputs!$B$1+((Inputs!$G$5:$G$170&lt;&gt;"moeda")*(Inputs!$G$5:$G$170&lt;&gt;"acoes")))*INDEX(Inputs!$K$5:$AJ$170,0,MATCH(K$2,Inputs!$K$4:$AJ$4,0)))+SUMPRODUCT((Inputs!$C$5:$C$170=$B21)*Inputs!$D$5:$D$170*(((Inputs!$G$5:$G$170="moeda")+(Inputs!$G$5:$G$170="acoes"))*Inputs!$B$1+((Inputs!$G$5:$G$170&lt;&gt;"moeda")*(Inputs!$G$5:$G$170&lt;&gt;"acoes")))*INDEX(Inputs!$K$5:$AJ$170,0,MATCH(K$2,Inputs!$K$4:$AJ$4,0)))+SUMPRODUCT((Inputs!$E$5:$E$170=$B21)*Inputs!$F$5:$F$170*(((Inputs!$G$5:$G$170="moeda")+(Inputs!$G$5:$G$170="acoes"))*Inputs!$B$1+((Inputs!$G$5:$G$170&lt;&gt;"moeda")*(Inputs!$G$5:$G$170&lt;&gt;"acoes")))*INDEX(Inputs!$K$5:$AJ$170,0,MATCH(K$2,Inputs!$K$4:$AJ$4,0)))))</f>
        <v>1.107</v>
      </c>
      <c r="L21" s="6">
        <f>IF(ISNA(MATCH(L$2,Inputs!$K$4:$AJ$4,0)),NA(),IF(SUMPRODUCT((Inputs!$A$5:$A$170=$B21)*ISNUMBER(INDEX(Inputs!$K$5:$AJ$170,0,MATCH(L$2,Inputs!$K$4:$AJ$4,0))))+SUMPRODUCT((Inputs!$C$5:$C$170=$B21)*ISNUMBER(INDEX(Inputs!$K$5:$AJ$170,0,MATCH(L$2,Inputs!$K$4:$AJ$4,0))))+SUMPRODUCT((Inputs!$E$5:$E$170=$B21)*ISNUMBER(INDEX(Inputs!$K$5:$AJ$170,0,MATCH(L$2,Inputs!$K$4:$AJ$4,0))))=0,NA(),SUMPRODUCT((Inputs!$A$5:$A$170=$B21)*Inputs!$B$5:$B$170*(((Inputs!$G$5:$G$170="moeda")+(Inputs!$G$5:$G$170="acoes"))*Inputs!$B$1+((Inputs!$G$5:$G$170&lt;&gt;"moeda")*(Inputs!$G$5:$G$170&lt;&gt;"acoes")))*INDEX(Inputs!$K$5:$AJ$170,0,MATCH(L$2,Inputs!$K$4:$AJ$4,0)))+SUMPRODUCT((Inputs!$C$5:$C$170=$B21)*Inputs!$D$5:$D$170*(((Inputs!$G$5:$G$170="moeda")+(Inputs!$G$5:$G$170="acoes"))*Inputs!$B$1+((Inputs!$G$5:$G$170&lt;&gt;"moeda")*(Inputs!$G$5:$G$170&lt;&gt;"acoes")))*INDEX(Inputs!$K$5:$AJ$170,0,MATCH(L$2,Inputs!$K$4:$AJ$4,0)))+SUMPRODUCT((Inputs!$E$5:$E$170=$B21)*Inputs!$F$5:$F$170*(((Inputs!$G$5:$G$170="moeda")+(Inputs!$G$5:$G$170="acoes"))*Inputs!$B$1+((Inputs!$G$5:$G$170&lt;&gt;"moeda")*(Inputs!$G$5:$G$170&lt;&gt;"acoes")))*INDEX(Inputs!$K$5:$AJ$170,0,MATCH(L$2,Inputs!$K$4:$AJ$4,0)))))</f>
        <v>1.102</v>
      </c>
      <c r="M21" s="3">
        <f>L21</f>
        <v>1.102</v>
      </c>
      <c r="N21" s="6">
        <f>IF(ISNA(MATCH(N$2,Inputs!$K$4:$AJ$4,0)),NA(),IF(SUMPRODUCT((Inputs!$A$5:$A$170=$B21)*ISNUMBER(INDEX(Inputs!$K$5:$AJ$170,0,MATCH(N$2,Inputs!$K$4:$AJ$4,0))))+SUMPRODUCT((Inputs!$C$5:$C$170=$B21)*ISNUMBER(INDEX(Inputs!$K$5:$AJ$170,0,MATCH(N$2,Inputs!$K$4:$AJ$4,0))))+SUMPRODUCT((Inputs!$E$5:$E$170=$B21)*ISNUMBER(INDEX(Inputs!$K$5:$AJ$170,0,MATCH(N$2,Inputs!$K$4:$AJ$4,0))))=0,NA(),SUMPRODUCT((Inputs!$A$5:$A$170=$B21)*Inputs!$B$5:$B$170*(((Inputs!$G$5:$G$170="moeda")+(Inputs!$G$5:$G$170="acoes"))*Inputs!$B$1+((Inputs!$G$5:$G$170&lt;&gt;"moeda")*(Inputs!$G$5:$G$170&lt;&gt;"acoes")))*INDEX(Inputs!$K$5:$AJ$170,0,MATCH(N$2,Inputs!$K$4:$AJ$4,0)))+SUMPRODUCT((Inputs!$C$5:$C$170=$B21)*Inputs!$D$5:$D$170*(((Inputs!$G$5:$G$170="moeda")+(Inputs!$G$5:$G$170="acoes"))*Inputs!$B$1+((Inputs!$G$5:$G$170&lt;&gt;"moeda")*(Inputs!$G$5:$G$170&lt;&gt;"acoes")))*INDEX(Inputs!$K$5:$AJ$170,0,MATCH(N$2,Inputs!$K$4:$AJ$4,0)))+SUMPRODUCT((Inputs!$E$5:$E$170=$B21)*Inputs!$F$5:$F$170*(((Inputs!$G$5:$G$170="moeda")+(Inputs!$G$5:$G$170="acoes"))*Inputs!$B$1+((Inputs!$G$5:$G$170&lt;&gt;"moeda")*(Inputs!$G$5:$G$170&lt;&gt;"acoes")))*INDEX(Inputs!$K$5:$AJ$170,0,MATCH(N$2,Inputs!$K$4:$AJ$4,0)))))</f>
        <v>1.094</v>
      </c>
      <c r="O21" s="6">
        <f>IF(ISNA(MATCH(O$2,Inputs!$K$4:$AJ$4,0)),NA(),IF(SUMPRODUCT((Inputs!$A$5:$A$170=$B21)*ISNUMBER(INDEX(Inputs!$K$5:$AJ$170,0,MATCH(O$2,Inputs!$K$4:$AJ$4,0))))+SUMPRODUCT((Inputs!$C$5:$C$170=$B21)*ISNUMBER(INDEX(Inputs!$K$5:$AJ$170,0,MATCH(O$2,Inputs!$K$4:$AJ$4,0))))+SUMPRODUCT((Inputs!$E$5:$E$170=$B21)*ISNUMBER(INDEX(Inputs!$K$5:$AJ$170,0,MATCH(O$2,Inputs!$K$4:$AJ$4,0))))=0,NA(),SUMPRODUCT((Inputs!$A$5:$A$170=$B21)*Inputs!$B$5:$B$170*(((Inputs!$G$5:$G$170="moeda")+(Inputs!$G$5:$G$170="acoes"))*Inputs!$B$1+((Inputs!$G$5:$G$170&lt;&gt;"moeda")*(Inputs!$G$5:$G$170&lt;&gt;"acoes")))*INDEX(Inputs!$K$5:$AJ$170,0,MATCH(O$2,Inputs!$K$4:$AJ$4,0)))+SUMPRODUCT((Inputs!$C$5:$C$170=$B21)*Inputs!$D$5:$D$170*(((Inputs!$G$5:$G$170="moeda")+(Inputs!$G$5:$G$170="acoes"))*Inputs!$B$1+((Inputs!$G$5:$G$170&lt;&gt;"moeda")*(Inputs!$G$5:$G$170&lt;&gt;"acoes")))*INDEX(Inputs!$K$5:$AJ$170,0,MATCH(O$2,Inputs!$K$4:$AJ$4,0)))+SUMPRODUCT((Inputs!$E$5:$E$170=$B21)*Inputs!$F$5:$F$170*(((Inputs!$G$5:$G$170="moeda")+(Inputs!$G$5:$G$170="acoes"))*Inputs!$B$1+((Inputs!$G$5:$G$170&lt;&gt;"moeda")*(Inputs!$G$5:$G$170&lt;&gt;"acoes")))*INDEX(Inputs!$K$5:$AJ$170,0,MATCH(O$2,Inputs!$K$4:$AJ$4,0)))))</f>
        <v>1.113</v>
      </c>
      <c r="P21" s="6">
        <f>IF(ISNA(MATCH(P$2,Inputs!$K$4:$AJ$4,0)),NA(),IF(SUMPRODUCT((Inputs!$A$5:$A$170=$B21)*ISNUMBER(INDEX(Inputs!$K$5:$AJ$170,0,MATCH(P$2,Inputs!$K$4:$AJ$4,0))))+SUMPRODUCT((Inputs!$C$5:$C$170=$B21)*ISNUMBER(INDEX(Inputs!$K$5:$AJ$170,0,MATCH(P$2,Inputs!$K$4:$AJ$4,0))))+SUMPRODUCT((Inputs!$E$5:$E$170=$B21)*ISNUMBER(INDEX(Inputs!$K$5:$AJ$170,0,MATCH(P$2,Inputs!$K$4:$AJ$4,0))))=0,NA(),SUMPRODUCT((Inputs!$A$5:$A$170=$B21)*Inputs!$B$5:$B$170*(((Inputs!$G$5:$G$170="moeda")+(Inputs!$G$5:$G$170="acoes"))*Inputs!$B$1+((Inputs!$G$5:$G$170&lt;&gt;"moeda")*(Inputs!$G$5:$G$170&lt;&gt;"acoes")))*INDEX(Inputs!$K$5:$AJ$170,0,MATCH(P$2,Inputs!$K$4:$AJ$4,0)))+SUMPRODUCT((Inputs!$C$5:$C$170=$B21)*Inputs!$D$5:$D$170*(((Inputs!$G$5:$G$170="moeda")+(Inputs!$G$5:$G$170="acoes"))*Inputs!$B$1+((Inputs!$G$5:$G$170&lt;&gt;"moeda")*(Inputs!$G$5:$G$170&lt;&gt;"acoes")))*INDEX(Inputs!$K$5:$AJ$170,0,MATCH(P$2,Inputs!$K$4:$AJ$4,0)))+SUMPRODUCT((Inputs!$E$5:$E$170=$B21)*Inputs!$F$5:$F$170*(((Inputs!$G$5:$G$170="moeda")+(Inputs!$G$5:$G$170="acoes"))*Inputs!$B$1+((Inputs!$G$5:$G$170&lt;&gt;"moeda")*(Inputs!$G$5:$G$170&lt;&gt;"acoes")))*INDEX(Inputs!$K$5:$AJ$170,0,MATCH(P$2,Inputs!$K$4:$AJ$4,0)))))</f>
        <v>0.676</v>
      </c>
      <c r="Q21" s="6">
        <f>IF(ISNA(MATCH(Q$2,Inputs!$K$4:$AJ$4,0)),NA(),IF(SUMPRODUCT((Inputs!$A$5:$A$170=$B21)*ISNUMBER(INDEX(Inputs!$K$5:$AJ$170,0,MATCH(Q$2,Inputs!$K$4:$AJ$4,0))))+SUMPRODUCT((Inputs!$C$5:$C$170=$B21)*ISNUMBER(INDEX(Inputs!$K$5:$AJ$170,0,MATCH(Q$2,Inputs!$K$4:$AJ$4,0))))+SUMPRODUCT((Inputs!$E$5:$E$170=$B21)*ISNUMBER(INDEX(Inputs!$K$5:$AJ$170,0,MATCH(Q$2,Inputs!$K$4:$AJ$4,0))))=0,NA(),SUMPRODUCT((Inputs!$A$5:$A$170=$B21)*Inputs!$B$5:$B$170*(((Inputs!$G$5:$G$170="moeda")+(Inputs!$G$5:$G$170="acoes"))*Inputs!$B$1+((Inputs!$G$5:$G$170&lt;&gt;"moeda")*(Inputs!$G$5:$G$170&lt;&gt;"acoes")))*INDEX(Inputs!$K$5:$AJ$170,0,MATCH(Q$2,Inputs!$K$4:$AJ$4,0)))+SUMPRODUCT((Inputs!$C$5:$C$170=$B21)*Inputs!$D$5:$D$170*(((Inputs!$G$5:$G$170="moeda")+(Inputs!$G$5:$G$170="acoes"))*Inputs!$B$1+((Inputs!$G$5:$G$170&lt;&gt;"moeda")*(Inputs!$G$5:$G$170&lt;&gt;"acoes")))*INDEX(Inputs!$K$5:$AJ$170,0,MATCH(Q$2,Inputs!$K$4:$AJ$4,0)))+SUMPRODUCT((Inputs!$E$5:$E$170=$B21)*Inputs!$F$5:$F$170*(((Inputs!$G$5:$G$170="moeda")+(Inputs!$G$5:$G$170="acoes"))*Inputs!$B$1+((Inputs!$G$5:$G$170&lt;&gt;"moeda")*(Inputs!$G$5:$G$170&lt;&gt;"acoes")))*INDEX(Inputs!$K$5:$AJ$170,0,MATCH(Q$2,Inputs!$K$4:$AJ$4,0)))))</f>
        <v>1.142</v>
      </c>
      <c r="R21" s="3">
        <f>Q21</f>
        <v>1.142</v>
      </c>
      <c r="S21" s="6">
        <f>IF(ISNA(MATCH(S$2,Inputs!$K$4:$AJ$4,0)),NA(),IF(SUMPRODUCT((Inputs!$A$5:$A$170=$B21)*ISNUMBER(INDEX(Inputs!$K$5:$AJ$170,0,MATCH(S$2,Inputs!$K$4:$AJ$4,0))))+SUMPRODUCT((Inputs!$C$5:$C$170=$B21)*ISNUMBER(INDEX(Inputs!$K$5:$AJ$170,0,MATCH(S$2,Inputs!$K$4:$AJ$4,0))))+SUMPRODUCT((Inputs!$E$5:$E$170=$B21)*ISNUMBER(INDEX(Inputs!$K$5:$AJ$170,0,MATCH(S$2,Inputs!$K$4:$AJ$4,0))))=0,NA(),SUMPRODUCT((Inputs!$A$5:$A$170=$B21)*Inputs!$B$5:$B$170*(((Inputs!$G$5:$G$170="moeda")+(Inputs!$G$5:$G$170="acoes"))*Inputs!$B$1+((Inputs!$G$5:$G$170&lt;&gt;"moeda")*(Inputs!$G$5:$G$170&lt;&gt;"acoes")))*INDEX(Inputs!$K$5:$AJ$170,0,MATCH(S$2,Inputs!$K$4:$AJ$4,0)))+SUMPRODUCT((Inputs!$C$5:$C$170=$B21)*Inputs!$D$5:$D$170*(((Inputs!$G$5:$G$170="moeda")+(Inputs!$G$5:$G$170="acoes"))*Inputs!$B$1+((Inputs!$G$5:$G$170&lt;&gt;"moeda")*(Inputs!$G$5:$G$170&lt;&gt;"acoes")))*INDEX(Inputs!$K$5:$AJ$170,0,MATCH(S$2,Inputs!$K$4:$AJ$4,0)))+SUMPRODUCT((Inputs!$E$5:$E$170=$B21)*Inputs!$F$5:$F$170*(((Inputs!$G$5:$G$170="moeda")+(Inputs!$G$5:$G$170="acoes"))*Inputs!$B$1+((Inputs!$G$5:$G$170&lt;&gt;"moeda")*(Inputs!$G$5:$G$170&lt;&gt;"acoes")))*INDEX(Inputs!$K$5:$AJ$170,0,MATCH(S$2,Inputs!$K$4:$AJ$4,0)))))</f>
        <v>0.612</v>
      </c>
      <c r="T21" s="6">
        <f>IF(ISNA(MATCH(T$2,Inputs!$K$4:$AJ$4,0)),NA(),IF(SUMPRODUCT((Inputs!$A$5:$A$170=$B21)*ISNUMBER(INDEX(Inputs!$K$5:$AJ$170,0,MATCH(T$2,Inputs!$K$4:$AJ$4,0))))+SUMPRODUCT((Inputs!$C$5:$C$170=$B21)*ISNUMBER(INDEX(Inputs!$K$5:$AJ$170,0,MATCH(T$2,Inputs!$K$4:$AJ$4,0))))+SUMPRODUCT((Inputs!$E$5:$E$170=$B21)*ISNUMBER(INDEX(Inputs!$K$5:$AJ$170,0,MATCH(T$2,Inputs!$K$4:$AJ$4,0))))=0,NA(),SUMPRODUCT((Inputs!$A$5:$A$170=$B21)*Inputs!$B$5:$B$170*(((Inputs!$G$5:$G$170="moeda")+(Inputs!$G$5:$G$170="acoes"))*Inputs!$B$1+((Inputs!$G$5:$G$170&lt;&gt;"moeda")*(Inputs!$G$5:$G$170&lt;&gt;"acoes")))*INDEX(Inputs!$K$5:$AJ$170,0,MATCH(T$2,Inputs!$K$4:$AJ$4,0)))+SUMPRODUCT((Inputs!$C$5:$C$170=$B21)*Inputs!$D$5:$D$170*(((Inputs!$G$5:$G$170="moeda")+(Inputs!$G$5:$G$170="acoes"))*Inputs!$B$1+((Inputs!$G$5:$G$170&lt;&gt;"moeda")*(Inputs!$G$5:$G$170&lt;&gt;"acoes")))*INDEX(Inputs!$K$5:$AJ$170,0,MATCH(T$2,Inputs!$K$4:$AJ$4,0)))+SUMPRODUCT((Inputs!$E$5:$E$170=$B21)*Inputs!$F$5:$F$170*(((Inputs!$G$5:$G$170="moeda")+(Inputs!$G$5:$G$170="acoes"))*Inputs!$B$1+((Inputs!$G$5:$G$170&lt;&gt;"moeda")*(Inputs!$G$5:$G$170&lt;&gt;"acoes")))*INDEX(Inputs!$K$5:$AJ$170,0,MATCH(T$2,Inputs!$K$4:$AJ$4,0)))))</f>
        <v>0.589</v>
      </c>
      <c r="U21" s="6">
        <f>IF(ISNA(MATCH(U$2,Inputs!$K$4:$AJ$4,0)),NA(),IF(SUMPRODUCT((Inputs!$A$5:$A$170=$B21)*ISNUMBER(INDEX(Inputs!$K$5:$AJ$170,0,MATCH(U$2,Inputs!$K$4:$AJ$4,0))))+SUMPRODUCT((Inputs!$C$5:$C$170=$B21)*ISNUMBER(INDEX(Inputs!$K$5:$AJ$170,0,MATCH(U$2,Inputs!$K$4:$AJ$4,0))))+SUMPRODUCT((Inputs!$E$5:$E$170=$B21)*ISNUMBER(INDEX(Inputs!$K$5:$AJ$170,0,MATCH(U$2,Inputs!$K$4:$AJ$4,0))))=0,NA(),SUMPRODUCT((Inputs!$A$5:$A$170=$B21)*Inputs!$B$5:$B$170*(((Inputs!$G$5:$G$170="moeda")+(Inputs!$G$5:$G$170="acoes"))*Inputs!$B$1+((Inputs!$G$5:$G$170&lt;&gt;"moeda")*(Inputs!$G$5:$G$170&lt;&gt;"acoes")))*INDEX(Inputs!$K$5:$AJ$170,0,MATCH(U$2,Inputs!$K$4:$AJ$4,0)))+SUMPRODUCT((Inputs!$C$5:$C$170=$B21)*Inputs!$D$5:$D$170*(((Inputs!$G$5:$G$170="moeda")+(Inputs!$G$5:$G$170="acoes"))*Inputs!$B$1+((Inputs!$G$5:$G$170&lt;&gt;"moeda")*(Inputs!$G$5:$G$170&lt;&gt;"acoes")))*INDEX(Inputs!$K$5:$AJ$170,0,MATCH(U$2,Inputs!$K$4:$AJ$4,0)))+SUMPRODUCT((Inputs!$E$5:$E$170=$B21)*Inputs!$F$5:$F$170*(((Inputs!$G$5:$G$170="moeda")+(Inputs!$G$5:$G$170="acoes"))*Inputs!$B$1+((Inputs!$G$5:$G$170&lt;&gt;"moeda")*(Inputs!$G$5:$G$170&lt;&gt;"acoes")))*INDEX(Inputs!$K$5:$AJ$170,0,MATCH(U$2,Inputs!$K$4:$AJ$4,0)))))</f>
        <v>0.562</v>
      </c>
      <c r="V21" s="6">
        <f>IF(ISNA(MATCH(V$2,Inputs!$K$4:$AJ$4,0)),NA(),IF(SUMPRODUCT((Inputs!$A$5:$A$170=$B21)*ISNUMBER(INDEX(Inputs!$K$5:$AJ$170,0,MATCH(V$2,Inputs!$K$4:$AJ$4,0))))+SUMPRODUCT((Inputs!$C$5:$C$170=$B21)*ISNUMBER(INDEX(Inputs!$K$5:$AJ$170,0,MATCH(V$2,Inputs!$K$4:$AJ$4,0))))+SUMPRODUCT((Inputs!$E$5:$E$170=$B21)*ISNUMBER(INDEX(Inputs!$K$5:$AJ$170,0,MATCH(V$2,Inputs!$K$4:$AJ$4,0))))=0,NA(),SUMPRODUCT((Inputs!$A$5:$A$170=$B21)*Inputs!$B$5:$B$170*(((Inputs!$G$5:$G$170="moeda")+(Inputs!$G$5:$G$170="acoes"))*Inputs!$B$1+((Inputs!$G$5:$G$170&lt;&gt;"moeda")*(Inputs!$G$5:$G$170&lt;&gt;"acoes")))*INDEX(Inputs!$K$5:$AJ$170,0,MATCH(V$2,Inputs!$K$4:$AJ$4,0)))+SUMPRODUCT((Inputs!$C$5:$C$170=$B21)*Inputs!$D$5:$D$170*(((Inputs!$G$5:$G$170="moeda")+(Inputs!$G$5:$G$170="acoes"))*Inputs!$B$1+((Inputs!$G$5:$G$170&lt;&gt;"moeda")*(Inputs!$G$5:$G$170&lt;&gt;"acoes")))*INDEX(Inputs!$K$5:$AJ$170,0,MATCH(V$2,Inputs!$K$4:$AJ$4,0)))+SUMPRODUCT((Inputs!$E$5:$E$170=$B21)*Inputs!$F$5:$F$170*(((Inputs!$G$5:$G$170="moeda")+(Inputs!$G$5:$G$170="acoes"))*Inputs!$B$1+((Inputs!$G$5:$G$170&lt;&gt;"moeda")*(Inputs!$G$5:$G$170&lt;&gt;"acoes")))*INDEX(Inputs!$K$5:$AJ$170,0,MATCH(V$2,Inputs!$K$4:$AJ$4,0)))))</f>
        <v>0.562</v>
      </c>
      <c r="W21" s="3">
        <f>V21</f>
        <v>0.562</v>
      </c>
      <c r="X21" s="6">
        <f>IF(ISNA(MATCH(X$2,Inputs!$K$4:$AJ$4,0)),NA(),IF(SUMPRODUCT((Inputs!$A$5:$A$170=$B21)*ISNUMBER(INDEX(Inputs!$K$5:$AJ$170,0,MATCH(X$2,Inputs!$K$4:$AJ$4,0))))+SUMPRODUCT((Inputs!$C$5:$C$170=$B21)*ISNUMBER(INDEX(Inputs!$K$5:$AJ$170,0,MATCH(X$2,Inputs!$K$4:$AJ$4,0))))+SUMPRODUCT((Inputs!$E$5:$E$170=$B21)*ISNUMBER(INDEX(Inputs!$K$5:$AJ$170,0,MATCH(X$2,Inputs!$K$4:$AJ$4,0))))=0,NA(),SUMPRODUCT((Inputs!$A$5:$A$170=$B21)*Inputs!$B$5:$B$170*(((Inputs!$G$5:$G$170="moeda")+(Inputs!$G$5:$G$170="acoes"))*Inputs!$B$1+((Inputs!$G$5:$G$170&lt;&gt;"moeda")*(Inputs!$G$5:$G$170&lt;&gt;"acoes")))*INDEX(Inputs!$K$5:$AJ$170,0,MATCH(X$2,Inputs!$K$4:$AJ$4,0)))+SUMPRODUCT((Inputs!$C$5:$C$170=$B21)*Inputs!$D$5:$D$170*(((Inputs!$G$5:$G$170="moeda")+(Inputs!$G$5:$G$170="acoes"))*Inputs!$B$1+((Inputs!$G$5:$G$170&lt;&gt;"moeda")*(Inputs!$G$5:$G$170&lt;&gt;"acoes")))*INDEX(Inputs!$K$5:$AJ$170,0,MATCH(X$2,Inputs!$K$4:$AJ$4,0)))+SUMPRODUCT((Inputs!$E$5:$E$170=$B21)*Inputs!$F$5:$F$170*(((Inputs!$G$5:$G$170="moeda")+(Inputs!$G$5:$G$170="acoes"))*Inputs!$B$1+((Inputs!$G$5:$G$170&lt;&gt;"moeda")*(Inputs!$G$5:$G$170&lt;&gt;"acoes")))*INDEX(Inputs!$K$5:$AJ$170,0,MATCH(X$2,Inputs!$K$4:$AJ$4,0)))))</f>
        <v>0.562</v>
      </c>
      <c r="Y21" s="6">
        <f>IF(ISNA(MATCH(Y$2,Inputs!$K$4:$AJ$4,0)),NA(),IF(SUMPRODUCT((Inputs!$A$5:$A$170=$B21)*ISNUMBER(INDEX(Inputs!$K$5:$AJ$170,0,MATCH(Y$2,Inputs!$K$4:$AJ$4,0))))+SUMPRODUCT((Inputs!$C$5:$C$170=$B21)*ISNUMBER(INDEX(Inputs!$K$5:$AJ$170,0,MATCH(Y$2,Inputs!$K$4:$AJ$4,0))))+SUMPRODUCT((Inputs!$E$5:$E$170=$B21)*ISNUMBER(INDEX(Inputs!$K$5:$AJ$170,0,MATCH(Y$2,Inputs!$K$4:$AJ$4,0))))=0,NA(),SUMPRODUCT((Inputs!$A$5:$A$170=$B21)*Inputs!$B$5:$B$170*(((Inputs!$G$5:$G$170="moeda")+(Inputs!$G$5:$G$170="acoes"))*Inputs!$B$1+((Inputs!$G$5:$G$170&lt;&gt;"moeda")*(Inputs!$G$5:$G$170&lt;&gt;"acoes")))*INDEX(Inputs!$K$5:$AJ$170,0,MATCH(Y$2,Inputs!$K$4:$AJ$4,0)))+SUMPRODUCT((Inputs!$C$5:$C$170=$B21)*Inputs!$D$5:$D$170*(((Inputs!$G$5:$G$170="moeda")+(Inputs!$G$5:$G$170="acoes"))*Inputs!$B$1+((Inputs!$G$5:$G$170&lt;&gt;"moeda")*(Inputs!$G$5:$G$170&lt;&gt;"acoes")))*INDEX(Inputs!$K$5:$AJ$170,0,MATCH(Y$2,Inputs!$K$4:$AJ$4,0)))+SUMPRODUCT((Inputs!$E$5:$E$170=$B21)*Inputs!$F$5:$F$170*(((Inputs!$G$5:$G$170="moeda")+(Inputs!$G$5:$G$170="acoes"))*Inputs!$B$1+((Inputs!$G$5:$G$170&lt;&gt;"moeda")*(Inputs!$G$5:$G$170&lt;&gt;"acoes")))*INDEX(Inputs!$K$5:$AJ$170,0,MATCH(Y$2,Inputs!$K$4:$AJ$4,0)))))</f>
        <v>0</v>
      </c>
      <c r="Z21" s="6">
        <f>IF(ISNA(MATCH(Z$2,Inputs!$K$4:$AJ$4,0)),NA(),IF(SUMPRODUCT((Inputs!$A$5:$A$170=$B21)*ISNUMBER(INDEX(Inputs!$K$5:$AJ$170,0,MATCH(Z$2,Inputs!$K$4:$AJ$4,0))))+SUMPRODUCT((Inputs!$C$5:$C$170=$B21)*ISNUMBER(INDEX(Inputs!$K$5:$AJ$170,0,MATCH(Z$2,Inputs!$K$4:$AJ$4,0))))+SUMPRODUCT((Inputs!$E$5:$E$170=$B21)*ISNUMBER(INDEX(Inputs!$K$5:$AJ$170,0,MATCH(Z$2,Inputs!$K$4:$AJ$4,0))))=0,NA(),SUMPRODUCT((Inputs!$A$5:$A$170=$B21)*Inputs!$B$5:$B$170*(((Inputs!$G$5:$G$170="moeda")+(Inputs!$G$5:$G$170="acoes"))*Inputs!$B$1+((Inputs!$G$5:$G$170&lt;&gt;"moeda")*(Inputs!$G$5:$G$170&lt;&gt;"acoes")))*INDEX(Inputs!$K$5:$AJ$170,0,MATCH(Z$2,Inputs!$K$4:$AJ$4,0)))+SUMPRODUCT((Inputs!$C$5:$C$170=$B21)*Inputs!$D$5:$D$170*(((Inputs!$G$5:$G$170="moeda")+(Inputs!$G$5:$G$170="acoes"))*Inputs!$B$1+((Inputs!$G$5:$G$170&lt;&gt;"moeda")*(Inputs!$G$5:$G$170&lt;&gt;"acoes")))*INDEX(Inputs!$K$5:$AJ$170,0,MATCH(Z$2,Inputs!$K$4:$AJ$4,0)))+SUMPRODUCT((Inputs!$E$5:$E$170=$B21)*Inputs!$F$5:$F$170*(((Inputs!$G$5:$G$170="moeda")+(Inputs!$G$5:$G$170="acoes"))*Inputs!$B$1+((Inputs!$G$5:$G$170&lt;&gt;"moeda")*(Inputs!$G$5:$G$170&lt;&gt;"acoes")))*INDEX(Inputs!$K$5:$AJ$170,0,MATCH(Z$2,Inputs!$K$4:$AJ$4,0)))))</f>
        <v>18.175</v>
      </c>
      <c r="AA21" s="6">
        <f>IF(ISNA(MATCH(AA$2,Inputs!$K$4:$AJ$4,0)),NA(),IF(SUMPRODUCT((Inputs!$A$5:$A$170=$B21)*ISNUMBER(INDEX(Inputs!$K$5:$AJ$170,0,MATCH(AA$2,Inputs!$K$4:$AJ$4,0))))+SUMPRODUCT((Inputs!$C$5:$C$170=$B21)*ISNUMBER(INDEX(Inputs!$K$5:$AJ$170,0,MATCH(AA$2,Inputs!$K$4:$AJ$4,0))))+SUMPRODUCT((Inputs!$E$5:$E$170=$B21)*ISNUMBER(INDEX(Inputs!$K$5:$AJ$170,0,MATCH(AA$2,Inputs!$K$4:$AJ$4,0))))=0,NA(),SUMPRODUCT((Inputs!$A$5:$A$170=$B21)*Inputs!$B$5:$B$170*(((Inputs!$G$5:$G$170="moeda")+(Inputs!$G$5:$G$170="acoes"))*Inputs!$B$1+((Inputs!$G$5:$G$170&lt;&gt;"moeda")*(Inputs!$G$5:$G$170&lt;&gt;"acoes")))*INDEX(Inputs!$K$5:$AJ$170,0,MATCH(AA$2,Inputs!$K$4:$AJ$4,0)))+SUMPRODUCT((Inputs!$C$5:$C$170=$B21)*Inputs!$D$5:$D$170*(((Inputs!$G$5:$G$170="moeda")+(Inputs!$G$5:$G$170="acoes"))*Inputs!$B$1+((Inputs!$G$5:$G$170&lt;&gt;"moeda")*(Inputs!$G$5:$G$170&lt;&gt;"acoes")))*INDEX(Inputs!$K$5:$AJ$170,0,MATCH(AA$2,Inputs!$K$4:$AJ$4,0)))+SUMPRODUCT((Inputs!$E$5:$E$170=$B21)*Inputs!$F$5:$F$170*(((Inputs!$G$5:$G$170="moeda")+(Inputs!$G$5:$G$170="acoes"))*Inputs!$B$1+((Inputs!$G$5:$G$170&lt;&gt;"moeda")*(Inputs!$G$5:$G$170&lt;&gt;"acoes")))*INDEX(Inputs!$K$5:$AJ$170,0,MATCH(AA$2,Inputs!$K$4:$AJ$4,0)))))</f>
        <v>19.697</v>
      </c>
      <c r="AB21" s="3">
        <f>AA21</f>
        <v>19.697</v>
      </c>
      <c r="AC21" s="6">
        <f>IF(ISNA(MATCH(AC$2,Inputs!$K$4:$AJ$4,0)),NA(),IF(SUMPRODUCT((Inputs!$A$5:$A$170=$B21)*ISNUMBER(INDEX(Inputs!$K$5:$AJ$170,0,MATCH(AC$2,Inputs!$K$4:$AJ$4,0))))+SUMPRODUCT((Inputs!$C$5:$C$170=$B21)*ISNUMBER(INDEX(Inputs!$K$5:$AJ$170,0,MATCH(AC$2,Inputs!$K$4:$AJ$4,0))))+SUMPRODUCT((Inputs!$E$5:$E$170=$B21)*ISNUMBER(INDEX(Inputs!$K$5:$AJ$170,0,MATCH(AC$2,Inputs!$K$4:$AJ$4,0))))=0,NA(),SUMPRODUCT((Inputs!$A$5:$A$170=$B21)*Inputs!$B$5:$B$170*(((Inputs!$G$5:$G$170="moeda")+(Inputs!$G$5:$G$170="acoes"))*Inputs!$B$1+((Inputs!$G$5:$G$170&lt;&gt;"moeda")*(Inputs!$G$5:$G$170&lt;&gt;"acoes")))*INDEX(Inputs!$K$5:$AJ$170,0,MATCH(AC$2,Inputs!$K$4:$AJ$4,0)))+SUMPRODUCT((Inputs!$C$5:$C$170=$B21)*Inputs!$D$5:$D$170*(((Inputs!$G$5:$G$170="moeda")+(Inputs!$G$5:$G$170="acoes"))*Inputs!$B$1+((Inputs!$G$5:$G$170&lt;&gt;"moeda")*(Inputs!$G$5:$G$170&lt;&gt;"acoes")))*INDEX(Inputs!$K$5:$AJ$170,0,MATCH(AC$2,Inputs!$K$4:$AJ$4,0)))+SUMPRODUCT((Inputs!$E$5:$E$170=$B21)*Inputs!$F$5:$F$170*(((Inputs!$G$5:$G$170="moeda")+(Inputs!$G$5:$G$170="acoes"))*Inputs!$B$1+((Inputs!$G$5:$G$170&lt;&gt;"moeda")*(Inputs!$G$5:$G$170&lt;&gt;"acoes")))*INDEX(Inputs!$K$5:$AJ$170,0,MATCH(AC$2,Inputs!$K$4:$AJ$4,0)))))</f>
        <v>20.087</v>
      </c>
      <c r="AD21" s="6">
        <f>IF(ISNA(MATCH(AD$2,Inputs!$K$4:$AJ$4,0)),NA(),IF(SUMPRODUCT((Inputs!$A$5:$A$170=$B21)*ISNUMBER(INDEX(Inputs!$K$5:$AJ$170,0,MATCH(AD$2,Inputs!$K$4:$AJ$4,0))))+SUMPRODUCT((Inputs!$C$5:$C$170=$B21)*ISNUMBER(INDEX(Inputs!$K$5:$AJ$170,0,MATCH(AD$2,Inputs!$K$4:$AJ$4,0))))+SUMPRODUCT((Inputs!$E$5:$E$170=$B21)*ISNUMBER(INDEX(Inputs!$K$5:$AJ$170,0,MATCH(AD$2,Inputs!$K$4:$AJ$4,0))))=0,NA(),SUMPRODUCT((Inputs!$A$5:$A$170=$B21)*Inputs!$B$5:$B$170*(((Inputs!$G$5:$G$170="moeda")+(Inputs!$G$5:$G$170="acoes"))*Inputs!$B$1+((Inputs!$G$5:$G$170&lt;&gt;"moeda")*(Inputs!$G$5:$G$170&lt;&gt;"acoes")))*INDEX(Inputs!$K$5:$AJ$170,0,MATCH(AD$2,Inputs!$K$4:$AJ$4,0)))+SUMPRODUCT((Inputs!$C$5:$C$170=$B21)*Inputs!$D$5:$D$170*(((Inputs!$G$5:$G$170="moeda")+(Inputs!$G$5:$G$170="acoes"))*Inputs!$B$1+((Inputs!$G$5:$G$170&lt;&gt;"moeda")*(Inputs!$G$5:$G$170&lt;&gt;"acoes")))*INDEX(Inputs!$K$5:$AJ$170,0,MATCH(AD$2,Inputs!$K$4:$AJ$4,0)))+SUMPRODUCT((Inputs!$E$5:$E$170=$B21)*Inputs!$F$5:$F$170*(((Inputs!$G$5:$G$170="moeda")+(Inputs!$G$5:$G$170="acoes"))*Inputs!$B$1+((Inputs!$G$5:$G$170&lt;&gt;"moeda")*(Inputs!$G$5:$G$170&lt;&gt;"acoes")))*INDEX(Inputs!$K$5:$AJ$170,0,MATCH(AD$2,Inputs!$K$4:$AJ$4,0)))))</f>
        <v>38.7</v>
      </c>
      <c r="AE21" s="6" t="e">
        <f>IF(ISNA(MATCH(AE$2,Inputs!$K$4:$AJ$4,0)),NA(),IF(SUMPRODUCT((Inputs!$A$5:$A$170=$B21)*ISNUMBER(INDEX(Inputs!$K$5:$AJ$170,0,MATCH(AE$2,Inputs!$K$4:$AJ$4,0))))+SUMPRODUCT((Inputs!$C$5:$C$170=$B21)*ISNUMBER(INDEX(Inputs!$K$5:$AJ$170,0,MATCH(AE$2,Inputs!$K$4:$AJ$4,0))))+SUMPRODUCT((Inputs!$E$5:$E$170=$B21)*ISNUMBER(INDEX(Inputs!$K$5:$AJ$170,0,MATCH(AE$2,Inputs!$K$4:$AJ$4,0))))=0,NA(),SUMPRODUCT((Inputs!$A$5:$A$170=$B21)*Inputs!$B$5:$B$170*(((Inputs!$G$5:$G$170="moeda")+(Inputs!$G$5:$G$170="acoes"))*Inputs!$B$1+((Inputs!$G$5:$G$170&lt;&gt;"moeda")*(Inputs!$G$5:$G$170&lt;&gt;"acoes")))*INDEX(Inputs!$K$5:$AJ$170,0,MATCH(AE$2,Inputs!$K$4:$AJ$4,0)))+SUMPRODUCT((Inputs!$C$5:$C$170=$B21)*Inputs!$D$5:$D$170*(((Inputs!$G$5:$G$170="moeda")+(Inputs!$G$5:$G$170="acoes"))*Inputs!$B$1+((Inputs!$G$5:$G$170&lt;&gt;"moeda")*(Inputs!$G$5:$G$170&lt;&gt;"acoes")))*INDEX(Inputs!$K$5:$AJ$170,0,MATCH(AE$2,Inputs!$K$4:$AJ$4,0)))+SUMPRODUCT((Inputs!$E$5:$E$170=$B21)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1" s="6" t="e">
        <f>IF(ISNA(MATCH(AF$2,Inputs!$K$4:$AJ$4,0)),NA(),IF(SUMPRODUCT((Inputs!$A$5:$A$170=$B21)*ISNUMBER(INDEX(Inputs!$K$5:$AJ$170,0,MATCH(AF$2,Inputs!$K$4:$AJ$4,0))))+SUMPRODUCT((Inputs!$C$5:$C$170=$B21)*ISNUMBER(INDEX(Inputs!$K$5:$AJ$170,0,MATCH(AF$2,Inputs!$K$4:$AJ$4,0))))+SUMPRODUCT((Inputs!$E$5:$E$170=$B21)*ISNUMBER(INDEX(Inputs!$K$5:$AJ$170,0,MATCH(AF$2,Inputs!$K$4:$AJ$4,0))))=0,NA(),SUMPRODUCT((Inputs!$A$5:$A$170=$B21)*Inputs!$B$5:$B$170*(((Inputs!$G$5:$G$170="moeda")+(Inputs!$G$5:$G$170="acoes"))*Inputs!$B$1+((Inputs!$G$5:$G$170&lt;&gt;"moeda")*(Inputs!$G$5:$G$170&lt;&gt;"acoes")))*INDEX(Inputs!$K$5:$AJ$170,0,MATCH(AF$2,Inputs!$K$4:$AJ$4,0)))+SUMPRODUCT((Inputs!$C$5:$C$170=$B21)*Inputs!$D$5:$D$170*(((Inputs!$G$5:$G$170="moeda")+(Inputs!$G$5:$G$170="acoes"))*Inputs!$B$1+((Inputs!$G$5:$G$170&lt;&gt;"moeda")*(Inputs!$G$5:$G$170&lt;&gt;"acoes")))*INDEX(Inputs!$K$5:$AJ$170,0,MATCH(AF$2,Inputs!$K$4:$AJ$4,0)))+SUMPRODUCT((Inputs!$E$5:$E$170=$B21)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1" s="3" t="e">
        <f>AF21</f>
        <v>#N/A</v>
      </c>
      <c r="AH21" s="6">
        <f>IF(ISNA(MATCH(AH$2,Inputs!$K$4:$AJ$4,0)),NA(),IF(SUMPRODUCT((Inputs!$A$5:$A$170=$B21)*ISNUMBER(INDEX(Inputs!$K$5:$AJ$170,0,MATCH(AH$2,Inputs!$K$4:$AJ$4,0))))+SUMPRODUCT((Inputs!$C$5:$C$170=$B21)*ISNUMBER(INDEX(Inputs!$K$5:$AJ$170,0,MATCH(AH$2,Inputs!$K$4:$AJ$4,0))))+SUMPRODUCT((Inputs!$E$5:$E$170=$B21)*ISNUMBER(INDEX(Inputs!$K$5:$AJ$170,0,MATCH(AH$2,Inputs!$K$4:$AJ$4,0))))=0,NA(),SUMPRODUCT((Inputs!$A$5:$A$170=$B21)*Inputs!$B$5:$B$170*(((Inputs!$G$5:$G$170="moeda")+(Inputs!$G$5:$G$170="acoes"))*Inputs!$B$1+((Inputs!$G$5:$G$170&lt;&gt;"moeda")*(Inputs!$G$5:$G$170&lt;&gt;"acoes")))*INDEX(Inputs!$K$5:$AJ$170,0,MATCH(AH$2,Inputs!$K$4:$AJ$4,0)))+SUMPRODUCT((Inputs!$C$5:$C$170=$B21)*Inputs!$D$5:$D$170*(((Inputs!$G$5:$G$170="moeda")+(Inputs!$G$5:$G$170="acoes"))*Inputs!$B$1+((Inputs!$G$5:$G$170&lt;&gt;"moeda")*(Inputs!$G$5:$G$170&lt;&gt;"acoes")))*INDEX(Inputs!$K$5:$AJ$170,0,MATCH(AH$2,Inputs!$K$4:$AJ$4,0)))+SUMPRODUCT((Inputs!$E$5:$E$170=$B21)*Inputs!$F$5:$F$170*(((Inputs!$G$5:$G$170="moeda")+(Inputs!$G$5:$G$170="acoes"))*Inputs!$B$1+((Inputs!$G$5:$G$170&lt;&gt;"moeda")*(Inputs!$G$5:$G$170&lt;&gt;"acoes")))*INDEX(Inputs!$K$5:$AJ$170,0,MATCH(AH$2,Inputs!$K$4:$AJ$4,0)))))</f>
        <v>1.118</v>
      </c>
      <c r="AI21" s="6">
        <f>IF(ISNA(MATCH(AI$2,Inputs!$K$4:$AJ$4,0)),NA(),IF(SUMPRODUCT((Inputs!$A$5:$A$170=$B21)*ISNUMBER(INDEX(Inputs!$K$5:$AJ$170,0,MATCH(AI$2,Inputs!$K$4:$AJ$4,0))))+SUMPRODUCT((Inputs!$C$5:$C$170=$B21)*ISNUMBER(INDEX(Inputs!$K$5:$AJ$170,0,MATCH(AI$2,Inputs!$K$4:$AJ$4,0))))+SUMPRODUCT((Inputs!$E$5:$E$170=$B21)*ISNUMBER(INDEX(Inputs!$K$5:$AJ$170,0,MATCH(AI$2,Inputs!$K$4:$AJ$4,0))))=0,NA(),SUMPRODUCT((Inputs!$A$5:$A$170=$B21)*Inputs!$B$5:$B$170*(((Inputs!$G$5:$G$170="moeda")+(Inputs!$G$5:$G$170="acoes"))*Inputs!$B$1+((Inputs!$G$5:$G$170&lt;&gt;"moeda")*(Inputs!$G$5:$G$170&lt;&gt;"acoes")))*INDEX(Inputs!$K$5:$AJ$170,0,MATCH(AI$2,Inputs!$K$4:$AJ$4,0)))+SUMPRODUCT((Inputs!$C$5:$C$170=$B21)*Inputs!$D$5:$D$170*(((Inputs!$G$5:$G$170="moeda")+(Inputs!$G$5:$G$170="acoes"))*Inputs!$B$1+((Inputs!$G$5:$G$170&lt;&gt;"moeda")*(Inputs!$G$5:$G$170&lt;&gt;"acoes")))*INDEX(Inputs!$K$5:$AJ$170,0,MATCH(AI$2,Inputs!$K$4:$AJ$4,0)))+SUMPRODUCT((Inputs!$E$5:$E$170=$B21)*Inputs!$F$5:$F$170*(((Inputs!$G$5:$G$170="moeda")+(Inputs!$G$5:$G$170="acoes"))*Inputs!$B$1+((Inputs!$G$5:$G$170&lt;&gt;"moeda")*(Inputs!$G$5:$G$170&lt;&gt;"acoes")))*INDEX(Inputs!$K$5:$AJ$170,0,MATCH(AI$2,Inputs!$K$4:$AJ$4,0)))))</f>
        <v>1.127</v>
      </c>
      <c r="AJ21" s="6">
        <f>IF(ISNA(MATCH(AJ$2,Inputs!$K$4:$AJ$4,0)),NA(),IF(SUMPRODUCT((Inputs!$A$5:$A$170=$B21)*ISNUMBER(INDEX(Inputs!$K$5:$AJ$170,0,MATCH(AJ$2,Inputs!$K$4:$AJ$4,0))))+SUMPRODUCT((Inputs!$C$5:$C$170=$B21)*ISNUMBER(INDEX(Inputs!$K$5:$AJ$170,0,MATCH(AJ$2,Inputs!$K$4:$AJ$4,0))))+SUMPRODUCT((Inputs!$E$5:$E$170=$B21)*ISNUMBER(INDEX(Inputs!$K$5:$AJ$170,0,MATCH(AJ$2,Inputs!$K$4:$AJ$4,0))))=0,NA(),SUMPRODUCT((Inputs!$A$5:$A$170=$B21)*Inputs!$B$5:$B$170*(((Inputs!$G$5:$G$170="moeda")+(Inputs!$G$5:$G$170="acoes"))*Inputs!$B$1+((Inputs!$G$5:$G$170&lt;&gt;"moeda")*(Inputs!$G$5:$G$170&lt;&gt;"acoes")))*INDEX(Inputs!$K$5:$AJ$170,0,MATCH(AJ$2,Inputs!$K$4:$AJ$4,0)))+SUMPRODUCT((Inputs!$C$5:$C$170=$B21)*Inputs!$D$5:$D$170*(((Inputs!$G$5:$G$170="moeda")+(Inputs!$G$5:$G$170="acoes"))*Inputs!$B$1+((Inputs!$G$5:$G$170&lt;&gt;"moeda")*(Inputs!$G$5:$G$170&lt;&gt;"acoes")))*INDEX(Inputs!$K$5:$AJ$170,0,MATCH(AJ$2,Inputs!$K$4:$AJ$4,0)))+SUMPRODUCT((Inputs!$E$5:$E$170=$B21)*Inputs!$F$5:$F$170*(((Inputs!$G$5:$G$170="moeda")+(Inputs!$G$5:$G$170="acoes"))*Inputs!$B$1+((Inputs!$G$5:$G$170&lt;&gt;"moeda")*(Inputs!$G$5:$G$170&lt;&gt;"acoes")))*INDEX(Inputs!$K$5:$AJ$170,0,MATCH(AJ$2,Inputs!$K$4:$AJ$4,0)))))</f>
        <v>1.233</v>
      </c>
      <c r="AK21" s="6">
        <f>IF(ISNA(MATCH(AK$2,Inputs!$K$4:$AJ$4,0)),NA(),IF(SUMPRODUCT((Inputs!$A$5:$A$170=$B21)*ISNUMBER(INDEX(Inputs!$K$5:$AJ$170,0,MATCH(AK$2,Inputs!$K$4:$AJ$4,0))))+SUMPRODUCT((Inputs!$C$5:$C$170=$B21)*ISNUMBER(INDEX(Inputs!$K$5:$AJ$170,0,MATCH(AK$2,Inputs!$K$4:$AJ$4,0))))+SUMPRODUCT((Inputs!$E$5:$E$170=$B21)*ISNUMBER(INDEX(Inputs!$K$5:$AJ$170,0,MATCH(AK$2,Inputs!$K$4:$AJ$4,0))))=0,NA(),SUMPRODUCT((Inputs!$A$5:$A$170=$B21)*Inputs!$B$5:$B$170*(((Inputs!$G$5:$G$170="moeda")+(Inputs!$G$5:$G$170="acoes"))*Inputs!$B$1+((Inputs!$G$5:$G$170&lt;&gt;"moeda")*(Inputs!$G$5:$G$170&lt;&gt;"acoes")))*INDEX(Inputs!$K$5:$AJ$170,0,MATCH(AK$2,Inputs!$K$4:$AJ$4,0)))+SUMPRODUCT((Inputs!$C$5:$C$170=$B21)*Inputs!$D$5:$D$170*(((Inputs!$G$5:$G$170="moeda")+(Inputs!$G$5:$G$170="acoes"))*Inputs!$B$1+((Inputs!$G$5:$G$170&lt;&gt;"moeda")*(Inputs!$G$5:$G$170&lt;&gt;"acoes")))*INDEX(Inputs!$K$5:$AJ$170,0,MATCH(AK$2,Inputs!$K$4:$AJ$4,0)))+SUMPRODUCT((Inputs!$E$5:$E$170=$B21)*Inputs!$F$5:$F$170*(((Inputs!$G$5:$G$170="moeda")+(Inputs!$G$5:$G$170="acoes"))*Inputs!$B$1+((Inputs!$G$5:$G$170&lt;&gt;"moeda")*(Inputs!$G$5:$G$170&lt;&gt;"acoes")))*INDEX(Inputs!$K$5:$AJ$170,0,MATCH(AK$2,Inputs!$K$4:$AJ$4,0)))))</f>
        <v>1.239</v>
      </c>
      <c r="AL21" s="3">
        <f>AK21</f>
        <v>1.239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$170=$B22)*ISNUMBER(INDEX(Inputs!$K$5:$AJ$170,0,MATCH(D$2,Inputs!$K$4:$AJ$4,0))))+SUMPRODUCT((Inputs!$C$5:$C$170=$B22)*ISNUMBER(INDEX(Inputs!$K$5:$AJ$170,0,MATCH(D$2,Inputs!$K$4:$AJ$4,0))))+SUMPRODUCT((Inputs!$E$5:$E$170=$B22)*ISNUMBER(INDEX(Inputs!$K$5:$AJ$170,0,MATCH(D$2,Inputs!$K$4:$AJ$4,0))))=0,NA(),SUMPRODUCT((Inputs!$A$5:$A$170=$B22)*Inputs!$B$5:$B$170*(((Inputs!$G$5:$G$170="moeda")+(Inputs!$G$5:$G$170="acoes"))*Inputs!$B$1+((Inputs!$G$5:$G$170&lt;&gt;"moeda")*(Inputs!$G$5:$G$170&lt;&gt;"acoes")))*INDEX(Inputs!$K$5:$AJ$170,0,MATCH(D$2,Inputs!$K$4:$AJ$4,0)))+SUMPRODUCT((Inputs!$C$5:$C$170=$B22)*Inputs!$D$5:$D$170*(((Inputs!$G$5:$G$170="moeda")+(Inputs!$G$5:$G$170="acoes"))*Inputs!$B$1+((Inputs!$G$5:$G$170&lt;&gt;"moeda")*(Inputs!$G$5:$G$170&lt;&gt;"acoes")))*INDEX(Inputs!$K$5:$AJ$170,0,MATCH(D$2,Inputs!$K$4:$AJ$4,0)))+SUMPRODUCT((Inputs!$E$5:$E$170=$B22)*Inputs!$F$5:$F$170*(((Inputs!$G$5:$G$170="moeda")+(Inputs!$G$5:$G$170="acoes"))*Inputs!$B$1+((Inputs!$G$5:$G$170&lt;&gt;"moeda")*(Inputs!$G$5:$G$170&lt;&gt;"acoes")))*INDEX(Inputs!$K$5:$AJ$170,0,MATCH(D$2,Inputs!$K$4:$AJ$4,0)))))</f>
        <v>6358.238</v>
      </c>
      <c r="E22" s="6">
        <f>IF(ISNA(MATCH(E$2,Inputs!$K$4:$AJ$4,0)),NA(),IF(SUMPRODUCT((Inputs!$A$5:$A$170=$B22)*ISNUMBER(INDEX(Inputs!$K$5:$AJ$170,0,MATCH(E$2,Inputs!$K$4:$AJ$4,0))))+SUMPRODUCT((Inputs!$C$5:$C$170=$B22)*ISNUMBER(INDEX(Inputs!$K$5:$AJ$170,0,MATCH(E$2,Inputs!$K$4:$AJ$4,0))))+SUMPRODUCT((Inputs!$E$5:$E$170=$B22)*ISNUMBER(INDEX(Inputs!$K$5:$AJ$170,0,MATCH(E$2,Inputs!$K$4:$AJ$4,0))))=0,NA(),SUMPRODUCT((Inputs!$A$5:$A$170=$B22)*Inputs!$B$5:$B$170*(((Inputs!$G$5:$G$170="moeda")+(Inputs!$G$5:$G$170="acoes"))*Inputs!$B$1+((Inputs!$G$5:$G$170&lt;&gt;"moeda")*(Inputs!$G$5:$G$170&lt;&gt;"acoes")))*INDEX(Inputs!$K$5:$AJ$170,0,MATCH(E$2,Inputs!$K$4:$AJ$4,0)))+SUMPRODUCT((Inputs!$C$5:$C$170=$B22)*Inputs!$D$5:$D$170*(((Inputs!$G$5:$G$170="moeda")+(Inputs!$G$5:$G$170="acoes"))*Inputs!$B$1+((Inputs!$G$5:$G$170&lt;&gt;"moeda")*(Inputs!$G$5:$G$170&lt;&gt;"acoes")))*INDEX(Inputs!$K$5:$AJ$170,0,MATCH(E$2,Inputs!$K$4:$AJ$4,0)))+SUMPRODUCT((Inputs!$E$5:$E$170=$B22)*Inputs!$F$5:$F$170*(((Inputs!$G$5:$G$170="moeda")+(Inputs!$G$5:$G$170="acoes"))*Inputs!$B$1+((Inputs!$G$5:$G$170&lt;&gt;"moeda")*(Inputs!$G$5:$G$170&lt;&gt;"acoes")))*INDEX(Inputs!$K$5:$AJ$170,0,MATCH(E$2,Inputs!$K$4:$AJ$4,0)))))</f>
        <v>7287.437</v>
      </c>
      <c r="F22" s="6">
        <f>IF(ISNA(MATCH(F$2,Inputs!$K$4:$AJ$4,0)),NA(),IF(SUMPRODUCT((Inputs!$A$5:$A$170=$B22)*ISNUMBER(INDEX(Inputs!$K$5:$AJ$170,0,MATCH(F$2,Inputs!$K$4:$AJ$4,0))))+SUMPRODUCT((Inputs!$C$5:$C$170=$B22)*ISNUMBER(INDEX(Inputs!$K$5:$AJ$170,0,MATCH(F$2,Inputs!$K$4:$AJ$4,0))))+SUMPRODUCT((Inputs!$E$5:$E$170=$B22)*ISNUMBER(INDEX(Inputs!$K$5:$AJ$170,0,MATCH(F$2,Inputs!$K$4:$AJ$4,0))))=0,NA(),SUMPRODUCT((Inputs!$A$5:$A$170=$B22)*Inputs!$B$5:$B$170*(((Inputs!$G$5:$G$170="moeda")+(Inputs!$G$5:$G$170="acoes"))*Inputs!$B$1+((Inputs!$G$5:$G$170&lt;&gt;"moeda")*(Inputs!$G$5:$G$170&lt;&gt;"acoes")))*INDEX(Inputs!$K$5:$AJ$170,0,MATCH(F$2,Inputs!$K$4:$AJ$4,0)))+SUMPRODUCT((Inputs!$C$5:$C$170=$B22)*Inputs!$D$5:$D$170*(((Inputs!$G$5:$G$170="moeda")+(Inputs!$G$5:$G$170="acoes"))*Inputs!$B$1+((Inputs!$G$5:$G$170&lt;&gt;"moeda")*(Inputs!$G$5:$G$170&lt;&gt;"acoes")))*INDEX(Inputs!$K$5:$AJ$170,0,MATCH(F$2,Inputs!$K$4:$AJ$4,0)))+SUMPRODUCT((Inputs!$E$5:$E$170=$B22)*Inputs!$F$5:$F$170*(((Inputs!$G$5:$G$170="moeda")+(Inputs!$G$5:$G$170="acoes"))*Inputs!$B$1+((Inputs!$G$5:$G$170&lt;&gt;"moeda")*(Inputs!$G$5:$G$170&lt;&gt;"acoes")))*INDEX(Inputs!$K$5:$AJ$170,0,MATCH(F$2,Inputs!$K$4:$AJ$4,0)))))</f>
        <v>9856.908</v>
      </c>
      <c r="G22" s="6">
        <f>IF(ISNA(MATCH(G$2,Inputs!$K$4:$AJ$4,0)),NA(),IF(SUMPRODUCT((Inputs!$A$5:$A$170=$B22)*ISNUMBER(INDEX(Inputs!$K$5:$AJ$170,0,MATCH(G$2,Inputs!$K$4:$AJ$4,0))))+SUMPRODUCT((Inputs!$C$5:$C$170=$B22)*ISNUMBER(INDEX(Inputs!$K$5:$AJ$170,0,MATCH(G$2,Inputs!$K$4:$AJ$4,0))))+SUMPRODUCT((Inputs!$E$5:$E$170=$B22)*ISNUMBER(INDEX(Inputs!$K$5:$AJ$170,0,MATCH(G$2,Inputs!$K$4:$AJ$4,0))))=0,NA(),SUMPRODUCT((Inputs!$A$5:$A$170=$B22)*Inputs!$B$5:$B$170*(((Inputs!$G$5:$G$170="moeda")+(Inputs!$G$5:$G$170="acoes"))*Inputs!$B$1+((Inputs!$G$5:$G$170&lt;&gt;"moeda")*(Inputs!$G$5:$G$170&lt;&gt;"acoes")))*INDEX(Inputs!$K$5:$AJ$170,0,MATCH(G$2,Inputs!$K$4:$AJ$4,0)))+SUMPRODUCT((Inputs!$C$5:$C$170=$B22)*Inputs!$D$5:$D$170*(((Inputs!$G$5:$G$170="moeda")+(Inputs!$G$5:$G$170="acoes"))*Inputs!$B$1+((Inputs!$G$5:$G$170&lt;&gt;"moeda")*(Inputs!$G$5:$G$170&lt;&gt;"acoes")))*INDEX(Inputs!$K$5:$AJ$170,0,MATCH(G$2,Inputs!$K$4:$AJ$4,0)))+SUMPRODUCT((Inputs!$E$5:$E$170=$B22)*Inputs!$F$5:$F$170*(((Inputs!$G$5:$G$170="moeda")+(Inputs!$G$5:$G$170="acoes"))*Inputs!$B$1+((Inputs!$G$5:$G$170&lt;&gt;"moeda")*(Inputs!$G$5:$G$170&lt;&gt;"acoes")))*INDEX(Inputs!$K$5:$AJ$170,0,MATCH(G$2,Inputs!$K$4:$AJ$4,0)))))</f>
        <v>12140.029</v>
      </c>
      <c r="H22" s="3">
        <f>G22</f>
        <v>12140.029</v>
      </c>
      <c r="I22" s="6">
        <f>IF(ISNA(MATCH(I$2,Inputs!$K$4:$AJ$4,0)),NA(),IF(SUMPRODUCT((Inputs!$A$5:$A$170=$B22)*ISNUMBER(INDEX(Inputs!$K$5:$AJ$170,0,MATCH(I$2,Inputs!$K$4:$AJ$4,0))))+SUMPRODUCT((Inputs!$C$5:$C$170=$B22)*ISNUMBER(INDEX(Inputs!$K$5:$AJ$170,0,MATCH(I$2,Inputs!$K$4:$AJ$4,0))))+SUMPRODUCT((Inputs!$E$5:$E$170=$B22)*ISNUMBER(INDEX(Inputs!$K$5:$AJ$170,0,MATCH(I$2,Inputs!$K$4:$AJ$4,0))))=0,NA(),SUMPRODUCT((Inputs!$A$5:$A$170=$B22)*Inputs!$B$5:$B$170*(((Inputs!$G$5:$G$170="moeda")+(Inputs!$G$5:$G$170="acoes"))*Inputs!$B$1+((Inputs!$G$5:$G$170&lt;&gt;"moeda")*(Inputs!$G$5:$G$170&lt;&gt;"acoes")))*INDEX(Inputs!$K$5:$AJ$170,0,MATCH(I$2,Inputs!$K$4:$AJ$4,0)))+SUMPRODUCT((Inputs!$C$5:$C$170=$B22)*Inputs!$D$5:$D$170*(((Inputs!$G$5:$G$170="moeda")+(Inputs!$G$5:$G$170="acoes"))*Inputs!$B$1+((Inputs!$G$5:$G$170&lt;&gt;"moeda")*(Inputs!$G$5:$G$170&lt;&gt;"acoes")))*INDEX(Inputs!$K$5:$AJ$170,0,MATCH(I$2,Inputs!$K$4:$AJ$4,0)))+SUMPRODUCT((Inputs!$E$5:$E$170=$B22)*Inputs!$F$5:$F$170*(((Inputs!$G$5:$G$170="moeda")+(Inputs!$G$5:$G$170="acoes"))*Inputs!$B$1+((Inputs!$G$5:$G$170&lt;&gt;"moeda")*(Inputs!$G$5:$G$170&lt;&gt;"acoes")))*INDEX(Inputs!$K$5:$AJ$170,0,MATCH(I$2,Inputs!$K$4:$AJ$4,0)))))</f>
        <v>12833.83</v>
      </c>
      <c r="J22" s="6">
        <f>IF(ISNA(MATCH(J$2,Inputs!$K$4:$AJ$4,0)),NA(),IF(SUMPRODUCT((Inputs!$A$5:$A$170=$B22)*ISNUMBER(INDEX(Inputs!$K$5:$AJ$170,0,MATCH(J$2,Inputs!$K$4:$AJ$4,0))))+SUMPRODUCT((Inputs!$C$5:$C$170=$B22)*ISNUMBER(INDEX(Inputs!$K$5:$AJ$170,0,MATCH(J$2,Inputs!$K$4:$AJ$4,0))))+SUMPRODUCT((Inputs!$E$5:$E$170=$B22)*ISNUMBER(INDEX(Inputs!$K$5:$AJ$170,0,MATCH(J$2,Inputs!$K$4:$AJ$4,0))))=0,NA(),SUMPRODUCT((Inputs!$A$5:$A$170=$B22)*Inputs!$B$5:$B$170*(((Inputs!$G$5:$G$170="moeda")+(Inputs!$G$5:$G$170="acoes"))*Inputs!$B$1+((Inputs!$G$5:$G$170&lt;&gt;"moeda")*(Inputs!$G$5:$G$170&lt;&gt;"acoes")))*INDEX(Inputs!$K$5:$AJ$170,0,MATCH(J$2,Inputs!$K$4:$AJ$4,0)))+SUMPRODUCT((Inputs!$C$5:$C$170=$B22)*Inputs!$D$5:$D$170*(((Inputs!$G$5:$G$170="moeda")+(Inputs!$G$5:$G$170="acoes"))*Inputs!$B$1+((Inputs!$G$5:$G$170&lt;&gt;"moeda")*(Inputs!$G$5:$G$170&lt;&gt;"acoes")))*INDEX(Inputs!$K$5:$AJ$170,0,MATCH(J$2,Inputs!$K$4:$AJ$4,0)))+SUMPRODUCT((Inputs!$E$5:$E$170=$B22)*Inputs!$F$5:$F$170*(((Inputs!$G$5:$G$170="moeda")+(Inputs!$G$5:$G$170="acoes"))*Inputs!$B$1+((Inputs!$G$5:$G$170&lt;&gt;"moeda")*(Inputs!$G$5:$G$170&lt;&gt;"acoes")))*INDEX(Inputs!$K$5:$AJ$170,0,MATCH(J$2,Inputs!$K$4:$AJ$4,0)))))</f>
        <v>14798.069</v>
      </c>
      <c r="K22" s="6">
        <f>IF(ISNA(MATCH(K$2,Inputs!$K$4:$AJ$4,0)),NA(),IF(SUMPRODUCT((Inputs!$A$5:$A$170=$B22)*ISNUMBER(INDEX(Inputs!$K$5:$AJ$170,0,MATCH(K$2,Inputs!$K$4:$AJ$4,0))))+SUMPRODUCT((Inputs!$C$5:$C$170=$B22)*ISNUMBER(INDEX(Inputs!$K$5:$AJ$170,0,MATCH(K$2,Inputs!$K$4:$AJ$4,0))))+SUMPRODUCT((Inputs!$E$5:$E$170=$B22)*ISNUMBER(INDEX(Inputs!$K$5:$AJ$170,0,MATCH(K$2,Inputs!$K$4:$AJ$4,0))))=0,NA(),SUMPRODUCT((Inputs!$A$5:$A$170=$B22)*Inputs!$B$5:$B$170*(((Inputs!$G$5:$G$170="moeda")+(Inputs!$G$5:$G$170="acoes"))*Inputs!$B$1+((Inputs!$G$5:$G$170&lt;&gt;"moeda")*(Inputs!$G$5:$G$170&lt;&gt;"acoes")))*INDEX(Inputs!$K$5:$AJ$170,0,MATCH(K$2,Inputs!$K$4:$AJ$4,0)))+SUMPRODUCT((Inputs!$C$5:$C$170=$B22)*Inputs!$D$5:$D$170*(((Inputs!$G$5:$G$170="moeda")+(Inputs!$G$5:$G$170="acoes"))*Inputs!$B$1+((Inputs!$G$5:$G$170&lt;&gt;"moeda")*(Inputs!$G$5:$G$170&lt;&gt;"acoes")))*INDEX(Inputs!$K$5:$AJ$170,0,MATCH(K$2,Inputs!$K$4:$AJ$4,0)))+SUMPRODUCT((Inputs!$E$5:$E$170=$B22)*Inputs!$F$5:$F$170*(((Inputs!$G$5:$G$170="moeda")+(Inputs!$G$5:$G$170="acoes"))*Inputs!$B$1+((Inputs!$G$5:$G$170&lt;&gt;"moeda")*(Inputs!$G$5:$G$170&lt;&gt;"acoes")))*INDEX(Inputs!$K$5:$AJ$170,0,MATCH(K$2,Inputs!$K$4:$AJ$4,0)))))</f>
        <v>15290.954</v>
      </c>
      <c r="L22" s="6">
        <f>IF(ISNA(MATCH(L$2,Inputs!$K$4:$AJ$4,0)),NA(),IF(SUMPRODUCT((Inputs!$A$5:$A$170=$B22)*ISNUMBER(INDEX(Inputs!$K$5:$AJ$170,0,MATCH(L$2,Inputs!$K$4:$AJ$4,0))))+SUMPRODUCT((Inputs!$C$5:$C$170=$B22)*ISNUMBER(INDEX(Inputs!$K$5:$AJ$170,0,MATCH(L$2,Inputs!$K$4:$AJ$4,0))))+SUMPRODUCT((Inputs!$E$5:$E$170=$B22)*ISNUMBER(INDEX(Inputs!$K$5:$AJ$170,0,MATCH(L$2,Inputs!$K$4:$AJ$4,0))))=0,NA(),SUMPRODUCT((Inputs!$A$5:$A$170=$B22)*Inputs!$B$5:$B$170*(((Inputs!$G$5:$G$170="moeda")+(Inputs!$G$5:$G$170="acoes"))*Inputs!$B$1+((Inputs!$G$5:$G$170&lt;&gt;"moeda")*(Inputs!$G$5:$G$170&lt;&gt;"acoes")))*INDEX(Inputs!$K$5:$AJ$170,0,MATCH(L$2,Inputs!$K$4:$AJ$4,0)))+SUMPRODUCT((Inputs!$C$5:$C$170=$B22)*Inputs!$D$5:$D$170*(((Inputs!$G$5:$G$170="moeda")+(Inputs!$G$5:$G$170="acoes"))*Inputs!$B$1+((Inputs!$G$5:$G$170&lt;&gt;"moeda")*(Inputs!$G$5:$G$170&lt;&gt;"acoes")))*INDEX(Inputs!$K$5:$AJ$170,0,MATCH(L$2,Inputs!$K$4:$AJ$4,0)))+SUMPRODUCT((Inputs!$E$5:$E$170=$B22)*Inputs!$F$5:$F$170*(((Inputs!$G$5:$G$170="moeda")+(Inputs!$G$5:$G$170="acoes"))*Inputs!$B$1+((Inputs!$G$5:$G$170&lt;&gt;"moeda")*(Inputs!$G$5:$G$170&lt;&gt;"acoes")))*INDEX(Inputs!$K$5:$AJ$170,0,MATCH(L$2,Inputs!$K$4:$AJ$4,0)))))</f>
        <v>15842.199</v>
      </c>
      <c r="M22" s="3">
        <f>L22</f>
        <v>15842.199</v>
      </c>
      <c r="N22" s="6">
        <f>IF(ISNA(MATCH(N$2,Inputs!$K$4:$AJ$4,0)),NA(),IF(SUMPRODUCT((Inputs!$A$5:$A$170=$B22)*ISNUMBER(INDEX(Inputs!$K$5:$AJ$170,0,MATCH(N$2,Inputs!$K$4:$AJ$4,0))))+SUMPRODUCT((Inputs!$C$5:$C$170=$B22)*ISNUMBER(INDEX(Inputs!$K$5:$AJ$170,0,MATCH(N$2,Inputs!$K$4:$AJ$4,0))))+SUMPRODUCT((Inputs!$E$5:$E$170=$B22)*ISNUMBER(INDEX(Inputs!$K$5:$AJ$170,0,MATCH(N$2,Inputs!$K$4:$AJ$4,0))))=0,NA(),SUMPRODUCT((Inputs!$A$5:$A$170=$B22)*Inputs!$B$5:$B$170*(((Inputs!$G$5:$G$170="moeda")+(Inputs!$G$5:$G$170="acoes"))*Inputs!$B$1+((Inputs!$G$5:$G$170&lt;&gt;"moeda")*(Inputs!$G$5:$G$170&lt;&gt;"acoes")))*INDEX(Inputs!$K$5:$AJ$170,0,MATCH(N$2,Inputs!$K$4:$AJ$4,0)))+SUMPRODUCT((Inputs!$C$5:$C$170=$B22)*Inputs!$D$5:$D$170*(((Inputs!$G$5:$G$170="moeda")+(Inputs!$G$5:$G$170="acoes"))*Inputs!$B$1+((Inputs!$G$5:$G$170&lt;&gt;"moeda")*(Inputs!$G$5:$G$170&lt;&gt;"acoes")))*INDEX(Inputs!$K$5:$AJ$170,0,MATCH(N$2,Inputs!$K$4:$AJ$4,0)))+SUMPRODUCT((Inputs!$E$5:$E$170=$B22)*Inputs!$F$5:$F$170*(((Inputs!$G$5:$G$170="moeda")+(Inputs!$G$5:$G$170="acoes"))*Inputs!$B$1+((Inputs!$G$5:$G$170&lt;&gt;"moeda")*(Inputs!$G$5:$G$170&lt;&gt;"acoes")))*INDEX(Inputs!$K$5:$AJ$170,0,MATCH(N$2,Inputs!$K$4:$AJ$4,0)))))</f>
        <v>15303.402</v>
      </c>
      <c r="O22" s="6">
        <f>IF(ISNA(MATCH(O$2,Inputs!$K$4:$AJ$4,0)),NA(),IF(SUMPRODUCT((Inputs!$A$5:$A$170=$B22)*ISNUMBER(INDEX(Inputs!$K$5:$AJ$170,0,MATCH(O$2,Inputs!$K$4:$AJ$4,0))))+SUMPRODUCT((Inputs!$C$5:$C$170=$B22)*ISNUMBER(INDEX(Inputs!$K$5:$AJ$170,0,MATCH(O$2,Inputs!$K$4:$AJ$4,0))))+SUMPRODUCT((Inputs!$E$5:$E$170=$B22)*ISNUMBER(INDEX(Inputs!$K$5:$AJ$170,0,MATCH(O$2,Inputs!$K$4:$AJ$4,0))))=0,NA(),SUMPRODUCT((Inputs!$A$5:$A$170=$B22)*Inputs!$B$5:$B$170*(((Inputs!$G$5:$G$170="moeda")+(Inputs!$G$5:$G$170="acoes"))*Inputs!$B$1+((Inputs!$G$5:$G$170&lt;&gt;"moeda")*(Inputs!$G$5:$G$170&lt;&gt;"acoes")))*INDEX(Inputs!$K$5:$AJ$170,0,MATCH(O$2,Inputs!$K$4:$AJ$4,0)))+SUMPRODUCT((Inputs!$C$5:$C$170=$B22)*Inputs!$D$5:$D$170*(((Inputs!$G$5:$G$170="moeda")+(Inputs!$G$5:$G$170="acoes"))*Inputs!$B$1+((Inputs!$G$5:$G$170&lt;&gt;"moeda")*(Inputs!$G$5:$G$170&lt;&gt;"acoes")))*INDEX(Inputs!$K$5:$AJ$170,0,MATCH(O$2,Inputs!$K$4:$AJ$4,0)))+SUMPRODUCT((Inputs!$E$5:$E$170=$B22)*Inputs!$F$5:$F$170*(((Inputs!$G$5:$G$170="moeda")+(Inputs!$G$5:$G$170="acoes"))*Inputs!$B$1+((Inputs!$G$5:$G$170&lt;&gt;"moeda")*(Inputs!$G$5:$G$170&lt;&gt;"acoes")))*INDEX(Inputs!$K$5:$AJ$170,0,MATCH(O$2,Inputs!$K$4:$AJ$4,0)))))</f>
        <v>15083.106</v>
      </c>
      <c r="P22" s="6">
        <f>IF(ISNA(MATCH(P$2,Inputs!$K$4:$AJ$4,0)),NA(),IF(SUMPRODUCT((Inputs!$A$5:$A$170=$B22)*ISNUMBER(INDEX(Inputs!$K$5:$AJ$170,0,MATCH(P$2,Inputs!$K$4:$AJ$4,0))))+SUMPRODUCT((Inputs!$C$5:$C$170=$B22)*ISNUMBER(INDEX(Inputs!$K$5:$AJ$170,0,MATCH(P$2,Inputs!$K$4:$AJ$4,0))))+SUMPRODUCT((Inputs!$E$5:$E$170=$B22)*ISNUMBER(INDEX(Inputs!$K$5:$AJ$170,0,MATCH(P$2,Inputs!$K$4:$AJ$4,0))))=0,NA(),SUMPRODUCT((Inputs!$A$5:$A$170=$B22)*Inputs!$B$5:$B$170*(((Inputs!$G$5:$G$170="moeda")+(Inputs!$G$5:$G$170="acoes"))*Inputs!$B$1+((Inputs!$G$5:$G$170&lt;&gt;"moeda")*(Inputs!$G$5:$G$170&lt;&gt;"acoes")))*INDEX(Inputs!$K$5:$AJ$170,0,MATCH(P$2,Inputs!$K$4:$AJ$4,0)))+SUMPRODUCT((Inputs!$C$5:$C$170=$B22)*Inputs!$D$5:$D$170*(((Inputs!$G$5:$G$170="moeda")+(Inputs!$G$5:$G$170="acoes"))*Inputs!$B$1+((Inputs!$G$5:$G$170&lt;&gt;"moeda")*(Inputs!$G$5:$G$170&lt;&gt;"acoes")))*INDEX(Inputs!$K$5:$AJ$170,0,MATCH(P$2,Inputs!$K$4:$AJ$4,0)))+SUMPRODUCT((Inputs!$E$5:$E$170=$B22)*Inputs!$F$5:$F$170*(((Inputs!$G$5:$G$170="moeda")+(Inputs!$G$5:$G$170="acoes"))*Inputs!$B$1+((Inputs!$G$5:$G$170&lt;&gt;"moeda")*(Inputs!$G$5:$G$170&lt;&gt;"acoes")))*INDEX(Inputs!$K$5:$AJ$170,0,MATCH(P$2,Inputs!$K$4:$AJ$4,0)))))</f>
        <v>16021.303</v>
      </c>
      <c r="Q22" s="6">
        <f>IF(ISNA(MATCH(Q$2,Inputs!$K$4:$AJ$4,0)),NA(),IF(SUMPRODUCT((Inputs!$A$5:$A$170=$B22)*ISNUMBER(INDEX(Inputs!$K$5:$AJ$170,0,MATCH(Q$2,Inputs!$K$4:$AJ$4,0))))+SUMPRODUCT((Inputs!$C$5:$C$170=$B22)*ISNUMBER(INDEX(Inputs!$K$5:$AJ$170,0,MATCH(Q$2,Inputs!$K$4:$AJ$4,0))))+SUMPRODUCT((Inputs!$E$5:$E$170=$B22)*ISNUMBER(INDEX(Inputs!$K$5:$AJ$170,0,MATCH(Q$2,Inputs!$K$4:$AJ$4,0))))=0,NA(),SUMPRODUCT((Inputs!$A$5:$A$170=$B22)*Inputs!$B$5:$B$170*(((Inputs!$G$5:$G$170="moeda")+(Inputs!$G$5:$G$170="acoes"))*Inputs!$B$1+((Inputs!$G$5:$G$170&lt;&gt;"moeda")*(Inputs!$G$5:$G$170&lt;&gt;"acoes")))*INDEX(Inputs!$K$5:$AJ$170,0,MATCH(Q$2,Inputs!$K$4:$AJ$4,0)))+SUMPRODUCT((Inputs!$C$5:$C$170=$B22)*Inputs!$D$5:$D$170*(((Inputs!$G$5:$G$170="moeda")+(Inputs!$G$5:$G$170="acoes"))*Inputs!$B$1+((Inputs!$G$5:$G$170&lt;&gt;"moeda")*(Inputs!$G$5:$G$170&lt;&gt;"acoes")))*INDEX(Inputs!$K$5:$AJ$170,0,MATCH(Q$2,Inputs!$K$4:$AJ$4,0)))+SUMPRODUCT((Inputs!$E$5:$E$170=$B22)*Inputs!$F$5:$F$170*(((Inputs!$G$5:$G$170="moeda")+(Inputs!$G$5:$G$170="acoes"))*Inputs!$B$1+((Inputs!$G$5:$G$170&lt;&gt;"moeda")*(Inputs!$G$5:$G$170&lt;&gt;"acoes")))*INDEX(Inputs!$K$5:$AJ$170,0,MATCH(Q$2,Inputs!$K$4:$AJ$4,0)))))</f>
        <v>18637.281</v>
      </c>
      <c r="R22" s="3">
        <f>Q22</f>
        <v>18637.281</v>
      </c>
      <c r="S22" s="6">
        <f>IF(ISNA(MATCH(S$2,Inputs!$K$4:$AJ$4,0)),NA(),IF(SUMPRODUCT((Inputs!$A$5:$A$170=$B22)*ISNUMBER(INDEX(Inputs!$K$5:$AJ$170,0,MATCH(S$2,Inputs!$K$4:$AJ$4,0))))+SUMPRODUCT((Inputs!$C$5:$C$170=$B22)*ISNUMBER(INDEX(Inputs!$K$5:$AJ$170,0,MATCH(S$2,Inputs!$K$4:$AJ$4,0))))+SUMPRODUCT((Inputs!$E$5:$E$170=$B22)*ISNUMBER(INDEX(Inputs!$K$5:$AJ$170,0,MATCH(S$2,Inputs!$K$4:$AJ$4,0))))=0,NA(),SUMPRODUCT((Inputs!$A$5:$A$170=$B22)*Inputs!$B$5:$B$170*(((Inputs!$G$5:$G$170="moeda")+(Inputs!$G$5:$G$170="acoes"))*Inputs!$B$1+((Inputs!$G$5:$G$170&lt;&gt;"moeda")*(Inputs!$G$5:$G$170&lt;&gt;"acoes")))*INDEX(Inputs!$K$5:$AJ$170,0,MATCH(S$2,Inputs!$K$4:$AJ$4,0)))+SUMPRODUCT((Inputs!$C$5:$C$170=$B22)*Inputs!$D$5:$D$170*(((Inputs!$G$5:$G$170="moeda")+(Inputs!$G$5:$G$170="acoes"))*Inputs!$B$1+((Inputs!$G$5:$G$170&lt;&gt;"moeda")*(Inputs!$G$5:$G$170&lt;&gt;"acoes")))*INDEX(Inputs!$K$5:$AJ$170,0,MATCH(S$2,Inputs!$K$4:$AJ$4,0)))+SUMPRODUCT((Inputs!$E$5:$E$170=$B22)*Inputs!$F$5:$F$170*(((Inputs!$G$5:$G$170="moeda")+(Inputs!$G$5:$G$170="acoes"))*Inputs!$B$1+((Inputs!$G$5:$G$170&lt;&gt;"moeda")*(Inputs!$G$5:$G$170&lt;&gt;"acoes")))*INDEX(Inputs!$K$5:$AJ$170,0,MATCH(S$2,Inputs!$K$4:$AJ$4,0)))))</f>
        <v>18762.548</v>
      </c>
      <c r="T22" s="6">
        <f>IF(ISNA(MATCH(T$2,Inputs!$K$4:$AJ$4,0)),NA(),IF(SUMPRODUCT((Inputs!$A$5:$A$170=$B22)*ISNUMBER(INDEX(Inputs!$K$5:$AJ$170,0,MATCH(T$2,Inputs!$K$4:$AJ$4,0))))+SUMPRODUCT((Inputs!$C$5:$C$170=$B22)*ISNUMBER(INDEX(Inputs!$K$5:$AJ$170,0,MATCH(T$2,Inputs!$K$4:$AJ$4,0))))+SUMPRODUCT((Inputs!$E$5:$E$170=$B22)*ISNUMBER(INDEX(Inputs!$K$5:$AJ$170,0,MATCH(T$2,Inputs!$K$4:$AJ$4,0))))=0,NA(),SUMPRODUCT((Inputs!$A$5:$A$170=$B22)*Inputs!$B$5:$B$170*(((Inputs!$G$5:$G$170="moeda")+(Inputs!$G$5:$G$170="acoes"))*Inputs!$B$1+((Inputs!$G$5:$G$170&lt;&gt;"moeda")*(Inputs!$G$5:$G$170&lt;&gt;"acoes")))*INDEX(Inputs!$K$5:$AJ$170,0,MATCH(T$2,Inputs!$K$4:$AJ$4,0)))+SUMPRODUCT((Inputs!$C$5:$C$170=$B22)*Inputs!$D$5:$D$170*(((Inputs!$G$5:$G$170="moeda")+(Inputs!$G$5:$G$170="acoes"))*Inputs!$B$1+((Inputs!$G$5:$G$170&lt;&gt;"moeda")*(Inputs!$G$5:$G$170&lt;&gt;"acoes")))*INDEX(Inputs!$K$5:$AJ$170,0,MATCH(T$2,Inputs!$K$4:$AJ$4,0)))+SUMPRODUCT((Inputs!$E$5:$E$170=$B22)*Inputs!$F$5:$F$170*(((Inputs!$G$5:$G$170="moeda")+(Inputs!$G$5:$G$170="acoes"))*Inputs!$B$1+((Inputs!$G$5:$G$170&lt;&gt;"moeda")*(Inputs!$G$5:$G$170&lt;&gt;"acoes")))*INDEX(Inputs!$K$5:$AJ$170,0,MATCH(T$2,Inputs!$K$4:$AJ$4,0)))))</f>
        <v>19168.4</v>
      </c>
      <c r="U22" s="6">
        <f>IF(ISNA(MATCH(U$2,Inputs!$K$4:$AJ$4,0)),NA(),IF(SUMPRODUCT((Inputs!$A$5:$A$170=$B22)*ISNUMBER(INDEX(Inputs!$K$5:$AJ$170,0,MATCH(U$2,Inputs!$K$4:$AJ$4,0))))+SUMPRODUCT((Inputs!$C$5:$C$170=$B22)*ISNUMBER(INDEX(Inputs!$K$5:$AJ$170,0,MATCH(U$2,Inputs!$K$4:$AJ$4,0))))+SUMPRODUCT((Inputs!$E$5:$E$170=$B22)*ISNUMBER(INDEX(Inputs!$K$5:$AJ$170,0,MATCH(U$2,Inputs!$K$4:$AJ$4,0))))=0,NA(),SUMPRODUCT((Inputs!$A$5:$A$170=$B22)*Inputs!$B$5:$B$170*(((Inputs!$G$5:$G$170="moeda")+(Inputs!$G$5:$G$170="acoes"))*Inputs!$B$1+((Inputs!$G$5:$G$170&lt;&gt;"moeda")*(Inputs!$G$5:$G$170&lt;&gt;"acoes")))*INDEX(Inputs!$K$5:$AJ$170,0,MATCH(U$2,Inputs!$K$4:$AJ$4,0)))+SUMPRODUCT((Inputs!$C$5:$C$170=$B22)*Inputs!$D$5:$D$170*(((Inputs!$G$5:$G$170="moeda")+(Inputs!$G$5:$G$170="acoes"))*Inputs!$B$1+((Inputs!$G$5:$G$170&lt;&gt;"moeda")*(Inputs!$G$5:$G$170&lt;&gt;"acoes")))*INDEX(Inputs!$K$5:$AJ$170,0,MATCH(U$2,Inputs!$K$4:$AJ$4,0)))+SUMPRODUCT((Inputs!$E$5:$E$170=$B22)*Inputs!$F$5:$F$170*(((Inputs!$G$5:$G$170="moeda")+(Inputs!$G$5:$G$170="acoes"))*Inputs!$B$1+((Inputs!$G$5:$G$170&lt;&gt;"moeda")*(Inputs!$G$5:$G$170&lt;&gt;"acoes")))*INDEX(Inputs!$K$5:$AJ$170,0,MATCH(U$2,Inputs!$K$4:$AJ$4,0)))))</f>
        <v>19724.886</v>
      </c>
      <c r="V22" s="6">
        <f>IF(ISNA(MATCH(V$2,Inputs!$K$4:$AJ$4,0)),NA(),IF(SUMPRODUCT((Inputs!$A$5:$A$170=$B22)*ISNUMBER(INDEX(Inputs!$K$5:$AJ$170,0,MATCH(V$2,Inputs!$K$4:$AJ$4,0))))+SUMPRODUCT((Inputs!$C$5:$C$170=$B22)*ISNUMBER(INDEX(Inputs!$K$5:$AJ$170,0,MATCH(V$2,Inputs!$K$4:$AJ$4,0))))+SUMPRODUCT((Inputs!$E$5:$E$170=$B22)*ISNUMBER(INDEX(Inputs!$K$5:$AJ$170,0,MATCH(V$2,Inputs!$K$4:$AJ$4,0))))=0,NA(),SUMPRODUCT((Inputs!$A$5:$A$170=$B22)*Inputs!$B$5:$B$170*(((Inputs!$G$5:$G$170="moeda")+(Inputs!$G$5:$G$170="acoes"))*Inputs!$B$1+((Inputs!$G$5:$G$170&lt;&gt;"moeda")*(Inputs!$G$5:$G$170&lt;&gt;"acoes")))*INDEX(Inputs!$K$5:$AJ$170,0,MATCH(V$2,Inputs!$K$4:$AJ$4,0)))+SUMPRODUCT((Inputs!$C$5:$C$170=$B22)*Inputs!$D$5:$D$170*(((Inputs!$G$5:$G$170="moeda")+(Inputs!$G$5:$G$170="acoes"))*Inputs!$B$1+((Inputs!$G$5:$G$170&lt;&gt;"moeda")*(Inputs!$G$5:$G$170&lt;&gt;"acoes")))*INDEX(Inputs!$K$5:$AJ$170,0,MATCH(V$2,Inputs!$K$4:$AJ$4,0)))+SUMPRODUCT((Inputs!$E$5:$E$170=$B22)*Inputs!$F$5:$F$170*(((Inputs!$G$5:$G$170="moeda")+(Inputs!$G$5:$G$170="acoes"))*Inputs!$B$1+((Inputs!$G$5:$G$170&lt;&gt;"moeda")*(Inputs!$G$5:$G$170&lt;&gt;"acoes")))*INDEX(Inputs!$K$5:$AJ$170,0,MATCH(V$2,Inputs!$K$4:$AJ$4,0)))))</f>
        <v>21912.952</v>
      </c>
      <c r="W22" s="3">
        <f>V22</f>
        <v>21912.952</v>
      </c>
      <c r="X22" s="6">
        <f>IF(ISNA(MATCH(X$2,Inputs!$K$4:$AJ$4,0)),NA(),IF(SUMPRODUCT((Inputs!$A$5:$A$170=$B22)*ISNUMBER(INDEX(Inputs!$K$5:$AJ$170,0,MATCH(X$2,Inputs!$K$4:$AJ$4,0))))+SUMPRODUCT((Inputs!$C$5:$C$170=$B22)*ISNUMBER(INDEX(Inputs!$K$5:$AJ$170,0,MATCH(X$2,Inputs!$K$4:$AJ$4,0))))+SUMPRODUCT((Inputs!$E$5:$E$170=$B22)*ISNUMBER(INDEX(Inputs!$K$5:$AJ$170,0,MATCH(X$2,Inputs!$K$4:$AJ$4,0))))=0,NA(),SUMPRODUCT((Inputs!$A$5:$A$170=$B22)*Inputs!$B$5:$B$170*(((Inputs!$G$5:$G$170="moeda")+(Inputs!$G$5:$G$170="acoes"))*Inputs!$B$1+((Inputs!$G$5:$G$170&lt;&gt;"moeda")*(Inputs!$G$5:$G$170&lt;&gt;"acoes")))*INDEX(Inputs!$K$5:$AJ$170,0,MATCH(X$2,Inputs!$K$4:$AJ$4,0)))+SUMPRODUCT((Inputs!$C$5:$C$170=$B22)*Inputs!$D$5:$D$170*(((Inputs!$G$5:$G$170="moeda")+(Inputs!$G$5:$G$170="acoes"))*Inputs!$B$1+((Inputs!$G$5:$G$170&lt;&gt;"moeda")*(Inputs!$G$5:$G$170&lt;&gt;"acoes")))*INDEX(Inputs!$K$5:$AJ$170,0,MATCH(X$2,Inputs!$K$4:$AJ$4,0)))+SUMPRODUCT((Inputs!$E$5:$E$170=$B22)*Inputs!$F$5:$F$170*(((Inputs!$G$5:$G$170="moeda")+(Inputs!$G$5:$G$170="acoes"))*Inputs!$B$1+((Inputs!$G$5:$G$170&lt;&gt;"moeda")*(Inputs!$G$5:$G$170&lt;&gt;"acoes")))*INDEX(Inputs!$K$5:$AJ$170,0,MATCH(X$2,Inputs!$K$4:$AJ$4,0)))))</f>
        <v>20671.846</v>
      </c>
      <c r="Y22" s="6">
        <f>IF(ISNA(MATCH(Y$2,Inputs!$K$4:$AJ$4,0)),NA(),IF(SUMPRODUCT((Inputs!$A$5:$A$170=$B22)*ISNUMBER(INDEX(Inputs!$K$5:$AJ$170,0,MATCH(Y$2,Inputs!$K$4:$AJ$4,0))))+SUMPRODUCT((Inputs!$C$5:$C$170=$B22)*ISNUMBER(INDEX(Inputs!$K$5:$AJ$170,0,MATCH(Y$2,Inputs!$K$4:$AJ$4,0))))+SUMPRODUCT((Inputs!$E$5:$E$170=$B22)*ISNUMBER(INDEX(Inputs!$K$5:$AJ$170,0,MATCH(Y$2,Inputs!$K$4:$AJ$4,0))))=0,NA(),SUMPRODUCT((Inputs!$A$5:$A$170=$B22)*Inputs!$B$5:$B$170*(((Inputs!$G$5:$G$170="moeda")+(Inputs!$G$5:$G$170="acoes"))*Inputs!$B$1+((Inputs!$G$5:$G$170&lt;&gt;"moeda")*(Inputs!$G$5:$G$170&lt;&gt;"acoes")))*INDEX(Inputs!$K$5:$AJ$170,0,MATCH(Y$2,Inputs!$K$4:$AJ$4,0)))+SUMPRODUCT((Inputs!$C$5:$C$170=$B22)*Inputs!$D$5:$D$170*(((Inputs!$G$5:$G$170="moeda")+(Inputs!$G$5:$G$170="acoes"))*Inputs!$B$1+((Inputs!$G$5:$G$170&lt;&gt;"moeda")*(Inputs!$G$5:$G$170&lt;&gt;"acoes")))*INDEX(Inputs!$K$5:$AJ$170,0,MATCH(Y$2,Inputs!$K$4:$AJ$4,0)))+SUMPRODUCT((Inputs!$E$5:$E$170=$B22)*Inputs!$F$5:$F$170*(((Inputs!$G$5:$G$170="moeda")+(Inputs!$G$5:$G$170="acoes"))*Inputs!$B$1+((Inputs!$G$5:$G$170&lt;&gt;"moeda")*(Inputs!$G$5:$G$170&lt;&gt;"acoes")))*INDEX(Inputs!$K$5:$AJ$170,0,MATCH(Y$2,Inputs!$K$4:$AJ$4,0)))))</f>
        <v>21464.854</v>
      </c>
      <c r="Z22" s="6">
        <f>IF(ISNA(MATCH(Z$2,Inputs!$K$4:$AJ$4,0)),NA(),IF(SUMPRODUCT((Inputs!$A$5:$A$170=$B22)*ISNUMBER(INDEX(Inputs!$K$5:$AJ$170,0,MATCH(Z$2,Inputs!$K$4:$AJ$4,0))))+SUMPRODUCT((Inputs!$C$5:$C$170=$B22)*ISNUMBER(INDEX(Inputs!$K$5:$AJ$170,0,MATCH(Z$2,Inputs!$K$4:$AJ$4,0))))+SUMPRODUCT((Inputs!$E$5:$E$170=$B22)*ISNUMBER(INDEX(Inputs!$K$5:$AJ$170,0,MATCH(Z$2,Inputs!$K$4:$AJ$4,0))))=0,NA(),SUMPRODUCT((Inputs!$A$5:$A$170=$B22)*Inputs!$B$5:$B$170*(((Inputs!$G$5:$G$170="moeda")+(Inputs!$G$5:$G$170="acoes"))*Inputs!$B$1+((Inputs!$G$5:$G$170&lt;&gt;"moeda")*(Inputs!$G$5:$G$170&lt;&gt;"acoes")))*INDEX(Inputs!$K$5:$AJ$170,0,MATCH(Z$2,Inputs!$K$4:$AJ$4,0)))+SUMPRODUCT((Inputs!$C$5:$C$170=$B22)*Inputs!$D$5:$D$170*(((Inputs!$G$5:$G$170="moeda")+(Inputs!$G$5:$G$170="acoes"))*Inputs!$B$1+((Inputs!$G$5:$G$170&lt;&gt;"moeda")*(Inputs!$G$5:$G$170&lt;&gt;"acoes")))*INDEX(Inputs!$K$5:$AJ$170,0,MATCH(Z$2,Inputs!$K$4:$AJ$4,0)))+SUMPRODUCT((Inputs!$E$5:$E$170=$B22)*Inputs!$F$5:$F$170*(((Inputs!$G$5:$G$170="moeda")+(Inputs!$G$5:$G$170="acoes"))*Inputs!$B$1+((Inputs!$G$5:$G$170&lt;&gt;"moeda")*(Inputs!$G$5:$G$170&lt;&gt;"acoes")))*INDEX(Inputs!$K$5:$AJ$170,0,MATCH(Z$2,Inputs!$K$4:$AJ$4,0)))))</f>
        <v>21621.948</v>
      </c>
      <c r="AA22" s="6">
        <f>IF(ISNA(MATCH(AA$2,Inputs!$K$4:$AJ$4,0)),NA(),IF(SUMPRODUCT((Inputs!$A$5:$A$170=$B22)*ISNUMBER(INDEX(Inputs!$K$5:$AJ$170,0,MATCH(AA$2,Inputs!$K$4:$AJ$4,0))))+SUMPRODUCT((Inputs!$C$5:$C$170=$B22)*ISNUMBER(INDEX(Inputs!$K$5:$AJ$170,0,MATCH(AA$2,Inputs!$K$4:$AJ$4,0))))+SUMPRODUCT((Inputs!$E$5:$E$170=$B22)*ISNUMBER(INDEX(Inputs!$K$5:$AJ$170,0,MATCH(AA$2,Inputs!$K$4:$AJ$4,0))))=0,NA(),SUMPRODUCT((Inputs!$A$5:$A$170=$B22)*Inputs!$B$5:$B$170*(((Inputs!$G$5:$G$170="moeda")+(Inputs!$G$5:$G$170="acoes"))*Inputs!$B$1+((Inputs!$G$5:$G$170&lt;&gt;"moeda")*(Inputs!$G$5:$G$170&lt;&gt;"acoes")))*INDEX(Inputs!$K$5:$AJ$170,0,MATCH(AA$2,Inputs!$K$4:$AJ$4,0)))+SUMPRODUCT((Inputs!$C$5:$C$170=$B22)*Inputs!$D$5:$D$170*(((Inputs!$G$5:$G$170="moeda")+(Inputs!$G$5:$G$170="acoes"))*Inputs!$B$1+((Inputs!$G$5:$G$170&lt;&gt;"moeda")*(Inputs!$G$5:$G$170&lt;&gt;"acoes")))*INDEX(Inputs!$K$5:$AJ$170,0,MATCH(AA$2,Inputs!$K$4:$AJ$4,0)))+SUMPRODUCT((Inputs!$E$5:$E$170=$B22)*Inputs!$F$5:$F$170*(((Inputs!$G$5:$G$170="moeda")+(Inputs!$G$5:$G$170="acoes"))*Inputs!$B$1+((Inputs!$G$5:$G$170&lt;&gt;"moeda")*(Inputs!$G$5:$G$170&lt;&gt;"acoes")))*INDEX(Inputs!$K$5:$AJ$170,0,MATCH(AA$2,Inputs!$K$4:$AJ$4,0)))))</f>
        <v>24160.768</v>
      </c>
      <c r="AB22" s="3">
        <f>AA22</f>
        <v>24160.768</v>
      </c>
      <c r="AC22" s="6">
        <f>IF(ISNA(MATCH(AC$2,Inputs!$K$4:$AJ$4,0)),NA(),IF(SUMPRODUCT((Inputs!$A$5:$A$170=$B22)*ISNUMBER(INDEX(Inputs!$K$5:$AJ$170,0,MATCH(AC$2,Inputs!$K$4:$AJ$4,0))))+SUMPRODUCT((Inputs!$C$5:$C$170=$B22)*ISNUMBER(INDEX(Inputs!$K$5:$AJ$170,0,MATCH(AC$2,Inputs!$K$4:$AJ$4,0))))+SUMPRODUCT((Inputs!$E$5:$E$170=$B22)*ISNUMBER(INDEX(Inputs!$K$5:$AJ$170,0,MATCH(AC$2,Inputs!$K$4:$AJ$4,0))))=0,NA(),SUMPRODUCT((Inputs!$A$5:$A$170=$B22)*Inputs!$B$5:$B$170*(((Inputs!$G$5:$G$170="moeda")+(Inputs!$G$5:$G$170="acoes"))*Inputs!$B$1+((Inputs!$G$5:$G$170&lt;&gt;"moeda")*(Inputs!$G$5:$G$170&lt;&gt;"acoes")))*INDEX(Inputs!$K$5:$AJ$170,0,MATCH(AC$2,Inputs!$K$4:$AJ$4,0)))+SUMPRODUCT((Inputs!$C$5:$C$170=$B22)*Inputs!$D$5:$D$170*(((Inputs!$G$5:$G$170="moeda")+(Inputs!$G$5:$G$170="acoes"))*Inputs!$B$1+((Inputs!$G$5:$G$170&lt;&gt;"moeda")*(Inputs!$G$5:$G$170&lt;&gt;"acoes")))*INDEX(Inputs!$K$5:$AJ$170,0,MATCH(AC$2,Inputs!$K$4:$AJ$4,0)))+SUMPRODUCT((Inputs!$E$5:$E$170=$B22)*Inputs!$F$5:$F$170*(((Inputs!$G$5:$G$170="moeda")+(Inputs!$G$5:$G$170="acoes"))*Inputs!$B$1+((Inputs!$G$5:$G$170&lt;&gt;"moeda")*(Inputs!$G$5:$G$170&lt;&gt;"acoes")))*INDEX(Inputs!$K$5:$AJ$170,0,MATCH(AC$2,Inputs!$K$4:$AJ$4,0)))))</f>
        <v>23242.795</v>
      </c>
      <c r="AD22" s="6">
        <f>IF(ISNA(MATCH(AD$2,Inputs!$K$4:$AJ$4,0)),NA(),IF(SUMPRODUCT((Inputs!$A$5:$A$170=$B22)*ISNUMBER(INDEX(Inputs!$K$5:$AJ$170,0,MATCH(AD$2,Inputs!$K$4:$AJ$4,0))))+SUMPRODUCT((Inputs!$C$5:$C$170=$B22)*ISNUMBER(INDEX(Inputs!$K$5:$AJ$170,0,MATCH(AD$2,Inputs!$K$4:$AJ$4,0))))+SUMPRODUCT((Inputs!$E$5:$E$170=$B22)*ISNUMBER(INDEX(Inputs!$K$5:$AJ$170,0,MATCH(AD$2,Inputs!$K$4:$AJ$4,0))))=0,NA(),SUMPRODUCT((Inputs!$A$5:$A$170=$B22)*Inputs!$B$5:$B$170*(((Inputs!$G$5:$G$170="moeda")+(Inputs!$G$5:$G$170="acoes"))*Inputs!$B$1+((Inputs!$G$5:$G$170&lt;&gt;"moeda")*(Inputs!$G$5:$G$170&lt;&gt;"acoes")))*INDEX(Inputs!$K$5:$AJ$170,0,MATCH(AD$2,Inputs!$K$4:$AJ$4,0)))+SUMPRODUCT((Inputs!$C$5:$C$170=$B22)*Inputs!$D$5:$D$170*(((Inputs!$G$5:$G$170="moeda")+(Inputs!$G$5:$G$170="acoes"))*Inputs!$B$1+((Inputs!$G$5:$G$170&lt;&gt;"moeda")*(Inputs!$G$5:$G$170&lt;&gt;"acoes")))*INDEX(Inputs!$K$5:$AJ$170,0,MATCH(AD$2,Inputs!$K$4:$AJ$4,0)))+SUMPRODUCT((Inputs!$E$5:$E$170=$B22)*Inputs!$F$5:$F$170*(((Inputs!$G$5:$G$170="moeda")+(Inputs!$G$5:$G$170="acoes"))*Inputs!$B$1+((Inputs!$G$5:$G$170&lt;&gt;"moeda")*(Inputs!$G$5:$G$170&lt;&gt;"acoes")))*INDEX(Inputs!$K$5:$AJ$170,0,MATCH(AD$2,Inputs!$K$4:$AJ$4,0)))))</f>
        <v>25078.365</v>
      </c>
      <c r="AE22" s="6" t="e">
        <f>IF(ISNA(MATCH(AE$2,Inputs!$K$4:$AJ$4,0)),NA(),IF(SUMPRODUCT((Inputs!$A$5:$A$170=$B22)*ISNUMBER(INDEX(Inputs!$K$5:$AJ$170,0,MATCH(AE$2,Inputs!$K$4:$AJ$4,0))))+SUMPRODUCT((Inputs!$C$5:$C$170=$B22)*ISNUMBER(INDEX(Inputs!$K$5:$AJ$170,0,MATCH(AE$2,Inputs!$K$4:$AJ$4,0))))+SUMPRODUCT((Inputs!$E$5:$E$170=$B22)*ISNUMBER(INDEX(Inputs!$K$5:$AJ$170,0,MATCH(AE$2,Inputs!$K$4:$AJ$4,0))))=0,NA(),SUMPRODUCT((Inputs!$A$5:$A$170=$B22)*Inputs!$B$5:$B$170*(((Inputs!$G$5:$G$170="moeda")+(Inputs!$G$5:$G$170="acoes"))*Inputs!$B$1+((Inputs!$G$5:$G$170&lt;&gt;"moeda")*(Inputs!$G$5:$G$170&lt;&gt;"acoes")))*INDEX(Inputs!$K$5:$AJ$170,0,MATCH(AE$2,Inputs!$K$4:$AJ$4,0)))+SUMPRODUCT((Inputs!$C$5:$C$170=$B22)*Inputs!$D$5:$D$170*(((Inputs!$G$5:$G$170="moeda")+(Inputs!$G$5:$G$170="acoes"))*Inputs!$B$1+((Inputs!$G$5:$G$170&lt;&gt;"moeda")*(Inputs!$G$5:$G$170&lt;&gt;"acoes")))*INDEX(Inputs!$K$5:$AJ$170,0,MATCH(AE$2,Inputs!$K$4:$AJ$4,0)))+SUMPRODUCT((Inputs!$E$5:$E$170=$B22)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2" s="6" t="e">
        <f>IF(ISNA(MATCH(AF$2,Inputs!$K$4:$AJ$4,0)),NA(),IF(SUMPRODUCT((Inputs!$A$5:$A$170=$B22)*ISNUMBER(INDEX(Inputs!$K$5:$AJ$170,0,MATCH(AF$2,Inputs!$K$4:$AJ$4,0))))+SUMPRODUCT((Inputs!$C$5:$C$170=$B22)*ISNUMBER(INDEX(Inputs!$K$5:$AJ$170,0,MATCH(AF$2,Inputs!$K$4:$AJ$4,0))))+SUMPRODUCT((Inputs!$E$5:$E$170=$B22)*ISNUMBER(INDEX(Inputs!$K$5:$AJ$170,0,MATCH(AF$2,Inputs!$K$4:$AJ$4,0))))=0,NA(),SUMPRODUCT((Inputs!$A$5:$A$170=$B22)*Inputs!$B$5:$B$170*(((Inputs!$G$5:$G$170="moeda")+(Inputs!$G$5:$G$170="acoes"))*Inputs!$B$1+((Inputs!$G$5:$G$170&lt;&gt;"moeda")*(Inputs!$G$5:$G$170&lt;&gt;"acoes")))*INDEX(Inputs!$K$5:$AJ$170,0,MATCH(AF$2,Inputs!$K$4:$AJ$4,0)))+SUMPRODUCT((Inputs!$C$5:$C$170=$B22)*Inputs!$D$5:$D$170*(((Inputs!$G$5:$G$170="moeda")+(Inputs!$G$5:$G$170="acoes"))*Inputs!$B$1+((Inputs!$G$5:$G$170&lt;&gt;"moeda")*(Inputs!$G$5:$G$170&lt;&gt;"acoes")))*INDEX(Inputs!$K$5:$AJ$170,0,MATCH(AF$2,Inputs!$K$4:$AJ$4,0)))+SUMPRODUCT((Inputs!$E$5:$E$170=$B22)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2" s="3" t="e">
        <f>AF22</f>
        <v>#N/A</v>
      </c>
      <c r="AH22" s="6">
        <f>IF(ISNA(MATCH(AH$2,Inputs!$K$4:$AJ$4,0)),NA(),IF(SUMPRODUCT((Inputs!$A$5:$A$170=$B22)*ISNUMBER(INDEX(Inputs!$K$5:$AJ$170,0,MATCH(AH$2,Inputs!$K$4:$AJ$4,0))))+SUMPRODUCT((Inputs!$C$5:$C$170=$B22)*ISNUMBER(INDEX(Inputs!$K$5:$AJ$170,0,MATCH(AH$2,Inputs!$K$4:$AJ$4,0))))+SUMPRODUCT((Inputs!$E$5:$E$170=$B22)*ISNUMBER(INDEX(Inputs!$K$5:$AJ$170,0,MATCH(AH$2,Inputs!$K$4:$AJ$4,0))))=0,NA(),SUMPRODUCT((Inputs!$A$5:$A$170=$B22)*Inputs!$B$5:$B$170*(((Inputs!$G$5:$G$170="moeda")+(Inputs!$G$5:$G$170="acoes"))*Inputs!$B$1+((Inputs!$G$5:$G$170&lt;&gt;"moeda")*(Inputs!$G$5:$G$170&lt;&gt;"acoes")))*INDEX(Inputs!$K$5:$AJ$170,0,MATCH(AH$2,Inputs!$K$4:$AJ$4,0)))+SUMPRODUCT((Inputs!$C$5:$C$170=$B22)*Inputs!$D$5:$D$170*(((Inputs!$G$5:$G$170="moeda")+(Inputs!$G$5:$G$170="acoes"))*Inputs!$B$1+((Inputs!$G$5:$G$170&lt;&gt;"moeda")*(Inputs!$G$5:$G$170&lt;&gt;"acoes")))*INDEX(Inputs!$K$5:$AJ$170,0,MATCH(AH$2,Inputs!$K$4:$AJ$4,0)))+SUMPRODUCT((Inputs!$E$5:$E$170=$B22)*Inputs!$F$5:$F$170*(((Inputs!$G$5:$G$170="moeda")+(Inputs!$G$5:$G$170="acoes"))*Inputs!$B$1+((Inputs!$G$5:$G$170&lt;&gt;"moeda")*(Inputs!$G$5:$G$170&lt;&gt;"acoes")))*INDEX(Inputs!$K$5:$AJ$170,0,MATCH(AH$2,Inputs!$K$4:$AJ$4,0)))))</f>
        <v>5005.772</v>
      </c>
      <c r="AI22" s="6">
        <f>IF(ISNA(MATCH(AI$2,Inputs!$K$4:$AJ$4,0)),NA(),IF(SUMPRODUCT((Inputs!$A$5:$A$170=$B22)*ISNUMBER(INDEX(Inputs!$K$5:$AJ$170,0,MATCH(AI$2,Inputs!$K$4:$AJ$4,0))))+SUMPRODUCT((Inputs!$C$5:$C$170=$B22)*ISNUMBER(INDEX(Inputs!$K$5:$AJ$170,0,MATCH(AI$2,Inputs!$K$4:$AJ$4,0))))+SUMPRODUCT((Inputs!$E$5:$E$170=$B22)*ISNUMBER(INDEX(Inputs!$K$5:$AJ$170,0,MATCH(AI$2,Inputs!$K$4:$AJ$4,0))))=0,NA(),SUMPRODUCT((Inputs!$A$5:$A$170=$B22)*Inputs!$B$5:$B$170*(((Inputs!$G$5:$G$170="moeda")+(Inputs!$G$5:$G$170="acoes"))*Inputs!$B$1+((Inputs!$G$5:$G$170&lt;&gt;"moeda")*(Inputs!$G$5:$G$170&lt;&gt;"acoes")))*INDEX(Inputs!$K$5:$AJ$170,0,MATCH(AI$2,Inputs!$K$4:$AJ$4,0)))+SUMPRODUCT((Inputs!$C$5:$C$170=$B22)*Inputs!$D$5:$D$170*(((Inputs!$G$5:$G$170="moeda")+(Inputs!$G$5:$G$170="acoes"))*Inputs!$B$1+((Inputs!$G$5:$G$170&lt;&gt;"moeda")*(Inputs!$G$5:$G$170&lt;&gt;"acoes")))*INDEX(Inputs!$K$5:$AJ$170,0,MATCH(AI$2,Inputs!$K$4:$AJ$4,0)))+SUMPRODUCT((Inputs!$E$5:$E$170=$B22)*Inputs!$F$5:$F$170*(((Inputs!$G$5:$G$170="moeda")+(Inputs!$G$5:$G$170="acoes"))*Inputs!$B$1+((Inputs!$G$5:$G$170&lt;&gt;"moeda")*(Inputs!$G$5:$G$170&lt;&gt;"acoes")))*INDEX(Inputs!$K$5:$AJ$170,0,MATCH(AI$2,Inputs!$K$4:$AJ$4,0)))))</f>
        <v>4468.999</v>
      </c>
      <c r="AJ22" s="6">
        <f>IF(ISNA(MATCH(AJ$2,Inputs!$K$4:$AJ$4,0)),NA(),IF(SUMPRODUCT((Inputs!$A$5:$A$170=$B22)*ISNUMBER(INDEX(Inputs!$K$5:$AJ$170,0,MATCH(AJ$2,Inputs!$K$4:$AJ$4,0))))+SUMPRODUCT((Inputs!$C$5:$C$170=$B22)*ISNUMBER(INDEX(Inputs!$K$5:$AJ$170,0,MATCH(AJ$2,Inputs!$K$4:$AJ$4,0))))+SUMPRODUCT((Inputs!$E$5:$E$170=$B22)*ISNUMBER(INDEX(Inputs!$K$5:$AJ$170,0,MATCH(AJ$2,Inputs!$K$4:$AJ$4,0))))=0,NA(),SUMPRODUCT((Inputs!$A$5:$A$170=$B22)*Inputs!$B$5:$B$170*(((Inputs!$G$5:$G$170="moeda")+(Inputs!$G$5:$G$170="acoes"))*Inputs!$B$1+((Inputs!$G$5:$G$170&lt;&gt;"moeda")*(Inputs!$G$5:$G$170&lt;&gt;"acoes")))*INDEX(Inputs!$K$5:$AJ$170,0,MATCH(AJ$2,Inputs!$K$4:$AJ$4,0)))+SUMPRODUCT((Inputs!$C$5:$C$170=$B22)*Inputs!$D$5:$D$170*(((Inputs!$G$5:$G$170="moeda")+(Inputs!$G$5:$G$170="acoes"))*Inputs!$B$1+((Inputs!$G$5:$G$170&lt;&gt;"moeda")*(Inputs!$G$5:$G$170&lt;&gt;"acoes")))*INDEX(Inputs!$K$5:$AJ$170,0,MATCH(AJ$2,Inputs!$K$4:$AJ$4,0)))+SUMPRODUCT((Inputs!$E$5:$E$170=$B22)*Inputs!$F$5:$F$170*(((Inputs!$G$5:$G$170="moeda")+(Inputs!$G$5:$G$170="acoes"))*Inputs!$B$1+((Inputs!$G$5:$G$170&lt;&gt;"moeda")*(Inputs!$G$5:$G$170&lt;&gt;"acoes")))*INDEX(Inputs!$K$5:$AJ$170,0,MATCH(AJ$2,Inputs!$K$4:$AJ$4,0)))))</f>
        <v>5036.472</v>
      </c>
      <c r="AK22" s="6">
        <f>IF(ISNA(MATCH(AK$2,Inputs!$K$4:$AJ$4,0)),NA(),IF(SUMPRODUCT((Inputs!$A$5:$A$170=$B22)*ISNUMBER(INDEX(Inputs!$K$5:$AJ$170,0,MATCH(AK$2,Inputs!$K$4:$AJ$4,0))))+SUMPRODUCT((Inputs!$C$5:$C$170=$B22)*ISNUMBER(INDEX(Inputs!$K$5:$AJ$170,0,MATCH(AK$2,Inputs!$K$4:$AJ$4,0))))+SUMPRODUCT((Inputs!$E$5:$E$170=$B22)*ISNUMBER(INDEX(Inputs!$K$5:$AJ$170,0,MATCH(AK$2,Inputs!$K$4:$AJ$4,0))))=0,NA(),SUMPRODUCT((Inputs!$A$5:$A$170=$B22)*Inputs!$B$5:$B$170*(((Inputs!$G$5:$G$170="moeda")+(Inputs!$G$5:$G$170="acoes"))*Inputs!$B$1+((Inputs!$G$5:$G$170&lt;&gt;"moeda")*(Inputs!$G$5:$G$170&lt;&gt;"acoes")))*INDEX(Inputs!$K$5:$AJ$170,0,MATCH(AK$2,Inputs!$K$4:$AJ$4,0)))+SUMPRODUCT((Inputs!$C$5:$C$170=$B22)*Inputs!$D$5:$D$170*(((Inputs!$G$5:$G$170="moeda")+(Inputs!$G$5:$G$170="acoes"))*Inputs!$B$1+((Inputs!$G$5:$G$170&lt;&gt;"moeda")*(Inputs!$G$5:$G$170&lt;&gt;"acoes")))*INDEX(Inputs!$K$5:$AJ$170,0,MATCH(AK$2,Inputs!$K$4:$AJ$4,0)))+SUMPRODUCT((Inputs!$E$5:$E$170=$B22)*Inputs!$F$5:$F$170*(((Inputs!$G$5:$G$170="moeda")+(Inputs!$G$5:$G$170="acoes"))*Inputs!$B$1+((Inputs!$G$5:$G$170&lt;&gt;"moeda")*(Inputs!$G$5:$G$170&lt;&gt;"acoes")))*INDEX(Inputs!$K$5:$AJ$170,0,MATCH(AK$2,Inputs!$K$4:$AJ$4,0)))))</f>
        <v>5738.753</v>
      </c>
      <c r="AL22" s="3">
        <f>AK22</f>
        <v>5738.753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$170=$B23)*ISNUMBER(INDEX(Inputs!$K$5:$AJ$170,0,MATCH(D$2,Inputs!$K$4:$AJ$4,0))))+SUMPRODUCT((Inputs!$C$5:$C$170=$B23)*ISNUMBER(INDEX(Inputs!$K$5:$AJ$170,0,MATCH(D$2,Inputs!$K$4:$AJ$4,0))))+SUMPRODUCT((Inputs!$E$5:$E$170=$B23)*ISNUMBER(INDEX(Inputs!$K$5:$AJ$170,0,MATCH(D$2,Inputs!$K$4:$AJ$4,0))))=0,NA(),SUMPRODUCT((Inputs!$A$5:$A$170=$B23)*Inputs!$B$5:$B$170*(((Inputs!$G$5:$G$170="moeda")+(Inputs!$G$5:$G$170="acoes"))*Inputs!$B$1+((Inputs!$G$5:$G$170&lt;&gt;"moeda")*(Inputs!$G$5:$G$170&lt;&gt;"acoes")))*INDEX(Inputs!$K$5:$AJ$170,0,MATCH(D$2,Inputs!$K$4:$AJ$4,0)))+SUMPRODUCT((Inputs!$C$5:$C$170=$B23)*Inputs!$D$5:$D$170*(((Inputs!$G$5:$G$170="moeda")+(Inputs!$G$5:$G$170="acoes"))*Inputs!$B$1+((Inputs!$G$5:$G$170&lt;&gt;"moeda")*(Inputs!$G$5:$G$170&lt;&gt;"acoes")))*INDEX(Inputs!$K$5:$AJ$170,0,MATCH(D$2,Inputs!$K$4:$AJ$4,0)))+SUMPRODUCT((Inputs!$E$5:$E$170=$B23)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23" s="6" t="e">
        <f>IF(ISNA(MATCH(E$2,Inputs!$K$4:$AJ$4,0)),NA(),IF(SUMPRODUCT((Inputs!$A$5:$A$170=$B23)*ISNUMBER(INDEX(Inputs!$K$5:$AJ$170,0,MATCH(E$2,Inputs!$K$4:$AJ$4,0))))+SUMPRODUCT((Inputs!$C$5:$C$170=$B23)*ISNUMBER(INDEX(Inputs!$K$5:$AJ$170,0,MATCH(E$2,Inputs!$K$4:$AJ$4,0))))+SUMPRODUCT((Inputs!$E$5:$E$170=$B23)*ISNUMBER(INDEX(Inputs!$K$5:$AJ$170,0,MATCH(E$2,Inputs!$K$4:$AJ$4,0))))=0,NA(),SUMPRODUCT((Inputs!$A$5:$A$170=$B23)*Inputs!$B$5:$B$170*(((Inputs!$G$5:$G$170="moeda")+(Inputs!$G$5:$G$170="acoes"))*Inputs!$B$1+((Inputs!$G$5:$G$170&lt;&gt;"moeda")*(Inputs!$G$5:$G$170&lt;&gt;"acoes")))*INDEX(Inputs!$K$5:$AJ$170,0,MATCH(E$2,Inputs!$K$4:$AJ$4,0)))+SUMPRODUCT((Inputs!$C$5:$C$170=$B23)*Inputs!$D$5:$D$170*(((Inputs!$G$5:$G$170="moeda")+(Inputs!$G$5:$G$170="acoes"))*Inputs!$B$1+((Inputs!$G$5:$G$170&lt;&gt;"moeda")*(Inputs!$G$5:$G$170&lt;&gt;"acoes")))*INDEX(Inputs!$K$5:$AJ$170,0,MATCH(E$2,Inputs!$K$4:$AJ$4,0)))+SUMPRODUCT((Inputs!$E$5:$E$170=$B23)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23" s="6" t="e">
        <f>IF(ISNA(MATCH(F$2,Inputs!$K$4:$AJ$4,0)),NA(),IF(SUMPRODUCT((Inputs!$A$5:$A$170=$B23)*ISNUMBER(INDEX(Inputs!$K$5:$AJ$170,0,MATCH(F$2,Inputs!$K$4:$AJ$4,0))))+SUMPRODUCT((Inputs!$C$5:$C$170=$B23)*ISNUMBER(INDEX(Inputs!$K$5:$AJ$170,0,MATCH(F$2,Inputs!$K$4:$AJ$4,0))))+SUMPRODUCT((Inputs!$E$5:$E$170=$B23)*ISNUMBER(INDEX(Inputs!$K$5:$AJ$170,0,MATCH(F$2,Inputs!$K$4:$AJ$4,0))))=0,NA(),SUMPRODUCT((Inputs!$A$5:$A$170=$B23)*Inputs!$B$5:$B$170*(((Inputs!$G$5:$G$170="moeda")+(Inputs!$G$5:$G$170="acoes"))*Inputs!$B$1+((Inputs!$G$5:$G$170&lt;&gt;"moeda")*(Inputs!$G$5:$G$170&lt;&gt;"acoes")))*INDEX(Inputs!$K$5:$AJ$170,0,MATCH(F$2,Inputs!$K$4:$AJ$4,0)))+SUMPRODUCT((Inputs!$C$5:$C$170=$B23)*Inputs!$D$5:$D$170*(((Inputs!$G$5:$G$170="moeda")+(Inputs!$G$5:$G$170="acoes"))*Inputs!$B$1+((Inputs!$G$5:$G$170&lt;&gt;"moeda")*(Inputs!$G$5:$G$170&lt;&gt;"acoes")))*INDEX(Inputs!$K$5:$AJ$170,0,MATCH(F$2,Inputs!$K$4:$AJ$4,0)))+SUMPRODUCT((Inputs!$E$5:$E$170=$B23)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23" s="6" t="e">
        <f>IF(ISNA(MATCH(G$2,Inputs!$K$4:$AJ$4,0)),NA(),IF(SUMPRODUCT((Inputs!$A$5:$A$170=$B23)*ISNUMBER(INDEX(Inputs!$K$5:$AJ$170,0,MATCH(G$2,Inputs!$K$4:$AJ$4,0))))+SUMPRODUCT((Inputs!$C$5:$C$170=$B23)*ISNUMBER(INDEX(Inputs!$K$5:$AJ$170,0,MATCH(G$2,Inputs!$K$4:$AJ$4,0))))+SUMPRODUCT((Inputs!$E$5:$E$170=$B23)*ISNUMBER(INDEX(Inputs!$K$5:$AJ$170,0,MATCH(G$2,Inputs!$K$4:$AJ$4,0))))=0,NA(),SUMPRODUCT((Inputs!$A$5:$A$170=$B23)*Inputs!$B$5:$B$170*(((Inputs!$G$5:$G$170="moeda")+(Inputs!$G$5:$G$170="acoes"))*Inputs!$B$1+((Inputs!$G$5:$G$170&lt;&gt;"moeda")*(Inputs!$G$5:$G$170&lt;&gt;"acoes")))*INDEX(Inputs!$K$5:$AJ$170,0,MATCH(G$2,Inputs!$K$4:$AJ$4,0)))+SUMPRODUCT((Inputs!$C$5:$C$170=$B23)*Inputs!$D$5:$D$170*(((Inputs!$G$5:$G$170="moeda")+(Inputs!$G$5:$G$170="acoes"))*Inputs!$B$1+((Inputs!$G$5:$G$170&lt;&gt;"moeda")*(Inputs!$G$5:$G$170&lt;&gt;"acoes")))*INDEX(Inputs!$K$5:$AJ$170,0,MATCH(G$2,Inputs!$K$4:$AJ$4,0)))+SUMPRODUCT((Inputs!$E$5:$E$170=$B23)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23" s="3" t="e">
        <f>G23</f>
        <v>#N/A</v>
      </c>
      <c r="I23" s="6" t="e">
        <f>IF(ISNA(MATCH(I$2,Inputs!$K$4:$AJ$4,0)),NA(),IF(SUMPRODUCT((Inputs!$A$5:$A$170=$B23)*ISNUMBER(INDEX(Inputs!$K$5:$AJ$170,0,MATCH(I$2,Inputs!$K$4:$AJ$4,0))))+SUMPRODUCT((Inputs!$C$5:$C$170=$B23)*ISNUMBER(INDEX(Inputs!$K$5:$AJ$170,0,MATCH(I$2,Inputs!$K$4:$AJ$4,0))))+SUMPRODUCT((Inputs!$E$5:$E$170=$B23)*ISNUMBER(INDEX(Inputs!$K$5:$AJ$170,0,MATCH(I$2,Inputs!$K$4:$AJ$4,0))))=0,NA(),SUMPRODUCT((Inputs!$A$5:$A$170=$B23)*Inputs!$B$5:$B$170*(((Inputs!$G$5:$G$170="moeda")+(Inputs!$G$5:$G$170="acoes"))*Inputs!$B$1+((Inputs!$G$5:$G$170&lt;&gt;"moeda")*(Inputs!$G$5:$G$170&lt;&gt;"acoes")))*INDEX(Inputs!$K$5:$AJ$170,0,MATCH(I$2,Inputs!$K$4:$AJ$4,0)))+SUMPRODUCT((Inputs!$C$5:$C$170=$B23)*Inputs!$D$5:$D$170*(((Inputs!$G$5:$G$170="moeda")+(Inputs!$G$5:$G$170="acoes"))*Inputs!$B$1+((Inputs!$G$5:$G$170&lt;&gt;"moeda")*(Inputs!$G$5:$G$170&lt;&gt;"acoes")))*INDEX(Inputs!$K$5:$AJ$170,0,MATCH(I$2,Inputs!$K$4:$AJ$4,0)))+SUMPRODUCT((Inputs!$E$5:$E$170=$B23)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23" s="6" t="e">
        <f>IF(ISNA(MATCH(J$2,Inputs!$K$4:$AJ$4,0)),NA(),IF(SUMPRODUCT((Inputs!$A$5:$A$170=$B23)*ISNUMBER(INDEX(Inputs!$K$5:$AJ$170,0,MATCH(J$2,Inputs!$K$4:$AJ$4,0))))+SUMPRODUCT((Inputs!$C$5:$C$170=$B23)*ISNUMBER(INDEX(Inputs!$K$5:$AJ$170,0,MATCH(J$2,Inputs!$K$4:$AJ$4,0))))+SUMPRODUCT((Inputs!$E$5:$E$170=$B23)*ISNUMBER(INDEX(Inputs!$K$5:$AJ$170,0,MATCH(J$2,Inputs!$K$4:$AJ$4,0))))=0,NA(),SUMPRODUCT((Inputs!$A$5:$A$170=$B23)*Inputs!$B$5:$B$170*(((Inputs!$G$5:$G$170="moeda")+(Inputs!$G$5:$G$170="acoes"))*Inputs!$B$1+((Inputs!$G$5:$G$170&lt;&gt;"moeda")*(Inputs!$G$5:$G$170&lt;&gt;"acoes")))*INDEX(Inputs!$K$5:$AJ$170,0,MATCH(J$2,Inputs!$K$4:$AJ$4,0)))+SUMPRODUCT((Inputs!$C$5:$C$170=$B23)*Inputs!$D$5:$D$170*(((Inputs!$G$5:$G$170="moeda")+(Inputs!$G$5:$G$170="acoes"))*Inputs!$B$1+((Inputs!$G$5:$G$170&lt;&gt;"moeda")*(Inputs!$G$5:$G$170&lt;&gt;"acoes")))*INDEX(Inputs!$K$5:$AJ$170,0,MATCH(J$2,Inputs!$K$4:$AJ$4,0)))+SUMPRODUCT((Inputs!$E$5:$E$170=$B23)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23" s="6" t="e">
        <f>IF(ISNA(MATCH(K$2,Inputs!$K$4:$AJ$4,0)),NA(),IF(SUMPRODUCT((Inputs!$A$5:$A$170=$B23)*ISNUMBER(INDEX(Inputs!$K$5:$AJ$170,0,MATCH(K$2,Inputs!$K$4:$AJ$4,0))))+SUMPRODUCT((Inputs!$C$5:$C$170=$B23)*ISNUMBER(INDEX(Inputs!$K$5:$AJ$170,0,MATCH(K$2,Inputs!$K$4:$AJ$4,0))))+SUMPRODUCT((Inputs!$E$5:$E$170=$B23)*ISNUMBER(INDEX(Inputs!$K$5:$AJ$170,0,MATCH(K$2,Inputs!$K$4:$AJ$4,0))))=0,NA(),SUMPRODUCT((Inputs!$A$5:$A$170=$B23)*Inputs!$B$5:$B$170*(((Inputs!$G$5:$G$170="moeda")+(Inputs!$G$5:$G$170="acoes"))*Inputs!$B$1+((Inputs!$G$5:$G$170&lt;&gt;"moeda")*(Inputs!$G$5:$G$170&lt;&gt;"acoes")))*INDEX(Inputs!$K$5:$AJ$170,0,MATCH(K$2,Inputs!$K$4:$AJ$4,0)))+SUMPRODUCT((Inputs!$C$5:$C$170=$B23)*Inputs!$D$5:$D$170*(((Inputs!$G$5:$G$170="moeda")+(Inputs!$G$5:$G$170="acoes"))*Inputs!$B$1+((Inputs!$G$5:$G$170&lt;&gt;"moeda")*(Inputs!$G$5:$G$170&lt;&gt;"acoes")))*INDEX(Inputs!$K$5:$AJ$170,0,MATCH(K$2,Inputs!$K$4:$AJ$4,0)))+SUMPRODUCT((Inputs!$E$5:$E$170=$B23)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23" s="6" t="e">
        <f>IF(ISNA(MATCH(L$2,Inputs!$K$4:$AJ$4,0)),NA(),IF(SUMPRODUCT((Inputs!$A$5:$A$170=$B23)*ISNUMBER(INDEX(Inputs!$K$5:$AJ$170,0,MATCH(L$2,Inputs!$K$4:$AJ$4,0))))+SUMPRODUCT((Inputs!$C$5:$C$170=$B23)*ISNUMBER(INDEX(Inputs!$K$5:$AJ$170,0,MATCH(L$2,Inputs!$K$4:$AJ$4,0))))+SUMPRODUCT((Inputs!$E$5:$E$170=$B23)*ISNUMBER(INDEX(Inputs!$K$5:$AJ$170,0,MATCH(L$2,Inputs!$K$4:$AJ$4,0))))=0,NA(),SUMPRODUCT((Inputs!$A$5:$A$170=$B23)*Inputs!$B$5:$B$170*(((Inputs!$G$5:$G$170="moeda")+(Inputs!$G$5:$G$170="acoes"))*Inputs!$B$1+((Inputs!$G$5:$G$170&lt;&gt;"moeda")*(Inputs!$G$5:$G$170&lt;&gt;"acoes")))*INDEX(Inputs!$K$5:$AJ$170,0,MATCH(L$2,Inputs!$K$4:$AJ$4,0)))+SUMPRODUCT((Inputs!$C$5:$C$170=$B23)*Inputs!$D$5:$D$170*(((Inputs!$G$5:$G$170="moeda")+(Inputs!$G$5:$G$170="acoes"))*Inputs!$B$1+((Inputs!$G$5:$G$170&lt;&gt;"moeda")*(Inputs!$G$5:$G$170&lt;&gt;"acoes")))*INDEX(Inputs!$K$5:$AJ$170,0,MATCH(L$2,Inputs!$K$4:$AJ$4,0)))+SUMPRODUCT((Inputs!$E$5:$E$170=$B23)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23" s="3" t="e">
        <f>L23</f>
        <v>#N/A</v>
      </c>
      <c r="N23" s="6" t="e">
        <f>IF(ISNA(MATCH(N$2,Inputs!$K$4:$AJ$4,0)),NA(),IF(SUMPRODUCT((Inputs!$A$5:$A$170=$B23)*ISNUMBER(INDEX(Inputs!$K$5:$AJ$170,0,MATCH(N$2,Inputs!$K$4:$AJ$4,0))))+SUMPRODUCT((Inputs!$C$5:$C$170=$B23)*ISNUMBER(INDEX(Inputs!$K$5:$AJ$170,0,MATCH(N$2,Inputs!$K$4:$AJ$4,0))))+SUMPRODUCT((Inputs!$E$5:$E$170=$B23)*ISNUMBER(INDEX(Inputs!$K$5:$AJ$170,0,MATCH(N$2,Inputs!$K$4:$AJ$4,0))))=0,NA(),SUMPRODUCT((Inputs!$A$5:$A$170=$B23)*Inputs!$B$5:$B$170*(((Inputs!$G$5:$G$170="moeda")+(Inputs!$G$5:$G$170="acoes"))*Inputs!$B$1+((Inputs!$G$5:$G$170&lt;&gt;"moeda")*(Inputs!$G$5:$G$170&lt;&gt;"acoes")))*INDEX(Inputs!$K$5:$AJ$170,0,MATCH(N$2,Inputs!$K$4:$AJ$4,0)))+SUMPRODUCT((Inputs!$C$5:$C$170=$B23)*Inputs!$D$5:$D$170*(((Inputs!$G$5:$G$170="moeda")+(Inputs!$G$5:$G$170="acoes"))*Inputs!$B$1+((Inputs!$G$5:$G$170&lt;&gt;"moeda")*(Inputs!$G$5:$G$170&lt;&gt;"acoes")))*INDEX(Inputs!$K$5:$AJ$170,0,MATCH(N$2,Inputs!$K$4:$AJ$4,0)))+SUMPRODUCT((Inputs!$E$5:$E$170=$B23)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23" s="6" t="e">
        <f>IF(ISNA(MATCH(O$2,Inputs!$K$4:$AJ$4,0)),NA(),IF(SUMPRODUCT((Inputs!$A$5:$A$170=$B23)*ISNUMBER(INDEX(Inputs!$K$5:$AJ$170,0,MATCH(O$2,Inputs!$K$4:$AJ$4,0))))+SUMPRODUCT((Inputs!$C$5:$C$170=$B23)*ISNUMBER(INDEX(Inputs!$K$5:$AJ$170,0,MATCH(O$2,Inputs!$K$4:$AJ$4,0))))+SUMPRODUCT((Inputs!$E$5:$E$170=$B23)*ISNUMBER(INDEX(Inputs!$K$5:$AJ$170,0,MATCH(O$2,Inputs!$K$4:$AJ$4,0))))=0,NA(),SUMPRODUCT((Inputs!$A$5:$A$170=$B23)*Inputs!$B$5:$B$170*(((Inputs!$G$5:$G$170="moeda")+(Inputs!$G$5:$G$170="acoes"))*Inputs!$B$1+((Inputs!$G$5:$G$170&lt;&gt;"moeda")*(Inputs!$G$5:$G$170&lt;&gt;"acoes")))*INDEX(Inputs!$K$5:$AJ$170,0,MATCH(O$2,Inputs!$K$4:$AJ$4,0)))+SUMPRODUCT((Inputs!$C$5:$C$170=$B23)*Inputs!$D$5:$D$170*(((Inputs!$G$5:$G$170="moeda")+(Inputs!$G$5:$G$170="acoes"))*Inputs!$B$1+((Inputs!$G$5:$G$170&lt;&gt;"moeda")*(Inputs!$G$5:$G$170&lt;&gt;"acoes")))*INDEX(Inputs!$K$5:$AJ$170,0,MATCH(O$2,Inputs!$K$4:$AJ$4,0)))+SUMPRODUCT((Inputs!$E$5:$E$170=$B23)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23" s="6" t="e">
        <f>IF(ISNA(MATCH(P$2,Inputs!$K$4:$AJ$4,0)),NA(),IF(SUMPRODUCT((Inputs!$A$5:$A$170=$B23)*ISNUMBER(INDEX(Inputs!$K$5:$AJ$170,0,MATCH(P$2,Inputs!$K$4:$AJ$4,0))))+SUMPRODUCT((Inputs!$C$5:$C$170=$B23)*ISNUMBER(INDEX(Inputs!$K$5:$AJ$170,0,MATCH(P$2,Inputs!$K$4:$AJ$4,0))))+SUMPRODUCT((Inputs!$E$5:$E$170=$B23)*ISNUMBER(INDEX(Inputs!$K$5:$AJ$170,0,MATCH(P$2,Inputs!$K$4:$AJ$4,0))))=0,NA(),SUMPRODUCT((Inputs!$A$5:$A$170=$B23)*Inputs!$B$5:$B$170*(((Inputs!$G$5:$G$170="moeda")+(Inputs!$G$5:$G$170="acoes"))*Inputs!$B$1+((Inputs!$G$5:$G$170&lt;&gt;"moeda")*(Inputs!$G$5:$G$170&lt;&gt;"acoes")))*INDEX(Inputs!$K$5:$AJ$170,0,MATCH(P$2,Inputs!$K$4:$AJ$4,0)))+SUMPRODUCT((Inputs!$C$5:$C$170=$B23)*Inputs!$D$5:$D$170*(((Inputs!$G$5:$G$170="moeda")+(Inputs!$G$5:$G$170="acoes"))*Inputs!$B$1+((Inputs!$G$5:$G$170&lt;&gt;"moeda")*(Inputs!$G$5:$G$170&lt;&gt;"acoes")))*INDEX(Inputs!$K$5:$AJ$170,0,MATCH(P$2,Inputs!$K$4:$AJ$4,0)))+SUMPRODUCT((Inputs!$E$5:$E$170=$B23)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23" s="6" t="e">
        <f>IF(ISNA(MATCH(Q$2,Inputs!$K$4:$AJ$4,0)),NA(),IF(SUMPRODUCT((Inputs!$A$5:$A$170=$B23)*ISNUMBER(INDEX(Inputs!$K$5:$AJ$170,0,MATCH(Q$2,Inputs!$K$4:$AJ$4,0))))+SUMPRODUCT((Inputs!$C$5:$C$170=$B23)*ISNUMBER(INDEX(Inputs!$K$5:$AJ$170,0,MATCH(Q$2,Inputs!$K$4:$AJ$4,0))))+SUMPRODUCT((Inputs!$E$5:$E$170=$B23)*ISNUMBER(INDEX(Inputs!$K$5:$AJ$170,0,MATCH(Q$2,Inputs!$K$4:$AJ$4,0))))=0,NA(),SUMPRODUCT((Inputs!$A$5:$A$170=$B23)*Inputs!$B$5:$B$170*(((Inputs!$G$5:$G$170="moeda")+(Inputs!$G$5:$G$170="acoes"))*Inputs!$B$1+((Inputs!$G$5:$G$170&lt;&gt;"moeda")*(Inputs!$G$5:$G$170&lt;&gt;"acoes")))*INDEX(Inputs!$K$5:$AJ$170,0,MATCH(Q$2,Inputs!$K$4:$AJ$4,0)))+SUMPRODUCT((Inputs!$C$5:$C$170=$B23)*Inputs!$D$5:$D$170*(((Inputs!$G$5:$G$170="moeda")+(Inputs!$G$5:$G$170="acoes"))*Inputs!$B$1+((Inputs!$G$5:$G$170&lt;&gt;"moeda")*(Inputs!$G$5:$G$170&lt;&gt;"acoes")))*INDEX(Inputs!$K$5:$AJ$170,0,MATCH(Q$2,Inputs!$K$4:$AJ$4,0)))+SUMPRODUCT((Inputs!$E$5:$E$170=$B23)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23" s="3" t="e">
        <f>Q23</f>
        <v>#N/A</v>
      </c>
      <c r="S23" s="6" t="e">
        <f>IF(ISNA(MATCH(S$2,Inputs!$K$4:$AJ$4,0)),NA(),IF(SUMPRODUCT((Inputs!$A$5:$A$170=$B23)*ISNUMBER(INDEX(Inputs!$K$5:$AJ$170,0,MATCH(S$2,Inputs!$K$4:$AJ$4,0))))+SUMPRODUCT((Inputs!$C$5:$C$170=$B23)*ISNUMBER(INDEX(Inputs!$K$5:$AJ$170,0,MATCH(S$2,Inputs!$K$4:$AJ$4,0))))+SUMPRODUCT((Inputs!$E$5:$E$170=$B23)*ISNUMBER(INDEX(Inputs!$K$5:$AJ$170,0,MATCH(S$2,Inputs!$K$4:$AJ$4,0))))=0,NA(),SUMPRODUCT((Inputs!$A$5:$A$170=$B23)*Inputs!$B$5:$B$170*(((Inputs!$G$5:$G$170="moeda")+(Inputs!$G$5:$G$170="acoes"))*Inputs!$B$1+((Inputs!$G$5:$G$170&lt;&gt;"moeda")*(Inputs!$G$5:$G$170&lt;&gt;"acoes")))*INDEX(Inputs!$K$5:$AJ$170,0,MATCH(S$2,Inputs!$K$4:$AJ$4,0)))+SUMPRODUCT((Inputs!$C$5:$C$170=$B23)*Inputs!$D$5:$D$170*(((Inputs!$G$5:$G$170="moeda")+(Inputs!$G$5:$G$170="acoes"))*Inputs!$B$1+((Inputs!$G$5:$G$170&lt;&gt;"moeda")*(Inputs!$G$5:$G$170&lt;&gt;"acoes")))*INDEX(Inputs!$K$5:$AJ$170,0,MATCH(S$2,Inputs!$K$4:$AJ$4,0)))+SUMPRODUCT((Inputs!$E$5:$E$170=$B23)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23" s="6" t="e">
        <f>IF(ISNA(MATCH(T$2,Inputs!$K$4:$AJ$4,0)),NA(),IF(SUMPRODUCT((Inputs!$A$5:$A$170=$B23)*ISNUMBER(INDEX(Inputs!$K$5:$AJ$170,0,MATCH(T$2,Inputs!$K$4:$AJ$4,0))))+SUMPRODUCT((Inputs!$C$5:$C$170=$B23)*ISNUMBER(INDEX(Inputs!$K$5:$AJ$170,0,MATCH(T$2,Inputs!$K$4:$AJ$4,0))))+SUMPRODUCT((Inputs!$E$5:$E$170=$B23)*ISNUMBER(INDEX(Inputs!$K$5:$AJ$170,0,MATCH(T$2,Inputs!$K$4:$AJ$4,0))))=0,NA(),SUMPRODUCT((Inputs!$A$5:$A$170=$B23)*Inputs!$B$5:$B$170*(((Inputs!$G$5:$G$170="moeda")+(Inputs!$G$5:$G$170="acoes"))*Inputs!$B$1+((Inputs!$G$5:$G$170&lt;&gt;"moeda")*(Inputs!$G$5:$G$170&lt;&gt;"acoes")))*INDEX(Inputs!$K$5:$AJ$170,0,MATCH(T$2,Inputs!$K$4:$AJ$4,0)))+SUMPRODUCT((Inputs!$C$5:$C$170=$B23)*Inputs!$D$5:$D$170*(((Inputs!$G$5:$G$170="moeda")+(Inputs!$G$5:$G$170="acoes"))*Inputs!$B$1+((Inputs!$G$5:$G$170&lt;&gt;"moeda")*(Inputs!$G$5:$G$170&lt;&gt;"acoes")))*INDEX(Inputs!$K$5:$AJ$170,0,MATCH(T$2,Inputs!$K$4:$AJ$4,0)))+SUMPRODUCT((Inputs!$E$5:$E$170=$B23)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23" s="6" t="e">
        <f>IF(ISNA(MATCH(U$2,Inputs!$K$4:$AJ$4,0)),NA(),IF(SUMPRODUCT((Inputs!$A$5:$A$170=$B23)*ISNUMBER(INDEX(Inputs!$K$5:$AJ$170,0,MATCH(U$2,Inputs!$K$4:$AJ$4,0))))+SUMPRODUCT((Inputs!$C$5:$C$170=$B23)*ISNUMBER(INDEX(Inputs!$K$5:$AJ$170,0,MATCH(U$2,Inputs!$K$4:$AJ$4,0))))+SUMPRODUCT((Inputs!$E$5:$E$170=$B23)*ISNUMBER(INDEX(Inputs!$K$5:$AJ$170,0,MATCH(U$2,Inputs!$K$4:$AJ$4,0))))=0,NA(),SUMPRODUCT((Inputs!$A$5:$A$170=$B23)*Inputs!$B$5:$B$170*(((Inputs!$G$5:$G$170="moeda")+(Inputs!$G$5:$G$170="acoes"))*Inputs!$B$1+((Inputs!$G$5:$G$170&lt;&gt;"moeda")*(Inputs!$G$5:$G$170&lt;&gt;"acoes")))*INDEX(Inputs!$K$5:$AJ$170,0,MATCH(U$2,Inputs!$K$4:$AJ$4,0)))+SUMPRODUCT((Inputs!$C$5:$C$170=$B23)*Inputs!$D$5:$D$170*(((Inputs!$G$5:$G$170="moeda")+(Inputs!$G$5:$G$170="acoes"))*Inputs!$B$1+((Inputs!$G$5:$G$170&lt;&gt;"moeda")*(Inputs!$G$5:$G$170&lt;&gt;"acoes")))*INDEX(Inputs!$K$5:$AJ$170,0,MATCH(U$2,Inputs!$K$4:$AJ$4,0)))+SUMPRODUCT((Inputs!$E$5:$E$170=$B23)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23" s="6" t="e">
        <f>IF(ISNA(MATCH(V$2,Inputs!$K$4:$AJ$4,0)),NA(),IF(SUMPRODUCT((Inputs!$A$5:$A$170=$B23)*ISNUMBER(INDEX(Inputs!$K$5:$AJ$170,0,MATCH(V$2,Inputs!$K$4:$AJ$4,0))))+SUMPRODUCT((Inputs!$C$5:$C$170=$B23)*ISNUMBER(INDEX(Inputs!$K$5:$AJ$170,0,MATCH(V$2,Inputs!$K$4:$AJ$4,0))))+SUMPRODUCT((Inputs!$E$5:$E$170=$B23)*ISNUMBER(INDEX(Inputs!$K$5:$AJ$170,0,MATCH(V$2,Inputs!$K$4:$AJ$4,0))))=0,NA(),SUMPRODUCT((Inputs!$A$5:$A$170=$B23)*Inputs!$B$5:$B$170*(((Inputs!$G$5:$G$170="moeda")+(Inputs!$G$5:$G$170="acoes"))*Inputs!$B$1+((Inputs!$G$5:$G$170&lt;&gt;"moeda")*(Inputs!$G$5:$G$170&lt;&gt;"acoes")))*INDEX(Inputs!$K$5:$AJ$170,0,MATCH(V$2,Inputs!$K$4:$AJ$4,0)))+SUMPRODUCT((Inputs!$C$5:$C$170=$B23)*Inputs!$D$5:$D$170*(((Inputs!$G$5:$G$170="moeda")+(Inputs!$G$5:$G$170="acoes"))*Inputs!$B$1+((Inputs!$G$5:$G$170&lt;&gt;"moeda")*(Inputs!$G$5:$G$170&lt;&gt;"acoes")))*INDEX(Inputs!$K$5:$AJ$170,0,MATCH(V$2,Inputs!$K$4:$AJ$4,0)))+SUMPRODUCT((Inputs!$E$5:$E$170=$B23)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23" s="3" t="e">
        <f>V23</f>
        <v>#N/A</v>
      </c>
      <c r="X23" s="6" t="e">
        <f>IF(ISNA(MATCH(X$2,Inputs!$K$4:$AJ$4,0)),NA(),IF(SUMPRODUCT((Inputs!$A$5:$A$170=$B23)*ISNUMBER(INDEX(Inputs!$K$5:$AJ$170,0,MATCH(X$2,Inputs!$K$4:$AJ$4,0))))+SUMPRODUCT((Inputs!$C$5:$C$170=$B23)*ISNUMBER(INDEX(Inputs!$K$5:$AJ$170,0,MATCH(X$2,Inputs!$K$4:$AJ$4,0))))+SUMPRODUCT((Inputs!$E$5:$E$170=$B23)*ISNUMBER(INDEX(Inputs!$K$5:$AJ$170,0,MATCH(X$2,Inputs!$K$4:$AJ$4,0))))=0,NA(),SUMPRODUCT((Inputs!$A$5:$A$170=$B23)*Inputs!$B$5:$B$170*(((Inputs!$G$5:$G$170="moeda")+(Inputs!$G$5:$G$170="acoes"))*Inputs!$B$1+((Inputs!$G$5:$G$170&lt;&gt;"moeda")*(Inputs!$G$5:$G$170&lt;&gt;"acoes")))*INDEX(Inputs!$K$5:$AJ$170,0,MATCH(X$2,Inputs!$K$4:$AJ$4,0)))+SUMPRODUCT((Inputs!$C$5:$C$170=$B23)*Inputs!$D$5:$D$170*(((Inputs!$G$5:$G$170="moeda")+(Inputs!$G$5:$G$170="acoes"))*Inputs!$B$1+((Inputs!$G$5:$G$170&lt;&gt;"moeda")*(Inputs!$G$5:$G$170&lt;&gt;"acoes")))*INDEX(Inputs!$K$5:$AJ$170,0,MATCH(X$2,Inputs!$K$4:$AJ$4,0)))+SUMPRODUCT((Inputs!$E$5:$E$170=$B23)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23" s="6" t="e">
        <f>IF(ISNA(MATCH(Y$2,Inputs!$K$4:$AJ$4,0)),NA(),IF(SUMPRODUCT((Inputs!$A$5:$A$170=$B23)*ISNUMBER(INDEX(Inputs!$K$5:$AJ$170,0,MATCH(Y$2,Inputs!$K$4:$AJ$4,0))))+SUMPRODUCT((Inputs!$C$5:$C$170=$B23)*ISNUMBER(INDEX(Inputs!$K$5:$AJ$170,0,MATCH(Y$2,Inputs!$K$4:$AJ$4,0))))+SUMPRODUCT((Inputs!$E$5:$E$170=$B23)*ISNUMBER(INDEX(Inputs!$K$5:$AJ$170,0,MATCH(Y$2,Inputs!$K$4:$AJ$4,0))))=0,NA(),SUMPRODUCT((Inputs!$A$5:$A$170=$B23)*Inputs!$B$5:$B$170*(((Inputs!$G$5:$G$170="moeda")+(Inputs!$G$5:$G$170="acoes"))*Inputs!$B$1+((Inputs!$G$5:$G$170&lt;&gt;"moeda")*(Inputs!$G$5:$G$170&lt;&gt;"acoes")))*INDEX(Inputs!$K$5:$AJ$170,0,MATCH(Y$2,Inputs!$K$4:$AJ$4,0)))+SUMPRODUCT((Inputs!$C$5:$C$170=$B23)*Inputs!$D$5:$D$170*(((Inputs!$G$5:$G$170="moeda")+(Inputs!$G$5:$G$170="acoes"))*Inputs!$B$1+((Inputs!$G$5:$G$170&lt;&gt;"moeda")*(Inputs!$G$5:$G$170&lt;&gt;"acoes")))*INDEX(Inputs!$K$5:$AJ$170,0,MATCH(Y$2,Inputs!$K$4:$AJ$4,0)))+SUMPRODUCT((Inputs!$E$5:$E$170=$B23)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23" s="6" t="e">
        <f>IF(ISNA(MATCH(Z$2,Inputs!$K$4:$AJ$4,0)),NA(),IF(SUMPRODUCT((Inputs!$A$5:$A$170=$B23)*ISNUMBER(INDEX(Inputs!$K$5:$AJ$170,0,MATCH(Z$2,Inputs!$K$4:$AJ$4,0))))+SUMPRODUCT((Inputs!$C$5:$C$170=$B23)*ISNUMBER(INDEX(Inputs!$K$5:$AJ$170,0,MATCH(Z$2,Inputs!$K$4:$AJ$4,0))))+SUMPRODUCT((Inputs!$E$5:$E$170=$B23)*ISNUMBER(INDEX(Inputs!$K$5:$AJ$170,0,MATCH(Z$2,Inputs!$K$4:$AJ$4,0))))=0,NA(),SUMPRODUCT((Inputs!$A$5:$A$170=$B23)*Inputs!$B$5:$B$170*(((Inputs!$G$5:$G$170="moeda")+(Inputs!$G$5:$G$170="acoes"))*Inputs!$B$1+((Inputs!$G$5:$G$170&lt;&gt;"moeda")*(Inputs!$G$5:$G$170&lt;&gt;"acoes")))*INDEX(Inputs!$K$5:$AJ$170,0,MATCH(Z$2,Inputs!$K$4:$AJ$4,0)))+SUMPRODUCT((Inputs!$C$5:$C$170=$B23)*Inputs!$D$5:$D$170*(((Inputs!$G$5:$G$170="moeda")+(Inputs!$G$5:$G$170="acoes"))*Inputs!$B$1+((Inputs!$G$5:$G$170&lt;&gt;"moeda")*(Inputs!$G$5:$G$170&lt;&gt;"acoes")))*INDEX(Inputs!$K$5:$AJ$170,0,MATCH(Z$2,Inputs!$K$4:$AJ$4,0)))+SUMPRODUCT((Inputs!$E$5:$E$170=$B23)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23" s="6" t="e">
        <f>IF(ISNA(MATCH(AA$2,Inputs!$K$4:$AJ$4,0)),NA(),IF(SUMPRODUCT((Inputs!$A$5:$A$170=$B23)*ISNUMBER(INDEX(Inputs!$K$5:$AJ$170,0,MATCH(AA$2,Inputs!$K$4:$AJ$4,0))))+SUMPRODUCT((Inputs!$C$5:$C$170=$B23)*ISNUMBER(INDEX(Inputs!$K$5:$AJ$170,0,MATCH(AA$2,Inputs!$K$4:$AJ$4,0))))+SUMPRODUCT((Inputs!$E$5:$E$170=$B23)*ISNUMBER(INDEX(Inputs!$K$5:$AJ$170,0,MATCH(AA$2,Inputs!$K$4:$AJ$4,0))))=0,NA(),SUMPRODUCT((Inputs!$A$5:$A$170=$B23)*Inputs!$B$5:$B$170*(((Inputs!$G$5:$G$170="moeda")+(Inputs!$G$5:$G$170="acoes"))*Inputs!$B$1+((Inputs!$G$5:$G$170&lt;&gt;"moeda")*(Inputs!$G$5:$G$170&lt;&gt;"acoes")))*INDEX(Inputs!$K$5:$AJ$170,0,MATCH(AA$2,Inputs!$K$4:$AJ$4,0)))+SUMPRODUCT((Inputs!$C$5:$C$170=$B23)*Inputs!$D$5:$D$170*(((Inputs!$G$5:$G$170="moeda")+(Inputs!$G$5:$G$170="acoes"))*Inputs!$B$1+((Inputs!$G$5:$G$170&lt;&gt;"moeda")*(Inputs!$G$5:$G$170&lt;&gt;"acoes")))*INDEX(Inputs!$K$5:$AJ$170,0,MATCH(AA$2,Inputs!$K$4:$AJ$4,0)))+SUMPRODUCT((Inputs!$E$5:$E$170=$B23)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23" s="3" t="e">
        <f>AA23</f>
        <v>#N/A</v>
      </c>
      <c r="AC23" s="6" t="e">
        <f>IF(ISNA(MATCH(AC$2,Inputs!$K$4:$AJ$4,0)),NA(),IF(SUMPRODUCT((Inputs!$A$5:$A$170=$B23)*ISNUMBER(INDEX(Inputs!$K$5:$AJ$170,0,MATCH(AC$2,Inputs!$K$4:$AJ$4,0))))+SUMPRODUCT((Inputs!$C$5:$C$170=$B23)*ISNUMBER(INDEX(Inputs!$K$5:$AJ$170,0,MATCH(AC$2,Inputs!$K$4:$AJ$4,0))))+SUMPRODUCT((Inputs!$E$5:$E$170=$B23)*ISNUMBER(INDEX(Inputs!$K$5:$AJ$170,0,MATCH(AC$2,Inputs!$K$4:$AJ$4,0))))=0,NA(),SUMPRODUCT((Inputs!$A$5:$A$170=$B23)*Inputs!$B$5:$B$170*(((Inputs!$G$5:$G$170="moeda")+(Inputs!$G$5:$G$170="acoes"))*Inputs!$B$1+((Inputs!$G$5:$G$170&lt;&gt;"moeda")*(Inputs!$G$5:$G$170&lt;&gt;"acoes")))*INDEX(Inputs!$K$5:$AJ$170,0,MATCH(AC$2,Inputs!$K$4:$AJ$4,0)))+SUMPRODUCT((Inputs!$C$5:$C$170=$B23)*Inputs!$D$5:$D$170*(((Inputs!$G$5:$G$170="moeda")+(Inputs!$G$5:$G$170="acoes"))*Inputs!$B$1+((Inputs!$G$5:$G$170&lt;&gt;"moeda")*(Inputs!$G$5:$G$170&lt;&gt;"acoes")))*INDEX(Inputs!$K$5:$AJ$170,0,MATCH(AC$2,Inputs!$K$4:$AJ$4,0)))+SUMPRODUCT((Inputs!$E$5:$E$170=$B23)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23" s="6" t="e">
        <f>IF(ISNA(MATCH(AD$2,Inputs!$K$4:$AJ$4,0)),NA(),IF(SUMPRODUCT((Inputs!$A$5:$A$170=$B23)*ISNUMBER(INDEX(Inputs!$K$5:$AJ$170,0,MATCH(AD$2,Inputs!$K$4:$AJ$4,0))))+SUMPRODUCT((Inputs!$C$5:$C$170=$B23)*ISNUMBER(INDEX(Inputs!$K$5:$AJ$170,0,MATCH(AD$2,Inputs!$K$4:$AJ$4,0))))+SUMPRODUCT((Inputs!$E$5:$E$170=$B23)*ISNUMBER(INDEX(Inputs!$K$5:$AJ$170,0,MATCH(AD$2,Inputs!$K$4:$AJ$4,0))))=0,NA(),SUMPRODUCT((Inputs!$A$5:$A$170=$B23)*Inputs!$B$5:$B$170*(((Inputs!$G$5:$G$170="moeda")+(Inputs!$G$5:$G$170="acoes"))*Inputs!$B$1+((Inputs!$G$5:$G$170&lt;&gt;"moeda")*(Inputs!$G$5:$G$170&lt;&gt;"acoes")))*INDEX(Inputs!$K$5:$AJ$170,0,MATCH(AD$2,Inputs!$K$4:$AJ$4,0)))+SUMPRODUCT((Inputs!$C$5:$C$170=$B23)*Inputs!$D$5:$D$170*(((Inputs!$G$5:$G$170="moeda")+(Inputs!$G$5:$G$170="acoes"))*Inputs!$B$1+((Inputs!$G$5:$G$170&lt;&gt;"moeda")*(Inputs!$G$5:$G$170&lt;&gt;"acoes")))*INDEX(Inputs!$K$5:$AJ$170,0,MATCH(AD$2,Inputs!$K$4:$AJ$4,0)))+SUMPRODUCT((Inputs!$E$5:$E$170=$B23)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23" s="6" t="e">
        <f>IF(ISNA(MATCH(AE$2,Inputs!$K$4:$AJ$4,0)),NA(),IF(SUMPRODUCT((Inputs!$A$5:$A$170=$B23)*ISNUMBER(INDEX(Inputs!$K$5:$AJ$170,0,MATCH(AE$2,Inputs!$K$4:$AJ$4,0))))+SUMPRODUCT((Inputs!$C$5:$C$170=$B23)*ISNUMBER(INDEX(Inputs!$K$5:$AJ$170,0,MATCH(AE$2,Inputs!$K$4:$AJ$4,0))))+SUMPRODUCT((Inputs!$E$5:$E$170=$B23)*ISNUMBER(INDEX(Inputs!$K$5:$AJ$170,0,MATCH(AE$2,Inputs!$K$4:$AJ$4,0))))=0,NA(),SUMPRODUCT((Inputs!$A$5:$A$170=$B23)*Inputs!$B$5:$B$170*(((Inputs!$G$5:$G$170="moeda")+(Inputs!$G$5:$G$170="acoes"))*Inputs!$B$1+((Inputs!$G$5:$G$170&lt;&gt;"moeda")*(Inputs!$G$5:$G$170&lt;&gt;"acoes")))*INDEX(Inputs!$K$5:$AJ$170,0,MATCH(AE$2,Inputs!$K$4:$AJ$4,0)))+SUMPRODUCT((Inputs!$C$5:$C$170=$B23)*Inputs!$D$5:$D$170*(((Inputs!$G$5:$G$170="moeda")+(Inputs!$G$5:$G$170="acoes"))*Inputs!$B$1+((Inputs!$G$5:$G$170&lt;&gt;"moeda")*(Inputs!$G$5:$G$170&lt;&gt;"acoes")))*INDEX(Inputs!$K$5:$AJ$170,0,MATCH(AE$2,Inputs!$K$4:$AJ$4,0)))+SUMPRODUCT((Inputs!$E$5:$E$170=$B23)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3" s="6" t="e">
        <f>IF(ISNA(MATCH(AF$2,Inputs!$K$4:$AJ$4,0)),NA(),IF(SUMPRODUCT((Inputs!$A$5:$A$170=$B23)*ISNUMBER(INDEX(Inputs!$K$5:$AJ$170,0,MATCH(AF$2,Inputs!$K$4:$AJ$4,0))))+SUMPRODUCT((Inputs!$C$5:$C$170=$B23)*ISNUMBER(INDEX(Inputs!$K$5:$AJ$170,0,MATCH(AF$2,Inputs!$K$4:$AJ$4,0))))+SUMPRODUCT((Inputs!$E$5:$E$170=$B23)*ISNUMBER(INDEX(Inputs!$K$5:$AJ$170,0,MATCH(AF$2,Inputs!$K$4:$AJ$4,0))))=0,NA(),SUMPRODUCT((Inputs!$A$5:$A$170=$B23)*Inputs!$B$5:$B$170*(((Inputs!$G$5:$G$170="moeda")+(Inputs!$G$5:$G$170="acoes"))*Inputs!$B$1+((Inputs!$G$5:$G$170&lt;&gt;"moeda")*(Inputs!$G$5:$G$170&lt;&gt;"acoes")))*INDEX(Inputs!$K$5:$AJ$170,0,MATCH(AF$2,Inputs!$K$4:$AJ$4,0)))+SUMPRODUCT((Inputs!$C$5:$C$170=$B23)*Inputs!$D$5:$D$170*(((Inputs!$G$5:$G$170="moeda")+(Inputs!$G$5:$G$170="acoes"))*Inputs!$B$1+((Inputs!$G$5:$G$170&lt;&gt;"moeda")*(Inputs!$G$5:$G$170&lt;&gt;"acoes")))*INDEX(Inputs!$K$5:$AJ$170,0,MATCH(AF$2,Inputs!$K$4:$AJ$4,0)))+SUMPRODUCT((Inputs!$E$5:$E$170=$B23)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3" s="3" t="e">
        <f>AF23</f>
        <v>#N/A</v>
      </c>
      <c r="AH23" s="6" t="e">
        <f>IF(ISNA(MATCH(AH$2,Inputs!$K$4:$AJ$4,0)),NA(),IF(SUMPRODUCT((Inputs!$A$5:$A$170=$B23)*ISNUMBER(INDEX(Inputs!$K$5:$AJ$170,0,MATCH(AH$2,Inputs!$K$4:$AJ$4,0))))+SUMPRODUCT((Inputs!$C$5:$C$170=$B23)*ISNUMBER(INDEX(Inputs!$K$5:$AJ$170,0,MATCH(AH$2,Inputs!$K$4:$AJ$4,0))))+SUMPRODUCT((Inputs!$E$5:$E$170=$B23)*ISNUMBER(INDEX(Inputs!$K$5:$AJ$170,0,MATCH(AH$2,Inputs!$K$4:$AJ$4,0))))=0,NA(),SUMPRODUCT((Inputs!$A$5:$A$170=$B23)*Inputs!$B$5:$B$170*(((Inputs!$G$5:$G$170="moeda")+(Inputs!$G$5:$G$170="acoes"))*Inputs!$B$1+((Inputs!$G$5:$G$170&lt;&gt;"moeda")*(Inputs!$G$5:$G$170&lt;&gt;"acoes")))*INDEX(Inputs!$K$5:$AJ$170,0,MATCH(AH$2,Inputs!$K$4:$AJ$4,0)))+SUMPRODUCT((Inputs!$C$5:$C$170=$B23)*Inputs!$D$5:$D$170*(((Inputs!$G$5:$G$170="moeda")+(Inputs!$G$5:$G$170="acoes"))*Inputs!$B$1+((Inputs!$G$5:$G$170&lt;&gt;"moeda")*(Inputs!$G$5:$G$170&lt;&gt;"acoes")))*INDEX(Inputs!$K$5:$AJ$170,0,MATCH(AH$2,Inputs!$K$4:$AJ$4,0)))+SUMPRODUCT((Inputs!$E$5:$E$170=$B23)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23" s="6" t="e">
        <f>IF(ISNA(MATCH(AI$2,Inputs!$K$4:$AJ$4,0)),NA(),IF(SUMPRODUCT((Inputs!$A$5:$A$170=$B23)*ISNUMBER(INDEX(Inputs!$K$5:$AJ$170,0,MATCH(AI$2,Inputs!$K$4:$AJ$4,0))))+SUMPRODUCT((Inputs!$C$5:$C$170=$B23)*ISNUMBER(INDEX(Inputs!$K$5:$AJ$170,0,MATCH(AI$2,Inputs!$K$4:$AJ$4,0))))+SUMPRODUCT((Inputs!$E$5:$E$170=$B23)*ISNUMBER(INDEX(Inputs!$K$5:$AJ$170,0,MATCH(AI$2,Inputs!$K$4:$AJ$4,0))))=0,NA(),SUMPRODUCT((Inputs!$A$5:$A$170=$B23)*Inputs!$B$5:$B$170*(((Inputs!$G$5:$G$170="moeda")+(Inputs!$G$5:$G$170="acoes"))*Inputs!$B$1+((Inputs!$G$5:$G$170&lt;&gt;"moeda")*(Inputs!$G$5:$G$170&lt;&gt;"acoes")))*INDEX(Inputs!$K$5:$AJ$170,0,MATCH(AI$2,Inputs!$K$4:$AJ$4,0)))+SUMPRODUCT((Inputs!$C$5:$C$170=$B23)*Inputs!$D$5:$D$170*(((Inputs!$G$5:$G$170="moeda")+(Inputs!$G$5:$G$170="acoes"))*Inputs!$B$1+((Inputs!$G$5:$G$170&lt;&gt;"moeda")*(Inputs!$G$5:$G$170&lt;&gt;"acoes")))*INDEX(Inputs!$K$5:$AJ$170,0,MATCH(AI$2,Inputs!$K$4:$AJ$4,0)))+SUMPRODUCT((Inputs!$E$5:$E$170=$B23)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23" s="6" t="e">
        <f>IF(ISNA(MATCH(AJ$2,Inputs!$K$4:$AJ$4,0)),NA(),IF(SUMPRODUCT((Inputs!$A$5:$A$170=$B23)*ISNUMBER(INDEX(Inputs!$K$5:$AJ$170,0,MATCH(AJ$2,Inputs!$K$4:$AJ$4,0))))+SUMPRODUCT((Inputs!$C$5:$C$170=$B23)*ISNUMBER(INDEX(Inputs!$K$5:$AJ$170,0,MATCH(AJ$2,Inputs!$K$4:$AJ$4,0))))+SUMPRODUCT((Inputs!$E$5:$E$170=$B23)*ISNUMBER(INDEX(Inputs!$K$5:$AJ$170,0,MATCH(AJ$2,Inputs!$K$4:$AJ$4,0))))=0,NA(),SUMPRODUCT((Inputs!$A$5:$A$170=$B23)*Inputs!$B$5:$B$170*(((Inputs!$G$5:$G$170="moeda")+(Inputs!$G$5:$G$170="acoes"))*Inputs!$B$1+((Inputs!$G$5:$G$170&lt;&gt;"moeda")*(Inputs!$G$5:$G$170&lt;&gt;"acoes")))*INDEX(Inputs!$K$5:$AJ$170,0,MATCH(AJ$2,Inputs!$K$4:$AJ$4,0)))+SUMPRODUCT((Inputs!$C$5:$C$170=$B23)*Inputs!$D$5:$D$170*(((Inputs!$G$5:$G$170="moeda")+(Inputs!$G$5:$G$170="acoes"))*Inputs!$B$1+((Inputs!$G$5:$G$170&lt;&gt;"moeda")*(Inputs!$G$5:$G$170&lt;&gt;"acoes")))*INDEX(Inputs!$K$5:$AJ$170,0,MATCH(AJ$2,Inputs!$K$4:$AJ$4,0)))+SUMPRODUCT((Inputs!$E$5:$E$170=$B23)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23" s="6" t="e">
        <f>IF(ISNA(MATCH(AK$2,Inputs!$K$4:$AJ$4,0)),NA(),IF(SUMPRODUCT((Inputs!$A$5:$A$170=$B23)*ISNUMBER(INDEX(Inputs!$K$5:$AJ$170,0,MATCH(AK$2,Inputs!$K$4:$AJ$4,0))))+SUMPRODUCT((Inputs!$C$5:$C$170=$B23)*ISNUMBER(INDEX(Inputs!$K$5:$AJ$170,0,MATCH(AK$2,Inputs!$K$4:$AJ$4,0))))+SUMPRODUCT((Inputs!$E$5:$E$170=$B23)*ISNUMBER(INDEX(Inputs!$K$5:$AJ$170,0,MATCH(AK$2,Inputs!$K$4:$AJ$4,0))))=0,NA(),SUMPRODUCT((Inputs!$A$5:$A$170=$B23)*Inputs!$B$5:$B$170*(((Inputs!$G$5:$G$170="moeda")+(Inputs!$G$5:$G$170="acoes"))*Inputs!$B$1+((Inputs!$G$5:$G$170&lt;&gt;"moeda")*(Inputs!$G$5:$G$170&lt;&gt;"acoes")))*INDEX(Inputs!$K$5:$AJ$170,0,MATCH(AK$2,Inputs!$K$4:$AJ$4,0)))+SUMPRODUCT((Inputs!$C$5:$C$170=$B23)*Inputs!$D$5:$D$170*(((Inputs!$G$5:$G$170="moeda")+(Inputs!$G$5:$G$170="acoes"))*Inputs!$B$1+((Inputs!$G$5:$G$170&lt;&gt;"moeda")*(Inputs!$G$5:$G$170&lt;&gt;"acoes")))*INDEX(Inputs!$K$5:$AJ$170,0,MATCH(AK$2,Inputs!$K$4:$AJ$4,0)))+SUMPRODUCT((Inputs!$E$5:$E$170=$B23)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$170=$B24)*ISNUMBER(INDEX(Inputs!$K$5:$AJ$170,0,MATCH(D$2,Inputs!$K$4:$AJ$4,0))))+SUMPRODUCT((Inputs!$C$5:$C$170=$B24)*ISNUMBER(INDEX(Inputs!$K$5:$AJ$170,0,MATCH(D$2,Inputs!$K$4:$AJ$4,0))))+SUMPRODUCT((Inputs!$E$5:$E$170=$B24)*ISNUMBER(INDEX(Inputs!$K$5:$AJ$170,0,MATCH(D$2,Inputs!$K$4:$AJ$4,0))))=0,NA(),SUMPRODUCT((Inputs!$A$5:$A$170=$B24)*Inputs!$B$5:$B$170*(((Inputs!$G$5:$G$170="moeda")+(Inputs!$G$5:$G$170="acoes"))*Inputs!$B$1+((Inputs!$G$5:$G$170&lt;&gt;"moeda")*(Inputs!$G$5:$G$170&lt;&gt;"acoes")))*INDEX(Inputs!$K$5:$AJ$170,0,MATCH(D$2,Inputs!$K$4:$AJ$4,0)))+SUMPRODUCT((Inputs!$C$5:$C$170=$B24)*Inputs!$D$5:$D$170*(((Inputs!$G$5:$G$170="moeda")+(Inputs!$G$5:$G$170="acoes"))*Inputs!$B$1+((Inputs!$G$5:$G$170&lt;&gt;"moeda")*(Inputs!$G$5:$G$170&lt;&gt;"acoes")))*INDEX(Inputs!$K$5:$AJ$170,0,MATCH(D$2,Inputs!$K$4:$AJ$4,0)))+SUMPRODUCT((Inputs!$E$5:$E$170=$B24)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24" s="6" t="e">
        <f>IF(ISNA(MATCH(E$2,Inputs!$K$4:$AJ$4,0)),NA(),IF(SUMPRODUCT((Inputs!$A$5:$A$170=$B24)*ISNUMBER(INDEX(Inputs!$K$5:$AJ$170,0,MATCH(E$2,Inputs!$K$4:$AJ$4,0))))+SUMPRODUCT((Inputs!$C$5:$C$170=$B24)*ISNUMBER(INDEX(Inputs!$K$5:$AJ$170,0,MATCH(E$2,Inputs!$K$4:$AJ$4,0))))+SUMPRODUCT((Inputs!$E$5:$E$170=$B24)*ISNUMBER(INDEX(Inputs!$K$5:$AJ$170,0,MATCH(E$2,Inputs!$K$4:$AJ$4,0))))=0,NA(),SUMPRODUCT((Inputs!$A$5:$A$170=$B24)*Inputs!$B$5:$B$170*(((Inputs!$G$5:$G$170="moeda")+(Inputs!$G$5:$G$170="acoes"))*Inputs!$B$1+((Inputs!$G$5:$G$170&lt;&gt;"moeda")*(Inputs!$G$5:$G$170&lt;&gt;"acoes")))*INDEX(Inputs!$K$5:$AJ$170,0,MATCH(E$2,Inputs!$K$4:$AJ$4,0)))+SUMPRODUCT((Inputs!$C$5:$C$170=$B24)*Inputs!$D$5:$D$170*(((Inputs!$G$5:$G$170="moeda")+(Inputs!$G$5:$G$170="acoes"))*Inputs!$B$1+((Inputs!$G$5:$G$170&lt;&gt;"moeda")*(Inputs!$G$5:$G$170&lt;&gt;"acoes")))*INDEX(Inputs!$K$5:$AJ$170,0,MATCH(E$2,Inputs!$K$4:$AJ$4,0)))+SUMPRODUCT((Inputs!$E$5:$E$170=$B24)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24" s="6" t="e">
        <f>IF(ISNA(MATCH(F$2,Inputs!$K$4:$AJ$4,0)),NA(),IF(SUMPRODUCT((Inputs!$A$5:$A$170=$B24)*ISNUMBER(INDEX(Inputs!$K$5:$AJ$170,0,MATCH(F$2,Inputs!$K$4:$AJ$4,0))))+SUMPRODUCT((Inputs!$C$5:$C$170=$B24)*ISNUMBER(INDEX(Inputs!$K$5:$AJ$170,0,MATCH(F$2,Inputs!$K$4:$AJ$4,0))))+SUMPRODUCT((Inputs!$E$5:$E$170=$B24)*ISNUMBER(INDEX(Inputs!$K$5:$AJ$170,0,MATCH(F$2,Inputs!$K$4:$AJ$4,0))))=0,NA(),SUMPRODUCT((Inputs!$A$5:$A$170=$B24)*Inputs!$B$5:$B$170*(((Inputs!$G$5:$G$170="moeda")+(Inputs!$G$5:$G$170="acoes"))*Inputs!$B$1+((Inputs!$G$5:$G$170&lt;&gt;"moeda")*(Inputs!$G$5:$G$170&lt;&gt;"acoes")))*INDEX(Inputs!$K$5:$AJ$170,0,MATCH(F$2,Inputs!$K$4:$AJ$4,0)))+SUMPRODUCT((Inputs!$C$5:$C$170=$B24)*Inputs!$D$5:$D$170*(((Inputs!$G$5:$G$170="moeda")+(Inputs!$G$5:$G$170="acoes"))*Inputs!$B$1+((Inputs!$G$5:$G$170&lt;&gt;"moeda")*(Inputs!$G$5:$G$170&lt;&gt;"acoes")))*INDEX(Inputs!$K$5:$AJ$170,0,MATCH(F$2,Inputs!$K$4:$AJ$4,0)))+SUMPRODUCT((Inputs!$E$5:$E$170=$B24)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24" s="6" t="e">
        <f>IF(ISNA(MATCH(G$2,Inputs!$K$4:$AJ$4,0)),NA(),IF(SUMPRODUCT((Inputs!$A$5:$A$170=$B24)*ISNUMBER(INDEX(Inputs!$K$5:$AJ$170,0,MATCH(G$2,Inputs!$K$4:$AJ$4,0))))+SUMPRODUCT((Inputs!$C$5:$C$170=$B24)*ISNUMBER(INDEX(Inputs!$K$5:$AJ$170,0,MATCH(G$2,Inputs!$K$4:$AJ$4,0))))+SUMPRODUCT((Inputs!$E$5:$E$170=$B24)*ISNUMBER(INDEX(Inputs!$K$5:$AJ$170,0,MATCH(G$2,Inputs!$K$4:$AJ$4,0))))=0,NA(),SUMPRODUCT((Inputs!$A$5:$A$170=$B24)*Inputs!$B$5:$B$170*(((Inputs!$G$5:$G$170="moeda")+(Inputs!$G$5:$G$170="acoes"))*Inputs!$B$1+((Inputs!$G$5:$G$170&lt;&gt;"moeda")*(Inputs!$G$5:$G$170&lt;&gt;"acoes")))*INDEX(Inputs!$K$5:$AJ$170,0,MATCH(G$2,Inputs!$K$4:$AJ$4,0)))+SUMPRODUCT((Inputs!$C$5:$C$170=$B24)*Inputs!$D$5:$D$170*(((Inputs!$G$5:$G$170="moeda")+(Inputs!$G$5:$G$170="acoes"))*Inputs!$B$1+((Inputs!$G$5:$G$170&lt;&gt;"moeda")*(Inputs!$G$5:$G$170&lt;&gt;"acoes")))*INDEX(Inputs!$K$5:$AJ$170,0,MATCH(G$2,Inputs!$K$4:$AJ$4,0)))+SUMPRODUCT((Inputs!$E$5:$E$170=$B24)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24" s="3" t="e">
        <f>G24</f>
        <v>#N/A</v>
      </c>
      <c r="I24" s="6" t="e">
        <f>IF(ISNA(MATCH(I$2,Inputs!$K$4:$AJ$4,0)),NA(),IF(SUMPRODUCT((Inputs!$A$5:$A$170=$B24)*ISNUMBER(INDEX(Inputs!$K$5:$AJ$170,0,MATCH(I$2,Inputs!$K$4:$AJ$4,0))))+SUMPRODUCT((Inputs!$C$5:$C$170=$B24)*ISNUMBER(INDEX(Inputs!$K$5:$AJ$170,0,MATCH(I$2,Inputs!$K$4:$AJ$4,0))))+SUMPRODUCT((Inputs!$E$5:$E$170=$B24)*ISNUMBER(INDEX(Inputs!$K$5:$AJ$170,0,MATCH(I$2,Inputs!$K$4:$AJ$4,0))))=0,NA(),SUMPRODUCT((Inputs!$A$5:$A$170=$B24)*Inputs!$B$5:$B$170*(((Inputs!$G$5:$G$170="moeda")+(Inputs!$G$5:$G$170="acoes"))*Inputs!$B$1+((Inputs!$G$5:$G$170&lt;&gt;"moeda")*(Inputs!$G$5:$G$170&lt;&gt;"acoes")))*INDEX(Inputs!$K$5:$AJ$170,0,MATCH(I$2,Inputs!$K$4:$AJ$4,0)))+SUMPRODUCT((Inputs!$C$5:$C$170=$B24)*Inputs!$D$5:$D$170*(((Inputs!$G$5:$G$170="moeda")+(Inputs!$G$5:$G$170="acoes"))*Inputs!$B$1+((Inputs!$G$5:$G$170&lt;&gt;"moeda")*(Inputs!$G$5:$G$170&lt;&gt;"acoes")))*INDEX(Inputs!$K$5:$AJ$170,0,MATCH(I$2,Inputs!$K$4:$AJ$4,0)))+SUMPRODUCT((Inputs!$E$5:$E$170=$B24)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24" s="6" t="e">
        <f>IF(ISNA(MATCH(J$2,Inputs!$K$4:$AJ$4,0)),NA(),IF(SUMPRODUCT((Inputs!$A$5:$A$170=$B24)*ISNUMBER(INDEX(Inputs!$K$5:$AJ$170,0,MATCH(J$2,Inputs!$K$4:$AJ$4,0))))+SUMPRODUCT((Inputs!$C$5:$C$170=$B24)*ISNUMBER(INDEX(Inputs!$K$5:$AJ$170,0,MATCH(J$2,Inputs!$K$4:$AJ$4,0))))+SUMPRODUCT((Inputs!$E$5:$E$170=$B24)*ISNUMBER(INDEX(Inputs!$K$5:$AJ$170,0,MATCH(J$2,Inputs!$K$4:$AJ$4,0))))=0,NA(),SUMPRODUCT((Inputs!$A$5:$A$170=$B24)*Inputs!$B$5:$B$170*(((Inputs!$G$5:$G$170="moeda")+(Inputs!$G$5:$G$170="acoes"))*Inputs!$B$1+((Inputs!$G$5:$G$170&lt;&gt;"moeda")*(Inputs!$G$5:$G$170&lt;&gt;"acoes")))*INDEX(Inputs!$K$5:$AJ$170,0,MATCH(J$2,Inputs!$K$4:$AJ$4,0)))+SUMPRODUCT((Inputs!$C$5:$C$170=$B24)*Inputs!$D$5:$D$170*(((Inputs!$G$5:$G$170="moeda")+(Inputs!$G$5:$G$170="acoes"))*Inputs!$B$1+((Inputs!$G$5:$G$170&lt;&gt;"moeda")*(Inputs!$G$5:$G$170&lt;&gt;"acoes")))*INDEX(Inputs!$K$5:$AJ$170,0,MATCH(J$2,Inputs!$K$4:$AJ$4,0)))+SUMPRODUCT((Inputs!$E$5:$E$170=$B24)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24" s="6" t="e">
        <f>IF(ISNA(MATCH(K$2,Inputs!$K$4:$AJ$4,0)),NA(),IF(SUMPRODUCT((Inputs!$A$5:$A$170=$B24)*ISNUMBER(INDEX(Inputs!$K$5:$AJ$170,0,MATCH(K$2,Inputs!$K$4:$AJ$4,0))))+SUMPRODUCT((Inputs!$C$5:$C$170=$B24)*ISNUMBER(INDEX(Inputs!$K$5:$AJ$170,0,MATCH(K$2,Inputs!$K$4:$AJ$4,0))))+SUMPRODUCT((Inputs!$E$5:$E$170=$B24)*ISNUMBER(INDEX(Inputs!$K$5:$AJ$170,0,MATCH(K$2,Inputs!$K$4:$AJ$4,0))))=0,NA(),SUMPRODUCT((Inputs!$A$5:$A$170=$B24)*Inputs!$B$5:$B$170*(((Inputs!$G$5:$G$170="moeda")+(Inputs!$G$5:$G$170="acoes"))*Inputs!$B$1+((Inputs!$G$5:$G$170&lt;&gt;"moeda")*(Inputs!$G$5:$G$170&lt;&gt;"acoes")))*INDEX(Inputs!$K$5:$AJ$170,0,MATCH(K$2,Inputs!$K$4:$AJ$4,0)))+SUMPRODUCT((Inputs!$C$5:$C$170=$B24)*Inputs!$D$5:$D$170*(((Inputs!$G$5:$G$170="moeda")+(Inputs!$G$5:$G$170="acoes"))*Inputs!$B$1+((Inputs!$G$5:$G$170&lt;&gt;"moeda")*(Inputs!$G$5:$G$170&lt;&gt;"acoes")))*INDEX(Inputs!$K$5:$AJ$170,0,MATCH(K$2,Inputs!$K$4:$AJ$4,0)))+SUMPRODUCT((Inputs!$E$5:$E$170=$B24)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24" s="6" t="e">
        <f>IF(ISNA(MATCH(L$2,Inputs!$K$4:$AJ$4,0)),NA(),IF(SUMPRODUCT((Inputs!$A$5:$A$170=$B24)*ISNUMBER(INDEX(Inputs!$K$5:$AJ$170,0,MATCH(L$2,Inputs!$K$4:$AJ$4,0))))+SUMPRODUCT((Inputs!$C$5:$C$170=$B24)*ISNUMBER(INDEX(Inputs!$K$5:$AJ$170,0,MATCH(L$2,Inputs!$K$4:$AJ$4,0))))+SUMPRODUCT((Inputs!$E$5:$E$170=$B24)*ISNUMBER(INDEX(Inputs!$K$5:$AJ$170,0,MATCH(L$2,Inputs!$K$4:$AJ$4,0))))=0,NA(),SUMPRODUCT((Inputs!$A$5:$A$170=$B24)*Inputs!$B$5:$B$170*(((Inputs!$G$5:$G$170="moeda")+(Inputs!$G$5:$G$170="acoes"))*Inputs!$B$1+((Inputs!$G$5:$G$170&lt;&gt;"moeda")*(Inputs!$G$5:$G$170&lt;&gt;"acoes")))*INDEX(Inputs!$K$5:$AJ$170,0,MATCH(L$2,Inputs!$K$4:$AJ$4,0)))+SUMPRODUCT((Inputs!$C$5:$C$170=$B24)*Inputs!$D$5:$D$170*(((Inputs!$G$5:$G$170="moeda")+(Inputs!$G$5:$G$170="acoes"))*Inputs!$B$1+((Inputs!$G$5:$G$170&lt;&gt;"moeda")*(Inputs!$G$5:$G$170&lt;&gt;"acoes")))*INDEX(Inputs!$K$5:$AJ$170,0,MATCH(L$2,Inputs!$K$4:$AJ$4,0)))+SUMPRODUCT((Inputs!$E$5:$E$170=$B24)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24" s="3" t="e">
        <f>L24</f>
        <v>#N/A</v>
      </c>
      <c r="N24" s="6" t="e">
        <f>IF(ISNA(MATCH(N$2,Inputs!$K$4:$AJ$4,0)),NA(),IF(SUMPRODUCT((Inputs!$A$5:$A$170=$B24)*ISNUMBER(INDEX(Inputs!$K$5:$AJ$170,0,MATCH(N$2,Inputs!$K$4:$AJ$4,0))))+SUMPRODUCT((Inputs!$C$5:$C$170=$B24)*ISNUMBER(INDEX(Inputs!$K$5:$AJ$170,0,MATCH(N$2,Inputs!$K$4:$AJ$4,0))))+SUMPRODUCT((Inputs!$E$5:$E$170=$B24)*ISNUMBER(INDEX(Inputs!$K$5:$AJ$170,0,MATCH(N$2,Inputs!$K$4:$AJ$4,0))))=0,NA(),SUMPRODUCT((Inputs!$A$5:$A$170=$B24)*Inputs!$B$5:$B$170*(((Inputs!$G$5:$G$170="moeda")+(Inputs!$G$5:$G$170="acoes"))*Inputs!$B$1+((Inputs!$G$5:$G$170&lt;&gt;"moeda")*(Inputs!$G$5:$G$170&lt;&gt;"acoes")))*INDEX(Inputs!$K$5:$AJ$170,0,MATCH(N$2,Inputs!$K$4:$AJ$4,0)))+SUMPRODUCT((Inputs!$C$5:$C$170=$B24)*Inputs!$D$5:$D$170*(((Inputs!$G$5:$G$170="moeda")+(Inputs!$G$5:$G$170="acoes"))*Inputs!$B$1+((Inputs!$G$5:$G$170&lt;&gt;"moeda")*(Inputs!$G$5:$G$170&lt;&gt;"acoes")))*INDEX(Inputs!$K$5:$AJ$170,0,MATCH(N$2,Inputs!$K$4:$AJ$4,0)))+SUMPRODUCT((Inputs!$E$5:$E$170=$B24)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24" s="6" t="e">
        <f>IF(ISNA(MATCH(O$2,Inputs!$K$4:$AJ$4,0)),NA(),IF(SUMPRODUCT((Inputs!$A$5:$A$170=$B24)*ISNUMBER(INDEX(Inputs!$K$5:$AJ$170,0,MATCH(O$2,Inputs!$K$4:$AJ$4,0))))+SUMPRODUCT((Inputs!$C$5:$C$170=$B24)*ISNUMBER(INDEX(Inputs!$K$5:$AJ$170,0,MATCH(O$2,Inputs!$K$4:$AJ$4,0))))+SUMPRODUCT((Inputs!$E$5:$E$170=$B24)*ISNUMBER(INDEX(Inputs!$K$5:$AJ$170,0,MATCH(O$2,Inputs!$K$4:$AJ$4,0))))=0,NA(),SUMPRODUCT((Inputs!$A$5:$A$170=$B24)*Inputs!$B$5:$B$170*(((Inputs!$G$5:$G$170="moeda")+(Inputs!$G$5:$G$170="acoes"))*Inputs!$B$1+((Inputs!$G$5:$G$170&lt;&gt;"moeda")*(Inputs!$G$5:$G$170&lt;&gt;"acoes")))*INDEX(Inputs!$K$5:$AJ$170,0,MATCH(O$2,Inputs!$K$4:$AJ$4,0)))+SUMPRODUCT((Inputs!$C$5:$C$170=$B24)*Inputs!$D$5:$D$170*(((Inputs!$G$5:$G$170="moeda")+(Inputs!$G$5:$G$170="acoes"))*Inputs!$B$1+((Inputs!$G$5:$G$170&lt;&gt;"moeda")*(Inputs!$G$5:$G$170&lt;&gt;"acoes")))*INDEX(Inputs!$K$5:$AJ$170,0,MATCH(O$2,Inputs!$K$4:$AJ$4,0)))+SUMPRODUCT((Inputs!$E$5:$E$170=$B24)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24" s="6" t="e">
        <f>IF(ISNA(MATCH(P$2,Inputs!$K$4:$AJ$4,0)),NA(),IF(SUMPRODUCT((Inputs!$A$5:$A$170=$B24)*ISNUMBER(INDEX(Inputs!$K$5:$AJ$170,0,MATCH(P$2,Inputs!$K$4:$AJ$4,0))))+SUMPRODUCT((Inputs!$C$5:$C$170=$B24)*ISNUMBER(INDEX(Inputs!$K$5:$AJ$170,0,MATCH(P$2,Inputs!$K$4:$AJ$4,0))))+SUMPRODUCT((Inputs!$E$5:$E$170=$B24)*ISNUMBER(INDEX(Inputs!$K$5:$AJ$170,0,MATCH(P$2,Inputs!$K$4:$AJ$4,0))))=0,NA(),SUMPRODUCT((Inputs!$A$5:$A$170=$B24)*Inputs!$B$5:$B$170*(((Inputs!$G$5:$G$170="moeda")+(Inputs!$G$5:$G$170="acoes"))*Inputs!$B$1+((Inputs!$G$5:$G$170&lt;&gt;"moeda")*(Inputs!$G$5:$G$170&lt;&gt;"acoes")))*INDEX(Inputs!$K$5:$AJ$170,0,MATCH(P$2,Inputs!$K$4:$AJ$4,0)))+SUMPRODUCT((Inputs!$C$5:$C$170=$B24)*Inputs!$D$5:$D$170*(((Inputs!$G$5:$G$170="moeda")+(Inputs!$G$5:$G$170="acoes"))*Inputs!$B$1+((Inputs!$G$5:$G$170&lt;&gt;"moeda")*(Inputs!$G$5:$G$170&lt;&gt;"acoes")))*INDEX(Inputs!$K$5:$AJ$170,0,MATCH(P$2,Inputs!$K$4:$AJ$4,0)))+SUMPRODUCT((Inputs!$E$5:$E$170=$B24)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24" s="6" t="e">
        <f>IF(ISNA(MATCH(Q$2,Inputs!$K$4:$AJ$4,0)),NA(),IF(SUMPRODUCT((Inputs!$A$5:$A$170=$B24)*ISNUMBER(INDEX(Inputs!$K$5:$AJ$170,0,MATCH(Q$2,Inputs!$K$4:$AJ$4,0))))+SUMPRODUCT((Inputs!$C$5:$C$170=$B24)*ISNUMBER(INDEX(Inputs!$K$5:$AJ$170,0,MATCH(Q$2,Inputs!$K$4:$AJ$4,0))))+SUMPRODUCT((Inputs!$E$5:$E$170=$B24)*ISNUMBER(INDEX(Inputs!$K$5:$AJ$170,0,MATCH(Q$2,Inputs!$K$4:$AJ$4,0))))=0,NA(),SUMPRODUCT((Inputs!$A$5:$A$170=$B24)*Inputs!$B$5:$B$170*(((Inputs!$G$5:$G$170="moeda")+(Inputs!$G$5:$G$170="acoes"))*Inputs!$B$1+((Inputs!$G$5:$G$170&lt;&gt;"moeda")*(Inputs!$G$5:$G$170&lt;&gt;"acoes")))*INDEX(Inputs!$K$5:$AJ$170,0,MATCH(Q$2,Inputs!$K$4:$AJ$4,0)))+SUMPRODUCT((Inputs!$C$5:$C$170=$B24)*Inputs!$D$5:$D$170*(((Inputs!$G$5:$G$170="moeda")+(Inputs!$G$5:$G$170="acoes"))*Inputs!$B$1+((Inputs!$G$5:$G$170&lt;&gt;"moeda")*(Inputs!$G$5:$G$170&lt;&gt;"acoes")))*INDEX(Inputs!$K$5:$AJ$170,0,MATCH(Q$2,Inputs!$K$4:$AJ$4,0)))+SUMPRODUCT((Inputs!$E$5:$E$170=$B24)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24" s="3" t="e">
        <f>Q24</f>
        <v>#N/A</v>
      </c>
      <c r="S24" s="6" t="e">
        <f>IF(ISNA(MATCH(S$2,Inputs!$K$4:$AJ$4,0)),NA(),IF(SUMPRODUCT((Inputs!$A$5:$A$170=$B24)*ISNUMBER(INDEX(Inputs!$K$5:$AJ$170,0,MATCH(S$2,Inputs!$K$4:$AJ$4,0))))+SUMPRODUCT((Inputs!$C$5:$C$170=$B24)*ISNUMBER(INDEX(Inputs!$K$5:$AJ$170,0,MATCH(S$2,Inputs!$K$4:$AJ$4,0))))+SUMPRODUCT((Inputs!$E$5:$E$170=$B24)*ISNUMBER(INDEX(Inputs!$K$5:$AJ$170,0,MATCH(S$2,Inputs!$K$4:$AJ$4,0))))=0,NA(),SUMPRODUCT((Inputs!$A$5:$A$170=$B24)*Inputs!$B$5:$B$170*(((Inputs!$G$5:$G$170="moeda")+(Inputs!$G$5:$G$170="acoes"))*Inputs!$B$1+((Inputs!$G$5:$G$170&lt;&gt;"moeda")*(Inputs!$G$5:$G$170&lt;&gt;"acoes")))*INDEX(Inputs!$K$5:$AJ$170,0,MATCH(S$2,Inputs!$K$4:$AJ$4,0)))+SUMPRODUCT((Inputs!$C$5:$C$170=$B24)*Inputs!$D$5:$D$170*(((Inputs!$G$5:$G$170="moeda")+(Inputs!$G$5:$G$170="acoes"))*Inputs!$B$1+((Inputs!$G$5:$G$170&lt;&gt;"moeda")*(Inputs!$G$5:$G$170&lt;&gt;"acoes")))*INDEX(Inputs!$K$5:$AJ$170,0,MATCH(S$2,Inputs!$K$4:$AJ$4,0)))+SUMPRODUCT((Inputs!$E$5:$E$170=$B24)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24" s="6" t="e">
        <f>IF(ISNA(MATCH(T$2,Inputs!$K$4:$AJ$4,0)),NA(),IF(SUMPRODUCT((Inputs!$A$5:$A$170=$B24)*ISNUMBER(INDEX(Inputs!$K$5:$AJ$170,0,MATCH(T$2,Inputs!$K$4:$AJ$4,0))))+SUMPRODUCT((Inputs!$C$5:$C$170=$B24)*ISNUMBER(INDEX(Inputs!$K$5:$AJ$170,0,MATCH(T$2,Inputs!$K$4:$AJ$4,0))))+SUMPRODUCT((Inputs!$E$5:$E$170=$B24)*ISNUMBER(INDEX(Inputs!$K$5:$AJ$170,0,MATCH(T$2,Inputs!$K$4:$AJ$4,0))))=0,NA(),SUMPRODUCT((Inputs!$A$5:$A$170=$B24)*Inputs!$B$5:$B$170*(((Inputs!$G$5:$G$170="moeda")+(Inputs!$G$5:$G$170="acoes"))*Inputs!$B$1+((Inputs!$G$5:$G$170&lt;&gt;"moeda")*(Inputs!$G$5:$G$170&lt;&gt;"acoes")))*INDEX(Inputs!$K$5:$AJ$170,0,MATCH(T$2,Inputs!$K$4:$AJ$4,0)))+SUMPRODUCT((Inputs!$C$5:$C$170=$B24)*Inputs!$D$5:$D$170*(((Inputs!$G$5:$G$170="moeda")+(Inputs!$G$5:$G$170="acoes"))*Inputs!$B$1+((Inputs!$G$5:$G$170&lt;&gt;"moeda")*(Inputs!$G$5:$G$170&lt;&gt;"acoes")))*INDEX(Inputs!$K$5:$AJ$170,0,MATCH(T$2,Inputs!$K$4:$AJ$4,0)))+SUMPRODUCT((Inputs!$E$5:$E$170=$B24)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24" s="6" t="e">
        <f>IF(ISNA(MATCH(U$2,Inputs!$K$4:$AJ$4,0)),NA(),IF(SUMPRODUCT((Inputs!$A$5:$A$170=$B24)*ISNUMBER(INDEX(Inputs!$K$5:$AJ$170,0,MATCH(U$2,Inputs!$K$4:$AJ$4,0))))+SUMPRODUCT((Inputs!$C$5:$C$170=$B24)*ISNUMBER(INDEX(Inputs!$K$5:$AJ$170,0,MATCH(U$2,Inputs!$K$4:$AJ$4,0))))+SUMPRODUCT((Inputs!$E$5:$E$170=$B24)*ISNUMBER(INDEX(Inputs!$K$5:$AJ$170,0,MATCH(U$2,Inputs!$K$4:$AJ$4,0))))=0,NA(),SUMPRODUCT((Inputs!$A$5:$A$170=$B24)*Inputs!$B$5:$B$170*(((Inputs!$G$5:$G$170="moeda")+(Inputs!$G$5:$G$170="acoes"))*Inputs!$B$1+((Inputs!$G$5:$G$170&lt;&gt;"moeda")*(Inputs!$G$5:$G$170&lt;&gt;"acoes")))*INDEX(Inputs!$K$5:$AJ$170,0,MATCH(U$2,Inputs!$K$4:$AJ$4,0)))+SUMPRODUCT((Inputs!$C$5:$C$170=$B24)*Inputs!$D$5:$D$170*(((Inputs!$G$5:$G$170="moeda")+(Inputs!$G$5:$G$170="acoes"))*Inputs!$B$1+((Inputs!$G$5:$G$170&lt;&gt;"moeda")*(Inputs!$G$5:$G$170&lt;&gt;"acoes")))*INDEX(Inputs!$K$5:$AJ$170,0,MATCH(U$2,Inputs!$K$4:$AJ$4,0)))+SUMPRODUCT((Inputs!$E$5:$E$170=$B24)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24" s="6" t="e">
        <f>IF(ISNA(MATCH(V$2,Inputs!$K$4:$AJ$4,0)),NA(),IF(SUMPRODUCT((Inputs!$A$5:$A$170=$B24)*ISNUMBER(INDEX(Inputs!$K$5:$AJ$170,0,MATCH(V$2,Inputs!$K$4:$AJ$4,0))))+SUMPRODUCT((Inputs!$C$5:$C$170=$B24)*ISNUMBER(INDEX(Inputs!$K$5:$AJ$170,0,MATCH(V$2,Inputs!$K$4:$AJ$4,0))))+SUMPRODUCT((Inputs!$E$5:$E$170=$B24)*ISNUMBER(INDEX(Inputs!$K$5:$AJ$170,0,MATCH(V$2,Inputs!$K$4:$AJ$4,0))))=0,NA(),SUMPRODUCT((Inputs!$A$5:$A$170=$B24)*Inputs!$B$5:$B$170*(((Inputs!$G$5:$G$170="moeda")+(Inputs!$G$5:$G$170="acoes"))*Inputs!$B$1+((Inputs!$G$5:$G$170&lt;&gt;"moeda")*(Inputs!$G$5:$G$170&lt;&gt;"acoes")))*INDEX(Inputs!$K$5:$AJ$170,0,MATCH(V$2,Inputs!$K$4:$AJ$4,0)))+SUMPRODUCT((Inputs!$C$5:$C$170=$B24)*Inputs!$D$5:$D$170*(((Inputs!$G$5:$G$170="moeda")+(Inputs!$G$5:$G$170="acoes"))*Inputs!$B$1+((Inputs!$G$5:$G$170&lt;&gt;"moeda")*(Inputs!$G$5:$G$170&lt;&gt;"acoes")))*INDEX(Inputs!$K$5:$AJ$170,0,MATCH(V$2,Inputs!$K$4:$AJ$4,0)))+SUMPRODUCT((Inputs!$E$5:$E$170=$B24)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24" s="3" t="e">
        <f>V24</f>
        <v>#N/A</v>
      </c>
      <c r="X24" s="6" t="e">
        <f>IF(ISNA(MATCH(X$2,Inputs!$K$4:$AJ$4,0)),NA(),IF(SUMPRODUCT((Inputs!$A$5:$A$170=$B24)*ISNUMBER(INDEX(Inputs!$K$5:$AJ$170,0,MATCH(X$2,Inputs!$K$4:$AJ$4,0))))+SUMPRODUCT((Inputs!$C$5:$C$170=$B24)*ISNUMBER(INDEX(Inputs!$K$5:$AJ$170,0,MATCH(X$2,Inputs!$K$4:$AJ$4,0))))+SUMPRODUCT((Inputs!$E$5:$E$170=$B24)*ISNUMBER(INDEX(Inputs!$K$5:$AJ$170,0,MATCH(X$2,Inputs!$K$4:$AJ$4,0))))=0,NA(),SUMPRODUCT((Inputs!$A$5:$A$170=$B24)*Inputs!$B$5:$B$170*(((Inputs!$G$5:$G$170="moeda")+(Inputs!$G$5:$G$170="acoes"))*Inputs!$B$1+((Inputs!$G$5:$G$170&lt;&gt;"moeda")*(Inputs!$G$5:$G$170&lt;&gt;"acoes")))*INDEX(Inputs!$K$5:$AJ$170,0,MATCH(X$2,Inputs!$K$4:$AJ$4,0)))+SUMPRODUCT((Inputs!$C$5:$C$170=$B24)*Inputs!$D$5:$D$170*(((Inputs!$G$5:$G$170="moeda")+(Inputs!$G$5:$G$170="acoes"))*Inputs!$B$1+((Inputs!$G$5:$G$170&lt;&gt;"moeda")*(Inputs!$G$5:$G$170&lt;&gt;"acoes")))*INDEX(Inputs!$K$5:$AJ$170,0,MATCH(X$2,Inputs!$K$4:$AJ$4,0)))+SUMPRODUCT((Inputs!$E$5:$E$170=$B24)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24" s="6" t="e">
        <f>IF(ISNA(MATCH(Y$2,Inputs!$K$4:$AJ$4,0)),NA(),IF(SUMPRODUCT((Inputs!$A$5:$A$170=$B24)*ISNUMBER(INDEX(Inputs!$K$5:$AJ$170,0,MATCH(Y$2,Inputs!$K$4:$AJ$4,0))))+SUMPRODUCT((Inputs!$C$5:$C$170=$B24)*ISNUMBER(INDEX(Inputs!$K$5:$AJ$170,0,MATCH(Y$2,Inputs!$K$4:$AJ$4,0))))+SUMPRODUCT((Inputs!$E$5:$E$170=$B24)*ISNUMBER(INDEX(Inputs!$K$5:$AJ$170,0,MATCH(Y$2,Inputs!$K$4:$AJ$4,0))))=0,NA(),SUMPRODUCT((Inputs!$A$5:$A$170=$B24)*Inputs!$B$5:$B$170*(((Inputs!$G$5:$G$170="moeda")+(Inputs!$G$5:$G$170="acoes"))*Inputs!$B$1+((Inputs!$G$5:$G$170&lt;&gt;"moeda")*(Inputs!$G$5:$G$170&lt;&gt;"acoes")))*INDEX(Inputs!$K$5:$AJ$170,0,MATCH(Y$2,Inputs!$K$4:$AJ$4,0)))+SUMPRODUCT((Inputs!$C$5:$C$170=$B24)*Inputs!$D$5:$D$170*(((Inputs!$G$5:$G$170="moeda")+(Inputs!$G$5:$G$170="acoes"))*Inputs!$B$1+((Inputs!$G$5:$G$170&lt;&gt;"moeda")*(Inputs!$G$5:$G$170&lt;&gt;"acoes")))*INDEX(Inputs!$K$5:$AJ$170,0,MATCH(Y$2,Inputs!$K$4:$AJ$4,0)))+SUMPRODUCT((Inputs!$E$5:$E$170=$B24)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24" s="6" t="e">
        <f>IF(ISNA(MATCH(Z$2,Inputs!$K$4:$AJ$4,0)),NA(),IF(SUMPRODUCT((Inputs!$A$5:$A$170=$B24)*ISNUMBER(INDEX(Inputs!$K$5:$AJ$170,0,MATCH(Z$2,Inputs!$K$4:$AJ$4,0))))+SUMPRODUCT((Inputs!$C$5:$C$170=$B24)*ISNUMBER(INDEX(Inputs!$K$5:$AJ$170,0,MATCH(Z$2,Inputs!$K$4:$AJ$4,0))))+SUMPRODUCT((Inputs!$E$5:$E$170=$B24)*ISNUMBER(INDEX(Inputs!$K$5:$AJ$170,0,MATCH(Z$2,Inputs!$K$4:$AJ$4,0))))=0,NA(),SUMPRODUCT((Inputs!$A$5:$A$170=$B24)*Inputs!$B$5:$B$170*(((Inputs!$G$5:$G$170="moeda")+(Inputs!$G$5:$G$170="acoes"))*Inputs!$B$1+((Inputs!$G$5:$G$170&lt;&gt;"moeda")*(Inputs!$G$5:$G$170&lt;&gt;"acoes")))*INDEX(Inputs!$K$5:$AJ$170,0,MATCH(Z$2,Inputs!$K$4:$AJ$4,0)))+SUMPRODUCT((Inputs!$C$5:$C$170=$B24)*Inputs!$D$5:$D$170*(((Inputs!$G$5:$G$170="moeda")+(Inputs!$G$5:$G$170="acoes"))*Inputs!$B$1+((Inputs!$G$5:$G$170&lt;&gt;"moeda")*(Inputs!$G$5:$G$170&lt;&gt;"acoes")))*INDEX(Inputs!$K$5:$AJ$170,0,MATCH(Z$2,Inputs!$K$4:$AJ$4,0)))+SUMPRODUCT((Inputs!$E$5:$E$170=$B24)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24" s="6" t="e">
        <f>IF(ISNA(MATCH(AA$2,Inputs!$K$4:$AJ$4,0)),NA(),IF(SUMPRODUCT((Inputs!$A$5:$A$170=$B24)*ISNUMBER(INDEX(Inputs!$K$5:$AJ$170,0,MATCH(AA$2,Inputs!$K$4:$AJ$4,0))))+SUMPRODUCT((Inputs!$C$5:$C$170=$B24)*ISNUMBER(INDEX(Inputs!$K$5:$AJ$170,0,MATCH(AA$2,Inputs!$K$4:$AJ$4,0))))+SUMPRODUCT((Inputs!$E$5:$E$170=$B24)*ISNUMBER(INDEX(Inputs!$K$5:$AJ$170,0,MATCH(AA$2,Inputs!$K$4:$AJ$4,0))))=0,NA(),SUMPRODUCT((Inputs!$A$5:$A$170=$B24)*Inputs!$B$5:$B$170*(((Inputs!$G$5:$G$170="moeda")+(Inputs!$G$5:$G$170="acoes"))*Inputs!$B$1+((Inputs!$G$5:$G$170&lt;&gt;"moeda")*(Inputs!$G$5:$G$170&lt;&gt;"acoes")))*INDEX(Inputs!$K$5:$AJ$170,0,MATCH(AA$2,Inputs!$K$4:$AJ$4,0)))+SUMPRODUCT((Inputs!$C$5:$C$170=$B24)*Inputs!$D$5:$D$170*(((Inputs!$G$5:$G$170="moeda")+(Inputs!$G$5:$G$170="acoes"))*Inputs!$B$1+((Inputs!$G$5:$G$170&lt;&gt;"moeda")*(Inputs!$G$5:$G$170&lt;&gt;"acoes")))*INDEX(Inputs!$K$5:$AJ$170,0,MATCH(AA$2,Inputs!$K$4:$AJ$4,0)))+SUMPRODUCT((Inputs!$E$5:$E$170=$B24)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24" s="3" t="e">
        <f>AA24</f>
        <v>#N/A</v>
      </c>
      <c r="AC24" s="6" t="e">
        <f>IF(ISNA(MATCH(AC$2,Inputs!$K$4:$AJ$4,0)),NA(),IF(SUMPRODUCT((Inputs!$A$5:$A$170=$B24)*ISNUMBER(INDEX(Inputs!$K$5:$AJ$170,0,MATCH(AC$2,Inputs!$K$4:$AJ$4,0))))+SUMPRODUCT((Inputs!$C$5:$C$170=$B24)*ISNUMBER(INDEX(Inputs!$K$5:$AJ$170,0,MATCH(AC$2,Inputs!$K$4:$AJ$4,0))))+SUMPRODUCT((Inputs!$E$5:$E$170=$B24)*ISNUMBER(INDEX(Inputs!$K$5:$AJ$170,0,MATCH(AC$2,Inputs!$K$4:$AJ$4,0))))=0,NA(),SUMPRODUCT((Inputs!$A$5:$A$170=$B24)*Inputs!$B$5:$B$170*(((Inputs!$G$5:$G$170="moeda")+(Inputs!$G$5:$G$170="acoes"))*Inputs!$B$1+((Inputs!$G$5:$G$170&lt;&gt;"moeda")*(Inputs!$G$5:$G$170&lt;&gt;"acoes")))*INDEX(Inputs!$K$5:$AJ$170,0,MATCH(AC$2,Inputs!$K$4:$AJ$4,0)))+SUMPRODUCT((Inputs!$C$5:$C$170=$B24)*Inputs!$D$5:$D$170*(((Inputs!$G$5:$G$170="moeda")+(Inputs!$G$5:$G$170="acoes"))*Inputs!$B$1+((Inputs!$G$5:$G$170&lt;&gt;"moeda")*(Inputs!$G$5:$G$170&lt;&gt;"acoes")))*INDEX(Inputs!$K$5:$AJ$170,0,MATCH(AC$2,Inputs!$K$4:$AJ$4,0)))+SUMPRODUCT((Inputs!$E$5:$E$170=$B24)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24" s="6" t="e">
        <f>IF(ISNA(MATCH(AD$2,Inputs!$K$4:$AJ$4,0)),NA(),IF(SUMPRODUCT((Inputs!$A$5:$A$170=$B24)*ISNUMBER(INDEX(Inputs!$K$5:$AJ$170,0,MATCH(AD$2,Inputs!$K$4:$AJ$4,0))))+SUMPRODUCT((Inputs!$C$5:$C$170=$B24)*ISNUMBER(INDEX(Inputs!$K$5:$AJ$170,0,MATCH(AD$2,Inputs!$K$4:$AJ$4,0))))+SUMPRODUCT((Inputs!$E$5:$E$170=$B24)*ISNUMBER(INDEX(Inputs!$K$5:$AJ$170,0,MATCH(AD$2,Inputs!$K$4:$AJ$4,0))))=0,NA(),SUMPRODUCT((Inputs!$A$5:$A$170=$B24)*Inputs!$B$5:$B$170*(((Inputs!$G$5:$G$170="moeda")+(Inputs!$G$5:$G$170="acoes"))*Inputs!$B$1+((Inputs!$G$5:$G$170&lt;&gt;"moeda")*(Inputs!$G$5:$G$170&lt;&gt;"acoes")))*INDEX(Inputs!$K$5:$AJ$170,0,MATCH(AD$2,Inputs!$K$4:$AJ$4,0)))+SUMPRODUCT((Inputs!$C$5:$C$170=$B24)*Inputs!$D$5:$D$170*(((Inputs!$G$5:$G$170="moeda")+(Inputs!$G$5:$G$170="acoes"))*Inputs!$B$1+((Inputs!$G$5:$G$170&lt;&gt;"moeda")*(Inputs!$G$5:$G$170&lt;&gt;"acoes")))*INDEX(Inputs!$K$5:$AJ$170,0,MATCH(AD$2,Inputs!$K$4:$AJ$4,0)))+SUMPRODUCT((Inputs!$E$5:$E$170=$B24)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24" s="6" t="e">
        <f>IF(ISNA(MATCH(AE$2,Inputs!$K$4:$AJ$4,0)),NA(),IF(SUMPRODUCT((Inputs!$A$5:$A$170=$B24)*ISNUMBER(INDEX(Inputs!$K$5:$AJ$170,0,MATCH(AE$2,Inputs!$K$4:$AJ$4,0))))+SUMPRODUCT((Inputs!$C$5:$C$170=$B24)*ISNUMBER(INDEX(Inputs!$K$5:$AJ$170,0,MATCH(AE$2,Inputs!$K$4:$AJ$4,0))))+SUMPRODUCT((Inputs!$E$5:$E$170=$B24)*ISNUMBER(INDEX(Inputs!$K$5:$AJ$170,0,MATCH(AE$2,Inputs!$K$4:$AJ$4,0))))=0,NA(),SUMPRODUCT((Inputs!$A$5:$A$170=$B24)*Inputs!$B$5:$B$170*(((Inputs!$G$5:$G$170="moeda")+(Inputs!$G$5:$G$170="acoes"))*Inputs!$B$1+((Inputs!$G$5:$G$170&lt;&gt;"moeda")*(Inputs!$G$5:$G$170&lt;&gt;"acoes")))*INDEX(Inputs!$K$5:$AJ$170,0,MATCH(AE$2,Inputs!$K$4:$AJ$4,0)))+SUMPRODUCT((Inputs!$C$5:$C$170=$B24)*Inputs!$D$5:$D$170*(((Inputs!$G$5:$G$170="moeda")+(Inputs!$G$5:$G$170="acoes"))*Inputs!$B$1+((Inputs!$G$5:$G$170&lt;&gt;"moeda")*(Inputs!$G$5:$G$170&lt;&gt;"acoes")))*INDEX(Inputs!$K$5:$AJ$170,0,MATCH(AE$2,Inputs!$K$4:$AJ$4,0)))+SUMPRODUCT((Inputs!$E$5:$E$170=$B24)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4" s="6" t="e">
        <f>IF(ISNA(MATCH(AF$2,Inputs!$K$4:$AJ$4,0)),NA(),IF(SUMPRODUCT((Inputs!$A$5:$A$170=$B24)*ISNUMBER(INDEX(Inputs!$K$5:$AJ$170,0,MATCH(AF$2,Inputs!$K$4:$AJ$4,0))))+SUMPRODUCT((Inputs!$C$5:$C$170=$B24)*ISNUMBER(INDEX(Inputs!$K$5:$AJ$170,0,MATCH(AF$2,Inputs!$K$4:$AJ$4,0))))+SUMPRODUCT((Inputs!$E$5:$E$170=$B24)*ISNUMBER(INDEX(Inputs!$K$5:$AJ$170,0,MATCH(AF$2,Inputs!$K$4:$AJ$4,0))))=0,NA(),SUMPRODUCT((Inputs!$A$5:$A$170=$B24)*Inputs!$B$5:$B$170*(((Inputs!$G$5:$G$170="moeda")+(Inputs!$G$5:$G$170="acoes"))*Inputs!$B$1+((Inputs!$G$5:$G$170&lt;&gt;"moeda")*(Inputs!$G$5:$G$170&lt;&gt;"acoes")))*INDEX(Inputs!$K$5:$AJ$170,0,MATCH(AF$2,Inputs!$K$4:$AJ$4,0)))+SUMPRODUCT((Inputs!$C$5:$C$170=$B24)*Inputs!$D$5:$D$170*(((Inputs!$G$5:$G$170="moeda")+(Inputs!$G$5:$G$170="acoes"))*Inputs!$B$1+((Inputs!$G$5:$G$170&lt;&gt;"moeda")*(Inputs!$G$5:$G$170&lt;&gt;"acoes")))*INDEX(Inputs!$K$5:$AJ$170,0,MATCH(AF$2,Inputs!$K$4:$AJ$4,0)))+SUMPRODUCT((Inputs!$E$5:$E$170=$B24)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4" s="3" t="e">
        <f>AF24</f>
        <v>#N/A</v>
      </c>
      <c r="AH24" s="6" t="e">
        <f>IF(ISNA(MATCH(AH$2,Inputs!$K$4:$AJ$4,0)),NA(),IF(SUMPRODUCT((Inputs!$A$5:$A$170=$B24)*ISNUMBER(INDEX(Inputs!$K$5:$AJ$170,0,MATCH(AH$2,Inputs!$K$4:$AJ$4,0))))+SUMPRODUCT((Inputs!$C$5:$C$170=$B24)*ISNUMBER(INDEX(Inputs!$K$5:$AJ$170,0,MATCH(AH$2,Inputs!$K$4:$AJ$4,0))))+SUMPRODUCT((Inputs!$E$5:$E$170=$B24)*ISNUMBER(INDEX(Inputs!$K$5:$AJ$170,0,MATCH(AH$2,Inputs!$K$4:$AJ$4,0))))=0,NA(),SUMPRODUCT((Inputs!$A$5:$A$170=$B24)*Inputs!$B$5:$B$170*(((Inputs!$G$5:$G$170="moeda")+(Inputs!$G$5:$G$170="acoes"))*Inputs!$B$1+((Inputs!$G$5:$G$170&lt;&gt;"moeda")*(Inputs!$G$5:$G$170&lt;&gt;"acoes")))*INDEX(Inputs!$K$5:$AJ$170,0,MATCH(AH$2,Inputs!$K$4:$AJ$4,0)))+SUMPRODUCT((Inputs!$C$5:$C$170=$B24)*Inputs!$D$5:$D$170*(((Inputs!$G$5:$G$170="moeda")+(Inputs!$G$5:$G$170="acoes"))*Inputs!$B$1+((Inputs!$G$5:$G$170&lt;&gt;"moeda")*(Inputs!$G$5:$G$170&lt;&gt;"acoes")))*INDEX(Inputs!$K$5:$AJ$170,0,MATCH(AH$2,Inputs!$K$4:$AJ$4,0)))+SUMPRODUCT((Inputs!$E$5:$E$170=$B24)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24" s="6" t="e">
        <f>IF(ISNA(MATCH(AI$2,Inputs!$K$4:$AJ$4,0)),NA(),IF(SUMPRODUCT((Inputs!$A$5:$A$170=$B24)*ISNUMBER(INDEX(Inputs!$K$5:$AJ$170,0,MATCH(AI$2,Inputs!$K$4:$AJ$4,0))))+SUMPRODUCT((Inputs!$C$5:$C$170=$B24)*ISNUMBER(INDEX(Inputs!$K$5:$AJ$170,0,MATCH(AI$2,Inputs!$K$4:$AJ$4,0))))+SUMPRODUCT((Inputs!$E$5:$E$170=$B24)*ISNUMBER(INDEX(Inputs!$K$5:$AJ$170,0,MATCH(AI$2,Inputs!$K$4:$AJ$4,0))))=0,NA(),SUMPRODUCT((Inputs!$A$5:$A$170=$B24)*Inputs!$B$5:$B$170*(((Inputs!$G$5:$G$170="moeda")+(Inputs!$G$5:$G$170="acoes"))*Inputs!$B$1+((Inputs!$G$5:$G$170&lt;&gt;"moeda")*(Inputs!$G$5:$G$170&lt;&gt;"acoes")))*INDEX(Inputs!$K$5:$AJ$170,0,MATCH(AI$2,Inputs!$K$4:$AJ$4,0)))+SUMPRODUCT((Inputs!$C$5:$C$170=$B24)*Inputs!$D$5:$D$170*(((Inputs!$G$5:$G$170="moeda")+(Inputs!$G$5:$G$170="acoes"))*Inputs!$B$1+((Inputs!$G$5:$G$170&lt;&gt;"moeda")*(Inputs!$G$5:$G$170&lt;&gt;"acoes")))*INDEX(Inputs!$K$5:$AJ$170,0,MATCH(AI$2,Inputs!$K$4:$AJ$4,0)))+SUMPRODUCT((Inputs!$E$5:$E$170=$B24)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24" s="6" t="e">
        <f>IF(ISNA(MATCH(AJ$2,Inputs!$K$4:$AJ$4,0)),NA(),IF(SUMPRODUCT((Inputs!$A$5:$A$170=$B24)*ISNUMBER(INDEX(Inputs!$K$5:$AJ$170,0,MATCH(AJ$2,Inputs!$K$4:$AJ$4,0))))+SUMPRODUCT((Inputs!$C$5:$C$170=$B24)*ISNUMBER(INDEX(Inputs!$K$5:$AJ$170,0,MATCH(AJ$2,Inputs!$K$4:$AJ$4,0))))+SUMPRODUCT((Inputs!$E$5:$E$170=$B24)*ISNUMBER(INDEX(Inputs!$K$5:$AJ$170,0,MATCH(AJ$2,Inputs!$K$4:$AJ$4,0))))=0,NA(),SUMPRODUCT((Inputs!$A$5:$A$170=$B24)*Inputs!$B$5:$B$170*(((Inputs!$G$5:$G$170="moeda")+(Inputs!$G$5:$G$170="acoes"))*Inputs!$B$1+((Inputs!$G$5:$G$170&lt;&gt;"moeda")*(Inputs!$G$5:$G$170&lt;&gt;"acoes")))*INDEX(Inputs!$K$5:$AJ$170,0,MATCH(AJ$2,Inputs!$K$4:$AJ$4,0)))+SUMPRODUCT((Inputs!$C$5:$C$170=$B24)*Inputs!$D$5:$D$170*(((Inputs!$G$5:$G$170="moeda")+(Inputs!$G$5:$G$170="acoes"))*Inputs!$B$1+((Inputs!$G$5:$G$170&lt;&gt;"moeda")*(Inputs!$G$5:$G$170&lt;&gt;"acoes")))*INDEX(Inputs!$K$5:$AJ$170,0,MATCH(AJ$2,Inputs!$K$4:$AJ$4,0)))+SUMPRODUCT((Inputs!$E$5:$E$170=$B24)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24" s="6" t="e">
        <f>IF(ISNA(MATCH(AK$2,Inputs!$K$4:$AJ$4,0)),NA(),IF(SUMPRODUCT((Inputs!$A$5:$A$170=$B24)*ISNUMBER(INDEX(Inputs!$K$5:$AJ$170,0,MATCH(AK$2,Inputs!$K$4:$AJ$4,0))))+SUMPRODUCT((Inputs!$C$5:$C$170=$B24)*ISNUMBER(INDEX(Inputs!$K$5:$AJ$170,0,MATCH(AK$2,Inputs!$K$4:$AJ$4,0))))+SUMPRODUCT((Inputs!$E$5:$E$170=$B24)*ISNUMBER(INDEX(Inputs!$K$5:$AJ$170,0,MATCH(AK$2,Inputs!$K$4:$AJ$4,0))))=0,NA(),SUMPRODUCT((Inputs!$A$5:$A$170=$B24)*Inputs!$B$5:$B$170*(((Inputs!$G$5:$G$170="moeda")+(Inputs!$G$5:$G$170="acoes"))*Inputs!$B$1+((Inputs!$G$5:$G$170&lt;&gt;"moeda")*(Inputs!$G$5:$G$170&lt;&gt;"acoes")))*INDEX(Inputs!$K$5:$AJ$170,0,MATCH(AK$2,Inputs!$K$4:$AJ$4,0)))+SUMPRODUCT((Inputs!$C$5:$C$170=$B24)*Inputs!$D$5:$D$170*(((Inputs!$G$5:$G$170="moeda")+(Inputs!$G$5:$G$170="acoes"))*Inputs!$B$1+((Inputs!$G$5:$G$170&lt;&gt;"moeda")*(Inputs!$G$5:$G$170&lt;&gt;"acoes")))*INDEX(Inputs!$K$5:$AJ$170,0,MATCH(AK$2,Inputs!$K$4:$AJ$4,0)))+SUMPRODUCT((Inputs!$E$5:$E$170=$B24)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$170=$B25)*ISNUMBER(INDEX(Inputs!$K$5:$AJ$170,0,MATCH(D$2,Inputs!$K$4:$AJ$4,0))))+SUMPRODUCT((Inputs!$C$5:$C$170=$B25)*ISNUMBER(INDEX(Inputs!$K$5:$AJ$170,0,MATCH(D$2,Inputs!$K$4:$AJ$4,0))))+SUMPRODUCT((Inputs!$E$5:$E$170=$B25)*ISNUMBER(INDEX(Inputs!$K$5:$AJ$170,0,MATCH(D$2,Inputs!$K$4:$AJ$4,0))))=0,NA(),SUMPRODUCT((Inputs!$A$5:$A$170=$B25)*Inputs!$B$5:$B$170*(((Inputs!$G$5:$G$170="moeda")+(Inputs!$G$5:$G$170="acoes"))*Inputs!$B$1+((Inputs!$G$5:$G$170&lt;&gt;"moeda")*(Inputs!$G$5:$G$170&lt;&gt;"acoes")))*INDEX(Inputs!$K$5:$AJ$170,0,MATCH(D$2,Inputs!$K$4:$AJ$4,0)))+SUMPRODUCT((Inputs!$C$5:$C$170=$B25)*Inputs!$D$5:$D$170*(((Inputs!$G$5:$G$170="moeda")+(Inputs!$G$5:$G$170="acoes"))*Inputs!$B$1+((Inputs!$G$5:$G$170&lt;&gt;"moeda")*(Inputs!$G$5:$G$170&lt;&gt;"acoes")))*INDEX(Inputs!$K$5:$AJ$170,0,MATCH(D$2,Inputs!$K$4:$AJ$4,0)))+SUMPRODUCT((Inputs!$E$5:$E$170=$B25)*Inputs!$F$5:$F$170*(((Inputs!$G$5:$G$170="moeda")+(Inputs!$G$5:$G$170="acoes"))*Inputs!$B$1+((Inputs!$G$5:$G$170&lt;&gt;"moeda")*(Inputs!$G$5:$G$170&lt;&gt;"acoes")))*INDEX(Inputs!$K$5:$AJ$170,0,MATCH(D$2,Inputs!$K$4:$AJ$4,0)))))</f>
        <v>156.288</v>
      </c>
      <c r="E25" s="6">
        <f>IF(ISNA(MATCH(E$2,Inputs!$K$4:$AJ$4,0)),NA(),IF(SUMPRODUCT((Inputs!$A$5:$A$170=$B25)*ISNUMBER(INDEX(Inputs!$K$5:$AJ$170,0,MATCH(E$2,Inputs!$K$4:$AJ$4,0))))+SUMPRODUCT((Inputs!$C$5:$C$170=$B25)*ISNUMBER(INDEX(Inputs!$K$5:$AJ$170,0,MATCH(E$2,Inputs!$K$4:$AJ$4,0))))+SUMPRODUCT((Inputs!$E$5:$E$170=$B25)*ISNUMBER(INDEX(Inputs!$K$5:$AJ$170,0,MATCH(E$2,Inputs!$K$4:$AJ$4,0))))=0,NA(),SUMPRODUCT((Inputs!$A$5:$A$170=$B25)*Inputs!$B$5:$B$170*(((Inputs!$G$5:$G$170="moeda")+(Inputs!$G$5:$G$170="acoes"))*Inputs!$B$1+((Inputs!$G$5:$G$170&lt;&gt;"moeda")*(Inputs!$G$5:$G$170&lt;&gt;"acoes")))*INDEX(Inputs!$K$5:$AJ$170,0,MATCH(E$2,Inputs!$K$4:$AJ$4,0)))+SUMPRODUCT((Inputs!$C$5:$C$170=$B25)*Inputs!$D$5:$D$170*(((Inputs!$G$5:$G$170="moeda")+(Inputs!$G$5:$G$170="acoes"))*Inputs!$B$1+((Inputs!$G$5:$G$170&lt;&gt;"moeda")*(Inputs!$G$5:$G$170&lt;&gt;"acoes")))*INDEX(Inputs!$K$5:$AJ$170,0,MATCH(E$2,Inputs!$K$4:$AJ$4,0)))+SUMPRODUCT((Inputs!$E$5:$E$170=$B25)*Inputs!$F$5:$F$170*(((Inputs!$G$5:$G$170="moeda")+(Inputs!$G$5:$G$170="acoes"))*Inputs!$B$1+((Inputs!$G$5:$G$170&lt;&gt;"moeda")*(Inputs!$G$5:$G$170&lt;&gt;"acoes")))*INDEX(Inputs!$K$5:$AJ$170,0,MATCH(E$2,Inputs!$K$4:$AJ$4,0)))))</f>
        <v>157.252</v>
      </c>
      <c r="F25" s="6">
        <f>IF(ISNA(MATCH(F$2,Inputs!$K$4:$AJ$4,0)),NA(),IF(SUMPRODUCT((Inputs!$A$5:$A$170=$B25)*ISNUMBER(INDEX(Inputs!$K$5:$AJ$170,0,MATCH(F$2,Inputs!$K$4:$AJ$4,0))))+SUMPRODUCT((Inputs!$C$5:$C$170=$B25)*ISNUMBER(INDEX(Inputs!$K$5:$AJ$170,0,MATCH(F$2,Inputs!$K$4:$AJ$4,0))))+SUMPRODUCT((Inputs!$E$5:$E$170=$B25)*ISNUMBER(INDEX(Inputs!$K$5:$AJ$170,0,MATCH(F$2,Inputs!$K$4:$AJ$4,0))))=0,NA(),SUMPRODUCT((Inputs!$A$5:$A$170=$B25)*Inputs!$B$5:$B$170*(((Inputs!$G$5:$G$170="moeda")+(Inputs!$G$5:$G$170="acoes"))*Inputs!$B$1+((Inputs!$G$5:$G$170&lt;&gt;"moeda")*(Inputs!$G$5:$G$170&lt;&gt;"acoes")))*INDEX(Inputs!$K$5:$AJ$170,0,MATCH(F$2,Inputs!$K$4:$AJ$4,0)))+SUMPRODUCT((Inputs!$C$5:$C$170=$B25)*Inputs!$D$5:$D$170*(((Inputs!$G$5:$G$170="moeda")+(Inputs!$G$5:$G$170="acoes"))*Inputs!$B$1+((Inputs!$G$5:$G$170&lt;&gt;"moeda")*(Inputs!$G$5:$G$170&lt;&gt;"acoes")))*INDEX(Inputs!$K$5:$AJ$170,0,MATCH(F$2,Inputs!$K$4:$AJ$4,0)))+SUMPRODUCT((Inputs!$E$5:$E$170=$B25)*Inputs!$F$5:$F$170*(((Inputs!$G$5:$G$170="moeda")+(Inputs!$G$5:$G$170="acoes"))*Inputs!$B$1+((Inputs!$G$5:$G$170&lt;&gt;"moeda")*(Inputs!$G$5:$G$170&lt;&gt;"acoes")))*INDEX(Inputs!$K$5:$AJ$170,0,MATCH(F$2,Inputs!$K$4:$AJ$4,0)))))</f>
        <v>168.4</v>
      </c>
      <c r="G25" s="6">
        <f>IF(ISNA(MATCH(G$2,Inputs!$K$4:$AJ$4,0)),NA(),IF(SUMPRODUCT((Inputs!$A$5:$A$170=$B25)*ISNUMBER(INDEX(Inputs!$K$5:$AJ$170,0,MATCH(G$2,Inputs!$K$4:$AJ$4,0))))+SUMPRODUCT((Inputs!$C$5:$C$170=$B25)*ISNUMBER(INDEX(Inputs!$K$5:$AJ$170,0,MATCH(G$2,Inputs!$K$4:$AJ$4,0))))+SUMPRODUCT((Inputs!$E$5:$E$170=$B25)*ISNUMBER(INDEX(Inputs!$K$5:$AJ$170,0,MATCH(G$2,Inputs!$K$4:$AJ$4,0))))=0,NA(),SUMPRODUCT((Inputs!$A$5:$A$170=$B25)*Inputs!$B$5:$B$170*(((Inputs!$G$5:$G$170="moeda")+(Inputs!$G$5:$G$170="acoes"))*Inputs!$B$1+((Inputs!$G$5:$G$170&lt;&gt;"moeda")*(Inputs!$G$5:$G$170&lt;&gt;"acoes")))*INDEX(Inputs!$K$5:$AJ$170,0,MATCH(G$2,Inputs!$K$4:$AJ$4,0)))+SUMPRODUCT((Inputs!$C$5:$C$170=$B25)*Inputs!$D$5:$D$170*(((Inputs!$G$5:$G$170="moeda")+(Inputs!$G$5:$G$170="acoes"))*Inputs!$B$1+((Inputs!$G$5:$G$170&lt;&gt;"moeda")*(Inputs!$G$5:$G$170&lt;&gt;"acoes")))*INDEX(Inputs!$K$5:$AJ$170,0,MATCH(G$2,Inputs!$K$4:$AJ$4,0)))+SUMPRODUCT((Inputs!$E$5:$E$170=$B25)*Inputs!$F$5:$F$170*(((Inputs!$G$5:$G$170="moeda")+(Inputs!$G$5:$G$170="acoes"))*Inputs!$B$1+((Inputs!$G$5:$G$170&lt;&gt;"moeda")*(Inputs!$G$5:$G$170&lt;&gt;"acoes")))*INDEX(Inputs!$K$5:$AJ$170,0,MATCH(G$2,Inputs!$K$4:$AJ$4,0)))))</f>
        <v>175.044</v>
      </c>
      <c r="H25" s="3">
        <f>G25</f>
        <v>175.044</v>
      </c>
      <c r="I25" s="6">
        <f>IF(ISNA(MATCH(I$2,Inputs!$K$4:$AJ$4,0)),NA(),IF(SUMPRODUCT((Inputs!$A$5:$A$170=$B25)*ISNUMBER(INDEX(Inputs!$K$5:$AJ$170,0,MATCH(I$2,Inputs!$K$4:$AJ$4,0))))+SUMPRODUCT((Inputs!$C$5:$C$170=$B25)*ISNUMBER(INDEX(Inputs!$K$5:$AJ$170,0,MATCH(I$2,Inputs!$K$4:$AJ$4,0))))+SUMPRODUCT((Inputs!$E$5:$E$170=$B25)*ISNUMBER(INDEX(Inputs!$K$5:$AJ$170,0,MATCH(I$2,Inputs!$K$4:$AJ$4,0))))=0,NA(),SUMPRODUCT((Inputs!$A$5:$A$170=$B25)*Inputs!$B$5:$B$170*(((Inputs!$G$5:$G$170="moeda")+(Inputs!$G$5:$G$170="acoes"))*Inputs!$B$1+((Inputs!$G$5:$G$170&lt;&gt;"moeda")*(Inputs!$G$5:$G$170&lt;&gt;"acoes")))*INDEX(Inputs!$K$5:$AJ$170,0,MATCH(I$2,Inputs!$K$4:$AJ$4,0)))+SUMPRODUCT((Inputs!$C$5:$C$170=$B25)*Inputs!$D$5:$D$170*(((Inputs!$G$5:$G$170="moeda")+(Inputs!$G$5:$G$170="acoes"))*Inputs!$B$1+((Inputs!$G$5:$G$170&lt;&gt;"moeda")*(Inputs!$G$5:$G$170&lt;&gt;"acoes")))*INDEX(Inputs!$K$5:$AJ$170,0,MATCH(I$2,Inputs!$K$4:$AJ$4,0)))+SUMPRODUCT((Inputs!$E$5:$E$170=$B25)*Inputs!$F$5:$F$170*(((Inputs!$G$5:$G$170="moeda")+(Inputs!$G$5:$G$170="acoes"))*Inputs!$B$1+((Inputs!$G$5:$G$170&lt;&gt;"moeda")*(Inputs!$G$5:$G$170&lt;&gt;"acoes")))*INDEX(Inputs!$K$5:$AJ$170,0,MATCH(I$2,Inputs!$K$4:$AJ$4,0)))))</f>
        <v>181.788</v>
      </c>
      <c r="J25" s="6">
        <f>IF(ISNA(MATCH(J$2,Inputs!$K$4:$AJ$4,0)),NA(),IF(SUMPRODUCT((Inputs!$A$5:$A$170=$B25)*ISNUMBER(INDEX(Inputs!$K$5:$AJ$170,0,MATCH(J$2,Inputs!$K$4:$AJ$4,0))))+SUMPRODUCT((Inputs!$C$5:$C$170=$B25)*ISNUMBER(INDEX(Inputs!$K$5:$AJ$170,0,MATCH(J$2,Inputs!$K$4:$AJ$4,0))))+SUMPRODUCT((Inputs!$E$5:$E$170=$B25)*ISNUMBER(INDEX(Inputs!$K$5:$AJ$170,0,MATCH(J$2,Inputs!$K$4:$AJ$4,0))))=0,NA(),SUMPRODUCT((Inputs!$A$5:$A$170=$B25)*Inputs!$B$5:$B$170*(((Inputs!$G$5:$G$170="moeda")+(Inputs!$G$5:$G$170="acoes"))*Inputs!$B$1+((Inputs!$G$5:$G$170&lt;&gt;"moeda")*(Inputs!$G$5:$G$170&lt;&gt;"acoes")))*INDEX(Inputs!$K$5:$AJ$170,0,MATCH(J$2,Inputs!$K$4:$AJ$4,0)))+SUMPRODUCT((Inputs!$C$5:$C$170=$B25)*Inputs!$D$5:$D$170*(((Inputs!$G$5:$G$170="moeda")+(Inputs!$G$5:$G$170="acoes"))*Inputs!$B$1+((Inputs!$G$5:$G$170&lt;&gt;"moeda")*(Inputs!$G$5:$G$170&lt;&gt;"acoes")))*INDEX(Inputs!$K$5:$AJ$170,0,MATCH(J$2,Inputs!$K$4:$AJ$4,0)))+SUMPRODUCT((Inputs!$E$5:$E$170=$B25)*Inputs!$F$5:$F$170*(((Inputs!$G$5:$G$170="moeda")+(Inputs!$G$5:$G$170="acoes"))*Inputs!$B$1+((Inputs!$G$5:$G$170&lt;&gt;"moeda")*(Inputs!$G$5:$G$170&lt;&gt;"acoes")))*INDEX(Inputs!$K$5:$AJ$170,0,MATCH(J$2,Inputs!$K$4:$AJ$4,0)))))</f>
        <v>200.519</v>
      </c>
      <c r="K25" s="6">
        <f>IF(ISNA(MATCH(K$2,Inputs!$K$4:$AJ$4,0)),NA(),IF(SUMPRODUCT((Inputs!$A$5:$A$170=$B25)*ISNUMBER(INDEX(Inputs!$K$5:$AJ$170,0,MATCH(K$2,Inputs!$K$4:$AJ$4,0))))+SUMPRODUCT((Inputs!$C$5:$C$170=$B25)*ISNUMBER(INDEX(Inputs!$K$5:$AJ$170,0,MATCH(K$2,Inputs!$K$4:$AJ$4,0))))+SUMPRODUCT((Inputs!$E$5:$E$170=$B25)*ISNUMBER(INDEX(Inputs!$K$5:$AJ$170,0,MATCH(K$2,Inputs!$K$4:$AJ$4,0))))=0,NA(),SUMPRODUCT((Inputs!$A$5:$A$170=$B25)*Inputs!$B$5:$B$170*(((Inputs!$G$5:$G$170="moeda")+(Inputs!$G$5:$G$170="acoes"))*Inputs!$B$1+((Inputs!$G$5:$G$170&lt;&gt;"moeda")*(Inputs!$G$5:$G$170&lt;&gt;"acoes")))*INDEX(Inputs!$K$5:$AJ$170,0,MATCH(K$2,Inputs!$K$4:$AJ$4,0)))+SUMPRODUCT((Inputs!$C$5:$C$170=$B25)*Inputs!$D$5:$D$170*(((Inputs!$G$5:$G$170="moeda")+(Inputs!$G$5:$G$170="acoes"))*Inputs!$B$1+((Inputs!$G$5:$G$170&lt;&gt;"moeda")*(Inputs!$G$5:$G$170&lt;&gt;"acoes")))*INDEX(Inputs!$K$5:$AJ$170,0,MATCH(K$2,Inputs!$K$4:$AJ$4,0)))+SUMPRODUCT((Inputs!$E$5:$E$170=$B25)*Inputs!$F$5:$F$170*(((Inputs!$G$5:$G$170="moeda")+(Inputs!$G$5:$G$170="acoes"))*Inputs!$B$1+((Inputs!$G$5:$G$170&lt;&gt;"moeda")*(Inputs!$G$5:$G$170&lt;&gt;"acoes")))*INDEX(Inputs!$K$5:$AJ$170,0,MATCH(K$2,Inputs!$K$4:$AJ$4,0)))))</f>
        <v>210.136</v>
      </c>
      <c r="L25" s="6">
        <f>IF(ISNA(MATCH(L$2,Inputs!$K$4:$AJ$4,0)),NA(),IF(SUMPRODUCT((Inputs!$A$5:$A$170=$B25)*ISNUMBER(INDEX(Inputs!$K$5:$AJ$170,0,MATCH(L$2,Inputs!$K$4:$AJ$4,0))))+SUMPRODUCT((Inputs!$C$5:$C$170=$B25)*ISNUMBER(INDEX(Inputs!$K$5:$AJ$170,0,MATCH(L$2,Inputs!$K$4:$AJ$4,0))))+SUMPRODUCT((Inputs!$E$5:$E$170=$B25)*ISNUMBER(INDEX(Inputs!$K$5:$AJ$170,0,MATCH(L$2,Inputs!$K$4:$AJ$4,0))))=0,NA(),SUMPRODUCT((Inputs!$A$5:$A$170=$B25)*Inputs!$B$5:$B$170*(((Inputs!$G$5:$G$170="moeda")+(Inputs!$G$5:$G$170="acoes"))*Inputs!$B$1+((Inputs!$G$5:$G$170&lt;&gt;"moeda")*(Inputs!$G$5:$G$170&lt;&gt;"acoes")))*INDEX(Inputs!$K$5:$AJ$170,0,MATCH(L$2,Inputs!$K$4:$AJ$4,0)))+SUMPRODUCT((Inputs!$C$5:$C$170=$B25)*Inputs!$D$5:$D$170*(((Inputs!$G$5:$G$170="moeda")+(Inputs!$G$5:$G$170="acoes"))*Inputs!$B$1+((Inputs!$G$5:$G$170&lt;&gt;"moeda")*(Inputs!$G$5:$G$170&lt;&gt;"acoes")))*INDEX(Inputs!$K$5:$AJ$170,0,MATCH(L$2,Inputs!$K$4:$AJ$4,0)))+SUMPRODUCT((Inputs!$E$5:$E$170=$B25)*Inputs!$F$5:$F$170*(((Inputs!$G$5:$G$170="moeda")+(Inputs!$G$5:$G$170="acoes"))*Inputs!$B$1+((Inputs!$G$5:$G$170&lt;&gt;"moeda")*(Inputs!$G$5:$G$170&lt;&gt;"acoes")))*INDEX(Inputs!$K$5:$AJ$170,0,MATCH(L$2,Inputs!$K$4:$AJ$4,0)))))</f>
        <v>287.792</v>
      </c>
      <c r="M25" s="3">
        <f>L25</f>
        <v>287.792</v>
      </c>
      <c r="N25" s="6">
        <f>IF(ISNA(MATCH(N$2,Inputs!$K$4:$AJ$4,0)),NA(),IF(SUMPRODUCT((Inputs!$A$5:$A$170=$B25)*ISNUMBER(INDEX(Inputs!$K$5:$AJ$170,0,MATCH(N$2,Inputs!$K$4:$AJ$4,0))))+SUMPRODUCT((Inputs!$C$5:$C$170=$B25)*ISNUMBER(INDEX(Inputs!$K$5:$AJ$170,0,MATCH(N$2,Inputs!$K$4:$AJ$4,0))))+SUMPRODUCT((Inputs!$E$5:$E$170=$B25)*ISNUMBER(INDEX(Inputs!$K$5:$AJ$170,0,MATCH(N$2,Inputs!$K$4:$AJ$4,0))))=0,NA(),SUMPRODUCT((Inputs!$A$5:$A$170=$B25)*Inputs!$B$5:$B$170*(((Inputs!$G$5:$G$170="moeda")+(Inputs!$G$5:$G$170="acoes"))*Inputs!$B$1+((Inputs!$G$5:$G$170&lt;&gt;"moeda")*(Inputs!$G$5:$G$170&lt;&gt;"acoes")))*INDEX(Inputs!$K$5:$AJ$170,0,MATCH(N$2,Inputs!$K$4:$AJ$4,0)))+SUMPRODUCT((Inputs!$C$5:$C$170=$B25)*Inputs!$D$5:$D$170*(((Inputs!$G$5:$G$170="moeda")+(Inputs!$G$5:$G$170="acoes"))*Inputs!$B$1+((Inputs!$G$5:$G$170&lt;&gt;"moeda")*(Inputs!$G$5:$G$170&lt;&gt;"acoes")))*INDEX(Inputs!$K$5:$AJ$170,0,MATCH(N$2,Inputs!$K$4:$AJ$4,0)))+SUMPRODUCT((Inputs!$E$5:$E$170=$B25)*Inputs!$F$5:$F$170*(((Inputs!$G$5:$G$170="moeda")+(Inputs!$G$5:$G$170="acoes"))*Inputs!$B$1+((Inputs!$G$5:$G$170&lt;&gt;"moeda")*(Inputs!$G$5:$G$170&lt;&gt;"acoes")))*INDEX(Inputs!$K$5:$AJ$170,0,MATCH(N$2,Inputs!$K$4:$AJ$4,0)))))</f>
        <v>298.068</v>
      </c>
      <c r="O25" s="6">
        <f>IF(ISNA(MATCH(O$2,Inputs!$K$4:$AJ$4,0)),NA(),IF(SUMPRODUCT((Inputs!$A$5:$A$170=$B25)*ISNUMBER(INDEX(Inputs!$K$5:$AJ$170,0,MATCH(O$2,Inputs!$K$4:$AJ$4,0))))+SUMPRODUCT((Inputs!$C$5:$C$170=$B25)*ISNUMBER(INDEX(Inputs!$K$5:$AJ$170,0,MATCH(O$2,Inputs!$K$4:$AJ$4,0))))+SUMPRODUCT((Inputs!$E$5:$E$170=$B25)*ISNUMBER(INDEX(Inputs!$K$5:$AJ$170,0,MATCH(O$2,Inputs!$K$4:$AJ$4,0))))=0,NA(),SUMPRODUCT((Inputs!$A$5:$A$170=$B25)*Inputs!$B$5:$B$170*(((Inputs!$G$5:$G$170="moeda")+(Inputs!$G$5:$G$170="acoes"))*Inputs!$B$1+((Inputs!$G$5:$G$170&lt;&gt;"moeda")*(Inputs!$G$5:$G$170&lt;&gt;"acoes")))*INDEX(Inputs!$K$5:$AJ$170,0,MATCH(O$2,Inputs!$K$4:$AJ$4,0)))+SUMPRODUCT((Inputs!$C$5:$C$170=$B25)*Inputs!$D$5:$D$170*(((Inputs!$G$5:$G$170="moeda")+(Inputs!$G$5:$G$170="acoes"))*Inputs!$B$1+((Inputs!$G$5:$G$170&lt;&gt;"moeda")*(Inputs!$G$5:$G$170&lt;&gt;"acoes")))*INDEX(Inputs!$K$5:$AJ$170,0,MATCH(O$2,Inputs!$K$4:$AJ$4,0)))+SUMPRODUCT((Inputs!$E$5:$E$170=$B25)*Inputs!$F$5:$F$170*(((Inputs!$G$5:$G$170="moeda")+(Inputs!$G$5:$G$170="acoes"))*Inputs!$B$1+((Inputs!$G$5:$G$170&lt;&gt;"moeda")*(Inputs!$G$5:$G$170&lt;&gt;"acoes")))*INDEX(Inputs!$K$5:$AJ$170,0,MATCH(O$2,Inputs!$K$4:$AJ$4,0)))))</f>
        <v>299.325</v>
      </c>
      <c r="P25" s="6">
        <f>IF(ISNA(MATCH(P$2,Inputs!$K$4:$AJ$4,0)),NA(),IF(SUMPRODUCT((Inputs!$A$5:$A$170=$B25)*ISNUMBER(INDEX(Inputs!$K$5:$AJ$170,0,MATCH(P$2,Inputs!$K$4:$AJ$4,0))))+SUMPRODUCT((Inputs!$C$5:$C$170=$B25)*ISNUMBER(INDEX(Inputs!$K$5:$AJ$170,0,MATCH(P$2,Inputs!$K$4:$AJ$4,0))))+SUMPRODUCT((Inputs!$E$5:$E$170=$B25)*ISNUMBER(INDEX(Inputs!$K$5:$AJ$170,0,MATCH(P$2,Inputs!$K$4:$AJ$4,0))))=0,NA(),SUMPRODUCT((Inputs!$A$5:$A$170=$B25)*Inputs!$B$5:$B$170*(((Inputs!$G$5:$G$170="moeda")+(Inputs!$G$5:$G$170="acoes"))*Inputs!$B$1+((Inputs!$G$5:$G$170&lt;&gt;"moeda")*(Inputs!$G$5:$G$170&lt;&gt;"acoes")))*INDEX(Inputs!$K$5:$AJ$170,0,MATCH(P$2,Inputs!$K$4:$AJ$4,0)))+SUMPRODUCT((Inputs!$C$5:$C$170=$B25)*Inputs!$D$5:$D$170*(((Inputs!$G$5:$G$170="moeda")+(Inputs!$G$5:$G$170="acoes"))*Inputs!$B$1+((Inputs!$G$5:$G$170&lt;&gt;"moeda")*(Inputs!$G$5:$G$170&lt;&gt;"acoes")))*INDEX(Inputs!$K$5:$AJ$170,0,MATCH(P$2,Inputs!$K$4:$AJ$4,0)))+SUMPRODUCT((Inputs!$E$5:$E$170=$B25)*Inputs!$F$5:$F$170*(((Inputs!$G$5:$G$170="moeda")+(Inputs!$G$5:$G$170="acoes"))*Inputs!$B$1+((Inputs!$G$5:$G$170&lt;&gt;"moeda")*(Inputs!$G$5:$G$170&lt;&gt;"acoes")))*INDEX(Inputs!$K$5:$AJ$170,0,MATCH(P$2,Inputs!$K$4:$AJ$4,0)))))</f>
        <v>304.534</v>
      </c>
      <c r="Q25" s="6">
        <f>IF(ISNA(MATCH(Q$2,Inputs!$K$4:$AJ$4,0)),NA(),IF(SUMPRODUCT((Inputs!$A$5:$A$170=$B25)*ISNUMBER(INDEX(Inputs!$K$5:$AJ$170,0,MATCH(Q$2,Inputs!$K$4:$AJ$4,0))))+SUMPRODUCT((Inputs!$C$5:$C$170=$B25)*ISNUMBER(INDEX(Inputs!$K$5:$AJ$170,0,MATCH(Q$2,Inputs!$K$4:$AJ$4,0))))+SUMPRODUCT((Inputs!$E$5:$E$170=$B25)*ISNUMBER(INDEX(Inputs!$K$5:$AJ$170,0,MATCH(Q$2,Inputs!$K$4:$AJ$4,0))))=0,NA(),SUMPRODUCT((Inputs!$A$5:$A$170=$B25)*Inputs!$B$5:$B$170*(((Inputs!$G$5:$G$170="moeda")+(Inputs!$G$5:$G$170="acoes"))*Inputs!$B$1+((Inputs!$G$5:$G$170&lt;&gt;"moeda")*(Inputs!$G$5:$G$170&lt;&gt;"acoes")))*INDEX(Inputs!$K$5:$AJ$170,0,MATCH(Q$2,Inputs!$K$4:$AJ$4,0)))+SUMPRODUCT((Inputs!$C$5:$C$170=$B25)*Inputs!$D$5:$D$170*(((Inputs!$G$5:$G$170="moeda")+(Inputs!$G$5:$G$170="acoes"))*Inputs!$B$1+((Inputs!$G$5:$G$170&lt;&gt;"moeda")*(Inputs!$G$5:$G$170&lt;&gt;"acoes")))*INDEX(Inputs!$K$5:$AJ$170,0,MATCH(Q$2,Inputs!$K$4:$AJ$4,0)))+SUMPRODUCT((Inputs!$E$5:$E$170=$B25)*Inputs!$F$5:$F$170*(((Inputs!$G$5:$G$170="moeda")+(Inputs!$G$5:$G$170="acoes"))*Inputs!$B$1+((Inputs!$G$5:$G$170&lt;&gt;"moeda")*(Inputs!$G$5:$G$170&lt;&gt;"acoes")))*INDEX(Inputs!$K$5:$AJ$170,0,MATCH(Q$2,Inputs!$K$4:$AJ$4,0)))))</f>
        <v>336.311</v>
      </c>
      <c r="R25" s="3">
        <f>Q25</f>
        <v>336.311</v>
      </c>
      <c r="S25" s="6">
        <f>IF(ISNA(MATCH(S$2,Inputs!$K$4:$AJ$4,0)),NA(),IF(SUMPRODUCT((Inputs!$A$5:$A$170=$B25)*ISNUMBER(INDEX(Inputs!$K$5:$AJ$170,0,MATCH(S$2,Inputs!$K$4:$AJ$4,0))))+SUMPRODUCT((Inputs!$C$5:$C$170=$B25)*ISNUMBER(INDEX(Inputs!$K$5:$AJ$170,0,MATCH(S$2,Inputs!$K$4:$AJ$4,0))))+SUMPRODUCT((Inputs!$E$5:$E$170=$B25)*ISNUMBER(INDEX(Inputs!$K$5:$AJ$170,0,MATCH(S$2,Inputs!$K$4:$AJ$4,0))))=0,NA(),SUMPRODUCT((Inputs!$A$5:$A$170=$B25)*Inputs!$B$5:$B$170*(((Inputs!$G$5:$G$170="moeda")+(Inputs!$G$5:$G$170="acoes"))*Inputs!$B$1+((Inputs!$G$5:$G$170&lt;&gt;"moeda")*(Inputs!$G$5:$G$170&lt;&gt;"acoes")))*INDEX(Inputs!$K$5:$AJ$170,0,MATCH(S$2,Inputs!$K$4:$AJ$4,0)))+SUMPRODUCT((Inputs!$C$5:$C$170=$B25)*Inputs!$D$5:$D$170*(((Inputs!$G$5:$G$170="moeda")+(Inputs!$G$5:$G$170="acoes"))*Inputs!$B$1+((Inputs!$G$5:$G$170&lt;&gt;"moeda")*(Inputs!$G$5:$G$170&lt;&gt;"acoes")))*INDEX(Inputs!$K$5:$AJ$170,0,MATCH(S$2,Inputs!$K$4:$AJ$4,0)))+SUMPRODUCT((Inputs!$E$5:$E$170=$B25)*Inputs!$F$5:$F$170*(((Inputs!$G$5:$G$170="moeda")+(Inputs!$G$5:$G$170="acoes"))*Inputs!$B$1+((Inputs!$G$5:$G$170&lt;&gt;"moeda")*(Inputs!$G$5:$G$170&lt;&gt;"acoes")))*INDEX(Inputs!$K$5:$AJ$170,0,MATCH(S$2,Inputs!$K$4:$AJ$4,0)))))</f>
        <v>329.214</v>
      </c>
      <c r="T25" s="6">
        <f>IF(ISNA(MATCH(T$2,Inputs!$K$4:$AJ$4,0)),NA(),IF(SUMPRODUCT((Inputs!$A$5:$A$170=$B25)*ISNUMBER(INDEX(Inputs!$K$5:$AJ$170,0,MATCH(T$2,Inputs!$K$4:$AJ$4,0))))+SUMPRODUCT((Inputs!$C$5:$C$170=$B25)*ISNUMBER(INDEX(Inputs!$K$5:$AJ$170,0,MATCH(T$2,Inputs!$K$4:$AJ$4,0))))+SUMPRODUCT((Inputs!$E$5:$E$170=$B25)*ISNUMBER(INDEX(Inputs!$K$5:$AJ$170,0,MATCH(T$2,Inputs!$K$4:$AJ$4,0))))=0,NA(),SUMPRODUCT((Inputs!$A$5:$A$170=$B25)*Inputs!$B$5:$B$170*(((Inputs!$G$5:$G$170="moeda")+(Inputs!$G$5:$G$170="acoes"))*Inputs!$B$1+((Inputs!$G$5:$G$170&lt;&gt;"moeda")*(Inputs!$G$5:$G$170&lt;&gt;"acoes")))*INDEX(Inputs!$K$5:$AJ$170,0,MATCH(T$2,Inputs!$K$4:$AJ$4,0)))+SUMPRODUCT((Inputs!$C$5:$C$170=$B25)*Inputs!$D$5:$D$170*(((Inputs!$G$5:$G$170="moeda")+(Inputs!$G$5:$G$170="acoes"))*Inputs!$B$1+((Inputs!$G$5:$G$170&lt;&gt;"moeda")*(Inputs!$G$5:$G$170&lt;&gt;"acoes")))*INDEX(Inputs!$K$5:$AJ$170,0,MATCH(T$2,Inputs!$K$4:$AJ$4,0)))+SUMPRODUCT((Inputs!$E$5:$E$170=$B25)*Inputs!$F$5:$F$170*(((Inputs!$G$5:$G$170="moeda")+(Inputs!$G$5:$G$170="acoes"))*Inputs!$B$1+((Inputs!$G$5:$G$170&lt;&gt;"moeda")*(Inputs!$G$5:$G$170&lt;&gt;"acoes")))*INDEX(Inputs!$K$5:$AJ$170,0,MATCH(T$2,Inputs!$K$4:$AJ$4,0)))))</f>
        <v>335.703</v>
      </c>
      <c r="U25" s="6">
        <f>IF(ISNA(MATCH(U$2,Inputs!$K$4:$AJ$4,0)),NA(),IF(SUMPRODUCT((Inputs!$A$5:$A$170=$B25)*ISNUMBER(INDEX(Inputs!$K$5:$AJ$170,0,MATCH(U$2,Inputs!$K$4:$AJ$4,0))))+SUMPRODUCT((Inputs!$C$5:$C$170=$B25)*ISNUMBER(INDEX(Inputs!$K$5:$AJ$170,0,MATCH(U$2,Inputs!$K$4:$AJ$4,0))))+SUMPRODUCT((Inputs!$E$5:$E$170=$B25)*ISNUMBER(INDEX(Inputs!$K$5:$AJ$170,0,MATCH(U$2,Inputs!$K$4:$AJ$4,0))))=0,NA(),SUMPRODUCT((Inputs!$A$5:$A$170=$B25)*Inputs!$B$5:$B$170*(((Inputs!$G$5:$G$170="moeda")+(Inputs!$G$5:$G$170="acoes"))*Inputs!$B$1+((Inputs!$G$5:$G$170&lt;&gt;"moeda")*(Inputs!$G$5:$G$170&lt;&gt;"acoes")))*INDEX(Inputs!$K$5:$AJ$170,0,MATCH(U$2,Inputs!$K$4:$AJ$4,0)))+SUMPRODUCT((Inputs!$C$5:$C$170=$B25)*Inputs!$D$5:$D$170*(((Inputs!$G$5:$G$170="moeda")+(Inputs!$G$5:$G$170="acoes"))*Inputs!$B$1+((Inputs!$G$5:$G$170&lt;&gt;"moeda")*(Inputs!$G$5:$G$170&lt;&gt;"acoes")))*INDEX(Inputs!$K$5:$AJ$170,0,MATCH(U$2,Inputs!$K$4:$AJ$4,0)))+SUMPRODUCT((Inputs!$E$5:$E$170=$B25)*Inputs!$F$5:$F$170*(((Inputs!$G$5:$G$170="moeda")+(Inputs!$G$5:$G$170="acoes"))*Inputs!$B$1+((Inputs!$G$5:$G$170&lt;&gt;"moeda")*(Inputs!$G$5:$G$170&lt;&gt;"acoes")))*INDEX(Inputs!$K$5:$AJ$170,0,MATCH(U$2,Inputs!$K$4:$AJ$4,0)))))</f>
        <v>339.4</v>
      </c>
      <c r="V25" s="6">
        <f>IF(ISNA(MATCH(V$2,Inputs!$K$4:$AJ$4,0)),NA(),IF(SUMPRODUCT((Inputs!$A$5:$A$170=$B25)*ISNUMBER(INDEX(Inputs!$K$5:$AJ$170,0,MATCH(V$2,Inputs!$K$4:$AJ$4,0))))+SUMPRODUCT((Inputs!$C$5:$C$170=$B25)*ISNUMBER(INDEX(Inputs!$K$5:$AJ$170,0,MATCH(V$2,Inputs!$K$4:$AJ$4,0))))+SUMPRODUCT((Inputs!$E$5:$E$170=$B25)*ISNUMBER(INDEX(Inputs!$K$5:$AJ$170,0,MATCH(V$2,Inputs!$K$4:$AJ$4,0))))=0,NA(),SUMPRODUCT((Inputs!$A$5:$A$170=$B25)*Inputs!$B$5:$B$170*(((Inputs!$G$5:$G$170="moeda")+(Inputs!$G$5:$G$170="acoes"))*Inputs!$B$1+((Inputs!$G$5:$G$170&lt;&gt;"moeda")*(Inputs!$G$5:$G$170&lt;&gt;"acoes")))*INDEX(Inputs!$K$5:$AJ$170,0,MATCH(V$2,Inputs!$K$4:$AJ$4,0)))+SUMPRODUCT((Inputs!$C$5:$C$170=$B25)*Inputs!$D$5:$D$170*(((Inputs!$G$5:$G$170="moeda")+(Inputs!$G$5:$G$170="acoes"))*Inputs!$B$1+((Inputs!$G$5:$G$170&lt;&gt;"moeda")*(Inputs!$G$5:$G$170&lt;&gt;"acoes")))*INDEX(Inputs!$K$5:$AJ$170,0,MATCH(V$2,Inputs!$K$4:$AJ$4,0)))+SUMPRODUCT((Inputs!$E$5:$E$170=$B25)*Inputs!$F$5:$F$170*(((Inputs!$G$5:$G$170="moeda")+(Inputs!$G$5:$G$170="acoes"))*Inputs!$B$1+((Inputs!$G$5:$G$170&lt;&gt;"moeda")*(Inputs!$G$5:$G$170&lt;&gt;"acoes")))*INDEX(Inputs!$K$5:$AJ$170,0,MATCH(V$2,Inputs!$K$4:$AJ$4,0)))))</f>
        <v>342.163</v>
      </c>
      <c r="W25" s="3">
        <f>V25</f>
        <v>342.163</v>
      </c>
      <c r="X25" s="6">
        <f>IF(ISNA(MATCH(X$2,Inputs!$K$4:$AJ$4,0)),NA(),IF(SUMPRODUCT((Inputs!$A$5:$A$170=$B25)*ISNUMBER(INDEX(Inputs!$K$5:$AJ$170,0,MATCH(X$2,Inputs!$K$4:$AJ$4,0))))+SUMPRODUCT((Inputs!$C$5:$C$170=$B25)*ISNUMBER(INDEX(Inputs!$K$5:$AJ$170,0,MATCH(X$2,Inputs!$K$4:$AJ$4,0))))+SUMPRODUCT((Inputs!$E$5:$E$170=$B25)*ISNUMBER(INDEX(Inputs!$K$5:$AJ$170,0,MATCH(X$2,Inputs!$K$4:$AJ$4,0))))=0,NA(),SUMPRODUCT((Inputs!$A$5:$A$170=$B25)*Inputs!$B$5:$B$170*(((Inputs!$G$5:$G$170="moeda")+(Inputs!$G$5:$G$170="acoes"))*Inputs!$B$1+((Inputs!$G$5:$G$170&lt;&gt;"moeda")*(Inputs!$G$5:$G$170&lt;&gt;"acoes")))*INDEX(Inputs!$K$5:$AJ$170,0,MATCH(X$2,Inputs!$K$4:$AJ$4,0)))+SUMPRODUCT((Inputs!$C$5:$C$170=$B25)*Inputs!$D$5:$D$170*(((Inputs!$G$5:$G$170="moeda")+(Inputs!$G$5:$G$170="acoes"))*Inputs!$B$1+((Inputs!$G$5:$G$170&lt;&gt;"moeda")*(Inputs!$G$5:$G$170&lt;&gt;"acoes")))*INDEX(Inputs!$K$5:$AJ$170,0,MATCH(X$2,Inputs!$K$4:$AJ$4,0)))+SUMPRODUCT((Inputs!$E$5:$E$170=$B25)*Inputs!$F$5:$F$170*(((Inputs!$G$5:$G$170="moeda")+(Inputs!$G$5:$G$170="acoes"))*Inputs!$B$1+((Inputs!$G$5:$G$170&lt;&gt;"moeda")*(Inputs!$G$5:$G$170&lt;&gt;"acoes")))*INDEX(Inputs!$K$5:$AJ$170,0,MATCH(X$2,Inputs!$K$4:$AJ$4,0)))))</f>
        <v>348.058</v>
      </c>
      <c r="Y25" s="6">
        <f>IF(ISNA(MATCH(Y$2,Inputs!$K$4:$AJ$4,0)),NA(),IF(SUMPRODUCT((Inputs!$A$5:$A$170=$B25)*ISNUMBER(INDEX(Inputs!$K$5:$AJ$170,0,MATCH(Y$2,Inputs!$K$4:$AJ$4,0))))+SUMPRODUCT((Inputs!$C$5:$C$170=$B25)*ISNUMBER(INDEX(Inputs!$K$5:$AJ$170,0,MATCH(Y$2,Inputs!$K$4:$AJ$4,0))))+SUMPRODUCT((Inputs!$E$5:$E$170=$B25)*ISNUMBER(INDEX(Inputs!$K$5:$AJ$170,0,MATCH(Y$2,Inputs!$K$4:$AJ$4,0))))=0,NA(),SUMPRODUCT((Inputs!$A$5:$A$170=$B25)*Inputs!$B$5:$B$170*(((Inputs!$G$5:$G$170="moeda")+(Inputs!$G$5:$G$170="acoes"))*Inputs!$B$1+((Inputs!$G$5:$G$170&lt;&gt;"moeda")*(Inputs!$G$5:$G$170&lt;&gt;"acoes")))*INDEX(Inputs!$K$5:$AJ$170,0,MATCH(Y$2,Inputs!$K$4:$AJ$4,0)))+SUMPRODUCT((Inputs!$C$5:$C$170=$B25)*Inputs!$D$5:$D$170*(((Inputs!$G$5:$G$170="moeda")+(Inputs!$G$5:$G$170="acoes"))*Inputs!$B$1+((Inputs!$G$5:$G$170&lt;&gt;"moeda")*(Inputs!$G$5:$G$170&lt;&gt;"acoes")))*INDEX(Inputs!$K$5:$AJ$170,0,MATCH(Y$2,Inputs!$K$4:$AJ$4,0)))+SUMPRODUCT((Inputs!$E$5:$E$170=$B25)*Inputs!$F$5:$F$170*(((Inputs!$G$5:$G$170="moeda")+(Inputs!$G$5:$G$170="acoes"))*Inputs!$B$1+((Inputs!$G$5:$G$170&lt;&gt;"moeda")*(Inputs!$G$5:$G$170&lt;&gt;"acoes")))*INDEX(Inputs!$K$5:$AJ$170,0,MATCH(Y$2,Inputs!$K$4:$AJ$4,0)))))</f>
        <v>353.536</v>
      </c>
      <c r="Z25" s="6">
        <f>IF(ISNA(MATCH(Z$2,Inputs!$K$4:$AJ$4,0)),NA(),IF(SUMPRODUCT((Inputs!$A$5:$A$170=$B25)*ISNUMBER(INDEX(Inputs!$K$5:$AJ$170,0,MATCH(Z$2,Inputs!$K$4:$AJ$4,0))))+SUMPRODUCT((Inputs!$C$5:$C$170=$B25)*ISNUMBER(INDEX(Inputs!$K$5:$AJ$170,0,MATCH(Z$2,Inputs!$K$4:$AJ$4,0))))+SUMPRODUCT((Inputs!$E$5:$E$170=$B25)*ISNUMBER(INDEX(Inputs!$K$5:$AJ$170,0,MATCH(Z$2,Inputs!$K$4:$AJ$4,0))))=0,NA(),SUMPRODUCT((Inputs!$A$5:$A$170=$B25)*Inputs!$B$5:$B$170*(((Inputs!$G$5:$G$170="moeda")+(Inputs!$G$5:$G$170="acoes"))*Inputs!$B$1+((Inputs!$G$5:$G$170&lt;&gt;"moeda")*(Inputs!$G$5:$G$170&lt;&gt;"acoes")))*INDEX(Inputs!$K$5:$AJ$170,0,MATCH(Z$2,Inputs!$K$4:$AJ$4,0)))+SUMPRODUCT((Inputs!$C$5:$C$170=$B25)*Inputs!$D$5:$D$170*(((Inputs!$G$5:$G$170="moeda")+(Inputs!$G$5:$G$170="acoes"))*Inputs!$B$1+((Inputs!$G$5:$G$170&lt;&gt;"moeda")*(Inputs!$G$5:$G$170&lt;&gt;"acoes")))*INDEX(Inputs!$K$5:$AJ$170,0,MATCH(Z$2,Inputs!$K$4:$AJ$4,0)))+SUMPRODUCT((Inputs!$E$5:$E$170=$B25)*Inputs!$F$5:$F$170*(((Inputs!$G$5:$G$170="moeda")+(Inputs!$G$5:$G$170="acoes"))*Inputs!$B$1+((Inputs!$G$5:$G$170&lt;&gt;"moeda")*(Inputs!$G$5:$G$170&lt;&gt;"acoes")))*INDEX(Inputs!$K$5:$AJ$170,0,MATCH(Z$2,Inputs!$K$4:$AJ$4,0)))))</f>
        <v>347.501</v>
      </c>
      <c r="AA25" s="6">
        <f>IF(ISNA(MATCH(AA$2,Inputs!$K$4:$AJ$4,0)),NA(),IF(SUMPRODUCT((Inputs!$A$5:$A$170=$B25)*ISNUMBER(INDEX(Inputs!$K$5:$AJ$170,0,MATCH(AA$2,Inputs!$K$4:$AJ$4,0))))+SUMPRODUCT((Inputs!$C$5:$C$170=$B25)*ISNUMBER(INDEX(Inputs!$K$5:$AJ$170,0,MATCH(AA$2,Inputs!$K$4:$AJ$4,0))))+SUMPRODUCT((Inputs!$E$5:$E$170=$B25)*ISNUMBER(INDEX(Inputs!$K$5:$AJ$170,0,MATCH(AA$2,Inputs!$K$4:$AJ$4,0))))=0,NA(),SUMPRODUCT((Inputs!$A$5:$A$170=$B25)*Inputs!$B$5:$B$170*(((Inputs!$G$5:$G$170="moeda")+(Inputs!$G$5:$G$170="acoes"))*Inputs!$B$1+((Inputs!$G$5:$G$170&lt;&gt;"moeda")*(Inputs!$G$5:$G$170&lt;&gt;"acoes")))*INDEX(Inputs!$K$5:$AJ$170,0,MATCH(AA$2,Inputs!$K$4:$AJ$4,0)))+SUMPRODUCT((Inputs!$C$5:$C$170=$B25)*Inputs!$D$5:$D$170*(((Inputs!$G$5:$G$170="moeda")+(Inputs!$G$5:$G$170="acoes"))*Inputs!$B$1+((Inputs!$G$5:$G$170&lt;&gt;"moeda")*(Inputs!$G$5:$G$170&lt;&gt;"acoes")))*INDEX(Inputs!$K$5:$AJ$170,0,MATCH(AA$2,Inputs!$K$4:$AJ$4,0)))+SUMPRODUCT((Inputs!$E$5:$E$170=$B25)*Inputs!$F$5:$F$170*(((Inputs!$G$5:$G$170="moeda")+(Inputs!$G$5:$G$170="acoes"))*Inputs!$B$1+((Inputs!$G$5:$G$170&lt;&gt;"moeda")*(Inputs!$G$5:$G$170&lt;&gt;"acoes")))*INDEX(Inputs!$K$5:$AJ$170,0,MATCH(AA$2,Inputs!$K$4:$AJ$4,0)))))</f>
        <v>350.075</v>
      </c>
      <c r="AB25" s="3">
        <f>AA25</f>
        <v>350.075</v>
      </c>
      <c r="AC25" s="6">
        <f>IF(ISNA(MATCH(AC$2,Inputs!$K$4:$AJ$4,0)),NA(),IF(SUMPRODUCT((Inputs!$A$5:$A$170=$B25)*ISNUMBER(INDEX(Inputs!$K$5:$AJ$170,0,MATCH(AC$2,Inputs!$K$4:$AJ$4,0))))+SUMPRODUCT((Inputs!$C$5:$C$170=$B25)*ISNUMBER(INDEX(Inputs!$K$5:$AJ$170,0,MATCH(AC$2,Inputs!$K$4:$AJ$4,0))))+SUMPRODUCT((Inputs!$E$5:$E$170=$B25)*ISNUMBER(INDEX(Inputs!$K$5:$AJ$170,0,MATCH(AC$2,Inputs!$K$4:$AJ$4,0))))=0,NA(),SUMPRODUCT((Inputs!$A$5:$A$170=$B25)*Inputs!$B$5:$B$170*(((Inputs!$G$5:$G$170="moeda")+(Inputs!$G$5:$G$170="acoes"))*Inputs!$B$1+((Inputs!$G$5:$G$170&lt;&gt;"moeda")*(Inputs!$G$5:$G$170&lt;&gt;"acoes")))*INDEX(Inputs!$K$5:$AJ$170,0,MATCH(AC$2,Inputs!$K$4:$AJ$4,0)))+SUMPRODUCT((Inputs!$C$5:$C$170=$B25)*Inputs!$D$5:$D$170*(((Inputs!$G$5:$G$170="moeda")+(Inputs!$G$5:$G$170="acoes"))*Inputs!$B$1+((Inputs!$G$5:$G$170&lt;&gt;"moeda")*(Inputs!$G$5:$G$170&lt;&gt;"acoes")))*INDEX(Inputs!$K$5:$AJ$170,0,MATCH(AC$2,Inputs!$K$4:$AJ$4,0)))+SUMPRODUCT((Inputs!$E$5:$E$170=$B25)*Inputs!$F$5:$F$170*(((Inputs!$G$5:$G$170="moeda")+(Inputs!$G$5:$G$170="acoes"))*Inputs!$B$1+((Inputs!$G$5:$G$170&lt;&gt;"moeda")*(Inputs!$G$5:$G$170&lt;&gt;"acoes")))*INDEX(Inputs!$K$5:$AJ$170,0,MATCH(AC$2,Inputs!$K$4:$AJ$4,0)))))</f>
        <v>357.283</v>
      </c>
      <c r="AD25" s="6">
        <f>IF(ISNA(MATCH(AD$2,Inputs!$K$4:$AJ$4,0)),NA(),IF(SUMPRODUCT((Inputs!$A$5:$A$170=$B25)*ISNUMBER(INDEX(Inputs!$K$5:$AJ$170,0,MATCH(AD$2,Inputs!$K$4:$AJ$4,0))))+SUMPRODUCT((Inputs!$C$5:$C$170=$B25)*ISNUMBER(INDEX(Inputs!$K$5:$AJ$170,0,MATCH(AD$2,Inputs!$K$4:$AJ$4,0))))+SUMPRODUCT((Inputs!$E$5:$E$170=$B25)*ISNUMBER(INDEX(Inputs!$K$5:$AJ$170,0,MATCH(AD$2,Inputs!$K$4:$AJ$4,0))))=0,NA(),SUMPRODUCT((Inputs!$A$5:$A$170=$B25)*Inputs!$B$5:$B$170*(((Inputs!$G$5:$G$170="moeda")+(Inputs!$G$5:$G$170="acoes"))*Inputs!$B$1+((Inputs!$G$5:$G$170&lt;&gt;"moeda")*(Inputs!$G$5:$G$170&lt;&gt;"acoes")))*INDEX(Inputs!$K$5:$AJ$170,0,MATCH(AD$2,Inputs!$K$4:$AJ$4,0)))+SUMPRODUCT((Inputs!$C$5:$C$170=$B25)*Inputs!$D$5:$D$170*(((Inputs!$G$5:$G$170="moeda")+(Inputs!$G$5:$G$170="acoes"))*Inputs!$B$1+((Inputs!$G$5:$G$170&lt;&gt;"moeda")*(Inputs!$G$5:$G$170&lt;&gt;"acoes")))*INDEX(Inputs!$K$5:$AJ$170,0,MATCH(AD$2,Inputs!$K$4:$AJ$4,0)))+SUMPRODUCT((Inputs!$E$5:$E$170=$B25)*Inputs!$F$5:$F$170*(((Inputs!$G$5:$G$170="moeda")+(Inputs!$G$5:$G$170="acoes"))*Inputs!$B$1+((Inputs!$G$5:$G$170&lt;&gt;"moeda")*(Inputs!$G$5:$G$170&lt;&gt;"acoes")))*INDEX(Inputs!$K$5:$AJ$170,0,MATCH(AD$2,Inputs!$K$4:$AJ$4,0)))))</f>
        <v>384.741</v>
      </c>
      <c r="AE25" s="6" t="e">
        <f>IF(ISNA(MATCH(AE$2,Inputs!$K$4:$AJ$4,0)),NA(),IF(SUMPRODUCT((Inputs!$A$5:$A$170=$B25)*ISNUMBER(INDEX(Inputs!$K$5:$AJ$170,0,MATCH(AE$2,Inputs!$K$4:$AJ$4,0))))+SUMPRODUCT((Inputs!$C$5:$C$170=$B25)*ISNUMBER(INDEX(Inputs!$K$5:$AJ$170,0,MATCH(AE$2,Inputs!$K$4:$AJ$4,0))))+SUMPRODUCT((Inputs!$E$5:$E$170=$B25)*ISNUMBER(INDEX(Inputs!$K$5:$AJ$170,0,MATCH(AE$2,Inputs!$K$4:$AJ$4,0))))=0,NA(),SUMPRODUCT((Inputs!$A$5:$A$170=$B25)*Inputs!$B$5:$B$170*(((Inputs!$G$5:$G$170="moeda")+(Inputs!$G$5:$G$170="acoes"))*Inputs!$B$1+((Inputs!$G$5:$G$170&lt;&gt;"moeda")*(Inputs!$G$5:$G$170&lt;&gt;"acoes")))*INDEX(Inputs!$K$5:$AJ$170,0,MATCH(AE$2,Inputs!$K$4:$AJ$4,0)))+SUMPRODUCT((Inputs!$C$5:$C$170=$B25)*Inputs!$D$5:$D$170*(((Inputs!$G$5:$G$170="moeda")+(Inputs!$G$5:$G$170="acoes"))*Inputs!$B$1+((Inputs!$G$5:$G$170&lt;&gt;"moeda")*(Inputs!$G$5:$G$170&lt;&gt;"acoes")))*INDEX(Inputs!$K$5:$AJ$170,0,MATCH(AE$2,Inputs!$K$4:$AJ$4,0)))+SUMPRODUCT((Inputs!$E$5:$E$170=$B25)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5" s="6" t="e">
        <f>IF(ISNA(MATCH(AF$2,Inputs!$K$4:$AJ$4,0)),NA(),IF(SUMPRODUCT((Inputs!$A$5:$A$170=$B25)*ISNUMBER(INDEX(Inputs!$K$5:$AJ$170,0,MATCH(AF$2,Inputs!$K$4:$AJ$4,0))))+SUMPRODUCT((Inputs!$C$5:$C$170=$B25)*ISNUMBER(INDEX(Inputs!$K$5:$AJ$170,0,MATCH(AF$2,Inputs!$K$4:$AJ$4,0))))+SUMPRODUCT((Inputs!$E$5:$E$170=$B25)*ISNUMBER(INDEX(Inputs!$K$5:$AJ$170,0,MATCH(AF$2,Inputs!$K$4:$AJ$4,0))))=0,NA(),SUMPRODUCT((Inputs!$A$5:$A$170=$B25)*Inputs!$B$5:$B$170*(((Inputs!$G$5:$G$170="moeda")+(Inputs!$G$5:$G$170="acoes"))*Inputs!$B$1+((Inputs!$G$5:$G$170&lt;&gt;"moeda")*(Inputs!$G$5:$G$170&lt;&gt;"acoes")))*INDEX(Inputs!$K$5:$AJ$170,0,MATCH(AF$2,Inputs!$K$4:$AJ$4,0)))+SUMPRODUCT((Inputs!$C$5:$C$170=$B25)*Inputs!$D$5:$D$170*(((Inputs!$G$5:$G$170="moeda")+(Inputs!$G$5:$G$170="acoes"))*Inputs!$B$1+((Inputs!$G$5:$G$170&lt;&gt;"moeda")*(Inputs!$G$5:$G$170&lt;&gt;"acoes")))*INDEX(Inputs!$K$5:$AJ$170,0,MATCH(AF$2,Inputs!$K$4:$AJ$4,0)))+SUMPRODUCT((Inputs!$E$5:$E$170=$B25)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5" s="3" t="e">
        <f>AF25</f>
        <v>#N/A</v>
      </c>
      <c r="AH25" s="6">
        <f>IF(ISNA(MATCH(AH$2,Inputs!$K$4:$AJ$4,0)),NA(),IF(SUMPRODUCT((Inputs!$A$5:$A$170=$B25)*ISNUMBER(INDEX(Inputs!$K$5:$AJ$170,0,MATCH(AH$2,Inputs!$K$4:$AJ$4,0))))+SUMPRODUCT((Inputs!$C$5:$C$170=$B25)*ISNUMBER(INDEX(Inputs!$K$5:$AJ$170,0,MATCH(AH$2,Inputs!$K$4:$AJ$4,0))))+SUMPRODUCT((Inputs!$E$5:$E$170=$B25)*ISNUMBER(INDEX(Inputs!$K$5:$AJ$170,0,MATCH(AH$2,Inputs!$K$4:$AJ$4,0))))=0,NA(),SUMPRODUCT((Inputs!$A$5:$A$170=$B25)*Inputs!$B$5:$B$170*(((Inputs!$G$5:$G$170="moeda")+(Inputs!$G$5:$G$170="acoes"))*Inputs!$B$1+((Inputs!$G$5:$G$170&lt;&gt;"moeda")*(Inputs!$G$5:$G$170&lt;&gt;"acoes")))*INDEX(Inputs!$K$5:$AJ$170,0,MATCH(AH$2,Inputs!$K$4:$AJ$4,0)))+SUMPRODUCT((Inputs!$C$5:$C$170=$B25)*Inputs!$D$5:$D$170*(((Inputs!$G$5:$G$170="moeda")+(Inputs!$G$5:$G$170="acoes"))*Inputs!$B$1+((Inputs!$G$5:$G$170&lt;&gt;"moeda")*(Inputs!$G$5:$G$170&lt;&gt;"acoes")))*INDEX(Inputs!$K$5:$AJ$170,0,MATCH(AH$2,Inputs!$K$4:$AJ$4,0)))+SUMPRODUCT((Inputs!$E$5:$E$170=$B25)*Inputs!$F$5:$F$170*(((Inputs!$G$5:$G$170="moeda")+(Inputs!$G$5:$G$170="acoes"))*Inputs!$B$1+((Inputs!$G$5:$G$170&lt;&gt;"moeda")*(Inputs!$G$5:$G$170&lt;&gt;"acoes")))*INDEX(Inputs!$K$5:$AJ$170,0,MATCH(AH$2,Inputs!$K$4:$AJ$4,0)))))</f>
        <v>115.979</v>
      </c>
      <c r="AI25" s="6">
        <f>IF(ISNA(MATCH(AI$2,Inputs!$K$4:$AJ$4,0)),NA(),IF(SUMPRODUCT((Inputs!$A$5:$A$170=$B25)*ISNUMBER(INDEX(Inputs!$K$5:$AJ$170,0,MATCH(AI$2,Inputs!$K$4:$AJ$4,0))))+SUMPRODUCT((Inputs!$C$5:$C$170=$B25)*ISNUMBER(INDEX(Inputs!$K$5:$AJ$170,0,MATCH(AI$2,Inputs!$K$4:$AJ$4,0))))+SUMPRODUCT((Inputs!$E$5:$E$170=$B25)*ISNUMBER(INDEX(Inputs!$K$5:$AJ$170,0,MATCH(AI$2,Inputs!$K$4:$AJ$4,0))))=0,NA(),SUMPRODUCT((Inputs!$A$5:$A$170=$B25)*Inputs!$B$5:$B$170*(((Inputs!$G$5:$G$170="moeda")+(Inputs!$G$5:$G$170="acoes"))*Inputs!$B$1+((Inputs!$G$5:$G$170&lt;&gt;"moeda")*(Inputs!$G$5:$G$170&lt;&gt;"acoes")))*INDEX(Inputs!$K$5:$AJ$170,0,MATCH(AI$2,Inputs!$K$4:$AJ$4,0)))+SUMPRODUCT((Inputs!$C$5:$C$170=$B25)*Inputs!$D$5:$D$170*(((Inputs!$G$5:$G$170="moeda")+(Inputs!$G$5:$G$170="acoes"))*Inputs!$B$1+((Inputs!$G$5:$G$170&lt;&gt;"moeda")*(Inputs!$G$5:$G$170&lt;&gt;"acoes")))*INDEX(Inputs!$K$5:$AJ$170,0,MATCH(AI$2,Inputs!$K$4:$AJ$4,0)))+SUMPRODUCT((Inputs!$E$5:$E$170=$B25)*Inputs!$F$5:$F$170*(((Inputs!$G$5:$G$170="moeda")+(Inputs!$G$5:$G$170="acoes"))*Inputs!$B$1+((Inputs!$G$5:$G$170&lt;&gt;"moeda")*(Inputs!$G$5:$G$170&lt;&gt;"acoes")))*INDEX(Inputs!$K$5:$AJ$170,0,MATCH(AI$2,Inputs!$K$4:$AJ$4,0)))))</f>
        <v>126.124</v>
      </c>
      <c r="AJ25" s="6">
        <f>IF(ISNA(MATCH(AJ$2,Inputs!$K$4:$AJ$4,0)),NA(),IF(SUMPRODUCT((Inputs!$A$5:$A$170=$B25)*ISNUMBER(INDEX(Inputs!$K$5:$AJ$170,0,MATCH(AJ$2,Inputs!$K$4:$AJ$4,0))))+SUMPRODUCT((Inputs!$C$5:$C$170=$B25)*ISNUMBER(INDEX(Inputs!$K$5:$AJ$170,0,MATCH(AJ$2,Inputs!$K$4:$AJ$4,0))))+SUMPRODUCT((Inputs!$E$5:$E$170=$B25)*ISNUMBER(INDEX(Inputs!$K$5:$AJ$170,0,MATCH(AJ$2,Inputs!$K$4:$AJ$4,0))))=0,NA(),SUMPRODUCT((Inputs!$A$5:$A$170=$B25)*Inputs!$B$5:$B$170*(((Inputs!$G$5:$G$170="moeda")+(Inputs!$G$5:$G$170="acoes"))*Inputs!$B$1+((Inputs!$G$5:$G$170&lt;&gt;"moeda")*(Inputs!$G$5:$G$170&lt;&gt;"acoes")))*INDEX(Inputs!$K$5:$AJ$170,0,MATCH(AJ$2,Inputs!$K$4:$AJ$4,0)))+SUMPRODUCT((Inputs!$C$5:$C$170=$B25)*Inputs!$D$5:$D$170*(((Inputs!$G$5:$G$170="moeda")+(Inputs!$G$5:$G$170="acoes"))*Inputs!$B$1+((Inputs!$G$5:$G$170&lt;&gt;"moeda")*(Inputs!$G$5:$G$170&lt;&gt;"acoes")))*INDEX(Inputs!$K$5:$AJ$170,0,MATCH(AJ$2,Inputs!$K$4:$AJ$4,0)))+SUMPRODUCT((Inputs!$E$5:$E$170=$B25)*Inputs!$F$5:$F$170*(((Inputs!$G$5:$G$170="moeda")+(Inputs!$G$5:$G$170="acoes"))*Inputs!$B$1+((Inputs!$G$5:$G$170&lt;&gt;"moeda")*(Inputs!$G$5:$G$170&lt;&gt;"acoes")))*INDEX(Inputs!$K$5:$AJ$170,0,MATCH(AJ$2,Inputs!$K$4:$AJ$4,0)))))</f>
        <v>135.161</v>
      </c>
      <c r="AK25" s="6">
        <f>IF(ISNA(MATCH(AK$2,Inputs!$K$4:$AJ$4,0)),NA(),IF(SUMPRODUCT((Inputs!$A$5:$A$170=$B25)*ISNUMBER(INDEX(Inputs!$K$5:$AJ$170,0,MATCH(AK$2,Inputs!$K$4:$AJ$4,0))))+SUMPRODUCT((Inputs!$C$5:$C$170=$B25)*ISNUMBER(INDEX(Inputs!$K$5:$AJ$170,0,MATCH(AK$2,Inputs!$K$4:$AJ$4,0))))+SUMPRODUCT((Inputs!$E$5:$E$170=$B25)*ISNUMBER(INDEX(Inputs!$K$5:$AJ$170,0,MATCH(AK$2,Inputs!$K$4:$AJ$4,0))))=0,NA(),SUMPRODUCT((Inputs!$A$5:$A$170=$B25)*Inputs!$B$5:$B$170*(((Inputs!$G$5:$G$170="moeda")+(Inputs!$G$5:$G$170="acoes"))*Inputs!$B$1+((Inputs!$G$5:$G$170&lt;&gt;"moeda")*(Inputs!$G$5:$G$170&lt;&gt;"acoes")))*INDEX(Inputs!$K$5:$AJ$170,0,MATCH(AK$2,Inputs!$K$4:$AJ$4,0)))+SUMPRODUCT((Inputs!$C$5:$C$170=$B25)*Inputs!$D$5:$D$170*(((Inputs!$G$5:$G$170="moeda")+(Inputs!$G$5:$G$170="acoes"))*Inputs!$B$1+((Inputs!$G$5:$G$170&lt;&gt;"moeda")*(Inputs!$G$5:$G$170&lt;&gt;"acoes")))*INDEX(Inputs!$K$5:$AJ$170,0,MATCH(AK$2,Inputs!$K$4:$AJ$4,0)))+SUMPRODUCT((Inputs!$E$5:$E$170=$B25)*Inputs!$F$5:$F$170*(((Inputs!$G$5:$G$170="moeda")+(Inputs!$G$5:$G$170="acoes"))*Inputs!$B$1+((Inputs!$G$5:$G$170&lt;&gt;"moeda")*(Inputs!$G$5:$G$170&lt;&gt;"acoes")))*INDEX(Inputs!$K$5:$AJ$170,0,MATCH(AK$2,Inputs!$K$4:$AJ$4,0)))))</f>
        <v>141.716</v>
      </c>
      <c r="AL25" s="3">
        <f>AK25</f>
        <v>141.716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$170=$B26)*ISNUMBER(INDEX(Inputs!$K$5:$AJ$170,0,MATCH(D$2,Inputs!$K$4:$AJ$4,0))))+SUMPRODUCT((Inputs!$C$5:$C$170=$B26)*ISNUMBER(INDEX(Inputs!$K$5:$AJ$170,0,MATCH(D$2,Inputs!$K$4:$AJ$4,0))))+SUMPRODUCT((Inputs!$E$5:$E$170=$B26)*ISNUMBER(INDEX(Inputs!$K$5:$AJ$170,0,MATCH(D$2,Inputs!$K$4:$AJ$4,0))))=0,NA(),SUMPRODUCT((Inputs!$A$5:$A$170=$B26)*Inputs!$B$5:$B$170*(((Inputs!$G$5:$G$170="moeda")+(Inputs!$G$5:$G$170="acoes"))*Inputs!$B$1+((Inputs!$G$5:$G$170&lt;&gt;"moeda")*(Inputs!$G$5:$G$170&lt;&gt;"acoes")))*INDEX(Inputs!$K$5:$AJ$170,0,MATCH(D$2,Inputs!$K$4:$AJ$4,0)))+SUMPRODUCT((Inputs!$C$5:$C$170=$B26)*Inputs!$D$5:$D$170*(((Inputs!$G$5:$G$170="moeda")+(Inputs!$G$5:$G$170="acoes"))*Inputs!$B$1+((Inputs!$G$5:$G$170&lt;&gt;"moeda")*(Inputs!$G$5:$G$170&lt;&gt;"acoes")))*INDEX(Inputs!$K$5:$AJ$170,0,MATCH(D$2,Inputs!$K$4:$AJ$4,0)))+SUMPRODUCT((Inputs!$E$5:$E$170=$B26)*Inputs!$F$5:$F$170*(((Inputs!$G$5:$G$170="moeda")+(Inputs!$G$5:$G$170="acoes"))*Inputs!$B$1+((Inputs!$G$5:$G$170&lt;&gt;"moeda")*(Inputs!$G$5:$G$170&lt;&gt;"acoes")))*INDEX(Inputs!$K$5:$AJ$170,0,MATCH(D$2,Inputs!$K$4:$AJ$4,0)))))</f>
        <v>225.68</v>
      </c>
      <c r="E26" s="6">
        <f>IF(ISNA(MATCH(E$2,Inputs!$K$4:$AJ$4,0)),NA(),IF(SUMPRODUCT((Inputs!$A$5:$A$170=$B26)*ISNUMBER(INDEX(Inputs!$K$5:$AJ$170,0,MATCH(E$2,Inputs!$K$4:$AJ$4,0))))+SUMPRODUCT((Inputs!$C$5:$C$170=$B26)*ISNUMBER(INDEX(Inputs!$K$5:$AJ$170,0,MATCH(E$2,Inputs!$K$4:$AJ$4,0))))+SUMPRODUCT((Inputs!$E$5:$E$170=$B26)*ISNUMBER(INDEX(Inputs!$K$5:$AJ$170,0,MATCH(E$2,Inputs!$K$4:$AJ$4,0))))=0,NA(),SUMPRODUCT((Inputs!$A$5:$A$170=$B26)*Inputs!$B$5:$B$170*(((Inputs!$G$5:$G$170="moeda")+(Inputs!$G$5:$G$170="acoes"))*Inputs!$B$1+((Inputs!$G$5:$G$170&lt;&gt;"moeda")*(Inputs!$G$5:$G$170&lt;&gt;"acoes")))*INDEX(Inputs!$K$5:$AJ$170,0,MATCH(E$2,Inputs!$K$4:$AJ$4,0)))+SUMPRODUCT((Inputs!$C$5:$C$170=$B26)*Inputs!$D$5:$D$170*(((Inputs!$G$5:$G$170="moeda")+(Inputs!$G$5:$G$170="acoes"))*Inputs!$B$1+((Inputs!$G$5:$G$170&lt;&gt;"moeda")*(Inputs!$G$5:$G$170&lt;&gt;"acoes")))*INDEX(Inputs!$K$5:$AJ$170,0,MATCH(E$2,Inputs!$K$4:$AJ$4,0)))+SUMPRODUCT((Inputs!$E$5:$E$170=$B26)*Inputs!$F$5:$F$170*(((Inputs!$G$5:$G$170="moeda")+(Inputs!$G$5:$G$170="acoes"))*Inputs!$B$1+((Inputs!$G$5:$G$170&lt;&gt;"moeda")*(Inputs!$G$5:$G$170&lt;&gt;"acoes")))*INDEX(Inputs!$K$5:$AJ$170,0,MATCH(E$2,Inputs!$K$4:$AJ$4,0)))))</f>
        <v>214.682</v>
      </c>
      <c r="F26" s="6">
        <f>IF(ISNA(MATCH(F$2,Inputs!$K$4:$AJ$4,0)),NA(),IF(SUMPRODUCT((Inputs!$A$5:$A$170=$B26)*ISNUMBER(INDEX(Inputs!$K$5:$AJ$170,0,MATCH(F$2,Inputs!$K$4:$AJ$4,0))))+SUMPRODUCT((Inputs!$C$5:$C$170=$B26)*ISNUMBER(INDEX(Inputs!$K$5:$AJ$170,0,MATCH(F$2,Inputs!$K$4:$AJ$4,0))))+SUMPRODUCT((Inputs!$E$5:$E$170=$B26)*ISNUMBER(INDEX(Inputs!$K$5:$AJ$170,0,MATCH(F$2,Inputs!$K$4:$AJ$4,0))))=0,NA(),SUMPRODUCT((Inputs!$A$5:$A$170=$B26)*Inputs!$B$5:$B$170*(((Inputs!$G$5:$G$170="moeda")+(Inputs!$G$5:$G$170="acoes"))*Inputs!$B$1+((Inputs!$G$5:$G$170&lt;&gt;"moeda")*(Inputs!$G$5:$G$170&lt;&gt;"acoes")))*INDEX(Inputs!$K$5:$AJ$170,0,MATCH(F$2,Inputs!$K$4:$AJ$4,0)))+SUMPRODUCT((Inputs!$C$5:$C$170=$B26)*Inputs!$D$5:$D$170*(((Inputs!$G$5:$G$170="moeda")+(Inputs!$G$5:$G$170="acoes"))*Inputs!$B$1+((Inputs!$G$5:$G$170&lt;&gt;"moeda")*(Inputs!$G$5:$G$170&lt;&gt;"acoes")))*INDEX(Inputs!$K$5:$AJ$170,0,MATCH(F$2,Inputs!$K$4:$AJ$4,0)))+SUMPRODUCT((Inputs!$E$5:$E$170=$B26)*Inputs!$F$5:$F$170*(((Inputs!$G$5:$G$170="moeda")+(Inputs!$G$5:$G$170="acoes"))*Inputs!$B$1+((Inputs!$G$5:$G$170&lt;&gt;"moeda")*(Inputs!$G$5:$G$170&lt;&gt;"acoes")))*INDEX(Inputs!$K$5:$AJ$170,0,MATCH(F$2,Inputs!$K$4:$AJ$4,0)))))</f>
        <v>290.818</v>
      </c>
      <c r="G26" s="6">
        <f>IF(ISNA(MATCH(G$2,Inputs!$K$4:$AJ$4,0)),NA(),IF(SUMPRODUCT((Inputs!$A$5:$A$170=$B26)*ISNUMBER(INDEX(Inputs!$K$5:$AJ$170,0,MATCH(G$2,Inputs!$K$4:$AJ$4,0))))+SUMPRODUCT((Inputs!$C$5:$C$170=$B26)*ISNUMBER(INDEX(Inputs!$K$5:$AJ$170,0,MATCH(G$2,Inputs!$K$4:$AJ$4,0))))+SUMPRODUCT((Inputs!$E$5:$E$170=$B26)*ISNUMBER(INDEX(Inputs!$K$5:$AJ$170,0,MATCH(G$2,Inputs!$K$4:$AJ$4,0))))=0,NA(),SUMPRODUCT((Inputs!$A$5:$A$170=$B26)*Inputs!$B$5:$B$170*(((Inputs!$G$5:$G$170="moeda")+(Inputs!$G$5:$G$170="acoes"))*Inputs!$B$1+((Inputs!$G$5:$G$170&lt;&gt;"moeda")*(Inputs!$G$5:$G$170&lt;&gt;"acoes")))*INDEX(Inputs!$K$5:$AJ$170,0,MATCH(G$2,Inputs!$K$4:$AJ$4,0)))+SUMPRODUCT((Inputs!$C$5:$C$170=$B26)*Inputs!$D$5:$D$170*(((Inputs!$G$5:$G$170="moeda")+(Inputs!$G$5:$G$170="acoes"))*Inputs!$B$1+((Inputs!$G$5:$G$170&lt;&gt;"moeda")*(Inputs!$G$5:$G$170&lt;&gt;"acoes")))*INDEX(Inputs!$K$5:$AJ$170,0,MATCH(G$2,Inputs!$K$4:$AJ$4,0)))+SUMPRODUCT((Inputs!$E$5:$E$170=$B26)*Inputs!$F$5:$F$170*(((Inputs!$G$5:$G$170="moeda")+(Inputs!$G$5:$G$170="acoes"))*Inputs!$B$1+((Inputs!$G$5:$G$170&lt;&gt;"moeda")*(Inputs!$G$5:$G$170&lt;&gt;"acoes")))*INDEX(Inputs!$K$5:$AJ$170,0,MATCH(G$2,Inputs!$K$4:$AJ$4,0)))))</f>
        <v>245.449</v>
      </c>
      <c r="H26" s="3">
        <f>G26</f>
        <v>245.449</v>
      </c>
      <c r="I26" s="6">
        <f>IF(ISNA(MATCH(I$2,Inputs!$K$4:$AJ$4,0)),NA(),IF(SUMPRODUCT((Inputs!$A$5:$A$170=$B26)*ISNUMBER(INDEX(Inputs!$K$5:$AJ$170,0,MATCH(I$2,Inputs!$K$4:$AJ$4,0))))+SUMPRODUCT((Inputs!$C$5:$C$170=$B26)*ISNUMBER(INDEX(Inputs!$K$5:$AJ$170,0,MATCH(I$2,Inputs!$K$4:$AJ$4,0))))+SUMPRODUCT((Inputs!$E$5:$E$170=$B26)*ISNUMBER(INDEX(Inputs!$K$5:$AJ$170,0,MATCH(I$2,Inputs!$K$4:$AJ$4,0))))=0,NA(),SUMPRODUCT((Inputs!$A$5:$A$170=$B26)*Inputs!$B$5:$B$170*(((Inputs!$G$5:$G$170="moeda")+(Inputs!$G$5:$G$170="acoes"))*Inputs!$B$1+((Inputs!$G$5:$G$170&lt;&gt;"moeda")*(Inputs!$G$5:$G$170&lt;&gt;"acoes")))*INDEX(Inputs!$K$5:$AJ$170,0,MATCH(I$2,Inputs!$K$4:$AJ$4,0)))+SUMPRODUCT((Inputs!$C$5:$C$170=$B26)*Inputs!$D$5:$D$170*(((Inputs!$G$5:$G$170="moeda")+(Inputs!$G$5:$G$170="acoes"))*Inputs!$B$1+((Inputs!$G$5:$G$170&lt;&gt;"moeda")*(Inputs!$G$5:$G$170&lt;&gt;"acoes")))*INDEX(Inputs!$K$5:$AJ$170,0,MATCH(I$2,Inputs!$K$4:$AJ$4,0)))+SUMPRODUCT((Inputs!$E$5:$E$170=$B26)*Inputs!$F$5:$F$170*(((Inputs!$G$5:$G$170="moeda")+(Inputs!$G$5:$G$170="acoes"))*Inputs!$B$1+((Inputs!$G$5:$G$170&lt;&gt;"moeda")*(Inputs!$G$5:$G$170&lt;&gt;"acoes")))*INDEX(Inputs!$K$5:$AJ$170,0,MATCH(I$2,Inputs!$K$4:$AJ$4,0)))))</f>
        <v>252.512</v>
      </c>
      <c r="J26" s="6">
        <f>IF(ISNA(MATCH(J$2,Inputs!$K$4:$AJ$4,0)),NA(),IF(SUMPRODUCT((Inputs!$A$5:$A$170=$B26)*ISNUMBER(INDEX(Inputs!$K$5:$AJ$170,0,MATCH(J$2,Inputs!$K$4:$AJ$4,0))))+SUMPRODUCT((Inputs!$C$5:$C$170=$B26)*ISNUMBER(INDEX(Inputs!$K$5:$AJ$170,0,MATCH(J$2,Inputs!$K$4:$AJ$4,0))))+SUMPRODUCT((Inputs!$E$5:$E$170=$B26)*ISNUMBER(INDEX(Inputs!$K$5:$AJ$170,0,MATCH(J$2,Inputs!$K$4:$AJ$4,0))))=0,NA(),SUMPRODUCT((Inputs!$A$5:$A$170=$B26)*Inputs!$B$5:$B$170*(((Inputs!$G$5:$G$170="moeda")+(Inputs!$G$5:$G$170="acoes"))*Inputs!$B$1+((Inputs!$G$5:$G$170&lt;&gt;"moeda")*(Inputs!$G$5:$G$170&lt;&gt;"acoes")))*INDEX(Inputs!$K$5:$AJ$170,0,MATCH(J$2,Inputs!$K$4:$AJ$4,0)))+SUMPRODUCT((Inputs!$C$5:$C$170=$B26)*Inputs!$D$5:$D$170*(((Inputs!$G$5:$G$170="moeda")+(Inputs!$G$5:$G$170="acoes"))*Inputs!$B$1+((Inputs!$G$5:$G$170&lt;&gt;"moeda")*(Inputs!$G$5:$G$170&lt;&gt;"acoes")))*INDEX(Inputs!$K$5:$AJ$170,0,MATCH(J$2,Inputs!$K$4:$AJ$4,0)))+SUMPRODUCT((Inputs!$E$5:$E$170=$B26)*Inputs!$F$5:$F$170*(((Inputs!$G$5:$G$170="moeda")+(Inputs!$G$5:$G$170="acoes"))*Inputs!$B$1+((Inputs!$G$5:$G$170&lt;&gt;"moeda")*(Inputs!$G$5:$G$170&lt;&gt;"acoes")))*INDEX(Inputs!$K$5:$AJ$170,0,MATCH(J$2,Inputs!$K$4:$AJ$4,0)))))</f>
        <v>277.495</v>
      </c>
      <c r="K26" s="6">
        <f>IF(ISNA(MATCH(K$2,Inputs!$K$4:$AJ$4,0)),NA(),IF(SUMPRODUCT((Inputs!$A$5:$A$170=$B26)*ISNUMBER(INDEX(Inputs!$K$5:$AJ$170,0,MATCH(K$2,Inputs!$K$4:$AJ$4,0))))+SUMPRODUCT((Inputs!$C$5:$C$170=$B26)*ISNUMBER(INDEX(Inputs!$K$5:$AJ$170,0,MATCH(K$2,Inputs!$K$4:$AJ$4,0))))+SUMPRODUCT((Inputs!$E$5:$E$170=$B26)*ISNUMBER(INDEX(Inputs!$K$5:$AJ$170,0,MATCH(K$2,Inputs!$K$4:$AJ$4,0))))=0,NA(),SUMPRODUCT((Inputs!$A$5:$A$170=$B26)*Inputs!$B$5:$B$170*(((Inputs!$G$5:$G$170="moeda")+(Inputs!$G$5:$G$170="acoes"))*Inputs!$B$1+((Inputs!$G$5:$G$170&lt;&gt;"moeda")*(Inputs!$G$5:$G$170&lt;&gt;"acoes")))*INDEX(Inputs!$K$5:$AJ$170,0,MATCH(K$2,Inputs!$K$4:$AJ$4,0)))+SUMPRODUCT((Inputs!$C$5:$C$170=$B26)*Inputs!$D$5:$D$170*(((Inputs!$G$5:$G$170="moeda")+(Inputs!$G$5:$G$170="acoes"))*Inputs!$B$1+((Inputs!$G$5:$G$170&lt;&gt;"moeda")*(Inputs!$G$5:$G$170&lt;&gt;"acoes")))*INDEX(Inputs!$K$5:$AJ$170,0,MATCH(K$2,Inputs!$K$4:$AJ$4,0)))+SUMPRODUCT((Inputs!$E$5:$E$170=$B26)*Inputs!$F$5:$F$170*(((Inputs!$G$5:$G$170="moeda")+(Inputs!$G$5:$G$170="acoes"))*Inputs!$B$1+((Inputs!$G$5:$G$170&lt;&gt;"moeda")*(Inputs!$G$5:$G$170&lt;&gt;"acoes")))*INDEX(Inputs!$K$5:$AJ$170,0,MATCH(K$2,Inputs!$K$4:$AJ$4,0)))))</f>
        <v>674.305</v>
      </c>
      <c r="L26" s="6">
        <f>IF(ISNA(MATCH(L$2,Inputs!$K$4:$AJ$4,0)),NA(),IF(SUMPRODUCT((Inputs!$A$5:$A$170=$B26)*ISNUMBER(INDEX(Inputs!$K$5:$AJ$170,0,MATCH(L$2,Inputs!$K$4:$AJ$4,0))))+SUMPRODUCT((Inputs!$C$5:$C$170=$B26)*ISNUMBER(INDEX(Inputs!$K$5:$AJ$170,0,MATCH(L$2,Inputs!$K$4:$AJ$4,0))))+SUMPRODUCT((Inputs!$E$5:$E$170=$B26)*ISNUMBER(INDEX(Inputs!$K$5:$AJ$170,0,MATCH(L$2,Inputs!$K$4:$AJ$4,0))))=0,NA(),SUMPRODUCT((Inputs!$A$5:$A$170=$B26)*Inputs!$B$5:$B$170*(((Inputs!$G$5:$G$170="moeda")+(Inputs!$G$5:$G$170="acoes"))*Inputs!$B$1+((Inputs!$G$5:$G$170&lt;&gt;"moeda")*(Inputs!$G$5:$G$170&lt;&gt;"acoes")))*INDEX(Inputs!$K$5:$AJ$170,0,MATCH(L$2,Inputs!$K$4:$AJ$4,0)))+SUMPRODUCT((Inputs!$C$5:$C$170=$B26)*Inputs!$D$5:$D$170*(((Inputs!$G$5:$G$170="moeda")+(Inputs!$G$5:$G$170="acoes"))*Inputs!$B$1+((Inputs!$G$5:$G$170&lt;&gt;"moeda")*(Inputs!$G$5:$G$170&lt;&gt;"acoes")))*INDEX(Inputs!$K$5:$AJ$170,0,MATCH(L$2,Inputs!$K$4:$AJ$4,0)))+SUMPRODUCT((Inputs!$E$5:$E$170=$B26)*Inputs!$F$5:$F$170*(((Inputs!$G$5:$G$170="moeda")+(Inputs!$G$5:$G$170="acoes"))*Inputs!$B$1+((Inputs!$G$5:$G$170&lt;&gt;"moeda")*(Inputs!$G$5:$G$170&lt;&gt;"acoes")))*INDEX(Inputs!$K$5:$AJ$170,0,MATCH(L$2,Inputs!$K$4:$AJ$4,0)))))</f>
        <v>675.656</v>
      </c>
      <c r="M26" s="3">
        <f>L26</f>
        <v>675.656</v>
      </c>
      <c r="N26" s="6">
        <f>IF(ISNA(MATCH(N$2,Inputs!$K$4:$AJ$4,0)),NA(),IF(SUMPRODUCT((Inputs!$A$5:$A$170=$B26)*ISNUMBER(INDEX(Inputs!$K$5:$AJ$170,0,MATCH(N$2,Inputs!$K$4:$AJ$4,0))))+SUMPRODUCT((Inputs!$C$5:$C$170=$B26)*ISNUMBER(INDEX(Inputs!$K$5:$AJ$170,0,MATCH(N$2,Inputs!$K$4:$AJ$4,0))))+SUMPRODUCT((Inputs!$E$5:$E$170=$B26)*ISNUMBER(INDEX(Inputs!$K$5:$AJ$170,0,MATCH(N$2,Inputs!$K$4:$AJ$4,0))))=0,NA(),SUMPRODUCT((Inputs!$A$5:$A$170=$B26)*Inputs!$B$5:$B$170*(((Inputs!$G$5:$G$170="moeda")+(Inputs!$G$5:$G$170="acoes"))*Inputs!$B$1+((Inputs!$G$5:$G$170&lt;&gt;"moeda")*(Inputs!$G$5:$G$170&lt;&gt;"acoes")))*INDEX(Inputs!$K$5:$AJ$170,0,MATCH(N$2,Inputs!$K$4:$AJ$4,0)))+SUMPRODUCT((Inputs!$C$5:$C$170=$B26)*Inputs!$D$5:$D$170*(((Inputs!$G$5:$G$170="moeda")+(Inputs!$G$5:$G$170="acoes"))*Inputs!$B$1+((Inputs!$G$5:$G$170&lt;&gt;"moeda")*(Inputs!$G$5:$G$170&lt;&gt;"acoes")))*INDEX(Inputs!$K$5:$AJ$170,0,MATCH(N$2,Inputs!$K$4:$AJ$4,0)))+SUMPRODUCT((Inputs!$E$5:$E$170=$B26)*Inputs!$F$5:$F$170*(((Inputs!$G$5:$G$170="moeda")+(Inputs!$G$5:$G$170="acoes"))*Inputs!$B$1+((Inputs!$G$5:$G$170&lt;&gt;"moeda")*(Inputs!$G$5:$G$170&lt;&gt;"acoes")))*INDEX(Inputs!$K$5:$AJ$170,0,MATCH(N$2,Inputs!$K$4:$AJ$4,0)))))</f>
        <v>755.835</v>
      </c>
      <c r="O26" s="6">
        <f>IF(ISNA(MATCH(O$2,Inputs!$K$4:$AJ$4,0)),NA(),IF(SUMPRODUCT((Inputs!$A$5:$A$170=$B26)*ISNUMBER(INDEX(Inputs!$K$5:$AJ$170,0,MATCH(O$2,Inputs!$K$4:$AJ$4,0))))+SUMPRODUCT((Inputs!$C$5:$C$170=$B26)*ISNUMBER(INDEX(Inputs!$K$5:$AJ$170,0,MATCH(O$2,Inputs!$K$4:$AJ$4,0))))+SUMPRODUCT((Inputs!$E$5:$E$170=$B26)*ISNUMBER(INDEX(Inputs!$K$5:$AJ$170,0,MATCH(O$2,Inputs!$K$4:$AJ$4,0))))=0,NA(),SUMPRODUCT((Inputs!$A$5:$A$170=$B26)*Inputs!$B$5:$B$170*(((Inputs!$G$5:$G$170="moeda")+(Inputs!$G$5:$G$170="acoes"))*Inputs!$B$1+((Inputs!$G$5:$G$170&lt;&gt;"moeda")*(Inputs!$G$5:$G$170&lt;&gt;"acoes")))*INDEX(Inputs!$K$5:$AJ$170,0,MATCH(O$2,Inputs!$K$4:$AJ$4,0)))+SUMPRODUCT((Inputs!$C$5:$C$170=$B26)*Inputs!$D$5:$D$170*(((Inputs!$G$5:$G$170="moeda")+(Inputs!$G$5:$G$170="acoes"))*Inputs!$B$1+((Inputs!$G$5:$G$170&lt;&gt;"moeda")*(Inputs!$G$5:$G$170&lt;&gt;"acoes")))*INDEX(Inputs!$K$5:$AJ$170,0,MATCH(O$2,Inputs!$K$4:$AJ$4,0)))+SUMPRODUCT((Inputs!$E$5:$E$170=$B26)*Inputs!$F$5:$F$170*(((Inputs!$G$5:$G$170="moeda")+(Inputs!$G$5:$G$170="acoes"))*Inputs!$B$1+((Inputs!$G$5:$G$170&lt;&gt;"moeda")*(Inputs!$G$5:$G$170&lt;&gt;"acoes")))*INDEX(Inputs!$K$5:$AJ$170,0,MATCH(O$2,Inputs!$K$4:$AJ$4,0)))))</f>
        <v>707.422</v>
      </c>
      <c r="P26" s="6">
        <f>IF(ISNA(MATCH(P$2,Inputs!$K$4:$AJ$4,0)),NA(),IF(SUMPRODUCT((Inputs!$A$5:$A$170=$B26)*ISNUMBER(INDEX(Inputs!$K$5:$AJ$170,0,MATCH(P$2,Inputs!$K$4:$AJ$4,0))))+SUMPRODUCT((Inputs!$C$5:$C$170=$B26)*ISNUMBER(INDEX(Inputs!$K$5:$AJ$170,0,MATCH(P$2,Inputs!$K$4:$AJ$4,0))))+SUMPRODUCT((Inputs!$E$5:$E$170=$B26)*ISNUMBER(INDEX(Inputs!$K$5:$AJ$170,0,MATCH(P$2,Inputs!$K$4:$AJ$4,0))))=0,NA(),SUMPRODUCT((Inputs!$A$5:$A$170=$B26)*Inputs!$B$5:$B$170*(((Inputs!$G$5:$G$170="moeda")+(Inputs!$G$5:$G$170="acoes"))*Inputs!$B$1+((Inputs!$G$5:$G$170&lt;&gt;"moeda")*(Inputs!$G$5:$G$170&lt;&gt;"acoes")))*INDEX(Inputs!$K$5:$AJ$170,0,MATCH(P$2,Inputs!$K$4:$AJ$4,0)))+SUMPRODUCT((Inputs!$C$5:$C$170=$B26)*Inputs!$D$5:$D$170*(((Inputs!$G$5:$G$170="moeda")+(Inputs!$G$5:$G$170="acoes"))*Inputs!$B$1+((Inputs!$G$5:$G$170&lt;&gt;"moeda")*(Inputs!$G$5:$G$170&lt;&gt;"acoes")))*INDEX(Inputs!$K$5:$AJ$170,0,MATCH(P$2,Inputs!$K$4:$AJ$4,0)))+SUMPRODUCT((Inputs!$E$5:$E$170=$B26)*Inputs!$F$5:$F$170*(((Inputs!$G$5:$G$170="moeda")+(Inputs!$G$5:$G$170="acoes"))*Inputs!$B$1+((Inputs!$G$5:$G$170&lt;&gt;"moeda")*(Inputs!$G$5:$G$170&lt;&gt;"acoes")))*INDEX(Inputs!$K$5:$AJ$170,0,MATCH(P$2,Inputs!$K$4:$AJ$4,0)))))</f>
        <v>659.186</v>
      </c>
      <c r="Q26" s="6">
        <f>IF(ISNA(MATCH(Q$2,Inputs!$K$4:$AJ$4,0)),NA(),IF(SUMPRODUCT((Inputs!$A$5:$A$170=$B26)*ISNUMBER(INDEX(Inputs!$K$5:$AJ$170,0,MATCH(Q$2,Inputs!$K$4:$AJ$4,0))))+SUMPRODUCT((Inputs!$C$5:$C$170=$B26)*ISNUMBER(INDEX(Inputs!$K$5:$AJ$170,0,MATCH(Q$2,Inputs!$K$4:$AJ$4,0))))+SUMPRODUCT((Inputs!$E$5:$E$170=$B26)*ISNUMBER(INDEX(Inputs!$K$5:$AJ$170,0,MATCH(Q$2,Inputs!$K$4:$AJ$4,0))))=0,NA(),SUMPRODUCT((Inputs!$A$5:$A$170=$B26)*Inputs!$B$5:$B$170*(((Inputs!$G$5:$G$170="moeda")+(Inputs!$G$5:$G$170="acoes"))*Inputs!$B$1+((Inputs!$G$5:$G$170&lt;&gt;"moeda")*(Inputs!$G$5:$G$170&lt;&gt;"acoes")))*INDEX(Inputs!$K$5:$AJ$170,0,MATCH(Q$2,Inputs!$K$4:$AJ$4,0)))+SUMPRODUCT((Inputs!$C$5:$C$170=$B26)*Inputs!$D$5:$D$170*(((Inputs!$G$5:$G$170="moeda")+(Inputs!$G$5:$G$170="acoes"))*Inputs!$B$1+((Inputs!$G$5:$G$170&lt;&gt;"moeda")*(Inputs!$G$5:$G$170&lt;&gt;"acoes")))*INDEX(Inputs!$K$5:$AJ$170,0,MATCH(Q$2,Inputs!$K$4:$AJ$4,0)))+SUMPRODUCT((Inputs!$E$5:$E$170=$B26)*Inputs!$F$5:$F$170*(((Inputs!$G$5:$G$170="moeda")+(Inputs!$G$5:$G$170="acoes"))*Inputs!$B$1+((Inputs!$G$5:$G$170&lt;&gt;"moeda")*(Inputs!$G$5:$G$170&lt;&gt;"acoes")))*INDEX(Inputs!$K$5:$AJ$170,0,MATCH(Q$2,Inputs!$K$4:$AJ$4,0)))))</f>
        <v>713.693</v>
      </c>
      <c r="R26" s="3">
        <f>Q26</f>
        <v>713.693</v>
      </c>
      <c r="S26" s="6">
        <f>IF(ISNA(MATCH(S$2,Inputs!$K$4:$AJ$4,0)),NA(),IF(SUMPRODUCT((Inputs!$A$5:$A$170=$B26)*ISNUMBER(INDEX(Inputs!$K$5:$AJ$170,0,MATCH(S$2,Inputs!$K$4:$AJ$4,0))))+SUMPRODUCT((Inputs!$C$5:$C$170=$B26)*ISNUMBER(INDEX(Inputs!$K$5:$AJ$170,0,MATCH(S$2,Inputs!$K$4:$AJ$4,0))))+SUMPRODUCT((Inputs!$E$5:$E$170=$B26)*ISNUMBER(INDEX(Inputs!$K$5:$AJ$170,0,MATCH(S$2,Inputs!$K$4:$AJ$4,0))))=0,NA(),SUMPRODUCT((Inputs!$A$5:$A$170=$B26)*Inputs!$B$5:$B$170*(((Inputs!$G$5:$G$170="moeda")+(Inputs!$G$5:$G$170="acoes"))*Inputs!$B$1+((Inputs!$G$5:$G$170&lt;&gt;"moeda")*(Inputs!$G$5:$G$170&lt;&gt;"acoes")))*INDEX(Inputs!$K$5:$AJ$170,0,MATCH(S$2,Inputs!$K$4:$AJ$4,0)))+SUMPRODUCT((Inputs!$C$5:$C$170=$B26)*Inputs!$D$5:$D$170*(((Inputs!$G$5:$G$170="moeda")+(Inputs!$G$5:$G$170="acoes"))*Inputs!$B$1+((Inputs!$G$5:$G$170&lt;&gt;"moeda")*(Inputs!$G$5:$G$170&lt;&gt;"acoes")))*INDEX(Inputs!$K$5:$AJ$170,0,MATCH(S$2,Inputs!$K$4:$AJ$4,0)))+SUMPRODUCT((Inputs!$E$5:$E$170=$B26)*Inputs!$F$5:$F$170*(((Inputs!$G$5:$G$170="moeda")+(Inputs!$G$5:$G$170="acoes"))*Inputs!$B$1+((Inputs!$G$5:$G$170&lt;&gt;"moeda")*(Inputs!$G$5:$G$170&lt;&gt;"acoes")))*INDEX(Inputs!$K$5:$AJ$170,0,MATCH(S$2,Inputs!$K$4:$AJ$4,0)))))</f>
        <v>764.144</v>
      </c>
      <c r="T26" s="6">
        <f>IF(ISNA(MATCH(T$2,Inputs!$K$4:$AJ$4,0)),NA(),IF(SUMPRODUCT((Inputs!$A$5:$A$170=$B26)*ISNUMBER(INDEX(Inputs!$K$5:$AJ$170,0,MATCH(T$2,Inputs!$K$4:$AJ$4,0))))+SUMPRODUCT((Inputs!$C$5:$C$170=$B26)*ISNUMBER(INDEX(Inputs!$K$5:$AJ$170,0,MATCH(T$2,Inputs!$K$4:$AJ$4,0))))+SUMPRODUCT((Inputs!$E$5:$E$170=$B26)*ISNUMBER(INDEX(Inputs!$K$5:$AJ$170,0,MATCH(T$2,Inputs!$K$4:$AJ$4,0))))=0,NA(),SUMPRODUCT((Inputs!$A$5:$A$170=$B26)*Inputs!$B$5:$B$170*(((Inputs!$G$5:$G$170="moeda")+(Inputs!$G$5:$G$170="acoes"))*Inputs!$B$1+((Inputs!$G$5:$G$170&lt;&gt;"moeda")*(Inputs!$G$5:$G$170&lt;&gt;"acoes")))*INDEX(Inputs!$K$5:$AJ$170,0,MATCH(T$2,Inputs!$K$4:$AJ$4,0)))+SUMPRODUCT((Inputs!$C$5:$C$170=$B26)*Inputs!$D$5:$D$170*(((Inputs!$G$5:$G$170="moeda")+(Inputs!$G$5:$G$170="acoes"))*Inputs!$B$1+((Inputs!$G$5:$G$170&lt;&gt;"moeda")*(Inputs!$G$5:$G$170&lt;&gt;"acoes")))*INDEX(Inputs!$K$5:$AJ$170,0,MATCH(T$2,Inputs!$K$4:$AJ$4,0)))+SUMPRODUCT((Inputs!$E$5:$E$170=$B26)*Inputs!$F$5:$F$170*(((Inputs!$G$5:$G$170="moeda")+(Inputs!$G$5:$G$170="acoes"))*Inputs!$B$1+((Inputs!$G$5:$G$170&lt;&gt;"moeda")*(Inputs!$G$5:$G$170&lt;&gt;"acoes")))*INDEX(Inputs!$K$5:$AJ$170,0,MATCH(T$2,Inputs!$K$4:$AJ$4,0)))))</f>
        <v>1312.67</v>
      </c>
      <c r="U26" s="6">
        <f>IF(ISNA(MATCH(U$2,Inputs!$K$4:$AJ$4,0)),NA(),IF(SUMPRODUCT((Inputs!$A$5:$A$170=$B26)*ISNUMBER(INDEX(Inputs!$K$5:$AJ$170,0,MATCH(U$2,Inputs!$K$4:$AJ$4,0))))+SUMPRODUCT((Inputs!$C$5:$C$170=$B26)*ISNUMBER(INDEX(Inputs!$K$5:$AJ$170,0,MATCH(U$2,Inputs!$K$4:$AJ$4,0))))+SUMPRODUCT((Inputs!$E$5:$E$170=$B26)*ISNUMBER(INDEX(Inputs!$K$5:$AJ$170,0,MATCH(U$2,Inputs!$K$4:$AJ$4,0))))=0,NA(),SUMPRODUCT((Inputs!$A$5:$A$170=$B26)*Inputs!$B$5:$B$170*(((Inputs!$G$5:$G$170="moeda")+(Inputs!$G$5:$G$170="acoes"))*Inputs!$B$1+((Inputs!$G$5:$G$170&lt;&gt;"moeda")*(Inputs!$G$5:$G$170&lt;&gt;"acoes")))*INDEX(Inputs!$K$5:$AJ$170,0,MATCH(U$2,Inputs!$K$4:$AJ$4,0)))+SUMPRODUCT((Inputs!$C$5:$C$170=$B26)*Inputs!$D$5:$D$170*(((Inputs!$G$5:$G$170="moeda")+(Inputs!$G$5:$G$170="acoes"))*Inputs!$B$1+((Inputs!$G$5:$G$170&lt;&gt;"moeda")*(Inputs!$G$5:$G$170&lt;&gt;"acoes")))*INDEX(Inputs!$K$5:$AJ$170,0,MATCH(U$2,Inputs!$K$4:$AJ$4,0)))+SUMPRODUCT((Inputs!$E$5:$E$170=$B26)*Inputs!$F$5:$F$170*(((Inputs!$G$5:$G$170="moeda")+(Inputs!$G$5:$G$170="acoes"))*Inputs!$B$1+((Inputs!$G$5:$G$170&lt;&gt;"moeda")*(Inputs!$G$5:$G$170&lt;&gt;"acoes")))*INDEX(Inputs!$K$5:$AJ$170,0,MATCH(U$2,Inputs!$K$4:$AJ$4,0)))))</f>
        <v>1379.633</v>
      </c>
      <c r="V26" s="6">
        <f>IF(ISNA(MATCH(V$2,Inputs!$K$4:$AJ$4,0)),NA(),IF(SUMPRODUCT((Inputs!$A$5:$A$170=$B26)*ISNUMBER(INDEX(Inputs!$K$5:$AJ$170,0,MATCH(V$2,Inputs!$K$4:$AJ$4,0))))+SUMPRODUCT((Inputs!$C$5:$C$170=$B26)*ISNUMBER(INDEX(Inputs!$K$5:$AJ$170,0,MATCH(V$2,Inputs!$K$4:$AJ$4,0))))+SUMPRODUCT((Inputs!$E$5:$E$170=$B26)*ISNUMBER(INDEX(Inputs!$K$5:$AJ$170,0,MATCH(V$2,Inputs!$K$4:$AJ$4,0))))=0,NA(),SUMPRODUCT((Inputs!$A$5:$A$170=$B26)*Inputs!$B$5:$B$170*(((Inputs!$G$5:$G$170="moeda")+(Inputs!$G$5:$G$170="acoes"))*Inputs!$B$1+((Inputs!$G$5:$G$170&lt;&gt;"moeda")*(Inputs!$G$5:$G$170&lt;&gt;"acoes")))*INDEX(Inputs!$K$5:$AJ$170,0,MATCH(V$2,Inputs!$K$4:$AJ$4,0)))+SUMPRODUCT((Inputs!$C$5:$C$170=$B26)*Inputs!$D$5:$D$170*(((Inputs!$G$5:$G$170="moeda")+(Inputs!$G$5:$G$170="acoes"))*Inputs!$B$1+((Inputs!$G$5:$G$170&lt;&gt;"moeda")*(Inputs!$G$5:$G$170&lt;&gt;"acoes")))*INDEX(Inputs!$K$5:$AJ$170,0,MATCH(V$2,Inputs!$K$4:$AJ$4,0)))+SUMPRODUCT((Inputs!$E$5:$E$170=$B26)*Inputs!$F$5:$F$170*(((Inputs!$G$5:$G$170="moeda")+(Inputs!$G$5:$G$170="acoes"))*Inputs!$B$1+((Inputs!$G$5:$G$170&lt;&gt;"moeda")*(Inputs!$G$5:$G$170&lt;&gt;"acoes")))*INDEX(Inputs!$K$5:$AJ$170,0,MATCH(V$2,Inputs!$K$4:$AJ$4,0)))))</f>
        <v>1367.26</v>
      </c>
      <c r="W26" s="3">
        <f>V26</f>
        <v>1367.26</v>
      </c>
      <c r="X26" s="6">
        <f>IF(ISNA(MATCH(X$2,Inputs!$K$4:$AJ$4,0)),NA(),IF(SUMPRODUCT((Inputs!$A$5:$A$170=$B26)*ISNUMBER(INDEX(Inputs!$K$5:$AJ$170,0,MATCH(X$2,Inputs!$K$4:$AJ$4,0))))+SUMPRODUCT((Inputs!$C$5:$C$170=$B26)*ISNUMBER(INDEX(Inputs!$K$5:$AJ$170,0,MATCH(X$2,Inputs!$K$4:$AJ$4,0))))+SUMPRODUCT((Inputs!$E$5:$E$170=$B26)*ISNUMBER(INDEX(Inputs!$K$5:$AJ$170,0,MATCH(X$2,Inputs!$K$4:$AJ$4,0))))=0,NA(),SUMPRODUCT((Inputs!$A$5:$A$170=$B26)*Inputs!$B$5:$B$170*(((Inputs!$G$5:$G$170="moeda")+(Inputs!$G$5:$G$170="acoes"))*Inputs!$B$1+((Inputs!$G$5:$G$170&lt;&gt;"moeda")*(Inputs!$G$5:$G$170&lt;&gt;"acoes")))*INDEX(Inputs!$K$5:$AJ$170,0,MATCH(X$2,Inputs!$K$4:$AJ$4,0)))+SUMPRODUCT((Inputs!$C$5:$C$170=$B26)*Inputs!$D$5:$D$170*(((Inputs!$G$5:$G$170="moeda")+(Inputs!$G$5:$G$170="acoes"))*Inputs!$B$1+((Inputs!$G$5:$G$170&lt;&gt;"moeda")*(Inputs!$G$5:$G$170&lt;&gt;"acoes")))*INDEX(Inputs!$K$5:$AJ$170,0,MATCH(X$2,Inputs!$K$4:$AJ$4,0)))+SUMPRODUCT((Inputs!$E$5:$E$170=$B26)*Inputs!$F$5:$F$170*(((Inputs!$G$5:$G$170="moeda")+(Inputs!$G$5:$G$170="acoes"))*Inputs!$B$1+((Inputs!$G$5:$G$170&lt;&gt;"moeda")*(Inputs!$G$5:$G$170&lt;&gt;"acoes")))*INDEX(Inputs!$K$5:$AJ$170,0,MATCH(X$2,Inputs!$K$4:$AJ$4,0)))))</f>
        <v>927.891</v>
      </c>
      <c r="Y26" s="6">
        <f>IF(ISNA(MATCH(Y$2,Inputs!$K$4:$AJ$4,0)),NA(),IF(SUMPRODUCT((Inputs!$A$5:$A$170=$B26)*ISNUMBER(INDEX(Inputs!$K$5:$AJ$170,0,MATCH(Y$2,Inputs!$K$4:$AJ$4,0))))+SUMPRODUCT((Inputs!$C$5:$C$170=$B26)*ISNUMBER(INDEX(Inputs!$K$5:$AJ$170,0,MATCH(Y$2,Inputs!$K$4:$AJ$4,0))))+SUMPRODUCT((Inputs!$E$5:$E$170=$B26)*ISNUMBER(INDEX(Inputs!$K$5:$AJ$170,0,MATCH(Y$2,Inputs!$K$4:$AJ$4,0))))=0,NA(),SUMPRODUCT((Inputs!$A$5:$A$170=$B26)*Inputs!$B$5:$B$170*(((Inputs!$G$5:$G$170="moeda")+(Inputs!$G$5:$G$170="acoes"))*Inputs!$B$1+((Inputs!$G$5:$G$170&lt;&gt;"moeda")*(Inputs!$G$5:$G$170&lt;&gt;"acoes")))*INDEX(Inputs!$K$5:$AJ$170,0,MATCH(Y$2,Inputs!$K$4:$AJ$4,0)))+SUMPRODUCT((Inputs!$C$5:$C$170=$B26)*Inputs!$D$5:$D$170*(((Inputs!$G$5:$G$170="moeda")+(Inputs!$G$5:$G$170="acoes"))*Inputs!$B$1+((Inputs!$G$5:$G$170&lt;&gt;"moeda")*(Inputs!$G$5:$G$170&lt;&gt;"acoes")))*INDEX(Inputs!$K$5:$AJ$170,0,MATCH(Y$2,Inputs!$K$4:$AJ$4,0)))+SUMPRODUCT((Inputs!$E$5:$E$170=$B26)*Inputs!$F$5:$F$170*(((Inputs!$G$5:$G$170="moeda")+(Inputs!$G$5:$G$170="acoes"))*Inputs!$B$1+((Inputs!$G$5:$G$170&lt;&gt;"moeda")*(Inputs!$G$5:$G$170&lt;&gt;"acoes")))*INDEX(Inputs!$K$5:$AJ$170,0,MATCH(Y$2,Inputs!$K$4:$AJ$4,0)))))</f>
        <v>328.817</v>
      </c>
      <c r="Z26" s="6">
        <f>IF(ISNA(MATCH(Z$2,Inputs!$K$4:$AJ$4,0)),NA(),IF(SUMPRODUCT((Inputs!$A$5:$A$170=$B26)*ISNUMBER(INDEX(Inputs!$K$5:$AJ$170,0,MATCH(Z$2,Inputs!$K$4:$AJ$4,0))))+SUMPRODUCT((Inputs!$C$5:$C$170=$B26)*ISNUMBER(INDEX(Inputs!$K$5:$AJ$170,0,MATCH(Z$2,Inputs!$K$4:$AJ$4,0))))+SUMPRODUCT((Inputs!$E$5:$E$170=$B26)*ISNUMBER(INDEX(Inputs!$K$5:$AJ$170,0,MATCH(Z$2,Inputs!$K$4:$AJ$4,0))))=0,NA(),SUMPRODUCT((Inputs!$A$5:$A$170=$B26)*Inputs!$B$5:$B$170*(((Inputs!$G$5:$G$170="moeda")+(Inputs!$G$5:$G$170="acoes"))*Inputs!$B$1+((Inputs!$G$5:$G$170&lt;&gt;"moeda")*(Inputs!$G$5:$G$170&lt;&gt;"acoes")))*INDEX(Inputs!$K$5:$AJ$170,0,MATCH(Z$2,Inputs!$K$4:$AJ$4,0)))+SUMPRODUCT((Inputs!$C$5:$C$170=$B26)*Inputs!$D$5:$D$170*(((Inputs!$G$5:$G$170="moeda")+(Inputs!$G$5:$G$170="acoes"))*Inputs!$B$1+((Inputs!$G$5:$G$170&lt;&gt;"moeda")*(Inputs!$G$5:$G$170&lt;&gt;"acoes")))*INDEX(Inputs!$K$5:$AJ$170,0,MATCH(Z$2,Inputs!$K$4:$AJ$4,0)))+SUMPRODUCT((Inputs!$E$5:$E$170=$B26)*Inputs!$F$5:$F$170*(((Inputs!$G$5:$G$170="moeda")+(Inputs!$G$5:$G$170="acoes"))*Inputs!$B$1+((Inputs!$G$5:$G$170&lt;&gt;"moeda")*(Inputs!$G$5:$G$170&lt;&gt;"acoes")))*INDEX(Inputs!$K$5:$AJ$170,0,MATCH(Z$2,Inputs!$K$4:$AJ$4,0)))))</f>
        <v>390.774</v>
      </c>
      <c r="AA26" s="6">
        <f>IF(ISNA(MATCH(AA$2,Inputs!$K$4:$AJ$4,0)),NA(),IF(SUMPRODUCT((Inputs!$A$5:$A$170=$B26)*ISNUMBER(INDEX(Inputs!$K$5:$AJ$170,0,MATCH(AA$2,Inputs!$K$4:$AJ$4,0))))+SUMPRODUCT((Inputs!$C$5:$C$170=$B26)*ISNUMBER(INDEX(Inputs!$K$5:$AJ$170,0,MATCH(AA$2,Inputs!$K$4:$AJ$4,0))))+SUMPRODUCT((Inputs!$E$5:$E$170=$B26)*ISNUMBER(INDEX(Inputs!$K$5:$AJ$170,0,MATCH(AA$2,Inputs!$K$4:$AJ$4,0))))=0,NA(),SUMPRODUCT((Inputs!$A$5:$A$170=$B26)*Inputs!$B$5:$B$170*(((Inputs!$G$5:$G$170="moeda")+(Inputs!$G$5:$G$170="acoes"))*Inputs!$B$1+((Inputs!$G$5:$G$170&lt;&gt;"moeda")*(Inputs!$G$5:$G$170&lt;&gt;"acoes")))*INDEX(Inputs!$K$5:$AJ$170,0,MATCH(AA$2,Inputs!$K$4:$AJ$4,0)))+SUMPRODUCT((Inputs!$C$5:$C$170=$B26)*Inputs!$D$5:$D$170*(((Inputs!$G$5:$G$170="moeda")+(Inputs!$G$5:$G$170="acoes"))*Inputs!$B$1+((Inputs!$G$5:$G$170&lt;&gt;"moeda")*(Inputs!$G$5:$G$170&lt;&gt;"acoes")))*INDEX(Inputs!$K$5:$AJ$170,0,MATCH(AA$2,Inputs!$K$4:$AJ$4,0)))+SUMPRODUCT((Inputs!$E$5:$E$170=$B26)*Inputs!$F$5:$F$170*(((Inputs!$G$5:$G$170="moeda")+(Inputs!$G$5:$G$170="acoes"))*Inputs!$B$1+((Inputs!$G$5:$G$170&lt;&gt;"moeda")*(Inputs!$G$5:$G$170&lt;&gt;"acoes")))*INDEX(Inputs!$K$5:$AJ$170,0,MATCH(AA$2,Inputs!$K$4:$AJ$4,0)))))</f>
        <v>587.492</v>
      </c>
      <c r="AB26" s="3">
        <f>AA26</f>
        <v>587.492</v>
      </c>
      <c r="AC26" s="6">
        <f>IF(ISNA(MATCH(AC$2,Inputs!$K$4:$AJ$4,0)),NA(),IF(SUMPRODUCT((Inputs!$A$5:$A$170=$B26)*ISNUMBER(INDEX(Inputs!$K$5:$AJ$170,0,MATCH(AC$2,Inputs!$K$4:$AJ$4,0))))+SUMPRODUCT((Inputs!$C$5:$C$170=$B26)*ISNUMBER(INDEX(Inputs!$K$5:$AJ$170,0,MATCH(AC$2,Inputs!$K$4:$AJ$4,0))))+SUMPRODUCT((Inputs!$E$5:$E$170=$B26)*ISNUMBER(INDEX(Inputs!$K$5:$AJ$170,0,MATCH(AC$2,Inputs!$K$4:$AJ$4,0))))=0,NA(),SUMPRODUCT((Inputs!$A$5:$A$170=$B26)*Inputs!$B$5:$B$170*(((Inputs!$G$5:$G$170="moeda")+(Inputs!$G$5:$G$170="acoes"))*Inputs!$B$1+((Inputs!$G$5:$G$170&lt;&gt;"moeda")*(Inputs!$G$5:$G$170&lt;&gt;"acoes")))*INDEX(Inputs!$K$5:$AJ$170,0,MATCH(AC$2,Inputs!$K$4:$AJ$4,0)))+SUMPRODUCT((Inputs!$C$5:$C$170=$B26)*Inputs!$D$5:$D$170*(((Inputs!$G$5:$G$170="moeda")+(Inputs!$G$5:$G$170="acoes"))*Inputs!$B$1+((Inputs!$G$5:$G$170&lt;&gt;"moeda")*(Inputs!$G$5:$G$170&lt;&gt;"acoes")))*INDEX(Inputs!$K$5:$AJ$170,0,MATCH(AC$2,Inputs!$K$4:$AJ$4,0)))+SUMPRODUCT((Inputs!$E$5:$E$170=$B26)*Inputs!$F$5:$F$170*(((Inputs!$G$5:$G$170="moeda")+(Inputs!$G$5:$G$170="acoes"))*Inputs!$B$1+((Inputs!$G$5:$G$170&lt;&gt;"moeda")*(Inputs!$G$5:$G$170&lt;&gt;"acoes")))*INDEX(Inputs!$K$5:$AJ$170,0,MATCH(AC$2,Inputs!$K$4:$AJ$4,0)))))</f>
        <v>633.65</v>
      </c>
      <c r="AD26" s="6">
        <f>IF(ISNA(MATCH(AD$2,Inputs!$K$4:$AJ$4,0)),NA(),IF(SUMPRODUCT((Inputs!$A$5:$A$170=$B26)*ISNUMBER(INDEX(Inputs!$K$5:$AJ$170,0,MATCH(AD$2,Inputs!$K$4:$AJ$4,0))))+SUMPRODUCT((Inputs!$C$5:$C$170=$B26)*ISNUMBER(INDEX(Inputs!$K$5:$AJ$170,0,MATCH(AD$2,Inputs!$K$4:$AJ$4,0))))+SUMPRODUCT((Inputs!$E$5:$E$170=$B26)*ISNUMBER(INDEX(Inputs!$K$5:$AJ$170,0,MATCH(AD$2,Inputs!$K$4:$AJ$4,0))))=0,NA(),SUMPRODUCT((Inputs!$A$5:$A$170=$B26)*Inputs!$B$5:$B$170*(((Inputs!$G$5:$G$170="moeda")+(Inputs!$G$5:$G$170="acoes"))*Inputs!$B$1+((Inputs!$G$5:$G$170&lt;&gt;"moeda")*(Inputs!$G$5:$G$170&lt;&gt;"acoes")))*INDEX(Inputs!$K$5:$AJ$170,0,MATCH(AD$2,Inputs!$K$4:$AJ$4,0)))+SUMPRODUCT((Inputs!$C$5:$C$170=$B26)*Inputs!$D$5:$D$170*(((Inputs!$G$5:$G$170="moeda")+(Inputs!$G$5:$G$170="acoes"))*Inputs!$B$1+((Inputs!$G$5:$G$170&lt;&gt;"moeda")*(Inputs!$G$5:$G$170&lt;&gt;"acoes")))*INDEX(Inputs!$K$5:$AJ$170,0,MATCH(AD$2,Inputs!$K$4:$AJ$4,0)))+SUMPRODUCT((Inputs!$E$5:$E$170=$B26)*Inputs!$F$5:$F$170*(((Inputs!$G$5:$G$170="moeda")+(Inputs!$G$5:$G$170="acoes"))*Inputs!$B$1+((Inputs!$G$5:$G$170&lt;&gt;"moeda")*(Inputs!$G$5:$G$170&lt;&gt;"acoes")))*INDEX(Inputs!$K$5:$AJ$170,0,MATCH(AD$2,Inputs!$K$4:$AJ$4,0)))))</f>
        <v>655.395</v>
      </c>
      <c r="AE26" s="6" t="e">
        <f>IF(ISNA(MATCH(AE$2,Inputs!$K$4:$AJ$4,0)),NA(),IF(SUMPRODUCT((Inputs!$A$5:$A$170=$B26)*ISNUMBER(INDEX(Inputs!$K$5:$AJ$170,0,MATCH(AE$2,Inputs!$K$4:$AJ$4,0))))+SUMPRODUCT((Inputs!$C$5:$C$170=$B26)*ISNUMBER(INDEX(Inputs!$K$5:$AJ$170,0,MATCH(AE$2,Inputs!$K$4:$AJ$4,0))))+SUMPRODUCT((Inputs!$E$5:$E$170=$B26)*ISNUMBER(INDEX(Inputs!$K$5:$AJ$170,0,MATCH(AE$2,Inputs!$K$4:$AJ$4,0))))=0,NA(),SUMPRODUCT((Inputs!$A$5:$A$170=$B26)*Inputs!$B$5:$B$170*(((Inputs!$G$5:$G$170="moeda")+(Inputs!$G$5:$G$170="acoes"))*Inputs!$B$1+((Inputs!$G$5:$G$170&lt;&gt;"moeda")*(Inputs!$G$5:$G$170&lt;&gt;"acoes")))*INDEX(Inputs!$K$5:$AJ$170,0,MATCH(AE$2,Inputs!$K$4:$AJ$4,0)))+SUMPRODUCT((Inputs!$C$5:$C$170=$B26)*Inputs!$D$5:$D$170*(((Inputs!$G$5:$G$170="moeda")+(Inputs!$G$5:$G$170="acoes"))*Inputs!$B$1+((Inputs!$G$5:$G$170&lt;&gt;"moeda")*(Inputs!$G$5:$G$170&lt;&gt;"acoes")))*INDEX(Inputs!$K$5:$AJ$170,0,MATCH(AE$2,Inputs!$K$4:$AJ$4,0)))+SUMPRODUCT((Inputs!$E$5:$E$170=$B26)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6" s="6" t="e">
        <f>IF(ISNA(MATCH(AF$2,Inputs!$K$4:$AJ$4,0)),NA(),IF(SUMPRODUCT((Inputs!$A$5:$A$170=$B26)*ISNUMBER(INDEX(Inputs!$K$5:$AJ$170,0,MATCH(AF$2,Inputs!$K$4:$AJ$4,0))))+SUMPRODUCT((Inputs!$C$5:$C$170=$B26)*ISNUMBER(INDEX(Inputs!$K$5:$AJ$170,0,MATCH(AF$2,Inputs!$K$4:$AJ$4,0))))+SUMPRODUCT((Inputs!$E$5:$E$170=$B26)*ISNUMBER(INDEX(Inputs!$K$5:$AJ$170,0,MATCH(AF$2,Inputs!$K$4:$AJ$4,0))))=0,NA(),SUMPRODUCT((Inputs!$A$5:$A$170=$B26)*Inputs!$B$5:$B$170*(((Inputs!$G$5:$G$170="moeda")+(Inputs!$G$5:$G$170="acoes"))*Inputs!$B$1+((Inputs!$G$5:$G$170&lt;&gt;"moeda")*(Inputs!$G$5:$G$170&lt;&gt;"acoes")))*INDEX(Inputs!$K$5:$AJ$170,0,MATCH(AF$2,Inputs!$K$4:$AJ$4,0)))+SUMPRODUCT((Inputs!$C$5:$C$170=$B26)*Inputs!$D$5:$D$170*(((Inputs!$G$5:$G$170="moeda")+(Inputs!$G$5:$G$170="acoes"))*Inputs!$B$1+((Inputs!$G$5:$G$170&lt;&gt;"moeda")*(Inputs!$G$5:$G$170&lt;&gt;"acoes")))*INDEX(Inputs!$K$5:$AJ$170,0,MATCH(AF$2,Inputs!$K$4:$AJ$4,0)))+SUMPRODUCT((Inputs!$E$5:$E$170=$B26)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6" s="3" t="e">
        <f>AF26</f>
        <v>#N/A</v>
      </c>
      <c r="AH26" s="6">
        <f>IF(ISNA(MATCH(AH$2,Inputs!$K$4:$AJ$4,0)),NA(),IF(SUMPRODUCT((Inputs!$A$5:$A$170=$B26)*ISNUMBER(INDEX(Inputs!$K$5:$AJ$170,0,MATCH(AH$2,Inputs!$K$4:$AJ$4,0))))+SUMPRODUCT((Inputs!$C$5:$C$170=$B26)*ISNUMBER(INDEX(Inputs!$K$5:$AJ$170,0,MATCH(AH$2,Inputs!$K$4:$AJ$4,0))))+SUMPRODUCT((Inputs!$E$5:$E$170=$B26)*ISNUMBER(INDEX(Inputs!$K$5:$AJ$170,0,MATCH(AH$2,Inputs!$K$4:$AJ$4,0))))=0,NA(),SUMPRODUCT((Inputs!$A$5:$A$170=$B26)*Inputs!$B$5:$B$170*(((Inputs!$G$5:$G$170="moeda")+(Inputs!$G$5:$G$170="acoes"))*Inputs!$B$1+((Inputs!$G$5:$G$170&lt;&gt;"moeda")*(Inputs!$G$5:$G$170&lt;&gt;"acoes")))*INDEX(Inputs!$K$5:$AJ$170,0,MATCH(AH$2,Inputs!$K$4:$AJ$4,0)))+SUMPRODUCT((Inputs!$C$5:$C$170=$B26)*Inputs!$D$5:$D$170*(((Inputs!$G$5:$G$170="moeda")+(Inputs!$G$5:$G$170="acoes"))*Inputs!$B$1+((Inputs!$G$5:$G$170&lt;&gt;"moeda")*(Inputs!$G$5:$G$170&lt;&gt;"acoes")))*INDEX(Inputs!$K$5:$AJ$170,0,MATCH(AH$2,Inputs!$K$4:$AJ$4,0)))+SUMPRODUCT((Inputs!$E$5:$E$170=$B26)*Inputs!$F$5:$F$170*(((Inputs!$G$5:$G$170="moeda")+(Inputs!$G$5:$G$170="acoes"))*Inputs!$B$1+((Inputs!$G$5:$G$170&lt;&gt;"moeda")*(Inputs!$G$5:$G$170&lt;&gt;"acoes")))*INDEX(Inputs!$K$5:$AJ$170,0,MATCH(AH$2,Inputs!$K$4:$AJ$4,0)))))</f>
        <v>141.605</v>
      </c>
      <c r="AI26" s="6">
        <f>IF(ISNA(MATCH(AI$2,Inputs!$K$4:$AJ$4,0)),NA(),IF(SUMPRODUCT((Inputs!$A$5:$A$170=$B26)*ISNUMBER(INDEX(Inputs!$K$5:$AJ$170,0,MATCH(AI$2,Inputs!$K$4:$AJ$4,0))))+SUMPRODUCT((Inputs!$C$5:$C$170=$B26)*ISNUMBER(INDEX(Inputs!$K$5:$AJ$170,0,MATCH(AI$2,Inputs!$K$4:$AJ$4,0))))+SUMPRODUCT((Inputs!$E$5:$E$170=$B26)*ISNUMBER(INDEX(Inputs!$K$5:$AJ$170,0,MATCH(AI$2,Inputs!$K$4:$AJ$4,0))))=0,NA(),SUMPRODUCT((Inputs!$A$5:$A$170=$B26)*Inputs!$B$5:$B$170*(((Inputs!$G$5:$G$170="moeda")+(Inputs!$G$5:$G$170="acoes"))*Inputs!$B$1+((Inputs!$G$5:$G$170&lt;&gt;"moeda")*(Inputs!$G$5:$G$170&lt;&gt;"acoes")))*INDEX(Inputs!$K$5:$AJ$170,0,MATCH(AI$2,Inputs!$K$4:$AJ$4,0)))+SUMPRODUCT((Inputs!$C$5:$C$170=$B26)*Inputs!$D$5:$D$170*(((Inputs!$G$5:$G$170="moeda")+(Inputs!$G$5:$G$170="acoes"))*Inputs!$B$1+((Inputs!$G$5:$G$170&lt;&gt;"moeda")*(Inputs!$G$5:$G$170&lt;&gt;"acoes")))*INDEX(Inputs!$K$5:$AJ$170,0,MATCH(AI$2,Inputs!$K$4:$AJ$4,0)))+SUMPRODUCT((Inputs!$E$5:$E$170=$B26)*Inputs!$F$5:$F$170*(((Inputs!$G$5:$G$170="moeda")+(Inputs!$G$5:$G$170="acoes"))*Inputs!$B$1+((Inputs!$G$5:$G$170&lt;&gt;"moeda")*(Inputs!$G$5:$G$170&lt;&gt;"acoes")))*INDEX(Inputs!$K$5:$AJ$170,0,MATCH(AI$2,Inputs!$K$4:$AJ$4,0)))))</f>
        <v>191.245</v>
      </c>
      <c r="AJ26" s="6">
        <f>IF(ISNA(MATCH(AJ$2,Inputs!$K$4:$AJ$4,0)),NA(),IF(SUMPRODUCT((Inputs!$A$5:$A$170=$B26)*ISNUMBER(INDEX(Inputs!$K$5:$AJ$170,0,MATCH(AJ$2,Inputs!$K$4:$AJ$4,0))))+SUMPRODUCT((Inputs!$C$5:$C$170=$B26)*ISNUMBER(INDEX(Inputs!$K$5:$AJ$170,0,MATCH(AJ$2,Inputs!$K$4:$AJ$4,0))))+SUMPRODUCT((Inputs!$E$5:$E$170=$B26)*ISNUMBER(INDEX(Inputs!$K$5:$AJ$170,0,MATCH(AJ$2,Inputs!$K$4:$AJ$4,0))))=0,NA(),SUMPRODUCT((Inputs!$A$5:$A$170=$B26)*Inputs!$B$5:$B$170*(((Inputs!$G$5:$G$170="moeda")+(Inputs!$G$5:$G$170="acoes"))*Inputs!$B$1+((Inputs!$G$5:$G$170&lt;&gt;"moeda")*(Inputs!$G$5:$G$170&lt;&gt;"acoes")))*INDEX(Inputs!$K$5:$AJ$170,0,MATCH(AJ$2,Inputs!$K$4:$AJ$4,0)))+SUMPRODUCT((Inputs!$C$5:$C$170=$B26)*Inputs!$D$5:$D$170*(((Inputs!$G$5:$G$170="moeda")+(Inputs!$G$5:$G$170="acoes"))*Inputs!$B$1+((Inputs!$G$5:$G$170&lt;&gt;"moeda")*(Inputs!$G$5:$G$170&lt;&gt;"acoes")))*INDEX(Inputs!$K$5:$AJ$170,0,MATCH(AJ$2,Inputs!$K$4:$AJ$4,0)))+SUMPRODUCT((Inputs!$E$5:$E$170=$B26)*Inputs!$F$5:$F$170*(((Inputs!$G$5:$G$170="moeda")+(Inputs!$G$5:$G$170="acoes"))*Inputs!$B$1+((Inputs!$G$5:$G$170&lt;&gt;"moeda")*(Inputs!$G$5:$G$170&lt;&gt;"acoes")))*INDEX(Inputs!$K$5:$AJ$170,0,MATCH(AJ$2,Inputs!$K$4:$AJ$4,0)))))</f>
        <v>207.91</v>
      </c>
      <c r="AK26" s="6">
        <f>IF(ISNA(MATCH(AK$2,Inputs!$K$4:$AJ$4,0)),NA(),IF(SUMPRODUCT((Inputs!$A$5:$A$170=$B26)*ISNUMBER(INDEX(Inputs!$K$5:$AJ$170,0,MATCH(AK$2,Inputs!$K$4:$AJ$4,0))))+SUMPRODUCT((Inputs!$C$5:$C$170=$B26)*ISNUMBER(INDEX(Inputs!$K$5:$AJ$170,0,MATCH(AK$2,Inputs!$K$4:$AJ$4,0))))+SUMPRODUCT((Inputs!$E$5:$E$170=$B26)*ISNUMBER(INDEX(Inputs!$K$5:$AJ$170,0,MATCH(AK$2,Inputs!$K$4:$AJ$4,0))))=0,NA(),SUMPRODUCT((Inputs!$A$5:$A$170=$B26)*Inputs!$B$5:$B$170*(((Inputs!$G$5:$G$170="moeda")+(Inputs!$G$5:$G$170="acoes"))*Inputs!$B$1+((Inputs!$G$5:$G$170&lt;&gt;"moeda")*(Inputs!$G$5:$G$170&lt;&gt;"acoes")))*INDEX(Inputs!$K$5:$AJ$170,0,MATCH(AK$2,Inputs!$K$4:$AJ$4,0)))+SUMPRODUCT((Inputs!$C$5:$C$170=$B26)*Inputs!$D$5:$D$170*(((Inputs!$G$5:$G$170="moeda")+(Inputs!$G$5:$G$170="acoes"))*Inputs!$B$1+((Inputs!$G$5:$G$170&lt;&gt;"moeda")*(Inputs!$G$5:$G$170&lt;&gt;"acoes")))*INDEX(Inputs!$K$5:$AJ$170,0,MATCH(AK$2,Inputs!$K$4:$AJ$4,0)))+SUMPRODUCT((Inputs!$E$5:$E$170=$B26)*Inputs!$F$5:$F$170*(((Inputs!$G$5:$G$170="moeda")+(Inputs!$G$5:$G$170="acoes"))*Inputs!$B$1+((Inputs!$G$5:$G$170&lt;&gt;"moeda")*(Inputs!$G$5:$G$170&lt;&gt;"acoes")))*INDEX(Inputs!$K$5:$AJ$170,0,MATCH(AK$2,Inputs!$K$4:$AJ$4,0)))))</f>
        <v>197.131</v>
      </c>
      <c r="AL26" s="3">
        <f>AK26</f>
        <v>197.131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$170=$B28)*ISNUMBER(INDEX(Inputs!$K$5:$AJ$170,0,MATCH(D$2,Inputs!$K$4:$AJ$4,0))))+SUMPRODUCT((Inputs!$C$5:$C$170=$B28)*ISNUMBER(INDEX(Inputs!$K$5:$AJ$170,0,MATCH(D$2,Inputs!$K$4:$AJ$4,0))))+SUMPRODUCT((Inputs!$E$5:$E$170=$B28)*ISNUMBER(INDEX(Inputs!$K$5:$AJ$170,0,MATCH(D$2,Inputs!$K$4:$AJ$4,0))))=0,NA(),SUMPRODUCT((Inputs!$A$5:$A$170=$B28)*Inputs!$B$5:$B$170*(((Inputs!$G$5:$G$170="moeda")+(Inputs!$G$5:$G$170="acoes"))*Inputs!$B$1+((Inputs!$G$5:$G$170&lt;&gt;"moeda")*(Inputs!$G$5:$G$170&lt;&gt;"acoes")))*INDEX(Inputs!$K$5:$AJ$170,0,MATCH(D$2,Inputs!$K$4:$AJ$4,0)))+SUMPRODUCT((Inputs!$C$5:$C$170=$B28)*Inputs!$D$5:$D$170*(((Inputs!$G$5:$G$170="moeda")+(Inputs!$G$5:$G$170="acoes"))*Inputs!$B$1+((Inputs!$G$5:$G$170&lt;&gt;"moeda")*(Inputs!$G$5:$G$170&lt;&gt;"acoes")))*INDEX(Inputs!$K$5:$AJ$170,0,MATCH(D$2,Inputs!$K$4:$AJ$4,0)))+SUMPRODUCT((Inputs!$E$5:$E$170=$B28)*Inputs!$F$5:$F$170*(((Inputs!$G$5:$G$170="moeda")+(Inputs!$G$5:$G$170="acoes"))*Inputs!$B$1+((Inputs!$G$5:$G$170&lt;&gt;"moeda")*(Inputs!$G$5:$G$170&lt;&gt;"acoes")))*INDEX(Inputs!$K$5:$AJ$170,0,MATCH(D$2,Inputs!$K$4:$AJ$4,0)))))</f>
        <v>945.486</v>
      </c>
      <c r="E28" s="6">
        <f>IF(ISNA(MATCH(E$2,Inputs!$K$4:$AJ$4,0)),NA(),IF(SUMPRODUCT((Inputs!$A$5:$A$170=$B28)*ISNUMBER(INDEX(Inputs!$K$5:$AJ$170,0,MATCH(E$2,Inputs!$K$4:$AJ$4,0))))+SUMPRODUCT((Inputs!$C$5:$C$170=$B28)*ISNUMBER(INDEX(Inputs!$K$5:$AJ$170,0,MATCH(E$2,Inputs!$K$4:$AJ$4,0))))+SUMPRODUCT((Inputs!$E$5:$E$170=$B28)*ISNUMBER(INDEX(Inputs!$K$5:$AJ$170,0,MATCH(E$2,Inputs!$K$4:$AJ$4,0))))=0,NA(),SUMPRODUCT((Inputs!$A$5:$A$170=$B28)*Inputs!$B$5:$B$170*(((Inputs!$G$5:$G$170="moeda")+(Inputs!$G$5:$G$170="acoes"))*Inputs!$B$1+((Inputs!$G$5:$G$170&lt;&gt;"moeda")*(Inputs!$G$5:$G$170&lt;&gt;"acoes")))*INDEX(Inputs!$K$5:$AJ$170,0,MATCH(E$2,Inputs!$K$4:$AJ$4,0)))+SUMPRODUCT((Inputs!$C$5:$C$170=$B28)*Inputs!$D$5:$D$170*(((Inputs!$G$5:$G$170="moeda")+(Inputs!$G$5:$G$170="acoes"))*Inputs!$B$1+((Inputs!$G$5:$G$170&lt;&gt;"moeda")*(Inputs!$G$5:$G$170&lt;&gt;"acoes")))*INDEX(Inputs!$K$5:$AJ$170,0,MATCH(E$2,Inputs!$K$4:$AJ$4,0)))+SUMPRODUCT((Inputs!$E$5:$E$170=$B28)*Inputs!$F$5:$F$170*(((Inputs!$G$5:$G$170="moeda")+(Inputs!$G$5:$G$170="acoes"))*Inputs!$B$1+((Inputs!$G$5:$G$170&lt;&gt;"moeda")*(Inputs!$G$5:$G$170&lt;&gt;"acoes")))*INDEX(Inputs!$K$5:$AJ$170,0,MATCH(E$2,Inputs!$K$4:$AJ$4,0)))))</f>
        <v>1343.416</v>
      </c>
      <c r="F28" s="6">
        <f>IF(ISNA(MATCH(F$2,Inputs!$K$4:$AJ$4,0)),NA(),IF(SUMPRODUCT((Inputs!$A$5:$A$170=$B28)*ISNUMBER(INDEX(Inputs!$K$5:$AJ$170,0,MATCH(F$2,Inputs!$K$4:$AJ$4,0))))+SUMPRODUCT((Inputs!$C$5:$C$170=$B28)*ISNUMBER(INDEX(Inputs!$K$5:$AJ$170,0,MATCH(F$2,Inputs!$K$4:$AJ$4,0))))+SUMPRODUCT((Inputs!$E$5:$E$170=$B28)*ISNUMBER(INDEX(Inputs!$K$5:$AJ$170,0,MATCH(F$2,Inputs!$K$4:$AJ$4,0))))=0,NA(),SUMPRODUCT((Inputs!$A$5:$A$170=$B28)*Inputs!$B$5:$B$170*(((Inputs!$G$5:$G$170="moeda")+(Inputs!$G$5:$G$170="acoes"))*Inputs!$B$1+((Inputs!$G$5:$G$170&lt;&gt;"moeda")*(Inputs!$G$5:$G$170&lt;&gt;"acoes")))*INDEX(Inputs!$K$5:$AJ$170,0,MATCH(F$2,Inputs!$K$4:$AJ$4,0)))+SUMPRODUCT((Inputs!$C$5:$C$170=$B28)*Inputs!$D$5:$D$170*(((Inputs!$G$5:$G$170="moeda")+(Inputs!$G$5:$G$170="acoes"))*Inputs!$B$1+((Inputs!$G$5:$G$170&lt;&gt;"moeda")*(Inputs!$G$5:$G$170&lt;&gt;"acoes")))*INDEX(Inputs!$K$5:$AJ$170,0,MATCH(F$2,Inputs!$K$4:$AJ$4,0)))+SUMPRODUCT((Inputs!$E$5:$E$170=$B28)*Inputs!$F$5:$F$170*(((Inputs!$G$5:$G$170="moeda")+(Inputs!$G$5:$G$170="acoes"))*Inputs!$B$1+((Inputs!$G$5:$G$170&lt;&gt;"moeda")*(Inputs!$G$5:$G$170&lt;&gt;"acoes")))*INDEX(Inputs!$K$5:$AJ$170,0,MATCH(F$2,Inputs!$K$4:$AJ$4,0)))))</f>
        <v>1360.476</v>
      </c>
      <c r="G28" s="6">
        <f>IF(ISNA(MATCH(G$2,Inputs!$K$4:$AJ$4,0)),NA(),IF(SUMPRODUCT((Inputs!$A$5:$A$170=$B28)*ISNUMBER(INDEX(Inputs!$K$5:$AJ$170,0,MATCH(G$2,Inputs!$K$4:$AJ$4,0))))+SUMPRODUCT((Inputs!$C$5:$C$170=$B28)*ISNUMBER(INDEX(Inputs!$K$5:$AJ$170,0,MATCH(G$2,Inputs!$K$4:$AJ$4,0))))+SUMPRODUCT((Inputs!$E$5:$E$170=$B28)*ISNUMBER(INDEX(Inputs!$K$5:$AJ$170,0,MATCH(G$2,Inputs!$K$4:$AJ$4,0))))=0,NA(),SUMPRODUCT((Inputs!$A$5:$A$170=$B28)*Inputs!$B$5:$B$170*(((Inputs!$G$5:$G$170="moeda")+(Inputs!$G$5:$G$170="acoes"))*Inputs!$B$1+((Inputs!$G$5:$G$170&lt;&gt;"moeda")*(Inputs!$G$5:$G$170&lt;&gt;"acoes")))*INDEX(Inputs!$K$5:$AJ$170,0,MATCH(G$2,Inputs!$K$4:$AJ$4,0)))+SUMPRODUCT((Inputs!$C$5:$C$170=$B28)*Inputs!$D$5:$D$170*(((Inputs!$G$5:$G$170="moeda")+(Inputs!$G$5:$G$170="acoes"))*Inputs!$B$1+((Inputs!$G$5:$G$170&lt;&gt;"moeda")*(Inputs!$G$5:$G$170&lt;&gt;"acoes")))*INDEX(Inputs!$K$5:$AJ$170,0,MATCH(G$2,Inputs!$K$4:$AJ$4,0)))+SUMPRODUCT((Inputs!$E$5:$E$170=$B28)*Inputs!$F$5:$F$170*(((Inputs!$G$5:$G$170="moeda")+(Inputs!$G$5:$G$170="acoes"))*Inputs!$B$1+((Inputs!$G$5:$G$170&lt;&gt;"moeda")*(Inputs!$G$5:$G$170&lt;&gt;"acoes")))*INDEX(Inputs!$K$5:$AJ$170,0,MATCH(G$2,Inputs!$K$4:$AJ$4,0)))))</f>
        <v>2316.752</v>
      </c>
      <c r="H28" s="3">
        <f>G28</f>
        <v>2316.752</v>
      </c>
      <c r="I28" s="6">
        <f>IF(ISNA(MATCH(I$2,Inputs!$K$4:$AJ$4,0)),NA(),IF(SUMPRODUCT((Inputs!$A$5:$A$170=$B28)*ISNUMBER(INDEX(Inputs!$K$5:$AJ$170,0,MATCH(I$2,Inputs!$K$4:$AJ$4,0))))+SUMPRODUCT((Inputs!$C$5:$C$170=$B28)*ISNUMBER(INDEX(Inputs!$K$5:$AJ$170,0,MATCH(I$2,Inputs!$K$4:$AJ$4,0))))+SUMPRODUCT((Inputs!$E$5:$E$170=$B28)*ISNUMBER(INDEX(Inputs!$K$5:$AJ$170,0,MATCH(I$2,Inputs!$K$4:$AJ$4,0))))=0,NA(),SUMPRODUCT((Inputs!$A$5:$A$170=$B28)*Inputs!$B$5:$B$170*(((Inputs!$G$5:$G$170="moeda")+(Inputs!$G$5:$G$170="acoes"))*Inputs!$B$1+((Inputs!$G$5:$G$170&lt;&gt;"moeda")*(Inputs!$G$5:$G$170&lt;&gt;"acoes")))*INDEX(Inputs!$K$5:$AJ$170,0,MATCH(I$2,Inputs!$K$4:$AJ$4,0)))+SUMPRODUCT((Inputs!$C$5:$C$170=$B28)*Inputs!$D$5:$D$170*(((Inputs!$G$5:$G$170="moeda")+(Inputs!$G$5:$G$170="acoes"))*Inputs!$B$1+((Inputs!$G$5:$G$170&lt;&gt;"moeda")*(Inputs!$G$5:$G$170&lt;&gt;"acoes")))*INDEX(Inputs!$K$5:$AJ$170,0,MATCH(I$2,Inputs!$K$4:$AJ$4,0)))+SUMPRODUCT((Inputs!$E$5:$E$170=$B28)*Inputs!$F$5:$F$170*(((Inputs!$G$5:$G$170="moeda")+(Inputs!$G$5:$G$170="acoes"))*Inputs!$B$1+((Inputs!$G$5:$G$170&lt;&gt;"moeda")*(Inputs!$G$5:$G$170&lt;&gt;"acoes")))*INDEX(Inputs!$K$5:$AJ$170,0,MATCH(I$2,Inputs!$K$4:$AJ$4,0)))))</f>
        <v>1725.608</v>
      </c>
      <c r="J28" s="6">
        <f>IF(ISNA(MATCH(J$2,Inputs!$K$4:$AJ$4,0)),NA(),IF(SUMPRODUCT((Inputs!$A$5:$A$170=$B28)*ISNUMBER(INDEX(Inputs!$K$5:$AJ$170,0,MATCH(J$2,Inputs!$K$4:$AJ$4,0))))+SUMPRODUCT((Inputs!$C$5:$C$170=$B28)*ISNUMBER(INDEX(Inputs!$K$5:$AJ$170,0,MATCH(J$2,Inputs!$K$4:$AJ$4,0))))+SUMPRODUCT((Inputs!$E$5:$E$170=$B28)*ISNUMBER(INDEX(Inputs!$K$5:$AJ$170,0,MATCH(J$2,Inputs!$K$4:$AJ$4,0))))=0,NA(),SUMPRODUCT((Inputs!$A$5:$A$170=$B28)*Inputs!$B$5:$B$170*(((Inputs!$G$5:$G$170="moeda")+(Inputs!$G$5:$G$170="acoes"))*Inputs!$B$1+((Inputs!$G$5:$G$170&lt;&gt;"moeda")*(Inputs!$G$5:$G$170&lt;&gt;"acoes")))*INDEX(Inputs!$K$5:$AJ$170,0,MATCH(J$2,Inputs!$K$4:$AJ$4,0)))+SUMPRODUCT((Inputs!$C$5:$C$170=$B28)*Inputs!$D$5:$D$170*(((Inputs!$G$5:$G$170="moeda")+(Inputs!$G$5:$G$170="acoes"))*Inputs!$B$1+((Inputs!$G$5:$G$170&lt;&gt;"moeda")*(Inputs!$G$5:$G$170&lt;&gt;"acoes")))*INDEX(Inputs!$K$5:$AJ$170,0,MATCH(J$2,Inputs!$K$4:$AJ$4,0)))+SUMPRODUCT((Inputs!$E$5:$E$170=$B28)*Inputs!$F$5:$F$170*(((Inputs!$G$5:$G$170="moeda")+(Inputs!$G$5:$G$170="acoes"))*Inputs!$B$1+((Inputs!$G$5:$G$170&lt;&gt;"moeda")*(Inputs!$G$5:$G$170&lt;&gt;"acoes")))*INDEX(Inputs!$K$5:$AJ$170,0,MATCH(J$2,Inputs!$K$4:$AJ$4,0)))))</f>
        <v>2454.363</v>
      </c>
      <c r="K28" s="6">
        <f>IF(ISNA(MATCH(K$2,Inputs!$K$4:$AJ$4,0)),NA(),IF(SUMPRODUCT((Inputs!$A$5:$A$170=$B28)*ISNUMBER(INDEX(Inputs!$K$5:$AJ$170,0,MATCH(K$2,Inputs!$K$4:$AJ$4,0))))+SUMPRODUCT((Inputs!$C$5:$C$170=$B28)*ISNUMBER(INDEX(Inputs!$K$5:$AJ$170,0,MATCH(K$2,Inputs!$K$4:$AJ$4,0))))+SUMPRODUCT((Inputs!$E$5:$E$170=$B28)*ISNUMBER(INDEX(Inputs!$K$5:$AJ$170,0,MATCH(K$2,Inputs!$K$4:$AJ$4,0))))=0,NA(),SUMPRODUCT((Inputs!$A$5:$A$170=$B28)*Inputs!$B$5:$B$170*(((Inputs!$G$5:$G$170="moeda")+(Inputs!$G$5:$G$170="acoes"))*Inputs!$B$1+((Inputs!$G$5:$G$170&lt;&gt;"moeda")*(Inputs!$G$5:$G$170&lt;&gt;"acoes")))*INDEX(Inputs!$K$5:$AJ$170,0,MATCH(K$2,Inputs!$K$4:$AJ$4,0)))+SUMPRODUCT((Inputs!$C$5:$C$170=$B28)*Inputs!$D$5:$D$170*(((Inputs!$G$5:$G$170="moeda")+(Inputs!$G$5:$G$170="acoes"))*Inputs!$B$1+((Inputs!$G$5:$G$170&lt;&gt;"moeda")*(Inputs!$G$5:$G$170&lt;&gt;"acoes")))*INDEX(Inputs!$K$5:$AJ$170,0,MATCH(K$2,Inputs!$K$4:$AJ$4,0)))+SUMPRODUCT((Inputs!$E$5:$E$170=$B28)*Inputs!$F$5:$F$170*(((Inputs!$G$5:$G$170="moeda")+(Inputs!$G$5:$G$170="acoes"))*Inputs!$B$1+((Inputs!$G$5:$G$170&lt;&gt;"moeda")*(Inputs!$G$5:$G$170&lt;&gt;"acoes")))*INDEX(Inputs!$K$5:$AJ$170,0,MATCH(K$2,Inputs!$K$4:$AJ$4,0)))))</f>
        <v>1654.353</v>
      </c>
      <c r="L28" s="6">
        <f>IF(ISNA(MATCH(L$2,Inputs!$K$4:$AJ$4,0)),NA(),IF(SUMPRODUCT((Inputs!$A$5:$A$170=$B28)*ISNUMBER(INDEX(Inputs!$K$5:$AJ$170,0,MATCH(L$2,Inputs!$K$4:$AJ$4,0))))+SUMPRODUCT((Inputs!$C$5:$C$170=$B28)*ISNUMBER(INDEX(Inputs!$K$5:$AJ$170,0,MATCH(L$2,Inputs!$K$4:$AJ$4,0))))+SUMPRODUCT((Inputs!$E$5:$E$170=$B28)*ISNUMBER(INDEX(Inputs!$K$5:$AJ$170,0,MATCH(L$2,Inputs!$K$4:$AJ$4,0))))=0,NA(),SUMPRODUCT((Inputs!$A$5:$A$170=$B28)*Inputs!$B$5:$B$170*(((Inputs!$G$5:$G$170="moeda")+(Inputs!$G$5:$G$170="acoes"))*Inputs!$B$1+((Inputs!$G$5:$G$170&lt;&gt;"moeda")*(Inputs!$G$5:$G$170&lt;&gt;"acoes")))*INDEX(Inputs!$K$5:$AJ$170,0,MATCH(L$2,Inputs!$K$4:$AJ$4,0)))+SUMPRODUCT((Inputs!$C$5:$C$170=$B28)*Inputs!$D$5:$D$170*(((Inputs!$G$5:$G$170="moeda")+(Inputs!$G$5:$G$170="acoes"))*Inputs!$B$1+((Inputs!$G$5:$G$170&lt;&gt;"moeda")*(Inputs!$G$5:$G$170&lt;&gt;"acoes")))*INDEX(Inputs!$K$5:$AJ$170,0,MATCH(L$2,Inputs!$K$4:$AJ$4,0)))+SUMPRODUCT((Inputs!$E$5:$E$170=$B28)*Inputs!$F$5:$F$170*(((Inputs!$G$5:$G$170="moeda")+(Inputs!$G$5:$G$170="acoes"))*Inputs!$B$1+((Inputs!$G$5:$G$170&lt;&gt;"moeda")*(Inputs!$G$5:$G$170&lt;&gt;"acoes")))*INDEX(Inputs!$K$5:$AJ$170,0,MATCH(L$2,Inputs!$K$4:$AJ$4,0)))))</f>
        <v>2264.908</v>
      </c>
      <c r="M28" s="3">
        <f>L28</f>
        <v>2264.908</v>
      </c>
      <c r="N28" s="6">
        <f>IF(ISNA(MATCH(N$2,Inputs!$K$4:$AJ$4,0)),NA(),IF(SUMPRODUCT((Inputs!$A$5:$A$170=$B28)*ISNUMBER(INDEX(Inputs!$K$5:$AJ$170,0,MATCH(N$2,Inputs!$K$4:$AJ$4,0))))+SUMPRODUCT((Inputs!$C$5:$C$170=$B28)*ISNUMBER(INDEX(Inputs!$K$5:$AJ$170,0,MATCH(N$2,Inputs!$K$4:$AJ$4,0))))+SUMPRODUCT((Inputs!$E$5:$E$170=$B28)*ISNUMBER(INDEX(Inputs!$K$5:$AJ$170,0,MATCH(N$2,Inputs!$K$4:$AJ$4,0))))=0,NA(),SUMPRODUCT((Inputs!$A$5:$A$170=$B28)*Inputs!$B$5:$B$170*(((Inputs!$G$5:$G$170="moeda")+(Inputs!$G$5:$G$170="acoes"))*Inputs!$B$1+((Inputs!$G$5:$G$170&lt;&gt;"moeda")*(Inputs!$G$5:$G$170&lt;&gt;"acoes")))*INDEX(Inputs!$K$5:$AJ$170,0,MATCH(N$2,Inputs!$K$4:$AJ$4,0)))+SUMPRODUCT((Inputs!$C$5:$C$170=$B28)*Inputs!$D$5:$D$170*(((Inputs!$G$5:$G$170="moeda")+(Inputs!$G$5:$G$170="acoes"))*Inputs!$B$1+((Inputs!$G$5:$G$170&lt;&gt;"moeda")*(Inputs!$G$5:$G$170&lt;&gt;"acoes")))*INDEX(Inputs!$K$5:$AJ$170,0,MATCH(N$2,Inputs!$K$4:$AJ$4,0)))+SUMPRODUCT((Inputs!$E$5:$E$170=$B28)*Inputs!$F$5:$F$170*(((Inputs!$G$5:$G$170="moeda")+(Inputs!$G$5:$G$170="acoes"))*Inputs!$B$1+((Inputs!$G$5:$G$170&lt;&gt;"moeda")*(Inputs!$G$5:$G$170&lt;&gt;"acoes")))*INDEX(Inputs!$K$5:$AJ$170,0,MATCH(N$2,Inputs!$K$4:$AJ$4,0)))))</f>
        <v>1063.365</v>
      </c>
      <c r="O28" s="6">
        <f>IF(ISNA(MATCH(O$2,Inputs!$K$4:$AJ$4,0)),NA(),IF(SUMPRODUCT((Inputs!$A$5:$A$170=$B28)*ISNUMBER(INDEX(Inputs!$K$5:$AJ$170,0,MATCH(O$2,Inputs!$K$4:$AJ$4,0))))+SUMPRODUCT((Inputs!$C$5:$C$170=$B28)*ISNUMBER(INDEX(Inputs!$K$5:$AJ$170,0,MATCH(O$2,Inputs!$K$4:$AJ$4,0))))+SUMPRODUCT((Inputs!$E$5:$E$170=$B28)*ISNUMBER(INDEX(Inputs!$K$5:$AJ$170,0,MATCH(O$2,Inputs!$K$4:$AJ$4,0))))=0,NA(),SUMPRODUCT((Inputs!$A$5:$A$170=$B28)*Inputs!$B$5:$B$170*(((Inputs!$G$5:$G$170="moeda")+(Inputs!$G$5:$G$170="acoes"))*Inputs!$B$1+((Inputs!$G$5:$G$170&lt;&gt;"moeda")*(Inputs!$G$5:$G$170&lt;&gt;"acoes")))*INDEX(Inputs!$K$5:$AJ$170,0,MATCH(O$2,Inputs!$K$4:$AJ$4,0)))+SUMPRODUCT((Inputs!$C$5:$C$170=$B28)*Inputs!$D$5:$D$170*(((Inputs!$G$5:$G$170="moeda")+(Inputs!$G$5:$G$170="acoes"))*Inputs!$B$1+((Inputs!$G$5:$G$170&lt;&gt;"moeda")*(Inputs!$G$5:$G$170&lt;&gt;"acoes")))*INDEX(Inputs!$K$5:$AJ$170,0,MATCH(O$2,Inputs!$K$4:$AJ$4,0)))+SUMPRODUCT((Inputs!$E$5:$E$170=$B28)*Inputs!$F$5:$F$170*(((Inputs!$G$5:$G$170="moeda")+(Inputs!$G$5:$G$170="acoes"))*Inputs!$B$1+((Inputs!$G$5:$G$170&lt;&gt;"moeda")*(Inputs!$G$5:$G$170&lt;&gt;"acoes")))*INDEX(Inputs!$K$5:$AJ$170,0,MATCH(O$2,Inputs!$K$4:$AJ$4,0)))))</f>
        <v>928.577</v>
      </c>
      <c r="P28" s="6">
        <f>IF(ISNA(MATCH(P$2,Inputs!$K$4:$AJ$4,0)),NA(),IF(SUMPRODUCT((Inputs!$A$5:$A$170=$B28)*ISNUMBER(INDEX(Inputs!$K$5:$AJ$170,0,MATCH(P$2,Inputs!$K$4:$AJ$4,0))))+SUMPRODUCT((Inputs!$C$5:$C$170=$B28)*ISNUMBER(INDEX(Inputs!$K$5:$AJ$170,0,MATCH(P$2,Inputs!$K$4:$AJ$4,0))))+SUMPRODUCT((Inputs!$E$5:$E$170=$B28)*ISNUMBER(INDEX(Inputs!$K$5:$AJ$170,0,MATCH(P$2,Inputs!$K$4:$AJ$4,0))))=0,NA(),SUMPRODUCT((Inputs!$A$5:$A$170=$B28)*Inputs!$B$5:$B$170*(((Inputs!$G$5:$G$170="moeda")+(Inputs!$G$5:$G$170="acoes"))*Inputs!$B$1+((Inputs!$G$5:$G$170&lt;&gt;"moeda")*(Inputs!$G$5:$G$170&lt;&gt;"acoes")))*INDEX(Inputs!$K$5:$AJ$170,0,MATCH(P$2,Inputs!$K$4:$AJ$4,0)))+SUMPRODUCT((Inputs!$C$5:$C$170=$B28)*Inputs!$D$5:$D$170*(((Inputs!$G$5:$G$170="moeda")+(Inputs!$G$5:$G$170="acoes"))*Inputs!$B$1+((Inputs!$G$5:$G$170&lt;&gt;"moeda")*(Inputs!$G$5:$G$170&lt;&gt;"acoes")))*INDEX(Inputs!$K$5:$AJ$170,0,MATCH(P$2,Inputs!$K$4:$AJ$4,0)))+SUMPRODUCT((Inputs!$E$5:$E$170=$B28)*Inputs!$F$5:$F$170*(((Inputs!$G$5:$G$170="moeda")+(Inputs!$G$5:$G$170="acoes"))*Inputs!$B$1+((Inputs!$G$5:$G$170&lt;&gt;"moeda")*(Inputs!$G$5:$G$170&lt;&gt;"acoes")))*INDEX(Inputs!$K$5:$AJ$170,0,MATCH(P$2,Inputs!$K$4:$AJ$4,0)))))</f>
        <v>2091.418</v>
      </c>
      <c r="Q28" s="6">
        <f>IF(ISNA(MATCH(Q$2,Inputs!$K$4:$AJ$4,0)),NA(),IF(SUMPRODUCT((Inputs!$A$5:$A$170=$B28)*ISNUMBER(INDEX(Inputs!$K$5:$AJ$170,0,MATCH(Q$2,Inputs!$K$4:$AJ$4,0))))+SUMPRODUCT((Inputs!$C$5:$C$170=$B28)*ISNUMBER(INDEX(Inputs!$K$5:$AJ$170,0,MATCH(Q$2,Inputs!$K$4:$AJ$4,0))))+SUMPRODUCT((Inputs!$E$5:$E$170=$B28)*ISNUMBER(INDEX(Inputs!$K$5:$AJ$170,0,MATCH(Q$2,Inputs!$K$4:$AJ$4,0))))=0,NA(),SUMPRODUCT((Inputs!$A$5:$A$170=$B28)*Inputs!$B$5:$B$170*(((Inputs!$G$5:$G$170="moeda")+(Inputs!$G$5:$G$170="acoes"))*Inputs!$B$1+((Inputs!$G$5:$G$170&lt;&gt;"moeda")*(Inputs!$G$5:$G$170&lt;&gt;"acoes")))*INDEX(Inputs!$K$5:$AJ$170,0,MATCH(Q$2,Inputs!$K$4:$AJ$4,0)))+SUMPRODUCT((Inputs!$C$5:$C$170=$B28)*Inputs!$D$5:$D$170*(((Inputs!$G$5:$G$170="moeda")+(Inputs!$G$5:$G$170="acoes"))*Inputs!$B$1+((Inputs!$G$5:$G$170&lt;&gt;"moeda")*(Inputs!$G$5:$G$170&lt;&gt;"acoes")))*INDEX(Inputs!$K$5:$AJ$170,0,MATCH(Q$2,Inputs!$K$4:$AJ$4,0)))+SUMPRODUCT((Inputs!$E$5:$E$170=$B28)*Inputs!$F$5:$F$170*(((Inputs!$G$5:$G$170="moeda")+(Inputs!$G$5:$G$170="acoes"))*Inputs!$B$1+((Inputs!$G$5:$G$170&lt;&gt;"moeda")*(Inputs!$G$5:$G$170&lt;&gt;"acoes")))*INDEX(Inputs!$K$5:$AJ$170,0,MATCH(Q$2,Inputs!$K$4:$AJ$4,0)))))</f>
        <v>4751.328</v>
      </c>
      <c r="R28" s="3">
        <f>Q28</f>
        <v>4751.328</v>
      </c>
      <c r="S28" s="6">
        <f>IF(ISNA(MATCH(S$2,Inputs!$K$4:$AJ$4,0)),NA(),IF(SUMPRODUCT((Inputs!$A$5:$A$170=$B28)*ISNUMBER(INDEX(Inputs!$K$5:$AJ$170,0,MATCH(S$2,Inputs!$K$4:$AJ$4,0))))+SUMPRODUCT((Inputs!$C$5:$C$170=$B28)*ISNUMBER(INDEX(Inputs!$K$5:$AJ$170,0,MATCH(S$2,Inputs!$K$4:$AJ$4,0))))+SUMPRODUCT((Inputs!$E$5:$E$170=$B28)*ISNUMBER(INDEX(Inputs!$K$5:$AJ$170,0,MATCH(S$2,Inputs!$K$4:$AJ$4,0))))=0,NA(),SUMPRODUCT((Inputs!$A$5:$A$170=$B28)*Inputs!$B$5:$B$170*(((Inputs!$G$5:$G$170="moeda")+(Inputs!$G$5:$G$170="acoes"))*Inputs!$B$1+((Inputs!$G$5:$G$170&lt;&gt;"moeda")*(Inputs!$G$5:$G$170&lt;&gt;"acoes")))*INDEX(Inputs!$K$5:$AJ$170,0,MATCH(S$2,Inputs!$K$4:$AJ$4,0)))+SUMPRODUCT((Inputs!$C$5:$C$170=$B28)*Inputs!$D$5:$D$170*(((Inputs!$G$5:$G$170="moeda")+(Inputs!$G$5:$G$170="acoes"))*Inputs!$B$1+((Inputs!$G$5:$G$170&lt;&gt;"moeda")*(Inputs!$G$5:$G$170&lt;&gt;"acoes")))*INDEX(Inputs!$K$5:$AJ$170,0,MATCH(S$2,Inputs!$K$4:$AJ$4,0)))+SUMPRODUCT((Inputs!$E$5:$E$170=$B28)*Inputs!$F$5:$F$170*(((Inputs!$G$5:$G$170="moeda")+(Inputs!$G$5:$G$170="acoes"))*Inputs!$B$1+((Inputs!$G$5:$G$170&lt;&gt;"moeda")*(Inputs!$G$5:$G$170&lt;&gt;"acoes")))*INDEX(Inputs!$K$5:$AJ$170,0,MATCH(S$2,Inputs!$K$4:$AJ$4,0)))))</f>
        <v>4072.857</v>
      </c>
      <c r="T28" s="6">
        <f>IF(ISNA(MATCH(T$2,Inputs!$K$4:$AJ$4,0)),NA(),IF(SUMPRODUCT((Inputs!$A$5:$A$170=$B28)*ISNUMBER(INDEX(Inputs!$K$5:$AJ$170,0,MATCH(T$2,Inputs!$K$4:$AJ$4,0))))+SUMPRODUCT((Inputs!$C$5:$C$170=$B28)*ISNUMBER(INDEX(Inputs!$K$5:$AJ$170,0,MATCH(T$2,Inputs!$K$4:$AJ$4,0))))+SUMPRODUCT((Inputs!$E$5:$E$170=$B28)*ISNUMBER(INDEX(Inputs!$K$5:$AJ$170,0,MATCH(T$2,Inputs!$K$4:$AJ$4,0))))=0,NA(),SUMPRODUCT((Inputs!$A$5:$A$170=$B28)*Inputs!$B$5:$B$170*(((Inputs!$G$5:$G$170="moeda")+(Inputs!$G$5:$G$170="acoes"))*Inputs!$B$1+((Inputs!$G$5:$G$170&lt;&gt;"moeda")*(Inputs!$G$5:$G$170&lt;&gt;"acoes")))*INDEX(Inputs!$K$5:$AJ$170,0,MATCH(T$2,Inputs!$K$4:$AJ$4,0)))+SUMPRODUCT((Inputs!$C$5:$C$170=$B28)*Inputs!$D$5:$D$170*(((Inputs!$G$5:$G$170="moeda")+(Inputs!$G$5:$G$170="acoes"))*Inputs!$B$1+((Inputs!$G$5:$G$170&lt;&gt;"moeda")*(Inputs!$G$5:$G$170&lt;&gt;"acoes")))*INDEX(Inputs!$K$5:$AJ$170,0,MATCH(T$2,Inputs!$K$4:$AJ$4,0)))+SUMPRODUCT((Inputs!$E$5:$E$170=$B28)*Inputs!$F$5:$F$170*(((Inputs!$G$5:$G$170="moeda")+(Inputs!$G$5:$G$170="acoes"))*Inputs!$B$1+((Inputs!$G$5:$G$170&lt;&gt;"moeda")*(Inputs!$G$5:$G$170&lt;&gt;"acoes")))*INDEX(Inputs!$K$5:$AJ$170,0,MATCH(T$2,Inputs!$K$4:$AJ$4,0)))))</f>
        <v>3641.977</v>
      </c>
      <c r="U28" s="6">
        <f>IF(ISNA(MATCH(U$2,Inputs!$K$4:$AJ$4,0)),NA(),IF(SUMPRODUCT((Inputs!$A$5:$A$170=$B28)*ISNUMBER(INDEX(Inputs!$K$5:$AJ$170,0,MATCH(U$2,Inputs!$K$4:$AJ$4,0))))+SUMPRODUCT((Inputs!$C$5:$C$170=$B28)*ISNUMBER(INDEX(Inputs!$K$5:$AJ$170,0,MATCH(U$2,Inputs!$K$4:$AJ$4,0))))+SUMPRODUCT((Inputs!$E$5:$E$170=$B28)*ISNUMBER(INDEX(Inputs!$K$5:$AJ$170,0,MATCH(U$2,Inputs!$K$4:$AJ$4,0))))=0,NA(),SUMPRODUCT((Inputs!$A$5:$A$170=$B28)*Inputs!$B$5:$B$170*(((Inputs!$G$5:$G$170="moeda")+(Inputs!$G$5:$G$170="acoes"))*Inputs!$B$1+((Inputs!$G$5:$G$170&lt;&gt;"moeda")*(Inputs!$G$5:$G$170&lt;&gt;"acoes")))*INDEX(Inputs!$K$5:$AJ$170,0,MATCH(U$2,Inputs!$K$4:$AJ$4,0)))+SUMPRODUCT((Inputs!$C$5:$C$170=$B28)*Inputs!$D$5:$D$170*(((Inputs!$G$5:$G$170="moeda")+(Inputs!$G$5:$G$170="acoes"))*Inputs!$B$1+((Inputs!$G$5:$G$170&lt;&gt;"moeda")*(Inputs!$G$5:$G$170&lt;&gt;"acoes")))*INDEX(Inputs!$K$5:$AJ$170,0,MATCH(U$2,Inputs!$K$4:$AJ$4,0)))+SUMPRODUCT((Inputs!$E$5:$E$170=$B28)*Inputs!$F$5:$F$170*(((Inputs!$G$5:$G$170="moeda")+(Inputs!$G$5:$G$170="acoes"))*Inputs!$B$1+((Inputs!$G$5:$G$170&lt;&gt;"moeda")*(Inputs!$G$5:$G$170&lt;&gt;"acoes")))*INDEX(Inputs!$K$5:$AJ$170,0,MATCH(U$2,Inputs!$K$4:$AJ$4,0)))))</f>
        <v>3717.829</v>
      </c>
      <c r="V28" s="6">
        <f>IF(ISNA(MATCH(V$2,Inputs!$K$4:$AJ$4,0)),NA(),IF(SUMPRODUCT((Inputs!$A$5:$A$170=$B28)*ISNUMBER(INDEX(Inputs!$K$5:$AJ$170,0,MATCH(V$2,Inputs!$K$4:$AJ$4,0))))+SUMPRODUCT((Inputs!$C$5:$C$170=$B28)*ISNUMBER(INDEX(Inputs!$K$5:$AJ$170,0,MATCH(V$2,Inputs!$K$4:$AJ$4,0))))+SUMPRODUCT((Inputs!$E$5:$E$170=$B28)*ISNUMBER(INDEX(Inputs!$K$5:$AJ$170,0,MATCH(V$2,Inputs!$K$4:$AJ$4,0))))=0,NA(),SUMPRODUCT((Inputs!$A$5:$A$170=$B28)*Inputs!$B$5:$B$170*(((Inputs!$G$5:$G$170="moeda")+(Inputs!$G$5:$G$170="acoes"))*Inputs!$B$1+((Inputs!$G$5:$G$170&lt;&gt;"moeda")*(Inputs!$G$5:$G$170&lt;&gt;"acoes")))*INDEX(Inputs!$K$5:$AJ$170,0,MATCH(V$2,Inputs!$K$4:$AJ$4,0)))+SUMPRODUCT((Inputs!$C$5:$C$170=$B28)*Inputs!$D$5:$D$170*(((Inputs!$G$5:$G$170="moeda")+(Inputs!$G$5:$G$170="acoes"))*Inputs!$B$1+((Inputs!$G$5:$G$170&lt;&gt;"moeda")*(Inputs!$G$5:$G$170&lt;&gt;"acoes")))*INDEX(Inputs!$K$5:$AJ$170,0,MATCH(V$2,Inputs!$K$4:$AJ$4,0)))+SUMPRODUCT((Inputs!$E$5:$E$170=$B28)*Inputs!$F$5:$F$170*(((Inputs!$G$5:$G$170="moeda")+(Inputs!$G$5:$G$170="acoes"))*Inputs!$B$1+((Inputs!$G$5:$G$170&lt;&gt;"moeda")*(Inputs!$G$5:$G$170&lt;&gt;"acoes")))*INDEX(Inputs!$K$5:$AJ$170,0,MATCH(V$2,Inputs!$K$4:$AJ$4,0)))))</f>
        <v>5318.16</v>
      </c>
      <c r="W28" s="3">
        <f>V28</f>
        <v>5318.16</v>
      </c>
      <c r="X28" s="6">
        <f>IF(ISNA(MATCH(X$2,Inputs!$K$4:$AJ$4,0)),NA(),IF(SUMPRODUCT((Inputs!$A$5:$A$170=$B28)*ISNUMBER(INDEX(Inputs!$K$5:$AJ$170,0,MATCH(X$2,Inputs!$K$4:$AJ$4,0))))+SUMPRODUCT((Inputs!$C$5:$C$170=$B28)*ISNUMBER(INDEX(Inputs!$K$5:$AJ$170,0,MATCH(X$2,Inputs!$K$4:$AJ$4,0))))+SUMPRODUCT((Inputs!$E$5:$E$170=$B28)*ISNUMBER(INDEX(Inputs!$K$5:$AJ$170,0,MATCH(X$2,Inputs!$K$4:$AJ$4,0))))=0,NA(),SUMPRODUCT((Inputs!$A$5:$A$170=$B28)*Inputs!$B$5:$B$170*(((Inputs!$G$5:$G$170="moeda")+(Inputs!$G$5:$G$170="acoes"))*Inputs!$B$1+((Inputs!$G$5:$G$170&lt;&gt;"moeda")*(Inputs!$G$5:$G$170&lt;&gt;"acoes")))*INDEX(Inputs!$K$5:$AJ$170,0,MATCH(X$2,Inputs!$K$4:$AJ$4,0)))+SUMPRODUCT((Inputs!$C$5:$C$170=$B28)*Inputs!$D$5:$D$170*(((Inputs!$G$5:$G$170="moeda")+(Inputs!$G$5:$G$170="acoes"))*Inputs!$B$1+((Inputs!$G$5:$G$170&lt;&gt;"moeda")*(Inputs!$G$5:$G$170&lt;&gt;"acoes")))*INDEX(Inputs!$K$5:$AJ$170,0,MATCH(X$2,Inputs!$K$4:$AJ$4,0)))+SUMPRODUCT((Inputs!$E$5:$E$170=$B28)*Inputs!$F$5:$F$170*(((Inputs!$G$5:$G$170="moeda")+(Inputs!$G$5:$G$170="acoes"))*Inputs!$B$1+((Inputs!$G$5:$G$170&lt;&gt;"moeda")*(Inputs!$G$5:$G$170&lt;&gt;"acoes")))*INDEX(Inputs!$K$5:$AJ$170,0,MATCH(X$2,Inputs!$K$4:$AJ$4,0)))))</f>
        <v>3497.195</v>
      </c>
      <c r="Y28" s="6">
        <f>IF(ISNA(MATCH(Y$2,Inputs!$K$4:$AJ$4,0)),NA(),IF(SUMPRODUCT((Inputs!$A$5:$A$170=$B28)*ISNUMBER(INDEX(Inputs!$K$5:$AJ$170,0,MATCH(Y$2,Inputs!$K$4:$AJ$4,0))))+SUMPRODUCT((Inputs!$C$5:$C$170=$B28)*ISNUMBER(INDEX(Inputs!$K$5:$AJ$170,0,MATCH(Y$2,Inputs!$K$4:$AJ$4,0))))+SUMPRODUCT((Inputs!$E$5:$E$170=$B28)*ISNUMBER(INDEX(Inputs!$K$5:$AJ$170,0,MATCH(Y$2,Inputs!$K$4:$AJ$4,0))))=0,NA(),SUMPRODUCT((Inputs!$A$5:$A$170=$B28)*Inputs!$B$5:$B$170*(((Inputs!$G$5:$G$170="moeda")+(Inputs!$G$5:$G$170="acoes"))*Inputs!$B$1+((Inputs!$G$5:$G$170&lt;&gt;"moeda")*(Inputs!$G$5:$G$170&lt;&gt;"acoes")))*INDEX(Inputs!$K$5:$AJ$170,0,MATCH(Y$2,Inputs!$K$4:$AJ$4,0)))+SUMPRODUCT((Inputs!$C$5:$C$170=$B28)*Inputs!$D$5:$D$170*(((Inputs!$G$5:$G$170="moeda")+(Inputs!$G$5:$G$170="acoes"))*Inputs!$B$1+((Inputs!$G$5:$G$170&lt;&gt;"moeda")*(Inputs!$G$5:$G$170&lt;&gt;"acoes")))*INDEX(Inputs!$K$5:$AJ$170,0,MATCH(Y$2,Inputs!$K$4:$AJ$4,0)))+SUMPRODUCT((Inputs!$E$5:$E$170=$B28)*Inputs!$F$5:$F$170*(((Inputs!$G$5:$G$170="moeda")+(Inputs!$G$5:$G$170="acoes"))*Inputs!$B$1+((Inputs!$G$5:$G$170&lt;&gt;"moeda")*(Inputs!$G$5:$G$170&lt;&gt;"acoes")))*INDEX(Inputs!$K$5:$AJ$170,0,MATCH(Y$2,Inputs!$K$4:$AJ$4,0)))))</f>
        <v>4481.643</v>
      </c>
      <c r="Z28" s="6">
        <f>IF(ISNA(MATCH(Z$2,Inputs!$K$4:$AJ$4,0)),NA(),IF(SUMPRODUCT((Inputs!$A$5:$A$170=$B28)*ISNUMBER(INDEX(Inputs!$K$5:$AJ$170,0,MATCH(Z$2,Inputs!$K$4:$AJ$4,0))))+SUMPRODUCT((Inputs!$C$5:$C$170=$B28)*ISNUMBER(INDEX(Inputs!$K$5:$AJ$170,0,MATCH(Z$2,Inputs!$K$4:$AJ$4,0))))+SUMPRODUCT((Inputs!$E$5:$E$170=$B28)*ISNUMBER(INDEX(Inputs!$K$5:$AJ$170,0,MATCH(Z$2,Inputs!$K$4:$AJ$4,0))))=0,NA(),SUMPRODUCT((Inputs!$A$5:$A$170=$B28)*Inputs!$B$5:$B$170*(((Inputs!$G$5:$G$170="moeda")+(Inputs!$G$5:$G$170="acoes"))*Inputs!$B$1+((Inputs!$G$5:$G$170&lt;&gt;"moeda")*(Inputs!$G$5:$G$170&lt;&gt;"acoes")))*INDEX(Inputs!$K$5:$AJ$170,0,MATCH(Z$2,Inputs!$K$4:$AJ$4,0)))+SUMPRODUCT((Inputs!$C$5:$C$170=$B28)*Inputs!$D$5:$D$170*(((Inputs!$G$5:$G$170="moeda")+(Inputs!$G$5:$G$170="acoes"))*Inputs!$B$1+((Inputs!$G$5:$G$170&lt;&gt;"moeda")*(Inputs!$G$5:$G$170&lt;&gt;"acoes")))*INDEX(Inputs!$K$5:$AJ$170,0,MATCH(Z$2,Inputs!$K$4:$AJ$4,0)))+SUMPRODUCT((Inputs!$E$5:$E$170=$B28)*Inputs!$F$5:$F$170*(((Inputs!$G$5:$G$170="moeda")+(Inputs!$G$5:$G$170="acoes"))*Inputs!$B$1+((Inputs!$G$5:$G$170&lt;&gt;"moeda")*(Inputs!$G$5:$G$170&lt;&gt;"acoes")))*INDEX(Inputs!$K$5:$AJ$170,0,MATCH(Z$2,Inputs!$K$4:$AJ$4,0)))))</f>
        <v>4425.851</v>
      </c>
      <c r="AA28" s="6">
        <f>IF(ISNA(MATCH(AA$2,Inputs!$K$4:$AJ$4,0)),NA(),IF(SUMPRODUCT((Inputs!$A$5:$A$170=$B28)*ISNUMBER(INDEX(Inputs!$K$5:$AJ$170,0,MATCH(AA$2,Inputs!$K$4:$AJ$4,0))))+SUMPRODUCT((Inputs!$C$5:$C$170=$B28)*ISNUMBER(INDEX(Inputs!$K$5:$AJ$170,0,MATCH(AA$2,Inputs!$K$4:$AJ$4,0))))+SUMPRODUCT((Inputs!$E$5:$E$170=$B28)*ISNUMBER(INDEX(Inputs!$K$5:$AJ$170,0,MATCH(AA$2,Inputs!$K$4:$AJ$4,0))))=0,NA(),SUMPRODUCT((Inputs!$A$5:$A$170=$B28)*Inputs!$B$5:$B$170*(((Inputs!$G$5:$G$170="moeda")+(Inputs!$G$5:$G$170="acoes"))*Inputs!$B$1+((Inputs!$G$5:$G$170&lt;&gt;"moeda")*(Inputs!$G$5:$G$170&lt;&gt;"acoes")))*INDEX(Inputs!$K$5:$AJ$170,0,MATCH(AA$2,Inputs!$K$4:$AJ$4,0)))+SUMPRODUCT((Inputs!$C$5:$C$170=$B28)*Inputs!$D$5:$D$170*(((Inputs!$G$5:$G$170="moeda")+(Inputs!$G$5:$G$170="acoes"))*Inputs!$B$1+((Inputs!$G$5:$G$170&lt;&gt;"moeda")*(Inputs!$G$5:$G$170&lt;&gt;"acoes")))*INDEX(Inputs!$K$5:$AJ$170,0,MATCH(AA$2,Inputs!$K$4:$AJ$4,0)))+SUMPRODUCT((Inputs!$E$5:$E$170=$B28)*Inputs!$F$5:$F$170*(((Inputs!$G$5:$G$170="moeda")+(Inputs!$G$5:$G$170="acoes"))*Inputs!$B$1+((Inputs!$G$5:$G$170&lt;&gt;"moeda")*(Inputs!$G$5:$G$170&lt;&gt;"acoes")))*INDEX(Inputs!$K$5:$AJ$170,0,MATCH(AA$2,Inputs!$K$4:$AJ$4,0)))))</f>
        <v>5854.754</v>
      </c>
      <c r="AB28" s="3">
        <f>AA28</f>
        <v>5854.754</v>
      </c>
      <c r="AC28" s="6">
        <f>IF(ISNA(MATCH(AC$2,Inputs!$K$4:$AJ$4,0)),NA(),IF(SUMPRODUCT((Inputs!$A$5:$A$170=$B28)*ISNUMBER(INDEX(Inputs!$K$5:$AJ$170,0,MATCH(AC$2,Inputs!$K$4:$AJ$4,0))))+SUMPRODUCT((Inputs!$C$5:$C$170=$B28)*ISNUMBER(INDEX(Inputs!$K$5:$AJ$170,0,MATCH(AC$2,Inputs!$K$4:$AJ$4,0))))+SUMPRODUCT((Inputs!$E$5:$E$170=$B28)*ISNUMBER(INDEX(Inputs!$K$5:$AJ$170,0,MATCH(AC$2,Inputs!$K$4:$AJ$4,0))))=0,NA(),SUMPRODUCT((Inputs!$A$5:$A$170=$B28)*Inputs!$B$5:$B$170*(((Inputs!$G$5:$G$170="moeda")+(Inputs!$G$5:$G$170="acoes"))*Inputs!$B$1+((Inputs!$G$5:$G$170&lt;&gt;"moeda")*(Inputs!$G$5:$G$170&lt;&gt;"acoes")))*INDEX(Inputs!$K$5:$AJ$170,0,MATCH(AC$2,Inputs!$K$4:$AJ$4,0)))+SUMPRODUCT((Inputs!$C$5:$C$170=$B28)*Inputs!$D$5:$D$170*(((Inputs!$G$5:$G$170="moeda")+(Inputs!$G$5:$G$170="acoes"))*Inputs!$B$1+((Inputs!$G$5:$G$170&lt;&gt;"moeda")*(Inputs!$G$5:$G$170&lt;&gt;"acoes")))*INDEX(Inputs!$K$5:$AJ$170,0,MATCH(AC$2,Inputs!$K$4:$AJ$4,0)))+SUMPRODUCT((Inputs!$E$5:$E$170=$B28)*Inputs!$F$5:$F$170*(((Inputs!$G$5:$G$170="moeda")+(Inputs!$G$5:$G$170="acoes"))*Inputs!$B$1+((Inputs!$G$5:$G$170&lt;&gt;"moeda")*(Inputs!$G$5:$G$170&lt;&gt;"acoes")))*INDEX(Inputs!$K$5:$AJ$170,0,MATCH(AC$2,Inputs!$K$4:$AJ$4,0)))))</f>
        <v>5026.274</v>
      </c>
      <c r="AD28" s="6">
        <f>IF(ISNA(MATCH(AD$2,Inputs!$K$4:$AJ$4,0)),NA(),IF(SUMPRODUCT((Inputs!$A$5:$A$170=$B28)*ISNUMBER(INDEX(Inputs!$K$5:$AJ$170,0,MATCH(AD$2,Inputs!$K$4:$AJ$4,0))))+SUMPRODUCT((Inputs!$C$5:$C$170=$B28)*ISNUMBER(INDEX(Inputs!$K$5:$AJ$170,0,MATCH(AD$2,Inputs!$K$4:$AJ$4,0))))+SUMPRODUCT((Inputs!$E$5:$E$170=$B28)*ISNUMBER(INDEX(Inputs!$K$5:$AJ$170,0,MATCH(AD$2,Inputs!$K$4:$AJ$4,0))))=0,NA(),SUMPRODUCT((Inputs!$A$5:$A$170=$B28)*Inputs!$B$5:$B$170*(((Inputs!$G$5:$G$170="moeda")+(Inputs!$G$5:$G$170="acoes"))*Inputs!$B$1+((Inputs!$G$5:$G$170&lt;&gt;"moeda")*(Inputs!$G$5:$G$170&lt;&gt;"acoes")))*INDEX(Inputs!$K$5:$AJ$170,0,MATCH(AD$2,Inputs!$K$4:$AJ$4,0)))+SUMPRODUCT((Inputs!$C$5:$C$170=$B28)*Inputs!$D$5:$D$170*(((Inputs!$G$5:$G$170="moeda")+(Inputs!$G$5:$G$170="acoes"))*Inputs!$B$1+((Inputs!$G$5:$G$170&lt;&gt;"moeda")*(Inputs!$G$5:$G$170&lt;&gt;"acoes")))*INDEX(Inputs!$K$5:$AJ$170,0,MATCH(AD$2,Inputs!$K$4:$AJ$4,0)))+SUMPRODUCT((Inputs!$E$5:$E$170=$B28)*Inputs!$F$5:$F$170*(((Inputs!$G$5:$G$170="moeda")+(Inputs!$G$5:$G$170="acoes"))*Inputs!$B$1+((Inputs!$G$5:$G$170&lt;&gt;"moeda")*(Inputs!$G$5:$G$170&lt;&gt;"acoes")))*INDEX(Inputs!$K$5:$AJ$170,0,MATCH(AD$2,Inputs!$K$4:$AJ$4,0)))))</f>
        <v>5451.752</v>
      </c>
      <c r="AE28" s="6" t="e">
        <f>IF(ISNA(MATCH(AE$2,Inputs!$K$4:$AJ$4,0)),NA(),IF(SUMPRODUCT((Inputs!$A$5:$A$170=$B28)*ISNUMBER(INDEX(Inputs!$K$5:$AJ$170,0,MATCH(AE$2,Inputs!$K$4:$AJ$4,0))))+SUMPRODUCT((Inputs!$C$5:$C$170=$B28)*ISNUMBER(INDEX(Inputs!$K$5:$AJ$170,0,MATCH(AE$2,Inputs!$K$4:$AJ$4,0))))+SUMPRODUCT((Inputs!$E$5:$E$170=$B28)*ISNUMBER(INDEX(Inputs!$K$5:$AJ$170,0,MATCH(AE$2,Inputs!$K$4:$AJ$4,0))))=0,NA(),SUMPRODUCT((Inputs!$A$5:$A$170=$B28)*Inputs!$B$5:$B$170*(((Inputs!$G$5:$G$170="moeda")+(Inputs!$G$5:$G$170="acoes"))*Inputs!$B$1+((Inputs!$G$5:$G$170&lt;&gt;"moeda")*(Inputs!$G$5:$G$170&lt;&gt;"acoes")))*INDEX(Inputs!$K$5:$AJ$170,0,MATCH(AE$2,Inputs!$K$4:$AJ$4,0)))+SUMPRODUCT((Inputs!$C$5:$C$170=$B28)*Inputs!$D$5:$D$170*(((Inputs!$G$5:$G$170="moeda")+(Inputs!$G$5:$G$170="acoes"))*Inputs!$B$1+((Inputs!$G$5:$G$170&lt;&gt;"moeda")*(Inputs!$G$5:$G$170&lt;&gt;"acoes")))*INDEX(Inputs!$K$5:$AJ$170,0,MATCH(AE$2,Inputs!$K$4:$AJ$4,0)))+SUMPRODUCT((Inputs!$E$5:$E$170=$B28)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8" s="6" t="e">
        <f>IF(ISNA(MATCH(AF$2,Inputs!$K$4:$AJ$4,0)),NA(),IF(SUMPRODUCT((Inputs!$A$5:$A$170=$B28)*ISNUMBER(INDEX(Inputs!$K$5:$AJ$170,0,MATCH(AF$2,Inputs!$K$4:$AJ$4,0))))+SUMPRODUCT((Inputs!$C$5:$C$170=$B28)*ISNUMBER(INDEX(Inputs!$K$5:$AJ$170,0,MATCH(AF$2,Inputs!$K$4:$AJ$4,0))))+SUMPRODUCT((Inputs!$E$5:$E$170=$B28)*ISNUMBER(INDEX(Inputs!$K$5:$AJ$170,0,MATCH(AF$2,Inputs!$K$4:$AJ$4,0))))=0,NA(),SUMPRODUCT((Inputs!$A$5:$A$170=$B28)*Inputs!$B$5:$B$170*(((Inputs!$G$5:$G$170="moeda")+(Inputs!$G$5:$G$170="acoes"))*Inputs!$B$1+((Inputs!$G$5:$G$170&lt;&gt;"moeda")*(Inputs!$G$5:$G$170&lt;&gt;"acoes")))*INDEX(Inputs!$K$5:$AJ$170,0,MATCH(AF$2,Inputs!$K$4:$AJ$4,0)))+SUMPRODUCT((Inputs!$C$5:$C$170=$B28)*Inputs!$D$5:$D$170*(((Inputs!$G$5:$G$170="moeda")+(Inputs!$G$5:$G$170="acoes"))*Inputs!$B$1+((Inputs!$G$5:$G$170&lt;&gt;"moeda")*(Inputs!$G$5:$G$170&lt;&gt;"acoes")))*INDEX(Inputs!$K$5:$AJ$170,0,MATCH(AF$2,Inputs!$K$4:$AJ$4,0)))+SUMPRODUCT((Inputs!$E$5:$E$170=$B28)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8" s="3" t="e">
        <f>AF28</f>
        <v>#N/A</v>
      </c>
      <c r="AH28" s="6">
        <f>IF(ISNA(MATCH(AH$2,Inputs!$K$4:$AJ$4,0)),NA(),IF(SUMPRODUCT((Inputs!$A$5:$A$170=$B28)*ISNUMBER(INDEX(Inputs!$K$5:$AJ$170,0,MATCH(AH$2,Inputs!$K$4:$AJ$4,0))))+SUMPRODUCT((Inputs!$C$5:$C$170=$B28)*ISNUMBER(INDEX(Inputs!$K$5:$AJ$170,0,MATCH(AH$2,Inputs!$K$4:$AJ$4,0))))+SUMPRODUCT((Inputs!$E$5:$E$170=$B28)*ISNUMBER(INDEX(Inputs!$K$5:$AJ$170,0,MATCH(AH$2,Inputs!$K$4:$AJ$4,0))))=0,NA(),SUMPRODUCT((Inputs!$A$5:$A$170=$B28)*Inputs!$B$5:$B$170*(((Inputs!$G$5:$G$170="moeda")+(Inputs!$G$5:$G$170="acoes"))*Inputs!$B$1+((Inputs!$G$5:$G$170&lt;&gt;"moeda")*(Inputs!$G$5:$G$170&lt;&gt;"acoes")))*INDEX(Inputs!$K$5:$AJ$170,0,MATCH(AH$2,Inputs!$K$4:$AJ$4,0)))+SUMPRODUCT((Inputs!$C$5:$C$170=$B28)*Inputs!$D$5:$D$170*(((Inputs!$G$5:$G$170="moeda")+(Inputs!$G$5:$G$170="acoes"))*Inputs!$B$1+((Inputs!$G$5:$G$170&lt;&gt;"moeda")*(Inputs!$G$5:$G$170&lt;&gt;"acoes")))*INDEX(Inputs!$K$5:$AJ$170,0,MATCH(AH$2,Inputs!$K$4:$AJ$4,0)))+SUMPRODUCT((Inputs!$E$5:$E$170=$B28)*Inputs!$F$5:$F$170*(((Inputs!$G$5:$G$170="moeda")+(Inputs!$G$5:$G$170="acoes"))*Inputs!$B$1+((Inputs!$G$5:$G$170&lt;&gt;"moeda")*(Inputs!$G$5:$G$170&lt;&gt;"acoes")))*INDEX(Inputs!$K$5:$AJ$170,0,MATCH(AH$2,Inputs!$K$4:$AJ$4,0)))))</f>
        <v>1479.83</v>
      </c>
      <c r="AI28" s="6">
        <f>IF(ISNA(MATCH(AI$2,Inputs!$K$4:$AJ$4,0)),NA(),IF(SUMPRODUCT((Inputs!$A$5:$A$170=$B28)*ISNUMBER(INDEX(Inputs!$K$5:$AJ$170,0,MATCH(AI$2,Inputs!$K$4:$AJ$4,0))))+SUMPRODUCT((Inputs!$C$5:$C$170=$B28)*ISNUMBER(INDEX(Inputs!$K$5:$AJ$170,0,MATCH(AI$2,Inputs!$K$4:$AJ$4,0))))+SUMPRODUCT((Inputs!$E$5:$E$170=$B28)*ISNUMBER(INDEX(Inputs!$K$5:$AJ$170,0,MATCH(AI$2,Inputs!$K$4:$AJ$4,0))))=0,NA(),SUMPRODUCT((Inputs!$A$5:$A$170=$B28)*Inputs!$B$5:$B$170*(((Inputs!$G$5:$G$170="moeda")+(Inputs!$G$5:$G$170="acoes"))*Inputs!$B$1+((Inputs!$G$5:$G$170&lt;&gt;"moeda")*(Inputs!$G$5:$G$170&lt;&gt;"acoes")))*INDEX(Inputs!$K$5:$AJ$170,0,MATCH(AI$2,Inputs!$K$4:$AJ$4,0)))+SUMPRODUCT((Inputs!$C$5:$C$170=$B28)*Inputs!$D$5:$D$170*(((Inputs!$G$5:$G$170="moeda")+(Inputs!$G$5:$G$170="acoes"))*Inputs!$B$1+((Inputs!$G$5:$G$170&lt;&gt;"moeda")*(Inputs!$G$5:$G$170&lt;&gt;"acoes")))*INDEX(Inputs!$K$5:$AJ$170,0,MATCH(AI$2,Inputs!$K$4:$AJ$4,0)))+SUMPRODUCT((Inputs!$E$5:$E$170=$B28)*Inputs!$F$5:$F$170*(((Inputs!$G$5:$G$170="moeda")+(Inputs!$G$5:$G$170="acoes"))*Inputs!$B$1+((Inputs!$G$5:$G$170&lt;&gt;"moeda")*(Inputs!$G$5:$G$170&lt;&gt;"acoes")))*INDEX(Inputs!$K$5:$AJ$170,0,MATCH(AI$2,Inputs!$K$4:$AJ$4,0)))))</f>
        <v>727.185</v>
      </c>
      <c r="AJ28" s="6">
        <f>IF(ISNA(MATCH(AJ$2,Inputs!$K$4:$AJ$4,0)),NA(),IF(SUMPRODUCT((Inputs!$A$5:$A$170=$B28)*ISNUMBER(INDEX(Inputs!$K$5:$AJ$170,0,MATCH(AJ$2,Inputs!$K$4:$AJ$4,0))))+SUMPRODUCT((Inputs!$C$5:$C$170=$B28)*ISNUMBER(INDEX(Inputs!$K$5:$AJ$170,0,MATCH(AJ$2,Inputs!$K$4:$AJ$4,0))))+SUMPRODUCT((Inputs!$E$5:$E$170=$B28)*ISNUMBER(INDEX(Inputs!$K$5:$AJ$170,0,MATCH(AJ$2,Inputs!$K$4:$AJ$4,0))))=0,NA(),SUMPRODUCT((Inputs!$A$5:$A$170=$B28)*Inputs!$B$5:$B$170*(((Inputs!$G$5:$G$170="moeda")+(Inputs!$G$5:$G$170="acoes"))*Inputs!$B$1+((Inputs!$G$5:$G$170&lt;&gt;"moeda")*(Inputs!$G$5:$G$170&lt;&gt;"acoes")))*INDEX(Inputs!$K$5:$AJ$170,0,MATCH(AJ$2,Inputs!$K$4:$AJ$4,0)))+SUMPRODUCT((Inputs!$C$5:$C$170=$B28)*Inputs!$D$5:$D$170*(((Inputs!$G$5:$G$170="moeda")+(Inputs!$G$5:$G$170="acoes"))*Inputs!$B$1+((Inputs!$G$5:$G$170&lt;&gt;"moeda")*(Inputs!$G$5:$G$170&lt;&gt;"acoes")))*INDEX(Inputs!$K$5:$AJ$170,0,MATCH(AJ$2,Inputs!$K$4:$AJ$4,0)))+SUMPRODUCT((Inputs!$E$5:$E$170=$B28)*Inputs!$F$5:$F$170*(((Inputs!$G$5:$G$170="moeda")+(Inputs!$G$5:$G$170="acoes"))*Inputs!$B$1+((Inputs!$G$5:$G$170&lt;&gt;"moeda")*(Inputs!$G$5:$G$170&lt;&gt;"acoes")))*INDEX(Inputs!$K$5:$AJ$170,0,MATCH(AJ$2,Inputs!$K$4:$AJ$4,0)))))</f>
        <v>1142.946</v>
      </c>
      <c r="AK28" s="6">
        <f>IF(ISNA(MATCH(AK$2,Inputs!$K$4:$AJ$4,0)),NA(),IF(SUMPRODUCT((Inputs!$A$5:$A$170=$B28)*ISNUMBER(INDEX(Inputs!$K$5:$AJ$170,0,MATCH(AK$2,Inputs!$K$4:$AJ$4,0))))+SUMPRODUCT((Inputs!$C$5:$C$170=$B28)*ISNUMBER(INDEX(Inputs!$K$5:$AJ$170,0,MATCH(AK$2,Inputs!$K$4:$AJ$4,0))))+SUMPRODUCT((Inputs!$E$5:$E$170=$B28)*ISNUMBER(INDEX(Inputs!$K$5:$AJ$170,0,MATCH(AK$2,Inputs!$K$4:$AJ$4,0))))=0,NA(),SUMPRODUCT((Inputs!$A$5:$A$170=$B28)*Inputs!$B$5:$B$170*(((Inputs!$G$5:$G$170="moeda")+(Inputs!$G$5:$G$170="acoes"))*Inputs!$B$1+((Inputs!$G$5:$G$170&lt;&gt;"moeda")*(Inputs!$G$5:$G$170&lt;&gt;"acoes")))*INDEX(Inputs!$K$5:$AJ$170,0,MATCH(AK$2,Inputs!$K$4:$AJ$4,0)))+SUMPRODUCT((Inputs!$C$5:$C$170=$B28)*Inputs!$D$5:$D$170*(((Inputs!$G$5:$G$170="moeda")+(Inputs!$G$5:$G$170="acoes"))*Inputs!$B$1+((Inputs!$G$5:$G$170&lt;&gt;"moeda")*(Inputs!$G$5:$G$170&lt;&gt;"acoes")))*INDEX(Inputs!$K$5:$AJ$170,0,MATCH(AK$2,Inputs!$K$4:$AJ$4,0)))+SUMPRODUCT((Inputs!$E$5:$E$170=$B28)*Inputs!$F$5:$F$170*(((Inputs!$G$5:$G$170="moeda")+(Inputs!$G$5:$G$170="acoes"))*Inputs!$B$1+((Inputs!$G$5:$G$170&lt;&gt;"moeda")*(Inputs!$G$5:$G$170&lt;&gt;"acoes")))*INDEX(Inputs!$K$5:$AJ$170,0,MATCH(AK$2,Inputs!$K$4:$AJ$4,0)))))</f>
        <v>1172.715</v>
      </c>
      <c r="AL28" s="3">
        <f>AK28</f>
        <v>1172.715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$170=$B29)*ISNUMBER(INDEX(Inputs!$K$5:$AJ$170,0,MATCH(D$2,Inputs!$K$4:$AJ$4,0))))+SUMPRODUCT((Inputs!$C$5:$C$170=$B29)*ISNUMBER(INDEX(Inputs!$K$5:$AJ$170,0,MATCH(D$2,Inputs!$K$4:$AJ$4,0))))+SUMPRODUCT((Inputs!$E$5:$E$170=$B29)*ISNUMBER(INDEX(Inputs!$K$5:$AJ$170,0,MATCH(D$2,Inputs!$K$4:$AJ$4,0))))=0,NA(),SUMPRODUCT((Inputs!$A$5:$A$170=$B29)*Inputs!$B$5:$B$170*(((Inputs!$G$5:$G$170="moeda")+(Inputs!$G$5:$G$170="acoes"))*Inputs!$B$1+((Inputs!$G$5:$G$170&lt;&gt;"moeda")*(Inputs!$G$5:$G$170&lt;&gt;"acoes")))*INDEX(Inputs!$K$5:$AJ$170,0,MATCH(D$2,Inputs!$K$4:$AJ$4,0)))+SUMPRODUCT((Inputs!$C$5:$C$170=$B29)*Inputs!$D$5:$D$170*(((Inputs!$G$5:$G$170="moeda")+(Inputs!$G$5:$G$170="acoes"))*Inputs!$B$1+((Inputs!$G$5:$G$170&lt;&gt;"moeda")*(Inputs!$G$5:$G$170&lt;&gt;"acoes")))*INDEX(Inputs!$K$5:$AJ$170,0,MATCH(D$2,Inputs!$K$4:$AJ$4,0)))+SUMPRODUCT((Inputs!$E$5:$E$170=$B29)*Inputs!$F$5:$F$170*(((Inputs!$G$5:$G$170="moeda")+(Inputs!$G$5:$G$170="acoes"))*Inputs!$B$1+((Inputs!$G$5:$G$170&lt;&gt;"moeda")*(Inputs!$G$5:$G$170&lt;&gt;"acoes")))*INDEX(Inputs!$K$5:$AJ$170,0,MATCH(D$2,Inputs!$K$4:$AJ$4,0)))))</f>
        <v>60.032</v>
      </c>
      <c r="E29" s="6">
        <f>IF(ISNA(MATCH(E$2,Inputs!$K$4:$AJ$4,0)),NA(),IF(SUMPRODUCT((Inputs!$A$5:$A$170=$B29)*ISNUMBER(INDEX(Inputs!$K$5:$AJ$170,0,MATCH(E$2,Inputs!$K$4:$AJ$4,0))))+SUMPRODUCT((Inputs!$C$5:$C$170=$B29)*ISNUMBER(INDEX(Inputs!$K$5:$AJ$170,0,MATCH(E$2,Inputs!$K$4:$AJ$4,0))))+SUMPRODUCT((Inputs!$E$5:$E$170=$B29)*ISNUMBER(INDEX(Inputs!$K$5:$AJ$170,0,MATCH(E$2,Inputs!$K$4:$AJ$4,0))))=0,NA(),SUMPRODUCT((Inputs!$A$5:$A$170=$B29)*Inputs!$B$5:$B$170*(((Inputs!$G$5:$G$170="moeda")+(Inputs!$G$5:$G$170="acoes"))*Inputs!$B$1+((Inputs!$G$5:$G$170&lt;&gt;"moeda")*(Inputs!$G$5:$G$170&lt;&gt;"acoes")))*INDEX(Inputs!$K$5:$AJ$170,0,MATCH(E$2,Inputs!$K$4:$AJ$4,0)))+SUMPRODUCT((Inputs!$C$5:$C$170=$B29)*Inputs!$D$5:$D$170*(((Inputs!$G$5:$G$170="moeda")+(Inputs!$G$5:$G$170="acoes"))*Inputs!$B$1+((Inputs!$G$5:$G$170&lt;&gt;"moeda")*(Inputs!$G$5:$G$170&lt;&gt;"acoes")))*INDEX(Inputs!$K$5:$AJ$170,0,MATCH(E$2,Inputs!$K$4:$AJ$4,0)))+SUMPRODUCT((Inputs!$E$5:$E$170=$B29)*Inputs!$F$5:$F$170*(((Inputs!$G$5:$G$170="moeda")+(Inputs!$G$5:$G$170="acoes"))*Inputs!$B$1+((Inputs!$G$5:$G$170&lt;&gt;"moeda")*(Inputs!$G$5:$G$170&lt;&gt;"acoes")))*INDEX(Inputs!$K$5:$AJ$170,0,MATCH(E$2,Inputs!$K$4:$AJ$4,0)))))</f>
        <v>70.925</v>
      </c>
      <c r="F29" s="6">
        <f>IF(ISNA(MATCH(F$2,Inputs!$K$4:$AJ$4,0)),NA(),IF(SUMPRODUCT((Inputs!$A$5:$A$170=$B29)*ISNUMBER(INDEX(Inputs!$K$5:$AJ$170,0,MATCH(F$2,Inputs!$K$4:$AJ$4,0))))+SUMPRODUCT((Inputs!$C$5:$C$170=$B29)*ISNUMBER(INDEX(Inputs!$K$5:$AJ$170,0,MATCH(F$2,Inputs!$K$4:$AJ$4,0))))+SUMPRODUCT((Inputs!$E$5:$E$170=$B29)*ISNUMBER(INDEX(Inputs!$K$5:$AJ$170,0,MATCH(F$2,Inputs!$K$4:$AJ$4,0))))=0,NA(),SUMPRODUCT((Inputs!$A$5:$A$170=$B29)*Inputs!$B$5:$B$170*(((Inputs!$G$5:$G$170="moeda")+(Inputs!$G$5:$G$170="acoes"))*Inputs!$B$1+((Inputs!$G$5:$G$170&lt;&gt;"moeda")*(Inputs!$G$5:$G$170&lt;&gt;"acoes")))*INDEX(Inputs!$K$5:$AJ$170,0,MATCH(F$2,Inputs!$K$4:$AJ$4,0)))+SUMPRODUCT((Inputs!$C$5:$C$170=$B29)*Inputs!$D$5:$D$170*(((Inputs!$G$5:$G$170="moeda")+(Inputs!$G$5:$G$170="acoes"))*Inputs!$B$1+((Inputs!$G$5:$G$170&lt;&gt;"moeda")*(Inputs!$G$5:$G$170&lt;&gt;"acoes")))*INDEX(Inputs!$K$5:$AJ$170,0,MATCH(F$2,Inputs!$K$4:$AJ$4,0)))+SUMPRODUCT((Inputs!$E$5:$E$170=$B29)*Inputs!$F$5:$F$170*(((Inputs!$G$5:$G$170="moeda")+(Inputs!$G$5:$G$170="acoes"))*Inputs!$B$1+((Inputs!$G$5:$G$170&lt;&gt;"moeda")*(Inputs!$G$5:$G$170&lt;&gt;"acoes")))*INDEX(Inputs!$K$5:$AJ$170,0,MATCH(F$2,Inputs!$K$4:$AJ$4,0)))))</f>
        <v>73.609</v>
      </c>
      <c r="G29" s="6">
        <f>IF(ISNA(MATCH(G$2,Inputs!$K$4:$AJ$4,0)),NA(),IF(SUMPRODUCT((Inputs!$A$5:$A$170=$B29)*ISNUMBER(INDEX(Inputs!$K$5:$AJ$170,0,MATCH(G$2,Inputs!$K$4:$AJ$4,0))))+SUMPRODUCT((Inputs!$C$5:$C$170=$B29)*ISNUMBER(INDEX(Inputs!$K$5:$AJ$170,0,MATCH(G$2,Inputs!$K$4:$AJ$4,0))))+SUMPRODUCT((Inputs!$E$5:$E$170=$B29)*ISNUMBER(INDEX(Inputs!$K$5:$AJ$170,0,MATCH(G$2,Inputs!$K$4:$AJ$4,0))))=0,NA(),SUMPRODUCT((Inputs!$A$5:$A$170=$B29)*Inputs!$B$5:$B$170*(((Inputs!$G$5:$G$170="moeda")+(Inputs!$G$5:$G$170="acoes"))*Inputs!$B$1+((Inputs!$G$5:$G$170&lt;&gt;"moeda")*(Inputs!$G$5:$G$170&lt;&gt;"acoes")))*INDEX(Inputs!$K$5:$AJ$170,0,MATCH(G$2,Inputs!$K$4:$AJ$4,0)))+SUMPRODUCT((Inputs!$C$5:$C$170=$B29)*Inputs!$D$5:$D$170*(((Inputs!$G$5:$G$170="moeda")+(Inputs!$G$5:$G$170="acoes"))*Inputs!$B$1+((Inputs!$G$5:$G$170&lt;&gt;"moeda")*(Inputs!$G$5:$G$170&lt;&gt;"acoes")))*INDEX(Inputs!$K$5:$AJ$170,0,MATCH(G$2,Inputs!$K$4:$AJ$4,0)))+SUMPRODUCT((Inputs!$E$5:$E$170=$B29)*Inputs!$F$5:$F$170*(((Inputs!$G$5:$G$170="moeda")+(Inputs!$G$5:$G$170="acoes"))*Inputs!$B$1+((Inputs!$G$5:$G$170&lt;&gt;"moeda")*(Inputs!$G$5:$G$170&lt;&gt;"acoes")))*INDEX(Inputs!$K$5:$AJ$170,0,MATCH(G$2,Inputs!$K$4:$AJ$4,0)))))</f>
        <v>66.977</v>
      </c>
      <c r="H29" s="3">
        <f>G29</f>
        <v>66.977</v>
      </c>
      <c r="I29" s="6">
        <f>IF(ISNA(MATCH(I$2,Inputs!$K$4:$AJ$4,0)),NA(),IF(SUMPRODUCT((Inputs!$A$5:$A$170=$B29)*ISNUMBER(INDEX(Inputs!$K$5:$AJ$170,0,MATCH(I$2,Inputs!$K$4:$AJ$4,0))))+SUMPRODUCT((Inputs!$C$5:$C$170=$B29)*ISNUMBER(INDEX(Inputs!$K$5:$AJ$170,0,MATCH(I$2,Inputs!$K$4:$AJ$4,0))))+SUMPRODUCT((Inputs!$E$5:$E$170=$B29)*ISNUMBER(INDEX(Inputs!$K$5:$AJ$170,0,MATCH(I$2,Inputs!$K$4:$AJ$4,0))))=0,NA(),SUMPRODUCT((Inputs!$A$5:$A$170=$B29)*Inputs!$B$5:$B$170*(((Inputs!$G$5:$G$170="moeda")+(Inputs!$G$5:$G$170="acoes"))*Inputs!$B$1+((Inputs!$G$5:$G$170&lt;&gt;"moeda")*(Inputs!$G$5:$G$170&lt;&gt;"acoes")))*INDEX(Inputs!$K$5:$AJ$170,0,MATCH(I$2,Inputs!$K$4:$AJ$4,0)))+SUMPRODUCT((Inputs!$C$5:$C$170=$B29)*Inputs!$D$5:$D$170*(((Inputs!$G$5:$G$170="moeda")+(Inputs!$G$5:$G$170="acoes"))*Inputs!$B$1+((Inputs!$G$5:$G$170&lt;&gt;"moeda")*(Inputs!$G$5:$G$170&lt;&gt;"acoes")))*INDEX(Inputs!$K$5:$AJ$170,0,MATCH(I$2,Inputs!$K$4:$AJ$4,0)))+SUMPRODUCT((Inputs!$E$5:$E$170=$B29)*Inputs!$F$5:$F$170*(((Inputs!$G$5:$G$170="moeda")+(Inputs!$G$5:$G$170="acoes"))*Inputs!$B$1+((Inputs!$G$5:$G$170&lt;&gt;"moeda")*(Inputs!$G$5:$G$170&lt;&gt;"acoes")))*INDEX(Inputs!$K$5:$AJ$170,0,MATCH(I$2,Inputs!$K$4:$AJ$4,0)))))</f>
        <v>80.682</v>
      </c>
      <c r="J29" s="6">
        <f>IF(ISNA(MATCH(J$2,Inputs!$K$4:$AJ$4,0)),NA(),IF(SUMPRODUCT((Inputs!$A$5:$A$170=$B29)*ISNUMBER(INDEX(Inputs!$K$5:$AJ$170,0,MATCH(J$2,Inputs!$K$4:$AJ$4,0))))+SUMPRODUCT((Inputs!$C$5:$C$170=$B29)*ISNUMBER(INDEX(Inputs!$K$5:$AJ$170,0,MATCH(J$2,Inputs!$K$4:$AJ$4,0))))+SUMPRODUCT((Inputs!$E$5:$E$170=$B29)*ISNUMBER(INDEX(Inputs!$K$5:$AJ$170,0,MATCH(J$2,Inputs!$K$4:$AJ$4,0))))=0,NA(),SUMPRODUCT((Inputs!$A$5:$A$170=$B29)*Inputs!$B$5:$B$170*(((Inputs!$G$5:$G$170="moeda")+(Inputs!$G$5:$G$170="acoes"))*Inputs!$B$1+((Inputs!$G$5:$G$170&lt;&gt;"moeda")*(Inputs!$G$5:$G$170&lt;&gt;"acoes")))*INDEX(Inputs!$K$5:$AJ$170,0,MATCH(J$2,Inputs!$K$4:$AJ$4,0)))+SUMPRODUCT((Inputs!$C$5:$C$170=$B29)*Inputs!$D$5:$D$170*(((Inputs!$G$5:$G$170="moeda")+(Inputs!$G$5:$G$170="acoes"))*Inputs!$B$1+((Inputs!$G$5:$G$170&lt;&gt;"moeda")*(Inputs!$G$5:$G$170&lt;&gt;"acoes")))*INDEX(Inputs!$K$5:$AJ$170,0,MATCH(J$2,Inputs!$K$4:$AJ$4,0)))+SUMPRODUCT((Inputs!$E$5:$E$170=$B29)*Inputs!$F$5:$F$170*(((Inputs!$G$5:$G$170="moeda")+(Inputs!$G$5:$G$170="acoes"))*Inputs!$B$1+((Inputs!$G$5:$G$170&lt;&gt;"moeda")*(Inputs!$G$5:$G$170&lt;&gt;"acoes")))*INDEX(Inputs!$K$5:$AJ$170,0,MATCH(J$2,Inputs!$K$4:$AJ$4,0)))))</f>
        <v>75.787</v>
      </c>
      <c r="K29" s="6">
        <f>IF(ISNA(MATCH(K$2,Inputs!$K$4:$AJ$4,0)),NA(),IF(SUMPRODUCT((Inputs!$A$5:$A$170=$B29)*ISNUMBER(INDEX(Inputs!$K$5:$AJ$170,0,MATCH(K$2,Inputs!$K$4:$AJ$4,0))))+SUMPRODUCT((Inputs!$C$5:$C$170=$B29)*ISNUMBER(INDEX(Inputs!$K$5:$AJ$170,0,MATCH(K$2,Inputs!$K$4:$AJ$4,0))))+SUMPRODUCT((Inputs!$E$5:$E$170=$B29)*ISNUMBER(INDEX(Inputs!$K$5:$AJ$170,0,MATCH(K$2,Inputs!$K$4:$AJ$4,0))))=0,NA(),SUMPRODUCT((Inputs!$A$5:$A$170=$B29)*Inputs!$B$5:$B$170*(((Inputs!$G$5:$G$170="moeda")+(Inputs!$G$5:$G$170="acoes"))*Inputs!$B$1+((Inputs!$G$5:$G$170&lt;&gt;"moeda")*(Inputs!$G$5:$G$170&lt;&gt;"acoes")))*INDEX(Inputs!$K$5:$AJ$170,0,MATCH(K$2,Inputs!$K$4:$AJ$4,0)))+SUMPRODUCT((Inputs!$C$5:$C$170=$B29)*Inputs!$D$5:$D$170*(((Inputs!$G$5:$G$170="moeda")+(Inputs!$G$5:$G$170="acoes"))*Inputs!$B$1+((Inputs!$G$5:$G$170&lt;&gt;"moeda")*(Inputs!$G$5:$G$170&lt;&gt;"acoes")))*INDEX(Inputs!$K$5:$AJ$170,0,MATCH(K$2,Inputs!$K$4:$AJ$4,0)))+SUMPRODUCT((Inputs!$E$5:$E$170=$B29)*Inputs!$F$5:$F$170*(((Inputs!$G$5:$G$170="moeda")+(Inputs!$G$5:$G$170="acoes"))*Inputs!$B$1+((Inputs!$G$5:$G$170&lt;&gt;"moeda")*(Inputs!$G$5:$G$170&lt;&gt;"acoes")))*INDEX(Inputs!$K$5:$AJ$170,0,MATCH(K$2,Inputs!$K$4:$AJ$4,0)))))</f>
        <v>92.79</v>
      </c>
      <c r="L29" s="6">
        <f>IF(ISNA(MATCH(L$2,Inputs!$K$4:$AJ$4,0)),NA(),IF(SUMPRODUCT((Inputs!$A$5:$A$170=$B29)*ISNUMBER(INDEX(Inputs!$K$5:$AJ$170,0,MATCH(L$2,Inputs!$K$4:$AJ$4,0))))+SUMPRODUCT((Inputs!$C$5:$C$170=$B29)*ISNUMBER(INDEX(Inputs!$K$5:$AJ$170,0,MATCH(L$2,Inputs!$K$4:$AJ$4,0))))+SUMPRODUCT((Inputs!$E$5:$E$170=$B29)*ISNUMBER(INDEX(Inputs!$K$5:$AJ$170,0,MATCH(L$2,Inputs!$K$4:$AJ$4,0))))=0,NA(),SUMPRODUCT((Inputs!$A$5:$A$170=$B29)*Inputs!$B$5:$B$170*(((Inputs!$G$5:$G$170="moeda")+(Inputs!$G$5:$G$170="acoes"))*Inputs!$B$1+((Inputs!$G$5:$G$170&lt;&gt;"moeda")*(Inputs!$G$5:$G$170&lt;&gt;"acoes")))*INDEX(Inputs!$K$5:$AJ$170,0,MATCH(L$2,Inputs!$K$4:$AJ$4,0)))+SUMPRODUCT((Inputs!$C$5:$C$170=$B29)*Inputs!$D$5:$D$170*(((Inputs!$G$5:$G$170="moeda")+(Inputs!$G$5:$G$170="acoes"))*Inputs!$B$1+((Inputs!$G$5:$G$170&lt;&gt;"moeda")*(Inputs!$G$5:$G$170&lt;&gt;"acoes")))*INDEX(Inputs!$K$5:$AJ$170,0,MATCH(L$2,Inputs!$K$4:$AJ$4,0)))+SUMPRODUCT((Inputs!$E$5:$E$170=$B29)*Inputs!$F$5:$F$170*(((Inputs!$G$5:$G$170="moeda")+(Inputs!$G$5:$G$170="acoes"))*Inputs!$B$1+((Inputs!$G$5:$G$170&lt;&gt;"moeda")*(Inputs!$G$5:$G$170&lt;&gt;"acoes")))*INDEX(Inputs!$K$5:$AJ$170,0,MATCH(L$2,Inputs!$K$4:$AJ$4,0)))))</f>
        <v>106.456</v>
      </c>
      <c r="M29" s="3">
        <f>L29</f>
        <v>106.456</v>
      </c>
      <c r="N29" s="6">
        <f>IF(ISNA(MATCH(N$2,Inputs!$K$4:$AJ$4,0)),NA(),IF(SUMPRODUCT((Inputs!$A$5:$A$170=$B29)*ISNUMBER(INDEX(Inputs!$K$5:$AJ$170,0,MATCH(N$2,Inputs!$K$4:$AJ$4,0))))+SUMPRODUCT((Inputs!$C$5:$C$170=$B29)*ISNUMBER(INDEX(Inputs!$K$5:$AJ$170,0,MATCH(N$2,Inputs!$K$4:$AJ$4,0))))+SUMPRODUCT((Inputs!$E$5:$E$170=$B29)*ISNUMBER(INDEX(Inputs!$K$5:$AJ$170,0,MATCH(N$2,Inputs!$K$4:$AJ$4,0))))=0,NA(),SUMPRODUCT((Inputs!$A$5:$A$170=$B29)*Inputs!$B$5:$B$170*(((Inputs!$G$5:$G$170="moeda")+(Inputs!$G$5:$G$170="acoes"))*Inputs!$B$1+((Inputs!$G$5:$G$170&lt;&gt;"moeda")*(Inputs!$G$5:$G$170&lt;&gt;"acoes")))*INDEX(Inputs!$K$5:$AJ$170,0,MATCH(N$2,Inputs!$K$4:$AJ$4,0)))+SUMPRODUCT((Inputs!$C$5:$C$170=$B29)*Inputs!$D$5:$D$170*(((Inputs!$G$5:$G$170="moeda")+(Inputs!$G$5:$G$170="acoes"))*Inputs!$B$1+((Inputs!$G$5:$G$170&lt;&gt;"moeda")*(Inputs!$G$5:$G$170&lt;&gt;"acoes")))*INDEX(Inputs!$K$5:$AJ$170,0,MATCH(N$2,Inputs!$K$4:$AJ$4,0)))+SUMPRODUCT((Inputs!$E$5:$E$170=$B29)*Inputs!$F$5:$F$170*(((Inputs!$G$5:$G$170="moeda")+(Inputs!$G$5:$G$170="acoes"))*Inputs!$B$1+((Inputs!$G$5:$G$170&lt;&gt;"moeda")*(Inputs!$G$5:$G$170&lt;&gt;"acoes")))*INDEX(Inputs!$K$5:$AJ$170,0,MATCH(N$2,Inputs!$K$4:$AJ$4,0)))))</f>
        <v>129.605</v>
      </c>
      <c r="O29" s="6">
        <f>IF(ISNA(MATCH(O$2,Inputs!$K$4:$AJ$4,0)),NA(),IF(SUMPRODUCT((Inputs!$A$5:$A$170=$B29)*ISNUMBER(INDEX(Inputs!$K$5:$AJ$170,0,MATCH(O$2,Inputs!$K$4:$AJ$4,0))))+SUMPRODUCT((Inputs!$C$5:$C$170=$B29)*ISNUMBER(INDEX(Inputs!$K$5:$AJ$170,0,MATCH(O$2,Inputs!$K$4:$AJ$4,0))))+SUMPRODUCT((Inputs!$E$5:$E$170=$B29)*ISNUMBER(INDEX(Inputs!$K$5:$AJ$170,0,MATCH(O$2,Inputs!$K$4:$AJ$4,0))))=0,NA(),SUMPRODUCT((Inputs!$A$5:$A$170=$B29)*Inputs!$B$5:$B$170*(((Inputs!$G$5:$G$170="moeda")+(Inputs!$G$5:$G$170="acoes"))*Inputs!$B$1+((Inputs!$G$5:$G$170&lt;&gt;"moeda")*(Inputs!$G$5:$G$170&lt;&gt;"acoes")))*INDEX(Inputs!$K$5:$AJ$170,0,MATCH(O$2,Inputs!$K$4:$AJ$4,0)))+SUMPRODUCT((Inputs!$C$5:$C$170=$B29)*Inputs!$D$5:$D$170*(((Inputs!$G$5:$G$170="moeda")+(Inputs!$G$5:$G$170="acoes"))*Inputs!$B$1+((Inputs!$G$5:$G$170&lt;&gt;"moeda")*(Inputs!$G$5:$G$170&lt;&gt;"acoes")))*INDEX(Inputs!$K$5:$AJ$170,0,MATCH(O$2,Inputs!$K$4:$AJ$4,0)))+SUMPRODUCT((Inputs!$E$5:$E$170=$B29)*Inputs!$F$5:$F$170*(((Inputs!$G$5:$G$170="moeda")+(Inputs!$G$5:$G$170="acoes"))*Inputs!$B$1+((Inputs!$G$5:$G$170&lt;&gt;"moeda")*(Inputs!$G$5:$G$170&lt;&gt;"acoes")))*INDEX(Inputs!$K$5:$AJ$170,0,MATCH(O$2,Inputs!$K$4:$AJ$4,0)))))</f>
        <v>136.441</v>
      </c>
      <c r="P29" s="6">
        <f>IF(ISNA(MATCH(P$2,Inputs!$K$4:$AJ$4,0)),NA(),IF(SUMPRODUCT((Inputs!$A$5:$A$170=$B29)*ISNUMBER(INDEX(Inputs!$K$5:$AJ$170,0,MATCH(P$2,Inputs!$K$4:$AJ$4,0))))+SUMPRODUCT((Inputs!$C$5:$C$170=$B29)*ISNUMBER(INDEX(Inputs!$K$5:$AJ$170,0,MATCH(P$2,Inputs!$K$4:$AJ$4,0))))+SUMPRODUCT((Inputs!$E$5:$E$170=$B29)*ISNUMBER(INDEX(Inputs!$K$5:$AJ$170,0,MATCH(P$2,Inputs!$K$4:$AJ$4,0))))=0,NA(),SUMPRODUCT((Inputs!$A$5:$A$170=$B29)*Inputs!$B$5:$B$170*(((Inputs!$G$5:$G$170="moeda")+(Inputs!$G$5:$G$170="acoes"))*Inputs!$B$1+((Inputs!$G$5:$G$170&lt;&gt;"moeda")*(Inputs!$G$5:$G$170&lt;&gt;"acoes")))*INDEX(Inputs!$K$5:$AJ$170,0,MATCH(P$2,Inputs!$K$4:$AJ$4,0)))+SUMPRODUCT((Inputs!$C$5:$C$170=$B29)*Inputs!$D$5:$D$170*(((Inputs!$G$5:$G$170="moeda")+(Inputs!$G$5:$G$170="acoes"))*Inputs!$B$1+((Inputs!$G$5:$G$170&lt;&gt;"moeda")*(Inputs!$G$5:$G$170&lt;&gt;"acoes")))*INDEX(Inputs!$K$5:$AJ$170,0,MATCH(P$2,Inputs!$K$4:$AJ$4,0)))+SUMPRODUCT((Inputs!$E$5:$E$170=$B29)*Inputs!$F$5:$F$170*(((Inputs!$G$5:$G$170="moeda")+(Inputs!$G$5:$G$170="acoes"))*Inputs!$B$1+((Inputs!$G$5:$G$170&lt;&gt;"moeda")*(Inputs!$G$5:$G$170&lt;&gt;"acoes")))*INDEX(Inputs!$K$5:$AJ$170,0,MATCH(P$2,Inputs!$K$4:$AJ$4,0)))))</f>
        <v>151.666</v>
      </c>
      <c r="Q29" s="6">
        <f>IF(ISNA(MATCH(Q$2,Inputs!$K$4:$AJ$4,0)),NA(),IF(SUMPRODUCT((Inputs!$A$5:$A$170=$B29)*ISNUMBER(INDEX(Inputs!$K$5:$AJ$170,0,MATCH(Q$2,Inputs!$K$4:$AJ$4,0))))+SUMPRODUCT((Inputs!$C$5:$C$170=$B29)*ISNUMBER(INDEX(Inputs!$K$5:$AJ$170,0,MATCH(Q$2,Inputs!$K$4:$AJ$4,0))))+SUMPRODUCT((Inputs!$E$5:$E$170=$B29)*ISNUMBER(INDEX(Inputs!$K$5:$AJ$170,0,MATCH(Q$2,Inputs!$K$4:$AJ$4,0))))=0,NA(),SUMPRODUCT((Inputs!$A$5:$A$170=$B29)*Inputs!$B$5:$B$170*(((Inputs!$G$5:$G$170="moeda")+(Inputs!$G$5:$G$170="acoes"))*Inputs!$B$1+((Inputs!$G$5:$G$170&lt;&gt;"moeda")*(Inputs!$G$5:$G$170&lt;&gt;"acoes")))*INDEX(Inputs!$K$5:$AJ$170,0,MATCH(Q$2,Inputs!$K$4:$AJ$4,0)))+SUMPRODUCT((Inputs!$C$5:$C$170=$B29)*Inputs!$D$5:$D$170*(((Inputs!$G$5:$G$170="moeda")+(Inputs!$G$5:$G$170="acoes"))*Inputs!$B$1+((Inputs!$G$5:$G$170&lt;&gt;"moeda")*(Inputs!$G$5:$G$170&lt;&gt;"acoes")))*INDEX(Inputs!$K$5:$AJ$170,0,MATCH(Q$2,Inputs!$K$4:$AJ$4,0)))+SUMPRODUCT((Inputs!$E$5:$E$170=$B29)*Inputs!$F$5:$F$170*(((Inputs!$G$5:$G$170="moeda")+(Inputs!$G$5:$G$170="acoes"))*Inputs!$B$1+((Inputs!$G$5:$G$170&lt;&gt;"moeda")*(Inputs!$G$5:$G$170&lt;&gt;"acoes")))*INDEX(Inputs!$K$5:$AJ$170,0,MATCH(Q$2,Inputs!$K$4:$AJ$4,0)))))</f>
        <v>155.655</v>
      </c>
      <c r="R29" s="3">
        <f>Q29</f>
        <v>155.655</v>
      </c>
      <c r="S29" s="6">
        <f>IF(ISNA(MATCH(S$2,Inputs!$K$4:$AJ$4,0)),NA(),IF(SUMPRODUCT((Inputs!$A$5:$A$170=$B29)*ISNUMBER(INDEX(Inputs!$K$5:$AJ$170,0,MATCH(S$2,Inputs!$K$4:$AJ$4,0))))+SUMPRODUCT((Inputs!$C$5:$C$170=$B29)*ISNUMBER(INDEX(Inputs!$K$5:$AJ$170,0,MATCH(S$2,Inputs!$K$4:$AJ$4,0))))+SUMPRODUCT((Inputs!$E$5:$E$170=$B29)*ISNUMBER(INDEX(Inputs!$K$5:$AJ$170,0,MATCH(S$2,Inputs!$K$4:$AJ$4,0))))=0,NA(),SUMPRODUCT((Inputs!$A$5:$A$170=$B29)*Inputs!$B$5:$B$170*(((Inputs!$G$5:$G$170="moeda")+(Inputs!$G$5:$G$170="acoes"))*Inputs!$B$1+((Inputs!$G$5:$G$170&lt;&gt;"moeda")*(Inputs!$G$5:$G$170&lt;&gt;"acoes")))*INDEX(Inputs!$K$5:$AJ$170,0,MATCH(S$2,Inputs!$K$4:$AJ$4,0)))+SUMPRODUCT((Inputs!$C$5:$C$170=$B29)*Inputs!$D$5:$D$170*(((Inputs!$G$5:$G$170="moeda")+(Inputs!$G$5:$G$170="acoes"))*Inputs!$B$1+((Inputs!$G$5:$G$170&lt;&gt;"moeda")*(Inputs!$G$5:$G$170&lt;&gt;"acoes")))*INDEX(Inputs!$K$5:$AJ$170,0,MATCH(S$2,Inputs!$K$4:$AJ$4,0)))+SUMPRODUCT((Inputs!$E$5:$E$170=$B29)*Inputs!$F$5:$F$170*(((Inputs!$G$5:$G$170="moeda")+(Inputs!$G$5:$G$170="acoes"))*Inputs!$B$1+((Inputs!$G$5:$G$170&lt;&gt;"moeda")*(Inputs!$G$5:$G$170&lt;&gt;"acoes")))*INDEX(Inputs!$K$5:$AJ$170,0,MATCH(S$2,Inputs!$K$4:$AJ$4,0)))))</f>
        <v>142.042</v>
      </c>
      <c r="T29" s="6">
        <f>IF(ISNA(MATCH(T$2,Inputs!$K$4:$AJ$4,0)),NA(),IF(SUMPRODUCT((Inputs!$A$5:$A$170=$B29)*ISNUMBER(INDEX(Inputs!$K$5:$AJ$170,0,MATCH(T$2,Inputs!$K$4:$AJ$4,0))))+SUMPRODUCT((Inputs!$C$5:$C$170=$B29)*ISNUMBER(INDEX(Inputs!$K$5:$AJ$170,0,MATCH(T$2,Inputs!$K$4:$AJ$4,0))))+SUMPRODUCT((Inputs!$E$5:$E$170=$B29)*ISNUMBER(INDEX(Inputs!$K$5:$AJ$170,0,MATCH(T$2,Inputs!$K$4:$AJ$4,0))))=0,NA(),SUMPRODUCT((Inputs!$A$5:$A$170=$B29)*Inputs!$B$5:$B$170*(((Inputs!$G$5:$G$170="moeda")+(Inputs!$G$5:$G$170="acoes"))*Inputs!$B$1+((Inputs!$G$5:$G$170&lt;&gt;"moeda")*(Inputs!$G$5:$G$170&lt;&gt;"acoes")))*INDEX(Inputs!$K$5:$AJ$170,0,MATCH(T$2,Inputs!$K$4:$AJ$4,0)))+SUMPRODUCT((Inputs!$C$5:$C$170=$B29)*Inputs!$D$5:$D$170*(((Inputs!$G$5:$G$170="moeda")+(Inputs!$G$5:$G$170="acoes"))*Inputs!$B$1+((Inputs!$G$5:$G$170&lt;&gt;"moeda")*(Inputs!$G$5:$G$170&lt;&gt;"acoes")))*INDEX(Inputs!$K$5:$AJ$170,0,MATCH(T$2,Inputs!$K$4:$AJ$4,0)))+SUMPRODUCT((Inputs!$E$5:$E$170=$B29)*Inputs!$F$5:$F$170*(((Inputs!$G$5:$G$170="moeda")+(Inputs!$G$5:$G$170="acoes"))*Inputs!$B$1+((Inputs!$G$5:$G$170&lt;&gt;"moeda")*(Inputs!$G$5:$G$170&lt;&gt;"acoes")))*INDEX(Inputs!$K$5:$AJ$170,0,MATCH(T$2,Inputs!$K$4:$AJ$4,0)))))</f>
        <v>120.107</v>
      </c>
      <c r="U29" s="6">
        <f>IF(ISNA(MATCH(U$2,Inputs!$K$4:$AJ$4,0)),NA(),IF(SUMPRODUCT((Inputs!$A$5:$A$170=$B29)*ISNUMBER(INDEX(Inputs!$K$5:$AJ$170,0,MATCH(U$2,Inputs!$K$4:$AJ$4,0))))+SUMPRODUCT((Inputs!$C$5:$C$170=$B29)*ISNUMBER(INDEX(Inputs!$K$5:$AJ$170,0,MATCH(U$2,Inputs!$K$4:$AJ$4,0))))+SUMPRODUCT((Inputs!$E$5:$E$170=$B29)*ISNUMBER(INDEX(Inputs!$K$5:$AJ$170,0,MATCH(U$2,Inputs!$K$4:$AJ$4,0))))=0,NA(),SUMPRODUCT((Inputs!$A$5:$A$170=$B29)*Inputs!$B$5:$B$170*(((Inputs!$G$5:$G$170="moeda")+(Inputs!$G$5:$G$170="acoes"))*Inputs!$B$1+((Inputs!$G$5:$G$170&lt;&gt;"moeda")*(Inputs!$G$5:$G$170&lt;&gt;"acoes")))*INDEX(Inputs!$K$5:$AJ$170,0,MATCH(U$2,Inputs!$K$4:$AJ$4,0)))+SUMPRODUCT((Inputs!$C$5:$C$170=$B29)*Inputs!$D$5:$D$170*(((Inputs!$G$5:$G$170="moeda")+(Inputs!$G$5:$G$170="acoes"))*Inputs!$B$1+((Inputs!$G$5:$G$170&lt;&gt;"moeda")*(Inputs!$G$5:$G$170&lt;&gt;"acoes")))*INDEX(Inputs!$K$5:$AJ$170,0,MATCH(U$2,Inputs!$K$4:$AJ$4,0)))+SUMPRODUCT((Inputs!$E$5:$E$170=$B29)*Inputs!$F$5:$F$170*(((Inputs!$G$5:$G$170="moeda")+(Inputs!$G$5:$G$170="acoes"))*Inputs!$B$1+((Inputs!$G$5:$G$170&lt;&gt;"moeda")*(Inputs!$G$5:$G$170&lt;&gt;"acoes")))*INDEX(Inputs!$K$5:$AJ$170,0,MATCH(U$2,Inputs!$K$4:$AJ$4,0)))))</f>
        <v>116.491</v>
      </c>
      <c r="V29" s="6">
        <f>IF(ISNA(MATCH(V$2,Inputs!$K$4:$AJ$4,0)),NA(),IF(SUMPRODUCT((Inputs!$A$5:$A$170=$B29)*ISNUMBER(INDEX(Inputs!$K$5:$AJ$170,0,MATCH(V$2,Inputs!$K$4:$AJ$4,0))))+SUMPRODUCT((Inputs!$C$5:$C$170=$B29)*ISNUMBER(INDEX(Inputs!$K$5:$AJ$170,0,MATCH(V$2,Inputs!$K$4:$AJ$4,0))))+SUMPRODUCT((Inputs!$E$5:$E$170=$B29)*ISNUMBER(INDEX(Inputs!$K$5:$AJ$170,0,MATCH(V$2,Inputs!$K$4:$AJ$4,0))))=0,NA(),SUMPRODUCT((Inputs!$A$5:$A$170=$B29)*Inputs!$B$5:$B$170*(((Inputs!$G$5:$G$170="moeda")+(Inputs!$G$5:$G$170="acoes"))*Inputs!$B$1+((Inputs!$G$5:$G$170&lt;&gt;"moeda")*(Inputs!$G$5:$G$170&lt;&gt;"acoes")))*INDEX(Inputs!$K$5:$AJ$170,0,MATCH(V$2,Inputs!$K$4:$AJ$4,0)))+SUMPRODUCT((Inputs!$C$5:$C$170=$B29)*Inputs!$D$5:$D$170*(((Inputs!$G$5:$G$170="moeda")+(Inputs!$G$5:$G$170="acoes"))*Inputs!$B$1+((Inputs!$G$5:$G$170&lt;&gt;"moeda")*(Inputs!$G$5:$G$170&lt;&gt;"acoes")))*INDEX(Inputs!$K$5:$AJ$170,0,MATCH(V$2,Inputs!$K$4:$AJ$4,0)))+SUMPRODUCT((Inputs!$E$5:$E$170=$B29)*Inputs!$F$5:$F$170*(((Inputs!$G$5:$G$170="moeda")+(Inputs!$G$5:$G$170="acoes"))*Inputs!$B$1+((Inputs!$G$5:$G$170&lt;&gt;"moeda")*(Inputs!$G$5:$G$170&lt;&gt;"acoes")))*INDEX(Inputs!$K$5:$AJ$170,0,MATCH(V$2,Inputs!$K$4:$AJ$4,0)))))</f>
        <v>97.953</v>
      </c>
      <c r="W29" s="3">
        <f>V29</f>
        <v>97.953</v>
      </c>
      <c r="X29" s="6">
        <f>IF(ISNA(MATCH(X$2,Inputs!$K$4:$AJ$4,0)),NA(),IF(SUMPRODUCT((Inputs!$A$5:$A$170=$B29)*ISNUMBER(INDEX(Inputs!$K$5:$AJ$170,0,MATCH(X$2,Inputs!$K$4:$AJ$4,0))))+SUMPRODUCT((Inputs!$C$5:$C$170=$B29)*ISNUMBER(INDEX(Inputs!$K$5:$AJ$170,0,MATCH(X$2,Inputs!$K$4:$AJ$4,0))))+SUMPRODUCT((Inputs!$E$5:$E$170=$B29)*ISNUMBER(INDEX(Inputs!$K$5:$AJ$170,0,MATCH(X$2,Inputs!$K$4:$AJ$4,0))))=0,NA(),SUMPRODUCT((Inputs!$A$5:$A$170=$B29)*Inputs!$B$5:$B$170*(((Inputs!$G$5:$G$170="moeda")+(Inputs!$G$5:$G$170="acoes"))*Inputs!$B$1+((Inputs!$G$5:$G$170&lt;&gt;"moeda")*(Inputs!$G$5:$G$170&lt;&gt;"acoes")))*INDEX(Inputs!$K$5:$AJ$170,0,MATCH(X$2,Inputs!$K$4:$AJ$4,0)))+SUMPRODUCT((Inputs!$C$5:$C$170=$B29)*Inputs!$D$5:$D$170*(((Inputs!$G$5:$G$170="moeda")+(Inputs!$G$5:$G$170="acoes"))*Inputs!$B$1+((Inputs!$G$5:$G$170&lt;&gt;"moeda")*(Inputs!$G$5:$G$170&lt;&gt;"acoes")))*INDEX(Inputs!$K$5:$AJ$170,0,MATCH(X$2,Inputs!$K$4:$AJ$4,0)))+SUMPRODUCT((Inputs!$E$5:$E$170=$B29)*Inputs!$F$5:$F$170*(((Inputs!$G$5:$G$170="moeda")+(Inputs!$G$5:$G$170="acoes"))*Inputs!$B$1+((Inputs!$G$5:$G$170&lt;&gt;"moeda")*(Inputs!$G$5:$G$170&lt;&gt;"acoes")))*INDEX(Inputs!$K$5:$AJ$170,0,MATCH(X$2,Inputs!$K$4:$AJ$4,0)))))</f>
        <v>95.866</v>
      </c>
      <c r="Y29" s="6">
        <f>IF(ISNA(MATCH(Y$2,Inputs!$K$4:$AJ$4,0)),NA(),IF(SUMPRODUCT((Inputs!$A$5:$A$170=$B29)*ISNUMBER(INDEX(Inputs!$K$5:$AJ$170,0,MATCH(Y$2,Inputs!$K$4:$AJ$4,0))))+SUMPRODUCT((Inputs!$C$5:$C$170=$B29)*ISNUMBER(INDEX(Inputs!$K$5:$AJ$170,0,MATCH(Y$2,Inputs!$K$4:$AJ$4,0))))+SUMPRODUCT((Inputs!$E$5:$E$170=$B29)*ISNUMBER(INDEX(Inputs!$K$5:$AJ$170,0,MATCH(Y$2,Inputs!$K$4:$AJ$4,0))))=0,NA(),SUMPRODUCT((Inputs!$A$5:$A$170=$B29)*Inputs!$B$5:$B$170*(((Inputs!$G$5:$G$170="moeda")+(Inputs!$G$5:$G$170="acoes"))*Inputs!$B$1+((Inputs!$G$5:$G$170&lt;&gt;"moeda")*(Inputs!$G$5:$G$170&lt;&gt;"acoes")))*INDEX(Inputs!$K$5:$AJ$170,0,MATCH(Y$2,Inputs!$K$4:$AJ$4,0)))+SUMPRODUCT((Inputs!$C$5:$C$170=$B29)*Inputs!$D$5:$D$170*(((Inputs!$G$5:$G$170="moeda")+(Inputs!$G$5:$G$170="acoes"))*Inputs!$B$1+((Inputs!$G$5:$G$170&lt;&gt;"moeda")*(Inputs!$G$5:$G$170&lt;&gt;"acoes")))*INDEX(Inputs!$K$5:$AJ$170,0,MATCH(Y$2,Inputs!$K$4:$AJ$4,0)))+SUMPRODUCT((Inputs!$E$5:$E$170=$B29)*Inputs!$F$5:$F$170*(((Inputs!$G$5:$G$170="moeda")+(Inputs!$G$5:$G$170="acoes"))*Inputs!$B$1+((Inputs!$G$5:$G$170&lt;&gt;"moeda")*(Inputs!$G$5:$G$170&lt;&gt;"acoes")))*INDEX(Inputs!$K$5:$AJ$170,0,MATCH(Y$2,Inputs!$K$4:$AJ$4,0)))))</f>
        <v>111.777</v>
      </c>
      <c r="Z29" s="6">
        <f>IF(ISNA(MATCH(Z$2,Inputs!$K$4:$AJ$4,0)),NA(),IF(SUMPRODUCT((Inputs!$A$5:$A$170=$B29)*ISNUMBER(INDEX(Inputs!$K$5:$AJ$170,0,MATCH(Z$2,Inputs!$K$4:$AJ$4,0))))+SUMPRODUCT((Inputs!$C$5:$C$170=$B29)*ISNUMBER(INDEX(Inputs!$K$5:$AJ$170,0,MATCH(Z$2,Inputs!$K$4:$AJ$4,0))))+SUMPRODUCT((Inputs!$E$5:$E$170=$B29)*ISNUMBER(INDEX(Inputs!$K$5:$AJ$170,0,MATCH(Z$2,Inputs!$K$4:$AJ$4,0))))=0,NA(),SUMPRODUCT((Inputs!$A$5:$A$170=$B29)*Inputs!$B$5:$B$170*(((Inputs!$G$5:$G$170="moeda")+(Inputs!$G$5:$G$170="acoes"))*Inputs!$B$1+((Inputs!$G$5:$G$170&lt;&gt;"moeda")*(Inputs!$G$5:$G$170&lt;&gt;"acoes")))*INDEX(Inputs!$K$5:$AJ$170,0,MATCH(Z$2,Inputs!$K$4:$AJ$4,0)))+SUMPRODUCT((Inputs!$C$5:$C$170=$B29)*Inputs!$D$5:$D$170*(((Inputs!$G$5:$G$170="moeda")+(Inputs!$G$5:$G$170="acoes"))*Inputs!$B$1+((Inputs!$G$5:$G$170&lt;&gt;"moeda")*(Inputs!$G$5:$G$170&lt;&gt;"acoes")))*INDEX(Inputs!$K$5:$AJ$170,0,MATCH(Z$2,Inputs!$K$4:$AJ$4,0)))+SUMPRODUCT((Inputs!$E$5:$E$170=$B29)*Inputs!$F$5:$F$170*(((Inputs!$G$5:$G$170="moeda")+(Inputs!$G$5:$G$170="acoes"))*Inputs!$B$1+((Inputs!$G$5:$G$170&lt;&gt;"moeda")*(Inputs!$G$5:$G$170&lt;&gt;"acoes")))*INDEX(Inputs!$K$5:$AJ$170,0,MATCH(Z$2,Inputs!$K$4:$AJ$4,0)))))</f>
        <v>124.925</v>
      </c>
      <c r="AA29" s="6">
        <f>IF(ISNA(MATCH(AA$2,Inputs!$K$4:$AJ$4,0)),NA(),IF(SUMPRODUCT((Inputs!$A$5:$A$170=$B29)*ISNUMBER(INDEX(Inputs!$K$5:$AJ$170,0,MATCH(AA$2,Inputs!$K$4:$AJ$4,0))))+SUMPRODUCT((Inputs!$C$5:$C$170=$B29)*ISNUMBER(INDEX(Inputs!$K$5:$AJ$170,0,MATCH(AA$2,Inputs!$K$4:$AJ$4,0))))+SUMPRODUCT((Inputs!$E$5:$E$170=$B29)*ISNUMBER(INDEX(Inputs!$K$5:$AJ$170,0,MATCH(AA$2,Inputs!$K$4:$AJ$4,0))))=0,NA(),SUMPRODUCT((Inputs!$A$5:$A$170=$B29)*Inputs!$B$5:$B$170*(((Inputs!$G$5:$G$170="moeda")+(Inputs!$G$5:$G$170="acoes"))*Inputs!$B$1+((Inputs!$G$5:$G$170&lt;&gt;"moeda")*(Inputs!$G$5:$G$170&lt;&gt;"acoes")))*INDEX(Inputs!$K$5:$AJ$170,0,MATCH(AA$2,Inputs!$K$4:$AJ$4,0)))+SUMPRODUCT((Inputs!$C$5:$C$170=$B29)*Inputs!$D$5:$D$170*(((Inputs!$G$5:$G$170="moeda")+(Inputs!$G$5:$G$170="acoes"))*Inputs!$B$1+((Inputs!$G$5:$G$170&lt;&gt;"moeda")*(Inputs!$G$5:$G$170&lt;&gt;"acoes")))*INDEX(Inputs!$K$5:$AJ$170,0,MATCH(AA$2,Inputs!$K$4:$AJ$4,0)))+SUMPRODUCT((Inputs!$E$5:$E$170=$B29)*Inputs!$F$5:$F$170*(((Inputs!$G$5:$G$170="moeda")+(Inputs!$G$5:$G$170="acoes"))*Inputs!$B$1+((Inputs!$G$5:$G$170&lt;&gt;"moeda")*(Inputs!$G$5:$G$170&lt;&gt;"acoes")))*INDEX(Inputs!$K$5:$AJ$170,0,MATCH(AA$2,Inputs!$K$4:$AJ$4,0)))))</f>
        <v>114.327</v>
      </c>
      <c r="AB29" s="3">
        <f>AA29</f>
        <v>114.327</v>
      </c>
      <c r="AC29" s="6">
        <f>IF(ISNA(MATCH(AC$2,Inputs!$K$4:$AJ$4,0)),NA(),IF(SUMPRODUCT((Inputs!$A$5:$A$170=$B29)*ISNUMBER(INDEX(Inputs!$K$5:$AJ$170,0,MATCH(AC$2,Inputs!$K$4:$AJ$4,0))))+SUMPRODUCT((Inputs!$C$5:$C$170=$B29)*ISNUMBER(INDEX(Inputs!$K$5:$AJ$170,0,MATCH(AC$2,Inputs!$K$4:$AJ$4,0))))+SUMPRODUCT((Inputs!$E$5:$E$170=$B29)*ISNUMBER(INDEX(Inputs!$K$5:$AJ$170,0,MATCH(AC$2,Inputs!$K$4:$AJ$4,0))))=0,NA(),SUMPRODUCT((Inputs!$A$5:$A$170=$B29)*Inputs!$B$5:$B$170*(((Inputs!$G$5:$G$170="moeda")+(Inputs!$G$5:$G$170="acoes"))*Inputs!$B$1+((Inputs!$G$5:$G$170&lt;&gt;"moeda")*(Inputs!$G$5:$G$170&lt;&gt;"acoes")))*INDEX(Inputs!$K$5:$AJ$170,0,MATCH(AC$2,Inputs!$K$4:$AJ$4,0)))+SUMPRODUCT((Inputs!$C$5:$C$170=$B29)*Inputs!$D$5:$D$170*(((Inputs!$G$5:$G$170="moeda")+(Inputs!$G$5:$G$170="acoes"))*Inputs!$B$1+((Inputs!$G$5:$G$170&lt;&gt;"moeda")*(Inputs!$G$5:$G$170&lt;&gt;"acoes")))*INDEX(Inputs!$K$5:$AJ$170,0,MATCH(AC$2,Inputs!$K$4:$AJ$4,0)))+SUMPRODUCT((Inputs!$E$5:$E$170=$B29)*Inputs!$F$5:$F$170*(((Inputs!$G$5:$G$170="moeda")+(Inputs!$G$5:$G$170="acoes"))*Inputs!$B$1+((Inputs!$G$5:$G$170&lt;&gt;"moeda")*(Inputs!$G$5:$G$170&lt;&gt;"acoes")))*INDEX(Inputs!$K$5:$AJ$170,0,MATCH(AC$2,Inputs!$K$4:$AJ$4,0)))))</f>
        <v>127.308</v>
      </c>
      <c r="AD29" s="6">
        <f>IF(ISNA(MATCH(AD$2,Inputs!$K$4:$AJ$4,0)),NA(),IF(SUMPRODUCT((Inputs!$A$5:$A$170=$B29)*ISNUMBER(INDEX(Inputs!$K$5:$AJ$170,0,MATCH(AD$2,Inputs!$K$4:$AJ$4,0))))+SUMPRODUCT((Inputs!$C$5:$C$170=$B29)*ISNUMBER(INDEX(Inputs!$K$5:$AJ$170,0,MATCH(AD$2,Inputs!$K$4:$AJ$4,0))))+SUMPRODUCT((Inputs!$E$5:$E$170=$B29)*ISNUMBER(INDEX(Inputs!$K$5:$AJ$170,0,MATCH(AD$2,Inputs!$K$4:$AJ$4,0))))=0,NA(),SUMPRODUCT((Inputs!$A$5:$A$170=$B29)*Inputs!$B$5:$B$170*(((Inputs!$G$5:$G$170="moeda")+(Inputs!$G$5:$G$170="acoes"))*Inputs!$B$1+((Inputs!$G$5:$G$170&lt;&gt;"moeda")*(Inputs!$G$5:$G$170&lt;&gt;"acoes")))*INDEX(Inputs!$K$5:$AJ$170,0,MATCH(AD$2,Inputs!$K$4:$AJ$4,0)))+SUMPRODUCT((Inputs!$C$5:$C$170=$B29)*Inputs!$D$5:$D$170*(((Inputs!$G$5:$G$170="moeda")+(Inputs!$G$5:$G$170="acoes"))*Inputs!$B$1+((Inputs!$G$5:$G$170&lt;&gt;"moeda")*(Inputs!$G$5:$G$170&lt;&gt;"acoes")))*INDEX(Inputs!$K$5:$AJ$170,0,MATCH(AD$2,Inputs!$K$4:$AJ$4,0)))+SUMPRODUCT((Inputs!$E$5:$E$170=$B29)*Inputs!$F$5:$F$170*(((Inputs!$G$5:$G$170="moeda")+(Inputs!$G$5:$G$170="acoes"))*Inputs!$B$1+((Inputs!$G$5:$G$170&lt;&gt;"moeda")*(Inputs!$G$5:$G$170&lt;&gt;"acoes")))*INDEX(Inputs!$K$5:$AJ$170,0,MATCH(AD$2,Inputs!$K$4:$AJ$4,0)))))</f>
        <v>126.412</v>
      </c>
      <c r="AE29" s="6" t="e">
        <f>IF(ISNA(MATCH(AE$2,Inputs!$K$4:$AJ$4,0)),NA(),IF(SUMPRODUCT((Inputs!$A$5:$A$170=$B29)*ISNUMBER(INDEX(Inputs!$K$5:$AJ$170,0,MATCH(AE$2,Inputs!$K$4:$AJ$4,0))))+SUMPRODUCT((Inputs!$C$5:$C$170=$B29)*ISNUMBER(INDEX(Inputs!$K$5:$AJ$170,0,MATCH(AE$2,Inputs!$K$4:$AJ$4,0))))+SUMPRODUCT((Inputs!$E$5:$E$170=$B29)*ISNUMBER(INDEX(Inputs!$K$5:$AJ$170,0,MATCH(AE$2,Inputs!$K$4:$AJ$4,0))))=0,NA(),SUMPRODUCT((Inputs!$A$5:$A$170=$B29)*Inputs!$B$5:$B$170*(((Inputs!$G$5:$G$170="moeda")+(Inputs!$G$5:$G$170="acoes"))*Inputs!$B$1+((Inputs!$G$5:$G$170&lt;&gt;"moeda")*(Inputs!$G$5:$G$170&lt;&gt;"acoes")))*INDEX(Inputs!$K$5:$AJ$170,0,MATCH(AE$2,Inputs!$K$4:$AJ$4,0)))+SUMPRODUCT((Inputs!$C$5:$C$170=$B29)*Inputs!$D$5:$D$170*(((Inputs!$G$5:$G$170="moeda")+(Inputs!$G$5:$G$170="acoes"))*Inputs!$B$1+((Inputs!$G$5:$G$170&lt;&gt;"moeda")*(Inputs!$G$5:$G$170&lt;&gt;"acoes")))*INDEX(Inputs!$K$5:$AJ$170,0,MATCH(AE$2,Inputs!$K$4:$AJ$4,0)))+SUMPRODUCT((Inputs!$E$5:$E$170=$B29)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29" s="6" t="e">
        <f>IF(ISNA(MATCH(AF$2,Inputs!$K$4:$AJ$4,0)),NA(),IF(SUMPRODUCT((Inputs!$A$5:$A$170=$B29)*ISNUMBER(INDEX(Inputs!$K$5:$AJ$170,0,MATCH(AF$2,Inputs!$K$4:$AJ$4,0))))+SUMPRODUCT((Inputs!$C$5:$C$170=$B29)*ISNUMBER(INDEX(Inputs!$K$5:$AJ$170,0,MATCH(AF$2,Inputs!$K$4:$AJ$4,0))))+SUMPRODUCT((Inputs!$E$5:$E$170=$B29)*ISNUMBER(INDEX(Inputs!$K$5:$AJ$170,0,MATCH(AF$2,Inputs!$K$4:$AJ$4,0))))=0,NA(),SUMPRODUCT((Inputs!$A$5:$A$170=$B29)*Inputs!$B$5:$B$170*(((Inputs!$G$5:$G$170="moeda")+(Inputs!$G$5:$G$170="acoes"))*Inputs!$B$1+((Inputs!$G$5:$G$170&lt;&gt;"moeda")*(Inputs!$G$5:$G$170&lt;&gt;"acoes")))*INDEX(Inputs!$K$5:$AJ$170,0,MATCH(AF$2,Inputs!$K$4:$AJ$4,0)))+SUMPRODUCT((Inputs!$C$5:$C$170=$B29)*Inputs!$D$5:$D$170*(((Inputs!$G$5:$G$170="moeda")+(Inputs!$G$5:$G$170="acoes"))*Inputs!$B$1+((Inputs!$G$5:$G$170&lt;&gt;"moeda")*(Inputs!$G$5:$G$170&lt;&gt;"acoes")))*INDEX(Inputs!$K$5:$AJ$170,0,MATCH(AF$2,Inputs!$K$4:$AJ$4,0)))+SUMPRODUCT((Inputs!$E$5:$E$170=$B29)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29" s="3" t="e">
        <f>AF29</f>
        <v>#N/A</v>
      </c>
      <c r="AH29" s="6">
        <f>IF(ISNA(MATCH(AH$2,Inputs!$K$4:$AJ$4,0)),NA(),IF(SUMPRODUCT((Inputs!$A$5:$A$170=$B29)*ISNUMBER(INDEX(Inputs!$K$5:$AJ$170,0,MATCH(AH$2,Inputs!$K$4:$AJ$4,0))))+SUMPRODUCT((Inputs!$C$5:$C$170=$B29)*ISNUMBER(INDEX(Inputs!$K$5:$AJ$170,0,MATCH(AH$2,Inputs!$K$4:$AJ$4,0))))+SUMPRODUCT((Inputs!$E$5:$E$170=$B29)*ISNUMBER(INDEX(Inputs!$K$5:$AJ$170,0,MATCH(AH$2,Inputs!$K$4:$AJ$4,0))))=0,NA(),SUMPRODUCT((Inputs!$A$5:$A$170=$B29)*Inputs!$B$5:$B$170*(((Inputs!$G$5:$G$170="moeda")+(Inputs!$G$5:$G$170="acoes"))*Inputs!$B$1+((Inputs!$G$5:$G$170&lt;&gt;"moeda")*(Inputs!$G$5:$G$170&lt;&gt;"acoes")))*INDEX(Inputs!$K$5:$AJ$170,0,MATCH(AH$2,Inputs!$K$4:$AJ$4,0)))+SUMPRODUCT((Inputs!$C$5:$C$170=$B29)*Inputs!$D$5:$D$170*(((Inputs!$G$5:$G$170="moeda")+(Inputs!$G$5:$G$170="acoes"))*Inputs!$B$1+((Inputs!$G$5:$G$170&lt;&gt;"moeda")*(Inputs!$G$5:$G$170&lt;&gt;"acoes")))*INDEX(Inputs!$K$5:$AJ$170,0,MATCH(AH$2,Inputs!$K$4:$AJ$4,0)))+SUMPRODUCT((Inputs!$E$5:$E$170=$B29)*Inputs!$F$5:$F$170*(((Inputs!$G$5:$G$170="moeda")+(Inputs!$G$5:$G$170="acoes"))*Inputs!$B$1+((Inputs!$G$5:$G$170&lt;&gt;"moeda")*(Inputs!$G$5:$G$170&lt;&gt;"acoes")))*INDEX(Inputs!$K$5:$AJ$170,0,MATCH(AH$2,Inputs!$K$4:$AJ$4,0)))))</f>
        <v>45.811</v>
      </c>
      <c r="AI29" s="6">
        <f>IF(ISNA(MATCH(AI$2,Inputs!$K$4:$AJ$4,0)),NA(),IF(SUMPRODUCT((Inputs!$A$5:$A$170=$B29)*ISNUMBER(INDEX(Inputs!$K$5:$AJ$170,0,MATCH(AI$2,Inputs!$K$4:$AJ$4,0))))+SUMPRODUCT((Inputs!$C$5:$C$170=$B29)*ISNUMBER(INDEX(Inputs!$K$5:$AJ$170,0,MATCH(AI$2,Inputs!$K$4:$AJ$4,0))))+SUMPRODUCT((Inputs!$E$5:$E$170=$B29)*ISNUMBER(INDEX(Inputs!$K$5:$AJ$170,0,MATCH(AI$2,Inputs!$K$4:$AJ$4,0))))=0,NA(),SUMPRODUCT((Inputs!$A$5:$A$170=$B29)*Inputs!$B$5:$B$170*(((Inputs!$G$5:$G$170="moeda")+(Inputs!$G$5:$G$170="acoes"))*Inputs!$B$1+((Inputs!$G$5:$G$170&lt;&gt;"moeda")*(Inputs!$G$5:$G$170&lt;&gt;"acoes")))*INDEX(Inputs!$K$5:$AJ$170,0,MATCH(AI$2,Inputs!$K$4:$AJ$4,0)))+SUMPRODUCT((Inputs!$C$5:$C$170=$B29)*Inputs!$D$5:$D$170*(((Inputs!$G$5:$G$170="moeda")+(Inputs!$G$5:$G$170="acoes"))*Inputs!$B$1+((Inputs!$G$5:$G$170&lt;&gt;"moeda")*(Inputs!$G$5:$G$170&lt;&gt;"acoes")))*INDEX(Inputs!$K$5:$AJ$170,0,MATCH(AI$2,Inputs!$K$4:$AJ$4,0)))+SUMPRODUCT((Inputs!$E$5:$E$170=$B29)*Inputs!$F$5:$F$170*(((Inputs!$G$5:$G$170="moeda")+(Inputs!$G$5:$G$170="acoes"))*Inputs!$B$1+((Inputs!$G$5:$G$170&lt;&gt;"moeda")*(Inputs!$G$5:$G$170&lt;&gt;"acoes")))*INDEX(Inputs!$K$5:$AJ$170,0,MATCH(AI$2,Inputs!$K$4:$AJ$4,0)))))</f>
        <v>48.565</v>
      </c>
      <c r="AJ29" s="6">
        <f>IF(ISNA(MATCH(AJ$2,Inputs!$K$4:$AJ$4,0)),NA(),IF(SUMPRODUCT((Inputs!$A$5:$A$170=$B29)*ISNUMBER(INDEX(Inputs!$K$5:$AJ$170,0,MATCH(AJ$2,Inputs!$K$4:$AJ$4,0))))+SUMPRODUCT((Inputs!$C$5:$C$170=$B29)*ISNUMBER(INDEX(Inputs!$K$5:$AJ$170,0,MATCH(AJ$2,Inputs!$K$4:$AJ$4,0))))+SUMPRODUCT((Inputs!$E$5:$E$170=$B29)*ISNUMBER(INDEX(Inputs!$K$5:$AJ$170,0,MATCH(AJ$2,Inputs!$K$4:$AJ$4,0))))=0,NA(),SUMPRODUCT((Inputs!$A$5:$A$170=$B29)*Inputs!$B$5:$B$170*(((Inputs!$G$5:$G$170="moeda")+(Inputs!$G$5:$G$170="acoes"))*Inputs!$B$1+((Inputs!$G$5:$G$170&lt;&gt;"moeda")*(Inputs!$G$5:$G$170&lt;&gt;"acoes")))*INDEX(Inputs!$K$5:$AJ$170,0,MATCH(AJ$2,Inputs!$K$4:$AJ$4,0)))+SUMPRODUCT((Inputs!$C$5:$C$170=$B29)*Inputs!$D$5:$D$170*(((Inputs!$G$5:$G$170="moeda")+(Inputs!$G$5:$G$170="acoes"))*Inputs!$B$1+((Inputs!$G$5:$G$170&lt;&gt;"moeda")*(Inputs!$G$5:$G$170&lt;&gt;"acoes")))*INDEX(Inputs!$K$5:$AJ$170,0,MATCH(AJ$2,Inputs!$K$4:$AJ$4,0)))+SUMPRODUCT((Inputs!$E$5:$E$170=$B29)*Inputs!$F$5:$F$170*(((Inputs!$G$5:$G$170="moeda")+(Inputs!$G$5:$G$170="acoes"))*Inputs!$B$1+((Inputs!$G$5:$G$170&lt;&gt;"moeda")*(Inputs!$G$5:$G$170&lt;&gt;"acoes")))*INDEX(Inputs!$K$5:$AJ$170,0,MATCH(AJ$2,Inputs!$K$4:$AJ$4,0)))))</f>
        <v>51.318</v>
      </c>
      <c r="AK29" s="6">
        <f>IF(ISNA(MATCH(AK$2,Inputs!$K$4:$AJ$4,0)),NA(),IF(SUMPRODUCT((Inputs!$A$5:$A$170=$B29)*ISNUMBER(INDEX(Inputs!$K$5:$AJ$170,0,MATCH(AK$2,Inputs!$K$4:$AJ$4,0))))+SUMPRODUCT((Inputs!$C$5:$C$170=$B29)*ISNUMBER(INDEX(Inputs!$K$5:$AJ$170,0,MATCH(AK$2,Inputs!$K$4:$AJ$4,0))))+SUMPRODUCT((Inputs!$E$5:$E$170=$B29)*ISNUMBER(INDEX(Inputs!$K$5:$AJ$170,0,MATCH(AK$2,Inputs!$K$4:$AJ$4,0))))=0,NA(),SUMPRODUCT((Inputs!$A$5:$A$170=$B29)*Inputs!$B$5:$B$170*(((Inputs!$G$5:$G$170="moeda")+(Inputs!$G$5:$G$170="acoes"))*Inputs!$B$1+((Inputs!$G$5:$G$170&lt;&gt;"moeda")*(Inputs!$G$5:$G$170&lt;&gt;"acoes")))*INDEX(Inputs!$K$5:$AJ$170,0,MATCH(AK$2,Inputs!$K$4:$AJ$4,0)))+SUMPRODUCT((Inputs!$C$5:$C$170=$B29)*Inputs!$D$5:$D$170*(((Inputs!$G$5:$G$170="moeda")+(Inputs!$G$5:$G$170="acoes"))*Inputs!$B$1+((Inputs!$G$5:$G$170&lt;&gt;"moeda")*(Inputs!$G$5:$G$170&lt;&gt;"acoes")))*INDEX(Inputs!$K$5:$AJ$170,0,MATCH(AK$2,Inputs!$K$4:$AJ$4,0)))+SUMPRODUCT((Inputs!$E$5:$E$170=$B29)*Inputs!$F$5:$F$170*(((Inputs!$G$5:$G$170="moeda")+(Inputs!$G$5:$G$170="acoes"))*Inputs!$B$1+((Inputs!$G$5:$G$170&lt;&gt;"moeda")*(Inputs!$G$5:$G$170&lt;&gt;"acoes")))*INDEX(Inputs!$K$5:$AJ$170,0,MATCH(AK$2,Inputs!$K$4:$AJ$4,0)))))</f>
        <v>50.475</v>
      </c>
      <c r="AL29" s="3">
        <f>AK29</f>
        <v>50.475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$170=$B30)*ISNUMBER(INDEX(Inputs!$K$5:$AJ$170,0,MATCH(D$2,Inputs!$K$4:$AJ$4,0))))+SUMPRODUCT((Inputs!$C$5:$C$170=$B30)*ISNUMBER(INDEX(Inputs!$K$5:$AJ$170,0,MATCH(D$2,Inputs!$K$4:$AJ$4,0))))+SUMPRODUCT((Inputs!$E$5:$E$170=$B30)*ISNUMBER(INDEX(Inputs!$K$5:$AJ$170,0,MATCH(D$2,Inputs!$K$4:$AJ$4,0))))=0,NA(),SUMPRODUCT((Inputs!$A$5:$A$170=$B30)*Inputs!$B$5:$B$170*(((Inputs!$G$5:$G$170="moeda")+(Inputs!$G$5:$G$170="acoes"))*Inputs!$B$1+((Inputs!$G$5:$G$170&lt;&gt;"moeda")*(Inputs!$G$5:$G$170&lt;&gt;"acoes")))*INDEX(Inputs!$K$5:$AJ$170,0,MATCH(D$2,Inputs!$K$4:$AJ$4,0)))+SUMPRODUCT((Inputs!$C$5:$C$170=$B30)*Inputs!$D$5:$D$170*(((Inputs!$G$5:$G$170="moeda")+(Inputs!$G$5:$G$170="acoes"))*Inputs!$B$1+((Inputs!$G$5:$G$170&lt;&gt;"moeda")*(Inputs!$G$5:$G$170&lt;&gt;"acoes")))*INDEX(Inputs!$K$5:$AJ$170,0,MATCH(D$2,Inputs!$K$4:$AJ$4,0)))+SUMPRODUCT((Inputs!$E$5:$E$170=$B30)*Inputs!$F$5:$F$170*(((Inputs!$G$5:$G$170="moeda")+(Inputs!$G$5:$G$170="acoes"))*Inputs!$B$1+((Inputs!$G$5:$G$170&lt;&gt;"moeda")*(Inputs!$G$5:$G$170&lt;&gt;"acoes")))*INDEX(Inputs!$K$5:$AJ$170,0,MATCH(D$2,Inputs!$K$4:$AJ$4,0)))))</f>
        <v>14.888</v>
      </c>
      <c r="E30" s="6">
        <f>IF(ISNA(MATCH(E$2,Inputs!$K$4:$AJ$4,0)),NA(),IF(SUMPRODUCT((Inputs!$A$5:$A$170=$B30)*ISNUMBER(INDEX(Inputs!$K$5:$AJ$170,0,MATCH(E$2,Inputs!$K$4:$AJ$4,0))))+SUMPRODUCT((Inputs!$C$5:$C$170=$B30)*ISNUMBER(INDEX(Inputs!$K$5:$AJ$170,0,MATCH(E$2,Inputs!$K$4:$AJ$4,0))))+SUMPRODUCT((Inputs!$E$5:$E$170=$B30)*ISNUMBER(INDEX(Inputs!$K$5:$AJ$170,0,MATCH(E$2,Inputs!$K$4:$AJ$4,0))))=0,NA(),SUMPRODUCT((Inputs!$A$5:$A$170=$B30)*Inputs!$B$5:$B$170*(((Inputs!$G$5:$G$170="moeda")+(Inputs!$G$5:$G$170="acoes"))*Inputs!$B$1+((Inputs!$G$5:$G$170&lt;&gt;"moeda")*(Inputs!$G$5:$G$170&lt;&gt;"acoes")))*INDEX(Inputs!$K$5:$AJ$170,0,MATCH(E$2,Inputs!$K$4:$AJ$4,0)))+SUMPRODUCT((Inputs!$C$5:$C$170=$B30)*Inputs!$D$5:$D$170*(((Inputs!$G$5:$G$170="moeda")+(Inputs!$G$5:$G$170="acoes"))*Inputs!$B$1+((Inputs!$G$5:$G$170&lt;&gt;"moeda")*(Inputs!$G$5:$G$170&lt;&gt;"acoes")))*INDEX(Inputs!$K$5:$AJ$170,0,MATCH(E$2,Inputs!$K$4:$AJ$4,0)))+SUMPRODUCT((Inputs!$E$5:$E$170=$B30)*Inputs!$F$5:$F$170*(((Inputs!$G$5:$G$170="moeda")+(Inputs!$G$5:$G$170="acoes"))*Inputs!$B$1+((Inputs!$G$5:$G$170&lt;&gt;"moeda")*(Inputs!$G$5:$G$170&lt;&gt;"acoes")))*INDEX(Inputs!$K$5:$AJ$170,0,MATCH(E$2,Inputs!$K$4:$AJ$4,0)))))</f>
        <v>20.693</v>
      </c>
      <c r="F30" s="6">
        <f>IF(ISNA(MATCH(F$2,Inputs!$K$4:$AJ$4,0)),NA(),IF(SUMPRODUCT((Inputs!$A$5:$A$170=$B30)*ISNUMBER(INDEX(Inputs!$K$5:$AJ$170,0,MATCH(F$2,Inputs!$K$4:$AJ$4,0))))+SUMPRODUCT((Inputs!$C$5:$C$170=$B30)*ISNUMBER(INDEX(Inputs!$K$5:$AJ$170,0,MATCH(F$2,Inputs!$K$4:$AJ$4,0))))+SUMPRODUCT((Inputs!$E$5:$E$170=$B30)*ISNUMBER(INDEX(Inputs!$K$5:$AJ$170,0,MATCH(F$2,Inputs!$K$4:$AJ$4,0))))=0,NA(),SUMPRODUCT((Inputs!$A$5:$A$170=$B30)*Inputs!$B$5:$B$170*(((Inputs!$G$5:$G$170="moeda")+(Inputs!$G$5:$G$170="acoes"))*Inputs!$B$1+((Inputs!$G$5:$G$170&lt;&gt;"moeda")*(Inputs!$G$5:$G$170&lt;&gt;"acoes")))*INDEX(Inputs!$K$5:$AJ$170,0,MATCH(F$2,Inputs!$K$4:$AJ$4,0)))+SUMPRODUCT((Inputs!$C$5:$C$170=$B30)*Inputs!$D$5:$D$170*(((Inputs!$G$5:$G$170="moeda")+(Inputs!$G$5:$G$170="acoes"))*Inputs!$B$1+((Inputs!$G$5:$G$170&lt;&gt;"moeda")*(Inputs!$G$5:$G$170&lt;&gt;"acoes")))*INDEX(Inputs!$K$5:$AJ$170,0,MATCH(F$2,Inputs!$K$4:$AJ$4,0)))+SUMPRODUCT((Inputs!$E$5:$E$170=$B30)*Inputs!$F$5:$F$170*(((Inputs!$G$5:$G$170="moeda")+(Inputs!$G$5:$G$170="acoes"))*Inputs!$B$1+((Inputs!$G$5:$G$170&lt;&gt;"moeda")*(Inputs!$G$5:$G$170&lt;&gt;"acoes")))*INDEX(Inputs!$K$5:$AJ$170,0,MATCH(F$2,Inputs!$K$4:$AJ$4,0)))))</f>
        <v>22.33</v>
      </c>
      <c r="G30" s="6">
        <f>IF(ISNA(MATCH(G$2,Inputs!$K$4:$AJ$4,0)),NA(),IF(SUMPRODUCT((Inputs!$A$5:$A$170=$B30)*ISNUMBER(INDEX(Inputs!$K$5:$AJ$170,0,MATCH(G$2,Inputs!$K$4:$AJ$4,0))))+SUMPRODUCT((Inputs!$C$5:$C$170=$B30)*ISNUMBER(INDEX(Inputs!$K$5:$AJ$170,0,MATCH(G$2,Inputs!$K$4:$AJ$4,0))))+SUMPRODUCT((Inputs!$E$5:$E$170=$B30)*ISNUMBER(INDEX(Inputs!$K$5:$AJ$170,0,MATCH(G$2,Inputs!$K$4:$AJ$4,0))))=0,NA(),SUMPRODUCT((Inputs!$A$5:$A$170=$B30)*Inputs!$B$5:$B$170*(((Inputs!$G$5:$G$170="moeda")+(Inputs!$G$5:$G$170="acoes"))*Inputs!$B$1+((Inputs!$G$5:$G$170&lt;&gt;"moeda")*(Inputs!$G$5:$G$170&lt;&gt;"acoes")))*INDEX(Inputs!$K$5:$AJ$170,0,MATCH(G$2,Inputs!$K$4:$AJ$4,0)))+SUMPRODUCT((Inputs!$C$5:$C$170=$B30)*Inputs!$D$5:$D$170*(((Inputs!$G$5:$G$170="moeda")+(Inputs!$G$5:$G$170="acoes"))*Inputs!$B$1+((Inputs!$G$5:$G$170&lt;&gt;"moeda")*(Inputs!$G$5:$G$170&lt;&gt;"acoes")))*INDEX(Inputs!$K$5:$AJ$170,0,MATCH(G$2,Inputs!$K$4:$AJ$4,0)))+SUMPRODUCT((Inputs!$E$5:$E$170=$B30)*Inputs!$F$5:$F$170*(((Inputs!$G$5:$G$170="moeda")+(Inputs!$G$5:$G$170="acoes"))*Inputs!$B$1+((Inputs!$G$5:$G$170&lt;&gt;"moeda")*(Inputs!$G$5:$G$170&lt;&gt;"acoes")))*INDEX(Inputs!$K$5:$AJ$170,0,MATCH(G$2,Inputs!$K$4:$AJ$4,0)))))</f>
        <v>24.832</v>
      </c>
      <c r="H30" s="3">
        <f>G30</f>
        <v>24.832</v>
      </c>
      <c r="I30" s="6">
        <f>IF(ISNA(MATCH(I$2,Inputs!$K$4:$AJ$4,0)),NA(),IF(SUMPRODUCT((Inputs!$A$5:$A$170=$B30)*ISNUMBER(INDEX(Inputs!$K$5:$AJ$170,0,MATCH(I$2,Inputs!$K$4:$AJ$4,0))))+SUMPRODUCT((Inputs!$C$5:$C$170=$B30)*ISNUMBER(INDEX(Inputs!$K$5:$AJ$170,0,MATCH(I$2,Inputs!$K$4:$AJ$4,0))))+SUMPRODUCT((Inputs!$E$5:$E$170=$B30)*ISNUMBER(INDEX(Inputs!$K$5:$AJ$170,0,MATCH(I$2,Inputs!$K$4:$AJ$4,0))))=0,NA(),SUMPRODUCT((Inputs!$A$5:$A$170=$B30)*Inputs!$B$5:$B$170*(((Inputs!$G$5:$G$170="moeda")+(Inputs!$G$5:$G$170="acoes"))*Inputs!$B$1+((Inputs!$G$5:$G$170&lt;&gt;"moeda")*(Inputs!$G$5:$G$170&lt;&gt;"acoes")))*INDEX(Inputs!$K$5:$AJ$170,0,MATCH(I$2,Inputs!$K$4:$AJ$4,0)))+SUMPRODUCT((Inputs!$C$5:$C$170=$B30)*Inputs!$D$5:$D$170*(((Inputs!$G$5:$G$170="moeda")+(Inputs!$G$5:$G$170="acoes"))*Inputs!$B$1+((Inputs!$G$5:$G$170&lt;&gt;"moeda")*(Inputs!$G$5:$G$170&lt;&gt;"acoes")))*INDEX(Inputs!$K$5:$AJ$170,0,MATCH(I$2,Inputs!$K$4:$AJ$4,0)))+SUMPRODUCT((Inputs!$E$5:$E$170=$B30)*Inputs!$F$5:$F$170*(((Inputs!$G$5:$G$170="moeda")+(Inputs!$G$5:$G$170="acoes"))*Inputs!$B$1+((Inputs!$G$5:$G$170&lt;&gt;"moeda")*(Inputs!$G$5:$G$170&lt;&gt;"acoes")))*INDEX(Inputs!$K$5:$AJ$170,0,MATCH(I$2,Inputs!$K$4:$AJ$4,0)))))</f>
        <v>25.379</v>
      </c>
      <c r="J30" s="6">
        <f>IF(ISNA(MATCH(J$2,Inputs!$K$4:$AJ$4,0)),NA(),IF(SUMPRODUCT((Inputs!$A$5:$A$170=$B30)*ISNUMBER(INDEX(Inputs!$K$5:$AJ$170,0,MATCH(J$2,Inputs!$K$4:$AJ$4,0))))+SUMPRODUCT((Inputs!$C$5:$C$170=$B30)*ISNUMBER(INDEX(Inputs!$K$5:$AJ$170,0,MATCH(J$2,Inputs!$K$4:$AJ$4,0))))+SUMPRODUCT((Inputs!$E$5:$E$170=$B30)*ISNUMBER(INDEX(Inputs!$K$5:$AJ$170,0,MATCH(J$2,Inputs!$K$4:$AJ$4,0))))=0,NA(),SUMPRODUCT((Inputs!$A$5:$A$170=$B30)*Inputs!$B$5:$B$170*(((Inputs!$G$5:$G$170="moeda")+(Inputs!$G$5:$G$170="acoes"))*Inputs!$B$1+((Inputs!$G$5:$G$170&lt;&gt;"moeda")*(Inputs!$G$5:$G$170&lt;&gt;"acoes")))*INDEX(Inputs!$K$5:$AJ$170,0,MATCH(J$2,Inputs!$K$4:$AJ$4,0)))+SUMPRODUCT((Inputs!$C$5:$C$170=$B30)*Inputs!$D$5:$D$170*(((Inputs!$G$5:$G$170="moeda")+(Inputs!$G$5:$G$170="acoes"))*Inputs!$B$1+((Inputs!$G$5:$G$170&lt;&gt;"moeda")*(Inputs!$G$5:$G$170&lt;&gt;"acoes")))*INDEX(Inputs!$K$5:$AJ$170,0,MATCH(J$2,Inputs!$K$4:$AJ$4,0)))+SUMPRODUCT((Inputs!$E$5:$E$170=$B30)*Inputs!$F$5:$F$170*(((Inputs!$G$5:$G$170="moeda")+(Inputs!$G$5:$G$170="acoes"))*Inputs!$B$1+((Inputs!$G$5:$G$170&lt;&gt;"moeda")*(Inputs!$G$5:$G$170&lt;&gt;"acoes")))*INDEX(Inputs!$K$5:$AJ$170,0,MATCH(J$2,Inputs!$K$4:$AJ$4,0)))))</f>
        <v>41.63</v>
      </c>
      <c r="K30" s="6">
        <f>IF(ISNA(MATCH(K$2,Inputs!$K$4:$AJ$4,0)),NA(),IF(SUMPRODUCT((Inputs!$A$5:$A$170=$B30)*ISNUMBER(INDEX(Inputs!$K$5:$AJ$170,0,MATCH(K$2,Inputs!$K$4:$AJ$4,0))))+SUMPRODUCT((Inputs!$C$5:$C$170=$B30)*ISNUMBER(INDEX(Inputs!$K$5:$AJ$170,0,MATCH(K$2,Inputs!$K$4:$AJ$4,0))))+SUMPRODUCT((Inputs!$E$5:$E$170=$B30)*ISNUMBER(INDEX(Inputs!$K$5:$AJ$170,0,MATCH(K$2,Inputs!$K$4:$AJ$4,0))))=0,NA(),SUMPRODUCT((Inputs!$A$5:$A$170=$B30)*Inputs!$B$5:$B$170*(((Inputs!$G$5:$G$170="moeda")+(Inputs!$G$5:$G$170="acoes"))*Inputs!$B$1+((Inputs!$G$5:$G$170&lt;&gt;"moeda")*(Inputs!$G$5:$G$170&lt;&gt;"acoes")))*INDEX(Inputs!$K$5:$AJ$170,0,MATCH(K$2,Inputs!$K$4:$AJ$4,0)))+SUMPRODUCT((Inputs!$C$5:$C$170=$B30)*Inputs!$D$5:$D$170*(((Inputs!$G$5:$G$170="moeda")+(Inputs!$G$5:$G$170="acoes"))*Inputs!$B$1+((Inputs!$G$5:$G$170&lt;&gt;"moeda")*(Inputs!$G$5:$G$170&lt;&gt;"acoes")))*INDEX(Inputs!$K$5:$AJ$170,0,MATCH(K$2,Inputs!$K$4:$AJ$4,0)))+SUMPRODUCT((Inputs!$E$5:$E$170=$B30)*Inputs!$F$5:$F$170*(((Inputs!$G$5:$G$170="moeda")+(Inputs!$G$5:$G$170="acoes"))*Inputs!$B$1+((Inputs!$G$5:$G$170&lt;&gt;"moeda")*(Inputs!$G$5:$G$170&lt;&gt;"acoes")))*INDEX(Inputs!$K$5:$AJ$170,0,MATCH(K$2,Inputs!$K$4:$AJ$4,0)))))</f>
        <v>25.26</v>
      </c>
      <c r="L30" s="6">
        <f>IF(ISNA(MATCH(L$2,Inputs!$K$4:$AJ$4,0)),NA(),IF(SUMPRODUCT((Inputs!$A$5:$A$170=$B30)*ISNUMBER(INDEX(Inputs!$K$5:$AJ$170,0,MATCH(L$2,Inputs!$K$4:$AJ$4,0))))+SUMPRODUCT((Inputs!$C$5:$C$170=$B30)*ISNUMBER(INDEX(Inputs!$K$5:$AJ$170,0,MATCH(L$2,Inputs!$K$4:$AJ$4,0))))+SUMPRODUCT((Inputs!$E$5:$E$170=$B30)*ISNUMBER(INDEX(Inputs!$K$5:$AJ$170,0,MATCH(L$2,Inputs!$K$4:$AJ$4,0))))=0,NA(),SUMPRODUCT((Inputs!$A$5:$A$170=$B30)*Inputs!$B$5:$B$170*(((Inputs!$G$5:$G$170="moeda")+(Inputs!$G$5:$G$170="acoes"))*Inputs!$B$1+((Inputs!$G$5:$G$170&lt;&gt;"moeda")*(Inputs!$G$5:$G$170&lt;&gt;"acoes")))*INDEX(Inputs!$K$5:$AJ$170,0,MATCH(L$2,Inputs!$K$4:$AJ$4,0)))+SUMPRODUCT((Inputs!$C$5:$C$170=$B30)*Inputs!$D$5:$D$170*(((Inputs!$G$5:$G$170="moeda")+(Inputs!$G$5:$G$170="acoes"))*Inputs!$B$1+((Inputs!$G$5:$G$170&lt;&gt;"moeda")*(Inputs!$G$5:$G$170&lt;&gt;"acoes")))*INDEX(Inputs!$K$5:$AJ$170,0,MATCH(L$2,Inputs!$K$4:$AJ$4,0)))+SUMPRODUCT((Inputs!$E$5:$E$170=$B30)*Inputs!$F$5:$F$170*(((Inputs!$G$5:$G$170="moeda")+(Inputs!$G$5:$G$170="acoes"))*Inputs!$B$1+((Inputs!$G$5:$G$170&lt;&gt;"moeda")*(Inputs!$G$5:$G$170&lt;&gt;"acoes")))*INDEX(Inputs!$K$5:$AJ$170,0,MATCH(L$2,Inputs!$K$4:$AJ$4,0)))))</f>
        <v>64.331</v>
      </c>
      <c r="M30" s="3">
        <f>L30</f>
        <v>64.331</v>
      </c>
      <c r="N30" s="6">
        <f>IF(ISNA(MATCH(N$2,Inputs!$K$4:$AJ$4,0)),NA(),IF(SUMPRODUCT((Inputs!$A$5:$A$170=$B30)*ISNUMBER(INDEX(Inputs!$K$5:$AJ$170,0,MATCH(N$2,Inputs!$K$4:$AJ$4,0))))+SUMPRODUCT((Inputs!$C$5:$C$170=$B30)*ISNUMBER(INDEX(Inputs!$K$5:$AJ$170,0,MATCH(N$2,Inputs!$K$4:$AJ$4,0))))+SUMPRODUCT((Inputs!$E$5:$E$170=$B30)*ISNUMBER(INDEX(Inputs!$K$5:$AJ$170,0,MATCH(N$2,Inputs!$K$4:$AJ$4,0))))=0,NA(),SUMPRODUCT((Inputs!$A$5:$A$170=$B30)*Inputs!$B$5:$B$170*(((Inputs!$G$5:$G$170="moeda")+(Inputs!$G$5:$G$170="acoes"))*Inputs!$B$1+((Inputs!$G$5:$G$170&lt;&gt;"moeda")*(Inputs!$G$5:$G$170&lt;&gt;"acoes")))*INDEX(Inputs!$K$5:$AJ$170,0,MATCH(N$2,Inputs!$K$4:$AJ$4,0)))+SUMPRODUCT((Inputs!$C$5:$C$170=$B30)*Inputs!$D$5:$D$170*(((Inputs!$G$5:$G$170="moeda")+(Inputs!$G$5:$G$170="acoes"))*Inputs!$B$1+((Inputs!$G$5:$G$170&lt;&gt;"moeda")*(Inputs!$G$5:$G$170&lt;&gt;"acoes")))*INDEX(Inputs!$K$5:$AJ$170,0,MATCH(N$2,Inputs!$K$4:$AJ$4,0)))+SUMPRODUCT((Inputs!$E$5:$E$170=$B30)*Inputs!$F$5:$F$170*(((Inputs!$G$5:$G$170="moeda")+(Inputs!$G$5:$G$170="acoes"))*Inputs!$B$1+((Inputs!$G$5:$G$170&lt;&gt;"moeda")*(Inputs!$G$5:$G$170&lt;&gt;"acoes")))*INDEX(Inputs!$K$5:$AJ$170,0,MATCH(N$2,Inputs!$K$4:$AJ$4,0)))))</f>
        <v>38.35</v>
      </c>
      <c r="O30" s="6">
        <f>IF(ISNA(MATCH(O$2,Inputs!$K$4:$AJ$4,0)),NA(),IF(SUMPRODUCT((Inputs!$A$5:$A$170=$B30)*ISNUMBER(INDEX(Inputs!$K$5:$AJ$170,0,MATCH(O$2,Inputs!$K$4:$AJ$4,0))))+SUMPRODUCT((Inputs!$C$5:$C$170=$B30)*ISNUMBER(INDEX(Inputs!$K$5:$AJ$170,0,MATCH(O$2,Inputs!$K$4:$AJ$4,0))))+SUMPRODUCT((Inputs!$E$5:$E$170=$B30)*ISNUMBER(INDEX(Inputs!$K$5:$AJ$170,0,MATCH(O$2,Inputs!$K$4:$AJ$4,0))))=0,NA(),SUMPRODUCT((Inputs!$A$5:$A$170=$B30)*Inputs!$B$5:$B$170*(((Inputs!$G$5:$G$170="moeda")+(Inputs!$G$5:$G$170="acoes"))*Inputs!$B$1+((Inputs!$G$5:$G$170&lt;&gt;"moeda")*(Inputs!$G$5:$G$170&lt;&gt;"acoes")))*INDEX(Inputs!$K$5:$AJ$170,0,MATCH(O$2,Inputs!$K$4:$AJ$4,0)))+SUMPRODUCT((Inputs!$C$5:$C$170=$B30)*Inputs!$D$5:$D$170*(((Inputs!$G$5:$G$170="moeda")+(Inputs!$G$5:$G$170="acoes"))*Inputs!$B$1+((Inputs!$G$5:$G$170&lt;&gt;"moeda")*(Inputs!$G$5:$G$170&lt;&gt;"acoes")))*INDEX(Inputs!$K$5:$AJ$170,0,MATCH(O$2,Inputs!$K$4:$AJ$4,0)))+SUMPRODUCT((Inputs!$E$5:$E$170=$B30)*Inputs!$F$5:$F$170*(((Inputs!$G$5:$G$170="moeda")+(Inputs!$G$5:$G$170="acoes"))*Inputs!$B$1+((Inputs!$G$5:$G$170&lt;&gt;"moeda")*(Inputs!$G$5:$G$170&lt;&gt;"acoes")))*INDEX(Inputs!$K$5:$AJ$170,0,MATCH(O$2,Inputs!$K$4:$AJ$4,0)))))</f>
        <v>34.271</v>
      </c>
      <c r="P30" s="6">
        <f>IF(ISNA(MATCH(P$2,Inputs!$K$4:$AJ$4,0)),NA(),IF(SUMPRODUCT((Inputs!$A$5:$A$170=$B30)*ISNUMBER(INDEX(Inputs!$K$5:$AJ$170,0,MATCH(P$2,Inputs!$K$4:$AJ$4,0))))+SUMPRODUCT((Inputs!$C$5:$C$170=$B30)*ISNUMBER(INDEX(Inputs!$K$5:$AJ$170,0,MATCH(P$2,Inputs!$K$4:$AJ$4,0))))+SUMPRODUCT((Inputs!$E$5:$E$170=$B30)*ISNUMBER(INDEX(Inputs!$K$5:$AJ$170,0,MATCH(P$2,Inputs!$K$4:$AJ$4,0))))=0,NA(),SUMPRODUCT((Inputs!$A$5:$A$170=$B30)*Inputs!$B$5:$B$170*(((Inputs!$G$5:$G$170="moeda")+(Inputs!$G$5:$G$170="acoes"))*Inputs!$B$1+((Inputs!$G$5:$G$170&lt;&gt;"moeda")*(Inputs!$G$5:$G$170&lt;&gt;"acoes")))*INDEX(Inputs!$K$5:$AJ$170,0,MATCH(P$2,Inputs!$K$4:$AJ$4,0)))+SUMPRODUCT((Inputs!$C$5:$C$170=$B30)*Inputs!$D$5:$D$170*(((Inputs!$G$5:$G$170="moeda")+(Inputs!$G$5:$G$170="acoes"))*Inputs!$B$1+((Inputs!$G$5:$G$170&lt;&gt;"moeda")*(Inputs!$G$5:$G$170&lt;&gt;"acoes")))*INDEX(Inputs!$K$5:$AJ$170,0,MATCH(P$2,Inputs!$K$4:$AJ$4,0)))+SUMPRODUCT((Inputs!$E$5:$E$170=$B30)*Inputs!$F$5:$F$170*(((Inputs!$G$5:$G$170="moeda")+(Inputs!$G$5:$G$170="acoes"))*Inputs!$B$1+((Inputs!$G$5:$G$170&lt;&gt;"moeda")*(Inputs!$G$5:$G$170&lt;&gt;"acoes")))*INDEX(Inputs!$K$5:$AJ$170,0,MATCH(P$2,Inputs!$K$4:$AJ$4,0)))))</f>
        <v>54.344</v>
      </c>
      <c r="Q30" s="6">
        <f>IF(ISNA(MATCH(Q$2,Inputs!$K$4:$AJ$4,0)),NA(),IF(SUMPRODUCT((Inputs!$A$5:$A$170=$B30)*ISNUMBER(INDEX(Inputs!$K$5:$AJ$170,0,MATCH(Q$2,Inputs!$K$4:$AJ$4,0))))+SUMPRODUCT((Inputs!$C$5:$C$170=$B30)*ISNUMBER(INDEX(Inputs!$K$5:$AJ$170,0,MATCH(Q$2,Inputs!$K$4:$AJ$4,0))))+SUMPRODUCT((Inputs!$E$5:$E$170=$B30)*ISNUMBER(INDEX(Inputs!$K$5:$AJ$170,0,MATCH(Q$2,Inputs!$K$4:$AJ$4,0))))=0,NA(),SUMPRODUCT((Inputs!$A$5:$A$170=$B30)*Inputs!$B$5:$B$170*(((Inputs!$G$5:$G$170="moeda")+(Inputs!$G$5:$G$170="acoes"))*Inputs!$B$1+((Inputs!$G$5:$G$170&lt;&gt;"moeda")*(Inputs!$G$5:$G$170&lt;&gt;"acoes")))*INDEX(Inputs!$K$5:$AJ$170,0,MATCH(Q$2,Inputs!$K$4:$AJ$4,0)))+SUMPRODUCT((Inputs!$C$5:$C$170=$B30)*Inputs!$D$5:$D$170*(((Inputs!$G$5:$G$170="moeda")+(Inputs!$G$5:$G$170="acoes"))*Inputs!$B$1+((Inputs!$G$5:$G$170&lt;&gt;"moeda")*(Inputs!$G$5:$G$170&lt;&gt;"acoes")))*INDEX(Inputs!$K$5:$AJ$170,0,MATCH(Q$2,Inputs!$K$4:$AJ$4,0)))+SUMPRODUCT((Inputs!$E$5:$E$170=$B30)*Inputs!$F$5:$F$170*(((Inputs!$G$5:$G$170="moeda")+(Inputs!$G$5:$G$170="acoes"))*Inputs!$B$1+((Inputs!$G$5:$G$170&lt;&gt;"moeda")*(Inputs!$G$5:$G$170&lt;&gt;"acoes")))*INDEX(Inputs!$K$5:$AJ$170,0,MATCH(Q$2,Inputs!$K$4:$AJ$4,0)))))</f>
        <v>71.372</v>
      </c>
      <c r="R30" s="3">
        <f>Q30</f>
        <v>71.372</v>
      </c>
      <c r="S30" s="6">
        <f>IF(ISNA(MATCH(S$2,Inputs!$K$4:$AJ$4,0)),NA(),IF(SUMPRODUCT((Inputs!$A$5:$A$170=$B30)*ISNUMBER(INDEX(Inputs!$K$5:$AJ$170,0,MATCH(S$2,Inputs!$K$4:$AJ$4,0))))+SUMPRODUCT((Inputs!$C$5:$C$170=$B30)*ISNUMBER(INDEX(Inputs!$K$5:$AJ$170,0,MATCH(S$2,Inputs!$K$4:$AJ$4,0))))+SUMPRODUCT((Inputs!$E$5:$E$170=$B30)*ISNUMBER(INDEX(Inputs!$K$5:$AJ$170,0,MATCH(S$2,Inputs!$K$4:$AJ$4,0))))=0,NA(),SUMPRODUCT((Inputs!$A$5:$A$170=$B30)*Inputs!$B$5:$B$170*(((Inputs!$G$5:$G$170="moeda")+(Inputs!$G$5:$G$170="acoes"))*Inputs!$B$1+((Inputs!$G$5:$G$170&lt;&gt;"moeda")*(Inputs!$G$5:$G$170&lt;&gt;"acoes")))*INDEX(Inputs!$K$5:$AJ$170,0,MATCH(S$2,Inputs!$K$4:$AJ$4,0)))+SUMPRODUCT((Inputs!$C$5:$C$170=$B30)*Inputs!$D$5:$D$170*(((Inputs!$G$5:$G$170="moeda")+(Inputs!$G$5:$G$170="acoes"))*Inputs!$B$1+((Inputs!$G$5:$G$170&lt;&gt;"moeda")*(Inputs!$G$5:$G$170&lt;&gt;"acoes")))*INDEX(Inputs!$K$5:$AJ$170,0,MATCH(S$2,Inputs!$K$4:$AJ$4,0)))+SUMPRODUCT((Inputs!$E$5:$E$170=$B30)*Inputs!$F$5:$F$170*(((Inputs!$G$5:$G$170="moeda")+(Inputs!$G$5:$G$170="acoes"))*Inputs!$B$1+((Inputs!$G$5:$G$170&lt;&gt;"moeda")*(Inputs!$G$5:$G$170&lt;&gt;"acoes")))*INDEX(Inputs!$K$5:$AJ$170,0,MATCH(S$2,Inputs!$K$4:$AJ$4,0)))))</f>
        <v>103.155</v>
      </c>
      <c r="T30" s="6">
        <f>IF(ISNA(MATCH(T$2,Inputs!$K$4:$AJ$4,0)),NA(),IF(SUMPRODUCT((Inputs!$A$5:$A$170=$B30)*ISNUMBER(INDEX(Inputs!$K$5:$AJ$170,0,MATCH(T$2,Inputs!$K$4:$AJ$4,0))))+SUMPRODUCT((Inputs!$C$5:$C$170=$B30)*ISNUMBER(INDEX(Inputs!$K$5:$AJ$170,0,MATCH(T$2,Inputs!$K$4:$AJ$4,0))))+SUMPRODUCT((Inputs!$E$5:$E$170=$B30)*ISNUMBER(INDEX(Inputs!$K$5:$AJ$170,0,MATCH(T$2,Inputs!$K$4:$AJ$4,0))))=0,NA(),SUMPRODUCT((Inputs!$A$5:$A$170=$B30)*Inputs!$B$5:$B$170*(((Inputs!$G$5:$G$170="moeda")+(Inputs!$G$5:$G$170="acoes"))*Inputs!$B$1+((Inputs!$G$5:$G$170&lt;&gt;"moeda")*(Inputs!$G$5:$G$170&lt;&gt;"acoes")))*INDEX(Inputs!$K$5:$AJ$170,0,MATCH(T$2,Inputs!$K$4:$AJ$4,0)))+SUMPRODUCT((Inputs!$C$5:$C$170=$B30)*Inputs!$D$5:$D$170*(((Inputs!$G$5:$G$170="moeda")+(Inputs!$G$5:$G$170="acoes"))*Inputs!$B$1+((Inputs!$G$5:$G$170&lt;&gt;"moeda")*(Inputs!$G$5:$G$170&lt;&gt;"acoes")))*INDEX(Inputs!$K$5:$AJ$170,0,MATCH(T$2,Inputs!$K$4:$AJ$4,0)))+SUMPRODUCT((Inputs!$E$5:$E$170=$B30)*Inputs!$F$5:$F$170*(((Inputs!$G$5:$G$170="moeda")+(Inputs!$G$5:$G$170="acoes"))*Inputs!$B$1+((Inputs!$G$5:$G$170&lt;&gt;"moeda")*(Inputs!$G$5:$G$170&lt;&gt;"acoes")))*INDEX(Inputs!$K$5:$AJ$170,0,MATCH(T$2,Inputs!$K$4:$AJ$4,0)))))</f>
        <v>71.063</v>
      </c>
      <c r="U30" s="6">
        <f>IF(ISNA(MATCH(U$2,Inputs!$K$4:$AJ$4,0)),NA(),IF(SUMPRODUCT((Inputs!$A$5:$A$170=$B30)*ISNUMBER(INDEX(Inputs!$K$5:$AJ$170,0,MATCH(U$2,Inputs!$K$4:$AJ$4,0))))+SUMPRODUCT((Inputs!$C$5:$C$170=$B30)*ISNUMBER(INDEX(Inputs!$K$5:$AJ$170,0,MATCH(U$2,Inputs!$K$4:$AJ$4,0))))+SUMPRODUCT((Inputs!$E$5:$E$170=$B30)*ISNUMBER(INDEX(Inputs!$K$5:$AJ$170,0,MATCH(U$2,Inputs!$K$4:$AJ$4,0))))=0,NA(),SUMPRODUCT((Inputs!$A$5:$A$170=$B30)*Inputs!$B$5:$B$170*(((Inputs!$G$5:$G$170="moeda")+(Inputs!$G$5:$G$170="acoes"))*Inputs!$B$1+((Inputs!$G$5:$G$170&lt;&gt;"moeda")*(Inputs!$G$5:$G$170&lt;&gt;"acoes")))*INDEX(Inputs!$K$5:$AJ$170,0,MATCH(U$2,Inputs!$K$4:$AJ$4,0)))+SUMPRODUCT((Inputs!$C$5:$C$170=$B30)*Inputs!$D$5:$D$170*(((Inputs!$G$5:$G$170="moeda")+(Inputs!$G$5:$G$170="acoes"))*Inputs!$B$1+((Inputs!$G$5:$G$170&lt;&gt;"moeda")*(Inputs!$G$5:$G$170&lt;&gt;"acoes")))*INDEX(Inputs!$K$5:$AJ$170,0,MATCH(U$2,Inputs!$K$4:$AJ$4,0)))+SUMPRODUCT((Inputs!$E$5:$E$170=$B30)*Inputs!$F$5:$F$170*(((Inputs!$G$5:$G$170="moeda")+(Inputs!$G$5:$G$170="acoes"))*Inputs!$B$1+((Inputs!$G$5:$G$170&lt;&gt;"moeda")*(Inputs!$G$5:$G$170&lt;&gt;"acoes")))*INDEX(Inputs!$K$5:$AJ$170,0,MATCH(U$2,Inputs!$K$4:$AJ$4,0)))))</f>
        <v>119.799</v>
      </c>
      <c r="V30" s="6">
        <f>IF(ISNA(MATCH(V$2,Inputs!$K$4:$AJ$4,0)),NA(),IF(SUMPRODUCT((Inputs!$A$5:$A$170=$B30)*ISNUMBER(INDEX(Inputs!$K$5:$AJ$170,0,MATCH(V$2,Inputs!$K$4:$AJ$4,0))))+SUMPRODUCT((Inputs!$C$5:$C$170=$B30)*ISNUMBER(INDEX(Inputs!$K$5:$AJ$170,0,MATCH(V$2,Inputs!$K$4:$AJ$4,0))))+SUMPRODUCT((Inputs!$E$5:$E$170=$B30)*ISNUMBER(INDEX(Inputs!$K$5:$AJ$170,0,MATCH(V$2,Inputs!$K$4:$AJ$4,0))))=0,NA(),SUMPRODUCT((Inputs!$A$5:$A$170=$B30)*Inputs!$B$5:$B$170*(((Inputs!$G$5:$G$170="moeda")+(Inputs!$G$5:$G$170="acoes"))*Inputs!$B$1+((Inputs!$G$5:$G$170&lt;&gt;"moeda")*(Inputs!$G$5:$G$170&lt;&gt;"acoes")))*INDEX(Inputs!$K$5:$AJ$170,0,MATCH(V$2,Inputs!$K$4:$AJ$4,0)))+SUMPRODUCT((Inputs!$C$5:$C$170=$B30)*Inputs!$D$5:$D$170*(((Inputs!$G$5:$G$170="moeda")+(Inputs!$G$5:$G$170="acoes"))*Inputs!$B$1+((Inputs!$G$5:$G$170&lt;&gt;"moeda")*(Inputs!$G$5:$G$170&lt;&gt;"acoes")))*INDEX(Inputs!$K$5:$AJ$170,0,MATCH(V$2,Inputs!$K$4:$AJ$4,0)))+SUMPRODUCT((Inputs!$E$5:$E$170=$B30)*Inputs!$F$5:$F$170*(((Inputs!$G$5:$G$170="moeda")+(Inputs!$G$5:$G$170="acoes"))*Inputs!$B$1+((Inputs!$G$5:$G$170&lt;&gt;"moeda")*(Inputs!$G$5:$G$170&lt;&gt;"acoes")))*INDEX(Inputs!$K$5:$AJ$170,0,MATCH(V$2,Inputs!$K$4:$AJ$4,0)))))</f>
        <v>132.506</v>
      </c>
      <c r="W30" s="3">
        <f>V30</f>
        <v>132.506</v>
      </c>
      <c r="X30" s="6">
        <f>IF(ISNA(MATCH(X$2,Inputs!$K$4:$AJ$4,0)),NA(),IF(SUMPRODUCT((Inputs!$A$5:$A$170=$B30)*ISNUMBER(INDEX(Inputs!$K$5:$AJ$170,0,MATCH(X$2,Inputs!$K$4:$AJ$4,0))))+SUMPRODUCT((Inputs!$C$5:$C$170=$B30)*ISNUMBER(INDEX(Inputs!$K$5:$AJ$170,0,MATCH(X$2,Inputs!$K$4:$AJ$4,0))))+SUMPRODUCT((Inputs!$E$5:$E$170=$B30)*ISNUMBER(INDEX(Inputs!$K$5:$AJ$170,0,MATCH(X$2,Inputs!$K$4:$AJ$4,0))))=0,NA(),SUMPRODUCT((Inputs!$A$5:$A$170=$B30)*Inputs!$B$5:$B$170*(((Inputs!$G$5:$G$170="moeda")+(Inputs!$G$5:$G$170="acoes"))*Inputs!$B$1+((Inputs!$G$5:$G$170&lt;&gt;"moeda")*(Inputs!$G$5:$G$170&lt;&gt;"acoes")))*INDEX(Inputs!$K$5:$AJ$170,0,MATCH(X$2,Inputs!$K$4:$AJ$4,0)))+SUMPRODUCT((Inputs!$C$5:$C$170=$B30)*Inputs!$D$5:$D$170*(((Inputs!$G$5:$G$170="moeda")+(Inputs!$G$5:$G$170="acoes"))*Inputs!$B$1+((Inputs!$G$5:$G$170&lt;&gt;"moeda")*(Inputs!$G$5:$G$170&lt;&gt;"acoes")))*INDEX(Inputs!$K$5:$AJ$170,0,MATCH(X$2,Inputs!$K$4:$AJ$4,0)))+SUMPRODUCT((Inputs!$E$5:$E$170=$B30)*Inputs!$F$5:$F$170*(((Inputs!$G$5:$G$170="moeda")+(Inputs!$G$5:$G$170="acoes"))*Inputs!$B$1+((Inputs!$G$5:$G$170&lt;&gt;"moeda")*(Inputs!$G$5:$G$170&lt;&gt;"acoes")))*INDEX(Inputs!$K$5:$AJ$170,0,MATCH(X$2,Inputs!$K$4:$AJ$4,0)))))</f>
        <v>130.947</v>
      </c>
      <c r="Y30" s="6">
        <f>IF(ISNA(MATCH(Y$2,Inputs!$K$4:$AJ$4,0)),NA(),IF(SUMPRODUCT((Inputs!$A$5:$A$170=$B30)*ISNUMBER(INDEX(Inputs!$K$5:$AJ$170,0,MATCH(Y$2,Inputs!$K$4:$AJ$4,0))))+SUMPRODUCT((Inputs!$C$5:$C$170=$B30)*ISNUMBER(INDEX(Inputs!$K$5:$AJ$170,0,MATCH(Y$2,Inputs!$K$4:$AJ$4,0))))+SUMPRODUCT((Inputs!$E$5:$E$170=$B30)*ISNUMBER(INDEX(Inputs!$K$5:$AJ$170,0,MATCH(Y$2,Inputs!$K$4:$AJ$4,0))))=0,NA(),SUMPRODUCT((Inputs!$A$5:$A$170=$B30)*Inputs!$B$5:$B$170*(((Inputs!$G$5:$G$170="moeda")+(Inputs!$G$5:$G$170="acoes"))*Inputs!$B$1+((Inputs!$G$5:$G$170&lt;&gt;"moeda")*(Inputs!$G$5:$G$170&lt;&gt;"acoes")))*INDEX(Inputs!$K$5:$AJ$170,0,MATCH(Y$2,Inputs!$K$4:$AJ$4,0)))+SUMPRODUCT((Inputs!$C$5:$C$170=$B30)*Inputs!$D$5:$D$170*(((Inputs!$G$5:$G$170="moeda")+(Inputs!$G$5:$G$170="acoes"))*Inputs!$B$1+((Inputs!$G$5:$G$170&lt;&gt;"moeda")*(Inputs!$G$5:$G$170&lt;&gt;"acoes")))*INDEX(Inputs!$K$5:$AJ$170,0,MATCH(Y$2,Inputs!$K$4:$AJ$4,0)))+SUMPRODUCT((Inputs!$E$5:$E$170=$B30)*Inputs!$F$5:$F$170*(((Inputs!$G$5:$G$170="moeda")+(Inputs!$G$5:$G$170="acoes"))*Inputs!$B$1+((Inputs!$G$5:$G$170&lt;&gt;"moeda")*(Inputs!$G$5:$G$170&lt;&gt;"acoes")))*INDEX(Inputs!$K$5:$AJ$170,0,MATCH(Y$2,Inputs!$K$4:$AJ$4,0)))))</f>
        <v>119.656</v>
      </c>
      <c r="Z30" s="6">
        <f>IF(ISNA(MATCH(Z$2,Inputs!$K$4:$AJ$4,0)),NA(),IF(SUMPRODUCT((Inputs!$A$5:$A$170=$B30)*ISNUMBER(INDEX(Inputs!$K$5:$AJ$170,0,MATCH(Z$2,Inputs!$K$4:$AJ$4,0))))+SUMPRODUCT((Inputs!$C$5:$C$170=$B30)*ISNUMBER(INDEX(Inputs!$K$5:$AJ$170,0,MATCH(Z$2,Inputs!$K$4:$AJ$4,0))))+SUMPRODUCT((Inputs!$E$5:$E$170=$B30)*ISNUMBER(INDEX(Inputs!$K$5:$AJ$170,0,MATCH(Z$2,Inputs!$K$4:$AJ$4,0))))=0,NA(),SUMPRODUCT((Inputs!$A$5:$A$170=$B30)*Inputs!$B$5:$B$170*(((Inputs!$G$5:$G$170="moeda")+(Inputs!$G$5:$G$170="acoes"))*Inputs!$B$1+((Inputs!$G$5:$G$170&lt;&gt;"moeda")*(Inputs!$G$5:$G$170&lt;&gt;"acoes")))*INDEX(Inputs!$K$5:$AJ$170,0,MATCH(Z$2,Inputs!$K$4:$AJ$4,0)))+SUMPRODUCT((Inputs!$C$5:$C$170=$B30)*Inputs!$D$5:$D$170*(((Inputs!$G$5:$G$170="moeda")+(Inputs!$G$5:$G$170="acoes"))*Inputs!$B$1+((Inputs!$G$5:$G$170&lt;&gt;"moeda")*(Inputs!$G$5:$G$170&lt;&gt;"acoes")))*INDEX(Inputs!$K$5:$AJ$170,0,MATCH(Z$2,Inputs!$K$4:$AJ$4,0)))+SUMPRODUCT((Inputs!$E$5:$E$170=$B30)*Inputs!$F$5:$F$170*(((Inputs!$G$5:$G$170="moeda")+(Inputs!$G$5:$G$170="acoes"))*Inputs!$B$1+((Inputs!$G$5:$G$170&lt;&gt;"moeda")*(Inputs!$G$5:$G$170&lt;&gt;"acoes")))*INDEX(Inputs!$K$5:$AJ$170,0,MATCH(Z$2,Inputs!$K$4:$AJ$4,0)))))</f>
        <v>108.833</v>
      </c>
      <c r="AA30" s="6">
        <f>IF(ISNA(MATCH(AA$2,Inputs!$K$4:$AJ$4,0)),NA(),IF(SUMPRODUCT((Inputs!$A$5:$A$170=$B30)*ISNUMBER(INDEX(Inputs!$K$5:$AJ$170,0,MATCH(AA$2,Inputs!$K$4:$AJ$4,0))))+SUMPRODUCT((Inputs!$C$5:$C$170=$B30)*ISNUMBER(INDEX(Inputs!$K$5:$AJ$170,0,MATCH(AA$2,Inputs!$K$4:$AJ$4,0))))+SUMPRODUCT((Inputs!$E$5:$E$170=$B30)*ISNUMBER(INDEX(Inputs!$K$5:$AJ$170,0,MATCH(AA$2,Inputs!$K$4:$AJ$4,0))))=0,NA(),SUMPRODUCT((Inputs!$A$5:$A$170=$B30)*Inputs!$B$5:$B$170*(((Inputs!$G$5:$G$170="moeda")+(Inputs!$G$5:$G$170="acoes"))*Inputs!$B$1+((Inputs!$G$5:$G$170&lt;&gt;"moeda")*(Inputs!$G$5:$G$170&lt;&gt;"acoes")))*INDEX(Inputs!$K$5:$AJ$170,0,MATCH(AA$2,Inputs!$K$4:$AJ$4,0)))+SUMPRODUCT((Inputs!$C$5:$C$170=$B30)*Inputs!$D$5:$D$170*(((Inputs!$G$5:$G$170="moeda")+(Inputs!$G$5:$G$170="acoes"))*Inputs!$B$1+((Inputs!$G$5:$G$170&lt;&gt;"moeda")*(Inputs!$G$5:$G$170&lt;&gt;"acoes")))*INDEX(Inputs!$K$5:$AJ$170,0,MATCH(AA$2,Inputs!$K$4:$AJ$4,0)))+SUMPRODUCT((Inputs!$E$5:$E$170=$B30)*Inputs!$F$5:$F$170*(((Inputs!$G$5:$G$170="moeda")+(Inputs!$G$5:$G$170="acoes"))*Inputs!$B$1+((Inputs!$G$5:$G$170&lt;&gt;"moeda")*(Inputs!$G$5:$G$170&lt;&gt;"acoes")))*INDEX(Inputs!$K$5:$AJ$170,0,MATCH(AA$2,Inputs!$K$4:$AJ$4,0)))))</f>
        <v>163.739</v>
      </c>
      <c r="AB30" s="3">
        <f>AA30</f>
        <v>163.739</v>
      </c>
      <c r="AC30" s="6">
        <f>IF(ISNA(MATCH(AC$2,Inputs!$K$4:$AJ$4,0)),NA(),IF(SUMPRODUCT((Inputs!$A$5:$A$170=$B30)*ISNUMBER(INDEX(Inputs!$K$5:$AJ$170,0,MATCH(AC$2,Inputs!$K$4:$AJ$4,0))))+SUMPRODUCT((Inputs!$C$5:$C$170=$B30)*ISNUMBER(INDEX(Inputs!$K$5:$AJ$170,0,MATCH(AC$2,Inputs!$K$4:$AJ$4,0))))+SUMPRODUCT((Inputs!$E$5:$E$170=$B30)*ISNUMBER(INDEX(Inputs!$K$5:$AJ$170,0,MATCH(AC$2,Inputs!$K$4:$AJ$4,0))))=0,NA(),SUMPRODUCT((Inputs!$A$5:$A$170=$B30)*Inputs!$B$5:$B$170*(((Inputs!$G$5:$G$170="moeda")+(Inputs!$G$5:$G$170="acoes"))*Inputs!$B$1+((Inputs!$G$5:$G$170&lt;&gt;"moeda")*(Inputs!$G$5:$G$170&lt;&gt;"acoes")))*INDEX(Inputs!$K$5:$AJ$170,0,MATCH(AC$2,Inputs!$K$4:$AJ$4,0)))+SUMPRODUCT((Inputs!$C$5:$C$170=$B30)*Inputs!$D$5:$D$170*(((Inputs!$G$5:$G$170="moeda")+(Inputs!$G$5:$G$170="acoes"))*Inputs!$B$1+((Inputs!$G$5:$G$170&lt;&gt;"moeda")*(Inputs!$G$5:$G$170&lt;&gt;"acoes")))*INDEX(Inputs!$K$5:$AJ$170,0,MATCH(AC$2,Inputs!$K$4:$AJ$4,0)))+SUMPRODUCT((Inputs!$E$5:$E$170=$B30)*Inputs!$F$5:$F$170*(((Inputs!$G$5:$G$170="moeda")+(Inputs!$G$5:$G$170="acoes"))*Inputs!$B$1+((Inputs!$G$5:$G$170&lt;&gt;"moeda")*(Inputs!$G$5:$G$170&lt;&gt;"acoes")))*INDEX(Inputs!$K$5:$AJ$170,0,MATCH(AC$2,Inputs!$K$4:$AJ$4,0)))))</f>
        <v>116.802</v>
      </c>
      <c r="AD30" s="6">
        <f>IF(ISNA(MATCH(AD$2,Inputs!$K$4:$AJ$4,0)),NA(),IF(SUMPRODUCT((Inputs!$A$5:$A$170=$B30)*ISNUMBER(INDEX(Inputs!$K$5:$AJ$170,0,MATCH(AD$2,Inputs!$K$4:$AJ$4,0))))+SUMPRODUCT((Inputs!$C$5:$C$170=$B30)*ISNUMBER(INDEX(Inputs!$K$5:$AJ$170,0,MATCH(AD$2,Inputs!$K$4:$AJ$4,0))))+SUMPRODUCT((Inputs!$E$5:$E$170=$B30)*ISNUMBER(INDEX(Inputs!$K$5:$AJ$170,0,MATCH(AD$2,Inputs!$K$4:$AJ$4,0))))=0,NA(),SUMPRODUCT((Inputs!$A$5:$A$170=$B30)*Inputs!$B$5:$B$170*(((Inputs!$G$5:$G$170="moeda")+(Inputs!$G$5:$G$170="acoes"))*Inputs!$B$1+((Inputs!$G$5:$G$170&lt;&gt;"moeda")*(Inputs!$G$5:$G$170&lt;&gt;"acoes")))*INDEX(Inputs!$K$5:$AJ$170,0,MATCH(AD$2,Inputs!$K$4:$AJ$4,0)))+SUMPRODUCT((Inputs!$C$5:$C$170=$B30)*Inputs!$D$5:$D$170*(((Inputs!$G$5:$G$170="moeda")+(Inputs!$G$5:$G$170="acoes"))*Inputs!$B$1+((Inputs!$G$5:$G$170&lt;&gt;"moeda")*(Inputs!$G$5:$G$170&lt;&gt;"acoes")))*INDEX(Inputs!$K$5:$AJ$170,0,MATCH(AD$2,Inputs!$K$4:$AJ$4,0)))+SUMPRODUCT((Inputs!$E$5:$E$170=$B30)*Inputs!$F$5:$F$170*(((Inputs!$G$5:$G$170="moeda")+(Inputs!$G$5:$G$170="acoes"))*Inputs!$B$1+((Inputs!$G$5:$G$170&lt;&gt;"moeda")*(Inputs!$G$5:$G$170&lt;&gt;"acoes")))*INDEX(Inputs!$K$5:$AJ$170,0,MATCH(AD$2,Inputs!$K$4:$AJ$4,0)))))</f>
        <v>85.665</v>
      </c>
      <c r="AE30" s="6" t="e">
        <f>IF(ISNA(MATCH(AE$2,Inputs!$K$4:$AJ$4,0)),NA(),IF(SUMPRODUCT((Inputs!$A$5:$A$170=$B30)*ISNUMBER(INDEX(Inputs!$K$5:$AJ$170,0,MATCH(AE$2,Inputs!$K$4:$AJ$4,0))))+SUMPRODUCT((Inputs!$C$5:$C$170=$B30)*ISNUMBER(INDEX(Inputs!$K$5:$AJ$170,0,MATCH(AE$2,Inputs!$K$4:$AJ$4,0))))+SUMPRODUCT((Inputs!$E$5:$E$170=$B30)*ISNUMBER(INDEX(Inputs!$K$5:$AJ$170,0,MATCH(AE$2,Inputs!$K$4:$AJ$4,0))))=0,NA(),SUMPRODUCT((Inputs!$A$5:$A$170=$B30)*Inputs!$B$5:$B$170*(((Inputs!$G$5:$G$170="moeda")+(Inputs!$G$5:$G$170="acoes"))*Inputs!$B$1+((Inputs!$G$5:$G$170&lt;&gt;"moeda")*(Inputs!$G$5:$G$170&lt;&gt;"acoes")))*INDEX(Inputs!$K$5:$AJ$170,0,MATCH(AE$2,Inputs!$K$4:$AJ$4,0)))+SUMPRODUCT((Inputs!$C$5:$C$170=$B30)*Inputs!$D$5:$D$170*(((Inputs!$G$5:$G$170="moeda")+(Inputs!$G$5:$G$170="acoes"))*Inputs!$B$1+((Inputs!$G$5:$G$170&lt;&gt;"moeda")*(Inputs!$G$5:$G$170&lt;&gt;"acoes")))*INDEX(Inputs!$K$5:$AJ$170,0,MATCH(AE$2,Inputs!$K$4:$AJ$4,0)))+SUMPRODUCT((Inputs!$E$5:$E$170=$B30)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0" s="6" t="e">
        <f>IF(ISNA(MATCH(AF$2,Inputs!$K$4:$AJ$4,0)),NA(),IF(SUMPRODUCT((Inputs!$A$5:$A$170=$B30)*ISNUMBER(INDEX(Inputs!$K$5:$AJ$170,0,MATCH(AF$2,Inputs!$K$4:$AJ$4,0))))+SUMPRODUCT((Inputs!$C$5:$C$170=$B30)*ISNUMBER(INDEX(Inputs!$K$5:$AJ$170,0,MATCH(AF$2,Inputs!$K$4:$AJ$4,0))))+SUMPRODUCT((Inputs!$E$5:$E$170=$B30)*ISNUMBER(INDEX(Inputs!$K$5:$AJ$170,0,MATCH(AF$2,Inputs!$K$4:$AJ$4,0))))=0,NA(),SUMPRODUCT((Inputs!$A$5:$A$170=$B30)*Inputs!$B$5:$B$170*(((Inputs!$G$5:$G$170="moeda")+(Inputs!$G$5:$G$170="acoes"))*Inputs!$B$1+((Inputs!$G$5:$G$170&lt;&gt;"moeda")*(Inputs!$G$5:$G$170&lt;&gt;"acoes")))*INDEX(Inputs!$K$5:$AJ$170,0,MATCH(AF$2,Inputs!$K$4:$AJ$4,0)))+SUMPRODUCT((Inputs!$C$5:$C$170=$B30)*Inputs!$D$5:$D$170*(((Inputs!$G$5:$G$170="moeda")+(Inputs!$G$5:$G$170="acoes"))*Inputs!$B$1+((Inputs!$G$5:$G$170&lt;&gt;"moeda")*(Inputs!$G$5:$G$170&lt;&gt;"acoes")))*INDEX(Inputs!$K$5:$AJ$170,0,MATCH(AF$2,Inputs!$K$4:$AJ$4,0)))+SUMPRODUCT((Inputs!$E$5:$E$170=$B30)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0" s="3" t="e">
        <f>AF30</f>
        <v>#N/A</v>
      </c>
      <c r="AH30" s="6">
        <f>IF(ISNA(MATCH(AH$2,Inputs!$K$4:$AJ$4,0)),NA(),IF(SUMPRODUCT((Inputs!$A$5:$A$170=$B30)*ISNUMBER(INDEX(Inputs!$K$5:$AJ$170,0,MATCH(AH$2,Inputs!$K$4:$AJ$4,0))))+SUMPRODUCT((Inputs!$C$5:$C$170=$B30)*ISNUMBER(INDEX(Inputs!$K$5:$AJ$170,0,MATCH(AH$2,Inputs!$K$4:$AJ$4,0))))+SUMPRODUCT((Inputs!$E$5:$E$170=$B30)*ISNUMBER(INDEX(Inputs!$K$5:$AJ$170,0,MATCH(AH$2,Inputs!$K$4:$AJ$4,0))))=0,NA(),SUMPRODUCT((Inputs!$A$5:$A$170=$B30)*Inputs!$B$5:$B$170*(((Inputs!$G$5:$G$170="moeda")+(Inputs!$G$5:$G$170="acoes"))*Inputs!$B$1+((Inputs!$G$5:$G$170&lt;&gt;"moeda")*(Inputs!$G$5:$G$170&lt;&gt;"acoes")))*INDEX(Inputs!$K$5:$AJ$170,0,MATCH(AH$2,Inputs!$K$4:$AJ$4,0)))+SUMPRODUCT((Inputs!$C$5:$C$170=$B30)*Inputs!$D$5:$D$170*(((Inputs!$G$5:$G$170="moeda")+(Inputs!$G$5:$G$170="acoes"))*Inputs!$B$1+((Inputs!$G$5:$G$170&lt;&gt;"moeda")*(Inputs!$G$5:$G$170&lt;&gt;"acoes")))*INDEX(Inputs!$K$5:$AJ$170,0,MATCH(AH$2,Inputs!$K$4:$AJ$4,0)))+SUMPRODUCT((Inputs!$E$5:$E$170=$B30)*Inputs!$F$5:$F$170*(((Inputs!$G$5:$G$170="moeda")+(Inputs!$G$5:$G$170="acoes"))*Inputs!$B$1+((Inputs!$G$5:$G$170&lt;&gt;"moeda")*(Inputs!$G$5:$G$170&lt;&gt;"acoes")))*INDEX(Inputs!$K$5:$AJ$170,0,MATCH(AH$2,Inputs!$K$4:$AJ$4,0)))))</f>
        <v>6.168</v>
      </c>
      <c r="AI30" s="6">
        <f>IF(ISNA(MATCH(AI$2,Inputs!$K$4:$AJ$4,0)),NA(),IF(SUMPRODUCT((Inputs!$A$5:$A$170=$B30)*ISNUMBER(INDEX(Inputs!$K$5:$AJ$170,0,MATCH(AI$2,Inputs!$K$4:$AJ$4,0))))+SUMPRODUCT((Inputs!$C$5:$C$170=$B30)*ISNUMBER(INDEX(Inputs!$K$5:$AJ$170,0,MATCH(AI$2,Inputs!$K$4:$AJ$4,0))))+SUMPRODUCT((Inputs!$E$5:$E$170=$B30)*ISNUMBER(INDEX(Inputs!$K$5:$AJ$170,0,MATCH(AI$2,Inputs!$K$4:$AJ$4,0))))=0,NA(),SUMPRODUCT((Inputs!$A$5:$A$170=$B30)*Inputs!$B$5:$B$170*(((Inputs!$G$5:$G$170="moeda")+(Inputs!$G$5:$G$170="acoes"))*Inputs!$B$1+((Inputs!$G$5:$G$170&lt;&gt;"moeda")*(Inputs!$G$5:$G$170&lt;&gt;"acoes")))*INDEX(Inputs!$K$5:$AJ$170,0,MATCH(AI$2,Inputs!$K$4:$AJ$4,0)))+SUMPRODUCT((Inputs!$C$5:$C$170=$B30)*Inputs!$D$5:$D$170*(((Inputs!$G$5:$G$170="moeda")+(Inputs!$G$5:$G$170="acoes"))*Inputs!$B$1+((Inputs!$G$5:$G$170&lt;&gt;"moeda")*(Inputs!$G$5:$G$170&lt;&gt;"acoes")))*INDEX(Inputs!$K$5:$AJ$170,0,MATCH(AI$2,Inputs!$K$4:$AJ$4,0)))+SUMPRODUCT((Inputs!$E$5:$E$170=$B30)*Inputs!$F$5:$F$170*(((Inputs!$G$5:$G$170="moeda")+(Inputs!$G$5:$G$170="acoes"))*Inputs!$B$1+((Inputs!$G$5:$G$170&lt;&gt;"moeda")*(Inputs!$G$5:$G$170&lt;&gt;"acoes")))*INDEX(Inputs!$K$5:$AJ$170,0,MATCH(AI$2,Inputs!$K$4:$AJ$4,0)))))</f>
        <v>11.296</v>
      </c>
      <c r="AJ30" s="6">
        <f>IF(ISNA(MATCH(AJ$2,Inputs!$K$4:$AJ$4,0)),NA(),IF(SUMPRODUCT((Inputs!$A$5:$A$170=$B30)*ISNUMBER(INDEX(Inputs!$K$5:$AJ$170,0,MATCH(AJ$2,Inputs!$K$4:$AJ$4,0))))+SUMPRODUCT((Inputs!$C$5:$C$170=$B30)*ISNUMBER(INDEX(Inputs!$K$5:$AJ$170,0,MATCH(AJ$2,Inputs!$K$4:$AJ$4,0))))+SUMPRODUCT((Inputs!$E$5:$E$170=$B30)*ISNUMBER(INDEX(Inputs!$K$5:$AJ$170,0,MATCH(AJ$2,Inputs!$K$4:$AJ$4,0))))=0,NA(),SUMPRODUCT((Inputs!$A$5:$A$170=$B30)*Inputs!$B$5:$B$170*(((Inputs!$G$5:$G$170="moeda")+(Inputs!$G$5:$G$170="acoes"))*Inputs!$B$1+((Inputs!$G$5:$G$170&lt;&gt;"moeda")*(Inputs!$G$5:$G$170&lt;&gt;"acoes")))*INDEX(Inputs!$K$5:$AJ$170,0,MATCH(AJ$2,Inputs!$K$4:$AJ$4,0)))+SUMPRODUCT((Inputs!$C$5:$C$170=$B30)*Inputs!$D$5:$D$170*(((Inputs!$G$5:$G$170="moeda")+(Inputs!$G$5:$G$170="acoes"))*Inputs!$B$1+((Inputs!$G$5:$G$170&lt;&gt;"moeda")*(Inputs!$G$5:$G$170&lt;&gt;"acoes")))*INDEX(Inputs!$K$5:$AJ$170,0,MATCH(AJ$2,Inputs!$K$4:$AJ$4,0)))+SUMPRODUCT((Inputs!$E$5:$E$170=$B30)*Inputs!$F$5:$F$170*(((Inputs!$G$5:$G$170="moeda")+(Inputs!$G$5:$G$170="acoes"))*Inputs!$B$1+((Inputs!$G$5:$G$170&lt;&gt;"moeda")*(Inputs!$G$5:$G$170&lt;&gt;"acoes")))*INDEX(Inputs!$K$5:$AJ$170,0,MATCH(AJ$2,Inputs!$K$4:$AJ$4,0)))))</f>
        <v>8.423</v>
      </c>
      <c r="AK30" s="6">
        <f>IF(ISNA(MATCH(AK$2,Inputs!$K$4:$AJ$4,0)),NA(),IF(SUMPRODUCT((Inputs!$A$5:$A$170=$B30)*ISNUMBER(INDEX(Inputs!$K$5:$AJ$170,0,MATCH(AK$2,Inputs!$K$4:$AJ$4,0))))+SUMPRODUCT((Inputs!$C$5:$C$170=$B30)*ISNUMBER(INDEX(Inputs!$K$5:$AJ$170,0,MATCH(AK$2,Inputs!$K$4:$AJ$4,0))))+SUMPRODUCT((Inputs!$E$5:$E$170=$B30)*ISNUMBER(INDEX(Inputs!$K$5:$AJ$170,0,MATCH(AK$2,Inputs!$K$4:$AJ$4,0))))=0,NA(),SUMPRODUCT((Inputs!$A$5:$A$170=$B30)*Inputs!$B$5:$B$170*(((Inputs!$G$5:$G$170="moeda")+(Inputs!$G$5:$G$170="acoes"))*Inputs!$B$1+((Inputs!$G$5:$G$170&lt;&gt;"moeda")*(Inputs!$G$5:$G$170&lt;&gt;"acoes")))*INDEX(Inputs!$K$5:$AJ$170,0,MATCH(AK$2,Inputs!$K$4:$AJ$4,0)))+SUMPRODUCT((Inputs!$C$5:$C$170=$B30)*Inputs!$D$5:$D$170*(((Inputs!$G$5:$G$170="moeda")+(Inputs!$G$5:$G$170="acoes"))*Inputs!$B$1+((Inputs!$G$5:$G$170&lt;&gt;"moeda")*(Inputs!$G$5:$G$170&lt;&gt;"acoes")))*INDEX(Inputs!$K$5:$AJ$170,0,MATCH(AK$2,Inputs!$K$4:$AJ$4,0)))+SUMPRODUCT((Inputs!$E$5:$E$170=$B30)*Inputs!$F$5:$F$170*(((Inputs!$G$5:$G$170="moeda")+(Inputs!$G$5:$G$170="acoes"))*Inputs!$B$1+((Inputs!$G$5:$G$170&lt;&gt;"moeda")*(Inputs!$G$5:$G$170&lt;&gt;"acoes")))*INDEX(Inputs!$K$5:$AJ$170,0,MATCH(AK$2,Inputs!$K$4:$AJ$4,0)))))</f>
        <v>13.644</v>
      </c>
      <c r="AL30" s="3">
        <f>AK30</f>
        <v>13.644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$170=$B31)*ISNUMBER(INDEX(Inputs!$K$5:$AJ$170,0,MATCH(D$2,Inputs!$K$4:$AJ$4,0))))+SUMPRODUCT((Inputs!$C$5:$C$170=$B31)*ISNUMBER(INDEX(Inputs!$K$5:$AJ$170,0,MATCH(D$2,Inputs!$K$4:$AJ$4,0))))+SUMPRODUCT((Inputs!$E$5:$E$170=$B31)*ISNUMBER(INDEX(Inputs!$K$5:$AJ$170,0,MATCH(D$2,Inputs!$K$4:$AJ$4,0))))=0,NA(),SUMPRODUCT((Inputs!$A$5:$A$170=$B31)*Inputs!$B$5:$B$170*(((Inputs!$G$5:$G$170="moeda")+(Inputs!$G$5:$G$170="acoes"))*Inputs!$B$1+((Inputs!$G$5:$G$170&lt;&gt;"moeda")*(Inputs!$G$5:$G$170&lt;&gt;"acoes")))*INDEX(Inputs!$K$5:$AJ$170,0,MATCH(D$2,Inputs!$K$4:$AJ$4,0)))+SUMPRODUCT((Inputs!$C$5:$C$170=$B31)*Inputs!$D$5:$D$170*(((Inputs!$G$5:$G$170="moeda")+(Inputs!$G$5:$G$170="acoes"))*Inputs!$B$1+((Inputs!$G$5:$G$170&lt;&gt;"moeda")*(Inputs!$G$5:$G$170&lt;&gt;"acoes")))*INDEX(Inputs!$K$5:$AJ$170,0,MATCH(D$2,Inputs!$K$4:$AJ$4,0)))+SUMPRODUCT((Inputs!$E$5:$E$170=$B31)*Inputs!$F$5:$F$170*(((Inputs!$G$5:$G$170="moeda")+(Inputs!$G$5:$G$170="acoes"))*Inputs!$B$1+((Inputs!$G$5:$G$170&lt;&gt;"moeda")*(Inputs!$G$5:$G$170&lt;&gt;"acoes")))*INDEX(Inputs!$K$5:$AJ$170,0,MATCH(D$2,Inputs!$K$4:$AJ$4,0)))))</f>
        <v>184.627</v>
      </c>
      <c r="E31" s="6">
        <f>IF(ISNA(MATCH(E$2,Inputs!$K$4:$AJ$4,0)),NA(),IF(SUMPRODUCT((Inputs!$A$5:$A$170=$B31)*ISNUMBER(INDEX(Inputs!$K$5:$AJ$170,0,MATCH(E$2,Inputs!$K$4:$AJ$4,0))))+SUMPRODUCT((Inputs!$C$5:$C$170=$B31)*ISNUMBER(INDEX(Inputs!$K$5:$AJ$170,0,MATCH(E$2,Inputs!$K$4:$AJ$4,0))))+SUMPRODUCT((Inputs!$E$5:$E$170=$B31)*ISNUMBER(INDEX(Inputs!$K$5:$AJ$170,0,MATCH(E$2,Inputs!$K$4:$AJ$4,0))))=0,NA(),SUMPRODUCT((Inputs!$A$5:$A$170=$B31)*Inputs!$B$5:$B$170*(((Inputs!$G$5:$G$170="moeda")+(Inputs!$G$5:$G$170="acoes"))*Inputs!$B$1+((Inputs!$G$5:$G$170&lt;&gt;"moeda")*(Inputs!$G$5:$G$170&lt;&gt;"acoes")))*INDEX(Inputs!$K$5:$AJ$170,0,MATCH(E$2,Inputs!$K$4:$AJ$4,0)))+SUMPRODUCT((Inputs!$C$5:$C$170=$B31)*Inputs!$D$5:$D$170*(((Inputs!$G$5:$G$170="moeda")+(Inputs!$G$5:$G$170="acoes"))*Inputs!$B$1+((Inputs!$G$5:$G$170&lt;&gt;"moeda")*(Inputs!$G$5:$G$170&lt;&gt;"acoes")))*INDEX(Inputs!$K$5:$AJ$170,0,MATCH(E$2,Inputs!$K$4:$AJ$4,0)))+SUMPRODUCT((Inputs!$E$5:$E$170=$B31)*Inputs!$F$5:$F$170*(((Inputs!$G$5:$G$170="moeda")+(Inputs!$G$5:$G$170="acoes"))*Inputs!$B$1+((Inputs!$G$5:$G$170&lt;&gt;"moeda")*(Inputs!$G$5:$G$170&lt;&gt;"acoes")))*INDEX(Inputs!$K$5:$AJ$170,0,MATCH(E$2,Inputs!$K$4:$AJ$4,0)))))</f>
        <v>219.97</v>
      </c>
      <c r="F31" s="6">
        <f>IF(ISNA(MATCH(F$2,Inputs!$K$4:$AJ$4,0)),NA(),IF(SUMPRODUCT((Inputs!$A$5:$A$170=$B31)*ISNUMBER(INDEX(Inputs!$K$5:$AJ$170,0,MATCH(F$2,Inputs!$K$4:$AJ$4,0))))+SUMPRODUCT((Inputs!$C$5:$C$170=$B31)*ISNUMBER(INDEX(Inputs!$K$5:$AJ$170,0,MATCH(F$2,Inputs!$K$4:$AJ$4,0))))+SUMPRODUCT((Inputs!$E$5:$E$170=$B31)*ISNUMBER(INDEX(Inputs!$K$5:$AJ$170,0,MATCH(F$2,Inputs!$K$4:$AJ$4,0))))=0,NA(),SUMPRODUCT((Inputs!$A$5:$A$170=$B31)*Inputs!$B$5:$B$170*(((Inputs!$G$5:$G$170="moeda")+(Inputs!$G$5:$G$170="acoes"))*Inputs!$B$1+((Inputs!$G$5:$G$170&lt;&gt;"moeda")*(Inputs!$G$5:$G$170&lt;&gt;"acoes")))*INDEX(Inputs!$K$5:$AJ$170,0,MATCH(F$2,Inputs!$K$4:$AJ$4,0)))+SUMPRODUCT((Inputs!$C$5:$C$170=$B31)*Inputs!$D$5:$D$170*(((Inputs!$G$5:$G$170="moeda")+(Inputs!$G$5:$G$170="acoes"))*Inputs!$B$1+((Inputs!$G$5:$G$170&lt;&gt;"moeda")*(Inputs!$G$5:$G$170&lt;&gt;"acoes")))*INDEX(Inputs!$K$5:$AJ$170,0,MATCH(F$2,Inputs!$K$4:$AJ$4,0)))+SUMPRODUCT((Inputs!$E$5:$E$170=$B31)*Inputs!$F$5:$F$170*(((Inputs!$G$5:$G$170="moeda")+(Inputs!$G$5:$G$170="acoes"))*Inputs!$B$1+((Inputs!$G$5:$G$170&lt;&gt;"moeda")*(Inputs!$G$5:$G$170&lt;&gt;"acoes")))*INDEX(Inputs!$K$5:$AJ$170,0,MATCH(F$2,Inputs!$K$4:$AJ$4,0)))))</f>
        <v>232.285</v>
      </c>
      <c r="G31" s="6">
        <f>IF(ISNA(MATCH(G$2,Inputs!$K$4:$AJ$4,0)),NA(),IF(SUMPRODUCT((Inputs!$A$5:$A$170=$B31)*ISNUMBER(INDEX(Inputs!$K$5:$AJ$170,0,MATCH(G$2,Inputs!$K$4:$AJ$4,0))))+SUMPRODUCT((Inputs!$C$5:$C$170=$B31)*ISNUMBER(INDEX(Inputs!$K$5:$AJ$170,0,MATCH(G$2,Inputs!$K$4:$AJ$4,0))))+SUMPRODUCT((Inputs!$E$5:$E$170=$B31)*ISNUMBER(INDEX(Inputs!$K$5:$AJ$170,0,MATCH(G$2,Inputs!$K$4:$AJ$4,0))))=0,NA(),SUMPRODUCT((Inputs!$A$5:$A$170=$B31)*Inputs!$B$5:$B$170*(((Inputs!$G$5:$G$170="moeda")+(Inputs!$G$5:$G$170="acoes"))*Inputs!$B$1+((Inputs!$G$5:$G$170&lt;&gt;"moeda")*(Inputs!$G$5:$G$170&lt;&gt;"acoes")))*INDEX(Inputs!$K$5:$AJ$170,0,MATCH(G$2,Inputs!$K$4:$AJ$4,0)))+SUMPRODUCT((Inputs!$C$5:$C$170=$B31)*Inputs!$D$5:$D$170*(((Inputs!$G$5:$G$170="moeda")+(Inputs!$G$5:$G$170="acoes"))*Inputs!$B$1+((Inputs!$G$5:$G$170&lt;&gt;"moeda")*(Inputs!$G$5:$G$170&lt;&gt;"acoes")))*INDEX(Inputs!$K$5:$AJ$170,0,MATCH(G$2,Inputs!$K$4:$AJ$4,0)))+SUMPRODUCT((Inputs!$E$5:$E$170=$B31)*Inputs!$F$5:$F$170*(((Inputs!$G$5:$G$170="moeda")+(Inputs!$G$5:$G$170="acoes"))*Inputs!$B$1+((Inputs!$G$5:$G$170&lt;&gt;"moeda")*(Inputs!$G$5:$G$170&lt;&gt;"acoes")))*INDEX(Inputs!$K$5:$AJ$170,0,MATCH(G$2,Inputs!$K$4:$AJ$4,0)))))</f>
        <v>584.538</v>
      </c>
      <c r="H31" s="3">
        <f>G31</f>
        <v>584.538</v>
      </c>
      <c r="I31" s="6">
        <f>IF(ISNA(MATCH(I$2,Inputs!$K$4:$AJ$4,0)),NA(),IF(SUMPRODUCT((Inputs!$A$5:$A$170=$B31)*ISNUMBER(INDEX(Inputs!$K$5:$AJ$170,0,MATCH(I$2,Inputs!$K$4:$AJ$4,0))))+SUMPRODUCT((Inputs!$C$5:$C$170=$B31)*ISNUMBER(INDEX(Inputs!$K$5:$AJ$170,0,MATCH(I$2,Inputs!$K$4:$AJ$4,0))))+SUMPRODUCT((Inputs!$E$5:$E$170=$B31)*ISNUMBER(INDEX(Inputs!$K$5:$AJ$170,0,MATCH(I$2,Inputs!$K$4:$AJ$4,0))))=0,NA(),SUMPRODUCT((Inputs!$A$5:$A$170=$B31)*Inputs!$B$5:$B$170*(((Inputs!$G$5:$G$170="moeda")+(Inputs!$G$5:$G$170="acoes"))*Inputs!$B$1+((Inputs!$G$5:$G$170&lt;&gt;"moeda")*(Inputs!$G$5:$G$170&lt;&gt;"acoes")))*INDEX(Inputs!$K$5:$AJ$170,0,MATCH(I$2,Inputs!$K$4:$AJ$4,0)))+SUMPRODUCT((Inputs!$C$5:$C$170=$B31)*Inputs!$D$5:$D$170*(((Inputs!$G$5:$G$170="moeda")+(Inputs!$G$5:$G$170="acoes"))*Inputs!$B$1+((Inputs!$G$5:$G$170&lt;&gt;"moeda")*(Inputs!$G$5:$G$170&lt;&gt;"acoes")))*INDEX(Inputs!$K$5:$AJ$170,0,MATCH(I$2,Inputs!$K$4:$AJ$4,0)))+SUMPRODUCT((Inputs!$E$5:$E$170=$B31)*Inputs!$F$5:$F$170*(((Inputs!$G$5:$G$170="moeda")+(Inputs!$G$5:$G$170="acoes"))*Inputs!$B$1+((Inputs!$G$5:$G$170&lt;&gt;"moeda")*(Inputs!$G$5:$G$170&lt;&gt;"acoes")))*INDEX(Inputs!$K$5:$AJ$170,0,MATCH(I$2,Inputs!$K$4:$AJ$4,0)))))</f>
        <v>751.159</v>
      </c>
      <c r="J31" s="6">
        <f>IF(ISNA(MATCH(J$2,Inputs!$K$4:$AJ$4,0)),NA(),IF(SUMPRODUCT((Inputs!$A$5:$A$170=$B31)*ISNUMBER(INDEX(Inputs!$K$5:$AJ$170,0,MATCH(J$2,Inputs!$K$4:$AJ$4,0))))+SUMPRODUCT((Inputs!$C$5:$C$170=$B31)*ISNUMBER(INDEX(Inputs!$K$5:$AJ$170,0,MATCH(J$2,Inputs!$K$4:$AJ$4,0))))+SUMPRODUCT((Inputs!$E$5:$E$170=$B31)*ISNUMBER(INDEX(Inputs!$K$5:$AJ$170,0,MATCH(J$2,Inputs!$K$4:$AJ$4,0))))=0,NA(),SUMPRODUCT((Inputs!$A$5:$A$170=$B31)*Inputs!$B$5:$B$170*(((Inputs!$G$5:$G$170="moeda")+(Inputs!$G$5:$G$170="acoes"))*Inputs!$B$1+((Inputs!$G$5:$G$170&lt;&gt;"moeda")*(Inputs!$G$5:$G$170&lt;&gt;"acoes")))*INDEX(Inputs!$K$5:$AJ$170,0,MATCH(J$2,Inputs!$K$4:$AJ$4,0)))+SUMPRODUCT((Inputs!$C$5:$C$170=$B31)*Inputs!$D$5:$D$170*(((Inputs!$G$5:$G$170="moeda")+(Inputs!$G$5:$G$170="acoes"))*Inputs!$B$1+((Inputs!$G$5:$G$170&lt;&gt;"moeda")*(Inputs!$G$5:$G$170&lt;&gt;"acoes")))*INDEX(Inputs!$K$5:$AJ$170,0,MATCH(J$2,Inputs!$K$4:$AJ$4,0)))+SUMPRODUCT((Inputs!$E$5:$E$170=$B31)*Inputs!$F$5:$F$170*(((Inputs!$G$5:$G$170="moeda")+(Inputs!$G$5:$G$170="acoes"))*Inputs!$B$1+((Inputs!$G$5:$G$170&lt;&gt;"moeda")*(Inputs!$G$5:$G$170&lt;&gt;"acoes")))*INDEX(Inputs!$K$5:$AJ$170,0,MATCH(J$2,Inputs!$K$4:$AJ$4,0)))))</f>
        <v>778.005</v>
      </c>
      <c r="K31" s="6">
        <f>IF(ISNA(MATCH(K$2,Inputs!$K$4:$AJ$4,0)),NA(),IF(SUMPRODUCT((Inputs!$A$5:$A$170=$B31)*ISNUMBER(INDEX(Inputs!$K$5:$AJ$170,0,MATCH(K$2,Inputs!$K$4:$AJ$4,0))))+SUMPRODUCT((Inputs!$C$5:$C$170=$B31)*ISNUMBER(INDEX(Inputs!$K$5:$AJ$170,0,MATCH(K$2,Inputs!$K$4:$AJ$4,0))))+SUMPRODUCT((Inputs!$E$5:$E$170=$B31)*ISNUMBER(INDEX(Inputs!$K$5:$AJ$170,0,MATCH(K$2,Inputs!$K$4:$AJ$4,0))))=0,NA(),SUMPRODUCT((Inputs!$A$5:$A$170=$B31)*Inputs!$B$5:$B$170*(((Inputs!$G$5:$G$170="moeda")+(Inputs!$G$5:$G$170="acoes"))*Inputs!$B$1+((Inputs!$G$5:$G$170&lt;&gt;"moeda")*(Inputs!$G$5:$G$170&lt;&gt;"acoes")))*INDEX(Inputs!$K$5:$AJ$170,0,MATCH(K$2,Inputs!$K$4:$AJ$4,0)))+SUMPRODUCT((Inputs!$C$5:$C$170=$B31)*Inputs!$D$5:$D$170*(((Inputs!$G$5:$G$170="moeda")+(Inputs!$G$5:$G$170="acoes"))*Inputs!$B$1+((Inputs!$G$5:$G$170&lt;&gt;"moeda")*(Inputs!$G$5:$G$170&lt;&gt;"acoes")))*INDEX(Inputs!$K$5:$AJ$170,0,MATCH(K$2,Inputs!$K$4:$AJ$4,0)))+SUMPRODUCT((Inputs!$E$5:$E$170=$B31)*Inputs!$F$5:$F$170*(((Inputs!$G$5:$G$170="moeda")+(Inputs!$G$5:$G$170="acoes"))*Inputs!$B$1+((Inputs!$G$5:$G$170&lt;&gt;"moeda")*(Inputs!$G$5:$G$170&lt;&gt;"acoes")))*INDEX(Inputs!$K$5:$AJ$170,0,MATCH(K$2,Inputs!$K$4:$AJ$4,0)))))</f>
        <v>852.112</v>
      </c>
      <c r="L31" s="6">
        <f>IF(ISNA(MATCH(L$2,Inputs!$K$4:$AJ$4,0)),NA(),IF(SUMPRODUCT((Inputs!$A$5:$A$170=$B31)*ISNUMBER(INDEX(Inputs!$K$5:$AJ$170,0,MATCH(L$2,Inputs!$K$4:$AJ$4,0))))+SUMPRODUCT((Inputs!$C$5:$C$170=$B31)*ISNUMBER(INDEX(Inputs!$K$5:$AJ$170,0,MATCH(L$2,Inputs!$K$4:$AJ$4,0))))+SUMPRODUCT((Inputs!$E$5:$E$170=$B31)*ISNUMBER(INDEX(Inputs!$K$5:$AJ$170,0,MATCH(L$2,Inputs!$K$4:$AJ$4,0))))=0,NA(),SUMPRODUCT((Inputs!$A$5:$A$170=$B31)*Inputs!$B$5:$B$170*(((Inputs!$G$5:$G$170="moeda")+(Inputs!$G$5:$G$170="acoes"))*Inputs!$B$1+((Inputs!$G$5:$G$170&lt;&gt;"moeda")*(Inputs!$G$5:$G$170&lt;&gt;"acoes")))*INDEX(Inputs!$K$5:$AJ$170,0,MATCH(L$2,Inputs!$K$4:$AJ$4,0)))+SUMPRODUCT((Inputs!$C$5:$C$170=$B31)*Inputs!$D$5:$D$170*(((Inputs!$G$5:$G$170="moeda")+(Inputs!$G$5:$G$170="acoes"))*Inputs!$B$1+((Inputs!$G$5:$G$170&lt;&gt;"moeda")*(Inputs!$G$5:$G$170&lt;&gt;"acoes")))*INDEX(Inputs!$K$5:$AJ$170,0,MATCH(L$2,Inputs!$K$4:$AJ$4,0)))+SUMPRODUCT((Inputs!$E$5:$E$170=$B31)*Inputs!$F$5:$F$170*(((Inputs!$G$5:$G$170="moeda")+(Inputs!$G$5:$G$170="acoes"))*Inputs!$B$1+((Inputs!$G$5:$G$170&lt;&gt;"moeda")*(Inputs!$G$5:$G$170&lt;&gt;"acoes")))*INDEX(Inputs!$K$5:$AJ$170,0,MATCH(L$2,Inputs!$K$4:$AJ$4,0)))))</f>
        <v>1375.419</v>
      </c>
      <c r="M31" s="3">
        <f>L31</f>
        <v>1375.419</v>
      </c>
      <c r="N31" s="6">
        <f>IF(ISNA(MATCH(N$2,Inputs!$K$4:$AJ$4,0)),NA(),IF(SUMPRODUCT((Inputs!$A$5:$A$170=$B31)*ISNUMBER(INDEX(Inputs!$K$5:$AJ$170,0,MATCH(N$2,Inputs!$K$4:$AJ$4,0))))+SUMPRODUCT((Inputs!$C$5:$C$170=$B31)*ISNUMBER(INDEX(Inputs!$K$5:$AJ$170,0,MATCH(N$2,Inputs!$K$4:$AJ$4,0))))+SUMPRODUCT((Inputs!$E$5:$E$170=$B31)*ISNUMBER(INDEX(Inputs!$K$5:$AJ$170,0,MATCH(N$2,Inputs!$K$4:$AJ$4,0))))=0,NA(),SUMPRODUCT((Inputs!$A$5:$A$170=$B31)*Inputs!$B$5:$B$170*(((Inputs!$G$5:$G$170="moeda")+(Inputs!$G$5:$G$170="acoes"))*Inputs!$B$1+((Inputs!$G$5:$G$170&lt;&gt;"moeda")*(Inputs!$G$5:$G$170&lt;&gt;"acoes")))*INDEX(Inputs!$K$5:$AJ$170,0,MATCH(N$2,Inputs!$K$4:$AJ$4,0)))+SUMPRODUCT((Inputs!$C$5:$C$170=$B31)*Inputs!$D$5:$D$170*(((Inputs!$G$5:$G$170="moeda")+(Inputs!$G$5:$G$170="acoes"))*Inputs!$B$1+((Inputs!$G$5:$G$170&lt;&gt;"moeda")*(Inputs!$G$5:$G$170&lt;&gt;"acoes")))*INDEX(Inputs!$K$5:$AJ$170,0,MATCH(N$2,Inputs!$K$4:$AJ$4,0)))+SUMPRODUCT((Inputs!$E$5:$E$170=$B31)*Inputs!$F$5:$F$170*(((Inputs!$G$5:$G$170="moeda")+(Inputs!$G$5:$G$170="acoes"))*Inputs!$B$1+((Inputs!$G$5:$G$170&lt;&gt;"moeda")*(Inputs!$G$5:$G$170&lt;&gt;"acoes")))*INDEX(Inputs!$K$5:$AJ$170,0,MATCH(N$2,Inputs!$K$4:$AJ$4,0)))))</f>
        <v>1319.397</v>
      </c>
      <c r="O31" s="6">
        <f>IF(ISNA(MATCH(O$2,Inputs!$K$4:$AJ$4,0)),NA(),IF(SUMPRODUCT((Inputs!$A$5:$A$170=$B31)*ISNUMBER(INDEX(Inputs!$K$5:$AJ$170,0,MATCH(O$2,Inputs!$K$4:$AJ$4,0))))+SUMPRODUCT((Inputs!$C$5:$C$170=$B31)*ISNUMBER(INDEX(Inputs!$K$5:$AJ$170,0,MATCH(O$2,Inputs!$K$4:$AJ$4,0))))+SUMPRODUCT((Inputs!$E$5:$E$170=$B31)*ISNUMBER(INDEX(Inputs!$K$5:$AJ$170,0,MATCH(O$2,Inputs!$K$4:$AJ$4,0))))=0,NA(),SUMPRODUCT((Inputs!$A$5:$A$170=$B31)*Inputs!$B$5:$B$170*(((Inputs!$G$5:$G$170="moeda")+(Inputs!$G$5:$G$170="acoes"))*Inputs!$B$1+((Inputs!$G$5:$G$170&lt;&gt;"moeda")*(Inputs!$G$5:$G$170&lt;&gt;"acoes")))*INDEX(Inputs!$K$5:$AJ$170,0,MATCH(O$2,Inputs!$K$4:$AJ$4,0)))+SUMPRODUCT((Inputs!$C$5:$C$170=$B31)*Inputs!$D$5:$D$170*(((Inputs!$G$5:$G$170="moeda")+(Inputs!$G$5:$G$170="acoes"))*Inputs!$B$1+((Inputs!$G$5:$G$170&lt;&gt;"moeda")*(Inputs!$G$5:$G$170&lt;&gt;"acoes")))*INDEX(Inputs!$K$5:$AJ$170,0,MATCH(O$2,Inputs!$K$4:$AJ$4,0)))+SUMPRODUCT((Inputs!$E$5:$E$170=$B31)*Inputs!$F$5:$F$170*(((Inputs!$G$5:$G$170="moeda")+(Inputs!$G$5:$G$170="acoes"))*Inputs!$B$1+((Inputs!$G$5:$G$170&lt;&gt;"moeda")*(Inputs!$G$5:$G$170&lt;&gt;"acoes")))*INDEX(Inputs!$K$5:$AJ$170,0,MATCH(O$2,Inputs!$K$4:$AJ$4,0)))))</f>
        <v>930.606</v>
      </c>
      <c r="P31" s="6">
        <f>IF(ISNA(MATCH(P$2,Inputs!$K$4:$AJ$4,0)),NA(),IF(SUMPRODUCT((Inputs!$A$5:$A$170=$B31)*ISNUMBER(INDEX(Inputs!$K$5:$AJ$170,0,MATCH(P$2,Inputs!$K$4:$AJ$4,0))))+SUMPRODUCT((Inputs!$C$5:$C$170=$B31)*ISNUMBER(INDEX(Inputs!$K$5:$AJ$170,0,MATCH(P$2,Inputs!$K$4:$AJ$4,0))))+SUMPRODUCT((Inputs!$E$5:$E$170=$B31)*ISNUMBER(INDEX(Inputs!$K$5:$AJ$170,0,MATCH(P$2,Inputs!$K$4:$AJ$4,0))))=0,NA(),SUMPRODUCT((Inputs!$A$5:$A$170=$B31)*Inputs!$B$5:$B$170*(((Inputs!$G$5:$G$170="moeda")+(Inputs!$G$5:$G$170="acoes"))*Inputs!$B$1+((Inputs!$G$5:$G$170&lt;&gt;"moeda")*(Inputs!$G$5:$G$170&lt;&gt;"acoes")))*INDEX(Inputs!$K$5:$AJ$170,0,MATCH(P$2,Inputs!$K$4:$AJ$4,0)))+SUMPRODUCT((Inputs!$C$5:$C$170=$B31)*Inputs!$D$5:$D$170*(((Inputs!$G$5:$G$170="moeda")+(Inputs!$G$5:$G$170="acoes"))*Inputs!$B$1+((Inputs!$G$5:$G$170&lt;&gt;"moeda")*(Inputs!$G$5:$G$170&lt;&gt;"acoes")))*INDEX(Inputs!$K$5:$AJ$170,0,MATCH(P$2,Inputs!$K$4:$AJ$4,0)))+SUMPRODUCT((Inputs!$E$5:$E$170=$B31)*Inputs!$F$5:$F$170*(((Inputs!$G$5:$G$170="moeda")+(Inputs!$G$5:$G$170="acoes"))*Inputs!$B$1+((Inputs!$G$5:$G$170&lt;&gt;"moeda")*(Inputs!$G$5:$G$170&lt;&gt;"acoes")))*INDEX(Inputs!$K$5:$AJ$170,0,MATCH(P$2,Inputs!$K$4:$AJ$4,0)))))</f>
        <v>738.962</v>
      </c>
      <c r="Q31" s="6">
        <f>IF(ISNA(MATCH(Q$2,Inputs!$K$4:$AJ$4,0)),NA(),IF(SUMPRODUCT((Inputs!$A$5:$A$170=$B31)*ISNUMBER(INDEX(Inputs!$K$5:$AJ$170,0,MATCH(Q$2,Inputs!$K$4:$AJ$4,0))))+SUMPRODUCT((Inputs!$C$5:$C$170=$B31)*ISNUMBER(INDEX(Inputs!$K$5:$AJ$170,0,MATCH(Q$2,Inputs!$K$4:$AJ$4,0))))+SUMPRODUCT((Inputs!$E$5:$E$170=$B31)*ISNUMBER(INDEX(Inputs!$K$5:$AJ$170,0,MATCH(Q$2,Inputs!$K$4:$AJ$4,0))))=0,NA(),SUMPRODUCT((Inputs!$A$5:$A$170=$B31)*Inputs!$B$5:$B$170*(((Inputs!$G$5:$G$170="moeda")+(Inputs!$G$5:$G$170="acoes"))*Inputs!$B$1+((Inputs!$G$5:$G$170&lt;&gt;"moeda")*(Inputs!$G$5:$G$170&lt;&gt;"acoes")))*INDEX(Inputs!$K$5:$AJ$170,0,MATCH(Q$2,Inputs!$K$4:$AJ$4,0)))+SUMPRODUCT((Inputs!$C$5:$C$170=$B31)*Inputs!$D$5:$D$170*(((Inputs!$G$5:$G$170="moeda")+(Inputs!$G$5:$G$170="acoes"))*Inputs!$B$1+((Inputs!$G$5:$G$170&lt;&gt;"moeda")*(Inputs!$G$5:$G$170&lt;&gt;"acoes")))*INDEX(Inputs!$K$5:$AJ$170,0,MATCH(Q$2,Inputs!$K$4:$AJ$4,0)))+SUMPRODUCT((Inputs!$E$5:$E$170=$B31)*Inputs!$F$5:$F$170*(((Inputs!$G$5:$G$170="moeda")+(Inputs!$G$5:$G$170="acoes"))*Inputs!$B$1+((Inputs!$G$5:$G$170&lt;&gt;"moeda")*(Inputs!$G$5:$G$170&lt;&gt;"acoes")))*INDEX(Inputs!$K$5:$AJ$170,0,MATCH(Q$2,Inputs!$K$4:$AJ$4,0)))))</f>
        <v>1132.918</v>
      </c>
      <c r="R31" s="3">
        <f>Q31</f>
        <v>1132.918</v>
      </c>
      <c r="S31" s="6">
        <f>IF(ISNA(MATCH(S$2,Inputs!$K$4:$AJ$4,0)),NA(),IF(SUMPRODUCT((Inputs!$A$5:$A$170=$B31)*ISNUMBER(INDEX(Inputs!$K$5:$AJ$170,0,MATCH(S$2,Inputs!$K$4:$AJ$4,0))))+SUMPRODUCT((Inputs!$C$5:$C$170=$B31)*ISNUMBER(INDEX(Inputs!$K$5:$AJ$170,0,MATCH(S$2,Inputs!$K$4:$AJ$4,0))))+SUMPRODUCT((Inputs!$E$5:$E$170=$B31)*ISNUMBER(INDEX(Inputs!$K$5:$AJ$170,0,MATCH(S$2,Inputs!$K$4:$AJ$4,0))))=0,NA(),SUMPRODUCT((Inputs!$A$5:$A$170=$B31)*Inputs!$B$5:$B$170*(((Inputs!$G$5:$G$170="moeda")+(Inputs!$G$5:$G$170="acoes"))*Inputs!$B$1+((Inputs!$G$5:$G$170&lt;&gt;"moeda")*(Inputs!$G$5:$G$170&lt;&gt;"acoes")))*INDEX(Inputs!$K$5:$AJ$170,0,MATCH(S$2,Inputs!$K$4:$AJ$4,0)))+SUMPRODUCT((Inputs!$C$5:$C$170=$B31)*Inputs!$D$5:$D$170*(((Inputs!$G$5:$G$170="moeda")+(Inputs!$G$5:$G$170="acoes"))*Inputs!$B$1+((Inputs!$G$5:$G$170&lt;&gt;"moeda")*(Inputs!$G$5:$G$170&lt;&gt;"acoes")))*INDEX(Inputs!$K$5:$AJ$170,0,MATCH(S$2,Inputs!$K$4:$AJ$4,0)))+SUMPRODUCT((Inputs!$E$5:$E$170=$B31)*Inputs!$F$5:$F$170*(((Inputs!$G$5:$G$170="moeda")+(Inputs!$G$5:$G$170="acoes"))*Inputs!$B$1+((Inputs!$G$5:$G$170&lt;&gt;"moeda")*(Inputs!$G$5:$G$170&lt;&gt;"acoes")))*INDEX(Inputs!$K$5:$AJ$170,0,MATCH(S$2,Inputs!$K$4:$AJ$4,0)))))</f>
        <v>1898.452</v>
      </c>
      <c r="T31" s="6">
        <f>IF(ISNA(MATCH(T$2,Inputs!$K$4:$AJ$4,0)),NA(),IF(SUMPRODUCT((Inputs!$A$5:$A$170=$B31)*ISNUMBER(INDEX(Inputs!$K$5:$AJ$170,0,MATCH(T$2,Inputs!$K$4:$AJ$4,0))))+SUMPRODUCT((Inputs!$C$5:$C$170=$B31)*ISNUMBER(INDEX(Inputs!$K$5:$AJ$170,0,MATCH(T$2,Inputs!$K$4:$AJ$4,0))))+SUMPRODUCT((Inputs!$E$5:$E$170=$B31)*ISNUMBER(INDEX(Inputs!$K$5:$AJ$170,0,MATCH(T$2,Inputs!$K$4:$AJ$4,0))))=0,NA(),SUMPRODUCT((Inputs!$A$5:$A$170=$B31)*Inputs!$B$5:$B$170*(((Inputs!$G$5:$G$170="moeda")+(Inputs!$G$5:$G$170="acoes"))*Inputs!$B$1+((Inputs!$G$5:$G$170&lt;&gt;"moeda")*(Inputs!$G$5:$G$170&lt;&gt;"acoes")))*INDEX(Inputs!$K$5:$AJ$170,0,MATCH(T$2,Inputs!$K$4:$AJ$4,0)))+SUMPRODUCT((Inputs!$C$5:$C$170=$B31)*Inputs!$D$5:$D$170*(((Inputs!$G$5:$G$170="moeda")+(Inputs!$G$5:$G$170="acoes"))*Inputs!$B$1+((Inputs!$G$5:$G$170&lt;&gt;"moeda")*(Inputs!$G$5:$G$170&lt;&gt;"acoes")))*INDEX(Inputs!$K$5:$AJ$170,0,MATCH(T$2,Inputs!$K$4:$AJ$4,0)))+SUMPRODUCT((Inputs!$E$5:$E$170=$B31)*Inputs!$F$5:$F$170*(((Inputs!$G$5:$G$170="moeda")+(Inputs!$G$5:$G$170="acoes"))*Inputs!$B$1+((Inputs!$G$5:$G$170&lt;&gt;"moeda")*(Inputs!$G$5:$G$170&lt;&gt;"acoes")))*INDEX(Inputs!$K$5:$AJ$170,0,MATCH(T$2,Inputs!$K$4:$AJ$4,0)))))</f>
        <v>2004.9</v>
      </c>
      <c r="U31" s="6">
        <f>IF(ISNA(MATCH(U$2,Inputs!$K$4:$AJ$4,0)),NA(),IF(SUMPRODUCT((Inputs!$A$5:$A$170=$B31)*ISNUMBER(INDEX(Inputs!$K$5:$AJ$170,0,MATCH(U$2,Inputs!$K$4:$AJ$4,0))))+SUMPRODUCT((Inputs!$C$5:$C$170=$B31)*ISNUMBER(INDEX(Inputs!$K$5:$AJ$170,0,MATCH(U$2,Inputs!$K$4:$AJ$4,0))))+SUMPRODUCT((Inputs!$E$5:$E$170=$B31)*ISNUMBER(INDEX(Inputs!$K$5:$AJ$170,0,MATCH(U$2,Inputs!$K$4:$AJ$4,0))))=0,NA(),SUMPRODUCT((Inputs!$A$5:$A$170=$B31)*Inputs!$B$5:$B$170*(((Inputs!$G$5:$G$170="moeda")+(Inputs!$G$5:$G$170="acoes"))*Inputs!$B$1+((Inputs!$G$5:$G$170&lt;&gt;"moeda")*(Inputs!$G$5:$G$170&lt;&gt;"acoes")))*INDEX(Inputs!$K$5:$AJ$170,0,MATCH(U$2,Inputs!$K$4:$AJ$4,0)))+SUMPRODUCT((Inputs!$C$5:$C$170=$B31)*Inputs!$D$5:$D$170*(((Inputs!$G$5:$G$170="moeda")+(Inputs!$G$5:$G$170="acoes"))*Inputs!$B$1+((Inputs!$G$5:$G$170&lt;&gt;"moeda")*(Inputs!$G$5:$G$170&lt;&gt;"acoes")))*INDEX(Inputs!$K$5:$AJ$170,0,MATCH(U$2,Inputs!$K$4:$AJ$4,0)))+SUMPRODUCT((Inputs!$E$5:$E$170=$B31)*Inputs!$F$5:$F$170*(((Inputs!$G$5:$G$170="moeda")+(Inputs!$G$5:$G$170="acoes"))*Inputs!$B$1+((Inputs!$G$5:$G$170&lt;&gt;"moeda")*(Inputs!$G$5:$G$170&lt;&gt;"acoes")))*INDEX(Inputs!$K$5:$AJ$170,0,MATCH(U$2,Inputs!$K$4:$AJ$4,0)))))</f>
        <v>1499.404</v>
      </c>
      <c r="V31" s="6">
        <f>IF(ISNA(MATCH(V$2,Inputs!$K$4:$AJ$4,0)),NA(),IF(SUMPRODUCT((Inputs!$A$5:$A$170=$B31)*ISNUMBER(INDEX(Inputs!$K$5:$AJ$170,0,MATCH(V$2,Inputs!$K$4:$AJ$4,0))))+SUMPRODUCT((Inputs!$C$5:$C$170=$B31)*ISNUMBER(INDEX(Inputs!$K$5:$AJ$170,0,MATCH(V$2,Inputs!$K$4:$AJ$4,0))))+SUMPRODUCT((Inputs!$E$5:$E$170=$B31)*ISNUMBER(INDEX(Inputs!$K$5:$AJ$170,0,MATCH(V$2,Inputs!$K$4:$AJ$4,0))))=0,NA(),SUMPRODUCT((Inputs!$A$5:$A$170=$B31)*Inputs!$B$5:$B$170*(((Inputs!$G$5:$G$170="moeda")+(Inputs!$G$5:$G$170="acoes"))*Inputs!$B$1+((Inputs!$G$5:$G$170&lt;&gt;"moeda")*(Inputs!$G$5:$G$170&lt;&gt;"acoes")))*INDEX(Inputs!$K$5:$AJ$170,0,MATCH(V$2,Inputs!$K$4:$AJ$4,0)))+SUMPRODUCT((Inputs!$C$5:$C$170=$B31)*Inputs!$D$5:$D$170*(((Inputs!$G$5:$G$170="moeda")+(Inputs!$G$5:$G$170="acoes"))*Inputs!$B$1+((Inputs!$G$5:$G$170&lt;&gt;"moeda")*(Inputs!$G$5:$G$170&lt;&gt;"acoes")))*INDEX(Inputs!$K$5:$AJ$170,0,MATCH(V$2,Inputs!$K$4:$AJ$4,0)))+SUMPRODUCT((Inputs!$E$5:$E$170=$B31)*Inputs!$F$5:$F$170*(((Inputs!$G$5:$G$170="moeda")+(Inputs!$G$5:$G$170="acoes"))*Inputs!$B$1+((Inputs!$G$5:$G$170&lt;&gt;"moeda")*(Inputs!$G$5:$G$170&lt;&gt;"acoes")))*INDEX(Inputs!$K$5:$AJ$170,0,MATCH(V$2,Inputs!$K$4:$AJ$4,0)))))</f>
        <v>1297.016</v>
      </c>
      <c r="W31" s="3">
        <f>V31</f>
        <v>1297.016</v>
      </c>
      <c r="X31" s="6">
        <f>IF(ISNA(MATCH(X$2,Inputs!$K$4:$AJ$4,0)),NA(),IF(SUMPRODUCT((Inputs!$A$5:$A$170=$B31)*ISNUMBER(INDEX(Inputs!$K$5:$AJ$170,0,MATCH(X$2,Inputs!$K$4:$AJ$4,0))))+SUMPRODUCT((Inputs!$C$5:$C$170=$B31)*ISNUMBER(INDEX(Inputs!$K$5:$AJ$170,0,MATCH(X$2,Inputs!$K$4:$AJ$4,0))))+SUMPRODUCT((Inputs!$E$5:$E$170=$B31)*ISNUMBER(INDEX(Inputs!$K$5:$AJ$170,0,MATCH(X$2,Inputs!$K$4:$AJ$4,0))))=0,NA(),SUMPRODUCT((Inputs!$A$5:$A$170=$B31)*Inputs!$B$5:$B$170*(((Inputs!$G$5:$G$170="moeda")+(Inputs!$G$5:$G$170="acoes"))*Inputs!$B$1+((Inputs!$G$5:$G$170&lt;&gt;"moeda")*(Inputs!$G$5:$G$170&lt;&gt;"acoes")))*INDEX(Inputs!$K$5:$AJ$170,0,MATCH(X$2,Inputs!$K$4:$AJ$4,0)))+SUMPRODUCT((Inputs!$C$5:$C$170=$B31)*Inputs!$D$5:$D$170*(((Inputs!$G$5:$G$170="moeda")+(Inputs!$G$5:$G$170="acoes"))*Inputs!$B$1+((Inputs!$G$5:$G$170&lt;&gt;"moeda")*(Inputs!$G$5:$G$170&lt;&gt;"acoes")))*INDEX(Inputs!$K$5:$AJ$170,0,MATCH(X$2,Inputs!$K$4:$AJ$4,0)))+SUMPRODUCT((Inputs!$E$5:$E$170=$B31)*Inputs!$F$5:$F$170*(((Inputs!$G$5:$G$170="moeda")+(Inputs!$G$5:$G$170="acoes"))*Inputs!$B$1+((Inputs!$G$5:$G$170&lt;&gt;"moeda")*(Inputs!$G$5:$G$170&lt;&gt;"acoes")))*INDEX(Inputs!$K$5:$AJ$170,0,MATCH(X$2,Inputs!$K$4:$AJ$4,0)))))</f>
        <v>1956.479</v>
      </c>
      <c r="Y31" s="6">
        <f>IF(ISNA(MATCH(Y$2,Inputs!$K$4:$AJ$4,0)),NA(),IF(SUMPRODUCT((Inputs!$A$5:$A$170=$B31)*ISNUMBER(INDEX(Inputs!$K$5:$AJ$170,0,MATCH(Y$2,Inputs!$K$4:$AJ$4,0))))+SUMPRODUCT((Inputs!$C$5:$C$170=$B31)*ISNUMBER(INDEX(Inputs!$K$5:$AJ$170,0,MATCH(Y$2,Inputs!$K$4:$AJ$4,0))))+SUMPRODUCT((Inputs!$E$5:$E$170=$B31)*ISNUMBER(INDEX(Inputs!$K$5:$AJ$170,0,MATCH(Y$2,Inputs!$K$4:$AJ$4,0))))=0,NA(),SUMPRODUCT((Inputs!$A$5:$A$170=$B31)*Inputs!$B$5:$B$170*(((Inputs!$G$5:$G$170="moeda")+(Inputs!$G$5:$G$170="acoes"))*Inputs!$B$1+((Inputs!$G$5:$G$170&lt;&gt;"moeda")*(Inputs!$G$5:$G$170&lt;&gt;"acoes")))*INDEX(Inputs!$K$5:$AJ$170,0,MATCH(Y$2,Inputs!$K$4:$AJ$4,0)))+SUMPRODUCT((Inputs!$C$5:$C$170=$B31)*Inputs!$D$5:$D$170*(((Inputs!$G$5:$G$170="moeda")+(Inputs!$G$5:$G$170="acoes"))*Inputs!$B$1+((Inputs!$G$5:$G$170&lt;&gt;"moeda")*(Inputs!$G$5:$G$170&lt;&gt;"acoes")))*INDEX(Inputs!$K$5:$AJ$170,0,MATCH(Y$2,Inputs!$K$4:$AJ$4,0)))+SUMPRODUCT((Inputs!$E$5:$E$170=$B31)*Inputs!$F$5:$F$170*(((Inputs!$G$5:$G$170="moeda")+(Inputs!$G$5:$G$170="acoes"))*Inputs!$B$1+((Inputs!$G$5:$G$170&lt;&gt;"moeda")*(Inputs!$G$5:$G$170&lt;&gt;"acoes")))*INDEX(Inputs!$K$5:$AJ$170,0,MATCH(Y$2,Inputs!$K$4:$AJ$4,0)))))</f>
        <v>1719.466</v>
      </c>
      <c r="Z31" s="6">
        <f>IF(ISNA(MATCH(Z$2,Inputs!$K$4:$AJ$4,0)),NA(),IF(SUMPRODUCT((Inputs!$A$5:$A$170=$B31)*ISNUMBER(INDEX(Inputs!$K$5:$AJ$170,0,MATCH(Z$2,Inputs!$K$4:$AJ$4,0))))+SUMPRODUCT((Inputs!$C$5:$C$170=$B31)*ISNUMBER(INDEX(Inputs!$K$5:$AJ$170,0,MATCH(Z$2,Inputs!$K$4:$AJ$4,0))))+SUMPRODUCT((Inputs!$E$5:$E$170=$B31)*ISNUMBER(INDEX(Inputs!$K$5:$AJ$170,0,MATCH(Z$2,Inputs!$K$4:$AJ$4,0))))=0,NA(),SUMPRODUCT((Inputs!$A$5:$A$170=$B31)*Inputs!$B$5:$B$170*(((Inputs!$G$5:$G$170="moeda")+(Inputs!$G$5:$G$170="acoes"))*Inputs!$B$1+((Inputs!$G$5:$G$170&lt;&gt;"moeda")*(Inputs!$G$5:$G$170&lt;&gt;"acoes")))*INDEX(Inputs!$K$5:$AJ$170,0,MATCH(Z$2,Inputs!$K$4:$AJ$4,0)))+SUMPRODUCT((Inputs!$C$5:$C$170=$B31)*Inputs!$D$5:$D$170*(((Inputs!$G$5:$G$170="moeda")+(Inputs!$G$5:$G$170="acoes"))*Inputs!$B$1+((Inputs!$G$5:$G$170&lt;&gt;"moeda")*(Inputs!$G$5:$G$170&lt;&gt;"acoes")))*INDEX(Inputs!$K$5:$AJ$170,0,MATCH(Z$2,Inputs!$K$4:$AJ$4,0)))+SUMPRODUCT((Inputs!$E$5:$E$170=$B31)*Inputs!$F$5:$F$170*(((Inputs!$G$5:$G$170="moeda")+(Inputs!$G$5:$G$170="acoes"))*Inputs!$B$1+((Inputs!$G$5:$G$170&lt;&gt;"moeda")*(Inputs!$G$5:$G$170&lt;&gt;"acoes")))*INDEX(Inputs!$K$5:$AJ$170,0,MATCH(Z$2,Inputs!$K$4:$AJ$4,0)))))</f>
        <v>2126.293</v>
      </c>
      <c r="AA31" s="6">
        <f>IF(ISNA(MATCH(AA$2,Inputs!$K$4:$AJ$4,0)),NA(),IF(SUMPRODUCT((Inputs!$A$5:$A$170=$B31)*ISNUMBER(INDEX(Inputs!$K$5:$AJ$170,0,MATCH(AA$2,Inputs!$K$4:$AJ$4,0))))+SUMPRODUCT((Inputs!$C$5:$C$170=$B31)*ISNUMBER(INDEX(Inputs!$K$5:$AJ$170,0,MATCH(AA$2,Inputs!$K$4:$AJ$4,0))))+SUMPRODUCT((Inputs!$E$5:$E$170=$B31)*ISNUMBER(INDEX(Inputs!$K$5:$AJ$170,0,MATCH(AA$2,Inputs!$K$4:$AJ$4,0))))=0,NA(),SUMPRODUCT((Inputs!$A$5:$A$170=$B31)*Inputs!$B$5:$B$170*(((Inputs!$G$5:$G$170="moeda")+(Inputs!$G$5:$G$170="acoes"))*Inputs!$B$1+((Inputs!$G$5:$G$170&lt;&gt;"moeda")*(Inputs!$G$5:$G$170&lt;&gt;"acoes")))*INDEX(Inputs!$K$5:$AJ$170,0,MATCH(AA$2,Inputs!$K$4:$AJ$4,0)))+SUMPRODUCT((Inputs!$C$5:$C$170=$B31)*Inputs!$D$5:$D$170*(((Inputs!$G$5:$G$170="moeda")+(Inputs!$G$5:$G$170="acoes"))*Inputs!$B$1+((Inputs!$G$5:$G$170&lt;&gt;"moeda")*(Inputs!$G$5:$G$170&lt;&gt;"acoes")))*INDEX(Inputs!$K$5:$AJ$170,0,MATCH(AA$2,Inputs!$K$4:$AJ$4,0)))+SUMPRODUCT((Inputs!$E$5:$E$170=$B31)*Inputs!$F$5:$F$170*(((Inputs!$G$5:$G$170="moeda")+(Inputs!$G$5:$G$170="acoes"))*Inputs!$B$1+((Inputs!$G$5:$G$170&lt;&gt;"moeda")*(Inputs!$G$5:$G$170&lt;&gt;"acoes")))*INDEX(Inputs!$K$5:$AJ$170,0,MATCH(AA$2,Inputs!$K$4:$AJ$4,0)))))</f>
        <v>2233.918</v>
      </c>
      <c r="AB31" s="3">
        <f>AA31</f>
        <v>2233.918</v>
      </c>
      <c r="AC31" s="6">
        <f>IF(ISNA(MATCH(AC$2,Inputs!$K$4:$AJ$4,0)),NA(),IF(SUMPRODUCT((Inputs!$A$5:$A$170=$B31)*ISNUMBER(INDEX(Inputs!$K$5:$AJ$170,0,MATCH(AC$2,Inputs!$K$4:$AJ$4,0))))+SUMPRODUCT((Inputs!$C$5:$C$170=$B31)*ISNUMBER(INDEX(Inputs!$K$5:$AJ$170,0,MATCH(AC$2,Inputs!$K$4:$AJ$4,0))))+SUMPRODUCT((Inputs!$E$5:$E$170=$B31)*ISNUMBER(INDEX(Inputs!$K$5:$AJ$170,0,MATCH(AC$2,Inputs!$K$4:$AJ$4,0))))=0,NA(),SUMPRODUCT((Inputs!$A$5:$A$170=$B31)*Inputs!$B$5:$B$170*(((Inputs!$G$5:$G$170="moeda")+(Inputs!$G$5:$G$170="acoes"))*Inputs!$B$1+((Inputs!$G$5:$G$170&lt;&gt;"moeda")*(Inputs!$G$5:$G$170&lt;&gt;"acoes")))*INDEX(Inputs!$K$5:$AJ$170,0,MATCH(AC$2,Inputs!$K$4:$AJ$4,0)))+SUMPRODUCT((Inputs!$C$5:$C$170=$B31)*Inputs!$D$5:$D$170*(((Inputs!$G$5:$G$170="moeda")+(Inputs!$G$5:$G$170="acoes"))*Inputs!$B$1+((Inputs!$G$5:$G$170&lt;&gt;"moeda")*(Inputs!$G$5:$G$170&lt;&gt;"acoes")))*INDEX(Inputs!$K$5:$AJ$170,0,MATCH(AC$2,Inputs!$K$4:$AJ$4,0)))+SUMPRODUCT((Inputs!$E$5:$E$170=$B31)*Inputs!$F$5:$F$170*(((Inputs!$G$5:$G$170="moeda")+(Inputs!$G$5:$G$170="acoes"))*Inputs!$B$1+((Inputs!$G$5:$G$170&lt;&gt;"moeda")*(Inputs!$G$5:$G$170&lt;&gt;"acoes")))*INDEX(Inputs!$K$5:$AJ$170,0,MATCH(AC$2,Inputs!$K$4:$AJ$4,0)))))</f>
        <v>2007.831</v>
      </c>
      <c r="AD31" s="6">
        <f>IF(ISNA(MATCH(AD$2,Inputs!$K$4:$AJ$4,0)),NA(),IF(SUMPRODUCT((Inputs!$A$5:$A$170=$B31)*ISNUMBER(INDEX(Inputs!$K$5:$AJ$170,0,MATCH(AD$2,Inputs!$K$4:$AJ$4,0))))+SUMPRODUCT((Inputs!$C$5:$C$170=$B31)*ISNUMBER(INDEX(Inputs!$K$5:$AJ$170,0,MATCH(AD$2,Inputs!$K$4:$AJ$4,0))))+SUMPRODUCT((Inputs!$E$5:$E$170=$B31)*ISNUMBER(INDEX(Inputs!$K$5:$AJ$170,0,MATCH(AD$2,Inputs!$K$4:$AJ$4,0))))=0,NA(),SUMPRODUCT((Inputs!$A$5:$A$170=$B31)*Inputs!$B$5:$B$170*(((Inputs!$G$5:$G$170="moeda")+(Inputs!$G$5:$G$170="acoes"))*Inputs!$B$1+((Inputs!$G$5:$G$170&lt;&gt;"moeda")*(Inputs!$G$5:$G$170&lt;&gt;"acoes")))*INDEX(Inputs!$K$5:$AJ$170,0,MATCH(AD$2,Inputs!$K$4:$AJ$4,0)))+SUMPRODUCT((Inputs!$C$5:$C$170=$B31)*Inputs!$D$5:$D$170*(((Inputs!$G$5:$G$170="moeda")+(Inputs!$G$5:$G$170="acoes"))*Inputs!$B$1+((Inputs!$G$5:$G$170&lt;&gt;"moeda")*(Inputs!$G$5:$G$170&lt;&gt;"acoes")))*INDEX(Inputs!$K$5:$AJ$170,0,MATCH(AD$2,Inputs!$K$4:$AJ$4,0)))+SUMPRODUCT((Inputs!$E$5:$E$170=$B31)*Inputs!$F$5:$F$170*(((Inputs!$G$5:$G$170="moeda")+(Inputs!$G$5:$G$170="acoes"))*Inputs!$B$1+((Inputs!$G$5:$G$170&lt;&gt;"moeda")*(Inputs!$G$5:$G$170&lt;&gt;"acoes")))*INDEX(Inputs!$K$5:$AJ$170,0,MATCH(AD$2,Inputs!$K$4:$AJ$4,0)))))</f>
        <v>1832.988</v>
      </c>
      <c r="AE31" s="6" t="e">
        <f>IF(ISNA(MATCH(AE$2,Inputs!$K$4:$AJ$4,0)),NA(),IF(SUMPRODUCT((Inputs!$A$5:$A$170=$B31)*ISNUMBER(INDEX(Inputs!$K$5:$AJ$170,0,MATCH(AE$2,Inputs!$K$4:$AJ$4,0))))+SUMPRODUCT((Inputs!$C$5:$C$170=$B31)*ISNUMBER(INDEX(Inputs!$K$5:$AJ$170,0,MATCH(AE$2,Inputs!$K$4:$AJ$4,0))))+SUMPRODUCT((Inputs!$E$5:$E$170=$B31)*ISNUMBER(INDEX(Inputs!$K$5:$AJ$170,0,MATCH(AE$2,Inputs!$K$4:$AJ$4,0))))=0,NA(),SUMPRODUCT((Inputs!$A$5:$A$170=$B31)*Inputs!$B$5:$B$170*(((Inputs!$G$5:$G$170="moeda")+(Inputs!$G$5:$G$170="acoes"))*Inputs!$B$1+((Inputs!$G$5:$G$170&lt;&gt;"moeda")*(Inputs!$G$5:$G$170&lt;&gt;"acoes")))*INDEX(Inputs!$K$5:$AJ$170,0,MATCH(AE$2,Inputs!$K$4:$AJ$4,0)))+SUMPRODUCT((Inputs!$C$5:$C$170=$B31)*Inputs!$D$5:$D$170*(((Inputs!$G$5:$G$170="moeda")+(Inputs!$G$5:$G$170="acoes"))*Inputs!$B$1+((Inputs!$G$5:$G$170&lt;&gt;"moeda")*(Inputs!$G$5:$G$170&lt;&gt;"acoes")))*INDEX(Inputs!$K$5:$AJ$170,0,MATCH(AE$2,Inputs!$K$4:$AJ$4,0)))+SUMPRODUCT((Inputs!$E$5:$E$170=$B31)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1" s="6" t="e">
        <f>IF(ISNA(MATCH(AF$2,Inputs!$K$4:$AJ$4,0)),NA(),IF(SUMPRODUCT((Inputs!$A$5:$A$170=$B31)*ISNUMBER(INDEX(Inputs!$K$5:$AJ$170,0,MATCH(AF$2,Inputs!$K$4:$AJ$4,0))))+SUMPRODUCT((Inputs!$C$5:$C$170=$B31)*ISNUMBER(INDEX(Inputs!$K$5:$AJ$170,0,MATCH(AF$2,Inputs!$K$4:$AJ$4,0))))+SUMPRODUCT((Inputs!$E$5:$E$170=$B31)*ISNUMBER(INDEX(Inputs!$K$5:$AJ$170,0,MATCH(AF$2,Inputs!$K$4:$AJ$4,0))))=0,NA(),SUMPRODUCT((Inputs!$A$5:$A$170=$B31)*Inputs!$B$5:$B$170*(((Inputs!$G$5:$G$170="moeda")+(Inputs!$G$5:$G$170="acoes"))*Inputs!$B$1+((Inputs!$G$5:$G$170&lt;&gt;"moeda")*(Inputs!$G$5:$G$170&lt;&gt;"acoes")))*INDEX(Inputs!$K$5:$AJ$170,0,MATCH(AF$2,Inputs!$K$4:$AJ$4,0)))+SUMPRODUCT((Inputs!$C$5:$C$170=$B31)*Inputs!$D$5:$D$170*(((Inputs!$G$5:$G$170="moeda")+(Inputs!$G$5:$G$170="acoes"))*Inputs!$B$1+((Inputs!$G$5:$G$170&lt;&gt;"moeda")*(Inputs!$G$5:$G$170&lt;&gt;"acoes")))*INDEX(Inputs!$K$5:$AJ$170,0,MATCH(AF$2,Inputs!$K$4:$AJ$4,0)))+SUMPRODUCT((Inputs!$E$5:$E$170=$B31)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1" s="3" t="e">
        <f>AF31</f>
        <v>#N/A</v>
      </c>
      <c r="AH31" s="6">
        <f>IF(ISNA(MATCH(AH$2,Inputs!$K$4:$AJ$4,0)),NA(),IF(SUMPRODUCT((Inputs!$A$5:$A$170=$B31)*ISNUMBER(INDEX(Inputs!$K$5:$AJ$170,0,MATCH(AH$2,Inputs!$K$4:$AJ$4,0))))+SUMPRODUCT((Inputs!$C$5:$C$170=$B31)*ISNUMBER(INDEX(Inputs!$K$5:$AJ$170,0,MATCH(AH$2,Inputs!$K$4:$AJ$4,0))))+SUMPRODUCT((Inputs!$E$5:$E$170=$B31)*ISNUMBER(INDEX(Inputs!$K$5:$AJ$170,0,MATCH(AH$2,Inputs!$K$4:$AJ$4,0))))=0,NA(),SUMPRODUCT((Inputs!$A$5:$A$170=$B31)*Inputs!$B$5:$B$170*(((Inputs!$G$5:$G$170="moeda")+(Inputs!$G$5:$G$170="acoes"))*Inputs!$B$1+((Inputs!$G$5:$G$170&lt;&gt;"moeda")*(Inputs!$G$5:$G$170&lt;&gt;"acoes")))*INDEX(Inputs!$K$5:$AJ$170,0,MATCH(AH$2,Inputs!$K$4:$AJ$4,0)))+SUMPRODUCT((Inputs!$C$5:$C$170=$B31)*Inputs!$D$5:$D$170*(((Inputs!$G$5:$G$170="moeda")+(Inputs!$G$5:$G$170="acoes"))*Inputs!$B$1+((Inputs!$G$5:$G$170&lt;&gt;"moeda")*(Inputs!$G$5:$G$170&lt;&gt;"acoes")))*INDEX(Inputs!$K$5:$AJ$170,0,MATCH(AH$2,Inputs!$K$4:$AJ$4,0)))+SUMPRODUCT((Inputs!$E$5:$E$170=$B31)*Inputs!$F$5:$F$170*(((Inputs!$G$5:$G$170="moeda")+(Inputs!$G$5:$G$170="acoes"))*Inputs!$B$1+((Inputs!$G$5:$G$170&lt;&gt;"moeda")*(Inputs!$G$5:$G$170&lt;&gt;"acoes")))*INDEX(Inputs!$K$5:$AJ$170,0,MATCH(AH$2,Inputs!$K$4:$AJ$4,0)))))</f>
        <v>105.491</v>
      </c>
      <c r="AI31" s="6">
        <f>IF(ISNA(MATCH(AI$2,Inputs!$K$4:$AJ$4,0)),NA(),IF(SUMPRODUCT((Inputs!$A$5:$A$170=$B31)*ISNUMBER(INDEX(Inputs!$K$5:$AJ$170,0,MATCH(AI$2,Inputs!$K$4:$AJ$4,0))))+SUMPRODUCT((Inputs!$C$5:$C$170=$B31)*ISNUMBER(INDEX(Inputs!$K$5:$AJ$170,0,MATCH(AI$2,Inputs!$K$4:$AJ$4,0))))+SUMPRODUCT((Inputs!$E$5:$E$170=$B31)*ISNUMBER(INDEX(Inputs!$K$5:$AJ$170,0,MATCH(AI$2,Inputs!$K$4:$AJ$4,0))))=0,NA(),SUMPRODUCT((Inputs!$A$5:$A$170=$B31)*Inputs!$B$5:$B$170*(((Inputs!$G$5:$G$170="moeda")+(Inputs!$G$5:$G$170="acoes"))*Inputs!$B$1+((Inputs!$G$5:$G$170&lt;&gt;"moeda")*(Inputs!$G$5:$G$170&lt;&gt;"acoes")))*INDEX(Inputs!$K$5:$AJ$170,0,MATCH(AI$2,Inputs!$K$4:$AJ$4,0)))+SUMPRODUCT((Inputs!$C$5:$C$170=$B31)*Inputs!$D$5:$D$170*(((Inputs!$G$5:$G$170="moeda")+(Inputs!$G$5:$G$170="acoes"))*Inputs!$B$1+((Inputs!$G$5:$G$170&lt;&gt;"moeda")*(Inputs!$G$5:$G$170&lt;&gt;"acoes")))*INDEX(Inputs!$K$5:$AJ$170,0,MATCH(AI$2,Inputs!$K$4:$AJ$4,0)))+SUMPRODUCT((Inputs!$E$5:$E$170=$B31)*Inputs!$F$5:$F$170*(((Inputs!$G$5:$G$170="moeda")+(Inputs!$G$5:$G$170="acoes"))*Inputs!$B$1+((Inputs!$G$5:$G$170&lt;&gt;"moeda")*(Inputs!$G$5:$G$170&lt;&gt;"acoes")))*INDEX(Inputs!$K$5:$AJ$170,0,MATCH(AI$2,Inputs!$K$4:$AJ$4,0)))))</f>
        <v>104.964</v>
      </c>
      <c r="AJ31" s="6">
        <f>IF(ISNA(MATCH(AJ$2,Inputs!$K$4:$AJ$4,0)),NA(),IF(SUMPRODUCT((Inputs!$A$5:$A$170=$B31)*ISNUMBER(INDEX(Inputs!$K$5:$AJ$170,0,MATCH(AJ$2,Inputs!$K$4:$AJ$4,0))))+SUMPRODUCT((Inputs!$C$5:$C$170=$B31)*ISNUMBER(INDEX(Inputs!$K$5:$AJ$170,0,MATCH(AJ$2,Inputs!$K$4:$AJ$4,0))))+SUMPRODUCT((Inputs!$E$5:$E$170=$B31)*ISNUMBER(INDEX(Inputs!$K$5:$AJ$170,0,MATCH(AJ$2,Inputs!$K$4:$AJ$4,0))))=0,NA(),SUMPRODUCT((Inputs!$A$5:$A$170=$B31)*Inputs!$B$5:$B$170*(((Inputs!$G$5:$G$170="moeda")+(Inputs!$G$5:$G$170="acoes"))*Inputs!$B$1+((Inputs!$G$5:$G$170&lt;&gt;"moeda")*(Inputs!$G$5:$G$170&lt;&gt;"acoes")))*INDEX(Inputs!$K$5:$AJ$170,0,MATCH(AJ$2,Inputs!$K$4:$AJ$4,0)))+SUMPRODUCT((Inputs!$C$5:$C$170=$B31)*Inputs!$D$5:$D$170*(((Inputs!$G$5:$G$170="moeda")+(Inputs!$G$5:$G$170="acoes"))*Inputs!$B$1+((Inputs!$G$5:$G$170&lt;&gt;"moeda")*(Inputs!$G$5:$G$170&lt;&gt;"acoes")))*INDEX(Inputs!$K$5:$AJ$170,0,MATCH(AJ$2,Inputs!$K$4:$AJ$4,0)))+SUMPRODUCT((Inputs!$E$5:$E$170=$B31)*Inputs!$F$5:$F$170*(((Inputs!$G$5:$G$170="moeda")+(Inputs!$G$5:$G$170="acoes"))*Inputs!$B$1+((Inputs!$G$5:$G$170&lt;&gt;"moeda")*(Inputs!$G$5:$G$170&lt;&gt;"acoes")))*INDEX(Inputs!$K$5:$AJ$170,0,MATCH(AJ$2,Inputs!$K$4:$AJ$4,0)))))</f>
        <v>110.749</v>
      </c>
      <c r="AK31" s="6">
        <f>IF(ISNA(MATCH(AK$2,Inputs!$K$4:$AJ$4,0)),NA(),IF(SUMPRODUCT((Inputs!$A$5:$A$170=$B31)*ISNUMBER(INDEX(Inputs!$K$5:$AJ$170,0,MATCH(AK$2,Inputs!$K$4:$AJ$4,0))))+SUMPRODUCT((Inputs!$C$5:$C$170=$B31)*ISNUMBER(INDEX(Inputs!$K$5:$AJ$170,0,MATCH(AK$2,Inputs!$K$4:$AJ$4,0))))+SUMPRODUCT((Inputs!$E$5:$E$170=$B31)*ISNUMBER(INDEX(Inputs!$K$5:$AJ$170,0,MATCH(AK$2,Inputs!$K$4:$AJ$4,0))))=0,NA(),SUMPRODUCT((Inputs!$A$5:$A$170=$B31)*Inputs!$B$5:$B$170*(((Inputs!$G$5:$G$170="moeda")+(Inputs!$G$5:$G$170="acoes"))*Inputs!$B$1+((Inputs!$G$5:$G$170&lt;&gt;"moeda")*(Inputs!$G$5:$G$170&lt;&gt;"acoes")))*INDEX(Inputs!$K$5:$AJ$170,0,MATCH(AK$2,Inputs!$K$4:$AJ$4,0)))+SUMPRODUCT((Inputs!$C$5:$C$170=$B31)*Inputs!$D$5:$D$170*(((Inputs!$G$5:$G$170="moeda")+(Inputs!$G$5:$G$170="acoes"))*Inputs!$B$1+((Inputs!$G$5:$G$170&lt;&gt;"moeda")*(Inputs!$G$5:$G$170&lt;&gt;"acoes")))*INDEX(Inputs!$K$5:$AJ$170,0,MATCH(AK$2,Inputs!$K$4:$AJ$4,0)))+SUMPRODUCT((Inputs!$E$5:$E$170=$B31)*Inputs!$F$5:$F$170*(((Inputs!$G$5:$G$170="moeda")+(Inputs!$G$5:$G$170="acoes"))*Inputs!$B$1+((Inputs!$G$5:$G$170&lt;&gt;"moeda")*(Inputs!$G$5:$G$170&lt;&gt;"acoes")))*INDEX(Inputs!$K$5:$AJ$170,0,MATCH(AK$2,Inputs!$K$4:$AJ$4,0)))))</f>
        <v>114.588</v>
      </c>
      <c r="AL31" s="3">
        <f>AK31</f>
        <v>114.588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$170=$B32)*ISNUMBER(INDEX(Inputs!$K$5:$AJ$170,0,MATCH(D$2,Inputs!$K$4:$AJ$4,0))))+SUMPRODUCT((Inputs!$C$5:$C$170=$B32)*ISNUMBER(INDEX(Inputs!$K$5:$AJ$170,0,MATCH(D$2,Inputs!$K$4:$AJ$4,0))))+SUMPRODUCT((Inputs!$E$5:$E$170=$B32)*ISNUMBER(INDEX(Inputs!$K$5:$AJ$170,0,MATCH(D$2,Inputs!$K$4:$AJ$4,0))))=0,NA(),SUMPRODUCT((Inputs!$A$5:$A$170=$B32)*Inputs!$B$5:$B$170*(((Inputs!$G$5:$G$170="moeda")+(Inputs!$G$5:$G$170="acoes"))*Inputs!$B$1+((Inputs!$G$5:$G$170&lt;&gt;"moeda")*(Inputs!$G$5:$G$170&lt;&gt;"acoes")))*INDEX(Inputs!$K$5:$AJ$170,0,MATCH(D$2,Inputs!$K$4:$AJ$4,0)))+SUMPRODUCT((Inputs!$C$5:$C$170=$B32)*Inputs!$D$5:$D$170*(((Inputs!$G$5:$G$170="moeda")+(Inputs!$G$5:$G$170="acoes"))*Inputs!$B$1+((Inputs!$G$5:$G$170&lt;&gt;"moeda")*(Inputs!$G$5:$G$170&lt;&gt;"acoes")))*INDEX(Inputs!$K$5:$AJ$170,0,MATCH(D$2,Inputs!$K$4:$AJ$4,0)))+SUMPRODUCT((Inputs!$E$5:$E$170=$B32)*Inputs!$F$5:$F$170*(((Inputs!$G$5:$G$170="moeda")+(Inputs!$G$5:$G$170="acoes"))*Inputs!$B$1+((Inputs!$G$5:$G$170&lt;&gt;"moeda")*(Inputs!$G$5:$G$170&lt;&gt;"acoes")))*INDEX(Inputs!$K$5:$AJ$170,0,MATCH(D$2,Inputs!$K$4:$AJ$4,0)))))</f>
        <v>539.847</v>
      </c>
      <c r="E32" s="6">
        <f>IF(ISNA(MATCH(E$2,Inputs!$K$4:$AJ$4,0)),NA(),IF(SUMPRODUCT((Inputs!$A$5:$A$170=$B32)*ISNUMBER(INDEX(Inputs!$K$5:$AJ$170,0,MATCH(E$2,Inputs!$K$4:$AJ$4,0))))+SUMPRODUCT((Inputs!$C$5:$C$170=$B32)*ISNUMBER(INDEX(Inputs!$K$5:$AJ$170,0,MATCH(E$2,Inputs!$K$4:$AJ$4,0))))+SUMPRODUCT((Inputs!$E$5:$E$170=$B32)*ISNUMBER(INDEX(Inputs!$K$5:$AJ$170,0,MATCH(E$2,Inputs!$K$4:$AJ$4,0))))=0,NA(),SUMPRODUCT((Inputs!$A$5:$A$170=$B32)*Inputs!$B$5:$B$170*(((Inputs!$G$5:$G$170="moeda")+(Inputs!$G$5:$G$170="acoes"))*Inputs!$B$1+((Inputs!$G$5:$G$170&lt;&gt;"moeda")*(Inputs!$G$5:$G$170&lt;&gt;"acoes")))*INDEX(Inputs!$K$5:$AJ$170,0,MATCH(E$2,Inputs!$K$4:$AJ$4,0)))+SUMPRODUCT((Inputs!$C$5:$C$170=$B32)*Inputs!$D$5:$D$170*(((Inputs!$G$5:$G$170="moeda")+(Inputs!$G$5:$G$170="acoes"))*Inputs!$B$1+((Inputs!$G$5:$G$170&lt;&gt;"moeda")*(Inputs!$G$5:$G$170&lt;&gt;"acoes")))*INDEX(Inputs!$K$5:$AJ$170,0,MATCH(E$2,Inputs!$K$4:$AJ$4,0)))+SUMPRODUCT((Inputs!$E$5:$E$170=$B32)*Inputs!$F$5:$F$170*(((Inputs!$G$5:$G$170="moeda")+(Inputs!$G$5:$G$170="acoes"))*Inputs!$B$1+((Inputs!$G$5:$G$170&lt;&gt;"moeda")*(Inputs!$G$5:$G$170&lt;&gt;"acoes")))*INDEX(Inputs!$K$5:$AJ$170,0,MATCH(E$2,Inputs!$K$4:$AJ$4,0)))))</f>
        <v>493.626</v>
      </c>
      <c r="F32" s="6">
        <f>IF(ISNA(MATCH(F$2,Inputs!$K$4:$AJ$4,0)),NA(),IF(SUMPRODUCT((Inputs!$A$5:$A$170=$B32)*ISNUMBER(INDEX(Inputs!$K$5:$AJ$170,0,MATCH(F$2,Inputs!$K$4:$AJ$4,0))))+SUMPRODUCT((Inputs!$C$5:$C$170=$B32)*ISNUMBER(INDEX(Inputs!$K$5:$AJ$170,0,MATCH(F$2,Inputs!$K$4:$AJ$4,0))))+SUMPRODUCT((Inputs!$E$5:$E$170=$B32)*ISNUMBER(INDEX(Inputs!$K$5:$AJ$170,0,MATCH(F$2,Inputs!$K$4:$AJ$4,0))))=0,NA(),SUMPRODUCT((Inputs!$A$5:$A$170=$B32)*Inputs!$B$5:$B$170*(((Inputs!$G$5:$G$170="moeda")+(Inputs!$G$5:$G$170="acoes"))*Inputs!$B$1+((Inputs!$G$5:$G$170&lt;&gt;"moeda")*(Inputs!$G$5:$G$170&lt;&gt;"acoes")))*INDEX(Inputs!$K$5:$AJ$170,0,MATCH(F$2,Inputs!$K$4:$AJ$4,0)))+SUMPRODUCT((Inputs!$C$5:$C$170=$B32)*Inputs!$D$5:$D$170*(((Inputs!$G$5:$G$170="moeda")+(Inputs!$G$5:$G$170="acoes"))*Inputs!$B$1+((Inputs!$G$5:$G$170&lt;&gt;"moeda")*(Inputs!$G$5:$G$170&lt;&gt;"acoes")))*INDEX(Inputs!$K$5:$AJ$170,0,MATCH(F$2,Inputs!$K$4:$AJ$4,0)))+SUMPRODUCT((Inputs!$E$5:$E$170=$B32)*Inputs!$F$5:$F$170*(((Inputs!$G$5:$G$170="moeda")+(Inputs!$G$5:$G$170="acoes"))*Inputs!$B$1+((Inputs!$G$5:$G$170&lt;&gt;"moeda")*(Inputs!$G$5:$G$170&lt;&gt;"acoes")))*INDEX(Inputs!$K$5:$AJ$170,0,MATCH(F$2,Inputs!$K$4:$AJ$4,0)))))</f>
        <v>522.966</v>
      </c>
      <c r="G32" s="6">
        <f>IF(ISNA(MATCH(G$2,Inputs!$K$4:$AJ$4,0)),NA(),IF(SUMPRODUCT((Inputs!$A$5:$A$170=$B32)*ISNUMBER(INDEX(Inputs!$K$5:$AJ$170,0,MATCH(G$2,Inputs!$K$4:$AJ$4,0))))+SUMPRODUCT((Inputs!$C$5:$C$170=$B32)*ISNUMBER(INDEX(Inputs!$K$5:$AJ$170,0,MATCH(G$2,Inputs!$K$4:$AJ$4,0))))+SUMPRODUCT((Inputs!$E$5:$E$170=$B32)*ISNUMBER(INDEX(Inputs!$K$5:$AJ$170,0,MATCH(G$2,Inputs!$K$4:$AJ$4,0))))=0,NA(),SUMPRODUCT((Inputs!$A$5:$A$170=$B32)*Inputs!$B$5:$B$170*(((Inputs!$G$5:$G$170="moeda")+(Inputs!$G$5:$G$170="acoes"))*Inputs!$B$1+((Inputs!$G$5:$G$170&lt;&gt;"moeda")*(Inputs!$G$5:$G$170&lt;&gt;"acoes")))*INDEX(Inputs!$K$5:$AJ$170,0,MATCH(G$2,Inputs!$K$4:$AJ$4,0)))+SUMPRODUCT((Inputs!$C$5:$C$170=$B32)*Inputs!$D$5:$D$170*(((Inputs!$G$5:$G$170="moeda")+(Inputs!$G$5:$G$170="acoes"))*Inputs!$B$1+((Inputs!$G$5:$G$170&lt;&gt;"moeda")*(Inputs!$G$5:$G$170&lt;&gt;"acoes")))*INDEX(Inputs!$K$5:$AJ$170,0,MATCH(G$2,Inputs!$K$4:$AJ$4,0)))+SUMPRODUCT((Inputs!$E$5:$E$170=$B32)*Inputs!$F$5:$F$170*(((Inputs!$G$5:$G$170="moeda")+(Inputs!$G$5:$G$170="acoes"))*Inputs!$B$1+((Inputs!$G$5:$G$170&lt;&gt;"moeda")*(Inputs!$G$5:$G$170&lt;&gt;"acoes")))*INDEX(Inputs!$K$5:$AJ$170,0,MATCH(G$2,Inputs!$K$4:$AJ$4,0)))))</f>
        <v>655.05</v>
      </c>
      <c r="H32" s="3">
        <f>G32</f>
        <v>655.05</v>
      </c>
      <c r="I32" s="6">
        <f>IF(ISNA(MATCH(I$2,Inputs!$K$4:$AJ$4,0)),NA(),IF(SUMPRODUCT((Inputs!$A$5:$A$170=$B32)*ISNUMBER(INDEX(Inputs!$K$5:$AJ$170,0,MATCH(I$2,Inputs!$K$4:$AJ$4,0))))+SUMPRODUCT((Inputs!$C$5:$C$170=$B32)*ISNUMBER(INDEX(Inputs!$K$5:$AJ$170,0,MATCH(I$2,Inputs!$K$4:$AJ$4,0))))+SUMPRODUCT((Inputs!$E$5:$E$170=$B32)*ISNUMBER(INDEX(Inputs!$K$5:$AJ$170,0,MATCH(I$2,Inputs!$K$4:$AJ$4,0))))=0,NA(),SUMPRODUCT((Inputs!$A$5:$A$170=$B32)*Inputs!$B$5:$B$170*(((Inputs!$G$5:$G$170="moeda")+(Inputs!$G$5:$G$170="acoes"))*Inputs!$B$1+((Inputs!$G$5:$G$170&lt;&gt;"moeda")*(Inputs!$G$5:$G$170&lt;&gt;"acoes")))*INDEX(Inputs!$K$5:$AJ$170,0,MATCH(I$2,Inputs!$K$4:$AJ$4,0)))+SUMPRODUCT((Inputs!$C$5:$C$170=$B32)*Inputs!$D$5:$D$170*(((Inputs!$G$5:$G$170="moeda")+(Inputs!$G$5:$G$170="acoes"))*Inputs!$B$1+((Inputs!$G$5:$G$170&lt;&gt;"moeda")*(Inputs!$G$5:$G$170&lt;&gt;"acoes")))*INDEX(Inputs!$K$5:$AJ$170,0,MATCH(I$2,Inputs!$K$4:$AJ$4,0)))+SUMPRODUCT((Inputs!$E$5:$E$170=$B32)*Inputs!$F$5:$F$170*(((Inputs!$G$5:$G$170="moeda")+(Inputs!$G$5:$G$170="acoes"))*Inputs!$B$1+((Inputs!$G$5:$G$170&lt;&gt;"moeda")*(Inputs!$G$5:$G$170&lt;&gt;"acoes")))*INDEX(Inputs!$K$5:$AJ$170,0,MATCH(I$2,Inputs!$K$4:$AJ$4,0)))))</f>
        <v>721.818</v>
      </c>
      <c r="J32" s="6">
        <f>IF(ISNA(MATCH(J$2,Inputs!$K$4:$AJ$4,0)),NA(),IF(SUMPRODUCT((Inputs!$A$5:$A$170=$B32)*ISNUMBER(INDEX(Inputs!$K$5:$AJ$170,0,MATCH(J$2,Inputs!$K$4:$AJ$4,0))))+SUMPRODUCT((Inputs!$C$5:$C$170=$B32)*ISNUMBER(INDEX(Inputs!$K$5:$AJ$170,0,MATCH(J$2,Inputs!$K$4:$AJ$4,0))))+SUMPRODUCT((Inputs!$E$5:$E$170=$B32)*ISNUMBER(INDEX(Inputs!$K$5:$AJ$170,0,MATCH(J$2,Inputs!$K$4:$AJ$4,0))))=0,NA(),SUMPRODUCT((Inputs!$A$5:$A$170=$B32)*Inputs!$B$5:$B$170*(((Inputs!$G$5:$G$170="moeda")+(Inputs!$G$5:$G$170="acoes"))*Inputs!$B$1+((Inputs!$G$5:$G$170&lt;&gt;"moeda")*(Inputs!$G$5:$G$170&lt;&gt;"acoes")))*INDEX(Inputs!$K$5:$AJ$170,0,MATCH(J$2,Inputs!$K$4:$AJ$4,0)))+SUMPRODUCT((Inputs!$C$5:$C$170=$B32)*Inputs!$D$5:$D$170*(((Inputs!$G$5:$G$170="moeda")+(Inputs!$G$5:$G$170="acoes"))*Inputs!$B$1+((Inputs!$G$5:$G$170&lt;&gt;"moeda")*(Inputs!$G$5:$G$170&lt;&gt;"acoes")))*INDEX(Inputs!$K$5:$AJ$170,0,MATCH(J$2,Inputs!$K$4:$AJ$4,0)))+SUMPRODUCT((Inputs!$E$5:$E$170=$B32)*Inputs!$F$5:$F$170*(((Inputs!$G$5:$G$170="moeda")+(Inputs!$G$5:$G$170="acoes"))*Inputs!$B$1+((Inputs!$G$5:$G$170&lt;&gt;"moeda")*(Inputs!$G$5:$G$170&lt;&gt;"acoes")))*INDEX(Inputs!$K$5:$AJ$170,0,MATCH(J$2,Inputs!$K$4:$AJ$4,0)))))</f>
        <v>1025.43</v>
      </c>
      <c r="K32" s="6">
        <f>IF(ISNA(MATCH(K$2,Inputs!$K$4:$AJ$4,0)),NA(),IF(SUMPRODUCT((Inputs!$A$5:$A$170=$B32)*ISNUMBER(INDEX(Inputs!$K$5:$AJ$170,0,MATCH(K$2,Inputs!$K$4:$AJ$4,0))))+SUMPRODUCT((Inputs!$C$5:$C$170=$B32)*ISNUMBER(INDEX(Inputs!$K$5:$AJ$170,0,MATCH(K$2,Inputs!$K$4:$AJ$4,0))))+SUMPRODUCT((Inputs!$E$5:$E$170=$B32)*ISNUMBER(INDEX(Inputs!$K$5:$AJ$170,0,MATCH(K$2,Inputs!$K$4:$AJ$4,0))))=0,NA(),SUMPRODUCT((Inputs!$A$5:$A$170=$B32)*Inputs!$B$5:$B$170*(((Inputs!$G$5:$G$170="moeda")+(Inputs!$G$5:$G$170="acoes"))*Inputs!$B$1+((Inputs!$G$5:$G$170&lt;&gt;"moeda")*(Inputs!$G$5:$G$170&lt;&gt;"acoes")))*INDEX(Inputs!$K$5:$AJ$170,0,MATCH(K$2,Inputs!$K$4:$AJ$4,0)))+SUMPRODUCT((Inputs!$C$5:$C$170=$B32)*Inputs!$D$5:$D$170*(((Inputs!$G$5:$G$170="moeda")+(Inputs!$G$5:$G$170="acoes"))*Inputs!$B$1+((Inputs!$G$5:$G$170&lt;&gt;"moeda")*(Inputs!$G$5:$G$170&lt;&gt;"acoes")))*INDEX(Inputs!$K$5:$AJ$170,0,MATCH(K$2,Inputs!$K$4:$AJ$4,0)))+SUMPRODUCT((Inputs!$E$5:$E$170=$B32)*Inputs!$F$5:$F$170*(((Inputs!$G$5:$G$170="moeda")+(Inputs!$G$5:$G$170="acoes"))*Inputs!$B$1+((Inputs!$G$5:$G$170&lt;&gt;"moeda")*(Inputs!$G$5:$G$170&lt;&gt;"acoes")))*INDEX(Inputs!$K$5:$AJ$170,0,MATCH(K$2,Inputs!$K$4:$AJ$4,0)))))</f>
        <v>1141.627</v>
      </c>
      <c r="L32" s="6">
        <f>IF(ISNA(MATCH(L$2,Inputs!$K$4:$AJ$4,0)),NA(),IF(SUMPRODUCT((Inputs!$A$5:$A$170=$B32)*ISNUMBER(INDEX(Inputs!$K$5:$AJ$170,0,MATCH(L$2,Inputs!$K$4:$AJ$4,0))))+SUMPRODUCT((Inputs!$C$5:$C$170=$B32)*ISNUMBER(INDEX(Inputs!$K$5:$AJ$170,0,MATCH(L$2,Inputs!$K$4:$AJ$4,0))))+SUMPRODUCT((Inputs!$E$5:$E$170=$B32)*ISNUMBER(INDEX(Inputs!$K$5:$AJ$170,0,MATCH(L$2,Inputs!$K$4:$AJ$4,0))))=0,NA(),SUMPRODUCT((Inputs!$A$5:$A$170=$B32)*Inputs!$B$5:$B$170*(((Inputs!$G$5:$G$170="moeda")+(Inputs!$G$5:$G$170="acoes"))*Inputs!$B$1+((Inputs!$G$5:$G$170&lt;&gt;"moeda")*(Inputs!$G$5:$G$170&lt;&gt;"acoes")))*INDEX(Inputs!$K$5:$AJ$170,0,MATCH(L$2,Inputs!$K$4:$AJ$4,0)))+SUMPRODUCT((Inputs!$C$5:$C$170=$B32)*Inputs!$D$5:$D$170*(((Inputs!$G$5:$G$170="moeda")+(Inputs!$G$5:$G$170="acoes"))*Inputs!$B$1+((Inputs!$G$5:$G$170&lt;&gt;"moeda")*(Inputs!$G$5:$G$170&lt;&gt;"acoes")))*INDEX(Inputs!$K$5:$AJ$170,0,MATCH(L$2,Inputs!$K$4:$AJ$4,0)))+SUMPRODUCT((Inputs!$E$5:$E$170=$B32)*Inputs!$F$5:$F$170*(((Inputs!$G$5:$G$170="moeda")+(Inputs!$G$5:$G$170="acoes"))*Inputs!$B$1+((Inputs!$G$5:$G$170&lt;&gt;"moeda")*(Inputs!$G$5:$G$170&lt;&gt;"acoes")))*INDEX(Inputs!$K$5:$AJ$170,0,MATCH(L$2,Inputs!$K$4:$AJ$4,0)))))</f>
        <v>1947.436</v>
      </c>
      <c r="M32" s="3">
        <f>L32</f>
        <v>1947.436</v>
      </c>
      <c r="N32" s="6">
        <f>IF(ISNA(MATCH(N$2,Inputs!$K$4:$AJ$4,0)),NA(),IF(SUMPRODUCT((Inputs!$A$5:$A$170=$B32)*ISNUMBER(INDEX(Inputs!$K$5:$AJ$170,0,MATCH(N$2,Inputs!$K$4:$AJ$4,0))))+SUMPRODUCT((Inputs!$C$5:$C$170=$B32)*ISNUMBER(INDEX(Inputs!$K$5:$AJ$170,0,MATCH(N$2,Inputs!$K$4:$AJ$4,0))))+SUMPRODUCT((Inputs!$E$5:$E$170=$B32)*ISNUMBER(INDEX(Inputs!$K$5:$AJ$170,0,MATCH(N$2,Inputs!$K$4:$AJ$4,0))))=0,NA(),SUMPRODUCT((Inputs!$A$5:$A$170=$B32)*Inputs!$B$5:$B$170*(((Inputs!$G$5:$G$170="moeda")+(Inputs!$G$5:$G$170="acoes"))*Inputs!$B$1+((Inputs!$G$5:$G$170&lt;&gt;"moeda")*(Inputs!$G$5:$G$170&lt;&gt;"acoes")))*INDEX(Inputs!$K$5:$AJ$170,0,MATCH(N$2,Inputs!$K$4:$AJ$4,0)))+SUMPRODUCT((Inputs!$C$5:$C$170=$B32)*Inputs!$D$5:$D$170*(((Inputs!$G$5:$G$170="moeda")+(Inputs!$G$5:$G$170="acoes"))*Inputs!$B$1+((Inputs!$G$5:$G$170&lt;&gt;"moeda")*(Inputs!$G$5:$G$170&lt;&gt;"acoes")))*INDEX(Inputs!$K$5:$AJ$170,0,MATCH(N$2,Inputs!$K$4:$AJ$4,0)))+SUMPRODUCT((Inputs!$E$5:$E$170=$B32)*Inputs!$F$5:$F$170*(((Inputs!$G$5:$G$170="moeda")+(Inputs!$G$5:$G$170="acoes"))*Inputs!$B$1+((Inputs!$G$5:$G$170&lt;&gt;"moeda")*(Inputs!$G$5:$G$170&lt;&gt;"acoes")))*INDEX(Inputs!$K$5:$AJ$170,0,MATCH(N$2,Inputs!$K$4:$AJ$4,0)))))</f>
        <v>1042.744</v>
      </c>
      <c r="O32" s="6">
        <f>IF(ISNA(MATCH(O$2,Inputs!$K$4:$AJ$4,0)),NA(),IF(SUMPRODUCT((Inputs!$A$5:$A$170=$B32)*ISNUMBER(INDEX(Inputs!$K$5:$AJ$170,0,MATCH(O$2,Inputs!$K$4:$AJ$4,0))))+SUMPRODUCT((Inputs!$C$5:$C$170=$B32)*ISNUMBER(INDEX(Inputs!$K$5:$AJ$170,0,MATCH(O$2,Inputs!$K$4:$AJ$4,0))))+SUMPRODUCT((Inputs!$E$5:$E$170=$B32)*ISNUMBER(INDEX(Inputs!$K$5:$AJ$170,0,MATCH(O$2,Inputs!$K$4:$AJ$4,0))))=0,NA(),SUMPRODUCT((Inputs!$A$5:$A$170=$B32)*Inputs!$B$5:$B$170*(((Inputs!$G$5:$G$170="moeda")+(Inputs!$G$5:$G$170="acoes"))*Inputs!$B$1+((Inputs!$G$5:$G$170&lt;&gt;"moeda")*(Inputs!$G$5:$G$170&lt;&gt;"acoes")))*INDEX(Inputs!$K$5:$AJ$170,0,MATCH(O$2,Inputs!$K$4:$AJ$4,0)))+SUMPRODUCT((Inputs!$C$5:$C$170=$B32)*Inputs!$D$5:$D$170*(((Inputs!$G$5:$G$170="moeda")+(Inputs!$G$5:$G$170="acoes"))*Inputs!$B$1+((Inputs!$G$5:$G$170&lt;&gt;"moeda")*(Inputs!$G$5:$G$170&lt;&gt;"acoes")))*INDEX(Inputs!$K$5:$AJ$170,0,MATCH(O$2,Inputs!$K$4:$AJ$4,0)))+SUMPRODUCT((Inputs!$E$5:$E$170=$B32)*Inputs!$F$5:$F$170*(((Inputs!$G$5:$G$170="moeda")+(Inputs!$G$5:$G$170="acoes"))*Inputs!$B$1+((Inputs!$G$5:$G$170&lt;&gt;"moeda")*(Inputs!$G$5:$G$170&lt;&gt;"acoes")))*INDEX(Inputs!$K$5:$AJ$170,0,MATCH(O$2,Inputs!$K$4:$AJ$4,0)))))</f>
        <v>889.948</v>
      </c>
      <c r="P32" s="6">
        <f>IF(ISNA(MATCH(P$2,Inputs!$K$4:$AJ$4,0)),NA(),IF(SUMPRODUCT((Inputs!$A$5:$A$170=$B32)*ISNUMBER(INDEX(Inputs!$K$5:$AJ$170,0,MATCH(P$2,Inputs!$K$4:$AJ$4,0))))+SUMPRODUCT((Inputs!$C$5:$C$170=$B32)*ISNUMBER(INDEX(Inputs!$K$5:$AJ$170,0,MATCH(P$2,Inputs!$K$4:$AJ$4,0))))+SUMPRODUCT((Inputs!$E$5:$E$170=$B32)*ISNUMBER(INDEX(Inputs!$K$5:$AJ$170,0,MATCH(P$2,Inputs!$K$4:$AJ$4,0))))=0,NA(),SUMPRODUCT((Inputs!$A$5:$A$170=$B32)*Inputs!$B$5:$B$170*(((Inputs!$G$5:$G$170="moeda")+(Inputs!$G$5:$G$170="acoes"))*Inputs!$B$1+((Inputs!$G$5:$G$170&lt;&gt;"moeda")*(Inputs!$G$5:$G$170&lt;&gt;"acoes")))*INDEX(Inputs!$K$5:$AJ$170,0,MATCH(P$2,Inputs!$K$4:$AJ$4,0)))+SUMPRODUCT((Inputs!$C$5:$C$170=$B32)*Inputs!$D$5:$D$170*(((Inputs!$G$5:$G$170="moeda")+(Inputs!$G$5:$G$170="acoes"))*Inputs!$B$1+((Inputs!$G$5:$G$170&lt;&gt;"moeda")*(Inputs!$G$5:$G$170&lt;&gt;"acoes")))*INDEX(Inputs!$K$5:$AJ$170,0,MATCH(P$2,Inputs!$K$4:$AJ$4,0)))+SUMPRODUCT((Inputs!$E$5:$E$170=$B32)*Inputs!$F$5:$F$170*(((Inputs!$G$5:$G$170="moeda")+(Inputs!$G$5:$G$170="acoes"))*Inputs!$B$1+((Inputs!$G$5:$G$170&lt;&gt;"moeda")*(Inputs!$G$5:$G$170&lt;&gt;"acoes")))*INDEX(Inputs!$K$5:$AJ$170,0,MATCH(P$2,Inputs!$K$4:$AJ$4,0)))))</f>
        <v>737.185</v>
      </c>
      <c r="Q32" s="6">
        <f>IF(ISNA(MATCH(Q$2,Inputs!$K$4:$AJ$4,0)),NA(),IF(SUMPRODUCT((Inputs!$A$5:$A$170=$B32)*ISNUMBER(INDEX(Inputs!$K$5:$AJ$170,0,MATCH(Q$2,Inputs!$K$4:$AJ$4,0))))+SUMPRODUCT((Inputs!$C$5:$C$170=$B32)*ISNUMBER(INDEX(Inputs!$K$5:$AJ$170,0,MATCH(Q$2,Inputs!$K$4:$AJ$4,0))))+SUMPRODUCT((Inputs!$E$5:$E$170=$B32)*ISNUMBER(INDEX(Inputs!$K$5:$AJ$170,0,MATCH(Q$2,Inputs!$K$4:$AJ$4,0))))=0,NA(),SUMPRODUCT((Inputs!$A$5:$A$170=$B32)*Inputs!$B$5:$B$170*(((Inputs!$G$5:$G$170="moeda")+(Inputs!$G$5:$G$170="acoes"))*Inputs!$B$1+((Inputs!$G$5:$G$170&lt;&gt;"moeda")*(Inputs!$G$5:$G$170&lt;&gt;"acoes")))*INDEX(Inputs!$K$5:$AJ$170,0,MATCH(Q$2,Inputs!$K$4:$AJ$4,0)))+SUMPRODUCT((Inputs!$C$5:$C$170=$B32)*Inputs!$D$5:$D$170*(((Inputs!$G$5:$G$170="moeda")+(Inputs!$G$5:$G$170="acoes"))*Inputs!$B$1+((Inputs!$G$5:$G$170&lt;&gt;"moeda")*(Inputs!$G$5:$G$170&lt;&gt;"acoes")))*INDEX(Inputs!$K$5:$AJ$170,0,MATCH(Q$2,Inputs!$K$4:$AJ$4,0)))+SUMPRODUCT((Inputs!$E$5:$E$170=$B32)*Inputs!$F$5:$F$170*(((Inputs!$G$5:$G$170="moeda")+(Inputs!$G$5:$G$170="acoes"))*Inputs!$B$1+((Inputs!$G$5:$G$170&lt;&gt;"moeda")*(Inputs!$G$5:$G$170&lt;&gt;"acoes")))*INDEX(Inputs!$K$5:$AJ$170,0,MATCH(Q$2,Inputs!$K$4:$AJ$4,0)))))</f>
        <v>1188.117</v>
      </c>
      <c r="R32" s="3">
        <f>Q32</f>
        <v>1188.117</v>
      </c>
      <c r="S32" s="6">
        <f>IF(ISNA(MATCH(S$2,Inputs!$K$4:$AJ$4,0)),NA(),IF(SUMPRODUCT((Inputs!$A$5:$A$170=$B32)*ISNUMBER(INDEX(Inputs!$K$5:$AJ$170,0,MATCH(S$2,Inputs!$K$4:$AJ$4,0))))+SUMPRODUCT((Inputs!$C$5:$C$170=$B32)*ISNUMBER(INDEX(Inputs!$K$5:$AJ$170,0,MATCH(S$2,Inputs!$K$4:$AJ$4,0))))+SUMPRODUCT((Inputs!$E$5:$E$170=$B32)*ISNUMBER(INDEX(Inputs!$K$5:$AJ$170,0,MATCH(S$2,Inputs!$K$4:$AJ$4,0))))=0,NA(),SUMPRODUCT((Inputs!$A$5:$A$170=$B32)*Inputs!$B$5:$B$170*(((Inputs!$G$5:$G$170="moeda")+(Inputs!$G$5:$G$170="acoes"))*Inputs!$B$1+((Inputs!$G$5:$G$170&lt;&gt;"moeda")*(Inputs!$G$5:$G$170&lt;&gt;"acoes")))*INDEX(Inputs!$K$5:$AJ$170,0,MATCH(S$2,Inputs!$K$4:$AJ$4,0)))+SUMPRODUCT((Inputs!$C$5:$C$170=$B32)*Inputs!$D$5:$D$170*(((Inputs!$G$5:$G$170="moeda")+(Inputs!$G$5:$G$170="acoes"))*Inputs!$B$1+((Inputs!$G$5:$G$170&lt;&gt;"moeda")*(Inputs!$G$5:$G$170&lt;&gt;"acoes")))*INDEX(Inputs!$K$5:$AJ$170,0,MATCH(S$2,Inputs!$K$4:$AJ$4,0)))+SUMPRODUCT((Inputs!$E$5:$E$170=$B32)*Inputs!$F$5:$F$170*(((Inputs!$G$5:$G$170="moeda")+(Inputs!$G$5:$G$170="acoes"))*Inputs!$B$1+((Inputs!$G$5:$G$170&lt;&gt;"moeda")*(Inputs!$G$5:$G$170&lt;&gt;"acoes")))*INDEX(Inputs!$K$5:$AJ$170,0,MATCH(S$2,Inputs!$K$4:$AJ$4,0)))))</f>
        <v>1384.079</v>
      </c>
      <c r="T32" s="6">
        <f>IF(ISNA(MATCH(T$2,Inputs!$K$4:$AJ$4,0)),NA(),IF(SUMPRODUCT((Inputs!$A$5:$A$170=$B32)*ISNUMBER(INDEX(Inputs!$K$5:$AJ$170,0,MATCH(T$2,Inputs!$K$4:$AJ$4,0))))+SUMPRODUCT((Inputs!$C$5:$C$170=$B32)*ISNUMBER(INDEX(Inputs!$K$5:$AJ$170,0,MATCH(T$2,Inputs!$K$4:$AJ$4,0))))+SUMPRODUCT((Inputs!$E$5:$E$170=$B32)*ISNUMBER(INDEX(Inputs!$K$5:$AJ$170,0,MATCH(T$2,Inputs!$K$4:$AJ$4,0))))=0,NA(),SUMPRODUCT((Inputs!$A$5:$A$170=$B32)*Inputs!$B$5:$B$170*(((Inputs!$G$5:$G$170="moeda")+(Inputs!$G$5:$G$170="acoes"))*Inputs!$B$1+((Inputs!$G$5:$G$170&lt;&gt;"moeda")*(Inputs!$G$5:$G$170&lt;&gt;"acoes")))*INDEX(Inputs!$K$5:$AJ$170,0,MATCH(T$2,Inputs!$K$4:$AJ$4,0)))+SUMPRODUCT((Inputs!$C$5:$C$170=$B32)*Inputs!$D$5:$D$170*(((Inputs!$G$5:$G$170="moeda")+(Inputs!$G$5:$G$170="acoes"))*Inputs!$B$1+((Inputs!$G$5:$G$170&lt;&gt;"moeda")*(Inputs!$G$5:$G$170&lt;&gt;"acoes")))*INDEX(Inputs!$K$5:$AJ$170,0,MATCH(T$2,Inputs!$K$4:$AJ$4,0)))+SUMPRODUCT((Inputs!$E$5:$E$170=$B32)*Inputs!$F$5:$F$170*(((Inputs!$G$5:$G$170="moeda")+(Inputs!$G$5:$G$170="acoes"))*Inputs!$B$1+((Inputs!$G$5:$G$170&lt;&gt;"moeda")*(Inputs!$G$5:$G$170&lt;&gt;"acoes")))*INDEX(Inputs!$K$5:$AJ$170,0,MATCH(T$2,Inputs!$K$4:$AJ$4,0)))))</f>
        <v>1189.082</v>
      </c>
      <c r="U32" s="6">
        <f>IF(ISNA(MATCH(U$2,Inputs!$K$4:$AJ$4,0)),NA(),IF(SUMPRODUCT((Inputs!$A$5:$A$170=$B32)*ISNUMBER(INDEX(Inputs!$K$5:$AJ$170,0,MATCH(U$2,Inputs!$K$4:$AJ$4,0))))+SUMPRODUCT((Inputs!$C$5:$C$170=$B32)*ISNUMBER(INDEX(Inputs!$K$5:$AJ$170,0,MATCH(U$2,Inputs!$K$4:$AJ$4,0))))+SUMPRODUCT((Inputs!$E$5:$E$170=$B32)*ISNUMBER(INDEX(Inputs!$K$5:$AJ$170,0,MATCH(U$2,Inputs!$K$4:$AJ$4,0))))=0,NA(),SUMPRODUCT((Inputs!$A$5:$A$170=$B32)*Inputs!$B$5:$B$170*(((Inputs!$G$5:$G$170="moeda")+(Inputs!$G$5:$G$170="acoes"))*Inputs!$B$1+((Inputs!$G$5:$G$170&lt;&gt;"moeda")*(Inputs!$G$5:$G$170&lt;&gt;"acoes")))*INDEX(Inputs!$K$5:$AJ$170,0,MATCH(U$2,Inputs!$K$4:$AJ$4,0)))+SUMPRODUCT((Inputs!$C$5:$C$170=$B32)*Inputs!$D$5:$D$170*(((Inputs!$G$5:$G$170="moeda")+(Inputs!$G$5:$G$170="acoes"))*Inputs!$B$1+((Inputs!$G$5:$G$170&lt;&gt;"moeda")*(Inputs!$G$5:$G$170&lt;&gt;"acoes")))*INDEX(Inputs!$K$5:$AJ$170,0,MATCH(U$2,Inputs!$K$4:$AJ$4,0)))+SUMPRODUCT((Inputs!$E$5:$E$170=$B32)*Inputs!$F$5:$F$170*(((Inputs!$G$5:$G$170="moeda")+(Inputs!$G$5:$G$170="acoes"))*Inputs!$B$1+((Inputs!$G$5:$G$170&lt;&gt;"moeda")*(Inputs!$G$5:$G$170&lt;&gt;"acoes")))*INDEX(Inputs!$K$5:$AJ$170,0,MATCH(U$2,Inputs!$K$4:$AJ$4,0)))))</f>
        <v>1640.161</v>
      </c>
      <c r="V32" s="6">
        <f>IF(ISNA(MATCH(V$2,Inputs!$K$4:$AJ$4,0)),NA(),IF(SUMPRODUCT((Inputs!$A$5:$A$170=$B32)*ISNUMBER(INDEX(Inputs!$K$5:$AJ$170,0,MATCH(V$2,Inputs!$K$4:$AJ$4,0))))+SUMPRODUCT((Inputs!$C$5:$C$170=$B32)*ISNUMBER(INDEX(Inputs!$K$5:$AJ$170,0,MATCH(V$2,Inputs!$K$4:$AJ$4,0))))+SUMPRODUCT((Inputs!$E$5:$E$170=$B32)*ISNUMBER(INDEX(Inputs!$K$5:$AJ$170,0,MATCH(V$2,Inputs!$K$4:$AJ$4,0))))=0,NA(),SUMPRODUCT((Inputs!$A$5:$A$170=$B32)*Inputs!$B$5:$B$170*(((Inputs!$G$5:$G$170="moeda")+(Inputs!$G$5:$G$170="acoes"))*Inputs!$B$1+((Inputs!$G$5:$G$170&lt;&gt;"moeda")*(Inputs!$G$5:$G$170&lt;&gt;"acoes")))*INDEX(Inputs!$K$5:$AJ$170,0,MATCH(V$2,Inputs!$K$4:$AJ$4,0)))+SUMPRODUCT((Inputs!$C$5:$C$170=$B32)*Inputs!$D$5:$D$170*(((Inputs!$G$5:$G$170="moeda")+(Inputs!$G$5:$G$170="acoes"))*Inputs!$B$1+((Inputs!$G$5:$G$170&lt;&gt;"moeda")*(Inputs!$G$5:$G$170&lt;&gt;"acoes")))*INDEX(Inputs!$K$5:$AJ$170,0,MATCH(V$2,Inputs!$K$4:$AJ$4,0)))+SUMPRODUCT((Inputs!$E$5:$E$170=$B32)*Inputs!$F$5:$F$170*(((Inputs!$G$5:$G$170="moeda")+(Inputs!$G$5:$G$170="acoes"))*Inputs!$B$1+((Inputs!$G$5:$G$170&lt;&gt;"moeda")*(Inputs!$G$5:$G$170&lt;&gt;"acoes")))*INDEX(Inputs!$K$5:$AJ$170,0,MATCH(V$2,Inputs!$K$4:$AJ$4,0)))))</f>
        <v>2239.598</v>
      </c>
      <c r="W32" s="3">
        <f>V32</f>
        <v>2239.598</v>
      </c>
      <c r="X32" s="6">
        <f>IF(ISNA(MATCH(X$2,Inputs!$K$4:$AJ$4,0)),NA(),IF(SUMPRODUCT((Inputs!$A$5:$A$170=$B32)*ISNUMBER(INDEX(Inputs!$K$5:$AJ$170,0,MATCH(X$2,Inputs!$K$4:$AJ$4,0))))+SUMPRODUCT((Inputs!$C$5:$C$170=$B32)*ISNUMBER(INDEX(Inputs!$K$5:$AJ$170,0,MATCH(X$2,Inputs!$K$4:$AJ$4,0))))+SUMPRODUCT((Inputs!$E$5:$E$170=$B32)*ISNUMBER(INDEX(Inputs!$K$5:$AJ$170,0,MATCH(X$2,Inputs!$K$4:$AJ$4,0))))=0,NA(),SUMPRODUCT((Inputs!$A$5:$A$170=$B32)*Inputs!$B$5:$B$170*(((Inputs!$G$5:$G$170="moeda")+(Inputs!$G$5:$G$170="acoes"))*Inputs!$B$1+((Inputs!$G$5:$G$170&lt;&gt;"moeda")*(Inputs!$G$5:$G$170&lt;&gt;"acoes")))*INDEX(Inputs!$K$5:$AJ$170,0,MATCH(X$2,Inputs!$K$4:$AJ$4,0)))+SUMPRODUCT((Inputs!$C$5:$C$170=$B32)*Inputs!$D$5:$D$170*(((Inputs!$G$5:$G$170="moeda")+(Inputs!$G$5:$G$170="acoes"))*Inputs!$B$1+((Inputs!$G$5:$G$170&lt;&gt;"moeda")*(Inputs!$G$5:$G$170&lt;&gt;"acoes")))*INDEX(Inputs!$K$5:$AJ$170,0,MATCH(X$2,Inputs!$K$4:$AJ$4,0)))+SUMPRODUCT((Inputs!$E$5:$E$170=$B32)*Inputs!$F$5:$F$170*(((Inputs!$G$5:$G$170="moeda")+(Inputs!$G$5:$G$170="acoes"))*Inputs!$B$1+((Inputs!$G$5:$G$170&lt;&gt;"moeda")*(Inputs!$G$5:$G$170&lt;&gt;"acoes")))*INDEX(Inputs!$K$5:$AJ$170,0,MATCH(X$2,Inputs!$K$4:$AJ$4,0)))))</f>
        <v>2542.303</v>
      </c>
      <c r="Y32" s="6">
        <f>IF(ISNA(MATCH(Y$2,Inputs!$K$4:$AJ$4,0)),NA(),IF(SUMPRODUCT((Inputs!$A$5:$A$170=$B32)*ISNUMBER(INDEX(Inputs!$K$5:$AJ$170,0,MATCH(Y$2,Inputs!$K$4:$AJ$4,0))))+SUMPRODUCT((Inputs!$C$5:$C$170=$B32)*ISNUMBER(INDEX(Inputs!$K$5:$AJ$170,0,MATCH(Y$2,Inputs!$K$4:$AJ$4,0))))+SUMPRODUCT((Inputs!$E$5:$E$170=$B32)*ISNUMBER(INDEX(Inputs!$K$5:$AJ$170,0,MATCH(Y$2,Inputs!$K$4:$AJ$4,0))))=0,NA(),SUMPRODUCT((Inputs!$A$5:$A$170=$B32)*Inputs!$B$5:$B$170*(((Inputs!$G$5:$G$170="moeda")+(Inputs!$G$5:$G$170="acoes"))*Inputs!$B$1+((Inputs!$G$5:$G$170&lt;&gt;"moeda")*(Inputs!$G$5:$G$170&lt;&gt;"acoes")))*INDEX(Inputs!$K$5:$AJ$170,0,MATCH(Y$2,Inputs!$K$4:$AJ$4,0)))+SUMPRODUCT((Inputs!$C$5:$C$170=$B32)*Inputs!$D$5:$D$170*(((Inputs!$G$5:$G$170="moeda")+(Inputs!$G$5:$G$170="acoes"))*Inputs!$B$1+((Inputs!$G$5:$G$170&lt;&gt;"moeda")*(Inputs!$G$5:$G$170&lt;&gt;"acoes")))*INDEX(Inputs!$K$5:$AJ$170,0,MATCH(Y$2,Inputs!$K$4:$AJ$4,0)))+SUMPRODUCT((Inputs!$E$5:$E$170=$B32)*Inputs!$F$5:$F$170*(((Inputs!$G$5:$G$170="moeda")+(Inputs!$G$5:$G$170="acoes"))*Inputs!$B$1+((Inputs!$G$5:$G$170&lt;&gt;"moeda")*(Inputs!$G$5:$G$170&lt;&gt;"acoes")))*INDEX(Inputs!$K$5:$AJ$170,0,MATCH(Y$2,Inputs!$K$4:$AJ$4,0)))))</f>
        <v>3232.289</v>
      </c>
      <c r="Z32" s="6">
        <f>IF(ISNA(MATCH(Z$2,Inputs!$K$4:$AJ$4,0)),NA(),IF(SUMPRODUCT((Inputs!$A$5:$A$170=$B32)*ISNUMBER(INDEX(Inputs!$K$5:$AJ$170,0,MATCH(Z$2,Inputs!$K$4:$AJ$4,0))))+SUMPRODUCT((Inputs!$C$5:$C$170=$B32)*ISNUMBER(INDEX(Inputs!$K$5:$AJ$170,0,MATCH(Z$2,Inputs!$K$4:$AJ$4,0))))+SUMPRODUCT((Inputs!$E$5:$E$170=$B32)*ISNUMBER(INDEX(Inputs!$K$5:$AJ$170,0,MATCH(Z$2,Inputs!$K$4:$AJ$4,0))))=0,NA(),SUMPRODUCT((Inputs!$A$5:$A$170=$B32)*Inputs!$B$5:$B$170*(((Inputs!$G$5:$G$170="moeda")+(Inputs!$G$5:$G$170="acoes"))*Inputs!$B$1+((Inputs!$G$5:$G$170&lt;&gt;"moeda")*(Inputs!$G$5:$G$170&lt;&gt;"acoes")))*INDEX(Inputs!$K$5:$AJ$170,0,MATCH(Z$2,Inputs!$K$4:$AJ$4,0)))+SUMPRODUCT((Inputs!$C$5:$C$170=$B32)*Inputs!$D$5:$D$170*(((Inputs!$G$5:$G$170="moeda")+(Inputs!$G$5:$G$170="acoes"))*Inputs!$B$1+((Inputs!$G$5:$G$170&lt;&gt;"moeda")*(Inputs!$G$5:$G$170&lt;&gt;"acoes")))*INDEX(Inputs!$K$5:$AJ$170,0,MATCH(Z$2,Inputs!$K$4:$AJ$4,0)))+SUMPRODUCT((Inputs!$E$5:$E$170=$B32)*Inputs!$F$5:$F$170*(((Inputs!$G$5:$G$170="moeda")+(Inputs!$G$5:$G$170="acoes"))*Inputs!$B$1+((Inputs!$G$5:$G$170&lt;&gt;"moeda")*(Inputs!$G$5:$G$170&lt;&gt;"acoes")))*INDEX(Inputs!$K$5:$AJ$170,0,MATCH(Z$2,Inputs!$K$4:$AJ$4,0)))))</f>
        <v>3627.942</v>
      </c>
      <c r="AA32" s="6">
        <f>IF(ISNA(MATCH(AA$2,Inputs!$K$4:$AJ$4,0)),NA(),IF(SUMPRODUCT((Inputs!$A$5:$A$170=$B32)*ISNUMBER(INDEX(Inputs!$K$5:$AJ$170,0,MATCH(AA$2,Inputs!$K$4:$AJ$4,0))))+SUMPRODUCT((Inputs!$C$5:$C$170=$B32)*ISNUMBER(INDEX(Inputs!$K$5:$AJ$170,0,MATCH(AA$2,Inputs!$K$4:$AJ$4,0))))+SUMPRODUCT((Inputs!$E$5:$E$170=$B32)*ISNUMBER(INDEX(Inputs!$K$5:$AJ$170,0,MATCH(AA$2,Inputs!$K$4:$AJ$4,0))))=0,NA(),SUMPRODUCT((Inputs!$A$5:$A$170=$B32)*Inputs!$B$5:$B$170*(((Inputs!$G$5:$G$170="moeda")+(Inputs!$G$5:$G$170="acoes"))*Inputs!$B$1+((Inputs!$G$5:$G$170&lt;&gt;"moeda")*(Inputs!$G$5:$G$170&lt;&gt;"acoes")))*INDEX(Inputs!$K$5:$AJ$170,0,MATCH(AA$2,Inputs!$K$4:$AJ$4,0)))+SUMPRODUCT((Inputs!$C$5:$C$170=$B32)*Inputs!$D$5:$D$170*(((Inputs!$G$5:$G$170="moeda")+(Inputs!$G$5:$G$170="acoes"))*Inputs!$B$1+((Inputs!$G$5:$G$170&lt;&gt;"moeda")*(Inputs!$G$5:$G$170&lt;&gt;"acoes")))*INDEX(Inputs!$K$5:$AJ$170,0,MATCH(AA$2,Inputs!$K$4:$AJ$4,0)))+SUMPRODUCT((Inputs!$E$5:$E$170=$B32)*Inputs!$F$5:$F$170*(((Inputs!$G$5:$G$170="moeda")+(Inputs!$G$5:$G$170="acoes"))*Inputs!$B$1+((Inputs!$G$5:$G$170&lt;&gt;"moeda")*(Inputs!$G$5:$G$170&lt;&gt;"acoes")))*INDEX(Inputs!$K$5:$AJ$170,0,MATCH(AA$2,Inputs!$K$4:$AJ$4,0)))))</f>
        <v>4142.338</v>
      </c>
      <c r="AB32" s="3">
        <f>AA32</f>
        <v>4142.338</v>
      </c>
      <c r="AC32" s="6">
        <f>IF(ISNA(MATCH(AC$2,Inputs!$K$4:$AJ$4,0)),NA(),IF(SUMPRODUCT((Inputs!$A$5:$A$170=$B32)*ISNUMBER(INDEX(Inputs!$K$5:$AJ$170,0,MATCH(AC$2,Inputs!$K$4:$AJ$4,0))))+SUMPRODUCT((Inputs!$C$5:$C$170=$B32)*ISNUMBER(INDEX(Inputs!$K$5:$AJ$170,0,MATCH(AC$2,Inputs!$K$4:$AJ$4,0))))+SUMPRODUCT((Inputs!$E$5:$E$170=$B32)*ISNUMBER(INDEX(Inputs!$K$5:$AJ$170,0,MATCH(AC$2,Inputs!$K$4:$AJ$4,0))))=0,NA(),SUMPRODUCT((Inputs!$A$5:$A$170=$B32)*Inputs!$B$5:$B$170*(((Inputs!$G$5:$G$170="moeda")+(Inputs!$G$5:$G$170="acoes"))*Inputs!$B$1+((Inputs!$G$5:$G$170&lt;&gt;"moeda")*(Inputs!$G$5:$G$170&lt;&gt;"acoes")))*INDEX(Inputs!$K$5:$AJ$170,0,MATCH(AC$2,Inputs!$K$4:$AJ$4,0)))+SUMPRODUCT((Inputs!$C$5:$C$170=$B32)*Inputs!$D$5:$D$170*(((Inputs!$G$5:$G$170="moeda")+(Inputs!$G$5:$G$170="acoes"))*Inputs!$B$1+((Inputs!$G$5:$G$170&lt;&gt;"moeda")*(Inputs!$G$5:$G$170&lt;&gt;"acoes")))*INDEX(Inputs!$K$5:$AJ$170,0,MATCH(AC$2,Inputs!$K$4:$AJ$4,0)))+SUMPRODUCT((Inputs!$E$5:$E$170=$B32)*Inputs!$F$5:$F$170*(((Inputs!$G$5:$G$170="moeda")+(Inputs!$G$5:$G$170="acoes"))*Inputs!$B$1+((Inputs!$G$5:$G$170&lt;&gt;"moeda")*(Inputs!$G$5:$G$170&lt;&gt;"acoes")))*INDEX(Inputs!$K$5:$AJ$170,0,MATCH(AC$2,Inputs!$K$4:$AJ$4,0)))))</f>
        <v>3249.109</v>
      </c>
      <c r="AD32" s="6">
        <f>IF(ISNA(MATCH(AD$2,Inputs!$K$4:$AJ$4,0)),NA(),IF(SUMPRODUCT((Inputs!$A$5:$A$170=$B32)*ISNUMBER(INDEX(Inputs!$K$5:$AJ$170,0,MATCH(AD$2,Inputs!$K$4:$AJ$4,0))))+SUMPRODUCT((Inputs!$C$5:$C$170=$B32)*ISNUMBER(INDEX(Inputs!$K$5:$AJ$170,0,MATCH(AD$2,Inputs!$K$4:$AJ$4,0))))+SUMPRODUCT((Inputs!$E$5:$E$170=$B32)*ISNUMBER(INDEX(Inputs!$K$5:$AJ$170,0,MATCH(AD$2,Inputs!$K$4:$AJ$4,0))))=0,NA(),SUMPRODUCT((Inputs!$A$5:$A$170=$B32)*Inputs!$B$5:$B$170*(((Inputs!$G$5:$G$170="moeda")+(Inputs!$G$5:$G$170="acoes"))*Inputs!$B$1+((Inputs!$G$5:$G$170&lt;&gt;"moeda")*(Inputs!$G$5:$G$170&lt;&gt;"acoes")))*INDEX(Inputs!$K$5:$AJ$170,0,MATCH(AD$2,Inputs!$K$4:$AJ$4,0)))+SUMPRODUCT((Inputs!$C$5:$C$170=$B32)*Inputs!$D$5:$D$170*(((Inputs!$G$5:$G$170="moeda")+(Inputs!$G$5:$G$170="acoes"))*Inputs!$B$1+((Inputs!$G$5:$G$170&lt;&gt;"moeda")*(Inputs!$G$5:$G$170&lt;&gt;"acoes")))*INDEX(Inputs!$K$5:$AJ$170,0,MATCH(AD$2,Inputs!$K$4:$AJ$4,0)))+SUMPRODUCT((Inputs!$E$5:$E$170=$B32)*Inputs!$F$5:$F$170*(((Inputs!$G$5:$G$170="moeda")+(Inputs!$G$5:$G$170="acoes"))*Inputs!$B$1+((Inputs!$G$5:$G$170&lt;&gt;"moeda")*(Inputs!$G$5:$G$170&lt;&gt;"acoes")))*INDEX(Inputs!$K$5:$AJ$170,0,MATCH(AD$2,Inputs!$K$4:$AJ$4,0)))))</f>
        <v>2782.282</v>
      </c>
      <c r="AE32" s="6" t="e">
        <f>IF(ISNA(MATCH(AE$2,Inputs!$K$4:$AJ$4,0)),NA(),IF(SUMPRODUCT((Inputs!$A$5:$A$170=$B32)*ISNUMBER(INDEX(Inputs!$K$5:$AJ$170,0,MATCH(AE$2,Inputs!$K$4:$AJ$4,0))))+SUMPRODUCT((Inputs!$C$5:$C$170=$B32)*ISNUMBER(INDEX(Inputs!$K$5:$AJ$170,0,MATCH(AE$2,Inputs!$K$4:$AJ$4,0))))+SUMPRODUCT((Inputs!$E$5:$E$170=$B32)*ISNUMBER(INDEX(Inputs!$K$5:$AJ$170,0,MATCH(AE$2,Inputs!$K$4:$AJ$4,0))))=0,NA(),SUMPRODUCT((Inputs!$A$5:$A$170=$B32)*Inputs!$B$5:$B$170*(((Inputs!$G$5:$G$170="moeda")+(Inputs!$G$5:$G$170="acoes"))*Inputs!$B$1+((Inputs!$G$5:$G$170&lt;&gt;"moeda")*(Inputs!$G$5:$G$170&lt;&gt;"acoes")))*INDEX(Inputs!$K$5:$AJ$170,0,MATCH(AE$2,Inputs!$K$4:$AJ$4,0)))+SUMPRODUCT((Inputs!$C$5:$C$170=$B32)*Inputs!$D$5:$D$170*(((Inputs!$G$5:$G$170="moeda")+(Inputs!$G$5:$G$170="acoes"))*Inputs!$B$1+((Inputs!$G$5:$G$170&lt;&gt;"moeda")*(Inputs!$G$5:$G$170&lt;&gt;"acoes")))*INDEX(Inputs!$K$5:$AJ$170,0,MATCH(AE$2,Inputs!$K$4:$AJ$4,0)))+SUMPRODUCT((Inputs!$E$5:$E$170=$B32)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2" s="6" t="e">
        <f>IF(ISNA(MATCH(AF$2,Inputs!$K$4:$AJ$4,0)),NA(),IF(SUMPRODUCT((Inputs!$A$5:$A$170=$B32)*ISNUMBER(INDEX(Inputs!$K$5:$AJ$170,0,MATCH(AF$2,Inputs!$K$4:$AJ$4,0))))+SUMPRODUCT((Inputs!$C$5:$C$170=$B32)*ISNUMBER(INDEX(Inputs!$K$5:$AJ$170,0,MATCH(AF$2,Inputs!$K$4:$AJ$4,0))))+SUMPRODUCT((Inputs!$E$5:$E$170=$B32)*ISNUMBER(INDEX(Inputs!$K$5:$AJ$170,0,MATCH(AF$2,Inputs!$K$4:$AJ$4,0))))=0,NA(),SUMPRODUCT((Inputs!$A$5:$A$170=$B32)*Inputs!$B$5:$B$170*(((Inputs!$G$5:$G$170="moeda")+(Inputs!$G$5:$G$170="acoes"))*Inputs!$B$1+((Inputs!$G$5:$G$170&lt;&gt;"moeda")*(Inputs!$G$5:$G$170&lt;&gt;"acoes")))*INDEX(Inputs!$K$5:$AJ$170,0,MATCH(AF$2,Inputs!$K$4:$AJ$4,0)))+SUMPRODUCT((Inputs!$C$5:$C$170=$B32)*Inputs!$D$5:$D$170*(((Inputs!$G$5:$G$170="moeda")+(Inputs!$G$5:$G$170="acoes"))*Inputs!$B$1+((Inputs!$G$5:$G$170&lt;&gt;"moeda")*(Inputs!$G$5:$G$170&lt;&gt;"acoes")))*INDEX(Inputs!$K$5:$AJ$170,0,MATCH(AF$2,Inputs!$K$4:$AJ$4,0)))+SUMPRODUCT((Inputs!$E$5:$E$170=$B32)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2" s="3" t="e">
        <f>AF32</f>
        <v>#N/A</v>
      </c>
      <c r="AH32" s="6">
        <f>IF(ISNA(MATCH(AH$2,Inputs!$K$4:$AJ$4,0)),NA(),IF(SUMPRODUCT((Inputs!$A$5:$A$170=$B32)*ISNUMBER(INDEX(Inputs!$K$5:$AJ$170,0,MATCH(AH$2,Inputs!$K$4:$AJ$4,0))))+SUMPRODUCT((Inputs!$C$5:$C$170=$B32)*ISNUMBER(INDEX(Inputs!$K$5:$AJ$170,0,MATCH(AH$2,Inputs!$K$4:$AJ$4,0))))+SUMPRODUCT((Inputs!$E$5:$E$170=$B32)*ISNUMBER(INDEX(Inputs!$K$5:$AJ$170,0,MATCH(AH$2,Inputs!$K$4:$AJ$4,0))))=0,NA(),SUMPRODUCT((Inputs!$A$5:$A$170=$B32)*Inputs!$B$5:$B$170*(((Inputs!$G$5:$G$170="moeda")+(Inputs!$G$5:$G$170="acoes"))*Inputs!$B$1+((Inputs!$G$5:$G$170&lt;&gt;"moeda")*(Inputs!$G$5:$G$170&lt;&gt;"acoes")))*INDEX(Inputs!$K$5:$AJ$170,0,MATCH(AH$2,Inputs!$K$4:$AJ$4,0)))+SUMPRODUCT((Inputs!$C$5:$C$170=$B32)*Inputs!$D$5:$D$170*(((Inputs!$G$5:$G$170="moeda")+(Inputs!$G$5:$G$170="acoes"))*Inputs!$B$1+((Inputs!$G$5:$G$170&lt;&gt;"moeda")*(Inputs!$G$5:$G$170&lt;&gt;"acoes")))*INDEX(Inputs!$K$5:$AJ$170,0,MATCH(AH$2,Inputs!$K$4:$AJ$4,0)))+SUMPRODUCT((Inputs!$E$5:$E$170=$B32)*Inputs!$F$5:$F$170*(((Inputs!$G$5:$G$170="moeda")+(Inputs!$G$5:$G$170="acoes"))*Inputs!$B$1+((Inputs!$G$5:$G$170&lt;&gt;"moeda")*(Inputs!$G$5:$G$170&lt;&gt;"acoes")))*INDEX(Inputs!$K$5:$AJ$170,0,MATCH(AH$2,Inputs!$K$4:$AJ$4,0)))))</f>
        <v>637.959</v>
      </c>
      <c r="AI32" s="6">
        <f>IF(ISNA(MATCH(AI$2,Inputs!$K$4:$AJ$4,0)),NA(),IF(SUMPRODUCT((Inputs!$A$5:$A$170=$B32)*ISNUMBER(INDEX(Inputs!$K$5:$AJ$170,0,MATCH(AI$2,Inputs!$K$4:$AJ$4,0))))+SUMPRODUCT((Inputs!$C$5:$C$170=$B32)*ISNUMBER(INDEX(Inputs!$K$5:$AJ$170,0,MATCH(AI$2,Inputs!$K$4:$AJ$4,0))))+SUMPRODUCT((Inputs!$E$5:$E$170=$B32)*ISNUMBER(INDEX(Inputs!$K$5:$AJ$170,0,MATCH(AI$2,Inputs!$K$4:$AJ$4,0))))=0,NA(),SUMPRODUCT((Inputs!$A$5:$A$170=$B32)*Inputs!$B$5:$B$170*(((Inputs!$G$5:$G$170="moeda")+(Inputs!$G$5:$G$170="acoes"))*Inputs!$B$1+((Inputs!$G$5:$G$170&lt;&gt;"moeda")*(Inputs!$G$5:$G$170&lt;&gt;"acoes")))*INDEX(Inputs!$K$5:$AJ$170,0,MATCH(AI$2,Inputs!$K$4:$AJ$4,0)))+SUMPRODUCT((Inputs!$C$5:$C$170=$B32)*Inputs!$D$5:$D$170*(((Inputs!$G$5:$G$170="moeda")+(Inputs!$G$5:$G$170="acoes"))*Inputs!$B$1+((Inputs!$G$5:$G$170&lt;&gt;"moeda")*(Inputs!$G$5:$G$170&lt;&gt;"acoes")))*INDEX(Inputs!$K$5:$AJ$170,0,MATCH(AI$2,Inputs!$K$4:$AJ$4,0)))+SUMPRODUCT((Inputs!$E$5:$E$170=$B32)*Inputs!$F$5:$F$170*(((Inputs!$G$5:$G$170="moeda")+(Inputs!$G$5:$G$170="acoes"))*Inputs!$B$1+((Inputs!$G$5:$G$170&lt;&gt;"moeda")*(Inputs!$G$5:$G$170&lt;&gt;"acoes")))*INDEX(Inputs!$K$5:$AJ$170,0,MATCH(AI$2,Inputs!$K$4:$AJ$4,0)))))</f>
        <v>1244.503</v>
      </c>
      <c r="AJ32" s="6">
        <f>IF(ISNA(MATCH(AJ$2,Inputs!$K$4:$AJ$4,0)),NA(),IF(SUMPRODUCT((Inputs!$A$5:$A$170=$B32)*ISNUMBER(INDEX(Inputs!$K$5:$AJ$170,0,MATCH(AJ$2,Inputs!$K$4:$AJ$4,0))))+SUMPRODUCT((Inputs!$C$5:$C$170=$B32)*ISNUMBER(INDEX(Inputs!$K$5:$AJ$170,0,MATCH(AJ$2,Inputs!$K$4:$AJ$4,0))))+SUMPRODUCT((Inputs!$E$5:$E$170=$B32)*ISNUMBER(INDEX(Inputs!$K$5:$AJ$170,0,MATCH(AJ$2,Inputs!$K$4:$AJ$4,0))))=0,NA(),SUMPRODUCT((Inputs!$A$5:$A$170=$B32)*Inputs!$B$5:$B$170*(((Inputs!$G$5:$G$170="moeda")+(Inputs!$G$5:$G$170="acoes"))*Inputs!$B$1+((Inputs!$G$5:$G$170&lt;&gt;"moeda")*(Inputs!$G$5:$G$170&lt;&gt;"acoes")))*INDEX(Inputs!$K$5:$AJ$170,0,MATCH(AJ$2,Inputs!$K$4:$AJ$4,0)))+SUMPRODUCT((Inputs!$C$5:$C$170=$B32)*Inputs!$D$5:$D$170*(((Inputs!$G$5:$G$170="moeda")+(Inputs!$G$5:$G$170="acoes"))*Inputs!$B$1+((Inputs!$G$5:$G$170&lt;&gt;"moeda")*(Inputs!$G$5:$G$170&lt;&gt;"acoes")))*INDEX(Inputs!$K$5:$AJ$170,0,MATCH(AJ$2,Inputs!$K$4:$AJ$4,0)))+SUMPRODUCT((Inputs!$E$5:$E$170=$B32)*Inputs!$F$5:$F$170*(((Inputs!$G$5:$G$170="moeda")+(Inputs!$G$5:$G$170="acoes"))*Inputs!$B$1+((Inputs!$G$5:$G$170&lt;&gt;"moeda")*(Inputs!$G$5:$G$170&lt;&gt;"acoes")))*INDEX(Inputs!$K$5:$AJ$170,0,MATCH(AJ$2,Inputs!$K$4:$AJ$4,0)))))</f>
        <v>943.745</v>
      </c>
      <c r="AK32" s="6">
        <f>IF(ISNA(MATCH(AK$2,Inputs!$K$4:$AJ$4,0)),NA(),IF(SUMPRODUCT((Inputs!$A$5:$A$170=$B32)*ISNUMBER(INDEX(Inputs!$K$5:$AJ$170,0,MATCH(AK$2,Inputs!$K$4:$AJ$4,0))))+SUMPRODUCT((Inputs!$C$5:$C$170=$B32)*ISNUMBER(INDEX(Inputs!$K$5:$AJ$170,0,MATCH(AK$2,Inputs!$K$4:$AJ$4,0))))+SUMPRODUCT((Inputs!$E$5:$E$170=$B32)*ISNUMBER(INDEX(Inputs!$K$5:$AJ$170,0,MATCH(AK$2,Inputs!$K$4:$AJ$4,0))))=0,NA(),SUMPRODUCT((Inputs!$A$5:$A$170=$B32)*Inputs!$B$5:$B$170*(((Inputs!$G$5:$G$170="moeda")+(Inputs!$G$5:$G$170="acoes"))*Inputs!$B$1+((Inputs!$G$5:$G$170&lt;&gt;"moeda")*(Inputs!$G$5:$G$170&lt;&gt;"acoes")))*INDEX(Inputs!$K$5:$AJ$170,0,MATCH(AK$2,Inputs!$K$4:$AJ$4,0)))+SUMPRODUCT((Inputs!$C$5:$C$170=$B32)*Inputs!$D$5:$D$170*(((Inputs!$G$5:$G$170="moeda")+(Inputs!$G$5:$G$170="acoes"))*Inputs!$B$1+((Inputs!$G$5:$G$170&lt;&gt;"moeda")*(Inputs!$G$5:$G$170&lt;&gt;"acoes")))*INDEX(Inputs!$K$5:$AJ$170,0,MATCH(AK$2,Inputs!$K$4:$AJ$4,0)))+SUMPRODUCT((Inputs!$E$5:$E$170=$B32)*Inputs!$F$5:$F$170*(((Inputs!$G$5:$G$170="moeda")+(Inputs!$G$5:$G$170="acoes"))*Inputs!$B$1+((Inputs!$G$5:$G$170&lt;&gt;"moeda")*(Inputs!$G$5:$G$170&lt;&gt;"acoes")))*INDEX(Inputs!$K$5:$AJ$170,0,MATCH(AK$2,Inputs!$K$4:$AJ$4,0)))))</f>
        <v>1052.57</v>
      </c>
      <c r="AL32" s="3">
        <f>AK32</f>
        <v>1052.57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$170=$B33)*ISNUMBER(INDEX(Inputs!$K$5:$AJ$170,0,MATCH(D$2,Inputs!$K$4:$AJ$4,0))))+SUMPRODUCT((Inputs!$C$5:$C$170=$B33)*ISNUMBER(INDEX(Inputs!$K$5:$AJ$170,0,MATCH(D$2,Inputs!$K$4:$AJ$4,0))))+SUMPRODUCT((Inputs!$E$5:$E$170=$B33)*ISNUMBER(INDEX(Inputs!$K$5:$AJ$170,0,MATCH(D$2,Inputs!$K$4:$AJ$4,0))))=0,NA(),SUMPRODUCT((Inputs!$A$5:$A$170=$B33)*Inputs!$B$5:$B$170*(((Inputs!$G$5:$G$170="moeda")+(Inputs!$G$5:$G$170="acoes"))*Inputs!$B$1+((Inputs!$G$5:$G$170&lt;&gt;"moeda")*(Inputs!$G$5:$G$170&lt;&gt;"acoes")))*INDEX(Inputs!$K$5:$AJ$170,0,MATCH(D$2,Inputs!$K$4:$AJ$4,0)))+SUMPRODUCT((Inputs!$C$5:$C$170=$B33)*Inputs!$D$5:$D$170*(((Inputs!$G$5:$G$170="moeda")+(Inputs!$G$5:$G$170="acoes"))*Inputs!$B$1+((Inputs!$G$5:$G$170&lt;&gt;"moeda")*(Inputs!$G$5:$G$170&lt;&gt;"acoes")))*INDEX(Inputs!$K$5:$AJ$170,0,MATCH(D$2,Inputs!$K$4:$AJ$4,0)))+SUMPRODUCT((Inputs!$E$5:$E$170=$B33)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33" s="6" t="e">
        <f>IF(ISNA(MATCH(E$2,Inputs!$K$4:$AJ$4,0)),NA(),IF(SUMPRODUCT((Inputs!$A$5:$A$170=$B33)*ISNUMBER(INDEX(Inputs!$K$5:$AJ$170,0,MATCH(E$2,Inputs!$K$4:$AJ$4,0))))+SUMPRODUCT((Inputs!$C$5:$C$170=$B33)*ISNUMBER(INDEX(Inputs!$K$5:$AJ$170,0,MATCH(E$2,Inputs!$K$4:$AJ$4,0))))+SUMPRODUCT((Inputs!$E$5:$E$170=$B33)*ISNUMBER(INDEX(Inputs!$K$5:$AJ$170,0,MATCH(E$2,Inputs!$K$4:$AJ$4,0))))=0,NA(),SUMPRODUCT((Inputs!$A$5:$A$170=$B33)*Inputs!$B$5:$B$170*(((Inputs!$G$5:$G$170="moeda")+(Inputs!$G$5:$G$170="acoes"))*Inputs!$B$1+((Inputs!$G$5:$G$170&lt;&gt;"moeda")*(Inputs!$G$5:$G$170&lt;&gt;"acoes")))*INDEX(Inputs!$K$5:$AJ$170,0,MATCH(E$2,Inputs!$K$4:$AJ$4,0)))+SUMPRODUCT((Inputs!$C$5:$C$170=$B33)*Inputs!$D$5:$D$170*(((Inputs!$G$5:$G$170="moeda")+(Inputs!$G$5:$G$170="acoes"))*Inputs!$B$1+((Inputs!$G$5:$G$170&lt;&gt;"moeda")*(Inputs!$G$5:$G$170&lt;&gt;"acoes")))*INDEX(Inputs!$K$5:$AJ$170,0,MATCH(E$2,Inputs!$K$4:$AJ$4,0)))+SUMPRODUCT((Inputs!$E$5:$E$170=$B33)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33" s="6" t="e">
        <f>IF(ISNA(MATCH(F$2,Inputs!$K$4:$AJ$4,0)),NA(),IF(SUMPRODUCT((Inputs!$A$5:$A$170=$B33)*ISNUMBER(INDEX(Inputs!$K$5:$AJ$170,0,MATCH(F$2,Inputs!$K$4:$AJ$4,0))))+SUMPRODUCT((Inputs!$C$5:$C$170=$B33)*ISNUMBER(INDEX(Inputs!$K$5:$AJ$170,0,MATCH(F$2,Inputs!$K$4:$AJ$4,0))))+SUMPRODUCT((Inputs!$E$5:$E$170=$B33)*ISNUMBER(INDEX(Inputs!$K$5:$AJ$170,0,MATCH(F$2,Inputs!$K$4:$AJ$4,0))))=0,NA(),SUMPRODUCT((Inputs!$A$5:$A$170=$B33)*Inputs!$B$5:$B$170*(((Inputs!$G$5:$G$170="moeda")+(Inputs!$G$5:$G$170="acoes"))*Inputs!$B$1+((Inputs!$G$5:$G$170&lt;&gt;"moeda")*(Inputs!$G$5:$G$170&lt;&gt;"acoes")))*INDEX(Inputs!$K$5:$AJ$170,0,MATCH(F$2,Inputs!$K$4:$AJ$4,0)))+SUMPRODUCT((Inputs!$C$5:$C$170=$B33)*Inputs!$D$5:$D$170*(((Inputs!$G$5:$G$170="moeda")+(Inputs!$G$5:$G$170="acoes"))*Inputs!$B$1+((Inputs!$G$5:$G$170&lt;&gt;"moeda")*(Inputs!$G$5:$G$170&lt;&gt;"acoes")))*INDEX(Inputs!$K$5:$AJ$170,0,MATCH(F$2,Inputs!$K$4:$AJ$4,0)))+SUMPRODUCT((Inputs!$E$5:$E$170=$B33)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33" s="6" t="e">
        <f>IF(ISNA(MATCH(G$2,Inputs!$K$4:$AJ$4,0)),NA(),IF(SUMPRODUCT((Inputs!$A$5:$A$170=$B33)*ISNUMBER(INDEX(Inputs!$K$5:$AJ$170,0,MATCH(G$2,Inputs!$K$4:$AJ$4,0))))+SUMPRODUCT((Inputs!$C$5:$C$170=$B33)*ISNUMBER(INDEX(Inputs!$K$5:$AJ$170,0,MATCH(G$2,Inputs!$K$4:$AJ$4,0))))+SUMPRODUCT((Inputs!$E$5:$E$170=$B33)*ISNUMBER(INDEX(Inputs!$K$5:$AJ$170,0,MATCH(G$2,Inputs!$K$4:$AJ$4,0))))=0,NA(),SUMPRODUCT((Inputs!$A$5:$A$170=$B33)*Inputs!$B$5:$B$170*(((Inputs!$G$5:$G$170="moeda")+(Inputs!$G$5:$G$170="acoes"))*Inputs!$B$1+((Inputs!$G$5:$G$170&lt;&gt;"moeda")*(Inputs!$G$5:$G$170&lt;&gt;"acoes")))*INDEX(Inputs!$K$5:$AJ$170,0,MATCH(G$2,Inputs!$K$4:$AJ$4,0)))+SUMPRODUCT((Inputs!$C$5:$C$170=$B33)*Inputs!$D$5:$D$170*(((Inputs!$G$5:$G$170="moeda")+(Inputs!$G$5:$G$170="acoes"))*Inputs!$B$1+((Inputs!$G$5:$G$170&lt;&gt;"moeda")*(Inputs!$G$5:$G$170&lt;&gt;"acoes")))*INDEX(Inputs!$K$5:$AJ$170,0,MATCH(G$2,Inputs!$K$4:$AJ$4,0)))+SUMPRODUCT((Inputs!$E$5:$E$170=$B33)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33" s="3" t="e">
        <f>G33</f>
        <v>#N/A</v>
      </c>
      <c r="I33" s="6" t="e">
        <f>IF(ISNA(MATCH(I$2,Inputs!$K$4:$AJ$4,0)),NA(),IF(SUMPRODUCT((Inputs!$A$5:$A$170=$B33)*ISNUMBER(INDEX(Inputs!$K$5:$AJ$170,0,MATCH(I$2,Inputs!$K$4:$AJ$4,0))))+SUMPRODUCT((Inputs!$C$5:$C$170=$B33)*ISNUMBER(INDEX(Inputs!$K$5:$AJ$170,0,MATCH(I$2,Inputs!$K$4:$AJ$4,0))))+SUMPRODUCT((Inputs!$E$5:$E$170=$B33)*ISNUMBER(INDEX(Inputs!$K$5:$AJ$170,0,MATCH(I$2,Inputs!$K$4:$AJ$4,0))))=0,NA(),SUMPRODUCT((Inputs!$A$5:$A$170=$B33)*Inputs!$B$5:$B$170*(((Inputs!$G$5:$G$170="moeda")+(Inputs!$G$5:$G$170="acoes"))*Inputs!$B$1+((Inputs!$G$5:$G$170&lt;&gt;"moeda")*(Inputs!$G$5:$G$170&lt;&gt;"acoes")))*INDEX(Inputs!$K$5:$AJ$170,0,MATCH(I$2,Inputs!$K$4:$AJ$4,0)))+SUMPRODUCT((Inputs!$C$5:$C$170=$B33)*Inputs!$D$5:$D$170*(((Inputs!$G$5:$G$170="moeda")+(Inputs!$G$5:$G$170="acoes"))*Inputs!$B$1+((Inputs!$G$5:$G$170&lt;&gt;"moeda")*(Inputs!$G$5:$G$170&lt;&gt;"acoes")))*INDEX(Inputs!$K$5:$AJ$170,0,MATCH(I$2,Inputs!$K$4:$AJ$4,0)))+SUMPRODUCT((Inputs!$E$5:$E$170=$B33)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33" s="6" t="e">
        <f>IF(ISNA(MATCH(J$2,Inputs!$K$4:$AJ$4,0)),NA(),IF(SUMPRODUCT((Inputs!$A$5:$A$170=$B33)*ISNUMBER(INDEX(Inputs!$K$5:$AJ$170,0,MATCH(J$2,Inputs!$K$4:$AJ$4,0))))+SUMPRODUCT((Inputs!$C$5:$C$170=$B33)*ISNUMBER(INDEX(Inputs!$K$5:$AJ$170,0,MATCH(J$2,Inputs!$K$4:$AJ$4,0))))+SUMPRODUCT((Inputs!$E$5:$E$170=$B33)*ISNUMBER(INDEX(Inputs!$K$5:$AJ$170,0,MATCH(J$2,Inputs!$K$4:$AJ$4,0))))=0,NA(),SUMPRODUCT((Inputs!$A$5:$A$170=$B33)*Inputs!$B$5:$B$170*(((Inputs!$G$5:$G$170="moeda")+(Inputs!$G$5:$G$170="acoes"))*Inputs!$B$1+((Inputs!$G$5:$G$170&lt;&gt;"moeda")*(Inputs!$G$5:$G$170&lt;&gt;"acoes")))*INDEX(Inputs!$K$5:$AJ$170,0,MATCH(J$2,Inputs!$K$4:$AJ$4,0)))+SUMPRODUCT((Inputs!$C$5:$C$170=$B33)*Inputs!$D$5:$D$170*(((Inputs!$G$5:$G$170="moeda")+(Inputs!$G$5:$G$170="acoes"))*Inputs!$B$1+((Inputs!$G$5:$G$170&lt;&gt;"moeda")*(Inputs!$G$5:$G$170&lt;&gt;"acoes")))*INDEX(Inputs!$K$5:$AJ$170,0,MATCH(J$2,Inputs!$K$4:$AJ$4,0)))+SUMPRODUCT((Inputs!$E$5:$E$170=$B33)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33" s="6" t="e">
        <f>IF(ISNA(MATCH(K$2,Inputs!$K$4:$AJ$4,0)),NA(),IF(SUMPRODUCT((Inputs!$A$5:$A$170=$B33)*ISNUMBER(INDEX(Inputs!$K$5:$AJ$170,0,MATCH(K$2,Inputs!$K$4:$AJ$4,0))))+SUMPRODUCT((Inputs!$C$5:$C$170=$B33)*ISNUMBER(INDEX(Inputs!$K$5:$AJ$170,0,MATCH(K$2,Inputs!$K$4:$AJ$4,0))))+SUMPRODUCT((Inputs!$E$5:$E$170=$B33)*ISNUMBER(INDEX(Inputs!$K$5:$AJ$170,0,MATCH(K$2,Inputs!$K$4:$AJ$4,0))))=0,NA(),SUMPRODUCT((Inputs!$A$5:$A$170=$B33)*Inputs!$B$5:$B$170*(((Inputs!$G$5:$G$170="moeda")+(Inputs!$G$5:$G$170="acoes"))*Inputs!$B$1+((Inputs!$G$5:$G$170&lt;&gt;"moeda")*(Inputs!$G$5:$G$170&lt;&gt;"acoes")))*INDEX(Inputs!$K$5:$AJ$170,0,MATCH(K$2,Inputs!$K$4:$AJ$4,0)))+SUMPRODUCT((Inputs!$C$5:$C$170=$B33)*Inputs!$D$5:$D$170*(((Inputs!$G$5:$G$170="moeda")+(Inputs!$G$5:$G$170="acoes"))*Inputs!$B$1+((Inputs!$G$5:$G$170&lt;&gt;"moeda")*(Inputs!$G$5:$G$170&lt;&gt;"acoes")))*INDEX(Inputs!$K$5:$AJ$170,0,MATCH(K$2,Inputs!$K$4:$AJ$4,0)))+SUMPRODUCT((Inputs!$E$5:$E$170=$B33)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33" s="6" t="e">
        <f>IF(ISNA(MATCH(L$2,Inputs!$K$4:$AJ$4,0)),NA(),IF(SUMPRODUCT((Inputs!$A$5:$A$170=$B33)*ISNUMBER(INDEX(Inputs!$K$5:$AJ$170,0,MATCH(L$2,Inputs!$K$4:$AJ$4,0))))+SUMPRODUCT((Inputs!$C$5:$C$170=$B33)*ISNUMBER(INDEX(Inputs!$K$5:$AJ$170,0,MATCH(L$2,Inputs!$K$4:$AJ$4,0))))+SUMPRODUCT((Inputs!$E$5:$E$170=$B33)*ISNUMBER(INDEX(Inputs!$K$5:$AJ$170,0,MATCH(L$2,Inputs!$K$4:$AJ$4,0))))=0,NA(),SUMPRODUCT((Inputs!$A$5:$A$170=$B33)*Inputs!$B$5:$B$170*(((Inputs!$G$5:$G$170="moeda")+(Inputs!$G$5:$G$170="acoes"))*Inputs!$B$1+((Inputs!$G$5:$G$170&lt;&gt;"moeda")*(Inputs!$G$5:$G$170&lt;&gt;"acoes")))*INDEX(Inputs!$K$5:$AJ$170,0,MATCH(L$2,Inputs!$K$4:$AJ$4,0)))+SUMPRODUCT((Inputs!$C$5:$C$170=$B33)*Inputs!$D$5:$D$170*(((Inputs!$G$5:$G$170="moeda")+(Inputs!$G$5:$G$170="acoes"))*Inputs!$B$1+((Inputs!$G$5:$G$170&lt;&gt;"moeda")*(Inputs!$G$5:$G$170&lt;&gt;"acoes")))*INDEX(Inputs!$K$5:$AJ$170,0,MATCH(L$2,Inputs!$K$4:$AJ$4,0)))+SUMPRODUCT((Inputs!$E$5:$E$170=$B33)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33" s="3" t="e">
        <f>L33</f>
        <v>#N/A</v>
      </c>
      <c r="N33" s="6" t="e">
        <f>IF(ISNA(MATCH(N$2,Inputs!$K$4:$AJ$4,0)),NA(),IF(SUMPRODUCT((Inputs!$A$5:$A$170=$B33)*ISNUMBER(INDEX(Inputs!$K$5:$AJ$170,0,MATCH(N$2,Inputs!$K$4:$AJ$4,0))))+SUMPRODUCT((Inputs!$C$5:$C$170=$B33)*ISNUMBER(INDEX(Inputs!$K$5:$AJ$170,0,MATCH(N$2,Inputs!$K$4:$AJ$4,0))))+SUMPRODUCT((Inputs!$E$5:$E$170=$B33)*ISNUMBER(INDEX(Inputs!$K$5:$AJ$170,0,MATCH(N$2,Inputs!$K$4:$AJ$4,0))))=0,NA(),SUMPRODUCT((Inputs!$A$5:$A$170=$B33)*Inputs!$B$5:$B$170*(((Inputs!$G$5:$G$170="moeda")+(Inputs!$G$5:$G$170="acoes"))*Inputs!$B$1+((Inputs!$G$5:$G$170&lt;&gt;"moeda")*(Inputs!$G$5:$G$170&lt;&gt;"acoes")))*INDEX(Inputs!$K$5:$AJ$170,0,MATCH(N$2,Inputs!$K$4:$AJ$4,0)))+SUMPRODUCT((Inputs!$C$5:$C$170=$B33)*Inputs!$D$5:$D$170*(((Inputs!$G$5:$G$170="moeda")+(Inputs!$G$5:$G$170="acoes"))*Inputs!$B$1+((Inputs!$G$5:$G$170&lt;&gt;"moeda")*(Inputs!$G$5:$G$170&lt;&gt;"acoes")))*INDEX(Inputs!$K$5:$AJ$170,0,MATCH(N$2,Inputs!$K$4:$AJ$4,0)))+SUMPRODUCT((Inputs!$E$5:$E$170=$B33)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33" s="6" t="e">
        <f>IF(ISNA(MATCH(O$2,Inputs!$K$4:$AJ$4,0)),NA(),IF(SUMPRODUCT((Inputs!$A$5:$A$170=$B33)*ISNUMBER(INDEX(Inputs!$K$5:$AJ$170,0,MATCH(O$2,Inputs!$K$4:$AJ$4,0))))+SUMPRODUCT((Inputs!$C$5:$C$170=$B33)*ISNUMBER(INDEX(Inputs!$K$5:$AJ$170,0,MATCH(O$2,Inputs!$K$4:$AJ$4,0))))+SUMPRODUCT((Inputs!$E$5:$E$170=$B33)*ISNUMBER(INDEX(Inputs!$K$5:$AJ$170,0,MATCH(O$2,Inputs!$K$4:$AJ$4,0))))=0,NA(),SUMPRODUCT((Inputs!$A$5:$A$170=$B33)*Inputs!$B$5:$B$170*(((Inputs!$G$5:$G$170="moeda")+(Inputs!$G$5:$G$170="acoes"))*Inputs!$B$1+((Inputs!$G$5:$G$170&lt;&gt;"moeda")*(Inputs!$G$5:$G$170&lt;&gt;"acoes")))*INDEX(Inputs!$K$5:$AJ$170,0,MATCH(O$2,Inputs!$K$4:$AJ$4,0)))+SUMPRODUCT((Inputs!$C$5:$C$170=$B33)*Inputs!$D$5:$D$170*(((Inputs!$G$5:$G$170="moeda")+(Inputs!$G$5:$G$170="acoes"))*Inputs!$B$1+((Inputs!$G$5:$G$170&lt;&gt;"moeda")*(Inputs!$G$5:$G$170&lt;&gt;"acoes")))*INDEX(Inputs!$K$5:$AJ$170,0,MATCH(O$2,Inputs!$K$4:$AJ$4,0)))+SUMPRODUCT((Inputs!$E$5:$E$170=$B33)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33" s="6" t="e">
        <f>IF(ISNA(MATCH(P$2,Inputs!$K$4:$AJ$4,0)),NA(),IF(SUMPRODUCT((Inputs!$A$5:$A$170=$B33)*ISNUMBER(INDEX(Inputs!$K$5:$AJ$170,0,MATCH(P$2,Inputs!$K$4:$AJ$4,0))))+SUMPRODUCT((Inputs!$C$5:$C$170=$B33)*ISNUMBER(INDEX(Inputs!$K$5:$AJ$170,0,MATCH(P$2,Inputs!$K$4:$AJ$4,0))))+SUMPRODUCT((Inputs!$E$5:$E$170=$B33)*ISNUMBER(INDEX(Inputs!$K$5:$AJ$170,0,MATCH(P$2,Inputs!$K$4:$AJ$4,0))))=0,NA(),SUMPRODUCT((Inputs!$A$5:$A$170=$B33)*Inputs!$B$5:$B$170*(((Inputs!$G$5:$G$170="moeda")+(Inputs!$G$5:$G$170="acoes"))*Inputs!$B$1+((Inputs!$G$5:$G$170&lt;&gt;"moeda")*(Inputs!$G$5:$G$170&lt;&gt;"acoes")))*INDEX(Inputs!$K$5:$AJ$170,0,MATCH(P$2,Inputs!$K$4:$AJ$4,0)))+SUMPRODUCT((Inputs!$C$5:$C$170=$B33)*Inputs!$D$5:$D$170*(((Inputs!$G$5:$G$170="moeda")+(Inputs!$G$5:$G$170="acoes"))*Inputs!$B$1+((Inputs!$G$5:$G$170&lt;&gt;"moeda")*(Inputs!$G$5:$G$170&lt;&gt;"acoes")))*INDEX(Inputs!$K$5:$AJ$170,0,MATCH(P$2,Inputs!$K$4:$AJ$4,0)))+SUMPRODUCT((Inputs!$E$5:$E$170=$B33)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33" s="6" t="e">
        <f>IF(ISNA(MATCH(Q$2,Inputs!$K$4:$AJ$4,0)),NA(),IF(SUMPRODUCT((Inputs!$A$5:$A$170=$B33)*ISNUMBER(INDEX(Inputs!$K$5:$AJ$170,0,MATCH(Q$2,Inputs!$K$4:$AJ$4,0))))+SUMPRODUCT((Inputs!$C$5:$C$170=$B33)*ISNUMBER(INDEX(Inputs!$K$5:$AJ$170,0,MATCH(Q$2,Inputs!$K$4:$AJ$4,0))))+SUMPRODUCT((Inputs!$E$5:$E$170=$B33)*ISNUMBER(INDEX(Inputs!$K$5:$AJ$170,0,MATCH(Q$2,Inputs!$K$4:$AJ$4,0))))=0,NA(),SUMPRODUCT((Inputs!$A$5:$A$170=$B33)*Inputs!$B$5:$B$170*(((Inputs!$G$5:$G$170="moeda")+(Inputs!$G$5:$G$170="acoes"))*Inputs!$B$1+((Inputs!$G$5:$G$170&lt;&gt;"moeda")*(Inputs!$G$5:$G$170&lt;&gt;"acoes")))*INDEX(Inputs!$K$5:$AJ$170,0,MATCH(Q$2,Inputs!$K$4:$AJ$4,0)))+SUMPRODUCT((Inputs!$C$5:$C$170=$B33)*Inputs!$D$5:$D$170*(((Inputs!$G$5:$G$170="moeda")+(Inputs!$G$5:$G$170="acoes"))*Inputs!$B$1+((Inputs!$G$5:$G$170&lt;&gt;"moeda")*(Inputs!$G$5:$G$170&lt;&gt;"acoes")))*INDEX(Inputs!$K$5:$AJ$170,0,MATCH(Q$2,Inputs!$K$4:$AJ$4,0)))+SUMPRODUCT((Inputs!$E$5:$E$170=$B33)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33" s="3" t="e">
        <f>Q33</f>
        <v>#N/A</v>
      </c>
      <c r="S33" s="6" t="e">
        <f>IF(ISNA(MATCH(S$2,Inputs!$K$4:$AJ$4,0)),NA(),IF(SUMPRODUCT((Inputs!$A$5:$A$170=$B33)*ISNUMBER(INDEX(Inputs!$K$5:$AJ$170,0,MATCH(S$2,Inputs!$K$4:$AJ$4,0))))+SUMPRODUCT((Inputs!$C$5:$C$170=$B33)*ISNUMBER(INDEX(Inputs!$K$5:$AJ$170,0,MATCH(S$2,Inputs!$K$4:$AJ$4,0))))+SUMPRODUCT((Inputs!$E$5:$E$170=$B33)*ISNUMBER(INDEX(Inputs!$K$5:$AJ$170,0,MATCH(S$2,Inputs!$K$4:$AJ$4,0))))=0,NA(),SUMPRODUCT((Inputs!$A$5:$A$170=$B33)*Inputs!$B$5:$B$170*(((Inputs!$G$5:$G$170="moeda")+(Inputs!$G$5:$G$170="acoes"))*Inputs!$B$1+((Inputs!$G$5:$G$170&lt;&gt;"moeda")*(Inputs!$G$5:$G$170&lt;&gt;"acoes")))*INDEX(Inputs!$K$5:$AJ$170,0,MATCH(S$2,Inputs!$K$4:$AJ$4,0)))+SUMPRODUCT((Inputs!$C$5:$C$170=$B33)*Inputs!$D$5:$D$170*(((Inputs!$G$5:$G$170="moeda")+(Inputs!$G$5:$G$170="acoes"))*Inputs!$B$1+((Inputs!$G$5:$G$170&lt;&gt;"moeda")*(Inputs!$G$5:$G$170&lt;&gt;"acoes")))*INDEX(Inputs!$K$5:$AJ$170,0,MATCH(S$2,Inputs!$K$4:$AJ$4,0)))+SUMPRODUCT((Inputs!$E$5:$E$170=$B33)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33" s="6" t="e">
        <f>IF(ISNA(MATCH(T$2,Inputs!$K$4:$AJ$4,0)),NA(),IF(SUMPRODUCT((Inputs!$A$5:$A$170=$B33)*ISNUMBER(INDEX(Inputs!$K$5:$AJ$170,0,MATCH(T$2,Inputs!$K$4:$AJ$4,0))))+SUMPRODUCT((Inputs!$C$5:$C$170=$B33)*ISNUMBER(INDEX(Inputs!$K$5:$AJ$170,0,MATCH(T$2,Inputs!$K$4:$AJ$4,0))))+SUMPRODUCT((Inputs!$E$5:$E$170=$B33)*ISNUMBER(INDEX(Inputs!$K$5:$AJ$170,0,MATCH(T$2,Inputs!$K$4:$AJ$4,0))))=0,NA(),SUMPRODUCT((Inputs!$A$5:$A$170=$B33)*Inputs!$B$5:$B$170*(((Inputs!$G$5:$G$170="moeda")+(Inputs!$G$5:$G$170="acoes"))*Inputs!$B$1+((Inputs!$G$5:$G$170&lt;&gt;"moeda")*(Inputs!$G$5:$G$170&lt;&gt;"acoes")))*INDEX(Inputs!$K$5:$AJ$170,0,MATCH(T$2,Inputs!$K$4:$AJ$4,0)))+SUMPRODUCT((Inputs!$C$5:$C$170=$B33)*Inputs!$D$5:$D$170*(((Inputs!$G$5:$G$170="moeda")+(Inputs!$G$5:$G$170="acoes"))*Inputs!$B$1+((Inputs!$G$5:$G$170&lt;&gt;"moeda")*(Inputs!$G$5:$G$170&lt;&gt;"acoes")))*INDEX(Inputs!$K$5:$AJ$170,0,MATCH(T$2,Inputs!$K$4:$AJ$4,0)))+SUMPRODUCT((Inputs!$E$5:$E$170=$B33)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33" s="6" t="e">
        <f>IF(ISNA(MATCH(U$2,Inputs!$K$4:$AJ$4,0)),NA(),IF(SUMPRODUCT((Inputs!$A$5:$A$170=$B33)*ISNUMBER(INDEX(Inputs!$K$5:$AJ$170,0,MATCH(U$2,Inputs!$K$4:$AJ$4,0))))+SUMPRODUCT((Inputs!$C$5:$C$170=$B33)*ISNUMBER(INDEX(Inputs!$K$5:$AJ$170,0,MATCH(U$2,Inputs!$K$4:$AJ$4,0))))+SUMPRODUCT((Inputs!$E$5:$E$170=$B33)*ISNUMBER(INDEX(Inputs!$K$5:$AJ$170,0,MATCH(U$2,Inputs!$K$4:$AJ$4,0))))=0,NA(),SUMPRODUCT((Inputs!$A$5:$A$170=$B33)*Inputs!$B$5:$B$170*(((Inputs!$G$5:$G$170="moeda")+(Inputs!$G$5:$G$170="acoes"))*Inputs!$B$1+((Inputs!$G$5:$G$170&lt;&gt;"moeda")*(Inputs!$G$5:$G$170&lt;&gt;"acoes")))*INDEX(Inputs!$K$5:$AJ$170,0,MATCH(U$2,Inputs!$K$4:$AJ$4,0)))+SUMPRODUCT((Inputs!$C$5:$C$170=$B33)*Inputs!$D$5:$D$170*(((Inputs!$G$5:$G$170="moeda")+(Inputs!$G$5:$G$170="acoes"))*Inputs!$B$1+((Inputs!$G$5:$G$170&lt;&gt;"moeda")*(Inputs!$G$5:$G$170&lt;&gt;"acoes")))*INDEX(Inputs!$K$5:$AJ$170,0,MATCH(U$2,Inputs!$K$4:$AJ$4,0)))+SUMPRODUCT((Inputs!$E$5:$E$170=$B33)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33" s="6" t="e">
        <f>IF(ISNA(MATCH(V$2,Inputs!$K$4:$AJ$4,0)),NA(),IF(SUMPRODUCT((Inputs!$A$5:$A$170=$B33)*ISNUMBER(INDEX(Inputs!$K$5:$AJ$170,0,MATCH(V$2,Inputs!$K$4:$AJ$4,0))))+SUMPRODUCT((Inputs!$C$5:$C$170=$B33)*ISNUMBER(INDEX(Inputs!$K$5:$AJ$170,0,MATCH(V$2,Inputs!$K$4:$AJ$4,0))))+SUMPRODUCT((Inputs!$E$5:$E$170=$B33)*ISNUMBER(INDEX(Inputs!$K$5:$AJ$170,0,MATCH(V$2,Inputs!$K$4:$AJ$4,0))))=0,NA(),SUMPRODUCT((Inputs!$A$5:$A$170=$B33)*Inputs!$B$5:$B$170*(((Inputs!$G$5:$G$170="moeda")+(Inputs!$G$5:$G$170="acoes"))*Inputs!$B$1+((Inputs!$G$5:$G$170&lt;&gt;"moeda")*(Inputs!$G$5:$G$170&lt;&gt;"acoes")))*INDEX(Inputs!$K$5:$AJ$170,0,MATCH(V$2,Inputs!$K$4:$AJ$4,0)))+SUMPRODUCT((Inputs!$C$5:$C$170=$B33)*Inputs!$D$5:$D$170*(((Inputs!$G$5:$G$170="moeda")+(Inputs!$G$5:$G$170="acoes"))*Inputs!$B$1+((Inputs!$G$5:$G$170&lt;&gt;"moeda")*(Inputs!$G$5:$G$170&lt;&gt;"acoes")))*INDEX(Inputs!$K$5:$AJ$170,0,MATCH(V$2,Inputs!$K$4:$AJ$4,0)))+SUMPRODUCT((Inputs!$E$5:$E$170=$B33)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33" s="3" t="e">
        <f>V33</f>
        <v>#N/A</v>
      </c>
      <c r="X33" s="6" t="e">
        <f>IF(ISNA(MATCH(X$2,Inputs!$K$4:$AJ$4,0)),NA(),IF(SUMPRODUCT((Inputs!$A$5:$A$170=$B33)*ISNUMBER(INDEX(Inputs!$K$5:$AJ$170,0,MATCH(X$2,Inputs!$K$4:$AJ$4,0))))+SUMPRODUCT((Inputs!$C$5:$C$170=$B33)*ISNUMBER(INDEX(Inputs!$K$5:$AJ$170,0,MATCH(X$2,Inputs!$K$4:$AJ$4,0))))+SUMPRODUCT((Inputs!$E$5:$E$170=$B33)*ISNUMBER(INDEX(Inputs!$K$5:$AJ$170,0,MATCH(X$2,Inputs!$K$4:$AJ$4,0))))=0,NA(),SUMPRODUCT((Inputs!$A$5:$A$170=$B33)*Inputs!$B$5:$B$170*(((Inputs!$G$5:$G$170="moeda")+(Inputs!$G$5:$G$170="acoes"))*Inputs!$B$1+((Inputs!$G$5:$G$170&lt;&gt;"moeda")*(Inputs!$G$5:$G$170&lt;&gt;"acoes")))*INDEX(Inputs!$K$5:$AJ$170,0,MATCH(X$2,Inputs!$K$4:$AJ$4,0)))+SUMPRODUCT((Inputs!$C$5:$C$170=$B33)*Inputs!$D$5:$D$170*(((Inputs!$G$5:$G$170="moeda")+(Inputs!$G$5:$G$170="acoes"))*Inputs!$B$1+((Inputs!$G$5:$G$170&lt;&gt;"moeda")*(Inputs!$G$5:$G$170&lt;&gt;"acoes")))*INDEX(Inputs!$K$5:$AJ$170,0,MATCH(X$2,Inputs!$K$4:$AJ$4,0)))+SUMPRODUCT((Inputs!$E$5:$E$170=$B33)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33" s="6" t="e">
        <f>IF(ISNA(MATCH(Y$2,Inputs!$K$4:$AJ$4,0)),NA(),IF(SUMPRODUCT((Inputs!$A$5:$A$170=$B33)*ISNUMBER(INDEX(Inputs!$K$5:$AJ$170,0,MATCH(Y$2,Inputs!$K$4:$AJ$4,0))))+SUMPRODUCT((Inputs!$C$5:$C$170=$B33)*ISNUMBER(INDEX(Inputs!$K$5:$AJ$170,0,MATCH(Y$2,Inputs!$K$4:$AJ$4,0))))+SUMPRODUCT((Inputs!$E$5:$E$170=$B33)*ISNUMBER(INDEX(Inputs!$K$5:$AJ$170,0,MATCH(Y$2,Inputs!$K$4:$AJ$4,0))))=0,NA(),SUMPRODUCT((Inputs!$A$5:$A$170=$B33)*Inputs!$B$5:$B$170*(((Inputs!$G$5:$G$170="moeda")+(Inputs!$G$5:$G$170="acoes"))*Inputs!$B$1+((Inputs!$G$5:$G$170&lt;&gt;"moeda")*(Inputs!$G$5:$G$170&lt;&gt;"acoes")))*INDEX(Inputs!$K$5:$AJ$170,0,MATCH(Y$2,Inputs!$K$4:$AJ$4,0)))+SUMPRODUCT((Inputs!$C$5:$C$170=$B33)*Inputs!$D$5:$D$170*(((Inputs!$G$5:$G$170="moeda")+(Inputs!$G$5:$G$170="acoes"))*Inputs!$B$1+((Inputs!$G$5:$G$170&lt;&gt;"moeda")*(Inputs!$G$5:$G$170&lt;&gt;"acoes")))*INDEX(Inputs!$K$5:$AJ$170,0,MATCH(Y$2,Inputs!$K$4:$AJ$4,0)))+SUMPRODUCT((Inputs!$E$5:$E$170=$B33)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33" s="6" t="e">
        <f>IF(ISNA(MATCH(Z$2,Inputs!$K$4:$AJ$4,0)),NA(),IF(SUMPRODUCT((Inputs!$A$5:$A$170=$B33)*ISNUMBER(INDEX(Inputs!$K$5:$AJ$170,0,MATCH(Z$2,Inputs!$K$4:$AJ$4,0))))+SUMPRODUCT((Inputs!$C$5:$C$170=$B33)*ISNUMBER(INDEX(Inputs!$K$5:$AJ$170,0,MATCH(Z$2,Inputs!$K$4:$AJ$4,0))))+SUMPRODUCT((Inputs!$E$5:$E$170=$B33)*ISNUMBER(INDEX(Inputs!$K$5:$AJ$170,0,MATCH(Z$2,Inputs!$K$4:$AJ$4,0))))=0,NA(),SUMPRODUCT((Inputs!$A$5:$A$170=$B33)*Inputs!$B$5:$B$170*(((Inputs!$G$5:$G$170="moeda")+(Inputs!$G$5:$G$170="acoes"))*Inputs!$B$1+((Inputs!$G$5:$G$170&lt;&gt;"moeda")*(Inputs!$G$5:$G$170&lt;&gt;"acoes")))*INDEX(Inputs!$K$5:$AJ$170,0,MATCH(Z$2,Inputs!$K$4:$AJ$4,0)))+SUMPRODUCT((Inputs!$C$5:$C$170=$B33)*Inputs!$D$5:$D$170*(((Inputs!$G$5:$G$170="moeda")+(Inputs!$G$5:$G$170="acoes"))*Inputs!$B$1+((Inputs!$G$5:$G$170&lt;&gt;"moeda")*(Inputs!$G$5:$G$170&lt;&gt;"acoes")))*INDEX(Inputs!$K$5:$AJ$170,0,MATCH(Z$2,Inputs!$K$4:$AJ$4,0)))+SUMPRODUCT((Inputs!$E$5:$E$170=$B33)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33" s="6" t="e">
        <f>IF(ISNA(MATCH(AA$2,Inputs!$K$4:$AJ$4,0)),NA(),IF(SUMPRODUCT((Inputs!$A$5:$A$170=$B33)*ISNUMBER(INDEX(Inputs!$K$5:$AJ$170,0,MATCH(AA$2,Inputs!$K$4:$AJ$4,0))))+SUMPRODUCT((Inputs!$C$5:$C$170=$B33)*ISNUMBER(INDEX(Inputs!$K$5:$AJ$170,0,MATCH(AA$2,Inputs!$K$4:$AJ$4,0))))+SUMPRODUCT((Inputs!$E$5:$E$170=$B33)*ISNUMBER(INDEX(Inputs!$K$5:$AJ$170,0,MATCH(AA$2,Inputs!$K$4:$AJ$4,0))))=0,NA(),SUMPRODUCT((Inputs!$A$5:$A$170=$B33)*Inputs!$B$5:$B$170*(((Inputs!$G$5:$G$170="moeda")+(Inputs!$G$5:$G$170="acoes"))*Inputs!$B$1+((Inputs!$G$5:$G$170&lt;&gt;"moeda")*(Inputs!$G$5:$G$170&lt;&gt;"acoes")))*INDEX(Inputs!$K$5:$AJ$170,0,MATCH(AA$2,Inputs!$K$4:$AJ$4,0)))+SUMPRODUCT((Inputs!$C$5:$C$170=$B33)*Inputs!$D$5:$D$170*(((Inputs!$G$5:$G$170="moeda")+(Inputs!$G$5:$G$170="acoes"))*Inputs!$B$1+((Inputs!$G$5:$G$170&lt;&gt;"moeda")*(Inputs!$G$5:$G$170&lt;&gt;"acoes")))*INDEX(Inputs!$K$5:$AJ$170,0,MATCH(AA$2,Inputs!$K$4:$AJ$4,0)))+SUMPRODUCT((Inputs!$E$5:$E$170=$B33)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33" s="3" t="e">
        <f>AA33</f>
        <v>#N/A</v>
      </c>
      <c r="AC33" s="6" t="e">
        <f>IF(ISNA(MATCH(AC$2,Inputs!$K$4:$AJ$4,0)),NA(),IF(SUMPRODUCT((Inputs!$A$5:$A$170=$B33)*ISNUMBER(INDEX(Inputs!$K$5:$AJ$170,0,MATCH(AC$2,Inputs!$K$4:$AJ$4,0))))+SUMPRODUCT((Inputs!$C$5:$C$170=$B33)*ISNUMBER(INDEX(Inputs!$K$5:$AJ$170,0,MATCH(AC$2,Inputs!$K$4:$AJ$4,0))))+SUMPRODUCT((Inputs!$E$5:$E$170=$B33)*ISNUMBER(INDEX(Inputs!$K$5:$AJ$170,0,MATCH(AC$2,Inputs!$K$4:$AJ$4,0))))=0,NA(),SUMPRODUCT((Inputs!$A$5:$A$170=$B33)*Inputs!$B$5:$B$170*(((Inputs!$G$5:$G$170="moeda")+(Inputs!$G$5:$G$170="acoes"))*Inputs!$B$1+((Inputs!$G$5:$G$170&lt;&gt;"moeda")*(Inputs!$G$5:$G$170&lt;&gt;"acoes")))*INDEX(Inputs!$K$5:$AJ$170,0,MATCH(AC$2,Inputs!$K$4:$AJ$4,0)))+SUMPRODUCT((Inputs!$C$5:$C$170=$B33)*Inputs!$D$5:$D$170*(((Inputs!$G$5:$G$170="moeda")+(Inputs!$G$5:$G$170="acoes"))*Inputs!$B$1+((Inputs!$G$5:$G$170&lt;&gt;"moeda")*(Inputs!$G$5:$G$170&lt;&gt;"acoes")))*INDEX(Inputs!$K$5:$AJ$170,0,MATCH(AC$2,Inputs!$K$4:$AJ$4,0)))+SUMPRODUCT((Inputs!$E$5:$E$170=$B33)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33" s="6" t="e">
        <f>IF(ISNA(MATCH(AD$2,Inputs!$K$4:$AJ$4,0)),NA(),IF(SUMPRODUCT((Inputs!$A$5:$A$170=$B33)*ISNUMBER(INDEX(Inputs!$K$5:$AJ$170,0,MATCH(AD$2,Inputs!$K$4:$AJ$4,0))))+SUMPRODUCT((Inputs!$C$5:$C$170=$B33)*ISNUMBER(INDEX(Inputs!$K$5:$AJ$170,0,MATCH(AD$2,Inputs!$K$4:$AJ$4,0))))+SUMPRODUCT((Inputs!$E$5:$E$170=$B33)*ISNUMBER(INDEX(Inputs!$K$5:$AJ$170,0,MATCH(AD$2,Inputs!$K$4:$AJ$4,0))))=0,NA(),SUMPRODUCT((Inputs!$A$5:$A$170=$B33)*Inputs!$B$5:$B$170*(((Inputs!$G$5:$G$170="moeda")+(Inputs!$G$5:$G$170="acoes"))*Inputs!$B$1+((Inputs!$G$5:$G$170&lt;&gt;"moeda")*(Inputs!$G$5:$G$170&lt;&gt;"acoes")))*INDEX(Inputs!$K$5:$AJ$170,0,MATCH(AD$2,Inputs!$K$4:$AJ$4,0)))+SUMPRODUCT((Inputs!$C$5:$C$170=$B33)*Inputs!$D$5:$D$170*(((Inputs!$G$5:$G$170="moeda")+(Inputs!$G$5:$G$170="acoes"))*Inputs!$B$1+((Inputs!$G$5:$G$170&lt;&gt;"moeda")*(Inputs!$G$5:$G$170&lt;&gt;"acoes")))*INDEX(Inputs!$K$5:$AJ$170,0,MATCH(AD$2,Inputs!$K$4:$AJ$4,0)))+SUMPRODUCT((Inputs!$E$5:$E$170=$B33)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33" s="6" t="e">
        <f>IF(ISNA(MATCH(AE$2,Inputs!$K$4:$AJ$4,0)),NA(),IF(SUMPRODUCT((Inputs!$A$5:$A$170=$B33)*ISNUMBER(INDEX(Inputs!$K$5:$AJ$170,0,MATCH(AE$2,Inputs!$K$4:$AJ$4,0))))+SUMPRODUCT((Inputs!$C$5:$C$170=$B33)*ISNUMBER(INDEX(Inputs!$K$5:$AJ$170,0,MATCH(AE$2,Inputs!$K$4:$AJ$4,0))))+SUMPRODUCT((Inputs!$E$5:$E$170=$B33)*ISNUMBER(INDEX(Inputs!$K$5:$AJ$170,0,MATCH(AE$2,Inputs!$K$4:$AJ$4,0))))=0,NA(),SUMPRODUCT((Inputs!$A$5:$A$170=$B33)*Inputs!$B$5:$B$170*(((Inputs!$G$5:$G$170="moeda")+(Inputs!$G$5:$G$170="acoes"))*Inputs!$B$1+((Inputs!$G$5:$G$170&lt;&gt;"moeda")*(Inputs!$G$5:$G$170&lt;&gt;"acoes")))*INDEX(Inputs!$K$5:$AJ$170,0,MATCH(AE$2,Inputs!$K$4:$AJ$4,0)))+SUMPRODUCT((Inputs!$C$5:$C$170=$B33)*Inputs!$D$5:$D$170*(((Inputs!$G$5:$G$170="moeda")+(Inputs!$G$5:$G$170="acoes"))*Inputs!$B$1+((Inputs!$G$5:$G$170&lt;&gt;"moeda")*(Inputs!$G$5:$G$170&lt;&gt;"acoes")))*INDEX(Inputs!$K$5:$AJ$170,0,MATCH(AE$2,Inputs!$K$4:$AJ$4,0)))+SUMPRODUCT((Inputs!$E$5:$E$170=$B33)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3" s="6" t="e">
        <f>IF(ISNA(MATCH(AF$2,Inputs!$K$4:$AJ$4,0)),NA(),IF(SUMPRODUCT((Inputs!$A$5:$A$170=$B33)*ISNUMBER(INDEX(Inputs!$K$5:$AJ$170,0,MATCH(AF$2,Inputs!$K$4:$AJ$4,0))))+SUMPRODUCT((Inputs!$C$5:$C$170=$B33)*ISNUMBER(INDEX(Inputs!$K$5:$AJ$170,0,MATCH(AF$2,Inputs!$K$4:$AJ$4,0))))+SUMPRODUCT((Inputs!$E$5:$E$170=$B33)*ISNUMBER(INDEX(Inputs!$K$5:$AJ$170,0,MATCH(AF$2,Inputs!$K$4:$AJ$4,0))))=0,NA(),SUMPRODUCT((Inputs!$A$5:$A$170=$B33)*Inputs!$B$5:$B$170*(((Inputs!$G$5:$G$170="moeda")+(Inputs!$G$5:$G$170="acoes"))*Inputs!$B$1+((Inputs!$G$5:$G$170&lt;&gt;"moeda")*(Inputs!$G$5:$G$170&lt;&gt;"acoes")))*INDEX(Inputs!$K$5:$AJ$170,0,MATCH(AF$2,Inputs!$K$4:$AJ$4,0)))+SUMPRODUCT((Inputs!$C$5:$C$170=$B33)*Inputs!$D$5:$D$170*(((Inputs!$G$5:$G$170="moeda")+(Inputs!$G$5:$G$170="acoes"))*Inputs!$B$1+((Inputs!$G$5:$G$170&lt;&gt;"moeda")*(Inputs!$G$5:$G$170&lt;&gt;"acoes")))*INDEX(Inputs!$K$5:$AJ$170,0,MATCH(AF$2,Inputs!$K$4:$AJ$4,0)))+SUMPRODUCT((Inputs!$E$5:$E$170=$B33)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3" s="3" t="e">
        <f>AF33</f>
        <v>#N/A</v>
      </c>
      <c r="AH33" s="6" t="e">
        <f>IF(ISNA(MATCH(AH$2,Inputs!$K$4:$AJ$4,0)),NA(),IF(SUMPRODUCT((Inputs!$A$5:$A$170=$B33)*ISNUMBER(INDEX(Inputs!$K$5:$AJ$170,0,MATCH(AH$2,Inputs!$K$4:$AJ$4,0))))+SUMPRODUCT((Inputs!$C$5:$C$170=$B33)*ISNUMBER(INDEX(Inputs!$K$5:$AJ$170,0,MATCH(AH$2,Inputs!$K$4:$AJ$4,0))))+SUMPRODUCT((Inputs!$E$5:$E$170=$B33)*ISNUMBER(INDEX(Inputs!$K$5:$AJ$170,0,MATCH(AH$2,Inputs!$K$4:$AJ$4,0))))=0,NA(),SUMPRODUCT((Inputs!$A$5:$A$170=$B33)*Inputs!$B$5:$B$170*(((Inputs!$G$5:$G$170="moeda")+(Inputs!$G$5:$G$170="acoes"))*Inputs!$B$1+((Inputs!$G$5:$G$170&lt;&gt;"moeda")*(Inputs!$G$5:$G$170&lt;&gt;"acoes")))*INDEX(Inputs!$K$5:$AJ$170,0,MATCH(AH$2,Inputs!$K$4:$AJ$4,0)))+SUMPRODUCT((Inputs!$C$5:$C$170=$B33)*Inputs!$D$5:$D$170*(((Inputs!$G$5:$G$170="moeda")+(Inputs!$G$5:$G$170="acoes"))*Inputs!$B$1+((Inputs!$G$5:$G$170&lt;&gt;"moeda")*(Inputs!$G$5:$G$170&lt;&gt;"acoes")))*INDEX(Inputs!$K$5:$AJ$170,0,MATCH(AH$2,Inputs!$K$4:$AJ$4,0)))+SUMPRODUCT((Inputs!$E$5:$E$170=$B33)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33" s="6" t="e">
        <f>IF(ISNA(MATCH(AI$2,Inputs!$K$4:$AJ$4,0)),NA(),IF(SUMPRODUCT((Inputs!$A$5:$A$170=$B33)*ISNUMBER(INDEX(Inputs!$K$5:$AJ$170,0,MATCH(AI$2,Inputs!$K$4:$AJ$4,0))))+SUMPRODUCT((Inputs!$C$5:$C$170=$B33)*ISNUMBER(INDEX(Inputs!$K$5:$AJ$170,0,MATCH(AI$2,Inputs!$K$4:$AJ$4,0))))+SUMPRODUCT((Inputs!$E$5:$E$170=$B33)*ISNUMBER(INDEX(Inputs!$K$5:$AJ$170,0,MATCH(AI$2,Inputs!$K$4:$AJ$4,0))))=0,NA(),SUMPRODUCT((Inputs!$A$5:$A$170=$B33)*Inputs!$B$5:$B$170*(((Inputs!$G$5:$G$170="moeda")+(Inputs!$G$5:$G$170="acoes"))*Inputs!$B$1+((Inputs!$G$5:$G$170&lt;&gt;"moeda")*(Inputs!$G$5:$G$170&lt;&gt;"acoes")))*INDEX(Inputs!$K$5:$AJ$170,0,MATCH(AI$2,Inputs!$K$4:$AJ$4,0)))+SUMPRODUCT((Inputs!$C$5:$C$170=$B33)*Inputs!$D$5:$D$170*(((Inputs!$G$5:$G$170="moeda")+(Inputs!$G$5:$G$170="acoes"))*Inputs!$B$1+((Inputs!$G$5:$G$170&lt;&gt;"moeda")*(Inputs!$G$5:$G$170&lt;&gt;"acoes")))*INDEX(Inputs!$K$5:$AJ$170,0,MATCH(AI$2,Inputs!$K$4:$AJ$4,0)))+SUMPRODUCT((Inputs!$E$5:$E$170=$B33)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33" s="6" t="e">
        <f>IF(ISNA(MATCH(AJ$2,Inputs!$K$4:$AJ$4,0)),NA(),IF(SUMPRODUCT((Inputs!$A$5:$A$170=$B33)*ISNUMBER(INDEX(Inputs!$K$5:$AJ$170,0,MATCH(AJ$2,Inputs!$K$4:$AJ$4,0))))+SUMPRODUCT((Inputs!$C$5:$C$170=$B33)*ISNUMBER(INDEX(Inputs!$K$5:$AJ$170,0,MATCH(AJ$2,Inputs!$K$4:$AJ$4,0))))+SUMPRODUCT((Inputs!$E$5:$E$170=$B33)*ISNUMBER(INDEX(Inputs!$K$5:$AJ$170,0,MATCH(AJ$2,Inputs!$K$4:$AJ$4,0))))=0,NA(),SUMPRODUCT((Inputs!$A$5:$A$170=$B33)*Inputs!$B$5:$B$170*(((Inputs!$G$5:$G$170="moeda")+(Inputs!$G$5:$G$170="acoes"))*Inputs!$B$1+((Inputs!$G$5:$G$170&lt;&gt;"moeda")*(Inputs!$G$5:$G$170&lt;&gt;"acoes")))*INDEX(Inputs!$K$5:$AJ$170,0,MATCH(AJ$2,Inputs!$K$4:$AJ$4,0)))+SUMPRODUCT((Inputs!$C$5:$C$170=$B33)*Inputs!$D$5:$D$170*(((Inputs!$G$5:$G$170="moeda")+(Inputs!$G$5:$G$170="acoes"))*Inputs!$B$1+((Inputs!$G$5:$G$170&lt;&gt;"moeda")*(Inputs!$G$5:$G$170&lt;&gt;"acoes")))*INDEX(Inputs!$K$5:$AJ$170,0,MATCH(AJ$2,Inputs!$K$4:$AJ$4,0)))+SUMPRODUCT((Inputs!$E$5:$E$170=$B33)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33" s="6" t="e">
        <f>IF(ISNA(MATCH(AK$2,Inputs!$K$4:$AJ$4,0)),NA(),IF(SUMPRODUCT((Inputs!$A$5:$A$170=$B33)*ISNUMBER(INDEX(Inputs!$K$5:$AJ$170,0,MATCH(AK$2,Inputs!$K$4:$AJ$4,0))))+SUMPRODUCT((Inputs!$C$5:$C$170=$B33)*ISNUMBER(INDEX(Inputs!$K$5:$AJ$170,0,MATCH(AK$2,Inputs!$K$4:$AJ$4,0))))+SUMPRODUCT((Inputs!$E$5:$E$170=$B33)*ISNUMBER(INDEX(Inputs!$K$5:$AJ$170,0,MATCH(AK$2,Inputs!$K$4:$AJ$4,0))))=0,NA(),SUMPRODUCT((Inputs!$A$5:$A$170=$B33)*Inputs!$B$5:$B$170*(((Inputs!$G$5:$G$170="moeda")+(Inputs!$G$5:$G$170="acoes"))*Inputs!$B$1+((Inputs!$G$5:$G$170&lt;&gt;"moeda")*(Inputs!$G$5:$G$170&lt;&gt;"acoes")))*INDEX(Inputs!$K$5:$AJ$170,0,MATCH(AK$2,Inputs!$K$4:$AJ$4,0)))+SUMPRODUCT((Inputs!$C$5:$C$170=$B33)*Inputs!$D$5:$D$170*(((Inputs!$G$5:$G$170="moeda")+(Inputs!$G$5:$G$170="acoes"))*Inputs!$B$1+((Inputs!$G$5:$G$170&lt;&gt;"moeda")*(Inputs!$G$5:$G$170&lt;&gt;"acoes")))*INDEX(Inputs!$K$5:$AJ$170,0,MATCH(AK$2,Inputs!$K$4:$AJ$4,0)))+SUMPRODUCT((Inputs!$E$5:$E$170=$B33)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$170=$B34)*ISNUMBER(INDEX(Inputs!$K$5:$AJ$170,0,MATCH(D$2,Inputs!$K$4:$AJ$4,0))))+SUMPRODUCT((Inputs!$C$5:$C$170=$B34)*ISNUMBER(INDEX(Inputs!$K$5:$AJ$170,0,MATCH(D$2,Inputs!$K$4:$AJ$4,0))))+SUMPRODUCT((Inputs!$E$5:$E$170=$B34)*ISNUMBER(INDEX(Inputs!$K$5:$AJ$170,0,MATCH(D$2,Inputs!$K$4:$AJ$4,0))))=0,NA(),SUMPRODUCT((Inputs!$A$5:$A$170=$B34)*Inputs!$B$5:$B$170*(((Inputs!$G$5:$G$170="moeda")+(Inputs!$G$5:$G$170="acoes"))*Inputs!$B$1+((Inputs!$G$5:$G$170&lt;&gt;"moeda")*(Inputs!$G$5:$G$170&lt;&gt;"acoes")))*INDEX(Inputs!$K$5:$AJ$170,0,MATCH(D$2,Inputs!$K$4:$AJ$4,0)))+SUMPRODUCT((Inputs!$C$5:$C$170=$B34)*Inputs!$D$5:$D$170*(((Inputs!$G$5:$G$170="moeda")+(Inputs!$G$5:$G$170="acoes"))*Inputs!$B$1+((Inputs!$G$5:$G$170&lt;&gt;"moeda")*(Inputs!$G$5:$G$170&lt;&gt;"acoes")))*INDEX(Inputs!$K$5:$AJ$170,0,MATCH(D$2,Inputs!$K$4:$AJ$4,0)))+SUMPRODUCT((Inputs!$E$5:$E$170=$B34)*Inputs!$F$5:$F$170*(((Inputs!$G$5:$G$170="moeda")+(Inputs!$G$5:$G$170="acoes"))*Inputs!$B$1+((Inputs!$G$5:$G$170&lt;&gt;"moeda")*(Inputs!$G$5:$G$170&lt;&gt;"acoes")))*INDEX(Inputs!$K$5:$AJ$170,0,MATCH(D$2,Inputs!$K$4:$AJ$4,0)))))</f>
        <v>61.994</v>
      </c>
      <c r="E34" s="6">
        <f>IF(ISNA(MATCH(E$2,Inputs!$K$4:$AJ$4,0)),NA(),IF(SUMPRODUCT((Inputs!$A$5:$A$170=$B34)*ISNUMBER(INDEX(Inputs!$K$5:$AJ$170,0,MATCH(E$2,Inputs!$K$4:$AJ$4,0))))+SUMPRODUCT((Inputs!$C$5:$C$170=$B34)*ISNUMBER(INDEX(Inputs!$K$5:$AJ$170,0,MATCH(E$2,Inputs!$K$4:$AJ$4,0))))+SUMPRODUCT((Inputs!$E$5:$E$170=$B34)*ISNUMBER(INDEX(Inputs!$K$5:$AJ$170,0,MATCH(E$2,Inputs!$K$4:$AJ$4,0))))=0,NA(),SUMPRODUCT((Inputs!$A$5:$A$170=$B34)*Inputs!$B$5:$B$170*(((Inputs!$G$5:$G$170="moeda")+(Inputs!$G$5:$G$170="acoes"))*Inputs!$B$1+((Inputs!$G$5:$G$170&lt;&gt;"moeda")*(Inputs!$G$5:$G$170&lt;&gt;"acoes")))*INDEX(Inputs!$K$5:$AJ$170,0,MATCH(E$2,Inputs!$K$4:$AJ$4,0)))+SUMPRODUCT((Inputs!$C$5:$C$170=$B34)*Inputs!$D$5:$D$170*(((Inputs!$G$5:$G$170="moeda")+(Inputs!$G$5:$G$170="acoes"))*Inputs!$B$1+((Inputs!$G$5:$G$170&lt;&gt;"moeda")*(Inputs!$G$5:$G$170&lt;&gt;"acoes")))*INDEX(Inputs!$K$5:$AJ$170,0,MATCH(E$2,Inputs!$K$4:$AJ$4,0)))+SUMPRODUCT((Inputs!$E$5:$E$170=$B34)*Inputs!$F$5:$F$170*(((Inputs!$G$5:$G$170="moeda")+(Inputs!$G$5:$G$170="acoes"))*Inputs!$B$1+((Inputs!$G$5:$G$170&lt;&gt;"moeda")*(Inputs!$G$5:$G$170&lt;&gt;"acoes")))*INDEX(Inputs!$K$5:$AJ$170,0,MATCH(E$2,Inputs!$K$4:$AJ$4,0)))))</f>
        <v>67.678</v>
      </c>
      <c r="F34" s="6">
        <f>IF(ISNA(MATCH(F$2,Inputs!$K$4:$AJ$4,0)),NA(),IF(SUMPRODUCT((Inputs!$A$5:$A$170=$B34)*ISNUMBER(INDEX(Inputs!$K$5:$AJ$170,0,MATCH(F$2,Inputs!$K$4:$AJ$4,0))))+SUMPRODUCT((Inputs!$C$5:$C$170=$B34)*ISNUMBER(INDEX(Inputs!$K$5:$AJ$170,0,MATCH(F$2,Inputs!$K$4:$AJ$4,0))))+SUMPRODUCT((Inputs!$E$5:$E$170=$B34)*ISNUMBER(INDEX(Inputs!$K$5:$AJ$170,0,MATCH(F$2,Inputs!$K$4:$AJ$4,0))))=0,NA(),SUMPRODUCT((Inputs!$A$5:$A$170=$B34)*Inputs!$B$5:$B$170*(((Inputs!$G$5:$G$170="moeda")+(Inputs!$G$5:$G$170="acoes"))*Inputs!$B$1+((Inputs!$G$5:$G$170&lt;&gt;"moeda")*(Inputs!$G$5:$G$170&lt;&gt;"acoes")))*INDEX(Inputs!$K$5:$AJ$170,0,MATCH(F$2,Inputs!$K$4:$AJ$4,0)))+SUMPRODUCT((Inputs!$C$5:$C$170=$B34)*Inputs!$D$5:$D$170*(((Inputs!$G$5:$G$170="moeda")+(Inputs!$G$5:$G$170="acoes"))*Inputs!$B$1+((Inputs!$G$5:$G$170&lt;&gt;"moeda")*(Inputs!$G$5:$G$170&lt;&gt;"acoes")))*INDEX(Inputs!$K$5:$AJ$170,0,MATCH(F$2,Inputs!$K$4:$AJ$4,0)))+SUMPRODUCT((Inputs!$E$5:$E$170=$B34)*Inputs!$F$5:$F$170*(((Inputs!$G$5:$G$170="moeda")+(Inputs!$G$5:$G$170="acoes"))*Inputs!$B$1+((Inputs!$G$5:$G$170&lt;&gt;"moeda")*(Inputs!$G$5:$G$170&lt;&gt;"acoes")))*INDEX(Inputs!$K$5:$AJ$170,0,MATCH(F$2,Inputs!$K$4:$AJ$4,0)))))</f>
        <v>84.414</v>
      </c>
      <c r="G34" s="6">
        <f>IF(ISNA(MATCH(G$2,Inputs!$K$4:$AJ$4,0)),NA(),IF(SUMPRODUCT((Inputs!$A$5:$A$170=$B34)*ISNUMBER(INDEX(Inputs!$K$5:$AJ$170,0,MATCH(G$2,Inputs!$K$4:$AJ$4,0))))+SUMPRODUCT((Inputs!$C$5:$C$170=$B34)*ISNUMBER(INDEX(Inputs!$K$5:$AJ$170,0,MATCH(G$2,Inputs!$K$4:$AJ$4,0))))+SUMPRODUCT((Inputs!$E$5:$E$170=$B34)*ISNUMBER(INDEX(Inputs!$K$5:$AJ$170,0,MATCH(G$2,Inputs!$K$4:$AJ$4,0))))=0,NA(),SUMPRODUCT((Inputs!$A$5:$A$170=$B34)*Inputs!$B$5:$B$170*(((Inputs!$G$5:$G$170="moeda")+(Inputs!$G$5:$G$170="acoes"))*Inputs!$B$1+((Inputs!$G$5:$G$170&lt;&gt;"moeda")*(Inputs!$G$5:$G$170&lt;&gt;"acoes")))*INDEX(Inputs!$K$5:$AJ$170,0,MATCH(G$2,Inputs!$K$4:$AJ$4,0)))+SUMPRODUCT((Inputs!$C$5:$C$170=$B34)*Inputs!$D$5:$D$170*(((Inputs!$G$5:$G$170="moeda")+(Inputs!$G$5:$G$170="acoes"))*Inputs!$B$1+((Inputs!$G$5:$G$170&lt;&gt;"moeda")*(Inputs!$G$5:$G$170&lt;&gt;"acoes")))*INDEX(Inputs!$K$5:$AJ$170,0,MATCH(G$2,Inputs!$K$4:$AJ$4,0)))+SUMPRODUCT((Inputs!$E$5:$E$170=$B34)*Inputs!$F$5:$F$170*(((Inputs!$G$5:$G$170="moeda")+(Inputs!$G$5:$G$170="acoes"))*Inputs!$B$1+((Inputs!$G$5:$G$170&lt;&gt;"moeda")*(Inputs!$G$5:$G$170&lt;&gt;"acoes")))*INDEX(Inputs!$K$5:$AJ$170,0,MATCH(G$2,Inputs!$K$4:$AJ$4,0)))))</f>
        <v>103.044</v>
      </c>
      <c r="H34" s="3">
        <f>G34</f>
        <v>103.044</v>
      </c>
      <c r="I34" s="6">
        <f>IF(ISNA(MATCH(I$2,Inputs!$K$4:$AJ$4,0)),NA(),IF(SUMPRODUCT((Inputs!$A$5:$A$170=$B34)*ISNUMBER(INDEX(Inputs!$K$5:$AJ$170,0,MATCH(I$2,Inputs!$K$4:$AJ$4,0))))+SUMPRODUCT((Inputs!$C$5:$C$170=$B34)*ISNUMBER(INDEX(Inputs!$K$5:$AJ$170,0,MATCH(I$2,Inputs!$K$4:$AJ$4,0))))+SUMPRODUCT((Inputs!$E$5:$E$170=$B34)*ISNUMBER(INDEX(Inputs!$K$5:$AJ$170,0,MATCH(I$2,Inputs!$K$4:$AJ$4,0))))=0,NA(),SUMPRODUCT((Inputs!$A$5:$A$170=$B34)*Inputs!$B$5:$B$170*(((Inputs!$G$5:$G$170="moeda")+(Inputs!$G$5:$G$170="acoes"))*Inputs!$B$1+((Inputs!$G$5:$G$170&lt;&gt;"moeda")*(Inputs!$G$5:$G$170&lt;&gt;"acoes")))*INDEX(Inputs!$K$5:$AJ$170,0,MATCH(I$2,Inputs!$K$4:$AJ$4,0)))+SUMPRODUCT((Inputs!$C$5:$C$170=$B34)*Inputs!$D$5:$D$170*(((Inputs!$G$5:$G$170="moeda")+(Inputs!$G$5:$G$170="acoes"))*Inputs!$B$1+((Inputs!$G$5:$G$170&lt;&gt;"moeda")*(Inputs!$G$5:$G$170&lt;&gt;"acoes")))*INDEX(Inputs!$K$5:$AJ$170,0,MATCH(I$2,Inputs!$K$4:$AJ$4,0)))+SUMPRODUCT((Inputs!$E$5:$E$170=$B34)*Inputs!$F$5:$F$170*(((Inputs!$G$5:$G$170="moeda")+(Inputs!$G$5:$G$170="acoes"))*Inputs!$B$1+((Inputs!$G$5:$G$170&lt;&gt;"moeda")*(Inputs!$G$5:$G$170&lt;&gt;"acoes")))*INDEX(Inputs!$K$5:$AJ$170,0,MATCH(I$2,Inputs!$K$4:$AJ$4,0)))))</f>
        <v>108.267</v>
      </c>
      <c r="J34" s="6">
        <f>IF(ISNA(MATCH(J$2,Inputs!$K$4:$AJ$4,0)),NA(),IF(SUMPRODUCT((Inputs!$A$5:$A$170=$B34)*ISNUMBER(INDEX(Inputs!$K$5:$AJ$170,0,MATCH(J$2,Inputs!$K$4:$AJ$4,0))))+SUMPRODUCT((Inputs!$C$5:$C$170=$B34)*ISNUMBER(INDEX(Inputs!$K$5:$AJ$170,0,MATCH(J$2,Inputs!$K$4:$AJ$4,0))))+SUMPRODUCT((Inputs!$E$5:$E$170=$B34)*ISNUMBER(INDEX(Inputs!$K$5:$AJ$170,0,MATCH(J$2,Inputs!$K$4:$AJ$4,0))))=0,NA(),SUMPRODUCT((Inputs!$A$5:$A$170=$B34)*Inputs!$B$5:$B$170*(((Inputs!$G$5:$G$170="moeda")+(Inputs!$G$5:$G$170="acoes"))*Inputs!$B$1+((Inputs!$G$5:$G$170&lt;&gt;"moeda")*(Inputs!$G$5:$G$170&lt;&gt;"acoes")))*INDEX(Inputs!$K$5:$AJ$170,0,MATCH(J$2,Inputs!$K$4:$AJ$4,0)))+SUMPRODUCT((Inputs!$C$5:$C$170=$B34)*Inputs!$D$5:$D$170*(((Inputs!$G$5:$G$170="moeda")+(Inputs!$G$5:$G$170="acoes"))*Inputs!$B$1+((Inputs!$G$5:$G$170&lt;&gt;"moeda")*(Inputs!$G$5:$G$170&lt;&gt;"acoes")))*INDEX(Inputs!$K$5:$AJ$170,0,MATCH(J$2,Inputs!$K$4:$AJ$4,0)))+SUMPRODUCT((Inputs!$E$5:$E$170=$B34)*Inputs!$F$5:$F$170*(((Inputs!$G$5:$G$170="moeda")+(Inputs!$G$5:$G$170="acoes"))*Inputs!$B$1+((Inputs!$G$5:$G$170&lt;&gt;"moeda")*(Inputs!$G$5:$G$170&lt;&gt;"acoes")))*INDEX(Inputs!$K$5:$AJ$170,0,MATCH(J$2,Inputs!$K$4:$AJ$4,0)))))</f>
        <v>119.982</v>
      </c>
      <c r="K34" s="6">
        <f>IF(ISNA(MATCH(K$2,Inputs!$K$4:$AJ$4,0)),NA(),IF(SUMPRODUCT((Inputs!$A$5:$A$170=$B34)*ISNUMBER(INDEX(Inputs!$K$5:$AJ$170,0,MATCH(K$2,Inputs!$K$4:$AJ$4,0))))+SUMPRODUCT((Inputs!$C$5:$C$170=$B34)*ISNUMBER(INDEX(Inputs!$K$5:$AJ$170,0,MATCH(K$2,Inputs!$K$4:$AJ$4,0))))+SUMPRODUCT((Inputs!$E$5:$E$170=$B34)*ISNUMBER(INDEX(Inputs!$K$5:$AJ$170,0,MATCH(K$2,Inputs!$K$4:$AJ$4,0))))=0,NA(),SUMPRODUCT((Inputs!$A$5:$A$170=$B34)*Inputs!$B$5:$B$170*(((Inputs!$G$5:$G$170="moeda")+(Inputs!$G$5:$G$170="acoes"))*Inputs!$B$1+((Inputs!$G$5:$G$170&lt;&gt;"moeda")*(Inputs!$G$5:$G$170&lt;&gt;"acoes")))*INDEX(Inputs!$K$5:$AJ$170,0,MATCH(K$2,Inputs!$K$4:$AJ$4,0)))+SUMPRODUCT((Inputs!$C$5:$C$170=$B34)*Inputs!$D$5:$D$170*(((Inputs!$G$5:$G$170="moeda")+(Inputs!$G$5:$G$170="acoes"))*Inputs!$B$1+((Inputs!$G$5:$G$170&lt;&gt;"moeda")*(Inputs!$G$5:$G$170&lt;&gt;"acoes")))*INDEX(Inputs!$K$5:$AJ$170,0,MATCH(K$2,Inputs!$K$4:$AJ$4,0)))+SUMPRODUCT((Inputs!$E$5:$E$170=$B34)*Inputs!$F$5:$F$170*(((Inputs!$G$5:$G$170="moeda")+(Inputs!$G$5:$G$170="acoes"))*Inputs!$B$1+((Inputs!$G$5:$G$170&lt;&gt;"moeda")*(Inputs!$G$5:$G$170&lt;&gt;"acoes")))*INDEX(Inputs!$K$5:$AJ$170,0,MATCH(K$2,Inputs!$K$4:$AJ$4,0)))))</f>
        <v>134.853</v>
      </c>
      <c r="L34" s="6">
        <f>IF(ISNA(MATCH(L$2,Inputs!$K$4:$AJ$4,0)),NA(),IF(SUMPRODUCT((Inputs!$A$5:$A$170=$B34)*ISNUMBER(INDEX(Inputs!$K$5:$AJ$170,0,MATCH(L$2,Inputs!$K$4:$AJ$4,0))))+SUMPRODUCT((Inputs!$C$5:$C$170=$B34)*ISNUMBER(INDEX(Inputs!$K$5:$AJ$170,0,MATCH(L$2,Inputs!$K$4:$AJ$4,0))))+SUMPRODUCT((Inputs!$E$5:$E$170=$B34)*ISNUMBER(INDEX(Inputs!$K$5:$AJ$170,0,MATCH(L$2,Inputs!$K$4:$AJ$4,0))))=0,NA(),SUMPRODUCT((Inputs!$A$5:$A$170=$B34)*Inputs!$B$5:$B$170*(((Inputs!$G$5:$G$170="moeda")+(Inputs!$G$5:$G$170="acoes"))*Inputs!$B$1+((Inputs!$G$5:$G$170&lt;&gt;"moeda")*(Inputs!$G$5:$G$170&lt;&gt;"acoes")))*INDEX(Inputs!$K$5:$AJ$170,0,MATCH(L$2,Inputs!$K$4:$AJ$4,0)))+SUMPRODUCT((Inputs!$C$5:$C$170=$B34)*Inputs!$D$5:$D$170*(((Inputs!$G$5:$G$170="moeda")+(Inputs!$G$5:$G$170="acoes"))*Inputs!$B$1+((Inputs!$G$5:$G$170&lt;&gt;"moeda")*(Inputs!$G$5:$G$170&lt;&gt;"acoes")))*INDEX(Inputs!$K$5:$AJ$170,0,MATCH(L$2,Inputs!$K$4:$AJ$4,0)))+SUMPRODUCT((Inputs!$E$5:$E$170=$B34)*Inputs!$F$5:$F$170*(((Inputs!$G$5:$G$170="moeda")+(Inputs!$G$5:$G$170="acoes"))*Inputs!$B$1+((Inputs!$G$5:$G$170&lt;&gt;"moeda")*(Inputs!$G$5:$G$170&lt;&gt;"acoes")))*INDEX(Inputs!$K$5:$AJ$170,0,MATCH(L$2,Inputs!$K$4:$AJ$4,0)))))</f>
        <v>137.485</v>
      </c>
      <c r="M34" s="3">
        <f>L34</f>
        <v>137.485</v>
      </c>
      <c r="N34" s="6">
        <f>IF(ISNA(MATCH(N$2,Inputs!$K$4:$AJ$4,0)),NA(),IF(SUMPRODUCT((Inputs!$A$5:$A$170=$B34)*ISNUMBER(INDEX(Inputs!$K$5:$AJ$170,0,MATCH(N$2,Inputs!$K$4:$AJ$4,0))))+SUMPRODUCT((Inputs!$C$5:$C$170=$B34)*ISNUMBER(INDEX(Inputs!$K$5:$AJ$170,0,MATCH(N$2,Inputs!$K$4:$AJ$4,0))))+SUMPRODUCT((Inputs!$E$5:$E$170=$B34)*ISNUMBER(INDEX(Inputs!$K$5:$AJ$170,0,MATCH(N$2,Inputs!$K$4:$AJ$4,0))))=0,NA(),SUMPRODUCT((Inputs!$A$5:$A$170=$B34)*Inputs!$B$5:$B$170*(((Inputs!$G$5:$G$170="moeda")+(Inputs!$G$5:$G$170="acoes"))*Inputs!$B$1+((Inputs!$G$5:$G$170&lt;&gt;"moeda")*(Inputs!$G$5:$G$170&lt;&gt;"acoes")))*INDEX(Inputs!$K$5:$AJ$170,0,MATCH(N$2,Inputs!$K$4:$AJ$4,0)))+SUMPRODUCT((Inputs!$C$5:$C$170=$B34)*Inputs!$D$5:$D$170*(((Inputs!$G$5:$G$170="moeda")+(Inputs!$G$5:$G$170="acoes"))*Inputs!$B$1+((Inputs!$G$5:$G$170&lt;&gt;"moeda")*(Inputs!$G$5:$G$170&lt;&gt;"acoes")))*INDEX(Inputs!$K$5:$AJ$170,0,MATCH(N$2,Inputs!$K$4:$AJ$4,0)))+SUMPRODUCT((Inputs!$E$5:$E$170=$B34)*Inputs!$F$5:$F$170*(((Inputs!$G$5:$G$170="moeda")+(Inputs!$G$5:$G$170="acoes"))*Inputs!$B$1+((Inputs!$G$5:$G$170&lt;&gt;"moeda")*(Inputs!$G$5:$G$170&lt;&gt;"acoes")))*INDEX(Inputs!$K$5:$AJ$170,0,MATCH(N$2,Inputs!$K$4:$AJ$4,0)))))</f>
        <v>133.72</v>
      </c>
      <c r="O34" s="6">
        <f>IF(ISNA(MATCH(O$2,Inputs!$K$4:$AJ$4,0)),NA(),IF(SUMPRODUCT((Inputs!$A$5:$A$170=$B34)*ISNUMBER(INDEX(Inputs!$K$5:$AJ$170,0,MATCH(O$2,Inputs!$K$4:$AJ$4,0))))+SUMPRODUCT((Inputs!$C$5:$C$170=$B34)*ISNUMBER(INDEX(Inputs!$K$5:$AJ$170,0,MATCH(O$2,Inputs!$K$4:$AJ$4,0))))+SUMPRODUCT((Inputs!$E$5:$E$170=$B34)*ISNUMBER(INDEX(Inputs!$K$5:$AJ$170,0,MATCH(O$2,Inputs!$K$4:$AJ$4,0))))=0,NA(),SUMPRODUCT((Inputs!$A$5:$A$170=$B34)*Inputs!$B$5:$B$170*(((Inputs!$G$5:$G$170="moeda")+(Inputs!$G$5:$G$170="acoes"))*Inputs!$B$1+((Inputs!$G$5:$G$170&lt;&gt;"moeda")*(Inputs!$G$5:$G$170&lt;&gt;"acoes")))*INDEX(Inputs!$K$5:$AJ$170,0,MATCH(O$2,Inputs!$K$4:$AJ$4,0)))+SUMPRODUCT((Inputs!$C$5:$C$170=$B34)*Inputs!$D$5:$D$170*(((Inputs!$G$5:$G$170="moeda")+(Inputs!$G$5:$G$170="acoes"))*Inputs!$B$1+((Inputs!$G$5:$G$170&lt;&gt;"moeda")*(Inputs!$G$5:$G$170&lt;&gt;"acoes")))*INDEX(Inputs!$K$5:$AJ$170,0,MATCH(O$2,Inputs!$K$4:$AJ$4,0)))+SUMPRODUCT((Inputs!$E$5:$E$170=$B34)*Inputs!$F$5:$F$170*(((Inputs!$G$5:$G$170="moeda")+(Inputs!$G$5:$G$170="acoes"))*Inputs!$B$1+((Inputs!$G$5:$G$170&lt;&gt;"moeda")*(Inputs!$G$5:$G$170&lt;&gt;"acoes")))*INDEX(Inputs!$K$5:$AJ$170,0,MATCH(O$2,Inputs!$K$4:$AJ$4,0)))))</f>
        <v>132.466</v>
      </c>
      <c r="P34" s="6">
        <f>IF(ISNA(MATCH(P$2,Inputs!$K$4:$AJ$4,0)),NA(),IF(SUMPRODUCT((Inputs!$A$5:$A$170=$B34)*ISNUMBER(INDEX(Inputs!$K$5:$AJ$170,0,MATCH(P$2,Inputs!$K$4:$AJ$4,0))))+SUMPRODUCT((Inputs!$C$5:$C$170=$B34)*ISNUMBER(INDEX(Inputs!$K$5:$AJ$170,0,MATCH(P$2,Inputs!$K$4:$AJ$4,0))))+SUMPRODUCT((Inputs!$E$5:$E$170=$B34)*ISNUMBER(INDEX(Inputs!$K$5:$AJ$170,0,MATCH(P$2,Inputs!$K$4:$AJ$4,0))))=0,NA(),SUMPRODUCT((Inputs!$A$5:$A$170=$B34)*Inputs!$B$5:$B$170*(((Inputs!$G$5:$G$170="moeda")+(Inputs!$G$5:$G$170="acoes"))*Inputs!$B$1+((Inputs!$G$5:$G$170&lt;&gt;"moeda")*(Inputs!$G$5:$G$170&lt;&gt;"acoes")))*INDEX(Inputs!$K$5:$AJ$170,0,MATCH(P$2,Inputs!$K$4:$AJ$4,0)))+SUMPRODUCT((Inputs!$C$5:$C$170=$B34)*Inputs!$D$5:$D$170*(((Inputs!$G$5:$G$170="moeda")+(Inputs!$G$5:$G$170="acoes"))*Inputs!$B$1+((Inputs!$G$5:$G$170&lt;&gt;"moeda")*(Inputs!$G$5:$G$170&lt;&gt;"acoes")))*INDEX(Inputs!$K$5:$AJ$170,0,MATCH(P$2,Inputs!$K$4:$AJ$4,0)))+SUMPRODUCT((Inputs!$E$5:$E$170=$B34)*Inputs!$F$5:$F$170*(((Inputs!$G$5:$G$170="moeda")+(Inputs!$G$5:$G$170="acoes"))*Inputs!$B$1+((Inputs!$G$5:$G$170&lt;&gt;"moeda")*(Inputs!$G$5:$G$170&lt;&gt;"acoes")))*INDEX(Inputs!$K$5:$AJ$170,0,MATCH(P$2,Inputs!$K$4:$AJ$4,0)))))</f>
        <v>140.545</v>
      </c>
      <c r="Q34" s="6">
        <f>IF(ISNA(MATCH(Q$2,Inputs!$K$4:$AJ$4,0)),NA(),IF(SUMPRODUCT((Inputs!$A$5:$A$170=$B34)*ISNUMBER(INDEX(Inputs!$K$5:$AJ$170,0,MATCH(Q$2,Inputs!$K$4:$AJ$4,0))))+SUMPRODUCT((Inputs!$C$5:$C$170=$B34)*ISNUMBER(INDEX(Inputs!$K$5:$AJ$170,0,MATCH(Q$2,Inputs!$K$4:$AJ$4,0))))+SUMPRODUCT((Inputs!$E$5:$E$170=$B34)*ISNUMBER(INDEX(Inputs!$K$5:$AJ$170,0,MATCH(Q$2,Inputs!$K$4:$AJ$4,0))))=0,NA(),SUMPRODUCT((Inputs!$A$5:$A$170=$B34)*Inputs!$B$5:$B$170*(((Inputs!$G$5:$G$170="moeda")+(Inputs!$G$5:$G$170="acoes"))*Inputs!$B$1+((Inputs!$G$5:$G$170&lt;&gt;"moeda")*(Inputs!$G$5:$G$170&lt;&gt;"acoes")))*INDEX(Inputs!$K$5:$AJ$170,0,MATCH(Q$2,Inputs!$K$4:$AJ$4,0)))+SUMPRODUCT((Inputs!$C$5:$C$170=$B34)*Inputs!$D$5:$D$170*(((Inputs!$G$5:$G$170="moeda")+(Inputs!$G$5:$G$170="acoes"))*Inputs!$B$1+((Inputs!$G$5:$G$170&lt;&gt;"moeda")*(Inputs!$G$5:$G$170&lt;&gt;"acoes")))*INDEX(Inputs!$K$5:$AJ$170,0,MATCH(Q$2,Inputs!$K$4:$AJ$4,0)))+SUMPRODUCT((Inputs!$E$5:$E$170=$B34)*Inputs!$F$5:$F$170*(((Inputs!$G$5:$G$170="moeda")+(Inputs!$G$5:$G$170="acoes"))*Inputs!$B$1+((Inputs!$G$5:$G$170&lt;&gt;"moeda")*(Inputs!$G$5:$G$170&lt;&gt;"acoes")))*INDEX(Inputs!$K$5:$AJ$170,0,MATCH(Q$2,Inputs!$K$4:$AJ$4,0)))))</f>
        <v>155.635</v>
      </c>
      <c r="R34" s="3">
        <f>Q34</f>
        <v>155.635</v>
      </c>
      <c r="S34" s="6">
        <f>IF(ISNA(MATCH(S$2,Inputs!$K$4:$AJ$4,0)),NA(),IF(SUMPRODUCT((Inputs!$A$5:$A$170=$B34)*ISNUMBER(INDEX(Inputs!$K$5:$AJ$170,0,MATCH(S$2,Inputs!$K$4:$AJ$4,0))))+SUMPRODUCT((Inputs!$C$5:$C$170=$B34)*ISNUMBER(INDEX(Inputs!$K$5:$AJ$170,0,MATCH(S$2,Inputs!$K$4:$AJ$4,0))))+SUMPRODUCT((Inputs!$E$5:$E$170=$B34)*ISNUMBER(INDEX(Inputs!$K$5:$AJ$170,0,MATCH(S$2,Inputs!$K$4:$AJ$4,0))))=0,NA(),SUMPRODUCT((Inputs!$A$5:$A$170=$B34)*Inputs!$B$5:$B$170*(((Inputs!$G$5:$G$170="moeda")+(Inputs!$G$5:$G$170="acoes"))*Inputs!$B$1+((Inputs!$G$5:$G$170&lt;&gt;"moeda")*(Inputs!$G$5:$G$170&lt;&gt;"acoes")))*INDEX(Inputs!$K$5:$AJ$170,0,MATCH(S$2,Inputs!$K$4:$AJ$4,0)))+SUMPRODUCT((Inputs!$C$5:$C$170=$B34)*Inputs!$D$5:$D$170*(((Inputs!$G$5:$G$170="moeda")+(Inputs!$G$5:$G$170="acoes"))*Inputs!$B$1+((Inputs!$G$5:$G$170&lt;&gt;"moeda")*(Inputs!$G$5:$G$170&lt;&gt;"acoes")))*INDEX(Inputs!$K$5:$AJ$170,0,MATCH(S$2,Inputs!$K$4:$AJ$4,0)))+SUMPRODUCT((Inputs!$E$5:$E$170=$B34)*Inputs!$F$5:$F$170*(((Inputs!$G$5:$G$170="moeda")+(Inputs!$G$5:$G$170="acoes"))*Inputs!$B$1+((Inputs!$G$5:$G$170&lt;&gt;"moeda")*(Inputs!$G$5:$G$170&lt;&gt;"acoes")))*INDEX(Inputs!$K$5:$AJ$170,0,MATCH(S$2,Inputs!$K$4:$AJ$4,0)))))</f>
        <v>159.147</v>
      </c>
      <c r="T34" s="6">
        <f>IF(ISNA(MATCH(T$2,Inputs!$K$4:$AJ$4,0)),NA(),IF(SUMPRODUCT((Inputs!$A$5:$A$170=$B34)*ISNUMBER(INDEX(Inputs!$K$5:$AJ$170,0,MATCH(T$2,Inputs!$K$4:$AJ$4,0))))+SUMPRODUCT((Inputs!$C$5:$C$170=$B34)*ISNUMBER(INDEX(Inputs!$K$5:$AJ$170,0,MATCH(T$2,Inputs!$K$4:$AJ$4,0))))+SUMPRODUCT((Inputs!$E$5:$E$170=$B34)*ISNUMBER(INDEX(Inputs!$K$5:$AJ$170,0,MATCH(T$2,Inputs!$K$4:$AJ$4,0))))=0,NA(),SUMPRODUCT((Inputs!$A$5:$A$170=$B34)*Inputs!$B$5:$B$170*(((Inputs!$G$5:$G$170="moeda")+(Inputs!$G$5:$G$170="acoes"))*Inputs!$B$1+((Inputs!$G$5:$G$170&lt;&gt;"moeda")*(Inputs!$G$5:$G$170&lt;&gt;"acoes")))*INDEX(Inputs!$K$5:$AJ$170,0,MATCH(T$2,Inputs!$K$4:$AJ$4,0)))+SUMPRODUCT((Inputs!$C$5:$C$170=$B34)*Inputs!$D$5:$D$170*(((Inputs!$G$5:$G$170="moeda")+(Inputs!$G$5:$G$170="acoes"))*Inputs!$B$1+((Inputs!$G$5:$G$170&lt;&gt;"moeda")*(Inputs!$G$5:$G$170&lt;&gt;"acoes")))*INDEX(Inputs!$K$5:$AJ$170,0,MATCH(T$2,Inputs!$K$4:$AJ$4,0)))+SUMPRODUCT((Inputs!$E$5:$E$170=$B34)*Inputs!$F$5:$F$170*(((Inputs!$G$5:$G$170="moeda")+(Inputs!$G$5:$G$170="acoes"))*Inputs!$B$1+((Inputs!$G$5:$G$170&lt;&gt;"moeda")*(Inputs!$G$5:$G$170&lt;&gt;"acoes")))*INDEX(Inputs!$K$5:$AJ$170,0,MATCH(T$2,Inputs!$K$4:$AJ$4,0)))))</f>
        <v>171.944</v>
      </c>
      <c r="U34" s="6">
        <f>IF(ISNA(MATCH(U$2,Inputs!$K$4:$AJ$4,0)),NA(),IF(SUMPRODUCT((Inputs!$A$5:$A$170=$B34)*ISNUMBER(INDEX(Inputs!$K$5:$AJ$170,0,MATCH(U$2,Inputs!$K$4:$AJ$4,0))))+SUMPRODUCT((Inputs!$C$5:$C$170=$B34)*ISNUMBER(INDEX(Inputs!$K$5:$AJ$170,0,MATCH(U$2,Inputs!$K$4:$AJ$4,0))))+SUMPRODUCT((Inputs!$E$5:$E$170=$B34)*ISNUMBER(INDEX(Inputs!$K$5:$AJ$170,0,MATCH(U$2,Inputs!$K$4:$AJ$4,0))))=0,NA(),SUMPRODUCT((Inputs!$A$5:$A$170=$B34)*Inputs!$B$5:$B$170*(((Inputs!$G$5:$G$170="moeda")+(Inputs!$G$5:$G$170="acoes"))*Inputs!$B$1+((Inputs!$G$5:$G$170&lt;&gt;"moeda")*(Inputs!$G$5:$G$170&lt;&gt;"acoes")))*INDEX(Inputs!$K$5:$AJ$170,0,MATCH(U$2,Inputs!$K$4:$AJ$4,0)))+SUMPRODUCT((Inputs!$C$5:$C$170=$B34)*Inputs!$D$5:$D$170*(((Inputs!$G$5:$G$170="moeda")+(Inputs!$G$5:$G$170="acoes"))*Inputs!$B$1+((Inputs!$G$5:$G$170&lt;&gt;"moeda")*(Inputs!$G$5:$G$170&lt;&gt;"acoes")))*INDEX(Inputs!$K$5:$AJ$170,0,MATCH(U$2,Inputs!$K$4:$AJ$4,0)))+SUMPRODUCT((Inputs!$E$5:$E$170=$B34)*Inputs!$F$5:$F$170*(((Inputs!$G$5:$G$170="moeda")+(Inputs!$G$5:$G$170="acoes"))*Inputs!$B$1+((Inputs!$G$5:$G$170&lt;&gt;"moeda")*(Inputs!$G$5:$G$170&lt;&gt;"acoes")))*INDEX(Inputs!$K$5:$AJ$170,0,MATCH(U$2,Inputs!$K$4:$AJ$4,0)))))</f>
        <v>180.835</v>
      </c>
      <c r="V34" s="6">
        <f>IF(ISNA(MATCH(V$2,Inputs!$K$4:$AJ$4,0)),NA(),IF(SUMPRODUCT((Inputs!$A$5:$A$170=$B34)*ISNUMBER(INDEX(Inputs!$K$5:$AJ$170,0,MATCH(V$2,Inputs!$K$4:$AJ$4,0))))+SUMPRODUCT((Inputs!$C$5:$C$170=$B34)*ISNUMBER(INDEX(Inputs!$K$5:$AJ$170,0,MATCH(V$2,Inputs!$K$4:$AJ$4,0))))+SUMPRODUCT((Inputs!$E$5:$E$170=$B34)*ISNUMBER(INDEX(Inputs!$K$5:$AJ$170,0,MATCH(V$2,Inputs!$K$4:$AJ$4,0))))=0,NA(),SUMPRODUCT((Inputs!$A$5:$A$170=$B34)*Inputs!$B$5:$B$170*(((Inputs!$G$5:$G$170="moeda")+(Inputs!$G$5:$G$170="acoes"))*Inputs!$B$1+((Inputs!$G$5:$G$170&lt;&gt;"moeda")*(Inputs!$G$5:$G$170&lt;&gt;"acoes")))*INDEX(Inputs!$K$5:$AJ$170,0,MATCH(V$2,Inputs!$K$4:$AJ$4,0)))+SUMPRODUCT((Inputs!$C$5:$C$170=$B34)*Inputs!$D$5:$D$170*(((Inputs!$G$5:$G$170="moeda")+(Inputs!$G$5:$G$170="acoes"))*Inputs!$B$1+((Inputs!$G$5:$G$170&lt;&gt;"moeda")*(Inputs!$G$5:$G$170&lt;&gt;"acoes")))*INDEX(Inputs!$K$5:$AJ$170,0,MATCH(V$2,Inputs!$K$4:$AJ$4,0)))+SUMPRODUCT((Inputs!$E$5:$E$170=$B34)*Inputs!$F$5:$F$170*(((Inputs!$G$5:$G$170="moeda")+(Inputs!$G$5:$G$170="acoes"))*Inputs!$B$1+((Inputs!$G$5:$G$170&lt;&gt;"moeda")*(Inputs!$G$5:$G$170&lt;&gt;"acoes")))*INDEX(Inputs!$K$5:$AJ$170,0,MATCH(V$2,Inputs!$K$4:$AJ$4,0)))))</f>
        <v>167.348</v>
      </c>
      <c r="W34" s="3">
        <f>V34</f>
        <v>167.348</v>
      </c>
      <c r="X34" s="6">
        <f>IF(ISNA(MATCH(X$2,Inputs!$K$4:$AJ$4,0)),NA(),IF(SUMPRODUCT((Inputs!$A$5:$A$170=$B34)*ISNUMBER(INDEX(Inputs!$K$5:$AJ$170,0,MATCH(X$2,Inputs!$K$4:$AJ$4,0))))+SUMPRODUCT((Inputs!$C$5:$C$170=$B34)*ISNUMBER(INDEX(Inputs!$K$5:$AJ$170,0,MATCH(X$2,Inputs!$K$4:$AJ$4,0))))+SUMPRODUCT((Inputs!$E$5:$E$170=$B34)*ISNUMBER(INDEX(Inputs!$K$5:$AJ$170,0,MATCH(X$2,Inputs!$K$4:$AJ$4,0))))=0,NA(),SUMPRODUCT((Inputs!$A$5:$A$170=$B34)*Inputs!$B$5:$B$170*(((Inputs!$G$5:$G$170="moeda")+(Inputs!$G$5:$G$170="acoes"))*Inputs!$B$1+((Inputs!$G$5:$G$170&lt;&gt;"moeda")*(Inputs!$G$5:$G$170&lt;&gt;"acoes")))*INDEX(Inputs!$K$5:$AJ$170,0,MATCH(X$2,Inputs!$K$4:$AJ$4,0)))+SUMPRODUCT((Inputs!$C$5:$C$170=$B34)*Inputs!$D$5:$D$170*(((Inputs!$G$5:$G$170="moeda")+(Inputs!$G$5:$G$170="acoes"))*Inputs!$B$1+((Inputs!$G$5:$G$170&lt;&gt;"moeda")*(Inputs!$G$5:$G$170&lt;&gt;"acoes")))*INDEX(Inputs!$K$5:$AJ$170,0,MATCH(X$2,Inputs!$K$4:$AJ$4,0)))+SUMPRODUCT((Inputs!$E$5:$E$170=$B34)*Inputs!$F$5:$F$170*(((Inputs!$G$5:$G$170="moeda")+(Inputs!$G$5:$G$170="acoes"))*Inputs!$B$1+((Inputs!$G$5:$G$170&lt;&gt;"moeda")*(Inputs!$G$5:$G$170&lt;&gt;"acoes")))*INDEX(Inputs!$K$5:$AJ$170,0,MATCH(X$2,Inputs!$K$4:$AJ$4,0)))))</f>
        <v>153.154</v>
      </c>
      <c r="Y34" s="6">
        <f>IF(ISNA(MATCH(Y$2,Inputs!$K$4:$AJ$4,0)),NA(),IF(SUMPRODUCT((Inputs!$A$5:$A$170=$B34)*ISNUMBER(INDEX(Inputs!$K$5:$AJ$170,0,MATCH(Y$2,Inputs!$K$4:$AJ$4,0))))+SUMPRODUCT((Inputs!$C$5:$C$170=$B34)*ISNUMBER(INDEX(Inputs!$K$5:$AJ$170,0,MATCH(Y$2,Inputs!$K$4:$AJ$4,0))))+SUMPRODUCT((Inputs!$E$5:$E$170=$B34)*ISNUMBER(INDEX(Inputs!$K$5:$AJ$170,0,MATCH(Y$2,Inputs!$K$4:$AJ$4,0))))=0,NA(),SUMPRODUCT((Inputs!$A$5:$A$170=$B34)*Inputs!$B$5:$B$170*(((Inputs!$G$5:$G$170="moeda")+(Inputs!$G$5:$G$170="acoes"))*Inputs!$B$1+((Inputs!$G$5:$G$170&lt;&gt;"moeda")*(Inputs!$G$5:$G$170&lt;&gt;"acoes")))*INDEX(Inputs!$K$5:$AJ$170,0,MATCH(Y$2,Inputs!$K$4:$AJ$4,0)))+SUMPRODUCT((Inputs!$C$5:$C$170=$B34)*Inputs!$D$5:$D$170*(((Inputs!$G$5:$G$170="moeda")+(Inputs!$G$5:$G$170="acoes"))*Inputs!$B$1+((Inputs!$G$5:$G$170&lt;&gt;"moeda")*(Inputs!$G$5:$G$170&lt;&gt;"acoes")))*INDEX(Inputs!$K$5:$AJ$170,0,MATCH(Y$2,Inputs!$K$4:$AJ$4,0)))+SUMPRODUCT((Inputs!$E$5:$E$170=$B34)*Inputs!$F$5:$F$170*(((Inputs!$G$5:$G$170="moeda")+(Inputs!$G$5:$G$170="acoes"))*Inputs!$B$1+((Inputs!$G$5:$G$170&lt;&gt;"moeda")*(Inputs!$G$5:$G$170&lt;&gt;"acoes")))*INDEX(Inputs!$K$5:$AJ$170,0,MATCH(Y$2,Inputs!$K$4:$AJ$4,0)))))</f>
        <v>174.068</v>
      </c>
      <c r="Z34" s="6">
        <f>IF(ISNA(MATCH(Z$2,Inputs!$K$4:$AJ$4,0)),NA(),IF(SUMPRODUCT((Inputs!$A$5:$A$170=$B34)*ISNUMBER(INDEX(Inputs!$K$5:$AJ$170,0,MATCH(Z$2,Inputs!$K$4:$AJ$4,0))))+SUMPRODUCT((Inputs!$C$5:$C$170=$B34)*ISNUMBER(INDEX(Inputs!$K$5:$AJ$170,0,MATCH(Z$2,Inputs!$K$4:$AJ$4,0))))+SUMPRODUCT((Inputs!$E$5:$E$170=$B34)*ISNUMBER(INDEX(Inputs!$K$5:$AJ$170,0,MATCH(Z$2,Inputs!$K$4:$AJ$4,0))))=0,NA(),SUMPRODUCT((Inputs!$A$5:$A$170=$B34)*Inputs!$B$5:$B$170*(((Inputs!$G$5:$G$170="moeda")+(Inputs!$G$5:$G$170="acoes"))*Inputs!$B$1+((Inputs!$G$5:$G$170&lt;&gt;"moeda")*(Inputs!$G$5:$G$170&lt;&gt;"acoes")))*INDEX(Inputs!$K$5:$AJ$170,0,MATCH(Z$2,Inputs!$K$4:$AJ$4,0)))+SUMPRODUCT((Inputs!$C$5:$C$170=$B34)*Inputs!$D$5:$D$170*(((Inputs!$G$5:$G$170="moeda")+(Inputs!$G$5:$G$170="acoes"))*Inputs!$B$1+((Inputs!$G$5:$G$170&lt;&gt;"moeda")*(Inputs!$G$5:$G$170&lt;&gt;"acoes")))*INDEX(Inputs!$K$5:$AJ$170,0,MATCH(Z$2,Inputs!$K$4:$AJ$4,0)))+SUMPRODUCT((Inputs!$E$5:$E$170=$B34)*Inputs!$F$5:$F$170*(((Inputs!$G$5:$G$170="moeda")+(Inputs!$G$5:$G$170="acoes"))*Inputs!$B$1+((Inputs!$G$5:$G$170&lt;&gt;"moeda")*(Inputs!$G$5:$G$170&lt;&gt;"acoes")))*INDEX(Inputs!$K$5:$AJ$170,0,MATCH(Z$2,Inputs!$K$4:$AJ$4,0)))))</f>
        <v>180.979</v>
      </c>
      <c r="AA34" s="6">
        <f>IF(ISNA(MATCH(AA$2,Inputs!$K$4:$AJ$4,0)),NA(),IF(SUMPRODUCT((Inputs!$A$5:$A$170=$B34)*ISNUMBER(INDEX(Inputs!$K$5:$AJ$170,0,MATCH(AA$2,Inputs!$K$4:$AJ$4,0))))+SUMPRODUCT((Inputs!$C$5:$C$170=$B34)*ISNUMBER(INDEX(Inputs!$K$5:$AJ$170,0,MATCH(AA$2,Inputs!$K$4:$AJ$4,0))))+SUMPRODUCT((Inputs!$E$5:$E$170=$B34)*ISNUMBER(INDEX(Inputs!$K$5:$AJ$170,0,MATCH(AA$2,Inputs!$K$4:$AJ$4,0))))=0,NA(),SUMPRODUCT((Inputs!$A$5:$A$170=$B34)*Inputs!$B$5:$B$170*(((Inputs!$G$5:$G$170="moeda")+(Inputs!$G$5:$G$170="acoes"))*Inputs!$B$1+((Inputs!$G$5:$G$170&lt;&gt;"moeda")*(Inputs!$G$5:$G$170&lt;&gt;"acoes")))*INDEX(Inputs!$K$5:$AJ$170,0,MATCH(AA$2,Inputs!$K$4:$AJ$4,0)))+SUMPRODUCT((Inputs!$C$5:$C$170=$B34)*Inputs!$D$5:$D$170*(((Inputs!$G$5:$G$170="moeda")+(Inputs!$G$5:$G$170="acoes"))*Inputs!$B$1+((Inputs!$G$5:$G$170&lt;&gt;"moeda")*(Inputs!$G$5:$G$170&lt;&gt;"acoes")))*INDEX(Inputs!$K$5:$AJ$170,0,MATCH(AA$2,Inputs!$K$4:$AJ$4,0)))+SUMPRODUCT((Inputs!$E$5:$E$170=$B34)*Inputs!$F$5:$F$170*(((Inputs!$G$5:$G$170="moeda")+(Inputs!$G$5:$G$170="acoes"))*Inputs!$B$1+((Inputs!$G$5:$G$170&lt;&gt;"moeda")*(Inputs!$G$5:$G$170&lt;&gt;"acoes")))*INDEX(Inputs!$K$5:$AJ$170,0,MATCH(AA$2,Inputs!$K$4:$AJ$4,0)))))</f>
        <v>177.918</v>
      </c>
      <c r="AB34" s="3">
        <f>AA34</f>
        <v>177.918</v>
      </c>
      <c r="AC34" s="6">
        <f>IF(ISNA(MATCH(AC$2,Inputs!$K$4:$AJ$4,0)),NA(),IF(SUMPRODUCT((Inputs!$A$5:$A$170=$B34)*ISNUMBER(INDEX(Inputs!$K$5:$AJ$170,0,MATCH(AC$2,Inputs!$K$4:$AJ$4,0))))+SUMPRODUCT((Inputs!$C$5:$C$170=$B34)*ISNUMBER(INDEX(Inputs!$K$5:$AJ$170,0,MATCH(AC$2,Inputs!$K$4:$AJ$4,0))))+SUMPRODUCT((Inputs!$E$5:$E$170=$B34)*ISNUMBER(INDEX(Inputs!$K$5:$AJ$170,0,MATCH(AC$2,Inputs!$K$4:$AJ$4,0))))=0,NA(),SUMPRODUCT((Inputs!$A$5:$A$170=$B34)*Inputs!$B$5:$B$170*(((Inputs!$G$5:$G$170="moeda")+(Inputs!$G$5:$G$170="acoes"))*Inputs!$B$1+((Inputs!$G$5:$G$170&lt;&gt;"moeda")*(Inputs!$G$5:$G$170&lt;&gt;"acoes")))*INDEX(Inputs!$K$5:$AJ$170,0,MATCH(AC$2,Inputs!$K$4:$AJ$4,0)))+SUMPRODUCT((Inputs!$C$5:$C$170=$B34)*Inputs!$D$5:$D$170*(((Inputs!$G$5:$G$170="moeda")+(Inputs!$G$5:$G$170="acoes"))*Inputs!$B$1+((Inputs!$G$5:$G$170&lt;&gt;"moeda")*(Inputs!$G$5:$G$170&lt;&gt;"acoes")))*INDEX(Inputs!$K$5:$AJ$170,0,MATCH(AC$2,Inputs!$K$4:$AJ$4,0)))+SUMPRODUCT((Inputs!$E$5:$E$170=$B34)*Inputs!$F$5:$F$170*(((Inputs!$G$5:$G$170="moeda")+(Inputs!$G$5:$G$170="acoes"))*Inputs!$B$1+((Inputs!$G$5:$G$170&lt;&gt;"moeda")*(Inputs!$G$5:$G$170&lt;&gt;"acoes")))*INDEX(Inputs!$K$5:$AJ$170,0,MATCH(AC$2,Inputs!$K$4:$AJ$4,0)))))</f>
        <v>177.143</v>
      </c>
      <c r="AD34" s="6">
        <f>IF(ISNA(MATCH(AD$2,Inputs!$K$4:$AJ$4,0)),NA(),IF(SUMPRODUCT((Inputs!$A$5:$A$170=$B34)*ISNUMBER(INDEX(Inputs!$K$5:$AJ$170,0,MATCH(AD$2,Inputs!$K$4:$AJ$4,0))))+SUMPRODUCT((Inputs!$C$5:$C$170=$B34)*ISNUMBER(INDEX(Inputs!$K$5:$AJ$170,0,MATCH(AD$2,Inputs!$K$4:$AJ$4,0))))+SUMPRODUCT((Inputs!$E$5:$E$170=$B34)*ISNUMBER(INDEX(Inputs!$K$5:$AJ$170,0,MATCH(AD$2,Inputs!$K$4:$AJ$4,0))))=0,NA(),SUMPRODUCT((Inputs!$A$5:$A$170=$B34)*Inputs!$B$5:$B$170*(((Inputs!$G$5:$G$170="moeda")+(Inputs!$G$5:$G$170="acoes"))*Inputs!$B$1+((Inputs!$G$5:$G$170&lt;&gt;"moeda")*(Inputs!$G$5:$G$170&lt;&gt;"acoes")))*INDEX(Inputs!$K$5:$AJ$170,0,MATCH(AD$2,Inputs!$K$4:$AJ$4,0)))+SUMPRODUCT((Inputs!$C$5:$C$170=$B34)*Inputs!$D$5:$D$170*(((Inputs!$G$5:$G$170="moeda")+(Inputs!$G$5:$G$170="acoes"))*Inputs!$B$1+((Inputs!$G$5:$G$170&lt;&gt;"moeda")*(Inputs!$G$5:$G$170&lt;&gt;"acoes")))*INDEX(Inputs!$K$5:$AJ$170,0,MATCH(AD$2,Inputs!$K$4:$AJ$4,0)))+SUMPRODUCT((Inputs!$E$5:$E$170=$B34)*Inputs!$F$5:$F$170*(((Inputs!$G$5:$G$170="moeda")+(Inputs!$G$5:$G$170="acoes"))*Inputs!$B$1+((Inputs!$G$5:$G$170&lt;&gt;"moeda")*(Inputs!$G$5:$G$170&lt;&gt;"acoes")))*INDEX(Inputs!$K$5:$AJ$170,0,MATCH(AD$2,Inputs!$K$4:$AJ$4,0)))))</f>
        <v>200.687</v>
      </c>
      <c r="AE34" s="6" t="e">
        <f>IF(ISNA(MATCH(AE$2,Inputs!$K$4:$AJ$4,0)),NA(),IF(SUMPRODUCT((Inputs!$A$5:$A$170=$B34)*ISNUMBER(INDEX(Inputs!$K$5:$AJ$170,0,MATCH(AE$2,Inputs!$K$4:$AJ$4,0))))+SUMPRODUCT((Inputs!$C$5:$C$170=$B34)*ISNUMBER(INDEX(Inputs!$K$5:$AJ$170,0,MATCH(AE$2,Inputs!$K$4:$AJ$4,0))))+SUMPRODUCT((Inputs!$E$5:$E$170=$B34)*ISNUMBER(INDEX(Inputs!$K$5:$AJ$170,0,MATCH(AE$2,Inputs!$K$4:$AJ$4,0))))=0,NA(),SUMPRODUCT((Inputs!$A$5:$A$170=$B34)*Inputs!$B$5:$B$170*(((Inputs!$G$5:$G$170="moeda")+(Inputs!$G$5:$G$170="acoes"))*Inputs!$B$1+((Inputs!$G$5:$G$170&lt;&gt;"moeda")*(Inputs!$G$5:$G$170&lt;&gt;"acoes")))*INDEX(Inputs!$K$5:$AJ$170,0,MATCH(AE$2,Inputs!$K$4:$AJ$4,0)))+SUMPRODUCT((Inputs!$C$5:$C$170=$B34)*Inputs!$D$5:$D$170*(((Inputs!$G$5:$G$170="moeda")+(Inputs!$G$5:$G$170="acoes"))*Inputs!$B$1+((Inputs!$G$5:$G$170&lt;&gt;"moeda")*(Inputs!$G$5:$G$170&lt;&gt;"acoes")))*INDEX(Inputs!$K$5:$AJ$170,0,MATCH(AE$2,Inputs!$K$4:$AJ$4,0)))+SUMPRODUCT((Inputs!$E$5:$E$170=$B34)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4" s="6" t="e">
        <f>IF(ISNA(MATCH(AF$2,Inputs!$K$4:$AJ$4,0)),NA(),IF(SUMPRODUCT((Inputs!$A$5:$A$170=$B34)*ISNUMBER(INDEX(Inputs!$K$5:$AJ$170,0,MATCH(AF$2,Inputs!$K$4:$AJ$4,0))))+SUMPRODUCT((Inputs!$C$5:$C$170=$B34)*ISNUMBER(INDEX(Inputs!$K$5:$AJ$170,0,MATCH(AF$2,Inputs!$K$4:$AJ$4,0))))+SUMPRODUCT((Inputs!$E$5:$E$170=$B34)*ISNUMBER(INDEX(Inputs!$K$5:$AJ$170,0,MATCH(AF$2,Inputs!$K$4:$AJ$4,0))))=0,NA(),SUMPRODUCT((Inputs!$A$5:$A$170=$B34)*Inputs!$B$5:$B$170*(((Inputs!$G$5:$G$170="moeda")+(Inputs!$G$5:$G$170="acoes"))*Inputs!$B$1+((Inputs!$G$5:$G$170&lt;&gt;"moeda")*(Inputs!$G$5:$G$170&lt;&gt;"acoes")))*INDEX(Inputs!$K$5:$AJ$170,0,MATCH(AF$2,Inputs!$K$4:$AJ$4,0)))+SUMPRODUCT((Inputs!$C$5:$C$170=$B34)*Inputs!$D$5:$D$170*(((Inputs!$G$5:$G$170="moeda")+(Inputs!$G$5:$G$170="acoes"))*Inputs!$B$1+((Inputs!$G$5:$G$170&lt;&gt;"moeda")*(Inputs!$G$5:$G$170&lt;&gt;"acoes")))*INDEX(Inputs!$K$5:$AJ$170,0,MATCH(AF$2,Inputs!$K$4:$AJ$4,0)))+SUMPRODUCT((Inputs!$E$5:$E$170=$B34)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4" s="3" t="e">
        <f>AF34</f>
        <v>#N/A</v>
      </c>
      <c r="AH34" s="6">
        <f>IF(ISNA(MATCH(AH$2,Inputs!$K$4:$AJ$4,0)),NA(),IF(SUMPRODUCT((Inputs!$A$5:$A$170=$B34)*ISNUMBER(INDEX(Inputs!$K$5:$AJ$170,0,MATCH(AH$2,Inputs!$K$4:$AJ$4,0))))+SUMPRODUCT((Inputs!$C$5:$C$170=$B34)*ISNUMBER(INDEX(Inputs!$K$5:$AJ$170,0,MATCH(AH$2,Inputs!$K$4:$AJ$4,0))))+SUMPRODUCT((Inputs!$E$5:$E$170=$B34)*ISNUMBER(INDEX(Inputs!$K$5:$AJ$170,0,MATCH(AH$2,Inputs!$K$4:$AJ$4,0))))=0,NA(),SUMPRODUCT((Inputs!$A$5:$A$170=$B34)*Inputs!$B$5:$B$170*(((Inputs!$G$5:$G$170="moeda")+(Inputs!$G$5:$G$170="acoes"))*Inputs!$B$1+((Inputs!$G$5:$G$170&lt;&gt;"moeda")*(Inputs!$G$5:$G$170&lt;&gt;"acoes")))*INDEX(Inputs!$K$5:$AJ$170,0,MATCH(AH$2,Inputs!$K$4:$AJ$4,0)))+SUMPRODUCT((Inputs!$C$5:$C$170=$B34)*Inputs!$D$5:$D$170*(((Inputs!$G$5:$G$170="moeda")+(Inputs!$G$5:$G$170="acoes"))*Inputs!$B$1+((Inputs!$G$5:$G$170&lt;&gt;"moeda")*(Inputs!$G$5:$G$170&lt;&gt;"acoes")))*INDEX(Inputs!$K$5:$AJ$170,0,MATCH(AH$2,Inputs!$K$4:$AJ$4,0)))+SUMPRODUCT((Inputs!$E$5:$E$170=$B34)*Inputs!$F$5:$F$170*(((Inputs!$G$5:$G$170="moeda")+(Inputs!$G$5:$G$170="acoes"))*Inputs!$B$1+((Inputs!$G$5:$G$170&lt;&gt;"moeda")*(Inputs!$G$5:$G$170&lt;&gt;"acoes")))*INDEX(Inputs!$K$5:$AJ$170,0,MATCH(AH$2,Inputs!$K$4:$AJ$4,0)))))</f>
        <v>51.973</v>
      </c>
      <c r="AI34" s="6">
        <f>IF(ISNA(MATCH(AI$2,Inputs!$K$4:$AJ$4,0)),NA(),IF(SUMPRODUCT((Inputs!$A$5:$A$170=$B34)*ISNUMBER(INDEX(Inputs!$K$5:$AJ$170,0,MATCH(AI$2,Inputs!$K$4:$AJ$4,0))))+SUMPRODUCT((Inputs!$C$5:$C$170=$B34)*ISNUMBER(INDEX(Inputs!$K$5:$AJ$170,0,MATCH(AI$2,Inputs!$K$4:$AJ$4,0))))+SUMPRODUCT((Inputs!$E$5:$E$170=$B34)*ISNUMBER(INDEX(Inputs!$K$5:$AJ$170,0,MATCH(AI$2,Inputs!$K$4:$AJ$4,0))))=0,NA(),SUMPRODUCT((Inputs!$A$5:$A$170=$B34)*Inputs!$B$5:$B$170*(((Inputs!$G$5:$G$170="moeda")+(Inputs!$G$5:$G$170="acoes"))*Inputs!$B$1+((Inputs!$G$5:$G$170&lt;&gt;"moeda")*(Inputs!$G$5:$G$170&lt;&gt;"acoes")))*INDEX(Inputs!$K$5:$AJ$170,0,MATCH(AI$2,Inputs!$K$4:$AJ$4,0)))+SUMPRODUCT((Inputs!$C$5:$C$170=$B34)*Inputs!$D$5:$D$170*(((Inputs!$G$5:$G$170="moeda")+(Inputs!$G$5:$G$170="acoes"))*Inputs!$B$1+((Inputs!$G$5:$G$170&lt;&gt;"moeda")*(Inputs!$G$5:$G$170&lt;&gt;"acoes")))*INDEX(Inputs!$K$5:$AJ$170,0,MATCH(AI$2,Inputs!$K$4:$AJ$4,0)))+SUMPRODUCT((Inputs!$E$5:$E$170=$B34)*Inputs!$F$5:$F$170*(((Inputs!$G$5:$G$170="moeda")+(Inputs!$G$5:$G$170="acoes"))*Inputs!$B$1+((Inputs!$G$5:$G$170&lt;&gt;"moeda")*(Inputs!$G$5:$G$170&lt;&gt;"acoes")))*INDEX(Inputs!$K$5:$AJ$170,0,MATCH(AI$2,Inputs!$K$4:$AJ$4,0)))))</f>
        <v>47.027</v>
      </c>
      <c r="AJ34" s="6">
        <f>IF(ISNA(MATCH(AJ$2,Inputs!$K$4:$AJ$4,0)),NA(),IF(SUMPRODUCT((Inputs!$A$5:$A$170=$B34)*ISNUMBER(INDEX(Inputs!$K$5:$AJ$170,0,MATCH(AJ$2,Inputs!$K$4:$AJ$4,0))))+SUMPRODUCT((Inputs!$C$5:$C$170=$B34)*ISNUMBER(INDEX(Inputs!$K$5:$AJ$170,0,MATCH(AJ$2,Inputs!$K$4:$AJ$4,0))))+SUMPRODUCT((Inputs!$E$5:$E$170=$B34)*ISNUMBER(INDEX(Inputs!$K$5:$AJ$170,0,MATCH(AJ$2,Inputs!$K$4:$AJ$4,0))))=0,NA(),SUMPRODUCT((Inputs!$A$5:$A$170=$B34)*Inputs!$B$5:$B$170*(((Inputs!$G$5:$G$170="moeda")+(Inputs!$G$5:$G$170="acoes"))*Inputs!$B$1+((Inputs!$G$5:$G$170&lt;&gt;"moeda")*(Inputs!$G$5:$G$170&lt;&gt;"acoes")))*INDEX(Inputs!$K$5:$AJ$170,0,MATCH(AJ$2,Inputs!$K$4:$AJ$4,0)))+SUMPRODUCT((Inputs!$C$5:$C$170=$B34)*Inputs!$D$5:$D$170*(((Inputs!$G$5:$G$170="moeda")+(Inputs!$G$5:$G$170="acoes"))*Inputs!$B$1+((Inputs!$G$5:$G$170&lt;&gt;"moeda")*(Inputs!$G$5:$G$170&lt;&gt;"acoes")))*INDEX(Inputs!$K$5:$AJ$170,0,MATCH(AJ$2,Inputs!$K$4:$AJ$4,0)))+SUMPRODUCT((Inputs!$E$5:$E$170=$B34)*Inputs!$F$5:$F$170*(((Inputs!$G$5:$G$170="moeda")+(Inputs!$G$5:$G$170="acoes"))*Inputs!$B$1+((Inputs!$G$5:$G$170&lt;&gt;"moeda")*(Inputs!$G$5:$G$170&lt;&gt;"acoes")))*INDEX(Inputs!$K$5:$AJ$170,0,MATCH(AJ$2,Inputs!$K$4:$AJ$4,0)))))</f>
        <v>46.636</v>
      </c>
      <c r="AK34" s="6">
        <f>IF(ISNA(MATCH(AK$2,Inputs!$K$4:$AJ$4,0)),NA(),IF(SUMPRODUCT((Inputs!$A$5:$A$170=$B34)*ISNUMBER(INDEX(Inputs!$K$5:$AJ$170,0,MATCH(AK$2,Inputs!$K$4:$AJ$4,0))))+SUMPRODUCT((Inputs!$C$5:$C$170=$B34)*ISNUMBER(INDEX(Inputs!$K$5:$AJ$170,0,MATCH(AK$2,Inputs!$K$4:$AJ$4,0))))+SUMPRODUCT((Inputs!$E$5:$E$170=$B34)*ISNUMBER(INDEX(Inputs!$K$5:$AJ$170,0,MATCH(AK$2,Inputs!$K$4:$AJ$4,0))))=0,NA(),SUMPRODUCT((Inputs!$A$5:$A$170=$B34)*Inputs!$B$5:$B$170*(((Inputs!$G$5:$G$170="moeda")+(Inputs!$G$5:$G$170="acoes"))*Inputs!$B$1+((Inputs!$G$5:$G$170&lt;&gt;"moeda")*(Inputs!$G$5:$G$170&lt;&gt;"acoes")))*INDEX(Inputs!$K$5:$AJ$170,0,MATCH(AK$2,Inputs!$K$4:$AJ$4,0)))+SUMPRODUCT((Inputs!$C$5:$C$170=$B34)*Inputs!$D$5:$D$170*(((Inputs!$G$5:$G$170="moeda")+(Inputs!$G$5:$G$170="acoes"))*Inputs!$B$1+((Inputs!$G$5:$G$170&lt;&gt;"moeda")*(Inputs!$G$5:$G$170&lt;&gt;"acoes")))*INDEX(Inputs!$K$5:$AJ$170,0,MATCH(AK$2,Inputs!$K$4:$AJ$4,0)))+SUMPRODUCT((Inputs!$E$5:$E$170=$B34)*Inputs!$F$5:$F$170*(((Inputs!$G$5:$G$170="moeda")+(Inputs!$G$5:$G$170="acoes"))*Inputs!$B$1+((Inputs!$G$5:$G$170&lt;&gt;"moeda")*(Inputs!$G$5:$G$170&lt;&gt;"acoes")))*INDEX(Inputs!$K$5:$AJ$170,0,MATCH(AK$2,Inputs!$K$4:$AJ$4,0)))))</f>
        <v>44.244</v>
      </c>
      <c r="AL34" s="3">
        <f>AK34</f>
        <v>44.244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$170=$B35)*ISNUMBER(INDEX(Inputs!$K$5:$AJ$170,0,MATCH(D$2,Inputs!$K$4:$AJ$4,0))))+SUMPRODUCT((Inputs!$C$5:$C$170=$B35)*ISNUMBER(INDEX(Inputs!$K$5:$AJ$170,0,MATCH(D$2,Inputs!$K$4:$AJ$4,0))))+SUMPRODUCT((Inputs!$E$5:$E$170=$B35)*ISNUMBER(INDEX(Inputs!$K$5:$AJ$170,0,MATCH(D$2,Inputs!$K$4:$AJ$4,0))))=0,NA(),SUMPRODUCT((Inputs!$A$5:$A$170=$B35)*Inputs!$B$5:$B$170*(((Inputs!$G$5:$G$170="moeda")+(Inputs!$G$5:$G$170="acoes"))*Inputs!$B$1+((Inputs!$G$5:$G$170&lt;&gt;"moeda")*(Inputs!$G$5:$G$170&lt;&gt;"acoes")))*INDEX(Inputs!$K$5:$AJ$170,0,MATCH(D$2,Inputs!$K$4:$AJ$4,0)))+SUMPRODUCT((Inputs!$C$5:$C$170=$B35)*Inputs!$D$5:$D$170*(((Inputs!$G$5:$G$170="moeda")+(Inputs!$G$5:$G$170="acoes"))*Inputs!$B$1+((Inputs!$G$5:$G$170&lt;&gt;"moeda")*(Inputs!$G$5:$G$170&lt;&gt;"acoes")))*INDEX(Inputs!$K$5:$AJ$170,0,MATCH(D$2,Inputs!$K$4:$AJ$4,0)))+SUMPRODUCT((Inputs!$E$5:$E$170=$B35)*Inputs!$F$5:$F$170*(((Inputs!$G$5:$G$170="moeda")+(Inputs!$G$5:$G$170="acoes"))*Inputs!$B$1+((Inputs!$G$5:$G$170&lt;&gt;"moeda")*(Inputs!$G$5:$G$170&lt;&gt;"acoes")))*INDEX(Inputs!$K$5:$AJ$170,0,MATCH(D$2,Inputs!$K$4:$AJ$4,0)))))</f>
        <v>8203.488</v>
      </c>
      <c r="E35" s="6">
        <f>IF(ISNA(MATCH(E$2,Inputs!$K$4:$AJ$4,0)),NA(),IF(SUMPRODUCT((Inputs!$A$5:$A$170=$B35)*ISNUMBER(INDEX(Inputs!$K$5:$AJ$170,0,MATCH(E$2,Inputs!$K$4:$AJ$4,0))))+SUMPRODUCT((Inputs!$C$5:$C$170=$B35)*ISNUMBER(INDEX(Inputs!$K$5:$AJ$170,0,MATCH(E$2,Inputs!$K$4:$AJ$4,0))))+SUMPRODUCT((Inputs!$E$5:$E$170=$B35)*ISNUMBER(INDEX(Inputs!$K$5:$AJ$170,0,MATCH(E$2,Inputs!$K$4:$AJ$4,0))))=0,NA(),SUMPRODUCT((Inputs!$A$5:$A$170=$B35)*Inputs!$B$5:$B$170*(((Inputs!$G$5:$G$170="moeda")+(Inputs!$G$5:$G$170="acoes"))*Inputs!$B$1+((Inputs!$G$5:$G$170&lt;&gt;"moeda")*(Inputs!$G$5:$G$170&lt;&gt;"acoes")))*INDEX(Inputs!$K$5:$AJ$170,0,MATCH(E$2,Inputs!$K$4:$AJ$4,0)))+SUMPRODUCT((Inputs!$C$5:$C$170=$B35)*Inputs!$D$5:$D$170*(((Inputs!$G$5:$G$170="moeda")+(Inputs!$G$5:$G$170="acoes"))*Inputs!$B$1+((Inputs!$G$5:$G$170&lt;&gt;"moeda")*(Inputs!$G$5:$G$170&lt;&gt;"acoes")))*INDEX(Inputs!$K$5:$AJ$170,0,MATCH(E$2,Inputs!$K$4:$AJ$4,0)))+SUMPRODUCT((Inputs!$E$5:$E$170=$B35)*Inputs!$F$5:$F$170*(((Inputs!$G$5:$G$170="moeda")+(Inputs!$G$5:$G$170="acoes"))*Inputs!$B$1+((Inputs!$G$5:$G$170&lt;&gt;"moeda")*(Inputs!$G$5:$G$170&lt;&gt;"acoes")))*INDEX(Inputs!$K$5:$AJ$170,0,MATCH(E$2,Inputs!$K$4:$AJ$4,0)))))</f>
        <v>8464.418</v>
      </c>
      <c r="F35" s="6">
        <f>IF(ISNA(MATCH(F$2,Inputs!$K$4:$AJ$4,0)),NA(),IF(SUMPRODUCT((Inputs!$A$5:$A$170=$B35)*ISNUMBER(INDEX(Inputs!$K$5:$AJ$170,0,MATCH(F$2,Inputs!$K$4:$AJ$4,0))))+SUMPRODUCT((Inputs!$C$5:$C$170=$B35)*ISNUMBER(INDEX(Inputs!$K$5:$AJ$170,0,MATCH(F$2,Inputs!$K$4:$AJ$4,0))))+SUMPRODUCT((Inputs!$E$5:$E$170=$B35)*ISNUMBER(INDEX(Inputs!$K$5:$AJ$170,0,MATCH(F$2,Inputs!$K$4:$AJ$4,0))))=0,NA(),SUMPRODUCT((Inputs!$A$5:$A$170=$B35)*Inputs!$B$5:$B$170*(((Inputs!$G$5:$G$170="moeda")+(Inputs!$G$5:$G$170="acoes"))*Inputs!$B$1+((Inputs!$G$5:$G$170&lt;&gt;"moeda")*(Inputs!$G$5:$G$170&lt;&gt;"acoes")))*INDEX(Inputs!$K$5:$AJ$170,0,MATCH(F$2,Inputs!$K$4:$AJ$4,0)))+SUMPRODUCT((Inputs!$C$5:$C$170=$B35)*Inputs!$D$5:$D$170*(((Inputs!$G$5:$G$170="moeda")+(Inputs!$G$5:$G$170="acoes"))*Inputs!$B$1+((Inputs!$G$5:$G$170&lt;&gt;"moeda")*(Inputs!$G$5:$G$170&lt;&gt;"acoes")))*INDEX(Inputs!$K$5:$AJ$170,0,MATCH(F$2,Inputs!$K$4:$AJ$4,0)))+SUMPRODUCT((Inputs!$E$5:$E$170=$B35)*Inputs!$F$5:$F$170*(((Inputs!$G$5:$G$170="moeda")+(Inputs!$G$5:$G$170="acoes"))*Inputs!$B$1+((Inputs!$G$5:$G$170&lt;&gt;"moeda")*(Inputs!$G$5:$G$170&lt;&gt;"acoes")))*INDEX(Inputs!$K$5:$AJ$170,0,MATCH(F$2,Inputs!$K$4:$AJ$4,0)))))</f>
        <v>13131.62</v>
      </c>
      <c r="G35" s="6">
        <f>IF(ISNA(MATCH(G$2,Inputs!$K$4:$AJ$4,0)),NA(),IF(SUMPRODUCT((Inputs!$A$5:$A$170=$B35)*ISNUMBER(INDEX(Inputs!$K$5:$AJ$170,0,MATCH(G$2,Inputs!$K$4:$AJ$4,0))))+SUMPRODUCT((Inputs!$C$5:$C$170=$B35)*ISNUMBER(INDEX(Inputs!$K$5:$AJ$170,0,MATCH(G$2,Inputs!$K$4:$AJ$4,0))))+SUMPRODUCT((Inputs!$E$5:$E$170=$B35)*ISNUMBER(INDEX(Inputs!$K$5:$AJ$170,0,MATCH(G$2,Inputs!$K$4:$AJ$4,0))))=0,NA(),SUMPRODUCT((Inputs!$A$5:$A$170=$B35)*Inputs!$B$5:$B$170*(((Inputs!$G$5:$G$170="moeda")+(Inputs!$G$5:$G$170="acoes"))*Inputs!$B$1+((Inputs!$G$5:$G$170&lt;&gt;"moeda")*(Inputs!$G$5:$G$170&lt;&gt;"acoes")))*INDEX(Inputs!$K$5:$AJ$170,0,MATCH(G$2,Inputs!$K$4:$AJ$4,0)))+SUMPRODUCT((Inputs!$C$5:$C$170=$B35)*Inputs!$D$5:$D$170*(((Inputs!$G$5:$G$170="moeda")+(Inputs!$G$5:$G$170="acoes"))*Inputs!$B$1+((Inputs!$G$5:$G$170&lt;&gt;"moeda")*(Inputs!$G$5:$G$170&lt;&gt;"acoes")))*INDEX(Inputs!$K$5:$AJ$170,0,MATCH(G$2,Inputs!$K$4:$AJ$4,0)))+SUMPRODUCT((Inputs!$E$5:$E$170=$B35)*Inputs!$F$5:$F$170*(((Inputs!$G$5:$G$170="moeda")+(Inputs!$G$5:$G$170="acoes"))*Inputs!$B$1+((Inputs!$G$5:$G$170&lt;&gt;"moeda")*(Inputs!$G$5:$G$170&lt;&gt;"acoes")))*INDEX(Inputs!$K$5:$AJ$170,0,MATCH(G$2,Inputs!$K$4:$AJ$4,0)))))</f>
        <v>13702.59</v>
      </c>
      <c r="H35" s="3">
        <f>G35</f>
        <v>13702.59</v>
      </c>
      <c r="I35" s="6">
        <f>IF(ISNA(MATCH(I$2,Inputs!$K$4:$AJ$4,0)),NA(),IF(SUMPRODUCT((Inputs!$A$5:$A$170=$B35)*ISNUMBER(INDEX(Inputs!$K$5:$AJ$170,0,MATCH(I$2,Inputs!$K$4:$AJ$4,0))))+SUMPRODUCT((Inputs!$C$5:$C$170=$B35)*ISNUMBER(INDEX(Inputs!$K$5:$AJ$170,0,MATCH(I$2,Inputs!$K$4:$AJ$4,0))))+SUMPRODUCT((Inputs!$E$5:$E$170=$B35)*ISNUMBER(INDEX(Inputs!$K$5:$AJ$170,0,MATCH(I$2,Inputs!$K$4:$AJ$4,0))))=0,NA(),SUMPRODUCT((Inputs!$A$5:$A$170=$B35)*Inputs!$B$5:$B$170*(((Inputs!$G$5:$G$170="moeda")+(Inputs!$G$5:$G$170="acoes"))*Inputs!$B$1+((Inputs!$G$5:$G$170&lt;&gt;"moeda")*(Inputs!$G$5:$G$170&lt;&gt;"acoes")))*INDEX(Inputs!$K$5:$AJ$170,0,MATCH(I$2,Inputs!$K$4:$AJ$4,0)))+SUMPRODUCT((Inputs!$C$5:$C$170=$B35)*Inputs!$D$5:$D$170*(((Inputs!$G$5:$G$170="moeda")+(Inputs!$G$5:$G$170="acoes"))*Inputs!$B$1+((Inputs!$G$5:$G$170&lt;&gt;"moeda")*(Inputs!$G$5:$G$170&lt;&gt;"acoes")))*INDEX(Inputs!$K$5:$AJ$170,0,MATCH(I$2,Inputs!$K$4:$AJ$4,0)))+SUMPRODUCT((Inputs!$E$5:$E$170=$B35)*Inputs!$F$5:$F$170*(((Inputs!$G$5:$G$170="moeda")+(Inputs!$G$5:$G$170="acoes"))*Inputs!$B$1+((Inputs!$G$5:$G$170&lt;&gt;"moeda")*(Inputs!$G$5:$G$170&lt;&gt;"acoes")))*INDEX(Inputs!$K$5:$AJ$170,0,MATCH(I$2,Inputs!$K$4:$AJ$4,0)))))</f>
        <v>12736.927</v>
      </c>
      <c r="J35" s="6">
        <f>IF(ISNA(MATCH(J$2,Inputs!$K$4:$AJ$4,0)),NA(),IF(SUMPRODUCT((Inputs!$A$5:$A$170=$B35)*ISNUMBER(INDEX(Inputs!$K$5:$AJ$170,0,MATCH(J$2,Inputs!$K$4:$AJ$4,0))))+SUMPRODUCT((Inputs!$C$5:$C$170=$B35)*ISNUMBER(INDEX(Inputs!$K$5:$AJ$170,0,MATCH(J$2,Inputs!$K$4:$AJ$4,0))))+SUMPRODUCT((Inputs!$E$5:$E$170=$B35)*ISNUMBER(INDEX(Inputs!$K$5:$AJ$170,0,MATCH(J$2,Inputs!$K$4:$AJ$4,0))))=0,NA(),SUMPRODUCT((Inputs!$A$5:$A$170=$B35)*Inputs!$B$5:$B$170*(((Inputs!$G$5:$G$170="moeda")+(Inputs!$G$5:$G$170="acoes"))*Inputs!$B$1+((Inputs!$G$5:$G$170&lt;&gt;"moeda")*(Inputs!$G$5:$G$170&lt;&gt;"acoes")))*INDEX(Inputs!$K$5:$AJ$170,0,MATCH(J$2,Inputs!$K$4:$AJ$4,0)))+SUMPRODUCT((Inputs!$C$5:$C$170=$B35)*Inputs!$D$5:$D$170*(((Inputs!$G$5:$G$170="moeda")+(Inputs!$G$5:$G$170="acoes"))*Inputs!$B$1+((Inputs!$G$5:$G$170&lt;&gt;"moeda")*(Inputs!$G$5:$G$170&lt;&gt;"acoes")))*INDEX(Inputs!$K$5:$AJ$170,0,MATCH(J$2,Inputs!$K$4:$AJ$4,0)))+SUMPRODUCT((Inputs!$E$5:$E$170=$B35)*Inputs!$F$5:$F$170*(((Inputs!$G$5:$G$170="moeda")+(Inputs!$G$5:$G$170="acoes"))*Inputs!$B$1+((Inputs!$G$5:$G$170&lt;&gt;"moeda")*(Inputs!$G$5:$G$170&lt;&gt;"acoes")))*INDEX(Inputs!$K$5:$AJ$170,0,MATCH(J$2,Inputs!$K$4:$AJ$4,0)))))</f>
        <v>14358.853</v>
      </c>
      <c r="K35" s="6">
        <f>IF(ISNA(MATCH(K$2,Inputs!$K$4:$AJ$4,0)),NA(),IF(SUMPRODUCT((Inputs!$A$5:$A$170=$B35)*ISNUMBER(INDEX(Inputs!$K$5:$AJ$170,0,MATCH(K$2,Inputs!$K$4:$AJ$4,0))))+SUMPRODUCT((Inputs!$C$5:$C$170=$B35)*ISNUMBER(INDEX(Inputs!$K$5:$AJ$170,0,MATCH(K$2,Inputs!$K$4:$AJ$4,0))))+SUMPRODUCT((Inputs!$E$5:$E$170=$B35)*ISNUMBER(INDEX(Inputs!$K$5:$AJ$170,0,MATCH(K$2,Inputs!$K$4:$AJ$4,0))))=0,NA(),SUMPRODUCT((Inputs!$A$5:$A$170=$B35)*Inputs!$B$5:$B$170*(((Inputs!$G$5:$G$170="moeda")+(Inputs!$G$5:$G$170="acoes"))*Inputs!$B$1+((Inputs!$G$5:$G$170&lt;&gt;"moeda")*(Inputs!$G$5:$G$170&lt;&gt;"acoes")))*INDEX(Inputs!$K$5:$AJ$170,0,MATCH(K$2,Inputs!$K$4:$AJ$4,0)))+SUMPRODUCT((Inputs!$C$5:$C$170=$B35)*Inputs!$D$5:$D$170*(((Inputs!$G$5:$G$170="moeda")+(Inputs!$G$5:$G$170="acoes"))*Inputs!$B$1+((Inputs!$G$5:$G$170&lt;&gt;"moeda")*(Inputs!$G$5:$G$170&lt;&gt;"acoes")))*INDEX(Inputs!$K$5:$AJ$170,0,MATCH(K$2,Inputs!$K$4:$AJ$4,0)))+SUMPRODUCT((Inputs!$E$5:$E$170=$B35)*Inputs!$F$5:$F$170*(((Inputs!$G$5:$G$170="moeda")+(Inputs!$G$5:$G$170="acoes"))*Inputs!$B$1+((Inputs!$G$5:$G$170&lt;&gt;"moeda")*(Inputs!$G$5:$G$170&lt;&gt;"acoes")))*INDEX(Inputs!$K$5:$AJ$170,0,MATCH(K$2,Inputs!$K$4:$AJ$4,0)))))</f>
        <v>18023.587</v>
      </c>
      <c r="L35" s="6">
        <f>IF(ISNA(MATCH(L$2,Inputs!$K$4:$AJ$4,0)),NA(),IF(SUMPRODUCT((Inputs!$A$5:$A$170=$B35)*ISNUMBER(INDEX(Inputs!$K$5:$AJ$170,0,MATCH(L$2,Inputs!$K$4:$AJ$4,0))))+SUMPRODUCT((Inputs!$C$5:$C$170=$B35)*ISNUMBER(INDEX(Inputs!$K$5:$AJ$170,0,MATCH(L$2,Inputs!$K$4:$AJ$4,0))))+SUMPRODUCT((Inputs!$E$5:$E$170=$B35)*ISNUMBER(INDEX(Inputs!$K$5:$AJ$170,0,MATCH(L$2,Inputs!$K$4:$AJ$4,0))))=0,NA(),SUMPRODUCT((Inputs!$A$5:$A$170=$B35)*Inputs!$B$5:$B$170*(((Inputs!$G$5:$G$170="moeda")+(Inputs!$G$5:$G$170="acoes"))*Inputs!$B$1+((Inputs!$G$5:$G$170&lt;&gt;"moeda")*(Inputs!$G$5:$G$170&lt;&gt;"acoes")))*INDEX(Inputs!$K$5:$AJ$170,0,MATCH(L$2,Inputs!$K$4:$AJ$4,0)))+SUMPRODUCT((Inputs!$C$5:$C$170=$B35)*Inputs!$D$5:$D$170*(((Inputs!$G$5:$G$170="moeda")+(Inputs!$G$5:$G$170="acoes"))*Inputs!$B$1+((Inputs!$G$5:$G$170&lt;&gt;"moeda")*(Inputs!$G$5:$G$170&lt;&gt;"acoes")))*INDEX(Inputs!$K$5:$AJ$170,0,MATCH(L$2,Inputs!$K$4:$AJ$4,0)))+SUMPRODUCT((Inputs!$E$5:$E$170=$B35)*Inputs!$F$5:$F$170*(((Inputs!$G$5:$G$170="moeda")+(Inputs!$G$5:$G$170="acoes"))*Inputs!$B$1+((Inputs!$G$5:$G$170&lt;&gt;"moeda")*(Inputs!$G$5:$G$170&lt;&gt;"acoes")))*INDEX(Inputs!$K$5:$AJ$170,0,MATCH(L$2,Inputs!$K$4:$AJ$4,0)))))</f>
        <v>15344.591</v>
      </c>
      <c r="M35" s="3">
        <f>L35</f>
        <v>15344.591</v>
      </c>
      <c r="N35" s="6">
        <f>IF(ISNA(MATCH(N$2,Inputs!$K$4:$AJ$4,0)),NA(),IF(SUMPRODUCT((Inputs!$A$5:$A$170=$B35)*ISNUMBER(INDEX(Inputs!$K$5:$AJ$170,0,MATCH(N$2,Inputs!$K$4:$AJ$4,0))))+SUMPRODUCT((Inputs!$C$5:$C$170=$B35)*ISNUMBER(INDEX(Inputs!$K$5:$AJ$170,0,MATCH(N$2,Inputs!$K$4:$AJ$4,0))))+SUMPRODUCT((Inputs!$E$5:$E$170=$B35)*ISNUMBER(INDEX(Inputs!$K$5:$AJ$170,0,MATCH(N$2,Inputs!$K$4:$AJ$4,0))))=0,NA(),SUMPRODUCT((Inputs!$A$5:$A$170=$B35)*Inputs!$B$5:$B$170*(((Inputs!$G$5:$G$170="moeda")+(Inputs!$G$5:$G$170="acoes"))*Inputs!$B$1+((Inputs!$G$5:$G$170&lt;&gt;"moeda")*(Inputs!$G$5:$G$170&lt;&gt;"acoes")))*INDEX(Inputs!$K$5:$AJ$170,0,MATCH(N$2,Inputs!$K$4:$AJ$4,0)))+SUMPRODUCT((Inputs!$C$5:$C$170=$B35)*Inputs!$D$5:$D$170*(((Inputs!$G$5:$G$170="moeda")+(Inputs!$G$5:$G$170="acoes"))*Inputs!$B$1+((Inputs!$G$5:$G$170&lt;&gt;"moeda")*(Inputs!$G$5:$G$170&lt;&gt;"acoes")))*INDEX(Inputs!$K$5:$AJ$170,0,MATCH(N$2,Inputs!$K$4:$AJ$4,0)))+SUMPRODUCT((Inputs!$E$5:$E$170=$B35)*Inputs!$F$5:$F$170*(((Inputs!$G$5:$G$170="moeda")+(Inputs!$G$5:$G$170="acoes"))*Inputs!$B$1+((Inputs!$G$5:$G$170&lt;&gt;"moeda")*(Inputs!$G$5:$G$170&lt;&gt;"acoes")))*INDEX(Inputs!$K$5:$AJ$170,0,MATCH(N$2,Inputs!$K$4:$AJ$4,0)))))</f>
        <v>13834.704</v>
      </c>
      <c r="O35" s="6">
        <f>IF(ISNA(MATCH(O$2,Inputs!$K$4:$AJ$4,0)),NA(),IF(SUMPRODUCT((Inputs!$A$5:$A$170=$B35)*ISNUMBER(INDEX(Inputs!$K$5:$AJ$170,0,MATCH(O$2,Inputs!$K$4:$AJ$4,0))))+SUMPRODUCT((Inputs!$C$5:$C$170=$B35)*ISNUMBER(INDEX(Inputs!$K$5:$AJ$170,0,MATCH(O$2,Inputs!$K$4:$AJ$4,0))))+SUMPRODUCT((Inputs!$E$5:$E$170=$B35)*ISNUMBER(INDEX(Inputs!$K$5:$AJ$170,0,MATCH(O$2,Inputs!$K$4:$AJ$4,0))))=0,NA(),SUMPRODUCT((Inputs!$A$5:$A$170=$B35)*Inputs!$B$5:$B$170*(((Inputs!$G$5:$G$170="moeda")+(Inputs!$G$5:$G$170="acoes"))*Inputs!$B$1+((Inputs!$G$5:$G$170&lt;&gt;"moeda")*(Inputs!$G$5:$G$170&lt;&gt;"acoes")))*INDEX(Inputs!$K$5:$AJ$170,0,MATCH(O$2,Inputs!$K$4:$AJ$4,0)))+SUMPRODUCT((Inputs!$C$5:$C$170=$B35)*Inputs!$D$5:$D$170*(((Inputs!$G$5:$G$170="moeda")+(Inputs!$G$5:$G$170="acoes"))*Inputs!$B$1+((Inputs!$G$5:$G$170&lt;&gt;"moeda")*(Inputs!$G$5:$G$170&lt;&gt;"acoes")))*INDEX(Inputs!$K$5:$AJ$170,0,MATCH(O$2,Inputs!$K$4:$AJ$4,0)))+SUMPRODUCT((Inputs!$E$5:$E$170=$B35)*Inputs!$F$5:$F$170*(((Inputs!$G$5:$G$170="moeda")+(Inputs!$G$5:$G$170="acoes"))*Inputs!$B$1+((Inputs!$G$5:$G$170&lt;&gt;"moeda")*(Inputs!$G$5:$G$170&lt;&gt;"acoes")))*INDEX(Inputs!$K$5:$AJ$170,0,MATCH(O$2,Inputs!$K$4:$AJ$4,0)))))</f>
        <v>12667.831</v>
      </c>
      <c r="P35" s="6">
        <f>IF(ISNA(MATCH(P$2,Inputs!$K$4:$AJ$4,0)),NA(),IF(SUMPRODUCT((Inputs!$A$5:$A$170=$B35)*ISNUMBER(INDEX(Inputs!$K$5:$AJ$170,0,MATCH(P$2,Inputs!$K$4:$AJ$4,0))))+SUMPRODUCT((Inputs!$C$5:$C$170=$B35)*ISNUMBER(INDEX(Inputs!$K$5:$AJ$170,0,MATCH(P$2,Inputs!$K$4:$AJ$4,0))))+SUMPRODUCT((Inputs!$E$5:$E$170=$B35)*ISNUMBER(INDEX(Inputs!$K$5:$AJ$170,0,MATCH(P$2,Inputs!$K$4:$AJ$4,0))))=0,NA(),SUMPRODUCT((Inputs!$A$5:$A$170=$B35)*Inputs!$B$5:$B$170*(((Inputs!$G$5:$G$170="moeda")+(Inputs!$G$5:$G$170="acoes"))*Inputs!$B$1+((Inputs!$G$5:$G$170&lt;&gt;"moeda")*(Inputs!$G$5:$G$170&lt;&gt;"acoes")))*INDEX(Inputs!$K$5:$AJ$170,0,MATCH(P$2,Inputs!$K$4:$AJ$4,0)))+SUMPRODUCT((Inputs!$C$5:$C$170=$B35)*Inputs!$D$5:$D$170*(((Inputs!$G$5:$G$170="moeda")+(Inputs!$G$5:$G$170="acoes"))*Inputs!$B$1+((Inputs!$G$5:$G$170&lt;&gt;"moeda")*(Inputs!$G$5:$G$170&lt;&gt;"acoes")))*INDEX(Inputs!$K$5:$AJ$170,0,MATCH(P$2,Inputs!$K$4:$AJ$4,0)))+SUMPRODUCT((Inputs!$E$5:$E$170=$B35)*Inputs!$F$5:$F$170*(((Inputs!$G$5:$G$170="moeda")+(Inputs!$G$5:$G$170="acoes"))*Inputs!$B$1+((Inputs!$G$5:$G$170&lt;&gt;"moeda")*(Inputs!$G$5:$G$170&lt;&gt;"acoes")))*INDEX(Inputs!$K$5:$AJ$170,0,MATCH(P$2,Inputs!$K$4:$AJ$4,0)))))</f>
        <v>12513.148</v>
      </c>
      <c r="Q35" s="6">
        <f>IF(ISNA(MATCH(Q$2,Inputs!$K$4:$AJ$4,0)),NA(),IF(SUMPRODUCT((Inputs!$A$5:$A$170=$B35)*ISNUMBER(INDEX(Inputs!$K$5:$AJ$170,0,MATCH(Q$2,Inputs!$K$4:$AJ$4,0))))+SUMPRODUCT((Inputs!$C$5:$C$170=$B35)*ISNUMBER(INDEX(Inputs!$K$5:$AJ$170,0,MATCH(Q$2,Inputs!$K$4:$AJ$4,0))))+SUMPRODUCT((Inputs!$E$5:$E$170=$B35)*ISNUMBER(INDEX(Inputs!$K$5:$AJ$170,0,MATCH(Q$2,Inputs!$K$4:$AJ$4,0))))=0,NA(),SUMPRODUCT((Inputs!$A$5:$A$170=$B35)*Inputs!$B$5:$B$170*(((Inputs!$G$5:$G$170="moeda")+(Inputs!$G$5:$G$170="acoes"))*Inputs!$B$1+((Inputs!$G$5:$G$170&lt;&gt;"moeda")*(Inputs!$G$5:$G$170&lt;&gt;"acoes")))*INDEX(Inputs!$K$5:$AJ$170,0,MATCH(Q$2,Inputs!$K$4:$AJ$4,0)))+SUMPRODUCT((Inputs!$C$5:$C$170=$B35)*Inputs!$D$5:$D$170*(((Inputs!$G$5:$G$170="moeda")+(Inputs!$G$5:$G$170="acoes"))*Inputs!$B$1+((Inputs!$G$5:$G$170&lt;&gt;"moeda")*(Inputs!$G$5:$G$170&lt;&gt;"acoes")))*INDEX(Inputs!$K$5:$AJ$170,0,MATCH(Q$2,Inputs!$K$4:$AJ$4,0)))+SUMPRODUCT((Inputs!$E$5:$E$170=$B35)*Inputs!$F$5:$F$170*(((Inputs!$G$5:$G$170="moeda")+(Inputs!$G$5:$G$170="acoes"))*Inputs!$B$1+((Inputs!$G$5:$G$170&lt;&gt;"moeda")*(Inputs!$G$5:$G$170&lt;&gt;"acoes")))*INDEX(Inputs!$K$5:$AJ$170,0,MATCH(Q$2,Inputs!$K$4:$AJ$4,0)))))</f>
        <v>13681.587</v>
      </c>
      <c r="R35" s="3">
        <f>Q35</f>
        <v>13681.587</v>
      </c>
      <c r="S35" s="6">
        <f>IF(ISNA(MATCH(S$2,Inputs!$K$4:$AJ$4,0)),NA(),IF(SUMPRODUCT((Inputs!$A$5:$A$170=$B35)*ISNUMBER(INDEX(Inputs!$K$5:$AJ$170,0,MATCH(S$2,Inputs!$K$4:$AJ$4,0))))+SUMPRODUCT((Inputs!$C$5:$C$170=$B35)*ISNUMBER(INDEX(Inputs!$K$5:$AJ$170,0,MATCH(S$2,Inputs!$K$4:$AJ$4,0))))+SUMPRODUCT((Inputs!$E$5:$E$170=$B35)*ISNUMBER(INDEX(Inputs!$K$5:$AJ$170,0,MATCH(S$2,Inputs!$K$4:$AJ$4,0))))=0,NA(),SUMPRODUCT((Inputs!$A$5:$A$170=$B35)*Inputs!$B$5:$B$170*(((Inputs!$G$5:$G$170="moeda")+(Inputs!$G$5:$G$170="acoes"))*Inputs!$B$1+((Inputs!$G$5:$G$170&lt;&gt;"moeda")*(Inputs!$G$5:$G$170&lt;&gt;"acoes")))*INDEX(Inputs!$K$5:$AJ$170,0,MATCH(S$2,Inputs!$K$4:$AJ$4,0)))+SUMPRODUCT((Inputs!$C$5:$C$170=$B35)*Inputs!$D$5:$D$170*(((Inputs!$G$5:$G$170="moeda")+(Inputs!$G$5:$G$170="acoes"))*Inputs!$B$1+((Inputs!$G$5:$G$170&lt;&gt;"moeda")*(Inputs!$G$5:$G$170&lt;&gt;"acoes")))*INDEX(Inputs!$K$5:$AJ$170,0,MATCH(S$2,Inputs!$K$4:$AJ$4,0)))+SUMPRODUCT((Inputs!$E$5:$E$170=$B35)*Inputs!$F$5:$F$170*(((Inputs!$G$5:$G$170="moeda")+(Inputs!$G$5:$G$170="acoes"))*Inputs!$B$1+((Inputs!$G$5:$G$170&lt;&gt;"moeda")*(Inputs!$G$5:$G$170&lt;&gt;"acoes")))*INDEX(Inputs!$K$5:$AJ$170,0,MATCH(S$2,Inputs!$K$4:$AJ$4,0)))))</f>
        <v>14365.522</v>
      </c>
      <c r="T35" s="6">
        <f>IF(ISNA(MATCH(T$2,Inputs!$K$4:$AJ$4,0)),NA(),IF(SUMPRODUCT((Inputs!$A$5:$A$170=$B35)*ISNUMBER(INDEX(Inputs!$K$5:$AJ$170,0,MATCH(T$2,Inputs!$K$4:$AJ$4,0))))+SUMPRODUCT((Inputs!$C$5:$C$170=$B35)*ISNUMBER(INDEX(Inputs!$K$5:$AJ$170,0,MATCH(T$2,Inputs!$K$4:$AJ$4,0))))+SUMPRODUCT((Inputs!$E$5:$E$170=$B35)*ISNUMBER(INDEX(Inputs!$K$5:$AJ$170,0,MATCH(T$2,Inputs!$K$4:$AJ$4,0))))=0,NA(),SUMPRODUCT((Inputs!$A$5:$A$170=$B35)*Inputs!$B$5:$B$170*(((Inputs!$G$5:$G$170="moeda")+(Inputs!$G$5:$G$170="acoes"))*Inputs!$B$1+((Inputs!$G$5:$G$170&lt;&gt;"moeda")*(Inputs!$G$5:$G$170&lt;&gt;"acoes")))*INDEX(Inputs!$K$5:$AJ$170,0,MATCH(T$2,Inputs!$K$4:$AJ$4,0)))+SUMPRODUCT((Inputs!$C$5:$C$170=$B35)*Inputs!$D$5:$D$170*(((Inputs!$G$5:$G$170="moeda")+(Inputs!$G$5:$G$170="acoes"))*Inputs!$B$1+((Inputs!$G$5:$G$170&lt;&gt;"moeda")*(Inputs!$G$5:$G$170&lt;&gt;"acoes")))*INDEX(Inputs!$K$5:$AJ$170,0,MATCH(T$2,Inputs!$K$4:$AJ$4,0)))+SUMPRODUCT((Inputs!$E$5:$E$170=$B35)*Inputs!$F$5:$F$170*(((Inputs!$G$5:$G$170="moeda")+(Inputs!$G$5:$G$170="acoes"))*Inputs!$B$1+((Inputs!$G$5:$G$170&lt;&gt;"moeda")*(Inputs!$G$5:$G$170&lt;&gt;"acoes")))*INDEX(Inputs!$K$5:$AJ$170,0,MATCH(T$2,Inputs!$K$4:$AJ$4,0)))))</f>
        <v>16265.642</v>
      </c>
      <c r="U35" s="6">
        <f>IF(ISNA(MATCH(U$2,Inputs!$K$4:$AJ$4,0)),NA(),IF(SUMPRODUCT((Inputs!$A$5:$A$170=$B35)*ISNUMBER(INDEX(Inputs!$K$5:$AJ$170,0,MATCH(U$2,Inputs!$K$4:$AJ$4,0))))+SUMPRODUCT((Inputs!$C$5:$C$170=$B35)*ISNUMBER(INDEX(Inputs!$K$5:$AJ$170,0,MATCH(U$2,Inputs!$K$4:$AJ$4,0))))+SUMPRODUCT((Inputs!$E$5:$E$170=$B35)*ISNUMBER(INDEX(Inputs!$K$5:$AJ$170,0,MATCH(U$2,Inputs!$K$4:$AJ$4,0))))=0,NA(),SUMPRODUCT((Inputs!$A$5:$A$170=$B35)*Inputs!$B$5:$B$170*(((Inputs!$G$5:$G$170="moeda")+(Inputs!$G$5:$G$170="acoes"))*Inputs!$B$1+((Inputs!$G$5:$G$170&lt;&gt;"moeda")*(Inputs!$G$5:$G$170&lt;&gt;"acoes")))*INDEX(Inputs!$K$5:$AJ$170,0,MATCH(U$2,Inputs!$K$4:$AJ$4,0)))+SUMPRODUCT((Inputs!$C$5:$C$170=$B35)*Inputs!$D$5:$D$170*(((Inputs!$G$5:$G$170="moeda")+(Inputs!$G$5:$G$170="acoes"))*Inputs!$B$1+((Inputs!$G$5:$G$170&lt;&gt;"moeda")*(Inputs!$G$5:$G$170&lt;&gt;"acoes")))*INDEX(Inputs!$K$5:$AJ$170,0,MATCH(U$2,Inputs!$K$4:$AJ$4,0)))+SUMPRODUCT((Inputs!$E$5:$E$170=$B35)*Inputs!$F$5:$F$170*(((Inputs!$G$5:$G$170="moeda")+(Inputs!$G$5:$G$170="acoes"))*Inputs!$B$1+((Inputs!$G$5:$G$170&lt;&gt;"moeda")*(Inputs!$G$5:$G$170&lt;&gt;"acoes")))*INDEX(Inputs!$K$5:$AJ$170,0,MATCH(U$2,Inputs!$K$4:$AJ$4,0)))))</f>
        <v>16720.378</v>
      </c>
      <c r="V35" s="6">
        <f>IF(ISNA(MATCH(V$2,Inputs!$K$4:$AJ$4,0)),NA(),IF(SUMPRODUCT((Inputs!$A$5:$A$170=$B35)*ISNUMBER(INDEX(Inputs!$K$5:$AJ$170,0,MATCH(V$2,Inputs!$K$4:$AJ$4,0))))+SUMPRODUCT((Inputs!$C$5:$C$170=$B35)*ISNUMBER(INDEX(Inputs!$K$5:$AJ$170,0,MATCH(V$2,Inputs!$K$4:$AJ$4,0))))+SUMPRODUCT((Inputs!$E$5:$E$170=$B35)*ISNUMBER(INDEX(Inputs!$K$5:$AJ$170,0,MATCH(V$2,Inputs!$K$4:$AJ$4,0))))=0,NA(),SUMPRODUCT((Inputs!$A$5:$A$170=$B35)*Inputs!$B$5:$B$170*(((Inputs!$G$5:$G$170="moeda")+(Inputs!$G$5:$G$170="acoes"))*Inputs!$B$1+((Inputs!$G$5:$G$170&lt;&gt;"moeda")*(Inputs!$G$5:$G$170&lt;&gt;"acoes")))*INDEX(Inputs!$K$5:$AJ$170,0,MATCH(V$2,Inputs!$K$4:$AJ$4,0)))+SUMPRODUCT((Inputs!$C$5:$C$170=$B35)*Inputs!$D$5:$D$170*(((Inputs!$G$5:$G$170="moeda")+(Inputs!$G$5:$G$170="acoes"))*Inputs!$B$1+((Inputs!$G$5:$G$170&lt;&gt;"moeda")*(Inputs!$G$5:$G$170&lt;&gt;"acoes")))*INDEX(Inputs!$K$5:$AJ$170,0,MATCH(V$2,Inputs!$K$4:$AJ$4,0)))+SUMPRODUCT((Inputs!$E$5:$E$170=$B35)*Inputs!$F$5:$F$170*(((Inputs!$G$5:$G$170="moeda")+(Inputs!$G$5:$G$170="acoes"))*Inputs!$B$1+((Inputs!$G$5:$G$170&lt;&gt;"moeda")*(Inputs!$G$5:$G$170&lt;&gt;"acoes")))*INDEX(Inputs!$K$5:$AJ$170,0,MATCH(V$2,Inputs!$K$4:$AJ$4,0)))))</f>
        <v>17700.013</v>
      </c>
      <c r="W35" s="3">
        <f>V35</f>
        <v>17700.013</v>
      </c>
      <c r="X35" s="6">
        <f>IF(ISNA(MATCH(X$2,Inputs!$K$4:$AJ$4,0)),NA(),IF(SUMPRODUCT((Inputs!$A$5:$A$170=$B35)*ISNUMBER(INDEX(Inputs!$K$5:$AJ$170,0,MATCH(X$2,Inputs!$K$4:$AJ$4,0))))+SUMPRODUCT((Inputs!$C$5:$C$170=$B35)*ISNUMBER(INDEX(Inputs!$K$5:$AJ$170,0,MATCH(X$2,Inputs!$K$4:$AJ$4,0))))+SUMPRODUCT((Inputs!$E$5:$E$170=$B35)*ISNUMBER(INDEX(Inputs!$K$5:$AJ$170,0,MATCH(X$2,Inputs!$K$4:$AJ$4,0))))=0,NA(),SUMPRODUCT((Inputs!$A$5:$A$170=$B35)*Inputs!$B$5:$B$170*(((Inputs!$G$5:$G$170="moeda")+(Inputs!$G$5:$G$170="acoes"))*Inputs!$B$1+((Inputs!$G$5:$G$170&lt;&gt;"moeda")*(Inputs!$G$5:$G$170&lt;&gt;"acoes")))*INDEX(Inputs!$K$5:$AJ$170,0,MATCH(X$2,Inputs!$K$4:$AJ$4,0)))+SUMPRODUCT((Inputs!$C$5:$C$170=$B35)*Inputs!$D$5:$D$170*(((Inputs!$G$5:$G$170="moeda")+(Inputs!$G$5:$G$170="acoes"))*Inputs!$B$1+((Inputs!$G$5:$G$170&lt;&gt;"moeda")*(Inputs!$G$5:$G$170&lt;&gt;"acoes")))*INDEX(Inputs!$K$5:$AJ$170,0,MATCH(X$2,Inputs!$K$4:$AJ$4,0)))+SUMPRODUCT((Inputs!$E$5:$E$170=$B35)*Inputs!$F$5:$F$170*(((Inputs!$G$5:$G$170="moeda")+(Inputs!$G$5:$G$170="acoes"))*Inputs!$B$1+((Inputs!$G$5:$G$170&lt;&gt;"moeda")*(Inputs!$G$5:$G$170&lt;&gt;"acoes")))*INDEX(Inputs!$K$5:$AJ$170,0,MATCH(X$2,Inputs!$K$4:$AJ$4,0)))))</f>
        <v>16803.695</v>
      </c>
      <c r="Y35" s="6">
        <f>IF(ISNA(MATCH(Y$2,Inputs!$K$4:$AJ$4,0)),NA(),IF(SUMPRODUCT((Inputs!$A$5:$A$170=$B35)*ISNUMBER(INDEX(Inputs!$K$5:$AJ$170,0,MATCH(Y$2,Inputs!$K$4:$AJ$4,0))))+SUMPRODUCT((Inputs!$C$5:$C$170=$B35)*ISNUMBER(INDEX(Inputs!$K$5:$AJ$170,0,MATCH(Y$2,Inputs!$K$4:$AJ$4,0))))+SUMPRODUCT((Inputs!$E$5:$E$170=$B35)*ISNUMBER(INDEX(Inputs!$K$5:$AJ$170,0,MATCH(Y$2,Inputs!$K$4:$AJ$4,0))))=0,NA(),SUMPRODUCT((Inputs!$A$5:$A$170=$B35)*Inputs!$B$5:$B$170*(((Inputs!$G$5:$G$170="moeda")+(Inputs!$G$5:$G$170="acoes"))*Inputs!$B$1+((Inputs!$G$5:$G$170&lt;&gt;"moeda")*(Inputs!$G$5:$G$170&lt;&gt;"acoes")))*INDEX(Inputs!$K$5:$AJ$170,0,MATCH(Y$2,Inputs!$K$4:$AJ$4,0)))+SUMPRODUCT((Inputs!$C$5:$C$170=$B35)*Inputs!$D$5:$D$170*(((Inputs!$G$5:$G$170="moeda")+(Inputs!$G$5:$G$170="acoes"))*Inputs!$B$1+((Inputs!$G$5:$G$170&lt;&gt;"moeda")*(Inputs!$G$5:$G$170&lt;&gt;"acoes")))*INDEX(Inputs!$K$5:$AJ$170,0,MATCH(Y$2,Inputs!$K$4:$AJ$4,0)))+SUMPRODUCT((Inputs!$E$5:$E$170=$B35)*Inputs!$F$5:$F$170*(((Inputs!$G$5:$G$170="moeda")+(Inputs!$G$5:$G$170="acoes"))*Inputs!$B$1+((Inputs!$G$5:$G$170&lt;&gt;"moeda")*(Inputs!$G$5:$G$170&lt;&gt;"acoes")))*INDEX(Inputs!$K$5:$AJ$170,0,MATCH(Y$2,Inputs!$K$4:$AJ$4,0)))))</f>
        <v>15607.835</v>
      </c>
      <c r="Z35" s="6">
        <f>IF(ISNA(MATCH(Z$2,Inputs!$K$4:$AJ$4,0)),NA(),IF(SUMPRODUCT((Inputs!$A$5:$A$170=$B35)*ISNUMBER(INDEX(Inputs!$K$5:$AJ$170,0,MATCH(Z$2,Inputs!$K$4:$AJ$4,0))))+SUMPRODUCT((Inputs!$C$5:$C$170=$B35)*ISNUMBER(INDEX(Inputs!$K$5:$AJ$170,0,MATCH(Z$2,Inputs!$K$4:$AJ$4,0))))+SUMPRODUCT((Inputs!$E$5:$E$170=$B35)*ISNUMBER(INDEX(Inputs!$K$5:$AJ$170,0,MATCH(Z$2,Inputs!$K$4:$AJ$4,0))))=0,NA(),SUMPRODUCT((Inputs!$A$5:$A$170=$B35)*Inputs!$B$5:$B$170*(((Inputs!$G$5:$G$170="moeda")+(Inputs!$G$5:$G$170="acoes"))*Inputs!$B$1+((Inputs!$G$5:$G$170&lt;&gt;"moeda")*(Inputs!$G$5:$G$170&lt;&gt;"acoes")))*INDEX(Inputs!$K$5:$AJ$170,0,MATCH(Z$2,Inputs!$K$4:$AJ$4,0)))+SUMPRODUCT((Inputs!$C$5:$C$170=$B35)*Inputs!$D$5:$D$170*(((Inputs!$G$5:$G$170="moeda")+(Inputs!$G$5:$G$170="acoes"))*Inputs!$B$1+((Inputs!$G$5:$G$170&lt;&gt;"moeda")*(Inputs!$G$5:$G$170&lt;&gt;"acoes")))*INDEX(Inputs!$K$5:$AJ$170,0,MATCH(Z$2,Inputs!$K$4:$AJ$4,0)))+SUMPRODUCT((Inputs!$E$5:$E$170=$B35)*Inputs!$F$5:$F$170*(((Inputs!$G$5:$G$170="moeda")+(Inputs!$G$5:$G$170="acoes"))*Inputs!$B$1+((Inputs!$G$5:$G$170&lt;&gt;"moeda")*(Inputs!$G$5:$G$170&lt;&gt;"acoes")))*INDEX(Inputs!$K$5:$AJ$170,0,MATCH(Z$2,Inputs!$K$4:$AJ$4,0)))))</f>
        <v>14401.086</v>
      </c>
      <c r="AA35" s="6">
        <f>IF(ISNA(MATCH(AA$2,Inputs!$K$4:$AJ$4,0)),NA(),IF(SUMPRODUCT((Inputs!$A$5:$A$170=$B35)*ISNUMBER(INDEX(Inputs!$K$5:$AJ$170,0,MATCH(AA$2,Inputs!$K$4:$AJ$4,0))))+SUMPRODUCT((Inputs!$C$5:$C$170=$B35)*ISNUMBER(INDEX(Inputs!$K$5:$AJ$170,0,MATCH(AA$2,Inputs!$K$4:$AJ$4,0))))+SUMPRODUCT((Inputs!$E$5:$E$170=$B35)*ISNUMBER(INDEX(Inputs!$K$5:$AJ$170,0,MATCH(AA$2,Inputs!$K$4:$AJ$4,0))))=0,NA(),SUMPRODUCT((Inputs!$A$5:$A$170=$B35)*Inputs!$B$5:$B$170*(((Inputs!$G$5:$G$170="moeda")+(Inputs!$G$5:$G$170="acoes"))*Inputs!$B$1+((Inputs!$G$5:$G$170&lt;&gt;"moeda")*(Inputs!$G$5:$G$170&lt;&gt;"acoes")))*INDEX(Inputs!$K$5:$AJ$170,0,MATCH(AA$2,Inputs!$K$4:$AJ$4,0)))+SUMPRODUCT((Inputs!$C$5:$C$170=$B35)*Inputs!$D$5:$D$170*(((Inputs!$G$5:$G$170="moeda")+(Inputs!$G$5:$G$170="acoes"))*Inputs!$B$1+((Inputs!$G$5:$G$170&lt;&gt;"moeda")*(Inputs!$G$5:$G$170&lt;&gt;"acoes")))*INDEX(Inputs!$K$5:$AJ$170,0,MATCH(AA$2,Inputs!$K$4:$AJ$4,0)))+SUMPRODUCT((Inputs!$E$5:$E$170=$B35)*Inputs!$F$5:$F$170*(((Inputs!$G$5:$G$170="moeda")+(Inputs!$G$5:$G$170="acoes"))*Inputs!$B$1+((Inputs!$G$5:$G$170&lt;&gt;"moeda")*(Inputs!$G$5:$G$170&lt;&gt;"acoes")))*INDEX(Inputs!$K$5:$AJ$170,0,MATCH(AA$2,Inputs!$K$4:$AJ$4,0)))))</f>
        <v>17095.632</v>
      </c>
      <c r="AB35" s="3">
        <f>AA35</f>
        <v>17095.632</v>
      </c>
      <c r="AC35" s="6">
        <f>IF(ISNA(MATCH(AC$2,Inputs!$K$4:$AJ$4,0)),NA(),IF(SUMPRODUCT((Inputs!$A$5:$A$170=$B35)*ISNUMBER(INDEX(Inputs!$K$5:$AJ$170,0,MATCH(AC$2,Inputs!$K$4:$AJ$4,0))))+SUMPRODUCT((Inputs!$C$5:$C$170=$B35)*ISNUMBER(INDEX(Inputs!$K$5:$AJ$170,0,MATCH(AC$2,Inputs!$K$4:$AJ$4,0))))+SUMPRODUCT((Inputs!$E$5:$E$170=$B35)*ISNUMBER(INDEX(Inputs!$K$5:$AJ$170,0,MATCH(AC$2,Inputs!$K$4:$AJ$4,0))))=0,NA(),SUMPRODUCT((Inputs!$A$5:$A$170=$B35)*Inputs!$B$5:$B$170*(((Inputs!$G$5:$G$170="moeda")+(Inputs!$G$5:$G$170="acoes"))*Inputs!$B$1+((Inputs!$G$5:$G$170&lt;&gt;"moeda")*(Inputs!$G$5:$G$170&lt;&gt;"acoes")))*INDEX(Inputs!$K$5:$AJ$170,0,MATCH(AC$2,Inputs!$K$4:$AJ$4,0)))+SUMPRODUCT((Inputs!$C$5:$C$170=$B35)*Inputs!$D$5:$D$170*(((Inputs!$G$5:$G$170="moeda")+(Inputs!$G$5:$G$170="acoes"))*Inputs!$B$1+((Inputs!$G$5:$G$170&lt;&gt;"moeda")*(Inputs!$G$5:$G$170&lt;&gt;"acoes")))*INDEX(Inputs!$K$5:$AJ$170,0,MATCH(AC$2,Inputs!$K$4:$AJ$4,0)))+SUMPRODUCT((Inputs!$E$5:$E$170=$B35)*Inputs!$F$5:$F$170*(((Inputs!$G$5:$G$170="moeda")+(Inputs!$G$5:$G$170="acoes"))*Inputs!$B$1+((Inputs!$G$5:$G$170&lt;&gt;"moeda")*(Inputs!$G$5:$G$170&lt;&gt;"acoes")))*INDEX(Inputs!$K$5:$AJ$170,0,MATCH(AC$2,Inputs!$K$4:$AJ$4,0)))))</f>
        <v>19728.73</v>
      </c>
      <c r="AD35" s="6">
        <f>IF(ISNA(MATCH(AD$2,Inputs!$K$4:$AJ$4,0)),NA(),IF(SUMPRODUCT((Inputs!$A$5:$A$170=$B35)*ISNUMBER(INDEX(Inputs!$K$5:$AJ$170,0,MATCH(AD$2,Inputs!$K$4:$AJ$4,0))))+SUMPRODUCT((Inputs!$C$5:$C$170=$B35)*ISNUMBER(INDEX(Inputs!$K$5:$AJ$170,0,MATCH(AD$2,Inputs!$K$4:$AJ$4,0))))+SUMPRODUCT((Inputs!$E$5:$E$170=$B35)*ISNUMBER(INDEX(Inputs!$K$5:$AJ$170,0,MATCH(AD$2,Inputs!$K$4:$AJ$4,0))))=0,NA(),SUMPRODUCT((Inputs!$A$5:$A$170=$B35)*Inputs!$B$5:$B$170*(((Inputs!$G$5:$G$170="moeda")+(Inputs!$G$5:$G$170="acoes"))*Inputs!$B$1+((Inputs!$G$5:$G$170&lt;&gt;"moeda")*(Inputs!$G$5:$G$170&lt;&gt;"acoes")))*INDEX(Inputs!$K$5:$AJ$170,0,MATCH(AD$2,Inputs!$K$4:$AJ$4,0)))+SUMPRODUCT((Inputs!$C$5:$C$170=$B35)*Inputs!$D$5:$D$170*(((Inputs!$G$5:$G$170="moeda")+(Inputs!$G$5:$G$170="acoes"))*Inputs!$B$1+((Inputs!$G$5:$G$170&lt;&gt;"moeda")*(Inputs!$G$5:$G$170&lt;&gt;"acoes")))*INDEX(Inputs!$K$5:$AJ$170,0,MATCH(AD$2,Inputs!$K$4:$AJ$4,0)))+SUMPRODUCT((Inputs!$E$5:$E$170=$B35)*Inputs!$F$5:$F$170*(((Inputs!$G$5:$G$170="moeda")+(Inputs!$G$5:$G$170="acoes"))*Inputs!$B$1+((Inputs!$G$5:$G$170&lt;&gt;"moeda")*(Inputs!$G$5:$G$170&lt;&gt;"acoes")))*INDEX(Inputs!$K$5:$AJ$170,0,MATCH(AD$2,Inputs!$K$4:$AJ$4,0)))))</f>
        <v>20325.969</v>
      </c>
      <c r="AE35" s="6" t="e">
        <f>IF(ISNA(MATCH(AE$2,Inputs!$K$4:$AJ$4,0)),NA(),IF(SUMPRODUCT((Inputs!$A$5:$A$170=$B35)*ISNUMBER(INDEX(Inputs!$K$5:$AJ$170,0,MATCH(AE$2,Inputs!$K$4:$AJ$4,0))))+SUMPRODUCT((Inputs!$C$5:$C$170=$B35)*ISNUMBER(INDEX(Inputs!$K$5:$AJ$170,0,MATCH(AE$2,Inputs!$K$4:$AJ$4,0))))+SUMPRODUCT((Inputs!$E$5:$E$170=$B35)*ISNUMBER(INDEX(Inputs!$K$5:$AJ$170,0,MATCH(AE$2,Inputs!$K$4:$AJ$4,0))))=0,NA(),SUMPRODUCT((Inputs!$A$5:$A$170=$B35)*Inputs!$B$5:$B$170*(((Inputs!$G$5:$G$170="moeda")+(Inputs!$G$5:$G$170="acoes"))*Inputs!$B$1+((Inputs!$G$5:$G$170&lt;&gt;"moeda")*(Inputs!$G$5:$G$170&lt;&gt;"acoes")))*INDEX(Inputs!$K$5:$AJ$170,0,MATCH(AE$2,Inputs!$K$4:$AJ$4,0)))+SUMPRODUCT((Inputs!$C$5:$C$170=$B35)*Inputs!$D$5:$D$170*(((Inputs!$G$5:$G$170="moeda")+(Inputs!$G$5:$G$170="acoes"))*Inputs!$B$1+((Inputs!$G$5:$G$170&lt;&gt;"moeda")*(Inputs!$G$5:$G$170&lt;&gt;"acoes")))*INDEX(Inputs!$K$5:$AJ$170,0,MATCH(AE$2,Inputs!$K$4:$AJ$4,0)))+SUMPRODUCT((Inputs!$E$5:$E$170=$B35)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5" s="6" t="e">
        <f>IF(ISNA(MATCH(AF$2,Inputs!$K$4:$AJ$4,0)),NA(),IF(SUMPRODUCT((Inputs!$A$5:$A$170=$B35)*ISNUMBER(INDEX(Inputs!$K$5:$AJ$170,0,MATCH(AF$2,Inputs!$K$4:$AJ$4,0))))+SUMPRODUCT((Inputs!$C$5:$C$170=$B35)*ISNUMBER(INDEX(Inputs!$K$5:$AJ$170,0,MATCH(AF$2,Inputs!$K$4:$AJ$4,0))))+SUMPRODUCT((Inputs!$E$5:$E$170=$B35)*ISNUMBER(INDEX(Inputs!$K$5:$AJ$170,0,MATCH(AF$2,Inputs!$K$4:$AJ$4,0))))=0,NA(),SUMPRODUCT((Inputs!$A$5:$A$170=$B35)*Inputs!$B$5:$B$170*(((Inputs!$G$5:$G$170="moeda")+(Inputs!$G$5:$G$170="acoes"))*Inputs!$B$1+((Inputs!$G$5:$G$170&lt;&gt;"moeda")*(Inputs!$G$5:$G$170&lt;&gt;"acoes")))*INDEX(Inputs!$K$5:$AJ$170,0,MATCH(AF$2,Inputs!$K$4:$AJ$4,0)))+SUMPRODUCT((Inputs!$C$5:$C$170=$B35)*Inputs!$D$5:$D$170*(((Inputs!$G$5:$G$170="moeda")+(Inputs!$G$5:$G$170="acoes"))*Inputs!$B$1+((Inputs!$G$5:$G$170&lt;&gt;"moeda")*(Inputs!$G$5:$G$170&lt;&gt;"acoes")))*INDEX(Inputs!$K$5:$AJ$170,0,MATCH(AF$2,Inputs!$K$4:$AJ$4,0)))+SUMPRODUCT((Inputs!$E$5:$E$170=$B35)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5" s="3" t="e">
        <f>AF35</f>
        <v>#N/A</v>
      </c>
      <c r="AH35" s="6">
        <f>IF(ISNA(MATCH(AH$2,Inputs!$K$4:$AJ$4,0)),NA(),IF(SUMPRODUCT((Inputs!$A$5:$A$170=$B35)*ISNUMBER(INDEX(Inputs!$K$5:$AJ$170,0,MATCH(AH$2,Inputs!$K$4:$AJ$4,0))))+SUMPRODUCT((Inputs!$C$5:$C$170=$B35)*ISNUMBER(INDEX(Inputs!$K$5:$AJ$170,0,MATCH(AH$2,Inputs!$K$4:$AJ$4,0))))+SUMPRODUCT((Inputs!$E$5:$E$170=$B35)*ISNUMBER(INDEX(Inputs!$K$5:$AJ$170,0,MATCH(AH$2,Inputs!$K$4:$AJ$4,0))))=0,NA(),SUMPRODUCT((Inputs!$A$5:$A$170=$B35)*Inputs!$B$5:$B$170*(((Inputs!$G$5:$G$170="moeda")+(Inputs!$G$5:$G$170="acoes"))*Inputs!$B$1+((Inputs!$G$5:$G$170&lt;&gt;"moeda")*(Inputs!$G$5:$G$170&lt;&gt;"acoes")))*INDEX(Inputs!$K$5:$AJ$170,0,MATCH(AH$2,Inputs!$K$4:$AJ$4,0)))+SUMPRODUCT((Inputs!$C$5:$C$170=$B35)*Inputs!$D$5:$D$170*(((Inputs!$G$5:$G$170="moeda")+(Inputs!$G$5:$G$170="acoes"))*Inputs!$B$1+((Inputs!$G$5:$G$170&lt;&gt;"moeda")*(Inputs!$G$5:$G$170&lt;&gt;"acoes")))*INDEX(Inputs!$K$5:$AJ$170,0,MATCH(AH$2,Inputs!$K$4:$AJ$4,0)))+SUMPRODUCT((Inputs!$E$5:$E$170=$B35)*Inputs!$F$5:$F$170*(((Inputs!$G$5:$G$170="moeda")+(Inputs!$G$5:$G$170="acoes"))*Inputs!$B$1+((Inputs!$G$5:$G$170&lt;&gt;"moeda")*(Inputs!$G$5:$G$170&lt;&gt;"acoes")))*INDEX(Inputs!$K$5:$AJ$170,0,MATCH(AH$2,Inputs!$K$4:$AJ$4,0)))))</f>
        <v>2500.624</v>
      </c>
      <c r="AI35" s="6">
        <f>IF(ISNA(MATCH(AI$2,Inputs!$K$4:$AJ$4,0)),NA(),IF(SUMPRODUCT((Inputs!$A$5:$A$170=$B35)*ISNUMBER(INDEX(Inputs!$K$5:$AJ$170,0,MATCH(AI$2,Inputs!$K$4:$AJ$4,0))))+SUMPRODUCT((Inputs!$C$5:$C$170=$B35)*ISNUMBER(INDEX(Inputs!$K$5:$AJ$170,0,MATCH(AI$2,Inputs!$K$4:$AJ$4,0))))+SUMPRODUCT((Inputs!$E$5:$E$170=$B35)*ISNUMBER(INDEX(Inputs!$K$5:$AJ$170,0,MATCH(AI$2,Inputs!$K$4:$AJ$4,0))))=0,NA(),SUMPRODUCT((Inputs!$A$5:$A$170=$B35)*Inputs!$B$5:$B$170*(((Inputs!$G$5:$G$170="moeda")+(Inputs!$G$5:$G$170="acoes"))*Inputs!$B$1+((Inputs!$G$5:$G$170&lt;&gt;"moeda")*(Inputs!$G$5:$G$170&lt;&gt;"acoes")))*INDEX(Inputs!$K$5:$AJ$170,0,MATCH(AI$2,Inputs!$K$4:$AJ$4,0)))+SUMPRODUCT((Inputs!$C$5:$C$170=$B35)*Inputs!$D$5:$D$170*(((Inputs!$G$5:$G$170="moeda")+(Inputs!$G$5:$G$170="acoes"))*Inputs!$B$1+((Inputs!$G$5:$G$170&lt;&gt;"moeda")*(Inputs!$G$5:$G$170&lt;&gt;"acoes")))*INDEX(Inputs!$K$5:$AJ$170,0,MATCH(AI$2,Inputs!$K$4:$AJ$4,0)))+SUMPRODUCT((Inputs!$E$5:$E$170=$B35)*Inputs!$F$5:$F$170*(((Inputs!$G$5:$G$170="moeda")+(Inputs!$G$5:$G$170="acoes"))*Inputs!$B$1+((Inputs!$G$5:$G$170&lt;&gt;"moeda")*(Inputs!$G$5:$G$170&lt;&gt;"acoes")))*INDEX(Inputs!$K$5:$AJ$170,0,MATCH(AI$2,Inputs!$K$4:$AJ$4,0)))))</f>
        <v>2817.292</v>
      </c>
      <c r="AJ35" s="6">
        <f>IF(ISNA(MATCH(AJ$2,Inputs!$K$4:$AJ$4,0)),NA(),IF(SUMPRODUCT((Inputs!$A$5:$A$170=$B35)*ISNUMBER(INDEX(Inputs!$K$5:$AJ$170,0,MATCH(AJ$2,Inputs!$K$4:$AJ$4,0))))+SUMPRODUCT((Inputs!$C$5:$C$170=$B35)*ISNUMBER(INDEX(Inputs!$K$5:$AJ$170,0,MATCH(AJ$2,Inputs!$K$4:$AJ$4,0))))+SUMPRODUCT((Inputs!$E$5:$E$170=$B35)*ISNUMBER(INDEX(Inputs!$K$5:$AJ$170,0,MATCH(AJ$2,Inputs!$K$4:$AJ$4,0))))=0,NA(),SUMPRODUCT((Inputs!$A$5:$A$170=$B35)*Inputs!$B$5:$B$170*(((Inputs!$G$5:$G$170="moeda")+(Inputs!$G$5:$G$170="acoes"))*Inputs!$B$1+((Inputs!$G$5:$G$170&lt;&gt;"moeda")*(Inputs!$G$5:$G$170&lt;&gt;"acoes")))*INDEX(Inputs!$K$5:$AJ$170,0,MATCH(AJ$2,Inputs!$K$4:$AJ$4,0)))+SUMPRODUCT((Inputs!$C$5:$C$170=$B35)*Inputs!$D$5:$D$170*(((Inputs!$G$5:$G$170="moeda")+(Inputs!$G$5:$G$170="acoes"))*Inputs!$B$1+((Inputs!$G$5:$G$170&lt;&gt;"moeda")*(Inputs!$G$5:$G$170&lt;&gt;"acoes")))*INDEX(Inputs!$K$5:$AJ$170,0,MATCH(AJ$2,Inputs!$K$4:$AJ$4,0)))+SUMPRODUCT((Inputs!$E$5:$E$170=$B35)*Inputs!$F$5:$F$170*(((Inputs!$G$5:$G$170="moeda")+(Inputs!$G$5:$G$170="acoes"))*Inputs!$B$1+((Inputs!$G$5:$G$170&lt;&gt;"moeda")*(Inputs!$G$5:$G$170&lt;&gt;"acoes")))*INDEX(Inputs!$K$5:$AJ$170,0,MATCH(AJ$2,Inputs!$K$4:$AJ$4,0)))))</f>
        <v>2908.266</v>
      </c>
      <c r="AK35" s="6">
        <f>IF(ISNA(MATCH(AK$2,Inputs!$K$4:$AJ$4,0)),NA(),IF(SUMPRODUCT((Inputs!$A$5:$A$170=$B35)*ISNUMBER(INDEX(Inputs!$K$5:$AJ$170,0,MATCH(AK$2,Inputs!$K$4:$AJ$4,0))))+SUMPRODUCT((Inputs!$C$5:$C$170=$B35)*ISNUMBER(INDEX(Inputs!$K$5:$AJ$170,0,MATCH(AK$2,Inputs!$K$4:$AJ$4,0))))+SUMPRODUCT((Inputs!$E$5:$E$170=$B35)*ISNUMBER(INDEX(Inputs!$K$5:$AJ$170,0,MATCH(AK$2,Inputs!$K$4:$AJ$4,0))))=0,NA(),SUMPRODUCT((Inputs!$A$5:$A$170=$B35)*Inputs!$B$5:$B$170*(((Inputs!$G$5:$G$170="moeda")+(Inputs!$G$5:$G$170="acoes"))*Inputs!$B$1+((Inputs!$G$5:$G$170&lt;&gt;"moeda")*(Inputs!$G$5:$G$170&lt;&gt;"acoes")))*INDEX(Inputs!$K$5:$AJ$170,0,MATCH(AK$2,Inputs!$K$4:$AJ$4,0)))+SUMPRODUCT((Inputs!$C$5:$C$170=$B35)*Inputs!$D$5:$D$170*(((Inputs!$G$5:$G$170="moeda")+(Inputs!$G$5:$G$170="acoes"))*Inputs!$B$1+((Inputs!$G$5:$G$170&lt;&gt;"moeda")*(Inputs!$G$5:$G$170&lt;&gt;"acoes")))*INDEX(Inputs!$K$5:$AJ$170,0,MATCH(AK$2,Inputs!$K$4:$AJ$4,0)))+SUMPRODUCT((Inputs!$E$5:$E$170=$B35)*Inputs!$F$5:$F$170*(((Inputs!$G$5:$G$170="moeda")+(Inputs!$G$5:$G$170="acoes"))*Inputs!$B$1+((Inputs!$G$5:$G$170&lt;&gt;"moeda")*(Inputs!$G$5:$G$170&lt;&gt;"acoes")))*INDEX(Inputs!$K$5:$AJ$170,0,MATCH(AK$2,Inputs!$K$4:$AJ$4,0)))))</f>
        <v>3330.844</v>
      </c>
      <c r="AL35" s="3">
        <f>AK35</f>
        <v>3330.844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$170=$B36)*ISNUMBER(INDEX(Inputs!$K$5:$AJ$170,0,MATCH(D$2,Inputs!$K$4:$AJ$4,0))))+SUMPRODUCT((Inputs!$C$5:$C$170=$B36)*ISNUMBER(INDEX(Inputs!$K$5:$AJ$170,0,MATCH(D$2,Inputs!$K$4:$AJ$4,0))))+SUMPRODUCT((Inputs!$E$5:$E$170=$B36)*ISNUMBER(INDEX(Inputs!$K$5:$AJ$170,0,MATCH(D$2,Inputs!$K$4:$AJ$4,0))))=0,NA(),SUMPRODUCT((Inputs!$A$5:$A$170=$B36)*Inputs!$B$5:$B$170*(((Inputs!$G$5:$G$170="moeda")+(Inputs!$G$5:$G$170="acoes"))*Inputs!$B$1+((Inputs!$G$5:$G$170&lt;&gt;"moeda")*(Inputs!$G$5:$G$170&lt;&gt;"acoes")))*INDEX(Inputs!$K$5:$AJ$170,0,MATCH(D$2,Inputs!$K$4:$AJ$4,0)))+SUMPRODUCT((Inputs!$C$5:$C$170=$B36)*Inputs!$D$5:$D$170*(((Inputs!$G$5:$G$170="moeda")+(Inputs!$G$5:$G$170="acoes"))*Inputs!$B$1+((Inputs!$G$5:$G$170&lt;&gt;"moeda")*(Inputs!$G$5:$G$170&lt;&gt;"acoes")))*INDEX(Inputs!$K$5:$AJ$170,0,MATCH(D$2,Inputs!$K$4:$AJ$4,0)))+SUMPRODUCT((Inputs!$E$5:$E$170=$B36)*Inputs!$F$5:$F$170*(((Inputs!$G$5:$G$170="moeda")+(Inputs!$G$5:$G$170="acoes"))*Inputs!$B$1+((Inputs!$G$5:$G$170&lt;&gt;"moeda")*(Inputs!$G$5:$G$170&lt;&gt;"acoes")))*INDEX(Inputs!$K$5:$AJ$170,0,MATCH(D$2,Inputs!$K$4:$AJ$4,0)))))</f>
        <v>253.437</v>
      </c>
      <c r="E36" s="6">
        <f>IF(ISNA(MATCH(E$2,Inputs!$K$4:$AJ$4,0)),NA(),IF(SUMPRODUCT((Inputs!$A$5:$A$170=$B36)*ISNUMBER(INDEX(Inputs!$K$5:$AJ$170,0,MATCH(E$2,Inputs!$K$4:$AJ$4,0))))+SUMPRODUCT((Inputs!$C$5:$C$170=$B36)*ISNUMBER(INDEX(Inputs!$K$5:$AJ$170,0,MATCH(E$2,Inputs!$K$4:$AJ$4,0))))+SUMPRODUCT((Inputs!$E$5:$E$170=$B36)*ISNUMBER(INDEX(Inputs!$K$5:$AJ$170,0,MATCH(E$2,Inputs!$K$4:$AJ$4,0))))=0,NA(),SUMPRODUCT((Inputs!$A$5:$A$170=$B36)*Inputs!$B$5:$B$170*(((Inputs!$G$5:$G$170="moeda")+(Inputs!$G$5:$G$170="acoes"))*Inputs!$B$1+((Inputs!$G$5:$G$170&lt;&gt;"moeda")*(Inputs!$G$5:$G$170&lt;&gt;"acoes")))*INDEX(Inputs!$K$5:$AJ$170,0,MATCH(E$2,Inputs!$K$4:$AJ$4,0)))+SUMPRODUCT((Inputs!$C$5:$C$170=$B36)*Inputs!$D$5:$D$170*(((Inputs!$G$5:$G$170="moeda")+(Inputs!$G$5:$G$170="acoes"))*Inputs!$B$1+((Inputs!$G$5:$G$170&lt;&gt;"moeda")*(Inputs!$G$5:$G$170&lt;&gt;"acoes")))*INDEX(Inputs!$K$5:$AJ$170,0,MATCH(E$2,Inputs!$K$4:$AJ$4,0)))+SUMPRODUCT((Inputs!$E$5:$E$170=$B36)*Inputs!$F$5:$F$170*(((Inputs!$G$5:$G$170="moeda")+(Inputs!$G$5:$G$170="acoes"))*Inputs!$B$1+((Inputs!$G$5:$G$170&lt;&gt;"moeda")*(Inputs!$G$5:$G$170&lt;&gt;"acoes")))*INDEX(Inputs!$K$5:$AJ$170,0,MATCH(E$2,Inputs!$K$4:$AJ$4,0)))))</f>
        <v>241.255</v>
      </c>
      <c r="F36" s="6">
        <f>IF(ISNA(MATCH(F$2,Inputs!$K$4:$AJ$4,0)),NA(),IF(SUMPRODUCT((Inputs!$A$5:$A$170=$B36)*ISNUMBER(INDEX(Inputs!$K$5:$AJ$170,0,MATCH(F$2,Inputs!$K$4:$AJ$4,0))))+SUMPRODUCT((Inputs!$C$5:$C$170=$B36)*ISNUMBER(INDEX(Inputs!$K$5:$AJ$170,0,MATCH(F$2,Inputs!$K$4:$AJ$4,0))))+SUMPRODUCT((Inputs!$E$5:$E$170=$B36)*ISNUMBER(INDEX(Inputs!$K$5:$AJ$170,0,MATCH(F$2,Inputs!$K$4:$AJ$4,0))))=0,NA(),SUMPRODUCT((Inputs!$A$5:$A$170=$B36)*Inputs!$B$5:$B$170*(((Inputs!$G$5:$G$170="moeda")+(Inputs!$G$5:$G$170="acoes"))*Inputs!$B$1+((Inputs!$G$5:$G$170&lt;&gt;"moeda")*(Inputs!$G$5:$G$170&lt;&gt;"acoes")))*INDEX(Inputs!$K$5:$AJ$170,0,MATCH(F$2,Inputs!$K$4:$AJ$4,0)))+SUMPRODUCT((Inputs!$C$5:$C$170=$B36)*Inputs!$D$5:$D$170*(((Inputs!$G$5:$G$170="moeda")+(Inputs!$G$5:$G$170="acoes"))*Inputs!$B$1+((Inputs!$G$5:$G$170&lt;&gt;"moeda")*(Inputs!$G$5:$G$170&lt;&gt;"acoes")))*INDEX(Inputs!$K$5:$AJ$170,0,MATCH(F$2,Inputs!$K$4:$AJ$4,0)))+SUMPRODUCT((Inputs!$E$5:$E$170=$B36)*Inputs!$F$5:$F$170*(((Inputs!$G$5:$G$170="moeda")+(Inputs!$G$5:$G$170="acoes"))*Inputs!$B$1+((Inputs!$G$5:$G$170&lt;&gt;"moeda")*(Inputs!$G$5:$G$170&lt;&gt;"acoes")))*INDEX(Inputs!$K$5:$AJ$170,0,MATCH(F$2,Inputs!$K$4:$AJ$4,0)))))</f>
        <v>252.27</v>
      </c>
      <c r="G36" s="6">
        <f>IF(ISNA(MATCH(G$2,Inputs!$K$4:$AJ$4,0)),NA(),IF(SUMPRODUCT((Inputs!$A$5:$A$170=$B36)*ISNUMBER(INDEX(Inputs!$K$5:$AJ$170,0,MATCH(G$2,Inputs!$K$4:$AJ$4,0))))+SUMPRODUCT((Inputs!$C$5:$C$170=$B36)*ISNUMBER(INDEX(Inputs!$K$5:$AJ$170,0,MATCH(G$2,Inputs!$K$4:$AJ$4,0))))+SUMPRODUCT((Inputs!$E$5:$E$170=$B36)*ISNUMBER(INDEX(Inputs!$K$5:$AJ$170,0,MATCH(G$2,Inputs!$K$4:$AJ$4,0))))=0,NA(),SUMPRODUCT((Inputs!$A$5:$A$170=$B36)*Inputs!$B$5:$B$170*(((Inputs!$G$5:$G$170="moeda")+(Inputs!$G$5:$G$170="acoes"))*Inputs!$B$1+((Inputs!$G$5:$G$170&lt;&gt;"moeda")*(Inputs!$G$5:$G$170&lt;&gt;"acoes")))*INDEX(Inputs!$K$5:$AJ$170,0,MATCH(G$2,Inputs!$K$4:$AJ$4,0)))+SUMPRODUCT((Inputs!$C$5:$C$170=$B36)*Inputs!$D$5:$D$170*(((Inputs!$G$5:$G$170="moeda")+(Inputs!$G$5:$G$170="acoes"))*Inputs!$B$1+((Inputs!$G$5:$G$170&lt;&gt;"moeda")*(Inputs!$G$5:$G$170&lt;&gt;"acoes")))*INDEX(Inputs!$K$5:$AJ$170,0,MATCH(G$2,Inputs!$K$4:$AJ$4,0)))+SUMPRODUCT((Inputs!$E$5:$E$170=$B36)*Inputs!$F$5:$F$170*(((Inputs!$G$5:$G$170="moeda")+(Inputs!$G$5:$G$170="acoes"))*Inputs!$B$1+((Inputs!$G$5:$G$170&lt;&gt;"moeda")*(Inputs!$G$5:$G$170&lt;&gt;"acoes")))*INDEX(Inputs!$K$5:$AJ$170,0,MATCH(G$2,Inputs!$K$4:$AJ$4,0)))))</f>
        <v>304.983</v>
      </c>
      <c r="H36" s="3">
        <f>G36</f>
        <v>304.983</v>
      </c>
      <c r="I36" s="6">
        <f>IF(ISNA(MATCH(I$2,Inputs!$K$4:$AJ$4,0)),NA(),IF(SUMPRODUCT((Inputs!$A$5:$A$170=$B36)*ISNUMBER(INDEX(Inputs!$K$5:$AJ$170,0,MATCH(I$2,Inputs!$K$4:$AJ$4,0))))+SUMPRODUCT((Inputs!$C$5:$C$170=$B36)*ISNUMBER(INDEX(Inputs!$K$5:$AJ$170,0,MATCH(I$2,Inputs!$K$4:$AJ$4,0))))+SUMPRODUCT((Inputs!$E$5:$E$170=$B36)*ISNUMBER(INDEX(Inputs!$K$5:$AJ$170,0,MATCH(I$2,Inputs!$K$4:$AJ$4,0))))=0,NA(),SUMPRODUCT((Inputs!$A$5:$A$170=$B36)*Inputs!$B$5:$B$170*(((Inputs!$G$5:$G$170="moeda")+(Inputs!$G$5:$G$170="acoes"))*Inputs!$B$1+((Inputs!$G$5:$G$170&lt;&gt;"moeda")*(Inputs!$G$5:$G$170&lt;&gt;"acoes")))*INDEX(Inputs!$K$5:$AJ$170,0,MATCH(I$2,Inputs!$K$4:$AJ$4,0)))+SUMPRODUCT((Inputs!$C$5:$C$170=$B36)*Inputs!$D$5:$D$170*(((Inputs!$G$5:$G$170="moeda")+(Inputs!$G$5:$G$170="acoes"))*Inputs!$B$1+((Inputs!$G$5:$G$170&lt;&gt;"moeda")*(Inputs!$G$5:$G$170&lt;&gt;"acoes")))*INDEX(Inputs!$K$5:$AJ$170,0,MATCH(I$2,Inputs!$K$4:$AJ$4,0)))+SUMPRODUCT((Inputs!$E$5:$E$170=$B36)*Inputs!$F$5:$F$170*(((Inputs!$G$5:$G$170="moeda")+(Inputs!$G$5:$G$170="acoes"))*Inputs!$B$1+((Inputs!$G$5:$G$170&lt;&gt;"moeda")*(Inputs!$G$5:$G$170&lt;&gt;"acoes")))*INDEX(Inputs!$K$5:$AJ$170,0,MATCH(I$2,Inputs!$K$4:$AJ$4,0)))))</f>
        <v>311.744</v>
      </c>
      <c r="J36" s="6">
        <f>IF(ISNA(MATCH(J$2,Inputs!$K$4:$AJ$4,0)),NA(),IF(SUMPRODUCT((Inputs!$A$5:$A$170=$B36)*ISNUMBER(INDEX(Inputs!$K$5:$AJ$170,0,MATCH(J$2,Inputs!$K$4:$AJ$4,0))))+SUMPRODUCT((Inputs!$C$5:$C$170=$B36)*ISNUMBER(INDEX(Inputs!$K$5:$AJ$170,0,MATCH(J$2,Inputs!$K$4:$AJ$4,0))))+SUMPRODUCT((Inputs!$E$5:$E$170=$B36)*ISNUMBER(INDEX(Inputs!$K$5:$AJ$170,0,MATCH(J$2,Inputs!$K$4:$AJ$4,0))))=0,NA(),SUMPRODUCT((Inputs!$A$5:$A$170=$B36)*Inputs!$B$5:$B$170*(((Inputs!$G$5:$G$170="moeda")+(Inputs!$G$5:$G$170="acoes"))*Inputs!$B$1+((Inputs!$G$5:$G$170&lt;&gt;"moeda")*(Inputs!$G$5:$G$170&lt;&gt;"acoes")))*INDEX(Inputs!$K$5:$AJ$170,0,MATCH(J$2,Inputs!$K$4:$AJ$4,0)))+SUMPRODUCT((Inputs!$C$5:$C$170=$B36)*Inputs!$D$5:$D$170*(((Inputs!$G$5:$G$170="moeda")+(Inputs!$G$5:$G$170="acoes"))*Inputs!$B$1+((Inputs!$G$5:$G$170&lt;&gt;"moeda")*(Inputs!$G$5:$G$170&lt;&gt;"acoes")))*INDEX(Inputs!$K$5:$AJ$170,0,MATCH(J$2,Inputs!$K$4:$AJ$4,0)))+SUMPRODUCT((Inputs!$E$5:$E$170=$B36)*Inputs!$F$5:$F$170*(((Inputs!$G$5:$G$170="moeda")+(Inputs!$G$5:$G$170="acoes"))*Inputs!$B$1+((Inputs!$G$5:$G$170&lt;&gt;"moeda")*(Inputs!$G$5:$G$170&lt;&gt;"acoes")))*INDEX(Inputs!$K$5:$AJ$170,0,MATCH(J$2,Inputs!$K$4:$AJ$4,0)))))</f>
        <v>330.194</v>
      </c>
      <c r="K36" s="6">
        <f>IF(ISNA(MATCH(K$2,Inputs!$K$4:$AJ$4,0)),NA(),IF(SUMPRODUCT((Inputs!$A$5:$A$170=$B36)*ISNUMBER(INDEX(Inputs!$K$5:$AJ$170,0,MATCH(K$2,Inputs!$K$4:$AJ$4,0))))+SUMPRODUCT((Inputs!$C$5:$C$170=$B36)*ISNUMBER(INDEX(Inputs!$K$5:$AJ$170,0,MATCH(K$2,Inputs!$K$4:$AJ$4,0))))+SUMPRODUCT((Inputs!$E$5:$E$170=$B36)*ISNUMBER(INDEX(Inputs!$K$5:$AJ$170,0,MATCH(K$2,Inputs!$K$4:$AJ$4,0))))=0,NA(),SUMPRODUCT((Inputs!$A$5:$A$170=$B36)*Inputs!$B$5:$B$170*(((Inputs!$G$5:$G$170="moeda")+(Inputs!$G$5:$G$170="acoes"))*Inputs!$B$1+((Inputs!$G$5:$G$170&lt;&gt;"moeda")*(Inputs!$G$5:$G$170&lt;&gt;"acoes")))*INDEX(Inputs!$K$5:$AJ$170,0,MATCH(K$2,Inputs!$K$4:$AJ$4,0)))+SUMPRODUCT((Inputs!$C$5:$C$170=$B36)*Inputs!$D$5:$D$170*(((Inputs!$G$5:$G$170="moeda")+(Inputs!$G$5:$G$170="acoes"))*Inputs!$B$1+((Inputs!$G$5:$G$170&lt;&gt;"moeda")*(Inputs!$G$5:$G$170&lt;&gt;"acoes")))*INDEX(Inputs!$K$5:$AJ$170,0,MATCH(K$2,Inputs!$K$4:$AJ$4,0)))+SUMPRODUCT((Inputs!$E$5:$E$170=$B36)*Inputs!$F$5:$F$170*(((Inputs!$G$5:$G$170="moeda")+(Inputs!$G$5:$G$170="acoes"))*Inputs!$B$1+((Inputs!$G$5:$G$170&lt;&gt;"moeda")*(Inputs!$G$5:$G$170&lt;&gt;"acoes")))*INDEX(Inputs!$K$5:$AJ$170,0,MATCH(K$2,Inputs!$K$4:$AJ$4,0)))))</f>
        <v>340.876</v>
      </c>
      <c r="L36" s="6">
        <f>IF(ISNA(MATCH(L$2,Inputs!$K$4:$AJ$4,0)),NA(),IF(SUMPRODUCT((Inputs!$A$5:$A$170=$B36)*ISNUMBER(INDEX(Inputs!$K$5:$AJ$170,0,MATCH(L$2,Inputs!$K$4:$AJ$4,0))))+SUMPRODUCT((Inputs!$C$5:$C$170=$B36)*ISNUMBER(INDEX(Inputs!$K$5:$AJ$170,0,MATCH(L$2,Inputs!$K$4:$AJ$4,0))))+SUMPRODUCT((Inputs!$E$5:$E$170=$B36)*ISNUMBER(INDEX(Inputs!$K$5:$AJ$170,0,MATCH(L$2,Inputs!$K$4:$AJ$4,0))))=0,NA(),SUMPRODUCT((Inputs!$A$5:$A$170=$B36)*Inputs!$B$5:$B$170*(((Inputs!$G$5:$G$170="moeda")+(Inputs!$G$5:$G$170="acoes"))*Inputs!$B$1+((Inputs!$G$5:$G$170&lt;&gt;"moeda")*(Inputs!$G$5:$G$170&lt;&gt;"acoes")))*INDEX(Inputs!$K$5:$AJ$170,0,MATCH(L$2,Inputs!$K$4:$AJ$4,0)))+SUMPRODUCT((Inputs!$C$5:$C$170=$B36)*Inputs!$D$5:$D$170*(((Inputs!$G$5:$G$170="moeda")+(Inputs!$G$5:$G$170="acoes"))*Inputs!$B$1+((Inputs!$G$5:$G$170&lt;&gt;"moeda")*(Inputs!$G$5:$G$170&lt;&gt;"acoes")))*INDEX(Inputs!$K$5:$AJ$170,0,MATCH(L$2,Inputs!$K$4:$AJ$4,0)))+SUMPRODUCT((Inputs!$E$5:$E$170=$B36)*Inputs!$F$5:$F$170*(((Inputs!$G$5:$G$170="moeda")+(Inputs!$G$5:$G$170="acoes"))*Inputs!$B$1+((Inputs!$G$5:$G$170&lt;&gt;"moeda")*(Inputs!$G$5:$G$170&lt;&gt;"acoes")))*INDEX(Inputs!$K$5:$AJ$170,0,MATCH(L$2,Inputs!$K$4:$AJ$4,0)))))</f>
        <v>336.068</v>
      </c>
      <c r="M36" s="3">
        <f>L36</f>
        <v>336.068</v>
      </c>
      <c r="N36" s="6">
        <f>IF(ISNA(MATCH(N$2,Inputs!$K$4:$AJ$4,0)),NA(),IF(SUMPRODUCT((Inputs!$A$5:$A$170=$B36)*ISNUMBER(INDEX(Inputs!$K$5:$AJ$170,0,MATCH(N$2,Inputs!$K$4:$AJ$4,0))))+SUMPRODUCT((Inputs!$C$5:$C$170=$B36)*ISNUMBER(INDEX(Inputs!$K$5:$AJ$170,0,MATCH(N$2,Inputs!$K$4:$AJ$4,0))))+SUMPRODUCT((Inputs!$E$5:$E$170=$B36)*ISNUMBER(INDEX(Inputs!$K$5:$AJ$170,0,MATCH(N$2,Inputs!$K$4:$AJ$4,0))))=0,NA(),SUMPRODUCT((Inputs!$A$5:$A$170=$B36)*Inputs!$B$5:$B$170*(((Inputs!$G$5:$G$170="moeda")+(Inputs!$G$5:$G$170="acoes"))*Inputs!$B$1+((Inputs!$G$5:$G$170&lt;&gt;"moeda")*(Inputs!$G$5:$G$170&lt;&gt;"acoes")))*INDEX(Inputs!$K$5:$AJ$170,0,MATCH(N$2,Inputs!$K$4:$AJ$4,0)))+SUMPRODUCT((Inputs!$C$5:$C$170=$B36)*Inputs!$D$5:$D$170*(((Inputs!$G$5:$G$170="moeda")+(Inputs!$G$5:$G$170="acoes"))*Inputs!$B$1+((Inputs!$G$5:$G$170&lt;&gt;"moeda")*(Inputs!$G$5:$G$170&lt;&gt;"acoes")))*INDEX(Inputs!$K$5:$AJ$170,0,MATCH(N$2,Inputs!$K$4:$AJ$4,0)))+SUMPRODUCT((Inputs!$E$5:$E$170=$B36)*Inputs!$F$5:$F$170*(((Inputs!$G$5:$G$170="moeda")+(Inputs!$G$5:$G$170="acoes"))*Inputs!$B$1+((Inputs!$G$5:$G$170&lt;&gt;"moeda")*(Inputs!$G$5:$G$170&lt;&gt;"acoes")))*INDEX(Inputs!$K$5:$AJ$170,0,MATCH(N$2,Inputs!$K$4:$AJ$4,0)))))</f>
        <v>310.644</v>
      </c>
      <c r="O36" s="6">
        <f>IF(ISNA(MATCH(O$2,Inputs!$K$4:$AJ$4,0)),NA(),IF(SUMPRODUCT((Inputs!$A$5:$A$170=$B36)*ISNUMBER(INDEX(Inputs!$K$5:$AJ$170,0,MATCH(O$2,Inputs!$K$4:$AJ$4,0))))+SUMPRODUCT((Inputs!$C$5:$C$170=$B36)*ISNUMBER(INDEX(Inputs!$K$5:$AJ$170,0,MATCH(O$2,Inputs!$K$4:$AJ$4,0))))+SUMPRODUCT((Inputs!$E$5:$E$170=$B36)*ISNUMBER(INDEX(Inputs!$K$5:$AJ$170,0,MATCH(O$2,Inputs!$K$4:$AJ$4,0))))=0,NA(),SUMPRODUCT((Inputs!$A$5:$A$170=$B36)*Inputs!$B$5:$B$170*(((Inputs!$G$5:$G$170="moeda")+(Inputs!$G$5:$G$170="acoes"))*Inputs!$B$1+((Inputs!$G$5:$G$170&lt;&gt;"moeda")*(Inputs!$G$5:$G$170&lt;&gt;"acoes")))*INDEX(Inputs!$K$5:$AJ$170,0,MATCH(O$2,Inputs!$K$4:$AJ$4,0)))+SUMPRODUCT((Inputs!$C$5:$C$170=$B36)*Inputs!$D$5:$D$170*(((Inputs!$G$5:$G$170="moeda")+(Inputs!$G$5:$G$170="acoes"))*Inputs!$B$1+((Inputs!$G$5:$G$170&lt;&gt;"moeda")*(Inputs!$G$5:$G$170&lt;&gt;"acoes")))*INDEX(Inputs!$K$5:$AJ$170,0,MATCH(O$2,Inputs!$K$4:$AJ$4,0)))+SUMPRODUCT((Inputs!$E$5:$E$170=$B36)*Inputs!$F$5:$F$170*(((Inputs!$G$5:$G$170="moeda")+(Inputs!$G$5:$G$170="acoes"))*Inputs!$B$1+((Inputs!$G$5:$G$170&lt;&gt;"moeda")*(Inputs!$G$5:$G$170&lt;&gt;"acoes")))*INDEX(Inputs!$K$5:$AJ$170,0,MATCH(O$2,Inputs!$K$4:$AJ$4,0)))))</f>
        <v>306.138</v>
      </c>
      <c r="P36" s="6">
        <f>IF(ISNA(MATCH(P$2,Inputs!$K$4:$AJ$4,0)),NA(),IF(SUMPRODUCT((Inputs!$A$5:$A$170=$B36)*ISNUMBER(INDEX(Inputs!$K$5:$AJ$170,0,MATCH(P$2,Inputs!$K$4:$AJ$4,0))))+SUMPRODUCT((Inputs!$C$5:$C$170=$B36)*ISNUMBER(INDEX(Inputs!$K$5:$AJ$170,0,MATCH(P$2,Inputs!$K$4:$AJ$4,0))))+SUMPRODUCT((Inputs!$E$5:$E$170=$B36)*ISNUMBER(INDEX(Inputs!$K$5:$AJ$170,0,MATCH(P$2,Inputs!$K$4:$AJ$4,0))))=0,NA(),SUMPRODUCT((Inputs!$A$5:$A$170=$B36)*Inputs!$B$5:$B$170*(((Inputs!$G$5:$G$170="moeda")+(Inputs!$G$5:$G$170="acoes"))*Inputs!$B$1+((Inputs!$G$5:$G$170&lt;&gt;"moeda")*(Inputs!$G$5:$G$170&lt;&gt;"acoes")))*INDEX(Inputs!$K$5:$AJ$170,0,MATCH(P$2,Inputs!$K$4:$AJ$4,0)))+SUMPRODUCT((Inputs!$C$5:$C$170=$B36)*Inputs!$D$5:$D$170*(((Inputs!$G$5:$G$170="moeda")+(Inputs!$G$5:$G$170="acoes"))*Inputs!$B$1+((Inputs!$G$5:$G$170&lt;&gt;"moeda")*(Inputs!$G$5:$G$170&lt;&gt;"acoes")))*INDEX(Inputs!$K$5:$AJ$170,0,MATCH(P$2,Inputs!$K$4:$AJ$4,0)))+SUMPRODUCT((Inputs!$E$5:$E$170=$B36)*Inputs!$F$5:$F$170*(((Inputs!$G$5:$G$170="moeda")+(Inputs!$G$5:$G$170="acoes"))*Inputs!$B$1+((Inputs!$G$5:$G$170&lt;&gt;"moeda")*(Inputs!$G$5:$G$170&lt;&gt;"acoes")))*INDEX(Inputs!$K$5:$AJ$170,0,MATCH(P$2,Inputs!$K$4:$AJ$4,0)))))</f>
        <v>341.102</v>
      </c>
      <c r="Q36" s="6">
        <f>IF(ISNA(MATCH(Q$2,Inputs!$K$4:$AJ$4,0)),NA(),IF(SUMPRODUCT((Inputs!$A$5:$A$170=$B36)*ISNUMBER(INDEX(Inputs!$K$5:$AJ$170,0,MATCH(Q$2,Inputs!$K$4:$AJ$4,0))))+SUMPRODUCT((Inputs!$C$5:$C$170=$B36)*ISNUMBER(INDEX(Inputs!$K$5:$AJ$170,0,MATCH(Q$2,Inputs!$K$4:$AJ$4,0))))+SUMPRODUCT((Inputs!$E$5:$E$170=$B36)*ISNUMBER(INDEX(Inputs!$K$5:$AJ$170,0,MATCH(Q$2,Inputs!$K$4:$AJ$4,0))))=0,NA(),SUMPRODUCT((Inputs!$A$5:$A$170=$B36)*Inputs!$B$5:$B$170*(((Inputs!$G$5:$G$170="moeda")+(Inputs!$G$5:$G$170="acoes"))*Inputs!$B$1+((Inputs!$G$5:$G$170&lt;&gt;"moeda")*(Inputs!$G$5:$G$170&lt;&gt;"acoes")))*INDEX(Inputs!$K$5:$AJ$170,0,MATCH(Q$2,Inputs!$K$4:$AJ$4,0)))+SUMPRODUCT((Inputs!$C$5:$C$170=$B36)*Inputs!$D$5:$D$170*(((Inputs!$G$5:$G$170="moeda")+(Inputs!$G$5:$G$170="acoes"))*Inputs!$B$1+((Inputs!$G$5:$G$170&lt;&gt;"moeda")*(Inputs!$G$5:$G$170&lt;&gt;"acoes")))*INDEX(Inputs!$K$5:$AJ$170,0,MATCH(Q$2,Inputs!$K$4:$AJ$4,0)))+SUMPRODUCT((Inputs!$E$5:$E$170=$B36)*Inputs!$F$5:$F$170*(((Inputs!$G$5:$G$170="moeda")+(Inputs!$G$5:$G$170="acoes"))*Inputs!$B$1+((Inputs!$G$5:$G$170&lt;&gt;"moeda")*(Inputs!$G$5:$G$170&lt;&gt;"acoes")))*INDEX(Inputs!$K$5:$AJ$170,0,MATCH(Q$2,Inputs!$K$4:$AJ$4,0)))))</f>
        <v>336.4</v>
      </c>
      <c r="R36" s="3">
        <f>Q36</f>
        <v>336.4</v>
      </c>
      <c r="S36" s="6">
        <f>IF(ISNA(MATCH(S$2,Inputs!$K$4:$AJ$4,0)),NA(),IF(SUMPRODUCT((Inputs!$A$5:$A$170=$B36)*ISNUMBER(INDEX(Inputs!$K$5:$AJ$170,0,MATCH(S$2,Inputs!$K$4:$AJ$4,0))))+SUMPRODUCT((Inputs!$C$5:$C$170=$B36)*ISNUMBER(INDEX(Inputs!$K$5:$AJ$170,0,MATCH(S$2,Inputs!$K$4:$AJ$4,0))))+SUMPRODUCT((Inputs!$E$5:$E$170=$B36)*ISNUMBER(INDEX(Inputs!$K$5:$AJ$170,0,MATCH(S$2,Inputs!$K$4:$AJ$4,0))))=0,NA(),SUMPRODUCT((Inputs!$A$5:$A$170=$B36)*Inputs!$B$5:$B$170*(((Inputs!$G$5:$G$170="moeda")+(Inputs!$G$5:$G$170="acoes"))*Inputs!$B$1+((Inputs!$G$5:$G$170&lt;&gt;"moeda")*(Inputs!$G$5:$G$170&lt;&gt;"acoes")))*INDEX(Inputs!$K$5:$AJ$170,0,MATCH(S$2,Inputs!$K$4:$AJ$4,0)))+SUMPRODUCT((Inputs!$C$5:$C$170=$B36)*Inputs!$D$5:$D$170*(((Inputs!$G$5:$G$170="moeda")+(Inputs!$G$5:$G$170="acoes"))*Inputs!$B$1+((Inputs!$G$5:$G$170&lt;&gt;"moeda")*(Inputs!$G$5:$G$170&lt;&gt;"acoes")))*INDEX(Inputs!$K$5:$AJ$170,0,MATCH(S$2,Inputs!$K$4:$AJ$4,0)))+SUMPRODUCT((Inputs!$E$5:$E$170=$B36)*Inputs!$F$5:$F$170*(((Inputs!$G$5:$G$170="moeda")+(Inputs!$G$5:$G$170="acoes"))*Inputs!$B$1+((Inputs!$G$5:$G$170&lt;&gt;"moeda")*(Inputs!$G$5:$G$170&lt;&gt;"acoes")))*INDEX(Inputs!$K$5:$AJ$170,0,MATCH(S$2,Inputs!$K$4:$AJ$4,0)))))</f>
        <v>328.396</v>
      </c>
      <c r="T36" s="6">
        <f>IF(ISNA(MATCH(T$2,Inputs!$K$4:$AJ$4,0)),NA(),IF(SUMPRODUCT((Inputs!$A$5:$A$170=$B36)*ISNUMBER(INDEX(Inputs!$K$5:$AJ$170,0,MATCH(T$2,Inputs!$K$4:$AJ$4,0))))+SUMPRODUCT((Inputs!$C$5:$C$170=$B36)*ISNUMBER(INDEX(Inputs!$K$5:$AJ$170,0,MATCH(T$2,Inputs!$K$4:$AJ$4,0))))+SUMPRODUCT((Inputs!$E$5:$E$170=$B36)*ISNUMBER(INDEX(Inputs!$K$5:$AJ$170,0,MATCH(T$2,Inputs!$K$4:$AJ$4,0))))=0,NA(),SUMPRODUCT((Inputs!$A$5:$A$170=$B36)*Inputs!$B$5:$B$170*(((Inputs!$G$5:$G$170="moeda")+(Inputs!$G$5:$G$170="acoes"))*Inputs!$B$1+((Inputs!$G$5:$G$170&lt;&gt;"moeda")*(Inputs!$G$5:$G$170&lt;&gt;"acoes")))*INDEX(Inputs!$K$5:$AJ$170,0,MATCH(T$2,Inputs!$K$4:$AJ$4,0)))+SUMPRODUCT((Inputs!$C$5:$C$170=$B36)*Inputs!$D$5:$D$170*(((Inputs!$G$5:$G$170="moeda")+(Inputs!$G$5:$G$170="acoes"))*Inputs!$B$1+((Inputs!$G$5:$G$170&lt;&gt;"moeda")*(Inputs!$G$5:$G$170&lt;&gt;"acoes")))*INDEX(Inputs!$K$5:$AJ$170,0,MATCH(T$2,Inputs!$K$4:$AJ$4,0)))+SUMPRODUCT((Inputs!$E$5:$E$170=$B36)*Inputs!$F$5:$F$170*(((Inputs!$G$5:$G$170="moeda")+(Inputs!$G$5:$G$170="acoes"))*Inputs!$B$1+((Inputs!$G$5:$G$170&lt;&gt;"moeda")*(Inputs!$G$5:$G$170&lt;&gt;"acoes")))*INDEX(Inputs!$K$5:$AJ$170,0,MATCH(T$2,Inputs!$K$4:$AJ$4,0)))))</f>
        <v>325.94</v>
      </c>
      <c r="U36" s="6">
        <f>IF(ISNA(MATCH(U$2,Inputs!$K$4:$AJ$4,0)),NA(),IF(SUMPRODUCT((Inputs!$A$5:$A$170=$B36)*ISNUMBER(INDEX(Inputs!$K$5:$AJ$170,0,MATCH(U$2,Inputs!$K$4:$AJ$4,0))))+SUMPRODUCT((Inputs!$C$5:$C$170=$B36)*ISNUMBER(INDEX(Inputs!$K$5:$AJ$170,0,MATCH(U$2,Inputs!$K$4:$AJ$4,0))))+SUMPRODUCT((Inputs!$E$5:$E$170=$B36)*ISNUMBER(INDEX(Inputs!$K$5:$AJ$170,0,MATCH(U$2,Inputs!$K$4:$AJ$4,0))))=0,NA(),SUMPRODUCT((Inputs!$A$5:$A$170=$B36)*Inputs!$B$5:$B$170*(((Inputs!$G$5:$G$170="moeda")+(Inputs!$G$5:$G$170="acoes"))*Inputs!$B$1+((Inputs!$G$5:$G$170&lt;&gt;"moeda")*(Inputs!$G$5:$G$170&lt;&gt;"acoes")))*INDEX(Inputs!$K$5:$AJ$170,0,MATCH(U$2,Inputs!$K$4:$AJ$4,0)))+SUMPRODUCT((Inputs!$C$5:$C$170=$B36)*Inputs!$D$5:$D$170*(((Inputs!$G$5:$G$170="moeda")+(Inputs!$G$5:$G$170="acoes"))*Inputs!$B$1+((Inputs!$G$5:$G$170&lt;&gt;"moeda")*(Inputs!$G$5:$G$170&lt;&gt;"acoes")))*INDEX(Inputs!$K$5:$AJ$170,0,MATCH(U$2,Inputs!$K$4:$AJ$4,0)))+SUMPRODUCT((Inputs!$E$5:$E$170=$B36)*Inputs!$F$5:$F$170*(((Inputs!$G$5:$G$170="moeda")+(Inputs!$G$5:$G$170="acoes"))*Inputs!$B$1+((Inputs!$G$5:$G$170&lt;&gt;"moeda")*(Inputs!$G$5:$G$170&lt;&gt;"acoes")))*INDEX(Inputs!$K$5:$AJ$170,0,MATCH(U$2,Inputs!$K$4:$AJ$4,0)))))</f>
        <v>388.496</v>
      </c>
      <c r="V36" s="6">
        <f>IF(ISNA(MATCH(V$2,Inputs!$K$4:$AJ$4,0)),NA(),IF(SUMPRODUCT((Inputs!$A$5:$A$170=$B36)*ISNUMBER(INDEX(Inputs!$K$5:$AJ$170,0,MATCH(V$2,Inputs!$K$4:$AJ$4,0))))+SUMPRODUCT((Inputs!$C$5:$C$170=$B36)*ISNUMBER(INDEX(Inputs!$K$5:$AJ$170,0,MATCH(V$2,Inputs!$K$4:$AJ$4,0))))+SUMPRODUCT((Inputs!$E$5:$E$170=$B36)*ISNUMBER(INDEX(Inputs!$K$5:$AJ$170,0,MATCH(V$2,Inputs!$K$4:$AJ$4,0))))=0,NA(),SUMPRODUCT((Inputs!$A$5:$A$170=$B36)*Inputs!$B$5:$B$170*(((Inputs!$G$5:$G$170="moeda")+(Inputs!$G$5:$G$170="acoes"))*Inputs!$B$1+((Inputs!$G$5:$G$170&lt;&gt;"moeda")*(Inputs!$G$5:$G$170&lt;&gt;"acoes")))*INDEX(Inputs!$K$5:$AJ$170,0,MATCH(V$2,Inputs!$K$4:$AJ$4,0)))+SUMPRODUCT((Inputs!$C$5:$C$170=$B36)*Inputs!$D$5:$D$170*(((Inputs!$G$5:$G$170="moeda")+(Inputs!$G$5:$G$170="acoes"))*Inputs!$B$1+((Inputs!$G$5:$G$170&lt;&gt;"moeda")*(Inputs!$G$5:$G$170&lt;&gt;"acoes")))*INDEX(Inputs!$K$5:$AJ$170,0,MATCH(V$2,Inputs!$K$4:$AJ$4,0)))+SUMPRODUCT((Inputs!$E$5:$E$170=$B36)*Inputs!$F$5:$F$170*(((Inputs!$G$5:$G$170="moeda")+(Inputs!$G$5:$G$170="acoes"))*Inputs!$B$1+((Inputs!$G$5:$G$170&lt;&gt;"moeda")*(Inputs!$G$5:$G$170&lt;&gt;"acoes")))*INDEX(Inputs!$K$5:$AJ$170,0,MATCH(V$2,Inputs!$K$4:$AJ$4,0)))))</f>
        <v>414.895</v>
      </c>
      <c r="W36" s="3">
        <f>V36</f>
        <v>414.895</v>
      </c>
      <c r="X36" s="6">
        <f>IF(ISNA(MATCH(X$2,Inputs!$K$4:$AJ$4,0)),NA(),IF(SUMPRODUCT((Inputs!$A$5:$A$170=$B36)*ISNUMBER(INDEX(Inputs!$K$5:$AJ$170,0,MATCH(X$2,Inputs!$K$4:$AJ$4,0))))+SUMPRODUCT((Inputs!$C$5:$C$170=$B36)*ISNUMBER(INDEX(Inputs!$K$5:$AJ$170,0,MATCH(X$2,Inputs!$K$4:$AJ$4,0))))+SUMPRODUCT((Inputs!$E$5:$E$170=$B36)*ISNUMBER(INDEX(Inputs!$K$5:$AJ$170,0,MATCH(X$2,Inputs!$K$4:$AJ$4,0))))=0,NA(),SUMPRODUCT((Inputs!$A$5:$A$170=$B36)*Inputs!$B$5:$B$170*(((Inputs!$G$5:$G$170="moeda")+(Inputs!$G$5:$G$170="acoes"))*Inputs!$B$1+((Inputs!$G$5:$G$170&lt;&gt;"moeda")*(Inputs!$G$5:$G$170&lt;&gt;"acoes")))*INDEX(Inputs!$K$5:$AJ$170,0,MATCH(X$2,Inputs!$K$4:$AJ$4,0)))+SUMPRODUCT((Inputs!$C$5:$C$170=$B36)*Inputs!$D$5:$D$170*(((Inputs!$G$5:$G$170="moeda")+(Inputs!$G$5:$G$170="acoes"))*Inputs!$B$1+((Inputs!$G$5:$G$170&lt;&gt;"moeda")*(Inputs!$G$5:$G$170&lt;&gt;"acoes")))*INDEX(Inputs!$K$5:$AJ$170,0,MATCH(X$2,Inputs!$K$4:$AJ$4,0)))+SUMPRODUCT((Inputs!$E$5:$E$170=$B36)*Inputs!$F$5:$F$170*(((Inputs!$G$5:$G$170="moeda")+(Inputs!$G$5:$G$170="acoes"))*Inputs!$B$1+((Inputs!$G$5:$G$170&lt;&gt;"moeda")*(Inputs!$G$5:$G$170&lt;&gt;"acoes")))*INDEX(Inputs!$K$5:$AJ$170,0,MATCH(X$2,Inputs!$K$4:$AJ$4,0)))))</f>
        <v>479.603</v>
      </c>
      <c r="Y36" s="6">
        <f>IF(ISNA(MATCH(Y$2,Inputs!$K$4:$AJ$4,0)),NA(),IF(SUMPRODUCT((Inputs!$A$5:$A$170=$B36)*ISNUMBER(INDEX(Inputs!$K$5:$AJ$170,0,MATCH(Y$2,Inputs!$K$4:$AJ$4,0))))+SUMPRODUCT((Inputs!$C$5:$C$170=$B36)*ISNUMBER(INDEX(Inputs!$K$5:$AJ$170,0,MATCH(Y$2,Inputs!$K$4:$AJ$4,0))))+SUMPRODUCT((Inputs!$E$5:$E$170=$B36)*ISNUMBER(INDEX(Inputs!$K$5:$AJ$170,0,MATCH(Y$2,Inputs!$K$4:$AJ$4,0))))=0,NA(),SUMPRODUCT((Inputs!$A$5:$A$170=$B36)*Inputs!$B$5:$B$170*(((Inputs!$G$5:$G$170="moeda")+(Inputs!$G$5:$G$170="acoes"))*Inputs!$B$1+((Inputs!$G$5:$G$170&lt;&gt;"moeda")*(Inputs!$G$5:$G$170&lt;&gt;"acoes")))*INDEX(Inputs!$K$5:$AJ$170,0,MATCH(Y$2,Inputs!$K$4:$AJ$4,0)))+SUMPRODUCT((Inputs!$C$5:$C$170=$B36)*Inputs!$D$5:$D$170*(((Inputs!$G$5:$G$170="moeda")+(Inputs!$G$5:$G$170="acoes"))*Inputs!$B$1+((Inputs!$G$5:$G$170&lt;&gt;"moeda")*(Inputs!$G$5:$G$170&lt;&gt;"acoes")))*INDEX(Inputs!$K$5:$AJ$170,0,MATCH(Y$2,Inputs!$K$4:$AJ$4,0)))+SUMPRODUCT((Inputs!$E$5:$E$170=$B36)*Inputs!$F$5:$F$170*(((Inputs!$G$5:$G$170="moeda")+(Inputs!$G$5:$G$170="acoes"))*Inputs!$B$1+((Inputs!$G$5:$G$170&lt;&gt;"moeda")*(Inputs!$G$5:$G$170&lt;&gt;"acoes")))*INDEX(Inputs!$K$5:$AJ$170,0,MATCH(Y$2,Inputs!$K$4:$AJ$4,0)))))</f>
        <v>500.576</v>
      </c>
      <c r="Z36" s="6">
        <f>IF(ISNA(MATCH(Z$2,Inputs!$K$4:$AJ$4,0)),NA(),IF(SUMPRODUCT((Inputs!$A$5:$A$170=$B36)*ISNUMBER(INDEX(Inputs!$K$5:$AJ$170,0,MATCH(Z$2,Inputs!$K$4:$AJ$4,0))))+SUMPRODUCT((Inputs!$C$5:$C$170=$B36)*ISNUMBER(INDEX(Inputs!$K$5:$AJ$170,0,MATCH(Z$2,Inputs!$K$4:$AJ$4,0))))+SUMPRODUCT((Inputs!$E$5:$E$170=$B36)*ISNUMBER(INDEX(Inputs!$K$5:$AJ$170,0,MATCH(Z$2,Inputs!$K$4:$AJ$4,0))))=0,NA(),SUMPRODUCT((Inputs!$A$5:$A$170=$B36)*Inputs!$B$5:$B$170*(((Inputs!$G$5:$G$170="moeda")+(Inputs!$G$5:$G$170="acoes"))*Inputs!$B$1+((Inputs!$G$5:$G$170&lt;&gt;"moeda")*(Inputs!$G$5:$G$170&lt;&gt;"acoes")))*INDEX(Inputs!$K$5:$AJ$170,0,MATCH(Z$2,Inputs!$K$4:$AJ$4,0)))+SUMPRODUCT((Inputs!$C$5:$C$170=$B36)*Inputs!$D$5:$D$170*(((Inputs!$G$5:$G$170="moeda")+(Inputs!$G$5:$G$170="acoes"))*Inputs!$B$1+((Inputs!$G$5:$G$170&lt;&gt;"moeda")*(Inputs!$G$5:$G$170&lt;&gt;"acoes")))*INDEX(Inputs!$K$5:$AJ$170,0,MATCH(Z$2,Inputs!$K$4:$AJ$4,0)))+SUMPRODUCT((Inputs!$E$5:$E$170=$B36)*Inputs!$F$5:$F$170*(((Inputs!$G$5:$G$170="moeda")+(Inputs!$G$5:$G$170="acoes"))*Inputs!$B$1+((Inputs!$G$5:$G$170&lt;&gt;"moeda")*(Inputs!$G$5:$G$170&lt;&gt;"acoes")))*INDEX(Inputs!$K$5:$AJ$170,0,MATCH(Z$2,Inputs!$K$4:$AJ$4,0)))))</f>
        <v>510.209</v>
      </c>
      <c r="AA36" s="6">
        <f>IF(ISNA(MATCH(AA$2,Inputs!$K$4:$AJ$4,0)),NA(),IF(SUMPRODUCT((Inputs!$A$5:$A$170=$B36)*ISNUMBER(INDEX(Inputs!$K$5:$AJ$170,0,MATCH(AA$2,Inputs!$K$4:$AJ$4,0))))+SUMPRODUCT((Inputs!$C$5:$C$170=$B36)*ISNUMBER(INDEX(Inputs!$K$5:$AJ$170,0,MATCH(AA$2,Inputs!$K$4:$AJ$4,0))))+SUMPRODUCT((Inputs!$E$5:$E$170=$B36)*ISNUMBER(INDEX(Inputs!$K$5:$AJ$170,0,MATCH(AA$2,Inputs!$K$4:$AJ$4,0))))=0,NA(),SUMPRODUCT((Inputs!$A$5:$A$170=$B36)*Inputs!$B$5:$B$170*(((Inputs!$G$5:$G$170="moeda")+(Inputs!$G$5:$G$170="acoes"))*Inputs!$B$1+((Inputs!$G$5:$G$170&lt;&gt;"moeda")*(Inputs!$G$5:$G$170&lt;&gt;"acoes")))*INDEX(Inputs!$K$5:$AJ$170,0,MATCH(AA$2,Inputs!$K$4:$AJ$4,0)))+SUMPRODUCT((Inputs!$C$5:$C$170=$B36)*Inputs!$D$5:$D$170*(((Inputs!$G$5:$G$170="moeda")+(Inputs!$G$5:$G$170="acoes"))*Inputs!$B$1+((Inputs!$G$5:$G$170&lt;&gt;"moeda")*(Inputs!$G$5:$G$170&lt;&gt;"acoes")))*INDEX(Inputs!$K$5:$AJ$170,0,MATCH(AA$2,Inputs!$K$4:$AJ$4,0)))+SUMPRODUCT((Inputs!$E$5:$E$170=$B36)*Inputs!$F$5:$F$170*(((Inputs!$G$5:$G$170="moeda")+(Inputs!$G$5:$G$170="acoes"))*Inputs!$B$1+((Inputs!$G$5:$G$170&lt;&gt;"moeda")*(Inputs!$G$5:$G$170&lt;&gt;"acoes")))*INDEX(Inputs!$K$5:$AJ$170,0,MATCH(AA$2,Inputs!$K$4:$AJ$4,0)))))</f>
        <v>511.61</v>
      </c>
      <c r="AB36" s="3">
        <f>AA36</f>
        <v>511.61</v>
      </c>
      <c r="AC36" s="6">
        <f>IF(ISNA(MATCH(AC$2,Inputs!$K$4:$AJ$4,0)),NA(),IF(SUMPRODUCT((Inputs!$A$5:$A$170=$B36)*ISNUMBER(INDEX(Inputs!$K$5:$AJ$170,0,MATCH(AC$2,Inputs!$K$4:$AJ$4,0))))+SUMPRODUCT((Inputs!$C$5:$C$170=$B36)*ISNUMBER(INDEX(Inputs!$K$5:$AJ$170,0,MATCH(AC$2,Inputs!$K$4:$AJ$4,0))))+SUMPRODUCT((Inputs!$E$5:$E$170=$B36)*ISNUMBER(INDEX(Inputs!$K$5:$AJ$170,0,MATCH(AC$2,Inputs!$K$4:$AJ$4,0))))=0,NA(),SUMPRODUCT((Inputs!$A$5:$A$170=$B36)*Inputs!$B$5:$B$170*(((Inputs!$G$5:$G$170="moeda")+(Inputs!$G$5:$G$170="acoes"))*Inputs!$B$1+((Inputs!$G$5:$G$170&lt;&gt;"moeda")*(Inputs!$G$5:$G$170&lt;&gt;"acoes")))*INDEX(Inputs!$K$5:$AJ$170,0,MATCH(AC$2,Inputs!$K$4:$AJ$4,0)))+SUMPRODUCT((Inputs!$C$5:$C$170=$B36)*Inputs!$D$5:$D$170*(((Inputs!$G$5:$G$170="moeda")+(Inputs!$G$5:$G$170="acoes"))*Inputs!$B$1+((Inputs!$G$5:$G$170&lt;&gt;"moeda")*(Inputs!$G$5:$G$170&lt;&gt;"acoes")))*INDEX(Inputs!$K$5:$AJ$170,0,MATCH(AC$2,Inputs!$K$4:$AJ$4,0)))+SUMPRODUCT((Inputs!$E$5:$E$170=$B36)*Inputs!$F$5:$F$170*(((Inputs!$G$5:$G$170="moeda")+(Inputs!$G$5:$G$170="acoes"))*Inputs!$B$1+((Inputs!$G$5:$G$170&lt;&gt;"moeda")*(Inputs!$G$5:$G$170&lt;&gt;"acoes")))*INDEX(Inputs!$K$5:$AJ$170,0,MATCH(AC$2,Inputs!$K$4:$AJ$4,0)))))</f>
        <v>494.532</v>
      </c>
      <c r="AD36" s="6">
        <f>IF(ISNA(MATCH(AD$2,Inputs!$K$4:$AJ$4,0)),NA(),IF(SUMPRODUCT((Inputs!$A$5:$A$170=$B36)*ISNUMBER(INDEX(Inputs!$K$5:$AJ$170,0,MATCH(AD$2,Inputs!$K$4:$AJ$4,0))))+SUMPRODUCT((Inputs!$C$5:$C$170=$B36)*ISNUMBER(INDEX(Inputs!$K$5:$AJ$170,0,MATCH(AD$2,Inputs!$K$4:$AJ$4,0))))+SUMPRODUCT((Inputs!$E$5:$E$170=$B36)*ISNUMBER(INDEX(Inputs!$K$5:$AJ$170,0,MATCH(AD$2,Inputs!$K$4:$AJ$4,0))))=0,NA(),SUMPRODUCT((Inputs!$A$5:$A$170=$B36)*Inputs!$B$5:$B$170*(((Inputs!$G$5:$G$170="moeda")+(Inputs!$G$5:$G$170="acoes"))*Inputs!$B$1+((Inputs!$G$5:$G$170&lt;&gt;"moeda")*(Inputs!$G$5:$G$170&lt;&gt;"acoes")))*INDEX(Inputs!$K$5:$AJ$170,0,MATCH(AD$2,Inputs!$K$4:$AJ$4,0)))+SUMPRODUCT((Inputs!$C$5:$C$170=$B36)*Inputs!$D$5:$D$170*(((Inputs!$G$5:$G$170="moeda")+(Inputs!$G$5:$G$170="acoes"))*Inputs!$B$1+((Inputs!$G$5:$G$170&lt;&gt;"moeda")*(Inputs!$G$5:$G$170&lt;&gt;"acoes")))*INDEX(Inputs!$K$5:$AJ$170,0,MATCH(AD$2,Inputs!$K$4:$AJ$4,0)))+SUMPRODUCT((Inputs!$E$5:$E$170=$B36)*Inputs!$F$5:$F$170*(((Inputs!$G$5:$G$170="moeda")+(Inputs!$G$5:$G$170="acoes"))*Inputs!$B$1+((Inputs!$G$5:$G$170&lt;&gt;"moeda")*(Inputs!$G$5:$G$170&lt;&gt;"acoes")))*INDEX(Inputs!$K$5:$AJ$170,0,MATCH(AD$2,Inputs!$K$4:$AJ$4,0)))))</f>
        <v>501.706</v>
      </c>
      <c r="AE36" s="6" t="e">
        <f>IF(ISNA(MATCH(AE$2,Inputs!$K$4:$AJ$4,0)),NA(),IF(SUMPRODUCT((Inputs!$A$5:$A$170=$B36)*ISNUMBER(INDEX(Inputs!$K$5:$AJ$170,0,MATCH(AE$2,Inputs!$K$4:$AJ$4,0))))+SUMPRODUCT((Inputs!$C$5:$C$170=$B36)*ISNUMBER(INDEX(Inputs!$K$5:$AJ$170,0,MATCH(AE$2,Inputs!$K$4:$AJ$4,0))))+SUMPRODUCT((Inputs!$E$5:$E$170=$B36)*ISNUMBER(INDEX(Inputs!$K$5:$AJ$170,0,MATCH(AE$2,Inputs!$K$4:$AJ$4,0))))=0,NA(),SUMPRODUCT((Inputs!$A$5:$A$170=$B36)*Inputs!$B$5:$B$170*(((Inputs!$G$5:$G$170="moeda")+(Inputs!$G$5:$G$170="acoes"))*Inputs!$B$1+((Inputs!$G$5:$G$170&lt;&gt;"moeda")*(Inputs!$G$5:$G$170&lt;&gt;"acoes")))*INDEX(Inputs!$K$5:$AJ$170,0,MATCH(AE$2,Inputs!$K$4:$AJ$4,0)))+SUMPRODUCT((Inputs!$C$5:$C$170=$B36)*Inputs!$D$5:$D$170*(((Inputs!$G$5:$G$170="moeda")+(Inputs!$G$5:$G$170="acoes"))*Inputs!$B$1+((Inputs!$G$5:$G$170&lt;&gt;"moeda")*(Inputs!$G$5:$G$170&lt;&gt;"acoes")))*INDEX(Inputs!$K$5:$AJ$170,0,MATCH(AE$2,Inputs!$K$4:$AJ$4,0)))+SUMPRODUCT((Inputs!$E$5:$E$170=$B36)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6" s="6" t="e">
        <f>IF(ISNA(MATCH(AF$2,Inputs!$K$4:$AJ$4,0)),NA(),IF(SUMPRODUCT((Inputs!$A$5:$A$170=$B36)*ISNUMBER(INDEX(Inputs!$K$5:$AJ$170,0,MATCH(AF$2,Inputs!$K$4:$AJ$4,0))))+SUMPRODUCT((Inputs!$C$5:$C$170=$B36)*ISNUMBER(INDEX(Inputs!$K$5:$AJ$170,0,MATCH(AF$2,Inputs!$K$4:$AJ$4,0))))+SUMPRODUCT((Inputs!$E$5:$E$170=$B36)*ISNUMBER(INDEX(Inputs!$K$5:$AJ$170,0,MATCH(AF$2,Inputs!$K$4:$AJ$4,0))))=0,NA(),SUMPRODUCT((Inputs!$A$5:$A$170=$B36)*Inputs!$B$5:$B$170*(((Inputs!$G$5:$G$170="moeda")+(Inputs!$G$5:$G$170="acoes"))*Inputs!$B$1+((Inputs!$G$5:$G$170&lt;&gt;"moeda")*(Inputs!$G$5:$G$170&lt;&gt;"acoes")))*INDEX(Inputs!$K$5:$AJ$170,0,MATCH(AF$2,Inputs!$K$4:$AJ$4,0)))+SUMPRODUCT((Inputs!$C$5:$C$170=$B36)*Inputs!$D$5:$D$170*(((Inputs!$G$5:$G$170="moeda")+(Inputs!$G$5:$G$170="acoes"))*Inputs!$B$1+((Inputs!$G$5:$G$170&lt;&gt;"moeda")*(Inputs!$G$5:$G$170&lt;&gt;"acoes")))*INDEX(Inputs!$K$5:$AJ$170,0,MATCH(AF$2,Inputs!$K$4:$AJ$4,0)))+SUMPRODUCT((Inputs!$E$5:$E$170=$B36)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6" s="3" t="e">
        <f>AF36</f>
        <v>#N/A</v>
      </c>
      <c r="AH36" s="6">
        <f>IF(ISNA(MATCH(AH$2,Inputs!$K$4:$AJ$4,0)),NA(),IF(SUMPRODUCT((Inputs!$A$5:$A$170=$B36)*ISNUMBER(INDEX(Inputs!$K$5:$AJ$170,0,MATCH(AH$2,Inputs!$K$4:$AJ$4,0))))+SUMPRODUCT((Inputs!$C$5:$C$170=$B36)*ISNUMBER(INDEX(Inputs!$K$5:$AJ$170,0,MATCH(AH$2,Inputs!$K$4:$AJ$4,0))))+SUMPRODUCT((Inputs!$E$5:$E$170=$B36)*ISNUMBER(INDEX(Inputs!$K$5:$AJ$170,0,MATCH(AH$2,Inputs!$K$4:$AJ$4,0))))=0,NA(),SUMPRODUCT((Inputs!$A$5:$A$170=$B36)*Inputs!$B$5:$B$170*(((Inputs!$G$5:$G$170="moeda")+(Inputs!$G$5:$G$170="acoes"))*Inputs!$B$1+((Inputs!$G$5:$G$170&lt;&gt;"moeda")*(Inputs!$G$5:$G$170&lt;&gt;"acoes")))*INDEX(Inputs!$K$5:$AJ$170,0,MATCH(AH$2,Inputs!$K$4:$AJ$4,0)))+SUMPRODUCT((Inputs!$C$5:$C$170=$B36)*Inputs!$D$5:$D$170*(((Inputs!$G$5:$G$170="moeda")+(Inputs!$G$5:$G$170="acoes"))*Inputs!$B$1+((Inputs!$G$5:$G$170&lt;&gt;"moeda")*(Inputs!$G$5:$G$170&lt;&gt;"acoes")))*INDEX(Inputs!$K$5:$AJ$170,0,MATCH(AH$2,Inputs!$K$4:$AJ$4,0)))+SUMPRODUCT((Inputs!$E$5:$E$170=$B36)*Inputs!$F$5:$F$170*(((Inputs!$G$5:$G$170="moeda")+(Inputs!$G$5:$G$170="acoes"))*Inputs!$B$1+((Inputs!$G$5:$G$170&lt;&gt;"moeda")*(Inputs!$G$5:$G$170&lt;&gt;"acoes")))*INDEX(Inputs!$K$5:$AJ$170,0,MATCH(AH$2,Inputs!$K$4:$AJ$4,0)))))</f>
        <v>135.339</v>
      </c>
      <c r="AI36" s="6">
        <f>IF(ISNA(MATCH(AI$2,Inputs!$K$4:$AJ$4,0)),NA(),IF(SUMPRODUCT((Inputs!$A$5:$A$170=$B36)*ISNUMBER(INDEX(Inputs!$K$5:$AJ$170,0,MATCH(AI$2,Inputs!$K$4:$AJ$4,0))))+SUMPRODUCT((Inputs!$C$5:$C$170=$B36)*ISNUMBER(INDEX(Inputs!$K$5:$AJ$170,0,MATCH(AI$2,Inputs!$K$4:$AJ$4,0))))+SUMPRODUCT((Inputs!$E$5:$E$170=$B36)*ISNUMBER(INDEX(Inputs!$K$5:$AJ$170,0,MATCH(AI$2,Inputs!$K$4:$AJ$4,0))))=0,NA(),SUMPRODUCT((Inputs!$A$5:$A$170=$B36)*Inputs!$B$5:$B$170*(((Inputs!$G$5:$G$170="moeda")+(Inputs!$G$5:$G$170="acoes"))*Inputs!$B$1+((Inputs!$G$5:$G$170&lt;&gt;"moeda")*(Inputs!$G$5:$G$170&lt;&gt;"acoes")))*INDEX(Inputs!$K$5:$AJ$170,0,MATCH(AI$2,Inputs!$K$4:$AJ$4,0)))+SUMPRODUCT((Inputs!$C$5:$C$170=$B36)*Inputs!$D$5:$D$170*(((Inputs!$G$5:$G$170="moeda")+(Inputs!$G$5:$G$170="acoes"))*Inputs!$B$1+((Inputs!$G$5:$G$170&lt;&gt;"moeda")*(Inputs!$G$5:$G$170&lt;&gt;"acoes")))*INDEX(Inputs!$K$5:$AJ$170,0,MATCH(AI$2,Inputs!$K$4:$AJ$4,0)))+SUMPRODUCT((Inputs!$E$5:$E$170=$B36)*Inputs!$F$5:$F$170*(((Inputs!$G$5:$G$170="moeda")+(Inputs!$G$5:$G$170="acoes"))*Inputs!$B$1+((Inputs!$G$5:$G$170&lt;&gt;"moeda")*(Inputs!$G$5:$G$170&lt;&gt;"acoes")))*INDEX(Inputs!$K$5:$AJ$170,0,MATCH(AI$2,Inputs!$K$4:$AJ$4,0)))))</f>
        <v>127.662</v>
      </c>
      <c r="AJ36" s="6">
        <f>IF(ISNA(MATCH(AJ$2,Inputs!$K$4:$AJ$4,0)),NA(),IF(SUMPRODUCT((Inputs!$A$5:$A$170=$B36)*ISNUMBER(INDEX(Inputs!$K$5:$AJ$170,0,MATCH(AJ$2,Inputs!$K$4:$AJ$4,0))))+SUMPRODUCT((Inputs!$C$5:$C$170=$B36)*ISNUMBER(INDEX(Inputs!$K$5:$AJ$170,0,MATCH(AJ$2,Inputs!$K$4:$AJ$4,0))))+SUMPRODUCT((Inputs!$E$5:$E$170=$B36)*ISNUMBER(INDEX(Inputs!$K$5:$AJ$170,0,MATCH(AJ$2,Inputs!$K$4:$AJ$4,0))))=0,NA(),SUMPRODUCT((Inputs!$A$5:$A$170=$B36)*Inputs!$B$5:$B$170*(((Inputs!$G$5:$G$170="moeda")+(Inputs!$G$5:$G$170="acoes"))*Inputs!$B$1+((Inputs!$G$5:$G$170&lt;&gt;"moeda")*(Inputs!$G$5:$G$170&lt;&gt;"acoes")))*INDEX(Inputs!$K$5:$AJ$170,0,MATCH(AJ$2,Inputs!$K$4:$AJ$4,0)))+SUMPRODUCT((Inputs!$C$5:$C$170=$B36)*Inputs!$D$5:$D$170*(((Inputs!$G$5:$G$170="moeda")+(Inputs!$G$5:$G$170="acoes"))*Inputs!$B$1+((Inputs!$G$5:$G$170&lt;&gt;"moeda")*(Inputs!$G$5:$G$170&lt;&gt;"acoes")))*INDEX(Inputs!$K$5:$AJ$170,0,MATCH(AJ$2,Inputs!$K$4:$AJ$4,0)))+SUMPRODUCT((Inputs!$E$5:$E$170=$B36)*Inputs!$F$5:$F$170*(((Inputs!$G$5:$G$170="moeda")+(Inputs!$G$5:$G$170="acoes"))*Inputs!$B$1+((Inputs!$G$5:$G$170&lt;&gt;"moeda")*(Inputs!$G$5:$G$170&lt;&gt;"acoes")))*INDEX(Inputs!$K$5:$AJ$170,0,MATCH(AJ$2,Inputs!$K$4:$AJ$4,0)))))</f>
        <v>137.361</v>
      </c>
      <c r="AK36" s="6">
        <f>IF(ISNA(MATCH(AK$2,Inputs!$K$4:$AJ$4,0)),NA(),IF(SUMPRODUCT((Inputs!$A$5:$A$170=$B36)*ISNUMBER(INDEX(Inputs!$K$5:$AJ$170,0,MATCH(AK$2,Inputs!$K$4:$AJ$4,0))))+SUMPRODUCT((Inputs!$C$5:$C$170=$B36)*ISNUMBER(INDEX(Inputs!$K$5:$AJ$170,0,MATCH(AK$2,Inputs!$K$4:$AJ$4,0))))+SUMPRODUCT((Inputs!$E$5:$E$170=$B36)*ISNUMBER(INDEX(Inputs!$K$5:$AJ$170,0,MATCH(AK$2,Inputs!$K$4:$AJ$4,0))))=0,NA(),SUMPRODUCT((Inputs!$A$5:$A$170=$B36)*Inputs!$B$5:$B$170*(((Inputs!$G$5:$G$170="moeda")+(Inputs!$G$5:$G$170="acoes"))*Inputs!$B$1+((Inputs!$G$5:$G$170&lt;&gt;"moeda")*(Inputs!$G$5:$G$170&lt;&gt;"acoes")))*INDEX(Inputs!$K$5:$AJ$170,0,MATCH(AK$2,Inputs!$K$4:$AJ$4,0)))+SUMPRODUCT((Inputs!$C$5:$C$170=$B36)*Inputs!$D$5:$D$170*(((Inputs!$G$5:$G$170="moeda")+(Inputs!$G$5:$G$170="acoes"))*Inputs!$B$1+((Inputs!$G$5:$G$170&lt;&gt;"moeda")*(Inputs!$G$5:$G$170&lt;&gt;"acoes")))*INDEX(Inputs!$K$5:$AJ$170,0,MATCH(AK$2,Inputs!$K$4:$AJ$4,0)))+SUMPRODUCT((Inputs!$E$5:$E$170=$B36)*Inputs!$F$5:$F$170*(((Inputs!$G$5:$G$170="moeda")+(Inputs!$G$5:$G$170="acoes"))*Inputs!$B$1+((Inputs!$G$5:$G$170&lt;&gt;"moeda")*(Inputs!$G$5:$G$170&lt;&gt;"acoes")))*INDEX(Inputs!$K$5:$AJ$170,0,MATCH(AK$2,Inputs!$K$4:$AJ$4,0)))))</f>
        <v>128.552</v>
      </c>
      <c r="AL36" s="3">
        <f>AK36</f>
        <v>128.552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$170=$B37)*ISNUMBER(INDEX(Inputs!$K$5:$AJ$170,0,MATCH(D$2,Inputs!$K$4:$AJ$4,0))))+SUMPRODUCT((Inputs!$C$5:$C$170=$B37)*ISNUMBER(INDEX(Inputs!$K$5:$AJ$170,0,MATCH(D$2,Inputs!$K$4:$AJ$4,0))))+SUMPRODUCT((Inputs!$E$5:$E$170=$B37)*ISNUMBER(INDEX(Inputs!$K$5:$AJ$170,0,MATCH(D$2,Inputs!$K$4:$AJ$4,0))))=0,NA(),SUMPRODUCT((Inputs!$A$5:$A$170=$B37)*Inputs!$B$5:$B$170*(((Inputs!$G$5:$G$170="moeda")+(Inputs!$G$5:$G$170="acoes"))*Inputs!$B$1+((Inputs!$G$5:$G$170&lt;&gt;"moeda")*(Inputs!$G$5:$G$170&lt;&gt;"acoes")))*INDEX(Inputs!$K$5:$AJ$170,0,MATCH(D$2,Inputs!$K$4:$AJ$4,0)))+SUMPRODUCT((Inputs!$C$5:$C$170=$B37)*Inputs!$D$5:$D$170*(((Inputs!$G$5:$G$170="moeda")+(Inputs!$G$5:$G$170="acoes"))*Inputs!$B$1+((Inputs!$G$5:$G$170&lt;&gt;"moeda")*(Inputs!$G$5:$G$170&lt;&gt;"acoes")))*INDEX(Inputs!$K$5:$AJ$170,0,MATCH(D$2,Inputs!$K$4:$AJ$4,0)))+SUMPRODUCT((Inputs!$E$5:$E$170=$B37)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37" s="6" t="e">
        <f>IF(ISNA(MATCH(E$2,Inputs!$K$4:$AJ$4,0)),NA(),IF(SUMPRODUCT((Inputs!$A$5:$A$170=$B37)*ISNUMBER(INDEX(Inputs!$K$5:$AJ$170,0,MATCH(E$2,Inputs!$K$4:$AJ$4,0))))+SUMPRODUCT((Inputs!$C$5:$C$170=$B37)*ISNUMBER(INDEX(Inputs!$K$5:$AJ$170,0,MATCH(E$2,Inputs!$K$4:$AJ$4,0))))+SUMPRODUCT((Inputs!$E$5:$E$170=$B37)*ISNUMBER(INDEX(Inputs!$K$5:$AJ$170,0,MATCH(E$2,Inputs!$K$4:$AJ$4,0))))=0,NA(),SUMPRODUCT((Inputs!$A$5:$A$170=$B37)*Inputs!$B$5:$B$170*(((Inputs!$G$5:$G$170="moeda")+(Inputs!$G$5:$G$170="acoes"))*Inputs!$B$1+((Inputs!$G$5:$G$170&lt;&gt;"moeda")*(Inputs!$G$5:$G$170&lt;&gt;"acoes")))*INDEX(Inputs!$K$5:$AJ$170,0,MATCH(E$2,Inputs!$K$4:$AJ$4,0)))+SUMPRODUCT((Inputs!$C$5:$C$170=$B37)*Inputs!$D$5:$D$170*(((Inputs!$G$5:$G$170="moeda")+(Inputs!$G$5:$G$170="acoes"))*Inputs!$B$1+((Inputs!$G$5:$G$170&lt;&gt;"moeda")*(Inputs!$G$5:$G$170&lt;&gt;"acoes")))*INDEX(Inputs!$K$5:$AJ$170,0,MATCH(E$2,Inputs!$K$4:$AJ$4,0)))+SUMPRODUCT((Inputs!$E$5:$E$170=$B37)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37" s="6" t="e">
        <f>IF(ISNA(MATCH(F$2,Inputs!$K$4:$AJ$4,0)),NA(),IF(SUMPRODUCT((Inputs!$A$5:$A$170=$B37)*ISNUMBER(INDEX(Inputs!$K$5:$AJ$170,0,MATCH(F$2,Inputs!$K$4:$AJ$4,0))))+SUMPRODUCT((Inputs!$C$5:$C$170=$B37)*ISNUMBER(INDEX(Inputs!$K$5:$AJ$170,0,MATCH(F$2,Inputs!$K$4:$AJ$4,0))))+SUMPRODUCT((Inputs!$E$5:$E$170=$B37)*ISNUMBER(INDEX(Inputs!$K$5:$AJ$170,0,MATCH(F$2,Inputs!$K$4:$AJ$4,0))))=0,NA(),SUMPRODUCT((Inputs!$A$5:$A$170=$B37)*Inputs!$B$5:$B$170*(((Inputs!$G$5:$G$170="moeda")+(Inputs!$G$5:$G$170="acoes"))*Inputs!$B$1+((Inputs!$G$5:$G$170&lt;&gt;"moeda")*(Inputs!$G$5:$G$170&lt;&gt;"acoes")))*INDEX(Inputs!$K$5:$AJ$170,0,MATCH(F$2,Inputs!$K$4:$AJ$4,0)))+SUMPRODUCT((Inputs!$C$5:$C$170=$B37)*Inputs!$D$5:$D$170*(((Inputs!$G$5:$G$170="moeda")+(Inputs!$G$5:$G$170="acoes"))*Inputs!$B$1+((Inputs!$G$5:$G$170&lt;&gt;"moeda")*(Inputs!$G$5:$G$170&lt;&gt;"acoes")))*INDEX(Inputs!$K$5:$AJ$170,0,MATCH(F$2,Inputs!$K$4:$AJ$4,0)))+SUMPRODUCT((Inputs!$E$5:$E$170=$B37)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37" s="6" t="e">
        <f>IF(ISNA(MATCH(G$2,Inputs!$K$4:$AJ$4,0)),NA(),IF(SUMPRODUCT((Inputs!$A$5:$A$170=$B37)*ISNUMBER(INDEX(Inputs!$K$5:$AJ$170,0,MATCH(G$2,Inputs!$K$4:$AJ$4,0))))+SUMPRODUCT((Inputs!$C$5:$C$170=$B37)*ISNUMBER(INDEX(Inputs!$K$5:$AJ$170,0,MATCH(G$2,Inputs!$K$4:$AJ$4,0))))+SUMPRODUCT((Inputs!$E$5:$E$170=$B37)*ISNUMBER(INDEX(Inputs!$K$5:$AJ$170,0,MATCH(G$2,Inputs!$K$4:$AJ$4,0))))=0,NA(),SUMPRODUCT((Inputs!$A$5:$A$170=$B37)*Inputs!$B$5:$B$170*(((Inputs!$G$5:$G$170="moeda")+(Inputs!$G$5:$G$170="acoes"))*Inputs!$B$1+((Inputs!$G$5:$G$170&lt;&gt;"moeda")*(Inputs!$G$5:$G$170&lt;&gt;"acoes")))*INDEX(Inputs!$K$5:$AJ$170,0,MATCH(G$2,Inputs!$K$4:$AJ$4,0)))+SUMPRODUCT((Inputs!$C$5:$C$170=$B37)*Inputs!$D$5:$D$170*(((Inputs!$G$5:$G$170="moeda")+(Inputs!$G$5:$G$170="acoes"))*Inputs!$B$1+((Inputs!$G$5:$G$170&lt;&gt;"moeda")*(Inputs!$G$5:$G$170&lt;&gt;"acoes")))*INDEX(Inputs!$K$5:$AJ$170,0,MATCH(G$2,Inputs!$K$4:$AJ$4,0)))+SUMPRODUCT((Inputs!$E$5:$E$170=$B37)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37" s="3" t="e">
        <f>G37</f>
        <v>#N/A</v>
      </c>
      <c r="I37" s="6" t="e">
        <f>IF(ISNA(MATCH(I$2,Inputs!$K$4:$AJ$4,0)),NA(),IF(SUMPRODUCT((Inputs!$A$5:$A$170=$B37)*ISNUMBER(INDEX(Inputs!$K$5:$AJ$170,0,MATCH(I$2,Inputs!$K$4:$AJ$4,0))))+SUMPRODUCT((Inputs!$C$5:$C$170=$B37)*ISNUMBER(INDEX(Inputs!$K$5:$AJ$170,0,MATCH(I$2,Inputs!$K$4:$AJ$4,0))))+SUMPRODUCT((Inputs!$E$5:$E$170=$B37)*ISNUMBER(INDEX(Inputs!$K$5:$AJ$170,0,MATCH(I$2,Inputs!$K$4:$AJ$4,0))))=0,NA(),SUMPRODUCT((Inputs!$A$5:$A$170=$B37)*Inputs!$B$5:$B$170*(((Inputs!$G$5:$G$170="moeda")+(Inputs!$G$5:$G$170="acoes"))*Inputs!$B$1+((Inputs!$G$5:$G$170&lt;&gt;"moeda")*(Inputs!$G$5:$G$170&lt;&gt;"acoes")))*INDEX(Inputs!$K$5:$AJ$170,0,MATCH(I$2,Inputs!$K$4:$AJ$4,0)))+SUMPRODUCT((Inputs!$C$5:$C$170=$B37)*Inputs!$D$5:$D$170*(((Inputs!$G$5:$G$170="moeda")+(Inputs!$G$5:$G$170="acoes"))*Inputs!$B$1+((Inputs!$G$5:$G$170&lt;&gt;"moeda")*(Inputs!$G$5:$G$170&lt;&gt;"acoes")))*INDEX(Inputs!$K$5:$AJ$170,0,MATCH(I$2,Inputs!$K$4:$AJ$4,0)))+SUMPRODUCT((Inputs!$E$5:$E$170=$B37)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37" s="6" t="e">
        <f>IF(ISNA(MATCH(J$2,Inputs!$K$4:$AJ$4,0)),NA(),IF(SUMPRODUCT((Inputs!$A$5:$A$170=$B37)*ISNUMBER(INDEX(Inputs!$K$5:$AJ$170,0,MATCH(J$2,Inputs!$K$4:$AJ$4,0))))+SUMPRODUCT((Inputs!$C$5:$C$170=$B37)*ISNUMBER(INDEX(Inputs!$K$5:$AJ$170,0,MATCH(J$2,Inputs!$K$4:$AJ$4,0))))+SUMPRODUCT((Inputs!$E$5:$E$170=$B37)*ISNUMBER(INDEX(Inputs!$K$5:$AJ$170,0,MATCH(J$2,Inputs!$K$4:$AJ$4,0))))=0,NA(),SUMPRODUCT((Inputs!$A$5:$A$170=$B37)*Inputs!$B$5:$B$170*(((Inputs!$G$5:$G$170="moeda")+(Inputs!$G$5:$G$170="acoes"))*Inputs!$B$1+((Inputs!$G$5:$G$170&lt;&gt;"moeda")*(Inputs!$G$5:$G$170&lt;&gt;"acoes")))*INDEX(Inputs!$K$5:$AJ$170,0,MATCH(J$2,Inputs!$K$4:$AJ$4,0)))+SUMPRODUCT((Inputs!$C$5:$C$170=$B37)*Inputs!$D$5:$D$170*(((Inputs!$G$5:$G$170="moeda")+(Inputs!$G$5:$G$170="acoes"))*Inputs!$B$1+((Inputs!$G$5:$G$170&lt;&gt;"moeda")*(Inputs!$G$5:$G$170&lt;&gt;"acoes")))*INDEX(Inputs!$K$5:$AJ$170,0,MATCH(J$2,Inputs!$K$4:$AJ$4,0)))+SUMPRODUCT((Inputs!$E$5:$E$170=$B37)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37" s="6" t="e">
        <f>IF(ISNA(MATCH(K$2,Inputs!$K$4:$AJ$4,0)),NA(),IF(SUMPRODUCT((Inputs!$A$5:$A$170=$B37)*ISNUMBER(INDEX(Inputs!$K$5:$AJ$170,0,MATCH(K$2,Inputs!$K$4:$AJ$4,0))))+SUMPRODUCT((Inputs!$C$5:$C$170=$B37)*ISNUMBER(INDEX(Inputs!$K$5:$AJ$170,0,MATCH(K$2,Inputs!$K$4:$AJ$4,0))))+SUMPRODUCT((Inputs!$E$5:$E$170=$B37)*ISNUMBER(INDEX(Inputs!$K$5:$AJ$170,0,MATCH(K$2,Inputs!$K$4:$AJ$4,0))))=0,NA(),SUMPRODUCT((Inputs!$A$5:$A$170=$B37)*Inputs!$B$5:$B$170*(((Inputs!$G$5:$G$170="moeda")+(Inputs!$G$5:$G$170="acoes"))*Inputs!$B$1+((Inputs!$G$5:$G$170&lt;&gt;"moeda")*(Inputs!$G$5:$G$170&lt;&gt;"acoes")))*INDEX(Inputs!$K$5:$AJ$170,0,MATCH(K$2,Inputs!$K$4:$AJ$4,0)))+SUMPRODUCT((Inputs!$C$5:$C$170=$B37)*Inputs!$D$5:$D$170*(((Inputs!$G$5:$G$170="moeda")+(Inputs!$G$5:$G$170="acoes"))*Inputs!$B$1+((Inputs!$G$5:$G$170&lt;&gt;"moeda")*(Inputs!$G$5:$G$170&lt;&gt;"acoes")))*INDEX(Inputs!$K$5:$AJ$170,0,MATCH(K$2,Inputs!$K$4:$AJ$4,0)))+SUMPRODUCT((Inputs!$E$5:$E$170=$B37)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37" s="6" t="e">
        <f>IF(ISNA(MATCH(L$2,Inputs!$K$4:$AJ$4,0)),NA(),IF(SUMPRODUCT((Inputs!$A$5:$A$170=$B37)*ISNUMBER(INDEX(Inputs!$K$5:$AJ$170,0,MATCH(L$2,Inputs!$K$4:$AJ$4,0))))+SUMPRODUCT((Inputs!$C$5:$C$170=$B37)*ISNUMBER(INDEX(Inputs!$K$5:$AJ$170,0,MATCH(L$2,Inputs!$K$4:$AJ$4,0))))+SUMPRODUCT((Inputs!$E$5:$E$170=$B37)*ISNUMBER(INDEX(Inputs!$K$5:$AJ$170,0,MATCH(L$2,Inputs!$K$4:$AJ$4,0))))=0,NA(),SUMPRODUCT((Inputs!$A$5:$A$170=$B37)*Inputs!$B$5:$B$170*(((Inputs!$G$5:$G$170="moeda")+(Inputs!$G$5:$G$170="acoes"))*Inputs!$B$1+((Inputs!$G$5:$G$170&lt;&gt;"moeda")*(Inputs!$G$5:$G$170&lt;&gt;"acoes")))*INDEX(Inputs!$K$5:$AJ$170,0,MATCH(L$2,Inputs!$K$4:$AJ$4,0)))+SUMPRODUCT((Inputs!$C$5:$C$170=$B37)*Inputs!$D$5:$D$170*(((Inputs!$G$5:$G$170="moeda")+(Inputs!$G$5:$G$170="acoes"))*Inputs!$B$1+((Inputs!$G$5:$G$170&lt;&gt;"moeda")*(Inputs!$G$5:$G$170&lt;&gt;"acoes")))*INDEX(Inputs!$K$5:$AJ$170,0,MATCH(L$2,Inputs!$K$4:$AJ$4,0)))+SUMPRODUCT((Inputs!$E$5:$E$170=$B37)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37" s="3" t="e">
        <f>L37</f>
        <v>#N/A</v>
      </c>
      <c r="N37" s="6" t="e">
        <f>IF(ISNA(MATCH(N$2,Inputs!$K$4:$AJ$4,0)),NA(),IF(SUMPRODUCT((Inputs!$A$5:$A$170=$B37)*ISNUMBER(INDEX(Inputs!$K$5:$AJ$170,0,MATCH(N$2,Inputs!$K$4:$AJ$4,0))))+SUMPRODUCT((Inputs!$C$5:$C$170=$B37)*ISNUMBER(INDEX(Inputs!$K$5:$AJ$170,0,MATCH(N$2,Inputs!$K$4:$AJ$4,0))))+SUMPRODUCT((Inputs!$E$5:$E$170=$B37)*ISNUMBER(INDEX(Inputs!$K$5:$AJ$170,0,MATCH(N$2,Inputs!$K$4:$AJ$4,0))))=0,NA(),SUMPRODUCT((Inputs!$A$5:$A$170=$B37)*Inputs!$B$5:$B$170*(((Inputs!$G$5:$G$170="moeda")+(Inputs!$G$5:$G$170="acoes"))*Inputs!$B$1+((Inputs!$G$5:$G$170&lt;&gt;"moeda")*(Inputs!$G$5:$G$170&lt;&gt;"acoes")))*INDEX(Inputs!$K$5:$AJ$170,0,MATCH(N$2,Inputs!$K$4:$AJ$4,0)))+SUMPRODUCT((Inputs!$C$5:$C$170=$B37)*Inputs!$D$5:$D$170*(((Inputs!$G$5:$G$170="moeda")+(Inputs!$G$5:$G$170="acoes"))*Inputs!$B$1+((Inputs!$G$5:$G$170&lt;&gt;"moeda")*(Inputs!$G$5:$G$170&lt;&gt;"acoes")))*INDEX(Inputs!$K$5:$AJ$170,0,MATCH(N$2,Inputs!$K$4:$AJ$4,0)))+SUMPRODUCT((Inputs!$E$5:$E$170=$B37)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37" s="6" t="e">
        <f>IF(ISNA(MATCH(O$2,Inputs!$K$4:$AJ$4,0)),NA(),IF(SUMPRODUCT((Inputs!$A$5:$A$170=$B37)*ISNUMBER(INDEX(Inputs!$K$5:$AJ$170,0,MATCH(O$2,Inputs!$K$4:$AJ$4,0))))+SUMPRODUCT((Inputs!$C$5:$C$170=$B37)*ISNUMBER(INDEX(Inputs!$K$5:$AJ$170,0,MATCH(O$2,Inputs!$K$4:$AJ$4,0))))+SUMPRODUCT((Inputs!$E$5:$E$170=$B37)*ISNUMBER(INDEX(Inputs!$K$5:$AJ$170,0,MATCH(O$2,Inputs!$K$4:$AJ$4,0))))=0,NA(),SUMPRODUCT((Inputs!$A$5:$A$170=$B37)*Inputs!$B$5:$B$170*(((Inputs!$G$5:$G$170="moeda")+(Inputs!$G$5:$G$170="acoes"))*Inputs!$B$1+((Inputs!$G$5:$G$170&lt;&gt;"moeda")*(Inputs!$G$5:$G$170&lt;&gt;"acoes")))*INDEX(Inputs!$K$5:$AJ$170,0,MATCH(O$2,Inputs!$K$4:$AJ$4,0)))+SUMPRODUCT((Inputs!$C$5:$C$170=$B37)*Inputs!$D$5:$D$170*(((Inputs!$G$5:$G$170="moeda")+(Inputs!$G$5:$G$170="acoes"))*Inputs!$B$1+((Inputs!$G$5:$G$170&lt;&gt;"moeda")*(Inputs!$G$5:$G$170&lt;&gt;"acoes")))*INDEX(Inputs!$K$5:$AJ$170,0,MATCH(O$2,Inputs!$K$4:$AJ$4,0)))+SUMPRODUCT((Inputs!$E$5:$E$170=$B37)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37" s="6" t="e">
        <f>IF(ISNA(MATCH(P$2,Inputs!$K$4:$AJ$4,0)),NA(),IF(SUMPRODUCT((Inputs!$A$5:$A$170=$B37)*ISNUMBER(INDEX(Inputs!$K$5:$AJ$170,0,MATCH(P$2,Inputs!$K$4:$AJ$4,0))))+SUMPRODUCT((Inputs!$C$5:$C$170=$B37)*ISNUMBER(INDEX(Inputs!$K$5:$AJ$170,0,MATCH(P$2,Inputs!$K$4:$AJ$4,0))))+SUMPRODUCT((Inputs!$E$5:$E$170=$B37)*ISNUMBER(INDEX(Inputs!$K$5:$AJ$170,0,MATCH(P$2,Inputs!$K$4:$AJ$4,0))))=0,NA(),SUMPRODUCT((Inputs!$A$5:$A$170=$B37)*Inputs!$B$5:$B$170*(((Inputs!$G$5:$G$170="moeda")+(Inputs!$G$5:$G$170="acoes"))*Inputs!$B$1+((Inputs!$G$5:$G$170&lt;&gt;"moeda")*(Inputs!$G$5:$G$170&lt;&gt;"acoes")))*INDEX(Inputs!$K$5:$AJ$170,0,MATCH(P$2,Inputs!$K$4:$AJ$4,0)))+SUMPRODUCT((Inputs!$C$5:$C$170=$B37)*Inputs!$D$5:$D$170*(((Inputs!$G$5:$G$170="moeda")+(Inputs!$G$5:$G$170="acoes"))*Inputs!$B$1+((Inputs!$G$5:$G$170&lt;&gt;"moeda")*(Inputs!$G$5:$G$170&lt;&gt;"acoes")))*INDEX(Inputs!$K$5:$AJ$170,0,MATCH(P$2,Inputs!$K$4:$AJ$4,0)))+SUMPRODUCT((Inputs!$E$5:$E$170=$B37)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37" s="6" t="e">
        <f>IF(ISNA(MATCH(Q$2,Inputs!$K$4:$AJ$4,0)),NA(),IF(SUMPRODUCT((Inputs!$A$5:$A$170=$B37)*ISNUMBER(INDEX(Inputs!$K$5:$AJ$170,0,MATCH(Q$2,Inputs!$K$4:$AJ$4,0))))+SUMPRODUCT((Inputs!$C$5:$C$170=$B37)*ISNUMBER(INDEX(Inputs!$K$5:$AJ$170,0,MATCH(Q$2,Inputs!$K$4:$AJ$4,0))))+SUMPRODUCT((Inputs!$E$5:$E$170=$B37)*ISNUMBER(INDEX(Inputs!$K$5:$AJ$170,0,MATCH(Q$2,Inputs!$K$4:$AJ$4,0))))=0,NA(),SUMPRODUCT((Inputs!$A$5:$A$170=$B37)*Inputs!$B$5:$B$170*(((Inputs!$G$5:$G$170="moeda")+(Inputs!$G$5:$G$170="acoes"))*Inputs!$B$1+((Inputs!$G$5:$G$170&lt;&gt;"moeda")*(Inputs!$G$5:$G$170&lt;&gt;"acoes")))*INDEX(Inputs!$K$5:$AJ$170,0,MATCH(Q$2,Inputs!$K$4:$AJ$4,0)))+SUMPRODUCT((Inputs!$C$5:$C$170=$B37)*Inputs!$D$5:$D$170*(((Inputs!$G$5:$G$170="moeda")+(Inputs!$G$5:$G$170="acoes"))*Inputs!$B$1+((Inputs!$G$5:$G$170&lt;&gt;"moeda")*(Inputs!$G$5:$G$170&lt;&gt;"acoes")))*INDEX(Inputs!$K$5:$AJ$170,0,MATCH(Q$2,Inputs!$K$4:$AJ$4,0)))+SUMPRODUCT((Inputs!$E$5:$E$170=$B37)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37" s="3" t="e">
        <f>Q37</f>
        <v>#N/A</v>
      </c>
      <c r="S37" s="6" t="e">
        <f>IF(ISNA(MATCH(S$2,Inputs!$K$4:$AJ$4,0)),NA(),IF(SUMPRODUCT((Inputs!$A$5:$A$170=$B37)*ISNUMBER(INDEX(Inputs!$K$5:$AJ$170,0,MATCH(S$2,Inputs!$K$4:$AJ$4,0))))+SUMPRODUCT((Inputs!$C$5:$C$170=$B37)*ISNUMBER(INDEX(Inputs!$K$5:$AJ$170,0,MATCH(S$2,Inputs!$K$4:$AJ$4,0))))+SUMPRODUCT((Inputs!$E$5:$E$170=$B37)*ISNUMBER(INDEX(Inputs!$K$5:$AJ$170,0,MATCH(S$2,Inputs!$K$4:$AJ$4,0))))=0,NA(),SUMPRODUCT((Inputs!$A$5:$A$170=$B37)*Inputs!$B$5:$B$170*(((Inputs!$G$5:$G$170="moeda")+(Inputs!$G$5:$G$170="acoes"))*Inputs!$B$1+((Inputs!$G$5:$G$170&lt;&gt;"moeda")*(Inputs!$G$5:$G$170&lt;&gt;"acoes")))*INDEX(Inputs!$K$5:$AJ$170,0,MATCH(S$2,Inputs!$K$4:$AJ$4,0)))+SUMPRODUCT((Inputs!$C$5:$C$170=$B37)*Inputs!$D$5:$D$170*(((Inputs!$G$5:$G$170="moeda")+(Inputs!$G$5:$G$170="acoes"))*Inputs!$B$1+((Inputs!$G$5:$G$170&lt;&gt;"moeda")*(Inputs!$G$5:$G$170&lt;&gt;"acoes")))*INDEX(Inputs!$K$5:$AJ$170,0,MATCH(S$2,Inputs!$K$4:$AJ$4,0)))+SUMPRODUCT((Inputs!$E$5:$E$170=$B37)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37" s="6" t="e">
        <f>IF(ISNA(MATCH(T$2,Inputs!$K$4:$AJ$4,0)),NA(),IF(SUMPRODUCT((Inputs!$A$5:$A$170=$B37)*ISNUMBER(INDEX(Inputs!$K$5:$AJ$170,0,MATCH(T$2,Inputs!$K$4:$AJ$4,0))))+SUMPRODUCT((Inputs!$C$5:$C$170=$B37)*ISNUMBER(INDEX(Inputs!$K$5:$AJ$170,0,MATCH(T$2,Inputs!$K$4:$AJ$4,0))))+SUMPRODUCT((Inputs!$E$5:$E$170=$B37)*ISNUMBER(INDEX(Inputs!$K$5:$AJ$170,0,MATCH(T$2,Inputs!$K$4:$AJ$4,0))))=0,NA(),SUMPRODUCT((Inputs!$A$5:$A$170=$B37)*Inputs!$B$5:$B$170*(((Inputs!$G$5:$G$170="moeda")+(Inputs!$G$5:$G$170="acoes"))*Inputs!$B$1+((Inputs!$G$5:$G$170&lt;&gt;"moeda")*(Inputs!$G$5:$G$170&lt;&gt;"acoes")))*INDEX(Inputs!$K$5:$AJ$170,0,MATCH(T$2,Inputs!$K$4:$AJ$4,0)))+SUMPRODUCT((Inputs!$C$5:$C$170=$B37)*Inputs!$D$5:$D$170*(((Inputs!$G$5:$G$170="moeda")+(Inputs!$G$5:$G$170="acoes"))*Inputs!$B$1+((Inputs!$G$5:$G$170&lt;&gt;"moeda")*(Inputs!$G$5:$G$170&lt;&gt;"acoes")))*INDEX(Inputs!$K$5:$AJ$170,0,MATCH(T$2,Inputs!$K$4:$AJ$4,0)))+SUMPRODUCT((Inputs!$E$5:$E$170=$B37)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37" s="6" t="e">
        <f>IF(ISNA(MATCH(U$2,Inputs!$K$4:$AJ$4,0)),NA(),IF(SUMPRODUCT((Inputs!$A$5:$A$170=$B37)*ISNUMBER(INDEX(Inputs!$K$5:$AJ$170,0,MATCH(U$2,Inputs!$K$4:$AJ$4,0))))+SUMPRODUCT((Inputs!$C$5:$C$170=$B37)*ISNUMBER(INDEX(Inputs!$K$5:$AJ$170,0,MATCH(U$2,Inputs!$K$4:$AJ$4,0))))+SUMPRODUCT((Inputs!$E$5:$E$170=$B37)*ISNUMBER(INDEX(Inputs!$K$5:$AJ$170,0,MATCH(U$2,Inputs!$K$4:$AJ$4,0))))=0,NA(),SUMPRODUCT((Inputs!$A$5:$A$170=$B37)*Inputs!$B$5:$B$170*(((Inputs!$G$5:$G$170="moeda")+(Inputs!$G$5:$G$170="acoes"))*Inputs!$B$1+((Inputs!$G$5:$G$170&lt;&gt;"moeda")*(Inputs!$G$5:$G$170&lt;&gt;"acoes")))*INDEX(Inputs!$K$5:$AJ$170,0,MATCH(U$2,Inputs!$K$4:$AJ$4,0)))+SUMPRODUCT((Inputs!$C$5:$C$170=$B37)*Inputs!$D$5:$D$170*(((Inputs!$G$5:$G$170="moeda")+(Inputs!$G$5:$G$170="acoes"))*Inputs!$B$1+((Inputs!$G$5:$G$170&lt;&gt;"moeda")*(Inputs!$G$5:$G$170&lt;&gt;"acoes")))*INDEX(Inputs!$K$5:$AJ$170,0,MATCH(U$2,Inputs!$K$4:$AJ$4,0)))+SUMPRODUCT((Inputs!$E$5:$E$170=$B37)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37" s="6" t="e">
        <f>IF(ISNA(MATCH(V$2,Inputs!$K$4:$AJ$4,0)),NA(),IF(SUMPRODUCT((Inputs!$A$5:$A$170=$B37)*ISNUMBER(INDEX(Inputs!$K$5:$AJ$170,0,MATCH(V$2,Inputs!$K$4:$AJ$4,0))))+SUMPRODUCT((Inputs!$C$5:$C$170=$B37)*ISNUMBER(INDEX(Inputs!$K$5:$AJ$170,0,MATCH(V$2,Inputs!$K$4:$AJ$4,0))))+SUMPRODUCT((Inputs!$E$5:$E$170=$B37)*ISNUMBER(INDEX(Inputs!$K$5:$AJ$170,0,MATCH(V$2,Inputs!$K$4:$AJ$4,0))))=0,NA(),SUMPRODUCT((Inputs!$A$5:$A$170=$B37)*Inputs!$B$5:$B$170*(((Inputs!$G$5:$G$170="moeda")+(Inputs!$G$5:$G$170="acoes"))*Inputs!$B$1+((Inputs!$G$5:$G$170&lt;&gt;"moeda")*(Inputs!$G$5:$G$170&lt;&gt;"acoes")))*INDEX(Inputs!$K$5:$AJ$170,0,MATCH(V$2,Inputs!$K$4:$AJ$4,0)))+SUMPRODUCT((Inputs!$C$5:$C$170=$B37)*Inputs!$D$5:$D$170*(((Inputs!$G$5:$G$170="moeda")+(Inputs!$G$5:$G$170="acoes"))*Inputs!$B$1+((Inputs!$G$5:$G$170&lt;&gt;"moeda")*(Inputs!$G$5:$G$170&lt;&gt;"acoes")))*INDEX(Inputs!$K$5:$AJ$170,0,MATCH(V$2,Inputs!$K$4:$AJ$4,0)))+SUMPRODUCT((Inputs!$E$5:$E$170=$B37)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37" s="3" t="e">
        <f>V37</f>
        <v>#N/A</v>
      </c>
      <c r="X37" s="6" t="e">
        <f>IF(ISNA(MATCH(X$2,Inputs!$K$4:$AJ$4,0)),NA(),IF(SUMPRODUCT((Inputs!$A$5:$A$170=$B37)*ISNUMBER(INDEX(Inputs!$K$5:$AJ$170,0,MATCH(X$2,Inputs!$K$4:$AJ$4,0))))+SUMPRODUCT((Inputs!$C$5:$C$170=$B37)*ISNUMBER(INDEX(Inputs!$K$5:$AJ$170,0,MATCH(X$2,Inputs!$K$4:$AJ$4,0))))+SUMPRODUCT((Inputs!$E$5:$E$170=$B37)*ISNUMBER(INDEX(Inputs!$K$5:$AJ$170,0,MATCH(X$2,Inputs!$K$4:$AJ$4,0))))=0,NA(),SUMPRODUCT((Inputs!$A$5:$A$170=$B37)*Inputs!$B$5:$B$170*(((Inputs!$G$5:$G$170="moeda")+(Inputs!$G$5:$G$170="acoes"))*Inputs!$B$1+((Inputs!$G$5:$G$170&lt;&gt;"moeda")*(Inputs!$G$5:$G$170&lt;&gt;"acoes")))*INDEX(Inputs!$K$5:$AJ$170,0,MATCH(X$2,Inputs!$K$4:$AJ$4,0)))+SUMPRODUCT((Inputs!$C$5:$C$170=$B37)*Inputs!$D$5:$D$170*(((Inputs!$G$5:$G$170="moeda")+(Inputs!$G$5:$G$170="acoes"))*Inputs!$B$1+((Inputs!$G$5:$G$170&lt;&gt;"moeda")*(Inputs!$G$5:$G$170&lt;&gt;"acoes")))*INDEX(Inputs!$K$5:$AJ$170,0,MATCH(X$2,Inputs!$K$4:$AJ$4,0)))+SUMPRODUCT((Inputs!$E$5:$E$170=$B37)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37" s="6" t="e">
        <f>IF(ISNA(MATCH(Y$2,Inputs!$K$4:$AJ$4,0)),NA(),IF(SUMPRODUCT((Inputs!$A$5:$A$170=$B37)*ISNUMBER(INDEX(Inputs!$K$5:$AJ$170,0,MATCH(Y$2,Inputs!$K$4:$AJ$4,0))))+SUMPRODUCT((Inputs!$C$5:$C$170=$B37)*ISNUMBER(INDEX(Inputs!$K$5:$AJ$170,0,MATCH(Y$2,Inputs!$K$4:$AJ$4,0))))+SUMPRODUCT((Inputs!$E$5:$E$170=$B37)*ISNUMBER(INDEX(Inputs!$K$5:$AJ$170,0,MATCH(Y$2,Inputs!$K$4:$AJ$4,0))))=0,NA(),SUMPRODUCT((Inputs!$A$5:$A$170=$B37)*Inputs!$B$5:$B$170*(((Inputs!$G$5:$G$170="moeda")+(Inputs!$G$5:$G$170="acoes"))*Inputs!$B$1+((Inputs!$G$5:$G$170&lt;&gt;"moeda")*(Inputs!$G$5:$G$170&lt;&gt;"acoes")))*INDEX(Inputs!$K$5:$AJ$170,0,MATCH(Y$2,Inputs!$K$4:$AJ$4,0)))+SUMPRODUCT((Inputs!$C$5:$C$170=$B37)*Inputs!$D$5:$D$170*(((Inputs!$G$5:$G$170="moeda")+(Inputs!$G$5:$G$170="acoes"))*Inputs!$B$1+((Inputs!$G$5:$G$170&lt;&gt;"moeda")*(Inputs!$G$5:$G$170&lt;&gt;"acoes")))*INDEX(Inputs!$K$5:$AJ$170,0,MATCH(Y$2,Inputs!$K$4:$AJ$4,0)))+SUMPRODUCT((Inputs!$E$5:$E$170=$B37)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37" s="6" t="e">
        <f>IF(ISNA(MATCH(Z$2,Inputs!$K$4:$AJ$4,0)),NA(),IF(SUMPRODUCT((Inputs!$A$5:$A$170=$B37)*ISNUMBER(INDEX(Inputs!$K$5:$AJ$170,0,MATCH(Z$2,Inputs!$K$4:$AJ$4,0))))+SUMPRODUCT((Inputs!$C$5:$C$170=$B37)*ISNUMBER(INDEX(Inputs!$K$5:$AJ$170,0,MATCH(Z$2,Inputs!$K$4:$AJ$4,0))))+SUMPRODUCT((Inputs!$E$5:$E$170=$B37)*ISNUMBER(INDEX(Inputs!$K$5:$AJ$170,0,MATCH(Z$2,Inputs!$K$4:$AJ$4,0))))=0,NA(),SUMPRODUCT((Inputs!$A$5:$A$170=$B37)*Inputs!$B$5:$B$170*(((Inputs!$G$5:$G$170="moeda")+(Inputs!$G$5:$G$170="acoes"))*Inputs!$B$1+((Inputs!$G$5:$G$170&lt;&gt;"moeda")*(Inputs!$G$5:$G$170&lt;&gt;"acoes")))*INDEX(Inputs!$K$5:$AJ$170,0,MATCH(Z$2,Inputs!$K$4:$AJ$4,0)))+SUMPRODUCT((Inputs!$C$5:$C$170=$B37)*Inputs!$D$5:$D$170*(((Inputs!$G$5:$G$170="moeda")+(Inputs!$G$5:$G$170="acoes"))*Inputs!$B$1+((Inputs!$G$5:$G$170&lt;&gt;"moeda")*(Inputs!$G$5:$G$170&lt;&gt;"acoes")))*INDEX(Inputs!$K$5:$AJ$170,0,MATCH(Z$2,Inputs!$K$4:$AJ$4,0)))+SUMPRODUCT((Inputs!$E$5:$E$170=$B37)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37" s="6" t="e">
        <f>IF(ISNA(MATCH(AA$2,Inputs!$K$4:$AJ$4,0)),NA(),IF(SUMPRODUCT((Inputs!$A$5:$A$170=$B37)*ISNUMBER(INDEX(Inputs!$K$5:$AJ$170,0,MATCH(AA$2,Inputs!$K$4:$AJ$4,0))))+SUMPRODUCT((Inputs!$C$5:$C$170=$B37)*ISNUMBER(INDEX(Inputs!$K$5:$AJ$170,0,MATCH(AA$2,Inputs!$K$4:$AJ$4,0))))+SUMPRODUCT((Inputs!$E$5:$E$170=$B37)*ISNUMBER(INDEX(Inputs!$K$5:$AJ$170,0,MATCH(AA$2,Inputs!$K$4:$AJ$4,0))))=0,NA(),SUMPRODUCT((Inputs!$A$5:$A$170=$B37)*Inputs!$B$5:$B$170*(((Inputs!$G$5:$G$170="moeda")+(Inputs!$G$5:$G$170="acoes"))*Inputs!$B$1+((Inputs!$G$5:$G$170&lt;&gt;"moeda")*(Inputs!$G$5:$G$170&lt;&gt;"acoes")))*INDEX(Inputs!$K$5:$AJ$170,0,MATCH(AA$2,Inputs!$K$4:$AJ$4,0)))+SUMPRODUCT((Inputs!$C$5:$C$170=$B37)*Inputs!$D$5:$D$170*(((Inputs!$G$5:$G$170="moeda")+(Inputs!$G$5:$G$170="acoes"))*Inputs!$B$1+((Inputs!$G$5:$G$170&lt;&gt;"moeda")*(Inputs!$G$5:$G$170&lt;&gt;"acoes")))*INDEX(Inputs!$K$5:$AJ$170,0,MATCH(AA$2,Inputs!$K$4:$AJ$4,0)))+SUMPRODUCT((Inputs!$E$5:$E$170=$B37)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37" s="3" t="e">
        <f>AA37</f>
        <v>#N/A</v>
      </c>
      <c r="AC37" s="6" t="e">
        <f>IF(ISNA(MATCH(AC$2,Inputs!$K$4:$AJ$4,0)),NA(),IF(SUMPRODUCT((Inputs!$A$5:$A$170=$B37)*ISNUMBER(INDEX(Inputs!$K$5:$AJ$170,0,MATCH(AC$2,Inputs!$K$4:$AJ$4,0))))+SUMPRODUCT((Inputs!$C$5:$C$170=$B37)*ISNUMBER(INDEX(Inputs!$K$5:$AJ$170,0,MATCH(AC$2,Inputs!$K$4:$AJ$4,0))))+SUMPRODUCT((Inputs!$E$5:$E$170=$B37)*ISNUMBER(INDEX(Inputs!$K$5:$AJ$170,0,MATCH(AC$2,Inputs!$K$4:$AJ$4,0))))=0,NA(),SUMPRODUCT((Inputs!$A$5:$A$170=$B37)*Inputs!$B$5:$B$170*(((Inputs!$G$5:$G$170="moeda")+(Inputs!$G$5:$G$170="acoes"))*Inputs!$B$1+((Inputs!$G$5:$G$170&lt;&gt;"moeda")*(Inputs!$G$5:$G$170&lt;&gt;"acoes")))*INDEX(Inputs!$K$5:$AJ$170,0,MATCH(AC$2,Inputs!$K$4:$AJ$4,0)))+SUMPRODUCT((Inputs!$C$5:$C$170=$B37)*Inputs!$D$5:$D$170*(((Inputs!$G$5:$G$170="moeda")+(Inputs!$G$5:$G$170="acoes"))*Inputs!$B$1+((Inputs!$G$5:$G$170&lt;&gt;"moeda")*(Inputs!$G$5:$G$170&lt;&gt;"acoes")))*INDEX(Inputs!$K$5:$AJ$170,0,MATCH(AC$2,Inputs!$K$4:$AJ$4,0)))+SUMPRODUCT((Inputs!$E$5:$E$170=$B37)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37" s="6" t="e">
        <f>IF(ISNA(MATCH(AD$2,Inputs!$K$4:$AJ$4,0)),NA(),IF(SUMPRODUCT((Inputs!$A$5:$A$170=$B37)*ISNUMBER(INDEX(Inputs!$K$5:$AJ$170,0,MATCH(AD$2,Inputs!$K$4:$AJ$4,0))))+SUMPRODUCT((Inputs!$C$5:$C$170=$B37)*ISNUMBER(INDEX(Inputs!$K$5:$AJ$170,0,MATCH(AD$2,Inputs!$K$4:$AJ$4,0))))+SUMPRODUCT((Inputs!$E$5:$E$170=$B37)*ISNUMBER(INDEX(Inputs!$K$5:$AJ$170,0,MATCH(AD$2,Inputs!$K$4:$AJ$4,0))))=0,NA(),SUMPRODUCT((Inputs!$A$5:$A$170=$B37)*Inputs!$B$5:$B$170*(((Inputs!$G$5:$G$170="moeda")+(Inputs!$G$5:$G$170="acoes"))*Inputs!$B$1+((Inputs!$G$5:$G$170&lt;&gt;"moeda")*(Inputs!$G$5:$G$170&lt;&gt;"acoes")))*INDEX(Inputs!$K$5:$AJ$170,0,MATCH(AD$2,Inputs!$K$4:$AJ$4,0)))+SUMPRODUCT((Inputs!$C$5:$C$170=$B37)*Inputs!$D$5:$D$170*(((Inputs!$G$5:$G$170="moeda")+(Inputs!$G$5:$G$170="acoes"))*Inputs!$B$1+((Inputs!$G$5:$G$170&lt;&gt;"moeda")*(Inputs!$G$5:$G$170&lt;&gt;"acoes")))*INDEX(Inputs!$K$5:$AJ$170,0,MATCH(AD$2,Inputs!$K$4:$AJ$4,0)))+SUMPRODUCT((Inputs!$E$5:$E$170=$B37)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37" s="6" t="e">
        <f>IF(ISNA(MATCH(AE$2,Inputs!$K$4:$AJ$4,0)),NA(),IF(SUMPRODUCT((Inputs!$A$5:$A$170=$B37)*ISNUMBER(INDEX(Inputs!$K$5:$AJ$170,0,MATCH(AE$2,Inputs!$K$4:$AJ$4,0))))+SUMPRODUCT((Inputs!$C$5:$C$170=$B37)*ISNUMBER(INDEX(Inputs!$K$5:$AJ$170,0,MATCH(AE$2,Inputs!$K$4:$AJ$4,0))))+SUMPRODUCT((Inputs!$E$5:$E$170=$B37)*ISNUMBER(INDEX(Inputs!$K$5:$AJ$170,0,MATCH(AE$2,Inputs!$K$4:$AJ$4,0))))=0,NA(),SUMPRODUCT((Inputs!$A$5:$A$170=$B37)*Inputs!$B$5:$B$170*(((Inputs!$G$5:$G$170="moeda")+(Inputs!$G$5:$G$170="acoes"))*Inputs!$B$1+((Inputs!$G$5:$G$170&lt;&gt;"moeda")*(Inputs!$G$5:$G$170&lt;&gt;"acoes")))*INDEX(Inputs!$K$5:$AJ$170,0,MATCH(AE$2,Inputs!$K$4:$AJ$4,0)))+SUMPRODUCT((Inputs!$C$5:$C$170=$B37)*Inputs!$D$5:$D$170*(((Inputs!$G$5:$G$170="moeda")+(Inputs!$G$5:$G$170="acoes"))*Inputs!$B$1+((Inputs!$G$5:$G$170&lt;&gt;"moeda")*(Inputs!$G$5:$G$170&lt;&gt;"acoes")))*INDEX(Inputs!$K$5:$AJ$170,0,MATCH(AE$2,Inputs!$K$4:$AJ$4,0)))+SUMPRODUCT((Inputs!$E$5:$E$170=$B37)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7" s="6" t="e">
        <f>IF(ISNA(MATCH(AF$2,Inputs!$K$4:$AJ$4,0)),NA(),IF(SUMPRODUCT((Inputs!$A$5:$A$170=$B37)*ISNUMBER(INDEX(Inputs!$K$5:$AJ$170,0,MATCH(AF$2,Inputs!$K$4:$AJ$4,0))))+SUMPRODUCT((Inputs!$C$5:$C$170=$B37)*ISNUMBER(INDEX(Inputs!$K$5:$AJ$170,0,MATCH(AF$2,Inputs!$K$4:$AJ$4,0))))+SUMPRODUCT((Inputs!$E$5:$E$170=$B37)*ISNUMBER(INDEX(Inputs!$K$5:$AJ$170,0,MATCH(AF$2,Inputs!$K$4:$AJ$4,0))))=0,NA(),SUMPRODUCT((Inputs!$A$5:$A$170=$B37)*Inputs!$B$5:$B$170*(((Inputs!$G$5:$G$170="moeda")+(Inputs!$G$5:$G$170="acoes"))*Inputs!$B$1+((Inputs!$G$5:$G$170&lt;&gt;"moeda")*(Inputs!$G$5:$G$170&lt;&gt;"acoes")))*INDEX(Inputs!$K$5:$AJ$170,0,MATCH(AF$2,Inputs!$K$4:$AJ$4,0)))+SUMPRODUCT((Inputs!$C$5:$C$170=$B37)*Inputs!$D$5:$D$170*(((Inputs!$G$5:$G$170="moeda")+(Inputs!$G$5:$G$170="acoes"))*Inputs!$B$1+((Inputs!$G$5:$G$170&lt;&gt;"moeda")*(Inputs!$G$5:$G$170&lt;&gt;"acoes")))*INDEX(Inputs!$K$5:$AJ$170,0,MATCH(AF$2,Inputs!$K$4:$AJ$4,0)))+SUMPRODUCT((Inputs!$E$5:$E$170=$B37)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7" s="3" t="e">
        <f>AF37</f>
        <v>#N/A</v>
      </c>
      <c r="AH37" s="6" t="e">
        <f>IF(ISNA(MATCH(AH$2,Inputs!$K$4:$AJ$4,0)),NA(),IF(SUMPRODUCT((Inputs!$A$5:$A$170=$B37)*ISNUMBER(INDEX(Inputs!$K$5:$AJ$170,0,MATCH(AH$2,Inputs!$K$4:$AJ$4,0))))+SUMPRODUCT((Inputs!$C$5:$C$170=$B37)*ISNUMBER(INDEX(Inputs!$K$5:$AJ$170,0,MATCH(AH$2,Inputs!$K$4:$AJ$4,0))))+SUMPRODUCT((Inputs!$E$5:$E$170=$B37)*ISNUMBER(INDEX(Inputs!$K$5:$AJ$170,0,MATCH(AH$2,Inputs!$K$4:$AJ$4,0))))=0,NA(),SUMPRODUCT((Inputs!$A$5:$A$170=$B37)*Inputs!$B$5:$B$170*(((Inputs!$G$5:$G$170="moeda")+(Inputs!$G$5:$G$170="acoes"))*Inputs!$B$1+((Inputs!$G$5:$G$170&lt;&gt;"moeda")*(Inputs!$G$5:$G$170&lt;&gt;"acoes")))*INDEX(Inputs!$K$5:$AJ$170,0,MATCH(AH$2,Inputs!$K$4:$AJ$4,0)))+SUMPRODUCT((Inputs!$C$5:$C$170=$B37)*Inputs!$D$5:$D$170*(((Inputs!$G$5:$G$170="moeda")+(Inputs!$G$5:$G$170="acoes"))*Inputs!$B$1+((Inputs!$G$5:$G$170&lt;&gt;"moeda")*(Inputs!$G$5:$G$170&lt;&gt;"acoes")))*INDEX(Inputs!$K$5:$AJ$170,0,MATCH(AH$2,Inputs!$K$4:$AJ$4,0)))+SUMPRODUCT((Inputs!$E$5:$E$170=$B37)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37" s="6" t="e">
        <f>IF(ISNA(MATCH(AI$2,Inputs!$K$4:$AJ$4,0)),NA(),IF(SUMPRODUCT((Inputs!$A$5:$A$170=$B37)*ISNUMBER(INDEX(Inputs!$K$5:$AJ$170,0,MATCH(AI$2,Inputs!$K$4:$AJ$4,0))))+SUMPRODUCT((Inputs!$C$5:$C$170=$B37)*ISNUMBER(INDEX(Inputs!$K$5:$AJ$170,0,MATCH(AI$2,Inputs!$K$4:$AJ$4,0))))+SUMPRODUCT((Inputs!$E$5:$E$170=$B37)*ISNUMBER(INDEX(Inputs!$K$5:$AJ$170,0,MATCH(AI$2,Inputs!$K$4:$AJ$4,0))))=0,NA(),SUMPRODUCT((Inputs!$A$5:$A$170=$B37)*Inputs!$B$5:$B$170*(((Inputs!$G$5:$G$170="moeda")+(Inputs!$G$5:$G$170="acoes"))*Inputs!$B$1+((Inputs!$G$5:$G$170&lt;&gt;"moeda")*(Inputs!$G$5:$G$170&lt;&gt;"acoes")))*INDEX(Inputs!$K$5:$AJ$170,0,MATCH(AI$2,Inputs!$K$4:$AJ$4,0)))+SUMPRODUCT((Inputs!$C$5:$C$170=$B37)*Inputs!$D$5:$D$170*(((Inputs!$G$5:$G$170="moeda")+(Inputs!$G$5:$G$170="acoes"))*Inputs!$B$1+((Inputs!$G$5:$G$170&lt;&gt;"moeda")*(Inputs!$G$5:$G$170&lt;&gt;"acoes")))*INDEX(Inputs!$K$5:$AJ$170,0,MATCH(AI$2,Inputs!$K$4:$AJ$4,0)))+SUMPRODUCT((Inputs!$E$5:$E$170=$B37)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37" s="6" t="e">
        <f>IF(ISNA(MATCH(AJ$2,Inputs!$K$4:$AJ$4,0)),NA(),IF(SUMPRODUCT((Inputs!$A$5:$A$170=$B37)*ISNUMBER(INDEX(Inputs!$K$5:$AJ$170,0,MATCH(AJ$2,Inputs!$K$4:$AJ$4,0))))+SUMPRODUCT((Inputs!$C$5:$C$170=$B37)*ISNUMBER(INDEX(Inputs!$K$5:$AJ$170,0,MATCH(AJ$2,Inputs!$K$4:$AJ$4,0))))+SUMPRODUCT((Inputs!$E$5:$E$170=$B37)*ISNUMBER(INDEX(Inputs!$K$5:$AJ$170,0,MATCH(AJ$2,Inputs!$K$4:$AJ$4,0))))=0,NA(),SUMPRODUCT((Inputs!$A$5:$A$170=$B37)*Inputs!$B$5:$B$170*(((Inputs!$G$5:$G$170="moeda")+(Inputs!$G$5:$G$170="acoes"))*Inputs!$B$1+((Inputs!$G$5:$G$170&lt;&gt;"moeda")*(Inputs!$G$5:$G$170&lt;&gt;"acoes")))*INDEX(Inputs!$K$5:$AJ$170,0,MATCH(AJ$2,Inputs!$K$4:$AJ$4,0)))+SUMPRODUCT((Inputs!$C$5:$C$170=$B37)*Inputs!$D$5:$D$170*(((Inputs!$G$5:$G$170="moeda")+(Inputs!$G$5:$G$170="acoes"))*Inputs!$B$1+((Inputs!$G$5:$G$170&lt;&gt;"moeda")*(Inputs!$G$5:$G$170&lt;&gt;"acoes")))*INDEX(Inputs!$K$5:$AJ$170,0,MATCH(AJ$2,Inputs!$K$4:$AJ$4,0)))+SUMPRODUCT((Inputs!$E$5:$E$170=$B37)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37" s="6" t="e">
        <f>IF(ISNA(MATCH(AK$2,Inputs!$K$4:$AJ$4,0)),NA(),IF(SUMPRODUCT((Inputs!$A$5:$A$170=$B37)*ISNUMBER(INDEX(Inputs!$K$5:$AJ$170,0,MATCH(AK$2,Inputs!$K$4:$AJ$4,0))))+SUMPRODUCT((Inputs!$C$5:$C$170=$B37)*ISNUMBER(INDEX(Inputs!$K$5:$AJ$170,0,MATCH(AK$2,Inputs!$K$4:$AJ$4,0))))+SUMPRODUCT((Inputs!$E$5:$E$170=$B37)*ISNUMBER(INDEX(Inputs!$K$5:$AJ$170,0,MATCH(AK$2,Inputs!$K$4:$AJ$4,0))))=0,NA(),SUMPRODUCT((Inputs!$A$5:$A$170=$B37)*Inputs!$B$5:$B$170*(((Inputs!$G$5:$G$170="moeda")+(Inputs!$G$5:$G$170="acoes"))*Inputs!$B$1+((Inputs!$G$5:$G$170&lt;&gt;"moeda")*(Inputs!$G$5:$G$170&lt;&gt;"acoes")))*INDEX(Inputs!$K$5:$AJ$170,0,MATCH(AK$2,Inputs!$K$4:$AJ$4,0)))+SUMPRODUCT((Inputs!$C$5:$C$170=$B37)*Inputs!$D$5:$D$170*(((Inputs!$G$5:$G$170="moeda")+(Inputs!$G$5:$G$170="acoes"))*Inputs!$B$1+((Inputs!$G$5:$G$170&lt;&gt;"moeda")*(Inputs!$G$5:$G$170&lt;&gt;"acoes")))*INDEX(Inputs!$K$5:$AJ$170,0,MATCH(AK$2,Inputs!$K$4:$AJ$4,0)))+SUMPRODUCT((Inputs!$E$5:$E$170=$B37)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$170=$B38)*ISNUMBER(INDEX(Inputs!$K$5:$AJ$170,0,MATCH(D$2,Inputs!$K$4:$AJ$4,0))))+SUMPRODUCT((Inputs!$C$5:$C$170=$B38)*ISNUMBER(INDEX(Inputs!$K$5:$AJ$170,0,MATCH(D$2,Inputs!$K$4:$AJ$4,0))))+SUMPRODUCT((Inputs!$E$5:$E$170=$B38)*ISNUMBER(INDEX(Inputs!$K$5:$AJ$170,0,MATCH(D$2,Inputs!$K$4:$AJ$4,0))))=0,NA(),SUMPRODUCT((Inputs!$A$5:$A$170=$B38)*Inputs!$B$5:$B$170*(((Inputs!$G$5:$G$170="moeda")+(Inputs!$G$5:$G$170="acoes"))*Inputs!$B$1+((Inputs!$G$5:$G$170&lt;&gt;"moeda")*(Inputs!$G$5:$G$170&lt;&gt;"acoes")))*INDEX(Inputs!$K$5:$AJ$170,0,MATCH(D$2,Inputs!$K$4:$AJ$4,0)))+SUMPRODUCT((Inputs!$C$5:$C$170=$B38)*Inputs!$D$5:$D$170*(((Inputs!$G$5:$G$170="moeda")+(Inputs!$G$5:$G$170="acoes"))*Inputs!$B$1+((Inputs!$G$5:$G$170&lt;&gt;"moeda")*(Inputs!$G$5:$G$170&lt;&gt;"acoes")))*INDEX(Inputs!$K$5:$AJ$170,0,MATCH(D$2,Inputs!$K$4:$AJ$4,0)))+SUMPRODUCT((Inputs!$E$5:$E$170=$B38)*Inputs!$F$5:$F$170*(((Inputs!$G$5:$G$170="moeda")+(Inputs!$G$5:$G$170="acoes"))*Inputs!$B$1+((Inputs!$G$5:$G$170&lt;&gt;"moeda")*(Inputs!$G$5:$G$170&lt;&gt;"acoes")))*INDEX(Inputs!$K$5:$AJ$170,0,MATCH(D$2,Inputs!$K$4:$AJ$4,0)))))</f>
        <v>253.092</v>
      </c>
      <c r="E38" s="6">
        <f>IF(ISNA(MATCH(E$2,Inputs!$K$4:$AJ$4,0)),NA(),IF(SUMPRODUCT((Inputs!$A$5:$A$170=$B38)*ISNUMBER(INDEX(Inputs!$K$5:$AJ$170,0,MATCH(E$2,Inputs!$K$4:$AJ$4,0))))+SUMPRODUCT((Inputs!$C$5:$C$170=$B38)*ISNUMBER(INDEX(Inputs!$K$5:$AJ$170,0,MATCH(E$2,Inputs!$K$4:$AJ$4,0))))+SUMPRODUCT((Inputs!$E$5:$E$170=$B38)*ISNUMBER(INDEX(Inputs!$K$5:$AJ$170,0,MATCH(E$2,Inputs!$K$4:$AJ$4,0))))=0,NA(),SUMPRODUCT((Inputs!$A$5:$A$170=$B38)*Inputs!$B$5:$B$170*(((Inputs!$G$5:$G$170="moeda")+(Inputs!$G$5:$G$170="acoes"))*Inputs!$B$1+((Inputs!$G$5:$G$170&lt;&gt;"moeda")*(Inputs!$G$5:$G$170&lt;&gt;"acoes")))*INDEX(Inputs!$K$5:$AJ$170,0,MATCH(E$2,Inputs!$K$4:$AJ$4,0)))+SUMPRODUCT((Inputs!$C$5:$C$170=$B38)*Inputs!$D$5:$D$170*(((Inputs!$G$5:$G$170="moeda")+(Inputs!$G$5:$G$170="acoes"))*Inputs!$B$1+((Inputs!$G$5:$G$170&lt;&gt;"moeda")*(Inputs!$G$5:$G$170&lt;&gt;"acoes")))*INDEX(Inputs!$K$5:$AJ$170,0,MATCH(E$2,Inputs!$K$4:$AJ$4,0)))+SUMPRODUCT((Inputs!$E$5:$E$170=$B38)*Inputs!$F$5:$F$170*(((Inputs!$G$5:$G$170="moeda")+(Inputs!$G$5:$G$170="acoes"))*Inputs!$B$1+((Inputs!$G$5:$G$170&lt;&gt;"moeda")*(Inputs!$G$5:$G$170&lt;&gt;"acoes")))*INDEX(Inputs!$K$5:$AJ$170,0,MATCH(E$2,Inputs!$K$4:$AJ$4,0)))))</f>
        <v>354.903</v>
      </c>
      <c r="F38" s="6">
        <f>IF(ISNA(MATCH(F$2,Inputs!$K$4:$AJ$4,0)),NA(),IF(SUMPRODUCT((Inputs!$A$5:$A$170=$B38)*ISNUMBER(INDEX(Inputs!$K$5:$AJ$170,0,MATCH(F$2,Inputs!$K$4:$AJ$4,0))))+SUMPRODUCT((Inputs!$C$5:$C$170=$B38)*ISNUMBER(INDEX(Inputs!$K$5:$AJ$170,0,MATCH(F$2,Inputs!$K$4:$AJ$4,0))))+SUMPRODUCT((Inputs!$E$5:$E$170=$B38)*ISNUMBER(INDEX(Inputs!$K$5:$AJ$170,0,MATCH(F$2,Inputs!$K$4:$AJ$4,0))))=0,NA(),SUMPRODUCT((Inputs!$A$5:$A$170=$B38)*Inputs!$B$5:$B$170*(((Inputs!$G$5:$G$170="moeda")+(Inputs!$G$5:$G$170="acoes"))*Inputs!$B$1+((Inputs!$G$5:$G$170&lt;&gt;"moeda")*(Inputs!$G$5:$G$170&lt;&gt;"acoes")))*INDEX(Inputs!$K$5:$AJ$170,0,MATCH(F$2,Inputs!$K$4:$AJ$4,0)))+SUMPRODUCT((Inputs!$C$5:$C$170=$B38)*Inputs!$D$5:$D$170*(((Inputs!$G$5:$G$170="moeda")+(Inputs!$G$5:$G$170="acoes"))*Inputs!$B$1+((Inputs!$G$5:$G$170&lt;&gt;"moeda")*(Inputs!$G$5:$G$170&lt;&gt;"acoes")))*INDEX(Inputs!$K$5:$AJ$170,0,MATCH(F$2,Inputs!$K$4:$AJ$4,0)))+SUMPRODUCT((Inputs!$E$5:$E$170=$B38)*Inputs!$F$5:$F$170*(((Inputs!$G$5:$G$170="moeda")+(Inputs!$G$5:$G$170="acoes"))*Inputs!$B$1+((Inputs!$G$5:$G$170&lt;&gt;"moeda")*(Inputs!$G$5:$G$170&lt;&gt;"acoes")))*INDEX(Inputs!$K$5:$AJ$170,0,MATCH(F$2,Inputs!$K$4:$AJ$4,0)))))</f>
        <v>488.512</v>
      </c>
      <c r="G38" s="6">
        <f>IF(ISNA(MATCH(G$2,Inputs!$K$4:$AJ$4,0)),NA(),IF(SUMPRODUCT((Inputs!$A$5:$A$170=$B38)*ISNUMBER(INDEX(Inputs!$K$5:$AJ$170,0,MATCH(G$2,Inputs!$K$4:$AJ$4,0))))+SUMPRODUCT((Inputs!$C$5:$C$170=$B38)*ISNUMBER(INDEX(Inputs!$K$5:$AJ$170,0,MATCH(G$2,Inputs!$K$4:$AJ$4,0))))+SUMPRODUCT((Inputs!$E$5:$E$170=$B38)*ISNUMBER(INDEX(Inputs!$K$5:$AJ$170,0,MATCH(G$2,Inputs!$K$4:$AJ$4,0))))=0,NA(),SUMPRODUCT((Inputs!$A$5:$A$170=$B38)*Inputs!$B$5:$B$170*(((Inputs!$G$5:$G$170="moeda")+(Inputs!$G$5:$G$170="acoes"))*Inputs!$B$1+((Inputs!$G$5:$G$170&lt;&gt;"moeda")*(Inputs!$G$5:$G$170&lt;&gt;"acoes")))*INDEX(Inputs!$K$5:$AJ$170,0,MATCH(G$2,Inputs!$K$4:$AJ$4,0)))+SUMPRODUCT((Inputs!$C$5:$C$170=$B38)*Inputs!$D$5:$D$170*(((Inputs!$G$5:$G$170="moeda")+(Inputs!$G$5:$G$170="acoes"))*Inputs!$B$1+((Inputs!$G$5:$G$170&lt;&gt;"moeda")*(Inputs!$G$5:$G$170&lt;&gt;"acoes")))*INDEX(Inputs!$K$5:$AJ$170,0,MATCH(G$2,Inputs!$K$4:$AJ$4,0)))+SUMPRODUCT((Inputs!$E$5:$E$170=$B38)*Inputs!$F$5:$F$170*(((Inputs!$G$5:$G$170="moeda")+(Inputs!$G$5:$G$170="acoes"))*Inputs!$B$1+((Inputs!$G$5:$G$170&lt;&gt;"moeda")*(Inputs!$G$5:$G$170&lt;&gt;"acoes")))*INDEX(Inputs!$K$5:$AJ$170,0,MATCH(G$2,Inputs!$K$4:$AJ$4,0)))))</f>
        <v>550.758</v>
      </c>
      <c r="H38" s="3">
        <f>G38</f>
        <v>550.758</v>
      </c>
      <c r="I38" s="6">
        <f>IF(ISNA(MATCH(I$2,Inputs!$K$4:$AJ$4,0)),NA(),IF(SUMPRODUCT((Inputs!$A$5:$A$170=$B38)*ISNUMBER(INDEX(Inputs!$K$5:$AJ$170,0,MATCH(I$2,Inputs!$K$4:$AJ$4,0))))+SUMPRODUCT((Inputs!$C$5:$C$170=$B38)*ISNUMBER(INDEX(Inputs!$K$5:$AJ$170,0,MATCH(I$2,Inputs!$K$4:$AJ$4,0))))+SUMPRODUCT((Inputs!$E$5:$E$170=$B38)*ISNUMBER(INDEX(Inputs!$K$5:$AJ$170,0,MATCH(I$2,Inputs!$K$4:$AJ$4,0))))=0,NA(),SUMPRODUCT((Inputs!$A$5:$A$170=$B38)*Inputs!$B$5:$B$170*(((Inputs!$G$5:$G$170="moeda")+(Inputs!$G$5:$G$170="acoes"))*Inputs!$B$1+((Inputs!$G$5:$G$170&lt;&gt;"moeda")*(Inputs!$G$5:$G$170&lt;&gt;"acoes")))*INDEX(Inputs!$K$5:$AJ$170,0,MATCH(I$2,Inputs!$K$4:$AJ$4,0)))+SUMPRODUCT((Inputs!$C$5:$C$170=$B38)*Inputs!$D$5:$D$170*(((Inputs!$G$5:$G$170="moeda")+(Inputs!$G$5:$G$170="acoes"))*Inputs!$B$1+((Inputs!$G$5:$G$170&lt;&gt;"moeda")*(Inputs!$G$5:$G$170&lt;&gt;"acoes")))*INDEX(Inputs!$K$5:$AJ$170,0,MATCH(I$2,Inputs!$K$4:$AJ$4,0)))+SUMPRODUCT((Inputs!$E$5:$E$170=$B38)*Inputs!$F$5:$F$170*(((Inputs!$G$5:$G$170="moeda")+(Inputs!$G$5:$G$170="acoes"))*Inputs!$B$1+((Inputs!$G$5:$G$170&lt;&gt;"moeda")*(Inputs!$G$5:$G$170&lt;&gt;"acoes")))*INDEX(Inputs!$K$5:$AJ$170,0,MATCH(I$2,Inputs!$K$4:$AJ$4,0)))))</f>
        <v>551.177</v>
      </c>
      <c r="J38" s="6">
        <f>IF(ISNA(MATCH(J$2,Inputs!$K$4:$AJ$4,0)),NA(),IF(SUMPRODUCT((Inputs!$A$5:$A$170=$B38)*ISNUMBER(INDEX(Inputs!$K$5:$AJ$170,0,MATCH(J$2,Inputs!$K$4:$AJ$4,0))))+SUMPRODUCT((Inputs!$C$5:$C$170=$B38)*ISNUMBER(INDEX(Inputs!$K$5:$AJ$170,0,MATCH(J$2,Inputs!$K$4:$AJ$4,0))))+SUMPRODUCT((Inputs!$E$5:$E$170=$B38)*ISNUMBER(INDEX(Inputs!$K$5:$AJ$170,0,MATCH(J$2,Inputs!$K$4:$AJ$4,0))))=0,NA(),SUMPRODUCT((Inputs!$A$5:$A$170=$B38)*Inputs!$B$5:$B$170*(((Inputs!$G$5:$G$170="moeda")+(Inputs!$G$5:$G$170="acoes"))*Inputs!$B$1+((Inputs!$G$5:$G$170&lt;&gt;"moeda")*(Inputs!$G$5:$G$170&lt;&gt;"acoes")))*INDEX(Inputs!$K$5:$AJ$170,0,MATCH(J$2,Inputs!$K$4:$AJ$4,0)))+SUMPRODUCT((Inputs!$C$5:$C$170=$B38)*Inputs!$D$5:$D$170*(((Inputs!$G$5:$G$170="moeda")+(Inputs!$G$5:$G$170="acoes"))*Inputs!$B$1+((Inputs!$G$5:$G$170&lt;&gt;"moeda")*(Inputs!$G$5:$G$170&lt;&gt;"acoes")))*INDEX(Inputs!$K$5:$AJ$170,0,MATCH(J$2,Inputs!$K$4:$AJ$4,0)))+SUMPRODUCT((Inputs!$E$5:$E$170=$B38)*Inputs!$F$5:$F$170*(((Inputs!$G$5:$G$170="moeda")+(Inputs!$G$5:$G$170="acoes"))*Inputs!$B$1+((Inputs!$G$5:$G$170&lt;&gt;"moeda")*(Inputs!$G$5:$G$170&lt;&gt;"acoes")))*INDEX(Inputs!$K$5:$AJ$170,0,MATCH(J$2,Inputs!$K$4:$AJ$4,0)))))</f>
        <v>577.658</v>
      </c>
      <c r="K38" s="6">
        <f>IF(ISNA(MATCH(K$2,Inputs!$K$4:$AJ$4,0)),NA(),IF(SUMPRODUCT((Inputs!$A$5:$A$170=$B38)*ISNUMBER(INDEX(Inputs!$K$5:$AJ$170,0,MATCH(K$2,Inputs!$K$4:$AJ$4,0))))+SUMPRODUCT((Inputs!$C$5:$C$170=$B38)*ISNUMBER(INDEX(Inputs!$K$5:$AJ$170,0,MATCH(K$2,Inputs!$K$4:$AJ$4,0))))+SUMPRODUCT((Inputs!$E$5:$E$170=$B38)*ISNUMBER(INDEX(Inputs!$K$5:$AJ$170,0,MATCH(K$2,Inputs!$K$4:$AJ$4,0))))=0,NA(),SUMPRODUCT((Inputs!$A$5:$A$170=$B38)*Inputs!$B$5:$B$170*(((Inputs!$G$5:$G$170="moeda")+(Inputs!$G$5:$G$170="acoes"))*Inputs!$B$1+((Inputs!$G$5:$G$170&lt;&gt;"moeda")*(Inputs!$G$5:$G$170&lt;&gt;"acoes")))*INDEX(Inputs!$K$5:$AJ$170,0,MATCH(K$2,Inputs!$K$4:$AJ$4,0)))+SUMPRODUCT((Inputs!$C$5:$C$170=$B38)*Inputs!$D$5:$D$170*(((Inputs!$G$5:$G$170="moeda")+(Inputs!$G$5:$G$170="acoes"))*Inputs!$B$1+((Inputs!$G$5:$G$170&lt;&gt;"moeda")*(Inputs!$G$5:$G$170&lt;&gt;"acoes")))*INDEX(Inputs!$K$5:$AJ$170,0,MATCH(K$2,Inputs!$K$4:$AJ$4,0)))+SUMPRODUCT((Inputs!$E$5:$E$170=$B38)*Inputs!$F$5:$F$170*(((Inputs!$G$5:$G$170="moeda")+(Inputs!$G$5:$G$170="acoes"))*Inputs!$B$1+((Inputs!$G$5:$G$170&lt;&gt;"moeda")*(Inputs!$G$5:$G$170&lt;&gt;"acoes")))*INDEX(Inputs!$K$5:$AJ$170,0,MATCH(K$2,Inputs!$K$4:$AJ$4,0)))))</f>
        <v>589.252</v>
      </c>
      <c r="L38" s="6">
        <f>IF(ISNA(MATCH(L$2,Inputs!$K$4:$AJ$4,0)),NA(),IF(SUMPRODUCT((Inputs!$A$5:$A$170=$B38)*ISNUMBER(INDEX(Inputs!$K$5:$AJ$170,0,MATCH(L$2,Inputs!$K$4:$AJ$4,0))))+SUMPRODUCT((Inputs!$C$5:$C$170=$B38)*ISNUMBER(INDEX(Inputs!$K$5:$AJ$170,0,MATCH(L$2,Inputs!$K$4:$AJ$4,0))))+SUMPRODUCT((Inputs!$E$5:$E$170=$B38)*ISNUMBER(INDEX(Inputs!$K$5:$AJ$170,0,MATCH(L$2,Inputs!$K$4:$AJ$4,0))))=0,NA(),SUMPRODUCT((Inputs!$A$5:$A$170=$B38)*Inputs!$B$5:$B$170*(((Inputs!$G$5:$G$170="moeda")+(Inputs!$G$5:$G$170="acoes"))*Inputs!$B$1+((Inputs!$G$5:$G$170&lt;&gt;"moeda")*(Inputs!$G$5:$G$170&lt;&gt;"acoes")))*INDEX(Inputs!$K$5:$AJ$170,0,MATCH(L$2,Inputs!$K$4:$AJ$4,0)))+SUMPRODUCT((Inputs!$C$5:$C$170=$B38)*Inputs!$D$5:$D$170*(((Inputs!$G$5:$G$170="moeda")+(Inputs!$G$5:$G$170="acoes"))*Inputs!$B$1+((Inputs!$G$5:$G$170&lt;&gt;"moeda")*(Inputs!$G$5:$G$170&lt;&gt;"acoes")))*INDEX(Inputs!$K$5:$AJ$170,0,MATCH(L$2,Inputs!$K$4:$AJ$4,0)))+SUMPRODUCT((Inputs!$E$5:$E$170=$B38)*Inputs!$F$5:$F$170*(((Inputs!$G$5:$G$170="moeda")+(Inputs!$G$5:$G$170="acoes"))*Inputs!$B$1+((Inputs!$G$5:$G$170&lt;&gt;"moeda")*(Inputs!$G$5:$G$170&lt;&gt;"acoes")))*INDEX(Inputs!$K$5:$AJ$170,0,MATCH(L$2,Inputs!$K$4:$AJ$4,0)))))</f>
        <v>611.603</v>
      </c>
      <c r="M38" s="3">
        <f>L38</f>
        <v>611.603</v>
      </c>
      <c r="N38" s="6">
        <f>IF(ISNA(MATCH(N$2,Inputs!$K$4:$AJ$4,0)),NA(),IF(SUMPRODUCT((Inputs!$A$5:$A$170=$B38)*ISNUMBER(INDEX(Inputs!$K$5:$AJ$170,0,MATCH(N$2,Inputs!$K$4:$AJ$4,0))))+SUMPRODUCT((Inputs!$C$5:$C$170=$B38)*ISNUMBER(INDEX(Inputs!$K$5:$AJ$170,0,MATCH(N$2,Inputs!$K$4:$AJ$4,0))))+SUMPRODUCT((Inputs!$E$5:$E$170=$B38)*ISNUMBER(INDEX(Inputs!$K$5:$AJ$170,0,MATCH(N$2,Inputs!$K$4:$AJ$4,0))))=0,NA(),SUMPRODUCT((Inputs!$A$5:$A$170=$B38)*Inputs!$B$5:$B$170*(((Inputs!$G$5:$G$170="moeda")+(Inputs!$G$5:$G$170="acoes"))*Inputs!$B$1+((Inputs!$G$5:$G$170&lt;&gt;"moeda")*(Inputs!$G$5:$G$170&lt;&gt;"acoes")))*INDEX(Inputs!$K$5:$AJ$170,0,MATCH(N$2,Inputs!$K$4:$AJ$4,0)))+SUMPRODUCT((Inputs!$C$5:$C$170=$B38)*Inputs!$D$5:$D$170*(((Inputs!$G$5:$G$170="moeda")+(Inputs!$G$5:$G$170="acoes"))*Inputs!$B$1+((Inputs!$G$5:$G$170&lt;&gt;"moeda")*(Inputs!$G$5:$G$170&lt;&gt;"acoes")))*INDEX(Inputs!$K$5:$AJ$170,0,MATCH(N$2,Inputs!$K$4:$AJ$4,0)))+SUMPRODUCT((Inputs!$E$5:$E$170=$B38)*Inputs!$F$5:$F$170*(((Inputs!$G$5:$G$170="moeda")+(Inputs!$G$5:$G$170="acoes"))*Inputs!$B$1+((Inputs!$G$5:$G$170&lt;&gt;"moeda")*(Inputs!$G$5:$G$170&lt;&gt;"acoes")))*INDEX(Inputs!$K$5:$AJ$170,0,MATCH(N$2,Inputs!$K$4:$AJ$4,0)))))</f>
        <v>764.597</v>
      </c>
      <c r="O38" s="6">
        <f>IF(ISNA(MATCH(O$2,Inputs!$K$4:$AJ$4,0)),NA(),IF(SUMPRODUCT((Inputs!$A$5:$A$170=$B38)*ISNUMBER(INDEX(Inputs!$K$5:$AJ$170,0,MATCH(O$2,Inputs!$K$4:$AJ$4,0))))+SUMPRODUCT((Inputs!$C$5:$C$170=$B38)*ISNUMBER(INDEX(Inputs!$K$5:$AJ$170,0,MATCH(O$2,Inputs!$K$4:$AJ$4,0))))+SUMPRODUCT((Inputs!$E$5:$E$170=$B38)*ISNUMBER(INDEX(Inputs!$K$5:$AJ$170,0,MATCH(O$2,Inputs!$K$4:$AJ$4,0))))=0,NA(),SUMPRODUCT((Inputs!$A$5:$A$170=$B38)*Inputs!$B$5:$B$170*(((Inputs!$G$5:$G$170="moeda")+(Inputs!$G$5:$G$170="acoes"))*Inputs!$B$1+((Inputs!$G$5:$G$170&lt;&gt;"moeda")*(Inputs!$G$5:$G$170&lt;&gt;"acoes")))*INDEX(Inputs!$K$5:$AJ$170,0,MATCH(O$2,Inputs!$K$4:$AJ$4,0)))+SUMPRODUCT((Inputs!$C$5:$C$170=$B38)*Inputs!$D$5:$D$170*(((Inputs!$G$5:$G$170="moeda")+(Inputs!$G$5:$G$170="acoes"))*Inputs!$B$1+((Inputs!$G$5:$G$170&lt;&gt;"moeda")*(Inputs!$G$5:$G$170&lt;&gt;"acoes")))*INDEX(Inputs!$K$5:$AJ$170,0,MATCH(O$2,Inputs!$K$4:$AJ$4,0)))+SUMPRODUCT((Inputs!$E$5:$E$170=$B38)*Inputs!$F$5:$F$170*(((Inputs!$G$5:$G$170="moeda")+(Inputs!$G$5:$G$170="acoes"))*Inputs!$B$1+((Inputs!$G$5:$G$170&lt;&gt;"moeda")*(Inputs!$G$5:$G$170&lt;&gt;"acoes")))*INDEX(Inputs!$K$5:$AJ$170,0,MATCH(O$2,Inputs!$K$4:$AJ$4,0)))))</f>
        <v>829.712</v>
      </c>
      <c r="P38" s="6">
        <f>IF(ISNA(MATCH(P$2,Inputs!$K$4:$AJ$4,0)),NA(),IF(SUMPRODUCT((Inputs!$A$5:$A$170=$B38)*ISNUMBER(INDEX(Inputs!$K$5:$AJ$170,0,MATCH(P$2,Inputs!$K$4:$AJ$4,0))))+SUMPRODUCT((Inputs!$C$5:$C$170=$B38)*ISNUMBER(INDEX(Inputs!$K$5:$AJ$170,0,MATCH(P$2,Inputs!$K$4:$AJ$4,0))))+SUMPRODUCT((Inputs!$E$5:$E$170=$B38)*ISNUMBER(INDEX(Inputs!$K$5:$AJ$170,0,MATCH(P$2,Inputs!$K$4:$AJ$4,0))))=0,NA(),SUMPRODUCT((Inputs!$A$5:$A$170=$B38)*Inputs!$B$5:$B$170*(((Inputs!$G$5:$G$170="moeda")+(Inputs!$G$5:$G$170="acoes"))*Inputs!$B$1+((Inputs!$G$5:$G$170&lt;&gt;"moeda")*(Inputs!$G$5:$G$170&lt;&gt;"acoes")))*INDEX(Inputs!$K$5:$AJ$170,0,MATCH(P$2,Inputs!$K$4:$AJ$4,0)))+SUMPRODUCT((Inputs!$C$5:$C$170=$B38)*Inputs!$D$5:$D$170*(((Inputs!$G$5:$G$170="moeda")+(Inputs!$G$5:$G$170="acoes"))*Inputs!$B$1+((Inputs!$G$5:$G$170&lt;&gt;"moeda")*(Inputs!$G$5:$G$170&lt;&gt;"acoes")))*INDEX(Inputs!$K$5:$AJ$170,0,MATCH(P$2,Inputs!$K$4:$AJ$4,0)))+SUMPRODUCT((Inputs!$E$5:$E$170=$B38)*Inputs!$F$5:$F$170*(((Inputs!$G$5:$G$170="moeda")+(Inputs!$G$5:$G$170="acoes"))*Inputs!$B$1+((Inputs!$G$5:$G$170&lt;&gt;"moeda")*(Inputs!$G$5:$G$170&lt;&gt;"acoes")))*INDEX(Inputs!$K$5:$AJ$170,0,MATCH(P$2,Inputs!$K$4:$AJ$4,0)))))</f>
        <v>814.36</v>
      </c>
      <c r="Q38" s="6">
        <f>IF(ISNA(MATCH(Q$2,Inputs!$K$4:$AJ$4,0)),NA(),IF(SUMPRODUCT((Inputs!$A$5:$A$170=$B38)*ISNUMBER(INDEX(Inputs!$K$5:$AJ$170,0,MATCH(Q$2,Inputs!$K$4:$AJ$4,0))))+SUMPRODUCT((Inputs!$C$5:$C$170=$B38)*ISNUMBER(INDEX(Inputs!$K$5:$AJ$170,0,MATCH(Q$2,Inputs!$K$4:$AJ$4,0))))+SUMPRODUCT((Inputs!$E$5:$E$170=$B38)*ISNUMBER(INDEX(Inputs!$K$5:$AJ$170,0,MATCH(Q$2,Inputs!$K$4:$AJ$4,0))))=0,NA(),SUMPRODUCT((Inputs!$A$5:$A$170=$B38)*Inputs!$B$5:$B$170*(((Inputs!$G$5:$G$170="moeda")+(Inputs!$G$5:$G$170="acoes"))*Inputs!$B$1+((Inputs!$G$5:$G$170&lt;&gt;"moeda")*(Inputs!$G$5:$G$170&lt;&gt;"acoes")))*INDEX(Inputs!$K$5:$AJ$170,0,MATCH(Q$2,Inputs!$K$4:$AJ$4,0)))+SUMPRODUCT((Inputs!$C$5:$C$170=$B38)*Inputs!$D$5:$D$170*(((Inputs!$G$5:$G$170="moeda")+(Inputs!$G$5:$G$170="acoes"))*Inputs!$B$1+((Inputs!$G$5:$G$170&lt;&gt;"moeda")*(Inputs!$G$5:$G$170&lt;&gt;"acoes")))*INDEX(Inputs!$K$5:$AJ$170,0,MATCH(Q$2,Inputs!$K$4:$AJ$4,0)))+SUMPRODUCT((Inputs!$E$5:$E$170=$B38)*Inputs!$F$5:$F$170*(((Inputs!$G$5:$G$170="moeda")+(Inputs!$G$5:$G$170="acoes"))*Inputs!$B$1+((Inputs!$G$5:$G$170&lt;&gt;"moeda")*(Inputs!$G$5:$G$170&lt;&gt;"acoes")))*INDEX(Inputs!$K$5:$AJ$170,0,MATCH(Q$2,Inputs!$K$4:$AJ$4,0)))))</f>
        <v>780.22</v>
      </c>
      <c r="R38" s="3">
        <f>Q38</f>
        <v>780.22</v>
      </c>
      <c r="S38" s="6">
        <f>IF(ISNA(MATCH(S$2,Inputs!$K$4:$AJ$4,0)),NA(),IF(SUMPRODUCT((Inputs!$A$5:$A$170=$B38)*ISNUMBER(INDEX(Inputs!$K$5:$AJ$170,0,MATCH(S$2,Inputs!$K$4:$AJ$4,0))))+SUMPRODUCT((Inputs!$C$5:$C$170=$B38)*ISNUMBER(INDEX(Inputs!$K$5:$AJ$170,0,MATCH(S$2,Inputs!$K$4:$AJ$4,0))))+SUMPRODUCT((Inputs!$E$5:$E$170=$B38)*ISNUMBER(INDEX(Inputs!$K$5:$AJ$170,0,MATCH(S$2,Inputs!$K$4:$AJ$4,0))))=0,NA(),SUMPRODUCT((Inputs!$A$5:$A$170=$B38)*Inputs!$B$5:$B$170*(((Inputs!$G$5:$G$170="moeda")+(Inputs!$G$5:$G$170="acoes"))*Inputs!$B$1+((Inputs!$G$5:$G$170&lt;&gt;"moeda")*(Inputs!$G$5:$G$170&lt;&gt;"acoes")))*INDEX(Inputs!$K$5:$AJ$170,0,MATCH(S$2,Inputs!$K$4:$AJ$4,0)))+SUMPRODUCT((Inputs!$C$5:$C$170=$B38)*Inputs!$D$5:$D$170*(((Inputs!$G$5:$G$170="moeda")+(Inputs!$G$5:$G$170="acoes"))*Inputs!$B$1+((Inputs!$G$5:$G$170&lt;&gt;"moeda")*(Inputs!$G$5:$G$170&lt;&gt;"acoes")))*INDEX(Inputs!$K$5:$AJ$170,0,MATCH(S$2,Inputs!$K$4:$AJ$4,0)))+SUMPRODUCT((Inputs!$E$5:$E$170=$B38)*Inputs!$F$5:$F$170*(((Inputs!$G$5:$G$170="moeda")+(Inputs!$G$5:$G$170="acoes"))*Inputs!$B$1+((Inputs!$G$5:$G$170&lt;&gt;"moeda")*(Inputs!$G$5:$G$170&lt;&gt;"acoes")))*INDEX(Inputs!$K$5:$AJ$170,0,MATCH(S$2,Inputs!$K$4:$AJ$4,0)))))</f>
        <v>780.929</v>
      </c>
      <c r="T38" s="6">
        <f>IF(ISNA(MATCH(T$2,Inputs!$K$4:$AJ$4,0)),NA(),IF(SUMPRODUCT((Inputs!$A$5:$A$170=$B38)*ISNUMBER(INDEX(Inputs!$K$5:$AJ$170,0,MATCH(T$2,Inputs!$K$4:$AJ$4,0))))+SUMPRODUCT((Inputs!$C$5:$C$170=$B38)*ISNUMBER(INDEX(Inputs!$K$5:$AJ$170,0,MATCH(T$2,Inputs!$K$4:$AJ$4,0))))+SUMPRODUCT((Inputs!$E$5:$E$170=$B38)*ISNUMBER(INDEX(Inputs!$K$5:$AJ$170,0,MATCH(T$2,Inputs!$K$4:$AJ$4,0))))=0,NA(),SUMPRODUCT((Inputs!$A$5:$A$170=$B38)*Inputs!$B$5:$B$170*(((Inputs!$G$5:$G$170="moeda")+(Inputs!$G$5:$G$170="acoes"))*Inputs!$B$1+((Inputs!$G$5:$G$170&lt;&gt;"moeda")*(Inputs!$G$5:$G$170&lt;&gt;"acoes")))*INDEX(Inputs!$K$5:$AJ$170,0,MATCH(T$2,Inputs!$K$4:$AJ$4,0)))+SUMPRODUCT((Inputs!$C$5:$C$170=$B38)*Inputs!$D$5:$D$170*(((Inputs!$G$5:$G$170="moeda")+(Inputs!$G$5:$G$170="acoes"))*Inputs!$B$1+((Inputs!$G$5:$G$170&lt;&gt;"moeda")*(Inputs!$G$5:$G$170&lt;&gt;"acoes")))*INDEX(Inputs!$K$5:$AJ$170,0,MATCH(T$2,Inputs!$K$4:$AJ$4,0)))+SUMPRODUCT((Inputs!$E$5:$E$170=$B38)*Inputs!$F$5:$F$170*(((Inputs!$G$5:$G$170="moeda")+(Inputs!$G$5:$G$170="acoes"))*Inputs!$B$1+((Inputs!$G$5:$G$170&lt;&gt;"moeda")*(Inputs!$G$5:$G$170&lt;&gt;"acoes")))*INDEX(Inputs!$K$5:$AJ$170,0,MATCH(T$2,Inputs!$K$4:$AJ$4,0)))))</f>
        <v>861.486</v>
      </c>
      <c r="U38" s="6">
        <f>IF(ISNA(MATCH(U$2,Inputs!$K$4:$AJ$4,0)),NA(),IF(SUMPRODUCT((Inputs!$A$5:$A$170=$B38)*ISNUMBER(INDEX(Inputs!$K$5:$AJ$170,0,MATCH(U$2,Inputs!$K$4:$AJ$4,0))))+SUMPRODUCT((Inputs!$C$5:$C$170=$B38)*ISNUMBER(INDEX(Inputs!$K$5:$AJ$170,0,MATCH(U$2,Inputs!$K$4:$AJ$4,0))))+SUMPRODUCT((Inputs!$E$5:$E$170=$B38)*ISNUMBER(INDEX(Inputs!$K$5:$AJ$170,0,MATCH(U$2,Inputs!$K$4:$AJ$4,0))))=0,NA(),SUMPRODUCT((Inputs!$A$5:$A$170=$B38)*Inputs!$B$5:$B$170*(((Inputs!$G$5:$G$170="moeda")+(Inputs!$G$5:$G$170="acoes"))*Inputs!$B$1+((Inputs!$G$5:$G$170&lt;&gt;"moeda")*(Inputs!$G$5:$G$170&lt;&gt;"acoes")))*INDEX(Inputs!$K$5:$AJ$170,0,MATCH(U$2,Inputs!$K$4:$AJ$4,0)))+SUMPRODUCT((Inputs!$C$5:$C$170=$B38)*Inputs!$D$5:$D$170*(((Inputs!$G$5:$G$170="moeda")+(Inputs!$G$5:$G$170="acoes"))*Inputs!$B$1+((Inputs!$G$5:$G$170&lt;&gt;"moeda")*(Inputs!$G$5:$G$170&lt;&gt;"acoes")))*INDEX(Inputs!$K$5:$AJ$170,0,MATCH(U$2,Inputs!$K$4:$AJ$4,0)))+SUMPRODUCT((Inputs!$E$5:$E$170=$B38)*Inputs!$F$5:$F$170*(((Inputs!$G$5:$G$170="moeda")+(Inputs!$G$5:$G$170="acoes"))*Inputs!$B$1+((Inputs!$G$5:$G$170&lt;&gt;"moeda")*(Inputs!$G$5:$G$170&lt;&gt;"acoes")))*INDEX(Inputs!$K$5:$AJ$170,0,MATCH(U$2,Inputs!$K$4:$AJ$4,0)))))</f>
        <v>937.03</v>
      </c>
      <c r="V38" s="6">
        <f>IF(ISNA(MATCH(V$2,Inputs!$K$4:$AJ$4,0)),NA(),IF(SUMPRODUCT((Inputs!$A$5:$A$170=$B38)*ISNUMBER(INDEX(Inputs!$K$5:$AJ$170,0,MATCH(V$2,Inputs!$K$4:$AJ$4,0))))+SUMPRODUCT((Inputs!$C$5:$C$170=$B38)*ISNUMBER(INDEX(Inputs!$K$5:$AJ$170,0,MATCH(V$2,Inputs!$K$4:$AJ$4,0))))+SUMPRODUCT((Inputs!$E$5:$E$170=$B38)*ISNUMBER(INDEX(Inputs!$K$5:$AJ$170,0,MATCH(V$2,Inputs!$K$4:$AJ$4,0))))=0,NA(),SUMPRODUCT((Inputs!$A$5:$A$170=$B38)*Inputs!$B$5:$B$170*(((Inputs!$G$5:$G$170="moeda")+(Inputs!$G$5:$G$170="acoes"))*Inputs!$B$1+((Inputs!$G$5:$G$170&lt;&gt;"moeda")*(Inputs!$G$5:$G$170&lt;&gt;"acoes")))*INDEX(Inputs!$K$5:$AJ$170,0,MATCH(V$2,Inputs!$K$4:$AJ$4,0)))+SUMPRODUCT((Inputs!$C$5:$C$170=$B38)*Inputs!$D$5:$D$170*(((Inputs!$G$5:$G$170="moeda")+(Inputs!$G$5:$G$170="acoes"))*Inputs!$B$1+((Inputs!$G$5:$G$170&lt;&gt;"moeda")*(Inputs!$G$5:$G$170&lt;&gt;"acoes")))*INDEX(Inputs!$K$5:$AJ$170,0,MATCH(V$2,Inputs!$K$4:$AJ$4,0)))+SUMPRODUCT((Inputs!$E$5:$E$170=$B38)*Inputs!$F$5:$F$170*(((Inputs!$G$5:$G$170="moeda")+(Inputs!$G$5:$G$170="acoes"))*Inputs!$B$1+((Inputs!$G$5:$G$170&lt;&gt;"moeda")*(Inputs!$G$5:$G$170&lt;&gt;"acoes")))*INDEX(Inputs!$K$5:$AJ$170,0,MATCH(V$2,Inputs!$K$4:$AJ$4,0)))))</f>
        <v>319.118</v>
      </c>
      <c r="W38" s="3">
        <f>V38</f>
        <v>319.118</v>
      </c>
      <c r="X38" s="6">
        <f>IF(ISNA(MATCH(X$2,Inputs!$K$4:$AJ$4,0)),NA(),IF(SUMPRODUCT((Inputs!$A$5:$A$170=$B38)*ISNUMBER(INDEX(Inputs!$K$5:$AJ$170,0,MATCH(X$2,Inputs!$K$4:$AJ$4,0))))+SUMPRODUCT((Inputs!$C$5:$C$170=$B38)*ISNUMBER(INDEX(Inputs!$K$5:$AJ$170,0,MATCH(X$2,Inputs!$K$4:$AJ$4,0))))+SUMPRODUCT((Inputs!$E$5:$E$170=$B38)*ISNUMBER(INDEX(Inputs!$K$5:$AJ$170,0,MATCH(X$2,Inputs!$K$4:$AJ$4,0))))=0,NA(),SUMPRODUCT((Inputs!$A$5:$A$170=$B38)*Inputs!$B$5:$B$170*(((Inputs!$G$5:$G$170="moeda")+(Inputs!$G$5:$G$170="acoes"))*Inputs!$B$1+((Inputs!$G$5:$G$170&lt;&gt;"moeda")*(Inputs!$G$5:$G$170&lt;&gt;"acoes")))*INDEX(Inputs!$K$5:$AJ$170,0,MATCH(X$2,Inputs!$K$4:$AJ$4,0)))+SUMPRODUCT((Inputs!$C$5:$C$170=$B38)*Inputs!$D$5:$D$170*(((Inputs!$G$5:$G$170="moeda")+(Inputs!$G$5:$G$170="acoes"))*Inputs!$B$1+((Inputs!$G$5:$G$170&lt;&gt;"moeda")*(Inputs!$G$5:$G$170&lt;&gt;"acoes")))*INDEX(Inputs!$K$5:$AJ$170,0,MATCH(X$2,Inputs!$K$4:$AJ$4,0)))+SUMPRODUCT((Inputs!$E$5:$E$170=$B38)*Inputs!$F$5:$F$170*(((Inputs!$G$5:$G$170="moeda")+(Inputs!$G$5:$G$170="acoes"))*Inputs!$B$1+((Inputs!$G$5:$G$170&lt;&gt;"moeda")*(Inputs!$G$5:$G$170&lt;&gt;"acoes")))*INDEX(Inputs!$K$5:$AJ$170,0,MATCH(X$2,Inputs!$K$4:$AJ$4,0)))))</f>
        <v>331.116</v>
      </c>
      <c r="Y38" s="6">
        <f>IF(ISNA(MATCH(Y$2,Inputs!$K$4:$AJ$4,0)),NA(),IF(SUMPRODUCT((Inputs!$A$5:$A$170=$B38)*ISNUMBER(INDEX(Inputs!$K$5:$AJ$170,0,MATCH(Y$2,Inputs!$K$4:$AJ$4,0))))+SUMPRODUCT((Inputs!$C$5:$C$170=$B38)*ISNUMBER(INDEX(Inputs!$K$5:$AJ$170,0,MATCH(Y$2,Inputs!$K$4:$AJ$4,0))))+SUMPRODUCT((Inputs!$E$5:$E$170=$B38)*ISNUMBER(INDEX(Inputs!$K$5:$AJ$170,0,MATCH(Y$2,Inputs!$K$4:$AJ$4,0))))=0,NA(),SUMPRODUCT((Inputs!$A$5:$A$170=$B38)*Inputs!$B$5:$B$170*(((Inputs!$G$5:$G$170="moeda")+(Inputs!$G$5:$G$170="acoes"))*Inputs!$B$1+((Inputs!$G$5:$G$170&lt;&gt;"moeda")*(Inputs!$G$5:$G$170&lt;&gt;"acoes")))*INDEX(Inputs!$K$5:$AJ$170,0,MATCH(Y$2,Inputs!$K$4:$AJ$4,0)))+SUMPRODUCT((Inputs!$C$5:$C$170=$B38)*Inputs!$D$5:$D$170*(((Inputs!$G$5:$G$170="moeda")+(Inputs!$G$5:$G$170="acoes"))*Inputs!$B$1+((Inputs!$G$5:$G$170&lt;&gt;"moeda")*(Inputs!$G$5:$G$170&lt;&gt;"acoes")))*INDEX(Inputs!$K$5:$AJ$170,0,MATCH(Y$2,Inputs!$K$4:$AJ$4,0)))+SUMPRODUCT((Inputs!$E$5:$E$170=$B38)*Inputs!$F$5:$F$170*(((Inputs!$G$5:$G$170="moeda")+(Inputs!$G$5:$G$170="acoes"))*Inputs!$B$1+((Inputs!$G$5:$G$170&lt;&gt;"moeda")*(Inputs!$G$5:$G$170&lt;&gt;"acoes")))*INDEX(Inputs!$K$5:$AJ$170,0,MATCH(Y$2,Inputs!$K$4:$AJ$4,0)))))</f>
        <v>356.854</v>
      </c>
      <c r="Z38" s="6">
        <f>IF(ISNA(MATCH(Z$2,Inputs!$K$4:$AJ$4,0)),NA(),IF(SUMPRODUCT((Inputs!$A$5:$A$170=$B38)*ISNUMBER(INDEX(Inputs!$K$5:$AJ$170,0,MATCH(Z$2,Inputs!$K$4:$AJ$4,0))))+SUMPRODUCT((Inputs!$C$5:$C$170=$B38)*ISNUMBER(INDEX(Inputs!$K$5:$AJ$170,0,MATCH(Z$2,Inputs!$K$4:$AJ$4,0))))+SUMPRODUCT((Inputs!$E$5:$E$170=$B38)*ISNUMBER(INDEX(Inputs!$K$5:$AJ$170,0,MATCH(Z$2,Inputs!$K$4:$AJ$4,0))))=0,NA(),SUMPRODUCT((Inputs!$A$5:$A$170=$B38)*Inputs!$B$5:$B$170*(((Inputs!$G$5:$G$170="moeda")+(Inputs!$G$5:$G$170="acoes"))*Inputs!$B$1+((Inputs!$G$5:$G$170&lt;&gt;"moeda")*(Inputs!$G$5:$G$170&lt;&gt;"acoes")))*INDEX(Inputs!$K$5:$AJ$170,0,MATCH(Z$2,Inputs!$K$4:$AJ$4,0)))+SUMPRODUCT((Inputs!$C$5:$C$170=$B38)*Inputs!$D$5:$D$170*(((Inputs!$G$5:$G$170="moeda")+(Inputs!$G$5:$G$170="acoes"))*Inputs!$B$1+((Inputs!$G$5:$G$170&lt;&gt;"moeda")*(Inputs!$G$5:$G$170&lt;&gt;"acoes")))*INDEX(Inputs!$K$5:$AJ$170,0,MATCH(Z$2,Inputs!$K$4:$AJ$4,0)))+SUMPRODUCT((Inputs!$E$5:$E$170=$B38)*Inputs!$F$5:$F$170*(((Inputs!$G$5:$G$170="moeda")+(Inputs!$G$5:$G$170="acoes"))*Inputs!$B$1+((Inputs!$G$5:$G$170&lt;&gt;"moeda")*(Inputs!$G$5:$G$170&lt;&gt;"acoes")))*INDEX(Inputs!$K$5:$AJ$170,0,MATCH(Z$2,Inputs!$K$4:$AJ$4,0)))))</f>
        <v>393.331</v>
      </c>
      <c r="AA38" s="6">
        <f>IF(ISNA(MATCH(AA$2,Inputs!$K$4:$AJ$4,0)),NA(),IF(SUMPRODUCT((Inputs!$A$5:$A$170=$B38)*ISNUMBER(INDEX(Inputs!$K$5:$AJ$170,0,MATCH(AA$2,Inputs!$K$4:$AJ$4,0))))+SUMPRODUCT((Inputs!$C$5:$C$170=$B38)*ISNUMBER(INDEX(Inputs!$K$5:$AJ$170,0,MATCH(AA$2,Inputs!$K$4:$AJ$4,0))))+SUMPRODUCT((Inputs!$E$5:$E$170=$B38)*ISNUMBER(INDEX(Inputs!$K$5:$AJ$170,0,MATCH(AA$2,Inputs!$K$4:$AJ$4,0))))=0,NA(),SUMPRODUCT((Inputs!$A$5:$A$170=$B38)*Inputs!$B$5:$B$170*(((Inputs!$G$5:$G$170="moeda")+(Inputs!$G$5:$G$170="acoes"))*Inputs!$B$1+((Inputs!$G$5:$G$170&lt;&gt;"moeda")*(Inputs!$G$5:$G$170&lt;&gt;"acoes")))*INDEX(Inputs!$K$5:$AJ$170,0,MATCH(AA$2,Inputs!$K$4:$AJ$4,0)))+SUMPRODUCT((Inputs!$C$5:$C$170=$B38)*Inputs!$D$5:$D$170*(((Inputs!$G$5:$G$170="moeda")+(Inputs!$G$5:$G$170="acoes"))*Inputs!$B$1+((Inputs!$G$5:$G$170&lt;&gt;"moeda")*(Inputs!$G$5:$G$170&lt;&gt;"acoes")))*INDEX(Inputs!$K$5:$AJ$170,0,MATCH(AA$2,Inputs!$K$4:$AJ$4,0)))+SUMPRODUCT((Inputs!$E$5:$E$170=$B38)*Inputs!$F$5:$F$170*(((Inputs!$G$5:$G$170="moeda")+(Inputs!$G$5:$G$170="acoes"))*Inputs!$B$1+((Inputs!$G$5:$G$170&lt;&gt;"moeda")*(Inputs!$G$5:$G$170&lt;&gt;"acoes")))*INDEX(Inputs!$K$5:$AJ$170,0,MATCH(AA$2,Inputs!$K$4:$AJ$4,0)))))</f>
        <v>554.65</v>
      </c>
      <c r="AB38" s="3">
        <f>AA38</f>
        <v>554.65</v>
      </c>
      <c r="AC38" s="6">
        <f>IF(ISNA(MATCH(AC$2,Inputs!$K$4:$AJ$4,0)),NA(),IF(SUMPRODUCT((Inputs!$A$5:$A$170=$B38)*ISNUMBER(INDEX(Inputs!$K$5:$AJ$170,0,MATCH(AC$2,Inputs!$K$4:$AJ$4,0))))+SUMPRODUCT((Inputs!$C$5:$C$170=$B38)*ISNUMBER(INDEX(Inputs!$K$5:$AJ$170,0,MATCH(AC$2,Inputs!$K$4:$AJ$4,0))))+SUMPRODUCT((Inputs!$E$5:$E$170=$B38)*ISNUMBER(INDEX(Inputs!$K$5:$AJ$170,0,MATCH(AC$2,Inputs!$K$4:$AJ$4,0))))=0,NA(),SUMPRODUCT((Inputs!$A$5:$A$170=$B38)*Inputs!$B$5:$B$170*(((Inputs!$G$5:$G$170="moeda")+(Inputs!$G$5:$G$170="acoes"))*Inputs!$B$1+((Inputs!$G$5:$G$170&lt;&gt;"moeda")*(Inputs!$G$5:$G$170&lt;&gt;"acoes")))*INDEX(Inputs!$K$5:$AJ$170,0,MATCH(AC$2,Inputs!$K$4:$AJ$4,0)))+SUMPRODUCT((Inputs!$C$5:$C$170=$B38)*Inputs!$D$5:$D$170*(((Inputs!$G$5:$G$170="moeda")+(Inputs!$G$5:$G$170="acoes"))*Inputs!$B$1+((Inputs!$G$5:$G$170&lt;&gt;"moeda")*(Inputs!$G$5:$G$170&lt;&gt;"acoes")))*INDEX(Inputs!$K$5:$AJ$170,0,MATCH(AC$2,Inputs!$K$4:$AJ$4,0)))+SUMPRODUCT((Inputs!$E$5:$E$170=$B38)*Inputs!$F$5:$F$170*(((Inputs!$G$5:$G$170="moeda")+(Inputs!$G$5:$G$170="acoes"))*Inputs!$B$1+((Inputs!$G$5:$G$170&lt;&gt;"moeda")*(Inputs!$G$5:$G$170&lt;&gt;"acoes")))*INDEX(Inputs!$K$5:$AJ$170,0,MATCH(AC$2,Inputs!$K$4:$AJ$4,0)))))</f>
        <v>583.321</v>
      </c>
      <c r="AD38" s="6">
        <f>IF(ISNA(MATCH(AD$2,Inputs!$K$4:$AJ$4,0)),NA(),IF(SUMPRODUCT((Inputs!$A$5:$A$170=$B38)*ISNUMBER(INDEX(Inputs!$K$5:$AJ$170,0,MATCH(AD$2,Inputs!$K$4:$AJ$4,0))))+SUMPRODUCT((Inputs!$C$5:$C$170=$B38)*ISNUMBER(INDEX(Inputs!$K$5:$AJ$170,0,MATCH(AD$2,Inputs!$K$4:$AJ$4,0))))+SUMPRODUCT((Inputs!$E$5:$E$170=$B38)*ISNUMBER(INDEX(Inputs!$K$5:$AJ$170,0,MATCH(AD$2,Inputs!$K$4:$AJ$4,0))))=0,NA(),SUMPRODUCT((Inputs!$A$5:$A$170=$B38)*Inputs!$B$5:$B$170*(((Inputs!$G$5:$G$170="moeda")+(Inputs!$G$5:$G$170="acoes"))*Inputs!$B$1+((Inputs!$G$5:$G$170&lt;&gt;"moeda")*(Inputs!$G$5:$G$170&lt;&gt;"acoes")))*INDEX(Inputs!$K$5:$AJ$170,0,MATCH(AD$2,Inputs!$K$4:$AJ$4,0)))+SUMPRODUCT((Inputs!$C$5:$C$170=$B38)*Inputs!$D$5:$D$170*(((Inputs!$G$5:$G$170="moeda")+(Inputs!$G$5:$G$170="acoes"))*Inputs!$B$1+((Inputs!$G$5:$G$170&lt;&gt;"moeda")*(Inputs!$G$5:$G$170&lt;&gt;"acoes")))*INDEX(Inputs!$K$5:$AJ$170,0,MATCH(AD$2,Inputs!$K$4:$AJ$4,0)))+SUMPRODUCT((Inputs!$E$5:$E$170=$B38)*Inputs!$F$5:$F$170*(((Inputs!$G$5:$G$170="moeda")+(Inputs!$G$5:$G$170="acoes"))*Inputs!$B$1+((Inputs!$G$5:$G$170&lt;&gt;"moeda")*(Inputs!$G$5:$G$170&lt;&gt;"acoes")))*INDEX(Inputs!$K$5:$AJ$170,0,MATCH(AD$2,Inputs!$K$4:$AJ$4,0)))))</f>
        <v>610.153</v>
      </c>
      <c r="AE38" s="6" t="e">
        <f>IF(ISNA(MATCH(AE$2,Inputs!$K$4:$AJ$4,0)),NA(),IF(SUMPRODUCT((Inputs!$A$5:$A$170=$B38)*ISNUMBER(INDEX(Inputs!$K$5:$AJ$170,0,MATCH(AE$2,Inputs!$K$4:$AJ$4,0))))+SUMPRODUCT((Inputs!$C$5:$C$170=$B38)*ISNUMBER(INDEX(Inputs!$K$5:$AJ$170,0,MATCH(AE$2,Inputs!$K$4:$AJ$4,0))))+SUMPRODUCT((Inputs!$E$5:$E$170=$B38)*ISNUMBER(INDEX(Inputs!$K$5:$AJ$170,0,MATCH(AE$2,Inputs!$K$4:$AJ$4,0))))=0,NA(),SUMPRODUCT((Inputs!$A$5:$A$170=$B38)*Inputs!$B$5:$B$170*(((Inputs!$G$5:$G$170="moeda")+(Inputs!$G$5:$G$170="acoes"))*Inputs!$B$1+((Inputs!$G$5:$G$170&lt;&gt;"moeda")*(Inputs!$G$5:$G$170&lt;&gt;"acoes")))*INDEX(Inputs!$K$5:$AJ$170,0,MATCH(AE$2,Inputs!$K$4:$AJ$4,0)))+SUMPRODUCT((Inputs!$C$5:$C$170=$B38)*Inputs!$D$5:$D$170*(((Inputs!$G$5:$G$170="moeda")+(Inputs!$G$5:$G$170="acoes"))*Inputs!$B$1+((Inputs!$G$5:$G$170&lt;&gt;"moeda")*(Inputs!$G$5:$G$170&lt;&gt;"acoes")))*INDEX(Inputs!$K$5:$AJ$170,0,MATCH(AE$2,Inputs!$K$4:$AJ$4,0)))+SUMPRODUCT((Inputs!$E$5:$E$170=$B38)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8" s="6" t="e">
        <f>IF(ISNA(MATCH(AF$2,Inputs!$K$4:$AJ$4,0)),NA(),IF(SUMPRODUCT((Inputs!$A$5:$A$170=$B38)*ISNUMBER(INDEX(Inputs!$K$5:$AJ$170,0,MATCH(AF$2,Inputs!$K$4:$AJ$4,0))))+SUMPRODUCT((Inputs!$C$5:$C$170=$B38)*ISNUMBER(INDEX(Inputs!$K$5:$AJ$170,0,MATCH(AF$2,Inputs!$K$4:$AJ$4,0))))+SUMPRODUCT((Inputs!$E$5:$E$170=$B38)*ISNUMBER(INDEX(Inputs!$K$5:$AJ$170,0,MATCH(AF$2,Inputs!$K$4:$AJ$4,0))))=0,NA(),SUMPRODUCT((Inputs!$A$5:$A$170=$B38)*Inputs!$B$5:$B$170*(((Inputs!$G$5:$G$170="moeda")+(Inputs!$G$5:$G$170="acoes"))*Inputs!$B$1+((Inputs!$G$5:$G$170&lt;&gt;"moeda")*(Inputs!$G$5:$G$170&lt;&gt;"acoes")))*INDEX(Inputs!$K$5:$AJ$170,0,MATCH(AF$2,Inputs!$K$4:$AJ$4,0)))+SUMPRODUCT((Inputs!$C$5:$C$170=$B38)*Inputs!$D$5:$D$170*(((Inputs!$G$5:$G$170="moeda")+(Inputs!$G$5:$G$170="acoes"))*Inputs!$B$1+((Inputs!$G$5:$G$170&lt;&gt;"moeda")*(Inputs!$G$5:$G$170&lt;&gt;"acoes")))*INDEX(Inputs!$K$5:$AJ$170,0,MATCH(AF$2,Inputs!$K$4:$AJ$4,0)))+SUMPRODUCT((Inputs!$E$5:$E$170=$B38)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8" s="3" t="e">
        <f>AF38</f>
        <v>#N/A</v>
      </c>
      <c r="AH38" s="6">
        <f>IF(ISNA(MATCH(AH$2,Inputs!$K$4:$AJ$4,0)),NA(),IF(SUMPRODUCT((Inputs!$A$5:$A$170=$B38)*ISNUMBER(INDEX(Inputs!$K$5:$AJ$170,0,MATCH(AH$2,Inputs!$K$4:$AJ$4,0))))+SUMPRODUCT((Inputs!$C$5:$C$170=$B38)*ISNUMBER(INDEX(Inputs!$K$5:$AJ$170,0,MATCH(AH$2,Inputs!$K$4:$AJ$4,0))))+SUMPRODUCT((Inputs!$E$5:$E$170=$B38)*ISNUMBER(INDEX(Inputs!$K$5:$AJ$170,0,MATCH(AH$2,Inputs!$K$4:$AJ$4,0))))=0,NA(),SUMPRODUCT((Inputs!$A$5:$A$170=$B38)*Inputs!$B$5:$B$170*(((Inputs!$G$5:$G$170="moeda")+(Inputs!$G$5:$G$170="acoes"))*Inputs!$B$1+((Inputs!$G$5:$G$170&lt;&gt;"moeda")*(Inputs!$G$5:$G$170&lt;&gt;"acoes")))*INDEX(Inputs!$K$5:$AJ$170,0,MATCH(AH$2,Inputs!$K$4:$AJ$4,0)))+SUMPRODUCT((Inputs!$C$5:$C$170=$B38)*Inputs!$D$5:$D$170*(((Inputs!$G$5:$G$170="moeda")+(Inputs!$G$5:$G$170="acoes"))*Inputs!$B$1+((Inputs!$G$5:$G$170&lt;&gt;"moeda")*(Inputs!$G$5:$G$170&lt;&gt;"acoes")))*INDEX(Inputs!$K$5:$AJ$170,0,MATCH(AH$2,Inputs!$K$4:$AJ$4,0)))+SUMPRODUCT((Inputs!$E$5:$E$170=$B38)*Inputs!$F$5:$F$170*(((Inputs!$G$5:$G$170="moeda")+(Inputs!$G$5:$G$170="acoes"))*Inputs!$B$1+((Inputs!$G$5:$G$170&lt;&gt;"moeda")*(Inputs!$G$5:$G$170&lt;&gt;"acoes")))*INDEX(Inputs!$K$5:$AJ$170,0,MATCH(AH$2,Inputs!$K$4:$AJ$4,0)))))</f>
        <v>141.721</v>
      </c>
      <c r="AI38" s="6">
        <f>IF(ISNA(MATCH(AI$2,Inputs!$K$4:$AJ$4,0)),NA(),IF(SUMPRODUCT((Inputs!$A$5:$A$170=$B38)*ISNUMBER(INDEX(Inputs!$K$5:$AJ$170,0,MATCH(AI$2,Inputs!$K$4:$AJ$4,0))))+SUMPRODUCT((Inputs!$C$5:$C$170=$B38)*ISNUMBER(INDEX(Inputs!$K$5:$AJ$170,0,MATCH(AI$2,Inputs!$K$4:$AJ$4,0))))+SUMPRODUCT((Inputs!$E$5:$E$170=$B38)*ISNUMBER(INDEX(Inputs!$K$5:$AJ$170,0,MATCH(AI$2,Inputs!$K$4:$AJ$4,0))))=0,NA(),SUMPRODUCT((Inputs!$A$5:$A$170=$B38)*Inputs!$B$5:$B$170*(((Inputs!$G$5:$G$170="moeda")+(Inputs!$G$5:$G$170="acoes"))*Inputs!$B$1+((Inputs!$G$5:$G$170&lt;&gt;"moeda")*(Inputs!$G$5:$G$170&lt;&gt;"acoes")))*INDEX(Inputs!$K$5:$AJ$170,0,MATCH(AI$2,Inputs!$K$4:$AJ$4,0)))+SUMPRODUCT((Inputs!$C$5:$C$170=$B38)*Inputs!$D$5:$D$170*(((Inputs!$G$5:$G$170="moeda")+(Inputs!$G$5:$G$170="acoes"))*Inputs!$B$1+((Inputs!$G$5:$G$170&lt;&gt;"moeda")*(Inputs!$G$5:$G$170&lt;&gt;"acoes")))*INDEX(Inputs!$K$5:$AJ$170,0,MATCH(AI$2,Inputs!$K$4:$AJ$4,0)))+SUMPRODUCT((Inputs!$E$5:$E$170=$B38)*Inputs!$F$5:$F$170*(((Inputs!$G$5:$G$170="moeda")+(Inputs!$G$5:$G$170="acoes"))*Inputs!$B$1+((Inputs!$G$5:$G$170&lt;&gt;"moeda")*(Inputs!$G$5:$G$170&lt;&gt;"acoes")))*INDEX(Inputs!$K$5:$AJ$170,0,MATCH(AI$2,Inputs!$K$4:$AJ$4,0)))))</f>
        <v>144.148</v>
      </c>
      <c r="AJ38" s="6">
        <f>IF(ISNA(MATCH(AJ$2,Inputs!$K$4:$AJ$4,0)),NA(),IF(SUMPRODUCT((Inputs!$A$5:$A$170=$B38)*ISNUMBER(INDEX(Inputs!$K$5:$AJ$170,0,MATCH(AJ$2,Inputs!$K$4:$AJ$4,0))))+SUMPRODUCT((Inputs!$C$5:$C$170=$B38)*ISNUMBER(INDEX(Inputs!$K$5:$AJ$170,0,MATCH(AJ$2,Inputs!$K$4:$AJ$4,0))))+SUMPRODUCT((Inputs!$E$5:$E$170=$B38)*ISNUMBER(INDEX(Inputs!$K$5:$AJ$170,0,MATCH(AJ$2,Inputs!$K$4:$AJ$4,0))))=0,NA(),SUMPRODUCT((Inputs!$A$5:$A$170=$B38)*Inputs!$B$5:$B$170*(((Inputs!$G$5:$G$170="moeda")+(Inputs!$G$5:$G$170="acoes"))*Inputs!$B$1+((Inputs!$G$5:$G$170&lt;&gt;"moeda")*(Inputs!$G$5:$G$170&lt;&gt;"acoes")))*INDEX(Inputs!$K$5:$AJ$170,0,MATCH(AJ$2,Inputs!$K$4:$AJ$4,0)))+SUMPRODUCT((Inputs!$C$5:$C$170=$B38)*Inputs!$D$5:$D$170*(((Inputs!$G$5:$G$170="moeda")+(Inputs!$G$5:$G$170="acoes"))*Inputs!$B$1+((Inputs!$G$5:$G$170&lt;&gt;"moeda")*(Inputs!$G$5:$G$170&lt;&gt;"acoes")))*INDEX(Inputs!$K$5:$AJ$170,0,MATCH(AJ$2,Inputs!$K$4:$AJ$4,0)))+SUMPRODUCT((Inputs!$E$5:$E$170=$B38)*Inputs!$F$5:$F$170*(((Inputs!$G$5:$G$170="moeda")+(Inputs!$G$5:$G$170="acoes"))*Inputs!$B$1+((Inputs!$G$5:$G$170&lt;&gt;"moeda")*(Inputs!$G$5:$G$170&lt;&gt;"acoes")))*INDEX(Inputs!$K$5:$AJ$170,0,MATCH(AJ$2,Inputs!$K$4:$AJ$4,0)))))</f>
        <v>162.111</v>
      </c>
      <c r="AK38" s="6">
        <f>IF(ISNA(MATCH(AK$2,Inputs!$K$4:$AJ$4,0)),NA(),IF(SUMPRODUCT((Inputs!$A$5:$A$170=$B38)*ISNUMBER(INDEX(Inputs!$K$5:$AJ$170,0,MATCH(AK$2,Inputs!$K$4:$AJ$4,0))))+SUMPRODUCT((Inputs!$C$5:$C$170=$B38)*ISNUMBER(INDEX(Inputs!$K$5:$AJ$170,0,MATCH(AK$2,Inputs!$K$4:$AJ$4,0))))+SUMPRODUCT((Inputs!$E$5:$E$170=$B38)*ISNUMBER(INDEX(Inputs!$K$5:$AJ$170,0,MATCH(AK$2,Inputs!$K$4:$AJ$4,0))))=0,NA(),SUMPRODUCT((Inputs!$A$5:$A$170=$B38)*Inputs!$B$5:$B$170*(((Inputs!$G$5:$G$170="moeda")+(Inputs!$G$5:$G$170="acoes"))*Inputs!$B$1+((Inputs!$G$5:$G$170&lt;&gt;"moeda")*(Inputs!$G$5:$G$170&lt;&gt;"acoes")))*INDEX(Inputs!$K$5:$AJ$170,0,MATCH(AK$2,Inputs!$K$4:$AJ$4,0)))+SUMPRODUCT((Inputs!$C$5:$C$170=$B38)*Inputs!$D$5:$D$170*(((Inputs!$G$5:$G$170="moeda")+(Inputs!$G$5:$G$170="acoes"))*Inputs!$B$1+((Inputs!$G$5:$G$170&lt;&gt;"moeda")*(Inputs!$G$5:$G$170&lt;&gt;"acoes")))*INDEX(Inputs!$K$5:$AJ$170,0,MATCH(AK$2,Inputs!$K$4:$AJ$4,0)))+SUMPRODUCT((Inputs!$E$5:$E$170=$B38)*Inputs!$F$5:$F$170*(((Inputs!$G$5:$G$170="moeda")+(Inputs!$G$5:$G$170="acoes"))*Inputs!$B$1+((Inputs!$G$5:$G$170&lt;&gt;"moeda")*(Inputs!$G$5:$G$170&lt;&gt;"acoes")))*INDEX(Inputs!$K$5:$AJ$170,0,MATCH(AK$2,Inputs!$K$4:$AJ$4,0)))))</f>
        <v>231.043</v>
      </c>
      <c r="AL38" s="3">
        <f>AK38</f>
        <v>231.043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$170=$B39)*ISNUMBER(INDEX(Inputs!$K$5:$AJ$170,0,MATCH(D$2,Inputs!$K$4:$AJ$4,0))))+SUMPRODUCT((Inputs!$C$5:$C$170=$B39)*ISNUMBER(INDEX(Inputs!$K$5:$AJ$170,0,MATCH(D$2,Inputs!$K$4:$AJ$4,0))))+SUMPRODUCT((Inputs!$E$5:$E$170=$B39)*ISNUMBER(INDEX(Inputs!$K$5:$AJ$170,0,MATCH(D$2,Inputs!$K$4:$AJ$4,0))))=0,NA(),SUMPRODUCT((Inputs!$A$5:$A$170=$B39)*Inputs!$B$5:$B$170*(((Inputs!$G$5:$G$170="moeda")+(Inputs!$G$5:$G$170="acoes"))*Inputs!$B$1+((Inputs!$G$5:$G$170&lt;&gt;"moeda")*(Inputs!$G$5:$G$170&lt;&gt;"acoes")))*INDEX(Inputs!$K$5:$AJ$170,0,MATCH(D$2,Inputs!$K$4:$AJ$4,0)))+SUMPRODUCT((Inputs!$C$5:$C$170=$B39)*Inputs!$D$5:$D$170*(((Inputs!$G$5:$G$170="moeda")+(Inputs!$G$5:$G$170="acoes"))*Inputs!$B$1+((Inputs!$G$5:$G$170&lt;&gt;"moeda")*(Inputs!$G$5:$G$170&lt;&gt;"acoes")))*INDEX(Inputs!$K$5:$AJ$170,0,MATCH(D$2,Inputs!$K$4:$AJ$4,0)))+SUMPRODUCT((Inputs!$E$5:$E$170=$B39)*Inputs!$F$5:$F$170*(((Inputs!$G$5:$G$170="moeda")+(Inputs!$G$5:$G$170="acoes"))*Inputs!$B$1+((Inputs!$G$5:$G$170&lt;&gt;"moeda")*(Inputs!$G$5:$G$170&lt;&gt;"acoes")))*INDEX(Inputs!$K$5:$AJ$170,0,MATCH(D$2,Inputs!$K$4:$AJ$4,0)))))</f>
        <v>175.514</v>
      </c>
      <c r="E39" s="6">
        <f>IF(ISNA(MATCH(E$2,Inputs!$K$4:$AJ$4,0)),NA(),IF(SUMPRODUCT((Inputs!$A$5:$A$170=$B39)*ISNUMBER(INDEX(Inputs!$K$5:$AJ$170,0,MATCH(E$2,Inputs!$K$4:$AJ$4,0))))+SUMPRODUCT((Inputs!$C$5:$C$170=$B39)*ISNUMBER(INDEX(Inputs!$K$5:$AJ$170,0,MATCH(E$2,Inputs!$K$4:$AJ$4,0))))+SUMPRODUCT((Inputs!$E$5:$E$170=$B39)*ISNUMBER(INDEX(Inputs!$K$5:$AJ$170,0,MATCH(E$2,Inputs!$K$4:$AJ$4,0))))=0,NA(),SUMPRODUCT((Inputs!$A$5:$A$170=$B39)*Inputs!$B$5:$B$170*(((Inputs!$G$5:$G$170="moeda")+(Inputs!$G$5:$G$170="acoes"))*Inputs!$B$1+((Inputs!$G$5:$G$170&lt;&gt;"moeda")*(Inputs!$G$5:$G$170&lt;&gt;"acoes")))*INDEX(Inputs!$K$5:$AJ$170,0,MATCH(E$2,Inputs!$K$4:$AJ$4,0)))+SUMPRODUCT((Inputs!$C$5:$C$170=$B39)*Inputs!$D$5:$D$170*(((Inputs!$G$5:$G$170="moeda")+(Inputs!$G$5:$G$170="acoes"))*Inputs!$B$1+((Inputs!$G$5:$G$170&lt;&gt;"moeda")*(Inputs!$G$5:$G$170&lt;&gt;"acoes")))*INDEX(Inputs!$K$5:$AJ$170,0,MATCH(E$2,Inputs!$K$4:$AJ$4,0)))+SUMPRODUCT((Inputs!$E$5:$E$170=$B39)*Inputs!$F$5:$F$170*(((Inputs!$G$5:$G$170="moeda")+(Inputs!$G$5:$G$170="acoes"))*Inputs!$B$1+((Inputs!$G$5:$G$170&lt;&gt;"moeda")*(Inputs!$G$5:$G$170&lt;&gt;"acoes")))*INDEX(Inputs!$K$5:$AJ$170,0,MATCH(E$2,Inputs!$K$4:$AJ$4,0)))))</f>
        <v>368.941</v>
      </c>
      <c r="F39" s="6">
        <f>IF(ISNA(MATCH(F$2,Inputs!$K$4:$AJ$4,0)),NA(),IF(SUMPRODUCT((Inputs!$A$5:$A$170=$B39)*ISNUMBER(INDEX(Inputs!$K$5:$AJ$170,0,MATCH(F$2,Inputs!$K$4:$AJ$4,0))))+SUMPRODUCT((Inputs!$C$5:$C$170=$B39)*ISNUMBER(INDEX(Inputs!$K$5:$AJ$170,0,MATCH(F$2,Inputs!$K$4:$AJ$4,0))))+SUMPRODUCT((Inputs!$E$5:$E$170=$B39)*ISNUMBER(INDEX(Inputs!$K$5:$AJ$170,0,MATCH(F$2,Inputs!$K$4:$AJ$4,0))))=0,NA(),SUMPRODUCT((Inputs!$A$5:$A$170=$B39)*Inputs!$B$5:$B$170*(((Inputs!$G$5:$G$170="moeda")+(Inputs!$G$5:$G$170="acoes"))*Inputs!$B$1+((Inputs!$G$5:$G$170&lt;&gt;"moeda")*(Inputs!$G$5:$G$170&lt;&gt;"acoes")))*INDEX(Inputs!$K$5:$AJ$170,0,MATCH(F$2,Inputs!$K$4:$AJ$4,0)))+SUMPRODUCT((Inputs!$C$5:$C$170=$B39)*Inputs!$D$5:$D$170*(((Inputs!$G$5:$G$170="moeda")+(Inputs!$G$5:$G$170="acoes"))*Inputs!$B$1+((Inputs!$G$5:$G$170&lt;&gt;"moeda")*(Inputs!$G$5:$G$170&lt;&gt;"acoes")))*INDEX(Inputs!$K$5:$AJ$170,0,MATCH(F$2,Inputs!$K$4:$AJ$4,0)))+SUMPRODUCT((Inputs!$E$5:$E$170=$B39)*Inputs!$F$5:$F$170*(((Inputs!$G$5:$G$170="moeda")+(Inputs!$G$5:$G$170="acoes"))*Inputs!$B$1+((Inputs!$G$5:$G$170&lt;&gt;"moeda")*(Inputs!$G$5:$G$170&lt;&gt;"acoes")))*INDEX(Inputs!$K$5:$AJ$170,0,MATCH(F$2,Inputs!$K$4:$AJ$4,0)))))</f>
        <v>389.206</v>
      </c>
      <c r="G39" s="6">
        <f>IF(ISNA(MATCH(G$2,Inputs!$K$4:$AJ$4,0)),NA(),IF(SUMPRODUCT((Inputs!$A$5:$A$170=$B39)*ISNUMBER(INDEX(Inputs!$K$5:$AJ$170,0,MATCH(G$2,Inputs!$K$4:$AJ$4,0))))+SUMPRODUCT((Inputs!$C$5:$C$170=$B39)*ISNUMBER(INDEX(Inputs!$K$5:$AJ$170,0,MATCH(G$2,Inputs!$K$4:$AJ$4,0))))+SUMPRODUCT((Inputs!$E$5:$E$170=$B39)*ISNUMBER(INDEX(Inputs!$K$5:$AJ$170,0,MATCH(G$2,Inputs!$K$4:$AJ$4,0))))=0,NA(),SUMPRODUCT((Inputs!$A$5:$A$170=$B39)*Inputs!$B$5:$B$170*(((Inputs!$G$5:$G$170="moeda")+(Inputs!$G$5:$G$170="acoes"))*Inputs!$B$1+((Inputs!$G$5:$G$170&lt;&gt;"moeda")*(Inputs!$G$5:$G$170&lt;&gt;"acoes")))*INDEX(Inputs!$K$5:$AJ$170,0,MATCH(G$2,Inputs!$K$4:$AJ$4,0)))+SUMPRODUCT((Inputs!$C$5:$C$170=$B39)*Inputs!$D$5:$D$170*(((Inputs!$G$5:$G$170="moeda")+(Inputs!$G$5:$G$170="acoes"))*Inputs!$B$1+((Inputs!$G$5:$G$170&lt;&gt;"moeda")*(Inputs!$G$5:$G$170&lt;&gt;"acoes")))*INDEX(Inputs!$K$5:$AJ$170,0,MATCH(G$2,Inputs!$K$4:$AJ$4,0)))+SUMPRODUCT((Inputs!$E$5:$E$170=$B39)*Inputs!$F$5:$F$170*(((Inputs!$G$5:$G$170="moeda")+(Inputs!$G$5:$G$170="acoes"))*Inputs!$B$1+((Inputs!$G$5:$G$170&lt;&gt;"moeda")*(Inputs!$G$5:$G$170&lt;&gt;"acoes")))*INDEX(Inputs!$K$5:$AJ$170,0,MATCH(G$2,Inputs!$K$4:$AJ$4,0)))))</f>
        <v>121.857</v>
      </c>
      <c r="H39" s="3">
        <f>G39</f>
        <v>121.857</v>
      </c>
      <c r="I39" s="6">
        <f>IF(ISNA(MATCH(I$2,Inputs!$K$4:$AJ$4,0)),NA(),IF(SUMPRODUCT((Inputs!$A$5:$A$170=$B39)*ISNUMBER(INDEX(Inputs!$K$5:$AJ$170,0,MATCH(I$2,Inputs!$K$4:$AJ$4,0))))+SUMPRODUCT((Inputs!$C$5:$C$170=$B39)*ISNUMBER(INDEX(Inputs!$K$5:$AJ$170,0,MATCH(I$2,Inputs!$K$4:$AJ$4,0))))+SUMPRODUCT((Inputs!$E$5:$E$170=$B39)*ISNUMBER(INDEX(Inputs!$K$5:$AJ$170,0,MATCH(I$2,Inputs!$K$4:$AJ$4,0))))=0,NA(),SUMPRODUCT((Inputs!$A$5:$A$170=$B39)*Inputs!$B$5:$B$170*(((Inputs!$G$5:$G$170="moeda")+(Inputs!$G$5:$G$170="acoes"))*Inputs!$B$1+((Inputs!$G$5:$G$170&lt;&gt;"moeda")*(Inputs!$G$5:$G$170&lt;&gt;"acoes")))*INDEX(Inputs!$K$5:$AJ$170,0,MATCH(I$2,Inputs!$K$4:$AJ$4,0)))+SUMPRODUCT((Inputs!$C$5:$C$170=$B39)*Inputs!$D$5:$D$170*(((Inputs!$G$5:$G$170="moeda")+(Inputs!$G$5:$G$170="acoes"))*Inputs!$B$1+((Inputs!$G$5:$G$170&lt;&gt;"moeda")*(Inputs!$G$5:$G$170&lt;&gt;"acoes")))*INDEX(Inputs!$K$5:$AJ$170,0,MATCH(I$2,Inputs!$K$4:$AJ$4,0)))+SUMPRODUCT((Inputs!$E$5:$E$170=$B39)*Inputs!$F$5:$F$170*(((Inputs!$G$5:$G$170="moeda")+(Inputs!$G$5:$G$170="acoes"))*Inputs!$B$1+((Inputs!$G$5:$G$170&lt;&gt;"moeda")*(Inputs!$G$5:$G$170&lt;&gt;"acoes")))*INDEX(Inputs!$K$5:$AJ$170,0,MATCH(I$2,Inputs!$K$4:$AJ$4,0)))))</f>
        <v>701.389</v>
      </c>
      <c r="J39" s="6">
        <f>IF(ISNA(MATCH(J$2,Inputs!$K$4:$AJ$4,0)),NA(),IF(SUMPRODUCT((Inputs!$A$5:$A$170=$B39)*ISNUMBER(INDEX(Inputs!$K$5:$AJ$170,0,MATCH(J$2,Inputs!$K$4:$AJ$4,0))))+SUMPRODUCT((Inputs!$C$5:$C$170=$B39)*ISNUMBER(INDEX(Inputs!$K$5:$AJ$170,0,MATCH(J$2,Inputs!$K$4:$AJ$4,0))))+SUMPRODUCT((Inputs!$E$5:$E$170=$B39)*ISNUMBER(INDEX(Inputs!$K$5:$AJ$170,0,MATCH(J$2,Inputs!$K$4:$AJ$4,0))))=0,NA(),SUMPRODUCT((Inputs!$A$5:$A$170=$B39)*Inputs!$B$5:$B$170*(((Inputs!$G$5:$G$170="moeda")+(Inputs!$G$5:$G$170="acoes"))*Inputs!$B$1+((Inputs!$G$5:$G$170&lt;&gt;"moeda")*(Inputs!$G$5:$G$170&lt;&gt;"acoes")))*INDEX(Inputs!$K$5:$AJ$170,0,MATCH(J$2,Inputs!$K$4:$AJ$4,0)))+SUMPRODUCT((Inputs!$C$5:$C$170=$B39)*Inputs!$D$5:$D$170*(((Inputs!$G$5:$G$170="moeda")+(Inputs!$G$5:$G$170="acoes"))*Inputs!$B$1+((Inputs!$G$5:$G$170&lt;&gt;"moeda")*(Inputs!$G$5:$G$170&lt;&gt;"acoes")))*INDEX(Inputs!$K$5:$AJ$170,0,MATCH(J$2,Inputs!$K$4:$AJ$4,0)))+SUMPRODUCT((Inputs!$E$5:$E$170=$B39)*Inputs!$F$5:$F$170*(((Inputs!$G$5:$G$170="moeda")+(Inputs!$G$5:$G$170="acoes"))*Inputs!$B$1+((Inputs!$G$5:$G$170&lt;&gt;"moeda")*(Inputs!$G$5:$G$170&lt;&gt;"acoes")))*INDEX(Inputs!$K$5:$AJ$170,0,MATCH(J$2,Inputs!$K$4:$AJ$4,0)))))</f>
        <v>756.418</v>
      </c>
      <c r="K39" s="6">
        <f>IF(ISNA(MATCH(K$2,Inputs!$K$4:$AJ$4,0)),NA(),IF(SUMPRODUCT((Inputs!$A$5:$A$170=$B39)*ISNUMBER(INDEX(Inputs!$K$5:$AJ$170,0,MATCH(K$2,Inputs!$K$4:$AJ$4,0))))+SUMPRODUCT((Inputs!$C$5:$C$170=$B39)*ISNUMBER(INDEX(Inputs!$K$5:$AJ$170,0,MATCH(K$2,Inputs!$K$4:$AJ$4,0))))+SUMPRODUCT((Inputs!$E$5:$E$170=$B39)*ISNUMBER(INDEX(Inputs!$K$5:$AJ$170,0,MATCH(K$2,Inputs!$K$4:$AJ$4,0))))=0,NA(),SUMPRODUCT((Inputs!$A$5:$A$170=$B39)*Inputs!$B$5:$B$170*(((Inputs!$G$5:$G$170="moeda")+(Inputs!$G$5:$G$170="acoes"))*Inputs!$B$1+((Inputs!$G$5:$G$170&lt;&gt;"moeda")*(Inputs!$G$5:$G$170&lt;&gt;"acoes")))*INDEX(Inputs!$K$5:$AJ$170,0,MATCH(K$2,Inputs!$K$4:$AJ$4,0)))+SUMPRODUCT((Inputs!$C$5:$C$170=$B39)*Inputs!$D$5:$D$170*(((Inputs!$G$5:$G$170="moeda")+(Inputs!$G$5:$G$170="acoes"))*Inputs!$B$1+((Inputs!$G$5:$G$170&lt;&gt;"moeda")*(Inputs!$G$5:$G$170&lt;&gt;"acoes")))*INDEX(Inputs!$K$5:$AJ$170,0,MATCH(K$2,Inputs!$K$4:$AJ$4,0)))+SUMPRODUCT((Inputs!$E$5:$E$170=$B39)*Inputs!$F$5:$F$170*(((Inputs!$G$5:$G$170="moeda")+(Inputs!$G$5:$G$170="acoes"))*Inputs!$B$1+((Inputs!$G$5:$G$170&lt;&gt;"moeda")*(Inputs!$G$5:$G$170&lt;&gt;"acoes")))*INDEX(Inputs!$K$5:$AJ$170,0,MATCH(K$2,Inputs!$K$4:$AJ$4,0)))))</f>
        <v>778.453</v>
      </c>
      <c r="L39" s="6">
        <f>IF(ISNA(MATCH(L$2,Inputs!$K$4:$AJ$4,0)),NA(),IF(SUMPRODUCT((Inputs!$A$5:$A$170=$B39)*ISNUMBER(INDEX(Inputs!$K$5:$AJ$170,0,MATCH(L$2,Inputs!$K$4:$AJ$4,0))))+SUMPRODUCT((Inputs!$C$5:$C$170=$B39)*ISNUMBER(INDEX(Inputs!$K$5:$AJ$170,0,MATCH(L$2,Inputs!$K$4:$AJ$4,0))))+SUMPRODUCT((Inputs!$E$5:$E$170=$B39)*ISNUMBER(INDEX(Inputs!$K$5:$AJ$170,0,MATCH(L$2,Inputs!$K$4:$AJ$4,0))))=0,NA(),SUMPRODUCT((Inputs!$A$5:$A$170=$B39)*Inputs!$B$5:$B$170*(((Inputs!$G$5:$G$170="moeda")+(Inputs!$G$5:$G$170="acoes"))*Inputs!$B$1+((Inputs!$G$5:$G$170&lt;&gt;"moeda")*(Inputs!$G$5:$G$170&lt;&gt;"acoes")))*INDEX(Inputs!$K$5:$AJ$170,0,MATCH(L$2,Inputs!$K$4:$AJ$4,0)))+SUMPRODUCT((Inputs!$C$5:$C$170=$B39)*Inputs!$D$5:$D$170*(((Inputs!$G$5:$G$170="moeda")+(Inputs!$G$5:$G$170="acoes"))*Inputs!$B$1+((Inputs!$G$5:$G$170&lt;&gt;"moeda")*(Inputs!$G$5:$G$170&lt;&gt;"acoes")))*INDEX(Inputs!$K$5:$AJ$170,0,MATCH(L$2,Inputs!$K$4:$AJ$4,0)))+SUMPRODUCT((Inputs!$E$5:$E$170=$B39)*Inputs!$F$5:$F$170*(((Inputs!$G$5:$G$170="moeda")+(Inputs!$G$5:$G$170="acoes"))*Inputs!$B$1+((Inputs!$G$5:$G$170&lt;&gt;"moeda")*(Inputs!$G$5:$G$170&lt;&gt;"acoes")))*INDEX(Inputs!$K$5:$AJ$170,0,MATCH(L$2,Inputs!$K$4:$AJ$4,0)))))</f>
        <v>1291.909</v>
      </c>
      <c r="M39" s="3">
        <f>L39</f>
        <v>1291.909</v>
      </c>
      <c r="N39" s="6">
        <f>IF(ISNA(MATCH(N$2,Inputs!$K$4:$AJ$4,0)),NA(),IF(SUMPRODUCT((Inputs!$A$5:$A$170=$B39)*ISNUMBER(INDEX(Inputs!$K$5:$AJ$170,0,MATCH(N$2,Inputs!$K$4:$AJ$4,0))))+SUMPRODUCT((Inputs!$C$5:$C$170=$B39)*ISNUMBER(INDEX(Inputs!$K$5:$AJ$170,0,MATCH(N$2,Inputs!$K$4:$AJ$4,0))))+SUMPRODUCT((Inputs!$E$5:$E$170=$B39)*ISNUMBER(INDEX(Inputs!$K$5:$AJ$170,0,MATCH(N$2,Inputs!$K$4:$AJ$4,0))))=0,NA(),SUMPRODUCT((Inputs!$A$5:$A$170=$B39)*Inputs!$B$5:$B$170*(((Inputs!$G$5:$G$170="moeda")+(Inputs!$G$5:$G$170="acoes"))*Inputs!$B$1+((Inputs!$G$5:$G$170&lt;&gt;"moeda")*(Inputs!$G$5:$G$170&lt;&gt;"acoes")))*INDEX(Inputs!$K$5:$AJ$170,0,MATCH(N$2,Inputs!$K$4:$AJ$4,0)))+SUMPRODUCT((Inputs!$C$5:$C$170=$B39)*Inputs!$D$5:$D$170*(((Inputs!$G$5:$G$170="moeda")+(Inputs!$G$5:$G$170="acoes"))*Inputs!$B$1+((Inputs!$G$5:$G$170&lt;&gt;"moeda")*(Inputs!$G$5:$G$170&lt;&gt;"acoes")))*INDEX(Inputs!$K$5:$AJ$170,0,MATCH(N$2,Inputs!$K$4:$AJ$4,0)))+SUMPRODUCT((Inputs!$E$5:$E$170=$B39)*Inputs!$F$5:$F$170*(((Inputs!$G$5:$G$170="moeda")+(Inputs!$G$5:$G$170="acoes"))*Inputs!$B$1+((Inputs!$G$5:$G$170&lt;&gt;"moeda")*(Inputs!$G$5:$G$170&lt;&gt;"acoes")))*INDEX(Inputs!$K$5:$AJ$170,0,MATCH(N$2,Inputs!$K$4:$AJ$4,0)))))</f>
        <v>1214.05</v>
      </c>
      <c r="O39" s="6">
        <f>IF(ISNA(MATCH(O$2,Inputs!$K$4:$AJ$4,0)),NA(),IF(SUMPRODUCT((Inputs!$A$5:$A$170=$B39)*ISNUMBER(INDEX(Inputs!$K$5:$AJ$170,0,MATCH(O$2,Inputs!$K$4:$AJ$4,0))))+SUMPRODUCT((Inputs!$C$5:$C$170=$B39)*ISNUMBER(INDEX(Inputs!$K$5:$AJ$170,0,MATCH(O$2,Inputs!$K$4:$AJ$4,0))))+SUMPRODUCT((Inputs!$E$5:$E$170=$B39)*ISNUMBER(INDEX(Inputs!$K$5:$AJ$170,0,MATCH(O$2,Inputs!$K$4:$AJ$4,0))))=0,NA(),SUMPRODUCT((Inputs!$A$5:$A$170=$B39)*Inputs!$B$5:$B$170*(((Inputs!$G$5:$G$170="moeda")+(Inputs!$G$5:$G$170="acoes"))*Inputs!$B$1+((Inputs!$G$5:$G$170&lt;&gt;"moeda")*(Inputs!$G$5:$G$170&lt;&gt;"acoes")))*INDEX(Inputs!$K$5:$AJ$170,0,MATCH(O$2,Inputs!$K$4:$AJ$4,0)))+SUMPRODUCT((Inputs!$C$5:$C$170=$B39)*Inputs!$D$5:$D$170*(((Inputs!$G$5:$G$170="moeda")+(Inputs!$G$5:$G$170="acoes"))*Inputs!$B$1+((Inputs!$G$5:$G$170&lt;&gt;"moeda")*(Inputs!$G$5:$G$170&lt;&gt;"acoes")))*INDEX(Inputs!$K$5:$AJ$170,0,MATCH(O$2,Inputs!$K$4:$AJ$4,0)))+SUMPRODUCT((Inputs!$E$5:$E$170=$B39)*Inputs!$F$5:$F$170*(((Inputs!$G$5:$G$170="moeda")+(Inputs!$G$5:$G$170="acoes"))*Inputs!$B$1+((Inputs!$G$5:$G$170&lt;&gt;"moeda")*(Inputs!$G$5:$G$170&lt;&gt;"acoes")))*INDEX(Inputs!$K$5:$AJ$170,0,MATCH(O$2,Inputs!$K$4:$AJ$4,0)))))</f>
        <v>1141.869</v>
      </c>
      <c r="P39" s="6">
        <f>IF(ISNA(MATCH(P$2,Inputs!$K$4:$AJ$4,0)),NA(),IF(SUMPRODUCT((Inputs!$A$5:$A$170=$B39)*ISNUMBER(INDEX(Inputs!$K$5:$AJ$170,0,MATCH(P$2,Inputs!$K$4:$AJ$4,0))))+SUMPRODUCT((Inputs!$C$5:$C$170=$B39)*ISNUMBER(INDEX(Inputs!$K$5:$AJ$170,0,MATCH(P$2,Inputs!$K$4:$AJ$4,0))))+SUMPRODUCT((Inputs!$E$5:$E$170=$B39)*ISNUMBER(INDEX(Inputs!$K$5:$AJ$170,0,MATCH(P$2,Inputs!$K$4:$AJ$4,0))))=0,NA(),SUMPRODUCT((Inputs!$A$5:$A$170=$B39)*Inputs!$B$5:$B$170*(((Inputs!$G$5:$G$170="moeda")+(Inputs!$G$5:$G$170="acoes"))*Inputs!$B$1+((Inputs!$G$5:$G$170&lt;&gt;"moeda")*(Inputs!$G$5:$G$170&lt;&gt;"acoes")))*INDEX(Inputs!$K$5:$AJ$170,0,MATCH(P$2,Inputs!$K$4:$AJ$4,0)))+SUMPRODUCT((Inputs!$C$5:$C$170=$B39)*Inputs!$D$5:$D$170*(((Inputs!$G$5:$G$170="moeda")+(Inputs!$G$5:$G$170="acoes"))*Inputs!$B$1+((Inputs!$G$5:$G$170&lt;&gt;"moeda")*(Inputs!$G$5:$G$170&lt;&gt;"acoes")))*INDEX(Inputs!$K$5:$AJ$170,0,MATCH(P$2,Inputs!$K$4:$AJ$4,0)))+SUMPRODUCT((Inputs!$E$5:$E$170=$B39)*Inputs!$F$5:$F$170*(((Inputs!$G$5:$G$170="moeda")+(Inputs!$G$5:$G$170="acoes"))*Inputs!$B$1+((Inputs!$G$5:$G$170&lt;&gt;"moeda")*(Inputs!$G$5:$G$170&lt;&gt;"acoes")))*INDEX(Inputs!$K$5:$AJ$170,0,MATCH(P$2,Inputs!$K$4:$AJ$4,0)))))</f>
        <v>1124.146</v>
      </c>
      <c r="Q39" s="6">
        <f>IF(ISNA(MATCH(Q$2,Inputs!$K$4:$AJ$4,0)),NA(),IF(SUMPRODUCT((Inputs!$A$5:$A$170=$B39)*ISNUMBER(INDEX(Inputs!$K$5:$AJ$170,0,MATCH(Q$2,Inputs!$K$4:$AJ$4,0))))+SUMPRODUCT((Inputs!$C$5:$C$170=$B39)*ISNUMBER(INDEX(Inputs!$K$5:$AJ$170,0,MATCH(Q$2,Inputs!$K$4:$AJ$4,0))))+SUMPRODUCT((Inputs!$E$5:$E$170=$B39)*ISNUMBER(INDEX(Inputs!$K$5:$AJ$170,0,MATCH(Q$2,Inputs!$K$4:$AJ$4,0))))=0,NA(),SUMPRODUCT((Inputs!$A$5:$A$170=$B39)*Inputs!$B$5:$B$170*(((Inputs!$G$5:$G$170="moeda")+(Inputs!$G$5:$G$170="acoes"))*Inputs!$B$1+((Inputs!$G$5:$G$170&lt;&gt;"moeda")*(Inputs!$G$5:$G$170&lt;&gt;"acoes")))*INDEX(Inputs!$K$5:$AJ$170,0,MATCH(Q$2,Inputs!$K$4:$AJ$4,0)))+SUMPRODUCT((Inputs!$C$5:$C$170=$B39)*Inputs!$D$5:$D$170*(((Inputs!$G$5:$G$170="moeda")+(Inputs!$G$5:$G$170="acoes"))*Inputs!$B$1+((Inputs!$G$5:$G$170&lt;&gt;"moeda")*(Inputs!$G$5:$G$170&lt;&gt;"acoes")))*INDEX(Inputs!$K$5:$AJ$170,0,MATCH(Q$2,Inputs!$K$4:$AJ$4,0)))+SUMPRODUCT((Inputs!$E$5:$E$170=$B39)*Inputs!$F$5:$F$170*(((Inputs!$G$5:$G$170="moeda")+(Inputs!$G$5:$G$170="acoes"))*Inputs!$B$1+((Inputs!$G$5:$G$170&lt;&gt;"moeda")*(Inputs!$G$5:$G$170&lt;&gt;"acoes")))*INDEX(Inputs!$K$5:$AJ$170,0,MATCH(Q$2,Inputs!$K$4:$AJ$4,0)))))</f>
        <v>344.124</v>
      </c>
      <c r="R39" s="3">
        <f>Q39</f>
        <v>344.124</v>
      </c>
      <c r="S39" s="6">
        <f>IF(ISNA(MATCH(S$2,Inputs!$K$4:$AJ$4,0)),NA(),IF(SUMPRODUCT((Inputs!$A$5:$A$170=$B39)*ISNUMBER(INDEX(Inputs!$K$5:$AJ$170,0,MATCH(S$2,Inputs!$K$4:$AJ$4,0))))+SUMPRODUCT((Inputs!$C$5:$C$170=$B39)*ISNUMBER(INDEX(Inputs!$K$5:$AJ$170,0,MATCH(S$2,Inputs!$K$4:$AJ$4,0))))+SUMPRODUCT((Inputs!$E$5:$E$170=$B39)*ISNUMBER(INDEX(Inputs!$K$5:$AJ$170,0,MATCH(S$2,Inputs!$K$4:$AJ$4,0))))=0,NA(),SUMPRODUCT((Inputs!$A$5:$A$170=$B39)*Inputs!$B$5:$B$170*(((Inputs!$G$5:$G$170="moeda")+(Inputs!$G$5:$G$170="acoes"))*Inputs!$B$1+((Inputs!$G$5:$G$170&lt;&gt;"moeda")*(Inputs!$G$5:$G$170&lt;&gt;"acoes")))*INDEX(Inputs!$K$5:$AJ$170,0,MATCH(S$2,Inputs!$K$4:$AJ$4,0)))+SUMPRODUCT((Inputs!$C$5:$C$170=$B39)*Inputs!$D$5:$D$170*(((Inputs!$G$5:$G$170="moeda")+(Inputs!$G$5:$G$170="acoes"))*Inputs!$B$1+((Inputs!$G$5:$G$170&lt;&gt;"moeda")*(Inputs!$G$5:$G$170&lt;&gt;"acoes")))*INDEX(Inputs!$K$5:$AJ$170,0,MATCH(S$2,Inputs!$K$4:$AJ$4,0)))+SUMPRODUCT((Inputs!$E$5:$E$170=$B39)*Inputs!$F$5:$F$170*(((Inputs!$G$5:$G$170="moeda")+(Inputs!$G$5:$G$170="acoes"))*Inputs!$B$1+((Inputs!$G$5:$G$170&lt;&gt;"moeda")*(Inputs!$G$5:$G$170&lt;&gt;"acoes")))*INDEX(Inputs!$K$5:$AJ$170,0,MATCH(S$2,Inputs!$K$4:$AJ$4,0)))))</f>
        <v>437.191</v>
      </c>
      <c r="T39" s="6">
        <f>IF(ISNA(MATCH(T$2,Inputs!$K$4:$AJ$4,0)),NA(),IF(SUMPRODUCT((Inputs!$A$5:$A$170=$B39)*ISNUMBER(INDEX(Inputs!$K$5:$AJ$170,0,MATCH(T$2,Inputs!$K$4:$AJ$4,0))))+SUMPRODUCT((Inputs!$C$5:$C$170=$B39)*ISNUMBER(INDEX(Inputs!$K$5:$AJ$170,0,MATCH(T$2,Inputs!$K$4:$AJ$4,0))))+SUMPRODUCT((Inputs!$E$5:$E$170=$B39)*ISNUMBER(INDEX(Inputs!$K$5:$AJ$170,0,MATCH(T$2,Inputs!$K$4:$AJ$4,0))))=0,NA(),SUMPRODUCT((Inputs!$A$5:$A$170=$B39)*Inputs!$B$5:$B$170*(((Inputs!$G$5:$G$170="moeda")+(Inputs!$G$5:$G$170="acoes"))*Inputs!$B$1+((Inputs!$G$5:$G$170&lt;&gt;"moeda")*(Inputs!$G$5:$G$170&lt;&gt;"acoes")))*INDEX(Inputs!$K$5:$AJ$170,0,MATCH(T$2,Inputs!$K$4:$AJ$4,0)))+SUMPRODUCT((Inputs!$C$5:$C$170=$B39)*Inputs!$D$5:$D$170*(((Inputs!$G$5:$G$170="moeda")+(Inputs!$G$5:$G$170="acoes"))*Inputs!$B$1+((Inputs!$G$5:$G$170&lt;&gt;"moeda")*(Inputs!$G$5:$G$170&lt;&gt;"acoes")))*INDEX(Inputs!$K$5:$AJ$170,0,MATCH(T$2,Inputs!$K$4:$AJ$4,0)))+SUMPRODUCT((Inputs!$E$5:$E$170=$B39)*Inputs!$F$5:$F$170*(((Inputs!$G$5:$G$170="moeda")+(Inputs!$G$5:$G$170="acoes"))*Inputs!$B$1+((Inputs!$G$5:$G$170&lt;&gt;"moeda")*(Inputs!$G$5:$G$170&lt;&gt;"acoes")))*INDEX(Inputs!$K$5:$AJ$170,0,MATCH(T$2,Inputs!$K$4:$AJ$4,0)))))</f>
        <v>528.912</v>
      </c>
      <c r="U39" s="6">
        <f>IF(ISNA(MATCH(U$2,Inputs!$K$4:$AJ$4,0)),NA(),IF(SUMPRODUCT((Inputs!$A$5:$A$170=$B39)*ISNUMBER(INDEX(Inputs!$K$5:$AJ$170,0,MATCH(U$2,Inputs!$K$4:$AJ$4,0))))+SUMPRODUCT((Inputs!$C$5:$C$170=$B39)*ISNUMBER(INDEX(Inputs!$K$5:$AJ$170,0,MATCH(U$2,Inputs!$K$4:$AJ$4,0))))+SUMPRODUCT((Inputs!$E$5:$E$170=$B39)*ISNUMBER(INDEX(Inputs!$K$5:$AJ$170,0,MATCH(U$2,Inputs!$K$4:$AJ$4,0))))=0,NA(),SUMPRODUCT((Inputs!$A$5:$A$170=$B39)*Inputs!$B$5:$B$170*(((Inputs!$G$5:$G$170="moeda")+(Inputs!$G$5:$G$170="acoes"))*Inputs!$B$1+((Inputs!$G$5:$G$170&lt;&gt;"moeda")*(Inputs!$G$5:$G$170&lt;&gt;"acoes")))*INDEX(Inputs!$K$5:$AJ$170,0,MATCH(U$2,Inputs!$K$4:$AJ$4,0)))+SUMPRODUCT((Inputs!$C$5:$C$170=$B39)*Inputs!$D$5:$D$170*(((Inputs!$G$5:$G$170="moeda")+(Inputs!$G$5:$G$170="acoes"))*Inputs!$B$1+((Inputs!$G$5:$G$170&lt;&gt;"moeda")*(Inputs!$G$5:$G$170&lt;&gt;"acoes")))*INDEX(Inputs!$K$5:$AJ$170,0,MATCH(U$2,Inputs!$K$4:$AJ$4,0)))+SUMPRODUCT((Inputs!$E$5:$E$170=$B39)*Inputs!$F$5:$F$170*(((Inputs!$G$5:$G$170="moeda")+(Inputs!$G$5:$G$170="acoes"))*Inputs!$B$1+((Inputs!$G$5:$G$170&lt;&gt;"moeda")*(Inputs!$G$5:$G$170&lt;&gt;"acoes")))*INDEX(Inputs!$K$5:$AJ$170,0,MATCH(U$2,Inputs!$K$4:$AJ$4,0)))))</f>
        <v>595.543</v>
      </c>
      <c r="V39" s="6">
        <f>IF(ISNA(MATCH(V$2,Inputs!$K$4:$AJ$4,0)),NA(),IF(SUMPRODUCT((Inputs!$A$5:$A$170=$B39)*ISNUMBER(INDEX(Inputs!$K$5:$AJ$170,0,MATCH(V$2,Inputs!$K$4:$AJ$4,0))))+SUMPRODUCT((Inputs!$C$5:$C$170=$B39)*ISNUMBER(INDEX(Inputs!$K$5:$AJ$170,0,MATCH(V$2,Inputs!$K$4:$AJ$4,0))))+SUMPRODUCT((Inputs!$E$5:$E$170=$B39)*ISNUMBER(INDEX(Inputs!$K$5:$AJ$170,0,MATCH(V$2,Inputs!$K$4:$AJ$4,0))))=0,NA(),SUMPRODUCT((Inputs!$A$5:$A$170=$B39)*Inputs!$B$5:$B$170*(((Inputs!$G$5:$G$170="moeda")+(Inputs!$G$5:$G$170="acoes"))*Inputs!$B$1+((Inputs!$G$5:$G$170&lt;&gt;"moeda")*(Inputs!$G$5:$G$170&lt;&gt;"acoes")))*INDEX(Inputs!$K$5:$AJ$170,0,MATCH(V$2,Inputs!$K$4:$AJ$4,0)))+SUMPRODUCT((Inputs!$C$5:$C$170=$B39)*Inputs!$D$5:$D$170*(((Inputs!$G$5:$G$170="moeda")+(Inputs!$G$5:$G$170="acoes"))*Inputs!$B$1+((Inputs!$G$5:$G$170&lt;&gt;"moeda")*(Inputs!$G$5:$G$170&lt;&gt;"acoes")))*INDEX(Inputs!$K$5:$AJ$170,0,MATCH(V$2,Inputs!$K$4:$AJ$4,0)))+SUMPRODUCT((Inputs!$E$5:$E$170=$B39)*Inputs!$F$5:$F$170*(((Inputs!$G$5:$G$170="moeda")+(Inputs!$G$5:$G$170="acoes"))*Inputs!$B$1+((Inputs!$G$5:$G$170&lt;&gt;"moeda")*(Inputs!$G$5:$G$170&lt;&gt;"acoes")))*INDEX(Inputs!$K$5:$AJ$170,0,MATCH(V$2,Inputs!$K$4:$AJ$4,0)))))</f>
        <v>394.754</v>
      </c>
      <c r="W39" s="3">
        <f>V39</f>
        <v>394.754</v>
      </c>
      <c r="X39" s="6">
        <f>IF(ISNA(MATCH(X$2,Inputs!$K$4:$AJ$4,0)),NA(),IF(SUMPRODUCT((Inputs!$A$5:$A$170=$B39)*ISNUMBER(INDEX(Inputs!$K$5:$AJ$170,0,MATCH(X$2,Inputs!$K$4:$AJ$4,0))))+SUMPRODUCT((Inputs!$C$5:$C$170=$B39)*ISNUMBER(INDEX(Inputs!$K$5:$AJ$170,0,MATCH(X$2,Inputs!$K$4:$AJ$4,0))))+SUMPRODUCT((Inputs!$E$5:$E$170=$B39)*ISNUMBER(INDEX(Inputs!$K$5:$AJ$170,0,MATCH(X$2,Inputs!$K$4:$AJ$4,0))))=0,NA(),SUMPRODUCT((Inputs!$A$5:$A$170=$B39)*Inputs!$B$5:$B$170*(((Inputs!$G$5:$G$170="moeda")+(Inputs!$G$5:$G$170="acoes"))*Inputs!$B$1+((Inputs!$G$5:$G$170&lt;&gt;"moeda")*(Inputs!$G$5:$G$170&lt;&gt;"acoes")))*INDEX(Inputs!$K$5:$AJ$170,0,MATCH(X$2,Inputs!$K$4:$AJ$4,0)))+SUMPRODUCT((Inputs!$C$5:$C$170=$B39)*Inputs!$D$5:$D$170*(((Inputs!$G$5:$G$170="moeda")+(Inputs!$G$5:$G$170="acoes"))*Inputs!$B$1+((Inputs!$G$5:$G$170&lt;&gt;"moeda")*(Inputs!$G$5:$G$170&lt;&gt;"acoes")))*INDEX(Inputs!$K$5:$AJ$170,0,MATCH(X$2,Inputs!$K$4:$AJ$4,0)))+SUMPRODUCT((Inputs!$E$5:$E$170=$B39)*Inputs!$F$5:$F$170*(((Inputs!$G$5:$G$170="moeda")+(Inputs!$G$5:$G$170="acoes"))*Inputs!$B$1+((Inputs!$G$5:$G$170&lt;&gt;"moeda")*(Inputs!$G$5:$G$170&lt;&gt;"acoes")))*INDEX(Inputs!$K$5:$AJ$170,0,MATCH(X$2,Inputs!$K$4:$AJ$4,0)))))</f>
        <v>613.334</v>
      </c>
      <c r="Y39" s="6">
        <f>IF(ISNA(MATCH(Y$2,Inputs!$K$4:$AJ$4,0)),NA(),IF(SUMPRODUCT((Inputs!$A$5:$A$170=$B39)*ISNUMBER(INDEX(Inputs!$K$5:$AJ$170,0,MATCH(Y$2,Inputs!$K$4:$AJ$4,0))))+SUMPRODUCT((Inputs!$C$5:$C$170=$B39)*ISNUMBER(INDEX(Inputs!$K$5:$AJ$170,0,MATCH(Y$2,Inputs!$K$4:$AJ$4,0))))+SUMPRODUCT((Inputs!$E$5:$E$170=$B39)*ISNUMBER(INDEX(Inputs!$K$5:$AJ$170,0,MATCH(Y$2,Inputs!$K$4:$AJ$4,0))))=0,NA(),SUMPRODUCT((Inputs!$A$5:$A$170=$B39)*Inputs!$B$5:$B$170*(((Inputs!$G$5:$G$170="moeda")+(Inputs!$G$5:$G$170="acoes"))*Inputs!$B$1+((Inputs!$G$5:$G$170&lt;&gt;"moeda")*(Inputs!$G$5:$G$170&lt;&gt;"acoes")))*INDEX(Inputs!$K$5:$AJ$170,0,MATCH(Y$2,Inputs!$K$4:$AJ$4,0)))+SUMPRODUCT((Inputs!$C$5:$C$170=$B39)*Inputs!$D$5:$D$170*(((Inputs!$G$5:$G$170="moeda")+(Inputs!$G$5:$G$170="acoes"))*Inputs!$B$1+((Inputs!$G$5:$G$170&lt;&gt;"moeda")*(Inputs!$G$5:$G$170&lt;&gt;"acoes")))*INDEX(Inputs!$K$5:$AJ$170,0,MATCH(Y$2,Inputs!$K$4:$AJ$4,0)))+SUMPRODUCT((Inputs!$E$5:$E$170=$B39)*Inputs!$F$5:$F$170*(((Inputs!$G$5:$G$170="moeda")+(Inputs!$G$5:$G$170="acoes"))*Inputs!$B$1+((Inputs!$G$5:$G$170&lt;&gt;"moeda")*(Inputs!$G$5:$G$170&lt;&gt;"acoes")))*INDEX(Inputs!$K$5:$AJ$170,0,MATCH(Y$2,Inputs!$K$4:$AJ$4,0)))))</f>
        <v>822.429</v>
      </c>
      <c r="Z39" s="6">
        <f>IF(ISNA(MATCH(Z$2,Inputs!$K$4:$AJ$4,0)),NA(),IF(SUMPRODUCT((Inputs!$A$5:$A$170=$B39)*ISNUMBER(INDEX(Inputs!$K$5:$AJ$170,0,MATCH(Z$2,Inputs!$K$4:$AJ$4,0))))+SUMPRODUCT((Inputs!$C$5:$C$170=$B39)*ISNUMBER(INDEX(Inputs!$K$5:$AJ$170,0,MATCH(Z$2,Inputs!$K$4:$AJ$4,0))))+SUMPRODUCT((Inputs!$E$5:$E$170=$B39)*ISNUMBER(INDEX(Inputs!$K$5:$AJ$170,0,MATCH(Z$2,Inputs!$K$4:$AJ$4,0))))=0,NA(),SUMPRODUCT((Inputs!$A$5:$A$170=$B39)*Inputs!$B$5:$B$170*(((Inputs!$G$5:$G$170="moeda")+(Inputs!$G$5:$G$170="acoes"))*Inputs!$B$1+((Inputs!$G$5:$G$170&lt;&gt;"moeda")*(Inputs!$G$5:$G$170&lt;&gt;"acoes")))*INDEX(Inputs!$K$5:$AJ$170,0,MATCH(Z$2,Inputs!$K$4:$AJ$4,0)))+SUMPRODUCT((Inputs!$C$5:$C$170=$B39)*Inputs!$D$5:$D$170*(((Inputs!$G$5:$G$170="moeda")+(Inputs!$G$5:$G$170="acoes"))*Inputs!$B$1+((Inputs!$G$5:$G$170&lt;&gt;"moeda")*(Inputs!$G$5:$G$170&lt;&gt;"acoes")))*INDEX(Inputs!$K$5:$AJ$170,0,MATCH(Z$2,Inputs!$K$4:$AJ$4,0)))+SUMPRODUCT((Inputs!$E$5:$E$170=$B39)*Inputs!$F$5:$F$170*(((Inputs!$G$5:$G$170="moeda")+(Inputs!$G$5:$G$170="acoes"))*Inputs!$B$1+((Inputs!$G$5:$G$170&lt;&gt;"moeda")*(Inputs!$G$5:$G$170&lt;&gt;"acoes")))*INDEX(Inputs!$K$5:$AJ$170,0,MATCH(Z$2,Inputs!$K$4:$AJ$4,0)))))</f>
        <v>953.481</v>
      </c>
      <c r="AA39" s="6">
        <f>IF(ISNA(MATCH(AA$2,Inputs!$K$4:$AJ$4,0)),NA(),IF(SUMPRODUCT((Inputs!$A$5:$A$170=$B39)*ISNUMBER(INDEX(Inputs!$K$5:$AJ$170,0,MATCH(AA$2,Inputs!$K$4:$AJ$4,0))))+SUMPRODUCT((Inputs!$C$5:$C$170=$B39)*ISNUMBER(INDEX(Inputs!$K$5:$AJ$170,0,MATCH(AA$2,Inputs!$K$4:$AJ$4,0))))+SUMPRODUCT((Inputs!$E$5:$E$170=$B39)*ISNUMBER(INDEX(Inputs!$K$5:$AJ$170,0,MATCH(AA$2,Inputs!$K$4:$AJ$4,0))))=0,NA(),SUMPRODUCT((Inputs!$A$5:$A$170=$B39)*Inputs!$B$5:$B$170*(((Inputs!$G$5:$G$170="moeda")+(Inputs!$G$5:$G$170="acoes"))*Inputs!$B$1+((Inputs!$G$5:$G$170&lt;&gt;"moeda")*(Inputs!$G$5:$G$170&lt;&gt;"acoes")))*INDEX(Inputs!$K$5:$AJ$170,0,MATCH(AA$2,Inputs!$K$4:$AJ$4,0)))+SUMPRODUCT((Inputs!$C$5:$C$170=$B39)*Inputs!$D$5:$D$170*(((Inputs!$G$5:$G$170="moeda")+(Inputs!$G$5:$G$170="acoes"))*Inputs!$B$1+((Inputs!$G$5:$G$170&lt;&gt;"moeda")*(Inputs!$G$5:$G$170&lt;&gt;"acoes")))*INDEX(Inputs!$K$5:$AJ$170,0,MATCH(AA$2,Inputs!$K$4:$AJ$4,0)))+SUMPRODUCT((Inputs!$E$5:$E$170=$B39)*Inputs!$F$5:$F$170*(((Inputs!$G$5:$G$170="moeda")+(Inputs!$G$5:$G$170="acoes"))*Inputs!$B$1+((Inputs!$G$5:$G$170&lt;&gt;"moeda")*(Inputs!$G$5:$G$170&lt;&gt;"acoes")))*INDEX(Inputs!$K$5:$AJ$170,0,MATCH(AA$2,Inputs!$K$4:$AJ$4,0)))))</f>
        <v>1108.57</v>
      </c>
      <c r="AB39" s="3">
        <f>AA39</f>
        <v>1108.57</v>
      </c>
      <c r="AC39" s="6">
        <f>IF(ISNA(MATCH(AC$2,Inputs!$K$4:$AJ$4,0)),NA(),IF(SUMPRODUCT((Inputs!$A$5:$A$170=$B39)*ISNUMBER(INDEX(Inputs!$K$5:$AJ$170,0,MATCH(AC$2,Inputs!$K$4:$AJ$4,0))))+SUMPRODUCT((Inputs!$C$5:$C$170=$B39)*ISNUMBER(INDEX(Inputs!$K$5:$AJ$170,0,MATCH(AC$2,Inputs!$K$4:$AJ$4,0))))+SUMPRODUCT((Inputs!$E$5:$E$170=$B39)*ISNUMBER(INDEX(Inputs!$K$5:$AJ$170,0,MATCH(AC$2,Inputs!$K$4:$AJ$4,0))))=0,NA(),SUMPRODUCT((Inputs!$A$5:$A$170=$B39)*Inputs!$B$5:$B$170*(((Inputs!$G$5:$G$170="moeda")+(Inputs!$G$5:$G$170="acoes"))*Inputs!$B$1+((Inputs!$G$5:$G$170&lt;&gt;"moeda")*(Inputs!$G$5:$G$170&lt;&gt;"acoes")))*INDEX(Inputs!$K$5:$AJ$170,0,MATCH(AC$2,Inputs!$K$4:$AJ$4,0)))+SUMPRODUCT((Inputs!$C$5:$C$170=$B39)*Inputs!$D$5:$D$170*(((Inputs!$G$5:$G$170="moeda")+(Inputs!$G$5:$G$170="acoes"))*Inputs!$B$1+((Inputs!$G$5:$G$170&lt;&gt;"moeda")*(Inputs!$G$5:$G$170&lt;&gt;"acoes")))*INDEX(Inputs!$K$5:$AJ$170,0,MATCH(AC$2,Inputs!$K$4:$AJ$4,0)))+SUMPRODUCT((Inputs!$E$5:$E$170=$B39)*Inputs!$F$5:$F$170*(((Inputs!$G$5:$G$170="moeda")+(Inputs!$G$5:$G$170="acoes"))*Inputs!$B$1+((Inputs!$G$5:$G$170&lt;&gt;"moeda")*(Inputs!$G$5:$G$170&lt;&gt;"acoes")))*INDEX(Inputs!$K$5:$AJ$170,0,MATCH(AC$2,Inputs!$K$4:$AJ$4,0)))))</f>
        <v>1368.663</v>
      </c>
      <c r="AD39" s="6">
        <f>IF(ISNA(MATCH(AD$2,Inputs!$K$4:$AJ$4,0)),NA(),IF(SUMPRODUCT((Inputs!$A$5:$A$170=$B39)*ISNUMBER(INDEX(Inputs!$K$5:$AJ$170,0,MATCH(AD$2,Inputs!$K$4:$AJ$4,0))))+SUMPRODUCT((Inputs!$C$5:$C$170=$B39)*ISNUMBER(INDEX(Inputs!$K$5:$AJ$170,0,MATCH(AD$2,Inputs!$K$4:$AJ$4,0))))+SUMPRODUCT((Inputs!$E$5:$E$170=$B39)*ISNUMBER(INDEX(Inputs!$K$5:$AJ$170,0,MATCH(AD$2,Inputs!$K$4:$AJ$4,0))))=0,NA(),SUMPRODUCT((Inputs!$A$5:$A$170=$B39)*Inputs!$B$5:$B$170*(((Inputs!$G$5:$G$170="moeda")+(Inputs!$G$5:$G$170="acoes"))*Inputs!$B$1+((Inputs!$G$5:$G$170&lt;&gt;"moeda")*(Inputs!$G$5:$G$170&lt;&gt;"acoes")))*INDEX(Inputs!$K$5:$AJ$170,0,MATCH(AD$2,Inputs!$K$4:$AJ$4,0)))+SUMPRODUCT((Inputs!$C$5:$C$170=$B39)*Inputs!$D$5:$D$170*(((Inputs!$G$5:$G$170="moeda")+(Inputs!$G$5:$G$170="acoes"))*Inputs!$B$1+((Inputs!$G$5:$G$170&lt;&gt;"moeda")*(Inputs!$G$5:$G$170&lt;&gt;"acoes")))*INDEX(Inputs!$K$5:$AJ$170,0,MATCH(AD$2,Inputs!$K$4:$AJ$4,0)))+SUMPRODUCT((Inputs!$E$5:$E$170=$B39)*Inputs!$F$5:$F$170*(((Inputs!$G$5:$G$170="moeda")+(Inputs!$G$5:$G$170="acoes"))*Inputs!$B$1+((Inputs!$G$5:$G$170&lt;&gt;"moeda")*(Inputs!$G$5:$G$170&lt;&gt;"acoes")))*INDEX(Inputs!$K$5:$AJ$170,0,MATCH(AD$2,Inputs!$K$4:$AJ$4,0)))))</f>
        <v>1521.839</v>
      </c>
      <c r="AE39" s="6" t="e">
        <f>IF(ISNA(MATCH(AE$2,Inputs!$K$4:$AJ$4,0)),NA(),IF(SUMPRODUCT((Inputs!$A$5:$A$170=$B39)*ISNUMBER(INDEX(Inputs!$K$5:$AJ$170,0,MATCH(AE$2,Inputs!$K$4:$AJ$4,0))))+SUMPRODUCT((Inputs!$C$5:$C$170=$B39)*ISNUMBER(INDEX(Inputs!$K$5:$AJ$170,0,MATCH(AE$2,Inputs!$K$4:$AJ$4,0))))+SUMPRODUCT((Inputs!$E$5:$E$170=$B39)*ISNUMBER(INDEX(Inputs!$K$5:$AJ$170,0,MATCH(AE$2,Inputs!$K$4:$AJ$4,0))))=0,NA(),SUMPRODUCT((Inputs!$A$5:$A$170=$B39)*Inputs!$B$5:$B$170*(((Inputs!$G$5:$G$170="moeda")+(Inputs!$G$5:$G$170="acoes"))*Inputs!$B$1+((Inputs!$G$5:$G$170&lt;&gt;"moeda")*(Inputs!$G$5:$G$170&lt;&gt;"acoes")))*INDEX(Inputs!$K$5:$AJ$170,0,MATCH(AE$2,Inputs!$K$4:$AJ$4,0)))+SUMPRODUCT((Inputs!$C$5:$C$170=$B39)*Inputs!$D$5:$D$170*(((Inputs!$G$5:$G$170="moeda")+(Inputs!$G$5:$G$170="acoes"))*Inputs!$B$1+((Inputs!$G$5:$G$170&lt;&gt;"moeda")*(Inputs!$G$5:$G$170&lt;&gt;"acoes")))*INDEX(Inputs!$K$5:$AJ$170,0,MATCH(AE$2,Inputs!$K$4:$AJ$4,0)))+SUMPRODUCT((Inputs!$E$5:$E$170=$B39)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39" s="6" t="e">
        <f>IF(ISNA(MATCH(AF$2,Inputs!$K$4:$AJ$4,0)),NA(),IF(SUMPRODUCT((Inputs!$A$5:$A$170=$B39)*ISNUMBER(INDEX(Inputs!$K$5:$AJ$170,0,MATCH(AF$2,Inputs!$K$4:$AJ$4,0))))+SUMPRODUCT((Inputs!$C$5:$C$170=$B39)*ISNUMBER(INDEX(Inputs!$K$5:$AJ$170,0,MATCH(AF$2,Inputs!$K$4:$AJ$4,0))))+SUMPRODUCT((Inputs!$E$5:$E$170=$B39)*ISNUMBER(INDEX(Inputs!$K$5:$AJ$170,0,MATCH(AF$2,Inputs!$K$4:$AJ$4,0))))=0,NA(),SUMPRODUCT((Inputs!$A$5:$A$170=$B39)*Inputs!$B$5:$B$170*(((Inputs!$G$5:$G$170="moeda")+(Inputs!$G$5:$G$170="acoes"))*Inputs!$B$1+((Inputs!$G$5:$G$170&lt;&gt;"moeda")*(Inputs!$G$5:$G$170&lt;&gt;"acoes")))*INDEX(Inputs!$K$5:$AJ$170,0,MATCH(AF$2,Inputs!$K$4:$AJ$4,0)))+SUMPRODUCT((Inputs!$C$5:$C$170=$B39)*Inputs!$D$5:$D$170*(((Inputs!$G$5:$G$170="moeda")+(Inputs!$G$5:$G$170="acoes"))*Inputs!$B$1+((Inputs!$G$5:$G$170&lt;&gt;"moeda")*(Inputs!$G$5:$G$170&lt;&gt;"acoes")))*INDEX(Inputs!$K$5:$AJ$170,0,MATCH(AF$2,Inputs!$K$4:$AJ$4,0)))+SUMPRODUCT((Inputs!$E$5:$E$170=$B39)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39" s="3" t="e">
        <f>AF39</f>
        <v>#N/A</v>
      </c>
      <c r="AH39" s="6">
        <f>IF(ISNA(MATCH(AH$2,Inputs!$K$4:$AJ$4,0)),NA(),IF(SUMPRODUCT((Inputs!$A$5:$A$170=$B39)*ISNUMBER(INDEX(Inputs!$K$5:$AJ$170,0,MATCH(AH$2,Inputs!$K$4:$AJ$4,0))))+SUMPRODUCT((Inputs!$C$5:$C$170=$B39)*ISNUMBER(INDEX(Inputs!$K$5:$AJ$170,0,MATCH(AH$2,Inputs!$K$4:$AJ$4,0))))+SUMPRODUCT((Inputs!$E$5:$E$170=$B39)*ISNUMBER(INDEX(Inputs!$K$5:$AJ$170,0,MATCH(AH$2,Inputs!$K$4:$AJ$4,0))))=0,NA(),SUMPRODUCT((Inputs!$A$5:$A$170=$B39)*Inputs!$B$5:$B$170*(((Inputs!$G$5:$G$170="moeda")+(Inputs!$G$5:$G$170="acoes"))*Inputs!$B$1+((Inputs!$G$5:$G$170&lt;&gt;"moeda")*(Inputs!$G$5:$G$170&lt;&gt;"acoes")))*INDEX(Inputs!$K$5:$AJ$170,0,MATCH(AH$2,Inputs!$K$4:$AJ$4,0)))+SUMPRODUCT((Inputs!$C$5:$C$170=$B39)*Inputs!$D$5:$D$170*(((Inputs!$G$5:$G$170="moeda")+(Inputs!$G$5:$G$170="acoes"))*Inputs!$B$1+((Inputs!$G$5:$G$170&lt;&gt;"moeda")*(Inputs!$G$5:$G$170&lt;&gt;"acoes")))*INDEX(Inputs!$K$5:$AJ$170,0,MATCH(AH$2,Inputs!$K$4:$AJ$4,0)))+SUMPRODUCT((Inputs!$E$5:$E$170=$B39)*Inputs!$F$5:$F$170*(((Inputs!$G$5:$G$170="moeda")+(Inputs!$G$5:$G$170="acoes"))*Inputs!$B$1+((Inputs!$G$5:$G$170&lt;&gt;"moeda")*(Inputs!$G$5:$G$170&lt;&gt;"acoes")))*INDEX(Inputs!$K$5:$AJ$170,0,MATCH(AH$2,Inputs!$K$4:$AJ$4,0)))))</f>
        <v>6.006</v>
      </c>
      <c r="AI39" s="6">
        <f>IF(ISNA(MATCH(AI$2,Inputs!$K$4:$AJ$4,0)),NA(),IF(SUMPRODUCT((Inputs!$A$5:$A$170=$B39)*ISNUMBER(INDEX(Inputs!$K$5:$AJ$170,0,MATCH(AI$2,Inputs!$K$4:$AJ$4,0))))+SUMPRODUCT((Inputs!$C$5:$C$170=$B39)*ISNUMBER(INDEX(Inputs!$K$5:$AJ$170,0,MATCH(AI$2,Inputs!$K$4:$AJ$4,0))))+SUMPRODUCT((Inputs!$E$5:$E$170=$B39)*ISNUMBER(INDEX(Inputs!$K$5:$AJ$170,0,MATCH(AI$2,Inputs!$K$4:$AJ$4,0))))=0,NA(),SUMPRODUCT((Inputs!$A$5:$A$170=$B39)*Inputs!$B$5:$B$170*(((Inputs!$G$5:$G$170="moeda")+(Inputs!$G$5:$G$170="acoes"))*Inputs!$B$1+((Inputs!$G$5:$G$170&lt;&gt;"moeda")*(Inputs!$G$5:$G$170&lt;&gt;"acoes")))*INDEX(Inputs!$K$5:$AJ$170,0,MATCH(AI$2,Inputs!$K$4:$AJ$4,0)))+SUMPRODUCT((Inputs!$C$5:$C$170=$B39)*Inputs!$D$5:$D$170*(((Inputs!$G$5:$G$170="moeda")+(Inputs!$G$5:$G$170="acoes"))*Inputs!$B$1+((Inputs!$G$5:$G$170&lt;&gt;"moeda")*(Inputs!$G$5:$G$170&lt;&gt;"acoes")))*INDEX(Inputs!$K$5:$AJ$170,0,MATCH(AI$2,Inputs!$K$4:$AJ$4,0)))+SUMPRODUCT((Inputs!$E$5:$E$170=$B39)*Inputs!$F$5:$F$170*(((Inputs!$G$5:$G$170="moeda")+(Inputs!$G$5:$G$170="acoes"))*Inputs!$B$1+((Inputs!$G$5:$G$170&lt;&gt;"moeda")*(Inputs!$G$5:$G$170&lt;&gt;"acoes")))*INDEX(Inputs!$K$5:$AJ$170,0,MATCH(AI$2,Inputs!$K$4:$AJ$4,0)))))</f>
        <v>8.832</v>
      </c>
      <c r="AJ39" s="6">
        <f>IF(ISNA(MATCH(AJ$2,Inputs!$K$4:$AJ$4,0)),NA(),IF(SUMPRODUCT((Inputs!$A$5:$A$170=$B39)*ISNUMBER(INDEX(Inputs!$K$5:$AJ$170,0,MATCH(AJ$2,Inputs!$K$4:$AJ$4,0))))+SUMPRODUCT((Inputs!$C$5:$C$170=$B39)*ISNUMBER(INDEX(Inputs!$K$5:$AJ$170,0,MATCH(AJ$2,Inputs!$K$4:$AJ$4,0))))+SUMPRODUCT((Inputs!$E$5:$E$170=$B39)*ISNUMBER(INDEX(Inputs!$K$5:$AJ$170,0,MATCH(AJ$2,Inputs!$K$4:$AJ$4,0))))=0,NA(),SUMPRODUCT((Inputs!$A$5:$A$170=$B39)*Inputs!$B$5:$B$170*(((Inputs!$G$5:$G$170="moeda")+(Inputs!$G$5:$G$170="acoes"))*Inputs!$B$1+((Inputs!$G$5:$G$170&lt;&gt;"moeda")*(Inputs!$G$5:$G$170&lt;&gt;"acoes")))*INDEX(Inputs!$K$5:$AJ$170,0,MATCH(AJ$2,Inputs!$K$4:$AJ$4,0)))+SUMPRODUCT((Inputs!$C$5:$C$170=$B39)*Inputs!$D$5:$D$170*(((Inputs!$G$5:$G$170="moeda")+(Inputs!$G$5:$G$170="acoes"))*Inputs!$B$1+((Inputs!$G$5:$G$170&lt;&gt;"moeda")*(Inputs!$G$5:$G$170&lt;&gt;"acoes")))*INDEX(Inputs!$K$5:$AJ$170,0,MATCH(AJ$2,Inputs!$K$4:$AJ$4,0)))+SUMPRODUCT((Inputs!$E$5:$E$170=$B39)*Inputs!$F$5:$F$170*(((Inputs!$G$5:$G$170="moeda")+(Inputs!$G$5:$G$170="acoes"))*Inputs!$B$1+((Inputs!$G$5:$G$170&lt;&gt;"moeda")*(Inputs!$G$5:$G$170&lt;&gt;"acoes")))*INDEX(Inputs!$K$5:$AJ$170,0,MATCH(AJ$2,Inputs!$K$4:$AJ$4,0)))))</f>
        <v>5.804</v>
      </c>
      <c r="AK39" s="6">
        <f>IF(ISNA(MATCH(AK$2,Inputs!$K$4:$AJ$4,0)),NA(),IF(SUMPRODUCT((Inputs!$A$5:$A$170=$B39)*ISNUMBER(INDEX(Inputs!$K$5:$AJ$170,0,MATCH(AK$2,Inputs!$K$4:$AJ$4,0))))+SUMPRODUCT((Inputs!$C$5:$C$170=$B39)*ISNUMBER(INDEX(Inputs!$K$5:$AJ$170,0,MATCH(AK$2,Inputs!$K$4:$AJ$4,0))))+SUMPRODUCT((Inputs!$E$5:$E$170=$B39)*ISNUMBER(INDEX(Inputs!$K$5:$AJ$170,0,MATCH(AK$2,Inputs!$K$4:$AJ$4,0))))=0,NA(),SUMPRODUCT((Inputs!$A$5:$A$170=$B39)*Inputs!$B$5:$B$170*(((Inputs!$G$5:$G$170="moeda")+(Inputs!$G$5:$G$170="acoes"))*Inputs!$B$1+((Inputs!$G$5:$G$170&lt;&gt;"moeda")*(Inputs!$G$5:$G$170&lt;&gt;"acoes")))*INDEX(Inputs!$K$5:$AJ$170,0,MATCH(AK$2,Inputs!$K$4:$AJ$4,0)))+SUMPRODUCT((Inputs!$C$5:$C$170=$B39)*Inputs!$D$5:$D$170*(((Inputs!$G$5:$G$170="moeda")+(Inputs!$G$5:$G$170="acoes"))*Inputs!$B$1+((Inputs!$G$5:$G$170&lt;&gt;"moeda")*(Inputs!$G$5:$G$170&lt;&gt;"acoes")))*INDEX(Inputs!$K$5:$AJ$170,0,MATCH(AK$2,Inputs!$K$4:$AJ$4,0)))+SUMPRODUCT((Inputs!$E$5:$E$170=$B39)*Inputs!$F$5:$F$170*(((Inputs!$G$5:$G$170="moeda")+(Inputs!$G$5:$G$170="acoes"))*Inputs!$B$1+((Inputs!$G$5:$G$170&lt;&gt;"moeda")*(Inputs!$G$5:$G$170&lt;&gt;"acoes")))*INDEX(Inputs!$K$5:$AJ$170,0,MATCH(AK$2,Inputs!$K$4:$AJ$4,0)))))</f>
        <v>5.272</v>
      </c>
      <c r="AL39" s="3">
        <f>AK39</f>
        <v>5.272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$170=$B41)*ISNUMBER(INDEX(Inputs!$K$5:$AJ$170,0,MATCH(D$2,Inputs!$K$4:$AJ$4,0))))+SUMPRODUCT((Inputs!$C$5:$C$170=$B41)*ISNUMBER(INDEX(Inputs!$K$5:$AJ$170,0,MATCH(D$2,Inputs!$K$4:$AJ$4,0))))+SUMPRODUCT((Inputs!$E$5:$E$170=$B41)*ISNUMBER(INDEX(Inputs!$K$5:$AJ$170,0,MATCH(D$2,Inputs!$K$4:$AJ$4,0))))=0,NA(),SUMPRODUCT((Inputs!$A$5:$A$170=$B41)*Inputs!$B$5:$B$170*(((Inputs!$G$5:$G$170="moeda")+(Inputs!$G$5:$G$170="acoes"))*Inputs!$B$1+((Inputs!$G$5:$G$170&lt;&gt;"moeda")*(Inputs!$G$5:$G$170&lt;&gt;"acoes")))*INDEX(Inputs!$K$5:$AJ$170,0,MATCH(D$2,Inputs!$K$4:$AJ$4,0)))+SUMPRODUCT((Inputs!$C$5:$C$170=$B41)*Inputs!$D$5:$D$170*(((Inputs!$G$5:$G$170="moeda")+(Inputs!$G$5:$G$170="acoes"))*Inputs!$B$1+((Inputs!$G$5:$G$170&lt;&gt;"moeda")*(Inputs!$G$5:$G$170&lt;&gt;"acoes")))*INDEX(Inputs!$K$5:$AJ$170,0,MATCH(D$2,Inputs!$K$4:$AJ$4,0)))+SUMPRODUCT((Inputs!$E$5:$E$170=$B41)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1" s="6" t="e">
        <f>IF(ISNA(MATCH(E$2,Inputs!$K$4:$AJ$4,0)),NA(),IF(SUMPRODUCT((Inputs!$A$5:$A$170=$B41)*ISNUMBER(INDEX(Inputs!$K$5:$AJ$170,0,MATCH(E$2,Inputs!$K$4:$AJ$4,0))))+SUMPRODUCT((Inputs!$C$5:$C$170=$B41)*ISNUMBER(INDEX(Inputs!$K$5:$AJ$170,0,MATCH(E$2,Inputs!$K$4:$AJ$4,0))))+SUMPRODUCT((Inputs!$E$5:$E$170=$B41)*ISNUMBER(INDEX(Inputs!$K$5:$AJ$170,0,MATCH(E$2,Inputs!$K$4:$AJ$4,0))))=0,NA(),SUMPRODUCT((Inputs!$A$5:$A$170=$B41)*Inputs!$B$5:$B$170*(((Inputs!$G$5:$G$170="moeda")+(Inputs!$G$5:$G$170="acoes"))*Inputs!$B$1+((Inputs!$G$5:$G$170&lt;&gt;"moeda")*(Inputs!$G$5:$G$170&lt;&gt;"acoes")))*INDEX(Inputs!$K$5:$AJ$170,0,MATCH(E$2,Inputs!$K$4:$AJ$4,0)))+SUMPRODUCT((Inputs!$C$5:$C$170=$B41)*Inputs!$D$5:$D$170*(((Inputs!$G$5:$G$170="moeda")+(Inputs!$G$5:$G$170="acoes"))*Inputs!$B$1+((Inputs!$G$5:$G$170&lt;&gt;"moeda")*(Inputs!$G$5:$G$170&lt;&gt;"acoes")))*INDEX(Inputs!$K$5:$AJ$170,0,MATCH(E$2,Inputs!$K$4:$AJ$4,0)))+SUMPRODUCT((Inputs!$E$5:$E$170=$B41)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1" s="6" t="e">
        <f>IF(ISNA(MATCH(F$2,Inputs!$K$4:$AJ$4,0)),NA(),IF(SUMPRODUCT((Inputs!$A$5:$A$170=$B41)*ISNUMBER(INDEX(Inputs!$K$5:$AJ$170,0,MATCH(F$2,Inputs!$K$4:$AJ$4,0))))+SUMPRODUCT((Inputs!$C$5:$C$170=$B41)*ISNUMBER(INDEX(Inputs!$K$5:$AJ$170,0,MATCH(F$2,Inputs!$K$4:$AJ$4,0))))+SUMPRODUCT((Inputs!$E$5:$E$170=$B41)*ISNUMBER(INDEX(Inputs!$K$5:$AJ$170,0,MATCH(F$2,Inputs!$K$4:$AJ$4,0))))=0,NA(),SUMPRODUCT((Inputs!$A$5:$A$170=$B41)*Inputs!$B$5:$B$170*(((Inputs!$G$5:$G$170="moeda")+(Inputs!$G$5:$G$170="acoes"))*Inputs!$B$1+((Inputs!$G$5:$G$170&lt;&gt;"moeda")*(Inputs!$G$5:$G$170&lt;&gt;"acoes")))*INDEX(Inputs!$K$5:$AJ$170,0,MATCH(F$2,Inputs!$K$4:$AJ$4,0)))+SUMPRODUCT((Inputs!$C$5:$C$170=$B41)*Inputs!$D$5:$D$170*(((Inputs!$G$5:$G$170="moeda")+(Inputs!$G$5:$G$170="acoes"))*Inputs!$B$1+((Inputs!$G$5:$G$170&lt;&gt;"moeda")*(Inputs!$G$5:$G$170&lt;&gt;"acoes")))*INDEX(Inputs!$K$5:$AJ$170,0,MATCH(F$2,Inputs!$K$4:$AJ$4,0)))+SUMPRODUCT((Inputs!$E$5:$E$170=$B41)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1" s="6" t="e">
        <f>IF(ISNA(MATCH(G$2,Inputs!$K$4:$AJ$4,0)),NA(),IF(SUMPRODUCT((Inputs!$A$5:$A$170=$B41)*ISNUMBER(INDEX(Inputs!$K$5:$AJ$170,0,MATCH(G$2,Inputs!$K$4:$AJ$4,0))))+SUMPRODUCT((Inputs!$C$5:$C$170=$B41)*ISNUMBER(INDEX(Inputs!$K$5:$AJ$170,0,MATCH(G$2,Inputs!$K$4:$AJ$4,0))))+SUMPRODUCT((Inputs!$E$5:$E$170=$B41)*ISNUMBER(INDEX(Inputs!$K$5:$AJ$170,0,MATCH(G$2,Inputs!$K$4:$AJ$4,0))))=0,NA(),SUMPRODUCT((Inputs!$A$5:$A$170=$B41)*Inputs!$B$5:$B$170*(((Inputs!$G$5:$G$170="moeda")+(Inputs!$G$5:$G$170="acoes"))*Inputs!$B$1+((Inputs!$G$5:$G$170&lt;&gt;"moeda")*(Inputs!$G$5:$G$170&lt;&gt;"acoes")))*INDEX(Inputs!$K$5:$AJ$170,0,MATCH(G$2,Inputs!$K$4:$AJ$4,0)))+SUMPRODUCT((Inputs!$C$5:$C$170=$B41)*Inputs!$D$5:$D$170*(((Inputs!$G$5:$G$170="moeda")+(Inputs!$G$5:$G$170="acoes"))*Inputs!$B$1+((Inputs!$G$5:$G$170&lt;&gt;"moeda")*(Inputs!$G$5:$G$170&lt;&gt;"acoes")))*INDEX(Inputs!$K$5:$AJ$170,0,MATCH(G$2,Inputs!$K$4:$AJ$4,0)))+SUMPRODUCT((Inputs!$E$5:$E$170=$B41)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1" s="3" t="e">
        <f>G41</f>
        <v>#N/A</v>
      </c>
      <c r="I41" s="6" t="e">
        <f>IF(ISNA(MATCH(I$2,Inputs!$K$4:$AJ$4,0)),NA(),IF(SUMPRODUCT((Inputs!$A$5:$A$170=$B41)*ISNUMBER(INDEX(Inputs!$K$5:$AJ$170,0,MATCH(I$2,Inputs!$K$4:$AJ$4,0))))+SUMPRODUCT((Inputs!$C$5:$C$170=$B41)*ISNUMBER(INDEX(Inputs!$K$5:$AJ$170,0,MATCH(I$2,Inputs!$K$4:$AJ$4,0))))+SUMPRODUCT((Inputs!$E$5:$E$170=$B41)*ISNUMBER(INDEX(Inputs!$K$5:$AJ$170,0,MATCH(I$2,Inputs!$K$4:$AJ$4,0))))=0,NA(),SUMPRODUCT((Inputs!$A$5:$A$170=$B41)*Inputs!$B$5:$B$170*(((Inputs!$G$5:$G$170="moeda")+(Inputs!$G$5:$G$170="acoes"))*Inputs!$B$1+((Inputs!$G$5:$G$170&lt;&gt;"moeda")*(Inputs!$G$5:$G$170&lt;&gt;"acoes")))*INDEX(Inputs!$K$5:$AJ$170,0,MATCH(I$2,Inputs!$K$4:$AJ$4,0)))+SUMPRODUCT((Inputs!$C$5:$C$170=$B41)*Inputs!$D$5:$D$170*(((Inputs!$G$5:$G$170="moeda")+(Inputs!$G$5:$G$170="acoes"))*Inputs!$B$1+((Inputs!$G$5:$G$170&lt;&gt;"moeda")*(Inputs!$G$5:$G$170&lt;&gt;"acoes")))*INDEX(Inputs!$K$5:$AJ$170,0,MATCH(I$2,Inputs!$K$4:$AJ$4,0)))+SUMPRODUCT((Inputs!$E$5:$E$170=$B41)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1" s="6" t="e">
        <f>IF(ISNA(MATCH(J$2,Inputs!$K$4:$AJ$4,0)),NA(),IF(SUMPRODUCT((Inputs!$A$5:$A$170=$B41)*ISNUMBER(INDEX(Inputs!$K$5:$AJ$170,0,MATCH(J$2,Inputs!$K$4:$AJ$4,0))))+SUMPRODUCT((Inputs!$C$5:$C$170=$B41)*ISNUMBER(INDEX(Inputs!$K$5:$AJ$170,0,MATCH(J$2,Inputs!$K$4:$AJ$4,0))))+SUMPRODUCT((Inputs!$E$5:$E$170=$B41)*ISNUMBER(INDEX(Inputs!$K$5:$AJ$170,0,MATCH(J$2,Inputs!$K$4:$AJ$4,0))))=0,NA(),SUMPRODUCT((Inputs!$A$5:$A$170=$B41)*Inputs!$B$5:$B$170*(((Inputs!$G$5:$G$170="moeda")+(Inputs!$G$5:$G$170="acoes"))*Inputs!$B$1+((Inputs!$G$5:$G$170&lt;&gt;"moeda")*(Inputs!$G$5:$G$170&lt;&gt;"acoes")))*INDEX(Inputs!$K$5:$AJ$170,0,MATCH(J$2,Inputs!$K$4:$AJ$4,0)))+SUMPRODUCT((Inputs!$C$5:$C$170=$B41)*Inputs!$D$5:$D$170*(((Inputs!$G$5:$G$170="moeda")+(Inputs!$G$5:$G$170="acoes"))*Inputs!$B$1+((Inputs!$G$5:$G$170&lt;&gt;"moeda")*(Inputs!$G$5:$G$170&lt;&gt;"acoes")))*INDEX(Inputs!$K$5:$AJ$170,0,MATCH(J$2,Inputs!$K$4:$AJ$4,0)))+SUMPRODUCT((Inputs!$E$5:$E$170=$B41)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1" s="6" t="e">
        <f>IF(ISNA(MATCH(K$2,Inputs!$K$4:$AJ$4,0)),NA(),IF(SUMPRODUCT((Inputs!$A$5:$A$170=$B41)*ISNUMBER(INDEX(Inputs!$K$5:$AJ$170,0,MATCH(K$2,Inputs!$K$4:$AJ$4,0))))+SUMPRODUCT((Inputs!$C$5:$C$170=$B41)*ISNUMBER(INDEX(Inputs!$K$5:$AJ$170,0,MATCH(K$2,Inputs!$K$4:$AJ$4,0))))+SUMPRODUCT((Inputs!$E$5:$E$170=$B41)*ISNUMBER(INDEX(Inputs!$K$5:$AJ$170,0,MATCH(K$2,Inputs!$K$4:$AJ$4,0))))=0,NA(),SUMPRODUCT((Inputs!$A$5:$A$170=$B41)*Inputs!$B$5:$B$170*(((Inputs!$G$5:$G$170="moeda")+(Inputs!$G$5:$G$170="acoes"))*Inputs!$B$1+((Inputs!$G$5:$G$170&lt;&gt;"moeda")*(Inputs!$G$5:$G$170&lt;&gt;"acoes")))*INDEX(Inputs!$K$5:$AJ$170,0,MATCH(K$2,Inputs!$K$4:$AJ$4,0)))+SUMPRODUCT((Inputs!$C$5:$C$170=$B41)*Inputs!$D$5:$D$170*(((Inputs!$G$5:$G$170="moeda")+(Inputs!$G$5:$G$170="acoes"))*Inputs!$B$1+((Inputs!$G$5:$G$170&lt;&gt;"moeda")*(Inputs!$G$5:$G$170&lt;&gt;"acoes")))*INDEX(Inputs!$K$5:$AJ$170,0,MATCH(K$2,Inputs!$K$4:$AJ$4,0)))+SUMPRODUCT((Inputs!$E$5:$E$170=$B41)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1" s="6" t="e">
        <f>IF(ISNA(MATCH(L$2,Inputs!$K$4:$AJ$4,0)),NA(),IF(SUMPRODUCT((Inputs!$A$5:$A$170=$B41)*ISNUMBER(INDEX(Inputs!$K$5:$AJ$170,0,MATCH(L$2,Inputs!$K$4:$AJ$4,0))))+SUMPRODUCT((Inputs!$C$5:$C$170=$B41)*ISNUMBER(INDEX(Inputs!$K$5:$AJ$170,0,MATCH(L$2,Inputs!$K$4:$AJ$4,0))))+SUMPRODUCT((Inputs!$E$5:$E$170=$B41)*ISNUMBER(INDEX(Inputs!$K$5:$AJ$170,0,MATCH(L$2,Inputs!$K$4:$AJ$4,0))))=0,NA(),SUMPRODUCT((Inputs!$A$5:$A$170=$B41)*Inputs!$B$5:$B$170*(((Inputs!$G$5:$G$170="moeda")+(Inputs!$G$5:$G$170="acoes"))*Inputs!$B$1+((Inputs!$G$5:$G$170&lt;&gt;"moeda")*(Inputs!$G$5:$G$170&lt;&gt;"acoes")))*INDEX(Inputs!$K$5:$AJ$170,0,MATCH(L$2,Inputs!$K$4:$AJ$4,0)))+SUMPRODUCT((Inputs!$C$5:$C$170=$B41)*Inputs!$D$5:$D$170*(((Inputs!$G$5:$G$170="moeda")+(Inputs!$G$5:$G$170="acoes"))*Inputs!$B$1+((Inputs!$G$5:$G$170&lt;&gt;"moeda")*(Inputs!$G$5:$G$170&lt;&gt;"acoes")))*INDEX(Inputs!$K$5:$AJ$170,0,MATCH(L$2,Inputs!$K$4:$AJ$4,0)))+SUMPRODUCT((Inputs!$E$5:$E$170=$B41)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1" s="3" t="e">
        <f>L41</f>
        <v>#N/A</v>
      </c>
      <c r="N41" s="6" t="e">
        <f>IF(ISNA(MATCH(N$2,Inputs!$K$4:$AJ$4,0)),NA(),IF(SUMPRODUCT((Inputs!$A$5:$A$170=$B41)*ISNUMBER(INDEX(Inputs!$K$5:$AJ$170,0,MATCH(N$2,Inputs!$K$4:$AJ$4,0))))+SUMPRODUCT((Inputs!$C$5:$C$170=$B41)*ISNUMBER(INDEX(Inputs!$K$5:$AJ$170,0,MATCH(N$2,Inputs!$K$4:$AJ$4,0))))+SUMPRODUCT((Inputs!$E$5:$E$170=$B41)*ISNUMBER(INDEX(Inputs!$K$5:$AJ$170,0,MATCH(N$2,Inputs!$K$4:$AJ$4,0))))=0,NA(),SUMPRODUCT((Inputs!$A$5:$A$170=$B41)*Inputs!$B$5:$B$170*(((Inputs!$G$5:$G$170="moeda")+(Inputs!$G$5:$G$170="acoes"))*Inputs!$B$1+((Inputs!$G$5:$G$170&lt;&gt;"moeda")*(Inputs!$G$5:$G$170&lt;&gt;"acoes")))*INDEX(Inputs!$K$5:$AJ$170,0,MATCH(N$2,Inputs!$K$4:$AJ$4,0)))+SUMPRODUCT((Inputs!$C$5:$C$170=$B41)*Inputs!$D$5:$D$170*(((Inputs!$G$5:$G$170="moeda")+(Inputs!$G$5:$G$170="acoes"))*Inputs!$B$1+((Inputs!$G$5:$G$170&lt;&gt;"moeda")*(Inputs!$G$5:$G$170&lt;&gt;"acoes")))*INDEX(Inputs!$K$5:$AJ$170,0,MATCH(N$2,Inputs!$K$4:$AJ$4,0)))+SUMPRODUCT((Inputs!$E$5:$E$170=$B41)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1" s="6" t="e">
        <f>IF(ISNA(MATCH(O$2,Inputs!$K$4:$AJ$4,0)),NA(),IF(SUMPRODUCT((Inputs!$A$5:$A$170=$B41)*ISNUMBER(INDEX(Inputs!$K$5:$AJ$170,0,MATCH(O$2,Inputs!$K$4:$AJ$4,0))))+SUMPRODUCT((Inputs!$C$5:$C$170=$B41)*ISNUMBER(INDEX(Inputs!$K$5:$AJ$170,0,MATCH(O$2,Inputs!$K$4:$AJ$4,0))))+SUMPRODUCT((Inputs!$E$5:$E$170=$B41)*ISNUMBER(INDEX(Inputs!$K$5:$AJ$170,0,MATCH(O$2,Inputs!$K$4:$AJ$4,0))))=0,NA(),SUMPRODUCT((Inputs!$A$5:$A$170=$B41)*Inputs!$B$5:$B$170*(((Inputs!$G$5:$G$170="moeda")+(Inputs!$G$5:$G$170="acoes"))*Inputs!$B$1+((Inputs!$G$5:$G$170&lt;&gt;"moeda")*(Inputs!$G$5:$G$170&lt;&gt;"acoes")))*INDEX(Inputs!$K$5:$AJ$170,0,MATCH(O$2,Inputs!$K$4:$AJ$4,0)))+SUMPRODUCT((Inputs!$C$5:$C$170=$B41)*Inputs!$D$5:$D$170*(((Inputs!$G$5:$G$170="moeda")+(Inputs!$G$5:$G$170="acoes"))*Inputs!$B$1+((Inputs!$G$5:$G$170&lt;&gt;"moeda")*(Inputs!$G$5:$G$170&lt;&gt;"acoes")))*INDEX(Inputs!$K$5:$AJ$170,0,MATCH(O$2,Inputs!$K$4:$AJ$4,0)))+SUMPRODUCT((Inputs!$E$5:$E$170=$B41)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1" s="6" t="e">
        <f>IF(ISNA(MATCH(P$2,Inputs!$K$4:$AJ$4,0)),NA(),IF(SUMPRODUCT((Inputs!$A$5:$A$170=$B41)*ISNUMBER(INDEX(Inputs!$K$5:$AJ$170,0,MATCH(P$2,Inputs!$K$4:$AJ$4,0))))+SUMPRODUCT((Inputs!$C$5:$C$170=$B41)*ISNUMBER(INDEX(Inputs!$K$5:$AJ$170,0,MATCH(P$2,Inputs!$K$4:$AJ$4,0))))+SUMPRODUCT((Inputs!$E$5:$E$170=$B41)*ISNUMBER(INDEX(Inputs!$K$5:$AJ$170,0,MATCH(P$2,Inputs!$K$4:$AJ$4,0))))=0,NA(),SUMPRODUCT((Inputs!$A$5:$A$170=$B41)*Inputs!$B$5:$B$170*(((Inputs!$G$5:$G$170="moeda")+(Inputs!$G$5:$G$170="acoes"))*Inputs!$B$1+((Inputs!$G$5:$G$170&lt;&gt;"moeda")*(Inputs!$G$5:$G$170&lt;&gt;"acoes")))*INDEX(Inputs!$K$5:$AJ$170,0,MATCH(P$2,Inputs!$K$4:$AJ$4,0)))+SUMPRODUCT((Inputs!$C$5:$C$170=$B41)*Inputs!$D$5:$D$170*(((Inputs!$G$5:$G$170="moeda")+(Inputs!$G$5:$G$170="acoes"))*Inputs!$B$1+((Inputs!$G$5:$G$170&lt;&gt;"moeda")*(Inputs!$G$5:$G$170&lt;&gt;"acoes")))*INDEX(Inputs!$K$5:$AJ$170,0,MATCH(P$2,Inputs!$K$4:$AJ$4,0)))+SUMPRODUCT((Inputs!$E$5:$E$170=$B41)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1" s="6" t="e">
        <f>IF(ISNA(MATCH(Q$2,Inputs!$K$4:$AJ$4,0)),NA(),IF(SUMPRODUCT((Inputs!$A$5:$A$170=$B41)*ISNUMBER(INDEX(Inputs!$K$5:$AJ$170,0,MATCH(Q$2,Inputs!$K$4:$AJ$4,0))))+SUMPRODUCT((Inputs!$C$5:$C$170=$B41)*ISNUMBER(INDEX(Inputs!$K$5:$AJ$170,0,MATCH(Q$2,Inputs!$K$4:$AJ$4,0))))+SUMPRODUCT((Inputs!$E$5:$E$170=$B41)*ISNUMBER(INDEX(Inputs!$K$5:$AJ$170,0,MATCH(Q$2,Inputs!$K$4:$AJ$4,0))))=0,NA(),SUMPRODUCT((Inputs!$A$5:$A$170=$B41)*Inputs!$B$5:$B$170*(((Inputs!$G$5:$G$170="moeda")+(Inputs!$G$5:$G$170="acoes"))*Inputs!$B$1+((Inputs!$G$5:$G$170&lt;&gt;"moeda")*(Inputs!$G$5:$G$170&lt;&gt;"acoes")))*INDEX(Inputs!$K$5:$AJ$170,0,MATCH(Q$2,Inputs!$K$4:$AJ$4,0)))+SUMPRODUCT((Inputs!$C$5:$C$170=$B41)*Inputs!$D$5:$D$170*(((Inputs!$G$5:$G$170="moeda")+(Inputs!$G$5:$G$170="acoes"))*Inputs!$B$1+((Inputs!$G$5:$G$170&lt;&gt;"moeda")*(Inputs!$G$5:$G$170&lt;&gt;"acoes")))*INDEX(Inputs!$K$5:$AJ$170,0,MATCH(Q$2,Inputs!$K$4:$AJ$4,0)))+SUMPRODUCT((Inputs!$E$5:$E$170=$B41)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1" s="3" t="e">
        <f>Q41</f>
        <v>#N/A</v>
      </c>
      <c r="S41" s="6" t="e">
        <f>IF(ISNA(MATCH(S$2,Inputs!$K$4:$AJ$4,0)),NA(),IF(SUMPRODUCT((Inputs!$A$5:$A$170=$B41)*ISNUMBER(INDEX(Inputs!$K$5:$AJ$170,0,MATCH(S$2,Inputs!$K$4:$AJ$4,0))))+SUMPRODUCT((Inputs!$C$5:$C$170=$B41)*ISNUMBER(INDEX(Inputs!$K$5:$AJ$170,0,MATCH(S$2,Inputs!$K$4:$AJ$4,0))))+SUMPRODUCT((Inputs!$E$5:$E$170=$B41)*ISNUMBER(INDEX(Inputs!$K$5:$AJ$170,0,MATCH(S$2,Inputs!$K$4:$AJ$4,0))))=0,NA(),SUMPRODUCT((Inputs!$A$5:$A$170=$B41)*Inputs!$B$5:$B$170*(((Inputs!$G$5:$G$170="moeda")+(Inputs!$G$5:$G$170="acoes"))*Inputs!$B$1+((Inputs!$G$5:$G$170&lt;&gt;"moeda")*(Inputs!$G$5:$G$170&lt;&gt;"acoes")))*INDEX(Inputs!$K$5:$AJ$170,0,MATCH(S$2,Inputs!$K$4:$AJ$4,0)))+SUMPRODUCT((Inputs!$C$5:$C$170=$B41)*Inputs!$D$5:$D$170*(((Inputs!$G$5:$G$170="moeda")+(Inputs!$G$5:$G$170="acoes"))*Inputs!$B$1+((Inputs!$G$5:$G$170&lt;&gt;"moeda")*(Inputs!$G$5:$G$170&lt;&gt;"acoes")))*INDEX(Inputs!$K$5:$AJ$170,0,MATCH(S$2,Inputs!$K$4:$AJ$4,0)))+SUMPRODUCT((Inputs!$E$5:$E$170=$B41)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1" s="6" t="e">
        <f>IF(ISNA(MATCH(T$2,Inputs!$K$4:$AJ$4,0)),NA(),IF(SUMPRODUCT((Inputs!$A$5:$A$170=$B41)*ISNUMBER(INDEX(Inputs!$K$5:$AJ$170,0,MATCH(T$2,Inputs!$K$4:$AJ$4,0))))+SUMPRODUCT((Inputs!$C$5:$C$170=$B41)*ISNUMBER(INDEX(Inputs!$K$5:$AJ$170,0,MATCH(T$2,Inputs!$K$4:$AJ$4,0))))+SUMPRODUCT((Inputs!$E$5:$E$170=$B41)*ISNUMBER(INDEX(Inputs!$K$5:$AJ$170,0,MATCH(T$2,Inputs!$K$4:$AJ$4,0))))=0,NA(),SUMPRODUCT((Inputs!$A$5:$A$170=$B41)*Inputs!$B$5:$B$170*(((Inputs!$G$5:$G$170="moeda")+(Inputs!$G$5:$G$170="acoes"))*Inputs!$B$1+((Inputs!$G$5:$G$170&lt;&gt;"moeda")*(Inputs!$G$5:$G$170&lt;&gt;"acoes")))*INDEX(Inputs!$K$5:$AJ$170,0,MATCH(T$2,Inputs!$K$4:$AJ$4,0)))+SUMPRODUCT((Inputs!$C$5:$C$170=$B41)*Inputs!$D$5:$D$170*(((Inputs!$G$5:$G$170="moeda")+(Inputs!$G$5:$G$170="acoes"))*Inputs!$B$1+((Inputs!$G$5:$G$170&lt;&gt;"moeda")*(Inputs!$G$5:$G$170&lt;&gt;"acoes")))*INDEX(Inputs!$K$5:$AJ$170,0,MATCH(T$2,Inputs!$K$4:$AJ$4,0)))+SUMPRODUCT((Inputs!$E$5:$E$170=$B41)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1" s="6" t="e">
        <f>IF(ISNA(MATCH(U$2,Inputs!$K$4:$AJ$4,0)),NA(),IF(SUMPRODUCT((Inputs!$A$5:$A$170=$B41)*ISNUMBER(INDEX(Inputs!$K$5:$AJ$170,0,MATCH(U$2,Inputs!$K$4:$AJ$4,0))))+SUMPRODUCT((Inputs!$C$5:$C$170=$B41)*ISNUMBER(INDEX(Inputs!$K$5:$AJ$170,0,MATCH(U$2,Inputs!$K$4:$AJ$4,0))))+SUMPRODUCT((Inputs!$E$5:$E$170=$B41)*ISNUMBER(INDEX(Inputs!$K$5:$AJ$170,0,MATCH(U$2,Inputs!$K$4:$AJ$4,0))))=0,NA(),SUMPRODUCT((Inputs!$A$5:$A$170=$B41)*Inputs!$B$5:$B$170*(((Inputs!$G$5:$G$170="moeda")+(Inputs!$G$5:$G$170="acoes"))*Inputs!$B$1+((Inputs!$G$5:$G$170&lt;&gt;"moeda")*(Inputs!$G$5:$G$170&lt;&gt;"acoes")))*INDEX(Inputs!$K$5:$AJ$170,0,MATCH(U$2,Inputs!$K$4:$AJ$4,0)))+SUMPRODUCT((Inputs!$C$5:$C$170=$B41)*Inputs!$D$5:$D$170*(((Inputs!$G$5:$G$170="moeda")+(Inputs!$G$5:$G$170="acoes"))*Inputs!$B$1+((Inputs!$G$5:$G$170&lt;&gt;"moeda")*(Inputs!$G$5:$G$170&lt;&gt;"acoes")))*INDEX(Inputs!$K$5:$AJ$170,0,MATCH(U$2,Inputs!$K$4:$AJ$4,0)))+SUMPRODUCT((Inputs!$E$5:$E$170=$B41)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1" s="6" t="e">
        <f>IF(ISNA(MATCH(V$2,Inputs!$K$4:$AJ$4,0)),NA(),IF(SUMPRODUCT((Inputs!$A$5:$A$170=$B41)*ISNUMBER(INDEX(Inputs!$K$5:$AJ$170,0,MATCH(V$2,Inputs!$K$4:$AJ$4,0))))+SUMPRODUCT((Inputs!$C$5:$C$170=$B41)*ISNUMBER(INDEX(Inputs!$K$5:$AJ$170,0,MATCH(V$2,Inputs!$K$4:$AJ$4,0))))+SUMPRODUCT((Inputs!$E$5:$E$170=$B41)*ISNUMBER(INDEX(Inputs!$K$5:$AJ$170,0,MATCH(V$2,Inputs!$K$4:$AJ$4,0))))=0,NA(),SUMPRODUCT((Inputs!$A$5:$A$170=$B41)*Inputs!$B$5:$B$170*(((Inputs!$G$5:$G$170="moeda")+(Inputs!$G$5:$G$170="acoes"))*Inputs!$B$1+((Inputs!$G$5:$G$170&lt;&gt;"moeda")*(Inputs!$G$5:$G$170&lt;&gt;"acoes")))*INDEX(Inputs!$K$5:$AJ$170,0,MATCH(V$2,Inputs!$K$4:$AJ$4,0)))+SUMPRODUCT((Inputs!$C$5:$C$170=$B41)*Inputs!$D$5:$D$170*(((Inputs!$G$5:$G$170="moeda")+(Inputs!$G$5:$G$170="acoes"))*Inputs!$B$1+((Inputs!$G$5:$G$170&lt;&gt;"moeda")*(Inputs!$G$5:$G$170&lt;&gt;"acoes")))*INDEX(Inputs!$K$5:$AJ$170,0,MATCH(V$2,Inputs!$K$4:$AJ$4,0)))+SUMPRODUCT((Inputs!$E$5:$E$170=$B41)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1" s="3" t="e">
        <f>V41</f>
        <v>#N/A</v>
      </c>
      <c r="X41" s="6" t="e">
        <f>IF(ISNA(MATCH(X$2,Inputs!$K$4:$AJ$4,0)),NA(),IF(SUMPRODUCT((Inputs!$A$5:$A$170=$B41)*ISNUMBER(INDEX(Inputs!$K$5:$AJ$170,0,MATCH(X$2,Inputs!$K$4:$AJ$4,0))))+SUMPRODUCT((Inputs!$C$5:$C$170=$B41)*ISNUMBER(INDEX(Inputs!$K$5:$AJ$170,0,MATCH(X$2,Inputs!$K$4:$AJ$4,0))))+SUMPRODUCT((Inputs!$E$5:$E$170=$B41)*ISNUMBER(INDEX(Inputs!$K$5:$AJ$170,0,MATCH(X$2,Inputs!$K$4:$AJ$4,0))))=0,NA(),SUMPRODUCT((Inputs!$A$5:$A$170=$B41)*Inputs!$B$5:$B$170*(((Inputs!$G$5:$G$170="moeda")+(Inputs!$G$5:$G$170="acoes"))*Inputs!$B$1+((Inputs!$G$5:$G$170&lt;&gt;"moeda")*(Inputs!$G$5:$G$170&lt;&gt;"acoes")))*INDEX(Inputs!$K$5:$AJ$170,0,MATCH(X$2,Inputs!$K$4:$AJ$4,0)))+SUMPRODUCT((Inputs!$C$5:$C$170=$B41)*Inputs!$D$5:$D$170*(((Inputs!$G$5:$G$170="moeda")+(Inputs!$G$5:$G$170="acoes"))*Inputs!$B$1+((Inputs!$G$5:$G$170&lt;&gt;"moeda")*(Inputs!$G$5:$G$170&lt;&gt;"acoes")))*INDEX(Inputs!$K$5:$AJ$170,0,MATCH(X$2,Inputs!$K$4:$AJ$4,0)))+SUMPRODUCT((Inputs!$E$5:$E$170=$B41)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1" s="6" t="e">
        <f>IF(ISNA(MATCH(Y$2,Inputs!$K$4:$AJ$4,0)),NA(),IF(SUMPRODUCT((Inputs!$A$5:$A$170=$B41)*ISNUMBER(INDEX(Inputs!$K$5:$AJ$170,0,MATCH(Y$2,Inputs!$K$4:$AJ$4,0))))+SUMPRODUCT((Inputs!$C$5:$C$170=$B41)*ISNUMBER(INDEX(Inputs!$K$5:$AJ$170,0,MATCH(Y$2,Inputs!$K$4:$AJ$4,0))))+SUMPRODUCT((Inputs!$E$5:$E$170=$B41)*ISNUMBER(INDEX(Inputs!$K$5:$AJ$170,0,MATCH(Y$2,Inputs!$K$4:$AJ$4,0))))=0,NA(),SUMPRODUCT((Inputs!$A$5:$A$170=$B41)*Inputs!$B$5:$B$170*(((Inputs!$G$5:$G$170="moeda")+(Inputs!$G$5:$G$170="acoes"))*Inputs!$B$1+((Inputs!$G$5:$G$170&lt;&gt;"moeda")*(Inputs!$G$5:$G$170&lt;&gt;"acoes")))*INDEX(Inputs!$K$5:$AJ$170,0,MATCH(Y$2,Inputs!$K$4:$AJ$4,0)))+SUMPRODUCT((Inputs!$C$5:$C$170=$B41)*Inputs!$D$5:$D$170*(((Inputs!$G$5:$G$170="moeda")+(Inputs!$G$5:$G$170="acoes"))*Inputs!$B$1+((Inputs!$G$5:$G$170&lt;&gt;"moeda")*(Inputs!$G$5:$G$170&lt;&gt;"acoes")))*INDEX(Inputs!$K$5:$AJ$170,0,MATCH(Y$2,Inputs!$K$4:$AJ$4,0)))+SUMPRODUCT((Inputs!$E$5:$E$170=$B41)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1" s="6" t="e">
        <f>IF(ISNA(MATCH(Z$2,Inputs!$K$4:$AJ$4,0)),NA(),IF(SUMPRODUCT((Inputs!$A$5:$A$170=$B41)*ISNUMBER(INDEX(Inputs!$K$5:$AJ$170,0,MATCH(Z$2,Inputs!$K$4:$AJ$4,0))))+SUMPRODUCT((Inputs!$C$5:$C$170=$B41)*ISNUMBER(INDEX(Inputs!$K$5:$AJ$170,0,MATCH(Z$2,Inputs!$K$4:$AJ$4,0))))+SUMPRODUCT((Inputs!$E$5:$E$170=$B41)*ISNUMBER(INDEX(Inputs!$K$5:$AJ$170,0,MATCH(Z$2,Inputs!$K$4:$AJ$4,0))))=0,NA(),SUMPRODUCT((Inputs!$A$5:$A$170=$B41)*Inputs!$B$5:$B$170*(((Inputs!$G$5:$G$170="moeda")+(Inputs!$G$5:$G$170="acoes"))*Inputs!$B$1+((Inputs!$G$5:$G$170&lt;&gt;"moeda")*(Inputs!$G$5:$G$170&lt;&gt;"acoes")))*INDEX(Inputs!$K$5:$AJ$170,0,MATCH(Z$2,Inputs!$K$4:$AJ$4,0)))+SUMPRODUCT((Inputs!$C$5:$C$170=$B41)*Inputs!$D$5:$D$170*(((Inputs!$G$5:$G$170="moeda")+(Inputs!$G$5:$G$170="acoes"))*Inputs!$B$1+((Inputs!$G$5:$G$170&lt;&gt;"moeda")*(Inputs!$G$5:$G$170&lt;&gt;"acoes")))*INDEX(Inputs!$K$5:$AJ$170,0,MATCH(Z$2,Inputs!$K$4:$AJ$4,0)))+SUMPRODUCT((Inputs!$E$5:$E$170=$B41)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1" s="6" t="e">
        <f>IF(ISNA(MATCH(AA$2,Inputs!$K$4:$AJ$4,0)),NA(),IF(SUMPRODUCT((Inputs!$A$5:$A$170=$B41)*ISNUMBER(INDEX(Inputs!$K$5:$AJ$170,0,MATCH(AA$2,Inputs!$K$4:$AJ$4,0))))+SUMPRODUCT((Inputs!$C$5:$C$170=$B41)*ISNUMBER(INDEX(Inputs!$K$5:$AJ$170,0,MATCH(AA$2,Inputs!$K$4:$AJ$4,0))))+SUMPRODUCT((Inputs!$E$5:$E$170=$B41)*ISNUMBER(INDEX(Inputs!$K$5:$AJ$170,0,MATCH(AA$2,Inputs!$K$4:$AJ$4,0))))=0,NA(),SUMPRODUCT((Inputs!$A$5:$A$170=$B41)*Inputs!$B$5:$B$170*(((Inputs!$G$5:$G$170="moeda")+(Inputs!$G$5:$G$170="acoes"))*Inputs!$B$1+((Inputs!$G$5:$G$170&lt;&gt;"moeda")*(Inputs!$G$5:$G$170&lt;&gt;"acoes")))*INDEX(Inputs!$K$5:$AJ$170,0,MATCH(AA$2,Inputs!$K$4:$AJ$4,0)))+SUMPRODUCT((Inputs!$C$5:$C$170=$B41)*Inputs!$D$5:$D$170*(((Inputs!$G$5:$G$170="moeda")+(Inputs!$G$5:$G$170="acoes"))*Inputs!$B$1+((Inputs!$G$5:$G$170&lt;&gt;"moeda")*(Inputs!$G$5:$G$170&lt;&gt;"acoes")))*INDEX(Inputs!$K$5:$AJ$170,0,MATCH(AA$2,Inputs!$K$4:$AJ$4,0)))+SUMPRODUCT((Inputs!$E$5:$E$170=$B41)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1" s="3" t="e">
        <f>AA41</f>
        <v>#N/A</v>
      </c>
      <c r="AC41" s="6" t="e">
        <f>IF(ISNA(MATCH(AC$2,Inputs!$K$4:$AJ$4,0)),NA(),IF(SUMPRODUCT((Inputs!$A$5:$A$170=$B41)*ISNUMBER(INDEX(Inputs!$K$5:$AJ$170,0,MATCH(AC$2,Inputs!$K$4:$AJ$4,0))))+SUMPRODUCT((Inputs!$C$5:$C$170=$B41)*ISNUMBER(INDEX(Inputs!$K$5:$AJ$170,0,MATCH(AC$2,Inputs!$K$4:$AJ$4,0))))+SUMPRODUCT((Inputs!$E$5:$E$170=$B41)*ISNUMBER(INDEX(Inputs!$K$5:$AJ$170,0,MATCH(AC$2,Inputs!$K$4:$AJ$4,0))))=0,NA(),SUMPRODUCT((Inputs!$A$5:$A$170=$B41)*Inputs!$B$5:$B$170*(((Inputs!$G$5:$G$170="moeda")+(Inputs!$G$5:$G$170="acoes"))*Inputs!$B$1+((Inputs!$G$5:$G$170&lt;&gt;"moeda")*(Inputs!$G$5:$G$170&lt;&gt;"acoes")))*INDEX(Inputs!$K$5:$AJ$170,0,MATCH(AC$2,Inputs!$K$4:$AJ$4,0)))+SUMPRODUCT((Inputs!$C$5:$C$170=$B41)*Inputs!$D$5:$D$170*(((Inputs!$G$5:$G$170="moeda")+(Inputs!$G$5:$G$170="acoes"))*Inputs!$B$1+((Inputs!$G$5:$G$170&lt;&gt;"moeda")*(Inputs!$G$5:$G$170&lt;&gt;"acoes")))*INDEX(Inputs!$K$5:$AJ$170,0,MATCH(AC$2,Inputs!$K$4:$AJ$4,0)))+SUMPRODUCT((Inputs!$E$5:$E$170=$B41)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1" s="6" t="e">
        <f>IF(ISNA(MATCH(AD$2,Inputs!$K$4:$AJ$4,0)),NA(),IF(SUMPRODUCT((Inputs!$A$5:$A$170=$B41)*ISNUMBER(INDEX(Inputs!$K$5:$AJ$170,0,MATCH(AD$2,Inputs!$K$4:$AJ$4,0))))+SUMPRODUCT((Inputs!$C$5:$C$170=$B41)*ISNUMBER(INDEX(Inputs!$K$5:$AJ$170,0,MATCH(AD$2,Inputs!$K$4:$AJ$4,0))))+SUMPRODUCT((Inputs!$E$5:$E$170=$B41)*ISNUMBER(INDEX(Inputs!$K$5:$AJ$170,0,MATCH(AD$2,Inputs!$K$4:$AJ$4,0))))=0,NA(),SUMPRODUCT((Inputs!$A$5:$A$170=$B41)*Inputs!$B$5:$B$170*(((Inputs!$G$5:$G$170="moeda")+(Inputs!$G$5:$G$170="acoes"))*Inputs!$B$1+((Inputs!$G$5:$G$170&lt;&gt;"moeda")*(Inputs!$G$5:$G$170&lt;&gt;"acoes")))*INDEX(Inputs!$K$5:$AJ$170,0,MATCH(AD$2,Inputs!$K$4:$AJ$4,0)))+SUMPRODUCT((Inputs!$C$5:$C$170=$B41)*Inputs!$D$5:$D$170*(((Inputs!$G$5:$G$170="moeda")+(Inputs!$G$5:$G$170="acoes"))*Inputs!$B$1+((Inputs!$G$5:$G$170&lt;&gt;"moeda")*(Inputs!$G$5:$G$170&lt;&gt;"acoes")))*INDEX(Inputs!$K$5:$AJ$170,0,MATCH(AD$2,Inputs!$K$4:$AJ$4,0)))+SUMPRODUCT((Inputs!$E$5:$E$170=$B41)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1" s="6" t="e">
        <f>IF(ISNA(MATCH(AE$2,Inputs!$K$4:$AJ$4,0)),NA(),IF(SUMPRODUCT((Inputs!$A$5:$A$170=$B41)*ISNUMBER(INDEX(Inputs!$K$5:$AJ$170,0,MATCH(AE$2,Inputs!$K$4:$AJ$4,0))))+SUMPRODUCT((Inputs!$C$5:$C$170=$B41)*ISNUMBER(INDEX(Inputs!$K$5:$AJ$170,0,MATCH(AE$2,Inputs!$K$4:$AJ$4,0))))+SUMPRODUCT((Inputs!$E$5:$E$170=$B41)*ISNUMBER(INDEX(Inputs!$K$5:$AJ$170,0,MATCH(AE$2,Inputs!$K$4:$AJ$4,0))))=0,NA(),SUMPRODUCT((Inputs!$A$5:$A$170=$B41)*Inputs!$B$5:$B$170*(((Inputs!$G$5:$G$170="moeda")+(Inputs!$G$5:$G$170="acoes"))*Inputs!$B$1+((Inputs!$G$5:$G$170&lt;&gt;"moeda")*(Inputs!$G$5:$G$170&lt;&gt;"acoes")))*INDEX(Inputs!$K$5:$AJ$170,0,MATCH(AE$2,Inputs!$K$4:$AJ$4,0)))+SUMPRODUCT((Inputs!$C$5:$C$170=$B41)*Inputs!$D$5:$D$170*(((Inputs!$G$5:$G$170="moeda")+(Inputs!$G$5:$G$170="acoes"))*Inputs!$B$1+((Inputs!$G$5:$G$170&lt;&gt;"moeda")*(Inputs!$G$5:$G$170&lt;&gt;"acoes")))*INDEX(Inputs!$K$5:$AJ$170,0,MATCH(AE$2,Inputs!$K$4:$AJ$4,0)))+SUMPRODUCT((Inputs!$E$5:$E$170=$B41)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1" s="6" t="e">
        <f>IF(ISNA(MATCH(AF$2,Inputs!$K$4:$AJ$4,0)),NA(),IF(SUMPRODUCT((Inputs!$A$5:$A$170=$B41)*ISNUMBER(INDEX(Inputs!$K$5:$AJ$170,0,MATCH(AF$2,Inputs!$K$4:$AJ$4,0))))+SUMPRODUCT((Inputs!$C$5:$C$170=$B41)*ISNUMBER(INDEX(Inputs!$K$5:$AJ$170,0,MATCH(AF$2,Inputs!$K$4:$AJ$4,0))))+SUMPRODUCT((Inputs!$E$5:$E$170=$B41)*ISNUMBER(INDEX(Inputs!$K$5:$AJ$170,0,MATCH(AF$2,Inputs!$K$4:$AJ$4,0))))=0,NA(),SUMPRODUCT((Inputs!$A$5:$A$170=$B41)*Inputs!$B$5:$B$170*(((Inputs!$G$5:$G$170="moeda")+(Inputs!$G$5:$G$170="acoes"))*Inputs!$B$1+((Inputs!$G$5:$G$170&lt;&gt;"moeda")*(Inputs!$G$5:$G$170&lt;&gt;"acoes")))*INDEX(Inputs!$K$5:$AJ$170,0,MATCH(AF$2,Inputs!$K$4:$AJ$4,0)))+SUMPRODUCT((Inputs!$C$5:$C$170=$B41)*Inputs!$D$5:$D$170*(((Inputs!$G$5:$G$170="moeda")+(Inputs!$G$5:$G$170="acoes"))*Inputs!$B$1+((Inputs!$G$5:$G$170&lt;&gt;"moeda")*(Inputs!$G$5:$G$170&lt;&gt;"acoes")))*INDEX(Inputs!$K$5:$AJ$170,0,MATCH(AF$2,Inputs!$K$4:$AJ$4,0)))+SUMPRODUCT((Inputs!$E$5:$E$170=$B41)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1" s="3" t="e">
        <f>AF41</f>
        <v>#N/A</v>
      </c>
      <c r="AH41" s="6" t="e">
        <f>IF(ISNA(MATCH(AH$2,Inputs!$K$4:$AJ$4,0)),NA(),IF(SUMPRODUCT((Inputs!$A$5:$A$170=$B41)*ISNUMBER(INDEX(Inputs!$K$5:$AJ$170,0,MATCH(AH$2,Inputs!$K$4:$AJ$4,0))))+SUMPRODUCT((Inputs!$C$5:$C$170=$B41)*ISNUMBER(INDEX(Inputs!$K$5:$AJ$170,0,MATCH(AH$2,Inputs!$K$4:$AJ$4,0))))+SUMPRODUCT((Inputs!$E$5:$E$170=$B41)*ISNUMBER(INDEX(Inputs!$K$5:$AJ$170,0,MATCH(AH$2,Inputs!$K$4:$AJ$4,0))))=0,NA(),SUMPRODUCT((Inputs!$A$5:$A$170=$B41)*Inputs!$B$5:$B$170*(((Inputs!$G$5:$G$170="moeda")+(Inputs!$G$5:$G$170="acoes"))*Inputs!$B$1+((Inputs!$G$5:$G$170&lt;&gt;"moeda")*(Inputs!$G$5:$G$170&lt;&gt;"acoes")))*INDEX(Inputs!$K$5:$AJ$170,0,MATCH(AH$2,Inputs!$K$4:$AJ$4,0)))+SUMPRODUCT((Inputs!$C$5:$C$170=$B41)*Inputs!$D$5:$D$170*(((Inputs!$G$5:$G$170="moeda")+(Inputs!$G$5:$G$170="acoes"))*Inputs!$B$1+((Inputs!$G$5:$G$170&lt;&gt;"moeda")*(Inputs!$G$5:$G$170&lt;&gt;"acoes")))*INDEX(Inputs!$K$5:$AJ$170,0,MATCH(AH$2,Inputs!$K$4:$AJ$4,0)))+SUMPRODUCT((Inputs!$E$5:$E$170=$B41)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1" s="6" t="e">
        <f>IF(ISNA(MATCH(AI$2,Inputs!$K$4:$AJ$4,0)),NA(),IF(SUMPRODUCT((Inputs!$A$5:$A$170=$B41)*ISNUMBER(INDEX(Inputs!$K$5:$AJ$170,0,MATCH(AI$2,Inputs!$K$4:$AJ$4,0))))+SUMPRODUCT((Inputs!$C$5:$C$170=$B41)*ISNUMBER(INDEX(Inputs!$K$5:$AJ$170,0,MATCH(AI$2,Inputs!$K$4:$AJ$4,0))))+SUMPRODUCT((Inputs!$E$5:$E$170=$B41)*ISNUMBER(INDEX(Inputs!$K$5:$AJ$170,0,MATCH(AI$2,Inputs!$K$4:$AJ$4,0))))=0,NA(),SUMPRODUCT((Inputs!$A$5:$A$170=$B41)*Inputs!$B$5:$B$170*(((Inputs!$G$5:$G$170="moeda")+(Inputs!$G$5:$G$170="acoes"))*Inputs!$B$1+((Inputs!$G$5:$G$170&lt;&gt;"moeda")*(Inputs!$G$5:$G$170&lt;&gt;"acoes")))*INDEX(Inputs!$K$5:$AJ$170,0,MATCH(AI$2,Inputs!$K$4:$AJ$4,0)))+SUMPRODUCT((Inputs!$C$5:$C$170=$B41)*Inputs!$D$5:$D$170*(((Inputs!$G$5:$G$170="moeda")+(Inputs!$G$5:$G$170="acoes"))*Inputs!$B$1+((Inputs!$G$5:$G$170&lt;&gt;"moeda")*(Inputs!$G$5:$G$170&lt;&gt;"acoes")))*INDEX(Inputs!$K$5:$AJ$170,0,MATCH(AI$2,Inputs!$K$4:$AJ$4,0)))+SUMPRODUCT((Inputs!$E$5:$E$170=$B41)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1" s="6" t="e">
        <f>IF(ISNA(MATCH(AJ$2,Inputs!$K$4:$AJ$4,0)),NA(),IF(SUMPRODUCT((Inputs!$A$5:$A$170=$B41)*ISNUMBER(INDEX(Inputs!$K$5:$AJ$170,0,MATCH(AJ$2,Inputs!$K$4:$AJ$4,0))))+SUMPRODUCT((Inputs!$C$5:$C$170=$B41)*ISNUMBER(INDEX(Inputs!$K$5:$AJ$170,0,MATCH(AJ$2,Inputs!$K$4:$AJ$4,0))))+SUMPRODUCT((Inputs!$E$5:$E$170=$B41)*ISNUMBER(INDEX(Inputs!$K$5:$AJ$170,0,MATCH(AJ$2,Inputs!$K$4:$AJ$4,0))))=0,NA(),SUMPRODUCT((Inputs!$A$5:$A$170=$B41)*Inputs!$B$5:$B$170*(((Inputs!$G$5:$G$170="moeda")+(Inputs!$G$5:$G$170="acoes"))*Inputs!$B$1+((Inputs!$G$5:$G$170&lt;&gt;"moeda")*(Inputs!$G$5:$G$170&lt;&gt;"acoes")))*INDEX(Inputs!$K$5:$AJ$170,0,MATCH(AJ$2,Inputs!$K$4:$AJ$4,0)))+SUMPRODUCT((Inputs!$C$5:$C$170=$B41)*Inputs!$D$5:$D$170*(((Inputs!$G$5:$G$170="moeda")+(Inputs!$G$5:$G$170="acoes"))*Inputs!$B$1+((Inputs!$G$5:$G$170&lt;&gt;"moeda")*(Inputs!$G$5:$G$170&lt;&gt;"acoes")))*INDEX(Inputs!$K$5:$AJ$170,0,MATCH(AJ$2,Inputs!$K$4:$AJ$4,0)))+SUMPRODUCT((Inputs!$E$5:$E$170=$B41)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1" s="6" t="e">
        <f>IF(ISNA(MATCH(AK$2,Inputs!$K$4:$AJ$4,0)),NA(),IF(SUMPRODUCT((Inputs!$A$5:$A$170=$B41)*ISNUMBER(INDEX(Inputs!$K$5:$AJ$170,0,MATCH(AK$2,Inputs!$K$4:$AJ$4,0))))+SUMPRODUCT((Inputs!$C$5:$C$170=$B41)*ISNUMBER(INDEX(Inputs!$K$5:$AJ$170,0,MATCH(AK$2,Inputs!$K$4:$AJ$4,0))))+SUMPRODUCT((Inputs!$E$5:$E$170=$B41)*ISNUMBER(INDEX(Inputs!$K$5:$AJ$170,0,MATCH(AK$2,Inputs!$K$4:$AJ$4,0))))=0,NA(),SUMPRODUCT((Inputs!$A$5:$A$170=$B41)*Inputs!$B$5:$B$170*(((Inputs!$G$5:$G$170="moeda")+(Inputs!$G$5:$G$170="acoes"))*Inputs!$B$1+((Inputs!$G$5:$G$170&lt;&gt;"moeda")*(Inputs!$G$5:$G$170&lt;&gt;"acoes")))*INDEX(Inputs!$K$5:$AJ$170,0,MATCH(AK$2,Inputs!$K$4:$AJ$4,0)))+SUMPRODUCT((Inputs!$C$5:$C$170=$B41)*Inputs!$D$5:$D$170*(((Inputs!$G$5:$G$170="moeda")+(Inputs!$G$5:$G$170="acoes"))*Inputs!$B$1+((Inputs!$G$5:$G$170&lt;&gt;"moeda")*(Inputs!$G$5:$G$170&lt;&gt;"acoes")))*INDEX(Inputs!$K$5:$AJ$170,0,MATCH(AK$2,Inputs!$K$4:$AJ$4,0)))+SUMPRODUCT((Inputs!$E$5:$E$170=$B41)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$170=$B42)*ISNUMBER(INDEX(Inputs!$K$5:$AJ$170,0,MATCH(D$2,Inputs!$K$4:$AJ$4,0))))+SUMPRODUCT((Inputs!$C$5:$C$170=$B42)*ISNUMBER(INDEX(Inputs!$K$5:$AJ$170,0,MATCH(D$2,Inputs!$K$4:$AJ$4,0))))+SUMPRODUCT((Inputs!$E$5:$E$170=$B42)*ISNUMBER(INDEX(Inputs!$K$5:$AJ$170,0,MATCH(D$2,Inputs!$K$4:$AJ$4,0))))=0,NA(),SUMPRODUCT((Inputs!$A$5:$A$170=$B42)*Inputs!$B$5:$B$170*(((Inputs!$G$5:$G$170="moeda")+(Inputs!$G$5:$G$170="acoes"))*Inputs!$B$1+((Inputs!$G$5:$G$170&lt;&gt;"moeda")*(Inputs!$G$5:$G$170&lt;&gt;"acoes")))*INDEX(Inputs!$K$5:$AJ$170,0,MATCH(D$2,Inputs!$K$4:$AJ$4,0)))+SUMPRODUCT((Inputs!$C$5:$C$170=$B42)*Inputs!$D$5:$D$170*(((Inputs!$G$5:$G$170="moeda")+(Inputs!$G$5:$G$170="acoes"))*Inputs!$B$1+((Inputs!$G$5:$G$170&lt;&gt;"moeda")*(Inputs!$G$5:$G$170&lt;&gt;"acoes")))*INDEX(Inputs!$K$5:$AJ$170,0,MATCH(D$2,Inputs!$K$4:$AJ$4,0)))+SUMPRODUCT((Inputs!$E$5:$E$170=$B42)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2" s="6" t="e">
        <f>IF(ISNA(MATCH(E$2,Inputs!$K$4:$AJ$4,0)),NA(),IF(SUMPRODUCT((Inputs!$A$5:$A$170=$B42)*ISNUMBER(INDEX(Inputs!$K$5:$AJ$170,0,MATCH(E$2,Inputs!$K$4:$AJ$4,0))))+SUMPRODUCT((Inputs!$C$5:$C$170=$B42)*ISNUMBER(INDEX(Inputs!$K$5:$AJ$170,0,MATCH(E$2,Inputs!$K$4:$AJ$4,0))))+SUMPRODUCT((Inputs!$E$5:$E$170=$B42)*ISNUMBER(INDEX(Inputs!$K$5:$AJ$170,0,MATCH(E$2,Inputs!$K$4:$AJ$4,0))))=0,NA(),SUMPRODUCT((Inputs!$A$5:$A$170=$B42)*Inputs!$B$5:$B$170*(((Inputs!$G$5:$G$170="moeda")+(Inputs!$G$5:$G$170="acoes"))*Inputs!$B$1+((Inputs!$G$5:$G$170&lt;&gt;"moeda")*(Inputs!$G$5:$G$170&lt;&gt;"acoes")))*INDEX(Inputs!$K$5:$AJ$170,0,MATCH(E$2,Inputs!$K$4:$AJ$4,0)))+SUMPRODUCT((Inputs!$C$5:$C$170=$B42)*Inputs!$D$5:$D$170*(((Inputs!$G$5:$G$170="moeda")+(Inputs!$G$5:$G$170="acoes"))*Inputs!$B$1+((Inputs!$G$5:$G$170&lt;&gt;"moeda")*(Inputs!$G$5:$G$170&lt;&gt;"acoes")))*INDEX(Inputs!$K$5:$AJ$170,0,MATCH(E$2,Inputs!$K$4:$AJ$4,0)))+SUMPRODUCT((Inputs!$E$5:$E$170=$B42)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2" s="6" t="e">
        <f>IF(ISNA(MATCH(F$2,Inputs!$K$4:$AJ$4,0)),NA(),IF(SUMPRODUCT((Inputs!$A$5:$A$170=$B42)*ISNUMBER(INDEX(Inputs!$K$5:$AJ$170,0,MATCH(F$2,Inputs!$K$4:$AJ$4,0))))+SUMPRODUCT((Inputs!$C$5:$C$170=$B42)*ISNUMBER(INDEX(Inputs!$K$5:$AJ$170,0,MATCH(F$2,Inputs!$K$4:$AJ$4,0))))+SUMPRODUCT((Inputs!$E$5:$E$170=$B42)*ISNUMBER(INDEX(Inputs!$K$5:$AJ$170,0,MATCH(F$2,Inputs!$K$4:$AJ$4,0))))=0,NA(),SUMPRODUCT((Inputs!$A$5:$A$170=$B42)*Inputs!$B$5:$B$170*(((Inputs!$G$5:$G$170="moeda")+(Inputs!$G$5:$G$170="acoes"))*Inputs!$B$1+((Inputs!$G$5:$G$170&lt;&gt;"moeda")*(Inputs!$G$5:$G$170&lt;&gt;"acoes")))*INDEX(Inputs!$K$5:$AJ$170,0,MATCH(F$2,Inputs!$K$4:$AJ$4,0)))+SUMPRODUCT((Inputs!$C$5:$C$170=$B42)*Inputs!$D$5:$D$170*(((Inputs!$G$5:$G$170="moeda")+(Inputs!$G$5:$G$170="acoes"))*Inputs!$B$1+((Inputs!$G$5:$G$170&lt;&gt;"moeda")*(Inputs!$G$5:$G$170&lt;&gt;"acoes")))*INDEX(Inputs!$K$5:$AJ$170,0,MATCH(F$2,Inputs!$K$4:$AJ$4,0)))+SUMPRODUCT((Inputs!$E$5:$E$170=$B42)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2" s="6" t="e">
        <f>IF(ISNA(MATCH(G$2,Inputs!$K$4:$AJ$4,0)),NA(),IF(SUMPRODUCT((Inputs!$A$5:$A$170=$B42)*ISNUMBER(INDEX(Inputs!$K$5:$AJ$170,0,MATCH(G$2,Inputs!$K$4:$AJ$4,0))))+SUMPRODUCT((Inputs!$C$5:$C$170=$B42)*ISNUMBER(INDEX(Inputs!$K$5:$AJ$170,0,MATCH(G$2,Inputs!$K$4:$AJ$4,0))))+SUMPRODUCT((Inputs!$E$5:$E$170=$B42)*ISNUMBER(INDEX(Inputs!$K$5:$AJ$170,0,MATCH(G$2,Inputs!$K$4:$AJ$4,0))))=0,NA(),SUMPRODUCT((Inputs!$A$5:$A$170=$B42)*Inputs!$B$5:$B$170*(((Inputs!$G$5:$G$170="moeda")+(Inputs!$G$5:$G$170="acoes"))*Inputs!$B$1+((Inputs!$G$5:$G$170&lt;&gt;"moeda")*(Inputs!$G$5:$G$170&lt;&gt;"acoes")))*INDEX(Inputs!$K$5:$AJ$170,0,MATCH(G$2,Inputs!$K$4:$AJ$4,0)))+SUMPRODUCT((Inputs!$C$5:$C$170=$B42)*Inputs!$D$5:$D$170*(((Inputs!$G$5:$G$170="moeda")+(Inputs!$G$5:$G$170="acoes"))*Inputs!$B$1+((Inputs!$G$5:$G$170&lt;&gt;"moeda")*(Inputs!$G$5:$G$170&lt;&gt;"acoes")))*INDEX(Inputs!$K$5:$AJ$170,0,MATCH(G$2,Inputs!$K$4:$AJ$4,0)))+SUMPRODUCT((Inputs!$E$5:$E$170=$B42)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2" s="3" t="e">
        <f>G42</f>
        <v>#N/A</v>
      </c>
      <c r="I42" s="6" t="e">
        <f>IF(ISNA(MATCH(I$2,Inputs!$K$4:$AJ$4,0)),NA(),IF(SUMPRODUCT((Inputs!$A$5:$A$170=$B42)*ISNUMBER(INDEX(Inputs!$K$5:$AJ$170,0,MATCH(I$2,Inputs!$K$4:$AJ$4,0))))+SUMPRODUCT((Inputs!$C$5:$C$170=$B42)*ISNUMBER(INDEX(Inputs!$K$5:$AJ$170,0,MATCH(I$2,Inputs!$K$4:$AJ$4,0))))+SUMPRODUCT((Inputs!$E$5:$E$170=$B42)*ISNUMBER(INDEX(Inputs!$K$5:$AJ$170,0,MATCH(I$2,Inputs!$K$4:$AJ$4,0))))=0,NA(),SUMPRODUCT((Inputs!$A$5:$A$170=$B42)*Inputs!$B$5:$B$170*(((Inputs!$G$5:$G$170="moeda")+(Inputs!$G$5:$G$170="acoes"))*Inputs!$B$1+((Inputs!$G$5:$G$170&lt;&gt;"moeda")*(Inputs!$G$5:$G$170&lt;&gt;"acoes")))*INDEX(Inputs!$K$5:$AJ$170,0,MATCH(I$2,Inputs!$K$4:$AJ$4,0)))+SUMPRODUCT((Inputs!$C$5:$C$170=$B42)*Inputs!$D$5:$D$170*(((Inputs!$G$5:$G$170="moeda")+(Inputs!$G$5:$G$170="acoes"))*Inputs!$B$1+((Inputs!$G$5:$G$170&lt;&gt;"moeda")*(Inputs!$G$5:$G$170&lt;&gt;"acoes")))*INDEX(Inputs!$K$5:$AJ$170,0,MATCH(I$2,Inputs!$K$4:$AJ$4,0)))+SUMPRODUCT((Inputs!$E$5:$E$170=$B42)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2" s="6" t="e">
        <f>IF(ISNA(MATCH(J$2,Inputs!$K$4:$AJ$4,0)),NA(),IF(SUMPRODUCT((Inputs!$A$5:$A$170=$B42)*ISNUMBER(INDEX(Inputs!$K$5:$AJ$170,0,MATCH(J$2,Inputs!$K$4:$AJ$4,0))))+SUMPRODUCT((Inputs!$C$5:$C$170=$B42)*ISNUMBER(INDEX(Inputs!$K$5:$AJ$170,0,MATCH(J$2,Inputs!$K$4:$AJ$4,0))))+SUMPRODUCT((Inputs!$E$5:$E$170=$B42)*ISNUMBER(INDEX(Inputs!$K$5:$AJ$170,0,MATCH(J$2,Inputs!$K$4:$AJ$4,0))))=0,NA(),SUMPRODUCT((Inputs!$A$5:$A$170=$B42)*Inputs!$B$5:$B$170*(((Inputs!$G$5:$G$170="moeda")+(Inputs!$G$5:$G$170="acoes"))*Inputs!$B$1+((Inputs!$G$5:$G$170&lt;&gt;"moeda")*(Inputs!$G$5:$G$170&lt;&gt;"acoes")))*INDEX(Inputs!$K$5:$AJ$170,0,MATCH(J$2,Inputs!$K$4:$AJ$4,0)))+SUMPRODUCT((Inputs!$C$5:$C$170=$B42)*Inputs!$D$5:$D$170*(((Inputs!$G$5:$G$170="moeda")+(Inputs!$G$5:$G$170="acoes"))*Inputs!$B$1+((Inputs!$G$5:$G$170&lt;&gt;"moeda")*(Inputs!$G$5:$G$170&lt;&gt;"acoes")))*INDEX(Inputs!$K$5:$AJ$170,0,MATCH(J$2,Inputs!$K$4:$AJ$4,0)))+SUMPRODUCT((Inputs!$E$5:$E$170=$B42)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2" s="6" t="e">
        <f>IF(ISNA(MATCH(K$2,Inputs!$K$4:$AJ$4,0)),NA(),IF(SUMPRODUCT((Inputs!$A$5:$A$170=$B42)*ISNUMBER(INDEX(Inputs!$K$5:$AJ$170,0,MATCH(K$2,Inputs!$K$4:$AJ$4,0))))+SUMPRODUCT((Inputs!$C$5:$C$170=$B42)*ISNUMBER(INDEX(Inputs!$K$5:$AJ$170,0,MATCH(K$2,Inputs!$K$4:$AJ$4,0))))+SUMPRODUCT((Inputs!$E$5:$E$170=$B42)*ISNUMBER(INDEX(Inputs!$K$5:$AJ$170,0,MATCH(K$2,Inputs!$K$4:$AJ$4,0))))=0,NA(),SUMPRODUCT((Inputs!$A$5:$A$170=$B42)*Inputs!$B$5:$B$170*(((Inputs!$G$5:$G$170="moeda")+(Inputs!$G$5:$G$170="acoes"))*Inputs!$B$1+((Inputs!$G$5:$G$170&lt;&gt;"moeda")*(Inputs!$G$5:$G$170&lt;&gt;"acoes")))*INDEX(Inputs!$K$5:$AJ$170,0,MATCH(K$2,Inputs!$K$4:$AJ$4,0)))+SUMPRODUCT((Inputs!$C$5:$C$170=$B42)*Inputs!$D$5:$D$170*(((Inputs!$G$5:$G$170="moeda")+(Inputs!$G$5:$G$170="acoes"))*Inputs!$B$1+((Inputs!$G$5:$G$170&lt;&gt;"moeda")*(Inputs!$G$5:$G$170&lt;&gt;"acoes")))*INDEX(Inputs!$K$5:$AJ$170,0,MATCH(K$2,Inputs!$K$4:$AJ$4,0)))+SUMPRODUCT((Inputs!$E$5:$E$170=$B42)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2" s="6" t="e">
        <f>IF(ISNA(MATCH(L$2,Inputs!$K$4:$AJ$4,0)),NA(),IF(SUMPRODUCT((Inputs!$A$5:$A$170=$B42)*ISNUMBER(INDEX(Inputs!$K$5:$AJ$170,0,MATCH(L$2,Inputs!$K$4:$AJ$4,0))))+SUMPRODUCT((Inputs!$C$5:$C$170=$B42)*ISNUMBER(INDEX(Inputs!$K$5:$AJ$170,0,MATCH(L$2,Inputs!$K$4:$AJ$4,0))))+SUMPRODUCT((Inputs!$E$5:$E$170=$B42)*ISNUMBER(INDEX(Inputs!$K$5:$AJ$170,0,MATCH(L$2,Inputs!$K$4:$AJ$4,0))))=0,NA(),SUMPRODUCT((Inputs!$A$5:$A$170=$B42)*Inputs!$B$5:$B$170*(((Inputs!$G$5:$G$170="moeda")+(Inputs!$G$5:$G$170="acoes"))*Inputs!$B$1+((Inputs!$G$5:$G$170&lt;&gt;"moeda")*(Inputs!$G$5:$G$170&lt;&gt;"acoes")))*INDEX(Inputs!$K$5:$AJ$170,0,MATCH(L$2,Inputs!$K$4:$AJ$4,0)))+SUMPRODUCT((Inputs!$C$5:$C$170=$B42)*Inputs!$D$5:$D$170*(((Inputs!$G$5:$G$170="moeda")+(Inputs!$G$5:$G$170="acoes"))*Inputs!$B$1+((Inputs!$G$5:$G$170&lt;&gt;"moeda")*(Inputs!$G$5:$G$170&lt;&gt;"acoes")))*INDEX(Inputs!$K$5:$AJ$170,0,MATCH(L$2,Inputs!$K$4:$AJ$4,0)))+SUMPRODUCT((Inputs!$E$5:$E$170=$B42)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2" s="3" t="e">
        <f>L42</f>
        <v>#N/A</v>
      </c>
      <c r="N42" s="6" t="e">
        <f>IF(ISNA(MATCH(N$2,Inputs!$K$4:$AJ$4,0)),NA(),IF(SUMPRODUCT((Inputs!$A$5:$A$170=$B42)*ISNUMBER(INDEX(Inputs!$K$5:$AJ$170,0,MATCH(N$2,Inputs!$K$4:$AJ$4,0))))+SUMPRODUCT((Inputs!$C$5:$C$170=$B42)*ISNUMBER(INDEX(Inputs!$K$5:$AJ$170,0,MATCH(N$2,Inputs!$K$4:$AJ$4,0))))+SUMPRODUCT((Inputs!$E$5:$E$170=$B42)*ISNUMBER(INDEX(Inputs!$K$5:$AJ$170,0,MATCH(N$2,Inputs!$K$4:$AJ$4,0))))=0,NA(),SUMPRODUCT((Inputs!$A$5:$A$170=$B42)*Inputs!$B$5:$B$170*(((Inputs!$G$5:$G$170="moeda")+(Inputs!$G$5:$G$170="acoes"))*Inputs!$B$1+((Inputs!$G$5:$G$170&lt;&gt;"moeda")*(Inputs!$G$5:$G$170&lt;&gt;"acoes")))*INDEX(Inputs!$K$5:$AJ$170,0,MATCH(N$2,Inputs!$K$4:$AJ$4,0)))+SUMPRODUCT((Inputs!$C$5:$C$170=$B42)*Inputs!$D$5:$D$170*(((Inputs!$G$5:$G$170="moeda")+(Inputs!$G$5:$G$170="acoes"))*Inputs!$B$1+((Inputs!$G$5:$G$170&lt;&gt;"moeda")*(Inputs!$G$5:$G$170&lt;&gt;"acoes")))*INDEX(Inputs!$K$5:$AJ$170,0,MATCH(N$2,Inputs!$K$4:$AJ$4,0)))+SUMPRODUCT((Inputs!$E$5:$E$170=$B42)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2" s="6" t="e">
        <f>IF(ISNA(MATCH(O$2,Inputs!$K$4:$AJ$4,0)),NA(),IF(SUMPRODUCT((Inputs!$A$5:$A$170=$B42)*ISNUMBER(INDEX(Inputs!$K$5:$AJ$170,0,MATCH(O$2,Inputs!$K$4:$AJ$4,0))))+SUMPRODUCT((Inputs!$C$5:$C$170=$B42)*ISNUMBER(INDEX(Inputs!$K$5:$AJ$170,0,MATCH(O$2,Inputs!$K$4:$AJ$4,0))))+SUMPRODUCT((Inputs!$E$5:$E$170=$B42)*ISNUMBER(INDEX(Inputs!$K$5:$AJ$170,0,MATCH(O$2,Inputs!$K$4:$AJ$4,0))))=0,NA(),SUMPRODUCT((Inputs!$A$5:$A$170=$B42)*Inputs!$B$5:$B$170*(((Inputs!$G$5:$G$170="moeda")+(Inputs!$G$5:$G$170="acoes"))*Inputs!$B$1+((Inputs!$G$5:$G$170&lt;&gt;"moeda")*(Inputs!$G$5:$G$170&lt;&gt;"acoes")))*INDEX(Inputs!$K$5:$AJ$170,0,MATCH(O$2,Inputs!$K$4:$AJ$4,0)))+SUMPRODUCT((Inputs!$C$5:$C$170=$B42)*Inputs!$D$5:$D$170*(((Inputs!$G$5:$G$170="moeda")+(Inputs!$G$5:$G$170="acoes"))*Inputs!$B$1+((Inputs!$G$5:$G$170&lt;&gt;"moeda")*(Inputs!$G$5:$G$170&lt;&gt;"acoes")))*INDEX(Inputs!$K$5:$AJ$170,0,MATCH(O$2,Inputs!$K$4:$AJ$4,0)))+SUMPRODUCT((Inputs!$E$5:$E$170=$B42)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2" s="6" t="e">
        <f>IF(ISNA(MATCH(P$2,Inputs!$K$4:$AJ$4,0)),NA(),IF(SUMPRODUCT((Inputs!$A$5:$A$170=$B42)*ISNUMBER(INDEX(Inputs!$K$5:$AJ$170,0,MATCH(P$2,Inputs!$K$4:$AJ$4,0))))+SUMPRODUCT((Inputs!$C$5:$C$170=$B42)*ISNUMBER(INDEX(Inputs!$K$5:$AJ$170,0,MATCH(P$2,Inputs!$K$4:$AJ$4,0))))+SUMPRODUCT((Inputs!$E$5:$E$170=$B42)*ISNUMBER(INDEX(Inputs!$K$5:$AJ$170,0,MATCH(P$2,Inputs!$K$4:$AJ$4,0))))=0,NA(),SUMPRODUCT((Inputs!$A$5:$A$170=$B42)*Inputs!$B$5:$B$170*(((Inputs!$G$5:$G$170="moeda")+(Inputs!$G$5:$G$170="acoes"))*Inputs!$B$1+((Inputs!$G$5:$G$170&lt;&gt;"moeda")*(Inputs!$G$5:$G$170&lt;&gt;"acoes")))*INDEX(Inputs!$K$5:$AJ$170,0,MATCH(P$2,Inputs!$K$4:$AJ$4,0)))+SUMPRODUCT((Inputs!$C$5:$C$170=$B42)*Inputs!$D$5:$D$170*(((Inputs!$G$5:$G$170="moeda")+(Inputs!$G$5:$G$170="acoes"))*Inputs!$B$1+((Inputs!$G$5:$G$170&lt;&gt;"moeda")*(Inputs!$G$5:$G$170&lt;&gt;"acoes")))*INDEX(Inputs!$K$5:$AJ$170,0,MATCH(P$2,Inputs!$K$4:$AJ$4,0)))+SUMPRODUCT((Inputs!$E$5:$E$170=$B42)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2" s="6" t="e">
        <f>IF(ISNA(MATCH(Q$2,Inputs!$K$4:$AJ$4,0)),NA(),IF(SUMPRODUCT((Inputs!$A$5:$A$170=$B42)*ISNUMBER(INDEX(Inputs!$K$5:$AJ$170,0,MATCH(Q$2,Inputs!$K$4:$AJ$4,0))))+SUMPRODUCT((Inputs!$C$5:$C$170=$B42)*ISNUMBER(INDEX(Inputs!$K$5:$AJ$170,0,MATCH(Q$2,Inputs!$K$4:$AJ$4,0))))+SUMPRODUCT((Inputs!$E$5:$E$170=$B42)*ISNUMBER(INDEX(Inputs!$K$5:$AJ$170,0,MATCH(Q$2,Inputs!$K$4:$AJ$4,0))))=0,NA(),SUMPRODUCT((Inputs!$A$5:$A$170=$B42)*Inputs!$B$5:$B$170*(((Inputs!$G$5:$G$170="moeda")+(Inputs!$G$5:$G$170="acoes"))*Inputs!$B$1+((Inputs!$G$5:$G$170&lt;&gt;"moeda")*(Inputs!$G$5:$G$170&lt;&gt;"acoes")))*INDEX(Inputs!$K$5:$AJ$170,0,MATCH(Q$2,Inputs!$K$4:$AJ$4,0)))+SUMPRODUCT((Inputs!$C$5:$C$170=$B42)*Inputs!$D$5:$D$170*(((Inputs!$G$5:$G$170="moeda")+(Inputs!$G$5:$G$170="acoes"))*Inputs!$B$1+((Inputs!$G$5:$G$170&lt;&gt;"moeda")*(Inputs!$G$5:$G$170&lt;&gt;"acoes")))*INDEX(Inputs!$K$5:$AJ$170,0,MATCH(Q$2,Inputs!$K$4:$AJ$4,0)))+SUMPRODUCT((Inputs!$E$5:$E$170=$B42)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2" s="3" t="e">
        <f>Q42</f>
        <v>#N/A</v>
      </c>
      <c r="S42" s="6" t="e">
        <f>IF(ISNA(MATCH(S$2,Inputs!$K$4:$AJ$4,0)),NA(),IF(SUMPRODUCT((Inputs!$A$5:$A$170=$B42)*ISNUMBER(INDEX(Inputs!$K$5:$AJ$170,0,MATCH(S$2,Inputs!$K$4:$AJ$4,0))))+SUMPRODUCT((Inputs!$C$5:$C$170=$B42)*ISNUMBER(INDEX(Inputs!$K$5:$AJ$170,0,MATCH(S$2,Inputs!$K$4:$AJ$4,0))))+SUMPRODUCT((Inputs!$E$5:$E$170=$B42)*ISNUMBER(INDEX(Inputs!$K$5:$AJ$170,0,MATCH(S$2,Inputs!$K$4:$AJ$4,0))))=0,NA(),SUMPRODUCT((Inputs!$A$5:$A$170=$B42)*Inputs!$B$5:$B$170*(((Inputs!$G$5:$G$170="moeda")+(Inputs!$G$5:$G$170="acoes"))*Inputs!$B$1+((Inputs!$G$5:$G$170&lt;&gt;"moeda")*(Inputs!$G$5:$G$170&lt;&gt;"acoes")))*INDEX(Inputs!$K$5:$AJ$170,0,MATCH(S$2,Inputs!$K$4:$AJ$4,0)))+SUMPRODUCT((Inputs!$C$5:$C$170=$B42)*Inputs!$D$5:$D$170*(((Inputs!$G$5:$G$170="moeda")+(Inputs!$G$5:$G$170="acoes"))*Inputs!$B$1+((Inputs!$G$5:$G$170&lt;&gt;"moeda")*(Inputs!$G$5:$G$170&lt;&gt;"acoes")))*INDEX(Inputs!$K$5:$AJ$170,0,MATCH(S$2,Inputs!$K$4:$AJ$4,0)))+SUMPRODUCT((Inputs!$E$5:$E$170=$B42)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2" s="6" t="e">
        <f>IF(ISNA(MATCH(T$2,Inputs!$K$4:$AJ$4,0)),NA(),IF(SUMPRODUCT((Inputs!$A$5:$A$170=$B42)*ISNUMBER(INDEX(Inputs!$K$5:$AJ$170,0,MATCH(T$2,Inputs!$K$4:$AJ$4,0))))+SUMPRODUCT((Inputs!$C$5:$C$170=$B42)*ISNUMBER(INDEX(Inputs!$K$5:$AJ$170,0,MATCH(T$2,Inputs!$K$4:$AJ$4,0))))+SUMPRODUCT((Inputs!$E$5:$E$170=$B42)*ISNUMBER(INDEX(Inputs!$K$5:$AJ$170,0,MATCH(T$2,Inputs!$K$4:$AJ$4,0))))=0,NA(),SUMPRODUCT((Inputs!$A$5:$A$170=$B42)*Inputs!$B$5:$B$170*(((Inputs!$G$5:$G$170="moeda")+(Inputs!$G$5:$G$170="acoes"))*Inputs!$B$1+((Inputs!$G$5:$G$170&lt;&gt;"moeda")*(Inputs!$G$5:$G$170&lt;&gt;"acoes")))*INDEX(Inputs!$K$5:$AJ$170,0,MATCH(T$2,Inputs!$K$4:$AJ$4,0)))+SUMPRODUCT((Inputs!$C$5:$C$170=$B42)*Inputs!$D$5:$D$170*(((Inputs!$G$5:$G$170="moeda")+(Inputs!$G$5:$G$170="acoes"))*Inputs!$B$1+((Inputs!$G$5:$G$170&lt;&gt;"moeda")*(Inputs!$G$5:$G$170&lt;&gt;"acoes")))*INDEX(Inputs!$K$5:$AJ$170,0,MATCH(T$2,Inputs!$K$4:$AJ$4,0)))+SUMPRODUCT((Inputs!$E$5:$E$170=$B42)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2" s="6" t="e">
        <f>IF(ISNA(MATCH(U$2,Inputs!$K$4:$AJ$4,0)),NA(),IF(SUMPRODUCT((Inputs!$A$5:$A$170=$B42)*ISNUMBER(INDEX(Inputs!$K$5:$AJ$170,0,MATCH(U$2,Inputs!$K$4:$AJ$4,0))))+SUMPRODUCT((Inputs!$C$5:$C$170=$B42)*ISNUMBER(INDEX(Inputs!$K$5:$AJ$170,0,MATCH(U$2,Inputs!$K$4:$AJ$4,0))))+SUMPRODUCT((Inputs!$E$5:$E$170=$B42)*ISNUMBER(INDEX(Inputs!$K$5:$AJ$170,0,MATCH(U$2,Inputs!$K$4:$AJ$4,0))))=0,NA(),SUMPRODUCT((Inputs!$A$5:$A$170=$B42)*Inputs!$B$5:$B$170*(((Inputs!$G$5:$G$170="moeda")+(Inputs!$G$5:$G$170="acoes"))*Inputs!$B$1+((Inputs!$G$5:$G$170&lt;&gt;"moeda")*(Inputs!$G$5:$G$170&lt;&gt;"acoes")))*INDEX(Inputs!$K$5:$AJ$170,0,MATCH(U$2,Inputs!$K$4:$AJ$4,0)))+SUMPRODUCT((Inputs!$C$5:$C$170=$B42)*Inputs!$D$5:$D$170*(((Inputs!$G$5:$G$170="moeda")+(Inputs!$G$5:$G$170="acoes"))*Inputs!$B$1+((Inputs!$G$5:$G$170&lt;&gt;"moeda")*(Inputs!$G$5:$G$170&lt;&gt;"acoes")))*INDEX(Inputs!$K$5:$AJ$170,0,MATCH(U$2,Inputs!$K$4:$AJ$4,0)))+SUMPRODUCT((Inputs!$E$5:$E$170=$B42)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2" s="6" t="e">
        <f>IF(ISNA(MATCH(V$2,Inputs!$K$4:$AJ$4,0)),NA(),IF(SUMPRODUCT((Inputs!$A$5:$A$170=$B42)*ISNUMBER(INDEX(Inputs!$K$5:$AJ$170,0,MATCH(V$2,Inputs!$K$4:$AJ$4,0))))+SUMPRODUCT((Inputs!$C$5:$C$170=$B42)*ISNUMBER(INDEX(Inputs!$K$5:$AJ$170,0,MATCH(V$2,Inputs!$K$4:$AJ$4,0))))+SUMPRODUCT((Inputs!$E$5:$E$170=$B42)*ISNUMBER(INDEX(Inputs!$K$5:$AJ$170,0,MATCH(V$2,Inputs!$K$4:$AJ$4,0))))=0,NA(),SUMPRODUCT((Inputs!$A$5:$A$170=$B42)*Inputs!$B$5:$B$170*(((Inputs!$G$5:$G$170="moeda")+(Inputs!$G$5:$G$170="acoes"))*Inputs!$B$1+((Inputs!$G$5:$G$170&lt;&gt;"moeda")*(Inputs!$G$5:$G$170&lt;&gt;"acoes")))*INDEX(Inputs!$K$5:$AJ$170,0,MATCH(V$2,Inputs!$K$4:$AJ$4,0)))+SUMPRODUCT((Inputs!$C$5:$C$170=$B42)*Inputs!$D$5:$D$170*(((Inputs!$G$5:$G$170="moeda")+(Inputs!$G$5:$G$170="acoes"))*Inputs!$B$1+((Inputs!$G$5:$G$170&lt;&gt;"moeda")*(Inputs!$G$5:$G$170&lt;&gt;"acoes")))*INDEX(Inputs!$K$5:$AJ$170,0,MATCH(V$2,Inputs!$K$4:$AJ$4,0)))+SUMPRODUCT((Inputs!$E$5:$E$170=$B42)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2" s="3" t="e">
        <f>V42</f>
        <v>#N/A</v>
      </c>
      <c r="X42" s="6" t="e">
        <f>IF(ISNA(MATCH(X$2,Inputs!$K$4:$AJ$4,0)),NA(),IF(SUMPRODUCT((Inputs!$A$5:$A$170=$B42)*ISNUMBER(INDEX(Inputs!$K$5:$AJ$170,0,MATCH(X$2,Inputs!$K$4:$AJ$4,0))))+SUMPRODUCT((Inputs!$C$5:$C$170=$B42)*ISNUMBER(INDEX(Inputs!$K$5:$AJ$170,0,MATCH(X$2,Inputs!$K$4:$AJ$4,0))))+SUMPRODUCT((Inputs!$E$5:$E$170=$B42)*ISNUMBER(INDEX(Inputs!$K$5:$AJ$170,0,MATCH(X$2,Inputs!$K$4:$AJ$4,0))))=0,NA(),SUMPRODUCT((Inputs!$A$5:$A$170=$B42)*Inputs!$B$5:$B$170*(((Inputs!$G$5:$G$170="moeda")+(Inputs!$G$5:$G$170="acoes"))*Inputs!$B$1+((Inputs!$G$5:$G$170&lt;&gt;"moeda")*(Inputs!$G$5:$G$170&lt;&gt;"acoes")))*INDEX(Inputs!$K$5:$AJ$170,0,MATCH(X$2,Inputs!$K$4:$AJ$4,0)))+SUMPRODUCT((Inputs!$C$5:$C$170=$B42)*Inputs!$D$5:$D$170*(((Inputs!$G$5:$G$170="moeda")+(Inputs!$G$5:$G$170="acoes"))*Inputs!$B$1+((Inputs!$G$5:$G$170&lt;&gt;"moeda")*(Inputs!$G$5:$G$170&lt;&gt;"acoes")))*INDEX(Inputs!$K$5:$AJ$170,0,MATCH(X$2,Inputs!$K$4:$AJ$4,0)))+SUMPRODUCT((Inputs!$E$5:$E$170=$B42)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2" s="6" t="e">
        <f>IF(ISNA(MATCH(Y$2,Inputs!$K$4:$AJ$4,0)),NA(),IF(SUMPRODUCT((Inputs!$A$5:$A$170=$B42)*ISNUMBER(INDEX(Inputs!$K$5:$AJ$170,0,MATCH(Y$2,Inputs!$K$4:$AJ$4,0))))+SUMPRODUCT((Inputs!$C$5:$C$170=$B42)*ISNUMBER(INDEX(Inputs!$K$5:$AJ$170,0,MATCH(Y$2,Inputs!$K$4:$AJ$4,0))))+SUMPRODUCT((Inputs!$E$5:$E$170=$B42)*ISNUMBER(INDEX(Inputs!$K$5:$AJ$170,0,MATCH(Y$2,Inputs!$K$4:$AJ$4,0))))=0,NA(),SUMPRODUCT((Inputs!$A$5:$A$170=$B42)*Inputs!$B$5:$B$170*(((Inputs!$G$5:$G$170="moeda")+(Inputs!$G$5:$G$170="acoes"))*Inputs!$B$1+((Inputs!$G$5:$G$170&lt;&gt;"moeda")*(Inputs!$G$5:$G$170&lt;&gt;"acoes")))*INDEX(Inputs!$K$5:$AJ$170,0,MATCH(Y$2,Inputs!$K$4:$AJ$4,0)))+SUMPRODUCT((Inputs!$C$5:$C$170=$B42)*Inputs!$D$5:$D$170*(((Inputs!$G$5:$G$170="moeda")+(Inputs!$G$5:$G$170="acoes"))*Inputs!$B$1+((Inputs!$G$5:$G$170&lt;&gt;"moeda")*(Inputs!$G$5:$G$170&lt;&gt;"acoes")))*INDEX(Inputs!$K$5:$AJ$170,0,MATCH(Y$2,Inputs!$K$4:$AJ$4,0)))+SUMPRODUCT((Inputs!$E$5:$E$170=$B42)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2" s="6" t="e">
        <f>IF(ISNA(MATCH(Z$2,Inputs!$K$4:$AJ$4,0)),NA(),IF(SUMPRODUCT((Inputs!$A$5:$A$170=$B42)*ISNUMBER(INDEX(Inputs!$K$5:$AJ$170,0,MATCH(Z$2,Inputs!$K$4:$AJ$4,0))))+SUMPRODUCT((Inputs!$C$5:$C$170=$B42)*ISNUMBER(INDEX(Inputs!$K$5:$AJ$170,0,MATCH(Z$2,Inputs!$K$4:$AJ$4,0))))+SUMPRODUCT((Inputs!$E$5:$E$170=$B42)*ISNUMBER(INDEX(Inputs!$K$5:$AJ$170,0,MATCH(Z$2,Inputs!$K$4:$AJ$4,0))))=0,NA(),SUMPRODUCT((Inputs!$A$5:$A$170=$B42)*Inputs!$B$5:$B$170*(((Inputs!$G$5:$G$170="moeda")+(Inputs!$G$5:$G$170="acoes"))*Inputs!$B$1+((Inputs!$G$5:$G$170&lt;&gt;"moeda")*(Inputs!$G$5:$G$170&lt;&gt;"acoes")))*INDEX(Inputs!$K$5:$AJ$170,0,MATCH(Z$2,Inputs!$K$4:$AJ$4,0)))+SUMPRODUCT((Inputs!$C$5:$C$170=$B42)*Inputs!$D$5:$D$170*(((Inputs!$G$5:$G$170="moeda")+(Inputs!$G$5:$G$170="acoes"))*Inputs!$B$1+((Inputs!$G$5:$G$170&lt;&gt;"moeda")*(Inputs!$G$5:$G$170&lt;&gt;"acoes")))*INDEX(Inputs!$K$5:$AJ$170,0,MATCH(Z$2,Inputs!$K$4:$AJ$4,0)))+SUMPRODUCT((Inputs!$E$5:$E$170=$B42)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2" s="6" t="e">
        <f>IF(ISNA(MATCH(AA$2,Inputs!$K$4:$AJ$4,0)),NA(),IF(SUMPRODUCT((Inputs!$A$5:$A$170=$B42)*ISNUMBER(INDEX(Inputs!$K$5:$AJ$170,0,MATCH(AA$2,Inputs!$K$4:$AJ$4,0))))+SUMPRODUCT((Inputs!$C$5:$C$170=$B42)*ISNUMBER(INDEX(Inputs!$K$5:$AJ$170,0,MATCH(AA$2,Inputs!$K$4:$AJ$4,0))))+SUMPRODUCT((Inputs!$E$5:$E$170=$B42)*ISNUMBER(INDEX(Inputs!$K$5:$AJ$170,0,MATCH(AA$2,Inputs!$K$4:$AJ$4,0))))=0,NA(),SUMPRODUCT((Inputs!$A$5:$A$170=$B42)*Inputs!$B$5:$B$170*(((Inputs!$G$5:$G$170="moeda")+(Inputs!$G$5:$G$170="acoes"))*Inputs!$B$1+((Inputs!$G$5:$G$170&lt;&gt;"moeda")*(Inputs!$G$5:$G$170&lt;&gt;"acoes")))*INDEX(Inputs!$K$5:$AJ$170,0,MATCH(AA$2,Inputs!$K$4:$AJ$4,0)))+SUMPRODUCT((Inputs!$C$5:$C$170=$B42)*Inputs!$D$5:$D$170*(((Inputs!$G$5:$G$170="moeda")+(Inputs!$G$5:$G$170="acoes"))*Inputs!$B$1+((Inputs!$G$5:$G$170&lt;&gt;"moeda")*(Inputs!$G$5:$G$170&lt;&gt;"acoes")))*INDEX(Inputs!$K$5:$AJ$170,0,MATCH(AA$2,Inputs!$K$4:$AJ$4,0)))+SUMPRODUCT((Inputs!$E$5:$E$170=$B42)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2" s="3" t="e">
        <f>AA42</f>
        <v>#N/A</v>
      </c>
      <c r="AC42" s="6" t="e">
        <f>IF(ISNA(MATCH(AC$2,Inputs!$K$4:$AJ$4,0)),NA(),IF(SUMPRODUCT((Inputs!$A$5:$A$170=$B42)*ISNUMBER(INDEX(Inputs!$K$5:$AJ$170,0,MATCH(AC$2,Inputs!$K$4:$AJ$4,0))))+SUMPRODUCT((Inputs!$C$5:$C$170=$B42)*ISNUMBER(INDEX(Inputs!$K$5:$AJ$170,0,MATCH(AC$2,Inputs!$K$4:$AJ$4,0))))+SUMPRODUCT((Inputs!$E$5:$E$170=$B42)*ISNUMBER(INDEX(Inputs!$K$5:$AJ$170,0,MATCH(AC$2,Inputs!$K$4:$AJ$4,0))))=0,NA(),SUMPRODUCT((Inputs!$A$5:$A$170=$B42)*Inputs!$B$5:$B$170*(((Inputs!$G$5:$G$170="moeda")+(Inputs!$G$5:$G$170="acoes"))*Inputs!$B$1+((Inputs!$G$5:$G$170&lt;&gt;"moeda")*(Inputs!$G$5:$G$170&lt;&gt;"acoes")))*INDEX(Inputs!$K$5:$AJ$170,0,MATCH(AC$2,Inputs!$K$4:$AJ$4,0)))+SUMPRODUCT((Inputs!$C$5:$C$170=$B42)*Inputs!$D$5:$D$170*(((Inputs!$G$5:$G$170="moeda")+(Inputs!$G$5:$G$170="acoes"))*Inputs!$B$1+((Inputs!$G$5:$G$170&lt;&gt;"moeda")*(Inputs!$G$5:$G$170&lt;&gt;"acoes")))*INDEX(Inputs!$K$5:$AJ$170,0,MATCH(AC$2,Inputs!$K$4:$AJ$4,0)))+SUMPRODUCT((Inputs!$E$5:$E$170=$B42)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2" s="6" t="e">
        <f>IF(ISNA(MATCH(AD$2,Inputs!$K$4:$AJ$4,0)),NA(),IF(SUMPRODUCT((Inputs!$A$5:$A$170=$B42)*ISNUMBER(INDEX(Inputs!$K$5:$AJ$170,0,MATCH(AD$2,Inputs!$K$4:$AJ$4,0))))+SUMPRODUCT((Inputs!$C$5:$C$170=$B42)*ISNUMBER(INDEX(Inputs!$K$5:$AJ$170,0,MATCH(AD$2,Inputs!$K$4:$AJ$4,0))))+SUMPRODUCT((Inputs!$E$5:$E$170=$B42)*ISNUMBER(INDEX(Inputs!$K$5:$AJ$170,0,MATCH(AD$2,Inputs!$K$4:$AJ$4,0))))=0,NA(),SUMPRODUCT((Inputs!$A$5:$A$170=$B42)*Inputs!$B$5:$B$170*(((Inputs!$G$5:$G$170="moeda")+(Inputs!$G$5:$G$170="acoes"))*Inputs!$B$1+((Inputs!$G$5:$G$170&lt;&gt;"moeda")*(Inputs!$G$5:$G$170&lt;&gt;"acoes")))*INDEX(Inputs!$K$5:$AJ$170,0,MATCH(AD$2,Inputs!$K$4:$AJ$4,0)))+SUMPRODUCT((Inputs!$C$5:$C$170=$B42)*Inputs!$D$5:$D$170*(((Inputs!$G$5:$G$170="moeda")+(Inputs!$G$5:$G$170="acoes"))*Inputs!$B$1+((Inputs!$G$5:$G$170&lt;&gt;"moeda")*(Inputs!$G$5:$G$170&lt;&gt;"acoes")))*INDEX(Inputs!$K$5:$AJ$170,0,MATCH(AD$2,Inputs!$K$4:$AJ$4,0)))+SUMPRODUCT((Inputs!$E$5:$E$170=$B42)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2" s="6" t="e">
        <f>IF(ISNA(MATCH(AE$2,Inputs!$K$4:$AJ$4,0)),NA(),IF(SUMPRODUCT((Inputs!$A$5:$A$170=$B42)*ISNUMBER(INDEX(Inputs!$K$5:$AJ$170,0,MATCH(AE$2,Inputs!$K$4:$AJ$4,0))))+SUMPRODUCT((Inputs!$C$5:$C$170=$B42)*ISNUMBER(INDEX(Inputs!$K$5:$AJ$170,0,MATCH(AE$2,Inputs!$K$4:$AJ$4,0))))+SUMPRODUCT((Inputs!$E$5:$E$170=$B42)*ISNUMBER(INDEX(Inputs!$K$5:$AJ$170,0,MATCH(AE$2,Inputs!$K$4:$AJ$4,0))))=0,NA(),SUMPRODUCT((Inputs!$A$5:$A$170=$B42)*Inputs!$B$5:$B$170*(((Inputs!$G$5:$G$170="moeda")+(Inputs!$G$5:$G$170="acoes"))*Inputs!$B$1+((Inputs!$G$5:$G$170&lt;&gt;"moeda")*(Inputs!$G$5:$G$170&lt;&gt;"acoes")))*INDEX(Inputs!$K$5:$AJ$170,0,MATCH(AE$2,Inputs!$K$4:$AJ$4,0)))+SUMPRODUCT((Inputs!$C$5:$C$170=$B42)*Inputs!$D$5:$D$170*(((Inputs!$G$5:$G$170="moeda")+(Inputs!$G$5:$G$170="acoes"))*Inputs!$B$1+((Inputs!$G$5:$G$170&lt;&gt;"moeda")*(Inputs!$G$5:$G$170&lt;&gt;"acoes")))*INDEX(Inputs!$K$5:$AJ$170,0,MATCH(AE$2,Inputs!$K$4:$AJ$4,0)))+SUMPRODUCT((Inputs!$E$5:$E$170=$B42)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2" s="6" t="e">
        <f>IF(ISNA(MATCH(AF$2,Inputs!$K$4:$AJ$4,0)),NA(),IF(SUMPRODUCT((Inputs!$A$5:$A$170=$B42)*ISNUMBER(INDEX(Inputs!$K$5:$AJ$170,0,MATCH(AF$2,Inputs!$K$4:$AJ$4,0))))+SUMPRODUCT((Inputs!$C$5:$C$170=$B42)*ISNUMBER(INDEX(Inputs!$K$5:$AJ$170,0,MATCH(AF$2,Inputs!$K$4:$AJ$4,0))))+SUMPRODUCT((Inputs!$E$5:$E$170=$B42)*ISNUMBER(INDEX(Inputs!$K$5:$AJ$170,0,MATCH(AF$2,Inputs!$K$4:$AJ$4,0))))=0,NA(),SUMPRODUCT((Inputs!$A$5:$A$170=$B42)*Inputs!$B$5:$B$170*(((Inputs!$G$5:$G$170="moeda")+(Inputs!$G$5:$G$170="acoes"))*Inputs!$B$1+((Inputs!$G$5:$G$170&lt;&gt;"moeda")*(Inputs!$G$5:$G$170&lt;&gt;"acoes")))*INDEX(Inputs!$K$5:$AJ$170,0,MATCH(AF$2,Inputs!$K$4:$AJ$4,0)))+SUMPRODUCT((Inputs!$C$5:$C$170=$B42)*Inputs!$D$5:$D$170*(((Inputs!$G$5:$G$170="moeda")+(Inputs!$G$5:$G$170="acoes"))*Inputs!$B$1+((Inputs!$G$5:$G$170&lt;&gt;"moeda")*(Inputs!$G$5:$G$170&lt;&gt;"acoes")))*INDEX(Inputs!$K$5:$AJ$170,0,MATCH(AF$2,Inputs!$K$4:$AJ$4,0)))+SUMPRODUCT((Inputs!$E$5:$E$170=$B42)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2" s="3" t="e">
        <f>AF42</f>
        <v>#N/A</v>
      </c>
      <c r="AH42" s="6" t="e">
        <f>IF(ISNA(MATCH(AH$2,Inputs!$K$4:$AJ$4,0)),NA(),IF(SUMPRODUCT((Inputs!$A$5:$A$170=$B42)*ISNUMBER(INDEX(Inputs!$K$5:$AJ$170,0,MATCH(AH$2,Inputs!$K$4:$AJ$4,0))))+SUMPRODUCT((Inputs!$C$5:$C$170=$B42)*ISNUMBER(INDEX(Inputs!$K$5:$AJ$170,0,MATCH(AH$2,Inputs!$K$4:$AJ$4,0))))+SUMPRODUCT((Inputs!$E$5:$E$170=$B42)*ISNUMBER(INDEX(Inputs!$K$5:$AJ$170,0,MATCH(AH$2,Inputs!$K$4:$AJ$4,0))))=0,NA(),SUMPRODUCT((Inputs!$A$5:$A$170=$B42)*Inputs!$B$5:$B$170*(((Inputs!$G$5:$G$170="moeda")+(Inputs!$G$5:$G$170="acoes"))*Inputs!$B$1+((Inputs!$G$5:$G$170&lt;&gt;"moeda")*(Inputs!$G$5:$G$170&lt;&gt;"acoes")))*INDEX(Inputs!$K$5:$AJ$170,0,MATCH(AH$2,Inputs!$K$4:$AJ$4,0)))+SUMPRODUCT((Inputs!$C$5:$C$170=$B42)*Inputs!$D$5:$D$170*(((Inputs!$G$5:$G$170="moeda")+(Inputs!$G$5:$G$170="acoes"))*Inputs!$B$1+((Inputs!$G$5:$G$170&lt;&gt;"moeda")*(Inputs!$G$5:$G$170&lt;&gt;"acoes")))*INDEX(Inputs!$K$5:$AJ$170,0,MATCH(AH$2,Inputs!$K$4:$AJ$4,0)))+SUMPRODUCT((Inputs!$E$5:$E$170=$B42)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2" s="6" t="e">
        <f>IF(ISNA(MATCH(AI$2,Inputs!$K$4:$AJ$4,0)),NA(),IF(SUMPRODUCT((Inputs!$A$5:$A$170=$B42)*ISNUMBER(INDEX(Inputs!$K$5:$AJ$170,0,MATCH(AI$2,Inputs!$K$4:$AJ$4,0))))+SUMPRODUCT((Inputs!$C$5:$C$170=$B42)*ISNUMBER(INDEX(Inputs!$K$5:$AJ$170,0,MATCH(AI$2,Inputs!$K$4:$AJ$4,0))))+SUMPRODUCT((Inputs!$E$5:$E$170=$B42)*ISNUMBER(INDEX(Inputs!$K$5:$AJ$170,0,MATCH(AI$2,Inputs!$K$4:$AJ$4,0))))=0,NA(),SUMPRODUCT((Inputs!$A$5:$A$170=$B42)*Inputs!$B$5:$B$170*(((Inputs!$G$5:$G$170="moeda")+(Inputs!$G$5:$G$170="acoes"))*Inputs!$B$1+((Inputs!$G$5:$G$170&lt;&gt;"moeda")*(Inputs!$G$5:$G$170&lt;&gt;"acoes")))*INDEX(Inputs!$K$5:$AJ$170,0,MATCH(AI$2,Inputs!$K$4:$AJ$4,0)))+SUMPRODUCT((Inputs!$C$5:$C$170=$B42)*Inputs!$D$5:$D$170*(((Inputs!$G$5:$G$170="moeda")+(Inputs!$G$5:$G$170="acoes"))*Inputs!$B$1+((Inputs!$G$5:$G$170&lt;&gt;"moeda")*(Inputs!$G$5:$G$170&lt;&gt;"acoes")))*INDEX(Inputs!$K$5:$AJ$170,0,MATCH(AI$2,Inputs!$K$4:$AJ$4,0)))+SUMPRODUCT((Inputs!$E$5:$E$170=$B42)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2" s="6" t="e">
        <f>IF(ISNA(MATCH(AJ$2,Inputs!$K$4:$AJ$4,0)),NA(),IF(SUMPRODUCT((Inputs!$A$5:$A$170=$B42)*ISNUMBER(INDEX(Inputs!$K$5:$AJ$170,0,MATCH(AJ$2,Inputs!$K$4:$AJ$4,0))))+SUMPRODUCT((Inputs!$C$5:$C$170=$B42)*ISNUMBER(INDEX(Inputs!$K$5:$AJ$170,0,MATCH(AJ$2,Inputs!$K$4:$AJ$4,0))))+SUMPRODUCT((Inputs!$E$5:$E$170=$B42)*ISNUMBER(INDEX(Inputs!$K$5:$AJ$170,0,MATCH(AJ$2,Inputs!$K$4:$AJ$4,0))))=0,NA(),SUMPRODUCT((Inputs!$A$5:$A$170=$B42)*Inputs!$B$5:$B$170*(((Inputs!$G$5:$G$170="moeda")+(Inputs!$G$5:$G$170="acoes"))*Inputs!$B$1+((Inputs!$G$5:$G$170&lt;&gt;"moeda")*(Inputs!$G$5:$G$170&lt;&gt;"acoes")))*INDEX(Inputs!$K$5:$AJ$170,0,MATCH(AJ$2,Inputs!$K$4:$AJ$4,0)))+SUMPRODUCT((Inputs!$C$5:$C$170=$B42)*Inputs!$D$5:$D$170*(((Inputs!$G$5:$G$170="moeda")+(Inputs!$G$5:$G$170="acoes"))*Inputs!$B$1+((Inputs!$G$5:$G$170&lt;&gt;"moeda")*(Inputs!$G$5:$G$170&lt;&gt;"acoes")))*INDEX(Inputs!$K$5:$AJ$170,0,MATCH(AJ$2,Inputs!$K$4:$AJ$4,0)))+SUMPRODUCT((Inputs!$E$5:$E$170=$B42)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2" s="6" t="e">
        <f>IF(ISNA(MATCH(AK$2,Inputs!$K$4:$AJ$4,0)),NA(),IF(SUMPRODUCT((Inputs!$A$5:$A$170=$B42)*ISNUMBER(INDEX(Inputs!$K$5:$AJ$170,0,MATCH(AK$2,Inputs!$K$4:$AJ$4,0))))+SUMPRODUCT((Inputs!$C$5:$C$170=$B42)*ISNUMBER(INDEX(Inputs!$K$5:$AJ$170,0,MATCH(AK$2,Inputs!$K$4:$AJ$4,0))))+SUMPRODUCT((Inputs!$E$5:$E$170=$B42)*ISNUMBER(INDEX(Inputs!$K$5:$AJ$170,0,MATCH(AK$2,Inputs!$K$4:$AJ$4,0))))=0,NA(),SUMPRODUCT((Inputs!$A$5:$A$170=$B42)*Inputs!$B$5:$B$170*(((Inputs!$G$5:$G$170="moeda")+(Inputs!$G$5:$G$170="acoes"))*Inputs!$B$1+((Inputs!$G$5:$G$170&lt;&gt;"moeda")*(Inputs!$G$5:$G$170&lt;&gt;"acoes")))*INDEX(Inputs!$K$5:$AJ$170,0,MATCH(AK$2,Inputs!$K$4:$AJ$4,0)))+SUMPRODUCT((Inputs!$C$5:$C$170=$B42)*Inputs!$D$5:$D$170*(((Inputs!$G$5:$G$170="moeda")+(Inputs!$G$5:$G$170="acoes"))*Inputs!$B$1+((Inputs!$G$5:$G$170&lt;&gt;"moeda")*(Inputs!$G$5:$G$170&lt;&gt;"acoes")))*INDEX(Inputs!$K$5:$AJ$170,0,MATCH(AK$2,Inputs!$K$4:$AJ$4,0)))+SUMPRODUCT((Inputs!$E$5:$E$170=$B42)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$170=$B43)*ISNUMBER(INDEX(Inputs!$K$5:$AJ$170,0,MATCH(D$2,Inputs!$K$4:$AJ$4,0))))+SUMPRODUCT((Inputs!$C$5:$C$170=$B43)*ISNUMBER(INDEX(Inputs!$K$5:$AJ$170,0,MATCH(D$2,Inputs!$K$4:$AJ$4,0))))+SUMPRODUCT((Inputs!$E$5:$E$170=$B43)*ISNUMBER(INDEX(Inputs!$K$5:$AJ$170,0,MATCH(D$2,Inputs!$K$4:$AJ$4,0))))=0,NA(),SUMPRODUCT((Inputs!$A$5:$A$170=$B43)*Inputs!$B$5:$B$170*(((Inputs!$G$5:$G$170="moeda")+(Inputs!$G$5:$G$170="acoes"))*Inputs!$B$1+((Inputs!$G$5:$G$170&lt;&gt;"moeda")*(Inputs!$G$5:$G$170&lt;&gt;"acoes")))*INDEX(Inputs!$K$5:$AJ$170,0,MATCH(D$2,Inputs!$K$4:$AJ$4,0)))+SUMPRODUCT((Inputs!$C$5:$C$170=$B43)*Inputs!$D$5:$D$170*(((Inputs!$G$5:$G$170="moeda")+(Inputs!$G$5:$G$170="acoes"))*Inputs!$B$1+((Inputs!$G$5:$G$170&lt;&gt;"moeda")*(Inputs!$G$5:$G$170&lt;&gt;"acoes")))*INDEX(Inputs!$K$5:$AJ$170,0,MATCH(D$2,Inputs!$K$4:$AJ$4,0)))+SUMPRODUCT((Inputs!$E$5:$E$170=$B43)*Inputs!$F$5:$F$170*(((Inputs!$G$5:$G$170="moeda")+(Inputs!$G$5:$G$170="acoes"))*Inputs!$B$1+((Inputs!$G$5:$G$170&lt;&gt;"moeda")*(Inputs!$G$5:$G$170&lt;&gt;"acoes")))*INDEX(Inputs!$K$5:$AJ$170,0,MATCH(D$2,Inputs!$K$4:$AJ$4,0)))))</f>
        <v>2070.813</v>
      </c>
      <c r="E43" s="6">
        <f>IF(ISNA(MATCH(E$2,Inputs!$K$4:$AJ$4,0)),NA(),IF(SUMPRODUCT((Inputs!$A$5:$A$170=$B43)*ISNUMBER(INDEX(Inputs!$K$5:$AJ$170,0,MATCH(E$2,Inputs!$K$4:$AJ$4,0))))+SUMPRODUCT((Inputs!$C$5:$C$170=$B43)*ISNUMBER(INDEX(Inputs!$K$5:$AJ$170,0,MATCH(E$2,Inputs!$K$4:$AJ$4,0))))+SUMPRODUCT((Inputs!$E$5:$E$170=$B43)*ISNUMBER(INDEX(Inputs!$K$5:$AJ$170,0,MATCH(E$2,Inputs!$K$4:$AJ$4,0))))=0,NA(),SUMPRODUCT((Inputs!$A$5:$A$170=$B43)*Inputs!$B$5:$B$170*(((Inputs!$G$5:$G$170="moeda")+(Inputs!$G$5:$G$170="acoes"))*Inputs!$B$1+((Inputs!$G$5:$G$170&lt;&gt;"moeda")*(Inputs!$G$5:$G$170&lt;&gt;"acoes")))*INDEX(Inputs!$K$5:$AJ$170,0,MATCH(E$2,Inputs!$K$4:$AJ$4,0)))+SUMPRODUCT((Inputs!$C$5:$C$170=$B43)*Inputs!$D$5:$D$170*(((Inputs!$G$5:$G$170="moeda")+(Inputs!$G$5:$G$170="acoes"))*Inputs!$B$1+((Inputs!$G$5:$G$170&lt;&gt;"moeda")*(Inputs!$G$5:$G$170&lt;&gt;"acoes")))*INDEX(Inputs!$K$5:$AJ$170,0,MATCH(E$2,Inputs!$K$4:$AJ$4,0)))+SUMPRODUCT((Inputs!$E$5:$E$170=$B43)*Inputs!$F$5:$F$170*(((Inputs!$G$5:$G$170="moeda")+(Inputs!$G$5:$G$170="acoes"))*Inputs!$B$1+((Inputs!$G$5:$G$170&lt;&gt;"moeda")*(Inputs!$G$5:$G$170&lt;&gt;"acoes")))*INDEX(Inputs!$K$5:$AJ$170,0,MATCH(E$2,Inputs!$K$4:$AJ$4,0)))))</f>
        <v>2070.959</v>
      </c>
      <c r="F43" s="6">
        <f>IF(ISNA(MATCH(F$2,Inputs!$K$4:$AJ$4,0)),NA(),IF(SUMPRODUCT((Inputs!$A$5:$A$170=$B43)*ISNUMBER(INDEX(Inputs!$K$5:$AJ$170,0,MATCH(F$2,Inputs!$K$4:$AJ$4,0))))+SUMPRODUCT((Inputs!$C$5:$C$170=$B43)*ISNUMBER(INDEX(Inputs!$K$5:$AJ$170,0,MATCH(F$2,Inputs!$K$4:$AJ$4,0))))+SUMPRODUCT((Inputs!$E$5:$E$170=$B43)*ISNUMBER(INDEX(Inputs!$K$5:$AJ$170,0,MATCH(F$2,Inputs!$K$4:$AJ$4,0))))=0,NA(),SUMPRODUCT((Inputs!$A$5:$A$170=$B43)*Inputs!$B$5:$B$170*(((Inputs!$G$5:$G$170="moeda")+(Inputs!$G$5:$G$170="acoes"))*Inputs!$B$1+((Inputs!$G$5:$G$170&lt;&gt;"moeda")*(Inputs!$G$5:$G$170&lt;&gt;"acoes")))*INDEX(Inputs!$K$5:$AJ$170,0,MATCH(F$2,Inputs!$K$4:$AJ$4,0)))+SUMPRODUCT((Inputs!$C$5:$C$170=$B43)*Inputs!$D$5:$D$170*(((Inputs!$G$5:$G$170="moeda")+(Inputs!$G$5:$G$170="acoes"))*Inputs!$B$1+((Inputs!$G$5:$G$170&lt;&gt;"moeda")*(Inputs!$G$5:$G$170&lt;&gt;"acoes")))*INDEX(Inputs!$K$5:$AJ$170,0,MATCH(F$2,Inputs!$K$4:$AJ$4,0)))+SUMPRODUCT((Inputs!$E$5:$E$170=$B43)*Inputs!$F$5:$F$170*(((Inputs!$G$5:$G$170="moeda")+(Inputs!$G$5:$G$170="acoes"))*Inputs!$B$1+((Inputs!$G$5:$G$170&lt;&gt;"moeda")*(Inputs!$G$5:$G$170&lt;&gt;"acoes")))*INDEX(Inputs!$K$5:$AJ$170,0,MATCH(F$2,Inputs!$K$4:$AJ$4,0)))))</f>
        <v>2653.829</v>
      </c>
      <c r="G43" s="6">
        <f>IF(ISNA(MATCH(G$2,Inputs!$K$4:$AJ$4,0)),NA(),IF(SUMPRODUCT((Inputs!$A$5:$A$170=$B43)*ISNUMBER(INDEX(Inputs!$K$5:$AJ$170,0,MATCH(G$2,Inputs!$K$4:$AJ$4,0))))+SUMPRODUCT((Inputs!$C$5:$C$170=$B43)*ISNUMBER(INDEX(Inputs!$K$5:$AJ$170,0,MATCH(G$2,Inputs!$K$4:$AJ$4,0))))+SUMPRODUCT((Inputs!$E$5:$E$170=$B43)*ISNUMBER(INDEX(Inputs!$K$5:$AJ$170,0,MATCH(G$2,Inputs!$K$4:$AJ$4,0))))=0,NA(),SUMPRODUCT((Inputs!$A$5:$A$170=$B43)*Inputs!$B$5:$B$170*(((Inputs!$G$5:$G$170="moeda")+(Inputs!$G$5:$G$170="acoes"))*Inputs!$B$1+((Inputs!$G$5:$G$170&lt;&gt;"moeda")*(Inputs!$G$5:$G$170&lt;&gt;"acoes")))*INDEX(Inputs!$K$5:$AJ$170,0,MATCH(G$2,Inputs!$K$4:$AJ$4,0)))+SUMPRODUCT((Inputs!$C$5:$C$170=$B43)*Inputs!$D$5:$D$170*(((Inputs!$G$5:$G$170="moeda")+(Inputs!$G$5:$G$170="acoes"))*Inputs!$B$1+((Inputs!$G$5:$G$170&lt;&gt;"moeda")*(Inputs!$G$5:$G$170&lt;&gt;"acoes")))*INDEX(Inputs!$K$5:$AJ$170,0,MATCH(G$2,Inputs!$K$4:$AJ$4,0)))+SUMPRODUCT((Inputs!$E$5:$E$170=$B43)*Inputs!$F$5:$F$170*(((Inputs!$G$5:$G$170="moeda")+(Inputs!$G$5:$G$170="acoes"))*Inputs!$B$1+((Inputs!$G$5:$G$170&lt;&gt;"moeda")*(Inputs!$G$5:$G$170&lt;&gt;"acoes")))*INDEX(Inputs!$K$5:$AJ$170,0,MATCH(G$2,Inputs!$K$4:$AJ$4,0)))))</f>
        <v>2652.335</v>
      </c>
      <c r="H43" s="3">
        <f>G43</f>
        <v>2652.335</v>
      </c>
      <c r="I43" s="6">
        <f>IF(ISNA(MATCH(I$2,Inputs!$K$4:$AJ$4,0)),NA(),IF(SUMPRODUCT((Inputs!$A$5:$A$170=$B43)*ISNUMBER(INDEX(Inputs!$K$5:$AJ$170,0,MATCH(I$2,Inputs!$K$4:$AJ$4,0))))+SUMPRODUCT((Inputs!$C$5:$C$170=$B43)*ISNUMBER(INDEX(Inputs!$K$5:$AJ$170,0,MATCH(I$2,Inputs!$K$4:$AJ$4,0))))+SUMPRODUCT((Inputs!$E$5:$E$170=$B43)*ISNUMBER(INDEX(Inputs!$K$5:$AJ$170,0,MATCH(I$2,Inputs!$K$4:$AJ$4,0))))=0,NA(),SUMPRODUCT((Inputs!$A$5:$A$170=$B43)*Inputs!$B$5:$B$170*(((Inputs!$G$5:$G$170="moeda")+(Inputs!$G$5:$G$170="acoes"))*Inputs!$B$1+((Inputs!$G$5:$G$170&lt;&gt;"moeda")*(Inputs!$G$5:$G$170&lt;&gt;"acoes")))*INDEX(Inputs!$K$5:$AJ$170,0,MATCH(I$2,Inputs!$K$4:$AJ$4,0)))+SUMPRODUCT((Inputs!$C$5:$C$170=$B43)*Inputs!$D$5:$D$170*(((Inputs!$G$5:$G$170="moeda")+(Inputs!$G$5:$G$170="acoes"))*Inputs!$B$1+((Inputs!$G$5:$G$170&lt;&gt;"moeda")*(Inputs!$G$5:$G$170&lt;&gt;"acoes")))*INDEX(Inputs!$K$5:$AJ$170,0,MATCH(I$2,Inputs!$K$4:$AJ$4,0)))+SUMPRODUCT((Inputs!$E$5:$E$170=$B43)*Inputs!$F$5:$F$170*(((Inputs!$G$5:$G$170="moeda")+(Inputs!$G$5:$G$170="acoes"))*Inputs!$B$1+((Inputs!$G$5:$G$170&lt;&gt;"moeda")*(Inputs!$G$5:$G$170&lt;&gt;"acoes")))*INDEX(Inputs!$K$5:$AJ$170,0,MATCH(I$2,Inputs!$K$4:$AJ$4,0)))))</f>
        <v>2652.409</v>
      </c>
      <c r="J43" s="6">
        <f>IF(ISNA(MATCH(J$2,Inputs!$K$4:$AJ$4,0)),NA(),IF(SUMPRODUCT((Inputs!$A$5:$A$170=$B43)*ISNUMBER(INDEX(Inputs!$K$5:$AJ$170,0,MATCH(J$2,Inputs!$K$4:$AJ$4,0))))+SUMPRODUCT((Inputs!$C$5:$C$170=$B43)*ISNUMBER(INDEX(Inputs!$K$5:$AJ$170,0,MATCH(J$2,Inputs!$K$4:$AJ$4,0))))+SUMPRODUCT((Inputs!$E$5:$E$170=$B43)*ISNUMBER(INDEX(Inputs!$K$5:$AJ$170,0,MATCH(J$2,Inputs!$K$4:$AJ$4,0))))=0,NA(),SUMPRODUCT((Inputs!$A$5:$A$170=$B43)*Inputs!$B$5:$B$170*(((Inputs!$G$5:$G$170="moeda")+(Inputs!$G$5:$G$170="acoes"))*Inputs!$B$1+((Inputs!$G$5:$G$170&lt;&gt;"moeda")*(Inputs!$G$5:$G$170&lt;&gt;"acoes")))*INDEX(Inputs!$K$5:$AJ$170,0,MATCH(J$2,Inputs!$K$4:$AJ$4,0)))+SUMPRODUCT((Inputs!$C$5:$C$170=$B43)*Inputs!$D$5:$D$170*(((Inputs!$G$5:$G$170="moeda")+(Inputs!$G$5:$G$170="acoes"))*Inputs!$B$1+((Inputs!$G$5:$G$170&lt;&gt;"moeda")*(Inputs!$G$5:$G$170&lt;&gt;"acoes")))*INDEX(Inputs!$K$5:$AJ$170,0,MATCH(J$2,Inputs!$K$4:$AJ$4,0)))+SUMPRODUCT((Inputs!$E$5:$E$170=$B43)*Inputs!$F$5:$F$170*(((Inputs!$G$5:$G$170="moeda")+(Inputs!$G$5:$G$170="acoes"))*Inputs!$B$1+((Inputs!$G$5:$G$170&lt;&gt;"moeda")*(Inputs!$G$5:$G$170&lt;&gt;"acoes")))*INDEX(Inputs!$K$5:$AJ$170,0,MATCH(J$2,Inputs!$K$4:$AJ$4,0)))))</f>
        <v>2652.409</v>
      </c>
      <c r="K43" s="6">
        <f>IF(ISNA(MATCH(K$2,Inputs!$K$4:$AJ$4,0)),NA(),IF(SUMPRODUCT((Inputs!$A$5:$A$170=$B43)*ISNUMBER(INDEX(Inputs!$K$5:$AJ$170,0,MATCH(K$2,Inputs!$K$4:$AJ$4,0))))+SUMPRODUCT((Inputs!$C$5:$C$170=$B43)*ISNUMBER(INDEX(Inputs!$K$5:$AJ$170,0,MATCH(K$2,Inputs!$K$4:$AJ$4,0))))+SUMPRODUCT((Inputs!$E$5:$E$170=$B43)*ISNUMBER(INDEX(Inputs!$K$5:$AJ$170,0,MATCH(K$2,Inputs!$K$4:$AJ$4,0))))=0,NA(),SUMPRODUCT((Inputs!$A$5:$A$170=$B43)*Inputs!$B$5:$B$170*(((Inputs!$G$5:$G$170="moeda")+(Inputs!$G$5:$G$170="acoes"))*Inputs!$B$1+((Inputs!$G$5:$G$170&lt;&gt;"moeda")*(Inputs!$G$5:$G$170&lt;&gt;"acoes")))*INDEX(Inputs!$K$5:$AJ$170,0,MATCH(K$2,Inputs!$K$4:$AJ$4,0)))+SUMPRODUCT((Inputs!$C$5:$C$170=$B43)*Inputs!$D$5:$D$170*(((Inputs!$G$5:$G$170="moeda")+(Inputs!$G$5:$G$170="acoes"))*Inputs!$B$1+((Inputs!$G$5:$G$170&lt;&gt;"moeda")*(Inputs!$G$5:$G$170&lt;&gt;"acoes")))*INDEX(Inputs!$K$5:$AJ$170,0,MATCH(K$2,Inputs!$K$4:$AJ$4,0)))+SUMPRODUCT((Inputs!$E$5:$E$170=$B43)*Inputs!$F$5:$F$170*(((Inputs!$G$5:$G$170="moeda")+(Inputs!$G$5:$G$170="acoes"))*Inputs!$B$1+((Inputs!$G$5:$G$170&lt;&gt;"moeda")*(Inputs!$G$5:$G$170&lt;&gt;"acoes")))*INDEX(Inputs!$K$5:$AJ$170,0,MATCH(K$2,Inputs!$K$4:$AJ$4,0)))))</f>
        <v>2652.409</v>
      </c>
      <c r="L43" s="6">
        <f>IF(ISNA(MATCH(L$2,Inputs!$K$4:$AJ$4,0)),NA(),IF(SUMPRODUCT((Inputs!$A$5:$A$170=$B43)*ISNUMBER(INDEX(Inputs!$K$5:$AJ$170,0,MATCH(L$2,Inputs!$K$4:$AJ$4,0))))+SUMPRODUCT((Inputs!$C$5:$C$170=$B43)*ISNUMBER(INDEX(Inputs!$K$5:$AJ$170,0,MATCH(L$2,Inputs!$K$4:$AJ$4,0))))+SUMPRODUCT((Inputs!$E$5:$E$170=$B43)*ISNUMBER(INDEX(Inputs!$K$5:$AJ$170,0,MATCH(L$2,Inputs!$K$4:$AJ$4,0))))=0,NA(),SUMPRODUCT((Inputs!$A$5:$A$170=$B43)*Inputs!$B$5:$B$170*(((Inputs!$G$5:$G$170="moeda")+(Inputs!$G$5:$G$170="acoes"))*Inputs!$B$1+((Inputs!$G$5:$G$170&lt;&gt;"moeda")*(Inputs!$G$5:$G$170&lt;&gt;"acoes")))*INDEX(Inputs!$K$5:$AJ$170,0,MATCH(L$2,Inputs!$K$4:$AJ$4,0)))+SUMPRODUCT((Inputs!$C$5:$C$170=$B43)*Inputs!$D$5:$D$170*(((Inputs!$G$5:$G$170="moeda")+(Inputs!$G$5:$G$170="acoes"))*Inputs!$B$1+((Inputs!$G$5:$G$170&lt;&gt;"moeda")*(Inputs!$G$5:$G$170&lt;&gt;"acoes")))*INDEX(Inputs!$K$5:$AJ$170,0,MATCH(L$2,Inputs!$K$4:$AJ$4,0)))+SUMPRODUCT((Inputs!$E$5:$E$170=$B43)*Inputs!$F$5:$F$170*(((Inputs!$G$5:$G$170="moeda")+(Inputs!$G$5:$G$170="acoes"))*Inputs!$B$1+((Inputs!$G$5:$G$170&lt;&gt;"moeda")*(Inputs!$G$5:$G$170&lt;&gt;"acoes")))*INDEX(Inputs!$K$5:$AJ$170,0,MATCH(L$2,Inputs!$K$4:$AJ$4,0)))))</f>
        <v>2652.409</v>
      </c>
      <c r="M43" s="3">
        <f>L43</f>
        <v>2652.409</v>
      </c>
      <c r="N43" s="6">
        <f>IF(ISNA(MATCH(N$2,Inputs!$K$4:$AJ$4,0)),NA(),IF(SUMPRODUCT((Inputs!$A$5:$A$170=$B43)*ISNUMBER(INDEX(Inputs!$K$5:$AJ$170,0,MATCH(N$2,Inputs!$K$4:$AJ$4,0))))+SUMPRODUCT((Inputs!$C$5:$C$170=$B43)*ISNUMBER(INDEX(Inputs!$K$5:$AJ$170,0,MATCH(N$2,Inputs!$K$4:$AJ$4,0))))+SUMPRODUCT((Inputs!$E$5:$E$170=$B43)*ISNUMBER(INDEX(Inputs!$K$5:$AJ$170,0,MATCH(N$2,Inputs!$K$4:$AJ$4,0))))=0,NA(),SUMPRODUCT((Inputs!$A$5:$A$170=$B43)*Inputs!$B$5:$B$170*(((Inputs!$G$5:$G$170="moeda")+(Inputs!$G$5:$G$170="acoes"))*Inputs!$B$1+((Inputs!$G$5:$G$170&lt;&gt;"moeda")*(Inputs!$G$5:$G$170&lt;&gt;"acoes")))*INDEX(Inputs!$K$5:$AJ$170,0,MATCH(N$2,Inputs!$K$4:$AJ$4,0)))+SUMPRODUCT((Inputs!$C$5:$C$170=$B43)*Inputs!$D$5:$D$170*(((Inputs!$G$5:$G$170="moeda")+(Inputs!$G$5:$G$170="acoes"))*Inputs!$B$1+((Inputs!$G$5:$G$170&lt;&gt;"moeda")*(Inputs!$G$5:$G$170&lt;&gt;"acoes")))*INDEX(Inputs!$K$5:$AJ$170,0,MATCH(N$2,Inputs!$K$4:$AJ$4,0)))+SUMPRODUCT((Inputs!$E$5:$E$170=$B43)*Inputs!$F$5:$F$170*(((Inputs!$G$5:$G$170="moeda")+(Inputs!$G$5:$G$170="acoes"))*Inputs!$B$1+((Inputs!$G$5:$G$170&lt;&gt;"moeda")*(Inputs!$G$5:$G$170&lt;&gt;"acoes")))*INDEX(Inputs!$K$5:$AJ$170,0,MATCH(N$2,Inputs!$K$4:$AJ$4,0)))))</f>
        <v>2652.409</v>
      </c>
      <c r="O43" s="6">
        <f>IF(ISNA(MATCH(O$2,Inputs!$K$4:$AJ$4,0)),NA(),IF(SUMPRODUCT((Inputs!$A$5:$A$170=$B43)*ISNUMBER(INDEX(Inputs!$K$5:$AJ$170,0,MATCH(O$2,Inputs!$K$4:$AJ$4,0))))+SUMPRODUCT((Inputs!$C$5:$C$170=$B43)*ISNUMBER(INDEX(Inputs!$K$5:$AJ$170,0,MATCH(O$2,Inputs!$K$4:$AJ$4,0))))+SUMPRODUCT((Inputs!$E$5:$E$170=$B43)*ISNUMBER(INDEX(Inputs!$K$5:$AJ$170,0,MATCH(O$2,Inputs!$K$4:$AJ$4,0))))=0,NA(),SUMPRODUCT((Inputs!$A$5:$A$170=$B43)*Inputs!$B$5:$B$170*(((Inputs!$G$5:$G$170="moeda")+(Inputs!$G$5:$G$170="acoes"))*Inputs!$B$1+((Inputs!$G$5:$G$170&lt;&gt;"moeda")*(Inputs!$G$5:$G$170&lt;&gt;"acoes")))*INDEX(Inputs!$K$5:$AJ$170,0,MATCH(O$2,Inputs!$K$4:$AJ$4,0)))+SUMPRODUCT((Inputs!$C$5:$C$170=$B43)*Inputs!$D$5:$D$170*(((Inputs!$G$5:$G$170="moeda")+(Inputs!$G$5:$G$170="acoes"))*Inputs!$B$1+((Inputs!$G$5:$G$170&lt;&gt;"moeda")*(Inputs!$G$5:$G$170&lt;&gt;"acoes")))*INDEX(Inputs!$K$5:$AJ$170,0,MATCH(O$2,Inputs!$K$4:$AJ$4,0)))+SUMPRODUCT((Inputs!$E$5:$E$170=$B43)*Inputs!$F$5:$F$170*(((Inputs!$G$5:$G$170="moeda")+(Inputs!$G$5:$G$170="acoes"))*Inputs!$B$1+((Inputs!$G$5:$G$170&lt;&gt;"moeda")*(Inputs!$G$5:$G$170&lt;&gt;"acoes")))*INDEX(Inputs!$K$5:$AJ$170,0,MATCH(O$2,Inputs!$K$4:$AJ$4,0)))))</f>
        <v>2652.408</v>
      </c>
      <c r="P43" s="6">
        <f>IF(ISNA(MATCH(P$2,Inputs!$K$4:$AJ$4,0)),NA(),IF(SUMPRODUCT((Inputs!$A$5:$A$170=$B43)*ISNUMBER(INDEX(Inputs!$K$5:$AJ$170,0,MATCH(P$2,Inputs!$K$4:$AJ$4,0))))+SUMPRODUCT((Inputs!$C$5:$C$170=$B43)*ISNUMBER(INDEX(Inputs!$K$5:$AJ$170,0,MATCH(P$2,Inputs!$K$4:$AJ$4,0))))+SUMPRODUCT((Inputs!$E$5:$E$170=$B43)*ISNUMBER(INDEX(Inputs!$K$5:$AJ$170,0,MATCH(P$2,Inputs!$K$4:$AJ$4,0))))=0,NA(),SUMPRODUCT((Inputs!$A$5:$A$170=$B43)*Inputs!$B$5:$B$170*(((Inputs!$G$5:$G$170="moeda")+(Inputs!$G$5:$G$170="acoes"))*Inputs!$B$1+((Inputs!$G$5:$G$170&lt;&gt;"moeda")*(Inputs!$G$5:$G$170&lt;&gt;"acoes")))*INDEX(Inputs!$K$5:$AJ$170,0,MATCH(P$2,Inputs!$K$4:$AJ$4,0)))+SUMPRODUCT((Inputs!$C$5:$C$170=$B43)*Inputs!$D$5:$D$170*(((Inputs!$G$5:$G$170="moeda")+(Inputs!$G$5:$G$170="acoes"))*Inputs!$B$1+((Inputs!$G$5:$G$170&lt;&gt;"moeda")*(Inputs!$G$5:$G$170&lt;&gt;"acoes")))*INDEX(Inputs!$K$5:$AJ$170,0,MATCH(P$2,Inputs!$K$4:$AJ$4,0)))+SUMPRODUCT((Inputs!$E$5:$E$170=$B43)*Inputs!$F$5:$F$170*(((Inputs!$G$5:$G$170="moeda")+(Inputs!$G$5:$G$170="acoes"))*Inputs!$B$1+((Inputs!$G$5:$G$170&lt;&gt;"moeda")*(Inputs!$G$5:$G$170&lt;&gt;"acoes")))*INDEX(Inputs!$K$5:$AJ$170,0,MATCH(P$2,Inputs!$K$4:$AJ$4,0)))))</f>
        <v>2652.409</v>
      </c>
      <c r="Q43" s="6">
        <f>IF(ISNA(MATCH(Q$2,Inputs!$K$4:$AJ$4,0)),NA(),IF(SUMPRODUCT((Inputs!$A$5:$A$170=$B43)*ISNUMBER(INDEX(Inputs!$K$5:$AJ$170,0,MATCH(Q$2,Inputs!$K$4:$AJ$4,0))))+SUMPRODUCT((Inputs!$C$5:$C$170=$B43)*ISNUMBER(INDEX(Inputs!$K$5:$AJ$170,0,MATCH(Q$2,Inputs!$K$4:$AJ$4,0))))+SUMPRODUCT((Inputs!$E$5:$E$170=$B43)*ISNUMBER(INDEX(Inputs!$K$5:$AJ$170,0,MATCH(Q$2,Inputs!$K$4:$AJ$4,0))))=0,NA(),SUMPRODUCT((Inputs!$A$5:$A$170=$B43)*Inputs!$B$5:$B$170*(((Inputs!$G$5:$G$170="moeda")+(Inputs!$G$5:$G$170="acoes"))*Inputs!$B$1+((Inputs!$G$5:$G$170&lt;&gt;"moeda")*(Inputs!$G$5:$G$170&lt;&gt;"acoes")))*INDEX(Inputs!$K$5:$AJ$170,0,MATCH(Q$2,Inputs!$K$4:$AJ$4,0)))+SUMPRODUCT((Inputs!$C$5:$C$170=$B43)*Inputs!$D$5:$D$170*(((Inputs!$G$5:$G$170="moeda")+(Inputs!$G$5:$G$170="acoes"))*Inputs!$B$1+((Inputs!$G$5:$G$170&lt;&gt;"moeda")*(Inputs!$G$5:$G$170&lt;&gt;"acoes")))*INDEX(Inputs!$K$5:$AJ$170,0,MATCH(Q$2,Inputs!$K$4:$AJ$4,0)))+SUMPRODUCT((Inputs!$E$5:$E$170=$B43)*Inputs!$F$5:$F$170*(((Inputs!$G$5:$G$170="moeda")+(Inputs!$G$5:$G$170="acoes"))*Inputs!$B$1+((Inputs!$G$5:$G$170&lt;&gt;"moeda")*(Inputs!$G$5:$G$170&lt;&gt;"acoes")))*INDEX(Inputs!$K$5:$AJ$170,0,MATCH(Q$2,Inputs!$K$4:$AJ$4,0)))))</f>
        <v>2652.409</v>
      </c>
      <c r="R43" s="3">
        <f>Q43</f>
        <v>2652.409</v>
      </c>
      <c r="S43" s="6">
        <f>IF(ISNA(MATCH(S$2,Inputs!$K$4:$AJ$4,0)),NA(),IF(SUMPRODUCT((Inputs!$A$5:$A$170=$B43)*ISNUMBER(INDEX(Inputs!$K$5:$AJ$170,0,MATCH(S$2,Inputs!$K$4:$AJ$4,0))))+SUMPRODUCT((Inputs!$C$5:$C$170=$B43)*ISNUMBER(INDEX(Inputs!$K$5:$AJ$170,0,MATCH(S$2,Inputs!$K$4:$AJ$4,0))))+SUMPRODUCT((Inputs!$E$5:$E$170=$B43)*ISNUMBER(INDEX(Inputs!$K$5:$AJ$170,0,MATCH(S$2,Inputs!$K$4:$AJ$4,0))))=0,NA(),SUMPRODUCT((Inputs!$A$5:$A$170=$B43)*Inputs!$B$5:$B$170*(((Inputs!$G$5:$G$170="moeda")+(Inputs!$G$5:$G$170="acoes"))*Inputs!$B$1+((Inputs!$G$5:$G$170&lt;&gt;"moeda")*(Inputs!$G$5:$G$170&lt;&gt;"acoes")))*INDEX(Inputs!$K$5:$AJ$170,0,MATCH(S$2,Inputs!$K$4:$AJ$4,0)))+SUMPRODUCT((Inputs!$C$5:$C$170=$B43)*Inputs!$D$5:$D$170*(((Inputs!$G$5:$G$170="moeda")+(Inputs!$G$5:$G$170="acoes"))*Inputs!$B$1+((Inputs!$G$5:$G$170&lt;&gt;"moeda")*(Inputs!$G$5:$G$170&lt;&gt;"acoes")))*INDEX(Inputs!$K$5:$AJ$170,0,MATCH(S$2,Inputs!$K$4:$AJ$4,0)))+SUMPRODUCT((Inputs!$E$5:$E$170=$B43)*Inputs!$F$5:$F$170*(((Inputs!$G$5:$G$170="moeda")+(Inputs!$G$5:$G$170="acoes"))*Inputs!$B$1+((Inputs!$G$5:$G$170&lt;&gt;"moeda")*(Inputs!$G$5:$G$170&lt;&gt;"acoes")))*INDEX(Inputs!$K$5:$AJ$170,0,MATCH(S$2,Inputs!$K$4:$AJ$4,0)))))</f>
        <v>2652.409</v>
      </c>
      <c r="T43" s="6">
        <f>IF(ISNA(MATCH(T$2,Inputs!$K$4:$AJ$4,0)),NA(),IF(SUMPRODUCT((Inputs!$A$5:$A$170=$B43)*ISNUMBER(INDEX(Inputs!$K$5:$AJ$170,0,MATCH(T$2,Inputs!$K$4:$AJ$4,0))))+SUMPRODUCT((Inputs!$C$5:$C$170=$B43)*ISNUMBER(INDEX(Inputs!$K$5:$AJ$170,0,MATCH(T$2,Inputs!$K$4:$AJ$4,0))))+SUMPRODUCT((Inputs!$E$5:$E$170=$B43)*ISNUMBER(INDEX(Inputs!$K$5:$AJ$170,0,MATCH(T$2,Inputs!$K$4:$AJ$4,0))))=0,NA(),SUMPRODUCT((Inputs!$A$5:$A$170=$B43)*Inputs!$B$5:$B$170*(((Inputs!$G$5:$G$170="moeda")+(Inputs!$G$5:$G$170="acoes"))*Inputs!$B$1+((Inputs!$G$5:$G$170&lt;&gt;"moeda")*(Inputs!$G$5:$G$170&lt;&gt;"acoes")))*INDEX(Inputs!$K$5:$AJ$170,0,MATCH(T$2,Inputs!$K$4:$AJ$4,0)))+SUMPRODUCT((Inputs!$C$5:$C$170=$B43)*Inputs!$D$5:$D$170*(((Inputs!$G$5:$G$170="moeda")+(Inputs!$G$5:$G$170="acoes"))*Inputs!$B$1+((Inputs!$G$5:$G$170&lt;&gt;"moeda")*(Inputs!$G$5:$G$170&lt;&gt;"acoes")))*INDEX(Inputs!$K$5:$AJ$170,0,MATCH(T$2,Inputs!$K$4:$AJ$4,0)))+SUMPRODUCT((Inputs!$E$5:$E$170=$B43)*Inputs!$F$5:$F$170*(((Inputs!$G$5:$G$170="moeda")+(Inputs!$G$5:$G$170="acoes"))*Inputs!$B$1+((Inputs!$G$5:$G$170&lt;&gt;"moeda")*(Inputs!$G$5:$G$170&lt;&gt;"acoes")))*INDEX(Inputs!$K$5:$AJ$170,0,MATCH(T$2,Inputs!$K$4:$AJ$4,0)))))</f>
        <v>2652.409</v>
      </c>
      <c r="U43" s="6">
        <f>IF(ISNA(MATCH(U$2,Inputs!$K$4:$AJ$4,0)),NA(),IF(SUMPRODUCT((Inputs!$A$5:$A$170=$B43)*ISNUMBER(INDEX(Inputs!$K$5:$AJ$170,0,MATCH(U$2,Inputs!$K$4:$AJ$4,0))))+SUMPRODUCT((Inputs!$C$5:$C$170=$B43)*ISNUMBER(INDEX(Inputs!$K$5:$AJ$170,0,MATCH(U$2,Inputs!$K$4:$AJ$4,0))))+SUMPRODUCT((Inputs!$E$5:$E$170=$B43)*ISNUMBER(INDEX(Inputs!$K$5:$AJ$170,0,MATCH(U$2,Inputs!$K$4:$AJ$4,0))))=0,NA(),SUMPRODUCT((Inputs!$A$5:$A$170=$B43)*Inputs!$B$5:$B$170*(((Inputs!$G$5:$G$170="moeda")+(Inputs!$G$5:$G$170="acoes"))*Inputs!$B$1+((Inputs!$G$5:$G$170&lt;&gt;"moeda")*(Inputs!$G$5:$G$170&lt;&gt;"acoes")))*INDEX(Inputs!$K$5:$AJ$170,0,MATCH(U$2,Inputs!$K$4:$AJ$4,0)))+SUMPRODUCT((Inputs!$C$5:$C$170=$B43)*Inputs!$D$5:$D$170*(((Inputs!$G$5:$G$170="moeda")+(Inputs!$G$5:$G$170="acoes"))*Inputs!$B$1+((Inputs!$G$5:$G$170&lt;&gt;"moeda")*(Inputs!$G$5:$G$170&lt;&gt;"acoes")))*INDEX(Inputs!$K$5:$AJ$170,0,MATCH(U$2,Inputs!$K$4:$AJ$4,0)))+SUMPRODUCT((Inputs!$E$5:$E$170=$B43)*Inputs!$F$5:$F$170*(((Inputs!$G$5:$G$170="moeda")+(Inputs!$G$5:$G$170="acoes"))*Inputs!$B$1+((Inputs!$G$5:$G$170&lt;&gt;"moeda")*(Inputs!$G$5:$G$170&lt;&gt;"acoes")))*INDEX(Inputs!$K$5:$AJ$170,0,MATCH(U$2,Inputs!$K$4:$AJ$4,0)))))</f>
        <v>2652.409</v>
      </c>
      <c r="V43" s="6">
        <f>IF(ISNA(MATCH(V$2,Inputs!$K$4:$AJ$4,0)),NA(),IF(SUMPRODUCT((Inputs!$A$5:$A$170=$B43)*ISNUMBER(INDEX(Inputs!$K$5:$AJ$170,0,MATCH(V$2,Inputs!$K$4:$AJ$4,0))))+SUMPRODUCT((Inputs!$C$5:$C$170=$B43)*ISNUMBER(INDEX(Inputs!$K$5:$AJ$170,0,MATCH(V$2,Inputs!$K$4:$AJ$4,0))))+SUMPRODUCT((Inputs!$E$5:$E$170=$B43)*ISNUMBER(INDEX(Inputs!$K$5:$AJ$170,0,MATCH(V$2,Inputs!$K$4:$AJ$4,0))))=0,NA(),SUMPRODUCT((Inputs!$A$5:$A$170=$B43)*Inputs!$B$5:$B$170*(((Inputs!$G$5:$G$170="moeda")+(Inputs!$G$5:$G$170="acoes"))*Inputs!$B$1+((Inputs!$G$5:$G$170&lt;&gt;"moeda")*(Inputs!$G$5:$G$170&lt;&gt;"acoes")))*INDEX(Inputs!$K$5:$AJ$170,0,MATCH(V$2,Inputs!$K$4:$AJ$4,0)))+SUMPRODUCT((Inputs!$C$5:$C$170=$B43)*Inputs!$D$5:$D$170*(((Inputs!$G$5:$G$170="moeda")+(Inputs!$G$5:$G$170="acoes"))*Inputs!$B$1+((Inputs!$G$5:$G$170&lt;&gt;"moeda")*(Inputs!$G$5:$G$170&lt;&gt;"acoes")))*INDEX(Inputs!$K$5:$AJ$170,0,MATCH(V$2,Inputs!$K$4:$AJ$4,0)))+SUMPRODUCT((Inputs!$E$5:$E$170=$B43)*Inputs!$F$5:$F$170*(((Inputs!$G$5:$G$170="moeda")+(Inputs!$G$5:$G$170="acoes"))*Inputs!$B$1+((Inputs!$G$5:$G$170&lt;&gt;"moeda")*(Inputs!$G$5:$G$170&lt;&gt;"acoes")))*INDEX(Inputs!$K$5:$AJ$170,0,MATCH(V$2,Inputs!$K$4:$AJ$4,0)))))</f>
        <v>2652.409</v>
      </c>
      <c r="W43" s="3">
        <f>V43</f>
        <v>2652.409</v>
      </c>
      <c r="X43" s="6">
        <f>IF(ISNA(MATCH(X$2,Inputs!$K$4:$AJ$4,0)),NA(),IF(SUMPRODUCT((Inputs!$A$5:$A$170=$B43)*ISNUMBER(INDEX(Inputs!$K$5:$AJ$170,0,MATCH(X$2,Inputs!$K$4:$AJ$4,0))))+SUMPRODUCT((Inputs!$C$5:$C$170=$B43)*ISNUMBER(INDEX(Inputs!$K$5:$AJ$170,0,MATCH(X$2,Inputs!$K$4:$AJ$4,0))))+SUMPRODUCT((Inputs!$E$5:$E$170=$B43)*ISNUMBER(INDEX(Inputs!$K$5:$AJ$170,0,MATCH(X$2,Inputs!$K$4:$AJ$4,0))))=0,NA(),SUMPRODUCT((Inputs!$A$5:$A$170=$B43)*Inputs!$B$5:$B$170*(((Inputs!$G$5:$G$170="moeda")+(Inputs!$G$5:$G$170="acoes"))*Inputs!$B$1+((Inputs!$G$5:$G$170&lt;&gt;"moeda")*(Inputs!$G$5:$G$170&lt;&gt;"acoes")))*INDEX(Inputs!$K$5:$AJ$170,0,MATCH(X$2,Inputs!$K$4:$AJ$4,0)))+SUMPRODUCT((Inputs!$C$5:$C$170=$B43)*Inputs!$D$5:$D$170*(((Inputs!$G$5:$G$170="moeda")+(Inputs!$G$5:$G$170="acoes"))*Inputs!$B$1+((Inputs!$G$5:$G$170&lt;&gt;"moeda")*(Inputs!$G$5:$G$170&lt;&gt;"acoes")))*INDEX(Inputs!$K$5:$AJ$170,0,MATCH(X$2,Inputs!$K$4:$AJ$4,0)))+SUMPRODUCT((Inputs!$E$5:$E$170=$B43)*Inputs!$F$5:$F$170*(((Inputs!$G$5:$G$170="moeda")+(Inputs!$G$5:$G$170="acoes"))*Inputs!$B$1+((Inputs!$G$5:$G$170&lt;&gt;"moeda")*(Inputs!$G$5:$G$170&lt;&gt;"acoes")))*INDEX(Inputs!$K$5:$AJ$170,0,MATCH(X$2,Inputs!$K$4:$AJ$4,0)))))</f>
        <v>2652.409</v>
      </c>
      <c r="Y43" s="6">
        <f>IF(ISNA(MATCH(Y$2,Inputs!$K$4:$AJ$4,0)),NA(),IF(SUMPRODUCT((Inputs!$A$5:$A$170=$B43)*ISNUMBER(INDEX(Inputs!$K$5:$AJ$170,0,MATCH(Y$2,Inputs!$K$4:$AJ$4,0))))+SUMPRODUCT((Inputs!$C$5:$C$170=$B43)*ISNUMBER(INDEX(Inputs!$K$5:$AJ$170,0,MATCH(Y$2,Inputs!$K$4:$AJ$4,0))))+SUMPRODUCT((Inputs!$E$5:$E$170=$B43)*ISNUMBER(INDEX(Inputs!$K$5:$AJ$170,0,MATCH(Y$2,Inputs!$K$4:$AJ$4,0))))=0,NA(),SUMPRODUCT((Inputs!$A$5:$A$170=$B43)*Inputs!$B$5:$B$170*(((Inputs!$G$5:$G$170="moeda")+(Inputs!$G$5:$G$170="acoes"))*Inputs!$B$1+((Inputs!$G$5:$G$170&lt;&gt;"moeda")*(Inputs!$G$5:$G$170&lt;&gt;"acoes")))*INDEX(Inputs!$K$5:$AJ$170,0,MATCH(Y$2,Inputs!$K$4:$AJ$4,0)))+SUMPRODUCT((Inputs!$C$5:$C$170=$B43)*Inputs!$D$5:$D$170*(((Inputs!$G$5:$G$170="moeda")+(Inputs!$G$5:$G$170="acoes"))*Inputs!$B$1+((Inputs!$G$5:$G$170&lt;&gt;"moeda")*(Inputs!$G$5:$G$170&lt;&gt;"acoes")))*INDEX(Inputs!$K$5:$AJ$170,0,MATCH(Y$2,Inputs!$K$4:$AJ$4,0)))+SUMPRODUCT((Inputs!$E$5:$E$170=$B43)*Inputs!$F$5:$F$170*(((Inputs!$G$5:$G$170="moeda")+(Inputs!$G$5:$G$170="acoes"))*Inputs!$B$1+((Inputs!$G$5:$G$170&lt;&gt;"moeda")*(Inputs!$G$5:$G$170&lt;&gt;"acoes")))*INDEX(Inputs!$K$5:$AJ$170,0,MATCH(Y$2,Inputs!$K$4:$AJ$4,0)))))</f>
        <v>2652.409</v>
      </c>
      <c r="Z43" s="6">
        <f>IF(ISNA(MATCH(Z$2,Inputs!$K$4:$AJ$4,0)),NA(),IF(SUMPRODUCT((Inputs!$A$5:$A$170=$B43)*ISNUMBER(INDEX(Inputs!$K$5:$AJ$170,0,MATCH(Z$2,Inputs!$K$4:$AJ$4,0))))+SUMPRODUCT((Inputs!$C$5:$C$170=$B43)*ISNUMBER(INDEX(Inputs!$K$5:$AJ$170,0,MATCH(Z$2,Inputs!$K$4:$AJ$4,0))))+SUMPRODUCT((Inputs!$E$5:$E$170=$B43)*ISNUMBER(INDEX(Inputs!$K$5:$AJ$170,0,MATCH(Z$2,Inputs!$K$4:$AJ$4,0))))=0,NA(),SUMPRODUCT((Inputs!$A$5:$A$170=$B43)*Inputs!$B$5:$B$170*(((Inputs!$G$5:$G$170="moeda")+(Inputs!$G$5:$G$170="acoes"))*Inputs!$B$1+((Inputs!$G$5:$G$170&lt;&gt;"moeda")*(Inputs!$G$5:$G$170&lt;&gt;"acoes")))*INDEX(Inputs!$K$5:$AJ$170,0,MATCH(Z$2,Inputs!$K$4:$AJ$4,0)))+SUMPRODUCT((Inputs!$C$5:$C$170=$B43)*Inputs!$D$5:$D$170*(((Inputs!$G$5:$G$170="moeda")+(Inputs!$G$5:$G$170="acoes"))*Inputs!$B$1+((Inputs!$G$5:$G$170&lt;&gt;"moeda")*(Inputs!$G$5:$G$170&lt;&gt;"acoes")))*INDEX(Inputs!$K$5:$AJ$170,0,MATCH(Z$2,Inputs!$K$4:$AJ$4,0)))+SUMPRODUCT((Inputs!$E$5:$E$170=$B43)*Inputs!$F$5:$F$170*(((Inputs!$G$5:$G$170="moeda")+(Inputs!$G$5:$G$170="acoes"))*Inputs!$B$1+((Inputs!$G$5:$G$170&lt;&gt;"moeda")*(Inputs!$G$5:$G$170&lt;&gt;"acoes")))*INDEX(Inputs!$K$5:$AJ$170,0,MATCH(Z$2,Inputs!$K$4:$AJ$4,0)))))</f>
        <v>2652.409</v>
      </c>
      <c r="AA43" s="6">
        <f>IF(ISNA(MATCH(AA$2,Inputs!$K$4:$AJ$4,0)),NA(),IF(SUMPRODUCT((Inputs!$A$5:$A$170=$B43)*ISNUMBER(INDEX(Inputs!$K$5:$AJ$170,0,MATCH(AA$2,Inputs!$K$4:$AJ$4,0))))+SUMPRODUCT((Inputs!$C$5:$C$170=$B43)*ISNUMBER(INDEX(Inputs!$K$5:$AJ$170,0,MATCH(AA$2,Inputs!$K$4:$AJ$4,0))))+SUMPRODUCT((Inputs!$E$5:$E$170=$B43)*ISNUMBER(INDEX(Inputs!$K$5:$AJ$170,0,MATCH(AA$2,Inputs!$K$4:$AJ$4,0))))=0,NA(),SUMPRODUCT((Inputs!$A$5:$A$170=$B43)*Inputs!$B$5:$B$170*(((Inputs!$G$5:$G$170="moeda")+(Inputs!$G$5:$G$170="acoes"))*Inputs!$B$1+((Inputs!$G$5:$G$170&lt;&gt;"moeda")*(Inputs!$G$5:$G$170&lt;&gt;"acoes")))*INDEX(Inputs!$K$5:$AJ$170,0,MATCH(AA$2,Inputs!$K$4:$AJ$4,0)))+SUMPRODUCT((Inputs!$C$5:$C$170=$B43)*Inputs!$D$5:$D$170*(((Inputs!$G$5:$G$170="moeda")+(Inputs!$G$5:$G$170="acoes"))*Inputs!$B$1+((Inputs!$G$5:$G$170&lt;&gt;"moeda")*(Inputs!$G$5:$G$170&lt;&gt;"acoes")))*INDEX(Inputs!$K$5:$AJ$170,0,MATCH(AA$2,Inputs!$K$4:$AJ$4,0)))+SUMPRODUCT((Inputs!$E$5:$E$170=$B43)*Inputs!$F$5:$F$170*(((Inputs!$G$5:$G$170="moeda")+(Inputs!$G$5:$G$170="acoes"))*Inputs!$B$1+((Inputs!$G$5:$G$170&lt;&gt;"moeda")*(Inputs!$G$5:$G$170&lt;&gt;"acoes")))*INDEX(Inputs!$K$5:$AJ$170,0,MATCH(AA$2,Inputs!$K$4:$AJ$4,0)))))</f>
        <v>2652.409</v>
      </c>
      <c r="AB43" s="3">
        <f>AA43</f>
        <v>2652.409</v>
      </c>
      <c r="AC43" s="6">
        <f>IF(ISNA(MATCH(AC$2,Inputs!$K$4:$AJ$4,0)),NA(),IF(SUMPRODUCT((Inputs!$A$5:$A$170=$B43)*ISNUMBER(INDEX(Inputs!$K$5:$AJ$170,0,MATCH(AC$2,Inputs!$K$4:$AJ$4,0))))+SUMPRODUCT((Inputs!$C$5:$C$170=$B43)*ISNUMBER(INDEX(Inputs!$K$5:$AJ$170,0,MATCH(AC$2,Inputs!$K$4:$AJ$4,0))))+SUMPRODUCT((Inputs!$E$5:$E$170=$B43)*ISNUMBER(INDEX(Inputs!$K$5:$AJ$170,0,MATCH(AC$2,Inputs!$K$4:$AJ$4,0))))=0,NA(),SUMPRODUCT((Inputs!$A$5:$A$170=$B43)*Inputs!$B$5:$B$170*(((Inputs!$G$5:$G$170="moeda")+(Inputs!$G$5:$G$170="acoes"))*Inputs!$B$1+((Inputs!$G$5:$G$170&lt;&gt;"moeda")*(Inputs!$G$5:$G$170&lt;&gt;"acoes")))*INDEX(Inputs!$K$5:$AJ$170,0,MATCH(AC$2,Inputs!$K$4:$AJ$4,0)))+SUMPRODUCT((Inputs!$C$5:$C$170=$B43)*Inputs!$D$5:$D$170*(((Inputs!$G$5:$G$170="moeda")+(Inputs!$G$5:$G$170="acoes"))*Inputs!$B$1+((Inputs!$G$5:$G$170&lt;&gt;"moeda")*(Inputs!$G$5:$G$170&lt;&gt;"acoes")))*INDEX(Inputs!$K$5:$AJ$170,0,MATCH(AC$2,Inputs!$K$4:$AJ$4,0)))+SUMPRODUCT((Inputs!$E$5:$E$170=$B43)*Inputs!$F$5:$F$170*(((Inputs!$G$5:$G$170="moeda")+(Inputs!$G$5:$G$170="acoes"))*Inputs!$B$1+((Inputs!$G$5:$G$170&lt;&gt;"moeda")*(Inputs!$G$5:$G$170&lt;&gt;"acoes")))*INDEX(Inputs!$K$5:$AJ$170,0,MATCH(AC$2,Inputs!$K$4:$AJ$4,0)))))</f>
        <v>2590.776</v>
      </c>
      <c r="AD43" s="6">
        <f>IF(ISNA(MATCH(AD$2,Inputs!$K$4:$AJ$4,0)),NA(),IF(SUMPRODUCT((Inputs!$A$5:$A$170=$B43)*ISNUMBER(INDEX(Inputs!$K$5:$AJ$170,0,MATCH(AD$2,Inputs!$K$4:$AJ$4,0))))+SUMPRODUCT((Inputs!$C$5:$C$170=$B43)*ISNUMBER(INDEX(Inputs!$K$5:$AJ$170,0,MATCH(AD$2,Inputs!$K$4:$AJ$4,0))))+SUMPRODUCT((Inputs!$E$5:$E$170=$B43)*ISNUMBER(INDEX(Inputs!$K$5:$AJ$170,0,MATCH(AD$2,Inputs!$K$4:$AJ$4,0))))=0,NA(),SUMPRODUCT((Inputs!$A$5:$A$170=$B43)*Inputs!$B$5:$B$170*(((Inputs!$G$5:$G$170="moeda")+(Inputs!$G$5:$G$170="acoes"))*Inputs!$B$1+((Inputs!$G$5:$G$170&lt;&gt;"moeda")*(Inputs!$G$5:$G$170&lt;&gt;"acoes")))*INDEX(Inputs!$K$5:$AJ$170,0,MATCH(AD$2,Inputs!$K$4:$AJ$4,0)))+SUMPRODUCT((Inputs!$C$5:$C$170=$B43)*Inputs!$D$5:$D$170*(((Inputs!$G$5:$G$170="moeda")+(Inputs!$G$5:$G$170="acoes"))*Inputs!$B$1+((Inputs!$G$5:$G$170&lt;&gt;"moeda")*(Inputs!$G$5:$G$170&lt;&gt;"acoes")))*INDEX(Inputs!$K$5:$AJ$170,0,MATCH(AD$2,Inputs!$K$4:$AJ$4,0)))+SUMPRODUCT((Inputs!$E$5:$E$170=$B43)*Inputs!$F$5:$F$170*(((Inputs!$G$5:$G$170="moeda")+(Inputs!$G$5:$G$170="acoes"))*Inputs!$B$1+((Inputs!$G$5:$G$170&lt;&gt;"moeda")*(Inputs!$G$5:$G$170&lt;&gt;"acoes")))*INDEX(Inputs!$K$5:$AJ$170,0,MATCH(AD$2,Inputs!$K$4:$AJ$4,0)))))</f>
        <v>3335.708</v>
      </c>
      <c r="AE43" s="6" t="e">
        <f>IF(ISNA(MATCH(AE$2,Inputs!$K$4:$AJ$4,0)),NA(),IF(SUMPRODUCT((Inputs!$A$5:$A$170=$B43)*ISNUMBER(INDEX(Inputs!$K$5:$AJ$170,0,MATCH(AE$2,Inputs!$K$4:$AJ$4,0))))+SUMPRODUCT((Inputs!$C$5:$C$170=$B43)*ISNUMBER(INDEX(Inputs!$K$5:$AJ$170,0,MATCH(AE$2,Inputs!$K$4:$AJ$4,0))))+SUMPRODUCT((Inputs!$E$5:$E$170=$B43)*ISNUMBER(INDEX(Inputs!$K$5:$AJ$170,0,MATCH(AE$2,Inputs!$K$4:$AJ$4,0))))=0,NA(),SUMPRODUCT((Inputs!$A$5:$A$170=$B43)*Inputs!$B$5:$B$170*(((Inputs!$G$5:$G$170="moeda")+(Inputs!$G$5:$G$170="acoes"))*Inputs!$B$1+((Inputs!$G$5:$G$170&lt;&gt;"moeda")*(Inputs!$G$5:$G$170&lt;&gt;"acoes")))*INDEX(Inputs!$K$5:$AJ$170,0,MATCH(AE$2,Inputs!$K$4:$AJ$4,0)))+SUMPRODUCT((Inputs!$C$5:$C$170=$B43)*Inputs!$D$5:$D$170*(((Inputs!$G$5:$G$170="moeda")+(Inputs!$G$5:$G$170="acoes"))*Inputs!$B$1+((Inputs!$G$5:$G$170&lt;&gt;"moeda")*(Inputs!$G$5:$G$170&lt;&gt;"acoes")))*INDEX(Inputs!$K$5:$AJ$170,0,MATCH(AE$2,Inputs!$K$4:$AJ$4,0)))+SUMPRODUCT((Inputs!$E$5:$E$170=$B43)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3" s="6" t="e">
        <f>IF(ISNA(MATCH(AF$2,Inputs!$K$4:$AJ$4,0)),NA(),IF(SUMPRODUCT((Inputs!$A$5:$A$170=$B43)*ISNUMBER(INDEX(Inputs!$K$5:$AJ$170,0,MATCH(AF$2,Inputs!$K$4:$AJ$4,0))))+SUMPRODUCT((Inputs!$C$5:$C$170=$B43)*ISNUMBER(INDEX(Inputs!$K$5:$AJ$170,0,MATCH(AF$2,Inputs!$K$4:$AJ$4,0))))+SUMPRODUCT((Inputs!$E$5:$E$170=$B43)*ISNUMBER(INDEX(Inputs!$K$5:$AJ$170,0,MATCH(AF$2,Inputs!$K$4:$AJ$4,0))))=0,NA(),SUMPRODUCT((Inputs!$A$5:$A$170=$B43)*Inputs!$B$5:$B$170*(((Inputs!$G$5:$G$170="moeda")+(Inputs!$G$5:$G$170="acoes"))*Inputs!$B$1+((Inputs!$G$5:$G$170&lt;&gt;"moeda")*(Inputs!$G$5:$G$170&lt;&gt;"acoes")))*INDEX(Inputs!$K$5:$AJ$170,0,MATCH(AF$2,Inputs!$K$4:$AJ$4,0)))+SUMPRODUCT((Inputs!$C$5:$C$170=$B43)*Inputs!$D$5:$D$170*(((Inputs!$G$5:$G$170="moeda")+(Inputs!$G$5:$G$170="acoes"))*Inputs!$B$1+((Inputs!$G$5:$G$170&lt;&gt;"moeda")*(Inputs!$G$5:$G$170&lt;&gt;"acoes")))*INDEX(Inputs!$K$5:$AJ$170,0,MATCH(AF$2,Inputs!$K$4:$AJ$4,0)))+SUMPRODUCT((Inputs!$E$5:$E$170=$B43)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3" s="3" t="e">
        <f>AF43</f>
        <v>#N/A</v>
      </c>
      <c r="AH43" s="6">
        <f>IF(ISNA(MATCH(AH$2,Inputs!$K$4:$AJ$4,0)),NA(),IF(SUMPRODUCT((Inputs!$A$5:$A$170=$B43)*ISNUMBER(INDEX(Inputs!$K$5:$AJ$170,0,MATCH(AH$2,Inputs!$K$4:$AJ$4,0))))+SUMPRODUCT((Inputs!$C$5:$C$170=$B43)*ISNUMBER(INDEX(Inputs!$K$5:$AJ$170,0,MATCH(AH$2,Inputs!$K$4:$AJ$4,0))))+SUMPRODUCT((Inputs!$E$5:$E$170=$B43)*ISNUMBER(INDEX(Inputs!$K$5:$AJ$170,0,MATCH(AH$2,Inputs!$K$4:$AJ$4,0))))=0,NA(),SUMPRODUCT((Inputs!$A$5:$A$170=$B43)*Inputs!$B$5:$B$170*(((Inputs!$G$5:$G$170="moeda")+(Inputs!$G$5:$G$170="acoes"))*Inputs!$B$1+((Inputs!$G$5:$G$170&lt;&gt;"moeda")*(Inputs!$G$5:$G$170&lt;&gt;"acoes")))*INDEX(Inputs!$K$5:$AJ$170,0,MATCH(AH$2,Inputs!$K$4:$AJ$4,0)))+SUMPRODUCT((Inputs!$C$5:$C$170=$B43)*Inputs!$D$5:$D$170*(((Inputs!$G$5:$G$170="moeda")+(Inputs!$G$5:$G$170="acoes"))*Inputs!$B$1+((Inputs!$G$5:$G$170&lt;&gt;"moeda")*(Inputs!$G$5:$G$170&lt;&gt;"acoes")))*INDEX(Inputs!$K$5:$AJ$170,0,MATCH(AH$2,Inputs!$K$4:$AJ$4,0)))+SUMPRODUCT((Inputs!$E$5:$E$170=$B43)*Inputs!$F$5:$F$170*(((Inputs!$G$5:$G$170="moeda")+(Inputs!$G$5:$G$170="acoes"))*Inputs!$B$1+((Inputs!$G$5:$G$170&lt;&gt;"moeda")*(Inputs!$G$5:$G$170&lt;&gt;"acoes")))*INDEX(Inputs!$K$5:$AJ$170,0,MATCH(AH$2,Inputs!$K$4:$AJ$4,0)))))</f>
        <v>2075.169</v>
      </c>
      <c r="AI43" s="6">
        <f>IF(ISNA(MATCH(AI$2,Inputs!$K$4:$AJ$4,0)),NA(),IF(SUMPRODUCT((Inputs!$A$5:$A$170=$B43)*ISNUMBER(INDEX(Inputs!$K$5:$AJ$170,0,MATCH(AI$2,Inputs!$K$4:$AJ$4,0))))+SUMPRODUCT((Inputs!$C$5:$C$170=$B43)*ISNUMBER(INDEX(Inputs!$K$5:$AJ$170,0,MATCH(AI$2,Inputs!$K$4:$AJ$4,0))))+SUMPRODUCT((Inputs!$E$5:$E$170=$B43)*ISNUMBER(INDEX(Inputs!$K$5:$AJ$170,0,MATCH(AI$2,Inputs!$K$4:$AJ$4,0))))=0,NA(),SUMPRODUCT((Inputs!$A$5:$A$170=$B43)*Inputs!$B$5:$B$170*(((Inputs!$G$5:$G$170="moeda")+(Inputs!$G$5:$G$170="acoes"))*Inputs!$B$1+((Inputs!$G$5:$G$170&lt;&gt;"moeda")*(Inputs!$G$5:$G$170&lt;&gt;"acoes")))*INDEX(Inputs!$K$5:$AJ$170,0,MATCH(AI$2,Inputs!$K$4:$AJ$4,0)))+SUMPRODUCT((Inputs!$C$5:$C$170=$B43)*Inputs!$D$5:$D$170*(((Inputs!$G$5:$G$170="moeda")+(Inputs!$G$5:$G$170="acoes"))*Inputs!$B$1+((Inputs!$G$5:$G$170&lt;&gt;"moeda")*(Inputs!$G$5:$G$170&lt;&gt;"acoes")))*INDEX(Inputs!$K$5:$AJ$170,0,MATCH(AI$2,Inputs!$K$4:$AJ$4,0)))+SUMPRODUCT((Inputs!$E$5:$E$170=$B43)*Inputs!$F$5:$F$170*(((Inputs!$G$5:$G$170="moeda")+(Inputs!$G$5:$G$170="acoes"))*Inputs!$B$1+((Inputs!$G$5:$G$170&lt;&gt;"moeda")*(Inputs!$G$5:$G$170&lt;&gt;"acoes")))*INDEX(Inputs!$K$5:$AJ$170,0,MATCH(AI$2,Inputs!$K$4:$AJ$4,0)))))</f>
        <v>2070.692</v>
      </c>
      <c r="AJ43" s="6">
        <f>IF(ISNA(MATCH(AJ$2,Inputs!$K$4:$AJ$4,0)),NA(),IF(SUMPRODUCT((Inputs!$A$5:$A$170=$B43)*ISNUMBER(INDEX(Inputs!$K$5:$AJ$170,0,MATCH(AJ$2,Inputs!$K$4:$AJ$4,0))))+SUMPRODUCT((Inputs!$C$5:$C$170=$B43)*ISNUMBER(INDEX(Inputs!$K$5:$AJ$170,0,MATCH(AJ$2,Inputs!$K$4:$AJ$4,0))))+SUMPRODUCT((Inputs!$E$5:$E$170=$B43)*ISNUMBER(INDEX(Inputs!$K$5:$AJ$170,0,MATCH(AJ$2,Inputs!$K$4:$AJ$4,0))))=0,NA(),SUMPRODUCT((Inputs!$A$5:$A$170=$B43)*Inputs!$B$5:$B$170*(((Inputs!$G$5:$G$170="moeda")+(Inputs!$G$5:$G$170="acoes"))*Inputs!$B$1+((Inputs!$G$5:$G$170&lt;&gt;"moeda")*(Inputs!$G$5:$G$170&lt;&gt;"acoes")))*INDEX(Inputs!$K$5:$AJ$170,0,MATCH(AJ$2,Inputs!$K$4:$AJ$4,0)))+SUMPRODUCT((Inputs!$C$5:$C$170=$B43)*Inputs!$D$5:$D$170*(((Inputs!$G$5:$G$170="moeda")+(Inputs!$G$5:$G$170="acoes"))*Inputs!$B$1+((Inputs!$G$5:$G$170&lt;&gt;"moeda")*(Inputs!$G$5:$G$170&lt;&gt;"acoes")))*INDEX(Inputs!$K$5:$AJ$170,0,MATCH(AJ$2,Inputs!$K$4:$AJ$4,0)))+SUMPRODUCT((Inputs!$E$5:$E$170=$B43)*Inputs!$F$5:$F$170*(((Inputs!$G$5:$G$170="moeda")+(Inputs!$G$5:$G$170="acoes"))*Inputs!$B$1+((Inputs!$G$5:$G$170&lt;&gt;"moeda")*(Inputs!$G$5:$G$170&lt;&gt;"acoes")))*INDEX(Inputs!$K$5:$AJ$170,0,MATCH(AJ$2,Inputs!$K$4:$AJ$4,0)))))</f>
        <v>2070.749</v>
      </c>
      <c r="AK43" s="6">
        <f>IF(ISNA(MATCH(AK$2,Inputs!$K$4:$AJ$4,0)),NA(),IF(SUMPRODUCT((Inputs!$A$5:$A$170=$B43)*ISNUMBER(INDEX(Inputs!$K$5:$AJ$170,0,MATCH(AK$2,Inputs!$K$4:$AJ$4,0))))+SUMPRODUCT((Inputs!$C$5:$C$170=$B43)*ISNUMBER(INDEX(Inputs!$K$5:$AJ$170,0,MATCH(AK$2,Inputs!$K$4:$AJ$4,0))))+SUMPRODUCT((Inputs!$E$5:$E$170=$B43)*ISNUMBER(INDEX(Inputs!$K$5:$AJ$170,0,MATCH(AK$2,Inputs!$K$4:$AJ$4,0))))=0,NA(),SUMPRODUCT((Inputs!$A$5:$A$170=$B43)*Inputs!$B$5:$B$170*(((Inputs!$G$5:$G$170="moeda")+(Inputs!$G$5:$G$170="acoes"))*Inputs!$B$1+((Inputs!$G$5:$G$170&lt;&gt;"moeda")*(Inputs!$G$5:$G$170&lt;&gt;"acoes")))*INDEX(Inputs!$K$5:$AJ$170,0,MATCH(AK$2,Inputs!$K$4:$AJ$4,0)))+SUMPRODUCT((Inputs!$C$5:$C$170=$B43)*Inputs!$D$5:$D$170*(((Inputs!$G$5:$G$170="moeda")+(Inputs!$G$5:$G$170="acoes"))*Inputs!$B$1+((Inputs!$G$5:$G$170&lt;&gt;"moeda")*(Inputs!$G$5:$G$170&lt;&gt;"acoes")))*INDEX(Inputs!$K$5:$AJ$170,0,MATCH(AK$2,Inputs!$K$4:$AJ$4,0)))+SUMPRODUCT((Inputs!$E$5:$E$170=$B43)*Inputs!$F$5:$F$170*(((Inputs!$G$5:$G$170="moeda")+(Inputs!$G$5:$G$170="acoes"))*Inputs!$B$1+((Inputs!$G$5:$G$170&lt;&gt;"moeda")*(Inputs!$G$5:$G$170&lt;&gt;"acoes")))*INDEX(Inputs!$K$5:$AJ$170,0,MATCH(AK$2,Inputs!$K$4:$AJ$4,0)))))</f>
        <v>2070.805</v>
      </c>
      <c r="AL43" s="3">
        <f>AK43</f>
        <v>2070.805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$170=$B44)*ISNUMBER(INDEX(Inputs!$K$5:$AJ$170,0,MATCH(D$2,Inputs!$K$4:$AJ$4,0))))+SUMPRODUCT((Inputs!$C$5:$C$170=$B44)*ISNUMBER(INDEX(Inputs!$K$5:$AJ$170,0,MATCH(D$2,Inputs!$K$4:$AJ$4,0))))+SUMPRODUCT((Inputs!$E$5:$E$170=$B44)*ISNUMBER(INDEX(Inputs!$K$5:$AJ$170,0,MATCH(D$2,Inputs!$K$4:$AJ$4,0))))=0,NA(),SUMPRODUCT((Inputs!$A$5:$A$170=$B44)*Inputs!$B$5:$B$170*(((Inputs!$G$5:$G$170="moeda")+(Inputs!$G$5:$G$170="acoes"))*Inputs!$B$1+((Inputs!$G$5:$G$170&lt;&gt;"moeda")*(Inputs!$G$5:$G$170&lt;&gt;"acoes")))*INDEX(Inputs!$K$5:$AJ$170,0,MATCH(D$2,Inputs!$K$4:$AJ$4,0)))+SUMPRODUCT((Inputs!$C$5:$C$170=$B44)*Inputs!$D$5:$D$170*(((Inputs!$G$5:$G$170="moeda")+(Inputs!$G$5:$G$170="acoes"))*Inputs!$B$1+((Inputs!$G$5:$G$170&lt;&gt;"moeda")*(Inputs!$G$5:$G$170&lt;&gt;"acoes")))*INDEX(Inputs!$K$5:$AJ$170,0,MATCH(D$2,Inputs!$K$4:$AJ$4,0)))+SUMPRODUCT((Inputs!$E$5:$E$170=$B44)*Inputs!$F$5:$F$170*(((Inputs!$G$5:$G$170="moeda")+(Inputs!$G$5:$G$170="acoes"))*Inputs!$B$1+((Inputs!$G$5:$G$170&lt;&gt;"moeda")*(Inputs!$G$5:$G$170&lt;&gt;"acoes")))*INDEX(Inputs!$K$5:$AJ$170,0,MATCH(D$2,Inputs!$K$4:$AJ$4,0)))))</f>
        <v>-23.377</v>
      </c>
      <c r="E44" s="6">
        <f>IF(ISNA(MATCH(E$2,Inputs!$K$4:$AJ$4,0)),NA(),IF(SUMPRODUCT((Inputs!$A$5:$A$170=$B44)*ISNUMBER(INDEX(Inputs!$K$5:$AJ$170,0,MATCH(E$2,Inputs!$K$4:$AJ$4,0))))+SUMPRODUCT((Inputs!$C$5:$C$170=$B44)*ISNUMBER(INDEX(Inputs!$K$5:$AJ$170,0,MATCH(E$2,Inputs!$K$4:$AJ$4,0))))+SUMPRODUCT((Inputs!$E$5:$E$170=$B44)*ISNUMBER(INDEX(Inputs!$K$5:$AJ$170,0,MATCH(E$2,Inputs!$K$4:$AJ$4,0))))=0,NA(),SUMPRODUCT((Inputs!$A$5:$A$170=$B44)*Inputs!$B$5:$B$170*(((Inputs!$G$5:$G$170="moeda")+(Inputs!$G$5:$G$170="acoes"))*Inputs!$B$1+((Inputs!$G$5:$G$170&lt;&gt;"moeda")*(Inputs!$G$5:$G$170&lt;&gt;"acoes")))*INDEX(Inputs!$K$5:$AJ$170,0,MATCH(E$2,Inputs!$K$4:$AJ$4,0)))+SUMPRODUCT((Inputs!$C$5:$C$170=$B44)*Inputs!$D$5:$D$170*(((Inputs!$G$5:$G$170="moeda")+(Inputs!$G$5:$G$170="acoes"))*Inputs!$B$1+((Inputs!$G$5:$G$170&lt;&gt;"moeda")*(Inputs!$G$5:$G$170&lt;&gt;"acoes")))*INDEX(Inputs!$K$5:$AJ$170,0,MATCH(E$2,Inputs!$K$4:$AJ$4,0)))+SUMPRODUCT((Inputs!$E$5:$E$170=$B44)*Inputs!$F$5:$F$170*(((Inputs!$G$5:$G$170="moeda")+(Inputs!$G$5:$G$170="acoes"))*Inputs!$B$1+((Inputs!$G$5:$G$170&lt;&gt;"moeda")*(Inputs!$G$5:$G$170&lt;&gt;"acoes")))*INDEX(Inputs!$K$5:$AJ$170,0,MATCH(E$2,Inputs!$K$4:$AJ$4,0)))))</f>
        <v>-27.166</v>
      </c>
      <c r="F44" s="6">
        <f>IF(ISNA(MATCH(F$2,Inputs!$K$4:$AJ$4,0)),NA(),IF(SUMPRODUCT((Inputs!$A$5:$A$170=$B44)*ISNUMBER(INDEX(Inputs!$K$5:$AJ$170,0,MATCH(F$2,Inputs!$K$4:$AJ$4,0))))+SUMPRODUCT((Inputs!$C$5:$C$170=$B44)*ISNUMBER(INDEX(Inputs!$K$5:$AJ$170,0,MATCH(F$2,Inputs!$K$4:$AJ$4,0))))+SUMPRODUCT((Inputs!$E$5:$E$170=$B44)*ISNUMBER(INDEX(Inputs!$K$5:$AJ$170,0,MATCH(F$2,Inputs!$K$4:$AJ$4,0))))=0,NA(),SUMPRODUCT((Inputs!$A$5:$A$170=$B44)*Inputs!$B$5:$B$170*(((Inputs!$G$5:$G$170="moeda")+(Inputs!$G$5:$G$170="acoes"))*Inputs!$B$1+((Inputs!$G$5:$G$170&lt;&gt;"moeda")*(Inputs!$G$5:$G$170&lt;&gt;"acoes")))*INDEX(Inputs!$K$5:$AJ$170,0,MATCH(F$2,Inputs!$K$4:$AJ$4,0)))+SUMPRODUCT((Inputs!$C$5:$C$170=$B44)*Inputs!$D$5:$D$170*(((Inputs!$G$5:$G$170="moeda")+(Inputs!$G$5:$G$170="acoes"))*Inputs!$B$1+((Inputs!$G$5:$G$170&lt;&gt;"moeda")*(Inputs!$G$5:$G$170&lt;&gt;"acoes")))*INDEX(Inputs!$K$5:$AJ$170,0,MATCH(F$2,Inputs!$K$4:$AJ$4,0)))+SUMPRODUCT((Inputs!$E$5:$E$170=$B44)*Inputs!$F$5:$F$170*(((Inputs!$G$5:$G$170="moeda")+(Inputs!$G$5:$G$170="acoes"))*Inputs!$B$1+((Inputs!$G$5:$G$170&lt;&gt;"moeda")*(Inputs!$G$5:$G$170&lt;&gt;"acoes")))*INDEX(Inputs!$K$5:$AJ$170,0,MATCH(F$2,Inputs!$K$4:$AJ$4,0)))))</f>
        <v>-12.509</v>
      </c>
      <c r="G44" s="6">
        <f>IF(ISNA(MATCH(G$2,Inputs!$K$4:$AJ$4,0)),NA(),IF(SUMPRODUCT((Inputs!$A$5:$A$170=$B44)*ISNUMBER(INDEX(Inputs!$K$5:$AJ$170,0,MATCH(G$2,Inputs!$K$4:$AJ$4,0))))+SUMPRODUCT((Inputs!$C$5:$C$170=$B44)*ISNUMBER(INDEX(Inputs!$K$5:$AJ$170,0,MATCH(G$2,Inputs!$K$4:$AJ$4,0))))+SUMPRODUCT((Inputs!$E$5:$E$170=$B44)*ISNUMBER(INDEX(Inputs!$K$5:$AJ$170,0,MATCH(G$2,Inputs!$K$4:$AJ$4,0))))=0,NA(),SUMPRODUCT((Inputs!$A$5:$A$170=$B44)*Inputs!$B$5:$B$170*(((Inputs!$G$5:$G$170="moeda")+(Inputs!$G$5:$G$170="acoes"))*Inputs!$B$1+((Inputs!$G$5:$G$170&lt;&gt;"moeda")*(Inputs!$G$5:$G$170&lt;&gt;"acoes")))*INDEX(Inputs!$K$5:$AJ$170,0,MATCH(G$2,Inputs!$K$4:$AJ$4,0)))+SUMPRODUCT((Inputs!$C$5:$C$170=$B44)*Inputs!$D$5:$D$170*(((Inputs!$G$5:$G$170="moeda")+(Inputs!$G$5:$G$170="acoes"))*Inputs!$B$1+((Inputs!$G$5:$G$170&lt;&gt;"moeda")*(Inputs!$G$5:$G$170&lt;&gt;"acoes")))*INDEX(Inputs!$K$5:$AJ$170,0,MATCH(G$2,Inputs!$K$4:$AJ$4,0)))+SUMPRODUCT((Inputs!$E$5:$E$170=$B44)*Inputs!$F$5:$F$170*(((Inputs!$G$5:$G$170="moeda")+(Inputs!$G$5:$G$170="acoes"))*Inputs!$B$1+((Inputs!$G$5:$G$170&lt;&gt;"moeda")*(Inputs!$G$5:$G$170&lt;&gt;"acoes")))*INDEX(Inputs!$K$5:$AJ$170,0,MATCH(G$2,Inputs!$K$4:$AJ$4,0)))))</f>
        <v>-12.639</v>
      </c>
      <c r="H44" s="3">
        <f>G44</f>
        <v>-12.639</v>
      </c>
      <c r="I44" s="6">
        <f>IF(ISNA(MATCH(I$2,Inputs!$K$4:$AJ$4,0)),NA(),IF(SUMPRODUCT((Inputs!$A$5:$A$170=$B44)*ISNUMBER(INDEX(Inputs!$K$5:$AJ$170,0,MATCH(I$2,Inputs!$K$4:$AJ$4,0))))+SUMPRODUCT((Inputs!$C$5:$C$170=$B44)*ISNUMBER(INDEX(Inputs!$K$5:$AJ$170,0,MATCH(I$2,Inputs!$K$4:$AJ$4,0))))+SUMPRODUCT((Inputs!$E$5:$E$170=$B44)*ISNUMBER(INDEX(Inputs!$K$5:$AJ$170,0,MATCH(I$2,Inputs!$K$4:$AJ$4,0))))=0,NA(),SUMPRODUCT((Inputs!$A$5:$A$170=$B44)*Inputs!$B$5:$B$170*(((Inputs!$G$5:$G$170="moeda")+(Inputs!$G$5:$G$170="acoes"))*Inputs!$B$1+((Inputs!$G$5:$G$170&lt;&gt;"moeda")*(Inputs!$G$5:$G$170&lt;&gt;"acoes")))*INDEX(Inputs!$K$5:$AJ$170,0,MATCH(I$2,Inputs!$K$4:$AJ$4,0)))+SUMPRODUCT((Inputs!$C$5:$C$170=$B44)*Inputs!$D$5:$D$170*(((Inputs!$G$5:$G$170="moeda")+(Inputs!$G$5:$G$170="acoes"))*Inputs!$B$1+((Inputs!$G$5:$G$170&lt;&gt;"moeda")*(Inputs!$G$5:$G$170&lt;&gt;"acoes")))*INDEX(Inputs!$K$5:$AJ$170,0,MATCH(I$2,Inputs!$K$4:$AJ$4,0)))+SUMPRODUCT((Inputs!$E$5:$E$170=$B44)*Inputs!$F$5:$F$170*(((Inputs!$G$5:$G$170="moeda")+(Inputs!$G$5:$G$170="acoes"))*Inputs!$B$1+((Inputs!$G$5:$G$170&lt;&gt;"moeda")*(Inputs!$G$5:$G$170&lt;&gt;"acoes")))*INDEX(Inputs!$K$5:$AJ$170,0,MATCH(I$2,Inputs!$K$4:$AJ$4,0)))))</f>
        <v>-12.649</v>
      </c>
      <c r="J44" s="6">
        <f>IF(ISNA(MATCH(J$2,Inputs!$K$4:$AJ$4,0)),NA(),IF(SUMPRODUCT((Inputs!$A$5:$A$170=$B44)*ISNUMBER(INDEX(Inputs!$K$5:$AJ$170,0,MATCH(J$2,Inputs!$K$4:$AJ$4,0))))+SUMPRODUCT((Inputs!$C$5:$C$170=$B44)*ISNUMBER(INDEX(Inputs!$K$5:$AJ$170,0,MATCH(J$2,Inputs!$K$4:$AJ$4,0))))+SUMPRODUCT((Inputs!$E$5:$E$170=$B44)*ISNUMBER(INDEX(Inputs!$K$5:$AJ$170,0,MATCH(J$2,Inputs!$K$4:$AJ$4,0))))=0,NA(),SUMPRODUCT((Inputs!$A$5:$A$170=$B44)*Inputs!$B$5:$B$170*(((Inputs!$G$5:$G$170="moeda")+(Inputs!$G$5:$G$170="acoes"))*Inputs!$B$1+((Inputs!$G$5:$G$170&lt;&gt;"moeda")*(Inputs!$G$5:$G$170&lt;&gt;"acoes")))*INDEX(Inputs!$K$5:$AJ$170,0,MATCH(J$2,Inputs!$K$4:$AJ$4,0)))+SUMPRODUCT((Inputs!$C$5:$C$170=$B44)*Inputs!$D$5:$D$170*(((Inputs!$G$5:$G$170="moeda")+(Inputs!$G$5:$G$170="acoes"))*Inputs!$B$1+((Inputs!$G$5:$G$170&lt;&gt;"moeda")*(Inputs!$G$5:$G$170&lt;&gt;"acoes")))*INDEX(Inputs!$K$5:$AJ$170,0,MATCH(J$2,Inputs!$K$4:$AJ$4,0)))+SUMPRODUCT((Inputs!$E$5:$E$170=$B44)*Inputs!$F$5:$F$170*(((Inputs!$G$5:$G$170="moeda")+(Inputs!$G$5:$G$170="acoes"))*Inputs!$B$1+((Inputs!$G$5:$G$170&lt;&gt;"moeda")*(Inputs!$G$5:$G$170&lt;&gt;"acoes")))*INDEX(Inputs!$K$5:$AJ$170,0,MATCH(J$2,Inputs!$K$4:$AJ$4,0)))))</f>
        <v>-13.53</v>
      </c>
      <c r="K44" s="6">
        <f>IF(ISNA(MATCH(K$2,Inputs!$K$4:$AJ$4,0)),NA(),IF(SUMPRODUCT((Inputs!$A$5:$A$170=$B44)*ISNUMBER(INDEX(Inputs!$K$5:$AJ$170,0,MATCH(K$2,Inputs!$K$4:$AJ$4,0))))+SUMPRODUCT((Inputs!$C$5:$C$170=$B44)*ISNUMBER(INDEX(Inputs!$K$5:$AJ$170,0,MATCH(K$2,Inputs!$K$4:$AJ$4,0))))+SUMPRODUCT((Inputs!$E$5:$E$170=$B44)*ISNUMBER(INDEX(Inputs!$K$5:$AJ$170,0,MATCH(K$2,Inputs!$K$4:$AJ$4,0))))=0,NA(),SUMPRODUCT((Inputs!$A$5:$A$170=$B44)*Inputs!$B$5:$B$170*(((Inputs!$G$5:$G$170="moeda")+(Inputs!$G$5:$G$170="acoes"))*Inputs!$B$1+((Inputs!$G$5:$G$170&lt;&gt;"moeda")*(Inputs!$G$5:$G$170&lt;&gt;"acoes")))*INDEX(Inputs!$K$5:$AJ$170,0,MATCH(K$2,Inputs!$K$4:$AJ$4,0)))+SUMPRODUCT((Inputs!$C$5:$C$170=$B44)*Inputs!$D$5:$D$170*(((Inputs!$G$5:$G$170="moeda")+(Inputs!$G$5:$G$170="acoes"))*Inputs!$B$1+((Inputs!$G$5:$G$170&lt;&gt;"moeda")*(Inputs!$G$5:$G$170&lt;&gt;"acoes")))*INDEX(Inputs!$K$5:$AJ$170,0,MATCH(K$2,Inputs!$K$4:$AJ$4,0)))+SUMPRODUCT((Inputs!$E$5:$E$170=$B44)*Inputs!$F$5:$F$170*(((Inputs!$G$5:$G$170="moeda")+(Inputs!$G$5:$G$170="acoes"))*Inputs!$B$1+((Inputs!$G$5:$G$170&lt;&gt;"moeda")*(Inputs!$G$5:$G$170&lt;&gt;"acoes")))*INDEX(Inputs!$K$5:$AJ$170,0,MATCH(K$2,Inputs!$K$4:$AJ$4,0)))))</f>
        <v>-14.41</v>
      </c>
      <c r="L44" s="6">
        <f>IF(ISNA(MATCH(L$2,Inputs!$K$4:$AJ$4,0)),NA(),IF(SUMPRODUCT((Inputs!$A$5:$A$170=$B44)*ISNUMBER(INDEX(Inputs!$K$5:$AJ$170,0,MATCH(L$2,Inputs!$K$4:$AJ$4,0))))+SUMPRODUCT((Inputs!$C$5:$C$170=$B44)*ISNUMBER(INDEX(Inputs!$K$5:$AJ$170,0,MATCH(L$2,Inputs!$K$4:$AJ$4,0))))+SUMPRODUCT((Inputs!$E$5:$E$170=$B44)*ISNUMBER(INDEX(Inputs!$K$5:$AJ$170,0,MATCH(L$2,Inputs!$K$4:$AJ$4,0))))=0,NA(),SUMPRODUCT((Inputs!$A$5:$A$170=$B44)*Inputs!$B$5:$B$170*(((Inputs!$G$5:$G$170="moeda")+(Inputs!$G$5:$G$170="acoes"))*Inputs!$B$1+((Inputs!$G$5:$G$170&lt;&gt;"moeda")*(Inputs!$G$5:$G$170&lt;&gt;"acoes")))*INDEX(Inputs!$K$5:$AJ$170,0,MATCH(L$2,Inputs!$K$4:$AJ$4,0)))+SUMPRODUCT((Inputs!$C$5:$C$170=$B44)*Inputs!$D$5:$D$170*(((Inputs!$G$5:$G$170="moeda")+(Inputs!$G$5:$G$170="acoes"))*Inputs!$B$1+((Inputs!$G$5:$G$170&lt;&gt;"moeda")*(Inputs!$G$5:$G$170&lt;&gt;"acoes")))*INDEX(Inputs!$K$5:$AJ$170,0,MATCH(L$2,Inputs!$K$4:$AJ$4,0)))+SUMPRODUCT((Inputs!$E$5:$E$170=$B44)*Inputs!$F$5:$F$170*(((Inputs!$G$5:$G$170="moeda")+(Inputs!$G$5:$G$170="acoes"))*Inputs!$B$1+((Inputs!$G$5:$G$170&lt;&gt;"moeda")*(Inputs!$G$5:$G$170&lt;&gt;"acoes")))*INDEX(Inputs!$K$5:$AJ$170,0,MATCH(L$2,Inputs!$K$4:$AJ$4,0)))))</f>
        <v>-14.419</v>
      </c>
      <c r="M44" s="3">
        <f>L44</f>
        <v>-14.419</v>
      </c>
      <c r="N44" s="6">
        <f>IF(ISNA(MATCH(N$2,Inputs!$K$4:$AJ$4,0)),NA(),IF(SUMPRODUCT((Inputs!$A$5:$A$170=$B44)*ISNUMBER(INDEX(Inputs!$K$5:$AJ$170,0,MATCH(N$2,Inputs!$K$4:$AJ$4,0))))+SUMPRODUCT((Inputs!$C$5:$C$170=$B44)*ISNUMBER(INDEX(Inputs!$K$5:$AJ$170,0,MATCH(N$2,Inputs!$K$4:$AJ$4,0))))+SUMPRODUCT((Inputs!$E$5:$E$170=$B44)*ISNUMBER(INDEX(Inputs!$K$5:$AJ$170,0,MATCH(N$2,Inputs!$K$4:$AJ$4,0))))=0,NA(),SUMPRODUCT((Inputs!$A$5:$A$170=$B44)*Inputs!$B$5:$B$170*(((Inputs!$G$5:$G$170="moeda")+(Inputs!$G$5:$G$170="acoes"))*Inputs!$B$1+((Inputs!$G$5:$G$170&lt;&gt;"moeda")*(Inputs!$G$5:$G$170&lt;&gt;"acoes")))*INDEX(Inputs!$K$5:$AJ$170,0,MATCH(N$2,Inputs!$K$4:$AJ$4,0)))+SUMPRODUCT((Inputs!$C$5:$C$170=$B44)*Inputs!$D$5:$D$170*(((Inputs!$G$5:$G$170="moeda")+(Inputs!$G$5:$G$170="acoes"))*Inputs!$B$1+((Inputs!$G$5:$G$170&lt;&gt;"moeda")*(Inputs!$G$5:$G$170&lt;&gt;"acoes")))*INDEX(Inputs!$K$5:$AJ$170,0,MATCH(N$2,Inputs!$K$4:$AJ$4,0)))+SUMPRODUCT((Inputs!$E$5:$E$170=$B44)*Inputs!$F$5:$F$170*(((Inputs!$G$5:$G$170="moeda")+(Inputs!$G$5:$G$170="acoes"))*Inputs!$B$1+((Inputs!$G$5:$G$170&lt;&gt;"moeda")*(Inputs!$G$5:$G$170&lt;&gt;"acoes")))*INDEX(Inputs!$K$5:$AJ$170,0,MATCH(N$2,Inputs!$K$4:$AJ$4,0)))))</f>
        <v>-29.946</v>
      </c>
      <c r="O44" s="6">
        <f>IF(ISNA(MATCH(O$2,Inputs!$K$4:$AJ$4,0)),NA(),IF(SUMPRODUCT((Inputs!$A$5:$A$170=$B44)*ISNUMBER(INDEX(Inputs!$K$5:$AJ$170,0,MATCH(O$2,Inputs!$K$4:$AJ$4,0))))+SUMPRODUCT((Inputs!$C$5:$C$170=$B44)*ISNUMBER(INDEX(Inputs!$K$5:$AJ$170,0,MATCH(O$2,Inputs!$K$4:$AJ$4,0))))+SUMPRODUCT((Inputs!$E$5:$E$170=$B44)*ISNUMBER(INDEX(Inputs!$K$5:$AJ$170,0,MATCH(O$2,Inputs!$K$4:$AJ$4,0))))=0,NA(),SUMPRODUCT((Inputs!$A$5:$A$170=$B44)*Inputs!$B$5:$B$170*(((Inputs!$G$5:$G$170="moeda")+(Inputs!$G$5:$G$170="acoes"))*Inputs!$B$1+((Inputs!$G$5:$G$170&lt;&gt;"moeda")*(Inputs!$G$5:$G$170&lt;&gt;"acoes")))*INDEX(Inputs!$K$5:$AJ$170,0,MATCH(O$2,Inputs!$K$4:$AJ$4,0)))+SUMPRODUCT((Inputs!$C$5:$C$170=$B44)*Inputs!$D$5:$D$170*(((Inputs!$G$5:$G$170="moeda")+(Inputs!$G$5:$G$170="acoes"))*Inputs!$B$1+((Inputs!$G$5:$G$170&lt;&gt;"moeda")*(Inputs!$G$5:$G$170&lt;&gt;"acoes")))*INDEX(Inputs!$K$5:$AJ$170,0,MATCH(O$2,Inputs!$K$4:$AJ$4,0)))+SUMPRODUCT((Inputs!$E$5:$E$170=$B44)*Inputs!$F$5:$F$170*(((Inputs!$G$5:$G$170="moeda")+(Inputs!$G$5:$G$170="acoes"))*Inputs!$B$1+((Inputs!$G$5:$G$170&lt;&gt;"moeda")*(Inputs!$G$5:$G$170&lt;&gt;"acoes")))*INDEX(Inputs!$K$5:$AJ$170,0,MATCH(O$2,Inputs!$K$4:$AJ$4,0)))))</f>
        <v>-29.97</v>
      </c>
      <c r="P44" s="6">
        <f>IF(ISNA(MATCH(P$2,Inputs!$K$4:$AJ$4,0)),NA(),IF(SUMPRODUCT((Inputs!$A$5:$A$170=$B44)*ISNUMBER(INDEX(Inputs!$K$5:$AJ$170,0,MATCH(P$2,Inputs!$K$4:$AJ$4,0))))+SUMPRODUCT((Inputs!$C$5:$C$170=$B44)*ISNUMBER(INDEX(Inputs!$K$5:$AJ$170,0,MATCH(P$2,Inputs!$K$4:$AJ$4,0))))+SUMPRODUCT((Inputs!$E$5:$E$170=$B44)*ISNUMBER(INDEX(Inputs!$K$5:$AJ$170,0,MATCH(P$2,Inputs!$K$4:$AJ$4,0))))=0,NA(),SUMPRODUCT((Inputs!$A$5:$A$170=$B44)*Inputs!$B$5:$B$170*(((Inputs!$G$5:$G$170="moeda")+(Inputs!$G$5:$G$170="acoes"))*Inputs!$B$1+((Inputs!$G$5:$G$170&lt;&gt;"moeda")*(Inputs!$G$5:$G$170&lt;&gt;"acoes")))*INDEX(Inputs!$K$5:$AJ$170,0,MATCH(P$2,Inputs!$K$4:$AJ$4,0)))+SUMPRODUCT((Inputs!$C$5:$C$170=$B44)*Inputs!$D$5:$D$170*(((Inputs!$G$5:$G$170="moeda")+(Inputs!$G$5:$G$170="acoes"))*Inputs!$B$1+((Inputs!$G$5:$G$170&lt;&gt;"moeda")*(Inputs!$G$5:$G$170&lt;&gt;"acoes")))*INDEX(Inputs!$K$5:$AJ$170,0,MATCH(P$2,Inputs!$K$4:$AJ$4,0)))+SUMPRODUCT((Inputs!$E$5:$E$170=$B44)*Inputs!$F$5:$F$170*(((Inputs!$G$5:$G$170="moeda")+(Inputs!$G$5:$G$170="acoes"))*Inputs!$B$1+((Inputs!$G$5:$G$170&lt;&gt;"moeda")*(Inputs!$G$5:$G$170&lt;&gt;"acoes")))*INDEX(Inputs!$K$5:$AJ$170,0,MATCH(P$2,Inputs!$K$4:$AJ$4,0)))))</f>
        <v>-30.106</v>
      </c>
      <c r="Q44" s="6">
        <f>IF(ISNA(MATCH(Q$2,Inputs!$K$4:$AJ$4,0)),NA(),IF(SUMPRODUCT((Inputs!$A$5:$A$170=$B44)*ISNUMBER(INDEX(Inputs!$K$5:$AJ$170,0,MATCH(Q$2,Inputs!$K$4:$AJ$4,0))))+SUMPRODUCT((Inputs!$C$5:$C$170=$B44)*ISNUMBER(INDEX(Inputs!$K$5:$AJ$170,0,MATCH(Q$2,Inputs!$K$4:$AJ$4,0))))+SUMPRODUCT((Inputs!$E$5:$E$170=$B44)*ISNUMBER(INDEX(Inputs!$K$5:$AJ$170,0,MATCH(Q$2,Inputs!$K$4:$AJ$4,0))))=0,NA(),SUMPRODUCT((Inputs!$A$5:$A$170=$B44)*Inputs!$B$5:$B$170*(((Inputs!$G$5:$G$170="moeda")+(Inputs!$G$5:$G$170="acoes"))*Inputs!$B$1+((Inputs!$G$5:$G$170&lt;&gt;"moeda")*(Inputs!$G$5:$G$170&lt;&gt;"acoes")))*INDEX(Inputs!$K$5:$AJ$170,0,MATCH(Q$2,Inputs!$K$4:$AJ$4,0)))+SUMPRODUCT((Inputs!$C$5:$C$170=$B44)*Inputs!$D$5:$D$170*(((Inputs!$G$5:$G$170="moeda")+(Inputs!$G$5:$G$170="acoes"))*Inputs!$B$1+((Inputs!$G$5:$G$170&lt;&gt;"moeda")*(Inputs!$G$5:$G$170&lt;&gt;"acoes")))*INDEX(Inputs!$K$5:$AJ$170,0,MATCH(Q$2,Inputs!$K$4:$AJ$4,0)))+SUMPRODUCT((Inputs!$E$5:$E$170=$B44)*Inputs!$F$5:$F$170*(((Inputs!$G$5:$G$170="moeda")+(Inputs!$G$5:$G$170="acoes"))*Inputs!$B$1+((Inputs!$G$5:$G$170&lt;&gt;"moeda")*(Inputs!$G$5:$G$170&lt;&gt;"acoes")))*INDEX(Inputs!$K$5:$AJ$170,0,MATCH(Q$2,Inputs!$K$4:$AJ$4,0)))))</f>
        <v>-50.667</v>
      </c>
      <c r="R44" s="3">
        <f>Q44</f>
        <v>-50.667</v>
      </c>
      <c r="S44" s="6">
        <f>IF(ISNA(MATCH(S$2,Inputs!$K$4:$AJ$4,0)),NA(),IF(SUMPRODUCT((Inputs!$A$5:$A$170=$B44)*ISNUMBER(INDEX(Inputs!$K$5:$AJ$170,0,MATCH(S$2,Inputs!$K$4:$AJ$4,0))))+SUMPRODUCT((Inputs!$C$5:$C$170=$B44)*ISNUMBER(INDEX(Inputs!$K$5:$AJ$170,0,MATCH(S$2,Inputs!$K$4:$AJ$4,0))))+SUMPRODUCT((Inputs!$E$5:$E$170=$B44)*ISNUMBER(INDEX(Inputs!$K$5:$AJ$170,0,MATCH(S$2,Inputs!$K$4:$AJ$4,0))))=0,NA(),SUMPRODUCT((Inputs!$A$5:$A$170=$B44)*Inputs!$B$5:$B$170*(((Inputs!$G$5:$G$170="moeda")+(Inputs!$G$5:$G$170="acoes"))*Inputs!$B$1+((Inputs!$G$5:$G$170&lt;&gt;"moeda")*(Inputs!$G$5:$G$170&lt;&gt;"acoes")))*INDEX(Inputs!$K$5:$AJ$170,0,MATCH(S$2,Inputs!$K$4:$AJ$4,0)))+SUMPRODUCT((Inputs!$C$5:$C$170=$B44)*Inputs!$D$5:$D$170*(((Inputs!$G$5:$G$170="moeda")+(Inputs!$G$5:$G$170="acoes"))*Inputs!$B$1+((Inputs!$G$5:$G$170&lt;&gt;"moeda")*(Inputs!$G$5:$G$170&lt;&gt;"acoes")))*INDEX(Inputs!$K$5:$AJ$170,0,MATCH(S$2,Inputs!$K$4:$AJ$4,0)))+SUMPRODUCT((Inputs!$E$5:$E$170=$B44)*Inputs!$F$5:$F$170*(((Inputs!$G$5:$G$170="moeda")+(Inputs!$G$5:$G$170="acoes"))*Inputs!$B$1+((Inputs!$G$5:$G$170&lt;&gt;"moeda")*(Inputs!$G$5:$G$170&lt;&gt;"acoes")))*INDEX(Inputs!$K$5:$AJ$170,0,MATCH(S$2,Inputs!$K$4:$AJ$4,0)))))</f>
        <v>-50.76</v>
      </c>
      <c r="T44" s="6">
        <f>IF(ISNA(MATCH(T$2,Inputs!$K$4:$AJ$4,0)),NA(),IF(SUMPRODUCT((Inputs!$A$5:$A$170=$B44)*ISNUMBER(INDEX(Inputs!$K$5:$AJ$170,0,MATCH(T$2,Inputs!$K$4:$AJ$4,0))))+SUMPRODUCT((Inputs!$C$5:$C$170=$B44)*ISNUMBER(INDEX(Inputs!$K$5:$AJ$170,0,MATCH(T$2,Inputs!$K$4:$AJ$4,0))))+SUMPRODUCT((Inputs!$E$5:$E$170=$B44)*ISNUMBER(INDEX(Inputs!$K$5:$AJ$170,0,MATCH(T$2,Inputs!$K$4:$AJ$4,0))))=0,NA(),SUMPRODUCT((Inputs!$A$5:$A$170=$B44)*Inputs!$B$5:$B$170*(((Inputs!$G$5:$G$170="moeda")+(Inputs!$G$5:$G$170="acoes"))*Inputs!$B$1+((Inputs!$G$5:$G$170&lt;&gt;"moeda")*(Inputs!$G$5:$G$170&lt;&gt;"acoes")))*INDEX(Inputs!$K$5:$AJ$170,0,MATCH(T$2,Inputs!$K$4:$AJ$4,0)))+SUMPRODUCT((Inputs!$C$5:$C$170=$B44)*Inputs!$D$5:$D$170*(((Inputs!$G$5:$G$170="moeda")+(Inputs!$G$5:$G$170="acoes"))*Inputs!$B$1+((Inputs!$G$5:$G$170&lt;&gt;"moeda")*(Inputs!$G$5:$G$170&lt;&gt;"acoes")))*INDEX(Inputs!$K$5:$AJ$170,0,MATCH(T$2,Inputs!$K$4:$AJ$4,0)))+SUMPRODUCT((Inputs!$E$5:$E$170=$B44)*Inputs!$F$5:$F$170*(((Inputs!$G$5:$G$170="moeda")+(Inputs!$G$5:$G$170="acoes"))*Inputs!$B$1+((Inputs!$G$5:$G$170&lt;&gt;"moeda")*(Inputs!$G$5:$G$170&lt;&gt;"acoes")))*INDEX(Inputs!$K$5:$AJ$170,0,MATCH(T$2,Inputs!$K$4:$AJ$4,0)))))</f>
        <v>-50.763</v>
      </c>
      <c r="U44" s="6">
        <f>IF(ISNA(MATCH(U$2,Inputs!$K$4:$AJ$4,0)),NA(),IF(SUMPRODUCT((Inputs!$A$5:$A$170=$B44)*ISNUMBER(INDEX(Inputs!$K$5:$AJ$170,0,MATCH(U$2,Inputs!$K$4:$AJ$4,0))))+SUMPRODUCT((Inputs!$C$5:$C$170=$B44)*ISNUMBER(INDEX(Inputs!$K$5:$AJ$170,0,MATCH(U$2,Inputs!$K$4:$AJ$4,0))))+SUMPRODUCT((Inputs!$E$5:$E$170=$B44)*ISNUMBER(INDEX(Inputs!$K$5:$AJ$170,0,MATCH(U$2,Inputs!$K$4:$AJ$4,0))))=0,NA(),SUMPRODUCT((Inputs!$A$5:$A$170=$B44)*Inputs!$B$5:$B$170*(((Inputs!$G$5:$G$170="moeda")+(Inputs!$G$5:$G$170="acoes"))*Inputs!$B$1+((Inputs!$G$5:$G$170&lt;&gt;"moeda")*(Inputs!$G$5:$G$170&lt;&gt;"acoes")))*INDEX(Inputs!$K$5:$AJ$170,0,MATCH(U$2,Inputs!$K$4:$AJ$4,0)))+SUMPRODUCT((Inputs!$C$5:$C$170=$B44)*Inputs!$D$5:$D$170*(((Inputs!$G$5:$G$170="moeda")+(Inputs!$G$5:$G$170="acoes"))*Inputs!$B$1+((Inputs!$G$5:$G$170&lt;&gt;"moeda")*(Inputs!$G$5:$G$170&lt;&gt;"acoes")))*INDEX(Inputs!$K$5:$AJ$170,0,MATCH(U$2,Inputs!$K$4:$AJ$4,0)))+SUMPRODUCT((Inputs!$E$5:$E$170=$B44)*Inputs!$F$5:$F$170*(((Inputs!$G$5:$G$170="moeda")+(Inputs!$G$5:$G$170="acoes"))*Inputs!$B$1+((Inputs!$G$5:$G$170&lt;&gt;"moeda")*(Inputs!$G$5:$G$170&lt;&gt;"acoes")))*INDEX(Inputs!$K$5:$AJ$170,0,MATCH(U$2,Inputs!$K$4:$AJ$4,0)))))</f>
        <v>-50.78</v>
      </c>
      <c r="V44" s="6">
        <f>IF(ISNA(MATCH(V$2,Inputs!$K$4:$AJ$4,0)),NA(),IF(SUMPRODUCT((Inputs!$A$5:$A$170=$B44)*ISNUMBER(INDEX(Inputs!$K$5:$AJ$170,0,MATCH(V$2,Inputs!$K$4:$AJ$4,0))))+SUMPRODUCT((Inputs!$C$5:$C$170=$B44)*ISNUMBER(INDEX(Inputs!$K$5:$AJ$170,0,MATCH(V$2,Inputs!$K$4:$AJ$4,0))))+SUMPRODUCT((Inputs!$E$5:$E$170=$B44)*ISNUMBER(INDEX(Inputs!$K$5:$AJ$170,0,MATCH(V$2,Inputs!$K$4:$AJ$4,0))))=0,NA(),SUMPRODUCT((Inputs!$A$5:$A$170=$B44)*Inputs!$B$5:$B$170*(((Inputs!$G$5:$G$170="moeda")+(Inputs!$G$5:$G$170="acoes"))*Inputs!$B$1+((Inputs!$G$5:$G$170&lt;&gt;"moeda")*(Inputs!$G$5:$G$170&lt;&gt;"acoes")))*INDEX(Inputs!$K$5:$AJ$170,0,MATCH(V$2,Inputs!$K$4:$AJ$4,0)))+SUMPRODUCT((Inputs!$C$5:$C$170=$B44)*Inputs!$D$5:$D$170*(((Inputs!$G$5:$G$170="moeda")+(Inputs!$G$5:$G$170="acoes"))*Inputs!$B$1+((Inputs!$G$5:$G$170&lt;&gt;"moeda")*(Inputs!$G$5:$G$170&lt;&gt;"acoes")))*INDEX(Inputs!$K$5:$AJ$170,0,MATCH(V$2,Inputs!$K$4:$AJ$4,0)))+SUMPRODUCT((Inputs!$E$5:$E$170=$B44)*Inputs!$F$5:$F$170*(((Inputs!$G$5:$G$170="moeda")+(Inputs!$G$5:$G$170="acoes"))*Inputs!$B$1+((Inputs!$G$5:$G$170&lt;&gt;"moeda")*(Inputs!$G$5:$G$170&lt;&gt;"acoes")))*INDEX(Inputs!$K$5:$AJ$170,0,MATCH(V$2,Inputs!$K$4:$AJ$4,0)))))</f>
        <v>-50.803</v>
      </c>
      <c r="W44" s="3">
        <f>V44</f>
        <v>-50.803</v>
      </c>
      <c r="X44" s="6">
        <f>IF(ISNA(MATCH(X$2,Inputs!$K$4:$AJ$4,0)),NA(),IF(SUMPRODUCT((Inputs!$A$5:$A$170=$B44)*ISNUMBER(INDEX(Inputs!$K$5:$AJ$170,0,MATCH(X$2,Inputs!$K$4:$AJ$4,0))))+SUMPRODUCT((Inputs!$C$5:$C$170=$B44)*ISNUMBER(INDEX(Inputs!$K$5:$AJ$170,0,MATCH(X$2,Inputs!$K$4:$AJ$4,0))))+SUMPRODUCT((Inputs!$E$5:$E$170=$B44)*ISNUMBER(INDEX(Inputs!$K$5:$AJ$170,0,MATCH(X$2,Inputs!$K$4:$AJ$4,0))))=0,NA(),SUMPRODUCT((Inputs!$A$5:$A$170=$B44)*Inputs!$B$5:$B$170*(((Inputs!$G$5:$G$170="moeda")+(Inputs!$G$5:$G$170="acoes"))*Inputs!$B$1+((Inputs!$G$5:$G$170&lt;&gt;"moeda")*(Inputs!$G$5:$G$170&lt;&gt;"acoes")))*INDEX(Inputs!$K$5:$AJ$170,0,MATCH(X$2,Inputs!$K$4:$AJ$4,0)))+SUMPRODUCT((Inputs!$C$5:$C$170=$B44)*Inputs!$D$5:$D$170*(((Inputs!$G$5:$G$170="moeda")+(Inputs!$G$5:$G$170="acoes"))*Inputs!$B$1+((Inputs!$G$5:$G$170&lt;&gt;"moeda")*(Inputs!$G$5:$G$170&lt;&gt;"acoes")))*INDEX(Inputs!$K$5:$AJ$170,0,MATCH(X$2,Inputs!$K$4:$AJ$4,0)))+SUMPRODUCT((Inputs!$E$5:$E$170=$B44)*Inputs!$F$5:$F$170*(((Inputs!$G$5:$G$170="moeda")+(Inputs!$G$5:$G$170="acoes"))*Inputs!$B$1+((Inputs!$G$5:$G$170&lt;&gt;"moeda")*(Inputs!$G$5:$G$170&lt;&gt;"acoes")))*INDEX(Inputs!$K$5:$AJ$170,0,MATCH(X$2,Inputs!$K$4:$AJ$4,0)))))</f>
        <v>-82.243</v>
      </c>
      <c r="Y44" s="6">
        <f>IF(ISNA(MATCH(Y$2,Inputs!$K$4:$AJ$4,0)),NA(),IF(SUMPRODUCT((Inputs!$A$5:$A$170=$B44)*ISNUMBER(INDEX(Inputs!$K$5:$AJ$170,0,MATCH(Y$2,Inputs!$K$4:$AJ$4,0))))+SUMPRODUCT((Inputs!$C$5:$C$170=$B44)*ISNUMBER(INDEX(Inputs!$K$5:$AJ$170,0,MATCH(Y$2,Inputs!$K$4:$AJ$4,0))))+SUMPRODUCT((Inputs!$E$5:$E$170=$B44)*ISNUMBER(INDEX(Inputs!$K$5:$AJ$170,0,MATCH(Y$2,Inputs!$K$4:$AJ$4,0))))=0,NA(),SUMPRODUCT((Inputs!$A$5:$A$170=$B44)*Inputs!$B$5:$B$170*(((Inputs!$G$5:$G$170="moeda")+(Inputs!$G$5:$G$170="acoes"))*Inputs!$B$1+((Inputs!$G$5:$G$170&lt;&gt;"moeda")*(Inputs!$G$5:$G$170&lt;&gt;"acoes")))*INDEX(Inputs!$K$5:$AJ$170,0,MATCH(Y$2,Inputs!$K$4:$AJ$4,0)))+SUMPRODUCT((Inputs!$C$5:$C$170=$B44)*Inputs!$D$5:$D$170*(((Inputs!$G$5:$G$170="moeda")+(Inputs!$G$5:$G$170="acoes"))*Inputs!$B$1+((Inputs!$G$5:$G$170&lt;&gt;"moeda")*(Inputs!$G$5:$G$170&lt;&gt;"acoes")))*INDEX(Inputs!$K$5:$AJ$170,0,MATCH(Y$2,Inputs!$K$4:$AJ$4,0)))+SUMPRODUCT((Inputs!$E$5:$E$170=$B44)*Inputs!$F$5:$F$170*(((Inputs!$G$5:$G$170="moeda")+(Inputs!$G$5:$G$170="acoes"))*Inputs!$B$1+((Inputs!$G$5:$G$170&lt;&gt;"moeda")*(Inputs!$G$5:$G$170&lt;&gt;"acoes")))*INDEX(Inputs!$K$5:$AJ$170,0,MATCH(Y$2,Inputs!$K$4:$AJ$4,0)))))</f>
        <v>-124.687</v>
      </c>
      <c r="Z44" s="6">
        <f>IF(ISNA(MATCH(Z$2,Inputs!$K$4:$AJ$4,0)),NA(),IF(SUMPRODUCT((Inputs!$A$5:$A$170=$B44)*ISNUMBER(INDEX(Inputs!$K$5:$AJ$170,0,MATCH(Z$2,Inputs!$K$4:$AJ$4,0))))+SUMPRODUCT((Inputs!$C$5:$C$170=$B44)*ISNUMBER(INDEX(Inputs!$K$5:$AJ$170,0,MATCH(Z$2,Inputs!$K$4:$AJ$4,0))))+SUMPRODUCT((Inputs!$E$5:$E$170=$B44)*ISNUMBER(INDEX(Inputs!$K$5:$AJ$170,0,MATCH(Z$2,Inputs!$K$4:$AJ$4,0))))=0,NA(),SUMPRODUCT((Inputs!$A$5:$A$170=$B44)*Inputs!$B$5:$B$170*(((Inputs!$G$5:$G$170="moeda")+(Inputs!$G$5:$G$170="acoes"))*Inputs!$B$1+((Inputs!$G$5:$G$170&lt;&gt;"moeda")*(Inputs!$G$5:$G$170&lt;&gt;"acoes")))*INDEX(Inputs!$K$5:$AJ$170,0,MATCH(Z$2,Inputs!$K$4:$AJ$4,0)))+SUMPRODUCT((Inputs!$C$5:$C$170=$B44)*Inputs!$D$5:$D$170*(((Inputs!$G$5:$G$170="moeda")+(Inputs!$G$5:$G$170="acoes"))*Inputs!$B$1+((Inputs!$G$5:$G$170&lt;&gt;"moeda")*(Inputs!$G$5:$G$170&lt;&gt;"acoes")))*INDEX(Inputs!$K$5:$AJ$170,0,MATCH(Z$2,Inputs!$K$4:$AJ$4,0)))+SUMPRODUCT((Inputs!$E$5:$E$170=$B44)*Inputs!$F$5:$F$170*(((Inputs!$G$5:$G$170="moeda")+(Inputs!$G$5:$G$170="acoes"))*Inputs!$B$1+((Inputs!$G$5:$G$170&lt;&gt;"moeda")*(Inputs!$G$5:$G$170&lt;&gt;"acoes")))*INDEX(Inputs!$K$5:$AJ$170,0,MATCH(Z$2,Inputs!$K$4:$AJ$4,0)))))</f>
        <v>-145.608</v>
      </c>
      <c r="AA44" s="6">
        <f>IF(ISNA(MATCH(AA$2,Inputs!$K$4:$AJ$4,0)),NA(),IF(SUMPRODUCT((Inputs!$A$5:$A$170=$B44)*ISNUMBER(INDEX(Inputs!$K$5:$AJ$170,0,MATCH(AA$2,Inputs!$K$4:$AJ$4,0))))+SUMPRODUCT((Inputs!$C$5:$C$170=$B44)*ISNUMBER(INDEX(Inputs!$K$5:$AJ$170,0,MATCH(AA$2,Inputs!$K$4:$AJ$4,0))))+SUMPRODUCT((Inputs!$E$5:$E$170=$B44)*ISNUMBER(INDEX(Inputs!$K$5:$AJ$170,0,MATCH(AA$2,Inputs!$K$4:$AJ$4,0))))=0,NA(),SUMPRODUCT((Inputs!$A$5:$A$170=$B44)*Inputs!$B$5:$B$170*(((Inputs!$G$5:$G$170="moeda")+(Inputs!$G$5:$G$170="acoes"))*Inputs!$B$1+((Inputs!$G$5:$G$170&lt;&gt;"moeda")*(Inputs!$G$5:$G$170&lt;&gt;"acoes")))*INDEX(Inputs!$K$5:$AJ$170,0,MATCH(AA$2,Inputs!$K$4:$AJ$4,0)))+SUMPRODUCT((Inputs!$C$5:$C$170=$B44)*Inputs!$D$5:$D$170*(((Inputs!$G$5:$G$170="moeda")+(Inputs!$G$5:$G$170="acoes"))*Inputs!$B$1+((Inputs!$G$5:$G$170&lt;&gt;"moeda")*(Inputs!$G$5:$G$170&lt;&gt;"acoes")))*INDEX(Inputs!$K$5:$AJ$170,0,MATCH(AA$2,Inputs!$K$4:$AJ$4,0)))+SUMPRODUCT((Inputs!$E$5:$E$170=$B44)*Inputs!$F$5:$F$170*(((Inputs!$G$5:$G$170="moeda")+(Inputs!$G$5:$G$170="acoes"))*Inputs!$B$1+((Inputs!$G$5:$G$170&lt;&gt;"moeda")*(Inputs!$G$5:$G$170&lt;&gt;"acoes")))*INDEX(Inputs!$K$5:$AJ$170,0,MATCH(AA$2,Inputs!$K$4:$AJ$4,0)))))</f>
        <v>-153.531</v>
      </c>
      <c r="AB44" s="3">
        <f>AA44</f>
        <v>-153.531</v>
      </c>
      <c r="AC44" s="6">
        <f>IF(ISNA(MATCH(AC$2,Inputs!$K$4:$AJ$4,0)),NA(),IF(SUMPRODUCT((Inputs!$A$5:$A$170=$B44)*ISNUMBER(INDEX(Inputs!$K$5:$AJ$170,0,MATCH(AC$2,Inputs!$K$4:$AJ$4,0))))+SUMPRODUCT((Inputs!$C$5:$C$170=$B44)*ISNUMBER(INDEX(Inputs!$K$5:$AJ$170,0,MATCH(AC$2,Inputs!$K$4:$AJ$4,0))))+SUMPRODUCT((Inputs!$E$5:$E$170=$B44)*ISNUMBER(INDEX(Inputs!$K$5:$AJ$170,0,MATCH(AC$2,Inputs!$K$4:$AJ$4,0))))=0,NA(),SUMPRODUCT((Inputs!$A$5:$A$170=$B44)*Inputs!$B$5:$B$170*(((Inputs!$G$5:$G$170="moeda")+(Inputs!$G$5:$G$170="acoes"))*Inputs!$B$1+((Inputs!$G$5:$G$170&lt;&gt;"moeda")*(Inputs!$G$5:$G$170&lt;&gt;"acoes")))*INDEX(Inputs!$K$5:$AJ$170,0,MATCH(AC$2,Inputs!$K$4:$AJ$4,0)))+SUMPRODUCT((Inputs!$C$5:$C$170=$B44)*Inputs!$D$5:$D$170*(((Inputs!$G$5:$G$170="moeda")+(Inputs!$G$5:$G$170="acoes"))*Inputs!$B$1+((Inputs!$G$5:$G$170&lt;&gt;"moeda")*(Inputs!$G$5:$G$170&lt;&gt;"acoes")))*INDEX(Inputs!$K$5:$AJ$170,0,MATCH(AC$2,Inputs!$K$4:$AJ$4,0)))+SUMPRODUCT((Inputs!$E$5:$E$170=$B44)*Inputs!$F$5:$F$170*(((Inputs!$G$5:$G$170="moeda")+(Inputs!$G$5:$G$170="acoes"))*Inputs!$B$1+((Inputs!$G$5:$G$170&lt;&gt;"moeda")*(Inputs!$G$5:$G$170&lt;&gt;"acoes")))*INDEX(Inputs!$K$5:$AJ$170,0,MATCH(AC$2,Inputs!$K$4:$AJ$4,0)))))</f>
        <v>-2.564</v>
      </c>
      <c r="AD44" s="6">
        <f>IF(ISNA(MATCH(AD$2,Inputs!$K$4:$AJ$4,0)),NA(),IF(SUMPRODUCT((Inputs!$A$5:$A$170=$B44)*ISNUMBER(INDEX(Inputs!$K$5:$AJ$170,0,MATCH(AD$2,Inputs!$K$4:$AJ$4,0))))+SUMPRODUCT((Inputs!$C$5:$C$170=$B44)*ISNUMBER(INDEX(Inputs!$K$5:$AJ$170,0,MATCH(AD$2,Inputs!$K$4:$AJ$4,0))))+SUMPRODUCT((Inputs!$E$5:$E$170=$B44)*ISNUMBER(INDEX(Inputs!$K$5:$AJ$170,0,MATCH(AD$2,Inputs!$K$4:$AJ$4,0))))=0,NA(),SUMPRODUCT((Inputs!$A$5:$A$170=$B44)*Inputs!$B$5:$B$170*(((Inputs!$G$5:$G$170="moeda")+(Inputs!$G$5:$G$170="acoes"))*Inputs!$B$1+((Inputs!$G$5:$G$170&lt;&gt;"moeda")*(Inputs!$G$5:$G$170&lt;&gt;"acoes")))*INDEX(Inputs!$K$5:$AJ$170,0,MATCH(AD$2,Inputs!$K$4:$AJ$4,0)))+SUMPRODUCT((Inputs!$C$5:$C$170=$B44)*Inputs!$D$5:$D$170*(((Inputs!$G$5:$G$170="moeda")+(Inputs!$G$5:$G$170="acoes"))*Inputs!$B$1+((Inputs!$G$5:$G$170&lt;&gt;"moeda")*(Inputs!$G$5:$G$170&lt;&gt;"acoes")))*INDEX(Inputs!$K$5:$AJ$170,0,MATCH(AD$2,Inputs!$K$4:$AJ$4,0)))+SUMPRODUCT((Inputs!$E$5:$E$170=$B44)*Inputs!$F$5:$F$170*(((Inputs!$G$5:$G$170="moeda")+(Inputs!$G$5:$G$170="acoes"))*Inputs!$B$1+((Inputs!$G$5:$G$170&lt;&gt;"moeda")*(Inputs!$G$5:$G$170&lt;&gt;"acoes")))*INDEX(Inputs!$K$5:$AJ$170,0,MATCH(AD$2,Inputs!$K$4:$AJ$4,0)))))</f>
        <v>-13.542</v>
      </c>
      <c r="AE44" s="6" t="e">
        <f>IF(ISNA(MATCH(AE$2,Inputs!$K$4:$AJ$4,0)),NA(),IF(SUMPRODUCT((Inputs!$A$5:$A$170=$B44)*ISNUMBER(INDEX(Inputs!$K$5:$AJ$170,0,MATCH(AE$2,Inputs!$K$4:$AJ$4,0))))+SUMPRODUCT((Inputs!$C$5:$C$170=$B44)*ISNUMBER(INDEX(Inputs!$K$5:$AJ$170,0,MATCH(AE$2,Inputs!$K$4:$AJ$4,0))))+SUMPRODUCT((Inputs!$E$5:$E$170=$B44)*ISNUMBER(INDEX(Inputs!$K$5:$AJ$170,0,MATCH(AE$2,Inputs!$K$4:$AJ$4,0))))=0,NA(),SUMPRODUCT((Inputs!$A$5:$A$170=$B44)*Inputs!$B$5:$B$170*(((Inputs!$G$5:$G$170="moeda")+(Inputs!$G$5:$G$170="acoes"))*Inputs!$B$1+((Inputs!$G$5:$G$170&lt;&gt;"moeda")*(Inputs!$G$5:$G$170&lt;&gt;"acoes")))*INDEX(Inputs!$K$5:$AJ$170,0,MATCH(AE$2,Inputs!$K$4:$AJ$4,0)))+SUMPRODUCT((Inputs!$C$5:$C$170=$B44)*Inputs!$D$5:$D$170*(((Inputs!$G$5:$G$170="moeda")+(Inputs!$G$5:$G$170="acoes"))*Inputs!$B$1+((Inputs!$G$5:$G$170&lt;&gt;"moeda")*(Inputs!$G$5:$G$170&lt;&gt;"acoes")))*INDEX(Inputs!$K$5:$AJ$170,0,MATCH(AE$2,Inputs!$K$4:$AJ$4,0)))+SUMPRODUCT((Inputs!$E$5:$E$170=$B44)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4" s="6" t="e">
        <f>IF(ISNA(MATCH(AF$2,Inputs!$K$4:$AJ$4,0)),NA(),IF(SUMPRODUCT((Inputs!$A$5:$A$170=$B44)*ISNUMBER(INDEX(Inputs!$K$5:$AJ$170,0,MATCH(AF$2,Inputs!$K$4:$AJ$4,0))))+SUMPRODUCT((Inputs!$C$5:$C$170=$B44)*ISNUMBER(INDEX(Inputs!$K$5:$AJ$170,0,MATCH(AF$2,Inputs!$K$4:$AJ$4,0))))+SUMPRODUCT((Inputs!$E$5:$E$170=$B44)*ISNUMBER(INDEX(Inputs!$K$5:$AJ$170,0,MATCH(AF$2,Inputs!$K$4:$AJ$4,0))))=0,NA(),SUMPRODUCT((Inputs!$A$5:$A$170=$B44)*Inputs!$B$5:$B$170*(((Inputs!$G$5:$G$170="moeda")+(Inputs!$G$5:$G$170="acoes"))*Inputs!$B$1+((Inputs!$G$5:$G$170&lt;&gt;"moeda")*(Inputs!$G$5:$G$170&lt;&gt;"acoes")))*INDEX(Inputs!$K$5:$AJ$170,0,MATCH(AF$2,Inputs!$K$4:$AJ$4,0)))+SUMPRODUCT((Inputs!$C$5:$C$170=$B44)*Inputs!$D$5:$D$170*(((Inputs!$G$5:$G$170="moeda")+(Inputs!$G$5:$G$170="acoes"))*Inputs!$B$1+((Inputs!$G$5:$G$170&lt;&gt;"moeda")*(Inputs!$G$5:$G$170&lt;&gt;"acoes")))*INDEX(Inputs!$K$5:$AJ$170,0,MATCH(AF$2,Inputs!$K$4:$AJ$4,0)))+SUMPRODUCT((Inputs!$E$5:$E$170=$B44)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4" s="3" t="e">
        <f>AF44</f>
        <v>#N/A</v>
      </c>
      <c r="AH44" s="6">
        <f>IF(ISNA(MATCH(AH$2,Inputs!$K$4:$AJ$4,0)),NA(),IF(SUMPRODUCT((Inputs!$A$5:$A$170=$B44)*ISNUMBER(INDEX(Inputs!$K$5:$AJ$170,0,MATCH(AH$2,Inputs!$K$4:$AJ$4,0))))+SUMPRODUCT((Inputs!$C$5:$C$170=$B44)*ISNUMBER(INDEX(Inputs!$K$5:$AJ$170,0,MATCH(AH$2,Inputs!$K$4:$AJ$4,0))))+SUMPRODUCT((Inputs!$E$5:$E$170=$B44)*ISNUMBER(INDEX(Inputs!$K$5:$AJ$170,0,MATCH(AH$2,Inputs!$K$4:$AJ$4,0))))=0,NA(),SUMPRODUCT((Inputs!$A$5:$A$170=$B44)*Inputs!$B$5:$B$170*(((Inputs!$G$5:$G$170="moeda")+(Inputs!$G$5:$G$170="acoes"))*Inputs!$B$1+((Inputs!$G$5:$G$170&lt;&gt;"moeda")*(Inputs!$G$5:$G$170&lt;&gt;"acoes")))*INDEX(Inputs!$K$5:$AJ$170,0,MATCH(AH$2,Inputs!$K$4:$AJ$4,0)))+SUMPRODUCT((Inputs!$C$5:$C$170=$B44)*Inputs!$D$5:$D$170*(((Inputs!$G$5:$G$170="moeda")+(Inputs!$G$5:$G$170="acoes"))*Inputs!$B$1+((Inputs!$G$5:$G$170&lt;&gt;"moeda")*(Inputs!$G$5:$G$170&lt;&gt;"acoes")))*INDEX(Inputs!$K$5:$AJ$170,0,MATCH(AH$2,Inputs!$K$4:$AJ$4,0)))+SUMPRODUCT((Inputs!$E$5:$E$170=$B44)*Inputs!$F$5:$F$170*(((Inputs!$G$5:$G$170="moeda")+(Inputs!$G$5:$G$170="acoes"))*Inputs!$B$1+((Inputs!$G$5:$G$170&lt;&gt;"moeda")*(Inputs!$G$5:$G$170&lt;&gt;"acoes")))*INDEX(Inputs!$K$5:$AJ$170,0,MATCH(AH$2,Inputs!$K$4:$AJ$4,0)))))</f>
        <v>-23.027</v>
      </c>
      <c r="AI44" s="6">
        <f>IF(ISNA(MATCH(AI$2,Inputs!$K$4:$AJ$4,0)),NA(),IF(SUMPRODUCT((Inputs!$A$5:$A$170=$B44)*ISNUMBER(INDEX(Inputs!$K$5:$AJ$170,0,MATCH(AI$2,Inputs!$K$4:$AJ$4,0))))+SUMPRODUCT((Inputs!$C$5:$C$170=$B44)*ISNUMBER(INDEX(Inputs!$K$5:$AJ$170,0,MATCH(AI$2,Inputs!$K$4:$AJ$4,0))))+SUMPRODUCT((Inputs!$E$5:$E$170=$B44)*ISNUMBER(INDEX(Inputs!$K$5:$AJ$170,0,MATCH(AI$2,Inputs!$K$4:$AJ$4,0))))=0,NA(),SUMPRODUCT((Inputs!$A$5:$A$170=$B44)*Inputs!$B$5:$B$170*(((Inputs!$G$5:$G$170="moeda")+(Inputs!$G$5:$G$170="acoes"))*Inputs!$B$1+((Inputs!$G$5:$G$170&lt;&gt;"moeda")*(Inputs!$G$5:$G$170&lt;&gt;"acoes")))*INDEX(Inputs!$K$5:$AJ$170,0,MATCH(AI$2,Inputs!$K$4:$AJ$4,0)))+SUMPRODUCT((Inputs!$C$5:$C$170=$B44)*Inputs!$D$5:$D$170*(((Inputs!$G$5:$G$170="moeda")+(Inputs!$G$5:$G$170="acoes"))*Inputs!$B$1+((Inputs!$G$5:$G$170&lt;&gt;"moeda")*(Inputs!$G$5:$G$170&lt;&gt;"acoes")))*INDEX(Inputs!$K$5:$AJ$170,0,MATCH(AI$2,Inputs!$K$4:$AJ$4,0)))+SUMPRODUCT((Inputs!$E$5:$E$170=$B44)*Inputs!$F$5:$F$170*(((Inputs!$G$5:$G$170="moeda")+(Inputs!$G$5:$G$170="acoes"))*Inputs!$B$1+((Inputs!$G$5:$G$170&lt;&gt;"moeda")*(Inputs!$G$5:$G$170&lt;&gt;"acoes")))*INDEX(Inputs!$K$5:$AJ$170,0,MATCH(AI$2,Inputs!$K$4:$AJ$4,0)))))</f>
        <v>-23.061</v>
      </c>
      <c r="AJ44" s="6">
        <f>IF(ISNA(MATCH(AJ$2,Inputs!$K$4:$AJ$4,0)),NA(),IF(SUMPRODUCT((Inputs!$A$5:$A$170=$B44)*ISNUMBER(INDEX(Inputs!$K$5:$AJ$170,0,MATCH(AJ$2,Inputs!$K$4:$AJ$4,0))))+SUMPRODUCT((Inputs!$C$5:$C$170=$B44)*ISNUMBER(INDEX(Inputs!$K$5:$AJ$170,0,MATCH(AJ$2,Inputs!$K$4:$AJ$4,0))))+SUMPRODUCT((Inputs!$E$5:$E$170=$B44)*ISNUMBER(INDEX(Inputs!$K$5:$AJ$170,0,MATCH(AJ$2,Inputs!$K$4:$AJ$4,0))))=0,NA(),SUMPRODUCT((Inputs!$A$5:$A$170=$B44)*Inputs!$B$5:$B$170*(((Inputs!$G$5:$G$170="moeda")+(Inputs!$G$5:$G$170="acoes"))*Inputs!$B$1+((Inputs!$G$5:$G$170&lt;&gt;"moeda")*(Inputs!$G$5:$G$170&lt;&gt;"acoes")))*INDEX(Inputs!$K$5:$AJ$170,0,MATCH(AJ$2,Inputs!$K$4:$AJ$4,0)))+SUMPRODUCT((Inputs!$C$5:$C$170=$B44)*Inputs!$D$5:$D$170*(((Inputs!$G$5:$G$170="moeda")+(Inputs!$G$5:$G$170="acoes"))*Inputs!$B$1+((Inputs!$G$5:$G$170&lt;&gt;"moeda")*(Inputs!$G$5:$G$170&lt;&gt;"acoes")))*INDEX(Inputs!$K$5:$AJ$170,0,MATCH(AJ$2,Inputs!$K$4:$AJ$4,0)))+SUMPRODUCT((Inputs!$E$5:$E$170=$B44)*Inputs!$F$5:$F$170*(((Inputs!$G$5:$G$170="moeda")+(Inputs!$G$5:$G$170="acoes"))*Inputs!$B$1+((Inputs!$G$5:$G$170&lt;&gt;"moeda")*(Inputs!$G$5:$G$170&lt;&gt;"acoes")))*INDEX(Inputs!$K$5:$AJ$170,0,MATCH(AJ$2,Inputs!$K$4:$AJ$4,0)))))</f>
        <v>-23.23</v>
      </c>
      <c r="AK44" s="6">
        <f>IF(ISNA(MATCH(AK$2,Inputs!$K$4:$AJ$4,0)),NA(),IF(SUMPRODUCT((Inputs!$A$5:$A$170=$B44)*ISNUMBER(INDEX(Inputs!$K$5:$AJ$170,0,MATCH(AK$2,Inputs!$K$4:$AJ$4,0))))+SUMPRODUCT((Inputs!$C$5:$C$170=$B44)*ISNUMBER(INDEX(Inputs!$K$5:$AJ$170,0,MATCH(AK$2,Inputs!$K$4:$AJ$4,0))))+SUMPRODUCT((Inputs!$E$5:$E$170=$B44)*ISNUMBER(INDEX(Inputs!$K$5:$AJ$170,0,MATCH(AK$2,Inputs!$K$4:$AJ$4,0))))=0,NA(),SUMPRODUCT((Inputs!$A$5:$A$170=$B44)*Inputs!$B$5:$B$170*(((Inputs!$G$5:$G$170="moeda")+(Inputs!$G$5:$G$170="acoes"))*Inputs!$B$1+((Inputs!$G$5:$G$170&lt;&gt;"moeda")*(Inputs!$G$5:$G$170&lt;&gt;"acoes")))*INDEX(Inputs!$K$5:$AJ$170,0,MATCH(AK$2,Inputs!$K$4:$AJ$4,0)))+SUMPRODUCT((Inputs!$C$5:$C$170=$B44)*Inputs!$D$5:$D$170*(((Inputs!$G$5:$G$170="moeda")+(Inputs!$G$5:$G$170="acoes"))*Inputs!$B$1+((Inputs!$G$5:$G$170&lt;&gt;"moeda")*(Inputs!$G$5:$G$170&lt;&gt;"acoes")))*INDEX(Inputs!$K$5:$AJ$170,0,MATCH(AK$2,Inputs!$K$4:$AJ$4,0)))+SUMPRODUCT((Inputs!$E$5:$E$170=$B44)*Inputs!$F$5:$F$170*(((Inputs!$G$5:$G$170="moeda")+(Inputs!$G$5:$G$170="acoes"))*Inputs!$B$1+((Inputs!$G$5:$G$170&lt;&gt;"moeda")*(Inputs!$G$5:$G$170&lt;&gt;"acoes")))*INDEX(Inputs!$K$5:$AJ$170,0,MATCH(AK$2,Inputs!$K$4:$AJ$4,0)))))</f>
        <v>-23.306</v>
      </c>
      <c r="AL44" s="3">
        <f>AK44</f>
        <v>-23.306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$170=$B45)*ISNUMBER(INDEX(Inputs!$K$5:$AJ$170,0,MATCH(D$2,Inputs!$K$4:$AJ$4,0))))+SUMPRODUCT((Inputs!$C$5:$C$170=$B45)*ISNUMBER(INDEX(Inputs!$K$5:$AJ$170,0,MATCH(D$2,Inputs!$K$4:$AJ$4,0))))+SUMPRODUCT((Inputs!$E$5:$E$170=$B45)*ISNUMBER(INDEX(Inputs!$K$5:$AJ$170,0,MATCH(D$2,Inputs!$K$4:$AJ$4,0))))=0,NA(),SUMPRODUCT((Inputs!$A$5:$A$170=$B45)*Inputs!$B$5:$B$170*(((Inputs!$G$5:$G$170="moeda")+(Inputs!$G$5:$G$170="acoes"))*Inputs!$B$1+((Inputs!$G$5:$G$170&lt;&gt;"moeda")*(Inputs!$G$5:$G$170&lt;&gt;"acoes")))*INDEX(Inputs!$K$5:$AJ$170,0,MATCH(D$2,Inputs!$K$4:$AJ$4,0)))+SUMPRODUCT((Inputs!$C$5:$C$170=$B45)*Inputs!$D$5:$D$170*(((Inputs!$G$5:$G$170="moeda")+(Inputs!$G$5:$G$170="acoes"))*Inputs!$B$1+((Inputs!$G$5:$G$170&lt;&gt;"moeda")*(Inputs!$G$5:$G$170&lt;&gt;"acoes")))*INDEX(Inputs!$K$5:$AJ$170,0,MATCH(D$2,Inputs!$K$4:$AJ$4,0)))+SUMPRODUCT((Inputs!$E$5:$E$170=$B45)*Inputs!$F$5:$F$170*(((Inputs!$G$5:$G$170="moeda")+(Inputs!$G$5:$G$170="acoes"))*Inputs!$B$1+((Inputs!$G$5:$G$170&lt;&gt;"moeda")*(Inputs!$G$5:$G$170&lt;&gt;"acoes")))*INDEX(Inputs!$K$5:$AJ$170,0,MATCH(D$2,Inputs!$K$4:$AJ$4,0)))))</f>
        <v>-91.954</v>
      </c>
      <c r="E45" s="6">
        <f>IF(ISNA(MATCH(E$2,Inputs!$K$4:$AJ$4,0)),NA(),IF(SUMPRODUCT((Inputs!$A$5:$A$170=$B45)*ISNUMBER(INDEX(Inputs!$K$5:$AJ$170,0,MATCH(E$2,Inputs!$K$4:$AJ$4,0))))+SUMPRODUCT((Inputs!$C$5:$C$170=$B45)*ISNUMBER(INDEX(Inputs!$K$5:$AJ$170,0,MATCH(E$2,Inputs!$K$4:$AJ$4,0))))+SUMPRODUCT((Inputs!$E$5:$E$170=$B45)*ISNUMBER(INDEX(Inputs!$K$5:$AJ$170,0,MATCH(E$2,Inputs!$K$4:$AJ$4,0))))=0,NA(),SUMPRODUCT((Inputs!$A$5:$A$170=$B45)*Inputs!$B$5:$B$170*(((Inputs!$G$5:$G$170="moeda")+(Inputs!$G$5:$G$170="acoes"))*Inputs!$B$1+((Inputs!$G$5:$G$170&lt;&gt;"moeda")*(Inputs!$G$5:$G$170&lt;&gt;"acoes")))*INDEX(Inputs!$K$5:$AJ$170,0,MATCH(E$2,Inputs!$K$4:$AJ$4,0)))+SUMPRODUCT((Inputs!$C$5:$C$170=$B45)*Inputs!$D$5:$D$170*(((Inputs!$G$5:$G$170="moeda")+(Inputs!$G$5:$G$170="acoes"))*Inputs!$B$1+((Inputs!$G$5:$G$170&lt;&gt;"moeda")*(Inputs!$G$5:$G$170&lt;&gt;"acoes")))*INDEX(Inputs!$K$5:$AJ$170,0,MATCH(E$2,Inputs!$K$4:$AJ$4,0)))+SUMPRODUCT((Inputs!$E$5:$E$170=$B45)*Inputs!$F$5:$F$170*(((Inputs!$G$5:$G$170="moeda")+(Inputs!$G$5:$G$170="acoes"))*Inputs!$B$1+((Inputs!$G$5:$G$170&lt;&gt;"moeda")*(Inputs!$G$5:$G$170&lt;&gt;"acoes")))*INDEX(Inputs!$K$5:$AJ$170,0,MATCH(E$2,Inputs!$K$4:$AJ$4,0)))))</f>
        <v>-29.036</v>
      </c>
      <c r="F45" s="6">
        <f>IF(ISNA(MATCH(F$2,Inputs!$K$4:$AJ$4,0)),NA(),IF(SUMPRODUCT((Inputs!$A$5:$A$170=$B45)*ISNUMBER(INDEX(Inputs!$K$5:$AJ$170,0,MATCH(F$2,Inputs!$K$4:$AJ$4,0))))+SUMPRODUCT((Inputs!$C$5:$C$170=$B45)*ISNUMBER(INDEX(Inputs!$K$5:$AJ$170,0,MATCH(F$2,Inputs!$K$4:$AJ$4,0))))+SUMPRODUCT((Inputs!$E$5:$E$170=$B45)*ISNUMBER(INDEX(Inputs!$K$5:$AJ$170,0,MATCH(F$2,Inputs!$K$4:$AJ$4,0))))=0,NA(),SUMPRODUCT((Inputs!$A$5:$A$170=$B45)*Inputs!$B$5:$B$170*(((Inputs!$G$5:$G$170="moeda")+(Inputs!$G$5:$G$170="acoes"))*Inputs!$B$1+((Inputs!$G$5:$G$170&lt;&gt;"moeda")*(Inputs!$G$5:$G$170&lt;&gt;"acoes")))*INDEX(Inputs!$K$5:$AJ$170,0,MATCH(F$2,Inputs!$K$4:$AJ$4,0)))+SUMPRODUCT((Inputs!$C$5:$C$170=$B45)*Inputs!$D$5:$D$170*(((Inputs!$G$5:$G$170="moeda")+(Inputs!$G$5:$G$170="acoes"))*Inputs!$B$1+((Inputs!$G$5:$G$170&lt;&gt;"moeda")*(Inputs!$G$5:$G$170&lt;&gt;"acoes")))*INDEX(Inputs!$K$5:$AJ$170,0,MATCH(F$2,Inputs!$K$4:$AJ$4,0)))+SUMPRODUCT((Inputs!$E$5:$E$170=$B45)*Inputs!$F$5:$F$170*(((Inputs!$G$5:$G$170="moeda")+(Inputs!$G$5:$G$170="acoes"))*Inputs!$B$1+((Inputs!$G$5:$G$170&lt;&gt;"moeda")*(Inputs!$G$5:$G$170&lt;&gt;"acoes")))*INDEX(Inputs!$K$5:$AJ$170,0,MATCH(F$2,Inputs!$K$4:$AJ$4,0)))))</f>
        <v>-235.068</v>
      </c>
      <c r="G45" s="6">
        <f>IF(ISNA(MATCH(G$2,Inputs!$K$4:$AJ$4,0)),NA(),IF(SUMPRODUCT((Inputs!$A$5:$A$170=$B45)*ISNUMBER(INDEX(Inputs!$K$5:$AJ$170,0,MATCH(G$2,Inputs!$K$4:$AJ$4,0))))+SUMPRODUCT((Inputs!$C$5:$C$170=$B45)*ISNUMBER(INDEX(Inputs!$K$5:$AJ$170,0,MATCH(G$2,Inputs!$K$4:$AJ$4,0))))+SUMPRODUCT((Inputs!$E$5:$E$170=$B45)*ISNUMBER(INDEX(Inputs!$K$5:$AJ$170,0,MATCH(G$2,Inputs!$K$4:$AJ$4,0))))=0,NA(),SUMPRODUCT((Inputs!$A$5:$A$170=$B45)*Inputs!$B$5:$B$170*(((Inputs!$G$5:$G$170="moeda")+(Inputs!$G$5:$G$170="acoes"))*Inputs!$B$1+((Inputs!$G$5:$G$170&lt;&gt;"moeda")*(Inputs!$G$5:$G$170&lt;&gt;"acoes")))*INDEX(Inputs!$K$5:$AJ$170,0,MATCH(G$2,Inputs!$K$4:$AJ$4,0)))+SUMPRODUCT((Inputs!$C$5:$C$170=$B45)*Inputs!$D$5:$D$170*(((Inputs!$G$5:$G$170="moeda")+(Inputs!$G$5:$G$170="acoes"))*Inputs!$B$1+((Inputs!$G$5:$G$170&lt;&gt;"moeda")*(Inputs!$G$5:$G$170&lt;&gt;"acoes")))*INDEX(Inputs!$K$5:$AJ$170,0,MATCH(G$2,Inputs!$K$4:$AJ$4,0)))+SUMPRODUCT((Inputs!$E$5:$E$170=$B45)*Inputs!$F$5:$F$170*(((Inputs!$G$5:$G$170="moeda")+(Inputs!$G$5:$G$170="acoes"))*Inputs!$B$1+((Inputs!$G$5:$G$170&lt;&gt;"moeda")*(Inputs!$G$5:$G$170&lt;&gt;"acoes")))*INDEX(Inputs!$K$5:$AJ$170,0,MATCH(G$2,Inputs!$K$4:$AJ$4,0)))))</f>
        <v>-269.184</v>
      </c>
      <c r="H45" s="3">
        <f>G45</f>
        <v>-269.184</v>
      </c>
      <c r="I45" s="6">
        <f>IF(ISNA(MATCH(I$2,Inputs!$K$4:$AJ$4,0)),NA(),IF(SUMPRODUCT((Inputs!$A$5:$A$170=$B45)*ISNUMBER(INDEX(Inputs!$K$5:$AJ$170,0,MATCH(I$2,Inputs!$K$4:$AJ$4,0))))+SUMPRODUCT((Inputs!$C$5:$C$170=$B45)*ISNUMBER(INDEX(Inputs!$K$5:$AJ$170,0,MATCH(I$2,Inputs!$K$4:$AJ$4,0))))+SUMPRODUCT((Inputs!$E$5:$E$170=$B45)*ISNUMBER(INDEX(Inputs!$K$5:$AJ$170,0,MATCH(I$2,Inputs!$K$4:$AJ$4,0))))=0,NA(),SUMPRODUCT((Inputs!$A$5:$A$170=$B45)*Inputs!$B$5:$B$170*(((Inputs!$G$5:$G$170="moeda")+(Inputs!$G$5:$G$170="acoes"))*Inputs!$B$1+((Inputs!$G$5:$G$170&lt;&gt;"moeda")*(Inputs!$G$5:$G$170&lt;&gt;"acoes")))*INDEX(Inputs!$K$5:$AJ$170,0,MATCH(I$2,Inputs!$K$4:$AJ$4,0)))+SUMPRODUCT((Inputs!$C$5:$C$170=$B45)*Inputs!$D$5:$D$170*(((Inputs!$G$5:$G$170="moeda")+(Inputs!$G$5:$G$170="acoes"))*Inputs!$B$1+((Inputs!$G$5:$G$170&lt;&gt;"moeda")*(Inputs!$G$5:$G$170&lt;&gt;"acoes")))*INDEX(Inputs!$K$5:$AJ$170,0,MATCH(I$2,Inputs!$K$4:$AJ$4,0)))+SUMPRODUCT((Inputs!$E$5:$E$170=$B45)*Inputs!$F$5:$F$170*(((Inputs!$G$5:$G$170="moeda")+(Inputs!$G$5:$G$170="acoes"))*Inputs!$B$1+((Inputs!$G$5:$G$170&lt;&gt;"moeda")*(Inputs!$G$5:$G$170&lt;&gt;"acoes")))*INDEX(Inputs!$K$5:$AJ$170,0,MATCH(I$2,Inputs!$K$4:$AJ$4,0)))))</f>
        <v>-516.528</v>
      </c>
      <c r="J45" s="6">
        <f>IF(ISNA(MATCH(J$2,Inputs!$K$4:$AJ$4,0)),NA(),IF(SUMPRODUCT((Inputs!$A$5:$A$170=$B45)*ISNUMBER(INDEX(Inputs!$K$5:$AJ$170,0,MATCH(J$2,Inputs!$K$4:$AJ$4,0))))+SUMPRODUCT((Inputs!$C$5:$C$170=$B45)*ISNUMBER(INDEX(Inputs!$K$5:$AJ$170,0,MATCH(J$2,Inputs!$K$4:$AJ$4,0))))+SUMPRODUCT((Inputs!$E$5:$E$170=$B45)*ISNUMBER(INDEX(Inputs!$K$5:$AJ$170,0,MATCH(J$2,Inputs!$K$4:$AJ$4,0))))=0,NA(),SUMPRODUCT((Inputs!$A$5:$A$170=$B45)*Inputs!$B$5:$B$170*(((Inputs!$G$5:$G$170="moeda")+(Inputs!$G$5:$G$170="acoes"))*Inputs!$B$1+((Inputs!$G$5:$G$170&lt;&gt;"moeda")*(Inputs!$G$5:$G$170&lt;&gt;"acoes")))*INDEX(Inputs!$K$5:$AJ$170,0,MATCH(J$2,Inputs!$K$4:$AJ$4,0)))+SUMPRODUCT((Inputs!$C$5:$C$170=$B45)*Inputs!$D$5:$D$170*(((Inputs!$G$5:$G$170="moeda")+(Inputs!$G$5:$G$170="acoes"))*Inputs!$B$1+((Inputs!$G$5:$G$170&lt;&gt;"moeda")*(Inputs!$G$5:$G$170&lt;&gt;"acoes")))*INDEX(Inputs!$K$5:$AJ$170,0,MATCH(J$2,Inputs!$K$4:$AJ$4,0)))+SUMPRODUCT((Inputs!$E$5:$E$170=$B45)*Inputs!$F$5:$F$170*(((Inputs!$G$5:$G$170="moeda")+(Inputs!$G$5:$G$170="acoes"))*Inputs!$B$1+((Inputs!$G$5:$G$170&lt;&gt;"moeda")*(Inputs!$G$5:$G$170&lt;&gt;"acoes")))*INDEX(Inputs!$K$5:$AJ$170,0,MATCH(J$2,Inputs!$K$4:$AJ$4,0)))))</f>
        <v>-818.601</v>
      </c>
      <c r="K45" s="6">
        <f>IF(ISNA(MATCH(K$2,Inputs!$K$4:$AJ$4,0)),NA(),IF(SUMPRODUCT((Inputs!$A$5:$A$170=$B45)*ISNUMBER(INDEX(Inputs!$K$5:$AJ$170,0,MATCH(K$2,Inputs!$K$4:$AJ$4,0))))+SUMPRODUCT((Inputs!$C$5:$C$170=$B45)*ISNUMBER(INDEX(Inputs!$K$5:$AJ$170,0,MATCH(K$2,Inputs!$K$4:$AJ$4,0))))+SUMPRODUCT((Inputs!$E$5:$E$170=$B45)*ISNUMBER(INDEX(Inputs!$K$5:$AJ$170,0,MATCH(K$2,Inputs!$K$4:$AJ$4,0))))=0,NA(),SUMPRODUCT((Inputs!$A$5:$A$170=$B45)*Inputs!$B$5:$B$170*(((Inputs!$G$5:$G$170="moeda")+(Inputs!$G$5:$G$170="acoes"))*Inputs!$B$1+((Inputs!$G$5:$G$170&lt;&gt;"moeda")*(Inputs!$G$5:$G$170&lt;&gt;"acoes")))*INDEX(Inputs!$K$5:$AJ$170,0,MATCH(K$2,Inputs!$K$4:$AJ$4,0)))+SUMPRODUCT((Inputs!$C$5:$C$170=$B45)*Inputs!$D$5:$D$170*(((Inputs!$G$5:$G$170="moeda")+(Inputs!$G$5:$G$170="acoes"))*Inputs!$B$1+((Inputs!$G$5:$G$170&lt;&gt;"moeda")*(Inputs!$G$5:$G$170&lt;&gt;"acoes")))*INDEX(Inputs!$K$5:$AJ$170,0,MATCH(K$2,Inputs!$K$4:$AJ$4,0)))+SUMPRODUCT((Inputs!$E$5:$E$170=$B45)*Inputs!$F$5:$F$170*(((Inputs!$G$5:$G$170="moeda")+(Inputs!$G$5:$G$170="acoes"))*Inputs!$B$1+((Inputs!$G$5:$G$170&lt;&gt;"moeda")*(Inputs!$G$5:$G$170&lt;&gt;"acoes")))*INDEX(Inputs!$K$5:$AJ$170,0,MATCH(K$2,Inputs!$K$4:$AJ$4,0)))))</f>
        <v>-933.9</v>
      </c>
      <c r="L45" s="6">
        <f>IF(ISNA(MATCH(L$2,Inputs!$K$4:$AJ$4,0)),NA(),IF(SUMPRODUCT((Inputs!$A$5:$A$170=$B45)*ISNUMBER(INDEX(Inputs!$K$5:$AJ$170,0,MATCH(L$2,Inputs!$K$4:$AJ$4,0))))+SUMPRODUCT((Inputs!$C$5:$C$170=$B45)*ISNUMBER(INDEX(Inputs!$K$5:$AJ$170,0,MATCH(L$2,Inputs!$K$4:$AJ$4,0))))+SUMPRODUCT((Inputs!$E$5:$E$170=$B45)*ISNUMBER(INDEX(Inputs!$K$5:$AJ$170,0,MATCH(L$2,Inputs!$K$4:$AJ$4,0))))=0,NA(),SUMPRODUCT((Inputs!$A$5:$A$170=$B45)*Inputs!$B$5:$B$170*(((Inputs!$G$5:$G$170="moeda")+(Inputs!$G$5:$G$170="acoes"))*Inputs!$B$1+((Inputs!$G$5:$G$170&lt;&gt;"moeda")*(Inputs!$G$5:$G$170&lt;&gt;"acoes")))*INDEX(Inputs!$K$5:$AJ$170,0,MATCH(L$2,Inputs!$K$4:$AJ$4,0)))+SUMPRODUCT((Inputs!$C$5:$C$170=$B45)*Inputs!$D$5:$D$170*(((Inputs!$G$5:$G$170="moeda")+(Inputs!$G$5:$G$170="acoes"))*Inputs!$B$1+((Inputs!$G$5:$G$170&lt;&gt;"moeda")*(Inputs!$G$5:$G$170&lt;&gt;"acoes")))*INDEX(Inputs!$K$5:$AJ$170,0,MATCH(L$2,Inputs!$K$4:$AJ$4,0)))+SUMPRODUCT((Inputs!$E$5:$E$170=$B45)*Inputs!$F$5:$F$170*(((Inputs!$G$5:$G$170="moeda")+(Inputs!$G$5:$G$170="acoes"))*Inputs!$B$1+((Inputs!$G$5:$G$170&lt;&gt;"moeda")*(Inputs!$G$5:$G$170&lt;&gt;"acoes")))*INDEX(Inputs!$K$5:$AJ$170,0,MATCH(L$2,Inputs!$K$4:$AJ$4,0)))))</f>
        <v>-861.809</v>
      </c>
      <c r="M45" s="3">
        <f>L45</f>
        <v>-861.809</v>
      </c>
      <c r="N45" s="6">
        <f>IF(ISNA(MATCH(N$2,Inputs!$K$4:$AJ$4,0)),NA(),IF(SUMPRODUCT((Inputs!$A$5:$A$170=$B45)*ISNUMBER(INDEX(Inputs!$K$5:$AJ$170,0,MATCH(N$2,Inputs!$K$4:$AJ$4,0))))+SUMPRODUCT((Inputs!$C$5:$C$170=$B45)*ISNUMBER(INDEX(Inputs!$K$5:$AJ$170,0,MATCH(N$2,Inputs!$K$4:$AJ$4,0))))+SUMPRODUCT((Inputs!$E$5:$E$170=$B45)*ISNUMBER(INDEX(Inputs!$K$5:$AJ$170,0,MATCH(N$2,Inputs!$K$4:$AJ$4,0))))=0,NA(),SUMPRODUCT((Inputs!$A$5:$A$170=$B45)*Inputs!$B$5:$B$170*(((Inputs!$G$5:$G$170="moeda")+(Inputs!$G$5:$G$170="acoes"))*Inputs!$B$1+((Inputs!$G$5:$G$170&lt;&gt;"moeda")*(Inputs!$G$5:$G$170&lt;&gt;"acoes")))*INDEX(Inputs!$K$5:$AJ$170,0,MATCH(N$2,Inputs!$K$4:$AJ$4,0)))+SUMPRODUCT((Inputs!$C$5:$C$170=$B45)*Inputs!$D$5:$D$170*(((Inputs!$G$5:$G$170="moeda")+(Inputs!$G$5:$G$170="acoes"))*Inputs!$B$1+((Inputs!$G$5:$G$170&lt;&gt;"moeda")*(Inputs!$G$5:$G$170&lt;&gt;"acoes")))*INDEX(Inputs!$K$5:$AJ$170,0,MATCH(N$2,Inputs!$K$4:$AJ$4,0)))+SUMPRODUCT((Inputs!$E$5:$E$170=$B45)*Inputs!$F$5:$F$170*(((Inputs!$G$5:$G$170="moeda")+(Inputs!$G$5:$G$170="acoes"))*Inputs!$B$1+((Inputs!$G$5:$G$170&lt;&gt;"moeda")*(Inputs!$G$5:$G$170&lt;&gt;"acoes")))*INDEX(Inputs!$K$5:$AJ$170,0,MATCH(N$2,Inputs!$K$4:$AJ$4,0)))))</f>
        <v>-805.138</v>
      </c>
      <c r="O45" s="6">
        <f>IF(ISNA(MATCH(O$2,Inputs!$K$4:$AJ$4,0)),NA(),IF(SUMPRODUCT((Inputs!$A$5:$A$170=$B45)*ISNUMBER(INDEX(Inputs!$K$5:$AJ$170,0,MATCH(O$2,Inputs!$K$4:$AJ$4,0))))+SUMPRODUCT((Inputs!$C$5:$C$170=$B45)*ISNUMBER(INDEX(Inputs!$K$5:$AJ$170,0,MATCH(O$2,Inputs!$K$4:$AJ$4,0))))+SUMPRODUCT((Inputs!$E$5:$E$170=$B45)*ISNUMBER(INDEX(Inputs!$K$5:$AJ$170,0,MATCH(O$2,Inputs!$K$4:$AJ$4,0))))=0,NA(),SUMPRODUCT((Inputs!$A$5:$A$170=$B45)*Inputs!$B$5:$B$170*(((Inputs!$G$5:$G$170="moeda")+(Inputs!$G$5:$G$170="acoes"))*Inputs!$B$1+((Inputs!$G$5:$G$170&lt;&gt;"moeda")*(Inputs!$G$5:$G$170&lt;&gt;"acoes")))*INDEX(Inputs!$K$5:$AJ$170,0,MATCH(O$2,Inputs!$K$4:$AJ$4,0)))+SUMPRODUCT((Inputs!$C$5:$C$170=$B45)*Inputs!$D$5:$D$170*(((Inputs!$G$5:$G$170="moeda")+(Inputs!$G$5:$G$170="acoes"))*Inputs!$B$1+((Inputs!$G$5:$G$170&lt;&gt;"moeda")*(Inputs!$G$5:$G$170&lt;&gt;"acoes")))*INDEX(Inputs!$K$5:$AJ$170,0,MATCH(O$2,Inputs!$K$4:$AJ$4,0)))+SUMPRODUCT((Inputs!$E$5:$E$170=$B45)*Inputs!$F$5:$F$170*(((Inputs!$G$5:$G$170="moeda")+(Inputs!$G$5:$G$170="acoes"))*Inputs!$B$1+((Inputs!$G$5:$G$170&lt;&gt;"moeda")*(Inputs!$G$5:$G$170&lt;&gt;"acoes")))*INDEX(Inputs!$K$5:$AJ$170,0,MATCH(O$2,Inputs!$K$4:$AJ$4,0)))))</f>
        <v>-546.023</v>
      </c>
      <c r="P45" s="6">
        <f>IF(ISNA(MATCH(P$2,Inputs!$K$4:$AJ$4,0)),NA(),IF(SUMPRODUCT((Inputs!$A$5:$A$170=$B45)*ISNUMBER(INDEX(Inputs!$K$5:$AJ$170,0,MATCH(P$2,Inputs!$K$4:$AJ$4,0))))+SUMPRODUCT((Inputs!$C$5:$C$170=$B45)*ISNUMBER(INDEX(Inputs!$K$5:$AJ$170,0,MATCH(P$2,Inputs!$K$4:$AJ$4,0))))+SUMPRODUCT((Inputs!$E$5:$E$170=$B45)*ISNUMBER(INDEX(Inputs!$K$5:$AJ$170,0,MATCH(P$2,Inputs!$K$4:$AJ$4,0))))=0,NA(),SUMPRODUCT((Inputs!$A$5:$A$170=$B45)*Inputs!$B$5:$B$170*(((Inputs!$G$5:$G$170="moeda")+(Inputs!$G$5:$G$170="acoes"))*Inputs!$B$1+((Inputs!$G$5:$G$170&lt;&gt;"moeda")*(Inputs!$G$5:$G$170&lt;&gt;"acoes")))*INDEX(Inputs!$K$5:$AJ$170,0,MATCH(P$2,Inputs!$K$4:$AJ$4,0)))+SUMPRODUCT((Inputs!$C$5:$C$170=$B45)*Inputs!$D$5:$D$170*(((Inputs!$G$5:$G$170="moeda")+(Inputs!$G$5:$G$170="acoes"))*Inputs!$B$1+((Inputs!$G$5:$G$170&lt;&gt;"moeda")*(Inputs!$G$5:$G$170&lt;&gt;"acoes")))*INDEX(Inputs!$K$5:$AJ$170,0,MATCH(P$2,Inputs!$K$4:$AJ$4,0)))+SUMPRODUCT((Inputs!$E$5:$E$170=$B45)*Inputs!$F$5:$F$170*(((Inputs!$G$5:$G$170="moeda")+(Inputs!$G$5:$G$170="acoes"))*Inputs!$B$1+((Inputs!$G$5:$G$170&lt;&gt;"moeda")*(Inputs!$G$5:$G$170&lt;&gt;"acoes")))*INDEX(Inputs!$K$5:$AJ$170,0,MATCH(P$2,Inputs!$K$4:$AJ$4,0)))))</f>
        <v>-524.573</v>
      </c>
      <c r="Q45" s="6">
        <f>IF(ISNA(MATCH(Q$2,Inputs!$K$4:$AJ$4,0)),NA(),IF(SUMPRODUCT((Inputs!$A$5:$A$170=$B45)*ISNUMBER(INDEX(Inputs!$K$5:$AJ$170,0,MATCH(Q$2,Inputs!$K$4:$AJ$4,0))))+SUMPRODUCT((Inputs!$C$5:$C$170=$B45)*ISNUMBER(INDEX(Inputs!$K$5:$AJ$170,0,MATCH(Q$2,Inputs!$K$4:$AJ$4,0))))+SUMPRODUCT((Inputs!$E$5:$E$170=$B45)*ISNUMBER(INDEX(Inputs!$K$5:$AJ$170,0,MATCH(Q$2,Inputs!$K$4:$AJ$4,0))))=0,NA(),SUMPRODUCT((Inputs!$A$5:$A$170=$B45)*Inputs!$B$5:$B$170*(((Inputs!$G$5:$G$170="moeda")+(Inputs!$G$5:$G$170="acoes"))*Inputs!$B$1+((Inputs!$G$5:$G$170&lt;&gt;"moeda")*(Inputs!$G$5:$G$170&lt;&gt;"acoes")))*INDEX(Inputs!$K$5:$AJ$170,0,MATCH(Q$2,Inputs!$K$4:$AJ$4,0)))+SUMPRODUCT((Inputs!$C$5:$C$170=$B45)*Inputs!$D$5:$D$170*(((Inputs!$G$5:$G$170="moeda")+(Inputs!$G$5:$G$170="acoes"))*Inputs!$B$1+((Inputs!$G$5:$G$170&lt;&gt;"moeda")*(Inputs!$G$5:$G$170&lt;&gt;"acoes")))*INDEX(Inputs!$K$5:$AJ$170,0,MATCH(Q$2,Inputs!$K$4:$AJ$4,0)))+SUMPRODUCT((Inputs!$E$5:$E$170=$B45)*Inputs!$F$5:$F$170*(((Inputs!$G$5:$G$170="moeda")+(Inputs!$G$5:$G$170="acoes"))*Inputs!$B$1+((Inputs!$G$5:$G$170&lt;&gt;"moeda")*(Inputs!$G$5:$G$170&lt;&gt;"acoes")))*INDEX(Inputs!$K$5:$AJ$170,0,MATCH(Q$2,Inputs!$K$4:$AJ$4,0)))))</f>
        <v>-421.258</v>
      </c>
      <c r="R45" s="3">
        <f>Q45</f>
        <v>-421.258</v>
      </c>
      <c r="S45" s="6">
        <f>IF(ISNA(MATCH(S$2,Inputs!$K$4:$AJ$4,0)),NA(),IF(SUMPRODUCT((Inputs!$A$5:$A$170=$B45)*ISNUMBER(INDEX(Inputs!$K$5:$AJ$170,0,MATCH(S$2,Inputs!$K$4:$AJ$4,0))))+SUMPRODUCT((Inputs!$C$5:$C$170=$B45)*ISNUMBER(INDEX(Inputs!$K$5:$AJ$170,0,MATCH(S$2,Inputs!$K$4:$AJ$4,0))))+SUMPRODUCT((Inputs!$E$5:$E$170=$B45)*ISNUMBER(INDEX(Inputs!$K$5:$AJ$170,0,MATCH(S$2,Inputs!$K$4:$AJ$4,0))))=0,NA(),SUMPRODUCT((Inputs!$A$5:$A$170=$B45)*Inputs!$B$5:$B$170*(((Inputs!$G$5:$G$170="moeda")+(Inputs!$G$5:$G$170="acoes"))*Inputs!$B$1+((Inputs!$G$5:$G$170&lt;&gt;"moeda")*(Inputs!$G$5:$G$170&lt;&gt;"acoes")))*INDEX(Inputs!$K$5:$AJ$170,0,MATCH(S$2,Inputs!$K$4:$AJ$4,0)))+SUMPRODUCT((Inputs!$C$5:$C$170=$B45)*Inputs!$D$5:$D$170*(((Inputs!$G$5:$G$170="moeda")+(Inputs!$G$5:$G$170="acoes"))*Inputs!$B$1+((Inputs!$G$5:$G$170&lt;&gt;"moeda")*(Inputs!$G$5:$G$170&lt;&gt;"acoes")))*INDEX(Inputs!$K$5:$AJ$170,0,MATCH(S$2,Inputs!$K$4:$AJ$4,0)))+SUMPRODUCT((Inputs!$E$5:$E$170=$B45)*Inputs!$F$5:$F$170*(((Inputs!$G$5:$G$170="moeda")+(Inputs!$G$5:$G$170="acoes"))*Inputs!$B$1+((Inputs!$G$5:$G$170&lt;&gt;"moeda")*(Inputs!$G$5:$G$170&lt;&gt;"acoes")))*INDEX(Inputs!$K$5:$AJ$170,0,MATCH(S$2,Inputs!$K$4:$AJ$4,0)))))</f>
        <v>-478.032</v>
      </c>
      <c r="T45" s="6">
        <f>IF(ISNA(MATCH(T$2,Inputs!$K$4:$AJ$4,0)),NA(),IF(SUMPRODUCT((Inputs!$A$5:$A$170=$B45)*ISNUMBER(INDEX(Inputs!$K$5:$AJ$170,0,MATCH(T$2,Inputs!$K$4:$AJ$4,0))))+SUMPRODUCT((Inputs!$C$5:$C$170=$B45)*ISNUMBER(INDEX(Inputs!$K$5:$AJ$170,0,MATCH(T$2,Inputs!$K$4:$AJ$4,0))))+SUMPRODUCT((Inputs!$E$5:$E$170=$B45)*ISNUMBER(INDEX(Inputs!$K$5:$AJ$170,0,MATCH(T$2,Inputs!$K$4:$AJ$4,0))))=0,NA(),SUMPRODUCT((Inputs!$A$5:$A$170=$B45)*Inputs!$B$5:$B$170*(((Inputs!$G$5:$G$170="moeda")+(Inputs!$G$5:$G$170="acoes"))*Inputs!$B$1+((Inputs!$G$5:$G$170&lt;&gt;"moeda")*(Inputs!$G$5:$G$170&lt;&gt;"acoes")))*INDEX(Inputs!$K$5:$AJ$170,0,MATCH(T$2,Inputs!$K$4:$AJ$4,0)))+SUMPRODUCT((Inputs!$C$5:$C$170=$B45)*Inputs!$D$5:$D$170*(((Inputs!$G$5:$G$170="moeda")+(Inputs!$G$5:$G$170="acoes"))*Inputs!$B$1+((Inputs!$G$5:$G$170&lt;&gt;"moeda")*(Inputs!$G$5:$G$170&lt;&gt;"acoes")))*INDEX(Inputs!$K$5:$AJ$170,0,MATCH(T$2,Inputs!$K$4:$AJ$4,0)))+SUMPRODUCT((Inputs!$E$5:$E$170=$B45)*Inputs!$F$5:$F$170*(((Inputs!$G$5:$G$170="moeda")+(Inputs!$G$5:$G$170="acoes"))*Inputs!$B$1+((Inputs!$G$5:$G$170&lt;&gt;"moeda")*(Inputs!$G$5:$G$170&lt;&gt;"acoes")))*INDEX(Inputs!$K$5:$AJ$170,0,MATCH(T$2,Inputs!$K$4:$AJ$4,0)))))</f>
        <v>-531.21</v>
      </c>
      <c r="U45" s="6">
        <f>IF(ISNA(MATCH(U$2,Inputs!$K$4:$AJ$4,0)),NA(),IF(SUMPRODUCT((Inputs!$A$5:$A$170=$B45)*ISNUMBER(INDEX(Inputs!$K$5:$AJ$170,0,MATCH(U$2,Inputs!$K$4:$AJ$4,0))))+SUMPRODUCT((Inputs!$C$5:$C$170=$B45)*ISNUMBER(INDEX(Inputs!$K$5:$AJ$170,0,MATCH(U$2,Inputs!$K$4:$AJ$4,0))))+SUMPRODUCT((Inputs!$E$5:$E$170=$B45)*ISNUMBER(INDEX(Inputs!$K$5:$AJ$170,0,MATCH(U$2,Inputs!$K$4:$AJ$4,0))))=0,NA(),SUMPRODUCT((Inputs!$A$5:$A$170=$B45)*Inputs!$B$5:$B$170*(((Inputs!$G$5:$G$170="moeda")+(Inputs!$G$5:$G$170="acoes"))*Inputs!$B$1+((Inputs!$G$5:$G$170&lt;&gt;"moeda")*(Inputs!$G$5:$G$170&lt;&gt;"acoes")))*INDEX(Inputs!$K$5:$AJ$170,0,MATCH(U$2,Inputs!$K$4:$AJ$4,0)))+SUMPRODUCT((Inputs!$C$5:$C$170=$B45)*Inputs!$D$5:$D$170*(((Inputs!$G$5:$G$170="moeda")+(Inputs!$G$5:$G$170="acoes"))*Inputs!$B$1+((Inputs!$G$5:$G$170&lt;&gt;"moeda")*(Inputs!$G$5:$G$170&lt;&gt;"acoes")))*INDEX(Inputs!$K$5:$AJ$170,0,MATCH(U$2,Inputs!$K$4:$AJ$4,0)))+SUMPRODUCT((Inputs!$E$5:$E$170=$B45)*Inputs!$F$5:$F$170*(((Inputs!$G$5:$G$170="moeda")+(Inputs!$G$5:$G$170="acoes"))*Inputs!$B$1+((Inputs!$G$5:$G$170&lt;&gt;"moeda")*(Inputs!$G$5:$G$170&lt;&gt;"acoes")))*INDEX(Inputs!$K$5:$AJ$170,0,MATCH(U$2,Inputs!$K$4:$AJ$4,0)))))</f>
        <v>-454.383</v>
      </c>
      <c r="V45" s="6">
        <f>IF(ISNA(MATCH(V$2,Inputs!$K$4:$AJ$4,0)),NA(),IF(SUMPRODUCT((Inputs!$A$5:$A$170=$B45)*ISNUMBER(INDEX(Inputs!$K$5:$AJ$170,0,MATCH(V$2,Inputs!$K$4:$AJ$4,0))))+SUMPRODUCT((Inputs!$C$5:$C$170=$B45)*ISNUMBER(INDEX(Inputs!$K$5:$AJ$170,0,MATCH(V$2,Inputs!$K$4:$AJ$4,0))))+SUMPRODUCT((Inputs!$E$5:$E$170=$B45)*ISNUMBER(INDEX(Inputs!$K$5:$AJ$170,0,MATCH(V$2,Inputs!$K$4:$AJ$4,0))))=0,NA(),SUMPRODUCT((Inputs!$A$5:$A$170=$B45)*Inputs!$B$5:$B$170*(((Inputs!$G$5:$G$170="moeda")+(Inputs!$G$5:$G$170="acoes"))*Inputs!$B$1+((Inputs!$G$5:$G$170&lt;&gt;"moeda")*(Inputs!$G$5:$G$170&lt;&gt;"acoes")))*INDEX(Inputs!$K$5:$AJ$170,0,MATCH(V$2,Inputs!$K$4:$AJ$4,0)))+SUMPRODUCT((Inputs!$C$5:$C$170=$B45)*Inputs!$D$5:$D$170*(((Inputs!$G$5:$G$170="moeda")+(Inputs!$G$5:$G$170="acoes"))*Inputs!$B$1+((Inputs!$G$5:$G$170&lt;&gt;"moeda")*(Inputs!$G$5:$G$170&lt;&gt;"acoes")))*INDEX(Inputs!$K$5:$AJ$170,0,MATCH(V$2,Inputs!$K$4:$AJ$4,0)))+SUMPRODUCT((Inputs!$E$5:$E$170=$B45)*Inputs!$F$5:$F$170*(((Inputs!$G$5:$G$170="moeda")+(Inputs!$G$5:$G$170="acoes"))*Inputs!$B$1+((Inputs!$G$5:$G$170&lt;&gt;"moeda")*(Inputs!$G$5:$G$170&lt;&gt;"acoes")))*INDEX(Inputs!$K$5:$AJ$170,0,MATCH(V$2,Inputs!$K$4:$AJ$4,0)))))</f>
        <v>-618.961</v>
      </c>
      <c r="W45" s="3">
        <f>V45</f>
        <v>-618.961</v>
      </c>
      <c r="X45" s="6">
        <f>IF(ISNA(MATCH(X$2,Inputs!$K$4:$AJ$4,0)),NA(),IF(SUMPRODUCT((Inputs!$A$5:$A$170=$B45)*ISNUMBER(INDEX(Inputs!$K$5:$AJ$170,0,MATCH(X$2,Inputs!$K$4:$AJ$4,0))))+SUMPRODUCT((Inputs!$C$5:$C$170=$B45)*ISNUMBER(INDEX(Inputs!$K$5:$AJ$170,0,MATCH(X$2,Inputs!$K$4:$AJ$4,0))))+SUMPRODUCT((Inputs!$E$5:$E$170=$B45)*ISNUMBER(INDEX(Inputs!$K$5:$AJ$170,0,MATCH(X$2,Inputs!$K$4:$AJ$4,0))))=0,NA(),SUMPRODUCT((Inputs!$A$5:$A$170=$B45)*Inputs!$B$5:$B$170*(((Inputs!$G$5:$G$170="moeda")+(Inputs!$G$5:$G$170="acoes"))*Inputs!$B$1+((Inputs!$G$5:$G$170&lt;&gt;"moeda")*(Inputs!$G$5:$G$170&lt;&gt;"acoes")))*INDEX(Inputs!$K$5:$AJ$170,0,MATCH(X$2,Inputs!$K$4:$AJ$4,0)))+SUMPRODUCT((Inputs!$C$5:$C$170=$B45)*Inputs!$D$5:$D$170*(((Inputs!$G$5:$G$170="moeda")+(Inputs!$G$5:$G$170="acoes"))*Inputs!$B$1+((Inputs!$G$5:$G$170&lt;&gt;"moeda")*(Inputs!$G$5:$G$170&lt;&gt;"acoes")))*INDEX(Inputs!$K$5:$AJ$170,0,MATCH(X$2,Inputs!$K$4:$AJ$4,0)))+SUMPRODUCT((Inputs!$E$5:$E$170=$B45)*Inputs!$F$5:$F$170*(((Inputs!$G$5:$G$170="moeda")+(Inputs!$G$5:$G$170="acoes"))*Inputs!$B$1+((Inputs!$G$5:$G$170&lt;&gt;"moeda")*(Inputs!$G$5:$G$170&lt;&gt;"acoes")))*INDEX(Inputs!$K$5:$AJ$170,0,MATCH(X$2,Inputs!$K$4:$AJ$4,0)))))</f>
        <v>-550.804</v>
      </c>
      <c r="Y45" s="6">
        <f>IF(ISNA(MATCH(Y$2,Inputs!$K$4:$AJ$4,0)),NA(),IF(SUMPRODUCT((Inputs!$A$5:$A$170=$B45)*ISNUMBER(INDEX(Inputs!$K$5:$AJ$170,0,MATCH(Y$2,Inputs!$K$4:$AJ$4,0))))+SUMPRODUCT((Inputs!$C$5:$C$170=$B45)*ISNUMBER(INDEX(Inputs!$K$5:$AJ$170,0,MATCH(Y$2,Inputs!$K$4:$AJ$4,0))))+SUMPRODUCT((Inputs!$E$5:$E$170=$B45)*ISNUMBER(INDEX(Inputs!$K$5:$AJ$170,0,MATCH(Y$2,Inputs!$K$4:$AJ$4,0))))=0,NA(),SUMPRODUCT((Inputs!$A$5:$A$170=$B45)*Inputs!$B$5:$B$170*(((Inputs!$G$5:$G$170="moeda")+(Inputs!$G$5:$G$170="acoes"))*Inputs!$B$1+((Inputs!$G$5:$G$170&lt;&gt;"moeda")*(Inputs!$G$5:$G$170&lt;&gt;"acoes")))*INDEX(Inputs!$K$5:$AJ$170,0,MATCH(Y$2,Inputs!$K$4:$AJ$4,0)))+SUMPRODUCT((Inputs!$C$5:$C$170=$B45)*Inputs!$D$5:$D$170*(((Inputs!$G$5:$G$170="moeda")+(Inputs!$G$5:$G$170="acoes"))*Inputs!$B$1+((Inputs!$G$5:$G$170&lt;&gt;"moeda")*(Inputs!$G$5:$G$170&lt;&gt;"acoes")))*INDEX(Inputs!$K$5:$AJ$170,0,MATCH(Y$2,Inputs!$K$4:$AJ$4,0)))+SUMPRODUCT((Inputs!$E$5:$E$170=$B45)*Inputs!$F$5:$F$170*(((Inputs!$G$5:$G$170="moeda")+(Inputs!$G$5:$G$170="acoes"))*Inputs!$B$1+((Inputs!$G$5:$G$170&lt;&gt;"moeda")*(Inputs!$G$5:$G$170&lt;&gt;"acoes")))*INDEX(Inputs!$K$5:$AJ$170,0,MATCH(Y$2,Inputs!$K$4:$AJ$4,0)))))</f>
        <v>-534.657</v>
      </c>
      <c r="Z45" s="6">
        <f>IF(ISNA(MATCH(Z$2,Inputs!$K$4:$AJ$4,0)),NA(),IF(SUMPRODUCT((Inputs!$A$5:$A$170=$B45)*ISNUMBER(INDEX(Inputs!$K$5:$AJ$170,0,MATCH(Z$2,Inputs!$K$4:$AJ$4,0))))+SUMPRODUCT((Inputs!$C$5:$C$170=$B45)*ISNUMBER(INDEX(Inputs!$K$5:$AJ$170,0,MATCH(Z$2,Inputs!$K$4:$AJ$4,0))))+SUMPRODUCT((Inputs!$E$5:$E$170=$B45)*ISNUMBER(INDEX(Inputs!$K$5:$AJ$170,0,MATCH(Z$2,Inputs!$K$4:$AJ$4,0))))=0,NA(),SUMPRODUCT((Inputs!$A$5:$A$170=$B45)*Inputs!$B$5:$B$170*(((Inputs!$G$5:$G$170="moeda")+(Inputs!$G$5:$G$170="acoes"))*Inputs!$B$1+((Inputs!$G$5:$G$170&lt;&gt;"moeda")*(Inputs!$G$5:$G$170&lt;&gt;"acoes")))*INDEX(Inputs!$K$5:$AJ$170,0,MATCH(Z$2,Inputs!$K$4:$AJ$4,0)))+SUMPRODUCT((Inputs!$C$5:$C$170=$B45)*Inputs!$D$5:$D$170*(((Inputs!$G$5:$G$170="moeda")+(Inputs!$G$5:$G$170="acoes"))*Inputs!$B$1+((Inputs!$G$5:$G$170&lt;&gt;"moeda")*(Inputs!$G$5:$G$170&lt;&gt;"acoes")))*INDEX(Inputs!$K$5:$AJ$170,0,MATCH(Z$2,Inputs!$K$4:$AJ$4,0)))+SUMPRODUCT((Inputs!$E$5:$E$170=$B45)*Inputs!$F$5:$F$170*(((Inputs!$G$5:$G$170="moeda")+(Inputs!$G$5:$G$170="acoes"))*Inputs!$B$1+((Inputs!$G$5:$G$170&lt;&gt;"moeda")*(Inputs!$G$5:$G$170&lt;&gt;"acoes")))*INDEX(Inputs!$K$5:$AJ$170,0,MATCH(Z$2,Inputs!$K$4:$AJ$4,0)))))</f>
        <v>-444.032</v>
      </c>
      <c r="AA45" s="6">
        <f>IF(ISNA(MATCH(AA$2,Inputs!$K$4:$AJ$4,0)),NA(),IF(SUMPRODUCT((Inputs!$A$5:$A$170=$B45)*ISNUMBER(INDEX(Inputs!$K$5:$AJ$170,0,MATCH(AA$2,Inputs!$K$4:$AJ$4,0))))+SUMPRODUCT((Inputs!$C$5:$C$170=$B45)*ISNUMBER(INDEX(Inputs!$K$5:$AJ$170,0,MATCH(AA$2,Inputs!$K$4:$AJ$4,0))))+SUMPRODUCT((Inputs!$E$5:$E$170=$B45)*ISNUMBER(INDEX(Inputs!$K$5:$AJ$170,0,MATCH(AA$2,Inputs!$K$4:$AJ$4,0))))=0,NA(),SUMPRODUCT((Inputs!$A$5:$A$170=$B45)*Inputs!$B$5:$B$170*(((Inputs!$G$5:$G$170="moeda")+(Inputs!$G$5:$G$170="acoes"))*Inputs!$B$1+((Inputs!$G$5:$G$170&lt;&gt;"moeda")*(Inputs!$G$5:$G$170&lt;&gt;"acoes")))*INDEX(Inputs!$K$5:$AJ$170,0,MATCH(AA$2,Inputs!$K$4:$AJ$4,0)))+SUMPRODUCT((Inputs!$C$5:$C$170=$B45)*Inputs!$D$5:$D$170*(((Inputs!$G$5:$G$170="moeda")+(Inputs!$G$5:$G$170="acoes"))*Inputs!$B$1+((Inputs!$G$5:$G$170&lt;&gt;"moeda")*(Inputs!$G$5:$G$170&lt;&gt;"acoes")))*INDEX(Inputs!$K$5:$AJ$170,0,MATCH(AA$2,Inputs!$K$4:$AJ$4,0)))+SUMPRODUCT((Inputs!$E$5:$E$170=$B45)*Inputs!$F$5:$F$170*(((Inputs!$G$5:$G$170="moeda")+(Inputs!$G$5:$G$170="acoes"))*Inputs!$B$1+((Inputs!$G$5:$G$170&lt;&gt;"moeda")*(Inputs!$G$5:$G$170&lt;&gt;"acoes")))*INDEX(Inputs!$K$5:$AJ$170,0,MATCH(AA$2,Inputs!$K$4:$AJ$4,0)))))</f>
        <v>-104.285</v>
      </c>
      <c r="AB45" s="3">
        <f>AA45</f>
        <v>-104.285</v>
      </c>
      <c r="AC45" s="6">
        <f>IF(ISNA(MATCH(AC$2,Inputs!$K$4:$AJ$4,0)),NA(),IF(SUMPRODUCT((Inputs!$A$5:$A$170=$B45)*ISNUMBER(INDEX(Inputs!$K$5:$AJ$170,0,MATCH(AC$2,Inputs!$K$4:$AJ$4,0))))+SUMPRODUCT((Inputs!$C$5:$C$170=$B45)*ISNUMBER(INDEX(Inputs!$K$5:$AJ$170,0,MATCH(AC$2,Inputs!$K$4:$AJ$4,0))))+SUMPRODUCT((Inputs!$E$5:$E$170=$B45)*ISNUMBER(INDEX(Inputs!$K$5:$AJ$170,0,MATCH(AC$2,Inputs!$K$4:$AJ$4,0))))=0,NA(),SUMPRODUCT((Inputs!$A$5:$A$170=$B45)*Inputs!$B$5:$B$170*(((Inputs!$G$5:$G$170="moeda")+(Inputs!$G$5:$G$170="acoes"))*Inputs!$B$1+((Inputs!$G$5:$G$170&lt;&gt;"moeda")*(Inputs!$G$5:$G$170&lt;&gt;"acoes")))*INDEX(Inputs!$K$5:$AJ$170,0,MATCH(AC$2,Inputs!$K$4:$AJ$4,0)))+SUMPRODUCT((Inputs!$C$5:$C$170=$B45)*Inputs!$D$5:$D$170*(((Inputs!$G$5:$G$170="moeda")+(Inputs!$G$5:$G$170="acoes"))*Inputs!$B$1+((Inputs!$G$5:$G$170&lt;&gt;"moeda")*(Inputs!$G$5:$G$170&lt;&gt;"acoes")))*INDEX(Inputs!$K$5:$AJ$170,0,MATCH(AC$2,Inputs!$K$4:$AJ$4,0)))+SUMPRODUCT((Inputs!$E$5:$E$170=$B45)*Inputs!$F$5:$F$170*(((Inputs!$G$5:$G$170="moeda")+(Inputs!$G$5:$G$170="acoes"))*Inputs!$B$1+((Inputs!$G$5:$G$170&lt;&gt;"moeda")*(Inputs!$G$5:$G$170&lt;&gt;"acoes")))*INDEX(Inputs!$K$5:$AJ$170,0,MATCH(AC$2,Inputs!$K$4:$AJ$4,0)))))</f>
        <v>-126.946</v>
      </c>
      <c r="AD45" s="6">
        <f>IF(ISNA(MATCH(AD$2,Inputs!$K$4:$AJ$4,0)),NA(),IF(SUMPRODUCT((Inputs!$A$5:$A$170=$B45)*ISNUMBER(INDEX(Inputs!$K$5:$AJ$170,0,MATCH(AD$2,Inputs!$K$4:$AJ$4,0))))+SUMPRODUCT((Inputs!$C$5:$C$170=$B45)*ISNUMBER(INDEX(Inputs!$K$5:$AJ$170,0,MATCH(AD$2,Inputs!$K$4:$AJ$4,0))))+SUMPRODUCT((Inputs!$E$5:$E$170=$B45)*ISNUMBER(INDEX(Inputs!$K$5:$AJ$170,0,MATCH(AD$2,Inputs!$K$4:$AJ$4,0))))=0,NA(),SUMPRODUCT((Inputs!$A$5:$A$170=$B45)*Inputs!$B$5:$B$170*(((Inputs!$G$5:$G$170="moeda")+(Inputs!$G$5:$G$170="acoes"))*Inputs!$B$1+((Inputs!$G$5:$G$170&lt;&gt;"moeda")*(Inputs!$G$5:$G$170&lt;&gt;"acoes")))*INDEX(Inputs!$K$5:$AJ$170,0,MATCH(AD$2,Inputs!$K$4:$AJ$4,0)))+SUMPRODUCT((Inputs!$C$5:$C$170=$B45)*Inputs!$D$5:$D$170*(((Inputs!$G$5:$G$170="moeda")+(Inputs!$G$5:$G$170="acoes"))*Inputs!$B$1+((Inputs!$G$5:$G$170&lt;&gt;"moeda")*(Inputs!$G$5:$G$170&lt;&gt;"acoes")))*INDEX(Inputs!$K$5:$AJ$170,0,MATCH(AD$2,Inputs!$K$4:$AJ$4,0)))+SUMPRODUCT((Inputs!$E$5:$E$170=$B45)*Inputs!$F$5:$F$170*(((Inputs!$G$5:$G$170="moeda")+(Inputs!$G$5:$G$170="acoes"))*Inputs!$B$1+((Inputs!$G$5:$G$170&lt;&gt;"moeda")*(Inputs!$G$5:$G$170&lt;&gt;"acoes")))*INDEX(Inputs!$K$5:$AJ$170,0,MATCH(AD$2,Inputs!$K$4:$AJ$4,0)))))</f>
        <v>-151.704</v>
      </c>
      <c r="AE45" s="6" t="e">
        <f>IF(ISNA(MATCH(AE$2,Inputs!$K$4:$AJ$4,0)),NA(),IF(SUMPRODUCT((Inputs!$A$5:$A$170=$B45)*ISNUMBER(INDEX(Inputs!$K$5:$AJ$170,0,MATCH(AE$2,Inputs!$K$4:$AJ$4,0))))+SUMPRODUCT((Inputs!$C$5:$C$170=$B45)*ISNUMBER(INDEX(Inputs!$K$5:$AJ$170,0,MATCH(AE$2,Inputs!$K$4:$AJ$4,0))))+SUMPRODUCT((Inputs!$E$5:$E$170=$B45)*ISNUMBER(INDEX(Inputs!$K$5:$AJ$170,0,MATCH(AE$2,Inputs!$K$4:$AJ$4,0))))=0,NA(),SUMPRODUCT((Inputs!$A$5:$A$170=$B45)*Inputs!$B$5:$B$170*(((Inputs!$G$5:$G$170="moeda")+(Inputs!$G$5:$G$170="acoes"))*Inputs!$B$1+((Inputs!$G$5:$G$170&lt;&gt;"moeda")*(Inputs!$G$5:$G$170&lt;&gt;"acoes")))*INDEX(Inputs!$K$5:$AJ$170,0,MATCH(AE$2,Inputs!$K$4:$AJ$4,0)))+SUMPRODUCT((Inputs!$C$5:$C$170=$B45)*Inputs!$D$5:$D$170*(((Inputs!$G$5:$G$170="moeda")+(Inputs!$G$5:$G$170="acoes"))*Inputs!$B$1+((Inputs!$G$5:$G$170&lt;&gt;"moeda")*(Inputs!$G$5:$G$170&lt;&gt;"acoes")))*INDEX(Inputs!$K$5:$AJ$170,0,MATCH(AE$2,Inputs!$K$4:$AJ$4,0)))+SUMPRODUCT((Inputs!$E$5:$E$170=$B45)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5" s="6" t="e">
        <f>IF(ISNA(MATCH(AF$2,Inputs!$K$4:$AJ$4,0)),NA(),IF(SUMPRODUCT((Inputs!$A$5:$A$170=$B45)*ISNUMBER(INDEX(Inputs!$K$5:$AJ$170,0,MATCH(AF$2,Inputs!$K$4:$AJ$4,0))))+SUMPRODUCT((Inputs!$C$5:$C$170=$B45)*ISNUMBER(INDEX(Inputs!$K$5:$AJ$170,0,MATCH(AF$2,Inputs!$K$4:$AJ$4,0))))+SUMPRODUCT((Inputs!$E$5:$E$170=$B45)*ISNUMBER(INDEX(Inputs!$K$5:$AJ$170,0,MATCH(AF$2,Inputs!$K$4:$AJ$4,0))))=0,NA(),SUMPRODUCT((Inputs!$A$5:$A$170=$B45)*Inputs!$B$5:$B$170*(((Inputs!$G$5:$G$170="moeda")+(Inputs!$G$5:$G$170="acoes"))*Inputs!$B$1+((Inputs!$G$5:$G$170&lt;&gt;"moeda")*(Inputs!$G$5:$G$170&lt;&gt;"acoes")))*INDEX(Inputs!$K$5:$AJ$170,0,MATCH(AF$2,Inputs!$K$4:$AJ$4,0)))+SUMPRODUCT((Inputs!$C$5:$C$170=$B45)*Inputs!$D$5:$D$170*(((Inputs!$G$5:$G$170="moeda")+(Inputs!$G$5:$G$170="acoes"))*Inputs!$B$1+((Inputs!$G$5:$G$170&lt;&gt;"moeda")*(Inputs!$G$5:$G$170&lt;&gt;"acoes")))*INDEX(Inputs!$K$5:$AJ$170,0,MATCH(AF$2,Inputs!$K$4:$AJ$4,0)))+SUMPRODUCT((Inputs!$E$5:$E$170=$B45)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5" s="3" t="e">
        <f>AF45</f>
        <v>#N/A</v>
      </c>
      <c r="AH45" s="6">
        <f>IF(ISNA(MATCH(AH$2,Inputs!$K$4:$AJ$4,0)),NA(),IF(SUMPRODUCT((Inputs!$A$5:$A$170=$B45)*ISNUMBER(INDEX(Inputs!$K$5:$AJ$170,0,MATCH(AH$2,Inputs!$K$4:$AJ$4,0))))+SUMPRODUCT((Inputs!$C$5:$C$170=$B45)*ISNUMBER(INDEX(Inputs!$K$5:$AJ$170,0,MATCH(AH$2,Inputs!$K$4:$AJ$4,0))))+SUMPRODUCT((Inputs!$E$5:$E$170=$B45)*ISNUMBER(INDEX(Inputs!$K$5:$AJ$170,0,MATCH(AH$2,Inputs!$K$4:$AJ$4,0))))=0,NA(),SUMPRODUCT((Inputs!$A$5:$A$170=$B45)*Inputs!$B$5:$B$170*(((Inputs!$G$5:$G$170="moeda")+(Inputs!$G$5:$G$170="acoes"))*Inputs!$B$1+((Inputs!$G$5:$G$170&lt;&gt;"moeda")*(Inputs!$G$5:$G$170&lt;&gt;"acoes")))*INDEX(Inputs!$K$5:$AJ$170,0,MATCH(AH$2,Inputs!$K$4:$AJ$4,0)))+SUMPRODUCT((Inputs!$C$5:$C$170=$B45)*Inputs!$D$5:$D$170*(((Inputs!$G$5:$G$170="moeda")+(Inputs!$G$5:$G$170="acoes"))*Inputs!$B$1+((Inputs!$G$5:$G$170&lt;&gt;"moeda")*(Inputs!$G$5:$G$170&lt;&gt;"acoes")))*INDEX(Inputs!$K$5:$AJ$170,0,MATCH(AH$2,Inputs!$K$4:$AJ$4,0)))+SUMPRODUCT((Inputs!$E$5:$E$170=$B45)*Inputs!$F$5:$F$170*(((Inputs!$G$5:$G$170="moeda")+(Inputs!$G$5:$G$170="acoes"))*Inputs!$B$1+((Inputs!$G$5:$G$170&lt;&gt;"moeda")*(Inputs!$G$5:$G$170&lt;&gt;"acoes")))*INDEX(Inputs!$K$5:$AJ$170,0,MATCH(AH$2,Inputs!$K$4:$AJ$4,0)))))</f>
        <v>-4.686</v>
      </c>
      <c r="AI45" s="6">
        <f>IF(ISNA(MATCH(AI$2,Inputs!$K$4:$AJ$4,0)),NA(),IF(SUMPRODUCT((Inputs!$A$5:$A$170=$B45)*ISNUMBER(INDEX(Inputs!$K$5:$AJ$170,0,MATCH(AI$2,Inputs!$K$4:$AJ$4,0))))+SUMPRODUCT((Inputs!$C$5:$C$170=$B45)*ISNUMBER(INDEX(Inputs!$K$5:$AJ$170,0,MATCH(AI$2,Inputs!$K$4:$AJ$4,0))))+SUMPRODUCT((Inputs!$E$5:$E$170=$B45)*ISNUMBER(INDEX(Inputs!$K$5:$AJ$170,0,MATCH(AI$2,Inputs!$K$4:$AJ$4,0))))=0,NA(),SUMPRODUCT((Inputs!$A$5:$A$170=$B45)*Inputs!$B$5:$B$170*(((Inputs!$G$5:$G$170="moeda")+(Inputs!$G$5:$G$170="acoes"))*Inputs!$B$1+((Inputs!$G$5:$G$170&lt;&gt;"moeda")*(Inputs!$G$5:$G$170&lt;&gt;"acoes")))*INDEX(Inputs!$K$5:$AJ$170,0,MATCH(AI$2,Inputs!$K$4:$AJ$4,0)))+SUMPRODUCT((Inputs!$C$5:$C$170=$B45)*Inputs!$D$5:$D$170*(((Inputs!$G$5:$G$170="moeda")+(Inputs!$G$5:$G$170="acoes"))*Inputs!$B$1+((Inputs!$G$5:$G$170&lt;&gt;"moeda")*(Inputs!$G$5:$G$170&lt;&gt;"acoes")))*INDEX(Inputs!$K$5:$AJ$170,0,MATCH(AI$2,Inputs!$K$4:$AJ$4,0)))+SUMPRODUCT((Inputs!$E$5:$E$170=$B45)*Inputs!$F$5:$F$170*(((Inputs!$G$5:$G$170="moeda")+(Inputs!$G$5:$G$170="acoes"))*Inputs!$B$1+((Inputs!$G$5:$G$170&lt;&gt;"moeda")*(Inputs!$G$5:$G$170&lt;&gt;"acoes")))*INDEX(Inputs!$K$5:$AJ$170,0,MATCH(AI$2,Inputs!$K$4:$AJ$4,0)))))</f>
        <v>-3.158</v>
      </c>
      <c r="AJ45" s="6">
        <f>IF(ISNA(MATCH(AJ$2,Inputs!$K$4:$AJ$4,0)),NA(),IF(SUMPRODUCT((Inputs!$A$5:$A$170=$B45)*ISNUMBER(INDEX(Inputs!$K$5:$AJ$170,0,MATCH(AJ$2,Inputs!$K$4:$AJ$4,0))))+SUMPRODUCT((Inputs!$C$5:$C$170=$B45)*ISNUMBER(INDEX(Inputs!$K$5:$AJ$170,0,MATCH(AJ$2,Inputs!$K$4:$AJ$4,0))))+SUMPRODUCT((Inputs!$E$5:$E$170=$B45)*ISNUMBER(INDEX(Inputs!$K$5:$AJ$170,0,MATCH(AJ$2,Inputs!$K$4:$AJ$4,0))))=0,NA(),SUMPRODUCT((Inputs!$A$5:$A$170=$B45)*Inputs!$B$5:$B$170*(((Inputs!$G$5:$G$170="moeda")+(Inputs!$G$5:$G$170="acoes"))*Inputs!$B$1+((Inputs!$G$5:$G$170&lt;&gt;"moeda")*(Inputs!$G$5:$G$170&lt;&gt;"acoes")))*INDEX(Inputs!$K$5:$AJ$170,0,MATCH(AJ$2,Inputs!$K$4:$AJ$4,0)))+SUMPRODUCT((Inputs!$C$5:$C$170=$B45)*Inputs!$D$5:$D$170*(((Inputs!$G$5:$G$170="moeda")+(Inputs!$G$5:$G$170="acoes"))*Inputs!$B$1+((Inputs!$G$5:$G$170&lt;&gt;"moeda")*(Inputs!$G$5:$G$170&lt;&gt;"acoes")))*INDEX(Inputs!$K$5:$AJ$170,0,MATCH(AJ$2,Inputs!$K$4:$AJ$4,0)))+SUMPRODUCT((Inputs!$E$5:$E$170=$B45)*Inputs!$F$5:$F$170*(((Inputs!$G$5:$G$170="moeda")+(Inputs!$G$5:$G$170="acoes"))*Inputs!$B$1+((Inputs!$G$5:$G$170&lt;&gt;"moeda")*(Inputs!$G$5:$G$170&lt;&gt;"acoes")))*INDEX(Inputs!$K$5:$AJ$170,0,MATCH(AJ$2,Inputs!$K$4:$AJ$4,0)))))</f>
        <v>-2.261</v>
      </c>
      <c r="AK45" s="6">
        <f>IF(ISNA(MATCH(AK$2,Inputs!$K$4:$AJ$4,0)),NA(),IF(SUMPRODUCT((Inputs!$A$5:$A$170=$B45)*ISNUMBER(INDEX(Inputs!$K$5:$AJ$170,0,MATCH(AK$2,Inputs!$K$4:$AJ$4,0))))+SUMPRODUCT((Inputs!$C$5:$C$170=$B45)*ISNUMBER(INDEX(Inputs!$K$5:$AJ$170,0,MATCH(AK$2,Inputs!$K$4:$AJ$4,0))))+SUMPRODUCT((Inputs!$E$5:$E$170=$B45)*ISNUMBER(INDEX(Inputs!$K$5:$AJ$170,0,MATCH(AK$2,Inputs!$K$4:$AJ$4,0))))=0,NA(),SUMPRODUCT((Inputs!$A$5:$A$170=$B45)*Inputs!$B$5:$B$170*(((Inputs!$G$5:$G$170="moeda")+(Inputs!$G$5:$G$170="acoes"))*Inputs!$B$1+((Inputs!$G$5:$G$170&lt;&gt;"moeda")*(Inputs!$G$5:$G$170&lt;&gt;"acoes")))*INDEX(Inputs!$K$5:$AJ$170,0,MATCH(AK$2,Inputs!$K$4:$AJ$4,0)))+SUMPRODUCT((Inputs!$C$5:$C$170=$B45)*Inputs!$D$5:$D$170*(((Inputs!$G$5:$G$170="moeda")+(Inputs!$G$5:$G$170="acoes"))*Inputs!$B$1+((Inputs!$G$5:$G$170&lt;&gt;"moeda")*(Inputs!$G$5:$G$170&lt;&gt;"acoes")))*INDEX(Inputs!$K$5:$AJ$170,0,MATCH(AK$2,Inputs!$K$4:$AJ$4,0)))+SUMPRODUCT((Inputs!$E$5:$E$170=$B45)*Inputs!$F$5:$F$170*(((Inputs!$G$5:$G$170="moeda")+(Inputs!$G$5:$G$170="acoes"))*Inputs!$B$1+((Inputs!$G$5:$G$170&lt;&gt;"moeda")*(Inputs!$G$5:$G$170&lt;&gt;"acoes")))*INDEX(Inputs!$K$5:$AJ$170,0,MATCH(AK$2,Inputs!$K$4:$AJ$4,0)))))</f>
        <v>-0.407</v>
      </c>
      <c r="AL45" s="3">
        <f>AK45</f>
        <v>-0.407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$170=$B46)*ISNUMBER(INDEX(Inputs!$K$5:$AJ$170,0,MATCH(D$2,Inputs!$K$4:$AJ$4,0))))+SUMPRODUCT((Inputs!$C$5:$C$170=$B46)*ISNUMBER(INDEX(Inputs!$K$5:$AJ$170,0,MATCH(D$2,Inputs!$K$4:$AJ$4,0))))+SUMPRODUCT((Inputs!$E$5:$E$170=$B46)*ISNUMBER(INDEX(Inputs!$K$5:$AJ$170,0,MATCH(D$2,Inputs!$K$4:$AJ$4,0))))=0,NA(),SUMPRODUCT((Inputs!$A$5:$A$170=$B46)*Inputs!$B$5:$B$170*(((Inputs!$G$5:$G$170="moeda")+(Inputs!$G$5:$G$170="acoes"))*Inputs!$B$1+((Inputs!$G$5:$G$170&lt;&gt;"moeda")*(Inputs!$G$5:$G$170&lt;&gt;"acoes")))*INDEX(Inputs!$K$5:$AJ$170,0,MATCH(D$2,Inputs!$K$4:$AJ$4,0)))+SUMPRODUCT((Inputs!$C$5:$C$170=$B46)*Inputs!$D$5:$D$170*(((Inputs!$G$5:$G$170="moeda")+(Inputs!$G$5:$G$170="acoes"))*Inputs!$B$1+((Inputs!$G$5:$G$170&lt;&gt;"moeda")*(Inputs!$G$5:$G$170&lt;&gt;"acoes")))*INDEX(Inputs!$K$5:$AJ$170,0,MATCH(D$2,Inputs!$K$4:$AJ$4,0)))+SUMPRODUCT((Inputs!$E$5:$E$170=$B46)*Inputs!$F$5:$F$170*(((Inputs!$G$5:$G$170="moeda")+(Inputs!$G$5:$G$170="acoes"))*Inputs!$B$1+((Inputs!$G$5:$G$170&lt;&gt;"moeda")*(Inputs!$G$5:$G$170&lt;&gt;"acoes")))*INDEX(Inputs!$K$5:$AJ$170,0,MATCH(D$2,Inputs!$K$4:$AJ$4,0)))))</f>
        <v>#N/A</v>
      </c>
      <c r="E46" s="6" t="e">
        <f>IF(ISNA(MATCH(E$2,Inputs!$K$4:$AJ$4,0)),NA(),IF(SUMPRODUCT((Inputs!$A$5:$A$170=$B46)*ISNUMBER(INDEX(Inputs!$K$5:$AJ$170,0,MATCH(E$2,Inputs!$K$4:$AJ$4,0))))+SUMPRODUCT((Inputs!$C$5:$C$170=$B46)*ISNUMBER(INDEX(Inputs!$K$5:$AJ$170,0,MATCH(E$2,Inputs!$K$4:$AJ$4,0))))+SUMPRODUCT((Inputs!$E$5:$E$170=$B46)*ISNUMBER(INDEX(Inputs!$K$5:$AJ$170,0,MATCH(E$2,Inputs!$K$4:$AJ$4,0))))=0,NA(),SUMPRODUCT((Inputs!$A$5:$A$170=$B46)*Inputs!$B$5:$B$170*(((Inputs!$G$5:$G$170="moeda")+(Inputs!$G$5:$G$170="acoes"))*Inputs!$B$1+((Inputs!$G$5:$G$170&lt;&gt;"moeda")*(Inputs!$G$5:$G$170&lt;&gt;"acoes")))*INDEX(Inputs!$K$5:$AJ$170,0,MATCH(E$2,Inputs!$K$4:$AJ$4,0)))+SUMPRODUCT((Inputs!$C$5:$C$170=$B46)*Inputs!$D$5:$D$170*(((Inputs!$G$5:$G$170="moeda")+(Inputs!$G$5:$G$170="acoes"))*Inputs!$B$1+((Inputs!$G$5:$G$170&lt;&gt;"moeda")*(Inputs!$G$5:$G$170&lt;&gt;"acoes")))*INDEX(Inputs!$K$5:$AJ$170,0,MATCH(E$2,Inputs!$K$4:$AJ$4,0)))+SUMPRODUCT((Inputs!$E$5:$E$170=$B46)*Inputs!$F$5:$F$170*(((Inputs!$G$5:$G$170="moeda")+(Inputs!$G$5:$G$170="acoes"))*Inputs!$B$1+((Inputs!$G$5:$G$170&lt;&gt;"moeda")*(Inputs!$G$5:$G$170&lt;&gt;"acoes")))*INDEX(Inputs!$K$5:$AJ$170,0,MATCH(E$2,Inputs!$K$4:$AJ$4,0)))))</f>
        <v>#N/A</v>
      </c>
      <c r="F46" s="6" t="e">
        <f>IF(ISNA(MATCH(F$2,Inputs!$K$4:$AJ$4,0)),NA(),IF(SUMPRODUCT((Inputs!$A$5:$A$170=$B46)*ISNUMBER(INDEX(Inputs!$K$5:$AJ$170,0,MATCH(F$2,Inputs!$K$4:$AJ$4,0))))+SUMPRODUCT((Inputs!$C$5:$C$170=$B46)*ISNUMBER(INDEX(Inputs!$K$5:$AJ$170,0,MATCH(F$2,Inputs!$K$4:$AJ$4,0))))+SUMPRODUCT((Inputs!$E$5:$E$170=$B46)*ISNUMBER(INDEX(Inputs!$K$5:$AJ$170,0,MATCH(F$2,Inputs!$K$4:$AJ$4,0))))=0,NA(),SUMPRODUCT((Inputs!$A$5:$A$170=$B46)*Inputs!$B$5:$B$170*(((Inputs!$G$5:$G$170="moeda")+(Inputs!$G$5:$G$170="acoes"))*Inputs!$B$1+((Inputs!$G$5:$G$170&lt;&gt;"moeda")*(Inputs!$G$5:$G$170&lt;&gt;"acoes")))*INDEX(Inputs!$K$5:$AJ$170,0,MATCH(F$2,Inputs!$K$4:$AJ$4,0)))+SUMPRODUCT((Inputs!$C$5:$C$170=$B46)*Inputs!$D$5:$D$170*(((Inputs!$G$5:$G$170="moeda")+(Inputs!$G$5:$G$170="acoes"))*Inputs!$B$1+((Inputs!$G$5:$G$170&lt;&gt;"moeda")*(Inputs!$G$5:$G$170&lt;&gt;"acoes")))*INDEX(Inputs!$K$5:$AJ$170,0,MATCH(F$2,Inputs!$K$4:$AJ$4,0)))+SUMPRODUCT((Inputs!$E$5:$E$170=$B46)*Inputs!$F$5:$F$170*(((Inputs!$G$5:$G$170="moeda")+(Inputs!$G$5:$G$170="acoes"))*Inputs!$B$1+((Inputs!$G$5:$G$170&lt;&gt;"moeda")*(Inputs!$G$5:$G$170&lt;&gt;"acoes")))*INDEX(Inputs!$K$5:$AJ$170,0,MATCH(F$2,Inputs!$K$4:$AJ$4,0)))))</f>
        <v>#N/A</v>
      </c>
      <c r="G46" s="6" t="e">
        <f>IF(ISNA(MATCH(G$2,Inputs!$K$4:$AJ$4,0)),NA(),IF(SUMPRODUCT((Inputs!$A$5:$A$170=$B46)*ISNUMBER(INDEX(Inputs!$K$5:$AJ$170,0,MATCH(G$2,Inputs!$K$4:$AJ$4,0))))+SUMPRODUCT((Inputs!$C$5:$C$170=$B46)*ISNUMBER(INDEX(Inputs!$K$5:$AJ$170,0,MATCH(G$2,Inputs!$K$4:$AJ$4,0))))+SUMPRODUCT((Inputs!$E$5:$E$170=$B46)*ISNUMBER(INDEX(Inputs!$K$5:$AJ$170,0,MATCH(G$2,Inputs!$K$4:$AJ$4,0))))=0,NA(),SUMPRODUCT((Inputs!$A$5:$A$170=$B46)*Inputs!$B$5:$B$170*(((Inputs!$G$5:$G$170="moeda")+(Inputs!$G$5:$G$170="acoes"))*Inputs!$B$1+((Inputs!$G$5:$G$170&lt;&gt;"moeda")*(Inputs!$G$5:$G$170&lt;&gt;"acoes")))*INDEX(Inputs!$K$5:$AJ$170,0,MATCH(G$2,Inputs!$K$4:$AJ$4,0)))+SUMPRODUCT((Inputs!$C$5:$C$170=$B46)*Inputs!$D$5:$D$170*(((Inputs!$G$5:$G$170="moeda")+(Inputs!$G$5:$G$170="acoes"))*Inputs!$B$1+((Inputs!$G$5:$G$170&lt;&gt;"moeda")*(Inputs!$G$5:$G$170&lt;&gt;"acoes")))*INDEX(Inputs!$K$5:$AJ$170,0,MATCH(G$2,Inputs!$K$4:$AJ$4,0)))+SUMPRODUCT((Inputs!$E$5:$E$170=$B46)*Inputs!$F$5:$F$170*(((Inputs!$G$5:$G$170="moeda")+(Inputs!$G$5:$G$170="acoes"))*Inputs!$B$1+((Inputs!$G$5:$G$170&lt;&gt;"moeda")*(Inputs!$G$5:$G$170&lt;&gt;"acoes")))*INDEX(Inputs!$K$5:$AJ$170,0,MATCH(G$2,Inputs!$K$4:$AJ$4,0)))))</f>
        <v>#N/A</v>
      </c>
      <c r="H46" s="3" t="e">
        <f>G46</f>
        <v>#N/A</v>
      </c>
      <c r="I46" s="6" t="e">
        <f>IF(ISNA(MATCH(I$2,Inputs!$K$4:$AJ$4,0)),NA(),IF(SUMPRODUCT((Inputs!$A$5:$A$170=$B46)*ISNUMBER(INDEX(Inputs!$K$5:$AJ$170,0,MATCH(I$2,Inputs!$K$4:$AJ$4,0))))+SUMPRODUCT((Inputs!$C$5:$C$170=$B46)*ISNUMBER(INDEX(Inputs!$K$5:$AJ$170,0,MATCH(I$2,Inputs!$K$4:$AJ$4,0))))+SUMPRODUCT((Inputs!$E$5:$E$170=$B46)*ISNUMBER(INDEX(Inputs!$K$5:$AJ$170,0,MATCH(I$2,Inputs!$K$4:$AJ$4,0))))=0,NA(),SUMPRODUCT((Inputs!$A$5:$A$170=$B46)*Inputs!$B$5:$B$170*(((Inputs!$G$5:$G$170="moeda")+(Inputs!$G$5:$G$170="acoes"))*Inputs!$B$1+((Inputs!$G$5:$G$170&lt;&gt;"moeda")*(Inputs!$G$5:$G$170&lt;&gt;"acoes")))*INDEX(Inputs!$K$5:$AJ$170,0,MATCH(I$2,Inputs!$K$4:$AJ$4,0)))+SUMPRODUCT((Inputs!$C$5:$C$170=$B46)*Inputs!$D$5:$D$170*(((Inputs!$G$5:$G$170="moeda")+(Inputs!$G$5:$G$170="acoes"))*Inputs!$B$1+((Inputs!$G$5:$G$170&lt;&gt;"moeda")*(Inputs!$G$5:$G$170&lt;&gt;"acoes")))*INDEX(Inputs!$K$5:$AJ$170,0,MATCH(I$2,Inputs!$K$4:$AJ$4,0)))+SUMPRODUCT((Inputs!$E$5:$E$170=$B46)*Inputs!$F$5:$F$170*(((Inputs!$G$5:$G$170="moeda")+(Inputs!$G$5:$G$170="acoes"))*Inputs!$B$1+((Inputs!$G$5:$G$170&lt;&gt;"moeda")*(Inputs!$G$5:$G$170&lt;&gt;"acoes")))*INDEX(Inputs!$K$5:$AJ$170,0,MATCH(I$2,Inputs!$K$4:$AJ$4,0)))))</f>
        <v>#N/A</v>
      </c>
      <c r="J46" s="6" t="e">
        <f>IF(ISNA(MATCH(J$2,Inputs!$K$4:$AJ$4,0)),NA(),IF(SUMPRODUCT((Inputs!$A$5:$A$170=$B46)*ISNUMBER(INDEX(Inputs!$K$5:$AJ$170,0,MATCH(J$2,Inputs!$K$4:$AJ$4,0))))+SUMPRODUCT((Inputs!$C$5:$C$170=$B46)*ISNUMBER(INDEX(Inputs!$K$5:$AJ$170,0,MATCH(J$2,Inputs!$K$4:$AJ$4,0))))+SUMPRODUCT((Inputs!$E$5:$E$170=$B46)*ISNUMBER(INDEX(Inputs!$K$5:$AJ$170,0,MATCH(J$2,Inputs!$K$4:$AJ$4,0))))=0,NA(),SUMPRODUCT((Inputs!$A$5:$A$170=$B46)*Inputs!$B$5:$B$170*(((Inputs!$G$5:$G$170="moeda")+(Inputs!$G$5:$G$170="acoes"))*Inputs!$B$1+((Inputs!$G$5:$G$170&lt;&gt;"moeda")*(Inputs!$G$5:$G$170&lt;&gt;"acoes")))*INDEX(Inputs!$K$5:$AJ$170,0,MATCH(J$2,Inputs!$K$4:$AJ$4,0)))+SUMPRODUCT((Inputs!$C$5:$C$170=$B46)*Inputs!$D$5:$D$170*(((Inputs!$G$5:$G$170="moeda")+(Inputs!$G$5:$G$170="acoes"))*Inputs!$B$1+((Inputs!$G$5:$G$170&lt;&gt;"moeda")*(Inputs!$G$5:$G$170&lt;&gt;"acoes")))*INDEX(Inputs!$K$5:$AJ$170,0,MATCH(J$2,Inputs!$K$4:$AJ$4,0)))+SUMPRODUCT((Inputs!$E$5:$E$170=$B46)*Inputs!$F$5:$F$170*(((Inputs!$G$5:$G$170="moeda")+(Inputs!$G$5:$G$170="acoes"))*Inputs!$B$1+((Inputs!$G$5:$G$170&lt;&gt;"moeda")*(Inputs!$G$5:$G$170&lt;&gt;"acoes")))*INDEX(Inputs!$K$5:$AJ$170,0,MATCH(J$2,Inputs!$K$4:$AJ$4,0)))))</f>
        <v>#N/A</v>
      </c>
      <c r="K46" s="6" t="e">
        <f>IF(ISNA(MATCH(K$2,Inputs!$K$4:$AJ$4,0)),NA(),IF(SUMPRODUCT((Inputs!$A$5:$A$170=$B46)*ISNUMBER(INDEX(Inputs!$K$5:$AJ$170,0,MATCH(K$2,Inputs!$K$4:$AJ$4,0))))+SUMPRODUCT((Inputs!$C$5:$C$170=$B46)*ISNUMBER(INDEX(Inputs!$K$5:$AJ$170,0,MATCH(K$2,Inputs!$K$4:$AJ$4,0))))+SUMPRODUCT((Inputs!$E$5:$E$170=$B46)*ISNUMBER(INDEX(Inputs!$K$5:$AJ$170,0,MATCH(K$2,Inputs!$K$4:$AJ$4,0))))=0,NA(),SUMPRODUCT((Inputs!$A$5:$A$170=$B46)*Inputs!$B$5:$B$170*(((Inputs!$G$5:$G$170="moeda")+(Inputs!$G$5:$G$170="acoes"))*Inputs!$B$1+((Inputs!$G$5:$G$170&lt;&gt;"moeda")*(Inputs!$G$5:$G$170&lt;&gt;"acoes")))*INDEX(Inputs!$K$5:$AJ$170,0,MATCH(K$2,Inputs!$K$4:$AJ$4,0)))+SUMPRODUCT((Inputs!$C$5:$C$170=$B46)*Inputs!$D$5:$D$170*(((Inputs!$G$5:$G$170="moeda")+(Inputs!$G$5:$G$170="acoes"))*Inputs!$B$1+((Inputs!$G$5:$G$170&lt;&gt;"moeda")*(Inputs!$G$5:$G$170&lt;&gt;"acoes")))*INDEX(Inputs!$K$5:$AJ$170,0,MATCH(K$2,Inputs!$K$4:$AJ$4,0)))+SUMPRODUCT((Inputs!$E$5:$E$170=$B46)*Inputs!$F$5:$F$170*(((Inputs!$G$5:$G$170="moeda")+(Inputs!$G$5:$G$170="acoes"))*Inputs!$B$1+((Inputs!$G$5:$G$170&lt;&gt;"moeda")*(Inputs!$G$5:$G$170&lt;&gt;"acoes")))*INDEX(Inputs!$K$5:$AJ$170,0,MATCH(K$2,Inputs!$K$4:$AJ$4,0)))))</f>
        <v>#N/A</v>
      </c>
      <c r="L46" s="6" t="e">
        <f>IF(ISNA(MATCH(L$2,Inputs!$K$4:$AJ$4,0)),NA(),IF(SUMPRODUCT((Inputs!$A$5:$A$170=$B46)*ISNUMBER(INDEX(Inputs!$K$5:$AJ$170,0,MATCH(L$2,Inputs!$K$4:$AJ$4,0))))+SUMPRODUCT((Inputs!$C$5:$C$170=$B46)*ISNUMBER(INDEX(Inputs!$K$5:$AJ$170,0,MATCH(L$2,Inputs!$K$4:$AJ$4,0))))+SUMPRODUCT((Inputs!$E$5:$E$170=$B46)*ISNUMBER(INDEX(Inputs!$K$5:$AJ$170,0,MATCH(L$2,Inputs!$K$4:$AJ$4,0))))=0,NA(),SUMPRODUCT((Inputs!$A$5:$A$170=$B46)*Inputs!$B$5:$B$170*(((Inputs!$G$5:$G$170="moeda")+(Inputs!$G$5:$G$170="acoes"))*Inputs!$B$1+((Inputs!$G$5:$G$170&lt;&gt;"moeda")*(Inputs!$G$5:$G$170&lt;&gt;"acoes")))*INDEX(Inputs!$K$5:$AJ$170,0,MATCH(L$2,Inputs!$K$4:$AJ$4,0)))+SUMPRODUCT((Inputs!$C$5:$C$170=$B46)*Inputs!$D$5:$D$170*(((Inputs!$G$5:$G$170="moeda")+(Inputs!$G$5:$G$170="acoes"))*Inputs!$B$1+((Inputs!$G$5:$G$170&lt;&gt;"moeda")*(Inputs!$G$5:$G$170&lt;&gt;"acoes")))*INDEX(Inputs!$K$5:$AJ$170,0,MATCH(L$2,Inputs!$K$4:$AJ$4,0)))+SUMPRODUCT((Inputs!$E$5:$E$170=$B46)*Inputs!$F$5:$F$170*(((Inputs!$G$5:$G$170="moeda")+(Inputs!$G$5:$G$170="acoes"))*Inputs!$B$1+((Inputs!$G$5:$G$170&lt;&gt;"moeda")*(Inputs!$G$5:$G$170&lt;&gt;"acoes")))*INDEX(Inputs!$K$5:$AJ$170,0,MATCH(L$2,Inputs!$K$4:$AJ$4,0)))))</f>
        <v>#N/A</v>
      </c>
      <c r="M46" s="3" t="e">
        <f>L46</f>
        <v>#N/A</v>
      </c>
      <c r="N46" s="6" t="e">
        <f>IF(ISNA(MATCH(N$2,Inputs!$K$4:$AJ$4,0)),NA(),IF(SUMPRODUCT((Inputs!$A$5:$A$170=$B46)*ISNUMBER(INDEX(Inputs!$K$5:$AJ$170,0,MATCH(N$2,Inputs!$K$4:$AJ$4,0))))+SUMPRODUCT((Inputs!$C$5:$C$170=$B46)*ISNUMBER(INDEX(Inputs!$K$5:$AJ$170,0,MATCH(N$2,Inputs!$K$4:$AJ$4,0))))+SUMPRODUCT((Inputs!$E$5:$E$170=$B46)*ISNUMBER(INDEX(Inputs!$K$5:$AJ$170,0,MATCH(N$2,Inputs!$K$4:$AJ$4,0))))=0,NA(),SUMPRODUCT((Inputs!$A$5:$A$170=$B46)*Inputs!$B$5:$B$170*(((Inputs!$G$5:$G$170="moeda")+(Inputs!$G$5:$G$170="acoes"))*Inputs!$B$1+((Inputs!$G$5:$G$170&lt;&gt;"moeda")*(Inputs!$G$5:$G$170&lt;&gt;"acoes")))*INDEX(Inputs!$K$5:$AJ$170,0,MATCH(N$2,Inputs!$K$4:$AJ$4,0)))+SUMPRODUCT((Inputs!$C$5:$C$170=$B46)*Inputs!$D$5:$D$170*(((Inputs!$G$5:$G$170="moeda")+(Inputs!$G$5:$G$170="acoes"))*Inputs!$B$1+((Inputs!$G$5:$G$170&lt;&gt;"moeda")*(Inputs!$G$5:$G$170&lt;&gt;"acoes")))*INDEX(Inputs!$K$5:$AJ$170,0,MATCH(N$2,Inputs!$K$4:$AJ$4,0)))+SUMPRODUCT((Inputs!$E$5:$E$170=$B46)*Inputs!$F$5:$F$170*(((Inputs!$G$5:$G$170="moeda")+(Inputs!$G$5:$G$170="acoes"))*Inputs!$B$1+((Inputs!$G$5:$G$170&lt;&gt;"moeda")*(Inputs!$G$5:$G$170&lt;&gt;"acoes")))*INDEX(Inputs!$K$5:$AJ$170,0,MATCH(N$2,Inputs!$K$4:$AJ$4,0)))))</f>
        <v>#N/A</v>
      </c>
      <c r="O46" s="6" t="e">
        <f>IF(ISNA(MATCH(O$2,Inputs!$K$4:$AJ$4,0)),NA(),IF(SUMPRODUCT((Inputs!$A$5:$A$170=$B46)*ISNUMBER(INDEX(Inputs!$K$5:$AJ$170,0,MATCH(O$2,Inputs!$K$4:$AJ$4,0))))+SUMPRODUCT((Inputs!$C$5:$C$170=$B46)*ISNUMBER(INDEX(Inputs!$K$5:$AJ$170,0,MATCH(O$2,Inputs!$K$4:$AJ$4,0))))+SUMPRODUCT((Inputs!$E$5:$E$170=$B46)*ISNUMBER(INDEX(Inputs!$K$5:$AJ$170,0,MATCH(O$2,Inputs!$K$4:$AJ$4,0))))=0,NA(),SUMPRODUCT((Inputs!$A$5:$A$170=$B46)*Inputs!$B$5:$B$170*(((Inputs!$G$5:$G$170="moeda")+(Inputs!$G$5:$G$170="acoes"))*Inputs!$B$1+((Inputs!$G$5:$G$170&lt;&gt;"moeda")*(Inputs!$G$5:$G$170&lt;&gt;"acoes")))*INDEX(Inputs!$K$5:$AJ$170,0,MATCH(O$2,Inputs!$K$4:$AJ$4,0)))+SUMPRODUCT((Inputs!$C$5:$C$170=$B46)*Inputs!$D$5:$D$170*(((Inputs!$G$5:$G$170="moeda")+(Inputs!$G$5:$G$170="acoes"))*Inputs!$B$1+((Inputs!$G$5:$G$170&lt;&gt;"moeda")*(Inputs!$G$5:$G$170&lt;&gt;"acoes")))*INDEX(Inputs!$K$5:$AJ$170,0,MATCH(O$2,Inputs!$K$4:$AJ$4,0)))+SUMPRODUCT((Inputs!$E$5:$E$170=$B46)*Inputs!$F$5:$F$170*(((Inputs!$G$5:$G$170="moeda")+(Inputs!$G$5:$G$170="acoes"))*Inputs!$B$1+((Inputs!$G$5:$G$170&lt;&gt;"moeda")*(Inputs!$G$5:$G$170&lt;&gt;"acoes")))*INDEX(Inputs!$K$5:$AJ$170,0,MATCH(O$2,Inputs!$K$4:$AJ$4,0)))))</f>
        <v>#N/A</v>
      </c>
      <c r="P46" s="6" t="e">
        <f>IF(ISNA(MATCH(P$2,Inputs!$K$4:$AJ$4,0)),NA(),IF(SUMPRODUCT((Inputs!$A$5:$A$170=$B46)*ISNUMBER(INDEX(Inputs!$K$5:$AJ$170,0,MATCH(P$2,Inputs!$K$4:$AJ$4,0))))+SUMPRODUCT((Inputs!$C$5:$C$170=$B46)*ISNUMBER(INDEX(Inputs!$K$5:$AJ$170,0,MATCH(P$2,Inputs!$K$4:$AJ$4,0))))+SUMPRODUCT((Inputs!$E$5:$E$170=$B46)*ISNUMBER(INDEX(Inputs!$K$5:$AJ$170,0,MATCH(P$2,Inputs!$K$4:$AJ$4,0))))=0,NA(),SUMPRODUCT((Inputs!$A$5:$A$170=$B46)*Inputs!$B$5:$B$170*(((Inputs!$G$5:$G$170="moeda")+(Inputs!$G$5:$G$170="acoes"))*Inputs!$B$1+((Inputs!$G$5:$G$170&lt;&gt;"moeda")*(Inputs!$G$5:$G$170&lt;&gt;"acoes")))*INDEX(Inputs!$K$5:$AJ$170,0,MATCH(P$2,Inputs!$K$4:$AJ$4,0)))+SUMPRODUCT((Inputs!$C$5:$C$170=$B46)*Inputs!$D$5:$D$170*(((Inputs!$G$5:$G$170="moeda")+(Inputs!$G$5:$G$170="acoes"))*Inputs!$B$1+((Inputs!$G$5:$G$170&lt;&gt;"moeda")*(Inputs!$G$5:$G$170&lt;&gt;"acoes")))*INDEX(Inputs!$K$5:$AJ$170,0,MATCH(P$2,Inputs!$K$4:$AJ$4,0)))+SUMPRODUCT((Inputs!$E$5:$E$170=$B46)*Inputs!$F$5:$F$170*(((Inputs!$G$5:$G$170="moeda")+(Inputs!$G$5:$G$170="acoes"))*Inputs!$B$1+((Inputs!$G$5:$G$170&lt;&gt;"moeda")*(Inputs!$G$5:$G$170&lt;&gt;"acoes")))*INDEX(Inputs!$K$5:$AJ$170,0,MATCH(P$2,Inputs!$K$4:$AJ$4,0)))))</f>
        <v>#N/A</v>
      </c>
      <c r="Q46" s="6" t="e">
        <f>IF(ISNA(MATCH(Q$2,Inputs!$K$4:$AJ$4,0)),NA(),IF(SUMPRODUCT((Inputs!$A$5:$A$170=$B46)*ISNUMBER(INDEX(Inputs!$K$5:$AJ$170,0,MATCH(Q$2,Inputs!$K$4:$AJ$4,0))))+SUMPRODUCT((Inputs!$C$5:$C$170=$B46)*ISNUMBER(INDEX(Inputs!$K$5:$AJ$170,0,MATCH(Q$2,Inputs!$K$4:$AJ$4,0))))+SUMPRODUCT((Inputs!$E$5:$E$170=$B46)*ISNUMBER(INDEX(Inputs!$K$5:$AJ$170,0,MATCH(Q$2,Inputs!$K$4:$AJ$4,0))))=0,NA(),SUMPRODUCT((Inputs!$A$5:$A$170=$B46)*Inputs!$B$5:$B$170*(((Inputs!$G$5:$G$170="moeda")+(Inputs!$G$5:$G$170="acoes"))*Inputs!$B$1+((Inputs!$G$5:$G$170&lt;&gt;"moeda")*(Inputs!$G$5:$G$170&lt;&gt;"acoes")))*INDEX(Inputs!$K$5:$AJ$170,0,MATCH(Q$2,Inputs!$K$4:$AJ$4,0)))+SUMPRODUCT((Inputs!$C$5:$C$170=$B46)*Inputs!$D$5:$D$170*(((Inputs!$G$5:$G$170="moeda")+(Inputs!$G$5:$G$170="acoes"))*Inputs!$B$1+((Inputs!$G$5:$G$170&lt;&gt;"moeda")*(Inputs!$G$5:$G$170&lt;&gt;"acoes")))*INDEX(Inputs!$K$5:$AJ$170,0,MATCH(Q$2,Inputs!$K$4:$AJ$4,0)))+SUMPRODUCT((Inputs!$E$5:$E$170=$B46)*Inputs!$F$5:$F$170*(((Inputs!$G$5:$G$170="moeda")+(Inputs!$G$5:$G$170="acoes"))*Inputs!$B$1+((Inputs!$G$5:$G$170&lt;&gt;"moeda")*(Inputs!$G$5:$G$170&lt;&gt;"acoes")))*INDEX(Inputs!$K$5:$AJ$170,0,MATCH(Q$2,Inputs!$K$4:$AJ$4,0)))))</f>
        <v>#N/A</v>
      </c>
      <c r="R46" s="3" t="e">
        <f>Q46</f>
        <v>#N/A</v>
      </c>
      <c r="S46" s="6" t="e">
        <f>IF(ISNA(MATCH(S$2,Inputs!$K$4:$AJ$4,0)),NA(),IF(SUMPRODUCT((Inputs!$A$5:$A$170=$B46)*ISNUMBER(INDEX(Inputs!$K$5:$AJ$170,0,MATCH(S$2,Inputs!$K$4:$AJ$4,0))))+SUMPRODUCT((Inputs!$C$5:$C$170=$B46)*ISNUMBER(INDEX(Inputs!$K$5:$AJ$170,0,MATCH(S$2,Inputs!$K$4:$AJ$4,0))))+SUMPRODUCT((Inputs!$E$5:$E$170=$B46)*ISNUMBER(INDEX(Inputs!$K$5:$AJ$170,0,MATCH(S$2,Inputs!$K$4:$AJ$4,0))))=0,NA(),SUMPRODUCT((Inputs!$A$5:$A$170=$B46)*Inputs!$B$5:$B$170*(((Inputs!$G$5:$G$170="moeda")+(Inputs!$G$5:$G$170="acoes"))*Inputs!$B$1+((Inputs!$G$5:$G$170&lt;&gt;"moeda")*(Inputs!$G$5:$G$170&lt;&gt;"acoes")))*INDEX(Inputs!$K$5:$AJ$170,0,MATCH(S$2,Inputs!$K$4:$AJ$4,0)))+SUMPRODUCT((Inputs!$C$5:$C$170=$B46)*Inputs!$D$5:$D$170*(((Inputs!$G$5:$G$170="moeda")+(Inputs!$G$5:$G$170="acoes"))*Inputs!$B$1+((Inputs!$G$5:$G$170&lt;&gt;"moeda")*(Inputs!$G$5:$G$170&lt;&gt;"acoes")))*INDEX(Inputs!$K$5:$AJ$170,0,MATCH(S$2,Inputs!$K$4:$AJ$4,0)))+SUMPRODUCT((Inputs!$E$5:$E$170=$B46)*Inputs!$F$5:$F$170*(((Inputs!$G$5:$G$170="moeda")+(Inputs!$G$5:$G$170="acoes"))*Inputs!$B$1+((Inputs!$G$5:$G$170&lt;&gt;"moeda")*(Inputs!$G$5:$G$170&lt;&gt;"acoes")))*INDEX(Inputs!$K$5:$AJ$170,0,MATCH(S$2,Inputs!$K$4:$AJ$4,0)))))</f>
        <v>#N/A</v>
      </c>
      <c r="T46" s="6" t="e">
        <f>IF(ISNA(MATCH(T$2,Inputs!$K$4:$AJ$4,0)),NA(),IF(SUMPRODUCT((Inputs!$A$5:$A$170=$B46)*ISNUMBER(INDEX(Inputs!$K$5:$AJ$170,0,MATCH(T$2,Inputs!$K$4:$AJ$4,0))))+SUMPRODUCT((Inputs!$C$5:$C$170=$B46)*ISNUMBER(INDEX(Inputs!$K$5:$AJ$170,0,MATCH(T$2,Inputs!$K$4:$AJ$4,0))))+SUMPRODUCT((Inputs!$E$5:$E$170=$B46)*ISNUMBER(INDEX(Inputs!$K$5:$AJ$170,0,MATCH(T$2,Inputs!$K$4:$AJ$4,0))))=0,NA(),SUMPRODUCT((Inputs!$A$5:$A$170=$B46)*Inputs!$B$5:$B$170*(((Inputs!$G$5:$G$170="moeda")+(Inputs!$G$5:$G$170="acoes"))*Inputs!$B$1+((Inputs!$G$5:$G$170&lt;&gt;"moeda")*(Inputs!$G$5:$G$170&lt;&gt;"acoes")))*INDEX(Inputs!$K$5:$AJ$170,0,MATCH(T$2,Inputs!$K$4:$AJ$4,0)))+SUMPRODUCT((Inputs!$C$5:$C$170=$B46)*Inputs!$D$5:$D$170*(((Inputs!$G$5:$G$170="moeda")+(Inputs!$G$5:$G$170="acoes"))*Inputs!$B$1+((Inputs!$G$5:$G$170&lt;&gt;"moeda")*(Inputs!$G$5:$G$170&lt;&gt;"acoes")))*INDEX(Inputs!$K$5:$AJ$170,0,MATCH(T$2,Inputs!$K$4:$AJ$4,0)))+SUMPRODUCT((Inputs!$E$5:$E$170=$B46)*Inputs!$F$5:$F$170*(((Inputs!$G$5:$G$170="moeda")+(Inputs!$G$5:$G$170="acoes"))*Inputs!$B$1+((Inputs!$G$5:$G$170&lt;&gt;"moeda")*(Inputs!$G$5:$G$170&lt;&gt;"acoes")))*INDEX(Inputs!$K$5:$AJ$170,0,MATCH(T$2,Inputs!$K$4:$AJ$4,0)))))</f>
        <v>#N/A</v>
      </c>
      <c r="U46" s="6" t="e">
        <f>IF(ISNA(MATCH(U$2,Inputs!$K$4:$AJ$4,0)),NA(),IF(SUMPRODUCT((Inputs!$A$5:$A$170=$B46)*ISNUMBER(INDEX(Inputs!$K$5:$AJ$170,0,MATCH(U$2,Inputs!$K$4:$AJ$4,0))))+SUMPRODUCT((Inputs!$C$5:$C$170=$B46)*ISNUMBER(INDEX(Inputs!$K$5:$AJ$170,0,MATCH(U$2,Inputs!$K$4:$AJ$4,0))))+SUMPRODUCT((Inputs!$E$5:$E$170=$B46)*ISNUMBER(INDEX(Inputs!$K$5:$AJ$170,0,MATCH(U$2,Inputs!$K$4:$AJ$4,0))))=0,NA(),SUMPRODUCT((Inputs!$A$5:$A$170=$B46)*Inputs!$B$5:$B$170*(((Inputs!$G$5:$G$170="moeda")+(Inputs!$G$5:$G$170="acoes"))*Inputs!$B$1+((Inputs!$G$5:$G$170&lt;&gt;"moeda")*(Inputs!$G$5:$G$170&lt;&gt;"acoes")))*INDEX(Inputs!$K$5:$AJ$170,0,MATCH(U$2,Inputs!$K$4:$AJ$4,0)))+SUMPRODUCT((Inputs!$C$5:$C$170=$B46)*Inputs!$D$5:$D$170*(((Inputs!$G$5:$G$170="moeda")+(Inputs!$G$5:$G$170="acoes"))*Inputs!$B$1+((Inputs!$G$5:$G$170&lt;&gt;"moeda")*(Inputs!$G$5:$G$170&lt;&gt;"acoes")))*INDEX(Inputs!$K$5:$AJ$170,0,MATCH(U$2,Inputs!$K$4:$AJ$4,0)))+SUMPRODUCT((Inputs!$E$5:$E$170=$B46)*Inputs!$F$5:$F$170*(((Inputs!$G$5:$G$170="moeda")+(Inputs!$G$5:$G$170="acoes"))*Inputs!$B$1+((Inputs!$G$5:$G$170&lt;&gt;"moeda")*(Inputs!$G$5:$G$170&lt;&gt;"acoes")))*INDEX(Inputs!$K$5:$AJ$170,0,MATCH(U$2,Inputs!$K$4:$AJ$4,0)))))</f>
        <v>#N/A</v>
      </c>
      <c r="V46" s="6" t="e">
        <f>IF(ISNA(MATCH(V$2,Inputs!$K$4:$AJ$4,0)),NA(),IF(SUMPRODUCT((Inputs!$A$5:$A$170=$B46)*ISNUMBER(INDEX(Inputs!$K$5:$AJ$170,0,MATCH(V$2,Inputs!$K$4:$AJ$4,0))))+SUMPRODUCT((Inputs!$C$5:$C$170=$B46)*ISNUMBER(INDEX(Inputs!$K$5:$AJ$170,0,MATCH(V$2,Inputs!$K$4:$AJ$4,0))))+SUMPRODUCT((Inputs!$E$5:$E$170=$B46)*ISNUMBER(INDEX(Inputs!$K$5:$AJ$170,0,MATCH(V$2,Inputs!$K$4:$AJ$4,0))))=0,NA(),SUMPRODUCT((Inputs!$A$5:$A$170=$B46)*Inputs!$B$5:$B$170*(((Inputs!$G$5:$G$170="moeda")+(Inputs!$G$5:$G$170="acoes"))*Inputs!$B$1+((Inputs!$G$5:$G$170&lt;&gt;"moeda")*(Inputs!$G$5:$G$170&lt;&gt;"acoes")))*INDEX(Inputs!$K$5:$AJ$170,0,MATCH(V$2,Inputs!$K$4:$AJ$4,0)))+SUMPRODUCT((Inputs!$C$5:$C$170=$B46)*Inputs!$D$5:$D$170*(((Inputs!$G$5:$G$170="moeda")+(Inputs!$G$5:$G$170="acoes"))*Inputs!$B$1+((Inputs!$G$5:$G$170&lt;&gt;"moeda")*(Inputs!$G$5:$G$170&lt;&gt;"acoes")))*INDEX(Inputs!$K$5:$AJ$170,0,MATCH(V$2,Inputs!$K$4:$AJ$4,0)))+SUMPRODUCT((Inputs!$E$5:$E$170=$B46)*Inputs!$F$5:$F$170*(((Inputs!$G$5:$G$170="moeda")+(Inputs!$G$5:$G$170="acoes"))*Inputs!$B$1+((Inputs!$G$5:$G$170&lt;&gt;"moeda")*(Inputs!$G$5:$G$170&lt;&gt;"acoes")))*INDEX(Inputs!$K$5:$AJ$170,0,MATCH(V$2,Inputs!$K$4:$AJ$4,0)))))</f>
        <v>#N/A</v>
      </c>
      <c r="W46" s="3" t="e">
        <f>V46</f>
        <v>#N/A</v>
      </c>
      <c r="X46" s="6" t="e">
        <f>IF(ISNA(MATCH(X$2,Inputs!$K$4:$AJ$4,0)),NA(),IF(SUMPRODUCT((Inputs!$A$5:$A$170=$B46)*ISNUMBER(INDEX(Inputs!$K$5:$AJ$170,0,MATCH(X$2,Inputs!$K$4:$AJ$4,0))))+SUMPRODUCT((Inputs!$C$5:$C$170=$B46)*ISNUMBER(INDEX(Inputs!$K$5:$AJ$170,0,MATCH(X$2,Inputs!$K$4:$AJ$4,0))))+SUMPRODUCT((Inputs!$E$5:$E$170=$B46)*ISNUMBER(INDEX(Inputs!$K$5:$AJ$170,0,MATCH(X$2,Inputs!$K$4:$AJ$4,0))))=0,NA(),SUMPRODUCT((Inputs!$A$5:$A$170=$B46)*Inputs!$B$5:$B$170*(((Inputs!$G$5:$G$170="moeda")+(Inputs!$G$5:$G$170="acoes"))*Inputs!$B$1+((Inputs!$G$5:$G$170&lt;&gt;"moeda")*(Inputs!$G$5:$G$170&lt;&gt;"acoes")))*INDEX(Inputs!$K$5:$AJ$170,0,MATCH(X$2,Inputs!$K$4:$AJ$4,0)))+SUMPRODUCT((Inputs!$C$5:$C$170=$B46)*Inputs!$D$5:$D$170*(((Inputs!$G$5:$G$170="moeda")+(Inputs!$G$5:$G$170="acoes"))*Inputs!$B$1+((Inputs!$G$5:$G$170&lt;&gt;"moeda")*(Inputs!$G$5:$G$170&lt;&gt;"acoes")))*INDEX(Inputs!$K$5:$AJ$170,0,MATCH(X$2,Inputs!$K$4:$AJ$4,0)))+SUMPRODUCT((Inputs!$E$5:$E$170=$B46)*Inputs!$F$5:$F$170*(((Inputs!$G$5:$G$170="moeda")+(Inputs!$G$5:$G$170="acoes"))*Inputs!$B$1+((Inputs!$G$5:$G$170&lt;&gt;"moeda")*(Inputs!$G$5:$G$170&lt;&gt;"acoes")))*INDEX(Inputs!$K$5:$AJ$170,0,MATCH(X$2,Inputs!$K$4:$AJ$4,0)))))</f>
        <v>#N/A</v>
      </c>
      <c r="Y46" s="6" t="e">
        <f>IF(ISNA(MATCH(Y$2,Inputs!$K$4:$AJ$4,0)),NA(),IF(SUMPRODUCT((Inputs!$A$5:$A$170=$B46)*ISNUMBER(INDEX(Inputs!$K$5:$AJ$170,0,MATCH(Y$2,Inputs!$K$4:$AJ$4,0))))+SUMPRODUCT((Inputs!$C$5:$C$170=$B46)*ISNUMBER(INDEX(Inputs!$K$5:$AJ$170,0,MATCH(Y$2,Inputs!$K$4:$AJ$4,0))))+SUMPRODUCT((Inputs!$E$5:$E$170=$B46)*ISNUMBER(INDEX(Inputs!$K$5:$AJ$170,0,MATCH(Y$2,Inputs!$K$4:$AJ$4,0))))=0,NA(),SUMPRODUCT((Inputs!$A$5:$A$170=$B46)*Inputs!$B$5:$B$170*(((Inputs!$G$5:$G$170="moeda")+(Inputs!$G$5:$G$170="acoes"))*Inputs!$B$1+((Inputs!$G$5:$G$170&lt;&gt;"moeda")*(Inputs!$G$5:$G$170&lt;&gt;"acoes")))*INDEX(Inputs!$K$5:$AJ$170,0,MATCH(Y$2,Inputs!$K$4:$AJ$4,0)))+SUMPRODUCT((Inputs!$C$5:$C$170=$B46)*Inputs!$D$5:$D$170*(((Inputs!$G$5:$G$170="moeda")+(Inputs!$G$5:$G$170="acoes"))*Inputs!$B$1+((Inputs!$G$5:$G$170&lt;&gt;"moeda")*(Inputs!$G$5:$G$170&lt;&gt;"acoes")))*INDEX(Inputs!$K$5:$AJ$170,0,MATCH(Y$2,Inputs!$K$4:$AJ$4,0)))+SUMPRODUCT((Inputs!$E$5:$E$170=$B46)*Inputs!$F$5:$F$170*(((Inputs!$G$5:$G$170="moeda")+(Inputs!$G$5:$G$170="acoes"))*Inputs!$B$1+((Inputs!$G$5:$G$170&lt;&gt;"moeda")*(Inputs!$G$5:$G$170&lt;&gt;"acoes")))*INDEX(Inputs!$K$5:$AJ$170,0,MATCH(Y$2,Inputs!$K$4:$AJ$4,0)))))</f>
        <v>#N/A</v>
      </c>
      <c r="Z46" s="6" t="e">
        <f>IF(ISNA(MATCH(Z$2,Inputs!$K$4:$AJ$4,0)),NA(),IF(SUMPRODUCT((Inputs!$A$5:$A$170=$B46)*ISNUMBER(INDEX(Inputs!$K$5:$AJ$170,0,MATCH(Z$2,Inputs!$K$4:$AJ$4,0))))+SUMPRODUCT((Inputs!$C$5:$C$170=$B46)*ISNUMBER(INDEX(Inputs!$K$5:$AJ$170,0,MATCH(Z$2,Inputs!$K$4:$AJ$4,0))))+SUMPRODUCT((Inputs!$E$5:$E$170=$B46)*ISNUMBER(INDEX(Inputs!$K$5:$AJ$170,0,MATCH(Z$2,Inputs!$K$4:$AJ$4,0))))=0,NA(),SUMPRODUCT((Inputs!$A$5:$A$170=$B46)*Inputs!$B$5:$B$170*(((Inputs!$G$5:$G$170="moeda")+(Inputs!$G$5:$G$170="acoes"))*Inputs!$B$1+((Inputs!$G$5:$G$170&lt;&gt;"moeda")*(Inputs!$G$5:$G$170&lt;&gt;"acoes")))*INDEX(Inputs!$K$5:$AJ$170,0,MATCH(Z$2,Inputs!$K$4:$AJ$4,0)))+SUMPRODUCT((Inputs!$C$5:$C$170=$B46)*Inputs!$D$5:$D$170*(((Inputs!$G$5:$G$170="moeda")+(Inputs!$G$5:$G$170="acoes"))*Inputs!$B$1+((Inputs!$G$5:$G$170&lt;&gt;"moeda")*(Inputs!$G$5:$G$170&lt;&gt;"acoes")))*INDEX(Inputs!$K$5:$AJ$170,0,MATCH(Z$2,Inputs!$K$4:$AJ$4,0)))+SUMPRODUCT((Inputs!$E$5:$E$170=$B46)*Inputs!$F$5:$F$170*(((Inputs!$G$5:$G$170="moeda")+(Inputs!$G$5:$G$170="acoes"))*Inputs!$B$1+((Inputs!$G$5:$G$170&lt;&gt;"moeda")*(Inputs!$G$5:$G$170&lt;&gt;"acoes")))*INDEX(Inputs!$K$5:$AJ$170,0,MATCH(Z$2,Inputs!$K$4:$AJ$4,0)))))</f>
        <v>#N/A</v>
      </c>
      <c r="AA46" s="6" t="e">
        <f>IF(ISNA(MATCH(AA$2,Inputs!$K$4:$AJ$4,0)),NA(),IF(SUMPRODUCT((Inputs!$A$5:$A$170=$B46)*ISNUMBER(INDEX(Inputs!$K$5:$AJ$170,0,MATCH(AA$2,Inputs!$K$4:$AJ$4,0))))+SUMPRODUCT((Inputs!$C$5:$C$170=$B46)*ISNUMBER(INDEX(Inputs!$K$5:$AJ$170,0,MATCH(AA$2,Inputs!$K$4:$AJ$4,0))))+SUMPRODUCT((Inputs!$E$5:$E$170=$B46)*ISNUMBER(INDEX(Inputs!$K$5:$AJ$170,0,MATCH(AA$2,Inputs!$K$4:$AJ$4,0))))=0,NA(),SUMPRODUCT((Inputs!$A$5:$A$170=$B46)*Inputs!$B$5:$B$170*(((Inputs!$G$5:$G$170="moeda")+(Inputs!$G$5:$G$170="acoes"))*Inputs!$B$1+((Inputs!$G$5:$G$170&lt;&gt;"moeda")*(Inputs!$G$5:$G$170&lt;&gt;"acoes")))*INDEX(Inputs!$K$5:$AJ$170,0,MATCH(AA$2,Inputs!$K$4:$AJ$4,0)))+SUMPRODUCT((Inputs!$C$5:$C$170=$B46)*Inputs!$D$5:$D$170*(((Inputs!$G$5:$G$170="moeda")+(Inputs!$G$5:$G$170="acoes"))*Inputs!$B$1+((Inputs!$G$5:$G$170&lt;&gt;"moeda")*(Inputs!$G$5:$G$170&lt;&gt;"acoes")))*INDEX(Inputs!$K$5:$AJ$170,0,MATCH(AA$2,Inputs!$K$4:$AJ$4,0)))+SUMPRODUCT((Inputs!$E$5:$E$170=$B46)*Inputs!$F$5:$F$170*(((Inputs!$G$5:$G$170="moeda")+(Inputs!$G$5:$G$170="acoes"))*Inputs!$B$1+((Inputs!$G$5:$G$170&lt;&gt;"moeda")*(Inputs!$G$5:$G$170&lt;&gt;"acoes")))*INDEX(Inputs!$K$5:$AJ$170,0,MATCH(AA$2,Inputs!$K$4:$AJ$4,0)))))</f>
        <v>#N/A</v>
      </c>
      <c r="AB46" s="3" t="e">
        <f>AA46</f>
        <v>#N/A</v>
      </c>
      <c r="AC46" s="6" t="e">
        <f>IF(ISNA(MATCH(AC$2,Inputs!$K$4:$AJ$4,0)),NA(),IF(SUMPRODUCT((Inputs!$A$5:$A$170=$B46)*ISNUMBER(INDEX(Inputs!$K$5:$AJ$170,0,MATCH(AC$2,Inputs!$K$4:$AJ$4,0))))+SUMPRODUCT((Inputs!$C$5:$C$170=$B46)*ISNUMBER(INDEX(Inputs!$K$5:$AJ$170,0,MATCH(AC$2,Inputs!$K$4:$AJ$4,0))))+SUMPRODUCT((Inputs!$E$5:$E$170=$B46)*ISNUMBER(INDEX(Inputs!$K$5:$AJ$170,0,MATCH(AC$2,Inputs!$K$4:$AJ$4,0))))=0,NA(),SUMPRODUCT((Inputs!$A$5:$A$170=$B46)*Inputs!$B$5:$B$170*(((Inputs!$G$5:$G$170="moeda")+(Inputs!$G$5:$G$170="acoes"))*Inputs!$B$1+((Inputs!$G$5:$G$170&lt;&gt;"moeda")*(Inputs!$G$5:$G$170&lt;&gt;"acoes")))*INDEX(Inputs!$K$5:$AJ$170,0,MATCH(AC$2,Inputs!$K$4:$AJ$4,0)))+SUMPRODUCT((Inputs!$C$5:$C$170=$B46)*Inputs!$D$5:$D$170*(((Inputs!$G$5:$G$170="moeda")+(Inputs!$G$5:$G$170="acoes"))*Inputs!$B$1+((Inputs!$G$5:$G$170&lt;&gt;"moeda")*(Inputs!$G$5:$G$170&lt;&gt;"acoes")))*INDEX(Inputs!$K$5:$AJ$170,0,MATCH(AC$2,Inputs!$K$4:$AJ$4,0)))+SUMPRODUCT((Inputs!$E$5:$E$170=$B46)*Inputs!$F$5:$F$170*(((Inputs!$G$5:$G$170="moeda")+(Inputs!$G$5:$G$170="acoes"))*Inputs!$B$1+((Inputs!$G$5:$G$170&lt;&gt;"moeda")*(Inputs!$G$5:$G$170&lt;&gt;"acoes")))*INDEX(Inputs!$K$5:$AJ$170,0,MATCH(AC$2,Inputs!$K$4:$AJ$4,0)))))</f>
        <v>#N/A</v>
      </c>
      <c r="AD46" s="6" t="e">
        <f>IF(ISNA(MATCH(AD$2,Inputs!$K$4:$AJ$4,0)),NA(),IF(SUMPRODUCT((Inputs!$A$5:$A$170=$B46)*ISNUMBER(INDEX(Inputs!$K$5:$AJ$170,0,MATCH(AD$2,Inputs!$K$4:$AJ$4,0))))+SUMPRODUCT((Inputs!$C$5:$C$170=$B46)*ISNUMBER(INDEX(Inputs!$K$5:$AJ$170,0,MATCH(AD$2,Inputs!$K$4:$AJ$4,0))))+SUMPRODUCT((Inputs!$E$5:$E$170=$B46)*ISNUMBER(INDEX(Inputs!$K$5:$AJ$170,0,MATCH(AD$2,Inputs!$K$4:$AJ$4,0))))=0,NA(),SUMPRODUCT((Inputs!$A$5:$A$170=$B46)*Inputs!$B$5:$B$170*(((Inputs!$G$5:$G$170="moeda")+(Inputs!$G$5:$G$170="acoes"))*Inputs!$B$1+((Inputs!$G$5:$G$170&lt;&gt;"moeda")*(Inputs!$G$5:$G$170&lt;&gt;"acoes")))*INDEX(Inputs!$K$5:$AJ$170,0,MATCH(AD$2,Inputs!$K$4:$AJ$4,0)))+SUMPRODUCT((Inputs!$C$5:$C$170=$B46)*Inputs!$D$5:$D$170*(((Inputs!$G$5:$G$170="moeda")+(Inputs!$G$5:$G$170="acoes"))*Inputs!$B$1+((Inputs!$G$5:$G$170&lt;&gt;"moeda")*(Inputs!$G$5:$G$170&lt;&gt;"acoes")))*INDEX(Inputs!$K$5:$AJ$170,0,MATCH(AD$2,Inputs!$K$4:$AJ$4,0)))+SUMPRODUCT((Inputs!$E$5:$E$170=$B46)*Inputs!$F$5:$F$170*(((Inputs!$G$5:$G$170="moeda")+(Inputs!$G$5:$G$170="acoes"))*Inputs!$B$1+((Inputs!$G$5:$G$170&lt;&gt;"moeda")*(Inputs!$G$5:$G$170&lt;&gt;"acoes")))*INDEX(Inputs!$K$5:$AJ$170,0,MATCH(AD$2,Inputs!$K$4:$AJ$4,0)))))</f>
        <v>#N/A</v>
      </c>
      <c r="AE46" s="6" t="e">
        <f>IF(ISNA(MATCH(AE$2,Inputs!$K$4:$AJ$4,0)),NA(),IF(SUMPRODUCT((Inputs!$A$5:$A$170=$B46)*ISNUMBER(INDEX(Inputs!$K$5:$AJ$170,0,MATCH(AE$2,Inputs!$K$4:$AJ$4,0))))+SUMPRODUCT((Inputs!$C$5:$C$170=$B46)*ISNUMBER(INDEX(Inputs!$K$5:$AJ$170,0,MATCH(AE$2,Inputs!$K$4:$AJ$4,0))))+SUMPRODUCT((Inputs!$E$5:$E$170=$B46)*ISNUMBER(INDEX(Inputs!$K$5:$AJ$170,0,MATCH(AE$2,Inputs!$K$4:$AJ$4,0))))=0,NA(),SUMPRODUCT((Inputs!$A$5:$A$170=$B46)*Inputs!$B$5:$B$170*(((Inputs!$G$5:$G$170="moeda")+(Inputs!$G$5:$G$170="acoes"))*Inputs!$B$1+((Inputs!$G$5:$G$170&lt;&gt;"moeda")*(Inputs!$G$5:$G$170&lt;&gt;"acoes")))*INDEX(Inputs!$K$5:$AJ$170,0,MATCH(AE$2,Inputs!$K$4:$AJ$4,0)))+SUMPRODUCT((Inputs!$C$5:$C$170=$B46)*Inputs!$D$5:$D$170*(((Inputs!$G$5:$G$170="moeda")+(Inputs!$G$5:$G$170="acoes"))*Inputs!$B$1+((Inputs!$G$5:$G$170&lt;&gt;"moeda")*(Inputs!$G$5:$G$170&lt;&gt;"acoes")))*INDEX(Inputs!$K$5:$AJ$170,0,MATCH(AE$2,Inputs!$K$4:$AJ$4,0)))+SUMPRODUCT((Inputs!$E$5:$E$170=$B46)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6" s="6" t="e">
        <f>IF(ISNA(MATCH(AF$2,Inputs!$K$4:$AJ$4,0)),NA(),IF(SUMPRODUCT((Inputs!$A$5:$A$170=$B46)*ISNUMBER(INDEX(Inputs!$K$5:$AJ$170,0,MATCH(AF$2,Inputs!$K$4:$AJ$4,0))))+SUMPRODUCT((Inputs!$C$5:$C$170=$B46)*ISNUMBER(INDEX(Inputs!$K$5:$AJ$170,0,MATCH(AF$2,Inputs!$K$4:$AJ$4,0))))+SUMPRODUCT((Inputs!$E$5:$E$170=$B46)*ISNUMBER(INDEX(Inputs!$K$5:$AJ$170,0,MATCH(AF$2,Inputs!$K$4:$AJ$4,0))))=0,NA(),SUMPRODUCT((Inputs!$A$5:$A$170=$B46)*Inputs!$B$5:$B$170*(((Inputs!$G$5:$G$170="moeda")+(Inputs!$G$5:$G$170="acoes"))*Inputs!$B$1+((Inputs!$G$5:$G$170&lt;&gt;"moeda")*(Inputs!$G$5:$G$170&lt;&gt;"acoes")))*INDEX(Inputs!$K$5:$AJ$170,0,MATCH(AF$2,Inputs!$K$4:$AJ$4,0)))+SUMPRODUCT((Inputs!$C$5:$C$170=$B46)*Inputs!$D$5:$D$170*(((Inputs!$G$5:$G$170="moeda")+(Inputs!$G$5:$G$170="acoes"))*Inputs!$B$1+((Inputs!$G$5:$G$170&lt;&gt;"moeda")*(Inputs!$G$5:$G$170&lt;&gt;"acoes")))*INDEX(Inputs!$K$5:$AJ$170,0,MATCH(AF$2,Inputs!$K$4:$AJ$4,0)))+SUMPRODUCT((Inputs!$E$5:$E$170=$B46)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6" s="3" t="e">
        <f>AF46</f>
        <v>#N/A</v>
      </c>
      <c r="AH46" s="6" t="e">
        <f>IF(ISNA(MATCH(AH$2,Inputs!$K$4:$AJ$4,0)),NA(),IF(SUMPRODUCT((Inputs!$A$5:$A$170=$B46)*ISNUMBER(INDEX(Inputs!$K$5:$AJ$170,0,MATCH(AH$2,Inputs!$K$4:$AJ$4,0))))+SUMPRODUCT((Inputs!$C$5:$C$170=$B46)*ISNUMBER(INDEX(Inputs!$K$5:$AJ$170,0,MATCH(AH$2,Inputs!$K$4:$AJ$4,0))))+SUMPRODUCT((Inputs!$E$5:$E$170=$B46)*ISNUMBER(INDEX(Inputs!$K$5:$AJ$170,0,MATCH(AH$2,Inputs!$K$4:$AJ$4,0))))=0,NA(),SUMPRODUCT((Inputs!$A$5:$A$170=$B46)*Inputs!$B$5:$B$170*(((Inputs!$G$5:$G$170="moeda")+(Inputs!$G$5:$G$170="acoes"))*Inputs!$B$1+((Inputs!$G$5:$G$170&lt;&gt;"moeda")*(Inputs!$G$5:$G$170&lt;&gt;"acoes")))*INDEX(Inputs!$K$5:$AJ$170,0,MATCH(AH$2,Inputs!$K$4:$AJ$4,0)))+SUMPRODUCT((Inputs!$C$5:$C$170=$B46)*Inputs!$D$5:$D$170*(((Inputs!$G$5:$G$170="moeda")+(Inputs!$G$5:$G$170="acoes"))*Inputs!$B$1+((Inputs!$G$5:$G$170&lt;&gt;"moeda")*(Inputs!$G$5:$G$170&lt;&gt;"acoes")))*INDEX(Inputs!$K$5:$AJ$170,0,MATCH(AH$2,Inputs!$K$4:$AJ$4,0)))+SUMPRODUCT((Inputs!$E$5:$E$170=$B46)*Inputs!$F$5:$F$170*(((Inputs!$G$5:$G$170="moeda")+(Inputs!$G$5:$G$170="acoes"))*Inputs!$B$1+((Inputs!$G$5:$G$170&lt;&gt;"moeda")*(Inputs!$G$5:$G$170&lt;&gt;"acoes")))*INDEX(Inputs!$K$5:$AJ$170,0,MATCH(AH$2,Inputs!$K$4:$AJ$4,0)))))</f>
        <v>#N/A</v>
      </c>
      <c r="AI46" s="6" t="e">
        <f>IF(ISNA(MATCH(AI$2,Inputs!$K$4:$AJ$4,0)),NA(),IF(SUMPRODUCT((Inputs!$A$5:$A$170=$B46)*ISNUMBER(INDEX(Inputs!$K$5:$AJ$170,0,MATCH(AI$2,Inputs!$K$4:$AJ$4,0))))+SUMPRODUCT((Inputs!$C$5:$C$170=$B46)*ISNUMBER(INDEX(Inputs!$K$5:$AJ$170,0,MATCH(AI$2,Inputs!$K$4:$AJ$4,0))))+SUMPRODUCT((Inputs!$E$5:$E$170=$B46)*ISNUMBER(INDEX(Inputs!$K$5:$AJ$170,0,MATCH(AI$2,Inputs!$K$4:$AJ$4,0))))=0,NA(),SUMPRODUCT((Inputs!$A$5:$A$170=$B46)*Inputs!$B$5:$B$170*(((Inputs!$G$5:$G$170="moeda")+(Inputs!$G$5:$G$170="acoes"))*Inputs!$B$1+((Inputs!$G$5:$G$170&lt;&gt;"moeda")*(Inputs!$G$5:$G$170&lt;&gt;"acoes")))*INDEX(Inputs!$K$5:$AJ$170,0,MATCH(AI$2,Inputs!$K$4:$AJ$4,0)))+SUMPRODUCT((Inputs!$C$5:$C$170=$B46)*Inputs!$D$5:$D$170*(((Inputs!$G$5:$G$170="moeda")+(Inputs!$G$5:$G$170="acoes"))*Inputs!$B$1+((Inputs!$G$5:$G$170&lt;&gt;"moeda")*(Inputs!$G$5:$G$170&lt;&gt;"acoes")))*INDEX(Inputs!$K$5:$AJ$170,0,MATCH(AI$2,Inputs!$K$4:$AJ$4,0)))+SUMPRODUCT((Inputs!$E$5:$E$170=$B46)*Inputs!$F$5:$F$170*(((Inputs!$G$5:$G$170="moeda")+(Inputs!$G$5:$G$170="acoes"))*Inputs!$B$1+((Inputs!$G$5:$G$170&lt;&gt;"moeda")*(Inputs!$G$5:$G$170&lt;&gt;"acoes")))*INDEX(Inputs!$K$5:$AJ$170,0,MATCH(AI$2,Inputs!$K$4:$AJ$4,0)))))</f>
        <v>#N/A</v>
      </c>
      <c r="AJ46" s="6" t="e">
        <f>IF(ISNA(MATCH(AJ$2,Inputs!$K$4:$AJ$4,0)),NA(),IF(SUMPRODUCT((Inputs!$A$5:$A$170=$B46)*ISNUMBER(INDEX(Inputs!$K$5:$AJ$170,0,MATCH(AJ$2,Inputs!$K$4:$AJ$4,0))))+SUMPRODUCT((Inputs!$C$5:$C$170=$B46)*ISNUMBER(INDEX(Inputs!$K$5:$AJ$170,0,MATCH(AJ$2,Inputs!$K$4:$AJ$4,0))))+SUMPRODUCT((Inputs!$E$5:$E$170=$B46)*ISNUMBER(INDEX(Inputs!$K$5:$AJ$170,0,MATCH(AJ$2,Inputs!$K$4:$AJ$4,0))))=0,NA(),SUMPRODUCT((Inputs!$A$5:$A$170=$B46)*Inputs!$B$5:$B$170*(((Inputs!$G$5:$G$170="moeda")+(Inputs!$G$5:$G$170="acoes"))*Inputs!$B$1+((Inputs!$G$5:$G$170&lt;&gt;"moeda")*(Inputs!$G$5:$G$170&lt;&gt;"acoes")))*INDEX(Inputs!$K$5:$AJ$170,0,MATCH(AJ$2,Inputs!$K$4:$AJ$4,0)))+SUMPRODUCT((Inputs!$C$5:$C$170=$B46)*Inputs!$D$5:$D$170*(((Inputs!$G$5:$G$170="moeda")+(Inputs!$G$5:$G$170="acoes"))*Inputs!$B$1+((Inputs!$G$5:$G$170&lt;&gt;"moeda")*(Inputs!$G$5:$G$170&lt;&gt;"acoes")))*INDEX(Inputs!$K$5:$AJ$170,0,MATCH(AJ$2,Inputs!$K$4:$AJ$4,0)))+SUMPRODUCT((Inputs!$E$5:$E$170=$B46)*Inputs!$F$5:$F$170*(((Inputs!$G$5:$G$170="moeda")+(Inputs!$G$5:$G$170="acoes"))*Inputs!$B$1+((Inputs!$G$5:$G$170&lt;&gt;"moeda")*(Inputs!$G$5:$G$170&lt;&gt;"acoes")))*INDEX(Inputs!$K$5:$AJ$170,0,MATCH(AJ$2,Inputs!$K$4:$AJ$4,0)))))</f>
        <v>#N/A</v>
      </c>
      <c r="AK46" s="6" t="e">
        <f>IF(ISNA(MATCH(AK$2,Inputs!$K$4:$AJ$4,0)),NA(),IF(SUMPRODUCT((Inputs!$A$5:$A$170=$B46)*ISNUMBER(INDEX(Inputs!$K$5:$AJ$170,0,MATCH(AK$2,Inputs!$K$4:$AJ$4,0))))+SUMPRODUCT((Inputs!$C$5:$C$170=$B46)*ISNUMBER(INDEX(Inputs!$K$5:$AJ$170,0,MATCH(AK$2,Inputs!$K$4:$AJ$4,0))))+SUMPRODUCT((Inputs!$E$5:$E$170=$B46)*ISNUMBER(INDEX(Inputs!$K$5:$AJ$170,0,MATCH(AK$2,Inputs!$K$4:$AJ$4,0))))=0,NA(),SUMPRODUCT((Inputs!$A$5:$A$170=$B46)*Inputs!$B$5:$B$170*(((Inputs!$G$5:$G$170="moeda")+(Inputs!$G$5:$G$170="acoes"))*Inputs!$B$1+((Inputs!$G$5:$G$170&lt;&gt;"moeda")*(Inputs!$G$5:$G$170&lt;&gt;"acoes")))*INDEX(Inputs!$K$5:$AJ$170,0,MATCH(AK$2,Inputs!$K$4:$AJ$4,0)))+SUMPRODUCT((Inputs!$C$5:$C$170=$B46)*Inputs!$D$5:$D$170*(((Inputs!$G$5:$G$170="moeda")+(Inputs!$G$5:$G$170="acoes"))*Inputs!$B$1+((Inputs!$G$5:$G$170&lt;&gt;"moeda")*(Inputs!$G$5:$G$170&lt;&gt;"acoes")))*INDEX(Inputs!$K$5:$AJ$170,0,MATCH(AK$2,Inputs!$K$4:$AJ$4,0)))+SUMPRODUCT((Inputs!$E$5:$E$170=$B46)*Inputs!$F$5:$F$170*(((Inputs!$G$5:$G$170="moeda")+(Inputs!$G$5:$G$170="acoes"))*Inputs!$B$1+((Inputs!$G$5:$G$170&lt;&gt;"moeda")*(Inputs!$G$5:$G$170&lt;&gt;"acoes")))*INDEX(Inputs!$K$5:$AJ$170,0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$170=$B47)*ISNUMBER(INDEX(Inputs!$K$5:$AJ$170,0,MATCH(D$2,Inputs!$K$4:$AJ$4,0))))+SUMPRODUCT((Inputs!$C$5:$C$170=$B47)*ISNUMBER(INDEX(Inputs!$K$5:$AJ$170,0,MATCH(D$2,Inputs!$K$4:$AJ$4,0))))+SUMPRODUCT((Inputs!$E$5:$E$170=$B47)*ISNUMBER(INDEX(Inputs!$K$5:$AJ$170,0,MATCH(D$2,Inputs!$K$4:$AJ$4,0))))=0,NA(),SUMPRODUCT((Inputs!$A$5:$A$170=$B47)*Inputs!$B$5:$B$170*(((Inputs!$G$5:$G$170="moeda")+(Inputs!$G$5:$G$170="acoes"))*Inputs!$B$1+((Inputs!$G$5:$G$170&lt;&gt;"moeda")*(Inputs!$G$5:$G$170&lt;&gt;"acoes")))*INDEX(Inputs!$K$5:$AJ$170,0,MATCH(D$2,Inputs!$K$4:$AJ$4,0)))+SUMPRODUCT((Inputs!$C$5:$C$170=$B47)*Inputs!$D$5:$D$170*(((Inputs!$G$5:$G$170="moeda")+(Inputs!$G$5:$G$170="acoes"))*Inputs!$B$1+((Inputs!$G$5:$G$170&lt;&gt;"moeda")*(Inputs!$G$5:$G$170&lt;&gt;"acoes")))*INDEX(Inputs!$K$5:$AJ$170,0,MATCH(D$2,Inputs!$K$4:$AJ$4,0)))+SUMPRODUCT((Inputs!$E$5:$E$170=$B47)*Inputs!$F$5:$F$170*(((Inputs!$G$5:$G$170="moeda")+(Inputs!$G$5:$G$170="acoes"))*Inputs!$B$1+((Inputs!$G$5:$G$170&lt;&gt;"moeda")*(Inputs!$G$5:$G$170&lt;&gt;"acoes")))*INDEX(Inputs!$K$5:$AJ$170,0,MATCH(D$2,Inputs!$K$4:$AJ$4,0)))))</f>
        <v>394.069</v>
      </c>
      <c r="E47" s="6">
        <f>IF(ISNA(MATCH(E$2,Inputs!$K$4:$AJ$4,0)),NA(),IF(SUMPRODUCT((Inputs!$A$5:$A$170=$B47)*ISNUMBER(INDEX(Inputs!$K$5:$AJ$170,0,MATCH(E$2,Inputs!$K$4:$AJ$4,0))))+SUMPRODUCT((Inputs!$C$5:$C$170=$B47)*ISNUMBER(INDEX(Inputs!$K$5:$AJ$170,0,MATCH(E$2,Inputs!$K$4:$AJ$4,0))))+SUMPRODUCT((Inputs!$E$5:$E$170=$B47)*ISNUMBER(INDEX(Inputs!$K$5:$AJ$170,0,MATCH(E$2,Inputs!$K$4:$AJ$4,0))))=0,NA(),SUMPRODUCT((Inputs!$A$5:$A$170=$B47)*Inputs!$B$5:$B$170*(((Inputs!$G$5:$G$170="moeda")+(Inputs!$G$5:$G$170="acoes"))*Inputs!$B$1+((Inputs!$G$5:$G$170&lt;&gt;"moeda")*(Inputs!$G$5:$G$170&lt;&gt;"acoes")))*INDEX(Inputs!$K$5:$AJ$170,0,MATCH(E$2,Inputs!$K$4:$AJ$4,0)))+SUMPRODUCT((Inputs!$C$5:$C$170=$B47)*Inputs!$D$5:$D$170*(((Inputs!$G$5:$G$170="moeda")+(Inputs!$G$5:$G$170="acoes"))*Inputs!$B$1+((Inputs!$G$5:$G$170&lt;&gt;"moeda")*(Inputs!$G$5:$G$170&lt;&gt;"acoes")))*INDEX(Inputs!$K$5:$AJ$170,0,MATCH(E$2,Inputs!$K$4:$AJ$4,0)))+SUMPRODUCT((Inputs!$E$5:$E$170=$B47)*Inputs!$F$5:$F$170*(((Inputs!$G$5:$G$170="moeda")+(Inputs!$G$5:$G$170="acoes"))*Inputs!$B$1+((Inputs!$G$5:$G$170&lt;&gt;"moeda")*(Inputs!$G$5:$G$170&lt;&gt;"acoes")))*INDEX(Inputs!$K$5:$AJ$170,0,MATCH(E$2,Inputs!$K$4:$AJ$4,0)))))</f>
        <v>544.089</v>
      </c>
      <c r="F47" s="6">
        <f>IF(ISNA(MATCH(F$2,Inputs!$K$4:$AJ$4,0)),NA(),IF(SUMPRODUCT((Inputs!$A$5:$A$170=$B47)*ISNUMBER(INDEX(Inputs!$K$5:$AJ$170,0,MATCH(F$2,Inputs!$K$4:$AJ$4,0))))+SUMPRODUCT((Inputs!$C$5:$C$170=$B47)*ISNUMBER(INDEX(Inputs!$K$5:$AJ$170,0,MATCH(F$2,Inputs!$K$4:$AJ$4,0))))+SUMPRODUCT((Inputs!$E$5:$E$170=$B47)*ISNUMBER(INDEX(Inputs!$K$5:$AJ$170,0,MATCH(F$2,Inputs!$K$4:$AJ$4,0))))=0,NA(),SUMPRODUCT((Inputs!$A$5:$A$170=$B47)*Inputs!$B$5:$B$170*(((Inputs!$G$5:$G$170="moeda")+(Inputs!$G$5:$G$170="acoes"))*Inputs!$B$1+((Inputs!$G$5:$G$170&lt;&gt;"moeda")*(Inputs!$G$5:$G$170&lt;&gt;"acoes")))*INDEX(Inputs!$K$5:$AJ$170,0,MATCH(F$2,Inputs!$K$4:$AJ$4,0)))+SUMPRODUCT((Inputs!$C$5:$C$170=$B47)*Inputs!$D$5:$D$170*(((Inputs!$G$5:$G$170="moeda")+(Inputs!$G$5:$G$170="acoes"))*Inputs!$B$1+((Inputs!$G$5:$G$170&lt;&gt;"moeda")*(Inputs!$G$5:$G$170&lt;&gt;"acoes")))*INDEX(Inputs!$K$5:$AJ$170,0,MATCH(F$2,Inputs!$K$4:$AJ$4,0)))+SUMPRODUCT((Inputs!$E$5:$E$170=$B47)*Inputs!$F$5:$F$170*(((Inputs!$G$5:$G$170="moeda")+(Inputs!$G$5:$G$170="acoes"))*Inputs!$B$1+((Inputs!$G$5:$G$170&lt;&gt;"moeda")*(Inputs!$G$5:$G$170&lt;&gt;"acoes")))*INDEX(Inputs!$K$5:$AJ$170,0,MATCH(F$2,Inputs!$K$4:$AJ$4,0)))))</f>
        <v>771.873</v>
      </c>
      <c r="G47" s="6">
        <f>IF(ISNA(MATCH(G$2,Inputs!$K$4:$AJ$4,0)),NA(),IF(SUMPRODUCT((Inputs!$A$5:$A$170=$B47)*ISNUMBER(INDEX(Inputs!$K$5:$AJ$170,0,MATCH(G$2,Inputs!$K$4:$AJ$4,0))))+SUMPRODUCT((Inputs!$C$5:$C$170=$B47)*ISNUMBER(INDEX(Inputs!$K$5:$AJ$170,0,MATCH(G$2,Inputs!$K$4:$AJ$4,0))))+SUMPRODUCT((Inputs!$E$5:$E$170=$B47)*ISNUMBER(INDEX(Inputs!$K$5:$AJ$170,0,MATCH(G$2,Inputs!$K$4:$AJ$4,0))))=0,NA(),SUMPRODUCT((Inputs!$A$5:$A$170=$B47)*Inputs!$B$5:$B$170*(((Inputs!$G$5:$G$170="moeda")+(Inputs!$G$5:$G$170="acoes"))*Inputs!$B$1+((Inputs!$G$5:$G$170&lt;&gt;"moeda")*(Inputs!$G$5:$G$170&lt;&gt;"acoes")))*INDEX(Inputs!$K$5:$AJ$170,0,MATCH(G$2,Inputs!$K$4:$AJ$4,0)))+SUMPRODUCT((Inputs!$C$5:$C$170=$B47)*Inputs!$D$5:$D$170*(((Inputs!$G$5:$G$170="moeda")+(Inputs!$G$5:$G$170="acoes"))*Inputs!$B$1+((Inputs!$G$5:$G$170&lt;&gt;"moeda")*(Inputs!$G$5:$G$170&lt;&gt;"acoes")))*INDEX(Inputs!$K$5:$AJ$170,0,MATCH(G$2,Inputs!$K$4:$AJ$4,0)))+SUMPRODUCT((Inputs!$E$5:$E$170=$B47)*Inputs!$F$5:$F$170*(((Inputs!$G$5:$G$170="moeda")+(Inputs!$G$5:$G$170="acoes"))*Inputs!$B$1+((Inputs!$G$5:$G$170&lt;&gt;"moeda")*(Inputs!$G$5:$G$170&lt;&gt;"acoes")))*INDEX(Inputs!$K$5:$AJ$170,0,MATCH(G$2,Inputs!$K$4:$AJ$4,0)))))</f>
        <v>913.96</v>
      </c>
      <c r="H47" s="3">
        <f>G47</f>
        <v>913.96</v>
      </c>
      <c r="I47" s="6">
        <f>IF(ISNA(MATCH(I$2,Inputs!$K$4:$AJ$4,0)),NA(),IF(SUMPRODUCT((Inputs!$A$5:$A$170=$B47)*ISNUMBER(INDEX(Inputs!$K$5:$AJ$170,0,MATCH(I$2,Inputs!$K$4:$AJ$4,0))))+SUMPRODUCT((Inputs!$C$5:$C$170=$B47)*ISNUMBER(INDEX(Inputs!$K$5:$AJ$170,0,MATCH(I$2,Inputs!$K$4:$AJ$4,0))))+SUMPRODUCT((Inputs!$E$5:$E$170=$B47)*ISNUMBER(INDEX(Inputs!$K$5:$AJ$170,0,MATCH(I$2,Inputs!$K$4:$AJ$4,0))))=0,NA(),SUMPRODUCT((Inputs!$A$5:$A$170=$B47)*Inputs!$B$5:$B$170*(((Inputs!$G$5:$G$170="moeda")+(Inputs!$G$5:$G$170="acoes"))*Inputs!$B$1+((Inputs!$G$5:$G$170&lt;&gt;"moeda")*(Inputs!$G$5:$G$170&lt;&gt;"acoes")))*INDEX(Inputs!$K$5:$AJ$170,0,MATCH(I$2,Inputs!$K$4:$AJ$4,0)))+SUMPRODUCT((Inputs!$C$5:$C$170=$B47)*Inputs!$D$5:$D$170*(((Inputs!$G$5:$G$170="moeda")+(Inputs!$G$5:$G$170="acoes"))*Inputs!$B$1+((Inputs!$G$5:$G$170&lt;&gt;"moeda")*(Inputs!$G$5:$G$170&lt;&gt;"acoes")))*INDEX(Inputs!$K$5:$AJ$170,0,MATCH(I$2,Inputs!$K$4:$AJ$4,0)))+SUMPRODUCT((Inputs!$E$5:$E$170=$B47)*Inputs!$F$5:$F$170*(((Inputs!$G$5:$G$170="moeda")+(Inputs!$G$5:$G$170="acoes"))*Inputs!$B$1+((Inputs!$G$5:$G$170&lt;&gt;"moeda")*(Inputs!$G$5:$G$170&lt;&gt;"acoes")))*INDEX(Inputs!$K$5:$AJ$170,0,MATCH(I$2,Inputs!$K$4:$AJ$4,0)))))</f>
        <v>1118.054</v>
      </c>
      <c r="J47" s="6">
        <f>IF(ISNA(MATCH(J$2,Inputs!$K$4:$AJ$4,0)),NA(),IF(SUMPRODUCT((Inputs!$A$5:$A$170=$B47)*ISNUMBER(INDEX(Inputs!$K$5:$AJ$170,0,MATCH(J$2,Inputs!$K$4:$AJ$4,0))))+SUMPRODUCT((Inputs!$C$5:$C$170=$B47)*ISNUMBER(INDEX(Inputs!$K$5:$AJ$170,0,MATCH(J$2,Inputs!$K$4:$AJ$4,0))))+SUMPRODUCT((Inputs!$E$5:$E$170=$B47)*ISNUMBER(INDEX(Inputs!$K$5:$AJ$170,0,MATCH(J$2,Inputs!$K$4:$AJ$4,0))))=0,NA(),SUMPRODUCT((Inputs!$A$5:$A$170=$B47)*Inputs!$B$5:$B$170*(((Inputs!$G$5:$G$170="moeda")+(Inputs!$G$5:$G$170="acoes"))*Inputs!$B$1+((Inputs!$G$5:$G$170&lt;&gt;"moeda")*(Inputs!$G$5:$G$170&lt;&gt;"acoes")))*INDEX(Inputs!$K$5:$AJ$170,0,MATCH(J$2,Inputs!$K$4:$AJ$4,0)))+SUMPRODUCT((Inputs!$C$5:$C$170=$B47)*Inputs!$D$5:$D$170*(((Inputs!$G$5:$G$170="moeda")+(Inputs!$G$5:$G$170="acoes"))*Inputs!$B$1+((Inputs!$G$5:$G$170&lt;&gt;"moeda")*(Inputs!$G$5:$G$170&lt;&gt;"acoes")))*INDEX(Inputs!$K$5:$AJ$170,0,MATCH(J$2,Inputs!$K$4:$AJ$4,0)))+SUMPRODUCT((Inputs!$E$5:$E$170=$B47)*Inputs!$F$5:$F$170*(((Inputs!$G$5:$G$170="moeda")+(Inputs!$G$5:$G$170="acoes"))*Inputs!$B$1+((Inputs!$G$5:$G$170&lt;&gt;"moeda")*(Inputs!$G$5:$G$170&lt;&gt;"acoes")))*INDEX(Inputs!$K$5:$AJ$170,0,MATCH(J$2,Inputs!$K$4:$AJ$4,0)))))</f>
        <v>1034.26</v>
      </c>
      <c r="K47" s="6">
        <f>IF(ISNA(MATCH(K$2,Inputs!$K$4:$AJ$4,0)),NA(),IF(SUMPRODUCT((Inputs!$A$5:$A$170=$B47)*ISNUMBER(INDEX(Inputs!$K$5:$AJ$170,0,MATCH(K$2,Inputs!$K$4:$AJ$4,0))))+SUMPRODUCT((Inputs!$C$5:$C$170=$B47)*ISNUMBER(INDEX(Inputs!$K$5:$AJ$170,0,MATCH(K$2,Inputs!$K$4:$AJ$4,0))))+SUMPRODUCT((Inputs!$E$5:$E$170=$B47)*ISNUMBER(INDEX(Inputs!$K$5:$AJ$170,0,MATCH(K$2,Inputs!$K$4:$AJ$4,0))))=0,NA(),SUMPRODUCT((Inputs!$A$5:$A$170=$B47)*Inputs!$B$5:$B$170*(((Inputs!$G$5:$G$170="moeda")+(Inputs!$G$5:$G$170="acoes"))*Inputs!$B$1+((Inputs!$G$5:$G$170&lt;&gt;"moeda")*(Inputs!$G$5:$G$170&lt;&gt;"acoes")))*INDEX(Inputs!$K$5:$AJ$170,0,MATCH(K$2,Inputs!$K$4:$AJ$4,0)))+SUMPRODUCT((Inputs!$C$5:$C$170=$B47)*Inputs!$D$5:$D$170*(((Inputs!$G$5:$G$170="moeda")+(Inputs!$G$5:$G$170="acoes"))*Inputs!$B$1+((Inputs!$G$5:$G$170&lt;&gt;"moeda")*(Inputs!$G$5:$G$170&lt;&gt;"acoes")))*INDEX(Inputs!$K$5:$AJ$170,0,MATCH(K$2,Inputs!$K$4:$AJ$4,0)))+SUMPRODUCT((Inputs!$E$5:$E$170=$B47)*Inputs!$F$5:$F$170*(((Inputs!$G$5:$G$170="moeda")+(Inputs!$G$5:$G$170="acoes"))*Inputs!$B$1+((Inputs!$G$5:$G$170&lt;&gt;"moeda")*(Inputs!$G$5:$G$170&lt;&gt;"acoes")))*INDEX(Inputs!$K$5:$AJ$170,0,MATCH(K$2,Inputs!$K$4:$AJ$4,0)))))</f>
        <v>1072.979</v>
      </c>
      <c r="L47" s="6">
        <f>IF(ISNA(MATCH(L$2,Inputs!$K$4:$AJ$4,0)),NA(),IF(SUMPRODUCT((Inputs!$A$5:$A$170=$B47)*ISNUMBER(INDEX(Inputs!$K$5:$AJ$170,0,MATCH(L$2,Inputs!$K$4:$AJ$4,0))))+SUMPRODUCT((Inputs!$C$5:$C$170=$B47)*ISNUMBER(INDEX(Inputs!$K$5:$AJ$170,0,MATCH(L$2,Inputs!$K$4:$AJ$4,0))))+SUMPRODUCT((Inputs!$E$5:$E$170=$B47)*ISNUMBER(INDEX(Inputs!$K$5:$AJ$170,0,MATCH(L$2,Inputs!$K$4:$AJ$4,0))))=0,NA(),SUMPRODUCT((Inputs!$A$5:$A$170=$B47)*Inputs!$B$5:$B$170*(((Inputs!$G$5:$G$170="moeda")+(Inputs!$G$5:$G$170="acoes"))*Inputs!$B$1+((Inputs!$G$5:$G$170&lt;&gt;"moeda")*(Inputs!$G$5:$G$170&lt;&gt;"acoes")))*INDEX(Inputs!$K$5:$AJ$170,0,MATCH(L$2,Inputs!$K$4:$AJ$4,0)))+SUMPRODUCT((Inputs!$C$5:$C$170=$B47)*Inputs!$D$5:$D$170*(((Inputs!$G$5:$G$170="moeda")+(Inputs!$G$5:$G$170="acoes"))*Inputs!$B$1+((Inputs!$G$5:$G$170&lt;&gt;"moeda")*(Inputs!$G$5:$G$170&lt;&gt;"acoes")))*INDEX(Inputs!$K$5:$AJ$170,0,MATCH(L$2,Inputs!$K$4:$AJ$4,0)))+SUMPRODUCT((Inputs!$E$5:$E$170=$B47)*Inputs!$F$5:$F$170*(((Inputs!$G$5:$G$170="moeda")+(Inputs!$G$5:$G$170="acoes"))*Inputs!$B$1+((Inputs!$G$5:$G$170&lt;&gt;"moeda")*(Inputs!$G$5:$G$170&lt;&gt;"acoes")))*INDEX(Inputs!$K$5:$AJ$170,0,MATCH(L$2,Inputs!$K$4:$AJ$4,0)))))</f>
        <v>992.503</v>
      </c>
      <c r="M47" s="3">
        <f>L47</f>
        <v>992.503</v>
      </c>
      <c r="N47" s="6">
        <f>IF(ISNA(MATCH(N$2,Inputs!$K$4:$AJ$4,0)),NA(),IF(SUMPRODUCT((Inputs!$A$5:$A$170=$B47)*ISNUMBER(INDEX(Inputs!$K$5:$AJ$170,0,MATCH(N$2,Inputs!$K$4:$AJ$4,0))))+SUMPRODUCT((Inputs!$C$5:$C$170=$B47)*ISNUMBER(INDEX(Inputs!$K$5:$AJ$170,0,MATCH(N$2,Inputs!$K$4:$AJ$4,0))))+SUMPRODUCT((Inputs!$E$5:$E$170=$B47)*ISNUMBER(INDEX(Inputs!$K$5:$AJ$170,0,MATCH(N$2,Inputs!$K$4:$AJ$4,0))))=0,NA(),SUMPRODUCT((Inputs!$A$5:$A$170=$B47)*Inputs!$B$5:$B$170*(((Inputs!$G$5:$G$170="moeda")+(Inputs!$G$5:$G$170="acoes"))*Inputs!$B$1+((Inputs!$G$5:$G$170&lt;&gt;"moeda")*(Inputs!$G$5:$G$170&lt;&gt;"acoes")))*INDEX(Inputs!$K$5:$AJ$170,0,MATCH(N$2,Inputs!$K$4:$AJ$4,0)))+SUMPRODUCT((Inputs!$C$5:$C$170=$B47)*Inputs!$D$5:$D$170*(((Inputs!$G$5:$G$170="moeda")+(Inputs!$G$5:$G$170="acoes"))*Inputs!$B$1+((Inputs!$G$5:$G$170&lt;&gt;"moeda")*(Inputs!$G$5:$G$170&lt;&gt;"acoes")))*INDEX(Inputs!$K$5:$AJ$170,0,MATCH(N$2,Inputs!$K$4:$AJ$4,0)))+SUMPRODUCT((Inputs!$E$5:$E$170=$B47)*Inputs!$F$5:$F$170*(((Inputs!$G$5:$G$170="moeda")+(Inputs!$G$5:$G$170="acoes"))*Inputs!$B$1+((Inputs!$G$5:$G$170&lt;&gt;"moeda")*(Inputs!$G$5:$G$170&lt;&gt;"acoes")))*INDEX(Inputs!$K$5:$AJ$170,0,MATCH(N$2,Inputs!$K$4:$AJ$4,0)))))</f>
        <v>1013.55</v>
      </c>
      <c r="O47" s="6">
        <f>IF(ISNA(MATCH(O$2,Inputs!$K$4:$AJ$4,0)),NA(),IF(SUMPRODUCT((Inputs!$A$5:$A$170=$B47)*ISNUMBER(INDEX(Inputs!$K$5:$AJ$170,0,MATCH(O$2,Inputs!$K$4:$AJ$4,0))))+SUMPRODUCT((Inputs!$C$5:$C$170=$B47)*ISNUMBER(INDEX(Inputs!$K$5:$AJ$170,0,MATCH(O$2,Inputs!$K$4:$AJ$4,0))))+SUMPRODUCT((Inputs!$E$5:$E$170=$B47)*ISNUMBER(INDEX(Inputs!$K$5:$AJ$170,0,MATCH(O$2,Inputs!$K$4:$AJ$4,0))))=0,NA(),SUMPRODUCT((Inputs!$A$5:$A$170=$B47)*Inputs!$B$5:$B$170*(((Inputs!$G$5:$G$170="moeda")+(Inputs!$G$5:$G$170="acoes"))*Inputs!$B$1+((Inputs!$G$5:$G$170&lt;&gt;"moeda")*(Inputs!$G$5:$G$170&lt;&gt;"acoes")))*INDEX(Inputs!$K$5:$AJ$170,0,MATCH(O$2,Inputs!$K$4:$AJ$4,0)))+SUMPRODUCT((Inputs!$C$5:$C$170=$B47)*Inputs!$D$5:$D$170*(((Inputs!$G$5:$G$170="moeda")+(Inputs!$G$5:$G$170="acoes"))*Inputs!$B$1+((Inputs!$G$5:$G$170&lt;&gt;"moeda")*(Inputs!$G$5:$G$170&lt;&gt;"acoes")))*INDEX(Inputs!$K$5:$AJ$170,0,MATCH(O$2,Inputs!$K$4:$AJ$4,0)))+SUMPRODUCT((Inputs!$E$5:$E$170=$B47)*Inputs!$F$5:$F$170*(((Inputs!$G$5:$G$170="moeda")+(Inputs!$G$5:$G$170="acoes"))*Inputs!$B$1+((Inputs!$G$5:$G$170&lt;&gt;"moeda")*(Inputs!$G$5:$G$170&lt;&gt;"acoes")))*INDEX(Inputs!$K$5:$AJ$170,0,MATCH(O$2,Inputs!$K$4:$AJ$4,0)))))</f>
        <v>995.684</v>
      </c>
      <c r="P47" s="6">
        <f>IF(ISNA(MATCH(P$2,Inputs!$K$4:$AJ$4,0)),NA(),IF(SUMPRODUCT((Inputs!$A$5:$A$170=$B47)*ISNUMBER(INDEX(Inputs!$K$5:$AJ$170,0,MATCH(P$2,Inputs!$K$4:$AJ$4,0))))+SUMPRODUCT((Inputs!$C$5:$C$170=$B47)*ISNUMBER(INDEX(Inputs!$K$5:$AJ$170,0,MATCH(P$2,Inputs!$K$4:$AJ$4,0))))+SUMPRODUCT((Inputs!$E$5:$E$170=$B47)*ISNUMBER(INDEX(Inputs!$K$5:$AJ$170,0,MATCH(P$2,Inputs!$K$4:$AJ$4,0))))=0,NA(),SUMPRODUCT((Inputs!$A$5:$A$170=$B47)*Inputs!$B$5:$B$170*(((Inputs!$G$5:$G$170="moeda")+(Inputs!$G$5:$G$170="acoes"))*Inputs!$B$1+((Inputs!$G$5:$G$170&lt;&gt;"moeda")*(Inputs!$G$5:$G$170&lt;&gt;"acoes")))*INDEX(Inputs!$K$5:$AJ$170,0,MATCH(P$2,Inputs!$K$4:$AJ$4,0)))+SUMPRODUCT((Inputs!$C$5:$C$170=$B47)*Inputs!$D$5:$D$170*(((Inputs!$G$5:$G$170="moeda")+(Inputs!$G$5:$G$170="acoes"))*Inputs!$B$1+((Inputs!$G$5:$G$170&lt;&gt;"moeda")*(Inputs!$G$5:$G$170&lt;&gt;"acoes")))*INDEX(Inputs!$K$5:$AJ$170,0,MATCH(P$2,Inputs!$K$4:$AJ$4,0)))+SUMPRODUCT((Inputs!$E$5:$E$170=$B47)*Inputs!$F$5:$F$170*(((Inputs!$G$5:$G$170="moeda")+(Inputs!$G$5:$G$170="acoes"))*Inputs!$B$1+((Inputs!$G$5:$G$170&lt;&gt;"moeda")*(Inputs!$G$5:$G$170&lt;&gt;"acoes")))*INDEX(Inputs!$K$5:$AJ$170,0,MATCH(P$2,Inputs!$K$4:$AJ$4,0)))))</f>
        <v>929.958</v>
      </c>
      <c r="Q47" s="6">
        <f>IF(ISNA(MATCH(Q$2,Inputs!$K$4:$AJ$4,0)),NA(),IF(SUMPRODUCT((Inputs!$A$5:$A$170=$B47)*ISNUMBER(INDEX(Inputs!$K$5:$AJ$170,0,MATCH(Q$2,Inputs!$K$4:$AJ$4,0))))+SUMPRODUCT((Inputs!$C$5:$C$170=$B47)*ISNUMBER(INDEX(Inputs!$K$5:$AJ$170,0,MATCH(Q$2,Inputs!$K$4:$AJ$4,0))))+SUMPRODUCT((Inputs!$E$5:$E$170=$B47)*ISNUMBER(INDEX(Inputs!$K$5:$AJ$170,0,MATCH(Q$2,Inputs!$K$4:$AJ$4,0))))=0,NA(),SUMPRODUCT((Inputs!$A$5:$A$170=$B47)*Inputs!$B$5:$B$170*(((Inputs!$G$5:$G$170="moeda")+(Inputs!$G$5:$G$170="acoes"))*Inputs!$B$1+((Inputs!$G$5:$G$170&lt;&gt;"moeda")*(Inputs!$G$5:$G$170&lt;&gt;"acoes")))*INDEX(Inputs!$K$5:$AJ$170,0,MATCH(Q$2,Inputs!$K$4:$AJ$4,0)))+SUMPRODUCT((Inputs!$C$5:$C$170=$B47)*Inputs!$D$5:$D$170*(((Inputs!$G$5:$G$170="moeda")+(Inputs!$G$5:$G$170="acoes"))*Inputs!$B$1+((Inputs!$G$5:$G$170&lt;&gt;"moeda")*(Inputs!$G$5:$G$170&lt;&gt;"acoes")))*INDEX(Inputs!$K$5:$AJ$170,0,MATCH(Q$2,Inputs!$K$4:$AJ$4,0)))+SUMPRODUCT((Inputs!$E$5:$E$170=$B47)*Inputs!$F$5:$F$170*(((Inputs!$G$5:$G$170="moeda")+(Inputs!$G$5:$G$170="acoes"))*Inputs!$B$1+((Inputs!$G$5:$G$170&lt;&gt;"moeda")*(Inputs!$G$5:$G$170&lt;&gt;"acoes")))*INDEX(Inputs!$K$5:$AJ$170,0,MATCH(Q$2,Inputs!$K$4:$AJ$4,0)))))</f>
        <v>341.65</v>
      </c>
      <c r="R47" s="3">
        <f>Q47</f>
        <v>341.65</v>
      </c>
      <c r="S47" s="6">
        <f>IF(ISNA(MATCH(S$2,Inputs!$K$4:$AJ$4,0)),NA(),IF(SUMPRODUCT((Inputs!$A$5:$A$170=$B47)*ISNUMBER(INDEX(Inputs!$K$5:$AJ$170,0,MATCH(S$2,Inputs!$K$4:$AJ$4,0))))+SUMPRODUCT((Inputs!$C$5:$C$170=$B47)*ISNUMBER(INDEX(Inputs!$K$5:$AJ$170,0,MATCH(S$2,Inputs!$K$4:$AJ$4,0))))+SUMPRODUCT((Inputs!$E$5:$E$170=$B47)*ISNUMBER(INDEX(Inputs!$K$5:$AJ$170,0,MATCH(S$2,Inputs!$K$4:$AJ$4,0))))=0,NA(),SUMPRODUCT((Inputs!$A$5:$A$170=$B47)*Inputs!$B$5:$B$170*(((Inputs!$G$5:$G$170="moeda")+(Inputs!$G$5:$G$170="acoes"))*Inputs!$B$1+((Inputs!$G$5:$G$170&lt;&gt;"moeda")*(Inputs!$G$5:$G$170&lt;&gt;"acoes")))*INDEX(Inputs!$K$5:$AJ$170,0,MATCH(S$2,Inputs!$K$4:$AJ$4,0)))+SUMPRODUCT((Inputs!$C$5:$C$170=$B47)*Inputs!$D$5:$D$170*(((Inputs!$G$5:$G$170="moeda")+(Inputs!$G$5:$G$170="acoes"))*Inputs!$B$1+((Inputs!$G$5:$G$170&lt;&gt;"moeda")*(Inputs!$G$5:$G$170&lt;&gt;"acoes")))*INDEX(Inputs!$K$5:$AJ$170,0,MATCH(S$2,Inputs!$K$4:$AJ$4,0)))+SUMPRODUCT((Inputs!$E$5:$E$170=$B47)*Inputs!$F$5:$F$170*(((Inputs!$G$5:$G$170="moeda")+(Inputs!$G$5:$G$170="acoes"))*Inputs!$B$1+((Inputs!$G$5:$G$170&lt;&gt;"moeda")*(Inputs!$G$5:$G$170&lt;&gt;"acoes")))*INDEX(Inputs!$K$5:$AJ$170,0,MATCH(S$2,Inputs!$K$4:$AJ$4,0)))))</f>
        <v>390.201</v>
      </c>
      <c r="T47" s="6">
        <f>IF(ISNA(MATCH(T$2,Inputs!$K$4:$AJ$4,0)),NA(),IF(SUMPRODUCT((Inputs!$A$5:$A$170=$B47)*ISNUMBER(INDEX(Inputs!$K$5:$AJ$170,0,MATCH(T$2,Inputs!$K$4:$AJ$4,0))))+SUMPRODUCT((Inputs!$C$5:$C$170=$B47)*ISNUMBER(INDEX(Inputs!$K$5:$AJ$170,0,MATCH(T$2,Inputs!$K$4:$AJ$4,0))))+SUMPRODUCT((Inputs!$E$5:$E$170=$B47)*ISNUMBER(INDEX(Inputs!$K$5:$AJ$170,0,MATCH(T$2,Inputs!$K$4:$AJ$4,0))))=0,NA(),SUMPRODUCT((Inputs!$A$5:$A$170=$B47)*Inputs!$B$5:$B$170*(((Inputs!$G$5:$G$170="moeda")+(Inputs!$G$5:$G$170="acoes"))*Inputs!$B$1+((Inputs!$G$5:$G$170&lt;&gt;"moeda")*(Inputs!$G$5:$G$170&lt;&gt;"acoes")))*INDEX(Inputs!$K$5:$AJ$170,0,MATCH(T$2,Inputs!$K$4:$AJ$4,0)))+SUMPRODUCT((Inputs!$C$5:$C$170=$B47)*Inputs!$D$5:$D$170*(((Inputs!$G$5:$G$170="moeda")+(Inputs!$G$5:$G$170="acoes"))*Inputs!$B$1+((Inputs!$G$5:$G$170&lt;&gt;"moeda")*(Inputs!$G$5:$G$170&lt;&gt;"acoes")))*INDEX(Inputs!$K$5:$AJ$170,0,MATCH(T$2,Inputs!$K$4:$AJ$4,0)))+SUMPRODUCT((Inputs!$E$5:$E$170=$B47)*Inputs!$F$5:$F$170*(((Inputs!$G$5:$G$170="moeda")+(Inputs!$G$5:$G$170="acoes"))*Inputs!$B$1+((Inputs!$G$5:$G$170&lt;&gt;"moeda")*(Inputs!$G$5:$G$170&lt;&gt;"acoes")))*INDEX(Inputs!$K$5:$AJ$170,0,MATCH(T$2,Inputs!$K$4:$AJ$4,0)))))</f>
        <v>432.75</v>
      </c>
      <c r="U47" s="6">
        <f>IF(ISNA(MATCH(U$2,Inputs!$K$4:$AJ$4,0)),NA(),IF(SUMPRODUCT((Inputs!$A$5:$A$170=$B47)*ISNUMBER(INDEX(Inputs!$K$5:$AJ$170,0,MATCH(U$2,Inputs!$K$4:$AJ$4,0))))+SUMPRODUCT((Inputs!$C$5:$C$170=$B47)*ISNUMBER(INDEX(Inputs!$K$5:$AJ$170,0,MATCH(U$2,Inputs!$K$4:$AJ$4,0))))+SUMPRODUCT((Inputs!$E$5:$E$170=$B47)*ISNUMBER(INDEX(Inputs!$K$5:$AJ$170,0,MATCH(U$2,Inputs!$K$4:$AJ$4,0))))=0,NA(),SUMPRODUCT((Inputs!$A$5:$A$170=$B47)*Inputs!$B$5:$B$170*(((Inputs!$G$5:$G$170="moeda")+(Inputs!$G$5:$G$170="acoes"))*Inputs!$B$1+((Inputs!$G$5:$G$170&lt;&gt;"moeda")*(Inputs!$G$5:$G$170&lt;&gt;"acoes")))*INDEX(Inputs!$K$5:$AJ$170,0,MATCH(U$2,Inputs!$K$4:$AJ$4,0)))+SUMPRODUCT((Inputs!$C$5:$C$170=$B47)*Inputs!$D$5:$D$170*(((Inputs!$G$5:$G$170="moeda")+(Inputs!$G$5:$G$170="acoes"))*Inputs!$B$1+((Inputs!$G$5:$G$170&lt;&gt;"moeda")*(Inputs!$G$5:$G$170&lt;&gt;"acoes")))*INDEX(Inputs!$K$5:$AJ$170,0,MATCH(U$2,Inputs!$K$4:$AJ$4,0)))+SUMPRODUCT((Inputs!$E$5:$E$170=$B47)*Inputs!$F$5:$F$170*(((Inputs!$G$5:$G$170="moeda")+(Inputs!$G$5:$G$170="acoes"))*Inputs!$B$1+((Inputs!$G$5:$G$170&lt;&gt;"moeda")*(Inputs!$G$5:$G$170&lt;&gt;"acoes")))*INDEX(Inputs!$K$5:$AJ$170,0,MATCH(U$2,Inputs!$K$4:$AJ$4,0)))))</f>
        <v>510.974</v>
      </c>
      <c r="V47" s="6">
        <f>IF(ISNA(MATCH(V$2,Inputs!$K$4:$AJ$4,0)),NA(),IF(SUMPRODUCT((Inputs!$A$5:$A$170=$B47)*ISNUMBER(INDEX(Inputs!$K$5:$AJ$170,0,MATCH(V$2,Inputs!$K$4:$AJ$4,0))))+SUMPRODUCT((Inputs!$C$5:$C$170=$B47)*ISNUMBER(INDEX(Inputs!$K$5:$AJ$170,0,MATCH(V$2,Inputs!$K$4:$AJ$4,0))))+SUMPRODUCT((Inputs!$E$5:$E$170=$B47)*ISNUMBER(INDEX(Inputs!$K$5:$AJ$170,0,MATCH(V$2,Inputs!$K$4:$AJ$4,0))))=0,NA(),SUMPRODUCT((Inputs!$A$5:$A$170=$B47)*Inputs!$B$5:$B$170*(((Inputs!$G$5:$G$170="moeda")+(Inputs!$G$5:$G$170="acoes"))*Inputs!$B$1+((Inputs!$G$5:$G$170&lt;&gt;"moeda")*(Inputs!$G$5:$G$170&lt;&gt;"acoes")))*INDEX(Inputs!$K$5:$AJ$170,0,MATCH(V$2,Inputs!$K$4:$AJ$4,0)))+SUMPRODUCT((Inputs!$C$5:$C$170=$B47)*Inputs!$D$5:$D$170*(((Inputs!$G$5:$G$170="moeda")+(Inputs!$G$5:$G$170="acoes"))*Inputs!$B$1+((Inputs!$G$5:$G$170&lt;&gt;"moeda")*(Inputs!$G$5:$G$170&lt;&gt;"acoes")))*INDEX(Inputs!$K$5:$AJ$170,0,MATCH(V$2,Inputs!$K$4:$AJ$4,0)))+SUMPRODUCT((Inputs!$E$5:$E$170=$B47)*Inputs!$F$5:$F$170*(((Inputs!$G$5:$G$170="moeda")+(Inputs!$G$5:$G$170="acoes"))*Inputs!$B$1+((Inputs!$G$5:$G$170&lt;&gt;"moeda")*(Inputs!$G$5:$G$170&lt;&gt;"acoes")))*INDEX(Inputs!$K$5:$AJ$170,0,MATCH(V$2,Inputs!$K$4:$AJ$4,0)))))</f>
        <v>509.847</v>
      </c>
      <c r="W47" s="3">
        <f>V47</f>
        <v>509.847</v>
      </c>
      <c r="X47" s="6">
        <f>IF(ISNA(MATCH(X$2,Inputs!$K$4:$AJ$4,0)),NA(),IF(SUMPRODUCT((Inputs!$A$5:$A$170=$B47)*ISNUMBER(INDEX(Inputs!$K$5:$AJ$170,0,MATCH(X$2,Inputs!$K$4:$AJ$4,0))))+SUMPRODUCT((Inputs!$C$5:$C$170=$B47)*ISNUMBER(INDEX(Inputs!$K$5:$AJ$170,0,MATCH(X$2,Inputs!$K$4:$AJ$4,0))))+SUMPRODUCT((Inputs!$E$5:$E$170=$B47)*ISNUMBER(INDEX(Inputs!$K$5:$AJ$170,0,MATCH(X$2,Inputs!$K$4:$AJ$4,0))))=0,NA(),SUMPRODUCT((Inputs!$A$5:$A$170=$B47)*Inputs!$B$5:$B$170*(((Inputs!$G$5:$G$170="moeda")+(Inputs!$G$5:$G$170="acoes"))*Inputs!$B$1+((Inputs!$G$5:$G$170&lt;&gt;"moeda")*(Inputs!$G$5:$G$170&lt;&gt;"acoes")))*INDEX(Inputs!$K$5:$AJ$170,0,MATCH(X$2,Inputs!$K$4:$AJ$4,0)))+SUMPRODUCT((Inputs!$C$5:$C$170=$B47)*Inputs!$D$5:$D$170*(((Inputs!$G$5:$G$170="moeda")+(Inputs!$G$5:$G$170="acoes"))*Inputs!$B$1+((Inputs!$G$5:$G$170&lt;&gt;"moeda")*(Inputs!$G$5:$G$170&lt;&gt;"acoes")))*INDEX(Inputs!$K$5:$AJ$170,0,MATCH(X$2,Inputs!$K$4:$AJ$4,0)))+SUMPRODUCT((Inputs!$E$5:$E$170=$B47)*Inputs!$F$5:$F$170*(((Inputs!$G$5:$G$170="moeda")+(Inputs!$G$5:$G$170="acoes"))*Inputs!$B$1+((Inputs!$G$5:$G$170&lt;&gt;"moeda")*(Inputs!$G$5:$G$170&lt;&gt;"acoes")))*INDEX(Inputs!$K$5:$AJ$170,0,MATCH(X$2,Inputs!$K$4:$AJ$4,0)))))</f>
        <v>588.314</v>
      </c>
      <c r="Y47" s="6">
        <f>IF(ISNA(MATCH(Y$2,Inputs!$K$4:$AJ$4,0)),NA(),IF(SUMPRODUCT((Inputs!$A$5:$A$170=$B47)*ISNUMBER(INDEX(Inputs!$K$5:$AJ$170,0,MATCH(Y$2,Inputs!$K$4:$AJ$4,0))))+SUMPRODUCT((Inputs!$C$5:$C$170=$B47)*ISNUMBER(INDEX(Inputs!$K$5:$AJ$170,0,MATCH(Y$2,Inputs!$K$4:$AJ$4,0))))+SUMPRODUCT((Inputs!$E$5:$E$170=$B47)*ISNUMBER(INDEX(Inputs!$K$5:$AJ$170,0,MATCH(Y$2,Inputs!$K$4:$AJ$4,0))))=0,NA(),SUMPRODUCT((Inputs!$A$5:$A$170=$B47)*Inputs!$B$5:$B$170*(((Inputs!$G$5:$G$170="moeda")+(Inputs!$G$5:$G$170="acoes"))*Inputs!$B$1+((Inputs!$G$5:$G$170&lt;&gt;"moeda")*(Inputs!$G$5:$G$170&lt;&gt;"acoes")))*INDEX(Inputs!$K$5:$AJ$170,0,MATCH(Y$2,Inputs!$K$4:$AJ$4,0)))+SUMPRODUCT((Inputs!$C$5:$C$170=$B47)*Inputs!$D$5:$D$170*(((Inputs!$G$5:$G$170="moeda")+(Inputs!$G$5:$G$170="acoes"))*Inputs!$B$1+((Inputs!$G$5:$G$170&lt;&gt;"moeda")*(Inputs!$G$5:$G$170&lt;&gt;"acoes")))*INDEX(Inputs!$K$5:$AJ$170,0,MATCH(Y$2,Inputs!$K$4:$AJ$4,0)))+SUMPRODUCT((Inputs!$E$5:$E$170=$B47)*Inputs!$F$5:$F$170*(((Inputs!$G$5:$G$170="moeda")+(Inputs!$G$5:$G$170="acoes"))*Inputs!$B$1+((Inputs!$G$5:$G$170&lt;&gt;"moeda")*(Inputs!$G$5:$G$170&lt;&gt;"acoes")))*INDEX(Inputs!$K$5:$AJ$170,0,MATCH(Y$2,Inputs!$K$4:$AJ$4,0)))))</f>
        <v>655.91</v>
      </c>
      <c r="Z47" s="6">
        <f>IF(ISNA(MATCH(Z$2,Inputs!$K$4:$AJ$4,0)),NA(),IF(SUMPRODUCT((Inputs!$A$5:$A$170=$B47)*ISNUMBER(INDEX(Inputs!$K$5:$AJ$170,0,MATCH(Z$2,Inputs!$K$4:$AJ$4,0))))+SUMPRODUCT((Inputs!$C$5:$C$170=$B47)*ISNUMBER(INDEX(Inputs!$K$5:$AJ$170,0,MATCH(Z$2,Inputs!$K$4:$AJ$4,0))))+SUMPRODUCT((Inputs!$E$5:$E$170=$B47)*ISNUMBER(INDEX(Inputs!$K$5:$AJ$170,0,MATCH(Z$2,Inputs!$K$4:$AJ$4,0))))=0,NA(),SUMPRODUCT((Inputs!$A$5:$A$170=$B47)*Inputs!$B$5:$B$170*(((Inputs!$G$5:$G$170="moeda")+(Inputs!$G$5:$G$170="acoes"))*Inputs!$B$1+((Inputs!$G$5:$G$170&lt;&gt;"moeda")*(Inputs!$G$5:$G$170&lt;&gt;"acoes")))*INDEX(Inputs!$K$5:$AJ$170,0,MATCH(Z$2,Inputs!$K$4:$AJ$4,0)))+SUMPRODUCT((Inputs!$C$5:$C$170=$B47)*Inputs!$D$5:$D$170*(((Inputs!$G$5:$G$170="moeda")+(Inputs!$G$5:$G$170="acoes"))*Inputs!$B$1+((Inputs!$G$5:$G$170&lt;&gt;"moeda")*(Inputs!$G$5:$G$170&lt;&gt;"acoes")))*INDEX(Inputs!$K$5:$AJ$170,0,MATCH(Z$2,Inputs!$K$4:$AJ$4,0)))+SUMPRODUCT((Inputs!$E$5:$E$170=$B47)*Inputs!$F$5:$F$170*(((Inputs!$G$5:$G$170="moeda")+(Inputs!$G$5:$G$170="acoes"))*Inputs!$B$1+((Inputs!$G$5:$G$170&lt;&gt;"moeda")*(Inputs!$G$5:$G$170&lt;&gt;"acoes")))*INDEX(Inputs!$K$5:$AJ$170,0,MATCH(Z$2,Inputs!$K$4:$AJ$4,0)))))</f>
        <v>725.865</v>
      </c>
      <c r="AA47" s="6">
        <f>IF(ISNA(MATCH(AA$2,Inputs!$K$4:$AJ$4,0)),NA(),IF(SUMPRODUCT((Inputs!$A$5:$A$170=$B47)*ISNUMBER(INDEX(Inputs!$K$5:$AJ$170,0,MATCH(AA$2,Inputs!$K$4:$AJ$4,0))))+SUMPRODUCT((Inputs!$C$5:$C$170=$B47)*ISNUMBER(INDEX(Inputs!$K$5:$AJ$170,0,MATCH(AA$2,Inputs!$K$4:$AJ$4,0))))+SUMPRODUCT((Inputs!$E$5:$E$170=$B47)*ISNUMBER(INDEX(Inputs!$K$5:$AJ$170,0,MATCH(AA$2,Inputs!$K$4:$AJ$4,0))))=0,NA(),SUMPRODUCT((Inputs!$A$5:$A$170=$B47)*Inputs!$B$5:$B$170*(((Inputs!$G$5:$G$170="moeda")+(Inputs!$G$5:$G$170="acoes"))*Inputs!$B$1+((Inputs!$G$5:$G$170&lt;&gt;"moeda")*(Inputs!$G$5:$G$170&lt;&gt;"acoes")))*INDEX(Inputs!$K$5:$AJ$170,0,MATCH(AA$2,Inputs!$K$4:$AJ$4,0)))+SUMPRODUCT((Inputs!$C$5:$C$170=$B47)*Inputs!$D$5:$D$170*(((Inputs!$G$5:$G$170="moeda")+(Inputs!$G$5:$G$170="acoes"))*Inputs!$B$1+((Inputs!$G$5:$G$170&lt;&gt;"moeda")*(Inputs!$G$5:$G$170&lt;&gt;"acoes")))*INDEX(Inputs!$K$5:$AJ$170,0,MATCH(AA$2,Inputs!$K$4:$AJ$4,0)))+SUMPRODUCT((Inputs!$E$5:$E$170=$B47)*Inputs!$F$5:$F$170*(((Inputs!$G$5:$G$170="moeda")+(Inputs!$G$5:$G$170="acoes"))*Inputs!$B$1+((Inputs!$G$5:$G$170&lt;&gt;"moeda")*(Inputs!$G$5:$G$170&lt;&gt;"acoes")))*INDEX(Inputs!$K$5:$AJ$170,0,MATCH(AA$2,Inputs!$K$4:$AJ$4,0)))))</f>
        <v>573.210999999997</v>
      </c>
      <c r="AB47" s="3">
        <f>AA47</f>
        <v>573.210999999997</v>
      </c>
      <c r="AC47" s="6">
        <f>IF(ISNA(MATCH(AC$2,Inputs!$K$4:$AJ$4,0)),NA(),IF(SUMPRODUCT((Inputs!$A$5:$A$170=$B47)*ISNUMBER(INDEX(Inputs!$K$5:$AJ$170,0,MATCH(AC$2,Inputs!$K$4:$AJ$4,0))))+SUMPRODUCT((Inputs!$C$5:$C$170=$B47)*ISNUMBER(INDEX(Inputs!$K$5:$AJ$170,0,MATCH(AC$2,Inputs!$K$4:$AJ$4,0))))+SUMPRODUCT((Inputs!$E$5:$E$170=$B47)*ISNUMBER(INDEX(Inputs!$K$5:$AJ$170,0,MATCH(AC$2,Inputs!$K$4:$AJ$4,0))))=0,NA(),SUMPRODUCT((Inputs!$A$5:$A$170=$B47)*Inputs!$B$5:$B$170*(((Inputs!$G$5:$G$170="moeda")+(Inputs!$G$5:$G$170="acoes"))*Inputs!$B$1+((Inputs!$G$5:$G$170&lt;&gt;"moeda")*(Inputs!$G$5:$G$170&lt;&gt;"acoes")))*INDEX(Inputs!$K$5:$AJ$170,0,MATCH(AC$2,Inputs!$K$4:$AJ$4,0)))+SUMPRODUCT((Inputs!$C$5:$C$170=$B47)*Inputs!$D$5:$D$170*(((Inputs!$G$5:$G$170="moeda")+(Inputs!$G$5:$G$170="acoes"))*Inputs!$B$1+((Inputs!$G$5:$G$170&lt;&gt;"moeda")*(Inputs!$G$5:$G$170&lt;&gt;"acoes")))*INDEX(Inputs!$K$5:$AJ$170,0,MATCH(AC$2,Inputs!$K$4:$AJ$4,0)))+SUMPRODUCT((Inputs!$E$5:$E$170=$B47)*Inputs!$F$5:$F$170*(((Inputs!$G$5:$G$170="moeda")+(Inputs!$G$5:$G$170="acoes"))*Inputs!$B$1+((Inputs!$G$5:$G$170&lt;&gt;"moeda")*(Inputs!$G$5:$G$170&lt;&gt;"acoes")))*INDEX(Inputs!$K$5:$AJ$170,0,MATCH(AC$2,Inputs!$K$4:$AJ$4,0)))))</f>
        <v>595.395</v>
      </c>
      <c r="AD47" s="6">
        <f>IF(ISNA(MATCH(AD$2,Inputs!$K$4:$AJ$4,0)),NA(),IF(SUMPRODUCT((Inputs!$A$5:$A$170=$B47)*ISNUMBER(INDEX(Inputs!$K$5:$AJ$170,0,MATCH(AD$2,Inputs!$K$4:$AJ$4,0))))+SUMPRODUCT((Inputs!$C$5:$C$170=$B47)*ISNUMBER(INDEX(Inputs!$K$5:$AJ$170,0,MATCH(AD$2,Inputs!$K$4:$AJ$4,0))))+SUMPRODUCT((Inputs!$E$5:$E$170=$B47)*ISNUMBER(INDEX(Inputs!$K$5:$AJ$170,0,MATCH(AD$2,Inputs!$K$4:$AJ$4,0))))=0,NA(),SUMPRODUCT((Inputs!$A$5:$A$170=$B47)*Inputs!$B$5:$B$170*(((Inputs!$G$5:$G$170="moeda")+(Inputs!$G$5:$G$170="acoes"))*Inputs!$B$1+((Inputs!$G$5:$G$170&lt;&gt;"moeda")*(Inputs!$G$5:$G$170&lt;&gt;"acoes")))*INDEX(Inputs!$K$5:$AJ$170,0,MATCH(AD$2,Inputs!$K$4:$AJ$4,0)))+SUMPRODUCT((Inputs!$C$5:$C$170=$B47)*Inputs!$D$5:$D$170*(((Inputs!$G$5:$G$170="moeda")+(Inputs!$G$5:$G$170="acoes"))*Inputs!$B$1+((Inputs!$G$5:$G$170&lt;&gt;"moeda")*(Inputs!$G$5:$G$170&lt;&gt;"acoes")))*INDEX(Inputs!$K$5:$AJ$170,0,MATCH(AD$2,Inputs!$K$4:$AJ$4,0)))+SUMPRODUCT((Inputs!$E$5:$E$170=$B47)*Inputs!$F$5:$F$170*(((Inputs!$G$5:$G$170="moeda")+(Inputs!$G$5:$G$170="acoes"))*Inputs!$B$1+((Inputs!$G$5:$G$170&lt;&gt;"moeda")*(Inputs!$G$5:$G$170&lt;&gt;"acoes")))*INDEX(Inputs!$K$5:$AJ$170,0,MATCH(AD$2,Inputs!$K$4:$AJ$4,0)))))</f>
        <v>731.045</v>
      </c>
      <c r="AE47" s="6" t="e">
        <f>IF(ISNA(MATCH(AE$2,Inputs!$K$4:$AJ$4,0)),NA(),IF(SUMPRODUCT((Inputs!$A$5:$A$170=$B47)*ISNUMBER(INDEX(Inputs!$K$5:$AJ$170,0,MATCH(AE$2,Inputs!$K$4:$AJ$4,0))))+SUMPRODUCT((Inputs!$C$5:$C$170=$B47)*ISNUMBER(INDEX(Inputs!$K$5:$AJ$170,0,MATCH(AE$2,Inputs!$K$4:$AJ$4,0))))+SUMPRODUCT((Inputs!$E$5:$E$170=$B47)*ISNUMBER(INDEX(Inputs!$K$5:$AJ$170,0,MATCH(AE$2,Inputs!$K$4:$AJ$4,0))))=0,NA(),SUMPRODUCT((Inputs!$A$5:$A$170=$B47)*Inputs!$B$5:$B$170*(((Inputs!$G$5:$G$170="moeda")+(Inputs!$G$5:$G$170="acoes"))*Inputs!$B$1+((Inputs!$G$5:$G$170&lt;&gt;"moeda")*(Inputs!$G$5:$G$170&lt;&gt;"acoes")))*INDEX(Inputs!$K$5:$AJ$170,0,MATCH(AE$2,Inputs!$K$4:$AJ$4,0)))+SUMPRODUCT((Inputs!$C$5:$C$170=$B47)*Inputs!$D$5:$D$170*(((Inputs!$G$5:$G$170="moeda")+(Inputs!$G$5:$G$170="acoes"))*Inputs!$B$1+((Inputs!$G$5:$G$170&lt;&gt;"moeda")*(Inputs!$G$5:$G$170&lt;&gt;"acoes")))*INDEX(Inputs!$K$5:$AJ$170,0,MATCH(AE$2,Inputs!$K$4:$AJ$4,0)))+SUMPRODUCT((Inputs!$E$5:$E$170=$B47)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47" s="6" t="e">
        <f>IF(ISNA(MATCH(AF$2,Inputs!$K$4:$AJ$4,0)),NA(),IF(SUMPRODUCT((Inputs!$A$5:$A$170=$B47)*ISNUMBER(INDEX(Inputs!$K$5:$AJ$170,0,MATCH(AF$2,Inputs!$K$4:$AJ$4,0))))+SUMPRODUCT((Inputs!$C$5:$C$170=$B47)*ISNUMBER(INDEX(Inputs!$K$5:$AJ$170,0,MATCH(AF$2,Inputs!$K$4:$AJ$4,0))))+SUMPRODUCT((Inputs!$E$5:$E$170=$B47)*ISNUMBER(INDEX(Inputs!$K$5:$AJ$170,0,MATCH(AF$2,Inputs!$K$4:$AJ$4,0))))=0,NA(),SUMPRODUCT((Inputs!$A$5:$A$170=$B47)*Inputs!$B$5:$B$170*(((Inputs!$G$5:$G$170="moeda")+(Inputs!$G$5:$G$170="acoes"))*Inputs!$B$1+((Inputs!$G$5:$G$170&lt;&gt;"moeda")*(Inputs!$G$5:$G$170&lt;&gt;"acoes")))*INDEX(Inputs!$K$5:$AJ$170,0,MATCH(AF$2,Inputs!$K$4:$AJ$4,0)))+SUMPRODUCT((Inputs!$C$5:$C$170=$B47)*Inputs!$D$5:$D$170*(((Inputs!$G$5:$G$170="moeda")+(Inputs!$G$5:$G$170="acoes"))*Inputs!$B$1+((Inputs!$G$5:$G$170&lt;&gt;"moeda")*(Inputs!$G$5:$G$170&lt;&gt;"acoes")))*INDEX(Inputs!$K$5:$AJ$170,0,MATCH(AF$2,Inputs!$K$4:$AJ$4,0)))+SUMPRODUCT((Inputs!$E$5:$E$170=$B47)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47" s="3" t="e">
        <f>AF47</f>
        <v>#N/A</v>
      </c>
      <c r="AH47" s="6">
        <f>IF(ISNA(MATCH(AH$2,Inputs!$K$4:$AJ$4,0)),NA(),IF(SUMPRODUCT((Inputs!$A$5:$A$170=$B47)*ISNUMBER(INDEX(Inputs!$K$5:$AJ$170,0,MATCH(AH$2,Inputs!$K$4:$AJ$4,0))))+SUMPRODUCT((Inputs!$C$5:$C$170=$B47)*ISNUMBER(INDEX(Inputs!$K$5:$AJ$170,0,MATCH(AH$2,Inputs!$K$4:$AJ$4,0))))+SUMPRODUCT((Inputs!$E$5:$E$170=$B47)*ISNUMBER(INDEX(Inputs!$K$5:$AJ$170,0,MATCH(AH$2,Inputs!$K$4:$AJ$4,0))))=0,NA(),SUMPRODUCT((Inputs!$A$5:$A$170=$B47)*Inputs!$B$5:$B$170*(((Inputs!$G$5:$G$170="moeda")+(Inputs!$G$5:$G$170="acoes"))*Inputs!$B$1+((Inputs!$G$5:$G$170&lt;&gt;"moeda")*(Inputs!$G$5:$G$170&lt;&gt;"acoes")))*INDEX(Inputs!$K$5:$AJ$170,0,MATCH(AH$2,Inputs!$K$4:$AJ$4,0)))+SUMPRODUCT((Inputs!$C$5:$C$170=$B47)*Inputs!$D$5:$D$170*(((Inputs!$G$5:$G$170="moeda")+(Inputs!$G$5:$G$170="acoes"))*Inputs!$B$1+((Inputs!$G$5:$G$170&lt;&gt;"moeda")*(Inputs!$G$5:$G$170&lt;&gt;"acoes")))*INDEX(Inputs!$K$5:$AJ$170,0,MATCH(AH$2,Inputs!$K$4:$AJ$4,0)))+SUMPRODUCT((Inputs!$E$5:$E$170=$B47)*Inputs!$F$5:$F$170*(((Inputs!$G$5:$G$170="moeda")+(Inputs!$G$5:$G$170="acoes"))*Inputs!$B$1+((Inputs!$G$5:$G$170&lt;&gt;"moeda")*(Inputs!$G$5:$G$170&lt;&gt;"acoes")))*INDEX(Inputs!$K$5:$AJ$170,0,MATCH(AH$2,Inputs!$K$4:$AJ$4,0)))))</f>
        <v>132.187</v>
      </c>
      <c r="AI47" s="6">
        <f>IF(ISNA(MATCH(AI$2,Inputs!$K$4:$AJ$4,0)),NA(),IF(SUMPRODUCT((Inputs!$A$5:$A$170=$B47)*ISNUMBER(INDEX(Inputs!$K$5:$AJ$170,0,MATCH(AI$2,Inputs!$K$4:$AJ$4,0))))+SUMPRODUCT((Inputs!$C$5:$C$170=$B47)*ISNUMBER(INDEX(Inputs!$K$5:$AJ$170,0,MATCH(AI$2,Inputs!$K$4:$AJ$4,0))))+SUMPRODUCT((Inputs!$E$5:$E$170=$B47)*ISNUMBER(INDEX(Inputs!$K$5:$AJ$170,0,MATCH(AI$2,Inputs!$K$4:$AJ$4,0))))=0,NA(),SUMPRODUCT((Inputs!$A$5:$A$170=$B47)*Inputs!$B$5:$B$170*(((Inputs!$G$5:$G$170="moeda")+(Inputs!$G$5:$G$170="acoes"))*Inputs!$B$1+((Inputs!$G$5:$G$170&lt;&gt;"moeda")*(Inputs!$G$5:$G$170&lt;&gt;"acoes")))*INDEX(Inputs!$K$5:$AJ$170,0,MATCH(AI$2,Inputs!$K$4:$AJ$4,0)))+SUMPRODUCT((Inputs!$C$5:$C$170=$B47)*Inputs!$D$5:$D$170*(((Inputs!$G$5:$G$170="moeda")+(Inputs!$G$5:$G$170="acoes"))*Inputs!$B$1+((Inputs!$G$5:$G$170&lt;&gt;"moeda")*(Inputs!$G$5:$G$170&lt;&gt;"acoes")))*INDEX(Inputs!$K$5:$AJ$170,0,MATCH(AI$2,Inputs!$K$4:$AJ$4,0)))+SUMPRODUCT((Inputs!$E$5:$E$170=$B47)*Inputs!$F$5:$F$170*(((Inputs!$G$5:$G$170="moeda")+(Inputs!$G$5:$G$170="acoes"))*Inputs!$B$1+((Inputs!$G$5:$G$170&lt;&gt;"moeda")*(Inputs!$G$5:$G$170&lt;&gt;"acoes")))*INDEX(Inputs!$K$5:$AJ$170,0,MATCH(AI$2,Inputs!$K$4:$AJ$4,0)))))</f>
        <v>134.801</v>
      </c>
      <c r="AJ47" s="6">
        <f>IF(ISNA(MATCH(AJ$2,Inputs!$K$4:$AJ$4,0)),NA(),IF(SUMPRODUCT((Inputs!$A$5:$A$170=$B47)*ISNUMBER(INDEX(Inputs!$K$5:$AJ$170,0,MATCH(AJ$2,Inputs!$K$4:$AJ$4,0))))+SUMPRODUCT((Inputs!$C$5:$C$170=$B47)*ISNUMBER(INDEX(Inputs!$K$5:$AJ$170,0,MATCH(AJ$2,Inputs!$K$4:$AJ$4,0))))+SUMPRODUCT((Inputs!$E$5:$E$170=$B47)*ISNUMBER(INDEX(Inputs!$K$5:$AJ$170,0,MATCH(AJ$2,Inputs!$K$4:$AJ$4,0))))=0,NA(),SUMPRODUCT((Inputs!$A$5:$A$170=$B47)*Inputs!$B$5:$B$170*(((Inputs!$G$5:$G$170="moeda")+(Inputs!$G$5:$G$170="acoes"))*Inputs!$B$1+((Inputs!$G$5:$G$170&lt;&gt;"moeda")*(Inputs!$G$5:$G$170&lt;&gt;"acoes")))*INDEX(Inputs!$K$5:$AJ$170,0,MATCH(AJ$2,Inputs!$K$4:$AJ$4,0)))+SUMPRODUCT((Inputs!$C$5:$C$170=$B47)*Inputs!$D$5:$D$170*(((Inputs!$G$5:$G$170="moeda")+(Inputs!$G$5:$G$170="acoes"))*Inputs!$B$1+((Inputs!$G$5:$G$170&lt;&gt;"moeda")*(Inputs!$G$5:$G$170&lt;&gt;"acoes")))*INDEX(Inputs!$K$5:$AJ$170,0,MATCH(AJ$2,Inputs!$K$4:$AJ$4,0)))+SUMPRODUCT((Inputs!$E$5:$E$170=$B47)*Inputs!$F$5:$F$170*(((Inputs!$G$5:$G$170="moeda")+(Inputs!$G$5:$G$170="acoes"))*Inputs!$B$1+((Inputs!$G$5:$G$170&lt;&gt;"moeda")*(Inputs!$G$5:$G$170&lt;&gt;"acoes")))*INDEX(Inputs!$K$5:$AJ$170,0,MATCH(AJ$2,Inputs!$K$4:$AJ$4,0)))))</f>
        <v>172.003</v>
      </c>
      <c r="AK47" s="6">
        <f>IF(ISNA(MATCH(AK$2,Inputs!$K$4:$AJ$4,0)),NA(),IF(SUMPRODUCT((Inputs!$A$5:$A$170=$B47)*ISNUMBER(INDEX(Inputs!$K$5:$AJ$170,0,MATCH(AK$2,Inputs!$K$4:$AJ$4,0))))+SUMPRODUCT((Inputs!$C$5:$C$170=$B47)*ISNUMBER(INDEX(Inputs!$K$5:$AJ$170,0,MATCH(AK$2,Inputs!$K$4:$AJ$4,0))))+SUMPRODUCT((Inputs!$E$5:$E$170=$B47)*ISNUMBER(INDEX(Inputs!$K$5:$AJ$170,0,MATCH(AK$2,Inputs!$K$4:$AJ$4,0))))=0,NA(),SUMPRODUCT((Inputs!$A$5:$A$170=$B47)*Inputs!$B$5:$B$170*(((Inputs!$G$5:$G$170="moeda")+(Inputs!$G$5:$G$170="acoes"))*Inputs!$B$1+((Inputs!$G$5:$G$170&lt;&gt;"moeda")*(Inputs!$G$5:$G$170&lt;&gt;"acoes")))*INDEX(Inputs!$K$5:$AJ$170,0,MATCH(AK$2,Inputs!$K$4:$AJ$4,0)))+SUMPRODUCT((Inputs!$C$5:$C$170=$B47)*Inputs!$D$5:$D$170*(((Inputs!$G$5:$G$170="moeda")+(Inputs!$G$5:$G$170="acoes"))*Inputs!$B$1+((Inputs!$G$5:$G$170&lt;&gt;"moeda")*(Inputs!$G$5:$G$170&lt;&gt;"acoes")))*INDEX(Inputs!$K$5:$AJ$170,0,MATCH(AK$2,Inputs!$K$4:$AJ$4,0)))+SUMPRODUCT((Inputs!$E$5:$E$170=$B47)*Inputs!$F$5:$F$170*(((Inputs!$G$5:$G$170="moeda")+(Inputs!$G$5:$G$170="acoes"))*Inputs!$B$1+((Inputs!$G$5:$G$170&lt;&gt;"moeda")*(Inputs!$G$5:$G$170&lt;&gt;"acoes")))*INDEX(Inputs!$K$5:$AJ$170,0,MATCH(AK$2,Inputs!$K$4:$AJ$4,0)))))</f>
        <v>311.588</v>
      </c>
      <c r="AL47" s="3">
        <f>AK47</f>
        <v>311.588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$170=$B50)*ISNUMBER(INDEX(Inputs!$K$5:$AJ$170,0,MATCH(D$2,Inputs!$K$4:$AJ$4,0))))+SUMPRODUCT((Inputs!$C$5:$C$170=$B50)*ISNUMBER(INDEX(Inputs!$K$5:$AJ$170,0,MATCH(D$2,Inputs!$K$4:$AJ$4,0))))+SUMPRODUCT((Inputs!$E$5:$E$170=$B50)*ISNUMBER(INDEX(Inputs!$K$5:$AJ$170,0,MATCH(D$2,Inputs!$K$4:$AJ$4,0))))=0,NA(),SUMPRODUCT((Inputs!$A$5:$A$170=$B50)*Inputs!$B$5:$B$170*(((Inputs!$G$5:$G$170="moeda")+(Inputs!$G$5:$G$170="acoes"))*Inputs!$B$1+((Inputs!$G$5:$G$170&lt;&gt;"moeda")*(Inputs!$G$5:$G$170&lt;&gt;"acoes")))*INDEX(Inputs!$K$5:$AJ$170,0,MATCH(D$2,Inputs!$K$4:$AJ$4,0)))+SUMPRODUCT((Inputs!$C$5:$C$170=$B50)*Inputs!$D$5:$D$170*(((Inputs!$G$5:$G$170="moeda")+(Inputs!$G$5:$G$170="acoes"))*Inputs!$B$1+((Inputs!$G$5:$G$170&lt;&gt;"moeda")*(Inputs!$G$5:$G$170&lt;&gt;"acoes")))*INDEX(Inputs!$K$5:$AJ$170,0,MATCH(D$2,Inputs!$K$4:$AJ$4,0)))+SUMPRODUCT((Inputs!$E$5:$E$170=$B50)*Inputs!$F$5:$F$170*(((Inputs!$G$5:$G$170="moeda")+(Inputs!$G$5:$G$170="acoes"))*Inputs!$B$1+((Inputs!$G$5:$G$170&lt;&gt;"moeda")*(Inputs!$G$5:$G$170&lt;&gt;"acoes")))*INDEX(Inputs!$K$5:$AJ$170,0,MATCH(D$2,Inputs!$K$4:$AJ$4,0)))))</f>
        <v>109.481</v>
      </c>
      <c r="E50" s="6">
        <f>IF(ISNA(MATCH(E$2,Inputs!$K$4:$AJ$4,0)),NA(),IF(SUMPRODUCT((Inputs!$A$5:$A$170=$B50)*ISNUMBER(INDEX(Inputs!$K$5:$AJ$170,0,MATCH(E$2,Inputs!$K$4:$AJ$4,0))))+SUMPRODUCT((Inputs!$C$5:$C$170=$B50)*ISNUMBER(INDEX(Inputs!$K$5:$AJ$170,0,MATCH(E$2,Inputs!$K$4:$AJ$4,0))))+SUMPRODUCT((Inputs!$E$5:$E$170=$B50)*ISNUMBER(INDEX(Inputs!$K$5:$AJ$170,0,MATCH(E$2,Inputs!$K$4:$AJ$4,0))))=0,NA(),SUMPRODUCT((Inputs!$A$5:$A$170=$B50)*Inputs!$B$5:$B$170*(((Inputs!$G$5:$G$170="moeda")+(Inputs!$G$5:$G$170="acoes"))*Inputs!$B$1+((Inputs!$G$5:$G$170&lt;&gt;"moeda")*(Inputs!$G$5:$G$170&lt;&gt;"acoes")))*INDEX(Inputs!$K$5:$AJ$170,0,MATCH(E$2,Inputs!$K$4:$AJ$4,0)))+SUMPRODUCT((Inputs!$C$5:$C$170=$B50)*Inputs!$D$5:$D$170*(((Inputs!$G$5:$G$170="moeda")+(Inputs!$G$5:$G$170="acoes"))*Inputs!$B$1+((Inputs!$G$5:$G$170&lt;&gt;"moeda")*(Inputs!$G$5:$G$170&lt;&gt;"acoes")))*INDEX(Inputs!$K$5:$AJ$170,0,MATCH(E$2,Inputs!$K$4:$AJ$4,0)))+SUMPRODUCT((Inputs!$E$5:$E$170=$B50)*Inputs!$F$5:$F$170*(((Inputs!$G$5:$G$170="moeda")+(Inputs!$G$5:$G$170="acoes"))*Inputs!$B$1+((Inputs!$G$5:$G$170&lt;&gt;"moeda")*(Inputs!$G$5:$G$170&lt;&gt;"acoes")))*INDEX(Inputs!$K$5:$AJ$170,0,MATCH(E$2,Inputs!$K$4:$AJ$4,0)))))</f>
        <v>173.921</v>
      </c>
      <c r="F50" s="6">
        <f>IF(ISNA(MATCH(F$2,Inputs!$K$4:$AJ$4,0)),NA(),IF(SUMPRODUCT((Inputs!$A$5:$A$170=$B50)*ISNUMBER(INDEX(Inputs!$K$5:$AJ$170,0,MATCH(F$2,Inputs!$K$4:$AJ$4,0))))+SUMPRODUCT((Inputs!$C$5:$C$170=$B50)*ISNUMBER(INDEX(Inputs!$K$5:$AJ$170,0,MATCH(F$2,Inputs!$K$4:$AJ$4,0))))+SUMPRODUCT((Inputs!$E$5:$E$170=$B50)*ISNUMBER(INDEX(Inputs!$K$5:$AJ$170,0,MATCH(F$2,Inputs!$K$4:$AJ$4,0))))=0,NA(),SUMPRODUCT((Inputs!$A$5:$A$170=$B50)*Inputs!$B$5:$B$170*(((Inputs!$G$5:$G$170="moeda")+(Inputs!$G$5:$G$170="acoes"))*Inputs!$B$1+((Inputs!$G$5:$G$170&lt;&gt;"moeda")*(Inputs!$G$5:$G$170&lt;&gt;"acoes")))*INDEX(Inputs!$K$5:$AJ$170,0,MATCH(F$2,Inputs!$K$4:$AJ$4,0)))+SUMPRODUCT((Inputs!$C$5:$C$170=$B50)*Inputs!$D$5:$D$170*(((Inputs!$G$5:$G$170="moeda")+(Inputs!$G$5:$G$170="acoes"))*Inputs!$B$1+((Inputs!$G$5:$G$170&lt;&gt;"moeda")*(Inputs!$G$5:$G$170&lt;&gt;"acoes")))*INDEX(Inputs!$K$5:$AJ$170,0,MATCH(F$2,Inputs!$K$4:$AJ$4,0)))+SUMPRODUCT((Inputs!$E$5:$E$170=$B50)*Inputs!$F$5:$F$170*(((Inputs!$G$5:$G$170="moeda")+(Inputs!$G$5:$G$170="acoes"))*Inputs!$B$1+((Inputs!$G$5:$G$170&lt;&gt;"moeda")*(Inputs!$G$5:$G$170&lt;&gt;"acoes")))*INDEX(Inputs!$K$5:$AJ$170,0,MATCH(F$2,Inputs!$K$4:$AJ$4,0)))))</f>
        <v>259.381</v>
      </c>
      <c r="G50" s="6">
        <f>IF(ISNA(MATCH(G$2,Inputs!$K$4:$AJ$4,0)),NA(),IF(SUMPRODUCT((Inputs!$A$5:$A$170=$B50)*ISNUMBER(INDEX(Inputs!$K$5:$AJ$170,0,MATCH(G$2,Inputs!$K$4:$AJ$4,0))))+SUMPRODUCT((Inputs!$C$5:$C$170=$B50)*ISNUMBER(INDEX(Inputs!$K$5:$AJ$170,0,MATCH(G$2,Inputs!$K$4:$AJ$4,0))))+SUMPRODUCT((Inputs!$E$5:$E$170=$B50)*ISNUMBER(INDEX(Inputs!$K$5:$AJ$170,0,MATCH(G$2,Inputs!$K$4:$AJ$4,0))))=0,NA(),SUMPRODUCT((Inputs!$A$5:$A$170=$B50)*Inputs!$B$5:$B$170*(((Inputs!$G$5:$G$170="moeda")+(Inputs!$G$5:$G$170="acoes"))*Inputs!$B$1+((Inputs!$G$5:$G$170&lt;&gt;"moeda")*(Inputs!$G$5:$G$170&lt;&gt;"acoes")))*INDEX(Inputs!$K$5:$AJ$170,0,MATCH(G$2,Inputs!$K$4:$AJ$4,0)))+SUMPRODUCT((Inputs!$C$5:$C$170=$B50)*Inputs!$D$5:$D$170*(((Inputs!$G$5:$G$170="moeda")+(Inputs!$G$5:$G$170="acoes"))*Inputs!$B$1+((Inputs!$G$5:$G$170&lt;&gt;"moeda")*(Inputs!$G$5:$G$170&lt;&gt;"acoes")))*INDEX(Inputs!$K$5:$AJ$170,0,MATCH(G$2,Inputs!$K$4:$AJ$4,0)))+SUMPRODUCT((Inputs!$E$5:$E$170=$B50)*Inputs!$F$5:$F$170*(((Inputs!$G$5:$G$170="moeda")+(Inputs!$G$5:$G$170="acoes"))*Inputs!$B$1+((Inputs!$G$5:$G$170&lt;&gt;"moeda")*(Inputs!$G$5:$G$170&lt;&gt;"acoes")))*INDEX(Inputs!$K$5:$AJ$170,0,MATCH(G$2,Inputs!$K$4:$AJ$4,0)))))</f>
        <v>276.656</v>
      </c>
      <c r="H50" s="3">
        <f>SUM(D50:G50)</f>
        <v>819.439</v>
      </c>
      <c r="I50" s="6">
        <f>IF(ISNA(MATCH(I$2,Inputs!$K$4:$AJ$4,0)),NA(),IF(SUMPRODUCT((Inputs!$A$5:$A$170=$B50)*ISNUMBER(INDEX(Inputs!$K$5:$AJ$170,0,MATCH(I$2,Inputs!$K$4:$AJ$4,0))))+SUMPRODUCT((Inputs!$C$5:$C$170=$B50)*ISNUMBER(INDEX(Inputs!$K$5:$AJ$170,0,MATCH(I$2,Inputs!$K$4:$AJ$4,0))))+SUMPRODUCT((Inputs!$E$5:$E$170=$B50)*ISNUMBER(INDEX(Inputs!$K$5:$AJ$170,0,MATCH(I$2,Inputs!$K$4:$AJ$4,0))))=0,NA(),SUMPRODUCT((Inputs!$A$5:$A$170=$B50)*Inputs!$B$5:$B$170*(((Inputs!$G$5:$G$170="moeda")+(Inputs!$G$5:$G$170="acoes"))*Inputs!$B$1+((Inputs!$G$5:$G$170&lt;&gt;"moeda")*(Inputs!$G$5:$G$170&lt;&gt;"acoes")))*INDEX(Inputs!$K$5:$AJ$170,0,MATCH(I$2,Inputs!$K$4:$AJ$4,0)))+SUMPRODUCT((Inputs!$C$5:$C$170=$B50)*Inputs!$D$5:$D$170*(((Inputs!$G$5:$G$170="moeda")+(Inputs!$G$5:$G$170="acoes"))*Inputs!$B$1+((Inputs!$G$5:$G$170&lt;&gt;"moeda")*(Inputs!$G$5:$G$170&lt;&gt;"acoes")))*INDEX(Inputs!$K$5:$AJ$170,0,MATCH(I$2,Inputs!$K$4:$AJ$4,0)))+SUMPRODUCT((Inputs!$E$5:$E$170=$B50)*Inputs!$F$5:$F$170*(((Inputs!$G$5:$G$170="moeda")+(Inputs!$G$5:$G$170="acoes"))*Inputs!$B$1+((Inputs!$G$5:$G$170&lt;&gt;"moeda")*(Inputs!$G$5:$G$170&lt;&gt;"acoes")))*INDEX(Inputs!$K$5:$AJ$170,0,MATCH(I$2,Inputs!$K$4:$AJ$4,0)))))</f>
        <v>258.068</v>
      </c>
      <c r="J50" s="6">
        <f>IF(ISNA(MATCH(J$2,Inputs!$K$4:$AJ$4,0)),NA(),IF(SUMPRODUCT((Inputs!$A$5:$A$170=$B50)*ISNUMBER(INDEX(Inputs!$K$5:$AJ$170,0,MATCH(J$2,Inputs!$K$4:$AJ$4,0))))+SUMPRODUCT((Inputs!$C$5:$C$170=$B50)*ISNUMBER(INDEX(Inputs!$K$5:$AJ$170,0,MATCH(J$2,Inputs!$K$4:$AJ$4,0))))+SUMPRODUCT((Inputs!$E$5:$E$170=$B50)*ISNUMBER(INDEX(Inputs!$K$5:$AJ$170,0,MATCH(J$2,Inputs!$K$4:$AJ$4,0))))=0,NA(),SUMPRODUCT((Inputs!$A$5:$A$170=$B50)*Inputs!$B$5:$B$170*(((Inputs!$G$5:$G$170="moeda")+(Inputs!$G$5:$G$170="acoes"))*Inputs!$B$1+((Inputs!$G$5:$G$170&lt;&gt;"moeda")*(Inputs!$G$5:$G$170&lt;&gt;"acoes")))*INDEX(Inputs!$K$5:$AJ$170,0,MATCH(J$2,Inputs!$K$4:$AJ$4,0)))+SUMPRODUCT((Inputs!$C$5:$C$170=$B50)*Inputs!$D$5:$D$170*(((Inputs!$G$5:$G$170="moeda")+(Inputs!$G$5:$G$170="acoes"))*Inputs!$B$1+((Inputs!$G$5:$G$170&lt;&gt;"moeda")*(Inputs!$G$5:$G$170&lt;&gt;"acoes")))*INDEX(Inputs!$K$5:$AJ$170,0,MATCH(J$2,Inputs!$K$4:$AJ$4,0)))+SUMPRODUCT((Inputs!$E$5:$E$170=$B50)*Inputs!$F$5:$F$170*(((Inputs!$G$5:$G$170="moeda")+(Inputs!$G$5:$G$170="acoes"))*Inputs!$B$1+((Inputs!$G$5:$G$170&lt;&gt;"moeda")*(Inputs!$G$5:$G$170&lt;&gt;"acoes")))*INDEX(Inputs!$K$5:$AJ$170,0,MATCH(J$2,Inputs!$K$4:$AJ$4,0)))))</f>
        <v>186.761</v>
      </c>
      <c r="K50" s="6">
        <f>IF(ISNA(MATCH(K$2,Inputs!$K$4:$AJ$4,0)),NA(),IF(SUMPRODUCT((Inputs!$A$5:$A$170=$B50)*ISNUMBER(INDEX(Inputs!$K$5:$AJ$170,0,MATCH(K$2,Inputs!$K$4:$AJ$4,0))))+SUMPRODUCT((Inputs!$C$5:$C$170=$B50)*ISNUMBER(INDEX(Inputs!$K$5:$AJ$170,0,MATCH(K$2,Inputs!$K$4:$AJ$4,0))))+SUMPRODUCT((Inputs!$E$5:$E$170=$B50)*ISNUMBER(INDEX(Inputs!$K$5:$AJ$170,0,MATCH(K$2,Inputs!$K$4:$AJ$4,0))))=0,NA(),SUMPRODUCT((Inputs!$A$5:$A$170=$B50)*Inputs!$B$5:$B$170*(((Inputs!$G$5:$G$170="moeda")+(Inputs!$G$5:$G$170="acoes"))*Inputs!$B$1+((Inputs!$G$5:$G$170&lt;&gt;"moeda")*(Inputs!$G$5:$G$170&lt;&gt;"acoes")))*INDEX(Inputs!$K$5:$AJ$170,0,MATCH(K$2,Inputs!$K$4:$AJ$4,0)))+SUMPRODUCT((Inputs!$C$5:$C$170=$B50)*Inputs!$D$5:$D$170*(((Inputs!$G$5:$G$170="moeda")+(Inputs!$G$5:$G$170="acoes"))*Inputs!$B$1+((Inputs!$G$5:$G$170&lt;&gt;"moeda")*(Inputs!$G$5:$G$170&lt;&gt;"acoes")))*INDEX(Inputs!$K$5:$AJ$170,0,MATCH(K$2,Inputs!$K$4:$AJ$4,0)))+SUMPRODUCT((Inputs!$E$5:$E$170=$B50)*Inputs!$F$5:$F$170*(((Inputs!$G$5:$G$170="moeda")+(Inputs!$G$5:$G$170="acoes"))*Inputs!$B$1+((Inputs!$G$5:$G$170&lt;&gt;"moeda")*(Inputs!$G$5:$G$170&lt;&gt;"acoes")))*INDEX(Inputs!$K$5:$AJ$170,0,MATCH(K$2,Inputs!$K$4:$AJ$4,0)))))</f>
        <v>93.718</v>
      </c>
      <c r="L50" s="6">
        <f>IF(ISNA(MATCH(L$2,Inputs!$K$4:$AJ$4,0)),NA(),IF(SUMPRODUCT((Inputs!$A$5:$A$170=$B50)*ISNUMBER(INDEX(Inputs!$K$5:$AJ$170,0,MATCH(L$2,Inputs!$K$4:$AJ$4,0))))+SUMPRODUCT((Inputs!$C$5:$C$170=$B50)*ISNUMBER(INDEX(Inputs!$K$5:$AJ$170,0,MATCH(L$2,Inputs!$K$4:$AJ$4,0))))+SUMPRODUCT((Inputs!$E$5:$E$170=$B50)*ISNUMBER(INDEX(Inputs!$K$5:$AJ$170,0,MATCH(L$2,Inputs!$K$4:$AJ$4,0))))=0,NA(),SUMPRODUCT((Inputs!$A$5:$A$170=$B50)*Inputs!$B$5:$B$170*(((Inputs!$G$5:$G$170="moeda")+(Inputs!$G$5:$G$170="acoes"))*Inputs!$B$1+((Inputs!$G$5:$G$170&lt;&gt;"moeda")*(Inputs!$G$5:$G$170&lt;&gt;"acoes")))*INDEX(Inputs!$K$5:$AJ$170,0,MATCH(L$2,Inputs!$K$4:$AJ$4,0)))+SUMPRODUCT((Inputs!$C$5:$C$170=$B50)*Inputs!$D$5:$D$170*(((Inputs!$G$5:$G$170="moeda")+(Inputs!$G$5:$G$170="acoes"))*Inputs!$B$1+((Inputs!$G$5:$G$170&lt;&gt;"moeda")*(Inputs!$G$5:$G$170&lt;&gt;"acoes")))*INDEX(Inputs!$K$5:$AJ$170,0,MATCH(L$2,Inputs!$K$4:$AJ$4,0)))+SUMPRODUCT((Inputs!$E$5:$E$170=$B50)*Inputs!$F$5:$F$170*(((Inputs!$G$5:$G$170="moeda")+(Inputs!$G$5:$G$170="acoes"))*Inputs!$B$1+((Inputs!$G$5:$G$170&lt;&gt;"moeda")*(Inputs!$G$5:$G$170&lt;&gt;"acoes")))*INDEX(Inputs!$K$5:$AJ$170,0,MATCH(L$2,Inputs!$K$4:$AJ$4,0)))))</f>
        <v>17.831</v>
      </c>
      <c r="M50" s="3">
        <f>SUM(I50:L50)</f>
        <v>556.378</v>
      </c>
      <c r="N50" s="6">
        <f>IF(ISNA(MATCH(N$2,Inputs!$K$4:$AJ$4,0)),NA(),IF(SUMPRODUCT((Inputs!$A$5:$A$170=$B50)*ISNUMBER(INDEX(Inputs!$K$5:$AJ$170,0,MATCH(N$2,Inputs!$K$4:$AJ$4,0))))+SUMPRODUCT((Inputs!$C$5:$C$170=$B50)*ISNUMBER(INDEX(Inputs!$K$5:$AJ$170,0,MATCH(N$2,Inputs!$K$4:$AJ$4,0))))+SUMPRODUCT((Inputs!$E$5:$E$170=$B50)*ISNUMBER(INDEX(Inputs!$K$5:$AJ$170,0,MATCH(N$2,Inputs!$K$4:$AJ$4,0))))=0,NA(),SUMPRODUCT((Inputs!$A$5:$A$170=$B50)*Inputs!$B$5:$B$170*(((Inputs!$G$5:$G$170="moeda")+(Inputs!$G$5:$G$170="acoes"))*Inputs!$B$1+((Inputs!$G$5:$G$170&lt;&gt;"moeda")*(Inputs!$G$5:$G$170&lt;&gt;"acoes")))*INDEX(Inputs!$K$5:$AJ$170,0,MATCH(N$2,Inputs!$K$4:$AJ$4,0)))+SUMPRODUCT((Inputs!$C$5:$C$170=$B50)*Inputs!$D$5:$D$170*(((Inputs!$G$5:$G$170="moeda")+(Inputs!$G$5:$G$170="acoes"))*Inputs!$B$1+((Inputs!$G$5:$G$170&lt;&gt;"moeda")*(Inputs!$G$5:$G$170&lt;&gt;"acoes")))*INDEX(Inputs!$K$5:$AJ$170,0,MATCH(N$2,Inputs!$K$4:$AJ$4,0)))+SUMPRODUCT((Inputs!$E$5:$E$170=$B50)*Inputs!$F$5:$F$170*(((Inputs!$G$5:$G$170="moeda")+(Inputs!$G$5:$G$170="acoes"))*Inputs!$B$1+((Inputs!$G$5:$G$170&lt;&gt;"moeda")*(Inputs!$G$5:$G$170&lt;&gt;"acoes")))*INDEX(Inputs!$K$5:$AJ$170,0,MATCH(N$2,Inputs!$K$4:$AJ$4,0)))))</f>
        <v>21.044</v>
      </c>
      <c r="O50" s="6">
        <f>IF(ISNA(MATCH(O$2,Inputs!$K$4:$AJ$4,0)),NA(),IF(SUMPRODUCT((Inputs!$A$5:$A$170=$B50)*ISNUMBER(INDEX(Inputs!$K$5:$AJ$170,0,MATCH(O$2,Inputs!$K$4:$AJ$4,0))))+SUMPRODUCT((Inputs!$C$5:$C$170=$B50)*ISNUMBER(INDEX(Inputs!$K$5:$AJ$170,0,MATCH(O$2,Inputs!$K$4:$AJ$4,0))))+SUMPRODUCT((Inputs!$E$5:$E$170=$B50)*ISNUMBER(INDEX(Inputs!$K$5:$AJ$170,0,MATCH(O$2,Inputs!$K$4:$AJ$4,0))))=0,NA(),SUMPRODUCT((Inputs!$A$5:$A$170=$B50)*Inputs!$B$5:$B$170*(((Inputs!$G$5:$G$170="moeda")+(Inputs!$G$5:$G$170="acoes"))*Inputs!$B$1+((Inputs!$G$5:$G$170&lt;&gt;"moeda")*(Inputs!$G$5:$G$170&lt;&gt;"acoes")))*INDEX(Inputs!$K$5:$AJ$170,0,MATCH(O$2,Inputs!$K$4:$AJ$4,0)))+SUMPRODUCT((Inputs!$C$5:$C$170=$B50)*Inputs!$D$5:$D$170*(((Inputs!$G$5:$G$170="moeda")+(Inputs!$G$5:$G$170="acoes"))*Inputs!$B$1+((Inputs!$G$5:$G$170&lt;&gt;"moeda")*(Inputs!$G$5:$G$170&lt;&gt;"acoes")))*INDEX(Inputs!$K$5:$AJ$170,0,MATCH(O$2,Inputs!$K$4:$AJ$4,0)))+SUMPRODUCT((Inputs!$E$5:$E$170=$B50)*Inputs!$F$5:$F$170*(((Inputs!$G$5:$G$170="moeda")+(Inputs!$G$5:$G$170="acoes"))*Inputs!$B$1+((Inputs!$G$5:$G$170&lt;&gt;"moeda")*(Inputs!$G$5:$G$170&lt;&gt;"acoes")))*INDEX(Inputs!$K$5:$AJ$170,0,MATCH(O$2,Inputs!$K$4:$AJ$4,0)))))</f>
        <v>-17.864</v>
      </c>
      <c r="P50" s="6">
        <f>IF(ISNA(MATCH(P$2,Inputs!$K$4:$AJ$4,0)),NA(),IF(SUMPRODUCT((Inputs!$A$5:$A$170=$B50)*ISNUMBER(INDEX(Inputs!$K$5:$AJ$170,0,MATCH(P$2,Inputs!$K$4:$AJ$4,0))))+SUMPRODUCT((Inputs!$C$5:$C$170=$B50)*ISNUMBER(INDEX(Inputs!$K$5:$AJ$170,0,MATCH(P$2,Inputs!$K$4:$AJ$4,0))))+SUMPRODUCT((Inputs!$E$5:$E$170=$B50)*ISNUMBER(INDEX(Inputs!$K$5:$AJ$170,0,MATCH(P$2,Inputs!$K$4:$AJ$4,0))))=0,NA(),SUMPRODUCT((Inputs!$A$5:$A$170=$B50)*Inputs!$B$5:$B$170*(((Inputs!$G$5:$G$170="moeda")+(Inputs!$G$5:$G$170="acoes"))*Inputs!$B$1+((Inputs!$G$5:$G$170&lt;&gt;"moeda")*(Inputs!$G$5:$G$170&lt;&gt;"acoes")))*INDEX(Inputs!$K$5:$AJ$170,0,MATCH(P$2,Inputs!$K$4:$AJ$4,0)))+SUMPRODUCT((Inputs!$C$5:$C$170=$B50)*Inputs!$D$5:$D$170*(((Inputs!$G$5:$G$170="moeda")+(Inputs!$G$5:$G$170="acoes"))*Inputs!$B$1+((Inputs!$G$5:$G$170&lt;&gt;"moeda")*(Inputs!$G$5:$G$170&lt;&gt;"acoes")))*INDEX(Inputs!$K$5:$AJ$170,0,MATCH(P$2,Inputs!$K$4:$AJ$4,0)))+SUMPRODUCT((Inputs!$E$5:$E$170=$B50)*Inputs!$F$5:$F$170*(((Inputs!$G$5:$G$170="moeda")+(Inputs!$G$5:$G$170="acoes"))*Inputs!$B$1+((Inputs!$G$5:$G$170&lt;&gt;"moeda")*(Inputs!$G$5:$G$170&lt;&gt;"acoes")))*INDEX(Inputs!$K$5:$AJ$170,0,MATCH(P$2,Inputs!$K$4:$AJ$4,0)))))</f>
        <v>-65.721</v>
      </c>
      <c r="Q50" s="6">
        <f>IF(ISNA(MATCH(Q$2,Inputs!$K$4:$AJ$4,0)),NA(),IF(SUMPRODUCT((Inputs!$A$5:$A$170=$B50)*ISNUMBER(INDEX(Inputs!$K$5:$AJ$170,0,MATCH(Q$2,Inputs!$K$4:$AJ$4,0))))+SUMPRODUCT((Inputs!$C$5:$C$170=$B50)*ISNUMBER(INDEX(Inputs!$K$5:$AJ$170,0,MATCH(Q$2,Inputs!$K$4:$AJ$4,0))))+SUMPRODUCT((Inputs!$E$5:$E$170=$B50)*ISNUMBER(INDEX(Inputs!$K$5:$AJ$170,0,MATCH(Q$2,Inputs!$K$4:$AJ$4,0))))=0,NA(),SUMPRODUCT((Inputs!$A$5:$A$170=$B50)*Inputs!$B$5:$B$170*(((Inputs!$G$5:$G$170="moeda")+(Inputs!$G$5:$G$170="acoes"))*Inputs!$B$1+((Inputs!$G$5:$G$170&lt;&gt;"moeda")*(Inputs!$G$5:$G$170&lt;&gt;"acoes")))*INDEX(Inputs!$K$5:$AJ$170,0,MATCH(Q$2,Inputs!$K$4:$AJ$4,0)))+SUMPRODUCT((Inputs!$C$5:$C$170=$B50)*Inputs!$D$5:$D$170*(((Inputs!$G$5:$G$170="moeda")+(Inputs!$G$5:$G$170="acoes"))*Inputs!$B$1+((Inputs!$G$5:$G$170&lt;&gt;"moeda")*(Inputs!$G$5:$G$170&lt;&gt;"acoes")))*INDEX(Inputs!$K$5:$AJ$170,0,MATCH(Q$2,Inputs!$K$4:$AJ$4,0)))+SUMPRODUCT((Inputs!$E$5:$E$170=$B50)*Inputs!$F$5:$F$170*(((Inputs!$G$5:$G$170="moeda")+(Inputs!$G$5:$G$170="acoes"))*Inputs!$B$1+((Inputs!$G$5:$G$170&lt;&gt;"moeda")*(Inputs!$G$5:$G$170&lt;&gt;"acoes")))*INDEX(Inputs!$K$5:$AJ$170,0,MATCH(Q$2,Inputs!$K$4:$AJ$4,0)))))</f>
        <v>-588.309</v>
      </c>
      <c r="R50" s="3">
        <f>SUM(N50:Q50)</f>
        <v>-650.85</v>
      </c>
      <c r="S50" s="6">
        <f>IF(ISNA(MATCH(S$2,Inputs!$K$4:$AJ$4,0)),NA(),IF(SUMPRODUCT((Inputs!$A$5:$A$170=$B50)*ISNUMBER(INDEX(Inputs!$K$5:$AJ$170,0,MATCH(S$2,Inputs!$K$4:$AJ$4,0))))+SUMPRODUCT((Inputs!$C$5:$C$170=$B50)*ISNUMBER(INDEX(Inputs!$K$5:$AJ$170,0,MATCH(S$2,Inputs!$K$4:$AJ$4,0))))+SUMPRODUCT((Inputs!$E$5:$E$170=$B50)*ISNUMBER(INDEX(Inputs!$K$5:$AJ$170,0,MATCH(S$2,Inputs!$K$4:$AJ$4,0))))=0,NA(),SUMPRODUCT((Inputs!$A$5:$A$170=$B50)*Inputs!$B$5:$B$170*(((Inputs!$G$5:$G$170="moeda")+(Inputs!$G$5:$G$170="acoes"))*Inputs!$B$1+((Inputs!$G$5:$G$170&lt;&gt;"moeda")*(Inputs!$G$5:$G$170&lt;&gt;"acoes")))*INDEX(Inputs!$K$5:$AJ$170,0,MATCH(S$2,Inputs!$K$4:$AJ$4,0)))+SUMPRODUCT((Inputs!$C$5:$C$170=$B50)*Inputs!$D$5:$D$170*(((Inputs!$G$5:$G$170="moeda")+(Inputs!$G$5:$G$170="acoes"))*Inputs!$B$1+((Inputs!$G$5:$G$170&lt;&gt;"moeda")*(Inputs!$G$5:$G$170&lt;&gt;"acoes")))*INDEX(Inputs!$K$5:$AJ$170,0,MATCH(S$2,Inputs!$K$4:$AJ$4,0)))+SUMPRODUCT((Inputs!$E$5:$E$170=$B50)*Inputs!$F$5:$F$170*(((Inputs!$G$5:$G$170="moeda")+(Inputs!$G$5:$G$170="acoes"))*Inputs!$B$1+((Inputs!$G$5:$G$170&lt;&gt;"moeda")*(Inputs!$G$5:$G$170&lt;&gt;"acoes")))*INDEX(Inputs!$K$5:$AJ$170,0,MATCH(S$2,Inputs!$K$4:$AJ$4,0)))))</f>
        <v>48.599</v>
      </c>
      <c r="T50" s="6">
        <f>IF(ISNA(MATCH(T$2,Inputs!$K$4:$AJ$4,0)),NA(),IF(SUMPRODUCT((Inputs!$A$5:$A$170=$B50)*ISNUMBER(INDEX(Inputs!$K$5:$AJ$170,0,MATCH(T$2,Inputs!$K$4:$AJ$4,0))))+SUMPRODUCT((Inputs!$C$5:$C$170=$B50)*ISNUMBER(INDEX(Inputs!$K$5:$AJ$170,0,MATCH(T$2,Inputs!$K$4:$AJ$4,0))))+SUMPRODUCT((Inputs!$E$5:$E$170=$B50)*ISNUMBER(INDEX(Inputs!$K$5:$AJ$170,0,MATCH(T$2,Inputs!$K$4:$AJ$4,0))))=0,NA(),SUMPRODUCT((Inputs!$A$5:$A$170=$B50)*Inputs!$B$5:$B$170*(((Inputs!$G$5:$G$170="moeda")+(Inputs!$G$5:$G$170="acoes"))*Inputs!$B$1+((Inputs!$G$5:$G$170&lt;&gt;"moeda")*(Inputs!$G$5:$G$170&lt;&gt;"acoes")))*INDEX(Inputs!$K$5:$AJ$170,0,MATCH(T$2,Inputs!$K$4:$AJ$4,0)))+SUMPRODUCT((Inputs!$C$5:$C$170=$B50)*Inputs!$D$5:$D$170*(((Inputs!$G$5:$G$170="moeda")+(Inputs!$G$5:$G$170="acoes"))*Inputs!$B$1+((Inputs!$G$5:$G$170&lt;&gt;"moeda")*(Inputs!$G$5:$G$170&lt;&gt;"acoes")))*INDEX(Inputs!$K$5:$AJ$170,0,MATCH(T$2,Inputs!$K$4:$AJ$4,0)))+SUMPRODUCT((Inputs!$E$5:$E$170=$B50)*Inputs!$F$5:$F$170*(((Inputs!$G$5:$G$170="moeda")+(Inputs!$G$5:$G$170="acoes"))*Inputs!$B$1+((Inputs!$G$5:$G$170&lt;&gt;"moeda")*(Inputs!$G$5:$G$170&lt;&gt;"acoes")))*INDEX(Inputs!$K$5:$AJ$170,0,MATCH(T$2,Inputs!$K$4:$AJ$4,0)))))</f>
        <v>42.548</v>
      </c>
      <c r="U50" s="6">
        <f>IF(ISNA(MATCH(U$2,Inputs!$K$4:$AJ$4,0)),NA(),IF(SUMPRODUCT((Inputs!$A$5:$A$170=$B50)*ISNUMBER(INDEX(Inputs!$K$5:$AJ$170,0,MATCH(U$2,Inputs!$K$4:$AJ$4,0))))+SUMPRODUCT((Inputs!$C$5:$C$170=$B50)*ISNUMBER(INDEX(Inputs!$K$5:$AJ$170,0,MATCH(U$2,Inputs!$K$4:$AJ$4,0))))+SUMPRODUCT((Inputs!$E$5:$E$170=$B50)*ISNUMBER(INDEX(Inputs!$K$5:$AJ$170,0,MATCH(U$2,Inputs!$K$4:$AJ$4,0))))=0,NA(),SUMPRODUCT((Inputs!$A$5:$A$170=$B50)*Inputs!$B$5:$B$170*(((Inputs!$G$5:$G$170="moeda")+(Inputs!$G$5:$G$170="acoes"))*Inputs!$B$1+((Inputs!$G$5:$G$170&lt;&gt;"moeda")*(Inputs!$G$5:$G$170&lt;&gt;"acoes")))*INDEX(Inputs!$K$5:$AJ$170,0,MATCH(U$2,Inputs!$K$4:$AJ$4,0)))+SUMPRODUCT((Inputs!$C$5:$C$170=$B50)*Inputs!$D$5:$D$170*(((Inputs!$G$5:$G$170="moeda")+(Inputs!$G$5:$G$170="acoes"))*Inputs!$B$1+((Inputs!$G$5:$G$170&lt;&gt;"moeda")*(Inputs!$G$5:$G$170&lt;&gt;"acoes")))*INDEX(Inputs!$K$5:$AJ$170,0,MATCH(U$2,Inputs!$K$4:$AJ$4,0)))+SUMPRODUCT((Inputs!$E$5:$E$170=$B50)*Inputs!$F$5:$F$170*(((Inputs!$G$5:$G$170="moeda")+(Inputs!$G$5:$G$170="acoes"))*Inputs!$B$1+((Inputs!$G$5:$G$170&lt;&gt;"moeda")*(Inputs!$G$5:$G$170&lt;&gt;"acoes")))*INDEX(Inputs!$K$5:$AJ$170,0,MATCH(U$2,Inputs!$K$4:$AJ$4,0)))))</f>
        <v>78.194</v>
      </c>
      <c r="V50" s="6">
        <f>IF(ISNA(MATCH(V$2,Inputs!$K$4:$AJ$4,0)),NA(),IF(SUMPRODUCT((Inputs!$A$5:$A$170=$B50)*ISNUMBER(INDEX(Inputs!$K$5:$AJ$170,0,MATCH(V$2,Inputs!$K$4:$AJ$4,0))))+SUMPRODUCT((Inputs!$C$5:$C$170=$B50)*ISNUMBER(INDEX(Inputs!$K$5:$AJ$170,0,MATCH(V$2,Inputs!$K$4:$AJ$4,0))))+SUMPRODUCT((Inputs!$E$5:$E$170=$B50)*ISNUMBER(INDEX(Inputs!$K$5:$AJ$170,0,MATCH(V$2,Inputs!$K$4:$AJ$4,0))))=0,NA(),SUMPRODUCT((Inputs!$A$5:$A$170=$B50)*Inputs!$B$5:$B$170*(((Inputs!$G$5:$G$170="moeda")+(Inputs!$G$5:$G$170="acoes"))*Inputs!$B$1+((Inputs!$G$5:$G$170&lt;&gt;"moeda")*(Inputs!$G$5:$G$170&lt;&gt;"acoes")))*INDEX(Inputs!$K$5:$AJ$170,0,MATCH(V$2,Inputs!$K$4:$AJ$4,0)))+SUMPRODUCT((Inputs!$C$5:$C$170=$B50)*Inputs!$D$5:$D$170*(((Inputs!$G$5:$G$170="moeda")+(Inputs!$G$5:$G$170="acoes"))*Inputs!$B$1+((Inputs!$G$5:$G$170&lt;&gt;"moeda")*(Inputs!$G$5:$G$170&lt;&gt;"acoes")))*INDEX(Inputs!$K$5:$AJ$170,0,MATCH(V$2,Inputs!$K$4:$AJ$4,0)))+SUMPRODUCT((Inputs!$E$5:$E$170=$B50)*Inputs!$F$5:$F$170*(((Inputs!$G$5:$G$170="moeda")+(Inputs!$G$5:$G$170="acoes"))*Inputs!$B$1+((Inputs!$G$5:$G$170&lt;&gt;"moeda")*(Inputs!$G$5:$G$170&lt;&gt;"acoes")))*INDEX(Inputs!$K$5:$AJ$170,0,MATCH(V$2,Inputs!$K$4:$AJ$4,0)))))</f>
        <v>62.171</v>
      </c>
      <c r="W50" s="3">
        <f>SUM(S50:V50)</f>
        <v>231.512</v>
      </c>
      <c r="X50" s="6">
        <f>IF(ISNA(MATCH(X$2,Inputs!$K$4:$AJ$4,0)),NA(),IF(SUMPRODUCT((Inputs!$A$5:$A$170=$B50)*ISNUMBER(INDEX(Inputs!$K$5:$AJ$170,0,MATCH(X$2,Inputs!$K$4:$AJ$4,0))))+SUMPRODUCT((Inputs!$C$5:$C$170=$B50)*ISNUMBER(INDEX(Inputs!$K$5:$AJ$170,0,MATCH(X$2,Inputs!$K$4:$AJ$4,0))))+SUMPRODUCT((Inputs!$E$5:$E$170=$B50)*ISNUMBER(INDEX(Inputs!$K$5:$AJ$170,0,MATCH(X$2,Inputs!$K$4:$AJ$4,0))))=0,NA(),SUMPRODUCT((Inputs!$A$5:$A$170=$B50)*Inputs!$B$5:$B$170*(((Inputs!$G$5:$G$170="moeda")+(Inputs!$G$5:$G$170="acoes"))*Inputs!$B$1+((Inputs!$G$5:$G$170&lt;&gt;"moeda")*(Inputs!$G$5:$G$170&lt;&gt;"acoes")))*INDEX(Inputs!$K$5:$AJ$170,0,MATCH(X$2,Inputs!$K$4:$AJ$4,0)))+SUMPRODUCT((Inputs!$C$5:$C$170=$B50)*Inputs!$D$5:$D$170*(((Inputs!$G$5:$G$170="moeda")+(Inputs!$G$5:$G$170="acoes"))*Inputs!$B$1+((Inputs!$G$5:$G$170&lt;&gt;"moeda")*(Inputs!$G$5:$G$170&lt;&gt;"acoes")))*INDEX(Inputs!$K$5:$AJ$170,0,MATCH(X$2,Inputs!$K$4:$AJ$4,0)))+SUMPRODUCT((Inputs!$E$5:$E$170=$B50)*Inputs!$F$5:$F$170*(((Inputs!$G$5:$G$170="moeda")+(Inputs!$G$5:$G$170="acoes"))*Inputs!$B$1+((Inputs!$G$5:$G$170&lt;&gt;"moeda")*(Inputs!$G$5:$G$170&lt;&gt;"acoes")))*INDEX(Inputs!$K$5:$AJ$170,0,MATCH(X$2,Inputs!$K$4:$AJ$4,0)))))</f>
        <v>78.468</v>
      </c>
      <c r="Y50" s="6">
        <f>IF(ISNA(MATCH(Y$2,Inputs!$K$4:$AJ$4,0)),NA(),IF(SUMPRODUCT((Inputs!$A$5:$A$170=$B50)*ISNUMBER(INDEX(Inputs!$K$5:$AJ$170,0,MATCH(Y$2,Inputs!$K$4:$AJ$4,0))))+SUMPRODUCT((Inputs!$C$5:$C$170=$B50)*ISNUMBER(INDEX(Inputs!$K$5:$AJ$170,0,MATCH(Y$2,Inputs!$K$4:$AJ$4,0))))+SUMPRODUCT((Inputs!$E$5:$E$170=$B50)*ISNUMBER(INDEX(Inputs!$K$5:$AJ$170,0,MATCH(Y$2,Inputs!$K$4:$AJ$4,0))))=0,NA(),SUMPRODUCT((Inputs!$A$5:$A$170=$B50)*Inputs!$B$5:$B$170*(((Inputs!$G$5:$G$170="moeda")+(Inputs!$G$5:$G$170="acoes"))*Inputs!$B$1+((Inputs!$G$5:$G$170&lt;&gt;"moeda")*(Inputs!$G$5:$G$170&lt;&gt;"acoes")))*INDEX(Inputs!$K$5:$AJ$170,0,MATCH(Y$2,Inputs!$K$4:$AJ$4,0)))+SUMPRODUCT((Inputs!$C$5:$C$170=$B50)*Inputs!$D$5:$D$170*(((Inputs!$G$5:$G$170="moeda")+(Inputs!$G$5:$G$170="acoes"))*Inputs!$B$1+((Inputs!$G$5:$G$170&lt;&gt;"moeda")*(Inputs!$G$5:$G$170&lt;&gt;"acoes")))*INDEX(Inputs!$K$5:$AJ$170,0,MATCH(Y$2,Inputs!$K$4:$AJ$4,0)))+SUMPRODUCT((Inputs!$E$5:$E$170=$B50)*Inputs!$F$5:$F$170*(((Inputs!$G$5:$G$170="moeda")+(Inputs!$G$5:$G$170="acoes"))*Inputs!$B$1+((Inputs!$G$5:$G$170&lt;&gt;"moeda")*(Inputs!$G$5:$G$170&lt;&gt;"acoes")))*INDEX(Inputs!$K$5:$AJ$170,0,MATCH(Y$2,Inputs!$K$4:$AJ$4,0)))))</f>
        <v>67.595</v>
      </c>
      <c r="Z50" s="6">
        <f>IF(ISNA(MATCH(Z$2,Inputs!$K$4:$AJ$4,0)),NA(),IF(SUMPRODUCT((Inputs!$A$5:$A$170=$B50)*ISNUMBER(INDEX(Inputs!$K$5:$AJ$170,0,MATCH(Z$2,Inputs!$K$4:$AJ$4,0))))+SUMPRODUCT((Inputs!$C$5:$C$170=$B50)*ISNUMBER(INDEX(Inputs!$K$5:$AJ$170,0,MATCH(Z$2,Inputs!$K$4:$AJ$4,0))))+SUMPRODUCT((Inputs!$E$5:$E$170=$B50)*ISNUMBER(INDEX(Inputs!$K$5:$AJ$170,0,MATCH(Z$2,Inputs!$K$4:$AJ$4,0))))=0,NA(),SUMPRODUCT((Inputs!$A$5:$A$170=$B50)*Inputs!$B$5:$B$170*(((Inputs!$G$5:$G$170="moeda")+(Inputs!$G$5:$G$170="acoes"))*Inputs!$B$1+((Inputs!$G$5:$G$170&lt;&gt;"moeda")*(Inputs!$G$5:$G$170&lt;&gt;"acoes")))*INDEX(Inputs!$K$5:$AJ$170,0,MATCH(Z$2,Inputs!$K$4:$AJ$4,0)))+SUMPRODUCT((Inputs!$C$5:$C$170=$B50)*Inputs!$D$5:$D$170*(((Inputs!$G$5:$G$170="moeda")+(Inputs!$G$5:$G$170="acoes"))*Inputs!$B$1+((Inputs!$G$5:$G$170&lt;&gt;"moeda")*(Inputs!$G$5:$G$170&lt;&gt;"acoes")))*INDEX(Inputs!$K$5:$AJ$170,0,MATCH(Z$2,Inputs!$K$4:$AJ$4,0)))+SUMPRODUCT((Inputs!$E$5:$E$170=$B50)*Inputs!$F$5:$F$170*(((Inputs!$G$5:$G$170="moeda")+(Inputs!$G$5:$G$170="acoes"))*Inputs!$B$1+((Inputs!$G$5:$G$170&lt;&gt;"moeda")*(Inputs!$G$5:$G$170&lt;&gt;"acoes")))*INDEX(Inputs!$K$5:$AJ$170,0,MATCH(Z$2,Inputs!$K$4:$AJ$4,0)))))</f>
        <v>69.955</v>
      </c>
      <c r="AA50" s="6">
        <f>IF(ISNA(MATCH(AA$2,Inputs!$K$4:$AJ$4,0)),NA(),IF(SUMPRODUCT((Inputs!$A$5:$A$170=$B50)*ISNUMBER(INDEX(Inputs!$K$5:$AJ$170,0,MATCH(AA$2,Inputs!$K$4:$AJ$4,0))))+SUMPRODUCT((Inputs!$C$5:$C$170=$B50)*ISNUMBER(INDEX(Inputs!$K$5:$AJ$170,0,MATCH(AA$2,Inputs!$K$4:$AJ$4,0))))+SUMPRODUCT((Inputs!$E$5:$E$170=$B50)*ISNUMBER(INDEX(Inputs!$K$5:$AJ$170,0,MATCH(AA$2,Inputs!$K$4:$AJ$4,0))))=0,NA(),SUMPRODUCT((Inputs!$A$5:$A$170=$B50)*Inputs!$B$5:$B$170*(((Inputs!$G$5:$G$170="moeda")+(Inputs!$G$5:$G$170="acoes"))*Inputs!$B$1+((Inputs!$G$5:$G$170&lt;&gt;"moeda")*(Inputs!$G$5:$G$170&lt;&gt;"acoes")))*INDEX(Inputs!$K$5:$AJ$170,0,MATCH(AA$2,Inputs!$K$4:$AJ$4,0)))+SUMPRODUCT((Inputs!$C$5:$C$170=$B50)*Inputs!$D$5:$D$170*(((Inputs!$G$5:$G$170="moeda")+(Inputs!$G$5:$G$170="acoes"))*Inputs!$B$1+((Inputs!$G$5:$G$170&lt;&gt;"moeda")*(Inputs!$G$5:$G$170&lt;&gt;"acoes")))*INDEX(Inputs!$K$5:$AJ$170,0,MATCH(AA$2,Inputs!$K$4:$AJ$4,0)))+SUMPRODUCT((Inputs!$E$5:$E$170=$B50)*Inputs!$F$5:$F$170*(((Inputs!$G$5:$G$170="moeda")+(Inputs!$G$5:$G$170="acoes"))*Inputs!$B$1+((Inputs!$G$5:$G$170&lt;&gt;"moeda")*(Inputs!$G$5:$G$170&lt;&gt;"acoes")))*INDEX(Inputs!$K$5:$AJ$170,0,MATCH(AA$2,Inputs!$K$4:$AJ$4,0)))))</f>
        <v>102.344106983398</v>
      </c>
      <c r="AB50" s="3">
        <f>SUM(X50:AA50)</f>
        <v>318.362106983398</v>
      </c>
      <c r="AC50" s="6">
        <f>IF(ISNA(MATCH(AC$2,Inputs!$K$4:$AJ$4,0)),NA(),IF(SUMPRODUCT((Inputs!$A$5:$A$170=$B50)*ISNUMBER(INDEX(Inputs!$K$5:$AJ$170,0,MATCH(AC$2,Inputs!$K$4:$AJ$4,0))))+SUMPRODUCT((Inputs!$C$5:$C$170=$B50)*ISNUMBER(INDEX(Inputs!$K$5:$AJ$170,0,MATCH(AC$2,Inputs!$K$4:$AJ$4,0))))+SUMPRODUCT((Inputs!$E$5:$E$170=$B50)*ISNUMBER(INDEX(Inputs!$K$5:$AJ$170,0,MATCH(AC$2,Inputs!$K$4:$AJ$4,0))))=0,NA(),SUMPRODUCT((Inputs!$A$5:$A$170=$B50)*Inputs!$B$5:$B$170*(((Inputs!$G$5:$G$170="moeda")+(Inputs!$G$5:$G$170="acoes"))*Inputs!$B$1+((Inputs!$G$5:$G$170&lt;&gt;"moeda")*(Inputs!$G$5:$G$170&lt;&gt;"acoes")))*INDEX(Inputs!$K$5:$AJ$170,0,MATCH(AC$2,Inputs!$K$4:$AJ$4,0)))+SUMPRODUCT((Inputs!$C$5:$C$170=$B50)*Inputs!$D$5:$D$170*(((Inputs!$G$5:$G$170="moeda")+(Inputs!$G$5:$G$170="acoes"))*Inputs!$B$1+((Inputs!$G$5:$G$170&lt;&gt;"moeda")*(Inputs!$G$5:$G$170&lt;&gt;"acoes")))*INDEX(Inputs!$K$5:$AJ$170,0,MATCH(AC$2,Inputs!$K$4:$AJ$4,0)))+SUMPRODUCT((Inputs!$E$5:$E$170=$B50)*Inputs!$F$5:$F$170*(((Inputs!$G$5:$G$170="moeda")+(Inputs!$G$5:$G$170="acoes"))*Inputs!$B$1+((Inputs!$G$5:$G$170&lt;&gt;"moeda")*(Inputs!$G$5:$G$170&lt;&gt;"acoes")))*INDEX(Inputs!$K$5:$AJ$170,0,MATCH(AC$2,Inputs!$K$4:$AJ$4,0)))))</f>
        <v>124.513191101402</v>
      </c>
      <c r="AD50" s="6">
        <f>IF(ISNA(MATCH(AD$2,Inputs!$K$4:$AJ$4,0)),NA(),IF(SUMPRODUCT((Inputs!$A$5:$A$170=$B50)*ISNUMBER(INDEX(Inputs!$K$5:$AJ$170,0,MATCH(AD$2,Inputs!$K$4:$AJ$4,0))))+SUMPRODUCT((Inputs!$C$5:$C$170=$B50)*ISNUMBER(INDEX(Inputs!$K$5:$AJ$170,0,MATCH(AD$2,Inputs!$K$4:$AJ$4,0))))+SUMPRODUCT((Inputs!$E$5:$E$170=$B50)*ISNUMBER(INDEX(Inputs!$K$5:$AJ$170,0,MATCH(AD$2,Inputs!$K$4:$AJ$4,0))))=0,NA(),SUMPRODUCT((Inputs!$A$5:$A$170=$B50)*Inputs!$B$5:$B$170*(((Inputs!$G$5:$G$170="moeda")+(Inputs!$G$5:$G$170="acoes"))*Inputs!$B$1+((Inputs!$G$5:$G$170&lt;&gt;"moeda")*(Inputs!$G$5:$G$170&lt;&gt;"acoes")))*INDEX(Inputs!$K$5:$AJ$170,0,MATCH(AD$2,Inputs!$K$4:$AJ$4,0)))+SUMPRODUCT((Inputs!$C$5:$C$170=$B50)*Inputs!$D$5:$D$170*(((Inputs!$G$5:$G$170="moeda")+(Inputs!$G$5:$G$170="acoes"))*Inputs!$B$1+((Inputs!$G$5:$G$170&lt;&gt;"moeda")*(Inputs!$G$5:$G$170&lt;&gt;"acoes")))*INDEX(Inputs!$K$5:$AJ$170,0,MATCH(AD$2,Inputs!$K$4:$AJ$4,0)))+SUMPRODUCT((Inputs!$E$5:$E$170=$B50)*Inputs!$F$5:$F$170*(((Inputs!$G$5:$G$170="moeda")+(Inputs!$G$5:$G$170="acoes"))*Inputs!$B$1+((Inputs!$G$5:$G$170&lt;&gt;"moeda")*(Inputs!$G$5:$G$170&lt;&gt;"acoes")))*INDEX(Inputs!$K$5:$AJ$170,0,MATCH(AD$2,Inputs!$K$4:$AJ$4,0)))))</f>
        <v>135.649659876556</v>
      </c>
      <c r="AE50" s="6" t="e">
        <f>IF(ISNA(MATCH(AE$2,Inputs!$K$4:$AJ$4,0)),NA(),IF(SUMPRODUCT((Inputs!$A$5:$A$170=$B50)*ISNUMBER(INDEX(Inputs!$K$5:$AJ$170,0,MATCH(AE$2,Inputs!$K$4:$AJ$4,0))))+SUMPRODUCT((Inputs!$C$5:$C$170=$B50)*ISNUMBER(INDEX(Inputs!$K$5:$AJ$170,0,MATCH(AE$2,Inputs!$K$4:$AJ$4,0))))+SUMPRODUCT((Inputs!$E$5:$E$170=$B50)*ISNUMBER(INDEX(Inputs!$K$5:$AJ$170,0,MATCH(AE$2,Inputs!$K$4:$AJ$4,0))))=0,NA(),SUMPRODUCT((Inputs!$A$5:$A$170=$B50)*Inputs!$B$5:$B$170*(((Inputs!$G$5:$G$170="moeda")+(Inputs!$G$5:$G$170="acoes"))*Inputs!$B$1+((Inputs!$G$5:$G$170&lt;&gt;"moeda")*(Inputs!$G$5:$G$170&lt;&gt;"acoes")))*INDEX(Inputs!$K$5:$AJ$170,0,MATCH(AE$2,Inputs!$K$4:$AJ$4,0)))+SUMPRODUCT((Inputs!$C$5:$C$170=$B50)*Inputs!$D$5:$D$170*(((Inputs!$G$5:$G$170="moeda")+(Inputs!$G$5:$G$170="acoes"))*Inputs!$B$1+((Inputs!$G$5:$G$170&lt;&gt;"moeda")*(Inputs!$G$5:$G$170&lt;&gt;"acoes")))*INDEX(Inputs!$K$5:$AJ$170,0,MATCH(AE$2,Inputs!$K$4:$AJ$4,0)))+SUMPRODUCT((Inputs!$E$5:$E$170=$B50)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0" s="6" t="e">
        <f>IF(ISNA(MATCH(AF$2,Inputs!$K$4:$AJ$4,0)),NA(),IF(SUMPRODUCT((Inputs!$A$5:$A$170=$B50)*ISNUMBER(INDEX(Inputs!$K$5:$AJ$170,0,MATCH(AF$2,Inputs!$K$4:$AJ$4,0))))+SUMPRODUCT((Inputs!$C$5:$C$170=$B50)*ISNUMBER(INDEX(Inputs!$K$5:$AJ$170,0,MATCH(AF$2,Inputs!$K$4:$AJ$4,0))))+SUMPRODUCT((Inputs!$E$5:$E$170=$B50)*ISNUMBER(INDEX(Inputs!$K$5:$AJ$170,0,MATCH(AF$2,Inputs!$K$4:$AJ$4,0))))=0,NA(),SUMPRODUCT((Inputs!$A$5:$A$170=$B50)*Inputs!$B$5:$B$170*(((Inputs!$G$5:$G$170="moeda")+(Inputs!$G$5:$G$170="acoes"))*Inputs!$B$1+((Inputs!$G$5:$G$170&lt;&gt;"moeda")*(Inputs!$G$5:$G$170&lt;&gt;"acoes")))*INDEX(Inputs!$K$5:$AJ$170,0,MATCH(AF$2,Inputs!$K$4:$AJ$4,0)))+SUMPRODUCT((Inputs!$C$5:$C$170=$B50)*Inputs!$D$5:$D$170*(((Inputs!$G$5:$G$170="moeda")+(Inputs!$G$5:$G$170="acoes"))*Inputs!$B$1+((Inputs!$G$5:$G$170&lt;&gt;"moeda")*(Inputs!$G$5:$G$170&lt;&gt;"acoes")))*INDEX(Inputs!$K$5:$AJ$170,0,MATCH(AF$2,Inputs!$K$4:$AJ$4,0)))+SUMPRODUCT((Inputs!$E$5:$E$170=$B50)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0" s="3" t="e">
        <f>SUM(AC50:AF50)</f>
        <v>#N/A</v>
      </c>
      <c r="AH50">
        <f>IF(ISNA(MATCH(AH$2,Inputs!$K$4:$AJ$4,0)),NA(),IF(SUMPRODUCT((Inputs!$A$5:$A$170=$B50)*ISNUMBER(INDEX(Inputs!$K$5:$AJ$170,0,MATCH(AH$2,Inputs!$K$4:$AJ$4,0))))+SUMPRODUCT((Inputs!$C$5:$C$170=$B50)*ISNUMBER(INDEX(Inputs!$K$5:$AJ$170,0,MATCH(AH$2,Inputs!$K$4:$AJ$4,0))))+SUMPRODUCT((Inputs!$E$5:$E$170=$B50)*ISNUMBER(INDEX(Inputs!$K$5:$AJ$170,0,MATCH(AH$2,Inputs!$K$4:$AJ$4,0))))=0,NA(),SUMPRODUCT((Inputs!$A$5:$A$170=$B50)*Inputs!$B$5:$B$170*(((Inputs!$G$5:$G$170="moeda")+(Inputs!$G$5:$G$170="acoes"))*Inputs!$B$1+((Inputs!$G$5:$G$170&lt;&gt;"moeda")*(Inputs!$G$5:$G$170&lt;&gt;"acoes")))*INDEX(Inputs!$K$5:$AJ$170,0,MATCH(AH$2,Inputs!$K$4:$AJ$4,0)))+SUMPRODUCT((Inputs!$C$5:$C$170=$B50)*Inputs!$D$5:$D$170*(((Inputs!$G$5:$G$170="moeda")+(Inputs!$G$5:$G$170="acoes"))*Inputs!$B$1+((Inputs!$G$5:$G$170&lt;&gt;"moeda")*(Inputs!$G$5:$G$170&lt;&gt;"acoes")))*INDEX(Inputs!$K$5:$AJ$170,0,MATCH(AH$2,Inputs!$K$4:$AJ$4,0)))+SUMPRODUCT((Inputs!$E$5:$E$170=$B50)*Inputs!$F$5:$F$170*(((Inputs!$G$5:$G$170="moeda")+(Inputs!$G$5:$G$170="acoes"))*Inputs!$B$1+((Inputs!$G$5:$G$170&lt;&gt;"moeda")*(Inputs!$G$5:$G$170&lt;&gt;"acoes")))*INDEX(Inputs!$K$5:$AJ$170,0,MATCH(AH$2,Inputs!$K$4:$AJ$4,0)))))</f>
        <v>55.09</v>
      </c>
      <c r="AI50">
        <f>IF(ISNA(MATCH(AI$2,Inputs!$K$4:$AJ$4,0)),NA(),IF(SUMPRODUCT((Inputs!$A$5:$A$170=$B50)*ISNUMBER(INDEX(Inputs!$K$5:$AJ$170,0,MATCH(AI$2,Inputs!$K$4:$AJ$4,0))))+SUMPRODUCT((Inputs!$C$5:$C$170=$B50)*ISNUMBER(INDEX(Inputs!$K$5:$AJ$170,0,MATCH(AI$2,Inputs!$K$4:$AJ$4,0))))+SUMPRODUCT((Inputs!$E$5:$E$170=$B50)*ISNUMBER(INDEX(Inputs!$K$5:$AJ$170,0,MATCH(AI$2,Inputs!$K$4:$AJ$4,0))))=0,NA(),SUMPRODUCT((Inputs!$A$5:$A$170=$B50)*Inputs!$B$5:$B$170*(((Inputs!$G$5:$G$170="moeda")+(Inputs!$G$5:$G$170="acoes"))*Inputs!$B$1+((Inputs!$G$5:$G$170&lt;&gt;"moeda")*(Inputs!$G$5:$G$170&lt;&gt;"acoes")))*INDEX(Inputs!$K$5:$AJ$170,0,MATCH(AI$2,Inputs!$K$4:$AJ$4,0)))+SUMPRODUCT((Inputs!$C$5:$C$170=$B50)*Inputs!$D$5:$D$170*(((Inputs!$G$5:$G$170="moeda")+(Inputs!$G$5:$G$170="acoes"))*Inputs!$B$1+((Inputs!$G$5:$G$170&lt;&gt;"moeda")*(Inputs!$G$5:$G$170&lt;&gt;"acoes")))*INDEX(Inputs!$K$5:$AJ$170,0,MATCH(AI$2,Inputs!$K$4:$AJ$4,0)))+SUMPRODUCT((Inputs!$E$5:$E$170=$B50)*Inputs!$F$5:$F$170*(((Inputs!$G$5:$G$170="moeda")+(Inputs!$G$5:$G$170="acoes"))*Inputs!$B$1+((Inputs!$G$5:$G$170&lt;&gt;"moeda")*(Inputs!$G$5:$G$170&lt;&gt;"acoes")))*INDEX(Inputs!$K$5:$AJ$170,0,MATCH(AI$2,Inputs!$K$4:$AJ$4,0)))))</f>
        <v>2.613</v>
      </c>
      <c r="AJ50">
        <f>IF(ISNA(MATCH(AJ$2,Inputs!$K$4:$AJ$4,0)),NA(),IF(SUMPRODUCT((Inputs!$A$5:$A$170=$B50)*ISNUMBER(INDEX(Inputs!$K$5:$AJ$170,0,MATCH(AJ$2,Inputs!$K$4:$AJ$4,0))))+SUMPRODUCT((Inputs!$C$5:$C$170=$B50)*ISNUMBER(INDEX(Inputs!$K$5:$AJ$170,0,MATCH(AJ$2,Inputs!$K$4:$AJ$4,0))))+SUMPRODUCT((Inputs!$E$5:$E$170=$B50)*ISNUMBER(INDEX(Inputs!$K$5:$AJ$170,0,MATCH(AJ$2,Inputs!$K$4:$AJ$4,0))))=0,NA(),SUMPRODUCT((Inputs!$A$5:$A$170=$B50)*Inputs!$B$5:$B$170*(((Inputs!$G$5:$G$170="moeda")+(Inputs!$G$5:$G$170="acoes"))*Inputs!$B$1+((Inputs!$G$5:$G$170&lt;&gt;"moeda")*(Inputs!$G$5:$G$170&lt;&gt;"acoes")))*INDEX(Inputs!$K$5:$AJ$170,0,MATCH(AJ$2,Inputs!$K$4:$AJ$4,0)))+SUMPRODUCT((Inputs!$C$5:$C$170=$B50)*Inputs!$D$5:$D$170*(((Inputs!$G$5:$G$170="moeda")+(Inputs!$G$5:$G$170="acoes"))*Inputs!$B$1+((Inputs!$G$5:$G$170&lt;&gt;"moeda")*(Inputs!$G$5:$G$170&lt;&gt;"acoes")))*INDEX(Inputs!$K$5:$AJ$170,0,MATCH(AJ$2,Inputs!$K$4:$AJ$4,0)))+SUMPRODUCT((Inputs!$E$5:$E$170=$B50)*Inputs!$F$5:$F$170*(((Inputs!$G$5:$G$170="moeda")+(Inputs!$G$5:$G$170="acoes"))*Inputs!$B$1+((Inputs!$G$5:$G$170&lt;&gt;"moeda")*(Inputs!$G$5:$G$170&lt;&gt;"acoes")))*INDEX(Inputs!$K$5:$AJ$170,0,MATCH(AJ$2,Inputs!$K$4:$AJ$4,0)))))</f>
        <v>37.202</v>
      </c>
      <c r="AK50">
        <f>IF(ISNA(MATCH(AK$2,Inputs!$K$4:$AJ$4,0)),NA(),IF(SUMPRODUCT((Inputs!$A$5:$A$170=$B50)*ISNUMBER(INDEX(Inputs!$K$5:$AJ$170,0,MATCH(AK$2,Inputs!$K$4:$AJ$4,0))))+SUMPRODUCT((Inputs!$C$5:$C$170=$B50)*ISNUMBER(INDEX(Inputs!$K$5:$AJ$170,0,MATCH(AK$2,Inputs!$K$4:$AJ$4,0))))+SUMPRODUCT((Inputs!$E$5:$E$170=$B50)*ISNUMBER(INDEX(Inputs!$K$5:$AJ$170,0,MATCH(AK$2,Inputs!$K$4:$AJ$4,0))))=0,NA(),SUMPRODUCT((Inputs!$A$5:$A$170=$B50)*Inputs!$B$5:$B$170*(((Inputs!$G$5:$G$170="moeda")+(Inputs!$G$5:$G$170="acoes"))*Inputs!$B$1+((Inputs!$G$5:$G$170&lt;&gt;"moeda")*(Inputs!$G$5:$G$170&lt;&gt;"acoes")))*INDEX(Inputs!$K$5:$AJ$170,0,MATCH(AK$2,Inputs!$K$4:$AJ$4,0)))+SUMPRODUCT((Inputs!$C$5:$C$170=$B50)*Inputs!$D$5:$D$170*(((Inputs!$G$5:$G$170="moeda")+(Inputs!$G$5:$G$170="acoes"))*Inputs!$B$1+((Inputs!$G$5:$G$170&lt;&gt;"moeda")*(Inputs!$G$5:$G$170&lt;&gt;"acoes")))*INDEX(Inputs!$K$5:$AJ$170,0,MATCH(AK$2,Inputs!$K$4:$AJ$4,0)))+SUMPRODUCT((Inputs!$E$5:$E$170=$B50)*Inputs!$F$5:$F$170*(((Inputs!$G$5:$G$170="moeda")+(Inputs!$G$5:$G$170="acoes"))*Inputs!$B$1+((Inputs!$G$5:$G$170&lt;&gt;"moeda")*(Inputs!$G$5:$G$170&lt;&gt;"acoes")))*INDEX(Inputs!$K$5:$AJ$170,0,MATCH(AK$2,Inputs!$K$4:$AJ$4,0)))))</f>
        <v>138.693</v>
      </c>
      <c r="AL50">
        <f>SUM(AH50:AK50)</f>
        <v>233.598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RAC Brasil (DRE l.11)</t>
        </is>
      </c>
      <c r="D53" s="264">
        <f>IF(ISNA(MATCH(D$2,Inputs!$K$4:$AJ$4,0)),NA(),IF(SUMPRODUCT((Inputs!$A$5:$A$170=$B53)*ISNUMBER(INDEX(Inputs!$K$5:$AJ$170,0,MATCH(D$2,Inputs!$K$4:$AJ$4,0))))+SUMPRODUCT((Inputs!$C$5:$C$170=$B53)*ISNUMBER(INDEX(Inputs!$K$5:$AJ$170,0,MATCH(D$2,Inputs!$K$4:$AJ$4,0))))+SUMPRODUCT((Inputs!$E$5:$E$170=$B53)*ISNUMBER(INDEX(Inputs!$K$5:$AJ$170,0,MATCH(D$2,Inputs!$K$4:$AJ$4,0))))=0,NA(),SUMPRODUCT((Inputs!$A$5:$A$170=$B53)*Inputs!$B$5:$B$170*(((Inputs!$G$5:$G$170="moeda")+(Inputs!$G$5:$G$170="acoes"))*Inputs!$B$1+((Inputs!$G$5:$G$170&lt;&gt;"moeda")*(Inputs!$G$5:$G$170&lt;&gt;"acoes")))*INDEX(Inputs!$K$5:$AJ$170,0,MATCH(D$2,Inputs!$K$4:$AJ$4,0)))+SUMPRODUCT((Inputs!$C$5:$C$170=$B53)*Inputs!$D$5:$D$170*(((Inputs!$G$5:$G$170="moeda")+(Inputs!$G$5:$G$170="acoes"))*Inputs!$B$1+((Inputs!$G$5:$G$170&lt;&gt;"moeda")*(Inputs!$G$5:$G$170&lt;&gt;"acoes")))*INDEX(Inputs!$K$5:$AJ$170,0,MATCH(D$2,Inputs!$K$4:$AJ$4,0)))+SUMPRODUCT((Inputs!$E$5:$E$170=$B53)*Inputs!$F$5:$F$170*(((Inputs!$G$5:$G$170="moeda")+(Inputs!$G$5:$G$170="acoes"))*Inputs!$B$1+((Inputs!$G$5:$G$170&lt;&gt;"moeda")*(Inputs!$G$5:$G$170&lt;&gt;"acoes")))*INDEX(Inputs!$K$5:$AJ$170,0,MATCH(D$2,Inputs!$K$4:$AJ$4,0)))))</f>
        <v>328.988</v>
      </c>
      <c r="E53" s="264">
        <f>IF(ISNA(MATCH(E$2,Inputs!$K$4:$AJ$4,0)),NA(),IF(SUMPRODUCT((Inputs!$A$5:$A$170=$B53)*ISNUMBER(INDEX(Inputs!$K$5:$AJ$170,0,MATCH(E$2,Inputs!$K$4:$AJ$4,0))))+SUMPRODUCT((Inputs!$C$5:$C$170=$B53)*ISNUMBER(INDEX(Inputs!$K$5:$AJ$170,0,MATCH(E$2,Inputs!$K$4:$AJ$4,0))))+SUMPRODUCT((Inputs!$E$5:$E$170=$B53)*ISNUMBER(INDEX(Inputs!$K$5:$AJ$170,0,MATCH(E$2,Inputs!$K$4:$AJ$4,0))))=0,NA(),SUMPRODUCT((Inputs!$A$5:$A$170=$B53)*Inputs!$B$5:$B$170*(((Inputs!$G$5:$G$170="moeda")+(Inputs!$G$5:$G$170="acoes"))*Inputs!$B$1+((Inputs!$G$5:$G$170&lt;&gt;"moeda")*(Inputs!$G$5:$G$170&lt;&gt;"acoes")))*INDEX(Inputs!$K$5:$AJ$170,0,MATCH(E$2,Inputs!$K$4:$AJ$4,0)))+SUMPRODUCT((Inputs!$C$5:$C$170=$B53)*Inputs!$D$5:$D$170*(((Inputs!$G$5:$G$170="moeda")+(Inputs!$G$5:$G$170="acoes"))*Inputs!$B$1+((Inputs!$G$5:$G$170&lt;&gt;"moeda")*(Inputs!$G$5:$G$170&lt;&gt;"acoes")))*INDEX(Inputs!$K$5:$AJ$170,0,MATCH(E$2,Inputs!$K$4:$AJ$4,0)))+SUMPRODUCT((Inputs!$E$5:$E$170=$B53)*Inputs!$F$5:$F$170*(((Inputs!$G$5:$G$170="moeda")+(Inputs!$G$5:$G$170="acoes"))*Inputs!$B$1+((Inputs!$G$5:$G$170&lt;&gt;"moeda")*(Inputs!$G$5:$G$170&lt;&gt;"acoes")))*INDEX(Inputs!$K$5:$AJ$170,0,MATCH(E$2,Inputs!$K$4:$AJ$4,0)))))</f>
        <v>308.291</v>
      </c>
      <c r="F53" s="264">
        <f>IF(ISNA(MATCH(F$2,Inputs!$K$4:$AJ$4,0)),NA(),IF(SUMPRODUCT((Inputs!$A$5:$A$170=$B53)*ISNUMBER(INDEX(Inputs!$K$5:$AJ$170,0,MATCH(F$2,Inputs!$K$4:$AJ$4,0))))+SUMPRODUCT((Inputs!$C$5:$C$170=$B53)*ISNUMBER(INDEX(Inputs!$K$5:$AJ$170,0,MATCH(F$2,Inputs!$K$4:$AJ$4,0))))+SUMPRODUCT((Inputs!$E$5:$E$170=$B53)*ISNUMBER(INDEX(Inputs!$K$5:$AJ$170,0,MATCH(F$2,Inputs!$K$4:$AJ$4,0))))=0,NA(),SUMPRODUCT((Inputs!$A$5:$A$170=$B53)*Inputs!$B$5:$B$170*(((Inputs!$G$5:$G$170="moeda")+(Inputs!$G$5:$G$170="acoes"))*Inputs!$B$1+((Inputs!$G$5:$G$170&lt;&gt;"moeda")*(Inputs!$G$5:$G$170&lt;&gt;"acoes")))*INDEX(Inputs!$K$5:$AJ$170,0,MATCH(F$2,Inputs!$K$4:$AJ$4,0)))+SUMPRODUCT((Inputs!$C$5:$C$170=$B53)*Inputs!$D$5:$D$170*(((Inputs!$G$5:$G$170="moeda")+(Inputs!$G$5:$G$170="acoes"))*Inputs!$B$1+((Inputs!$G$5:$G$170&lt;&gt;"moeda")*(Inputs!$G$5:$G$170&lt;&gt;"acoes")))*INDEX(Inputs!$K$5:$AJ$170,0,MATCH(F$2,Inputs!$K$4:$AJ$4,0)))+SUMPRODUCT((Inputs!$E$5:$E$170=$B53)*Inputs!$F$5:$F$170*(((Inputs!$G$5:$G$170="moeda")+(Inputs!$G$5:$G$170="acoes"))*Inputs!$B$1+((Inputs!$G$5:$G$170&lt;&gt;"moeda")*(Inputs!$G$5:$G$170&lt;&gt;"acoes")))*INDEX(Inputs!$K$5:$AJ$170,0,MATCH(F$2,Inputs!$K$4:$AJ$4,0)))))</f>
        <v>403.799</v>
      </c>
      <c r="G53" s="264">
        <f>IF(ISNA(MATCH(G$2,Inputs!$K$4:$AJ$4,0)),NA(),IF(SUMPRODUCT((Inputs!$A$5:$A$170=$B53)*ISNUMBER(INDEX(Inputs!$K$5:$AJ$170,0,MATCH(G$2,Inputs!$K$4:$AJ$4,0))))+SUMPRODUCT((Inputs!$C$5:$C$170=$B53)*ISNUMBER(INDEX(Inputs!$K$5:$AJ$170,0,MATCH(G$2,Inputs!$K$4:$AJ$4,0))))+SUMPRODUCT((Inputs!$E$5:$E$170=$B53)*ISNUMBER(INDEX(Inputs!$K$5:$AJ$170,0,MATCH(G$2,Inputs!$K$4:$AJ$4,0))))=0,NA(),SUMPRODUCT((Inputs!$A$5:$A$170=$B53)*Inputs!$B$5:$B$170*(((Inputs!$G$5:$G$170="moeda")+(Inputs!$G$5:$G$170="acoes"))*Inputs!$B$1+((Inputs!$G$5:$G$170&lt;&gt;"moeda")*(Inputs!$G$5:$G$170&lt;&gt;"acoes")))*INDEX(Inputs!$K$5:$AJ$170,0,MATCH(G$2,Inputs!$K$4:$AJ$4,0)))+SUMPRODUCT((Inputs!$C$5:$C$170=$B53)*Inputs!$D$5:$D$170*(((Inputs!$G$5:$G$170="moeda")+(Inputs!$G$5:$G$170="acoes"))*Inputs!$B$1+((Inputs!$G$5:$G$170&lt;&gt;"moeda")*(Inputs!$G$5:$G$170&lt;&gt;"acoes")))*INDEX(Inputs!$K$5:$AJ$170,0,MATCH(G$2,Inputs!$K$4:$AJ$4,0)))+SUMPRODUCT((Inputs!$E$5:$E$170=$B53)*Inputs!$F$5:$F$170*(((Inputs!$G$5:$G$170="moeda")+(Inputs!$G$5:$G$170="acoes"))*Inputs!$B$1+((Inputs!$G$5:$G$170&lt;&gt;"moeda")*(Inputs!$G$5:$G$170&lt;&gt;"acoes")))*INDEX(Inputs!$K$5:$AJ$170,0,MATCH(G$2,Inputs!$K$4:$AJ$4,0)))))</f>
        <v>522.57</v>
      </c>
      <c r="H53" s="265">
        <f>SUM(D53:G53)</f>
        <v>1563.648</v>
      </c>
      <c r="I53" s="264">
        <f>IF(ISNA(MATCH(I$2,Inputs!$K$4:$AJ$4,0)),NA(),IF(SUMPRODUCT((Inputs!$A$5:$A$170=$B53)*ISNUMBER(INDEX(Inputs!$K$5:$AJ$170,0,MATCH(I$2,Inputs!$K$4:$AJ$4,0))))+SUMPRODUCT((Inputs!$C$5:$C$170=$B53)*ISNUMBER(INDEX(Inputs!$K$5:$AJ$170,0,MATCH(I$2,Inputs!$K$4:$AJ$4,0))))+SUMPRODUCT((Inputs!$E$5:$E$170=$B53)*ISNUMBER(INDEX(Inputs!$K$5:$AJ$170,0,MATCH(I$2,Inputs!$K$4:$AJ$4,0))))=0,NA(),SUMPRODUCT((Inputs!$A$5:$A$170=$B53)*Inputs!$B$5:$B$170*(((Inputs!$G$5:$G$170="moeda")+(Inputs!$G$5:$G$170="acoes"))*Inputs!$B$1+((Inputs!$G$5:$G$170&lt;&gt;"moeda")*(Inputs!$G$5:$G$170&lt;&gt;"acoes")))*INDEX(Inputs!$K$5:$AJ$170,0,MATCH(I$2,Inputs!$K$4:$AJ$4,0)))+SUMPRODUCT((Inputs!$C$5:$C$170=$B53)*Inputs!$D$5:$D$170*(((Inputs!$G$5:$G$170="moeda")+(Inputs!$G$5:$G$170="acoes"))*Inputs!$B$1+((Inputs!$G$5:$G$170&lt;&gt;"moeda")*(Inputs!$G$5:$G$170&lt;&gt;"acoes")))*INDEX(Inputs!$K$5:$AJ$170,0,MATCH(I$2,Inputs!$K$4:$AJ$4,0)))+SUMPRODUCT((Inputs!$E$5:$E$170=$B53)*Inputs!$F$5:$F$170*(((Inputs!$G$5:$G$170="moeda")+(Inputs!$G$5:$G$170="acoes"))*Inputs!$B$1+((Inputs!$G$5:$G$170&lt;&gt;"moeda")*(Inputs!$G$5:$G$170&lt;&gt;"acoes")))*INDEX(Inputs!$K$5:$AJ$170,0,MATCH(I$2,Inputs!$K$4:$AJ$4,0)))))</f>
        <v>552.692</v>
      </c>
      <c r="J53" s="264">
        <f>IF(ISNA(MATCH(J$2,Inputs!$K$4:$AJ$4,0)),NA(),IF(SUMPRODUCT((Inputs!$A$5:$A$170=$B53)*ISNUMBER(INDEX(Inputs!$K$5:$AJ$170,0,MATCH(J$2,Inputs!$K$4:$AJ$4,0))))+SUMPRODUCT((Inputs!$C$5:$C$170=$B53)*ISNUMBER(INDEX(Inputs!$K$5:$AJ$170,0,MATCH(J$2,Inputs!$K$4:$AJ$4,0))))+SUMPRODUCT((Inputs!$E$5:$E$170=$B53)*ISNUMBER(INDEX(Inputs!$K$5:$AJ$170,0,MATCH(J$2,Inputs!$K$4:$AJ$4,0))))=0,NA(),SUMPRODUCT((Inputs!$A$5:$A$170=$B53)*Inputs!$B$5:$B$170*(((Inputs!$G$5:$G$170="moeda")+(Inputs!$G$5:$G$170="acoes"))*Inputs!$B$1+((Inputs!$G$5:$G$170&lt;&gt;"moeda")*(Inputs!$G$5:$G$170&lt;&gt;"acoes")))*INDEX(Inputs!$K$5:$AJ$170,0,MATCH(J$2,Inputs!$K$4:$AJ$4,0)))+SUMPRODUCT((Inputs!$C$5:$C$170=$B53)*Inputs!$D$5:$D$170*(((Inputs!$G$5:$G$170="moeda")+(Inputs!$G$5:$G$170="acoes"))*Inputs!$B$1+((Inputs!$G$5:$G$170&lt;&gt;"moeda")*(Inputs!$G$5:$G$170&lt;&gt;"acoes")))*INDEX(Inputs!$K$5:$AJ$170,0,MATCH(J$2,Inputs!$K$4:$AJ$4,0)))+SUMPRODUCT((Inputs!$E$5:$E$170=$B53)*Inputs!$F$5:$F$170*(((Inputs!$G$5:$G$170="moeda")+(Inputs!$G$5:$G$170="acoes"))*Inputs!$B$1+((Inputs!$G$5:$G$170&lt;&gt;"moeda")*(Inputs!$G$5:$G$170&lt;&gt;"acoes")))*INDEX(Inputs!$K$5:$AJ$170,0,MATCH(J$2,Inputs!$K$4:$AJ$4,0)))))</f>
        <v>585.184</v>
      </c>
      <c r="K53" s="264">
        <f>IF(ISNA(MATCH(K$2,Inputs!$K$4:$AJ$4,0)),NA(),IF(SUMPRODUCT((Inputs!$A$5:$A$170=$B53)*ISNUMBER(INDEX(Inputs!$K$5:$AJ$170,0,MATCH(K$2,Inputs!$K$4:$AJ$4,0))))+SUMPRODUCT((Inputs!$C$5:$C$170=$B53)*ISNUMBER(INDEX(Inputs!$K$5:$AJ$170,0,MATCH(K$2,Inputs!$K$4:$AJ$4,0))))+SUMPRODUCT((Inputs!$E$5:$E$170=$B53)*ISNUMBER(INDEX(Inputs!$K$5:$AJ$170,0,MATCH(K$2,Inputs!$K$4:$AJ$4,0))))=0,NA(),SUMPRODUCT((Inputs!$A$5:$A$170=$B53)*Inputs!$B$5:$B$170*(((Inputs!$G$5:$G$170="moeda")+(Inputs!$G$5:$G$170="acoes"))*Inputs!$B$1+((Inputs!$G$5:$G$170&lt;&gt;"moeda")*(Inputs!$G$5:$G$170&lt;&gt;"acoes")))*INDEX(Inputs!$K$5:$AJ$170,0,MATCH(K$2,Inputs!$K$4:$AJ$4,0)))+SUMPRODUCT((Inputs!$C$5:$C$170=$B53)*Inputs!$D$5:$D$170*(((Inputs!$G$5:$G$170="moeda")+(Inputs!$G$5:$G$170="acoes"))*Inputs!$B$1+((Inputs!$G$5:$G$170&lt;&gt;"moeda")*(Inputs!$G$5:$G$170&lt;&gt;"acoes")))*INDEX(Inputs!$K$5:$AJ$170,0,MATCH(K$2,Inputs!$K$4:$AJ$4,0)))+SUMPRODUCT((Inputs!$E$5:$E$170=$B53)*Inputs!$F$5:$F$170*(((Inputs!$G$5:$G$170="moeda")+(Inputs!$G$5:$G$170="acoes"))*Inputs!$B$1+((Inputs!$G$5:$G$170&lt;&gt;"moeda")*(Inputs!$G$5:$G$170&lt;&gt;"acoes")))*INDEX(Inputs!$K$5:$AJ$170,0,MATCH(K$2,Inputs!$K$4:$AJ$4,0)))))</f>
        <v>675.359</v>
      </c>
      <c r="L53" s="264">
        <f>IF(ISNA(MATCH(L$2,Inputs!$K$4:$AJ$4,0)),NA(),IF(SUMPRODUCT((Inputs!$A$5:$A$170=$B53)*ISNUMBER(INDEX(Inputs!$K$5:$AJ$170,0,MATCH(L$2,Inputs!$K$4:$AJ$4,0))))+SUMPRODUCT((Inputs!$C$5:$C$170=$B53)*ISNUMBER(INDEX(Inputs!$K$5:$AJ$170,0,MATCH(L$2,Inputs!$K$4:$AJ$4,0))))+SUMPRODUCT((Inputs!$E$5:$E$170=$B53)*ISNUMBER(INDEX(Inputs!$K$5:$AJ$170,0,MATCH(L$2,Inputs!$K$4:$AJ$4,0))))=0,NA(),SUMPRODUCT((Inputs!$A$5:$A$170=$B53)*Inputs!$B$5:$B$170*(((Inputs!$G$5:$G$170="moeda")+(Inputs!$G$5:$G$170="acoes"))*Inputs!$B$1+((Inputs!$G$5:$G$170&lt;&gt;"moeda")*(Inputs!$G$5:$G$170&lt;&gt;"acoes")))*INDEX(Inputs!$K$5:$AJ$170,0,MATCH(L$2,Inputs!$K$4:$AJ$4,0)))+SUMPRODUCT((Inputs!$C$5:$C$170=$B53)*Inputs!$D$5:$D$170*(((Inputs!$G$5:$G$170="moeda")+(Inputs!$G$5:$G$170="acoes"))*Inputs!$B$1+((Inputs!$G$5:$G$170&lt;&gt;"moeda")*(Inputs!$G$5:$G$170&lt;&gt;"acoes")))*INDEX(Inputs!$K$5:$AJ$170,0,MATCH(L$2,Inputs!$K$4:$AJ$4,0)))+SUMPRODUCT((Inputs!$E$5:$E$170=$B53)*Inputs!$F$5:$F$170*(((Inputs!$G$5:$G$170="moeda")+(Inputs!$G$5:$G$170="acoes"))*Inputs!$B$1+((Inputs!$G$5:$G$170&lt;&gt;"moeda")*(Inputs!$G$5:$G$170&lt;&gt;"acoes")))*INDEX(Inputs!$K$5:$AJ$170,0,MATCH(L$2,Inputs!$K$4:$AJ$4,0)))))</f>
        <v>682.873</v>
      </c>
      <c r="M53" s="265">
        <f>SUM(I53:L53)</f>
        <v>2496.108</v>
      </c>
      <c r="N53" s="264">
        <f>IF(ISNA(MATCH(N$2,Inputs!$K$4:$AJ$4,0)),NA(),IF(SUMPRODUCT((Inputs!$A$5:$A$170=$B53)*ISNUMBER(INDEX(Inputs!$K$5:$AJ$170,0,MATCH(N$2,Inputs!$K$4:$AJ$4,0))))+SUMPRODUCT((Inputs!$C$5:$C$170=$B53)*ISNUMBER(INDEX(Inputs!$K$5:$AJ$170,0,MATCH(N$2,Inputs!$K$4:$AJ$4,0))))+SUMPRODUCT((Inputs!$E$5:$E$170=$B53)*ISNUMBER(INDEX(Inputs!$K$5:$AJ$170,0,MATCH(N$2,Inputs!$K$4:$AJ$4,0))))=0,NA(),SUMPRODUCT((Inputs!$A$5:$A$170=$B53)*Inputs!$B$5:$B$170*(((Inputs!$G$5:$G$170="moeda")+(Inputs!$G$5:$G$170="acoes"))*Inputs!$B$1+((Inputs!$G$5:$G$170&lt;&gt;"moeda")*(Inputs!$G$5:$G$170&lt;&gt;"acoes")))*INDEX(Inputs!$K$5:$AJ$170,0,MATCH(N$2,Inputs!$K$4:$AJ$4,0)))+SUMPRODUCT((Inputs!$C$5:$C$170=$B53)*Inputs!$D$5:$D$170*(((Inputs!$G$5:$G$170="moeda")+(Inputs!$G$5:$G$170="acoes"))*Inputs!$B$1+((Inputs!$G$5:$G$170&lt;&gt;"moeda")*(Inputs!$G$5:$G$170&lt;&gt;"acoes")))*INDEX(Inputs!$K$5:$AJ$170,0,MATCH(N$2,Inputs!$K$4:$AJ$4,0)))+SUMPRODUCT((Inputs!$E$5:$E$170=$B53)*Inputs!$F$5:$F$170*(((Inputs!$G$5:$G$170="moeda")+(Inputs!$G$5:$G$170="acoes"))*Inputs!$B$1+((Inputs!$G$5:$G$170&lt;&gt;"moeda")*(Inputs!$G$5:$G$170&lt;&gt;"acoes")))*INDEX(Inputs!$K$5:$AJ$170,0,MATCH(N$2,Inputs!$K$4:$AJ$4,0)))))</f>
        <v>686.638</v>
      </c>
      <c r="O53" s="264">
        <f>IF(ISNA(MATCH(O$2,Inputs!$K$4:$AJ$4,0)),NA(),IF(SUMPRODUCT((Inputs!$A$5:$A$170=$B53)*ISNUMBER(INDEX(Inputs!$K$5:$AJ$170,0,MATCH(O$2,Inputs!$K$4:$AJ$4,0))))+SUMPRODUCT((Inputs!$C$5:$C$170=$B53)*ISNUMBER(INDEX(Inputs!$K$5:$AJ$170,0,MATCH(O$2,Inputs!$K$4:$AJ$4,0))))+SUMPRODUCT((Inputs!$E$5:$E$170=$B53)*ISNUMBER(INDEX(Inputs!$K$5:$AJ$170,0,MATCH(O$2,Inputs!$K$4:$AJ$4,0))))=0,NA(),SUMPRODUCT((Inputs!$A$5:$A$170=$B53)*Inputs!$B$5:$B$170*(((Inputs!$G$5:$G$170="moeda")+(Inputs!$G$5:$G$170="acoes"))*Inputs!$B$1+((Inputs!$G$5:$G$170&lt;&gt;"moeda")*(Inputs!$G$5:$G$170&lt;&gt;"acoes")))*INDEX(Inputs!$K$5:$AJ$170,0,MATCH(O$2,Inputs!$K$4:$AJ$4,0)))+SUMPRODUCT((Inputs!$C$5:$C$170=$B53)*Inputs!$D$5:$D$170*(((Inputs!$G$5:$G$170="moeda")+(Inputs!$G$5:$G$170="acoes"))*Inputs!$B$1+((Inputs!$G$5:$G$170&lt;&gt;"moeda")*(Inputs!$G$5:$G$170&lt;&gt;"acoes")))*INDEX(Inputs!$K$5:$AJ$170,0,MATCH(O$2,Inputs!$K$4:$AJ$4,0)))+SUMPRODUCT((Inputs!$E$5:$E$170=$B53)*Inputs!$F$5:$F$170*(((Inputs!$G$5:$G$170="moeda")+(Inputs!$G$5:$G$170="acoes"))*Inputs!$B$1+((Inputs!$G$5:$G$170&lt;&gt;"moeda")*(Inputs!$G$5:$G$170&lt;&gt;"acoes")))*INDEX(Inputs!$K$5:$AJ$170,0,MATCH(O$2,Inputs!$K$4:$AJ$4,0)))))</f>
        <v>646.165</v>
      </c>
      <c r="P53" s="264">
        <f>IF(ISNA(MATCH(P$2,Inputs!$K$4:$AJ$4,0)),NA(),IF(SUMPRODUCT((Inputs!$A$5:$A$170=$B53)*ISNUMBER(INDEX(Inputs!$K$5:$AJ$170,0,MATCH(P$2,Inputs!$K$4:$AJ$4,0))))+SUMPRODUCT((Inputs!$C$5:$C$170=$B53)*ISNUMBER(INDEX(Inputs!$K$5:$AJ$170,0,MATCH(P$2,Inputs!$K$4:$AJ$4,0))))+SUMPRODUCT((Inputs!$E$5:$E$170=$B53)*ISNUMBER(INDEX(Inputs!$K$5:$AJ$170,0,MATCH(P$2,Inputs!$K$4:$AJ$4,0))))=0,NA(),SUMPRODUCT((Inputs!$A$5:$A$170=$B53)*Inputs!$B$5:$B$170*(((Inputs!$G$5:$G$170="moeda")+(Inputs!$G$5:$G$170="acoes"))*Inputs!$B$1+((Inputs!$G$5:$G$170&lt;&gt;"moeda")*(Inputs!$G$5:$G$170&lt;&gt;"acoes")))*INDEX(Inputs!$K$5:$AJ$170,0,MATCH(P$2,Inputs!$K$4:$AJ$4,0)))+SUMPRODUCT((Inputs!$C$5:$C$170=$B53)*Inputs!$D$5:$D$170*(((Inputs!$G$5:$G$170="moeda")+(Inputs!$G$5:$G$170="acoes"))*Inputs!$B$1+((Inputs!$G$5:$G$170&lt;&gt;"moeda")*(Inputs!$G$5:$G$170&lt;&gt;"acoes")))*INDEX(Inputs!$K$5:$AJ$170,0,MATCH(P$2,Inputs!$K$4:$AJ$4,0)))+SUMPRODUCT((Inputs!$E$5:$E$170=$B53)*Inputs!$F$5:$F$170*(((Inputs!$G$5:$G$170="moeda")+(Inputs!$G$5:$G$170="acoes"))*Inputs!$B$1+((Inputs!$G$5:$G$170&lt;&gt;"moeda")*(Inputs!$G$5:$G$170&lt;&gt;"acoes")))*INDEX(Inputs!$K$5:$AJ$170,0,MATCH(P$2,Inputs!$K$4:$AJ$4,0)))))</f>
        <v>651.205</v>
      </c>
      <c r="Q53" s="264">
        <f>IF(ISNA(MATCH(Q$2,Inputs!$K$4:$AJ$4,0)),NA(),IF(SUMPRODUCT((Inputs!$A$5:$A$170=$B53)*ISNUMBER(INDEX(Inputs!$K$5:$AJ$170,0,MATCH(Q$2,Inputs!$K$4:$AJ$4,0))))+SUMPRODUCT((Inputs!$C$5:$C$170=$B53)*ISNUMBER(INDEX(Inputs!$K$5:$AJ$170,0,MATCH(Q$2,Inputs!$K$4:$AJ$4,0))))+SUMPRODUCT((Inputs!$E$5:$E$170=$B53)*ISNUMBER(INDEX(Inputs!$K$5:$AJ$170,0,MATCH(Q$2,Inputs!$K$4:$AJ$4,0))))=0,NA(),SUMPRODUCT((Inputs!$A$5:$A$170=$B53)*Inputs!$B$5:$B$170*(((Inputs!$G$5:$G$170="moeda")+(Inputs!$G$5:$G$170="acoes"))*Inputs!$B$1+((Inputs!$G$5:$G$170&lt;&gt;"moeda")*(Inputs!$G$5:$G$170&lt;&gt;"acoes")))*INDEX(Inputs!$K$5:$AJ$170,0,MATCH(Q$2,Inputs!$K$4:$AJ$4,0)))+SUMPRODUCT((Inputs!$C$5:$C$170=$B53)*Inputs!$D$5:$D$170*(((Inputs!$G$5:$G$170="moeda")+(Inputs!$G$5:$G$170="acoes"))*Inputs!$B$1+((Inputs!$G$5:$G$170&lt;&gt;"moeda")*(Inputs!$G$5:$G$170&lt;&gt;"acoes")))*INDEX(Inputs!$K$5:$AJ$170,0,MATCH(Q$2,Inputs!$K$4:$AJ$4,0)))+SUMPRODUCT((Inputs!$E$5:$E$170=$B53)*Inputs!$F$5:$F$170*(((Inputs!$G$5:$G$170="moeda")+(Inputs!$G$5:$G$170="acoes"))*Inputs!$B$1+((Inputs!$G$5:$G$170&lt;&gt;"moeda")*(Inputs!$G$5:$G$170&lt;&gt;"acoes")))*INDEX(Inputs!$K$5:$AJ$170,0,MATCH(Q$2,Inputs!$K$4:$AJ$4,0)))))</f>
        <v>674.999</v>
      </c>
      <c r="R53" s="265">
        <f>SUM(N53:Q53)</f>
        <v>2659.007</v>
      </c>
      <c r="S53" s="264">
        <f>IF(ISNA(MATCH(S$2,Inputs!$K$4:$AJ$4,0)),NA(),IF(SUMPRODUCT((Inputs!$A$5:$A$170=$B53)*ISNUMBER(INDEX(Inputs!$K$5:$AJ$170,0,MATCH(S$2,Inputs!$K$4:$AJ$4,0))))+SUMPRODUCT((Inputs!$C$5:$C$170=$B53)*ISNUMBER(INDEX(Inputs!$K$5:$AJ$170,0,MATCH(S$2,Inputs!$K$4:$AJ$4,0))))+SUMPRODUCT((Inputs!$E$5:$E$170=$B53)*ISNUMBER(INDEX(Inputs!$K$5:$AJ$170,0,MATCH(S$2,Inputs!$K$4:$AJ$4,0))))=0,NA(),SUMPRODUCT((Inputs!$A$5:$A$170=$B53)*Inputs!$B$5:$B$170*(((Inputs!$G$5:$G$170="moeda")+(Inputs!$G$5:$G$170="acoes"))*Inputs!$B$1+((Inputs!$G$5:$G$170&lt;&gt;"moeda")*(Inputs!$G$5:$G$170&lt;&gt;"acoes")))*INDEX(Inputs!$K$5:$AJ$170,0,MATCH(S$2,Inputs!$K$4:$AJ$4,0)))+SUMPRODUCT((Inputs!$C$5:$C$170=$B53)*Inputs!$D$5:$D$170*(((Inputs!$G$5:$G$170="moeda")+(Inputs!$G$5:$G$170="acoes"))*Inputs!$B$1+((Inputs!$G$5:$G$170&lt;&gt;"moeda")*(Inputs!$G$5:$G$170&lt;&gt;"acoes")))*INDEX(Inputs!$K$5:$AJ$170,0,MATCH(S$2,Inputs!$K$4:$AJ$4,0)))+SUMPRODUCT((Inputs!$E$5:$E$170=$B53)*Inputs!$F$5:$F$170*(((Inputs!$G$5:$G$170="moeda")+(Inputs!$G$5:$G$170="acoes"))*Inputs!$B$1+((Inputs!$G$5:$G$170&lt;&gt;"moeda")*(Inputs!$G$5:$G$170&lt;&gt;"acoes")))*INDEX(Inputs!$K$5:$AJ$170,0,MATCH(S$2,Inputs!$K$4:$AJ$4,0)))))</f>
        <v>751.762</v>
      </c>
      <c r="T53" s="264">
        <f>IF(ISNA(MATCH(T$2,Inputs!$K$4:$AJ$4,0)),NA(),IF(SUMPRODUCT((Inputs!$A$5:$A$170=$B53)*ISNUMBER(INDEX(Inputs!$K$5:$AJ$170,0,MATCH(T$2,Inputs!$K$4:$AJ$4,0))))+SUMPRODUCT((Inputs!$C$5:$C$170=$B53)*ISNUMBER(INDEX(Inputs!$K$5:$AJ$170,0,MATCH(T$2,Inputs!$K$4:$AJ$4,0))))+SUMPRODUCT((Inputs!$E$5:$E$170=$B53)*ISNUMBER(INDEX(Inputs!$K$5:$AJ$170,0,MATCH(T$2,Inputs!$K$4:$AJ$4,0))))=0,NA(),SUMPRODUCT((Inputs!$A$5:$A$170=$B53)*Inputs!$B$5:$B$170*(((Inputs!$G$5:$G$170="moeda")+(Inputs!$G$5:$G$170="acoes"))*Inputs!$B$1+((Inputs!$G$5:$G$170&lt;&gt;"moeda")*(Inputs!$G$5:$G$170&lt;&gt;"acoes")))*INDEX(Inputs!$K$5:$AJ$170,0,MATCH(T$2,Inputs!$K$4:$AJ$4,0)))+SUMPRODUCT((Inputs!$C$5:$C$170=$B53)*Inputs!$D$5:$D$170*(((Inputs!$G$5:$G$170="moeda")+(Inputs!$G$5:$G$170="acoes"))*Inputs!$B$1+((Inputs!$G$5:$G$170&lt;&gt;"moeda")*(Inputs!$G$5:$G$170&lt;&gt;"acoes")))*INDEX(Inputs!$K$5:$AJ$170,0,MATCH(T$2,Inputs!$K$4:$AJ$4,0)))+SUMPRODUCT((Inputs!$E$5:$E$170=$B53)*Inputs!$F$5:$F$170*(((Inputs!$G$5:$G$170="moeda")+(Inputs!$G$5:$G$170="acoes"))*Inputs!$B$1+((Inputs!$G$5:$G$170&lt;&gt;"moeda")*(Inputs!$G$5:$G$170&lt;&gt;"acoes")))*INDEX(Inputs!$K$5:$AJ$170,0,MATCH(T$2,Inputs!$K$4:$AJ$4,0)))))</f>
        <v>748.549</v>
      </c>
      <c r="U53" s="264">
        <f>IF(ISNA(MATCH(U$2,Inputs!$K$4:$AJ$4,0)),NA(),IF(SUMPRODUCT((Inputs!$A$5:$A$170=$B53)*ISNUMBER(INDEX(Inputs!$K$5:$AJ$170,0,MATCH(U$2,Inputs!$K$4:$AJ$4,0))))+SUMPRODUCT((Inputs!$C$5:$C$170=$B53)*ISNUMBER(INDEX(Inputs!$K$5:$AJ$170,0,MATCH(U$2,Inputs!$K$4:$AJ$4,0))))+SUMPRODUCT((Inputs!$E$5:$E$170=$B53)*ISNUMBER(INDEX(Inputs!$K$5:$AJ$170,0,MATCH(U$2,Inputs!$K$4:$AJ$4,0))))=0,NA(),SUMPRODUCT((Inputs!$A$5:$A$170=$B53)*Inputs!$B$5:$B$170*(((Inputs!$G$5:$G$170="moeda")+(Inputs!$G$5:$G$170="acoes"))*Inputs!$B$1+((Inputs!$G$5:$G$170&lt;&gt;"moeda")*(Inputs!$G$5:$G$170&lt;&gt;"acoes")))*INDEX(Inputs!$K$5:$AJ$170,0,MATCH(U$2,Inputs!$K$4:$AJ$4,0)))+SUMPRODUCT((Inputs!$C$5:$C$170=$B53)*Inputs!$D$5:$D$170*(((Inputs!$G$5:$G$170="moeda")+(Inputs!$G$5:$G$170="acoes"))*Inputs!$B$1+((Inputs!$G$5:$G$170&lt;&gt;"moeda")*(Inputs!$G$5:$G$170&lt;&gt;"acoes")))*INDEX(Inputs!$K$5:$AJ$170,0,MATCH(U$2,Inputs!$K$4:$AJ$4,0)))+SUMPRODUCT((Inputs!$E$5:$E$170=$B53)*Inputs!$F$5:$F$170*(((Inputs!$G$5:$G$170="moeda")+(Inputs!$G$5:$G$170="acoes"))*Inputs!$B$1+((Inputs!$G$5:$G$170&lt;&gt;"moeda")*(Inputs!$G$5:$G$170&lt;&gt;"acoes")))*INDEX(Inputs!$K$5:$AJ$170,0,MATCH(U$2,Inputs!$K$4:$AJ$4,0)))))</f>
        <v>764.768</v>
      </c>
      <c r="V53" s="264">
        <f>IF(ISNA(MATCH(V$2,Inputs!$K$4:$AJ$4,0)),NA(),IF(SUMPRODUCT((Inputs!$A$5:$A$170=$B53)*ISNUMBER(INDEX(Inputs!$K$5:$AJ$170,0,MATCH(V$2,Inputs!$K$4:$AJ$4,0))))+SUMPRODUCT((Inputs!$C$5:$C$170=$B53)*ISNUMBER(INDEX(Inputs!$K$5:$AJ$170,0,MATCH(V$2,Inputs!$K$4:$AJ$4,0))))+SUMPRODUCT((Inputs!$E$5:$E$170=$B53)*ISNUMBER(INDEX(Inputs!$K$5:$AJ$170,0,MATCH(V$2,Inputs!$K$4:$AJ$4,0))))=0,NA(),SUMPRODUCT((Inputs!$A$5:$A$170=$B53)*Inputs!$B$5:$B$170*(((Inputs!$G$5:$G$170="moeda")+(Inputs!$G$5:$G$170="acoes"))*Inputs!$B$1+((Inputs!$G$5:$G$170&lt;&gt;"moeda")*(Inputs!$G$5:$G$170&lt;&gt;"acoes")))*INDEX(Inputs!$K$5:$AJ$170,0,MATCH(V$2,Inputs!$K$4:$AJ$4,0)))+SUMPRODUCT((Inputs!$C$5:$C$170=$B53)*Inputs!$D$5:$D$170*(((Inputs!$G$5:$G$170="moeda")+(Inputs!$G$5:$G$170="acoes"))*Inputs!$B$1+((Inputs!$G$5:$G$170&lt;&gt;"moeda")*(Inputs!$G$5:$G$170&lt;&gt;"acoes")))*INDEX(Inputs!$K$5:$AJ$170,0,MATCH(V$2,Inputs!$K$4:$AJ$4,0)))+SUMPRODUCT((Inputs!$E$5:$E$170=$B53)*Inputs!$F$5:$F$170*(((Inputs!$G$5:$G$170="moeda")+(Inputs!$G$5:$G$170="acoes"))*Inputs!$B$1+((Inputs!$G$5:$G$170&lt;&gt;"moeda")*(Inputs!$G$5:$G$170&lt;&gt;"acoes")))*INDEX(Inputs!$K$5:$AJ$170,0,MATCH(V$2,Inputs!$K$4:$AJ$4,0)))))</f>
        <v>808.526</v>
      </c>
      <c r="W53" s="265">
        <f>SUM(S53:V53)</f>
        <v>3073.605</v>
      </c>
      <c r="X53" s="264">
        <f>IF(ISNA(MATCH(X$2,Inputs!$K$4:$AJ$4,0)),NA(),IF(SUMPRODUCT((Inputs!$A$5:$A$170=$B53)*ISNUMBER(INDEX(Inputs!$K$5:$AJ$170,0,MATCH(X$2,Inputs!$K$4:$AJ$4,0))))+SUMPRODUCT((Inputs!$C$5:$C$170=$B53)*ISNUMBER(INDEX(Inputs!$K$5:$AJ$170,0,MATCH(X$2,Inputs!$K$4:$AJ$4,0))))+SUMPRODUCT((Inputs!$E$5:$E$170=$B53)*ISNUMBER(INDEX(Inputs!$K$5:$AJ$170,0,MATCH(X$2,Inputs!$K$4:$AJ$4,0))))=0,NA(),SUMPRODUCT((Inputs!$A$5:$A$170=$B53)*Inputs!$B$5:$B$170*(((Inputs!$G$5:$G$170="moeda")+(Inputs!$G$5:$G$170="acoes"))*Inputs!$B$1+((Inputs!$G$5:$G$170&lt;&gt;"moeda")*(Inputs!$G$5:$G$170&lt;&gt;"acoes")))*INDEX(Inputs!$K$5:$AJ$170,0,MATCH(X$2,Inputs!$K$4:$AJ$4,0)))+SUMPRODUCT((Inputs!$C$5:$C$170=$B53)*Inputs!$D$5:$D$170*(((Inputs!$G$5:$G$170="moeda")+(Inputs!$G$5:$G$170="acoes"))*Inputs!$B$1+((Inputs!$G$5:$G$170&lt;&gt;"moeda")*(Inputs!$G$5:$G$170&lt;&gt;"acoes")))*INDEX(Inputs!$K$5:$AJ$170,0,MATCH(X$2,Inputs!$K$4:$AJ$4,0)))+SUMPRODUCT((Inputs!$E$5:$E$170=$B53)*Inputs!$F$5:$F$170*(((Inputs!$G$5:$G$170="moeda")+(Inputs!$G$5:$G$170="acoes"))*Inputs!$B$1+((Inputs!$G$5:$G$170&lt;&gt;"moeda")*(Inputs!$G$5:$G$170&lt;&gt;"acoes")))*INDEX(Inputs!$K$5:$AJ$170,0,MATCH(X$2,Inputs!$K$4:$AJ$4,0)))))</f>
        <v>859.38</v>
      </c>
      <c r="Y53" s="264">
        <f>IF(ISNA(MATCH(Y$2,Inputs!$K$4:$AJ$4,0)),NA(),IF(SUMPRODUCT((Inputs!$A$5:$A$170=$B53)*ISNUMBER(INDEX(Inputs!$K$5:$AJ$170,0,MATCH(Y$2,Inputs!$K$4:$AJ$4,0))))+SUMPRODUCT((Inputs!$C$5:$C$170=$B53)*ISNUMBER(INDEX(Inputs!$K$5:$AJ$170,0,MATCH(Y$2,Inputs!$K$4:$AJ$4,0))))+SUMPRODUCT((Inputs!$E$5:$E$170=$B53)*ISNUMBER(INDEX(Inputs!$K$5:$AJ$170,0,MATCH(Y$2,Inputs!$K$4:$AJ$4,0))))=0,NA(),SUMPRODUCT((Inputs!$A$5:$A$170=$B53)*Inputs!$B$5:$B$170*(((Inputs!$G$5:$G$170="moeda")+(Inputs!$G$5:$G$170="acoes"))*Inputs!$B$1+((Inputs!$G$5:$G$170&lt;&gt;"moeda")*(Inputs!$G$5:$G$170&lt;&gt;"acoes")))*INDEX(Inputs!$K$5:$AJ$170,0,MATCH(Y$2,Inputs!$K$4:$AJ$4,0)))+SUMPRODUCT((Inputs!$C$5:$C$170=$B53)*Inputs!$D$5:$D$170*(((Inputs!$G$5:$G$170="moeda")+(Inputs!$G$5:$G$170="acoes"))*Inputs!$B$1+((Inputs!$G$5:$G$170&lt;&gt;"moeda")*(Inputs!$G$5:$G$170&lt;&gt;"acoes")))*INDEX(Inputs!$K$5:$AJ$170,0,MATCH(Y$2,Inputs!$K$4:$AJ$4,0)))+SUMPRODUCT((Inputs!$E$5:$E$170=$B53)*Inputs!$F$5:$F$170*(((Inputs!$G$5:$G$170="moeda")+(Inputs!$G$5:$G$170="acoes"))*Inputs!$B$1+((Inputs!$G$5:$G$170&lt;&gt;"moeda")*(Inputs!$G$5:$G$170&lt;&gt;"acoes")))*INDEX(Inputs!$K$5:$AJ$170,0,MATCH(Y$2,Inputs!$K$4:$AJ$4,0)))))</f>
        <v>843.303</v>
      </c>
      <c r="Z53" s="264">
        <f>IF(ISNA(MATCH(Z$2,Inputs!$K$4:$AJ$4,0)),NA(),IF(SUMPRODUCT((Inputs!$A$5:$A$170=$B53)*ISNUMBER(INDEX(Inputs!$K$5:$AJ$170,0,MATCH(Z$2,Inputs!$K$4:$AJ$4,0))))+SUMPRODUCT((Inputs!$C$5:$C$170=$B53)*ISNUMBER(INDEX(Inputs!$K$5:$AJ$170,0,MATCH(Z$2,Inputs!$K$4:$AJ$4,0))))+SUMPRODUCT((Inputs!$E$5:$E$170=$B53)*ISNUMBER(INDEX(Inputs!$K$5:$AJ$170,0,MATCH(Z$2,Inputs!$K$4:$AJ$4,0))))=0,NA(),SUMPRODUCT((Inputs!$A$5:$A$170=$B53)*Inputs!$B$5:$B$170*(((Inputs!$G$5:$G$170="moeda")+(Inputs!$G$5:$G$170="acoes"))*Inputs!$B$1+((Inputs!$G$5:$G$170&lt;&gt;"moeda")*(Inputs!$G$5:$G$170&lt;&gt;"acoes")))*INDEX(Inputs!$K$5:$AJ$170,0,MATCH(Z$2,Inputs!$K$4:$AJ$4,0)))+SUMPRODUCT((Inputs!$C$5:$C$170=$B53)*Inputs!$D$5:$D$170*(((Inputs!$G$5:$G$170="moeda")+(Inputs!$G$5:$G$170="acoes"))*Inputs!$B$1+((Inputs!$G$5:$G$170&lt;&gt;"moeda")*(Inputs!$G$5:$G$170&lt;&gt;"acoes")))*INDEX(Inputs!$K$5:$AJ$170,0,MATCH(Z$2,Inputs!$K$4:$AJ$4,0)))+SUMPRODUCT((Inputs!$E$5:$E$170=$B53)*Inputs!$F$5:$F$170*(((Inputs!$G$5:$G$170="moeda")+(Inputs!$G$5:$G$170="acoes"))*Inputs!$B$1+((Inputs!$G$5:$G$170&lt;&gt;"moeda")*(Inputs!$G$5:$G$170&lt;&gt;"acoes")))*INDEX(Inputs!$K$5:$AJ$170,0,MATCH(Z$2,Inputs!$K$4:$AJ$4,0)))))</f>
        <v>874.046</v>
      </c>
      <c r="AA53" s="264">
        <f>IF(ISNA(MATCH(AA$2,Inputs!$K$4:$AJ$4,0)),NA(),IF(SUMPRODUCT((Inputs!$A$5:$A$170=$B53)*ISNUMBER(INDEX(Inputs!$K$5:$AJ$170,0,MATCH(AA$2,Inputs!$K$4:$AJ$4,0))))+SUMPRODUCT((Inputs!$C$5:$C$170=$B53)*ISNUMBER(INDEX(Inputs!$K$5:$AJ$170,0,MATCH(AA$2,Inputs!$K$4:$AJ$4,0))))+SUMPRODUCT((Inputs!$E$5:$E$170=$B53)*ISNUMBER(INDEX(Inputs!$K$5:$AJ$170,0,MATCH(AA$2,Inputs!$K$4:$AJ$4,0))))=0,NA(),SUMPRODUCT((Inputs!$A$5:$A$170=$B53)*Inputs!$B$5:$B$170*(((Inputs!$G$5:$G$170="moeda")+(Inputs!$G$5:$G$170="acoes"))*Inputs!$B$1+((Inputs!$G$5:$G$170&lt;&gt;"moeda")*(Inputs!$G$5:$G$170&lt;&gt;"acoes")))*INDEX(Inputs!$K$5:$AJ$170,0,MATCH(AA$2,Inputs!$K$4:$AJ$4,0)))+SUMPRODUCT((Inputs!$C$5:$C$170=$B53)*Inputs!$D$5:$D$170*(((Inputs!$G$5:$G$170="moeda")+(Inputs!$G$5:$G$170="acoes"))*Inputs!$B$1+((Inputs!$G$5:$G$170&lt;&gt;"moeda")*(Inputs!$G$5:$G$170&lt;&gt;"acoes")))*INDEX(Inputs!$K$5:$AJ$170,0,MATCH(AA$2,Inputs!$K$4:$AJ$4,0)))+SUMPRODUCT((Inputs!$E$5:$E$170=$B53)*Inputs!$F$5:$F$170*(((Inputs!$G$5:$G$170="moeda")+(Inputs!$G$5:$G$170="acoes"))*Inputs!$B$1+((Inputs!$G$5:$G$170&lt;&gt;"moeda")*(Inputs!$G$5:$G$170&lt;&gt;"acoes")))*INDEX(Inputs!$K$5:$AJ$170,0,MATCH(AA$2,Inputs!$K$4:$AJ$4,0)))))</f>
        <v>968.870778194095</v>
      </c>
      <c r="AB53" s="265">
        <f>SUM(X53:AA53)</f>
        <v>3545.5997781941</v>
      </c>
      <c r="AC53" s="264">
        <f>IF(ISNA(MATCH(AC$2,Inputs!$K$4:$AJ$4,0)),NA(),IF(SUMPRODUCT((Inputs!$A$5:$A$170=$B53)*ISNUMBER(INDEX(Inputs!$K$5:$AJ$170,0,MATCH(AC$2,Inputs!$K$4:$AJ$4,0))))+SUMPRODUCT((Inputs!$C$5:$C$170=$B53)*ISNUMBER(INDEX(Inputs!$K$5:$AJ$170,0,MATCH(AC$2,Inputs!$K$4:$AJ$4,0))))+SUMPRODUCT((Inputs!$E$5:$E$170=$B53)*ISNUMBER(INDEX(Inputs!$K$5:$AJ$170,0,MATCH(AC$2,Inputs!$K$4:$AJ$4,0))))=0,NA(),SUMPRODUCT((Inputs!$A$5:$A$170=$B53)*Inputs!$B$5:$B$170*(((Inputs!$G$5:$G$170="moeda")+(Inputs!$G$5:$G$170="acoes"))*Inputs!$B$1+((Inputs!$G$5:$G$170&lt;&gt;"moeda")*(Inputs!$G$5:$G$170&lt;&gt;"acoes")))*INDEX(Inputs!$K$5:$AJ$170,0,MATCH(AC$2,Inputs!$K$4:$AJ$4,0)))+SUMPRODUCT((Inputs!$C$5:$C$170=$B53)*Inputs!$D$5:$D$170*(((Inputs!$G$5:$G$170="moeda")+(Inputs!$G$5:$G$170="acoes"))*Inputs!$B$1+((Inputs!$G$5:$G$170&lt;&gt;"moeda")*(Inputs!$G$5:$G$170&lt;&gt;"acoes")))*INDEX(Inputs!$K$5:$AJ$170,0,MATCH(AC$2,Inputs!$K$4:$AJ$4,0)))+SUMPRODUCT((Inputs!$E$5:$E$170=$B53)*Inputs!$F$5:$F$170*(((Inputs!$G$5:$G$170="moeda")+(Inputs!$G$5:$G$170="acoes"))*Inputs!$B$1+((Inputs!$G$5:$G$170&lt;&gt;"moeda")*(Inputs!$G$5:$G$170&lt;&gt;"acoes")))*INDEX(Inputs!$K$5:$AJ$170,0,MATCH(AC$2,Inputs!$K$4:$AJ$4,0)))))</f>
        <v>1076.12048663786</v>
      </c>
      <c r="AD53" s="264">
        <f>IF(ISNA(MATCH(AD$2,Inputs!$K$4:$AJ$4,0)),NA(),IF(SUMPRODUCT((Inputs!$A$5:$A$170=$B53)*ISNUMBER(INDEX(Inputs!$K$5:$AJ$170,0,MATCH(AD$2,Inputs!$K$4:$AJ$4,0))))+SUMPRODUCT((Inputs!$C$5:$C$170=$B53)*ISNUMBER(INDEX(Inputs!$K$5:$AJ$170,0,MATCH(AD$2,Inputs!$K$4:$AJ$4,0))))+SUMPRODUCT((Inputs!$E$5:$E$170=$B53)*ISNUMBER(INDEX(Inputs!$K$5:$AJ$170,0,MATCH(AD$2,Inputs!$K$4:$AJ$4,0))))=0,NA(),SUMPRODUCT((Inputs!$A$5:$A$170=$B53)*Inputs!$B$5:$B$170*(((Inputs!$G$5:$G$170="moeda")+(Inputs!$G$5:$G$170="acoes"))*Inputs!$B$1+((Inputs!$G$5:$G$170&lt;&gt;"moeda")*(Inputs!$G$5:$G$170&lt;&gt;"acoes")))*INDEX(Inputs!$K$5:$AJ$170,0,MATCH(AD$2,Inputs!$K$4:$AJ$4,0)))+SUMPRODUCT((Inputs!$C$5:$C$170=$B53)*Inputs!$D$5:$D$170*(((Inputs!$G$5:$G$170="moeda")+(Inputs!$G$5:$G$170="acoes"))*Inputs!$B$1+((Inputs!$G$5:$G$170&lt;&gt;"moeda")*(Inputs!$G$5:$G$170&lt;&gt;"acoes")))*INDEX(Inputs!$K$5:$AJ$170,0,MATCH(AD$2,Inputs!$K$4:$AJ$4,0)))+SUMPRODUCT((Inputs!$E$5:$E$170=$B53)*Inputs!$F$5:$F$170*(((Inputs!$G$5:$G$170="moeda")+(Inputs!$G$5:$G$170="acoes"))*Inputs!$B$1+((Inputs!$G$5:$G$170&lt;&gt;"moeda")*(Inputs!$G$5:$G$170&lt;&gt;"acoes")))*INDEX(Inputs!$K$5:$AJ$170,0,MATCH(AD$2,Inputs!$K$4:$AJ$4,0)))))</f>
        <v>1099.71233125533</v>
      </c>
      <c r="AE53" s="264" t="e">
        <f>IF(ISNA(MATCH(AE$2,Inputs!$K$4:$AJ$4,0)),NA(),IF(SUMPRODUCT((Inputs!$A$5:$A$170=$B53)*ISNUMBER(INDEX(Inputs!$K$5:$AJ$170,0,MATCH(AE$2,Inputs!$K$4:$AJ$4,0))))+SUMPRODUCT((Inputs!$C$5:$C$170=$B53)*ISNUMBER(INDEX(Inputs!$K$5:$AJ$170,0,MATCH(AE$2,Inputs!$K$4:$AJ$4,0))))+SUMPRODUCT((Inputs!$E$5:$E$170=$B53)*ISNUMBER(INDEX(Inputs!$K$5:$AJ$170,0,MATCH(AE$2,Inputs!$K$4:$AJ$4,0))))=0,NA(),SUMPRODUCT((Inputs!$A$5:$A$170=$B53)*Inputs!$B$5:$B$170*(((Inputs!$G$5:$G$170="moeda")+(Inputs!$G$5:$G$170="acoes"))*Inputs!$B$1+((Inputs!$G$5:$G$170&lt;&gt;"moeda")*(Inputs!$G$5:$G$170&lt;&gt;"acoes")))*INDEX(Inputs!$K$5:$AJ$170,0,MATCH(AE$2,Inputs!$K$4:$AJ$4,0)))+SUMPRODUCT((Inputs!$C$5:$C$170=$B53)*Inputs!$D$5:$D$170*(((Inputs!$G$5:$G$170="moeda")+(Inputs!$G$5:$G$170="acoes"))*Inputs!$B$1+((Inputs!$G$5:$G$170&lt;&gt;"moeda")*(Inputs!$G$5:$G$170&lt;&gt;"acoes")))*INDEX(Inputs!$K$5:$AJ$170,0,MATCH(AE$2,Inputs!$K$4:$AJ$4,0)))+SUMPRODUCT((Inputs!$E$5:$E$170=$B53)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3" s="264" t="e">
        <f>IF(ISNA(MATCH(AF$2,Inputs!$K$4:$AJ$4,0)),NA(),IF(SUMPRODUCT((Inputs!$A$5:$A$170=$B53)*ISNUMBER(INDEX(Inputs!$K$5:$AJ$170,0,MATCH(AF$2,Inputs!$K$4:$AJ$4,0))))+SUMPRODUCT((Inputs!$C$5:$C$170=$B53)*ISNUMBER(INDEX(Inputs!$K$5:$AJ$170,0,MATCH(AF$2,Inputs!$K$4:$AJ$4,0))))+SUMPRODUCT((Inputs!$E$5:$E$170=$B53)*ISNUMBER(INDEX(Inputs!$K$5:$AJ$170,0,MATCH(AF$2,Inputs!$K$4:$AJ$4,0))))=0,NA(),SUMPRODUCT((Inputs!$A$5:$A$170=$B53)*Inputs!$B$5:$B$170*(((Inputs!$G$5:$G$170="moeda")+(Inputs!$G$5:$G$170="acoes"))*Inputs!$B$1+((Inputs!$G$5:$G$170&lt;&gt;"moeda")*(Inputs!$G$5:$G$170&lt;&gt;"acoes")))*INDEX(Inputs!$K$5:$AJ$170,0,MATCH(AF$2,Inputs!$K$4:$AJ$4,0)))+SUMPRODUCT((Inputs!$C$5:$C$170=$B53)*Inputs!$D$5:$D$170*(((Inputs!$G$5:$G$170="moeda")+(Inputs!$G$5:$G$170="acoes"))*Inputs!$B$1+((Inputs!$G$5:$G$170&lt;&gt;"moeda")*(Inputs!$G$5:$G$170&lt;&gt;"acoes")))*INDEX(Inputs!$K$5:$AJ$170,0,MATCH(AF$2,Inputs!$K$4:$AJ$4,0)))+SUMPRODUCT((Inputs!$E$5:$E$170=$B53)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3" s="265" t="e">
        <f>SUM(AC53:AF53)</f>
        <v>#N/A</v>
      </c>
      <c r="AH53" s="264">
        <f>IF(ISNA(MATCH(AH$2,Inputs!$K$4:$AJ$4,0)),NA(),IF(SUMPRODUCT((Inputs!$A$5:$A$170=$B53)*ISNUMBER(INDEX(Inputs!$K$5:$AJ$170,0,MATCH(AH$2,Inputs!$K$4:$AJ$4,0))))+SUMPRODUCT((Inputs!$C$5:$C$170=$B53)*ISNUMBER(INDEX(Inputs!$K$5:$AJ$170,0,MATCH(AH$2,Inputs!$K$4:$AJ$4,0))))+SUMPRODUCT((Inputs!$E$5:$E$170=$B53)*ISNUMBER(INDEX(Inputs!$K$5:$AJ$170,0,MATCH(AH$2,Inputs!$K$4:$AJ$4,0))))=0,NA(),SUMPRODUCT((Inputs!$A$5:$A$170=$B53)*Inputs!$B$5:$B$170*(((Inputs!$G$5:$G$170="moeda")+(Inputs!$G$5:$G$170="acoes"))*Inputs!$B$1+((Inputs!$G$5:$G$170&lt;&gt;"moeda")*(Inputs!$G$5:$G$170&lt;&gt;"acoes")))*INDEX(Inputs!$K$5:$AJ$170,0,MATCH(AH$2,Inputs!$K$4:$AJ$4,0)))+SUMPRODUCT((Inputs!$C$5:$C$170=$B53)*Inputs!$D$5:$D$170*(((Inputs!$G$5:$G$170="moeda")+(Inputs!$G$5:$G$170="acoes"))*Inputs!$B$1+((Inputs!$G$5:$G$170&lt;&gt;"moeda")*(Inputs!$G$5:$G$170&lt;&gt;"acoes")))*INDEX(Inputs!$K$5:$AJ$170,0,MATCH(AH$2,Inputs!$K$4:$AJ$4,0)))+SUMPRODUCT((Inputs!$E$5:$E$170=$B53)*Inputs!$F$5:$F$170*(((Inputs!$G$5:$G$170="moeda")+(Inputs!$G$5:$G$170="acoes"))*Inputs!$B$1+((Inputs!$G$5:$G$170&lt;&gt;"moeda")*(Inputs!$G$5:$G$170&lt;&gt;"acoes")))*INDEX(Inputs!$K$5:$AJ$170,0,MATCH(AH$2,Inputs!$K$4:$AJ$4,0)))))</f>
        <v>294.797</v>
      </c>
      <c r="AI53" s="264">
        <f>IF(ISNA(MATCH(AI$2,Inputs!$K$4:$AJ$4,0)),NA(),IF(SUMPRODUCT((Inputs!$A$5:$A$170=$B53)*ISNUMBER(INDEX(Inputs!$K$5:$AJ$170,0,MATCH(AI$2,Inputs!$K$4:$AJ$4,0))))+SUMPRODUCT((Inputs!$C$5:$C$170=$B53)*ISNUMBER(INDEX(Inputs!$K$5:$AJ$170,0,MATCH(AI$2,Inputs!$K$4:$AJ$4,0))))+SUMPRODUCT((Inputs!$E$5:$E$170=$B53)*ISNUMBER(INDEX(Inputs!$K$5:$AJ$170,0,MATCH(AI$2,Inputs!$K$4:$AJ$4,0))))=0,NA(),SUMPRODUCT((Inputs!$A$5:$A$170=$B53)*Inputs!$B$5:$B$170*(((Inputs!$G$5:$G$170="moeda")+(Inputs!$G$5:$G$170="acoes"))*Inputs!$B$1+((Inputs!$G$5:$G$170&lt;&gt;"moeda")*(Inputs!$G$5:$G$170&lt;&gt;"acoes")))*INDEX(Inputs!$K$5:$AJ$170,0,MATCH(AI$2,Inputs!$K$4:$AJ$4,0)))+SUMPRODUCT((Inputs!$C$5:$C$170=$B53)*Inputs!$D$5:$D$170*(((Inputs!$G$5:$G$170="moeda")+(Inputs!$G$5:$G$170="acoes"))*Inputs!$B$1+((Inputs!$G$5:$G$170&lt;&gt;"moeda")*(Inputs!$G$5:$G$170&lt;&gt;"acoes")))*INDEX(Inputs!$K$5:$AJ$170,0,MATCH(AI$2,Inputs!$K$4:$AJ$4,0)))+SUMPRODUCT((Inputs!$E$5:$E$170=$B53)*Inputs!$F$5:$F$170*(((Inputs!$G$5:$G$170="moeda")+(Inputs!$G$5:$G$170="acoes"))*Inputs!$B$1+((Inputs!$G$5:$G$170&lt;&gt;"moeda")*(Inputs!$G$5:$G$170&lt;&gt;"acoes")))*INDEX(Inputs!$K$5:$AJ$170,0,MATCH(AI$2,Inputs!$K$4:$AJ$4,0)))))</f>
        <v>155.985</v>
      </c>
      <c r="AJ53" s="264">
        <f>IF(ISNA(MATCH(AJ$2,Inputs!$K$4:$AJ$4,0)),NA(),IF(SUMPRODUCT((Inputs!$A$5:$A$170=$B53)*ISNUMBER(INDEX(Inputs!$K$5:$AJ$170,0,MATCH(AJ$2,Inputs!$K$4:$AJ$4,0))))+SUMPRODUCT((Inputs!$C$5:$C$170=$B53)*ISNUMBER(INDEX(Inputs!$K$5:$AJ$170,0,MATCH(AJ$2,Inputs!$K$4:$AJ$4,0))))+SUMPRODUCT((Inputs!$E$5:$E$170=$B53)*ISNUMBER(INDEX(Inputs!$K$5:$AJ$170,0,MATCH(AJ$2,Inputs!$K$4:$AJ$4,0))))=0,NA(),SUMPRODUCT((Inputs!$A$5:$A$170=$B53)*Inputs!$B$5:$B$170*(((Inputs!$G$5:$G$170="moeda")+(Inputs!$G$5:$G$170="acoes"))*Inputs!$B$1+((Inputs!$G$5:$G$170&lt;&gt;"moeda")*(Inputs!$G$5:$G$170&lt;&gt;"acoes")))*INDEX(Inputs!$K$5:$AJ$170,0,MATCH(AJ$2,Inputs!$K$4:$AJ$4,0)))+SUMPRODUCT((Inputs!$C$5:$C$170=$B53)*Inputs!$D$5:$D$170*(((Inputs!$G$5:$G$170="moeda")+(Inputs!$G$5:$G$170="acoes"))*Inputs!$B$1+((Inputs!$G$5:$G$170&lt;&gt;"moeda")*(Inputs!$G$5:$G$170&lt;&gt;"acoes")))*INDEX(Inputs!$K$5:$AJ$170,0,MATCH(AJ$2,Inputs!$K$4:$AJ$4,0)))+SUMPRODUCT((Inputs!$E$5:$E$170=$B53)*Inputs!$F$5:$F$170*(((Inputs!$G$5:$G$170="moeda")+(Inputs!$G$5:$G$170="acoes"))*Inputs!$B$1+((Inputs!$G$5:$G$170&lt;&gt;"moeda")*(Inputs!$G$5:$G$170&lt;&gt;"acoes")))*INDEX(Inputs!$K$5:$AJ$170,0,MATCH(AJ$2,Inputs!$K$4:$AJ$4,0)))))</f>
        <v>245.973</v>
      </c>
      <c r="AK53" s="264">
        <f>IF(ISNA(MATCH(AK$2,Inputs!$K$4:$AJ$4,0)),NA(),IF(SUMPRODUCT((Inputs!$A$5:$A$170=$B53)*ISNUMBER(INDEX(Inputs!$K$5:$AJ$170,0,MATCH(AK$2,Inputs!$K$4:$AJ$4,0))))+SUMPRODUCT((Inputs!$C$5:$C$170=$B53)*ISNUMBER(INDEX(Inputs!$K$5:$AJ$170,0,MATCH(AK$2,Inputs!$K$4:$AJ$4,0))))+SUMPRODUCT((Inputs!$E$5:$E$170=$B53)*ISNUMBER(INDEX(Inputs!$K$5:$AJ$170,0,MATCH(AK$2,Inputs!$K$4:$AJ$4,0))))=0,NA(),SUMPRODUCT((Inputs!$A$5:$A$170=$B53)*Inputs!$B$5:$B$170*(((Inputs!$G$5:$G$170="moeda")+(Inputs!$G$5:$G$170="acoes"))*Inputs!$B$1+((Inputs!$G$5:$G$170&lt;&gt;"moeda")*(Inputs!$G$5:$G$170&lt;&gt;"acoes")))*INDEX(Inputs!$K$5:$AJ$170,0,MATCH(AK$2,Inputs!$K$4:$AJ$4,0)))+SUMPRODUCT((Inputs!$C$5:$C$170=$B53)*Inputs!$D$5:$D$170*(((Inputs!$G$5:$G$170="moeda")+(Inputs!$G$5:$G$170="acoes"))*Inputs!$B$1+((Inputs!$G$5:$G$170&lt;&gt;"moeda")*(Inputs!$G$5:$G$170&lt;&gt;"acoes")))*INDEX(Inputs!$K$5:$AJ$170,0,MATCH(AK$2,Inputs!$K$4:$AJ$4,0)))+SUMPRODUCT((Inputs!$E$5:$E$170=$B53)*Inputs!$F$5:$F$170*(((Inputs!$G$5:$G$170="moeda")+(Inputs!$G$5:$G$170="acoes"))*Inputs!$B$1+((Inputs!$G$5:$G$170&lt;&gt;"moeda")*(Inputs!$G$5:$G$170&lt;&gt;"acoes")))*INDEX(Inputs!$K$5:$AJ$170,0,MATCH(AK$2,Inputs!$K$4:$AJ$4,0)))))</f>
        <v>333.947</v>
      </c>
      <c r="AL53" s="265">
        <f>SUM(AH53:AK53)</f>
        <v>1030.702</v>
      </c>
    </row>
    <row r="54">
      <c r="B54" s="46" t="n">
        <v>46</v>
      </c>
      <c r="C54" s="29" t="inlineStr">
        <is>
          <t>Receita liquida RAC Portugal (DRE l.30; desde a aquisicao em 2023)</t>
        </is>
      </c>
      <c r="D54" s="264">
        <f>IF(ISNA(MATCH(D$2,Inputs!$K$4:$AJ$4,0)),NA(),IF(SUMPRODUCT((Inputs!$A$5:$A$170=$B54)*ISNUMBER(INDEX(Inputs!$K$5:$AJ$170,0,MATCH(D$2,Inputs!$K$4:$AJ$4,0))))+SUMPRODUCT((Inputs!$C$5:$C$170=$B54)*ISNUMBER(INDEX(Inputs!$K$5:$AJ$170,0,MATCH(D$2,Inputs!$K$4:$AJ$4,0))))+SUMPRODUCT((Inputs!$E$5:$E$170=$B54)*ISNUMBER(INDEX(Inputs!$K$5:$AJ$170,0,MATCH(D$2,Inputs!$K$4:$AJ$4,0))))=0,NA(),SUMPRODUCT((Inputs!$A$5:$A$170=$B54)*Inputs!$B$5:$B$170*(((Inputs!$G$5:$G$170="moeda")+(Inputs!$G$5:$G$170="acoes"))*Inputs!$B$1+((Inputs!$G$5:$G$170&lt;&gt;"moeda")*(Inputs!$G$5:$G$170&lt;&gt;"acoes")))*INDEX(Inputs!$K$5:$AJ$170,0,MATCH(D$2,Inputs!$K$4:$AJ$4,0)))+SUMPRODUCT((Inputs!$C$5:$C$170=$B54)*Inputs!$D$5:$D$170*(((Inputs!$G$5:$G$170="moeda")+(Inputs!$G$5:$G$170="acoes"))*Inputs!$B$1+((Inputs!$G$5:$G$170&lt;&gt;"moeda")*(Inputs!$G$5:$G$170&lt;&gt;"acoes")))*INDEX(Inputs!$K$5:$AJ$170,0,MATCH(D$2,Inputs!$K$4:$AJ$4,0)))+SUMPRODUCT((Inputs!$E$5:$E$170=$B54)*Inputs!$F$5:$F$170*(((Inputs!$G$5:$G$170="moeda")+(Inputs!$G$5:$G$170="acoes"))*Inputs!$B$1+((Inputs!$G$5:$G$170&lt;&gt;"moeda")*(Inputs!$G$5:$G$170&lt;&gt;"acoes")))*INDEX(Inputs!$K$5:$AJ$170,0,MATCH(D$2,Inputs!$K$4:$AJ$4,0)))))</f>
        <v>0</v>
      </c>
      <c r="E54" s="264">
        <f>IF(ISNA(MATCH(E$2,Inputs!$K$4:$AJ$4,0)),NA(),IF(SUMPRODUCT((Inputs!$A$5:$A$170=$B54)*ISNUMBER(INDEX(Inputs!$K$5:$AJ$170,0,MATCH(E$2,Inputs!$K$4:$AJ$4,0))))+SUMPRODUCT((Inputs!$C$5:$C$170=$B54)*ISNUMBER(INDEX(Inputs!$K$5:$AJ$170,0,MATCH(E$2,Inputs!$K$4:$AJ$4,0))))+SUMPRODUCT((Inputs!$E$5:$E$170=$B54)*ISNUMBER(INDEX(Inputs!$K$5:$AJ$170,0,MATCH(E$2,Inputs!$K$4:$AJ$4,0))))=0,NA(),SUMPRODUCT((Inputs!$A$5:$A$170=$B54)*Inputs!$B$5:$B$170*(((Inputs!$G$5:$G$170="moeda")+(Inputs!$G$5:$G$170="acoes"))*Inputs!$B$1+((Inputs!$G$5:$G$170&lt;&gt;"moeda")*(Inputs!$G$5:$G$170&lt;&gt;"acoes")))*INDEX(Inputs!$K$5:$AJ$170,0,MATCH(E$2,Inputs!$K$4:$AJ$4,0)))+SUMPRODUCT((Inputs!$C$5:$C$170=$B54)*Inputs!$D$5:$D$170*(((Inputs!$G$5:$G$170="moeda")+(Inputs!$G$5:$G$170="acoes"))*Inputs!$B$1+((Inputs!$G$5:$G$170&lt;&gt;"moeda")*(Inputs!$G$5:$G$170&lt;&gt;"acoes")))*INDEX(Inputs!$K$5:$AJ$170,0,MATCH(E$2,Inputs!$K$4:$AJ$4,0)))+SUMPRODUCT((Inputs!$E$5:$E$170=$B54)*Inputs!$F$5:$F$170*(((Inputs!$G$5:$G$170="moeda")+(Inputs!$G$5:$G$170="acoes"))*Inputs!$B$1+((Inputs!$G$5:$G$170&lt;&gt;"moeda")*(Inputs!$G$5:$G$170&lt;&gt;"acoes")))*INDEX(Inputs!$K$5:$AJ$170,0,MATCH(E$2,Inputs!$K$4:$AJ$4,0)))))</f>
        <v>0</v>
      </c>
      <c r="F54" s="264">
        <f>IF(ISNA(MATCH(F$2,Inputs!$K$4:$AJ$4,0)),NA(),IF(SUMPRODUCT((Inputs!$A$5:$A$170=$B54)*ISNUMBER(INDEX(Inputs!$K$5:$AJ$170,0,MATCH(F$2,Inputs!$K$4:$AJ$4,0))))+SUMPRODUCT((Inputs!$C$5:$C$170=$B54)*ISNUMBER(INDEX(Inputs!$K$5:$AJ$170,0,MATCH(F$2,Inputs!$K$4:$AJ$4,0))))+SUMPRODUCT((Inputs!$E$5:$E$170=$B54)*ISNUMBER(INDEX(Inputs!$K$5:$AJ$170,0,MATCH(F$2,Inputs!$K$4:$AJ$4,0))))=0,NA(),SUMPRODUCT((Inputs!$A$5:$A$170=$B54)*Inputs!$B$5:$B$170*(((Inputs!$G$5:$G$170="moeda")+(Inputs!$G$5:$G$170="acoes"))*Inputs!$B$1+((Inputs!$G$5:$G$170&lt;&gt;"moeda")*(Inputs!$G$5:$G$170&lt;&gt;"acoes")))*INDEX(Inputs!$K$5:$AJ$170,0,MATCH(F$2,Inputs!$K$4:$AJ$4,0)))+SUMPRODUCT((Inputs!$C$5:$C$170=$B54)*Inputs!$D$5:$D$170*(((Inputs!$G$5:$G$170="moeda")+(Inputs!$G$5:$G$170="acoes"))*Inputs!$B$1+((Inputs!$G$5:$G$170&lt;&gt;"moeda")*(Inputs!$G$5:$G$170&lt;&gt;"acoes")))*INDEX(Inputs!$K$5:$AJ$170,0,MATCH(F$2,Inputs!$K$4:$AJ$4,0)))+SUMPRODUCT((Inputs!$E$5:$E$170=$B54)*Inputs!$F$5:$F$170*(((Inputs!$G$5:$G$170="moeda")+(Inputs!$G$5:$G$170="acoes"))*Inputs!$B$1+((Inputs!$G$5:$G$170&lt;&gt;"moeda")*(Inputs!$G$5:$G$170&lt;&gt;"acoes")))*INDEX(Inputs!$K$5:$AJ$170,0,MATCH(F$2,Inputs!$K$4:$AJ$4,0)))))</f>
        <v>0</v>
      </c>
      <c r="G54" s="264">
        <f>IF(ISNA(MATCH(G$2,Inputs!$K$4:$AJ$4,0)),NA(),IF(SUMPRODUCT((Inputs!$A$5:$A$170=$B54)*ISNUMBER(INDEX(Inputs!$K$5:$AJ$170,0,MATCH(G$2,Inputs!$K$4:$AJ$4,0))))+SUMPRODUCT((Inputs!$C$5:$C$170=$B54)*ISNUMBER(INDEX(Inputs!$K$5:$AJ$170,0,MATCH(G$2,Inputs!$K$4:$AJ$4,0))))+SUMPRODUCT((Inputs!$E$5:$E$170=$B54)*ISNUMBER(INDEX(Inputs!$K$5:$AJ$170,0,MATCH(G$2,Inputs!$K$4:$AJ$4,0))))=0,NA(),SUMPRODUCT((Inputs!$A$5:$A$170=$B54)*Inputs!$B$5:$B$170*(((Inputs!$G$5:$G$170="moeda")+(Inputs!$G$5:$G$170="acoes"))*Inputs!$B$1+((Inputs!$G$5:$G$170&lt;&gt;"moeda")*(Inputs!$G$5:$G$170&lt;&gt;"acoes")))*INDEX(Inputs!$K$5:$AJ$170,0,MATCH(G$2,Inputs!$K$4:$AJ$4,0)))+SUMPRODUCT((Inputs!$C$5:$C$170=$B54)*Inputs!$D$5:$D$170*(((Inputs!$G$5:$G$170="moeda")+(Inputs!$G$5:$G$170="acoes"))*Inputs!$B$1+((Inputs!$G$5:$G$170&lt;&gt;"moeda")*(Inputs!$G$5:$G$170&lt;&gt;"acoes")))*INDEX(Inputs!$K$5:$AJ$170,0,MATCH(G$2,Inputs!$K$4:$AJ$4,0)))+SUMPRODUCT((Inputs!$E$5:$E$170=$B54)*Inputs!$F$5:$F$170*(((Inputs!$G$5:$G$170="moeda")+(Inputs!$G$5:$G$170="acoes"))*Inputs!$B$1+((Inputs!$G$5:$G$170&lt;&gt;"moeda")*(Inputs!$G$5:$G$170&lt;&gt;"acoes")))*INDEX(Inputs!$K$5:$AJ$170,0,MATCH(G$2,Inputs!$K$4:$AJ$4,0)))))</f>
        <v>0</v>
      </c>
      <c r="H54" s="265">
        <f>SUM(D54:G54)</f>
        <v>0</v>
      </c>
      <c r="I54" s="264">
        <f>IF(ISNA(MATCH(I$2,Inputs!$K$4:$AJ$4,0)),NA(),IF(SUMPRODUCT((Inputs!$A$5:$A$170=$B54)*ISNUMBER(INDEX(Inputs!$K$5:$AJ$170,0,MATCH(I$2,Inputs!$K$4:$AJ$4,0))))+SUMPRODUCT((Inputs!$C$5:$C$170=$B54)*ISNUMBER(INDEX(Inputs!$K$5:$AJ$170,0,MATCH(I$2,Inputs!$K$4:$AJ$4,0))))+SUMPRODUCT((Inputs!$E$5:$E$170=$B54)*ISNUMBER(INDEX(Inputs!$K$5:$AJ$170,0,MATCH(I$2,Inputs!$K$4:$AJ$4,0))))=0,NA(),SUMPRODUCT((Inputs!$A$5:$A$170=$B54)*Inputs!$B$5:$B$170*(((Inputs!$G$5:$G$170="moeda")+(Inputs!$G$5:$G$170="acoes"))*Inputs!$B$1+((Inputs!$G$5:$G$170&lt;&gt;"moeda")*(Inputs!$G$5:$G$170&lt;&gt;"acoes")))*INDEX(Inputs!$K$5:$AJ$170,0,MATCH(I$2,Inputs!$K$4:$AJ$4,0)))+SUMPRODUCT((Inputs!$C$5:$C$170=$B54)*Inputs!$D$5:$D$170*(((Inputs!$G$5:$G$170="moeda")+(Inputs!$G$5:$G$170="acoes"))*Inputs!$B$1+((Inputs!$G$5:$G$170&lt;&gt;"moeda")*(Inputs!$G$5:$G$170&lt;&gt;"acoes")))*INDEX(Inputs!$K$5:$AJ$170,0,MATCH(I$2,Inputs!$K$4:$AJ$4,0)))+SUMPRODUCT((Inputs!$E$5:$E$170=$B54)*Inputs!$F$5:$F$170*(((Inputs!$G$5:$G$170="moeda")+(Inputs!$G$5:$G$170="acoes"))*Inputs!$B$1+((Inputs!$G$5:$G$170&lt;&gt;"moeda")*(Inputs!$G$5:$G$170&lt;&gt;"acoes")))*INDEX(Inputs!$K$5:$AJ$170,0,MATCH(I$2,Inputs!$K$4:$AJ$4,0)))))</f>
        <v>0</v>
      </c>
      <c r="J54" s="264">
        <f>IF(ISNA(MATCH(J$2,Inputs!$K$4:$AJ$4,0)),NA(),IF(SUMPRODUCT((Inputs!$A$5:$A$170=$B54)*ISNUMBER(INDEX(Inputs!$K$5:$AJ$170,0,MATCH(J$2,Inputs!$K$4:$AJ$4,0))))+SUMPRODUCT((Inputs!$C$5:$C$170=$B54)*ISNUMBER(INDEX(Inputs!$K$5:$AJ$170,0,MATCH(J$2,Inputs!$K$4:$AJ$4,0))))+SUMPRODUCT((Inputs!$E$5:$E$170=$B54)*ISNUMBER(INDEX(Inputs!$K$5:$AJ$170,0,MATCH(J$2,Inputs!$K$4:$AJ$4,0))))=0,NA(),SUMPRODUCT((Inputs!$A$5:$A$170=$B54)*Inputs!$B$5:$B$170*(((Inputs!$G$5:$G$170="moeda")+(Inputs!$G$5:$G$170="acoes"))*Inputs!$B$1+((Inputs!$G$5:$G$170&lt;&gt;"moeda")*(Inputs!$G$5:$G$170&lt;&gt;"acoes")))*INDEX(Inputs!$K$5:$AJ$170,0,MATCH(J$2,Inputs!$K$4:$AJ$4,0)))+SUMPRODUCT((Inputs!$C$5:$C$170=$B54)*Inputs!$D$5:$D$170*(((Inputs!$G$5:$G$170="moeda")+(Inputs!$G$5:$G$170="acoes"))*Inputs!$B$1+((Inputs!$G$5:$G$170&lt;&gt;"moeda")*(Inputs!$G$5:$G$170&lt;&gt;"acoes")))*INDEX(Inputs!$K$5:$AJ$170,0,MATCH(J$2,Inputs!$K$4:$AJ$4,0)))+SUMPRODUCT((Inputs!$E$5:$E$170=$B54)*Inputs!$F$5:$F$170*(((Inputs!$G$5:$G$170="moeda")+(Inputs!$G$5:$G$170="acoes"))*Inputs!$B$1+((Inputs!$G$5:$G$170&lt;&gt;"moeda")*(Inputs!$G$5:$G$170&lt;&gt;"acoes")))*INDEX(Inputs!$K$5:$AJ$170,0,MATCH(J$2,Inputs!$K$4:$AJ$4,0)))))</f>
        <v>0</v>
      </c>
      <c r="K54" s="264">
        <f>IF(ISNA(MATCH(K$2,Inputs!$K$4:$AJ$4,0)),NA(),IF(SUMPRODUCT((Inputs!$A$5:$A$170=$B54)*ISNUMBER(INDEX(Inputs!$K$5:$AJ$170,0,MATCH(K$2,Inputs!$K$4:$AJ$4,0))))+SUMPRODUCT((Inputs!$C$5:$C$170=$B54)*ISNUMBER(INDEX(Inputs!$K$5:$AJ$170,0,MATCH(K$2,Inputs!$K$4:$AJ$4,0))))+SUMPRODUCT((Inputs!$E$5:$E$170=$B54)*ISNUMBER(INDEX(Inputs!$K$5:$AJ$170,0,MATCH(K$2,Inputs!$K$4:$AJ$4,0))))=0,NA(),SUMPRODUCT((Inputs!$A$5:$A$170=$B54)*Inputs!$B$5:$B$170*(((Inputs!$G$5:$G$170="moeda")+(Inputs!$G$5:$G$170="acoes"))*Inputs!$B$1+((Inputs!$G$5:$G$170&lt;&gt;"moeda")*(Inputs!$G$5:$G$170&lt;&gt;"acoes")))*INDEX(Inputs!$K$5:$AJ$170,0,MATCH(K$2,Inputs!$K$4:$AJ$4,0)))+SUMPRODUCT((Inputs!$C$5:$C$170=$B54)*Inputs!$D$5:$D$170*(((Inputs!$G$5:$G$170="moeda")+(Inputs!$G$5:$G$170="acoes"))*Inputs!$B$1+((Inputs!$G$5:$G$170&lt;&gt;"moeda")*(Inputs!$G$5:$G$170&lt;&gt;"acoes")))*INDEX(Inputs!$K$5:$AJ$170,0,MATCH(K$2,Inputs!$K$4:$AJ$4,0)))+SUMPRODUCT((Inputs!$E$5:$E$170=$B54)*Inputs!$F$5:$F$170*(((Inputs!$G$5:$G$170="moeda")+(Inputs!$G$5:$G$170="acoes"))*Inputs!$B$1+((Inputs!$G$5:$G$170&lt;&gt;"moeda")*(Inputs!$G$5:$G$170&lt;&gt;"acoes")))*INDEX(Inputs!$K$5:$AJ$170,0,MATCH(K$2,Inputs!$K$4:$AJ$4,0)))))</f>
        <v>0</v>
      </c>
      <c r="L54" s="264">
        <f>IF(ISNA(MATCH(L$2,Inputs!$K$4:$AJ$4,0)),NA(),IF(SUMPRODUCT((Inputs!$A$5:$A$170=$B54)*ISNUMBER(INDEX(Inputs!$K$5:$AJ$170,0,MATCH(L$2,Inputs!$K$4:$AJ$4,0))))+SUMPRODUCT((Inputs!$C$5:$C$170=$B54)*ISNUMBER(INDEX(Inputs!$K$5:$AJ$170,0,MATCH(L$2,Inputs!$K$4:$AJ$4,0))))+SUMPRODUCT((Inputs!$E$5:$E$170=$B54)*ISNUMBER(INDEX(Inputs!$K$5:$AJ$170,0,MATCH(L$2,Inputs!$K$4:$AJ$4,0))))=0,NA(),SUMPRODUCT((Inputs!$A$5:$A$170=$B54)*Inputs!$B$5:$B$170*(((Inputs!$G$5:$G$170="moeda")+(Inputs!$G$5:$G$170="acoes"))*Inputs!$B$1+((Inputs!$G$5:$G$170&lt;&gt;"moeda")*(Inputs!$G$5:$G$170&lt;&gt;"acoes")))*INDEX(Inputs!$K$5:$AJ$170,0,MATCH(L$2,Inputs!$K$4:$AJ$4,0)))+SUMPRODUCT((Inputs!$C$5:$C$170=$B54)*Inputs!$D$5:$D$170*(((Inputs!$G$5:$G$170="moeda")+(Inputs!$G$5:$G$170="acoes"))*Inputs!$B$1+((Inputs!$G$5:$G$170&lt;&gt;"moeda")*(Inputs!$G$5:$G$170&lt;&gt;"acoes")))*INDEX(Inputs!$K$5:$AJ$170,0,MATCH(L$2,Inputs!$K$4:$AJ$4,0)))+SUMPRODUCT((Inputs!$E$5:$E$170=$B54)*Inputs!$F$5:$F$170*(((Inputs!$G$5:$G$170="moeda")+(Inputs!$G$5:$G$170="acoes"))*Inputs!$B$1+((Inputs!$G$5:$G$170&lt;&gt;"moeda")*(Inputs!$G$5:$G$170&lt;&gt;"acoes")))*INDEX(Inputs!$K$5:$AJ$170,0,MATCH(L$2,Inputs!$K$4:$AJ$4,0)))))</f>
        <v>43.829</v>
      </c>
      <c r="M54" s="265">
        <f>SUM(I54:L54)</f>
        <v>43.829</v>
      </c>
      <c r="N54" s="264">
        <f>IF(ISNA(MATCH(N$2,Inputs!$K$4:$AJ$4,0)),NA(),IF(SUMPRODUCT((Inputs!$A$5:$A$170=$B54)*ISNUMBER(INDEX(Inputs!$K$5:$AJ$170,0,MATCH(N$2,Inputs!$K$4:$AJ$4,0))))+SUMPRODUCT((Inputs!$C$5:$C$170=$B54)*ISNUMBER(INDEX(Inputs!$K$5:$AJ$170,0,MATCH(N$2,Inputs!$K$4:$AJ$4,0))))+SUMPRODUCT((Inputs!$E$5:$E$170=$B54)*ISNUMBER(INDEX(Inputs!$K$5:$AJ$170,0,MATCH(N$2,Inputs!$K$4:$AJ$4,0))))=0,NA(),SUMPRODUCT((Inputs!$A$5:$A$170=$B54)*Inputs!$B$5:$B$170*(((Inputs!$G$5:$G$170="moeda")+(Inputs!$G$5:$G$170="acoes"))*Inputs!$B$1+((Inputs!$G$5:$G$170&lt;&gt;"moeda")*(Inputs!$G$5:$G$170&lt;&gt;"acoes")))*INDEX(Inputs!$K$5:$AJ$170,0,MATCH(N$2,Inputs!$K$4:$AJ$4,0)))+SUMPRODUCT((Inputs!$C$5:$C$170=$B54)*Inputs!$D$5:$D$170*(((Inputs!$G$5:$G$170="moeda")+(Inputs!$G$5:$G$170="acoes"))*Inputs!$B$1+((Inputs!$G$5:$G$170&lt;&gt;"moeda")*(Inputs!$G$5:$G$170&lt;&gt;"acoes")))*INDEX(Inputs!$K$5:$AJ$170,0,MATCH(N$2,Inputs!$K$4:$AJ$4,0)))+SUMPRODUCT((Inputs!$E$5:$E$170=$B54)*Inputs!$F$5:$F$170*(((Inputs!$G$5:$G$170="moeda")+(Inputs!$G$5:$G$170="acoes"))*Inputs!$B$1+((Inputs!$G$5:$G$170&lt;&gt;"moeda")*(Inputs!$G$5:$G$170&lt;&gt;"acoes")))*INDEX(Inputs!$K$5:$AJ$170,0,MATCH(N$2,Inputs!$K$4:$AJ$4,0)))))</f>
        <v>14.396</v>
      </c>
      <c r="O54" s="264">
        <f>IF(ISNA(MATCH(O$2,Inputs!$K$4:$AJ$4,0)),NA(),IF(SUMPRODUCT((Inputs!$A$5:$A$170=$B54)*ISNUMBER(INDEX(Inputs!$K$5:$AJ$170,0,MATCH(O$2,Inputs!$K$4:$AJ$4,0))))+SUMPRODUCT((Inputs!$C$5:$C$170=$B54)*ISNUMBER(INDEX(Inputs!$K$5:$AJ$170,0,MATCH(O$2,Inputs!$K$4:$AJ$4,0))))+SUMPRODUCT((Inputs!$E$5:$E$170=$B54)*ISNUMBER(INDEX(Inputs!$K$5:$AJ$170,0,MATCH(O$2,Inputs!$K$4:$AJ$4,0))))=0,NA(),SUMPRODUCT((Inputs!$A$5:$A$170=$B54)*Inputs!$B$5:$B$170*(((Inputs!$G$5:$G$170="moeda")+(Inputs!$G$5:$G$170="acoes"))*Inputs!$B$1+((Inputs!$G$5:$G$170&lt;&gt;"moeda")*(Inputs!$G$5:$G$170&lt;&gt;"acoes")))*INDEX(Inputs!$K$5:$AJ$170,0,MATCH(O$2,Inputs!$K$4:$AJ$4,0)))+SUMPRODUCT((Inputs!$C$5:$C$170=$B54)*Inputs!$D$5:$D$170*(((Inputs!$G$5:$G$170="moeda")+(Inputs!$G$5:$G$170="acoes"))*Inputs!$B$1+((Inputs!$G$5:$G$170&lt;&gt;"moeda")*(Inputs!$G$5:$G$170&lt;&gt;"acoes")))*INDEX(Inputs!$K$5:$AJ$170,0,MATCH(O$2,Inputs!$K$4:$AJ$4,0)))+SUMPRODUCT((Inputs!$E$5:$E$170=$B54)*Inputs!$F$5:$F$170*(((Inputs!$G$5:$G$170="moeda")+(Inputs!$G$5:$G$170="acoes"))*Inputs!$B$1+((Inputs!$G$5:$G$170&lt;&gt;"moeda")*(Inputs!$G$5:$G$170&lt;&gt;"acoes")))*INDEX(Inputs!$K$5:$AJ$170,0,MATCH(O$2,Inputs!$K$4:$AJ$4,0)))))</f>
        <v>29.467</v>
      </c>
      <c r="P54" s="264">
        <f>IF(ISNA(MATCH(P$2,Inputs!$K$4:$AJ$4,0)),NA(),IF(SUMPRODUCT((Inputs!$A$5:$A$170=$B54)*ISNUMBER(INDEX(Inputs!$K$5:$AJ$170,0,MATCH(P$2,Inputs!$K$4:$AJ$4,0))))+SUMPRODUCT((Inputs!$C$5:$C$170=$B54)*ISNUMBER(INDEX(Inputs!$K$5:$AJ$170,0,MATCH(P$2,Inputs!$K$4:$AJ$4,0))))+SUMPRODUCT((Inputs!$E$5:$E$170=$B54)*ISNUMBER(INDEX(Inputs!$K$5:$AJ$170,0,MATCH(P$2,Inputs!$K$4:$AJ$4,0))))=0,NA(),SUMPRODUCT((Inputs!$A$5:$A$170=$B54)*Inputs!$B$5:$B$170*(((Inputs!$G$5:$G$170="moeda")+(Inputs!$G$5:$G$170="acoes"))*Inputs!$B$1+((Inputs!$G$5:$G$170&lt;&gt;"moeda")*(Inputs!$G$5:$G$170&lt;&gt;"acoes")))*INDEX(Inputs!$K$5:$AJ$170,0,MATCH(P$2,Inputs!$K$4:$AJ$4,0)))+SUMPRODUCT((Inputs!$C$5:$C$170=$B54)*Inputs!$D$5:$D$170*(((Inputs!$G$5:$G$170="moeda")+(Inputs!$G$5:$G$170="acoes"))*Inputs!$B$1+((Inputs!$G$5:$G$170&lt;&gt;"moeda")*(Inputs!$G$5:$G$170&lt;&gt;"acoes")))*INDEX(Inputs!$K$5:$AJ$170,0,MATCH(P$2,Inputs!$K$4:$AJ$4,0)))+SUMPRODUCT((Inputs!$E$5:$E$170=$B54)*Inputs!$F$5:$F$170*(((Inputs!$G$5:$G$170="moeda")+(Inputs!$G$5:$G$170="acoes"))*Inputs!$B$1+((Inputs!$G$5:$G$170&lt;&gt;"moeda")*(Inputs!$G$5:$G$170&lt;&gt;"acoes")))*INDEX(Inputs!$K$5:$AJ$170,0,MATCH(P$2,Inputs!$K$4:$AJ$4,0)))))</f>
        <v>64.989</v>
      </c>
      <c r="Q54" s="264">
        <f>IF(ISNA(MATCH(Q$2,Inputs!$K$4:$AJ$4,0)),NA(),IF(SUMPRODUCT((Inputs!$A$5:$A$170=$B54)*ISNUMBER(INDEX(Inputs!$K$5:$AJ$170,0,MATCH(Q$2,Inputs!$K$4:$AJ$4,0))))+SUMPRODUCT((Inputs!$C$5:$C$170=$B54)*ISNUMBER(INDEX(Inputs!$K$5:$AJ$170,0,MATCH(Q$2,Inputs!$K$4:$AJ$4,0))))+SUMPRODUCT((Inputs!$E$5:$E$170=$B54)*ISNUMBER(INDEX(Inputs!$K$5:$AJ$170,0,MATCH(Q$2,Inputs!$K$4:$AJ$4,0))))=0,NA(),SUMPRODUCT((Inputs!$A$5:$A$170=$B54)*Inputs!$B$5:$B$170*(((Inputs!$G$5:$G$170="moeda")+(Inputs!$G$5:$G$170="acoes"))*Inputs!$B$1+((Inputs!$G$5:$G$170&lt;&gt;"moeda")*(Inputs!$G$5:$G$170&lt;&gt;"acoes")))*INDEX(Inputs!$K$5:$AJ$170,0,MATCH(Q$2,Inputs!$K$4:$AJ$4,0)))+SUMPRODUCT((Inputs!$C$5:$C$170=$B54)*Inputs!$D$5:$D$170*(((Inputs!$G$5:$G$170="moeda")+(Inputs!$G$5:$G$170="acoes"))*Inputs!$B$1+((Inputs!$G$5:$G$170&lt;&gt;"moeda")*(Inputs!$G$5:$G$170&lt;&gt;"acoes")))*INDEX(Inputs!$K$5:$AJ$170,0,MATCH(Q$2,Inputs!$K$4:$AJ$4,0)))+SUMPRODUCT((Inputs!$E$5:$E$170=$B54)*Inputs!$F$5:$F$170*(((Inputs!$G$5:$G$170="moeda")+(Inputs!$G$5:$G$170="acoes"))*Inputs!$B$1+((Inputs!$G$5:$G$170&lt;&gt;"moeda")*(Inputs!$G$5:$G$170&lt;&gt;"acoes")))*INDEX(Inputs!$K$5:$AJ$170,0,MATCH(Q$2,Inputs!$K$4:$AJ$4,0)))))</f>
        <v>29.385</v>
      </c>
      <c r="R54" s="265">
        <f>SUM(N54:Q54)</f>
        <v>138.237</v>
      </c>
      <c r="S54" s="264">
        <f>IF(ISNA(MATCH(S$2,Inputs!$K$4:$AJ$4,0)),NA(),IF(SUMPRODUCT((Inputs!$A$5:$A$170=$B54)*ISNUMBER(INDEX(Inputs!$K$5:$AJ$170,0,MATCH(S$2,Inputs!$K$4:$AJ$4,0))))+SUMPRODUCT((Inputs!$C$5:$C$170=$B54)*ISNUMBER(INDEX(Inputs!$K$5:$AJ$170,0,MATCH(S$2,Inputs!$K$4:$AJ$4,0))))+SUMPRODUCT((Inputs!$E$5:$E$170=$B54)*ISNUMBER(INDEX(Inputs!$K$5:$AJ$170,0,MATCH(S$2,Inputs!$K$4:$AJ$4,0))))=0,NA(),SUMPRODUCT((Inputs!$A$5:$A$170=$B54)*Inputs!$B$5:$B$170*(((Inputs!$G$5:$G$170="moeda")+(Inputs!$G$5:$G$170="acoes"))*Inputs!$B$1+((Inputs!$G$5:$G$170&lt;&gt;"moeda")*(Inputs!$G$5:$G$170&lt;&gt;"acoes")))*INDEX(Inputs!$K$5:$AJ$170,0,MATCH(S$2,Inputs!$K$4:$AJ$4,0)))+SUMPRODUCT((Inputs!$C$5:$C$170=$B54)*Inputs!$D$5:$D$170*(((Inputs!$G$5:$G$170="moeda")+(Inputs!$G$5:$G$170="acoes"))*Inputs!$B$1+((Inputs!$G$5:$G$170&lt;&gt;"moeda")*(Inputs!$G$5:$G$170&lt;&gt;"acoes")))*INDEX(Inputs!$K$5:$AJ$170,0,MATCH(S$2,Inputs!$K$4:$AJ$4,0)))+SUMPRODUCT((Inputs!$E$5:$E$170=$B54)*Inputs!$F$5:$F$170*(((Inputs!$G$5:$G$170="moeda")+(Inputs!$G$5:$G$170="acoes"))*Inputs!$B$1+((Inputs!$G$5:$G$170&lt;&gt;"moeda")*(Inputs!$G$5:$G$170&lt;&gt;"acoes")))*INDEX(Inputs!$K$5:$AJ$170,0,MATCH(S$2,Inputs!$K$4:$AJ$4,0)))))</f>
        <v>23.047</v>
      </c>
      <c r="T54" s="264">
        <f>IF(ISNA(MATCH(T$2,Inputs!$K$4:$AJ$4,0)),NA(),IF(SUMPRODUCT((Inputs!$A$5:$A$170=$B54)*ISNUMBER(INDEX(Inputs!$K$5:$AJ$170,0,MATCH(T$2,Inputs!$K$4:$AJ$4,0))))+SUMPRODUCT((Inputs!$C$5:$C$170=$B54)*ISNUMBER(INDEX(Inputs!$K$5:$AJ$170,0,MATCH(T$2,Inputs!$K$4:$AJ$4,0))))+SUMPRODUCT((Inputs!$E$5:$E$170=$B54)*ISNUMBER(INDEX(Inputs!$K$5:$AJ$170,0,MATCH(T$2,Inputs!$K$4:$AJ$4,0))))=0,NA(),SUMPRODUCT((Inputs!$A$5:$A$170=$B54)*Inputs!$B$5:$B$170*(((Inputs!$G$5:$G$170="moeda")+(Inputs!$G$5:$G$170="acoes"))*Inputs!$B$1+((Inputs!$G$5:$G$170&lt;&gt;"moeda")*(Inputs!$G$5:$G$170&lt;&gt;"acoes")))*INDEX(Inputs!$K$5:$AJ$170,0,MATCH(T$2,Inputs!$K$4:$AJ$4,0)))+SUMPRODUCT((Inputs!$C$5:$C$170=$B54)*Inputs!$D$5:$D$170*(((Inputs!$G$5:$G$170="moeda")+(Inputs!$G$5:$G$170="acoes"))*Inputs!$B$1+((Inputs!$G$5:$G$170&lt;&gt;"moeda")*(Inputs!$G$5:$G$170&lt;&gt;"acoes")))*INDEX(Inputs!$K$5:$AJ$170,0,MATCH(T$2,Inputs!$K$4:$AJ$4,0)))+SUMPRODUCT((Inputs!$E$5:$E$170=$B54)*Inputs!$F$5:$F$170*(((Inputs!$G$5:$G$170="moeda")+(Inputs!$G$5:$G$170="acoes"))*Inputs!$B$1+((Inputs!$G$5:$G$170&lt;&gt;"moeda")*(Inputs!$G$5:$G$170&lt;&gt;"acoes")))*INDEX(Inputs!$K$5:$AJ$170,0,MATCH(T$2,Inputs!$K$4:$AJ$4,0)))))</f>
        <v>43.533</v>
      </c>
      <c r="U54" s="264">
        <f>IF(ISNA(MATCH(U$2,Inputs!$K$4:$AJ$4,0)),NA(),IF(SUMPRODUCT((Inputs!$A$5:$A$170=$B54)*ISNUMBER(INDEX(Inputs!$K$5:$AJ$170,0,MATCH(U$2,Inputs!$K$4:$AJ$4,0))))+SUMPRODUCT((Inputs!$C$5:$C$170=$B54)*ISNUMBER(INDEX(Inputs!$K$5:$AJ$170,0,MATCH(U$2,Inputs!$K$4:$AJ$4,0))))+SUMPRODUCT((Inputs!$E$5:$E$170=$B54)*ISNUMBER(INDEX(Inputs!$K$5:$AJ$170,0,MATCH(U$2,Inputs!$K$4:$AJ$4,0))))=0,NA(),SUMPRODUCT((Inputs!$A$5:$A$170=$B54)*Inputs!$B$5:$B$170*(((Inputs!$G$5:$G$170="moeda")+(Inputs!$G$5:$G$170="acoes"))*Inputs!$B$1+((Inputs!$G$5:$G$170&lt;&gt;"moeda")*(Inputs!$G$5:$G$170&lt;&gt;"acoes")))*INDEX(Inputs!$K$5:$AJ$170,0,MATCH(U$2,Inputs!$K$4:$AJ$4,0)))+SUMPRODUCT((Inputs!$C$5:$C$170=$B54)*Inputs!$D$5:$D$170*(((Inputs!$G$5:$G$170="moeda")+(Inputs!$G$5:$G$170="acoes"))*Inputs!$B$1+((Inputs!$G$5:$G$170&lt;&gt;"moeda")*(Inputs!$G$5:$G$170&lt;&gt;"acoes")))*INDEX(Inputs!$K$5:$AJ$170,0,MATCH(U$2,Inputs!$K$4:$AJ$4,0)))+SUMPRODUCT((Inputs!$E$5:$E$170=$B54)*Inputs!$F$5:$F$170*(((Inputs!$G$5:$G$170="moeda")+(Inputs!$G$5:$G$170="acoes"))*Inputs!$B$1+((Inputs!$G$5:$G$170&lt;&gt;"moeda")*(Inputs!$G$5:$G$170&lt;&gt;"acoes")))*INDEX(Inputs!$K$5:$AJ$170,0,MATCH(U$2,Inputs!$K$4:$AJ$4,0)))))</f>
        <v>90.502</v>
      </c>
      <c r="V54" s="264">
        <f>IF(ISNA(MATCH(V$2,Inputs!$K$4:$AJ$4,0)),NA(),IF(SUMPRODUCT((Inputs!$A$5:$A$170=$B54)*ISNUMBER(INDEX(Inputs!$K$5:$AJ$170,0,MATCH(V$2,Inputs!$K$4:$AJ$4,0))))+SUMPRODUCT((Inputs!$C$5:$C$170=$B54)*ISNUMBER(INDEX(Inputs!$K$5:$AJ$170,0,MATCH(V$2,Inputs!$K$4:$AJ$4,0))))+SUMPRODUCT((Inputs!$E$5:$E$170=$B54)*ISNUMBER(INDEX(Inputs!$K$5:$AJ$170,0,MATCH(V$2,Inputs!$K$4:$AJ$4,0))))=0,NA(),SUMPRODUCT((Inputs!$A$5:$A$170=$B54)*Inputs!$B$5:$B$170*(((Inputs!$G$5:$G$170="moeda")+(Inputs!$G$5:$G$170="acoes"))*Inputs!$B$1+((Inputs!$G$5:$G$170&lt;&gt;"moeda")*(Inputs!$G$5:$G$170&lt;&gt;"acoes")))*INDEX(Inputs!$K$5:$AJ$170,0,MATCH(V$2,Inputs!$K$4:$AJ$4,0)))+SUMPRODUCT((Inputs!$C$5:$C$170=$B54)*Inputs!$D$5:$D$170*(((Inputs!$G$5:$G$170="moeda")+(Inputs!$G$5:$G$170="acoes"))*Inputs!$B$1+((Inputs!$G$5:$G$170&lt;&gt;"moeda")*(Inputs!$G$5:$G$170&lt;&gt;"acoes")))*INDEX(Inputs!$K$5:$AJ$170,0,MATCH(V$2,Inputs!$K$4:$AJ$4,0)))+SUMPRODUCT((Inputs!$E$5:$E$170=$B54)*Inputs!$F$5:$F$170*(((Inputs!$G$5:$G$170="moeda")+(Inputs!$G$5:$G$170="acoes"))*Inputs!$B$1+((Inputs!$G$5:$G$170&lt;&gt;"moeda")*(Inputs!$G$5:$G$170&lt;&gt;"acoes")))*INDEX(Inputs!$K$5:$AJ$170,0,MATCH(V$2,Inputs!$K$4:$AJ$4,0)))))</f>
        <v>39.179</v>
      </c>
      <c r="W54" s="265">
        <f>SUM(S54:V54)</f>
        <v>196.261</v>
      </c>
      <c r="X54" s="264">
        <f>IF(ISNA(MATCH(X$2,Inputs!$K$4:$AJ$4,0)),NA(),IF(SUMPRODUCT((Inputs!$A$5:$A$170=$B54)*ISNUMBER(INDEX(Inputs!$K$5:$AJ$170,0,MATCH(X$2,Inputs!$K$4:$AJ$4,0))))+SUMPRODUCT((Inputs!$C$5:$C$170=$B54)*ISNUMBER(INDEX(Inputs!$K$5:$AJ$170,0,MATCH(X$2,Inputs!$K$4:$AJ$4,0))))+SUMPRODUCT((Inputs!$E$5:$E$170=$B54)*ISNUMBER(INDEX(Inputs!$K$5:$AJ$170,0,MATCH(X$2,Inputs!$K$4:$AJ$4,0))))=0,NA(),SUMPRODUCT((Inputs!$A$5:$A$170=$B54)*Inputs!$B$5:$B$170*(((Inputs!$G$5:$G$170="moeda")+(Inputs!$G$5:$G$170="acoes"))*Inputs!$B$1+((Inputs!$G$5:$G$170&lt;&gt;"moeda")*(Inputs!$G$5:$G$170&lt;&gt;"acoes")))*INDEX(Inputs!$K$5:$AJ$170,0,MATCH(X$2,Inputs!$K$4:$AJ$4,0)))+SUMPRODUCT((Inputs!$C$5:$C$170=$B54)*Inputs!$D$5:$D$170*(((Inputs!$G$5:$G$170="moeda")+(Inputs!$G$5:$G$170="acoes"))*Inputs!$B$1+((Inputs!$G$5:$G$170&lt;&gt;"moeda")*(Inputs!$G$5:$G$170&lt;&gt;"acoes")))*INDEX(Inputs!$K$5:$AJ$170,0,MATCH(X$2,Inputs!$K$4:$AJ$4,0)))+SUMPRODUCT((Inputs!$E$5:$E$170=$B54)*Inputs!$F$5:$F$170*(((Inputs!$G$5:$G$170="moeda")+(Inputs!$G$5:$G$170="acoes"))*Inputs!$B$1+((Inputs!$G$5:$G$170&lt;&gt;"moeda")*(Inputs!$G$5:$G$170&lt;&gt;"acoes")))*INDEX(Inputs!$K$5:$AJ$170,0,MATCH(X$2,Inputs!$K$4:$AJ$4,0)))))</f>
        <v>26.343</v>
      </c>
      <c r="Y54" s="264">
        <f>IF(ISNA(MATCH(Y$2,Inputs!$K$4:$AJ$4,0)),NA(),IF(SUMPRODUCT((Inputs!$A$5:$A$170=$B54)*ISNUMBER(INDEX(Inputs!$K$5:$AJ$170,0,MATCH(Y$2,Inputs!$K$4:$AJ$4,0))))+SUMPRODUCT((Inputs!$C$5:$C$170=$B54)*ISNUMBER(INDEX(Inputs!$K$5:$AJ$170,0,MATCH(Y$2,Inputs!$K$4:$AJ$4,0))))+SUMPRODUCT((Inputs!$E$5:$E$170=$B54)*ISNUMBER(INDEX(Inputs!$K$5:$AJ$170,0,MATCH(Y$2,Inputs!$K$4:$AJ$4,0))))=0,NA(),SUMPRODUCT((Inputs!$A$5:$A$170=$B54)*Inputs!$B$5:$B$170*(((Inputs!$G$5:$G$170="moeda")+(Inputs!$G$5:$G$170="acoes"))*Inputs!$B$1+((Inputs!$G$5:$G$170&lt;&gt;"moeda")*(Inputs!$G$5:$G$170&lt;&gt;"acoes")))*INDEX(Inputs!$K$5:$AJ$170,0,MATCH(Y$2,Inputs!$K$4:$AJ$4,0)))+SUMPRODUCT((Inputs!$C$5:$C$170=$B54)*Inputs!$D$5:$D$170*(((Inputs!$G$5:$G$170="moeda")+(Inputs!$G$5:$G$170="acoes"))*Inputs!$B$1+((Inputs!$G$5:$G$170&lt;&gt;"moeda")*(Inputs!$G$5:$G$170&lt;&gt;"acoes")))*INDEX(Inputs!$K$5:$AJ$170,0,MATCH(Y$2,Inputs!$K$4:$AJ$4,0)))+SUMPRODUCT((Inputs!$E$5:$E$170=$B54)*Inputs!$F$5:$F$170*(((Inputs!$G$5:$G$170="moeda")+(Inputs!$G$5:$G$170="acoes"))*Inputs!$B$1+((Inputs!$G$5:$G$170&lt;&gt;"moeda")*(Inputs!$G$5:$G$170&lt;&gt;"acoes")))*INDEX(Inputs!$K$5:$AJ$170,0,MATCH(Y$2,Inputs!$K$4:$AJ$4,0)))))</f>
        <v>53.453</v>
      </c>
      <c r="Z54" s="264">
        <f>IF(ISNA(MATCH(Z$2,Inputs!$K$4:$AJ$4,0)),NA(),IF(SUMPRODUCT((Inputs!$A$5:$A$170=$B54)*ISNUMBER(INDEX(Inputs!$K$5:$AJ$170,0,MATCH(Z$2,Inputs!$K$4:$AJ$4,0))))+SUMPRODUCT((Inputs!$C$5:$C$170=$B54)*ISNUMBER(INDEX(Inputs!$K$5:$AJ$170,0,MATCH(Z$2,Inputs!$K$4:$AJ$4,0))))+SUMPRODUCT((Inputs!$E$5:$E$170=$B54)*ISNUMBER(INDEX(Inputs!$K$5:$AJ$170,0,MATCH(Z$2,Inputs!$K$4:$AJ$4,0))))=0,NA(),SUMPRODUCT((Inputs!$A$5:$A$170=$B54)*Inputs!$B$5:$B$170*(((Inputs!$G$5:$G$170="moeda")+(Inputs!$G$5:$G$170="acoes"))*Inputs!$B$1+((Inputs!$G$5:$G$170&lt;&gt;"moeda")*(Inputs!$G$5:$G$170&lt;&gt;"acoes")))*INDEX(Inputs!$K$5:$AJ$170,0,MATCH(Z$2,Inputs!$K$4:$AJ$4,0)))+SUMPRODUCT((Inputs!$C$5:$C$170=$B54)*Inputs!$D$5:$D$170*(((Inputs!$G$5:$G$170="moeda")+(Inputs!$G$5:$G$170="acoes"))*Inputs!$B$1+((Inputs!$G$5:$G$170&lt;&gt;"moeda")*(Inputs!$G$5:$G$170&lt;&gt;"acoes")))*INDEX(Inputs!$K$5:$AJ$170,0,MATCH(Z$2,Inputs!$K$4:$AJ$4,0)))+SUMPRODUCT((Inputs!$E$5:$E$170=$B54)*Inputs!$F$5:$F$170*(((Inputs!$G$5:$G$170="moeda")+(Inputs!$G$5:$G$170="acoes"))*Inputs!$B$1+((Inputs!$G$5:$G$170&lt;&gt;"moeda")*(Inputs!$G$5:$G$170&lt;&gt;"acoes")))*INDEX(Inputs!$K$5:$AJ$170,0,MATCH(Z$2,Inputs!$K$4:$AJ$4,0)))))</f>
        <v>103.339</v>
      </c>
      <c r="AA54" s="264">
        <f>IF(ISNA(MATCH(AA$2,Inputs!$K$4:$AJ$4,0)),NA(),IF(SUMPRODUCT((Inputs!$A$5:$A$170=$B54)*ISNUMBER(INDEX(Inputs!$K$5:$AJ$170,0,MATCH(AA$2,Inputs!$K$4:$AJ$4,0))))+SUMPRODUCT((Inputs!$C$5:$C$170=$B54)*ISNUMBER(INDEX(Inputs!$K$5:$AJ$170,0,MATCH(AA$2,Inputs!$K$4:$AJ$4,0))))+SUMPRODUCT((Inputs!$E$5:$E$170=$B54)*ISNUMBER(INDEX(Inputs!$K$5:$AJ$170,0,MATCH(AA$2,Inputs!$K$4:$AJ$4,0))))=0,NA(),SUMPRODUCT((Inputs!$A$5:$A$170=$B54)*Inputs!$B$5:$B$170*(((Inputs!$G$5:$G$170="moeda")+(Inputs!$G$5:$G$170="acoes"))*Inputs!$B$1+((Inputs!$G$5:$G$170&lt;&gt;"moeda")*(Inputs!$G$5:$G$170&lt;&gt;"acoes")))*INDEX(Inputs!$K$5:$AJ$170,0,MATCH(AA$2,Inputs!$K$4:$AJ$4,0)))+SUMPRODUCT((Inputs!$C$5:$C$170=$B54)*Inputs!$D$5:$D$170*(((Inputs!$G$5:$G$170="moeda")+(Inputs!$G$5:$G$170="acoes"))*Inputs!$B$1+((Inputs!$G$5:$G$170&lt;&gt;"moeda")*(Inputs!$G$5:$G$170&lt;&gt;"acoes")))*INDEX(Inputs!$K$5:$AJ$170,0,MATCH(AA$2,Inputs!$K$4:$AJ$4,0)))+SUMPRODUCT((Inputs!$E$5:$E$170=$B54)*Inputs!$F$5:$F$170*(((Inputs!$G$5:$G$170="moeda")+(Inputs!$G$5:$G$170="acoes"))*Inputs!$B$1+((Inputs!$G$5:$G$170&lt;&gt;"moeda")*(Inputs!$G$5:$G$170&lt;&gt;"acoes")))*INDEX(Inputs!$K$5:$AJ$170,0,MATCH(AA$2,Inputs!$K$4:$AJ$4,0)))))</f>
        <v>43.91676634</v>
      </c>
      <c r="AB54" s="265">
        <f>SUM(X54:AA54)</f>
        <v>227.05176634</v>
      </c>
      <c r="AC54" s="264">
        <f>IF(ISNA(MATCH(AC$2,Inputs!$K$4:$AJ$4,0)),NA(),IF(SUMPRODUCT((Inputs!$A$5:$A$170=$B54)*ISNUMBER(INDEX(Inputs!$K$5:$AJ$170,0,MATCH(AC$2,Inputs!$K$4:$AJ$4,0))))+SUMPRODUCT((Inputs!$C$5:$C$170=$B54)*ISNUMBER(INDEX(Inputs!$K$5:$AJ$170,0,MATCH(AC$2,Inputs!$K$4:$AJ$4,0))))+SUMPRODUCT((Inputs!$E$5:$E$170=$B54)*ISNUMBER(INDEX(Inputs!$K$5:$AJ$170,0,MATCH(AC$2,Inputs!$K$4:$AJ$4,0))))=0,NA(),SUMPRODUCT((Inputs!$A$5:$A$170=$B54)*Inputs!$B$5:$B$170*(((Inputs!$G$5:$G$170="moeda")+(Inputs!$G$5:$G$170="acoes"))*Inputs!$B$1+((Inputs!$G$5:$G$170&lt;&gt;"moeda")*(Inputs!$G$5:$G$170&lt;&gt;"acoes")))*INDEX(Inputs!$K$5:$AJ$170,0,MATCH(AC$2,Inputs!$K$4:$AJ$4,0)))+SUMPRODUCT((Inputs!$C$5:$C$170=$B54)*Inputs!$D$5:$D$170*(((Inputs!$G$5:$G$170="moeda")+(Inputs!$G$5:$G$170="acoes"))*Inputs!$B$1+((Inputs!$G$5:$G$170&lt;&gt;"moeda")*(Inputs!$G$5:$G$170&lt;&gt;"acoes")))*INDEX(Inputs!$K$5:$AJ$170,0,MATCH(AC$2,Inputs!$K$4:$AJ$4,0)))+SUMPRODUCT((Inputs!$E$5:$E$170=$B54)*Inputs!$F$5:$F$170*(((Inputs!$G$5:$G$170="moeda")+(Inputs!$G$5:$G$170="acoes"))*Inputs!$B$1+((Inputs!$G$5:$G$170&lt;&gt;"moeda")*(Inputs!$G$5:$G$170&lt;&gt;"acoes")))*INDEX(Inputs!$K$5:$AJ$170,0,MATCH(AC$2,Inputs!$K$4:$AJ$4,0)))))</f>
        <v>27.88744168</v>
      </c>
      <c r="AD54" s="264">
        <f>IF(ISNA(MATCH(AD$2,Inputs!$K$4:$AJ$4,0)),NA(),IF(SUMPRODUCT((Inputs!$A$5:$A$170=$B54)*ISNUMBER(INDEX(Inputs!$K$5:$AJ$170,0,MATCH(AD$2,Inputs!$K$4:$AJ$4,0))))+SUMPRODUCT((Inputs!$C$5:$C$170=$B54)*ISNUMBER(INDEX(Inputs!$K$5:$AJ$170,0,MATCH(AD$2,Inputs!$K$4:$AJ$4,0))))+SUMPRODUCT((Inputs!$E$5:$E$170=$B54)*ISNUMBER(INDEX(Inputs!$K$5:$AJ$170,0,MATCH(AD$2,Inputs!$K$4:$AJ$4,0))))=0,NA(),SUMPRODUCT((Inputs!$A$5:$A$170=$B54)*Inputs!$B$5:$B$170*(((Inputs!$G$5:$G$170="moeda")+(Inputs!$G$5:$G$170="acoes"))*Inputs!$B$1+((Inputs!$G$5:$G$170&lt;&gt;"moeda")*(Inputs!$G$5:$G$170&lt;&gt;"acoes")))*INDEX(Inputs!$K$5:$AJ$170,0,MATCH(AD$2,Inputs!$K$4:$AJ$4,0)))+SUMPRODUCT((Inputs!$C$5:$C$170=$B54)*Inputs!$D$5:$D$170*(((Inputs!$G$5:$G$170="moeda")+(Inputs!$G$5:$G$170="acoes"))*Inputs!$B$1+((Inputs!$G$5:$G$170&lt;&gt;"moeda")*(Inputs!$G$5:$G$170&lt;&gt;"acoes")))*INDEX(Inputs!$K$5:$AJ$170,0,MATCH(AD$2,Inputs!$K$4:$AJ$4,0)))+SUMPRODUCT((Inputs!$E$5:$E$170=$B54)*Inputs!$F$5:$F$170*(((Inputs!$G$5:$G$170="moeda")+(Inputs!$G$5:$G$170="acoes"))*Inputs!$B$1+((Inputs!$G$5:$G$170&lt;&gt;"moeda")*(Inputs!$G$5:$G$170&lt;&gt;"acoes")))*INDEX(Inputs!$K$5:$AJ$170,0,MATCH(AD$2,Inputs!$K$4:$AJ$4,0)))))</f>
        <v>45.85325813</v>
      </c>
      <c r="AE54" s="264" t="e">
        <f>IF(ISNA(MATCH(AE$2,Inputs!$K$4:$AJ$4,0)),NA(),IF(SUMPRODUCT((Inputs!$A$5:$A$170=$B54)*ISNUMBER(INDEX(Inputs!$K$5:$AJ$170,0,MATCH(AE$2,Inputs!$K$4:$AJ$4,0))))+SUMPRODUCT((Inputs!$C$5:$C$170=$B54)*ISNUMBER(INDEX(Inputs!$K$5:$AJ$170,0,MATCH(AE$2,Inputs!$K$4:$AJ$4,0))))+SUMPRODUCT((Inputs!$E$5:$E$170=$B54)*ISNUMBER(INDEX(Inputs!$K$5:$AJ$170,0,MATCH(AE$2,Inputs!$K$4:$AJ$4,0))))=0,NA(),SUMPRODUCT((Inputs!$A$5:$A$170=$B54)*Inputs!$B$5:$B$170*(((Inputs!$G$5:$G$170="moeda")+(Inputs!$G$5:$G$170="acoes"))*Inputs!$B$1+((Inputs!$G$5:$G$170&lt;&gt;"moeda")*(Inputs!$G$5:$G$170&lt;&gt;"acoes")))*INDEX(Inputs!$K$5:$AJ$170,0,MATCH(AE$2,Inputs!$K$4:$AJ$4,0)))+SUMPRODUCT((Inputs!$C$5:$C$170=$B54)*Inputs!$D$5:$D$170*(((Inputs!$G$5:$G$170="moeda")+(Inputs!$G$5:$G$170="acoes"))*Inputs!$B$1+((Inputs!$G$5:$G$170&lt;&gt;"moeda")*(Inputs!$G$5:$G$170&lt;&gt;"acoes")))*INDEX(Inputs!$K$5:$AJ$170,0,MATCH(AE$2,Inputs!$K$4:$AJ$4,0)))+SUMPRODUCT((Inputs!$E$5:$E$170=$B54)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4" s="264" t="e">
        <f>IF(ISNA(MATCH(AF$2,Inputs!$K$4:$AJ$4,0)),NA(),IF(SUMPRODUCT((Inputs!$A$5:$A$170=$B54)*ISNUMBER(INDEX(Inputs!$K$5:$AJ$170,0,MATCH(AF$2,Inputs!$K$4:$AJ$4,0))))+SUMPRODUCT((Inputs!$C$5:$C$170=$B54)*ISNUMBER(INDEX(Inputs!$K$5:$AJ$170,0,MATCH(AF$2,Inputs!$K$4:$AJ$4,0))))+SUMPRODUCT((Inputs!$E$5:$E$170=$B54)*ISNUMBER(INDEX(Inputs!$K$5:$AJ$170,0,MATCH(AF$2,Inputs!$K$4:$AJ$4,0))))=0,NA(),SUMPRODUCT((Inputs!$A$5:$A$170=$B54)*Inputs!$B$5:$B$170*(((Inputs!$G$5:$G$170="moeda")+(Inputs!$G$5:$G$170="acoes"))*Inputs!$B$1+((Inputs!$G$5:$G$170&lt;&gt;"moeda")*(Inputs!$G$5:$G$170&lt;&gt;"acoes")))*INDEX(Inputs!$K$5:$AJ$170,0,MATCH(AF$2,Inputs!$K$4:$AJ$4,0)))+SUMPRODUCT((Inputs!$C$5:$C$170=$B54)*Inputs!$D$5:$D$170*(((Inputs!$G$5:$G$170="moeda")+(Inputs!$G$5:$G$170="acoes"))*Inputs!$B$1+((Inputs!$G$5:$G$170&lt;&gt;"moeda")*(Inputs!$G$5:$G$170&lt;&gt;"acoes")))*INDEX(Inputs!$K$5:$AJ$170,0,MATCH(AF$2,Inputs!$K$4:$AJ$4,0)))+SUMPRODUCT((Inputs!$E$5:$E$170=$B54)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4" s="265" t="e">
        <f>SUM(AC54:AF54)</f>
        <v>#N/A</v>
      </c>
      <c r="AH54" s="264">
        <f>IF(ISNA(MATCH(AH$2,Inputs!$K$4:$AJ$4,0)),NA(),IF(SUMPRODUCT((Inputs!$A$5:$A$170=$B54)*ISNUMBER(INDEX(Inputs!$K$5:$AJ$170,0,MATCH(AH$2,Inputs!$K$4:$AJ$4,0))))+SUMPRODUCT((Inputs!$C$5:$C$170=$B54)*ISNUMBER(INDEX(Inputs!$K$5:$AJ$170,0,MATCH(AH$2,Inputs!$K$4:$AJ$4,0))))+SUMPRODUCT((Inputs!$E$5:$E$170=$B54)*ISNUMBER(INDEX(Inputs!$K$5:$AJ$170,0,MATCH(AH$2,Inputs!$K$4:$AJ$4,0))))=0,NA(),SUMPRODUCT((Inputs!$A$5:$A$170=$B54)*Inputs!$B$5:$B$170*(((Inputs!$G$5:$G$170="moeda")+(Inputs!$G$5:$G$170="acoes"))*Inputs!$B$1+((Inputs!$G$5:$G$170&lt;&gt;"moeda")*(Inputs!$G$5:$G$170&lt;&gt;"acoes")))*INDEX(Inputs!$K$5:$AJ$170,0,MATCH(AH$2,Inputs!$K$4:$AJ$4,0)))+SUMPRODUCT((Inputs!$C$5:$C$170=$B54)*Inputs!$D$5:$D$170*(((Inputs!$G$5:$G$170="moeda")+(Inputs!$G$5:$G$170="acoes"))*Inputs!$B$1+((Inputs!$G$5:$G$170&lt;&gt;"moeda")*(Inputs!$G$5:$G$170&lt;&gt;"acoes")))*INDEX(Inputs!$K$5:$AJ$170,0,MATCH(AH$2,Inputs!$K$4:$AJ$4,0)))+SUMPRODUCT((Inputs!$E$5:$E$170=$B54)*Inputs!$F$5:$F$170*(((Inputs!$G$5:$G$170="moeda")+(Inputs!$G$5:$G$170="acoes"))*Inputs!$B$1+((Inputs!$G$5:$G$170&lt;&gt;"moeda")*(Inputs!$G$5:$G$170&lt;&gt;"acoes")))*INDEX(Inputs!$K$5:$AJ$170,0,MATCH(AH$2,Inputs!$K$4:$AJ$4,0)))))</f>
        <v>0</v>
      </c>
      <c r="AI54" s="264">
        <f>IF(ISNA(MATCH(AI$2,Inputs!$K$4:$AJ$4,0)),NA(),IF(SUMPRODUCT((Inputs!$A$5:$A$170=$B54)*ISNUMBER(INDEX(Inputs!$K$5:$AJ$170,0,MATCH(AI$2,Inputs!$K$4:$AJ$4,0))))+SUMPRODUCT((Inputs!$C$5:$C$170=$B54)*ISNUMBER(INDEX(Inputs!$K$5:$AJ$170,0,MATCH(AI$2,Inputs!$K$4:$AJ$4,0))))+SUMPRODUCT((Inputs!$E$5:$E$170=$B54)*ISNUMBER(INDEX(Inputs!$K$5:$AJ$170,0,MATCH(AI$2,Inputs!$K$4:$AJ$4,0))))=0,NA(),SUMPRODUCT((Inputs!$A$5:$A$170=$B54)*Inputs!$B$5:$B$170*(((Inputs!$G$5:$G$170="moeda")+(Inputs!$G$5:$G$170="acoes"))*Inputs!$B$1+((Inputs!$G$5:$G$170&lt;&gt;"moeda")*(Inputs!$G$5:$G$170&lt;&gt;"acoes")))*INDEX(Inputs!$K$5:$AJ$170,0,MATCH(AI$2,Inputs!$K$4:$AJ$4,0)))+SUMPRODUCT((Inputs!$C$5:$C$170=$B54)*Inputs!$D$5:$D$170*(((Inputs!$G$5:$G$170="moeda")+(Inputs!$G$5:$G$170="acoes"))*Inputs!$B$1+((Inputs!$G$5:$G$170&lt;&gt;"moeda")*(Inputs!$G$5:$G$170&lt;&gt;"acoes")))*INDEX(Inputs!$K$5:$AJ$170,0,MATCH(AI$2,Inputs!$K$4:$AJ$4,0)))+SUMPRODUCT((Inputs!$E$5:$E$170=$B54)*Inputs!$F$5:$F$170*(((Inputs!$G$5:$G$170="moeda")+(Inputs!$G$5:$G$170="acoes"))*Inputs!$B$1+((Inputs!$G$5:$G$170&lt;&gt;"moeda")*(Inputs!$G$5:$G$170&lt;&gt;"acoes")))*INDEX(Inputs!$K$5:$AJ$170,0,MATCH(AI$2,Inputs!$K$4:$AJ$4,0)))))</f>
        <v>0</v>
      </c>
      <c r="AJ54" s="264">
        <f>IF(ISNA(MATCH(AJ$2,Inputs!$K$4:$AJ$4,0)),NA(),IF(SUMPRODUCT((Inputs!$A$5:$A$170=$B54)*ISNUMBER(INDEX(Inputs!$K$5:$AJ$170,0,MATCH(AJ$2,Inputs!$K$4:$AJ$4,0))))+SUMPRODUCT((Inputs!$C$5:$C$170=$B54)*ISNUMBER(INDEX(Inputs!$K$5:$AJ$170,0,MATCH(AJ$2,Inputs!$K$4:$AJ$4,0))))+SUMPRODUCT((Inputs!$E$5:$E$170=$B54)*ISNUMBER(INDEX(Inputs!$K$5:$AJ$170,0,MATCH(AJ$2,Inputs!$K$4:$AJ$4,0))))=0,NA(),SUMPRODUCT((Inputs!$A$5:$A$170=$B54)*Inputs!$B$5:$B$170*(((Inputs!$G$5:$G$170="moeda")+(Inputs!$G$5:$G$170="acoes"))*Inputs!$B$1+((Inputs!$G$5:$G$170&lt;&gt;"moeda")*(Inputs!$G$5:$G$170&lt;&gt;"acoes")))*INDEX(Inputs!$K$5:$AJ$170,0,MATCH(AJ$2,Inputs!$K$4:$AJ$4,0)))+SUMPRODUCT((Inputs!$C$5:$C$170=$B54)*Inputs!$D$5:$D$170*(((Inputs!$G$5:$G$170="moeda")+(Inputs!$G$5:$G$170="acoes"))*Inputs!$B$1+((Inputs!$G$5:$G$170&lt;&gt;"moeda")*(Inputs!$G$5:$G$170&lt;&gt;"acoes")))*INDEX(Inputs!$K$5:$AJ$170,0,MATCH(AJ$2,Inputs!$K$4:$AJ$4,0)))+SUMPRODUCT((Inputs!$E$5:$E$170=$B54)*Inputs!$F$5:$F$170*(((Inputs!$G$5:$G$170="moeda")+(Inputs!$G$5:$G$170="acoes"))*Inputs!$B$1+((Inputs!$G$5:$G$170&lt;&gt;"moeda")*(Inputs!$G$5:$G$170&lt;&gt;"acoes")))*INDEX(Inputs!$K$5:$AJ$170,0,MATCH(AJ$2,Inputs!$K$4:$AJ$4,0)))))</f>
        <v>0</v>
      </c>
      <c r="AK54" s="264">
        <f>IF(ISNA(MATCH(AK$2,Inputs!$K$4:$AJ$4,0)),NA(),IF(SUMPRODUCT((Inputs!$A$5:$A$170=$B54)*ISNUMBER(INDEX(Inputs!$K$5:$AJ$170,0,MATCH(AK$2,Inputs!$K$4:$AJ$4,0))))+SUMPRODUCT((Inputs!$C$5:$C$170=$B54)*ISNUMBER(INDEX(Inputs!$K$5:$AJ$170,0,MATCH(AK$2,Inputs!$K$4:$AJ$4,0))))+SUMPRODUCT((Inputs!$E$5:$E$170=$B54)*ISNUMBER(INDEX(Inputs!$K$5:$AJ$170,0,MATCH(AK$2,Inputs!$K$4:$AJ$4,0))))=0,NA(),SUMPRODUCT((Inputs!$A$5:$A$170=$B54)*Inputs!$B$5:$B$170*(((Inputs!$G$5:$G$170="moeda")+(Inputs!$G$5:$G$170="acoes"))*Inputs!$B$1+((Inputs!$G$5:$G$170&lt;&gt;"moeda")*(Inputs!$G$5:$G$170&lt;&gt;"acoes")))*INDEX(Inputs!$K$5:$AJ$170,0,MATCH(AK$2,Inputs!$K$4:$AJ$4,0)))+SUMPRODUCT((Inputs!$C$5:$C$170=$B54)*Inputs!$D$5:$D$170*(((Inputs!$G$5:$G$170="moeda")+(Inputs!$G$5:$G$170="acoes"))*Inputs!$B$1+((Inputs!$G$5:$G$170&lt;&gt;"moeda")*(Inputs!$G$5:$G$170&lt;&gt;"acoes")))*INDEX(Inputs!$K$5:$AJ$170,0,MATCH(AK$2,Inputs!$K$4:$AJ$4,0)))+SUMPRODUCT((Inputs!$E$5:$E$170=$B54)*Inputs!$F$5:$F$170*(((Inputs!$G$5:$G$170="moeda")+(Inputs!$G$5:$G$170="acoes"))*Inputs!$B$1+((Inputs!$G$5:$G$170&lt;&gt;"moeda")*(Inputs!$G$5:$G$170&lt;&gt;"acoes")))*INDEX(Inputs!$K$5:$AJ$170,0,MATCH(AK$2,Inputs!$K$4:$AJ$4,0)))))</f>
        <v>0</v>
      </c>
      <c r="AL54" s="265">
        <f>SUM(AH54:AK54)</f>
        <v>0</v>
      </c>
    </row>
    <row r="55">
      <c r="B55" s="46" t="n">
        <v>47</v>
      </c>
      <c r="C55" s="29" t="inlineStr">
        <is>
          <t>Receita liquida GTF - gestao e terceirizacao de frotas (DRE l.68)</t>
        </is>
      </c>
      <c r="D55" s="264">
        <f>IF(ISNA(MATCH(D$2,Inputs!$K$4:$AJ$4,0)),NA(),IF(SUMPRODUCT((Inputs!$A$5:$A$170=$B55)*ISNUMBER(INDEX(Inputs!$K$5:$AJ$170,0,MATCH(D$2,Inputs!$K$4:$AJ$4,0))))+SUMPRODUCT((Inputs!$C$5:$C$170=$B55)*ISNUMBER(INDEX(Inputs!$K$5:$AJ$170,0,MATCH(D$2,Inputs!$K$4:$AJ$4,0))))+SUMPRODUCT((Inputs!$E$5:$E$170=$B55)*ISNUMBER(INDEX(Inputs!$K$5:$AJ$170,0,MATCH(D$2,Inputs!$K$4:$AJ$4,0))))=0,NA(),SUMPRODUCT((Inputs!$A$5:$A$170=$B55)*Inputs!$B$5:$B$170*(((Inputs!$G$5:$G$170="moeda")+(Inputs!$G$5:$G$170="acoes"))*Inputs!$B$1+((Inputs!$G$5:$G$170&lt;&gt;"moeda")*(Inputs!$G$5:$G$170&lt;&gt;"acoes")))*INDEX(Inputs!$K$5:$AJ$170,0,MATCH(D$2,Inputs!$K$4:$AJ$4,0)))+SUMPRODUCT((Inputs!$C$5:$C$170=$B55)*Inputs!$D$5:$D$170*(((Inputs!$G$5:$G$170="moeda")+(Inputs!$G$5:$G$170="acoes"))*Inputs!$B$1+((Inputs!$G$5:$G$170&lt;&gt;"moeda")*(Inputs!$G$5:$G$170&lt;&gt;"acoes")))*INDEX(Inputs!$K$5:$AJ$170,0,MATCH(D$2,Inputs!$K$4:$AJ$4,0)))+SUMPRODUCT((Inputs!$E$5:$E$170=$B55)*Inputs!$F$5:$F$170*(((Inputs!$G$5:$G$170="moeda")+(Inputs!$G$5:$G$170="acoes"))*Inputs!$B$1+((Inputs!$G$5:$G$170&lt;&gt;"moeda")*(Inputs!$G$5:$G$170&lt;&gt;"acoes")))*INDEX(Inputs!$K$5:$AJ$170,0,MATCH(D$2,Inputs!$K$4:$AJ$4,0)))))</f>
        <v>154.023</v>
      </c>
      <c r="E55" s="264">
        <f>IF(ISNA(MATCH(E$2,Inputs!$K$4:$AJ$4,0)),NA(),IF(SUMPRODUCT((Inputs!$A$5:$A$170=$B55)*ISNUMBER(INDEX(Inputs!$K$5:$AJ$170,0,MATCH(E$2,Inputs!$K$4:$AJ$4,0))))+SUMPRODUCT((Inputs!$C$5:$C$170=$B55)*ISNUMBER(INDEX(Inputs!$K$5:$AJ$170,0,MATCH(E$2,Inputs!$K$4:$AJ$4,0))))+SUMPRODUCT((Inputs!$E$5:$E$170=$B55)*ISNUMBER(INDEX(Inputs!$K$5:$AJ$170,0,MATCH(E$2,Inputs!$K$4:$AJ$4,0))))=0,NA(),SUMPRODUCT((Inputs!$A$5:$A$170=$B55)*Inputs!$B$5:$B$170*(((Inputs!$G$5:$G$170="moeda")+(Inputs!$G$5:$G$170="acoes"))*Inputs!$B$1+((Inputs!$G$5:$G$170&lt;&gt;"moeda")*(Inputs!$G$5:$G$170&lt;&gt;"acoes")))*INDEX(Inputs!$K$5:$AJ$170,0,MATCH(E$2,Inputs!$K$4:$AJ$4,0)))+SUMPRODUCT((Inputs!$C$5:$C$170=$B55)*Inputs!$D$5:$D$170*(((Inputs!$G$5:$G$170="moeda")+(Inputs!$G$5:$G$170="acoes"))*Inputs!$B$1+((Inputs!$G$5:$G$170&lt;&gt;"moeda")*(Inputs!$G$5:$G$170&lt;&gt;"acoes")))*INDEX(Inputs!$K$5:$AJ$170,0,MATCH(E$2,Inputs!$K$4:$AJ$4,0)))+SUMPRODUCT((Inputs!$E$5:$E$170=$B55)*Inputs!$F$5:$F$170*(((Inputs!$G$5:$G$170="moeda")+(Inputs!$G$5:$G$170="acoes"))*Inputs!$B$1+((Inputs!$G$5:$G$170&lt;&gt;"moeda")*(Inputs!$G$5:$G$170&lt;&gt;"acoes")))*INDEX(Inputs!$K$5:$AJ$170,0,MATCH(E$2,Inputs!$K$4:$AJ$4,0)))))</f>
        <v>183.574</v>
      </c>
      <c r="F55" s="264">
        <f>IF(ISNA(MATCH(F$2,Inputs!$K$4:$AJ$4,0)),NA(),IF(SUMPRODUCT((Inputs!$A$5:$A$170=$B55)*ISNUMBER(INDEX(Inputs!$K$5:$AJ$170,0,MATCH(F$2,Inputs!$K$4:$AJ$4,0))))+SUMPRODUCT((Inputs!$C$5:$C$170=$B55)*ISNUMBER(INDEX(Inputs!$K$5:$AJ$170,0,MATCH(F$2,Inputs!$K$4:$AJ$4,0))))+SUMPRODUCT((Inputs!$E$5:$E$170=$B55)*ISNUMBER(INDEX(Inputs!$K$5:$AJ$170,0,MATCH(F$2,Inputs!$K$4:$AJ$4,0))))=0,NA(),SUMPRODUCT((Inputs!$A$5:$A$170=$B55)*Inputs!$B$5:$B$170*(((Inputs!$G$5:$G$170="moeda")+(Inputs!$G$5:$G$170="acoes"))*Inputs!$B$1+((Inputs!$G$5:$G$170&lt;&gt;"moeda")*(Inputs!$G$5:$G$170&lt;&gt;"acoes")))*INDEX(Inputs!$K$5:$AJ$170,0,MATCH(F$2,Inputs!$K$4:$AJ$4,0)))+SUMPRODUCT((Inputs!$C$5:$C$170=$B55)*Inputs!$D$5:$D$170*(((Inputs!$G$5:$G$170="moeda")+(Inputs!$G$5:$G$170="acoes"))*Inputs!$B$1+((Inputs!$G$5:$G$170&lt;&gt;"moeda")*(Inputs!$G$5:$G$170&lt;&gt;"acoes")))*INDEX(Inputs!$K$5:$AJ$170,0,MATCH(F$2,Inputs!$K$4:$AJ$4,0)))+SUMPRODUCT((Inputs!$E$5:$E$170=$B55)*Inputs!$F$5:$F$170*(((Inputs!$G$5:$G$170="moeda")+(Inputs!$G$5:$G$170="acoes"))*Inputs!$B$1+((Inputs!$G$5:$G$170&lt;&gt;"moeda")*(Inputs!$G$5:$G$170&lt;&gt;"acoes")))*INDEX(Inputs!$K$5:$AJ$170,0,MATCH(F$2,Inputs!$K$4:$AJ$4,0)))))</f>
        <v>272.657</v>
      </c>
      <c r="G55" s="264">
        <f>IF(ISNA(MATCH(G$2,Inputs!$K$4:$AJ$4,0)),NA(),IF(SUMPRODUCT((Inputs!$A$5:$A$170=$B55)*ISNUMBER(INDEX(Inputs!$K$5:$AJ$170,0,MATCH(G$2,Inputs!$K$4:$AJ$4,0))))+SUMPRODUCT((Inputs!$C$5:$C$170=$B55)*ISNUMBER(INDEX(Inputs!$K$5:$AJ$170,0,MATCH(G$2,Inputs!$K$4:$AJ$4,0))))+SUMPRODUCT((Inputs!$E$5:$E$170=$B55)*ISNUMBER(INDEX(Inputs!$K$5:$AJ$170,0,MATCH(G$2,Inputs!$K$4:$AJ$4,0))))=0,NA(),SUMPRODUCT((Inputs!$A$5:$A$170=$B55)*Inputs!$B$5:$B$170*(((Inputs!$G$5:$G$170="moeda")+(Inputs!$G$5:$G$170="acoes"))*Inputs!$B$1+((Inputs!$G$5:$G$170&lt;&gt;"moeda")*(Inputs!$G$5:$G$170&lt;&gt;"acoes")))*INDEX(Inputs!$K$5:$AJ$170,0,MATCH(G$2,Inputs!$K$4:$AJ$4,0)))+SUMPRODUCT((Inputs!$C$5:$C$170=$B55)*Inputs!$D$5:$D$170*(((Inputs!$G$5:$G$170="moeda")+(Inputs!$G$5:$G$170="acoes"))*Inputs!$B$1+((Inputs!$G$5:$G$170&lt;&gt;"moeda")*(Inputs!$G$5:$G$170&lt;&gt;"acoes")))*INDEX(Inputs!$K$5:$AJ$170,0,MATCH(G$2,Inputs!$K$4:$AJ$4,0)))+SUMPRODUCT((Inputs!$E$5:$E$170=$B55)*Inputs!$F$5:$F$170*(((Inputs!$G$5:$G$170="moeda")+(Inputs!$G$5:$G$170="acoes"))*Inputs!$B$1+((Inputs!$G$5:$G$170&lt;&gt;"moeda")*(Inputs!$G$5:$G$170&lt;&gt;"acoes")))*INDEX(Inputs!$K$5:$AJ$170,0,MATCH(G$2,Inputs!$K$4:$AJ$4,0)))))</f>
        <v>357.38</v>
      </c>
      <c r="H55" s="265">
        <f>SUM(D55:G55)</f>
        <v>967.634</v>
      </c>
      <c r="I55" s="264">
        <f>IF(ISNA(MATCH(I$2,Inputs!$K$4:$AJ$4,0)),NA(),IF(SUMPRODUCT((Inputs!$A$5:$A$170=$B55)*ISNUMBER(INDEX(Inputs!$K$5:$AJ$170,0,MATCH(I$2,Inputs!$K$4:$AJ$4,0))))+SUMPRODUCT((Inputs!$C$5:$C$170=$B55)*ISNUMBER(INDEX(Inputs!$K$5:$AJ$170,0,MATCH(I$2,Inputs!$K$4:$AJ$4,0))))+SUMPRODUCT((Inputs!$E$5:$E$170=$B55)*ISNUMBER(INDEX(Inputs!$K$5:$AJ$170,0,MATCH(I$2,Inputs!$K$4:$AJ$4,0))))=0,NA(),SUMPRODUCT((Inputs!$A$5:$A$170=$B55)*Inputs!$B$5:$B$170*(((Inputs!$G$5:$G$170="moeda")+(Inputs!$G$5:$G$170="acoes"))*Inputs!$B$1+((Inputs!$G$5:$G$170&lt;&gt;"moeda")*(Inputs!$G$5:$G$170&lt;&gt;"acoes")))*INDEX(Inputs!$K$5:$AJ$170,0,MATCH(I$2,Inputs!$K$4:$AJ$4,0)))+SUMPRODUCT((Inputs!$C$5:$C$170=$B55)*Inputs!$D$5:$D$170*(((Inputs!$G$5:$G$170="moeda")+(Inputs!$G$5:$G$170="acoes"))*Inputs!$B$1+((Inputs!$G$5:$G$170&lt;&gt;"moeda")*(Inputs!$G$5:$G$170&lt;&gt;"acoes")))*INDEX(Inputs!$K$5:$AJ$170,0,MATCH(I$2,Inputs!$K$4:$AJ$4,0)))+SUMPRODUCT((Inputs!$E$5:$E$170=$B55)*Inputs!$F$5:$F$170*(((Inputs!$G$5:$G$170="moeda")+(Inputs!$G$5:$G$170="acoes"))*Inputs!$B$1+((Inputs!$G$5:$G$170&lt;&gt;"moeda")*(Inputs!$G$5:$G$170&lt;&gt;"acoes")))*INDEX(Inputs!$K$5:$AJ$170,0,MATCH(I$2,Inputs!$K$4:$AJ$4,0)))))</f>
        <v>379.203</v>
      </c>
      <c r="J55" s="264">
        <f>IF(ISNA(MATCH(J$2,Inputs!$K$4:$AJ$4,0)),NA(),IF(SUMPRODUCT((Inputs!$A$5:$A$170=$B55)*ISNUMBER(INDEX(Inputs!$K$5:$AJ$170,0,MATCH(J$2,Inputs!$K$4:$AJ$4,0))))+SUMPRODUCT((Inputs!$C$5:$C$170=$B55)*ISNUMBER(INDEX(Inputs!$K$5:$AJ$170,0,MATCH(J$2,Inputs!$K$4:$AJ$4,0))))+SUMPRODUCT((Inputs!$E$5:$E$170=$B55)*ISNUMBER(INDEX(Inputs!$K$5:$AJ$170,0,MATCH(J$2,Inputs!$K$4:$AJ$4,0))))=0,NA(),SUMPRODUCT((Inputs!$A$5:$A$170=$B55)*Inputs!$B$5:$B$170*(((Inputs!$G$5:$G$170="moeda")+(Inputs!$G$5:$G$170="acoes"))*Inputs!$B$1+((Inputs!$G$5:$G$170&lt;&gt;"moeda")*(Inputs!$G$5:$G$170&lt;&gt;"acoes")))*INDEX(Inputs!$K$5:$AJ$170,0,MATCH(J$2,Inputs!$K$4:$AJ$4,0)))+SUMPRODUCT((Inputs!$C$5:$C$170=$B55)*Inputs!$D$5:$D$170*(((Inputs!$G$5:$G$170="moeda")+(Inputs!$G$5:$G$170="acoes"))*Inputs!$B$1+((Inputs!$G$5:$G$170&lt;&gt;"moeda")*(Inputs!$G$5:$G$170&lt;&gt;"acoes")))*INDEX(Inputs!$K$5:$AJ$170,0,MATCH(J$2,Inputs!$K$4:$AJ$4,0)))+SUMPRODUCT((Inputs!$E$5:$E$170=$B55)*Inputs!$F$5:$F$170*(((Inputs!$G$5:$G$170="moeda")+(Inputs!$G$5:$G$170="acoes"))*Inputs!$B$1+((Inputs!$G$5:$G$170&lt;&gt;"moeda")*(Inputs!$G$5:$G$170&lt;&gt;"acoes")))*INDEX(Inputs!$K$5:$AJ$170,0,MATCH(J$2,Inputs!$K$4:$AJ$4,0)))))</f>
        <v>417.174</v>
      </c>
      <c r="K55" s="264">
        <f>IF(ISNA(MATCH(K$2,Inputs!$K$4:$AJ$4,0)),NA(),IF(SUMPRODUCT((Inputs!$A$5:$A$170=$B55)*ISNUMBER(INDEX(Inputs!$K$5:$AJ$170,0,MATCH(K$2,Inputs!$K$4:$AJ$4,0))))+SUMPRODUCT((Inputs!$C$5:$C$170=$B55)*ISNUMBER(INDEX(Inputs!$K$5:$AJ$170,0,MATCH(K$2,Inputs!$K$4:$AJ$4,0))))+SUMPRODUCT((Inputs!$E$5:$E$170=$B55)*ISNUMBER(INDEX(Inputs!$K$5:$AJ$170,0,MATCH(K$2,Inputs!$K$4:$AJ$4,0))))=0,NA(),SUMPRODUCT((Inputs!$A$5:$A$170=$B55)*Inputs!$B$5:$B$170*(((Inputs!$G$5:$G$170="moeda")+(Inputs!$G$5:$G$170="acoes"))*Inputs!$B$1+((Inputs!$G$5:$G$170&lt;&gt;"moeda")*(Inputs!$G$5:$G$170&lt;&gt;"acoes")))*INDEX(Inputs!$K$5:$AJ$170,0,MATCH(K$2,Inputs!$K$4:$AJ$4,0)))+SUMPRODUCT((Inputs!$C$5:$C$170=$B55)*Inputs!$D$5:$D$170*(((Inputs!$G$5:$G$170="moeda")+(Inputs!$G$5:$G$170="acoes"))*Inputs!$B$1+((Inputs!$G$5:$G$170&lt;&gt;"moeda")*(Inputs!$G$5:$G$170&lt;&gt;"acoes")))*INDEX(Inputs!$K$5:$AJ$170,0,MATCH(K$2,Inputs!$K$4:$AJ$4,0)))+SUMPRODUCT((Inputs!$E$5:$E$170=$B55)*Inputs!$F$5:$F$170*(((Inputs!$G$5:$G$170="moeda")+(Inputs!$G$5:$G$170="acoes"))*Inputs!$B$1+((Inputs!$G$5:$G$170&lt;&gt;"moeda")*(Inputs!$G$5:$G$170&lt;&gt;"acoes")))*INDEX(Inputs!$K$5:$AJ$170,0,MATCH(K$2,Inputs!$K$4:$AJ$4,0)))))</f>
        <v>451.078</v>
      </c>
      <c r="L55" s="264">
        <f>IF(ISNA(MATCH(L$2,Inputs!$K$4:$AJ$4,0)),NA(),IF(SUMPRODUCT((Inputs!$A$5:$A$170=$B55)*ISNUMBER(INDEX(Inputs!$K$5:$AJ$170,0,MATCH(L$2,Inputs!$K$4:$AJ$4,0))))+SUMPRODUCT((Inputs!$C$5:$C$170=$B55)*ISNUMBER(INDEX(Inputs!$K$5:$AJ$170,0,MATCH(L$2,Inputs!$K$4:$AJ$4,0))))+SUMPRODUCT((Inputs!$E$5:$E$170=$B55)*ISNUMBER(INDEX(Inputs!$K$5:$AJ$170,0,MATCH(L$2,Inputs!$K$4:$AJ$4,0))))=0,NA(),SUMPRODUCT((Inputs!$A$5:$A$170=$B55)*Inputs!$B$5:$B$170*(((Inputs!$G$5:$G$170="moeda")+(Inputs!$G$5:$G$170="acoes"))*Inputs!$B$1+((Inputs!$G$5:$G$170&lt;&gt;"moeda")*(Inputs!$G$5:$G$170&lt;&gt;"acoes")))*INDEX(Inputs!$K$5:$AJ$170,0,MATCH(L$2,Inputs!$K$4:$AJ$4,0)))+SUMPRODUCT((Inputs!$C$5:$C$170=$B55)*Inputs!$D$5:$D$170*(((Inputs!$G$5:$G$170="moeda")+(Inputs!$G$5:$G$170="acoes"))*Inputs!$B$1+((Inputs!$G$5:$G$170&lt;&gt;"moeda")*(Inputs!$G$5:$G$170&lt;&gt;"acoes")))*INDEX(Inputs!$K$5:$AJ$170,0,MATCH(L$2,Inputs!$K$4:$AJ$4,0)))+SUMPRODUCT((Inputs!$E$5:$E$170=$B55)*Inputs!$F$5:$F$170*(((Inputs!$G$5:$G$170="moeda")+(Inputs!$G$5:$G$170="acoes"))*Inputs!$B$1+((Inputs!$G$5:$G$170&lt;&gt;"moeda")*(Inputs!$G$5:$G$170&lt;&gt;"acoes")))*INDEX(Inputs!$K$5:$AJ$170,0,MATCH(L$2,Inputs!$K$4:$AJ$4,0)))))</f>
        <v>495.524</v>
      </c>
      <c r="M55" s="265">
        <f>SUM(I55:L55)</f>
        <v>1742.979</v>
      </c>
      <c r="N55" s="264">
        <f>IF(ISNA(MATCH(N$2,Inputs!$K$4:$AJ$4,0)),NA(),IF(SUMPRODUCT((Inputs!$A$5:$A$170=$B55)*ISNUMBER(INDEX(Inputs!$K$5:$AJ$170,0,MATCH(N$2,Inputs!$K$4:$AJ$4,0))))+SUMPRODUCT((Inputs!$C$5:$C$170=$B55)*ISNUMBER(INDEX(Inputs!$K$5:$AJ$170,0,MATCH(N$2,Inputs!$K$4:$AJ$4,0))))+SUMPRODUCT((Inputs!$E$5:$E$170=$B55)*ISNUMBER(INDEX(Inputs!$K$5:$AJ$170,0,MATCH(N$2,Inputs!$K$4:$AJ$4,0))))=0,NA(),SUMPRODUCT((Inputs!$A$5:$A$170=$B55)*Inputs!$B$5:$B$170*(((Inputs!$G$5:$G$170="moeda")+(Inputs!$G$5:$G$170="acoes"))*Inputs!$B$1+((Inputs!$G$5:$G$170&lt;&gt;"moeda")*(Inputs!$G$5:$G$170&lt;&gt;"acoes")))*INDEX(Inputs!$K$5:$AJ$170,0,MATCH(N$2,Inputs!$K$4:$AJ$4,0)))+SUMPRODUCT((Inputs!$C$5:$C$170=$B55)*Inputs!$D$5:$D$170*(((Inputs!$G$5:$G$170="moeda")+(Inputs!$G$5:$G$170="acoes"))*Inputs!$B$1+((Inputs!$G$5:$G$170&lt;&gt;"moeda")*(Inputs!$G$5:$G$170&lt;&gt;"acoes")))*INDEX(Inputs!$K$5:$AJ$170,0,MATCH(N$2,Inputs!$K$4:$AJ$4,0)))+SUMPRODUCT((Inputs!$E$5:$E$170=$B55)*Inputs!$F$5:$F$170*(((Inputs!$G$5:$G$170="moeda")+(Inputs!$G$5:$G$170="acoes"))*Inputs!$B$1+((Inputs!$G$5:$G$170&lt;&gt;"moeda")*(Inputs!$G$5:$G$170&lt;&gt;"acoes")))*INDEX(Inputs!$K$5:$AJ$170,0,MATCH(N$2,Inputs!$K$4:$AJ$4,0)))))</f>
        <v>538.708</v>
      </c>
      <c r="O55" s="264">
        <f>IF(ISNA(MATCH(O$2,Inputs!$K$4:$AJ$4,0)),NA(),IF(SUMPRODUCT((Inputs!$A$5:$A$170=$B55)*ISNUMBER(INDEX(Inputs!$K$5:$AJ$170,0,MATCH(O$2,Inputs!$K$4:$AJ$4,0))))+SUMPRODUCT((Inputs!$C$5:$C$170=$B55)*ISNUMBER(INDEX(Inputs!$K$5:$AJ$170,0,MATCH(O$2,Inputs!$K$4:$AJ$4,0))))+SUMPRODUCT((Inputs!$E$5:$E$170=$B55)*ISNUMBER(INDEX(Inputs!$K$5:$AJ$170,0,MATCH(O$2,Inputs!$K$4:$AJ$4,0))))=0,NA(),SUMPRODUCT((Inputs!$A$5:$A$170=$B55)*Inputs!$B$5:$B$170*(((Inputs!$G$5:$G$170="moeda")+(Inputs!$G$5:$G$170="acoes"))*Inputs!$B$1+((Inputs!$G$5:$G$170&lt;&gt;"moeda")*(Inputs!$G$5:$G$170&lt;&gt;"acoes")))*INDEX(Inputs!$K$5:$AJ$170,0,MATCH(O$2,Inputs!$K$4:$AJ$4,0)))+SUMPRODUCT((Inputs!$C$5:$C$170=$B55)*Inputs!$D$5:$D$170*(((Inputs!$G$5:$G$170="moeda")+(Inputs!$G$5:$G$170="acoes"))*Inputs!$B$1+((Inputs!$G$5:$G$170&lt;&gt;"moeda")*(Inputs!$G$5:$G$170&lt;&gt;"acoes")))*INDEX(Inputs!$K$5:$AJ$170,0,MATCH(O$2,Inputs!$K$4:$AJ$4,0)))+SUMPRODUCT((Inputs!$E$5:$E$170=$B55)*Inputs!$F$5:$F$170*(((Inputs!$G$5:$G$170="moeda")+(Inputs!$G$5:$G$170="acoes"))*Inputs!$B$1+((Inputs!$G$5:$G$170&lt;&gt;"moeda")*(Inputs!$G$5:$G$170&lt;&gt;"acoes")))*INDEX(Inputs!$K$5:$AJ$170,0,MATCH(O$2,Inputs!$K$4:$AJ$4,0)))))</f>
        <v>558.149</v>
      </c>
      <c r="P55" s="264">
        <f>IF(ISNA(MATCH(P$2,Inputs!$K$4:$AJ$4,0)),NA(),IF(SUMPRODUCT((Inputs!$A$5:$A$170=$B55)*ISNUMBER(INDEX(Inputs!$K$5:$AJ$170,0,MATCH(P$2,Inputs!$K$4:$AJ$4,0))))+SUMPRODUCT((Inputs!$C$5:$C$170=$B55)*ISNUMBER(INDEX(Inputs!$K$5:$AJ$170,0,MATCH(P$2,Inputs!$K$4:$AJ$4,0))))+SUMPRODUCT((Inputs!$E$5:$E$170=$B55)*ISNUMBER(INDEX(Inputs!$K$5:$AJ$170,0,MATCH(P$2,Inputs!$K$4:$AJ$4,0))))=0,NA(),SUMPRODUCT((Inputs!$A$5:$A$170=$B55)*Inputs!$B$5:$B$170*(((Inputs!$G$5:$G$170="moeda")+(Inputs!$G$5:$G$170="acoes"))*Inputs!$B$1+((Inputs!$G$5:$G$170&lt;&gt;"moeda")*(Inputs!$G$5:$G$170&lt;&gt;"acoes")))*INDEX(Inputs!$K$5:$AJ$170,0,MATCH(P$2,Inputs!$K$4:$AJ$4,0)))+SUMPRODUCT((Inputs!$C$5:$C$170=$B55)*Inputs!$D$5:$D$170*(((Inputs!$G$5:$G$170="moeda")+(Inputs!$G$5:$G$170="acoes"))*Inputs!$B$1+((Inputs!$G$5:$G$170&lt;&gt;"moeda")*(Inputs!$G$5:$G$170&lt;&gt;"acoes")))*INDEX(Inputs!$K$5:$AJ$170,0,MATCH(P$2,Inputs!$K$4:$AJ$4,0)))+SUMPRODUCT((Inputs!$E$5:$E$170=$B55)*Inputs!$F$5:$F$170*(((Inputs!$G$5:$G$170="moeda")+(Inputs!$G$5:$G$170="acoes"))*Inputs!$B$1+((Inputs!$G$5:$G$170&lt;&gt;"moeda")*(Inputs!$G$5:$G$170&lt;&gt;"acoes")))*INDEX(Inputs!$K$5:$AJ$170,0,MATCH(P$2,Inputs!$K$4:$AJ$4,0)))))</f>
        <v>581.123</v>
      </c>
      <c r="Q55" s="264">
        <f>IF(ISNA(MATCH(Q$2,Inputs!$K$4:$AJ$4,0)),NA(),IF(SUMPRODUCT((Inputs!$A$5:$A$170=$B55)*ISNUMBER(INDEX(Inputs!$K$5:$AJ$170,0,MATCH(Q$2,Inputs!$K$4:$AJ$4,0))))+SUMPRODUCT((Inputs!$C$5:$C$170=$B55)*ISNUMBER(INDEX(Inputs!$K$5:$AJ$170,0,MATCH(Q$2,Inputs!$K$4:$AJ$4,0))))+SUMPRODUCT((Inputs!$E$5:$E$170=$B55)*ISNUMBER(INDEX(Inputs!$K$5:$AJ$170,0,MATCH(Q$2,Inputs!$K$4:$AJ$4,0))))=0,NA(),SUMPRODUCT((Inputs!$A$5:$A$170=$B55)*Inputs!$B$5:$B$170*(((Inputs!$G$5:$G$170="moeda")+(Inputs!$G$5:$G$170="acoes"))*Inputs!$B$1+((Inputs!$G$5:$G$170&lt;&gt;"moeda")*(Inputs!$G$5:$G$170&lt;&gt;"acoes")))*INDEX(Inputs!$K$5:$AJ$170,0,MATCH(Q$2,Inputs!$K$4:$AJ$4,0)))+SUMPRODUCT((Inputs!$C$5:$C$170=$B55)*Inputs!$D$5:$D$170*(((Inputs!$G$5:$G$170="moeda")+(Inputs!$G$5:$G$170="acoes"))*Inputs!$B$1+((Inputs!$G$5:$G$170&lt;&gt;"moeda")*(Inputs!$G$5:$G$170&lt;&gt;"acoes")))*INDEX(Inputs!$K$5:$AJ$170,0,MATCH(Q$2,Inputs!$K$4:$AJ$4,0)))+SUMPRODUCT((Inputs!$E$5:$E$170=$B55)*Inputs!$F$5:$F$170*(((Inputs!$G$5:$G$170="moeda")+(Inputs!$G$5:$G$170="acoes"))*Inputs!$B$1+((Inputs!$G$5:$G$170&lt;&gt;"moeda")*(Inputs!$G$5:$G$170&lt;&gt;"acoes")))*INDEX(Inputs!$K$5:$AJ$170,0,MATCH(Q$2,Inputs!$K$4:$AJ$4,0)))))</f>
        <v>635.236</v>
      </c>
      <c r="R55" s="265">
        <f>SUM(N55:Q55)</f>
        <v>2313.216</v>
      </c>
      <c r="S55" s="264">
        <f>IF(ISNA(MATCH(S$2,Inputs!$K$4:$AJ$4,0)),NA(),IF(SUMPRODUCT((Inputs!$A$5:$A$170=$B55)*ISNUMBER(INDEX(Inputs!$K$5:$AJ$170,0,MATCH(S$2,Inputs!$K$4:$AJ$4,0))))+SUMPRODUCT((Inputs!$C$5:$C$170=$B55)*ISNUMBER(INDEX(Inputs!$K$5:$AJ$170,0,MATCH(S$2,Inputs!$K$4:$AJ$4,0))))+SUMPRODUCT((Inputs!$E$5:$E$170=$B55)*ISNUMBER(INDEX(Inputs!$K$5:$AJ$170,0,MATCH(S$2,Inputs!$K$4:$AJ$4,0))))=0,NA(),SUMPRODUCT((Inputs!$A$5:$A$170=$B55)*Inputs!$B$5:$B$170*(((Inputs!$G$5:$G$170="moeda")+(Inputs!$G$5:$G$170="acoes"))*Inputs!$B$1+((Inputs!$G$5:$G$170&lt;&gt;"moeda")*(Inputs!$G$5:$G$170&lt;&gt;"acoes")))*INDEX(Inputs!$K$5:$AJ$170,0,MATCH(S$2,Inputs!$K$4:$AJ$4,0)))+SUMPRODUCT((Inputs!$C$5:$C$170=$B55)*Inputs!$D$5:$D$170*(((Inputs!$G$5:$G$170="moeda")+(Inputs!$G$5:$G$170="acoes"))*Inputs!$B$1+((Inputs!$G$5:$G$170&lt;&gt;"moeda")*(Inputs!$G$5:$G$170&lt;&gt;"acoes")))*INDEX(Inputs!$K$5:$AJ$170,0,MATCH(S$2,Inputs!$K$4:$AJ$4,0)))+SUMPRODUCT((Inputs!$E$5:$E$170=$B55)*Inputs!$F$5:$F$170*(((Inputs!$G$5:$G$170="moeda")+(Inputs!$G$5:$G$170="acoes"))*Inputs!$B$1+((Inputs!$G$5:$G$170&lt;&gt;"moeda")*(Inputs!$G$5:$G$170&lt;&gt;"acoes")))*INDEX(Inputs!$K$5:$AJ$170,0,MATCH(S$2,Inputs!$K$4:$AJ$4,0)))))</f>
        <v>720.39</v>
      </c>
      <c r="T55" s="264">
        <f>IF(ISNA(MATCH(T$2,Inputs!$K$4:$AJ$4,0)),NA(),IF(SUMPRODUCT((Inputs!$A$5:$A$170=$B55)*ISNUMBER(INDEX(Inputs!$K$5:$AJ$170,0,MATCH(T$2,Inputs!$K$4:$AJ$4,0))))+SUMPRODUCT((Inputs!$C$5:$C$170=$B55)*ISNUMBER(INDEX(Inputs!$K$5:$AJ$170,0,MATCH(T$2,Inputs!$K$4:$AJ$4,0))))+SUMPRODUCT((Inputs!$E$5:$E$170=$B55)*ISNUMBER(INDEX(Inputs!$K$5:$AJ$170,0,MATCH(T$2,Inputs!$K$4:$AJ$4,0))))=0,NA(),SUMPRODUCT((Inputs!$A$5:$A$170=$B55)*Inputs!$B$5:$B$170*(((Inputs!$G$5:$G$170="moeda")+(Inputs!$G$5:$G$170="acoes"))*Inputs!$B$1+((Inputs!$G$5:$G$170&lt;&gt;"moeda")*(Inputs!$G$5:$G$170&lt;&gt;"acoes")))*INDEX(Inputs!$K$5:$AJ$170,0,MATCH(T$2,Inputs!$K$4:$AJ$4,0)))+SUMPRODUCT((Inputs!$C$5:$C$170=$B55)*Inputs!$D$5:$D$170*(((Inputs!$G$5:$G$170="moeda")+(Inputs!$G$5:$G$170="acoes"))*Inputs!$B$1+((Inputs!$G$5:$G$170&lt;&gt;"moeda")*(Inputs!$G$5:$G$170&lt;&gt;"acoes")))*INDEX(Inputs!$K$5:$AJ$170,0,MATCH(T$2,Inputs!$K$4:$AJ$4,0)))+SUMPRODUCT((Inputs!$E$5:$E$170=$B55)*Inputs!$F$5:$F$170*(((Inputs!$G$5:$G$170="moeda")+(Inputs!$G$5:$G$170="acoes"))*Inputs!$B$1+((Inputs!$G$5:$G$170&lt;&gt;"moeda")*(Inputs!$G$5:$G$170&lt;&gt;"acoes")))*INDEX(Inputs!$K$5:$AJ$170,0,MATCH(T$2,Inputs!$K$4:$AJ$4,0)))))</f>
        <v>816.006</v>
      </c>
      <c r="U55" s="264">
        <f>IF(ISNA(MATCH(U$2,Inputs!$K$4:$AJ$4,0)),NA(),IF(SUMPRODUCT((Inputs!$A$5:$A$170=$B55)*ISNUMBER(INDEX(Inputs!$K$5:$AJ$170,0,MATCH(U$2,Inputs!$K$4:$AJ$4,0))))+SUMPRODUCT((Inputs!$C$5:$C$170=$B55)*ISNUMBER(INDEX(Inputs!$K$5:$AJ$170,0,MATCH(U$2,Inputs!$K$4:$AJ$4,0))))+SUMPRODUCT((Inputs!$E$5:$E$170=$B55)*ISNUMBER(INDEX(Inputs!$K$5:$AJ$170,0,MATCH(U$2,Inputs!$K$4:$AJ$4,0))))=0,NA(),SUMPRODUCT((Inputs!$A$5:$A$170=$B55)*Inputs!$B$5:$B$170*(((Inputs!$G$5:$G$170="moeda")+(Inputs!$G$5:$G$170="acoes"))*Inputs!$B$1+((Inputs!$G$5:$G$170&lt;&gt;"moeda")*(Inputs!$G$5:$G$170&lt;&gt;"acoes")))*INDEX(Inputs!$K$5:$AJ$170,0,MATCH(U$2,Inputs!$K$4:$AJ$4,0)))+SUMPRODUCT((Inputs!$C$5:$C$170=$B55)*Inputs!$D$5:$D$170*(((Inputs!$G$5:$G$170="moeda")+(Inputs!$G$5:$G$170="acoes"))*Inputs!$B$1+((Inputs!$G$5:$G$170&lt;&gt;"moeda")*(Inputs!$G$5:$G$170&lt;&gt;"acoes")))*INDEX(Inputs!$K$5:$AJ$170,0,MATCH(U$2,Inputs!$K$4:$AJ$4,0)))+SUMPRODUCT((Inputs!$E$5:$E$170=$B55)*Inputs!$F$5:$F$170*(((Inputs!$G$5:$G$170="moeda")+(Inputs!$G$5:$G$170="acoes"))*Inputs!$B$1+((Inputs!$G$5:$G$170&lt;&gt;"moeda")*(Inputs!$G$5:$G$170&lt;&gt;"acoes")))*INDEX(Inputs!$K$5:$AJ$170,0,MATCH(U$2,Inputs!$K$4:$AJ$4,0)))))</f>
        <v>889.427</v>
      </c>
      <c r="V55" s="264">
        <f>IF(ISNA(MATCH(V$2,Inputs!$K$4:$AJ$4,0)),NA(),IF(SUMPRODUCT((Inputs!$A$5:$A$170=$B55)*ISNUMBER(INDEX(Inputs!$K$5:$AJ$170,0,MATCH(V$2,Inputs!$K$4:$AJ$4,0))))+SUMPRODUCT((Inputs!$C$5:$C$170=$B55)*ISNUMBER(INDEX(Inputs!$K$5:$AJ$170,0,MATCH(V$2,Inputs!$K$4:$AJ$4,0))))+SUMPRODUCT((Inputs!$E$5:$E$170=$B55)*ISNUMBER(INDEX(Inputs!$K$5:$AJ$170,0,MATCH(V$2,Inputs!$K$4:$AJ$4,0))))=0,NA(),SUMPRODUCT((Inputs!$A$5:$A$170=$B55)*Inputs!$B$5:$B$170*(((Inputs!$G$5:$G$170="moeda")+(Inputs!$G$5:$G$170="acoes"))*Inputs!$B$1+((Inputs!$G$5:$G$170&lt;&gt;"moeda")*(Inputs!$G$5:$G$170&lt;&gt;"acoes")))*INDEX(Inputs!$K$5:$AJ$170,0,MATCH(V$2,Inputs!$K$4:$AJ$4,0)))+SUMPRODUCT((Inputs!$C$5:$C$170=$B55)*Inputs!$D$5:$D$170*(((Inputs!$G$5:$G$170="moeda")+(Inputs!$G$5:$G$170="acoes"))*Inputs!$B$1+((Inputs!$G$5:$G$170&lt;&gt;"moeda")*(Inputs!$G$5:$G$170&lt;&gt;"acoes")))*INDEX(Inputs!$K$5:$AJ$170,0,MATCH(V$2,Inputs!$K$4:$AJ$4,0)))+SUMPRODUCT((Inputs!$E$5:$E$170=$B55)*Inputs!$F$5:$F$170*(((Inputs!$G$5:$G$170="moeda")+(Inputs!$G$5:$G$170="acoes"))*Inputs!$B$1+((Inputs!$G$5:$G$170&lt;&gt;"moeda")*(Inputs!$G$5:$G$170&lt;&gt;"acoes")))*INDEX(Inputs!$K$5:$AJ$170,0,MATCH(V$2,Inputs!$K$4:$AJ$4,0)))))</f>
        <v>943.352</v>
      </c>
      <c r="W55" s="265">
        <f>SUM(S55:V55)</f>
        <v>3369.175</v>
      </c>
      <c r="X55" s="264">
        <f>IF(ISNA(MATCH(X$2,Inputs!$K$4:$AJ$4,0)),NA(),IF(SUMPRODUCT((Inputs!$A$5:$A$170=$B55)*ISNUMBER(INDEX(Inputs!$K$5:$AJ$170,0,MATCH(X$2,Inputs!$K$4:$AJ$4,0))))+SUMPRODUCT((Inputs!$C$5:$C$170=$B55)*ISNUMBER(INDEX(Inputs!$K$5:$AJ$170,0,MATCH(X$2,Inputs!$K$4:$AJ$4,0))))+SUMPRODUCT((Inputs!$E$5:$E$170=$B55)*ISNUMBER(INDEX(Inputs!$K$5:$AJ$170,0,MATCH(X$2,Inputs!$K$4:$AJ$4,0))))=0,NA(),SUMPRODUCT((Inputs!$A$5:$A$170=$B55)*Inputs!$B$5:$B$170*(((Inputs!$G$5:$G$170="moeda")+(Inputs!$G$5:$G$170="acoes"))*Inputs!$B$1+((Inputs!$G$5:$G$170&lt;&gt;"moeda")*(Inputs!$G$5:$G$170&lt;&gt;"acoes")))*INDEX(Inputs!$K$5:$AJ$170,0,MATCH(X$2,Inputs!$K$4:$AJ$4,0)))+SUMPRODUCT((Inputs!$C$5:$C$170=$B55)*Inputs!$D$5:$D$170*(((Inputs!$G$5:$G$170="moeda")+(Inputs!$G$5:$G$170="acoes"))*Inputs!$B$1+((Inputs!$G$5:$G$170&lt;&gt;"moeda")*(Inputs!$G$5:$G$170&lt;&gt;"acoes")))*INDEX(Inputs!$K$5:$AJ$170,0,MATCH(X$2,Inputs!$K$4:$AJ$4,0)))+SUMPRODUCT((Inputs!$E$5:$E$170=$B55)*Inputs!$F$5:$F$170*(((Inputs!$G$5:$G$170="moeda")+(Inputs!$G$5:$G$170="acoes"))*Inputs!$B$1+((Inputs!$G$5:$G$170&lt;&gt;"moeda")*(Inputs!$G$5:$G$170&lt;&gt;"acoes")))*INDEX(Inputs!$K$5:$AJ$170,0,MATCH(X$2,Inputs!$K$4:$AJ$4,0)))))</f>
        <v>993.181</v>
      </c>
      <c r="Y55" s="264">
        <f>IF(ISNA(MATCH(Y$2,Inputs!$K$4:$AJ$4,0)),NA(),IF(SUMPRODUCT((Inputs!$A$5:$A$170=$B55)*ISNUMBER(INDEX(Inputs!$K$5:$AJ$170,0,MATCH(Y$2,Inputs!$K$4:$AJ$4,0))))+SUMPRODUCT((Inputs!$C$5:$C$170=$B55)*ISNUMBER(INDEX(Inputs!$K$5:$AJ$170,0,MATCH(Y$2,Inputs!$K$4:$AJ$4,0))))+SUMPRODUCT((Inputs!$E$5:$E$170=$B55)*ISNUMBER(INDEX(Inputs!$K$5:$AJ$170,0,MATCH(Y$2,Inputs!$K$4:$AJ$4,0))))=0,NA(),SUMPRODUCT((Inputs!$A$5:$A$170=$B55)*Inputs!$B$5:$B$170*(((Inputs!$G$5:$G$170="moeda")+(Inputs!$G$5:$G$170="acoes"))*Inputs!$B$1+((Inputs!$G$5:$G$170&lt;&gt;"moeda")*(Inputs!$G$5:$G$170&lt;&gt;"acoes")))*INDEX(Inputs!$K$5:$AJ$170,0,MATCH(Y$2,Inputs!$K$4:$AJ$4,0)))+SUMPRODUCT((Inputs!$C$5:$C$170=$B55)*Inputs!$D$5:$D$170*(((Inputs!$G$5:$G$170="moeda")+(Inputs!$G$5:$G$170="acoes"))*Inputs!$B$1+((Inputs!$G$5:$G$170&lt;&gt;"moeda")*(Inputs!$G$5:$G$170&lt;&gt;"acoes")))*INDEX(Inputs!$K$5:$AJ$170,0,MATCH(Y$2,Inputs!$K$4:$AJ$4,0)))+SUMPRODUCT((Inputs!$E$5:$E$170=$B55)*Inputs!$F$5:$F$170*(((Inputs!$G$5:$G$170="moeda")+(Inputs!$G$5:$G$170="acoes"))*Inputs!$B$1+((Inputs!$G$5:$G$170&lt;&gt;"moeda")*(Inputs!$G$5:$G$170&lt;&gt;"acoes")))*INDEX(Inputs!$K$5:$AJ$170,0,MATCH(Y$2,Inputs!$K$4:$AJ$4,0)))))</f>
        <v>995.876</v>
      </c>
      <c r="Z55" s="264">
        <f>IF(ISNA(MATCH(Z$2,Inputs!$K$4:$AJ$4,0)),NA(),IF(SUMPRODUCT((Inputs!$A$5:$A$170=$B55)*ISNUMBER(INDEX(Inputs!$K$5:$AJ$170,0,MATCH(Z$2,Inputs!$K$4:$AJ$4,0))))+SUMPRODUCT((Inputs!$C$5:$C$170=$B55)*ISNUMBER(INDEX(Inputs!$K$5:$AJ$170,0,MATCH(Z$2,Inputs!$K$4:$AJ$4,0))))+SUMPRODUCT((Inputs!$E$5:$E$170=$B55)*ISNUMBER(INDEX(Inputs!$K$5:$AJ$170,0,MATCH(Z$2,Inputs!$K$4:$AJ$4,0))))=0,NA(),SUMPRODUCT((Inputs!$A$5:$A$170=$B55)*Inputs!$B$5:$B$170*(((Inputs!$G$5:$G$170="moeda")+(Inputs!$G$5:$G$170="acoes"))*Inputs!$B$1+((Inputs!$G$5:$G$170&lt;&gt;"moeda")*(Inputs!$G$5:$G$170&lt;&gt;"acoes")))*INDEX(Inputs!$K$5:$AJ$170,0,MATCH(Z$2,Inputs!$K$4:$AJ$4,0)))+SUMPRODUCT((Inputs!$C$5:$C$170=$B55)*Inputs!$D$5:$D$170*(((Inputs!$G$5:$G$170="moeda")+(Inputs!$G$5:$G$170="acoes"))*Inputs!$B$1+((Inputs!$G$5:$G$170&lt;&gt;"moeda")*(Inputs!$G$5:$G$170&lt;&gt;"acoes")))*INDEX(Inputs!$K$5:$AJ$170,0,MATCH(Z$2,Inputs!$K$4:$AJ$4,0)))+SUMPRODUCT((Inputs!$E$5:$E$170=$B55)*Inputs!$F$5:$F$170*(((Inputs!$G$5:$G$170="moeda")+(Inputs!$G$5:$G$170="acoes"))*Inputs!$B$1+((Inputs!$G$5:$G$170&lt;&gt;"moeda")*(Inputs!$G$5:$G$170&lt;&gt;"acoes")))*INDEX(Inputs!$K$5:$AJ$170,0,MATCH(Z$2,Inputs!$K$4:$AJ$4,0)))))</f>
        <v>1033.426</v>
      </c>
      <c r="AA55" s="264">
        <f>IF(ISNA(MATCH(AA$2,Inputs!$K$4:$AJ$4,0)),NA(),IF(SUMPRODUCT((Inputs!$A$5:$A$170=$B55)*ISNUMBER(INDEX(Inputs!$K$5:$AJ$170,0,MATCH(AA$2,Inputs!$K$4:$AJ$4,0))))+SUMPRODUCT((Inputs!$C$5:$C$170=$B55)*ISNUMBER(INDEX(Inputs!$K$5:$AJ$170,0,MATCH(AA$2,Inputs!$K$4:$AJ$4,0))))+SUMPRODUCT((Inputs!$E$5:$E$170=$B55)*ISNUMBER(INDEX(Inputs!$K$5:$AJ$170,0,MATCH(AA$2,Inputs!$K$4:$AJ$4,0))))=0,NA(),SUMPRODUCT((Inputs!$A$5:$A$170=$B55)*Inputs!$B$5:$B$170*(((Inputs!$G$5:$G$170="moeda")+(Inputs!$G$5:$G$170="acoes"))*Inputs!$B$1+((Inputs!$G$5:$G$170&lt;&gt;"moeda")*(Inputs!$G$5:$G$170&lt;&gt;"acoes")))*INDEX(Inputs!$K$5:$AJ$170,0,MATCH(AA$2,Inputs!$K$4:$AJ$4,0)))+SUMPRODUCT((Inputs!$C$5:$C$170=$B55)*Inputs!$D$5:$D$170*(((Inputs!$G$5:$G$170="moeda")+(Inputs!$G$5:$G$170="acoes"))*Inputs!$B$1+((Inputs!$G$5:$G$170&lt;&gt;"moeda")*(Inputs!$G$5:$G$170&lt;&gt;"acoes")))*INDEX(Inputs!$K$5:$AJ$170,0,MATCH(AA$2,Inputs!$K$4:$AJ$4,0)))+SUMPRODUCT((Inputs!$E$5:$E$170=$B55)*Inputs!$F$5:$F$170*(((Inputs!$G$5:$G$170="moeda")+(Inputs!$G$5:$G$170="acoes"))*Inputs!$B$1+((Inputs!$G$5:$G$170&lt;&gt;"moeda")*(Inputs!$G$5:$G$170&lt;&gt;"acoes")))*INDEX(Inputs!$K$5:$AJ$170,0,MATCH(AA$2,Inputs!$K$4:$AJ$4,0)))))</f>
        <v>1083.60654476591</v>
      </c>
      <c r="AB55" s="265">
        <f>SUM(X55:AA55)</f>
        <v>4106.08954476591</v>
      </c>
      <c r="AC55" s="264">
        <f>IF(ISNA(MATCH(AC$2,Inputs!$K$4:$AJ$4,0)),NA(),IF(SUMPRODUCT((Inputs!$A$5:$A$170=$B55)*ISNUMBER(INDEX(Inputs!$K$5:$AJ$170,0,MATCH(AC$2,Inputs!$K$4:$AJ$4,0))))+SUMPRODUCT((Inputs!$C$5:$C$170=$B55)*ISNUMBER(INDEX(Inputs!$K$5:$AJ$170,0,MATCH(AC$2,Inputs!$K$4:$AJ$4,0))))+SUMPRODUCT((Inputs!$E$5:$E$170=$B55)*ISNUMBER(INDEX(Inputs!$K$5:$AJ$170,0,MATCH(AC$2,Inputs!$K$4:$AJ$4,0))))=0,NA(),SUMPRODUCT((Inputs!$A$5:$A$170=$B55)*Inputs!$B$5:$B$170*(((Inputs!$G$5:$G$170="moeda")+(Inputs!$G$5:$G$170="acoes"))*Inputs!$B$1+((Inputs!$G$5:$G$170&lt;&gt;"moeda")*(Inputs!$G$5:$G$170&lt;&gt;"acoes")))*INDEX(Inputs!$K$5:$AJ$170,0,MATCH(AC$2,Inputs!$K$4:$AJ$4,0)))+SUMPRODUCT((Inputs!$C$5:$C$170=$B55)*Inputs!$D$5:$D$170*(((Inputs!$G$5:$G$170="moeda")+(Inputs!$G$5:$G$170="acoes"))*Inputs!$B$1+((Inputs!$G$5:$G$170&lt;&gt;"moeda")*(Inputs!$G$5:$G$170&lt;&gt;"acoes")))*INDEX(Inputs!$K$5:$AJ$170,0,MATCH(AC$2,Inputs!$K$4:$AJ$4,0)))+SUMPRODUCT((Inputs!$E$5:$E$170=$B55)*Inputs!$F$5:$F$170*(((Inputs!$G$5:$G$170="moeda")+(Inputs!$G$5:$G$170="acoes"))*Inputs!$B$1+((Inputs!$G$5:$G$170&lt;&gt;"moeda")*(Inputs!$G$5:$G$170&lt;&gt;"acoes")))*INDEX(Inputs!$K$5:$AJ$170,0,MATCH(AC$2,Inputs!$K$4:$AJ$4,0)))))</f>
        <v>1101.60857524277</v>
      </c>
      <c r="AD55" s="264">
        <f>IF(ISNA(MATCH(AD$2,Inputs!$K$4:$AJ$4,0)),NA(),IF(SUMPRODUCT((Inputs!$A$5:$A$170=$B55)*ISNUMBER(INDEX(Inputs!$K$5:$AJ$170,0,MATCH(AD$2,Inputs!$K$4:$AJ$4,0))))+SUMPRODUCT((Inputs!$C$5:$C$170=$B55)*ISNUMBER(INDEX(Inputs!$K$5:$AJ$170,0,MATCH(AD$2,Inputs!$K$4:$AJ$4,0))))+SUMPRODUCT((Inputs!$E$5:$E$170=$B55)*ISNUMBER(INDEX(Inputs!$K$5:$AJ$170,0,MATCH(AD$2,Inputs!$K$4:$AJ$4,0))))=0,NA(),SUMPRODUCT((Inputs!$A$5:$A$170=$B55)*Inputs!$B$5:$B$170*(((Inputs!$G$5:$G$170="moeda")+(Inputs!$G$5:$G$170="acoes"))*Inputs!$B$1+((Inputs!$G$5:$G$170&lt;&gt;"moeda")*(Inputs!$G$5:$G$170&lt;&gt;"acoes")))*INDEX(Inputs!$K$5:$AJ$170,0,MATCH(AD$2,Inputs!$K$4:$AJ$4,0)))+SUMPRODUCT((Inputs!$C$5:$C$170=$B55)*Inputs!$D$5:$D$170*(((Inputs!$G$5:$G$170="moeda")+(Inputs!$G$5:$G$170="acoes"))*Inputs!$B$1+((Inputs!$G$5:$G$170&lt;&gt;"moeda")*(Inputs!$G$5:$G$170&lt;&gt;"acoes")))*INDEX(Inputs!$K$5:$AJ$170,0,MATCH(AD$2,Inputs!$K$4:$AJ$4,0)))+SUMPRODUCT((Inputs!$E$5:$E$170=$B55)*Inputs!$F$5:$F$170*(((Inputs!$G$5:$G$170="moeda")+(Inputs!$G$5:$G$170="acoes"))*Inputs!$B$1+((Inputs!$G$5:$G$170&lt;&gt;"moeda")*(Inputs!$G$5:$G$170&lt;&gt;"acoes")))*INDEX(Inputs!$K$5:$AJ$170,0,MATCH(AD$2,Inputs!$K$4:$AJ$4,0)))))</f>
        <v>1149.76904769467</v>
      </c>
      <c r="AE55" s="264" t="e">
        <f>IF(ISNA(MATCH(AE$2,Inputs!$K$4:$AJ$4,0)),NA(),IF(SUMPRODUCT((Inputs!$A$5:$A$170=$B55)*ISNUMBER(INDEX(Inputs!$K$5:$AJ$170,0,MATCH(AE$2,Inputs!$K$4:$AJ$4,0))))+SUMPRODUCT((Inputs!$C$5:$C$170=$B55)*ISNUMBER(INDEX(Inputs!$K$5:$AJ$170,0,MATCH(AE$2,Inputs!$K$4:$AJ$4,0))))+SUMPRODUCT((Inputs!$E$5:$E$170=$B55)*ISNUMBER(INDEX(Inputs!$K$5:$AJ$170,0,MATCH(AE$2,Inputs!$K$4:$AJ$4,0))))=0,NA(),SUMPRODUCT((Inputs!$A$5:$A$170=$B55)*Inputs!$B$5:$B$170*(((Inputs!$G$5:$G$170="moeda")+(Inputs!$G$5:$G$170="acoes"))*Inputs!$B$1+((Inputs!$G$5:$G$170&lt;&gt;"moeda")*(Inputs!$G$5:$G$170&lt;&gt;"acoes")))*INDEX(Inputs!$K$5:$AJ$170,0,MATCH(AE$2,Inputs!$K$4:$AJ$4,0)))+SUMPRODUCT((Inputs!$C$5:$C$170=$B55)*Inputs!$D$5:$D$170*(((Inputs!$G$5:$G$170="moeda")+(Inputs!$G$5:$G$170="acoes"))*Inputs!$B$1+((Inputs!$G$5:$G$170&lt;&gt;"moeda")*(Inputs!$G$5:$G$170&lt;&gt;"acoes")))*INDEX(Inputs!$K$5:$AJ$170,0,MATCH(AE$2,Inputs!$K$4:$AJ$4,0)))+SUMPRODUCT((Inputs!$E$5:$E$170=$B55)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5" s="264" t="e">
        <f>IF(ISNA(MATCH(AF$2,Inputs!$K$4:$AJ$4,0)),NA(),IF(SUMPRODUCT((Inputs!$A$5:$A$170=$B55)*ISNUMBER(INDEX(Inputs!$K$5:$AJ$170,0,MATCH(AF$2,Inputs!$K$4:$AJ$4,0))))+SUMPRODUCT((Inputs!$C$5:$C$170=$B55)*ISNUMBER(INDEX(Inputs!$K$5:$AJ$170,0,MATCH(AF$2,Inputs!$K$4:$AJ$4,0))))+SUMPRODUCT((Inputs!$E$5:$E$170=$B55)*ISNUMBER(INDEX(Inputs!$K$5:$AJ$170,0,MATCH(AF$2,Inputs!$K$4:$AJ$4,0))))=0,NA(),SUMPRODUCT((Inputs!$A$5:$A$170=$B55)*Inputs!$B$5:$B$170*(((Inputs!$G$5:$G$170="moeda")+(Inputs!$G$5:$G$170="acoes"))*Inputs!$B$1+((Inputs!$G$5:$G$170&lt;&gt;"moeda")*(Inputs!$G$5:$G$170&lt;&gt;"acoes")))*INDEX(Inputs!$K$5:$AJ$170,0,MATCH(AF$2,Inputs!$K$4:$AJ$4,0)))+SUMPRODUCT((Inputs!$C$5:$C$170=$B55)*Inputs!$D$5:$D$170*(((Inputs!$G$5:$G$170="moeda")+(Inputs!$G$5:$G$170="acoes"))*Inputs!$B$1+((Inputs!$G$5:$G$170&lt;&gt;"moeda")*(Inputs!$G$5:$G$170&lt;&gt;"acoes")))*INDEX(Inputs!$K$5:$AJ$170,0,MATCH(AF$2,Inputs!$K$4:$AJ$4,0)))+SUMPRODUCT((Inputs!$E$5:$E$170=$B55)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$170=$B55)*ISNUMBER(INDEX(Inputs!$K$5:$AJ$170,0,MATCH(AH$2,Inputs!$K$4:$AJ$4,0))))+SUMPRODUCT((Inputs!$C$5:$C$170=$B55)*ISNUMBER(INDEX(Inputs!$K$5:$AJ$170,0,MATCH(AH$2,Inputs!$K$4:$AJ$4,0))))+SUMPRODUCT((Inputs!$E$5:$E$170=$B55)*ISNUMBER(INDEX(Inputs!$K$5:$AJ$170,0,MATCH(AH$2,Inputs!$K$4:$AJ$4,0))))=0,NA(),SUMPRODUCT((Inputs!$A$5:$A$170=$B55)*Inputs!$B$5:$B$170*(((Inputs!$G$5:$G$170="moeda")+(Inputs!$G$5:$G$170="acoes"))*Inputs!$B$1+((Inputs!$G$5:$G$170&lt;&gt;"moeda")*(Inputs!$G$5:$G$170&lt;&gt;"acoes")))*INDEX(Inputs!$K$5:$AJ$170,0,MATCH(AH$2,Inputs!$K$4:$AJ$4,0)))+SUMPRODUCT((Inputs!$C$5:$C$170=$B55)*Inputs!$D$5:$D$170*(((Inputs!$G$5:$G$170="moeda")+(Inputs!$G$5:$G$170="acoes"))*Inputs!$B$1+((Inputs!$G$5:$G$170&lt;&gt;"moeda")*(Inputs!$G$5:$G$170&lt;&gt;"acoes")))*INDEX(Inputs!$K$5:$AJ$170,0,MATCH(AH$2,Inputs!$K$4:$AJ$4,0)))+SUMPRODUCT((Inputs!$E$5:$E$170=$B55)*Inputs!$F$5:$F$170*(((Inputs!$G$5:$G$170="moeda")+(Inputs!$G$5:$G$170="acoes"))*Inputs!$B$1+((Inputs!$G$5:$G$170&lt;&gt;"moeda")*(Inputs!$G$5:$G$170&lt;&gt;"acoes")))*INDEX(Inputs!$K$5:$AJ$170,0,MATCH(AH$2,Inputs!$K$4:$AJ$4,0)))))</f>
        <v>117.539</v>
      </c>
      <c r="AI55" s="264">
        <f>IF(ISNA(MATCH(AI$2,Inputs!$K$4:$AJ$4,0)),NA(),IF(SUMPRODUCT((Inputs!$A$5:$A$170=$B55)*ISNUMBER(INDEX(Inputs!$K$5:$AJ$170,0,MATCH(AI$2,Inputs!$K$4:$AJ$4,0))))+SUMPRODUCT((Inputs!$C$5:$C$170=$B55)*ISNUMBER(INDEX(Inputs!$K$5:$AJ$170,0,MATCH(AI$2,Inputs!$K$4:$AJ$4,0))))+SUMPRODUCT((Inputs!$E$5:$E$170=$B55)*ISNUMBER(INDEX(Inputs!$K$5:$AJ$170,0,MATCH(AI$2,Inputs!$K$4:$AJ$4,0))))=0,NA(),SUMPRODUCT((Inputs!$A$5:$A$170=$B55)*Inputs!$B$5:$B$170*(((Inputs!$G$5:$G$170="moeda")+(Inputs!$G$5:$G$170="acoes"))*Inputs!$B$1+((Inputs!$G$5:$G$170&lt;&gt;"moeda")*(Inputs!$G$5:$G$170&lt;&gt;"acoes")))*INDEX(Inputs!$K$5:$AJ$170,0,MATCH(AI$2,Inputs!$K$4:$AJ$4,0)))+SUMPRODUCT((Inputs!$C$5:$C$170=$B55)*Inputs!$D$5:$D$170*(((Inputs!$G$5:$G$170="moeda")+(Inputs!$G$5:$G$170="acoes"))*Inputs!$B$1+((Inputs!$G$5:$G$170&lt;&gt;"moeda")*(Inputs!$G$5:$G$170&lt;&gt;"acoes")))*INDEX(Inputs!$K$5:$AJ$170,0,MATCH(AI$2,Inputs!$K$4:$AJ$4,0)))+SUMPRODUCT((Inputs!$E$5:$E$170=$B55)*Inputs!$F$5:$F$170*(((Inputs!$G$5:$G$170="moeda")+(Inputs!$G$5:$G$170="acoes"))*Inputs!$B$1+((Inputs!$G$5:$G$170&lt;&gt;"moeda")*(Inputs!$G$5:$G$170&lt;&gt;"acoes")))*INDEX(Inputs!$K$5:$AJ$170,0,MATCH(AI$2,Inputs!$K$4:$AJ$4,0)))))</f>
        <v>116.236</v>
      </c>
      <c r="AJ55" s="264">
        <f>IF(ISNA(MATCH(AJ$2,Inputs!$K$4:$AJ$4,0)),NA(),IF(SUMPRODUCT((Inputs!$A$5:$A$170=$B55)*ISNUMBER(INDEX(Inputs!$K$5:$AJ$170,0,MATCH(AJ$2,Inputs!$K$4:$AJ$4,0))))+SUMPRODUCT((Inputs!$C$5:$C$170=$B55)*ISNUMBER(INDEX(Inputs!$K$5:$AJ$170,0,MATCH(AJ$2,Inputs!$K$4:$AJ$4,0))))+SUMPRODUCT((Inputs!$E$5:$E$170=$B55)*ISNUMBER(INDEX(Inputs!$K$5:$AJ$170,0,MATCH(AJ$2,Inputs!$K$4:$AJ$4,0))))=0,NA(),SUMPRODUCT((Inputs!$A$5:$A$170=$B55)*Inputs!$B$5:$B$170*(((Inputs!$G$5:$G$170="moeda")+(Inputs!$G$5:$G$170="acoes"))*Inputs!$B$1+((Inputs!$G$5:$G$170&lt;&gt;"moeda")*(Inputs!$G$5:$G$170&lt;&gt;"acoes")))*INDEX(Inputs!$K$5:$AJ$170,0,MATCH(AJ$2,Inputs!$K$4:$AJ$4,0)))+SUMPRODUCT((Inputs!$C$5:$C$170=$B55)*Inputs!$D$5:$D$170*(((Inputs!$G$5:$G$170="moeda")+(Inputs!$G$5:$G$170="acoes"))*Inputs!$B$1+((Inputs!$G$5:$G$170&lt;&gt;"moeda")*(Inputs!$G$5:$G$170&lt;&gt;"acoes")))*INDEX(Inputs!$K$5:$AJ$170,0,MATCH(AJ$2,Inputs!$K$4:$AJ$4,0)))+SUMPRODUCT((Inputs!$E$5:$E$170=$B55)*Inputs!$F$5:$F$170*(((Inputs!$G$5:$G$170="moeda")+(Inputs!$G$5:$G$170="acoes"))*Inputs!$B$1+((Inputs!$G$5:$G$170&lt;&gt;"moeda")*(Inputs!$G$5:$G$170&lt;&gt;"acoes")))*INDEX(Inputs!$K$5:$AJ$170,0,MATCH(AJ$2,Inputs!$K$4:$AJ$4,0)))))</f>
        <v>117.548</v>
      </c>
      <c r="AK55" s="264">
        <f>IF(ISNA(MATCH(AK$2,Inputs!$K$4:$AJ$4,0)),NA(),IF(SUMPRODUCT((Inputs!$A$5:$A$170=$B55)*ISNUMBER(INDEX(Inputs!$K$5:$AJ$170,0,MATCH(AK$2,Inputs!$K$4:$AJ$4,0))))+SUMPRODUCT((Inputs!$C$5:$C$170=$B55)*ISNUMBER(INDEX(Inputs!$K$5:$AJ$170,0,MATCH(AK$2,Inputs!$K$4:$AJ$4,0))))+SUMPRODUCT((Inputs!$E$5:$E$170=$B55)*ISNUMBER(INDEX(Inputs!$K$5:$AJ$170,0,MATCH(AK$2,Inputs!$K$4:$AJ$4,0))))=0,NA(),SUMPRODUCT((Inputs!$A$5:$A$170=$B55)*Inputs!$B$5:$B$170*(((Inputs!$G$5:$G$170="moeda")+(Inputs!$G$5:$G$170="acoes"))*Inputs!$B$1+((Inputs!$G$5:$G$170&lt;&gt;"moeda")*(Inputs!$G$5:$G$170&lt;&gt;"acoes")))*INDEX(Inputs!$K$5:$AJ$170,0,MATCH(AK$2,Inputs!$K$4:$AJ$4,0)))+SUMPRODUCT((Inputs!$C$5:$C$170=$B55)*Inputs!$D$5:$D$170*(((Inputs!$G$5:$G$170="moeda")+(Inputs!$G$5:$G$170="acoes"))*Inputs!$B$1+((Inputs!$G$5:$G$170&lt;&gt;"moeda")*(Inputs!$G$5:$G$170&lt;&gt;"acoes")))*INDEX(Inputs!$K$5:$AJ$170,0,MATCH(AK$2,Inputs!$K$4:$AJ$4,0)))+SUMPRODUCT((Inputs!$E$5:$E$170=$B55)*Inputs!$F$5:$F$170*(((Inputs!$G$5:$G$170="moeda")+(Inputs!$G$5:$G$170="acoes"))*Inputs!$B$1+((Inputs!$G$5:$G$170&lt;&gt;"moeda")*(Inputs!$G$5:$G$170&lt;&gt;"acoes")))*INDEX(Inputs!$K$5:$AJ$170,0,MATCH(AK$2,Inputs!$K$4:$AJ$4,0)))))</f>
        <v>133.352</v>
      </c>
      <c r="AL55" s="265">
        <f>SUM(AH55:AK55)</f>
        <v>484.675</v>
      </c>
    </row>
    <row r="56">
      <c r="B56" s="46" t="n">
        <v>48</v>
      </c>
      <c r="C56" s="29" t="inlineStr">
        <is>
          <t>Receita liquida Seminovos (DRE l.87)</t>
        </is>
      </c>
      <c r="D56" s="264">
        <f>IF(ISNA(MATCH(D$2,Inputs!$K$4:$AJ$4,0)),NA(),IF(SUMPRODUCT((Inputs!$A$5:$A$170=$B56)*ISNUMBER(INDEX(Inputs!$K$5:$AJ$170,0,MATCH(D$2,Inputs!$K$4:$AJ$4,0))))+SUMPRODUCT((Inputs!$C$5:$C$170=$B56)*ISNUMBER(INDEX(Inputs!$K$5:$AJ$170,0,MATCH(D$2,Inputs!$K$4:$AJ$4,0))))+SUMPRODUCT((Inputs!$E$5:$E$170=$B56)*ISNUMBER(INDEX(Inputs!$K$5:$AJ$170,0,MATCH(D$2,Inputs!$K$4:$AJ$4,0))))=0,NA(),SUMPRODUCT((Inputs!$A$5:$A$170=$B56)*Inputs!$B$5:$B$170*(((Inputs!$G$5:$G$170="moeda")+(Inputs!$G$5:$G$170="acoes"))*Inputs!$B$1+((Inputs!$G$5:$G$170&lt;&gt;"moeda")*(Inputs!$G$5:$G$170&lt;&gt;"acoes")))*INDEX(Inputs!$K$5:$AJ$170,0,MATCH(D$2,Inputs!$K$4:$AJ$4,0)))+SUMPRODUCT((Inputs!$C$5:$C$170=$B56)*Inputs!$D$5:$D$170*(((Inputs!$G$5:$G$170="moeda")+(Inputs!$G$5:$G$170="acoes"))*Inputs!$B$1+((Inputs!$G$5:$G$170&lt;&gt;"moeda")*(Inputs!$G$5:$G$170&lt;&gt;"acoes")))*INDEX(Inputs!$K$5:$AJ$170,0,MATCH(D$2,Inputs!$K$4:$AJ$4,0)))+SUMPRODUCT((Inputs!$E$5:$E$170=$B56)*Inputs!$F$5:$F$170*(((Inputs!$G$5:$G$170="moeda")+(Inputs!$G$5:$G$170="acoes"))*Inputs!$B$1+((Inputs!$G$5:$G$170&lt;&gt;"moeda")*(Inputs!$G$5:$G$170&lt;&gt;"acoes")))*INDEX(Inputs!$K$5:$AJ$170,0,MATCH(D$2,Inputs!$K$4:$AJ$4,0)))))</f>
        <v>274.54</v>
      </c>
      <c r="E56" s="264">
        <f>IF(ISNA(MATCH(E$2,Inputs!$K$4:$AJ$4,0)),NA(),IF(SUMPRODUCT((Inputs!$A$5:$A$170=$B56)*ISNUMBER(INDEX(Inputs!$K$5:$AJ$170,0,MATCH(E$2,Inputs!$K$4:$AJ$4,0))))+SUMPRODUCT((Inputs!$C$5:$C$170=$B56)*ISNUMBER(INDEX(Inputs!$K$5:$AJ$170,0,MATCH(E$2,Inputs!$K$4:$AJ$4,0))))+SUMPRODUCT((Inputs!$E$5:$E$170=$B56)*ISNUMBER(INDEX(Inputs!$K$5:$AJ$170,0,MATCH(E$2,Inputs!$K$4:$AJ$4,0))))=0,NA(),SUMPRODUCT((Inputs!$A$5:$A$170=$B56)*Inputs!$B$5:$B$170*(((Inputs!$G$5:$G$170="moeda")+(Inputs!$G$5:$G$170="acoes"))*Inputs!$B$1+((Inputs!$G$5:$G$170&lt;&gt;"moeda")*(Inputs!$G$5:$G$170&lt;&gt;"acoes")))*INDEX(Inputs!$K$5:$AJ$170,0,MATCH(E$2,Inputs!$K$4:$AJ$4,0)))+SUMPRODUCT((Inputs!$C$5:$C$170=$B56)*Inputs!$D$5:$D$170*(((Inputs!$G$5:$G$170="moeda")+(Inputs!$G$5:$G$170="acoes"))*Inputs!$B$1+((Inputs!$G$5:$G$170&lt;&gt;"moeda")*(Inputs!$G$5:$G$170&lt;&gt;"acoes")))*INDEX(Inputs!$K$5:$AJ$170,0,MATCH(E$2,Inputs!$K$4:$AJ$4,0)))+SUMPRODUCT((Inputs!$E$5:$E$170=$B56)*Inputs!$F$5:$F$170*(((Inputs!$G$5:$G$170="moeda")+(Inputs!$G$5:$G$170="acoes"))*Inputs!$B$1+((Inputs!$G$5:$G$170&lt;&gt;"moeda")*(Inputs!$G$5:$G$170&lt;&gt;"acoes")))*INDEX(Inputs!$K$5:$AJ$170,0,MATCH(E$2,Inputs!$K$4:$AJ$4,0)))))</f>
        <v>673.48</v>
      </c>
      <c r="F56" s="264">
        <f>IF(ISNA(MATCH(F$2,Inputs!$K$4:$AJ$4,0)),NA(),IF(SUMPRODUCT((Inputs!$A$5:$A$170=$B56)*ISNUMBER(INDEX(Inputs!$K$5:$AJ$170,0,MATCH(F$2,Inputs!$K$4:$AJ$4,0))))+SUMPRODUCT((Inputs!$C$5:$C$170=$B56)*ISNUMBER(INDEX(Inputs!$K$5:$AJ$170,0,MATCH(F$2,Inputs!$K$4:$AJ$4,0))))+SUMPRODUCT((Inputs!$E$5:$E$170=$B56)*ISNUMBER(INDEX(Inputs!$K$5:$AJ$170,0,MATCH(F$2,Inputs!$K$4:$AJ$4,0))))=0,NA(),SUMPRODUCT((Inputs!$A$5:$A$170=$B56)*Inputs!$B$5:$B$170*(((Inputs!$G$5:$G$170="moeda")+(Inputs!$G$5:$G$170="acoes"))*Inputs!$B$1+((Inputs!$G$5:$G$170&lt;&gt;"moeda")*(Inputs!$G$5:$G$170&lt;&gt;"acoes")))*INDEX(Inputs!$K$5:$AJ$170,0,MATCH(F$2,Inputs!$K$4:$AJ$4,0)))+SUMPRODUCT((Inputs!$C$5:$C$170=$B56)*Inputs!$D$5:$D$170*(((Inputs!$G$5:$G$170="moeda")+(Inputs!$G$5:$G$170="acoes"))*Inputs!$B$1+((Inputs!$G$5:$G$170&lt;&gt;"moeda")*(Inputs!$G$5:$G$170&lt;&gt;"acoes")))*INDEX(Inputs!$K$5:$AJ$170,0,MATCH(F$2,Inputs!$K$4:$AJ$4,0)))+SUMPRODUCT((Inputs!$E$5:$E$170=$B56)*Inputs!$F$5:$F$170*(((Inputs!$G$5:$G$170="moeda")+(Inputs!$G$5:$G$170="acoes"))*Inputs!$B$1+((Inputs!$G$5:$G$170&lt;&gt;"moeda")*(Inputs!$G$5:$G$170&lt;&gt;"acoes")))*INDEX(Inputs!$K$5:$AJ$170,0,MATCH(F$2,Inputs!$K$4:$AJ$4,0)))))</f>
        <v>844.62</v>
      </c>
      <c r="G56" s="264">
        <f>IF(ISNA(MATCH(G$2,Inputs!$K$4:$AJ$4,0)),NA(),IF(SUMPRODUCT((Inputs!$A$5:$A$170=$B56)*ISNUMBER(INDEX(Inputs!$K$5:$AJ$170,0,MATCH(G$2,Inputs!$K$4:$AJ$4,0))))+SUMPRODUCT((Inputs!$C$5:$C$170=$B56)*ISNUMBER(INDEX(Inputs!$K$5:$AJ$170,0,MATCH(G$2,Inputs!$K$4:$AJ$4,0))))+SUMPRODUCT((Inputs!$E$5:$E$170=$B56)*ISNUMBER(INDEX(Inputs!$K$5:$AJ$170,0,MATCH(G$2,Inputs!$K$4:$AJ$4,0))))=0,NA(),SUMPRODUCT((Inputs!$A$5:$A$170=$B56)*Inputs!$B$5:$B$170*(((Inputs!$G$5:$G$170="moeda")+(Inputs!$G$5:$G$170="acoes"))*Inputs!$B$1+((Inputs!$G$5:$G$170&lt;&gt;"moeda")*(Inputs!$G$5:$G$170&lt;&gt;"acoes")))*INDEX(Inputs!$K$5:$AJ$170,0,MATCH(G$2,Inputs!$K$4:$AJ$4,0)))+SUMPRODUCT((Inputs!$C$5:$C$170=$B56)*Inputs!$D$5:$D$170*(((Inputs!$G$5:$G$170="moeda")+(Inputs!$G$5:$G$170="acoes"))*Inputs!$B$1+((Inputs!$G$5:$G$170&lt;&gt;"moeda")*(Inputs!$G$5:$G$170&lt;&gt;"acoes")))*INDEX(Inputs!$K$5:$AJ$170,0,MATCH(G$2,Inputs!$K$4:$AJ$4,0)))+SUMPRODUCT((Inputs!$E$5:$E$170=$B56)*Inputs!$F$5:$F$170*(((Inputs!$G$5:$G$170="moeda")+(Inputs!$G$5:$G$170="acoes"))*Inputs!$B$1+((Inputs!$G$5:$G$170&lt;&gt;"moeda")*(Inputs!$G$5:$G$170&lt;&gt;"acoes")))*INDEX(Inputs!$K$5:$AJ$170,0,MATCH(G$2,Inputs!$K$4:$AJ$4,0)))))</f>
        <v>809.115</v>
      </c>
      <c r="H56" s="265">
        <f>SUM(D56:G56)</f>
        <v>2601.755</v>
      </c>
      <c r="I56" s="264">
        <f>IF(ISNA(MATCH(I$2,Inputs!$K$4:$AJ$4,0)),NA(),IF(SUMPRODUCT((Inputs!$A$5:$A$170=$B56)*ISNUMBER(INDEX(Inputs!$K$5:$AJ$170,0,MATCH(I$2,Inputs!$K$4:$AJ$4,0))))+SUMPRODUCT((Inputs!$C$5:$C$170=$B56)*ISNUMBER(INDEX(Inputs!$K$5:$AJ$170,0,MATCH(I$2,Inputs!$K$4:$AJ$4,0))))+SUMPRODUCT((Inputs!$E$5:$E$170=$B56)*ISNUMBER(INDEX(Inputs!$K$5:$AJ$170,0,MATCH(I$2,Inputs!$K$4:$AJ$4,0))))=0,NA(),SUMPRODUCT((Inputs!$A$5:$A$170=$B56)*Inputs!$B$5:$B$170*(((Inputs!$G$5:$G$170="moeda")+(Inputs!$G$5:$G$170="acoes"))*Inputs!$B$1+((Inputs!$G$5:$G$170&lt;&gt;"moeda")*(Inputs!$G$5:$G$170&lt;&gt;"acoes")))*INDEX(Inputs!$K$5:$AJ$170,0,MATCH(I$2,Inputs!$K$4:$AJ$4,0)))+SUMPRODUCT((Inputs!$C$5:$C$170=$B56)*Inputs!$D$5:$D$170*(((Inputs!$G$5:$G$170="moeda")+(Inputs!$G$5:$G$170="acoes"))*Inputs!$B$1+((Inputs!$G$5:$G$170&lt;&gt;"moeda")*(Inputs!$G$5:$G$170&lt;&gt;"acoes")))*INDEX(Inputs!$K$5:$AJ$170,0,MATCH(I$2,Inputs!$K$4:$AJ$4,0)))+SUMPRODUCT((Inputs!$E$5:$E$170=$B56)*Inputs!$F$5:$F$170*(((Inputs!$G$5:$G$170="moeda")+(Inputs!$G$5:$G$170="acoes"))*Inputs!$B$1+((Inputs!$G$5:$G$170&lt;&gt;"moeda")*(Inputs!$G$5:$G$170&lt;&gt;"acoes")))*INDEX(Inputs!$K$5:$AJ$170,0,MATCH(I$2,Inputs!$K$4:$AJ$4,0)))))</f>
        <v>973.762</v>
      </c>
      <c r="J56" s="264">
        <f>IF(ISNA(MATCH(J$2,Inputs!$K$4:$AJ$4,0)),NA(),IF(SUMPRODUCT((Inputs!$A$5:$A$170=$B56)*ISNUMBER(INDEX(Inputs!$K$5:$AJ$170,0,MATCH(J$2,Inputs!$K$4:$AJ$4,0))))+SUMPRODUCT((Inputs!$C$5:$C$170=$B56)*ISNUMBER(INDEX(Inputs!$K$5:$AJ$170,0,MATCH(J$2,Inputs!$K$4:$AJ$4,0))))+SUMPRODUCT((Inputs!$E$5:$E$170=$B56)*ISNUMBER(INDEX(Inputs!$K$5:$AJ$170,0,MATCH(J$2,Inputs!$K$4:$AJ$4,0))))=0,NA(),SUMPRODUCT((Inputs!$A$5:$A$170=$B56)*Inputs!$B$5:$B$170*(((Inputs!$G$5:$G$170="moeda")+(Inputs!$G$5:$G$170="acoes"))*Inputs!$B$1+((Inputs!$G$5:$G$170&lt;&gt;"moeda")*(Inputs!$G$5:$G$170&lt;&gt;"acoes")))*INDEX(Inputs!$K$5:$AJ$170,0,MATCH(J$2,Inputs!$K$4:$AJ$4,0)))+SUMPRODUCT((Inputs!$C$5:$C$170=$B56)*Inputs!$D$5:$D$170*(((Inputs!$G$5:$G$170="moeda")+(Inputs!$G$5:$G$170="acoes"))*Inputs!$B$1+((Inputs!$G$5:$G$170&lt;&gt;"moeda")*(Inputs!$G$5:$G$170&lt;&gt;"acoes")))*INDEX(Inputs!$K$5:$AJ$170,0,MATCH(J$2,Inputs!$K$4:$AJ$4,0)))+SUMPRODUCT((Inputs!$E$5:$E$170=$B56)*Inputs!$F$5:$F$170*(((Inputs!$G$5:$G$170="moeda")+(Inputs!$G$5:$G$170="acoes"))*Inputs!$B$1+((Inputs!$G$5:$G$170&lt;&gt;"moeda")*(Inputs!$G$5:$G$170&lt;&gt;"acoes")))*INDEX(Inputs!$K$5:$AJ$170,0,MATCH(J$2,Inputs!$K$4:$AJ$4,0)))))</f>
        <v>1228.635</v>
      </c>
      <c r="K56" s="264">
        <f>IF(ISNA(MATCH(K$2,Inputs!$K$4:$AJ$4,0)),NA(),IF(SUMPRODUCT((Inputs!$A$5:$A$170=$B56)*ISNUMBER(INDEX(Inputs!$K$5:$AJ$170,0,MATCH(K$2,Inputs!$K$4:$AJ$4,0))))+SUMPRODUCT((Inputs!$C$5:$C$170=$B56)*ISNUMBER(INDEX(Inputs!$K$5:$AJ$170,0,MATCH(K$2,Inputs!$K$4:$AJ$4,0))))+SUMPRODUCT((Inputs!$E$5:$E$170=$B56)*ISNUMBER(INDEX(Inputs!$K$5:$AJ$170,0,MATCH(K$2,Inputs!$K$4:$AJ$4,0))))=0,NA(),SUMPRODUCT((Inputs!$A$5:$A$170=$B56)*Inputs!$B$5:$B$170*(((Inputs!$G$5:$G$170="moeda")+(Inputs!$G$5:$G$170="acoes"))*Inputs!$B$1+((Inputs!$G$5:$G$170&lt;&gt;"moeda")*(Inputs!$G$5:$G$170&lt;&gt;"acoes")))*INDEX(Inputs!$K$5:$AJ$170,0,MATCH(K$2,Inputs!$K$4:$AJ$4,0)))+SUMPRODUCT((Inputs!$C$5:$C$170=$B56)*Inputs!$D$5:$D$170*(((Inputs!$G$5:$G$170="moeda")+(Inputs!$G$5:$G$170="acoes"))*Inputs!$B$1+((Inputs!$G$5:$G$170&lt;&gt;"moeda")*(Inputs!$G$5:$G$170&lt;&gt;"acoes")))*INDEX(Inputs!$K$5:$AJ$170,0,MATCH(K$2,Inputs!$K$4:$AJ$4,0)))+SUMPRODUCT((Inputs!$E$5:$E$170=$B56)*Inputs!$F$5:$F$170*(((Inputs!$G$5:$G$170="moeda")+(Inputs!$G$5:$G$170="acoes"))*Inputs!$B$1+((Inputs!$G$5:$G$170&lt;&gt;"moeda")*(Inputs!$G$5:$G$170&lt;&gt;"acoes")))*INDEX(Inputs!$K$5:$AJ$170,0,MATCH(K$2,Inputs!$K$4:$AJ$4,0)))))</f>
        <v>1410.428</v>
      </c>
      <c r="L56" s="264">
        <f>IF(ISNA(MATCH(L$2,Inputs!$K$4:$AJ$4,0)),NA(),IF(SUMPRODUCT((Inputs!$A$5:$A$170=$B56)*ISNUMBER(INDEX(Inputs!$K$5:$AJ$170,0,MATCH(L$2,Inputs!$K$4:$AJ$4,0))))+SUMPRODUCT((Inputs!$C$5:$C$170=$B56)*ISNUMBER(INDEX(Inputs!$K$5:$AJ$170,0,MATCH(L$2,Inputs!$K$4:$AJ$4,0))))+SUMPRODUCT((Inputs!$E$5:$E$170=$B56)*ISNUMBER(INDEX(Inputs!$K$5:$AJ$170,0,MATCH(L$2,Inputs!$K$4:$AJ$4,0))))=0,NA(),SUMPRODUCT((Inputs!$A$5:$A$170=$B56)*Inputs!$B$5:$B$170*(((Inputs!$G$5:$G$170="moeda")+(Inputs!$G$5:$G$170="acoes"))*Inputs!$B$1+((Inputs!$G$5:$G$170&lt;&gt;"moeda")*(Inputs!$G$5:$G$170&lt;&gt;"acoes")))*INDEX(Inputs!$K$5:$AJ$170,0,MATCH(L$2,Inputs!$K$4:$AJ$4,0)))+SUMPRODUCT((Inputs!$C$5:$C$170=$B56)*Inputs!$D$5:$D$170*(((Inputs!$G$5:$G$170="moeda")+(Inputs!$G$5:$G$170="acoes"))*Inputs!$B$1+((Inputs!$G$5:$G$170&lt;&gt;"moeda")*(Inputs!$G$5:$G$170&lt;&gt;"acoes")))*INDEX(Inputs!$K$5:$AJ$170,0,MATCH(L$2,Inputs!$K$4:$AJ$4,0)))+SUMPRODUCT((Inputs!$E$5:$E$170=$B56)*Inputs!$F$5:$F$170*(((Inputs!$G$5:$G$170="moeda")+(Inputs!$G$5:$G$170="acoes"))*Inputs!$B$1+((Inputs!$G$5:$G$170&lt;&gt;"moeda")*(Inputs!$G$5:$G$170&lt;&gt;"acoes")))*INDEX(Inputs!$K$5:$AJ$170,0,MATCH(L$2,Inputs!$K$4:$AJ$4,0)))))</f>
        <v>1404.407</v>
      </c>
      <c r="M56" s="265">
        <f>SUM(I56:L56)</f>
        <v>5017.232</v>
      </c>
      <c r="N56" s="264">
        <f>IF(ISNA(MATCH(N$2,Inputs!$K$4:$AJ$4,0)),NA(),IF(SUMPRODUCT((Inputs!$A$5:$A$170=$B56)*ISNUMBER(INDEX(Inputs!$K$5:$AJ$170,0,MATCH(N$2,Inputs!$K$4:$AJ$4,0))))+SUMPRODUCT((Inputs!$C$5:$C$170=$B56)*ISNUMBER(INDEX(Inputs!$K$5:$AJ$170,0,MATCH(N$2,Inputs!$K$4:$AJ$4,0))))+SUMPRODUCT((Inputs!$E$5:$E$170=$B56)*ISNUMBER(INDEX(Inputs!$K$5:$AJ$170,0,MATCH(N$2,Inputs!$K$4:$AJ$4,0))))=0,NA(),SUMPRODUCT((Inputs!$A$5:$A$170=$B56)*Inputs!$B$5:$B$170*(((Inputs!$G$5:$G$170="moeda")+(Inputs!$G$5:$G$170="acoes"))*Inputs!$B$1+((Inputs!$G$5:$G$170&lt;&gt;"moeda")*(Inputs!$G$5:$G$170&lt;&gt;"acoes")))*INDEX(Inputs!$K$5:$AJ$170,0,MATCH(N$2,Inputs!$K$4:$AJ$4,0)))+SUMPRODUCT((Inputs!$C$5:$C$170=$B56)*Inputs!$D$5:$D$170*(((Inputs!$G$5:$G$170="moeda")+(Inputs!$G$5:$G$170="acoes"))*Inputs!$B$1+((Inputs!$G$5:$G$170&lt;&gt;"moeda")*(Inputs!$G$5:$G$170&lt;&gt;"acoes")))*INDEX(Inputs!$K$5:$AJ$170,0,MATCH(N$2,Inputs!$K$4:$AJ$4,0)))+SUMPRODUCT((Inputs!$E$5:$E$170=$B56)*Inputs!$F$5:$F$170*(((Inputs!$G$5:$G$170="moeda")+(Inputs!$G$5:$G$170="acoes"))*Inputs!$B$1+((Inputs!$G$5:$G$170&lt;&gt;"moeda")*(Inputs!$G$5:$G$170&lt;&gt;"acoes")))*INDEX(Inputs!$K$5:$AJ$170,0,MATCH(N$2,Inputs!$K$4:$AJ$4,0)))))</f>
        <v>1463.465</v>
      </c>
      <c r="O56" s="264">
        <f>IF(ISNA(MATCH(O$2,Inputs!$K$4:$AJ$4,0)),NA(),IF(SUMPRODUCT((Inputs!$A$5:$A$170=$B56)*ISNUMBER(INDEX(Inputs!$K$5:$AJ$170,0,MATCH(O$2,Inputs!$K$4:$AJ$4,0))))+SUMPRODUCT((Inputs!$C$5:$C$170=$B56)*ISNUMBER(INDEX(Inputs!$K$5:$AJ$170,0,MATCH(O$2,Inputs!$K$4:$AJ$4,0))))+SUMPRODUCT((Inputs!$E$5:$E$170=$B56)*ISNUMBER(INDEX(Inputs!$K$5:$AJ$170,0,MATCH(O$2,Inputs!$K$4:$AJ$4,0))))=0,NA(),SUMPRODUCT((Inputs!$A$5:$A$170=$B56)*Inputs!$B$5:$B$170*(((Inputs!$G$5:$G$170="moeda")+(Inputs!$G$5:$G$170="acoes"))*Inputs!$B$1+((Inputs!$G$5:$G$170&lt;&gt;"moeda")*(Inputs!$G$5:$G$170&lt;&gt;"acoes")))*INDEX(Inputs!$K$5:$AJ$170,0,MATCH(O$2,Inputs!$K$4:$AJ$4,0)))+SUMPRODUCT((Inputs!$C$5:$C$170=$B56)*Inputs!$D$5:$D$170*(((Inputs!$G$5:$G$170="moeda")+(Inputs!$G$5:$G$170="acoes"))*Inputs!$B$1+((Inputs!$G$5:$G$170&lt;&gt;"moeda")*(Inputs!$G$5:$G$170&lt;&gt;"acoes")))*INDEX(Inputs!$K$5:$AJ$170,0,MATCH(O$2,Inputs!$K$4:$AJ$4,0)))+SUMPRODUCT((Inputs!$E$5:$E$170=$B56)*Inputs!$F$5:$F$170*(((Inputs!$G$5:$G$170="moeda")+(Inputs!$G$5:$G$170="acoes"))*Inputs!$B$1+((Inputs!$G$5:$G$170&lt;&gt;"moeda")*(Inputs!$G$5:$G$170&lt;&gt;"acoes")))*INDEX(Inputs!$K$5:$AJ$170,0,MATCH(O$2,Inputs!$K$4:$AJ$4,0)))))</f>
        <v>1245.363</v>
      </c>
      <c r="P56" s="264">
        <f>IF(ISNA(MATCH(P$2,Inputs!$K$4:$AJ$4,0)),NA(),IF(SUMPRODUCT((Inputs!$A$5:$A$170=$B56)*ISNUMBER(INDEX(Inputs!$K$5:$AJ$170,0,MATCH(P$2,Inputs!$K$4:$AJ$4,0))))+SUMPRODUCT((Inputs!$C$5:$C$170=$B56)*ISNUMBER(INDEX(Inputs!$K$5:$AJ$170,0,MATCH(P$2,Inputs!$K$4:$AJ$4,0))))+SUMPRODUCT((Inputs!$E$5:$E$170=$B56)*ISNUMBER(INDEX(Inputs!$K$5:$AJ$170,0,MATCH(P$2,Inputs!$K$4:$AJ$4,0))))=0,NA(),SUMPRODUCT((Inputs!$A$5:$A$170=$B56)*Inputs!$B$5:$B$170*(((Inputs!$G$5:$G$170="moeda")+(Inputs!$G$5:$G$170="acoes"))*Inputs!$B$1+((Inputs!$G$5:$G$170&lt;&gt;"moeda")*(Inputs!$G$5:$G$170&lt;&gt;"acoes")))*INDEX(Inputs!$K$5:$AJ$170,0,MATCH(P$2,Inputs!$K$4:$AJ$4,0)))+SUMPRODUCT((Inputs!$C$5:$C$170=$B56)*Inputs!$D$5:$D$170*(((Inputs!$G$5:$G$170="moeda")+(Inputs!$G$5:$G$170="acoes"))*Inputs!$B$1+((Inputs!$G$5:$G$170&lt;&gt;"moeda")*(Inputs!$G$5:$G$170&lt;&gt;"acoes")))*INDEX(Inputs!$K$5:$AJ$170,0,MATCH(P$2,Inputs!$K$4:$AJ$4,0)))+SUMPRODUCT((Inputs!$E$5:$E$170=$B56)*Inputs!$F$5:$F$170*(((Inputs!$G$5:$G$170="moeda")+(Inputs!$G$5:$G$170="acoes"))*Inputs!$B$1+((Inputs!$G$5:$G$170&lt;&gt;"moeda")*(Inputs!$G$5:$G$170&lt;&gt;"acoes")))*INDEX(Inputs!$K$5:$AJ$170,0,MATCH(P$2,Inputs!$K$4:$AJ$4,0)))))</f>
        <v>1368.902</v>
      </c>
      <c r="Q56" s="264">
        <f>IF(ISNA(MATCH(Q$2,Inputs!$K$4:$AJ$4,0)),NA(),IF(SUMPRODUCT((Inputs!$A$5:$A$170=$B56)*ISNUMBER(INDEX(Inputs!$K$5:$AJ$170,0,MATCH(Q$2,Inputs!$K$4:$AJ$4,0))))+SUMPRODUCT((Inputs!$C$5:$C$170=$B56)*ISNUMBER(INDEX(Inputs!$K$5:$AJ$170,0,MATCH(Q$2,Inputs!$K$4:$AJ$4,0))))+SUMPRODUCT((Inputs!$E$5:$E$170=$B56)*ISNUMBER(INDEX(Inputs!$K$5:$AJ$170,0,MATCH(Q$2,Inputs!$K$4:$AJ$4,0))))=0,NA(),SUMPRODUCT((Inputs!$A$5:$A$170=$B56)*Inputs!$B$5:$B$170*(((Inputs!$G$5:$G$170="moeda")+(Inputs!$G$5:$G$170="acoes"))*Inputs!$B$1+((Inputs!$G$5:$G$170&lt;&gt;"moeda")*(Inputs!$G$5:$G$170&lt;&gt;"acoes")))*INDEX(Inputs!$K$5:$AJ$170,0,MATCH(Q$2,Inputs!$K$4:$AJ$4,0)))+SUMPRODUCT((Inputs!$C$5:$C$170=$B56)*Inputs!$D$5:$D$170*(((Inputs!$G$5:$G$170="moeda")+(Inputs!$G$5:$G$170="acoes"))*Inputs!$B$1+((Inputs!$G$5:$G$170&lt;&gt;"moeda")*(Inputs!$G$5:$G$170&lt;&gt;"acoes")))*INDEX(Inputs!$K$5:$AJ$170,0,MATCH(Q$2,Inputs!$K$4:$AJ$4,0)))+SUMPRODUCT((Inputs!$E$5:$E$170=$B56)*Inputs!$F$5:$F$170*(((Inputs!$G$5:$G$170="moeda")+(Inputs!$G$5:$G$170="acoes"))*Inputs!$B$1+((Inputs!$G$5:$G$170&lt;&gt;"moeda")*(Inputs!$G$5:$G$170&lt;&gt;"acoes")))*INDEX(Inputs!$K$5:$AJ$170,0,MATCH(Q$2,Inputs!$K$4:$AJ$4,0)))))</f>
        <v>1153.824</v>
      </c>
      <c r="R56" s="265">
        <f>SUM(N56:Q56)</f>
        <v>5231.554</v>
      </c>
      <c r="S56" s="264">
        <f>IF(ISNA(MATCH(S$2,Inputs!$K$4:$AJ$4,0)),NA(),IF(SUMPRODUCT((Inputs!$A$5:$A$170=$B56)*ISNUMBER(INDEX(Inputs!$K$5:$AJ$170,0,MATCH(S$2,Inputs!$K$4:$AJ$4,0))))+SUMPRODUCT((Inputs!$C$5:$C$170=$B56)*ISNUMBER(INDEX(Inputs!$K$5:$AJ$170,0,MATCH(S$2,Inputs!$K$4:$AJ$4,0))))+SUMPRODUCT((Inputs!$E$5:$E$170=$B56)*ISNUMBER(INDEX(Inputs!$K$5:$AJ$170,0,MATCH(S$2,Inputs!$K$4:$AJ$4,0))))=0,NA(),SUMPRODUCT((Inputs!$A$5:$A$170=$B56)*Inputs!$B$5:$B$170*(((Inputs!$G$5:$G$170="moeda")+(Inputs!$G$5:$G$170="acoes"))*Inputs!$B$1+((Inputs!$G$5:$G$170&lt;&gt;"moeda")*(Inputs!$G$5:$G$170&lt;&gt;"acoes")))*INDEX(Inputs!$K$5:$AJ$170,0,MATCH(S$2,Inputs!$K$4:$AJ$4,0)))+SUMPRODUCT((Inputs!$C$5:$C$170=$B56)*Inputs!$D$5:$D$170*(((Inputs!$G$5:$G$170="moeda")+(Inputs!$G$5:$G$170="acoes"))*Inputs!$B$1+((Inputs!$G$5:$G$170&lt;&gt;"moeda")*(Inputs!$G$5:$G$170&lt;&gt;"acoes")))*INDEX(Inputs!$K$5:$AJ$170,0,MATCH(S$2,Inputs!$K$4:$AJ$4,0)))+SUMPRODUCT((Inputs!$E$5:$E$170=$B56)*Inputs!$F$5:$F$170*(((Inputs!$G$5:$G$170="moeda")+(Inputs!$G$5:$G$170="acoes"))*Inputs!$B$1+((Inputs!$G$5:$G$170&lt;&gt;"moeda")*(Inputs!$G$5:$G$170&lt;&gt;"acoes")))*INDEX(Inputs!$K$5:$AJ$170,0,MATCH(S$2,Inputs!$K$4:$AJ$4,0)))))</f>
        <v>1526.448</v>
      </c>
      <c r="T56" s="264">
        <f>IF(ISNA(MATCH(T$2,Inputs!$K$4:$AJ$4,0)),NA(),IF(SUMPRODUCT((Inputs!$A$5:$A$170=$B56)*ISNUMBER(INDEX(Inputs!$K$5:$AJ$170,0,MATCH(T$2,Inputs!$K$4:$AJ$4,0))))+SUMPRODUCT((Inputs!$C$5:$C$170=$B56)*ISNUMBER(INDEX(Inputs!$K$5:$AJ$170,0,MATCH(T$2,Inputs!$K$4:$AJ$4,0))))+SUMPRODUCT((Inputs!$E$5:$E$170=$B56)*ISNUMBER(INDEX(Inputs!$K$5:$AJ$170,0,MATCH(T$2,Inputs!$K$4:$AJ$4,0))))=0,NA(),SUMPRODUCT((Inputs!$A$5:$A$170=$B56)*Inputs!$B$5:$B$170*(((Inputs!$G$5:$G$170="moeda")+(Inputs!$G$5:$G$170="acoes"))*Inputs!$B$1+((Inputs!$G$5:$G$170&lt;&gt;"moeda")*(Inputs!$G$5:$G$170&lt;&gt;"acoes")))*INDEX(Inputs!$K$5:$AJ$170,0,MATCH(T$2,Inputs!$K$4:$AJ$4,0)))+SUMPRODUCT((Inputs!$C$5:$C$170=$B56)*Inputs!$D$5:$D$170*(((Inputs!$G$5:$G$170="moeda")+(Inputs!$G$5:$G$170="acoes"))*Inputs!$B$1+((Inputs!$G$5:$G$170&lt;&gt;"moeda")*(Inputs!$G$5:$G$170&lt;&gt;"acoes")))*INDEX(Inputs!$K$5:$AJ$170,0,MATCH(T$2,Inputs!$K$4:$AJ$4,0)))+SUMPRODUCT((Inputs!$E$5:$E$170=$B56)*Inputs!$F$5:$F$170*(((Inputs!$G$5:$G$170="moeda")+(Inputs!$G$5:$G$170="acoes"))*Inputs!$B$1+((Inputs!$G$5:$G$170&lt;&gt;"moeda")*(Inputs!$G$5:$G$170&lt;&gt;"acoes")))*INDEX(Inputs!$K$5:$AJ$170,0,MATCH(T$2,Inputs!$K$4:$AJ$4,0)))))</f>
        <v>1827.516</v>
      </c>
      <c r="U56" s="264">
        <f>IF(ISNA(MATCH(U$2,Inputs!$K$4:$AJ$4,0)),NA(),IF(SUMPRODUCT((Inputs!$A$5:$A$170=$B56)*ISNUMBER(INDEX(Inputs!$K$5:$AJ$170,0,MATCH(U$2,Inputs!$K$4:$AJ$4,0))))+SUMPRODUCT((Inputs!$C$5:$C$170=$B56)*ISNUMBER(INDEX(Inputs!$K$5:$AJ$170,0,MATCH(U$2,Inputs!$K$4:$AJ$4,0))))+SUMPRODUCT((Inputs!$E$5:$E$170=$B56)*ISNUMBER(INDEX(Inputs!$K$5:$AJ$170,0,MATCH(U$2,Inputs!$K$4:$AJ$4,0))))=0,NA(),SUMPRODUCT((Inputs!$A$5:$A$170=$B56)*Inputs!$B$5:$B$170*(((Inputs!$G$5:$G$170="moeda")+(Inputs!$G$5:$G$170="acoes"))*Inputs!$B$1+((Inputs!$G$5:$G$170&lt;&gt;"moeda")*(Inputs!$G$5:$G$170&lt;&gt;"acoes")))*INDEX(Inputs!$K$5:$AJ$170,0,MATCH(U$2,Inputs!$K$4:$AJ$4,0)))+SUMPRODUCT((Inputs!$C$5:$C$170=$B56)*Inputs!$D$5:$D$170*(((Inputs!$G$5:$G$170="moeda")+(Inputs!$G$5:$G$170="acoes"))*Inputs!$B$1+((Inputs!$G$5:$G$170&lt;&gt;"moeda")*(Inputs!$G$5:$G$170&lt;&gt;"acoes")))*INDEX(Inputs!$K$5:$AJ$170,0,MATCH(U$2,Inputs!$K$4:$AJ$4,0)))+SUMPRODUCT((Inputs!$E$5:$E$170=$B56)*Inputs!$F$5:$F$170*(((Inputs!$G$5:$G$170="moeda")+(Inputs!$G$5:$G$170="acoes"))*Inputs!$B$1+((Inputs!$G$5:$G$170&lt;&gt;"moeda")*(Inputs!$G$5:$G$170&lt;&gt;"acoes")))*INDEX(Inputs!$K$5:$AJ$170,0,MATCH(U$2,Inputs!$K$4:$AJ$4,0)))))</f>
        <v>2031.166</v>
      </c>
      <c r="V56" s="264">
        <f>IF(ISNA(MATCH(V$2,Inputs!$K$4:$AJ$4,0)),NA(),IF(SUMPRODUCT((Inputs!$A$5:$A$170=$B56)*ISNUMBER(INDEX(Inputs!$K$5:$AJ$170,0,MATCH(V$2,Inputs!$K$4:$AJ$4,0))))+SUMPRODUCT((Inputs!$C$5:$C$170=$B56)*ISNUMBER(INDEX(Inputs!$K$5:$AJ$170,0,MATCH(V$2,Inputs!$K$4:$AJ$4,0))))+SUMPRODUCT((Inputs!$E$5:$E$170=$B56)*ISNUMBER(INDEX(Inputs!$K$5:$AJ$170,0,MATCH(V$2,Inputs!$K$4:$AJ$4,0))))=0,NA(),SUMPRODUCT((Inputs!$A$5:$A$170=$B56)*Inputs!$B$5:$B$170*(((Inputs!$G$5:$G$170="moeda")+(Inputs!$G$5:$G$170="acoes"))*Inputs!$B$1+((Inputs!$G$5:$G$170&lt;&gt;"moeda")*(Inputs!$G$5:$G$170&lt;&gt;"acoes")))*INDEX(Inputs!$K$5:$AJ$170,0,MATCH(V$2,Inputs!$K$4:$AJ$4,0)))+SUMPRODUCT((Inputs!$C$5:$C$170=$B56)*Inputs!$D$5:$D$170*(((Inputs!$G$5:$G$170="moeda")+(Inputs!$G$5:$G$170="acoes"))*Inputs!$B$1+((Inputs!$G$5:$G$170&lt;&gt;"moeda")*(Inputs!$G$5:$G$170&lt;&gt;"acoes")))*INDEX(Inputs!$K$5:$AJ$170,0,MATCH(V$2,Inputs!$K$4:$AJ$4,0)))+SUMPRODUCT((Inputs!$E$5:$E$170=$B56)*Inputs!$F$5:$F$170*(((Inputs!$G$5:$G$170="moeda")+(Inputs!$G$5:$G$170="acoes"))*Inputs!$B$1+((Inputs!$G$5:$G$170&lt;&gt;"moeda")*(Inputs!$G$5:$G$170&lt;&gt;"acoes")))*INDEX(Inputs!$K$5:$AJ$170,0,MATCH(V$2,Inputs!$K$4:$AJ$4,0)))))</f>
        <v>1457.1</v>
      </c>
      <c r="W56" s="265">
        <f>SUM(S56:V56)</f>
        <v>6842.23</v>
      </c>
      <c r="X56" s="264">
        <f>IF(ISNA(MATCH(X$2,Inputs!$K$4:$AJ$4,0)),NA(),IF(SUMPRODUCT((Inputs!$A$5:$A$170=$B56)*ISNUMBER(INDEX(Inputs!$K$5:$AJ$170,0,MATCH(X$2,Inputs!$K$4:$AJ$4,0))))+SUMPRODUCT((Inputs!$C$5:$C$170=$B56)*ISNUMBER(INDEX(Inputs!$K$5:$AJ$170,0,MATCH(X$2,Inputs!$K$4:$AJ$4,0))))+SUMPRODUCT((Inputs!$E$5:$E$170=$B56)*ISNUMBER(INDEX(Inputs!$K$5:$AJ$170,0,MATCH(X$2,Inputs!$K$4:$AJ$4,0))))=0,NA(),SUMPRODUCT((Inputs!$A$5:$A$170=$B56)*Inputs!$B$5:$B$170*(((Inputs!$G$5:$G$170="moeda")+(Inputs!$G$5:$G$170="acoes"))*Inputs!$B$1+((Inputs!$G$5:$G$170&lt;&gt;"moeda")*(Inputs!$G$5:$G$170&lt;&gt;"acoes")))*INDEX(Inputs!$K$5:$AJ$170,0,MATCH(X$2,Inputs!$K$4:$AJ$4,0)))+SUMPRODUCT((Inputs!$C$5:$C$170=$B56)*Inputs!$D$5:$D$170*(((Inputs!$G$5:$G$170="moeda")+(Inputs!$G$5:$G$170="acoes"))*Inputs!$B$1+((Inputs!$G$5:$G$170&lt;&gt;"moeda")*(Inputs!$G$5:$G$170&lt;&gt;"acoes")))*INDEX(Inputs!$K$5:$AJ$170,0,MATCH(X$2,Inputs!$K$4:$AJ$4,0)))+SUMPRODUCT((Inputs!$E$5:$E$170=$B56)*Inputs!$F$5:$F$170*(((Inputs!$G$5:$G$170="moeda")+(Inputs!$G$5:$G$170="acoes"))*Inputs!$B$1+((Inputs!$G$5:$G$170&lt;&gt;"moeda")*(Inputs!$G$5:$G$170&lt;&gt;"acoes")))*INDEX(Inputs!$K$5:$AJ$170,0,MATCH(X$2,Inputs!$K$4:$AJ$4,0)))))</f>
        <v>1689.326</v>
      </c>
      <c r="Y56" s="264">
        <f>IF(ISNA(MATCH(Y$2,Inputs!$K$4:$AJ$4,0)),NA(),IF(SUMPRODUCT((Inputs!$A$5:$A$170=$B56)*ISNUMBER(INDEX(Inputs!$K$5:$AJ$170,0,MATCH(Y$2,Inputs!$K$4:$AJ$4,0))))+SUMPRODUCT((Inputs!$C$5:$C$170=$B56)*ISNUMBER(INDEX(Inputs!$K$5:$AJ$170,0,MATCH(Y$2,Inputs!$K$4:$AJ$4,0))))+SUMPRODUCT((Inputs!$E$5:$E$170=$B56)*ISNUMBER(INDEX(Inputs!$K$5:$AJ$170,0,MATCH(Y$2,Inputs!$K$4:$AJ$4,0))))=0,NA(),SUMPRODUCT((Inputs!$A$5:$A$170=$B56)*Inputs!$B$5:$B$170*(((Inputs!$G$5:$G$170="moeda")+(Inputs!$G$5:$G$170="acoes"))*Inputs!$B$1+((Inputs!$G$5:$G$170&lt;&gt;"moeda")*(Inputs!$G$5:$G$170&lt;&gt;"acoes")))*INDEX(Inputs!$K$5:$AJ$170,0,MATCH(Y$2,Inputs!$K$4:$AJ$4,0)))+SUMPRODUCT((Inputs!$C$5:$C$170=$B56)*Inputs!$D$5:$D$170*(((Inputs!$G$5:$G$170="moeda")+(Inputs!$G$5:$G$170="acoes"))*Inputs!$B$1+((Inputs!$G$5:$G$170&lt;&gt;"moeda")*(Inputs!$G$5:$G$170&lt;&gt;"acoes")))*INDEX(Inputs!$K$5:$AJ$170,0,MATCH(Y$2,Inputs!$K$4:$AJ$4,0)))+SUMPRODUCT((Inputs!$E$5:$E$170=$B56)*Inputs!$F$5:$F$170*(((Inputs!$G$5:$G$170="moeda")+(Inputs!$G$5:$G$170="acoes"))*Inputs!$B$1+((Inputs!$G$5:$G$170&lt;&gt;"moeda")*(Inputs!$G$5:$G$170&lt;&gt;"acoes")))*INDEX(Inputs!$K$5:$AJ$170,0,MATCH(Y$2,Inputs!$K$4:$AJ$4,0)))))</f>
        <v>1786.374</v>
      </c>
      <c r="Z56" s="264">
        <f>IF(ISNA(MATCH(Z$2,Inputs!$K$4:$AJ$4,0)),NA(),IF(SUMPRODUCT((Inputs!$A$5:$A$170=$B56)*ISNUMBER(INDEX(Inputs!$K$5:$AJ$170,0,MATCH(Z$2,Inputs!$K$4:$AJ$4,0))))+SUMPRODUCT((Inputs!$C$5:$C$170=$B56)*ISNUMBER(INDEX(Inputs!$K$5:$AJ$170,0,MATCH(Z$2,Inputs!$K$4:$AJ$4,0))))+SUMPRODUCT((Inputs!$E$5:$E$170=$B56)*ISNUMBER(INDEX(Inputs!$K$5:$AJ$170,0,MATCH(Z$2,Inputs!$K$4:$AJ$4,0))))=0,NA(),SUMPRODUCT((Inputs!$A$5:$A$170=$B56)*Inputs!$B$5:$B$170*(((Inputs!$G$5:$G$170="moeda")+(Inputs!$G$5:$G$170="acoes"))*Inputs!$B$1+((Inputs!$G$5:$G$170&lt;&gt;"moeda")*(Inputs!$G$5:$G$170&lt;&gt;"acoes")))*INDEX(Inputs!$K$5:$AJ$170,0,MATCH(Z$2,Inputs!$K$4:$AJ$4,0)))+SUMPRODUCT((Inputs!$C$5:$C$170=$B56)*Inputs!$D$5:$D$170*(((Inputs!$G$5:$G$170="moeda")+(Inputs!$G$5:$G$170="acoes"))*Inputs!$B$1+((Inputs!$G$5:$G$170&lt;&gt;"moeda")*(Inputs!$G$5:$G$170&lt;&gt;"acoes")))*INDEX(Inputs!$K$5:$AJ$170,0,MATCH(Z$2,Inputs!$K$4:$AJ$4,0)))+SUMPRODUCT((Inputs!$E$5:$E$170=$B56)*Inputs!$F$5:$F$170*(((Inputs!$G$5:$G$170="moeda")+(Inputs!$G$5:$G$170="acoes"))*Inputs!$B$1+((Inputs!$G$5:$G$170&lt;&gt;"moeda")*(Inputs!$G$5:$G$170&lt;&gt;"acoes")))*INDEX(Inputs!$K$5:$AJ$170,0,MATCH(Z$2,Inputs!$K$4:$AJ$4,0)))))</f>
        <v>1755.031</v>
      </c>
      <c r="AA56" s="264">
        <f>IF(ISNA(MATCH(AA$2,Inputs!$K$4:$AJ$4,0)),NA(),IF(SUMPRODUCT((Inputs!$A$5:$A$170=$B56)*ISNUMBER(INDEX(Inputs!$K$5:$AJ$170,0,MATCH(AA$2,Inputs!$K$4:$AJ$4,0))))+SUMPRODUCT((Inputs!$C$5:$C$170=$B56)*ISNUMBER(INDEX(Inputs!$K$5:$AJ$170,0,MATCH(AA$2,Inputs!$K$4:$AJ$4,0))))+SUMPRODUCT((Inputs!$E$5:$E$170=$B56)*ISNUMBER(INDEX(Inputs!$K$5:$AJ$170,0,MATCH(AA$2,Inputs!$K$4:$AJ$4,0))))=0,NA(),SUMPRODUCT((Inputs!$A$5:$A$170=$B56)*Inputs!$B$5:$B$170*(((Inputs!$G$5:$G$170="moeda")+(Inputs!$G$5:$G$170="acoes"))*Inputs!$B$1+((Inputs!$G$5:$G$170&lt;&gt;"moeda")*(Inputs!$G$5:$G$170&lt;&gt;"acoes")))*INDEX(Inputs!$K$5:$AJ$170,0,MATCH(AA$2,Inputs!$K$4:$AJ$4,0)))+SUMPRODUCT((Inputs!$C$5:$C$170=$B56)*Inputs!$D$5:$D$170*(((Inputs!$G$5:$G$170="moeda")+(Inputs!$G$5:$G$170="acoes"))*Inputs!$B$1+((Inputs!$G$5:$G$170&lt;&gt;"moeda")*(Inputs!$G$5:$G$170&lt;&gt;"acoes")))*INDEX(Inputs!$K$5:$AJ$170,0,MATCH(AA$2,Inputs!$K$4:$AJ$4,0)))+SUMPRODUCT((Inputs!$E$5:$E$170=$B56)*Inputs!$F$5:$F$170*(((Inputs!$G$5:$G$170="moeda")+(Inputs!$G$5:$G$170="acoes"))*Inputs!$B$1+((Inputs!$G$5:$G$170&lt;&gt;"moeda")*(Inputs!$G$5:$G$170&lt;&gt;"acoes")))*INDEX(Inputs!$K$5:$AJ$170,0,MATCH(AA$2,Inputs!$K$4:$AJ$4,0)))))</f>
        <v>1562.58106565011</v>
      </c>
      <c r="AB56" s="265">
        <f>SUM(X56:AA56)</f>
        <v>6793.31206565011</v>
      </c>
      <c r="AC56" s="264">
        <f>IF(ISNA(MATCH(AC$2,Inputs!$K$4:$AJ$4,0)),NA(),IF(SUMPRODUCT((Inputs!$A$5:$A$170=$B56)*ISNUMBER(INDEX(Inputs!$K$5:$AJ$170,0,MATCH(AC$2,Inputs!$K$4:$AJ$4,0))))+SUMPRODUCT((Inputs!$C$5:$C$170=$B56)*ISNUMBER(INDEX(Inputs!$K$5:$AJ$170,0,MATCH(AC$2,Inputs!$K$4:$AJ$4,0))))+SUMPRODUCT((Inputs!$E$5:$E$170=$B56)*ISNUMBER(INDEX(Inputs!$K$5:$AJ$170,0,MATCH(AC$2,Inputs!$K$4:$AJ$4,0))))=0,NA(),SUMPRODUCT((Inputs!$A$5:$A$170=$B56)*Inputs!$B$5:$B$170*(((Inputs!$G$5:$G$170="moeda")+(Inputs!$G$5:$G$170="acoes"))*Inputs!$B$1+((Inputs!$G$5:$G$170&lt;&gt;"moeda")*(Inputs!$G$5:$G$170&lt;&gt;"acoes")))*INDEX(Inputs!$K$5:$AJ$170,0,MATCH(AC$2,Inputs!$K$4:$AJ$4,0)))+SUMPRODUCT((Inputs!$C$5:$C$170=$B56)*Inputs!$D$5:$D$170*(((Inputs!$G$5:$G$170="moeda")+(Inputs!$G$5:$G$170="acoes"))*Inputs!$B$1+((Inputs!$G$5:$G$170&lt;&gt;"moeda")*(Inputs!$G$5:$G$170&lt;&gt;"acoes")))*INDEX(Inputs!$K$5:$AJ$170,0,MATCH(AC$2,Inputs!$K$4:$AJ$4,0)))+SUMPRODUCT((Inputs!$E$5:$E$170=$B56)*Inputs!$F$5:$F$170*(((Inputs!$G$5:$G$170="moeda")+(Inputs!$G$5:$G$170="acoes"))*Inputs!$B$1+((Inputs!$G$5:$G$170&lt;&gt;"moeda")*(Inputs!$G$5:$G$170&lt;&gt;"acoes")))*INDEX(Inputs!$K$5:$AJ$170,0,MATCH(AC$2,Inputs!$K$4:$AJ$4,0)))))</f>
        <v>1575.02846140118</v>
      </c>
      <c r="AD56" s="264">
        <f>IF(ISNA(MATCH(AD$2,Inputs!$K$4:$AJ$4,0)),NA(),IF(SUMPRODUCT((Inputs!$A$5:$A$170=$B56)*ISNUMBER(INDEX(Inputs!$K$5:$AJ$170,0,MATCH(AD$2,Inputs!$K$4:$AJ$4,0))))+SUMPRODUCT((Inputs!$C$5:$C$170=$B56)*ISNUMBER(INDEX(Inputs!$K$5:$AJ$170,0,MATCH(AD$2,Inputs!$K$4:$AJ$4,0))))+SUMPRODUCT((Inputs!$E$5:$E$170=$B56)*ISNUMBER(INDEX(Inputs!$K$5:$AJ$170,0,MATCH(AD$2,Inputs!$K$4:$AJ$4,0))))=0,NA(),SUMPRODUCT((Inputs!$A$5:$A$170=$B56)*Inputs!$B$5:$B$170*(((Inputs!$G$5:$G$170="moeda")+(Inputs!$G$5:$G$170="acoes"))*Inputs!$B$1+((Inputs!$G$5:$G$170&lt;&gt;"moeda")*(Inputs!$G$5:$G$170&lt;&gt;"acoes")))*INDEX(Inputs!$K$5:$AJ$170,0,MATCH(AD$2,Inputs!$K$4:$AJ$4,0)))+SUMPRODUCT((Inputs!$C$5:$C$170=$B56)*Inputs!$D$5:$D$170*(((Inputs!$G$5:$G$170="moeda")+(Inputs!$G$5:$G$170="acoes"))*Inputs!$B$1+((Inputs!$G$5:$G$170&lt;&gt;"moeda")*(Inputs!$G$5:$G$170&lt;&gt;"acoes")))*INDEX(Inputs!$K$5:$AJ$170,0,MATCH(AD$2,Inputs!$K$4:$AJ$4,0)))+SUMPRODUCT((Inputs!$E$5:$E$170=$B56)*Inputs!$F$5:$F$170*(((Inputs!$G$5:$G$170="moeda")+(Inputs!$G$5:$G$170="acoes"))*Inputs!$B$1+((Inputs!$G$5:$G$170&lt;&gt;"moeda")*(Inputs!$G$5:$G$170&lt;&gt;"acoes")))*INDEX(Inputs!$K$5:$AJ$170,0,MATCH(AD$2,Inputs!$K$4:$AJ$4,0)))))</f>
        <v>1470.49557040821</v>
      </c>
      <c r="AE56" s="264" t="e">
        <f>IF(ISNA(MATCH(AE$2,Inputs!$K$4:$AJ$4,0)),NA(),IF(SUMPRODUCT((Inputs!$A$5:$A$170=$B56)*ISNUMBER(INDEX(Inputs!$K$5:$AJ$170,0,MATCH(AE$2,Inputs!$K$4:$AJ$4,0))))+SUMPRODUCT((Inputs!$C$5:$C$170=$B56)*ISNUMBER(INDEX(Inputs!$K$5:$AJ$170,0,MATCH(AE$2,Inputs!$K$4:$AJ$4,0))))+SUMPRODUCT((Inputs!$E$5:$E$170=$B56)*ISNUMBER(INDEX(Inputs!$K$5:$AJ$170,0,MATCH(AE$2,Inputs!$K$4:$AJ$4,0))))=0,NA(),SUMPRODUCT((Inputs!$A$5:$A$170=$B56)*Inputs!$B$5:$B$170*(((Inputs!$G$5:$G$170="moeda")+(Inputs!$G$5:$G$170="acoes"))*Inputs!$B$1+((Inputs!$G$5:$G$170&lt;&gt;"moeda")*(Inputs!$G$5:$G$170&lt;&gt;"acoes")))*INDEX(Inputs!$K$5:$AJ$170,0,MATCH(AE$2,Inputs!$K$4:$AJ$4,0)))+SUMPRODUCT((Inputs!$C$5:$C$170=$B56)*Inputs!$D$5:$D$170*(((Inputs!$G$5:$G$170="moeda")+(Inputs!$G$5:$G$170="acoes"))*Inputs!$B$1+((Inputs!$G$5:$G$170&lt;&gt;"moeda")*(Inputs!$G$5:$G$170&lt;&gt;"acoes")))*INDEX(Inputs!$K$5:$AJ$170,0,MATCH(AE$2,Inputs!$K$4:$AJ$4,0)))+SUMPRODUCT((Inputs!$E$5:$E$170=$B56)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6" s="264" t="e">
        <f>IF(ISNA(MATCH(AF$2,Inputs!$K$4:$AJ$4,0)),NA(),IF(SUMPRODUCT((Inputs!$A$5:$A$170=$B56)*ISNUMBER(INDEX(Inputs!$K$5:$AJ$170,0,MATCH(AF$2,Inputs!$K$4:$AJ$4,0))))+SUMPRODUCT((Inputs!$C$5:$C$170=$B56)*ISNUMBER(INDEX(Inputs!$K$5:$AJ$170,0,MATCH(AF$2,Inputs!$K$4:$AJ$4,0))))+SUMPRODUCT((Inputs!$E$5:$E$170=$B56)*ISNUMBER(INDEX(Inputs!$K$5:$AJ$170,0,MATCH(AF$2,Inputs!$K$4:$AJ$4,0))))=0,NA(),SUMPRODUCT((Inputs!$A$5:$A$170=$B56)*Inputs!$B$5:$B$170*(((Inputs!$G$5:$G$170="moeda")+(Inputs!$G$5:$G$170="acoes"))*Inputs!$B$1+((Inputs!$G$5:$G$170&lt;&gt;"moeda")*(Inputs!$G$5:$G$170&lt;&gt;"acoes")))*INDEX(Inputs!$K$5:$AJ$170,0,MATCH(AF$2,Inputs!$K$4:$AJ$4,0)))+SUMPRODUCT((Inputs!$C$5:$C$170=$B56)*Inputs!$D$5:$D$170*(((Inputs!$G$5:$G$170="moeda")+(Inputs!$G$5:$G$170="acoes"))*Inputs!$B$1+((Inputs!$G$5:$G$170&lt;&gt;"moeda")*(Inputs!$G$5:$G$170&lt;&gt;"acoes")))*INDEX(Inputs!$K$5:$AJ$170,0,MATCH(AF$2,Inputs!$K$4:$AJ$4,0)))+SUMPRODUCT((Inputs!$E$5:$E$170=$B56)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$170=$B56)*ISNUMBER(INDEX(Inputs!$K$5:$AJ$170,0,MATCH(AH$2,Inputs!$K$4:$AJ$4,0))))+SUMPRODUCT((Inputs!$C$5:$C$170=$B56)*ISNUMBER(INDEX(Inputs!$K$5:$AJ$170,0,MATCH(AH$2,Inputs!$K$4:$AJ$4,0))))+SUMPRODUCT((Inputs!$E$5:$E$170=$B56)*ISNUMBER(INDEX(Inputs!$K$5:$AJ$170,0,MATCH(AH$2,Inputs!$K$4:$AJ$4,0))))=0,NA(),SUMPRODUCT((Inputs!$A$5:$A$170=$B56)*Inputs!$B$5:$B$170*(((Inputs!$G$5:$G$170="moeda")+(Inputs!$G$5:$G$170="acoes"))*Inputs!$B$1+((Inputs!$G$5:$G$170&lt;&gt;"moeda")*(Inputs!$G$5:$G$170&lt;&gt;"acoes")))*INDEX(Inputs!$K$5:$AJ$170,0,MATCH(AH$2,Inputs!$K$4:$AJ$4,0)))+SUMPRODUCT((Inputs!$C$5:$C$170=$B56)*Inputs!$D$5:$D$170*(((Inputs!$G$5:$G$170="moeda")+(Inputs!$G$5:$G$170="acoes"))*Inputs!$B$1+((Inputs!$G$5:$G$170&lt;&gt;"moeda")*(Inputs!$G$5:$G$170&lt;&gt;"acoes")))*INDEX(Inputs!$K$5:$AJ$170,0,MATCH(AH$2,Inputs!$K$4:$AJ$4,0)))+SUMPRODUCT((Inputs!$E$5:$E$170=$B56)*Inputs!$F$5:$F$170*(((Inputs!$G$5:$G$170="moeda")+(Inputs!$G$5:$G$170="acoes"))*Inputs!$B$1+((Inputs!$G$5:$G$170&lt;&gt;"moeda")*(Inputs!$G$5:$G$170&lt;&gt;"acoes")))*INDEX(Inputs!$K$5:$AJ$170,0,MATCH(AH$2,Inputs!$K$4:$AJ$4,0)))))</f>
        <v>559.199</v>
      </c>
      <c r="AI56" s="264">
        <f>IF(ISNA(MATCH(AI$2,Inputs!$K$4:$AJ$4,0)),NA(),IF(SUMPRODUCT((Inputs!$A$5:$A$170=$B56)*ISNUMBER(INDEX(Inputs!$K$5:$AJ$170,0,MATCH(AI$2,Inputs!$K$4:$AJ$4,0))))+SUMPRODUCT((Inputs!$C$5:$C$170=$B56)*ISNUMBER(INDEX(Inputs!$K$5:$AJ$170,0,MATCH(AI$2,Inputs!$K$4:$AJ$4,0))))+SUMPRODUCT((Inputs!$E$5:$E$170=$B56)*ISNUMBER(INDEX(Inputs!$K$5:$AJ$170,0,MATCH(AI$2,Inputs!$K$4:$AJ$4,0))))=0,NA(),SUMPRODUCT((Inputs!$A$5:$A$170=$B56)*Inputs!$B$5:$B$170*(((Inputs!$G$5:$G$170="moeda")+(Inputs!$G$5:$G$170="acoes"))*Inputs!$B$1+((Inputs!$G$5:$G$170&lt;&gt;"moeda")*(Inputs!$G$5:$G$170&lt;&gt;"acoes")))*INDEX(Inputs!$K$5:$AJ$170,0,MATCH(AI$2,Inputs!$K$4:$AJ$4,0)))+SUMPRODUCT((Inputs!$C$5:$C$170=$B56)*Inputs!$D$5:$D$170*(((Inputs!$G$5:$G$170="moeda")+(Inputs!$G$5:$G$170="acoes"))*Inputs!$B$1+((Inputs!$G$5:$G$170&lt;&gt;"moeda")*(Inputs!$G$5:$G$170&lt;&gt;"acoes")))*INDEX(Inputs!$K$5:$AJ$170,0,MATCH(AI$2,Inputs!$K$4:$AJ$4,0)))+SUMPRODUCT((Inputs!$E$5:$E$170=$B56)*Inputs!$F$5:$F$170*(((Inputs!$G$5:$G$170="moeda")+(Inputs!$G$5:$G$170="acoes"))*Inputs!$B$1+((Inputs!$G$5:$G$170&lt;&gt;"moeda")*(Inputs!$G$5:$G$170&lt;&gt;"acoes")))*INDEX(Inputs!$K$5:$AJ$170,0,MATCH(AI$2,Inputs!$K$4:$AJ$4,0)))))</f>
        <v>749.076</v>
      </c>
      <c r="AJ56" s="264">
        <f>IF(ISNA(MATCH(AJ$2,Inputs!$K$4:$AJ$4,0)),NA(),IF(SUMPRODUCT((Inputs!$A$5:$A$170=$B56)*ISNUMBER(INDEX(Inputs!$K$5:$AJ$170,0,MATCH(AJ$2,Inputs!$K$4:$AJ$4,0))))+SUMPRODUCT((Inputs!$C$5:$C$170=$B56)*ISNUMBER(INDEX(Inputs!$K$5:$AJ$170,0,MATCH(AJ$2,Inputs!$K$4:$AJ$4,0))))+SUMPRODUCT((Inputs!$E$5:$E$170=$B56)*ISNUMBER(INDEX(Inputs!$K$5:$AJ$170,0,MATCH(AJ$2,Inputs!$K$4:$AJ$4,0))))=0,NA(),SUMPRODUCT((Inputs!$A$5:$A$170=$B56)*Inputs!$B$5:$B$170*(((Inputs!$G$5:$G$170="moeda")+(Inputs!$G$5:$G$170="acoes"))*Inputs!$B$1+((Inputs!$G$5:$G$170&lt;&gt;"moeda")*(Inputs!$G$5:$G$170&lt;&gt;"acoes")))*INDEX(Inputs!$K$5:$AJ$170,0,MATCH(AJ$2,Inputs!$K$4:$AJ$4,0)))+SUMPRODUCT((Inputs!$C$5:$C$170=$B56)*Inputs!$D$5:$D$170*(((Inputs!$G$5:$G$170="moeda")+(Inputs!$G$5:$G$170="acoes"))*Inputs!$B$1+((Inputs!$G$5:$G$170&lt;&gt;"moeda")*(Inputs!$G$5:$G$170&lt;&gt;"acoes")))*INDEX(Inputs!$K$5:$AJ$170,0,MATCH(AJ$2,Inputs!$K$4:$AJ$4,0)))+SUMPRODUCT((Inputs!$E$5:$E$170=$B56)*Inputs!$F$5:$F$170*(((Inputs!$G$5:$G$170="moeda")+(Inputs!$G$5:$G$170="acoes"))*Inputs!$B$1+((Inputs!$G$5:$G$170&lt;&gt;"moeda")*(Inputs!$G$5:$G$170&lt;&gt;"acoes")))*INDEX(Inputs!$K$5:$AJ$170,0,MATCH(AJ$2,Inputs!$K$4:$AJ$4,0)))))</f>
        <v>640.865</v>
      </c>
      <c r="AK56" s="264">
        <f>IF(ISNA(MATCH(AK$2,Inputs!$K$4:$AJ$4,0)),NA(),IF(SUMPRODUCT((Inputs!$A$5:$A$170=$B56)*ISNUMBER(INDEX(Inputs!$K$5:$AJ$170,0,MATCH(AK$2,Inputs!$K$4:$AJ$4,0))))+SUMPRODUCT((Inputs!$C$5:$C$170=$B56)*ISNUMBER(INDEX(Inputs!$K$5:$AJ$170,0,MATCH(AK$2,Inputs!$K$4:$AJ$4,0))))+SUMPRODUCT((Inputs!$E$5:$E$170=$B56)*ISNUMBER(INDEX(Inputs!$K$5:$AJ$170,0,MATCH(AK$2,Inputs!$K$4:$AJ$4,0))))=0,NA(),SUMPRODUCT((Inputs!$A$5:$A$170=$B56)*Inputs!$B$5:$B$170*(((Inputs!$G$5:$G$170="moeda")+(Inputs!$G$5:$G$170="acoes"))*Inputs!$B$1+((Inputs!$G$5:$G$170&lt;&gt;"moeda")*(Inputs!$G$5:$G$170&lt;&gt;"acoes")))*INDEX(Inputs!$K$5:$AJ$170,0,MATCH(AK$2,Inputs!$K$4:$AJ$4,0)))+SUMPRODUCT((Inputs!$C$5:$C$170=$B56)*Inputs!$D$5:$D$170*(((Inputs!$G$5:$G$170="moeda")+(Inputs!$G$5:$G$170="acoes"))*Inputs!$B$1+((Inputs!$G$5:$G$170&lt;&gt;"moeda")*(Inputs!$G$5:$G$170&lt;&gt;"acoes")))*INDEX(Inputs!$K$5:$AJ$170,0,MATCH(AK$2,Inputs!$K$4:$AJ$4,0)))+SUMPRODUCT((Inputs!$E$5:$E$170=$B56)*Inputs!$F$5:$F$170*(((Inputs!$G$5:$G$170="moeda")+(Inputs!$G$5:$G$170="acoes"))*Inputs!$B$1+((Inputs!$G$5:$G$170&lt;&gt;"moeda")*(Inputs!$G$5:$G$170&lt;&gt;"acoes")))*INDEX(Inputs!$K$5:$AJ$170,0,MATCH(AK$2,Inputs!$K$4:$AJ$4,0)))))</f>
        <v>490.713</v>
      </c>
      <c r="AL56" s="265">
        <f>SUM(AH56:AK56)</f>
        <v>2439.853</v>
      </c>
    </row>
    <row r="57">
      <c r="B57" s="46" t="n">
        <v>49</v>
      </c>
      <c r="C57" s="29" t="inlineStr">
        <is>
          <t>EBITDA RAC consolidado (DRE l.61)</t>
        </is>
      </c>
      <c r="D57" s="264">
        <f>IF(ISNA(MATCH(D$2,Inputs!$K$4:$AJ$4,0)),NA(),IF(SUMPRODUCT((Inputs!$A$5:$A$170=$B57)*ISNUMBER(INDEX(Inputs!$K$5:$AJ$170,0,MATCH(D$2,Inputs!$K$4:$AJ$4,0))))+SUMPRODUCT((Inputs!$C$5:$C$170=$B57)*ISNUMBER(INDEX(Inputs!$K$5:$AJ$170,0,MATCH(D$2,Inputs!$K$4:$AJ$4,0))))+SUMPRODUCT((Inputs!$E$5:$E$170=$B57)*ISNUMBER(INDEX(Inputs!$K$5:$AJ$170,0,MATCH(D$2,Inputs!$K$4:$AJ$4,0))))=0,NA(),SUMPRODUCT((Inputs!$A$5:$A$170=$B57)*Inputs!$B$5:$B$170*(((Inputs!$G$5:$G$170="moeda")+(Inputs!$G$5:$G$170="acoes"))*Inputs!$B$1+((Inputs!$G$5:$G$170&lt;&gt;"moeda")*(Inputs!$G$5:$G$170&lt;&gt;"acoes")))*INDEX(Inputs!$K$5:$AJ$170,0,MATCH(D$2,Inputs!$K$4:$AJ$4,0)))+SUMPRODUCT((Inputs!$C$5:$C$170=$B57)*Inputs!$D$5:$D$170*(((Inputs!$G$5:$G$170="moeda")+(Inputs!$G$5:$G$170="acoes"))*Inputs!$B$1+((Inputs!$G$5:$G$170&lt;&gt;"moeda")*(Inputs!$G$5:$G$170&lt;&gt;"acoes")))*INDEX(Inputs!$K$5:$AJ$170,0,MATCH(D$2,Inputs!$K$4:$AJ$4,0)))+SUMPRODUCT((Inputs!$E$5:$E$170=$B57)*Inputs!$F$5:$F$170*(((Inputs!$G$5:$G$170="moeda")+(Inputs!$G$5:$G$170="acoes"))*Inputs!$B$1+((Inputs!$G$5:$G$170&lt;&gt;"moeda")*(Inputs!$G$5:$G$170&lt;&gt;"acoes")))*INDEX(Inputs!$K$5:$AJ$170,0,MATCH(D$2,Inputs!$K$4:$AJ$4,0)))))</f>
        <v>168.74</v>
      </c>
      <c r="E57" s="264">
        <f>IF(ISNA(MATCH(E$2,Inputs!$K$4:$AJ$4,0)),NA(),IF(SUMPRODUCT((Inputs!$A$5:$A$170=$B57)*ISNUMBER(INDEX(Inputs!$K$5:$AJ$170,0,MATCH(E$2,Inputs!$K$4:$AJ$4,0))))+SUMPRODUCT((Inputs!$C$5:$C$170=$B57)*ISNUMBER(INDEX(Inputs!$K$5:$AJ$170,0,MATCH(E$2,Inputs!$K$4:$AJ$4,0))))+SUMPRODUCT((Inputs!$E$5:$E$170=$B57)*ISNUMBER(INDEX(Inputs!$K$5:$AJ$170,0,MATCH(E$2,Inputs!$K$4:$AJ$4,0))))=0,NA(),SUMPRODUCT((Inputs!$A$5:$A$170=$B57)*Inputs!$B$5:$B$170*(((Inputs!$G$5:$G$170="moeda")+(Inputs!$G$5:$G$170="acoes"))*Inputs!$B$1+((Inputs!$G$5:$G$170&lt;&gt;"moeda")*(Inputs!$G$5:$G$170&lt;&gt;"acoes")))*INDEX(Inputs!$K$5:$AJ$170,0,MATCH(E$2,Inputs!$K$4:$AJ$4,0)))+SUMPRODUCT((Inputs!$C$5:$C$170=$B57)*Inputs!$D$5:$D$170*(((Inputs!$G$5:$G$170="moeda")+(Inputs!$G$5:$G$170="acoes"))*Inputs!$B$1+((Inputs!$G$5:$G$170&lt;&gt;"moeda")*(Inputs!$G$5:$G$170&lt;&gt;"acoes")))*INDEX(Inputs!$K$5:$AJ$170,0,MATCH(E$2,Inputs!$K$4:$AJ$4,0)))+SUMPRODUCT((Inputs!$E$5:$E$170=$B57)*Inputs!$F$5:$F$170*(((Inputs!$G$5:$G$170="moeda")+(Inputs!$G$5:$G$170="acoes"))*Inputs!$B$1+((Inputs!$G$5:$G$170&lt;&gt;"moeda")*(Inputs!$G$5:$G$170&lt;&gt;"acoes")))*INDEX(Inputs!$K$5:$AJ$170,0,MATCH(E$2,Inputs!$K$4:$AJ$4,0)))))</f>
        <v>140.676</v>
      </c>
      <c r="F57" s="264">
        <f>IF(ISNA(MATCH(F$2,Inputs!$K$4:$AJ$4,0)),NA(),IF(SUMPRODUCT((Inputs!$A$5:$A$170=$B57)*ISNUMBER(INDEX(Inputs!$K$5:$AJ$170,0,MATCH(F$2,Inputs!$K$4:$AJ$4,0))))+SUMPRODUCT((Inputs!$C$5:$C$170=$B57)*ISNUMBER(INDEX(Inputs!$K$5:$AJ$170,0,MATCH(F$2,Inputs!$K$4:$AJ$4,0))))+SUMPRODUCT((Inputs!$E$5:$E$170=$B57)*ISNUMBER(INDEX(Inputs!$K$5:$AJ$170,0,MATCH(F$2,Inputs!$K$4:$AJ$4,0))))=0,NA(),SUMPRODUCT((Inputs!$A$5:$A$170=$B57)*Inputs!$B$5:$B$170*(((Inputs!$G$5:$G$170="moeda")+(Inputs!$G$5:$G$170="acoes"))*Inputs!$B$1+((Inputs!$G$5:$G$170&lt;&gt;"moeda")*(Inputs!$G$5:$G$170&lt;&gt;"acoes")))*INDEX(Inputs!$K$5:$AJ$170,0,MATCH(F$2,Inputs!$K$4:$AJ$4,0)))+SUMPRODUCT((Inputs!$C$5:$C$170=$B57)*Inputs!$D$5:$D$170*(((Inputs!$G$5:$G$170="moeda")+(Inputs!$G$5:$G$170="acoes"))*Inputs!$B$1+((Inputs!$G$5:$G$170&lt;&gt;"moeda")*(Inputs!$G$5:$G$170&lt;&gt;"acoes")))*INDEX(Inputs!$K$5:$AJ$170,0,MATCH(F$2,Inputs!$K$4:$AJ$4,0)))+SUMPRODUCT((Inputs!$E$5:$E$170=$B57)*Inputs!$F$5:$F$170*(((Inputs!$G$5:$G$170="moeda")+(Inputs!$G$5:$G$170="acoes"))*Inputs!$B$1+((Inputs!$G$5:$G$170&lt;&gt;"moeda")*(Inputs!$G$5:$G$170&lt;&gt;"acoes")))*INDEX(Inputs!$K$5:$AJ$170,0,MATCH(F$2,Inputs!$K$4:$AJ$4,0)))))</f>
        <v>233.091</v>
      </c>
      <c r="G57" s="264">
        <f>IF(ISNA(MATCH(G$2,Inputs!$K$4:$AJ$4,0)),NA(),IF(SUMPRODUCT((Inputs!$A$5:$A$170=$B57)*ISNUMBER(INDEX(Inputs!$K$5:$AJ$170,0,MATCH(G$2,Inputs!$K$4:$AJ$4,0))))+SUMPRODUCT((Inputs!$C$5:$C$170=$B57)*ISNUMBER(INDEX(Inputs!$K$5:$AJ$170,0,MATCH(G$2,Inputs!$K$4:$AJ$4,0))))+SUMPRODUCT((Inputs!$E$5:$E$170=$B57)*ISNUMBER(INDEX(Inputs!$K$5:$AJ$170,0,MATCH(G$2,Inputs!$K$4:$AJ$4,0))))=0,NA(),SUMPRODUCT((Inputs!$A$5:$A$170=$B57)*Inputs!$B$5:$B$170*(((Inputs!$G$5:$G$170="moeda")+(Inputs!$G$5:$G$170="acoes"))*Inputs!$B$1+((Inputs!$G$5:$G$170&lt;&gt;"moeda")*(Inputs!$G$5:$G$170&lt;&gt;"acoes")))*INDEX(Inputs!$K$5:$AJ$170,0,MATCH(G$2,Inputs!$K$4:$AJ$4,0)))+SUMPRODUCT((Inputs!$C$5:$C$170=$B57)*Inputs!$D$5:$D$170*(((Inputs!$G$5:$G$170="moeda")+(Inputs!$G$5:$G$170="acoes"))*Inputs!$B$1+((Inputs!$G$5:$G$170&lt;&gt;"moeda")*(Inputs!$G$5:$G$170&lt;&gt;"acoes")))*INDEX(Inputs!$K$5:$AJ$170,0,MATCH(G$2,Inputs!$K$4:$AJ$4,0)))+SUMPRODUCT((Inputs!$E$5:$E$170=$B57)*Inputs!$F$5:$F$170*(((Inputs!$G$5:$G$170="moeda")+(Inputs!$G$5:$G$170="acoes"))*Inputs!$B$1+((Inputs!$G$5:$G$170&lt;&gt;"moeda")*(Inputs!$G$5:$G$170&lt;&gt;"acoes")))*INDEX(Inputs!$K$5:$AJ$170,0,MATCH(G$2,Inputs!$K$4:$AJ$4,0)))))</f>
        <v>333.123</v>
      </c>
      <c r="H57" s="265">
        <f>SUM(D57:G57)</f>
        <v>875.63</v>
      </c>
      <c r="I57" s="264">
        <f>IF(ISNA(MATCH(I$2,Inputs!$K$4:$AJ$4,0)),NA(),IF(SUMPRODUCT((Inputs!$A$5:$A$170=$B57)*ISNUMBER(INDEX(Inputs!$K$5:$AJ$170,0,MATCH(I$2,Inputs!$K$4:$AJ$4,0))))+SUMPRODUCT((Inputs!$C$5:$C$170=$B57)*ISNUMBER(INDEX(Inputs!$K$5:$AJ$170,0,MATCH(I$2,Inputs!$K$4:$AJ$4,0))))+SUMPRODUCT((Inputs!$E$5:$E$170=$B57)*ISNUMBER(INDEX(Inputs!$K$5:$AJ$170,0,MATCH(I$2,Inputs!$K$4:$AJ$4,0))))=0,NA(),SUMPRODUCT((Inputs!$A$5:$A$170=$B57)*Inputs!$B$5:$B$170*(((Inputs!$G$5:$G$170="moeda")+(Inputs!$G$5:$G$170="acoes"))*Inputs!$B$1+((Inputs!$G$5:$G$170&lt;&gt;"moeda")*(Inputs!$G$5:$G$170&lt;&gt;"acoes")))*INDEX(Inputs!$K$5:$AJ$170,0,MATCH(I$2,Inputs!$K$4:$AJ$4,0)))+SUMPRODUCT((Inputs!$C$5:$C$170=$B57)*Inputs!$D$5:$D$170*(((Inputs!$G$5:$G$170="moeda")+(Inputs!$G$5:$G$170="acoes"))*Inputs!$B$1+((Inputs!$G$5:$G$170&lt;&gt;"moeda")*(Inputs!$G$5:$G$170&lt;&gt;"acoes")))*INDEX(Inputs!$K$5:$AJ$170,0,MATCH(I$2,Inputs!$K$4:$AJ$4,0)))+SUMPRODUCT((Inputs!$E$5:$E$170=$B57)*Inputs!$F$5:$F$170*(((Inputs!$G$5:$G$170="moeda")+(Inputs!$G$5:$G$170="acoes"))*Inputs!$B$1+((Inputs!$G$5:$G$170&lt;&gt;"moeda")*(Inputs!$G$5:$G$170&lt;&gt;"acoes")))*INDEX(Inputs!$K$5:$AJ$170,0,MATCH(I$2,Inputs!$K$4:$AJ$4,0)))))</f>
        <v>373.325</v>
      </c>
      <c r="J57" s="264">
        <f>IF(ISNA(MATCH(J$2,Inputs!$K$4:$AJ$4,0)),NA(),IF(SUMPRODUCT((Inputs!$A$5:$A$170=$B57)*ISNUMBER(INDEX(Inputs!$K$5:$AJ$170,0,MATCH(J$2,Inputs!$K$4:$AJ$4,0))))+SUMPRODUCT((Inputs!$C$5:$C$170=$B57)*ISNUMBER(INDEX(Inputs!$K$5:$AJ$170,0,MATCH(J$2,Inputs!$K$4:$AJ$4,0))))+SUMPRODUCT((Inputs!$E$5:$E$170=$B57)*ISNUMBER(INDEX(Inputs!$K$5:$AJ$170,0,MATCH(J$2,Inputs!$K$4:$AJ$4,0))))=0,NA(),SUMPRODUCT((Inputs!$A$5:$A$170=$B57)*Inputs!$B$5:$B$170*(((Inputs!$G$5:$G$170="moeda")+(Inputs!$G$5:$G$170="acoes"))*Inputs!$B$1+((Inputs!$G$5:$G$170&lt;&gt;"moeda")*(Inputs!$G$5:$G$170&lt;&gt;"acoes")))*INDEX(Inputs!$K$5:$AJ$170,0,MATCH(J$2,Inputs!$K$4:$AJ$4,0)))+SUMPRODUCT((Inputs!$C$5:$C$170=$B57)*Inputs!$D$5:$D$170*(((Inputs!$G$5:$G$170="moeda")+(Inputs!$G$5:$G$170="acoes"))*Inputs!$B$1+((Inputs!$G$5:$G$170&lt;&gt;"moeda")*(Inputs!$G$5:$G$170&lt;&gt;"acoes")))*INDEX(Inputs!$K$5:$AJ$170,0,MATCH(J$2,Inputs!$K$4:$AJ$4,0)))+SUMPRODUCT((Inputs!$E$5:$E$170=$B57)*Inputs!$F$5:$F$170*(((Inputs!$G$5:$G$170="moeda")+(Inputs!$G$5:$G$170="acoes"))*Inputs!$B$1+((Inputs!$G$5:$G$170&lt;&gt;"moeda")*(Inputs!$G$5:$G$170&lt;&gt;"acoes")))*INDEX(Inputs!$K$5:$AJ$170,0,MATCH(J$2,Inputs!$K$4:$AJ$4,0)))))</f>
        <v>384.781</v>
      </c>
      <c r="K57" s="264">
        <f>IF(ISNA(MATCH(K$2,Inputs!$K$4:$AJ$4,0)),NA(),IF(SUMPRODUCT((Inputs!$A$5:$A$170=$B57)*ISNUMBER(INDEX(Inputs!$K$5:$AJ$170,0,MATCH(K$2,Inputs!$K$4:$AJ$4,0))))+SUMPRODUCT((Inputs!$C$5:$C$170=$B57)*ISNUMBER(INDEX(Inputs!$K$5:$AJ$170,0,MATCH(K$2,Inputs!$K$4:$AJ$4,0))))+SUMPRODUCT((Inputs!$E$5:$E$170=$B57)*ISNUMBER(INDEX(Inputs!$K$5:$AJ$170,0,MATCH(K$2,Inputs!$K$4:$AJ$4,0))))=0,NA(),SUMPRODUCT((Inputs!$A$5:$A$170=$B57)*Inputs!$B$5:$B$170*(((Inputs!$G$5:$G$170="moeda")+(Inputs!$G$5:$G$170="acoes"))*Inputs!$B$1+((Inputs!$G$5:$G$170&lt;&gt;"moeda")*(Inputs!$G$5:$G$170&lt;&gt;"acoes")))*INDEX(Inputs!$K$5:$AJ$170,0,MATCH(K$2,Inputs!$K$4:$AJ$4,0)))+SUMPRODUCT((Inputs!$C$5:$C$170=$B57)*Inputs!$D$5:$D$170*(((Inputs!$G$5:$G$170="moeda")+(Inputs!$G$5:$G$170="acoes"))*Inputs!$B$1+((Inputs!$G$5:$G$170&lt;&gt;"moeda")*(Inputs!$G$5:$G$170&lt;&gt;"acoes")))*INDEX(Inputs!$K$5:$AJ$170,0,MATCH(K$2,Inputs!$K$4:$AJ$4,0)))+SUMPRODUCT((Inputs!$E$5:$E$170=$B57)*Inputs!$F$5:$F$170*(((Inputs!$G$5:$G$170="moeda")+(Inputs!$G$5:$G$170="acoes"))*Inputs!$B$1+((Inputs!$G$5:$G$170&lt;&gt;"moeda")*(Inputs!$G$5:$G$170&lt;&gt;"acoes")))*INDEX(Inputs!$K$5:$AJ$170,0,MATCH(K$2,Inputs!$K$4:$AJ$4,0)))))</f>
        <v>457.844</v>
      </c>
      <c r="L57" s="264">
        <f>IF(ISNA(MATCH(L$2,Inputs!$K$4:$AJ$4,0)),NA(),IF(SUMPRODUCT((Inputs!$A$5:$A$170=$B57)*ISNUMBER(INDEX(Inputs!$K$5:$AJ$170,0,MATCH(L$2,Inputs!$K$4:$AJ$4,0))))+SUMPRODUCT((Inputs!$C$5:$C$170=$B57)*ISNUMBER(INDEX(Inputs!$K$5:$AJ$170,0,MATCH(L$2,Inputs!$K$4:$AJ$4,0))))+SUMPRODUCT((Inputs!$E$5:$E$170=$B57)*ISNUMBER(INDEX(Inputs!$K$5:$AJ$170,0,MATCH(L$2,Inputs!$K$4:$AJ$4,0))))=0,NA(),SUMPRODUCT((Inputs!$A$5:$A$170=$B57)*Inputs!$B$5:$B$170*(((Inputs!$G$5:$G$170="moeda")+(Inputs!$G$5:$G$170="acoes"))*Inputs!$B$1+((Inputs!$G$5:$G$170&lt;&gt;"moeda")*(Inputs!$G$5:$G$170&lt;&gt;"acoes")))*INDEX(Inputs!$K$5:$AJ$170,0,MATCH(L$2,Inputs!$K$4:$AJ$4,0)))+SUMPRODUCT((Inputs!$C$5:$C$170=$B57)*Inputs!$D$5:$D$170*(((Inputs!$G$5:$G$170="moeda")+(Inputs!$G$5:$G$170="acoes"))*Inputs!$B$1+((Inputs!$G$5:$G$170&lt;&gt;"moeda")*(Inputs!$G$5:$G$170&lt;&gt;"acoes")))*INDEX(Inputs!$K$5:$AJ$170,0,MATCH(L$2,Inputs!$K$4:$AJ$4,0)))+SUMPRODUCT((Inputs!$E$5:$E$170=$B57)*Inputs!$F$5:$F$170*(((Inputs!$G$5:$G$170="moeda")+(Inputs!$G$5:$G$170="acoes"))*Inputs!$B$1+((Inputs!$G$5:$G$170&lt;&gt;"moeda")*(Inputs!$G$5:$G$170&lt;&gt;"acoes")))*INDEX(Inputs!$K$5:$AJ$170,0,MATCH(L$2,Inputs!$K$4:$AJ$4,0)))))</f>
        <v>416.559</v>
      </c>
      <c r="M57" s="265">
        <f>SUM(I57:L57)</f>
        <v>1632.509</v>
      </c>
      <c r="N57" s="264">
        <f>IF(ISNA(MATCH(N$2,Inputs!$K$4:$AJ$4,0)),NA(),IF(SUMPRODUCT((Inputs!$A$5:$A$170=$B57)*ISNUMBER(INDEX(Inputs!$K$5:$AJ$170,0,MATCH(N$2,Inputs!$K$4:$AJ$4,0))))+SUMPRODUCT((Inputs!$C$5:$C$170=$B57)*ISNUMBER(INDEX(Inputs!$K$5:$AJ$170,0,MATCH(N$2,Inputs!$K$4:$AJ$4,0))))+SUMPRODUCT((Inputs!$E$5:$E$170=$B57)*ISNUMBER(INDEX(Inputs!$K$5:$AJ$170,0,MATCH(N$2,Inputs!$K$4:$AJ$4,0))))=0,NA(),SUMPRODUCT((Inputs!$A$5:$A$170=$B57)*Inputs!$B$5:$B$170*(((Inputs!$G$5:$G$170="moeda")+(Inputs!$G$5:$G$170="acoes"))*Inputs!$B$1+((Inputs!$G$5:$G$170&lt;&gt;"moeda")*(Inputs!$G$5:$G$170&lt;&gt;"acoes")))*INDEX(Inputs!$K$5:$AJ$170,0,MATCH(N$2,Inputs!$K$4:$AJ$4,0)))+SUMPRODUCT((Inputs!$C$5:$C$170=$B57)*Inputs!$D$5:$D$170*(((Inputs!$G$5:$G$170="moeda")+(Inputs!$G$5:$G$170="acoes"))*Inputs!$B$1+((Inputs!$G$5:$G$170&lt;&gt;"moeda")*(Inputs!$G$5:$G$170&lt;&gt;"acoes")))*INDEX(Inputs!$K$5:$AJ$170,0,MATCH(N$2,Inputs!$K$4:$AJ$4,0)))+SUMPRODUCT((Inputs!$E$5:$E$170=$B57)*Inputs!$F$5:$F$170*(((Inputs!$G$5:$G$170="moeda")+(Inputs!$G$5:$G$170="acoes"))*Inputs!$B$1+((Inputs!$G$5:$G$170&lt;&gt;"moeda")*(Inputs!$G$5:$G$170&lt;&gt;"acoes")))*INDEX(Inputs!$K$5:$AJ$170,0,MATCH(N$2,Inputs!$K$4:$AJ$4,0)))))</f>
        <v>427.387</v>
      </c>
      <c r="O57" s="264">
        <f>IF(ISNA(MATCH(O$2,Inputs!$K$4:$AJ$4,0)),NA(),IF(SUMPRODUCT((Inputs!$A$5:$A$170=$B57)*ISNUMBER(INDEX(Inputs!$K$5:$AJ$170,0,MATCH(O$2,Inputs!$K$4:$AJ$4,0))))+SUMPRODUCT((Inputs!$C$5:$C$170=$B57)*ISNUMBER(INDEX(Inputs!$K$5:$AJ$170,0,MATCH(O$2,Inputs!$K$4:$AJ$4,0))))+SUMPRODUCT((Inputs!$E$5:$E$170=$B57)*ISNUMBER(INDEX(Inputs!$K$5:$AJ$170,0,MATCH(O$2,Inputs!$K$4:$AJ$4,0))))=0,NA(),SUMPRODUCT((Inputs!$A$5:$A$170=$B57)*Inputs!$B$5:$B$170*(((Inputs!$G$5:$G$170="moeda")+(Inputs!$G$5:$G$170="acoes"))*Inputs!$B$1+((Inputs!$G$5:$G$170&lt;&gt;"moeda")*(Inputs!$G$5:$G$170&lt;&gt;"acoes")))*INDEX(Inputs!$K$5:$AJ$170,0,MATCH(O$2,Inputs!$K$4:$AJ$4,0)))+SUMPRODUCT((Inputs!$C$5:$C$170=$B57)*Inputs!$D$5:$D$170*(((Inputs!$G$5:$G$170="moeda")+(Inputs!$G$5:$G$170="acoes"))*Inputs!$B$1+((Inputs!$G$5:$G$170&lt;&gt;"moeda")*(Inputs!$G$5:$G$170&lt;&gt;"acoes")))*INDEX(Inputs!$K$5:$AJ$170,0,MATCH(O$2,Inputs!$K$4:$AJ$4,0)))+SUMPRODUCT((Inputs!$E$5:$E$170=$B57)*Inputs!$F$5:$F$170*(((Inputs!$G$5:$G$170="moeda")+(Inputs!$G$5:$G$170="acoes"))*Inputs!$B$1+((Inputs!$G$5:$G$170&lt;&gt;"moeda")*(Inputs!$G$5:$G$170&lt;&gt;"acoes")))*INDEX(Inputs!$K$5:$AJ$170,0,MATCH(O$2,Inputs!$K$4:$AJ$4,0)))))</f>
        <v>381.802</v>
      </c>
      <c r="P57" s="264">
        <f>IF(ISNA(MATCH(P$2,Inputs!$K$4:$AJ$4,0)),NA(),IF(SUMPRODUCT((Inputs!$A$5:$A$170=$B57)*ISNUMBER(INDEX(Inputs!$K$5:$AJ$170,0,MATCH(P$2,Inputs!$K$4:$AJ$4,0))))+SUMPRODUCT((Inputs!$C$5:$C$170=$B57)*ISNUMBER(INDEX(Inputs!$K$5:$AJ$170,0,MATCH(P$2,Inputs!$K$4:$AJ$4,0))))+SUMPRODUCT((Inputs!$E$5:$E$170=$B57)*ISNUMBER(INDEX(Inputs!$K$5:$AJ$170,0,MATCH(P$2,Inputs!$K$4:$AJ$4,0))))=0,NA(),SUMPRODUCT((Inputs!$A$5:$A$170=$B57)*Inputs!$B$5:$B$170*(((Inputs!$G$5:$G$170="moeda")+(Inputs!$G$5:$G$170="acoes"))*Inputs!$B$1+((Inputs!$G$5:$G$170&lt;&gt;"moeda")*(Inputs!$G$5:$G$170&lt;&gt;"acoes")))*INDEX(Inputs!$K$5:$AJ$170,0,MATCH(P$2,Inputs!$K$4:$AJ$4,0)))+SUMPRODUCT((Inputs!$C$5:$C$170=$B57)*Inputs!$D$5:$D$170*(((Inputs!$G$5:$G$170="moeda")+(Inputs!$G$5:$G$170="acoes"))*Inputs!$B$1+((Inputs!$G$5:$G$170&lt;&gt;"moeda")*(Inputs!$G$5:$G$170&lt;&gt;"acoes")))*INDEX(Inputs!$K$5:$AJ$170,0,MATCH(P$2,Inputs!$K$4:$AJ$4,0)))+SUMPRODUCT((Inputs!$E$5:$E$170=$B57)*Inputs!$F$5:$F$170*(((Inputs!$G$5:$G$170="moeda")+(Inputs!$G$5:$G$170="acoes"))*Inputs!$B$1+((Inputs!$G$5:$G$170&lt;&gt;"moeda")*(Inputs!$G$5:$G$170&lt;&gt;"acoes")))*INDEX(Inputs!$K$5:$AJ$170,0,MATCH(P$2,Inputs!$K$4:$AJ$4,0)))))</f>
        <v>395.515</v>
      </c>
      <c r="Q57" s="264">
        <f>IF(ISNA(MATCH(Q$2,Inputs!$K$4:$AJ$4,0)),NA(),IF(SUMPRODUCT((Inputs!$A$5:$A$170=$B57)*ISNUMBER(INDEX(Inputs!$K$5:$AJ$170,0,MATCH(Q$2,Inputs!$K$4:$AJ$4,0))))+SUMPRODUCT((Inputs!$C$5:$C$170=$B57)*ISNUMBER(INDEX(Inputs!$K$5:$AJ$170,0,MATCH(Q$2,Inputs!$K$4:$AJ$4,0))))+SUMPRODUCT((Inputs!$E$5:$E$170=$B57)*ISNUMBER(INDEX(Inputs!$K$5:$AJ$170,0,MATCH(Q$2,Inputs!$K$4:$AJ$4,0))))=0,NA(),SUMPRODUCT((Inputs!$A$5:$A$170=$B57)*Inputs!$B$5:$B$170*(((Inputs!$G$5:$G$170="moeda")+(Inputs!$G$5:$G$170="acoes"))*Inputs!$B$1+((Inputs!$G$5:$G$170&lt;&gt;"moeda")*(Inputs!$G$5:$G$170&lt;&gt;"acoes")))*INDEX(Inputs!$K$5:$AJ$170,0,MATCH(Q$2,Inputs!$K$4:$AJ$4,0)))+SUMPRODUCT((Inputs!$C$5:$C$170=$B57)*Inputs!$D$5:$D$170*(((Inputs!$G$5:$G$170="moeda")+(Inputs!$G$5:$G$170="acoes"))*Inputs!$B$1+((Inputs!$G$5:$G$170&lt;&gt;"moeda")*(Inputs!$G$5:$G$170&lt;&gt;"acoes")))*INDEX(Inputs!$K$5:$AJ$170,0,MATCH(Q$2,Inputs!$K$4:$AJ$4,0)))+SUMPRODUCT((Inputs!$E$5:$E$170=$B57)*Inputs!$F$5:$F$170*(((Inputs!$G$5:$G$170="moeda")+(Inputs!$G$5:$G$170="acoes"))*Inputs!$B$1+((Inputs!$G$5:$G$170&lt;&gt;"moeda")*(Inputs!$G$5:$G$170&lt;&gt;"acoes")))*INDEX(Inputs!$K$5:$AJ$170,0,MATCH(Q$2,Inputs!$K$4:$AJ$4,0)))))</f>
        <v>367.098</v>
      </c>
      <c r="R57" s="265">
        <f>SUM(N57:Q57)</f>
        <v>1571.802</v>
      </c>
      <c r="S57" s="264">
        <f>IF(ISNA(MATCH(S$2,Inputs!$K$4:$AJ$4,0)),NA(),IF(SUMPRODUCT((Inputs!$A$5:$A$170=$B57)*ISNUMBER(INDEX(Inputs!$K$5:$AJ$170,0,MATCH(S$2,Inputs!$K$4:$AJ$4,0))))+SUMPRODUCT((Inputs!$C$5:$C$170=$B57)*ISNUMBER(INDEX(Inputs!$K$5:$AJ$170,0,MATCH(S$2,Inputs!$K$4:$AJ$4,0))))+SUMPRODUCT((Inputs!$E$5:$E$170=$B57)*ISNUMBER(INDEX(Inputs!$K$5:$AJ$170,0,MATCH(S$2,Inputs!$K$4:$AJ$4,0))))=0,NA(),SUMPRODUCT((Inputs!$A$5:$A$170=$B57)*Inputs!$B$5:$B$170*(((Inputs!$G$5:$G$170="moeda")+(Inputs!$G$5:$G$170="acoes"))*Inputs!$B$1+((Inputs!$G$5:$G$170&lt;&gt;"moeda")*(Inputs!$G$5:$G$170&lt;&gt;"acoes")))*INDEX(Inputs!$K$5:$AJ$170,0,MATCH(S$2,Inputs!$K$4:$AJ$4,0)))+SUMPRODUCT((Inputs!$C$5:$C$170=$B57)*Inputs!$D$5:$D$170*(((Inputs!$G$5:$G$170="moeda")+(Inputs!$G$5:$G$170="acoes"))*Inputs!$B$1+((Inputs!$G$5:$G$170&lt;&gt;"moeda")*(Inputs!$G$5:$G$170&lt;&gt;"acoes")))*INDEX(Inputs!$K$5:$AJ$170,0,MATCH(S$2,Inputs!$K$4:$AJ$4,0)))+SUMPRODUCT((Inputs!$E$5:$E$170=$B57)*Inputs!$F$5:$F$170*(((Inputs!$G$5:$G$170="moeda")+(Inputs!$G$5:$G$170="acoes"))*Inputs!$B$1+((Inputs!$G$5:$G$170&lt;&gt;"moeda")*(Inputs!$G$5:$G$170&lt;&gt;"acoes")))*INDEX(Inputs!$K$5:$AJ$170,0,MATCH(S$2,Inputs!$K$4:$AJ$4,0)))))</f>
        <v>485.485</v>
      </c>
      <c r="T57" s="264">
        <f>IF(ISNA(MATCH(T$2,Inputs!$K$4:$AJ$4,0)),NA(),IF(SUMPRODUCT((Inputs!$A$5:$A$170=$B57)*ISNUMBER(INDEX(Inputs!$K$5:$AJ$170,0,MATCH(T$2,Inputs!$K$4:$AJ$4,0))))+SUMPRODUCT((Inputs!$C$5:$C$170=$B57)*ISNUMBER(INDEX(Inputs!$K$5:$AJ$170,0,MATCH(T$2,Inputs!$K$4:$AJ$4,0))))+SUMPRODUCT((Inputs!$E$5:$E$170=$B57)*ISNUMBER(INDEX(Inputs!$K$5:$AJ$170,0,MATCH(T$2,Inputs!$K$4:$AJ$4,0))))=0,NA(),SUMPRODUCT((Inputs!$A$5:$A$170=$B57)*Inputs!$B$5:$B$170*(((Inputs!$G$5:$G$170="moeda")+(Inputs!$G$5:$G$170="acoes"))*Inputs!$B$1+((Inputs!$G$5:$G$170&lt;&gt;"moeda")*(Inputs!$G$5:$G$170&lt;&gt;"acoes")))*INDEX(Inputs!$K$5:$AJ$170,0,MATCH(T$2,Inputs!$K$4:$AJ$4,0)))+SUMPRODUCT((Inputs!$C$5:$C$170=$B57)*Inputs!$D$5:$D$170*(((Inputs!$G$5:$G$170="moeda")+(Inputs!$G$5:$G$170="acoes"))*Inputs!$B$1+((Inputs!$G$5:$G$170&lt;&gt;"moeda")*(Inputs!$G$5:$G$170&lt;&gt;"acoes")))*INDEX(Inputs!$K$5:$AJ$170,0,MATCH(T$2,Inputs!$K$4:$AJ$4,0)))+SUMPRODUCT((Inputs!$E$5:$E$170=$B57)*Inputs!$F$5:$F$170*(((Inputs!$G$5:$G$170="moeda")+(Inputs!$G$5:$G$170="acoes"))*Inputs!$B$1+((Inputs!$G$5:$G$170&lt;&gt;"moeda")*(Inputs!$G$5:$G$170&lt;&gt;"acoes")))*INDEX(Inputs!$K$5:$AJ$170,0,MATCH(T$2,Inputs!$K$4:$AJ$4,0)))))</f>
        <v>504.709</v>
      </c>
      <c r="U57" s="264">
        <f>IF(ISNA(MATCH(U$2,Inputs!$K$4:$AJ$4,0)),NA(),IF(SUMPRODUCT((Inputs!$A$5:$A$170=$B57)*ISNUMBER(INDEX(Inputs!$K$5:$AJ$170,0,MATCH(U$2,Inputs!$K$4:$AJ$4,0))))+SUMPRODUCT((Inputs!$C$5:$C$170=$B57)*ISNUMBER(INDEX(Inputs!$K$5:$AJ$170,0,MATCH(U$2,Inputs!$K$4:$AJ$4,0))))+SUMPRODUCT((Inputs!$E$5:$E$170=$B57)*ISNUMBER(INDEX(Inputs!$K$5:$AJ$170,0,MATCH(U$2,Inputs!$K$4:$AJ$4,0))))=0,NA(),SUMPRODUCT((Inputs!$A$5:$A$170=$B57)*Inputs!$B$5:$B$170*(((Inputs!$G$5:$G$170="moeda")+(Inputs!$G$5:$G$170="acoes"))*Inputs!$B$1+((Inputs!$G$5:$G$170&lt;&gt;"moeda")*(Inputs!$G$5:$G$170&lt;&gt;"acoes")))*INDEX(Inputs!$K$5:$AJ$170,0,MATCH(U$2,Inputs!$K$4:$AJ$4,0)))+SUMPRODUCT((Inputs!$C$5:$C$170=$B57)*Inputs!$D$5:$D$170*(((Inputs!$G$5:$G$170="moeda")+(Inputs!$G$5:$G$170="acoes"))*Inputs!$B$1+((Inputs!$G$5:$G$170&lt;&gt;"moeda")*(Inputs!$G$5:$G$170&lt;&gt;"acoes")))*INDEX(Inputs!$K$5:$AJ$170,0,MATCH(U$2,Inputs!$K$4:$AJ$4,0)))+SUMPRODUCT((Inputs!$E$5:$E$170=$B57)*Inputs!$F$5:$F$170*(((Inputs!$G$5:$G$170="moeda")+(Inputs!$G$5:$G$170="acoes"))*Inputs!$B$1+((Inputs!$G$5:$G$170&lt;&gt;"moeda")*(Inputs!$G$5:$G$170&lt;&gt;"acoes")))*INDEX(Inputs!$K$5:$AJ$170,0,MATCH(U$2,Inputs!$K$4:$AJ$4,0)))))</f>
        <v>550.01</v>
      </c>
      <c r="V57" s="264">
        <f>IF(ISNA(MATCH(V$2,Inputs!$K$4:$AJ$4,0)),NA(),IF(SUMPRODUCT((Inputs!$A$5:$A$170=$B57)*ISNUMBER(INDEX(Inputs!$K$5:$AJ$170,0,MATCH(V$2,Inputs!$K$4:$AJ$4,0))))+SUMPRODUCT((Inputs!$C$5:$C$170=$B57)*ISNUMBER(INDEX(Inputs!$K$5:$AJ$170,0,MATCH(V$2,Inputs!$K$4:$AJ$4,0))))+SUMPRODUCT((Inputs!$E$5:$E$170=$B57)*ISNUMBER(INDEX(Inputs!$K$5:$AJ$170,0,MATCH(V$2,Inputs!$K$4:$AJ$4,0))))=0,NA(),SUMPRODUCT((Inputs!$A$5:$A$170=$B57)*Inputs!$B$5:$B$170*(((Inputs!$G$5:$G$170="moeda")+(Inputs!$G$5:$G$170="acoes"))*Inputs!$B$1+((Inputs!$G$5:$G$170&lt;&gt;"moeda")*(Inputs!$G$5:$G$170&lt;&gt;"acoes")))*INDEX(Inputs!$K$5:$AJ$170,0,MATCH(V$2,Inputs!$K$4:$AJ$4,0)))+SUMPRODUCT((Inputs!$C$5:$C$170=$B57)*Inputs!$D$5:$D$170*(((Inputs!$G$5:$G$170="moeda")+(Inputs!$G$5:$G$170="acoes"))*Inputs!$B$1+((Inputs!$G$5:$G$170&lt;&gt;"moeda")*(Inputs!$G$5:$G$170&lt;&gt;"acoes")))*INDEX(Inputs!$K$5:$AJ$170,0,MATCH(V$2,Inputs!$K$4:$AJ$4,0)))+SUMPRODUCT((Inputs!$E$5:$E$170=$B57)*Inputs!$F$5:$F$170*(((Inputs!$G$5:$G$170="moeda")+(Inputs!$G$5:$G$170="acoes"))*Inputs!$B$1+((Inputs!$G$5:$G$170&lt;&gt;"moeda")*(Inputs!$G$5:$G$170&lt;&gt;"acoes")))*INDEX(Inputs!$K$5:$AJ$170,0,MATCH(V$2,Inputs!$K$4:$AJ$4,0)))))</f>
        <v>543.336</v>
      </c>
      <c r="W57" s="265">
        <f>SUM(S57:V57)</f>
        <v>2083.54</v>
      </c>
      <c r="X57" s="264">
        <f>IF(ISNA(MATCH(X$2,Inputs!$K$4:$AJ$4,0)),NA(),IF(SUMPRODUCT((Inputs!$A$5:$A$170=$B57)*ISNUMBER(INDEX(Inputs!$K$5:$AJ$170,0,MATCH(X$2,Inputs!$K$4:$AJ$4,0))))+SUMPRODUCT((Inputs!$C$5:$C$170=$B57)*ISNUMBER(INDEX(Inputs!$K$5:$AJ$170,0,MATCH(X$2,Inputs!$K$4:$AJ$4,0))))+SUMPRODUCT((Inputs!$E$5:$E$170=$B57)*ISNUMBER(INDEX(Inputs!$K$5:$AJ$170,0,MATCH(X$2,Inputs!$K$4:$AJ$4,0))))=0,NA(),SUMPRODUCT((Inputs!$A$5:$A$170=$B57)*Inputs!$B$5:$B$170*(((Inputs!$G$5:$G$170="moeda")+(Inputs!$G$5:$G$170="acoes"))*Inputs!$B$1+((Inputs!$G$5:$G$170&lt;&gt;"moeda")*(Inputs!$G$5:$G$170&lt;&gt;"acoes")))*INDEX(Inputs!$K$5:$AJ$170,0,MATCH(X$2,Inputs!$K$4:$AJ$4,0)))+SUMPRODUCT((Inputs!$C$5:$C$170=$B57)*Inputs!$D$5:$D$170*(((Inputs!$G$5:$G$170="moeda")+(Inputs!$G$5:$G$170="acoes"))*Inputs!$B$1+((Inputs!$G$5:$G$170&lt;&gt;"moeda")*(Inputs!$G$5:$G$170&lt;&gt;"acoes")))*INDEX(Inputs!$K$5:$AJ$170,0,MATCH(X$2,Inputs!$K$4:$AJ$4,0)))+SUMPRODUCT((Inputs!$E$5:$E$170=$B57)*Inputs!$F$5:$F$170*(((Inputs!$G$5:$G$170="moeda")+(Inputs!$G$5:$G$170="acoes"))*Inputs!$B$1+((Inputs!$G$5:$G$170&lt;&gt;"moeda")*(Inputs!$G$5:$G$170&lt;&gt;"acoes")))*INDEX(Inputs!$K$5:$AJ$170,0,MATCH(X$2,Inputs!$K$4:$AJ$4,0)))))</f>
        <v>563.843</v>
      </c>
      <c r="Y57" s="264">
        <f>IF(ISNA(MATCH(Y$2,Inputs!$K$4:$AJ$4,0)),NA(),IF(SUMPRODUCT((Inputs!$A$5:$A$170=$B57)*ISNUMBER(INDEX(Inputs!$K$5:$AJ$170,0,MATCH(Y$2,Inputs!$K$4:$AJ$4,0))))+SUMPRODUCT((Inputs!$C$5:$C$170=$B57)*ISNUMBER(INDEX(Inputs!$K$5:$AJ$170,0,MATCH(Y$2,Inputs!$K$4:$AJ$4,0))))+SUMPRODUCT((Inputs!$E$5:$E$170=$B57)*ISNUMBER(INDEX(Inputs!$K$5:$AJ$170,0,MATCH(Y$2,Inputs!$K$4:$AJ$4,0))))=0,NA(),SUMPRODUCT((Inputs!$A$5:$A$170=$B57)*Inputs!$B$5:$B$170*(((Inputs!$G$5:$G$170="moeda")+(Inputs!$G$5:$G$170="acoes"))*Inputs!$B$1+((Inputs!$G$5:$G$170&lt;&gt;"moeda")*(Inputs!$G$5:$G$170&lt;&gt;"acoes")))*INDEX(Inputs!$K$5:$AJ$170,0,MATCH(Y$2,Inputs!$K$4:$AJ$4,0)))+SUMPRODUCT((Inputs!$C$5:$C$170=$B57)*Inputs!$D$5:$D$170*(((Inputs!$G$5:$G$170="moeda")+(Inputs!$G$5:$G$170="acoes"))*Inputs!$B$1+((Inputs!$G$5:$G$170&lt;&gt;"moeda")*(Inputs!$G$5:$G$170&lt;&gt;"acoes")))*INDEX(Inputs!$K$5:$AJ$170,0,MATCH(Y$2,Inputs!$K$4:$AJ$4,0)))+SUMPRODUCT((Inputs!$E$5:$E$170=$B57)*Inputs!$F$5:$F$170*(((Inputs!$G$5:$G$170="moeda")+(Inputs!$G$5:$G$170="acoes"))*Inputs!$B$1+((Inputs!$G$5:$G$170&lt;&gt;"moeda")*(Inputs!$G$5:$G$170&lt;&gt;"acoes")))*INDEX(Inputs!$K$5:$AJ$170,0,MATCH(Y$2,Inputs!$K$4:$AJ$4,0)))))</f>
        <v>602.06</v>
      </c>
      <c r="Z57" s="264">
        <f>IF(ISNA(MATCH(Z$2,Inputs!$K$4:$AJ$4,0)),NA(),IF(SUMPRODUCT((Inputs!$A$5:$A$170=$B57)*ISNUMBER(INDEX(Inputs!$K$5:$AJ$170,0,MATCH(Z$2,Inputs!$K$4:$AJ$4,0))))+SUMPRODUCT((Inputs!$C$5:$C$170=$B57)*ISNUMBER(INDEX(Inputs!$K$5:$AJ$170,0,MATCH(Z$2,Inputs!$K$4:$AJ$4,0))))+SUMPRODUCT((Inputs!$E$5:$E$170=$B57)*ISNUMBER(INDEX(Inputs!$K$5:$AJ$170,0,MATCH(Z$2,Inputs!$K$4:$AJ$4,0))))=0,NA(),SUMPRODUCT((Inputs!$A$5:$A$170=$B57)*Inputs!$B$5:$B$170*(((Inputs!$G$5:$G$170="moeda")+(Inputs!$G$5:$G$170="acoes"))*Inputs!$B$1+((Inputs!$G$5:$G$170&lt;&gt;"moeda")*(Inputs!$G$5:$G$170&lt;&gt;"acoes")))*INDEX(Inputs!$K$5:$AJ$170,0,MATCH(Z$2,Inputs!$K$4:$AJ$4,0)))+SUMPRODUCT((Inputs!$C$5:$C$170=$B57)*Inputs!$D$5:$D$170*(((Inputs!$G$5:$G$170="moeda")+(Inputs!$G$5:$G$170="acoes"))*Inputs!$B$1+((Inputs!$G$5:$G$170&lt;&gt;"moeda")*(Inputs!$G$5:$G$170&lt;&gt;"acoes")))*INDEX(Inputs!$K$5:$AJ$170,0,MATCH(Z$2,Inputs!$K$4:$AJ$4,0)))+SUMPRODUCT((Inputs!$E$5:$E$170=$B57)*Inputs!$F$5:$F$170*(((Inputs!$G$5:$G$170="moeda")+(Inputs!$G$5:$G$170="acoes"))*Inputs!$B$1+((Inputs!$G$5:$G$170&lt;&gt;"moeda")*(Inputs!$G$5:$G$170&lt;&gt;"acoes")))*INDEX(Inputs!$K$5:$AJ$170,0,MATCH(Z$2,Inputs!$K$4:$AJ$4,0)))))</f>
        <v>669.054</v>
      </c>
      <c r="AA57" s="264">
        <f>IF(ISNA(MATCH(AA$2,Inputs!$K$4:$AJ$4,0)),NA(),IF(SUMPRODUCT((Inputs!$A$5:$A$170=$B57)*ISNUMBER(INDEX(Inputs!$K$5:$AJ$170,0,MATCH(AA$2,Inputs!$K$4:$AJ$4,0))))+SUMPRODUCT((Inputs!$C$5:$C$170=$B57)*ISNUMBER(INDEX(Inputs!$K$5:$AJ$170,0,MATCH(AA$2,Inputs!$K$4:$AJ$4,0))))+SUMPRODUCT((Inputs!$E$5:$E$170=$B57)*ISNUMBER(INDEX(Inputs!$K$5:$AJ$170,0,MATCH(AA$2,Inputs!$K$4:$AJ$4,0))))=0,NA(),SUMPRODUCT((Inputs!$A$5:$A$170=$B57)*Inputs!$B$5:$B$170*(((Inputs!$G$5:$G$170="moeda")+(Inputs!$G$5:$G$170="acoes"))*Inputs!$B$1+((Inputs!$G$5:$G$170&lt;&gt;"moeda")*(Inputs!$G$5:$G$170&lt;&gt;"acoes")))*INDEX(Inputs!$K$5:$AJ$170,0,MATCH(AA$2,Inputs!$K$4:$AJ$4,0)))+SUMPRODUCT((Inputs!$C$5:$C$170=$B57)*Inputs!$D$5:$D$170*(((Inputs!$G$5:$G$170="moeda")+(Inputs!$G$5:$G$170="acoes"))*Inputs!$B$1+((Inputs!$G$5:$G$170&lt;&gt;"moeda")*(Inputs!$G$5:$G$170&lt;&gt;"acoes")))*INDEX(Inputs!$K$5:$AJ$170,0,MATCH(AA$2,Inputs!$K$4:$AJ$4,0)))+SUMPRODUCT((Inputs!$E$5:$E$170=$B57)*Inputs!$F$5:$F$170*(((Inputs!$G$5:$G$170="moeda")+(Inputs!$G$5:$G$170="acoes"))*Inputs!$B$1+((Inputs!$G$5:$G$170&lt;&gt;"moeda")*(Inputs!$G$5:$G$170&lt;&gt;"acoes")))*INDEX(Inputs!$K$5:$AJ$170,0,MATCH(AA$2,Inputs!$K$4:$AJ$4,0)))))</f>
        <v>663.047153384535</v>
      </c>
      <c r="AB57" s="265">
        <f>SUM(X57:AA57)</f>
        <v>2498.00415338454</v>
      </c>
      <c r="AC57" s="264">
        <f>IF(ISNA(MATCH(AC$2,Inputs!$K$4:$AJ$4,0)),NA(),IF(SUMPRODUCT((Inputs!$A$5:$A$170=$B57)*ISNUMBER(INDEX(Inputs!$K$5:$AJ$170,0,MATCH(AC$2,Inputs!$K$4:$AJ$4,0))))+SUMPRODUCT((Inputs!$C$5:$C$170=$B57)*ISNUMBER(INDEX(Inputs!$K$5:$AJ$170,0,MATCH(AC$2,Inputs!$K$4:$AJ$4,0))))+SUMPRODUCT((Inputs!$E$5:$E$170=$B57)*ISNUMBER(INDEX(Inputs!$K$5:$AJ$170,0,MATCH(AC$2,Inputs!$K$4:$AJ$4,0))))=0,NA(),SUMPRODUCT((Inputs!$A$5:$A$170=$B57)*Inputs!$B$5:$B$170*(((Inputs!$G$5:$G$170="moeda")+(Inputs!$G$5:$G$170="acoes"))*Inputs!$B$1+((Inputs!$G$5:$G$170&lt;&gt;"moeda")*(Inputs!$G$5:$G$170&lt;&gt;"acoes")))*INDEX(Inputs!$K$5:$AJ$170,0,MATCH(AC$2,Inputs!$K$4:$AJ$4,0)))+SUMPRODUCT((Inputs!$C$5:$C$170=$B57)*Inputs!$D$5:$D$170*(((Inputs!$G$5:$G$170="moeda")+(Inputs!$G$5:$G$170="acoes"))*Inputs!$B$1+((Inputs!$G$5:$G$170&lt;&gt;"moeda")*(Inputs!$G$5:$G$170&lt;&gt;"acoes")))*INDEX(Inputs!$K$5:$AJ$170,0,MATCH(AC$2,Inputs!$K$4:$AJ$4,0)))+SUMPRODUCT((Inputs!$E$5:$E$170=$B57)*Inputs!$F$5:$F$170*(((Inputs!$G$5:$G$170="moeda")+(Inputs!$G$5:$G$170="acoes"))*Inputs!$B$1+((Inputs!$G$5:$G$170&lt;&gt;"moeda")*(Inputs!$G$5:$G$170&lt;&gt;"acoes")))*INDEX(Inputs!$K$5:$AJ$170,0,MATCH(AC$2,Inputs!$K$4:$AJ$4,0)))))</f>
        <v>717.757548914019</v>
      </c>
      <c r="AD57" s="264">
        <f>IF(ISNA(MATCH(AD$2,Inputs!$K$4:$AJ$4,0)),NA(),IF(SUMPRODUCT((Inputs!$A$5:$A$170=$B57)*ISNUMBER(INDEX(Inputs!$K$5:$AJ$170,0,MATCH(AD$2,Inputs!$K$4:$AJ$4,0))))+SUMPRODUCT((Inputs!$C$5:$C$170=$B57)*ISNUMBER(INDEX(Inputs!$K$5:$AJ$170,0,MATCH(AD$2,Inputs!$K$4:$AJ$4,0))))+SUMPRODUCT((Inputs!$E$5:$E$170=$B57)*ISNUMBER(INDEX(Inputs!$K$5:$AJ$170,0,MATCH(AD$2,Inputs!$K$4:$AJ$4,0))))=0,NA(),SUMPRODUCT((Inputs!$A$5:$A$170=$B57)*Inputs!$B$5:$B$170*(((Inputs!$G$5:$G$170="moeda")+(Inputs!$G$5:$G$170="acoes"))*Inputs!$B$1+((Inputs!$G$5:$G$170&lt;&gt;"moeda")*(Inputs!$G$5:$G$170&lt;&gt;"acoes")))*INDEX(Inputs!$K$5:$AJ$170,0,MATCH(AD$2,Inputs!$K$4:$AJ$4,0)))+SUMPRODUCT((Inputs!$C$5:$C$170=$B57)*Inputs!$D$5:$D$170*(((Inputs!$G$5:$G$170="moeda")+(Inputs!$G$5:$G$170="acoes"))*Inputs!$B$1+((Inputs!$G$5:$G$170&lt;&gt;"moeda")*(Inputs!$G$5:$G$170&lt;&gt;"acoes")))*INDEX(Inputs!$K$5:$AJ$170,0,MATCH(AD$2,Inputs!$K$4:$AJ$4,0)))+SUMPRODUCT((Inputs!$E$5:$E$170=$B57)*Inputs!$F$5:$F$170*(((Inputs!$G$5:$G$170="moeda")+(Inputs!$G$5:$G$170="acoes"))*Inputs!$B$1+((Inputs!$G$5:$G$170&lt;&gt;"moeda")*(Inputs!$G$5:$G$170&lt;&gt;"acoes")))*INDEX(Inputs!$K$5:$AJ$170,0,MATCH(AD$2,Inputs!$K$4:$AJ$4,0)))))</f>
        <v>775.951369392022</v>
      </c>
      <c r="AE57" s="264" t="e">
        <f>IF(ISNA(MATCH(AE$2,Inputs!$K$4:$AJ$4,0)),NA(),IF(SUMPRODUCT((Inputs!$A$5:$A$170=$B57)*ISNUMBER(INDEX(Inputs!$K$5:$AJ$170,0,MATCH(AE$2,Inputs!$K$4:$AJ$4,0))))+SUMPRODUCT((Inputs!$C$5:$C$170=$B57)*ISNUMBER(INDEX(Inputs!$K$5:$AJ$170,0,MATCH(AE$2,Inputs!$K$4:$AJ$4,0))))+SUMPRODUCT((Inputs!$E$5:$E$170=$B57)*ISNUMBER(INDEX(Inputs!$K$5:$AJ$170,0,MATCH(AE$2,Inputs!$K$4:$AJ$4,0))))=0,NA(),SUMPRODUCT((Inputs!$A$5:$A$170=$B57)*Inputs!$B$5:$B$170*(((Inputs!$G$5:$G$170="moeda")+(Inputs!$G$5:$G$170="acoes"))*Inputs!$B$1+((Inputs!$G$5:$G$170&lt;&gt;"moeda")*(Inputs!$G$5:$G$170&lt;&gt;"acoes")))*INDEX(Inputs!$K$5:$AJ$170,0,MATCH(AE$2,Inputs!$K$4:$AJ$4,0)))+SUMPRODUCT((Inputs!$C$5:$C$170=$B57)*Inputs!$D$5:$D$170*(((Inputs!$G$5:$G$170="moeda")+(Inputs!$G$5:$G$170="acoes"))*Inputs!$B$1+((Inputs!$G$5:$G$170&lt;&gt;"moeda")*(Inputs!$G$5:$G$170&lt;&gt;"acoes")))*INDEX(Inputs!$K$5:$AJ$170,0,MATCH(AE$2,Inputs!$K$4:$AJ$4,0)))+SUMPRODUCT((Inputs!$E$5:$E$170=$B57)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7" s="264" t="e">
        <f>IF(ISNA(MATCH(AF$2,Inputs!$K$4:$AJ$4,0)),NA(),IF(SUMPRODUCT((Inputs!$A$5:$A$170=$B57)*ISNUMBER(INDEX(Inputs!$K$5:$AJ$170,0,MATCH(AF$2,Inputs!$K$4:$AJ$4,0))))+SUMPRODUCT((Inputs!$C$5:$C$170=$B57)*ISNUMBER(INDEX(Inputs!$K$5:$AJ$170,0,MATCH(AF$2,Inputs!$K$4:$AJ$4,0))))+SUMPRODUCT((Inputs!$E$5:$E$170=$B57)*ISNUMBER(INDEX(Inputs!$K$5:$AJ$170,0,MATCH(AF$2,Inputs!$K$4:$AJ$4,0))))=0,NA(),SUMPRODUCT((Inputs!$A$5:$A$170=$B57)*Inputs!$B$5:$B$170*(((Inputs!$G$5:$G$170="moeda")+(Inputs!$G$5:$G$170="acoes"))*Inputs!$B$1+((Inputs!$G$5:$G$170&lt;&gt;"moeda")*(Inputs!$G$5:$G$170&lt;&gt;"acoes")))*INDEX(Inputs!$K$5:$AJ$170,0,MATCH(AF$2,Inputs!$K$4:$AJ$4,0)))+SUMPRODUCT((Inputs!$C$5:$C$170=$B57)*Inputs!$D$5:$D$170*(((Inputs!$G$5:$G$170="moeda")+(Inputs!$G$5:$G$170="acoes"))*Inputs!$B$1+((Inputs!$G$5:$G$170&lt;&gt;"moeda")*(Inputs!$G$5:$G$170&lt;&gt;"acoes")))*INDEX(Inputs!$K$5:$AJ$170,0,MATCH(AF$2,Inputs!$K$4:$AJ$4,0)))+SUMPRODUCT((Inputs!$E$5:$E$170=$B57)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$170=$B57)*ISNUMBER(INDEX(Inputs!$K$5:$AJ$170,0,MATCH(AH$2,Inputs!$K$4:$AJ$4,0))))+SUMPRODUCT((Inputs!$C$5:$C$170=$B57)*ISNUMBER(INDEX(Inputs!$K$5:$AJ$170,0,MATCH(AH$2,Inputs!$K$4:$AJ$4,0))))+SUMPRODUCT((Inputs!$E$5:$E$170=$B57)*ISNUMBER(INDEX(Inputs!$K$5:$AJ$170,0,MATCH(AH$2,Inputs!$K$4:$AJ$4,0))))=0,NA(),SUMPRODUCT((Inputs!$A$5:$A$170=$B57)*Inputs!$B$5:$B$170*(((Inputs!$G$5:$G$170="moeda")+(Inputs!$G$5:$G$170="acoes"))*Inputs!$B$1+((Inputs!$G$5:$G$170&lt;&gt;"moeda")*(Inputs!$G$5:$G$170&lt;&gt;"acoes")))*INDEX(Inputs!$K$5:$AJ$170,0,MATCH(AH$2,Inputs!$K$4:$AJ$4,0)))+SUMPRODUCT((Inputs!$C$5:$C$170=$B57)*Inputs!$D$5:$D$170*(((Inputs!$G$5:$G$170="moeda")+(Inputs!$G$5:$G$170="acoes"))*Inputs!$B$1+((Inputs!$G$5:$G$170&lt;&gt;"moeda")*(Inputs!$G$5:$G$170&lt;&gt;"acoes")))*INDEX(Inputs!$K$5:$AJ$170,0,MATCH(AH$2,Inputs!$K$4:$AJ$4,0)))+SUMPRODUCT((Inputs!$E$5:$E$170=$B57)*Inputs!$F$5:$F$170*(((Inputs!$G$5:$G$170="moeda")+(Inputs!$G$5:$G$170="acoes"))*Inputs!$B$1+((Inputs!$G$5:$G$170&lt;&gt;"moeda")*(Inputs!$G$5:$G$170&lt;&gt;"acoes")))*INDEX(Inputs!$K$5:$AJ$170,0,MATCH(AH$2,Inputs!$K$4:$AJ$4,0)))))</f>
        <v>-59.487</v>
      </c>
      <c r="AI57" s="264">
        <f>IF(ISNA(MATCH(AI$2,Inputs!$K$4:$AJ$4,0)),NA(),IF(SUMPRODUCT((Inputs!$A$5:$A$170=$B57)*ISNUMBER(INDEX(Inputs!$K$5:$AJ$170,0,MATCH(AI$2,Inputs!$K$4:$AJ$4,0))))+SUMPRODUCT((Inputs!$C$5:$C$170=$B57)*ISNUMBER(INDEX(Inputs!$K$5:$AJ$170,0,MATCH(AI$2,Inputs!$K$4:$AJ$4,0))))+SUMPRODUCT((Inputs!$E$5:$E$170=$B57)*ISNUMBER(INDEX(Inputs!$K$5:$AJ$170,0,MATCH(AI$2,Inputs!$K$4:$AJ$4,0))))=0,NA(),SUMPRODUCT((Inputs!$A$5:$A$170=$B57)*Inputs!$B$5:$B$170*(((Inputs!$G$5:$G$170="moeda")+(Inputs!$G$5:$G$170="acoes"))*Inputs!$B$1+((Inputs!$G$5:$G$170&lt;&gt;"moeda")*(Inputs!$G$5:$G$170&lt;&gt;"acoes")))*INDEX(Inputs!$K$5:$AJ$170,0,MATCH(AI$2,Inputs!$K$4:$AJ$4,0)))+SUMPRODUCT((Inputs!$C$5:$C$170=$B57)*Inputs!$D$5:$D$170*(((Inputs!$G$5:$G$170="moeda")+(Inputs!$G$5:$G$170="acoes"))*Inputs!$B$1+((Inputs!$G$5:$G$170&lt;&gt;"moeda")*(Inputs!$G$5:$G$170&lt;&gt;"acoes")))*INDEX(Inputs!$K$5:$AJ$170,0,MATCH(AI$2,Inputs!$K$4:$AJ$4,0)))+SUMPRODUCT((Inputs!$E$5:$E$170=$B57)*Inputs!$F$5:$F$170*(((Inputs!$G$5:$G$170="moeda")+(Inputs!$G$5:$G$170="acoes"))*Inputs!$B$1+((Inputs!$G$5:$G$170&lt;&gt;"moeda")*(Inputs!$G$5:$G$170&lt;&gt;"acoes")))*INDEX(Inputs!$K$5:$AJ$170,0,MATCH(AI$2,Inputs!$K$4:$AJ$4,0)))))</f>
        <v>44.361</v>
      </c>
      <c r="AJ57" s="264">
        <f>IF(ISNA(MATCH(AJ$2,Inputs!$K$4:$AJ$4,0)),NA(),IF(SUMPRODUCT((Inputs!$A$5:$A$170=$B57)*ISNUMBER(INDEX(Inputs!$K$5:$AJ$170,0,MATCH(AJ$2,Inputs!$K$4:$AJ$4,0))))+SUMPRODUCT((Inputs!$C$5:$C$170=$B57)*ISNUMBER(INDEX(Inputs!$K$5:$AJ$170,0,MATCH(AJ$2,Inputs!$K$4:$AJ$4,0))))+SUMPRODUCT((Inputs!$E$5:$E$170=$B57)*ISNUMBER(INDEX(Inputs!$K$5:$AJ$170,0,MATCH(AJ$2,Inputs!$K$4:$AJ$4,0))))=0,NA(),SUMPRODUCT((Inputs!$A$5:$A$170=$B57)*Inputs!$B$5:$B$170*(((Inputs!$G$5:$G$170="moeda")+(Inputs!$G$5:$G$170="acoes"))*Inputs!$B$1+((Inputs!$G$5:$G$170&lt;&gt;"moeda")*(Inputs!$G$5:$G$170&lt;&gt;"acoes")))*INDEX(Inputs!$K$5:$AJ$170,0,MATCH(AJ$2,Inputs!$K$4:$AJ$4,0)))+SUMPRODUCT((Inputs!$C$5:$C$170=$B57)*Inputs!$D$5:$D$170*(((Inputs!$G$5:$G$170="moeda")+(Inputs!$G$5:$G$170="acoes"))*Inputs!$B$1+((Inputs!$G$5:$G$170&lt;&gt;"moeda")*(Inputs!$G$5:$G$170&lt;&gt;"acoes")))*INDEX(Inputs!$K$5:$AJ$170,0,MATCH(AJ$2,Inputs!$K$4:$AJ$4,0)))+SUMPRODUCT((Inputs!$E$5:$E$170=$B57)*Inputs!$F$5:$F$170*(((Inputs!$G$5:$G$170="moeda")+(Inputs!$G$5:$G$170="acoes"))*Inputs!$B$1+((Inputs!$G$5:$G$170&lt;&gt;"moeda")*(Inputs!$G$5:$G$170&lt;&gt;"acoes")))*INDEX(Inputs!$K$5:$AJ$170,0,MATCH(AJ$2,Inputs!$K$4:$AJ$4,0)))))</f>
        <v>120.19</v>
      </c>
      <c r="AK57" s="264">
        <f>IF(ISNA(MATCH(AK$2,Inputs!$K$4:$AJ$4,0)),NA(),IF(SUMPRODUCT((Inputs!$A$5:$A$170=$B57)*ISNUMBER(INDEX(Inputs!$K$5:$AJ$170,0,MATCH(AK$2,Inputs!$K$4:$AJ$4,0))))+SUMPRODUCT((Inputs!$C$5:$C$170=$B57)*ISNUMBER(INDEX(Inputs!$K$5:$AJ$170,0,MATCH(AK$2,Inputs!$K$4:$AJ$4,0))))+SUMPRODUCT((Inputs!$E$5:$E$170=$B57)*ISNUMBER(INDEX(Inputs!$K$5:$AJ$170,0,MATCH(AK$2,Inputs!$K$4:$AJ$4,0))))=0,NA(),SUMPRODUCT((Inputs!$A$5:$A$170=$B57)*Inputs!$B$5:$B$170*(((Inputs!$G$5:$G$170="moeda")+(Inputs!$G$5:$G$170="acoes"))*Inputs!$B$1+((Inputs!$G$5:$G$170&lt;&gt;"moeda")*(Inputs!$G$5:$G$170&lt;&gt;"acoes")))*INDEX(Inputs!$K$5:$AJ$170,0,MATCH(AK$2,Inputs!$K$4:$AJ$4,0)))+SUMPRODUCT((Inputs!$C$5:$C$170=$B57)*Inputs!$D$5:$D$170*(((Inputs!$G$5:$G$170="moeda")+(Inputs!$G$5:$G$170="acoes"))*Inputs!$B$1+((Inputs!$G$5:$G$170&lt;&gt;"moeda")*(Inputs!$G$5:$G$170&lt;&gt;"acoes")))*INDEX(Inputs!$K$5:$AJ$170,0,MATCH(AK$2,Inputs!$K$4:$AJ$4,0)))+SUMPRODUCT((Inputs!$E$5:$E$170=$B57)*Inputs!$F$5:$F$170*(((Inputs!$G$5:$G$170="moeda")+(Inputs!$G$5:$G$170="acoes"))*Inputs!$B$1+((Inputs!$G$5:$G$170&lt;&gt;"moeda")*(Inputs!$G$5:$G$170&lt;&gt;"acoes")))*INDEX(Inputs!$K$5:$AJ$170,0,MATCH(AK$2,Inputs!$K$4:$AJ$4,0)))))</f>
        <v>212.423</v>
      </c>
      <c r="AL57" s="265">
        <f>SUM(AH57:AK57)</f>
        <v>317.487</v>
      </c>
    </row>
    <row r="58">
      <c r="B58" s="46" t="n">
        <v>50</v>
      </c>
      <c r="C58" s="29" t="inlineStr">
        <is>
          <t>EBITDA GTF (DRE l.80)</t>
        </is>
      </c>
      <c r="D58" s="264">
        <f>IF(ISNA(MATCH(D$2,Inputs!$K$4:$AJ$4,0)),NA(),IF(SUMPRODUCT((Inputs!$A$5:$A$170=$B58)*ISNUMBER(INDEX(Inputs!$K$5:$AJ$170,0,MATCH(D$2,Inputs!$K$4:$AJ$4,0))))+SUMPRODUCT((Inputs!$C$5:$C$170=$B58)*ISNUMBER(INDEX(Inputs!$K$5:$AJ$170,0,MATCH(D$2,Inputs!$K$4:$AJ$4,0))))+SUMPRODUCT((Inputs!$E$5:$E$170=$B58)*ISNUMBER(INDEX(Inputs!$K$5:$AJ$170,0,MATCH(D$2,Inputs!$K$4:$AJ$4,0))))=0,NA(),SUMPRODUCT((Inputs!$A$5:$A$170=$B58)*Inputs!$B$5:$B$170*(((Inputs!$G$5:$G$170="moeda")+(Inputs!$G$5:$G$170="acoes"))*Inputs!$B$1+((Inputs!$G$5:$G$170&lt;&gt;"moeda")*(Inputs!$G$5:$G$170&lt;&gt;"acoes")))*INDEX(Inputs!$K$5:$AJ$170,0,MATCH(D$2,Inputs!$K$4:$AJ$4,0)))+SUMPRODUCT((Inputs!$C$5:$C$170=$B58)*Inputs!$D$5:$D$170*(((Inputs!$G$5:$G$170="moeda")+(Inputs!$G$5:$G$170="acoes"))*Inputs!$B$1+((Inputs!$G$5:$G$170&lt;&gt;"moeda")*(Inputs!$G$5:$G$170&lt;&gt;"acoes")))*INDEX(Inputs!$K$5:$AJ$170,0,MATCH(D$2,Inputs!$K$4:$AJ$4,0)))+SUMPRODUCT((Inputs!$E$5:$E$170=$B58)*Inputs!$F$5:$F$170*(((Inputs!$G$5:$G$170="moeda")+(Inputs!$G$5:$G$170="acoes"))*Inputs!$B$1+((Inputs!$G$5:$G$170&lt;&gt;"moeda")*(Inputs!$G$5:$G$170&lt;&gt;"acoes")))*INDEX(Inputs!$K$5:$AJ$170,0,MATCH(D$2,Inputs!$K$4:$AJ$4,0)))))</f>
        <v>99.481</v>
      </c>
      <c r="E58" s="264">
        <f>IF(ISNA(MATCH(E$2,Inputs!$K$4:$AJ$4,0)),NA(),IF(SUMPRODUCT((Inputs!$A$5:$A$170=$B58)*ISNUMBER(INDEX(Inputs!$K$5:$AJ$170,0,MATCH(E$2,Inputs!$K$4:$AJ$4,0))))+SUMPRODUCT((Inputs!$C$5:$C$170=$B58)*ISNUMBER(INDEX(Inputs!$K$5:$AJ$170,0,MATCH(E$2,Inputs!$K$4:$AJ$4,0))))+SUMPRODUCT((Inputs!$E$5:$E$170=$B58)*ISNUMBER(INDEX(Inputs!$K$5:$AJ$170,0,MATCH(E$2,Inputs!$K$4:$AJ$4,0))))=0,NA(),SUMPRODUCT((Inputs!$A$5:$A$170=$B58)*Inputs!$B$5:$B$170*(((Inputs!$G$5:$G$170="moeda")+(Inputs!$G$5:$G$170="acoes"))*Inputs!$B$1+((Inputs!$G$5:$G$170&lt;&gt;"moeda")*(Inputs!$G$5:$G$170&lt;&gt;"acoes")))*INDEX(Inputs!$K$5:$AJ$170,0,MATCH(E$2,Inputs!$K$4:$AJ$4,0)))+SUMPRODUCT((Inputs!$C$5:$C$170=$B58)*Inputs!$D$5:$D$170*(((Inputs!$G$5:$G$170="moeda")+(Inputs!$G$5:$G$170="acoes"))*Inputs!$B$1+((Inputs!$G$5:$G$170&lt;&gt;"moeda")*(Inputs!$G$5:$G$170&lt;&gt;"acoes")))*INDEX(Inputs!$K$5:$AJ$170,0,MATCH(E$2,Inputs!$K$4:$AJ$4,0)))+SUMPRODUCT((Inputs!$E$5:$E$170=$B58)*Inputs!$F$5:$F$170*(((Inputs!$G$5:$G$170="moeda")+(Inputs!$G$5:$G$170="acoes"))*Inputs!$B$1+((Inputs!$G$5:$G$170&lt;&gt;"moeda")*(Inputs!$G$5:$G$170&lt;&gt;"acoes")))*INDEX(Inputs!$K$5:$AJ$170,0,MATCH(E$2,Inputs!$K$4:$AJ$4,0)))))</f>
        <v>127.681</v>
      </c>
      <c r="F58" s="264">
        <f>IF(ISNA(MATCH(F$2,Inputs!$K$4:$AJ$4,0)),NA(),IF(SUMPRODUCT((Inputs!$A$5:$A$170=$B58)*ISNUMBER(INDEX(Inputs!$K$5:$AJ$170,0,MATCH(F$2,Inputs!$K$4:$AJ$4,0))))+SUMPRODUCT((Inputs!$C$5:$C$170=$B58)*ISNUMBER(INDEX(Inputs!$K$5:$AJ$170,0,MATCH(F$2,Inputs!$K$4:$AJ$4,0))))+SUMPRODUCT((Inputs!$E$5:$E$170=$B58)*ISNUMBER(INDEX(Inputs!$K$5:$AJ$170,0,MATCH(F$2,Inputs!$K$4:$AJ$4,0))))=0,NA(),SUMPRODUCT((Inputs!$A$5:$A$170=$B58)*Inputs!$B$5:$B$170*(((Inputs!$G$5:$G$170="moeda")+(Inputs!$G$5:$G$170="acoes"))*Inputs!$B$1+((Inputs!$G$5:$G$170&lt;&gt;"moeda")*(Inputs!$G$5:$G$170&lt;&gt;"acoes")))*INDEX(Inputs!$K$5:$AJ$170,0,MATCH(F$2,Inputs!$K$4:$AJ$4,0)))+SUMPRODUCT((Inputs!$C$5:$C$170=$B58)*Inputs!$D$5:$D$170*(((Inputs!$G$5:$G$170="moeda")+(Inputs!$G$5:$G$170="acoes"))*Inputs!$B$1+((Inputs!$G$5:$G$170&lt;&gt;"moeda")*(Inputs!$G$5:$G$170&lt;&gt;"acoes")))*INDEX(Inputs!$K$5:$AJ$170,0,MATCH(F$2,Inputs!$K$4:$AJ$4,0)))+SUMPRODUCT((Inputs!$E$5:$E$170=$B58)*Inputs!$F$5:$F$170*(((Inputs!$G$5:$G$170="moeda")+(Inputs!$G$5:$G$170="acoes"))*Inputs!$B$1+((Inputs!$G$5:$G$170&lt;&gt;"moeda")*(Inputs!$G$5:$G$170&lt;&gt;"acoes")))*INDEX(Inputs!$K$5:$AJ$170,0,MATCH(F$2,Inputs!$K$4:$AJ$4,0)))))</f>
        <v>193.117</v>
      </c>
      <c r="G58" s="264">
        <f>IF(ISNA(MATCH(G$2,Inputs!$K$4:$AJ$4,0)),NA(),IF(SUMPRODUCT((Inputs!$A$5:$A$170=$B58)*ISNUMBER(INDEX(Inputs!$K$5:$AJ$170,0,MATCH(G$2,Inputs!$K$4:$AJ$4,0))))+SUMPRODUCT((Inputs!$C$5:$C$170=$B58)*ISNUMBER(INDEX(Inputs!$K$5:$AJ$170,0,MATCH(G$2,Inputs!$K$4:$AJ$4,0))))+SUMPRODUCT((Inputs!$E$5:$E$170=$B58)*ISNUMBER(INDEX(Inputs!$K$5:$AJ$170,0,MATCH(G$2,Inputs!$K$4:$AJ$4,0))))=0,NA(),SUMPRODUCT((Inputs!$A$5:$A$170=$B58)*Inputs!$B$5:$B$170*(((Inputs!$G$5:$G$170="moeda")+(Inputs!$G$5:$G$170="acoes"))*Inputs!$B$1+((Inputs!$G$5:$G$170&lt;&gt;"moeda")*(Inputs!$G$5:$G$170&lt;&gt;"acoes")))*INDEX(Inputs!$K$5:$AJ$170,0,MATCH(G$2,Inputs!$K$4:$AJ$4,0)))+SUMPRODUCT((Inputs!$C$5:$C$170=$B58)*Inputs!$D$5:$D$170*(((Inputs!$G$5:$G$170="moeda")+(Inputs!$G$5:$G$170="acoes"))*Inputs!$B$1+((Inputs!$G$5:$G$170&lt;&gt;"moeda")*(Inputs!$G$5:$G$170&lt;&gt;"acoes")))*INDEX(Inputs!$K$5:$AJ$170,0,MATCH(G$2,Inputs!$K$4:$AJ$4,0)))+SUMPRODUCT((Inputs!$E$5:$E$170=$B58)*Inputs!$F$5:$F$170*(((Inputs!$G$5:$G$170="moeda")+(Inputs!$G$5:$G$170="acoes"))*Inputs!$B$1+((Inputs!$G$5:$G$170&lt;&gt;"moeda")*(Inputs!$G$5:$G$170&lt;&gt;"acoes")))*INDEX(Inputs!$K$5:$AJ$170,0,MATCH(G$2,Inputs!$K$4:$AJ$4,0)))))</f>
        <v>261.929</v>
      </c>
      <c r="H58" s="265">
        <f>SUM(D58:G58)</f>
        <v>682.208</v>
      </c>
      <c r="I58" s="264">
        <f>IF(ISNA(MATCH(I$2,Inputs!$K$4:$AJ$4,0)),NA(),IF(SUMPRODUCT((Inputs!$A$5:$A$170=$B58)*ISNUMBER(INDEX(Inputs!$K$5:$AJ$170,0,MATCH(I$2,Inputs!$K$4:$AJ$4,0))))+SUMPRODUCT((Inputs!$C$5:$C$170=$B58)*ISNUMBER(INDEX(Inputs!$K$5:$AJ$170,0,MATCH(I$2,Inputs!$K$4:$AJ$4,0))))+SUMPRODUCT((Inputs!$E$5:$E$170=$B58)*ISNUMBER(INDEX(Inputs!$K$5:$AJ$170,0,MATCH(I$2,Inputs!$K$4:$AJ$4,0))))=0,NA(),SUMPRODUCT((Inputs!$A$5:$A$170=$B58)*Inputs!$B$5:$B$170*(((Inputs!$G$5:$G$170="moeda")+(Inputs!$G$5:$G$170="acoes"))*Inputs!$B$1+((Inputs!$G$5:$G$170&lt;&gt;"moeda")*(Inputs!$G$5:$G$170&lt;&gt;"acoes")))*INDEX(Inputs!$K$5:$AJ$170,0,MATCH(I$2,Inputs!$K$4:$AJ$4,0)))+SUMPRODUCT((Inputs!$C$5:$C$170=$B58)*Inputs!$D$5:$D$170*(((Inputs!$G$5:$G$170="moeda")+(Inputs!$G$5:$G$170="acoes"))*Inputs!$B$1+((Inputs!$G$5:$G$170&lt;&gt;"moeda")*(Inputs!$G$5:$G$170&lt;&gt;"acoes")))*INDEX(Inputs!$K$5:$AJ$170,0,MATCH(I$2,Inputs!$K$4:$AJ$4,0)))+SUMPRODUCT((Inputs!$E$5:$E$170=$B58)*Inputs!$F$5:$F$170*(((Inputs!$G$5:$G$170="moeda")+(Inputs!$G$5:$G$170="acoes"))*Inputs!$B$1+((Inputs!$G$5:$G$170&lt;&gt;"moeda")*(Inputs!$G$5:$G$170&lt;&gt;"acoes")))*INDEX(Inputs!$K$5:$AJ$170,0,MATCH(I$2,Inputs!$K$4:$AJ$4,0)))))</f>
        <v>285.299</v>
      </c>
      <c r="J58" s="264">
        <f>IF(ISNA(MATCH(J$2,Inputs!$K$4:$AJ$4,0)),NA(),IF(SUMPRODUCT((Inputs!$A$5:$A$170=$B58)*ISNUMBER(INDEX(Inputs!$K$5:$AJ$170,0,MATCH(J$2,Inputs!$K$4:$AJ$4,0))))+SUMPRODUCT((Inputs!$C$5:$C$170=$B58)*ISNUMBER(INDEX(Inputs!$K$5:$AJ$170,0,MATCH(J$2,Inputs!$K$4:$AJ$4,0))))+SUMPRODUCT((Inputs!$E$5:$E$170=$B58)*ISNUMBER(INDEX(Inputs!$K$5:$AJ$170,0,MATCH(J$2,Inputs!$K$4:$AJ$4,0))))=0,NA(),SUMPRODUCT((Inputs!$A$5:$A$170=$B58)*Inputs!$B$5:$B$170*(((Inputs!$G$5:$G$170="moeda")+(Inputs!$G$5:$G$170="acoes"))*Inputs!$B$1+((Inputs!$G$5:$G$170&lt;&gt;"moeda")*(Inputs!$G$5:$G$170&lt;&gt;"acoes")))*INDEX(Inputs!$K$5:$AJ$170,0,MATCH(J$2,Inputs!$K$4:$AJ$4,0)))+SUMPRODUCT((Inputs!$C$5:$C$170=$B58)*Inputs!$D$5:$D$170*(((Inputs!$G$5:$G$170="moeda")+(Inputs!$G$5:$G$170="acoes"))*Inputs!$B$1+((Inputs!$G$5:$G$170&lt;&gt;"moeda")*(Inputs!$G$5:$G$170&lt;&gt;"acoes")))*INDEX(Inputs!$K$5:$AJ$170,0,MATCH(J$2,Inputs!$K$4:$AJ$4,0)))+SUMPRODUCT((Inputs!$E$5:$E$170=$B58)*Inputs!$F$5:$F$170*(((Inputs!$G$5:$G$170="moeda")+(Inputs!$G$5:$G$170="acoes"))*Inputs!$B$1+((Inputs!$G$5:$G$170&lt;&gt;"moeda")*(Inputs!$G$5:$G$170&lt;&gt;"acoes")))*INDEX(Inputs!$K$5:$AJ$170,0,MATCH(J$2,Inputs!$K$4:$AJ$4,0)))))</f>
        <v>315.241</v>
      </c>
      <c r="K58" s="264">
        <f>IF(ISNA(MATCH(K$2,Inputs!$K$4:$AJ$4,0)),NA(),IF(SUMPRODUCT((Inputs!$A$5:$A$170=$B58)*ISNUMBER(INDEX(Inputs!$K$5:$AJ$170,0,MATCH(K$2,Inputs!$K$4:$AJ$4,0))))+SUMPRODUCT((Inputs!$C$5:$C$170=$B58)*ISNUMBER(INDEX(Inputs!$K$5:$AJ$170,0,MATCH(K$2,Inputs!$K$4:$AJ$4,0))))+SUMPRODUCT((Inputs!$E$5:$E$170=$B58)*ISNUMBER(INDEX(Inputs!$K$5:$AJ$170,0,MATCH(K$2,Inputs!$K$4:$AJ$4,0))))=0,NA(),SUMPRODUCT((Inputs!$A$5:$A$170=$B58)*Inputs!$B$5:$B$170*(((Inputs!$G$5:$G$170="moeda")+(Inputs!$G$5:$G$170="acoes"))*Inputs!$B$1+((Inputs!$G$5:$G$170&lt;&gt;"moeda")*(Inputs!$G$5:$G$170&lt;&gt;"acoes")))*INDEX(Inputs!$K$5:$AJ$170,0,MATCH(K$2,Inputs!$K$4:$AJ$4,0)))+SUMPRODUCT((Inputs!$C$5:$C$170=$B58)*Inputs!$D$5:$D$170*(((Inputs!$G$5:$G$170="moeda")+(Inputs!$G$5:$G$170="acoes"))*Inputs!$B$1+((Inputs!$G$5:$G$170&lt;&gt;"moeda")*(Inputs!$G$5:$G$170&lt;&gt;"acoes")))*INDEX(Inputs!$K$5:$AJ$170,0,MATCH(K$2,Inputs!$K$4:$AJ$4,0)))+SUMPRODUCT((Inputs!$E$5:$E$170=$B58)*Inputs!$F$5:$F$170*(((Inputs!$G$5:$G$170="moeda")+(Inputs!$G$5:$G$170="acoes"))*Inputs!$B$1+((Inputs!$G$5:$G$170&lt;&gt;"moeda")*(Inputs!$G$5:$G$170&lt;&gt;"acoes")))*INDEX(Inputs!$K$5:$AJ$170,0,MATCH(K$2,Inputs!$K$4:$AJ$4,0)))))</f>
        <v>331.303</v>
      </c>
      <c r="L58" s="264">
        <f>IF(ISNA(MATCH(L$2,Inputs!$K$4:$AJ$4,0)),NA(),IF(SUMPRODUCT((Inputs!$A$5:$A$170=$B58)*ISNUMBER(INDEX(Inputs!$K$5:$AJ$170,0,MATCH(L$2,Inputs!$K$4:$AJ$4,0))))+SUMPRODUCT((Inputs!$C$5:$C$170=$B58)*ISNUMBER(INDEX(Inputs!$K$5:$AJ$170,0,MATCH(L$2,Inputs!$K$4:$AJ$4,0))))+SUMPRODUCT((Inputs!$E$5:$E$170=$B58)*ISNUMBER(INDEX(Inputs!$K$5:$AJ$170,0,MATCH(L$2,Inputs!$K$4:$AJ$4,0))))=0,NA(),SUMPRODUCT((Inputs!$A$5:$A$170=$B58)*Inputs!$B$5:$B$170*(((Inputs!$G$5:$G$170="moeda")+(Inputs!$G$5:$G$170="acoes"))*Inputs!$B$1+((Inputs!$G$5:$G$170&lt;&gt;"moeda")*(Inputs!$G$5:$G$170&lt;&gt;"acoes")))*INDEX(Inputs!$K$5:$AJ$170,0,MATCH(L$2,Inputs!$K$4:$AJ$4,0)))+SUMPRODUCT((Inputs!$C$5:$C$170=$B58)*Inputs!$D$5:$D$170*(((Inputs!$G$5:$G$170="moeda")+(Inputs!$G$5:$G$170="acoes"))*Inputs!$B$1+((Inputs!$G$5:$G$170&lt;&gt;"moeda")*(Inputs!$G$5:$G$170&lt;&gt;"acoes")))*INDEX(Inputs!$K$5:$AJ$170,0,MATCH(L$2,Inputs!$K$4:$AJ$4,0)))+SUMPRODUCT((Inputs!$E$5:$E$170=$B58)*Inputs!$F$5:$F$170*(((Inputs!$G$5:$G$170="moeda")+(Inputs!$G$5:$G$170="acoes"))*Inputs!$B$1+((Inputs!$G$5:$G$170&lt;&gt;"moeda")*(Inputs!$G$5:$G$170&lt;&gt;"acoes")))*INDEX(Inputs!$K$5:$AJ$170,0,MATCH(L$2,Inputs!$K$4:$AJ$4,0)))))</f>
        <v>336.091</v>
      </c>
      <c r="M58" s="265">
        <f>SUM(I58:L58)</f>
        <v>1267.934</v>
      </c>
      <c r="N58" s="264">
        <f>IF(ISNA(MATCH(N$2,Inputs!$K$4:$AJ$4,0)),NA(),IF(SUMPRODUCT((Inputs!$A$5:$A$170=$B58)*ISNUMBER(INDEX(Inputs!$K$5:$AJ$170,0,MATCH(N$2,Inputs!$K$4:$AJ$4,0))))+SUMPRODUCT((Inputs!$C$5:$C$170=$B58)*ISNUMBER(INDEX(Inputs!$K$5:$AJ$170,0,MATCH(N$2,Inputs!$K$4:$AJ$4,0))))+SUMPRODUCT((Inputs!$E$5:$E$170=$B58)*ISNUMBER(INDEX(Inputs!$K$5:$AJ$170,0,MATCH(N$2,Inputs!$K$4:$AJ$4,0))))=0,NA(),SUMPRODUCT((Inputs!$A$5:$A$170=$B58)*Inputs!$B$5:$B$170*(((Inputs!$G$5:$G$170="moeda")+(Inputs!$G$5:$G$170="acoes"))*Inputs!$B$1+((Inputs!$G$5:$G$170&lt;&gt;"moeda")*(Inputs!$G$5:$G$170&lt;&gt;"acoes")))*INDEX(Inputs!$K$5:$AJ$170,0,MATCH(N$2,Inputs!$K$4:$AJ$4,0)))+SUMPRODUCT((Inputs!$C$5:$C$170=$B58)*Inputs!$D$5:$D$170*(((Inputs!$G$5:$G$170="moeda")+(Inputs!$G$5:$G$170="acoes"))*Inputs!$B$1+((Inputs!$G$5:$G$170&lt;&gt;"moeda")*(Inputs!$G$5:$G$170&lt;&gt;"acoes")))*INDEX(Inputs!$K$5:$AJ$170,0,MATCH(N$2,Inputs!$K$4:$AJ$4,0)))+SUMPRODUCT((Inputs!$E$5:$E$170=$B58)*Inputs!$F$5:$F$170*(((Inputs!$G$5:$G$170="moeda")+(Inputs!$G$5:$G$170="acoes"))*Inputs!$B$1+((Inputs!$G$5:$G$170&lt;&gt;"moeda")*(Inputs!$G$5:$G$170&lt;&gt;"acoes")))*INDEX(Inputs!$K$5:$AJ$170,0,MATCH(N$2,Inputs!$K$4:$AJ$4,0)))))</f>
        <v>361.568</v>
      </c>
      <c r="O58" s="264">
        <f>IF(ISNA(MATCH(O$2,Inputs!$K$4:$AJ$4,0)),NA(),IF(SUMPRODUCT((Inputs!$A$5:$A$170=$B58)*ISNUMBER(INDEX(Inputs!$K$5:$AJ$170,0,MATCH(O$2,Inputs!$K$4:$AJ$4,0))))+SUMPRODUCT((Inputs!$C$5:$C$170=$B58)*ISNUMBER(INDEX(Inputs!$K$5:$AJ$170,0,MATCH(O$2,Inputs!$K$4:$AJ$4,0))))+SUMPRODUCT((Inputs!$E$5:$E$170=$B58)*ISNUMBER(INDEX(Inputs!$K$5:$AJ$170,0,MATCH(O$2,Inputs!$K$4:$AJ$4,0))))=0,NA(),SUMPRODUCT((Inputs!$A$5:$A$170=$B58)*Inputs!$B$5:$B$170*(((Inputs!$G$5:$G$170="moeda")+(Inputs!$G$5:$G$170="acoes"))*Inputs!$B$1+((Inputs!$G$5:$G$170&lt;&gt;"moeda")*(Inputs!$G$5:$G$170&lt;&gt;"acoes")))*INDEX(Inputs!$K$5:$AJ$170,0,MATCH(O$2,Inputs!$K$4:$AJ$4,0)))+SUMPRODUCT((Inputs!$C$5:$C$170=$B58)*Inputs!$D$5:$D$170*(((Inputs!$G$5:$G$170="moeda")+(Inputs!$G$5:$G$170="acoes"))*Inputs!$B$1+((Inputs!$G$5:$G$170&lt;&gt;"moeda")*(Inputs!$G$5:$G$170&lt;&gt;"acoes")))*INDEX(Inputs!$K$5:$AJ$170,0,MATCH(O$2,Inputs!$K$4:$AJ$4,0)))+SUMPRODUCT((Inputs!$E$5:$E$170=$B58)*Inputs!$F$5:$F$170*(((Inputs!$G$5:$G$170="moeda")+(Inputs!$G$5:$G$170="acoes"))*Inputs!$B$1+((Inputs!$G$5:$G$170&lt;&gt;"moeda")*(Inputs!$G$5:$G$170&lt;&gt;"acoes")))*INDEX(Inputs!$K$5:$AJ$170,0,MATCH(O$2,Inputs!$K$4:$AJ$4,0)))))</f>
        <v>411.732</v>
      </c>
      <c r="P58" s="264">
        <f>IF(ISNA(MATCH(P$2,Inputs!$K$4:$AJ$4,0)),NA(),IF(SUMPRODUCT((Inputs!$A$5:$A$170=$B58)*ISNUMBER(INDEX(Inputs!$K$5:$AJ$170,0,MATCH(P$2,Inputs!$K$4:$AJ$4,0))))+SUMPRODUCT((Inputs!$C$5:$C$170=$B58)*ISNUMBER(INDEX(Inputs!$K$5:$AJ$170,0,MATCH(P$2,Inputs!$K$4:$AJ$4,0))))+SUMPRODUCT((Inputs!$E$5:$E$170=$B58)*ISNUMBER(INDEX(Inputs!$K$5:$AJ$170,0,MATCH(P$2,Inputs!$K$4:$AJ$4,0))))=0,NA(),SUMPRODUCT((Inputs!$A$5:$A$170=$B58)*Inputs!$B$5:$B$170*(((Inputs!$G$5:$G$170="moeda")+(Inputs!$G$5:$G$170="acoes"))*Inputs!$B$1+((Inputs!$G$5:$G$170&lt;&gt;"moeda")*(Inputs!$G$5:$G$170&lt;&gt;"acoes")))*INDEX(Inputs!$K$5:$AJ$170,0,MATCH(P$2,Inputs!$K$4:$AJ$4,0)))+SUMPRODUCT((Inputs!$C$5:$C$170=$B58)*Inputs!$D$5:$D$170*(((Inputs!$G$5:$G$170="moeda")+(Inputs!$G$5:$G$170="acoes"))*Inputs!$B$1+((Inputs!$G$5:$G$170&lt;&gt;"moeda")*(Inputs!$G$5:$G$170&lt;&gt;"acoes")))*INDEX(Inputs!$K$5:$AJ$170,0,MATCH(P$2,Inputs!$K$4:$AJ$4,0)))+SUMPRODUCT((Inputs!$E$5:$E$170=$B58)*Inputs!$F$5:$F$170*(((Inputs!$G$5:$G$170="moeda")+(Inputs!$G$5:$G$170="acoes"))*Inputs!$B$1+((Inputs!$G$5:$G$170&lt;&gt;"moeda")*(Inputs!$G$5:$G$170&lt;&gt;"acoes")))*INDEX(Inputs!$K$5:$AJ$170,0,MATCH(P$2,Inputs!$K$4:$AJ$4,0)))))</f>
        <v>430.96</v>
      </c>
      <c r="Q58" s="264">
        <f>IF(ISNA(MATCH(Q$2,Inputs!$K$4:$AJ$4,0)),NA(),IF(SUMPRODUCT((Inputs!$A$5:$A$170=$B58)*ISNUMBER(INDEX(Inputs!$K$5:$AJ$170,0,MATCH(Q$2,Inputs!$K$4:$AJ$4,0))))+SUMPRODUCT((Inputs!$C$5:$C$170=$B58)*ISNUMBER(INDEX(Inputs!$K$5:$AJ$170,0,MATCH(Q$2,Inputs!$K$4:$AJ$4,0))))+SUMPRODUCT((Inputs!$E$5:$E$170=$B58)*ISNUMBER(INDEX(Inputs!$K$5:$AJ$170,0,MATCH(Q$2,Inputs!$K$4:$AJ$4,0))))=0,NA(),SUMPRODUCT((Inputs!$A$5:$A$170=$B58)*Inputs!$B$5:$B$170*(((Inputs!$G$5:$G$170="moeda")+(Inputs!$G$5:$G$170="acoes"))*Inputs!$B$1+((Inputs!$G$5:$G$170&lt;&gt;"moeda")*(Inputs!$G$5:$G$170&lt;&gt;"acoes")))*INDEX(Inputs!$K$5:$AJ$170,0,MATCH(Q$2,Inputs!$K$4:$AJ$4,0)))+SUMPRODUCT((Inputs!$C$5:$C$170=$B58)*Inputs!$D$5:$D$170*(((Inputs!$G$5:$G$170="moeda")+(Inputs!$G$5:$G$170="acoes"))*Inputs!$B$1+((Inputs!$G$5:$G$170&lt;&gt;"moeda")*(Inputs!$G$5:$G$170&lt;&gt;"acoes")))*INDEX(Inputs!$K$5:$AJ$170,0,MATCH(Q$2,Inputs!$K$4:$AJ$4,0)))+SUMPRODUCT((Inputs!$E$5:$E$170=$B58)*Inputs!$F$5:$F$170*(((Inputs!$G$5:$G$170="moeda")+(Inputs!$G$5:$G$170="acoes"))*Inputs!$B$1+((Inputs!$G$5:$G$170&lt;&gt;"moeda")*(Inputs!$G$5:$G$170&lt;&gt;"acoes")))*INDEX(Inputs!$K$5:$AJ$170,0,MATCH(Q$2,Inputs!$K$4:$AJ$4,0)))))</f>
        <v>462.355</v>
      </c>
      <c r="R58" s="265">
        <f>SUM(N58:Q58)</f>
        <v>1666.615</v>
      </c>
      <c r="S58" s="264">
        <f>IF(ISNA(MATCH(S$2,Inputs!$K$4:$AJ$4,0)),NA(),IF(SUMPRODUCT((Inputs!$A$5:$A$170=$B58)*ISNUMBER(INDEX(Inputs!$K$5:$AJ$170,0,MATCH(S$2,Inputs!$K$4:$AJ$4,0))))+SUMPRODUCT((Inputs!$C$5:$C$170=$B58)*ISNUMBER(INDEX(Inputs!$K$5:$AJ$170,0,MATCH(S$2,Inputs!$K$4:$AJ$4,0))))+SUMPRODUCT((Inputs!$E$5:$E$170=$B58)*ISNUMBER(INDEX(Inputs!$K$5:$AJ$170,0,MATCH(S$2,Inputs!$K$4:$AJ$4,0))))=0,NA(),SUMPRODUCT((Inputs!$A$5:$A$170=$B58)*Inputs!$B$5:$B$170*(((Inputs!$G$5:$G$170="moeda")+(Inputs!$G$5:$G$170="acoes"))*Inputs!$B$1+((Inputs!$G$5:$G$170&lt;&gt;"moeda")*(Inputs!$G$5:$G$170&lt;&gt;"acoes")))*INDEX(Inputs!$K$5:$AJ$170,0,MATCH(S$2,Inputs!$K$4:$AJ$4,0)))+SUMPRODUCT((Inputs!$C$5:$C$170=$B58)*Inputs!$D$5:$D$170*(((Inputs!$G$5:$G$170="moeda")+(Inputs!$G$5:$G$170="acoes"))*Inputs!$B$1+((Inputs!$G$5:$G$170&lt;&gt;"moeda")*(Inputs!$G$5:$G$170&lt;&gt;"acoes")))*INDEX(Inputs!$K$5:$AJ$170,0,MATCH(S$2,Inputs!$K$4:$AJ$4,0)))+SUMPRODUCT((Inputs!$E$5:$E$170=$B58)*Inputs!$F$5:$F$170*(((Inputs!$G$5:$G$170="moeda")+(Inputs!$G$5:$G$170="acoes"))*Inputs!$B$1+((Inputs!$G$5:$G$170&lt;&gt;"moeda")*(Inputs!$G$5:$G$170&lt;&gt;"acoes")))*INDEX(Inputs!$K$5:$AJ$170,0,MATCH(S$2,Inputs!$K$4:$AJ$4,0)))))</f>
        <v>535.294</v>
      </c>
      <c r="T58" s="264">
        <f>IF(ISNA(MATCH(T$2,Inputs!$K$4:$AJ$4,0)),NA(),IF(SUMPRODUCT((Inputs!$A$5:$A$170=$B58)*ISNUMBER(INDEX(Inputs!$K$5:$AJ$170,0,MATCH(T$2,Inputs!$K$4:$AJ$4,0))))+SUMPRODUCT((Inputs!$C$5:$C$170=$B58)*ISNUMBER(INDEX(Inputs!$K$5:$AJ$170,0,MATCH(T$2,Inputs!$K$4:$AJ$4,0))))+SUMPRODUCT((Inputs!$E$5:$E$170=$B58)*ISNUMBER(INDEX(Inputs!$K$5:$AJ$170,0,MATCH(T$2,Inputs!$K$4:$AJ$4,0))))=0,NA(),SUMPRODUCT((Inputs!$A$5:$A$170=$B58)*Inputs!$B$5:$B$170*(((Inputs!$G$5:$G$170="moeda")+(Inputs!$G$5:$G$170="acoes"))*Inputs!$B$1+((Inputs!$G$5:$G$170&lt;&gt;"moeda")*(Inputs!$G$5:$G$170&lt;&gt;"acoes")))*INDEX(Inputs!$K$5:$AJ$170,0,MATCH(T$2,Inputs!$K$4:$AJ$4,0)))+SUMPRODUCT((Inputs!$C$5:$C$170=$B58)*Inputs!$D$5:$D$170*(((Inputs!$G$5:$G$170="moeda")+(Inputs!$G$5:$G$170="acoes"))*Inputs!$B$1+((Inputs!$G$5:$G$170&lt;&gt;"moeda")*(Inputs!$G$5:$G$170&lt;&gt;"acoes")))*INDEX(Inputs!$K$5:$AJ$170,0,MATCH(T$2,Inputs!$K$4:$AJ$4,0)))+SUMPRODUCT((Inputs!$E$5:$E$170=$B58)*Inputs!$F$5:$F$170*(((Inputs!$G$5:$G$170="moeda")+(Inputs!$G$5:$G$170="acoes"))*Inputs!$B$1+((Inputs!$G$5:$G$170&lt;&gt;"moeda")*(Inputs!$G$5:$G$170&lt;&gt;"acoes")))*INDEX(Inputs!$K$5:$AJ$170,0,MATCH(T$2,Inputs!$K$4:$AJ$4,0)))))</f>
        <v>619.952</v>
      </c>
      <c r="U58" s="264">
        <f>IF(ISNA(MATCH(U$2,Inputs!$K$4:$AJ$4,0)),NA(),IF(SUMPRODUCT((Inputs!$A$5:$A$170=$B58)*ISNUMBER(INDEX(Inputs!$K$5:$AJ$170,0,MATCH(U$2,Inputs!$K$4:$AJ$4,0))))+SUMPRODUCT((Inputs!$C$5:$C$170=$B58)*ISNUMBER(INDEX(Inputs!$K$5:$AJ$170,0,MATCH(U$2,Inputs!$K$4:$AJ$4,0))))+SUMPRODUCT((Inputs!$E$5:$E$170=$B58)*ISNUMBER(INDEX(Inputs!$K$5:$AJ$170,0,MATCH(U$2,Inputs!$K$4:$AJ$4,0))))=0,NA(),SUMPRODUCT((Inputs!$A$5:$A$170=$B58)*Inputs!$B$5:$B$170*(((Inputs!$G$5:$G$170="moeda")+(Inputs!$G$5:$G$170="acoes"))*Inputs!$B$1+((Inputs!$G$5:$G$170&lt;&gt;"moeda")*(Inputs!$G$5:$G$170&lt;&gt;"acoes")))*INDEX(Inputs!$K$5:$AJ$170,0,MATCH(U$2,Inputs!$K$4:$AJ$4,0)))+SUMPRODUCT((Inputs!$C$5:$C$170=$B58)*Inputs!$D$5:$D$170*(((Inputs!$G$5:$G$170="moeda")+(Inputs!$G$5:$G$170="acoes"))*Inputs!$B$1+((Inputs!$G$5:$G$170&lt;&gt;"moeda")*(Inputs!$G$5:$G$170&lt;&gt;"acoes")))*INDEX(Inputs!$K$5:$AJ$170,0,MATCH(U$2,Inputs!$K$4:$AJ$4,0)))+SUMPRODUCT((Inputs!$E$5:$E$170=$B58)*Inputs!$F$5:$F$170*(((Inputs!$G$5:$G$170="moeda")+(Inputs!$G$5:$G$170="acoes"))*Inputs!$B$1+((Inputs!$G$5:$G$170&lt;&gt;"moeda")*(Inputs!$G$5:$G$170&lt;&gt;"acoes")))*INDEX(Inputs!$K$5:$AJ$170,0,MATCH(U$2,Inputs!$K$4:$AJ$4,0)))))</f>
        <v>675.759</v>
      </c>
      <c r="V58" s="264">
        <f>IF(ISNA(MATCH(V$2,Inputs!$K$4:$AJ$4,0)),NA(),IF(SUMPRODUCT((Inputs!$A$5:$A$170=$B58)*ISNUMBER(INDEX(Inputs!$K$5:$AJ$170,0,MATCH(V$2,Inputs!$K$4:$AJ$4,0))))+SUMPRODUCT((Inputs!$C$5:$C$170=$B58)*ISNUMBER(INDEX(Inputs!$K$5:$AJ$170,0,MATCH(V$2,Inputs!$K$4:$AJ$4,0))))+SUMPRODUCT((Inputs!$E$5:$E$170=$B58)*ISNUMBER(INDEX(Inputs!$K$5:$AJ$170,0,MATCH(V$2,Inputs!$K$4:$AJ$4,0))))=0,NA(),SUMPRODUCT((Inputs!$A$5:$A$170=$B58)*Inputs!$B$5:$B$170*(((Inputs!$G$5:$G$170="moeda")+(Inputs!$G$5:$G$170="acoes"))*Inputs!$B$1+((Inputs!$G$5:$G$170&lt;&gt;"moeda")*(Inputs!$G$5:$G$170&lt;&gt;"acoes")))*INDEX(Inputs!$K$5:$AJ$170,0,MATCH(V$2,Inputs!$K$4:$AJ$4,0)))+SUMPRODUCT((Inputs!$C$5:$C$170=$B58)*Inputs!$D$5:$D$170*(((Inputs!$G$5:$G$170="moeda")+(Inputs!$G$5:$G$170="acoes"))*Inputs!$B$1+((Inputs!$G$5:$G$170&lt;&gt;"moeda")*(Inputs!$G$5:$G$170&lt;&gt;"acoes")))*INDEX(Inputs!$K$5:$AJ$170,0,MATCH(V$2,Inputs!$K$4:$AJ$4,0)))+SUMPRODUCT((Inputs!$E$5:$E$170=$B58)*Inputs!$F$5:$F$170*(((Inputs!$G$5:$G$170="moeda")+(Inputs!$G$5:$G$170="acoes"))*Inputs!$B$1+((Inputs!$G$5:$G$170&lt;&gt;"moeda")*(Inputs!$G$5:$G$170&lt;&gt;"acoes")))*INDEX(Inputs!$K$5:$AJ$170,0,MATCH(V$2,Inputs!$K$4:$AJ$4,0)))))</f>
        <v>683.937</v>
      </c>
      <c r="W58" s="265">
        <f>SUM(S58:V58)</f>
        <v>2514.942</v>
      </c>
      <c r="X58" s="264">
        <f>IF(ISNA(MATCH(X$2,Inputs!$K$4:$AJ$4,0)),NA(),IF(SUMPRODUCT((Inputs!$A$5:$A$170=$B58)*ISNUMBER(INDEX(Inputs!$K$5:$AJ$170,0,MATCH(X$2,Inputs!$K$4:$AJ$4,0))))+SUMPRODUCT((Inputs!$C$5:$C$170=$B58)*ISNUMBER(INDEX(Inputs!$K$5:$AJ$170,0,MATCH(X$2,Inputs!$K$4:$AJ$4,0))))+SUMPRODUCT((Inputs!$E$5:$E$170=$B58)*ISNUMBER(INDEX(Inputs!$K$5:$AJ$170,0,MATCH(X$2,Inputs!$K$4:$AJ$4,0))))=0,NA(),SUMPRODUCT((Inputs!$A$5:$A$170=$B58)*Inputs!$B$5:$B$170*(((Inputs!$G$5:$G$170="moeda")+(Inputs!$G$5:$G$170="acoes"))*Inputs!$B$1+((Inputs!$G$5:$G$170&lt;&gt;"moeda")*(Inputs!$G$5:$G$170&lt;&gt;"acoes")))*INDEX(Inputs!$K$5:$AJ$170,0,MATCH(X$2,Inputs!$K$4:$AJ$4,0)))+SUMPRODUCT((Inputs!$C$5:$C$170=$B58)*Inputs!$D$5:$D$170*(((Inputs!$G$5:$G$170="moeda")+(Inputs!$G$5:$G$170="acoes"))*Inputs!$B$1+((Inputs!$G$5:$G$170&lt;&gt;"moeda")*(Inputs!$G$5:$G$170&lt;&gt;"acoes")))*INDEX(Inputs!$K$5:$AJ$170,0,MATCH(X$2,Inputs!$K$4:$AJ$4,0)))+SUMPRODUCT((Inputs!$E$5:$E$170=$B58)*Inputs!$F$5:$F$170*(((Inputs!$G$5:$G$170="moeda")+(Inputs!$G$5:$G$170="acoes"))*Inputs!$B$1+((Inputs!$G$5:$G$170&lt;&gt;"moeda")*(Inputs!$G$5:$G$170&lt;&gt;"acoes")))*INDEX(Inputs!$K$5:$AJ$170,0,MATCH(X$2,Inputs!$K$4:$AJ$4,0)))))</f>
        <v>756.317</v>
      </c>
      <c r="Y58" s="264">
        <f>IF(ISNA(MATCH(Y$2,Inputs!$K$4:$AJ$4,0)),NA(),IF(SUMPRODUCT((Inputs!$A$5:$A$170=$B58)*ISNUMBER(INDEX(Inputs!$K$5:$AJ$170,0,MATCH(Y$2,Inputs!$K$4:$AJ$4,0))))+SUMPRODUCT((Inputs!$C$5:$C$170=$B58)*ISNUMBER(INDEX(Inputs!$K$5:$AJ$170,0,MATCH(Y$2,Inputs!$K$4:$AJ$4,0))))+SUMPRODUCT((Inputs!$E$5:$E$170=$B58)*ISNUMBER(INDEX(Inputs!$K$5:$AJ$170,0,MATCH(Y$2,Inputs!$K$4:$AJ$4,0))))=0,NA(),SUMPRODUCT((Inputs!$A$5:$A$170=$B58)*Inputs!$B$5:$B$170*(((Inputs!$G$5:$G$170="moeda")+(Inputs!$G$5:$G$170="acoes"))*Inputs!$B$1+((Inputs!$G$5:$G$170&lt;&gt;"moeda")*(Inputs!$G$5:$G$170&lt;&gt;"acoes")))*INDEX(Inputs!$K$5:$AJ$170,0,MATCH(Y$2,Inputs!$K$4:$AJ$4,0)))+SUMPRODUCT((Inputs!$C$5:$C$170=$B58)*Inputs!$D$5:$D$170*(((Inputs!$G$5:$G$170="moeda")+(Inputs!$G$5:$G$170="acoes"))*Inputs!$B$1+((Inputs!$G$5:$G$170&lt;&gt;"moeda")*(Inputs!$G$5:$G$170&lt;&gt;"acoes")))*INDEX(Inputs!$K$5:$AJ$170,0,MATCH(Y$2,Inputs!$K$4:$AJ$4,0)))+SUMPRODUCT((Inputs!$E$5:$E$170=$B58)*Inputs!$F$5:$F$170*(((Inputs!$G$5:$G$170="moeda")+(Inputs!$G$5:$G$170="acoes"))*Inputs!$B$1+((Inputs!$G$5:$G$170&lt;&gt;"moeda")*(Inputs!$G$5:$G$170&lt;&gt;"acoes")))*INDEX(Inputs!$K$5:$AJ$170,0,MATCH(Y$2,Inputs!$K$4:$AJ$4,0)))))</f>
        <v>757.422</v>
      </c>
      <c r="Z58" s="264">
        <f>IF(ISNA(MATCH(Z$2,Inputs!$K$4:$AJ$4,0)),NA(),IF(SUMPRODUCT((Inputs!$A$5:$A$170=$B58)*ISNUMBER(INDEX(Inputs!$K$5:$AJ$170,0,MATCH(Z$2,Inputs!$K$4:$AJ$4,0))))+SUMPRODUCT((Inputs!$C$5:$C$170=$B58)*ISNUMBER(INDEX(Inputs!$K$5:$AJ$170,0,MATCH(Z$2,Inputs!$K$4:$AJ$4,0))))+SUMPRODUCT((Inputs!$E$5:$E$170=$B58)*ISNUMBER(INDEX(Inputs!$K$5:$AJ$170,0,MATCH(Z$2,Inputs!$K$4:$AJ$4,0))))=0,NA(),SUMPRODUCT((Inputs!$A$5:$A$170=$B58)*Inputs!$B$5:$B$170*(((Inputs!$G$5:$G$170="moeda")+(Inputs!$G$5:$G$170="acoes"))*Inputs!$B$1+((Inputs!$G$5:$G$170&lt;&gt;"moeda")*(Inputs!$G$5:$G$170&lt;&gt;"acoes")))*INDEX(Inputs!$K$5:$AJ$170,0,MATCH(Z$2,Inputs!$K$4:$AJ$4,0)))+SUMPRODUCT((Inputs!$C$5:$C$170=$B58)*Inputs!$D$5:$D$170*(((Inputs!$G$5:$G$170="moeda")+(Inputs!$G$5:$G$170="acoes"))*Inputs!$B$1+((Inputs!$G$5:$G$170&lt;&gt;"moeda")*(Inputs!$G$5:$G$170&lt;&gt;"acoes")))*INDEX(Inputs!$K$5:$AJ$170,0,MATCH(Z$2,Inputs!$K$4:$AJ$4,0)))+SUMPRODUCT((Inputs!$E$5:$E$170=$B58)*Inputs!$F$5:$F$170*(((Inputs!$G$5:$G$170="moeda")+(Inputs!$G$5:$G$170="acoes"))*Inputs!$B$1+((Inputs!$G$5:$G$170&lt;&gt;"moeda")*(Inputs!$G$5:$G$170&lt;&gt;"acoes")))*INDEX(Inputs!$K$5:$AJ$170,0,MATCH(Z$2,Inputs!$K$4:$AJ$4,0)))))</f>
        <v>791.002</v>
      </c>
      <c r="AA58" s="264">
        <f>IF(ISNA(MATCH(AA$2,Inputs!$K$4:$AJ$4,0)),NA(),IF(SUMPRODUCT((Inputs!$A$5:$A$170=$B58)*ISNUMBER(INDEX(Inputs!$K$5:$AJ$170,0,MATCH(AA$2,Inputs!$K$4:$AJ$4,0))))+SUMPRODUCT((Inputs!$C$5:$C$170=$B58)*ISNUMBER(INDEX(Inputs!$K$5:$AJ$170,0,MATCH(AA$2,Inputs!$K$4:$AJ$4,0))))+SUMPRODUCT((Inputs!$E$5:$E$170=$B58)*ISNUMBER(INDEX(Inputs!$K$5:$AJ$170,0,MATCH(AA$2,Inputs!$K$4:$AJ$4,0))))=0,NA(),SUMPRODUCT((Inputs!$A$5:$A$170=$B58)*Inputs!$B$5:$B$170*(((Inputs!$G$5:$G$170="moeda")+(Inputs!$G$5:$G$170="acoes"))*Inputs!$B$1+((Inputs!$G$5:$G$170&lt;&gt;"moeda")*(Inputs!$G$5:$G$170&lt;&gt;"acoes")))*INDEX(Inputs!$K$5:$AJ$170,0,MATCH(AA$2,Inputs!$K$4:$AJ$4,0)))+SUMPRODUCT((Inputs!$C$5:$C$170=$B58)*Inputs!$D$5:$D$170*(((Inputs!$G$5:$G$170="moeda")+(Inputs!$G$5:$G$170="acoes"))*Inputs!$B$1+((Inputs!$G$5:$G$170&lt;&gt;"moeda")*(Inputs!$G$5:$G$170&lt;&gt;"acoes")))*INDEX(Inputs!$K$5:$AJ$170,0,MATCH(AA$2,Inputs!$K$4:$AJ$4,0)))+SUMPRODUCT((Inputs!$E$5:$E$170=$B58)*Inputs!$F$5:$F$170*(((Inputs!$G$5:$G$170="moeda")+(Inputs!$G$5:$G$170="acoes"))*Inputs!$B$1+((Inputs!$G$5:$G$170&lt;&gt;"moeda")*(Inputs!$G$5:$G$170&lt;&gt;"acoes")))*INDEX(Inputs!$K$5:$AJ$170,0,MATCH(AA$2,Inputs!$K$4:$AJ$4,0)))))</f>
        <v>811.769076146087</v>
      </c>
      <c r="AB58" s="265">
        <f>SUM(X58:AA58)</f>
        <v>3116.51007614609</v>
      </c>
      <c r="AC58" s="264">
        <f>IF(ISNA(MATCH(AC$2,Inputs!$K$4:$AJ$4,0)),NA(),IF(SUMPRODUCT((Inputs!$A$5:$A$170=$B58)*ISNUMBER(INDEX(Inputs!$K$5:$AJ$170,0,MATCH(AC$2,Inputs!$K$4:$AJ$4,0))))+SUMPRODUCT((Inputs!$C$5:$C$170=$B58)*ISNUMBER(INDEX(Inputs!$K$5:$AJ$170,0,MATCH(AC$2,Inputs!$K$4:$AJ$4,0))))+SUMPRODUCT((Inputs!$E$5:$E$170=$B58)*ISNUMBER(INDEX(Inputs!$K$5:$AJ$170,0,MATCH(AC$2,Inputs!$K$4:$AJ$4,0))))=0,NA(),SUMPRODUCT((Inputs!$A$5:$A$170=$B58)*Inputs!$B$5:$B$170*(((Inputs!$G$5:$G$170="moeda")+(Inputs!$G$5:$G$170="acoes"))*Inputs!$B$1+((Inputs!$G$5:$G$170&lt;&gt;"moeda")*(Inputs!$G$5:$G$170&lt;&gt;"acoes")))*INDEX(Inputs!$K$5:$AJ$170,0,MATCH(AC$2,Inputs!$K$4:$AJ$4,0)))+SUMPRODUCT((Inputs!$C$5:$C$170=$B58)*Inputs!$D$5:$D$170*(((Inputs!$G$5:$G$170="moeda")+(Inputs!$G$5:$G$170="acoes"))*Inputs!$B$1+((Inputs!$G$5:$G$170&lt;&gt;"moeda")*(Inputs!$G$5:$G$170&lt;&gt;"acoes")))*INDEX(Inputs!$K$5:$AJ$170,0,MATCH(AC$2,Inputs!$K$4:$AJ$4,0)))+SUMPRODUCT((Inputs!$E$5:$E$170=$B58)*Inputs!$F$5:$F$170*(((Inputs!$G$5:$G$170="moeda")+(Inputs!$G$5:$G$170="acoes"))*Inputs!$B$1+((Inputs!$G$5:$G$170&lt;&gt;"moeda")*(Inputs!$G$5:$G$170&lt;&gt;"acoes")))*INDEX(Inputs!$K$5:$AJ$170,0,MATCH(AC$2,Inputs!$K$4:$AJ$4,0)))))</f>
        <v>833.529633609476</v>
      </c>
      <c r="AD58" s="264">
        <f>IF(ISNA(MATCH(AD$2,Inputs!$K$4:$AJ$4,0)),NA(),IF(SUMPRODUCT((Inputs!$A$5:$A$170=$B58)*ISNUMBER(INDEX(Inputs!$K$5:$AJ$170,0,MATCH(AD$2,Inputs!$K$4:$AJ$4,0))))+SUMPRODUCT((Inputs!$C$5:$C$170=$B58)*ISNUMBER(INDEX(Inputs!$K$5:$AJ$170,0,MATCH(AD$2,Inputs!$K$4:$AJ$4,0))))+SUMPRODUCT((Inputs!$E$5:$E$170=$B58)*ISNUMBER(INDEX(Inputs!$K$5:$AJ$170,0,MATCH(AD$2,Inputs!$K$4:$AJ$4,0))))=0,NA(),SUMPRODUCT((Inputs!$A$5:$A$170=$B58)*Inputs!$B$5:$B$170*(((Inputs!$G$5:$G$170="moeda")+(Inputs!$G$5:$G$170="acoes"))*Inputs!$B$1+((Inputs!$G$5:$G$170&lt;&gt;"moeda")*(Inputs!$G$5:$G$170&lt;&gt;"acoes")))*INDEX(Inputs!$K$5:$AJ$170,0,MATCH(AD$2,Inputs!$K$4:$AJ$4,0)))+SUMPRODUCT((Inputs!$C$5:$C$170=$B58)*Inputs!$D$5:$D$170*(((Inputs!$G$5:$G$170="moeda")+(Inputs!$G$5:$G$170="acoes"))*Inputs!$B$1+((Inputs!$G$5:$G$170&lt;&gt;"moeda")*(Inputs!$G$5:$G$170&lt;&gt;"acoes")))*INDEX(Inputs!$K$5:$AJ$170,0,MATCH(AD$2,Inputs!$K$4:$AJ$4,0)))+SUMPRODUCT((Inputs!$E$5:$E$170=$B58)*Inputs!$F$5:$F$170*(((Inputs!$G$5:$G$170="moeda")+(Inputs!$G$5:$G$170="acoes"))*Inputs!$B$1+((Inputs!$G$5:$G$170&lt;&gt;"moeda")*(Inputs!$G$5:$G$170&lt;&gt;"acoes")))*INDEX(Inputs!$K$5:$AJ$170,0,MATCH(AD$2,Inputs!$K$4:$AJ$4,0)))))</f>
        <v>895.096737466325</v>
      </c>
      <c r="AE58" s="264" t="e">
        <f>IF(ISNA(MATCH(AE$2,Inputs!$K$4:$AJ$4,0)),NA(),IF(SUMPRODUCT((Inputs!$A$5:$A$170=$B58)*ISNUMBER(INDEX(Inputs!$K$5:$AJ$170,0,MATCH(AE$2,Inputs!$K$4:$AJ$4,0))))+SUMPRODUCT((Inputs!$C$5:$C$170=$B58)*ISNUMBER(INDEX(Inputs!$K$5:$AJ$170,0,MATCH(AE$2,Inputs!$K$4:$AJ$4,0))))+SUMPRODUCT((Inputs!$E$5:$E$170=$B58)*ISNUMBER(INDEX(Inputs!$K$5:$AJ$170,0,MATCH(AE$2,Inputs!$K$4:$AJ$4,0))))=0,NA(),SUMPRODUCT((Inputs!$A$5:$A$170=$B58)*Inputs!$B$5:$B$170*(((Inputs!$G$5:$G$170="moeda")+(Inputs!$G$5:$G$170="acoes"))*Inputs!$B$1+((Inputs!$G$5:$G$170&lt;&gt;"moeda")*(Inputs!$G$5:$G$170&lt;&gt;"acoes")))*INDEX(Inputs!$K$5:$AJ$170,0,MATCH(AE$2,Inputs!$K$4:$AJ$4,0)))+SUMPRODUCT((Inputs!$C$5:$C$170=$B58)*Inputs!$D$5:$D$170*(((Inputs!$G$5:$G$170="moeda")+(Inputs!$G$5:$G$170="acoes"))*Inputs!$B$1+((Inputs!$G$5:$G$170&lt;&gt;"moeda")*(Inputs!$G$5:$G$170&lt;&gt;"acoes")))*INDEX(Inputs!$K$5:$AJ$170,0,MATCH(AE$2,Inputs!$K$4:$AJ$4,0)))+SUMPRODUCT((Inputs!$E$5:$E$170=$B58)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8" s="264" t="e">
        <f>IF(ISNA(MATCH(AF$2,Inputs!$K$4:$AJ$4,0)),NA(),IF(SUMPRODUCT((Inputs!$A$5:$A$170=$B58)*ISNUMBER(INDEX(Inputs!$K$5:$AJ$170,0,MATCH(AF$2,Inputs!$K$4:$AJ$4,0))))+SUMPRODUCT((Inputs!$C$5:$C$170=$B58)*ISNUMBER(INDEX(Inputs!$K$5:$AJ$170,0,MATCH(AF$2,Inputs!$K$4:$AJ$4,0))))+SUMPRODUCT((Inputs!$E$5:$E$170=$B58)*ISNUMBER(INDEX(Inputs!$K$5:$AJ$170,0,MATCH(AF$2,Inputs!$K$4:$AJ$4,0))))=0,NA(),SUMPRODUCT((Inputs!$A$5:$A$170=$B58)*Inputs!$B$5:$B$170*(((Inputs!$G$5:$G$170="moeda")+(Inputs!$G$5:$G$170="acoes"))*Inputs!$B$1+((Inputs!$G$5:$G$170&lt;&gt;"moeda")*(Inputs!$G$5:$G$170&lt;&gt;"acoes")))*INDEX(Inputs!$K$5:$AJ$170,0,MATCH(AF$2,Inputs!$K$4:$AJ$4,0)))+SUMPRODUCT((Inputs!$C$5:$C$170=$B58)*Inputs!$D$5:$D$170*(((Inputs!$G$5:$G$170="moeda")+(Inputs!$G$5:$G$170="acoes"))*Inputs!$B$1+((Inputs!$G$5:$G$170&lt;&gt;"moeda")*(Inputs!$G$5:$G$170&lt;&gt;"acoes")))*INDEX(Inputs!$K$5:$AJ$170,0,MATCH(AF$2,Inputs!$K$4:$AJ$4,0)))+SUMPRODUCT((Inputs!$E$5:$E$170=$B58)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8" s="265" t="e">
        <f>SUM(AC58:AF58)</f>
        <v>#N/A</v>
      </c>
      <c r="AH58" s="264">
        <f>IF(ISNA(MATCH(AH$2,Inputs!$K$4:$AJ$4,0)),NA(),IF(SUMPRODUCT((Inputs!$A$5:$A$170=$B58)*ISNUMBER(INDEX(Inputs!$K$5:$AJ$170,0,MATCH(AH$2,Inputs!$K$4:$AJ$4,0))))+SUMPRODUCT((Inputs!$C$5:$C$170=$B58)*ISNUMBER(INDEX(Inputs!$K$5:$AJ$170,0,MATCH(AH$2,Inputs!$K$4:$AJ$4,0))))+SUMPRODUCT((Inputs!$E$5:$E$170=$B58)*ISNUMBER(INDEX(Inputs!$K$5:$AJ$170,0,MATCH(AH$2,Inputs!$K$4:$AJ$4,0))))=0,NA(),SUMPRODUCT((Inputs!$A$5:$A$170=$B58)*Inputs!$B$5:$B$170*(((Inputs!$G$5:$G$170="moeda")+(Inputs!$G$5:$G$170="acoes"))*Inputs!$B$1+((Inputs!$G$5:$G$170&lt;&gt;"moeda")*(Inputs!$G$5:$G$170&lt;&gt;"acoes")))*INDEX(Inputs!$K$5:$AJ$170,0,MATCH(AH$2,Inputs!$K$4:$AJ$4,0)))+SUMPRODUCT((Inputs!$C$5:$C$170=$B58)*Inputs!$D$5:$D$170*(((Inputs!$G$5:$G$170="moeda")+(Inputs!$G$5:$G$170="acoes"))*Inputs!$B$1+((Inputs!$G$5:$G$170&lt;&gt;"moeda")*(Inputs!$G$5:$G$170&lt;&gt;"acoes")))*INDEX(Inputs!$K$5:$AJ$170,0,MATCH(AH$2,Inputs!$K$4:$AJ$4,0)))+SUMPRODUCT((Inputs!$E$5:$E$170=$B58)*Inputs!$F$5:$F$170*(((Inputs!$G$5:$G$170="moeda")+(Inputs!$G$5:$G$170="acoes"))*Inputs!$B$1+((Inputs!$G$5:$G$170&lt;&gt;"moeda")*(Inputs!$G$5:$G$170&lt;&gt;"acoes")))*INDEX(Inputs!$K$5:$AJ$170,0,MATCH(AH$2,Inputs!$K$4:$AJ$4,0)))))</f>
        <v>83.307</v>
      </c>
      <c r="AI58" s="264">
        <f>IF(ISNA(MATCH(AI$2,Inputs!$K$4:$AJ$4,0)),NA(),IF(SUMPRODUCT((Inputs!$A$5:$A$170=$B58)*ISNUMBER(INDEX(Inputs!$K$5:$AJ$170,0,MATCH(AI$2,Inputs!$K$4:$AJ$4,0))))+SUMPRODUCT((Inputs!$C$5:$C$170=$B58)*ISNUMBER(INDEX(Inputs!$K$5:$AJ$170,0,MATCH(AI$2,Inputs!$K$4:$AJ$4,0))))+SUMPRODUCT((Inputs!$E$5:$E$170=$B58)*ISNUMBER(INDEX(Inputs!$K$5:$AJ$170,0,MATCH(AI$2,Inputs!$K$4:$AJ$4,0))))=0,NA(),SUMPRODUCT((Inputs!$A$5:$A$170=$B58)*Inputs!$B$5:$B$170*(((Inputs!$G$5:$G$170="moeda")+(Inputs!$G$5:$G$170="acoes"))*Inputs!$B$1+((Inputs!$G$5:$G$170&lt;&gt;"moeda")*(Inputs!$G$5:$G$170&lt;&gt;"acoes")))*INDEX(Inputs!$K$5:$AJ$170,0,MATCH(AI$2,Inputs!$K$4:$AJ$4,0)))+SUMPRODUCT((Inputs!$C$5:$C$170=$B58)*Inputs!$D$5:$D$170*(((Inputs!$G$5:$G$170="moeda")+(Inputs!$G$5:$G$170="acoes"))*Inputs!$B$1+((Inputs!$G$5:$G$170&lt;&gt;"moeda")*(Inputs!$G$5:$G$170&lt;&gt;"acoes")))*INDEX(Inputs!$K$5:$AJ$170,0,MATCH(AI$2,Inputs!$K$4:$AJ$4,0)))+SUMPRODUCT((Inputs!$E$5:$E$170=$B58)*Inputs!$F$5:$F$170*(((Inputs!$G$5:$G$170="moeda")+(Inputs!$G$5:$G$170="acoes"))*Inputs!$B$1+((Inputs!$G$5:$G$170&lt;&gt;"moeda")*(Inputs!$G$5:$G$170&lt;&gt;"acoes")))*INDEX(Inputs!$K$5:$AJ$170,0,MATCH(AI$2,Inputs!$K$4:$AJ$4,0)))))</f>
        <v>91.522</v>
      </c>
      <c r="AJ58" s="264">
        <f>IF(ISNA(MATCH(AJ$2,Inputs!$K$4:$AJ$4,0)),NA(),IF(SUMPRODUCT((Inputs!$A$5:$A$170=$B58)*ISNUMBER(INDEX(Inputs!$K$5:$AJ$170,0,MATCH(AJ$2,Inputs!$K$4:$AJ$4,0))))+SUMPRODUCT((Inputs!$C$5:$C$170=$B58)*ISNUMBER(INDEX(Inputs!$K$5:$AJ$170,0,MATCH(AJ$2,Inputs!$K$4:$AJ$4,0))))+SUMPRODUCT((Inputs!$E$5:$E$170=$B58)*ISNUMBER(INDEX(Inputs!$K$5:$AJ$170,0,MATCH(AJ$2,Inputs!$K$4:$AJ$4,0))))=0,NA(),SUMPRODUCT((Inputs!$A$5:$A$170=$B58)*Inputs!$B$5:$B$170*(((Inputs!$G$5:$G$170="moeda")+(Inputs!$G$5:$G$170="acoes"))*Inputs!$B$1+((Inputs!$G$5:$G$170&lt;&gt;"moeda")*(Inputs!$G$5:$G$170&lt;&gt;"acoes")))*INDEX(Inputs!$K$5:$AJ$170,0,MATCH(AJ$2,Inputs!$K$4:$AJ$4,0)))+SUMPRODUCT((Inputs!$C$5:$C$170=$B58)*Inputs!$D$5:$D$170*(((Inputs!$G$5:$G$170="moeda")+(Inputs!$G$5:$G$170="acoes"))*Inputs!$B$1+((Inputs!$G$5:$G$170&lt;&gt;"moeda")*(Inputs!$G$5:$G$170&lt;&gt;"acoes")))*INDEX(Inputs!$K$5:$AJ$170,0,MATCH(AJ$2,Inputs!$K$4:$AJ$4,0)))+SUMPRODUCT((Inputs!$E$5:$E$170=$B58)*Inputs!$F$5:$F$170*(((Inputs!$G$5:$G$170="moeda")+(Inputs!$G$5:$G$170="acoes"))*Inputs!$B$1+((Inputs!$G$5:$G$170&lt;&gt;"moeda")*(Inputs!$G$5:$G$170&lt;&gt;"acoes")))*INDEX(Inputs!$K$5:$AJ$170,0,MATCH(AJ$2,Inputs!$K$4:$AJ$4,0)))))</f>
        <v>82.203</v>
      </c>
      <c r="AK58" s="264">
        <f>IF(ISNA(MATCH(AK$2,Inputs!$K$4:$AJ$4,0)),NA(),IF(SUMPRODUCT((Inputs!$A$5:$A$170=$B58)*ISNUMBER(INDEX(Inputs!$K$5:$AJ$170,0,MATCH(AK$2,Inputs!$K$4:$AJ$4,0))))+SUMPRODUCT((Inputs!$C$5:$C$170=$B58)*ISNUMBER(INDEX(Inputs!$K$5:$AJ$170,0,MATCH(AK$2,Inputs!$K$4:$AJ$4,0))))+SUMPRODUCT((Inputs!$E$5:$E$170=$B58)*ISNUMBER(INDEX(Inputs!$K$5:$AJ$170,0,MATCH(AK$2,Inputs!$K$4:$AJ$4,0))))=0,NA(),SUMPRODUCT((Inputs!$A$5:$A$170=$B58)*Inputs!$B$5:$B$170*(((Inputs!$G$5:$G$170="moeda")+(Inputs!$G$5:$G$170="acoes"))*Inputs!$B$1+((Inputs!$G$5:$G$170&lt;&gt;"moeda")*(Inputs!$G$5:$G$170&lt;&gt;"acoes")))*INDEX(Inputs!$K$5:$AJ$170,0,MATCH(AK$2,Inputs!$K$4:$AJ$4,0)))+SUMPRODUCT((Inputs!$C$5:$C$170=$B58)*Inputs!$D$5:$D$170*(((Inputs!$G$5:$G$170="moeda")+(Inputs!$G$5:$G$170="acoes"))*Inputs!$B$1+((Inputs!$G$5:$G$170&lt;&gt;"moeda")*(Inputs!$G$5:$G$170&lt;&gt;"acoes")))*INDEX(Inputs!$K$5:$AJ$170,0,MATCH(AK$2,Inputs!$K$4:$AJ$4,0)))+SUMPRODUCT((Inputs!$E$5:$E$170=$B58)*Inputs!$F$5:$F$170*(((Inputs!$G$5:$G$170="moeda")+(Inputs!$G$5:$G$170="acoes"))*Inputs!$B$1+((Inputs!$G$5:$G$170&lt;&gt;"moeda")*(Inputs!$G$5:$G$170&lt;&gt;"acoes")))*INDEX(Inputs!$K$5:$AJ$170,0,MATCH(AK$2,Inputs!$K$4:$AJ$4,0)))))</f>
        <v>85.631</v>
      </c>
      <c r="AL58" s="265">
        <f>SUM(AH58:AK58)</f>
        <v>342.663</v>
      </c>
    </row>
    <row r="59">
      <c r="B59" s="46" t="n">
        <v>51</v>
      </c>
      <c r="C59" s="29" t="inlineStr">
        <is>
          <t>EBITDA Seminovos (DRE l.96)</t>
        </is>
      </c>
      <c r="D59" s="264">
        <f>IF(ISNA(MATCH(D$2,Inputs!$K$4:$AJ$4,0)),NA(),IF(SUMPRODUCT((Inputs!$A$5:$A$170=$B59)*ISNUMBER(INDEX(Inputs!$K$5:$AJ$170,0,MATCH(D$2,Inputs!$K$4:$AJ$4,0))))+SUMPRODUCT((Inputs!$C$5:$C$170=$B59)*ISNUMBER(INDEX(Inputs!$K$5:$AJ$170,0,MATCH(D$2,Inputs!$K$4:$AJ$4,0))))+SUMPRODUCT((Inputs!$E$5:$E$170=$B59)*ISNUMBER(INDEX(Inputs!$K$5:$AJ$170,0,MATCH(D$2,Inputs!$K$4:$AJ$4,0))))=0,NA(),SUMPRODUCT((Inputs!$A$5:$A$170=$B59)*Inputs!$B$5:$B$170*(((Inputs!$G$5:$G$170="moeda")+(Inputs!$G$5:$G$170="acoes"))*Inputs!$B$1+((Inputs!$G$5:$G$170&lt;&gt;"moeda")*(Inputs!$G$5:$G$170&lt;&gt;"acoes")))*INDEX(Inputs!$K$5:$AJ$170,0,MATCH(D$2,Inputs!$K$4:$AJ$4,0)))+SUMPRODUCT((Inputs!$C$5:$C$170=$B59)*Inputs!$D$5:$D$170*(((Inputs!$G$5:$G$170="moeda")+(Inputs!$G$5:$G$170="acoes"))*Inputs!$B$1+((Inputs!$G$5:$G$170&lt;&gt;"moeda")*(Inputs!$G$5:$G$170&lt;&gt;"acoes")))*INDEX(Inputs!$K$5:$AJ$170,0,MATCH(D$2,Inputs!$K$4:$AJ$4,0)))+SUMPRODUCT((Inputs!$E$5:$E$170=$B59)*Inputs!$F$5:$F$170*(((Inputs!$G$5:$G$170="moeda")+(Inputs!$G$5:$G$170="acoes"))*Inputs!$B$1+((Inputs!$G$5:$G$170&lt;&gt;"moeda")*(Inputs!$G$5:$G$170&lt;&gt;"acoes")))*INDEX(Inputs!$K$5:$AJ$170,0,MATCH(D$2,Inputs!$K$4:$AJ$4,0)))))</f>
        <v>36.282</v>
      </c>
      <c r="E59" s="264">
        <f>IF(ISNA(MATCH(E$2,Inputs!$K$4:$AJ$4,0)),NA(),IF(SUMPRODUCT((Inputs!$A$5:$A$170=$B59)*ISNUMBER(INDEX(Inputs!$K$5:$AJ$170,0,MATCH(E$2,Inputs!$K$4:$AJ$4,0))))+SUMPRODUCT((Inputs!$C$5:$C$170=$B59)*ISNUMBER(INDEX(Inputs!$K$5:$AJ$170,0,MATCH(E$2,Inputs!$K$4:$AJ$4,0))))+SUMPRODUCT((Inputs!$E$5:$E$170=$B59)*ISNUMBER(INDEX(Inputs!$K$5:$AJ$170,0,MATCH(E$2,Inputs!$K$4:$AJ$4,0))))=0,NA(),SUMPRODUCT((Inputs!$A$5:$A$170=$B59)*Inputs!$B$5:$B$170*(((Inputs!$G$5:$G$170="moeda")+(Inputs!$G$5:$G$170="acoes"))*Inputs!$B$1+((Inputs!$G$5:$G$170&lt;&gt;"moeda")*(Inputs!$G$5:$G$170&lt;&gt;"acoes")))*INDEX(Inputs!$K$5:$AJ$170,0,MATCH(E$2,Inputs!$K$4:$AJ$4,0)))+SUMPRODUCT((Inputs!$C$5:$C$170=$B59)*Inputs!$D$5:$D$170*(((Inputs!$G$5:$G$170="moeda")+(Inputs!$G$5:$G$170="acoes"))*Inputs!$B$1+((Inputs!$G$5:$G$170&lt;&gt;"moeda")*(Inputs!$G$5:$G$170&lt;&gt;"acoes")))*INDEX(Inputs!$K$5:$AJ$170,0,MATCH(E$2,Inputs!$K$4:$AJ$4,0)))+SUMPRODUCT((Inputs!$E$5:$E$170=$B59)*Inputs!$F$5:$F$170*(((Inputs!$G$5:$G$170="moeda")+(Inputs!$G$5:$G$170="acoes"))*Inputs!$B$1+((Inputs!$G$5:$G$170&lt;&gt;"moeda")*(Inputs!$G$5:$G$170&lt;&gt;"acoes")))*INDEX(Inputs!$K$5:$AJ$170,0,MATCH(E$2,Inputs!$K$4:$AJ$4,0)))))</f>
        <v>120.108</v>
      </c>
      <c r="F59" s="264">
        <f>IF(ISNA(MATCH(F$2,Inputs!$K$4:$AJ$4,0)),NA(),IF(SUMPRODUCT((Inputs!$A$5:$A$170=$B59)*ISNUMBER(INDEX(Inputs!$K$5:$AJ$170,0,MATCH(F$2,Inputs!$K$4:$AJ$4,0))))+SUMPRODUCT((Inputs!$C$5:$C$170=$B59)*ISNUMBER(INDEX(Inputs!$K$5:$AJ$170,0,MATCH(F$2,Inputs!$K$4:$AJ$4,0))))+SUMPRODUCT((Inputs!$E$5:$E$170=$B59)*ISNUMBER(INDEX(Inputs!$K$5:$AJ$170,0,MATCH(F$2,Inputs!$K$4:$AJ$4,0))))=0,NA(),SUMPRODUCT((Inputs!$A$5:$A$170=$B59)*Inputs!$B$5:$B$170*(((Inputs!$G$5:$G$170="moeda")+(Inputs!$G$5:$G$170="acoes"))*Inputs!$B$1+((Inputs!$G$5:$G$170&lt;&gt;"moeda")*(Inputs!$G$5:$G$170&lt;&gt;"acoes")))*INDEX(Inputs!$K$5:$AJ$170,0,MATCH(F$2,Inputs!$K$4:$AJ$4,0)))+SUMPRODUCT((Inputs!$C$5:$C$170=$B59)*Inputs!$D$5:$D$170*(((Inputs!$G$5:$G$170="moeda")+(Inputs!$G$5:$G$170="acoes"))*Inputs!$B$1+((Inputs!$G$5:$G$170&lt;&gt;"moeda")*(Inputs!$G$5:$G$170&lt;&gt;"acoes")))*INDEX(Inputs!$K$5:$AJ$170,0,MATCH(F$2,Inputs!$K$4:$AJ$4,0)))+SUMPRODUCT((Inputs!$E$5:$E$170=$B59)*Inputs!$F$5:$F$170*(((Inputs!$G$5:$G$170="moeda")+(Inputs!$G$5:$G$170="acoes"))*Inputs!$B$1+((Inputs!$G$5:$G$170&lt;&gt;"moeda")*(Inputs!$G$5:$G$170&lt;&gt;"acoes")))*INDEX(Inputs!$K$5:$AJ$170,0,MATCH(F$2,Inputs!$K$4:$AJ$4,0)))))</f>
        <v>187.2</v>
      </c>
      <c r="G59" s="264">
        <f>IF(ISNA(MATCH(G$2,Inputs!$K$4:$AJ$4,0)),NA(),IF(SUMPRODUCT((Inputs!$A$5:$A$170=$B59)*ISNUMBER(INDEX(Inputs!$K$5:$AJ$170,0,MATCH(G$2,Inputs!$K$4:$AJ$4,0))))+SUMPRODUCT((Inputs!$C$5:$C$170=$B59)*ISNUMBER(INDEX(Inputs!$K$5:$AJ$170,0,MATCH(G$2,Inputs!$K$4:$AJ$4,0))))+SUMPRODUCT((Inputs!$E$5:$E$170=$B59)*ISNUMBER(INDEX(Inputs!$K$5:$AJ$170,0,MATCH(G$2,Inputs!$K$4:$AJ$4,0))))=0,NA(),SUMPRODUCT((Inputs!$A$5:$A$170=$B59)*Inputs!$B$5:$B$170*(((Inputs!$G$5:$G$170="moeda")+(Inputs!$G$5:$G$170="acoes"))*Inputs!$B$1+((Inputs!$G$5:$G$170&lt;&gt;"moeda")*(Inputs!$G$5:$G$170&lt;&gt;"acoes")))*INDEX(Inputs!$K$5:$AJ$170,0,MATCH(G$2,Inputs!$K$4:$AJ$4,0)))+SUMPRODUCT((Inputs!$C$5:$C$170=$B59)*Inputs!$D$5:$D$170*(((Inputs!$G$5:$G$170="moeda")+(Inputs!$G$5:$G$170="acoes"))*Inputs!$B$1+((Inputs!$G$5:$G$170&lt;&gt;"moeda")*(Inputs!$G$5:$G$170&lt;&gt;"acoes")))*INDEX(Inputs!$K$5:$AJ$170,0,MATCH(G$2,Inputs!$K$4:$AJ$4,0)))+SUMPRODUCT((Inputs!$E$5:$E$170=$B59)*Inputs!$F$5:$F$170*(((Inputs!$G$5:$G$170="moeda")+(Inputs!$G$5:$G$170="acoes"))*Inputs!$B$1+((Inputs!$G$5:$G$170&lt;&gt;"moeda")*(Inputs!$G$5:$G$170&lt;&gt;"acoes")))*INDEX(Inputs!$K$5:$AJ$170,0,MATCH(G$2,Inputs!$K$4:$AJ$4,0)))))</f>
        <v>181.561</v>
      </c>
      <c r="H59" s="265">
        <f>SUM(D59:G59)</f>
        <v>525.151</v>
      </c>
      <c r="I59" s="264">
        <f>IF(ISNA(MATCH(I$2,Inputs!$K$4:$AJ$4,0)),NA(),IF(SUMPRODUCT((Inputs!$A$5:$A$170=$B59)*ISNUMBER(INDEX(Inputs!$K$5:$AJ$170,0,MATCH(I$2,Inputs!$K$4:$AJ$4,0))))+SUMPRODUCT((Inputs!$C$5:$C$170=$B59)*ISNUMBER(INDEX(Inputs!$K$5:$AJ$170,0,MATCH(I$2,Inputs!$K$4:$AJ$4,0))))+SUMPRODUCT((Inputs!$E$5:$E$170=$B59)*ISNUMBER(INDEX(Inputs!$K$5:$AJ$170,0,MATCH(I$2,Inputs!$K$4:$AJ$4,0))))=0,NA(),SUMPRODUCT((Inputs!$A$5:$A$170=$B59)*Inputs!$B$5:$B$170*(((Inputs!$G$5:$G$170="moeda")+(Inputs!$G$5:$G$170="acoes"))*Inputs!$B$1+((Inputs!$G$5:$G$170&lt;&gt;"moeda")*(Inputs!$G$5:$G$170&lt;&gt;"acoes")))*INDEX(Inputs!$K$5:$AJ$170,0,MATCH(I$2,Inputs!$K$4:$AJ$4,0)))+SUMPRODUCT((Inputs!$C$5:$C$170=$B59)*Inputs!$D$5:$D$170*(((Inputs!$G$5:$G$170="moeda")+(Inputs!$G$5:$G$170="acoes"))*Inputs!$B$1+((Inputs!$G$5:$G$170&lt;&gt;"moeda")*(Inputs!$G$5:$G$170&lt;&gt;"acoes")))*INDEX(Inputs!$K$5:$AJ$170,0,MATCH(I$2,Inputs!$K$4:$AJ$4,0)))+SUMPRODUCT((Inputs!$E$5:$E$170=$B59)*Inputs!$F$5:$F$170*(((Inputs!$G$5:$G$170="moeda")+(Inputs!$G$5:$G$170="acoes"))*Inputs!$B$1+((Inputs!$G$5:$G$170&lt;&gt;"moeda")*(Inputs!$G$5:$G$170&lt;&gt;"acoes")))*INDEX(Inputs!$K$5:$AJ$170,0,MATCH(I$2,Inputs!$K$4:$AJ$4,0)))))</f>
        <v>204.472</v>
      </c>
      <c r="J59" s="264">
        <f>IF(ISNA(MATCH(J$2,Inputs!$K$4:$AJ$4,0)),NA(),IF(SUMPRODUCT((Inputs!$A$5:$A$170=$B59)*ISNUMBER(INDEX(Inputs!$K$5:$AJ$170,0,MATCH(J$2,Inputs!$K$4:$AJ$4,0))))+SUMPRODUCT((Inputs!$C$5:$C$170=$B59)*ISNUMBER(INDEX(Inputs!$K$5:$AJ$170,0,MATCH(J$2,Inputs!$K$4:$AJ$4,0))))+SUMPRODUCT((Inputs!$E$5:$E$170=$B59)*ISNUMBER(INDEX(Inputs!$K$5:$AJ$170,0,MATCH(J$2,Inputs!$K$4:$AJ$4,0))))=0,NA(),SUMPRODUCT((Inputs!$A$5:$A$170=$B59)*Inputs!$B$5:$B$170*(((Inputs!$G$5:$G$170="moeda")+(Inputs!$G$5:$G$170="acoes"))*Inputs!$B$1+((Inputs!$G$5:$G$170&lt;&gt;"moeda")*(Inputs!$G$5:$G$170&lt;&gt;"acoes")))*INDEX(Inputs!$K$5:$AJ$170,0,MATCH(J$2,Inputs!$K$4:$AJ$4,0)))+SUMPRODUCT((Inputs!$C$5:$C$170=$B59)*Inputs!$D$5:$D$170*(((Inputs!$G$5:$G$170="moeda")+(Inputs!$G$5:$G$170="acoes"))*Inputs!$B$1+((Inputs!$G$5:$G$170&lt;&gt;"moeda")*(Inputs!$G$5:$G$170&lt;&gt;"acoes")))*INDEX(Inputs!$K$5:$AJ$170,0,MATCH(J$2,Inputs!$K$4:$AJ$4,0)))+SUMPRODUCT((Inputs!$E$5:$E$170=$B59)*Inputs!$F$5:$F$170*(((Inputs!$G$5:$G$170="moeda")+(Inputs!$G$5:$G$170="acoes"))*Inputs!$B$1+((Inputs!$G$5:$G$170&lt;&gt;"moeda")*(Inputs!$G$5:$G$170&lt;&gt;"acoes")))*INDEX(Inputs!$K$5:$AJ$170,0,MATCH(J$2,Inputs!$K$4:$AJ$4,0)))))</f>
        <v>205.234</v>
      </c>
      <c r="K59" s="264">
        <f>IF(ISNA(MATCH(K$2,Inputs!$K$4:$AJ$4,0)),NA(),IF(SUMPRODUCT((Inputs!$A$5:$A$170=$B59)*ISNUMBER(INDEX(Inputs!$K$5:$AJ$170,0,MATCH(K$2,Inputs!$K$4:$AJ$4,0))))+SUMPRODUCT((Inputs!$C$5:$C$170=$B59)*ISNUMBER(INDEX(Inputs!$K$5:$AJ$170,0,MATCH(K$2,Inputs!$K$4:$AJ$4,0))))+SUMPRODUCT((Inputs!$E$5:$E$170=$B59)*ISNUMBER(INDEX(Inputs!$K$5:$AJ$170,0,MATCH(K$2,Inputs!$K$4:$AJ$4,0))))=0,NA(),SUMPRODUCT((Inputs!$A$5:$A$170=$B59)*Inputs!$B$5:$B$170*(((Inputs!$G$5:$G$170="moeda")+(Inputs!$G$5:$G$170="acoes"))*Inputs!$B$1+((Inputs!$G$5:$G$170&lt;&gt;"moeda")*(Inputs!$G$5:$G$170&lt;&gt;"acoes")))*INDEX(Inputs!$K$5:$AJ$170,0,MATCH(K$2,Inputs!$K$4:$AJ$4,0)))+SUMPRODUCT((Inputs!$C$5:$C$170=$B59)*Inputs!$D$5:$D$170*(((Inputs!$G$5:$G$170="moeda")+(Inputs!$G$5:$G$170="acoes"))*Inputs!$B$1+((Inputs!$G$5:$G$170&lt;&gt;"moeda")*(Inputs!$G$5:$G$170&lt;&gt;"acoes")))*INDEX(Inputs!$K$5:$AJ$170,0,MATCH(K$2,Inputs!$K$4:$AJ$4,0)))+SUMPRODUCT((Inputs!$E$5:$E$170=$B59)*Inputs!$F$5:$F$170*(((Inputs!$G$5:$G$170="moeda")+(Inputs!$G$5:$G$170="acoes"))*Inputs!$B$1+((Inputs!$G$5:$G$170&lt;&gt;"moeda")*(Inputs!$G$5:$G$170&lt;&gt;"acoes")))*INDEX(Inputs!$K$5:$AJ$170,0,MATCH(K$2,Inputs!$K$4:$AJ$4,0)))))</f>
        <v>136.19</v>
      </c>
      <c r="L59" s="264">
        <f>IF(ISNA(MATCH(L$2,Inputs!$K$4:$AJ$4,0)),NA(),IF(SUMPRODUCT((Inputs!$A$5:$A$170=$B59)*ISNUMBER(INDEX(Inputs!$K$5:$AJ$170,0,MATCH(L$2,Inputs!$K$4:$AJ$4,0))))+SUMPRODUCT((Inputs!$C$5:$C$170=$B59)*ISNUMBER(INDEX(Inputs!$K$5:$AJ$170,0,MATCH(L$2,Inputs!$K$4:$AJ$4,0))))+SUMPRODUCT((Inputs!$E$5:$E$170=$B59)*ISNUMBER(INDEX(Inputs!$K$5:$AJ$170,0,MATCH(L$2,Inputs!$K$4:$AJ$4,0))))=0,NA(),SUMPRODUCT((Inputs!$A$5:$A$170=$B59)*Inputs!$B$5:$B$170*(((Inputs!$G$5:$G$170="moeda")+(Inputs!$G$5:$G$170="acoes"))*Inputs!$B$1+((Inputs!$G$5:$G$170&lt;&gt;"moeda")*(Inputs!$G$5:$G$170&lt;&gt;"acoes")))*INDEX(Inputs!$K$5:$AJ$170,0,MATCH(L$2,Inputs!$K$4:$AJ$4,0)))+SUMPRODUCT((Inputs!$C$5:$C$170=$B59)*Inputs!$D$5:$D$170*(((Inputs!$G$5:$G$170="moeda")+(Inputs!$G$5:$G$170="acoes"))*Inputs!$B$1+((Inputs!$G$5:$G$170&lt;&gt;"moeda")*(Inputs!$G$5:$G$170&lt;&gt;"acoes")))*INDEX(Inputs!$K$5:$AJ$170,0,MATCH(L$2,Inputs!$K$4:$AJ$4,0)))+SUMPRODUCT((Inputs!$E$5:$E$170=$B59)*Inputs!$F$5:$F$170*(((Inputs!$G$5:$G$170="moeda")+(Inputs!$G$5:$G$170="acoes"))*Inputs!$B$1+((Inputs!$G$5:$G$170&lt;&gt;"moeda")*(Inputs!$G$5:$G$170&lt;&gt;"acoes")))*INDEX(Inputs!$K$5:$AJ$170,0,MATCH(L$2,Inputs!$K$4:$AJ$4,0)))))</f>
        <v>105.593</v>
      </c>
      <c r="M59" s="265">
        <f>SUM(I59:L59)</f>
        <v>651.489</v>
      </c>
      <c r="N59" s="264">
        <f>IF(ISNA(MATCH(N$2,Inputs!$K$4:$AJ$4,0)),NA(),IF(SUMPRODUCT((Inputs!$A$5:$A$170=$B59)*ISNUMBER(INDEX(Inputs!$K$5:$AJ$170,0,MATCH(N$2,Inputs!$K$4:$AJ$4,0))))+SUMPRODUCT((Inputs!$C$5:$C$170=$B59)*ISNUMBER(INDEX(Inputs!$K$5:$AJ$170,0,MATCH(N$2,Inputs!$K$4:$AJ$4,0))))+SUMPRODUCT((Inputs!$E$5:$E$170=$B59)*ISNUMBER(INDEX(Inputs!$K$5:$AJ$170,0,MATCH(N$2,Inputs!$K$4:$AJ$4,0))))=0,NA(),SUMPRODUCT((Inputs!$A$5:$A$170=$B59)*Inputs!$B$5:$B$170*(((Inputs!$G$5:$G$170="moeda")+(Inputs!$G$5:$G$170="acoes"))*Inputs!$B$1+((Inputs!$G$5:$G$170&lt;&gt;"moeda")*(Inputs!$G$5:$G$170&lt;&gt;"acoes")))*INDEX(Inputs!$K$5:$AJ$170,0,MATCH(N$2,Inputs!$K$4:$AJ$4,0)))+SUMPRODUCT((Inputs!$C$5:$C$170=$B59)*Inputs!$D$5:$D$170*(((Inputs!$G$5:$G$170="moeda")+(Inputs!$G$5:$G$170="acoes"))*Inputs!$B$1+((Inputs!$G$5:$G$170&lt;&gt;"moeda")*(Inputs!$G$5:$G$170&lt;&gt;"acoes")))*INDEX(Inputs!$K$5:$AJ$170,0,MATCH(N$2,Inputs!$K$4:$AJ$4,0)))+SUMPRODUCT((Inputs!$E$5:$E$170=$B59)*Inputs!$F$5:$F$170*(((Inputs!$G$5:$G$170="moeda")+(Inputs!$G$5:$G$170="acoes"))*Inputs!$B$1+((Inputs!$G$5:$G$170&lt;&gt;"moeda")*(Inputs!$G$5:$G$170&lt;&gt;"acoes")))*INDEX(Inputs!$K$5:$AJ$170,0,MATCH(N$2,Inputs!$K$4:$AJ$4,0)))))</f>
        <v>86.387</v>
      </c>
      <c r="O59" s="264">
        <f>IF(ISNA(MATCH(O$2,Inputs!$K$4:$AJ$4,0)),NA(),IF(SUMPRODUCT((Inputs!$A$5:$A$170=$B59)*ISNUMBER(INDEX(Inputs!$K$5:$AJ$170,0,MATCH(O$2,Inputs!$K$4:$AJ$4,0))))+SUMPRODUCT((Inputs!$C$5:$C$170=$B59)*ISNUMBER(INDEX(Inputs!$K$5:$AJ$170,0,MATCH(O$2,Inputs!$K$4:$AJ$4,0))))+SUMPRODUCT((Inputs!$E$5:$E$170=$B59)*ISNUMBER(INDEX(Inputs!$K$5:$AJ$170,0,MATCH(O$2,Inputs!$K$4:$AJ$4,0))))=0,NA(),SUMPRODUCT((Inputs!$A$5:$A$170=$B59)*Inputs!$B$5:$B$170*(((Inputs!$G$5:$G$170="moeda")+(Inputs!$G$5:$G$170="acoes"))*Inputs!$B$1+((Inputs!$G$5:$G$170&lt;&gt;"moeda")*(Inputs!$G$5:$G$170&lt;&gt;"acoes")))*INDEX(Inputs!$K$5:$AJ$170,0,MATCH(O$2,Inputs!$K$4:$AJ$4,0)))+SUMPRODUCT((Inputs!$C$5:$C$170=$B59)*Inputs!$D$5:$D$170*(((Inputs!$G$5:$G$170="moeda")+(Inputs!$G$5:$G$170="acoes"))*Inputs!$B$1+((Inputs!$G$5:$G$170&lt;&gt;"moeda")*(Inputs!$G$5:$G$170&lt;&gt;"acoes")))*INDEX(Inputs!$K$5:$AJ$170,0,MATCH(O$2,Inputs!$K$4:$AJ$4,0)))+SUMPRODUCT((Inputs!$E$5:$E$170=$B59)*Inputs!$F$5:$F$170*(((Inputs!$G$5:$G$170="moeda")+(Inputs!$G$5:$G$170="acoes"))*Inputs!$B$1+((Inputs!$G$5:$G$170&lt;&gt;"moeda")*(Inputs!$G$5:$G$170&lt;&gt;"acoes")))*INDEX(Inputs!$K$5:$AJ$170,0,MATCH(O$2,Inputs!$K$4:$AJ$4,0)))))</f>
        <v>96.458</v>
      </c>
      <c r="P59" s="264">
        <f>IF(ISNA(MATCH(P$2,Inputs!$K$4:$AJ$4,0)),NA(),IF(SUMPRODUCT((Inputs!$A$5:$A$170=$B59)*ISNUMBER(INDEX(Inputs!$K$5:$AJ$170,0,MATCH(P$2,Inputs!$K$4:$AJ$4,0))))+SUMPRODUCT((Inputs!$C$5:$C$170=$B59)*ISNUMBER(INDEX(Inputs!$K$5:$AJ$170,0,MATCH(P$2,Inputs!$K$4:$AJ$4,0))))+SUMPRODUCT((Inputs!$E$5:$E$170=$B59)*ISNUMBER(INDEX(Inputs!$K$5:$AJ$170,0,MATCH(P$2,Inputs!$K$4:$AJ$4,0))))=0,NA(),SUMPRODUCT((Inputs!$A$5:$A$170=$B59)*Inputs!$B$5:$B$170*(((Inputs!$G$5:$G$170="moeda")+(Inputs!$G$5:$G$170="acoes"))*Inputs!$B$1+((Inputs!$G$5:$G$170&lt;&gt;"moeda")*(Inputs!$G$5:$G$170&lt;&gt;"acoes")))*INDEX(Inputs!$K$5:$AJ$170,0,MATCH(P$2,Inputs!$K$4:$AJ$4,0)))+SUMPRODUCT((Inputs!$C$5:$C$170=$B59)*Inputs!$D$5:$D$170*(((Inputs!$G$5:$G$170="moeda")+(Inputs!$G$5:$G$170="acoes"))*Inputs!$B$1+((Inputs!$G$5:$G$170&lt;&gt;"moeda")*(Inputs!$G$5:$G$170&lt;&gt;"acoes")))*INDEX(Inputs!$K$5:$AJ$170,0,MATCH(P$2,Inputs!$K$4:$AJ$4,0)))+SUMPRODUCT((Inputs!$E$5:$E$170=$B59)*Inputs!$F$5:$F$170*(((Inputs!$G$5:$G$170="moeda")+(Inputs!$G$5:$G$170="acoes"))*Inputs!$B$1+((Inputs!$G$5:$G$170&lt;&gt;"moeda")*(Inputs!$G$5:$G$170&lt;&gt;"acoes")))*INDEX(Inputs!$K$5:$AJ$170,0,MATCH(P$2,Inputs!$K$4:$AJ$4,0)))))</f>
        <v>41.451</v>
      </c>
      <c r="Q59" s="264">
        <f>IF(ISNA(MATCH(Q$2,Inputs!$K$4:$AJ$4,0)),NA(),IF(SUMPRODUCT((Inputs!$A$5:$A$170=$B59)*ISNUMBER(INDEX(Inputs!$K$5:$AJ$170,0,MATCH(Q$2,Inputs!$K$4:$AJ$4,0))))+SUMPRODUCT((Inputs!$C$5:$C$170=$B59)*ISNUMBER(INDEX(Inputs!$K$5:$AJ$170,0,MATCH(Q$2,Inputs!$K$4:$AJ$4,0))))+SUMPRODUCT((Inputs!$E$5:$E$170=$B59)*ISNUMBER(INDEX(Inputs!$K$5:$AJ$170,0,MATCH(Q$2,Inputs!$K$4:$AJ$4,0))))=0,NA(),SUMPRODUCT((Inputs!$A$5:$A$170=$B59)*Inputs!$B$5:$B$170*(((Inputs!$G$5:$G$170="moeda")+(Inputs!$G$5:$G$170="acoes"))*Inputs!$B$1+((Inputs!$G$5:$G$170&lt;&gt;"moeda")*(Inputs!$G$5:$G$170&lt;&gt;"acoes")))*INDEX(Inputs!$K$5:$AJ$170,0,MATCH(Q$2,Inputs!$K$4:$AJ$4,0)))+SUMPRODUCT((Inputs!$C$5:$C$170=$B59)*Inputs!$D$5:$D$170*(((Inputs!$G$5:$G$170="moeda")+(Inputs!$G$5:$G$170="acoes"))*Inputs!$B$1+((Inputs!$G$5:$G$170&lt;&gt;"moeda")*(Inputs!$G$5:$G$170&lt;&gt;"acoes")))*INDEX(Inputs!$K$5:$AJ$170,0,MATCH(Q$2,Inputs!$K$4:$AJ$4,0)))+SUMPRODUCT((Inputs!$E$5:$E$170=$B59)*Inputs!$F$5:$F$170*(((Inputs!$G$5:$G$170="moeda")+(Inputs!$G$5:$G$170="acoes"))*Inputs!$B$1+((Inputs!$G$5:$G$170&lt;&gt;"moeda")*(Inputs!$G$5:$G$170&lt;&gt;"acoes")))*INDEX(Inputs!$K$5:$AJ$170,0,MATCH(Q$2,Inputs!$K$4:$AJ$4,0)))))</f>
        <v>36.566</v>
      </c>
      <c r="R59" s="265">
        <f>SUM(N59:Q59)</f>
        <v>260.862</v>
      </c>
      <c r="S59" s="264">
        <f>IF(ISNA(MATCH(S$2,Inputs!$K$4:$AJ$4,0)),NA(),IF(SUMPRODUCT((Inputs!$A$5:$A$170=$B59)*ISNUMBER(INDEX(Inputs!$K$5:$AJ$170,0,MATCH(S$2,Inputs!$K$4:$AJ$4,0))))+SUMPRODUCT((Inputs!$C$5:$C$170=$B59)*ISNUMBER(INDEX(Inputs!$K$5:$AJ$170,0,MATCH(S$2,Inputs!$K$4:$AJ$4,0))))+SUMPRODUCT((Inputs!$E$5:$E$170=$B59)*ISNUMBER(INDEX(Inputs!$K$5:$AJ$170,0,MATCH(S$2,Inputs!$K$4:$AJ$4,0))))=0,NA(),SUMPRODUCT((Inputs!$A$5:$A$170=$B59)*Inputs!$B$5:$B$170*(((Inputs!$G$5:$G$170="moeda")+(Inputs!$G$5:$G$170="acoes"))*Inputs!$B$1+((Inputs!$G$5:$G$170&lt;&gt;"moeda")*(Inputs!$G$5:$G$170&lt;&gt;"acoes")))*INDEX(Inputs!$K$5:$AJ$170,0,MATCH(S$2,Inputs!$K$4:$AJ$4,0)))+SUMPRODUCT((Inputs!$C$5:$C$170=$B59)*Inputs!$D$5:$D$170*(((Inputs!$G$5:$G$170="moeda")+(Inputs!$G$5:$G$170="acoes"))*Inputs!$B$1+((Inputs!$G$5:$G$170&lt;&gt;"moeda")*(Inputs!$G$5:$G$170&lt;&gt;"acoes")))*INDEX(Inputs!$K$5:$AJ$170,0,MATCH(S$2,Inputs!$K$4:$AJ$4,0)))+SUMPRODUCT((Inputs!$E$5:$E$170=$B59)*Inputs!$F$5:$F$170*(((Inputs!$G$5:$G$170="moeda")+(Inputs!$G$5:$G$170="acoes"))*Inputs!$B$1+((Inputs!$G$5:$G$170&lt;&gt;"moeda")*(Inputs!$G$5:$G$170&lt;&gt;"acoes")))*INDEX(Inputs!$K$5:$AJ$170,0,MATCH(S$2,Inputs!$K$4:$AJ$4,0)))))</f>
        <v>38.64</v>
      </c>
      <c r="T59" s="264">
        <f>IF(ISNA(MATCH(T$2,Inputs!$K$4:$AJ$4,0)),NA(),IF(SUMPRODUCT((Inputs!$A$5:$A$170=$B59)*ISNUMBER(INDEX(Inputs!$K$5:$AJ$170,0,MATCH(T$2,Inputs!$K$4:$AJ$4,0))))+SUMPRODUCT((Inputs!$C$5:$C$170=$B59)*ISNUMBER(INDEX(Inputs!$K$5:$AJ$170,0,MATCH(T$2,Inputs!$K$4:$AJ$4,0))))+SUMPRODUCT((Inputs!$E$5:$E$170=$B59)*ISNUMBER(INDEX(Inputs!$K$5:$AJ$170,0,MATCH(T$2,Inputs!$K$4:$AJ$4,0))))=0,NA(),SUMPRODUCT((Inputs!$A$5:$A$170=$B59)*Inputs!$B$5:$B$170*(((Inputs!$G$5:$G$170="moeda")+(Inputs!$G$5:$G$170="acoes"))*Inputs!$B$1+((Inputs!$G$5:$G$170&lt;&gt;"moeda")*(Inputs!$G$5:$G$170&lt;&gt;"acoes")))*INDEX(Inputs!$K$5:$AJ$170,0,MATCH(T$2,Inputs!$K$4:$AJ$4,0)))+SUMPRODUCT((Inputs!$C$5:$C$170=$B59)*Inputs!$D$5:$D$170*(((Inputs!$G$5:$G$170="moeda")+(Inputs!$G$5:$G$170="acoes"))*Inputs!$B$1+((Inputs!$G$5:$G$170&lt;&gt;"moeda")*(Inputs!$G$5:$G$170&lt;&gt;"acoes")))*INDEX(Inputs!$K$5:$AJ$170,0,MATCH(T$2,Inputs!$K$4:$AJ$4,0)))+SUMPRODUCT((Inputs!$E$5:$E$170=$B59)*Inputs!$F$5:$F$170*(((Inputs!$G$5:$G$170="moeda")+(Inputs!$G$5:$G$170="acoes"))*Inputs!$B$1+((Inputs!$G$5:$G$170&lt;&gt;"moeda")*(Inputs!$G$5:$G$170&lt;&gt;"acoes")))*INDEX(Inputs!$K$5:$AJ$170,0,MATCH(T$2,Inputs!$K$4:$AJ$4,0)))))</f>
        <v>24.699</v>
      </c>
      <c r="U59" s="264">
        <f>IF(ISNA(MATCH(U$2,Inputs!$K$4:$AJ$4,0)),NA(),IF(SUMPRODUCT((Inputs!$A$5:$A$170=$B59)*ISNUMBER(INDEX(Inputs!$K$5:$AJ$170,0,MATCH(U$2,Inputs!$K$4:$AJ$4,0))))+SUMPRODUCT((Inputs!$C$5:$C$170=$B59)*ISNUMBER(INDEX(Inputs!$K$5:$AJ$170,0,MATCH(U$2,Inputs!$K$4:$AJ$4,0))))+SUMPRODUCT((Inputs!$E$5:$E$170=$B59)*ISNUMBER(INDEX(Inputs!$K$5:$AJ$170,0,MATCH(U$2,Inputs!$K$4:$AJ$4,0))))=0,NA(),SUMPRODUCT((Inputs!$A$5:$A$170=$B59)*Inputs!$B$5:$B$170*(((Inputs!$G$5:$G$170="moeda")+(Inputs!$G$5:$G$170="acoes"))*Inputs!$B$1+((Inputs!$G$5:$G$170&lt;&gt;"moeda")*(Inputs!$G$5:$G$170&lt;&gt;"acoes")))*INDEX(Inputs!$K$5:$AJ$170,0,MATCH(U$2,Inputs!$K$4:$AJ$4,0)))+SUMPRODUCT((Inputs!$C$5:$C$170=$B59)*Inputs!$D$5:$D$170*(((Inputs!$G$5:$G$170="moeda")+(Inputs!$G$5:$G$170="acoes"))*Inputs!$B$1+((Inputs!$G$5:$G$170&lt;&gt;"moeda")*(Inputs!$G$5:$G$170&lt;&gt;"acoes")))*INDEX(Inputs!$K$5:$AJ$170,0,MATCH(U$2,Inputs!$K$4:$AJ$4,0)))+SUMPRODUCT((Inputs!$E$5:$E$170=$B59)*Inputs!$F$5:$F$170*(((Inputs!$G$5:$G$170="moeda")+(Inputs!$G$5:$G$170="acoes"))*Inputs!$B$1+((Inputs!$G$5:$G$170&lt;&gt;"moeda")*(Inputs!$G$5:$G$170&lt;&gt;"acoes")))*INDEX(Inputs!$K$5:$AJ$170,0,MATCH(U$2,Inputs!$K$4:$AJ$4,0)))))</f>
        <v>21.709</v>
      </c>
      <c r="V59" s="264">
        <f>IF(ISNA(MATCH(V$2,Inputs!$K$4:$AJ$4,0)),NA(),IF(SUMPRODUCT((Inputs!$A$5:$A$170=$B59)*ISNUMBER(INDEX(Inputs!$K$5:$AJ$170,0,MATCH(V$2,Inputs!$K$4:$AJ$4,0))))+SUMPRODUCT((Inputs!$C$5:$C$170=$B59)*ISNUMBER(INDEX(Inputs!$K$5:$AJ$170,0,MATCH(V$2,Inputs!$K$4:$AJ$4,0))))+SUMPRODUCT((Inputs!$E$5:$E$170=$B59)*ISNUMBER(INDEX(Inputs!$K$5:$AJ$170,0,MATCH(V$2,Inputs!$K$4:$AJ$4,0))))=0,NA(),SUMPRODUCT((Inputs!$A$5:$A$170=$B59)*Inputs!$B$5:$B$170*(((Inputs!$G$5:$G$170="moeda")+(Inputs!$G$5:$G$170="acoes"))*Inputs!$B$1+((Inputs!$G$5:$G$170&lt;&gt;"moeda")*(Inputs!$G$5:$G$170&lt;&gt;"acoes")))*INDEX(Inputs!$K$5:$AJ$170,0,MATCH(V$2,Inputs!$K$4:$AJ$4,0)))+SUMPRODUCT((Inputs!$C$5:$C$170=$B59)*Inputs!$D$5:$D$170*(((Inputs!$G$5:$G$170="moeda")+(Inputs!$G$5:$G$170="acoes"))*Inputs!$B$1+((Inputs!$G$5:$G$170&lt;&gt;"moeda")*(Inputs!$G$5:$G$170&lt;&gt;"acoes")))*INDEX(Inputs!$K$5:$AJ$170,0,MATCH(V$2,Inputs!$K$4:$AJ$4,0)))+SUMPRODUCT((Inputs!$E$5:$E$170=$B59)*Inputs!$F$5:$F$170*(((Inputs!$G$5:$G$170="moeda")+(Inputs!$G$5:$G$170="acoes"))*Inputs!$B$1+((Inputs!$G$5:$G$170&lt;&gt;"moeda")*(Inputs!$G$5:$G$170&lt;&gt;"acoes")))*INDEX(Inputs!$K$5:$AJ$170,0,MATCH(V$2,Inputs!$K$4:$AJ$4,0)))))</f>
        <v>17.006</v>
      </c>
      <c r="W59" s="265">
        <f>SUM(S59:V59)</f>
        <v>102.054</v>
      </c>
      <c r="X59" s="264">
        <f>IF(ISNA(MATCH(X$2,Inputs!$K$4:$AJ$4,0)),NA(),IF(SUMPRODUCT((Inputs!$A$5:$A$170=$B59)*ISNUMBER(INDEX(Inputs!$K$5:$AJ$170,0,MATCH(X$2,Inputs!$K$4:$AJ$4,0))))+SUMPRODUCT((Inputs!$C$5:$C$170=$B59)*ISNUMBER(INDEX(Inputs!$K$5:$AJ$170,0,MATCH(X$2,Inputs!$K$4:$AJ$4,0))))+SUMPRODUCT((Inputs!$E$5:$E$170=$B59)*ISNUMBER(INDEX(Inputs!$K$5:$AJ$170,0,MATCH(X$2,Inputs!$K$4:$AJ$4,0))))=0,NA(),SUMPRODUCT((Inputs!$A$5:$A$170=$B59)*Inputs!$B$5:$B$170*(((Inputs!$G$5:$G$170="moeda")+(Inputs!$G$5:$G$170="acoes"))*Inputs!$B$1+((Inputs!$G$5:$G$170&lt;&gt;"moeda")*(Inputs!$G$5:$G$170&lt;&gt;"acoes")))*INDEX(Inputs!$K$5:$AJ$170,0,MATCH(X$2,Inputs!$K$4:$AJ$4,0)))+SUMPRODUCT((Inputs!$C$5:$C$170=$B59)*Inputs!$D$5:$D$170*(((Inputs!$G$5:$G$170="moeda")+(Inputs!$G$5:$G$170="acoes"))*Inputs!$B$1+((Inputs!$G$5:$G$170&lt;&gt;"moeda")*(Inputs!$G$5:$G$170&lt;&gt;"acoes")))*INDEX(Inputs!$K$5:$AJ$170,0,MATCH(X$2,Inputs!$K$4:$AJ$4,0)))+SUMPRODUCT((Inputs!$E$5:$E$170=$B59)*Inputs!$F$5:$F$170*(((Inputs!$G$5:$G$170="moeda")+(Inputs!$G$5:$G$170="acoes"))*Inputs!$B$1+((Inputs!$G$5:$G$170&lt;&gt;"moeda")*(Inputs!$G$5:$G$170&lt;&gt;"acoes")))*INDEX(Inputs!$K$5:$AJ$170,0,MATCH(X$2,Inputs!$K$4:$AJ$4,0)))))</f>
        <v>18.169</v>
      </c>
      <c r="Y59" s="264">
        <f>IF(ISNA(MATCH(Y$2,Inputs!$K$4:$AJ$4,0)),NA(),IF(SUMPRODUCT((Inputs!$A$5:$A$170=$B59)*ISNUMBER(INDEX(Inputs!$K$5:$AJ$170,0,MATCH(Y$2,Inputs!$K$4:$AJ$4,0))))+SUMPRODUCT((Inputs!$C$5:$C$170=$B59)*ISNUMBER(INDEX(Inputs!$K$5:$AJ$170,0,MATCH(Y$2,Inputs!$K$4:$AJ$4,0))))+SUMPRODUCT((Inputs!$E$5:$E$170=$B59)*ISNUMBER(INDEX(Inputs!$K$5:$AJ$170,0,MATCH(Y$2,Inputs!$K$4:$AJ$4,0))))=0,NA(),SUMPRODUCT((Inputs!$A$5:$A$170=$B59)*Inputs!$B$5:$B$170*(((Inputs!$G$5:$G$170="moeda")+(Inputs!$G$5:$G$170="acoes"))*Inputs!$B$1+((Inputs!$G$5:$G$170&lt;&gt;"moeda")*(Inputs!$G$5:$G$170&lt;&gt;"acoes")))*INDEX(Inputs!$K$5:$AJ$170,0,MATCH(Y$2,Inputs!$K$4:$AJ$4,0)))+SUMPRODUCT((Inputs!$C$5:$C$170=$B59)*Inputs!$D$5:$D$170*(((Inputs!$G$5:$G$170="moeda")+(Inputs!$G$5:$G$170="acoes"))*Inputs!$B$1+((Inputs!$G$5:$G$170&lt;&gt;"moeda")*(Inputs!$G$5:$G$170&lt;&gt;"acoes")))*INDEX(Inputs!$K$5:$AJ$170,0,MATCH(Y$2,Inputs!$K$4:$AJ$4,0)))+SUMPRODUCT((Inputs!$E$5:$E$170=$B59)*Inputs!$F$5:$F$170*(((Inputs!$G$5:$G$170="moeda")+(Inputs!$G$5:$G$170="acoes"))*Inputs!$B$1+((Inputs!$G$5:$G$170&lt;&gt;"moeda")*(Inputs!$G$5:$G$170&lt;&gt;"acoes")))*INDEX(Inputs!$K$5:$AJ$170,0,MATCH(Y$2,Inputs!$K$4:$AJ$4,0)))))</f>
        <v>19.641</v>
      </c>
      <c r="Z59" s="264">
        <f>IF(ISNA(MATCH(Z$2,Inputs!$K$4:$AJ$4,0)),NA(),IF(SUMPRODUCT((Inputs!$A$5:$A$170=$B59)*ISNUMBER(INDEX(Inputs!$K$5:$AJ$170,0,MATCH(Z$2,Inputs!$K$4:$AJ$4,0))))+SUMPRODUCT((Inputs!$C$5:$C$170=$B59)*ISNUMBER(INDEX(Inputs!$K$5:$AJ$170,0,MATCH(Z$2,Inputs!$K$4:$AJ$4,0))))+SUMPRODUCT((Inputs!$E$5:$E$170=$B59)*ISNUMBER(INDEX(Inputs!$K$5:$AJ$170,0,MATCH(Z$2,Inputs!$K$4:$AJ$4,0))))=0,NA(),SUMPRODUCT((Inputs!$A$5:$A$170=$B59)*Inputs!$B$5:$B$170*(((Inputs!$G$5:$G$170="moeda")+(Inputs!$G$5:$G$170="acoes"))*Inputs!$B$1+((Inputs!$G$5:$G$170&lt;&gt;"moeda")*(Inputs!$G$5:$G$170&lt;&gt;"acoes")))*INDEX(Inputs!$K$5:$AJ$170,0,MATCH(Z$2,Inputs!$K$4:$AJ$4,0)))+SUMPRODUCT((Inputs!$C$5:$C$170=$B59)*Inputs!$D$5:$D$170*(((Inputs!$G$5:$G$170="moeda")+(Inputs!$G$5:$G$170="acoes"))*Inputs!$B$1+((Inputs!$G$5:$G$170&lt;&gt;"moeda")*(Inputs!$G$5:$G$170&lt;&gt;"acoes")))*INDEX(Inputs!$K$5:$AJ$170,0,MATCH(Z$2,Inputs!$K$4:$AJ$4,0)))+SUMPRODUCT((Inputs!$E$5:$E$170=$B59)*Inputs!$F$5:$F$170*(((Inputs!$G$5:$G$170="moeda")+(Inputs!$G$5:$G$170="acoes"))*Inputs!$B$1+((Inputs!$G$5:$G$170&lt;&gt;"moeda")*(Inputs!$G$5:$G$170&lt;&gt;"acoes")))*INDEX(Inputs!$K$5:$AJ$170,0,MATCH(Z$2,Inputs!$K$4:$AJ$4,0)))))</f>
        <v>18.599</v>
      </c>
      <c r="AA59" s="264">
        <f>IF(ISNA(MATCH(AA$2,Inputs!$K$4:$AJ$4,0)),NA(),IF(SUMPRODUCT((Inputs!$A$5:$A$170=$B59)*ISNUMBER(INDEX(Inputs!$K$5:$AJ$170,0,MATCH(AA$2,Inputs!$K$4:$AJ$4,0))))+SUMPRODUCT((Inputs!$C$5:$C$170=$B59)*ISNUMBER(INDEX(Inputs!$K$5:$AJ$170,0,MATCH(AA$2,Inputs!$K$4:$AJ$4,0))))+SUMPRODUCT((Inputs!$E$5:$E$170=$B59)*ISNUMBER(INDEX(Inputs!$K$5:$AJ$170,0,MATCH(AA$2,Inputs!$K$4:$AJ$4,0))))=0,NA(),SUMPRODUCT((Inputs!$A$5:$A$170=$B59)*Inputs!$B$5:$B$170*(((Inputs!$G$5:$G$170="moeda")+(Inputs!$G$5:$G$170="acoes"))*Inputs!$B$1+((Inputs!$G$5:$G$170&lt;&gt;"moeda")*(Inputs!$G$5:$G$170&lt;&gt;"acoes")))*INDEX(Inputs!$K$5:$AJ$170,0,MATCH(AA$2,Inputs!$K$4:$AJ$4,0)))+SUMPRODUCT((Inputs!$C$5:$C$170=$B59)*Inputs!$D$5:$D$170*(((Inputs!$G$5:$G$170="moeda")+(Inputs!$G$5:$G$170="acoes"))*Inputs!$B$1+((Inputs!$G$5:$G$170&lt;&gt;"moeda")*(Inputs!$G$5:$G$170&lt;&gt;"acoes")))*INDEX(Inputs!$K$5:$AJ$170,0,MATCH(AA$2,Inputs!$K$4:$AJ$4,0)))+SUMPRODUCT((Inputs!$E$5:$E$170=$B59)*Inputs!$F$5:$F$170*(((Inputs!$G$5:$G$170="moeda")+(Inputs!$G$5:$G$170="acoes"))*Inputs!$B$1+((Inputs!$G$5:$G$170&lt;&gt;"moeda")*(Inputs!$G$5:$G$170&lt;&gt;"acoes")))*INDEX(Inputs!$K$5:$AJ$170,0,MATCH(AA$2,Inputs!$K$4:$AJ$4,0)))))</f>
        <v>15.2340304194881</v>
      </c>
      <c r="AB59" s="265">
        <f>SUM(X59:AA59)</f>
        <v>71.6430304194881</v>
      </c>
      <c r="AC59" s="264">
        <f>IF(ISNA(MATCH(AC$2,Inputs!$K$4:$AJ$4,0)),NA(),IF(SUMPRODUCT((Inputs!$A$5:$A$170=$B59)*ISNUMBER(INDEX(Inputs!$K$5:$AJ$170,0,MATCH(AC$2,Inputs!$K$4:$AJ$4,0))))+SUMPRODUCT((Inputs!$C$5:$C$170=$B59)*ISNUMBER(INDEX(Inputs!$K$5:$AJ$170,0,MATCH(AC$2,Inputs!$K$4:$AJ$4,0))))+SUMPRODUCT((Inputs!$E$5:$E$170=$B59)*ISNUMBER(INDEX(Inputs!$K$5:$AJ$170,0,MATCH(AC$2,Inputs!$K$4:$AJ$4,0))))=0,NA(),SUMPRODUCT((Inputs!$A$5:$A$170=$B59)*Inputs!$B$5:$B$170*(((Inputs!$G$5:$G$170="moeda")+(Inputs!$G$5:$G$170="acoes"))*Inputs!$B$1+((Inputs!$G$5:$G$170&lt;&gt;"moeda")*(Inputs!$G$5:$G$170&lt;&gt;"acoes")))*INDEX(Inputs!$K$5:$AJ$170,0,MATCH(AC$2,Inputs!$K$4:$AJ$4,0)))+SUMPRODUCT((Inputs!$C$5:$C$170=$B59)*Inputs!$D$5:$D$170*(((Inputs!$G$5:$G$170="moeda")+(Inputs!$G$5:$G$170="acoes"))*Inputs!$B$1+((Inputs!$G$5:$G$170&lt;&gt;"moeda")*(Inputs!$G$5:$G$170&lt;&gt;"acoes")))*INDEX(Inputs!$K$5:$AJ$170,0,MATCH(AC$2,Inputs!$K$4:$AJ$4,0)))+SUMPRODUCT((Inputs!$E$5:$E$170=$B59)*Inputs!$F$5:$F$170*(((Inputs!$G$5:$G$170="moeda")+(Inputs!$G$5:$G$170="acoes"))*Inputs!$B$1+((Inputs!$G$5:$G$170&lt;&gt;"moeda")*(Inputs!$G$5:$G$170&lt;&gt;"acoes")))*INDEX(Inputs!$K$5:$AJ$170,0,MATCH(AC$2,Inputs!$K$4:$AJ$4,0)))))</f>
        <v>17.3773808765045</v>
      </c>
      <c r="AD59" s="264">
        <f>IF(ISNA(MATCH(AD$2,Inputs!$K$4:$AJ$4,0)),NA(),IF(SUMPRODUCT((Inputs!$A$5:$A$170=$B59)*ISNUMBER(INDEX(Inputs!$K$5:$AJ$170,0,MATCH(AD$2,Inputs!$K$4:$AJ$4,0))))+SUMPRODUCT((Inputs!$C$5:$C$170=$B59)*ISNUMBER(INDEX(Inputs!$K$5:$AJ$170,0,MATCH(AD$2,Inputs!$K$4:$AJ$4,0))))+SUMPRODUCT((Inputs!$E$5:$E$170=$B59)*ISNUMBER(INDEX(Inputs!$K$5:$AJ$170,0,MATCH(AD$2,Inputs!$K$4:$AJ$4,0))))=0,NA(),SUMPRODUCT((Inputs!$A$5:$A$170=$B59)*Inputs!$B$5:$B$170*(((Inputs!$G$5:$G$170="moeda")+(Inputs!$G$5:$G$170="acoes"))*Inputs!$B$1+((Inputs!$G$5:$G$170&lt;&gt;"moeda")*(Inputs!$G$5:$G$170&lt;&gt;"acoes")))*INDEX(Inputs!$K$5:$AJ$170,0,MATCH(AD$2,Inputs!$K$4:$AJ$4,0)))+SUMPRODUCT((Inputs!$C$5:$C$170=$B59)*Inputs!$D$5:$D$170*(((Inputs!$G$5:$G$170="moeda")+(Inputs!$G$5:$G$170="acoes"))*Inputs!$B$1+((Inputs!$G$5:$G$170&lt;&gt;"moeda")*(Inputs!$G$5:$G$170&lt;&gt;"acoes")))*INDEX(Inputs!$K$5:$AJ$170,0,MATCH(AD$2,Inputs!$K$4:$AJ$4,0)))+SUMPRODUCT((Inputs!$E$5:$E$170=$B59)*Inputs!$F$5:$F$170*(((Inputs!$G$5:$G$170="moeda")+(Inputs!$G$5:$G$170="acoes"))*Inputs!$B$1+((Inputs!$G$5:$G$170&lt;&gt;"moeda")*(Inputs!$G$5:$G$170&lt;&gt;"acoes")))*INDEX(Inputs!$K$5:$AJ$170,0,MATCH(AD$2,Inputs!$K$4:$AJ$4,0)))))</f>
        <v>15.6954771416517</v>
      </c>
      <c r="AE59" s="264" t="e">
        <f>IF(ISNA(MATCH(AE$2,Inputs!$K$4:$AJ$4,0)),NA(),IF(SUMPRODUCT((Inputs!$A$5:$A$170=$B59)*ISNUMBER(INDEX(Inputs!$K$5:$AJ$170,0,MATCH(AE$2,Inputs!$K$4:$AJ$4,0))))+SUMPRODUCT((Inputs!$C$5:$C$170=$B59)*ISNUMBER(INDEX(Inputs!$K$5:$AJ$170,0,MATCH(AE$2,Inputs!$K$4:$AJ$4,0))))+SUMPRODUCT((Inputs!$E$5:$E$170=$B59)*ISNUMBER(INDEX(Inputs!$K$5:$AJ$170,0,MATCH(AE$2,Inputs!$K$4:$AJ$4,0))))=0,NA(),SUMPRODUCT((Inputs!$A$5:$A$170=$B59)*Inputs!$B$5:$B$170*(((Inputs!$G$5:$G$170="moeda")+(Inputs!$G$5:$G$170="acoes"))*Inputs!$B$1+((Inputs!$G$5:$G$170&lt;&gt;"moeda")*(Inputs!$G$5:$G$170&lt;&gt;"acoes")))*INDEX(Inputs!$K$5:$AJ$170,0,MATCH(AE$2,Inputs!$K$4:$AJ$4,0)))+SUMPRODUCT((Inputs!$C$5:$C$170=$B59)*Inputs!$D$5:$D$170*(((Inputs!$G$5:$G$170="moeda")+(Inputs!$G$5:$G$170="acoes"))*Inputs!$B$1+((Inputs!$G$5:$G$170&lt;&gt;"moeda")*(Inputs!$G$5:$G$170&lt;&gt;"acoes")))*INDEX(Inputs!$K$5:$AJ$170,0,MATCH(AE$2,Inputs!$K$4:$AJ$4,0)))+SUMPRODUCT((Inputs!$E$5:$E$170=$B59)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59" s="264" t="e">
        <f>IF(ISNA(MATCH(AF$2,Inputs!$K$4:$AJ$4,0)),NA(),IF(SUMPRODUCT((Inputs!$A$5:$A$170=$B59)*ISNUMBER(INDEX(Inputs!$K$5:$AJ$170,0,MATCH(AF$2,Inputs!$K$4:$AJ$4,0))))+SUMPRODUCT((Inputs!$C$5:$C$170=$B59)*ISNUMBER(INDEX(Inputs!$K$5:$AJ$170,0,MATCH(AF$2,Inputs!$K$4:$AJ$4,0))))+SUMPRODUCT((Inputs!$E$5:$E$170=$B59)*ISNUMBER(INDEX(Inputs!$K$5:$AJ$170,0,MATCH(AF$2,Inputs!$K$4:$AJ$4,0))))=0,NA(),SUMPRODUCT((Inputs!$A$5:$A$170=$B59)*Inputs!$B$5:$B$170*(((Inputs!$G$5:$G$170="moeda")+(Inputs!$G$5:$G$170="acoes"))*Inputs!$B$1+((Inputs!$G$5:$G$170&lt;&gt;"moeda")*(Inputs!$G$5:$G$170&lt;&gt;"acoes")))*INDEX(Inputs!$K$5:$AJ$170,0,MATCH(AF$2,Inputs!$K$4:$AJ$4,0)))+SUMPRODUCT((Inputs!$C$5:$C$170=$B59)*Inputs!$D$5:$D$170*(((Inputs!$G$5:$G$170="moeda")+(Inputs!$G$5:$G$170="acoes"))*Inputs!$B$1+((Inputs!$G$5:$G$170&lt;&gt;"moeda")*(Inputs!$G$5:$G$170&lt;&gt;"acoes")))*INDEX(Inputs!$K$5:$AJ$170,0,MATCH(AF$2,Inputs!$K$4:$AJ$4,0)))+SUMPRODUCT((Inputs!$E$5:$E$170=$B59)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59" s="265" t="e">
        <f>SUM(AC59:AF59)</f>
        <v>#N/A</v>
      </c>
      <c r="AH59" s="264">
        <f>IF(ISNA(MATCH(AH$2,Inputs!$K$4:$AJ$4,0)),NA(),IF(SUMPRODUCT((Inputs!$A$5:$A$170=$B59)*ISNUMBER(INDEX(Inputs!$K$5:$AJ$170,0,MATCH(AH$2,Inputs!$K$4:$AJ$4,0))))+SUMPRODUCT((Inputs!$C$5:$C$170=$B59)*ISNUMBER(INDEX(Inputs!$K$5:$AJ$170,0,MATCH(AH$2,Inputs!$K$4:$AJ$4,0))))+SUMPRODUCT((Inputs!$E$5:$E$170=$B59)*ISNUMBER(INDEX(Inputs!$K$5:$AJ$170,0,MATCH(AH$2,Inputs!$K$4:$AJ$4,0))))=0,NA(),SUMPRODUCT((Inputs!$A$5:$A$170=$B59)*Inputs!$B$5:$B$170*(((Inputs!$G$5:$G$170="moeda")+(Inputs!$G$5:$G$170="acoes"))*Inputs!$B$1+((Inputs!$G$5:$G$170&lt;&gt;"moeda")*(Inputs!$G$5:$G$170&lt;&gt;"acoes")))*INDEX(Inputs!$K$5:$AJ$170,0,MATCH(AH$2,Inputs!$K$4:$AJ$4,0)))+SUMPRODUCT((Inputs!$C$5:$C$170=$B59)*Inputs!$D$5:$D$170*(((Inputs!$G$5:$G$170="moeda")+(Inputs!$G$5:$G$170="acoes"))*Inputs!$B$1+((Inputs!$G$5:$G$170&lt;&gt;"moeda")*(Inputs!$G$5:$G$170&lt;&gt;"acoes")))*INDEX(Inputs!$K$5:$AJ$170,0,MATCH(AH$2,Inputs!$K$4:$AJ$4,0)))+SUMPRODUCT((Inputs!$E$5:$E$170=$B59)*Inputs!$F$5:$F$170*(((Inputs!$G$5:$G$170="moeda")+(Inputs!$G$5:$G$170="acoes"))*Inputs!$B$1+((Inputs!$G$5:$G$170&lt;&gt;"moeda")*(Inputs!$G$5:$G$170&lt;&gt;"acoes")))*INDEX(Inputs!$K$5:$AJ$170,0,MATCH(AH$2,Inputs!$K$4:$AJ$4,0)))))</f>
        <v>6.461</v>
      </c>
      <c r="AI59" s="264">
        <f>IF(ISNA(MATCH(AI$2,Inputs!$K$4:$AJ$4,0)),NA(),IF(SUMPRODUCT((Inputs!$A$5:$A$170=$B59)*ISNUMBER(INDEX(Inputs!$K$5:$AJ$170,0,MATCH(AI$2,Inputs!$K$4:$AJ$4,0))))+SUMPRODUCT((Inputs!$C$5:$C$170=$B59)*ISNUMBER(INDEX(Inputs!$K$5:$AJ$170,0,MATCH(AI$2,Inputs!$K$4:$AJ$4,0))))+SUMPRODUCT((Inputs!$E$5:$E$170=$B59)*ISNUMBER(INDEX(Inputs!$K$5:$AJ$170,0,MATCH(AI$2,Inputs!$K$4:$AJ$4,0))))=0,NA(),SUMPRODUCT((Inputs!$A$5:$A$170=$B59)*Inputs!$B$5:$B$170*(((Inputs!$G$5:$G$170="moeda")+(Inputs!$G$5:$G$170="acoes"))*Inputs!$B$1+((Inputs!$G$5:$G$170&lt;&gt;"moeda")*(Inputs!$G$5:$G$170&lt;&gt;"acoes")))*INDEX(Inputs!$K$5:$AJ$170,0,MATCH(AI$2,Inputs!$K$4:$AJ$4,0)))+SUMPRODUCT((Inputs!$C$5:$C$170=$B59)*Inputs!$D$5:$D$170*(((Inputs!$G$5:$G$170="moeda")+(Inputs!$G$5:$G$170="acoes"))*Inputs!$B$1+((Inputs!$G$5:$G$170&lt;&gt;"moeda")*(Inputs!$G$5:$G$170&lt;&gt;"acoes")))*INDEX(Inputs!$K$5:$AJ$170,0,MATCH(AI$2,Inputs!$K$4:$AJ$4,0)))+SUMPRODUCT((Inputs!$E$5:$E$170=$B59)*Inputs!$F$5:$F$170*(((Inputs!$G$5:$G$170="moeda")+(Inputs!$G$5:$G$170="acoes"))*Inputs!$B$1+((Inputs!$G$5:$G$170&lt;&gt;"moeda")*(Inputs!$G$5:$G$170&lt;&gt;"acoes")))*INDEX(Inputs!$K$5:$AJ$170,0,MATCH(AI$2,Inputs!$K$4:$AJ$4,0)))))</f>
        <v>15.438</v>
      </c>
      <c r="AJ59" s="264">
        <f>IF(ISNA(MATCH(AJ$2,Inputs!$K$4:$AJ$4,0)),NA(),IF(SUMPRODUCT((Inputs!$A$5:$A$170=$B59)*ISNUMBER(INDEX(Inputs!$K$5:$AJ$170,0,MATCH(AJ$2,Inputs!$K$4:$AJ$4,0))))+SUMPRODUCT((Inputs!$C$5:$C$170=$B59)*ISNUMBER(INDEX(Inputs!$K$5:$AJ$170,0,MATCH(AJ$2,Inputs!$K$4:$AJ$4,0))))+SUMPRODUCT((Inputs!$E$5:$E$170=$B59)*ISNUMBER(INDEX(Inputs!$K$5:$AJ$170,0,MATCH(AJ$2,Inputs!$K$4:$AJ$4,0))))=0,NA(),SUMPRODUCT((Inputs!$A$5:$A$170=$B59)*Inputs!$B$5:$B$170*(((Inputs!$G$5:$G$170="moeda")+(Inputs!$G$5:$G$170="acoes"))*Inputs!$B$1+((Inputs!$G$5:$G$170&lt;&gt;"moeda")*(Inputs!$G$5:$G$170&lt;&gt;"acoes")))*INDEX(Inputs!$K$5:$AJ$170,0,MATCH(AJ$2,Inputs!$K$4:$AJ$4,0)))+SUMPRODUCT((Inputs!$C$5:$C$170=$B59)*Inputs!$D$5:$D$170*(((Inputs!$G$5:$G$170="moeda")+(Inputs!$G$5:$G$170="acoes"))*Inputs!$B$1+((Inputs!$G$5:$G$170&lt;&gt;"moeda")*(Inputs!$G$5:$G$170&lt;&gt;"acoes")))*INDEX(Inputs!$K$5:$AJ$170,0,MATCH(AJ$2,Inputs!$K$4:$AJ$4,0)))+SUMPRODUCT((Inputs!$E$5:$E$170=$B59)*Inputs!$F$5:$F$170*(((Inputs!$G$5:$G$170="moeda")+(Inputs!$G$5:$G$170="acoes"))*Inputs!$B$1+((Inputs!$G$5:$G$170&lt;&gt;"moeda")*(Inputs!$G$5:$G$170&lt;&gt;"acoes")))*INDEX(Inputs!$K$5:$AJ$170,0,MATCH(AJ$2,Inputs!$K$4:$AJ$4,0)))))</f>
        <v>10.878</v>
      </c>
      <c r="AK59" s="264">
        <f>IF(ISNA(MATCH(AK$2,Inputs!$K$4:$AJ$4,0)),NA(),IF(SUMPRODUCT((Inputs!$A$5:$A$170=$B59)*ISNUMBER(INDEX(Inputs!$K$5:$AJ$170,0,MATCH(AK$2,Inputs!$K$4:$AJ$4,0))))+SUMPRODUCT((Inputs!$C$5:$C$170=$B59)*ISNUMBER(INDEX(Inputs!$K$5:$AJ$170,0,MATCH(AK$2,Inputs!$K$4:$AJ$4,0))))+SUMPRODUCT((Inputs!$E$5:$E$170=$B59)*ISNUMBER(INDEX(Inputs!$K$5:$AJ$170,0,MATCH(AK$2,Inputs!$K$4:$AJ$4,0))))=0,NA(),SUMPRODUCT((Inputs!$A$5:$A$170=$B59)*Inputs!$B$5:$B$170*(((Inputs!$G$5:$G$170="moeda")+(Inputs!$G$5:$G$170="acoes"))*Inputs!$B$1+((Inputs!$G$5:$G$170&lt;&gt;"moeda")*(Inputs!$G$5:$G$170&lt;&gt;"acoes")))*INDEX(Inputs!$K$5:$AJ$170,0,MATCH(AK$2,Inputs!$K$4:$AJ$4,0)))+SUMPRODUCT((Inputs!$C$5:$C$170=$B59)*Inputs!$D$5:$D$170*(((Inputs!$G$5:$G$170="moeda")+(Inputs!$G$5:$G$170="acoes"))*Inputs!$B$1+((Inputs!$G$5:$G$170&lt;&gt;"moeda")*(Inputs!$G$5:$G$170&lt;&gt;"acoes")))*INDEX(Inputs!$K$5:$AJ$170,0,MATCH(AK$2,Inputs!$K$4:$AJ$4,0)))+SUMPRODUCT((Inputs!$E$5:$E$170=$B59)*Inputs!$F$5:$F$170*(((Inputs!$G$5:$G$170="moeda")+(Inputs!$G$5:$G$170="acoes"))*Inputs!$B$1+((Inputs!$G$5:$G$170&lt;&gt;"moeda")*(Inputs!$G$5:$G$170&lt;&gt;"acoes")))*INDEX(Inputs!$K$5:$AJ$170,0,MATCH(AK$2,Inputs!$K$4:$AJ$4,0)))))</f>
        <v>57.352</v>
      </c>
      <c r="AL59" s="265">
        <f>SUM(AH59:AK59)</f>
        <v>90.129</v>
      </c>
    </row>
    <row r="60">
      <c r="B60" s="46" t="n">
        <v>52</v>
      </c>
      <c r="C60" s="29" t="inlineStr">
        <is>
          <t>RAC - frota no final do periodo (carros; Op Data l.7)</t>
        </is>
      </c>
      <c r="D60" s="266">
        <f>IF(ISNA(MATCH(D$2,Inputs!$K$4:$AJ$4,0)),NA(),IF(SUMPRODUCT((Inputs!$A$5:$A$170=$B60)*ISNUMBER(INDEX(Inputs!$K$5:$AJ$170,0,MATCH(D$2,Inputs!$K$4:$AJ$4,0))))+SUMPRODUCT((Inputs!$C$5:$C$170=$B60)*ISNUMBER(INDEX(Inputs!$K$5:$AJ$170,0,MATCH(D$2,Inputs!$K$4:$AJ$4,0))))+SUMPRODUCT((Inputs!$E$5:$E$170=$B60)*ISNUMBER(INDEX(Inputs!$K$5:$AJ$170,0,MATCH(D$2,Inputs!$K$4:$AJ$4,0))))=0,NA(),SUMPRODUCT((Inputs!$A$5:$A$170=$B60)*Inputs!$B$5:$B$170*(((Inputs!$G$5:$G$170="moeda")+(Inputs!$G$5:$G$170="acoes"))*Inputs!$B$1+((Inputs!$G$5:$G$170&lt;&gt;"moeda")*(Inputs!$G$5:$G$170&lt;&gt;"acoes")))*INDEX(Inputs!$K$5:$AJ$170,0,MATCH(D$2,Inputs!$K$4:$AJ$4,0)))+SUMPRODUCT((Inputs!$C$5:$C$170=$B60)*Inputs!$D$5:$D$170*(((Inputs!$G$5:$G$170="moeda")+(Inputs!$G$5:$G$170="acoes"))*Inputs!$B$1+((Inputs!$G$5:$G$170&lt;&gt;"moeda")*(Inputs!$G$5:$G$170&lt;&gt;"acoes")))*INDEX(Inputs!$K$5:$AJ$170,0,MATCH(D$2,Inputs!$K$4:$AJ$4,0)))+SUMPRODUCT((Inputs!$E$5:$E$170=$B60)*Inputs!$F$5:$F$170*(((Inputs!$G$5:$G$170="moeda")+(Inputs!$G$5:$G$170="acoes"))*Inputs!$B$1+((Inputs!$G$5:$G$170&lt;&gt;"moeda")*(Inputs!$G$5:$G$170&lt;&gt;"acoes")))*INDEX(Inputs!$K$5:$AJ$170,0,MATCH(D$2,Inputs!$K$4:$AJ$4,0)))))</f>
        <v>70213</v>
      </c>
      <c r="E60" s="266">
        <f>IF(ISNA(MATCH(E$2,Inputs!$K$4:$AJ$4,0)),NA(),IF(SUMPRODUCT((Inputs!$A$5:$A$170=$B60)*ISNUMBER(INDEX(Inputs!$K$5:$AJ$170,0,MATCH(E$2,Inputs!$K$4:$AJ$4,0))))+SUMPRODUCT((Inputs!$C$5:$C$170=$B60)*ISNUMBER(INDEX(Inputs!$K$5:$AJ$170,0,MATCH(E$2,Inputs!$K$4:$AJ$4,0))))+SUMPRODUCT((Inputs!$E$5:$E$170=$B60)*ISNUMBER(INDEX(Inputs!$K$5:$AJ$170,0,MATCH(E$2,Inputs!$K$4:$AJ$4,0))))=0,NA(),SUMPRODUCT((Inputs!$A$5:$A$170=$B60)*Inputs!$B$5:$B$170*(((Inputs!$G$5:$G$170="moeda")+(Inputs!$G$5:$G$170="acoes"))*Inputs!$B$1+((Inputs!$G$5:$G$170&lt;&gt;"moeda")*(Inputs!$G$5:$G$170&lt;&gt;"acoes")))*INDEX(Inputs!$K$5:$AJ$170,0,MATCH(E$2,Inputs!$K$4:$AJ$4,0)))+SUMPRODUCT((Inputs!$C$5:$C$170=$B60)*Inputs!$D$5:$D$170*(((Inputs!$G$5:$G$170="moeda")+(Inputs!$G$5:$G$170="acoes"))*Inputs!$B$1+((Inputs!$G$5:$G$170&lt;&gt;"moeda")*(Inputs!$G$5:$G$170&lt;&gt;"acoes")))*INDEX(Inputs!$K$5:$AJ$170,0,MATCH(E$2,Inputs!$K$4:$AJ$4,0)))+SUMPRODUCT((Inputs!$E$5:$E$170=$B60)*Inputs!$F$5:$F$170*(((Inputs!$G$5:$G$170="moeda")+(Inputs!$G$5:$G$170="acoes"))*Inputs!$B$1+((Inputs!$G$5:$G$170&lt;&gt;"moeda")*(Inputs!$G$5:$G$170&lt;&gt;"acoes")))*INDEX(Inputs!$K$5:$AJ$170,0,MATCH(E$2,Inputs!$K$4:$AJ$4,0)))))</f>
        <v>78453</v>
      </c>
      <c r="F60" s="266">
        <f>IF(ISNA(MATCH(F$2,Inputs!$K$4:$AJ$4,0)),NA(),IF(SUMPRODUCT((Inputs!$A$5:$A$170=$B60)*ISNUMBER(INDEX(Inputs!$K$5:$AJ$170,0,MATCH(F$2,Inputs!$K$4:$AJ$4,0))))+SUMPRODUCT((Inputs!$C$5:$C$170=$B60)*ISNUMBER(INDEX(Inputs!$K$5:$AJ$170,0,MATCH(F$2,Inputs!$K$4:$AJ$4,0))))+SUMPRODUCT((Inputs!$E$5:$E$170=$B60)*ISNUMBER(INDEX(Inputs!$K$5:$AJ$170,0,MATCH(F$2,Inputs!$K$4:$AJ$4,0))))=0,NA(),SUMPRODUCT((Inputs!$A$5:$A$170=$B60)*Inputs!$B$5:$B$170*(((Inputs!$G$5:$G$170="moeda")+(Inputs!$G$5:$G$170="acoes"))*Inputs!$B$1+((Inputs!$G$5:$G$170&lt;&gt;"moeda")*(Inputs!$G$5:$G$170&lt;&gt;"acoes")))*INDEX(Inputs!$K$5:$AJ$170,0,MATCH(F$2,Inputs!$K$4:$AJ$4,0)))+SUMPRODUCT((Inputs!$C$5:$C$170=$B60)*Inputs!$D$5:$D$170*(((Inputs!$G$5:$G$170="moeda")+(Inputs!$G$5:$G$170="acoes"))*Inputs!$B$1+((Inputs!$G$5:$G$170&lt;&gt;"moeda")*(Inputs!$G$5:$G$170&lt;&gt;"acoes")))*INDEX(Inputs!$K$5:$AJ$170,0,MATCH(F$2,Inputs!$K$4:$AJ$4,0)))+SUMPRODUCT((Inputs!$E$5:$E$170=$B60)*Inputs!$F$5:$F$170*(((Inputs!$G$5:$G$170="moeda")+(Inputs!$G$5:$G$170="acoes"))*Inputs!$B$1+((Inputs!$G$5:$G$170&lt;&gt;"moeda")*(Inputs!$G$5:$G$170&lt;&gt;"acoes")))*INDEX(Inputs!$K$5:$AJ$170,0,MATCH(F$2,Inputs!$K$4:$AJ$4,0)))))</f>
        <v>79888</v>
      </c>
      <c r="G60" s="266">
        <f>IF(ISNA(MATCH(G$2,Inputs!$K$4:$AJ$4,0)),NA(),IF(SUMPRODUCT((Inputs!$A$5:$A$170=$B60)*ISNUMBER(INDEX(Inputs!$K$5:$AJ$170,0,MATCH(G$2,Inputs!$K$4:$AJ$4,0))))+SUMPRODUCT((Inputs!$C$5:$C$170=$B60)*ISNUMBER(INDEX(Inputs!$K$5:$AJ$170,0,MATCH(G$2,Inputs!$K$4:$AJ$4,0))))+SUMPRODUCT((Inputs!$E$5:$E$170=$B60)*ISNUMBER(INDEX(Inputs!$K$5:$AJ$170,0,MATCH(G$2,Inputs!$K$4:$AJ$4,0))))=0,NA(),SUMPRODUCT((Inputs!$A$5:$A$170=$B60)*Inputs!$B$5:$B$170*(((Inputs!$G$5:$G$170="moeda")+(Inputs!$G$5:$G$170="acoes"))*Inputs!$B$1+((Inputs!$G$5:$G$170&lt;&gt;"moeda")*(Inputs!$G$5:$G$170&lt;&gt;"acoes")))*INDEX(Inputs!$K$5:$AJ$170,0,MATCH(G$2,Inputs!$K$4:$AJ$4,0)))+SUMPRODUCT((Inputs!$C$5:$C$170=$B60)*Inputs!$D$5:$D$170*(((Inputs!$G$5:$G$170="moeda")+(Inputs!$G$5:$G$170="acoes"))*Inputs!$B$1+((Inputs!$G$5:$G$170&lt;&gt;"moeda")*(Inputs!$G$5:$G$170&lt;&gt;"acoes")))*INDEX(Inputs!$K$5:$AJ$170,0,MATCH(G$2,Inputs!$K$4:$AJ$4,0)))+SUMPRODUCT((Inputs!$E$5:$E$170=$B60)*Inputs!$F$5:$F$170*(((Inputs!$G$5:$G$170="moeda")+(Inputs!$G$5:$G$170="acoes"))*Inputs!$B$1+((Inputs!$G$5:$G$170&lt;&gt;"moeda")*(Inputs!$G$5:$G$170&lt;&gt;"acoes")))*INDEX(Inputs!$K$5:$AJ$170,0,MATCH(G$2,Inputs!$K$4:$AJ$4,0)))))</f>
        <v>90671</v>
      </c>
      <c r="H60" s="267">
        <f>G60</f>
        <v>90671</v>
      </c>
      <c r="I60" s="266">
        <f>IF(ISNA(MATCH(I$2,Inputs!$K$4:$AJ$4,0)),NA(),IF(SUMPRODUCT((Inputs!$A$5:$A$170=$B60)*ISNUMBER(INDEX(Inputs!$K$5:$AJ$170,0,MATCH(I$2,Inputs!$K$4:$AJ$4,0))))+SUMPRODUCT((Inputs!$C$5:$C$170=$B60)*ISNUMBER(INDEX(Inputs!$K$5:$AJ$170,0,MATCH(I$2,Inputs!$K$4:$AJ$4,0))))+SUMPRODUCT((Inputs!$E$5:$E$170=$B60)*ISNUMBER(INDEX(Inputs!$K$5:$AJ$170,0,MATCH(I$2,Inputs!$K$4:$AJ$4,0))))=0,NA(),SUMPRODUCT((Inputs!$A$5:$A$170=$B60)*Inputs!$B$5:$B$170*(((Inputs!$G$5:$G$170="moeda")+(Inputs!$G$5:$G$170="acoes"))*Inputs!$B$1+((Inputs!$G$5:$G$170&lt;&gt;"moeda")*(Inputs!$G$5:$G$170&lt;&gt;"acoes")))*INDEX(Inputs!$K$5:$AJ$170,0,MATCH(I$2,Inputs!$K$4:$AJ$4,0)))+SUMPRODUCT((Inputs!$C$5:$C$170=$B60)*Inputs!$D$5:$D$170*(((Inputs!$G$5:$G$170="moeda")+(Inputs!$G$5:$G$170="acoes"))*Inputs!$B$1+((Inputs!$G$5:$G$170&lt;&gt;"moeda")*(Inputs!$G$5:$G$170&lt;&gt;"acoes")))*INDEX(Inputs!$K$5:$AJ$170,0,MATCH(I$2,Inputs!$K$4:$AJ$4,0)))+SUMPRODUCT((Inputs!$E$5:$E$170=$B60)*Inputs!$F$5:$F$170*(((Inputs!$G$5:$G$170="moeda")+(Inputs!$G$5:$G$170="acoes"))*Inputs!$B$1+((Inputs!$G$5:$G$170&lt;&gt;"moeda")*(Inputs!$G$5:$G$170&lt;&gt;"acoes")))*INDEX(Inputs!$K$5:$AJ$170,0,MATCH(I$2,Inputs!$K$4:$AJ$4,0)))))</f>
        <v>96572</v>
      </c>
      <c r="J60" s="266">
        <f>IF(ISNA(MATCH(J$2,Inputs!$K$4:$AJ$4,0)),NA(),IF(SUMPRODUCT((Inputs!$A$5:$A$170=$B60)*ISNUMBER(INDEX(Inputs!$K$5:$AJ$170,0,MATCH(J$2,Inputs!$K$4:$AJ$4,0))))+SUMPRODUCT((Inputs!$C$5:$C$170=$B60)*ISNUMBER(INDEX(Inputs!$K$5:$AJ$170,0,MATCH(J$2,Inputs!$K$4:$AJ$4,0))))+SUMPRODUCT((Inputs!$E$5:$E$170=$B60)*ISNUMBER(INDEX(Inputs!$K$5:$AJ$170,0,MATCH(J$2,Inputs!$K$4:$AJ$4,0))))=0,NA(),SUMPRODUCT((Inputs!$A$5:$A$170=$B60)*Inputs!$B$5:$B$170*(((Inputs!$G$5:$G$170="moeda")+(Inputs!$G$5:$G$170="acoes"))*Inputs!$B$1+((Inputs!$G$5:$G$170&lt;&gt;"moeda")*(Inputs!$G$5:$G$170&lt;&gt;"acoes")))*INDEX(Inputs!$K$5:$AJ$170,0,MATCH(J$2,Inputs!$K$4:$AJ$4,0)))+SUMPRODUCT((Inputs!$C$5:$C$170=$B60)*Inputs!$D$5:$D$170*(((Inputs!$G$5:$G$170="moeda")+(Inputs!$G$5:$G$170="acoes"))*Inputs!$B$1+((Inputs!$G$5:$G$170&lt;&gt;"moeda")*(Inputs!$G$5:$G$170&lt;&gt;"acoes")))*INDEX(Inputs!$K$5:$AJ$170,0,MATCH(J$2,Inputs!$K$4:$AJ$4,0)))+SUMPRODUCT((Inputs!$E$5:$E$170=$B60)*Inputs!$F$5:$F$170*(((Inputs!$G$5:$G$170="moeda")+(Inputs!$G$5:$G$170="acoes"))*Inputs!$B$1+((Inputs!$G$5:$G$170&lt;&gt;"moeda")*(Inputs!$G$5:$G$170&lt;&gt;"acoes")))*INDEX(Inputs!$K$5:$AJ$170,0,MATCH(J$2,Inputs!$K$4:$AJ$4,0)))))</f>
        <v>100403</v>
      </c>
      <c r="K60" s="266">
        <f>IF(ISNA(MATCH(K$2,Inputs!$K$4:$AJ$4,0)),NA(),IF(SUMPRODUCT((Inputs!$A$5:$A$170=$B60)*ISNUMBER(INDEX(Inputs!$K$5:$AJ$170,0,MATCH(K$2,Inputs!$K$4:$AJ$4,0))))+SUMPRODUCT((Inputs!$C$5:$C$170=$B60)*ISNUMBER(INDEX(Inputs!$K$5:$AJ$170,0,MATCH(K$2,Inputs!$K$4:$AJ$4,0))))+SUMPRODUCT((Inputs!$E$5:$E$170=$B60)*ISNUMBER(INDEX(Inputs!$K$5:$AJ$170,0,MATCH(K$2,Inputs!$K$4:$AJ$4,0))))=0,NA(),SUMPRODUCT((Inputs!$A$5:$A$170=$B60)*Inputs!$B$5:$B$170*(((Inputs!$G$5:$G$170="moeda")+(Inputs!$G$5:$G$170="acoes"))*Inputs!$B$1+((Inputs!$G$5:$G$170&lt;&gt;"moeda")*(Inputs!$G$5:$G$170&lt;&gt;"acoes")))*INDEX(Inputs!$K$5:$AJ$170,0,MATCH(K$2,Inputs!$K$4:$AJ$4,0)))+SUMPRODUCT((Inputs!$C$5:$C$170=$B60)*Inputs!$D$5:$D$170*(((Inputs!$G$5:$G$170="moeda")+(Inputs!$G$5:$G$170="acoes"))*Inputs!$B$1+((Inputs!$G$5:$G$170&lt;&gt;"moeda")*(Inputs!$G$5:$G$170&lt;&gt;"acoes")))*INDEX(Inputs!$K$5:$AJ$170,0,MATCH(K$2,Inputs!$K$4:$AJ$4,0)))+SUMPRODUCT((Inputs!$E$5:$E$170=$B60)*Inputs!$F$5:$F$170*(((Inputs!$G$5:$G$170="moeda")+(Inputs!$G$5:$G$170="acoes"))*Inputs!$B$1+((Inputs!$G$5:$G$170&lt;&gt;"moeda")*(Inputs!$G$5:$G$170&lt;&gt;"acoes")))*INDEX(Inputs!$K$5:$AJ$170,0,MATCH(K$2,Inputs!$K$4:$AJ$4,0)))))</f>
        <v>104987</v>
      </c>
      <c r="L60" s="266">
        <f>IF(ISNA(MATCH(L$2,Inputs!$K$4:$AJ$4,0)),NA(),IF(SUMPRODUCT((Inputs!$A$5:$A$170=$B60)*ISNUMBER(INDEX(Inputs!$K$5:$AJ$170,0,MATCH(L$2,Inputs!$K$4:$AJ$4,0))))+SUMPRODUCT((Inputs!$C$5:$C$170=$B60)*ISNUMBER(INDEX(Inputs!$K$5:$AJ$170,0,MATCH(L$2,Inputs!$K$4:$AJ$4,0))))+SUMPRODUCT((Inputs!$E$5:$E$170=$B60)*ISNUMBER(INDEX(Inputs!$K$5:$AJ$170,0,MATCH(L$2,Inputs!$K$4:$AJ$4,0))))=0,NA(),SUMPRODUCT((Inputs!$A$5:$A$170=$B60)*Inputs!$B$5:$B$170*(((Inputs!$G$5:$G$170="moeda")+(Inputs!$G$5:$G$170="acoes"))*Inputs!$B$1+((Inputs!$G$5:$G$170&lt;&gt;"moeda")*(Inputs!$G$5:$G$170&lt;&gt;"acoes")))*INDEX(Inputs!$K$5:$AJ$170,0,MATCH(L$2,Inputs!$K$4:$AJ$4,0)))+SUMPRODUCT((Inputs!$C$5:$C$170=$B60)*Inputs!$D$5:$D$170*(((Inputs!$G$5:$G$170="moeda")+(Inputs!$G$5:$G$170="acoes"))*Inputs!$B$1+((Inputs!$G$5:$G$170&lt;&gt;"moeda")*(Inputs!$G$5:$G$170&lt;&gt;"acoes")))*INDEX(Inputs!$K$5:$AJ$170,0,MATCH(L$2,Inputs!$K$4:$AJ$4,0)))+SUMPRODUCT((Inputs!$E$5:$E$170=$B60)*Inputs!$F$5:$F$170*(((Inputs!$G$5:$G$170="moeda")+(Inputs!$G$5:$G$170="acoes"))*Inputs!$B$1+((Inputs!$G$5:$G$170&lt;&gt;"moeda")*(Inputs!$G$5:$G$170&lt;&gt;"acoes")))*INDEX(Inputs!$K$5:$AJ$170,0,MATCH(L$2,Inputs!$K$4:$AJ$4,0)))))</f>
        <v>111632</v>
      </c>
      <c r="M60" s="267">
        <f>L60</f>
        <v>111632</v>
      </c>
      <c r="N60" s="266">
        <f>IF(ISNA(MATCH(N$2,Inputs!$K$4:$AJ$4,0)),NA(),IF(SUMPRODUCT((Inputs!$A$5:$A$170=$B60)*ISNUMBER(INDEX(Inputs!$K$5:$AJ$170,0,MATCH(N$2,Inputs!$K$4:$AJ$4,0))))+SUMPRODUCT((Inputs!$C$5:$C$170=$B60)*ISNUMBER(INDEX(Inputs!$K$5:$AJ$170,0,MATCH(N$2,Inputs!$K$4:$AJ$4,0))))+SUMPRODUCT((Inputs!$E$5:$E$170=$B60)*ISNUMBER(INDEX(Inputs!$K$5:$AJ$170,0,MATCH(N$2,Inputs!$K$4:$AJ$4,0))))=0,NA(),SUMPRODUCT((Inputs!$A$5:$A$170=$B60)*Inputs!$B$5:$B$170*(((Inputs!$G$5:$G$170="moeda")+(Inputs!$G$5:$G$170="acoes"))*Inputs!$B$1+((Inputs!$G$5:$G$170&lt;&gt;"moeda")*(Inputs!$G$5:$G$170&lt;&gt;"acoes")))*INDEX(Inputs!$K$5:$AJ$170,0,MATCH(N$2,Inputs!$K$4:$AJ$4,0)))+SUMPRODUCT((Inputs!$C$5:$C$170=$B60)*Inputs!$D$5:$D$170*(((Inputs!$G$5:$G$170="moeda")+(Inputs!$G$5:$G$170="acoes"))*Inputs!$B$1+((Inputs!$G$5:$G$170&lt;&gt;"moeda")*(Inputs!$G$5:$G$170&lt;&gt;"acoes")))*INDEX(Inputs!$K$5:$AJ$170,0,MATCH(N$2,Inputs!$K$4:$AJ$4,0)))+SUMPRODUCT((Inputs!$E$5:$E$170=$B60)*Inputs!$F$5:$F$170*(((Inputs!$G$5:$G$170="moeda")+(Inputs!$G$5:$G$170="acoes"))*Inputs!$B$1+((Inputs!$G$5:$G$170&lt;&gt;"moeda")*(Inputs!$G$5:$G$170&lt;&gt;"acoes")))*INDEX(Inputs!$K$5:$AJ$170,0,MATCH(N$2,Inputs!$K$4:$AJ$4,0)))))</f>
        <v>98373</v>
      </c>
      <c r="O60" s="266">
        <f>IF(ISNA(MATCH(O$2,Inputs!$K$4:$AJ$4,0)),NA(),IF(SUMPRODUCT((Inputs!$A$5:$A$170=$B60)*ISNUMBER(INDEX(Inputs!$K$5:$AJ$170,0,MATCH(O$2,Inputs!$K$4:$AJ$4,0))))+SUMPRODUCT((Inputs!$C$5:$C$170=$B60)*ISNUMBER(INDEX(Inputs!$K$5:$AJ$170,0,MATCH(O$2,Inputs!$K$4:$AJ$4,0))))+SUMPRODUCT((Inputs!$E$5:$E$170=$B60)*ISNUMBER(INDEX(Inputs!$K$5:$AJ$170,0,MATCH(O$2,Inputs!$K$4:$AJ$4,0))))=0,NA(),SUMPRODUCT((Inputs!$A$5:$A$170=$B60)*Inputs!$B$5:$B$170*(((Inputs!$G$5:$G$170="moeda")+(Inputs!$G$5:$G$170="acoes"))*Inputs!$B$1+((Inputs!$G$5:$G$170&lt;&gt;"moeda")*(Inputs!$G$5:$G$170&lt;&gt;"acoes")))*INDEX(Inputs!$K$5:$AJ$170,0,MATCH(O$2,Inputs!$K$4:$AJ$4,0)))+SUMPRODUCT((Inputs!$C$5:$C$170=$B60)*Inputs!$D$5:$D$170*(((Inputs!$G$5:$G$170="moeda")+(Inputs!$G$5:$G$170="acoes"))*Inputs!$B$1+((Inputs!$G$5:$G$170&lt;&gt;"moeda")*(Inputs!$G$5:$G$170&lt;&gt;"acoes")))*INDEX(Inputs!$K$5:$AJ$170,0,MATCH(O$2,Inputs!$K$4:$AJ$4,0)))+SUMPRODUCT((Inputs!$E$5:$E$170=$B60)*Inputs!$F$5:$F$170*(((Inputs!$G$5:$G$170="moeda")+(Inputs!$G$5:$G$170="acoes"))*Inputs!$B$1+((Inputs!$G$5:$G$170&lt;&gt;"moeda")*(Inputs!$G$5:$G$170&lt;&gt;"acoes")))*INDEX(Inputs!$K$5:$AJ$170,0,MATCH(O$2,Inputs!$K$4:$AJ$4,0)))))</f>
        <v>91632</v>
      </c>
      <c r="P60" s="266">
        <f>IF(ISNA(MATCH(P$2,Inputs!$K$4:$AJ$4,0)),NA(),IF(SUMPRODUCT((Inputs!$A$5:$A$170=$B60)*ISNUMBER(INDEX(Inputs!$K$5:$AJ$170,0,MATCH(P$2,Inputs!$K$4:$AJ$4,0))))+SUMPRODUCT((Inputs!$C$5:$C$170=$B60)*ISNUMBER(INDEX(Inputs!$K$5:$AJ$170,0,MATCH(P$2,Inputs!$K$4:$AJ$4,0))))+SUMPRODUCT((Inputs!$E$5:$E$170=$B60)*ISNUMBER(INDEX(Inputs!$K$5:$AJ$170,0,MATCH(P$2,Inputs!$K$4:$AJ$4,0))))=0,NA(),SUMPRODUCT((Inputs!$A$5:$A$170=$B60)*Inputs!$B$5:$B$170*(((Inputs!$G$5:$G$170="moeda")+(Inputs!$G$5:$G$170="acoes"))*Inputs!$B$1+((Inputs!$G$5:$G$170&lt;&gt;"moeda")*(Inputs!$G$5:$G$170&lt;&gt;"acoes")))*INDEX(Inputs!$K$5:$AJ$170,0,MATCH(P$2,Inputs!$K$4:$AJ$4,0)))+SUMPRODUCT((Inputs!$C$5:$C$170=$B60)*Inputs!$D$5:$D$170*(((Inputs!$G$5:$G$170="moeda")+(Inputs!$G$5:$G$170="acoes"))*Inputs!$B$1+((Inputs!$G$5:$G$170&lt;&gt;"moeda")*(Inputs!$G$5:$G$170&lt;&gt;"acoes")))*INDEX(Inputs!$K$5:$AJ$170,0,MATCH(P$2,Inputs!$K$4:$AJ$4,0)))+SUMPRODUCT((Inputs!$E$5:$E$170=$B60)*Inputs!$F$5:$F$170*(((Inputs!$G$5:$G$170="moeda")+(Inputs!$G$5:$G$170="acoes"))*Inputs!$B$1+((Inputs!$G$5:$G$170&lt;&gt;"moeda")*(Inputs!$G$5:$G$170&lt;&gt;"acoes")))*INDEX(Inputs!$K$5:$AJ$170,0,MATCH(P$2,Inputs!$K$4:$AJ$4,0)))))</f>
        <v>94273</v>
      </c>
      <c r="Q60" s="266">
        <f>IF(ISNA(MATCH(Q$2,Inputs!$K$4:$AJ$4,0)),NA(),IF(SUMPRODUCT((Inputs!$A$5:$A$170=$B60)*ISNUMBER(INDEX(Inputs!$K$5:$AJ$170,0,MATCH(Q$2,Inputs!$K$4:$AJ$4,0))))+SUMPRODUCT((Inputs!$C$5:$C$170=$B60)*ISNUMBER(INDEX(Inputs!$K$5:$AJ$170,0,MATCH(Q$2,Inputs!$K$4:$AJ$4,0))))+SUMPRODUCT((Inputs!$E$5:$E$170=$B60)*ISNUMBER(INDEX(Inputs!$K$5:$AJ$170,0,MATCH(Q$2,Inputs!$K$4:$AJ$4,0))))=0,NA(),SUMPRODUCT((Inputs!$A$5:$A$170=$B60)*Inputs!$B$5:$B$170*(((Inputs!$G$5:$G$170="moeda")+(Inputs!$G$5:$G$170="acoes"))*Inputs!$B$1+((Inputs!$G$5:$G$170&lt;&gt;"moeda")*(Inputs!$G$5:$G$170&lt;&gt;"acoes")))*INDEX(Inputs!$K$5:$AJ$170,0,MATCH(Q$2,Inputs!$K$4:$AJ$4,0)))+SUMPRODUCT((Inputs!$C$5:$C$170=$B60)*Inputs!$D$5:$D$170*(((Inputs!$G$5:$G$170="moeda")+(Inputs!$G$5:$G$170="acoes"))*Inputs!$B$1+((Inputs!$G$5:$G$170&lt;&gt;"moeda")*(Inputs!$G$5:$G$170&lt;&gt;"acoes")))*INDEX(Inputs!$K$5:$AJ$170,0,MATCH(Q$2,Inputs!$K$4:$AJ$4,0)))+SUMPRODUCT((Inputs!$E$5:$E$170=$B60)*Inputs!$F$5:$F$170*(((Inputs!$G$5:$G$170="moeda")+(Inputs!$G$5:$G$170="acoes"))*Inputs!$B$1+((Inputs!$G$5:$G$170&lt;&gt;"moeda")*(Inputs!$G$5:$G$170&lt;&gt;"acoes")))*INDEX(Inputs!$K$5:$AJ$170,0,MATCH(Q$2,Inputs!$K$4:$AJ$4,0)))))</f>
        <v>113150</v>
      </c>
      <c r="R60" s="267">
        <f>Q60</f>
        <v>113150</v>
      </c>
      <c r="S60" s="266">
        <f>IF(ISNA(MATCH(S$2,Inputs!$K$4:$AJ$4,0)),NA(),IF(SUMPRODUCT((Inputs!$A$5:$A$170=$B60)*ISNUMBER(INDEX(Inputs!$K$5:$AJ$170,0,MATCH(S$2,Inputs!$K$4:$AJ$4,0))))+SUMPRODUCT((Inputs!$C$5:$C$170=$B60)*ISNUMBER(INDEX(Inputs!$K$5:$AJ$170,0,MATCH(S$2,Inputs!$K$4:$AJ$4,0))))+SUMPRODUCT((Inputs!$E$5:$E$170=$B60)*ISNUMBER(INDEX(Inputs!$K$5:$AJ$170,0,MATCH(S$2,Inputs!$K$4:$AJ$4,0))))=0,NA(),SUMPRODUCT((Inputs!$A$5:$A$170=$B60)*Inputs!$B$5:$B$170*(((Inputs!$G$5:$G$170="moeda")+(Inputs!$G$5:$G$170="acoes"))*Inputs!$B$1+((Inputs!$G$5:$G$170&lt;&gt;"moeda")*(Inputs!$G$5:$G$170&lt;&gt;"acoes")))*INDEX(Inputs!$K$5:$AJ$170,0,MATCH(S$2,Inputs!$K$4:$AJ$4,0)))+SUMPRODUCT((Inputs!$C$5:$C$170=$B60)*Inputs!$D$5:$D$170*(((Inputs!$G$5:$G$170="moeda")+(Inputs!$G$5:$G$170="acoes"))*Inputs!$B$1+((Inputs!$G$5:$G$170&lt;&gt;"moeda")*(Inputs!$G$5:$G$170&lt;&gt;"acoes")))*INDEX(Inputs!$K$5:$AJ$170,0,MATCH(S$2,Inputs!$K$4:$AJ$4,0)))+SUMPRODUCT((Inputs!$E$5:$E$170=$B60)*Inputs!$F$5:$F$170*(((Inputs!$G$5:$G$170="moeda")+(Inputs!$G$5:$G$170="acoes"))*Inputs!$B$1+((Inputs!$G$5:$G$170&lt;&gt;"moeda")*(Inputs!$G$5:$G$170&lt;&gt;"acoes")))*INDEX(Inputs!$K$5:$AJ$170,0,MATCH(S$2,Inputs!$K$4:$AJ$4,0)))))</f>
        <v>110091</v>
      </c>
      <c r="T60" s="266">
        <f>IF(ISNA(MATCH(T$2,Inputs!$K$4:$AJ$4,0)),NA(),IF(SUMPRODUCT((Inputs!$A$5:$A$170=$B60)*ISNUMBER(INDEX(Inputs!$K$5:$AJ$170,0,MATCH(T$2,Inputs!$K$4:$AJ$4,0))))+SUMPRODUCT((Inputs!$C$5:$C$170=$B60)*ISNUMBER(INDEX(Inputs!$K$5:$AJ$170,0,MATCH(T$2,Inputs!$K$4:$AJ$4,0))))+SUMPRODUCT((Inputs!$E$5:$E$170=$B60)*ISNUMBER(INDEX(Inputs!$K$5:$AJ$170,0,MATCH(T$2,Inputs!$K$4:$AJ$4,0))))=0,NA(),SUMPRODUCT((Inputs!$A$5:$A$170=$B60)*Inputs!$B$5:$B$170*(((Inputs!$G$5:$G$170="moeda")+(Inputs!$G$5:$G$170="acoes"))*Inputs!$B$1+((Inputs!$G$5:$G$170&lt;&gt;"moeda")*(Inputs!$G$5:$G$170&lt;&gt;"acoes")))*INDEX(Inputs!$K$5:$AJ$170,0,MATCH(T$2,Inputs!$K$4:$AJ$4,0)))+SUMPRODUCT((Inputs!$C$5:$C$170=$B60)*Inputs!$D$5:$D$170*(((Inputs!$G$5:$G$170="moeda")+(Inputs!$G$5:$G$170="acoes"))*Inputs!$B$1+((Inputs!$G$5:$G$170&lt;&gt;"moeda")*(Inputs!$G$5:$G$170&lt;&gt;"acoes")))*INDEX(Inputs!$K$5:$AJ$170,0,MATCH(T$2,Inputs!$K$4:$AJ$4,0)))+SUMPRODUCT((Inputs!$E$5:$E$170=$B60)*Inputs!$F$5:$F$170*(((Inputs!$G$5:$G$170="moeda")+(Inputs!$G$5:$G$170="acoes"))*Inputs!$B$1+((Inputs!$G$5:$G$170&lt;&gt;"moeda")*(Inputs!$G$5:$G$170&lt;&gt;"acoes")))*INDEX(Inputs!$K$5:$AJ$170,0,MATCH(T$2,Inputs!$K$4:$AJ$4,0)))))</f>
        <v>108716</v>
      </c>
      <c r="U60" s="266">
        <f>IF(ISNA(MATCH(U$2,Inputs!$K$4:$AJ$4,0)),NA(),IF(SUMPRODUCT((Inputs!$A$5:$A$170=$B60)*ISNUMBER(INDEX(Inputs!$K$5:$AJ$170,0,MATCH(U$2,Inputs!$K$4:$AJ$4,0))))+SUMPRODUCT((Inputs!$C$5:$C$170=$B60)*ISNUMBER(INDEX(Inputs!$K$5:$AJ$170,0,MATCH(U$2,Inputs!$K$4:$AJ$4,0))))+SUMPRODUCT((Inputs!$E$5:$E$170=$B60)*ISNUMBER(INDEX(Inputs!$K$5:$AJ$170,0,MATCH(U$2,Inputs!$K$4:$AJ$4,0))))=0,NA(),SUMPRODUCT((Inputs!$A$5:$A$170=$B60)*Inputs!$B$5:$B$170*(((Inputs!$G$5:$G$170="moeda")+(Inputs!$G$5:$G$170="acoes"))*Inputs!$B$1+((Inputs!$G$5:$G$170&lt;&gt;"moeda")*(Inputs!$G$5:$G$170&lt;&gt;"acoes")))*INDEX(Inputs!$K$5:$AJ$170,0,MATCH(U$2,Inputs!$K$4:$AJ$4,0)))+SUMPRODUCT((Inputs!$C$5:$C$170=$B60)*Inputs!$D$5:$D$170*(((Inputs!$G$5:$G$170="moeda")+(Inputs!$G$5:$G$170="acoes"))*Inputs!$B$1+((Inputs!$G$5:$G$170&lt;&gt;"moeda")*(Inputs!$G$5:$G$170&lt;&gt;"acoes")))*INDEX(Inputs!$K$5:$AJ$170,0,MATCH(U$2,Inputs!$K$4:$AJ$4,0)))+SUMPRODUCT((Inputs!$E$5:$E$170=$B60)*Inputs!$F$5:$F$170*(((Inputs!$G$5:$G$170="moeda")+(Inputs!$G$5:$G$170="acoes"))*Inputs!$B$1+((Inputs!$G$5:$G$170&lt;&gt;"moeda")*(Inputs!$G$5:$G$170&lt;&gt;"acoes")))*INDEX(Inputs!$K$5:$AJ$170,0,MATCH(U$2,Inputs!$K$4:$AJ$4,0)))))</f>
        <v>110182</v>
      </c>
      <c r="V60" s="266">
        <f>IF(ISNA(MATCH(V$2,Inputs!$K$4:$AJ$4,0)),NA(),IF(SUMPRODUCT((Inputs!$A$5:$A$170=$B60)*ISNUMBER(INDEX(Inputs!$K$5:$AJ$170,0,MATCH(V$2,Inputs!$K$4:$AJ$4,0))))+SUMPRODUCT((Inputs!$C$5:$C$170=$B60)*ISNUMBER(INDEX(Inputs!$K$5:$AJ$170,0,MATCH(V$2,Inputs!$K$4:$AJ$4,0))))+SUMPRODUCT((Inputs!$E$5:$E$170=$B60)*ISNUMBER(INDEX(Inputs!$K$5:$AJ$170,0,MATCH(V$2,Inputs!$K$4:$AJ$4,0))))=0,NA(),SUMPRODUCT((Inputs!$A$5:$A$170=$B60)*Inputs!$B$5:$B$170*(((Inputs!$G$5:$G$170="moeda")+(Inputs!$G$5:$G$170="acoes"))*Inputs!$B$1+((Inputs!$G$5:$G$170&lt;&gt;"moeda")*(Inputs!$G$5:$G$170&lt;&gt;"acoes")))*INDEX(Inputs!$K$5:$AJ$170,0,MATCH(V$2,Inputs!$K$4:$AJ$4,0)))+SUMPRODUCT((Inputs!$C$5:$C$170=$B60)*Inputs!$D$5:$D$170*(((Inputs!$G$5:$G$170="moeda")+(Inputs!$G$5:$G$170="acoes"))*Inputs!$B$1+((Inputs!$G$5:$G$170&lt;&gt;"moeda")*(Inputs!$G$5:$G$170&lt;&gt;"acoes")))*INDEX(Inputs!$K$5:$AJ$170,0,MATCH(V$2,Inputs!$K$4:$AJ$4,0)))+SUMPRODUCT((Inputs!$E$5:$E$170=$B60)*Inputs!$F$5:$F$170*(((Inputs!$G$5:$G$170="moeda")+(Inputs!$G$5:$G$170="acoes"))*Inputs!$B$1+((Inputs!$G$5:$G$170&lt;&gt;"moeda")*(Inputs!$G$5:$G$170&lt;&gt;"acoes")))*INDEX(Inputs!$K$5:$AJ$170,0,MATCH(V$2,Inputs!$K$4:$AJ$4,0)))))</f>
        <v>121942</v>
      </c>
      <c r="W60" s="267">
        <f>V60</f>
        <v>121942</v>
      </c>
      <c r="X60" s="266">
        <f>IF(ISNA(MATCH(X$2,Inputs!$K$4:$AJ$4,0)),NA(),IF(SUMPRODUCT((Inputs!$A$5:$A$170=$B60)*ISNUMBER(INDEX(Inputs!$K$5:$AJ$170,0,MATCH(X$2,Inputs!$K$4:$AJ$4,0))))+SUMPRODUCT((Inputs!$C$5:$C$170=$B60)*ISNUMBER(INDEX(Inputs!$K$5:$AJ$170,0,MATCH(X$2,Inputs!$K$4:$AJ$4,0))))+SUMPRODUCT((Inputs!$E$5:$E$170=$B60)*ISNUMBER(INDEX(Inputs!$K$5:$AJ$170,0,MATCH(X$2,Inputs!$K$4:$AJ$4,0))))=0,NA(),SUMPRODUCT((Inputs!$A$5:$A$170=$B60)*Inputs!$B$5:$B$170*(((Inputs!$G$5:$G$170="moeda")+(Inputs!$G$5:$G$170="acoes"))*Inputs!$B$1+((Inputs!$G$5:$G$170&lt;&gt;"moeda")*(Inputs!$G$5:$G$170&lt;&gt;"acoes")))*INDEX(Inputs!$K$5:$AJ$170,0,MATCH(X$2,Inputs!$K$4:$AJ$4,0)))+SUMPRODUCT((Inputs!$C$5:$C$170=$B60)*Inputs!$D$5:$D$170*(((Inputs!$G$5:$G$170="moeda")+(Inputs!$G$5:$G$170="acoes"))*Inputs!$B$1+((Inputs!$G$5:$G$170&lt;&gt;"moeda")*(Inputs!$G$5:$G$170&lt;&gt;"acoes")))*INDEX(Inputs!$K$5:$AJ$170,0,MATCH(X$2,Inputs!$K$4:$AJ$4,0)))+SUMPRODUCT((Inputs!$E$5:$E$170=$B60)*Inputs!$F$5:$F$170*(((Inputs!$G$5:$G$170="moeda")+(Inputs!$G$5:$G$170="acoes"))*Inputs!$B$1+((Inputs!$G$5:$G$170&lt;&gt;"moeda")*(Inputs!$G$5:$G$170&lt;&gt;"acoes")))*INDEX(Inputs!$K$5:$AJ$170,0,MATCH(X$2,Inputs!$K$4:$AJ$4,0)))))</f>
        <v>113257</v>
      </c>
      <c r="Y60" s="266">
        <f>IF(ISNA(MATCH(Y$2,Inputs!$K$4:$AJ$4,0)),NA(),IF(SUMPRODUCT((Inputs!$A$5:$A$170=$B60)*ISNUMBER(INDEX(Inputs!$K$5:$AJ$170,0,MATCH(Y$2,Inputs!$K$4:$AJ$4,0))))+SUMPRODUCT((Inputs!$C$5:$C$170=$B60)*ISNUMBER(INDEX(Inputs!$K$5:$AJ$170,0,MATCH(Y$2,Inputs!$K$4:$AJ$4,0))))+SUMPRODUCT((Inputs!$E$5:$E$170=$B60)*ISNUMBER(INDEX(Inputs!$K$5:$AJ$170,0,MATCH(Y$2,Inputs!$K$4:$AJ$4,0))))=0,NA(),SUMPRODUCT((Inputs!$A$5:$A$170=$B60)*Inputs!$B$5:$B$170*(((Inputs!$G$5:$G$170="moeda")+(Inputs!$G$5:$G$170="acoes"))*Inputs!$B$1+((Inputs!$G$5:$G$170&lt;&gt;"moeda")*(Inputs!$G$5:$G$170&lt;&gt;"acoes")))*INDEX(Inputs!$K$5:$AJ$170,0,MATCH(Y$2,Inputs!$K$4:$AJ$4,0)))+SUMPRODUCT((Inputs!$C$5:$C$170=$B60)*Inputs!$D$5:$D$170*(((Inputs!$G$5:$G$170="moeda")+(Inputs!$G$5:$G$170="acoes"))*Inputs!$B$1+((Inputs!$G$5:$G$170&lt;&gt;"moeda")*(Inputs!$G$5:$G$170&lt;&gt;"acoes")))*INDEX(Inputs!$K$5:$AJ$170,0,MATCH(Y$2,Inputs!$K$4:$AJ$4,0)))+SUMPRODUCT((Inputs!$E$5:$E$170=$B60)*Inputs!$F$5:$F$170*(((Inputs!$G$5:$G$170="moeda")+(Inputs!$G$5:$G$170="acoes"))*Inputs!$B$1+((Inputs!$G$5:$G$170&lt;&gt;"moeda")*(Inputs!$G$5:$G$170&lt;&gt;"acoes")))*INDEX(Inputs!$K$5:$AJ$170,0,MATCH(Y$2,Inputs!$K$4:$AJ$4,0)))))</f>
        <v>120133</v>
      </c>
      <c r="Z60" s="266">
        <f>IF(ISNA(MATCH(Z$2,Inputs!$K$4:$AJ$4,0)),NA(),IF(SUMPRODUCT((Inputs!$A$5:$A$170=$B60)*ISNUMBER(INDEX(Inputs!$K$5:$AJ$170,0,MATCH(Z$2,Inputs!$K$4:$AJ$4,0))))+SUMPRODUCT((Inputs!$C$5:$C$170=$B60)*ISNUMBER(INDEX(Inputs!$K$5:$AJ$170,0,MATCH(Z$2,Inputs!$K$4:$AJ$4,0))))+SUMPRODUCT((Inputs!$E$5:$E$170=$B60)*ISNUMBER(INDEX(Inputs!$K$5:$AJ$170,0,MATCH(Z$2,Inputs!$K$4:$AJ$4,0))))=0,NA(),SUMPRODUCT((Inputs!$A$5:$A$170=$B60)*Inputs!$B$5:$B$170*(((Inputs!$G$5:$G$170="moeda")+(Inputs!$G$5:$G$170="acoes"))*Inputs!$B$1+((Inputs!$G$5:$G$170&lt;&gt;"moeda")*(Inputs!$G$5:$G$170&lt;&gt;"acoes")))*INDEX(Inputs!$K$5:$AJ$170,0,MATCH(Z$2,Inputs!$K$4:$AJ$4,0)))+SUMPRODUCT((Inputs!$C$5:$C$170=$B60)*Inputs!$D$5:$D$170*(((Inputs!$G$5:$G$170="moeda")+(Inputs!$G$5:$G$170="acoes"))*Inputs!$B$1+((Inputs!$G$5:$G$170&lt;&gt;"moeda")*(Inputs!$G$5:$G$170&lt;&gt;"acoes")))*INDEX(Inputs!$K$5:$AJ$170,0,MATCH(Z$2,Inputs!$K$4:$AJ$4,0)))+SUMPRODUCT((Inputs!$E$5:$E$170=$B60)*Inputs!$F$5:$F$170*(((Inputs!$G$5:$G$170="moeda")+(Inputs!$G$5:$G$170="acoes"))*Inputs!$B$1+((Inputs!$G$5:$G$170&lt;&gt;"moeda")*(Inputs!$G$5:$G$170&lt;&gt;"acoes")))*INDEX(Inputs!$K$5:$AJ$170,0,MATCH(Z$2,Inputs!$K$4:$AJ$4,0)))))</f>
        <v>115498</v>
      </c>
      <c r="AA60" s="266">
        <f>IF(ISNA(MATCH(AA$2,Inputs!$K$4:$AJ$4,0)),NA(),IF(SUMPRODUCT((Inputs!$A$5:$A$170=$B60)*ISNUMBER(INDEX(Inputs!$K$5:$AJ$170,0,MATCH(AA$2,Inputs!$K$4:$AJ$4,0))))+SUMPRODUCT((Inputs!$C$5:$C$170=$B60)*ISNUMBER(INDEX(Inputs!$K$5:$AJ$170,0,MATCH(AA$2,Inputs!$K$4:$AJ$4,0))))+SUMPRODUCT((Inputs!$E$5:$E$170=$B60)*ISNUMBER(INDEX(Inputs!$K$5:$AJ$170,0,MATCH(AA$2,Inputs!$K$4:$AJ$4,0))))=0,NA(),SUMPRODUCT((Inputs!$A$5:$A$170=$B60)*Inputs!$B$5:$B$170*(((Inputs!$G$5:$G$170="moeda")+(Inputs!$G$5:$G$170="acoes"))*Inputs!$B$1+((Inputs!$G$5:$G$170&lt;&gt;"moeda")*(Inputs!$G$5:$G$170&lt;&gt;"acoes")))*INDEX(Inputs!$K$5:$AJ$170,0,MATCH(AA$2,Inputs!$K$4:$AJ$4,0)))+SUMPRODUCT((Inputs!$C$5:$C$170=$B60)*Inputs!$D$5:$D$170*(((Inputs!$G$5:$G$170="moeda")+(Inputs!$G$5:$G$170="acoes"))*Inputs!$B$1+((Inputs!$G$5:$G$170&lt;&gt;"moeda")*(Inputs!$G$5:$G$170&lt;&gt;"acoes")))*INDEX(Inputs!$K$5:$AJ$170,0,MATCH(AA$2,Inputs!$K$4:$AJ$4,0)))+SUMPRODUCT((Inputs!$E$5:$E$170=$B60)*Inputs!$F$5:$F$170*(((Inputs!$G$5:$G$170="moeda")+(Inputs!$G$5:$G$170="acoes"))*Inputs!$B$1+((Inputs!$G$5:$G$170&lt;&gt;"moeda")*(Inputs!$G$5:$G$170&lt;&gt;"acoes")))*INDEX(Inputs!$K$5:$AJ$170,0,MATCH(AA$2,Inputs!$K$4:$AJ$4,0)))))</f>
        <v>130634</v>
      </c>
      <c r="AB60" s="267">
        <f>AA60</f>
        <v>130634</v>
      </c>
      <c r="AC60" s="266">
        <f>IF(ISNA(MATCH(AC$2,Inputs!$K$4:$AJ$4,0)),NA(),IF(SUMPRODUCT((Inputs!$A$5:$A$170=$B60)*ISNUMBER(INDEX(Inputs!$K$5:$AJ$170,0,MATCH(AC$2,Inputs!$K$4:$AJ$4,0))))+SUMPRODUCT((Inputs!$C$5:$C$170=$B60)*ISNUMBER(INDEX(Inputs!$K$5:$AJ$170,0,MATCH(AC$2,Inputs!$K$4:$AJ$4,0))))+SUMPRODUCT((Inputs!$E$5:$E$170=$B60)*ISNUMBER(INDEX(Inputs!$K$5:$AJ$170,0,MATCH(AC$2,Inputs!$K$4:$AJ$4,0))))=0,NA(),SUMPRODUCT((Inputs!$A$5:$A$170=$B60)*Inputs!$B$5:$B$170*(((Inputs!$G$5:$G$170="moeda")+(Inputs!$G$5:$G$170="acoes"))*Inputs!$B$1+((Inputs!$G$5:$G$170&lt;&gt;"moeda")*(Inputs!$G$5:$G$170&lt;&gt;"acoes")))*INDEX(Inputs!$K$5:$AJ$170,0,MATCH(AC$2,Inputs!$K$4:$AJ$4,0)))+SUMPRODUCT((Inputs!$C$5:$C$170=$B60)*Inputs!$D$5:$D$170*(((Inputs!$G$5:$G$170="moeda")+(Inputs!$G$5:$G$170="acoes"))*Inputs!$B$1+((Inputs!$G$5:$G$170&lt;&gt;"moeda")*(Inputs!$G$5:$G$170&lt;&gt;"acoes")))*INDEX(Inputs!$K$5:$AJ$170,0,MATCH(AC$2,Inputs!$K$4:$AJ$4,0)))+SUMPRODUCT((Inputs!$E$5:$E$170=$B60)*Inputs!$F$5:$F$170*(((Inputs!$G$5:$G$170="moeda")+(Inputs!$G$5:$G$170="acoes"))*Inputs!$B$1+((Inputs!$G$5:$G$170&lt;&gt;"moeda")*(Inputs!$G$5:$G$170&lt;&gt;"acoes")))*INDEX(Inputs!$K$5:$AJ$170,0,MATCH(AC$2,Inputs!$K$4:$AJ$4,0)))))</f>
        <v>125307</v>
      </c>
      <c r="AD60" s="266">
        <f>IF(ISNA(MATCH(AD$2,Inputs!$K$4:$AJ$4,0)),NA(),IF(SUMPRODUCT((Inputs!$A$5:$A$170=$B60)*ISNUMBER(INDEX(Inputs!$K$5:$AJ$170,0,MATCH(AD$2,Inputs!$K$4:$AJ$4,0))))+SUMPRODUCT((Inputs!$C$5:$C$170=$B60)*ISNUMBER(INDEX(Inputs!$K$5:$AJ$170,0,MATCH(AD$2,Inputs!$K$4:$AJ$4,0))))+SUMPRODUCT((Inputs!$E$5:$E$170=$B60)*ISNUMBER(INDEX(Inputs!$K$5:$AJ$170,0,MATCH(AD$2,Inputs!$K$4:$AJ$4,0))))=0,NA(),SUMPRODUCT((Inputs!$A$5:$A$170=$B60)*Inputs!$B$5:$B$170*(((Inputs!$G$5:$G$170="moeda")+(Inputs!$G$5:$G$170="acoes"))*Inputs!$B$1+((Inputs!$G$5:$G$170&lt;&gt;"moeda")*(Inputs!$G$5:$G$170&lt;&gt;"acoes")))*INDEX(Inputs!$K$5:$AJ$170,0,MATCH(AD$2,Inputs!$K$4:$AJ$4,0)))+SUMPRODUCT((Inputs!$C$5:$C$170=$B60)*Inputs!$D$5:$D$170*(((Inputs!$G$5:$G$170="moeda")+(Inputs!$G$5:$G$170="acoes"))*Inputs!$B$1+((Inputs!$G$5:$G$170&lt;&gt;"moeda")*(Inputs!$G$5:$G$170&lt;&gt;"acoes")))*INDEX(Inputs!$K$5:$AJ$170,0,MATCH(AD$2,Inputs!$K$4:$AJ$4,0)))+SUMPRODUCT((Inputs!$E$5:$E$170=$B60)*Inputs!$F$5:$F$170*(((Inputs!$G$5:$G$170="moeda")+(Inputs!$G$5:$G$170="acoes"))*Inputs!$B$1+((Inputs!$G$5:$G$170&lt;&gt;"moeda")*(Inputs!$G$5:$G$170&lt;&gt;"acoes")))*INDEX(Inputs!$K$5:$AJ$170,0,MATCH(AD$2,Inputs!$K$4:$AJ$4,0)))))</f>
        <v>139785</v>
      </c>
      <c r="AE60" s="266" t="e">
        <f>IF(ISNA(MATCH(AE$2,Inputs!$K$4:$AJ$4,0)),NA(),IF(SUMPRODUCT((Inputs!$A$5:$A$170=$B60)*ISNUMBER(INDEX(Inputs!$K$5:$AJ$170,0,MATCH(AE$2,Inputs!$K$4:$AJ$4,0))))+SUMPRODUCT((Inputs!$C$5:$C$170=$B60)*ISNUMBER(INDEX(Inputs!$K$5:$AJ$170,0,MATCH(AE$2,Inputs!$K$4:$AJ$4,0))))+SUMPRODUCT((Inputs!$E$5:$E$170=$B60)*ISNUMBER(INDEX(Inputs!$K$5:$AJ$170,0,MATCH(AE$2,Inputs!$K$4:$AJ$4,0))))=0,NA(),SUMPRODUCT((Inputs!$A$5:$A$170=$B60)*Inputs!$B$5:$B$170*(((Inputs!$G$5:$G$170="moeda")+(Inputs!$G$5:$G$170="acoes"))*Inputs!$B$1+((Inputs!$G$5:$G$170&lt;&gt;"moeda")*(Inputs!$G$5:$G$170&lt;&gt;"acoes")))*INDEX(Inputs!$K$5:$AJ$170,0,MATCH(AE$2,Inputs!$K$4:$AJ$4,0)))+SUMPRODUCT((Inputs!$C$5:$C$170=$B60)*Inputs!$D$5:$D$170*(((Inputs!$G$5:$G$170="moeda")+(Inputs!$G$5:$G$170="acoes"))*Inputs!$B$1+((Inputs!$G$5:$G$170&lt;&gt;"moeda")*(Inputs!$G$5:$G$170&lt;&gt;"acoes")))*INDEX(Inputs!$K$5:$AJ$170,0,MATCH(AE$2,Inputs!$K$4:$AJ$4,0)))+SUMPRODUCT((Inputs!$E$5:$E$170=$B60)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0" s="266" t="e">
        <f>IF(ISNA(MATCH(AF$2,Inputs!$K$4:$AJ$4,0)),NA(),IF(SUMPRODUCT((Inputs!$A$5:$A$170=$B60)*ISNUMBER(INDEX(Inputs!$K$5:$AJ$170,0,MATCH(AF$2,Inputs!$K$4:$AJ$4,0))))+SUMPRODUCT((Inputs!$C$5:$C$170=$B60)*ISNUMBER(INDEX(Inputs!$K$5:$AJ$170,0,MATCH(AF$2,Inputs!$K$4:$AJ$4,0))))+SUMPRODUCT((Inputs!$E$5:$E$170=$B60)*ISNUMBER(INDEX(Inputs!$K$5:$AJ$170,0,MATCH(AF$2,Inputs!$K$4:$AJ$4,0))))=0,NA(),SUMPRODUCT((Inputs!$A$5:$A$170=$B60)*Inputs!$B$5:$B$170*(((Inputs!$G$5:$G$170="moeda")+(Inputs!$G$5:$G$170="acoes"))*Inputs!$B$1+((Inputs!$G$5:$G$170&lt;&gt;"moeda")*(Inputs!$G$5:$G$170&lt;&gt;"acoes")))*INDEX(Inputs!$K$5:$AJ$170,0,MATCH(AF$2,Inputs!$K$4:$AJ$4,0)))+SUMPRODUCT((Inputs!$C$5:$C$170=$B60)*Inputs!$D$5:$D$170*(((Inputs!$G$5:$G$170="moeda")+(Inputs!$G$5:$G$170="acoes"))*Inputs!$B$1+((Inputs!$G$5:$G$170&lt;&gt;"moeda")*(Inputs!$G$5:$G$170&lt;&gt;"acoes")))*INDEX(Inputs!$K$5:$AJ$170,0,MATCH(AF$2,Inputs!$K$4:$AJ$4,0)))+SUMPRODUCT((Inputs!$E$5:$E$170=$B60)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0" s="267" t="e">
        <f>AF60</f>
        <v>#N/A</v>
      </c>
      <c r="AH60" s="266">
        <f>IF(ISNA(MATCH(AH$2,Inputs!$K$4:$AJ$4,0)),NA(),IF(SUMPRODUCT((Inputs!$A$5:$A$170=$B60)*ISNUMBER(INDEX(Inputs!$K$5:$AJ$170,0,MATCH(AH$2,Inputs!$K$4:$AJ$4,0))))+SUMPRODUCT((Inputs!$C$5:$C$170=$B60)*ISNUMBER(INDEX(Inputs!$K$5:$AJ$170,0,MATCH(AH$2,Inputs!$K$4:$AJ$4,0))))+SUMPRODUCT((Inputs!$E$5:$E$170=$B60)*ISNUMBER(INDEX(Inputs!$K$5:$AJ$170,0,MATCH(AH$2,Inputs!$K$4:$AJ$4,0))))=0,NA(),SUMPRODUCT((Inputs!$A$5:$A$170=$B60)*Inputs!$B$5:$B$170*(((Inputs!$G$5:$G$170="moeda")+(Inputs!$G$5:$G$170="acoes"))*Inputs!$B$1+((Inputs!$G$5:$G$170&lt;&gt;"moeda")*(Inputs!$G$5:$G$170&lt;&gt;"acoes")))*INDEX(Inputs!$K$5:$AJ$170,0,MATCH(AH$2,Inputs!$K$4:$AJ$4,0)))+SUMPRODUCT((Inputs!$C$5:$C$170=$B60)*Inputs!$D$5:$D$170*(((Inputs!$G$5:$G$170="moeda")+(Inputs!$G$5:$G$170="acoes"))*Inputs!$B$1+((Inputs!$G$5:$G$170&lt;&gt;"moeda")*(Inputs!$G$5:$G$170&lt;&gt;"acoes")))*INDEX(Inputs!$K$5:$AJ$170,0,MATCH(AH$2,Inputs!$K$4:$AJ$4,0)))+SUMPRODUCT((Inputs!$E$5:$E$170=$B60)*Inputs!$F$5:$F$170*(((Inputs!$G$5:$G$170="moeda")+(Inputs!$G$5:$G$170="acoes"))*Inputs!$B$1+((Inputs!$G$5:$G$170&lt;&gt;"moeda")*(Inputs!$G$5:$G$170&lt;&gt;"acoes")))*INDEX(Inputs!$K$5:$AJ$170,0,MATCH(AH$2,Inputs!$K$4:$AJ$4,0)))))</f>
        <v>78220</v>
      </c>
      <c r="AI60" s="266">
        <f>IF(ISNA(MATCH(AI$2,Inputs!$K$4:$AJ$4,0)),NA(),IF(SUMPRODUCT((Inputs!$A$5:$A$170=$B60)*ISNUMBER(INDEX(Inputs!$K$5:$AJ$170,0,MATCH(AI$2,Inputs!$K$4:$AJ$4,0))))+SUMPRODUCT((Inputs!$C$5:$C$170=$B60)*ISNUMBER(INDEX(Inputs!$K$5:$AJ$170,0,MATCH(AI$2,Inputs!$K$4:$AJ$4,0))))+SUMPRODUCT((Inputs!$E$5:$E$170=$B60)*ISNUMBER(INDEX(Inputs!$K$5:$AJ$170,0,MATCH(AI$2,Inputs!$K$4:$AJ$4,0))))=0,NA(),SUMPRODUCT((Inputs!$A$5:$A$170=$B60)*Inputs!$B$5:$B$170*(((Inputs!$G$5:$G$170="moeda")+(Inputs!$G$5:$G$170="acoes"))*Inputs!$B$1+((Inputs!$G$5:$G$170&lt;&gt;"moeda")*(Inputs!$G$5:$G$170&lt;&gt;"acoes")))*INDEX(Inputs!$K$5:$AJ$170,0,MATCH(AI$2,Inputs!$K$4:$AJ$4,0)))+SUMPRODUCT((Inputs!$C$5:$C$170=$B60)*Inputs!$D$5:$D$170*(((Inputs!$G$5:$G$170="moeda")+(Inputs!$G$5:$G$170="acoes"))*Inputs!$B$1+((Inputs!$G$5:$G$170&lt;&gt;"moeda")*(Inputs!$G$5:$G$170&lt;&gt;"acoes")))*INDEX(Inputs!$K$5:$AJ$170,0,MATCH(AI$2,Inputs!$K$4:$AJ$4,0)))+SUMPRODUCT((Inputs!$E$5:$E$170=$B60)*Inputs!$F$5:$F$170*(((Inputs!$G$5:$G$170="moeda")+(Inputs!$G$5:$G$170="acoes"))*Inputs!$B$1+((Inputs!$G$5:$G$170&lt;&gt;"moeda")*(Inputs!$G$5:$G$170&lt;&gt;"acoes")))*INDEX(Inputs!$K$5:$AJ$170,0,MATCH(AI$2,Inputs!$K$4:$AJ$4,0)))))</f>
        <v>66025</v>
      </c>
      <c r="AJ60" s="266">
        <f>IF(ISNA(MATCH(AJ$2,Inputs!$K$4:$AJ$4,0)),NA(),IF(SUMPRODUCT((Inputs!$A$5:$A$170=$B60)*ISNUMBER(INDEX(Inputs!$K$5:$AJ$170,0,MATCH(AJ$2,Inputs!$K$4:$AJ$4,0))))+SUMPRODUCT((Inputs!$C$5:$C$170=$B60)*ISNUMBER(INDEX(Inputs!$K$5:$AJ$170,0,MATCH(AJ$2,Inputs!$K$4:$AJ$4,0))))+SUMPRODUCT((Inputs!$E$5:$E$170=$B60)*ISNUMBER(INDEX(Inputs!$K$5:$AJ$170,0,MATCH(AJ$2,Inputs!$K$4:$AJ$4,0))))=0,NA(),SUMPRODUCT((Inputs!$A$5:$A$170=$B60)*Inputs!$B$5:$B$170*(((Inputs!$G$5:$G$170="moeda")+(Inputs!$G$5:$G$170="acoes"))*Inputs!$B$1+((Inputs!$G$5:$G$170&lt;&gt;"moeda")*(Inputs!$G$5:$G$170&lt;&gt;"acoes")))*INDEX(Inputs!$K$5:$AJ$170,0,MATCH(AJ$2,Inputs!$K$4:$AJ$4,0)))+SUMPRODUCT((Inputs!$C$5:$C$170=$B60)*Inputs!$D$5:$D$170*(((Inputs!$G$5:$G$170="moeda")+(Inputs!$G$5:$G$170="acoes"))*Inputs!$B$1+((Inputs!$G$5:$G$170&lt;&gt;"moeda")*(Inputs!$G$5:$G$170&lt;&gt;"acoes")))*INDEX(Inputs!$K$5:$AJ$170,0,MATCH(AJ$2,Inputs!$K$4:$AJ$4,0)))+SUMPRODUCT((Inputs!$E$5:$E$170=$B60)*Inputs!$F$5:$F$170*(((Inputs!$G$5:$G$170="moeda")+(Inputs!$G$5:$G$170="acoes"))*Inputs!$B$1+((Inputs!$G$5:$G$170&lt;&gt;"moeda")*(Inputs!$G$5:$G$170&lt;&gt;"acoes")))*INDEX(Inputs!$K$5:$AJ$170,0,MATCH(AJ$2,Inputs!$K$4:$AJ$4,0)))))</f>
        <v>67978</v>
      </c>
      <c r="AK60" s="266">
        <f>IF(ISNA(MATCH(AK$2,Inputs!$K$4:$AJ$4,0)),NA(),IF(SUMPRODUCT((Inputs!$A$5:$A$170=$B60)*ISNUMBER(INDEX(Inputs!$K$5:$AJ$170,0,MATCH(AK$2,Inputs!$K$4:$AJ$4,0))))+SUMPRODUCT((Inputs!$C$5:$C$170=$B60)*ISNUMBER(INDEX(Inputs!$K$5:$AJ$170,0,MATCH(AK$2,Inputs!$K$4:$AJ$4,0))))+SUMPRODUCT((Inputs!$E$5:$E$170=$B60)*ISNUMBER(INDEX(Inputs!$K$5:$AJ$170,0,MATCH(AK$2,Inputs!$K$4:$AJ$4,0))))=0,NA(),SUMPRODUCT((Inputs!$A$5:$A$170=$B60)*Inputs!$B$5:$B$170*(((Inputs!$G$5:$G$170="moeda")+(Inputs!$G$5:$G$170="acoes"))*Inputs!$B$1+((Inputs!$G$5:$G$170&lt;&gt;"moeda")*(Inputs!$G$5:$G$170&lt;&gt;"acoes")))*INDEX(Inputs!$K$5:$AJ$170,0,MATCH(AK$2,Inputs!$K$4:$AJ$4,0)))+SUMPRODUCT((Inputs!$C$5:$C$170=$B60)*Inputs!$D$5:$D$170*(((Inputs!$G$5:$G$170="moeda")+(Inputs!$G$5:$G$170="acoes"))*Inputs!$B$1+((Inputs!$G$5:$G$170&lt;&gt;"moeda")*(Inputs!$G$5:$G$170&lt;&gt;"acoes")))*INDEX(Inputs!$K$5:$AJ$170,0,MATCH(AK$2,Inputs!$K$4:$AJ$4,0)))+SUMPRODUCT((Inputs!$E$5:$E$170=$B60)*Inputs!$F$5:$F$170*(((Inputs!$G$5:$G$170="moeda")+(Inputs!$G$5:$G$170="acoes"))*Inputs!$B$1+((Inputs!$G$5:$G$170&lt;&gt;"moeda")*(Inputs!$G$5:$G$170&lt;&gt;"acoes")))*INDEX(Inputs!$K$5:$AJ$170,0,MATCH(AK$2,Inputs!$K$4:$AJ$4,0)))))</f>
        <v>71219</v>
      </c>
      <c r="AL60" s="267">
        <f>AK60</f>
        <v>71219</v>
      </c>
    </row>
    <row r="61">
      <c r="B61" s="46" t="n">
        <v>53</v>
      </c>
      <c r="C61" s="29" t="inlineStr">
        <is>
          <t>RAC - frota media operacional Brasil (Op Data l.11)</t>
        </is>
      </c>
      <c r="D61" s="266">
        <f>IF(ISNA(MATCH(D$2,Inputs!$K$4:$AJ$4,0)),NA(),IF(SUMPRODUCT((Inputs!$A$5:$A$170=$B61)*ISNUMBER(INDEX(Inputs!$K$5:$AJ$170,0,MATCH(D$2,Inputs!$K$4:$AJ$4,0))))+SUMPRODUCT((Inputs!$C$5:$C$170=$B61)*ISNUMBER(INDEX(Inputs!$K$5:$AJ$170,0,MATCH(D$2,Inputs!$K$4:$AJ$4,0))))+SUMPRODUCT((Inputs!$E$5:$E$170=$B61)*ISNUMBER(INDEX(Inputs!$K$5:$AJ$170,0,MATCH(D$2,Inputs!$K$4:$AJ$4,0))))=0,NA(),SUMPRODUCT((Inputs!$A$5:$A$170=$B61)*Inputs!$B$5:$B$170*(((Inputs!$G$5:$G$170="moeda")+(Inputs!$G$5:$G$170="acoes"))*Inputs!$B$1+((Inputs!$G$5:$G$170&lt;&gt;"moeda")*(Inputs!$G$5:$G$170&lt;&gt;"acoes")))*INDEX(Inputs!$K$5:$AJ$170,0,MATCH(D$2,Inputs!$K$4:$AJ$4,0)))+SUMPRODUCT((Inputs!$C$5:$C$170=$B61)*Inputs!$D$5:$D$170*(((Inputs!$G$5:$G$170="moeda")+(Inputs!$G$5:$G$170="acoes"))*Inputs!$B$1+((Inputs!$G$5:$G$170&lt;&gt;"moeda")*(Inputs!$G$5:$G$170&lt;&gt;"acoes")))*INDEX(Inputs!$K$5:$AJ$170,0,MATCH(D$2,Inputs!$K$4:$AJ$4,0)))+SUMPRODUCT((Inputs!$E$5:$E$170=$B61)*Inputs!$F$5:$F$170*(((Inputs!$G$5:$G$170="moeda")+(Inputs!$G$5:$G$170="acoes"))*Inputs!$B$1+((Inputs!$G$5:$G$170&lt;&gt;"moeda")*(Inputs!$G$5:$G$170&lt;&gt;"acoes")))*INDEX(Inputs!$K$5:$AJ$170,0,MATCH(D$2,Inputs!$K$4:$AJ$4,0)))))</f>
        <v>64795.778</v>
      </c>
      <c r="E61" s="266">
        <f>IF(ISNA(MATCH(E$2,Inputs!$K$4:$AJ$4,0)),NA(),IF(SUMPRODUCT((Inputs!$A$5:$A$170=$B61)*ISNUMBER(INDEX(Inputs!$K$5:$AJ$170,0,MATCH(E$2,Inputs!$K$4:$AJ$4,0))))+SUMPRODUCT((Inputs!$C$5:$C$170=$B61)*ISNUMBER(INDEX(Inputs!$K$5:$AJ$170,0,MATCH(E$2,Inputs!$K$4:$AJ$4,0))))+SUMPRODUCT((Inputs!$E$5:$E$170=$B61)*ISNUMBER(INDEX(Inputs!$K$5:$AJ$170,0,MATCH(E$2,Inputs!$K$4:$AJ$4,0))))=0,NA(),SUMPRODUCT((Inputs!$A$5:$A$170=$B61)*Inputs!$B$5:$B$170*(((Inputs!$G$5:$G$170="moeda")+(Inputs!$G$5:$G$170="acoes"))*Inputs!$B$1+((Inputs!$G$5:$G$170&lt;&gt;"moeda")*(Inputs!$G$5:$G$170&lt;&gt;"acoes")))*INDEX(Inputs!$K$5:$AJ$170,0,MATCH(E$2,Inputs!$K$4:$AJ$4,0)))+SUMPRODUCT((Inputs!$C$5:$C$170=$B61)*Inputs!$D$5:$D$170*(((Inputs!$G$5:$G$170="moeda")+(Inputs!$G$5:$G$170="acoes"))*Inputs!$B$1+((Inputs!$G$5:$G$170&lt;&gt;"moeda")*(Inputs!$G$5:$G$170&lt;&gt;"acoes")))*INDEX(Inputs!$K$5:$AJ$170,0,MATCH(E$2,Inputs!$K$4:$AJ$4,0)))+SUMPRODUCT((Inputs!$E$5:$E$170=$B61)*Inputs!$F$5:$F$170*(((Inputs!$G$5:$G$170="moeda")+(Inputs!$G$5:$G$170="acoes"))*Inputs!$B$1+((Inputs!$G$5:$G$170&lt;&gt;"moeda")*(Inputs!$G$5:$G$170&lt;&gt;"acoes")))*INDEX(Inputs!$K$5:$AJ$170,0,MATCH(E$2,Inputs!$K$4:$AJ$4,0)))))</f>
        <v>63654.352</v>
      </c>
      <c r="F61" s="266">
        <f>IF(ISNA(MATCH(F$2,Inputs!$K$4:$AJ$4,0)),NA(),IF(SUMPRODUCT((Inputs!$A$5:$A$170=$B61)*ISNUMBER(INDEX(Inputs!$K$5:$AJ$170,0,MATCH(F$2,Inputs!$K$4:$AJ$4,0))))+SUMPRODUCT((Inputs!$C$5:$C$170=$B61)*ISNUMBER(INDEX(Inputs!$K$5:$AJ$170,0,MATCH(F$2,Inputs!$K$4:$AJ$4,0))))+SUMPRODUCT((Inputs!$E$5:$E$170=$B61)*ISNUMBER(INDEX(Inputs!$K$5:$AJ$170,0,MATCH(F$2,Inputs!$K$4:$AJ$4,0))))=0,NA(),SUMPRODUCT((Inputs!$A$5:$A$170=$B61)*Inputs!$B$5:$B$170*(((Inputs!$G$5:$G$170="moeda")+(Inputs!$G$5:$G$170="acoes"))*Inputs!$B$1+((Inputs!$G$5:$G$170&lt;&gt;"moeda")*(Inputs!$G$5:$G$170&lt;&gt;"acoes")))*INDEX(Inputs!$K$5:$AJ$170,0,MATCH(F$2,Inputs!$K$4:$AJ$4,0)))+SUMPRODUCT((Inputs!$C$5:$C$170=$B61)*Inputs!$D$5:$D$170*(((Inputs!$G$5:$G$170="moeda")+(Inputs!$G$5:$G$170="acoes"))*Inputs!$B$1+((Inputs!$G$5:$G$170&lt;&gt;"moeda")*(Inputs!$G$5:$G$170&lt;&gt;"acoes")))*INDEX(Inputs!$K$5:$AJ$170,0,MATCH(F$2,Inputs!$K$4:$AJ$4,0)))+SUMPRODUCT((Inputs!$E$5:$E$170=$B61)*Inputs!$F$5:$F$170*(((Inputs!$G$5:$G$170="moeda")+(Inputs!$G$5:$G$170="acoes"))*Inputs!$B$1+((Inputs!$G$5:$G$170&lt;&gt;"moeda")*(Inputs!$G$5:$G$170&lt;&gt;"acoes")))*INDEX(Inputs!$K$5:$AJ$170,0,MATCH(F$2,Inputs!$K$4:$AJ$4,0)))))</f>
        <v>67380.652</v>
      </c>
      <c r="G61" s="266">
        <f>IF(ISNA(MATCH(G$2,Inputs!$K$4:$AJ$4,0)),NA(),IF(SUMPRODUCT((Inputs!$A$5:$A$170=$B61)*ISNUMBER(INDEX(Inputs!$K$5:$AJ$170,0,MATCH(G$2,Inputs!$K$4:$AJ$4,0))))+SUMPRODUCT((Inputs!$C$5:$C$170=$B61)*ISNUMBER(INDEX(Inputs!$K$5:$AJ$170,0,MATCH(G$2,Inputs!$K$4:$AJ$4,0))))+SUMPRODUCT((Inputs!$E$5:$E$170=$B61)*ISNUMBER(INDEX(Inputs!$K$5:$AJ$170,0,MATCH(G$2,Inputs!$K$4:$AJ$4,0))))=0,NA(),SUMPRODUCT((Inputs!$A$5:$A$170=$B61)*Inputs!$B$5:$B$170*(((Inputs!$G$5:$G$170="moeda")+(Inputs!$G$5:$G$170="acoes"))*Inputs!$B$1+((Inputs!$G$5:$G$170&lt;&gt;"moeda")*(Inputs!$G$5:$G$170&lt;&gt;"acoes")))*INDEX(Inputs!$K$5:$AJ$170,0,MATCH(G$2,Inputs!$K$4:$AJ$4,0)))+SUMPRODUCT((Inputs!$C$5:$C$170=$B61)*Inputs!$D$5:$D$170*(((Inputs!$G$5:$G$170="moeda")+(Inputs!$G$5:$G$170="acoes"))*Inputs!$B$1+((Inputs!$G$5:$G$170&lt;&gt;"moeda")*(Inputs!$G$5:$G$170&lt;&gt;"acoes")))*INDEX(Inputs!$K$5:$AJ$170,0,MATCH(G$2,Inputs!$K$4:$AJ$4,0)))+SUMPRODUCT((Inputs!$E$5:$E$170=$B61)*Inputs!$F$5:$F$170*(((Inputs!$G$5:$G$170="moeda")+(Inputs!$G$5:$G$170="acoes"))*Inputs!$B$1+((Inputs!$G$5:$G$170&lt;&gt;"moeda")*(Inputs!$G$5:$G$170&lt;&gt;"acoes")))*INDEX(Inputs!$K$5:$AJ$170,0,MATCH(G$2,Inputs!$K$4:$AJ$4,0)))))</f>
        <v>70538.359</v>
      </c>
      <c r="H61" s="267" t="n"/>
      <c r="I61" s="266">
        <f>IF(ISNA(MATCH(I$2,Inputs!$K$4:$AJ$4,0)),NA(),IF(SUMPRODUCT((Inputs!$A$5:$A$170=$B61)*ISNUMBER(INDEX(Inputs!$K$5:$AJ$170,0,MATCH(I$2,Inputs!$K$4:$AJ$4,0))))+SUMPRODUCT((Inputs!$C$5:$C$170=$B61)*ISNUMBER(INDEX(Inputs!$K$5:$AJ$170,0,MATCH(I$2,Inputs!$K$4:$AJ$4,0))))+SUMPRODUCT((Inputs!$E$5:$E$170=$B61)*ISNUMBER(INDEX(Inputs!$K$5:$AJ$170,0,MATCH(I$2,Inputs!$K$4:$AJ$4,0))))=0,NA(),SUMPRODUCT((Inputs!$A$5:$A$170=$B61)*Inputs!$B$5:$B$170*(((Inputs!$G$5:$G$170="moeda")+(Inputs!$G$5:$G$170="acoes"))*Inputs!$B$1+((Inputs!$G$5:$G$170&lt;&gt;"moeda")*(Inputs!$G$5:$G$170&lt;&gt;"acoes")))*INDEX(Inputs!$K$5:$AJ$170,0,MATCH(I$2,Inputs!$K$4:$AJ$4,0)))+SUMPRODUCT((Inputs!$C$5:$C$170=$B61)*Inputs!$D$5:$D$170*(((Inputs!$G$5:$G$170="moeda")+(Inputs!$G$5:$G$170="acoes"))*Inputs!$B$1+((Inputs!$G$5:$G$170&lt;&gt;"moeda")*(Inputs!$G$5:$G$170&lt;&gt;"acoes")))*INDEX(Inputs!$K$5:$AJ$170,0,MATCH(I$2,Inputs!$K$4:$AJ$4,0)))+SUMPRODUCT((Inputs!$E$5:$E$170=$B61)*Inputs!$F$5:$F$170*(((Inputs!$G$5:$G$170="moeda")+(Inputs!$G$5:$G$170="acoes"))*Inputs!$B$1+((Inputs!$G$5:$G$170&lt;&gt;"moeda")*(Inputs!$G$5:$G$170&lt;&gt;"acoes")))*INDEX(Inputs!$K$5:$AJ$170,0,MATCH(I$2,Inputs!$K$4:$AJ$4,0)))))</f>
        <v>75286</v>
      </c>
      <c r="J61" s="266">
        <f>IF(ISNA(MATCH(J$2,Inputs!$K$4:$AJ$4,0)),NA(),IF(SUMPRODUCT((Inputs!$A$5:$A$170=$B61)*ISNUMBER(INDEX(Inputs!$K$5:$AJ$170,0,MATCH(J$2,Inputs!$K$4:$AJ$4,0))))+SUMPRODUCT((Inputs!$C$5:$C$170=$B61)*ISNUMBER(INDEX(Inputs!$K$5:$AJ$170,0,MATCH(J$2,Inputs!$K$4:$AJ$4,0))))+SUMPRODUCT((Inputs!$E$5:$E$170=$B61)*ISNUMBER(INDEX(Inputs!$K$5:$AJ$170,0,MATCH(J$2,Inputs!$K$4:$AJ$4,0))))=0,NA(),SUMPRODUCT((Inputs!$A$5:$A$170=$B61)*Inputs!$B$5:$B$170*(((Inputs!$G$5:$G$170="moeda")+(Inputs!$G$5:$G$170="acoes"))*Inputs!$B$1+((Inputs!$G$5:$G$170&lt;&gt;"moeda")*(Inputs!$G$5:$G$170&lt;&gt;"acoes")))*INDEX(Inputs!$K$5:$AJ$170,0,MATCH(J$2,Inputs!$K$4:$AJ$4,0)))+SUMPRODUCT((Inputs!$C$5:$C$170=$B61)*Inputs!$D$5:$D$170*(((Inputs!$G$5:$G$170="moeda")+(Inputs!$G$5:$G$170="acoes"))*Inputs!$B$1+((Inputs!$G$5:$G$170&lt;&gt;"moeda")*(Inputs!$G$5:$G$170&lt;&gt;"acoes")))*INDEX(Inputs!$K$5:$AJ$170,0,MATCH(J$2,Inputs!$K$4:$AJ$4,0)))+SUMPRODUCT((Inputs!$E$5:$E$170=$B61)*Inputs!$F$5:$F$170*(((Inputs!$G$5:$G$170="moeda")+(Inputs!$G$5:$G$170="acoes"))*Inputs!$B$1+((Inputs!$G$5:$G$170&lt;&gt;"moeda")*(Inputs!$G$5:$G$170&lt;&gt;"acoes")))*INDEX(Inputs!$K$5:$AJ$170,0,MATCH(J$2,Inputs!$K$4:$AJ$4,0)))))</f>
        <v>80205</v>
      </c>
      <c r="K61" s="266">
        <f>IF(ISNA(MATCH(K$2,Inputs!$K$4:$AJ$4,0)),NA(),IF(SUMPRODUCT((Inputs!$A$5:$A$170=$B61)*ISNUMBER(INDEX(Inputs!$K$5:$AJ$170,0,MATCH(K$2,Inputs!$K$4:$AJ$4,0))))+SUMPRODUCT((Inputs!$C$5:$C$170=$B61)*ISNUMBER(INDEX(Inputs!$K$5:$AJ$170,0,MATCH(K$2,Inputs!$K$4:$AJ$4,0))))+SUMPRODUCT((Inputs!$E$5:$E$170=$B61)*ISNUMBER(INDEX(Inputs!$K$5:$AJ$170,0,MATCH(K$2,Inputs!$K$4:$AJ$4,0))))=0,NA(),SUMPRODUCT((Inputs!$A$5:$A$170=$B61)*Inputs!$B$5:$B$170*(((Inputs!$G$5:$G$170="moeda")+(Inputs!$G$5:$G$170="acoes"))*Inputs!$B$1+((Inputs!$G$5:$G$170&lt;&gt;"moeda")*(Inputs!$G$5:$G$170&lt;&gt;"acoes")))*INDEX(Inputs!$K$5:$AJ$170,0,MATCH(K$2,Inputs!$K$4:$AJ$4,0)))+SUMPRODUCT((Inputs!$C$5:$C$170=$B61)*Inputs!$D$5:$D$170*(((Inputs!$G$5:$G$170="moeda")+(Inputs!$G$5:$G$170="acoes"))*Inputs!$B$1+((Inputs!$G$5:$G$170&lt;&gt;"moeda")*(Inputs!$G$5:$G$170&lt;&gt;"acoes")))*INDEX(Inputs!$K$5:$AJ$170,0,MATCH(K$2,Inputs!$K$4:$AJ$4,0)))+SUMPRODUCT((Inputs!$E$5:$E$170=$B61)*Inputs!$F$5:$F$170*(((Inputs!$G$5:$G$170="moeda")+(Inputs!$G$5:$G$170="acoes"))*Inputs!$B$1+((Inputs!$G$5:$G$170&lt;&gt;"moeda")*(Inputs!$G$5:$G$170&lt;&gt;"acoes")))*INDEX(Inputs!$K$5:$AJ$170,0,MATCH(K$2,Inputs!$K$4:$AJ$4,0)))))</f>
        <v>85151</v>
      </c>
      <c r="L61" s="266">
        <f>IF(ISNA(MATCH(L$2,Inputs!$K$4:$AJ$4,0)),NA(),IF(SUMPRODUCT((Inputs!$A$5:$A$170=$B61)*ISNUMBER(INDEX(Inputs!$K$5:$AJ$170,0,MATCH(L$2,Inputs!$K$4:$AJ$4,0))))+SUMPRODUCT((Inputs!$C$5:$C$170=$B61)*ISNUMBER(INDEX(Inputs!$K$5:$AJ$170,0,MATCH(L$2,Inputs!$K$4:$AJ$4,0))))+SUMPRODUCT((Inputs!$E$5:$E$170=$B61)*ISNUMBER(INDEX(Inputs!$K$5:$AJ$170,0,MATCH(L$2,Inputs!$K$4:$AJ$4,0))))=0,NA(),SUMPRODUCT((Inputs!$A$5:$A$170=$B61)*Inputs!$B$5:$B$170*(((Inputs!$G$5:$G$170="moeda")+(Inputs!$G$5:$G$170="acoes"))*Inputs!$B$1+((Inputs!$G$5:$G$170&lt;&gt;"moeda")*(Inputs!$G$5:$G$170&lt;&gt;"acoes")))*INDEX(Inputs!$K$5:$AJ$170,0,MATCH(L$2,Inputs!$K$4:$AJ$4,0)))+SUMPRODUCT((Inputs!$C$5:$C$170=$B61)*Inputs!$D$5:$D$170*(((Inputs!$G$5:$G$170="moeda")+(Inputs!$G$5:$G$170="acoes"))*Inputs!$B$1+((Inputs!$G$5:$G$170&lt;&gt;"moeda")*(Inputs!$G$5:$G$170&lt;&gt;"acoes")))*INDEX(Inputs!$K$5:$AJ$170,0,MATCH(L$2,Inputs!$K$4:$AJ$4,0)))+SUMPRODUCT((Inputs!$E$5:$E$170=$B61)*Inputs!$F$5:$F$170*(((Inputs!$G$5:$G$170="moeda")+(Inputs!$G$5:$G$170="acoes"))*Inputs!$B$1+((Inputs!$G$5:$G$170&lt;&gt;"moeda")*(Inputs!$G$5:$G$170&lt;&gt;"acoes")))*INDEX(Inputs!$K$5:$AJ$170,0,MATCH(L$2,Inputs!$K$4:$AJ$4,0)))))</f>
        <v>90852</v>
      </c>
      <c r="M61" s="267" t="n"/>
      <c r="N61" s="266">
        <f>IF(ISNA(MATCH(N$2,Inputs!$K$4:$AJ$4,0)),NA(),IF(SUMPRODUCT((Inputs!$A$5:$A$170=$B61)*ISNUMBER(INDEX(Inputs!$K$5:$AJ$170,0,MATCH(N$2,Inputs!$K$4:$AJ$4,0))))+SUMPRODUCT((Inputs!$C$5:$C$170=$B61)*ISNUMBER(INDEX(Inputs!$K$5:$AJ$170,0,MATCH(N$2,Inputs!$K$4:$AJ$4,0))))+SUMPRODUCT((Inputs!$E$5:$E$170=$B61)*ISNUMBER(INDEX(Inputs!$K$5:$AJ$170,0,MATCH(N$2,Inputs!$K$4:$AJ$4,0))))=0,NA(),SUMPRODUCT((Inputs!$A$5:$A$170=$B61)*Inputs!$B$5:$B$170*(((Inputs!$G$5:$G$170="moeda")+(Inputs!$G$5:$G$170="acoes"))*Inputs!$B$1+((Inputs!$G$5:$G$170&lt;&gt;"moeda")*(Inputs!$G$5:$G$170&lt;&gt;"acoes")))*INDEX(Inputs!$K$5:$AJ$170,0,MATCH(N$2,Inputs!$K$4:$AJ$4,0)))+SUMPRODUCT((Inputs!$C$5:$C$170=$B61)*Inputs!$D$5:$D$170*(((Inputs!$G$5:$G$170="moeda")+(Inputs!$G$5:$G$170="acoes"))*Inputs!$B$1+((Inputs!$G$5:$G$170&lt;&gt;"moeda")*(Inputs!$G$5:$G$170&lt;&gt;"acoes")))*INDEX(Inputs!$K$5:$AJ$170,0,MATCH(N$2,Inputs!$K$4:$AJ$4,0)))+SUMPRODUCT((Inputs!$E$5:$E$170=$B61)*Inputs!$F$5:$F$170*(((Inputs!$G$5:$G$170="moeda")+(Inputs!$G$5:$G$170="acoes"))*Inputs!$B$1+((Inputs!$G$5:$G$170&lt;&gt;"moeda")*(Inputs!$G$5:$G$170&lt;&gt;"acoes")))*INDEX(Inputs!$K$5:$AJ$170,0,MATCH(N$2,Inputs!$K$4:$AJ$4,0)))))</f>
        <v>88866.199</v>
      </c>
      <c r="O61" s="266">
        <f>IF(ISNA(MATCH(O$2,Inputs!$K$4:$AJ$4,0)),NA(),IF(SUMPRODUCT((Inputs!$A$5:$A$170=$B61)*ISNUMBER(INDEX(Inputs!$K$5:$AJ$170,0,MATCH(O$2,Inputs!$K$4:$AJ$4,0))))+SUMPRODUCT((Inputs!$C$5:$C$170=$B61)*ISNUMBER(INDEX(Inputs!$K$5:$AJ$170,0,MATCH(O$2,Inputs!$K$4:$AJ$4,0))))+SUMPRODUCT((Inputs!$E$5:$E$170=$B61)*ISNUMBER(INDEX(Inputs!$K$5:$AJ$170,0,MATCH(O$2,Inputs!$K$4:$AJ$4,0))))=0,NA(),SUMPRODUCT((Inputs!$A$5:$A$170=$B61)*Inputs!$B$5:$B$170*(((Inputs!$G$5:$G$170="moeda")+(Inputs!$G$5:$G$170="acoes"))*Inputs!$B$1+((Inputs!$G$5:$G$170&lt;&gt;"moeda")*(Inputs!$G$5:$G$170&lt;&gt;"acoes")))*INDEX(Inputs!$K$5:$AJ$170,0,MATCH(O$2,Inputs!$K$4:$AJ$4,0)))+SUMPRODUCT((Inputs!$C$5:$C$170=$B61)*Inputs!$D$5:$D$170*(((Inputs!$G$5:$G$170="moeda")+(Inputs!$G$5:$G$170="acoes"))*Inputs!$B$1+((Inputs!$G$5:$G$170&lt;&gt;"moeda")*(Inputs!$G$5:$G$170&lt;&gt;"acoes")))*INDEX(Inputs!$K$5:$AJ$170,0,MATCH(O$2,Inputs!$K$4:$AJ$4,0)))+SUMPRODUCT((Inputs!$E$5:$E$170=$B61)*Inputs!$F$5:$F$170*(((Inputs!$G$5:$G$170="moeda")+(Inputs!$G$5:$G$170="acoes"))*Inputs!$B$1+((Inputs!$G$5:$G$170&lt;&gt;"moeda")*(Inputs!$G$5:$G$170&lt;&gt;"acoes")))*INDEX(Inputs!$K$5:$AJ$170,0,MATCH(O$2,Inputs!$K$4:$AJ$4,0)))))</f>
        <v>82491</v>
      </c>
      <c r="P61" s="266">
        <f>IF(ISNA(MATCH(P$2,Inputs!$K$4:$AJ$4,0)),NA(),IF(SUMPRODUCT((Inputs!$A$5:$A$170=$B61)*ISNUMBER(INDEX(Inputs!$K$5:$AJ$170,0,MATCH(P$2,Inputs!$K$4:$AJ$4,0))))+SUMPRODUCT((Inputs!$C$5:$C$170=$B61)*ISNUMBER(INDEX(Inputs!$K$5:$AJ$170,0,MATCH(P$2,Inputs!$K$4:$AJ$4,0))))+SUMPRODUCT((Inputs!$E$5:$E$170=$B61)*ISNUMBER(INDEX(Inputs!$K$5:$AJ$170,0,MATCH(P$2,Inputs!$K$4:$AJ$4,0))))=0,NA(),SUMPRODUCT((Inputs!$A$5:$A$170=$B61)*Inputs!$B$5:$B$170*(((Inputs!$G$5:$G$170="moeda")+(Inputs!$G$5:$G$170="acoes"))*Inputs!$B$1+((Inputs!$G$5:$G$170&lt;&gt;"moeda")*(Inputs!$G$5:$G$170&lt;&gt;"acoes")))*INDEX(Inputs!$K$5:$AJ$170,0,MATCH(P$2,Inputs!$K$4:$AJ$4,0)))+SUMPRODUCT((Inputs!$C$5:$C$170=$B61)*Inputs!$D$5:$D$170*(((Inputs!$G$5:$G$170="moeda")+(Inputs!$G$5:$G$170="acoes"))*Inputs!$B$1+((Inputs!$G$5:$G$170&lt;&gt;"moeda")*(Inputs!$G$5:$G$170&lt;&gt;"acoes")))*INDEX(Inputs!$K$5:$AJ$170,0,MATCH(P$2,Inputs!$K$4:$AJ$4,0)))+SUMPRODUCT((Inputs!$E$5:$E$170=$B61)*Inputs!$F$5:$F$170*(((Inputs!$G$5:$G$170="moeda")+(Inputs!$G$5:$G$170="acoes"))*Inputs!$B$1+((Inputs!$G$5:$G$170&lt;&gt;"moeda")*(Inputs!$G$5:$G$170&lt;&gt;"acoes")))*INDEX(Inputs!$K$5:$AJ$170,0,MATCH(P$2,Inputs!$K$4:$AJ$4,0)))))</f>
        <v>79085.543</v>
      </c>
      <c r="Q61" s="266">
        <f>IF(ISNA(MATCH(Q$2,Inputs!$K$4:$AJ$4,0)),NA(),IF(SUMPRODUCT((Inputs!$A$5:$A$170=$B61)*ISNUMBER(INDEX(Inputs!$K$5:$AJ$170,0,MATCH(Q$2,Inputs!$K$4:$AJ$4,0))))+SUMPRODUCT((Inputs!$C$5:$C$170=$B61)*ISNUMBER(INDEX(Inputs!$K$5:$AJ$170,0,MATCH(Q$2,Inputs!$K$4:$AJ$4,0))))+SUMPRODUCT((Inputs!$E$5:$E$170=$B61)*ISNUMBER(INDEX(Inputs!$K$5:$AJ$170,0,MATCH(Q$2,Inputs!$K$4:$AJ$4,0))))=0,NA(),SUMPRODUCT((Inputs!$A$5:$A$170=$B61)*Inputs!$B$5:$B$170*(((Inputs!$G$5:$G$170="moeda")+(Inputs!$G$5:$G$170="acoes"))*Inputs!$B$1+((Inputs!$G$5:$G$170&lt;&gt;"moeda")*(Inputs!$G$5:$G$170&lt;&gt;"acoes")))*INDEX(Inputs!$K$5:$AJ$170,0,MATCH(Q$2,Inputs!$K$4:$AJ$4,0)))+SUMPRODUCT((Inputs!$C$5:$C$170=$B61)*Inputs!$D$5:$D$170*(((Inputs!$G$5:$G$170="moeda")+(Inputs!$G$5:$G$170="acoes"))*Inputs!$B$1+((Inputs!$G$5:$G$170&lt;&gt;"moeda")*(Inputs!$G$5:$G$170&lt;&gt;"acoes")))*INDEX(Inputs!$K$5:$AJ$170,0,MATCH(Q$2,Inputs!$K$4:$AJ$4,0)))+SUMPRODUCT((Inputs!$E$5:$E$170=$B61)*Inputs!$F$5:$F$170*(((Inputs!$G$5:$G$170="moeda")+(Inputs!$G$5:$G$170="acoes"))*Inputs!$B$1+((Inputs!$G$5:$G$170&lt;&gt;"moeda")*(Inputs!$G$5:$G$170&lt;&gt;"acoes")))*INDEX(Inputs!$K$5:$AJ$170,0,MATCH(Q$2,Inputs!$K$4:$AJ$4,0)))))</f>
        <v>81070.652</v>
      </c>
      <c r="R61" s="267" t="n"/>
      <c r="S61" s="266">
        <f>IF(ISNA(MATCH(S$2,Inputs!$K$4:$AJ$4,0)),NA(),IF(SUMPRODUCT((Inputs!$A$5:$A$170=$B61)*ISNUMBER(INDEX(Inputs!$K$5:$AJ$170,0,MATCH(S$2,Inputs!$K$4:$AJ$4,0))))+SUMPRODUCT((Inputs!$C$5:$C$170=$B61)*ISNUMBER(INDEX(Inputs!$K$5:$AJ$170,0,MATCH(S$2,Inputs!$K$4:$AJ$4,0))))+SUMPRODUCT((Inputs!$E$5:$E$170=$B61)*ISNUMBER(INDEX(Inputs!$K$5:$AJ$170,0,MATCH(S$2,Inputs!$K$4:$AJ$4,0))))=0,NA(),SUMPRODUCT((Inputs!$A$5:$A$170=$B61)*Inputs!$B$5:$B$170*(((Inputs!$G$5:$G$170="moeda")+(Inputs!$G$5:$G$170="acoes"))*Inputs!$B$1+((Inputs!$G$5:$G$170&lt;&gt;"moeda")*(Inputs!$G$5:$G$170&lt;&gt;"acoes")))*INDEX(Inputs!$K$5:$AJ$170,0,MATCH(S$2,Inputs!$K$4:$AJ$4,0)))+SUMPRODUCT((Inputs!$C$5:$C$170=$B61)*Inputs!$D$5:$D$170*(((Inputs!$G$5:$G$170="moeda")+(Inputs!$G$5:$G$170="acoes"))*Inputs!$B$1+((Inputs!$G$5:$G$170&lt;&gt;"moeda")*(Inputs!$G$5:$G$170&lt;&gt;"acoes")))*INDEX(Inputs!$K$5:$AJ$170,0,MATCH(S$2,Inputs!$K$4:$AJ$4,0)))+SUMPRODUCT((Inputs!$E$5:$E$170=$B61)*Inputs!$F$5:$F$170*(((Inputs!$G$5:$G$170="moeda")+(Inputs!$G$5:$G$170="acoes"))*Inputs!$B$1+((Inputs!$G$5:$G$170&lt;&gt;"moeda")*(Inputs!$G$5:$G$170&lt;&gt;"acoes")))*INDEX(Inputs!$K$5:$AJ$170,0,MATCH(S$2,Inputs!$K$4:$AJ$4,0)))))</f>
        <v>89703.462</v>
      </c>
      <c r="T61" s="266">
        <f>IF(ISNA(MATCH(T$2,Inputs!$K$4:$AJ$4,0)),NA(),IF(SUMPRODUCT((Inputs!$A$5:$A$170=$B61)*ISNUMBER(INDEX(Inputs!$K$5:$AJ$170,0,MATCH(T$2,Inputs!$K$4:$AJ$4,0))))+SUMPRODUCT((Inputs!$C$5:$C$170=$B61)*ISNUMBER(INDEX(Inputs!$K$5:$AJ$170,0,MATCH(T$2,Inputs!$K$4:$AJ$4,0))))+SUMPRODUCT((Inputs!$E$5:$E$170=$B61)*ISNUMBER(INDEX(Inputs!$K$5:$AJ$170,0,MATCH(T$2,Inputs!$K$4:$AJ$4,0))))=0,NA(),SUMPRODUCT((Inputs!$A$5:$A$170=$B61)*Inputs!$B$5:$B$170*(((Inputs!$G$5:$G$170="moeda")+(Inputs!$G$5:$G$170="acoes"))*Inputs!$B$1+((Inputs!$G$5:$G$170&lt;&gt;"moeda")*(Inputs!$G$5:$G$170&lt;&gt;"acoes")))*INDEX(Inputs!$K$5:$AJ$170,0,MATCH(T$2,Inputs!$K$4:$AJ$4,0)))+SUMPRODUCT((Inputs!$C$5:$C$170=$B61)*Inputs!$D$5:$D$170*(((Inputs!$G$5:$G$170="moeda")+(Inputs!$G$5:$G$170="acoes"))*Inputs!$B$1+((Inputs!$G$5:$G$170&lt;&gt;"moeda")*(Inputs!$G$5:$G$170&lt;&gt;"acoes")))*INDEX(Inputs!$K$5:$AJ$170,0,MATCH(T$2,Inputs!$K$4:$AJ$4,0)))+SUMPRODUCT((Inputs!$E$5:$E$170=$B61)*Inputs!$F$5:$F$170*(((Inputs!$G$5:$G$170="moeda")+(Inputs!$G$5:$G$170="acoes"))*Inputs!$B$1+((Inputs!$G$5:$G$170&lt;&gt;"moeda")*(Inputs!$G$5:$G$170&lt;&gt;"acoes")))*INDEX(Inputs!$K$5:$AJ$170,0,MATCH(T$2,Inputs!$K$4:$AJ$4,0)))))</f>
        <v>90071.198</v>
      </c>
      <c r="U61" s="266">
        <f>IF(ISNA(MATCH(U$2,Inputs!$K$4:$AJ$4,0)),NA(),IF(SUMPRODUCT((Inputs!$A$5:$A$170=$B61)*ISNUMBER(INDEX(Inputs!$K$5:$AJ$170,0,MATCH(U$2,Inputs!$K$4:$AJ$4,0))))+SUMPRODUCT((Inputs!$C$5:$C$170=$B61)*ISNUMBER(INDEX(Inputs!$K$5:$AJ$170,0,MATCH(U$2,Inputs!$K$4:$AJ$4,0))))+SUMPRODUCT((Inputs!$E$5:$E$170=$B61)*ISNUMBER(INDEX(Inputs!$K$5:$AJ$170,0,MATCH(U$2,Inputs!$K$4:$AJ$4,0))))=0,NA(),SUMPRODUCT((Inputs!$A$5:$A$170=$B61)*Inputs!$B$5:$B$170*(((Inputs!$G$5:$G$170="moeda")+(Inputs!$G$5:$G$170="acoes"))*Inputs!$B$1+((Inputs!$G$5:$G$170&lt;&gt;"moeda")*(Inputs!$G$5:$G$170&lt;&gt;"acoes")))*INDEX(Inputs!$K$5:$AJ$170,0,MATCH(U$2,Inputs!$K$4:$AJ$4,0)))+SUMPRODUCT((Inputs!$C$5:$C$170=$B61)*Inputs!$D$5:$D$170*(((Inputs!$G$5:$G$170="moeda")+(Inputs!$G$5:$G$170="acoes"))*Inputs!$B$1+((Inputs!$G$5:$G$170&lt;&gt;"moeda")*(Inputs!$G$5:$G$170&lt;&gt;"acoes")))*INDEX(Inputs!$K$5:$AJ$170,0,MATCH(U$2,Inputs!$K$4:$AJ$4,0)))+SUMPRODUCT((Inputs!$E$5:$E$170=$B61)*Inputs!$F$5:$F$170*(((Inputs!$G$5:$G$170="moeda")+(Inputs!$G$5:$G$170="acoes"))*Inputs!$B$1+((Inputs!$G$5:$G$170&lt;&gt;"moeda")*(Inputs!$G$5:$G$170&lt;&gt;"acoes")))*INDEX(Inputs!$K$5:$AJ$170,0,MATCH(U$2,Inputs!$K$4:$AJ$4,0)))))</f>
        <v>87264.217</v>
      </c>
      <c r="V61" s="266">
        <f>IF(ISNA(MATCH(V$2,Inputs!$K$4:$AJ$4,0)),NA(),IF(SUMPRODUCT((Inputs!$A$5:$A$170=$B61)*ISNUMBER(INDEX(Inputs!$K$5:$AJ$170,0,MATCH(V$2,Inputs!$K$4:$AJ$4,0))))+SUMPRODUCT((Inputs!$C$5:$C$170=$B61)*ISNUMBER(INDEX(Inputs!$K$5:$AJ$170,0,MATCH(V$2,Inputs!$K$4:$AJ$4,0))))+SUMPRODUCT((Inputs!$E$5:$E$170=$B61)*ISNUMBER(INDEX(Inputs!$K$5:$AJ$170,0,MATCH(V$2,Inputs!$K$4:$AJ$4,0))))=0,NA(),SUMPRODUCT((Inputs!$A$5:$A$170=$B61)*Inputs!$B$5:$B$170*(((Inputs!$G$5:$G$170="moeda")+(Inputs!$G$5:$G$170="acoes"))*Inputs!$B$1+((Inputs!$G$5:$G$170&lt;&gt;"moeda")*(Inputs!$G$5:$G$170&lt;&gt;"acoes")))*INDEX(Inputs!$K$5:$AJ$170,0,MATCH(V$2,Inputs!$K$4:$AJ$4,0)))+SUMPRODUCT((Inputs!$C$5:$C$170=$B61)*Inputs!$D$5:$D$170*(((Inputs!$G$5:$G$170="moeda")+(Inputs!$G$5:$G$170="acoes"))*Inputs!$B$1+((Inputs!$G$5:$G$170&lt;&gt;"moeda")*(Inputs!$G$5:$G$170&lt;&gt;"acoes")))*INDEX(Inputs!$K$5:$AJ$170,0,MATCH(V$2,Inputs!$K$4:$AJ$4,0)))+SUMPRODUCT((Inputs!$E$5:$E$170=$B61)*Inputs!$F$5:$F$170*(((Inputs!$G$5:$G$170="moeda")+(Inputs!$G$5:$G$170="acoes"))*Inputs!$B$1+((Inputs!$G$5:$G$170&lt;&gt;"moeda")*(Inputs!$G$5:$G$170&lt;&gt;"acoes")))*INDEX(Inputs!$K$5:$AJ$170,0,MATCH(V$2,Inputs!$K$4:$AJ$4,0)))))</f>
        <v>88526.512</v>
      </c>
      <c r="W61" s="267" t="n"/>
      <c r="X61" s="266">
        <f>IF(ISNA(MATCH(X$2,Inputs!$K$4:$AJ$4,0)),NA(),IF(SUMPRODUCT((Inputs!$A$5:$A$170=$B61)*ISNUMBER(INDEX(Inputs!$K$5:$AJ$170,0,MATCH(X$2,Inputs!$K$4:$AJ$4,0))))+SUMPRODUCT((Inputs!$C$5:$C$170=$B61)*ISNUMBER(INDEX(Inputs!$K$5:$AJ$170,0,MATCH(X$2,Inputs!$K$4:$AJ$4,0))))+SUMPRODUCT((Inputs!$E$5:$E$170=$B61)*ISNUMBER(INDEX(Inputs!$K$5:$AJ$170,0,MATCH(X$2,Inputs!$K$4:$AJ$4,0))))=0,NA(),SUMPRODUCT((Inputs!$A$5:$A$170=$B61)*Inputs!$B$5:$B$170*(((Inputs!$G$5:$G$170="moeda")+(Inputs!$G$5:$G$170="acoes"))*Inputs!$B$1+((Inputs!$G$5:$G$170&lt;&gt;"moeda")*(Inputs!$G$5:$G$170&lt;&gt;"acoes")))*INDEX(Inputs!$K$5:$AJ$170,0,MATCH(X$2,Inputs!$K$4:$AJ$4,0)))+SUMPRODUCT((Inputs!$C$5:$C$170=$B61)*Inputs!$D$5:$D$170*(((Inputs!$G$5:$G$170="moeda")+(Inputs!$G$5:$G$170="acoes"))*Inputs!$B$1+((Inputs!$G$5:$G$170&lt;&gt;"moeda")*(Inputs!$G$5:$G$170&lt;&gt;"acoes")))*INDEX(Inputs!$K$5:$AJ$170,0,MATCH(X$2,Inputs!$K$4:$AJ$4,0)))+SUMPRODUCT((Inputs!$E$5:$E$170=$B61)*Inputs!$F$5:$F$170*(((Inputs!$G$5:$G$170="moeda")+(Inputs!$G$5:$G$170="acoes"))*Inputs!$B$1+((Inputs!$G$5:$G$170&lt;&gt;"moeda")*(Inputs!$G$5:$G$170&lt;&gt;"acoes")))*INDEX(Inputs!$K$5:$AJ$170,0,MATCH(X$2,Inputs!$K$4:$AJ$4,0)))))</f>
        <v>95097.2</v>
      </c>
      <c r="Y61" s="266">
        <f>IF(ISNA(MATCH(Y$2,Inputs!$K$4:$AJ$4,0)),NA(),IF(SUMPRODUCT((Inputs!$A$5:$A$170=$B61)*ISNUMBER(INDEX(Inputs!$K$5:$AJ$170,0,MATCH(Y$2,Inputs!$K$4:$AJ$4,0))))+SUMPRODUCT((Inputs!$C$5:$C$170=$B61)*ISNUMBER(INDEX(Inputs!$K$5:$AJ$170,0,MATCH(Y$2,Inputs!$K$4:$AJ$4,0))))+SUMPRODUCT((Inputs!$E$5:$E$170=$B61)*ISNUMBER(INDEX(Inputs!$K$5:$AJ$170,0,MATCH(Y$2,Inputs!$K$4:$AJ$4,0))))=0,NA(),SUMPRODUCT((Inputs!$A$5:$A$170=$B61)*Inputs!$B$5:$B$170*(((Inputs!$G$5:$G$170="moeda")+(Inputs!$G$5:$G$170="acoes"))*Inputs!$B$1+((Inputs!$G$5:$G$170&lt;&gt;"moeda")*(Inputs!$G$5:$G$170&lt;&gt;"acoes")))*INDEX(Inputs!$K$5:$AJ$170,0,MATCH(Y$2,Inputs!$K$4:$AJ$4,0)))+SUMPRODUCT((Inputs!$C$5:$C$170=$B61)*Inputs!$D$5:$D$170*(((Inputs!$G$5:$G$170="moeda")+(Inputs!$G$5:$G$170="acoes"))*Inputs!$B$1+((Inputs!$G$5:$G$170&lt;&gt;"moeda")*(Inputs!$G$5:$G$170&lt;&gt;"acoes")))*INDEX(Inputs!$K$5:$AJ$170,0,MATCH(Y$2,Inputs!$K$4:$AJ$4,0)))+SUMPRODUCT((Inputs!$E$5:$E$170=$B61)*Inputs!$F$5:$F$170*(((Inputs!$G$5:$G$170="moeda")+(Inputs!$G$5:$G$170="acoes"))*Inputs!$B$1+((Inputs!$G$5:$G$170&lt;&gt;"moeda")*(Inputs!$G$5:$G$170&lt;&gt;"acoes")))*INDEX(Inputs!$K$5:$AJ$170,0,MATCH(Y$2,Inputs!$K$4:$AJ$4,0)))))</f>
        <v>91009.044</v>
      </c>
      <c r="Z61" s="266">
        <f>IF(ISNA(MATCH(Z$2,Inputs!$K$4:$AJ$4,0)),NA(),IF(SUMPRODUCT((Inputs!$A$5:$A$170=$B61)*ISNUMBER(INDEX(Inputs!$K$5:$AJ$170,0,MATCH(Z$2,Inputs!$K$4:$AJ$4,0))))+SUMPRODUCT((Inputs!$C$5:$C$170=$B61)*ISNUMBER(INDEX(Inputs!$K$5:$AJ$170,0,MATCH(Z$2,Inputs!$K$4:$AJ$4,0))))+SUMPRODUCT((Inputs!$E$5:$E$170=$B61)*ISNUMBER(INDEX(Inputs!$K$5:$AJ$170,0,MATCH(Z$2,Inputs!$K$4:$AJ$4,0))))=0,NA(),SUMPRODUCT((Inputs!$A$5:$A$170=$B61)*Inputs!$B$5:$B$170*(((Inputs!$G$5:$G$170="moeda")+(Inputs!$G$5:$G$170="acoes"))*Inputs!$B$1+((Inputs!$G$5:$G$170&lt;&gt;"moeda")*(Inputs!$G$5:$G$170&lt;&gt;"acoes")))*INDEX(Inputs!$K$5:$AJ$170,0,MATCH(Z$2,Inputs!$K$4:$AJ$4,0)))+SUMPRODUCT((Inputs!$C$5:$C$170=$B61)*Inputs!$D$5:$D$170*(((Inputs!$G$5:$G$170="moeda")+(Inputs!$G$5:$G$170="acoes"))*Inputs!$B$1+((Inputs!$G$5:$G$170&lt;&gt;"moeda")*(Inputs!$G$5:$G$170&lt;&gt;"acoes")))*INDEX(Inputs!$K$5:$AJ$170,0,MATCH(Z$2,Inputs!$K$4:$AJ$4,0)))+SUMPRODUCT((Inputs!$E$5:$E$170=$B61)*Inputs!$F$5:$F$170*(((Inputs!$G$5:$G$170="moeda")+(Inputs!$G$5:$G$170="acoes"))*Inputs!$B$1+((Inputs!$G$5:$G$170&lt;&gt;"moeda")*(Inputs!$G$5:$G$170&lt;&gt;"acoes")))*INDEX(Inputs!$K$5:$AJ$170,0,MATCH(Z$2,Inputs!$K$4:$AJ$4,0)))))</f>
        <v>92381.456</v>
      </c>
      <c r="AA61" s="266">
        <f>IF(ISNA(MATCH(AA$2,Inputs!$K$4:$AJ$4,0)),NA(),IF(SUMPRODUCT((Inputs!$A$5:$A$170=$B61)*ISNUMBER(INDEX(Inputs!$K$5:$AJ$170,0,MATCH(AA$2,Inputs!$K$4:$AJ$4,0))))+SUMPRODUCT((Inputs!$C$5:$C$170=$B61)*ISNUMBER(INDEX(Inputs!$K$5:$AJ$170,0,MATCH(AA$2,Inputs!$K$4:$AJ$4,0))))+SUMPRODUCT((Inputs!$E$5:$E$170=$B61)*ISNUMBER(INDEX(Inputs!$K$5:$AJ$170,0,MATCH(AA$2,Inputs!$K$4:$AJ$4,0))))=0,NA(),SUMPRODUCT((Inputs!$A$5:$A$170=$B61)*Inputs!$B$5:$B$170*(((Inputs!$G$5:$G$170="moeda")+(Inputs!$G$5:$G$170="acoes"))*Inputs!$B$1+((Inputs!$G$5:$G$170&lt;&gt;"moeda")*(Inputs!$G$5:$G$170&lt;&gt;"acoes")))*INDEX(Inputs!$K$5:$AJ$170,0,MATCH(AA$2,Inputs!$K$4:$AJ$4,0)))+SUMPRODUCT((Inputs!$C$5:$C$170=$B61)*Inputs!$D$5:$D$170*(((Inputs!$G$5:$G$170="moeda")+(Inputs!$G$5:$G$170="acoes"))*Inputs!$B$1+((Inputs!$G$5:$G$170&lt;&gt;"moeda")*(Inputs!$G$5:$G$170&lt;&gt;"acoes")))*INDEX(Inputs!$K$5:$AJ$170,0,MATCH(AA$2,Inputs!$K$4:$AJ$4,0)))+SUMPRODUCT((Inputs!$E$5:$E$170=$B61)*Inputs!$F$5:$F$170*(((Inputs!$G$5:$G$170="moeda")+(Inputs!$G$5:$G$170="acoes"))*Inputs!$B$1+((Inputs!$G$5:$G$170&lt;&gt;"moeda")*(Inputs!$G$5:$G$170&lt;&gt;"acoes")))*INDEX(Inputs!$K$5:$AJ$170,0,MATCH(AA$2,Inputs!$K$4:$AJ$4,0)))))</f>
        <v>96659.3292019581</v>
      </c>
      <c r="AB61" s="267" t="n"/>
      <c r="AC61" s="266">
        <f>IF(ISNA(MATCH(AC$2,Inputs!$K$4:$AJ$4,0)),NA(),IF(SUMPRODUCT((Inputs!$A$5:$A$170=$B61)*ISNUMBER(INDEX(Inputs!$K$5:$AJ$170,0,MATCH(AC$2,Inputs!$K$4:$AJ$4,0))))+SUMPRODUCT((Inputs!$C$5:$C$170=$B61)*ISNUMBER(INDEX(Inputs!$K$5:$AJ$170,0,MATCH(AC$2,Inputs!$K$4:$AJ$4,0))))+SUMPRODUCT((Inputs!$E$5:$E$170=$B61)*ISNUMBER(INDEX(Inputs!$K$5:$AJ$170,0,MATCH(AC$2,Inputs!$K$4:$AJ$4,0))))=0,NA(),SUMPRODUCT((Inputs!$A$5:$A$170=$B61)*Inputs!$B$5:$B$170*(((Inputs!$G$5:$G$170="moeda")+(Inputs!$G$5:$G$170="acoes"))*Inputs!$B$1+((Inputs!$G$5:$G$170&lt;&gt;"moeda")*(Inputs!$G$5:$G$170&lt;&gt;"acoes")))*INDEX(Inputs!$K$5:$AJ$170,0,MATCH(AC$2,Inputs!$K$4:$AJ$4,0)))+SUMPRODUCT((Inputs!$C$5:$C$170=$B61)*Inputs!$D$5:$D$170*(((Inputs!$G$5:$G$170="moeda")+(Inputs!$G$5:$G$170="acoes"))*Inputs!$B$1+((Inputs!$G$5:$G$170&lt;&gt;"moeda")*(Inputs!$G$5:$G$170&lt;&gt;"acoes")))*INDEX(Inputs!$K$5:$AJ$170,0,MATCH(AC$2,Inputs!$K$4:$AJ$4,0)))+SUMPRODUCT((Inputs!$E$5:$E$170=$B61)*Inputs!$F$5:$F$170*(((Inputs!$G$5:$G$170="moeda")+(Inputs!$G$5:$G$170="acoes"))*Inputs!$B$1+((Inputs!$G$5:$G$170&lt;&gt;"moeda")*(Inputs!$G$5:$G$170&lt;&gt;"acoes")))*INDEX(Inputs!$K$5:$AJ$170,0,MATCH(AC$2,Inputs!$K$4:$AJ$4,0)))))</f>
        <v>102753.805592588</v>
      </c>
      <c r="AD61" s="266">
        <f>IF(ISNA(MATCH(AD$2,Inputs!$K$4:$AJ$4,0)),NA(),IF(SUMPRODUCT((Inputs!$A$5:$A$170=$B61)*ISNUMBER(INDEX(Inputs!$K$5:$AJ$170,0,MATCH(AD$2,Inputs!$K$4:$AJ$4,0))))+SUMPRODUCT((Inputs!$C$5:$C$170=$B61)*ISNUMBER(INDEX(Inputs!$K$5:$AJ$170,0,MATCH(AD$2,Inputs!$K$4:$AJ$4,0))))+SUMPRODUCT((Inputs!$E$5:$E$170=$B61)*ISNUMBER(INDEX(Inputs!$K$5:$AJ$170,0,MATCH(AD$2,Inputs!$K$4:$AJ$4,0))))=0,NA(),SUMPRODUCT((Inputs!$A$5:$A$170=$B61)*Inputs!$B$5:$B$170*(((Inputs!$G$5:$G$170="moeda")+(Inputs!$G$5:$G$170="acoes"))*Inputs!$B$1+((Inputs!$G$5:$G$170&lt;&gt;"moeda")*(Inputs!$G$5:$G$170&lt;&gt;"acoes")))*INDEX(Inputs!$K$5:$AJ$170,0,MATCH(AD$2,Inputs!$K$4:$AJ$4,0)))+SUMPRODUCT((Inputs!$C$5:$C$170=$B61)*Inputs!$D$5:$D$170*(((Inputs!$G$5:$G$170="moeda")+(Inputs!$G$5:$G$170="acoes"))*Inputs!$B$1+((Inputs!$G$5:$G$170&lt;&gt;"moeda")*(Inputs!$G$5:$G$170&lt;&gt;"acoes")))*INDEX(Inputs!$K$5:$AJ$170,0,MATCH(AD$2,Inputs!$K$4:$AJ$4,0)))+SUMPRODUCT((Inputs!$E$5:$E$170=$B61)*Inputs!$F$5:$F$170*(((Inputs!$G$5:$G$170="moeda")+(Inputs!$G$5:$G$170="acoes"))*Inputs!$B$1+((Inputs!$G$5:$G$170&lt;&gt;"moeda")*(Inputs!$G$5:$G$170&lt;&gt;"acoes")))*INDEX(Inputs!$K$5:$AJ$170,0,MATCH(AD$2,Inputs!$K$4:$AJ$4,0)))))</f>
        <v>108816.420562521</v>
      </c>
      <c r="AE61" s="266" t="e">
        <f>IF(ISNA(MATCH(AE$2,Inputs!$K$4:$AJ$4,0)),NA(),IF(SUMPRODUCT((Inputs!$A$5:$A$170=$B61)*ISNUMBER(INDEX(Inputs!$K$5:$AJ$170,0,MATCH(AE$2,Inputs!$K$4:$AJ$4,0))))+SUMPRODUCT((Inputs!$C$5:$C$170=$B61)*ISNUMBER(INDEX(Inputs!$K$5:$AJ$170,0,MATCH(AE$2,Inputs!$K$4:$AJ$4,0))))+SUMPRODUCT((Inputs!$E$5:$E$170=$B61)*ISNUMBER(INDEX(Inputs!$K$5:$AJ$170,0,MATCH(AE$2,Inputs!$K$4:$AJ$4,0))))=0,NA(),SUMPRODUCT((Inputs!$A$5:$A$170=$B61)*Inputs!$B$5:$B$170*(((Inputs!$G$5:$G$170="moeda")+(Inputs!$G$5:$G$170="acoes"))*Inputs!$B$1+((Inputs!$G$5:$G$170&lt;&gt;"moeda")*(Inputs!$G$5:$G$170&lt;&gt;"acoes")))*INDEX(Inputs!$K$5:$AJ$170,0,MATCH(AE$2,Inputs!$K$4:$AJ$4,0)))+SUMPRODUCT((Inputs!$C$5:$C$170=$B61)*Inputs!$D$5:$D$170*(((Inputs!$G$5:$G$170="moeda")+(Inputs!$G$5:$G$170="acoes"))*Inputs!$B$1+((Inputs!$G$5:$G$170&lt;&gt;"moeda")*(Inputs!$G$5:$G$170&lt;&gt;"acoes")))*INDEX(Inputs!$K$5:$AJ$170,0,MATCH(AE$2,Inputs!$K$4:$AJ$4,0)))+SUMPRODUCT((Inputs!$E$5:$E$170=$B61)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1" s="266" t="e">
        <f>IF(ISNA(MATCH(AF$2,Inputs!$K$4:$AJ$4,0)),NA(),IF(SUMPRODUCT((Inputs!$A$5:$A$170=$B61)*ISNUMBER(INDEX(Inputs!$K$5:$AJ$170,0,MATCH(AF$2,Inputs!$K$4:$AJ$4,0))))+SUMPRODUCT((Inputs!$C$5:$C$170=$B61)*ISNUMBER(INDEX(Inputs!$K$5:$AJ$170,0,MATCH(AF$2,Inputs!$K$4:$AJ$4,0))))+SUMPRODUCT((Inputs!$E$5:$E$170=$B61)*ISNUMBER(INDEX(Inputs!$K$5:$AJ$170,0,MATCH(AF$2,Inputs!$K$4:$AJ$4,0))))=0,NA(),SUMPRODUCT((Inputs!$A$5:$A$170=$B61)*Inputs!$B$5:$B$170*(((Inputs!$G$5:$G$170="moeda")+(Inputs!$G$5:$G$170="acoes"))*Inputs!$B$1+((Inputs!$G$5:$G$170&lt;&gt;"moeda")*(Inputs!$G$5:$G$170&lt;&gt;"acoes")))*INDEX(Inputs!$K$5:$AJ$170,0,MATCH(AF$2,Inputs!$K$4:$AJ$4,0)))+SUMPRODUCT((Inputs!$C$5:$C$170=$B61)*Inputs!$D$5:$D$170*(((Inputs!$G$5:$G$170="moeda")+(Inputs!$G$5:$G$170="acoes"))*Inputs!$B$1+((Inputs!$G$5:$G$170&lt;&gt;"moeda")*(Inputs!$G$5:$G$170&lt;&gt;"acoes")))*INDEX(Inputs!$K$5:$AJ$170,0,MATCH(AF$2,Inputs!$K$4:$AJ$4,0)))+SUMPRODUCT((Inputs!$E$5:$E$170=$B61)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1" s="267" t="n"/>
      <c r="AH61" s="266">
        <f>IF(ISNA(MATCH(AH$2,Inputs!$K$4:$AJ$4,0)),NA(),IF(SUMPRODUCT((Inputs!$A$5:$A$170=$B61)*ISNUMBER(INDEX(Inputs!$K$5:$AJ$170,0,MATCH(AH$2,Inputs!$K$4:$AJ$4,0))))+SUMPRODUCT((Inputs!$C$5:$C$170=$B61)*ISNUMBER(INDEX(Inputs!$K$5:$AJ$170,0,MATCH(AH$2,Inputs!$K$4:$AJ$4,0))))+SUMPRODUCT((Inputs!$E$5:$E$170=$B61)*ISNUMBER(INDEX(Inputs!$K$5:$AJ$170,0,MATCH(AH$2,Inputs!$K$4:$AJ$4,0))))=0,NA(),SUMPRODUCT((Inputs!$A$5:$A$170=$B61)*Inputs!$B$5:$B$170*(((Inputs!$G$5:$G$170="moeda")+(Inputs!$G$5:$G$170="acoes"))*Inputs!$B$1+((Inputs!$G$5:$G$170&lt;&gt;"moeda")*(Inputs!$G$5:$G$170&lt;&gt;"acoes")))*INDEX(Inputs!$K$5:$AJ$170,0,MATCH(AH$2,Inputs!$K$4:$AJ$4,0)))+SUMPRODUCT((Inputs!$C$5:$C$170=$B61)*Inputs!$D$5:$D$170*(((Inputs!$G$5:$G$170="moeda")+(Inputs!$G$5:$G$170="acoes"))*Inputs!$B$1+((Inputs!$G$5:$G$170&lt;&gt;"moeda")*(Inputs!$G$5:$G$170&lt;&gt;"acoes")))*INDEX(Inputs!$K$5:$AJ$170,0,MATCH(AH$2,Inputs!$K$4:$AJ$4,0)))+SUMPRODUCT((Inputs!$E$5:$E$170=$B61)*Inputs!$F$5:$F$170*(((Inputs!$G$5:$G$170="moeda")+(Inputs!$G$5:$G$170="acoes"))*Inputs!$B$1+((Inputs!$G$5:$G$170&lt;&gt;"moeda")*(Inputs!$G$5:$G$170&lt;&gt;"acoes")))*INDEX(Inputs!$K$5:$AJ$170,0,MATCH(AH$2,Inputs!$K$4:$AJ$4,0)))))</f>
        <v>64923.505</v>
      </c>
      <c r="AI61" s="266">
        <f>IF(ISNA(MATCH(AI$2,Inputs!$K$4:$AJ$4,0)),NA(),IF(SUMPRODUCT((Inputs!$A$5:$A$170=$B61)*ISNUMBER(INDEX(Inputs!$K$5:$AJ$170,0,MATCH(AI$2,Inputs!$K$4:$AJ$4,0))))+SUMPRODUCT((Inputs!$C$5:$C$170=$B61)*ISNUMBER(INDEX(Inputs!$K$5:$AJ$170,0,MATCH(AI$2,Inputs!$K$4:$AJ$4,0))))+SUMPRODUCT((Inputs!$E$5:$E$170=$B61)*ISNUMBER(INDEX(Inputs!$K$5:$AJ$170,0,MATCH(AI$2,Inputs!$K$4:$AJ$4,0))))=0,NA(),SUMPRODUCT((Inputs!$A$5:$A$170=$B61)*Inputs!$B$5:$B$170*(((Inputs!$G$5:$G$170="moeda")+(Inputs!$G$5:$G$170="acoes"))*Inputs!$B$1+((Inputs!$G$5:$G$170&lt;&gt;"moeda")*(Inputs!$G$5:$G$170&lt;&gt;"acoes")))*INDEX(Inputs!$K$5:$AJ$170,0,MATCH(AI$2,Inputs!$K$4:$AJ$4,0)))+SUMPRODUCT((Inputs!$C$5:$C$170=$B61)*Inputs!$D$5:$D$170*(((Inputs!$G$5:$G$170="moeda")+(Inputs!$G$5:$G$170="acoes"))*Inputs!$B$1+((Inputs!$G$5:$G$170&lt;&gt;"moeda")*(Inputs!$G$5:$G$170&lt;&gt;"acoes")))*INDEX(Inputs!$K$5:$AJ$170,0,MATCH(AI$2,Inputs!$K$4:$AJ$4,0)))+SUMPRODUCT((Inputs!$E$5:$E$170=$B61)*Inputs!$F$5:$F$170*(((Inputs!$G$5:$G$170="moeda")+(Inputs!$G$5:$G$170="acoes"))*Inputs!$B$1+((Inputs!$G$5:$G$170&lt;&gt;"moeda")*(Inputs!$G$5:$G$170&lt;&gt;"acoes")))*INDEX(Inputs!$K$5:$AJ$170,0,MATCH(AI$2,Inputs!$K$4:$AJ$4,0)))))</f>
        <v>50952.352</v>
      </c>
      <c r="AJ61" s="266">
        <f>IF(ISNA(MATCH(AJ$2,Inputs!$K$4:$AJ$4,0)),NA(),IF(SUMPRODUCT((Inputs!$A$5:$A$170=$B61)*ISNUMBER(INDEX(Inputs!$K$5:$AJ$170,0,MATCH(AJ$2,Inputs!$K$4:$AJ$4,0))))+SUMPRODUCT((Inputs!$C$5:$C$170=$B61)*ISNUMBER(INDEX(Inputs!$K$5:$AJ$170,0,MATCH(AJ$2,Inputs!$K$4:$AJ$4,0))))+SUMPRODUCT((Inputs!$E$5:$E$170=$B61)*ISNUMBER(INDEX(Inputs!$K$5:$AJ$170,0,MATCH(AJ$2,Inputs!$K$4:$AJ$4,0))))=0,NA(),SUMPRODUCT((Inputs!$A$5:$A$170=$B61)*Inputs!$B$5:$B$170*(((Inputs!$G$5:$G$170="moeda")+(Inputs!$G$5:$G$170="acoes"))*Inputs!$B$1+((Inputs!$G$5:$G$170&lt;&gt;"moeda")*(Inputs!$G$5:$G$170&lt;&gt;"acoes")))*INDEX(Inputs!$K$5:$AJ$170,0,MATCH(AJ$2,Inputs!$K$4:$AJ$4,0)))+SUMPRODUCT((Inputs!$C$5:$C$170=$B61)*Inputs!$D$5:$D$170*(((Inputs!$G$5:$G$170="moeda")+(Inputs!$G$5:$G$170="acoes"))*Inputs!$B$1+((Inputs!$G$5:$G$170&lt;&gt;"moeda")*(Inputs!$G$5:$G$170&lt;&gt;"acoes")))*INDEX(Inputs!$K$5:$AJ$170,0,MATCH(AJ$2,Inputs!$K$4:$AJ$4,0)))+SUMPRODUCT((Inputs!$E$5:$E$170=$B61)*Inputs!$F$5:$F$170*(((Inputs!$G$5:$G$170="moeda")+(Inputs!$G$5:$G$170="acoes"))*Inputs!$B$1+((Inputs!$G$5:$G$170&lt;&gt;"moeda")*(Inputs!$G$5:$G$170&lt;&gt;"acoes")))*INDEX(Inputs!$K$5:$AJ$170,0,MATCH(AJ$2,Inputs!$K$4:$AJ$4,0)))))</f>
        <v>56268.902</v>
      </c>
      <c r="AK61" s="266">
        <f>IF(ISNA(MATCH(AK$2,Inputs!$K$4:$AJ$4,0)),NA(),IF(SUMPRODUCT((Inputs!$A$5:$A$170=$B61)*ISNUMBER(INDEX(Inputs!$K$5:$AJ$170,0,MATCH(AK$2,Inputs!$K$4:$AJ$4,0))))+SUMPRODUCT((Inputs!$C$5:$C$170=$B61)*ISNUMBER(INDEX(Inputs!$K$5:$AJ$170,0,MATCH(AK$2,Inputs!$K$4:$AJ$4,0))))+SUMPRODUCT((Inputs!$E$5:$E$170=$B61)*ISNUMBER(INDEX(Inputs!$K$5:$AJ$170,0,MATCH(AK$2,Inputs!$K$4:$AJ$4,0))))=0,NA(),SUMPRODUCT((Inputs!$A$5:$A$170=$B61)*Inputs!$B$5:$B$170*(((Inputs!$G$5:$G$170="moeda")+(Inputs!$G$5:$G$170="acoes"))*Inputs!$B$1+((Inputs!$G$5:$G$170&lt;&gt;"moeda")*(Inputs!$G$5:$G$170&lt;&gt;"acoes")))*INDEX(Inputs!$K$5:$AJ$170,0,MATCH(AK$2,Inputs!$K$4:$AJ$4,0)))+SUMPRODUCT((Inputs!$C$5:$C$170=$B61)*Inputs!$D$5:$D$170*(((Inputs!$G$5:$G$170="moeda")+(Inputs!$G$5:$G$170="acoes"))*Inputs!$B$1+((Inputs!$G$5:$G$170&lt;&gt;"moeda")*(Inputs!$G$5:$G$170&lt;&gt;"acoes")))*INDEX(Inputs!$K$5:$AJ$170,0,MATCH(AK$2,Inputs!$K$4:$AJ$4,0)))+SUMPRODUCT((Inputs!$E$5:$E$170=$B61)*Inputs!$F$5:$F$170*(((Inputs!$G$5:$G$170="moeda")+(Inputs!$G$5:$G$170="acoes"))*Inputs!$B$1+((Inputs!$G$5:$G$170&lt;&gt;"moeda")*(Inputs!$G$5:$G$170&lt;&gt;"acoes")))*INDEX(Inputs!$K$5:$AJ$170,0,MATCH(AK$2,Inputs!$K$4:$AJ$4,0)))))</f>
        <v>59810.63</v>
      </c>
      <c r="AL61" s="267" t="n"/>
    </row>
    <row r="62">
      <c r="B62" s="46" t="n">
        <v>54</v>
      </c>
      <c r="C62" s="29" t="inlineStr">
        <is>
          <t>RAC - frota media alugada (Op Data l.13)</t>
        </is>
      </c>
      <c r="D62" s="266">
        <f>IF(ISNA(MATCH(D$2,Inputs!$K$4:$AJ$4,0)),NA(),IF(SUMPRODUCT((Inputs!$A$5:$A$170=$B62)*ISNUMBER(INDEX(Inputs!$K$5:$AJ$170,0,MATCH(D$2,Inputs!$K$4:$AJ$4,0))))+SUMPRODUCT((Inputs!$C$5:$C$170=$B62)*ISNUMBER(INDEX(Inputs!$K$5:$AJ$170,0,MATCH(D$2,Inputs!$K$4:$AJ$4,0))))+SUMPRODUCT((Inputs!$E$5:$E$170=$B62)*ISNUMBER(INDEX(Inputs!$K$5:$AJ$170,0,MATCH(D$2,Inputs!$K$4:$AJ$4,0))))=0,NA(),SUMPRODUCT((Inputs!$A$5:$A$170=$B62)*Inputs!$B$5:$B$170*(((Inputs!$G$5:$G$170="moeda")+(Inputs!$G$5:$G$170="acoes"))*Inputs!$B$1+((Inputs!$G$5:$G$170&lt;&gt;"moeda")*(Inputs!$G$5:$G$170&lt;&gt;"acoes")))*INDEX(Inputs!$K$5:$AJ$170,0,MATCH(D$2,Inputs!$K$4:$AJ$4,0)))+SUMPRODUCT((Inputs!$C$5:$C$170=$B62)*Inputs!$D$5:$D$170*(((Inputs!$G$5:$G$170="moeda")+(Inputs!$G$5:$G$170="acoes"))*Inputs!$B$1+((Inputs!$G$5:$G$170&lt;&gt;"moeda")*(Inputs!$G$5:$G$170&lt;&gt;"acoes")))*INDEX(Inputs!$K$5:$AJ$170,0,MATCH(D$2,Inputs!$K$4:$AJ$4,0)))+SUMPRODUCT((Inputs!$E$5:$E$170=$B62)*Inputs!$F$5:$F$170*(((Inputs!$G$5:$G$170="moeda")+(Inputs!$G$5:$G$170="acoes"))*Inputs!$B$1+((Inputs!$G$5:$G$170&lt;&gt;"moeda")*(Inputs!$G$5:$G$170&lt;&gt;"acoes")))*INDEX(Inputs!$K$5:$AJ$170,0,MATCH(D$2,Inputs!$K$4:$AJ$4,0)))))</f>
        <v>51370.093</v>
      </c>
      <c r="E62" s="266">
        <f>IF(ISNA(MATCH(E$2,Inputs!$K$4:$AJ$4,0)),NA(),IF(SUMPRODUCT((Inputs!$A$5:$A$170=$B62)*ISNUMBER(INDEX(Inputs!$K$5:$AJ$170,0,MATCH(E$2,Inputs!$K$4:$AJ$4,0))))+SUMPRODUCT((Inputs!$C$5:$C$170=$B62)*ISNUMBER(INDEX(Inputs!$K$5:$AJ$170,0,MATCH(E$2,Inputs!$K$4:$AJ$4,0))))+SUMPRODUCT((Inputs!$E$5:$E$170=$B62)*ISNUMBER(INDEX(Inputs!$K$5:$AJ$170,0,MATCH(E$2,Inputs!$K$4:$AJ$4,0))))=0,NA(),SUMPRODUCT((Inputs!$A$5:$A$170=$B62)*Inputs!$B$5:$B$170*(((Inputs!$G$5:$G$170="moeda")+(Inputs!$G$5:$G$170="acoes"))*Inputs!$B$1+((Inputs!$G$5:$G$170&lt;&gt;"moeda")*(Inputs!$G$5:$G$170&lt;&gt;"acoes")))*INDEX(Inputs!$K$5:$AJ$170,0,MATCH(E$2,Inputs!$K$4:$AJ$4,0)))+SUMPRODUCT((Inputs!$C$5:$C$170=$B62)*Inputs!$D$5:$D$170*(((Inputs!$G$5:$G$170="moeda")+(Inputs!$G$5:$G$170="acoes"))*Inputs!$B$1+((Inputs!$G$5:$G$170&lt;&gt;"moeda")*(Inputs!$G$5:$G$170&lt;&gt;"acoes")))*INDEX(Inputs!$K$5:$AJ$170,0,MATCH(E$2,Inputs!$K$4:$AJ$4,0)))+SUMPRODUCT((Inputs!$E$5:$E$170=$B62)*Inputs!$F$5:$F$170*(((Inputs!$G$5:$G$170="moeda")+(Inputs!$G$5:$G$170="acoes"))*Inputs!$B$1+((Inputs!$G$5:$G$170&lt;&gt;"moeda")*(Inputs!$G$5:$G$170&lt;&gt;"acoes")))*INDEX(Inputs!$K$5:$AJ$170,0,MATCH(E$2,Inputs!$K$4:$AJ$4,0)))))</f>
        <v>50671.055</v>
      </c>
      <c r="F62" s="266">
        <f>IF(ISNA(MATCH(F$2,Inputs!$K$4:$AJ$4,0)),NA(),IF(SUMPRODUCT((Inputs!$A$5:$A$170=$B62)*ISNUMBER(INDEX(Inputs!$K$5:$AJ$170,0,MATCH(F$2,Inputs!$K$4:$AJ$4,0))))+SUMPRODUCT((Inputs!$C$5:$C$170=$B62)*ISNUMBER(INDEX(Inputs!$K$5:$AJ$170,0,MATCH(F$2,Inputs!$K$4:$AJ$4,0))))+SUMPRODUCT((Inputs!$E$5:$E$170=$B62)*ISNUMBER(INDEX(Inputs!$K$5:$AJ$170,0,MATCH(F$2,Inputs!$K$4:$AJ$4,0))))=0,NA(),SUMPRODUCT((Inputs!$A$5:$A$170=$B62)*Inputs!$B$5:$B$170*(((Inputs!$G$5:$G$170="moeda")+(Inputs!$G$5:$G$170="acoes"))*Inputs!$B$1+((Inputs!$G$5:$G$170&lt;&gt;"moeda")*(Inputs!$G$5:$G$170&lt;&gt;"acoes")))*INDEX(Inputs!$K$5:$AJ$170,0,MATCH(F$2,Inputs!$K$4:$AJ$4,0)))+SUMPRODUCT((Inputs!$C$5:$C$170=$B62)*Inputs!$D$5:$D$170*(((Inputs!$G$5:$G$170="moeda")+(Inputs!$G$5:$G$170="acoes"))*Inputs!$B$1+((Inputs!$G$5:$G$170&lt;&gt;"moeda")*(Inputs!$G$5:$G$170&lt;&gt;"acoes")))*INDEX(Inputs!$K$5:$AJ$170,0,MATCH(F$2,Inputs!$K$4:$AJ$4,0)))+SUMPRODUCT((Inputs!$E$5:$E$170=$B62)*Inputs!$F$5:$F$170*(((Inputs!$G$5:$G$170="moeda")+(Inputs!$G$5:$G$170="acoes"))*Inputs!$B$1+((Inputs!$G$5:$G$170&lt;&gt;"moeda")*(Inputs!$G$5:$G$170&lt;&gt;"acoes")))*INDEX(Inputs!$K$5:$AJ$170,0,MATCH(F$2,Inputs!$K$4:$AJ$4,0)))))</f>
        <v>55849.469</v>
      </c>
      <c r="G62" s="266">
        <f>IF(ISNA(MATCH(G$2,Inputs!$K$4:$AJ$4,0)),NA(),IF(SUMPRODUCT((Inputs!$A$5:$A$170=$B62)*ISNUMBER(INDEX(Inputs!$K$5:$AJ$170,0,MATCH(G$2,Inputs!$K$4:$AJ$4,0))))+SUMPRODUCT((Inputs!$C$5:$C$170=$B62)*ISNUMBER(INDEX(Inputs!$K$5:$AJ$170,0,MATCH(G$2,Inputs!$K$4:$AJ$4,0))))+SUMPRODUCT((Inputs!$E$5:$E$170=$B62)*ISNUMBER(INDEX(Inputs!$K$5:$AJ$170,0,MATCH(G$2,Inputs!$K$4:$AJ$4,0))))=0,NA(),SUMPRODUCT((Inputs!$A$5:$A$170=$B62)*Inputs!$B$5:$B$170*(((Inputs!$G$5:$G$170="moeda")+(Inputs!$G$5:$G$170="acoes"))*Inputs!$B$1+((Inputs!$G$5:$G$170&lt;&gt;"moeda")*(Inputs!$G$5:$G$170&lt;&gt;"acoes")))*INDEX(Inputs!$K$5:$AJ$170,0,MATCH(G$2,Inputs!$K$4:$AJ$4,0)))+SUMPRODUCT((Inputs!$C$5:$C$170=$B62)*Inputs!$D$5:$D$170*(((Inputs!$G$5:$G$170="moeda")+(Inputs!$G$5:$G$170="acoes"))*Inputs!$B$1+((Inputs!$G$5:$G$170&lt;&gt;"moeda")*(Inputs!$G$5:$G$170&lt;&gt;"acoes")))*INDEX(Inputs!$K$5:$AJ$170,0,MATCH(G$2,Inputs!$K$4:$AJ$4,0)))+SUMPRODUCT((Inputs!$E$5:$E$170=$B62)*Inputs!$F$5:$F$170*(((Inputs!$G$5:$G$170="moeda")+(Inputs!$G$5:$G$170="acoes"))*Inputs!$B$1+((Inputs!$G$5:$G$170&lt;&gt;"moeda")*(Inputs!$G$5:$G$170&lt;&gt;"acoes")))*INDEX(Inputs!$K$5:$AJ$170,0,MATCH(G$2,Inputs!$K$4:$AJ$4,0)))))</f>
        <v>57025.126</v>
      </c>
      <c r="H62" s="267" t="n"/>
      <c r="I62" s="266">
        <f>IF(ISNA(MATCH(I$2,Inputs!$K$4:$AJ$4,0)),NA(),IF(SUMPRODUCT((Inputs!$A$5:$A$170=$B62)*ISNUMBER(INDEX(Inputs!$K$5:$AJ$170,0,MATCH(I$2,Inputs!$K$4:$AJ$4,0))))+SUMPRODUCT((Inputs!$C$5:$C$170=$B62)*ISNUMBER(INDEX(Inputs!$K$5:$AJ$170,0,MATCH(I$2,Inputs!$K$4:$AJ$4,0))))+SUMPRODUCT((Inputs!$E$5:$E$170=$B62)*ISNUMBER(INDEX(Inputs!$K$5:$AJ$170,0,MATCH(I$2,Inputs!$K$4:$AJ$4,0))))=0,NA(),SUMPRODUCT((Inputs!$A$5:$A$170=$B62)*Inputs!$B$5:$B$170*(((Inputs!$G$5:$G$170="moeda")+(Inputs!$G$5:$G$170="acoes"))*Inputs!$B$1+((Inputs!$G$5:$G$170&lt;&gt;"moeda")*(Inputs!$G$5:$G$170&lt;&gt;"acoes")))*INDEX(Inputs!$K$5:$AJ$170,0,MATCH(I$2,Inputs!$K$4:$AJ$4,0)))+SUMPRODUCT((Inputs!$C$5:$C$170=$B62)*Inputs!$D$5:$D$170*(((Inputs!$G$5:$G$170="moeda")+(Inputs!$G$5:$G$170="acoes"))*Inputs!$B$1+((Inputs!$G$5:$G$170&lt;&gt;"moeda")*(Inputs!$G$5:$G$170&lt;&gt;"acoes")))*INDEX(Inputs!$K$5:$AJ$170,0,MATCH(I$2,Inputs!$K$4:$AJ$4,0)))+SUMPRODUCT((Inputs!$E$5:$E$170=$B62)*Inputs!$F$5:$F$170*(((Inputs!$G$5:$G$170="moeda")+(Inputs!$G$5:$G$170="acoes"))*Inputs!$B$1+((Inputs!$G$5:$G$170&lt;&gt;"moeda")*(Inputs!$G$5:$G$170&lt;&gt;"acoes")))*INDEX(Inputs!$K$5:$AJ$170,0,MATCH(I$2,Inputs!$K$4:$AJ$4,0)))))</f>
        <v>57280.098</v>
      </c>
      <c r="J62" s="266">
        <f>IF(ISNA(MATCH(J$2,Inputs!$K$4:$AJ$4,0)),NA(),IF(SUMPRODUCT((Inputs!$A$5:$A$170=$B62)*ISNUMBER(INDEX(Inputs!$K$5:$AJ$170,0,MATCH(J$2,Inputs!$K$4:$AJ$4,0))))+SUMPRODUCT((Inputs!$C$5:$C$170=$B62)*ISNUMBER(INDEX(Inputs!$K$5:$AJ$170,0,MATCH(J$2,Inputs!$K$4:$AJ$4,0))))+SUMPRODUCT((Inputs!$E$5:$E$170=$B62)*ISNUMBER(INDEX(Inputs!$K$5:$AJ$170,0,MATCH(J$2,Inputs!$K$4:$AJ$4,0))))=0,NA(),SUMPRODUCT((Inputs!$A$5:$A$170=$B62)*Inputs!$B$5:$B$170*(((Inputs!$G$5:$G$170="moeda")+(Inputs!$G$5:$G$170="acoes"))*Inputs!$B$1+((Inputs!$G$5:$G$170&lt;&gt;"moeda")*(Inputs!$G$5:$G$170&lt;&gt;"acoes")))*INDEX(Inputs!$K$5:$AJ$170,0,MATCH(J$2,Inputs!$K$4:$AJ$4,0)))+SUMPRODUCT((Inputs!$C$5:$C$170=$B62)*Inputs!$D$5:$D$170*(((Inputs!$G$5:$G$170="moeda")+(Inputs!$G$5:$G$170="acoes"))*Inputs!$B$1+((Inputs!$G$5:$G$170&lt;&gt;"moeda")*(Inputs!$G$5:$G$170&lt;&gt;"acoes")))*INDEX(Inputs!$K$5:$AJ$170,0,MATCH(J$2,Inputs!$K$4:$AJ$4,0)))+SUMPRODUCT((Inputs!$E$5:$E$170=$B62)*Inputs!$F$5:$F$170*(((Inputs!$G$5:$G$170="moeda")+(Inputs!$G$5:$G$170="acoes"))*Inputs!$B$1+((Inputs!$G$5:$G$170&lt;&gt;"moeda")*(Inputs!$G$5:$G$170&lt;&gt;"acoes")))*INDEX(Inputs!$K$5:$AJ$170,0,MATCH(J$2,Inputs!$K$4:$AJ$4,0)))))</f>
        <v>63642.042</v>
      </c>
      <c r="K62" s="266">
        <f>IF(ISNA(MATCH(K$2,Inputs!$K$4:$AJ$4,0)),NA(),IF(SUMPRODUCT((Inputs!$A$5:$A$170=$B62)*ISNUMBER(INDEX(Inputs!$K$5:$AJ$170,0,MATCH(K$2,Inputs!$K$4:$AJ$4,0))))+SUMPRODUCT((Inputs!$C$5:$C$170=$B62)*ISNUMBER(INDEX(Inputs!$K$5:$AJ$170,0,MATCH(K$2,Inputs!$K$4:$AJ$4,0))))+SUMPRODUCT((Inputs!$E$5:$E$170=$B62)*ISNUMBER(INDEX(Inputs!$K$5:$AJ$170,0,MATCH(K$2,Inputs!$K$4:$AJ$4,0))))=0,NA(),SUMPRODUCT((Inputs!$A$5:$A$170=$B62)*Inputs!$B$5:$B$170*(((Inputs!$G$5:$G$170="moeda")+(Inputs!$G$5:$G$170="acoes"))*Inputs!$B$1+((Inputs!$G$5:$G$170&lt;&gt;"moeda")*(Inputs!$G$5:$G$170&lt;&gt;"acoes")))*INDEX(Inputs!$K$5:$AJ$170,0,MATCH(K$2,Inputs!$K$4:$AJ$4,0)))+SUMPRODUCT((Inputs!$C$5:$C$170=$B62)*Inputs!$D$5:$D$170*(((Inputs!$G$5:$G$170="moeda")+(Inputs!$G$5:$G$170="acoes"))*Inputs!$B$1+((Inputs!$G$5:$G$170&lt;&gt;"moeda")*(Inputs!$G$5:$G$170&lt;&gt;"acoes")))*INDEX(Inputs!$K$5:$AJ$170,0,MATCH(K$2,Inputs!$K$4:$AJ$4,0)))+SUMPRODUCT((Inputs!$E$5:$E$170=$B62)*Inputs!$F$5:$F$170*(((Inputs!$G$5:$G$170="moeda")+(Inputs!$G$5:$G$170="acoes"))*Inputs!$B$1+((Inputs!$G$5:$G$170&lt;&gt;"moeda")*(Inputs!$G$5:$G$170&lt;&gt;"acoes")))*INDEX(Inputs!$K$5:$AJ$170,0,MATCH(K$2,Inputs!$K$4:$AJ$4,0)))))</f>
        <v>65726.756</v>
      </c>
      <c r="L62" s="266">
        <f>IF(ISNA(MATCH(L$2,Inputs!$K$4:$AJ$4,0)),NA(),IF(SUMPRODUCT((Inputs!$A$5:$A$170=$B62)*ISNUMBER(INDEX(Inputs!$K$5:$AJ$170,0,MATCH(L$2,Inputs!$K$4:$AJ$4,0))))+SUMPRODUCT((Inputs!$C$5:$C$170=$B62)*ISNUMBER(INDEX(Inputs!$K$5:$AJ$170,0,MATCH(L$2,Inputs!$K$4:$AJ$4,0))))+SUMPRODUCT((Inputs!$E$5:$E$170=$B62)*ISNUMBER(INDEX(Inputs!$K$5:$AJ$170,0,MATCH(L$2,Inputs!$K$4:$AJ$4,0))))=0,NA(),SUMPRODUCT((Inputs!$A$5:$A$170=$B62)*Inputs!$B$5:$B$170*(((Inputs!$G$5:$G$170="moeda")+(Inputs!$G$5:$G$170="acoes"))*Inputs!$B$1+((Inputs!$G$5:$G$170&lt;&gt;"moeda")*(Inputs!$G$5:$G$170&lt;&gt;"acoes")))*INDEX(Inputs!$K$5:$AJ$170,0,MATCH(L$2,Inputs!$K$4:$AJ$4,0)))+SUMPRODUCT((Inputs!$C$5:$C$170=$B62)*Inputs!$D$5:$D$170*(((Inputs!$G$5:$G$170="moeda")+(Inputs!$G$5:$G$170="acoes"))*Inputs!$B$1+((Inputs!$G$5:$G$170&lt;&gt;"moeda")*(Inputs!$G$5:$G$170&lt;&gt;"acoes")))*INDEX(Inputs!$K$5:$AJ$170,0,MATCH(L$2,Inputs!$K$4:$AJ$4,0)))+SUMPRODUCT((Inputs!$E$5:$E$170=$B62)*Inputs!$F$5:$F$170*(((Inputs!$G$5:$G$170="moeda")+(Inputs!$G$5:$G$170="acoes"))*Inputs!$B$1+((Inputs!$G$5:$G$170&lt;&gt;"moeda")*(Inputs!$G$5:$G$170&lt;&gt;"acoes")))*INDEX(Inputs!$K$5:$AJ$170,0,MATCH(L$2,Inputs!$K$4:$AJ$4,0)))))</f>
        <v>69565.355</v>
      </c>
      <c r="M62" s="267" t="n"/>
      <c r="N62" s="266">
        <f>IF(ISNA(MATCH(N$2,Inputs!$K$4:$AJ$4,0)),NA(),IF(SUMPRODUCT((Inputs!$A$5:$A$170=$B62)*ISNUMBER(INDEX(Inputs!$K$5:$AJ$170,0,MATCH(N$2,Inputs!$K$4:$AJ$4,0))))+SUMPRODUCT((Inputs!$C$5:$C$170=$B62)*ISNUMBER(INDEX(Inputs!$K$5:$AJ$170,0,MATCH(N$2,Inputs!$K$4:$AJ$4,0))))+SUMPRODUCT((Inputs!$E$5:$E$170=$B62)*ISNUMBER(INDEX(Inputs!$K$5:$AJ$170,0,MATCH(N$2,Inputs!$K$4:$AJ$4,0))))=0,NA(),SUMPRODUCT((Inputs!$A$5:$A$170=$B62)*Inputs!$B$5:$B$170*(((Inputs!$G$5:$G$170="moeda")+(Inputs!$G$5:$G$170="acoes"))*Inputs!$B$1+((Inputs!$G$5:$G$170&lt;&gt;"moeda")*(Inputs!$G$5:$G$170&lt;&gt;"acoes")))*INDEX(Inputs!$K$5:$AJ$170,0,MATCH(N$2,Inputs!$K$4:$AJ$4,0)))+SUMPRODUCT((Inputs!$C$5:$C$170=$B62)*Inputs!$D$5:$D$170*(((Inputs!$G$5:$G$170="moeda")+(Inputs!$G$5:$G$170="acoes"))*Inputs!$B$1+((Inputs!$G$5:$G$170&lt;&gt;"moeda")*(Inputs!$G$5:$G$170&lt;&gt;"acoes")))*INDEX(Inputs!$K$5:$AJ$170,0,MATCH(N$2,Inputs!$K$4:$AJ$4,0)))+SUMPRODUCT((Inputs!$E$5:$E$170=$B62)*Inputs!$F$5:$F$170*(((Inputs!$G$5:$G$170="moeda")+(Inputs!$G$5:$G$170="acoes"))*Inputs!$B$1+((Inputs!$G$5:$G$170&lt;&gt;"moeda")*(Inputs!$G$5:$G$170&lt;&gt;"acoes")))*INDEX(Inputs!$K$5:$AJ$170,0,MATCH(N$2,Inputs!$K$4:$AJ$4,0)))))</f>
        <v>69616.243</v>
      </c>
      <c r="O62" s="266">
        <f>IF(ISNA(MATCH(O$2,Inputs!$K$4:$AJ$4,0)),NA(),IF(SUMPRODUCT((Inputs!$A$5:$A$170=$B62)*ISNUMBER(INDEX(Inputs!$K$5:$AJ$170,0,MATCH(O$2,Inputs!$K$4:$AJ$4,0))))+SUMPRODUCT((Inputs!$C$5:$C$170=$B62)*ISNUMBER(INDEX(Inputs!$K$5:$AJ$170,0,MATCH(O$2,Inputs!$K$4:$AJ$4,0))))+SUMPRODUCT((Inputs!$E$5:$E$170=$B62)*ISNUMBER(INDEX(Inputs!$K$5:$AJ$170,0,MATCH(O$2,Inputs!$K$4:$AJ$4,0))))=0,NA(),SUMPRODUCT((Inputs!$A$5:$A$170=$B62)*Inputs!$B$5:$B$170*(((Inputs!$G$5:$G$170="moeda")+(Inputs!$G$5:$G$170="acoes"))*Inputs!$B$1+((Inputs!$G$5:$G$170&lt;&gt;"moeda")*(Inputs!$G$5:$G$170&lt;&gt;"acoes")))*INDEX(Inputs!$K$5:$AJ$170,0,MATCH(O$2,Inputs!$K$4:$AJ$4,0)))+SUMPRODUCT((Inputs!$C$5:$C$170=$B62)*Inputs!$D$5:$D$170*(((Inputs!$G$5:$G$170="moeda")+(Inputs!$G$5:$G$170="acoes"))*Inputs!$B$1+((Inputs!$G$5:$G$170&lt;&gt;"moeda")*(Inputs!$G$5:$G$170&lt;&gt;"acoes")))*INDEX(Inputs!$K$5:$AJ$170,0,MATCH(O$2,Inputs!$K$4:$AJ$4,0)))+SUMPRODUCT((Inputs!$E$5:$E$170=$B62)*Inputs!$F$5:$F$170*(((Inputs!$G$5:$G$170="moeda")+(Inputs!$G$5:$G$170="acoes"))*Inputs!$B$1+((Inputs!$G$5:$G$170&lt;&gt;"moeda")*(Inputs!$G$5:$G$170&lt;&gt;"acoes")))*INDEX(Inputs!$K$5:$AJ$170,0,MATCH(O$2,Inputs!$K$4:$AJ$4,0)))))</f>
        <v>64568</v>
      </c>
      <c r="P62" s="266">
        <f>IF(ISNA(MATCH(P$2,Inputs!$K$4:$AJ$4,0)),NA(),IF(SUMPRODUCT((Inputs!$A$5:$A$170=$B62)*ISNUMBER(INDEX(Inputs!$K$5:$AJ$170,0,MATCH(P$2,Inputs!$K$4:$AJ$4,0))))+SUMPRODUCT((Inputs!$C$5:$C$170=$B62)*ISNUMBER(INDEX(Inputs!$K$5:$AJ$170,0,MATCH(P$2,Inputs!$K$4:$AJ$4,0))))+SUMPRODUCT((Inputs!$E$5:$E$170=$B62)*ISNUMBER(INDEX(Inputs!$K$5:$AJ$170,0,MATCH(P$2,Inputs!$K$4:$AJ$4,0))))=0,NA(),SUMPRODUCT((Inputs!$A$5:$A$170=$B62)*Inputs!$B$5:$B$170*(((Inputs!$G$5:$G$170="moeda")+(Inputs!$G$5:$G$170="acoes"))*Inputs!$B$1+((Inputs!$G$5:$G$170&lt;&gt;"moeda")*(Inputs!$G$5:$G$170&lt;&gt;"acoes")))*INDEX(Inputs!$K$5:$AJ$170,0,MATCH(P$2,Inputs!$K$4:$AJ$4,0)))+SUMPRODUCT((Inputs!$C$5:$C$170=$B62)*Inputs!$D$5:$D$170*(((Inputs!$G$5:$G$170="moeda")+(Inputs!$G$5:$G$170="acoes"))*Inputs!$B$1+((Inputs!$G$5:$G$170&lt;&gt;"moeda")*(Inputs!$G$5:$G$170&lt;&gt;"acoes")))*INDEX(Inputs!$K$5:$AJ$170,0,MATCH(P$2,Inputs!$K$4:$AJ$4,0)))+SUMPRODUCT((Inputs!$E$5:$E$170=$B62)*Inputs!$F$5:$F$170*(((Inputs!$G$5:$G$170="moeda")+(Inputs!$G$5:$G$170="acoes"))*Inputs!$B$1+((Inputs!$G$5:$G$170&lt;&gt;"moeda")*(Inputs!$G$5:$G$170&lt;&gt;"acoes")))*INDEX(Inputs!$K$5:$AJ$170,0,MATCH(P$2,Inputs!$K$4:$AJ$4,0)))))</f>
        <v>64181.696</v>
      </c>
      <c r="Q62" s="266">
        <f>IF(ISNA(MATCH(Q$2,Inputs!$K$4:$AJ$4,0)),NA(),IF(SUMPRODUCT((Inputs!$A$5:$A$170=$B62)*ISNUMBER(INDEX(Inputs!$K$5:$AJ$170,0,MATCH(Q$2,Inputs!$K$4:$AJ$4,0))))+SUMPRODUCT((Inputs!$C$5:$C$170=$B62)*ISNUMBER(INDEX(Inputs!$K$5:$AJ$170,0,MATCH(Q$2,Inputs!$K$4:$AJ$4,0))))+SUMPRODUCT((Inputs!$E$5:$E$170=$B62)*ISNUMBER(INDEX(Inputs!$K$5:$AJ$170,0,MATCH(Q$2,Inputs!$K$4:$AJ$4,0))))=0,NA(),SUMPRODUCT((Inputs!$A$5:$A$170=$B62)*Inputs!$B$5:$B$170*(((Inputs!$G$5:$G$170="moeda")+(Inputs!$G$5:$G$170="acoes"))*Inputs!$B$1+((Inputs!$G$5:$G$170&lt;&gt;"moeda")*(Inputs!$G$5:$G$170&lt;&gt;"acoes")))*INDEX(Inputs!$K$5:$AJ$170,0,MATCH(Q$2,Inputs!$K$4:$AJ$4,0)))+SUMPRODUCT((Inputs!$C$5:$C$170=$B62)*Inputs!$D$5:$D$170*(((Inputs!$G$5:$G$170="moeda")+(Inputs!$G$5:$G$170="acoes"))*Inputs!$B$1+((Inputs!$G$5:$G$170&lt;&gt;"moeda")*(Inputs!$G$5:$G$170&lt;&gt;"acoes")))*INDEX(Inputs!$K$5:$AJ$170,0,MATCH(Q$2,Inputs!$K$4:$AJ$4,0)))+SUMPRODUCT((Inputs!$E$5:$E$170=$B62)*Inputs!$F$5:$F$170*(((Inputs!$G$5:$G$170="moeda")+(Inputs!$G$5:$G$170="acoes"))*Inputs!$B$1+((Inputs!$G$5:$G$170&lt;&gt;"moeda")*(Inputs!$G$5:$G$170&lt;&gt;"acoes")))*INDEX(Inputs!$K$5:$AJ$170,0,MATCH(Q$2,Inputs!$K$4:$AJ$4,0)))))</f>
        <v>66467.207</v>
      </c>
      <c r="R62" s="267" t="n"/>
      <c r="S62" s="266">
        <f>IF(ISNA(MATCH(S$2,Inputs!$K$4:$AJ$4,0)),NA(),IF(SUMPRODUCT((Inputs!$A$5:$A$170=$B62)*ISNUMBER(INDEX(Inputs!$K$5:$AJ$170,0,MATCH(S$2,Inputs!$K$4:$AJ$4,0))))+SUMPRODUCT((Inputs!$C$5:$C$170=$B62)*ISNUMBER(INDEX(Inputs!$K$5:$AJ$170,0,MATCH(S$2,Inputs!$K$4:$AJ$4,0))))+SUMPRODUCT((Inputs!$E$5:$E$170=$B62)*ISNUMBER(INDEX(Inputs!$K$5:$AJ$170,0,MATCH(S$2,Inputs!$K$4:$AJ$4,0))))=0,NA(),SUMPRODUCT((Inputs!$A$5:$A$170=$B62)*Inputs!$B$5:$B$170*(((Inputs!$G$5:$G$170="moeda")+(Inputs!$G$5:$G$170="acoes"))*Inputs!$B$1+((Inputs!$G$5:$G$170&lt;&gt;"moeda")*(Inputs!$G$5:$G$170&lt;&gt;"acoes")))*INDEX(Inputs!$K$5:$AJ$170,0,MATCH(S$2,Inputs!$K$4:$AJ$4,0)))+SUMPRODUCT((Inputs!$C$5:$C$170=$B62)*Inputs!$D$5:$D$170*(((Inputs!$G$5:$G$170="moeda")+(Inputs!$G$5:$G$170="acoes"))*Inputs!$B$1+((Inputs!$G$5:$G$170&lt;&gt;"moeda")*(Inputs!$G$5:$G$170&lt;&gt;"acoes")))*INDEX(Inputs!$K$5:$AJ$170,0,MATCH(S$2,Inputs!$K$4:$AJ$4,0)))+SUMPRODUCT((Inputs!$E$5:$E$170=$B62)*Inputs!$F$5:$F$170*(((Inputs!$G$5:$G$170="moeda")+(Inputs!$G$5:$G$170="acoes"))*Inputs!$B$1+((Inputs!$G$5:$G$170&lt;&gt;"moeda")*(Inputs!$G$5:$G$170&lt;&gt;"acoes")))*INDEX(Inputs!$K$5:$AJ$170,0,MATCH(S$2,Inputs!$K$4:$AJ$4,0)))))</f>
        <v>71924.826</v>
      </c>
      <c r="T62" s="266">
        <f>IF(ISNA(MATCH(T$2,Inputs!$K$4:$AJ$4,0)),NA(),IF(SUMPRODUCT((Inputs!$A$5:$A$170=$B62)*ISNUMBER(INDEX(Inputs!$K$5:$AJ$170,0,MATCH(T$2,Inputs!$K$4:$AJ$4,0))))+SUMPRODUCT((Inputs!$C$5:$C$170=$B62)*ISNUMBER(INDEX(Inputs!$K$5:$AJ$170,0,MATCH(T$2,Inputs!$K$4:$AJ$4,0))))+SUMPRODUCT((Inputs!$E$5:$E$170=$B62)*ISNUMBER(INDEX(Inputs!$K$5:$AJ$170,0,MATCH(T$2,Inputs!$K$4:$AJ$4,0))))=0,NA(),SUMPRODUCT((Inputs!$A$5:$A$170=$B62)*Inputs!$B$5:$B$170*(((Inputs!$G$5:$G$170="moeda")+(Inputs!$G$5:$G$170="acoes"))*Inputs!$B$1+((Inputs!$G$5:$G$170&lt;&gt;"moeda")*(Inputs!$G$5:$G$170&lt;&gt;"acoes")))*INDEX(Inputs!$K$5:$AJ$170,0,MATCH(T$2,Inputs!$K$4:$AJ$4,0)))+SUMPRODUCT((Inputs!$C$5:$C$170=$B62)*Inputs!$D$5:$D$170*(((Inputs!$G$5:$G$170="moeda")+(Inputs!$G$5:$G$170="acoes"))*Inputs!$B$1+((Inputs!$G$5:$G$170&lt;&gt;"moeda")*(Inputs!$G$5:$G$170&lt;&gt;"acoes")))*INDEX(Inputs!$K$5:$AJ$170,0,MATCH(T$2,Inputs!$K$4:$AJ$4,0)))+SUMPRODUCT((Inputs!$E$5:$E$170=$B62)*Inputs!$F$5:$F$170*(((Inputs!$G$5:$G$170="moeda")+(Inputs!$G$5:$G$170="acoes"))*Inputs!$B$1+((Inputs!$G$5:$G$170&lt;&gt;"moeda")*(Inputs!$G$5:$G$170&lt;&gt;"acoes")))*INDEX(Inputs!$K$5:$AJ$170,0,MATCH(T$2,Inputs!$K$4:$AJ$4,0)))))</f>
        <v>70369.758</v>
      </c>
      <c r="U62" s="266">
        <f>IF(ISNA(MATCH(U$2,Inputs!$K$4:$AJ$4,0)),NA(),IF(SUMPRODUCT((Inputs!$A$5:$A$170=$B62)*ISNUMBER(INDEX(Inputs!$K$5:$AJ$170,0,MATCH(U$2,Inputs!$K$4:$AJ$4,0))))+SUMPRODUCT((Inputs!$C$5:$C$170=$B62)*ISNUMBER(INDEX(Inputs!$K$5:$AJ$170,0,MATCH(U$2,Inputs!$K$4:$AJ$4,0))))+SUMPRODUCT((Inputs!$E$5:$E$170=$B62)*ISNUMBER(INDEX(Inputs!$K$5:$AJ$170,0,MATCH(U$2,Inputs!$K$4:$AJ$4,0))))=0,NA(),SUMPRODUCT((Inputs!$A$5:$A$170=$B62)*Inputs!$B$5:$B$170*(((Inputs!$G$5:$G$170="moeda")+(Inputs!$G$5:$G$170="acoes"))*Inputs!$B$1+((Inputs!$G$5:$G$170&lt;&gt;"moeda")*(Inputs!$G$5:$G$170&lt;&gt;"acoes")))*INDEX(Inputs!$K$5:$AJ$170,0,MATCH(U$2,Inputs!$K$4:$AJ$4,0)))+SUMPRODUCT((Inputs!$C$5:$C$170=$B62)*Inputs!$D$5:$D$170*(((Inputs!$G$5:$G$170="moeda")+(Inputs!$G$5:$G$170="acoes"))*Inputs!$B$1+((Inputs!$G$5:$G$170&lt;&gt;"moeda")*(Inputs!$G$5:$G$170&lt;&gt;"acoes")))*INDEX(Inputs!$K$5:$AJ$170,0,MATCH(U$2,Inputs!$K$4:$AJ$4,0)))+SUMPRODUCT((Inputs!$E$5:$E$170=$B62)*Inputs!$F$5:$F$170*(((Inputs!$G$5:$G$170="moeda")+(Inputs!$G$5:$G$170="acoes"))*Inputs!$B$1+((Inputs!$G$5:$G$170&lt;&gt;"moeda")*(Inputs!$G$5:$G$170&lt;&gt;"acoes")))*INDEX(Inputs!$K$5:$AJ$170,0,MATCH(U$2,Inputs!$K$4:$AJ$4,0)))))</f>
        <v>68114.141</v>
      </c>
      <c r="V62" s="266">
        <f>IF(ISNA(MATCH(V$2,Inputs!$K$4:$AJ$4,0)),NA(),IF(SUMPRODUCT((Inputs!$A$5:$A$170=$B62)*ISNUMBER(INDEX(Inputs!$K$5:$AJ$170,0,MATCH(V$2,Inputs!$K$4:$AJ$4,0))))+SUMPRODUCT((Inputs!$C$5:$C$170=$B62)*ISNUMBER(INDEX(Inputs!$K$5:$AJ$170,0,MATCH(V$2,Inputs!$K$4:$AJ$4,0))))+SUMPRODUCT((Inputs!$E$5:$E$170=$B62)*ISNUMBER(INDEX(Inputs!$K$5:$AJ$170,0,MATCH(V$2,Inputs!$K$4:$AJ$4,0))))=0,NA(),SUMPRODUCT((Inputs!$A$5:$A$170=$B62)*Inputs!$B$5:$B$170*(((Inputs!$G$5:$G$170="moeda")+(Inputs!$G$5:$G$170="acoes"))*Inputs!$B$1+((Inputs!$G$5:$G$170&lt;&gt;"moeda")*(Inputs!$G$5:$G$170&lt;&gt;"acoes")))*INDEX(Inputs!$K$5:$AJ$170,0,MATCH(V$2,Inputs!$K$4:$AJ$4,0)))+SUMPRODUCT((Inputs!$C$5:$C$170=$B62)*Inputs!$D$5:$D$170*(((Inputs!$G$5:$G$170="moeda")+(Inputs!$G$5:$G$170="acoes"))*Inputs!$B$1+((Inputs!$G$5:$G$170&lt;&gt;"moeda")*(Inputs!$G$5:$G$170&lt;&gt;"acoes")))*INDEX(Inputs!$K$5:$AJ$170,0,MATCH(V$2,Inputs!$K$4:$AJ$4,0)))+SUMPRODUCT((Inputs!$E$5:$E$170=$B62)*Inputs!$F$5:$F$170*(((Inputs!$G$5:$G$170="moeda")+(Inputs!$G$5:$G$170="acoes"))*Inputs!$B$1+((Inputs!$G$5:$G$170&lt;&gt;"moeda")*(Inputs!$G$5:$G$170&lt;&gt;"acoes")))*INDEX(Inputs!$K$5:$AJ$170,0,MATCH(V$2,Inputs!$K$4:$AJ$4,0)))))</f>
        <v>66296.152</v>
      </c>
      <c r="W62" s="267" t="n"/>
      <c r="X62" s="266">
        <f>IF(ISNA(MATCH(X$2,Inputs!$K$4:$AJ$4,0)),NA(),IF(SUMPRODUCT((Inputs!$A$5:$A$170=$B62)*ISNUMBER(INDEX(Inputs!$K$5:$AJ$170,0,MATCH(X$2,Inputs!$K$4:$AJ$4,0))))+SUMPRODUCT((Inputs!$C$5:$C$170=$B62)*ISNUMBER(INDEX(Inputs!$K$5:$AJ$170,0,MATCH(X$2,Inputs!$K$4:$AJ$4,0))))+SUMPRODUCT((Inputs!$E$5:$E$170=$B62)*ISNUMBER(INDEX(Inputs!$K$5:$AJ$170,0,MATCH(X$2,Inputs!$K$4:$AJ$4,0))))=0,NA(),SUMPRODUCT((Inputs!$A$5:$A$170=$B62)*Inputs!$B$5:$B$170*(((Inputs!$G$5:$G$170="moeda")+(Inputs!$G$5:$G$170="acoes"))*Inputs!$B$1+((Inputs!$G$5:$G$170&lt;&gt;"moeda")*(Inputs!$G$5:$G$170&lt;&gt;"acoes")))*INDEX(Inputs!$K$5:$AJ$170,0,MATCH(X$2,Inputs!$K$4:$AJ$4,0)))+SUMPRODUCT((Inputs!$C$5:$C$170=$B62)*Inputs!$D$5:$D$170*(((Inputs!$G$5:$G$170="moeda")+(Inputs!$G$5:$G$170="acoes"))*Inputs!$B$1+((Inputs!$G$5:$G$170&lt;&gt;"moeda")*(Inputs!$G$5:$G$170&lt;&gt;"acoes")))*INDEX(Inputs!$K$5:$AJ$170,0,MATCH(X$2,Inputs!$K$4:$AJ$4,0)))+SUMPRODUCT((Inputs!$E$5:$E$170=$B62)*Inputs!$F$5:$F$170*(((Inputs!$G$5:$G$170="moeda")+(Inputs!$G$5:$G$170="acoes"))*Inputs!$B$1+((Inputs!$G$5:$G$170&lt;&gt;"moeda")*(Inputs!$G$5:$G$170&lt;&gt;"acoes")))*INDEX(Inputs!$K$5:$AJ$170,0,MATCH(X$2,Inputs!$K$4:$AJ$4,0)))))</f>
        <v>68229.9</v>
      </c>
      <c r="Y62" s="266">
        <f>IF(ISNA(MATCH(Y$2,Inputs!$K$4:$AJ$4,0)),NA(),IF(SUMPRODUCT((Inputs!$A$5:$A$170=$B62)*ISNUMBER(INDEX(Inputs!$K$5:$AJ$170,0,MATCH(Y$2,Inputs!$K$4:$AJ$4,0))))+SUMPRODUCT((Inputs!$C$5:$C$170=$B62)*ISNUMBER(INDEX(Inputs!$K$5:$AJ$170,0,MATCH(Y$2,Inputs!$K$4:$AJ$4,0))))+SUMPRODUCT((Inputs!$E$5:$E$170=$B62)*ISNUMBER(INDEX(Inputs!$K$5:$AJ$170,0,MATCH(Y$2,Inputs!$K$4:$AJ$4,0))))=0,NA(),SUMPRODUCT((Inputs!$A$5:$A$170=$B62)*Inputs!$B$5:$B$170*(((Inputs!$G$5:$G$170="moeda")+(Inputs!$G$5:$G$170="acoes"))*Inputs!$B$1+((Inputs!$G$5:$G$170&lt;&gt;"moeda")*(Inputs!$G$5:$G$170&lt;&gt;"acoes")))*INDEX(Inputs!$K$5:$AJ$170,0,MATCH(Y$2,Inputs!$K$4:$AJ$4,0)))+SUMPRODUCT((Inputs!$C$5:$C$170=$B62)*Inputs!$D$5:$D$170*(((Inputs!$G$5:$G$170="moeda")+(Inputs!$G$5:$G$170="acoes"))*Inputs!$B$1+((Inputs!$G$5:$G$170&lt;&gt;"moeda")*(Inputs!$G$5:$G$170&lt;&gt;"acoes")))*INDEX(Inputs!$K$5:$AJ$170,0,MATCH(Y$2,Inputs!$K$4:$AJ$4,0)))+SUMPRODUCT((Inputs!$E$5:$E$170=$B62)*Inputs!$F$5:$F$170*(((Inputs!$G$5:$G$170="moeda")+(Inputs!$G$5:$G$170="acoes"))*Inputs!$B$1+((Inputs!$G$5:$G$170&lt;&gt;"moeda")*(Inputs!$G$5:$G$170&lt;&gt;"acoes")))*INDEX(Inputs!$K$5:$AJ$170,0,MATCH(Y$2,Inputs!$K$4:$AJ$4,0)))))</f>
        <v>67397.041</v>
      </c>
      <c r="Z62" s="266">
        <f>IF(ISNA(MATCH(Z$2,Inputs!$K$4:$AJ$4,0)),NA(),IF(SUMPRODUCT((Inputs!$A$5:$A$170=$B62)*ISNUMBER(INDEX(Inputs!$K$5:$AJ$170,0,MATCH(Z$2,Inputs!$K$4:$AJ$4,0))))+SUMPRODUCT((Inputs!$C$5:$C$170=$B62)*ISNUMBER(INDEX(Inputs!$K$5:$AJ$170,0,MATCH(Z$2,Inputs!$K$4:$AJ$4,0))))+SUMPRODUCT((Inputs!$E$5:$E$170=$B62)*ISNUMBER(INDEX(Inputs!$K$5:$AJ$170,0,MATCH(Z$2,Inputs!$K$4:$AJ$4,0))))=0,NA(),SUMPRODUCT((Inputs!$A$5:$A$170=$B62)*Inputs!$B$5:$B$170*(((Inputs!$G$5:$G$170="moeda")+(Inputs!$G$5:$G$170="acoes"))*Inputs!$B$1+((Inputs!$G$5:$G$170&lt;&gt;"moeda")*(Inputs!$G$5:$G$170&lt;&gt;"acoes")))*INDEX(Inputs!$K$5:$AJ$170,0,MATCH(Z$2,Inputs!$K$4:$AJ$4,0)))+SUMPRODUCT((Inputs!$C$5:$C$170=$B62)*Inputs!$D$5:$D$170*(((Inputs!$G$5:$G$170="moeda")+(Inputs!$G$5:$G$170="acoes"))*Inputs!$B$1+((Inputs!$G$5:$G$170&lt;&gt;"moeda")*(Inputs!$G$5:$G$170&lt;&gt;"acoes")))*INDEX(Inputs!$K$5:$AJ$170,0,MATCH(Z$2,Inputs!$K$4:$AJ$4,0)))+SUMPRODUCT((Inputs!$E$5:$E$170=$B62)*Inputs!$F$5:$F$170*(((Inputs!$G$5:$G$170="moeda")+(Inputs!$G$5:$G$170="acoes"))*Inputs!$B$1+((Inputs!$G$5:$G$170&lt;&gt;"moeda")*(Inputs!$G$5:$G$170&lt;&gt;"acoes")))*INDEX(Inputs!$K$5:$AJ$170,0,MATCH(Z$2,Inputs!$K$4:$AJ$4,0)))))</f>
        <v>66285.398</v>
      </c>
      <c r="AA62" s="266">
        <f>IF(ISNA(MATCH(AA$2,Inputs!$K$4:$AJ$4,0)),NA(),IF(SUMPRODUCT((Inputs!$A$5:$A$170=$B62)*ISNUMBER(INDEX(Inputs!$K$5:$AJ$170,0,MATCH(AA$2,Inputs!$K$4:$AJ$4,0))))+SUMPRODUCT((Inputs!$C$5:$C$170=$B62)*ISNUMBER(INDEX(Inputs!$K$5:$AJ$170,0,MATCH(AA$2,Inputs!$K$4:$AJ$4,0))))+SUMPRODUCT((Inputs!$E$5:$E$170=$B62)*ISNUMBER(INDEX(Inputs!$K$5:$AJ$170,0,MATCH(AA$2,Inputs!$K$4:$AJ$4,0))))=0,NA(),SUMPRODUCT((Inputs!$A$5:$A$170=$B62)*Inputs!$B$5:$B$170*(((Inputs!$G$5:$G$170="moeda")+(Inputs!$G$5:$G$170="acoes"))*Inputs!$B$1+((Inputs!$G$5:$G$170&lt;&gt;"moeda")*(Inputs!$G$5:$G$170&lt;&gt;"acoes")))*INDEX(Inputs!$K$5:$AJ$170,0,MATCH(AA$2,Inputs!$K$4:$AJ$4,0)))+SUMPRODUCT((Inputs!$C$5:$C$170=$B62)*Inputs!$D$5:$D$170*(((Inputs!$G$5:$G$170="moeda")+(Inputs!$G$5:$G$170="acoes"))*Inputs!$B$1+((Inputs!$G$5:$G$170&lt;&gt;"moeda")*(Inputs!$G$5:$G$170&lt;&gt;"acoes")))*INDEX(Inputs!$K$5:$AJ$170,0,MATCH(AA$2,Inputs!$K$4:$AJ$4,0)))+SUMPRODUCT((Inputs!$E$5:$E$170=$B62)*Inputs!$F$5:$F$170*(((Inputs!$G$5:$G$170="moeda")+(Inputs!$G$5:$G$170="acoes"))*Inputs!$B$1+((Inputs!$G$5:$G$170&lt;&gt;"moeda")*(Inputs!$G$5:$G$170&lt;&gt;"acoes")))*INDEX(Inputs!$K$5:$AJ$170,0,MATCH(AA$2,Inputs!$K$4:$AJ$4,0)))))</f>
        <v>73313.1930240878</v>
      </c>
      <c r="AB62" s="267" t="n"/>
      <c r="AC62" s="266">
        <f>IF(ISNA(MATCH(AC$2,Inputs!$K$4:$AJ$4,0)),NA(),IF(SUMPRODUCT((Inputs!$A$5:$A$170=$B62)*ISNUMBER(INDEX(Inputs!$K$5:$AJ$170,0,MATCH(AC$2,Inputs!$K$4:$AJ$4,0))))+SUMPRODUCT((Inputs!$C$5:$C$170=$B62)*ISNUMBER(INDEX(Inputs!$K$5:$AJ$170,0,MATCH(AC$2,Inputs!$K$4:$AJ$4,0))))+SUMPRODUCT((Inputs!$E$5:$E$170=$B62)*ISNUMBER(INDEX(Inputs!$K$5:$AJ$170,0,MATCH(AC$2,Inputs!$K$4:$AJ$4,0))))=0,NA(),SUMPRODUCT((Inputs!$A$5:$A$170=$B62)*Inputs!$B$5:$B$170*(((Inputs!$G$5:$G$170="moeda")+(Inputs!$G$5:$G$170="acoes"))*Inputs!$B$1+((Inputs!$G$5:$G$170&lt;&gt;"moeda")*(Inputs!$G$5:$G$170&lt;&gt;"acoes")))*INDEX(Inputs!$K$5:$AJ$170,0,MATCH(AC$2,Inputs!$K$4:$AJ$4,0)))+SUMPRODUCT((Inputs!$C$5:$C$170=$B62)*Inputs!$D$5:$D$170*(((Inputs!$G$5:$G$170="moeda")+(Inputs!$G$5:$G$170="acoes"))*Inputs!$B$1+((Inputs!$G$5:$G$170&lt;&gt;"moeda")*(Inputs!$G$5:$G$170&lt;&gt;"acoes")))*INDEX(Inputs!$K$5:$AJ$170,0,MATCH(AC$2,Inputs!$K$4:$AJ$4,0)))+SUMPRODUCT((Inputs!$E$5:$E$170=$B62)*Inputs!$F$5:$F$170*(((Inputs!$G$5:$G$170="moeda")+(Inputs!$G$5:$G$170="acoes"))*Inputs!$B$1+((Inputs!$G$5:$G$170&lt;&gt;"moeda")*(Inputs!$G$5:$G$170&lt;&gt;"acoes")))*INDEX(Inputs!$K$5:$AJ$170,0,MATCH(AC$2,Inputs!$K$4:$AJ$4,0)))))</f>
        <v>79411.6519921733</v>
      </c>
      <c r="AD62" s="266">
        <f>IF(ISNA(MATCH(AD$2,Inputs!$K$4:$AJ$4,0)),NA(),IF(SUMPRODUCT((Inputs!$A$5:$A$170=$B62)*ISNUMBER(INDEX(Inputs!$K$5:$AJ$170,0,MATCH(AD$2,Inputs!$K$4:$AJ$4,0))))+SUMPRODUCT((Inputs!$C$5:$C$170=$B62)*ISNUMBER(INDEX(Inputs!$K$5:$AJ$170,0,MATCH(AD$2,Inputs!$K$4:$AJ$4,0))))+SUMPRODUCT((Inputs!$E$5:$E$170=$B62)*ISNUMBER(INDEX(Inputs!$K$5:$AJ$170,0,MATCH(AD$2,Inputs!$K$4:$AJ$4,0))))=0,NA(),SUMPRODUCT((Inputs!$A$5:$A$170=$B62)*Inputs!$B$5:$B$170*(((Inputs!$G$5:$G$170="moeda")+(Inputs!$G$5:$G$170="acoes"))*Inputs!$B$1+((Inputs!$G$5:$G$170&lt;&gt;"moeda")*(Inputs!$G$5:$G$170&lt;&gt;"acoes")))*INDEX(Inputs!$K$5:$AJ$170,0,MATCH(AD$2,Inputs!$K$4:$AJ$4,0)))+SUMPRODUCT((Inputs!$C$5:$C$170=$B62)*Inputs!$D$5:$D$170*(((Inputs!$G$5:$G$170="moeda")+(Inputs!$G$5:$G$170="acoes"))*Inputs!$B$1+((Inputs!$G$5:$G$170&lt;&gt;"moeda")*(Inputs!$G$5:$G$170&lt;&gt;"acoes")))*INDEX(Inputs!$K$5:$AJ$170,0,MATCH(AD$2,Inputs!$K$4:$AJ$4,0)))+SUMPRODUCT((Inputs!$E$5:$E$170=$B62)*Inputs!$F$5:$F$170*(((Inputs!$G$5:$G$170="moeda")+(Inputs!$G$5:$G$170="acoes"))*Inputs!$B$1+((Inputs!$G$5:$G$170&lt;&gt;"moeda")*(Inputs!$G$5:$G$170&lt;&gt;"acoes")))*INDEX(Inputs!$K$5:$AJ$170,0,MATCH(AD$2,Inputs!$K$4:$AJ$4,0)))))</f>
        <v>82926.8632701926</v>
      </c>
      <c r="AE62" s="266" t="e">
        <f>IF(ISNA(MATCH(AE$2,Inputs!$K$4:$AJ$4,0)),NA(),IF(SUMPRODUCT((Inputs!$A$5:$A$170=$B62)*ISNUMBER(INDEX(Inputs!$K$5:$AJ$170,0,MATCH(AE$2,Inputs!$K$4:$AJ$4,0))))+SUMPRODUCT((Inputs!$C$5:$C$170=$B62)*ISNUMBER(INDEX(Inputs!$K$5:$AJ$170,0,MATCH(AE$2,Inputs!$K$4:$AJ$4,0))))+SUMPRODUCT((Inputs!$E$5:$E$170=$B62)*ISNUMBER(INDEX(Inputs!$K$5:$AJ$170,0,MATCH(AE$2,Inputs!$K$4:$AJ$4,0))))=0,NA(),SUMPRODUCT((Inputs!$A$5:$A$170=$B62)*Inputs!$B$5:$B$170*(((Inputs!$G$5:$G$170="moeda")+(Inputs!$G$5:$G$170="acoes"))*Inputs!$B$1+((Inputs!$G$5:$G$170&lt;&gt;"moeda")*(Inputs!$G$5:$G$170&lt;&gt;"acoes")))*INDEX(Inputs!$K$5:$AJ$170,0,MATCH(AE$2,Inputs!$K$4:$AJ$4,0)))+SUMPRODUCT((Inputs!$C$5:$C$170=$B62)*Inputs!$D$5:$D$170*(((Inputs!$G$5:$G$170="moeda")+(Inputs!$G$5:$G$170="acoes"))*Inputs!$B$1+((Inputs!$G$5:$G$170&lt;&gt;"moeda")*(Inputs!$G$5:$G$170&lt;&gt;"acoes")))*INDEX(Inputs!$K$5:$AJ$170,0,MATCH(AE$2,Inputs!$K$4:$AJ$4,0)))+SUMPRODUCT((Inputs!$E$5:$E$170=$B62)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2" s="266" t="e">
        <f>IF(ISNA(MATCH(AF$2,Inputs!$K$4:$AJ$4,0)),NA(),IF(SUMPRODUCT((Inputs!$A$5:$A$170=$B62)*ISNUMBER(INDEX(Inputs!$K$5:$AJ$170,0,MATCH(AF$2,Inputs!$K$4:$AJ$4,0))))+SUMPRODUCT((Inputs!$C$5:$C$170=$B62)*ISNUMBER(INDEX(Inputs!$K$5:$AJ$170,0,MATCH(AF$2,Inputs!$K$4:$AJ$4,0))))+SUMPRODUCT((Inputs!$E$5:$E$170=$B62)*ISNUMBER(INDEX(Inputs!$K$5:$AJ$170,0,MATCH(AF$2,Inputs!$K$4:$AJ$4,0))))=0,NA(),SUMPRODUCT((Inputs!$A$5:$A$170=$B62)*Inputs!$B$5:$B$170*(((Inputs!$G$5:$G$170="moeda")+(Inputs!$G$5:$G$170="acoes"))*Inputs!$B$1+((Inputs!$G$5:$G$170&lt;&gt;"moeda")*(Inputs!$G$5:$G$170&lt;&gt;"acoes")))*INDEX(Inputs!$K$5:$AJ$170,0,MATCH(AF$2,Inputs!$K$4:$AJ$4,0)))+SUMPRODUCT((Inputs!$C$5:$C$170=$B62)*Inputs!$D$5:$D$170*(((Inputs!$G$5:$G$170="moeda")+(Inputs!$G$5:$G$170="acoes"))*Inputs!$B$1+((Inputs!$G$5:$G$170&lt;&gt;"moeda")*(Inputs!$G$5:$G$170&lt;&gt;"acoes")))*INDEX(Inputs!$K$5:$AJ$170,0,MATCH(AF$2,Inputs!$K$4:$AJ$4,0)))+SUMPRODUCT((Inputs!$E$5:$E$170=$B62)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2" s="267" t="n"/>
      <c r="AH62" s="266">
        <f>IF(ISNA(MATCH(AH$2,Inputs!$K$4:$AJ$4,0)),NA(),IF(SUMPRODUCT((Inputs!$A$5:$A$170=$B62)*ISNUMBER(INDEX(Inputs!$K$5:$AJ$170,0,MATCH(AH$2,Inputs!$K$4:$AJ$4,0))))+SUMPRODUCT((Inputs!$C$5:$C$170=$B62)*ISNUMBER(INDEX(Inputs!$K$5:$AJ$170,0,MATCH(AH$2,Inputs!$K$4:$AJ$4,0))))+SUMPRODUCT((Inputs!$E$5:$E$170=$B62)*ISNUMBER(INDEX(Inputs!$K$5:$AJ$170,0,MATCH(AH$2,Inputs!$K$4:$AJ$4,0))))=0,NA(),SUMPRODUCT((Inputs!$A$5:$A$170=$B62)*Inputs!$B$5:$B$170*(((Inputs!$G$5:$G$170="moeda")+(Inputs!$G$5:$G$170="acoes"))*Inputs!$B$1+((Inputs!$G$5:$G$170&lt;&gt;"moeda")*(Inputs!$G$5:$G$170&lt;&gt;"acoes")))*INDEX(Inputs!$K$5:$AJ$170,0,MATCH(AH$2,Inputs!$K$4:$AJ$4,0)))+SUMPRODUCT((Inputs!$C$5:$C$170=$B62)*Inputs!$D$5:$D$170*(((Inputs!$G$5:$G$170="moeda")+(Inputs!$G$5:$G$170="acoes"))*Inputs!$B$1+((Inputs!$G$5:$G$170&lt;&gt;"moeda")*(Inputs!$G$5:$G$170&lt;&gt;"acoes")))*INDEX(Inputs!$K$5:$AJ$170,0,MATCH(AH$2,Inputs!$K$4:$AJ$4,0)))+SUMPRODUCT((Inputs!$E$5:$E$170=$B62)*Inputs!$F$5:$F$170*(((Inputs!$G$5:$G$170="moeda")+(Inputs!$G$5:$G$170="acoes"))*Inputs!$B$1+((Inputs!$G$5:$G$170&lt;&gt;"moeda")*(Inputs!$G$5:$G$170&lt;&gt;"acoes")))*INDEX(Inputs!$K$5:$AJ$170,0,MATCH(AH$2,Inputs!$K$4:$AJ$4,0)))))</f>
        <v>48798.693</v>
      </c>
      <c r="AI62" s="266">
        <f>IF(ISNA(MATCH(AI$2,Inputs!$K$4:$AJ$4,0)),NA(),IF(SUMPRODUCT((Inputs!$A$5:$A$170=$B62)*ISNUMBER(INDEX(Inputs!$K$5:$AJ$170,0,MATCH(AI$2,Inputs!$K$4:$AJ$4,0))))+SUMPRODUCT((Inputs!$C$5:$C$170=$B62)*ISNUMBER(INDEX(Inputs!$K$5:$AJ$170,0,MATCH(AI$2,Inputs!$K$4:$AJ$4,0))))+SUMPRODUCT((Inputs!$E$5:$E$170=$B62)*ISNUMBER(INDEX(Inputs!$K$5:$AJ$170,0,MATCH(AI$2,Inputs!$K$4:$AJ$4,0))))=0,NA(),SUMPRODUCT((Inputs!$A$5:$A$170=$B62)*Inputs!$B$5:$B$170*(((Inputs!$G$5:$G$170="moeda")+(Inputs!$G$5:$G$170="acoes"))*Inputs!$B$1+((Inputs!$G$5:$G$170&lt;&gt;"moeda")*(Inputs!$G$5:$G$170&lt;&gt;"acoes")))*INDEX(Inputs!$K$5:$AJ$170,0,MATCH(AI$2,Inputs!$K$4:$AJ$4,0)))+SUMPRODUCT((Inputs!$C$5:$C$170=$B62)*Inputs!$D$5:$D$170*(((Inputs!$G$5:$G$170="moeda")+(Inputs!$G$5:$G$170="acoes"))*Inputs!$B$1+((Inputs!$G$5:$G$170&lt;&gt;"moeda")*(Inputs!$G$5:$G$170&lt;&gt;"acoes")))*INDEX(Inputs!$K$5:$AJ$170,0,MATCH(AI$2,Inputs!$K$4:$AJ$4,0)))+SUMPRODUCT((Inputs!$E$5:$E$170=$B62)*Inputs!$F$5:$F$170*(((Inputs!$G$5:$G$170="moeda")+(Inputs!$G$5:$G$170="acoes"))*Inputs!$B$1+((Inputs!$G$5:$G$170&lt;&gt;"moeda")*(Inputs!$G$5:$G$170&lt;&gt;"acoes")))*INDEX(Inputs!$K$5:$AJ$170,0,MATCH(AI$2,Inputs!$K$4:$AJ$4,0)))))</f>
        <v>37161.198</v>
      </c>
      <c r="AJ62" s="266">
        <f>IF(ISNA(MATCH(AJ$2,Inputs!$K$4:$AJ$4,0)),NA(),IF(SUMPRODUCT((Inputs!$A$5:$A$170=$B62)*ISNUMBER(INDEX(Inputs!$K$5:$AJ$170,0,MATCH(AJ$2,Inputs!$K$4:$AJ$4,0))))+SUMPRODUCT((Inputs!$C$5:$C$170=$B62)*ISNUMBER(INDEX(Inputs!$K$5:$AJ$170,0,MATCH(AJ$2,Inputs!$K$4:$AJ$4,0))))+SUMPRODUCT((Inputs!$E$5:$E$170=$B62)*ISNUMBER(INDEX(Inputs!$K$5:$AJ$170,0,MATCH(AJ$2,Inputs!$K$4:$AJ$4,0))))=0,NA(),SUMPRODUCT((Inputs!$A$5:$A$170=$B62)*Inputs!$B$5:$B$170*(((Inputs!$G$5:$G$170="moeda")+(Inputs!$G$5:$G$170="acoes"))*Inputs!$B$1+((Inputs!$G$5:$G$170&lt;&gt;"moeda")*(Inputs!$G$5:$G$170&lt;&gt;"acoes")))*INDEX(Inputs!$K$5:$AJ$170,0,MATCH(AJ$2,Inputs!$K$4:$AJ$4,0)))+SUMPRODUCT((Inputs!$C$5:$C$170=$B62)*Inputs!$D$5:$D$170*(((Inputs!$G$5:$G$170="moeda")+(Inputs!$G$5:$G$170="acoes"))*Inputs!$B$1+((Inputs!$G$5:$G$170&lt;&gt;"moeda")*(Inputs!$G$5:$G$170&lt;&gt;"acoes")))*INDEX(Inputs!$K$5:$AJ$170,0,MATCH(AJ$2,Inputs!$K$4:$AJ$4,0)))+SUMPRODUCT((Inputs!$E$5:$E$170=$B62)*Inputs!$F$5:$F$170*(((Inputs!$G$5:$G$170="moeda")+(Inputs!$G$5:$G$170="acoes"))*Inputs!$B$1+((Inputs!$G$5:$G$170&lt;&gt;"moeda")*(Inputs!$G$5:$G$170&lt;&gt;"acoes")))*INDEX(Inputs!$K$5:$AJ$170,0,MATCH(AJ$2,Inputs!$K$4:$AJ$4,0)))))</f>
        <v>46517.628</v>
      </c>
      <c r="AK62" s="266">
        <f>IF(ISNA(MATCH(AK$2,Inputs!$K$4:$AJ$4,0)),NA(),IF(SUMPRODUCT((Inputs!$A$5:$A$170=$B62)*ISNUMBER(INDEX(Inputs!$K$5:$AJ$170,0,MATCH(AK$2,Inputs!$K$4:$AJ$4,0))))+SUMPRODUCT((Inputs!$C$5:$C$170=$B62)*ISNUMBER(INDEX(Inputs!$K$5:$AJ$170,0,MATCH(AK$2,Inputs!$K$4:$AJ$4,0))))+SUMPRODUCT((Inputs!$E$5:$E$170=$B62)*ISNUMBER(INDEX(Inputs!$K$5:$AJ$170,0,MATCH(AK$2,Inputs!$K$4:$AJ$4,0))))=0,NA(),SUMPRODUCT((Inputs!$A$5:$A$170=$B62)*Inputs!$B$5:$B$170*(((Inputs!$G$5:$G$170="moeda")+(Inputs!$G$5:$G$170="acoes"))*Inputs!$B$1+((Inputs!$G$5:$G$170&lt;&gt;"moeda")*(Inputs!$G$5:$G$170&lt;&gt;"acoes")))*INDEX(Inputs!$K$5:$AJ$170,0,MATCH(AK$2,Inputs!$K$4:$AJ$4,0)))+SUMPRODUCT((Inputs!$C$5:$C$170=$B62)*Inputs!$D$5:$D$170*(((Inputs!$G$5:$G$170="moeda")+(Inputs!$G$5:$G$170="acoes"))*Inputs!$B$1+((Inputs!$G$5:$G$170&lt;&gt;"moeda")*(Inputs!$G$5:$G$170&lt;&gt;"acoes")))*INDEX(Inputs!$K$5:$AJ$170,0,MATCH(AK$2,Inputs!$K$4:$AJ$4,0)))+SUMPRODUCT((Inputs!$E$5:$E$170=$B62)*Inputs!$F$5:$F$170*(((Inputs!$G$5:$G$170="moeda")+(Inputs!$G$5:$G$170="acoes"))*Inputs!$B$1+((Inputs!$G$5:$G$170&lt;&gt;"moeda")*(Inputs!$G$5:$G$170&lt;&gt;"acoes")))*INDEX(Inputs!$K$5:$AJ$170,0,MATCH(AK$2,Inputs!$K$4:$AJ$4,0)))))</f>
        <v>50502.289</v>
      </c>
      <c r="AL62" s="267" t="n"/>
    </row>
    <row r="63">
      <c r="B63" s="46" t="n">
        <v>55</v>
      </c>
      <c r="C63" s="29" t="inlineStr">
        <is>
          <t>RAC - numero de diarias (mil; Op Data l.15)</t>
        </is>
      </c>
      <c r="D63" s="264">
        <f>IF(ISNA(MATCH(D$2,Inputs!$K$4:$AJ$4,0)),NA(),IF(SUMPRODUCT((Inputs!$A$5:$A$170=$B63)*ISNUMBER(INDEX(Inputs!$K$5:$AJ$170,0,MATCH(D$2,Inputs!$K$4:$AJ$4,0))))+SUMPRODUCT((Inputs!$C$5:$C$170=$B63)*ISNUMBER(INDEX(Inputs!$K$5:$AJ$170,0,MATCH(D$2,Inputs!$K$4:$AJ$4,0))))+SUMPRODUCT((Inputs!$E$5:$E$170=$B63)*ISNUMBER(INDEX(Inputs!$K$5:$AJ$170,0,MATCH(D$2,Inputs!$K$4:$AJ$4,0))))=0,NA(),SUMPRODUCT((Inputs!$A$5:$A$170=$B63)*Inputs!$B$5:$B$170*(((Inputs!$G$5:$G$170="moeda")+(Inputs!$G$5:$G$170="acoes"))*Inputs!$B$1+((Inputs!$G$5:$G$170&lt;&gt;"moeda")*(Inputs!$G$5:$G$170&lt;&gt;"acoes")))*INDEX(Inputs!$K$5:$AJ$170,0,MATCH(D$2,Inputs!$K$4:$AJ$4,0)))+SUMPRODUCT((Inputs!$C$5:$C$170=$B63)*Inputs!$D$5:$D$170*(((Inputs!$G$5:$G$170="moeda")+(Inputs!$G$5:$G$170="acoes"))*Inputs!$B$1+((Inputs!$G$5:$G$170&lt;&gt;"moeda")*(Inputs!$G$5:$G$170&lt;&gt;"acoes")))*INDEX(Inputs!$K$5:$AJ$170,0,MATCH(D$2,Inputs!$K$4:$AJ$4,0)))+SUMPRODUCT((Inputs!$E$5:$E$170=$B63)*Inputs!$F$5:$F$170*(((Inputs!$G$5:$G$170="moeda")+(Inputs!$G$5:$G$170="acoes"))*Inputs!$B$1+((Inputs!$G$5:$G$170&lt;&gt;"moeda")*(Inputs!$G$5:$G$170&lt;&gt;"acoes")))*INDEX(Inputs!$K$5:$AJ$170,0,MATCH(D$2,Inputs!$K$4:$AJ$4,0)))))</f>
        <v>5067.042</v>
      </c>
      <c r="E63" s="264">
        <f>IF(ISNA(MATCH(E$2,Inputs!$K$4:$AJ$4,0)),NA(),IF(SUMPRODUCT((Inputs!$A$5:$A$170=$B63)*ISNUMBER(INDEX(Inputs!$K$5:$AJ$170,0,MATCH(E$2,Inputs!$K$4:$AJ$4,0))))+SUMPRODUCT((Inputs!$C$5:$C$170=$B63)*ISNUMBER(INDEX(Inputs!$K$5:$AJ$170,0,MATCH(E$2,Inputs!$K$4:$AJ$4,0))))+SUMPRODUCT((Inputs!$E$5:$E$170=$B63)*ISNUMBER(INDEX(Inputs!$K$5:$AJ$170,0,MATCH(E$2,Inputs!$K$4:$AJ$4,0))))=0,NA(),SUMPRODUCT((Inputs!$A$5:$A$170=$B63)*Inputs!$B$5:$B$170*(((Inputs!$G$5:$G$170="moeda")+(Inputs!$G$5:$G$170="acoes"))*Inputs!$B$1+((Inputs!$G$5:$G$170&lt;&gt;"moeda")*(Inputs!$G$5:$G$170&lt;&gt;"acoes")))*INDEX(Inputs!$K$5:$AJ$170,0,MATCH(E$2,Inputs!$K$4:$AJ$4,0)))+SUMPRODUCT((Inputs!$C$5:$C$170=$B63)*Inputs!$D$5:$D$170*(((Inputs!$G$5:$G$170="moeda")+(Inputs!$G$5:$G$170="acoes"))*Inputs!$B$1+((Inputs!$G$5:$G$170&lt;&gt;"moeda")*(Inputs!$G$5:$G$170&lt;&gt;"acoes")))*INDEX(Inputs!$K$5:$AJ$170,0,MATCH(E$2,Inputs!$K$4:$AJ$4,0)))+SUMPRODUCT((Inputs!$E$5:$E$170=$B63)*Inputs!$F$5:$F$170*(((Inputs!$G$5:$G$170="moeda")+(Inputs!$G$5:$G$170="acoes"))*Inputs!$B$1+((Inputs!$G$5:$G$170&lt;&gt;"moeda")*(Inputs!$G$5:$G$170&lt;&gt;"acoes")))*INDEX(Inputs!$K$5:$AJ$170,0,MATCH(E$2,Inputs!$K$4:$AJ$4,0)))))</f>
        <v>4618.39</v>
      </c>
      <c r="F63" s="264">
        <f>IF(ISNA(MATCH(F$2,Inputs!$K$4:$AJ$4,0)),NA(),IF(SUMPRODUCT((Inputs!$A$5:$A$170=$B63)*ISNUMBER(INDEX(Inputs!$K$5:$AJ$170,0,MATCH(F$2,Inputs!$K$4:$AJ$4,0))))+SUMPRODUCT((Inputs!$C$5:$C$170=$B63)*ISNUMBER(INDEX(Inputs!$K$5:$AJ$170,0,MATCH(F$2,Inputs!$K$4:$AJ$4,0))))+SUMPRODUCT((Inputs!$E$5:$E$170=$B63)*ISNUMBER(INDEX(Inputs!$K$5:$AJ$170,0,MATCH(F$2,Inputs!$K$4:$AJ$4,0))))=0,NA(),SUMPRODUCT((Inputs!$A$5:$A$170=$B63)*Inputs!$B$5:$B$170*(((Inputs!$G$5:$G$170="moeda")+(Inputs!$G$5:$G$170="acoes"))*Inputs!$B$1+((Inputs!$G$5:$G$170&lt;&gt;"moeda")*(Inputs!$G$5:$G$170&lt;&gt;"acoes")))*INDEX(Inputs!$K$5:$AJ$170,0,MATCH(F$2,Inputs!$K$4:$AJ$4,0)))+SUMPRODUCT((Inputs!$C$5:$C$170=$B63)*Inputs!$D$5:$D$170*(((Inputs!$G$5:$G$170="moeda")+(Inputs!$G$5:$G$170="acoes"))*Inputs!$B$1+((Inputs!$G$5:$G$170&lt;&gt;"moeda")*(Inputs!$G$5:$G$170&lt;&gt;"acoes")))*INDEX(Inputs!$K$5:$AJ$170,0,MATCH(F$2,Inputs!$K$4:$AJ$4,0)))+SUMPRODUCT((Inputs!$E$5:$E$170=$B63)*Inputs!$F$5:$F$170*(((Inputs!$G$5:$G$170="moeda")+(Inputs!$G$5:$G$170="acoes"))*Inputs!$B$1+((Inputs!$G$5:$G$170&lt;&gt;"moeda")*(Inputs!$G$5:$G$170&lt;&gt;"acoes")))*INDEX(Inputs!$K$5:$AJ$170,0,MATCH(F$2,Inputs!$K$4:$AJ$4,0)))))</f>
        <v>5143.355</v>
      </c>
      <c r="G63" s="264">
        <f>IF(ISNA(MATCH(G$2,Inputs!$K$4:$AJ$4,0)),NA(),IF(SUMPRODUCT((Inputs!$A$5:$A$170=$B63)*ISNUMBER(INDEX(Inputs!$K$5:$AJ$170,0,MATCH(G$2,Inputs!$K$4:$AJ$4,0))))+SUMPRODUCT((Inputs!$C$5:$C$170=$B63)*ISNUMBER(INDEX(Inputs!$K$5:$AJ$170,0,MATCH(G$2,Inputs!$K$4:$AJ$4,0))))+SUMPRODUCT((Inputs!$E$5:$E$170=$B63)*ISNUMBER(INDEX(Inputs!$K$5:$AJ$170,0,MATCH(G$2,Inputs!$K$4:$AJ$4,0))))=0,NA(),SUMPRODUCT((Inputs!$A$5:$A$170=$B63)*Inputs!$B$5:$B$170*(((Inputs!$G$5:$G$170="moeda")+(Inputs!$G$5:$G$170="acoes"))*Inputs!$B$1+((Inputs!$G$5:$G$170&lt;&gt;"moeda")*(Inputs!$G$5:$G$170&lt;&gt;"acoes")))*INDEX(Inputs!$K$5:$AJ$170,0,MATCH(G$2,Inputs!$K$4:$AJ$4,0)))+SUMPRODUCT((Inputs!$C$5:$C$170=$B63)*Inputs!$D$5:$D$170*(((Inputs!$G$5:$G$170="moeda")+(Inputs!$G$5:$G$170="acoes"))*Inputs!$B$1+((Inputs!$G$5:$G$170&lt;&gt;"moeda")*(Inputs!$G$5:$G$170&lt;&gt;"acoes")))*INDEX(Inputs!$K$5:$AJ$170,0,MATCH(G$2,Inputs!$K$4:$AJ$4,0)))+SUMPRODUCT((Inputs!$E$5:$E$170=$B63)*Inputs!$F$5:$F$170*(((Inputs!$G$5:$G$170="moeda")+(Inputs!$G$5:$G$170="acoes"))*Inputs!$B$1+((Inputs!$G$5:$G$170&lt;&gt;"moeda")*(Inputs!$G$5:$G$170&lt;&gt;"acoes")))*INDEX(Inputs!$K$5:$AJ$170,0,MATCH(G$2,Inputs!$K$4:$AJ$4,0)))))</f>
        <v>5281.203</v>
      </c>
      <c r="H63" s="265">
        <f>SUM(D63:G63)</f>
        <v>20109.99</v>
      </c>
      <c r="I63" s="264">
        <f>IF(ISNA(MATCH(I$2,Inputs!$K$4:$AJ$4,0)),NA(),IF(SUMPRODUCT((Inputs!$A$5:$A$170=$B63)*ISNUMBER(INDEX(Inputs!$K$5:$AJ$170,0,MATCH(I$2,Inputs!$K$4:$AJ$4,0))))+SUMPRODUCT((Inputs!$C$5:$C$170=$B63)*ISNUMBER(INDEX(Inputs!$K$5:$AJ$170,0,MATCH(I$2,Inputs!$K$4:$AJ$4,0))))+SUMPRODUCT((Inputs!$E$5:$E$170=$B63)*ISNUMBER(INDEX(Inputs!$K$5:$AJ$170,0,MATCH(I$2,Inputs!$K$4:$AJ$4,0))))=0,NA(),SUMPRODUCT((Inputs!$A$5:$A$170=$B63)*Inputs!$B$5:$B$170*(((Inputs!$G$5:$G$170="moeda")+(Inputs!$G$5:$G$170="acoes"))*Inputs!$B$1+((Inputs!$G$5:$G$170&lt;&gt;"moeda")*(Inputs!$G$5:$G$170&lt;&gt;"acoes")))*INDEX(Inputs!$K$5:$AJ$170,0,MATCH(I$2,Inputs!$K$4:$AJ$4,0)))+SUMPRODUCT((Inputs!$C$5:$C$170=$B63)*Inputs!$D$5:$D$170*(((Inputs!$G$5:$G$170="moeda")+(Inputs!$G$5:$G$170="acoes"))*Inputs!$B$1+((Inputs!$G$5:$G$170&lt;&gt;"moeda")*(Inputs!$G$5:$G$170&lt;&gt;"acoes")))*INDEX(Inputs!$K$5:$AJ$170,0,MATCH(I$2,Inputs!$K$4:$AJ$4,0)))+SUMPRODUCT((Inputs!$E$5:$E$170=$B63)*Inputs!$F$5:$F$170*(((Inputs!$G$5:$G$170="moeda")+(Inputs!$G$5:$G$170="acoes"))*Inputs!$B$1+((Inputs!$G$5:$G$170&lt;&gt;"moeda")*(Inputs!$G$5:$G$170&lt;&gt;"acoes")))*INDEX(Inputs!$K$5:$AJ$170,0,MATCH(I$2,Inputs!$K$4:$AJ$4,0)))))</f>
        <v>5224.573</v>
      </c>
      <c r="J63" s="264">
        <f>IF(ISNA(MATCH(J$2,Inputs!$K$4:$AJ$4,0)),NA(),IF(SUMPRODUCT((Inputs!$A$5:$A$170=$B63)*ISNUMBER(INDEX(Inputs!$K$5:$AJ$170,0,MATCH(J$2,Inputs!$K$4:$AJ$4,0))))+SUMPRODUCT((Inputs!$C$5:$C$170=$B63)*ISNUMBER(INDEX(Inputs!$K$5:$AJ$170,0,MATCH(J$2,Inputs!$K$4:$AJ$4,0))))+SUMPRODUCT((Inputs!$E$5:$E$170=$B63)*ISNUMBER(INDEX(Inputs!$K$5:$AJ$170,0,MATCH(J$2,Inputs!$K$4:$AJ$4,0))))=0,NA(),SUMPRODUCT((Inputs!$A$5:$A$170=$B63)*Inputs!$B$5:$B$170*(((Inputs!$G$5:$G$170="moeda")+(Inputs!$G$5:$G$170="acoes"))*Inputs!$B$1+((Inputs!$G$5:$G$170&lt;&gt;"moeda")*(Inputs!$G$5:$G$170&lt;&gt;"acoes")))*INDEX(Inputs!$K$5:$AJ$170,0,MATCH(J$2,Inputs!$K$4:$AJ$4,0)))+SUMPRODUCT((Inputs!$C$5:$C$170=$B63)*Inputs!$D$5:$D$170*(((Inputs!$G$5:$G$170="moeda")+(Inputs!$G$5:$G$170="acoes"))*Inputs!$B$1+((Inputs!$G$5:$G$170&lt;&gt;"moeda")*(Inputs!$G$5:$G$170&lt;&gt;"acoes")))*INDEX(Inputs!$K$5:$AJ$170,0,MATCH(J$2,Inputs!$K$4:$AJ$4,0)))+SUMPRODUCT((Inputs!$E$5:$E$170=$B63)*Inputs!$F$5:$F$170*(((Inputs!$G$5:$G$170="moeda")+(Inputs!$G$5:$G$170="acoes"))*Inputs!$B$1+((Inputs!$G$5:$G$170&lt;&gt;"moeda")*(Inputs!$G$5:$G$170&lt;&gt;"acoes")))*INDEX(Inputs!$K$5:$AJ$170,0,MATCH(J$2,Inputs!$K$4:$AJ$4,0)))))</f>
        <v>5677.49</v>
      </c>
      <c r="K63" s="264">
        <f>IF(ISNA(MATCH(K$2,Inputs!$K$4:$AJ$4,0)),NA(),IF(SUMPRODUCT((Inputs!$A$5:$A$170=$B63)*ISNUMBER(INDEX(Inputs!$K$5:$AJ$170,0,MATCH(K$2,Inputs!$K$4:$AJ$4,0))))+SUMPRODUCT((Inputs!$C$5:$C$170=$B63)*ISNUMBER(INDEX(Inputs!$K$5:$AJ$170,0,MATCH(K$2,Inputs!$K$4:$AJ$4,0))))+SUMPRODUCT((Inputs!$E$5:$E$170=$B63)*ISNUMBER(INDEX(Inputs!$K$5:$AJ$170,0,MATCH(K$2,Inputs!$K$4:$AJ$4,0))))=0,NA(),SUMPRODUCT((Inputs!$A$5:$A$170=$B63)*Inputs!$B$5:$B$170*(((Inputs!$G$5:$G$170="moeda")+(Inputs!$G$5:$G$170="acoes"))*Inputs!$B$1+((Inputs!$G$5:$G$170&lt;&gt;"moeda")*(Inputs!$G$5:$G$170&lt;&gt;"acoes")))*INDEX(Inputs!$K$5:$AJ$170,0,MATCH(K$2,Inputs!$K$4:$AJ$4,0)))+SUMPRODUCT((Inputs!$C$5:$C$170=$B63)*Inputs!$D$5:$D$170*(((Inputs!$G$5:$G$170="moeda")+(Inputs!$G$5:$G$170="acoes"))*Inputs!$B$1+((Inputs!$G$5:$G$170&lt;&gt;"moeda")*(Inputs!$G$5:$G$170&lt;&gt;"acoes")))*INDEX(Inputs!$K$5:$AJ$170,0,MATCH(K$2,Inputs!$K$4:$AJ$4,0)))+SUMPRODUCT((Inputs!$E$5:$E$170=$B63)*Inputs!$F$5:$F$170*(((Inputs!$G$5:$G$170="moeda")+(Inputs!$G$5:$G$170="acoes"))*Inputs!$B$1+((Inputs!$G$5:$G$170&lt;&gt;"moeda")*(Inputs!$G$5:$G$170&lt;&gt;"acoes")))*INDEX(Inputs!$K$5:$AJ$170,0,MATCH(K$2,Inputs!$K$4:$AJ$4,0)))))</f>
        <v>5888.846</v>
      </c>
      <c r="L63" s="264">
        <f>IF(ISNA(MATCH(L$2,Inputs!$K$4:$AJ$4,0)),NA(),IF(SUMPRODUCT((Inputs!$A$5:$A$170=$B63)*ISNUMBER(INDEX(Inputs!$K$5:$AJ$170,0,MATCH(L$2,Inputs!$K$4:$AJ$4,0))))+SUMPRODUCT((Inputs!$C$5:$C$170=$B63)*ISNUMBER(INDEX(Inputs!$K$5:$AJ$170,0,MATCH(L$2,Inputs!$K$4:$AJ$4,0))))+SUMPRODUCT((Inputs!$E$5:$E$170=$B63)*ISNUMBER(INDEX(Inputs!$K$5:$AJ$170,0,MATCH(L$2,Inputs!$K$4:$AJ$4,0))))=0,NA(),SUMPRODUCT((Inputs!$A$5:$A$170=$B63)*Inputs!$B$5:$B$170*(((Inputs!$G$5:$G$170="moeda")+(Inputs!$G$5:$G$170="acoes"))*Inputs!$B$1+((Inputs!$G$5:$G$170&lt;&gt;"moeda")*(Inputs!$G$5:$G$170&lt;&gt;"acoes")))*INDEX(Inputs!$K$5:$AJ$170,0,MATCH(L$2,Inputs!$K$4:$AJ$4,0)))+SUMPRODUCT((Inputs!$C$5:$C$170=$B63)*Inputs!$D$5:$D$170*(((Inputs!$G$5:$G$170="moeda")+(Inputs!$G$5:$G$170="acoes"))*Inputs!$B$1+((Inputs!$G$5:$G$170&lt;&gt;"moeda")*(Inputs!$G$5:$G$170&lt;&gt;"acoes")))*INDEX(Inputs!$K$5:$AJ$170,0,MATCH(L$2,Inputs!$K$4:$AJ$4,0)))+SUMPRODUCT((Inputs!$E$5:$E$170=$B63)*Inputs!$F$5:$F$170*(((Inputs!$G$5:$G$170="moeda")+(Inputs!$G$5:$G$170="acoes"))*Inputs!$B$1+((Inputs!$G$5:$G$170&lt;&gt;"moeda")*(Inputs!$G$5:$G$170&lt;&gt;"acoes")))*INDEX(Inputs!$K$5:$AJ$170,0,MATCH(L$2,Inputs!$K$4:$AJ$4,0)))))</f>
        <v>6111.338</v>
      </c>
      <c r="M63" s="265">
        <f>SUM(I63:L63)</f>
        <v>22902.247</v>
      </c>
      <c r="N63" s="264">
        <f>IF(ISNA(MATCH(N$2,Inputs!$K$4:$AJ$4,0)),NA(),IF(SUMPRODUCT((Inputs!$A$5:$A$170=$B63)*ISNUMBER(INDEX(Inputs!$K$5:$AJ$170,0,MATCH(N$2,Inputs!$K$4:$AJ$4,0))))+SUMPRODUCT((Inputs!$C$5:$C$170=$B63)*ISNUMBER(INDEX(Inputs!$K$5:$AJ$170,0,MATCH(N$2,Inputs!$K$4:$AJ$4,0))))+SUMPRODUCT((Inputs!$E$5:$E$170=$B63)*ISNUMBER(INDEX(Inputs!$K$5:$AJ$170,0,MATCH(N$2,Inputs!$K$4:$AJ$4,0))))=0,NA(),SUMPRODUCT((Inputs!$A$5:$A$170=$B63)*Inputs!$B$5:$B$170*(((Inputs!$G$5:$G$170="moeda")+(Inputs!$G$5:$G$170="acoes"))*Inputs!$B$1+((Inputs!$G$5:$G$170&lt;&gt;"moeda")*(Inputs!$G$5:$G$170&lt;&gt;"acoes")))*INDEX(Inputs!$K$5:$AJ$170,0,MATCH(N$2,Inputs!$K$4:$AJ$4,0)))+SUMPRODUCT((Inputs!$C$5:$C$170=$B63)*Inputs!$D$5:$D$170*(((Inputs!$G$5:$G$170="moeda")+(Inputs!$G$5:$G$170="acoes"))*Inputs!$B$1+((Inputs!$G$5:$G$170&lt;&gt;"moeda")*(Inputs!$G$5:$G$170&lt;&gt;"acoes")))*INDEX(Inputs!$K$5:$AJ$170,0,MATCH(N$2,Inputs!$K$4:$AJ$4,0)))+SUMPRODUCT((Inputs!$E$5:$E$170=$B63)*Inputs!$F$5:$F$170*(((Inputs!$G$5:$G$170="moeda")+(Inputs!$G$5:$G$170="acoes"))*Inputs!$B$1+((Inputs!$G$5:$G$170&lt;&gt;"moeda")*(Inputs!$G$5:$G$170&lt;&gt;"acoes")))*INDEX(Inputs!$K$5:$AJ$170,0,MATCH(N$2,Inputs!$K$4:$AJ$4,0)))))</f>
        <v>6218.754</v>
      </c>
      <c r="O63" s="264">
        <f>IF(ISNA(MATCH(O$2,Inputs!$K$4:$AJ$4,0)),NA(),IF(SUMPRODUCT((Inputs!$A$5:$A$170=$B63)*ISNUMBER(INDEX(Inputs!$K$5:$AJ$170,0,MATCH(O$2,Inputs!$K$4:$AJ$4,0))))+SUMPRODUCT((Inputs!$C$5:$C$170=$B63)*ISNUMBER(INDEX(Inputs!$K$5:$AJ$170,0,MATCH(O$2,Inputs!$K$4:$AJ$4,0))))+SUMPRODUCT((Inputs!$E$5:$E$170=$B63)*ISNUMBER(INDEX(Inputs!$K$5:$AJ$170,0,MATCH(O$2,Inputs!$K$4:$AJ$4,0))))=0,NA(),SUMPRODUCT((Inputs!$A$5:$A$170=$B63)*Inputs!$B$5:$B$170*(((Inputs!$G$5:$G$170="moeda")+(Inputs!$G$5:$G$170="acoes"))*Inputs!$B$1+((Inputs!$G$5:$G$170&lt;&gt;"moeda")*(Inputs!$G$5:$G$170&lt;&gt;"acoes")))*INDEX(Inputs!$K$5:$AJ$170,0,MATCH(O$2,Inputs!$K$4:$AJ$4,0)))+SUMPRODUCT((Inputs!$C$5:$C$170=$B63)*Inputs!$D$5:$D$170*(((Inputs!$G$5:$G$170="moeda")+(Inputs!$G$5:$G$170="acoes"))*Inputs!$B$1+((Inputs!$G$5:$G$170&lt;&gt;"moeda")*(Inputs!$G$5:$G$170&lt;&gt;"acoes")))*INDEX(Inputs!$K$5:$AJ$170,0,MATCH(O$2,Inputs!$K$4:$AJ$4,0)))+SUMPRODUCT((Inputs!$E$5:$E$170=$B63)*Inputs!$F$5:$F$170*(((Inputs!$G$5:$G$170="moeda")+(Inputs!$G$5:$G$170="acoes"))*Inputs!$B$1+((Inputs!$G$5:$G$170&lt;&gt;"moeda")*(Inputs!$G$5:$G$170&lt;&gt;"acoes")))*INDEX(Inputs!$K$5:$AJ$170,0,MATCH(O$2,Inputs!$K$4:$AJ$4,0)))))</f>
        <v>5837.236</v>
      </c>
      <c r="P63" s="264">
        <f>IF(ISNA(MATCH(P$2,Inputs!$K$4:$AJ$4,0)),NA(),IF(SUMPRODUCT((Inputs!$A$5:$A$170=$B63)*ISNUMBER(INDEX(Inputs!$K$5:$AJ$170,0,MATCH(P$2,Inputs!$K$4:$AJ$4,0))))+SUMPRODUCT((Inputs!$C$5:$C$170=$B63)*ISNUMBER(INDEX(Inputs!$K$5:$AJ$170,0,MATCH(P$2,Inputs!$K$4:$AJ$4,0))))+SUMPRODUCT((Inputs!$E$5:$E$170=$B63)*ISNUMBER(INDEX(Inputs!$K$5:$AJ$170,0,MATCH(P$2,Inputs!$K$4:$AJ$4,0))))=0,NA(),SUMPRODUCT((Inputs!$A$5:$A$170=$B63)*Inputs!$B$5:$B$170*(((Inputs!$G$5:$G$170="moeda")+(Inputs!$G$5:$G$170="acoes"))*Inputs!$B$1+((Inputs!$G$5:$G$170&lt;&gt;"moeda")*(Inputs!$G$5:$G$170&lt;&gt;"acoes")))*INDEX(Inputs!$K$5:$AJ$170,0,MATCH(P$2,Inputs!$K$4:$AJ$4,0)))+SUMPRODUCT((Inputs!$C$5:$C$170=$B63)*Inputs!$D$5:$D$170*(((Inputs!$G$5:$G$170="moeda")+(Inputs!$G$5:$G$170="acoes"))*Inputs!$B$1+((Inputs!$G$5:$G$170&lt;&gt;"moeda")*(Inputs!$G$5:$G$170&lt;&gt;"acoes")))*INDEX(Inputs!$K$5:$AJ$170,0,MATCH(P$2,Inputs!$K$4:$AJ$4,0)))+SUMPRODUCT((Inputs!$E$5:$E$170=$B63)*Inputs!$F$5:$F$170*(((Inputs!$G$5:$G$170="moeda")+(Inputs!$G$5:$G$170="acoes"))*Inputs!$B$1+((Inputs!$G$5:$G$170&lt;&gt;"moeda")*(Inputs!$G$5:$G$170&lt;&gt;"acoes")))*INDEX(Inputs!$K$5:$AJ$170,0,MATCH(P$2,Inputs!$K$4:$AJ$4,0)))))</f>
        <v>5819.624</v>
      </c>
      <c r="Q63" s="264">
        <f>IF(ISNA(MATCH(Q$2,Inputs!$K$4:$AJ$4,0)),NA(),IF(SUMPRODUCT((Inputs!$A$5:$A$170=$B63)*ISNUMBER(INDEX(Inputs!$K$5:$AJ$170,0,MATCH(Q$2,Inputs!$K$4:$AJ$4,0))))+SUMPRODUCT((Inputs!$C$5:$C$170=$B63)*ISNUMBER(INDEX(Inputs!$K$5:$AJ$170,0,MATCH(Q$2,Inputs!$K$4:$AJ$4,0))))+SUMPRODUCT((Inputs!$E$5:$E$170=$B63)*ISNUMBER(INDEX(Inputs!$K$5:$AJ$170,0,MATCH(Q$2,Inputs!$K$4:$AJ$4,0))))=0,NA(),SUMPRODUCT((Inputs!$A$5:$A$170=$B63)*Inputs!$B$5:$B$170*(((Inputs!$G$5:$G$170="moeda")+(Inputs!$G$5:$G$170="acoes"))*Inputs!$B$1+((Inputs!$G$5:$G$170&lt;&gt;"moeda")*(Inputs!$G$5:$G$170&lt;&gt;"acoes")))*INDEX(Inputs!$K$5:$AJ$170,0,MATCH(Q$2,Inputs!$K$4:$AJ$4,0)))+SUMPRODUCT((Inputs!$C$5:$C$170=$B63)*Inputs!$D$5:$D$170*(((Inputs!$G$5:$G$170="moeda")+(Inputs!$G$5:$G$170="acoes"))*Inputs!$B$1+((Inputs!$G$5:$G$170&lt;&gt;"moeda")*(Inputs!$G$5:$G$170&lt;&gt;"acoes")))*INDEX(Inputs!$K$5:$AJ$170,0,MATCH(Q$2,Inputs!$K$4:$AJ$4,0)))+SUMPRODUCT((Inputs!$E$5:$E$170=$B63)*Inputs!$F$5:$F$170*(((Inputs!$G$5:$G$170="moeda")+(Inputs!$G$5:$G$170="acoes"))*Inputs!$B$1+((Inputs!$G$5:$G$170&lt;&gt;"moeda")*(Inputs!$G$5:$G$170&lt;&gt;"acoes")))*INDEX(Inputs!$K$5:$AJ$170,0,MATCH(Q$2,Inputs!$K$4:$AJ$4,0)))))</f>
        <v>5945.636</v>
      </c>
      <c r="R63" s="265">
        <f>SUM(N63:Q63)</f>
        <v>23821.25</v>
      </c>
      <c r="S63" s="264">
        <f>IF(ISNA(MATCH(S$2,Inputs!$K$4:$AJ$4,0)),NA(),IF(SUMPRODUCT((Inputs!$A$5:$A$170=$B63)*ISNUMBER(INDEX(Inputs!$K$5:$AJ$170,0,MATCH(S$2,Inputs!$K$4:$AJ$4,0))))+SUMPRODUCT((Inputs!$C$5:$C$170=$B63)*ISNUMBER(INDEX(Inputs!$K$5:$AJ$170,0,MATCH(S$2,Inputs!$K$4:$AJ$4,0))))+SUMPRODUCT((Inputs!$E$5:$E$170=$B63)*ISNUMBER(INDEX(Inputs!$K$5:$AJ$170,0,MATCH(S$2,Inputs!$K$4:$AJ$4,0))))=0,NA(),SUMPRODUCT((Inputs!$A$5:$A$170=$B63)*Inputs!$B$5:$B$170*(((Inputs!$G$5:$G$170="moeda")+(Inputs!$G$5:$G$170="acoes"))*Inputs!$B$1+((Inputs!$G$5:$G$170&lt;&gt;"moeda")*(Inputs!$G$5:$G$170&lt;&gt;"acoes")))*INDEX(Inputs!$K$5:$AJ$170,0,MATCH(S$2,Inputs!$K$4:$AJ$4,0)))+SUMPRODUCT((Inputs!$C$5:$C$170=$B63)*Inputs!$D$5:$D$170*(((Inputs!$G$5:$G$170="moeda")+(Inputs!$G$5:$G$170="acoes"))*Inputs!$B$1+((Inputs!$G$5:$G$170&lt;&gt;"moeda")*(Inputs!$G$5:$G$170&lt;&gt;"acoes")))*INDEX(Inputs!$K$5:$AJ$170,0,MATCH(S$2,Inputs!$K$4:$AJ$4,0)))+SUMPRODUCT((Inputs!$E$5:$E$170=$B63)*Inputs!$F$5:$F$170*(((Inputs!$G$5:$G$170="moeda")+(Inputs!$G$5:$G$170="acoes"))*Inputs!$B$1+((Inputs!$G$5:$G$170&lt;&gt;"moeda")*(Inputs!$G$5:$G$170&lt;&gt;"acoes")))*INDEX(Inputs!$K$5:$AJ$170,0,MATCH(S$2,Inputs!$K$4:$AJ$4,0)))))</f>
        <v>6414.484</v>
      </c>
      <c r="T63" s="264">
        <f>IF(ISNA(MATCH(T$2,Inputs!$K$4:$AJ$4,0)),NA(),IF(SUMPRODUCT((Inputs!$A$5:$A$170=$B63)*ISNUMBER(INDEX(Inputs!$K$5:$AJ$170,0,MATCH(T$2,Inputs!$K$4:$AJ$4,0))))+SUMPRODUCT((Inputs!$C$5:$C$170=$B63)*ISNUMBER(INDEX(Inputs!$K$5:$AJ$170,0,MATCH(T$2,Inputs!$K$4:$AJ$4,0))))+SUMPRODUCT((Inputs!$E$5:$E$170=$B63)*ISNUMBER(INDEX(Inputs!$K$5:$AJ$170,0,MATCH(T$2,Inputs!$K$4:$AJ$4,0))))=0,NA(),SUMPRODUCT((Inputs!$A$5:$A$170=$B63)*Inputs!$B$5:$B$170*(((Inputs!$G$5:$G$170="moeda")+(Inputs!$G$5:$G$170="acoes"))*Inputs!$B$1+((Inputs!$G$5:$G$170&lt;&gt;"moeda")*(Inputs!$G$5:$G$170&lt;&gt;"acoes")))*INDEX(Inputs!$K$5:$AJ$170,0,MATCH(T$2,Inputs!$K$4:$AJ$4,0)))+SUMPRODUCT((Inputs!$C$5:$C$170=$B63)*Inputs!$D$5:$D$170*(((Inputs!$G$5:$G$170="moeda")+(Inputs!$G$5:$G$170="acoes"))*Inputs!$B$1+((Inputs!$G$5:$G$170&lt;&gt;"moeda")*(Inputs!$G$5:$G$170&lt;&gt;"acoes")))*INDEX(Inputs!$K$5:$AJ$170,0,MATCH(T$2,Inputs!$K$4:$AJ$4,0)))+SUMPRODUCT((Inputs!$E$5:$E$170=$B63)*Inputs!$F$5:$F$170*(((Inputs!$G$5:$G$170="moeda")+(Inputs!$G$5:$G$170="acoes"))*Inputs!$B$1+((Inputs!$G$5:$G$170&lt;&gt;"moeda")*(Inputs!$G$5:$G$170&lt;&gt;"acoes")))*INDEX(Inputs!$K$5:$AJ$170,0,MATCH(T$2,Inputs!$K$4:$AJ$4,0)))))</f>
        <v>6200.041</v>
      </c>
      <c r="U63" s="264">
        <f>IF(ISNA(MATCH(U$2,Inputs!$K$4:$AJ$4,0)),NA(),IF(SUMPRODUCT((Inputs!$A$5:$A$170=$B63)*ISNUMBER(INDEX(Inputs!$K$5:$AJ$170,0,MATCH(U$2,Inputs!$K$4:$AJ$4,0))))+SUMPRODUCT((Inputs!$C$5:$C$170=$B63)*ISNUMBER(INDEX(Inputs!$K$5:$AJ$170,0,MATCH(U$2,Inputs!$K$4:$AJ$4,0))))+SUMPRODUCT((Inputs!$E$5:$E$170=$B63)*ISNUMBER(INDEX(Inputs!$K$5:$AJ$170,0,MATCH(U$2,Inputs!$K$4:$AJ$4,0))))=0,NA(),SUMPRODUCT((Inputs!$A$5:$A$170=$B63)*Inputs!$B$5:$B$170*(((Inputs!$G$5:$G$170="moeda")+(Inputs!$G$5:$G$170="acoes"))*Inputs!$B$1+((Inputs!$G$5:$G$170&lt;&gt;"moeda")*(Inputs!$G$5:$G$170&lt;&gt;"acoes")))*INDEX(Inputs!$K$5:$AJ$170,0,MATCH(U$2,Inputs!$K$4:$AJ$4,0)))+SUMPRODUCT((Inputs!$C$5:$C$170=$B63)*Inputs!$D$5:$D$170*(((Inputs!$G$5:$G$170="moeda")+(Inputs!$G$5:$G$170="acoes"))*Inputs!$B$1+((Inputs!$G$5:$G$170&lt;&gt;"moeda")*(Inputs!$G$5:$G$170&lt;&gt;"acoes")))*INDEX(Inputs!$K$5:$AJ$170,0,MATCH(U$2,Inputs!$K$4:$AJ$4,0)))+SUMPRODUCT((Inputs!$E$5:$E$170=$B63)*Inputs!$F$5:$F$170*(((Inputs!$G$5:$G$170="moeda")+(Inputs!$G$5:$G$170="acoes"))*Inputs!$B$1+((Inputs!$G$5:$G$170&lt;&gt;"moeda")*(Inputs!$G$5:$G$170&lt;&gt;"acoes")))*INDEX(Inputs!$K$5:$AJ$170,0,MATCH(U$2,Inputs!$K$4:$AJ$4,0)))))</f>
        <v>6004.671</v>
      </c>
      <c r="V63" s="264">
        <f>IF(ISNA(MATCH(V$2,Inputs!$K$4:$AJ$4,0)),NA(),IF(SUMPRODUCT((Inputs!$A$5:$A$170=$B63)*ISNUMBER(INDEX(Inputs!$K$5:$AJ$170,0,MATCH(V$2,Inputs!$K$4:$AJ$4,0))))+SUMPRODUCT((Inputs!$C$5:$C$170=$B63)*ISNUMBER(INDEX(Inputs!$K$5:$AJ$170,0,MATCH(V$2,Inputs!$K$4:$AJ$4,0))))+SUMPRODUCT((Inputs!$E$5:$E$170=$B63)*ISNUMBER(INDEX(Inputs!$K$5:$AJ$170,0,MATCH(V$2,Inputs!$K$4:$AJ$4,0))))=0,NA(),SUMPRODUCT((Inputs!$A$5:$A$170=$B63)*Inputs!$B$5:$B$170*(((Inputs!$G$5:$G$170="moeda")+(Inputs!$G$5:$G$170="acoes"))*Inputs!$B$1+((Inputs!$G$5:$G$170&lt;&gt;"moeda")*(Inputs!$G$5:$G$170&lt;&gt;"acoes")))*INDEX(Inputs!$K$5:$AJ$170,0,MATCH(V$2,Inputs!$K$4:$AJ$4,0)))+SUMPRODUCT((Inputs!$C$5:$C$170=$B63)*Inputs!$D$5:$D$170*(((Inputs!$G$5:$G$170="moeda")+(Inputs!$G$5:$G$170="acoes"))*Inputs!$B$1+((Inputs!$G$5:$G$170&lt;&gt;"moeda")*(Inputs!$G$5:$G$170&lt;&gt;"acoes")))*INDEX(Inputs!$K$5:$AJ$170,0,MATCH(V$2,Inputs!$K$4:$AJ$4,0)))+SUMPRODUCT((Inputs!$E$5:$E$170=$B63)*Inputs!$F$5:$F$170*(((Inputs!$G$5:$G$170="moeda")+(Inputs!$G$5:$G$170="acoes"))*Inputs!$B$1+((Inputs!$G$5:$G$170&lt;&gt;"moeda")*(Inputs!$G$5:$G$170&lt;&gt;"acoes")))*INDEX(Inputs!$K$5:$AJ$170,0,MATCH(V$2,Inputs!$K$4:$AJ$4,0)))))</f>
        <v>5958.805</v>
      </c>
      <c r="W63" s="265">
        <f>SUM(S63:V63)</f>
        <v>24578.001</v>
      </c>
      <c r="X63" s="264">
        <f>IF(ISNA(MATCH(X$2,Inputs!$K$4:$AJ$4,0)),NA(),IF(SUMPRODUCT((Inputs!$A$5:$A$170=$B63)*ISNUMBER(INDEX(Inputs!$K$5:$AJ$170,0,MATCH(X$2,Inputs!$K$4:$AJ$4,0))))+SUMPRODUCT((Inputs!$C$5:$C$170=$B63)*ISNUMBER(INDEX(Inputs!$K$5:$AJ$170,0,MATCH(X$2,Inputs!$K$4:$AJ$4,0))))+SUMPRODUCT((Inputs!$E$5:$E$170=$B63)*ISNUMBER(INDEX(Inputs!$K$5:$AJ$170,0,MATCH(X$2,Inputs!$K$4:$AJ$4,0))))=0,NA(),SUMPRODUCT((Inputs!$A$5:$A$170=$B63)*Inputs!$B$5:$B$170*(((Inputs!$G$5:$G$170="moeda")+(Inputs!$G$5:$G$170="acoes"))*Inputs!$B$1+((Inputs!$G$5:$G$170&lt;&gt;"moeda")*(Inputs!$G$5:$G$170&lt;&gt;"acoes")))*INDEX(Inputs!$K$5:$AJ$170,0,MATCH(X$2,Inputs!$K$4:$AJ$4,0)))+SUMPRODUCT((Inputs!$C$5:$C$170=$B63)*Inputs!$D$5:$D$170*(((Inputs!$G$5:$G$170="moeda")+(Inputs!$G$5:$G$170="acoes"))*Inputs!$B$1+((Inputs!$G$5:$G$170&lt;&gt;"moeda")*(Inputs!$G$5:$G$170&lt;&gt;"acoes")))*INDEX(Inputs!$K$5:$AJ$170,0,MATCH(X$2,Inputs!$K$4:$AJ$4,0)))+SUMPRODUCT((Inputs!$E$5:$E$170=$B63)*Inputs!$F$5:$F$170*(((Inputs!$G$5:$G$170="moeda")+(Inputs!$G$5:$G$170="acoes"))*Inputs!$B$1+((Inputs!$G$5:$G$170&lt;&gt;"moeda")*(Inputs!$G$5:$G$170&lt;&gt;"acoes")))*INDEX(Inputs!$K$5:$AJ$170,0,MATCH(X$2,Inputs!$K$4:$AJ$4,0)))))</f>
        <v>6026.629</v>
      </c>
      <c r="Y63" s="264">
        <f>IF(ISNA(MATCH(Y$2,Inputs!$K$4:$AJ$4,0)),NA(),IF(SUMPRODUCT((Inputs!$A$5:$A$170=$B63)*ISNUMBER(INDEX(Inputs!$K$5:$AJ$170,0,MATCH(Y$2,Inputs!$K$4:$AJ$4,0))))+SUMPRODUCT((Inputs!$C$5:$C$170=$B63)*ISNUMBER(INDEX(Inputs!$K$5:$AJ$170,0,MATCH(Y$2,Inputs!$K$4:$AJ$4,0))))+SUMPRODUCT((Inputs!$E$5:$E$170=$B63)*ISNUMBER(INDEX(Inputs!$K$5:$AJ$170,0,MATCH(Y$2,Inputs!$K$4:$AJ$4,0))))=0,NA(),SUMPRODUCT((Inputs!$A$5:$A$170=$B63)*Inputs!$B$5:$B$170*(((Inputs!$G$5:$G$170="moeda")+(Inputs!$G$5:$G$170="acoes"))*Inputs!$B$1+((Inputs!$G$5:$G$170&lt;&gt;"moeda")*(Inputs!$G$5:$G$170&lt;&gt;"acoes")))*INDEX(Inputs!$K$5:$AJ$170,0,MATCH(Y$2,Inputs!$K$4:$AJ$4,0)))+SUMPRODUCT((Inputs!$C$5:$C$170=$B63)*Inputs!$D$5:$D$170*(((Inputs!$G$5:$G$170="moeda")+(Inputs!$G$5:$G$170="acoes"))*Inputs!$B$1+((Inputs!$G$5:$G$170&lt;&gt;"moeda")*(Inputs!$G$5:$G$170&lt;&gt;"acoes")))*INDEX(Inputs!$K$5:$AJ$170,0,MATCH(Y$2,Inputs!$K$4:$AJ$4,0)))+SUMPRODUCT((Inputs!$E$5:$E$170=$B63)*Inputs!$F$5:$F$170*(((Inputs!$G$5:$G$170="moeda")+(Inputs!$G$5:$G$170="acoes"))*Inputs!$B$1+((Inputs!$G$5:$G$170&lt;&gt;"moeda")*(Inputs!$G$5:$G$170&lt;&gt;"acoes")))*INDEX(Inputs!$K$5:$AJ$170,0,MATCH(Y$2,Inputs!$K$4:$AJ$4,0)))))</f>
        <v>6070.355</v>
      </c>
      <c r="Z63" s="264">
        <f>IF(ISNA(MATCH(Z$2,Inputs!$K$4:$AJ$4,0)),NA(),IF(SUMPRODUCT((Inputs!$A$5:$A$170=$B63)*ISNUMBER(INDEX(Inputs!$K$5:$AJ$170,0,MATCH(Z$2,Inputs!$K$4:$AJ$4,0))))+SUMPRODUCT((Inputs!$C$5:$C$170=$B63)*ISNUMBER(INDEX(Inputs!$K$5:$AJ$170,0,MATCH(Z$2,Inputs!$K$4:$AJ$4,0))))+SUMPRODUCT((Inputs!$E$5:$E$170=$B63)*ISNUMBER(INDEX(Inputs!$K$5:$AJ$170,0,MATCH(Z$2,Inputs!$K$4:$AJ$4,0))))=0,NA(),SUMPRODUCT((Inputs!$A$5:$A$170=$B63)*Inputs!$B$5:$B$170*(((Inputs!$G$5:$G$170="moeda")+(Inputs!$G$5:$G$170="acoes"))*Inputs!$B$1+((Inputs!$G$5:$G$170&lt;&gt;"moeda")*(Inputs!$G$5:$G$170&lt;&gt;"acoes")))*INDEX(Inputs!$K$5:$AJ$170,0,MATCH(Z$2,Inputs!$K$4:$AJ$4,0)))+SUMPRODUCT((Inputs!$C$5:$C$170=$B63)*Inputs!$D$5:$D$170*(((Inputs!$G$5:$G$170="moeda")+(Inputs!$G$5:$G$170="acoes"))*Inputs!$B$1+((Inputs!$G$5:$G$170&lt;&gt;"moeda")*(Inputs!$G$5:$G$170&lt;&gt;"acoes")))*INDEX(Inputs!$K$5:$AJ$170,0,MATCH(Z$2,Inputs!$K$4:$AJ$4,0)))+SUMPRODUCT((Inputs!$E$5:$E$170=$B63)*Inputs!$F$5:$F$170*(((Inputs!$G$5:$G$170="moeda")+(Inputs!$G$5:$G$170="acoes"))*Inputs!$B$1+((Inputs!$G$5:$G$170&lt;&gt;"moeda")*(Inputs!$G$5:$G$170&lt;&gt;"acoes")))*INDEX(Inputs!$K$5:$AJ$170,0,MATCH(Z$2,Inputs!$K$4:$AJ$4,0)))))</f>
        <v>6084.784</v>
      </c>
      <c r="AA63" s="264">
        <f>IF(ISNA(MATCH(AA$2,Inputs!$K$4:$AJ$4,0)),NA(),IF(SUMPRODUCT((Inputs!$A$5:$A$170=$B63)*ISNUMBER(INDEX(Inputs!$K$5:$AJ$170,0,MATCH(AA$2,Inputs!$K$4:$AJ$4,0))))+SUMPRODUCT((Inputs!$C$5:$C$170=$B63)*ISNUMBER(INDEX(Inputs!$K$5:$AJ$170,0,MATCH(AA$2,Inputs!$K$4:$AJ$4,0))))+SUMPRODUCT((Inputs!$E$5:$E$170=$B63)*ISNUMBER(INDEX(Inputs!$K$5:$AJ$170,0,MATCH(AA$2,Inputs!$K$4:$AJ$4,0))))=0,NA(),SUMPRODUCT((Inputs!$A$5:$A$170=$B63)*Inputs!$B$5:$B$170*(((Inputs!$G$5:$G$170="moeda")+(Inputs!$G$5:$G$170="acoes"))*Inputs!$B$1+((Inputs!$G$5:$G$170&lt;&gt;"moeda")*(Inputs!$G$5:$G$170&lt;&gt;"acoes")))*INDEX(Inputs!$K$5:$AJ$170,0,MATCH(AA$2,Inputs!$K$4:$AJ$4,0)))+SUMPRODUCT((Inputs!$C$5:$C$170=$B63)*Inputs!$D$5:$D$170*(((Inputs!$G$5:$G$170="moeda")+(Inputs!$G$5:$G$170="acoes"))*Inputs!$B$1+((Inputs!$G$5:$G$170&lt;&gt;"moeda")*(Inputs!$G$5:$G$170&lt;&gt;"acoes")))*INDEX(Inputs!$K$5:$AJ$170,0,MATCH(AA$2,Inputs!$K$4:$AJ$4,0)))+SUMPRODUCT((Inputs!$E$5:$E$170=$B63)*Inputs!$F$5:$F$170*(((Inputs!$G$5:$G$170="moeda")+(Inputs!$G$5:$G$170="acoes"))*Inputs!$B$1+((Inputs!$G$5:$G$170&lt;&gt;"moeda")*(Inputs!$G$5:$G$170&lt;&gt;"acoes")))*INDEX(Inputs!$K$5:$AJ$170,0,MATCH(AA$2,Inputs!$K$4:$AJ$4,0)))))</f>
        <v>6688.82</v>
      </c>
      <c r="AB63" s="265">
        <f>SUM(X63:AA63)</f>
        <v>24870.588</v>
      </c>
      <c r="AC63" s="264">
        <f>IF(ISNA(MATCH(AC$2,Inputs!$K$4:$AJ$4,0)),NA(),IF(SUMPRODUCT((Inputs!$A$5:$A$170=$B63)*ISNUMBER(INDEX(Inputs!$K$5:$AJ$170,0,MATCH(AC$2,Inputs!$K$4:$AJ$4,0))))+SUMPRODUCT((Inputs!$C$5:$C$170=$B63)*ISNUMBER(INDEX(Inputs!$K$5:$AJ$170,0,MATCH(AC$2,Inputs!$K$4:$AJ$4,0))))+SUMPRODUCT((Inputs!$E$5:$E$170=$B63)*ISNUMBER(INDEX(Inputs!$K$5:$AJ$170,0,MATCH(AC$2,Inputs!$K$4:$AJ$4,0))))=0,NA(),SUMPRODUCT((Inputs!$A$5:$A$170=$B63)*Inputs!$B$5:$B$170*(((Inputs!$G$5:$G$170="moeda")+(Inputs!$G$5:$G$170="acoes"))*Inputs!$B$1+((Inputs!$G$5:$G$170&lt;&gt;"moeda")*(Inputs!$G$5:$G$170&lt;&gt;"acoes")))*INDEX(Inputs!$K$5:$AJ$170,0,MATCH(AC$2,Inputs!$K$4:$AJ$4,0)))+SUMPRODUCT((Inputs!$C$5:$C$170=$B63)*Inputs!$D$5:$D$170*(((Inputs!$G$5:$G$170="moeda")+(Inputs!$G$5:$G$170="acoes"))*Inputs!$B$1+((Inputs!$G$5:$G$170&lt;&gt;"moeda")*(Inputs!$G$5:$G$170&lt;&gt;"acoes")))*INDEX(Inputs!$K$5:$AJ$170,0,MATCH(AC$2,Inputs!$K$4:$AJ$4,0)))+SUMPRODUCT((Inputs!$E$5:$E$170=$B63)*Inputs!$F$5:$F$170*(((Inputs!$G$5:$G$170="moeda")+(Inputs!$G$5:$G$170="acoes"))*Inputs!$B$1+((Inputs!$G$5:$G$170&lt;&gt;"moeda")*(Inputs!$G$5:$G$170&lt;&gt;"acoes")))*INDEX(Inputs!$K$5:$AJ$170,0,MATCH(AC$2,Inputs!$K$4:$AJ$4,0)))))</f>
        <v>7085.31514955121</v>
      </c>
      <c r="AD63" s="264">
        <f>IF(ISNA(MATCH(AD$2,Inputs!$K$4:$AJ$4,0)),NA(),IF(SUMPRODUCT((Inputs!$A$5:$A$170=$B63)*ISNUMBER(INDEX(Inputs!$K$5:$AJ$170,0,MATCH(AD$2,Inputs!$K$4:$AJ$4,0))))+SUMPRODUCT((Inputs!$C$5:$C$170=$B63)*ISNUMBER(INDEX(Inputs!$K$5:$AJ$170,0,MATCH(AD$2,Inputs!$K$4:$AJ$4,0))))+SUMPRODUCT((Inputs!$E$5:$E$170=$B63)*ISNUMBER(INDEX(Inputs!$K$5:$AJ$170,0,MATCH(AD$2,Inputs!$K$4:$AJ$4,0))))=0,NA(),SUMPRODUCT((Inputs!$A$5:$A$170=$B63)*Inputs!$B$5:$B$170*(((Inputs!$G$5:$G$170="moeda")+(Inputs!$G$5:$G$170="acoes"))*Inputs!$B$1+((Inputs!$G$5:$G$170&lt;&gt;"moeda")*(Inputs!$G$5:$G$170&lt;&gt;"acoes")))*INDEX(Inputs!$K$5:$AJ$170,0,MATCH(AD$2,Inputs!$K$4:$AJ$4,0)))+SUMPRODUCT((Inputs!$C$5:$C$170=$B63)*Inputs!$D$5:$D$170*(((Inputs!$G$5:$G$170="moeda")+(Inputs!$G$5:$G$170="acoes"))*Inputs!$B$1+((Inputs!$G$5:$G$170&lt;&gt;"moeda")*(Inputs!$G$5:$G$170&lt;&gt;"acoes")))*INDEX(Inputs!$K$5:$AJ$170,0,MATCH(AD$2,Inputs!$K$4:$AJ$4,0)))+SUMPRODUCT((Inputs!$E$5:$E$170=$B63)*Inputs!$F$5:$F$170*(((Inputs!$G$5:$G$170="moeda")+(Inputs!$G$5:$G$170="acoes"))*Inputs!$B$1+((Inputs!$G$5:$G$170&lt;&gt;"moeda")*(Inputs!$G$5:$G$170&lt;&gt;"acoes")))*INDEX(Inputs!$K$5:$AJ$170,0,MATCH(AD$2,Inputs!$K$4:$AJ$4,0)))))</f>
        <v>7412.78699999912</v>
      </c>
      <c r="AE63" s="264" t="e">
        <f>IF(ISNA(MATCH(AE$2,Inputs!$K$4:$AJ$4,0)),NA(),IF(SUMPRODUCT((Inputs!$A$5:$A$170=$B63)*ISNUMBER(INDEX(Inputs!$K$5:$AJ$170,0,MATCH(AE$2,Inputs!$K$4:$AJ$4,0))))+SUMPRODUCT((Inputs!$C$5:$C$170=$B63)*ISNUMBER(INDEX(Inputs!$K$5:$AJ$170,0,MATCH(AE$2,Inputs!$K$4:$AJ$4,0))))+SUMPRODUCT((Inputs!$E$5:$E$170=$B63)*ISNUMBER(INDEX(Inputs!$K$5:$AJ$170,0,MATCH(AE$2,Inputs!$K$4:$AJ$4,0))))=0,NA(),SUMPRODUCT((Inputs!$A$5:$A$170=$B63)*Inputs!$B$5:$B$170*(((Inputs!$G$5:$G$170="moeda")+(Inputs!$G$5:$G$170="acoes"))*Inputs!$B$1+((Inputs!$G$5:$G$170&lt;&gt;"moeda")*(Inputs!$G$5:$G$170&lt;&gt;"acoes")))*INDEX(Inputs!$K$5:$AJ$170,0,MATCH(AE$2,Inputs!$K$4:$AJ$4,0)))+SUMPRODUCT((Inputs!$C$5:$C$170=$B63)*Inputs!$D$5:$D$170*(((Inputs!$G$5:$G$170="moeda")+(Inputs!$G$5:$G$170="acoes"))*Inputs!$B$1+((Inputs!$G$5:$G$170&lt;&gt;"moeda")*(Inputs!$G$5:$G$170&lt;&gt;"acoes")))*INDEX(Inputs!$K$5:$AJ$170,0,MATCH(AE$2,Inputs!$K$4:$AJ$4,0)))+SUMPRODUCT((Inputs!$E$5:$E$170=$B63)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3" s="264" t="e">
        <f>IF(ISNA(MATCH(AF$2,Inputs!$K$4:$AJ$4,0)),NA(),IF(SUMPRODUCT((Inputs!$A$5:$A$170=$B63)*ISNUMBER(INDEX(Inputs!$K$5:$AJ$170,0,MATCH(AF$2,Inputs!$K$4:$AJ$4,0))))+SUMPRODUCT((Inputs!$C$5:$C$170=$B63)*ISNUMBER(INDEX(Inputs!$K$5:$AJ$170,0,MATCH(AF$2,Inputs!$K$4:$AJ$4,0))))+SUMPRODUCT((Inputs!$E$5:$E$170=$B63)*ISNUMBER(INDEX(Inputs!$K$5:$AJ$170,0,MATCH(AF$2,Inputs!$K$4:$AJ$4,0))))=0,NA(),SUMPRODUCT((Inputs!$A$5:$A$170=$B63)*Inputs!$B$5:$B$170*(((Inputs!$G$5:$G$170="moeda")+(Inputs!$G$5:$G$170="acoes"))*Inputs!$B$1+((Inputs!$G$5:$G$170&lt;&gt;"moeda")*(Inputs!$G$5:$G$170&lt;&gt;"acoes")))*INDEX(Inputs!$K$5:$AJ$170,0,MATCH(AF$2,Inputs!$K$4:$AJ$4,0)))+SUMPRODUCT((Inputs!$C$5:$C$170=$B63)*Inputs!$D$5:$D$170*(((Inputs!$G$5:$G$170="moeda")+(Inputs!$G$5:$G$170="acoes"))*Inputs!$B$1+((Inputs!$G$5:$G$170&lt;&gt;"moeda")*(Inputs!$G$5:$G$170&lt;&gt;"acoes")))*INDEX(Inputs!$K$5:$AJ$170,0,MATCH(AF$2,Inputs!$K$4:$AJ$4,0)))+SUMPRODUCT((Inputs!$E$5:$E$170=$B63)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3" s="265" t="e">
        <f>SUM(AC63:AF63)</f>
        <v>#N/A</v>
      </c>
      <c r="AH63" s="264">
        <f>IF(ISNA(MATCH(AH$2,Inputs!$K$4:$AJ$4,0)),NA(),IF(SUMPRODUCT((Inputs!$A$5:$A$170=$B63)*ISNUMBER(INDEX(Inputs!$K$5:$AJ$170,0,MATCH(AH$2,Inputs!$K$4:$AJ$4,0))))+SUMPRODUCT((Inputs!$C$5:$C$170=$B63)*ISNUMBER(INDEX(Inputs!$K$5:$AJ$170,0,MATCH(AH$2,Inputs!$K$4:$AJ$4,0))))+SUMPRODUCT((Inputs!$E$5:$E$170=$B63)*ISNUMBER(INDEX(Inputs!$K$5:$AJ$170,0,MATCH(AH$2,Inputs!$K$4:$AJ$4,0))))=0,NA(),SUMPRODUCT((Inputs!$A$5:$A$170=$B63)*Inputs!$B$5:$B$170*(((Inputs!$G$5:$G$170="moeda")+(Inputs!$G$5:$G$170="acoes"))*Inputs!$B$1+((Inputs!$G$5:$G$170&lt;&gt;"moeda")*(Inputs!$G$5:$G$170&lt;&gt;"acoes")))*INDEX(Inputs!$K$5:$AJ$170,0,MATCH(AH$2,Inputs!$K$4:$AJ$4,0)))+SUMPRODUCT((Inputs!$C$5:$C$170=$B63)*Inputs!$D$5:$D$170*(((Inputs!$G$5:$G$170="moeda")+(Inputs!$G$5:$G$170="acoes"))*Inputs!$B$1+((Inputs!$G$5:$G$170&lt;&gt;"moeda")*(Inputs!$G$5:$G$170&lt;&gt;"acoes")))*INDEX(Inputs!$K$5:$AJ$170,0,MATCH(AH$2,Inputs!$K$4:$AJ$4,0)))+SUMPRODUCT((Inputs!$E$5:$E$170=$B63)*Inputs!$F$5:$F$170*(((Inputs!$G$5:$G$170="moeda")+(Inputs!$G$5:$G$170="acoes"))*Inputs!$B$1+((Inputs!$G$5:$G$170&lt;&gt;"moeda")*(Inputs!$G$5:$G$170&lt;&gt;"acoes")))*INDEX(Inputs!$K$5:$AJ$170,0,MATCH(AH$2,Inputs!$K$4:$AJ$4,0)))))</f>
        <v>4419.568</v>
      </c>
      <c r="AI63" s="264">
        <f>IF(ISNA(MATCH(AI$2,Inputs!$K$4:$AJ$4,0)),NA(),IF(SUMPRODUCT((Inputs!$A$5:$A$170=$B63)*ISNUMBER(INDEX(Inputs!$K$5:$AJ$170,0,MATCH(AI$2,Inputs!$K$4:$AJ$4,0))))+SUMPRODUCT((Inputs!$C$5:$C$170=$B63)*ISNUMBER(INDEX(Inputs!$K$5:$AJ$170,0,MATCH(AI$2,Inputs!$K$4:$AJ$4,0))))+SUMPRODUCT((Inputs!$E$5:$E$170=$B63)*ISNUMBER(INDEX(Inputs!$K$5:$AJ$170,0,MATCH(AI$2,Inputs!$K$4:$AJ$4,0))))=0,NA(),SUMPRODUCT((Inputs!$A$5:$A$170=$B63)*Inputs!$B$5:$B$170*(((Inputs!$G$5:$G$170="moeda")+(Inputs!$G$5:$G$170="acoes"))*Inputs!$B$1+((Inputs!$G$5:$G$170&lt;&gt;"moeda")*(Inputs!$G$5:$G$170&lt;&gt;"acoes")))*INDEX(Inputs!$K$5:$AJ$170,0,MATCH(AI$2,Inputs!$K$4:$AJ$4,0)))+SUMPRODUCT((Inputs!$C$5:$C$170=$B63)*Inputs!$D$5:$D$170*(((Inputs!$G$5:$G$170="moeda")+(Inputs!$G$5:$G$170="acoes"))*Inputs!$B$1+((Inputs!$G$5:$G$170&lt;&gt;"moeda")*(Inputs!$G$5:$G$170&lt;&gt;"acoes")))*INDEX(Inputs!$K$5:$AJ$170,0,MATCH(AI$2,Inputs!$K$4:$AJ$4,0)))+SUMPRODUCT((Inputs!$E$5:$E$170=$B63)*Inputs!$F$5:$F$170*(((Inputs!$G$5:$G$170="moeda")+(Inputs!$G$5:$G$170="acoes"))*Inputs!$B$1+((Inputs!$G$5:$G$170&lt;&gt;"moeda")*(Inputs!$G$5:$G$170&lt;&gt;"acoes")))*INDEX(Inputs!$K$5:$AJ$170,0,MATCH(AI$2,Inputs!$K$4:$AJ$4,0)))))</f>
        <v>3462.499</v>
      </c>
      <c r="AJ63" s="264">
        <f>IF(ISNA(MATCH(AJ$2,Inputs!$K$4:$AJ$4,0)),NA(),IF(SUMPRODUCT((Inputs!$A$5:$A$170=$B63)*ISNUMBER(INDEX(Inputs!$K$5:$AJ$170,0,MATCH(AJ$2,Inputs!$K$4:$AJ$4,0))))+SUMPRODUCT((Inputs!$C$5:$C$170=$B63)*ISNUMBER(INDEX(Inputs!$K$5:$AJ$170,0,MATCH(AJ$2,Inputs!$K$4:$AJ$4,0))))+SUMPRODUCT((Inputs!$E$5:$E$170=$B63)*ISNUMBER(INDEX(Inputs!$K$5:$AJ$170,0,MATCH(AJ$2,Inputs!$K$4:$AJ$4,0))))=0,NA(),SUMPRODUCT((Inputs!$A$5:$A$170=$B63)*Inputs!$B$5:$B$170*(((Inputs!$G$5:$G$170="moeda")+(Inputs!$G$5:$G$170="acoes"))*Inputs!$B$1+((Inputs!$G$5:$G$170&lt;&gt;"moeda")*(Inputs!$G$5:$G$170&lt;&gt;"acoes")))*INDEX(Inputs!$K$5:$AJ$170,0,MATCH(AJ$2,Inputs!$K$4:$AJ$4,0)))+SUMPRODUCT((Inputs!$C$5:$C$170=$B63)*Inputs!$D$5:$D$170*(((Inputs!$G$5:$G$170="moeda")+(Inputs!$G$5:$G$170="acoes"))*Inputs!$B$1+((Inputs!$G$5:$G$170&lt;&gt;"moeda")*(Inputs!$G$5:$G$170&lt;&gt;"acoes")))*INDEX(Inputs!$K$5:$AJ$170,0,MATCH(AJ$2,Inputs!$K$4:$AJ$4,0)))+SUMPRODUCT((Inputs!$E$5:$E$170=$B63)*Inputs!$F$5:$F$170*(((Inputs!$G$5:$G$170="moeda")+(Inputs!$G$5:$G$170="acoes"))*Inputs!$B$1+((Inputs!$G$5:$G$170&lt;&gt;"moeda")*(Inputs!$G$5:$G$170&lt;&gt;"acoes")))*INDEX(Inputs!$K$5:$AJ$170,0,MATCH(AJ$2,Inputs!$K$4:$AJ$4,0)))))</f>
        <v>4330.12</v>
      </c>
      <c r="AK63" s="264">
        <f>IF(ISNA(MATCH(AK$2,Inputs!$K$4:$AJ$4,0)),NA(),IF(SUMPRODUCT((Inputs!$A$5:$A$170=$B63)*ISNUMBER(INDEX(Inputs!$K$5:$AJ$170,0,MATCH(AK$2,Inputs!$K$4:$AJ$4,0))))+SUMPRODUCT((Inputs!$C$5:$C$170=$B63)*ISNUMBER(INDEX(Inputs!$K$5:$AJ$170,0,MATCH(AK$2,Inputs!$K$4:$AJ$4,0))))+SUMPRODUCT((Inputs!$E$5:$E$170=$B63)*ISNUMBER(INDEX(Inputs!$K$5:$AJ$170,0,MATCH(AK$2,Inputs!$K$4:$AJ$4,0))))=0,NA(),SUMPRODUCT((Inputs!$A$5:$A$170=$B63)*Inputs!$B$5:$B$170*(((Inputs!$G$5:$G$170="moeda")+(Inputs!$G$5:$G$170="acoes"))*Inputs!$B$1+((Inputs!$G$5:$G$170&lt;&gt;"moeda")*(Inputs!$G$5:$G$170&lt;&gt;"acoes")))*INDEX(Inputs!$K$5:$AJ$170,0,MATCH(AK$2,Inputs!$K$4:$AJ$4,0)))+SUMPRODUCT((Inputs!$C$5:$C$170=$B63)*Inputs!$D$5:$D$170*(((Inputs!$G$5:$G$170="moeda")+(Inputs!$G$5:$G$170="acoes"))*Inputs!$B$1+((Inputs!$G$5:$G$170&lt;&gt;"moeda")*(Inputs!$G$5:$G$170&lt;&gt;"acoes")))*INDEX(Inputs!$K$5:$AJ$170,0,MATCH(AK$2,Inputs!$K$4:$AJ$4,0)))+SUMPRODUCT((Inputs!$E$5:$E$170=$B63)*Inputs!$F$5:$F$170*(((Inputs!$G$5:$G$170="moeda")+(Inputs!$G$5:$G$170="acoes"))*Inputs!$B$1+((Inputs!$G$5:$G$170&lt;&gt;"moeda")*(Inputs!$G$5:$G$170&lt;&gt;"acoes")))*INDEX(Inputs!$K$5:$AJ$170,0,MATCH(AK$2,Inputs!$K$4:$AJ$4,0)))))</f>
        <v>4822.77</v>
      </c>
      <c r="AL63" s="265">
        <f>SUM(AH63:AK63)</f>
        <v>17034.957</v>
      </c>
    </row>
    <row r="64">
      <c r="B64" s="46" t="n">
        <v>56</v>
      </c>
      <c r="C64" s="29" t="inlineStr">
        <is>
          <t>RAC - taxa de ocupacao (Op Data l.16)</t>
        </is>
      </c>
      <c r="D64" s="268">
        <f>IF(ISNA(MATCH(D$2,Inputs!$K$4:$AJ$4,0)),NA(),IF(SUMPRODUCT((Inputs!$A$5:$A$170=$B64)*ISNUMBER(INDEX(Inputs!$K$5:$AJ$170,0,MATCH(D$2,Inputs!$K$4:$AJ$4,0))))+SUMPRODUCT((Inputs!$C$5:$C$170=$B64)*ISNUMBER(INDEX(Inputs!$K$5:$AJ$170,0,MATCH(D$2,Inputs!$K$4:$AJ$4,0))))+SUMPRODUCT((Inputs!$E$5:$E$170=$B64)*ISNUMBER(INDEX(Inputs!$K$5:$AJ$170,0,MATCH(D$2,Inputs!$K$4:$AJ$4,0))))=0,NA(),SUMPRODUCT((Inputs!$A$5:$A$170=$B64)*Inputs!$B$5:$B$170*(((Inputs!$G$5:$G$170="moeda")+(Inputs!$G$5:$G$170="acoes"))*Inputs!$B$1+((Inputs!$G$5:$G$170&lt;&gt;"moeda")*(Inputs!$G$5:$G$170&lt;&gt;"acoes")))*INDEX(Inputs!$K$5:$AJ$170,0,MATCH(D$2,Inputs!$K$4:$AJ$4,0)))+SUMPRODUCT((Inputs!$C$5:$C$170=$B64)*Inputs!$D$5:$D$170*(((Inputs!$G$5:$G$170="moeda")+(Inputs!$G$5:$G$170="acoes"))*Inputs!$B$1+((Inputs!$G$5:$G$170&lt;&gt;"moeda")*(Inputs!$G$5:$G$170&lt;&gt;"acoes")))*INDEX(Inputs!$K$5:$AJ$170,0,MATCH(D$2,Inputs!$K$4:$AJ$4,0)))+SUMPRODUCT((Inputs!$E$5:$E$170=$B64)*Inputs!$F$5:$F$170*(((Inputs!$G$5:$G$170="moeda")+(Inputs!$G$5:$G$170="acoes"))*Inputs!$B$1+((Inputs!$G$5:$G$170&lt;&gt;"moeda")*(Inputs!$G$5:$G$170&lt;&gt;"acoes")))*INDEX(Inputs!$K$5:$AJ$170,0,MATCH(D$2,Inputs!$K$4:$AJ$4,0)))))</f>
        <v>0.793</v>
      </c>
      <c r="E64" s="268">
        <f>IF(ISNA(MATCH(E$2,Inputs!$K$4:$AJ$4,0)),NA(),IF(SUMPRODUCT((Inputs!$A$5:$A$170=$B64)*ISNUMBER(INDEX(Inputs!$K$5:$AJ$170,0,MATCH(E$2,Inputs!$K$4:$AJ$4,0))))+SUMPRODUCT((Inputs!$C$5:$C$170=$B64)*ISNUMBER(INDEX(Inputs!$K$5:$AJ$170,0,MATCH(E$2,Inputs!$K$4:$AJ$4,0))))+SUMPRODUCT((Inputs!$E$5:$E$170=$B64)*ISNUMBER(INDEX(Inputs!$K$5:$AJ$170,0,MATCH(E$2,Inputs!$K$4:$AJ$4,0))))=0,NA(),SUMPRODUCT((Inputs!$A$5:$A$170=$B64)*Inputs!$B$5:$B$170*(((Inputs!$G$5:$G$170="moeda")+(Inputs!$G$5:$G$170="acoes"))*Inputs!$B$1+((Inputs!$G$5:$G$170&lt;&gt;"moeda")*(Inputs!$G$5:$G$170&lt;&gt;"acoes")))*INDEX(Inputs!$K$5:$AJ$170,0,MATCH(E$2,Inputs!$K$4:$AJ$4,0)))+SUMPRODUCT((Inputs!$C$5:$C$170=$B64)*Inputs!$D$5:$D$170*(((Inputs!$G$5:$G$170="moeda")+(Inputs!$G$5:$G$170="acoes"))*Inputs!$B$1+((Inputs!$G$5:$G$170&lt;&gt;"moeda")*(Inputs!$G$5:$G$170&lt;&gt;"acoes")))*INDEX(Inputs!$K$5:$AJ$170,0,MATCH(E$2,Inputs!$K$4:$AJ$4,0)))+SUMPRODUCT((Inputs!$E$5:$E$170=$B64)*Inputs!$F$5:$F$170*(((Inputs!$G$5:$G$170="moeda")+(Inputs!$G$5:$G$170="acoes"))*Inputs!$B$1+((Inputs!$G$5:$G$170&lt;&gt;"moeda")*(Inputs!$G$5:$G$170&lt;&gt;"acoes")))*INDEX(Inputs!$K$5:$AJ$170,0,MATCH(E$2,Inputs!$K$4:$AJ$4,0)))))</f>
        <v>0.796</v>
      </c>
      <c r="F64" s="268">
        <f>IF(ISNA(MATCH(F$2,Inputs!$K$4:$AJ$4,0)),NA(),IF(SUMPRODUCT((Inputs!$A$5:$A$170=$B64)*ISNUMBER(INDEX(Inputs!$K$5:$AJ$170,0,MATCH(F$2,Inputs!$K$4:$AJ$4,0))))+SUMPRODUCT((Inputs!$C$5:$C$170=$B64)*ISNUMBER(INDEX(Inputs!$K$5:$AJ$170,0,MATCH(F$2,Inputs!$K$4:$AJ$4,0))))+SUMPRODUCT((Inputs!$E$5:$E$170=$B64)*ISNUMBER(INDEX(Inputs!$K$5:$AJ$170,0,MATCH(F$2,Inputs!$K$4:$AJ$4,0))))=0,NA(),SUMPRODUCT((Inputs!$A$5:$A$170=$B64)*Inputs!$B$5:$B$170*(((Inputs!$G$5:$G$170="moeda")+(Inputs!$G$5:$G$170="acoes"))*Inputs!$B$1+((Inputs!$G$5:$G$170&lt;&gt;"moeda")*(Inputs!$G$5:$G$170&lt;&gt;"acoes")))*INDEX(Inputs!$K$5:$AJ$170,0,MATCH(F$2,Inputs!$K$4:$AJ$4,0)))+SUMPRODUCT((Inputs!$C$5:$C$170=$B64)*Inputs!$D$5:$D$170*(((Inputs!$G$5:$G$170="moeda")+(Inputs!$G$5:$G$170="acoes"))*Inputs!$B$1+((Inputs!$G$5:$G$170&lt;&gt;"moeda")*(Inputs!$G$5:$G$170&lt;&gt;"acoes")))*INDEX(Inputs!$K$5:$AJ$170,0,MATCH(F$2,Inputs!$K$4:$AJ$4,0)))+SUMPRODUCT((Inputs!$E$5:$E$170=$B64)*Inputs!$F$5:$F$170*(((Inputs!$G$5:$G$170="moeda")+(Inputs!$G$5:$G$170="acoes"))*Inputs!$B$1+((Inputs!$G$5:$G$170&lt;&gt;"moeda")*(Inputs!$G$5:$G$170&lt;&gt;"acoes")))*INDEX(Inputs!$K$5:$AJ$170,0,MATCH(F$2,Inputs!$K$4:$AJ$4,0)))))</f>
        <v>0.829</v>
      </c>
      <c r="G64" s="268">
        <f>IF(ISNA(MATCH(G$2,Inputs!$K$4:$AJ$4,0)),NA(),IF(SUMPRODUCT((Inputs!$A$5:$A$170=$B64)*ISNUMBER(INDEX(Inputs!$K$5:$AJ$170,0,MATCH(G$2,Inputs!$K$4:$AJ$4,0))))+SUMPRODUCT((Inputs!$C$5:$C$170=$B64)*ISNUMBER(INDEX(Inputs!$K$5:$AJ$170,0,MATCH(G$2,Inputs!$K$4:$AJ$4,0))))+SUMPRODUCT((Inputs!$E$5:$E$170=$B64)*ISNUMBER(INDEX(Inputs!$K$5:$AJ$170,0,MATCH(G$2,Inputs!$K$4:$AJ$4,0))))=0,NA(),SUMPRODUCT((Inputs!$A$5:$A$170=$B64)*Inputs!$B$5:$B$170*(((Inputs!$G$5:$G$170="moeda")+(Inputs!$G$5:$G$170="acoes"))*Inputs!$B$1+((Inputs!$G$5:$G$170&lt;&gt;"moeda")*(Inputs!$G$5:$G$170&lt;&gt;"acoes")))*INDEX(Inputs!$K$5:$AJ$170,0,MATCH(G$2,Inputs!$K$4:$AJ$4,0)))+SUMPRODUCT((Inputs!$C$5:$C$170=$B64)*Inputs!$D$5:$D$170*(((Inputs!$G$5:$G$170="moeda")+(Inputs!$G$5:$G$170="acoes"))*Inputs!$B$1+((Inputs!$G$5:$G$170&lt;&gt;"moeda")*(Inputs!$G$5:$G$170&lt;&gt;"acoes")))*INDEX(Inputs!$K$5:$AJ$170,0,MATCH(G$2,Inputs!$K$4:$AJ$4,0)))+SUMPRODUCT((Inputs!$E$5:$E$170=$B64)*Inputs!$F$5:$F$170*(((Inputs!$G$5:$G$170="moeda")+(Inputs!$G$5:$G$170="acoes"))*Inputs!$B$1+((Inputs!$G$5:$G$170&lt;&gt;"moeda")*(Inputs!$G$5:$G$170&lt;&gt;"acoes")))*INDEX(Inputs!$K$5:$AJ$170,0,MATCH(G$2,Inputs!$K$4:$AJ$4,0)))))</f>
        <v>0.808</v>
      </c>
      <c r="H64" s="40" t="n"/>
      <c r="I64" s="268">
        <f>IF(ISNA(MATCH(I$2,Inputs!$K$4:$AJ$4,0)),NA(),IF(SUMPRODUCT((Inputs!$A$5:$A$170=$B64)*ISNUMBER(INDEX(Inputs!$K$5:$AJ$170,0,MATCH(I$2,Inputs!$K$4:$AJ$4,0))))+SUMPRODUCT((Inputs!$C$5:$C$170=$B64)*ISNUMBER(INDEX(Inputs!$K$5:$AJ$170,0,MATCH(I$2,Inputs!$K$4:$AJ$4,0))))+SUMPRODUCT((Inputs!$E$5:$E$170=$B64)*ISNUMBER(INDEX(Inputs!$K$5:$AJ$170,0,MATCH(I$2,Inputs!$K$4:$AJ$4,0))))=0,NA(),SUMPRODUCT((Inputs!$A$5:$A$170=$B64)*Inputs!$B$5:$B$170*(((Inputs!$G$5:$G$170="moeda")+(Inputs!$G$5:$G$170="acoes"))*Inputs!$B$1+((Inputs!$G$5:$G$170&lt;&gt;"moeda")*(Inputs!$G$5:$G$170&lt;&gt;"acoes")))*INDEX(Inputs!$K$5:$AJ$170,0,MATCH(I$2,Inputs!$K$4:$AJ$4,0)))+SUMPRODUCT((Inputs!$C$5:$C$170=$B64)*Inputs!$D$5:$D$170*(((Inputs!$G$5:$G$170="moeda")+(Inputs!$G$5:$G$170="acoes"))*Inputs!$B$1+((Inputs!$G$5:$G$170&lt;&gt;"moeda")*(Inputs!$G$5:$G$170&lt;&gt;"acoes")))*INDEX(Inputs!$K$5:$AJ$170,0,MATCH(I$2,Inputs!$K$4:$AJ$4,0)))+SUMPRODUCT((Inputs!$E$5:$E$170=$B64)*Inputs!$F$5:$F$170*(((Inputs!$G$5:$G$170="moeda")+(Inputs!$G$5:$G$170="acoes"))*Inputs!$B$1+((Inputs!$G$5:$G$170&lt;&gt;"moeda")*(Inputs!$G$5:$G$170&lt;&gt;"acoes")))*INDEX(Inputs!$K$5:$AJ$170,0,MATCH(I$2,Inputs!$K$4:$AJ$4,0)))))</f>
        <v>0.761</v>
      </c>
      <c r="J64" s="268">
        <f>IF(ISNA(MATCH(J$2,Inputs!$K$4:$AJ$4,0)),NA(),IF(SUMPRODUCT((Inputs!$A$5:$A$170=$B64)*ISNUMBER(INDEX(Inputs!$K$5:$AJ$170,0,MATCH(J$2,Inputs!$K$4:$AJ$4,0))))+SUMPRODUCT((Inputs!$C$5:$C$170=$B64)*ISNUMBER(INDEX(Inputs!$K$5:$AJ$170,0,MATCH(J$2,Inputs!$K$4:$AJ$4,0))))+SUMPRODUCT((Inputs!$E$5:$E$170=$B64)*ISNUMBER(INDEX(Inputs!$K$5:$AJ$170,0,MATCH(J$2,Inputs!$K$4:$AJ$4,0))))=0,NA(),SUMPRODUCT((Inputs!$A$5:$A$170=$B64)*Inputs!$B$5:$B$170*(((Inputs!$G$5:$G$170="moeda")+(Inputs!$G$5:$G$170="acoes"))*Inputs!$B$1+((Inputs!$G$5:$G$170&lt;&gt;"moeda")*(Inputs!$G$5:$G$170&lt;&gt;"acoes")))*INDEX(Inputs!$K$5:$AJ$170,0,MATCH(J$2,Inputs!$K$4:$AJ$4,0)))+SUMPRODUCT((Inputs!$C$5:$C$170=$B64)*Inputs!$D$5:$D$170*(((Inputs!$G$5:$G$170="moeda")+(Inputs!$G$5:$G$170="acoes"))*Inputs!$B$1+((Inputs!$G$5:$G$170&lt;&gt;"moeda")*(Inputs!$G$5:$G$170&lt;&gt;"acoes")))*INDEX(Inputs!$K$5:$AJ$170,0,MATCH(J$2,Inputs!$K$4:$AJ$4,0)))+SUMPRODUCT((Inputs!$E$5:$E$170=$B64)*Inputs!$F$5:$F$170*(((Inputs!$G$5:$G$170="moeda")+(Inputs!$G$5:$G$170="acoes"))*Inputs!$B$1+((Inputs!$G$5:$G$170&lt;&gt;"moeda")*(Inputs!$G$5:$G$170&lt;&gt;"acoes")))*INDEX(Inputs!$K$5:$AJ$170,0,MATCH(J$2,Inputs!$K$4:$AJ$4,0)))))</f>
        <v>0.793</v>
      </c>
      <c r="K64" s="268">
        <f>IF(ISNA(MATCH(K$2,Inputs!$K$4:$AJ$4,0)),NA(),IF(SUMPRODUCT((Inputs!$A$5:$A$170=$B64)*ISNUMBER(INDEX(Inputs!$K$5:$AJ$170,0,MATCH(K$2,Inputs!$K$4:$AJ$4,0))))+SUMPRODUCT((Inputs!$C$5:$C$170=$B64)*ISNUMBER(INDEX(Inputs!$K$5:$AJ$170,0,MATCH(K$2,Inputs!$K$4:$AJ$4,0))))+SUMPRODUCT((Inputs!$E$5:$E$170=$B64)*ISNUMBER(INDEX(Inputs!$K$5:$AJ$170,0,MATCH(K$2,Inputs!$K$4:$AJ$4,0))))=0,NA(),SUMPRODUCT((Inputs!$A$5:$A$170=$B64)*Inputs!$B$5:$B$170*(((Inputs!$G$5:$G$170="moeda")+(Inputs!$G$5:$G$170="acoes"))*Inputs!$B$1+((Inputs!$G$5:$G$170&lt;&gt;"moeda")*(Inputs!$G$5:$G$170&lt;&gt;"acoes")))*INDEX(Inputs!$K$5:$AJ$170,0,MATCH(K$2,Inputs!$K$4:$AJ$4,0)))+SUMPRODUCT((Inputs!$C$5:$C$170=$B64)*Inputs!$D$5:$D$170*(((Inputs!$G$5:$G$170="moeda")+(Inputs!$G$5:$G$170="acoes"))*Inputs!$B$1+((Inputs!$G$5:$G$170&lt;&gt;"moeda")*(Inputs!$G$5:$G$170&lt;&gt;"acoes")))*INDEX(Inputs!$K$5:$AJ$170,0,MATCH(K$2,Inputs!$K$4:$AJ$4,0)))+SUMPRODUCT((Inputs!$E$5:$E$170=$B64)*Inputs!$F$5:$F$170*(((Inputs!$G$5:$G$170="moeda")+(Inputs!$G$5:$G$170="acoes"))*Inputs!$B$1+((Inputs!$G$5:$G$170&lt;&gt;"moeda")*(Inputs!$G$5:$G$170&lt;&gt;"acoes")))*INDEX(Inputs!$K$5:$AJ$170,0,MATCH(K$2,Inputs!$K$4:$AJ$4,0)))))</f>
        <v>0.772</v>
      </c>
      <c r="L64" s="268">
        <f>IF(ISNA(MATCH(L$2,Inputs!$K$4:$AJ$4,0)),NA(),IF(SUMPRODUCT((Inputs!$A$5:$A$170=$B64)*ISNUMBER(INDEX(Inputs!$K$5:$AJ$170,0,MATCH(L$2,Inputs!$K$4:$AJ$4,0))))+SUMPRODUCT((Inputs!$C$5:$C$170=$B64)*ISNUMBER(INDEX(Inputs!$K$5:$AJ$170,0,MATCH(L$2,Inputs!$K$4:$AJ$4,0))))+SUMPRODUCT((Inputs!$E$5:$E$170=$B64)*ISNUMBER(INDEX(Inputs!$K$5:$AJ$170,0,MATCH(L$2,Inputs!$K$4:$AJ$4,0))))=0,NA(),SUMPRODUCT((Inputs!$A$5:$A$170=$B64)*Inputs!$B$5:$B$170*(((Inputs!$G$5:$G$170="moeda")+(Inputs!$G$5:$G$170="acoes"))*Inputs!$B$1+((Inputs!$G$5:$G$170&lt;&gt;"moeda")*(Inputs!$G$5:$G$170&lt;&gt;"acoes")))*INDEX(Inputs!$K$5:$AJ$170,0,MATCH(L$2,Inputs!$K$4:$AJ$4,0)))+SUMPRODUCT((Inputs!$C$5:$C$170=$B64)*Inputs!$D$5:$D$170*(((Inputs!$G$5:$G$170="moeda")+(Inputs!$G$5:$G$170="acoes"))*Inputs!$B$1+((Inputs!$G$5:$G$170&lt;&gt;"moeda")*(Inputs!$G$5:$G$170&lt;&gt;"acoes")))*INDEX(Inputs!$K$5:$AJ$170,0,MATCH(L$2,Inputs!$K$4:$AJ$4,0)))+SUMPRODUCT((Inputs!$E$5:$E$170=$B64)*Inputs!$F$5:$F$170*(((Inputs!$G$5:$G$170="moeda")+(Inputs!$G$5:$G$170="acoes"))*Inputs!$B$1+((Inputs!$G$5:$G$170&lt;&gt;"moeda")*(Inputs!$G$5:$G$170&lt;&gt;"acoes")))*INDEX(Inputs!$K$5:$AJ$170,0,MATCH(L$2,Inputs!$K$4:$AJ$4,0)))))</f>
        <v>0.766</v>
      </c>
      <c r="M64" s="40" t="n"/>
      <c r="N64" s="268">
        <f>IF(ISNA(MATCH(N$2,Inputs!$K$4:$AJ$4,0)),NA(),IF(SUMPRODUCT((Inputs!$A$5:$A$170=$B64)*ISNUMBER(INDEX(Inputs!$K$5:$AJ$170,0,MATCH(N$2,Inputs!$K$4:$AJ$4,0))))+SUMPRODUCT((Inputs!$C$5:$C$170=$B64)*ISNUMBER(INDEX(Inputs!$K$5:$AJ$170,0,MATCH(N$2,Inputs!$K$4:$AJ$4,0))))+SUMPRODUCT((Inputs!$E$5:$E$170=$B64)*ISNUMBER(INDEX(Inputs!$K$5:$AJ$170,0,MATCH(N$2,Inputs!$K$4:$AJ$4,0))))=0,NA(),SUMPRODUCT((Inputs!$A$5:$A$170=$B64)*Inputs!$B$5:$B$170*(((Inputs!$G$5:$G$170="moeda")+(Inputs!$G$5:$G$170="acoes"))*Inputs!$B$1+((Inputs!$G$5:$G$170&lt;&gt;"moeda")*(Inputs!$G$5:$G$170&lt;&gt;"acoes")))*INDEX(Inputs!$K$5:$AJ$170,0,MATCH(N$2,Inputs!$K$4:$AJ$4,0)))+SUMPRODUCT((Inputs!$C$5:$C$170=$B64)*Inputs!$D$5:$D$170*(((Inputs!$G$5:$G$170="moeda")+(Inputs!$G$5:$G$170="acoes"))*Inputs!$B$1+((Inputs!$G$5:$G$170&lt;&gt;"moeda")*(Inputs!$G$5:$G$170&lt;&gt;"acoes")))*INDEX(Inputs!$K$5:$AJ$170,0,MATCH(N$2,Inputs!$K$4:$AJ$4,0)))+SUMPRODUCT((Inputs!$E$5:$E$170=$B64)*Inputs!$F$5:$F$170*(((Inputs!$G$5:$G$170="moeda")+(Inputs!$G$5:$G$170="acoes"))*Inputs!$B$1+((Inputs!$G$5:$G$170&lt;&gt;"moeda")*(Inputs!$G$5:$G$170&lt;&gt;"acoes")))*INDEX(Inputs!$K$5:$AJ$170,0,MATCH(N$2,Inputs!$K$4:$AJ$4,0)))))</f>
        <v>0.784</v>
      </c>
      <c r="O64" s="268">
        <f>IF(ISNA(MATCH(O$2,Inputs!$K$4:$AJ$4,0)),NA(),IF(SUMPRODUCT((Inputs!$A$5:$A$170=$B64)*ISNUMBER(INDEX(Inputs!$K$5:$AJ$170,0,MATCH(O$2,Inputs!$K$4:$AJ$4,0))))+SUMPRODUCT((Inputs!$C$5:$C$170=$B64)*ISNUMBER(INDEX(Inputs!$K$5:$AJ$170,0,MATCH(O$2,Inputs!$K$4:$AJ$4,0))))+SUMPRODUCT((Inputs!$E$5:$E$170=$B64)*ISNUMBER(INDEX(Inputs!$K$5:$AJ$170,0,MATCH(O$2,Inputs!$K$4:$AJ$4,0))))=0,NA(),SUMPRODUCT((Inputs!$A$5:$A$170=$B64)*Inputs!$B$5:$B$170*(((Inputs!$G$5:$G$170="moeda")+(Inputs!$G$5:$G$170="acoes"))*Inputs!$B$1+((Inputs!$G$5:$G$170&lt;&gt;"moeda")*(Inputs!$G$5:$G$170&lt;&gt;"acoes")))*INDEX(Inputs!$K$5:$AJ$170,0,MATCH(O$2,Inputs!$K$4:$AJ$4,0)))+SUMPRODUCT((Inputs!$C$5:$C$170=$B64)*Inputs!$D$5:$D$170*(((Inputs!$G$5:$G$170="moeda")+(Inputs!$G$5:$G$170="acoes"))*Inputs!$B$1+((Inputs!$G$5:$G$170&lt;&gt;"moeda")*(Inputs!$G$5:$G$170&lt;&gt;"acoes")))*INDEX(Inputs!$K$5:$AJ$170,0,MATCH(O$2,Inputs!$K$4:$AJ$4,0)))+SUMPRODUCT((Inputs!$E$5:$E$170=$B64)*Inputs!$F$5:$F$170*(((Inputs!$G$5:$G$170="moeda")+(Inputs!$G$5:$G$170="acoes"))*Inputs!$B$1+((Inputs!$G$5:$G$170&lt;&gt;"moeda")*(Inputs!$G$5:$G$170&lt;&gt;"acoes")))*INDEX(Inputs!$K$5:$AJ$170,0,MATCH(O$2,Inputs!$K$4:$AJ$4,0)))))</f>
        <v>0.783</v>
      </c>
      <c r="P64" s="268">
        <f>IF(ISNA(MATCH(P$2,Inputs!$K$4:$AJ$4,0)),NA(),IF(SUMPRODUCT((Inputs!$A$5:$A$170=$B64)*ISNUMBER(INDEX(Inputs!$K$5:$AJ$170,0,MATCH(P$2,Inputs!$K$4:$AJ$4,0))))+SUMPRODUCT((Inputs!$C$5:$C$170=$B64)*ISNUMBER(INDEX(Inputs!$K$5:$AJ$170,0,MATCH(P$2,Inputs!$K$4:$AJ$4,0))))+SUMPRODUCT((Inputs!$E$5:$E$170=$B64)*ISNUMBER(INDEX(Inputs!$K$5:$AJ$170,0,MATCH(P$2,Inputs!$K$4:$AJ$4,0))))=0,NA(),SUMPRODUCT((Inputs!$A$5:$A$170=$B64)*Inputs!$B$5:$B$170*(((Inputs!$G$5:$G$170="moeda")+(Inputs!$G$5:$G$170="acoes"))*Inputs!$B$1+((Inputs!$G$5:$G$170&lt;&gt;"moeda")*(Inputs!$G$5:$G$170&lt;&gt;"acoes")))*INDEX(Inputs!$K$5:$AJ$170,0,MATCH(P$2,Inputs!$K$4:$AJ$4,0)))+SUMPRODUCT((Inputs!$C$5:$C$170=$B64)*Inputs!$D$5:$D$170*(((Inputs!$G$5:$G$170="moeda")+(Inputs!$G$5:$G$170="acoes"))*Inputs!$B$1+((Inputs!$G$5:$G$170&lt;&gt;"moeda")*(Inputs!$G$5:$G$170&lt;&gt;"acoes")))*INDEX(Inputs!$K$5:$AJ$170,0,MATCH(P$2,Inputs!$K$4:$AJ$4,0)))+SUMPRODUCT((Inputs!$E$5:$E$170=$B64)*Inputs!$F$5:$F$170*(((Inputs!$G$5:$G$170="moeda")+(Inputs!$G$5:$G$170="acoes"))*Inputs!$B$1+((Inputs!$G$5:$G$170&lt;&gt;"moeda")*(Inputs!$G$5:$G$170&lt;&gt;"acoes")))*INDEX(Inputs!$K$5:$AJ$170,0,MATCH(P$2,Inputs!$K$4:$AJ$4,0)))))</f>
        <v>0.811</v>
      </c>
      <c r="Q64" s="268">
        <f>IF(ISNA(MATCH(Q$2,Inputs!$K$4:$AJ$4,0)),NA(),IF(SUMPRODUCT((Inputs!$A$5:$A$170=$B64)*ISNUMBER(INDEX(Inputs!$K$5:$AJ$170,0,MATCH(Q$2,Inputs!$K$4:$AJ$4,0))))+SUMPRODUCT((Inputs!$C$5:$C$170=$B64)*ISNUMBER(INDEX(Inputs!$K$5:$AJ$170,0,MATCH(Q$2,Inputs!$K$4:$AJ$4,0))))+SUMPRODUCT((Inputs!$E$5:$E$170=$B64)*ISNUMBER(INDEX(Inputs!$K$5:$AJ$170,0,MATCH(Q$2,Inputs!$K$4:$AJ$4,0))))=0,NA(),SUMPRODUCT((Inputs!$A$5:$A$170=$B64)*Inputs!$B$5:$B$170*(((Inputs!$G$5:$G$170="moeda")+(Inputs!$G$5:$G$170="acoes"))*Inputs!$B$1+((Inputs!$G$5:$G$170&lt;&gt;"moeda")*(Inputs!$G$5:$G$170&lt;&gt;"acoes")))*INDEX(Inputs!$K$5:$AJ$170,0,MATCH(Q$2,Inputs!$K$4:$AJ$4,0)))+SUMPRODUCT((Inputs!$C$5:$C$170=$B64)*Inputs!$D$5:$D$170*(((Inputs!$G$5:$G$170="moeda")+(Inputs!$G$5:$G$170="acoes"))*Inputs!$B$1+((Inputs!$G$5:$G$170&lt;&gt;"moeda")*(Inputs!$G$5:$G$170&lt;&gt;"acoes")))*INDEX(Inputs!$K$5:$AJ$170,0,MATCH(Q$2,Inputs!$K$4:$AJ$4,0)))+SUMPRODUCT((Inputs!$E$5:$E$170=$B64)*Inputs!$F$5:$F$170*(((Inputs!$G$5:$G$170="moeda")+(Inputs!$G$5:$G$170="acoes"))*Inputs!$B$1+((Inputs!$G$5:$G$170&lt;&gt;"moeda")*(Inputs!$G$5:$G$170&lt;&gt;"acoes")))*INDEX(Inputs!$K$5:$AJ$170,0,MATCH(Q$2,Inputs!$K$4:$AJ$4,0)))))</f>
        <v>0.82</v>
      </c>
      <c r="R64" s="40" t="n"/>
      <c r="S64" s="268">
        <f>IF(ISNA(MATCH(S$2,Inputs!$K$4:$AJ$4,0)),NA(),IF(SUMPRODUCT((Inputs!$A$5:$A$170=$B64)*ISNUMBER(INDEX(Inputs!$K$5:$AJ$170,0,MATCH(S$2,Inputs!$K$4:$AJ$4,0))))+SUMPRODUCT((Inputs!$C$5:$C$170=$B64)*ISNUMBER(INDEX(Inputs!$K$5:$AJ$170,0,MATCH(S$2,Inputs!$K$4:$AJ$4,0))))+SUMPRODUCT((Inputs!$E$5:$E$170=$B64)*ISNUMBER(INDEX(Inputs!$K$5:$AJ$170,0,MATCH(S$2,Inputs!$K$4:$AJ$4,0))))=0,NA(),SUMPRODUCT((Inputs!$A$5:$A$170=$B64)*Inputs!$B$5:$B$170*(((Inputs!$G$5:$G$170="moeda")+(Inputs!$G$5:$G$170="acoes"))*Inputs!$B$1+((Inputs!$G$5:$G$170&lt;&gt;"moeda")*(Inputs!$G$5:$G$170&lt;&gt;"acoes")))*INDEX(Inputs!$K$5:$AJ$170,0,MATCH(S$2,Inputs!$K$4:$AJ$4,0)))+SUMPRODUCT((Inputs!$C$5:$C$170=$B64)*Inputs!$D$5:$D$170*(((Inputs!$G$5:$G$170="moeda")+(Inputs!$G$5:$G$170="acoes"))*Inputs!$B$1+((Inputs!$G$5:$G$170&lt;&gt;"moeda")*(Inputs!$G$5:$G$170&lt;&gt;"acoes")))*INDEX(Inputs!$K$5:$AJ$170,0,MATCH(S$2,Inputs!$K$4:$AJ$4,0)))+SUMPRODUCT((Inputs!$E$5:$E$170=$B64)*Inputs!$F$5:$F$170*(((Inputs!$G$5:$G$170="moeda")+(Inputs!$G$5:$G$170="acoes"))*Inputs!$B$1+((Inputs!$G$5:$G$170&lt;&gt;"moeda")*(Inputs!$G$5:$G$170&lt;&gt;"acoes")))*INDEX(Inputs!$K$5:$AJ$170,0,MATCH(S$2,Inputs!$K$4:$AJ$4,0)))))</f>
        <v>0.802</v>
      </c>
      <c r="T64" s="268">
        <f>IF(ISNA(MATCH(T$2,Inputs!$K$4:$AJ$4,0)),NA(),IF(SUMPRODUCT((Inputs!$A$5:$A$170=$B64)*ISNUMBER(INDEX(Inputs!$K$5:$AJ$170,0,MATCH(T$2,Inputs!$K$4:$AJ$4,0))))+SUMPRODUCT((Inputs!$C$5:$C$170=$B64)*ISNUMBER(INDEX(Inputs!$K$5:$AJ$170,0,MATCH(T$2,Inputs!$K$4:$AJ$4,0))))+SUMPRODUCT((Inputs!$E$5:$E$170=$B64)*ISNUMBER(INDEX(Inputs!$K$5:$AJ$170,0,MATCH(T$2,Inputs!$K$4:$AJ$4,0))))=0,NA(),SUMPRODUCT((Inputs!$A$5:$A$170=$B64)*Inputs!$B$5:$B$170*(((Inputs!$G$5:$G$170="moeda")+(Inputs!$G$5:$G$170="acoes"))*Inputs!$B$1+((Inputs!$G$5:$G$170&lt;&gt;"moeda")*(Inputs!$G$5:$G$170&lt;&gt;"acoes")))*INDEX(Inputs!$K$5:$AJ$170,0,MATCH(T$2,Inputs!$K$4:$AJ$4,0)))+SUMPRODUCT((Inputs!$C$5:$C$170=$B64)*Inputs!$D$5:$D$170*(((Inputs!$G$5:$G$170="moeda")+(Inputs!$G$5:$G$170="acoes"))*Inputs!$B$1+((Inputs!$G$5:$G$170&lt;&gt;"moeda")*(Inputs!$G$5:$G$170&lt;&gt;"acoes")))*INDEX(Inputs!$K$5:$AJ$170,0,MATCH(T$2,Inputs!$K$4:$AJ$4,0)))+SUMPRODUCT((Inputs!$E$5:$E$170=$B64)*Inputs!$F$5:$F$170*(((Inputs!$G$5:$G$170="moeda")+(Inputs!$G$5:$G$170="acoes"))*Inputs!$B$1+((Inputs!$G$5:$G$170&lt;&gt;"moeda")*(Inputs!$G$5:$G$170&lt;&gt;"acoes")))*INDEX(Inputs!$K$5:$AJ$170,0,MATCH(T$2,Inputs!$K$4:$AJ$4,0)))))</f>
        <v>0.781</v>
      </c>
      <c r="U64" s="268">
        <f>IF(ISNA(MATCH(U$2,Inputs!$K$4:$AJ$4,0)),NA(),IF(SUMPRODUCT((Inputs!$A$5:$A$170=$B64)*ISNUMBER(INDEX(Inputs!$K$5:$AJ$170,0,MATCH(U$2,Inputs!$K$4:$AJ$4,0))))+SUMPRODUCT((Inputs!$C$5:$C$170=$B64)*ISNUMBER(INDEX(Inputs!$K$5:$AJ$170,0,MATCH(U$2,Inputs!$K$4:$AJ$4,0))))+SUMPRODUCT((Inputs!$E$5:$E$170=$B64)*ISNUMBER(INDEX(Inputs!$K$5:$AJ$170,0,MATCH(U$2,Inputs!$K$4:$AJ$4,0))))=0,NA(),SUMPRODUCT((Inputs!$A$5:$A$170=$B64)*Inputs!$B$5:$B$170*(((Inputs!$G$5:$G$170="moeda")+(Inputs!$G$5:$G$170="acoes"))*Inputs!$B$1+((Inputs!$G$5:$G$170&lt;&gt;"moeda")*(Inputs!$G$5:$G$170&lt;&gt;"acoes")))*INDEX(Inputs!$K$5:$AJ$170,0,MATCH(U$2,Inputs!$K$4:$AJ$4,0)))+SUMPRODUCT((Inputs!$C$5:$C$170=$B64)*Inputs!$D$5:$D$170*(((Inputs!$G$5:$G$170="moeda")+(Inputs!$G$5:$G$170="acoes"))*Inputs!$B$1+((Inputs!$G$5:$G$170&lt;&gt;"moeda")*(Inputs!$G$5:$G$170&lt;&gt;"acoes")))*INDEX(Inputs!$K$5:$AJ$170,0,MATCH(U$2,Inputs!$K$4:$AJ$4,0)))+SUMPRODUCT((Inputs!$E$5:$E$170=$B64)*Inputs!$F$5:$F$170*(((Inputs!$G$5:$G$170="moeda")+(Inputs!$G$5:$G$170="acoes"))*Inputs!$B$1+((Inputs!$G$5:$G$170&lt;&gt;"moeda")*(Inputs!$G$5:$G$170&lt;&gt;"acoes")))*INDEX(Inputs!$K$5:$AJ$170,0,MATCH(U$2,Inputs!$K$4:$AJ$4,0)))))</f>
        <v>0.781</v>
      </c>
      <c r="V64" s="268">
        <f>IF(ISNA(MATCH(V$2,Inputs!$K$4:$AJ$4,0)),NA(),IF(SUMPRODUCT((Inputs!$A$5:$A$170=$B64)*ISNUMBER(INDEX(Inputs!$K$5:$AJ$170,0,MATCH(V$2,Inputs!$K$4:$AJ$4,0))))+SUMPRODUCT((Inputs!$C$5:$C$170=$B64)*ISNUMBER(INDEX(Inputs!$K$5:$AJ$170,0,MATCH(V$2,Inputs!$K$4:$AJ$4,0))))+SUMPRODUCT((Inputs!$E$5:$E$170=$B64)*ISNUMBER(INDEX(Inputs!$K$5:$AJ$170,0,MATCH(V$2,Inputs!$K$4:$AJ$4,0))))=0,NA(),SUMPRODUCT((Inputs!$A$5:$A$170=$B64)*Inputs!$B$5:$B$170*(((Inputs!$G$5:$G$170="moeda")+(Inputs!$G$5:$G$170="acoes"))*Inputs!$B$1+((Inputs!$G$5:$G$170&lt;&gt;"moeda")*(Inputs!$G$5:$G$170&lt;&gt;"acoes")))*INDEX(Inputs!$K$5:$AJ$170,0,MATCH(V$2,Inputs!$K$4:$AJ$4,0)))+SUMPRODUCT((Inputs!$C$5:$C$170=$B64)*Inputs!$D$5:$D$170*(((Inputs!$G$5:$G$170="moeda")+(Inputs!$G$5:$G$170="acoes"))*Inputs!$B$1+((Inputs!$G$5:$G$170&lt;&gt;"moeda")*(Inputs!$G$5:$G$170&lt;&gt;"acoes")))*INDEX(Inputs!$K$5:$AJ$170,0,MATCH(V$2,Inputs!$K$4:$AJ$4,0)))+SUMPRODUCT((Inputs!$E$5:$E$170=$B64)*Inputs!$F$5:$F$170*(((Inputs!$G$5:$G$170="moeda")+(Inputs!$G$5:$G$170="acoes"))*Inputs!$B$1+((Inputs!$G$5:$G$170&lt;&gt;"moeda")*(Inputs!$G$5:$G$170&lt;&gt;"acoes")))*INDEX(Inputs!$K$5:$AJ$170,0,MATCH(V$2,Inputs!$K$4:$AJ$4,0)))))</f>
        <v>0.749</v>
      </c>
      <c r="W64" s="40" t="n"/>
      <c r="X64" s="268">
        <f>IF(ISNA(MATCH(X$2,Inputs!$K$4:$AJ$4,0)),NA(),IF(SUMPRODUCT((Inputs!$A$5:$A$170=$B64)*ISNUMBER(INDEX(Inputs!$K$5:$AJ$170,0,MATCH(X$2,Inputs!$K$4:$AJ$4,0))))+SUMPRODUCT((Inputs!$C$5:$C$170=$B64)*ISNUMBER(INDEX(Inputs!$K$5:$AJ$170,0,MATCH(X$2,Inputs!$K$4:$AJ$4,0))))+SUMPRODUCT((Inputs!$E$5:$E$170=$B64)*ISNUMBER(INDEX(Inputs!$K$5:$AJ$170,0,MATCH(X$2,Inputs!$K$4:$AJ$4,0))))=0,NA(),SUMPRODUCT((Inputs!$A$5:$A$170=$B64)*Inputs!$B$5:$B$170*(((Inputs!$G$5:$G$170="moeda")+(Inputs!$G$5:$G$170="acoes"))*Inputs!$B$1+((Inputs!$G$5:$G$170&lt;&gt;"moeda")*(Inputs!$G$5:$G$170&lt;&gt;"acoes")))*INDEX(Inputs!$K$5:$AJ$170,0,MATCH(X$2,Inputs!$K$4:$AJ$4,0)))+SUMPRODUCT((Inputs!$C$5:$C$170=$B64)*Inputs!$D$5:$D$170*(((Inputs!$G$5:$G$170="moeda")+(Inputs!$G$5:$G$170="acoes"))*Inputs!$B$1+((Inputs!$G$5:$G$170&lt;&gt;"moeda")*(Inputs!$G$5:$G$170&lt;&gt;"acoes")))*INDEX(Inputs!$K$5:$AJ$170,0,MATCH(X$2,Inputs!$K$4:$AJ$4,0)))+SUMPRODUCT((Inputs!$E$5:$E$170=$B64)*Inputs!$F$5:$F$170*(((Inputs!$G$5:$G$170="moeda")+(Inputs!$G$5:$G$170="acoes"))*Inputs!$B$1+((Inputs!$G$5:$G$170&lt;&gt;"moeda")*(Inputs!$G$5:$G$170&lt;&gt;"acoes")))*INDEX(Inputs!$K$5:$AJ$170,0,MATCH(X$2,Inputs!$K$4:$AJ$4,0)))))</f>
        <v>0.717</v>
      </c>
      <c r="Y64" s="268">
        <f>IF(ISNA(MATCH(Y$2,Inputs!$K$4:$AJ$4,0)),NA(),IF(SUMPRODUCT((Inputs!$A$5:$A$170=$B64)*ISNUMBER(INDEX(Inputs!$K$5:$AJ$170,0,MATCH(Y$2,Inputs!$K$4:$AJ$4,0))))+SUMPRODUCT((Inputs!$C$5:$C$170=$B64)*ISNUMBER(INDEX(Inputs!$K$5:$AJ$170,0,MATCH(Y$2,Inputs!$K$4:$AJ$4,0))))+SUMPRODUCT((Inputs!$E$5:$E$170=$B64)*ISNUMBER(INDEX(Inputs!$K$5:$AJ$170,0,MATCH(Y$2,Inputs!$K$4:$AJ$4,0))))=0,NA(),SUMPRODUCT((Inputs!$A$5:$A$170=$B64)*Inputs!$B$5:$B$170*(((Inputs!$G$5:$G$170="moeda")+(Inputs!$G$5:$G$170="acoes"))*Inputs!$B$1+((Inputs!$G$5:$G$170&lt;&gt;"moeda")*(Inputs!$G$5:$G$170&lt;&gt;"acoes")))*INDEX(Inputs!$K$5:$AJ$170,0,MATCH(Y$2,Inputs!$K$4:$AJ$4,0)))+SUMPRODUCT((Inputs!$C$5:$C$170=$B64)*Inputs!$D$5:$D$170*(((Inputs!$G$5:$G$170="moeda")+(Inputs!$G$5:$G$170="acoes"))*Inputs!$B$1+((Inputs!$G$5:$G$170&lt;&gt;"moeda")*(Inputs!$G$5:$G$170&lt;&gt;"acoes")))*INDEX(Inputs!$K$5:$AJ$170,0,MATCH(Y$2,Inputs!$K$4:$AJ$4,0)))+SUMPRODUCT((Inputs!$E$5:$E$170=$B64)*Inputs!$F$5:$F$170*(((Inputs!$G$5:$G$170="moeda")+(Inputs!$G$5:$G$170="acoes"))*Inputs!$B$1+((Inputs!$G$5:$G$170&lt;&gt;"moeda")*(Inputs!$G$5:$G$170&lt;&gt;"acoes")))*INDEX(Inputs!$K$5:$AJ$170,0,MATCH(Y$2,Inputs!$K$4:$AJ$4,0)))))</f>
        <v>0.741</v>
      </c>
      <c r="Z64" s="268">
        <f>IF(ISNA(MATCH(Z$2,Inputs!$K$4:$AJ$4,0)),NA(),IF(SUMPRODUCT((Inputs!$A$5:$A$170=$B64)*ISNUMBER(INDEX(Inputs!$K$5:$AJ$170,0,MATCH(Z$2,Inputs!$K$4:$AJ$4,0))))+SUMPRODUCT((Inputs!$C$5:$C$170=$B64)*ISNUMBER(INDEX(Inputs!$K$5:$AJ$170,0,MATCH(Z$2,Inputs!$K$4:$AJ$4,0))))+SUMPRODUCT((Inputs!$E$5:$E$170=$B64)*ISNUMBER(INDEX(Inputs!$K$5:$AJ$170,0,MATCH(Z$2,Inputs!$K$4:$AJ$4,0))))=0,NA(),SUMPRODUCT((Inputs!$A$5:$A$170=$B64)*Inputs!$B$5:$B$170*(((Inputs!$G$5:$G$170="moeda")+(Inputs!$G$5:$G$170="acoes"))*Inputs!$B$1+((Inputs!$G$5:$G$170&lt;&gt;"moeda")*(Inputs!$G$5:$G$170&lt;&gt;"acoes")))*INDEX(Inputs!$K$5:$AJ$170,0,MATCH(Z$2,Inputs!$K$4:$AJ$4,0)))+SUMPRODUCT((Inputs!$C$5:$C$170=$B64)*Inputs!$D$5:$D$170*(((Inputs!$G$5:$G$170="moeda")+(Inputs!$G$5:$G$170="acoes"))*Inputs!$B$1+((Inputs!$G$5:$G$170&lt;&gt;"moeda")*(Inputs!$G$5:$G$170&lt;&gt;"acoes")))*INDEX(Inputs!$K$5:$AJ$170,0,MATCH(Z$2,Inputs!$K$4:$AJ$4,0)))+SUMPRODUCT((Inputs!$E$5:$E$170=$B64)*Inputs!$F$5:$F$170*(((Inputs!$G$5:$G$170="moeda")+(Inputs!$G$5:$G$170="acoes"))*Inputs!$B$1+((Inputs!$G$5:$G$170&lt;&gt;"moeda")*(Inputs!$G$5:$G$170&lt;&gt;"acoes")))*INDEX(Inputs!$K$5:$AJ$170,0,MATCH(Z$2,Inputs!$K$4:$AJ$4,0)))))</f>
        <v>0.718</v>
      </c>
      <c r="AA64" s="268">
        <f>IF(ISNA(MATCH(AA$2,Inputs!$K$4:$AJ$4,0)),NA(),IF(SUMPRODUCT((Inputs!$A$5:$A$170=$B64)*ISNUMBER(INDEX(Inputs!$K$5:$AJ$170,0,MATCH(AA$2,Inputs!$K$4:$AJ$4,0))))+SUMPRODUCT((Inputs!$C$5:$C$170=$B64)*ISNUMBER(INDEX(Inputs!$K$5:$AJ$170,0,MATCH(AA$2,Inputs!$K$4:$AJ$4,0))))+SUMPRODUCT((Inputs!$E$5:$E$170=$B64)*ISNUMBER(INDEX(Inputs!$K$5:$AJ$170,0,MATCH(AA$2,Inputs!$K$4:$AJ$4,0))))=0,NA(),SUMPRODUCT((Inputs!$A$5:$A$170=$B64)*Inputs!$B$5:$B$170*(((Inputs!$G$5:$G$170="moeda")+(Inputs!$G$5:$G$170="acoes"))*Inputs!$B$1+((Inputs!$G$5:$G$170&lt;&gt;"moeda")*(Inputs!$G$5:$G$170&lt;&gt;"acoes")))*INDEX(Inputs!$K$5:$AJ$170,0,MATCH(AA$2,Inputs!$K$4:$AJ$4,0)))+SUMPRODUCT((Inputs!$C$5:$C$170=$B64)*Inputs!$D$5:$D$170*(((Inputs!$G$5:$G$170="moeda")+(Inputs!$G$5:$G$170="acoes"))*Inputs!$B$1+((Inputs!$G$5:$G$170&lt;&gt;"moeda")*(Inputs!$G$5:$G$170&lt;&gt;"acoes")))*INDEX(Inputs!$K$5:$AJ$170,0,MATCH(AA$2,Inputs!$K$4:$AJ$4,0)))+SUMPRODUCT((Inputs!$E$5:$E$170=$B64)*Inputs!$F$5:$F$170*(((Inputs!$G$5:$G$170="moeda")+(Inputs!$G$5:$G$170="acoes"))*Inputs!$B$1+((Inputs!$G$5:$G$170&lt;&gt;"moeda")*(Inputs!$G$5:$G$170&lt;&gt;"acoes")))*INDEX(Inputs!$K$5:$AJ$170,0,MATCH(AA$2,Inputs!$K$4:$AJ$4,0)))))</f>
        <v>0.758469913141117</v>
      </c>
      <c r="AB64" s="40" t="n"/>
      <c r="AC64" s="268">
        <f>IF(ISNA(MATCH(AC$2,Inputs!$K$4:$AJ$4,0)),NA(),IF(SUMPRODUCT((Inputs!$A$5:$A$170=$B64)*ISNUMBER(INDEX(Inputs!$K$5:$AJ$170,0,MATCH(AC$2,Inputs!$K$4:$AJ$4,0))))+SUMPRODUCT((Inputs!$C$5:$C$170=$B64)*ISNUMBER(INDEX(Inputs!$K$5:$AJ$170,0,MATCH(AC$2,Inputs!$K$4:$AJ$4,0))))+SUMPRODUCT((Inputs!$E$5:$E$170=$B64)*ISNUMBER(INDEX(Inputs!$K$5:$AJ$170,0,MATCH(AC$2,Inputs!$K$4:$AJ$4,0))))=0,NA(),SUMPRODUCT((Inputs!$A$5:$A$170=$B64)*Inputs!$B$5:$B$170*(((Inputs!$G$5:$G$170="moeda")+(Inputs!$G$5:$G$170="acoes"))*Inputs!$B$1+((Inputs!$G$5:$G$170&lt;&gt;"moeda")*(Inputs!$G$5:$G$170&lt;&gt;"acoes")))*INDEX(Inputs!$K$5:$AJ$170,0,MATCH(AC$2,Inputs!$K$4:$AJ$4,0)))+SUMPRODUCT((Inputs!$C$5:$C$170=$B64)*Inputs!$D$5:$D$170*(((Inputs!$G$5:$G$170="moeda")+(Inputs!$G$5:$G$170="acoes"))*Inputs!$B$1+((Inputs!$G$5:$G$170&lt;&gt;"moeda")*(Inputs!$G$5:$G$170&lt;&gt;"acoes")))*INDEX(Inputs!$K$5:$AJ$170,0,MATCH(AC$2,Inputs!$K$4:$AJ$4,0)))+SUMPRODUCT((Inputs!$E$5:$E$170=$B64)*Inputs!$F$5:$F$170*(((Inputs!$G$5:$G$170="moeda")+(Inputs!$G$5:$G$170="acoes"))*Inputs!$B$1+((Inputs!$G$5:$G$170&lt;&gt;"moeda")*(Inputs!$G$5:$G$170&lt;&gt;"acoes")))*INDEX(Inputs!$K$5:$AJ$170,0,MATCH(AC$2,Inputs!$K$4:$AJ$4,0)))))</f>
        <v>0.772834169344879</v>
      </c>
      <c r="AD64" s="268">
        <f>IF(ISNA(MATCH(AD$2,Inputs!$K$4:$AJ$4,0)),NA(),IF(SUMPRODUCT((Inputs!$A$5:$A$170=$B64)*ISNUMBER(INDEX(Inputs!$K$5:$AJ$170,0,MATCH(AD$2,Inputs!$K$4:$AJ$4,0))))+SUMPRODUCT((Inputs!$C$5:$C$170=$B64)*ISNUMBER(INDEX(Inputs!$K$5:$AJ$170,0,MATCH(AD$2,Inputs!$K$4:$AJ$4,0))))+SUMPRODUCT((Inputs!$E$5:$E$170=$B64)*ISNUMBER(INDEX(Inputs!$K$5:$AJ$170,0,MATCH(AD$2,Inputs!$K$4:$AJ$4,0))))=0,NA(),SUMPRODUCT((Inputs!$A$5:$A$170=$B64)*Inputs!$B$5:$B$170*(((Inputs!$G$5:$G$170="moeda")+(Inputs!$G$5:$G$170="acoes"))*Inputs!$B$1+((Inputs!$G$5:$G$170&lt;&gt;"moeda")*(Inputs!$G$5:$G$170&lt;&gt;"acoes")))*INDEX(Inputs!$K$5:$AJ$170,0,MATCH(AD$2,Inputs!$K$4:$AJ$4,0)))+SUMPRODUCT((Inputs!$C$5:$C$170=$B64)*Inputs!$D$5:$D$170*(((Inputs!$G$5:$G$170="moeda")+(Inputs!$G$5:$G$170="acoes"))*Inputs!$B$1+((Inputs!$G$5:$G$170&lt;&gt;"moeda")*(Inputs!$G$5:$G$170&lt;&gt;"acoes")))*INDEX(Inputs!$K$5:$AJ$170,0,MATCH(AD$2,Inputs!$K$4:$AJ$4,0)))+SUMPRODUCT((Inputs!$E$5:$E$170=$B64)*Inputs!$F$5:$F$170*(((Inputs!$G$5:$G$170="moeda")+(Inputs!$G$5:$G$170="acoes"))*Inputs!$B$1+((Inputs!$G$5:$G$170&lt;&gt;"moeda")*(Inputs!$G$5:$G$170&lt;&gt;"acoes")))*INDEX(Inputs!$K$5:$AJ$170,0,MATCH(AD$2,Inputs!$K$4:$AJ$4,0)))))</f>
        <v>0.762080418024289</v>
      </c>
      <c r="AE64" s="268" t="e">
        <f>IF(ISNA(MATCH(AE$2,Inputs!$K$4:$AJ$4,0)),NA(),IF(SUMPRODUCT((Inputs!$A$5:$A$170=$B64)*ISNUMBER(INDEX(Inputs!$K$5:$AJ$170,0,MATCH(AE$2,Inputs!$K$4:$AJ$4,0))))+SUMPRODUCT((Inputs!$C$5:$C$170=$B64)*ISNUMBER(INDEX(Inputs!$K$5:$AJ$170,0,MATCH(AE$2,Inputs!$K$4:$AJ$4,0))))+SUMPRODUCT((Inputs!$E$5:$E$170=$B64)*ISNUMBER(INDEX(Inputs!$K$5:$AJ$170,0,MATCH(AE$2,Inputs!$K$4:$AJ$4,0))))=0,NA(),SUMPRODUCT((Inputs!$A$5:$A$170=$B64)*Inputs!$B$5:$B$170*(((Inputs!$G$5:$G$170="moeda")+(Inputs!$G$5:$G$170="acoes"))*Inputs!$B$1+((Inputs!$G$5:$G$170&lt;&gt;"moeda")*(Inputs!$G$5:$G$170&lt;&gt;"acoes")))*INDEX(Inputs!$K$5:$AJ$170,0,MATCH(AE$2,Inputs!$K$4:$AJ$4,0)))+SUMPRODUCT((Inputs!$C$5:$C$170=$B64)*Inputs!$D$5:$D$170*(((Inputs!$G$5:$G$170="moeda")+(Inputs!$G$5:$G$170="acoes"))*Inputs!$B$1+((Inputs!$G$5:$G$170&lt;&gt;"moeda")*(Inputs!$G$5:$G$170&lt;&gt;"acoes")))*INDEX(Inputs!$K$5:$AJ$170,0,MATCH(AE$2,Inputs!$K$4:$AJ$4,0)))+SUMPRODUCT((Inputs!$E$5:$E$170=$B64)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4" s="268" t="e">
        <f>IF(ISNA(MATCH(AF$2,Inputs!$K$4:$AJ$4,0)),NA(),IF(SUMPRODUCT((Inputs!$A$5:$A$170=$B64)*ISNUMBER(INDEX(Inputs!$K$5:$AJ$170,0,MATCH(AF$2,Inputs!$K$4:$AJ$4,0))))+SUMPRODUCT((Inputs!$C$5:$C$170=$B64)*ISNUMBER(INDEX(Inputs!$K$5:$AJ$170,0,MATCH(AF$2,Inputs!$K$4:$AJ$4,0))))+SUMPRODUCT((Inputs!$E$5:$E$170=$B64)*ISNUMBER(INDEX(Inputs!$K$5:$AJ$170,0,MATCH(AF$2,Inputs!$K$4:$AJ$4,0))))=0,NA(),SUMPRODUCT((Inputs!$A$5:$A$170=$B64)*Inputs!$B$5:$B$170*(((Inputs!$G$5:$G$170="moeda")+(Inputs!$G$5:$G$170="acoes"))*Inputs!$B$1+((Inputs!$G$5:$G$170&lt;&gt;"moeda")*(Inputs!$G$5:$G$170&lt;&gt;"acoes")))*INDEX(Inputs!$K$5:$AJ$170,0,MATCH(AF$2,Inputs!$K$4:$AJ$4,0)))+SUMPRODUCT((Inputs!$C$5:$C$170=$B64)*Inputs!$D$5:$D$170*(((Inputs!$G$5:$G$170="moeda")+(Inputs!$G$5:$G$170="acoes"))*Inputs!$B$1+((Inputs!$G$5:$G$170&lt;&gt;"moeda")*(Inputs!$G$5:$G$170&lt;&gt;"acoes")))*INDEX(Inputs!$K$5:$AJ$170,0,MATCH(AF$2,Inputs!$K$4:$AJ$4,0)))+SUMPRODUCT((Inputs!$E$5:$E$170=$B64)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4" s="40" t="n"/>
      <c r="AH64" s="268">
        <f>IF(ISNA(MATCH(AH$2,Inputs!$K$4:$AJ$4,0)),NA(),IF(SUMPRODUCT((Inputs!$A$5:$A$170=$B64)*ISNUMBER(INDEX(Inputs!$K$5:$AJ$170,0,MATCH(AH$2,Inputs!$K$4:$AJ$4,0))))+SUMPRODUCT((Inputs!$C$5:$C$170=$B64)*ISNUMBER(INDEX(Inputs!$K$5:$AJ$170,0,MATCH(AH$2,Inputs!$K$4:$AJ$4,0))))+SUMPRODUCT((Inputs!$E$5:$E$170=$B64)*ISNUMBER(INDEX(Inputs!$K$5:$AJ$170,0,MATCH(AH$2,Inputs!$K$4:$AJ$4,0))))=0,NA(),SUMPRODUCT((Inputs!$A$5:$A$170=$B64)*Inputs!$B$5:$B$170*(((Inputs!$G$5:$G$170="moeda")+(Inputs!$G$5:$G$170="acoes"))*Inputs!$B$1+((Inputs!$G$5:$G$170&lt;&gt;"moeda")*(Inputs!$G$5:$G$170&lt;&gt;"acoes")))*INDEX(Inputs!$K$5:$AJ$170,0,MATCH(AH$2,Inputs!$K$4:$AJ$4,0)))+SUMPRODUCT((Inputs!$C$5:$C$170=$B64)*Inputs!$D$5:$D$170*(((Inputs!$G$5:$G$170="moeda")+(Inputs!$G$5:$G$170="acoes"))*Inputs!$B$1+((Inputs!$G$5:$G$170&lt;&gt;"moeda")*(Inputs!$G$5:$G$170&lt;&gt;"acoes")))*INDEX(Inputs!$K$5:$AJ$170,0,MATCH(AH$2,Inputs!$K$4:$AJ$4,0)))+SUMPRODUCT((Inputs!$E$5:$E$170=$B64)*Inputs!$F$5:$F$170*(((Inputs!$G$5:$G$170="moeda")+(Inputs!$G$5:$G$170="acoes"))*Inputs!$B$1+((Inputs!$G$5:$G$170&lt;&gt;"moeda")*(Inputs!$G$5:$G$170&lt;&gt;"acoes")))*INDEX(Inputs!$K$5:$AJ$170,0,MATCH(AH$2,Inputs!$K$4:$AJ$4,0)))))</f>
        <v>0.752</v>
      </c>
      <c r="AI64" s="268">
        <f>IF(ISNA(MATCH(AI$2,Inputs!$K$4:$AJ$4,0)),NA(),IF(SUMPRODUCT((Inputs!$A$5:$A$170=$B64)*ISNUMBER(INDEX(Inputs!$K$5:$AJ$170,0,MATCH(AI$2,Inputs!$K$4:$AJ$4,0))))+SUMPRODUCT((Inputs!$C$5:$C$170=$B64)*ISNUMBER(INDEX(Inputs!$K$5:$AJ$170,0,MATCH(AI$2,Inputs!$K$4:$AJ$4,0))))+SUMPRODUCT((Inputs!$E$5:$E$170=$B64)*ISNUMBER(INDEX(Inputs!$K$5:$AJ$170,0,MATCH(AI$2,Inputs!$K$4:$AJ$4,0))))=0,NA(),SUMPRODUCT((Inputs!$A$5:$A$170=$B64)*Inputs!$B$5:$B$170*(((Inputs!$G$5:$G$170="moeda")+(Inputs!$G$5:$G$170="acoes"))*Inputs!$B$1+((Inputs!$G$5:$G$170&lt;&gt;"moeda")*(Inputs!$G$5:$G$170&lt;&gt;"acoes")))*INDEX(Inputs!$K$5:$AJ$170,0,MATCH(AI$2,Inputs!$K$4:$AJ$4,0)))+SUMPRODUCT((Inputs!$C$5:$C$170=$B64)*Inputs!$D$5:$D$170*(((Inputs!$G$5:$G$170="moeda")+(Inputs!$G$5:$G$170="acoes"))*Inputs!$B$1+((Inputs!$G$5:$G$170&lt;&gt;"moeda")*(Inputs!$G$5:$G$170&lt;&gt;"acoes")))*INDEX(Inputs!$K$5:$AJ$170,0,MATCH(AI$2,Inputs!$K$4:$AJ$4,0)))+SUMPRODUCT((Inputs!$E$5:$E$170=$B64)*Inputs!$F$5:$F$170*(((Inputs!$G$5:$G$170="moeda")+(Inputs!$G$5:$G$170="acoes"))*Inputs!$B$1+((Inputs!$G$5:$G$170&lt;&gt;"moeda")*(Inputs!$G$5:$G$170&lt;&gt;"acoes")))*INDEX(Inputs!$K$5:$AJ$170,0,MATCH(AI$2,Inputs!$K$4:$AJ$4,0)))))</f>
        <v>0.729</v>
      </c>
      <c r="AJ64" s="268">
        <f>IF(ISNA(MATCH(AJ$2,Inputs!$K$4:$AJ$4,0)),NA(),IF(SUMPRODUCT((Inputs!$A$5:$A$170=$B64)*ISNUMBER(INDEX(Inputs!$K$5:$AJ$170,0,MATCH(AJ$2,Inputs!$K$4:$AJ$4,0))))+SUMPRODUCT((Inputs!$C$5:$C$170=$B64)*ISNUMBER(INDEX(Inputs!$K$5:$AJ$170,0,MATCH(AJ$2,Inputs!$K$4:$AJ$4,0))))+SUMPRODUCT((Inputs!$E$5:$E$170=$B64)*ISNUMBER(INDEX(Inputs!$K$5:$AJ$170,0,MATCH(AJ$2,Inputs!$K$4:$AJ$4,0))))=0,NA(),SUMPRODUCT((Inputs!$A$5:$A$170=$B64)*Inputs!$B$5:$B$170*(((Inputs!$G$5:$G$170="moeda")+(Inputs!$G$5:$G$170="acoes"))*Inputs!$B$1+((Inputs!$G$5:$G$170&lt;&gt;"moeda")*(Inputs!$G$5:$G$170&lt;&gt;"acoes")))*INDEX(Inputs!$K$5:$AJ$170,0,MATCH(AJ$2,Inputs!$K$4:$AJ$4,0)))+SUMPRODUCT((Inputs!$C$5:$C$170=$B64)*Inputs!$D$5:$D$170*(((Inputs!$G$5:$G$170="moeda")+(Inputs!$G$5:$G$170="acoes"))*Inputs!$B$1+((Inputs!$G$5:$G$170&lt;&gt;"moeda")*(Inputs!$G$5:$G$170&lt;&gt;"acoes")))*INDEX(Inputs!$K$5:$AJ$170,0,MATCH(AJ$2,Inputs!$K$4:$AJ$4,0)))+SUMPRODUCT((Inputs!$E$5:$E$170=$B64)*Inputs!$F$5:$F$170*(((Inputs!$G$5:$G$170="moeda")+(Inputs!$G$5:$G$170="acoes"))*Inputs!$B$1+((Inputs!$G$5:$G$170&lt;&gt;"moeda")*(Inputs!$G$5:$G$170&lt;&gt;"acoes")))*INDEX(Inputs!$K$5:$AJ$170,0,MATCH(AJ$2,Inputs!$K$4:$AJ$4,0)))))</f>
        <v>0.827</v>
      </c>
      <c r="AK64" s="268">
        <f>IF(ISNA(MATCH(AK$2,Inputs!$K$4:$AJ$4,0)),NA(),IF(SUMPRODUCT((Inputs!$A$5:$A$170=$B64)*ISNUMBER(INDEX(Inputs!$K$5:$AJ$170,0,MATCH(AK$2,Inputs!$K$4:$AJ$4,0))))+SUMPRODUCT((Inputs!$C$5:$C$170=$B64)*ISNUMBER(INDEX(Inputs!$K$5:$AJ$170,0,MATCH(AK$2,Inputs!$K$4:$AJ$4,0))))+SUMPRODUCT((Inputs!$E$5:$E$170=$B64)*ISNUMBER(INDEX(Inputs!$K$5:$AJ$170,0,MATCH(AK$2,Inputs!$K$4:$AJ$4,0))))=0,NA(),SUMPRODUCT((Inputs!$A$5:$A$170=$B64)*Inputs!$B$5:$B$170*(((Inputs!$G$5:$G$170="moeda")+(Inputs!$G$5:$G$170="acoes"))*Inputs!$B$1+((Inputs!$G$5:$G$170&lt;&gt;"moeda")*(Inputs!$G$5:$G$170&lt;&gt;"acoes")))*INDEX(Inputs!$K$5:$AJ$170,0,MATCH(AK$2,Inputs!$K$4:$AJ$4,0)))+SUMPRODUCT((Inputs!$C$5:$C$170=$B64)*Inputs!$D$5:$D$170*(((Inputs!$G$5:$G$170="moeda")+(Inputs!$G$5:$G$170="acoes"))*Inputs!$B$1+((Inputs!$G$5:$G$170&lt;&gt;"moeda")*(Inputs!$G$5:$G$170&lt;&gt;"acoes")))*INDEX(Inputs!$K$5:$AJ$170,0,MATCH(AK$2,Inputs!$K$4:$AJ$4,0)))+SUMPRODUCT((Inputs!$E$5:$E$170=$B64)*Inputs!$F$5:$F$170*(((Inputs!$G$5:$G$170="moeda")+(Inputs!$G$5:$G$170="acoes"))*Inputs!$B$1+((Inputs!$G$5:$G$170&lt;&gt;"moeda")*(Inputs!$G$5:$G$170&lt;&gt;"acoes")))*INDEX(Inputs!$K$5:$AJ$170,0,MATCH(AK$2,Inputs!$K$4:$AJ$4,0)))))</f>
        <v>0.844</v>
      </c>
      <c r="AL64" s="40" t="n"/>
    </row>
    <row r="65">
      <c r="B65" s="46" t="n">
        <v>57</v>
      </c>
      <c r="C65" s="29" t="inlineStr">
        <is>
          <t>RAC - diaria media (R$; Op Data l.17)</t>
        </is>
      </c>
      <c r="D65" s="269">
        <f>IF(ISNA(MATCH(D$2,Inputs!$K$4:$AJ$4,0)),NA(),IF(SUMPRODUCT((Inputs!$A$5:$A$170=$B65)*ISNUMBER(INDEX(Inputs!$K$5:$AJ$170,0,MATCH(D$2,Inputs!$K$4:$AJ$4,0))))+SUMPRODUCT((Inputs!$C$5:$C$170=$B65)*ISNUMBER(INDEX(Inputs!$K$5:$AJ$170,0,MATCH(D$2,Inputs!$K$4:$AJ$4,0))))+SUMPRODUCT((Inputs!$E$5:$E$170=$B65)*ISNUMBER(INDEX(Inputs!$K$5:$AJ$170,0,MATCH(D$2,Inputs!$K$4:$AJ$4,0))))=0,NA(),SUMPRODUCT((Inputs!$A$5:$A$170=$B65)*Inputs!$B$5:$B$170*(((Inputs!$G$5:$G$170="moeda")+(Inputs!$G$5:$G$170="acoes"))*Inputs!$B$1+((Inputs!$G$5:$G$170&lt;&gt;"moeda")*(Inputs!$G$5:$G$170&lt;&gt;"acoes")))*INDEX(Inputs!$K$5:$AJ$170,0,MATCH(D$2,Inputs!$K$4:$AJ$4,0)))+SUMPRODUCT((Inputs!$C$5:$C$170=$B65)*Inputs!$D$5:$D$170*(((Inputs!$G$5:$G$170="moeda")+(Inputs!$G$5:$G$170="acoes"))*Inputs!$B$1+((Inputs!$G$5:$G$170&lt;&gt;"moeda")*(Inputs!$G$5:$G$170&lt;&gt;"acoes")))*INDEX(Inputs!$K$5:$AJ$170,0,MATCH(D$2,Inputs!$K$4:$AJ$4,0)))+SUMPRODUCT((Inputs!$E$5:$E$170=$B65)*Inputs!$F$5:$F$170*(((Inputs!$G$5:$G$170="moeda")+(Inputs!$G$5:$G$170="acoes"))*Inputs!$B$1+((Inputs!$G$5:$G$170&lt;&gt;"moeda")*(Inputs!$G$5:$G$170&lt;&gt;"acoes")))*INDEX(Inputs!$K$5:$AJ$170,0,MATCH(D$2,Inputs!$K$4:$AJ$4,0)))))</f>
        <v>81.742</v>
      </c>
      <c r="E65" s="269">
        <f>IF(ISNA(MATCH(E$2,Inputs!$K$4:$AJ$4,0)),NA(),IF(SUMPRODUCT((Inputs!$A$5:$A$170=$B65)*ISNUMBER(INDEX(Inputs!$K$5:$AJ$170,0,MATCH(E$2,Inputs!$K$4:$AJ$4,0))))+SUMPRODUCT((Inputs!$C$5:$C$170=$B65)*ISNUMBER(INDEX(Inputs!$K$5:$AJ$170,0,MATCH(E$2,Inputs!$K$4:$AJ$4,0))))+SUMPRODUCT((Inputs!$E$5:$E$170=$B65)*ISNUMBER(INDEX(Inputs!$K$5:$AJ$170,0,MATCH(E$2,Inputs!$K$4:$AJ$4,0))))=0,NA(),SUMPRODUCT((Inputs!$A$5:$A$170=$B65)*Inputs!$B$5:$B$170*(((Inputs!$G$5:$G$170="moeda")+(Inputs!$G$5:$G$170="acoes"))*Inputs!$B$1+((Inputs!$G$5:$G$170&lt;&gt;"moeda")*(Inputs!$G$5:$G$170&lt;&gt;"acoes")))*INDEX(Inputs!$K$5:$AJ$170,0,MATCH(E$2,Inputs!$K$4:$AJ$4,0)))+SUMPRODUCT((Inputs!$C$5:$C$170=$B65)*Inputs!$D$5:$D$170*(((Inputs!$G$5:$G$170="moeda")+(Inputs!$G$5:$G$170="acoes"))*Inputs!$B$1+((Inputs!$G$5:$G$170&lt;&gt;"moeda")*(Inputs!$G$5:$G$170&lt;&gt;"acoes")))*INDEX(Inputs!$K$5:$AJ$170,0,MATCH(E$2,Inputs!$K$4:$AJ$4,0)))+SUMPRODUCT((Inputs!$E$5:$E$170=$B65)*Inputs!$F$5:$F$170*(((Inputs!$G$5:$G$170="moeda")+(Inputs!$G$5:$G$170="acoes"))*Inputs!$B$1+((Inputs!$G$5:$G$170&lt;&gt;"moeda")*(Inputs!$G$5:$G$170&lt;&gt;"acoes")))*INDEX(Inputs!$K$5:$AJ$170,0,MATCH(E$2,Inputs!$K$4:$AJ$4,0)))))</f>
        <v>84.087</v>
      </c>
      <c r="F65" s="269">
        <f>IF(ISNA(MATCH(F$2,Inputs!$K$4:$AJ$4,0)),NA(),IF(SUMPRODUCT((Inputs!$A$5:$A$170=$B65)*ISNUMBER(INDEX(Inputs!$K$5:$AJ$170,0,MATCH(F$2,Inputs!$K$4:$AJ$4,0))))+SUMPRODUCT((Inputs!$C$5:$C$170=$B65)*ISNUMBER(INDEX(Inputs!$K$5:$AJ$170,0,MATCH(F$2,Inputs!$K$4:$AJ$4,0))))+SUMPRODUCT((Inputs!$E$5:$E$170=$B65)*ISNUMBER(INDEX(Inputs!$K$5:$AJ$170,0,MATCH(F$2,Inputs!$K$4:$AJ$4,0))))=0,NA(),SUMPRODUCT((Inputs!$A$5:$A$170=$B65)*Inputs!$B$5:$B$170*(((Inputs!$G$5:$G$170="moeda")+(Inputs!$G$5:$G$170="acoes"))*Inputs!$B$1+((Inputs!$G$5:$G$170&lt;&gt;"moeda")*(Inputs!$G$5:$G$170&lt;&gt;"acoes")))*INDEX(Inputs!$K$5:$AJ$170,0,MATCH(F$2,Inputs!$K$4:$AJ$4,0)))+SUMPRODUCT((Inputs!$C$5:$C$170=$B65)*Inputs!$D$5:$D$170*(((Inputs!$G$5:$G$170="moeda")+(Inputs!$G$5:$G$170="acoes"))*Inputs!$B$1+((Inputs!$G$5:$G$170&lt;&gt;"moeda")*(Inputs!$G$5:$G$170&lt;&gt;"acoes")))*INDEX(Inputs!$K$5:$AJ$170,0,MATCH(F$2,Inputs!$K$4:$AJ$4,0)))+SUMPRODUCT((Inputs!$E$5:$E$170=$B65)*Inputs!$F$5:$F$170*(((Inputs!$G$5:$G$170="moeda")+(Inputs!$G$5:$G$170="acoes"))*Inputs!$B$1+((Inputs!$G$5:$G$170&lt;&gt;"moeda")*(Inputs!$G$5:$G$170&lt;&gt;"acoes")))*INDEX(Inputs!$K$5:$AJ$170,0,MATCH(F$2,Inputs!$K$4:$AJ$4,0)))))</f>
        <v>96.404</v>
      </c>
      <c r="G65" s="269">
        <f>IF(ISNA(MATCH(G$2,Inputs!$K$4:$AJ$4,0)),NA(),IF(SUMPRODUCT((Inputs!$A$5:$A$170=$B65)*ISNUMBER(INDEX(Inputs!$K$5:$AJ$170,0,MATCH(G$2,Inputs!$K$4:$AJ$4,0))))+SUMPRODUCT((Inputs!$C$5:$C$170=$B65)*ISNUMBER(INDEX(Inputs!$K$5:$AJ$170,0,MATCH(G$2,Inputs!$K$4:$AJ$4,0))))+SUMPRODUCT((Inputs!$E$5:$E$170=$B65)*ISNUMBER(INDEX(Inputs!$K$5:$AJ$170,0,MATCH(G$2,Inputs!$K$4:$AJ$4,0))))=0,NA(),SUMPRODUCT((Inputs!$A$5:$A$170=$B65)*Inputs!$B$5:$B$170*(((Inputs!$G$5:$G$170="moeda")+(Inputs!$G$5:$G$170="acoes"))*Inputs!$B$1+((Inputs!$G$5:$G$170&lt;&gt;"moeda")*(Inputs!$G$5:$G$170&lt;&gt;"acoes")))*INDEX(Inputs!$K$5:$AJ$170,0,MATCH(G$2,Inputs!$K$4:$AJ$4,0)))+SUMPRODUCT((Inputs!$C$5:$C$170=$B65)*Inputs!$D$5:$D$170*(((Inputs!$G$5:$G$170="moeda")+(Inputs!$G$5:$G$170="acoes"))*Inputs!$B$1+((Inputs!$G$5:$G$170&lt;&gt;"moeda")*(Inputs!$G$5:$G$170&lt;&gt;"acoes")))*INDEX(Inputs!$K$5:$AJ$170,0,MATCH(G$2,Inputs!$K$4:$AJ$4,0)))+SUMPRODUCT((Inputs!$E$5:$E$170=$B65)*Inputs!$F$5:$F$170*(((Inputs!$G$5:$G$170="moeda")+(Inputs!$G$5:$G$170="acoes"))*Inputs!$B$1+((Inputs!$G$5:$G$170&lt;&gt;"moeda")*(Inputs!$G$5:$G$170&lt;&gt;"acoes")))*INDEX(Inputs!$K$5:$AJ$170,0,MATCH(G$2,Inputs!$K$4:$AJ$4,0)))))</f>
        <v>118.614</v>
      </c>
      <c r="H65" s="270" t="n"/>
      <c r="I65" s="269">
        <f>IF(ISNA(MATCH(I$2,Inputs!$K$4:$AJ$4,0)),NA(),IF(SUMPRODUCT((Inputs!$A$5:$A$170=$B65)*ISNUMBER(INDEX(Inputs!$K$5:$AJ$170,0,MATCH(I$2,Inputs!$K$4:$AJ$4,0))))+SUMPRODUCT((Inputs!$C$5:$C$170=$B65)*ISNUMBER(INDEX(Inputs!$K$5:$AJ$170,0,MATCH(I$2,Inputs!$K$4:$AJ$4,0))))+SUMPRODUCT((Inputs!$E$5:$E$170=$B65)*ISNUMBER(INDEX(Inputs!$K$5:$AJ$170,0,MATCH(I$2,Inputs!$K$4:$AJ$4,0))))=0,NA(),SUMPRODUCT((Inputs!$A$5:$A$170=$B65)*Inputs!$B$5:$B$170*(((Inputs!$G$5:$G$170="moeda")+(Inputs!$G$5:$G$170="acoes"))*Inputs!$B$1+((Inputs!$G$5:$G$170&lt;&gt;"moeda")*(Inputs!$G$5:$G$170&lt;&gt;"acoes")))*INDEX(Inputs!$K$5:$AJ$170,0,MATCH(I$2,Inputs!$K$4:$AJ$4,0)))+SUMPRODUCT((Inputs!$C$5:$C$170=$B65)*Inputs!$D$5:$D$170*(((Inputs!$G$5:$G$170="moeda")+(Inputs!$G$5:$G$170="acoes"))*Inputs!$B$1+((Inputs!$G$5:$G$170&lt;&gt;"moeda")*(Inputs!$G$5:$G$170&lt;&gt;"acoes")))*INDEX(Inputs!$K$5:$AJ$170,0,MATCH(I$2,Inputs!$K$4:$AJ$4,0)))+SUMPRODUCT((Inputs!$E$5:$E$170=$B65)*Inputs!$F$5:$F$170*(((Inputs!$G$5:$G$170="moeda")+(Inputs!$G$5:$G$170="acoes"))*Inputs!$B$1+((Inputs!$G$5:$G$170&lt;&gt;"moeda")*(Inputs!$G$5:$G$170&lt;&gt;"acoes")))*INDEX(Inputs!$K$5:$AJ$170,0,MATCH(I$2,Inputs!$K$4:$AJ$4,0)))))</f>
        <v>118.61</v>
      </c>
      <c r="J65" s="269">
        <f>IF(ISNA(MATCH(J$2,Inputs!$K$4:$AJ$4,0)),NA(),IF(SUMPRODUCT((Inputs!$A$5:$A$170=$B65)*ISNUMBER(INDEX(Inputs!$K$5:$AJ$170,0,MATCH(J$2,Inputs!$K$4:$AJ$4,0))))+SUMPRODUCT((Inputs!$C$5:$C$170=$B65)*ISNUMBER(INDEX(Inputs!$K$5:$AJ$170,0,MATCH(J$2,Inputs!$K$4:$AJ$4,0))))+SUMPRODUCT((Inputs!$E$5:$E$170=$B65)*ISNUMBER(INDEX(Inputs!$K$5:$AJ$170,0,MATCH(J$2,Inputs!$K$4:$AJ$4,0))))=0,NA(),SUMPRODUCT((Inputs!$A$5:$A$170=$B65)*Inputs!$B$5:$B$170*(((Inputs!$G$5:$G$170="moeda")+(Inputs!$G$5:$G$170="acoes"))*Inputs!$B$1+((Inputs!$G$5:$G$170&lt;&gt;"moeda")*(Inputs!$G$5:$G$170&lt;&gt;"acoes")))*INDEX(Inputs!$K$5:$AJ$170,0,MATCH(J$2,Inputs!$K$4:$AJ$4,0)))+SUMPRODUCT((Inputs!$C$5:$C$170=$B65)*Inputs!$D$5:$D$170*(((Inputs!$G$5:$G$170="moeda")+(Inputs!$G$5:$G$170="acoes"))*Inputs!$B$1+((Inputs!$G$5:$G$170&lt;&gt;"moeda")*(Inputs!$G$5:$G$170&lt;&gt;"acoes")))*INDEX(Inputs!$K$5:$AJ$170,0,MATCH(J$2,Inputs!$K$4:$AJ$4,0)))+SUMPRODUCT((Inputs!$E$5:$E$170=$B65)*Inputs!$F$5:$F$170*(((Inputs!$G$5:$G$170="moeda")+(Inputs!$G$5:$G$170="acoes"))*Inputs!$B$1+((Inputs!$G$5:$G$170&lt;&gt;"moeda")*(Inputs!$G$5:$G$170&lt;&gt;"acoes")))*INDEX(Inputs!$K$5:$AJ$170,0,MATCH(J$2,Inputs!$K$4:$AJ$4,0)))))</f>
        <v>115.745</v>
      </c>
      <c r="K65" s="269">
        <f>IF(ISNA(MATCH(K$2,Inputs!$K$4:$AJ$4,0)),NA(),IF(SUMPRODUCT((Inputs!$A$5:$A$170=$B65)*ISNUMBER(INDEX(Inputs!$K$5:$AJ$170,0,MATCH(K$2,Inputs!$K$4:$AJ$4,0))))+SUMPRODUCT((Inputs!$C$5:$C$170=$B65)*ISNUMBER(INDEX(Inputs!$K$5:$AJ$170,0,MATCH(K$2,Inputs!$K$4:$AJ$4,0))))+SUMPRODUCT((Inputs!$E$5:$E$170=$B65)*ISNUMBER(INDEX(Inputs!$K$5:$AJ$170,0,MATCH(K$2,Inputs!$K$4:$AJ$4,0))))=0,NA(),SUMPRODUCT((Inputs!$A$5:$A$170=$B65)*Inputs!$B$5:$B$170*(((Inputs!$G$5:$G$170="moeda")+(Inputs!$G$5:$G$170="acoes"))*Inputs!$B$1+((Inputs!$G$5:$G$170&lt;&gt;"moeda")*(Inputs!$G$5:$G$170&lt;&gt;"acoes")))*INDEX(Inputs!$K$5:$AJ$170,0,MATCH(K$2,Inputs!$K$4:$AJ$4,0)))+SUMPRODUCT((Inputs!$C$5:$C$170=$B65)*Inputs!$D$5:$D$170*(((Inputs!$G$5:$G$170="moeda")+(Inputs!$G$5:$G$170="acoes"))*Inputs!$B$1+((Inputs!$G$5:$G$170&lt;&gt;"moeda")*(Inputs!$G$5:$G$170&lt;&gt;"acoes")))*INDEX(Inputs!$K$5:$AJ$170,0,MATCH(K$2,Inputs!$K$4:$AJ$4,0)))+SUMPRODUCT((Inputs!$E$5:$E$170=$B65)*Inputs!$F$5:$F$170*(((Inputs!$G$5:$G$170="moeda")+(Inputs!$G$5:$G$170="acoes"))*Inputs!$B$1+((Inputs!$G$5:$G$170&lt;&gt;"moeda")*(Inputs!$G$5:$G$170&lt;&gt;"acoes")))*INDEX(Inputs!$K$5:$AJ$170,0,MATCH(K$2,Inputs!$K$4:$AJ$4,0)))))</f>
        <v>128.557</v>
      </c>
      <c r="L65" s="269">
        <f>IF(ISNA(MATCH(L$2,Inputs!$K$4:$AJ$4,0)),NA(),IF(SUMPRODUCT((Inputs!$A$5:$A$170=$B65)*ISNUMBER(INDEX(Inputs!$K$5:$AJ$170,0,MATCH(L$2,Inputs!$K$4:$AJ$4,0))))+SUMPRODUCT((Inputs!$C$5:$C$170=$B65)*ISNUMBER(INDEX(Inputs!$K$5:$AJ$170,0,MATCH(L$2,Inputs!$K$4:$AJ$4,0))))+SUMPRODUCT((Inputs!$E$5:$E$170=$B65)*ISNUMBER(INDEX(Inputs!$K$5:$AJ$170,0,MATCH(L$2,Inputs!$K$4:$AJ$4,0))))=0,NA(),SUMPRODUCT((Inputs!$A$5:$A$170=$B65)*Inputs!$B$5:$B$170*(((Inputs!$G$5:$G$170="moeda")+(Inputs!$G$5:$G$170="acoes"))*Inputs!$B$1+((Inputs!$G$5:$G$170&lt;&gt;"moeda")*(Inputs!$G$5:$G$170&lt;&gt;"acoes")))*INDEX(Inputs!$K$5:$AJ$170,0,MATCH(L$2,Inputs!$K$4:$AJ$4,0)))+SUMPRODUCT((Inputs!$C$5:$C$170=$B65)*Inputs!$D$5:$D$170*(((Inputs!$G$5:$G$170="moeda")+(Inputs!$G$5:$G$170="acoes"))*Inputs!$B$1+((Inputs!$G$5:$G$170&lt;&gt;"moeda")*(Inputs!$G$5:$G$170&lt;&gt;"acoes")))*INDEX(Inputs!$K$5:$AJ$170,0,MATCH(L$2,Inputs!$K$4:$AJ$4,0)))+SUMPRODUCT((Inputs!$E$5:$E$170=$B65)*Inputs!$F$5:$F$170*(((Inputs!$G$5:$G$170="moeda")+(Inputs!$G$5:$G$170="acoes"))*Inputs!$B$1+((Inputs!$G$5:$G$170&lt;&gt;"moeda")*(Inputs!$G$5:$G$170&lt;&gt;"acoes")))*INDEX(Inputs!$K$5:$AJ$170,0,MATCH(L$2,Inputs!$K$4:$AJ$4,0)))))</f>
        <v>127.297</v>
      </c>
      <c r="M65" s="270" t="n"/>
      <c r="N65" s="269">
        <f>IF(ISNA(MATCH(N$2,Inputs!$K$4:$AJ$4,0)),NA(),IF(SUMPRODUCT((Inputs!$A$5:$A$170=$B65)*ISNUMBER(INDEX(Inputs!$K$5:$AJ$170,0,MATCH(N$2,Inputs!$K$4:$AJ$4,0))))+SUMPRODUCT((Inputs!$C$5:$C$170=$B65)*ISNUMBER(INDEX(Inputs!$K$5:$AJ$170,0,MATCH(N$2,Inputs!$K$4:$AJ$4,0))))+SUMPRODUCT((Inputs!$E$5:$E$170=$B65)*ISNUMBER(INDEX(Inputs!$K$5:$AJ$170,0,MATCH(N$2,Inputs!$K$4:$AJ$4,0))))=0,NA(),SUMPRODUCT((Inputs!$A$5:$A$170=$B65)*Inputs!$B$5:$B$170*(((Inputs!$G$5:$G$170="moeda")+(Inputs!$G$5:$G$170="acoes"))*Inputs!$B$1+((Inputs!$G$5:$G$170&lt;&gt;"moeda")*(Inputs!$G$5:$G$170&lt;&gt;"acoes")))*INDEX(Inputs!$K$5:$AJ$170,0,MATCH(N$2,Inputs!$K$4:$AJ$4,0)))+SUMPRODUCT((Inputs!$C$5:$C$170=$B65)*Inputs!$D$5:$D$170*(((Inputs!$G$5:$G$170="moeda")+(Inputs!$G$5:$G$170="acoes"))*Inputs!$B$1+((Inputs!$G$5:$G$170&lt;&gt;"moeda")*(Inputs!$G$5:$G$170&lt;&gt;"acoes")))*INDEX(Inputs!$K$5:$AJ$170,0,MATCH(N$2,Inputs!$K$4:$AJ$4,0)))+SUMPRODUCT((Inputs!$E$5:$E$170=$B65)*Inputs!$F$5:$F$170*(((Inputs!$G$5:$G$170="moeda")+(Inputs!$G$5:$G$170="acoes"))*Inputs!$B$1+((Inputs!$G$5:$G$170&lt;&gt;"moeda")*(Inputs!$G$5:$G$170&lt;&gt;"acoes")))*INDEX(Inputs!$K$5:$AJ$170,0,MATCH(N$2,Inputs!$K$4:$AJ$4,0)))))</f>
        <v>126.002</v>
      </c>
      <c r="O65" s="269">
        <f>IF(ISNA(MATCH(O$2,Inputs!$K$4:$AJ$4,0)),NA(),IF(SUMPRODUCT((Inputs!$A$5:$A$170=$B65)*ISNUMBER(INDEX(Inputs!$K$5:$AJ$170,0,MATCH(O$2,Inputs!$K$4:$AJ$4,0))))+SUMPRODUCT((Inputs!$C$5:$C$170=$B65)*ISNUMBER(INDEX(Inputs!$K$5:$AJ$170,0,MATCH(O$2,Inputs!$K$4:$AJ$4,0))))+SUMPRODUCT((Inputs!$E$5:$E$170=$B65)*ISNUMBER(INDEX(Inputs!$K$5:$AJ$170,0,MATCH(O$2,Inputs!$K$4:$AJ$4,0))))=0,NA(),SUMPRODUCT((Inputs!$A$5:$A$170=$B65)*Inputs!$B$5:$B$170*(((Inputs!$G$5:$G$170="moeda")+(Inputs!$G$5:$G$170="acoes"))*Inputs!$B$1+((Inputs!$G$5:$G$170&lt;&gt;"moeda")*(Inputs!$G$5:$G$170&lt;&gt;"acoes")))*INDEX(Inputs!$K$5:$AJ$170,0,MATCH(O$2,Inputs!$K$4:$AJ$4,0)))+SUMPRODUCT((Inputs!$C$5:$C$170=$B65)*Inputs!$D$5:$D$170*(((Inputs!$G$5:$G$170="moeda")+(Inputs!$G$5:$G$170="acoes"))*Inputs!$B$1+((Inputs!$G$5:$G$170&lt;&gt;"moeda")*(Inputs!$G$5:$G$170&lt;&gt;"acoes")))*INDEX(Inputs!$K$5:$AJ$170,0,MATCH(O$2,Inputs!$K$4:$AJ$4,0)))+SUMPRODUCT((Inputs!$E$5:$E$170=$B65)*Inputs!$F$5:$F$170*(((Inputs!$G$5:$G$170="moeda")+(Inputs!$G$5:$G$170="acoes"))*Inputs!$B$1+((Inputs!$G$5:$G$170&lt;&gt;"moeda")*(Inputs!$G$5:$G$170&lt;&gt;"acoes")))*INDEX(Inputs!$K$5:$AJ$170,0,MATCH(O$2,Inputs!$K$4:$AJ$4,0)))))</f>
        <v>123.362</v>
      </c>
      <c r="P65" s="269">
        <f>IF(ISNA(MATCH(P$2,Inputs!$K$4:$AJ$4,0)),NA(),IF(SUMPRODUCT((Inputs!$A$5:$A$170=$B65)*ISNUMBER(INDEX(Inputs!$K$5:$AJ$170,0,MATCH(P$2,Inputs!$K$4:$AJ$4,0))))+SUMPRODUCT((Inputs!$C$5:$C$170=$B65)*ISNUMBER(INDEX(Inputs!$K$5:$AJ$170,0,MATCH(P$2,Inputs!$K$4:$AJ$4,0))))+SUMPRODUCT((Inputs!$E$5:$E$170=$B65)*ISNUMBER(INDEX(Inputs!$K$5:$AJ$170,0,MATCH(P$2,Inputs!$K$4:$AJ$4,0))))=0,NA(),SUMPRODUCT((Inputs!$A$5:$A$170=$B65)*Inputs!$B$5:$B$170*(((Inputs!$G$5:$G$170="moeda")+(Inputs!$G$5:$G$170="acoes"))*Inputs!$B$1+((Inputs!$G$5:$G$170&lt;&gt;"moeda")*(Inputs!$G$5:$G$170&lt;&gt;"acoes")))*INDEX(Inputs!$K$5:$AJ$170,0,MATCH(P$2,Inputs!$K$4:$AJ$4,0)))+SUMPRODUCT((Inputs!$C$5:$C$170=$B65)*Inputs!$D$5:$D$170*(((Inputs!$G$5:$G$170="moeda")+(Inputs!$G$5:$G$170="acoes"))*Inputs!$B$1+((Inputs!$G$5:$G$170&lt;&gt;"moeda")*(Inputs!$G$5:$G$170&lt;&gt;"acoes")))*INDEX(Inputs!$K$5:$AJ$170,0,MATCH(P$2,Inputs!$K$4:$AJ$4,0)))+SUMPRODUCT((Inputs!$E$5:$E$170=$B65)*Inputs!$F$5:$F$170*(((Inputs!$G$5:$G$170="moeda")+(Inputs!$G$5:$G$170="acoes"))*Inputs!$B$1+((Inputs!$G$5:$G$170&lt;&gt;"moeda")*(Inputs!$G$5:$G$170&lt;&gt;"acoes")))*INDEX(Inputs!$K$5:$AJ$170,0,MATCH(P$2,Inputs!$K$4:$AJ$4,0)))))</f>
        <v>124.524</v>
      </c>
      <c r="Q65" s="269">
        <f>IF(ISNA(MATCH(Q$2,Inputs!$K$4:$AJ$4,0)),NA(),IF(SUMPRODUCT((Inputs!$A$5:$A$170=$B65)*ISNUMBER(INDEX(Inputs!$K$5:$AJ$170,0,MATCH(Q$2,Inputs!$K$4:$AJ$4,0))))+SUMPRODUCT((Inputs!$C$5:$C$170=$B65)*ISNUMBER(INDEX(Inputs!$K$5:$AJ$170,0,MATCH(Q$2,Inputs!$K$4:$AJ$4,0))))+SUMPRODUCT((Inputs!$E$5:$E$170=$B65)*ISNUMBER(INDEX(Inputs!$K$5:$AJ$170,0,MATCH(Q$2,Inputs!$K$4:$AJ$4,0))))=0,NA(),SUMPRODUCT((Inputs!$A$5:$A$170=$B65)*Inputs!$B$5:$B$170*(((Inputs!$G$5:$G$170="moeda")+(Inputs!$G$5:$G$170="acoes"))*Inputs!$B$1+((Inputs!$G$5:$G$170&lt;&gt;"moeda")*(Inputs!$G$5:$G$170&lt;&gt;"acoes")))*INDEX(Inputs!$K$5:$AJ$170,0,MATCH(Q$2,Inputs!$K$4:$AJ$4,0)))+SUMPRODUCT((Inputs!$C$5:$C$170=$B65)*Inputs!$D$5:$D$170*(((Inputs!$G$5:$G$170="moeda")+(Inputs!$G$5:$G$170="acoes"))*Inputs!$B$1+((Inputs!$G$5:$G$170&lt;&gt;"moeda")*(Inputs!$G$5:$G$170&lt;&gt;"acoes")))*INDEX(Inputs!$K$5:$AJ$170,0,MATCH(Q$2,Inputs!$K$4:$AJ$4,0)))+SUMPRODUCT((Inputs!$E$5:$E$170=$B65)*Inputs!$F$5:$F$170*(((Inputs!$G$5:$G$170="moeda")+(Inputs!$G$5:$G$170="acoes"))*Inputs!$B$1+((Inputs!$G$5:$G$170&lt;&gt;"moeda")*(Inputs!$G$5:$G$170&lt;&gt;"acoes")))*INDEX(Inputs!$K$5:$AJ$170,0,MATCH(Q$2,Inputs!$K$4:$AJ$4,0)))))</f>
        <v>126.1</v>
      </c>
      <c r="R65" s="270" t="n"/>
      <c r="S65" s="269">
        <f>IF(ISNA(MATCH(S$2,Inputs!$K$4:$AJ$4,0)),NA(),IF(SUMPRODUCT((Inputs!$A$5:$A$170=$B65)*ISNUMBER(INDEX(Inputs!$K$5:$AJ$170,0,MATCH(S$2,Inputs!$K$4:$AJ$4,0))))+SUMPRODUCT((Inputs!$C$5:$C$170=$B65)*ISNUMBER(INDEX(Inputs!$K$5:$AJ$170,0,MATCH(S$2,Inputs!$K$4:$AJ$4,0))))+SUMPRODUCT((Inputs!$E$5:$E$170=$B65)*ISNUMBER(INDEX(Inputs!$K$5:$AJ$170,0,MATCH(S$2,Inputs!$K$4:$AJ$4,0))))=0,NA(),SUMPRODUCT((Inputs!$A$5:$A$170=$B65)*Inputs!$B$5:$B$170*(((Inputs!$G$5:$G$170="moeda")+(Inputs!$G$5:$G$170="acoes"))*Inputs!$B$1+((Inputs!$G$5:$G$170&lt;&gt;"moeda")*(Inputs!$G$5:$G$170&lt;&gt;"acoes")))*INDEX(Inputs!$K$5:$AJ$170,0,MATCH(S$2,Inputs!$K$4:$AJ$4,0)))+SUMPRODUCT((Inputs!$C$5:$C$170=$B65)*Inputs!$D$5:$D$170*(((Inputs!$G$5:$G$170="moeda")+(Inputs!$G$5:$G$170="acoes"))*Inputs!$B$1+((Inputs!$G$5:$G$170&lt;&gt;"moeda")*(Inputs!$G$5:$G$170&lt;&gt;"acoes")))*INDEX(Inputs!$K$5:$AJ$170,0,MATCH(S$2,Inputs!$K$4:$AJ$4,0)))+SUMPRODUCT((Inputs!$E$5:$E$170=$B65)*Inputs!$F$5:$F$170*(((Inputs!$G$5:$G$170="moeda")+(Inputs!$G$5:$G$170="acoes"))*Inputs!$B$1+((Inputs!$G$5:$G$170&lt;&gt;"moeda")*(Inputs!$G$5:$G$170&lt;&gt;"acoes")))*INDEX(Inputs!$K$5:$AJ$170,0,MATCH(S$2,Inputs!$K$4:$AJ$4,0)))))</f>
        <v>130.299</v>
      </c>
      <c r="T65" s="269">
        <f>IF(ISNA(MATCH(T$2,Inputs!$K$4:$AJ$4,0)),NA(),IF(SUMPRODUCT((Inputs!$A$5:$A$170=$B65)*ISNUMBER(INDEX(Inputs!$K$5:$AJ$170,0,MATCH(T$2,Inputs!$K$4:$AJ$4,0))))+SUMPRODUCT((Inputs!$C$5:$C$170=$B65)*ISNUMBER(INDEX(Inputs!$K$5:$AJ$170,0,MATCH(T$2,Inputs!$K$4:$AJ$4,0))))+SUMPRODUCT((Inputs!$E$5:$E$170=$B65)*ISNUMBER(INDEX(Inputs!$K$5:$AJ$170,0,MATCH(T$2,Inputs!$K$4:$AJ$4,0))))=0,NA(),SUMPRODUCT((Inputs!$A$5:$A$170=$B65)*Inputs!$B$5:$B$170*(((Inputs!$G$5:$G$170="moeda")+(Inputs!$G$5:$G$170="acoes"))*Inputs!$B$1+((Inputs!$G$5:$G$170&lt;&gt;"moeda")*(Inputs!$G$5:$G$170&lt;&gt;"acoes")))*INDEX(Inputs!$K$5:$AJ$170,0,MATCH(T$2,Inputs!$K$4:$AJ$4,0)))+SUMPRODUCT((Inputs!$C$5:$C$170=$B65)*Inputs!$D$5:$D$170*(((Inputs!$G$5:$G$170="moeda")+(Inputs!$G$5:$G$170="acoes"))*Inputs!$B$1+((Inputs!$G$5:$G$170&lt;&gt;"moeda")*(Inputs!$G$5:$G$170&lt;&gt;"acoes")))*INDEX(Inputs!$K$5:$AJ$170,0,MATCH(T$2,Inputs!$K$4:$AJ$4,0)))+SUMPRODUCT((Inputs!$E$5:$E$170=$B65)*Inputs!$F$5:$F$170*(((Inputs!$G$5:$G$170="moeda")+(Inputs!$G$5:$G$170="acoes"))*Inputs!$B$1+((Inputs!$G$5:$G$170&lt;&gt;"moeda")*(Inputs!$G$5:$G$170&lt;&gt;"acoes")))*INDEX(Inputs!$K$5:$AJ$170,0,MATCH(T$2,Inputs!$K$4:$AJ$4,0)))))</f>
        <v>134.541</v>
      </c>
      <c r="U65" s="269">
        <f>IF(ISNA(MATCH(U$2,Inputs!$K$4:$AJ$4,0)),NA(),IF(SUMPRODUCT((Inputs!$A$5:$A$170=$B65)*ISNUMBER(INDEX(Inputs!$K$5:$AJ$170,0,MATCH(U$2,Inputs!$K$4:$AJ$4,0))))+SUMPRODUCT((Inputs!$C$5:$C$170=$B65)*ISNUMBER(INDEX(Inputs!$K$5:$AJ$170,0,MATCH(U$2,Inputs!$K$4:$AJ$4,0))))+SUMPRODUCT((Inputs!$E$5:$E$170=$B65)*ISNUMBER(INDEX(Inputs!$K$5:$AJ$170,0,MATCH(U$2,Inputs!$K$4:$AJ$4,0))))=0,NA(),SUMPRODUCT((Inputs!$A$5:$A$170=$B65)*Inputs!$B$5:$B$170*(((Inputs!$G$5:$G$170="moeda")+(Inputs!$G$5:$G$170="acoes"))*Inputs!$B$1+((Inputs!$G$5:$G$170&lt;&gt;"moeda")*(Inputs!$G$5:$G$170&lt;&gt;"acoes")))*INDEX(Inputs!$K$5:$AJ$170,0,MATCH(U$2,Inputs!$K$4:$AJ$4,0)))+SUMPRODUCT((Inputs!$C$5:$C$170=$B65)*Inputs!$D$5:$D$170*(((Inputs!$G$5:$G$170="moeda")+(Inputs!$G$5:$G$170="acoes"))*Inputs!$B$1+((Inputs!$G$5:$G$170&lt;&gt;"moeda")*(Inputs!$G$5:$G$170&lt;&gt;"acoes")))*INDEX(Inputs!$K$5:$AJ$170,0,MATCH(U$2,Inputs!$K$4:$AJ$4,0)))+SUMPRODUCT((Inputs!$E$5:$E$170=$B65)*Inputs!$F$5:$F$170*(((Inputs!$G$5:$G$170="moeda")+(Inputs!$G$5:$G$170="acoes"))*Inputs!$B$1+((Inputs!$G$5:$G$170&lt;&gt;"moeda")*(Inputs!$G$5:$G$170&lt;&gt;"acoes")))*INDEX(Inputs!$K$5:$AJ$170,0,MATCH(U$2,Inputs!$K$4:$AJ$4,0)))))</f>
        <v>142.036</v>
      </c>
      <c r="V65" s="269">
        <f>IF(ISNA(MATCH(V$2,Inputs!$K$4:$AJ$4,0)),NA(),IF(SUMPRODUCT((Inputs!$A$5:$A$170=$B65)*ISNUMBER(INDEX(Inputs!$K$5:$AJ$170,0,MATCH(V$2,Inputs!$K$4:$AJ$4,0))))+SUMPRODUCT((Inputs!$C$5:$C$170=$B65)*ISNUMBER(INDEX(Inputs!$K$5:$AJ$170,0,MATCH(V$2,Inputs!$K$4:$AJ$4,0))))+SUMPRODUCT((Inputs!$E$5:$E$170=$B65)*ISNUMBER(INDEX(Inputs!$K$5:$AJ$170,0,MATCH(V$2,Inputs!$K$4:$AJ$4,0))))=0,NA(),SUMPRODUCT((Inputs!$A$5:$A$170=$B65)*Inputs!$B$5:$B$170*(((Inputs!$G$5:$G$170="moeda")+(Inputs!$G$5:$G$170="acoes"))*Inputs!$B$1+((Inputs!$G$5:$G$170&lt;&gt;"moeda")*(Inputs!$G$5:$G$170&lt;&gt;"acoes")))*INDEX(Inputs!$K$5:$AJ$170,0,MATCH(V$2,Inputs!$K$4:$AJ$4,0)))+SUMPRODUCT((Inputs!$C$5:$C$170=$B65)*Inputs!$D$5:$D$170*(((Inputs!$G$5:$G$170="moeda")+(Inputs!$G$5:$G$170="acoes"))*Inputs!$B$1+((Inputs!$G$5:$G$170&lt;&gt;"moeda")*(Inputs!$G$5:$G$170&lt;&gt;"acoes")))*INDEX(Inputs!$K$5:$AJ$170,0,MATCH(V$2,Inputs!$K$4:$AJ$4,0)))+SUMPRODUCT((Inputs!$E$5:$E$170=$B65)*Inputs!$F$5:$F$170*(((Inputs!$G$5:$G$170="moeda")+(Inputs!$G$5:$G$170="acoes"))*Inputs!$B$1+((Inputs!$G$5:$G$170&lt;&gt;"moeda")*(Inputs!$G$5:$G$170&lt;&gt;"acoes")))*INDEX(Inputs!$K$5:$AJ$170,0,MATCH(V$2,Inputs!$K$4:$AJ$4,0)))))</f>
        <v>150.723</v>
      </c>
      <c r="W65" s="270" t="n"/>
      <c r="X65" s="269">
        <f>IF(ISNA(MATCH(X$2,Inputs!$K$4:$AJ$4,0)),NA(),IF(SUMPRODUCT((Inputs!$A$5:$A$170=$B65)*ISNUMBER(INDEX(Inputs!$K$5:$AJ$170,0,MATCH(X$2,Inputs!$K$4:$AJ$4,0))))+SUMPRODUCT((Inputs!$C$5:$C$170=$B65)*ISNUMBER(INDEX(Inputs!$K$5:$AJ$170,0,MATCH(X$2,Inputs!$K$4:$AJ$4,0))))+SUMPRODUCT((Inputs!$E$5:$E$170=$B65)*ISNUMBER(INDEX(Inputs!$K$5:$AJ$170,0,MATCH(X$2,Inputs!$K$4:$AJ$4,0))))=0,NA(),SUMPRODUCT((Inputs!$A$5:$A$170=$B65)*Inputs!$B$5:$B$170*(((Inputs!$G$5:$G$170="moeda")+(Inputs!$G$5:$G$170="acoes"))*Inputs!$B$1+((Inputs!$G$5:$G$170&lt;&gt;"moeda")*(Inputs!$G$5:$G$170&lt;&gt;"acoes")))*INDEX(Inputs!$K$5:$AJ$170,0,MATCH(X$2,Inputs!$K$4:$AJ$4,0)))+SUMPRODUCT((Inputs!$C$5:$C$170=$B65)*Inputs!$D$5:$D$170*(((Inputs!$G$5:$G$170="moeda")+(Inputs!$G$5:$G$170="acoes"))*Inputs!$B$1+((Inputs!$G$5:$G$170&lt;&gt;"moeda")*(Inputs!$G$5:$G$170&lt;&gt;"acoes")))*INDEX(Inputs!$K$5:$AJ$170,0,MATCH(X$2,Inputs!$K$4:$AJ$4,0)))+SUMPRODUCT((Inputs!$E$5:$E$170=$B65)*Inputs!$F$5:$F$170*(((Inputs!$G$5:$G$170="moeda")+(Inputs!$G$5:$G$170="acoes"))*Inputs!$B$1+((Inputs!$G$5:$G$170&lt;&gt;"moeda")*(Inputs!$G$5:$G$170&lt;&gt;"acoes")))*INDEX(Inputs!$K$5:$AJ$170,0,MATCH(X$2,Inputs!$K$4:$AJ$4,0)))))</f>
        <v>158.045</v>
      </c>
      <c r="Y65" s="269">
        <f>IF(ISNA(MATCH(Y$2,Inputs!$K$4:$AJ$4,0)),NA(),IF(SUMPRODUCT((Inputs!$A$5:$A$170=$B65)*ISNUMBER(INDEX(Inputs!$K$5:$AJ$170,0,MATCH(Y$2,Inputs!$K$4:$AJ$4,0))))+SUMPRODUCT((Inputs!$C$5:$C$170=$B65)*ISNUMBER(INDEX(Inputs!$K$5:$AJ$170,0,MATCH(Y$2,Inputs!$K$4:$AJ$4,0))))+SUMPRODUCT((Inputs!$E$5:$E$170=$B65)*ISNUMBER(INDEX(Inputs!$K$5:$AJ$170,0,MATCH(Y$2,Inputs!$K$4:$AJ$4,0))))=0,NA(),SUMPRODUCT((Inputs!$A$5:$A$170=$B65)*Inputs!$B$5:$B$170*(((Inputs!$G$5:$G$170="moeda")+(Inputs!$G$5:$G$170="acoes"))*Inputs!$B$1+((Inputs!$G$5:$G$170&lt;&gt;"moeda")*(Inputs!$G$5:$G$170&lt;&gt;"acoes")))*INDEX(Inputs!$K$5:$AJ$170,0,MATCH(Y$2,Inputs!$K$4:$AJ$4,0)))+SUMPRODUCT((Inputs!$C$5:$C$170=$B65)*Inputs!$D$5:$D$170*(((Inputs!$G$5:$G$170="moeda")+(Inputs!$G$5:$G$170="acoes"))*Inputs!$B$1+((Inputs!$G$5:$G$170&lt;&gt;"moeda")*(Inputs!$G$5:$G$170&lt;&gt;"acoes")))*INDEX(Inputs!$K$5:$AJ$170,0,MATCH(Y$2,Inputs!$K$4:$AJ$4,0)))+SUMPRODUCT((Inputs!$E$5:$E$170=$B65)*Inputs!$F$5:$F$170*(((Inputs!$G$5:$G$170="moeda")+(Inputs!$G$5:$G$170="acoes"))*Inputs!$B$1+((Inputs!$G$5:$G$170&lt;&gt;"moeda")*(Inputs!$G$5:$G$170&lt;&gt;"acoes")))*INDEX(Inputs!$K$5:$AJ$170,0,MATCH(Y$2,Inputs!$K$4:$AJ$4,0)))))</f>
        <v>154.171</v>
      </c>
      <c r="Z65" s="269">
        <f>IF(ISNA(MATCH(Z$2,Inputs!$K$4:$AJ$4,0)),NA(),IF(SUMPRODUCT((Inputs!$A$5:$A$170=$B65)*ISNUMBER(INDEX(Inputs!$K$5:$AJ$170,0,MATCH(Z$2,Inputs!$K$4:$AJ$4,0))))+SUMPRODUCT((Inputs!$C$5:$C$170=$B65)*ISNUMBER(INDEX(Inputs!$K$5:$AJ$170,0,MATCH(Z$2,Inputs!$K$4:$AJ$4,0))))+SUMPRODUCT((Inputs!$E$5:$E$170=$B65)*ISNUMBER(INDEX(Inputs!$K$5:$AJ$170,0,MATCH(Z$2,Inputs!$K$4:$AJ$4,0))))=0,NA(),SUMPRODUCT((Inputs!$A$5:$A$170=$B65)*Inputs!$B$5:$B$170*(((Inputs!$G$5:$G$170="moeda")+(Inputs!$G$5:$G$170="acoes"))*Inputs!$B$1+((Inputs!$G$5:$G$170&lt;&gt;"moeda")*(Inputs!$G$5:$G$170&lt;&gt;"acoes")))*INDEX(Inputs!$K$5:$AJ$170,0,MATCH(Z$2,Inputs!$K$4:$AJ$4,0)))+SUMPRODUCT((Inputs!$C$5:$C$170=$B65)*Inputs!$D$5:$D$170*(((Inputs!$G$5:$G$170="moeda")+(Inputs!$G$5:$G$170="acoes"))*Inputs!$B$1+((Inputs!$G$5:$G$170&lt;&gt;"moeda")*(Inputs!$G$5:$G$170&lt;&gt;"acoes")))*INDEX(Inputs!$K$5:$AJ$170,0,MATCH(Z$2,Inputs!$K$4:$AJ$4,0)))+SUMPRODUCT((Inputs!$E$5:$E$170=$B65)*Inputs!$F$5:$F$170*(((Inputs!$G$5:$G$170="moeda")+(Inputs!$G$5:$G$170="acoes"))*Inputs!$B$1+((Inputs!$G$5:$G$170&lt;&gt;"moeda")*(Inputs!$G$5:$G$170&lt;&gt;"acoes")))*INDEX(Inputs!$K$5:$AJ$170,0,MATCH(Z$2,Inputs!$K$4:$AJ$4,0)))))</f>
        <v>159.266</v>
      </c>
      <c r="AA65" s="269">
        <f>IF(ISNA(MATCH(AA$2,Inputs!$K$4:$AJ$4,0)),NA(),IF(SUMPRODUCT((Inputs!$A$5:$A$170=$B65)*ISNUMBER(INDEX(Inputs!$K$5:$AJ$170,0,MATCH(AA$2,Inputs!$K$4:$AJ$4,0))))+SUMPRODUCT((Inputs!$C$5:$C$170=$B65)*ISNUMBER(INDEX(Inputs!$K$5:$AJ$170,0,MATCH(AA$2,Inputs!$K$4:$AJ$4,0))))+SUMPRODUCT((Inputs!$E$5:$E$170=$B65)*ISNUMBER(INDEX(Inputs!$K$5:$AJ$170,0,MATCH(AA$2,Inputs!$K$4:$AJ$4,0))))=0,NA(),SUMPRODUCT((Inputs!$A$5:$A$170=$B65)*Inputs!$B$5:$B$170*(((Inputs!$G$5:$G$170="moeda")+(Inputs!$G$5:$G$170="acoes"))*Inputs!$B$1+((Inputs!$G$5:$G$170&lt;&gt;"moeda")*(Inputs!$G$5:$G$170&lt;&gt;"acoes")))*INDEX(Inputs!$K$5:$AJ$170,0,MATCH(AA$2,Inputs!$K$4:$AJ$4,0)))+SUMPRODUCT((Inputs!$C$5:$C$170=$B65)*Inputs!$D$5:$D$170*(((Inputs!$G$5:$G$170="moeda")+(Inputs!$G$5:$G$170="acoes"))*Inputs!$B$1+((Inputs!$G$5:$G$170&lt;&gt;"moeda")*(Inputs!$G$5:$G$170&lt;&gt;"acoes")))*INDEX(Inputs!$K$5:$AJ$170,0,MATCH(AA$2,Inputs!$K$4:$AJ$4,0)))+SUMPRODUCT((Inputs!$E$5:$E$170=$B65)*Inputs!$F$5:$F$170*(((Inputs!$G$5:$G$170="moeda")+(Inputs!$G$5:$G$170="acoes"))*Inputs!$B$1+((Inputs!$G$5:$G$170&lt;&gt;"moeda")*(Inputs!$G$5:$G$170&lt;&gt;"acoes")))*INDEX(Inputs!$K$5:$AJ$170,0,MATCH(AA$2,Inputs!$K$4:$AJ$4,0)))))</f>
        <v>160.587855709724</v>
      </c>
      <c r="AB65" s="270" t="n"/>
      <c r="AC65" s="269">
        <f>IF(ISNA(MATCH(AC$2,Inputs!$K$4:$AJ$4,0)),NA(),IF(SUMPRODUCT((Inputs!$A$5:$A$170=$B65)*ISNUMBER(INDEX(Inputs!$K$5:$AJ$170,0,MATCH(AC$2,Inputs!$K$4:$AJ$4,0))))+SUMPRODUCT((Inputs!$C$5:$C$170=$B65)*ISNUMBER(INDEX(Inputs!$K$5:$AJ$170,0,MATCH(AC$2,Inputs!$K$4:$AJ$4,0))))+SUMPRODUCT((Inputs!$E$5:$E$170=$B65)*ISNUMBER(INDEX(Inputs!$K$5:$AJ$170,0,MATCH(AC$2,Inputs!$K$4:$AJ$4,0))))=0,NA(),SUMPRODUCT((Inputs!$A$5:$A$170=$B65)*Inputs!$B$5:$B$170*(((Inputs!$G$5:$G$170="moeda")+(Inputs!$G$5:$G$170="acoes"))*Inputs!$B$1+((Inputs!$G$5:$G$170&lt;&gt;"moeda")*(Inputs!$G$5:$G$170&lt;&gt;"acoes")))*INDEX(Inputs!$K$5:$AJ$170,0,MATCH(AC$2,Inputs!$K$4:$AJ$4,0)))+SUMPRODUCT((Inputs!$C$5:$C$170=$B65)*Inputs!$D$5:$D$170*(((Inputs!$G$5:$G$170="moeda")+(Inputs!$G$5:$G$170="acoes"))*Inputs!$B$1+((Inputs!$G$5:$G$170&lt;&gt;"moeda")*(Inputs!$G$5:$G$170&lt;&gt;"acoes")))*INDEX(Inputs!$K$5:$AJ$170,0,MATCH(AC$2,Inputs!$K$4:$AJ$4,0)))+SUMPRODUCT((Inputs!$E$5:$E$170=$B65)*Inputs!$F$5:$F$170*(((Inputs!$G$5:$G$170="moeda")+(Inputs!$G$5:$G$170="acoes"))*Inputs!$B$1+((Inputs!$G$5:$G$170&lt;&gt;"moeda")*(Inputs!$G$5:$G$170&lt;&gt;"acoes")))*INDEX(Inputs!$K$5:$AJ$170,0,MATCH(AC$2,Inputs!$K$4:$AJ$4,0)))))</f>
        <v>168.451826807674</v>
      </c>
      <c r="AD65" s="269">
        <f>IF(ISNA(MATCH(AD$2,Inputs!$K$4:$AJ$4,0)),NA(),IF(SUMPRODUCT((Inputs!$A$5:$A$170=$B65)*ISNUMBER(INDEX(Inputs!$K$5:$AJ$170,0,MATCH(AD$2,Inputs!$K$4:$AJ$4,0))))+SUMPRODUCT((Inputs!$C$5:$C$170=$B65)*ISNUMBER(INDEX(Inputs!$K$5:$AJ$170,0,MATCH(AD$2,Inputs!$K$4:$AJ$4,0))))+SUMPRODUCT((Inputs!$E$5:$E$170=$B65)*ISNUMBER(INDEX(Inputs!$K$5:$AJ$170,0,MATCH(AD$2,Inputs!$K$4:$AJ$4,0))))=0,NA(),SUMPRODUCT((Inputs!$A$5:$A$170=$B65)*Inputs!$B$5:$B$170*(((Inputs!$G$5:$G$170="moeda")+(Inputs!$G$5:$G$170="acoes"))*Inputs!$B$1+((Inputs!$G$5:$G$170&lt;&gt;"moeda")*(Inputs!$G$5:$G$170&lt;&gt;"acoes")))*INDEX(Inputs!$K$5:$AJ$170,0,MATCH(AD$2,Inputs!$K$4:$AJ$4,0)))+SUMPRODUCT((Inputs!$C$5:$C$170=$B65)*Inputs!$D$5:$D$170*(((Inputs!$G$5:$G$170="moeda")+(Inputs!$G$5:$G$170="acoes"))*Inputs!$B$1+((Inputs!$G$5:$G$170&lt;&gt;"moeda")*(Inputs!$G$5:$G$170&lt;&gt;"acoes")))*INDEX(Inputs!$K$5:$AJ$170,0,MATCH(AD$2,Inputs!$K$4:$AJ$4,0)))+SUMPRODUCT((Inputs!$E$5:$E$170=$B65)*Inputs!$F$5:$F$170*(((Inputs!$G$5:$G$170="moeda")+(Inputs!$G$5:$G$170="acoes"))*Inputs!$B$1+((Inputs!$G$5:$G$170&lt;&gt;"moeda")*(Inputs!$G$5:$G$170&lt;&gt;"acoes")))*INDEX(Inputs!$K$5:$AJ$170,0,MATCH(AD$2,Inputs!$K$4:$AJ$4,0)))))</f>
        <v>164.725592338976</v>
      </c>
      <c r="AE65" s="269" t="e">
        <f>IF(ISNA(MATCH(AE$2,Inputs!$K$4:$AJ$4,0)),NA(),IF(SUMPRODUCT((Inputs!$A$5:$A$170=$B65)*ISNUMBER(INDEX(Inputs!$K$5:$AJ$170,0,MATCH(AE$2,Inputs!$K$4:$AJ$4,0))))+SUMPRODUCT((Inputs!$C$5:$C$170=$B65)*ISNUMBER(INDEX(Inputs!$K$5:$AJ$170,0,MATCH(AE$2,Inputs!$K$4:$AJ$4,0))))+SUMPRODUCT((Inputs!$E$5:$E$170=$B65)*ISNUMBER(INDEX(Inputs!$K$5:$AJ$170,0,MATCH(AE$2,Inputs!$K$4:$AJ$4,0))))=0,NA(),SUMPRODUCT((Inputs!$A$5:$A$170=$B65)*Inputs!$B$5:$B$170*(((Inputs!$G$5:$G$170="moeda")+(Inputs!$G$5:$G$170="acoes"))*Inputs!$B$1+((Inputs!$G$5:$G$170&lt;&gt;"moeda")*(Inputs!$G$5:$G$170&lt;&gt;"acoes")))*INDEX(Inputs!$K$5:$AJ$170,0,MATCH(AE$2,Inputs!$K$4:$AJ$4,0)))+SUMPRODUCT((Inputs!$C$5:$C$170=$B65)*Inputs!$D$5:$D$170*(((Inputs!$G$5:$G$170="moeda")+(Inputs!$G$5:$G$170="acoes"))*Inputs!$B$1+((Inputs!$G$5:$G$170&lt;&gt;"moeda")*(Inputs!$G$5:$G$170&lt;&gt;"acoes")))*INDEX(Inputs!$K$5:$AJ$170,0,MATCH(AE$2,Inputs!$K$4:$AJ$4,0)))+SUMPRODUCT((Inputs!$E$5:$E$170=$B65)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5" s="269" t="e">
        <f>IF(ISNA(MATCH(AF$2,Inputs!$K$4:$AJ$4,0)),NA(),IF(SUMPRODUCT((Inputs!$A$5:$A$170=$B65)*ISNUMBER(INDEX(Inputs!$K$5:$AJ$170,0,MATCH(AF$2,Inputs!$K$4:$AJ$4,0))))+SUMPRODUCT((Inputs!$C$5:$C$170=$B65)*ISNUMBER(INDEX(Inputs!$K$5:$AJ$170,0,MATCH(AF$2,Inputs!$K$4:$AJ$4,0))))+SUMPRODUCT((Inputs!$E$5:$E$170=$B65)*ISNUMBER(INDEX(Inputs!$K$5:$AJ$170,0,MATCH(AF$2,Inputs!$K$4:$AJ$4,0))))=0,NA(),SUMPRODUCT((Inputs!$A$5:$A$170=$B65)*Inputs!$B$5:$B$170*(((Inputs!$G$5:$G$170="moeda")+(Inputs!$G$5:$G$170="acoes"))*Inputs!$B$1+((Inputs!$G$5:$G$170&lt;&gt;"moeda")*(Inputs!$G$5:$G$170&lt;&gt;"acoes")))*INDEX(Inputs!$K$5:$AJ$170,0,MATCH(AF$2,Inputs!$K$4:$AJ$4,0)))+SUMPRODUCT((Inputs!$C$5:$C$170=$B65)*Inputs!$D$5:$D$170*(((Inputs!$G$5:$G$170="moeda")+(Inputs!$G$5:$G$170="acoes"))*Inputs!$B$1+((Inputs!$G$5:$G$170&lt;&gt;"moeda")*(Inputs!$G$5:$G$170&lt;&gt;"acoes")))*INDEX(Inputs!$K$5:$AJ$170,0,MATCH(AF$2,Inputs!$K$4:$AJ$4,0)))+SUMPRODUCT((Inputs!$E$5:$E$170=$B65)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5" s="270" t="n"/>
      <c r="AH65" s="269">
        <f>IF(ISNA(MATCH(AH$2,Inputs!$K$4:$AJ$4,0)),NA(),IF(SUMPRODUCT((Inputs!$A$5:$A$170=$B65)*ISNUMBER(INDEX(Inputs!$K$5:$AJ$170,0,MATCH(AH$2,Inputs!$K$4:$AJ$4,0))))+SUMPRODUCT((Inputs!$C$5:$C$170=$B65)*ISNUMBER(INDEX(Inputs!$K$5:$AJ$170,0,MATCH(AH$2,Inputs!$K$4:$AJ$4,0))))+SUMPRODUCT((Inputs!$E$5:$E$170=$B65)*ISNUMBER(INDEX(Inputs!$K$5:$AJ$170,0,MATCH(AH$2,Inputs!$K$4:$AJ$4,0))))=0,NA(),SUMPRODUCT((Inputs!$A$5:$A$170=$B65)*Inputs!$B$5:$B$170*(((Inputs!$G$5:$G$170="moeda")+(Inputs!$G$5:$G$170="acoes"))*Inputs!$B$1+((Inputs!$G$5:$G$170&lt;&gt;"moeda")*(Inputs!$G$5:$G$170&lt;&gt;"acoes")))*INDEX(Inputs!$K$5:$AJ$170,0,MATCH(AH$2,Inputs!$K$4:$AJ$4,0)))+SUMPRODUCT((Inputs!$C$5:$C$170=$B65)*Inputs!$D$5:$D$170*(((Inputs!$G$5:$G$170="moeda")+(Inputs!$G$5:$G$170="acoes"))*Inputs!$B$1+((Inputs!$G$5:$G$170&lt;&gt;"moeda")*(Inputs!$G$5:$G$170&lt;&gt;"acoes")))*INDEX(Inputs!$K$5:$AJ$170,0,MATCH(AH$2,Inputs!$K$4:$AJ$4,0)))+SUMPRODUCT((Inputs!$E$5:$E$170=$B65)*Inputs!$F$5:$F$170*(((Inputs!$G$5:$G$170="moeda")+(Inputs!$G$5:$G$170="acoes"))*Inputs!$B$1+((Inputs!$G$5:$G$170&lt;&gt;"moeda")*(Inputs!$G$5:$G$170&lt;&gt;"acoes")))*INDEX(Inputs!$K$5:$AJ$170,0,MATCH(AH$2,Inputs!$K$4:$AJ$4,0)))))</f>
        <v>83.427</v>
      </c>
      <c r="AI65" s="269">
        <f>IF(ISNA(MATCH(AI$2,Inputs!$K$4:$AJ$4,0)),NA(),IF(SUMPRODUCT((Inputs!$A$5:$A$170=$B65)*ISNUMBER(INDEX(Inputs!$K$5:$AJ$170,0,MATCH(AI$2,Inputs!$K$4:$AJ$4,0))))+SUMPRODUCT((Inputs!$C$5:$C$170=$B65)*ISNUMBER(INDEX(Inputs!$K$5:$AJ$170,0,MATCH(AI$2,Inputs!$K$4:$AJ$4,0))))+SUMPRODUCT((Inputs!$E$5:$E$170=$B65)*ISNUMBER(INDEX(Inputs!$K$5:$AJ$170,0,MATCH(AI$2,Inputs!$K$4:$AJ$4,0))))=0,NA(),SUMPRODUCT((Inputs!$A$5:$A$170=$B65)*Inputs!$B$5:$B$170*(((Inputs!$G$5:$G$170="moeda")+(Inputs!$G$5:$G$170="acoes"))*Inputs!$B$1+((Inputs!$G$5:$G$170&lt;&gt;"moeda")*(Inputs!$G$5:$G$170&lt;&gt;"acoes")))*INDEX(Inputs!$K$5:$AJ$170,0,MATCH(AI$2,Inputs!$K$4:$AJ$4,0)))+SUMPRODUCT((Inputs!$C$5:$C$170=$B65)*Inputs!$D$5:$D$170*(((Inputs!$G$5:$G$170="moeda")+(Inputs!$G$5:$G$170="acoes"))*Inputs!$B$1+((Inputs!$G$5:$G$170&lt;&gt;"moeda")*(Inputs!$G$5:$G$170&lt;&gt;"acoes")))*INDEX(Inputs!$K$5:$AJ$170,0,MATCH(AI$2,Inputs!$K$4:$AJ$4,0)))+SUMPRODUCT((Inputs!$E$5:$E$170=$B65)*Inputs!$F$5:$F$170*(((Inputs!$G$5:$G$170="moeda")+(Inputs!$G$5:$G$170="acoes"))*Inputs!$B$1+((Inputs!$G$5:$G$170&lt;&gt;"moeda")*(Inputs!$G$5:$G$170&lt;&gt;"acoes")))*INDEX(Inputs!$K$5:$AJ$170,0,MATCH(AI$2,Inputs!$K$4:$AJ$4,0)))))</f>
        <v>59.514</v>
      </c>
      <c r="AJ65" s="269">
        <f>IF(ISNA(MATCH(AJ$2,Inputs!$K$4:$AJ$4,0)),NA(),IF(SUMPRODUCT((Inputs!$A$5:$A$170=$B65)*ISNUMBER(INDEX(Inputs!$K$5:$AJ$170,0,MATCH(AJ$2,Inputs!$K$4:$AJ$4,0))))+SUMPRODUCT((Inputs!$C$5:$C$170=$B65)*ISNUMBER(INDEX(Inputs!$K$5:$AJ$170,0,MATCH(AJ$2,Inputs!$K$4:$AJ$4,0))))+SUMPRODUCT((Inputs!$E$5:$E$170=$B65)*ISNUMBER(INDEX(Inputs!$K$5:$AJ$170,0,MATCH(AJ$2,Inputs!$K$4:$AJ$4,0))))=0,NA(),SUMPRODUCT((Inputs!$A$5:$A$170=$B65)*Inputs!$B$5:$B$170*(((Inputs!$G$5:$G$170="moeda")+(Inputs!$G$5:$G$170="acoes"))*Inputs!$B$1+((Inputs!$G$5:$G$170&lt;&gt;"moeda")*(Inputs!$G$5:$G$170&lt;&gt;"acoes")))*INDEX(Inputs!$K$5:$AJ$170,0,MATCH(AJ$2,Inputs!$K$4:$AJ$4,0)))+SUMPRODUCT((Inputs!$C$5:$C$170=$B65)*Inputs!$D$5:$D$170*(((Inputs!$G$5:$G$170="moeda")+(Inputs!$G$5:$G$170="acoes"))*Inputs!$B$1+((Inputs!$G$5:$G$170&lt;&gt;"moeda")*(Inputs!$G$5:$G$170&lt;&gt;"acoes")))*INDEX(Inputs!$K$5:$AJ$170,0,MATCH(AJ$2,Inputs!$K$4:$AJ$4,0)))+SUMPRODUCT((Inputs!$E$5:$E$170=$B65)*Inputs!$F$5:$F$170*(((Inputs!$G$5:$G$170="moeda")+(Inputs!$G$5:$G$170="acoes"))*Inputs!$B$1+((Inputs!$G$5:$G$170&lt;&gt;"moeda")*(Inputs!$G$5:$G$170&lt;&gt;"acoes")))*INDEX(Inputs!$K$5:$AJ$170,0,MATCH(AJ$2,Inputs!$K$4:$AJ$4,0)))))</f>
        <v>70.337</v>
      </c>
      <c r="AK65" s="269">
        <f>IF(ISNA(MATCH(AK$2,Inputs!$K$4:$AJ$4,0)),NA(),IF(SUMPRODUCT((Inputs!$A$5:$A$170=$B65)*ISNUMBER(INDEX(Inputs!$K$5:$AJ$170,0,MATCH(AK$2,Inputs!$K$4:$AJ$4,0))))+SUMPRODUCT((Inputs!$C$5:$C$170=$B65)*ISNUMBER(INDEX(Inputs!$K$5:$AJ$170,0,MATCH(AK$2,Inputs!$K$4:$AJ$4,0))))+SUMPRODUCT((Inputs!$E$5:$E$170=$B65)*ISNUMBER(INDEX(Inputs!$K$5:$AJ$170,0,MATCH(AK$2,Inputs!$K$4:$AJ$4,0))))=0,NA(),SUMPRODUCT((Inputs!$A$5:$A$170=$B65)*Inputs!$B$5:$B$170*(((Inputs!$G$5:$G$170="moeda")+(Inputs!$G$5:$G$170="acoes"))*Inputs!$B$1+((Inputs!$G$5:$G$170&lt;&gt;"moeda")*(Inputs!$G$5:$G$170&lt;&gt;"acoes")))*INDEX(Inputs!$K$5:$AJ$170,0,MATCH(AK$2,Inputs!$K$4:$AJ$4,0)))+SUMPRODUCT((Inputs!$C$5:$C$170=$B65)*Inputs!$D$5:$D$170*(((Inputs!$G$5:$G$170="moeda")+(Inputs!$G$5:$G$170="acoes"))*Inputs!$B$1+((Inputs!$G$5:$G$170&lt;&gt;"moeda")*(Inputs!$G$5:$G$170&lt;&gt;"acoes")))*INDEX(Inputs!$K$5:$AJ$170,0,MATCH(AK$2,Inputs!$K$4:$AJ$4,0)))+SUMPRODUCT((Inputs!$E$5:$E$170=$B65)*Inputs!$F$5:$F$170*(((Inputs!$G$5:$G$170="moeda")+(Inputs!$G$5:$G$170="acoes"))*Inputs!$B$1+((Inputs!$G$5:$G$170&lt;&gt;"moeda")*(Inputs!$G$5:$G$170&lt;&gt;"acoes")))*INDEX(Inputs!$K$5:$AJ$170,0,MATCH(AK$2,Inputs!$K$4:$AJ$4,0)))))</f>
        <v>84.379</v>
      </c>
      <c r="AL65" s="270" t="n"/>
    </row>
    <row r="66">
      <c r="B66" s="46" t="n">
        <v>58</v>
      </c>
      <c r="C66" s="29" t="inlineStr">
        <is>
          <t>RAC - receita media mensal por carro operacional (R$; Op Data l.18)</t>
        </is>
      </c>
      <c r="D66" s="266">
        <f>IF(ISNA(MATCH(D$2,Inputs!$K$4:$AJ$4,0)),NA(),IF(SUMPRODUCT((Inputs!$A$5:$A$170=$B66)*ISNUMBER(INDEX(Inputs!$K$5:$AJ$170,0,MATCH(D$2,Inputs!$K$4:$AJ$4,0))))+SUMPRODUCT((Inputs!$C$5:$C$170=$B66)*ISNUMBER(INDEX(Inputs!$K$5:$AJ$170,0,MATCH(D$2,Inputs!$K$4:$AJ$4,0))))+SUMPRODUCT((Inputs!$E$5:$E$170=$B66)*ISNUMBER(INDEX(Inputs!$K$5:$AJ$170,0,MATCH(D$2,Inputs!$K$4:$AJ$4,0))))=0,NA(),SUMPRODUCT((Inputs!$A$5:$A$170=$B66)*Inputs!$B$5:$B$170*(((Inputs!$G$5:$G$170="moeda")+(Inputs!$G$5:$G$170="acoes"))*Inputs!$B$1+((Inputs!$G$5:$G$170&lt;&gt;"moeda")*(Inputs!$G$5:$G$170&lt;&gt;"acoes")))*INDEX(Inputs!$K$5:$AJ$170,0,MATCH(D$2,Inputs!$K$4:$AJ$4,0)))+SUMPRODUCT((Inputs!$C$5:$C$170=$B66)*Inputs!$D$5:$D$170*(((Inputs!$G$5:$G$170="moeda")+(Inputs!$G$5:$G$170="acoes"))*Inputs!$B$1+((Inputs!$G$5:$G$170&lt;&gt;"moeda")*(Inputs!$G$5:$G$170&lt;&gt;"acoes")))*INDEX(Inputs!$K$5:$AJ$170,0,MATCH(D$2,Inputs!$K$4:$AJ$4,0)))+SUMPRODUCT((Inputs!$E$5:$E$170=$B66)*Inputs!$F$5:$F$170*(((Inputs!$G$5:$G$170="moeda")+(Inputs!$G$5:$G$170="acoes"))*Inputs!$B$1+((Inputs!$G$5:$G$170&lt;&gt;"moeda")*(Inputs!$G$5:$G$170&lt;&gt;"acoes")))*INDEX(Inputs!$K$5:$AJ$170,0,MATCH(D$2,Inputs!$K$4:$AJ$4,0)))))</f>
        <v>1926.167</v>
      </c>
      <c r="E66" s="266">
        <f>IF(ISNA(MATCH(E$2,Inputs!$K$4:$AJ$4,0)),NA(),IF(SUMPRODUCT((Inputs!$A$5:$A$170=$B66)*ISNUMBER(INDEX(Inputs!$K$5:$AJ$170,0,MATCH(E$2,Inputs!$K$4:$AJ$4,0))))+SUMPRODUCT((Inputs!$C$5:$C$170=$B66)*ISNUMBER(INDEX(Inputs!$K$5:$AJ$170,0,MATCH(E$2,Inputs!$K$4:$AJ$4,0))))+SUMPRODUCT((Inputs!$E$5:$E$170=$B66)*ISNUMBER(INDEX(Inputs!$K$5:$AJ$170,0,MATCH(E$2,Inputs!$K$4:$AJ$4,0))))=0,NA(),SUMPRODUCT((Inputs!$A$5:$A$170=$B66)*Inputs!$B$5:$B$170*(((Inputs!$G$5:$G$170="moeda")+(Inputs!$G$5:$G$170="acoes"))*Inputs!$B$1+((Inputs!$G$5:$G$170&lt;&gt;"moeda")*(Inputs!$G$5:$G$170&lt;&gt;"acoes")))*INDEX(Inputs!$K$5:$AJ$170,0,MATCH(E$2,Inputs!$K$4:$AJ$4,0)))+SUMPRODUCT((Inputs!$C$5:$C$170=$B66)*Inputs!$D$5:$D$170*(((Inputs!$G$5:$G$170="moeda")+(Inputs!$G$5:$G$170="acoes"))*Inputs!$B$1+((Inputs!$G$5:$G$170&lt;&gt;"moeda")*(Inputs!$G$5:$G$170&lt;&gt;"acoes")))*INDEX(Inputs!$K$5:$AJ$170,0,MATCH(E$2,Inputs!$K$4:$AJ$4,0)))+SUMPRODUCT((Inputs!$E$5:$E$170=$B66)*Inputs!$F$5:$F$170*(((Inputs!$G$5:$G$170="moeda")+(Inputs!$G$5:$G$170="acoes"))*Inputs!$B$1+((Inputs!$G$5:$G$170&lt;&gt;"moeda")*(Inputs!$G$5:$G$170&lt;&gt;"acoes")))*INDEX(Inputs!$K$5:$AJ$170,0,MATCH(E$2,Inputs!$K$4:$AJ$4,0)))))</f>
        <v>1838.986</v>
      </c>
      <c r="F66" s="266">
        <f>IF(ISNA(MATCH(F$2,Inputs!$K$4:$AJ$4,0)),NA(),IF(SUMPRODUCT((Inputs!$A$5:$A$170=$B66)*ISNUMBER(INDEX(Inputs!$K$5:$AJ$170,0,MATCH(F$2,Inputs!$K$4:$AJ$4,0))))+SUMPRODUCT((Inputs!$C$5:$C$170=$B66)*ISNUMBER(INDEX(Inputs!$K$5:$AJ$170,0,MATCH(F$2,Inputs!$K$4:$AJ$4,0))))+SUMPRODUCT((Inputs!$E$5:$E$170=$B66)*ISNUMBER(INDEX(Inputs!$K$5:$AJ$170,0,MATCH(F$2,Inputs!$K$4:$AJ$4,0))))=0,NA(),SUMPRODUCT((Inputs!$A$5:$A$170=$B66)*Inputs!$B$5:$B$170*(((Inputs!$G$5:$G$170="moeda")+(Inputs!$G$5:$G$170="acoes"))*Inputs!$B$1+((Inputs!$G$5:$G$170&lt;&gt;"moeda")*(Inputs!$G$5:$G$170&lt;&gt;"acoes")))*INDEX(Inputs!$K$5:$AJ$170,0,MATCH(F$2,Inputs!$K$4:$AJ$4,0)))+SUMPRODUCT((Inputs!$C$5:$C$170=$B66)*Inputs!$D$5:$D$170*(((Inputs!$G$5:$G$170="moeda")+(Inputs!$G$5:$G$170="acoes"))*Inputs!$B$1+((Inputs!$G$5:$G$170&lt;&gt;"moeda")*(Inputs!$G$5:$G$170&lt;&gt;"acoes")))*INDEX(Inputs!$K$5:$AJ$170,0,MATCH(F$2,Inputs!$K$4:$AJ$4,0)))+SUMPRODUCT((Inputs!$E$5:$E$170=$B66)*Inputs!$F$5:$F$170*(((Inputs!$G$5:$G$170="moeda")+(Inputs!$G$5:$G$170="acoes"))*Inputs!$B$1+((Inputs!$G$5:$G$170&lt;&gt;"moeda")*(Inputs!$G$5:$G$170&lt;&gt;"acoes")))*INDEX(Inputs!$K$5:$AJ$170,0,MATCH(F$2,Inputs!$K$4:$AJ$4,0)))))</f>
        <v>2237.514</v>
      </c>
      <c r="G66" s="266">
        <f>IF(ISNA(MATCH(G$2,Inputs!$K$4:$AJ$4,0)),NA(),IF(SUMPRODUCT((Inputs!$A$5:$A$170=$B66)*ISNUMBER(INDEX(Inputs!$K$5:$AJ$170,0,MATCH(G$2,Inputs!$K$4:$AJ$4,0))))+SUMPRODUCT((Inputs!$C$5:$C$170=$B66)*ISNUMBER(INDEX(Inputs!$K$5:$AJ$170,0,MATCH(G$2,Inputs!$K$4:$AJ$4,0))))+SUMPRODUCT((Inputs!$E$5:$E$170=$B66)*ISNUMBER(INDEX(Inputs!$K$5:$AJ$170,0,MATCH(G$2,Inputs!$K$4:$AJ$4,0))))=0,NA(),SUMPRODUCT((Inputs!$A$5:$A$170=$B66)*Inputs!$B$5:$B$170*(((Inputs!$G$5:$G$170="moeda")+(Inputs!$G$5:$G$170="acoes"))*Inputs!$B$1+((Inputs!$G$5:$G$170&lt;&gt;"moeda")*(Inputs!$G$5:$G$170&lt;&gt;"acoes")))*INDEX(Inputs!$K$5:$AJ$170,0,MATCH(G$2,Inputs!$K$4:$AJ$4,0)))+SUMPRODUCT((Inputs!$C$5:$C$170=$B66)*Inputs!$D$5:$D$170*(((Inputs!$G$5:$G$170="moeda")+(Inputs!$G$5:$G$170="acoes"))*Inputs!$B$1+((Inputs!$G$5:$G$170&lt;&gt;"moeda")*(Inputs!$G$5:$G$170&lt;&gt;"acoes")))*INDEX(Inputs!$K$5:$AJ$170,0,MATCH(G$2,Inputs!$K$4:$AJ$4,0)))+SUMPRODUCT((Inputs!$E$5:$E$170=$B66)*Inputs!$F$5:$F$170*(((Inputs!$G$5:$G$170="moeda")+(Inputs!$G$5:$G$170="acoes"))*Inputs!$B$1+((Inputs!$G$5:$G$170&lt;&gt;"moeda")*(Inputs!$G$5:$G$170&lt;&gt;"acoes")))*INDEX(Inputs!$K$5:$AJ$170,0,MATCH(G$2,Inputs!$K$4:$AJ$4,0)))))</f>
        <v>2769.63</v>
      </c>
      <c r="H66" s="267" t="n"/>
      <c r="I66" s="266">
        <f>IF(ISNA(MATCH(I$2,Inputs!$K$4:$AJ$4,0)),NA(),IF(SUMPRODUCT((Inputs!$A$5:$A$170=$B66)*ISNUMBER(INDEX(Inputs!$K$5:$AJ$170,0,MATCH(I$2,Inputs!$K$4:$AJ$4,0))))+SUMPRODUCT((Inputs!$C$5:$C$170=$B66)*ISNUMBER(INDEX(Inputs!$K$5:$AJ$170,0,MATCH(I$2,Inputs!$K$4:$AJ$4,0))))+SUMPRODUCT((Inputs!$E$5:$E$170=$B66)*ISNUMBER(INDEX(Inputs!$K$5:$AJ$170,0,MATCH(I$2,Inputs!$K$4:$AJ$4,0))))=0,NA(),SUMPRODUCT((Inputs!$A$5:$A$170=$B66)*Inputs!$B$5:$B$170*(((Inputs!$G$5:$G$170="moeda")+(Inputs!$G$5:$G$170="acoes"))*Inputs!$B$1+((Inputs!$G$5:$G$170&lt;&gt;"moeda")*(Inputs!$G$5:$G$170&lt;&gt;"acoes")))*INDEX(Inputs!$K$5:$AJ$170,0,MATCH(I$2,Inputs!$K$4:$AJ$4,0)))+SUMPRODUCT((Inputs!$C$5:$C$170=$B66)*Inputs!$D$5:$D$170*(((Inputs!$G$5:$G$170="moeda")+(Inputs!$G$5:$G$170="acoes"))*Inputs!$B$1+((Inputs!$G$5:$G$170&lt;&gt;"moeda")*(Inputs!$G$5:$G$170&lt;&gt;"acoes")))*INDEX(Inputs!$K$5:$AJ$170,0,MATCH(I$2,Inputs!$K$4:$AJ$4,0)))+SUMPRODUCT((Inputs!$E$5:$E$170=$B66)*Inputs!$F$5:$F$170*(((Inputs!$G$5:$G$170="moeda")+(Inputs!$G$5:$G$170="acoes"))*Inputs!$B$1+((Inputs!$G$5:$G$170&lt;&gt;"moeda")*(Inputs!$G$5:$G$170&lt;&gt;"acoes")))*INDEX(Inputs!$K$5:$AJ$170,0,MATCH(I$2,Inputs!$K$4:$AJ$4,0)))))</f>
        <v>2743.698</v>
      </c>
      <c r="J66" s="266">
        <f>IF(ISNA(MATCH(J$2,Inputs!$K$4:$AJ$4,0)),NA(),IF(SUMPRODUCT((Inputs!$A$5:$A$170=$B66)*ISNUMBER(INDEX(Inputs!$K$5:$AJ$170,0,MATCH(J$2,Inputs!$K$4:$AJ$4,0))))+SUMPRODUCT((Inputs!$C$5:$C$170=$B66)*ISNUMBER(INDEX(Inputs!$K$5:$AJ$170,0,MATCH(J$2,Inputs!$K$4:$AJ$4,0))))+SUMPRODUCT((Inputs!$E$5:$E$170=$B66)*ISNUMBER(INDEX(Inputs!$K$5:$AJ$170,0,MATCH(J$2,Inputs!$K$4:$AJ$4,0))))=0,NA(),SUMPRODUCT((Inputs!$A$5:$A$170=$B66)*Inputs!$B$5:$B$170*(((Inputs!$G$5:$G$170="moeda")+(Inputs!$G$5:$G$170="acoes"))*Inputs!$B$1+((Inputs!$G$5:$G$170&lt;&gt;"moeda")*(Inputs!$G$5:$G$170&lt;&gt;"acoes")))*INDEX(Inputs!$K$5:$AJ$170,0,MATCH(J$2,Inputs!$K$4:$AJ$4,0)))+SUMPRODUCT((Inputs!$C$5:$C$170=$B66)*Inputs!$D$5:$D$170*(((Inputs!$G$5:$G$170="moeda")+(Inputs!$G$5:$G$170="acoes"))*Inputs!$B$1+((Inputs!$G$5:$G$170&lt;&gt;"moeda")*(Inputs!$G$5:$G$170&lt;&gt;"acoes")))*INDEX(Inputs!$K$5:$AJ$170,0,MATCH(J$2,Inputs!$K$4:$AJ$4,0)))+SUMPRODUCT((Inputs!$E$5:$E$170=$B66)*Inputs!$F$5:$F$170*(((Inputs!$G$5:$G$170="moeda")+(Inputs!$G$5:$G$170="acoes"))*Inputs!$B$1+((Inputs!$G$5:$G$170&lt;&gt;"moeda")*(Inputs!$G$5:$G$170&lt;&gt;"acoes")))*INDEX(Inputs!$K$5:$AJ$170,0,MATCH(J$2,Inputs!$K$4:$AJ$4,0)))))</f>
        <v>2731.097</v>
      </c>
      <c r="K66" s="266">
        <f>IF(ISNA(MATCH(K$2,Inputs!$K$4:$AJ$4,0)),NA(),IF(SUMPRODUCT((Inputs!$A$5:$A$170=$B66)*ISNUMBER(INDEX(Inputs!$K$5:$AJ$170,0,MATCH(K$2,Inputs!$K$4:$AJ$4,0))))+SUMPRODUCT((Inputs!$C$5:$C$170=$B66)*ISNUMBER(INDEX(Inputs!$K$5:$AJ$170,0,MATCH(K$2,Inputs!$K$4:$AJ$4,0))))+SUMPRODUCT((Inputs!$E$5:$E$170=$B66)*ISNUMBER(INDEX(Inputs!$K$5:$AJ$170,0,MATCH(K$2,Inputs!$K$4:$AJ$4,0))))=0,NA(),SUMPRODUCT((Inputs!$A$5:$A$170=$B66)*Inputs!$B$5:$B$170*(((Inputs!$G$5:$G$170="moeda")+(Inputs!$G$5:$G$170="acoes"))*Inputs!$B$1+((Inputs!$G$5:$G$170&lt;&gt;"moeda")*(Inputs!$G$5:$G$170&lt;&gt;"acoes")))*INDEX(Inputs!$K$5:$AJ$170,0,MATCH(K$2,Inputs!$K$4:$AJ$4,0)))+SUMPRODUCT((Inputs!$C$5:$C$170=$B66)*Inputs!$D$5:$D$170*(((Inputs!$G$5:$G$170="moeda")+(Inputs!$G$5:$G$170="acoes"))*Inputs!$B$1+((Inputs!$G$5:$G$170&lt;&gt;"moeda")*(Inputs!$G$5:$G$170&lt;&gt;"acoes")))*INDEX(Inputs!$K$5:$AJ$170,0,MATCH(K$2,Inputs!$K$4:$AJ$4,0)))+SUMPRODUCT((Inputs!$E$5:$E$170=$B66)*Inputs!$F$5:$F$170*(((Inputs!$G$5:$G$170="moeda")+(Inputs!$G$5:$G$170="acoes"))*Inputs!$B$1+((Inputs!$G$5:$G$170&lt;&gt;"moeda")*(Inputs!$G$5:$G$170&lt;&gt;"acoes")))*INDEX(Inputs!$K$5:$AJ$170,0,MATCH(K$2,Inputs!$K$4:$AJ$4,0)))))</f>
        <v>2963.558</v>
      </c>
      <c r="L66" s="266">
        <f>IF(ISNA(MATCH(L$2,Inputs!$K$4:$AJ$4,0)),NA(),IF(SUMPRODUCT((Inputs!$A$5:$A$170=$B66)*ISNUMBER(INDEX(Inputs!$K$5:$AJ$170,0,MATCH(L$2,Inputs!$K$4:$AJ$4,0))))+SUMPRODUCT((Inputs!$C$5:$C$170=$B66)*ISNUMBER(INDEX(Inputs!$K$5:$AJ$170,0,MATCH(L$2,Inputs!$K$4:$AJ$4,0))))+SUMPRODUCT((Inputs!$E$5:$E$170=$B66)*ISNUMBER(INDEX(Inputs!$K$5:$AJ$170,0,MATCH(L$2,Inputs!$K$4:$AJ$4,0))))=0,NA(),SUMPRODUCT((Inputs!$A$5:$A$170=$B66)*Inputs!$B$5:$B$170*(((Inputs!$G$5:$G$170="moeda")+(Inputs!$G$5:$G$170="acoes"))*Inputs!$B$1+((Inputs!$G$5:$G$170&lt;&gt;"moeda")*(Inputs!$G$5:$G$170&lt;&gt;"acoes")))*INDEX(Inputs!$K$5:$AJ$170,0,MATCH(L$2,Inputs!$K$4:$AJ$4,0)))+SUMPRODUCT((Inputs!$C$5:$C$170=$B66)*Inputs!$D$5:$D$170*(((Inputs!$G$5:$G$170="moeda")+(Inputs!$G$5:$G$170="acoes"))*Inputs!$B$1+((Inputs!$G$5:$G$170&lt;&gt;"moeda")*(Inputs!$G$5:$G$170&lt;&gt;"acoes")))*INDEX(Inputs!$K$5:$AJ$170,0,MATCH(L$2,Inputs!$K$4:$AJ$4,0)))+SUMPRODUCT((Inputs!$E$5:$E$170=$B66)*Inputs!$F$5:$F$170*(((Inputs!$G$5:$G$170="moeda")+(Inputs!$G$5:$G$170="acoes"))*Inputs!$B$1+((Inputs!$G$5:$G$170&lt;&gt;"moeda")*(Inputs!$G$5:$G$170&lt;&gt;"acoes")))*INDEX(Inputs!$K$5:$AJ$170,0,MATCH(L$2,Inputs!$K$4:$AJ$4,0)))))</f>
        <v>2854.288</v>
      </c>
      <c r="M66" s="267" t="n"/>
      <c r="N66" s="266">
        <f>IF(ISNA(MATCH(N$2,Inputs!$K$4:$AJ$4,0)),NA(),IF(SUMPRODUCT((Inputs!$A$5:$A$170=$B66)*ISNUMBER(INDEX(Inputs!$K$5:$AJ$170,0,MATCH(N$2,Inputs!$K$4:$AJ$4,0))))+SUMPRODUCT((Inputs!$C$5:$C$170=$B66)*ISNUMBER(INDEX(Inputs!$K$5:$AJ$170,0,MATCH(N$2,Inputs!$K$4:$AJ$4,0))))+SUMPRODUCT((Inputs!$E$5:$E$170=$B66)*ISNUMBER(INDEX(Inputs!$K$5:$AJ$170,0,MATCH(N$2,Inputs!$K$4:$AJ$4,0))))=0,NA(),SUMPRODUCT((Inputs!$A$5:$A$170=$B66)*Inputs!$B$5:$B$170*(((Inputs!$G$5:$G$170="moeda")+(Inputs!$G$5:$G$170="acoes"))*Inputs!$B$1+((Inputs!$G$5:$G$170&lt;&gt;"moeda")*(Inputs!$G$5:$G$170&lt;&gt;"acoes")))*INDEX(Inputs!$K$5:$AJ$170,0,MATCH(N$2,Inputs!$K$4:$AJ$4,0)))+SUMPRODUCT((Inputs!$C$5:$C$170=$B66)*Inputs!$D$5:$D$170*(((Inputs!$G$5:$G$170="moeda")+(Inputs!$G$5:$G$170="acoes"))*Inputs!$B$1+((Inputs!$G$5:$G$170&lt;&gt;"moeda")*(Inputs!$G$5:$G$170&lt;&gt;"acoes")))*INDEX(Inputs!$K$5:$AJ$170,0,MATCH(N$2,Inputs!$K$4:$AJ$4,0)))+SUMPRODUCT((Inputs!$E$5:$E$170=$B66)*Inputs!$F$5:$F$170*(((Inputs!$G$5:$G$170="moeda")+(Inputs!$G$5:$G$170="acoes"))*Inputs!$B$1+((Inputs!$G$5:$G$170&lt;&gt;"moeda")*(Inputs!$G$5:$G$170&lt;&gt;"acoes")))*INDEX(Inputs!$K$5:$AJ$170,0,MATCH(N$2,Inputs!$K$4:$AJ$4,0)))))</f>
        <v>2939.168</v>
      </c>
      <c r="O66" s="266">
        <f>IF(ISNA(MATCH(O$2,Inputs!$K$4:$AJ$4,0)),NA(),IF(SUMPRODUCT((Inputs!$A$5:$A$170=$B66)*ISNUMBER(INDEX(Inputs!$K$5:$AJ$170,0,MATCH(O$2,Inputs!$K$4:$AJ$4,0))))+SUMPRODUCT((Inputs!$C$5:$C$170=$B66)*ISNUMBER(INDEX(Inputs!$K$5:$AJ$170,0,MATCH(O$2,Inputs!$K$4:$AJ$4,0))))+SUMPRODUCT((Inputs!$E$5:$E$170=$B66)*ISNUMBER(INDEX(Inputs!$K$5:$AJ$170,0,MATCH(O$2,Inputs!$K$4:$AJ$4,0))))=0,NA(),SUMPRODUCT((Inputs!$A$5:$A$170=$B66)*Inputs!$B$5:$B$170*(((Inputs!$G$5:$G$170="moeda")+(Inputs!$G$5:$G$170="acoes"))*Inputs!$B$1+((Inputs!$G$5:$G$170&lt;&gt;"moeda")*(Inputs!$G$5:$G$170&lt;&gt;"acoes")))*INDEX(Inputs!$K$5:$AJ$170,0,MATCH(O$2,Inputs!$K$4:$AJ$4,0)))+SUMPRODUCT((Inputs!$C$5:$C$170=$B66)*Inputs!$D$5:$D$170*(((Inputs!$G$5:$G$170="moeda")+(Inputs!$G$5:$G$170="acoes"))*Inputs!$B$1+((Inputs!$G$5:$G$170&lt;&gt;"moeda")*(Inputs!$G$5:$G$170&lt;&gt;"acoes")))*INDEX(Inputs!$K$5:$AJ$170,0,MATCH(O$2,Inputs!$K$4:$AJ$4,0)))+SUMPRODUCT((Inputs!$E$5:$E$170=$B66)*Inputs!$F$5:$F$170*(((Inputs!$G$5:$G$170="moeda")+(Inputs!$G$5:$G$170="acoes"))*Inputs!$B$1+((Inputs!$G$5:$G$170&lt;&gt;"moeda")*(Inputs!$G$5:$G$170&lt;&gt;"acoes")))*INDEX(Inputs!$K$5:$AJ$170,0,MATCH(O$2,Inputs!$K$4:$AJ$4,0)))))</f>
        <v>2909.796</v>
      </c>
      <c r="P66" s="266">
        <f>IF(ISNA(MATCH(P$2,Inputs!$K$4:$AJ$4,0)),NA(),IF(SUMPRODUCT((Inputs!$A$5:$A$170=$B66)*ISNUMBER(INDEX(Inputs!$K$5:$AJ$170,0,MATCH(P$2,Inputs!$K$4:$AJ$4,0))))+SUMPRODUCT((Inputs!$C$5:$C$170=$B66)*ISNUMBER(INDEX(Inputs!$K$5:$AJ$170,0,MATCH(P$2,Inputs!$K$4:$AJ$4,0))))+SUMPRODUCT((Inputs!$E$5:$E$170=$B66)*ISNUMBER(INDEX(Inputs!$K$5:$AJ$170,0,MATCH(P$2,Inputs!$K$4:$AJ$4,0))))=0,NA(),SUMPRODUCT((Inputs!$A$5:$A$170=$B66)*Inputs!$B$5:$B$170*(((Inputs!$G$5:$G$170="moeda")+(Inputs!$G$5:$G$170="acoes"))*Inputs!$B$1+((Inputs!$G$5:$G$170&lt;&gt;"moeda")*(Inputs!$G$5:$G$170&lt;&gt;"acoes")))*INDEX(Inputs!$K$5:$AJ$170,0,MATCH(P$2,Inputs!$K$4:$AJ$4,0)))+SUMPRODUCT((Inputs!$C$5:$C$170=$B66)*Inputs!$D$5:$D$170*(((Inputs!$G$5:$G$170="moeda")+(Inputs!$G$5:$G$170="acoes"))*Inputs!$B$1+((Inputs!$G$5:$G$170&lt;&gt;"moeda")*(Inputs!$G$5:$G$170&lt;&gt;"acoes")))*INDEX(Inputs!$K$5:$AJ$170,0,MATCH(P$2,Inputs!$K$4:$AJ$4,0)))+SUMPRODUCT((Inputs!$E$5:$E$170=$B66)*Inputs!$F$5:$F$170*(((Inputs!$G$5:$G$170="moeda")+(Inputs!$G$5:$G$170="acoes"))*Inputs!$B$1+((Inputs!$G$5:$G$170&lt;&gt;"moeda")*(Inputs!$G$5:$G$170&lt;&gt;"acoes")))*INDEX(Inputs!$K$5:$AJ$170,0,MATCH(P$2,Inputs!$K$4:$AJ$4,0)))))</f>
        <v>3054.435</v>
      </c>
      <c r="Q66" s="266">
        <f>IF(ISNA(MATCH(Q$2,Inputs!$K$4:$AJ$4,0)),NA(),IF(SUMPRODUCT((Inputs!$A$5:$A$170=$B66)*ISNUMBER(INDEX(Inputs!$K$5:$AJ$170,0,MATCH(Q$2,Inputs!$K$4:$AJ$4,0))))+SUMPRODUCT((Inputs!$C$5:$C$170=$B66)*ISNUMBER(INDEX(Inputs!$K$5:$AJ$170,0,MATCH(Q$2,Inputs!$K$4:$AJ$4,0))))+SUMPRODUCT((Inputs!$E$5:$E$170=$B66)*ISNUMBER(INDEX(Inputs!$K$5:$AJ$170,0,MATCH(Q$2,Inputs!$K$4:$AJ$4,0))))=0,NA(),SUMPRODUCT((Inputs!$A$5:$A$170=$B66)*Inputs!$B$5:$B$170*(((Inputs!$G$5:$G$170="moeda")+(Inputs!$G$5:$G$170="acoes"))*Inputs!$B$1+((Inputs!$G$5:$G$170&lt;&gt;"moeda")*(Inputs!$G$5:$G$170&lt;&gt;"acoes")))*INDEX(Inputs!$K$5:$AJ$170,0,MATCH(Q$2,Inputs!$K$4:$AJ$4,0)))+SUMPRODUCT((Inputs!$C$5:$C$170=$B66)*Inputs!$D$5:$D$170*(((Inputs!$G$5:$G$170="moeda")+(Inputs!$G$5:$G$170="acoes"))*Inputs!$B$1+((Inputs!$G$5:$G$170&lt;&gt;"moeda")*(Inputs!$G$5:$G$170&lt;&gt;"acoes")))*INDEX(Inputs!$K$5:$AJ$170,0,MATCH(Q$2,Inputs!$K$4:$AJ$4,0)))+SUMPRODUCT((Inputs!$E$5:$E$170=$B66)*Inputs!$F$5:$F$170*(((Inputs!$G$5:$G$170="moeda")+(Inputs!$G$5:$G$170="acoes"))*Inputs!$B$1+((Inputs!$G$5:$G$170&lt;&gt;"moeda")*(Inputs!$G$5:$G$170&lt;&gt;"acoes")))*INDEX(Inputs!$K$5:$AJ$170,0,MATCH(Q$2,Inputs!$K$4:$AJ$4,0)))))</f>
        <v>3082.674</v>
      </c>
      <c r="R66" s="267" t="n"/>
      <c r="S66" s="266">
        <f>IF(ISNA(MATCH(S$2,Inputs!$K$4:$AJ$4,0)),NA(),IF(SUMPRODUCT((Inputs!$A$5:$A$170=$B66)*ISNUMBER(INDEX(Inputs!$K$5:$AJ$170,0,MATCH(S$2,Inputs!$K$4:$AJ$4,0))))+SUMPRODUCT((Inputs!$C$5:$C$170=$B66)*ISNUMBER(INDEX(Inputs!$K$5:$AJ$170,0,MATCH(S$2,Inputs!$K$4:$AJ$4,0))))+SUMPRODUCT((Inputs!$E$5:$E$170=$B66)*ISNUMBER(INDEX(Inputs!$K$5:$AJ$170,0,MATCH(S$2,Inputs!$K$4:$AJ$4,0))))=0,NA(),SUMPRODUCT((Inputs!$A$5:$A$170=$B66)*Inputs!$B$5:$B$170*(((Inputs!$G$5:$G$170="moeda")+(Inputs!$G$5:$G$170="acoes"))*Inputs!$B$1+((Inputs!$G$5:$G$170&lt;&gt;"moeda")*(Inputs!$G$5:$G$170&lt;&gt;"acoes")))*INDEX(Inputs!$K$5:$AJ$170,0,MATCH(S$2,Inputs!$K$4:$AJ$4,0)))+SUMPRODUCT((Inputs!$C$5:$C$170=$B66)*Inputs!$D$5:$D$170*(((Inputs!$G$5:$G$170="moeda")+(Inputs!$G$5:$G$170="acoes"))*Inputs!$B$1+((Inputs!$G$5:$G$170&lt;&gt;"moeda")*(Inputs!$G$5:$G$170&lt;&gt;"acoes")))*INDEX(Inputs!$K$5:$AJ$170,0,MATCH(S$2,Inputs!$K$4:$AJ$4,0)))+SUMPRODUCT((Inputs!$E$5:$E$170=$B66)*Inputs!$F$5:$F$170*(((Inputs!$G$5:$G$170="moeda")+(Inputs!$G$5:$G$170="acoes"))*Inputs!$B$1+((Inputs!$G$5:$G$170&lt;&gt;"moeda")*(Inputs!$G$5:$G$170&lt;&gt;"acoes")))*INDEX(Inputs!$K$5:$AJ$170,0,MATCH(S$2,Inputs!$K$4:$AJ$4,0)))))</f>
        <v>3105.783</v>
      </c>
      <c r="T66" s="266">
        <f>IF(ISNA(MATCH(T$2,Inputs!$K$4:$AJ$4,0)),NA(),IF(SUMPRODUCT((Inputs!$A$5:$A$170=$B66)*ISNUMBER(INDEX(Inputs!$K$5:$AJ$170,0,MATCH(T$2,Inputs!$K$4:$AJ$4,0))))+SUMPRODUCT((Inputs!$C$5:$C$170=$B66)*ISNUMBER(INDEX(Inputs!$K$5:$AJ$170,0,MATCH(T$2,Inputs!$K$4:$AJ$4,0))))+SUMPRODUCT((Inputs!$E$5:$E$170=$B66)*ISNUMBER(INDEX(Inputs!$K$5:$AJ$170,0,MATCH(T$2,Inputs!$K$4:$AJ$4,0))))=0,NA(),SUMPRODUCT((Inputs!$A$5:$A$170=$B66)*Inputs!$B$5:$B$170*(((Inputs!$G$5:$G$170="moeda")+(Inputs!$G$5:$G$170="acoes"))*Inputs!$B$1+((Inputs!$G$5:$G$170&lt;&gt;"moeda")*(Inputs!$G$5:$G$170&lt;&gt;"acoes")))*INDEX(Inputs!$K$5:$AJ$170,0,MATCH(T$2,Inputs!$K$4:$AJ$4,0)))+SUMPRODUCT((Inputs!$C$5:$C$170=$B66)*Inputs!$D$5:$D$170*(((Inputs!$G$5:$G$170="moeda")+(Inputs!$G$5:$G$170="acoes"))*Inputs!$B$1+((Inputs!$G$5:$G$170&lt;&gt;"moeda")*(Inputs!$G$5:$G$170&lt;&gt;"acoes")))*INDEX(Inputs!$K$5:$AJ$170,0,MATCH(T$2,Inputs!$K$4:$AJ$4,0)))+SUMPRODUCT((Inputs!$E$5:$E$170=$B66)*Inputs!$F$5:$F$170*(((Inputs!$G$5:$G$170="moeda")+(Inputs!$G$5:$G$170="acoes"))*Inputs!$B$1+((Inputs!$G$5:$G$170&lt;&gt;"moeda")*(Inputs!$G$5:$G$170&lt;&gt;"acoes")))*INDEX(Inputs!$K$5:$AJ$170,0,MATCH(T$2,Inputs!$K$4:$AJ$4,0)))))</f>
        <v>3087.035</v>
      </c>
      <c r="U66" s="266">
        <f>IF(ISNA(MATCH(U$2,Inputs!$K$4:$AJ$4,0)),NA(),IF(SUMPRODUCT((Inputs!$A$5:$A$170=$B66)*ISNUMBER(INDEX(Inputs!$K$5:$AJ$170,0,MATCH(U$2,Inputs!$K$4:$AJ$4,0))))+SUMPRODUCT((Inputs!$C$5:$C$170=$B66)*ISNUMBER(INDEX(Inputs!$K$5:$AJ$170,0,MATCH(U$2,Inputs!$K$4:$AJ$4,0))))+SUMPRODUCT((Inputs!$E$5:$E$170=$B66)*ISNUMBER(INDEX(Inputs!$K$5:$AJ$170,0,MATCH(U$2,Inputs!$K$4:$AJ$4,0))))=0,NA(),SUMPRODUCT((Inputs!$A$5:$A$170=$B66)*Inputs!$B$5:$B$170*(((Inputs!$G$5:$G$170="moeda")+(Inputs!$G$5:$G$170="acoes"))*Inputs!$B$1+((Inputs!$G$5:$G$170&lt;&gt;"moeda")*(Inputs!$G$5:$G$170&lt;&gt;"acoes")))*INDEX(Inputs!$K$5:$AJ$170,0,MATCH(U$2,Inputs!$K$4:$AJ$4,0)))+SUMPRODUCT((Inputs!$C$5:$C$170=$B66)*Inputs!$D$5:$D$170*(((Inputs!$G$5:$G$170="moeda")+(Inputs!$G$5:$G$170="acoes"))*Inputs!$B$1+((Inputs!$G$5:$G$170&lt;&gt;"moeda")*(Inputs!$G$5:$G$170&lt;&gt;"acoes")))*INDEX(Inputs!$K$5:$AJ$170,0,MATCH(U$2,Inputs!$K$4:$AJ$4,0)))+SUMPRODUCT((Inputs!$E$5:$E$170=$B66)*Inputs!$F$5:$F$170*(((Inputs!$G$5:$G$170="moeda")+(Inputs!$G$5:$G$170="acoes"))*Inputs!$B$1+((Inputs!$G$5:$G$170&lt;&gt;"moeda")*(Inputs!$G$5:$G$170&lt;&gt;"acoes")))*INDEX(Inputs!$K$5:$AJ$170,0,MATCH(U$2,Inputs!$K$4:$AJ$4,0)))))</f>
        <v>3257.833</v>
      </c>
      <c r="V66" s="266">
        <f>IF(ISNA(MATCH(V$2,Inputs!$K$4:$AJ$4,0)),NA(),IF(SUMPRODUCT((Inputs!$A$5:$A$170=$B66)*ISNUMBER(INDEX(Inputs!$K$5:$AJ$170,0,MATCH(V$2,Inputs!$K$4:$AJ$4,0))))+SUMPRODUCT((Inputs!$C$5:$C$170=$B66)*ISNUMBER(INDEX(Inputs!$K$5:$AJ$170,0,MATCH(V$2,Inputs!$K$4:$AJ$4,0))))+SUMPRODUCT((Inputs!$E$5:$E$170=$B66)*ISNUMBER(INDEX(Inputs!$K$5:$AJ$170,0,MATCH(V$2,Inputs!$K$4:$AJ$4,0))))=0,NA(),SUMPRODUCT((Inputs!$A$5:$A$170=$B66)*Inputs!$B$5:$B$170*(((Inputs!$G$5:$G$170="moeda")+(Inputs!$G$5:$G$170="acoes"))*Inputs!$B$1+((Inputs!$G$5:$G$170&lt;&gt;"moeda")*(Inputs!$G$5:$G$170&lt;&gt;"acoes")))*INDEX(Inputs!$K$5:$AJ$170,0,MATCH(V$2,Inputs!$K$4:$AJ$4,0)))+SUMPRODUCT((Inputs!$C$5:$C$170=$B66)*Inputs!$D$5:$D$170*(((Inputs!$G$5:$G$170="moeda")+(Inputs!$G$5:$G$170="acoes"))*Inputs!$B$1+((Inputs!$G$5:$G$170&lt;&gt;"moeda")*(Inputs!$G$5:$G$170&lt;&gt;"acoes")))*INDEX(Inputs!$K$5:$AJ$170,0,MATCH(V$2,Inputs!$K$4:$AJ$4,0)))+SUMPRODUCT((Inputs!$E$5:$E$170=$B66)*Inputs!$F$5:$F$170*(((Inputs!$G$5:$G$170="moeda")+(Inputs!$G$5:$G$170="acoes"))*Inputs!$B$1+((Inputs!$G$5:$G$170&lt;&gt;"moeda")*(Inputs!$G$5:$G$170&lt;&gt;"acoes")))*INDEX(Inputs!$K$5:$AJ$170,0,MATCH(V$2,Inputs!$K$4:$AJ$4,0)))))</f>
        <v>3381.404</v>
      </c>
      <c r="W66" s="267" t="n"/>
      <c r="X66" s="266">
        <f>IF(ISNA(MATCH(X$2,Inputs!$K$4:$AJ$4,0)),NA(),IF(SUMPRODUCT((Inputs!$A$5:$A$170=$B66)*ISNUMBER(INDEX(Inputs!$K$5:$AJ$170,0,MATCH(X$2,Inputs!$K$4:$AJ$4,0))))+SUMPRODUCT((Inputs!$C$5:$C$170=$B66)*ISNUMBER(INDEX(Inputs!$K$5:$AJ$170,0,MATCH(X$2,Inputs!$K$4:$AJ$4,0))))+SUMPRODUCT((Inputs!$E$5:$E$170=$B66)*ISNUMBER(INDEX(Inputs!$K$5:$AJ$170,0,MATCH(X$2,Inputs!$K$4:$AJ$4,0))))=0,NA(),SUMPRODUCT((Inputs!$A$5:$A$170=$B66)*Inputs!$B$5:$B$170*(((Inputs!$G$5:$G$170="moeda")+(Inputs!$G$5:$G$170="acoes"))*Inputs!$B$1+((Inputs!$G$5:$G$170&lt;&gt;"moeda")*(Inputs!$G$5:$G$170&lt;&gt;"acoes")))*INDEX(Inputs!$K$5:$AJ$170,0,MATCH(X$2,Inputs!$K$4:$AJ$4,0)))+SUMPRODUCT((Inputs!$C$5:$C$170=$B66)*Inputs!$D$5:$D$170*(((Inputs!$G$5:$G$170="moeda")+(Inputs!$G$5:$G$170="acoes"))*Inputs!$B$1+((Inputs!$G$5:$G$170&lt;&gt;"moeda")*(Inputs!$G$5:$G$170&lt;&gt;"acoes")))*INDEX(Inputs!$K$5:$AJ$170,0,MATCH(X$2,Inputs!$K$4:$AJ$4,0)))+SUMPRODUCT((Inputs!$E$5:$E$170=$B66)*Inputs!$F$5:$F$170*(((Inputs!$G$5:$G$170="moeda")+(Inputs!$G$5:$G$170="acoes"))*Inputs!$B$1+((Inputs!$G$5:$G$170&lt;&gt;"moeda")*(Inputs!$G$5:$G$170&lt;&gt;"acoes")))*INDEX(Inputs!$K$5:$AJ$170,0,MATCH(X$2,Inputs!$K$4:$AJ$4,0)))))</f>
        <v>3338.611</v>
      </c>
      <c r="Y66" s="266">
        <f>IF(ISNA(MATCH(Y$2,Inputs!$K$4:$AJ$4,0)),NA(),IF(SUMPRODUCT((Inputs!$A$5:$A$170=$B66)*ISNUMBER(INDEX(Inputs!$K$5:$AJ$170,0,MATCH(Y$2,Inputs!$K$4:$AJ$4,0))))+SUMPRODUCT((Inputs!$C$5:$C$170=$B66)*ISNUMBER(INDEX(Inputs!$K$5:$AJ$170,0,MATCH(Y$2,Inputs!$K$4:$AJ$4,0))))+SUMPRODUCT((Inputs!$E$5:$E$170=$B66)*ISNUMBER(INDEX(Inputs!$K$5:$AJ$170,0,MATCH(Y$2,Inputs!$K$4:$AJ$4,0))))=0,NA(),SUMPRODUCT((Inputs!$A$5:$A$170=$B66)*Inputs!$B$5:$B$170*(((Inputs!$G$5:$G$170="moeda")+(Inputs!$G$5:$G$170="acoes"))*Inputs!$B$1+((Inputs!$G$5:$G$170&lt;&gt;"moeda")*(Inputs!$G$5:$G$170&lt;&gt;"acoes")))*INDEX(Inputs!$K$5:$AJ$170,0,MATCH(Y$2,Inputs!$K$4:$AJ$4,0)))+SUMPRODUCT((Inputs!$C$5:$C$170=$B66)*Inputs!$D$5:$D$170*(((Inputs!$G$5:$G$170="moeda")+(Inputs!$G$5:$G$170="acoes"))*Inputs!$B$1+((Inputs!$G$5:$G$170&lt;&gt;"moeda")*(Inputs!$G$5:$G$170&lt;&gt;"acoes")))*INDEX(Inputs!$K$5:$AJ$170,0,MATCH(Y$2,Inputs!$K$4:$AJ$4,0)))+SUMPRODUCT((Inputs!$E$5:$E$170=$B66)*Inputs!$F$5:$F$170*(((Inputs!$G$5:$G$170="moeda")+(Inputs!$G$5:$G$170="acoes"))*Inputs!$B$1+((Inputs!$G$5:$G$170&lt;&gt;"moeda")*(Inputs!$G$5:$G$170&lt;&gt;"acoes")))*INDEX(Inputs!$K$5:$AJ$170,0,MATCH(Y$2,Inputs!$K$4:$AJ$4,0)))))</f>
        <v>3427.762</v>
      </c>
      <c r="Z66" s="266">
        <f>IF(ISNA(MATCH(Z$2,Inputs!$K$4:$AJ$4,0)),NA(),IF(SUMPRODUCT((Inputs!$A$5:$A$170=$B66)*ISNUMBER(INDEX(Inputs!$K$5:$AJ$170,0,MATCH(Z$2,Inputs!$K$4:$AJ$4,0))))+SUMPRODUCT((Inputs!$C$5:$C$170=$B66)*ISNUMBER(INDEX(Inputs!$K$5:$AJ$170,0,MATCH(Z$2,Inputs!$K$4:$AJ$4,0))))+SUMPRODUCT((Inputs!$E$5:$E$170=$B66)*ISNUMBER(INDEX(Inputs!$K$5:$AJ$170,0,MATCH(Z$2,Inputs!$K$4:$AJ$4,0))))=0,NA(),SUMPRODUCT((Inputs!$A$5:$A$170=$B66)*Inputs!$B$5:$B$170*(((Inputs!$G$5:$G$170="moeda")+(Inputs!$G$5:$G$170="acoes"))*Inputs!$B$1+((Inputs!$G$5:$G$170&lt;&gt;"moeda")*(Inputs!$G$5:$G$170&lt;&gt;"acoes")))*INDEX(Inputs!$K$5:$AJ$170,0,MATCH(Z$2,Inputs!$K$4:$AJ$4,0)))+SUMPRODUCT((Inputs!$C$5:$C$170=$B66)*Inputs!$D$5:$D$170*(((Inputs!$G$5:$G$170="moeda")+(Inputs!$G$5:$G$170="acoes"))*Inputs!$B$1+((Inputs!$G$5:$G$170&lt;&gt;"moeda")*(Inputs!$G$5:$G$170&lt;&gt;"acoes")))*INDEX(Inputs!$K$5:$AJ$170,0,MATCH(Z$2,Inputs!$K$4:$AJ$4,0)))+SUMPRODUCT((Inputs!$E$5:$E$170=$B66)*Inputs!$F$5:$F$170*(((Inputs!$G$5:$G$170="moeda")+(Inputs!$G$5:$G$170="acoes"))*Inputs!$B$1+((Inputs!$G$5:$G$170&lt;&gt;"moeda")*(Inputs!$G$5:$G$170&lt;&gt;"acoes")))*INDEX(Inputs!$K$5:$AJ$170,0,MATCH(Z$2,Inputs!$K$4:$AJ$4,0)))))</f>
        <v>3496.733</v>
      </c>
      <c r="AA66" s="266">
        <f>IF(ISNA(MATCH(AA$2,Inputs!$K$4:$AJ$4,0)),NA(),IF(SUMPRODUCT((Inputs!$A$5:$A$170=$B66)*ISNUMBER(INDEX(Inputs!$K$5:$AJ$170,0,MATCH(AA$2,Inputs!$K$4:$AJ$4,0))))+SUMPRODUCT((Inputs!$C$5:$C$170=$B66)*ISNUMBER(INDEX(Inputs!$K$5:$AJ$170,0,MATCH(AA$2,Inputs!$K$4:$AJ$4,0))))+SUMPRODUCT((Inputs!$E$5:$E$170=$B66)*ISNUMBER(INDEX(Inputs!$K$5:$AJ$170,0,MATCH(AA$2,Inputs!$K$4:$AJ$4,0))))=0,NA(),SUMPRODUCT((Inputs!$A$5:$A$170=$B66)*Inputs!$B$5:$B$170*(((Inputs!$G$5:$G$170="moeda")+(Inputs!$G$5:$G$170="acoes"))*Inputs!$B$1+((Inputs!$G$5:$G$170&lt;&gt;"moeda")*(Inputs!$G$5:$G$170&lt;&gt;"acoes")))*INDEX(Inputs!$K$5:$AJ$170,0,MATCH(AA$2,Inputs!$K$4:$AJ$4,0)))+SUMPRODUCT((Inputs!$C$5:$C$170=$B66)*Inputs!$D$5:$D$170*(((Inputs!$G$5:$G$170="moeda")+(Inputs!$G$5:$G$170="acoes"))*Inputs!$B$1+((Inputs!$G$5:$G$170&lt;&gt;"moeda")*(Inputs!$G$5:$G$170&lt;&gt;"acoes")))*INDEX(Inputs!$K$5:$AJ$170,0,MATCH(AA$2,Inputs!$K$4:$AJ$4,0)))+SUMPRODUCT((Inputs!$E$5:$E$170=$B66)*Inputs!$F$5:$F$170*(((Inputs!$G$5:$G$170="moeda")+(Inputs!$G$5:$G$170="acoes"))*Inputs!$B$1+((Inputs!$G$5:$G$170&lt;&gt;"moeda")*(Inputs!$G$5:$G$170&lt;&gt;"acoes")))*INDEX(Inputs!$K$5:$AJ$170,0,MATCH(AA$2,Inputs!$K$4:$AJ$4,0)))))</f>
        <v>3704.22344777511</v>
      </c>
      <c r="AB66" s="267" t="n"/>
      <c r="AC66" s="266">
        <f>IF(ISNA(MATCH(AC$2,Inputs!$K$4:$AJ$4,0)),NA(),IF(SUMPRODUCT((Inputs!$A$5:$A$170=$B66)*ISNUMBER(INDEX(Inputs!$K$5:$AJ$170,0,MATCH(AC$2,Inputs!$K$4:$AJ$4,0))))+SUMPRODUCT((Inputs!$C$5:$C$170=$B66)*ISNUMBER(INDEX(Inputs!$K$5:$AJ$170,0,MATCH(AC$2,Inputs!$K$4:$AJ$4,0))))+SUMPRODUCT((Inputs!$E$5:$E$170=$B66)*ISNUMBER(INDEX(Inputs!$K$5:$AJ$170,0,MATCH(AC$2,Inputs!$K$4:$AJ$4,0))))=0,NA(),SUMPRODUCT((Inputs!$A$5:$A$170=$B66)*Inputs!$B$5:$B$170*(((Inputs!$G$5:$G$170="moeda")+(Inputs!$G$5:$G$170="acoes"))*Inputs!$B$1+((Inputs!$G$5:$G$170&lt;&gt;"moeda")*(Inputs!$G$5:$G$170&lt;&gt;"acoes")))*INDEX(Inputs!$K$5:$AJ$170,0,MATCH(AC$2,Inputs!$K$4:$AJ$4,0)))+SUMPRODUCT((Inputs!$C$5:$C$170=$B66)*Inputs!$D$5:$D$170*(((Inputs!$G$5:$G$170="moeda")+(Inputs!$G$5:$G$170="acoes"))*Inputs!$B$1+((Inputs!$G$5:$G$170&lt;&gt;"moeda")*(Inputs!$G$5:$G$170&lt;&gt;"acoes")))*INDEX(Inputs!$K$5:$AJ$170,0,MATCH(AC$2,Inputs!$K$4:$AJ$4,0)))+SUMPRODUCT((Inputs!$E$5:$E$170=$B66)*Inputs!$F$5:$F$170*(((Inputs!$G$5:$G$170="moeda")+(Inputs!$G$5:$G$170="acoes"))*Inputs!$B$1+((Inputs!$G$5:$G$170&lt;&gt;"moeda")*(Inputs!$G$5:$G$170&lt;&gt;"acoes")))*INDEX(Inputs!$K$5:$AJ$170,0,MATCH(AC$2,Inputs!$K$4:$AJ$4,0)))))</f>
        <v>3871.82506628925</v>
      </c>
      <c r="AD66" s="266">
        <f>IF(ISNA(MATCH(AD$2,Inputs!$K$4:$AJ$4,0)),NA(),IF(SUMPRODUCT((Inputs!$A$5:$A$170=$B66)*ISNUMBER(INDEX(Inputs!$K$5:$AJ$170,0,MATCH(AD$2,Inputs!$K$4:$AJ$4,0))))+SUMPRODUCT((Inputs!$C$5:$C$170=$B66)*ISNUMBER(INDEX(Inputs!$K$5:$AJ$170,0,MATCH(AD$2,Inputs!$K$4:$AJ$4,0))))+SUMPRODUCT((Inputs!$E$5:$E$170=$B66)*ISNUMBER(INDEX(Inputs!$K$5:$AJ$170,0,MATCH(AD$2,Inputs!$K$4:$AJ$4,0))))=0,NA(),SUMPRODUCT((Inputs!$A$5:$A$170=$B66)*Inputs!$B$5:$B$170*(((Inputs!$G$5:$G$170="moeda")+(Inputs!$G$5:$G$170="acoes"))*Inputs!$B$1+((Inputs!$G$5:$G$170&lt;&gt;"moeda")*(Inputs!$G$5:$G$170&lt;&gt;"acoes")))*INDEX(Inputs!$K$5:$AJ$170,0,MATCH(AD$2,Inputs!$K$4:$AJ$4,0)))+SUMPRODUCT((Inputs!$C$5:$C$170=$B66)*Inputs!$D$5:$D$170*(((Inputs!$G$5:$G$170="moeda")+(Inputs!$G$5:$G$170="acoes"))*Inputs!$B$1+((Inputs!$G$5:$G$170&lt;&gt;"moeda")*(Inputs!$G$5:$G$170&lt;&gt;"acoes")))*INDEX(Inputs!$K$5:$AJ$170,0,MATCH(AD$2,Inputs!$K$4:$AJ$4,0)))+SUMPRODUCT((Inputs!$E$5:$E$170=$B66)*Inputs!$F$5:$F$170*(((Inputs!$G$5:$G$170="moeda")+(Inputs!$G$5:$G$170="acoes"))*Inputs!$B$1+((Inputs!$G$5:$G$170&lt;&gt;"moeda")*(Inputs!$G$5:$G$170&lt;&gt;"acoes")))*INDEX(Inputs!$K$5:$AJ$170,0,MATCH(AD$2,Inputs!$K$4:$AJ$4,0)))))</f>
        <v>3740.4763090755</v>
      </c>
      <c r="AE66" s="266" t="e">
        <f>IF(ISNA(MATCH(AE$2,Inputs!$K$4:$AJ$4,0)),NA(),IF(SUMPRODUCT((Inputs!$A$5:$A$170=$B66)*ISNUMBER(INDEX(Inputs!$K$5:$AJ$170,0,MATCH(AE$2,Inputs!$K$4:$AJ$4,0))))+SUMPRODUCT((Inputs!$C$5:$C$170=$B66)*ISNUMBER(INDEX(Inputs!$K$5:$AJ$170,0,MATCH(AE$2,Inputs!$K$4:$AJ$4,0))))+SUMPRODUCT((Inputs!$E$5:$E$170=$B66)*ISNUMBER(INDEX(Inputs!$K$5:$AJ$170,0,MATCH(AE$2,Inputs!$K$4:$AJ$4,0))))=0,NA(),SUMPRODUCT((Inputs!$A$5:$A$170=$B66)*Inputs!$B$5:$B$170*(((Inputs!$G$5:$G$170="moeda")+(Inputs!$G$5:$G$170="acoes"))*Inputs!$B$1+((Inputs!$G$5:$G$170&lt;&gt;"moeda")*(Inputs!$G$5:$G$170&lt;&gt;"acoes")))*INDEX(Inputs!$K$5:$AJ$170,0,MATCH(AE$2,Inputs!$K$4:$AJ$4,0)))+SUMPRODUCT((Inputs!$C$5:$C$170=$B66)*Inputs!$D$5:$D$170*(((Inputs!$G$5:$G$170="moeda")+(Inputs!$G$5:$G$170="acoes"))*Inputs!$B$1+((Inputs!$G$5:$G$170&lt;&gt;"moeda")*(Inputs!$G$5:$G$170&lt;&gt;"acoes")))*INDEX(Inputs!$K$5:$AJ$170,0,MATCH(AE$2,Inputs!$K$4:$AJ$4,0)))+SUMPRODUCT((Inputs!$E$5:$E$170=$B66)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6" s="266" t="e">
        <f>IF(ISNA(MATCH(AF$2,Inputs!$K$4:$AJ$4,0)),NA(),IF(SUMPRODUCT((Inputs!$A$5:$A$170=$B66)*ISNUMBER(INDEX(Inputs!$K$5:$AJ$170,0,MATCH(AF$2,Inputs!$K$4:$AJ$4,0))))+SUMPRODUCT((Inputs!$C$5:$C$170=$B66)*ISNUMBER(INDEX(Inputs!$K$5:$AJ$170,0,MATCH(AF$2,Inputs!$K$4:$AJ$4,0))))+SUMPRODUCT((Inputs!$E$5:$E$170=$B66)*ISNUMBER(INDEX(Inputs!$K$5:$AJ$170,0,MATCH(AF$2,Inputs!$K$4:$AJ$4,0))))=0,NA(),SUMPRODUCT((Inputs!$A$5:$A$170=$B66)*Inputs!$B$5:$B$170*(((Inputs!$G$5:$G$170="moeda")+(Inputs!$G$5:$G$170="acoes"))*Inputs!$B$1+((Inputs!$G$5:$G$170&lt;&gt;"moeda")*(Inputs!$G$5:$G$170&lt;&gt;"acoes")))*INDEX(Inputs!$K$5:$AJ$170,0,MATCH(AF$2,Inputs!$K$4:$AJ$4,0)))+SUMPRODUCT((Inputs!$C$5:$C$170=$B66)*Inputs!$D$5:$D$170*(((Inputs!$G$5:$G$170="moeda")+(Inputs!$G$5:$G$170="acoes"))*Inputs!$B$1+((Inputs!$G$5:$G$170&lt;&gt;"moeda")*(Inputs!$G$5:$G$170&lt;&gt;"acoes")))*INDEX(Inputs!$K$5:$AJ$170,0,MATCH(AF$2,Inputs!$K$4:$AJ$4,0)))+SUMPRODUCT((Inputs!$E$5:$E$170=$B66)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6" s="267" t="n"/>
      <c r="AH66" s="266">
        <f>IF(ISNA(MATCH(AH$2,Inputs!$K$4:$AJ$4,0)),NA(),IF(SUMPRODUCT((Inputs!$A$5:$A$170=$B66)*ISNUMBER(INDEX(Inputs!$K$5:$AJ$170,0,MATCH(AH$2,Inputs!$K$4:$AJ$4,0))))+SUMPRODUCT((Inputs!$C$5:$C$170=$B66)*ISNUMBER(INDEX(Inputs!$K$5:$AJ$170,0,MATCH(AH$2,Inputs!$K$4:$AJ$4,0))))+SUMPRODUCT((Inputs!$E$5:$E$170=$B66)*ISNUMBER(INDEX(Inputs!$K$5:$AJ$170,0,MATCH(AH$2,Inputs!$K$4:$AJ$4,0))))=0,NA(),SUMPRODUCT((Inputs!$A$5:$A$170=$B66)*Inputs!$B$5:$B$170*(((Inputs!$G$5:$G$170="moeda")+(Inputs!$G$5:$G$170="acoes"))*Inputs!$B$1+((Inputs!$G$5:$G$170&lt;&gt;"moeda")*(Inputs!$G$5:$G$170&lt;&gt;"acoes")))*INDEX(Inputs!$K$5:$AJ$170,0,MATCH(AH$2,Inputs!$K$4:$AJ$4,0)))+SUMPRODUCT((Inputs!$C$5:$C$170=$B66)*Inputs!$D$5:$D$170*(((Inputs!$G$5:$G$170="moeda")+(Inputs!$G$5:$G$170="acoes"))*Inputs!$B$1+((Inputs!$G$5:$G$170&lt;&gt;"moeda")*(Inputs!$G$5:$G$170&lt;&gt;"acoes")))*INDEX(Inputs!$K$5:$AJ$170,0,MATCH(AH$2,Inputs!$K$4:$AJ$4,0)))+SUMPRODUCT((Inputs!$E$5:$E$170=$B66)*Inputs!$F$5:$F$170*(((Inputs!$G$5:$G$170="moeda")+(Inputs!$G$5:$G$170="acoes"))*Inputs!$B$1+((Inputs!$G$5:$G$170&lt;&gt;"moeda")*(Inputs!$G$5:$G$170&lt;&gt;"acoes")))*INDEX(Inputs!$K$5:$AJ$170,0,MATCH(AH$2,Inputs!$K$4:$AJ$4,0)))))</f>
        <v>1720.077</v>
      </c>
      <c r="AI66" s="266">
        <f>IF(ISNA(MATCH(AI$2,Inputs!$K$4:$AJ$4,0)),NA(),IF(SUMPRODUCT((Inputs!$A$5:$A$170=$B66)*ISNUMBER(INDEX(Inputs!$K$5:$AJ$170,0,MATCH(AI$2,Inputs!$K$4:$AJ$4,0))))+SUMPRODUCT((Inputs!$C$5:$C$170=$B66)*ISNUMBER(INDEX(Inputs!$K$5:$AJ$170,0,MATCH(AI$2,Inputs!$K$4:$AJ$4,0))))+SUMPRODUCT((Inputs!$E$5:$E$170=$B66)*ISNUMBER(INDEX(Inputs!$K$5:$AJ$170,0,MATCH(AI$2,Inputs!$K$4:$AJ$4,0))))=0,NA(),SUMPRODUCT((Inputs!$A$5:$A$170=$B66)*Inputs!$B$5:$B$170*(((Inputs!$G$5:$G$170="moeda")+(Inputs!$G$5:$G$170="acoes"))*Inputs!$B$1+((Inputs!$G$5:$G$170&lt;&gt;"moeda")*(Inputs!$G$5:$G$170&lt;&gt;"acoes")))*INDEX(Inputs!$K$5:$AJ$170,0,MATCH(AI$2,Inputs!$K$4:$AJ$4,0)))+SUMPRODUCT((Inputs!$C$5:$C$170=$B66)*Inputs!$D$5:$D$170*(((Inputs!$G$5:$G$170="moeda")+(Inputs!$G$5:$G$170="acoes"))*Inputs!$B$1+((Inputs!$G$5:$G$170&lt;&gt;"moeda")*(Inputs!$G$5:$G$170&lt;&gt;"acoes")))*INDEX(Inputs!$K$5:$AJ$170,0,MATCH(AI$2,Inputs!$K$4:$AJ$4,0)))+SUMPRODUCT((Inputs!$E$5:$E$170=$B66)*Inputs!$F$5:$F$170*(((Inputs!$G$5:$G$170="moeda")+(Inputs!$G$5:$G$170="acoes"))*Inputs!$B$1+((Inputs!$G$5:$G$170&lt;&gt;"moeda")*(Inputs!$G$5:$G$170&lt;&gt;"acoes")))*INDEX(Inputs!$K$5:$AJ$170,0,MATCH(AI$2,Inputs!$K$4:$AJ$4,0)))))</f>
        <v>1218.369</v>
      </c>
      <c r="AJ66" s="266">
        <f>IF(ISNA(MATCH(AJ$2,Inputs!$K$4:$AJ$4,0)),NA(),IF(SUMPRODUCT((Inputs!$A$5:$A$170=$B66)*ISNUMBER(INDEX(Inputs!$K$5:$AJ$170,0,MATCH(AJ$2,Inputs!$K$4:$AJ$4,0))))+SUMPRODUCT((Inputs!$C$5:$C$170=$B66)*ISNUMBER(INDEX(Inputs!$K$5:$AJ$170,0,MATCH(AJ$2,Inputs!$K$4:$AJ$4,0))))+SUMPRODUCT((Inputs!$E$5:$E$170=$B66)*ISNUMBER(INDEX(Inputs!$K$5:$AJ$170,0,MATCH(AJ$2,Inputs!$K$4:$AJ$4,0))))=0,NA(),SUMPRODUCT((Inputs!$A$5:$A$170=$B66)*Inputs!$B$5:$B$170*(((Inputs!$G$5:$G$170="moeda")+(Inputs!$G$5:$G$170="acoes"))*Inputs!$B$1+((Inputs!$G$5:$G$170&lt;&gt;"moeda")*(Inputs!$G$5:$G$170&lt;&gt;"acoes")))*INDEX(Inputs!$K$5:$AJ$170,0,MATCH(AJ$2,Inputs!$K$4:$AJ$4,0)))+SUMPRODUCT((Inputs!$C$5:$C$170=$B66)*Inputs!$D$5:$D$170*(((Inputs!$G$5:$G$170="moeda")+(Inputs!$G$5:$G$170="acoes"))*Inputs!$B$1+((Inputs!$G$5:$G$170&lt;&gt;"moeda")*(Inputs!$G$5:$G$170&lt;&gt;"acoes")))*INDEX(Inputs!$K$5:$AJ$170,0,MATCH(AJ$2,Inputs!$K$4:$AJ$4,0)))+SUMPRODUCT((Inputs!$E$5:$E$170=$B66)*Inputs!$F$5:$F$170*(((Inputs!$G$5:$G$170="moeda")+(Inputs!$G$5:$G$170="acoes"))*Inputs!$B$1+((Inputs!$G$5:$G$170&lt;&gt;"moeda")*(Inputs!$G$5:$G$170&lt;&gt;"acoes")))*INDEX(Inputs!$K$5:$AJ$170,0,MATCH(AJ$2,Inputs!$K$4:$AJ$4,0)))))</f>
        <v>1648.088</v>
      </c>
      <c r="AK66" s="266">
        <f>IF(ISNA(MATCH(AK$2,Inputs!$K$4:$AJ$4,0)),NA(),IF(SUMPRODUCT((Inputs!$A$5:$A$170=$B66)*ISNUMBER(INDEX(Inputs!$K$5:$AJ$170,0,MATCH(AK$2,Inputs!$K$4:$AJ$4,0))))+SUMPRODUCT((Inputs!$C$5:$C$170=$B66)*ISNUMBER(INDEX(Inputs!$K$5:$AJ$170,0,MATCH(AK$2,Inputs!$K$4:$AJ$4,0))))+SUMPRODUCT((Inputs!$E$5:$E$170=$B66)*ISNUMBER(INDEX(Inputs!$K$5:$AJ$170,0,MATCH(AK$2,Inputs!$K$4:$AJ$4,0))))=0,NA(),SUMPRODUCT((Inputs!$A$5:$A$170=$B66)*Inputs!$B$5:$B$170*(((Inputs!$G$5:$G$170="moeda")+(Inputs!$G$5:$G$170="acoes"))*Inputs!$B$1+((Inputs!$G$5:$G$170&lt;&gt;"moeda")*(Inputs!$G$5:$G$170&lt;&gt;"acoes")))*INDEX(Inputs!$K$5:$AJ$170,0,MATCH(AK$2,Inputs!$K$4:$AJ$4,0)))+SUMPRODUCT((Inputs!$C$5:$C$170=$B66)*Inputs!$D$5:$D$170*(((Inputs!$G$5:$G$170="moeda")+(Inputs!$G$5:$G$170="acoes"))*Inputs!$B$1+((Inputs!$G$5:$G$170&lt;&gt;"moeda")*(Inputs!$G$5:$G$170&lt;&gt;"acoes")))*INDEX(Inputs!$K$5:$AJ$170,0,MATCH(AK$2,Inputs!$K$4:$AJ$4,0)))+SUMPRODUCT((Inputs!$E$5:$E$170=$B66)*Inputs!$F$5:$F$170*(((Inputs!$G$5:$G$170="moeda")+(Inputs!$G$5:$G$170="acoes"))*Inputs!$B$1+((Inputs!$G$5:$G$170&lt;&gt;"moeda")*(Inputs!$G$5:$G$170&lt;&gt;"acoes")))*INDEX(Inputs!$K$5:$AJ$170,0,MATCH(AK$2,Inputs!$K$4:$AJ$4,0)))))</f>
        <v>2113.944</v>
      </c>
      <c r="AL66" s="267" t="n"/>
    </row>
    <row r="67">
      <c r="B67" s="46" t="n">
        <v>59</v>
      </c>
      <c r="C67" s="29" t="inlineStr">
        <is>
          <t>GTF - frota no final do periodo (carros; Op Data l.20)</t>
        </is>
      </c>
      <c r="D67" s="266">
        <f>IF(ISNA(MATCH(D$2,Inputs!$K$4:$AJ$4,0)),NA(),IF(SUMPRODUCT((Inputs!$A$5:$A$170=$B67)*ISNUMBER(INDEX(Inputs!$K$5:$AJ$170,0,MATCH(D$2,Inputs!$K$4:$AJ$4,0))))+SUMPRODUCT((Inputs!$C$5:$C$170=$B67)*ISNUMBER(INDEX(Inputs!$K$5:$AJ$170,0,MATCH(D$2,Inputs!$K$4:$AJ$4,0))))+SUMPRODUCT((Inputs!$E$5:$E$170=$B67)*ISNUMBER(INDEX(Inputs!$K$5:$AJ$170,0,MATCH(D$2,Inputs!$K$4:$AJ$4,0))))=0,NA(),SUMPRODUCT((Inputs!$A$5:$A$170=$B67)*Inputs!$B$5:$B$170*(((Inputs!$G$5:$G$170="moeda")+(Inputs!$G$5:$G$170="acoes"))*Inputs!$B$1+((Inputs!$G$5:$G$170&lt;&gt;"moeda")*(Inputs!$G$5:$G$170&lt;&gt;"acoes")))*INDEX(Inputs!$K$5:$AJ$170,0,MATCH(D$2,Inputs!$K$4:$AJ$4,0)))+SUMPRODUCT((Inputs!$C$5:$C$170=$B67)*Inputs!$D$5:$D$170*(((Inputs!$G$5:$G$170="moeda")+(Inputs!$G$5:$G$170="acoes"))*Inputs!$B$1+((Inputs!$G$5:$G$170&lt;&gt;"moeda")*(Inputs!$G$5:$G$170&lt;&gt;"acoes")))*INDEX(Inputs!$K$5:$AJ$170,0,MATCH(D$2,Inputs!$K$4:$AJ$4,0)))+SUMPRODUCT((Inputs!$E$5:$E$170=$B67)*Inputs!$F$5:$F$170*(((Inputs!$G$5:$G$170="moeda")+(Inputs!$G$5:$G$170="acoes"))*Inputs!$B$1+((Inputs!$G$5:$G$170&lt;&gt;"moeda")*(Inputs!$G$5:$G$170&lt;&gt;"acoes")))*INDEX(Inputs!$K$5:$AJ$170,0,MATCH(D$2,Inputs!$K$4:$AJ$4,0)))))</f>
        <v>52395</v>
      </c>
      <c r="E67" s="266">
        <f>IF(ISNA(MATCH(E$2,Inputs!$K$4:$AJ$4,0)),NA(),IF(SUMPRODUCT((Inputs!$A$5:$A$170=$B67)*ISNUMBER(INDEX(Inputs!$K$5:$AJ$170,0,MATCH(E$2,Inputs!$K$4:$AJ$4,0))))+SUMPRODUCT((Inputs!$C$5:$C$170=$B67)*ISNUMBER(INDEX(Inputs!$K$5:$AJ$170,0,MATCH(E$2,Inputs!$K$4:$AJ$4,0))))+SUMPRODUCT((Inputs!$E$5:$E$170=$B67)*ISNUMBER(INDEX(Inputs!$K$5:$AJ$170,0,MATCH(E$2,Inputs!$K$4:$AJ$4,0))))=0,NA(),SUMPRODUCT((Inputs!$A$5:$A$170=$B67)*Inputs!$B$5:$B$170*(((Inputs!$G$5:$G$170="moeda")+(Inputs!$G$5:$G$170="acoes"))*Inputs!$B$1+((Inputs!$G$5:$G$170&lt;&gt;"moeda")*(Inputs!$G$5:$G$170&lt;&gt;"acoes")))*INDEX(Inputs!$K$5:$AJ$170,0,MATCH(E$2,Inputs!$K$4:$AJ$4,0)))+SUMPRODUCT((Inputs!$C$5:$C$170=$B67)*Inputs!$D$5:$D$170*(((Inputs!$G$5:$G$170="moeda")+(Inputs!$G$5:$G$170="acoes"))*Inputs!$B$1+((Inputs!$G$5:$G$170&lt;&gt;"moeda")*(Inputs!$G$5:$G$170&lt;&gt;"acoes")))*INDEX(Inputs!$K$5:$AJ$170,0,MATCH(E$2,Inputs!$K$4:$AJ$4,0)))+SUMPRODUCT((Inputs!$E$5:$E$170=$B67)*Inputs!$F$5:$F$170*(((Inputs!$G$5:$G$170="moeda")+(Inputs!$G$5:$G$170="acoes"))*Inputs!$B$1+((Inputs!$G$5:$G$170&lt;&gt;"moeda")*(Inputs!$G$5:$G$170&lt;&gt;"acoes")))*INDEX(Inputs!$K$5:$AJ$170,0,MATCH(E$2,Inputs!$K$4:$AJ$4,0)))))</f>
        <v>55776</v>
      </c>
      <c r="F67" s="266">
        <f>IF(ISNA(MATCH(F$2,Inputs!$K$4:$AJ$4,0)),NA(),IF(SUMPRODUCT((Inputs!$A$5:$A$170=$B67)*ISNUMBER(INDEX(Inputs!$K$5:$AJ$170,0,MATCH(F$2,Inputs!$K$4:$AJ$4,0))))+SUMPRODUCT((Inputs!$C$5:$C$170=$B67)*ISNUMBER(INDEX(Inputs!$K$5:$AJ$170,0,MATCH(F$2,Inputs!$K$4:$AJ$4,0))))+SUMPRODUCT((Inputs!$E$5:$E$170=$B67)*ISNUMBER(INDEX(Inputs!$K$5:$AJ$170,0,MATCH(F$2,Inputs!$K$4:$AJ$4,0))))=0,NA(),SUMPRODUCT((Inputs!$A$5:$A$170=$B67)*Inputs!$B$5:$B$170*(((Inputs!$G$5:$G$170="moeda")+(Inputs!$G$5:$G$170="acoes"))*Inputs!$B$1+((Inputs!$G$5:$G$170&lt;&gt;"moeda")*(Inputs!$G$5:$G$170&lt;&gt;"acoes")))*INDEX(Inputs!$K$5:$AJ$170,0,MATCH(F$2,Inputs!$K$4:$AJ$4,0)))+SUMPRODUCT((Inputs!$C$5:$C$170=$B67)*Inputs!$D$5:$D$170*(((Inputs!$G$5:$G$170="moeda")+(Inputs!$G$5:$G$170="acoes"))*Inputs!$B$1+((Inputs!$G$5:$G$170&lt;&gt;"moeda")*(Inputs!$G$5:$G$170&lt;&gt;"acoes")))*INDEX(Inputs!$K$5:$AJ$170,0,MATCH(F$2,Inputs!$K$4:$AJ$4,0)))+SUMPRODUCT((Inputs!$E$5:$E$170=$B67)*Inputs!$F$5:$F$170*(((Inputs!$G$5:$G$170="moeda")+(Inputs!$G$5:$G$170="acoes"))*Inputs!$B$1+((Inputs!$G$5:$G$170&lt;&gt;"moeda")*(Inputs!$G$5:$G$170&lt;&gt;"acoes")))*INDEX(Inputs!$K$5:$AJ$170,0,MATCH(F$2,Inputs!$K$4:$AJ$4,0)))))</f>
        <v>88379</v>
      </c>
      <c r="G67" s="266">
        <f>IF(ISNA(MATCH(G$2,Inputs!$K$4:$AJ$4,0)),NA(),IF(SUMPRODUCT((Inputs!$A$5:$A$170=$B67)*ISNUMBER(INDEX(Inputs!$K$5:$AJ$170,0,MATCH(G$2,Inputs!$K$4:$AJ$4,0))))+SUMPRODUCT((Inputs!$C$5:$C$170=$B67)*ISNUMBER(INDEX(Inputs!$K$5:$AJ$170,0,MATCH(G$2,Inputs!$K$4:$AJ$4,0))))+SUMPRODUCT((Inputs!$E$5:$E$170=$B67)*ISNUMBER(INDEX(Inputs!$K$5:$AJ$170,0,MATCH(G$2,Inputs!$K$4:$AJ$4,0))))=0,NA(),SUMPRODUCT((Inputs!$A$5:$A$170=$B67)*Inputs!$B$5:$B$170*(((Inputs!$G$5:$G$170="moeda")+(Inputs!$G$5:$G$170="acoes"))*Inputs!$B$1+((Inputs!$G$5:$G$170&lt;&gt;"moeda")*(Inputs!$G$5:$G$170&lt;&gt;"acoes")))*INDEX(Inputs!$K$5:$AJ$170,0,MATCH(G$2,Inputs!$K$4:$AJ$4,0)))+SUMPRODUCT((Inputs!$C$5:$C$170=$B67)*Inputs!$D$5:$D$170*(((Inputs!$G$5:$G$170="moeda")+(Inputs!$G$5:$G$170="acoes"))*Inputs!$B$1+((Inputs!$G$5:$G$170&lt;&gt;"moeda")*(Inputs!$G$5:$G$170&lt;&gt;"acoes")))*INDEX(Inputs!$K$5:$AJ$170,0,MATCH(G$2,Inputs!$K$4:$AJ$4,0)))+SUMPRODUCT((Inputs!$E$5:$E$170=$B67)*Inputs!$F$5:$F$170*(((Inputs!$G$5:$G$170="moeda")+(Inputs!$G$5:$G$170="acoes"))*Inputs!$B$1+((Inputs!$G$5:$G$170&lt;&gt;"moeda")*(Inputs!$G$5:$G$170&lt;&gt;"acoes")))*INDEX(Inputs!$K$5:$AJ$170,0,MATCH(G$2,Inputs!$K$4:$AJ$4,0)))))</f>
        <v>96303</v>
      </c>
      <c r="H67" s="267">
        <f>G67</f>
        <v>96303</v>
      </c>
      <c r="I67" s="266">
        <f>IF(ISNA(MATCH(I$2,Inputs!$K$4:$AJ$4,0)),NA(),IF(SUMPRODUCT((Inputs!$A$5:$A$170=$B67)*ISNUMBER(INDEX(Inputs!$K$5:$AJ$170,0,MATCH(I$2,Inputs!$K$4:$AJ$4,0))))+SUMPRODUCT((Inputs!$C$5:$C$170=$B67)*ISNUMBER(INDEX(Inputs!$K$5:$AJ$170,0,MATCH(I$2,Inputs!$K$4:$AJ$4,0))))+SUMPRODUCT((Inputs!$E$5:$E$170=$B67)*ISNUMBER(INDEX(Inputs!$K$5:$AJ$170,0,MATCH(I$2,Inputs!$K$4:$AJ$4,0))))=0,NA(),SUMPRODUCT((Inputs!$A$5:$A$170=$B67)*Inputs!$B$5:$B$170*(((Inputs!$G$5:$G$170="moeda")+(Inputs!$G$5:$G$170="acoes"))*Inputs!$B$1+((Inputs!$G$5:$G$170&lt;&gt;"moeda")*(Inputs!$G$5:$G$170&lt;&gt;"acoes")))*INDEX(Inputs!$K$5:$AJ$170,0,MATCH(I$2,Inputs!$K$4:$AJ$4,0)))+SUMPRODUCT((Inputs!$C$5:$C$170=$B67)*Inputs!$D$5:$D$170*(((Inputs!$G$5:$G$170="moeda")+(Inputs!$G$5:$G$170="acoes"))*Inputs!$B$1+((Inputs!$G$5:$G$170&lt;&gt;"moeda")*(Inputs!$G$5:$G$170&lt;&gt;"acoes")))*INDEX(Inputs!$K$5:$AJ$170,0,MATCH(I$2,Inputs!$K$4:$AJ$4,0)))+SUMPRODUCT((Inputs!$E$5:$E$170=$B67)*Inputs!$F$5:$F$170*(((Inputs!$G$5:$G$170="moeda")+(Inputs!$G$5:$G$170="acoes"))*Inputs!$B$1+((Inputs!$G$5:$G$170&lt;&gt;"moeda")*(Inputs!$G$5:$G$170&lt;&gt;"acoes")))*INDEX(Inputs!$K$5:$AJ$170,0,MATCH(I$2,Inputs!$K$4:$AJ$4,0)))))</f>
        <v>95370</v>
      </c>
      <c r="J67" s="266">
        <f>IF(ISNA(MATCH(J$2,Inputs!$K$4:$AJ$4,0)),NA(),IF(SUMPRODUCT((Inputs!$A$5:$A$170=$B67)*ISNUMBER(INDEX(Inputs!$K$5:$AJ$170,0,MATCH(J$2,Inputs!$K$4:$AJ$4,0))))+SUMPRODUCT((Inputs!$C$5:$C$170=$B67)*ISNUMBER(INDEX(Inputs!$K$5:$AJ$170,0,MATCH(J$2,Inputs!$K$4:$AJ$4,0))))+SUMPRODUCT((Inputs!$E$5:$E$170=$B67)*ISNUMBER(INDEX(Inputs!$K$5:$AJ$170,0,MATCH(J$2,Inputs!$K$4:$AJ$4,0))))=0,NA(),SUMPRODUCT((Inputs!$A$5:$A$170=$B67)*Inputs!$B$5:$B$170*(((Inputs!$G$5:$G$170="moeda")+(Inputs!$G$5:$G$170="acoes"))*Inputs!$B$1+((Inputs!$G$5:$G$170&lt;&gt;"moeda")*(Inputs!$G$5:$G$170&lt;&gt;"acoes")))*INDEX(Inputs!$K$5:$AJ$170,0,MATCH(J$2,Inputs!$K$4:$AJ$4,0)))+SUMPRODUCT((Inputs!$C$5:$C$170=$B67)*Inputs!$D$5:$D$170*(((Inputs!$G$5:$G$170="moeda")+(Inputs!$G$5:$G$170="acoes"))*Inputs!$B$1+((Inputs!$G$5:$G$170&lt;&gt;"moeda")*(Inputs!$G$5:$G$170&lt;&gt;"acoes")))*INDEX(Inputs!$K$5:$AJ$170,0,MATCH(J$2,Inputs!$K$4:$AJ$4,0)))+SUMPRODUCT((Inputs!$E$5:$E$170=$B67)*Inputs!$F$5:$F$170*(((Inputs!$G$5:$G$170="moeda")+(Inputs!$G$5:$G$170="acoes"))*Inputs!$B$1+((Inputs!$G$5:$G$170&lt;&gt;"moeda")*(Inputs!$G$5:$G$170&lt;&gt;"acoes")))*INDEX(Inputs!$K$5:$AJ$170,0,MATCH(J$2,Inputs!$K$4:$AJ$4,0)))))</f>
        <v>106498</v>
      </c>
      <c r="K67" s="266">
        <f>IF(ISNA(MATCH(K$2,Inputs!$K$4:$AJ$4,0)),NA(),IF(SUMPRODUCT((Inputs!$A$5:$A$170=$B67)*ISNUMBER(INDEX(Inputs!$K$5:$AJ$170,0,MATCH(K$2,Inputs!$K$4:$AJ$4,0))))+SUMPRODUCT((Inputs!$C$5:$C$170=$B67)*ISNUMBER(INDEX(Inputs!$K$5:$AJ$170,0,MATCH(K$2,Inputs!$K$4:$AJ$4,0))))+SUMPRODUCT((Inputs!$E$5:$E$170=$B67)*ISNUMBER(INDEX(Inputs!$K$5:$AJ$170,0,MATCH(K$2,Inputs!$K$4:$AJ$4,0))))=0,NA(),SUMPRODUCT((Inputs!$A$5:$A$170=$B67)*Inputs!$B$5:$B$170*(((Inputs!$G$5:$G$170="moeda")+(Inputs!$G$5:$G$170="acoes"))*Inputs!$B$1+((Inputs!$G$5:$G$170&lt;&gt;"moeda")*(Inputs!$G$5:$G$170&lt;&gt;"acoes")))*INDEX(Inputs!$K$5:$AJ$170,0,MATCH(K$2,Inputs!$K$4:$AJ$4,0)))+SUMPRODUCT((Inputs!$C$5:$C$170=$B67)*Inputs!$D$5:$D$170*(((Inputs!$G$5:$G$170="moeda")+(Inputs!$G$5:$G$170="acoes"))*Inputs!$B$1+((Inputs!$G$5:$G$170&lt;&gt;"moeda")*(Inputs!$G$5:$G$170&lt;&gt;"acoes")))*INDEX(Inputs!$K$5:$AJ$170,0,MATCH(K$2,Inputs!$K$4:$AJ$4,0)))+SUMPRODUCT((Inputs!$E$5:$E$170=$B67)*Inputs!$F$5:$F$170*(((Inputs!$G$5:$G$170="moeda")+(Inputs!$G$5:$G$170="acoes"))*Inputs!$B$1+((Inputs!$G$5:$G$170&lt;&gt;"moeda")*(Inputs!$G$5:$G$170&lt;&gt;"acoes")))*INDEX(Inputs!$K$5:$AJ$170,0,MATCH(K$2,Inputs!$K$4:$AJ$4,0)))))</f>
        <v>107728</v>
      </c>
      <c r="L67" s="266">
        <f>IF(ISNA(MATCH(L$2,Inputs!$K$4:$AJ$4,0)),NA(),IF(SUMPRODUCT((Inputs!$A$5:$A$170=$B67)*ISNUMBER(INDEX(Inputs!$K$5:$AJ$170,0,MATCH(L$2,Inputs!$K$4:$AJ$4,0))))+SUMPRODUCT((Inputs!$C$5:$C$170=$B67)*ISNUMBER(INDEX(Inputs!$K$5:$AJ$170,0,MATCH(L$2,Inputs!$K$4:$AJ$4,0))))+SUMPRODUCT((Inputs!$E$5:$E$170=$B67)*ISNUMBER(INDEX(Inputs!$K$5:$AJ$170,0,MATCH(L$2,Inputs!$K$4:$AJ$4,0))))=0,NA(),SUMPRODUCT((Inputs!$A$5:$A$170=$B67)*Inputs!$B$5:$B$170*(((Inputs!$G$5:$G$170="moeda")+(Inputs!$G$5:$G$170="acoes"))*Inputs!$B$1+((Inputs!$G$5:$G$170&lt;&gt;"moeda")*(Inputs!$G$5:$G$170&lt;&gt;"acoes")))*INDEX(Inputs!$K$5:$AJ$170,0,MATCH(L$2,Inputs!$K$4:$AJ$4,0)))+SUMPRODUCT((Inputs!$C$5:$C$170=$B67)*Inputs!$D$5:$D$170*(((Inputs!$G$5:$G$170="moeda")+(Inputs!$G$5:$G$170="acoes"))*Inputs!$B$1+((Inputs!$G$5:$G$170&lt;&gt;"moeda")*(Inputs!$G$5:$G$170&lt;&gt;"acoes")))*INDEX(Inputs!$K$5:$AJ$170,0,MATCH(L$2,Inputs!$K$4:$AJ$4,0)))+SUMPRODUCT((Inputs!$E$5:$E$170=$B67)*Inputs!$F$5:$F$170*(((Inputs!$G$5:$G$170="moeda")+(Inputs!$G$5:$G$170="acoes"))*Inputs!$B$1+((Inputs!$G$5:$G$170&lt;&gt;"moeda")*(Inputs!$G$5:$G$170&lt;&gt;"acoes")))*INDEX(Inputs!$K$5:$AJ$170,0,MATCH(L$2,Inputs!$K$4:$AJ$4,0)))))</f>
        <v>112352</v>
      </c>
      <c r="M67" s="267">
        <f>L67</f>
        <v>112352</v>
      </c>
      <c r="N67" s="266">
        <f>IF(ISNA(MATCH(N$2,Inputs!$K$4:$AJ$4,0)),NA(),IF(SUMPRODUCT((Inputs!$A$5:$A$170=$B67)*ISNUMBER(INDEX(Inputs!$K$5:$AJ$170,0,MATCH(N$2,Inputs!$K$4:$AJ$4,0))))+SUMPRODUCT((Inputs!$C$5:$C$170=$B67)*ISNUMBER(INDEX(Inputs!$K$5:$AJ$170,0,MATCH(N$2,Inputs!$K$4:$AJ$4,0))))+SUMPRODUCT((Inputs!$E$5:$E$170=$B67)*ISNUMBER(INDEX(Inputs!$K$5:$AJ$170,0,MATCH(N$2,Inputs!$K$4:$AJ$4,0))))=0,NA(),SUMPRODUCT((Inputs!$A$5:$A$170=$B67)*Inputs!$B$5:$B$170*(((Inputs!$G$5:$G$170="moeda")+(Inputs!$G$5:$G$170="acoes"))*Inputs!$B$1+((Inputs!$G$5:$G$170&lt;&gt;"moeda")*(Inputs!$G$5:$G$170&lt;&gt;"acoes")))*INDEX(Inputs!$K$5:$AJ$170,0,MATCH(N$2,Inputs!$K$4:$AJ$4,0)))+SUMPRODUCT((Inputs!$C$5:$C$170=$B67)*Inputs!$D$5:$D$170*(((Inputs!$G$5:$G$170="moeda")+(Inputs!$G$5:$G$170="acoes"))*Inputs!$B$1+((Inputs!$G$5:$G$170&lt;&gt;"moeda")*(Inputs!$G$5:$G$170&lt;&gt;"acoes")))*INDEX(Inputs!$K$5:$AJ$170,0,MATCH(N$2,Inputs!$K$4:$AJ$4,0)))+SUMPRODUCT((Inputs!$E$5:$E$170=$B67)*Inputs!$F$5:$F$170*(((Inputs!$G$5:$G$170="moeda")+(Inputs!$G$5:$G$170="acoes"))*Inputs!$B$1+((Inputs!$G$5:$G$170&lt;&gt;"moeda")*(Inputs!$G$5:$G$170&lt;&gt;"acoes")))*INDEX(Inputs!$K$5:$AJ$170,0,MATCH(N$2,Inputs!$K$4:$AJ$4,0)))))</f>
        <v>114617</v>
      </c>
      <c r="O67" s="266">
        <f>IF(ISNA(MATCH(O$2,Inputs!$K$4:$AJ$4,0)),NA(),IF(SUMPRODUCT((Inputs!$A$5:$A$170=$B67)*ISNUMBER(INDEX(Inputs!$K$5:$AJ$170,0,MATCH(O$2,Inputs!$K$4:$AJ$4,0))))+SUMPRODUCT((Inputs!$C$5:$C$170=$B67)*ISNUMBER(INDEX(Inputs!$K$5:$AJ$170,0,MATCH(O$2,Inputs!$K$4:$AJ$4,0))))+SUMPRODUCT((Inputs!$E$5:$E$170=$B67)*ISNUMBER(INDEX(Inputs!$K$5:$AJ$170,0,MATCH(O$2,Inputs!$K$4:$AJ$4,0))))=0,NA(),SUMPRODUCT((Inputs!$A$5:$A$170=$B67)*Inputs!$B$5:$B$170*(((Inputs!$G$5:$G$170="moeda")+(Inputs!$G$5:$G$170="acoes"))*Inputs!$B$1+((Inputs!$G$5:$G$170&lt;&gt;"moeda")*(Inputs!$G$5:$G$170&lt;&gt;"acoes")))*INDEX(Inputs!$K$5:$AJ$170,0,MATCH(O$2,Inputs!$K$4:$AJ$4,0)))+SUMPRODUCT((Inputs!$C$5:$C$170=$B67)*Inputs!$D$5:$D$170*(((Inputs!$G$5:$G$170="moeda")+(Inputs!$G$5:$G$170="acoes"))*Inputs!$B$1+((Inputs!$G$5:$G$170&lt;&gt;"moeda")*(Inputs!$G$5:$G$170&lt;&gt;"acoes")))*INDEX(Inputs!$K$5:$AJ$170,0,MATCH(O$2,Inputs!$K$4:$AJ$4,0)))+SUMPRODUCT((Inputs!$E$5:$E$170=$B67)*Inputs!$F$5:$F$170*(((Inputs!$G$5:$G$170="moeda")+(Inputs!$G$5:$G$170="acoes"))*Inputs!$B$1+((Inputs!$G$5:$G$170&lt;&gt;"moeda")*(Inputs!$G$5:$G$170&lt;&gt;"acoes")))*INDEX(Inputs!$K$5:$AJ$170,0,MATCH(O$2,Inputs!$K$4:$AJ$4,0)))))</f>
        <v>113678</v>
      </c>
      <c r="P67" s="266">
        <f>IF(ISNA(MATCH(P$2,Inputs!$K$4:$AJ$4,0)),NA(),IF(SUMPRODUCT((Inputs!$A$5:$A$170=$B67)*ISNUMBER(INDEX(Inputs!$K$5:$AJ$170,0,MATCH(P$2,Inputs!$K$4:$AJ$4,0))))+SUMPRODUCT((Inputs!$C$5:$C$170=$B67)*ISNUMBER(INDEX(Inputs!$K$5:$AJ$170,0,MATCH(P$2,Inputs!$K$4:$AJ$4,0))))+SUMPRODUCT((Inputs!$E$5:$E$170=$B67)*ISNUMBER(INDEX(Inputs!$K$5:$AJ$170,0,MATCH(P$2,Inputs!$K$4:$AJ$4,0))))=0,NA(),SUMPRODUCT((Inputs!$A$5:$A$170=$B67)*Inputs!$B$5:$B$170*(((Inputs!$G$5:$G$170="moeda")+(Inputs!$G$5:$G$170="acoes"))*Inputs!$B$1+((Inputs!$G$5:$G$170&lt;&gt;"moeda")*(Inputs!$G$5:$G$170&lt;&gt;"acoes")))*INDEX(Inputs!$K$5:$AJ$170,0,MATCH(P$2,Inputs!$K$4:$AJ$4,0)))+SUMPRODUCT((Inputs!$C$5:$C$170=$B67)*Inputs!$D$5:$D$170*(((Inputs!$G$5:$G$170="moeda")+(Inputs!$G$5:$G$170="acoes"))*Inputs!$B$1+((Inputs!$G$5:$G$170&lt;&gt;"moeda")*(Inputs!$G$5:$G$170&lt;&gt;"acoes")))*INDEX(Inputs!$K$5:$AJ$170,0,MATCH(P$2,Inputs!$K$4:$AJ$4,0)))+SUMPRODUCT((Inputs!$E$5:$E$170=$B67)*Inputs!$F$5:$F$170*(((Inputs!$G$5:$G$170="moeda")+(Inputs!$G$5:$G$170="acoes"))*Inputs!$B$1+((Inputs!$G$5:$G$170&lt;&gt;"moeda")*(Inputs!$G$5:$G$170&lt;&gt;"acoes")))*INDEX(Inputs!$K$5:$AJ$170,0,MATCH(P$2,Inputs!$K$4:$AJ$4,0)))))</f>
        <v>119574</v>
      </c>
      <c r="Q67" s="266">
        <f>IF(ISNA(MATCH(Q$2,Inputs!$K$4:$AJ$4,0)),NA(),IF(SUMPRODUCT((Inputs!$A$5:$A$170=$B67)*ISNUMBER(INDEX(Inputs!$K$5:$AJ$170,0,MATCH(Q$2,Inputs!$K$4:$AJ$4,0))))+SUMPRODUCT((Inputs!$C$5:$C$170=$B67)*ISNUMBER(INDEX(Inputs!$K$5:$AJ$170,0,MATCH(Q$2,Inputs!$K$4:$AJ$4,0))))+SUMPRODUCT((Inputs!$E$5:$E$170=$B67)*ISNUMBER(INDEX(Inputs!$K$5:$AJ$170,0,MATCH(Q$2,Inputs!$K$4:$AJ$4,0))))=0,NA(),SUMPRODUCT((Inputs!$A$5:$A$170=$B67)*Inputs!$B$5:$B$170*(((Inputs!$G$5:$G$170="moeda")+(Inputs!$G$5:$G$170="acoes"))*Inputs!$B$1+((Inputs!$G$5:$G$170&lt;&gt;"moeda")*(Inputs!$G$5:$G$170&lt;&gt;"acoes")))*INDEX(Inputs!$K$5:$AJ$170,0,MATCH(Q$2,Inputs!$K$4:$AJ$4,0)))+SUMPRODUCT((Inputs!$C$5:$C$170=$B67)*Inputs!$D$5:$D$170*(((Inputs!$G$5:$G$170="moeda")+(Inputs!$G$5:$G$170="acoes"))*Inputs!$B$1+((Inputs!$G$5:$G$170&lt;&gt;"moeda")*(Inputs!$G$5:$G$170&lt;&gt;"acoes")))*INDEX(Inputs!$K$5:$AJ$170,0,MATCH(Q$2,Inputs!$K$4:$AJ$4,0)))+SUMPRODUCT((Inputs!$E$5:$E$170=$B67)*Inputs!$F$5:$F$170*(((Inputs!$G$5:$G$170="moeda")+(Inputs!$G$5:$G$170="acoes"))*Inputs!$B$1+((Inputs!$G$5:$G$170&lt;&gt;"moeda")*(Inputs!$G$5:$G$170&lt;&gt;"acoes")))*INDEX(Inputs!$K$5:$AJ$170,0,MATCH(Q$2,Inputs!$K$4:$AJ$4,0)))))</f>
        <v>130781</v>
      </c>
      <c r="R67" s="267">
        <f>Q67</f>
        <v>130781</v>
      </c>
      <c r="S67" s="266">
        <f>IF(ISNA(MATCH(S$2,Inputs!$K$4:$AJ$4,0)),NA(),IF(SUMPRODUCT((Inputs!$A$5:$A$170=$B67)*ISNUMBER(INDEX(Inputs!$K$5:$AJ$170,0,MATCH(S$2,Inputs!$K$4:$AJ$4,0))))+SUMPRODUCT((Inputs!$C$5:$C$170=$B67)*ISNUMBER(INDEX(Inputs!$K$5:$AJ$170,0,MATCH(S$2,Inputs!$K$4:$AJ$4,0))))+SUMPRODUCT((Inputs!$E$5:$E$170=$B67)*ISNUMBER(INDEX(Inputs!$K$5:$AJ$170,0,MATCH(S$2,Inputs!$K$4:$AJ$4,0))))=0,NA(),SUMPRODUCT((Inputs!$A$5:$A$170=$B67)*Inputs!$B$5:$B$170*(((Inputs!$G$5:$G$170="moeda")+(Inputs!$G$5:$G$170="acoes"))*Inputs!$B$1+((Inputs!$G$5:$G$170&lt;&gt;"moeda")*(Inputs!$G$5:$G$170&lt;&gt;"acoes")))*INDEX(Inputs!$K$5:$AJ$170,0,MATCH(S$2,Inputs!$K$4:$AJ$4,0)))+SUMPRODUCT((Inputs!$C$5:$C$170=$B67)*Inputs!$D$5:$D$170*(((Inputs!$G$5:$G$170="moeda")+(Inputs!$G$5:$G$170="acoes"))*Inputs!$B$1+((Inputs!$G$5:$G$170&lt;&gt;"moeda")*(Inputs!$G$5:$G$170&lt;&gt;"acoes")))*INDEX(Inputs!$K$5:$AJ$170,0,MATCH(S$2,Inputs!$K$4:$AJ$4,0)))+SUMPRODUCT((Inputs!$E$5:$E$170=$B67)*Inputs!$F$5:$F$170*(((Inputs!$G$5:$G$170="moeda")+(Inputs!$G$5:$G$170="acoes"))*Inputs!$B$1+((Inputs!$G$5:$G$170&lt;&gt;"moeda")*(Inputs!$G$5:$G$170&lt;&gt;"acoes")))*INDEX(Inputs!$K$5:$AJ$170,0,MATCH(S$2,Inputs!$K$4:$AJ$4,0)))))</f>
        <v>135628</v>
      </c>
      <c r="T67" s="266">
        <f>IF(ISNA(MATCH(T$2,Inputs!$K$4:$AJ$4,0)),NA(),IF(SUMPRODUCT((Inputs!$A$5:$A$170=$B67)*ISNUMBER(INDEX(Inputs!$K$5:$AJ$170,0,MATCH(T$2,Inputs!$K$4:$AJ$4,0))))+SUMPRODUCT((Inputs!$C$5:$C$170=$B67)*ISNUMBER(INDEX(Inputs!$K$5:$AJ$170,0,MATCH(T$2,Inputs!$K$4:$AJ$4,0))))+SUMPRODUCT((Inputs!$E$5:$E$170=$B67)*ISNUMBER(INDEX(Inputs!$K$5:$AJ$170,0,MATCH(T$2,Inputs!$K$4:$AJ$4,0))))=0,NA(),SUMPRODUCT((Inputs!$A$5:$A$170=$B67)*Inputs!$B$5:$B$170*(((Inputs!$G$5:$G$170="moeda")+(Inputs!$G$5:$G$170="acoes"))*Inputs!$B$1+((Inputs!$G$5:$G$170&lt;&gt;"moeda")*(Inputs!$G$5:$G$170&lt;&gt;"acoes")))*INDEX(Inputs!$K$5:$AJ$170,0,MATCH(T$2,Inputs!$K$4:$AJ$4,0)))+SUMPRODUCT((Inputs!$C$5:$C$170=$B67)*Inputs!$D$5:$D$170*(((Inputs!$G$5:$G$170="moeda")+(Inputs!$G$5:$G$170="acoes"))*Inputs!$B$1+((Inputs!$G$5:$G$170&lt;&gt;"moeda")*(Inputs!$G$5:$G$170&lt;&gt;"acoes")))*INDEX(Inputs!$K$5:$AJ$170,0,MATCH(T$2,Inputs!$K$4:$AJ$4,0)))+SUMPRODUCT((Inputs!$E$5:$E$170=$B67)*Inputs!$F$5:$F$170*(((Inputs!$G$5:$G$170="moeda")+(Inputs!$G$5:$G$170="acoes"))*Inputs!$B$1+((Inputs!$G$5:$G$170&lt;&gt;"moeda")*(Inputs!$G$5:$G$170&lt;&gt;"acoes")))*INDEX(Inputs!$K$5:$AJ$170,0,MATCH(T$2,Inputs!$K$4:$AJ$4,0)))))</f>
        <v>137648</v>
      </c>
      <c r="U67" s="266">
        <f>IF(ISNA(MATCH(U$2,Inputs!$K$4:$AJ$4,0)),NA(),IF(SUMPRODUCT((Inputs!$A$5:$A$170=$B67)*ISNUMBER(INDEX(Inputs!$K$5:$AJ$170,0,MATCH(U$2,Inputs!$K$4:$AJ$4,0))))+SUMPRODUCT((Inputs!$C$5:$C$170=$B67)*ISNUMBER(INDEX(Inputs!$K$5:$AJ$170,0,MATCH(U$2,Inputs!$K$4:$AJ$4,0))))+SUMPRODUCT((Inputs!$E$5:$E$170=$B67)*ISNUMBER(INDEX(Inputs!$K$5:$AJ$170,0,MATCH(U$2,Inputs!$K$4:$AJ$4,0))))=0,NA(),SUMPRODUCT((Inputs!$A$5:$A$170=$B67)*Inputs!$B$5:$B$170*(((Inputs!$G$5:$G$170="moeda")+(Inputs!$G$5:$G$170="acoes"))*Inputs!$B$1+((Inputs!$G$5:$G$170&lt;&gt;"moeda")*(Inputs!$G$5:$G$170&lt;&gt;"acoes")))*INDEX(Inputs!$K$5:$AJ$170,0,MATCH(U$2,Inputs!$K$4:$AJ$4,0)))+SUMPRODUCT((Inputs!$C$5:$C$170=$B67)*Inputs!$D$5:$D$170*(((Inputs!$G$5:$G$170="moeda")+(Inputs!$G$5:$G$170="acoes"))*Inputs!$B$1+((Inputs!$G$5:$G$170&lt;&gt;"moeda")*(Inputs!$G$5:$G$170&lt;&gt;"acoes")))*INDEX(Inputs!$K$5:$AJ$170,0,MATCH(U$2,Inputs!$K$4:$AJ$4,0)))+SUMPRODUCT((Inputs!$E$5:$E$170=$B67)*Inputs!$F$5:$F$170*(((Inputs!$G$5:$G$170="moeda")+(Inputs!$G$5:$G$170="acoes"))*Inputs!$B$1+((Inputs!$G$5:$G$170&lt;&gt;"moeda")*(Inputs!$G$5:$G$170&lt;&gt;"acoes")))*INDEX(Inputs!$K$5:$AJ$170,0,MATCH(U$2,Inputs!$K$4:$AJ$4,0)))))</f>
        <v>137405</v>
      </c>
      <c r="V67" s="266">
        <f>IF(ISNA(MATCH(V$2,Inputs!$K$4:$AJ$4,0)),NA(),IF(SUMPRODUCT((Inputs!$A$5:$A$170=$B67)*ISNUMBER(INDEX(Inputs!$K$5:$AJ$170,0,MATCH(V$2,Inputs!$K$4:$AJ$4,0))))+SUMPRODUCT((Inputs!$C$5:$C$170=$B67)*ISNUMBER(INDEX(Inputs!$K$5:$AJ$170,0,MATCH(V$2,Inputs!$K$4:$AJ$4,0))))+SUMPRODUCT((Inputs!$E$5:$E$170=$B67)*ISNUMBER(INDEX(Inputs!$K$5:$AJ$170,0,MATCH(V$2,Inputs!$K$4:$AJ$4,0))))=0,NA(),SUMPRODUCT((Inputs!$A$5:$A$170=$B67)*Inputs!$B$5:$B$170*(((Inputs!$G$5:$G$170="moeda")+(Inputs!$G$5:$G$170="acoes"))*Inputs!$B$1+((Inputs!$G$5:$G$170&lt;&gt;"moeda")*(Inputs!$G$5:$G$170&lt;&gt;"acoes")))*INDEX(Inputs!$K$5:$AJ$170,0,MATCH(V$2,Inputs!$K$4:$AJ$4,0)))+SUMPRODUCT((Inputs!$C$5:$C$170=$B67)*Inputs!$D$5:$D$170*(((Inputs!$G$5:$G$170="moeda")+(Inputs!$G$5:$G$170="acoes"))*Inputs!$B$1+((Inputs!$G$5:$G$170&lt;&gt;"moeda")*(Inputs!$G$5:$G$170&lt;&gt;"acoes")))*INDEX(Inputs!$K$5:$AJ$170,0,MATCH(V$2,Inputs!$K$4:$AJ$4,0)))+SUMPRODUCT((Inputs!$E$5:$E$170=$B67)*Inputs!$F$5:$F$170*(((Inputs!$G$5:$G$170="moeda")+(Inputs!$G$5:$G$170="acoes"))*Inputs!$B$1+((Inputs!$G$5:$G$170&lt;&gt;"moeda")*(Inputs!$G$5:$G$170&lt;&gt;"acoes")))*INDEX(Inputs!$K$5:$AJ$170,0,MATCH(V$2,Inputs!$K$4:$AJ$4,0)))))</f>
        <v>146543</v>
      </c>
      <c r="W67" s="267">
        <f>V67</f>
        <v>146543</v>
      </c>
      <c r="X67" s="266">
        <f>IF(ISNA(MATCH(X$2,Inputs!$K$4:$AJ$4,0)),NA(),IF(SUMPRODUCT((Inputs!$A$5:$A$170=$B67)*ISNUMBER(INDEX(Inputs!$K$5:$AJ$170,0,MATCH(X$2,Inputs!$K$4:$AJ$4,0))))+SUMPRODUCT((Inputs!$C$5:$C$170=$B67)*ISNUMBER(INDEX(Inputs!$K$5:$AJ$170,0,MATCH(X$2,Inputs!$K$4:$AJ$4,0))))+SUMPRODUCT((Inputs!$E$5:$E$170=$B67)*ISNUMBER(INDEX(Inputs!$K$5:$AJ$170,0,MATCH(X$2,Inputs!$K$4:$AJ$4,0))))=0,NA(),SUMPRODUCT((Inputs!$A$5:$A$170=$B67)*Inputs!$B$5:$B$170*(((Inputs!$G$5:$G$170="moeda")+(Inputs!$G$5:$G$170="acoes"))*Inputs!$B$1+((Inputs!$G$5:$G$170&lt;&gt;"moeda")*(Inputs!$G$5:$G$170&lt;&gt;"acoes")))*INDEX(Inputs!$K$5:$AJ$170,0,MATCH(X$2,Inputs!$K$4:$AJ$4,0)))+SUMPRODUCT((Inputs!$C$5:$C$170=$B67)*Inputs!$D$5:$D$170*(((Inputs!$G$5:$G$170="moeda")+(Inputs!$G$5:$G$170="acoes"))*Inputs!$B$1+((Inputs!$G$5:$G$170&lt;&gt;"moeda")*(Inputs!$G$5:$G$170&lt;&gt;"acoes")))*INDEX(Inputs!$K$5:$AJ$170,0,MATCH(X$2,Inputs!$K$4:$AJ$4,0)))+SUMPRODUCT((Inputs!$E$5:$E$170=$B67)*Inputs!$F$5:$F$170*(((Inputs!$G$5:$G$170="moeda")+(Inputs!$G$5:$G$170="acoes"))*Inputs!$B$1+((Inputs!$G$5:$G$170&lt;&gt;"moeda")*(Inputs!$G$5:$G$170&lt;&gt;"acoes")))*INDEX(Inputs!$K$5:$AJ$170,0,MATCH(X$2,Inputs!$K$4:$AJ$4,0)))))</f>
        <v>143794</v>
      </c>
      <c r="Y67" s="266">
        <f>IF(ISNA(MATCH(Y$2,Inputs!$K$4:$AJ$4,0)),NA(),IF(SUMPRODUCT((Inputs!$A$5:$A$170=$B67)*ISNUMBER(INDEX(Inputs!$K$5:$AJ$170,0,MATCH(Y$2,Inputs!$K$4:$AJ$4,0))))+SUMPRODUCT((Inputs!$C$5:$C$170=$B67)*ISNUMBER(INDEX(Inputs!$K$5:$AJ$170,0,MATCH(Y$2,Inputs!$K$4:$AJ$4,0))))+SUMPRODUCT((Inputs!$E$5:$E$170=$B67)*ISNUMBER(INDEX(Inputs!$K$5:$AJ$170,0,MATCH(Y$2,Inputs!$K$4:$AJ$4,0))))=0,NA(),SUMPRODUCT((Inputs!$A$5:$A$170=$B67)*Inputs!$B$5:$B$170*(((Inputs!$G$5:$G$170="moeda")+(Inputs!$G$5:$G$170="acoes"))*Inputs!$B$1+((Inputs!$G$5:$G$170&lt;&gt;"moeda")*(Inputs!$G$5:$G$170&lt;&gt;"acoes")))*INDEX(Inputs!$K$5:$AJ$170,0,MATCH(Y$2,Inputs!$K$4:$AJ$4,0)))+SUMPRODUCT((Inputs!$C$5:$C$170=$B67)*Inputs!$D$5:$D$170*(((Inputs!$G$5:$G$170="moeda")+(Inputs!$G$5:$G$170="acoes"))*Inputs!$B$1+((Inputs!$G$5:$G$170&lt;&gt;"moeda")*(Inputs!$G$5:$G$170&lt;&gt;"acoes")))*INDEX(Inputs!$K$5:$AJ$170,0,MATCH(Y$2,Inputs!$K$4:$AJ$4,0)))+SUMPRODUCT((Inputs!$E$5:$E$170=$B67)*Inputs!$F$5:$F$170*(((Inputs!$G$5:$G$170="moeda")+(Inputs!$G$5:$G$170="acoes"))*Inputs!$B$1+((Inputs!$G$5:$G$170&lt;&gt;"moeda")*(Inputs!$G$5:$G$170&lt;&gt;"acoes")))*INDEX(Inputs!$K$5:$AJ$170,0,MATCH(Y$2,Inputs!$K$4:$AJ$4,0)))))</f>
        <v>142296</v>
      </c>
      <c r="Z67" s="266">
        <f>IF(ISNA(MATCH(Z$2,Inputs!$K$4:$AJ$4,0)),NA(),IF(SUMPRODUCT((Inputs!$A$5:$A$170=$B67)*ISNUMBER(INDEX(Inputs!$K$5:$AJ$170,0,MATCH(Z$2,Inputs!$K$4:$AJ$4,0))))+SUMPRODUCT((Inputs!$C$5:$C$170=$B67)*ISNUMBER(INDEX(Inputs!$K$5:$AJ$170,0,MATCH(Z$2,Inputs!$K$4:$AJ$4,0))))+SUMPRODUCT((Inputs!$E$5:$E$170=$B67)*ISNUMBER(INDEX(Inputs!$K$5:$AJ$170,0,MATCH(Z$2,Inputs!$K$4:$AJ$4,0))))=0,NA(),SUMPRODUCT((Inputs!$A$5:$A$170=$B67)*Inputs!$B$5:$B$170*(((Inputs!$G$5:$G$170="moeda")+(Inputs!$G$5:$G$170="acoes"))*Inputs!$B$1+((Inputs!$G$5:$G$170&lt;&gt;"moeda")*(Inputs!$G$5:$G$170&lt;&gt;"acoes")))*INDEX(Inputs!$K$5:$AJ$170,0,MATCH(Z$2,Inputs!$K$4:$AJ$4,0)))+SUMPRODUCT((Inputs!$C$5:$C$170=$B67)*Inputs!$D$5:$D$170*(((Inputs!$G$5:$G$170="moeda")+(Inputs!$G$5:$G$170="acoes"))*Inputs!$B$1+((Inputs!$G$5:$G$170&lt;&gt;"moeda")*(Inputs!$G$5:$G$170&lt;&gt;"acoes")))*INDEX(Inputs!$K$5:$AJ$170,0,MATCH(Z$2,Inputs!$K$4:$AJ$4,0)))+SUMPRODUCT((Inputs!$E$5:$E$170=$B67)*Inputs!$F$5:$F$170*(((Inputs!$G$5:$G$170="moeda")+(Inputs!$G$5:$G$170="acoes"))*Inputs!$B$1+((Inputs!$G$5:$G$170&lt;&gt;"moeda")*(Inputs!$G$5:$G$170&lt;&gt;"acoes")))*INDEX(Inputs!$K$5:$AJ$170,0,MATCH(Z$2,Inputs!$K$4:$AJ$4,0)))))</f>
        <v>143449</v>
      </c>
      <c r="AA67" s="266">
        <f>IF(ISNA(MATCH(AA$2,Inputs!$K$4:$AJ$4,0)),NA(),IF(SUMPRODUCT((Inputs!$A$5:$A$170=$B67)*ISNUMBER(INDEX(Inputs!$K$5:$AJ$170,0,MATCH(AA$2,Inputs!$K$4:$AJ$4,0))))+SUMPRODUCT((Inputs!$C$5:$C$170=$B67)*ISNUMBER(INDEX(Inputs!$K$5:$AJ$170,0,MATCH(AA$2,Inputs!$K$4:$AJ$4,0))))+SUMPRODUCT((Inputs!$E$5:$E$170=$B67)*ISNUMBER(INDEX(Inputs!$K$5:$AJ$170,0,MATCH(AA$2,Inputs!$K$4:$AJ$4,0))))=0,NA(),SUMPRODUCT((Inputs!$A$5:$A$170=$B67)*Inputs!$B$5:$B$170*(((Inputs!$G$5:$G$170="moeda")+(Inputs!$G$5:$G$170="acoes"))*Inputs!$B$1+((Inputs!$G$5:$G$170&lt;&gt;"moeda")*(Inputs!$G$5:$G$170&lt;&gt;"acoes")))*INDEX(Inputs!$K$5:$AJ$170,0,MATCH(AA$2,Inputs!$K$4:$AJ$4,0)))+SUMPRODUCT((Inputs!$C$5:$C$170=$B67)*Inputs!$D$5:$D$170*(((Inputs!$G$5:$G$170="moeda")+(Inputs!$G$5:$G$170="acoes"))*Inputs!$B$1+((Inputs!$G$5:$G$170&lt;&gt;"moeda")*(Inputs!$G$5:$G$170&lt;&gt;"acoes")))*INDEX(Inputs!$K$5:$AJ$170,0,MATCH(AA$2,Inputs!$K$4:$AJ$4,0)))+SUMPRODUCT((Inputs!$E$5:$E$170=$B67)*Inputs!$F$5:$F$170*(((Inputs!$G$5:$G$170="moeda")+(Inputs!$G$5:$G$170="acoes"))*Inputs!$B$1+((Inputs!$G$5:$G$170&lt;&gt;"moeda")*(Inputs!$G$5:$G$170&lt;&gt;"acoes")))*INDEX(Inputs!$K$5:$AJ$170,0,MATCH(AA$2,Inputs!$K$4:$AJ$4,0)))))</f>
        <v>144207</v>
      </c>
      <c r="AB67" s="267">
        <f>AA67</f>
        <v>144207</v>
      </c>
      <c r="AC67" s="266">
        <f>IF(ISNA(MATCH(AC$2,Inputs!$K$4:$AJ$4,0)),NA(),IF(SUMPRODUCT((Inputs!$A$5:$A$170=$B67)*ISNUMBER(INDEX(Inputs!$K$5:$AJ$170,0,MATCH(AC$2,Inputs!$K$4:$AJ$4,0))))+SUMPRODUCT((Inputs!$C$5:$C$170=$B67)*ISNUMBER(INDEX(Inputs!$K$5:$AJ$170,0,MATCH(AC$2,Inputs!$K$4:$AJ$4,0))))+SUMPRODUCT((Inputs!$E$5:$E$170=$B67)*ISNUMBER(INDEX(Inputs!$K$5:$AJ$170,0,MATCH(AC$2,Inputs!$K$4:$AJ$4,0))))=0,NA(),SUMPRODUCT((Inputs!$A$5:$A$170=$B67)*Inputs!$B$5:$B$170*(((Inputs!$G$5:$G$170="moeda")+(Inputs!$G$5:$G$170="acoes"))*Inputs!$B$1+((Inputs!$G$5:$G$170&lt;&gt;"moeda")*(Inputs!$G$5:$G$170&lt;&gt;"acoes")))*INDEX(Inputs!$K$5:$AJ$170,0,MATCH(AC$2,Inputs!$K$4:$AJ$4,0)))+SUMPRODUCT((Inputs!$C$5:$C$170=$B67)*Inputs!$D$5:$D$170*(((Inputs!$G$5:$G$170="moeda")+(Inputs!$G$5:$G$170="acoes"))*Inputs!$B$1+((Inputs!$G$5:$G$170&lt;&gt;"moeda")*(Inputs!$G$5:$G$170&lt;&gt;"acoes")))*INDEX(Inputs!$K$5:$AJ$170,0,MATCH(AC$2,Inputs!$K$4:$AJ$4,0)))+SUMPRODUCT((Inputs!$E$5:$E$170=$B67)*Inputs!$F$5:$F$170*(((Inputs!$G$5:$G$170="moeda")+(Inputs!$G$5:$G$170="acoes"))*Inputs!$B$1+((Inputs!$G$5:$G$170&lt;&gt;"moeda")*(Inputs!$G$5:$G$170&lt;&gt;"acoes")))*INDEX(Inputs!$K$5:$AJ$170,0,MATCH(AC$2,Inputs!$K$4:$AJ$4,0)))))</f>
        <v>141949</v>
      </c>
      <c r="AD67" s="266">
        <f>IF(ISNA(MATCH(AD$2,Inputs!$K$4:$AJ$4,0)),NA(),IF(SUMPRODUCT((Inputs!$A$5:$A$170=$B67)*ISNUMBER(INDEX(Inputs!$K$5:$AJ$170,0,MATCH(AD$2,Inputs!$K$4:$AJ$4,0))))+SUMPRODUCT((Inputs!$C$5:$C$170=$B67)*ISNUMBER(INDEX(Inputs!$K$5:$AJ$170,0,MATCH(AD$2,Inputs!$K$4:$AJ$4,0))))+SUMPRODUCT((Inputs!$E$5:$E$170=$B67)*ISNUMBER(INDEX(Inputs!$K$5:$AJ$170,0,MATCH(AD$2,Inputs!$K$4:$AJ$4,0))))=0,NA(),SUMPRODUCT((Inputs!$A$5:$A$170=$B67)*Inputs!$B$5:$B$170*(((Inputs!$G$5:$G$170="moeda")+(Inputs!$G$5:$G$170="acoes"))*Inputs!$B$1+((Inputs!$G$5:$G$170&lt;&gt;"moeda")*(Inputs!$G$5:$G$170&lt;&gt;"acoes")))*INDEX(Inputs!$K$5:$AJ$170,0,MATCH(AD$2,Inputs!$K$4:$AJ$4,0)))+SUMPRODUCT((Inputs!$C$5:$C$170=$B67)*Inputs!$D$5:$D$170*(((Inputs!$G$5:$G$170="moeda")+(Inputs!$G$5:$G$170="acoes"))*Inputs!$B$1+((Inputs!$G$5:$G$170&lt;&gt;"moeda")*(Inputs!$G$5:$G$170&lt;&gt;"acoes")))*INDEX(Inputs!$K$5:$AJ$170,0,MATCH(AD$2,Inputs!$K$4:$AJ$4,0)))+SUMPRODUCT((Inputs!$E$5:$E$170=$B67)*Inputs!$F$5:$F$170*(((Inputs!$G$5:$G$170="moeda")+(Inputs!$G$5:$G$170="acoes"))*Inputs!$B$1+((Inputs!$G$5:$G$170&lt;&gt;"moeda")*(Inputs!$G$5:$G$170&lt;&gt;"acoes")))*INDEX(Inputs!$K$5:$AJ$170,0,MATCH(AD$2,Inputs!$K$4:$AJ$4,0)))))</f>
        <v>145882</v>
      </c>
      <c r="AE67" s="266" t="e">
        <f>IF(ISNA(MATCH(AE$2,Inputs!$K$4:$AJ$4,0)),NA(),IF(SUMPRODUCT((Inputs!$A$5:$A$170=$B67)*ISNUMBER(INDEX(Inputs!$K$5:$AJ$170,0,MATCH(AE$2,Inputs!$K$4:$AJ$4,0))))+SUMPRODUCT((Inputs!$C$5:$C$170=$B67)*ISNUMBER(INDEX(Inputs!$K$5:$AJ$170,0,MATCH(AE$2,Inputs!$K$4:$AJ$4,0))))+SUMPRODUCT((Inputs!$E$5:$E$170=$B67)*ISNUMBER(INDEX(Inputs!$K$5:$AJ$170,0,MATCH(AE$2,Inputs!$K$4:$AJ$4,0))))=0,NA(),SUMPRODUCT((Inputs!$A$5:$A$170=$B67)*Inputs!$B$5:$B$170*(((Inputs!$G$5:$G$170="moeda")+(Inputs!$G$5:$G$170="acoes"))*Inputs!$B$1+((Inputs!$G$5:$G$170&lt;&gt;"moeda")*(Inputs!$G$5:$G$170&lt;&gt;"acoes")))*INDEX(Inputs!$K$5:$AJ$170,0,MATCH(AE$2,Inputs!$K$4:$AJ$4,0)))+SUMPRODUCT((Inputs!$C$5:$C$170=$B67)*Inputs!$D$5:$D$170*(((Inputs!$G$5:$G$170="moeda")+(Inputs!$G$5:$G$170="acoes"))*Inputs!$B$1+((Inputs!$G$5:$G$170&lt;&gt;"moeda")*(Inputs!$G$5:$G$170&lt;&gt;"acoes")))*INDEX(Inputs!$K$5:$AJ$170,0,MATCH(AE$2,Inputs!$K$4:$AJ$4,0)))+SUMPRODUCT((Inputs!$E$5:$E$170=$B67)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7" s="266" t="e">
        <f>IF(ISNA(MATCH(AF$2,Inputs!$K$4:$AJ$4,0)),NA(),IF(SUMPRODUCT((Inputs!$A$5:$A$170=$B67)*ISNUMBER(INDEX(Inputs!$K$5:$AJ$170,0,MATCH(AF$2,Inputs!$K$4:$AJ$4,0))))+SUMPRODUCT((Inputs!$C$5:$C$170=$B67)*ISNUMBER(INDEX(Inputs!$K$5:$AJ$170,0,MATCH(AF$2,Inputs!$K$4:$AJ$4,0))))+SUMPRODUCT((Inputs!$E$5:$E$170=$B67)*ISNUMBER(INDEX(Inputs!$K$5:$AJ$170,0,MATCH(AF$2,Inputs!$K$4:$AJ$4,0))))=0,NA(),SUMPRODUCT((Inputs!$A$5:$A$170=$B67)*Inputs!$B$5:$B$170*(((Inputs!$G$5:$G$170="moeda")+(Inputs!$G$5:$G$170="acoes"))*Inputs!$B$1+((Inputs!$G$5:$G$170&lt;&gt;"moeda")*(Inputs!$G$5:$G$170&lt;&gt;"acoes")))*INDEX(Inputs!$K$5:$AJ$170,0,MATCH(AF$2,Inputs!$K$4:$AJ$4,0)))+SUMPRODUCT((Inputs!$C$5:$C$170=$B67)*Inputs!$D$5:$D$170*(((Inputs!$G$5:$G$170="moeda")+(Inputs!$G$5:$G$170="acoes"))*Inputs!$B$1+((Inputs!$G$5:$G$170&lt;&gt;"moeda")*(Inputs!$G$5:$G$170&lt;&gt;"acoes")))*INDEX(Inputs!$K$5:$AJ$170,0,MATCH(AF$2,Inputs!$K$4:$AJ$4,0)))+SUMPRODUCT((Inputs!$E$5:$E$170=$B67)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7" s="267" t="e">
        <f>AF67</f>
        <v>#N/A</v>
      </c>
      <c r="AH67" s="266">
        <f>IF(ISNA(MATCH(AH$2,Inputs!$K$4:$AJ$4,0)),NA(),IF(SUMPRODUCT((Inputs!$A$5:$A$170=$B67)*ISNUMBER(INDEX(Inputs!$K$5:$AJ$170,0,MATCH(AH$2,Inputs!$K$4:$AJ$4,0))))+SUMPRODUCT((Inputs!$C$5:$C$170=$B67)*ISNUMBER(INDEX(Inputs!$K$5:$AJ$170,0,MATCH(AH$2,Inputs!$K$4:$AJ$4,0))))+SUMPRODUCT((Inputs!$E$5:$E$170=$B67)*ISNUMBER(INDEX(Inputs!$K$5:$AJ$170,0,MATCH(AH$2,Inputs!$K$4:$AJ$4,0))))=0,NA(),SUMPRODUCT((Inputs!$A$5:$A$170=$B67)*Inputs!$B$5:$B$170*(((Inputs!$G$5:$G$170="moeda")+(Inputs!$G$5:$G$170="acoes"))*Inputs!$B$1+((Inputs!$G$5:$G$170&lt;&gt;"moeda")*(Inputs!$G$5:$G$170&lt;&gt;"acoes")))*INDEX(Inputs!$K$5:$AJ$170,0,MATCH(AH$2,Inputs!$K$4:$AJ$4,0)))+SUMPRODUCT((Inputs!$C$5:$C$170=$B67)*Inputs!$D$5:$D$170*(((Inputs!$G$5:$G$170="moeda")+(Inputs!$G$5:$G$170="acoes"))*Inputs!$B$1+((Inputs!$G$5:$G$170&lt;&gt;"moeda")*(Inputs!$G$5:$G$170&lt;&gt;"acoes")))*INDEX(Inputs!$K$5:$AJ$170,0,MATCH(AH$2,Inputs!$K$4:$AJ$4,0)))+SUMPRODUCT((Inputs!$E$5:$E$170=$B67)*Inputs!$F$5:$F$170*(((Inputs!$G$5:$G$170="moeda")+(Inputs!$G$5:$G$170="acoes"))*Inputs!$B$1+((Inputs!$G$5:$G$170&lt;&gt;"moeda")*(Inputs!$G$5:$G$170&lt;&gt;"acoes")))*INDEX(Inputs!$K$5:$AJ$170,0,MATCH(AH$2,Inputs!$K$4:$AJ$4,0)))))</f>
        <v>40889</v>
      </c>
      <c r="AI67" s="266">
        <f>IF(ISNA(MATCH(AI$2,Inputs!$K$4:$AJ$4,0)),NA(),IF(SUMPRODUCT((Inputs!$A$5:$A$170=$B67)*ISNUMBER(INDEX(Inputs!$K$5:$AJ$170,0,MATCH(AI$2,Inputs!$K$4:$AJ$4,0))))+SUMPRODUCT((Inputs!$C$5:$C$170=$B67)*ISNUMBER(INDEX(Inputs!$K$5:$AJ$170,0,MATCH(AI$2,Inputs!$K$4:$AJ$4,0))))+SUMPRODUCT((Inputs!$E$5:$E$170=$B67)*ISNUMBER(INDEX(Inputs!$K$5:$AJ$170,0,MATCH(AI$2,Inputs!$K$4:$AJ$4,0))))=0,NA(),SUMPRODUCT((Inputs!$A$5:$A$170=$B67)*Inputs!$B$5:$B$170*(((Inputs!$G$5:$G$170="moeda")+(Inputs!$G$5:$G$170="acoes"))*Inputs!$B$1+((Inputs!$G$5:$G$170&lt;&gt;"moeda")*(Inputs!$G$5:$G$170&lt;&gt;"acoes")))*INDEX(Inputs!$K$5:$AJ$170,0,MATCH(AI$2,Inputs!$K$4:$AJ$4,0)))+SUMPRODUCT((Inputs!$C$5:$C$170=$B67)*Inputs!$D$5:$D$170*(((Inputs!$G$5:$G$170="moeda")+(Inputs!$G$5:$G$170="acoes"))*Inputs!$B$1+((Inputs!$G$5:$G$170&lt;&gt;"moeda")*(Inputs!$G$5:$G$170&lt;&gt;"acoes")))*INDEX(Inputs!$K$5:$AJ$170,0,MATCH(AI$2,Inputs!$K$4:$AJ$4,0)))+SUMPRODUCT((Inputs!$E$5:$E$170=$B67)*Inputs!$F$5:$F$170*(((Inputs!$G$5:$G$170="moeda")+(Inputs!$G$5:$G$170="acoes"))*Inputs!$B$1+((Inputs!$G$5:$G$170&lt;&gt;"moeda")*(Inputs!$G$5:$G$170&lt;&gt;"acoes")))*INDEX(Inputs!$K$5:$AJ$170,0,MATCH(AI$2,Inputs!$K$4:$AJ$4,0)))))</f>
        <v>39673</v>
      </c>
      <c r="AJ67" s="266">
        <f>IF(ISNA(MATCH(AJ$2,Inputs!$K$4:$AJ$4,0)),NA(),IF(SUMPRODUCT((Inputs!$A$5:$A$170=$B67)*ISNUMBER(INDEX(Inputs!$K$5:$AJ$170,0,MATCH(AJ$2,Inputs!$K$4:$AJ$4,0))))+SUMPRODUCT((Inputs!$C$5:$C$170=$B67)*ISNUMBER(INDEX(Inputs!$K$5:$AJ$170,0,MATCH(AJ$2,Inputs!$K$4:$AJ$4,0))))+SUMPRODUCT((Inputs!$E$5:$E$170=$B67)*ISNUMBER(INDEX(Inputs!$K$5:$AJ$170,0,MATCH(AJ$2,Inputs!$K$4:$AJ$4,0))))=0,NA(),SUMPRODUCT((Inputs!$A$5:$A$170=$B67)*Inputs!$B$5:$B$170*(((Inputs!$G$5:$G$170="moeda")+(Inputs!$G$5:$G$170="acoes"))*Inputs!$B$1+((Inputs!$G$5:$G$170&lt;&gt;"moeda")*(Inputs!$G$5:$G$170&lt;&gt;"acoes")))*INDEX(Inputs!$K$5:$AJ$170,0,MATCH(AJ$2,Inputs!$K$4:$AJ$4,0)))+SUMPRODUCT((Inputs!$C$5:$C$170=$B67)*Inputs!$D$5:$D$170*(((Inputs!$G$5:$G$170="moeda")+(Inputs!$G$5:$G$170="acoes"))*Inputs!$B$1+((Inputs!$G$5:$G$170&lt;&gt;"moeda")*(Inputs!$G$5:$G$170&lt;&gt;"acoes")))*INDEX(Inputs!$K$5:$AJ$170,0,MATCH(AJ$2,Inputs!$K$4:$AJ$4,0)))+SUMPRODUCT((Inputs!$E$5:$E$170=$B67)*Inputs!$F$5:$F$170*(((Inputs!$G$5:$G$170="moeda")+(Inputs!$G$5:$G$170="acoes"))*Inputs!$B$1+((Inputs!$G$5:$G$170&lt;&gt;"moeda")*(Inputs!$G$5:$G$170&lt;&gt;"acoes")))*INDEX(Inputs!$K$5:$AJ$170,0,MATCH(AJ$2,Inputs!$K$4:$AJ$4,0)))))</f>
        <v>40731</v>
      </c>
      <c r="AK67" s="266">
        <f>IF(ISNA(MATCH(AK$2,Inputs!$K$4:$AJ$4,0)),NA(),IF(SUMPRODUCT((Inputs!$A$5:$A$170=$B67)*ISNUMBER(INDEX(Inputs!$K$5:$AJ$170,0,MATCH(AK$2,Inputs!$K$4:$AJ$4,0))))+SUMPRODUCT((Inputs!$C$5:$C$170=$B67)*ISNUMBER(INDEX(Inputs!$K$5:$AJ$170,0,MATCH(AK$2,Inputs!$K$4:$AJ$4,0))))+SUMPRODUCT((Inputs!$E$5:$E$170=$B67)*ISNUMBER(INDEX(Inputs!$K$5:$AJ$170,0,MATCH(AK$2,Inputs!$K$4:$AJ$4,0))))=0,NA(),SUMPRODUCT((Inputs!$A$5:$A$170=$B67)*Inputs!$B$5:$B$170*(((Inputs!$G$5:$G$170="moeda")+(Inputs!$G$5:$G$170="acoes"))*Inputs!$B$1+((Inputs!$G$5:$G$170&lt;&gt;"moeda")*(Inputs!$G$5:$G$170&lt;&gt;"acoes")))*INDEX(Inputs!$K$5:$AJ$170,0,MATCH(AK$2,Inputs!$K$4:$AJ$4,0)))+SUMPRODUCT((Inputs!$C$5:$C$170=$B67)*Inputs!$D$5:$D$170*(((Inputs!$G$5:$G$170="moeda")+(Inputs!$G$5:$G$170="acoes"))*Inputs!$B$1+((Inputs!$G$5:$G$170&lt;&gt;"moeda")*(Inputs!$G$5:$G$170&lt;&gt;"acoes")))*INDEX(Inputs!$K$5:$AJ$170,0,MATCH(AK$2,Inputs!$K$4:$AJ$4,0)))+SUMPRODUCT((Inputs!$E$5:$E$170=$B67)*Inputs!$F$5:$F$170*(((Inputs!$G$5:$G$170="moeda")+(Inputs!$G$5:$G$170="acoes"))*Inputs!$B$1+((Inputs!$G$5:$G$170&lt;&gt;"moeda")*(Inputs!$G$5:$G$170&lt;&gt;"acoes")))*INDEX(Inputs!$K$5:$AJ$170,0,MATCH(AK$2,Inputs!$K$4:$AJ$4,0)))))</f>
        <v>47244</v>
      </c>
      <c r="AL67" s="267">
        <f>AK67</f>
        <v>47244</v>
      </c>
    </row>
    <row r="68">
      <c r="B68" s="46" t="n">
        <v>60</v>
      </c>
      <c r="C68" s="29" t="inlineStr">
        <is>
          <t>GTF - frota media operacional (Op Data l.21)</t>
        </is>
      </c>
      <c r="D68" s="266">
        <f>IF(ISNA(MATCH(D$2,Inputs!$K$4:$AJ$4,0)),NA(),IF(SUMPRODUCT((Inputs!$A$5:$A$170=$B68)*ISNUMBER(INDEX(Inputs!$K$5:$AJ$170,0,MATCH(D$2,Inputs!$K$4:$AJ$4,0))))+SUMPRODUCT((Inputs!$C$5:$C$170=$B68)*ISNUMBER(INDEX(Inputs!$K$5:$AJ$170,0,MATCH(D$2,Inputs!$K$4:$AJ$4,0))))+SUMPRODUCT((Inputs!$E$5:$E$170=$B68)*ISNUMBER(INDEX(Inputs!$K$5:$AJ$170,0,MATCH(D$2,Inputs!$K$4:$AJ$4,0))))=0,NA(),SUMPRODUCT((Inputs!$A$5:$A$170=$B68)*Inputs!$B$5:$B$170*(((Inputs!$G$5:$G$170="moeda")+(Inputs!$G$5:$G$170="acoes"))*Inputs!$B$1+((Inputs!$G$5:$G$170&lt;&gt;"moeda")*(Inputs!$G$5:$G$170&lt;&gt;"acoes")))*INDEX(Inputs!$K$5:$AJ$170,0,MATCH(D$2,Inputs!$K$4:$AJ$4,0)))+SUMPRODUCT((Inputs!$C$5:$C$170=$B68)*Inputs!$D$5:$D$170*(((Inputs!$G$5:$G$170="moeda")+(Inputs!$G$5:$G$170="acoes"))*Inputs!$B$1+((Inputs!$G$5:$G$170&lt;&gt;"moeda")*(Inputs!$G$5:$G$170&lt;&gt;"acoes")))*INDEX(Inputs!$K$5:$AJ$170,0,MATCH(D$2,Inputs!$K$4:$AJ$4,0)))+SUMPRODUCT((Inputs!$E$5:$E$170=$B68)*Inputs!$F$5:$F$170*(((Inputs!$G$5:$G$170="moeda")+(Inputs!$G$5:$G$170="acoes"))*Inputs!$B$1+((Inputs!$G$5:$G$170&lt;&gt;"moeda")*(Inputs!$G$5:$G$170&lt;&gt;"acoes")))*INDEX(Inputs!$K$5:$AJ$170,0,MATCH(D$2,Inputs!$K$4:$AJ$4,0)))))</f>
        <v>44736.039</v>
      </c>
      <c r="E68" s="266">
        <f>IF(ISNA(MATCH(E$2,Inputs!$K$4:$AJ$4,0)),NA(),IF(SUMPRODUCT((Inputs!$A$5:$A$170=$B68)*ISNUMBER(INDEX(Inputs!$K$5:$AJ$170,0,MATCH(E$2,Inputs!$K$4:$AJ$4,0))))+SUMPRODUCT((Inputs!$C$5:$C$170=$B68)*ISNUMBER(INDEX(Inputs!$K$5:$AJ$170,0,MATCH(E$2,Inputs!$K$4:$AJ$4,0))))+SUMPRODUCT((Inputs!$E$5:$E$170=$B68)*ISNUMBER(INDEX(Inputs!$K$5:$AJ$170,0,MATCH(E$2,Inputs!$K$4:$AJ$4,0))))=0,NA(),SUMPRODUCT((Inputs!$A$5:$A$170=$B68)*Inputs!$B$5:$B$170*(((Inputs!$G$5:$G$170="moeda")+(Inputs!$G$5:$G$170="acoes"))*Inputs!$B$1+((Inputs!$G$5:$G$170&lt;&gt;"moeda")*(Inputs!$G$5:$G$170&lt;&gt;"acoes")))*INDEX(Inputs!$K$5:$AJ$170,0,MATCH(E$2,Inputs!$K$4:$AJ$4,0)))+SUMPRODUCT((Inputs!$C$5:$C$170=$B68)*Inputs!$D$5:$D$170*(((Inputs!$G$5:$G$170="moeda")+(Inputs!$G$5:$G$170="acoes"))*Inputs!$B$1+((Inputs!$G$5:$G$170&lt;&gt;"moeda")*(Inputs!$G$5:$G$170&lt;&gt;"acoes")))*INDEX(Inputs!$K$5:$AJ$170,0,MATCH(E$2,Inputs!$K$4:$AJ$4,0)))+SUMPRODUCT((Inputs!$E$5:$E$170=$B68)*Inputs!$F$5:$F$170*(((Inputs!$G$5:$G$170="moeda")+(Inputs!$G$5:$G$170="acoes"))*Inputs!$B$1+((Inputs!$G$5:$G$170&lt;&gt;"moeda")*(Inputs!$G$5:$G$170&lt;&gt;"acoes")))*INDEX(Inputs!$K$5:$AJ$170,0,MATCH(E$2,Inputs!$K$4:$AJ$4,0)))))</f>
        <v>49928.678</v>
      </c>
      <c r="F68" s="266">
        <f>IF(ISNA(MATCH(F$2,Inputs!$K$4:$AJ$4,0)),NA(),IF(SUMPRODUCT((Inputs!$A$5:$A$170=$B68)*ISNUMBER(INDEX(Inputs!$K$5:$AJ$170,0,MATCH(F$2,Inputs!$K$4:$AJ$4,0))))+SUMPRODUCT((Inputs!$C$5:$C$170=$B68)*ISNUMBER(INDEX(Inputs!$K$5:$AJ$170,0,MATCH(F$2,Inputs!$K$4:$AJ$4,0))))+SUMPRODUCT((Inputs!$E$5:$E$170=$B68)*ISNUMBER(INDEX(Inputs!$K$5:$AJ$170,0,MATCH(F$2,Inputs!$K$4:$AJ$4,0))))=0,NA(),SUMPRODUCT((Inputs!$A$5:$A$170=$B68)*Inputs!$B$5:$B$170*(((Inputs!$G$5:$G$170="moeda")+(Inputs!$G$5:$G$170="acoes"))*Inputs!$B$1+((Inputs!$G$5:$G$170&lt;&gt;"moeda")*(Inputs!$G$5:$G$170&lt;&gt;"acoes")))*INDEX(Inputs!$K$5:$AJ$170,0,MATCH(F$2,Inputs!$K$4:$AJ$4,0)))+SUMPRODUCT((Inputs!$C$5:$C$170=$B68)*Inputs!$D$5:$D$170*(((Inputs!$G$5:$G$170="moeda")+(Inputs!$G$5:$G$170="acoes"))*Inputs!$B$1+((Inputs!$G$5:$G$170&lt;&gt;"moeda")*(Inputs!$G$5:$G$170&lt;&gt;"acoes")))*INDEX(Inputs!$K$5:$AJ$170,0,MATCH(F$2,Inputs!$K$4:$AJ$4,0)))+SUMPRODUCT((Inputs!$E$5:$E$170=$B68)*Inputs!$F$5:$F$170*(((Inputs!$G$5:$G$170="moeda")+(Inputs!$G$5:$G$170="acoes"))*Inputs!$B$1+((Inputs!$G$5:$G$170&lt;&gt;"moeda")*(Inputs!$G$5:$G$170&lt;&gt;"acoes")))*INDEX(Inputs!$K$5:$AJ$170,0,MATCH(F$2,Inputs!$K$4:$AJ$4,0)))))</f>
        <v>68034.931</v>
      </c>
      <c r="G68" s="266">
        <f>IF(ISNA(MATCH(G$2,Inputs!$K$4:$AJ$4,0)),NA(),IF(SUMPRODUCT((Inputs!$A$5:$A$170=$B68)*ISNUMBER(INDEX(Inputs!$K$5:$AJ$170,0,MATCH(G$2,Inputs!$K$4:$AJ$4,0))))+SUMPRODUCT((Inputs!$C$5:$C$170=$B68)*ISNUMBER(INDEX(Inputs!$K$5:$AJ$170,0,MATCH(G$2,Inputs!$K$4:$AJ$4,0))))+SUMPRODUCT((Inputs!$E$5:$E$170=$B68)*ISNUMBER(INDEX(Inputs!$K$5:$AJ$170,0,MATCH(G$2,Inputs!$K$4:$AJ$4,0))))=0,NA(),SUMPRODUCT((Inputs!$A$5:$A$170=$B68)*Inputs!$B$5:$B$170*(((Inputs!$G$5:$G$170="moeda")+(Inputs!$G$5:$G$170="acoes"))*Inputs!$B$1+((Inputs!$G$5:$G$170&lt;&gt;"moeda")*(Inputs!$G$5:$G$170&lt;&gt;"acoes")))*INDEX(Inputs!$K$5:$AJ$170,0,MATCH(G$2,Inputs!$K$4:$AJ$4,0)))+SUMPRODUCT((Inputs!$C$5:$C$170=$B68)*Inputs!$D$5:$D$170*(((Inputs!$G$5:$G$170="moeda")+(Inputs!$G$5:$G$170="acoes"))*Inputs!$B$1+((Inputs!$G$5:$G$170&lt;&gt;"moeda")*(Inputs!$G$5:$G$170&lt;&gt;"acoes")))*INDEX(Inputs!$K$5:$AJ$170,0,MATCH(G$2,Inputs!$K$4:$AJ$4,0)))+SUMPRODUCT((Inputs!$E$5:$E$170=$B68)*Inputs!$F$5:$F$170*(((Inputs!$G$5:$G$170="moeda")+(Inputs!$G$5:$G$170="acoes"))*Inputs!$B$1+((Inputs!$G$5:$G$170&lt;&gt;"moeda")*(Inputs!$G$5:$G$170&lt;&gt;"acoes")))*INDEX(Inputs!$K$5:$AJ$170,0,MATCH(G$2,Inputs!$K$4:$AJ$4,0)))))</f>
        <v>79897.806</v>
      </c>
      <c r="H68" s="267" t="n"/>
      <c r="I68" s="266">
        <f>IF(ISNA(MATCH(I$2,Inputs!$K$4:$AJ$4,0)),NA(),IF(SUMPRODUCT((Inputs!$A$5:$A$170=$B68)*ISNUMBER(INDEX(Inputs!$K$5:$AJ$170,0,MATCH(I$2,Inputs!$K$4:$AJ$4,0))))+SUMPRODUCT((Inputs!$C$5:$C$170=$B68)*ISNUMBER(INDEX(Inputs!$K$5:$AJ$170,0,MATCH(I$2,Inputs!$K$4:$AJ$4,0))))+SUMPRODUCT((Inputs!$E$5:$E$170=$B68)*ISNUMBER(INDEX(Inputs!$K$5:$AJ$170,0,MATCH(I$2,Inputs!$K$4:$AJ$4,0))))=0,NA(),SUMPRODUCT((Inputs!$A$5:$A$170=$B68)*Inputs!$B$5:$B$170*(((Inputs!$G$5:$G$170="moeda")+(Inputs!$G$5:$G$170="acoes"))*Inputs!$B$1+((Inputs!$G$5:$G$170&lt;&gt;"moeda")*(Inputs!$G$5:$G$170&lt;&gt;"acoes")))*INDEX(Inputs!$K$5:$AJ$170,0,MATCH(I$2,Inputs!$K$4:$AJ$4,0)))+SUMPRODUCT((Inputs!$C$5:$C$170=$B68)*Inputs!$D$5:$D$170*(((Inputs!$G$5:$G$170="moeda")+(Inputs!$G$5:$G$170="acoes"))*Inputs!$B$1+((Inputs!$G$5:$G$170&lt;&gt;"moeda")*(Inputs!$G$5:$G$170&lt;&gt;"acoes")))*INDEX(Inputs!$K$5:$AJ$170,0,MATCH(I$2,Inputs!$K$4:$AJ$4,0)))+SUMPRODUCT((Inputs!$E$5:$E$170=$B68)*Inputs!$F$5:$F$170*(((Inputs!$G$5:$G$170="moeda")+(Inputs!$G$5:$G$170="acoes"))*Inputs!$B$1+((Inputs!$G$5:$G$170&lt;&gt;"moeda")*(Inputs!$G$5:$G$170&lt;&gt;"acoes")))*INDEX(Inputs!$K$5:$AJ$170,0,MATCH(I$2,Inputs!$K$4:$AJ$4,0)))))</f>
        <v>85083</v>
      </c>
      <c r="J68" s="266">
        <f>IF(ISNA(MATCH(J$2,Inputs!$K$4:$AJ$4,0)),NA(),IF(SUMPRODUCT((Inputs!$A$5:$A$170=$B68)*ISNUMBER(INDEX(Inputs!$K$5:$AJ$170,0,MATCH(J$2,Inputs!$K$4:$AJ$4,0))))+SUMPRODUCT((Inputs!$C$5:$C$170=$B68)*ISNUMBER(INDEX(Inputs!$K$5:$AJ$170,0,MATCH(J$2,Inputs!$K$4:$AJ$4,0))))+SUMPRODUCT((Inputs!$E$5:$E$170=$B68)*ISNUMBER(INDEX(Inputs!$K$5:$AJ$170,0,MATCH(J$2,Inputs!$K$4:$AJ$4,0))))=0,NA(),SUMPRODUCT((Inputs!$A$5:$A$170=$B68)*Inputs!$B$5:$B$170*(((Inputs!$G$5:$G$170="moeda")+(Inputs!$G$5:$G$170="acoes"))*Inputs!$B$1+((Inputs!$G$5:$G$170&lt;&gt;"moeda")*(Inputs!$G$5:$G$170&lt;&gt;"acoes")))*INDEX(Inputs!$K$5:$AJ$170,0,MATCH(J$2,Inputs!$K$4:$AJ$4,0)))+SUMPRODUCT((Inputs!$C$5:$C$170=$B68)*Inputs!$D$5:$D$170*(((Inputs!$G$5:$G$170="moeda")+(Inputs!$G$5:$G$170="acoes"))*Inputs!$B$1+((Inputs!$G$5:$G$170&lt;&gt;"moeda")*(Inputs!$G$5:$G$170&lt;&gt;"acoes")))*INDEX(Inputs!$K$5:$AJ$170,0,MATCH(J$2,Inputs!$K$4:$AJ$4,0)))+SUMPRODUCT((Inputs!$E$5:$E$170=$B68)*Inputs!$F$5:$F$170*(((Inputs!$G$5:$G$170="moeda")+(Inputs!$G$5:$G$170="acoes"))*Inputs!$B$1+((Inputs!$G$5:$G$170&lt;&gt;"moeda")*(Inputs!$G$5:$G$170&lt;&gt;"acoes")))*INDEX(Inputs!$K$5:$AJ$170,0,MATCH(J$2,Inputs!$K$4:$AJ$4,0)))))</f>
        <v>87101.167</v>
      </c>
      <c r="K68" s="266">
        <f>IF(ISNA(MATCH(K$2,Inputs!$K$4:$AJ$4,0)),NA(),IF(SUMPRODUCT((Inputs!$A$5:$A$170=$B68)*ISNUMBER(INDEX(Inputs!$K$5:$AJ$170,0,MATCH(K$2,Inputs!$K$4:$AJ$4,0))))+SUMPRODUCT((Inputs!$C$5:$C$170=$B68)*ISNUMBER(INDEX(Inputs!$K$5:$AJ$170,0,MATCH(K$2,Inputs!$K$4:$AJ$4,0))))+SUMPRODUCT((Inputs!$E$5:$E$170=$B68)*ISNUMBER(INDEX(Inputs!$K$5:$AJ$170,0,MATCH(K$2,Inputs!$K$4:$AJ$4,0))))=0,NA(),SUMPRODUCT((Inputs!$A$5:$A$170=$B68)*Inputs!$B$5:$B$170*(((Inputs!$G$5:$G$170="moeda")+(Inputs!$G$5:$G$170="acoes"))*Inputs!$B$1+((Inputs!$G$5:$G$170&lt;&gt;"moeda")*(Inputs!$G$5:$G$170&lt;&gt;"acoes")))*INDEX(Inputs!$K$5:$AJ$170,0,MATCH(K$2,Inputs!$K$4:$AJ$4,0)))+SUMPRODUCT((Inputs!$C$5:$C$170=$B68)*Inputs!$D$5:$D$170*(((Inputs!$G$5:$G$170="moeda")+(Inputs!$G$5:$G$170="acoes"))*Inputs!$B$1+((Inputs!$G$5:$G$170&lt;&gt;"moeda")*(Inputs!$G$5:$G$170&lt;&gt;"acoes")))*INDEX(Inputs!$K$5:$AJ$170,0,MATCH(K$2,Inputs!$K$4:$AJ$4,0)))+SUMPRODUCT((Inputs!$E$5:$E$170=$B68)*Inputs!$F$5:$F$170*(((Inputs!$G$5:$G$170="moeda")+(Inputs!$G$5:$G$170="acoes"))*Inputs!$B$1+((Inputs!$G$5:$G$170&lt;&gt;"moeda")*(Inputs!$G$5:$G$170&lt;&gt;"acoes")))*INDEX(Inputs!$K$5:$AJ$170,0,MATCH(K$2,Inputs!$K$4:$AJ$4,0)))))</f>
        <v>93595.199</v>
      </c>
      <c r="L68" s="266">
        <f>IF(ISNA(MATCH(L$2,Inputs!$K$4:$AJ$4,0)),NA(),IF(SUMPRODUCT((Inputs!$A$5:$A$170=$B68)*ISNUMBER(INDEX(Inputs!$K$5:$AJ$170,0,MATCH(L$2,Inputs!$K$4:$AJ$4,0))))+SUMPRODUCT((Inputs!$C$5:$C$170=$B68)*ISNUMBER(INDEX(Inputs!$K$5:$AJ$170,0,MATCH(L$2,Inputs!$K$4:$AJ$4,0))))+SUMPRODUCT((Inputs!$E$5:$E$170=$B68)*ISNUMBER(INDEX(Inputs!$K$5:$AJ$170,0,MATCH(L$2,Inputs!$K$4:$AJ$4,0))))=0,NA(),SUMPRODUCT((Inputs!$A$5:$A$170=$B68)*Inputs!$B$5:$B$170*(((Inputs!$G$5:$G$170="moeda")+(Inputs!$G$5:$G$170="acoes"))*Inputs!$B$1+((Inputs!$G$5:$G$170&lt;&gt;"moeda")*(Inputs!$G$5:$G$170&lt;&gt;"acoes")))*INDEX(Inputs!$K$5:$AJ$170,0,MATCH(L$2,Inputs!$K$4:$AJ$4,0)))+SUMPRODUCT((Inputs!$C$5:$C$170=$B68)*Inputs!$D$5:$D$170*(((Inputs!$G$5:$G$170="moeda")+(Inputs!$G$5:$G$170="acoes"))*Inputs!$B$1+((Inputs!$G$5:$G$170&lt;&gt;"moeda")*(Inputs!$G$5:$G$170&lt;&gt;"acoes")))*INDEX(Inputs!$K$5:$AJ$170,0,MATCH(L$2,Inputs!$K$4:$AJ$4,0)))+SUMPRODUCT((Inputs!$E$5:$E$170=$B68)*Inputs!$F$5:$F$170*(((Inputs!$G$5:$G$170="moeda")+(Inputs!$G$5:$G$170="acoes"))*Inputs!$B$1+((Inputs!$G$5:$G$170&lt;&gt;"moeda")*(Inputs!$G$5:$G$170&lt;&gt;"acoes")))*INDEX(Inputs!$K$5:$AJ$170,0,MATCH(L$2,Inputs!$K$4:$AJ$4,0)))))</f>
        <v>95705.704</v>
      </c>
      <c r="M68" s="267" t="n"/>
      <c r="N68" s="266">
        <f>IF(ISNA(MATCH(N$2,Inputs!$K$4:$AJ$4,0)),NA(),IF(SUMPRODUCT((Inputs!$A$5:$A$170=$B68)*ISNUMBER(INDEX(Inputs!$K$5:$AJ$170,0,MATCH(N$2,Inputs!$K$4:$AJ$4,0))))+SUMPRODUCT((Inputs!$C$5:$C$170=$B68)*ISNUMBER(INDEX(Inputs!$K$5:$AJ$170,0,MATCH(N$2,Inputs!$K$4:$AJ$4,0))))+SUMPRODUCT((Inputs!$E$5:$E$170=$B68)*ISNUMBER(INDEX(Inputs!$K$5:$AJ$170,0,MATCH(N$2,Inputs!$K$4:$AJ$4,0))))=0,NA(),SUMPRODUCT((Inputs!$A$5:$A$170=$B68)*Inputs!$B$5:$B$170*(((Inputs!$G$5:$G$170="moeda")+(Inputs!$G$5:$G$170="acoes"))*Inputs!$B$1+((Inputs!$G$5:$G$170&lt;&gt;"moeda")*(Inputs!$G$5:$G$170&lt;&gt;"acoes")))*INDEX(Inputs!$K$5:$AJ$170,0,MATCH(N$2,Inputs!$K$4:$AJ$4,0)))+SUMPRODUCT((Inputs!$C$5:$C$170=$B68)*Inputs!$D$5:$D$170*(((Inputs!$G$5:$G$170="moeda")+(Inputs!$G$5:$G$170="acoes"))*Inputs!$B$1+((Inputs!$G$5:$G$170&lt;&gt;"moeda")*(Inputs!$G$5:$G$170&lt;&gt;"acoes")))*INDEX(Inputs!$K$5:$AJ$170,0,MATCH(N$2,Inputs!$K$4:$AJ$4,0)))+SUMPRODUCT((Inputs!$E$5:$E$170=$B68)*Inputs!$F$5:$F$170*(((Inputs!$G$5:$G$170="moeda")+(Inputs!$G$5:$G$170="acoes"))*Inputs!$B$1+((Inputs!$G$5:$G$170&lt;&gt;"moeda")*(Inputs!$G$5:$G$170&lt;&gt;"acoes")))*INDEX(Inputs!$K$5:$AJ$170,0,MATCH(N$2,Inputs!$K$4:$AJ$4,0)))))</f>
        <v>98028</v>
      </c>
      <c r="O68" s="266">
        <f>IF(ISNA(MATCH(O$2,Inputs!$K$4:$AJ$4,0)),NA(),IF(SUMPRODUCT((Inputs!$A$5:$A$170=$B68)*ISNUMBER(INDEX(Inputs!$K$5:$AJ$170,0,MATCH(O$2,Inputs!$K$4:$AJ$4,0))))+SUMPRODUCT((Inputs!$C$5:$C$170=$B68)*ISNUMBER(INDEX(Inputs!$K$5:$AJ$170,0,MATCH(O$2,Inputs!$K$4:$AJ$4,0))))+SUMPRODUCT((Inputs!$E$5:$E$170=$B68)*ISNUMBER(INDEX(Inputs!$K$5:$AJ$170,0,MATCH(O$2,Inputs!$K$4:$AJ$4,0))))=0,NA(),SUMPRODUCT((Inputs!$A$5:$A$170=$B68)*Inputs!$B$5:$B$170*(((Inputs!$G$5:$G$170="moeda")+(Inputs!$G$5:$G$170="acoes"))*Inputs!$B$1+((Inputs!$G$5:$G$170&lt;&gt;"moeda")*(Inputs!$G$5:$G$170&lt;&gt;"acoes")))*INDEX(Inputs!$K$5:$AJ$170,0,MATCH(O$2,Inputs!$K$4:$AJ$4,0)))+SUMPRODUCT((Inputs!$C$5:$C$170=$B68)*Inputs!$D$5:$D$170*(((Inputs!$G$5:$G$170="moeda")+(Inputs!$G$5:$G$170="acoes"))*Inputs!$B$1+((Inputs!$G$5:$G$170&lt;&gt;"moeda")*(Inputs!$G$5:$G$170&lt;&gt;"acoes")))*INDEX(Inputs!$K$5:$AJ$170,0,MATCH(O$2,Inputs!$K$4:$AJ$4,0)))+SUMPRODUCT((Inputs!$E$5:$E$170=$B68)*Inputs!$F$5:$F$170*(((Inputs!$G$5:$G$170="moeda")+(Inputs!$G$5:$G$170="acoes"))*Inputs!$B$1+((Inputs!$G$5:$G$170&lt;&gt;"moeda")*(Inputs!$G$5:$G$170&lt;&gt;"acoes")))*INDEX(Inputs!$K$5:$AJ$170,0,MATCH(O$2,Inputs!$K$4:$AJ$4,0)))))</f>
        <v>100696.54</v>
      </c>
      <c r="P68" s="266">
        <f>IF(ISNA(MATCH(P$2,Inputs!$K$4:$AJ$4,0)),NA(),IF(SUMPRODUCT((Inputs!$A$5:$A$170=$B68)*ISNUMBER(INDEX(Inputs!$K$5:$AJ$170,0,MATCH(P$2,Inputs!$K$4:$AJ$4,0))))+SUMPRODUCT((Inputs!$C$5:$C$170=$B68)*ISNUMBER(INDEX(Inputs!$K$5:$AJ$170,0,MATCH(P$2,Inputs!$K$4:$AJ$4,0))))+SUMPRODUCT((Inputs!$E$5:$E$170=$B68)*ISNUMBER(INDEX(Inputs!$K$5:$AJ$170,0,MATCH(P$2,Inputs!$K$4:$AJ$4,0))))=0,NA(),SUMPRODUCT((Inputs!$A$5:$A$170=$B68)*Inputs!$B$5:$B$170*(((Inputs!$G$5:$G$170="moeda")+(Inputs!$G$5:$G$170="acoes"))*Inputs!$B$1+((Inputs!$G$5:$G$170&lt;&gt;"moeda")*(Inputs!$G$5:$G$170&lt;&gt;"acoes")))*INDEX(Inputs!$K$5:$AJ$170,0,MATCH(P$2,Inputs!$K$4:$AJ$4,0)))+SUMPRODUCT((Inputs!$C$5:$C$170=$B68)*Inputs!$D$5:$D$170*(((Inputs!$G$5:$G$170="moeda")+(Inputs!$G$5:$G$170="acoes"))*Inputs!$B$1+((Inputs!$G$5:$G$170&lt;&gt;"moeda")*(Inputs!$G$5:$G$170&lt;&gt;"acoes")))*INDEX(Inputs!$K$5:$AJ$170,0,MATCH(P$2,Inputs!$K$4:$AJ$4,0)))+SUMPRODUCT((Inputs!$E$5:$E$170=$B68)*Inputs!$F$5:$F$170*(((Inputs!$G$5:$G$170="moeda")+(Inputs!$G$5:$G$170="acoes"))*Inputs!$B$1+((Inputs!$G$5:$G$170&lt;&gt;"moeda")*(Inputs!$G$5:$G$170&lt;&gt;"acoes")))*INDEX(Inputs!$K$5:$AJ$170,0,MATCH(P$2,Inputs!$K$4:$AJ$4,0)))))</f>
        <v>101695.065</v>
      </c>
      <c r="Q68" s="266">
        <f>IF(ISNA(MATCH(Q$2,Inputs!$K$4:$AJ$4,0)),NA(),IF(SUMPRODUCT((Inputs!$A$5:$A$170=$B68)*ISNUMBER(INDEX(Inputs!$K$5:$AJ$170,0,MATCH(Q$2,Inputs!$K$4:$AJ$4,0))))+SUMPRODUCT((Inputs!$C$5:$C$170=$B68)*ISNUMBER(INDEX(Inputs!$K$5:$AJ$170,0,MATCH(Q$2,Inputs!$K$4:$AJ$4,0))))+SUMPRODUCT((Inputs!$E$5:$E$170=$B68)*ISNUMBER(INDEX(Inputs!$K$5:$AJ$170,0,MATCH(Q$2,Inputs!$K$4:$AJ$4,0))))=0,NA(),SUMPRODUCT((Inputs!$A$5:$A$170=$B68)*Inputs!$B$5:$B$170*(((Inputs!$G$5:$G$170="moeda")+(Inputs!$G$5:$G$170="acoes"))*Inputs!$B$1+((Inputs!$G$5:$G$170&lt;&gt;"moeda")*(Inputs!$G$5:$G$170&lt;&gt;"acoes")))*INDEX(Inputs!$K$5:$AJ$170,0,MATCH(Q$2,Inputs!$K$4:$AJ$4,0)))+SUMPRODUCT((Inputs!$C$5:$C$170=$B68)*Inputs!$D$5:$D$170*(((Inputs!$G$5:$G$170="moeda")+(Inputs!$G$5:$G$170="acoes"))*Inputs!$B$1+((Inputs!$G$5:$G$170&lt;&gt;"moeda")*(Inputs!$G$5:$G$170&lt;&gt;"acoes")))*INDEX(Inputs!$K$5:$AJ$170,0,MATCH(Q$2,Inputs!$K$4:$AJ$4,0)))+SUMPRODUCT((Inputs!$E$5:$E$170=$B68)*Inputs!$F$5:$F$170*(((Inputs!$G$5:$G$170="moeda")+(Inputs!$G$5:$G$170="acoes"))*Inputs!$B$1+((Inputs!$G$5:$G$170&lt;&gt;"moeda")*(Inputs!$G$5:$G$170&lt;&gt;"acoes")))*INDEX(Inputs!$K$5:$AJ$170,0,MATCH(Q$2,Inputs!$K$4:$AJ$4,0)))))</f>
        <v>107000.321</v>
      </c>
      <c r="R68" s="267" t="n"/>
      <c r="S68" s="266">
        <f>IF(ISNA(MATCH(S$2,Inputs!$K$4:$AJ$4,0)),NA(),IF(SUMPRODUCT((Inputs!$A$5:$A$170=$B68)*ISNUMBER(INDEX(Inputs!$K$5:$AJ$170,0,MATCH(S$2,Inputs!$K$4:$AJ$4,0))))+SUMPRODUCT((Inputs!$C$5:$C$170=$B68)*ISNUMBER(INDEX(Inputs!$K$5:$AJ$170,0,MATCH(S$2,Inputs!$K$4:$AJ$4,0))))+SUMPRODUCT((Inputs!$E$5:$E$170=$B68)*ISNUMBER(INDEX(Inputs!$K$5:$AJ$170,0,MATCH(S$2,Inputs!$K$4:$AJ$4,0))))=0,NA(),SUMPRODUCT((Inputs!$A$5:$A$170=$B68)*Inputs!$B$5:$B$170*(((Inputs!$G$5:$G$170="moeda")+(Inputs!$G$5:$G$170="acoes"))*Inputs!$B$1+((Inputs!$G$5:$G$170&lt;&gt;"moeda")*(Inputs!$G$5:$G$170&lt;&gt;"acoes")))*INDEX(Inputs!$K$5:$AJ$170,0,MATCH(S$2,Inputs!$K$4:$AJ$4,0)))+SUMPRODUCT((Inputs!$C$5:$C$170=$B68)*Inputs!$D$5:$D$170*(((Inputs!$G$5:$G$170="moeda")+(Inputs!$G$5:$G$170="acoes"))*Inputs!$B$1+((Inputs!$G$5:$G$170&lt;&gt;"moeda")*(Inputs!$G$5:$G$170&lt;&gt;"acoes")))*INDEX(Inputs!$K$5:$AJ$170,0,MATCH(S$2,Inputs!$K$4:$AJ$4,0)))+SUMPRODUCT((Inputs!$E$5:$E$170=$B68)*Inputs!$F$5:$F$170*(((Inputs!$G$5:$G$170="moeda")+(Inputs!$G$5:$G$170="acoes"))*Inputs!$B$1+((Inputs!$G$5:$G$170&lt;&gt;"moeda")*(Inputs!$G$5:$G$170&lt;&gt;"acoes")))*INDEX(Inputs!$K$5:$AJ$170,0,MATCH(S$2,Inputs!$K$4:$AJ$4,0)))))</f>
        <v>112709.434</v>
      </c>
      <c r="T68" s="266">
        <f>IF(ISNA(MATCH(T$2,Inputs!$K$4:$AJ$4,0)),NA(),IF(SUMPRODUCT((Inputs!$A$5:$A$170=$B68)*ISNUMBER(INDEX(Inputs!$K$5:$AJ$170,0,MATCH(T$2,Inputs!$K$4:$AJ$4,0))))+SUMPRODUCT((Inputs!$C$5:$C$170=$B68)*ISNUMBER(INDEX(Inputs!$K$5:$AJ$170,0,MATCH(T$2,Inputs!$K$4:$AJ$4,0))))+SUMPRODUCT((Inputs!$E$5:$E$170=$B68)*ISNUMBER(INDEX(Inputs!$K$5:$AJ$170,0,MATCH(T$2,Inputs!$K$4:$AJ$4,0))))=0,NA(),SUMPRODUCT((Inputs!$A$5:$A$170=$B68)*Inputs!$B$5:$B$170*(((Inputs!$G$5:$G$170="moeda")+(Inputs!$G$5:$G$170="acoes"))*Inputs!$B$1+((Inputs!$G$5:$G$170&lt;&gt;"moeda")*(Inputs!$G$5:$G$170&lt;&gt;"acoes")))*INDEX(Inputs!$K$5:$AJ$170,0,MATCH(T$2,Inputs!$K$4:$AJ$4,0)))+SUMPRODUCT((Inputs!$C$5:$C$170=$B68)*Inputs!$D$5:$D$170*(((Inputs!$G$5:$G$170="moeda")+(Inputs!$G$5:$G$170="acoes"))*Inputs!$B$1+((Inputs!$G$5:$G$170&lt;&gt;"moeda")*(Inputs!$G$5:$G$170&lt;&gt;"acoes")))*INDEX(Inputs!$K$5:$AJ$170,0,MATCH(T$2,Inputs!$K$4:$AJ$4,0)))+SUMPRODUCT((Inputs!$E$5:$E$170=$B68)*Inputs!$F$5:$F$170*(((Inputs!$G$5:$G$170="moeda")+(Inputs!$G$5:$G$170="acoes"))*Inputs!$B$1+((Inputs!$G$5:$G$170&lt;&gt;"moeda")*(Inputs!$G$5:$G$170&lt;&gt;"acoes")))*INDEX(Inputs!$K$5:$AJ$170,0,MATCH(T$2,Inputs!$K$4:$AJ$4,0)))))</f>
        <v>118512.363</v>
      </c>
      <c r="U68" s="266">
        <f>IF(ISNA(MATCH(U$2,Inputs!$K$4:$AJ$4,0)),NA(),IF(SUMPRODUCT((Inputs!$A$5:$A$170=$B68)*ISNUMBER(INDEX(Inputs!$K$5:$AJ$170,0,MATCH(U$2,Inputs!$K$4:$AJ$4,0))))+SUMPRODUCT((Inputs!$C$5:$C$170=$B68)*ISNUMBER(INDEX(Inputs!$K$5:$AJ$170,0,MATCH(U$2,Inputs!$K$4:$AJ$4,0))))+SUMPRODUCT((Inputs!$E$5:$E$170=$B68)*ISNUMBER(INDEX(Inputs!$K$5:$AJ$170,0,MATCH(U$2,Inputs!$K$4:$AJ$4,0))))=0,NA(),SUMPRODUCT((Inputs!$A$5:$A$170=$B68)*Inputs!$B$5:$B$170*(((Inputs!$G$5:$G$170="moeda")+(Inputs!$G$5:$G$170="acoes"))*Inputs!$B$1+((Inputs!$G$5:$G$170&lt;&gt;"moeda")*(Inputs!$G$5:$G$170&lt;&gt;"acoes")))*INDEX(Inputs!$K$5:$AJ$170,0,MATCH(U$2,Inputs!$K$4:$AJ$4,0)))+SUMPRODUCT((Inputs!$C$5:$C$170=$B68)*Inputs!$D$5:$D$170*(((Inputs!$G$5:$G$170="moeda")+(Inputs!$G$5:$G$170="acoes"))*Inputs!$B$1+((Inputs!$G$5:$G$170&lt;&gt;"moeda")*(Inputs!$G$5:$G$170&lt;&gt;"acoes")))*INDEX(Inputs!$K$5:$AJ$170,0,MATCH(U$2,Inputs!$K$4:$AJ$4,0)))+SUMPRODUCT((Inputs!$E$5:$E$170=$B68)*Inputs!$F$5:$F$170*(((Inputs!$G$5:$G$170="moeda")+(Inputs!$G$5:$G$170="acoes"))*Inputs!$B$1+((Inputs!$G$5:$G$170&lt;&gt;"moeda")*(Inputs!$G$5:$G$170&lt;&gt;"acoes")))*INDEX(Inputs!$K$5:$AJ$170,0,MATCH(U$2,Inputs!$K$4:$AJ$4,0)))))</f>
        <v>123986.478</v>
      </c>
      <c r="V68" s="266">
        <f>IF(ISNA(MATCH(V$2,Inputs!$K$4:$AJ$4,0)),NA(),IF(SUMPRODUCT((Inputs!$A$5:$A$170=$B68)*ISNUMBER(INDEX(Inputs!$K$5:$AJ$170,0,MATCH(V$2,Inputs!$K$4:$AJ$4,0))))+SUMPRODUCT((Inputs!$C$5:$C$170=$B68)*ISNUMBER(INDEX(Inputs!$K$5:$AJ$170,0,MATCH(V$2,Inputs!$K$4:$AJ$4,0))))+SUMPRODUCT((Inputs!$E$5:$E$170=$B68)*ISNUMBER(INDEX(Inputs!$K$5:$AJ$170,0,MATCH(V$2,Inputs!$K$4:$AJ$4,0))))=0,NA(),SUMPRODUCT((Inputs!$A$5:$A$170=$B68)*Inputs!$B$5:$B$170*(((Inputs!$G$5:$G$170="moeda")+(Inputs!$G$5:$G$170="acoes"))*Inputs!$B$1+((Inputs!$G$5:$G$170&lt;&gt;"moeda")*(Inputs!$G$5:$G$170&lt;&gt;"acoes")))*INDEX(Inputs!$K$5:$AJ$170,0,MATCH(V$2,Inputs!$K$4:$AJ$4,0)))+SUMPRODUCT((Inputs!$C$5:$C$170=$B68)*Inputs!$D$5:$D$170*(((Inputs!$G$5:$G$170="moeda")+(Inputs!$G$5:$G$170="acoes"))*Inputs!$B$1+((Inputs!$G$5:$G$170&lt;&gt;"moeda")*(Inputs!$G$5:$G$170&lt;&gt;"acoes")))*INDEX(Inputs!$K$5:$AJ$170,0,MATCH(V$2,Inputs!$K$4:$AJ$4,0)))+SUMPRODUCT((Inputs!$E$5:$E$170=$B68)*Inputs!$F$5:$F$170*(((Inputs!$G$5:$G$170="moeda")+(Inputs!$G$5:$G$170="acoes"))*Inputs!$B$1+((Inputs!$G$5:$G$170&lt;&gt;"moeda")*(Inputs!$G$5:$G$170&lt;&gt;"acoes")))*INDEX(Inputs!$K$5:$AJ$170,0,MATCH(V$2,Inputs!$K$4:$AJ$4,0)))))</f>
        <v>127312.332</v>
      </c>
      <c r="W68" s="267" t="n"/>
      <c r="X68" s="266">
        <f>IF(ISNA(MATCH(X$2,Inputs!$K$4:$AJ$4,0)),NA(),IF(SUMPRODUCT((Inputs!$A$5:$A$170=$B68)*ISNUMBER(INDEX(Inputs!$K$5:$AJ$170,0,MATCH(X$2,Inputs!$K$4:$AJ$4,0))))+SUMPRODUCT((Inputs!$C$5:$C$170=$B68)*ISNUMBER(INDEX(Inputs!$K$5:$AJ$170,0,MATCH(X$2,Inputs!$K$4:$AJ$4,0))))+SUMPRODUCT((Inputs!$E$5:$E$170=$B68)*ISNUMBER(INDEX(Inputs!$K$5:$AJ$170,0,MATCH(X$2,Inputs!$K$4:$AJ$4,0))))=0,NA(),SUMPRODUCT((Inputs!$A$5:$A$170=$B68)*Inputs!$B$5:$B$170*(((Inputs!$G$5:$G$170="moeda")+(Inputs!$G$5:$G$170="acoes"))*Inputs!$B$1+((Inputs!$G$5:$G$170&lt;&gt;"moeda")*(Inputs!$G$5:$G$170&lt;&gt;"acoes")))*INDEX(Inputs!$K$5:$AJ$170,0,MATCH(X$2,Inputs!$K$4:$AJ$4,0)))+SUMPRODUCT((Inputs!$C$5:$C$170=$B68)*Inputs!$D$5:$D$170*(((Inputs!$G$5:$G$170="moeda")+(Inputs!$G$5:$G$170="acoes"))*Inputs!$B$1+((Inputs!$G$5:$G$170&lt;&gt;"moeda")*(Inputs!$G$5:$G$170&lt;&gt;"acoes")))*INDEX(Inputs!$K$5:$AJ$170,0,MATCH(X$2,Inputs!$K$4:$AJ$4,0)))+SUMPRODUCT((Inputs!$E$5:$E$170=$B68)*Inputs!$F$5:$F$170*(((Inputs!$G$5:$G$170="moeda")+(Inputs!$G$5:$G$170="acoes"))*Inputs!$B$1+((Inputs!$G$5:$G$170&lt;&gt;"moeda")*(Inputs!$G$5:$G$170&lt;&gt;"acoes")))*INDEX(Inputs!$K$5:$AJ$170,0,MATCH(X$2,Inputs!$K$4:$AJ$4,0)))))</f>
        <v>128683.5</v>
      </c>
      <c r="Y68" s="266">
        <f>IF(ISNA(MATCH(Y$2,Inputs!$K$4:$AJ$4,0)),NA(),IF(SUMPRODUCT((Inputs!$A$5:$A$170=$B68)*ISNUMBER(INDEX(Inputs!$K$5:$AJ$170,0,MATCH(Y$2,Inputs!$K$4:$AJ$4,0))))+SUMPRODUCT((Inputs!$C$5:$C$170=$B68)*ISNUMBER(INDEX(Inputs!$K$5:$AJ$170,0,MATCH(Y$2,Inputs!$K$4:$AJ$4,0))))+SUMPRODUCT((Inputs!$E$5:$E$170=$B68)*ISNUMBER(INDEX(Inputs!$K$5:$AJ$170,0,MATCH(Y$2,Inputs!$K$4:$AJ$4,0))))=0,NA(),SUMPRODUCT((Inputs!$A$5:$A$170=$B68)*Inputs!$B$5:$B$170*(((Inputs!$G$5:$G$170="moeda")+(Inputs!$G$5:$G$170="acoes"))*Inputs!$B$1+((Inputs!$G$5:$G$170&lt;&gt;"moeda")*(Inputs!$G$5:$G$170&lt;&gt;"acoes")))*INDEX(Inputs!$K$5:$AJ$170,0,MATCH(Y$2,Inputs!$K$4:$AJ$4,0)))+SUMPRODUCT((Inputs!$C$5:$C$170=$B68)*Inputs!$D$5:$D$170*(((Inputs!$G$5:$G$170="moeda")+(Inputs!$G$5:$G$170="acoes"))*Inputs!$B$1+((Inputs!$G$5:$G$170&lt;&gt;"moeda")*(Inputs!$G$5:$G$170&lt;&gt;"acoes")))*INDEX(Inputs!$K$5:$AJ$170,0,MATCH(Y$2,Inputs!$K$4:$AJ$4,0)))+SUMPRODUCT((Inputs!$E$5:$E$170=$B68)*Inputs!$F$5:$F$170*(((Inputs!$G$5:$G$170="moeda")+(Inputs!$G$5:$G$170="acoes"))*Inputs!$B$1+((Inputs!$G$5:$G$170&lt;&gt;"moeda")*(Inputs!$G$5:$G$170&lt;&gt;"acoes")))*INDEX(Inputs!$K$5:$AJ$170,0,MATCH(Y$2,Inputs!$K$4:$AJ$4,0)))))</f>
        <v>126277.209</v>
      </c>
      <c r="Z68" s="266">
        <f>IF(ISNA(MATCH(Z$2,Inputs!$K$4:$AJ$4,0)),NA(),IF(SUMPRODUCT((Inputs!$A$5:$A$170=$B68)*ISNUMBER(INDEX(Inputs!$K$5:$AJ$170,0,MATCH(Z$2,Inputs!$K$4:$AJ$4,0))))+SUMPRODUCT((Inputs!$C$5:$C$170=$B68)*ISNUMBER(INDEX(Inputs!$K$5:$AJ$170,0,MATCH(Z$2,Inputs!$K$4:$AJ$4,0))))+SUMPRODUCT((Inputs!$E$5:$E$170=$B68)*ISNUMBER(INDEX(Inputs!$K$5:$AJ$170,0,MATCH(Z$2,Inputs!$K$4:$AJ$4,0))))=0,NA(),SUMPRODUCT((Inputs!$A$5:$A$170=$B68)*Inputs!$B$5:$B$170*(((Inputs!$G$5:$G$170="moeda")+(Inputs!$G$5:$G$170="acoes"))*Inputs!$B$1+((Inputs!$G$5:$G$170&lt;&gt;"moeda")*(Inputs!$G$5:$G$170&lt;&gt;"acoes")))*INDEX(Inputs!$K$5:$AJ$170,0,MATCH(Z$2,Inputs!$K$4:$AJ$4,0)))+SUMPRODUCT((Inputs!$C$5:$C$170=$B68)*Inputs!$D$5:$D$170*(((Inputs!$G$5:$G$170="moeda")+(Inputs!$G$5:$G$170="acoes"))*Inputs!$B$1+((Inputs!$G$5:$G$170&lt;&gt;"moeda")*(Inputs!$G$5:$G$170&lt;&gt;"acoes")))*INDEX(Inputs!$K$5:$AJ$170,0,MATCH(Z$2,Inputs!$K$4:$AJ$4,0)))+SUMPRODUCT((Inputs!$E$5:$E$170=$B68)*Inputs!$F$5:$F$170*(((Inputs!$G$5:$G$170="moeda")+(Inputs!$G$5:$G$170="acoes"))*Inputs!$B$1+((Inputs!$G$5:$G$170&lt;&gt;"moeda")*(Inputs!$G$5:$G$170&lt;&gt;"acoes")))*INDEX(Inputs!$K$5:$AJ$170,0,MATCH(Z$2,Inputs!$K$4:$AJ$4,0)))))</f>
        <v>128188.924</v>
      </c>
      <c r="AA68" s="266">
        <f>IF(ISNA(MATCH(AA$2,Inputs!$K$4:$AJ$4,0)),NA(),IF(SUMPRODUCT((Inputs!$A$5:$A$170=$B68)*ISNUMBER(INDEX(Inputs!$K$5:$AJ$170,0,MATCH(AA$2,Inputs!$K$4:$AJ$4,0))))+SUMPRODUCT((Inputs!$C$5:$C$170=$B68)*ISNUMBER(INDEX(Inputs!$K$5:$AJ$170,0,MATCH(AA$2,Inputs!$K$4:$AJ$4,0))))+SUMPRODUCT((Inputs!$E$5:$E$170=$B68)*ISNUMBER(INDEX(Inputs!$K$5:$AJ$170,0,MATCH(AA$2,Inputs!$K$4:$AJ$4,0))))=0,NA(),SUMPRODUCT((Inputs!$A$5:$A$170=$B68)*Inputs!$B$5:$B$170*(((Inputs!$G$5:$G$170="moeda")+(Inputs!$G$5:$G$170="acoes"))*Inputs!$B$1+((Inputs!$G$5:$G$170&lt;&gt;"moeda")*(Inputs!$G$5:$G$170&lt;&gt;"acoes")))*INDEX(Inputs!$K$5:$AJ$170,0,MATCH(AA$2,Inputs!$K$4:$AJ$4,0)))+SUMPRODUCT((Inputs!$C$5:$C$170=$B68)*Inputs!$D$5:$D$170*(((Inputs!$G$5:$G$170="moeda")+(Inputs!$G$5:$G$170="acoes"))*Inputs!$B$1+((Inputs!$G$5:$G$170&lt;&gt;"moeda")*(Inputs!$G$5:$G$170&lt;&gt;"acoes")))*INDEX(Inputs!$K$5:$AJ$170,0,MATCH(AA$2,Inputs!$K$4:$AJ$4,0)))+SUMPRODUCT((Inputs!$E$5:$E$170=$B68)*Inputs!$F$5:$F$170*(((Inputs!$G$5:$G$170="moeda")+(Inputs!$G$5:$G$170="acoes"))*Inputs!$B$1+((Inputs!$G$5:$G$170&lt;&gt;"moeda")*(Inputs!$G$5:$G$170&lt;&gt;"acoes")))*INDEX(Inputs!$K$5:$AJ$170,0,MATCH(AA$2,Inputs!$K$4:$AJ$4,0)))))</f>
        <v>129702.559782609</v>
      </c>
      <c r="AB68" s="267" t="n"/>
      <c r="AC68" s="266">
        <f>IF(ISNA(MATCH(AC$2,Inputs!$K$4:$AJ$4,0)),NA(),IF(SUMPRODUCT((Inputs!$A$5:$A$170=$B68)*ISNUMBER(INDEX(Inputs!$K$5:$AJ$170,0,MATCH(AC$2,Inputs!$K$4:$AJ$4,0))))+SUMPRODUCT((Inputs!$C$5:$C$170=$B68)*ISNUMBER(INDEX(Inputs!$K$5:$AJ$170,0,MATCH(AC$2,Inputs!$K$4:$AJ$4,0))))+SUMPRODUCT((Inputs!$E$5:$E$170=$B68)*ISNUMBER(INDEX(Inputs!$K$5:$AJ$170,0,MATCH(AC$2,Inputs!$K$4:$AJ$4,0))))=0,NA(),SUMPRODUCT((Inputs!$A$5:$A$170=$B68)*Inputs!$B$5:$B$170*(((Inputs!$G$5:$G$170="moeda")+(Inputs!$G$5:$G$170="acoes"))*Inputs!$B$1+((Inputs!$G$5:$G$170&lt;&gt;"moeda")*(Inputs!$G$5:$G$170&lt;&gt;"acoes")))*INDEX(Inputs!$K$5:$AJ$170,0,MATCH(AC$2,Inputs!$K$4:$AJ$4,0)))+SUMPRODUCT((Inputs!$C$5:$C$170=$B68)*Inputs!$D$5:$D$170*(((Inputs!$G$5:$G$170="moeda")+(Inputs!$G$5:$G$170="acoes"))*Inputs!$B$1+((Inputs!$G$5:$G$170&lt;&gt;"moeda")*(Inputs!$G$5:$G$170&lt;&gt;"acoes")))*INDEX(Inputs!$K$5:$AJ$170,0,MATCH(AC$2,Inputs!$K$4:$AJ$4,0)))+SUMPRODUCT((Inputs!$E$5:$E$170=$B68)*Inputs!$F$5:$F$170*(((Inputs!$G$5:$G$170="moeda")+(Inputs!$G$5:$G$170="acoes"))*Inputs!$B$1+((Inputs!$G$5:$G$170&lt;&gt;"moeda")*(Inputs!$G$5:$G$170&lt;&gt;"acoes")))*INDEX(Inputs!$K$5:$AJ$170,0,MATCH(AC$2,Inputs!$K$4:$AJ$4,0)))))</f>
        <v>131043.644444444</v>
      </c>
      <c r="AD68" s="266">
        <f>IF(ISNA(MATCH(AD$2,Inputs!$K$4:$AJ$4,0)),NA(),IF(SUMPRODUCT((Inputs!$A$5:$A$170=$B68)*ISNUMBER(INDEX(Inputs!$K$5:$AJ$170,0,MATCH(AD$2,Inputs!$K$4:$AJ$4,0))))+SUMPRODUCT((Inputs!$C$5:$C$170=$B68)*ISNUMBER(INDEX(Inputs!$K$5:$AJ$170,0,MATCH(AD$2,Inputs!$K$4:$AJ$4,0))))+SUMPRODUCT((Inputs!$E$5:$E$170=$B68)*ISNUMBER(INDEX(Inputs!$K$5:$AJ$170,0,MATCH(AD$2,Inputs!$K$4:$AJ$4,0))))=0,NA(),SUMPRODUCT((Inputs!$A$5:$A$170=$B68)*Inputs!$B$5:$B$170*(((Inputs!$G$5:$G$170="moeda")+(Inputs!$G$5:$G$170="acoes"))*Inputs!$B$1+((Inputs!$G$5:$G$170&lt;&gt;"moeda")*(Inputs!$G$5:$G$170&lt;&gt;"acoes")))*INDEX(Inputs!$K$5:$AJ$170,0,MATCH(AD$2,Inputs!$K$4:$AJ$4,0)))+SUMPRODUCT((Inputs!$C$5:$C$170=$B68)*Inputs!$D$5:$D$170*(((Inputs!$G$5:$G$170="moeda")+(Inputs!$G$5:$G$170="acoes"))*Inputs!$B$1+((Inputs!$G$5:$G$170&lt;&gt;"moeda")*(Inputs!$G$5:$G$170&lt;&gt;"acoes")))*INDEX(Inputs!$K$5:$AJ$170,0,MATCH(AD$2,Inputs!$K$4:$AJ$4,0)))+SUMPRODUCT((Inputs!$E$5:$E$170=$B68)*Inputs!$F$5:$F$170*(((Inputs!$G$5:$G$170="moeda")+(Inputs!$G$5:$G$170="acoes"))*Inputs!$B$1+((Inputs!$G$5:$G$170&lt;&gt;"moeda")*(Inputs!$G$5:$G$170&lt;&gt;"acoes")))*INDEX(Inputs!$K$5:$AJ$170,0,MATCH(AD$2,Inputs!$K$4:$AJ$4,0)))))</f>
        <v>130822.857142857</v>
      </c>
      <c r="AE68" s="266" t="e">
        <f>IF(ISNA(MATCH(AE$2,Inputs!$K$4:$AJ$4,0)),NA(),IF(SUMPRODUCT((Inputs!$A$5:$A$170=$B68)*ISNUMBER(INDEX(Inputs!$K$5:$AJ$170,0,MATCH(AE$2,Inputs!$K$4:$AJ$4,0))))+SUMPRODUCT((Inputs!$C$5:$C$170=$B68)*ISNUMBER(INDEX(Inputs!$K$5:$AJ$170,0,MATCH(AE$2,Inputs!$K$4:$AJ$4,0))))+SUMPRODUCT((Inputs!$E$5:$E$170=$B68)*ISNUMBER(INDEX(Inputs!$K$5:$AJ$170,0,MATCH(AE$2,Inputs!$K$4:$AJ$4,0))))=0,NA(),SUMPRODUCT((Inputs!$A$5:$A$170=$B68)*Inputs!$B$5:$B$170*(((Inputs!$G$5:$G$170="moeda")+(Inputs!$G$5:$G$170="acoes"))*Inputs!$B$1+((Inputs!$G$5:$G$170&lt;&gt;"moeda")*(Inputs!$G$5:$G$170&lt;&gt;"acoes")))*INDEX(Inputs!$K$5:$AJ$170,0,MATCH(AE$2,Inputs!$K$4:$AJ$4,0)))+SUMPRODUCT((Inputs!$C$5:$C$170=$B68)*Inputs!$D$5:$D$170*(((Inputs!$G$5:$G$170="moeda")+(Inputs!$G$5:$G$170="acoes"))*Inputs!$B$1+((Inputs!$G$5:$G$170&lt;&gt;"moeda")*(Inputs!$G$5:$G$170&lt;&gt;"acoes")))*INDEX(Inputs!$K$5:$AJ$170,0,MATCH(AE$2,Inputs!$K$4:$AJ$4,0)))+SUMPRODUCT((Inputs!$E$5:$E$170=$B68)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8" s="266" t="e">
        <f>IF(ISNA(MATCH(AF$2,Inputs!$K$4:$AJ$4,0)),NA(),IF(SUMPRODUCT((Inputs!$A$5:$A$170=$B68)*ISNUMBER(INDEX(Inputs!$K$5:$AJ$170,0,MATCH(AF$2,Inputs!$K$4:$AJ$4,0))))+SUMPRODUCT((Inputs!$C$5:$C$170=$B68)*ISNUMBER(INDEX(Inputs!$K$5:$AJ$170,0,MATCH(AF$2,Inputs!$K$4:$AJ$4,0))))+SUMPRODUCT((Inputs!$E$5:$E$170=$B68)*ISNUMBER(INDEX(Inputs!$K$5:$AJ$170,0,MATCH(AF$2,Inputs!$K$4:$AJ$4,0))))=0,NA(),SUMPRODUCT((Inputs!$A$5:$A$170=$B68)*Inputs!$B$5:$B$170*(((Inputs!$G$5:$G$170="moeda")+(Inputs!$G$5:$G$170="acoes"))*Inputs!$B$1+((Inputs!$G$5:$G$170&lt;&gt;"moeda")*(Inputs!$G$5:$G$170&lt;&gt;"acoes")))*INDEX(Inputs!$K$5:$AJ$170,0,MATCH(AF$2,Inputs!$K$4:$AJ$4,0)))+SUMPRODUCT((Inputs!$C$5:$C$170=$B68)*Inputs!$D$5:$D$170*(((Inputs!$G$5:$G$170="moeda")+(Inputs!$G$5:$G$170="acoes"))*Inputs!$B$1+((Inputs!$G$5:$G$170&lt;&gt;"moeda")*(Inputs!$G$5:$G$170&lt;&gt;"acoes")))*INDEX(Inputs!$K$5:$AJ$170,0,MATCH(AF$2,Inputs!$K$4:$AJ$4,0)))+SUMPRODUCT((Inputs!$E$5:$E$170=$B68)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8" s="267" t="n"/>
      <c r="AH68" s="266">
        <f>IF(ISNA(MATCH(AH$2,Inputs!$K$4:$AJ$4,0)),NA(),IF(SUMPRODUCT((Inputs!$A$5:$A$170=$B68)*ISNUMBER(INDEX(Inputs!$K$5:$AJ$170,0,MATCH(AH$2,Inputs!$K$4:$AJ$4,0))))+SUMPRODUCT((Inputs!$C$5:$C$170=$B68)*ISNUMBER(INDEX(Inputs!$K$5:$AJ$170,0,MATCH(AH$2,Inputs!$K$4:$AJ$4,0))))+SUMPRODUCT((Inputs!$E$5:$E$170=$B68)*ISNUMBER(INDEX(Inputs!$K$5:$AJ$170,0,MATCH(AH$2,Inputs!$K$4:$AJ$4,0))))=0,NA(),SUMPRODUCT((Inputs!$A$5:$A$170=$B68)*Inputs!$B$5:$B$170*(((Inputs!$G$5:$G$170="moeda")+(Inputs!$G$5:$G$170="acoes"))*Inputs!$B$1+((Inputs!$G$5:$G$170&lt;&gt;"moeda")*(Inputs!$G$5:$G$170&lt;&gt;"acoes")))*INDEX(Inputs!$K$5:$AJ$170,0,MATCH(AH$2,Inputs!$K$4:$AJ$4,0)))+SUMPRODUCT((Inputs!$C$5:$C$170=$B68)*Inputs!$D$5:$D$170*(((Inputs!$G$5:$G$170="moeda")+(Inputs!$G$5:$G$170="acoes"))*Inputs!$B$1+((Inputs!$G$5:$G$170&lt;&gt;"moeda")*(Inputs!$G$5:$G$170&lt;&gt;"acoes")))*INDEX(Inputs!$K$5:$AJ$170,0,MATCH(AH$2,Inputs!$K$4:$AJ$4,0)))+SUMPRODUCT((Inputs!$E$5:$E$170=$B68)*Inputs!$F$5:$F$170*(((Inputs!$G$5:$G$170="moeda")+(Inputs!$G$5:$G$170="acoes"))*Inputs!$B$1+((Inputs!$G$5:$G$170&lt;&gt;"moeda")*(Inputs!$G$5:$G$170&lt;&gt;"acoes")))*INDEX(Inputs!$K$5:$AJ$170,0,MATCH(AH$2,Inputs!$K$4:$AJ$4,0)))))</f>
        <v>34587</v>
      </c>
      <c r="AI68" s="266">
        <f>IF(ISNA(MATCH(AI$2,Inputs!$K$4:$AJ$4,0)),NA(),IF(SUMPRODUCT((Inputs!$A$5:$A$170=$B68)*ISNUMBER(INDEX(Inputs!$K$5:$AJ$170,0,MATCH(AI$2,Inputs!$K$4:$AJ$4,0))))+SUMPRODUCT((Inputs!$C$5:$C$170=$B68)*ISNUMBER(INDEX(Inputs!$K$5:$AJ$170,0,MATCH(AI$2,Inputs!$K$4:$AJ$4,0))))+SUMPRODUCT((Inputs!$E$5:$E$170=$B68)*ISNUMBER(INDEX(Inputs!$K$5:$AJ$170,0,MATCH(AI$2,Inputs!$K$4:$AJ$4,0))))=0,NA(),SUMPRODUCT((Inputs!$A$5:$A$170=$B68)*Inputs!$B$5:$B$170*(((Inputs!$G$5:$G$170="moeda")+(Inputs!$G$5:$G$170="acoes"))*Inputs!$B$1+((Inputs!$G$5:$G$170&lt;&gt;"moeda")*(Inputs!$G$5:$G$170&lt;&gt;"acoes")))*INDEX(Inputs!$K$5:$AJ$170,0,MATCH(AI$2,Inputs!$K$4:$AJ$4,0)))+SUMPRODUCT((Inputs!$C$5:$C$170=$B68)*Inputs!$D$5:$D$170*(((Inputs!$G$5:$G$170="moeda")+(Inputs!$G$5:$G$170="acoes"))*Inputs!$B$1+((Inputs!$G$5:$G$170&lt;&gt;"moeda")*(Inputs!$G$5:$G$170&lt;&gt;"acoes")))*INDEX(Inputs!$K$5:$AJ$170,0,MATCH(AI$2,Inputs!$K$4:$AJ$4,0)))+SUMPRODUCT((Inputs!$E$5:$E$170=$B68)*Inputs!$F$5:$F$170*(((Inputs!$G$5:$G$170="moeda")+(Inputs!$G$5:$G$170="acoes"))*Inputs!$B$1+((Inputs!$G$5:$G$170&lt;&gt;"moeda")*(Inputs!$G$5:$G$170&lt;&gt;"acoes")))*INDEX(Inputs!$K$5:$AJ$170,0,MATCH(AI$2,Inputs!$K$4:$AJ$4,0)))))</f>
        <v>32980</v>
      </c>
      <c r="AJ68" s="266">
        <f>IF(ISNA(MATCH(AJ$2,Inputs!$K$4:$AJ$4,0)),NA(),IF(SUMPRODUCT((Inputs!$A$5:$A$170=$B68)*ISNUMBER(INDEX(Inputs!$K$5:$AJ$170,0,MATCH(AJ$2,Inputs!$K$4:$AJ$4,0))))+SUMPRODUCT((Inputs!$C$5:$C$170=$B68)*ISNUMBER(INDEX(Inputs!$K$5:$AJ$170,0,MATCH(AJ$2,Inputs!$K$4:$AJ$4,0))))+SUMPRODUCT((Inputs!$E$5:$E$170=$B68)*ISNUMBER(INDEX(Inputs!$K$5:$AJ$170,0,MATCH(AJ$2,Inputs!$K$4:$AJ$4,0))))=0,NA(),SUMPRODUCT((Inputs!$A$5:$A$170=$B68)*Inputs!$B$5:$B$170*(((Inputs!$G$5:$G$170="moeda")+(Inputs!$G$5:$G$170="acoes"))*Inputs!$B$1+((Inputs!$G$5:$G$170&lt;&gt;"moeda")*(Inputs!$G$5:$G$170&lt;&gt;"acoes")))*INDEX(Inputs!$K$5:$AJ$170,0,MATCH(AJ$2,Inputs!$K$4:$AJ$4,0)))+SUMPRODUCT((Inputs!$C$5:$C$170=$B68)*Inputs!$D$5:$D$170*(((Inputs!$G$5:$G$170="moeda")+(Inputs!$G$5:$G$170="acoes"))*Inputs!$B$1+((Inputs!$G$5:$G$170&lt;&gt;"moeda")*(Inputs!$G$5:$G$170&lt;&gt;"acoes")))*INDEX(Inputs!$K$5:$AJ$170,0,MATCH(AJ$2,Inputs!$K$4:$AJ$4,0)))+SUMPRODUCT((Inputs!$E$5:$E$170=$B68)*Inputs!$F$5:$F$170*(((Inputs!$G$5:$G$170="moeda")+(Inputs!$G$5:$G$170="acoes"))*Inputs!$B$1+((Inputs!$G$5:$G$170&lt;&gt;"moeda")*(Inputs!$G$5:$G$170&lt;&gt;"acoes")))*INDEX(Inputs!$K$5:$AJ$170,0,MATCH(AJ$2,Inputs!$K$4:$AJ$4,0)))))</f>
        <v>33511.333</v>
      </c>
      <c r="AK68" s="266">
        <f>IF(ISNA(MATCH(AK$2,Inputs!$K$4:$AJ$4,0)),NA(),IF(SUMPRODUCT((Inputs!$A$5:$A$170=$B68)*ISNUMBER(INDEX(Inputs!$K$5:$AJ$170,0,MATCH(AK$2,Inputs!$K$4:$AJ$4,0))))+SUMPRODUCT((Inputs!$C$5:$C$170=$B68)*ISNUMBER(INDEX(Inputs!$K$5:$AJ$170,0,MATCH(AK$2,Inputs!$K$4:$AJ$4,0))))+SUMPRODUCT((Inputs!$E$5:$E$170=$B68)*ISNUMBER(INDEX(Inputs!$K$5:$AJ$170,0,MATCH(AK$2,Inputs!$K$4:$AJ$4,0))))=0,NA(),SUMPRODUCT((Inputs!$A$5:$A$170=$B68)*Inputs!$B$5:$B$170*(((Inputs!$G$5:$G$170="moeda")+(Inputs!$G$5:$G$170="acoes"))*Inputs!$B$1+((Inputs!$G$5:$G$170&lt;&gt;"moeda")*(Inputs!$G$5:$G$170&lt;&gt;"acoes")))*INDEX(Inputs!$K$5:$AJ$170,0,MATCH(AK$2,Inputs!$K$4:$AJ$4,0)))+SUMPRODUCT((Inputs!$C$5:$C$170=$B68)*Inputs!$D$5:$D$170*(((Inputs!$G$5:$G$170="moeda")+(Inputs!$G$5:$G$170="acoes"))*Inputs!$B$1+((Inputs!$G$5:$G$170&lt;&gt;"moeda")*(Inputs!$G$5:$G$170&lt;&gt;"acoes")))*INDEX(Inputs!$K$5:$AJ$170,0,MATCH(AK$2,Inputs!$K$4:$AJ$4,0)))+SUMPRODUCT((Inputs!$E$5:$E$170=$B68)*Inputs!$F$5:$F$170*(((Inputs!$G$5:$G$170="moeda")+(Inputs!$G$5:$G$170="acoes"))*Inputs!$B$1+((Inputs!$G$5:$G$170&lt;&gt;"moeda")*(Inputs!$G$5:$G$170&lt;&gt;"acoes")))*INDEX(Inputs!$K$5:$AJ$170,0,MATCH(AK$2,Inputs!$K$4:$AJ$4,0)))))</f>
        <v>39270.356</v>
      </c>
      <c r="AL68" s="267" t="n"/>
    </row>
    <row r="69">
      <c r="B69" s="46" t="n">
        <v>61</v>
      </c>
      <c r="C69" s="29" t="inlineStr">
        <is>
          <t>GTF - ticket medio mensal (R$; Op Data l.25)</t>
        </is>
      </c>
      <c r="D69" s="266">
        <f>IF(ISNA(MATCH(D$2,Inputs!$K$4:$AJ$4,0)),NA(),IF(SUMPRODUCT((Inputs!$A$5:$A$170=$B69)*ISNUMBER(INDEX(Inputs!$K$5:$AJ$170,0,MATCH(D$2,Inputs!$K$4:$AJ$4,0))))+SUMPRODUCT((Inputs!$C$5:$C$170=$B69)*ISNUMBER(INDEX(Inputs!$K$5:$AJ$170,0,MATCH(D$2,Inputs!$K$4:$AJ$4,0))))+SUMPRODUCT((Inputs!$E$5:$E$170=$B69)*ISNUMBER(INDEX(Inputs!$K$5:$AJ$170,0,MATCH(D$2,Inputs!$K$4:$AJ$4,0))))=0,NA(),SUMPRODUCT((Inputs!$A$5:$A$170=$B69)*Inputs!$B$5:$B$170*(((Inputs!$G$5:$G$170="moeda")+(Inputs!$G$5:$G$170="acoes"))*Inputs!$B$1+((Inputs!$G$5:$G$170&lt;&gt;"moeda")*(Inputs!$G$5:$G$170&lt;&gt;"acoes")))*INDEX(Inputs!$K$5:$AJ$170,0,MATCH(D$2,Inputs!$K$4:$AJ$4,0)))+SUMPRODUCT((Inputs!$C$5:$C$170=$B69)*Inputs!$D$5:$D$170*(((Inputs!$G$5:$G$170="moeda")+(Inputs!$G$5:$G$170="acoes"))*Inputs!$B$1+((Inputs!$G$5:$G$170&lt;&gt;"moeda")*(Inputs!$G$5:$G$170&lt;&gt;"acoes")))*INDEX(Inputs!$K$5:$AJ$170,0,MATCH(D$2,Inputs!$K$4:$AJ$4,0)))+SUMPRODUCT((Inputs!$E$5:$E$170=$B69)*Inputs!$F$5:$F$170*(((Inputs!$G$5:$G$170="moeda")+(Inputs!$G$5:$G$170="acoes"))*Inputs!$B$1+((Inputs!$G$5:$G$170&lt;&gt;"moeda")*(Inputs!$G$5:$G$170&lt;&gt;"acoes")))*INDEX(Inputs!$K$5:$AJ$170,0,MATCH(D$2,Inputs!$K$4:$AJ$4,0)))))</f>
        <v>1372.319</v>
      </c>
      <c r="E69" s="266">
        <f>IF(ISNA(MATCH(E$2,Inputs!$K$4:$AJ$4,0)),NA(),IF(SUMPRODUCT((Inputs!$A$5:$A$170=$B69)*ISNUMBER(INDEX(Inputs!$K$5:$AJ$170,0,MATCH(E$2,Inputs!$K$4:$AJ$4,0))))+SUMPRODUCT((Inputs!$C$5:$C$170=$B69)*ISNUMBER(INDEX(Inputs!$K$5:$AJ$170,0,MATCH(E$2,Inputs!$K$4:$AJ$4,0))))+SUMPRODUCT((Inputs!$E$5:$E$170=$B69)*ISNUMBER(INDEX(Inputs!$K$5:$AJ$170,0,MATCH(E$2,Inputs!$K$4:$AJ$4,0))))=0,NA(),SUMPRODUCT((Inputs!$A$5:$A$170=$B69)*Inputs!$B$5:$B$170*(((Inputs!$G$5:$G$170="moeda")+(Inputs!$G$5:$G$170="acoes"))*Inputs!$B$1+((Inputs!$G$5:$G$170&lt;&gt;"moeda")*(Inputs!$G$5:$G$170&lt;&gt;"acoes")))*INDEX(Inputs!$K$5:$AJ$170,0,MATCH(E$2,Inputs!$K$4:$AJ$4,0)))+SUMPRODUCT((Inputs!$C$5:$C$170=$B69)*Inputs!$D$5:$D$170*(((Inputs!$G$5:$G$170="moeda")+(Inputs!$G$5:$G$170="acoes"))*Inputs!$B$1+((Inputs!$G$5:$G$170&lt;&gt;"moeda")*(Inputs!$G$5:$G$170&lt;&gt;"acoes")))*INDEX(Inputs!$K$5:$AJ$170,0,MATCH(E$2,Inputs!$K$4:$AJ$4,0)))+SUMPRODUCT((Inputs!$E$5:$E$170=$B69)*Inputs!$F$5:$F$170*(((Inputs!$G$5:$G$170="moeda")+(Inputs!$G$5:$G$170="acoes"))*Inputs!$B$1+((Inputs!$G$5:$G$170&lt;&gt;"moeda")*(Inputs!$G$5:$G$170&lt;&gt;"acoes")))*INDEX(Inputs!$K$5:$AJ$170,0,MATCH(E$2,Inputs!$K$4:$AJ$4,0)))))</f>
        <v>1446.677</v>
      </c>
      <c r="F69" s="266">
        <f>IF(ISNA(MATCH(F$2,Inputs!$K$4:$AJ$4,0)),NA(),IF(SUMPRODUCT((Inputs!$A$5:$A$170=$B69)*ISNUMBER(INDEX(Inputs!$K$5:$AJ$170,0,MATCH(F$2,Inputs!$K$4:$AJ$4,0))))+SUMPRODUCT((Inputs!$C$5:$C$170=$B69)*ISNUMBER(INDEX(Inputs!$K$5:$AJ$170,0,MATCH(F$2,Inputs!$K$4:$AJ$4,0))))+SUMPRODUCT((Inputs!$E$5:$E$170=$B69)*ISNUMBER(INDEX(Inputs!$K$5:$AJ$170,0,MATCH(F$2,Inputs!$K$4:$AJ$4,0))))=0,NA(),SUMPRODUCT((Inputs!$A$5:$A$170=$B69)*Inputs!$B$5:$B$170*(((Inputs!$G$5:$G$170="moeda")+(Inputs!$G$5:$G$170="acoes"))*Inputs!$B$1+((Inputs!$G$5:$G$170&lt;&gt;"moeda")*(Inputs!$G$5:$G$170&lt;&gt;"acoes")))*INDEX(Inputs!$K$5:$AJ$170,0,MATCH(F$2,Inputs!$K$4:$AJ$4,0)))+SUMPRODUCT((Inputs!$C$5:$C$170=$B69)*Inputs!$D$5:$D$170*(((Inputs!$G$5:$G$170="moeda")+(Inputs!$G$5:$G$170="acoes"))*Inputs!$B$1+((Inputs!$G$5:$G$170&lt;&gt;"moeda")*(Inputs!$G$5:$G$170&lt;&gt;"acoes")))*INDEX(Inputs!$K$5:$AJ$170,0,MATCH(F$2,Inputs!$K$4:$AJ$4,0)))+SUMPRODUCT((Inputs!$E$5:$E$170=$B69)*Inputs!$F$5:$F$170*(((Inputs!$G$5:$G$170="moeda")+(Inputs!$G$5:$G$170="acoes"))*Inputs!$B$1+((Inputs!$G$5:$G$170&lt;&gt;"moeda")*(Inputs!$G$5:$G$170&lt;&gt;"acoes")))*INDEX(Inputs!$K$5:$AJ$170,0,MATCH(F$2,Inputs!$K$4:$AJ$4,0)))))</f>
        <v>1556.347</v>
      </c>
      <c r="G69" s="266">
        <f>IF(ISNA(MATCH(G$2,Inputs!$K$4:$AJ$4,0)),NA(),IF(SUMPRODUCT((Inputs!$A$5:$A$170=$B69)*ISNUMBER(INDEX(Inputs!$K$5:$AJ$170,0,MATCH(G$2,Inputs!$K$4:$AJ$4,0))))+SUMPRODUCT((Inputs!$C$5:$C$170=$B69)*ISNUMBER(INDEX(Inputs!$K$5:$AJ$170,0,MATCH(G$2,Inputs!$K$4:$AJ$4,0))))+SUMPRODUCT((Inputs!$E$5:$E$170=$B69)*ISNUMBER(INDEX(Inputs!$K$5:$AJ$170,0,MATCH(G$2,Inputs!$K$4:$AJ$4,0))))=0,NA(),SUMPRODUCT((Inputs!$A$5:$A$170=$B69)*Inputs!$B$5:$B$170*(((Inputs!$G$5:$G$170="moeda")+(Inputs!$G$5:$G$170="acoes"))*Inputs!$B$1+((Inputs!$G$5:$G$170&lt;&gt;"moeda")*(Inputs!$G$5:$G$170&lt;&gt;"acoes")))*INDEX(Inputs!$K$5:$AJ$170,0,MATCH(G$2,Inputs!$K$4:$AJ$4,0)))+SUMPRODUCT((Inputs!$C$5:$C$170=$B69)*Inputs!$D$5:$D$170*(((Inputs!$G$5:$G$170="moeda")+(Inputs!$G$5:$G$170="acoes"))*Inputs!$B$1+((Inputs!$G$5:$G$170&lt;&gt;"moeda")*(Inputs!$G$5:$G$170&lt;&gt;"acoes")))*INDEX(Inputs!$K$5:$AJ$170,0,MATCH(G$2,Inputs!$K$4:$AJ$4,0)))+SUMPRODUCT((Inputs!$E$5:$E$170=$B69)*Inputs!$F$5:$F$170*(((Inputs!$G$5:$G$170="moeda")+(Inputs!$G$5:$G$170="acoes"))*Inputs!$B$1+((Inputs!$G$5:$G$170&lt;&gt;"moeda")*(Inputs!$G$5:$G$170&lt;&gt;"acoes")))*INDEX(Inputs!$K$5:$AJ$170,0,MATCH(G$2,Inputs!$K$4:$AJ$4,0)))))</f>
        <v>1554.954</v>
      </c>
      <c r="H69" s="267" t="n"/>
      <c r="I69" s="266">
        <f>IF(ISNA(MATCH(I$2,Inputs!$K$4:$AJ$4,0)),NA(),IF(SUMPRODUCT((Inputs!$A$5:$A$170=$B69)*ISNUMBER(INDEX(Inputs!$K$5:$AJ$170,0,MATCH(I$2,Inputs!$K$4:$AJ$4,0))))+SUMPRODUCT((Inputs!$C$5:$C$170=$B69)*ISNUMBER(INDEX(Inputs!$K$5:$AJ$170,0,MATCH(I$2,Inputs!$K$4:$AJ$4,0))))+SUMPRODUCT((Inputs!$E$5:$E$170=$B69)*ISNUMBER(INDEX(Inputs!$K$5:$AJ$170,0,MATCH(I$2,Inputs!$K$4:$AJ$4,0))))=0,NA(),SUMPRODUCT((Inputs!$A$5:$A$170=$B69)*Inputs!$B$5:$B$170*(((Inputs!$G$5:$G$170="moeda")+(Inputs!$G$5:$G$170="acoes"))*Inputs!$B$1+((Inputs!$G$5:$G$170&lt;&gt;"moeda")*(Inputs!$G$5:$G$170&lt;&gt;"acoes")))*INDEX(Inputs!$K$5:$AJ$170,0,MATCH(I$2,Inputs!$K$4:$AJ$4,0)))+SUMPRODUCT((Inputs!$C$5:$C$170=$B69)*Inputs!$D$5:$D$170*(((Inputs!$G$5:$G$170="moeda")+(Inputs!$G$5:$G$170="acoes"))*Inputs!$B$1+((Inputs!$G$5:$G$170&lt;&gt;"moeda")*(Inputs!$G$5:$G$170&lt;&gt;"acoes")))*INDEX(Inputs!$K$5:$AJ$170,0,MATCH(I$2,Inputs!$K$4:$AJ$4,0)))+SUMPRODUCT((Inputs!$E$5:$E$170=$B69)*Inputs!$F$5:$F$170*(((Inputs!$G$5:$G$170="moeda")+(Inputs!$G$5:$G$170="acoes"))*Inputs!$B$1+((Inputs!$G$5:$G$170&lt;&gt;"moeda")*(Inputs!$G$5:$G$170&lt;&gt;"acoes")))*INDEX(Inputs!$K$5:$AJ$170,0,MATCH(I$2,Inputs!$K$4:$AJ$4,0)))))</f>
        <v>1656.1</v>
      </c>
      <c r="J69" s="266">
        <f>IF(ISNA(MATCH(J$2,Inputs!$K$4:$AJ$4,0)),NA(),IF(SUMPRODUCT((Inputs!$A$5:$A$170=$B69)*ISNUMBER(INDEX(Inputs!$K$5:$AJ$170,0,MATCH(J$2,Inputs!$K$4:$AJ$4,0))))+SUMPRODUCT((Inputs!$C$5:$C$170=$B69)*ISNUMBER(INDEX(Inputs!$K$5:$AJ$170,0,MATCH(J$2,Inputs!$K$4:$AJ$4,0))))+SUMPRODUCT((Inputs!$E$5:$E$170=$B69)*ISNUMBER(INDEX(Inputs!$K$5:$AJ$170,0,MATCH(J$2,Inputs!$K$4:$AJ$4,0))))=0,NA(),SUMPRODUCT((Inputs!$A$5:$A$170=$B69)*Inputs!$B$5:$B$170*(((Inputs!$G$5:$G$170="moeda")+(Inputs!$G$5:$G$170="acoes"))*Inputs!$B$1+((Inputs!$G$5:$G$170&lt;&gt;"moeda")*(Inputs!$G$5:$G$170&lt;&gt;"acoes")))*INDEX(Inputs!$K$5:$AJ$170,0,MATCH(J$2,Inputs!$K$4:$AJ$4,0)))+SUMPRODUCT((Inputs!$C$5:$C$170=$B69)*Inputs!$D$5:$D$170*(((Inputs!$G$5:$G$170="moeda")+(Inputs!$G$5:$G$170="acoes"))*Inputs!$B$1+((Inputs!$G$5:$G$170&lt;&gt;"moeda")*(Inputs!$G$5:$G$170&lt;&gt;"acoes")))*INDEX(Inputs!$K$5:$AJ$170,0,MATCH(J$2,Inputs!$K$4:$AJ$4,0)))+SUMPRODUCT((Inputs!$E$5:$E$170=$B69)*Inputs!$F$5:$F$170*(((Inputs!$G$5:$G$170="moeda")+(Inputs!$G$5:$G$170="acoes"))*Inputs!$B$1+((Inputs!$G$5:$G$170&lt;&gt;"moeda")*(Inputs!$G$5:$G$170&lt;&gt;"acoes")))*INDEX(Inputs!$K$5:$AJ$170,0,MATCH(J$2,Inputs!$K$4:$AJ$4,0)))))</f>
        <v>1785.39</v>
      </c>
      <c r="K69" s="266">
        <f>IF(ISNA(MATCH(K$2,Inputs!$K$4:$AJ$4,0)),NA(),IF(SUMPRODUCT((Inputs!$A$5:$A$170=$B69)*ISNUMBER(INDEX(Inputs!$K$5:$AJ$170,0,MATCH(K$2,Inputs!$K$4:$AJ$4,0))))+SUMPRODUCT((Inputs!$C$5:$C$170=$B69)*ISNUMBER(INDEX(Inputs!$K$5:$AJ$170,0,MATCH(K$2,Inputs!$K$4:$AJ$4,0))))+SUMPRODUCT((Inputs!$E$5:$E$170=$B69)*ISNUMBER(INDEX(Inputs!$K$5:$AJ$170,0,MATCH(K$2,Inputs!$K$4:$AJ$4,0))))=0,NA(),SUMPRODUCT((Inputs!$A$5:$A$170=$B69)*Inputs!$B$5:$B$170*(((Inputs!$G$5:$G$170="moeda")+(Inputs!$G$5:$G$170="acoes"))*Inputs!$B$1+((Inputs!$G$5:$G$170&lt;&gt;"moeda")*(Inputs!$G$5:$G$170&lt;&gt;"acoes")))*INDEX(Inputs!$K$5:$AJ$170,0,MATCH(K$2,Inputs!$K$4:$AJ$4,0)))+SUMPRODUCT((Inputs!$C$5:$C$170=$B69)*Inputs!$D$5:$D$170*(((Inputs!$G$5:$G$170="moeda")+(Inputs!$G$5:$G$170="acoes"))*Inputs!$B$1+((Inputs!$G$5:$G$170&lt;&gt;"moeda")*(Inputs!$G$5:$G$170&lt;&gt;"acoes")))*INDEX(Inputs!$K$5:$AJ$170,0,MATCH(K$2,Inputs!$K$4:$AJ$4,0)))+SUMPRODUCT((Inputs!$E$5:$E$170=$B69)*Inputs!$F$5:$F$170*(((Inputs!$G$5:$G$170="moeda")+(Inputs!$G$5:$G$170="acoes"))*Inputs!$B$1+((Inputs!$G$5:$G$170&lt;&gt;"moeda")*(Inputs!$G$5:$G$170&lt;&gt;"acoes")))*INDEX(Inputs!$K$5:$AJ$170,0,MATCH(K$2,Inputs!$K$4:$AJ$4,0)))))</f>
        <v>1811.553</v>
      </c>
      <c r="L69" s="266">
        <f>IF(ISNA(MATCH(L$2,Inputs!$K$4:$AJ$4,0)),NA(),IF(SUMPRODUCT((Inputs!$A$5:$A$170=$B69)*ISNUMBER(INDEX(Inputs!$K$5:$AJ$170,0,MATCH(L$2,Inputs!$K$4:$AJ$4,0))))+SUMPRODUCT((Inputs!$C$5:$C$170=$B69)*ISNUMBER(INDEX(Inputs!$K$5:$AJ$170,0,MATCH(L$2,Inputs!$K$4:$AJ$4,0))))+SUMPRODUCT((Inputs!$E$5:$E$170=$B69)*ISNUMBER(INDEX(Inputs!$K$5:$AJ$170,0,MATCH(L$2,Inputs!$K$4:$AJ$4,0))))=0,NA(),SUMPRODUCT((Inputs!$A$5:$A$170=$B69)*Inputs!$B$5:$B$170*(((Inputs!$G$5:$G$170="moeda")+(Inputs!$G$5:$G$170="acoes"))*Inputs!$B$1+((Inputs!$G$5:$G$170&lt;&gt;"moeda")*(Inputs!$G$5:$G$170&lt;&gt;"acoes")))*INDEX(Inputs!$K$5:$AJ$170,0,MATCH(L$2,Inputs!$K$4:$AJ$4,0)))+SUMPRODUCT((Inputs!$C$5:$C$170=$B69)*Inputs!$D$5:$D$170*(((Inputs!$G$5:$G$170="moeda")+(Inputs!$G$5:$G$170="acoes"))*Inputs!$B$1+((Inputs!$G$5:$G$170&lt;&gt;"moeda")*(Inputs!$G$5:$G$170&lt;&gt;"acoes")))*INDEX(Inputs!$K$5:$AJ$170,0,MATCH(L$2,Inputs!$K$4:$AJ$4,0)))+SUMPRODUCT((Inputs!$E$5:$E$170=$B69)*Inputs!$F$5:$F$170*(((Inputs!$G$5:$G$170="moeda")+(Inputs!$G$5:$G$170="acoes"))*Inputs!$B$1+((Inputs!$G$5:$G$170&lt;&gt;"moeda")*(Inputs!$G$5:$G$170&lt;&gt;"acoes")))*INDEX(Inputs!$K$5:$AJ$170,0,MATCH(L$2,Inputs!$K$4:$AJ$4,0)))))</f>
        <v>1924.074</v>
      </c>
      <c r="M69" s="267" t="n"/>
      <c r="N69" s="266">
        <f>IF(ISNA(MATCH(N$2,Inputs!$K$4:$AJ$4,0)),NA(),IF(SUMPRODUCT((Inputs!$A$5:$A$170=$B69)*ISNUMBER(INDEX(Inputs!$K$5:$AJ$170,0,MATCH(N$2,Inputs!$K$4:$AJ$4,0))))+SUMPRODUCT((Inputs!$C$5:$C$170=$B69)*ISNUMBER(INDEX(Inputs!$K$5:$AJ$170,0,MATCH(N$2,Inputs!$K$4:$AJ$4,0))))+SUMPRODUCT((Inputs!$E$5:$E$170=$B69)*ISNUMBER(INDEX(Inputs!$K$5:$AJ$170,0,MATCH(N$2,Inputs!$K$4:$AJ$4,0))))=0,NA(),SUMPRODUCT((Inputs!$A$5:$A$170=$B69)*Inputs!$B$5:$B$170*(((Inputs!$G$5:$G$170="moeda")+(Inputs!$G$5:$G$170="acoes"))*Inputs!$B$1+((Inputs!$G$5:$G$170&lt;&gt;"moeda")*(Inputs!$G$5:$G$170&lt;&gt;"acoes")))*INDEX(Inputs!$K$5:$AJ$170,0,MATCH(N$2,Inputs!$K$4:$AJ$4,0)))+SUMPRODUCT((Inputs!$C$5:$C$170=$B69)*Inputs!$D$5:$D$170*(((Inputs!$G$5:$G$170="moeda")+(Inputs!$G$5:$G$170="acoes"))*Inputs!$B$1+((Inputs!$G$5:$G$170&lt;&gt;"moeda")*(Inputs!$G$5:$G$170&lt;&gt;"acoes")))*INDEX(Inputs!$K$5:$AJ$170,0,MATCH(N$2,Inputs!$K$4:$AJ$4,0)))+SUMPRODUCT((Inputs!$E$5:$E$170=$B69)*Inputs!$F$5:$F$170*(((Inputs!$G$5:$G$170="moeda")+(Inputs!$G$5:$G$170="acoes"))*Inputs!$B$1+((Inputs!$G$5:$G$170&lt;&gt;"moeda")*(Inputs!$G$5:$G$170&lt;&gt;"acoes")))*INDEX(Inputs!$K$5:$AJ$170,0,MATCH(N$2,Inputs!$K$4:$AJ$4,0)))))</f>
        <v>2040.898</v>
      </c>
      <c r="O69" s="266">
        <f>IF(ISNA(MATCH(O$2,Inputs!$K$4:$AJ$4,0)),NA(),IF(SUMPRODUCT((Inputs!$A$5:$A$170=$B69)*ISNUMBER(INDEX(Inputs!$K$5:$AJ$170,0,MATCH(O$2,Inputs!$K$4:$AJ$4,0))))+SUMPRODUCT((Inputs!$C$5:$C$170=$B69)*ISNUMBER(INDEX(Inputs!$K$5:$AJ$170,0,MATCH(O$2,Inputs!$K$4:$AJ$4,0))))+SUMPRODUCT((Inputs!$E$5:$E$170=$B69)*ISNUMBER(INDEX(Inputs!$K$5:$AJ$170,0,MATCH(O$2,Inputs!$K$4:$AJ$4,0))))=0,NA(),SUMPRODUCT((Inputs!$A$5:$A$170=$B69)*Inputs!$B$5:$B$170*(((Inputs!$G$5:$G$170="moeda")+(Inputs!$G$5:$G$170="acoes"))*Inputs!$B$1+((Inputs!$G$5:$G$170&lt;&gt;"moeda")*(Inputs!$G$5:$G$170&lt;&gt;"acoes")))*INDEX(Inputs!$K$5:$AJ$170,0,MATCH(O$2,Inputs!$K$4:$AJ$4,0)))+SUMPRODUCT((Inputs!$C$5:$C$170=$B69)*Inputs!$D$5:$D$170*(((Inputs!$G$5:$G$170="moeda")+(Inputs!$G$5:$G$170="acoes"))*Inputs!$B$1+((Inputs!$G$5:$G$170&lt;&gt;"moeda")*(Inputs!$G$5:$G$170&lt;&gt;"acoes")))*INDEX(Inputs!$K$5:$AJ$170,0,MATCH(O$2,Inputs!$K$4:$AJ$4,0)))+SUMPRODUCT((Inputs!$E$5:$E$170=$B69)*Inputs!$F$5:$F$170*(((Inputs!$G$5:$G$170="moeda")+(Inputs!$G$5:$G$170="acoes"))*Inputs!$B$1+((Inputs!$G$5:$G$170&lt;&gt;"moeda")*(Inputs!$G$5:$G$170&lt;&gt;"acoes")))*INDEX(Inputs!$K$5:$AJ$170,0,MATCH(O$2,Inputs!$K$4:$AJ$4,0)))))</f>
        <v>2110.268</v>
      </c>
      <c r="P69" s="266">
        <f>IF(ISNA(MATCH(P$2,Inputs!$K$4:$AJ$4,0)),NA(),IF(SUMPRODUCT((Inputs!$A$5:$A$170=$B69)*ISNUMBER(INDEX(Inputs!$K$5:$AJ$170,0,MATCH(P$2,Inputs!$K$4:$AJ$4,0))))+SUMPRODUCT((Inputs!$C$5:$C$170=$B69)*ISNUMBER(INDEX(Inputs!$K$5:$AJ$170,0,MATCH(P$2,Inputs!$K$4:$AJ$4,0))))+SUMPRODUCT((Inputs!$E$5:$E$170=$B69)*ISNUMBER(INDEX(Inputs!$K$5:$AJ$170,0,MATCH(P$2,Inputs!$K$4:$AJ$4,0))))=0,NA(),SUMPRODUCT((Inputs!$A$5:$A$170=$B69)*Inputs!$B$5:$B$170*(((Inputs!$G$5:$G$170="moeda")+(Inputs!$G$5:$G$170="acoes"))*Inputs!$B$1+((Inputs!$G$5:$G$170&lt;&gt;"moeda")*(Inputs!$G$5:$G$170&lt;&gt;"acoes")))*INDEX(Inputs!$K$5:$AJ$170,0,MATCH(P$2,Inputs!$K$4:$AJ$4,0)))+SUMPRODUCT((Inputs!$C$5:$C$170=$B69)*Inputs!$D$5:$D$170*(((Inputs!$G$5:$G$170="moeda")+(Inputs!$G$5:$G$170="acoes"))*Inputs!$B$1+((Inputs!$G$5:$G$170&lt;&gt;"moeda")*(Inputs!$G$5:$G$170&lt;&gt;"acoes")))*INDEX(Inputs!$K$5:$AJ$170,0,MATCH(P$2,Inputs!$K$4:$AJ$4,0)))+SUMPRODUCT((Inputs!$E$5:$E$170=$B69)*Inputs!$F$5:$F$170*(((Inputs!$G$5:$G$170="moeda")+(Inputs!$G$5:$G$170="acoes"))*Inputs!$B$1+((Inputs!$G$5:$G$170&lt;&gt;"moeda")*(Inputs!$G$5:$G$170&lt;&gt;"acoes")))*INDEX(Inputs!$K$5:$AJ$170,0,MATCH(P$2,Inputs!$K$4:$AJ$4,0)))))</f>
        <v>2191.255</v>
      </c>
      <c r="Q69" s="266">
        <f>IF(ISNA(MATCH(Q$2,Inputs!$K$4:$AJ$4,0)),NA(),IF(SUMPRODUCT((Inputs!$A$5:$A$170=$B69)*ISNUMBER(INDEX(Inputs!$K$5:$AJ$170,0,MATCH(Q$2,Inputs!$K$4:$AJ$4,0))))+SUMPRODUCT((Inputs!$C$5:$C$170=$B69)*ISNUMBER(INDEX(Inputs!$K$5:$AJ$170,0,MATCH(Q$2,Inputs!$K$4:$AJ$4,0))))+SUMPRODUCT((Inputs!$E$5:$E$170=$B69)*ISNUMBER(INDEX(Inputs!$K$5:$AJ$170,0,MATCH(Q$2,Inputs!$K$4:$AJ$4,0))))=0,NA(),SUMPRODUCT((Inputs!$A$5:$A$170=$B69)*Inputs!$B$5:$B$170*(((Inputs!$G$5:$G$170="moeda")+(Inputs!$G$5:$G$170="acoes"))*Inputs!$B$1+((Inputs!$G$5:$G$170&lt;&gt;"moeda")*(Inputs!$G$5:$G$170&lt;&gt;"acoes")))*INDEX(Inputs!$K$5:$AJ$170,0,MATCH(Q$2,Inputs!$K$4:$AJ$4,0)))+SUMPRODUCT((Inputs!$C$5:$C$170=$B69)*Inputs!$D$5:$D$170*(((Inputs!$G$5:$G$170="moeda")+(Inputs!$G$5:$G$170="acoes"))*Inputs!$B$1+((Inputs!$G$5:$G$170&lt;&gt;"moeda")*(Inputs!$G$5:$G$170&lt;&gt;"acoes")))*INDEX(Inputs!$K$5:$AJ$170,0,MATCH(Q$2,Inputs!$K$4:$AJ$4,0)))+SUMPRODUCT((Inputs!$E$5:$E$170=$B69)*Inputs!$F$5:$F$170*(((Inputs!$G$5:$G$170="moeda")+(Inputs!$G$5:$G$170="acoes"))*Inputs!$B$1+((Inputs!$G$5:$G$170&lt;&gt;"moeda")*(Inputs!$G$5:$G$170&lt;&gt;"acoes")))*INDEX(Inputs!$K$5:$AJ$170,0,MATCH(Q$2,Inputs!$K$4:$AJ$4,0)))))</f>
        <v>2275.453</v>
      </c>
      <c r="R69" s="267" t="n"/>
      <c r="S69" s="266">
        <f>IF(ISNA(MATCH(S$2,Inputs!$K$4:$AJ$4,0)),NA(),IF(SUMPRODUCT((Inputs!$A$5:$A$170=$B69)*ISNUMBER(INDEX(Inputs!$K$5:$AJ$170,0,MATCH(S$2,Inputs!$K$4:$AJ$4,0))))+SUMPRODUCT((Inputs!$C$5:$C$170=$B69)*ISNUMBER(INDEX(Inputs!$K$5:$AJ$170,0,MATCH(S$2,Inputs!$K$4:$AJ$4,0))))+SUMPRODUCT((Inputs!$E$5:$E$170=$B69)*ISNUMBER(INDEX(Inputs!$K$5:$AJ$170,0,MATCH(S$2,Inputs!$K$4:$AJ$4,0))))=0,NA(),SUMPRODUCT((Inputs!$A$5:$A$170=$B69)*Inputs!$B$5:$B$170*(((Inputs!$G$5:$G$170="moeda")+(Inputs!$G$5:$G$170="acoes"))*Inputs!$B$1+((Inputs!$G$5:$G$170&lt;&gt;"moeda")*(Inputs!$G$5:$G$170&lt;&gt;"acoes")))*INDEX(Inputs!$K$5:$AJ$170,0,MATCH(S$2,Inputs!$K$4:$AJ$4,0)))+SUMPRODUCT((Inputs!$C$5:$C$170=$B69)*Inputs!$D$5:$D$170*(((Inputs!$G$5:$G$170="moeda")+(Inputs!$G$5:$G$170="acoes"))*Inputs!$B$1+((Inputs!$G$5:$G$170&lt;&gt;"moeda")*(Inputs!$G$5:$G$170&lt;&gt;"acoes")))*INDEX(Inputs!$K$5:$AJ$170,0,MATCH(S$2,Inputs!$K$4:$AJ$4,0)))+SUMPRODUCT((Inputs!$E$5:$E$170=$B69)*Inputs!$F$5:$F$170*(((Inputs!$G$5:$G$170="moeda")+(Inputs!$G$5:$G$170="acoes"))*Inputs!$B$1+((Inputs!$G$5:$G$170&lt;&gt;"moeda")*(Inputs!$G$5:$G$170&lt;&gt;"acoes")))*INDEX(Inputs!$K$5:$AJ$170,0,MATCH(S$2,Inputs!$K$4:$AJ$4,0)))))</f>
        <v>2380.167</v>
      </c>
      <c r="T69" s="266">
        <f>IF(ISNA(MATCH(T$2,Inputs!$K$4:$AJ$4,0)),NA(),IF(SUMPRODUCT((Inputs!$A$5:$A$170=$B69)*ISNUMBER(INDEX(Inputs!$K$5:$AJ$170,0,MATCH(T$2,Inputs!$K$4:$AJ$4,0))))+SUMPRODUCT((Inputs!$C$5:$C$170=$B69)*ISNUMBER(INDEX(Inputs!$K$5:$AJ$170,0,MATCH(T$2,Inputs!$K$4:$AJ$4,0))))+SUMPRODUCT((Inputs!$E$5:$E$170=$B69)*ISNUMBER(INDEX(Inputs!$K$5:$AJ$170,0,MATCH(T$2,Inputs!$K$4:$AJ$4,0))))=0,NA(),SUMPRODUCT((Inputs!$A$5:$A$170=$B69)*Inputs!$B$5:$B$170*(((Inputs!$G$5:$G$170="moeda")+(Inputs!$G$5:$G$170="acoes"))*Inputs!$B$1+((Inputs!$G$5:$G$170&lt;&gt;"moeda")*(Inputs!$G$5:$G$170&lt;&gt;"acoes")))*INDEX(Inputs!$K$5:$AJ$170,0,MATCH(T$2,Inputs!$K$4:$AJ$4,0)))+SUMPRODUCT((Inputs!$C$5:$C$170=$B69)*Inputs!$D$5:$D$170*(((Inputs!$G$5:$G$170="moeda")+(Inputs!$G$5:$G$170="acoes"))*Inputs!$B$1+((Inputs!$G$5:$G$170&lt;&gt;"moeda")*(Inputs!$G$5:$G$170&lt;&gt;"acoes")))*INDEX(Inputs!$K$5:$AJ$170,0,MATCH(T$2,Inputs!$K$4:$AJ$4,0)))+SUMPRODUCT((Inputs!$E$5:$E$170=$B69)*Inputs!$F$5:$F$170*(((Inputs!$G$5:$G$170="moeda")+(Inputs!$G$5:$G$170="acoes"))*Inputs!$B$1+((Inputs!$G$5:$G$170&lt;&gt;"moeda")*(Inputs!$G$5:$G$170&lt;&gt;"acoes")))*INDEX(Inputs!$K$5:$AJ$170,0,MATCH(T$2,Inputs!$K$4:$AJ$4,0)))))</f>
        <v>2582.26</v>
      </c>
      <c r="U69" s="266">
        <f>IF(ISNA(MATCH(U$2,Inputs!$K$4:$AJ$4,0)),NA(),IF(SUMPRODUCT((Inputs!$A$5:$A$170=$B69)*ISNUMBER(INDEX(Inputs!$K$5:$AJ$170,0,MATCH(U$2,Inputs!$K$4:$AJ$4,0))))+SUMPRODUCT((Inputs!$C$5:$C$170=$B69)*ISNUMBER(INDEX(Inputs!$K$5:$AJ$170,0,MATCH(U$2,Inputs!$K$4:$AJ$4,0))))+SUMPRODUCT((Inputs!$E$5:$E$170=$B69)*ISNUMBER(INDEX(Inputs!$K$5:$AJ$170,0,MATCH(U$2,Inputs!$K$4:$AJ$4,0))))=0,NA(),SUMPRODUCT((Inputs!$A$5:$A$170=$B69)*Inputs!$B$5:$B$170*(((Inputs!$G$5:$G$170="moeda")+(Inputs!$G$5:$G$170="acoes"))*Inputs!$B$1+((Inputs!$G$5:$G$170&lt;&gt;"moeda")*(Inputs!$G$5:$G$170&lt;&gt;"acoes")))*INDEX(Inputs!$K$5:$AJ$170,0,MATCH(U$2,Inputs!$K$4:$AJ$4,0)))+SUMPRODUCT((Inputs!$C$5:$C$170=$B69)*Inputs!$D$5:$D$170*(((Inputs!$G$5:$G$170="moeda")+(Inputs!$G$5:$G$170="acoes"))*Inputs!$B$1+((Inputs!$G$5:$G$170&lt;&gt;"moeda")*(Inputs!$G$5:$G$170&lt;&gt;"acoes")))*INDEX(Inputs!$K$5:$AJ$170,0,MATCH(U$2,Inputs!$K$4:$AJ$4,0)))+SUMPRODUCT((Inputs!$E$5:$E$170=$B69)*Inputs!$F$5:$F$170*(((Inputs!$G$5:$G$170="moeda")+(Inputs!$G$5:$G$170="acoes"))*Inputs!$B$1+((Inputs!$G$5:$G$170&lt;&gt;"moeda")*(Inputs!$G$5:$G$170&lt;&gt;"acoes")))*INDEX(Inputs!$K$5:$AJ$170,0,MATCH(U$2,Inputs!$K$4:$AJ$4,0)))))</f>
        <v>2695.784</v>
      </c>
      <c r="V69" s="266">
        <f>IF(ISNA(MATCH(V$2,Inputs!$K$4:$AJ$4,0)),NA(),IF(SUMPRODUCT((Inputs!$A$5:$A$170=$B69)*ISNUMBER(INDEX(Inputs!$K$5:$AJ$170,0,MATCH(V$2,Inputs!$K$4:$AJ$4,0))))+SUMPRODUCT((Inputs!$C$5:$C$170=$B69)*ISNUMBER(INDEX(Inputs!$K$5:$AJ$170,0,MATCH(V$2,Inputs!$K$4:$AJ$4,0))))+SUMPRODUCT((Inputs!$E$5:$E$170=$B69)*ISNUMBER(INDEX(Inputs!$K$5:$AJ$170,0,MATCH(V$2,Inputs!$K$4:$AJ$4,0))))=0,NA(),SUMPRODUCT((Inputs!$A$5:$A$170=$B69)*Inputs!$B$5:$B$170*(((Inputs!$G$5:$G$170="moeda")+(Inputs!$G$5:$G$170="acoes"))*Inputs!$B$1+((Inputs!$G$5:$G$170&lt;&gt;"moeda")*(Inputs!$G$5:$G$170&lt;&gt;"acoes")))*INDEX(Inputs!$K$5:$AJ$170,0,MATCH(V$2,Inputs!$K$4:$AJ$4,0)))+SUMPRODUCT((Inputs!$C$5:$C$170=$B69)*Inputs!$D$5:$D$170*(((Inputs!$G$5:$G$170="moeda")+(Inputs!$G$5:$G$170="acoes"))*Inputs!$B$1+((Inputs!$G$5:$G$170&lt;&gt;"moeda")*(Inputs!$G$5:$G$170&lt;&gt;"acoes")))*INDEX(Inputs!$K$5:$AJ$170,0,MATCH(V$2,Inputs!$K$4:$AJ$4,0)))+SUMPRODUCT((Inputs!$E$5:$E$170=$B69)*Inputs!$F$5:$F$170*(((Inputs!$G$5:$G$170="moeda")+(Inputs!$G$5:$G$170="acoes"))*Inputs!$B$1+((Inputs!$G$5:$G$170&lt;&gt;"moeda")*(Inputs!$G$5:$G$170&lt;&gt;"acoes")))*INDEX(Inputs!$K$5:$AJ$170,0,MATCH(V$2,Inputs!$K$4:$AJ$4,0)))))</f>
        <v>2780.174</v>
      </c>
      <c r="W69" s="267" t="n"/>
      <c r="X69" s="266">
        <f>IF(ISNA(MATCH(X$2,Inputs!$K$4:$AJ$4,0)),NA(),IF(SUMPRODUCT((Inputs!$A$5:$A$170=$B69)*ISNUMBER(INDEX(Inputs!$K$5:$AJ$170,0,MATCH(X$2,Inputs!$K$4:$AJ$4,0))))+SUMPRODUCT((Inputs!$C$5:$C$170=$B69)*ISNUMBER(INDEX(Inputs!$K$5:$AJ$170,0,MATCH(X$2,Inputs!$K$4:$AJ$4,0))))+SUMPRODUCT((Inputs!$E$5:$E$170=$B69)*ISNUMBER(INDEX(Inputs!$K$5:$AJ$170,0,MATCH(X$2,Inputs!$K$4:$AJ$4,0))))=0,NA(),SUMPRODUCT((Inputs!$A$5:$A$170=$B69)*Inputs!$B$5:$B$170*(((Inputs!$G$5:$G$170="moeda")+(Inputs!$G$5:$G$170="acoes"))*Inputs!$B$1+((Inputs!$G$5:$G$170&lt;&gt;"moeda")*(Inputs!$G$5:$G$170&lt;&gt;"acoes")))*INDEX(Inputs!$K$5:$AJ$170,0,MATCH(X$2,Inputs!$K$4:$AJ$4,0)))+SUMPRODUCT((Inputs!$C$5:$C$170=$B69)*Inputs!$D$5:$D$170*(((Inputs!$G$5:$G$170="moeda")+(Inputs!$G$5:$G$170="acoes"))*Inputs!$B$1+((Inputs!$G$5:$G$170&lt;&gt;"moeda")*(Inputs!$G$5:$G$170&lt;&gt;"acoes")))*INDEX(Inputs!$K$5:$AJ$170,0,MATCH(X$2,Inputs!$K$4:$AJ$4,0)))+SUMPRODUCT((Inputs!$E$5:$E$170=$B69)*Inputs!$F$5:$F$170*(((Inputs!$G$5:$G$170="moeda")+(Inputs!$G$5:$G$170="acoes"))*Inputs!$B$1+((Inputs!$G$5:$G$170&lt;&gt;"moeda")*(Inputs!$G$5:$G$170&lt;&gt;"acoes")))*INDEX(Inputs!$K$5:$AJ$170,0,MATCH(X$2,Inputs!$K$4:$AJ$4,0)))))</f>
        <v>2855.385</v>
      </c>
      <c r="Y69" s="266">
        <f>IF(ISNA(MATCH(Y$2,Inputs!$K$4:$AJ$4,0)),NA(),IF(SUMPRODUCT((Inputs!$A$5:$A$170=$B69)*ISNUMBER(INDEX(Inputs!$K$5:$AJ$170,0,MATCH(Y$2,Inputs!$K$4:$AJ$4,0))))+SUMPRODUCT((Inputs!$C$5:$C$170=$B69)*ISNUMBER(INDEX(Inputs!$K$5:$AJ$170,0,MATCH(Y$2,Inputs!$K$4:$AJ$4,0))))+SUMPRODUCT((Inputs!$E$5:$E$170=$B69)*ISNUMBER(INDEX(Inputs!$K$5:$AJ$170,0,MATCH(Y$2,Inputs!$K$4:$AJ$4,0))))=0,NA(),SUMPRODUCT((Inputs!$A$5:$A$170=$B69)*Inputs!$B$5:$B$170*(((Inputs!$G$5:$G$170="moeda")+(Inputs!$G$5:$G$170="acoes"))*Inputs!$B$1+((Inputs!$G$5:$G$170&lt;&gt;"moeda")*(Inputs!$G$5:$G$170&lt;&gt;"acoes")))*INDEX(Inputs!$K$5:$AJ$170,0,MATCH(Y$2,Inputs!$K$4:$AJ$4,0)))+SUMPRODUCT((Inputs!$C$5:$C$170=$B69)*Inputs!$D$5:$D$170*(((Inputs!$G$5:$G$170="moeda")+(Inputs!$G$5:$G$170="acoes"))*Inputs!$B$1+((Inputs!$G$5:$G$170&lt;&gt;"moeda")*(Inputs!$G$5:$G$170&lt;&gt;"acoes")))*INDEX(Inputs!$K$5:$AJ$170,0,MATCH(Y$2,Inputs!$K$4:$AJ$4,0)))+SUMPRODUCT((Inputs!$E$5:$E$170=$B69)*Inputs!$F$5:$F$170*(((Inputs!$G$5:$G$170="moeda")+(Inputs!$G$5:$G$170="acoes"))*Inputs!$B$1+((Inputs!$G$5:$G$170&lt;&gt;"moeda")*(Inputs!$G$5:$G$170&lt;&gt;"acoes")))*INDEX(Inputs!$K$5:$AJ$170,0,MATCH(Y$2,Inputs!$K$4:$AJ$4,0)))))</f>
        <v>2948.728</v>
      </c>
      <c r="Z69" s="266">
        <f>IF(ISNA(MATCH(Z$2,Inputs!$K$4:$AJ$4,0)),NA(),IF(SUMPRODUCT((Inputs!$A$5:$A$170=$B69)*ISNUMBER(INDEX(Inputs!$K$5:$AJ$170,0,MATCH(Z$2,Inputs!$K$4:$AJ$4,0))))+SUMPRODUCT((Inputs!$C$5:$C$170=$B69)*ISNUMBER(INDEX(Inputs!$K$5:$AJ$170,0,MATCH(Z$2,Inputs!$K$4:$AJ$4,0))))+SUMPRODUCT((Inputs!$E$5:$E$170=$B69)*ISNUMBER(INDEX(Inputs!$K$5:$AJ$170,0,MATCH(Z$2,Inputs!$K$4:$AJ$4,0))))=0,NA(),SUMPRODUCT((Inputs!$A$5:$A$170=$B69)*Inputs!$B$5:$B$170*(((Inputs!$G$5:$G$170="moeda")+(Inputs!$G$5:$G$170="acoes"))*Inputs!$B$1+((Inputs!$G$5:$G$170&lt;&gt;"moeda")*(Inputs!$G$5:$G$170&lt;&gt;"acoes")))*INDEX(Inputs!$K$5:$AJ$170,0,MATCH(Z$2,Inputs!$K$4:$AJ$4,0)))+SUMPRODUCT((Inputs!$C$5:$C$170=$B69)*Inputs!$D$5:$D$170*(((Inputs!$G$5:$G$170="moeda")+(Inputs!$G$5:$G$170="acoes"))*Inputs!$B$1+((Inputs!$G$5:$G$170&lt;&gt;"moeda")*(Inputs!$G$5:$G$170&lt;&gt;"acoes")))*INDEX(Inputs!$K$5:$AJ$170,0,MATCH(Z$2,Inputs!$K$4:$AJ$4,0)))+SUMPRODUCT((Inputs!$E$5:$E$170=$B69)*Inputs!$F$5:$F$170*(((Inputs!$G$5:$G$170="moeda")+(Inputs!$G$5:$G$170="acoes"))*Inputs!$B$1+((Inputs!$G$5:$G$170&lt;&gt;"moeda")*(Inputs!$G$5:$G$170&lt;&gt;"acoes")))*INDEX(Inputs!$K$5:$AJ$170,0,MATCH(Z$2,Inputs!$K$4:$AJ$4,0)))))</f>
        <v>3025.387</v>
      </c>
      <c r="AA69" s="266">
        <f>IF(ISNA(MATCH(AA$2,Inputs!$K$4:$AJ$4,0)),NA(),IF(SUMPRODUCT((Inputs!$A$5:$A$170=$B69)*ISNUMBER(INDEX(Inputs!$K$5:$AJ$170,0,MATCH(AA$2,Inputs!$K$4:$AJ$4,0))))+SUMPRODUCT((Inputs!$C$5:$C$170=$B69)*ISNUMBER(INDEX(Inputs!$K$5:$AJ$170,0,MATCH(AA$2,Inputs!$K$4:$AJ$4,0))))+SUMPRODUCT((Inputs!$E$5:$E$170=$B69)*ISNUMBER(INDEX(Inputs!$K$5:$AJ$170,0,MATCH(AA$2,Inputs!$K$4:$AJ$4,0))))=0,NA(),SUMPRODUCT((Inputs!$A$5:$A$170=$B69)*Inputs!$B$5:$B$170*(((Inputs!$G$5:$G$170="moeda")+(Inputs!$G$5:$G$170="acoes"))*Inputs!$B$1+((Inputs!$G$5:$G$170&lt;&gt;"moeda")*(Inputs!$G$5:$G$170&lt;&gt;"acoes")))*INDEX(Inputs!$K$5:$AJ$170,0,MATCH(AA$2,Inputs!$K$4:$AJ$4,0)))+SUMPRODUCT((Inputs!$C$5:$C$170=$B69)*Inputs!$D$5:$D$170*(((Inputs!$G$5:$G$170="moeda")+(Inputs!$G$5:$G$170="acoes"))*Inputs!$B$1+((Inputs!$G$5:$G$170&lt;&gt;"moeda")*(Inputs!$G$5:$G$170&lt;&gt;"acoes")))*INDEX(Inputs!$K$5:$AJ$170,0,MATCH(AA$2,Inputs!$K$4:$AJ$4,0)))+SUMPRODUCT((Inputs!$E$5:$E$170=$B69)*Inputs!$F$5:$F$170*(((Inputs!$G$5:$G$170="moeda")+(Inputs!$G$5:$G$170="acoes"))*Inputs!$B$1+((Inputs!$G$5:$G$170&lt;&gt;"moeda")*(Inputs!$G$5:$G$170&lt;&gt;"acoes")))*INDEX(Inputs!$K$5:$AJ$170,0,MATCH(AA$2,Inputs!$K$4:$AJ$4,0)))))</f>
        <v>3123.28743634307</v>
      </c>
      <c r="AB69" s="267" t="n"/>
      <c r="AC69" s="266">
        <f>IF(ISNA(MATCH(AC$2,Inputs!$K$4:$AJ$4,0)),NA(),IF(SUMPRODUCT((Inputs!$A$5:$A$170=$B69)*ISNUMBER(INDEX(Inputs!$K$5:$AJ$170,0,MATCH(AC$2,Inputs!$K$4:$AJ$4,0))))+SUMPRODUCT((Inputs!$C$5:$C$170=$B69)*ISNUMBER(INDEX(Inputs!$K$5:$AJ$170,0,MATCH(AC$2,Inputs!$K$4:$AJ$4,0))))+SUMPRODUCT((Inputs!$E$5:$E$170=$B69)*ISNUMBER(INDEX(Inputs!$K$5:$AJ$170,0,MATCH(AC$2,Inputs!$K$4:$AJ$4,0))))=0,NA(),SUMPRODUCT((Inputs!$A$5:$A$170=$B69)*Inputs!$B$5:$B$170*(((Inputs!$G$5:$G$170="moeda")+(Inputs!$G$5:$G$170="acoes"))*Inputs!$B$1+((Inputs!$G$5:$G$170&lt;&gt;"moeda")*(Inputs!$G$5:$G$170&lt;&gt;"acoes")))*INDEX(Inputs!$K$5:$AJ$170,0,MATCH(AC$2,Inputs!$K$4:$AJ$4,0)))+SUMPRODUCT((Inputs!$C$5:$C$170=$B69)*Inputs!$D$5:$D$170*(((Inputs!$G$5:$G$170="moeda")+(Inputs!$G$5:$G$170="acoes"))*Inputs!$B$1+((Inputs!$G$5:$G$170&lt;&gt;"moeda")*(Inputs!$G$5:$G$170&lt;&gt;"acoes")))*INDEX(Inputs!$K$5:$AJ$170,0,MATCH(AC$2,Inputs!$K$4:$AJ$4,0)))+SUMPRODUCT((Inputs!$E$5:$E$170=$B69)*Inputs!$F$5:$F$170*(((Inputs!$G$5:$G$170="moeda")+(Inputs!$G$5:$G$170="acoes"))*Inputs!$B$1+((Inputs!$G$5:$G$170&lt;&gt;"moeda")*(Inputs!$G$5:$G$170&lt;&gt;"acoes")))*INDEX(Inputs!$K$5:$AJ$170,0,MATCH(AC$2,Inputs!$K$4:$AJ$4,0)))))</f>
        <v>3162.0203183452</v>
      </c>
      <c r="AD69" s="266">
        <f>IF(ISNA(MATCH(AD$2,Inputs!$K$4:$AJ$4,0)),NA(),IF(SUMPRODUCT((Inputs!$A$5:$A$170=$B69)*ISNUMBER(INDEX(Inputs!$K$5:$AJ$170,0,MATCH(AD$2,Inputs!$K$4:$AJ$4,0))))+SUMPRODUCT((Inputs!$C$5:$C$170=$B69)*ISNUMBER(INDEX(Inputs!$K$5:$AJ$170,0,MATCH(AD$2,Inputs!$K$4:$AJ$4,0))))+SUMPRODUCT((Inputs!$E$5:$E$170=$B69)*ISNUMBER(INDEX(Inputs!$K$5:$AJ$170,0,MATCH(AD$2,Inputs!$K$4:$AJ$4,0))))=0,NA(),SUMPRODUCT((Inputs!$A$5:$A$170=$B69)*Inputs!$B$5:$B$170*(((Inputs!$G$5:$G$170="moeda")+(Inputs!$G$5:$G$170="acoes"))*Inputs!$B$1+((Inputs!$G$5:$G$170&lt;&gt;"moeda")*(Inputs!$G$5:$G$170&lt;&gt;"acoes")))*INDEX(Inputs!$K$5:$AJ$170,0,MATCH(AD$2,Inputs!$K$4:$AJ$4,0)))+SUMPRODUCT((Inputs!$C$5:$C$170=$B69)*Inputs!$D$5:$D$170*(((Inputs!$G$5:$G$170="moeda")+(Inputs!$G$5:$G$170="acoes"))*Inputs!$B$1+((Inputs!$G$5:$G$170&lt;&gt;"moeda")*(Inputs!$G$5:$G$170&lt;&gt;"acoes")))*INDEX(Inputs!$K$5:$AJ$170,0,MATCH(AD$2,Inputs!$K$4:$AJ$4,0)))+SUMPRODUCT((Inputs!$E$5:$E$170=$B69)*Inputs!$F$5:$F$170*(((Inputs!$G$5:$G$170="moeda")+(Inputs!$G$5:$G$170="acoes"))*Inputs!$B$1+((Inputs!$G$5:$G$170&lt;&gt;"moeda")*(Inputs!$G$5:$G$170&lt;&gt;"acoes")))*INDEX(Inputs!$K$5:$AJ$170,0,MATCH(AD$2,Inputs!$K$4:$AJ$4,0)))))</f>
        <v>3288.95683250247</v>
      </c>
      <c r="AE69" s="266" t="e">
        <f>IF(ISNA(MATCH(AE$2,Inputs!$K$4:$AJ$4,0)),NA(),IF(SUMPRODUCT((Inputs!$A$5:$A$170=$B69)*ISNUMBER(INDEX(Inputs!$K$5:$AJ$170,0,MATCH(AE$2,Inputs!$K$4:$AJ$4,0))))+SUMPRODUCT((Inputs!$C$5:$C$170=$B69)*ISNUMBER(INDEX(Inputs!$K$5:$AJ$170,0,MATCH(AE$2,Inputs!$K$4:$AJ$4,0))))+SUMPRODUCT((Inputs!$E$5:$E$170=$B69)*ISNUMBER(INDEX(Inputs!$K$5:$AJ$170,0,MATCH(AE$2,Inputs!$K$4:$AJ$4,0))))=0,NA(),SUMPRODUCT((Inputs!$A$5:$A$170=$B69)*Inputs!$B$5:$B$170*(((Inputs!$G$5:$G$170="moeda")+(Inputs!$G$5:$G$170="acoes"))*Inputs!$B$1+((Inputs!$G$5:$G$170&lt;&gt;"moeda")*(Inputs!$G$5:$G$170&lt;&gt;"acoes")))*INDEX(Inputs!$K$5:$AJ$170,0,MATCH(AE$2,Inputs!$K$4:$AJ$4,0)))+SUMPRODUCT((Inputs!$C$5:$C$170=$B69)*Inputs!$D$5:$D$170*(((Inputs!$G$5:$G$170="moeda")+(Inputs!$G$5:$G$170="acoes"))*Inputs!$B$1+((Inputs!$G$5:$G$170&lt;&gt;"moeda")*(Inputs!$G$5:$G$170&lt;&gt;"acoes")))*INDEX(Inputs!$K$5:$AJ$170,0,MATCH(AE$2,Inputs!$K$4:$AJ$4,0)))+SUMPRODUCT((Inputs!$E$5:$E$170=$B69)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69" s="266" t="e">
        <f>IF(ISNA(MATCH(AF$2,Inputs!$K$4:$AJ$4,0)),NA(),IF(SUMPRODUCT((Inputs!$A$5:$A$170=$B69)*ISNUMBER(INDEX(Inputs!$K$5:$AJ$170,0,MATCH(AF$2,Inputs!$K$4:$AJ$4,0))))+SUMPRODUCT((Inputs!$C$5:$C$170=$B69)*ISNUMBER(INDEX(Inputs!$K$5:$AJ$170,0,MATCH(AF$2,Inputs!$K$4:$AJ$4,0))))+SUMPRODUCT((Inputs!$E$5:$E$170=$B69)*ISNUMBER(INDEX(Inputs!$K$5:$AJ$170,0,MATCH(AF$2,Inputs!$K$4:$AJ$4,0))))=0,NA(),SUMPRODUCT((Inputs!$A$5:$A$170=$B69)*Inputs!$B$5:$B$170*(((Inputs!$G$5:$G$170="moeda")+(Inputs!$G$5:$G$170="acoes"))*Inputs!$B$1+((Inputs!$G$5:$G$170&lt;&gt;"moeda")*(Inputs!$G$5:$G$170&lt;&gt;"acoes")))*INDEX(Inputs!$K$5:$AJ$170,0,MATCH(AF$2,Inputs!$K$4:$AJ$4,0)))+SUMPRODUCT((Inputs!$C$5:$C$170=$B69)*Inputs!$D$5:$D$170*(((Inputs!$G$5:$G$170="moeda")+(Inputs!$G$5:$G$170="acoes"))*Inputs!$B$1+((Inputs!$G$5:$G$170&lt;&gt;"moeda")*(Inputs!$G$5:$G$170&lt;&gt;"acoes")))*INDEX(Inputs!$K$5:$AJ$170,0,MATCH(AF$2,Inputs!$K$4:$AJ$4,0)))+SUMPRODUCT((Inputs!$E$5:$E$170=$B69)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69" s="267" t="n"/>
      <c r="AH69" s="266">
        <f>IF(ISNA(MATCH(AH$2,Inputs!$K$4:$AJ$4,0)),NA(),IF(SUMPRODUCT((Inputs!$A$5:$A$170=$B69)*ISNUMBER(INDEX(Inputs!$K$5:$AJ$170,0,MATCH(AH$2,Inputs!$K$4:$AJ$4,0))))+SUMPRODUCT((Inputs!$C$5:$C$170=$B69)*ISNUMBER(INDEX(Inputs!$K$5:$AJ$170,0,MATCH(AH$2,Inputs!$K$4:$AJ$4,0))))+SUMPRODUCT((Inputs!$E$5:$E$170=$B69)*ISNUMBER(INDEX(Inputs!$K$5:$AJ$170,0,MATCH(AH$2,Inputs!$K$4:$AJ$4,0))))=0,NA(),SUMPRODUCT((Inputs!$A$5:$A$170=$B69)*Inputs!$B$5:$B$170*(((Inputs!$G$5:$G$170="moeda")+(Inputs!$G$5:$G$170="acoes"))*Inputs!$B$1+((Inputs!$G$5:$G$170&lt;&gt;"moeda")*(Inputs!$G$5:$G$170&lt;&gt;"acoes")))*INDEX(Inputs!$K$5:$AJ$170,0,MATCH(AH$2,Inputs!$K$4:$AJ$4,0)))+SUMPRODUCT((Inputs!$C$5:$C$170=$B69)*Inputs!$D$5:$D$170*(((Inputs!$G$5:$G$170="moeda")+(Inputs!$G$5:$G$170="acoes"))*Inputs!$B$1+((Inputs!$G$5:$G$170&lt;&gt;"moeda")*(Inputs!$G$5:$G$170&lt;&gt;"acoes")))*INDEX(Inputs!$K$5:$AJ$170,0,MATCH(AH$2,Inputs!$K$4:$AJ$4,0)))+SUMPRODUCT((Inputs!$E$5:$E$170=$B69)*Inputs!$F$5:$F$170*(((Inputs!$G$5:$G$170="moeda")+(Inputs!$G$5:$G$170="acoes"))*Inputs!$B$1+((Inputs!$G$5:$G$170&lt;&gt;"moeda")*(Inputs!$G$5:$G$170&lt;&gt;"acoes")))*INDEX(Inputs!$K$5:$AJ$170,0,MATCH(AH$2,Inputs!$K$4:$AJ$4,0)))))</f>
        <v>1353.649</v>
      </c>
      <c r="AI69" s="266">
        <f>IF(ISNA(MATCH(AI$2,Inputs!$K$4:$AJ$4,0)),NA(),IF(SUMPRODUCT((Inputs!$A$5:$A$170=$B69)*ISNUMBER(INDEX(Inputs!$K$5:$AJ$170,0,MATCH(AI$2,Inputs!$K$4:$AJ$4,0))))+SUMPRODUCT((Inputs!$C$5:$C$170=$B69)*ISNUMBER(INDEX(Inputs!$K$5:$AJ$170,0,MATCH(AI$2,Inputs!$K$4:$AJ$4,0))))+SUMPRODUCT((Inputs!$E$5:$E$170=$B69)*ISNUMBER(INDEX(Inputs!$K$5:$AJ$170,0,MATCH(AI$2,Inputs!$K$4:$AJ$4,0))))=0,NA(),SUMPRODUCT((Inputs!$A$5:$A$170=$B69)*Inputs!$B$5:$B$170*(((Inputs!$G$5:$G$170="moeda")+(Inputs!$G$5:$G$170="acoes"))*Inputs!$B$1+((Inputs!$G$5:$G$170&lt;&gt;"moeda")*(Inputs!$G$5:$G$170&lt;&gt;"acoes")))*INDEX(Inputs!$K$5:$AJ$170,0,MATCH(AI$2,Inputs!$K$4:$AJ$4,0)))+SUMPRODUCT((Inputs!$C$5:$C$170=$B69)*Inputs!$D$5:$D$170*(((Inputs!$G$5:$G$170="moeda")+(Inputs!$G$5:$G$170="acoes"))*Inputs!$B$1+((Inputs!$G$5:$G$170&lt;&gt;"moeda")*(Inputs!$G$5:$G$170&lt;&gt;"acoes")))*INDEX(Inputs!$K$5:$AJ$170,0,MATCH(AI$2,Inputs!$K$4:$AJ$4,0)))+SUMPRODUCT((Inputs!$E$5:$E$170=$B69)*Inputs!$F$5:$F$170*(((Inputs!$G$5:$G$170="moeda")+(Inputs!$G$5:$G$170="acoes"))*Inputs!$B$1+((Inputs!$G$5:$G$170&lt;&gt;"moeda")*(Inputs!$G$5:$G$170&lt;&gt;"acoes")))*INDEX(Inputs!$K$5:$AJ$170,0,MATCH(AI$2,Inputs!$K$4:$AJ$4,0)))))</f>
        <v>1390.284</v>
      </c>
      <c r="AJ69" s="266">
        <f>IF(ISNA(MATCH(AJ$2,Inputs!$K$4:$AJ$4,0)),NA(),IF(SUMPRODUCT((Inputs!$A$5:$A$170=$B69)*ISNUMBER(INDEX(Inputs!$K$5:$AJ$170,0,MATCH(AJ$2,Inputs!$K$4:$AJ$4,0))))+SUMPRODUCT((Inputs!$C$5:$C$170=$B69)*ISNUMBER(INDEX(Inputs!$K$5:$AJ$170,0,MATCH(AJ$2,Inputs!$K$4:$AJ$4,0))))+SUMPRODUCT((Inputs!$E$5:$E$170=$B69)*ISNUMBER(INDEX(Inputs!$K$5:$AJ$170,0,MATCH(AJ$2,Inputs!$K$4:$AJ$4,0))))=0,NA(),SUMPRODUCT((Inputs!$A$5:$A$170=$B69)*Inputs!$B$5:$B$170*(((Inputs!$G$5:$G$170="moeda")+(Inputs!$G$5:$G$170="acoes"))*Inputs!$B$1+((Inputs!$G$5:$G$170&lt;&gt;"moeda")*(Inputs!$G$5:$G$170&lt;&gt;"acoes")))*INDEX(Inputs!$K$5:$AJ$170,0,MATCH(AJ$2,Inputs!$K$4:$AJ$4,0)))+SUMPRODUCT((Inputs!$C$5:$C$170=$B69)*Inputs!$D$5:$D$170*(((Inputs!$G$5:$G$170="moeda")+(Inputs!$G$5:$G$170="acoes"))*Inputs!$B$1+((Inputs!$G$5:$G$170&lt;&gt;"moeda")*(Inputs!$G$5:$G$170&lt;&gt;"acoes")))*INDEX(Inputs!$K$5:$AJ$170,0,MATCH(AJ$2,Inputs!$K$4:$AJ$4,0)))+SUMPRODUCT((Inputs!$E$5:$E$170=$B69)*Inputs!$F$5:$F$170*(((Inputs!$G$5:$G$170="moeda")+(Inputs!$G$5:$G$170="acoes"))*Inputs!$B$1+((Inputs!$G$5:$G$170&lt;&gt;"moeda")*(Inputs!$G$5:$G$170&lt;&gt;"acoes")))*INDEX(Inputs!$K$5:$AJ$170,0,MATCH(AJ$2,Inputs!$K$4:$AJ$4,0)))))</f>
        <v>1241.48</v>
      </c>
      <c r="AK69" s="266">
        <f>IF(ISNA(MATCH(AK$2,Inputs!$K$4:$AJ$4,0)),NA(),IF(SUMPRODUCT((Inputs!$A$5:$A$170=$B69)*ISNUMBER(INDEX(Inputs!$K$5:$AJ$170,0,MATCH(AK$2,Inputs!$K$4:$AJ$4,0))))+SUMPRODUCT((Inputs!$C$5:$C$170=$B69)*ISNUMBER(INDEX(Inputs!$K$5:$AJ$170,0,MATCH(AK$2,Inputs!$K$4:$AJ$4,0))))+SUMPRODUCT((Inputs!$E$5:$E$170=$B69)*ISNUMBER(INDEX(Inputs!$K$5:$AJ$170,0,MATCH(AK$2,Inputs!$K$4:$AJ$4,0))))=0,NA(),SUMPRODUCT((Inputs!$A$5:$A$170=$B69)*Inputs!$B$5:$B$170*(((Inputs!$G$5:$G$170="moeda")+(Inputs!$G$5:$G$170="acoes"))*Inputs!$B$1+((Inputs!$G$5:$G$170&lt;&gt;"moeda")*(Inputs!$G$5:$G$170&lt;&gt;"acoes")))*INDEX(Inputs!$K$5:$AJ$170,0,MATCH(AK$2,Inputs!$K$4:$AJ$4,0)))+SUMPRODUCT((Inputs!$C$5:$C$170=$B69)*Inputs!$D$5:$D$170*(((Inputs!$G$5:$G$170="moeda")+(Inputs!$G$5:$G$170="acoes"))*Inputs!$B$1+((Inputs!$G$5:$G$170&lt;&gt;"moeda")*(Inputs!$G$5:$G$170&lt;&gt;"acoes")))*INDEX(Inputs!$K$5:$AJ$170,0,MATCH(AK$2,Inputs!$K$4:$AJ$4,0)))+SUMPRODUCT((Inputs!$E$5:$E$170=$B69)*Inputs!$F$5:$F$170*(((Inputs!$G$5:$G$170="moeda")+(Inputs!$G$5:$G$170="acoes"))*Inputs!$B$1+((Inputs!$G$5:$G$170&lt;&gt;"moeda")*(Inputs!$G$5:$G$170&lt;&gt;"acoes")))*INDEX(Inputs!$K$5:$AJ$170,0,MATCH(AK$2,Inputs!$K$4:$AJ$4,0)))))</f>
        <v>1196.553</v>
      </c>
      <c r="AL69" s="267" t="n"/>
    </row>
    <row r="70">
      <c r="B70" s="46" t="n">
        <v>62</v>
      </c>
      <c r="C70" s="29" t="inlineStr">
        <is>
          <t>Seminovos - carros vendidos (Op Data l.28)</t>
        </is>
      </c>
      <c r="D70" s="266">
        <f>IF(ISNA(MATCH(D$2,Inputs!$K$4:$AJ$4,0)),NA(),IF(SUMPRODUCT((Inputs!$A$5:$A$170=$B70)*ISNUMBER(INDEX(Inputs!$K$5:$AJ$170,0,MATCH(D$2,Inputs!$K$4:$AJ$4,0))))+SUMPRODUCT((Inputs!$C$5:$C$170=$B70)*ISNUMBER(INDEX(Inputs!$K$5:$AJ$170,0,MATCH(D$2,Inputs!$K$4:$AJ$4,0))))+SUMPRODUCT((Inputs!$E$5:$E$170=$B70)*ISNUMBER(INDEX(Inputs!$K$5:$AJ$170,0,MATCH(D$2,Inputs!$K$4:$AJ$4,0))))=0,NA(),SUMPRODUCT((Inputs!$A$5:$A$170=$B70)*Inputs!$B$5:$B$170*(((Inputs!$G$5:$G$170="moeda")+(Inputs!$G$5:$G$170="acoes"))*Inputs!$B$1+((Inputs!$G$5:$G$170&lt;&gt;"moeda")*(Inputs!$G$5:$G$170&lt;&gt;"acoes")))*INDEX(Inputs!$K$5:$AJ$170,0,MATCH(D$2,Inputs!$K$4:$AJ$4,0)))+SUMPRODUCT((Inputs!$C$5:$C$170=$B70)*Inputs!$D$5:$D$170*(((Inputs!$G$5:$G$170="moeda")+(Inputs!$G$5:$G$170="acoes"))*Inputs!$B$1+((Inputs!$G$5:$G$170&lt;&gt;"moeda")*(Inputs!$G$5:$G$170&lt;&gt;"acoes")))*INDEX(Inputs!$K$5:$AJ$170,0,MATCH(D$2,Inputs!$K$4:$AJ$4,0)))+SUMPRODUCT((Inputs!$E$5:$E$170=$B70)*Inputs!$F$5:$F$170*(((Inputs!$G$5:$G$170="moeda")+(Inputs!$G$5:$G$170="acoes"))*Inputs!$B$1+((Inputs!$G$5:$G$170&lt;&gt;"moeda")*(Inputs!$G$5:$G$170&lt;&gt;"acoes")))*INDEX(Inputs!$K$5:$AJ$170,0,MATCH(D$2,Inputs!$K$4:$AJ$4,0)))))</f>
        <v>5356</v>
      </c>
      <c r="E70" s="266">
        <f>IF(ISNA(MATCH(E$2,Inputs!$K$4:$AJ$4,0)),NA(),IF(SUMPRODUCT((Inputs!$A$5:$A$170=$B70)*ISNUMBER(INDEX(Inputs!$K$5:$AJ$170,0,MATCH(E$2,Inputs!$K$4:$AJ$4,0))))+SUMPRODUCT((Inputs!$C$5:$C$170=$B70)*ISNUMBER(INDEX(Inputs!$K$5:$AJ$170,0,MATCH(E$2,Inputs!$K$4:$AJ$4,0))))+SUMPRODUCT((Inputs!$E$5:$E$170=$B70)*ISNUMBER(INDEX(Inputs!$K$5:$AJ$170,0,MATCH(E$2,Inputs!$K$4:$AJ$4,0))))=0,NA(),SUMPRODUCT((Inputs!$A$5:$A$170=$B70)*Inputs!$B$5:$B$170*(((Inputs!$G$5:$G$170="moeda")+(Inputs!$G$5:$G$170="acoes"))*Inputs!$B$1+((Inputs!$G$5:$G$170&lt;&gt;"moeda")*(Inputs!$G$5:$G$170&lt;&gt;"acoes")))*INDEX(Inputs!$K$5:$AJ$170,0,MATCH(E$2,Inputs!$K$4:$AJ$4,0)))+SUMPRODUCT((Inputs!$C$5:$C$170=$B70)*Inputs!$D$5:$D$170*(((Inputs!$G$5:$G$170="moeda")+(Inputs!$G$5:$G$170="acoes"))*Inputs!$B$1+((Inputs!$G$5:$G$170&lt;&gt;"moeda")*(Inputs!$G$5:$G$170&lt;&gt;"acoes")))*INDEX(Inputs!$K$5:$AJ$170,0,MATCH(E$2,Inputs!$K$4:$AJ$4,0)))+SUMPRODUCT((Inputs!$E$5:$E$170=$B70)*Inputs!$F$5:$F$170*(((Inputs!$G$5:$G$170="moeda")+(Inputs!$G$5:$G$170="acoes"))*Inputs!$B$1+((Inputs!$G$5:$G$170&lt;&gt;"moeda")*(Inputs!$G$5:$G$170&lt;&gt;"acoes")))*INDEX(Inputs!$K$5:$AJ$170,0,MATCH(E$2,Inputs!$K$4:$AJ$4,0)))))</f>
        <v>12462</v>
      </c>
      <c r="F70" s="266">
        <f>IF(ISNA(MATCH(F$2,Inputs!$K$4:$AJ$4,0)),NA(),IF(SUMPRODUCT((Inputs!$A$5:$A$170=$B70)*ISNUMBER(INDEX(Inputs!$K$5:$AJ$170,0,MATCH(F$2,Inputs!$K$4:$AJ$4,0))))+SUMPRODUCT((Inputs!$C$5:$C$170=$B70)*ISNUMBER(INDEX(Inputs!$K$5:$AJ$170,0,MATCH(F$2,Inputs!$K$4:$AJ$4,0))))+SUMPRODUCT((Inputs!$E$5:$E$170=$B70)*ISNUMBER(INDEX(Inputs!$K$5:$AJ$170,0,MATCH(F$2,Inputs!$K$4:$AJ$4,0))))=0,NA(),SUMPRODUCT((Inputs!$A$5:$A$170=$B70)*Inputs!$B$5:$B$170*(((Inputs!$G$5:$G$170="moeda")+(Inputs!$G$5:$G$170="acoes"))*Inputs!$B$1+((Inputs!$G$5:$G$170&lt;&gt;"moeda")*(Inputs!$G$5:$G$170&lt;&gt;"acoes")))*INDEX(Inputs!$K$5:$AJ$170,0,MATCH(F$2,Inputs!$K$4:$AJ$4,0)))+SUMPRODUCT((Inputs!$C$5:$C$170=$B70)*Inputs!$D$5:$D$170*(((Inputs!$G$5:$G$170="moeda")+(Inputs!$G$5:$G$170="acoes"))*Inputs!$B$1+((Inputs!$G$5:$G$170&lt;&gt;"moeda")*(Inputs!$G$5:$G$170&lt;&gt;"acoes")))*INDEX(Inputs!$K$5:$AJ$170,0,MATCH(F$2,Inputs!$K$4:$AJ$4,0)))+SUMPRODUCT((Inputs!$E$5:$E$170=$B70)*Inputs!$F$5:$F$170*(((Inputs!$G$5:$G$170="moeda")+(Inputs!$G$5:$G$170="acoes"))*Inputs!$B$1+((Inputs!$G$5:$G$170&lt;&gt;"moeda")*(Inputs!$G$5:$G$170&lt;&gt;"acoes")))*INDEX(Inputs!$K$5:$AJ$170,0,MATCH(F$2,Inputs!$K$4:$AJ$4,0)))))</f>
        <v>14509</v>
      </c>
      <c r="G70" s="266">
        <f>IF(ISNA(MATCH(G$2,Inputs!$K$4:$AJ$4,0)),NA(),IF(SUMPRODUCT((Inputs!$A$5:$A$170=$B70)*ISNUMBER(INDEX(Inputs!$K$5:$AJ$170,0,MATCH(G$2,Inputs!$K$4:$AJ$4,0))))+SUMPRODUCT((Inputs!$C$5:$C$170=$B70)*ISNUMBER(INDEX(Inputs!$K$5:$AJ$170,0,MATCH(G$2,Inputs!$K$4:$AJ$4,0))))+SUMPRODUCT((Inputs!$E$5:$E$170=$B70)*ISNUMBER(INDEX(Inputs!$K$5:$AJ$170,0,MATCH(G$2,Inputs!$K$4:$AJ$4,0))))=0,NA(),SUMPRODUCT((Inputs!$A$5:$A$170=$B70)*Inputs!$B$5:$B$170*(((Inputs!$G$5:$G$170="moeda")+(Inputs!$G$5:$G$170="acoes"))*Inputs!$B$1+((Inputs!$G$5:$G$170&lt;&gt;"moeda")*(Inputs!$G$5:$G$170&lt;&gt;"acoes")))*INDEX(Inputs!$K$5:$AJ$170,0,MATCH(G$2,Inputs!$K$4:$AJ$4,0)))+SUMPRODUCT((Inputs!$C$5:$C$170=$B70)*Inputs!$D$5:$D$170*(((Inputs!$G$5:$G$170="moeda")+(Inputs!$G$5:$G$170="acoes"))*Inputs!$B$1+((Inputs!$G$5:$G$170&lt;&gt;"moeda")*(Inputs!$G$5:$G$170&lt;&gt;"acoes")))*INDEX(Inputs!$K$5:$AJ$170,0,MATCH(G$2,Inputs!$K$4:$AJ$4,0)))+SUMPRODUCT((Inputs!$E$5:$E$170=$B70)*Inputs!$F$5:$F$170*(((Inputs!$G$5:$G$170="moeda")+(Inputs!$G$5:$G$170="acoes"))*Inputs!$B$1+((Inputs!$G$5:$G$170&lt;&gt;"moeda")*(Inputs!$G$5:$G$170&lt;&gt;"acoes")))*INDEX(Inputs!$K$5:$AJ$170,0,MATCH(G$2,Inputs!$K$4:$AJ$4,0)))))</f>
        <v>12472</v>
      </c>
      <c r="H70" s="267">
        <f>SUM(D70:G70)</f>
        <v>44799</v>
      </c>
      <c r="I70" s="266">
        <f>IF(ISNA(MATCH(I$2,Inputs!$K$4:$AJ$4,0)),NA(),IF(SUMPRODUCT((Inputs!$A$5:$A$170=$B70)*ISNUMBER(INDEX(Inputs!$K$5:$AJ$170,0,MATCH(I$2,Inputs!$K$4:$AJ$4,0))))+SUMPRODUCT((Inputs!$C$5:$C$170=$B70)*ISNUMBER(INDEX(Inputs!$K$5:$AJ$170,0,MATCH(I$2,Inputs!$K$4:$AJ$4,0))))+SUMPRODUCT((Inputs!$E$5:$E$170=$B70)*ISNUMBER(INDEX(Inputs!$K$5:$AJ$170,0,MATCH(I$2,Inputs!$K$4:$AJ$4,0))))=0,NA(),SUMPRODUCT((Inputs!$A$5:$A$170=$B70)*Inputs!$B$5:$B$170*(((Inputs!$G$5:$G$170="moeda")+(Inputs!$G$5:$G$170="acoes"))*Inputs!$B$1+((Inputs!$G$5:$G$170&lt;&gt;"moeda")*(Inputs!$G$5:$G$170&lt;&gt;"acoes")))*INDEX(Inputs!$K$5:$AJ$170,0,MATCH(I$2,Inputs!$K$4:$AJ$4,0)))+SUMPRODUCT((Inputs!$C$5:$C$170=$B70)*Inputs!$D$5:$D$170*(((Inputs!$G$5:$G$170="moeda")+(Inputs!$G$5:$G$170="acoes"))*Inputs!$B$1+((Inputs!$G$5:$G$170&lt;&gt;"moeda")*(Inputs!$G$5:$G$170&lt;&gt;"acoes")))*INDEX(Inputs!$K$5:$AJ$170,0,MATCH(I$2,Inputs!$K$4:$AJ$4,0)))+SUMPRODUCT((Inputs!$E$5:$E$170=$B70)*Inputs!$F$5:$F$170*(((Inputs!$G$5:$G$170="moeda")+(Inputs!$G$5:$G$170="acoes"))*Inputs!$B$1+((Inputs!$G$5:$G$170&lt;&gt;"moeda")*(Inputs!$G$5:$G$170&lt;&gt;"acoes")))*INDEX(Inputs!$K$5:$AJ$170,0,MATCH(I$2,Inputs!$K$4:$AJ$4,0)))))</f>
        <v>15225</v>
      </c>
      <c r="J70" s="266">
        <f>IF(ISNA(MATCH(J$2,Inputs!$K$4:$AJ$4,0)),NA(),IF(SUMPRODUCT((Inputs!$A$5:$A$170=$B70)*ISNUMBER(INDEX(Inputs!$K$5:$AJ$170,0,MATCH(J$2,Inputs!$K$4:$AJ$4,0))))+SUMPRODUCT((Inputs!$C$5:$C$170=$B70)*ISNUMBER(INDEX(Inputs!$K$5:$AJ$170,0,MATCH(J$2,Inputs!$K$4:$AJ$4,0))))+SUMPRODUCT((Inputs!$E$5:$E$170=$B70)*ISNUMBER(INDEX(Inputs!$K$5:$AJ$170,0,MATCH(J$2,Inputs!$K$4:$AJ$4,0))))=0,NA(),SUMPRODUCT((Inputs!$A$5:$A$170=$B70)*Inputs!$B$5:$B$170*(((Inputs!$G$5:$G$170="moeda")+(Inputs!$G$5:$G$170="acoes"))*Inputs!$B$1+((Inputs!$G$5:$G$170&lt;&gt;"moeda")*(Inputs!$G$5:$G$170&lt;&gt;"acoes")))*INDEX(Inputs!$K$5:$AJ$170,0,MATCH(J$2,Inputs!$K$4:$AJ$4,0)))+SUMPRODUCT((Inputs!$C$5:$C$170=$B70)*Inputs!$D$5:$D$170*(((Inputs!$G$5:$G$170="moeda")+(Inputs!$G$5:$G$170="acoes"))*Inputs!$B$1+((Inputs!$G$5:$G$170&lt;&gt;"moeda")*(Inputs!$G$5:$G$170&lt;&gt;"acoes")))*INDEX(Inputs!$K$5:$AJ$170,0,MATCH(J$2,Inputs!$K$4:$AJ$4,0)))+SUMPRODUCT((Inputs!$E$5:$E$170=$B70)*Inputs!$F$5:$F$170*(((Inputs!$G$5:$G$170="moeda")+(Inputs!$G$5:$G$170="acoes"))*Inputs!$B$1+((Inputs!$G$5:$G$170&lt;&gt;"moeda")*(Inputs!$G$5:$G$170&lt;&gt;"acoes")))*INDEX(Inputs!$K$5:$AJ$170,0,MATCH(J$2,Inputs!$K$4:$AJ$4,0)))))</f>
        <v>18474</v>
      </c>
      <c r="K70" s="266">
        <f>IF(ISNA(MATCH(K$2,Inputs!$K$4:$AJ$4,0)),NA(),IF(SUMPRODUCT((Inputs!$A$5:$A$170=$B70)*ISNUMBER(INDEX(Inputs!$K$5:$AJ$170,0,MATCH(K$2,Inputs!$K$4:$AJ$4,0))))+SUMPRODUCT((Inputs!$C$5:$C$170=$B70)*ISNUMBER(INDEX(Inputs!$K$5:$AJ$170,0,MATCH(K$2,Inputs!$K$4:$AJ$4,0))))+SUMPRODUCT((Inputs!$E$5:$E$170=$B70)*ISNUMBER(INDEX(Inputs!$K$5:$AJ$170,0,MATCH(K$2,Inputs!$K$4:$AJ$4,0))))=0,NA(),SUMPRODUCT((Inputs!$A$5:$A$170=$B70)*Inputs!$B$5:$B$170*(((Inputs!$G$5:$G$170="moeda")+(Inputs!$G$5:$G$170="acoes"))*Inputs!$B$1+((Inputs!$G$5:$G$170&lt;&gt;"moeda")*(Inputs!$G$5:$G$170&lt;&gt;"acoes")))*INDEX(Inputs!$K$5:$AJ$170,0,MATCH(K$2,Inputs!$K$4:$AJ$4,0)))+SUMPRODUCT((Inputs!$C$5:$C$170=$B70)*Inputs!$D$5:$D$170*(((Inputs!$G$5:$G$170="moeda")+(Inputs!$G$5:$G$170="acoes"))*Inputs!$B$1+((Inputs!$G$5:$G$170&lt;&gt;"moeda")*(Inputs!$G$5:$G$170&lt;&gt;"acoes")))*INDEX(Inputs!$K$5:$AJ$170,0,MATCH(K$2,Inputs!$K$4:$AJ$4,0)))+SUMPRODUCT((Inputs!$E$5:$E$170=$B70)*Inputs!$F$5:$F$170*(((Inputs!$G$5:$G$170="moeda")+(Inputs!$G$5:$G$170="acoes"))*Inputs!$B$1+((Inputs!$G$5:$G$170&lt;&gt;"moeda")*(Inputs!$G$5:$G$170&lt;&gt;"acoes")))*INDEX(Inputs!$K$5:$AJ$170,0,MATCH(K$2,Inputs!$K$4:$AJ$4,0)))))</f>
        <v>20023</v>
      </c>
      <c r="L70" s="266">
        <f>IF(ISNA(MATCH(L$2,Inputs!$K$4:$AJ$4,0)),NA(),IF(SUMPRODUCT((Inputs!$A$5:$A$170=$B70)*ISNUMBER(INDEX(Inputs!$K$5:$AJ$170,0,MATCH(L$2,Inputs!$K$4:$AJ$4,0))))+SUMPRODUCT((Inputs!$C$5:$C$170=$B70)*ISNUMBER(INDEX(Inputs!$K$5:$AJ$170,0,MATCH(L$2,Inputs!$K$4:$AJ$4,0))))+SUMPRODUCT((Inputs!$E$5:$E$170=$B70)*ISNUMBER(INDEX(Inputs!$K$5:$AJ$170,0,MATCH(L$2,Inputs!$K$4:$AJ$4,0))))=0,NA(),SUMPRODUCT((Inputs!$A$5:$A$170=$B70)*Inputs!$B$5:$B$170*(((Inputs!$G$5:$G$170="moeda")+(Inputs!$G$5:$G$170="acoes"))*Inputs!$B$1+((Inputs!$G$5:$G$170&lt;&gt;"moeda")*(Inputs!$G$5:$G$170&lt;&gt;"acoes")))*INDEX(Inputs!$K$5:$AJ$170,0,MATCH(L$2,Inputs!$K$4:$AJ$4,0)))+SUMPRODUCT((Inputs!$C$5:$C$170=$B70)*Inputs!$D$5:$D$170*(((Inputs!$G$5:$G$170="moeda")+(Inputs!$G$5:$G$170="acoes"))*Inputs!$B$1+((Inputs!$G$5:$G$170&lt;&gt;"moeda")*(Inputs!$G$5:$G$170&lt;&gt;"acoes")))*INDEX(Inputs!$K$5:$AJ$170,0,MATCH(L$2,Inputs!$K$4:$AJ$4,0)))+SUMPRODUCT((Inputs!$E$5:$E$170=$B70)*Inputs!$F$5:$F$170*(((Inputs!$G$5:$G$170="moeda")+(Inputs!$G$5:$G$170="acoes"))*Inputs!$B$1+((Inputs!$G$5:$G$170&lt;&gt;"moeda")*(Inputs!$G$5:$G$170&lt;&gt;"acoes")))*INDEX(Inputs!$K$5:$AJ$170,0,MATCH(L$2,Inputs!$K$4:$AJ$4,0)))))</f>
        <v>18697</v>
      </c>
      <c r="M70" s="267">
        <f>SUM(I70:L70)</f>
        <v>72419</v>
      </c>
      <c r="N70" s="266">
        <f>IF(ISNA(MATCH(N$2,Inputs!$K$4:$AJ$4,0)),NA(),IF(SUMPRODUCT((Inputs!$A$5:$A$170=$B70)*ISNUMBER(INDEX(Inputs!$K$5:$AJ$170,0,MATCH(N$2,Inputs!$K$4:$AJ$4,0))))+SUMPRODUCT((Inputs!$C$5:$C$170=$B70)*ISNUMBER(INDEX(Inputs!$K$5:$AJ$170,0,MATCH(N$2,Inputs!$K$4:$AJ$4,0))))+SUMPRODUCT((Inputs!$E$5:$E$170=$B70)*ISNUMBER(INDEX(Inputs!$K$5:$AJ$170,0,MATCH(N$2,Inputs!$K$4:$AJ$4,0))))=0,NA(),SUMPRODUCT((Inputs!$A$5:$A$170=$B70)*Inputs!$B$5:$B$170*(((Inputs!$G$5:$G$170="moeda")+(Inputs!$G$5:$G$170="acoes"))*Inputs!$B$1+((Inputs!$G$5:$G$170&lt;&gt;"moeda")*(Inputs!$G$5:$G$170&lt;&gt;"acoes")))*INDEX(Inputs!$K$5:$AJ$170,0,MATCH(N$2,Inputs!$K$4:$AJ$4,0)))+SUMPRODUCT((Inputs!$C$5:$C$170=$B70)*Inputs!$D$5:$D$170*(((Inputs!$G$5:$G$170="moeda")+(Inputs!$G$5:$G$170="acoes"))*Inputs!$B$1+((Inputs!$G$5:$G$170&lt;&gt;"moeda")*(Inputs!$G$5:$G$170&lt;&gt;"acoes")))*INDEX(Inputs!$K$5:$AJ$170,0,MATCH(N$2,Inputs!$K$4:$AJ$4,0)))+SUMPRODUCT((Inputs!$E$5:$E$170=$B70)*Inputs!$F$5:$F$170*(((Inputs!$G$5:$G$170="moeda")+(Inputs!$G$5:$G$170="acoes"))*Inputs!$B$1+((Inputs!$G$5:$G$170&lt;&gt;"moeda")*(Inputs!$G$5:$G$170&lt;&gt;"acoes")))*INDEX(Inputs!$K$5:$AJ$170,0,MATCH(N$2,Inputs!$K$4:$AJ$4,0)))))</f>
        <v>19610</v>
      </c>
      <c r="O70" s="266">
        <f>IF(ISNA(MATCH(O$2,Inputs!$K$4:$AJ$4,0)),NA(),IF(SUMPRODUCT((Inputs!$A$5:$A$170=$B70)*ISNUMBER(INDEX(Inputs!$K$5:$AJ$170,0,MATCH(O$2,Inputs!$K$4:$AJ$4,0))))+SUMPRODUCT((Inputs!$C$5:$C$170=$B70)*ISNUMBER(INDEX(Inputs!$K$5:$AJ$170,0,MATCH(O$2,Inputs!$K$4:$AJ$4,0))))+SUMPRODUCT((Inputs!$E$5:$E$170=$B70)*ISNUMBER(INDEX(Inputs!$K$5:$AJ$170,0,MATCH(O$2,Inputs!$K$4:$AJ$4,0))))=0,NA(),SUMPRODUCT((Inputs!$A$5:$A$170=$B70)*Inputs!$B$5:$B$170*(((Inputs!$G$5:$G$170="moeda")+(Inputs!$G$5:$G$170="acoes"))*Inputs!$B$1+((Inputs!$G$5:$G$170&lt;&gt;"moeda")*(Inputs!$G$5:$G$170&lt;&gt;"acoes")))*INDEX(Inputs!$K$5:$AJ$170,0,MATCH(O$2,Inputs!$K$4:$AJ$4,0)))+SUMPRODUCT((Inputs!$C$5:$C$170=$B70)*Inputs!$D$5:$D$170*(((Inputs!$G$5:$G$170="moeda")+(Inputs!$G$5:$G$170="acoes"))*Inputs!$B$1+((Inputs!$G$5:$G$170&lt;&gt;"moeda")*(Inputs!$G$5:$G$170&lt;&gt;"acoes")))*INDEX(Inputs!$K$5:$AJ$170,0,MATCH(O$2,Inputs!$K$4:$AJ$4,0)))+SUMPRODUCT((Inputs!$E$5:$E$170=$B70)*Inputs!$F$5:$F$170*(((Inputs!$G$5:$G$170="moeda")+(Inputs!$G$5:$G$170="acoes"))*Inputs!$B$1+((Inputs!$G$5:$G$170&lt;&gt;"moeda")*(Inputs!$G$5:$G$170&lt;&gt;"acoes")))*INDEX(Inputs!$K$5:$AJ$170,0,MATCH(O$2,Inputs!$K$4:$AJ$4,0)))))</f>
        <v>18806</v>
      </c>
      <c r="P70" s="266">
        <f>IF(ISNA(MATCH(P$2,Inputs!$K$4:$AJ$4,0)),NA(),IF(SUMPRODUCT((Inputs!$A$5:$A$170=$B70)*ISNUMBER(INDEX(Inputs!$K$5:$AJ$170,0,MATCH(P$2,Inputs!$K$4:$AJ$4,0))))+SUMPRODUCT((Inputs!$C$5:$C$170=$B70)*ISNUMBER(INDEX(Inputs!$K$5:$AJ$170,0,MATCH(P$2,Inputs!$K$4:$AJ$4,0))))+SUMPRODUCT((Inputs!$E$5:$E$170=$B70)*ISNUMBER(INDEX(Inputs!$K$5:$AJ$170,0,MATCH(P$2,Inputs!$K$4:$AJ$4,0))))=0,NA(),SUMPRODUCT((Inputs!$A$5:$A$170=$B70)*Inputs!$B$5:$B$170*(((Inputs!$G$5:$G$170="moeda")+(Inputs!$G$5:$G$170="acoes"))*Inputs!$B$1+((Inputs!$G$5:$G$170&lt;&gt;"moeda")*(Inputs!$G$5:$G$170&lt;&gt;"acoes")))*INDEX(Inputs!$K$5:$AJ$170,0,MATCH(P$2,Inputs!$K$4:$AJ$4,0)))+SUMPRODUCT((Inputs!$C$5:$C$170=$B70)*Inputs!$D$5:$D$170*(((Inputs!$G$5:$G$170="moeda")+(Inputs!$G$5:$G$170="acoes"))*Inputs!$B$1+((Inputs!$G$5:$G$170&lt;&gt;"moeda")*(Inputs!$G$5:$G$170&lt;&gt;"acoes")))*INDEX(Inputs!$K$5:$AJ$170,0,MATCH(P$2,Inputs!$K$4:$AJ$4,0)))+SUMPRODUCT((Inputs!$E$5:$E$170=$B70)*Inputs!$F$5:$F$170*(((Inputs!$G$5:$G$170="moeda")+(Inputs!$G$5:$G$170="acoes"))*Inputs!$B$1+((Inputs!$G$5:$G$170&lt;&gt;"moeda")*(Inputs!$G$5:$G$170&lt;&gt;"acoes")))*INDEX(Inputs!$K$5:$AJ$170,0,MATCH(P$2,Inputs!$K$4:$AJ$4,0)))))</f>
        <v>20503</v>
      </c>
      <c r="Q70" s="266">
        <f>IF(ISNA(MATCH(Q$2,Inputs!$K$4:$AJ$4,0)),NA(),IF(SUMPRODUCT((Inputs!$A$5:$A$170=$B70)*ISNUMBER(INDEX(Inputs!$K$5:$AJ$170,0,MATCH(Q$2,Inputs!$K$4:$AJ$4,0))))+SUMPRODUCT((Inputs!$C$5:$C$170=$B70)*ISNUMBER(INDEX(Inputs!$K$5:$AJ$170,0,MATCH(Q$2,Inputs!$K$4:$AJ$4,0))))+SUMPRODUCT((Inputs!$E$5:$E$170=$B70)*ISNUMBER(INDEX(Inputs!$K$5:$AJ$170,0,MATCH(Q$2,Inputs!$K$4:$AJ$4,0))))=0,NA(),SUMPRODUCT((Inputs!$A$5:$A$170=$B70)*Inputs!$B$5:$B$170*(((Inputs!$G$5:$G$170="moeda")+(Inputs!$G$5:$G$170="acoes"))*Inputs!$B$1+((Inputs!$G$5:$G$170&lt;&gt;"moeda")*(Inputs!$G$5:$G$170&lt;&gt;"acoes")))*INDEX(Inputs!$K$5:$AJ$170,0,MATCH(Q$2,Inputs!$K$4:$AJ$4,0)))+SUMPRODUCT((Inputs!$C$5:$C$170=$B70)*Inputs!$D$5:$D$170*(((Inputs!$G$5:$G$170="moeda")+(Inputs!$G$5:$G$170="acoes"))*Inputs!$B$1+((Inputs!$G$5:$G$170&lt;&gt;"moeda")*(Inputs!$G$5:$G$170&lt;&gt;"acoes")))*INDEX(Inputs!$K$5:$AJ$170,0,MATCH(Q$2,Inputs!$K$4:$AJ$4,0)))+SUMPRODUCT((Inputs!$E$5:$E$170=$B70)*Inputs!$F$5:$F$170*(((Inputs!$G$5:$G$170="moeda")+(Inputs!$G$5:$G$170="acoes"))*Inputs!$B$1+((Inputs!$G$5:$G$170&lt;&gt;"moeda")*(Inputs!$G$5:$G$170&lt;&gt;"acoes")))*INDEX(Inputs!$K$5:$AJ$170,0,MATCH(Q$2,Inputs!$K$4:$AJ$4,0)))))</f>
        <v>17253</v>
      </c>
      <c r="R70" s="267">
        <f>SUM(N70:Q70)</f>
        <v>76172</v>
      </c>
      <c r="S70" s="266">
        <f>IF(ISNA(MATCH(S$2,Inputs!$K$4:$AJ$4,0)),NA(),IF(SUMPRODUCT((Inputs!$A$5:$A$170=$B70)*ISNUMBER(INDEX(Inputs!$K$5:$AJ$170,0,MATCH(S$2,Inputs!$K$4:$AJ$4,0))))+SUMPRODUCT((Inputs!$C$5:$C$170=$B70)*ISNUMBER(INDEX(Inputs!$K$5:$AJ$170,0,MATCH(S$2,Inputs!$K$4:$AJ$4,0))))+SUMPRODUCT((Inputs!$E$5:$E$170=$B70)*ISNUMBER(INDEX(Inputs!$K$5:$AJ$170,0,MATCH(S$2,Inputs!$K$4:$AJ$4,0))))=0,NA(),SUMPRODUCT((Inputs!$A$5:$A$170=$B70)*Inputs!$B$5:$B$170*(((Inputs!$G$5:$G$170="moeda")+(Inputs!$G$5:$G$170="acoes"))*Inputs!$B$1+((Inputs!$G$5:$G$170&lt;&gt;"moeda")*(Inputs!$G$5:$G$170&lt;&gt;"acoes")))*INDEX(Inputs!$K$5:$AJ$170,0,MATCH(S$2,Inputs!$K$4:$AJ$4,0)))+SUMPRODUCT((Inputs!$C$5:$C$170=$B70)*Inputs!$D$5:$D$170*(((Inputs!$G$5:$G$170="moeda")+(Inputs!$G$5:$G$170="acoes"))*Inputs!$B$1+((Inputs!$G$5:$G$170&lt;&gt;"moeda")*(Inputs!$G$5:$G$170&lt;&gt;"acoes")))*INDEX(Inputs!$K$5:$AJ$170,0,MATCH(S$2,Inputs!$K$4:$AJ$4,0)))+SUMPRODUCT((Inputs!$E$5:$E$170=$B70)*Inputs!$F$5:$F$170*(((Inputs!$G$5:$G$170="moeda")+(Inputs!$G$5:$G$170="acoes"))*Inputs!$B$1+((Inputs!$G$5:$G$170&lt;&gt;"moeda")*(Inputs!$G$5:$G$170&lt;&gt;"acoes")))*INDEX(Inputs!$K$5:$AJ$170,0,MATCH(S$2,Inputs!$K$4:$AJ$4,0)))))</f>
        <v>23249</v>
      </c>
      <c r="T70" s="266">
        <f>IF(ISNA(MATCH(T$2,Inputs!$K$4:$AJ$4,0)),NA(),IF(SUMPRODUCT((Inputs!$A$5:$A$170=$B70)*ISNUMBER(INDEX(Inputs!$K$5:$AJ$170,0,MATCH(T$2,Inputs!$K$4:$AJ$4,0))))+SUMPRODUCT((Inputs!$C$5:$C$170=$B70)*ISNUMBER(INDEX(Inputs!$K$5:$AJ$170,0,MATCH(T$2,Inputs!$K$4:$AJ$4,0))))+SUMPRODUCT((Inputs!$E$5:$E$170=$B70)*ISNUMBER(INDEX(Inputs!$K$5:$AJ$170,0,MATCH(T$2,Inputs!$K$4:$AJ$4,0))))=0,NA(),SUMPRODUCT((Inputs!$A$5:$A$170=$B70)*Inputs!$B$5:$B$170*(((Inputs!$G$5:$G$170="moeda")+(Inputs!$G$5:$G$170="acoes"))*Inputs!$B$1+((Inputs!$G$5:$G$170&lt;&gt;"moeda")*(Inputs!$G$5:$G$170&lt;&gt;"acoes")))*INDEX(Inputs!$K$5:$AJ$170,0,MATCH(T$2,Inputs!$K$4:$AJ$4,0)))+SUMPRODUCT((Inputs!$C$5:$C$170=$B70)*Inputs!$D$5:$D$170*(((Inputs!$G$5:$G$170="moeda")+(Inputs!$G$5:$G$170="acoes"))*Inputs!$B$1+((Inputs!$G$5:$G$170&lt;&gt;"moeda")*(Inputs!$G$5:$G$170&lt;&gt;"acoes")))*INDEX(Inputs!$K$5:$AJ$170,0,MATCH(T$2,Inputs!$K$4:$AJ$4,0)))+SUMPRODUCT((Inputs!$E$5:$E$170=$B70)*Inputs!$F$5:$F$170*(((Inputs!$G$5:$G$170="moeda")+(Inputs!$G$5:$G$170="acoes"))*Inputs!$B$1+((Inputs!$G$5:$G$170&lt;&gt;"moeda")*(Inputs!$G$5:$G$170&lt;&gt;"acoes")))*INDEX(Inputs!$K$5:$AJ$170,0,MATCH(T$2,Inputs!$K$4:$AJ$4,0)))))</f>
        <v>27954</v>
      </c>
      <c r="U70" s="266">
        <f>IF(ISNA(MATCH(U$2,Inputs!$K$4:$AJ$4,0)),NA(),IF(SUMPRODUCT((Inputs!$A$5:$A$170=$B70)*ISNUMBER(INDEX(Inputs!$K$5:$AJ$170,0,MATCH(U$2,Inputs!$K$4:$AJ$4,0))))+SUMPRODUCT((Inputs!$C$5:$C$170=$B70)*ISNUMBER(INDEX(Inputs!$K$5:$AJ$170,0,MATCH(U$2,Inputs!$K$4:$AJ$4,0))))+SUMPRODUCT((Inputs!$E$5:$E$170=$B70)*ISNUMBER(INDEX(Inputs!$K$5:$AJ$170,0,MATCH(U$2,Inputs!$K$4:$AJ$4,0))))=0,NA(),SUMPRODUCT((Inputs!$A$5:$A$170=$B70)*Inputs!$B$5:$B$170*(((Inputs!$G$5:$G$170="moeda")+(Inputs!$G$5:$G$170="acoes"))*Inputs!$B$1+((Inputs!$G$5:$G$170&lt;&gt;"moeda")*(Inputs!$G$5:$G$170&lt;&gt;"acoes")))*INDEX(Inputs!$K$5:$AJ$170,0,MATCH(U$2,Inputs!$K$4:$AJ$4,0)))+SUMPRODUCT((Inputs!$C$5:$C$170=$B70)*Inputs!$D$5:$D$170*(((Inputs!$G$5:$G$170="moeda")+(Inputs!$G$5:$G$170="acoes"))*Inputs!$B$1+((Inputs!$G$5:$G$170&lt;&gt;"moeda")*(Inputs!$G$5:$G$170&lt;&gt;"acoes")))*INDEX(Inputs!$K$5:$AJ$170,0,MATCH(U$2,Inputs!$K$4:$AJ$4,0)))+SUMPRODUCT((Inputs!$E$5:$E$170=$B70)*Inputs!$F$5:$F$170*(((Inputs!$G$5:$G$170="moeda")+(Inputs!$G$5:$G$170="acoes"))*Inputs!$B$1+((Inputs!$G$5:$G$170&lt;&gt;"moeda")*(Inputs!$G$5:$G$170&lt;&gt;"acoes")))*INDEX(Inputs!$K$5:$AJ$170,0,MATCH(U$2,Inputs!$K$4:$AJ$4,0)))))</f>
        <v>30572</v>
      </c>
      <c r="V70" s="266">
        <f>IF(ISNA(MATCH(V$2,Inputs!$K$4:$AJ$4,0)),NA(),IF(SUMPRODUCT((Inputs!$A$5:$A$170=$B70)*ISNUMBER(INDEX(Inputs!$K$5:$AJ$170,0,MATCH(V$2,Inputs!$K$4:$AJ$4,0))))+SUMPRODUCT((Inputs!$C$5:$C$170=$B70)*ISNUMBER(INDEX(Inputs!$K$5:$AJ$170,0,MATCH(V$2,Inputs!$K$4:$AJ$4,0))))+SUMPRODUCT((Inputs!$E$5:$E$170=$B70)*ISNUMBER(INDEX(Inputs!$K$5:$AJ$170,0,MATCH(V$2,Inputs!$K$4:$AJ$4,0))))=0,NA(),SUMPRODUCT((Inputs!$A$5:$A$170=$B70)*Inputs!$B$5:$B$170*(((Inputs!$G$5:$G$170="moeda")+(Inputs!$G$5:$G$170="acoes"))*Inputs!$B$1+((Inputs!$G$5:$G$170&lt;&gt;"moeda")*(Inputs!$G$5:$G$170&lt;&gt;"acoes")))*INDEX(Inputs!$K$5:$AJ$170,0,MATCH(V$2,Inputs!$K$4:$AJ$4,0)))+SUMPRODUCT((Inputs!$C$5:$C$170=$B70)*Inputs!$D$5:$D$170*(((Inputs!$G$5:$G$170="moeda")+(Inputs!$G$5:$G$170="acoes"))*Inputs!$B$1+((Inputs!$G$5:$G$170&lt;&gt;"moeda")*(Inputs!$G$5:$G$170&lt;&gt;"acoes")))*INDEX(Inputs!$K$5:$AJ$170,0,MATCH(V$2,Inputs!$K$4:$AJ$4,0)))+SUMPRODUCT((Inputs!$E$5:$E$170=$B70)*Inputs!$F$5:$F$170*(((Inputs!$G$5:$G$170="moeda")+(Inputs!$G$5:$G$170="acoes"))*Inputs!$B$1+((Inputs!$G$5:$G$170&lt;&gt;"moeda")*(Inputs!$G$5:$G$170&lt;&gt;"acoes")))*INDEX(Inputs!$K$5:$AJ$170,0,MATCH(V$2,Inputs!$K$4:$AJ$4,0)))))</f>
        <v>21916</v>
      </c>
      <c r="W70" s="267">
        <f>SUM(S70:V70)</f>
        <v>103691</v>
      </c>
      <c r="X70" s="266">
        <f>IF(ISNA(MATCH(X$2,Inputs!$K$4:$AJ$4,0)),NA(),IF(SUMPRODUCT((Inputs!$A$5:$A$170=$B70)*ISNUMBER(INDEX(Inputs!$K$5:$AJ$170,0,MATCH(X$2,Inputs!$K$4:$AJ$4,0))))+SUMPRODUCT((Inputs!$C$5:$C$170=$B70)*ISNUMBER(INDEX(Inputs!$K$5:$AJ$170,0,MATCH(X$2,Inputs!$K$4:$AJ$4,0))))+SUMPRODUCT((Inputs!$E$5:$E$170=$B70)*ISNUMBER(INDEX(Inputs!$K$5:$AJ$170,0,MATCH(X$2,Inputs!$K$4:$AJ$4,0))))=0,NA(),SUMPRODUCT((Inputs!$A$5:$A$170=$B70)*Inputs!$B$5:$B$170*(((Inputs!$G$5:$G$170="moeda")+(Inputs!$G$5:$G$170="acoes"))*Inputs!$B$1+((Inputs!$G$5:$G$170&lt;&gt;"moeda")*(Inputs!$G$5:$G$170&lt;&gt;"acoes")))*INDEX(Inputs!$K$5:$AJ$170,0,MATCH(X$2,Inputs!$K$4:$AJ$4,0)))+SUMPRODUCT((Inputs!$C$5:$C$170=$B70)*Inputs!$D$5:$D$170*(((Inputs!$G$5:$G$170="moeda")+(Inputs!$G$5:$G$170="acoes"))*Inputs!$B$1+((Inputs!$G$5:$G$170&lt;&gt;"moeda")*(Inputs!$G$5:$G$170&lt;&gt;"acoes")))*INDEX(Inputs!$K$5:$AJ$170,0,MATCH(X$2,Inputs!$K$4:$AJ$4,0)))+SUMPRODUCT((Inputs!$E$5:$E$170=$B70)*Inputs!$F$5:$F$170*(((Inputs!$G$5:$G$170="moeda")+(Inputs!$G$5:$G$170="acoes"))*Inputs!$B$1+((Inputs!$G$5:$G$170&lt;&gt;"moeda")*(Inputs!$G$5:$G$170&lt;&gt;"acoes")))*INDEX(Inputs!$K$5:$AJ$170,0,MATCH(X$2,Inputs!$K$4:$AJ$4,0)))))</f>
        <v>24784</v>
      </c>
      <c r="Y70" s="266">
        <f>IF(ISNA(MATCH(Y$2,Inputs!$K$4:$AJ$4,0)),NA(),IF(SUMPRODUCT((Inputs!$A$5:$A$170=$B70)*ISNUMBER(INDEX(Inputs!$K$5:$AJ$170,0,MATCH(Y$2,Inputs!$K$4:$AJ$4,0))))+SUMPRODUCT((Inputs!$C$5:$C$170=$B70)*ISNUMBER(INDEX(Inputs!$K$5:$AJ$170,0,MATCH(Y$2,Inputs!$K$4:$AJ$4,0))))+SUMPRODUCT((Inputs!$E$5:$E$170=$B70)*ISNUMBER(INDEX(Inputs!$K$5:$AJ$170,0,MATCH(Y$2,Inputs!$K$4:$AJ$4,0))))=0,NA(),SUMPRODUCT((Inputs!$A$5:$A$170=$B70)*Inputs!$B$5:$B$170*(((Inputs!$G$5:$G$170="moeda")+(Inputs!$G$5:$G$170="acoes"))*Inputs!$B$1+((Inputs!$G$5:$G$170&lt;&gt;"moeda")*(Inputs!$G$5:$G$170&lt;&gt;"acoes")))*INDEX(Inputs!$K$5:$AJ$170,0,MATCH(Y$2,Inputs!$K$4:$AJ$4,0)))+SUMPRODUCT((Inputs!$C$5:$C$170=$B70)*Inputs!$D$5:$D$170*(((Inputs!$G$5:$G$170="moeda")+(Inputs!$G$5:$G$170="acoes"))*Inputs!$B$1+((Inputs!$G$5:$G$170&lt;&gt;"moeda")*(Inputs!$G$5:$G$170&lt;&gt;"acoes")))*INDEX(Inputs!$K$5:$AJ$170,0,MATCH(Y$2,Inputs!$K$4:$AJ$4,0)))+SUMPRODUCT((Inputs!$E$5:$E$170=$B70)*Inputs!$F$5:$F$170*(((Inputs!$G$5:$G$170="moeda")+(Inputs!$G$5:$G$170="acoes"))*Inputs!$B$1+((Inputs!$G$5:$G$170&lt;&gt;"moeda")*(Inputs!$G$5:$G$170&lt;&gt;"acoes")))*INDEX(Inputs!$K$5:$AJ$170,0,MATCH(Y$2,Inputs!$K$4:$AJ$4,0)))))</f>
        <v>25917</v>
      </c>
      <c r="Z70" s="266">
        <f>IF(ISNA(MATCH(Z$2,Inputs!$K$4:$AJ$4,0)),NA(),IF(SUMPRODUCT((Inputs!$A$5:$A$170=$B70)*ISNUMBER(INDEX(Inputs!$K$5:$AJ$170,0,MATCH(Z$2,Inputs!$K$4:$AJ$4,0))))+SUMPRODUCT((Inputs!$C$5:$C$170=$B70)*ISNUMBER(INDEX(Inputs!$K$5:$AJ$170,0,MATCH(Z$2,Inputs!$K$4:$AJ$4,0))))+SUMPRODUCT((Inputs!$E$5:$E$170=$B70)*ISNUMBER(INDEX(Inputs!$K$5:$AJ$170,0,MATCH(Z$2,Inputs!$K$4:$AJ$4,0))))=0,NA(),SUMPRODUCT((Inputs!$A$5:$A$170=$B70)*Inputs!$B$5:$B$170*(((Inputs!$G$5:$G$170="moeda")+(Inputs!$G$5:$G$170="acoes"))*Inputs!$B$1+((Inputs!$G$5:$G$170&lt;&gt;"moeda")*(Inputs!$G$5:$G$170&lt;&gt;"acoes")))*INDEX(Inputs!$K$5:$AJ$170,0,MATCH(Z$2,Inputs!$K$4:$AJ$4,0)))+SUMPRODUCT((Inputs!$C$5:$C$170=$B70)*Inputs!$D$5:$D$170*(((Inputs!$G$5:$G$170="moeda")+(Inputs!$G$5:$G$170="acoes"))*Inputs!$B$1+((Inputs!$G$5:$G$170&lt;&gt;"moeda")*(Inputs!$G$5:$G$170&lt;&gt;"acoes")))*INDEX(Inputs!$K$5:$AJ$170,0,MATCH(Z$2,Inputs!$K$4:$AJ$4,0)))+SUMPRODUCT((Inputs!$E$5:$E$170=$B70)*Inputs!$F$5:$F$170*(((Inputs!$G$5:$G$170="moeda")+(Inputs!$G$5:$G$170="acoes"))*Inputs!$B$1+((Inputs!$G$5:$G$170&lt;&gt;"moeda")*(Inputs!$G$5:$G$170&lt;&gt;"acoes")))*INDEX(Inputs!$K$5:$AJ$170,0,MATCH(Z$2,Inputs!$K$4:$AJ$4,0)))))</f>
        <v>24472</v>
      </c>
      <c r="AA70" s="266">
        <f>IF(ISNA(MATCH(AA$2,Inputs!$K$4:$AJ$4,0)),NA(),IF(SUMPRODUCT((Inputs!$A$5:$A$170=$B70)*ISNUMBER(INDEX(Inputs!$K$5:$AJ$170,0,MATCH(AA$2,Inputs!$K$4:$AJ$4,0))))+SUMPRODUCT((Inputs!$C$5:$C$170=$B70)*ISNUMBER(INDEX(Inputs!$K$5:$AJ$170,0,MATCH(AA$2,Inputs!$K$4:$AJ$4,0))))+SUMPRODUCT((Inputs!$E$5:$E$170=$B70)*ISNUMBER(INDEX(Inputs!$K$5:$AJ$170,0,MATCH(AA$2,Inputs!$K$4:$AJ$4,0))))=0,NA(),SUMPRODUCT((Inputs!$A$5:$A$170=$B70)*Inputs!$B$5:$B$170*(((Inputs!$G$5:$G$170="moeda")+(Inputs!$G$5:$G$170="acoes"))*Inputs!$B$1+((Inputs!$G$5:$G$170&lt;&gt;"moeda")*(Inputs!$G$5:$G$170&lt;&gt;"acoes")))*INDEX(Inputs!$K$5:$AJ$170,0,MATCH(AA$2,Inputs!$K$4:$AJ$4,0)))+SUMPRODUCT((Inputs!$C$5:$C$170=$B70)*Inputs!$D$5:$D$170*(((Inputs!$G$5:$G$170="moeda")+(Inputs!$G$5:$G$170="acoes"))*Inputs!$B$1+((Inputs!$G$5:$G$170&lt;&gt;"moeda")*(Inputs!$G$5:$G$170&lt;&gt;"acoes")))*INDEX(Inputs!$K$5:$AJ$170,0,MATCH(AA$2,Inputs!$K$4:$AJ$4,0)))+SUMPRODUCT((Inputs!$E$5:$E$170=$B70)*Inputs!$F$5:$F$170*(((Inputs!$G$5:$G$170="moeda")+(Inputs!$G$5:$G$170="acoes"))*Inputs!$B$1+((Inputs!$G$5:$G$170&lt;&gt;"moeda")*(Inputs!$G$5:$G$170&lt;&gt;"acoes")))*INDEX(Inputs!$K$5:$AJ$170,0,MATCH(AA$2,Inputs!$K$4:$AJ$4,0)))))</f>
        <v>22172</v>
      </c>
      <c r="AB70" s="267">
        <f>SUM(X70:AA70)</f>
        <v>97345</v>
      </c>
      <c r="AC70" s="266">
        <f>IF(ISNA(MATCH(AC$2,Inputs!$K$4:$AJ$4,0)),NA(),IF(SUMPRODUCT((Inputs!$A$5:$A$170=$B70)*ISNUMBER(INDEX(Inputs!$K$5:$AJ$170,0,MATCH(AC$2,Inputs!$K$4:$AJ$4,0))))+SUMPRODUCT((Inputs!$C$5:$C$170=$B70)*ISNUMBER(INDEX(Inputs!$K$5:$AJ$170,0,MATCH(AC$2,Inputs!$K$4:$AJ$4,0))))+SUMPRODUCT((Inputs!$E$5:$E$170=$B70)*ISNUMBER(INDEX(Inputs!$K$5:$AJ$170,0,MATCH(AC$2,Inputs!$K$4:$AJ$4,0))))=0,NA(),SUMPRODUCT((Inputs!$A$5:$A$170=$B70)*Inputs!$B$5:$B$170*(((Inputs!$G$5:$G$170="moeda")+(Inputs!$G$5:$G$170="acoes"))*Inputs!$B$1+((Inputs!$G$5:$G$170&lt;&gt;"moeda")*(Inputs!$G$5:$G$170&lt;&gt;"acoes")))*INDEX(Inputs!$K$5:$AJ$170,0,MATCH(AC$2,Inputs!$K$4:$AJ$4,0)))+SUMPRODUCT((Inputs!$C$5:$C$170=$B70)*Inputs!$D$5:$D$170*(((Inputs!$G$5:$G$170="moeda")+(Inputs!$G$5:$G$170="acoes"))*Inputs!$B$1+((Inputs!$G$5:$G$170&lt;&gt;"moeda")*(Inputs!$G$5:$G$170&lt;&gt;"acoes")))*INDEX(Inputs!$K$5:$AJ$170,0,MATCH(AC$2,Inputs!$K$4:$AJ$4,0)))+SUMPRODUCT((Inputs!$E$5:$E$170=$B70)*Inputs!$F$5:$F$170*(((Inputs!$G$5:$G$170="moeda")+(Inputs!$G$5:$G$170="acoes"))*Inputs!$B$1+((Inputs!$G$5:$G$170&lt;&gt;"moeda")*(Inputs!$G$5:$G$170&lt;&gt;"acoes")))*INDEX(Inputs!$K$5:$AJ$170,0,MATCH(AC$2,Inputs!$K$4:$AJ$4,0)))))</f>
        <v>20620</v>
      </c>
      <c r="AD70" s="266">
        <f>IF(ISNA(MATCH(AD$2,Inputs!$K$4:$AJ$4,0)),NA(),IF(SUMPRODUCT((Inputs!$A$5:$A$170=$B70)*ISNUMBER(INDEX(Inputs!$K$5:$AJ$170,0,MATCH(AD$2,Inputs!$K$4:$AJ$4,0))))+SUMPRODUCT((Inputs!$C$5:$C$170=$B70)*ISNUMBER(INDEX(Inputs!$K$5:$AJ$170,0,MATCH(AD$2,Inputs!$K$4:$AJ$4,0))))+SUMPRODUCT((Inputs!$E$5:$E$170=$B70)*ISNUMBER(INDEX(Inputs!$K$5:$AJ$170,0,MATCH(AD$2,Inputs!$K$4:$AJ$4,0))))=0,NA(),SUMPRODUCT((Inputs!$A$5:$A$170=$B70)*Inputs!$B$5:$B$170*(((Inputs!$G$5:$G$170="moeda")+(Inputs!$G$5:$G$170="acoes"))*Inputs!$B$1+((Inputs!$G$5:$G$170&lt;&gt;"moeda")*(Inputs!$G$5:$G$170&lt;&gt;"acoes")))*INDEX(Inputs!$K$5:$AJ$170,0,MATCH(AD$2,Inputs!$K$4:$AJ$4,0)))+SUMPRODUCT((Inputs!$C$5:$C$170=$B70)*Inputs!$D$5:$D$170*(((Inputs!$G$5:$G$170="moeda")+(Inputs!$G$5:$G$170="acoes"))*Inputs!$B$1+((Inputs!$G$5:$G$170&lt;&gt;"moeda")*(Inputs!$G$5:$G$170&lt;&gt;"acoes")))*INDEX(Inputs!$K$5:$AJ$170,0,MATCH(AD$2,Inputs!$K$4:$AJ$4,0)))+SUMPRODUCT((Inputs!$E$5:$E$170=$B70)*Inputs!$F$5:$F$170*(((Inputs!$G$5:$G$170="moeda")+(Inputs!$G$5:$G$170="acoes"))*Inputs!$B$1+((Inputs!$G$5:$G$170&lt;&gt;"moeda")*(Inputs!$G$5:$G$170&lt;&gt;"acoes")))*INDEX(Inputs!$K$5:$AJ$170,0,MATCH(AD$2,Inputs!$K$4:$AJ$4,0)))))</f>
        <v>19414</v>
      </c>
      <c r="AE70" s="266" t="e">
        <f>IF(ISNA(MATCH(AE$2,Inputs!$K$4:$AJ$4,0)),NA(),IF(SUMPRODUCT((Inputs!$A$5:$A$170=$B70)*ISNUMBER(INDEX(Inputs!$K$5:$AJ$170,0,MATCH(AE$2,Inputs!$K$4:$AJ$4,0))))+SUMPRODUCT((Inputs!$C$5:$C$170=$B70)*ISNUMBER(INDEX(Inputs!$K$5:$AJ$170,0,MATCH(AE$2,Inputs!$K$4:$AJ$4,0))))+SUMPRODUCT((Inputs!$E$5:$E$170=$B70)*ISNUMBER(INDEX(Inputs!$K$5:$AJ$170,0,MATCH(AE$2,Inputs!$K$4:$AJ$4,0))))=0,NA(),SUMPRODUCT((Inputs!$A$5:$A$170=$B70)*Inputs!$B$5:$B$170*(((Inputs!$G$5:$G$170="moeda")+(Inputs!$G$5:$G$170="acoes"))*Inputs!$B$1+((Inputs!$G$5:$G$170&lt;&gt;"moeda")*(Inputs!$G$5:$G$170&lt;&gt;"acoes")))*INDEX(Inputs!$K$5:$AJ$170,0,MATCH(AE$2,Inputs!$K$4:$AJ$4,0)))+SUMPRODUCT((Inputs!$C$5:$C$170=$B70)*Inputs!$D$5:$D$170*(((Inputs!$G$5:$G$170="moeda")+(Inputs!$G$5:$G$170="acoes"))*Inputs!$B$1+((Inputs!$G$5:$G$170&lt;&gt;"moeda")*(Inputs!$G$5:$G$170&lt;&gt;"acoes")))*INDEX(Inputs!$K$5:$AJ$170,0,MATCH(AE$2,Inputs!$K$4:$AJ$4,0)))+SUMPRODUCT((Inputs!$E$5:$E$170=$B70)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0" s="266" t="e">
        <f>IF(ISNA(MATCH(AF$2,Inputs!$K$4:$AJ$4,0)),NA(),IF(SUMPRODUCT((Inputs!$A$5:$A$170=$B70)*ISNUMBER(INDEX(Inputs!$K$5:$AJ$170,0,MATCH(AF$2,Inputs!$K$4:$AJ$4,0))))+SUMPRODUCT((Inputs!$C$5:$C$170=$B70)*ISNUMBER(INDEX(Inputs!$K$5:$AJ$170,0,MATCH(AF$2,Inputs!$K$4:$AJ$4,0))))+SUMPRODUCT((Inputs!$E$5:$E$170=$B70)*ISNUMBER(INDEX(Inputs!$K$5:$AJ$170,0,MATCH(AF$2,Inputs!$K$4:$AJ$4,0))))=0,NA(),SUMPRODUCT((Inputs!$A$5:$A$170=$B70)*Inputs!$B$5:$B$170*(((Inputs!$G$5:$G$170="moeda")+(Inputs!$G$5:$G$170="acoes"))*Inputs!$B$1+((Inputs!$G$5:$G$170&lt;&gt;"moeda")*(Inputs!$G$5:$G$170&lt;&gt;"acoes")))*INDEX(Inputs!$K$5:$AJ$170,0,MATCH(AF$2,Inputs!$K$4:$AJ$4,0)))+SUMPRODUCT((Inputs!$C$5:$C$170=$B70)*Inputs!$D$5:$D$170*(((Inputs!$G$5:$G$170="moeda")+(Inputs!$G$5:$G$170="acoes"))*Inputs!$B$1+((Inputs!$G$5:$G$170&lt;&gt;"moeda")*(Inputs!$G$5:$G$170&lt;&gt;"acoes")))*INDEX(Inputs!$K$5:$AJ$170,0,MATCH(AF$2,Inputs!$K$4:$AJ$4,0)))+SUMPRODUCT((Inputs!$E$5:$E$170=$B70)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0" s="267" t="e">
        <f>SUM(AC70:AF70)</f>
        <v>#N/A</v>
      </c>
      <c r="AH70" s="266">
        <f>IF(ISNA(MATCH(AH$2,Inputs!$K$4:$AJ$4,0)),NA(),IF(SUMPRODUCT((Inputs!$A$5:$A$170=$B70)*ISNUMBER(INDEX(Inputs!$K$5:$AJ$170,0,MATCH(AH$2,Inputs!$K$4:$AJ$4,0))))+SUMPRODUCT((Inputs!$C$5:$C$170=$B70)*ISNUMBER(INDEX(Inputs!$K$5:$AJ$170,0,MATCH(AH$2,Inputs!$K$4:$AJ$4,0))))+SUMPRODUCT((Inputs!$E$5:$E$170=$B70)*ISNUMBER(INDEX(Inputs!$K$5:$AJ$170,0,MATCH(AH$2,Inputs!$K$4:$AJ$4,0))))=0,NA(),SUMPRODUCT((Inputs!$A$5:$A$170=$B70)*Inputs!$B$5:$B$170*(((Inputs!$G$5:$G$170="moeda")+(Inputs!$G$5:$G$170="acoes"))*Inputs!$B$1+((Inputs!$G$5:$G$170&lt;&gt;"moeda")*(Inputs!$G$5:$G$170&lt;&gt;"acoes")))*INDEX(Inputs!$K$5:$AJ$170,0,MATCH(AH$2,Inputs!$K$4:$AJ$4,0)))+SUMPRODUCT((Inputs!$C$5:$C$170=$B70)*Inputs!$D$5:$D$170*(((Inputs!$G$5:$G$170="moeda")+(Inputs!$G$5:$G$170="acoes"))*Inputs!$B$1+((Inputs!$G$5:$G$170&lt;&gt;"moeda")*(Inputs!$G$5:$G$170&lt;&gt;"acoes")))*INDEX(Inputs!$K$5:$AJ$170,0,MATCH(AH$2,Inputs!$K$4:$AJ$4,0)))+SUMPRODUCT((Inputs!$E$5:$E$170=$B70)*Inputs!$F$5:$F$170*(((Inputs!$G$5:$G$170="moeda")+(Inputs!$G$5:$G$170="acoes"))*Inputs!$B$1+((Inputs!$G$5:$G$170&lt;&gt;"moeda")*(Inputs!$G$5:$G$170&lt;&gt;"acoes")))*INDEX(Inputs!$K$5:$AJ$170,0,MATCH(AH$2,Inputs!$K$4:$AJ$4,0)))))</f>
        <v>14127</v>
      </c>
      <c r="AI70" s="266">
        <f>IF(ISNA(MATCH(AI$2,Inputs!$K$4:$AJ$4,0)),NA(),IF(SUMPRODUCT((Inputs!$A$5:$A$170=$B70)*ISNUMBER(INDEX(Inputs!$K$5:$AJ$170,0,MATCH(AI$2,Inputs!$K$4:$AJ$4,0))))+SUMPRODUCT((Inputs!$C$5:$C$170=$B70)*ISNUMBER(INDEX(Inputs!$K$5:$AJ$170,0,MATCH(AI$2,Inputs!$K$4:$AJ$4,0))))+SUMPRODUCT((Inputs!$E$5:$E$170=$B70)*ISNUMBER(INDEX(Inputs!$K$5:$AJ$170,0,MATCH(AI$2,Inputs!$K$4:$AJ$4,0))))=0,NA(),SUMPRODUCT((Inputs!$A$5:$A$170=$B70)*Inputs!$B$5:$B$170*(((Inputs!$G$5:$G$170="moeda")+(Inputs!$G$5:$G$170="acoes"))*Inputs!$B$1+((Inputs!$G$5:$G$170&lt;&gt;"moeda")*(Inputs!$G$5:$G$170&lt;&gt;"acoes")))*INDEX(Inputs!$K$5:$AJ$170,0,MATCH(AI$2,Inputs!$K$4:$AJ$4,0)))+SUMPRODUCT((Inputs!$C$5:$C$170=$B70)*Inputs!$D$5:$D$170*(((Inputs!$G$5:$G$170="moeda")+(Inputs!$G$5:$G$170="acoes"))*Inputs!$B$1+((Inputs!$G$5:$G$170&lt;&gt;"moeda")*(Inputs!$G$5:$G$170&lt;&gt;"acoes")))*INDEX(Inputs!$K$5:$AJ$170,0,MATCH(AI$2,Inputs!$K$4:$AJ$4,0)))+SUMPRODUCT((Inputs!$E$5:$E$170=$B70)*Inputs!$F$5:$F$170*(((Inputs!$G$5:$G$170="moeda")+(Inputs!$G$5:$G$170="acoes"))*Inputs!$B$1+((Inputs!$G$5:$G$170&lt;&gt;"moeda")*(Inputs!$G$5:$G$170&lt;&gt;"acoes")))*INDEX(Inputs!$K$5:$AJ$170,0,MATCH(AI$2,Inputs!$K$4:$AJ$4,0)))))</f>
        <v>18465</v>
      </c>
      <c r="AJ70" s="266">
        <f>IF(ISNA(MATCH(AJ$2,Inputs!$K$4:$AJ$4,0)),NA(),IF(SUMPRODUCT((Inputs!$A$5:$A$170=$B70)*ISNUMBER(INDEX(Inputs!$K$5:$AJ$170,0,MATCH(AJ$2,Inputs!$K$4:$AJ$4,0))))+SUMPRODUCT((Inputs!$C$5:$C$170=$B70)*ISNUMBER(INDEX(Inputs!$K$5:$AJ$170,0,MATCH(AJ$2,Inputs!$K$4:$AJ$4,0))))+SUMPRODUCT((Inputs!$E$5:$E$170=$B70)*ISNUMBER(INDEX(Inputs!$K$5:$AJ$170,0,MATCH(AJ$2,Inputs!$K$4:$AJ$4,0))))=0,NA(),SUMPRODUCT((Inputs!$A$5:$A$170=$B70)*Inputs!$B$5:$B$170*(((Inputs!$G$5:$G$170="moeda")+(Inputs!$G$5:$G$170="acoes"))*Inputs!$B$1+((Inputs!$G$5:$G$170&lt;&gt;"moeda")*(Inputs!$G$5:$G$170&lt;&gt;"acoes")))*INDEX(Inputs!$K$5:$AJ$170,0,MATCH(AJ$2,Inputs!$K$4:$AJ$4,0)))+SUMPRODUCT((Inputs!$C$5:$C$170=$B70)*Inputs!$D$5:$D$170*(((Inputs!$G$5:$G$170="moeda")+(Inputs!$G$5:$G$170="acoes"))*Inputs!$B$1+((Inputs!$G$5:$G$170&lt;&gt;"moeda")*(Inputs!$G$5:$G$170&lt;&gt;"acoes")))*INDEX(Inputs!$K$5:$AJ$170,0,MATCH(AJ$2,Inputs!$K$4:$AJ$4,0)))+SUMPRODUCT((Inputs!$E$5:$E$170=$B70)*Inputs!$F$5:$F$170*(((Inputs!$G$5:$G$170="moeda")+(Inputs!$G$5:$G$170="acoes"))*Inputs!$B$1+((Inputs!$G$5:$G$170&lt;&gt;"moeda")*(Inputs!$G$5:$G$170&lt;&gt;"acoes")))*INDEX(Inputs!$K$5:$AJ$170,0,MATCH(AJ$2,Inputs!$K$4:$AJ$4,0)))))</f>
        <v>14321</v>
      </c>
      <c r="AK70" s="266">
        <f>IF(ISNA(MATCH(AK$2,Inputs!$K$4:$AJ$4,0)),NA(),IF(SUMPRODUCT((Inputs!$A$5:$A$170=$B70)*ISNUMBER(INDEX(Inputs!$K$5:$AJ$170,0,MATCH(AK$2,Inputs!$K$4:$AJ$4,0))))+SUMPRODUCT((Inputs!$C$5:$C$170=$B70)*ISNUMBER(INDEX(Inputs!$K$5:$AJ$170,0,MATCH(AK$2,Inputs!$K$4:$AJ$4,0))))+SUMPRODUCT((Inputs!$E$5:$E$170=$B70)*ISNUMBER(INDEX(Inputs!$K$5:$AJ$170,0,MATCH(AK$2,Inputs!$K$4:$AJ$4,0))))=0,NA(),SUMPRODUCT((Inputs!$A$5:$A$170=$B70)*Inputs!$B$5:$B$170*(((Inputs!$G$5:$G$170="moeda")+(Inputs!$G$5:$G$170="acoes"))*Inputs!$B$1+((Inputs!$G$5:$G$170&lt;&gt;"moeda")*(Inputs!$G$5:$G$170&lt;&gt;"acoes")))*INDEX(Inputs!$K$5:$AJ$170,0,MATCH(AK$2,Inputs!$K$4:$AJ$4,0)))+SUMPRODUCT((Inputs!$C$5:$C$170=$B70)*Inputs!$D$5:$D$170*(((Inputs!$G$5:$G$170="moeda")+(Inputs!$G$5:$G$170="acoes"))*Inputs!$B$1+((Inputs!$G$5:$G$170&lt;&gt;"moeda")*(Inputs!$G$5:$G$170&lt;&gt;"acoes")))*INDEX(Inputs!$K$5:$AJ$170,0,MATCH(AK$2,Inputs!$K$4:$AJ$4,0)))+SUMPRODUCT((Inputs!$E$5:$E$170=$B70)*Inputs!$F$5:$F$170*(((Inputs!$G$5:$G$170="moeda")+(Inputs!$G$5:$G$170="acoes"))*Inputs!$B$1+((Inputs!$G$5:$G$170&lt;&gt;"moeda")*(Inputs!$G$5:$G$170&lt;&gt;"acoes")))*INDEX(Inputs!$K$5:$AJ$170,0,MATCH(AK$2,Inputs!$K$4:$AJ$4,0)))))</f>
        <v>9869</v>
      </c>
      <c r="AL70" s="267">
        <f>SUM(AH70:AK70)</f>
        <v>56782</v>
      </c>
    </row>
    <row r="71">
      <c r="B71" s="46" t="n">
        <v>63</v>
      </c>
      <c r="C71" s="29" t="inlineStr">
        <is>
          <t>Seminovos - preco medio do carro vendido (R$; Op Data l.31)</t>
        </is>
      </c>
      <c r="D71" s="266">
        <f>IF(ISNA(MATCH(D$2,Inputs!$K$4:$AJ$4,0)),NA(),IF(SUMPRODUCT((Inputs!$A$5:$A$170=$B71)*ISNUMBER(INDEX(Inputs!$K$5:$AJ$170,0,MATCH(D$2,Inputs!$K$4:$AJ$4,0))))+SUMPRODUCT((Inputs!$C$5:$C$170=$B71)*ISNUMBER(INDEX(Inputs!$K$5:$AJ$170,0,MATCH(D$2,Inputs!$K$4:$AJ$4,0))))+SUMPRODUCT((Inputs!$E$5:$E$170=$B71)*ISNUMBER(INDEX(Inputs!$K$5:$AJ$170,0,MATCH(D$2,Inputs!$K$4:$AJ$4,0))))=0,NA(),SUMPRODUCT((Inputs!$A$5:$A$170=$B71)*Inputs!$B$5:$B$170*(((Inputs!$G$5:$G$170="moeda")+(Inputs!$G$5:$G$170="acoes"))*Inputs!$B$1+((Inputs!$G$5:$G$170&lt;&gt;"moeda")*(Inputs!$G$5:$G$170&lt;&gt;"acoes")))*INDEX(Inputs!$K$5:$AJ$170,0,MATCH(D$2,Inputs!$K$4:$AJ$4,0)))+SUMPRODUCT((Inputs!$C$5:$C$170=$B71)*Inputs!$D$5:$D$170*(((Inputs!$G$5:$G$170="moeda")+(Inputs!$G$5:$G$170="acoes"))*Inputs!$B$1+((Inputs!$G$5:$G$170&lt;&gt;"moeda")*(Inputs!$G$5:$G$170&lt;&gt;"acoes")))*INDEX(Inputs!$K$5:$AJ$170,0,MATCH(D$2,Inputs!$K$4:$AJ$4,0)))+SUMPRODUCT((Inputs!$E$5:$E$170=$B71)*Inputs!$F$5:$F$170*(((Inputs!$G$5:$G$170="moeda")+(Inputs!$G$5:$G$170="acoes"))*Inputs!$B$1+((Inputs!$G$5:$G$170&lt;&gt;"moeda")*(Inputs!$G$5:$G$170&lt;&gt;"acoes")))*INDEX(Inputs!$K$5:$AJ$170,0,MATCH(D$2,Inputs!$K$4:$AJ$4,0)))))</f>
        <v>51893.918</v>
      </c>
      <c r="E71" s="266">
        <f>IF(ISNA(MATCH(E$2,Inputs!$K$4:$AJ$4,0)),NA(),IF(SUMPRODUCT((Inputs!$A$5:$A$170=$B71)*ISNUMBER(INDEX(Inputs!$K$5:$AJ$170,0,MATCH(E$2,Inputs!$K$4:$AJ$4,0))))+SUMPRODUCT((Inputs!$C$5:$C$170=$B71)*ISNUMBER(INDEX(Inputs!$K$5:$AJ$170,0,MATCH(E$2,Inputs!$K$4:$AJ$4,0))))+SUMPRODUCT((Inputs!$E$5:$E$170=$B71)*ISNUMBER(INDEX(Inputs!$K$5:$AJ$170,0,MATCH(E$2,Inputs!$K$4:$AJ$4,0))))=0,NA(),SUMPRODUCT((Inputs!$A$5:$A$170=$B71)*Inputs!$B$5:$B$170*(((Inputs!$G$5:$G$170="moeda")+(Inputs!$G$5:$G$170="acoes"))*Inputs!$B$1+((Inputs!$G$5:$G$170&lt;&gt;"moeda")*(Inputs!$G$5:$G$170&lt;&gt;"acoes")))*INDEX(Inputs!$K$5:$AJ$170,0,MATCH(E$2,Inputs!$K$4:$AJ$4,0)))+SUMPRODUCT((Inputs!$C$5:$C$170=$B71)*Inputs!$D$5:$D$170*(((Inputs!$G$5:$G$170="moeda")+(Inputs!$G$5:$G$170="acoes"))*Inputs!$B$1+((Inputs!$G$5:$G$170&lt;&gt;"moeda")*(Inputs!$G$5:$G$170&lt;&gt;"acoes")))*INDEX(Inputs!$K$5:$AJ$170,0,MATCH(E$2,Inputs!$K$4:$AJ$4,0)))+SUMPRODUCT((Inputs!$E$5:$E$170=$B71)*Inputs!$F$5:$F$170*(((Inputs!$G$5:$G$170="moeda")+(Inputs!$G$5:$G$170="acoes"))*Inputs!$B$1+((Inputs!$G$5:$G$170&lt;&gt;"moeda")*(Inputs!$G$5:$G$170&lt;&gt;"acoes")))*INDEX(Inputs!$K$5:$AJ$170,0,MATCH(E$2,Inputs!$K$4:$AJ$4,0)))))</f>
        <v>54575.562</v>
      </c>
      <c r="F71" s="266">
        <f>IF(ISNA(MATCH(F$2,Inputs!$K$4:$AJ$4,0)),NA(),IF(SUMPRODUCT((Inputs!$A$5:$A$170=$B71)*ISNUMBER(INDEX(Inputs!$K$5:$AJ$170,0,MATCH(F$2,Inputs!$K$4:$AJ$4,0))))+SUMPRODUCT((Inputs!$C$5:$C$170=$B71)*ISNUMBER(INDEX(Inputs!$K$5:$AJ$170,0,MATCH(F$2,Inputs!$K$4:$AJ$4,0))))+SUMPRODUCT((Inputs!$E$5:$E$170=$B71)*ISNUMBER(INDEX(Inputs!$K$5:$AJ$170,0,MATCH(F$2,Inputs!$K$4:$AJ$4,0))))=0,NA(),SUMPRODUCT((Inputs!$A$5:$A$170=$B71)*Inputs!$B$5:$B$170*(((Inputs!$G$5:$G$170="moeda")+(Inputs!$G$5:$G$170="acoes"))*Inputs!$B$1+((Inputs!$G$5:$G$170&lt;&gt;"moeda")*(Inputs!$G$5:$G$170&lt;&gt;"acoes")))*INDEX(Inputs!$K$5:$AJ$170,0,MATCH(F$2,Inputs!$K$4:$AJ$4,0)))+SUMPRODUCT((Inputs!$C$5:$C$170=$B71)*Inputs!$D$5:$D$170*(((Inputs!$G$5:$G$170="moeda")+(Inputs!$G$5:$G$170="acoes"))*Inputs!$B$1+((Inputs!$G$5:$G$170&lt;&gt;"moeda")*(Inputs!$G$5:$G$170&lt;&gt;"acoes")))*INDEX(Inputs!$K$5:$AJ$170,0,MATCH(F$2,Inputs!$K$4:$AJ$4,0)))+SUMPRODUCT((Inputs!$E$5:$E$170=$B71)*Inputs!$F$5:$F$170*(((Inputs!$G$5:$G$170="moeda")+(Inputs!$G$5:$G$170="acoes"))*Inputs!$B$1+((Inputs!$G$5:$G$170&lt;&gt;"moeda")*(Inputs!$G$5:$G$170&lt;&gt;"acoes")))*INDEX(Inputs!$K$5:$AJ$170,0,MATCH(F$2,Inputs!$K$4:$AJ$4,0)))))</f>
        <v>58732.576</v>
      </c>
      <c r="G71" s="266">
        <f>IF(ISNA(MATCH(G$2,Inputs!$K$4:$AJ$4,0)),NA(),IF(SUMPRODUCT((Inputs!$A$5:$A$170=$B71)*ISNUMBER(INDEX(Inputs!$K$5:$AJ$170,0,MATCH(G$2,Inputs!$K$4:$AJ$4,0))))+SUMPRODUCT((Inputs!$C$5:$C$170=$B71)*ISNUMBER(INDEX(Inputs!$K$5:$AJ$170,0,MATCH(G$2,Inputs!$K$4:$AJ$4,0))))+SUMPRODUCT((Inputs!$E$5:$E$170=$B71)*ISNUMBER(INDEX(Inputs!$K$5:$AJ$170,0,MATCH(G$2,Inputs!$K$4:$AJ$4,0))))=0,NA(),SUMPRODUCT((Inputs!$A$5:$A$170=$B71)*Inputs!$B$5:$B$170*(((Inputs!$G$5:$G$170="moeda")+(Inputs!$G$5:$G$170="acoes"))*Inputs!$B$1+((Inputs!$G$5:$G$170&lt;&gt;"moeda")*(Inputs!$G$5:$G$170&lt;&gt;"acoes")))*INDEX(Inputs!$K$5:$AJ$170,0,MATCH(G$2,Inputs!$K$4:$AJ$4,0)))+SUMPRODUCT((Inputs!$C$5:$C$170=$B71)*Inputs!$D$5:$D$170*(((Inputs!$G$5:$G$170="moeda")+(Inputs!$G$5:$G$170="acoes"))*Inputs!$B$1+((Inputs!$G$5:$G$170&lt;&gt;"moeda")*(Inputs!$G$5:$G$170&lt;&gt;"acoes")))*INDEX(Inputs!$K$5:$AJ$170,0,MATCH(G$2,Inputs!$K$4:$AJ$4,0)))+SUMPRODUCT((Inputs!$E$5:$E$170=$B71)*Inputs!$F$5:$F$170*(((Inputs!$G$5:$G$170="moeda")+(Inputs!$G$5:$G$170="acoes"))*Inputs!$B$1+((Inputs!$G$5:$G$170&lt;&gt;"moeda")*(Inputs!$G$5:$G$170&lt;&gt;"acoes")))*INDEX(Inputs!$K$5:$AJ$170,0,MATCH(G$2,Inputs!$K$4:$AJ$4,0)))))</f>
        <v>65422.791</v>
      </c>
      <c r="H71" s="267" t="n"/>
      <c r="I71" s="266">
        <f>IF(ISNA(MATCH(I$2,Inputs!$K$4:$AJ$4,0)),NA(),IF(SUMPRODUCT((Inputs!$A$5:$A$170=$B71)*ISNUMBER(INDEX(Inputs!$K$5:$AJ$170,0,MATCH(I$2,Inputs!$K$4:$AJ$4,0))))+SUMPRODUCT((Inputs!$C$5:$C$170=$B71)*ISNUMBER(INDEX(Inputs!$K$5:$AJ$170,0,MATCH(I$2,Inputs!$K$4:$AJ$4,0))))+SUMPRODUCT((Inputs!$E$5:$E$170=$B71)*ISNUMBER(INDEX(Inputs!$K$5:$AJ$170,0,MATCH(I$2,Inputs!$K$4:$AJ$4,0))))=0,NA(),SUMPRODUCT((Inputs!$A$5:$A$170=$B71)*Inputs!$B$5:$B$170*(((Inputs!$G$5:$G$170="moeda")+(Inputs!$G$5:$G$170="acoes"))*Inputs!$B$1+((Inputs!$G$5:$G$170&lt;&gt;"moeda")*(Inputs!$G$5:$G$170&lt;&gt;"acoes")))*INDEX(Inputs!$K$5:$AJ$170,0,MATCH(I$2,Inputs!$K$4:$AJ$4,0)))+SUMPRODUCT((Inputs!$C$5:$C$170=$B71)*Inputs!$D$5:$D$170*(((Inputs!$G$5:$G$170="moeda")+(Inputs!$G$5:$G$170="acoes"))*Inputs!$B$1+((Inputs!$G$5:$G$170&lt;&gt;"moeda")*(Inputs!$G$5:$G$170&lt;&gt;"acoes")))*INDEX(Inputs!$K$5:$AJ$170,0,MATCH(I$2,Inputs!$K$4:$AJ$4,0)))+SUMPRODUCT((Inputs!$E$5:$E$170=$B71)*Inputs!$F$5:$F$170*(((Inputs!$G$5:$G$170="moeda")+(Inputs!$G$5:$G$170="acoes"))*Inputs!$B$1+((Inputs!$G$5:$G$170&lt;&gt;"moeda")*(Inputs!$G$5:$G$170&lt;&gt;"acoes")))*INDEX(Inputs!$K$5:$AJ$170,0,MATCH(I$2,Inputs!$K$4:$AJ$4,0)))))</f>
        <v>64467.473</v>
      </c>
      <c r="J71" s="266">
        <f>IF(ISNA(MATCH(J$2,Inputs!$K$4:$AJ$4,0)),NA(),IF(SUMPRODUCT((Inputs!$A$5:$A$170=$B71)*ISNUMBER(INDEX(Inputs!$K$5:$AJ$170,0,MATCH(J$2,Inputs!$K$4:$AJ$4,0))))+SUMPRODUCT((Inputs!$C$5:$C$170=$B71)*ISNUMBER(INDEX(Inputs!$K$5:$AJ$170,0,MATCH(J$2,Inputs!$K$4:$AJ$4,0))))+SUMPRODUCT((Inputs!$E$5:$E$170=$B71)*ISNUMBER(INDEX(Inputs!$K$5:$AJ$170,0,MATCH(J$2,Inputs!$K$4:$AJ$4,0))))=0,NA(),SUMPRODUCT((Inputs!$A$5:$A$170=$B71)*Inputs!$B$5:$B$170*(((Inputs!$G$5:$G$170="moeda")+(Inputs!$G$5:$G$170="acoes"))*Inputs!$B$1+((Inputs!$G$5:$G$170&lt;&gt;"moeda")*(Inputs!$G$5:$G$170&lt;&gt;"acoes")))*INDEX(Inputs!$K$5:$AJ$170,0,MATCH(J$2,Inputs!$K$4:$AJ$4,0)))+SUMPRODUCT((Inputs!$C$5:$C$170=$B71)*Inputs!$D$5:$D$170*(((Inputs!$G$5:$G$170="moeda")+(Inputs!$G$5:$G$170="acoes"))*Inputs!$B$1+((Inputs!$G$5:$G$170&lt;&gt;"moeda")*(Inputs!$G$5:$G$170&lt;&gt;"acoes")))*INDEX(Inputs!$K$5:$AJ$170,0,MATCH(J$2,Inputs!$K$4:$AJ$4,0)))+SUMPRODUCT((Inputs!$E$5:$E$170=$B71)*Inputs!$F$5:$F$170*(((Inputs!$G$5:$G$170="moeda")+(Inputs!$G$5:$G$170="acoes"))*Inputs!$B$1+((Inputs!$G$5:$G$170&lt;&gt;"moeda")*(Inputs!$G$5:$G$170&lt;&gt;"acoes")))*INDEX(Inputs!$K$5:$AJ$170,0,MATCH(J$2,Inputs!$K$4:$AJ$4,0)))))</f>
        <v>66619.727</v>
      </c>
      <c r="K71" s="266">
        <f>IF(ISNA(MATCH(K$2,Inputs!$K$4:$AJ$4,0)),NA(),IF(SUMPRODUCT((Inputs!$A$5:$A$170=$B71)*ISNUMBER(INDEX(Inputs!$K$5:$AJ$170,0,MATCH(K$2,Inputs!$K$4:$AJ$4,0))))+SUMPRODUCT((Inputs!$C$5:$C$170=$B71)*ISNUMBER(INDEX(Inputs!$K$5:$AJ$170,0,MATCH(K$2,Inputs!$K$4:$AJ$4,0))))+SUMPRODUCT((Inputs!$E$5:$E$170=$B71)*ISNUMBER(INDEX(Inputs!$K$5:$AJ$170,0,MATCH(K$2,Inputs!$K$4:$AJ$4,0))))=0,NA(),SUMPRODUCT((Inputs!$A$5:$A$170=$B71)*Inputs!$B$5:$B$170*(((Inputs!$G$5:$G$170="moeda")+(Inputs!$G$5:$G$170="acoes"))*Inputs!$B$1+((Inputs!$G$5:$G$170&lt;&gt;"moeda")*(Inputs!$G$5:$G$170&lt;&gt;"acoes")))*INDEX(Inputs!$K$5:$AJ$170,0,MATCH(K$2,Inputs!$K$4:$AJ$4,0)))+SUMPRODUCT((Inputs!$C$5:$C$170=$B71)*Inputs!$D$5:$D$170*(((Inputs!$G$5:$G$170="moeda")+(Inputs!$G$5:$G$170="acoes"))*Inputs!$B$1+((Inputs!$G$5:$G$170&lt;&gt;"moeda")*(Inputs!$G$5:$G$170&lt;&gt;"acoes")))*INDEX(Inputs!$K$5:$AJ$170,0,MATCH(K$2,Inputs!$K$4:$AJ$4,0)))+SUMPRODUCT((Inputs!$E$5:$E$170=$B71)*Inputs!$F$5:$F$170*(((Inputs!$G$5:$G$170="moeda")+(Inputs!$G$5:$G$170="acoes"))*Inputs!$B$1+((Inputs!$G$5:$G$170&lt;&gt;"moeda")*(Inputs!$G$5:$G$170&lt;&gt;"acoes")))*INDEX(Inputs!$K$5:$AJ$170,0,MATCH(K$2,Inputs!$K$4:$AJ$4,0)))))</f>
        <v>70866.812</v>
      </c>
      <c r="L71" s="266">
        <f>IF(ISNA(MATCH(L$2,Inputs!$K$4:$AJ$4,0)),NA(),IF(SUMPRODUCT((Inputs!$A$5:$A$170=$B71)*ISNUMBER(INDEX(Inputs!$K$5:$AJ$170,0,MATCH(L$2,Inputs!$K$4:$AJ$4,0))))+SUMPRODUCT((Inputs!$C$5:$C$170=$B71)*ISNUMBER(INDEX(Inputs!$K$5:$AJ$170,0,MATCH(L$2,Inputs!$K$4:$AJ$4,0))))+SUMPRODUCT((Inputs!$E$5:$E$170=$B71)*ISNUMBER(INDEX(Inputs!$K$5:$AJ$170,0,MATCH(L$2,Inputs!$K$4:$AJ$4,0))))=0,NA(),SUMPRODUCT((Inputs!$A$5:$A$170=$B71)*Inputs!$B$5:$B$170*(((Inputs!$G$5:$G$170="moeda")+(Inputs!$G$5:$G$170="acoes"))*Inputs!$B$1+((Inputs!$G$5:$G$170&lt;&gt;"moeda")*(Inputs!$G$5:$G$170&lt;&gt;"acoes")))*INDEX(Inputs!$K$5:$AJ$170,0,MATCH(L$2,Inputs!$K$4:$AJ$4,0)))+SUMPRODUCT((Inputs!$C$5:$C$170=$B71)*Inputs!$D$5:$D$170*(((Inputs!$G$5:$G$170="moeda")+(Inputs!$G$5:$G$170="acoes"))*Inputs!$B$1+((Inputs!$G$5:$G$170&lt;&gt;"moeda")*(Inputs!$G$5:$G$170&lt;&gt;"acoes")))*INDEX(Inputs!$K$5:$AJ$170,0,MATCH(L$2,Inputs!$K$4:$AJ$4,0)))+SUMPRODUCT((Inputs!$E$5:$E$170=$B71)*Inputs!$F$5:$F$170*(((Inputs!$G$5:$G$170="moeda")+(Inputs!$G$5:$G$170="acoes"))*Inputs!$B$1+((Inputs!$G$5:$G$170&lt;&gt;"moeda")*(Inputs!$G$5:$G$170&lt;&gt;"acoes")))*INDEX(Inputs!$K$5:$AJ$170,0,MATCH(L$2,Inputs!$K$4:$AJ$4,0)))))</f>
        <v>75437.883</v>
      </c>
      <c r="M71" s="267" t="n"/>
      <c r="N71" s="266">
        <f>IF(ISNA(MATCH(N$2,Inputs!$K$4:$AJ$4,0)),NA(),IF(SUMPRODUCT((Inputs!$A$5:$A$170=$B71)*ISNUMBER(INDEX(Inputs!$K$5:$AJ$170,0,MATCH(N$2,Inputs!$K$4:$AJ$4,0))))+SUMPRODUCT((Inputs!$C$5:$C$170=$B71)*ISNUMBER(INDEX(Inputs!$K$5:$AJ$170,0,MATCH(N$2,Inputs!$K$4:$AJ$4,0))))+SUMPRODUCT((Inputs!$E$5:$E$170=$B71)*ISNUMBER(INDEX(Inputs!$K$5:$AJ$170,0,MATCH(N$2,Inputs!$K$4:$AJ$4,0))))=0,NA(),SUMPRODUCT((Inputs!$A$5:$A$170=$B71)*Inputs!$B$5:$B$170*(((Inputs!$G$5:$G$170="moeda")+(Inputs!$G$5:$G$170="acoes"))*Inputs!$B$1+((Inputs!$G$5:$G$170&lt;&gt;"moeda")*(Inputs!$G$5:$G$170&lt;&gt;"acoes")))*INDEX(Inputs!$K$5:$AJ$170,0,MATCH(N$2,Inputs!$K$4:$AJ$4,0)))+SUMPRODUCT((Inputs!$C$5:$C$170=$B71)*Inputs!$D$5:$D$170*(((Inputs!$G$5:$G$170="moeda")+(Inputs!$G$5:$G$170="acoes"))*Inputs!$B$1+((Inputs!$G$5:$G$170&lt;&gt;"moeda")*(Inputs!$G$5:$G$170&lt;&gt;"acoes")))*INDEX(Inputs!$K$5:$AJ$170,0,MATCH(N$2,Inputs!$K$4:$AJ$4,0)))+SUMPRODUCT((Inputs!$E$5:$E$170=$B71)*Inputs!$F$5:$F$170*(((Inputs!$G$5:$G$170="moeda")+(Inputs!$G$5:$G$170="acoes"))*Inputs!$B$1+((Inputs!$G$5:$G$170&lt;&gt;"moeda")*(Inputs!$G$5:$G$170&lt;&gt;"acoes")))*INDEX(Inputs!$K$5:$AJ$170,0,MATCH(N$2,Inputs!$K$4:$AJ$4,0)))))</f>
        <v>75131.641</v>
      </c>
      <c r="O71" s="266">
        <f>IF(ISNA(MATCH(O$2,Inputs!$K$4:$AJ$4,0)),NA(),IF(SUMPRODUCT((Inputs!$A$5:$A$170=$B71)*ISNUMBER(INDEX(Inputs!$K$5:$AJ$170,0,MATCH(O$2,Inputs!$K$4:$AJ$4,0))))+SUMPRODUCT((Inputs!$C$5:$C$170=$B71)*ISNUMBER(INDEX(Inputs!$K$5:$AJ$170,0,MATCH(O$2,Inputs!$K$4:$AJ$4,0))))+SUMPRODUCT((Inputs!$E$5:$E$170=$B71)*ISNUMBER(INDEX(Inputs!$K$5:$AJ$170,0,MATCH(O$2,Inputs!$K$4:$AJ$4,0))))=0,NA(),SUMPRODUCT((Inputs!$A$5:$A$170=$B71)*Inputs!$B$5:$B$170*(((Inputs!$G$5:$G$170="moeda")+(Inputs!$G$5:$G$170="acoes"))*Inputs!$B$1+((Inputs!$G$5:$G$170&lt;&gt;"moeda")*(Inputs!$G$5:$G$170&lt;&gt;"acoes")))*INDEX(Inputs!$K$5:$AJ$170,0,MATCH(O$2,Inputs!$K$4:$AJ$4,0)))+SUMPRODUCT((Inputs!$C$5:$C$170=$B71)*Inputs!$D$5:$D$170*(((Inputs!$G$5:$G$170="moeda")+(Inputs!$G$5:$G$170="acoes"))*Inputs!$B$1+((Inputs!$G$5:$G$170&lt;&gt;"moeda")*(Inputs!$G$5:$G$170&lt;&gt;"acoes")))*INDEX(Inputs!$K$5:$AJ$170,0,MATCH(O$2,Inputs!$K$4:$AJ$4,0)))+SUMPRODUCT((Inputs!$E$5:$E$170=$B71)*Inputs!$F$5:$F$170*(((Inputs!$G$5:$G$170="moeda")+(Inputs!$G$5:$G$170="acoes"))*Inputs!$B$1+((Inputs!$G$5:$G$170&lt;&gt;"moeda")*(Inputs!$G$5:$G$170&lt;&gt;"acoes")))*INDEX(Inputs!$K$5:$AJ$170,0,MATCH(O$2,Inputs!$K$4:$AJ$4,0)))))</f>
        <v>67009.986</v>
      </c>
      <c r="P71" s="266">
        <f>IF(ISNA(MATCH(P$2,Inputs!$K$4:$AJ$4,0)),NA(),IF(SUMPRODUCT((Inputs!$A$5:$A$170=$B71)*ISNUMBER(INDEX(Inputs!$K$5:$AJ$170,0,MATCH(P$2,Inputs!$K$4:$AJ$4,0))))+SUMPRODUCT((Inputs!$C$5:$C$170=$B71)*ISNUMBER(INDEX(Inputs!$K$5:$AJ$170,0,MATCH(P$2,Inputs!$K$4:$AJ$4,0))))+SUMPRODUCT((Inputs!$E$5:$E$170=$B71)*ISNUMBER(INDEX(Inputs!$K$5:$AJ$170,0,MATCH(P$2,Inputs!$K$4:$AJ$4,0))))=0,NA(),SUMPRODUCT((Inputs!$A$5:$A$170=$B71)*Inputs!$B$5:$B$170*(((Inputs!$G$5:$G$170="moeda")+(Inputs!$G$5:$G$170="acoes"))*Inputs!$B$1+((Inputs!$G$5:$G$170&lt;&gt;"moeda")*(Inputs!$G$5:$G$170&lt;&gt;"acoes")))*INDEX(Inputs!$K$5:$AJ$170,0,MATCH(P$2,Inputs!$K$4:$AJ$4,0)))+SUMPRODUCT((Inputs!$C$5:$C$170=$B71)*Inputs!$D$5:$D$170*(((Inputs!$G$5:$G$170="moeda")+(Inputs!$G$5:$G$170="acoes"))*Inputs!$B$1+((Inputs!$G$5:$G$170&lt;&gt;"moeda")*(Inputs!$G$5:$G$170&lt;&gt;"acoes")))*INDEX(Inputs!$K$5:$AJ$170,0,MATCH(P$2,Inputs!$K$4:$AJ$4,0)))+SUMPRODUCT((Inputs!$E$5:$E$170=$B71)*Inputs!$F$5:$F$170*(((Inputs!$G$5:$G$170="moeda")+(Inputs!$G$5:$G$170="acoes"))*Inputs!$B$1+((Inputs!$G$5:$G$170&lt;&gt;"moeda")*(Inputs!$G$5:$G$170&lt;&gt;"acoes")))*INDEX(Inputs!$K$5:$AJ$170,0,MATCH(P$2,Inputs!$K$4:$AJ$4,0)))))</f>
        <v>67718.251</v>
      </c>
      <c r="Q71" s="266">
        <f>IF(ISNA(MATCH(Q$2,Inputs!$K$4:$AJ$4,0)),NA(),IF(SUMPRODUCT((Inputs!$A$5:$A$170=$B71)*ISNUMBER(INDEX(Inputs!$K$5:$AJ$170,0,MATCH(Q$2,Inputs!$K$4:$AJ$4,0))))+SUMPRODUCT((Inputs!$C$5:$C$170=$B71)*ISNUMBER(INDEX(Inputs!$K$5:$AJ$170,0,MATCH(Q$2,Inputs!$K$4:$AJ$4,0))))+SUMPRODUCT((Inputs!$E$5:$E$170=$B71)*ISNUMBER(INDEX(Inputs!$K$5:$AJ$170,0,MATCH(Q$2,Inputs!$K$4:$AJ$4,0))))=0,NA(),SUMPRODUCT((Inputs!$A$5:$A$170=$B71)*Inputs!$B$5:$B$170*(((Inputs!$G$5:$G$170="moeda")+(Inputs!$G$5:$G$170="acoes"))*Inputs!$B$1+((Inputs!$G$5:$G$170&lt;&gt;"moeda")*(Inputs!$G$5:$G$170&lt;&gt;"acoes")))*INDEX(Inputs!$K$5:$AJ$170,0,MATCH(Q$2,Inputs!$K$4:$AJ$4,0)))+SUMPRODUCT((Inputs!$C$5:$C$170=$B71)*Inputs!$D$5:$D$170*(((Inputs!$G$5:$G$170="moeda")+(Inputs!$G$5:$G$170="acoes"))*Inputs!$B$1+((Inputs!$G$5:$G$170&lt;&gt;"moeda")*(Inputs!$G$5:$G$170&lt;&gt;"acoes")))*INDEX(Inputs!$K$5:$AJ$170,0,MATCH(Q$2,Inputs!$K$4:$AJ$4,0)))+SUMPRODUCT((Inputs!$E$5:$E$170=$B71)*Inputs!$F$5:$F$170*(((Inputs!$G$5:$G$170="moeda")+(Inputs!$G$5:$G$170="acoes"))*Inputs!$B$1+((Inputs!$G$5:$G$170&lt;&gt;"moeda")*(Inputs!$G$5:$G$170&lt;&gt;"acoes")))*INDEX(Inputs!$K$5:$AJ$170,0,MATCH(Q$2,Inputs!$K$4:$AJ$4,0)))))</f>
        <v>68176.185</v>
      </c>
      <c r="R71" s="267" t="n"/>
      <c r="S71" s="266">
        <f>IF(ISNA(MATCH(S$2,Inputs!$K$4:$AJ$4,0)),NA(),IF(SUMPRODUCT((Inputs!$A$5:$A$170=$B71)*ISNUMBER(INDEX(Inputs!$K$5:$AJ$170,0,MATCH(S$2,Inputs!$K$4:$AJ$4,0))))+SUMPRODUCT((Inputs!$C$5:$C$170=$B71)*ISNUMBER(INDEX(Inputs!$K$5:$AJ$170,0,MATCH(S$2,Inputs!$K$4:$AJ$4,0))))+SUMPRODUCT((Inputs!$E$5:$E$170=$B71)*ISNUMBER(INDEX(Inputs!$K$5:$AJ$170,0,MATCH(S$2,Inputs!$K$4:$AJ$4,0))))=0,NA(),SUMPRODUCT((Inputs!$A$5:$A$170=$B71)*Inputs!$B$5:$B$170*(((Inputs!$G$5:$G$170="moeda")+(Inputs!$G$5:$G$170="acoes"))*Inputs!$B$1+((Inputs!$G$5:$G$170&lt;&gt;"moeda")*(Inputs!$G$5:$G$170&lt;&gt;"acoes")))*INDEX(Inputs!$K$5:$AJ$170,0,MATCH(S$2,Inputs!$K$4:$AJ$4,0)))+SUMPRODUCT((Inputs!$C$5:$C$170=$B71)*Inputs!$D$5:$D$170*(((Inputs!$G$5:$G$170="moeda")+(Inputs!$G$5:$G$170="acoes"))*Inputs!$B$1+((Inputs!$G$5:$G$170&lt;&gt;"moeda")*(Inputs!$G$5:$G$170&lt;&gt;"acoes")))*INDEX(Inputs!$K$5:$AJ$170,0,MATCH(S$2,Inputs!$K$4:$AJ$4,0)))+SUMPRODUCT((Inputs!$E$5:$E$170=$B71)*Inputs!$F$5:$F$170*(((Inputs!$G$5:$G$170="moeda")+(Inputs!$G$5:$G$170="acoes"))*Inputs!$B$1+((Inputs!$G$5:$G$170&lt;&gt;"moeda")*(Inputs!$G$5:$G$170&lt;&gt;"acoes")))*INDEX(Inputs!$K$5:$AJ$170,0,MATCH(S$2,Inputs!$K$4:$AJ$4,0)))))</f>
        <v>66942.505</v>
      </c>
      <c r="T71" s="266">
        <f>IF(ISNA(MATCH(T$2,Inputs!$K$4:$AJ$4,0)),NA(),IF(SUMPRODUCT((Inputs!$A$5:$A$170=$B71)*ISNUMBER(INDEX(Inputs!$K$5:$AJ$170,0,MATCH(T$2,Inputs!$K$4:$AJ$4,0))))+SUMPRODUCT((Inputs!$C$5:$C$170=$B71)*ISNUMBER(INDEX(Inputs!$K$5:$AJ$170,0,MATCH(T$2,Inputs!$K$4:$AJ$4,0))))+SUMPRODUCT((Inputs!$E$5:$E$170=$B71)*ISNUMBER(INDEX(Inputs!$K$5:$AJ$170,0,MATCH(T$2,Inputs!$K$4:$AJ$4,0))))=0,NA(),SUMPRODUCT((Inputs!$A$5:$A$170=$B71)*Inputs!$B$5:$B$170*(((Inputs!$G$5:$G$170="moeda")+(Inputs!$G$5:$G$170="acoes"))*Inputs!$B$1+((Inputs!$G$5:$G$170&lt;&gt;"moeda")*(Inputs!$G$5:$G$170&lt;&gt;"acoes")))*INDEX(Inputs!$K$5:$AJ$170,0,MATCH(T$2,Inputs!$K$4:$AJ$4,0)))+SUMPRODUCT((Inputs!$C$5:$C$170=$B71)*Inputs!$D$5:$D$170*(((Inputs!$G$5:$G$170="moeda")+(Inputs!$G$5:$G$170="acoes"))*Inputs!$B$1+((Inputs!$G$5:$G$170&lt;&gt;"moeda")*(Inputs!$G$5:$G$170&lt;&gt;"acoes")))*INDEX(Inputs!$K$5:$AJ$170,0,MATCH(T$2,Inputs!$K$4:$AJ$4,0)))+SUMPRODUCT((Inputs!$E$5:$E$170=$B71)*Inputs!$F$5:$F$170*(((Inputs!$G$5:$G$170="moeda")+(Inputs!$G$5:$G$170="acoes"))*Inputs!$B$1+((Inputs!$G$5:$G$170&lt;&gt;"moeda")*(Inputs!$G$5:$G$170&lt;&gt;"acoes")))*INDEX(Inputs!$K$5:$AJ$170,0,MATCH(T$2,Inputs!$K$4:$AJ$4,0)))))</f>
        <v>66598.725</v>
      </c>
      <c r="U71" s="266">
        <f>IF(ISNA(MATCH(U$2,Inputs!$K$4:$AJ$4,0)),NA(),IF(SUMPRODUCT((Inputs!$A$5:$A$170=$B71)*ISNUMBER(INDEX(Inputs!$K$5:$AJ$170,0,MATCH(U$2,Inputs!$K$4:$AJ$4,0))))+SUMPRODUCT((Inputs!$C$5:$C$170=$B71)*ISNUMBER(INDEX(Inputs!$K$5:$AJ$170,0,MATCH(U$2,Inputs!$K$4:$AJ$4,0))))+SUMPRODUCT((Inputs!$E$5:$E$170=$B71)*ISNUMBER(INDEX(Inputs!$K$5:$AJ$170,0,MATCH(U$2,Inputs!$K$4:$AJ$4,0))))=0,NA(),SUMPRODUCT((Inputs!$A$5:$A$170=$B71)*Inputs!$B$5:$B$170*(((Inputs!$G$5:$G$170="moeda")+(Inputs!$G$5:$G$170="acoes"))*Inputs!$B$1+((Inputs!$G$5:$G$170&lt;&gt;"moeda")*(Inputs!$G$5:$G$170&lt;&gt;"acoes")))*INDEX(Inputs!$K$5:$AJ$170,0,MATCH(U$2,Inputs!$K$4:$AJ$4,0)))+SUMPRODUCT((Inputs!$C$5:$C$170=$B71)*Inputs!$D$5:$D$170*(((Inputs!$G$5:$G$170="moeda")+(Inputs!$G$5:$G$170="acoes"))*Inputs!$B$1+((Inputs!$G$5:$G$170&lt;&gt;"moeda")*(Inputs!$G$5:$G$170&lt;&gt;"acoes")))*INDEX(Inputs!$K$5:$AJ$170,0,MATCH(U$2,Inputs!$K$4:$AJ$4,0)))+SUMPRODUCT((Inputs!$E$5:$E$170=$B71)*Inputs!$F$5:$F$170*(((Inputs!$G$5:$G$170="moeda")+(Inputs!$G$5:$G$170="acoes"))*Inputs!$B$1+((Inputs!$G$5:$G$170&lt;&gt;"moeda")*(Inputs!$G$5:$G$170&lt;&gt;"acoes")))*INDEX(Inputs!$K$5:$AJ$170,0,MATCH(U$2,Inputs!$K$4:$AJ$4,0)))))</f>
        <v>67728.675</v>
      </c>
      <c r="V71" s="266">
        <f>IF(ISNA(MATCH(V$2,Inputs!$K$4:$AJ$4,0)),NA(),IF(SUMPRODUCT((Inputs!$A$5:$A$170=$B71)*ISNUMBER(INDEX(Inputs!$K$5:$AJ$170,0,MATCH(V$2,Inputs!$K$4:$AJ$4,0))))+SUMPRODUCT((Inputs!$C$5:$C$170=$B71)*ISNUMBER(INDEX(Inputs!$K$5:$AJ$170,0,MATCH(V$2,Inputs!$K$4:$AJ$4,0))))+SUMPRODUCT((Inputs!$E$5:$E$170=$B71)*ISNUMBER(INDEX(Inputs!$K$5:$AJ$170,0,MATCH(V$2,Inputs!$K$4:$AJ$4,0))))=0,NA(),SUMPRODUCT((Inputs!$A$5:$A$170=$B71)*Inputs!$B$5:$B$170*(((Inputs!$G$5:$G$170="moeda")+(Inputs!$G$5:$G$170="acoes"))*Inputs!$B$1+((Inputs!$G$5:$G$170&lt;&gt;"moeda")*(Inputs!$G$5:$G$170&lt;&gt;"acoes")))*INDEX(Inputs!$K$5:$AJ$170,0,MATCH(V$2,Inputs!$K$4:$AJ$4,0)))+SUMPRODUCT((Inputs!$C$5:$C$170=$B71)*Inputs!$D$5:$D$170*(((Inputs!$G$5:$G$170="moeda")+(Inputs!$G$5:$G$170="acoes"))*Inputs!$B$1+((Inputs!$G$5:$G$170&lt;&gt;"moeda")*(Inputs!$G$5:$G$170&lt;&gt;"acoes")))*INDEX(Inputs!$K$5:$AJ$170,0,MATCH(V$2,Inputs!$K$4:$AJ$4,0)))+SUMPRODUCT((Inputs!$E$5:$E$170=$B71)*Inputs!$F$5:$F$170*(((Inputs!$G$5:$G$170="moeda")+(Inputs!$G$5:$G$170="acoes"))*Inputs!$B$1+((Inputs!$G$5:$G$170&lt;&gt;"moeda")*(Inputs!$G$5:$G$170&lt;&gt;"acoes")))*INDEX(Inputs!$K$5:$AJ$170,0,MATCH(V$2,Inputs!$K$4:$AJ$4,0)))))</f>
        <v>68181.225</v>
      </c>
      <c r="W71" s="267" t="n"/>
      <c r="X71" s="266">
        <f>IF(ISNA(MATCH(X$2,Inputs!$K$4:$AJ$4,0)),NA(),IF(SUMPRODUCT((Inputs!$A$5:$A$170=$B71)*ISNUMBER(INDEX(Inputs!$K$5:$AJ$170,0,MATCH(X$2,Inputs!$K$4:$AJ$4,0))))+SUMPRODUCT((Inputs!$C$5:$C$170=$B71)*ISNUMBER(INDEX(Inputs!$K$5:$AJ$170,0,MATCH(X$2,Inputs!$K$4:$AJ$4,0))))+SUMPRODUCT((Inputs!$E$5:$E$170=$B71)*ISNUMBER(INDEX(Inputs!$K$5:$AJ$170,0,MATCH(X$2,Inputs!$K$4:$AJ$4,0))))=0,NA(),SUMPRODUCT((Inputs!$A$5:$A$170=$B71)*Inputs!$B$5:$B$170*(((Inputs!$G$5:$G$170="moeda")+(Inputs!$G$5:$G$170="acoes"))*Inputs!$B$1+((Inputs!$G$5:$G$170&lt;&gt;"moeda")*(Inputs!$G$5:$G$170&lt;&gt;"acoes")))*INDEX(Inputs!$K$5:$AJ$170,0,MATCH(X$2,Inputs!$K$4:$AJ$4,0)))+SUMPRODUCT((Inputs!$C$5:$C$170=$B71)*Inputs!$D$5:$D$170*(((Inputs!$G$5:$G$170="moeda")+(Inputs!$G$5:$G$170="acoes"))*Inputs!$B$1+((Inputs!$G$5:$G$170&lt;&gt;"moeda")*(Inputs!$G$5:$G$170&lt;&gt;"acoes")))*INDEX(Inputs!$K$5:$AJ$170,0,MATCH(X$2,Inputs!$K$4:$AJ$4,0)))+SUMPRODUCT((Inputs!$E$5:$E$170=$B71)*Inputs!$F$5:$F$170*(((Inputs!$G$5:$G$170="moeda")+(Inputs!$G$5:$G$170="acoes"))*Inputs!$B$1+((Inputs!$G$5:$G$170&lt;&gt;"moeda")*(Inputs!$G$5:$G$170&lt;&gt;"acoes")))*INDEX(Inputs!$K$5:$AJ$170,0,MATCH(X$2,Inputs!$K$4:$AJ$4,0)))))</f>
        <v>69546.779</v>
      </c>
      <c r="Y71" s="266">
        <f>IF(ISNA(MATCH(Y$2,Inputs!$K$4:$AJ$4,0)),NA(),IF(SUMPRODUCT((Inputs!$A$5:$A$170=$B71)*ISNUMBER(INDEX(Inputs!$K$5:$AJ$170,0,MATCH(Y$2,Inputs!$K$4:$AJ$4,0))))+SUMPRODUCT((Inputs!$C$5:$C$170=$B71)*ISNUMBER(INDEX(Inputs!$K$5:$AJ$170,0,MATCH(Y$2,Inputs!$K$4:$AJ$4,0))))+SUMPRODUCT((Inputs!$E$5:$E$170=$B71)*ISNUMBER(INDEX(Inputs!$K$5:$AJ$170,0,MATCH(Y$2,Inputs!$K$4:$AJ$4,0))))=0,NA(),SUMPRODUCT((Inputs!$A$5:$A$170=$B71)*Inputs!$B$5:$B$170*(((Inputs!$G$5:$G$170="moeda")+(Inputs!$G$5:$G$170="acoes"))*Inputs!$B$1+((Inputs!$G$5:$G$170&lt;&gt;"moeda")*(Inputs!$G$5:$G$170&lt;&gt;"acoes")))*INDEX(Inputs!$K$5:$AJ$170,0,MATCH(Y$2,Inputs!$K$4:$AJ$4,0)))+SUMPRODUCT((Inputs!$C$5:$C$170=$B71)*Inputs!$D$5:$D$170*(((Inputs!$G$5:$G$170="moeda")+(Inputs!$G$5:$G$170="acoes"))*Inputs!$B$1+((Inputs!$G$5:$G$170&lt;&gt;"moeda")*(Inputs!$G$5:$G$170&lt;&gt;"acoes")))*INDEX(Inputs!$K$5:$AJ$170,0,MATCH(Y$2,Inputs!$K$4:$AJ$4,0)))+SUMPRODUCT((Inputs!$E$5:$E$170=$B71)*Inputs!$F$5:$F$170*(((Inputs!$G$5:$G$170="moeda")+(Inputs!$G$5:$G$170="acoes"))*Inputs!$B$1+((Inputs!$G$5:$G$170&lt;&gt;"moeda")*(Inputs!$G$5:$G$170&lt;&gt;"acoes")))*INDEX(Inputs!$K$5:$AJ$170,0,MATCH(Y$2,Inputs!$K$4:$AJ$4,0)))))</f>
        <v>70398.095</v>
      </c>
      <c r="Z71" s="266">
        <f>IF(ISNA(MATCH(Z$2,Inputs!$K$4:$AJ$4,0)),NA(),IF(SUMPRODUCT((Inputs!$A$5:$A$170=$B71)*ISNUMBER(INDEX(Inputs!$K$5:$AJ$170,0,MATCH(Z$2,Inputs!$K$4:$AJ$4,0))))+SUMPRODUCT((Inputs!$C$5:$C$170=$B71)*ISNUMBER(INDEX(Inputs!$K$5:$AJ$170,0,MATCH(Z$2,Inputs!$K$4:$AJ$4,0))))+SUMPRODUCT((Inputs!$E$5:$E$170=$B71)*ISNUMBER(INDEX(Inputs!$K$5:$AJ$170,0,MATCH(Z$2,Inputs!$K$4:$AJ$4,0))))=0,NA(),SUMPRODUCT((Inputs!$A$5:$A$170=$B71)*Inputs!$B$5:$B$170*(((Inputs!$G$5:$G$170="moeda")+(Inputs!$G$5:$G$170="acoes"))*Inputs!$B$1+((Inputs!$G$5:$G$170&lt;&gt;"moeda")*(Inputs!$G$5:$G$170&lt;&gt;"acoes")))*INDEX(Inputs!$K$5:$AJ$170,0,MATCH(Z$2,Inputs!$K$4:$AJ$4,0)))+SUMPRODUCT((Inputs!$C$5:$C$170=$B71)*Inputs!$D$5:$D$170*(((Inputs!$G$5:$G$170="moeda")+(Inputs!$G$5:$G$170="acoes"))*Inputs!$B$1+((Inputs!$G$5:$G$170&lt;&gt;"moeda")*(Inputs!$G$5:$G$170&lt;&gt;"acoes")))*INDEX(Inputs!$K$5:$AJ$170,0,MATCH(Z$2,Inputs!$K$4:$AJ$4,0)))+SUMPRODUCT((Inputs!$E$5:$E$170=$B71)*Inputs!$F$5:$F$170*(((Inputs!$G$5:$G$170="moeda")+(Inputs!$G$5:$G$170="acoes"))*Inputs!$B$1+((Inputs!$G$5:$G$170&lt;&gt;"moeda")*(Inputs!$G$5:$G$170&lt;&gt;"acoes")))*INDEX(Inputs!$K$5:$AJ$170,0,MATCH(Z$2,Inputs!$K$4:$AJ$4,0)))))</f>
        <v>73431.672</v>
      </c>
      <c r="AA71" s="266">
        <f>IF(ISNA(MATCH(AA$2,Inputs!$K$4:$AJ$4,0)),NA(),IF(SUMPRODUCT((Inputs!$A$5:$A$170=$B71)*ISNUMBER(INDEX(Inputs!$K$5:$AJ$170,0,MATCH(AA$2,Inputs!$K$4:$AJ$4,0))))+SUMPRODUCT((Inputs!$C$5:$C$170=$B71)*ISNUMBER(INDEX(Inputs!$K$5:$AJ$170,0,MATCH(AA$2,Inputs!$K$4:$AJ$4,0))))+SUMPRODUCT((Inputs!$E$5:$E$170=$B71)*ISNUMBER(INDEX(Inputs!$K$5:$AJ$170,0,MATCH(AA$2,Inputs!$K$4:$AJ$4,0))))=0,NA(),SUMPRODUCT((Inputs!$A$5:$A$170=$B71)*Inputs!$B$5:$B$170*(((Inputs!$G$5:$G$170="moeda")+(Inputs!$G$5:$G$170="acoes"))*Inputs!$B$1+((Inputs!$G$5:$G$170&lt;&gt;"moeda")*(Inputs!$G$5:$G$170&lt;&gt;"acoes")))*INDEX(Inputs!$K$5:$AJ$170,0,MATCH(AA$2,Inputs!$K$4:$AJ$4,0)))+SUMPRODUCT((Inputs!$C$5:$C$170=$B71)*Inputs!$D$5:$D$170*(((Inputs!$G$5:$G$170="moeda")+(Inputs!$G$5:$G$170="acoes"))*Inputs!$B$1+((Inputs!$G$5:$G$170&lt;&gt;"moeda")*(Inputs!$G$5:$G$170&lt;&gt;"acoes")))*INDEX(Inputs!$K$5:$AJ$170,0,MATCH(AA$2,Inputs!$K$4:$AJ$4,0)))+SUMPRODUCT((Inputs!$E$5:$E$170=$B71)*Inputs!$F$5:$F$170*(((Inputs!$G$5:$G$170="moeda")+(Inputs!$G$5:$G$170="acoes"))*Inputs!$B$1+((Inputs!$G$5:$G$170&lt;&gt;"moeda")*(Inputs!$G$5:$G$170&lt;&gt;"acoes")))*INDEX(Inputs!$K$5:$AJ$170,0,MATCH(AA$2,Inputs!$K$4:$AJ$4,0)))))</f>
        <v>72269.7444547227</v>
      </c>
      <c r="AB71" s="267" t="n"/>
      <c r="AC71" s="266">
        <f>IF(ISNA(MATCH(AC$2,Inputs!$K$4:$AJ$4,0)),NA(),IF(SUMPRODUCT((Inputs!$A$5:$A$170=$B71)*ISNUMBER(INDEX(Inputs!$K$5:$AJ$170,0,MATCH(AC$2,Inputs!$K$4:$AJ$4,0))))+SUMPRODUCT((Inputs!$C$5:$C$170=$B71)*ISNUMBER(INDEX(Inputs!$K$5:$AJ$170,0,MATCH(AC$2,Inputs!$K$4:$AJ$4,0))))+SUMPRODUCT((Inputs!$E$5:$E$170=$B71)*ISNUMBER(INDEX(Inputs!$K$5:$AJ$170,0,MATCH(AC$2,Inputs!$K$4:$AJ$4,0))))=0,NA(),SUMPRODUCT((Inputs!$A$5:$A$170=$B71)*Inputs!$B$5:$B$170*(((Inputs!$G$5:$G$170="moeda")+(Inputs!$G$5:$G$170="acoes"))*Inputs!$B$1+((Inputs!$G$5:$G$170&lt;&gt;"moeda")*(Inputs!$G$5:$G$170&lt;&gt;"acoes")))*INDEX(Inputs!$K$5:$AJ$170,0,MATCH(AC$2,Inputs!$K$4:$AJ$4,0)))+SUMPRODUCT((Inputs!$C$5:$C$170=$B71)*Inputs!$D$5:$D$170*(((Inputs!$G$5:$G$170="moeda")+(Inputs!$G$5:$G$170="acoes"))*Inputs!$B$1+((Inputs!$G$5:$G$170&lt;&gt;"moeda")*(Inputs!$G$5:$G$170&lt;&gt;"acoes")))*INDEX(Inputs!$K$5:$AJ$170,0,MATCH(AC$2,Inputs!$K$4:$AJ$4,0)))+SUMPRODUCT((Inputs!$E$5:$E$170=$B71)*Inputs!$F$5:$F$170*(((Inputs!$G$5:$G$170="moeda")+(Inputs!$G$5:$G$170="acoes"))*Inputs!$B$1+((Inputs!$G$5:$G$170&lt;&gt;"moeda")*(Inputs!$G$5:$G$170&lt;&gt;"acoes")))*INDEX(Inputs!$K$5:$AJ$170,0,MATCH(AC$2,Inputs!$K$4:$AJ$4,0)))))</f>
        <v>77823.7286809495</v>
      </c>
      <c r="AD71" s="266">
        <f>IF(ISNA(MATCH(AD$2,Inputs!$K$4:$AJ$4,0)),NA(),IF(SUMPRODUCT((Inputs!$A$5:$A$170=$B71)*ISNUMBER(INDEX(Inputs!$K$5:$AJ$170,0,MATCH(AD$2,Inputs!$K$4:$AJ$4,0))))+SUMPRODUCT((Inputs!$C$5:$C$170=$B71)*ISNUMBER(INDEX(Inputs!$K$5:$AJ$170,0,MATCH(AD$2,Inputs!$K$4:$AJ$4,0))))+SUMPRODUCT((Inputs!$E$5:$E$170=$B71)*ISNUMBER(INDEX(Inputs!$K$5:$AJ$170,0,MATCH(AD$2,Inputs!$K$4:$AJ$4,0))))=0,NA(),SUMPRODUCT((Inputs!$A$5:$A$170=$B71)*Inputs!$B$5:$B$170*(((Inputs!$G$5:$G$170="moeda")+(Inputs!$G$5:$G$170="acoes"))*Inputs!$B$1+((Inputs!$G$5:$G$170&lt;&gt;"moeda")*(Inputs!$G$5:$G$170&lt;&gt;"acoes")))*INDEX(Inputs!$K$5:$AJ$170,0,MATCH(AD$2,Inputs!$K$4:$AJ$4,0)))+SUMPRODUCT((Inputs!$C$5:$C$170=$B71)*Inputs!$D$5:$D$170*(((Inputs!$G$5:$G$170="moeda")+(Inputs!$G$5:$G$170="acoes"))*Inputs!$B$1+((Inputs!$G$5:$G$170&lt;&gt;"moeda")*(Inputs!$G$5:$G$170&lt;&gt;"acoes")))*INDEX(Inputs!$K$5:$AJ$170,0,MATCH(AD$2,Inputs!$K$4:$AJ$4,0)))+SUMPRODUCT((Inputs!$E$5:$E$170=$B71)*Inputs!$F$5:$F$170*(((Inputs!$G$5:$G$170="moeda")+(Inputs!$G$5:$G$170="acoes"))*Inputs!$B$1+((Inputs!$G$5:$G$170&lt;&gt;"moeda")*(Inputs!$G$5:$G$170&lt;&gt;"acoes")))*INDEX(Inputs!$K$5:$AJ$170,0,MATCH(AD$2,Inputs!$K$4:$AJ$4,0)))))</f>
        <v>77252.1840543436</v>
      </c>
      <c r="AE71" s="266" t="e">
        <f>IF(ISNA(MATCH(AE$2,Inputs!$K$4:$AJ$4,0)),NA(),IF(SUMPRODUCT((Inputs!$A$5:$A$170=$B71)*ISNUMBER(INDEX(Inputs!$K$5:$AJ$170,0,MATCH(AE$2,Inputs!$K$4:$AJ$4,0))))+SUMPRODUCT((Inputs!$C$5:$C$170=$B71)*ISNUMBER(INDEX(Inputs!$K$5:$AJ$170,0,MATCH(AE$2,Inputs!$K$4:$AJ$4,0))))+SUMPRODUCT((Inputs!$E$5:$E$170=$B71)*ISNUMBER(INDEX(Inputs!$K$5:$AJ$170,0,MATCH(AE$2,Inputs!$K$4:$AJ$4,0))))=0,NA(),SUMPRODUCT((Inputs!$A$5:$A$170=$B71)*Inputs!$B$5:$B$170*(((Inputs!$G$5:$G$170="moeda")+(Inputs!$G$5:$G$170="acoes"))*Inputs!$B$1+((Inputs!$G$5:$G$170&lt;&gt;"moeda")*(Inputs!$G$5:$G$170&lt;&gt;"acoes")))*INDEX(Inputs!$K$5:$AJ$170,0,MATCH(AE$2,Inputs!$K$4:$AJ$4,0)))+SUMPRODUCT((Inputs!$C$5:$C$170=$B71)*Inputs!$D$5:$D$170*(((Inputs!$G$5:$G$170="moeda")+(Inputs!$G$5:$G$170="acoes"))*Inputs!$B$1+((Inputs!$G$5:$G$170&lt;&gt;"moeda")*(Inputs!$G$5:$G$170&lt;&gt;"acoes")))*INDEX(Inputs!$K$5:$AJ$170,0,MATCH(AE$2,Inputs!$K$4:$AJ$4,0)))+SUMPRODUCT((Inputs!$E$5:$E$170=$B71)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1" s="266" t="e">
        <f>IF(ISNA(MATCH(AF$2,Inputs!$K$4:$AJ$4,0)),NA(),IF(SUMPRODUCT((Inputs!$A$5:$A$170=$B71)*ISNUMBER(INDEX(Inputs!$K$5:$AJ$170,0,MATCH(AF$2,Inputs!$K$4:$AJ$4,0))))+SUMPRODUCT((Inputs!$C$5:$C$170=$B71)*ISNUMBER(INDEX(Inputs!$K$5:$AJ$170,0,MATCH(AF$2,Inputs!$K$4:$AJ$4,0))))+SUMPRODUCT((Inputs!$E$5:$E$170=$B71)*ISNUMBER(INDEX(Inputs!$K$5:$AJ$170,0,MATCH(AF$2,Inputs!$K$4:$AJ$4,0))))=0,NA(),SUMPRODUCT((Inputs!$A$5:$A$170=$B71)*Inputs!$B$5:$B$170*(((Inputs!$G$5:$G$170="moeda")+(Inputs!$G$5:$G$170="acoes"))*Inputs!$B$1+((Inputs!$G$5:$G$170&lt;&gt;"moeda")*(Inputs!$G$5:$G$170&lt;&gt;"acoes")))*INDEX(Inputs!$K$5:$AJ$170,0,MATCH(AF$2,Inputs!$K$4:$AJ$4,0)))+SUMPRODUCT((Inputs!$C$5:$C$170=$B71)*Inputs!$D$5:$D$170*(((Inputs!$G$5:$G$170="moeda")+(Inputs!$G$5:$G$170="acoes"))*Inputs!$B$1+((Inputs!$G$5:$G$170&lt;&gt;"moeda")*(Inputs!$G$5:$G$170&lt;&gt;"acoes")))*INDEX(Inputs!$K$5:$AJ$170,0,MATCH(AF$2,Inputs!$K$4:$AJ$4,0)))+SUMPRODUCT((Inputs!$E$5:$E$170=$B71)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1" s="267" t="n"/>
      <c r="AH71" s="266">
        <f>IF(ISNA(MATCH(AH$2,Inputs!$K$4:$AJ$4,0)),NA(),IF(SUMPRODUCT((Inputs!$A$5:$A$170=$B71)*ISNUMBER(INDEX(Inputs!$K$5:$AJ$170,0,MATCH(AH$2,Inputs!$K$4:$AJ$4,0))))+SUMPRODUCT((Inputs!$C$5:$C$170=$B71)*ISNUMBER(INDEX(Inputs!$K$5:$AJ$170,0,MATCH(AH$2,Inputs!$K$4:$AJ$4,0))))+SUMPRODUCT((Inputs!$E$5:$E$170=$B71)*ISNUMBER(INDEX(Inputs!$K$5:$AJ$170,0,MATCH(AH$2,Inputs!$K$4:$AJ$4,0))))=0,NA(),SUMPRODUCT((Inputs!$A$5:$A$170=$B71)*Inputs!$B$5:$B$170*(((Inputs!$G$5:$G$170="moeda")+(Inputs!$G$5:$G$170="acoes"))*Inputs!$B$1+((Inputs!$G$5:$G$170&lt;&gt;"moeda")*(Inputs!$G$5:$G$170&lt;&gt;"acoes")))*INDEX(Inputs!$K$5:$AJ$170,0,MATCH(AH$2,Inputs!$K$4:$AJ$4,0)))+SUMPRODUCT((Inputs!$C$5:$C$170=$B71)*Inputs!$D$5:$D$170*(((Inputs!$G$5:$G$170="moeda")+(Inputs!$G$5:$G$170="acoes"))*Inputs!$B$1+((Inputs!$G$5:$G$170&lt;&gt;"moeda")*(Inputs!$G$5:$G$170&lt;&gt;"acoes")))*INDEX(Inputs!$K$5:$AJ$170,0,MATCH(AH$2,Inputs!$K$4:$AJ$4,0)))+SUMPRODUCT((Inputs!$E$5:$E$170=$B71)*Inputs!$F$5:$F$170*(((Inputs!$G$5:$G$170="moeda")+(Inputs!$G$5:$G$170="acoes"))*Inputs!$B$1+((Inputs!$G$5:$G$170&lt;&gt;"moeda")*(Inputs!$G$5:$G$170&lt;&gt;"acoes")))*INDEX(Inputs!$K$5:$AJ$170,0,MATCH(AH$2,Inputs!$K$4:$AJ$4,0)))))</f>
        <v>40161.535</v>
      </c>
      <c r="AI71" s="266">
        <f>IF(ISNA(MATCH(AI$2,Inputs!$K$4:$AJ$4,0)),NA(),IF(SUMPRODUCT((Inputs!$A$5:$A$170=$B71)*ISNUMBER(INDEX(Inputs!$K$5:$AJ$170,0,MATCH(AI$2,Inputs!$K$4:$AJ$4,0))))+SUMPRODUCT((Inputs!$C$5:$C$170=$B71)*ISNUMBER(INDEX(Inputs!$K$5:$AJ$170,0,MATCH(AI$2,Inputs!$K$4:$AJ$4,0))))+SUMPRODUCT((Inputs!$E$5:$E$170=$B71)*ISNUMBER(INDEX(Inputs!$K$5:$AJ$170,0,MATCH(AI$2,Inputs!$K$4:$AJ$4,0))))=0,NA(),SUMPRODUCT((Inputs!$A$5:$A$170=$B71)*Inputs!$B$5:$B$170*(((Inputs!$G$5:$G$170="moeda")+(Inputs!$G$5:$G$170="acoes"))*Inputs!$B$1+((Inputs!$G$5:$G$170&lt;&gt;"moeda")*(Inputs!$G$5:$G$170&lt;&gt;"acoes")))*INDEX(Inputs!$K$5:$AJ$170,0,MATCH(AI$2,Inputs!$K$4:$AJ$4,0)))+SUMPRODUCT((Inputs!$C$5:$C$170=$B71)*Inputs!$D$5:$D$170*(((Inputs!$G$5:$G$170="moeda")+(Inputs!$G$5:$G$170="acoes"))*Inputs!$B$1+((Inputs!$G$5:$G$170&lt;&gt;"moeda")*(Inputs!$G$5:$G$170&lt;&gt;"acoes")))*INDEX(Inputs!$K$5:$AJ$170,0,MATCH(AI$2,Inputs!$K$4:$AJ$4,0)))+SUMPRODUCT((Inputs!$E$5:$E$170=$B71)*Inputs!$F$5:$F$170*(((Inputs!$G$5:$G$170="moeda")+(Inputs!$G$5:$G$170="acoes"))*Inputs!$B$1+((Inputs!$G$5:$G$170&lt;&gt;"moeda")*(Inputs!$G$5:$G$170&lt;&gt;"acoes")))*INDEX(Inputs!$K$5:$AJ$170,0,MATCH(AI$2,Inputs!$K$4:$AJ$4,0)))))</f>
        <v>40614.688</v>
      </c>
      <c r="AJ71" s="266">
        <f>IF(ISNA(MATCH(AJ$2,Inputs!$K$4:$AJ$4,0)),NA(),IF(SUMPRODUCT((Inputs!$A$5:$A$170=$B71)*ISNUMBER(INDEX(Inputs!$K$5:$AJ$170,0,MATCH(AJ$2,Inputs!$K$4:$AJ$4,0))))+SUMPRODUCT((Inputs!$C$5:$C$170=$B71)*ISNUMBER(INDEX(Inputs!$K$5:$AJ$170,0,MATCH(AJ$2,Inputs!$K$4:$AJ$4,0))))+SUMPRODUCT((Inputs!$E$5:$E$170=$B71)*ISNUMBER(INDEX(Inputs!$K$5:$AJ$170,0,MATCH(AJ$2,Inputs!$K$4:$AJ$4,0))))=0,NA(),SUMPRODUCT((Inputs!$A$5:$A$170=$B71)*Inputs!$B$5:$B$170*(((Inputs!$G$5:$G$170="moeda")+(Inputs!$G$5:$G$170="acoes"))*Inputs!$B$1+((Inputs!$G$5:$G$170&lt;&gt;"moeda")*(Inputs!$G$5:$G$170&lt;&gt;"acoes")))*INDEX(Inputs!$K$5:$AJ$170,0,MATCH(AJ$2,Inputs!$K$4:$AJ$4,0)))+SUMPRODUCT((Inputs!$C$5:$C$170=$B71)*Inputs!$D$5:$D$170*(((Inputs!$G$5:$G$170="moeda")+(Inputs!$G$5:$G$170="acoes"))*Inputs!$B$1+((Inputs!$G$5:$G$170&lt;&gt;"moeda")*(Inputs!$G$5:$G$170&lt;&gt;"acoes")))*INDEX(Inputs!$K$5:$AJ$170,0,MATCH(AJ$2,Inputs!$K$4:$AJ$4,0)))+SUMPRODUCT((Inputs!$E$5:$E$170=$B71)*Inputs!$F$5:$F$170*(((Inputs!$G$5:$G$170="moeda")+(Inputs!$G$5:$G$170="acoes"))*Inputs!$B$1+((Inputs!$G$5:$G$170&lt;&gt;"moeda")*(Inputs!$G$5:$G$170&lt;&gt;"acoes")))*INDEX(Inputs!$K$5:$AJ$170,0,MATCH(AJ$2,Inputs!$K$4:$AJ$4,0)))))</f>
        <v>45289.77</v>
      </c>
      <c r="AK71" s="266">
        <f>IF(ISNA(MATCH(AK$2,Inputs!$K$4:$AJ$4,0)),NA(),IF(SUMPRODUCT((Inputs!$A$5:$A$170=$B71)*ISNUMBER(INDEX(Inputs!$K$5:$AJ$170,0,MATCH(AK$2,Inputs!$K$4:$AJ$4,0))))+SUMPRODUCT((Inputs!$C$5:$C$170=$B71)*ISNUMBER(INDEX(Inputs!$K$5:$AJ$170,0,MATCH(AK$2,Inputs!$K$4:$AJ$4,0))))+SUMPRODUCT((Inputs!$E$5:$E$170=$B71)*ISNUMBER(INDEX(Inputs!$K$5:$AJ$170,0,MATCH(AK$2,Inputs!$K$4:$AJ$4,0))))=0,NA(),SUMPRODUCT((Inputs!$A$5:$A$170=$B71)*Inputs!$B$5:$B$170*(((Inputs!$G$5:$G$170="moeda")+(Inputs!$G$5:$G$170="acoes"))*Inputs!$B$1+((Inputs!$G$5:$G$170&lt;&gt;"moeda")*(Inputs!$G$5:$G$170&lt;&gt;"acoes")))*INDEX(Inputs!$K$5:$AJ$170,0,MATCH(AK$2,Inputs!$K$4:$AJ$4,0)))+SUMPRODUCT((Inputs!$C$5:$C$170=$B71)*Inputs!$D$5:$D$170*(((Inputs!$G$5:$G$170="moeda")+(Inputs!$G$5:$G$170="acoes"))*Inputs!$B$1+((Inputs!$G$5:$G$170&lt;&gt;"moeda")*(Inputs!$G$5:$G$170&lt;&gt;"acoes")))*INDEX(Inputs!$K$5:$AJ$170,0,MATCH(AK$2,Inputs!$K$4:$AJ$4,0)))+SUMPRODUCT((Inputs!$E$5:$E$170=$B71)*Inputs!$F$5:$F$170*(((Inputs!$G$5:$G$170="moeda")+(Inputs!$G$5:$G$170="acoes"))*Inputs!$B$1+((Inputs!$G$5:$G$170&lt;&gt;"moeda")*(Inputs!$G$5:$G$170&lt;&gt;"acoes")))*INDEX(Inputs!$K$5:$AJ$170,0,MATCH(AK$2,Inputs!$K$4:$AJ$4,0)))))</f>
        <v>50153.014</v>
      </c>
      <c r="AL71" s="267" t="n"/>
    </row>
    <row r="72">
      <c r="B72" s="46" t="n">
        <v>64</v>
      </c>
      <c r="C72" s="29" t="inlineStr">
        <is>
          <t>Carros comprados (CAPEX l.22)</t>
        </is>
      </c>
      <c r="D72" s="266">
        <f>IF(ISNA(MATCH(D$2,Inputs!$K$4:$AJ$4,0)),NA(),IF(SUMPRODUCT((Inputs!$A$5:$A$170=$B72)*ISNUMBER(INDEX(Inputs!$K$5:$AJ$170,0,MATCH(D$2,Inputs!$K$4:$AJ$4,0))))+SUMPRODUCT((Inputs!$C$5:$C$170=$B72)*ISNUMBER(INDEX(Inputs!$K$5:$AJ$170,0,MATCH(D$2,Inputs!$K$4:$AJ$4,0))))+SUMPRODUCT((Inputs!$E$5:$E$170=$B72)*ISNUMBER(INDEX(Inputs!$K$5:$AJ$170,0,MATCH(D$2,Inputs!$K$4:$AJ$4,0))))=0,NA(),SUMPRODUCT((Inputs!$A$5:$A$170=$B72)*Inputs!$B$5:$B$170*(((Inputs!$G$5:$G$170="moeda")+(Inputs!$G$5:$G$170="acoes"))*Inputs!$B$1+((Inputs!$G$5:$G$170&lt;&gt;"moeda")*(Inputs!$G$5:$G$170&lt;&gt;"acoes")))*INDEX(Inputs!$K$5:$AJ$170,0,MATCH(D$2,Inputs!$K$4:$AJ$4,0)))+SUMPRODUCT((Inputs!$C$5:$C$170=$B72)*Inputs!$D$5:$D$170*(((Inputs!$G$5:$G$170="moeda")+(Inputs!$G$5:$G$170="acoes"))*Inputs!$B$1+((Inputs!$G$5:$G$170&lt;&gt;"moeda")*(Inputs!$G$5:$G$170&lt;&gt;"acoes")))*INDEX(Inputs!$K$5:$AJ$170,0,MATCH(D$2,Inputs!$K$4:$AJ$4,0)))+SUMPRODUCT((Inputs!$E$5:$E$170=$B72)*Inputs!$F$5:$F$170*(((Inputs!$G$5:$G$170="moeda")+(Inputs!$G$5:$G$170="acoes"))*Inputs!$B$1+((Inputs!$G$5:$G$170&lt;&gt;"moeda")*(Inputs!$G$5:$G$170&lt;&gt;"acoes")))*INDEX(Inputs!$K$5:$AJ$170,0,MATCH(D$2,Inputs!$K$4:$AJ$4,0)))))</f>
        <v>10911</v>
      </c>
      <c r="E72" s="266">
        <f>IF(ISNA(MATCH(E$2,Inputs!$K$4:$AJ$4,0)),NA(),IF(SUMPRODUCT((Inputs!$A$5:$A$170=$B72)*ISNUMBER(INDEX(Inputs!$K$5:$AJ$170,0,MATCH(E$2,Inputs!$K$4:$AJ$4,0))))+SUMPRODUCT((Inputs!$C$5:$C$170=$B72)*ISNUMBER(INDEX(Inputs!$K$5:$AJ$170,0,MATCH(E$2,Inputs!$K$4:$AJ$4,0))))+SUMPRODUCT((Inputs!$E$5:$E$170=$B72)*ISNUMBER(INDEX(Inputs!$K$5:$AJ$170,0,MATCH(E$2,Inputs!$K$4:$AJ$4,0))))=0,NA(),SUMPRODUCT((Inputs!$A$5:$A$170=$B72)*Inputs!$B$5:$B$170*(((Inputs!$G$5:$G$170="moeda")+(Inputs!$G$5:$G$170="acoes"))*Inputs!$B$1+((Inputs!$G$5:$G$170&lt;&gt;"moeda")*(Inputs!$G$5:$G$170&lt;&gt;"acoes")))*INDEX(Inputs!$K$5:$AJ$170,0,MATCH(E$2,Inputs!$K$4:$AJ$4,0)))+SUMPRODUCT((Inputs!$C$5:$C$170=$B72)*Inputs!$D$5:$D$170*(((Inputs!$G$5:$G$170="moeda")+(Inputs!$G$5:$G$170="acoes"))*Inputs!$B$1+((Inputs!$G$5:$G$170&lt;&gt;"moeda")*(Inputs!$G$5:$G$170&lt;&gt;"acoes")))*INDEX(Inputs!$K$5:$AJ$170,0,MATCH(E$2,Inputs!$K$4:$AJ$4,0)))+SUMPRODUCT((Inputs!$E$5:$E$170=$B72)*Inputs!$F$5:$F$170*(((Inputs!$G$5:$G$170="moeda")+(Inputs!$G$5:$G$170="acoes"))*Inputs!$B$1+((Inputs!$G$5:$G$170&lt;&gt;"moeda")*(Inputs!$G$5:$G$170&lt;&gt;"acoes")))*INDEX(Inputs!$K$5:$AJ$170,0,MATCH(E$2,Inputs!$K$4:$AJ$4,0)))))</f>
        <v>23273</v>
      </c>
      <c r="F72" s="266">
        <f>IF(ISNA(MATCH(F$2,Inputs!$K$4:$AJ$4,0)),NA(),IF(SUMPRODUCT((Inputs!$A$5:$A$170=$B72)*ISNUMBER(INDEX(Inputs!$K$5:$AJ$170,0,MATCH(F$2,Inputs!$K$4:$AJ$4,0))))+SUMPRODUCT((Inputs!$C$5:$C$170=$B72)*ISNUMBER(INDEX(Inputs!$K$5:$AJ$170,0,MATCH(F$2,Inputs!$K$4:$AJ$4,0))))+SUMPRODUCT((Inputs!$E$5:$E$170=$B72)*ISNUMBER(INDEX(Inputs!$K$5:$AJ$170,0,MATCH(F$2,Inputs!$K$4:$AJ$4,0))))=0,NA(),SUMPRODUCT((Inputs!$A$5:$A$170=$B72)*Inputs!$B$5:$B$170*(((Inputs!$G$5:$G$170="moeda")+(Inputs!$G$5:$G$170="acoes"))*Inputs!$B$1+((Inputs!$G$5:$G$170&lt;&gt;"moeda")*(Inputs!$G$5:$G$170&lt;&gt;"acoes")))*INDEX(Inputs!$K$5:$AJ$170,0,MATCH(F$2,Inputs!$K$4:$AJ$4,0)))+SUMPRODUCT((Inputs!$C$5:$C$170=$B72)*Inputs!$D$5:$D$170*(((Inputs!$G$5:$G$170="moeda")+(Inputs!$G$5:$G$170="acoes"))*Inputs!$B$1+((Inputs!$G$5:$G$170&lt;&gt;"moeda")*(Inputs!$G$5:$G$170&lt;&gt;"acoes")))*INDEX(Inputs!$K$5:$AJ$170,0,MATCH(F$2,Inputs!$K$4:$AJ$4,0)))+SUMPRODUCT((Inputs!$E$5:$E$170=$B72)*Inputs!$F$5:$F$170*(((Inputs!$G$5:$G$170="moeda")+(Inputs!$G$5:$G$170="acoes"))*Inputs!$B$1+((Inputs!$G$5:$G$170&lt;&gt;"moeda")*(Inputs!$G$5:$G$170&lt;&gt;"acoes")))*INDEX(Inputs!$K$5:$AJ$170,0,MATCH(F$2,Inputs!$K$4:$AJ$4,0)))))</f>
        <v>25098</v>
      </c>
      <c r="G72" s="266">
        <f>IF(ISNA(MATCH(G$2,Inputs!$K$4:$AJ$4,0)),NA(),IF(SUMPRODUCT((Inputs!$A$5:$A$170=$B72)*ISNUMBER(INDEX(Inputs!$K$5:$AJ$170,0,MATCH(G$2,Inputs!$K$4:$AJ$4,0))))+SUMPRODUCT((Inputs!$C$5:$C$170=$B72)*ISNUMBER(INDEX(Inputs!$K$5:$AJ$170,0,MATCH(G$2,Inputs!$K$4:$AJ$4,0))))+SUMPRODUCT((Inputs!$E$5:$E$170=$B72)*ISNUMBER(INDEX(Inputs!$K$5:$AJ$170,0,MATCH(G$2,Inputs!$K$4:$AJ$4,0))))=0,NA(),SUMPRODUCT((Inputs!$A$5:$A$170=$B72)*Inputs!$B$5:$B$170*(((Inputs!$G$5:$G$170="moeda")+(Inputs!$G$5:$G$170="acoes"))*Inputs!$B$1+((Inputs!$G$5:$G$170&lt;&gt;"moeda")*(Inputs!$G$5:$G$170&lt;&gt;"acoes")))*INDEX(Inputs!$K$5:$AJ$170,0,MATCH(G$2,Inputs!$K$4:$AJ$4,0)))+SUMPRODUCT((Inputs!$C$5:$C$170=$B72)*Inputs!$D$5:$D$170*(((Inputs!$G$5:$G$170="moeda")+(Inputs!$G$5:$G$170="acoes"))*Inputs!$B$1+((Inputs!$G$5:$G$170&lt;&gt;"moeda")*(Inputs!$G$5:$G$170&lt;&gt;"acoes")))*INDEX(Inputs!$K$5:$AJ$170,0,MATCH(G$2,Inputs!$K$4:$AJ$4,0)))+SUMPRODUCT((Inputs!$E$5:$E$170=$B72)*Inputs!$F$5:$F$170*(((Inputs!$G$5:$G$170="moeda")+(Inputs!$G$5:$G$170="acoes"))*Inputs!$B$1+((Inputs!$G$5:$G$170&lt;&gt;"moeda")*(Inputs!$G$5:$G$170&lt;&gt;"acoes")))*INDEX(Inputs!$K$5:$AJ$170,0,MATCH(G$2,Inputs!$K$4:$AJ$4,0)))))</f>
        <v>32177</v>
      </c>
      <c r="H72" s="267">
        <f>SUM(D72:G72)</f>
        <v>91459</v>
      </c>
      <c r="I72" s="266">
        <f>IF(ISNA(MATCH(I$2,Inputs!$K$4:$AJ$4,0)),NA(),IF(SUMPRODUCT((Inputs!$A$5:$A$170=$B72)*ISNUMBER(INDEX(Inputs!$K$5:$AJ$170,0,MATCH(I$2,Inputs!$K$4:$AJ$4,0))))+SUMPRODUCT((Inputs!$C$5:$C$170=$B72)*ISNUMBER(INDEX(Inputs!$K$5:$AJ$170,0,MATCH(I$2,Inputs!$K$4:$AJ$4,0))))+SUMPRODUCT((Inputs!$E$5:$E$170=$B72)*ISNUMBER(INDEX(Inputs!$K$5:$AJ$170,0,MATCH(I$2,Inputs!$K$4:$AJ$4,0))))=0,NA(),SUMPRODUCT((Inputs!$A$5:$A$170=$B72)*Inputs!$B$5:$B$170*(((Inputs!$G$5:$G$170="moeda")+(Inputs!$G$5:$G$170="acoes"))*Inputs!$B$1+((Inputs!$G$5:$G$170&lt;&gt;"moeda")*(Inputs!$G$5:$G$170&lt;&gt;"acoes")))*INDEX(Inputs!$K$5:$AJ$170,0,MATCH(I$2,Inputs!$K$4:$AJ$4,0)))+SUMPRODUCT((Inputs!$C$5:$C$170=$B72)*Inputs!$D$5:$D$170*(((Inputs!$G$5:$G$170="moeda")+(Inputs!$G$5:$G$170="acoes"))*Inputs!$B$1+((Inputs!$G$5:$G$170&lt;&gt;"moeda")*(Inputs!$G$5:$G$170&lt;&gt;"acoes")))*INDEX(Inputs!$K$5:$AJ$170,0,MATCH(I$2,Inputs!$K$4:$AJ$4,0)))+SUMPRODUCT((Inputs!$E$5:$E$170=$B72)*Inputs!$F$5:$F$170*(((Inputs!$G$5:$G$170="moeda")+(Inputs!$G$5:$G$170="acoes"))*Inputs!$B$1+((Inputs!$G$5:$G$170&lt;&gt;"moeda")*(Inputs!$G$5:$G$170&lt;&gt;"acoes")))*INDEX(Inputs!$K$5:$AJ$170,0,MATCH(I$2,Inputs!$K$4:$AJ$4,0)))))</f>
        <v>21202</v>
      </c>
      <c r="J72" s="266">
        <f>IF(ISNA(MATCH(J$2,Inputs!$K$4:$AJ$4,0)),NA(),IF(SUMPRODUCT((Inputs!$A$5:$A$170=$B72)*ISNUMBER(INDEX(Inputs!$K$5:$AJ$170,0,MATCH(J$2,Inputs!$K$4:$AJ$4,0))))+SUMPRODUCT((Inputs!$C$5:$C$170=$B72)*ISNUMBER(INDEX(Inputs!$K$5:$AJ$170,0,MATCH(J$2,Inputs!$K$4:$AJ$4,0))))+SUMPRODUCT((Inputs!$E$5:$E$170=$B72)*ISNUMBER(INDEX(Inputs!$K$5:$AJ$170,0,MATCH(J$2,Inputs!$K$4:$AJ$4,0))))=0,NA(),SUMPRODUCT((Inputs!$A$5:$A$170=$B72)*Inputs!$B$5:$B$170*(((Inputs!$G$5:$G$170="moeda")+(Inputs!$G$5:$G$170="acoes"))*Inputs!$B$1+((Inputs!$G$5:$G$170&lt;&gt;"moeda")*(Inputs!$G$5:$G$170&lt;&gt;"acoes")))*INDEX(Inputs!$K$5:$AJ$170,0,MATCH(J$2,Inputs!$K$4:$AJ$4,0)))+SUMPRODUCT((Inputs!$C$5:$C$170=$B72)*Inputs!$D$5:$D$170*(((Inputs!$G$5:$G$170="moeda")+(Inputs!$G$5:$G$170="acoes"))*Inputs!$B$1+((Inputs!$G$5:$G$170&lt;&gt;"moeda")*(Inputs!$G$5:$G$170&lt;&gt;"acoes")))*INDEX(Inputs!$K$5:$AJ$170,0,MATCH(J$2,Inputs!$K$4:$AJ$4,0)))+SUMPRODUCT((Inputs!$E$5:$E$170=$B72)*Inputs!$F$5:$F$170*(((Inputs!$G$5:$G$170="moeda")+(Inputs!$G$5:$G$170="acoes"))*Inputs!$B$1+((Inputs!$G$5:$G$170&lt;&gt;"moeda")*(Inputs!$G$5:$G$170&lt;&gt;"acoes")))*INDEX(Inputs!$K$5:$AJ$170,0,MATCH(J$2,Inputs!$K$4:$AJ$4,0)))))</f>
        <v>32840</v>
      </c>
      <c r="K72" s="266">
        <f>IF(ISNA(MATCH(K$2,Inputs!$K$4:$AJ$4,0)),NA(),IF(SUMPRODUCT((Inputs!$A$5:$A$170=$B72)*ISNUMBER(INDEX(Inputs!$K$5:$AJ$170,0,MATCH(K$2,Inputs!$K$4:$AJ$4,0))))+SUMPRODUCT((Inputs!$C$5:$C$170=$B72)*ISNUMBER(INDEX(Inputs!$K$5:$AJ$170,0,MATCH(K$2,Inputs!$K$4:$AJ$4,0))))+SUMPRODUCT((Inputs!$E$5:$E$170=$B72)*ISNUMBER(INDEX(Inputs!$K$5:$AJ$170,0,MATCH(K$2,Inputs!$K$4:$AJ$4,0))))=0,NA(),SUMPRODUCT((Inputs!$A$5:$A$170=$B72)*Inputs!$B$5:$B$170*(((Inputs!$G$5:$G$170="moeda")+(Inputs!$G$5:$G$170="acoes"))*Inputs!$B$1+((Inputs!$G$5:$G$170&lt;&gt;"moeda")*(Inputs!$G$5:$G$170&lt;&gt;"acoes")))*INDEX(Inputs!$K$5:$AJ$170,0,MATCH(K$2,Inputs!$K$4:$AJ$4,0)))+SUMPRODUCT((Inputs!$C$5:$C$170=$B72)*Inputs!$D$5:$D$170*(((Inputs!$G$5:$G$170="moeda")+(Inputs!$G$5:$G$170="acoes"))*Inputs!$B$1+((Inputs!$G$5:$G$170&lt;&gt;"moeda")*(Inputs!$G$5:$G$170&lt;&gt;"acoes")))*INDEX(Inputs!$K$5:$AJ$170,0,MATCH(K$2,Inputs!$K$4:$AJ$4,0)))+SUMPRODUCT((Inputs!$E$5:$E$170=$B72)*Inputs!$F$5:$F$170*(((Inputs!$G$5:$G$170="moeda")+(Inputs!$G$5:$G$170="acoes"))*Inputs!$B$1+((Inputs!$G$5:$G$170&lt;&gt;"moeda")*(Inputs!$G$5:$G$170&lt;&gt;"acoes")))*INDEX(Inputs!$K$5:$AJ$170,0,MATCH(K$2,Inputs!$K$4:$AJ$4,0)))))</f>
        <v>27096</v>
      </c>
      <c r="L72" s="266">
        <f>IF(ISNA(MATCH(L$2,Inputs!$K$4:$AJ$4,0)),NA(),IF(SUMPRODUCT((Inputs!$A$5:$A$170=$B72)*ISNUMBER(INDEX(Inputs!$K$5:$AJ$170,0,MATCH(L$2,Inputs!$K$4:$AJ$4,0))))+SUMPRODUCT((Inputs!$C$5:$C$170=$B72)*ISNUMBER(INDEX(Inputs!$K$5:$AJ$170,0,MATCH(L$2,Inputs!$K$4:$AJ$4,0))))+SUMPRODUCT((Inputs!$E$5:$E$170=$B72)*ISNUMBER(INDEX(Inputs!$K$5:$AJ$170,0,MATCH(L$2,Inputs!$K$4:$AJ$4,0))))=0,NA(),SUMPRODUCT((Inputs!$A$5:$A$170=$B72)*Inputs!$B$5:$B$170*(((Inputs!$G$5:$G$170="moeda")+(Inputs!$G$5:$G$170="acoes"))*Inputs!$B$1+((Inputs!$G$5:$G$170&lt;&gt;"moeda")*(Inputs!$G$5:$G$170&lt;&gt;"acoes")))*INDEX(Inputs!$K$5:$AJ$170,0,MATCH(L$2,Inputs!$K$4:$AJ$4,0)))+SUMPRODUCT((Inputs!$C$5:$C$170=$B72)*Inputs!$D$5:$D$170*(((Inputs!$G$5:$G$170="moeda")+(Inputs!$G$5:$G$170="acoes"))*Inputs!$B$1+((Inputs!$G$5:$G$170&lt;&gt;"moeda")*(Inputs!$G$5:$G$170&lt;&gt;"acoes")))*INDEX(Inputs!$K$5:$AJ$170,0,MATCH(L$2,Inputs!$K$4:$AJ$4,0)))+SUMPRODUCT((Inputs!$E$5:$E$170=$B72)*Inputs!$F$5:$F$170*(((Inputs!$G$5:$G$170="moeda")+(Inputs!$G$5:$G$170="acoes"))*Inputs!$B$1+((Inputs!$G$5:$G$170&lt;&gt;"moeda")*(Inputs!$G$5:$G$170&lt;&gt;"acoes")))*INDEX(Inputs!$K$5:$AJ$170,0,MATCH(L$2,Inputs!$K$4:$AJ$4,0)))))</f>
        <v>27209</v>
      </c>
      <c r="M72" s="267">
        <f>SUM(I72:L72)</f>
        <v>108347</v>
      </c>
      <c r="N72" s="266">
        <f>IF(ISNA(MATCH(N$2,Inputs!$K$4:$AJ$4,0)),NA(),IF(SUMPRODUCT((Inputs!$A$5:$A$170=$B72)*ISNUMBER(INDEX(Inputs!$K$5:$AJ$170,0,MATCH(N$2,Inputs!$K$4:$AJ$4,0))))+SUMPRODUCT((Inputs!$C$5:$C$170=$B72)*ISNUMBER(INDEX(Inputs!$K$5:$AJ$170,0,MATCH(N$2,Inputs!$K$4:$AJ$4,0))))+SUMPRODUCT((Inputs!$E$5:$E$170=$B72)*ISNUMBER(INDEX(Inputs!$K$5:$AJ$170,0,MATCH(N$2,Inputs!$K$4:$AJ$4,0))))=0,NA(),SUMPRODUCT((Inputs!$A$5:$A$170=$B72)*Inputs!$B$5:$B$170*(((Inputs!$G$5:$G$170="moeda")+(Inputs!$G$5:$G$170="acoes"))*Inputs!$B$1+((Inputs!$G$5:$G$170&lt;&gt;"moeda")*(Inputs!$G$5:$G$170&lt;&gt;"acoes")))*INDEX(Inputs!$K$5:$AJ$170,0,MATCH(N$2,Inputs!$K$4:$AJ$4,0)))+SUMPRODUCT((Inputs!$C$5:$C$170=$B72)*Inputs!$D$5:$D$170*(((Inputs!$G$5:$G$170="moeda")+(Inputs!$G$5:$G$170="acoes"))*Inputs!$B$1+((Inputs!$G$5:$G$170&lt;&gt;"moeda")*(Inputs!$G$5:$G$170&lt;&gt;"acoes")))*INDEX(Inputs!$K$5:$AJ$170,0,MATCH(N$2,Inputs!$K$4:$AJ$4,0)))+SUMPRODUCT((Inputs!$E$5:$E$170=$B72)*Inputs!$F$5:$F$170*(((Inputs!$G$5:$G$170="moeda")+(Inputs!$G$5:$G$170="acoes"))*Inputs!$B$1+((Inputs!$G$5:$G$170&lt;&gt;"moeda")*(Inputs!$G$5:$G$170&lt;&gt;"acoes")))*INDEX(Inputs!$K$5:$AJ$170,0,MATCH(N$2,Inputs!$K$4:$AJ$4,0)))))</f>
        <v>8899</v>
      </c>
      <c r="O72" s="266">
        <f>IF(ISNA(MATCH(O$2,Inputs!$K$4:$AJ$4,0)),NA(),IF(SUMPRODUCT((Inputs!$A$5:$A$170=$B72)*ISNUMBER(INDEX(Inputs!$K$5:$AJ$170,0,MATCH(O$2,Inputs!$K$4:$AJ$4,0))))+SUMPRODUCT((Inputs!$C$5:$C$170=$B72)*ISNUMBER(INDEX(Inputs!$K$5:$AJ$170,0,MATCH(O$2,Inputs!$K$4:$AJ$4,0))))+SUMPRODUCT((Inputs!$E$5:$E$170=$B72)*ISNUMBER(INDEX(Inputs!$K$5:$AJ$170,0,MATCH(O$2,Inputs!$K$4:$AJ$4,0))))=0,NA(),SUMPRODUCT((Inputs!$A$5:$A$170=$B72)*Inputs!$B$5:$B$170*(((Inputs!$G$5:$G$170="moeda")+(Inputs!$G$5:$G$170="acoes"))*Inputs!$B$1+((Inputs!$G$5:$G$170&lt;&gt;"moeda")*(Inputs!$G$5:$G$170&lt;&gt;"acoes")))*INDEX(Inputs!$K$5:$AJ$170,0,MATCH(O$2,Inputs!$K$4:$AJ$4,0)))+SUMPRODUCT((Inputs!$C$5:$C$170=$B72)*Inputs!$D$5:$D$170*(((Inputs!$G$5:$G$170="moeda")+(Inputs!$G$5:$G$170="acoes"))*Inputs!$B$1+((Inputs!$G$5:$G$170&lt;&gt;"moeda")*(Inputs!$G$5:$G$170&lt;&gt;"acoes")))*INDEX(Inputs!$K$5:$AJ$170,0,MATCH(O$2,Inputs!$K$4:$AJ$4,0)))+SUMPRODUCT((Inputs!$E$5:$E$170=$B72)*Inputs!$F$5:$F$170*(((Inputs!$G$5:$G$170="moeda")+(Inputs!$G$5:$G$170="acoes"))*Inputs!$B$1+((Inputs!$G$5:$G$170&lt;&gt;"moeda")*(Inputs!$G$5:$G$170&lt;&gt;"acoes")))*INDEX(Inputs!$K$5:$AJ$170,0,MATCH(O$2,Inputs!$K$4:$AJ$4,0)))))</f>
        <v>11971</v>
      </c>
      <c r="P72" s="266">
        <f>IF(ISNA(MATCH(P$2,Inputs!$K$4:$AJ$4,0)),NA(),IF(SUMPRODUCT((Inputs!$A$5:$A$170=$B72)*ISNUMBER(INDEX(Inputs!$K$5:$AJ$170,0,MATCH(P$2,Inputs!$K$4:$AJ$4,0))))+SUMPRODUCT((Inputs!$C$5:$C$170=$B72)*ISNUMBER(INDEX(Inputs!$K$5:$AJ$170,0,MATCH(P$2,Inputs!$K$4:$AJ$4,0))))+SUMPRODUCT((Inputs!$E$5:$E$170=$B72)*ISNUMBER(INDEX(Inputs!$K$5:$AJ$170,0,MATCH(P$2,Inputs!$K$4:$AJ$4,0))))=0,NA(),SUMPRODUCT((Inputs!$A$5:$A$170=$B72)*Inputs!$B$5:$B$170*(((Inputs!$G$5:$G$170="moeda")+(Inputs!$G$5:$G$170="acoes"))*Inputs!$B$1+((Inputs!$G$5:$G$170&lt;&gt;"moeda")*(Inputs!$G$5:$G$170&lt;&gt;"acoes")))*INDEX(Inputs!$K$5:$AJ$170,0,MATCH(P$2,Inputs!$K$4:$AJ$4,0)))+SUMPRODUCT((Inputs!$C$5:$C$170=$B72)*Inputs!$D$5:$D$170*(((Inputs!$G$5:$G$170="moeda")+(Inputs!$G$5:$G$170="acoes"))*Inputs!$B$1+((Inputs!$G$5:$G$170&lt;&gt;"moeda")*(Inputs!$G$5:$G$170&lt;&gt;"acoes")))*INDEX(Inputs!$K$5:$AJ$170,0,MATCH(P$2,Inputs!$K$4:$AJ$4,0)))+SUMPRODUCT((Inputs!$E$5:$E$170=$B72)*Inputs!$F$5:$F$170*(((Inputs!$G$5:$G$170="moeda")+(Inputs!$G$5:$G$170="acoes"))*Inputs!$B$1+((Inputs!$G$5:$G$170&lt;&gt;"moeda")*(Inputs!$G$5:$G$170&lt;&gt;"acoes")))*INDEX(Inputs!$K$5:$AJ$170,0,MATCH(P$2,Inputs!$K$4:$AJ$4,0)))))</f>
        <v>29802</v>
      </c>
      <c r="Q72" s="266">
        <f>IF(ISNA(MATCH(Q$2,Inputs!$K$4:$AJ$4,0)),NA(),IF(SUMPRODUCT((Inputs!$A$5:$A$170=$B72)*ISNUMBER(INDEX(Inputs!$K$5:$AJ$170,0,MATCH(Q$2,Inputs!$K$4:$AJ$4,0))))+SUMPRODUCT((Inputs!$C$5:$C$170=$B72)*ISNUMBER(INDEX(Inputs!$K$5:$AJ$170,0,MATCH(Q$2,Inputs!$K$4:$AJ$4,0))))+SUMPRODUCT((Inputs!$E$5:$E$170=$B72)*ISNUMBER(INDEX(Inputs!$K$5:$AJ$170,0,MATCH(Q$2,Inputs!$K$4:$AJ$4,0))))=0,NA(),SUMPRODUCT((Inputs!$A$5:$A$170=$B72)*Inputs!$B$5:$B$170*(((Inputs!$G$5:$G$170="moeda")+(Inputs!$G$5:$G$170="acoes"))*Inputs!$B$1+((Inputs!$G$5:$G$170&lt;&gt;"moeda")*(Inputs!$G$5:$G$170&lt;&gt;"acoes")))*INDEX(Inputs!$K$5:$AJ$170,0,MATCH(Q$2,Inputs!$K$4:$AJ$4,0)))+SUMPRODUCT((Inputs!$C$5:$C$170=$B72)*Inputs!$D$5:$D$170*(((Inputs!$G$5:$G$170="moeda")+(Inputs!$G$5:$G$170="acoes"))*Inputs!$B$1+((Inputs!$G$5:$G$170&lt;&gt;"moeda")*(Inputs!$G$5:$G$170&lt;&gt;"acoes")))*INDEX(Inputs!$K$5:$AJ$170,0,MATCH(Q$2,Inputs!$K$4:$AJ$4,0)))+SUMPRODUCT((Inputs!$E$5:$E$170=$B72)*Inputs!$F$5:$F$170*(((Inputs!$G$5:$G$170="moeda")+(Inputs!$G$5:$G$170="acoes"))*Inputs!$B$1+((Inputs!$G$5:$G$170&lt;&gt;"moeda")*(Inputs!$G$5:$G$170&lt;&gt;"acoes")))*INDEX(Inputs!$K$5:$AJ$170,0,MATCH(Q$2,Inputs!$K$4:$AJ$4,0)))))</f>
        <v>48289</v>
      </c>
      <c r="R72" s="267">
        <f>SUM(N72:Q72)</f>
        <v>98961</v>
      </c>
      <c r="S72" s="266">
        <f>IF(ISNA(MATCH(S$2,Inputs!$K$4:$AJ$4,0)),NA(),IF(SUMPRODUCT((Inputs!$A$5:$A$170=$B72)*ISNUMBER(INDEX(Inputs!$K$5:$AJ$170,0,MATCH(S$2,Inputs!$K$4:$AJ$4,0))))+SUMPRODUCT((Inputs!$C$5:$C$170=$B72)*ISNUMBER(INDEX(Inputs!$K$5:$AJ$170,0,MATCH(S$2,Inputs!$K$4:$AJ$4,0))))+SUMPRODUCT((Inputs!$E$5:$E$170=$B72)*ISNUMBER(INDEX(Inputs!$K$5:$AJ$170,0,MATCH(S$2,Inputs!$K$4:$AJ$4,0))))=0,NA(),SUMPRODUCT((Inputs!$A$5:$A$170=$B72)*Inputs!$B$5:$B$170*(((Inputs!$G$5:$G$170="moeda")+(Inputs!$G$5:$G$170="acoes"))*Inputs!$B$1+((Inputs!$G$5:$G$170&lt;&gt;"moeda")*(Inputs!$G$5:$G$170&lt;&gt;"acoes")))*INDEX(Inputs!$K$5:$AJ$170,0,MATCH(S$2,Inputs!$K$4:$AJ$4,0)))+SUMPRODUCT((Inputs!$C$5:$C$170=$B72)*Inputs!$D$5:$D$170*(((Inputs!$G$5:$G$170="moeda")+(Inputs!$G$5:$G$170="acoes"))*Inputs!$B$1+((Inputs!$G$5:$G$170&lt;&gt;"moeda")*(Inputs!$G$5:$G$170&lt;&gt;"acoes")))*INDEX(Inputs!$K$5:$AJ$170,0,MATCH(S$2,Inputs!$K$4:$AJ$4,0)))+SUMPRODUCT((Inputs!$E$5:$E$170=$B72)*Inputs!$F$5:$F$170*(((Inputs!$G$5:$G$170="moeda")+(Inputs!$G$5:$G$170="acoes"))*Inputs!$B$1+((Inputs!$G$5:$G$170&lt;&gt;"moeda")*(Inputs!$G$5:$G$170&lt;&gt;"acoes")))*INDEX(Inputs!$K$5:$AJ$170,0,MATCH(S$2,Inputs!$K$4:$AJ$4,0)))))</f>
        <v>26141</v>
      </c>
      <c r="T72" s="266">
        <f>IF(ISNA(MATCH(T$2,Inputs!$K$4:$AJ$4,0)),NA(),IF(SUMPRODUCT((Inputs!$A$5:$A$170=$B72)*ISNUMBER(INDEX(Inputs!$K$5:$AJ$170,0,MATCH(T$2,Inputs!$K$4:$AJ$4,0))))+SUMPRODUCT((Inputs!$C$5:$C$170=$B72)*ISNUMBER(INDEX(Inputs!$K$5:$AJ$170,0,MATCH(T$2,Inputs!$K$4:$AJ$4,0))))+SUMPRODUCT((Inputs!$E$5:$E$170=$B72)*ISNUMBER(INDEX(Inputs!$K$5:$AJ$170,0,MATCH(T$2,Inputs!$K$4:$AJ$4,0))))=0,NA(),SUMPRODUCT((Inputs!$A$5:$A$170=$B72)*Inputs!$B$5:$B$170*(((Inputs!$G$5:$G$170="moeda")+(Inputs!$G$5:$G$170="acoes"))*Inputs!$B$1+((Inputs!$G$5:$G$170&lt;&gt;"moeda")*(Inputs!$G$5:$G$170&lt;&gt;"acoes")))*INDEX(Inputs!$K$5:$AJ$170,0,MATCH(T$2,Inputs!$K$4:$AJ$4,0)))+SUMPRODUCT((Inputs!$C$5:$C$170=$B72)*Inputs!$D$5:$D$170*(((Inputs!$G$5:$G$170="moeda")+(Inputs!$G$5:$G$170="acoes"))*Inputs!$B$1+((Inputs!$G$5:$G$170&lt;&gt;"moeda")*(Inputs!$G$5:$G$170&lt;&gt;"acoes")))*INDEX(Inputs!$K$5:$AJ$170,0,MATCH(T$2,Inputs!$K$4:$AJ$4,0)))+SUMPRODUCT((Inputs!$E$5:$E$170=$B72)*Inputs!$F$5:$F$170*(((Inputs!$G$5:$G$170="moeda")+(Inputs!$G$5:$G$170="acoes"))*Inputs!$B$1+((Inputs!$G$5:$G$170&lt;&gt;"moeda")*(Inputs!$G$5:$G$170&lt;&gt;"acoes")))*INDEX(Inputs!$K$5:$AJ$170,0,MATCH(T$2,Inputs!$K$4:$AJ$4,0)))))</f>
        <v>29647</v>
      </c>
      <c r="U72" s="266">
        <f>IF(ISNA(MATCH(U$2,Inputs!$K$4:$AJ$4,0)),NA(),IF(SUMPRODUCT((Inputs!$A$5:$A$170=$B72)*ISNUMBER(INDEX(Inputs!$K$5:$AJ$170,0,MATCH(U$2,Inputs!$K$4:$AJ$4,0))))+SUMPRODUCT((Inputs!$C$5:$C$170=$B72)*ISNUMBER(INDEX(Inputs!$K$5:$AJ$170,0,MATCH(U$2,Inputs!$K$4:$AJ$4,0))))+SUMPRODUCT((Inputs!$E$5:$E$170=$B72)*ISNUMBER(INDEX(Inputs!$K$5:$AJ$170,0,MATCH(U$2,Inputs!$K$4:$AJ$4,0))))=0,NA(),SUMPRODUCT((Inputs!$A$5:$A$170=$B72)*Inputs!$B$5:$B$170*(((Inputs!$G$5:$G$170="moeda")+(Inputs!$G$5:$G$170="acoes"))*Inputs!$B$1+((Inputs!$G$5:$G$170&lt;&gt;"moeda")*(Inputs!$G$5:$G$170&lt;&gt;"acoes")))*INDEX(Inputs!$K$5:$AJ$170,0,MATCH(U$2,Inputs!$K$4:$AJ$4,0)))+SUMPRODUCT((Inputs!$C$5:$C$170=$B72)*Inputs!$D$5:$D$170*(((Inputs!$G$5:$G$170="moeda")+(Inputs!$G$5:$G$170="acoes"))*Inputs!$B$1+((Inputs!$G$5:$G$170&lt;&gt;"moeda")*(Inputs!$G$5:$G$170&lt;&gt;"acoes")))*INDEX(Inputs!$K$5:$AJ$170,0,MATCH(U$2,Inputs!$K$4:$AJ$4,0)))+SUMPRODUCT((Inputs!$E$5:$E$170=$B72)*Inputs!$F$5:$F$170*(((Inputs!$G$5:$G$170="moeda")+(Inputs!$G$5:$G$170="acoes"))*Inputs!$B$1+((Inputs!$G$5:$G$170&lt;&gt;"moeda")*(Inputs!$G$5:$G$170&lt;&gt;"acoes")))*INDEX(Inputs!$K$5:$AJ$170,0,MATCH(U$2,Inputs!$K$4:$AJ$4,0)))))</f>
        <v>33081</v>
      </c>
      <c r="V72" s="266">
        <f>IF(ISNA(MATCH(V$2,Inputs!$K$4:$AJ$4,0)),NA(),IF(SUMPRODUCT((Inputs!$A$5:$A$170=$B72)*ISNUMBER(INDEX(Inputs!$K$5:$AJ$170,0,MATCH(V$2,Inputs!$K$4:$AJ$4,0))))+SUMPRODUCT((Inputs!$C$5:$C$170=$B72)*ISNUMBER(INDEX(Inputs!$K$5:$AJ$170,0,MATCH(V$2,Inputs!$K$4:$AJ$4,0))))+SUMPRODUCT((Inputs!$E$5:$E$170=$B72)*ISNUMBER(INDEX(Inputs!$K$5:$AJ$170,0,MATCH(V$2,Inputs!$K$4:$AJ$4,0))))=0,NA(),SUMPRODUCT((Inputs!$A$5:$A$170=$B72)*Inputs!$B$5:$B$170*(((Inputs!$G$5:$G$170="moeda")+(Inputs!$G$5:$G$170="acoes"))*Inputs!$B$1+((Inputs!$G$5:$G$170&lt;&gt;"moeda")*(Inputs!$G$5:$G$170&lt;&gt;"acoes")))*INDEX(Inputs!$K$5:$AJ$170,0,MATCH(V$2,Inputs!$K$4:$AJ$4,0)))+SUMPRODUCT((Inputs!$C$5:$C$170=$B72)*Inputs!$D$5:$D$170*(((Inputs!$G$5:$G$170="moeda")+(Inputs!$G$5:$G$170="acoes"))*Inputs!$B$1+((Inputs!$G$5:$G$170&lt;&gt;"moeda")*(Inputs!$G$5:$G$170&lt;&gt;"acoes")))*INDEX(Inputs!$K$5:$AJ$170,0,MATCH(V$2,Inputs!$K$4:$AJ$4,0)))+SUMPRODUCT((Inputs!$E$5:$E$170=$B72)*Inputs!$F$5:$F$170*(((Inputs!$G$5:$G$170="moeda")+(Inputs!$G$5:$G$170="acoes"))*Inputs!$B$1+((Inputs!$G$5:$G$170&lt;&gt;"moeda")*(Inputs!$G$5:$G$170&lt;&gt;"acoes")))*INDEX(Inputs!$K$5:$AJ$170,0,MATCH(V$2,Inputs!$K$4:$AJ$4,0)))))</f>
        <v>45949</v>
      </c>
      <c r="W72" s="267">
        <f>SUM(S72:V72)</f>
        <v>134818</v>
      </c>
      <c r="X72" s="266">
        <f>IF(ISNA(MATCH(X$2,Inputs!$K$4:$AJ$4,0)),NA(),IF(SUMPRODUCT((Inputs!$A$5:$A$170=$B72)*ISNUMBER(INDEX(Inputs!$K$5:$AJ$170,0,MATCH(X$2,Inputs!$K$4:$AJ$4,0))))+SUMPRODUCT((Inputs!$C$5:$C$170=$B72)*ISNUMBER(INDEX(Inputs!$K$5:$AJ$170,0,MATCH(X$2,Inputs!$K$4:$AJ$4,0))))+SUMPRODUCT((Inputs!$E$5:$E$170=$B72)*ISNUMBER(INDEX(Inputs!$K$5:$AJ$170,0,MATCH(X$2,Inputs!$K$4:$AJ$4,0))))=0,NA(),SUMPRODUCT((Inputs!$A$5:$A$170=$B72)*Inputs!$B$5:$B$170*(((Inputs!$G$5:$G$170="moeda")+(Inputs!$G$5:$G$170="acoes"))*Inputs!$B$1+((Inputs!$G$5:$G$170&lt;&gt;"moeda")*(Inputs!$G$5:$G$170&lt;&gt;"acoes")))*INDEX(Inputs!$K$5:$AJ$170,0,MATCH(X$2,Inputs!$K$4:$AJ$4,0)))+SUMPRODUCT((Inputs!$C$5:$C$170=$B72)*Inputs!$D$5:$D$170*(((Inputs!$G$5:$G$170="moeda")+(Inputs!$G$5:$G$170="acoes"))*Inputs!$B$1+((Inputs!$G$5:$G$170&lt;&gt;"moeda")*(Inputs!$G$5:$G$170&lt;&gt;"acoes")))*INDEX(Inputs!$K$5:$AJ$170,0,MATCH(X$2,Inputs!$K$4:$AJ$4,0)))+SUMPRODUCT((Inputs!$E$5:$E$170=$B72)*Inputs!$F$5:$F$170*(((Inputs!$G$5:$G$170="moeda")+(Inputs!$G$5:$G$170="acoes"))*Inputs!$B$1+((Inputs!$G$5:$G$170&lt;&gt;"moeda")*(Inputs!$G$5:$G$170&lt;&gt;"acoes")))*INDEX(Inputs!$K$5:$AJ$170,0,MATCH(X$2,Inputs!$K$4:$AJ$4,0)))))</f>
        <v>16643</v>
      </c>
      <c r="Y72" s="266">
        <f>IF(ISNA(MATCH(Y$2,Inputs!$K$4:$AJ$4,0)),NA(),IF(SUMPRODUCT((Inputs!$A$5:$A$170=$B72)*ISNUMBER(INDEX(Inputs!$K$5:$AJ$170,0,MATCH(Y$2,Inputs!$K$4:$AJ$4,0))))+SUMPRODUCT((Inputs!$C$5:$C$170=$B72)*ISNUMBER(INDEX(Inputs!$K$5:$AJ$170,0,MATCH(Y$2,Inputs!$K$4:$AJ$4,0))))+SUMPRODUCT((Inputs!$E$5:$E$170=$B72)*ISNUMBER(INDEX(Inputs!$K$5:$AJ$170,0,MATCH(Y$2,Inputs!$K$4:$AJ$4,0))))=0,NA(),SUMPRODUCT((Inputs!$A$5:$A$170=$B72)*Inputs!$B$5:$B$170*(((Inputs!$G$5:$G$170="moeda")+(Inputs!$G$5:$G$170="acoes"))*Inputs!$B$1+((Inputs!$G$5:$G$170&lt;&gt;"moeda")*(Inputs!$G$5:$G$170&lt;&gt;"acoes")))*INDEX(Inputs!$K$5:$AJ$170,0,MATCH(Y$2,Inputs!$K$4:$AJ$4,0)))+SUMPRODUCT((Inputs!$C$5:$C$170=$B72)*Inputs!$D$5:$D$170*(((Inputs!$G$5:$G$170="moeda")+(Inputs!$G$5:$G$170="acoes"))*Inputs!$B$1+((Inputs!$G$5:$G$170&lt;&gt;"moeda")*(Inputs!$G$5:$G$170&lt;&gt;"acoes")))*INDEX(Inputs!$K$5:$AJ$170,0,MATCH(Y$2,Inputs!$K$4:$AJ$4,0)))+SUMPRODUCT((Inputs!$E$5:$E$170=$B72)*Inputs!$F$5:$F$170*(((Inputs!$G$5:$G$170="moeda")+(Inputs!$G$5:$G$170="acoes"))*Inputs!$B$1+((Inputs!$G$5:$G$170&lt;&gt;"moeda")*(Inputs!$G$5:$G$170&lt;&gt;"acoes")))*INDEX(Inputs!$K$5:$AJ$170,0,MATCH(Y$2,Inputs!$K$4:$AJ$4,0)))))</f>
        <v>28084</v>
      </c>
      <c r="Z72" s="266">
        <f>IF(ISNA(MATCH(Z$2,Inputs!$K$4:$AJ$4,0)),NA(),IF(SUMPRODUCT((Inputs!$A$5:$A$170=$B72)*ISNUMBER(INDEX(Inputs!$K$5:$AJ$170,0,MATCH(Z$2,Inputs!$K$4:$AJ$4,0))))+SUMPRODUCT((Inputs!$C$5:$C$170=$B72)*ISNUMBER(INDEX(Inputs!$K$5:$AJ$170,0,MATCH(Z$2,Inputs!$K$4:$AJ$4,0))))+SUMPRODUCT((Inputs!$E$5:$E$170=$B72)*ISNUMBER(INDEX(Inputs!$K$5:$AJ$170,0,MATCH(Z$2,Inputs!$K$4:$AJ$4,0))))=0,NA(),SUMPRODUCT((Inputs!$A$5:$A$170=$B72)*Inputs!$B$5:$B$170*(((Inputs!$G$5:$G$170="moeda")+(Inputs!$G$5:$G$170="acoes"))*Inputs!$B$1+((Inputs!$G$5:$G$170&lt;&gt;"moeda")*(Inputs!$G$5:$G$170&lt;&gt;"acoes")))*INDEX(Inputs!$K$5:$AJ$170,0,MATCH(Z$2,Inputs!$K$4:$AJ$4,0)))+SUMPRODUCT((Inputs!$C$5:$C$170=$B72)*Inputs!$D$5:$D$170*(((Inputs!$G$5:$G$170="moeda")+(Inputs!$G$5:$G$170="acoes"))*Inputs!$B$1+((Inputs!$G$5:$G$170&lt;&gt;"moeda")*(Inputs!$G$5:$G$170&lt;&gt;"acoes")))*INDEX(Inputs!$K$5:$AJ$170,0,MATCH(Z$2,Inputs!$K$4:$AJ$4,0)))+SUMPRODUCT((Inputs!$E$5:$E$170=$B72)*Inputs!$F$5:$F$170*(((Inputs!$G$5:$G$170="moeda")+(Inputs!$G$5:$G$170="acoes"))*Inputs!$B$1+((Inputs!$G$5:$G$170&lt;&gt;"moeda")*(Inputs!$G$5:$G$170&lt;&gt;"acoes")))*INDEX(Inputs!$K$5:$AJ$170,0,MATCH(Z$2,Inputs!$K$4:$AJ$4,0)))))</f>
        <v>21947</v>
      </c>
      <c r="AA72" s="266">
        <f>IF(ISNA(MATCH(AA$2,Inputs!$K$4:$AJ$4,0)),NA(),IF(SUMPRODUCT((Inputs!$A$5:$A$170=$B72)*ISNUMBER(INDEX(Inputs!$K$5:$AJ$170,0,MATCH(AA$2,Inputs!$K$4:$AJ$4,0))))+SUMPRODUCT((Inputs!$C$5:$C$170=$B72)*ISNUMBER(INDEX(Inputs!$K$5:$AJ$170,0,MATCH(AA$2,Inputs!$K$4:$AJ$4,0))))+SUMPRODUCT((Inputs!$E$5:$E$170=$B72)*ISNUMBER(INDEX(Inputs!$K$5:$AJ$170,0,MATCH(AA$2,Inputs!$K$4:$AJ$4,0))))=0,NA(),SUMPRODUCT((Inputs!$A$5:$A$170=$B72)*Inputs!$B$5:$B$170*(((Inputs!$G$5:$G$170="moeda")+(Inputs!$G$5:$G$170="acoes"))*Inputs!$B$1+((Inputs!$G$5:$G$170&lt;&gt;"moeda")*(Inputs!$G$5:$G$170&lt;&gt;"acoes")))*INDEX(Inputs!$K$5:$AJ$170,0,MATCH(AA$2,Inputs!$K$4:$AJ$4,0)))+SUMPRODUCT((Inputs!$C$5:$C$170=$B72)*Inputs!$D$5:$D$170*(((Inputs!$G$5:$G$170="moeda")+(Inputs!$G$5:$G$170="acoes"))*Inputs!$B$1+((Inputs!$G$5:$G$170&lt;&gt;"moeda")*(Inputs!$G$5:$G$170&lt;&gt;"acoes")))*INDEX(Inputs!$K$5:$AJ$170,0,MATCH(AA$2,Inputs!$K$4:$AJ$4,0)))+SUMPRODUCT((Inputs!$E$5:$E$170=$B72)*Inputs!$F$5:$F$170*(((Inputs!$G$5:$G$170="moeda")+(Inputs!$G$5:$G$170="acoes"))*Inputs!$B$1+((Inputs!$G$5:$G$170&lt;&gt;"moeda")*(Inputs!$G$5:$G$170&lt;&gt;"acoes")))*INDEX(Inputs!$K$5:$AJ$170,0,MATCH(AA$2,Inputs!$K$4:$AJ$4,0)))))</f>
        <v>40352</v>
      </c>
      <c r="AB72" s="267">
        <f>SUM(X72:AA72)</f>
        <v>107026</v>
      </c>
      <c r="AC72" s="266">
        <f>IF(ISNA(MATCH(AC$2,Inputs!$K$4:$AJ$4,0)),NA(),IF(SUMPRODUCT((Inputs!$A$5:$A$170=$B72)*ISNUMBER(INDEX(Inputs!$K$5:$AJ$170,0,MATCH(AC$2,Inputs!$K$4:$AJ$4,0))))+SUMPRODUCT((Inputs!$C$5:$C$170=$B72)*ISNUMBER(INDEX(Inputs!$K$5:$AJ$170,0,MATCH(AC$2,Inputs!$K$4:$AJ$4,0))))+SUMPRODUCT((Inputs!$E$5:$E$170=$B72)*ISNUMBER(INDEX(Inputs!$K$5:$AJ$170,0,MATCH(AC$2,Inputs!$K$4:$AJ$4,0))))=0,NA(),SUMPRODUCT((Inputs!$A$5:$A$170=$B72)*Inputs!$B$5:$B$170*(((Inputs!$G$5:$G$170="moeda")+(Inputs!$G$5:$G$170="acoes"))*Inputs!$B$1+((Inputs!$G$5:$G$170&lt;&gt;"moeda")*(Inputs!$G$5:$G$170&lt;&gt;"acoes")))*INDEX(Inputs!$K$5:$AJ$170,0,MATCH(AC$2,Inputs!$K$4:$AJ$4,0)))+SUMPRODUCT((Inputs!$C$5:$C$170=$B72)*Inputs!$D$5:$D$170*(((Inputs!$G$5:$G$170="moeda")+(Inputs!$G$5:$G$170="acoes"))*Inputs!$B$1+((Inputs!$G$5:$G$170&lt;&gt;"moeda")*(Inputs!$G$5:$G$170&lt;&gt;"acoes")))*INDEX(Inputs!$K$5:$AJ$170,0,MATCH(AC$2,Inputs!$K$4:$AJ$4,0)))+SUMPRODUCT((Inputs!$E$5:$E$170=$B72)*Inputs!$F$5:$F$170*(((Inputs!$G$5:$G$170="moeda")+(Inputs!$G$5:$G$170="acoes"))*Inputs!$B$1+((Inputs!$G$5:$G$170&lt;&gt;"moeda")*(Inputs!$G$5:$G$170&lt;&gt;"acoes")))*INDEX(Inputs!$K$5:$AJ$170,0,MATCH(AC$2,Inputs!$K$4:$AJ$4,0)))))</f>
        <v>14588</v>
      </c>
      <c r="AD72" s="266">
        <f>IF(ISNA(MATCH(AD$2,Inputs!$K$4:$AJ$4,0)),NA(),IF(SUMPRODUCT((Inputs!$A$5:$A$170=$B72)*ISNUMBER(INDEX(Inputs!$K$5:$AJ$170,0,MATCH(AD$2,Inputs!$K$4:$AJ$4,0))))+SUMPRODUCT((Inputs!$C$5:$C$170=$B72)*ISNUMBER(INDEX(Inputs!$K$5:$AJ$170,0,MATCH(AD$2,Inputs!$K$4:$AJ$4,0))))+SUMPRODUCT((Inputs!$E$5:$E$170=$B72)*ISNUMBER(INDEX(Inputs!$K$5:$AJ$170,0,MATCH(AD$2,Inputs!$K$4:$AJ$4,0))))=0,NA(),SUMPRODUCT((Inputs!$A$5:$A$170=$B72)*Inputs!$B$5:$B$170*(((Inputs!$G$5:$G$170="moeda")+(Inputs!$G$5:$G$170="acoes"))*Inputs!$B$1+((Inputs!$G$5:$G$170&lt;&gt;"moeda")*(Inputs!$G$5:$G$170&lt;&gt;"acoes")))*INDEX(Inputs!$K$5:$AJ$170,0,MATCH(AD$2,Inputs!$K$4:$AJ$4,0)))+SUMPRODUCT((Inputs!$C$5:$C$170=$B72)*Inputs!$D$5:$D$170*(((Inputs!$G$5:$G$170="moeda")+(Inputs!$G$5:$G$170="acoes"))*Inputs!$B$1+((Inputs!$G$5:$G$170&lt;&gt;"moeda")*(Inputs!$G$5:$G$170&lt;&gt;"acoes")))*INDEX(Inputs!$K$5:$AJ$170,0,MATCH(AD$2,Inputs!$K$4:$AJ$4,0)))+SUMPRODUCT((Inputs!$E$5:$E$170=$B72)*Inputs!$F$5:$F$170*(((Inputs!$G$5:$G$170="moeda")+(Inputs!$G$5:$G$170="acoes"))*Inputs!$B$1+((Inputs!$G$5:$G$170&lt;&gt;"moeda")*(Inputs!$G$5:$G$170&lt;&gt;"acoes")))*INDEX(Inputs!$K$5:$AJ$170,0,MATCH(AD$2,Inputs!$K$4:$AJ$4,0)))))</f>
        <v>38613</v>
      </c>
      <c r="AE72" s="266" t="e">
        <f>IF(ISNA(MATCH(AE$2,Inputs!$K$4:$AJ$4,0)),NA(),IF(SUMPRODUCT((Inputs!$A$5:$A$170=$B72)*ISNUMBER(INDEX(Inputs!$K$5:$AJ$170,0,MATCH(AE$2,Inputs!$K$4:$AJ$4,0))))+SUMPRODUCT((Inputs!$C$5:$C$170=$B72)*ISNUMBER(INDEX(Inputs!$K$5:$AJ$170,0,MATCH(AE$2,Inputs!$K$4:$AJ$4,0))))+SUMPRODUCT((Inputs!$E$5:$E$170=$B72)*ISNUMBER(INDEX(Inputs!$K$5:$AJ$170,0,MATCH(AE$2,Inputs!$K$4:$AJ$4,0))))=0,NA(),SUMPRODUCT((Inputs!$A$5:$A$170=$B72)*Inputs!$B$5:$B$170*(((Inputs!$G$5:$G$170="moeda")+(Inputs!$G$5:$G$170="acoes"))*Inputs!$B$1+((Inputs!$G$5:$G$170&lt;&gt;"moeda")*(Inputs!$G$5:$G$170&lt;&gt;"acoes")))*INDEX(Inputs!$K$5:$AJ$170,0,MATCH(AE$2,Inputs!$K$4:$AJ$4,0)))+SUMPRODUCT((Inputs!$C$5:$C$170=$B72)*Inputs!$D$5:$D$170*(((Inputs!$G$5:$G$170="moeda")+(Inputs!$G$5:$G$170="acoes"))*Inputs!$B$1+((Inputs!$G$5:$G$170&lt;&gt;"moeda")*(Inputs!$G$5:$G$170&lt;&gt;"acoes")))*INDEX(Inputs!$K$5:$AJ$170,0,MATCH(AE$2,Inputs!$K$4:$AJ$4,0)))+SUMPRODUCT((Inputs!$E$5:$E$170=$B72)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2" s="266" t="e">
        <f>IF(ISNA(MATCH(AF$2,Inputs!$K$4:$AJ$4,0)),NA(),IF(SUMPRODUCT((Inputs!$A$5:$A$170=$B72)*ISNUMBER(INDEX(Inputs!$K$5:$AJ$170,0,MATCH(AF$2,Inputs!$K$4:$AJ$4,0))))+SUMPRODUCT((Inputs!$C$5:$C$170=$B72)*ISNUMBER(INDEX(Inputs!$K$5:$AJ$170,0,MATCH(AF$2,Inputs!$K$4:$AJ$4,0))))+SUMPRODUCT((Inputs!$E$5:$E$170=$B72)*ISNUMBER(INDEX(Inputs!$K$5:$AJ$170,0,MATCH(AF$2,Inputs!$K$4:$AJ$4,0))))=0,NA(),SUMPRODUCT((Inputs!$A$5:$A$170=$B72)*Inputs!$B$5:$B$170*(((Inputs!$G$5:$G$170="moeda")+(Inputs!$G$5:$G$170="acoes"))*Inputs!$B$1+((Inputs!$G$5:$G$170&lt;&gt;"moeda")*(Inputs!$G$5:$G$170&lt;&gt;"acoes")))*INDEX(Inputs!$K$5:$AJ$170,0,MATCH(AF$2,Inputs!$K$4:$AJ$4,0)))+SUMPRODUCT((Inputs!$C$5:$C$170=$B72)*Inputs!$D$5:$D$170*(((Inputs!$G$5:$G$170="moeda")+(Inputs!$G$5:$G$170="acoes"))*Inputs!$B$1+((Inputs!$G$5:$G$170&lt;&gt;"moeda")*(Inputs!$G$5:$G$170&lt;&gt;"acoes")))*INDEX(Inputs!$K$5:$AJ$170,0,MATCH(AF$2,Inputs!$K$4:$AJ$4,0)))+SUMPRODUCT((Inputs!$E$5:$E$170=$B72)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2" s="267" t="e">
        <f>SUM(AC72:AF72)</f>
        <v>#N/A</v>
      </c>
      <c r="AH72" s="266">
        <f>IF(ISNA(MATCH(AH$2,Inputs!$K$4:$AJ$4,0)),NA(),IF(SUMPRODUCT((Inputs!$A$5:$A$170=$B72)*ISNUMBER(INDEX(Inputs!$K$5:$AJ$170,0,MATCH(AH$2,Inputs!$K$4:$AJ$4,0))))+SUMPRODUCT((Inputs!$C$5:$C$170=$B72)*ISNUMBER(INDEX(Inputs!$K$5:$AJ$170,0,MATCH(AH$2,Inputs!$K$4:$AJ$4,0))))+SUMPRODUCT((Inputs!$E$5:$E$170=$B72)*ISNUMBER(INDEX(Inputs!$K$5:$AJ$170,0,MATCH(AH$2,Inputs!$K$4:$AJ$4,0))))=0,NA(),SUMPRODUCT((Inputs!$A$5:$A$170=$B72)*Inputs!$B$5:$B$170*(((Inputs!$G$5:$G$170="moeda")+(Inputs!$G$5:$G$170="acoes"))*Inputs!$B$1+((Inputs!$G$5:$G$170&lt;&gt;"moeda")*(Inputs!$G$5:$G$170&lt;&gt;"acoes")))*INDEX(Inputs!$K$5:$AJ$170,0,MATCH(AH$2,Inputs!$K$4:$AJ$4,0)))+SUMPRODUCT((Inputs!$C$5:$C$170=$B72)*Inputs!$D$5:$D$170*(((Inputs!$G$5:$G$170="moeda")+(Inputs!$G$5:$G$170="acoes"))*Inputs!$B$1+((Inputs!$G$5:$G$170&lt;&gt;"moeda")*(Inputs!$G$5:$G$170&lt;&gt;"acoes")))*INDEX(Inputs!$K$5:$AJ$170,0,MATCH(AH$2,Inputs!$K$4:$AJ$4,0)))+SUMPRODUCT((Inputs!$E$5:$E$170=$B72)*Inputs!$F$5:$F$170*(((Inputs!$G$5:$G$170="moeda")+(Inputs!$G$5:$G$170="acoes"))*Inputs!$B$1+((Inputs!$G$5:$G$170&lt;&gt;"moeda")*(Inputs!$G$5:$G$170&lt;&gt;"acoes")))*INDEX(Inputs!$K$5:$AJ$170,0,MATCH(AH$2,Inputs!$K$4:$AJ$4,0)))))</f>
        <v>24221</v>
      </c>
      <c r="AI72" s="266">
        <f>IF(ISNA(MATCH(AI$2,Inputs!$K$4:$AJ$4,0)),NA(),IF(SUMPRODUCT((Inputs!$A$5:$A$170=$B72)*ISNUMBER(INDEX(Inputs!$K$5:$AJ$170,0,MATCH(AI$2,Inputs!$K$4:$AJ$4,0))))+SUMPRODUCT((Inputs!$C$5:$C$170=$B72)*ISNUMBER(INDEX(Inputs!$K$5:$AJ$170,0,MATCH(AI$2,Inputs!$K$4:$AJ$4,0))))+SUMPRODUCT((Inputs!$E$5:$E$170=$B72)*ISNUMBER(INDEX(Inputs!$K$5:$AJ$170,0,MATCH(AI$2,Inputs!$K$4:$AJ$4,0))))=0,NA(),SUMPRODUCT((Inputs!$A$5:$A$170=$B72)*Inputs!$B$5:$B$170*(((Inputs!$G$5:$G$170="moeda")+(Inputs!$G$5:$G$170="acoes"))*Inputs!$B$1+((Inputs!$G$5:$G$170&lt;&gt;"moeda")*(Inputs!$G$5:$G$170&lt;&gt;"acoes")))*INDEX(Inputs!$K$5:$AJ$170,0,MATCH(AI$2,Inputs!$K$4:$AJ$4,0)))+SUMPRODUCT((Inputs!$C$5:$C$170=$B72)*Inputs!$D$5:$D$170*(((Inputs!$G$5:$G$170="moeda")+(Inputs!$G$5:$G$170="acoes"))*Inputs!$B$1+((Inputs!$G$5:$G$170&lt;&gt;"moeda")*(Inputs!$G$5:$G$170&lt;&gt;"acoes")))*INDEX(Inputs!$K$5:$AJ$170,0,MATCH(AI$2,Inputs!$K$4:$AJ$4,0)))+SUMPRODUCT((Inputs!$E$5:$E$170=$B72)*Inputs!$F$5:$F$170*(((Inputs!$G$5:$G$170="moeda")+(Inputs!$G$5:$G$170="acoes"))*Inputs!$B$1+((Inputs!$G$5:$G$170&lt;&gt;"moeda")*(Inputs!$G$5:$G$170&lt;&gt;"acoes")))*INDEX(Inputs!$K$5:$AJ$170,0,MATCH(AI$2,Inputs!$K$4:$AJ$4,0)))))</f>
        <v>5962</v>
      </c>
      <c r="AJ72" s="266">
        <f>IF(ISNA(MATCH(AJ$2,Inputs!$K$4:$AJ$4,0)),NA(),IF(SUMPRODUCT((Inputs!$A$5:$A$170=$B72)*ISNUMBER(INDEX(Inputs!$K$5:$AJ$170,0,MATCH(AJ$2,Inputs!$K$4:$AJ$4,0))))+SUMPRODUCT((Inputs!$C$5:$C$170=$B72)*ISNUMBER(INDEX(Inputs!$K$5:$AJ$170,0,MATCH(AJ$2,Inputs!$K$4:$AJ$4,0))))+SUMPRODUCT((Inputs!$E$5:$E$170=$B72)*ISNUMBER(INDEX(Inputs!$K$5:$AJ$170,0,MATCH(AJ$2,Inputs!$K$4:$AJ$4,0))))=0,NA(),SUMPRODUCT((Inputs!$A$5:$A$170=$B72)*Inputs!$B$5:$B$170*(((Inputs!$G$5:$G$170="moeda")+(Inputs!$G$5:$G$170="acoes"))*Inputs!$B$1+((Inputs!$G$5:$G$170&lt;&gt;"moeda")*(Inputs!$G$5:$G$170&lt;&gt;"acoes")))*INDEX(Inputs!$K$5:$AJ$170,0,MATCH(AJ$2,Inputs!$K$4:$AJ$4,0)))+SUMPRODUCT((Inputs!$C$5:$C$170=$B72)*Inputs!$D$5:$D$170*(((Inputs!$G$5:$G$170="moeda")+(Inputs!$G$5:$G$170="acoes"))*Inputs!$B$1+((Inputs!$G$5:$G$170&lt;&gt;"moeda")*(Inputs!$G$5:$G$170&lt;&gt;"acoes")))*INDEX(Inputs!$K$5:$AJ$170,0,MATCH(AJ$2,Inputs!$K$4:$AJ$4,0)))+SUMPRODUCT((Inputs!$E$5:$E$170=$B72)*Inputs!$F$5:$F$170*(((Inputs!$G$5:$G$170="moeda")+(Inputs!$G$5:$G$170="acoes"))*Inputs!$B$1+((Inputs!$G$5:$G$170&lt;&gt;"moeda")*(Inputs!$G$5:$G$170&lt;&gt;"acoes")))*INDEX(Inputs!$K$5:$AJ$170,0,MATCH(AJ$2,Inputs!$K$4:$AJ$4,0)))))</f>
        <v>18242</v>
      </c>
      <c r="AK72" s="266">
        <f>IF(ISNA(MATCH(AK$2,Inputs!$K$4:$AJ$4,0)),NA(),IF(SUMPRODUCT((Inputs!$A$5:$A$170=$B72)*ISNUMBER(INDEX(Inputs!$K$5:$AJ$170,0,MATCH(AK$2,Inputs!$K$4:$AJ$4,0))))+SUMPRODUCT((Inputs!$C$5:$C$170=$B72)*ISNUMBER(INDEX(Inputs!$K$5:$AJ$170,0,MATCH(AK$2,Inputs!$K$4:$AJ$4,0))))+SUMPRODUCT((Inputs!$E$5:$E$170=$B72)*ISNUMBER(INDEX(Inputs!$K$5:$AJ$170,0,MATCH(AK$2,Inputs!$K$4:$AJ$4,0))))=0,NA(),SUMPRODUCT((Inputs!$A$5:$A$170=$B72)*Inputs!$B$5:$B$170*(((Inputs!$G$5:$G$170="moeda")+(Inputs!$G$5:$G$170="acoes"))*Inputs!$B$1+((Inputs!$G$5:$G$170&lt;&gt;"moeda")*(Inputs!$G$5:$G$170&lt;&gt;"acoes")))*INDEX(Inputs!$K$5:$AJ$170,0,MATCH(AK$2,Inputs!$K$4:$AJ$4,0)))+SUMPRODUCT((Inputs!$C$5:$C$170=$B72)*Inputs!$D$5:$D$170*(((Inputs!$G$5:$G$170="moeda")+(Inputs!$G$5:$G$170="acoes"))*Inputs!$B$1+((Inputs!$G$5:$G$170&lt;&gt;"moeda")*(Inputs!$G$5:$G$170&lt;&gt;"acoes")))*INDEX(Inputs!$K$5:$AJ$170,0,MATCH(AK$2,Inputs!$K$4:$AJ$4,0)))+SUMPRODUCT((Inputs!$E$5:$E$170=$B72)*Inputs!$F$5:$F$170*(((Inputs!$G$5:$G$170="moeda")+(Inputs!$G$5:$G$170="acoes"))*Inputs!$B$1+((Inputs!$G$5:$G$170&lt;&gt;"moeda")*(Inputs!$G$5:$G$170&lt;&gt;"acoes")))*INDEX(Inputs!$K$5:$AJ$170,0,MATCH(AK$2,Inputs!$K$4:$AJ$4,0)))))</f>
        <v>21167</v>
      </c>
      <c r="AL72" s="267">
        <f>SUM(AH72:AK72)</f>
        <v>69592</v>
      </c>
    </row>
    <row r="73">
      <c r="B73" s="46" t="n">
        <v>65</v>
      </c>
      <c r="C73" s="29" t="inlineStr">
        <is>
          <t>Preco medio do carro comprado (R$; CAPEX l.25)</t>
        </is>
      </c>
      <c r="D73" s="266">
        <f>IF(ISNA(MATCH(D$2,Inputs!$K$4:$AJ$4,0)),NA(),IF(SUMPRODUCT((Inputs!$A$5:$A$170=$B73)*ISNUMBER(INDEX(Inputs!$K$5:$AJ$170,0,MATCH(D$2,Inputs!$K$4:$AJ$4,0))))+SUMPRODUCT((Inputs!$C$5:$C$170=$B73)*ISNUMBER(INDEX(Inputs!$K$5:$AJ$170,0,MATCH(D$2,Inputs!$K$4:$AJ$4,0))))+SUMPRODUCT((Inputs!$E$5:$E$170=$B73)*ISNUMBER(INDEX(Inputs!$K$5:$AJ$170,0,MATCH(D$2,Inputs!$K$4:$AJ$4,0))))=0,NA(),SUMPRODUCT((Inputs!$A$5:$A$170=$B73)*Inputs!$B$5:$B$170*(((Inputs!$G$5:$G$170="moeda")+(Inputs!$G$5:$G$170="acoes"))*Inputs!$B$1+((Inputs!$G$5:$G$170&lt;&gt;"moeda")*(Inputs!$G$5:$G$170&lt;&gt;"acoes")))*INDEX(Inputs!$K$5:$AJ$170,0,MATCH(D$2,Inputs!$K$4:$AJ$4,0)))+SUMPRODUCT((Inputs!$C$5:$C$170=$B73)*Inputs!$D$5:$D$170*(((Inputs!$G$5:$G$170="moeda")+(Inputs!$G$5:$G$170="acoes"))*Inputs!$B$1+((Inputs!$G$5:$G$170&lt;&gt;"moeda")*(Inputs!$G$5:$G$170&lt;&gt;"acoes")))*INDEX(Inputs!$K$5:$AJ$170,0,MATCH(D$2,Inputs!$K$4:$AJ$4,0)))+SUMPRODUCT((Inputs!$E$5:$E$170=$B73)*Inputs!$F$5:$F$170*(((Inputs!$G$5:$G$170="moeda")+(Inputs!$G$5:$G$170="acoes"))*Inputs!$B$1+((Inputs!$G$5:$G$170&lt;&gt;"moeda")*(Inputs!$G$5:$G$170&lt;&gt;"acoes")))*INDEX(Inputs!$K$5:$AJ$170,0,MATCH(D$2,Inputs!$K$4:$AJ$4,0)))))</f>
        <v>59451.895</v>
      </c>
      <c r="E73" s="266">
        <f>IF(ISNA(MATCH(E$2,Inputs!$K$4:$AJ$4,0)),NA(),IF(SUMPRODUCT((Inputs!$A$5:$A$170=$B73)*ISNUMBER(INDEX(Inputs!$K$5:$AJ$170,0,MATCH(E$2,Inputs!$K$4:$AJ$4,0))))+SUMPRODUCT((Inputs!$C$5:$C$170=$B73)*ISNUMBER(INDEX(Inputs!$K$5:$AJ$170,0,MATCH(E$2,Inputs!$K$4:$AJ$4,0))))+SUMPRODUCT((Inputs!$E$5:$E$170=$B73)*ISNUMBER(INDEX(Inputs!$K$5:$AJ$170,0,MATCH(E$2,Inputs!$K$4:$AJ$4,0))))=0,NA(),SUMPRODUCT((Inputs!$A$5:$A$170=$B73)*Inputs!$B$5:$B$170*(((Inputs!$G$5:$G$170="moeda")+(Inputs!$G$5:$G$170="acoes"))*Inputs!$B$1+((Inputs!$G$5:$G$170&lt;&gt;"moeda")*(Inputs!$G$5:$G$170&lt;&gt;"acoes")))*INDEX(Inputs!$K$5:$AJ$170,0,MATCH(E$2,Inputs!$K$4:$AJ$4,0)))+SUMPRODUCT((Inputs!$C$5:$C$170=$B73)*Inputs!$D$5:$D$170*(((Inputs!$G$5:$G$170="moeda")+(Inputs!$G$5:$G$170="acoes"))*Inputs!$B$1+((Inputs!$G$5:$G$170&lt;&gt;"moeda")*(Inputs!$G$5:$G$170&lt;&gt;"acoes")))*INDEX(Inputs!$K$5:$AJ$170,0,MATCH(E$2,Inputs!$K$4:$AJ$4,0)))+SUMPRODUCT((Inputs!$E$5:$E$170=$B73)*Inputs!$F$5:$F$170*(((Inputs!$G$5:$G$170="moeda")+(Inputs!$G$5:$G$170="acoes"))*Inputs!$B$1+((Inputs!$G$5:$G$170&lt;&gt;"moeda")*(Inputs!$G$5:$G$170&lt;&gt;"acoes")))*INDEX(Inputs!$K$5:$AJ$170,0,MATCH(E$2,Inputs!$K$4:$AJ$4,0)))))</f>
        <v>65849.458</v>
      </c>
      <c r="F73" s="266">
        <f>IF(ISNA(MATCH(F$2,Inputs!$K$4:$AJ$4,0)),NA(),IF(SUMPRODUCT((Inputs!$A$5:$A$170=$B73)*ISNUMBER(INDEX(Inputs!$K$5:$AJ$170,0,MATCH(F$2,Inputs!$K$4:$AJ$4,0))))+SUMPRODUCT((Inputs!$C$5:$C$170=$B73)*ISNUMBER(INDEX(Inputs!$K$5:$AJ$170,0,MATCH(F$2,Inputs!$K$4:$AJ$4,0))))+SUMPRODUCT((Inputs!$E$5:$E$170=$B73)*ISNUMBER(INDEX(Inputs!$K$5:$AJ$170,0,MATCH(F$2,Inputs!$K$4:$AJ$4,0))))=0,NA(),SUMPRODUCT((Inputs!$A$5:$A$170=$B73)*Inputs!$B$5:$B$170*(((Inputs!$G$5:$G$170="moeda")+(Inputs!$G$5:$G$170="acoes"))*Inputs!$B$1+((Inputs!$G$5:$G$170&lt;&gt;"moeda")*(Inputs!$G$5:$G$170&lt;&gt;"acoes")))*INDEX(Inputs!$K$5:$AJ$170,0,MATCH(F$2,Inputs!$K$4:$AJ$4,0)))+SUMPRODUCT((Inputs!$C$5:$C$170=$B73)*Inputs!$D$5:$D$170*(((Inputs!$G$5:$G$170="moeda")+(Inputs!$G$5:$G$170="acoes"))*Inputs!$B$1+((Inputs!$G$5:$G$170&lt;&gt;"moeda")*(Inputs!$G$5:$G$170&lt;&gt;"acoes")))*INDEX(Inputs!$K$5:$AJ$170,0,MATCH(F$2,Inputs!$K$4:$AJ$4,0)))+SUMPRODUCT((Inputs!$E$5:$E$170=$B73)*Inputs!$F$5:$F$170*(((Inputs!$G$5:$G$170="moeda")+(Inputs!$G$5:$G$170="acoes"))*Inputs!$B$1+((Inputs!$G$5:$G$170&lt;&gt;"moeda")*(Inputs!$G$5:$G$170&lt;&gt;"acoes")))*INDEX(Inputs!$K$5:$AJ$170,0,MATCH(F$2,Inputs!$K$4:$AJ$4,0)))))</f>
        <v>83151.073</v>
      </c>
      <c r="G73" s="266">
        <f>IF(ISNA(MATCH(G$2,Inputs!$K$4:$AJ$4,0)),NA(),IF(SUMPRODUCT((Inputs!$A$5:$A$170=$B73)*ISNUMBER(INDEX(Inputs!$K$5:$AJ$170,0,MATCH(G$2,Inputs!$K$4:$AJ$4,0))))+SUMPRODUCT((Inputs!$C$5:$C$170=$B73)*ISNUMBER(INDEX(Inputs!$K$5:$AJ$170,0,MATCH(G$2,Inputs!$K$4:$AJ$4,0))))+SUMPRODUCT((Inputs!$E$5:$E$170=$B73)*ISNUMBER(INDEX(Inputs!$K$5:$AJ$170,0,MATCH(G$2,Inputs!$K$4:$AJ$4,0))))=0,NA(),SUMPRODUCT((Inputs!$A$5:$A$170=$B73)*Inputs!$B$5:$B$170*(((Inputs!$G$5:$G$170="moeda")+(Inputs!$G$5:$G$170="acoes"))*Inputs!$B$1+((Inputs!$G$5:$G$170&lt;&gt;"moeda")*(Inputs!$G$5:$G$170&lt;&gt;"acoes")))*INDEX(Inputs!$K$5:$AJ$170,0,MATCH(G$2,Inputs!$K$4:$AJ$4,0)))+SUMPRODUCT((Inputs!$C$5:$C$170=$B73)*Inputs!$D$5:$D$170*(((Inputs!$G$5:$G$170="moeda")+(Inputs!$G$5:$G$170="acoes"))*Inputs!$B$1+((Inputs!$G$5:$G$170&lt;&gt;"moeda")*(Inputs!$G$5:$G$170&lt;&gt;"acoes")))*INDEX(Inputs!$K$5:$AJ$170,0,MATCH(G$2,Inputs!$K$4:$AJ$4,0)))+SUMPRODUCT((Inputs!$E$5:$E$170=$B73)*Inputs!$F$5:$F$170*(((Inputs!$G$5:$G$170="moeda")+(Inputs!$G$5:$G$170="acoes"))*Inputs!$B$1+((Inputs!$G$5:$G$170&lt;&gt;"moeda")*(Inputs!$G$5:$G$170&lt;&gt;"acoes")))*INDEX(Inputs!$K$5:$AJ$170,0,MATCH(G$2,Inputs!$K$4:$AJ$4,0)))))</f>
        <v>90445.152</v>
      </c>
      <c r="H73" s="267" t="n"/>
      <c r="I73" s="266">
        <f>IF(ISNA(MATCH(I$2,Inputs!$K$4:$AJ$4,0)),NA(),IF(SUMPRODUCT((Inputs!$A$5:$A$170=$B73)*ISNUMBER(INDEX(Inputs!$K$5:$AJ$170,0,MATCH(I$2,Inputs!$K$4:$AJ$4,0))))+SUMPRODUCT((Inputs!$C$5:$C$170=$B73)*ISNUMBER(INDEX(Inputs!$K$5:$AJ$170,0,MATCH(I$2,Inputs!$K$4:$AJ$4,0))))+SUMPRODUCT((Inputs!$E$5:$E$170=$B73)*ISNUMBER(INDEX(Inputs!$K$5:$AJ$170,0,MATCH(I$2,Inputs!$K$4:$AJ$4,0))))=0,NA(),SUMPRODUCT((Inputs!$A$5:$A$170=$B73)*Inputs!$B$5:$B$170*(((Inputs!$G$5:$G$170="moeda")+(Inputs!$G$5:$G$170="acoes"))*Inputs!$B$1+((Inputs!$G$5:$G$170&lt;&gt;"moeda")*(Inputs!$G$5:$G$170&lt;&gt;"acoes")))*INDEX(Inputs!$K$5:$AJ$170,0,MATCH(I$2,Inputs!$K$4:$AJ$4,0)))+SUMPRODUCT((Inputs!$C$5:$C$170=$B73)*Inputs!$D$5:$D$170*(((Inputs!$G$5:$G$170="moeda")+(Inputs!$G$5:$G$170="acoes"))*Inputs!$B$1+((Inputs!$G$5:$G$170&lt;&gt;"moeda")*(Inputs!$G$5:$G$170&lt;&gt;"acoes")))*INDEX(Inputs!$K$5:$AJ$170,0,MATCH(I$2,Inputs!$K$4:$AJ$4,0)))+SUMPRODUCT((Inputs!$E$5:$E$170=$B73)*Inputs!$F$5:$F$170*(((Inputs!$G$5:$G$170="moeda")+(Inputs!$G$5:$G$170="acoes"))*Inputs!$B$1+((Inputs!$G$5:$G$170&lt;&gt;"moeda")*(Inputs!$G$5:$G$170&lt;&gt;"acoes")))*INDEX(Inputs!$K$5:$AJ$170,0,MATCH(I$2,Inputs!$K$4:$AJ$4,0)))))</f>
        <v>90435.525</v>
      </c>
      <c r="J73" s="266">
        <f>IF(ISNA(MATCH(J$2,Inputs!$K$4:$AJ$4,0)),NA(),IF(SUMPRODUCT((Inputs!$A$5:$A$170=$B73)*ISNUMBER(INDEX(Inputs!$K$5:$AJ$170,0,MATCH(J$2,Inputs!$K$4:$AJ$4,0))))+SUMPRODUCT((Inputs!$C$5:$C$170=$B73)*ISNUMBER(INDEX(Inputs!$K$5:$AJ$170,0,MATCH(J$2,Inputs!$K$4:$AJ$4,0))))+SUMPRODUCT((Inputs!$E$5:$E$170=$B73)*ISNUMBER(INDEX(Inputs!$K$5:$AJ$170,0,MATCH(J$2,Inputs!$K$4:$AJ$4,0))))=0,NA(),SUMPRODUCT((Inputs!$A$5:$A$170=$B73)*Inputs!$B$5:$B$170*(((Inputs!$G$5:$G$170="moeda")+(Inputs!$G$5:$G$170="acoes"))*Inputs!$B$1+((Inputs!$G$5:$G$170&lt;&gt;"moeda")*(Inputs!$G$5:$G$170&lt;&gt;"acoes")))*INDEX(Inputs!$K$5:$AJ$170,0,MATCH(J$2,Inputs!$K$4:$AJ$4,0)))+SUMPRODUCT((Inputs!$C$5:$C$170=$B73)*Inputs!$D$5:$D$170*(((Inputs!$G$5:$G$170="moeda")+(Inputs!$G$5:$G$170="acoes"))*Inputs!$B$1+((Inputs!$G$5:$G$170&lt;&gt;"moeda")*(Inputs!$G$5:$G$170&lt;&gt;"acoes")))*INDEX(Inputs!$K$5:$AJ$170,0,MATCH(J$2,Inputs!$K$4:$AJ$4,0)))+SUMPRODUCT((Inputs!$E$5:$E$170=$B73)*Inputs!$F$5:$F$170*(((Inputs!$G$5:$G$170="moeda")+(Inputs!$G$5:$G$170="acoes"))*Inputs!$B$1+((Inputs!$G$5:$G$170&lt;&gt;"moeda")*(Inputs!$G$5:$G$170&lt;&gt;"acoes")))*INDEX(Inputs!$K$5:$AJ$170,0,MATCH(J$2,Inputs!$K$4:$AJ$4,0)))))</f>
        <v>91843.12</v>
      </c>
      <c r="K73" s="266">
        <f>IF(ISNA(MATCH(K$2,Inputs!$K$4:$AJ$4,0)),NA(),IF(SUMPRODUCT((Inputs!$A$5:$A$170=$B73)*ISNUMBER(INDEX(Inputs!$K$5:$AJ$170,0,MATCH(K$2,Inputs!$K$4:$AJ$4,0))))+SUMPRODUCT((Inputs!$C$5:$C$170=$B73)*ISNUMBER(INDEX(Inputs!$K$5:$AJ$170,0,MATCH(K$2,Inputs!$K$4:$AJ$4,0))))+SUMPRODUCT((Inputs!$E$5:$E$170=$B73)*ISNUMBER(INDEX(Inputs!$K$5:$AJ$170,0,MATCH(K$2,Inputs!$K$4:$AJ$4,0))))=0,NA(),SUMPRODUCT((Inputs!$A$5:$A$170=$B73)*Inputs!$B$5:$B$170*(((Inputs!$G$5:$G$170="moeda")+(Inputs!$G$5:$G$170="acoes"))*Inputs!$B$1+((Inputs!$G$5:$G$170&lt;&gt;"moeda")*(Inputs!$G$5:$G$170&lt;&gt;"acoes")))*INDEX(Inputs!$K$5:$AJ$170,0,MATCH(K$2,Inputs!$K$4:$AJ$4,0)))+SUMPRODUCT((Inputs!$C$5:$C$170=$B73)*Inputs!$D$5:$D$170*(((Inputs!$G$5:$G$170="moeda")+(Inputs!$G$5:$G$170="acoes"))*Inputs!$B$1+((Inputs!$G$5:$G$170&lt;&gt;"moeda")*(Inputs!$G$5:$G$170&lt;&gt;"acoes")))*INDEX(Inputs!$K$5:$AJ$170,0,MATCH(K$2,Inputs!$K$4:$AJ$4,0)))+SUMPRODUCT((Inputs!$E$5:$E$170=$B73)*Inputs!$F$5:$F$170*(((Inputs!$G$5:$G$170="moeda")+(Inputs!$G$5:$G$170="acoes"))*Inputs!$B$1+((Inputs!$G$5:$G$170&lt;&gt;"moeda")*(Inputs!$G$5:$G$170&lt;&gt;"acoes")))*INDEX(Inputs!$K$5:$AJ$170,0,MATCH(K$2,Inputs!$K$4:$AJ$4,0)))))</f>
        <v>82230.106</v>
      </c>
      <c r="L73" s="266">
        <f>IF(ISNA(MATCH(L$2,Inputs!$K$4:$AJ$4,0)),NA(),IF(SUMPRODUCT((Inputs!$A$5:$A$170=$B73)*ISNUMBER(INDEX(Inputs!$K$5:$AJ$170,0,MATCH(L$2,Inputs!$K$4:$AJ$4,0))))+SUMPRODUCT((Inputs!$C$5:$C$170=$B73)*ISNUMBER(INDEX(Inputs!$K$5:$AJ$170,0,MATCH(L$2,Inputs!$K$4:$AJ$4,0))))+SUMPRODUCT((Inputs!$E$5:$E$170=$B73)*ISNUMBER(INDEX(Inputs!$K$5:$AJ$170,0,MATCH(L$2,Inputs!$K$4:$AJ$4,0))))=0,NA(),SUMPRODUCT((Inputs!$A$5:$A$170=$B73)*Inputs!$B$5:$B$170*(((Inputs!$G$5:$G$170="moeda")+(Inputs!$G$5:$G$170="acoes"))*Inputs!$B$1+((Inputs!$G$5:$G$170&lt;&gt;"moeda")*(Inputs!$G$5:$G$170&lt;&gt;"acoes")))*INDEX(Inputs!$K$5:$AJ$170,0,MATCH(L$2,Inputs!$K$4:$AJ$4,0)))+SUMPRODUCT((Inputs!$C$5:$C$170=$B73)*Inputs!$D$5:$D$170*(((Inputs!$G$5:$G$170="moeda")+(Inputs!$G$5:$G$170="acoes"))*Inputs!$B$1+((Inputs!$G$5:$G$170&lt;&gt;"moeda")*(Inputs!$G$5:$G$170&lt;&gt;"acoes")))*INDEX(Inputs!$K$5:$AJ$170,0,MATCH(L$2,Inputs!$K$4:$AJ$4,0)))+SUMPRODUCT((Inputs!$E$5:$E$170=$B73)*Inputs!$F$5:$F$170*(((Inputs!$G$5:$G$170="moeda")+(Inputs!$G$5:$G$170="acoes"))*Inputs!$B$1+((Inputs!$G$5:$G$170&lt;&gt;"moeda")*(Inputs!$G$5:$G$170&lt;&gt;"acoes")))*INDEX(Inputs!$K$5:$AJ$170,0,MATCH(L$2,Inputs!$K$4:$AJ$4,0)))))</f>
        <v>78693.278</v>
      </c>
      <c r="M73" s="267" t="n"/>
      <c r="N73" s="266">
        <f>IF(ISNA(MATCH(N$2,Inputs!$K$4:$AJ$4,0)),NA(),IF(SUMPRODUCT((Inputs!$A$5:$A$170=$B73)*ISNUMBER(INDEX(Inputs!$K$5:$AJ$170,0,MATCH(N$2,Inputs!$K$4:$AJ$4,0))))+SUMPRODUCT((Inputs!$C$5:$C$170=$B73)*ISNUMBER(INDEX(Inputs!$K$5:$AJ$170,0,MATCH(N$2,Inputs!$K$4:$AJ$4,0))))+SUMPRODUCT((Inputs!$E$5:$E$170=$B73)*ISNUMBER(INDEX(Inputs!$K$5:$AJ$170,0,MATCH(N$2,Inputs!$K$4:$AJ$4,0))))=0,NA(),SUMPRODUCT((Inputs!$A$5:$A$170=$B73)*Inputs!$B$5:$B$170*(((Inputs!$G$5:$G$170="moeda")+(Inputs!$G$5:$G$170="acoes"))*Inputs!$B$1+((Inputs!$G$5:$G$170&lt;&gt;"moeda")*(Inputs!$G$5:$G$170&lt;&gt;"acoes")))*INDEX(Inputs!$K$5:$AJ$170,0,MATCH(N$2,Inputs!$K$4:$AJ$4,0)))+SUMPRODUCT((Inputs!$C$5:$C$170=$B73)*Inputs!$D$5:$D$170*(((Inputs!$G$5:$G$170="moeda")+(Inputs!$G$5:$G$170="acoes"))*Inputs!$B$1+((Inputs!$G$5:$G$170&lt;&gt;"moeda")*(Inputs!$G$5:$G$170&lt;&gt;"acoes")))*INDEX(Inputs!$K$5:$AJ$170,0,MATCH(N$2,Inputs!$K$4:$AJ$4,0)))+SUMPRODUCT((Inputs!$E$5:$E$170=$B73)*Inputs!$F$5:$F$170*(((Inputs!$G$5:$G$170="moeda")+(Inputs!$G$5:$G$170="acoes"))*Inputs!$B$1+((Inputs!$G$5:$G$170&lt;&gt;"moeda")*(Inputs!$G$5:$G$170&lt;&gt;"acoes")))*INDEX(Inputs!$K$5:$AJ$170,0,MATCH(N$2,Inputs!$K$4:$AJ$4,0)))))</f>
        <v>88893.811</v>
      </c>
      <c r="O73" s="266">
        <f>IF(ISNA(MATCH(O$2,Inputs!$K$4:$AJ$4,0)),NA(),IF(SUMPRODUCT((Inputs!$A$5:$A$170=$B73)*ISNUMBER(INDEX(Inputs!$K$5:$AJ$170,0,MATCH(O$2,Inputs!$K$4:$AJ$4,0))))+SUMPRODUCT((Inputs!$C$5:$C$170=$B73)*ISNUMBER(INDEX(Inputs!$K$5:$AJ$170,0,MATCH(O$2,Inputs!$K$4:$AJ$4,0))))+SUMPRODUCT((Inputs!$E$5:$E$170=$B73)*ISNUMBER(INDEX(Inputs!$K$5:$AJ$170,0,MATCH(O$2,Inputs!$K$4:$AJ$4,0))))=0,NA(),SUMPRODUCT((Inputs!$A$5:$A$170=$B73)*Inputs!$B$5:$B$170*(((Inputs!$G$5:$G$170="moeda")+(Inputs!$G$5:$G$170="acoes"))*Inputs!$B$1+((Inputs!$G$5:$G$170&lt;&gt;"moeda")*(Inputs!$G$5:$G$170&lt;&gt;"acoes")))*INDEX(Inputs!$K$5:$AJ$170,0,MATCH(O$2,Inputs!$K$4:$AJ$4,0)))+SUMPRODUCT((Inputs!$C$5:$C$170=$B73)*Inputs!$D$5:$D$170*(((Inputs!$G$5:$G$170="moeda")+(Inputs!$G$5:$G$170="acoes"))*Inputs!$B$1+((Inputs!$G$5:$G$170&lt;&gt;"moeda")*(Inputs!$G$5:$G$170&lt;&gt;"acoes")))*INDEX(Inputs!$K$5:$AJ$170,0,MATCH(O$2,Inputs!$K$4:$AJ$4,0)))+SUMPRODUCT((Inputs!$E$5:$E$170=$B73)*Inputs!$F$5:$F$170*(((Inputs!$G$5:$G$170="moeda")+(Inputs!$G$5:$G$170="acoes"))*Inputs!$B$1+((Inputs!$G$5:$G$170&lt;&gt;"moeda")*(Inputs!$G$5:$G$170&lt;&gt;"acoes")))*INDEX(Inputs!$K$5:$AJ$170,0,MATCH(O$2,Inputs!$K$4:$AJ$4,0)))))</f>
        <v>95090.768</v>
      </c>
      <c r="P73" s="266">
        <f>IF(ISNA(MATCH(P$2,Inputs!$K$4:$AJ$4,0)),NA(),IF(SUMPRODUCT((Inputs!$A$5:$A$170=$B73)*ISNUMBER(INDEX(Inputs!$K$5:$AJ$170,0,MATCH(P$2,Inputs!$K$4:$AJ$4,0))))+SUMPRODUCT((Inputs!$C$5:$C$170=$B73)*ISNUMBER(INDEX(Inputs!$K$5:$AJ$170,0,MATCH(P$2,Inputs!$K$4:$AJ$4,0))))+SUMPRODUCT((Inputs!$E$5:$E$170=$B73)*ISNUMBER(INDEX(Inputs!$K$5:$AJ$170,0,MATCH(P$2,Inputs!$K$4:$AJ$4,0))))=0,NA(),SUMPRODUCT((Inputs!$A$5:$A$170=$B73)*Inputs!$B$5:$B$170*(((Inputs!$G$5:$G$170="moeda")+(Inputs!$G$5:$G$170="acoes"))*Inputs!$B$1+((Inputs!$G$5:$G$170&lt;&gt;"moeda")*(Inputs!$G$5:$G$170&lt;&gt;"acoes")))*INDEX(Inputs!$K$5:$AJ$170,0,MATCH(P$2,Inputs!$K$4:$AJ$4,0)))+SUMPRODUCT((Inputs!$C$5:$C$170=$B73)*Inputs!$D$5:$D$170*(((Inputs!$G$5:$G$170="moeda")+(Inputs!$G$5:$G$170="acoes"))*Inputs!$B$1+((Inputs!$G$5:$G$170&lt;&gt;"moeda")*(Inputs!$G$5:$G$170&lt;&gt;"acoes")))*INDEX(Inputs!$K$5:$AJ$170,0,MATCH(P$2,Inputs!$K$4:$AJ$4,0)))+SUMPRODUCT((Inputs!$E$5:$E$170=$B73)*Inputs!$F$5:$F$170*(((Inputs!$G$5:$G$170="moeda")+(Inputs!$G$5:$G$170="acoes"))*Inputs!$B$1+((Inputs!$G$5:$G$170&lt;&gt;"moeda")*(Inputs!$G$5:$G$170&lt;&gt;"acoes")))*INDEX(Inputs!$K$5:$AJ$170,0,MATCH(P$2,Inputs!$K$4:$AJ$4,0)))))</f>
        <v>87377.337</v>
      </c>
      <c r="Q73" s="266">
        <f>IF(ISNA(MATCH(Q$2,Inputs!$K$4:$AJ$4,0)),NA(),IF(SUMPRODUCT((Inputs!$A$5:$A$170=$B73)*ISNUMBER(INDEX(Inputs!$K$5:$AJ$170,0,MATCH(Q$2,Inputs!$K$4:$AJ$4,0))))+SUMPRODUCT((Inputs!$C$5:$C$170=$B73)*ISNUMBER(INDEX(Inputs!$K$5:$AJ$170,0,MATCH(Q$2,Inputs!$K$4:$AJ$4,0))))+SUMPRODUCT((Inputs!$E$5:$E$170=$B73)*ISNUMBER(INDEX(Inputs!$K$5:$AJ$170,0,MATCH(Q$2,Inputs!$K$4:$AJ$4,0))))=0,NA(),SUMPRODUCT((Inputs!$A$5:$A$170=$B73)*Inputs!$B$5:$B$170*(((Inputs!$G$5:$G$170="moeda")+(Inputs!$G$5:$G$170="acoes"))*Inputs!$B$1+((Inputs!$G$5:$G$170&lt;&gt;"moeda")*(Inputs!$G$5:$G$170&lt;&gt;"acoes")))*INDEX(Inputs!$K$5:$AJ$170,0,MATCH(Q$2,Inputs!$K$4:$AJ$4,0)))+SUMPRODUCT((Inputs!$C$5:$C$170=$B73)*Inputs!$D$5:$D$170*(((Inputs!$G$5:$G$170="moeda")+(Inputs!$G$5:$G$170="acoes"))*Inputs!$B$1+((Inputs!$G$5:$G$170&lt;&gt;"moeda")*(Inputs!$G$5:$G$170&lt;&gt;"acoes")))*INDEX(Inputs!$K$5:$AJ$170,0,MATCH(Q$2,Inputs!$K$4:$AJ$4,0)))+SUMPRODUCT((Inputs!$E$5:$E$170=$B73)*Inputs!$F$5:$F$170*(((Inputs!$G$5:$G$170="moeda")+(Inputs!$G$5:$G$170="acoes"))*Inputs!$B$1+((Inputs!$G$5:$G$170&lt;&gt;"moeda")*(Inputs!$G$5:$G$170&lt;&gt;"acoes")))*INDEX(Inputs!$K$5:$AJ$170,0,MATCH(Q$2,Inputs!$K$4:$AJ$4,0)))))</f>
        <v>90486.921</v>
      </c>
      <c r="R73" s="267" t="n"/>
      <c r="S73" s="266">
        <f>IF(ISNA(MATCH(S$2,Inputs!$K$4:$AJ$4,0)),NA(),IF(SUMPRODUCT((Inputs!$A$5:$A$170=$B73)*ISNUMBER(INDEX(Inputs!$K$5:$AJ$170,0,MATCH(S$2,Inputs!$K$4:$AJ$4,0))))+SUMPRODUCT((Inputs!$C$5:$C$170=$B73)*ISNUMBER(INDEX(Inputs!$K$5:$AJ$170,0,MATCH(S$2,Inputs!$K$4:$AJ$4,0))))+SUMPRODUCT((Inputs!$E$5:$E$170=$B73)*ISNUMBER(INDEX(Inputs!$K$5:$AJ$170,0,MATCH(S$2,Inputs!$K$4:$AJ$4,0))))=0,NA(),SUMPRODUCT((Inputs!$A$5:$A$170=$B73)*Inputs!$B$5:$B$170*(((Inputs!$G$5:$G$170="moeda")+(Inputs!$G$5:$G$170="acoes"))*Inputs!$B$1+((Inputs!$G$5:$G$170&lt;&gt;"moeda")*(Inputs!$G$5:$G$170&lt;&gt;"acoes")))*INDEX(Inputs!$K$5:$AJ$170,0,MATCH(S$2,Inputs!$K$4:$AJ$4,0)))+SUMPRODUCT((Inputs!$C$5:$C$170=$B73)*Inputs!$D$5:$D$170*(((Inputs!$G$5:$G$170="moeda")+(Inputs!$G$5:$G$170="acoes"))*Inputs!$B$1+((Inputs!$G$5:$G$170&lt;&gt;"moeda")*(Inputs!$G$5:$G$170&lt;&gt;"acoes")))*INDEX(Inputs!$K$5:$AJ$170,0,MATCH(S$2,Inputs!$K$4:$AJ$4,0)))+SUMPRODUCT((Inputs!$E$5:$E$170=$B73)*Inputs!$F$5:$F$170*(((Inputs!$G$5:$G$170="moeda")+(Inputs!$G$5:$G$170="acoes"))*Inputs!$B$1+((Inputs!$G$5:$G$170&lt;&gt;"moeda")*(Inputs!$G$5:$G$170&lt;&gt;"acoes")))*INDEX(Inputs!$K$5:$AJ$170,0,MATCH(S$2,Inputs!$K$4:$AJ$4,0)))))</f>
        <v>87279.205</v>
      </c>
      <c r="T73" s="266">
        <f>IF(ISNA(MATCH(T$2,Inputs!$K$4:$AJ$4,0)),NA(),IF(SUMPRODUCT((Inputs!$A$5:$A$170=$B73)*ISNUMBER(INDEX(Inputs!$K$5:$AJ$170,0,MATCH(T$2,Inputs!$K$4:$AJ$4,0))))+SUMPRODUCT((Inputs!$C$5:$C$170=$B73)*ISNUMBER(INDEX(Inputs!$K$5:$AJ$170,0,MATCH(T$2,Inputs!$K$4:$AJ$4,0))))+SUMPRODUCT((Inputs!$E$5:$E$170=$B73)*ISNUMBER(INDEX(Inputs!$K$5:$AJ$170,0,MATCH(T$2,Inputs!$K$4:$AJ$4,0))))=0,NA(),SUMPRODUCT((Inputs!$A$5:$A$170=$B73)*Inputs!$B$5:$B$170*(((Inputs!$G$5:$G$170="moeda")+(Inputs!$G$5:$G$170="acoes"))*Inputs!$B$1+((Inputs!$G$5:$G$170&lt;&gt;"moeda")*(Inputs!$G$5:$G$170&lt;&gt;"acoes")))*INDEX(Inputs!$K$5:$AJ$170,0,MATCH(T$2,Inputs!$K$4:$AJ$4,0)))+SUMPRODUCT((Inputs!$C$5:$C$170=$B73)*Inputs!$D$5:$D$170*(((Inputs!$G$5:$G$170="moeda")+(Inputs!$G$5:$G$170="acoes"))*Inputs!$B$1+((Inputs!$G$5:$G$170&lt;&gt;"moeda")*(Inputs!$G$5:$G$170&lt;&gt;"acoes")))*INDEX(Inputs!$K$5:$AJ$170,0,MATCH(T$2,Inputs!$K$4:$AJ$4,0)))+SUMPRODUCT((Inputs!$E$5:$E$170=$B73)*Inputs!$F$5:$F$170*(((Inputs!$G$5:$G$170="moeda")+(Inputs!$G$5:$G$170="acoes"))*Inputs!$B$1+((Inputs!$G$5:$G$170&lt;&gt;"moeda")*(Inputs!$G$5:$G$170&lt;&gt;"acoes")))*INDEX(Inputs!$K$5:$AJ$170,0,MATCH(T$2,Inputs!$K$4:$AJ$4,0)))))</f>
        <v>85989.828</v>
      </c>
      <c r="U73" s="266">
        <f>IF(ISNA(MATCH(U$2,Inputs!$K$4:$AJ$4,0)),NA(),IF(SUMPRODUCT((Inputs!$A$5:$A$170=$B73)*ISNUMBER(INDEX(Inputs!$K$5:$AJ$170,0,MATCH(U$2,Inputs!$K$4:$AJ$4,0))))+SUMPRODUCT((Inputs!$C$5:$C$170=$B73)*ISNUMBER(INDEX(Inputs!$K$5:$AJ$170,0,MATCH(U$2,Inputs!$K$4:$AJ$4,0))))+SUMPRODUCT((Inputs!$E$5:$E$170=$B73)*ISNUMBER(INDEX(Inputs!$K$5:$AJ$170,0,MATCH(U$2,Inputs!$K$4:$AJ$4,0))))=0,NA(),SUMPRODUCT((Inputs!$A$5:$A$170=$B73)*Inputs!$B$5:$B$170*(((Inputs!$G$5:$G$170="moeda")+(Inputs!$G$5:$G$170="acoes"))*Inputs!$B$1+((Inputs!$G$5:$G$170&lt;&gt;"moeda")*(Inputs!$G$5:$G$170&lt;&gt;"acoes")))*INDEX(Inputs!$K$5:$AJ$170,0,MATCH(U$2,Inputs!$K$4:$AJ$4,0)))+SUMPRODUCT((Inputs!$C$5:$C$170=$B73)*Inputs!$D$5:$D$170*(((Inputs!$G$5:$G$170="moeda")+(Inputs!$G$5:$G$170="acoes"))*Inputs!$B$1+((Inputs!$G$5:$G$170&lt;&gt;"moeda")*(Inputs!$G$5:$G$170&lt;&gt;"acoes")))*INDEX(Inputs!$K$5:$AJ$170,0,MATCH(U$2,Inputs!$K$4:$AJ$4,0)))+SUMPRODUCT((Inputs!$E$5:$E$170=$B73)*Inputs!$F$5:$F$170*(((Inputs!$G$5:$G$170="moeda")+(Inputs!$G$5:$G$170="acoes"))*Inputs!$B$1+((Inputs!$G$5:$G$170&lt;&gt;"moeda")*(Inputs!$G$5:$G$170&lt;&gt;"acoes")))*INDEX(Inputs!$K$5:$AJ$170,0,MATCH(U$2,Inputs!$K$4:$AJ$4,0)))))</f>
        <v>89426.948</v>
      </c>
      <c r="V73" s="266">
        <f>IF(ISNA(MATCH(V$2,Inputs!$K$4:$AJ$4,0)),NA(),IF(SUMPRODUCT((Inputs!$A$5:$A$170=$B73)*ISNUMBER(INDEX(Inputs!$K$5:$AJ$170,0,MATCH(V$2,Inputs!$K$4:$AJ$4,0))))+SUMPRODUCT((Inputs!$C$5:$C$170=$B73)*ISNUMBER(INDEX(Inputs!$K$5:$AJ$170,0,MATCH(V$2,Inputs!$K$4:$AJ$4,0))))+SUMPRODUCT((Inputs!$E$5:$E$170=$B73)*ISNUMBER(INDEX(Inputs!$K$5:$AJ$170,0,MATCH(V$2,Inputs!$K$4:$AJ$4,0))))=0,NA(),SUMPRODUCT((Inputs!$A$5:$A$170=$B73)*Inputs!$B$5:$B$170*(((Inputs!$G$5:$G$170="moeda")+(Inputs!$G$5:$G$170="acoes"))*Inputs!$B$1+((Inputs!$G$5:$G$170&lt;&gt;"moeda")*(Inputs!$G$5:$G$170&lt;&gt;"acoes")))*INDEX(Inputs!$K$5:$AJ$170,0,MATCH(V$2,Inputs!$K$4:$AJ$4,0)))+SUMPRODUCT((Inputs!$C$5:$C$170=$B73)*Inputs!$D$5:$D$170*(((Inputs!$G$5:$G$170="moeda")+(Inputs!$G$5:$G$170="acoes"))*Inputs!$B$1+((Inputs!$G$5:$G$170&lt;&gt;"moeda")*(Inputs!$G$5:$G$170&lt;&gt;"acoes")))*INDEX(Inputs!$K$5:$AJ$170,0,MATCH(V$2,Inputs!$K$4:$AJ$4,0)))+SUMPRODUCT((Inputs!$E$5:$E$170=$B73)*Inputs!$F$5:$F$170*(((Inputs!$G$5:$G$170="moeda")+(Inputs!$G$5:$G$170="acoes"))*Inputs!$B$1+((Inputs!$G$5:$G$170&lt;&gt;"moeda")*(Inputs!$G$5:$G$170&lt;&gt;"acoes")))*INDEX(Inputs!$K$5:$AJ$170,0,MATCH(V$2,Inputs!$K$4:$AJ$4,0)))))</f>
        <v>86193.12</v>
      </c>
      <c r="W73" s="267" t="n"/>
      <c r="X73" s="266">
        <f>IF(ISNA(MATCH(X$2,Inputs!$K$4:$AJ$4,0)),NA(),IF(SUMPRODUCT((Inputs!$A$5:$A$170=$B73)*ISNUMBER(INDEX(Inputs!$K$5:$AJ$170,0,MATCH(X$2,Inputs!$K$4:$AJ$4,0))))+SUMPRODUCT((Inputs!$C$5:$C$170=$B73)*ISNUMBER(INDEX(Inputs!$K$5:$AJ$170,0,MATCH(X$2,Inputs!$K$4:$AJ$4,0))))+SUMPRODUCT((Inputs!$E$5:$E$170=$B73)*ISNUMBER(INDEX(Inputs!$K$5:$AJ$170,0,MATCH(X$2,Inputs!$K$4:$AJ$4,0))))=0,NA(),SUMPRODUCT((Inputs!$A$5:$A$170=$B73)*Inputs!$B$5:$B$170*(((Inputs!$G$5:$G$170="moeda")+(Inputs!$G$5:$G$170="acoes"))*Inputs!$B$1+((Inputs!$G$5:$G$170&lt;&gt;"moeda")*(Inputs!$G$5:$G$170&lt;&gt;"acoes")))*INDEX(Inputs!$K$5:$AJ$170,0,MATCH(X$2,Inputs!$K$4:$AJ$4,0)))+SUMPRODUCT((Inputs!$C$5:$C$170=$B73)*Inputs!$D$5:$D$170*(((Inputs!$G$5:$G$170="moeda")+(Inputs!$G$5:$G$170="acoes"))*Inputs!$B$1+((Inputs!$G$5:$G$170&lt;&gt;"moeda")*(Inputs!$G$5:$G$170&lt;&gt;"acoes")))*INDEX(Inputs!$K$5:$AJ$170,0,MATCH(X$2,Inputs!$K$4:$AJ$4,0)))+SUMPRODUCT((Inputs!$E$5:$E$170=$B73)*Inputs!$F$5:$F$170*(((Inputs!$G$5:$G$170="moeda")+(Inputs!$G$5:$G$170="acoes"))*Inputs!$B$1+((Inputs!$G$5:$G$170&lt;&gt;"moeda")*(Inputs!$G$5:$G$170&lt;&gt;"acoes")))*INDEX(Inputs!$K$5:$AJ$170,0,MATCH(X$2,Inputs!$K$4:$AJ$4,0)))))</f>
        <v>90324.7675434935</v>
      </c>
      <c r="Y73" s="266">
        <f>IF(ISNA(MATCH(Y$2,Inputs!$K$4:$AJ$4,0)),NA(),IF(SUMPRODUCT((Inputs!$A$5:$A$170=$B73)*ISNUMBER(INDEX(Inputs!$K$5:$AJ$170,0,MATCH(Y$2,Inputs!$K$4:$AJ$4,0))))+SUMPRODUCT((Inputs!$C$5:$C$170=$B73)*ISNUMBER(INDEX(Inputs!$K$5:$AJ$170,0,MATCH(Y$2,Inputs!$K$4:$AJ$4,0))))+SUMPRODUCT((Inputs!$E$5:$E$170=$B73)*ISNUMBER(INDEX(Inputs!$K$5:$AJ$170,0,MATCH(Y$2,Inputs!$K$4:$AJ$4,0))))=0,NA(),SUMPRODUCT((Inputs!$A$5:$A$170=$B73)*Inputs!$B$5:$B$170*(((Inputs!$G$5:$G$170="moeda")+(Inputs!$G$5:$G$170="acoes"))*Inputs!$B$1+((Inputs!$G$5:$G$170&lt;&gt;"moeda")*(Inputs!$G$5:$G$170&lt;&gt;"acoes")))*INDEX(Inputs!$K$5:$AJ$170,0,MATCH(Y$2,Inputs!$K$4:$AJ$4,0)))+SUMPRODUCT((Inputs!$C$5:$C$170=$B73)*Inputs!$D$5:$D$170*(((Inputs!$G$5:$G$170="moeda")+(Inputs!$G$5:$G$170="acoes"))*Inputs!$B$1+((Inputs!$G$5:$G$170&lt;&gt;"moeda")*(Inputs!$G$5:$G$170&lt;&gt;"acoes")))*INDEX(Inputs!$K$5:$AJ$170,0,MATCH(Y$2,Inputs!$K$4:$AJ$4,0)))+SUMPRODUCT((Inputs!$E$5:$E$170=$B73)*Inputs!$F$5:$F$170*(((Inputs!$G$5:$G$170="moeda")+(Inputs!$G$5:$G$170="acoes"))*Inputs!$B$1+((Inputs!$G$5:$G$170&lt;&gt;"moeda")*(Inputs!$G$5:$G$170&lt;&gt;"acoes")))*INDEX(Inputs!$K$5:$AJ$170,0,MATCH(Y$2,Inputs!$K$4:$AJ$4,0)))))</f>
        <v>94322.6219088117</v>
      </c>
      <c r="Z73" s="266">
        <f>IF(ISNA(MATCH(Z$2,Inputs!$K$4:$AJ$4,0)),NA(),IF(SUMPRODUCT((Inputs!$A$5:$A$170=$B73)*ISNUMBER(INDEX(Inputs!$K$5:$AJ$170,0,MATCH(Z$2,Inputs!$K$4:$AJ$4,0))))+SUMPRODUCT((Inputs!$C$5:$C$170=$B73)*ISNUMBER(INDEX(Inputs!$K$5:$AJ$170,0,MATCH(Z$2,Inputs!$K$4:$AJ$4,0))))+SUMPRODUCT((Inputs!$E$5:$E$170=$B73)*ISNUMBER(INDEX(Inputs!$K$5:$AJ$170,0,MATCH(Z$2,Inputs!$K$4:$AJ$4,0))))=0,NA(),SUMPRODUCT((Inputs!$A$5:$A$170=$B73)*Inputs!$B$5:$B$170*(((Inputs!$G$5:$G$170="moeda")+(Inputs!$G$5:$G$170="acoes"))*Inputs!$B$1+((Inputs!$G$5:$G$170&lt;&gt;"moeda")*(Inputs!$G$5:$G$170&lt;&gt;"acoes")))*INDEX(Inputs!$K$5:$AJ$170,0,MATCH(Z$2,Inputs!$K$4:$AJ$4,0)))+SUMPRODUCT((Inputs!$C$5:$C$170=$B73)*Inputs!$D$5:$D$170*(((Inputs!$G$5:$G$170="moeda")+(Inputs!$G$5:$G$170="acoes"))*Inputs!$B$1+((Inputs!$G$5:$G$170&lt;&gt;"moeda")*(Inputs!$G$5:$G$170&lt;&gt;"acoes")))*INDEX(Inputs!$K$5:$AJ$170,0,MATCH(Z$2,Inputs!$K$4:$AJ$4,0)))+SUMPRODUCT((Inputs!$E$5:$E$170=$B73)*Inputs!$F$5:$F$170*(((Inputs!$G$5:$G$170="moeda")+(Inputs!$G$5:$G$170="acoes"))*Inputs!$B$1+((Inputs!$G$5:$G$170&lt;&gt;"moeda")*(Inputs!$G$5:$G$170&lt;&gt;"acoes")))*INDEX(Inputs!$K$5:$AJ$170,0,MATCH(Z$2,Inputs!$K$4:$AJ$4,0)))))</f>
        <v>101130.255</v>
      </c>
      <c r="AA73" s="266">
        <f>IF(ISNA(MATCH(AA$2,Inputs!$K$4:$AJ$4,0)),NA(),IF(SUMPRODUCT((Inputs!$A$5:$A$170=$B73)*ISNUMBER(INDEX(Inputs!$K$5:$AJ$170,0,MATCH(AA$2,Inputs!$K$4:$AJ$4,0))))+SUMPRODUCT((Inputs!$C$5:$C$170=$B73)*ISNUMBER(INDEX(Inputs!$K$5:$AJ$170,0,MATCH(AA$2,Inputs!$K$4:$AJ$4,0))))+SUMPRODUCT((Inputs!$E$5:$E$170=$B73)*ISNUMBER(INDEX(Inputs!$K$5:$AJ$170,0,MATCH(AA$2,Inputs!$K$4:$AJ$4,0))))=0,NA(),SUMPRODUCT((Inputs!$A$5:$A$170=$B73)*Inputs!$B$5:$B$170*(((Inputs!$G$5:$G$170="moeda")+(Inputs!$G$5:$G$170="acoes"))*Inputs!$B$1+((Inputs!$G$5:$G$170&lt;&gt;"moeda")*(Inputs!$G$5:$G$170&lt;&gt;"acoes")))*INDEX(Inputs!$K$5:$AJ$170,0,MATCH(AA$2,Inputs!$K$4:$AJ$4,0)))+SUMPRODUCT((Inputs!$C$5:$C$170=$B73)*Inputs!$D$5:$D$170*(((Inputs!$G$5:$G$170="moeda")+(Inputs!$G$5:$G$170="acoes"))*Inputs!$B$1+((Inputs!$G$5:$G$170&lt;&gt;"moeda")*(Inputs!$G$5:$G$170&lt;&gt;"acoes")))*INDEX(Inputs!$K$5:$AJ$170,0,MATCH(AA$2,Inputs!$K$4:$AJ$4,0)))+SUMPRODUCT((Inputs!$E$5:$E$170=$B73)*Inputs!$F$5:$F$170*(((Inputs!$G$5:$G$170="moeda")+(Inputs!$G$5:$G$170="acoes"))*Inputs!$B$1+((Inputs!$G$5:$G$170&lt;&gt;"moeda")*(Inputs!$G$5:$G$170&lt;&gt;"acoes")))*INDEX(Inputs!$K$5:$AJ$170,0,MATCH(AA$2,Inputs!$K$4:$AJ$4,0)))))</f>
        <v>100334.850780086</v>
      </c>
      <c r="AB73" s="267" t="n"/>
      <c r="AC73" s="266">
        <f>IF(ISNA(MATCH(AC$2,Inputs!$K$4:$AJ$4,0)),NA(),IF(SUMPRODUCT((Inputs!$A$5:$A$170=$B73)*ISNUMBER(INDEX(Inputs!$K$5:$AJ$170,0,MATCH(AC$2,Inputs!$K$4:$AJ$4,0))))+SUMPRODUCT((Inputs!$C$5:$C$170=$B73)*ISNUMBER(INDEX(Inputs!$K$5:$AJ$170,0,MATCH(AC$2,Inputs!$K$4:$AJ$4,0))))+SUMPRODUCT((Inputs!$E$5:$E$170=$B73)*ISNUMBER(INDEX(Inputs!$K$5:$AJ$170,0,MATCH(AC$2,Inputs!$K$4:$AJ$4,0))))=0,NA(),SUMPRODUCT((Inputs!$A$5:$A$170=$B73)*Inputs!$B$5:$B$170*(((Inputs!$G$5:$G$170="moeda")+(Inputs!$G$5:$G$170="acoes"))*Inputs!$B$1+((Inputs!$G$5:$G$170&lt;&gt;"moeda")*(Inputs!$G$5:$G$170&lt;&gt;"acoes")))*INDEX(Inputs!$K$5:$AJ$170,0,MATCH(AC$2,Inputs!$K$4:$AJ$4,0)))+SUMPRODUCT((Inputs!$C$5:$C$170=$B73)*Inputs!$D$5:$D$170*(((Inputs!$G$5:$G$170="moeda")+(Inputs!$G$5:$G$170="acoes"))*Inputs!$B$1+((Inputs!$G$5:$G$170&lt;&gt;"moeda")*(Inputs!$G$5:$G$170&lt;&gt;"acoes")))*INDEX(Inputs!$K$5:$AJ$170,0,MATCH(AC$2,Inputs!$K$4:$AJ$4,0)))+SUMPRODUCT((Inputs!$E$5:$E$170=$B73)*Inputs!$F$5:$F$170*(((Inputs!$G$5:$G$170="moeda")+(Inputs!$G$5:$G$170="acoes"))*Inputs!$B$1+((Inputs!$G$5:$G$170&lt;&gt;"moeda")*(Inputs!$G$5:$G$170&lt;&gt;"acoes")))*INDEX(Inputs!$K$5:$AJ$170,0,MATCH(AC$2,Inputs!$K$4:$AJ$4,0)))))</f>
        <v>102359.604469427</v>
      </c>
      <c r="AD73" s="266">
        <f>IF(ISNA(MATCH(AD$2,Inputs!$K$4:$AJ$4,0)),NA(),IF(SUMPRODUCT((Inputs!$A$5:$A$170=$B73)*ISNUMBER(INDEX(Inputs!$K$5:$AJ$170,0,MATCH(AD$2,Inputs!$K$4:$AJ$4,0))))+SUMPRODUCT((Inputs!$C$5:$C$170=$B73)*ISNUMBER(INDEX(Inputs!$K$5:$AJ$170,0,MATCH(AD$2,Inputs!$K$4:$AJ$4,0))))+SUMPRODUCT((Inputs!$E$5:$E$170=$B73)*ISNUMBER(INDEX(Inputs!$K$5:$AJ$170,0,MATCH(AD$2,Inputs!$K$4:$AJ$4,0))))=0,NA(),SUMPRODUCT((Inputs!$A$5:$A$170=$B73)*Inputs!$B$5:$B$170*(((Inputs!$G$5:$G$170="moeda")+(Inputs!$G$5:$G$170="acoes"))*Inputs!$B$1+((Inputs!$G$5:$G$170&lt;&gt;"moeda")*(Inputs!$G$5:$G$170&lt;&gt;"acoes")))*INDEX(Inputs!$K$5:$AJ$170,0,MATCH(AD$2,Inputs!$K$4:$AJ$4,0)))+SUMPRODUCT((Inputs!$C$5:$C$170=$B73)*Inputs!$D$5:$D$170*(((Inputs!$G$5:$G$170="moeda")+(Inputs!$G$5:$G$170="acoes"))*Inputs!$B$1+((Inputs!$G$5:$G$170&lt;&gt;"moeda")*(Inputs!$G$5:$G$170&lt;&gt;"acoes")))*INDEX(Inputs!$K$5:$AJ$170,0,MATCH(AD$2,Inputs!$K$4:$AJ$4,0)))+SUMPRODUCT((Inputs!$E$5:$E$170=$B73)*Inputs!$F$5:$F$170*(((Inputs!$G$5:$G$170="moeda")+(Inputs!$G$5:$G$170="acoes"))*Inputs!$B$1+((Inputs!$G$5:$G$170&lt;&gt;"moeda")*(Inputs!$G$5:$G$170&lt;&gt;"acoes")))*INDEX(Inputs!$K$5:$AJ$170,0,MATCH(AD$2,Inputs!$K$4:$AJ$4,0)))))</f>
        <v>101231.423055191</v>
      </c>
      <c r="AE73" s="266" t="e">
        <f>IF(ISNA(MATCH(AE$2,Inputs!$K$4:$AJ$4,0)),NA(),IF(SUMPRODUCT((Inputs!$A$5:$A$170=$B73)*ISNUMBER(INDEX(Inputs!$K$5:$AJ$170,0,MATCH(AE$2,Inputs!$K$4:$AJ$4,0))))+SUMPRODUCT((Inputs!$C$5:$C$170=$B73)*ISNUMBER(INDEX(Inputs!$K$5:$AJ$170,0,MATCH(AE$2,Inputs!$K$4:$AJ$4,0))))+SUMPRODUCT((Inputs!$E$5:$E$170=$B73)*ISNUMBER(INDEX(Inputs!$K$5:$AJ$170,0,MATCH(AE$2,Inputs!$K$4:$AJ$4,0))))=0,NA(),SUMPRODUCT((Inputs!$A$5:$A$170=$B73)*Inputs!$B$5:$B$170*(((Inputs!$G$5:$G$170="moeda")+(Inputs!$G$5:$G$170="acoes"))*Inputs!$B$1+((Inputs!$G$5:$G$170&lt;&gt;"moeda")*(Inputs!$G$5:$G$170&lt;&gt;"acoes")))*INDEX(Inputs!$K$5:$AJ$170,0,MATCH(AE$2,Inputs!$K$4:$AJ$4,0)))+SUMPRODUCT((Inputs!$C$5:$C$170=$B73)*Inputs!$D$5:$D$170*(((Inputs!$G$5:$G$170="moeda")+(Inputs!$G$5:$G$170="acoes"))*Inputs!$B$1+((Inputs!$G$5:$G$170&lt;&gt;"moeda")*(Inputs!$G$5:$G$170&lt;&gt;"acoes")))*INDEX(Inputs!$K$5:$AJ$170,0,MATCH(AE$2,Inputs!$K$4:$AJ$4,0)))+SUMPRODUCT((Inputs!$E$5:$E$170=$B73)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3" s="266" t="e">
        <f>IF(ISNA(MATCH(AF$2,Inputs!$K$4:$AJ$4,0)),NA(),IF(SUMPRODUCT((Inputs!$A$5:$A$170=$B73)*ISNUMBER(INDEX(Inputs!$K$5:$AJ$170,0,MATCH(AF$2,Inputs!$K$4:$AJ$4,0))))+SUMPRODUCT((Inputs!$C$5:$C$170=$B73)*ISNUMBER(INDEX(Inputs!$K$5:$AJ$170,0,MATCH(AF$2,Inputs!$K$4:$AJ$4,0))))+SUMPRODUCT((Inputs!$E$5:$E$170=$B73)*ISNUMBER(INDEX(Inputs!$K$5:$AJ$170,0,MATCH(AF$2,Inputs!$K$4:$AJ$4,0))))=0,NA(),SUMPRODUCT((Inputs!$A$5:$A$170=$B73)*Inputs!$B$5:$B$170*(((Inputs!$G$5:$G$170="moeda")+(Inputs!$G$5:$G$170="acoes"))*Inputs!$B$1+((Inputs!$G$5:$G$170&lt;&gt;"moeda")*(Inputs!$G$5:$G$170&lt;&gt;"acoes")))*INDEX(Inputs!$K$5:$AJ$170,0,MATCH(AF$2,Inputs!$K$4:$AJ$4,0)))+SUMPRODUCT((Inputs!$C$5:$C$170=$B73)*Inputs!$D$5:$D$170*(((Inputs!$G$5:$G$170="moeda")+(Inputs!$G$5:$G$170="acoes"))*Inputs!$B$1+((Inputs!$G$5:$G$170&lt;&gt;"moeda")*(Inputs!$G$5:$G$170&lt;&gt;"acoes")))*INDEX(Inputs!$K$5:$AJ$170,0,MATCH(AF$2,Inputs!$K$4:$AJ$4,0)))+SUMPRODUCT((Inputs!$E$5:$E$170=$B73)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3" s="267" t="n"/>
      <c r="AH73" s="266">
        <f>IF(ISNA(MATCH(AH$2,Inputs!$K$4:$AJ$4,0)),NA(),IF(SUMPRODUCT((Inputs!$A$5:$A$170=$B73)*ISNUMBER(INDEX(Inputs!$K$5:$AJ$170,0,MATCH(AH$2,Inputs!$K$4:$AJ$4,0))))+SUMPRODUCT((Inputs!$C$5:$C$170=$B73)*ISNUMBER(INDEX(Inputs!$K$5:$AJ$170,0,MATCH(AH$2,Inputs!$K$4:$AJ$4,0))))+SUMPRODUCT((Inputs!$E$5:$E$170=$B73)*ISNUMBER(INDEX(Inputs!$K$5:$AJ$170,0,MATCH(AH$2,Inputs!$K$4:$AJ$4,0))))=0,NA(),SUMPRODUCT((Inputs!$A$5:$A$170=$B73)*Inputs!$B$5:$B$170*(((Inputs!$G$5:$G$170="moeda")+(Inputs!$G$5:$G$170="acoes"))*Inputs!$B$1+((Inputs!$G$5:$G$170&lt;&gt;"moeda")*(Inputs!$G$5:$G$170&lt;&gt;"acoes")))*INDEX(Inputs!$K$5:$AJ$170,0,MATCH(AH$2,Inputs!$K$4:$AJ$4,0)))+SUMPRODUCT((Inputs!$C$5:$C$170=$B73)*Inputs!$D$5:$D$170*(((Inputs!$G$5:$G$170="moeda")+(Inputs!$G$5:$G$170="acoes"))*Inputs!$B$1+((Inputs!$G$5:$G$170&lt;&gt;"moeda")*(Inputs!$G$5:$G$170&lt;&gt;"acoes")))*INDEX(Inputs!$K$5:$AJ$170,0,MATCH(AH$2,Inputs!$K$4:$AJ$4,0)))+SUMPRODUCT((Inputs!$E$5:$E$170=$B73)*Inputs!$F$5:$F$170*(((Inputs!$G$5:$G$170="moeda")+(Inputs!$G$5:$G$170="acoes"))*Inputs!$B$1+((Inputs!$G$5:$G$170&lt;&gt;"moeda")*(Inputs!$G$5:$G$170&lt;&gt;"acoes")))*INDEX(Inputs!$K$5:$AJ$170,0,MATCH(AH$2,Inputs!$K$4:$AJ$4,0)))))</f>
        <v>47031.149</v>
      </c>
      <c r="AI73" s="266">
        <f>IF(ISNA(MATCH(AI$2,Inputs!$K$4:$AJ$4,0)),NA(),IF(SUMPRODUCT((Inputs!$A$5:$A$170=$B73)*ISNUMBER(INDEX(Inputs!$K$5:$AJ$170,0,MATCH(AI$2,Inputs!$K$4:$AJ$4,0))))+SUMPRODUCT((Inputs!$C$5:$C$170=$B73)*ISNUMBER(INDEX(Inputs!$K$5:$AJ$170,0,MATCH(AI$2,Inputs!$K$4:$AJ$4,0))))+SUMPRODUCT((Inputs!$E$5:$E$170=$B73)*ISNUMBER(INDEX(Inputs!$K$5:$AJ$170,0,MATCH(AI$2,Inputs!$K$4:$AJ$4,0))))=0,NA(),SUMPRODUCT((Inputs!$A$5:$A$170=$B73)*Inputs!$B$5:$B$170*(((Inputs!$G$5:$G$170="moeda")+(Inputs!$G$5:$G$170="acoes"))*Inputs!$B$1+((Inputs!$G$5:$G$170&lt;&gt;"moeda")*(Inputs!$G$5:$G$170&lt;&gt;"acoes")))*INDEX(Inputs!$K$5:$AJ$170,0,MATCH(AI$2,Inputs!$K$4:$AJ$4,0)))+SUMPRODUCT((Inputs!$C$5:$C$170=$B73)*Inputs!$D$5:$D$170*(((Inputs!$G$5:$G$170="moeda")+(Inputs!$G$5:$G$170="acoes"))*Inputs!$B$1+((Inputs!$G$5:$G$170&lt;&gt;"moeda")*(Inputs!$G$5:$G$170&lt;&gt;"acoes")))*INDEX(Inputs!$K$5:$AJ$170,0,MATCH(AI$2,Inputs!$K$4:$AJ$4,0)))+SUMPRODUCT((Inputs!$E$5:$E$170=$B73)*Inputs!$F$5:$F$170*(((Inputs!$G$5:$G$170="moeda")+(Inputs!$G$5:$G$170="acoes"))*Inputs!$B$1+((Inputs!$G$5:$G$170&lt;&gt;"moeda")*(Inputs!$G$5:$G$170&lt;&gt;"acoes")))*INDEX(Inputs!$K$5:$AJ$170,0,MATCH(AI$2,Inputs!$K$4:$AJ$4,0)))))</f>
        <v>50847.289</v>
      </c>
      <c r="AJ73" s="266">
        <f>IF(ISNA(MATCH(AJ$2,Inputs!$K$4:$AJ$4,0)),NA(),IF(SUMPRODUCT((Inputs!$A$5:$A$170=$B73)*ISNUMBER(INDEX(Inputs!$K$5:$AJ$170,0,MATCH(AJ$2,Inputs!$K$4:$AJ$4,0))))+SUMPRODUCT((Inputs!$C$5:$C$170=$B73)*ISNUMBER(INDEX(Inputs!$K$5:$AJ$170,0,MATCH(AJ$2,Inputs!$K$4:$AJ$4,0))))+SUMPRODUCT((Inputs!$E$5:$E$170=$B73)*ISNUMBER(INDEX(Inputs!$K$5:$AJ$170,0,MATCH(AJ$2,Inputs!$K$4:$AJ$4,0))))=0,NA(),SUMPRODUCT((Inputs!$A$5:$A$170=$B73)*Inputs!$B$5:$B$170*(((Inputs!$G$5:$G$170="moeda")+(Inputs!$G$5:$G$170="acoes"))*Inputs!$B$1+((Inputs!$G$5:$G$170&lt;&gt;"moeda")*(Inputs!$G$5:$G$170&lt;&gt;"acoes")))*INDEX(Inputs!$K$5:$AJ$170,0,MATCH(AJ$2,Inputs!$K$4:$AJ$4,0)))+SUMPRODUCT((Inputs!$C$5:$C$170=$B73)*Inputs!$D$5:$D$170*(((Inputs!$G$5:$G$170="moeda")+(Inputs!$G$5:$G$170="acoes"))*Inputs!$B$1+((Inputs!$G$5:$G$170&lt;&gt;"moeda")*(Inputs!$G$5:$G$170&lt;&gt;"acoes")))*INDEX(Inputs!$K$5:$AJ$170,0,MATCH(AJ$2,Inputs!$K$4:$AJ$4,0)))+SUMPRODUCT((Inputs!$E$5:$E$170=$B73)*Inputs!$F$5:$F$170*(((Inputs!$G$5:$G$170="moeda")+(Inputs!$G$5:$G$170="acoes"))*Inputs!$B$1+((Inputs!$G$5:$G$170&lt;&gt;"moeda")*(Inputs!$G$5:$G$170&lt;&gt;"acoes")))*INDEX(Inputs!$K$5:$AJ$170,0,MATCH(AJ$2,Inputs!$K$4:$AJ$4,0)))))</f>
        <v>52071.464</v>
      </c>
      <c r="AK73" s="266">
        <f>IF(ISNA(MATCH(AK$2,Inputs!$K$4:$AJ$4,0)),NA(),IF(SUMPRODUCT((Inputs!$A$5:$A$170=$B73)*ISNUMBER(INDEX(Inputs!$K$5:$AJ$170,0,MATCH(AK$2,Inputs!$K$4:$AJ$4,0))))+SUMPRODUCT((Inputs!$C$5:$C$170=$B73)*ISNUMBER(INDEX(Inputs!$K$5:$AJ$170,0,MATCH(AK$2,Inputs!$K$4:$AJ$4,0))))+SUMPRODUCT((Inputs!$E$5:$E$170=$B73)*ISNUMBER(INDEX(Inputs!$K$5:$AJ$170,0,MATCH(AK$2,Inputs!$K$4:$AJ$4,0))))=0,NA(),SUMPRODUCT((Inputs!$A$5:$A$170=$B73)*Inputs!$B$5:$B$170*(((Inputs!$G$5:$G$170="moeda")+(Inputs!$G$5:$G$170="acoes"))*Inputs!$B$1+((Inputs!$G$5:$G$170&lt;&gt;"moeda")*(Inputs!$G$5:$G$170&lt;&gt;"acoes")))*INDEX(Inputs!$K$5:$AJ$170,0,MATCH(AK$2,Inputs!$K$4:$AJ$4,0)))+SUMPRODUCT((Inputs!$C$5:$C$170=$B73)*Inputs!$D$5:$D$170*(((Inputs!$G$5:$G$170="moeda")+(Inputs!$G$5:$G$170="acoes"))*Inputs!$B$1+((Inputs!$G$5:$G$170&lt;&gt;"moeda")*(Inputs!$G$5:$G$170&lt;&gt;"acoes")))*INDEX(Inputs!$K$5:$AJ$170,0,MATCH(AK$2,Inputs!$K$4:$AJ$4,0)))+SUMPRODUCT((Inputs!$E$5:$E$170=$B73)*Inputs!$F$5:$F$170*(((Inputs!$G$5:$G$170="moeda")+(Inputs!$G$5:$G$170="acoes"))*Inputs!$B$1+((Inputs!$G$5:$G$170&lt;&gt;"moeda")*(Inputs!$G$5:$G$170&lt;&gt;"acoes")))*INDEX(Inputs!$K$5:$AJ$170,0,MATCH(AK$2,Inputs!$K$4:$AJ$4,0)))))</f>
        <v>55619.125</v>
      </c>
      <c r="AL73" s="267" t="n"/>
    </row>
    <row r="74">
      <c r="B74" s="46" t="n">
        <v>66</v>
      </c>
      <c r="C74" s="29" t="inlineStr">
        <is>
          <t>Capex RAC - frota + lojas + outros (R$ mi; CAPEX l.13)</t>
        </is>
      </c>
      <c r="D74" s="264">
        <f>IF(ISNA(MATCH(D$2,Inputs!$K$4:$AJ$4,0)),NA(),IF(SUMPRODUCT((Inputs!$A$5:$A$170=$B74)*ISNUMBER(INDEX(Inputs!$K$5:$AJ$170,0,MATCH(D$2,Inputs!$K$4:$AJ$4,0))))+SUMPRODUCT((Inputs!$C$5:$C$170=$B74)*ISNUMBER(INDEX(Inputs!$K$5:$AJ$170,0,MATCH(D$2,Inputs!$K$4:$AJ$4,0))))+SUMPRODUCT((Inputs!$E$5:$E$170=$B74)*ISNUMBER(INDEX(Inputs!$K$5:$AJ$170,0,MATCH(D$2,Inputs!$K$4:$AJ$4,0))))=0,NA(),SUMPRODUCT((Inputs!$A$5:$A$170=$B74)*Inputs!$B$5:$B$170*(((Inputs!$G$5:$G$170="moeda")+(Inputs!$G$5:$G$170="acoes"))*Inputs!$B$1+((Inputs!$G$5:$G$170&lt;&gt;"moeda")*(Inputs!$G$5:$G$170&lt;&gt;"acoes")))*INDEX(Inputs!$K$5:$AJ$170,0,MATCH(D$2,Inputs!$K$4:$AJ$4,0)))+SUMPRODUCT((Inputs!$C$5:$C$170=$B74)*Inputs!$D$5:$D$170*(((Inputs!$G$5:$G$170="moeda")+(Inputs!$G$5:$G$170="acoes"))*Inputs!$B$1+((Inputs!$G$5:$G$170&lt;&gt;"moeda")*(Inputs!$G$5:$G$170&lt;&gt;"acoes")))*INDEX(Inputs!$K$5:$AJ$170,0,MATCH(D$2,Inputs!$K$4:$AJ$4,0)))+SUMPRODUCT((Inputs!$E$5:$E$170=$B74)*Inputs!$F$5:$F$170*(((Inputs!$G$5:$G$170="moeda")+(Inputs!$G$5:$G$170="acoes"))*Inputs!$B$1+((Inputs!$G$5:$G$170&lt;&gt;"moeda")*(Inputs!$G$5:$G$170&lt;&gt;"acoes")))*INDEX(Inputs!$K$5:$AJ$170,0,MATCH(D$2,Inputs!$K$4:$AJ$4,0)))))</f>
        <v>281.818</v>
      </c>
      <c r="E74" s="264">
        <f>IF(ISNA(MATCH(E$2,Inputs!$K$4:$AJ$4,0)),NA(),IF(SUMPRODUCT((Inputs!$A$5:$A$170=$B74)*ISNUMBER(INDEX(Inputs!$K$5:$AJ$170,0,MATCH(E$2,Inputs!$K$4:$AJ$4,0))))+SUMPRODUCT((Inputs!$C$5:$C$170=$B74)*ISNUMBER(INDEX(Inputs!$K$5:$AJ$170,0,MATCH(E$2,Inputs!$K$4:$AJ$4,0))))+SUMPRODUCT((Inputs!$E$5:$E$170=$B74)*ISNUMBER(INDEX(Inputs!$K$5:$AJ$170,0,MATCH(E$2,Inputs!$K$4:$AJ$4,0))))=0,NA(),SUMPRODUCT((Inputs!$A$5:$A$170=$B74)*Inputs!$B$5:$B$170*(((Inputs!$G$5:$G$170="moeda")+(Inputs!$G$5:$G$170="acoes"))*Inputs!$B$1+((Inputs!$G$5:$G$170&lt;&gt;"moeda")*(Inputs!$G$5:$G$170&lt;&gt;"acoes")))*INDEX(Inputs!$K$5:$AJ$170,0,MATCH(E$2,Inputs!$K$4:$AJ$4,0)))+SUMPRODUCT((Inputs!$C$5:$C$170=$B74)*Inputs!$D$5:$D$170*(((Inputs!$G$5:$G$170="moeda")+(Inputs!$G$5:$G$170="acoes"))*Inputs!$B$1+((Inputs!$G$5:$G$170&lt;&gt;"moeda")*(Inputs!$G$5:$G$170&lt;&gt;"acoes")))*INDEX(Inputs!$K$5:$AJ$170,0,MATCH(E$2,Inputs!$K$4:$AJ$4,0)))+SUMPRODUCT((Inputs!$E$5:$E$170=$B74)*Inputs!$F$5:$F$170*(((Inputs!$G$5:$G$170="moeda")+(Inputs!$G$5:$G$170="acoes"))*Inputs!$B$1+((Inputs!$G$5:$G$170&lt;&gt;"moeda")*(Inputs!$G$5:$G$170&lt;&gt;"acoes")))*INDEX(Inputs!$K$5:$AJ$170,0,MATCH(E$2,Inputs!$K$4:$AJ$4,0)))))</f>
        <v>1318.926</v>
      </c>
      <c r="F74" s="264">
        <f>IF(ISNA(MATCH(F$2,Inputs!$K$4:$AJ$4,0)),NA(),IF(SUMPRODUCT((Inputs!$A$5:$A$170=$B74)*ISNUMBER(INDEX(Inputs!$K$5:$AJ$170,0,MATCH(F$2,Inputs!$K$4:$AJ$4,0))))+SUMPRODUCT((Inputs!$C$5:$C$170=$B74)*ISNUMBER(INDEX(Inputs!$K$5:$AJ$170,0,MATCH(F$2,Inputs!$K$4:$AJ$4,0))))+SUMPRODUCT((Inputs!$E$5:$E$170=$B74)*ISNUMBER(INDEX(Inputs!$K$5:$AJ$170,0,MATCH(F$2,Inputs!$K$4:$AJ$4,0))))=0,NA(),SUMPRODUCT((Inputs!$A$5:$A$170=$B74)*Inputs!$B$5:$B$170*(((Inputs!$G$5:$G$170="moeda")+(Inputs!$G$5:$G$170="acoes"))*Inputs!$B$1+((Inputs!$G$5:$G$170&lt;&gt;"moeda")*(Inputs!$G$5:$G$170&lt;&gt;"acoes")))*INDEX(Inputs!$K$5:$AJ$170,0,MATCH(F$2,Inputs!$K$4:$AJ$4,0)))+SUMPRODUCT((Inputs!$C$5:$C$170=$B74)*Inputs!$D$5:$D$170*(((Inputs!$G$5:$G$170="moeda")+(Inputs!$G$5:$G$170="acoes"))*Inputs!$B$1+((Inputs!$G$5:$G$170&lt;&gt;"moeda")*(Inputs!$G$5:$G$170&lt;&gt;"acoes")))*INDEX(Inputs!$K$5:$AJ$170,0,MATCH(F$2,Inputs!$K$4:$AJ$4,0)))+SUMPRODUCT((Inputs!$E$5:$E$170=$B74)*Inputs!$F$5:$F$170*(((Inputs!$G$5:$G$170="moeda")+(Inputs!$G$5:$G$170="acoes"))*Inputs!$B$1+((Inputs!$G$5:$G$170&lt;&gt;"moeda")*(Inputs!$G$5:$G$170&lt;&gt;"acoes")))*INDEX(Inputs!$K$5:$AJ$170,0,MATCH(F$2,Inputs!$K$4:$AJ$4,0)))))</f>
        <v>1182.7</v>
      </c>
      <c r="G74" s="264">
        <f>IF(ISNA(MATCH(G$2,Inputs!$K$4:$AJ$4,0)),NA(),IF(SUMPRODUCT((Inputs!$A$5:$A$170=$B74)*ISNUMBER(INDEX(Inputs!$K$5:$AJ$170,0,MATCH(G$2,Inputs!$K$4:$AJ$4,0))))+SUMPRODUCT((Inputs!$C$5:$C$170=$B74)*ISNUMBER(INDEX(Inputs!$K$5:$AJ$170,0,MATCH(G$2,Inputs!$K$4:$AJ$4,0))))+SUMPRODUCT((Inputs!$E$5:$E$170=$B74)*ISNUMBER(INDEX(Inputs!$K$5:$AJ$170,0,MATCH(G$2,Inputs!$K$4:$AJ$4,0))))=0,NA(),SUMPRODUCT((Inputs!$A$5:$A$170=$B74)*Inputs!$B$5:$B$170*(((Inputs!$G$5:$G$170="moeda")+(Inputs!$G$5:$G$170="acoes"))*Inputs!$B$1+((Inputs!$G$5:$G$170&lt;&gt;"moeda")*(Inputs!$G$5:$G$170&lt;&gt;"acoes")))*INDEX(Inputs!$K$5:$AJ$170,0,MATCH(G$2,Inputs!$K$4:$AJ$4,0)))+SUMPRODUCT((Inputs!$C$5:$C$170=$B74)*Inputs!$D$5:$D$170*(((Inputs!$G$5:$G$170="moeda")+(Inputs!$G$5:$G$170="acoes"))*Inputs!$B$1+((Inputs!$G$5:$G$170&lt;&gt;"moeda")*(Inputs!$G$5:$G$170&lt;&gt;"acoes")))*INDEX(Inputs!$K$5:$AJ$170,0,MATCH(G$2,Inputs!$K$4:$AJ$4,0)))+SUMPRODUCT((Inputs!$E$5:$E$170=$B74)*Inputs!$F$5:$F$170*(((Inputs!$G$5:$G$170="moeda")+(Inputs!$G$5:$G$170="acoes"))*Inputs!$B$1+((Inputs!$G$5:$G$170&lt;&gt;"moeda")*(Inputs!$G$5:$G$170&lt;&gt;"acoes")))*INDEX(Inputs!$K$5:$AJ$170,0,MATCH(G$2,Inputs!$K$4:$AJ$4,0)))))</f>
        <v>1996.188</v>
      </c>
      <c r="H74" s="265">
        <f>SUM(D74:G74)</f>
        <v>4779.632</v>
      </c>
      <c r="I74" s="264">
        <f>IF(ISNA(MATCH(I$2,Inputs!$K$4:$AJ$4,0)),NA(),IF(SUMPRODUCT((Inputs!$A$5:$A$170=$B74)*ISNUMBER(INDEX(Inputs!$K$5:$AJ$170,0,MATCH(I$2,Inputs!$K$4:$AJ$4,0))))+SUMPRODUCT((Inputs!$C$5:$C$170=$B74)*ISNUMBER(INDEX(Inputs!$K$5:$AJ$170,0,MATCH(I$2,Inputs!$K$4:$AJ$4,0))))+SUMPRODUCT((Inputs!$E$5:$E$170=$B74)*ISNUMBER(INDEX(Inputs!$K$5:$AJ$170,0,MATCH(I$2,Inputs!$K$4:$AJ$4,0))))=0,NA(),SUMPRODUCT((Inputs!$A$5:$A$170=$B74)*Inputs!$B$5:$B$170*(((Inputs!$G$5:$G$170="moeda")+(Inputs!$G$5:$G$170="acoes"))*Inputs!$B$1+((Inputs!$G$5:$G$170&lt;&gt;"moeda")*(Inputs!$G$5:$G$170&lt;&gt;"acoes")))*INDEX(Inputs!$K$5:$AJ$170,0,MATCH(I$2,Inputs!$K$4:$AJ$4,0)))+SUMPRODUCT((Inputs!$C$5:$C$170=$B74)*Inputs!$D$5:$D$170*(((Inputs!$G$5:$G$170="moeda")+(Inputs!$G$5:$G$170="acoes"))*Inputs!$B$1+((Inputs!$G$5:$G$170&lt;&gt;"moeda")*(Inputs!$G$5:$G$170&lt;&gt;"acoes")))*INDEX(Inputs!$K$5:$AJ$170,0,MATCH(I$2,Inputs!$K$4:$AJ$4,0)))+SUMPRODUCT((Inputs!$E$5:$E$170=$B74)*Inputs!$F$5:$F$170*(((Inputs!$G$5:$G$170="moeda")+(Inputs!$G$5:$G$170="acoes"))*Inputs!$B$1+((Inputs!$G$5:$G$170&lt;&gt;"moeda")*(Inputs!$G$5:$G$170&lt;&gt;"acoes")))*INDEX(Inputs!$K$5:$AJ$170,0,MATCH(I$2,Inputs!$K$4:$AJ$4,0)))))</f>
        <v>1808.921</v>
      </c>
      <c r="J74" s="264">
        <f>IF(ISNA(MATCH(J$2,Inputs!$K$4:$AJ$4,0)),NA(),IF(SUMPRODUCT((Inputs!$A$5:$A$170=$B74)*ISNUMBER(INDEX(Inputs!$K$5:$AJ$170,0,MATCH(J$2,Inputs!$K$4:$AJ$4,0))))+SUMPRODUCT((Inputs!$C$5:$C$170=$B74)*ISNUMBER(INDEX(Inputs!$K$5:$AJ$170,0,MATCH(J$2,Inputs!$K$4:$AJ$4,0))))+SUMPRODUCT((Inputs!$E$5:$E$170=$B74)*ISNUMBER(INDEX(Inputs!$K$5:$AJ$170,0,MATCH(J$2,Inputs!$K$4:$AJ$4,0))))=0,NA(),SUMPRODUCT((Inputs!$A$5:$A$170=$B74)*Inputs!$B$5:$B$170*(((Inputs!$G$5:$G$170="moeda")+(Inputs!$G$5:$G$170="acoes"))*Inputs!$B$1+((Inputs!$G$5:$G$170&lt;&gt;"moeda")*(Inputs!$G$5:$G$170&lt;&gt;"acoes")))*INDEX(Inputs!$K$5:$AJ$170,0,MATCH(J$2,Inputs!$K$4:$AJ$4,0)))+SUMPRODUCT((Inputs!$C$5:$C$170=$B74)*Inputs!$D$5:$D$170*(((Inputs!$G$5:$G$170="moeda")+(Inputs!$G$5:$G$170="acoes"))*Inputs!$B$1+((Inputs!$G$5:$G$170&lt;&gt;"moeda")*(Inputs!$G$5:$G$170&lt;&gt;"acoes")))*INDEX(Inputs!$K$5:$AJ$170,0,MATCH(J$2,Inputs!$K$4:$AJ$4,0)))+SUMPRODUCT((Inputs!$E$5:$E$170=$B74)*Inputs!$F$5:$F$170*(((Inputs!$G$5:$G$170="moeda")+(Inputs!$G$5:$G$170="acoes"))*Inputs!$B$1+((Inputs!$G$5:$G$170&lt;&gt;"moeda")*(Inputs!$G$5:$G$170&lt;&gt;"acoes")))*INDEX(Inputs!$K$5:$AJ$170,0,MATCH(J$2,Inputs!$K$4:$AJ$4,0)))))</f>
        <v>1991.964</v>
      </c>
      <c r="K74" s="264">
        <f>IF(ISNA(MATCH(K$2,Inputs!$K$4:$AJ$4,0)),NA(),IF(SUMPRODUCT((Inputs!$A$5:$A$170=$B74)*ISNUMBER(INDEX(Inputs!$K$5:$AJ$170,0,MATCH(K$2,Inputs!$K$4:$AJ$4,0))))+SUMPRODUCT((Inputs!$C$5:$C$170=$B74)*ISNUMBER(INDEX(Inputs!$K$5:$AJ$170,0,MATCH(K$2,Inputs!$K$4:$AJ$4,0))))+SUMPRODUCT((Inputs!$E$5:$E$170=$B74)*ISNUMBER(INDEX(Inputs!$K$5:$AJ$170,0,MATCH(K$2,Inputs!$K$4:$AJ$4,0))))=0,NA(),SUMPRODUCT((Inputs!$A$5:$A$170=$B74)*Inputs!$B$5:$B$170*(((Inputs!$G$5:$G$170="moeda")+(Inputs!$G$5:$G$170="acoes"))*Inputs!$B$1+((Inputs!$G$5:$G$170&lt;&gt;"moeda")*(Inputs!$G$5:$G$170&lt;&gt;"acoes")))*INDEX(Inputs!$K$5:$AJ$170,0,MATCH(K$2,Inputs!$K$4:$AJ$4,0)))+SUMPRODUCT((Inputs!$C$5:$C$170=$B74)*Inputs!$D$5:$D$170*(((Inputs!$G$5:$G$170="moeda")+(Inputs!$G$5:$G$170="acoes"))*Inputs!$B$1+((Inputs!$G$5:$G$170&lt;&gt;"moeda")*(Inputs!$G$5:$G$170&lt;&gt;"acoes")))*INDEX(Inputs!$K$5:$AJ$170,0,MATCH(K$2,Inputs!$K$4:$AJ$4,0)))+SUMPRODUCT((Inputs!$E$5:$E$170=$B74)*Inputs!$F$5:$F$170*(((Inputs!$G$5:$G$170="moeda")+(Inputs!$G$5:$G$170="acoes"))*Inputs!$B$1+((Inputs!$G$5:$G$170&lt;&gt;"moeda")*(Inputs!$G$5:$G$170&lt;&gt;"acoes")))*INDEX(Inputs!$K$5:$AJ$170,0,MATCH(K$2,Inputs!$K$4:$AJ$4,0)))))</f>
        <v>1772.167</v>
      </c>
      <c r="L74" s="264">
        <f>IF(ISNA(MATCH(L$2,Inputs!$K$4:$AJ$4,0)),NA(),IF(SUMPRODUCT((Inputs!$A$5:$A$170=$B74)*ISNUMBER(INDEX(Inputs!$K$5:$AJ$170,0,MATCH(L$2,Inputs!$K$4:$AJ$4,0))))+SUMPRODUCT((Inputs!$C$5:$C$170=$B74)*ISNUMBER(INDEX(Inputs!$K$5:$AJ$170,0,MATCH(L$2,Inputs!$K$4:$AJ$4,0))))+SUMPRODUCT((Inputs!$E$5:$E$170=$B74)*ISNUMBER(INDEX(Inputs!$K$5:$AJ$170,0,MATCH(L$2,Inputs!$K$4:$AJ$4,0))))=0,NA(),SUMPRODUCT((Inputs!$A$5:$A$170=$B74)*Inputs!$B$5:$B$170*(((Inputs!$G$5:$G$170="moeda")+(Inputs!$G$5:$G$170="acoes"))*Inputs!$B$1+((Inputs!$G$5:$G$170&lt;&gt;"moeda")*(Inputs!$G$5:$G$170&lt;&gt;"acoes")))*INDEX(Inputs!$K$5:$AJ$170,0,MATCH(L$2,Inputs!$K$4:$AJ$4,0)))+SUMPRODUCT((Inputs!$C$5:$C$170=$B74)*Inputs!$D$5:$D$170*(((Inputs!$G$5:$G$170="moeda")+(Inputs!$G$5:$G$170="acoes"))*Inputs!$B$1+((Inputs!$G$5:$G$170&lt;&gt;"moeda")*(Inputs!$G$5:$G$170&lt;&gt;"acoes")))*INDEX(Inputs!$K$5:$AJ$170,0,MATCH(L$2,Inputs!$K$4:$AJ$4,0)))+SUMPRODUCT((Inputs!$E$5:$E$170=$B74)*Inputs!$F$5:$F$170*(((Inputs!$G$5:$G$170="moeda")+(Inputs!$G$5:$G$170="acoes"))*Inputs!$B$1+((Inputs!$G$5:$G$170&lt;&gt;"moeda")*(Inputs!$G$5:$G$170&lt;&gt;"acoes")))*INDEX(Inputs!$K$5:$AJ$170,0,MATCH(L$2,Inputs!$K$4:$AJ$4,0)))))</f>
        <v>1402.661</v>
      </c>
      <c r="M74" s="265">
        <f>SUM(I74:L74)</f>
        <v>6975.713</v>
      </c>
      <c r="N74" s="264">
        <f>IF(ISNA(MATCH(N$2,Inputs!$K$4:$AJ$4,0)),NA(),IF(SUMPRODUCT((Inputs!$A$5:$A$170=$B74)*ISNUMBER(INDEX(Inputs!$K$5:$AJ$170,0,MATCH(N$2,Inputs!$K$4:$AJ$4,0))))+SUMPRODUCT((Inputs!$C$5:$C$170=$B74)*ISNUMBER(INDEX(Inputs!$K$5:$AJ$170,0,MATCH(N$2,Inputs!$K$4:$AJ$4,0))))+SUMPRODUCT((Inputs!$E$5:$E$170=$B74)*ISNUMBER(INDEX(Inputs!$K$5:$AJ$170,0,MATCH(N$2,Inputs!$K$4:$AJ$4,0))))=0,NA(),SUMPRODUCT((Inputs!$A$5:$A$170=$B74)*Inputs!$B$5:$B$170*(((Inputs!$G$5:$G$170="moeda")+(Inputs!$G$5:$G$170="acoes"))*Inputs!$B$1+((Inputs!$G$5:$G$170&lt;&gt;"moeda")*(Inputs!$G$5:$G$170&lt;&gt;"acoes")))*INDEX(Inputs!$K$5:$AJ$170,0,MATCH(N$2,Inputs!$K$4:$AJ$4,0)))+SUMPRODUCT((Inputs!$C$5:$C$170=$B74)*Inputs!$D$5:$D$170*(((Inputs!$G$5:$G$170="moeda")+(Inputs!$G$5:$G$170="acoes"))*Inputs!$B$1+((Inputs!$G$5:$G$170&lt;&gt;"moeda")*(Inputs!$G$5:$G$170&lt;&gt;"acoes")))*INDEX(Inputs!$K$5:$AJ$170,0,MATCH(N$2,Inputs!$K$4:$AJ$4,0)))+SUMPRODUCT((Inputs!$E$5:$E$170=$B74)*Inputs!$F$5:$F$170*(((Inputs!$G$5:$G$170="moeda")+(Inputs!$G$5:$G$170="acoes"))*Inputs!$B$1+((Inputs!$G$5:$G$170&lt;&gt;"moeda")*(Inputs!$G$5:$G$170&lt;&gt;"acoes")))*INDEX(Inputs!$K$5:$AJ$170,0,MATCH(N$2,Inputs!$K$4:$AJ$4,0)))))</f>
        <v>76.924</v>
      </c>
      <c r="O74" s="264">
        <f>IF(ISNA(MATCH(O$2,Inputs!$K$4:$AJ$4,0)),NA(),IF(SUMPRODUCT((Inputs!$A$5:$A$170=$B74)*ISNUMBER(INDEX(Inputs!$K$5:$AJ$170,0,MATCH(O$2,Inputs!$K$4:$AJ$4,0))))+SUMPRODUCT((Inputs!$C$5:$C$170=$B74)*ISNUMBER(INDEX(Inputs!$K$5:$AJ$170,0,MATCH(O$2,Inputs!$K$4:$AJ$4,0))))+SUMPRODUCT((Inputs!$E$5:$E$170=$B74)*ISNUMBER(INDEX(Inputs!$K$5:$AJ$170,0,MATCH(O$2,Inputs!$K$4:$AJ$4,0))))=0,NA(),SUMPRODUCT((Inputs!$A$5:$A$170=$B74)*Inputs!$B$5:$B$170*(((Inputs!$G$5:$G$170="moeda")+(Inputs!$G$5:$G$170="acoes"))*Inputs!$B$1+((Inputs!$G$5:$G$170&lt;&gt;"moeda")*(Inputs!$G$5:$G$170&lt;&gt;"acoes")))*INDEX(Inputs!$K$5:$AJ$170,0,MATCH(O$2,Inputs!$K$4:$AJ$4,0)))+SUMPRODUCT((Inputs!$C$5:$C$170=$B74)*Inputs!$D$5:$D$170*(((Inputs!$G$5:$G$170="moeda")+(Inputs!$G$5:$G$170="acoes"))*Inputs!$B$1+((Inputs!$G$5:$G$170&lt;&gt;"moeda")*(Inputs!$G$5:$G$170&lt;&gt;"acoes")))*INDEX(Inputs!$K$5:$AJ$170,0,MATCH(O$2,Inputs!$K$4:$AJ$4,0)))+SUMPRODUCT((Inputs!$E$5:$E$170=$B74)*Inputs!$F$5:$F$170*(((Inputs!$G$5:$G$170="moeda")+(Inputs!$G$5:$G$170="acoes"))*Inputs!$B$1+((Inputs!$G$5:$G$170&lt;&gt;"moeda")*(Inputs!$G$5:$G$170&lt;&gt;"acoes")))*INDEX(Inputs!$K$5:$AJ$170,0,MATCH(O$2,Inputs!$K$4:$AJ$4,0)))))</f>
        <v>261.923</v>
      </c>
      <c r="P74" s="264">
        <f>IF(ISNA(MATCH(P$2,Inputs!$K$4:$AJ$4,0)),NA(),IF(SUMPRODUCT((Inputs!$A$5:$A$170=$B74)*ISNUMBER(INDEX(Inputs!$K$5:$AJ$170,0,MATCH(P$2,Inputs!$K$4:$AJ$4,0))))+SUMPRODUCT((Inputs!$C$5:$C$170=$B74)*ISNUMBER(INDEX(Inputs!$K$5:$AJ$170,0,MATCH(P$2,Inputs!$K$4:$AJ$4,0))))+SUMPRODUCT((Inputs!$E$5:$E$170=$B74)*ISNUMBER(INDEX(Inputs!$K$5:$AJ$170,0,MATCH(P$2,Inputs!$K$4:$AJ$4,0))))=0,NA(),SUMPRODUCT((Inputs!$A$5:$A$170=$B74)*Inputs!$B$5:$B$170*(((Inputs!$G$5:$G$170="moeda")+(Inputs!$G$5:$G$170="acoes"))*Inputs!$B$1+((Inputs!$G$5:$G$170&lt;&gt;"moeda")*(Inputs!$G$5:$G$170&lt;&gt;"acoes")))*INDEX(Inputs!$K$5:$AJ$170,0,MATCH(P$2,Inputs!$K$4:$AJ$4,0)))+SUMPRODUCT((Inputs!$C$5:$C$170=$B74)*Inputs!$D$5:$D$170*(((Inputs!$G$5:$G$170="moeda")+(Inputs!$G$5:$G$170="acoes"))*Inputs!$B$1+((Inputs!$G$5:$G$170&lt;&gt;"moeda")*(Inputs!$G$5:$G$170&lt;&gt;"acoes")))*INDEX(Inputs!$K$5:$AJ$170,0,MATCH(P$2,Inputs!$K$4:$AJ$4,0)))+SUMPRODUCT((Inputs!$E$5:$E$170=$B74)*Inputs!$F$5:$F$170*(((Inputs!$G$5:$G$170="moeda")+(Inputs!$G$5:$G$170="acoes"))*Inputs!$B$1+((Inputs!$G$5:$G$170&lt;&gt;"moeda")*(Inputs!$G$5:$G$170&lt;&gt;"acoes")))*INDEX(Inputs!$K$5:$AJ$170,0,MATCH(P$2,Inputs!$K$4:$AJ$4,0)))))</f>
        <v>1026.842</v>
      </c>
      <c r="Q74" s="264">
        <f>IF(ISNA(MATCH(Q$2,Inputs!$K$4:$AJ$4,0)),NA(),IF(SUMPRODUCT((Inputs!$A$5:$A$170=$B74)*ISNUMBER(INDEX(Inputs!$K$5:$AJ$170,0,MATCH(Q$2,Inputs!$K$4:$AJ$4,0))))+SUMPRODUCT((Inputs!$C$5:$C$170=$B74)*ISNUMBER(INDEX(Inputs!$K$5:$AJ$170,0,MATCH(Q$2,Inputs!$K$4:$AJ$4,0))))+SUMPRODUCT((Inputs!$E$5:$E$170=$B74)*ISNUMBER(INDEX(Inputs!$K$5:$AJ$170,0,MATCH(Q$2,Inputs!$K$4:$AJ$4,0))))=0,NA(),SUMPRODUCT((Inputs!$A$5:$A$170=$B74)*Inputs!$B$5:$B$170*(((Inputs!$G$5:$G$170="moeda")+(Inputs!$G$5:$G$170="acoes"))*Inputs!$B$1+((Inputs!$G$5:$G$170&lt;&gt;"moeda")*(Inputs!$G$5:$G$170&lt;&gt;"acoes")))*INDEX(Inputs!$K$5:$AJ$170,0,MATCH(Q$2,Inputs!$K$4:$AJ$4,0)))+SUMPRODUCT((Inputs!$C$5:$C$170=$B74)*Inputs!$D$5:$D$170*(((Inputs!$G$5:$G$170="moeda")+(Inputs!$G$5:$G$170="acoes"))*Inputs!$B$1+((Inputs!$G$5:$G$170&lt;&gt;"moeda")*(Inputs!$G$5:$G$170&lt;&gt;"acoes")))*INDEX(Inputs!$K$5:$AJ$170,0,MATCH(Q$2,Inputs!$K$4:$AJ$4,0)))+SUMPRODUCT((Inputs!$E$5:$E$170=$B74)*Inputs!$F$5:$F$170*(((Inputs!$G$5:$G$170="moeda")+(Inputs!$G$5:$G$170="acoes"))*Inputs!$B$1+((Inputs!$G$5:$G$170&lt;&gt;"moeda")*(Inputs!$G$5:$G$170&lt;&gt;"acoes")))*INDEX(Inputs!$K$5:$AJ$170,0,MATCH(Q$2,Inputs!$K$4:$AJ$4,0)))))</f>
        <v>2266.734</v>
      </c>
      <c r="R74" s="265">
        <f>SUM(N74:Q74)</f>
        <v>3632.423</v>
      </c>
      <c r="S74" s="264">
        <f>IF(ISNA(MATCH(S$2,Inputs!$K$4:$AJ$4,0)),NA(),IF(SUMPRODUCT((Inputs!$A$5:$A$170=$B74)*ISNUMBER(INDEX(Inputs!$K$5:$AJ$170,0,MATCH(S$2,Inputs!$K$4:$AJ$4,0))))+SUMPRODUCT((Inputs!$C$5:$C$170=$B74)*ISNUMBER(INDEX(Inputs!$K$5:$AJ$170,0,MATCH(S$2,Inputs!$K$4:$AJ$4,0))))+SUMPRODUCT((Inputs!$E$5:$E$170=$B74)*ISNUMBER(INDEX(Inputs!$K$5:$AJ$170,0,MATCH(S$2,Inputs!$K$4:$AJ$4,0))))=0,NA(),SUMPRODUCT((Inputs!$A$5:$A$170=$B74)*Inputs!$B$5:$B$170*(((Inputs!$G$5:$G$170="moeda")+(Inputs!$G$5:$G$170="acoes"))*Inputs!$B$1+((Inputs!$G$5:$G$170&lt;&gt;"moeda")*(Inputs!$G$5:$G$170&lt;&gt;"acoes")))*INDEX(Inputs!$K$5:$AJ$170,0,MATCH(S$2,Inputs!$K$4:$AJ$4,0)))+SUMPRODUCT((Inputs!$C$5:$C$170=$B74)*Inputs!$D$5:$D$170*(((Inputs!$G$5:$G$170="moeda")+(Inputs!$G$5:$G$170="acoes"))*Inputs!$B$1+((Inputs!$G$5:$G$170&lt;&gt;"moeda")*(Inputs!$G$5:$G$170&lt;&gt;"acoes")))*INDEX(Inputs!$K$5:$AJ$170,0,MATCH(S$2,Inputs!$K$4:$AJ$4,0)))+SUMPRODUCT((Inputs!$E$5:$E$170=$B74)*Inputs!$F$5:$F$170*(((Inputs!$G$5:$G$170="moeda")+(Inputs!$G$5:$G$170="acoes"))*Inputs!$B$1+((Inputs!$G$5:$G$170&lt;&gt;"moeda")*(Inputs!$G$5:$G$170&lt;&gt;"acoes")))*INDEX(Inputs!$K$5:$AJ$170,0,MATCH(S$2,Inputs!$K$4:$AJ$4,0)))))</f>
        <v>924.786</v>
      </c>
      <c r="T74" s="264">
        <f>IF(ISNA(MATCH(T$2,Inputs!$K$4:$AJ$4,0)),NA(),IF(SUMPRODUCT((Inputs!$A$5:$A$170=$B74)*ISNUMBER(INDEX(Inputs!$K$5:$AJ$170,0,MATCH(T$2,Inputs!$K$4:$AJ$4,0))))+SUMPRODUCT((Inputs!$C$5:$C$170=$B74)*ISNUMBER(INDEX(Inputs!$K$5:$AJ$170,0,MATCH(T$2,Inputs!$K$4:$AJ$4,0))))+SUMPRODUCT((Inputs!$E$5:$E$170=$B74)*ISNUMBER(INDEX(Inputs!$K$5:$AJ$170,0,MATCH(T$2,Inputs!$K$4:$AJ$4,0))))=0,NA(),SUMPRODUCT((Inputs!$A$5:$A$170=$B74)*Inputs!$B$5:$B$170*(((Inputs!$G$5:$G$170="moeda")+(Inputs!$G$5:$G$170="acoes"))*Inputs!$B$1+((Inputs!$G$5:$G$170&lt;&gt;"moeda")*(Inputs!$G$5:$G$170&lt;&gt;"acoes")))*INDEX(Inputs!$K$5:$AJ$170,0,MATCH(T$2,Inputs!$K$4:$AJ$4,0)))+SUMPRODUCT((Inputs!$C$5:$C$170=$B74)*Inputs!$D$5:$D$170*(((Inputs!$G$5:$G$170="moeda")+(Inputs!$G$5:$G$170="acoes"))*Inputs!$B$1+((Inputs!$G$5:$G$170&lt;&gt;"moeda")*(Inputs!$G$5:$G$170&lt;&gt;"acoes")))*INDEX(Inputs!$K$5:$AJ$170,0,MATCH(T$2,Inputs!$K$4:$AJ$4,0)))+SUMPRODUCT((Inputs!$E$5:$E$170=$B74)*Inputs!$F$5:$F$170*(((Inputs!$G$5:$G$170="moeda")+(Inputs!$G$5:$G$170="acoes"))*Inputs!$B$1+((Inputs!$G$5:$G$170&lt;&gt;"moeda")*(Inputs!$G$5:$G$170&lt;&gt;"acoes")))*INDEX(Inputs!$K$5:$AJ$170,0,MATCH(T$2,Inputs!$K$4:$AJ$4,0)))))</f>
        <v>1095.802</v>
      </c>
      <c r="U74" s="264">
        <f>IF(ISNA(MATCH(U$2,Inputs!$K$4:$AJ$4,0)),NA(),IF(SUMPRODUCT((Inputs!$A$5:$A$170=$B74)*ISNUMBER(INDEX(Inputs!$K$5:$AJ$170,0,MATCH(U$2,Inputs!$K$4:$AJ$4,0))))+SUMPRODUCT((Inputs!$C$5:$C$170=$B74)*ISNUMBER(INDEX(Inputs!$K$5:$AJ$170,0,MATCH(U$2,Inputs!$K$4:$AJ$4,0))))+SUMPRODUCT((Inputs!$E$5:$E$170=$B74)*ISNUMBER(INDEX(Inputs!$K$5:$AJ$170,0,MATCH(U$2,Inputs!$K$4:$AJ$4,0))))=0,NA(),SUMPRODUCT((Inputs!$A$5:$A$170=$B74)*Inputs!$B$5:$B$170*(((Inputs!$G$5:$G$170="moeda")+(Inputs!$G$5:$G$170="acoes"))*Inputs!$B$1+((Inputs!$G$5:$G$170&lt;&gt;"moeda")*(Inputs!$G$5:$G$170&lt;&gt;"acoes")))*INDEX(Inputs!$K$5:$AJ$170,0,MATCH(U$2,Inputs!$K$4:$AJ$4,0)))+SUMPRODUCT((Inputs!$C$5:$C$170=$B74)*Inputs!$D$5:$D$170*(((Inputs!$G$5:$G$170="moeda")+(Inputs!$G$5:$G$170="acoes"))*Inputs!$B$1+((Inputs!$G$5:$G$170&lt;&gt;"moeda")*(Inputs!$G$5:$G$170&lt;&gt;"acoes")))*INDEX(Inputs!$K$5:$AJ$170,0,MATCH(U$2,Inputs!$K$4:$AJ$4,0)))+SUMPRODUCT((Inputs!$E$5:$E$170=$B74)*Inputs!$F$5:$F$170*(((Inputs!$G$5:$G$170="moeda")+(Inputs!$G$5:$G$170="acoes"))*Inputs!$B$1+((Inputs!$G$5:$G$170&lt;&gt;"moeda")*(Inputs!$G$5:$G$170&lt;&gt;"acoes")))*INDEX(Inputs!$K$5:$AJ$170,0,MATCH(U$2,Inputs!$K$4:$AJ$4,0)))))</f>
        <v>1654.517</v>
      </c>
      <c r="V74" s="264">
        <f>IF(ISNA(MATCH(V$2,Inputs!$K$4:$AJ$4,0)),NA(),IF(SUMPRODUCT((Inputs!$A$5:$A$170=$B74)*ISNUMBER(INDEX(Inputs!$K$5:$AJ$170,0,MATCH(V$2,Inputs!$K$4:$AJ$4,0))))+SUMPRODUCT((Inputs!$C$5:$C$170=$B74)*ISNUMBER(INDEX(Inputs!$K$5:$AJ$170,0,MATCH(V$2,Inputs!$K$4:$AJ$4,0))))+SUMPRODUCT((Inputs!$E$5:$E$170=$B74)*ISNUMBER(INDEX(Inputs!$K$5:$AJ$170,0,MATCH(V$2,Inputs!$K$4:$AJ$4,0))))=0,NA(),SUMPRODUCT((Inputs!$A$5:$A$170=$B74)*Inputs!$B$5:$B$170*(((Inputs!$G$5:$G$170="moeda")+(Inputs!$G$5:$G$170="acoes"))*Inputs!$B$1+((Inputs!$G$5:$G$170&lt;&gt;"moeda")*(Inputs!$G$5:$G$170&lt;&gt;"acoes")))*INDEX(Inputs!$K$5:$AJ$170,0,MATCH(V$2,Inputs!$K$4:$AJ$4,0)))+SUMPRODUCT((Inputs!$C$5:$C$170=$B74)*Inputs!$D$5:$D$170*(((Inputs!$G$5:$G$170="moeda")+(Inputs!$G$5:$G$170="acoes"))*Inputs!$B$1+((Inputs!$G$5:$G$170&lt;&gt;"moeda")*(Inputs!$G$5:$G$170&lt;&gt;"acoes")))*INDEX(Inputs!$K$5:$AJ$170,0,MATCH(V$2,Inputs!$K$4:$AJ$4,0)))+SUMPRODUCT((Inputs!$E$5:$E$170=$B74)*Inputs!$F$5:$F$170*(((Inputs!$G$5:$G$170="moeda")+(Inputs!$G$5:$G$170="acoes"))*Inputs!$B$1+((Inputs!$G$5:$G$170&lt;&gt;"moeda")*(Inputs!$G$5:$G$170&lt;&gt;"acoes")))*INDEX(Inputs!$K$5:$AJ$170,0,MATCH(V$2,Inputs!$K$4:$AJ$4,0)))))</f>
        <v>2135.623</v>
      </c>
      <c r="W74" s="265">
        <f>SUM(S74:V74)</f>
        <v>5810.728</v>
      </c>
      <c r="X74" s="264">
        <f>IF(ISNA(MATCH(X$2,Inputs!$K$4:$AJ$4,0)),NA(),IF(SUMPRODUCT((Inputs!$A$5:$A$170=$B74)*ISNUMBER(INDEX(Inputs!$K$5:$AJ$170,0,MATCH(X$2,Inputs!$K$4:$AJ$4,0))))+SUMPRODUCT((Inputs!$C$5:$C$170=$B74)*ISNUMBER(INDEX(Inputs!$K$5:$AJ$170,0,MATCH(X$2,Inputs!$K$4:$AJ$4,0))))+SUMPRODUCT((Inputs!$E$5:$E$170=$B74)*ISNUMBER(INDEX(Inputs!$K$5:$AJ$170,0,MATCH(X$2,Inputs!$K$4:$AJ$4,0))))=0,NA(),SUMPRODUCT((Inputs!$A$5:$A$170=$B74)*Inputs!$B$5:$B$170*(((Inputs!$G$5:$G$170="moeda")+(Inputs!$G$5:$G$170="acoes"))*Inputs!$B$1+((Inputs!$G$5:$G$170&lt;&gt;"moeda")*(Inputs!$G$5:$G$170&lt;&gt;"acoes")))*INDEX(Inputs!$K$5:$AJ$170,0,MATCH(X$2,Inputs!$K$4:$AJ$4,0)))+SUMPRODUCT((Inputs!$C$5:$C$170=$B74)*Inputs!$D$5:$D$170*(((Inputs!$G$5:$G$170="moeda")+(Inputs!$G$5:$G$170="acoes"))*Inputs!$B$1+((Inputs!$G$5:$G$170&lt;&gt;"moeda")*(Inputs!$G$5:$G$170&lt;&gt;"acoes")))*INDEX(Inputs!$K$5:$AJ$170,0,MATCH(X$2,Inputs!$K$4:$AJ$4,0)))+SUMPRODUCT((Inputs!$E$5:$E$170=$B74)*Inputs!$F$5:$F$170*(((Inputs!$G$5:$G$170="moeda")+(Inputs!$G$5:$G$170="acoes"))*Inputs!$B$1+((Inputs!$G$5:$G$170&lt;&gt;"moeda")*(Inputs!$G$5:$G$170&lt;&gt;"acoes")))*INDEX(Inputs!$K$5:$AJ$170,0,MATCH(X$2,Inputs!$K$4:$AJ$4,0)))))</f>
        <v>663.022086703778</v>
      </c>
      <c r="Y74" s="264">
        <f>IF(ISNA(MATCH(Y$2,Inputs!$K$4:$AJ$4,0)),NA(),IF(SUMPRODUCT((Inputs!$A$5:$A$170=$B74)*ISNUMBER(INDEX(Inputs!$K$5:$AJ$170,0,MATCH(Y$2,Inputs!$K$4:$AJ$4,0))))+SUMPRODUCT((Inputs!$C$5:$C$170=$B74)*ISNUMBER(INDEX(Inputs!$K$5:$AJ$170,0,MATCH(Y$2,Inputs!$K$4:$AJ$4,0))))+SUMPRODUCT((Inputs!$E$5:$E$170=$B74)*ISNUMBER(INDEX(Inputs!$K$5:$AJ$170,0,MATCH(Y$2,Inputs!$K$4:$AJ$4,0))))=0,NA(),SUMPRODUCT((Inputs!$A$5:$A$170=$B74)*Inputs!$B$5:$B$170*(((Inputs!$G$5:$G$170="moeda")+(Inputs!$G$5:$G$170="acoes"))*Inputs!$B$1+((Inputs!$G$5:$G$170&lt;&gt;"moeda")*(Inputs!$G$5:$G$170&lt;&gt;"acoes")))*INDEX(Inputs!$K$5:$AJ$170,0,MATCH(Y$2,Inputs!$K$4:$AJ$4,0)))+SUMPRODUCT((Inputs!$C$5:$C$170=$B74)*Inputs!$D$5:$D$170*(((Inputs!$G$5:$G$170="moeda")+(Inputs!$G$5:$G$170="acoes"))*Inputs!$B$1+((Inputs!$G$5:$G$170&lt;&gt;"moeda")*(Inputs!$G$5:$G$170&lt;&gt;"acoes")))*INDEX(Inputs!$K$5:$AJ$170,0,MATCH(Y$2,Inputs!$K$4:$AJ$4,0)))+SUMPRODUCT((Inputs!$E$5:$E$170=$B74)*Inputs!$F$5:$F$170*(((Inputs!$G$5:$G$170="moeda")+(Inputs!$G$5:$G$170="acoes"))*Inputs!$B$1+((Inputs!$G$5:$G$170&lt;&gt;"moeda")*(Inputs!$G$5:$G$170&lt;&gt;"acoes")))*INDEX(Inputs!$K$5:$AJ$170,0,MATCH(Y$2,Inputs!$K$4:$AJ$4,0)))))</f>
        <v>1801.13291329622</v>
      </c>
      <c r="Z74" s="264">
        <f>IF(ISNA(MATCH(Z$2,Inputs!$K$4:$AJ$4,0)),NA(),IF(SUMPRODUCT((Inputs!$A$5:$A$170=$B74)*ISNUMBER(INDEX(Inputs!$K$5:$AJ$170,0,MATCH(Z$2,Inputs!$K$4:$AJ$4,0))))+SUMPRODUCT((Inputs!$C$5:$C$170=$B74)*ISNUMBER(INDEX(Inputs!$K$5:$AJ$170,0,MATCH(Z$2,Inputs!$K$4:$AJ$4,0))))+SUMPRODUCT((Inputs!$E$5:$E$170=$B74)*ISNUMBER(INDEX(Inputs!$K$5:$AJ$170,0,MATCH(Z$2,Inputs!$K$4:$AJ$4,0))))=0,NA(),SUMPRODUCT((Inputs!$A$5:$A$170=$B74)*Inputs!$B$5:$B$170*(((Inputs!$G$5:$G$170="moeda")+(Inputs!$G$5:$G$170="acoes"))*Inputs!$B$1+((Inputs!$G$5:$G$170&lt;&gt;"moeda")*(Inputs!$G$5:$G$170&lt;&gt;"acoes")))*INDEX(Inputs!$K$5:$AJ$170,0,MATCH(Z$2,Inputs!$K$4:$AJ$4,0)))+SUMPRODUCT((Inputs!$C$5:$C$170=$B74)*Inputs!$D$5:$D$170*(((Inputs!$G$5:$G$170="moeda")+(Inputs!$G$5:$G$170="acoes"))*Inputs!$B$1+((Inputs!$G$5:$G$170&lt;&gt;"moeda")*(Inputs!$G$5:$G$170&lt;&gt;"acoes")))*INDEX(Inputs!$K$5:$AJ$170,0,MATCH(Z$2,Inputs!$K$4:$AJ$4,0)))+SUMPRODUCT((Inputs!$E$5:$E$170=$B74)*Inputs!$F$5:$F$170*(((Inputs!$G$5:$G$170="moeda")+(Inputs!$G$5:$G$170="acoes"))*Inputs!$B$1+((Inputs!$G$5:$G$170&lt;&gt;"moeda")*(Inputs!$G$5:$G$170&lt;&gt;"acoes")))*INDEX(Inputs!$K$5:$AJ$170,0,MATCH(Z$2,Inputs!$K$4:$AJ$4,0)))))</f>
        <v>955.412</v>
      </c>
      <c r="AA74" s="264">
        <f>IF(ISNA(MATCH(AA$2,Inputs!$K$4:$AJ$4,0)),NA(),IF(SUMPRODUCT((Inputs!$A$5:$A$170=$B74)*ISNUMBER(INDEX(Inputs!$K$5:$AJ$170,0,MATCH(AA$2,Inputs!$K$4:$AJ$4,0))))+SUMPRODUCT((Inputs!$C$5:$C$170=$B74)*ISNUMBER(INDEX(Inputs!$K$5:$AJ$170,0,MATCH(AA$2,Inputs!$K$4:$AJ$4,0))))+SUMPRODUCT((Inputs!$E$5:$E$170=$B74)*ISNUMBER(INDEX(Inputs!$K$5:$AJ$170,0,MATCH(AA$2,Inputs!$K$4:$AJ$4,0))))=0,NA(),SUMPRODUCT((Inputs!$A$5:$A$170=$B74)*Inputs!$B$5:$B$170*(((Inputs!$G$5:$G$170="moeda")+(Inputs!$G$5:$G$170="acoes"))*Inputs!$B$1+((Inputs!$G$5:$G$170&lt;&gt;"moeda")*(Inputs!$G$5:$G$170&lt;&gt;"acoes")))*INDEX(Inputs!$K$5:$AJ$170,0,MATCH(AA$2,Inputs!$K$4:$AJ$4,0)))+SUMPRODUCT((Inputs!$C$5:$C$170=$B74)*Inputs!$D$5:$D$170*(((Inputs!$G$5:$G$170="moeda")+(Inputs!$G$5:$G$170="acoes"))*Inputs!$B$1+((Inputs!$G$5:$G$170&lt;&gt;"moeda")*(Inputs!$G$5:$G$170&lt;&gt;"acoes")))*INDEX(Inputs!$K$5:$AJ$170,0,MATCH(AA$2,Inputs!$K$4:$AJ$4,0)))+SUMPRODUCT((Inputs!$E$5:$E$170=$B74)*Inputs!$F$5:$F$170*(((Inputs!$G$5:$G$170="moeda")+(Inputs!$G$5:$G$170="acoes"))*Inputs!$B$1+((Inputs!$G$5:$G$170&lt;&gt;"moeda")*(Inputs!$G$5:$G$170&lt;&gt;"acoes")))*INDEX(Inputs!$K$5:$AJ$170,0,MATCH(AA$2,Inputs!$K$4:$AJ$4,0)))))</f>
        <v>2618.41822411392</v>
      </c>
      <c r="AB74" s="265">
        <f>SUM(X74:AA74)</f>
        <v>6037.98522411392</v>
      </c>
      <c r="AC74" s="264">
        <f>IF(ISNA(MATCH(AC$2,Inputs!$K$4:$AJ$4,0)),NA(),IF(SUMPRODUCT((Inputs!$A$5:$A$170=$B74)*ISNUMBER(INDEX(Inputs!$K$5:$AJ$170,0,MATCH(AC$2,Inputs!$K$4:$AJ$4,0))))+SUMPRODUCT((Inputs!$C$5:$C$170=$B74)*ISNUMBER(INDEX(Inputs!$K$5:$AJ$170,0,MATCH(AC$2,Inputs!$K$4:$AJ$4,0))))+SUMPRODUCT((Inputs!$E$5:$E$170=$B74)*ISNUMBER(INDEX(Inputs!$K$5:$AJ$170,0,MATCH(AC$2,Inputs!$K$4:$AJ$4,0))))=0,NA(),SUMPRODUCT((Inputs!$A$5:$A$170=$B74)*Inputs!$B$5:$B$170*(((Inputs!$G$5:$G$170="moeda")+(Inputs!$G$5:$G$170="acoes"))*Inputs!$B$1+((Inputs!$G$5:$G$170&lt;&gt;"moeda")*(Inputs!$G$5:$G$170&lt;&gt;"acoes")))*INDEX(Inputs!$K$5:$AJ$170,0,MATCH(AC$2,Inputs!$K$4:$AJ$4,0)))+SUMPRODUCT((Inputs!$C$5:$C$170=$B74)*Inputs!$D$5:$D$170*(((Inputs!$G$5:$G$170="moeda")+(Inputs!$G$5:$G$170="acoes"))*Inputs!$B$1+((Inputs!$G$5:$G$170&lt;&gt;"moeda")*(Inputs!$G$5:$G$170&lt;&gt;"acoes")))*INDEX(Inputs!$K$5:$AJ$170,0,MATCH(AC$2,Inputs!$K$4:$AJ$4,0)))+SUMPRODUCT((Inputs!$E$5:$E$170=$B74)*Inputs!$F$5:$F$170*(((Inputs!$G$5:$G$170="moeda")+(Inputs!$G$5:$G$170="acoes"))*Inputs!$B$1+((Inputs!$G$5:$G$170&lt;&gt;"moeda")*(Inputs!$G$5:$G$170&lt;&gt;"acoes")))*INDEX(Inputs!$K$5:$AJ$170,0,MATCH(AC$2,Inputs!$K$4:$AJ$4,0)))))</f>
        <v>570.416798428371</v>
      </c>
      <c r="AD74" s="264">
        <f>IF(ISNA(MATCH(AD$2,Inputs!$K$4:$AJ$4,0)),NA(),IF(SUMPRODUCT((Inputs!$A$5:$A$170=$B74)*ISNUMBER(INDEX(Inputs!$K$5:$AJ$170,0,MATCH(AD$2,Inputs!$K$4:$AJ$4,0))))+SUMPRODUCT((Inputs!$C$5:$C$170=$B74)*ISNUMBER(INDEX(Inputs!$K$5:$AJ$170,0,MATCH(AD$2,Inputs!$K$4:$AJ$4,0))))+SUMPRODUCT((Inputs!$E$5:$E$170=$B74)*ISNUMBER(INDEX(Inputs!$K$5:$AJ$170,0,MATCH(AD$2,Inputs!$K$4:$AJ$4,0))))=0,NA(),SUMPRODUCT((Inputs!$A$5:$A$170=$B74)*Inputs!$B$5:$B$170*(((Inputs!$G$5:$G$170="moeda")+(Inputs!$G$5:$G$170="acoes"))*Inputs!$B$1+((Inputs!$G$5:$G$170&lt;&gt;"moeda")*(Inputs!$G$5:$G$170&lt;&gt;"acoes")))*INDEX(Inputs!$K$5:$AJ$170,0,MATCH(AD$2,Inputs!$K$4:$AJ$4,0)))+SUMPRODUCT((Inputs!$C$5:$C$170=$B74)*Inputs!$D$5:$D$170*(((Inputs!$G$5:$G$170="moeda")+(Inputs!$G$5:$G$170="acoes"))*Inputs!$B$1+((Inputs!$G$5:$G$170&lt;&gt;"moeda")*(Inputs!$G$5:$G$170&lt;&gt;"acoes")))*INDEX(Inputs!$K$5:$AJ$170,0,MATCH(AD$2,Inputs!$K$4:$AJ$4,0)))+SUMPRODUCT((Inputs!$E$5:$E$170=$B74)*Inputs!$F$5:$F$170*(((Inputs!$G$5:$G$170="moeda")+(Inputs!$G$5:$G$170="acoes"))*Inputs!$B$1+((Inputs!$G$5:$G$170&lt;&gt;"moeda")*(Inputs!$G$5:$G$170&lt;&gt;"acoes")))*INDEX(Inputs!$K$5:$AJ$170,0,MATCH(AD$2,Inputs!$K$4:$AJ$4,0)))))</f>
        <v>2267.39120159402</v>
      </c>
      <c r="AE74" s="264" t="e">
        <f>IF(ISNA(MATCH(AE$2,Inputs!$K$4:$AJ$4,0)),NA(),IF(SUMPRODUCT((Inputs!$A$5:$A$170=$B74)*ISNUMBER(INDEX(Inputs!$K$5:$AJ$170,0,MATCH(AE$2,Inputs!$K$4:$AJ$4,0))))+SUMPRODUCT((Inputs!$C$5:$C$170=$B74)*ISNUMBER(INDEX(Inputs!$K$5:$AJ$170,0,MATCH(AE$2,Inputs!$K$4:$AJ$4,0))))+SUMPRODUCT((Inputs!$E$5:$E$170=$B74)*ISNUMBER(INDEX(Inputs!$K$5:$AJ$170,0,MATCH(AE$2,Inputs!$K$4:$AJ$4,0))))=0,NA(),SUMPRODUCT((Inputs!$A$5:$A$170=$B74)*Inputs!$B$5:$B$170*(((Inputs!$G$5:$G$170="moeda")+(Inputs!$G$5:$G$170="acoes"))*Inputs!$B$1+((Inputs!$G$5:$G$170&lt;&gt;"moeda")*(Inputs!$G$5:$G$170&lt;&gt;"acoes")))*INDEX(Inputs!$K$5:$AJ$170,0,MATCH(AE$2,Inputs!$K$4:$AJ$4,0)))+SUMPRODUCT((Inputs!$C$5:$C$170=$B74)*Inputs!$D$5:$D$170*(((Inputs!$G$5:$G$170="moeda")+(Inputs!$G$5:$G$170="acoes"))*Inputs!$B$1+((Inputs!$G$5:$G$170&lt;&gt;"moeda")*(Inputs!$G$5:$G$170&lt;&gt;"acoes")))*INDEX(Inputs!$K$5:$AJ$170,0,MATCH(AE$2,Inputs!$K$4:$AJ$4,0)))+SUMPRODUCT((Inputs!$E$5:$E$170=$B74)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4" s="264" t="e">
        <f>IF(ISNA(MATCH(AF$2,Inputs!$K$4:$AJ$4,0)),NA(),IF(SUMPRODUCT((Inputs!$A$5:$A$170=$B74)*ISNUMBER(INDEX(Inputs!$K$5:$AJ$170,0,MATCH(AF$2,Inputs!$K$4:$AJ$4,0))))+SUMPRODUCT((Inputs!$C$5:$C$170=$B74)*ISNUMBER(INDEX(Inputs!$K$5:$AJ$170,0,MATCH(AF$2,Inputs!$K$4:$AJ$4,0))))+SUMPRODUCT((Inputs!$E$5:$E$170=$B74)*ISNUMBER(INDEX(Inputs!$K$5:$AJ$170,0,MATCH(AF$2,Inputs!$K$4:$AJ$4,0))))=0,NA(),SUMPRODUCT((Inputs!$A$5:$A$170=$B74)*Inputs!$B$5:$B$170*(((Inputs!$G$5:$G$170="moeda")+(Inputs!$G$5:$G$170="acoes"))*Inputs!$B$1+((Inputs!$G$5:$G$170&lt;&gt;"moeda")*(Inputs!$G$5:$G$170&lt;&gt;"acoes")))*INDEX(Inputs!$K$5:$AJ$170,0,MATCH(AF$2,Inputs!$K$4:$AJ$4,0)))+SUMPRODUCT((Inputs!$C$5:$C$170=$B74)*Inputs!$D$5:$D$170*(((Inputs!$G$5:$G$170="moeda")+(Inputs!$G$5:$G$170="acoes"))*Inputs!$B$1+((Inputs!$G$5:$G$170&lt;&gt;"moeda")*(Inputs!$G$5:$G$170&lt;&gt;"acoes")))*INDEX(Inputs!$K$5:$AJ$170,0,MATCH(AF$2,Inputs!$K$4:$AJ$4,0)))+SUMPRODUCT((Inputs!$E$5:$E$170=$B74)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4" s="265" t="e">
        <f>SUM(AC74:AF74)</f>
        <v>#N/A</v>
      </c>
      <c r="AH74" s="264">
        <f>IF(ISNA(MATCH(AH$2,Inputs!$K$4:$AJ$4,0)),NA(),IF(SUMPRODUCT((Inputs!$A$5:$A$170=$B74)*ISNUMBER(INDEX(Inputs!$K$5:$AJ$170,0,MATCH(AH$2,Inputs!$K$4:$AJ$4,0))))+SUMPRODUCT((Inputs!$C$5:$C$170=$B74)*ISNUMBER(INDEX(Inputs!$K$5:$AJ$170,0,MATCH(AH$2,Inputs!$K$4:$AJ$4,0))))+SUMPRODUCT((Inputs!$E$5:$E$170=$B74)*ISNUMBER(INDEX(Inputs!$K$5:$AJ$170,0,MATCH(AH$2,Inputs!$K$4:$AJ$4,0))))=0,NA(),SUMPRODUCT((Inputs!$A$5:$A$170=$B74)*Inputs!$B$5:$B$170*(((Inputs!$G$5:$G$170="moeda")+(Inputs!$G$5:$G$170="acoes"))*Inputs!$B$1+((Inputs!$G$5:$G$170&lt;&gt;"moeda")*(Inputs!$G$5:$G$170&lt;&gt;"acoes")))*INDEX(Inputs!$K$5:$AJ$170,0,MATCH(AH$2,Inputs!$K$4:$AJ$4,0)))+SUMPRODUCT((Inputs!$C$5:$C$170=$B74)*Inputs!$D$5:$D$170*(((Inputs!$G$5:$G$170="moeda")+(Inputs!$G$5:$G$170="acoes"))*Inputs!$B$1+((Inputs!$G$5:$G$170&lt;&gt;"moeda")*(Inputs!$G$5:$G$170&lt;&gt;"acoes")))*INDEX(Inputs!$K$5:$AJ$170,0,MATCH(AH$2,Inputs!$K$4:$AJ$4,0)))+SUMPRODUCT((Inputs!$E$5:$E$170=$B74)*Inputs!$F$5:$F$170*(((Inputs!$G$5:$G$170="moeda")+(Inputs!$G$5:$G$170="acoes"))*Inputs!$B$1+((Inputs!$G$5:$G$170&lt;&gt;"moeda")*(Inputs!$G$5:$G$170&lt;&gt;"acoes")))*INDEX(Inputs!$K$5:$AJ$170,0,MATCH(AH$2,Inputs!$K$4:$AJ$4,0)))))</f>
        <v>963.697</v>
      </c>
      <c r="AI74" s="264">
        <f>IF(ISNA(MATCH(AI$2,Inputs!$K$4:$AJ$4,0)),NA(),IF(SUMPRODUCT((Inputs!$A$5:$A$170=$B74)*ISNUMBER(INDEX(Inputs!$K$5:$AJ$170,0,MATCH(AI$2,Inputs!$K$4:$AJ$4,0))))+SUMPRODUCT((Inputs!$C$5:$C$170=$B74)*ISNUMBER(INDEX(Inputs!$K$5:$AJ$170,0,MATCH(AI$2,Inputs!$K$4:$AJ$4,0))))+SUMPRODUCT((Inputs!$E$5:$E$170=$B74)*ISNUMBER(INDEX(Inputs!$K$5:$AJ$170,0,MATCH(AI$2,Inputs!$K$4:$AJ$4,0))))=0,NA(),SUMPRODUCT((Inputs!$A$5:$A$170=$B74)*Inputs!$B$5:$B$170*(((Inputs!$G$5:$G$170="moeda")+(Inputs!$G$5:$G$170="acoes"))*Inputs!$B$1+((Inputs!$G$5:$G$170&lt;&gt;"moeda")*(Inputs!$G$5:$G$170&lt;&gt;"acoes")))*INDEX(Inputs!$K$5:$AJ$170,0,MATCH(AI$2,Inputs!$K$4:$AJ$4,0)))+SUMPRODUCT((Inputs!$C$5:$C$170=$B74)*Inputs!$D$5:$D$170*(((Inputs!$G$5:$G$170="moeda")+(Inputs!$G$5:$G$170="acoes"))*Inputs!$B$1+((Inputs!$G$5:$G$170&lt;&gt;"moeda")*(Inputs!$G$5:$G$170&lt;&gt;"acoes")))*INDEX(Inputs!$K$5:$AJ$170,0,MATCH(AI$2,Inputs!$K$4:$AJ$4,0)))+SUMPRODUCT((Inputs!$E$5:$E$170=$B74)*Inputs!$F$5:$F$170*(((Inputs!$G$5:$G$170="moeda")+(Inputs!$G$5:$G$170="acoes"))*Inputs!$B$1+((Inputs!$G$5:$G$170&lt;&gt;"moeda")*(Inputs!$G$5:$G$170&lt;&gt;"acoes")))*INDEX(Inputs!$K$5:$AJ$170,0,MATCH(AI$2,Inputs!$K$4:$AJ$4,0)))))</f>
        <v>283.588</v>
      </c>
      <c r="AJ74" s="264">
        <f>IF(ISNA(MATCH(AJ$2,Inputs!$K$4:$AJ$4,0)),NA(),IF(SUMPRODUCT((Inputs!$A$5:$A$170=$B74)*ISNUMBER(INDEX(Inputs!$K$5:$AJ$170,0,MATCH(AJ$2,Inputs!$K$4:$AJ$4,0))))+SUMPRODUCT((Inputs!$C$5:$C$170=$B74)*ISNUMBER(INDEX(Inputs!$K$5:$AJ$170,0,MATCH(AJ$2,Inputs!$K$4:$AJ$4,0))))+SUMPRODUCT((Inputs!$E$5:$E$170=$B74)*ISNUMBER(INDEX(Inputs!$K$5:$AJ$170,0,MATCH(AJ$2,Inputs!$K$4:$AJ$4,0))))=0,NA(),SUMPRODUCT((Inputs!$A$5:$A$170=$B74)*Inputs!$B$5:$B$170*(((Inputs!$G$5:$G$170="moeda")+(Inputs!$G$5:$G$170="acoes"))*Inputs!$B$1+((Inputs!$G$5:$G$170&lt;&gt;"moeda")*(Inputs!$G$5:$G$170&lt;&gt;"acoes")))*INDEX(Inputs!$K$5:$AJ$170,0,MATCH(AJ$2,Inputs!$K$4:$AJ$4,0)))+SUMPRODUCT((Inputs!$C$5:$C$170=$B74)*Inputs!$D$5:$D$170*(((Inputs!$G$5:$G$170="moeda")+(Inputs!$G$5:$G$170="acoes"))*Inputs!$B$1+((Inputs!$G$5:$G$170&lt;&gt;"moeda")*(Inputs!$G$5:$G$170&lt;&gt;"acoes")))*INDEX(Inputs!$K$5:$AJ$170,0,MATCH(AJ$2,Inputs!$K$4:$AJ$4,0)))+SUMPRODUCT((Inputs!$E$5:$E$170=$B74)*Inputs!$F$5:$F$170*(((Inputs!$G$5:$G$170="moeda")+(Inputs!$G$5:$G$170="acoes"))*Inputs!$B$1+((Inputs!$G$5:$G$170&lt;&gt;"moeda")*(Inputs!$G$5:$G$170&lt;&gt;"acoes")))*INDEX(Inputs!$K$5:$AJ$170,0,MATCH(AJ$2,Inputs!$K$4:$AJ$4,0)))))</f>
        <v>737.328</v>
      </c>
      <c r="AK74" s="264">
        <f>IF(ISNA(MATCH(AK$2,Inputs!$K$4:$AJ$4,0)),NA(),IF(SUMPRODUCT((Inputs!$A$5:$A$170=$B74)*ISNUMBER(INDEX(Inputs!$K$5:$AJ$170,0,MATCH(AK$2,Inputs!$K$4:$AJ$4,0))))+SUMPRODUCT((Inputs!$C$5:$C$170=$B74)*ISNUMBER(INDEX(Inputs!$K$5:$AJ$170,0,MATCH(AK$2,Inputs!$K$4:$AJ$4,0))))+SUMPRODUCT((Inputs!$E$5:$E$170=$B74)*ISNUMBER(INDEX(Inputs!$K$5:$AJ$170,0,MATCH(AK$2,Inputs!$K$4:$AJ$4,0))))=0,NA(),SUMPRODUCT((Inputs!$A$5:$A$170=$B74)*Inputs!$B$5:$B$170*(((Inputs!$G$5:$G$170="moeda")+(Inputs!$G$5:$G$170="acoes"))*Inputs!$B$1+((Inputs!$G$5:$G$170&lt;&gt;"moeda")*(Inputs!$G$5:$G$170&lt;&gt;"acoes")))*INDEX(Inputs!$K$5:$AJ$170,0,MATCH(AK$2,Inputs!$K$4:$AJ$4,0)))+SUMPRODUCT((Inputs!$C$5:$C$170=$B74)*Inputs!$D$5:$D$170*(((Inputs!$G$5:$G$170="moeda")+(Inputs!$G$5:$G$170="acoes"))*Inputs!$B$1+((Inputs!$G$5:$G$170&lt;&gt;"moeda")*(Inputs!$G$5:$G$170&lt;&gt;"acoes")))*INDEX(Inputs!$K$5:$AJ$170,0,MATCH(AK$2,Inputs!$K$4:$AJ$4,0)))+SUMPRODUCT((Inputs!$E$5:$E$170=$B74)*Inputs!$F$5:$F$170*(((Inputs!$G$5:$G$170="moeda")+(Inputs!$G$5:$G$170="acoes"))*Inputs!$B$1+((Inputs!$G$5:$G$170&lt;&gt;"moeda")*(Inputs!$G$5:$G$170&lt;&gt;"acoes")))*INDEX(Inputs!$K$5:$AJ$170,0,MATCH(AK$2,Inputs!$K$4:$AJ$4,0)))))</f>
        <v>705.969</v>
      </c>
      <c r="AL74" s="265">
        <f>SUM(AH74:AK74)</f>
        <v>2690.582</v>
      </c>
    </row>
    <row r="75">
      <c r="B75" s="46" t="n">
        <v>67</v>
      </c>
      <c r="C75" s="29" t="inlineStr">
        <is>
          <t>Capex GTF (R$ mi; CAPEX l.19)</t>
        </is>
      </c>
      <c r="D75" s="264">
        <f>IF(ISNA(MATCH(D$2,Inputs!$K$4:$AJ$4,0)),NA(),IF(SUMPRODUCT((Inputs!$A$5:$A$170=$B75)*ISNUMBER(INDEX(Inputs!$K$5:$AJ$170,0,MATCH(D$2,Inputs!$K$4:$AJ$4,0))))+SUMPRODUCT((Inputs!$C$5:$C$170=$B75)*ISNUMBER(INDEX(Inputs!$K$5:$AJ$170,0,MATCH(D$2,Inputs!$K$4:$AJ$4,0))))+SUMPRODUCT((Inputs!$E$5:$E$170=$B75)*ISNUMBER(INDEX(Inputs!$K$5:$AJ$170,0,MATCH(D$2,Inputs!$K$4:$AJ$4,0))))=0,NA(),SUMPRODUCT((Inputs!$A$5:$A$170=$B75)*Inputs!$B$5:$B$170*(((Inputs!$G$5:$G$170="moeda")+(Inputs!$G$5:$G$170="acoes"))*Inputs!$B$1+((Inputs!$G$5:$G$170&lt;&gt;"moeda")*(Inputs!$G$5:$G$170&lt;&gt;"acoes")))*INDEX(Inputs!$K$5:$AJ$170,0,MATCH(D$2,Inputs!$K$4:$AJ$4,0)))+SUMPRODUCT((Inputs!$C$5:$C$170=$B75)*Inputs!$D$5:$D$170*(((Inputs!$G$5:$G$170="moeda")+(Inputs!$G$5:$G$170="acoes"))*Inputs!$B$1+((Inputs!$G$5:$G$170&lt;&gt;"moeda")*(Inputs!$G$5:$G$170&lt;&gt;"acoes")))*INDEX(Inputs!$K$5:$AJ$170,0,MATCH(D$2,Inputs!$K$4:$AJ$4,0)))+SUMPRODUCT((Inputs!$E$5:$E$170=$B75)*Inputs!$F$5:$F$170*(((Inputs!$G$5:$G$170="moeda")+(Inputs!$G$5:$G$170="acoes"))*Inputs!$B$1+((Inputs!$G$5:$G$170&lt;&gt;"moeda")*(Inputs!$G$5:$G$170&lt;&gt;"acoes")))*INDEX(Inputs!$K$5:$AJ$170,0,MATCH(D$2,Inputs!$K$4:$AJ$4,0)))))</f>
        <v>400.141</v>
      </c>
      <c r="E75" s="264">
        <f>IF(ISNA(MATCH(E$2,Inputs!$K$4:$AJ$4,0)),NA(),IF(SUMPRODUCT((Inputs!$A$5:$A$170=$B75)*ISNUMBER(INDEX(Inputs!$K$5:$AJ$170,0,MATCH(E$2,Inputs!$K$4:$AJ$4,0))))+SUMPRODUCT((Inputs!$C$5:$C$170=$B75)*ISNUMBER(INDEX(Inputs!$K$5:$AJ$170,0,MATCH(E$2,Inputs!$K$4:$AJ$4,0))))+SUMPRODUCT((Inputs!$E$5:$E$170=$B75)*ISNUMBER(INDEX(Inputs!$K$5:$AJ$170,0,MATCH(E$2,Inputs!$K$4:$AJ$4,0))))=0,NA(),SUMPRODUCT((Inputs!$A$5:$A$170=$B75)*Inputs!$B$5:$B$170*(((Inputs!$G$5:$G$170="moeda")+(Inputs!$G$5:$G$170="acoes"))*Inputs!$B$1+((Inputs!$G$5:$G$170&lt;&gt;"moeda")*(Inputs!$G$5:$G$170&lt;&gt;"acoes")))*INDEX(Inputs!$K$5:$AJ$170,0,MATCH(E$2,Inputs!$K$4:$AJ$4,0)))+SUMPRODUCT((Inputs!$C$5:$C$170=$B75)*Inputs!$D$5:$D$170*(((Inputs!$G$5:$G$170="moeda")+(Inputs!$G$5:$G$170="acoes"))*Inputs!$B$1+((Inputs!$G$5:$G$170&lt;&gt;"moeda")*(Inputs!$G$5:$G$170&lt;&gt;"acoes")))*INDEX(Inputs!$K$5:$AJ$170,0,MATCH(E$2,Inputs!$K$4:$AJ$4,0)))+SUMPRODUCT((Inputs!$E$5:$E$170=$B75)*Inputs!$F$5:$F$170*(((Inputs!$G$5:$G$170="moeda")+(Inputs!$G$5:$G$170="acoes"))*Inputs!$B$1+((Inputs!$G$5:$G$170&lt;&gt;"moeda")*(Inputs!$G$5:$G$170&lt;&gt;"acoes")))*INDEX(Inputs!$K$5:$AJ$170,0,MATCH(E$2,Inputs!$K$4:$AJ$4,0)))))</f>
        <v>268.452</v>
      </c>
      <c r="F75" s="264">
        <f>IF(ISNA(MATCH(F$2,Inputs!$K$4:$AJ$4,0)),NA(),IF(SUMPRODUCT((Inputs!$A$5:$A$170=$B75)*ISNUMBER(INDEX(Inputs!$K$5:$AJ$170,0,MATCH(F$2,Inputs!$K$4:$AJ$4,0))))+SUMPRODUCT((Inputs!$C$5:$C$170=$B75)*ISNUMBER(INDEX(Inputs!$K$5:$AJ$170,0,MATCH(F$2,Inputs!$K$4:$AJ$4,0))))+SUMPRODUCT((Inputs!$E$5:$E$170=$B75)*ISNUMBER(INDEX(Inputs!$K$5:$AJ$170,0,MATCH(F$2,Inputs!$K$4:$AJ$4,0))))=0,NA(),SUMPRODUCT((Inputs!$A$5:$A$170=$B75)*Inputs!$B$5:$B$170*(((Inputs!$G$5:$G$170="moeda")+(Inputs!$G$5:$G$170="acoes"))*Inputs!$B$1+((Inputs!$G$5:$G$170&lt;&gt;"moeda")*(Inputs!$G$5:$G$170&lt;&gt;"acoes")))*INDEX(Inputs!$K$5:$AJ$170,0,MATCH(F$2,Inputs!$K$4:$AJ$4,0)))+SUMPRODUCT((Inputs!$C$5:$C$170=$B75)*Inputs!$D$5:$D$170*(((Inputs!$G$5:$G$170="moeda")+(Inputs!$G$5:$G$170="acoes"))*Inputs!$B$1+((Inputs!$G$5:$G$170&lt;&gt;"moeda")*(Inputs!$G$5:$G$170&lt;&gt;"acoes")))*INDEX(Inputs!$K$5:$AJ$170,0,MATCH(F$2,Inputs!$K$4:$AJ$4,0)))+SUMPRODUCT((Inputs!$E$5:$E$170=$B75)*Inputs!$F$5:$F$170*(((Inputs!$G$5:$G$170="moeda")+(Inputs!$G$5:$G$170="acoes"))*Inputs!$B$1+((Inputs!$G$5:$G$170&lt;&gt;"moeda")*(Inputs!$G$5:$G$170&lt;&gt;"acoes")))*INDEX(Inputs!$K$5:$AJ$170,0,MATCH(F$2,Inputs!$K$4:$AJ$4,0)))))</f>
        <v>945.323</v>
      </c>
      <c r="G75" s="264">
        <f>IF(ISNA(MATCH(G$2,Inputs!$K$4:$AJ$4,0)),NA(),IF(SUMPRODUCT((Inputs!$A$5:$A$170=$B75)*ISNUMBER(INDEX(Inputs!$K$5:$AJ$170,0,MATCH(G$2,Inputs!$K$4:$AJ$4,0))))+SUMPRODUCT((Inputs!$C$5:$C$170=$B75)*ISNUMBER(INDEX(Inputs!$K$5:$AJ$170,0,MATCH(G$2,Inputs!$K$4:$AJ$4,0))))+SUMPRODUCT((Inputs!$E$5:$E$170=$B75)*ISNUMBER(INDEX(Inputs!$K$5:$AJ$170,0,MATCH(G$2,Inputs!$K$4:$AJ$4,0))))=0,NA(),SUMPRODUCT((Inputs!$A$5:$A$170=$B75)*Inputs!$B$5:$B$170*(((Inputs!$G$5:$G$170="moeda")+(Inputs!$G$5:$G$170="acoes"))*Inputs!$B$1+((Inputs!$G$5:$G$170&lt;&gt;"moeda")*(Inputs!$G$5:$G$170&lt;&gt;"acoes")))*INDEX(Inputs!$K$5:$AJ$170,0,MATCH(G$2,Inputs!$K$4:$AJ$4,0)))+SUMPRODUCT((Inputs!$C$5:$C$170=$B75)*Inputs!$D$5:$D$170*(((Inputs!$G$5:$G$170="moeda")+(Inputs!$G$5:$G$170="acoes"))*Inputs!$B$1+((Inputs!$G$5:$G$170&lt;&gt;"moeda")*(Inputs!$G$5:$G$170&lt;&gt;"acoes")))*INDEX(Inputs!$K$5:$AJ$170,0,MATCH(G$2,Inputs!$K$4:$AJ$4,0)))+SUMPRODUCT((Inputs!$E$5:$E$170=$B75)*Inputs!$F$5:$F$170*(((Inputs!$G$5:$G$170="moeda")+(Inputs!$G$5:$G$170="acoes"))*Inputs!$B$1+((Inputs!$G$5:$G$170&lt;&gt;"moeda")*(Inputs!$G$5:$G$170&lt;&gt;"acoes")))*INDEX(Inputs!$K$5:$AJ$170,0,MATCH(G$2,Inputs!$K$4:$AJ$4,0)))))</f>
        <v>961.226</v>
      </c>
      <c r="H75" s="265">
        <f>SUM(D75:G75)</f>
        <v>2575.142</v>
      </c>
      <c r="I75" s="264">
        <f>IF(ISNA(MATCH(I$2,Inputs!$K$4:$AJ$4,0)),NA(),IF(SUMPRODUCT((Inputs!$A$5:$A$170=$B75)*ISNUMBER(INDEX(Inputs!$K$5:$AJ$170,0,MATCH(I$2,Inputs!$K$4:$AJ$4,0))))+SUMPRODUCT((Inputs!$C$5:$C$170=$B75)*ISNUMBER(INDEX(Inputs!$K$5:$AJ$170,0,MATCH(I$2,Inputs!$K$4:$AJ$4,0))))+SUMPRODUCT((Inputs!$E$5:$E$170=$B75)*ISNUMBER(INDEX(Inputs!$K$5:$AJ$170,0,MATCH(I$2,Inputs!$K$4:$AJ$4,0))))=0,NA(),SUMPRODUCT((Inputs!$A$5:$A$170=$B75)*Inputs!$B$5:$B$170*(((Inputs!$G$5:$G$170="moeda")+(Inputs!$G$5:$G$170="acoes"))*Inputs!$B$1+((Inputs!$G$5:$G$170&lt;&gt;"moeda")*(Inputs!$G$5:$G$170&lt;&gt;"acoes")))*INDEX(Inputs!$K$5:$AJ$170,0,MATCH(I$2,Inputs!$K$4:$AJ$4,0)))+SUMPRODUCT((Inputs!$C$5:$C$170=$B75)*Inputs!$D$5:$D$170*(((Inputs!$G$5:$G$170="moeda")+(Inputs!$G$5:$G$170="acoes"))*Inputs!$B$1+((Inputs!$G$5:$G$170&lt;&gt;"moeda")*(Inputs!$G$5:$G$170&lt;&gt;"acoes")))*INDEX(Inputs!$K$5:$AJ$170,0,MATCH(I$2,Inputs!$K$4:$AJ$4,0)))+SUMPRODUCT((Inputs!$E$5:$E$170=$B75)*Inputs!$F$5:$F$170*(((Inputs!$G$5:$G$170="moeda")+(Inputs!$G$5:$G$170="acoes"))*Inputs!$B$1+((Inputs!$G$5:$G$170&lt;&gt;"moeda")*(Inputs!$G$5:$G$170&lt;&gt;"acoes")))*INDEX(Inputs!$K$5:$AJ$170,0,MATCH(I$2,Inputs!$K$4:$AJ$4,0)))))</f>
        <v>154.34</v>
      </c>
      <c r="J75" s="264">
        <f>IF(ISNA(MATCH(J$2,Inputs!$K$4:$AJ$4,0)),NA(),IF(SUMPRODUCT((Inputs!$A$5:$A$170=$B75)*ISNUMBER(INDEX(Inputs!$K$5:$AJ$170,0,MATCH(J$2,Inputs!$K$4:$AJ$4,0))))+SUMPRODUCT((Inputs!$C$5:$C$170=$B75)*ISNUMBER(INDEX(Inputs!$K$5:$AJ$170,0,MATCH(J$2,Inputs!$K$4:$AJ$4,0))))+SUMPRODUCT((Inputs!$E$5:$E$170=$B75)*ISNUMBER(INDEX(Inputs!$K$5:$AJ$170,0,MATCH(J$2,Inputs!$K$4:$AJ$4,0))))=0,NA(),SUMPRODUCT((Inputs!$A$5:$A$170=$B75)*Inputs!$B$5:$B$170*(((Inputs!$G$5:$G$170="moeda")+(Inputs!$G$5:$G$170="acoes"))*Inputs!$B$1+((Inputs!$G$5:$G$170&lt;&gt;"moeda")*(Inputs!$G$5:$G$170&lt;&gt;"acoes")))*INDEX(Inputs!$K$5:$AJ$170,0,MATCH(J$2,Inputs!$K$4:$AJ$4,0)))+SUMPRODUCT((Inputs!$C$5:$C$170=$B75)*Inputs!$D$5:$D$170*(((Inputs!$G$5:$G$170="moeda")+(Inputs!$G$5:$G$170="acoes"))*Inputs!$B$1+((Inputs!$G$5:$G$170&lt;&gt;"moeda")*(Inputs!$G$5:$G$170&lt;&gt;"acoes")))*INDEX(Inputs!$K$5:$AJ$170,0,MATCH(J$2,Inputs!$K$4:$AJ$4,0)))+SUMPRODUCT((Inputs!$E$5:$E$170=$B75)*Inputs!$F$5:$F$170*(((Inputs!$G$5:$G$170="moeda")+(Inputs!$G$5:$G$170="acoes"))*Inputs!$B$1+((Inputs!$G$5:$G$170&lt;&gt;"moeda")*(Inputs!$G$5:$G$170&lt;&gt;"acoes")))*INDEX(Inputs!$K$5:$AJ$170,0,MATCH(J$2,Inputs!$K$4:$AJ$4,0)))))</f>
        <v>1080.363</v>
      </c>
      <c r="K75" s="264">
        <f>IF(ISNA(MATCH(K$2,Inputs!$K$4:$AJ$4,0)),NA(),IF(SUMPRODUCT((Inputs!$A$5:$A$170=$B75)*ISNUMBER(INDEX(Inputs!$K$5:$AJ$170,0,MATCH(K$2,Inputs!$K$4:$AJ$4,0))))+SUMPRODUCT((Inputs!$C$5:$C$170=$B75)*ISNUMBER(INDEX(Inputs!$K$5:$AJ$170,0,MATCH(K$2,Inputs!$K$4:$AJ$4,0))))+SUMPRODUCT((Inputs!$E$5:$E$170=$B75)*ISNUMBER(INDEX(Inputs!$K$5:$AJ$170,0,MATCH(K$2,Inputs!$K$4:$AJ$4,0))))=0,NA(),SUMPRODUCT((Inputs!$A$5:$A$170=$B75)*Inputs!$B$5:$B$170*(((Inputs!$G$5:$G$170="moeda")+(Inputs!$G$5:$G$170="acoes"))*Inputs!$B$1+((Inputs!$G$5:$G$170&lt;&gt;"moeda")*(Inputs!$G$5:$G$170&lt;&gt;"acoes")))*INDEX(Inputs!$K$5:$AJ$170,0,MATCH(K$2,Inputs!$K$4:$AJ$4,0)))+SUMPRODUCT((Inputs!$C$5:$C$170=$B75)*Inputs!$D$5:$D$170*(((Inputs!$G$5:$G$170="moeda")+(Inputs!$G$5:$G$170="acoes"))*Inputs!$B$1+((Inputs!$G$5:$G$170&lt;&gt;"moeda")*(Inputs!$G$5:$G$170&lt;&gt;"acoes")))*INDEX(Inputs!$K$5:$AJ$170,0,MATCH(K$2,Inputs!$K$4:$AJ$4,0)))+SUMPRODUCT((Inputs!$E$5:$E$170=$B75)*Inputs!$F$5:$F$170*(((Inputs!$G$5:$G$170="moeda")+(Inputs!$G$5:$G$170="acoes"))*Inputs!$B$1+((Inputs!$G$5:$G$170&lt;&gt;"moeda")*(Inputs!$G$5:$G$170&lt;&gt;"acoes")))*INDEX(Inputs!$K$5:$AJ$170,0,MATCH(K$2,Inputs!$K$4:$AJ$4,0)))))</f>
        <v>512.801</v>
      </c>
      <c r="L75" s="264">
        <f>IF(ISNA(MATCH(L$2,Inputs!$K$4:$AJ$4,0)),NA(),IF(SUMPRODUCT((Inputs!$A$5:$A$170=$B75)*ISNUMBER(INDEX(Inputs!$K$5:$AJ$170,0,MATCH(L$2,Inputs!$K$4:$AJ$4,0))))+SUMPRODUCT((Inputs!$C$5:$C$170=$B75)*ISNUMBER(INDEX(Inputs!$K$5:$AJ$170,0,MATCH(L$2,Inputs!$K$4:$AJ$4,0))))+SUMPRODUCT((Inputs!$E$5:$E$170=$B75)*ISNUMBER(INDEX(Inputs!$K$5:$AJ$170,0,MATCH(L$2,Inputs!$K$4:$AJ$4,0))))=0,NA(),SUMPRODUCT((Inputs!$A$5:$A$170=$B75)*Inputs!$B$5:$B$170*(((Inputs!$G$5:$G$170="moeda")+(Inputs!$G$5:$G$170="acoes"))*Inputs!$B$1+((Inputs!$G$5:$G$170&lt;&gt;"moeda")*(Inputs!$G$5:$G$170&lt;&gt;"acoes")))*INDEX(Inputs!$K$5:$AJ$170,0,MATCH(L$2,Inputs!$K$4:$AJ$4,0)))+SUMPRODUCT((Inputs!$C$5:$C$170=$B75)*Inputs!$D$5:$D$170*(((Inputs!$G$5:$G$170="moeda")+(Inputs!$G$5:$G$170="acoes"))*Inputs!$B$1+((Inputs!$G$5:$G$170&lt;&gt;"moeda")*(Inputs!$G$5:$G$170&lt;&gt;"acoes")))*INDEX(Inputs!$K$5:$AJ$170,0,MATCH(L$2,Inputs!$K$4:$AJ$4,0)))+SUMPRODUCT((Inputs!$E$5:$E$170=$B75)*Inputs!$F$5:$F$170*(((Inputs!$G$5:$G$170="moeda")+(Inputs!$G$5:$G$170="acoes"))*Inputs!$B$1+((Inputs!$G$5:$G$170&lt;&gt;"moeda")*(Inputs!$G$5:$G$170&lt;&gt;"acoes")))*INDEX(Inputs!$K$5:$AJ$170,0,MATCH(L$2,Inputs!$K$4:$AJ$4,0)))))</f>
        <v>791.89</v>
      </c>
      <c r="M75" s="265">
        <f>SUM(I75:L75)</f>
        <v>2539.394</v>
      </c>
      <c r="N75" s="264">
        <f>IF(ISNA(MATCH(N$2,Inputs!$K$4:$AJ$4,0)),NA(),IF(SUMPRODUCT((Inputs!$A$5:$A$170=$B75)*ISNUMBER(INDEX(Inputs!$K$5:$AJ$170,0,MATCH(N$2,Inputs!$K$4:$AJ$4,0))))+SUMPRODUCT((Inputs!$C$5:$C$170=$B75)*ISNUMBER(INDEX(Inputs!$K$5:$AJ$170,0,MATCH(N$2,Inputs!$K$4:$AJ$4,0))))+SUMPRODUCT((Inputs!$E$5:$E$170=$B75)*ISNUMBER(INDEX(Inputs!$K$5:$AJ$170,0,MATCH(N$2,Inputs!$K$4:$AJ$4,0))))=0,NA(),SUMPRODUCT((Inputs!$A$5:$A$170=$B75)*Inputs!$B$5:$B$170*(((Inputs!$G$5:$G$170="moeda")+(Inputs!$G$5:$G$170="acoes"))*Inputs!$B$1+((Inputs!$G$5:$G$170&lt;&gt;"moeda")*(Inputs!$G$5:$G$170&lt;&gt;"acoes")))*INDEX(Inputs!$K$5:$AJ$170,0,MATCH(N$2,Inputs!$K$4:$AJ$4,0)))+SUMPRODUCT((Inputs!$C$5:$C$170=$B75)*Inputs!$D$5:$D$170*(((Inputs!$G$5:$G$170="moeda")+(Inputs!$G$5:$G$170="acoes"))*Inputs!$B$1+((Inputs!$G$5:$G$170&lt;&gt;"moeda")*(Inputs!$G$5:$G$170&lt;&gt;"acoes")))*INDEX(Inputs!$K$5:$AJ$170,0,MATCH(N$2,Inputs!$K$4:$AJ$4,0)))+SUMPRODUCT((Inputs!$E$5:$E$170=$B75)*Inputs!$F$5:$F$170*(((Inputs!$G$5:$G$170="moeda")+(Inputs!$G$5:$G$170="acoes"))*Inputs!$B$1+((Inputs!$G$5:$G$170&lt;&gt;"moeda")*(Inputs!$G$5:$G$170&lt;&gt;"acoes")))*INDEX(Inputs!$K$5:$AJ$170,0,MATCH(N$2,Inputs!$K$4:$AJ$4,0)))))</f>
        <v>761.79</v>
      </c>
      <c r="O75" s="264">
        <f>IF(ISNA(MATCH(O$2,Inputs!$K$4:$AJ$4,0)),NA(),IF(SUMPRODUCT((Inputs!$A$5:$A$170=$B75)*ISNUMBER(INDEX(Inputs!$K$5:$AJ$170,0,MATCH(O$2,Inputs!$K$4:$AJ$4,0))))+SUMPRODUCT((Inputs!$C$5:$C$170=$B75)*ISNUMBER(INDEX(Inputs!$K$5:$AJ$170,0,MATCH(O$2,Inputs!$K$4:$AJ$4,0))))+SUMPRODUCT((Inputs!$E$5:$E$170=$B75)*ISNUMBER(INDEX(Inputs!$K$5:$AJ$170,0,MATCH(O$2,Inputs!$K$4:$AJ$4,0))))=0,NA(),SUMPRODUCT((Inputs!$A$5:$A$170=$B75)*Inputs!$B$5:$B$170*(((Inputs!$G$5:$G$170="moeda")+(Inputs!$G$5:$G$170="acoes"))*Inputs!$B$1+((Inputs!$G$5:$G$170&lt;&gt;"moeda")*(Inputs!$G$5:$G$170&lt;&gt;"acoes")))*INDEX(Inputs!$K$5:$AJ$170,0,MATCH(O$2,Inputs!$K$4:$AJ$4,0)))+SUMPRODUCT((Inputs!$C$5:$C$170=$B75)*Inputs!$D$5:$D$170*(((Inputs!$G$5:$G$170="moeda")+(Inputs!$G$5:$G$170="acoes"))*Inputs!$B$1+((Inputs!$G$5:$G$170&lt;&gt;"moeda")*(Inputs!$G$5:$G$170&lt;&gt;"acoes")))*INDEX(Inputs!$K$5:$AJ$170,0,MATCH(O$2,Inputs!$K$4:$AJ$4,0)))+SUMPRODUCT((Inputs!$E$5:$E$170=$B75)*Inputs!$F$5:$F$170*(((Inputs!$G$5:$G$170="moeda")+(Inputs!$G$5:$G$170="acoes"))*Inputs!$B$1+((Inputs!$G$5:$G$170&lt;&gt;"moeda")*(Inputs!$G$5:$G$170&lt;&gt;"acoes")))*INDEX(Inputs!$K$5:$AJ$170,0,MATCH(O$2,Inputs!$K$4:$AJ$4,0)))))</f>
        <v>920.396</v>
      </c>
      <c r="P75" s="264">
        <f>IF(ISNA(MATCH(P$2,Inputs!$K$4:$AJ$4,0)),NA(),IF(SUMPRODUCT((Inputs!$A$5:$A$170=$B75)*ISNUMBER(INDEX(Inputs!$K$5:$AJ$170,0,MATCH(P$2,Inputs!$K$4:$AJ$4,0))))+SUMPRODUCT((Inputs!$C$5:$C$170=$B75)*ISNUMBER(INDEX(Inputs!$K$5:$AJ$170,0,MATCH(P$2,Inputs!$K$4:$AJ$4,0))))+SUMPRODUCT((Inputs!$E$5:$E$170=$B75)*ISNUMBER(INDEX(Inputs!$K$5:$AJ$170,0,MATCH(P$2,Inputs!$K$4:$AJ$4,0))))=0,NA(),SUMPRODUCT((Inputs!$A$5:$A$170=$B75)*Inputs!$B$5:$B$170*(((Inputs!$G$5:$G$170="moeda")+(Inputs!$G$5:$G$170="acoes"))*Inputs!$B$1+((Inputs!$G$5:$G$170&lt;&gt;"moeda")*(Inputs!$G$5:$G$170&lt;&gt;"acoes")))*INDEX(Inputs!$K$5:$AJ$170,0,MATCH(P$2,Inputs!$K$4:$AJ$4,0)))+SUMPRODUCT((Inputs!$C$5:$C$170=$B75)*Inputs!$D$5:$D$170*(((Inputs!$G$5:$G$170="moeda")+(Inputs!$G$5:$G$170="acoes"))*Inputs!$B$1+((Inputs!$G$5:$G$170&lt;&gt;"moeda")*(Inputs!$G$5:$G$170&lt;&gt;"acoes")))*INDEX(Inputs!$K$5:$AJ$170,0,MATCH(P$2,Inputs!$K$4:$AJ$4,0)))+SUMPRODUCT((Inputs!$E$5:$E$170=$B75)*Inputs!$F$5:$F$170*(((Inputs!$G$5:$G$170="moeda")+(Inputs!$G$5:$G$170="acoes"))*Inputs!$B$1+((Inputs!$G$5:$G$170&lt;&gt;"moeda")*(Inputs!$G$5:$G$170&lt;&gt;"acoes")))*INDEX(Inputs!$K$5:$AJ$170,0,MATCH(P$2,Inputs!$K$4:$AJ$4,0)))))</f>
        <v>1620.787</v>
      </c>
      <c r="Q75" s="264">
        <f>IF(ISNA(MATCH(Q$2,Inputs!$K$4:$AJ$4,0)),NA(),IF(SUMPRODUCT((Inputs!$A$5:$A$170=$B75)*ISNUMBER(INDEX(Inputs!$K$5:$AJ$170,0,MATCH(Q$2,Inputs!$K$4:$AJ$4,0))))+SUMPRODUCT((Inputs!$C$5:$C$170=$B75)*ISNUMBER(INDEX(Inputs!$K$5:$AJ$170,0,MATCH(Q$2,Inputs!$K$4:$AJ$4,0))))+SUMPRODUCT((Inputs!$E$5:$E$170=$B75)*ISNUMBER(INDEX(Inputs!$K$5:$AJ$170,0,MATCH(Q$2,Inputs!$K$4:$AJ$4,0))))=0,NA(),SUMPRODUCT((Inputs!$A$5:$A$170=$B75)*Inputs!$B$5:$B$170*(((Inputs!$G$5:$G$170="moeda")+(Inputs!$G$5:$G$170="acoes"))*Inputs!$B$1+((Inputs!$G$5:$G$170&lt;&gt;"moeda")*(Inputs!$G$5:$G$170&lt;&gt;"acoes")))*INDEX(Inputs!$K$5:$AJ$170,0,MATCH(Q$2,Inputs!$K$4:$AJ$4,0)))+SUMPRODUCT((Inputs!$C$5:$C$170=$B75)*Inputs!$D$5:$D$170*(((Inputs!$G$5:$G$170="moeda")+(Inputs!$G$5:$G$170="acoes"))*Inputs!$B$1+((Inputs!$G$5:$G$170&lt;&gt;"moeda")*(Inputs!$G$5:$G$170&lt;&gt;"acoes")))*INDEX(Inputs!$K$5:$AJ$170,0,MATCH(Q$2,Inputs!$K$4:$AJ$4,0)))+SUMPRODUCT((Inputs!$E$5:$E$170=$B75)*Inputs!$F$5:$F$170*(((Inputs!$G$5:$G$170="moeda")+(Inputs!$G$5:$G$170="acoes"))*Inputs!$B$1+((Inputs!$G$5:$G$170&lt;&gt;"moeda")*(Inputs!$G$5:$G$170&lt;&gt;"acoes")))*INDEX(Inputs!$K$5:$AJ$170,0,MATCH(Q$2,Inputs!$K$4:$AJ$4,0)))))</f>
        <v>2148.859</v>
      </c>
      <c r="R75" s="265">
        <f>SUM(N75:Q75)</f>
        <v>5451.832</v>
      </c>
      <c r="S75" s="264">
        <f>IF(ISNA(MATCH(S$2,Inputs!$K$4:$AJ$4,0)),NA(),IF(SUMPRODUCT((Inputs!$A$5:$A$170=$B75)*ISNUMBER(INDEX(Inputs!$K$5:$AJ$170,0,MATCH(S$2,Inputs!$K$4:$AJ$4,0))))+SUMPRODUCT((Inputs!$C$5:$C$170=$B75)*ISNUMBER(INDEX(Inputs!$K$5:$AJ$170,0,MATCH(S$2,Inputs!$K$4:$AJ$4,0))))+SUMPRODUCT((Inputs!$E$5:$E$170=$B75)*ISNUMBER(INDEX(Inputs!$K$5:$AJ$170,0,MATCH(S$2,Inputs!$K$4:$AJ$4,0))))=0,NA(),SUMPRODUCT((Inputs!$A$5:$A$170=$B75)*Inputs!$B$5:$B$170*(((Inputs!$G$5:$G$170="moeda")+(Inputs!$G$5:$G$170="acoes"))*Inputs!$B$1+((Inputs!$G$5:$G$170&lt;&gt;"moeda")*(Inputs!$G$5:$G$170&lt;&gt;"acoes")))*INDEX(Inputs!$K$5:$AJ$170,0,MATCH(S$2,Inputs!$K$4:$AJ$4,0)))+SUMPRODUCT((Inputs!$C$5:$C$170=$B75)*Inputs!$D$5:$D$170*(((Inputs!$G$5:$G$170="moeda")+(Inputs!$G$5:$G$170="acoes"))*Inputs!$B$1+((Inputs!$G$5:$G$170&lt;&gt;"moeda")*(Inputs!$G$5:$G$170&lt;&gt;"acoes")))*INDEX(Inputs!$K$5:$AJ$170,0,MATCH(S$2,Inputs!$K$4:$AJ$4,0)))+SUMPRODUCT((Inputs!$E$5:$E$170=$B75)*Inputs!$F$5:$F$170*(((Inputs!$G$5:$G$170="moeda")+(Inputs!$G$5:$G$170="acoes"))*Inputs!$B$1+((Inputs!$G$5:$G$170&lt;&gt;"moeda")*(Inputs!$G$5:$G$170&lt;&gt;"acoes")))*INDEX(Inputs!$K$5:$AJ$170,0,MATCH(S$2,Inputs!$K$4:$AJ$4,0)))))</f>
        <v>1396.221</v>
      </c>
      <c r="T75" s="264">
        <f>IF(ISNA(MATCH(T$2,Inputs!$K$4:$AJ$4,0)),NA(),IF(SUMPRODUCT((Inputs!$A$5:$A$170=$B75)*ISNUMBER(INDEX(Inputs!$K$5:$AJ$170,0,MATCH(T$2,Inputs!$K$4:$AJ$4,0))))+SUMPRODUCT((Inputs!$C$5:$C$170=$B75)*ISNUMBER(INDEX(Inputs!$K$5:$AJ$170,0,MATCH(T$2,Inputs!$K$4:$AJ$4,0))))+SUMPRODUCT((Inputs!$E$5:$E$170=$B75)*ISNUMBER(INDEX(Inputs!$K$5:$AJ$170,0,MATCH(T$2,Inputs!$K$4:$AJ$4,0))))=0,NA(),SUMPRODUCT((Inputs!$A$5:$A$170=$B75)*Inputs!$B$5:$B$170*(((Inputs!$G$5:$G$170="moeda")+(Inputs!$G$5:$G$170="acoes"))*Inputs!$B$1+((Inputs!$G$5:$G$170&lt;&gt;"moeda")*(Inputs!$G$5:$G$170&lt;&gt;"acoes")))*INDEX(Inputs!$K$5:$AJ$170,0,MATCH(T$2,Inputs!$K$4:$AJ$4,0)))+SUMPRODUCT((Inputs!$C$5:$C$170=$B75)*Inputs!$D$5:$D$170*(((Inputs!$G$5:$G$170="moeda")+(Inputs!$G$5:$G$170="acoes"))*Inputs!$B$1+((Inputs!$G$5:$G$170&lt;&gt;"moeda")*(Inputs!$G$5:$G$170&lt;&gt;"acoes")))*INDEX(Inputs!$K$5:$AJ$170,0,MATCH(T$2,Inputs!$K$4:$AJ$4,0)))+SUMPRODUCT((Inputs!$E$5:$E$170=$B75)*Inputs!$F$5:$F$170*(((Inputs!$G$5:$G$170="moeda")+(Inputs!$G$5:$G$170="acoes"))*Inputs!$B$1+((Inputs!$G$5:$G$170&lt;&gt;"moeda")*(Inputs!$G$5:$G$170&lt;&gt;"acoes")))*INDEX(Inputs!$K$5:$AJ$170,0,MATCH(T$2,Inputs!$K$4:$AJ$4,0)))))</f>
        <v>1503.655</v>
      </c>
      <c r="U75" s="264">
        <f>IF(ISNA(MATCH(U$2,Inputs!$K$4:$AJ$4,0)),NA(),IF(SUMPRODUCT((Inputs!$A$5:$A$170=$B75)*ISNUMBER(INDEX(Inputs!$K$5:$AJ$170,0,MATCH(U$2,Inputs!$K$4:$AJ$4,0))))+SUMPRODUCT((Inputs!$C$5:$C$170=$B75)*ISNUMBER(INDEX(Inputs!$K$5:$AJ$170,0,MATCH(U$2,Inputs!$K$4:$AJ$4,0))))+SUMPRODUCT((Inputs!$E$5:$E$170=$B75)*ISNUMBER(INDEX(Inputs!$K$5:$AJ$170,0,MATCH(U$2,Inputs!$K$4:$AJ$4,0))))=0,NA(),SUMPRODUCT((Inputs!$A$5:$A$170=$B75)*Inputs!$B$5:$B$170*(((Inputs!$G$5:$G$170="moeda")+(Inputs!$G$5:$G$170="acoes"))*Inputs!$B$1+((Inputs!$G$5:$G$170&lt;&gt;"moeda")*(Inputs!$G$5:$G$170&lt;&gt;"acoes")))*INDEX(Inputs!$K$5:$AJ$170,0,MATCH(U$2,Inputs!$K$4:$AJ$4,0)))+SUMPRODUCT((Inputs!$C$5:$C$170=$B75)*Inputs!$D$5:$D$170*(((Inputs!$G$5:$G$170="moeda")+(Inputs!$G$5:$G$170="acoes"))*Inputs!$B$1+((Inputs!$G$5:$G$170&lt;&gt;"moeda")*(Inputs!$G$5:$G$170&lt;&gt;"acoes")))*INDEX(Inputs!$K$5:$AJ$170,0,MATCH(U$2,Inputs!$K$4:$AJ$4,0)))+SUMPRODUCT((Inputs!$E$5:$E$170=$B75)*Inputs!$F$5:$F$170*(((Inputs!$G$5:$G$170="moeda")+(Inputs!$G$5:$G$170="acoes"))*Inputs!$B$1+((Inputs!$G$5:$G$170&lt;&gt;"moeda")*(Inputs!$G$5:$G$170&lt;&gt;"acoes")))*INDEX(Inputs!$K$5:$AJ$170,0,MATCH(U$2,Inputs!$K$4:$AJ$4,0)))))</f>
        <v>1356.178</v>
      </c>
      <c r="V75" s="264">
        <f>IF(ISNA(MATCH(V$2,Inputs!$K$4:$AJ$4,0)),NA(),IF(SUMPRODUCT((Inputs!$A$5:$A$170=$B75)*ISNUMBER(INDEX(Inputs!$K$5:$AJ$170,0,MATCH(V$2,Inputs!$K$4:$AJ$4,0))))+SUMPRODUCT((Inputs!$C$5:$C$170=$B75)*ISNUMBER(INDEX(Inputs!$K$5:$AJ$170,0,MATCH(V$2,Inputs!$K$4:$AJ$4,0))))+SUMPRODUCT((Inputs!$E$5:$E$170=$B75)*ISNUMBER(INDEX(Inputs!$K$5:$AJ$170,0,MATCH(V$2,Inputs!$K$4:$AJ$4,0))))=0,NA(),SUMPRODUCT((Inputs!$A$5:$A$170=$B75)*Inputs!$B$5:$B$170*(((Inputs!$G$5:$G$170="moeda")+(Inputs!$G$5:$G$170="acoes"))*Inputs!$B$1+((Inputs!$G$5:$G$170&lt;&gt;"moeda")*(Inputs!$G$5:$G$170&lt;&gt;"acoes")))*INDEX(Inputs!$K$5:$AJ$170,0,MATCH(V$2,Inputs!$K$4:$AJ$4,0)))+SUMPRODUCT((Inputs!$C$5:$C$170=$B75)*Inputs!$D$5:$D$170*(((Inputs!$G$5:$G$170="moeda")+(Inputs!$G$5:$G$170="acoes"))*Inputs!$B$1+((Inputs!$G$5:$G$170&lt;&gt;"moeda")*(Inputs!$G$5:$G$170&lt;&gt;"acoes")))*INDEX(Inputs!$K$5:$AJ$170,0,MATCH(V$2,Inputs!$K$4:$AJ$4,0)))+SUMPRODUCT((Inputs!$E$5:$E$170=$B75)*Inputs!$F$5:$F$170*(((Inputs!$G$5:$G$170="moeda")+(Inputs!$G$5:$G$170="acoes"))*Inputs!$B$1+((Inputs!$G$5:$G$170&lt;&gt;"moeda")*(Inputs!$G$5:$G$170&lt;&gt;"acoes")))*INDEX(Inputs!$K$5:$AJ$170,0,MATCH(V$2,Inputs!$K$4:$AJ$4,0)))))</f>
        <v>1870.277</v>
      </c>
      <c r="W75" s="265">
        <f>SUM(S75:V75)</f>
        <v>6126.331</v>
      </c>
      <c r="X75" s="264">
        <f>IF(ISNA(MATCH(X$2,Inputs!$K$4:$AJ$4,0)),NA(),IF(SUMPRODUCT((Inputs!$A$5:$A$170=$B75)*ISNUMBER(INDEX(Inputs!$K$5:$AJ$170,0,MATCH(X$2,Inputs!$K$4:$AJ$4,0))))+SUMPRODUCT((Inputs!$C$5:$C$170=$B75)*ISNUMBER(INDEX(Inputs!$K$5:$AJ$170,0,MATCH(X$2,Inputs!$K$4:$AJ$4,0))))+SUMPRODUCT((Inputs!$E$5:$E$170=$B75)*ISNUMBER(INDEX(Inputs!$K$5:$AJ$170,0,MATCH(X$2,Inputs!$K$4:$AJ$4,0))))=0,NA(),SUMPRODUCT((Inputs!$A$5:$A$170=$B75)*Inputs!$B$5:$B$170*(((Inputs!$G$5:$G$170="moeda")+(Inputs!$G$5:$G$170="acoes"))*Inputs!$B$1+((Inputs!$G$5:$G$170&lt;&gt;"moeda")*(Inputs!$G$5:$G$170&lt;&gt;"acoes")))*INDEX(Inputs!$K$5:$AJ$170,0,MATCH(X$2,Inputs!$K$4:$AJ$4,0)))+SUMPRODUCT((Inputs!$C$5:$C$170=$B75)*Inputs!$D$5:$D$170*(((Inputs!$G$5:$G$170="moeda")+(Inputs!$G$5:$G$170="acoes"))*Inputs!$B$1+((Inputs!$G$5:$G$170&lt;&gt;"moeda")*(Inputs!$G$5:$G$170&lt;&gt;"acoes")))*INDEX(Inputs!$K$5:$AJ$170,0,MATCH(X$2,Inputs!$K$4:$AJ$4,0)))+SUMPRODUCT((Inputs!$E$5:$E$170=$B75)*Inputs!$F$5:$F$170*(((Inputs!$G$5:$G$170="moeda")+(Inputs!$G$5:$G$170="acoes"))*Inputs!$B$1+((Inputs!$G$5:$G$170&lt;&gt;"moeda")*(Inputs!$G$5:$G$170&lt;&gt;"acoes")))*INDEX(Inputs!$K$5:$AJ$170,0,MATCH(X$2,Inputs!$K$4:$AJ$4,0)))))</f>
        <v>815.738604756224</v>
      </c>
      <c r="Y75" s="264">
        <f>IF(ISNA(MATCH(Y$2,Inputs!$K$4:$AJ$4,0)),NA(),IF(SUMPRODUCT((Inputs!$A$5:$A$170=$B75)*ISNUMBER(INDEX(Inputs!$K$5:$AJ$170,0,MATCH(Y$2,Inputs!$K$4:$AJ$4,0))))+SUMPRODUCT((Inputs!$C$5:$C$170=$B75)*ISNUMBER(INDEX(Inputs!$K$5:$AJ$170,0,MATCH(Y$2,Inputs!$K$4:$AJ$4,0))))+SUMPRODUCT((Inputs!$E$5:$E$170=$B75)*ISNUMBER(INDEX(Inputs!$K$5:$AJ$170,0,MATCH(Y$2,Inputs!$K$4:$AJ$4,0))))=0,NA(),SUMPRODUCT((Inputs!$A$5:$A$170=$B75)*Inputs!$B$5:$B$170*(((Inputs!$G$5:$G$170="moeda")+(Inputs!$G$5:$G$170="acoes"))*Inputs!$B$1+((Inputs!$G$5:$G$170&lt;&gt;"moeda")*(Inputs!$G$5:$G$170&lt;&gt;"acoes")))*INDEX(Inputs!$K$5:$AJ$170,0,MATCH(Y$2,Inputs!$K$4:$AJ$4,0)))+SUMPRODUCT((Inputs!$C$5:$C$170=$B75)*Inputs!$D$5:$D$170*(((Inputs!$G$5:$G$170="moeda")+(Inputs!$G$5:$G$170="acoes"))*Inputs!$B$1+((Inputs!$G$5:$G$170&lt;&gt;"moeda")*(Inputs!$G$5:$G$170&lt;&gt;"acoes")))*INDEX(Inputs!$K$5:$AJ$170,0,MATCH(Y$2,Inputs!$K$4:$AJ$4,0)))+SUMPRODUCT((Inputs!$E$5:$E$170=$B75)*Inputs!$F$5:$F$170*(((Inputs!$G$5:$G$170="moeda")+(Inputs!$G$5:$G$170="acoes"))*Inputs!$B$1+((Inputs!$G$5:$G$170&lt;&gt;"moeda")*(Inputs!$G$5:$G$170&lt;&gt;"acoes")))*INDEX(Inputs!$K$5:$AJ$170,0,MATCH(Y$2,Inputs!$K$4:$AJ$4,0)))))</f>
        <v>1235.11359026344</v>
      </c>
      <c r="Z75" s="264">
        <f>IF(ISNA(MATCH(Z$2,Inputs!$K$4:$AJ$4,0)),NA(),IF(SUMPRODUCT((Inputs!$A$5:$A$170=$B75)*ISNUMBER(INDEX(Inputs!$K$5:$AJ$170,0,MATCH(Z$2,Inputs!$K$4:$AJ$4,0))))+SUMPRODUCT((Inputs!$C$5:$C$170=$B75)*ISNUMBER(INDEX(Inputs!$K$5:$AJ$170,0,MATCH(Z$2,Inputs!$K$4:$AJ$4,0))))+SUMPRODUCT((Inputs!$E$5:$E$170=$B75)*ISNUMBER(INDEX(Inputs!$K$5:$AJ$170,0,MATCH(Z$2,Inputs!$K$4:$AJ$4,0))))=0,NA(),SUMPRODUCT((Inputs!$A$5:$A$170=$B75)*Inputs!$B$5:$B$170*(((Inputs!$G$5:$G$170="moeda")+(Inputs!$G$5:$G$170="acoes"))*Inputs!$B$1+((Inputs!$G$5:$G$170&lt;&gt;"moeda")*(Inputs!$G$5:$G$170&lt;&gt;"acoes")))*INDEX(Inputs!$K$5:$AJ$170,0,MATCH(Z$2,Inputs!$K$4:$AJ$4,0)))+SUMPRODUCT((Inputs!$C$5:$C$170=$B75)*Inputs!$D$5:$D$170*(((Inputs!$G$5:$G$170="moeda")+(Inputs!$G$5:$G$170="acoes"))*Inputs!$B$1+((Inputs!$G$5:$G$170&lt;&gt;"moeda")*(Inputs!$G$5:$G$170&lt;&gt;"acoes")))*INDEX(Inputs!$K$5:$AJ$170,0,MATCH(Z$2,Inputs!$K$4:$AJ$4,0)))+SUMPRODUCT((Inputs!$E$5:$E$170=$B75)*Inputs!$F$5:$F$170*(((Inputs!$G$5:$G$170="moeda")+(Inputs!$G$5:$G$170="acoes"))*Inputs!$B$1+((Inputs!$G$5:$G$170&lt;&gt;"moeda")*(Inputs!$G$5:$G$170&lt;&gt;"acoes")))*INDEX(Inputs!$K$5:$AJ$170,0,MATCH(Z$2,Inputs!$K$4:$AJ$4,0)))))</f>
        <v>1335.992</v>
      </c>
      <c r="AA75" s="264">
        <f>IF(ISNA(MATCH(AA$2,Inputs!$K$4:$AJ$4,0)),NA(),IF(SUMPRODUCT((Inputs!$A$5:$A$170=$B75)*ISNUMBER(INDEX(Inputs!$K$5:$AJ$170,0,MATCH(AA$2,Inputs!$K$4:$AJ$4,0))))+SUMPRODUCT((Inputs!$C$5:$C$170=$B75)*ISNUMBER(INDEX(Inputs!$K$5:$AJ$170,0,MATCH(AA$2,Inputs!$K$4:$AJ$4,0))))+SUMPRODUCT((Inputs!$E$5:$E$170=$B75)*ISNUMBER(INDEX(Inputs!$K$5:$AJ$170,0,MATCH(AA$2,Inputs!$K$4:$AJ$4,0))))=0,NA(),SUMPRODUCT((Inputs!$A$5:$A$170=$B75)*Inputs!$B$5:$B$170*(((Inputs!$G$5:$G$170="moeda")+(Inputs!$G$5:$G$170="acoes"))*Inputs!$B$1+((Inputs!$G$5:$G$170&lt;&gt;"moeda")*(Inputs!$G$5:$G$170&lt;&gt;"acoes")))*INDEX(Inputs!$K$5:$AJ$170,0,MATCH(AA$2,Inputs!$K$4:$AJ$4,0)))+SUMPRODUCT((Inputs!$C$5:$C$170=$B75)*Inputs!$D$5:$D$170*(((Inputs!$G$5:$G$170="moeda")+(Inputs!$G$5:$G$170="acoes"))*Inputs!$B$1+((Inputs!$G$5:$G$170&lt;&gt;"moeda")*(Inputs!$G$5:$G$170&lt;&gt;"acoes")))*INDEX(Inputs!$K$5:$AJ$170,0,MATCH(AA$2,Inputs!$K$4:$AJ$4,0)))+SUMPRODUCT((Inputs!$E$5:$E$170=$B75)*Inputs!$F$5:$F$170*(((Inputs!$G$5:$G$170="moeda")+(Inputs!$G$5:$G$170="acoes"))*Inputs!$B$1+((Inputs!$G$5:$G$170&lt;&gt;"moeda")*(Inputs!$G$5:$G$170&lt;&gt;"acoes")))*INDEX(Inputs!$K$5:$AJ$170,0,MATCH(AA$2,Inputs!$K$4:$AJ$4,0)))))</f>
        <v>1493.40844685411</v>
      </c>
      <c r="AB75" s="265">
        <f>SUM(X75:AA75)</f>
        <v>4880.25264187378</v>
      </c>
      <c r="AC75" s="264">
        <f>IF(ISNA(MATCH(AC$2,Inputs!$K$4:$AJ$4,0)),NA(),IF(SUMPRODUCT((Inputs!$A$5:$A$170=$B75)*ISNUMBER(INDEX(Inputs!$K$5:$AJ$170,0,MATCH(AC$2,Inputs!$K$4:$AJ$4,0))))+SUMPRODUCT((Inputs!$C$5:$C$170=$B75)*ISNUMBER(INDEX(Inputs!$K$5:$AJ$170,0,MATCH(AC$2,Inputs!$K$4:$AJ$4,0))))+SUMPRODUCT((Inputs!$E$5:$E$170=$B75)*ISNUMBER(INDEX(Inputs!$K$5:$AJ$170,0,MATCH(AC$2,Inputs!$K$4:$AJ$4,0))))=0,NA(),SUMPRODUCT((Inputs!$A$5:$A$170=$B75)*Inputs!$B$5:$B$170*(((Inputs!$G$5:$G$170="moeda")+(Inputs!$G$5:$G$170="acoes"))*Inputs!$B$1+((Inputs!$G$5:$G$170&lt;&gt;"moeda")*(Inputs!$G$5:$G$170&lt;&gt;"acoes")))*INDEX(Inputs!$K$5:$AJ$170,0,MATCH(AC$2,Inputs!$K$4:$AJ$4,0)))+SUMPRODUCT((Inputs!$C$5:$C$170=$B75)*Inputs!$D$5:$D$170*(((Inputs!$G$5:$G$170="moeda")+(Inputs!$G$5:$G$170="acoes"))*Inputs!$B$1+((Inputs!$G$5:$G$170&lt;&gt;"moeda")*(Inputs!$G$5:$G$170&lt;&gt;"acoes")))*INDEX(Inputs!$K$5:$AJ$170,0,MATCH(AC$2,Inputs!$K$4:$AJ$4,0)))+SUMPRODUCT((Inputs!$E$5:$E$170=$B75)*Inputs!$F$5:$F$170*(((Inputs!$G$5:$G$170="moeda")+(Inputs!$G$5:$G$170="acoes"))*Inputs!$B$1+((Inputs!$G$5:$G$170&lt;&gt;"moeda")*(Inputs!$G$5:$G$170&lt;&gt;"acoes")))*INDEX(Inputs!$K$5:$AJ$170,0,MATCH(AC$2,Inputs!$K$4:$AJ$4,0)))))</f>
        <v>988.500251941624</v>
      </c>
      <c r="AD75" s="264">
        <f>IF(ISNA(MATCH(AD$2,Inputs!$K$4:$AJ$4,0)),NA(),IF(SUMPRODUCT((Inputs!$A$5:$A$170=$B75)*ISNUMBER(INDEX(Inputs!$K$5:$AJ$170,0,MATCH(AD$2,Inputs!$K$4:$AJ$4,0))))+SUMPRODUCT((Inputs!$C$5:$C$170=$B75)*ISNUMBER(INDEX(Inputs!$K$5:$AJ$170,0,MATCH(AD$2,Inputs!$K$4:$AJ$4,0))))+SUMPRODUCT((Inputs!$E$5:$E$170=$B75)*ISNUMBER(INDEX(Inputs!$K$5:$AJ$170,0,MATCH(AD$2,Inputs!$K$4:$AJ$4,0))))=0,NA(),SUMPRODUCT((Inputs!$A$5:$A$170=$B75)*Inputs!$B$5:$B$170*(((Inputs!$G$5:$G$170="moeda")+(Inputs!$G$5:$G$170="acoes"))*Inputs!$B$1+((Inputs!$G$5:$G$170&lt;&gt;"moeda")*(Inputs!$G$5:$G$170&lt;&gt;"acoes")))*INDEX(Inputs!$K$5:$AJ$170,0,MATCH(AD$2,Inputs!$K$4:$AJ$4,0)))+SUMPRODUCT((Inputs!$C$5:$C$170=$B75)*Inputs!$D$5:$D$170*(((Inputs!$G$5:$G$170="moeda")+(Inputs!$G$5:$G$170="acoes"))*Inputs!$B$1+((Inputs!$G$5:$G$170&lt;&gt;"moeda")*(Inputs!$G$5:$G$170&lt;&gt;"acoes")))*INDEX(Inputs!$K$5:$AJ$170,0,MATCH(AD$2,Inputs!$K$4:$AJ$4,0)))+SUMPRODUCT((Inputs!$E$5:$E$170=$B75)*Inputs!$F$5:$F$170*(((Inputs!$G$5:$G$170="moeda")+(Inputs!$G$5:$G$170="acoes"))*Inputs!$B$1+((Inputs!$G$5:$G$170&lt;&gt;"moeda")*(Inputs!$G$5:$G$170&lt;&gt;"acoes")))*INDEX(Inputs!$K$5:$AJ$170,0,MATCH(AD$2,Inputs!$K$4:$AJ$4,0)))))</f>
        <v>1707.59934669297</v>
      </c>
      <c r="AE75" s="264" t="e">
        <f>IF(ISNA(MATCH(AE$2,Inputs!$K$4:$AJ$4,0)),NA(),IF(SUMPRODUCT((Inputs!$A$5:$A$170=$B75)*ISNUMBER(INDEX(Inputs!$K$5:$AJ$170,0,MATCH(AE$2,Inputs!$K$4:$AJ$4,0))))+SUMPRODUCT((Inputs!$C$5:$C$170=$B75)*ISNUMBER(INDEX(Inputs!$K$5:$AJ$170,0,MATCH(AE$2,Inputs!$K$4:$AJ$4,0))))+SUMPRODUCT((Inputs!$E$5:$E$170=$B75)*ISNUMBER(INDEX(Inputs!$K$5:$AJ$170,0,MATCH(AE$2,Inputs!$K$4:$AJ$4,0))))=0,NA(),SUMPRODUCT((Inputs!$A$5:$A$170=$B75)*Inputs!$B$5:$B$170*(((Inputs!$G$5:$G$170="moeda")+(Inputs!$G$5:$G$170="acoes"))*Inputs!$B$1+((Inputs!$G$5:$G$170&lt;&gt;"moeda")*(Inputs!$G$5:$G$170&lt;&gt;"acoes")))*INDEX(Inputs!$K$5:$AJ$170,0,MATCH(AE$2,Inputs!$K$4:$AJ$4,0)))+SUMPRODUCT((Inputs!$C$5:$C$170=$B75)*Inputs!$D$5:$D$170*(((Inputs!$G$5:$G$170="moeda")+(Inputs!$G$5:$G$170="acoes"))*Inputs!$B$1+((Inputs!$G$5:$G$170&lt;&gt;"moeda")*(Inputs!$G$5:$G$170&lt;&gt;"acoes")))*INDEX(Inputs!$K$5:$AJ$170,0,MATCH(AE$2,Inputs!$K$4:$AJ$4,0)))+SUMPRODUCT((Inputs!$E$5:$E$170=$B75)*Inputs!$F$5:$F$170*(((Inputs!$G$5:$G$170="moeda")+(Inputs!$G$5:$G$170="acoes"))*Inputs!$B$1+((Inputs!$G$5:$G$170&lt;&gt;"moeda")*(Inputs!$G$5:$G$170&lt;&gt;"acoes")))*INDEX(Inputs!$K$5:$AJ$170,0,MATCH(AE$2,Inputs!$K$4:$AJ$4,0)))))</f>
        <v>#N/A</v>
      </c>
      <c r="AF75" s="264" t="e">
        <f>IF(ISNA(MATCH(AF$2,Inputs!$K$4:$AJ$4,0)),NA(),IF(SUMPRODUCT((Inputs!$A$5:$A$170=$B75)*ISNUMBER(INDEX(Inputs!$K$5:$AJ$170,0,MATCH(AF$2,Inputs!$K$4:$AJ$4,0))))+SUMPRODUCT((Inputs!$C$5:$C$170=$B75)*ISNUMBER(INDEX(Inputs!$K$5:$AJ$170,0,MATCH(AF$2,Inputs!$K$4:$AJ$4,0))))+SUMPRODUCT((Inputs!$E$5:$E$170=$B75)*ISNUMBER(INDEX(Inputs!$K$5:$AJ$170,0,MATCH(AF$2,Inputs!$K$4:$AJ$4,0))))=0,NA(),SUMPRODUCT((Inputs!$A$5:$A$170=$B75)*Inputs!$B$5:$B$170*(((Inputs!$G$5:$G$170="moeda")+(Inputs!$G$5:$G$170="acoes"))*Inputs!$B$1+((Inputs!$G$5:$G$170&lt;&gt;"moeda")*(Inputs!$G$5:$G$170&lt;&gt;"acoes")))*INDEX(Inputs!$K$5:$AJ$170,0,MATCH(AF$2,Inputs!$K$4:$AJ$4,0)))+SUMPRODUCT((Inputs!$C$5:$C$170=$B75)*Inputs!$D$5:$D$170*(((Inputs!$G$5:$G$170="moeda")+(Inputs!$G$5:$G$170="acoes"))*Inputs!$B$1+((Inputs!$G$5:$G$170&lt;&gt;"moeda")*(Inputs!$G$5:$G$170&lt;&gt;"acoes")))*INDEX(Inputs!$K$5:$AJ$170,0,MATCH(AF$2,Inputs!$K$4:$AJ$4,0)))+SUMPRODUCT((Inputs!$E$5:$E$170=$B75)*Inputs!$F$5:$F$170*(((Inputs!$G$5:$G$170="moeda")+(Inputs!$G$5:$G$170="acoes"))*Inputs!$B$1+((Inputs!$G$5:$G$170&lt;&gt;"moeda")*(Inputs!$G$5:$G$170&lt;&gt;"acoes")))*INDEX(Inputs!$K$5:$AJ$170,0,MATCH(AF$2,Inputs!$K$4:$AJ$4,0)))))</f>
        <v>#N/A</v>
      </c>
      <c r="AG75" s="265" t="e">
        <f>SUM(AC75:AF75)</f>
        <v>#N/A</v>
      </c>
      <c r="AH75" s="264">
        <f>IF(ISNA(MATCH(AH$2,Inputs!$K$4:$AJ$4,0)),NA(),IF(SUMPRODUCT((Inputs!$A$5:$A$170=$B75)*ISNUMBER(INDEX(Inputs!$K$5:$AJ$170,0,MATCH(AH$2,Inputs!$K$4:$AJ$4,0))))+SUMPRODUCT((Inputs!$C$5:$C$170=$B75)*ISNUMBER(INDEX(Inputs!$K$5:$AJ$170,0,MATCH(AH$2,Inputs!$K$4:$AJ$4,0))))+SUMPRODUCT((Inputs!$E$5:$E$170=$B75)*ISNUMBER(INDEX(Inputs!$K$5:$AJ$170,0,MATCH(AH$2,Inputs!$K$4:$AJ$4,0))))=0,NA(),SUMPRODUCT((Inputs!$A$5:$A$170=$B75)*Inputs!$B$5:$B$170*(((Inputs!$G$5:$G$170="moeda")+(Inputs!$G$5:$G$170="acoes"))*Inputs!$B$1+((Inputs!$G$5:$G$170&lt;&gt;"moeda")*(Inputs!$G$5:$G$170&lt;&gt;"acoes")))*INDEX(Inputs!$K$5:$AJ$170,0,MATCH(AH$2,Inputs!$K$4:$AJ$4,0)))+SUMPRODUCT((Inputs!$C$5:$C$170=$B75)*Inputs!$D$5:$D$170*(((Inputs!$G$5:$G$170="moeda")+(Inputs!$G$5:$G$170="acoes"))*Inputs!$B$1+((Inputs!$G$5:$G$170&lt;&gt;"moeda")*(Inputs!$G$5:$G$170&lt;&gt;"acoes")))*INDEX(Inputs!$K$5:$AJ$170,0,MATCH(AH$2,Inputs!$K$4:$AJ$4,0)))+SUMPRODUCT((Inputs!$E$5:$E$170=$B75)*Inputs!$F$5:$F$170*(((Inputs!$G$5:$G$170="moeda")+(Inputs!$G$5:$G$170="acoes"))*Inputs!$B$1+((Inputs!$G$5:$G$170&lt;&gt;"moeda")*(Inputs!$G$5:$G$170&lt;&gt;"acoes")))*INDEX(Inputs!$K$5:$AJ$170,0,MATCH(AH$2,Inputs!$K$4:$AJ$4,0)))))</f>
        <v>203.085</v>
      </c>
      <c r="AI75" s="264">
        <f>IF(ISNA(MATCH(AI$2,Inputs!$K$4:$AJ$4,0)),NA(),IF(SUMPRODUCT((Inputs!$A$5:$A$170=$B75)*ISNUMBER(INDEX(Inputs!$K$5:$AJ$170,0,MATCH(AI$2,Inputs!$K$4:$AJ$4,0))))+SUMPRODUCT((Inputs!$C$5:$C$170=$B75)*ISNUMBER(INDEX(Inputs!$K$5:$AJ$170,0,MATCH(AI$2,Inputs!$K$4:$AJ$4,0))))+SUMPRODUCT((Inputs!$E$5:$E$170=$B75)*ISNUMBER(INDEX(Inputs!$K$5:$AJ$170,0,MATCH(AI$2,Inputs!$K$4:$AJ$4,0))))=0,NA(),SUMPRODUCT((Inputs!$A$5:$A$170=$B75)*Inputs!$B$5:$B$170*(((Inputs!$G$5:$G$170="moeda")+(Inputs!$G$5:$G$170="acoes"))*Inputs!$B$1+((Inputs!$G$5:$G$170&lt;&gt;"moeda")*(Inputs!$G$5:$G$170&lt;&gt;"acoes")))*INDEX(Inputs!$K$5:$AJ$170,0,MATCH(AI$2,Inputs!$K$4:$AJ$4,0)))+SUMPRODUCT((Inputs!$C$5:$C$170=$B75)*Inputs!$D$5:$D$170*(((Inputs!$G$5:$G$170="moeda")+(Inputs!$G$5:$G$170="acoes"))*Inputs!$B$1+((Inputs!$G$5:$G$170&lt;&gt;"moeda")*(Inputs!$G$5:$G$170&lt;&gt;"acoes")))*INDEX(Inputs!$K$5:$AJ$170,0,MATCH(AI$2,Inputs!$K$4:$AJ$4,0)))+SUMPRODUCT((Inputs!$E$5:$E$170=$B75)*Inputs!$F$5:$F$170*(((Inputs!$G$5:$G$170="moeda")+(Inputs!$G$5:$G$170="acoes"))*Inputs!$B$1+((Inputs!$G$5:$G$170&lt;&gt;"moeda")*(Inputs!$G$5:$G$170&lt;&gt;"acoes")))*INDEX(Inputs!$K$5:$AJ$170,0,MATCH(AI$2,Inputs!$K$4:$AJ$4,0)))))</f>
        <v>39.702</v>
      </c>
      <c r="AJ75" s="264">
        <f>IF(ISNA(MATCH(AJ$2,Inputs!$K$4:$AJ$4,0)),NA(),IF(SUMPRODUCT((Inputs!$A$5:$A$170=$B75)*ISNUMBER(INDEX(Inputs!$K$5:$AJ$170,0,MATCH(AJ$2,Inputs!$K$4:$AJ$4,0))))+SUMPRODUCT((Inputs!$C$5:$C$170=$B75)*ISNUMBER(INDEX(Inputs!$K$5:$AJ$170,0,MATCH(AJ$2,Inputs!$K$4:$AJ$4,0))))+SUMPRODUCT((Inputs!$E$5:$E$170=$B75)*ISNUMBER(INDEX(Inputs!$K$5:$AJ$170,0,MATCH(AJ$2,Inputs!$K$4:$AJ$4,0))))=0,NA(),SUMPRODUCT((Inputs!$A$5:$A$170=$B75)*Inputs!$B$5:$B$170*(((Inputs!$G$5:$G$170="moeda")+(Inputs!$G$5:$G$170="acoes"))*Inputs!$B$1+((Inputs!$G$5:$G$170&lt;&gt;"moeda")*(Inputs!$G$5:$G$170&lt;&gt;"acoes")))*INDEX(Inputs!$K$5:$AJ$170,0,MATCH(AJ$2,Inputs!$K$4:$AJ$4,0)))+SUMPRODUCT((Inputs!$C$5:$C$170=$B75)*Inputs!$D$5:$D$170*(((Inputs!$G$5:$G$170="moeda")+(Inputs!$G$5:$G$170="acoes"))*Inputs!$B$1+((Inputs!$G$5:$G$170&lt;&gt;"moeda")*(Inputs!$G$5:$G$170&lt;&gt;"acoes")))*INDEX(Inputs!$K$5:$AJ$170,0,MATCH(AJ$2,Inputs!$K$4:$AJ$4,0)))+SUMPRODUCT((Inputs!$E$5:$E$170=$B75)*Inputs!$F$5:$F$170*(((Inputs!$G$5:$G$170="moeda")+(Inputs!$G$5:$G$170="acoes"))*Inputs!$B$1+((Inputs!$G$5:$G$170&lt;&gt;"moeda")*(Inputs!$G$5:$G$170&lt;&gt;"acoes")))*INDEX(Inputs!$K$5:$AJ$170,0,MATCH(AJ$2,Inputs!$K$4:$AJ$4,0)))))</f>
        <v>238.77</v>
      </c>
      <c r="AK75" s="264">
        <f>IF(ISNA(MATCH(AK$2,Inputs!$K$4:$AJ$4,0)),NA(),IF(SUMPRODUCT((Inputs!$A$5:$A$170=$B75)*ISNUMBER(INDEX(Inputs!$K$5:$AJ$170,0,MATCH(AK$2,Inputs!$K$4:$AJ$4,0))))+SUMPRODUCT((Inputs!$C$5:$C$170=$B75)*ISNUMBER(INDEX(Inputs!$K$5:$AJ$170,0,MATCH(AK$2,Inputs!$K$4:$AJ$4,0))))+SUMPRODUCT((Inputs!$E$5:$E$170=$B75)*ISNUMBER(INDEX(Inputs!$K$5:$AJ$170,0,MATCH(AK$2,Inputs!$K$4:$AJ$4,0))))=0,NA(),SUMPRODUCT((Inputs!$A$5:$A$170=$B75)*Inputs!$B$5:$B$170*(((Inputs!$G$5:$G$170="moeda")+(Inputs!$G$5:$G$170="acoes"))*Inputs!$B$1+((Inputs!$G$5:$G$170&lt;&gt;"moeda")*(Inputs!$G$5:$G$170&lt;&gt;"acoes")))*INDEX(Inputs!$K$5:$AJ$170,0,MATCH(AK$2,Inputs!$K$4:$AJ$4,0)))+SUMPRODUCT((Inputs!$C$5:$C$170=$B75)*Inputs!$D$5:$D$170*(((Inputs!$G$5:$G$170="moeda")+(Inputs!$G$5:$G$170="acoes"))*Inputs!$B$1+((Inputs!$G$5:$G$170&lt;&gt;"moeda")*(Inputs!$G$5:$G$170&lt;&gt;"acoes")))*INDEX(Inputs!$K$5:$AJ$170,0,MATCH(AK$2,Inputs!$K$4:$AJ$4,0)))+SUMPRODUCT((Inputs!$E$5:$E$170=$B75)*Inputs!$F$5:$F$170*(((Inputs!$G$5:$G$170="moeda")+(Inputs!$G$5:$G$170="acoes"))*Inputs!$B$1+((Inputs!$G$5:$G$170&lt;&gt;"moeda")*(Inputs!$G$5:$G$170&lt;&gt;"acoes")))*INDEX(Inputs!$K$5:$AJ$170,0,MATCH(AK$2,Inputs!$K$4:$AJ$4,0)))))</f>
        <v>500.861</v>
      </c>
      <c r="AL75" s="265">
        <f>SUM(AH75:AK75)</f>
        <v>982.418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04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3.19744231092045e-14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0.000999999996565748</v>
      </c>
      <c r="Q1" s="3">
        <f>SUM(Q2,Q3)</f>
        <v>0.00300000000061118</v>
      </c>
      <c r="R1" s="3">
        <f>SUM(R2,R3)</f>
        <v>0.00300000000061118</v>
      </c>
      <c r="S1" s="3">
        <f>SUM(S2,S3)</f>
        <v>2.16715534406831e-13</v>
      </c>
      <c r="T1" s="3">
        <f>SUM(T2,T3)</f>
        <v>0</v>
      </c>
      <c r="U1" s="3">
        <f>SUM(U2,U3)</f>
        <v>0.00300000000424916</v>
      </c>
      <c r="V1" s="3">
        <f>SUM(V2,V3)</f>
        <v>0.0029999999969732</v>
      </c>
      <c r="W1" s="3">
        <f>SUM(W2,W3)</f>
        <v>0.00300000000061118</v>
      </c>
      <c r="X1" s="3">
        <f>SUM(X2,X3)</f>
        <v>0</v>
      </c>
      <c r="Y1" s="3">
        <f>SUM(Y2,Y3)</f>
        <v>3.97903932025656e-13</v>
      </c>
      <c r="Z1" s="3">
        <f>SUM(Z2,Z3)</f>
        <v>2.8421709430404e-13</v>
      </c>
      <c r="AA1" s="3">
        <f>SUM(AA2,AA3)</f>
        <v>0.004000000004865</v>
      </c>
      <c r="AB1" s="3">
        <f>SUM(AB2,AB3)</f>
        <v>0.00400000000445289</v>
      </c>
      <c r="AC1" s="3">
        <f>SUM(AC2,AC3)</f>
        <v>0</v>
      </c>
      <c r="AD1" s="3">
        <f>SUM(AD2,AD3)</f>
        <v>4.12114786740858e-13</v>
      </c>
      <c r="AE1" s="3">
        <f>SUM(AE2,AE3)</f>
        <v>0</v>
      </c>
      <c r="AF1" s="3">
        <f>SUM(AF2,AF3)</f>
        <v>0.000999999996565748</v>
      </c>
      <c r="AG1" s="3">
        <f>SUM(AG2,AG3)</f>
        <v>0.000999999996565748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ABS(D209-D285)</f>
        <v>0</v>
      </c>
      <c r="E2" s="3">
        <f>ABS(E209-E285)</f>
        <v>0</v>
      </c>
      <c r="F2" s="3">
        <f>ABS(F209-F285)</f>
        <v>0</v>
      </c>
      <c r="G2" s="3">
        <f>ABS(G209-G285)</f>
        <v>0</v>
      </c>
      <c r="H2" s="3">
        <f>ABS(H209-H285)</f>
        <v>0</v>
      </c>
      <c r="I2" s="3">
        <f>ABS(I209-I285)</f>
        <v>0</v>
      </c>
      <c r="J2" s="3">
        <f>ABS(J209-J285)</f>
        <v>0</v>
      </c>
      <c r="K2" s="3">
        <f>ABS(K209-K285)</f>
        <v>0</v>
      </c>
      <c r="L2" s="3">
        <f>ABS(L209-L285)</f>
        <v>0</v>
      </c>
      <c r="M2" s="3">
        <f>ABS(M209-M285)</f>
        <v>0</v>
      </c>
      <c r="N2" s="3">
        <f>ABS(N209-N285)</f>
        <v>0</v>
      </c>
      <c r="O2" s="3">
        <f>ABS(O209-O285)</f>
        <v>0</v>
      </c>
      <c r="P2" s="3">
        <f>ABS(P209-P285)</f>
        <v>0.000999999996565748</v>
      </c>
      <c r="Q2" s="3">
        <f>ABS(Q209-Q285)</f>
        <v>0.00300000000061118</v>
      </c>
      <c r="R2" s="3">
        <f>ABS(R209-R285)</f>
        <v>0.00300000000061118</v>
      </c>
      <c r="S2" s="3">
        <f>ABS(S209-S285)</f>
        <v>0</v>
      </c>
      <c r="T2" s="3">
        <f>ABS(T209-T285)</f>
        <v>0</v>
      </c>
      <c r="U2" s="3">
        <f>ABS(U209-U285)</f>
        <v>0.00300000000424916</v>
      </c>
      <c r="V2" s="3">
        <f>ABS(V209-V285)</f>
        <v>0.0029999999969732</v>
      </c>
      <c r="W2" s="3">
        <f>ABS(W209-W285)</f>
        <v>0.00300000000061118</v>
      </c>
      <c r="X2" s="3">
        <f>ABS(X209-X285)</f>
        <v>0</v>
      </c>
      <c r="Y2" s="3">
        <f>ABS(Y209-Y285)</f>
        <v>0</v>
      </c>
      <c r="Z2" s="3">
        <f>ABS(Z209-Z285)</f>
        <v>0</v>
      </c>
      <c r="AA2" s="3">
        <f>ABS(AA209-AA285)</f>
        <v>0.00400000000445289</v>
      </c>
      <c r="AB2" s="3">
        <f>ABS(AB209-AB285)</f>
        <v>0.00400000000445289</v>
      </c>
      <c r="AC2" s="3">
        <f>ABS(AC209-AC285)</f>
        <v>0</v>
      </c>
      <c r="AD2" s="3">
        <f>ABS(AD209-AD285)</f>
        <v>0</v>
      </c>
      <c r="AE2" s="3">
        <f>ABS(AE209-AE285)</f>
        <v>0</v>
      </c>
      <c r="AF2" s="3">
        <f>ABS(AF209-AF285)</f>
        <v>0.000999999996565748</v>
      </c>
      <c r="AG2" s="3">
        <f>ABS(AG209-AG285)</f>
        <v>0.000999999996565748</v>
      </c>
      <c r="AH2" s="3">
        <f>ABS(AH209-AH285)</f>
        <v>0</v>
      </c>
      <c r="AI2" s="3">
        <f>ABS(AI209-AI285)</f>
        <v>0</v>
      </c>
      <c r="AJ2" s="3">
        <f>ABS(AJ209-AJ285)</f>
        <v>0</v>
      </c>
      <c r="AK2" s="3">
        <f>ABS(AK209-AK285)</f>
        <v>0</v>
      </c>
      <c r="AL2" s="3">
        <f>ABS(AL209-AL285)</f>
        <v>0</v>
      </c>
      <c r="AM2" s="3" t="e">
        <f>ABS(AM209-AM285)</f>
        <v>#DIV/0!</v>
      </c>
      <c r="AN2" s="3" t="e">
        <f>ABS(AN209-AN285)</f>
        <v>#DIV/0!</v>
      </c>
      <c r="AO2" s="3" t="e">
        <f>ABS(AO209-AO285)</f>
        <v>#DIV/0!</v>
      </c>
      <c r="AP2" s="3" t="e">
        <f>ABS(AP209-AP285)</f>
        <v>#DIV/0!</v>
      </c>
      <c r="AQ2" s="3" t="e">
        <f>ABS(AQ209-AQ285)</f>
        <v>#DIV/0!</v>
      </c>
      <c r="AR2" s="3" t="e">
        <f>ABS(AR209-AR285)</f>
        <v>#DIV/0!</v>
      </c>
      <c r="AS2" s="3" t="e">
        <f>ABS(AS209-AS285)</f>
        <v>#DIV/0!</v>
      </c>
      <c r="AT2" s="3" t="e">
        <f>ABS(AT209-AT285)</f>
        <v>#DIV/0!</v>
      </c>
      <c r="AU2" s="3" t="e">
        <f>ABS(AU209-AU285)</f>
        <v>#DIV/0!</v>
      </c>
      <c r="AV2" s="3" t="e">
        <f>ABS(AV209-AV285)</f>
        <v>#DIV/0!</v>
      </c>
      <c r="AW2" s="3" t="e">
        <f>ABS(AW209-AW285)</f>
        <v>#DIV/0!</v>
      </c>
      <c r="AX2" s="3" t="e">
        <f>ABS(AX209-AX285)</f>
        <v>#DIV/0!</v>
      </c>
      <c r="AY2" s="3" t="e">
        <f>ABS(AY209-AY285)</f>
        <v>#DIV/0!</v>
      </c>
      <c r="AZ2" s="3" t="e">
        <f>ABS(AZ209-AZ285)</f>
        <v>#DIV/0!</v>
      </c>
      <c r="BA2" s="3" t="e">
        <f>ABS(BA209-BA285)</f>
        <v>#DIV/0!</v>
      </c>
      <c r="BB2" s="3" t="e">
        <f>ABS(BB209-BB285)</f>
        <v>#DIV/0!</v>
      </c>
      <c r="BC2" s="3" t="e">
        <f>ABS(BC209-BC285)</f>
        <v>#DIV/0!</v>
      </c>
      <c r="BD2" s="3" t="e">
        <f>ABS(BD209-BD285)</f>
        <v>#DIV/0!</v>
      </c>
      <c r="BE2" s="3" t="e">
        <f>ABS(BE209-BE285)</f>
        <v>#DIV/0!</v>
      </c>
      <c r="BF2" s="3" t="e">
        <f>ABS(BF209-BF285)</f>
        <v>#DIV/0!</v>
      </c>
      <c r="BG2" s="3" t="e">
        <f>ABS(BG209-BG285)</f>
        <v>#DIV/0!</v>
      </c>
      <c r="BH2" s="3" t="e">
        <f>ABS(BH209-BH285)</f>
        <v>#DIV/0!</v>
      </c>
      <c r="BI2" s="3" t="e">
        <f>ABS(BI209-BI285)</f>
        <v>#DIV/0!</v>
      </c>
      <c r="BJ2" s="3" t="e">
        <f>ABS(BJ209-BJ285)</f>
        <v>#DIV/0!</v>
      </c>
      <c r="BK2" s="3" t="e">
        <f>ABS(BK209-BK285)</f>
        <v>#DIV/0!</v>
      </c>
      <c r="BL2" s="3" t="e">
        <f>ABS(BL209-BL285)</f>
        <v>#DIV/0!</v>
      </c>
      <c r="BM2" s="3" t="e">
        <f>ABS(BM209-BM285)</f>
        <v>#DIV/0!</v>
      </c>
      <c r="BN2" s="3" t="e">
        <f>ABS(BN209-BN285)</f>
        <v>#DIV/0!</v>
      </c>
      <c r="BO2" s="3" t="e">
        <f>ABS(BO209-BO285)</f>
        <v>#DIV/0!</v>
      </c>
      <c r="BP2" s="3" t="e">
        <f>ABS(BP209-BP285)</f>
        <v>#DIV/0!</v>
      </c>
      <c r="BQ2" s="3" t="e">
        <f>ABS(BQ209-BQ285)</f>
        <v>#DIV/0!</v>
      </c>
      <c r="BR2" s="3" t="e">
        <f>ABS(BR209-BR285)</f>
        <v>#DIV/0!</v>
      </c>
      <c r="BS2" s="3" t="e">
        <f>ABS(BS209-BS285)</f>
        <v>#DIV/0!</v>
      </c>
      <c r="BT2" s="3" t="e">
        <f>ABS(BT209-BT285)</f>
        <v>#DIV/0!</v>
      </c>
      <c r="BU2" s="3" t="e">
        <f>ABS(BU209-BU285)</f>
        <v>#DIV/0!</v>
      </c>
      <c r="BV2" s="3" t="e">
        <f>ABS(BV209-BV285)</f>
        <v>#DIV/0!</v>
      </c>
      <c r="BW2" s="3" t="e">
        <f>ABS(BW209-BW285)</f>
        <v>#DIV/0!</v>
      </c>
      <c r="BX2" s="3" t="e">
        <f>ABS(BX209-BX285)</f>
        <v>#DIV/0!</v>
      </c>
      <c r="BY2" s="3" t="e">
        <f>ABS(BY209-BY285)</f>
        <v>#DIV/0!</v>
      </c>
      <c r="BZ2" s="3" t="e">
        <f>ABS(BZ209-BZ285)</f>
        <v>#DIV/0!</v>
      </c>
      <c r="CA2" s="3" t="e">
        <f>ABS(CA209-CA285)</f>
        <v>#DIV/0!</v>
      </c>
      <c r="CB2" s="3" t="e">
        <f>ABS(CB209-CB285)</f>
        <v>#DIV/0!</v>
      </c>
      <c r="CC2" s="3" t="e">
        <f>ABS(CC209-CC285)</f>
        <v>#DIV/0!</v>
      </c>
      <c r="CD2" s="3" t="e">
        <f>ABS(CD209-CD285)</f>
        <v>#DIV/0!</v>
      </c>
      <c r="CE2" s="3" t="e">
        <f>ABS(CE209-CE285)</f>
        <v>#DIV/0!</v>
      </c>
      <c r="CF2" s="3" t="e">
        <f>ABS(CF209-CF285)</f>
        <v>#DIV/0!</v>
      </c>
      <c r="CG2" s="3" t="e">
        <f>ABS(CG209-CG285)</f>
        <v>#DIV/0!</v>
      </c>
      <c r="CH2" s="3" t="e">
        <f>ABS(CH209-CH285)</f>
        <v>#DIV/0!</v>
      </c>
      <c r="CI2" s="3" t="e">
        <f>ABS(CI209-CI285)</f>
        <v>#DIV/0!</v>
      </c>
      <c r="CJ2" s="3" t="e">
        <f>ABS(CJ209-CJ285)</f>
        <v>#DIV/0!</v>
      </c>
      <c r="CK2" s="3" t="e">
        <f>ABS(CK209-CK285)</f>
        <v>#DIV/0!</v>
      </c>
      <c r="CL2" s="3" t="e">
        <f>ABS(CL209-CL285)</f>
        <v>#DIV/0!</v>
      </c>
      <c r="CM2" s="3" t="e">
        <f>ABS(CM209-CM285)</f>
        <v>#DIV/0!</v>
      </c>
      <c r="CN2" s="3" t="e">
        <f>ABS(CN209-CN285)</f>
        <v>#DIV/0!</v>
      </c>
      <c r="CO2" s="3" t="e">
        <f>ABS(CO209-CO285)</f>
        <v>#DIV/0!</v>
      </c>
      <c r="CP2" s="3" t="e">
        <f>ABS(CP209-CP285)</f>
        <v>#DIV/0!</v>
      </c>
      <c r="CQ2" s="3" t="e">
        <f>ABS(CQ209-CQ285)</f>
        <v>#DIV/0!</v>
      </c>
      <c r="CR2" s="3" t="e">
        <f>ABS(CR209-CR285)</f>
        <v>#DIV/0!</v>
      </c>
      <c r="CS2" s="3" t="e">
        <f>ABS(CS209-CS285)</f>
        <v>#DIV/0!</v>
      </c>
      <c r="CT2" s="3" t="e">
        <f>ABS(CT209-CT285)</f>
        <v>#DIV/0!</v>
      </c>
      <c r="CU2" s="3" t="e">
        <f>ABS(CU209-CU285)</f>
        <v>#DIV/0!</v>
      </c>
      <c r="CV2" s="3" t="e">
        <f>ABS(CV209-CV285)</f>
        <v>#DIV/0!</v>
      </c>
      <c r="CW2" s="3" t="e">
        <f>ABS(CW209-CW285)</f>
        <v>#DIV/0!</v>
      </c>
      <c r="CX2" s="3" t="e">
        <f>ABS(CX209-CX285)</f>
        <v>#DIV/0!</v>
      </c>
      <c r="CY2" s="3" t="e">
        <f>ABS(CY209-CY285)</f>
        <v>#DIV/0!</v>
      </c>
    </row>
    <row r="3" outlineLevel="1">
      <c r="C3" s="5" t="inlineStr">
        <is>
          <t>IS</t>
        </is>
      </c>
      <c r="D3" s="3">
        <f>IF(COUNT(D4)=0,"",ABS(D149-D4))</f>
        <v>0</v>
      </c>
      <c r="E3" s="3">
        <f>IF(COUNT(E4)=0,"",ABS(E149-E4))</f>
        <v>3.19744231092045e-14</v>
      </c>
      <c r="F3" s="3">
        <f>IF(COUNT(F4)=0,"",ABS(F149-F4))</f>
        <v>0</v>
      </c>
      <c r="G3" s="3">
        <f>IF(COUNT(G4)=0,"",ABS(G149-G4))</f>
        <v>0</v>
      </c>
      <c r="H3" s="3">
        <f>IF(COUNT(H4)=0,"",ABS(H149-H4))</f>
        <v>0</v>
      </c>
      <c r="I3" s="3">
        <f>IF(COUNT(I4)=0,"",ABS(I149-I4))</f>
        <v>0</v>
      </c>
      <c r="J3" s="3">
        <f>IF(COUNT(J4)=0,"",ABS(J149-J4))</f>
        <v>0</v>
      </c>
      <c r="K3" s="3">
        <f>IF(COUNT(K4)=0,"",ABS(K149-K4))</f>
        <v>0</v>
      </c>
      <c r="L3" s="3">
        <f>IF(COUNT(L4)=0,"",ABS(L149-L4))</f>
        <v>0</v>
      </c>
      <c r="M3" s="3">
        <f>IF(COUNT(M4)=0,"",ABS(M149-M4))</f>
        <v>0</v>
      </c>
      <c r="N3" s="3">
        <f>IF(COUNT(N4)=0,"",ABS(N149-N4))</f>
        <v>0</v>
      </c>
      <c r="O3" s="3">
        <f>IF(COUNT(O4)=0,"",ABS(O149-O4))</f>
        <v>0</v>
      </c>
      <c r="P3" s="3">
        <f>IF(COUNT(P4)=0,"",ABS(P149-P4))</f>
        <v>0</v>
      </c>
      <c r="Q3" s="3">
        <f>IF(COUNT(Q4)=0,"",ABS(Q149-Q4))</f>
        <v>0</v>
      </c>
      <c r="R3" s="3">
        <f>IF(COUNT(R4)=0,"",ABS(R149-R4))</f>
        <v>0</v>
      </c>
      <c r="S3" s="3">
        <f>IF(COUNT(S4)=0,"",ABS(S149-S4))</f>
        <v>2.16715534406831e-13</v>
      </c>
      <c r="T3" s="3">
        <f>IF(COUNT(T4)=0,"",ABS(T149-T4))</f>
        <v>0</v>
      </c>
      <c r="U3" s="3">
        <f>IF(COUNT(U4)=0,"",ABS(U149-U4))</f>
        <v>0</v>
      </c>
      <c r="V3" s="3">
        <f>IF(COUNT(V4)=0,"",ABS(V149-V4))</f>
        <v>0</v>
      </c>
      <c r="W3" s="3">
        <f>IF(COUNT(W4)=0,"",ABS(W149-W4))</f>
        <v>0</v>
      </c>
      <c r="X3" s="3">
        <f>IF(COUNT(X4)=0,"",ABS(X149-X4))</f>
        <v>0</v>
      </c>
      <c r="Y3" s="3">
        <f>IF(COUNT(Y4)=0,"",ABS(Y149-Y4))</f>
        <v>3.97903932025656e-13</v>
      </c>
      <c r="Z3" s="3">
        <f>IF(COUNT(Z4)=0,"",ABS(Z149-Z4))</f>
        <v>2.8421709430404e-13</v>
      </c>
      <c r="AA3" s="3">
        <f>IF(COUNT(AA4)=0,"",ABS(AA149-AA4))</f>
        <v>4.12114786740858e-13</v>
      </c>
      <c r="AB3" s="3">
        <f>IF(COUNT(AB4)=0,"",ABS(AB149-AB4))</f>
        <v>0</v>
      </c>
      <c r="AC3" s="3">
        <f>IF(COUNT(AC4)=0,"",ABS(AC149-AC4))</f>
        <v>0</v>
      </c>
      <c r="AD3" s="3">
        <f>IF(COUNT(AD4)=0,"",ABS(AD149-AD4))</f>
        <v>4.12114786740858e-13</v>
      </c>
      <c r="AE3" s="3">
        <f>IF(COUNT(AE4)=0,"",ABS(AE149-AE4))</f>
        <v>0</v>
      </c>
      <c r="AF3" s="3">
        <f>IF(COUNT(AF4)=0,"",ABS(AF149-AF4))</f>
        <v>0</v>
      </c>
      <c r="AG3" s="3">
        <f>IF(COUNT(AG4)=0,"",ABS(AG149-AG4))</f>
        <v>0</v>
      </c>
      <c r="AH3" s="3">
        <f>IF(COUNT(AH4)=0,"",ABS(AH149-AH4))</f>
        <v>0</v>
      </c>
      <c r="AI3" s="3">
        <f>IF(COUNT(AI4)=0,"",ABS(AI149-AI4))</f>
        <v>0</v>
      </c>
      <c r="AJ3" s="3" t="str">
        <f>IF(COUNT(AJ4)=0,"",ABS(AJ149-AJ4))</f>
        <v/>
      </c>
      <c r="AK3" s="3" t="str">
        <f>IF(COUNT(AK4)=0,"",ABS(AK149-AK4))</f>
        <v/>
      </c>
      <c r="AL3" s="3" t="str">
        <f>IF(COUNT(AL4)=0,"",ABS(AL149-AL4))</f>
        <v/>
      </c>
      <c r="AM3" s="3" t="str">
        <f>IF(COUNT(AM4)=0,"",ABS(AM149-AM4))</f>
        <v/>
      </c>
      <c r="AN3" s="3" t="str">
        <f>IF(COUNT(AN4)=0,"",ABS(AN149-AN4))</f>
        <v/>
      </c>
      <c r="AO3" s="3" t="str">
        <f>IF(COUNT(AO4)=0,"",ABS(AO149-AO4))</f>
        <v/>
      </c>
      <c r="AP3" s="3" t="str">
        <f>IF(COUNT(AP4)=0,"",ABS(AP149-AP4))</f>
        <v/>
      </c>
      <c r="AQ3" s="3" t="str">
        <f>IF(COUNT(AQ4)=0,"",ABS(AQ149-AQ4))</f>
        <v/>
      </c>
      <c r="AR3" s="3" t="str">
        <f>IF(COUNT(AR4)=0,"",ABS(AR149-AR4))</f>
        <v/>
      </c>
      <c r="AS3" s="3" t="str">
        <f>IF(COUNT(AS4)=0,"",ABS(AS149-AS4))</f>
        <v/>
      </c>
      <c r="AT3" s="3" t="str">
        <f>IF(COUNT(AT4)=0,"",ABS(AT149-AT4))</f>
        <v/>
      </c>
      <c r="AU3" s="3" t="str">
        <f>IF(COUNT(AU4)=0,"",ABS(AU149-AU4))</f>
        <v/>
      </c>
      <c r="AV3" s="3" t="str">
        <f>IF(COUNT(AV4)=0,"",ABS(AV149-AV4))</f>
        <v/>
      </c>
      <c r="AW3" s="3" t="str">
        <f>IF(COUNT(AW4)=0,"",ABS(AW149-AW4))</f>
        <v/>
      </c>
      <c r="AX3" s="3" t="str">
        <f>IF(COUNT(AX4)=0,"",ABS(AX149-AX4))</f>
        <v/>
      </c>
      <c r="AY3" s="3" t="str">
        <f>IF(COUNT(AY4)=0,"",ABS(AY149-AY4))</f>
        <v/>
      </c>
      <c r="AZ3" s="3" t="str">
        <f>IF(COUNT(AZ4)=0,"",ABS(AZ149-AZ4))</f>
        <v/>
      </c>
      <c r="BA3" s="3" t="str">
        <f>IF(COUNT(BA4)=0,"",ABS(BA149-BA4))</f>
        <v/>
      </c>
      <c r="BB3" s="3" t="str">
        <f>IF(COUNT(BB4)=0,"",ABS(BB149-BB4))</f>
        <v/>
      </c>
      <c r="BC3" s="3" t="str">
        <f>IF(COUNT(BC4)=0,"",ABS(BC149-BC4))</f>
        <v/>
      </c>
      <c r="BD3" s="3" t="str">
        <f>IF(COUNT(BD4)=0,"",ABS(BD149-BD4))</f>
        <v/>
      </c>
      <c r="BE3" s="3" t="str">
        <f>IF(COUNT(BE4)=0,"",ABS(BE149-BE4))</f>
        <v/>
      </c>
      <c r="BF3" s="3" t="str">
        <f>IF(COUNT(BF4)=0,"",ABS(BF149-BF4))</f>
        <v/>
      </c>
      <c r="BG3" s="3" t="str">
        <f>IF(COUNT(BG4)=0,"",ABS(BG149-BG4))</f>
        <v/>
      </c>
      <c r="BH3" s="3" t="str">
        <f>IF(COUNT(BH4)=0,"",ABS(BH149-BH4))</f>
        <v/>
      </c>
      <c r="BI3" s="3" t="str">
        <f>IF(COUNT(BI4)=0,"",ABS(BI149-BI4))</f>
        <v/>
      </c>
      <c r="BJ3" s="3" t="str">
        <f>IF(COUNT(BJ4)=0,"",ABS(BJ149-BJ4))</f>
        <v/>
      </c>
      <c r="BK3" s="3" t="str">
        <f>IF(COUNT(BK4)=0,"",ABS(BK149-BK4))</f>
        <v/>
      </c>
      <c r="BL3" s="3" t="str">
        <f>IF(COUNT(BL4)=0,"",ABS(BL149-BL4))</f>
        <v/>
      </c>
      <c r="BM3" s="3" t="str">
        <f>IF(COUNT(BM4)=0,"",ABS(BM149-BM4))</f>
        <v/>
      </c>
      <c r="BN3" s="3" t="str">
        <f>IF(COUNT(BN4)=0,"",ABS(BN149-BN4))</f>
        <v/>
      </c>
      <c r="BO3" s="3" t="str">
        <f>IF(COUNT(BO4)=0,"",ABS(BO149-BO4))</f>
        <v/>
      </c>
      <c r="BP3" s="3" t="str">
        <f>IF(COUNT(BP4)=0,"",ABS(BP149-BP4))</f>
        <v/>
      </c>
      <c r="BQ3" s="3" t="str">
        <f>IF(COUNT(BQ4)=0,"",ABS(BQ149-BQ4))</f>
        <v/>
      </c>
      <c r="BR3" s="3" t="str">
        <f>IF(COUNT(BR4)=0,"",ABS(BR149-BR4))</f>
        <v/>
      </c>
      <c r="BS3" s="3" t="str">
        <f>IF(COUNT(BS4)=0,"",ABS(BS149-BS4))</f>
        <v/>
      </c>
      <c r="BT3" s="3" t="str">
        <f>IF(COUNT(BT4)=0,"",ABS(BT149-BT4))</f>
        <v/>
      </c>
      <c r="BU3" s="3" t="str">
        <f>IF(COUNT(BU4)=0,"",ABS(BU149-BU4))</f>
        <v/>
      </c>
      <c r="BV3" s="3" t="str">
        <f>IF(COUNT(BV4)=0,"",ABS(BV149-BV4))</f>
        <v/>
      </c>
      <c r="BW3" s="3" t="str">
        <f>IF(COUNT(BW4)=0,"",ABS(BW149-BW4))</f>
        <v/>
      </c>
      <c r="BX3" s="3" t="str">
        <f>IF(COUNT(BX4)=0,"",ABS(BX149-BX4))</f>
        <v/>
      </c>
      <c r="BY3" s="3" t="str">
        <f>IF(COUNT(BY4)=0,"",ABS(BY149-BY4))</f>
        <v/>
      </c>
      <c r="BZ3" s="3" t="str">
        <f>IF(COUNT(BZ4)=0,"",ABS(BZ149-BZ4))</f>
        <v/>
      </c>
      <c r="CA3" s="3" t="str">
        <f>IF(COUNT(CA4)=0,"",ABS(CA149-CA4))</f>
        <v/>
      </c>
      <c r="CB3" s="3" t="str">
        <f>IF(COUNT(CB4)=0,"",ABS(CB149-CB4))</f>
        <v/>
      </c>
      <c r="CC3" s="3" t="str">
        <f>IF(COUNT(CC4)=0,"",ABS(CC149-CC4))</f>
        <v/>
      </c>
      <c r="CD3" s="3" t="str">
        <f>IF(COUNT(CD4)=0,"",ABS(CD149-CD4))</f>
        <v/>
      </c>
      <c r="CE3" s="3" t="str">
        <f>IF(COUNT(CE4)=0,"",ABS(CE149-CE4))</f>
        <v/>
      </c>
      <c r="CF3" s="3" t="str">
        <f>IF(COUNT(CF4)=0,"",ABS(CF149-CF4))</f>
        <v/>
      </c>
      <c r="CG3" s="3" t="str">
        <f>IF(COUNT(CG4)=0,"",ABS(CG149-CG4))</f>
        <v/>
      </c>
      <c r="CH3" s="3" t="str">
        <f>IF(COUNT(CH4)=0,"",ABS(CH149-CH4))</f>
        <v/>
      </c>
      <c r="CI3" s="3" t="str">
        <f>IF(COUNT(CI4)=0,"",ABS(CI149-CI4))</f>
        <v/>
      </c>
      <c r="CJ3" s="3" t="str">
        <f>IF(COUNT(CJ4)=0,"",ABS(CJ149-CJ4))</f>
        <v/>
      </c>
      <c r="CK3" s="3" t="str">
        <f>IF(COUNT(CK4)=0,"",ABS(CK149-CK4))</f>
        <v/>
      </c>
      <c r="CL3" s="3" t="str">
        <f>IF(COUNT(CL4)=0,"",ABS(CL149-CL4))</f>
        <v/>
      </c>
      <c r="CM3" s="3" t="str">
        <f>IF(COUNT(CM4)=0,"",ABS(CM149-CM4))</f>
        <v/>
      </c>
      <c r="CN3" s="3" t="str">
        <f>IF(COUNT(CN4)=0,"",ABS(CN149-CN4))</f>
        <v/>
      </c>
      <c r="CO3" s="3" t="str">
        <f>IF(COUNT(CO4)=0,"",ABS(CO149-CO4))</f>
        <v/>
      </c>
      <c r="CP3" s="3" t="str">
        <f>IF(COUNT(CP4)=0,"",ABS(CP149-CP4))</f>
        <v/>
      </c>
      <c r="CQ3" s="3" t="str">
        <f>IF(COUNT(CQ4)=0,"",ABS(CQ149-CQ4))</f>
        <v/>
      </c>
      <c r="CR3" s="3" t="str">
        <f>IF(COUNT(CR4)=0,"",ABS(CR149-CR4))</f>
        <v/>
      </c>
      <c r="CS3" s="3" t="str">
        <f>IF(COUNT(CS4)=0,"",ABS(CS149-CS4))</f>
        <v/>
      </c>
      <c r="CT3" s="3" t="str">
        <f>IF(COUNT(CT4)=0,"",ABS(CT149-CT4))</f>
        <v/>
      </c>
      <c r="CU3" s="3" t="str">
        <f>IF(COUNT(CU4)=0,"",ABS(CU149-CU4))</f>
        <v/>
      </c>
      <c r="CV3" s="3" t="str">
        <f>IF(COUNT(CV4)=0,"",ABS(CV149-CV4))</f>
        <v/>
      </c>
      <c r="CW3" s="3" t="str">
        <f>IF(COUNT(CW4)=0,"",ABS(CW149-CW4))</f>
        <v/>
      </c>
      <c r="CX3" s="3" t="str">
        <f>IF(COUNT(CX4)=0,"",ABS(CX149-CX4))</f>
        <v/>
      </c>
      <c r="CY3" s="3" t="str">
        <f>IF(COUNT(CY4)=0,"",ABS(CY149-CY4))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55.09</v>
      </c>
      <c r="E4" s="16">
        <f>INDEX('Inputs (2)'!$D$50:$AL$50,MATCH(E$7,'Inputs (2)'!$D$2:$AL$2,0))</f>
        <v>2.613</v>
      </c>
      <c r="F4" s="16">
        <f>INDEX('Inputs (2)'!$D$50:$AL$50,MATCH(F$7,'Inputs (2)'!$D$2:$AL$2,0))</f>
        <v>37.202</v>
      </c>
      <c r="G4" s="16">
        <f>INDEX('Inputs (2)'!$D$50:$AL$50,MATCH(G$7,'Inputs (2)'!$D$2:$AL$2,0))</f>
        <v>138.693</v>
      </c>
      <c r="H4" s="16">
        <f>IF(COUNT(D4:G4)=4,SUM(D4:G4),"")</f>
        <v>233.598</v>
      </c>
      <c r="I4" s="16">
        <f>INDEX('Inputs (2)'!$D$50:$AL$50,MATCH(I$7,'Inputs (2)'!$D$2:$AL$2,0))</f>
        <v>109.481</v>
      </c>
      <c r="J4" s="16">
        <f>INDEX('Inputs (2)'!$D$50:$AL$50,MATCH(J$7,'Inputs (2)'!$D$2:$AL$2,0))</f>
        <v>173.921</v>
      </c>
      <c r="K4" s="16">
        <f>INDEX('Inputs (2)'!$D$50:$AL$50,MATCH(K$7,'Inputs (2)'!$D$2:$AL$2,0))</f>
        <v>259.381</v>
      </c>
      <c r="L4" s="16">
        <f>INDEX('Inputs (2)'!$D$50:$AL$50,MATCH(L$7,'Inputs (2)'!$D$2:$AL$2,0))</f>
        <v>276.656</v>
      </c>
      <c r="M4" s="16">
        <f>IF(COUNT(I4:L4)=4,SUM(I4:L4),"")</f>
        <v>819.439</v>
      </c>
      <c r="N4" s="16">
        <f>INDEX('Inputs (2)'!$D$50:$AL$50,MATCH(N$7,'Inputs (2)'!$D$2:$AL$2,0))</f>
        <v>258.068</v>
      </c>
      <c r="O4" s="16">
        <f>INDEX('Inputs (2)'!$D$50:$AL$50,MATCH(O$7,'Inputs (2)'!$D$2:$AL$2,0))</f>
        <v>186.761</v>
      </c>
      <c r="P4" s="16">
        <f>INDEX('Inputs (2)'!$D$50:$AL$50,MATCH(P$7,'Inputs (2)'!$D$2:$AL$2,0))</f>
        <v>93.718</v>
      </c>
      <c r="Q4" s="16">
        <f>INDEX('Inputs (2)'!$D$50:$AL$50,MATCH(Q$7,'Inputs (2)'!$D$2:$AL$2,0))</f>
        <v>17.831</v>
      </c>
      <c r="R4" s="16">
        <f>IF(COUNT(N4:Q4)=4,SUM(N4:Q4),"")</f>
        <v>556.378</v>
      </c>
      <c r="S4" s="16">
        <f>INDEX('Inputs (2)'!$D$50:$AL$50,MATCH(S$7,'Inputs (2)'!$D$2:$AL$2,0))</f>
        <v>21.044</v>
      </c>
      <c r="T4" s="16">
        <f>INDEX('Inputs (2)'!$D$50:$AL$50,MATCH(T$7,'Inputs (2)'!$D$2:$AL$2,0))</f>
        <v>-17.864</v>
      </c>
      <c r="U4" s="16">
        <f>INDEX('Inputs (2)'!$D$50:$AL$50,MATCH(U$7,'Inputs (2)'!$D$2:$AL$2,0))</f>
        <v>-65.721</v>
      </c>
      <c r="V4" s="16">
        <f>INDEX('Inputs (2)'!$D$50:$AL$50,MATCH(V$7,'Inputs (2)'!$D$2:$AL$2,0))</f>
        <v>-588.309</v>
      </c>
      <c r="W4" s="16">
        <f>IF(COUNT(S4:V4)=4,SUM(S4:V4),"")</f>
        <v>-650.85</v>
      </c>
      <c r="X4" s="16">
        <f>INDEX('Inputs (2)'!$D$50:$AL$50,MATCH(X$7,'Inputs (2)'!$D$2:$AL$2,0))</f>
        <v>48.599</v>
      </c>
      <c r="Y4" s="16">
        <f>INDEX('Inputs (2)'!$D$50:$AL$50,MATCH(Y$7,'Inputs (2)'!$D$2:$AL$2,0))</f>
        <v>42.548</v>
      </c>
      <c r="Z4" s="16">
        <f>INDEX('Inputs (2)'!$D$50:$AL$50,MATCH(Z$7,'Inputs (2)'!$D$2:$AL$2,0))</f>
        <v>78.194</v>
      </c>
      <c r="AA4" s="16">
        <f>INDEX('Inputs (2)'!$D$50:$AL$50,MATCH(AA$7,'Inputs (2)'!$D$2:$AL$2,0))</f>
        <v>62.171</v>
      </c>
      <c r="AB4" s="16">
        <f>IF(COUNT(X4:AA4)=4,SUM(X4:AA4),"")</f>
        <v>231.512</v>
      </c>
      <c r="AC4" s="16">
        <f>INDEX('Inputs (2)'!$D$50:$AL$50,MATCH(AC$7,'Inputs (2)'!$D$2:$AL$2,0))</f>
        <v>78.468</v>
      </c>
      <c r="AD4" s="16">
        <f>INDEX('Inputs (2)'!$D$50:$AL$50,MATCH(AD$7,'Inputs (2)'!$D$2:$AL$2,0))</f>
        <v>67.595</v>
      </c>
      <c r="AE4" s="16">
        <f>INDEX('Inputs (2)'!$D$50:$AL$50,MATCH(AE$7,'Inputs (2)'!$D$2:$AL$2,0))</f>
        <v>69.955</v>
      </c>
      <c r="AF4" s="16">
        <f>INDEX('Inputs (2)'!$D$50:$AL$50,MATCH(AF$7,'Inputs (2)'!$D$2:$AL$2,0))</f>
        <v>102.344106983398</v>
      </c>
      <c r="AG4" s="16">
        <f>IF(COUNT(AC4:AF4)=4,SUM(AC4:AF4),"")</f>
        <v>318.362106983398</v>
      </c>
      <c r="AH4" s="6">
        <f>INDEX('Inputs (2)'!$D$50:$AL$50,MATCH(AH$7,'Inputs (2)'!$D$2:$AL$2,0))</f>
        <v>124.513191101402</v>
      </c>
      <c r="AI4" s="6">
        <f>INDEX('Inputs (2)'!$D$50:$AL$50,MATCH(AI$7,'Inputs (2)'!$D$2:$AL$2,0))</f>
        <v>135.649659876556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971.535</v>
      </c>
      <c r="E15" s="15">
        <f>INDEX('Inputs (2)'!$D$4:$AL$4,MATCH(E$7,'Inputs (2)'!$D$2:$AL$2,0))</f>
        <v>1021.296</v>
      </c>
      <c r="F15" s="15">
        <f>INDEX('Inputs (2)'!$D$4:$AL$4,MATCH(F$7,'Inputs (2)'!$D$2:$AL$2,0))</f>
        <v>1004.386</v>
      </c>
      <c r="G15" s="15">
        <f>INDEX('Inputs (2)'!$D$4:$AL$4,MATCH(G$7,'Inputs (2)'!$D$2:$AL$2,0))</f>
        <v>958.012</v>
      </c>
      <c r="H15" s="16">
        <f>SUM(D15:G15)</f>
        <v>3955.229</v>
      </c>
      <c r="I15" s="15">
        <f>INDEX('Inputs (2)'!$D$4:$AL$4,MATCH(I$7,'Inputs (2)'!$D$2:$AL$2,0))</f>
        <v>757.552</v>
      </c>
      <c r="J15" s="15">
        <f>INDEX('Inputs (2)'!$D$4:$AL$4,MATCH(J$7,'Inputs (2)'!$D$2:$AL$2,0))</f>
        <v>1165.345</v>
      </c>
      <c r="K15" s="15">
        <f>INDEX('Inputs (2)'!$D$4:$AL$4,MATCH(K$7,'Inputs (2)'!$D$2:$AL$2,0))</f>
        <v>1521.076</v>
      </c>
      <c r="L15" s="15">
        <f>INDEX('Inputs (2)'!$D$4:$AL$4,MATCH(L$7,'Inputs (2)'!$D$2:$AL$2,0))</f>
        <v>1689.065</v>
      </c>
      <c r="M15" s="16">
        <f>SUM(I15:L15)</f>
        <v>5133.038</v>
      </c>
      <c r="N15" s="15">
        <f>INDEX('Inputs (2)'!$D$4:$AL$4,MATCH(N$7,'Inputs (2)'!$D$2:$AL$2,0))</f>
        <v>1905.657</v>
      </c>
      <c r="O15" s="15">
        <f>INDEX('Inputs (2)'!$D$4:$AL$4,MATCH(O$7,'Inputs (2)'!$D$2:$AL$2,0))</f>
        <v>2230.992</v>
      </c>
      <c r="P15" s="15">
        <f>INDEX('Inputs (2)'!$D$4:$AL$4,MATCH(P$7,'Inputs (2)'!$D$2:$AL$2,0))</f>
        <v>2536.864</v>
      </c>
      <c r="Q15" s="15">
        <f>INDEX('Inputs (2)'!$D$4:$AL$4,MATCH(Q$7,'Inputs (2)'!$D$2:$AL$2,0))</f>
        <v>2626.633</v>
      </c>
      <c r="R15" s="16">
        <f>SUM(N15:Q15)</f>
        <v>9300.146</v>
      </c>
      <c r="S15" s="15">
        <f>INDEX('Inputs (2)'!$D$4:$AL$4,MATCH(S$7,'Inputs (2)'!$D$2:$AL$2,0))</f>
        <v>2703.206</v>
      </c>
      <c r="T15" s="15">
        <f>INDEX('Inputs (2)'!$D$4:$AL$4,MATCH(T$7,'Inputs (2)'!$D$2:$AL$2,0))</f>
        <v>2479.144</v>
      </c>
      <c r="U15" s="15">
        <f>INDEX('Inputs (2)'!$D$4:$AL$4,MATCH(U$7,'Inputs (2)'!$D$2:$AL$2,0))</f>
        <v>2666.22</v>
      </c>
      <c r="V15" s="15">
        <f>INDEX('Inputs (2)'!$D$4:$AL$4,MATCH(V$7,'Inputs (2)'!$D$2:$AL$2,0))</f>
        <v>2493.444</v>
      </c>
      <c r="W15" s="16">
        <f>SUM(S15:V15)</f>
        <v>10342.014</v>
      </c>
      <c r="X15" s="15">
        <f>INDEX('Inputs (2)'!$D$4:$AL$4,MATCH(X$7,'Inputs (2)'!$D$2:$AL$2,0))</f>
        <v>3021.646</v>
      </c>
      <c r="Y15" s="15">
        <f>INDEX('Inputs (2)'!$D$4:$AL$4,MATCH(Y$7,'Inputs (2)'!$D$2:$AL$2,0))</f>
        <v>3435.604</v>
      </c>
      <c r="Z15" s="15">
        <f>INDEX('Inputs (2)'!$D$4:$AL$4,MATCH(Z$7,'Inputs (2)'!$D$2:$AL$2,0))</f>
        <v>3775.864</v>
      </c>
      <c r="AA15" s="15">
        <f>INDEX('Inputs (2)'!$D$4:$AL$4,MATCH(AA$7,'Inputs (2)'!$D$2:$AL$2,0))</f>
        <v>3248.157</v>
      </c>
      <c r="AB15" s="16">
        <f>SUM(X15:AA15)</f>
        <v>13481.271</v>
      </c>
      <c r="AC15" s="15">
        <f>INDEX('Inputs (2)'!$D$4:$AL$4,MATCH(AC$7,'Inputs (2)'!$D$2:$AL$2,0))</f>
        <v>3568.231</v>
      </c>
      <c r="AD15" s="15">
        <f>INDEX('Inputs (2)'!$D$4:$AL$4,MATCH(AD$7,'Inputs (2)'!$D$2:$AL$2,0))</f>
        <v>3679.006</v>
      </c>
      <c r="AE15" s="15">
        <f>INDEX('Inputs (2)'!$D$4:$AL$4,MATCH(AE$7,'Inputs (2)'!$D$2:$AL$2,0))</f>
        <v>3765.843</v>
      </c>
      <c r="AF15" s="15">
        <f>INDEX('Inputs (2)'!$D$4:$AL$4,MATCH(AF$7,'Inputs (2)'!$D$2:$AL$2,0))</f>
        <v>3658.97515495011</v>
      </c>
      <c r="AG15" s="16">
        <f>SUM(AC15:AF15)</f>
        <v>14672.0551549501</v>
      </c>
      <c r="AH15" s="16">
        <f>INDEX('Inputs (2)'!$D$4:$AL$4,MATCH(AH$7,'Inputs (2)'!$D$2:$AL$2,0))</f>
        <v>3780.64496496181</v>
      </c>
      <c r="AI15" s="16">
        <f>INDEX('Inputs (2)'!$D$4:$AL$4,MATCH(AI$7,'Inputs (2)'!$D$2:$AL$2,0))</f>
        <v>3765.83020748821</v>
      </c>
      <c r="AJ15" s="16">
        <f>AE15*(1+AJ16)</f>
        <v>3765.843</v>
      </c>
      <c r="AK15" s="16">
        <f>AF15*(1+AK16)</f>
        <v>3658.97515495011</v>
      </c>
      <c r="AL15" s="16">
        <f>SUM(AH15:AK15)</f>
        <v>14971.2933274001</v>
      </c>
      <c r="AM15" s="16">
        <f>AH15*(1+AM16)</f>
        <v>3780.64496496181</v>
      </c>
      <c r="AN15" s="16">
        <f>AI15*(1+AN16)</f>
        <v>3765.83020748821</v>
      </c>
      <c r="AO15" s="16">
        <f>AJ15*(1+AO16)</f>
        <v>3765.843</v>
      </c>
      <c r="AP15" s="16">
        <f>AK15*(1+AP16)</f>
        <v>3658.97515495011</v>
      </c>
      <c r="AQ15" s="16">
        <f>SUM(AM15:AP15)</f>
        <v>14971.2933274001</v>
      </c>
      <c r="AR15" s="16">
        <f>AM15*(1+AR16)</f>
        <v>3780.64496496181</v>
      </c>
      <c r="AS15" s="16">
        <f>AN15*(1+AS16)</f>
        <v>3765.83020748821</v>
      </c>
      <c r="AT15" s="16">
        <f>AO15*(1+AT16)</f>
        <v>3765.843</v>
      </c>
      <c r="AU15" s="16">
        <f>AP15*(1+AU16)</f>
        <v>3658.97515495011</v>
      </c>
      <c r="AV15" s="16">
        <f>SUM(AR15:AU15)</f>
        <v>14971.2933274001</v>
      </c>
      <c r="AW15" s="16">
        <f>AR15*(1+AW16)</f>
        <v>3780.64496496181</v>
      </c>
      <c r="AX15" s="16">
        <f>AS15*(1+AX16)</f>
        <v>3765.83020748821</v>
      </c>
      <c r="AY15" s="16">
        <f>AT15*(1+AY16)</f>
        <v>3765.843</v>
      </c>
      <c r="AZ15" s="16">
        <f>AU15*(1+AZ16)</f>
        <v>3658.97515495011</v>
      </c>
      <c r="BA15" s="16">
        <f>SUM(AW15:AZ15)</f>
        <v>14971.2933274001</v>
      </c>
      <c r="BB15" s="16">
        <f>AW15*(1+BB16)</f>
        <v>3780.64496496181</v>
      </c>
      <c r="BC15" s="16">
        <f>AX15*(1+BC16)</f>
        <v>3765.83020748821</v>
      </c>
      <c r="BD15" s="16">
        <f>AY15*(1+BD16)</f>
        <v>3765.843</v>
      </c>
      <c r="BE15" s="16">
        <f>AZ15*(1+BE16)</f>
        <v>3658.97515495011</v>
      </c>
      <c r="BF15" s="16">
        <f>SUM(BB15:BE15)</f>
        <v>14971.2933274001</v>
      </c>
      <c r="BG15" s="16">
        <f>BB15*(1+BG16)</f>
        <v>3780.64496496181</v>
      </c>
      <c r="BH15" s="16">
        <f>BC15*(1+BH16)</f>
        <v>3765.83020748821</v>
      </c>
      <c r="BI15" s="16">
        <f>BD15*(1+BI16)</f>
        <v>3765.843</v>
      </c>
      <c r="BJ15" s="16">
        <f>BE15*(1+BJ16)</f>
        <v>3658.97515495011</v>
      </c>
      <c r="BK15" s="16">
        <f>SUM(BG15:BJ15)</f>
        <v>14971.2933274001</v>
      </c>
      <c r="BL15" s="16">
        <f>BG15*(1+BL16)</f>
        <v>3780.64496496181</v>
      </c>
      <c r="BM15" s="16">
        <f>BH15*(1+BM16)</f>
        <v>3765.83020748821</v>
      </c>
      <c r="BN15" s="16">
        <f>BI15*(1+BN16)</f>
        <v>3765.843</v>
      </c>
      <c r="BO15" s="16">
        <f>BJ15*(1+BO16)</f>
        <v>3658.97515495011</v>
      </c>
      <c r="BP15" s="16">
        <f>SUM(BL15:BO15)</f>
        <v>14971.2933274001</v>
      </c>
      <c r="BQ15" s="16">
        <f>BL15*(1+BQ16)</f>
        <v>3780.64496496181</v>
      </c>
      <c r="BR15" s="16">
        <f>BM15*(1+BR16)</f>
        <v>3765.83020748821</v>
      </c>
      <c r="BS15" s="16">
        <f>BN15*(1+BS16)</f>
        <v>3765.843</v>
      </c>
      <c r="BT15" s="16">
        <f>BO15*(1+BT16)</f>
        <v>3658.97515495011</v>
      </c>
      <c r="BU15" s="16">
        <f>SUM(BQ15:BT15)</f>
        <v>14971.2933274001</v>
      </c>
      <c r="BV15" s="16">
        <f>BQ15*(1+BV16)</f>
        <v>3780.64496496181</v>
      </c>
      <c r="BW15" s="16">
        <f>BR15*(1+BW16)</f>
        <v>3765.83020748821</v>
      </c>
      <c r="BX15" s="16">
        <f>BS15*(1+BX16)</f>
        <v>3765.843</v>
      </c>
      <c r="BY15" s="16">
        <f>BT15*(1+BY16)</f>
        <v>3658.97515495011</v>
      </c>
      <c r="BZ15" s="16">
        <f>SUM(BV15:BY15)</f>
        <v>14971.2933274001</v>
      </c>
      <c r="CA15" s="16">
        <f>BV15*(1+CA16)</f>
        <v>3780.64496496181</v>
      </c>
      <c r="CB15" s="16">
        <f>BW15*(1+CB16)</f>
        <v>3765.83020748821</v>
      </c>
      <c r="CC15" s="16">
        <f>BX15*(1+CC16)</f>
        <v>3765.843</v>
      </c>
      <c r="CD15" s="16">
        <f>BY15*(1+CD16)</f>
        <v>3658.97515495011</v>
      </c>
      <c r="CE15" s="16">
        <f>SUM(CA15:CD15)</f>
        <v>14971.2933274001</v>
      </c>
      <c r="CF15" s="16">
        <f>CA15*(1+CF16)</f>
        <v>3780.64496496181</v>
      </c>
      <c r="CG15" s="16">
        <f>CB15*(1+CG16)</f>
        <v>3765.83020748821</v>
      </c>
      <c r="CH15" s="16">
        <f>CC15*(1+CH16)</f>
        <v>3765.843</v>
      </c>
      <c r="CI15" s="16">
        <f>CD15*(1+CI16)</f>
        <v>3658.97515495011</v>
      </c>
      <c r="CJ15" s="16">
        <f>SUM(CF15:CI15)</f>
        <v>14971.2933274001</v>
      </c>
      <c r="CK15" s="16">
        <f>CF15*(1+CK16)</f>
        <v>3780.64496496181</v>
      </c>
      <c r="CL15" s="16">
        <f>CG15*(1+CL16)</f>
        <v>3765.83020748821</v>
      </c>
      <c r="CM15" s="16">
        <f>CH15*(1+CM16)</f>
        <v>3765.843</v>
      </c>
      <c r="CN15" s="16">
        <f>CI15*(1+CN16)</f>
        <v>3658.97515495011</v>
      </c>
      <c r="CO15" s="16">
        <f>SUM(CK15:CN15)</f>
        <v>14971.2933274001</v>
      </c>
      <c r="CP15" s="16">
        <f>CK15*(1+CP16)</f>
        <v>3780.64496496181</v>
      </c>
      <c r="CQ15" s="16">
        <f>CL15*(1+CQ16)</f>
        <v>3765.83020748821</v>
      </c>
      <c r="CR15" s="16">
        <f>CM15*(1+CR16)</f>
        <v>3765.843</v>
      </c>
      <c r="CS15" s="16">
        <f>CN15*(1+CS16)</f>
        <v>3658.97515495011</v>
      </c>
      <c r="CT15" s="16">
        <f>SUM(CP15:CS15)</f>
        <v>14971.2933274001</v>
      </c>
      <c r="CU15" s="16">
        <f>CP15*(1+CU16)</f>
        <v>3780.64496496181</v>
      </c>
      <c r="CV15" s="16">
        <f>CQ15*(1+CV16)</f>
        <v>3765.83020748821</v>
      </c>
      <c r="CW15" s="16">
        <f>CR15*(1+CW16)</f>
        <v>3765.843</v>
      </c>
      <c r="CX15" s="16">
        <f>CS15*(1+CX16)</f>
        <v>3658.97515495011</v>
      </c>
      <c r="CY15" s="16">
        <f>SUM(CU15:CX15)</f>
        <v>14971.2933274001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1.51554612752656</v>
      </c>
      <c r="O16" s="47">
        <f>O15/J15-1</f>
        <v>0.914447652841004</v>
      </c>
      <c r="P16" s="47">
        <f>P15/K15-1</f>
        <v>0.667808840583902</v>
      </c>
      <c r="Q16" s="47">
        <f>Q15/L15-1</f>
        <v>0.55508106555994</v>
      </c>
      <c r="R16" s="47">
        <f>R15/M15-1</f>
        <v>0.811820991779138</v>
      </c>
      <c r="S16" s="47">
        <f>S15/N15-1</f>
        <v>0.418516553608546</v>
      </c>
      <c r="T16" s="47">
        <f>T15/O15-1</f>
        <v>0.111229444121718</v>
      </c>
      <c r="U16" s="47">
        <f>U15/P15-1</f>
        <v>0.0509905142727398</v>
      </c>
      <c r="V16" s="47">
        <f>V15/Q15-1</f>
        <v>-0.0507071220075283</v>
      </c>
      <c r="W16" s="47">
        <f>W15/R15-1</f>
        <v>0.112027058499942</v>
      </c>
      <c r="X16" s="47">
        <f>X15/S15-1</f>
        <v>0.117800863123269</v>
      </c>
      <c r="Y16" s="47">
        <f>Y15/T15-1</f>
        <v>0.385802518933955</v>
      </c>
      <c r="Z16" s="47">
        <f>Z15/U15-1</f>
        <v>0.416186211190374</v>
      </c>
      <c r="AA16" s="47">
        <f>AA15/V15-1</f>
        <v>0.302678945266066</v>
      </c>
      <c r="AB16" s="47">
        <f>AB15/W15-1</f>
        <v>0.303544067915592</v>
      </c>
      <c r="AC16" s="47">
        <f>AC15/X15-1</f>
        <v>0.180889819654586</v>
      </c>
      <c r="AD16" s="47">
        <f>AD15/Y15-1</f>
        <v>0.0708469311364173</v>
      </c>
      <c r="AE16" s="47">
        <f>AE15/Z15-1</f>
        <v>-0.00265396211304225</v>
      </c>
      <c r="AF16" s="44">
        <f>AF15/AA15-1</f>
        <v>0.126477308501439</v>
      </c>
      <c r="AG16" s="47">
        <f>AG15/AB15-1</f>
        <v>0.0883287751540718</v>
      </c>
      <c r="AH16" s="44">
        <f>AH15/AC15-1</f>
        <v>0.0595292078797047</v>
      </c>
      <c r="AI16" s="44">
        <f>AI15/AD15-1</f>
        <v>0.0235999091842212</v>
      </c>
      <c r="AJ16" s="44" t="n"/>
      <c r="AK16" s="44" t="n"/>
      <c r="AL16" s="22">
        <f>AL15/AG15-1</f>
        <v>0.0203951095664368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segmentos, linha 24)</t>
        </is>
      </c>
      <c r="D17" s="15">
        <f>IF(COUNT(D25)=0,"",D25)</f>
        <v>0</v>
      </c>
      <c r="E17" s="15">
        <f>IF(COUNT(E25)=0,"",E25)</f>
        <v>-0.001</v>
      </c>
      <c r="F17" s="15">
        <f>IF(COUNT(F25)=0,"",F25)</f>
        <v>0</v>
      </c>
      <c r="G17" s="15">
        <f>IF(COUNT(G25)=0,"",G25)</f>
        <v>0</v>
      </c>
      <c r="H17" s="16">
        <f>IF(COUNT(H25)=0,"",H25)</f>
        <v>-0.001</v>
      </c>
      <c r="I17" s="15">
        <f>IF(COUNT(I25)=0,"",I25)</f>
        <v>0.001</v>
      </c>
      <c r="J17" s="15">
        <f>IF(COUNT(J25)=0,"",J25)</f>
        <v>0</v>
      </c>
      <c r="K17" s="15">
        <f>IF(COUNT(K25)=0,"",K25)</f>
        <v>0</v>
      </c>
      <c r="L17" s="15">
        <f>IF(COUNT(L25)=0,"",L25)</f>
        <v>0</v>
      </c>
      <c r="M17" s="16">
        <f>IF(COUNT(M25)=0,"",M25)</f>
        <v>0.001</v>
      </c>
      <c r="N17" s="15">
        <f>IF(COUNT(N25)=0,"",N25)</f>
        <v>0</v>
      </c>
      <c r="O17" s="15">
        <f>IF(COUNT(O25)=0,"",O25)</f>
        <v>-0.001</v>
      </c>
      <c r="P17" s="15">
        <f>IF(COUNT(P25)=0,"",P25)</f>
        <v>-0.001</v>
      </c>
      <c r="Q17" s="15">
        <f>IF(COUNT(Q25)=0,"",Q25)</f>
        <v>0</v>
      </c>
      <c r="R17" s="16">
        <f>IF(COUNT(R25)=0,"",R25)</f>
        <v>-0.002</v>
      </c>
      <c r="S17" s="15">
        <f>IF(COUNT(S25)=0,"",S25)</f>
        <v>-0.001</v>
      </c>
      <c r="T17" s="15">
        <f>IF(COUNT(T25)=0,"",T25)</f>
        <v>0</v>
      </c>
      <c r="U17" s="15">
        <f>IF(COUNT(U25)=0,"",U25)</f>
        <v>0.001</v>
      </c>
      <c r="V17" s="15">
        <f>IF(COUNT(V25)=0,"",V25)</f>
        <v>0</v>
      </c>
      <c r="W17" s="16">
        <f>IF(COUNT(W25)=0,"",W25)</f>
        <v>0</v>
      </c>
      <c r="X17" s="15">
        <f>IF(COUNT(X25)=0,"",X25)</f>
        <v>-0.001</v>
      </c>
      <c r="Y17" s="15">
        <f>IF(COUNT(Y25)=0,"",Y25)</f>
        <v>0</v>
      </c>
      <c r="Z17" s="15">
        <f>IF(COUNT(Z25)=0,"",Z25)</f>
        <v>0.001</v>
      </c>
      <c r="AA17" s="15">
        <f>IF(COUNT(AA25)=0,"",AA25)</f>
        <v>0</v>
      </c>
      <c r="AB17" s="16">
        <f>IF(COUNT(AB25)=0,"",AB25)</f>
        <v>0</v>
      </c>
      <c r="AC17" s="15">
        <f>IF(COUNT(AC25)=0,"",AC25)</f>
        <v>0.001</v>
      </c>
      <c r="AD17" s="15">
        <f>IF(COUNT(AD25)=0,"",AD25)</f>
        <v>0</v>
      </c>
      <c r="AE17" s="15">
        <f>IF(COUNT(AE25)=0,"",AE25)</f>
        <v>0.001</v>
      </c>
      <c r="AF17" s="15">
        <f>IF(COUNT(AF25)=0,"",AF25)</f>
        <v>0</v>
      </c>
      <c r="AG17" s="16">
        <f>IF(COUNT(AG25)=0,"",AG25)</f>
        <v>0.002</v>
      </c>
      <c r="AH17" s="16">
        <f>IF(COUNT(AH25)=0,"",AH25)</f>
        <v>0</v>
      </c>
      <c r="AI17" s="16">
        <f>IF(COUNT(AI25)=0,"",AI25)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segmento - como a Cia divulga (R$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RAC Brasil (aluguel de carros)</t>
        </is>
      </c>
      <c r="D19" s="271">
        <f>IFERROR(INDEX('Inputs (2)'!$D$53:$AL$53,MATCH(D$7,'Inputs (2)'!$D$2:$AL$2,0)),"")</f>
        <v>294.797</v>
      </c>
      <c r="E19" s="271">
        <f>IFERROR(INDEX('Inputs (2)'!$D$53:$AL$53,MATCH(E$7,'Inputs (2)'!$D$2:$AL$2,0)),"")</f>
        <v>155.985</v>
      </c>
      <c r="F19" s="271">
        <f>IFERROR(INDEX('Inputs (2)'!$D$53:$AL$53,MATCH(F$7,'Inputs (2)'!$D$2:$AL$2,0)),"")</f>
        <v>245.973</v>
      </c>
      <c r="G19" s="271">
        <f>IFERROR(INDEX('Inputs (2)'!$D$53:$AL$53,MATCH(G$7,'Inputs (2)'!$D$2:$AL$2,0)),"")</f>
        <v>333.947</v>
      </c>
      <c r="H19" s="272">
        <f>IF(COUNT(D19:G19)=4,SUM(D19:G19),"")</f>
        <v>1030.702</v>
      </c>
      <c r="I19" s="271">
        <f>IFERROR(INDEX('Inputs (2)'!$D$53:$AL$53,MATCH(I$7,'Inputs (2)'!$D$2:$AL$2,0)),"")</f>
        <v>328.988</v>
      </c>
      <c r="J19" s="271">
        <f>IFERROR(INDEX('Inputs (2)'!$D$53:$AL$53,MATCH(J$7,'Inputs (2)'!$D$2:$AL$2,0)),"")</f>
        <v>308.291</v>
      </c>
      <c r="K19" s="271">
        <f>IFERROR(INDEX('Inputs (2)'!$D$53:$AL$53,MATCH(K$7,'Inputs (2)'!$D$2:$AL$2,0)),"")</f>
        <v>403.799</v>
      </c>
      <c r="L19" s="271">
        <f>IFERROR(INDEX('Inputs (2)'!$D$53:$AL$53,MATCH(L$7,'Inputs (2)'!$D$2:$AL$2,0)),"")</f>
        <v>522.57</v>
      </c>
      <c r="M19" s="272">
        <f>IF(COUNT(I19:L19)=4,SUM(I19:L19),"")</f>
        <v>1563.648</v>
      </c>
      <c r="N19" s="271">
        <f>IFERROR(INDEX('Inputs (2)'!$D$53:$AL$53,MATCH(N$7,'Inputs (2)'!$D$2:$AL$2,0)),"")</f>
        <v>552.692</v>
      </c>
      <c r="O19" s="271">
        <f>IFERROR(INDEX('Inputs (2)'!$D$53:$AL$53,MATCH(O$7,'Inputs (2)'!$D$2:$AL$2,0)),"")</f>
        <v>585.184</v>
      </c>
      <c r="P19" s="271">
        <f>IFERROR(INDEX('Inputs (2)'!$D$53:$AL$53,MATCH(P$7,'Inputs (2)'!$D$2:$AL$2,0)),"")</f>
        <v>675.359</v>
      </c>
      <c r="Q19" s="271">
        <f>IFERROR(INDEX('Inputs (2)'!$D$53:$AL$53,MATCH(Q$7,'Inputs (2)'!$D$2:$AL$2,0)),"")</f>
        <v>682.873</v>
      </c>
      <c r="R19" s="272">
        <f>IF(COUNT(N19:Q19)=4,SUM(N19:Q19),"")</f>
        <v>2496.108</v>
      </c>
      <c r="S19" s="271">
        <f>IFERROR(INDEX('Inputs (2)'!$D$53:$AL$53,MATCH(S$7,'Inputs (2)'!$D$2:$AL$2,0)),"")</f>
        <v>686.638</v>
      </c>
      <c r="T19" s="271">
        <f>IFERROR(INDEX('Inputs (2)'!$D$53:$AL$53,MATCH(T$7,'Inputs (2)'!$D$2:$AL$2,0)),"")</f>
        <v>646.165</v>
      </c>
      <c r="U19" s="271">
        <f>IFERROR(INDEX('Inputs (2)'!$D$53:$AL$53,MATCH(U$7,'Inputs (2)'!$D$2:$AL$2,0)),"")</f>
        <v>651.205</v>
      </c>
      <c r="V19" s="271">
        <f>IFERROR(INDEX('Inputs (2)'!$D$53:$AL$53,MATCH(V$7,'Inputs (2)'!$D$2:$AL$2,0)),"")</f>
        <v>674.999</v>
      </c>
      <c r="W19" s="272">
        <f>IF(COUNT(S19:V19)=4,SUM(S19:V19),"")</f>
        <v>2659.007</v>
      </c>
      <c r="X19" s="271">
        <f>IFERROR(INDEX('Inputs (2)'!$D$53:$AL$53,MATCH(X$7,'Inputs (2)'!$D$2:$AL$2,0)),"")</f>
        <v>751.762</v>
      </c>
      <c r="Y19" s="271">
        <f>IFERROR(INDEX('Inputs (2)'!$D$53:$AL$53,MATCH(Y$7,'Inputs (2)'!$D$2:$AL$2,0)),"")</f>
        <v>748.549</v>
      </c>
      <c r="Z19" s="271">
        <f>IFERROR(INDEX('Inputs (2)'!$D$53:$AL$53,MATCH(Z$7,'Inputs (2)'!$D$2:$AL$2,0)),"")</f>
        <v>764.768</v>
      </c>
      <c r="AA19" s="271">
        <f>IFERROR(INDEX('Inputs (2)'!$D$53:$AL$53,MATCH(AA$7,'Inputs (2)'!$D$2:$AL$2,0)),"")</f>
        <v>808.526</v>
      </c>
      <c r="AB19" s="272">
        <f>IF(COUNT(X19:AA19)=4,SUM(X19:AA19),"")</f>
        <v>3073.605</v>
      </c>
      <c r="AC19" s="271">
        <f>IFERROR(INDEX('Inputs (2)'!$D$53:$AL$53,MATCH(AC$7,'Inputs (2)'!$D$2:$AL$2,0)),"")</f>
        <v>859.38</v>
      </c>
      <c r="AD19" s="271">
        <f>IFERROR(INDEX('Inputs (2)'!$D$53:$AL$53,MATCH(AD$7,'Inputs (2)'!$D$2:$AL$2,0)),"")</f>
        <v>843.303</v>
      </c>
      <c r="AE19" s="271">
        <f>IFERROR(INDEX('Inputs (2)'!$D$53:$AL$53,MATCH(AE$7,'Inputs (2)'!$D$2:$AL$2,0)),"")</f>
        <v>874.046</v>
      </c>
      <c r="AF19" s="271">
        <f>IFERROR(INDEX('Inputs (2)'!$D$53:$AL$53,MATCH(AF$7,'Inputs (2)'!$D$2:$AL$2,0)),"")</f>
        <v>968.870778194095</v>
      </c>
      <c r="AG19" s="272">
        <f>IF(COUNT(AC19:AF19)=4,SUM(AC19:AF19),"")</f>
        <v>3545.5997781941</v>
      </c>
      <c r="AH19" s="272">
        <f>IFERROR(INDEX('Inputs (2)'!$D$53:$AL$53,MATCH(AH$7,'Inputs (2)'!$D$2:$AL$2,0)),"")</f>
        <v>1076.12048663786</v>
      </c>
      <c r="AI19" s="272">
        <f>IFERROR(INDEX('Inputs (2)'!$D$53:$AL$53,MATCH(AI$7,'Inputs (2)'!$D$2:$AL$2,0)),"")</f>
        <v>1099.71233125533</v>
      </c>
    </row>
    <row r="20">
      <c r="C20" s="14" t="inlineStr">
        <is>
          <t xml:space="preserve">   RAC Portugal</t>
        </is>
      </c>
      <c r="D20" s="271">
        <f>IFERROR(INDEX('Inputs (2)'!$D$54:$AL$54,MATCH(D$7,'Inputs (2)'!$D$2:$AL$2,0)),"")</f>
        <v>0</v>
      </c>
      <c r="E20" s="271">
        <f>IFERROR(INDEX('Inputs (2)'!$D$54:$AL$54,MATCH(E$7,'Inputs (2)'!$D$2:$AL$2,0)),"")</f>
        <v>0</v>
      </c>
      <c r="F20" s="271">
        <f>IFERROR(INDEX('Inputs (2)'!$D$54:$AL$54,MATCH(F$7,'Inputs (2)'!$D$2:$AL$2,0)),"")</f>
        <v>0</v>
      </c>
      <c r="G20" s="271">
        <f>IFERROR(INDEX('Inputs (2)'!$D$54:$AL$54,MATCH(G$7,'Inputs (2)'!$D$2:$AL$2,0)),"")</f>
        <v>0</v>
      </c>
      <c r="H20" s="272">
        <f>IF(COUNT(D20:G20)=4,SUM(D20:G20),"")</f>
        <v>0</v>
      </c>
      <c r="I20" s="271">
        <f>IFERROR(INDEX('Inputs (2)'!$D$54:$AL$54,MATCH(I$7,'Inputs (2)'!$D$2:$AL$2,0)),"")</f>
        <v>0</v>
      </c>
      <c r="J20" s="271">
        <f>IFERROR(INDEX('Inputs (2)'!$D$54:$AL$54,MATCH(J$7,'Inputs (2)'!$D$2:$AL$2,0)),"")</f>
        <v>0</v>
      </c>
      <c r="K20" s="271">
        <f>IFERROR(INDEX('Inputs (2)'!$D$54:$AL$54,MATCH(K$7,'Inputs (2)'!$D$2:$AL$2,0)),"")</f>
        <v>0</v>
      </c>
      <c r="L20" s="271">
        <f>IFERROR(INDEX('Inputs (2)'!$D$54:$AL$54,MATCH(L$7,'Inputs (2)'!$D$2:$AL$2,0)),"")</f>
        <v>0</v>
      </c>
      <c r="M20" s="272">
        <f>IF(COUNT(I20:L20)=4,SUM(I20:L20),"")</f>
        <v>0</v>
      </c>
      <c r="N20" s="271">
        <f>IFERROR(INDEX('Inputs (2)'!$D$54:$AL$54,MATCH(N$7,'Inputs (2)'!$D$2:$AL$2,0)),"")</f>
        <v>0</v>
      </c>
      <c r="O20" s="271">
        <f>IFERROR(INDEX('Inputs (2)'!$D$54:$AL$54,MATCH(O$7,'Inputs (2)'!$D$2:$AL$2,0)),"")</f>
        <v>0</v>
      </c>
      <c r="P20" s="271">
        <f>IFERROR(INDEX('Inputs (2)'!$D$54:$AL$54,MATCH(P$7,'Inputs (2)'!$D$2:$AL$2,0)),"")</f>
        <v>0</v>
      </c>
      <c r="Q20" s="271">
        <f>IFERROR(INDEX('Inputs (2)'!$D$54:$AL$54,MATCH(Q$7,'Inputs (2)'!$D$2:$AL$2,0)),"")</f>
        <v>43.829</v>
      </c>
      <c r="R20" s="272">
        <f>IF(COUNT(N20:Q20)=4,SUM(N20:Q20),"")</f>
        <v>43.829</v>
      </c>
      <c r="S20" s="271">
        <f>IFERROR(INDEX('Inputs (2)'!$D$54:$AL$54,MATCH(S$7,'Inputs (2)'!$D$2:$AL$2,0)),"")</f>
        <v>14.396</v>
      </c>
      <c r="T20" s="271">
        <f>IFERROR(INDEX('Inputs (2)'!$D$54:$AL$54,MATCH(T$7,'Inputs (2)'!$D$2:$AL$2,0)),"")</f>
        <v>29.467</v>
      </c>
      <c r="U20" s="271">
        <f>IFERROR(INDEX('Inputs (2)'!$D$54:$AL$54,MATCH(U$7,'Inputs (2)'!$D$2:$AL$2,0)),"")</f>
        <v>64.989</v>
      </c>
      <c r="V20" s="271">
        <f>IFERROR(INDEX('Inputs (2)'!$D$54:$AL$54,MATCH(V$7,'Inputs (2)'!$D$2:$AL$2,0)),"")</f>
        <v>29.385</v>
      </c>
      <c r="W20" s="272">
        <f>IF(COUNT(S20:V20)=4,SUM(S20:V20),"")</f>
        <v>138.237</v>
      </c>
      <c r="X20" s="271">
        <f>IFERROR(INDEX('Inputs (2)'!$D$54:$AL$54,MATCH(X$7,'Inputs (2)'!$D$2:$AL$2,0)),"")</f>
        <v>23.047</v>
      </c>
      <c r="Y20" s="271">
        <f>IFERROR(INDEX('Inputs (2)'!$D$54:$AL$54,MATCH(Y$7,'Inputs (2)'!$D$2:$AL$2,0)),"")</f>
        <v>43.533</v>
      </c>
      <c r="Z20" s="271">
        <f>IFERROR(INDEX('Inputs (2)'!$D$54:$AL$54,MATCH(Z$7,'Inputs (2)'!$D$2:$AL$2,0)),"")</f>
        <v>90.502</v>
      </c>
      <c r="AA20" s="271">
        <f>IFERROR(INDEX('Inputs (2)'!$D$54:$AL$54,MATCH(AA$7,'Inputs (2)'!$D$2:$AL$2,0)),"")</f>
        <v>39.179</v>
      </c>
      <c r="AB20" s="272">
        <f>IF(COUNT(X20:AA20)=4,SUM(X20:AA20),"")</f>
        <v>196.261</v>
      </c>
      <c r="AC20" s="271">
        <f>IFERROR(INDEX('Inputs (2)'!$D$54:$AL$54,MATCH(AC$7,'Inputs (2)'!$D$2:$AL$2,0)),"")</f>
        <v>26.343</v>
      </c>
      <c r="AD20" s="271">
        <f>IFERROR(INDEX('Inputs (2)'!$D$54:$AL$54,MATCH(AD$7,'Inputs (2)'!$D$2:$AL$2,0)),"")</f>
        <v>53.453</v>
      </c>
      <c r="AE20" s="271">
        <f>IFERROR(INDEX('Inputs (2)'!$D$54:$AL$54,MATCH(AE$7,'Inputs (2)'!$D$2:$AL$2,0)),"")</f>
        <v>103.339</v>
      </c>
      <c r="AF20" s="271">
        <f>IFERROR(INDEX('Inputs (2)'!$D$54:$AL$54,MATCH(AF$7,'Inputs (2)'!$D$2:$AL$2,0)),"")</f>
        <v>43.91676634</v>
      </c>
      <c r="AG20" s="272">
        <f>IF(COUNT(AC20:AF20)=4,SUM(AC20:AF20),"")</f>
        <v>227.05176634</v>
      </c>
      <c r="AH20" s="272">
        <f>IFERROR(INDEX('Inputs (2)'!$D$54:$AL$54,MATCH(AH$7,'Inputs (2)'!$D$2:$AL$2,0)),"")</f>
        <v>27.88744168</v>
      </c>
      <c r="AI20" s="272">
        <f>IFERROR(INDEX('Inputs (2)'!$D$54:$AL$54,MATCH(AI$7,'Inputs (2)'!$D$2:$AL$2,0)),"")</f>
        <v>45.85325813</v>
      </c>
    </row>
    <row r="21">
      <c r="C21" s="14" t="inlineStr">
        <is>
          <t xml:space="preserve">   GTF (gestao e terceirizacao de frotas)</t>
        </is>
      </c>
      <c r="D21" s="271">
        <f>IFERROR(INDEX('Inputs (2)'!$D$55:$AL$55,MATCH(D$7,'Inputs (2)'!$D$2:$AL$2,0)),"")</f>
        <v>117.539</v>
      </c>
      <c r="E21" s="271">
        <f>IFERROR(INDEX('Inputs (2)'!$D$55:$AL$55,MATCH(E$7,'Inputs (2)'!$D$2:$AL$2,0)),"")</f>
        <v>116.236</v>
      </c>
      <c r="F21" s="271">
        <f>IFERROR(INDEX('Inputs (2)'!$D$55:$AL$55,MATCH(F$7,'Inputs (2)'!$D$2:$AL$2,0)),"")</f>
        <v>117.548</v>
      </c>
      <c r="G21" s="271">
        <f>IFERROR(INDEX('Inputs (2)'!$D$55:$AL$55,MATCH(G$7,'Inputs (2)'!$D$2:$AL$2,0)),"")</f>
        <v>133.352</v>
      </c>
      <c r="H21" s="272">
        <f>IF(COUNT(D21:G21)=4,SUM(D21:G21),"")</f>
        <v>484.675</v>
      </c>
      <c r="I21" s="271">
        <f>IFERROR(INDEX('Inputs (2)'!$D$55:$AL$55,MATCH(I$7,'Inputs (2)'!$D$2:$AL$2,0)),"")</f>
        <v>154.023</v>
      </c>
      <c r="J21" s="271">
        <f>IFERROR(INDEX('Inputs (2)'!$D$55:$AL$55,MATCH(J$7,'Inputs (2)'!$D$2:$AL$2,0)),"")</f>
        <v>183.574</v>
      </c>
      <c r="K21" s="271">
        <f>IFERROR(INDEX('Inputs (2)'!$D$55:$AL$55,MATCH(K$7,'Inputs (2)'!$D$2:$AL$2,0)),"")</f>
        <v>272.657</v>
      </c>
      <c r="L21" s="271">
        <f>IFERROR(INDEX('Inputs (2)'!$D$55:$AL$55,MATCH(L$7,'Inputs (2)'!$D$2:$AL$2,0)),"")</f>
        <v>357.38</v>
      </c>
      <c r="M21" s="272">
        <f>IF(COUNT(I21:L21)=4,SUM(I21:L21),"")</f>
        <v>967.634</v>
      </c>
      <c r="N21" s="271">
        <f>IFERROR(INDEX('Inputs (2)'!$D$55:$AL$55,MATCH(N$7,'Inputs (2)'!$D$2:$AL$2,0)),"")</f>
        <v>379.203</v>
      </c>
      <c r="O21" s="271">
        <f>IFERROR(INDEX('Inputs (2)'!$D$55:$AL$55,MATCH(O$7,'Inputs (2)'!$D$2:$AL$2,0)),"")</f>
        <v>417.174</v>
      </c>
      <c r="P21" s="271">
        <f>IFERROR(INDEX('Inputs (2)'!$D$55:$AL$55,MATCH(P$7,'Inputs (2)'!$D$2:$AL$2,0)),"")</f>
        <v>451.078</v>
      </c>
      <c r="Q21" s="271">
        <f>IFERROR(INDEX('Inputs (2)'!$D$55:$AL$55,MATCH(Q$7,'Inputs (2)'!$D$2:$AL$2,0)),"")</f>
        <v>495.524</v>
      </c>
      <c r="R21" s="272">
        <f>IF(COUNT(N21:Q21)=4,SUM(N21:Q21),"")</f>
        <v>1742.979</v>
      </c>
      <c r="S21" s="271">
        <f>IFERROR(INDEX('Inputs (2)'!$D$55:$AL$55,MATCH(S$7,'Inputs (2)'!$D$2:$AL$2,0)),"")</f>
        <v>538.708</v>
      </c>
      <c r="T21" s="271">
        <f>IFERROR(INDEX('Inputs (2)'!$D$55:$AL$55,MATCH(T$7,'Inputs (2)'!$D$2:$AL$2,0)),"")</f>
        <v>558.149</v>
      </c>
      <c r="U21" s="271">
        <f>IFERROR(INDEX('Inputs (2)'!$D$55:$AL$55,MATCH(U$7,'Inputs (2)'!$D$2:$AL$2,0)),"")</f>
        <v>581.123</v>
      </c>
      <c r="V21" s="271">
        <f>IFERROR(INDEX('Inputs (2)'!$D$55:$AL$55,MATCH(V$7,'Inputs (2)'!$D$2:$AL$2,0)),"")</f>
        <v>635.236</v>
      </c>
      <c r="W21" s="272">
        <f>IF(COUNT(S21:V21)=4,SUM(S21:V21),"")</f>
        <v>2313.216</v>
      </c>
      <c r="X21" s="271">
        <f>IFERROR(INDEX('Inputs (2)'!$D$55:$AL$55,MATCH(X$7,'Inputs (2)'!$D$2:$AL$2,0)),"")</f>
        <v>720.39</v>
      </c>
      <c r="Y21" s="271">
        <f>IFERROR(INDEX('Inputs (2)'!$D$55:$AL$55,MATCH(Y$7,'Inputs (2)'!$D$2:$AL$2,0)),"")</f>
        <v>816.006</v>
      </c>
      <c r="Z21" s="271">
        <f>IFERROR(INDEX('Inputs (2)'!$D$55:$AL$55,MATCH(Z$7,'Inputs (2)'!$D$2:$AL$2,0)),"")</f>
        <v>889.427</v>
      </c>
      <c r="AA21" s="271">
        <f>IFERROR(INDEX('Inputs (2)'!$D$55:$AL$55,MATCH(AA$7,'Inputs (2)'!$D$2:$AL$2,0)),"")</f>
        <v>943.352</v>
      </c>
      <c r="AB21" s="272">
        <f>IF(COUNT(X21:AA21)=4,SUM(X21:AA21),"")</f>
        <v>3369.175</v>
      </c>
      <c r="AC21" s="271">
        <f>IFERROR(INDEX('Inputs (2)'!$D$55:$AL$55,MATCH(AC$7,'Inputs (2)'!$D$2:$AL$2,0)),"")</f>
        <v>993.181</v>
      </c>
      <c r="AD21" s="271">
        <f>IFERROR(INDEX('Inputs (2)'!$D$55:$AL$55,MATCH(AD$7,'Inputs (2)'!$D$2:$AL$2,0)),"")</f>
        <v>995.876</v>
      </c>
      <c r="AE21" s="271">
        <f>IFERROR(INDEX('Inputs (2)'!$D$55:$AL$55,MATCH(AE$7,'Inputs (2)'!$D$2:$AL$2,0)),"")</f>
        <v>1033.426</v>
      </c>
      <c r="AF21" s="271">
        <f>IFERROR(INDEX('Inputs (2)'!$D$55:$AL$55,MATCH(AF$7,'Inputs (2)'!$D$2:$AL$2,0)),"")</f>
        <v>1083.60654476591</v>
      </c>
      <c r="AG21" s="272">
        <f>IF(COUNT(AC21:AF21)=4,SUM(AC21:AF21),"")</f>
        <v>4106.08954476591</v>
      </c>
      <c r="AH21" s="272">
        <f>IFERROR(INDEX('Inputs (2)'!$D$55:$AL$55,MATCH(AH$7,'Inputs (2)'!$D$2:$AL$2,0)),"")</f>
        <v>1101.60857524277</v>
      </c>
      <c r="AI21" s="272">
        <f>IFERROR(INDEX('Inputs (2)'!$D$55:$AL$55,MATCH(AI$7,'Inputs (2)'!$D$2:$AL$2,0)),"")</f>
        <v>1149.76904769467</v>
      </c>
    </row>
    <row r="22">
      <c r="C22" s="273" t="inlineStr">
        <is>
          <t>Receita de servicos de locacao (RAC + GTF)</t>
        </is>
      </c>
      <c r="D22" s="271">
        <f>IF(COUNT(D19,D20,D21)=0,"",N(D19)+N(D20)+N(D21))</f>
        <v>412.336</v>
      </c>
      <c r="E22" s="271">
        <f>IF(COUNT(E19,E20,E21)=0,"",N(E19)+N(E20)+N(E21))</f>
        <v>272.221</v>
      </c>
      <c r="F22" s="271">
        <f>IF(COUNT(F19,F20,F21)=0,"",N(F19)+N(F20)+N(F21))</f>
        <v>363.521</v>
      </c>
      <c r="G22" s="271">
        <f>IF(COUNT(G19,G20,G21)=0,"",N(G19)+N(G20)+N(G21))</f>
        <v>467.299</v>
      </c>
      <c r="H22" s="272">
        <f>IF(COUNT(H19,H20,H21)=0,"",N(H19)+N(H20)+N(H21))</f>
        <v>1515.377</v>
      </c>
      <c r="I22" s="271">
        <f>IF(COUNT(I19,I20,I21)=0,"",N(I19)+N(I20)+N(I21))</f>
        <v>483.011</v>
      </c>
      <c r="J22" s="271">
        <f>IF(COUNT(J19,J20,J21)=0,"",N(J19)+N(J20)+N(J21))</f>
        <v>491.865</v>
      </c>
      <c r="K22" s="271">
        <f>IF(COUNT(K19,K20,K21)=0,"",N(K19)+N(K20)+N(K21))</f>
        <v>676.456</v>
      </c>
      <c r="L22" s="271">
        <f>IF(COUNT(L19,L20,L21)=0,"",N(L19)+N(L20)+N(L21))</f>
        <v>879.95</v>
      </c>
      <c r="M22" s="272">
        <f>IF(COUNT(M19,M20,M21)=0,"",N(M19)+N(M20)+N(M21))</f>
        <v>2531.282</v>
      </c>
      <c r="N22" s="271">
        <f>IF(COUNT(N19,N20,N21)=0,"",N(N19)+N(N20)+N(N21))</f>
        <v>931.895</v>
      </c>
      <c r="O22" s="271">
        <f>IF(COUNT(O19,O20,O21)=0,"",N(O19)+N(O20)+N(O21))</f>
        <v>1002.358</v>
      </c>
      <c r="P22" s="271">
        <f>IF(COUNT(P19,P20,P21)=0,"",N(P19)+N(P20)+N(P21))</f>
        <v>1126.437</v>
      </c>
      <c r="Q22" s="271">
        <f>IF(COUNT(Q19,Q20,Q21)=0,"",N(Q19)+N(Q20)+N(Q21))</f>
        <v>1222.226</v>
      </c>
      <c r="R22" s="272">
        <f>IF(COUNT(R19,R20,R21)=0,"",N(R19)+N(R20)+N(R21))</f>
        <v>4282.916</v>
      </c>
      <c r="S22" s="271">
        <f>IF(COUNT(S19,S20,S21)=0,"",N(S19)+N(S20)+N(S21))</f>
        <v>1239.742</v>
      </c>
      <c r="T22" s="271">
        <f>IF(COUNT(T19,T20,T21)=0,"",N(T19)+N(T20)+N(T21))</f>
        <v>1233.781</v>
      </c>
      <c r="U22" s="271">
        <f>IF(COUNT(U19,U20,U21)=0,"",N(U19)+N(U20)+N(U21))</f>
        <v>1297.317</v>
      </c>
      <c r="V22" s="271">
        <f>IF(COUNT(V19,V20,V21)=0,"",N(V19)+N(V20)+N(V21))</f>
        <v>1339.62</v>
      </c>
      <c r="W22" s="272">
        <f>IF(COUNT(W19,W20,W21)=0,"",N(W19)+N(W20)+N(W21))</f>
        <v>5110.46</v>
      </c>
      <c r="X22" s="271">
        <f>IF(COUNT(X19,X20,X21)=0,"",N(X19)+N(X20)+N(X21))</f>
        <v>1495.199</v>
      </c>
      <c r="Y22" s="271">
        <f>IF(COUNT(Y19,Y20,Y21)=0,"",N(Y19)+N(Y20)+N(Y21))</f>
        <v>1608.088</v>
      </c>
      <c r="Z22" s="271">
        <f>IF(COUNT(Z19,Z20,Z21)=0,"",N(Z19)+N(Z20)+N(Z21))</f>
        <v>1744.697</v>
      </c>
      <c r="AA22" s="271">
        <f>IF(COUNT(AA19,AA20,AA21)=0,"",N(AA19)+N(AA20)+N(AA21))</f>
        <v>1791.057</v>
      </c>
      <c r="AB22" s="272">
        <f>IF(COUNT(AB19,AB20,AB21)=0,"",N(AB19)+N(AB20)+N(AB21))</f>
        <v>6639.041</v>
      </c>
      <c r="AC22" s="271">
        <f>IF(COUNT(AC19,AC20,AC21)=0,"",N(AC19)+N(AC20)+N(AC21))</f>
        <v>1878.904</v>
      </c>
      <c r="AD22" s="271">
        <f>IF(COUNT(AD19,AD20,AD21)=0,"",N(AD19)+N(AD20)+N(AD21))</f>
        <v>1892.632</v>
      </c>
      <c r="AE22" s="271">
        <f>IF(COUNT(AE19,AE20,AE21)=0,"",N(AE19)+N(AE20)+N(AE21))</f>
        <v>2010.811</v>
      </c>
      <c r="AF22" s="271">
        <f>IF(COUNT(AF19,AF20,AF21)=0,"",N(AF19)+N(AF20)+N(AF21))</f>
        <v>2096.3940893</v>
      </c>
      <c r="AG22" s="272">
        <f>IF(COUNT(AG19,AG20,AG21)=0,"",N(AG19)+N(AG20)+N(AG21))</f>
        <v>7878.7410893</v>
      </c>
      <c r="AH22" s="272">
        <f>IF(COUNT(AH19,AH20,AH21)=0,"",N(AH19)+N(AH20)+N(AH21))</f>
        <v>2205.61650356063</v>
      </c>
      <c r="AI22" s="272">
        <f>IF(COUNT(AI19,AI20,AI21)=0,"",N(AI19)+N(AI20)+N(AI21))</f>
        <v>2295.33463708</v>
      </c>
    </row>
    <row r="23">
      <c r="C23" s="14" t="inlineStr">
        <is>
          <t xml:space="preserve">   Seminovos (venda de carros)</t>
        </is>
      </c>
      <c r="D23" s="271">
        <f>IFERROR(INDEX('Inputs (2)'!$D$56:$AL$56,MATCH(D$7,'Inputs (2)'!$D$2:$AL$2,0)),"")</f>
        <v>559.199</v>
      </c>
      <c r="E23" s="271">
        <f>IFERROR(INDEX('Inputs (2)'!$D$56:$AL$56,MATCH(E$7,'Inputs (2)'!$D$2:$AL$2,0)),"")</f>
        <v>749.076</v>
      </c>
      <c r="F23" s="271">
        <f>IFERROR(INDEX('Inputs (2)'!$D$56:$AL$56,MATCH(F$7,'Inputs (2)'!$D$2:$AL$2,0)),"")</f>
        <v>640.865</v>
      </c>
      <c r="G23" s="271">
        <f>IFERROR(INDEX('Inputs (2)'!$D$56:$AL$56,MATCH(G$7,'Inputs (2)'!$D$2:$AL$2,0)),"")</f>
        <v>490.713</v>
      </c>
      <c r="H23" s="272">
        <f>IF(COUNT(D23:G23)=4,SUM(D23:G23),"")</f>
        <v>2439.853</v>
      </c>
      <c r="I23" s="271">
        <f>IFERROR(INDEX('Inputs (2)'!$D$56:$AL$56,MATCH(I$7,'Inputs (2)'!$D$2:$AL$2,0)),"")</f>
        <v>274.54</v>
      </c>
      <c r="J23" s="271">
        <f>IFERROR(INDEX('Inputs (2)'!$D$56:$AL$56,MATCH(J$7,'Inputs (2)'!$D$2:$AL$2,0)),"")</f>
        <v>673.48</v>
      </c>
      <c r="K23" s="271">
        <f>IFERROR(INDEX('Inputs (2)'!$D$56:$AL$56,MATCH(K$7,'Inputs (2)'!$D$2:$AL$2,0)),"")</f>
        <v>844.62</v>
      </c>
      <c r="L23" s="271">
        <f>IFERROR(INDEX('Inputs (2)'!$D$56:$AL$56,MATCH(L$7,'Inputs (2)'!$D$2:$AL$2,0)),"")</f>
        <v>809.115</v>
      </c>
      <c r="M23" s="272">
        <f>IF(COUNT(I23:L23)=4,SUM(I23:L23),"")</f>
        <v>2601.755</v>
      </c>
      <c r="N23" s="271">
        <f>IFERROR(INDEX('Inputs (2)'!$D$56:$AL$56,MATCH(N$7,'Inputs (2)'!$D$2:$AL$2,0)),"")</f>
        <v>973.762</v>
      </c>
      <c r="O23" s="271">
        <f>IFERROR(INDEX('Inputs (2)'!$D$56:$AL$56,MATCH(O$7,'Inputs (2)'!$D$2:$AL$2,0)),"")</f>
        <v>1228.635</v>
      </c>
      <c r="P23" s="271">
        <f>IFERROR(INDEX('Inputs (2)'!$D$56:$AL$56,MATCH(P$7,'Inputs (2)'!$D$2:$AL$2,0)),"")</f>
        <v>1410.428</v>
      </c>
      <c r="Q23" s="271">
        <f>IFERROR(INDEX('Inputs (2)'!$D$56:$AL$56,MATCH(Q$7,'Inputs (2)'!$D$2:$AL$2,0)),"")</f>
        <v>1404.407</v>
      </c>
      <c r="R23" s="272">
        <f>IF(COUNT(N23:Q23)=4,SUM(N23:Q23),"")</f>
        <v>5017.232</v>
      </c>
      <c r="S23" s="271">
        <f>IFERROR(INDEX('Inputs (2)'!$D$56:$AL$56,MATCH(S$7,'Inputs (2)'!$D$2:$AL$2,0)),"")</f>
        <v>1463.465</v>
      </c>
      <c r="T23" s="271">
        <f>IFERROR(INDEX('Inputs (2)'!$D$56:$AL$56,MATCH(T$7,'Inputs (2)'!$D$2:$AL$2,0)),"")</f>
        <v>1245.363</v>
      </c>
      <c r="U23" s="271">
        <f>IFERROR(INDEX('Inputs (2)'!$D$56:$AL$56,MATCH(U$7,'Inputs (2)'!$D$2:$AL$2,0)),"")</f>
        <v>1368.902</v>
      </c>
      <c r="V23" s="271">
        <f>IFERROR(INDEX('Inputs (2)'!$D$56:$AL$56,MATCH(V$7,'Inputs (2)'!$D$2:$AL$2,0)),"")</f>
        <v>1153.824</v>
      </c>
      <c r="W23" s="272">
        <f>IF(COUNT(S23:V23)=4,SUM(S23:V23),"")</f>
        <v>5231.554</v>
      </c>
      <c r="X23" s="271">
        <f>IFERROR(INDEX('Inputs (2)'!$D$56:$AL$56,MATCH(X$7,'Inputs (2)'!$D$2:$AL$2,0)),"")</f>
        <v>1526.448</v>
      </c>
      <c r="Y23" s="271">
        <f>IFERROR(INDEX('Inputs (2)'!$D$56:$AL$56,MATCH(Y$7,'Inputs (2)'!$D$2:$AL$2,0)),"")</f>
        <v>1827.516</v>
      </c>
      <c r="Z23" s="271">
        <f>IFERROR(INDEX('Inputs (2)'!$D$56:$AL$56,MATCH(Z$7,'Inputs (2)'!$D$2:$AL$2,0)),"")</f>
        <v>2031.166</v>
      </c>
      <c r="AA23" s="271">
        <f>IFERROR(INDEX('Inputs (2)'!$D$56:$AL$56,MATCH(AA$7,'Inputs (2)'!$D$2:$AL$2,0)),"")</f>
        <v>1457.1</v>
      </c>
      <c r="AB23" s="272">
        <f>IF(COUNT(X23:AA23)=4,SUM(X23:AA23),"")</f>
        <v>6842.23</v>
      </c>
      <c r="AC23" s="271">
        <f>IFERROR(INDEX('Inputs (2)'!$D$56:$AL$56,MATCH(AC$7,'Inputs (2)'!$D$2:$AL$2,0)),"")</f>
        <v>1689.326</v>
      </c>
      <c r="AD23" s="271">
        <f>IFERROR(INDEX('Inputs (2)'!$D$56:$AL$56,MATCH(AD$7,'Inputs (2)'!$D$2:$AL$2,0)),"")</f>
        <v>1786.374</v>
      </c>
      <c r="AE23" s="271">
        <f>IFERROR(INDEX('Inputs (2)'!$D$56:$AL$56,MATCH(AE$7,'Inputs (2)'!$D$2:$AL$2,0)),"")</f>
        <v>1755.031</v>
      </c>
      <c r="AF23" s="271">
        <f>IFERROR(INDEX('Inputs (2)'!$D$56:$AL$56,MATCH(AF$7,'Inputs (2)'!$D$2:$AL$2,0)),"")</f>
        <v>1562.58106565011</v>
      </c>
      <c r="AG23" s="272">
        <f>IF(COUNT(AC23:AF23)=4,SUM(AC23:AF23),"")</f>
        <v>6793.31206565011</v>
      </c>
      <c r="AH23" s="272">
        <f>IFERROR(INDEX('Inputs (2)'!$D$56:$AL$56,MATCH(AH$7,'Inputs (2)'!$D$2:$AL$2,0)),"")</f>
        <v>1575.02846140118</v>
      </c>
      <c r="AI23" s="272">
        <f>IFERROR(INDEX('Inputs (2)'!$D$56:$AL$56,MATCH(AI$7,'Inputs (2)'!$D$2:$AL$2,0)),"")</f>
        <v>1470.49557040821</v>
      </c>
    </row>
    <row r="24">
      <c r="C24" s="273" t="inlineStr">
        <is>
          <t>Receita liquida (soma)</t>
        </is>
      </c>
      <c r="D24" s="271">
        <f>IF(COUNT(D22,D23)=0,"",N(D22)+N(D23))</f>
        <v>971.535</v>
      </c>
      <c r="E24" s="271">
        <f>IF(COUNT(E22,E23)=0,"",N(E22)+N(E23))</f>
        <v>1021.297</v>
      </c>
      <c r="F24" s="271">
        <f>IF(COUNT(F22,F23)=0,"",N(F22)+N(F23))</f>
        <v>1004.386</v>
      </c>
      <c r="G24" s="271">
        <f>IF(COUNT(G22,G23)=0,"",N(G22)+N(G23))</f>
        <v>958.012</v>
      </c>
      <c r="H24" s="272">
        <f>IF(COUNT(H22,H23)=0,"",N(H22)+N(H23))</f>
        <v>3955.23</v>
      </c>
      <c r="I24" s="271">
        <f>IF(COUNT(I22,I23)=0,"",N(I22)+N(I23))</f>
        <v>757.551</v>
      </c>
      <c r="J24" s="271">
        <f>IF(COUNT(J22,J23)=0,"",N(J22)+N(J23))</f>
        <v>1165.345</v>
      </c>
      <c r="K24" s="271">
        <f>IF(COUNT(K22,K23)=0,"",N(K22)+N(K23))</f>
        <v>1521.076</v>
      </c>
      <c r="L24" s="271">
        <f>IF(COUNT(L22,L23)=0,"",N(L22)+N(L23))</f>
        <v>1689.065</v>
      </c>
      <c r="M24" s="272">
        <f>IF(COUNT(M22,M23)=0,"",N(M22)+N(M23))</f>
        <v>5133.037</v>
      </c>
      <c r="N24" s="271">
        <f>IF(COUNT(N22,N23)=0,"",N(N22)+N(N23))</f>
        <v>1905.657</v>
      </c>
      <c r="O24" s="271">
        <f>IF(COUNT(O22,O23)=0,"",N(O22)+N(O23))</f>
        <v>2230.993</v>
      </c>
      <c r="P24" s="271">
        <f>IF(COUNT(P22,P23)=0,"",N(P22)+N(P23))</f>
        <v>2536.865</v>
      </c>
      <c r="Q24" s="271">
        <f>IF(COUNT(Q22,Q23)=0,"",N(Q22)+N(Q23))</f>
        <v>2626.633</v>
      </c>
      <c r="R24" s="272">
        <f>IF(COUNT(R22,R23)=0,"",N(R22)+N(R23))</f>
        <v>9300.148</v>
      </c>
      <c r="S24" s="271">
        <f>IF(COUNT(S22,S23)=0,"",N(S22)+N(S23))</f>
        <v>2703.207</v>
      </c>
      <c r="T24" s="271">
        <f>IF(COUNT(T22,T23)=0,"",N(T22)+N(T23))</f>
        <v>2479.144</v>
      </c>
      <c r="U24" s="271">
        <f>IF(COUNT(U22,U23)=0,"",N(U22)+N(U23))</f>
        <v>2666.219</v>
      </c>
      <c r="V24" s="271">
        <f>IF(COUNT(V22,V23)=0,"",N(V22)+N(V23))</f>
        <v>2493.444</v>
      </c>
      <c r="W24" s="272">
        <f>IF(COUNT(W22,W23)=0,"",N(W22)+N(W23))</f>
        <v>10342.014</v>
      </c>
      <c r="X24" s="271">
        <f>IF(COUNT(X22,X23)=0,"",N(X22)+N(X23))</f>
        <v>3021.647</v>
      </c>
      <c r="Y24" s="271">
        <f>IF(COUNT(Y22,Y23)=0,"",N(Y22)+N(Y23))</f>
        <v>3435.604</v>
      </c>
      <c r="Z24" s="271">
        <f>IF(COUNT(Z22,Z23)=0,"",N(Z22)+N(Z23))</f>
        <v>3775.863</v>
      </c>
      <c r="AA24" s="271">
        <f>IF(COUNT(AA22,AA23)=0,"",N(AA22)+N(AA23))</f>
        <v>3248.157</v>
      </c>
      <c r="AB24" s="272">
        <f>IF(COUNT(AB22,AB23)=0,"",N(AB22)+N(AB23))</f>
        <v>13481.271</v>
      </c>
      <c r="AC24" s="271">
        <f>IF(COUNT(AC22,AC23)=0,"",N(AC22)+N(AC23))</f>
        <v>3568.23</v>
      </c>
      <c r="AD24" s="271">
        <f>IF(COUNT(AD22,AD23)=0,"",N(AD22)+N(AD23))</f>
        <v>3679.006</v>
      </c>
      <c r="AE24" s="271">
        <f>IF(COUNT(AE22,AE23)=0,"",N(AE22)+N(AE23))</f>
        <v>3765.842</v>
      </c>
      <c r="AF24" s="271">
        <f>IF(COUNT(AF22,AF23)=0,"",N(AF22)+N(AF23))</f>
        <v>3658.97515495011</v>
      </c>
      <c r="AG24" s="272">
        <f>IF(COUNT(AG22,AG23)=0,"",N(AG22)+N(AG23))</f>
        <v>14672.0531549501</v>
      </c>
      <c r="AH24" s="272">
        <f>IF(COUNT(AH22,AH23)=0,"",N(AH22)+N(AH23))</f>
        <v>3780.64496496181</v>
      </c>
      <c r="AI24" s="272">
        <f>IF(COUNT(AI22,AI23)=0,"",N(AI22)+N(AI23))</f>
        <v>3765.83020748821</v>
      </c>
    </row>
    <row r="25">
      <c r="C25" s="14" t="inlineStr">
        <is>
          <t>Check vs Net Revenues (linha 15)</t>
        </is>
      </c>
      <c r="D25" s="271">
        <f>IF(OR(COUNT(D24)=0,COUNT(D15)=0),"",ROUND(D15-D24,3))</f>
        <v>0</v>
      </c>
      <c r="E25" s="271">
        <f>IF(OR(COUNT(E24)=0,COUNT(E15)=0),"",ROUND(E15-E24,3))</f>
        <v>-0.001</v>
      </c>
      <c r="F25" s="271">
        <f>IF(OR(COUNT(F24)=0,COUNT(F15)=0),"",ROUND(F15-F24,3))</f>
        <v>0</v>
      </c>
      <c r="G25" s="271">
        <f>IF(OR(COUNT(G24)=0,COUNT(G15)=0),"",ROUND(G15-G24,3))</f>
        <v>0</v>
      </c>
      <c r="H25" s="272">
        <f>IF(OR(COUNT(H24)=0,COUNT(H15)=0),"",ROUND(H15-H24,3))</f>
        <v>-0.001</v>
      </c>
      <c r="I25" s="271">
        <f>IF(OR(COUNT(I24)=0,COUNT(I15)=0),"",ROUND(I15-I24,3))</f>
        <v>0.001</v>
      </c>
      <c r="J25" s="271">
        <f>IF(OR(COUNT(J24)=0,COUNT(J15)=0),"",ROUND(J15-J24,3))</f>
        <v>0</v>
      </c>
      <c r="K25" s="271">
        <f>IF(OR(COUNT(K24)=0,COUNT(K15)=0),"",ROUND(K15-K24,3))</f>
        <v>0</v>
      </c>
      <c r="L25" s="271">
        <f>IF(OR(COUNT(L24)=0,COUNT(L15)=0),"",ROUND(L15-L24,3))</f>
        <v>0</v>
      </c>
      <c r="M25" s="272">
        <f>IF(OR(COUNT(M24)=0,COUNT(M15)=0),"",ROUND(M15-M24,3))</f>
        <v>0.001</v>
      </c>
      <c r="N25" s="271">
        <f>IF(OR(COUNT(N24)=0,COUNT(N15)=0),"",ROUND(N15-N24,3))</f>
        <v>0</v>
      </c>
      <c r="O25" s="271">
        <f>IF(OR(COUNT(O24)=0,COUNT(O15)=0),"",ROUND(O15-O24,3))</f>
        <v>-0.001</v>
      </c>
      <c r="P25" s="271">
        <f>IF(OR(COUNT(P24)=0,COUNT(P15)=0),"",ROUND(P15-P24,3))</f>
        <v>-0.001</v>
      </c>
      <c r="Q25" s="271">
        <f>IF(OR(COUNT(Q24)=0,COUNT(Q15)=0),"",ROUND(Q15-Q24,3))</f>
        <v>0</v>
      </c>
      <c r="R25" s="272">
        <f>IF(OR(COUNT(R24)=0,COUNT(R15)=0),"",ROUND(R15-R24,3))</f>
        <v>-0.002</v>
      </c>
      <c r="S25" s="271">
        <f>IF(OR(COUNT(S24)=0,COUNT(S15)=0),"",ROUND(S15-S24,3))</f>
        <v>-0.001</v>
      </c>
      <c r="T25" s="271">
        <f>IF(OR(COUNT(T24)=0,COUNT(T15)=0),"",ROUND(T15-T24,3))</f>
        <v>0</v>
      </c>
      <c r="U25" s="271">
        <f>IF(OR(COUNT(U24)=0,COUNT(U15)=0),"",ROUND(U15-U24,3))</f>
        <v>0.001</v>
      </c>
      <c r="V25" s="271">
        <f>IF(OR(COUNT(V24)=0,COUNT(V15)=0),"",ROUND(V15-V24,3))</f>
        <v>0</v>
      </c>
      <c r="W25" s="272">
        <f>IF(OR(COUNT(W24)=0,COUNT(W15)=0),"",ROUND(W15-W24,3))</f>
        <v>0</v>
      </c>
      <c r="X25" s="271">
        <f>IF(OR(COUNT(X24)=0,COUNT(X15)=0),"",ROUND(X15-X24,3))</f>
        <v>-0.001</v>
      </c>
      <c r="Y25" s="271">
        <f>IF(OR(COUNT(Y24)=0,COUNT(Y15)=0),"",ROUND(Y15-Y24,3))</f>
        <v>0</v>
      </c>
      <c r="Z25" s="271">
        <f>IF(OR(COUNT(Z24)=0,COUNT(Z15)=0),"",ROUND(Z15-Z24,3))</f>
        <v>0.001</v>
      </c>
      <c r="AA25" s="271">
        <f>IF(OR(COUNT(AA24)=0,COUNT(AA15)=0),"",ROUND(AA15-AA24,3))</f>
        <v>0</v>
      </c>
      <c r="AB25" s="272">
        <f>IF(OR(COUNT(AB24)=0,COUNT(AB15)=0),"",ROUND(AB15-AB24,3))</f>
        <v>0</v>
      </c>
      <c r="AC25" s="271">
        <f>IF(OR(COUNT(AC24)=0,COUNT(AC15)=0),"",ROUND(AC15-AC24,3))</f>
        <v>0.001</v>
      </c>
      <c r="AD25" s="271">
        <f>IF(OR(COUNT(AD24)=0,COUNT(AD15)=0),"",ROUND(AD15-AD24,3))</f>
        <v>0</v>
      </c>
      <c r="AE25" s="271">
        <f>IF(OR(COUNT(AE24)=0,COUNT(AE15)=0),"",ROUND(AE15-AE24,3))</f>
        <v>0.001</v>
      </c>
      <c r="AF25" s="271">
        <f>IF(OR(COUNT(AF24)=0,COUNT(AF15)=0),"",ROUND(AF15-AF24,3))</f>
        <v>0</v>
      </c>
      <c r="AG25" s="272">
        <f>IF(OR(COUNT(AG24)=0,COUNT(AG15)=0),"",ROUND(AG15-AG24,3))</f>
        <v>0.002</v>
      </c>
      <c r="AH25" s="272">
        <f>IF(OR(COUNT(AH24)=0,COUNT(AH15)=0),"",ROUND(AH15-AH24,3))</f>
        <v>0</v>
      </c>
      <c r="AI25" s="272">
        <f>IF(OR(COUNT(AI24)=0,COUNT(AI15)=0),"",ROUND(AI15-AI24,3))</f>
        <v>0</v>
      </c>
    </row>
    <row r="26">
      <c r="C26" s="14" t="inlineStr">
        <is>
          <t xml:space="preserve">   % YoY RAC Brasil</t>
        </is>
      </c>
      <c r="D26" s="274" t="str">
        <f>""</f>
        <v/>
      </c>
      <c r="E26" s="274" t="str">
        <f>""</f>
        <v/>
      </c>
      <c r="F26" s="274" t="str">
        <f>""</f>
        <v/>
      </c>
      <c r="G26" s="274" t="str">
        <f>""</f>
        <v/>
      </c>
      <c r="H26" s="275" t="str">
        <f>""</f>
        <v/>
      </c>
      <c r="I26" s="274">
        <f>IFERROR(I19/D19-1,"")</f>
        <v>0.115981505917631</v>
      </c>
      <c r="J26" s="274">
        <f>IFERROR(J19/E19-1,"")</f>
        <v>0.976414398820399</v>
      </c>
      <c r="K26" s="274">
        <f>IFERROR(K19/F19-1,"")</f>
        <v>0.64163952954186</v>
      </c>
      <c r="L26" s="274">
        <f>IFERROR(L19/G19-1,"")</f>
        <v>0.564829149535705</v>
      </c>
      <c r="M26" s="275">
        <f>IFERROR(M19/H19-1,"")</f>
        <v>0.517070889549064</v>
      </c>
      <c r="N26" s="274">
        <f>IFERROR(N19/I19-1,"")</f>
        <v>0.679976169343563</v>
      </c>
      <c r="O26" s="274">
        <f>IFERROR(O19/J19-1,"")</f>
        <v>0.898154665559488</v>
      </c>
      <c r="P26" s="274">
        <f>IFERROR(P19/K19-1,"")</f>
        <v>0.672512809590911</v>
      </c>
      <c r="Q26" s="274">
        <f>IFERROR(Q19/L19-1,"")</f>
        <v>0.306758903113459</v>
      </c>
      <c r="R26" s="275">
        <f>IFERROR(R19/M19-1,"")</f>
        <v>0.596336259823183</v>
      </c>
      <c r="S26" s="274">
        <f>IFERROR(S19/N19-1,"")</f>
        <v>0.242351979040768</v>
      </c>
      <c r="T26" s="274">
        <f>IFERROR(T19/O19-1,"")</f>
        <v>0.104208249029365</v>
      </c>
      <c r="U26" s="274">
        <f>IFERROR(U19/P19-1,"")</f>
        <v>-0.0357646821912494</v>
      </c>
      <c r="V26" s="274">
        <f>IFERROR(V19/Q19-1,"")</f>
        <v>-0.011530694580105</v>
      </c>
      <c r="W26" s="275">
        <f>IFERROR(W19/R19-1,"")</f>
        <v>0.0652611986340335</v>
      </c>
      <c r="X26" s="274">
        <f>IFERROR(X19/S19-1,"")</f>
        <v>0.0948447362365612</v>
      </c>
      <c r="Y26" s="274">
        <f>IFERROR(Y19/T19-1,"")</f>
        <v>0.158448693445173</v>
      </c>
      <c r="Z26" s="274">
        <f>IFERROR(Z19/U19-1,"")</f>
        <v>0.174389017283344</v>
      </c>
      <c r="AA26" s="274">
        <f>IFERROR(AA19/V19-1,"")</f>
        <v>0.197818070841586</v>
      </c>
      <c r="AB26" s="275">
        <f>IFERROR(AB19/W19-1,"")</f>
        <v>0.155922116790215</v>
      </c>
      <c r="AC26" s="274">
        <f>IFERROR(AC19/X19-1,"")</f>
        <v>0.143154349381852</v>
      </c>
      <c r="AD26" s="274">
        <f>IFERROR(AD19/Y19-1,"")</f>
        <v>0.126583563667843</v>
      </c>
      <c r="AE26" s="274">
        <f>IFERROR(AE19/Z19-1,"")</f>
        <v>0.142890392903469</v>
      </c>
      <c r="AF26" s="274">
        <f>IFERROR(AF19/AA19-1,"")</f>
        <v>0.198317404998843</v>
      </c>
      <c r="AG26" s="275">
        <f>IFERROR(AG19/AB19-1,"")</f>
        <v>0.153563902386317</v>
      </c>
      <c r="AH26" s="275">
        <f>IFERROR(AH19/AC19-1,"")</f>
        <v>0.252205644345759</v>
      </c>
      <c r="AI26" s="275">
        <f>IFERROR(AI19/AD19-1,"")</f>
        <v>0.304053621599032</v>
      </c>
    </row>
    <row r="27">
      <c r="C27" s="14" t="inlineStr">
        <is>
          <t xml:space="preserve">   % YoY GTF</t>
        </is>
      </c>
      <c r="D27" s="274" t="str">
        <f>""</f>
        <v/>
      </c>
      <c r="E27" s="274" t="str">
        <f>""</f>
        <v/>
      </c>
      <c r="F27" s="274" t="str">
        <f>""</f>
        <v/>
      </c>
      <c r="G27" s="274" t="str">
        <f>""</f>
        <v/>
      </c>
      <c r="H27" s="275" t="str">
        <f>""</f>
        <v/>
      </c>
      <c r="I27" s="274">
        <f>IFERROR(I21/D21-1,"")</f>
        <v>0.310399101574796</v>
      </c>
      <c r="J27" s="274">
        <f>IFERROR(J21/E21-1,"")</f>
        <v>0.579321380639389</v>
      </c>
      <c r="K27" s="274">
        <f>IFERROR(K21/F21-1,"")</f>
        <v>1.31953755061762</v>
      </c>
      <c r="L27" s="274">
        <f>IFERROR(L21/G21-1,"")</f>
        <v>1.67997480352751</v>
      </c>
      <c r="M27" s="275">
        <f>IFERROR(M21/H21-1,"")</f>
        <v>0.996459483158818</v>
      </c>
      <c r="N27" s="274">
        <f>IFERROR(N21/I21-1,"")</f>
        <v>1.46198944313512</v>
      </c>
      <c r="O27" s="274">
        <f>IFERROR(O21/J21-1,"")</f>
        <v>1.27251135781756</v>
      </c>
      <c r="P27" s="274">
        <f>IFERROR(P21/K21-1,"")</f>
        <v>0.654378944974822</v>
      </c>
      <c r="Q27" s="274">
        <f>IFERROR(Q21/L21-1,"")</f>
        <v>0.38654653310202</v>
      </c>
      <c r="R27" s="275">
        <f>IFERROR(R21/M21-1,"")</f>
        <v>0.801279202673738</v>
      </c>
      <c r="S27" s="274">
        <f>IFERROR(S21/N21-1,"")</f>
        <v>0.42063222073665</v>
      </c>
      <c r="T27" s="274">
        <f>IFERROR(T21/O21-1,"")</f>
        <v>0.337928538211873</v>
      </c>
      <c r="U27" s="274">
        <f>IFERROR(U21/P21-1,"")</f>
        <v>0.288298254403895</v>
      </c>
      <c r="V27" s="274">
        <f>IFERROR(V21/Q21-1,"")</f>
        <v>0.281947998482415</v>
      </c>
      <c r="W27" s="275">
        <f>IFERROR(W21/R21-1,"")</f>
        <v>0.32716228939075</v>
      </c>
      <c r="X27" s="274">
        <f>IFERROR(X21/S21-1,"")</f>
        <v>0.337255062111571</v>
      </c>
      <c r="Y27" s="274">
        <f>IFERROR(Y21/T21-1,"")</f>
        <v>0.46198595715481</v>
      </c>
      <c r="Z27" s="274">
        <f>IFERROR(Z21/U21-1,"")</f>
        <v>0.530531402130014</v>
      </c>
      <c r="AA27" s="274">
        <f>IFERROR(AA21/V21-1,"")</f>
        <v>0.485041779747999</v>
      </c>
      <c r="AB27" s="275">
        <f>IFERROR(AB21/W21-1,"")</f>
        <v>0.456489579874945</v>
      </c>
      <c r="AC27" s="274">
        <f>IFERROR(AC21/X21-1,"")</f>
        <v>0.378671275281445</v>
      </c>
      <c r="AD27" s="274">
        <f>IFERROR(AD21/Y21-1,"")</f>
        <v>0.220427300779651</v>
      </c>
      <c r="AE27" s="274">
        <f>IFERROR(AE21/Z21-1,"")</f>
        <v>0.161900864264296</v>
      </c>
      <c r="AF27" s="274">
        <f>IFERROR(AF21/AA21-1,"")</f>
        <v>0.148676787419654</v>
      </c>
      <c r="AG27" s="275">
        <f>IFERROR(AG21/AB21-1,"")</f>
        <v>0.218722549219291</v>
      </c>
      <c r="AH27" s="275">
        <f>IFERROR(AH21/AC21-1,"")</f>
        <v>0.109172019241981</v>
      </c>
      <c r="AI27" s="275">
        <f>IFERROR(AI21/AD21-1,"")</f>
        <v>0.154530330778803</v>
      </c>
    </row>
    <row r="28">
      <c r="C28" s="14" t="inlineStr">
        <is>
          <t xml:space="preserve">   % Seminovos na receita</t>
        </is>
      </c>
      <c r="D28" s="274">
        <f>IFERROR(D23/D24,"")</f>
        <v>0.575582969218814</v>
      </c>
      <c r="E28" s="274">
        <f>IFERROR(E23/E24,"")</f>
        <v>0.733455596168402</v>
      </c>
      <c r="F28" s="274">
        <f>IFERROR(F23/F24,"")</f>
        <v>0.638066440591566</v>
      </c>
      <c r="G28" s="274">
        <f>IFERROR(G23/G24,"")</f>
        <v>0.512220097451807</v>
      </c>
      <c r="H28" s="275">
        <f>IFERROR(H23/H24,"")</f>
        <v>0.616867539940787</v>
      </c>
      <c r="I28" s="274">
        <f>IFERROR(I23/I24,"")</f>
        <v>0.362404643383746</v>
      </c>
      <c r="J28" s="274">
        <f>IFERROR(J23/J24,"")</f>
        <v>0.577923275939743</v>
      </c>
      <c r="K28" s="274">
        <f>IFERROR(K23/K24,"")</f>
        <v>0.555277974276105</v>
      </c>
      <c r="L28" s="274">
        <f>IFERROR(L23/L24,"")</f>
        <v>0.479031298381057</v>
      </c>
      <c r="M28" s="275">
        <f>IFERROR(M23/M24,"")</f>
        <v>0.506864649524249</v>
      </c>
      <c r="N28" s="274">
        <f>IFERROR(N23/N24,"")</f>
        <v>0.510984925408927</v>
      </c>
      <c r="O28" s="274">
        <f>IFERROR(O23/O24,"")</f>
        <v>0.550712171665263</v>
      </c>
      <c r="P28" s="274">
        <f>IFERROR(P23/P24,"")</f>
        <v>0.555972824726582</v>
      </c>
      <c r="Q28" s="274">
        <f>IFERROR(Q23/Q24,"")</f>
        <v>0.534679568862494</v>
      </c>
      <c r="R28" s="275">
        <f>IFERROR(R23/R24,"")</f>
        <v>0.539478726575104</v>
      </c>
      <c r="S28" s="274">
        <f>IFERROR(S23/S24,"")</f>
        <v>0.54138103371292</v>
      </c>
      <c r="T28" s="274">
        <f>IFERROR(T23/T24,"")</f>
        <v>0.502335886902899</v>
      </c>
      <c r="U28" s="274">
        <f>IFERROR(U23/U24,"")</f>
        <v>0.513424441128054</v>
      </c>
      <c r="V28" s="274">
        <f>IFERROR(V23/V24,"")</f>
        <v>0.462743097498881</v>
      </c>
      <c r="W28" s="275">
        <f>IFERROR(W23/W24,"")</f>
        <v>0.505854468965136</v>
      </c>
      <c r="X28" s="274">
        <f>IFERROR(X23/X24,"")</f>
        <v>0.505170855497019</v>
      </c>
      <c r="Y28" s="274">
        <f>IFERROR(Y23/Y24,"")</f>
        <v>0.531934413861435</v>
      </c>
      <c r="Z28" s="274">
        <f>IFERROR(Z23/Z24,"")</f>
        <v>0.537934241787904</v>
      </c>
      <c r="AA28" s="274">
        <f>IFERROR(AA23/AA24,"")</f>
        <v>0.448592848190528</v>
      </c>
      <c r="AB28" s="275">
        <f>IFERROR(AB23/AB24,"")</f>
        <v>0.507535973425651</v>
      </c>
      <c r="AC28" s="274">
        <f>IFERROR(AC23/AC24,"")</f>
        <v>0.47343528864451</v>
      </c>
      <c r="AD28" s="274">
        <f>IFERROR(AD23/AD24,"")</f>
        <v>0.48555887106463</v>
      </c>
      <c r="AE28" s="274">
        <f>IFERROR(AE23/AE24,"")</f>
        <v>0.466039467401978</v>
      </c>
      <c r="AF28" s="274">
        <f>IFERROR(AF23/AF24,"")</f>
        <v>0.427054297850628</v>
      </c>
      <c r="AG28" s="275">
        <f>IFERROR(AG23/AG24,"")</f>
        <v>0.463010322679901</v>
      </c>
      <c r="AH28" s="275">
        <f>IFERROR(AH23/AH24,"")</f>
        <v>0.416603112960407</v>
      </c>
      <c r="AI28" s="275">
        <f>IFERROR(AI23/AI24,"")</f>
        <v>0.390483768355829</v>
      </c>
    </row>
    <row r="29"/>
    <row r="30">
      <c r="C30" s="12" t="inlineStr">
        <is>
          <t>EBITDA por segmento (R$ milhoes; 1T20 e 4T20: soma dos segmentos difere do consolidado pro forma)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 xml:space="preserve">   EBITDA RAC (Brasil + Portugal)</t>
        </is>
      </c>
      <c r="D31" s="271">
        <f>IFERROR(INDEX('Inputs (2)'!$D$57:$AL$57,MATCH(D$7,'Inputs (2)'!$D$2:$AL$2,0)),"")</f>
        <v>-59.487</v>
      </c>
      <c r="E31" s="271">
        <f>IFERROR(INDEX('Inputs (2)'!$D$57:$AL$57,MATCH(E$7,'Inputs (2)'!$D$2:$AL$2,0)),"")</f>
        <v>44.361</v>
      </c>
      <c r="F31" s="271">
        <f>IFERROR(INDEX('Inputs (2)'!$D$57:$AL$57,MATCH(F$7,'Inputs (2)'!$D$2:$AL$2,0)),"")</f>
        <v>120.19</v>
      </c>
      <c r="G31" s="271">
        <f>IFERROR(INDEX('Inputs (2)'!$D$57:$AL$57,MATCH(G$7,'Inputs (2)'!$D$2:$AL$2,0)),"")</f>
        <v>212.423</v>
      </c>
      <c r="H31" s="272">
        <f>IF(COUNT(D31:G31)=4,SUM(D31:G31),"")</f>
        <v>317.487</v>
      </c>
      <c r="I31" s="271">
        <f>IFERROR(INDEX('Inputs (2)'!$D$57:$AL$57,MATCH(I$7,'Inputs (2)'!$D$2:$AL$2,0)),"")</f>
        <v>168.74</v>
      </c>
      <c r="J31" s="271">
        <f>IFERROR(INDEX('Inputs (2)'!$D$57:$AL$57,MATCH(J$7,'Inputs (2)'!$D$2:$AL$2,0)),"")</f>
        <v>140.676</v>
      </c>
      <c r="K31" s="271">
        <f>IFERROR(INDEX('Inputs (2)'!$D$57:$AL$57,MATCH(K$7,'Inputs (2)'!$D$2:$AL$2,0)),"")</f>
        <v>233.091</v>
      </c>
      <c r="L31" s="271">
        <f>IFERROR(INDEX('Inputs (2)'!$D$57:$AL$57,MATCH(L$7,'Inputs (2)'!$D$2:$AL$2,0)),"")</f>
        <v>333.123</v>
      </c>
      <c r="M31" s="272">
        <f>IF(COUNT(I31:L31)=4,SUM(I31:L31),"")</f>
        <v>875.63</v>
      </c>
      <c r="N31" s="271">
        <f>IFERROR(INDEX('Inputs (2)'!$D$57:$AL$57,MATCH(N$7,'Inputs (2)'!$D$2:$AL$2,0)),"")</f>
        <v>373.325</v>
      </c>
      <c r="O31" s="271">
        <f>IFERROR(INDEX('Inputs (2)'!$D$57:$AL$57,MATCH(O$7,'Inputs (2)'!$D$2:$AL$2,0)),"")</f>
        <v>384.781</v>
      </c>
      <c r="P31" s="271">
        <f>IFERROR(INDEX('Inputs (2)'!$D$57:$AL$57,MATCH(P$7,'Inputs (2)'!$D$2:$AL$2,0)),"")</f>
        <v>457.844</v>
      </c>
      <c r="Q31" s="271">
        <f>IFERROR(INDEX('Inputs (2)'!$D$57:$AL$57,MATCH(Q$7,'Inputs (2)'!$D$2:$AL$2,0)),"")</f>
        <v>416.559</v>
      </c>
      <c r="R31" s="272">
        <f>IF(COUNT(N31:Q31)=4,SUM(N31:Q31),"")</f>
        <v>1632.509</v>
      </c>
      <c r="S31" s="271">
        <f>IFERROR(INDEX('Inputs (2)'!$D$57:$AL$57,MATCH(S$7,'Inputs (2)'!$D$2:$AL$2,0)),"")</f>
        <v>427.387</v>
      </c>
      <c r="T31" s="271">
        <f>IFERROR(INDEX('Inputs (2)'!$D$57:$AL$57,MATCH(T$7,'Inputs (2)'!$D$2:$AL$2,0)),"")</f>
        <v>381.802</v>
      </c>
      <c r="U31" s="271">
        <f>IFERROR(INDEX('Inputs (2)'!$D$57:$AL$57,MATCH(U$7,'Inputs (2)'!$D$2:$AL$2,0)),"")</f>
        <v>395.515</v>
      </c>
      <c r="V31" s="271">
        <f>IFERROR(INDEX('Inputs (2)'!$D$57:$AL$57,MATCH(V$7,'Inputs (2)'!$D$2:$AL$2,0)),"")</f>
        <v>367.098</v>
      </c>
      <c r="W31" s="272">
        <f>IF(COUNT(S31:V31)=4,SUM(S31:V31),"")</f>
        <v>1571.802</v>
      </c>
      <c r="X31" s="271">
        <f>IFERROR(INDEX('Inputs (2)'!$D$57:$AL$57,MATCH(X$7,'Inputs (2)'!$D$2:$AL$2,0)),"")</f>
        <v>485.485</v>
      </c>
      <c r="Y31" s="271">
        <f>IFERROR(INDEX('Inputs (2)'!$D$57:$AL$57,MATCH(Y$7,'Inputs (2)'!$D$2:$AL$2,0)),"")</f>
        <v>504.709</v>
      </c>
      <c r="Z31" s="271">
        <f>IFERROR(INDEX('Inputs (2)'!$D$57:$AL$57,MATCH(Z$7,'Inputs (2)'!$D$2:$AL$2,0)),"")</f>
        <v>550.01</v>
      </c>
      <c r="AA31" s="271">
        <f>IFERROR(INDEX('Inputs (2)'!$D$57:$AL$57,MATCH(AA$7,'Inputs (2)'!$D$2:$AL$2,0)),"")</f>
        <v>543.336</v>
      </c>
      <c r="AB31" s="272">
        <f>IF(COUNT(X31:AA31)=4,SUM(X31:AA31),"")</f>
        <v>2083.54</v>
      </c>
      <c r="AC31" s="271">
        <f>IFERROR(INDEX('Inputs (2)'!$D$57:$AL$57,MATCH(AC$7,'Inputs (2)'!$D$2:$AL$2,0)),"")</f>
        <v>563.843</v>
      </c>
      <c r="AD31" s="271">
        <f>IFERROR(INDEX('Inputs (2)'!$D$57:$AL$57,MATCH(AD$7,'Inputs (2)'!$D$2:$AL$2,0)),"")</f>
        <v>602.06</v>
      </c>
      <c r="AE31" s="271">
        <f>IFERROR(INDEX('Inputs (2)'!$D$57:$AL$57,MATCH(AE$7,'Inputs (2)'!$D$2:$AL$2,0)),"")</f>
        <v>669.054</v>
      </c>
      <c r="AF31" s="271">
        <f>IFERROR(INDEX('Inputs (2)'!$D$57:$AL$57,MATCH(AF$7,'Inputs (2)'!$D$2:$AL$2,0)),"")</f>
        <v>663.047153384535</v>
      </c>
      <c r="AG31" s="272">
        <f>IF(COUNT(AC31:AF31)=4,SUM(AC31:AF31),"")</f>
        <v>2498.00415338454</v>
      </c>
      <c r="AH31" s="272">
        <f>IFERROR(INDEX('Inputs (2)'!$D$57:$AL$57,MATCH(AH$7,'Inputs (2)'!$D$2:$AL$2,0)),"")</f>
        <v>717.757548914019</v>
      </c>
      <c r="AI31" s="272">
        <f>IFERROR(INDEX('Inputs (2)'!$D$57:$AL$57,MATCH(AI$7,'Inputs (2)'!$D$2:$AL$2,0)),"")</f>
        <v>775.951369392022</v>
      </c>
    </row>
    <row r="32">
      <c r="C32" s="14" t="inlineStr">
        <is>
          <t xml:space="preserve">   EBITDA GTF</t>
        </is>
      </c>
      <c r="D32" s="271">
        <f>IFERROR(INDEX('Inputs (2)'!$D$58:$AL$58,MATCH(D$7,'Inputs (2)'!$D$2:$AL$2,0)),"")</f>
        <v>83.307</v>
      </c>
      <c r="E32" s="271">
        <f>IFERROR(INDEX('Inputs (2)'!$D$58:$AL$58,MATCH(E$7,'Inputs (2)'!$D$2:$AL$2,0)),"")</f>
        <v>91.522</v>
      </c>
      <c r="F32" s="271">
        <f>IFERROR(INDEX('Inputs (2)'!$D$58:$AL$58,MATCH(F$7,'Inputs (2)'!$D$2:$AL$2,0)),"")</f>
        <v>82.203</v>
      </c>
      <c r="G32" s="271">
        <f>IFERROR(INDEX('Inputs (2)'!$D$58:$AL$58,MATCH(G$7,'Inputs (2)'!$D$2:$AL$2,0)),"")</f>
        <v>85.631</v>
      </c>
      <c r="H32" s="272">
        <f>IF(COUNT(D32:G32)=4,SUM(D32:G32),"")</f>
        <v>342.663</v>
      </c>
      <c r="I32" s="271">
        <f>IFERROR(INDEX('Inputs (2)'!$D$58:$AL$58,MATCH(I$7,'Inputs (2)'!$D$2:$AL$2,0)),"")</f>
        <v>99.481</v>
      </c>
      <c r="J32" s="271">
        <f>IFERROR(INDEX('Inputs (2)'!$D$58:$AL$58,MATCH(J$7,'Inputs (2)'!$D$2:$AL$2,0)),"")</f>
        <v>127.681</v>
      </c>
      <c r="K32" s="271">
        <f>IFERROR(INDEX('Inputs (2)'!$D$58:$AL$58,MATCH(K$7,'Inputs (2)'!$D$2:$AL$2,0)),"")</f>
        <v>193.117</v>
      </c>
      <c r="L32" s="271">
        <f>IFERROR(INDEX('Inputs (2)'!$D$58:$AL$58,MATCH(L$7,'Inputs (2)'!$D$2:$AL$2,0)),"")</f>
        <v>261.929</v>
      </c>
      <c r="M32" s="272">
        <f>IF(COUNT(I32:L32)=4,SUM(I32:L32),"")</f>
        <v>682.208</v>
      </c>
      <c r="N32" s="271">
        <f>IFERROR(INDEX('Inputs (2)'!$D$58:$AL$58,MATCH(N$7,'Inputs (2)'!$D$2:$AL$2,0)),"")</f>
        <v>285.299</v>
      </c>
      <c r="O32" s="271">
        <f>IFERROR(INDEX('Inputs (2)'!$D$58:$AL$58,MATCH(O$7,'Inputs (2)'!$D$2:$AL$2,0)),"")</f>
        <v>315.241</v>
      </c>
      <c r="P32" s="271">
        <f>IFERROR(INDEX('Inputs (2)'!$D$58:$AL$58,MATCH(P$7,'Inputs (2)'!$D$2:$AL$2,0)),"")</f>
        <v>331.303</v>
      </c>
      <c r="Q32" s="271">
        <f>IFERROR(INDEX('Inputs (2)'!$D$58:$AL$58,MATCH(Q$7,'Inputs (2)'!$D$2:$AL$2,0)),"")</f>
        <v>336.091</v>
      </c>
      <c r="R32" s="272">
        <f>IF(COUNT(N32:Q32)=4,SUM(N32:Q32),"")</f>
        <v>1267.934</v>
      </c>
      <c r="S32" s="271">
        <f>IFERROR(INDEX('Inputs (2)'!$D$58:$AL$58,MATCH(S$7,'Inputs (2)'!$D$2:$AL$2,0)),"")</f>
        <v>361.568</v>
      </c>
      <c r="T32" s="271">
        <f>IFERROR(INDEX('Inputs (2)'!$D$58:$AL$58,MATCH(T$7,'Inputs (2)'!$D$2:$AL$2,0)),"")</f>
        <v>411.732</v>
      </c>
      <c r="U32" s="271">
        <f>IFERROR(INDEX('Inputs (2)'!$D$58:$AL$58,MATCH(U$7,'Inputs (2)'!$D$2:$AL$2,0)),"")</f>
        <v>430.96</v>
      </c>
      <c r="V32" s="271">
        <f>IFERROR(INDEX('Inputs (2)'!$D$58:$AL$58,MATCH(V$7,'Inputs (2)'!$D$2:$AL$2,0)),"")</f>
        <v>462.355</v>
      </c>
      <c r="W32" s="272">
        <f>IF(COUNT(S32:V32)=4,SUM(S32:V32),"")</f>
        <v>1666.615</v>
      </c>
      <c r="X32" s="271">
        <f>IFERROR(INDEX('Inputs (2)'!$D$58:$AL$58,MATCH(X$7,'Inputs (2)'!$D$2:$AL$2,0)),"")</f>
        <v>535.294</v>
      </c>
      <c r="Y32" s="271">
        <f>IFERROR(INDEX('Inputs (2)'!$D$58:$AL$58,MATCH(Y$7,'Inputs (2)'!$D$2:$AL$2,0)),"")</f>
        <v>619.952</v>
      </c>
      <c r="Z32" s="271">
        <f>IFERROR(INDEX('Inputs (2)'!$D$58:$AL$58,MATCH(Z$7,'Inputs (2)'!$D$2:$AL$2,0)),"")</f>
        <v>675.759</v>
      </c>
      <c r="AA32" s="271">
        <f>IFERROR(INDEX('Inputs (2)'!$D$58:$AL$58,MATCH(AA$7,'Inputs (2)'!$D$2:$AL$2,0)),"")</f>
        <v>683.937</v>
      </c>
      <c r="AB32" s="272">
        <f>IF(COUNT(X32:AA32)=4,SUM(X32:AA32),"")</f>
        <v>2514.942</v>
      </c>
      <c r="AC32" s="271">
        <f>IFERROR(INDEX('Inputs (2)'!$D$58:$AL$58,MATCH(AC$7,'Inputs (2)'!$D$2:$AL$2,0)),"")</f>
        <v>756.317</v>
      </c>
      <c r="AD32" s="271">
        <f>IFERROR(INDEX('Inputs (2)'!$D$58:$AL$58,MATCH(AD$7,'Inputs (2)'!$D$2:$AL$2,0)),"")</f>
        <v>757.422</v>
      </c>
      <c r="AE32" s="271">
        <f>IFERROR(INDEX('Inputs (2)'!$D$58:$AL$58,MATCH(AE$7,'Inputs (2)'!$D$2:$AL$2,0)),"")</f>
        <v>791.002</v>
      </c>
      <c r="AF32" s="271">
        <f>IFERROR(INDEX('Inputs (2)'!$D$58:$AL$58,MATCH(AF$7,'Inputs (2)'!$D$2:$AL$2,0)),"")</f>
        <v>811.769076146087</v>
      </c>
      <c r="AG32" s="272">
        <f>IF(COUNT(AC32:AF32)=4,SUM(AC32:AF32),"")</f>
        <v>3116.51007614609</v>
      </c>
      <c r="AH32" s="272">
        <f>IFERROR(INDEX('Inputs (2)'!$D$58:$AL$58,MATCH(AH$7,'Inputs (2)'!$D$2:$AL$2,0)),"")</f>
        <v>833.529633609476</v>
      </c>
      <c r="AI32" s="272">
        <f>IFERROR(INDEX('Inputs (2)'!$D$58:$AL$58,MATCH(AI$7,'Inputs (2)'!$D$2:$AL$2,0)),"")</f>
        <v>895.096737466325</v>
      </c>
    </row>
    <row r="33">
      <c r="C33" s="14" t="inlineStr">
        <is>
          <t xml:space="preserve">   EBITDA Seminovos</t>
        </is>
      </c>
      <c r="D33" s="271">
        <f>IFERROR(INDEX('Inputs (2)'!$D$59:$AL$59,MATCH(D$7,'Inputs (2)'!$D$2:$AL$2,0)),"")</f>
        <v>6.461</v>
      </c>
      <c r="E33" s="271">
        <f>IFERROR(INDEX('Inputs (2)'!$D$59:$AL$59,MATCH(E$7,'Inputs (2)'!$D$2:$AL$2,0)),"")</f>
        <v>15.438</v>
      </c>
      <c r="F33" s="271">
        <f>IFERROR(INDEX('Inputs (2)'!$D$59:$AL$59,MATCH(F$7,'Inputs (2)'!$D$2:$AL$2,0)),"")</f>
        <v>10.878</v>
      </c>
      <c r="G33" s="271">
        <f>IFERROR(INDEX('Inputs (2)'!$D$59:$AL$59,MATCH(G$7,'Inputs (2)'!$D$2:$AL$2,0)),"")</f>
        <v>57.352</v>
      </c>
      <c r="H33" s="272">
        <f>IF(COUNT(D33:G33)=4,SUM(D33:G33),"")</f>
        <v>90.129</v>
      </c>
      <c r="I33" s="271">
        <f>IFERROR(INDEX('Inputs (2)'!$D$59:$AL$59,MATCH(I$7,'Inputs (2)'!$D$2:$AL$2,0)),"")</f>
        <v>36.282</v>
      </c>
      <c r="J33" s="271">
        <f>IFERROR(INDEX('Inputs (2)'!$D$59:$AL$59,MATCH(J$7,'Inputs (2)'!$D$2:$AL$2,0)),"")</f>
        <v>120.108</v>
      </c>
      <c r="K33" s="271">
        <f>IFERROR(INDEX('Inputs (2)'!$D$59:$AL$59,MATCH(K$7,'Inputs (2)'!$D$2:$AL$2,0)),"")</f>
        <v>187.2</v>
      </c>
      <c r="L33" s="271">
        <f>IFERROR(INDEX('Inputs (2)'!$D$59:$AL$59,MATCH(L$7,'Inputs (2)'!$D$2:$AL$2,0)),"")</f>
        <v>181.561</v>
      </c>
      <c r="M33" s="272">
        <f>IF(COUNT(I33:L33)=4,SUM(I33:L33),"")</f>
        <v>525.151</v>
      </c>
      <c r="N33" s="271">
        <f>IFERROR(INDEX('Inputs (2)'!$D$59:$AL$59,MATCH(N$7,'Inputs (2)'!$D$2:$AL$2,0)),"")</f>
        <v>204.472</v>
      </c>
      <c r="O33" s="271">
        <f>IFERROR(INDEX('Inputs (2)'!$D$59:$AL$59,MATCH(O$7,'Inputs (2)'!$D$2:$AL$2,0)),"")</f>
        <v>205.234</v>
      </c>
      <c r="P33" s="271">
        <f>IFERROR(INDEX('Inputs (2)'!$D$59:$AL$59,MATCH(P$7,'Inputs (2)'!$D$2:$AL$2,0)),"")</f>
        <v>136.19</v>
      </c>
      <c r="Q33" s="271">
        <f>IFERROR(INDEX('Inputs (2)'!$D$59:$AL$59,MATCH(Q$7,'Inputs (2)'!$D$2:$AL$2,0)),"")</f>
        <v>105.593</v>
      </c>
      <c r="R33" s="272">
        <f>IF(COUNT(N33:Q33)=4,SUM(N33:Q33),"")</f>
        <v>651.489</v>
      </c>
      <c r="S33" s="271">
        <f>IFERROR(INDEX('Inputs (2)'!$D$59:$AL$59,MATCH(S$7,'Inputs (2)'!$D$2:$AL$2,0)),"")</f>
        <v>86.387</v>
      </c>
      <c r="T33" s="271">
        <f>IFERROR(INDEX('Inputs (2)'!$D$59:$AL$59,MATCH(T$7,'Inputs (2)'!$D$2:$AL$2,0)),"")</f>
        <v>96.458</v>
      </c>
      <c r="U33" s="271">
        <f>IFERROR(INDEX('Inputs (2)'!$D$59:$AL$59,MATCH(U$7,'Inputs (2)'!$D$2:$AL$2,0)),"")</f>
        <v>41.451</v>
      </c>
      <c r="V33" s="271">
        <f>IFERROR(INDEX('Inputs (2)'!$D$59:$AL$59,MATCH(V$7,'Inputs (2)'!$D$2:$AL$2,0)),"")</f>
        <v>36.566</v>
      </c>
      <c r="W33" s="272">
        <f>IF(COUNT(S33:V33)=4,SUM(S33:V33),"")</f>
        <v>260.862</v>
      </c>
      <c r="X33" s="271">
        <f>IFERROR(INDEX('Inputs (2)'!$D$59:$AL$59,MATCH(X$7,'Inputs (2)'!$D$2:$AL$2,0)),"")</f>
        <v>38.64</v>
      </c>
      <c r="Y33" s="271">
        <f>IFERROR(INDEX('Inputs (2)'!$D$59:$AL$59,MATCH(Y$7,'Inputs (2)'!$D$2:$AL$2,0)),"")</f>
        <v>24.699</v>
      </c>
      <c r="Z33" s="271">
        <f>IFERROR(INDEX('Inputs (2)'!$D$59:$AL$59,MATCH(Z$7,'Inputs (2)'!$D$2:$AL$2,0)),"")</f>
        <v>21.709</v>
      </c>
      <c r="AA33" s="271">
        <f>IFERROR(INDEX('Inputs (2)'!$D$59:$AL$59,MATCH(AA$7,'Inputs (2)'!$D$2:$AL$2,0)),"")</f>
        <v>17.006</v>
      </c>
      <c r="AB33" s="272">
        <f>IF(COUNT(X33:AA33)=4,SUM(X33:AA33),"")</f>
        <v>102.054</v>
      </c>
      <c r="AC33" s="271">
        <f>IFERROR(INDEX('Inputs (2)'!$D$59:$AL$59,MATCH(AC$7,'Inputs (2)'!$D$2:$AL$2,0)),"")</f>
        <v>18.169</v>
      </c>
      <c r="AD33" s="271">
        <f>IFERROR(INDEX('Inputs (2)'!$D$59:$AL$59,MATCH(AD$7,'Inputs (2)'!$D$2:$AL$2,0)),"")</f>
        <v>19.641</v>
      </c>
      <c r="AE33" s="271">
        <f>IFERROR(INDEX('Inputs (2)'!$D$59:$AL$59,MATCH(AE$7,'Inputs (2)'!$D$2:$AL$2,0)),"")</f>
        <v>18.599</v>
      </c>
      <c r="AF33" s="271">
        <f>IFERROR(INDEX('Inputs (2)'!$D$59:$AL$59,MATCH(AF$7,'Inputs (2)'!$D$2:$AL$2,0)),"")</f>
        <v>15.2340304194881</v>
      </c>
      <c r="AG33" s="272">
        <f>IF(COUNT(AC33:AF33)=4,SUM(AC33:AF33),"")</f>
        <v>71.6430304194881</v>
      </c>
      <c r="AH33" s="272">
        <f>IFERROR(INDEX('Inputs (2)'!$D$59:$AL$59,MATCH(AH$7,'Inputs (2)'!$D$2:$AL$2,0)),"")</f>
        <v>17.3773808765045</v>
      </c>
      <c r="AI33" s="272">
        <f>IFERROR(INDEX('Inputs (2)'!$D$59:$AL$59,MATCH(AI$7,'Inputs (2)'!$D$2:$AL$2,0)),"")</f>
        <v>15.6954771416517</v>
      </c>
    </row>
    <row r="34">
      <c r="C34" s="14" t="inlineStr">
        <is>
          <t xml:space="preserve">   Margem EBITDA RAC</t>
        </is>
      </c>
      <c r="D34" s="274">
        <f>IFERROR(D31/(D19+N(D20)),"")</f>
        <v>-0.201789706136765</v>
      </c>
      <c r="E34" s="274">
        <f>IFERROR(E31/(E19+N(E20)),"")</f>
        <v>0.284392730070199</v>
      </c>
      <c r="F34" s="274">
        <f>IFERROR(F31/(F19+N(F20)),"")</f>
        <v>0.488630865989357</v>
      </c>
      <c r="G34" s="274">
        <f>IFERROR(G31/(G19+N(G20)),"")</f>
        <v>0.636097943685675</v>
      </c>
      <c r="H34" s="275">
        <f>IFERROR(H31/(H19+N(H20)),"")</f>
        <v>0.30802986702267</v>
      </c>
      <c r="I34" s="274">
        <f>IFERROR(I31/(I19+N(I20)),"")</f>
        <v>0.512906245820516</v>
      </c>
      <c r="J34" s="274">
        <f>IFERROR(J31/(J19+N(J20)),"")</f>
        <v>0.45630913649766</v>
      </c>
      <c r="K34" s="274">
        <f>IFERROR(K31/(K19+N(K20)),"")</f>
        <v>0.577245114524801</v>
      </c>
      <c r="L34" s="274">
        <f>IFERROR(L31/(L19+N(L20)),"")</f>
        <v>0.637470578104369</v>
      </c>
      <c r="M34" s="275">
        <f>IFERROR(M31/(M19+N(M20)),"")</f>
        <v>0.559991762851997</v>
      </c>
      <c r="N34" s="274">
        <f>IFERROR(N31/(N19+N(N20)),"")</f>
        <v>0.675466625172791</v>
      </c>
      <c r="O34" s="274">
        <f>IFERROR(O31/(O19+N(O20)),"")</f>
        <v>0.657538483622245</v>
      </c>
      <c r="P34" s="274">
        <f>IFERROR(P31/(P19+N(P20)),"")</f>
        <v>0.677926850756413</v>
      </c>
      <c r="Q34" s="274">
        <f>IFERROR(Q31/(Q19+N(Q20)),"")</f>
        <v>0.573218458185061</v>
      </c>
      <c r="R34" s="275">
        <f>IFERROR(R31/(R19+N(R20)),"")</f>
        <v>0.642736020617834</v>
      </c>
      <c r="S34" s="274">
        <f>IFERROR(S31/(S19+N(S20)),"")</f>
        <v>0.609652313582508</v>
      </c>
      <c r="T34" s="274">
        <f>IFERROR(T31/(T19+N(T20)),"")</f>
        <v>0.565103488289483</v>
      </c>
      <c r="U34" s="274">
        <f>IFERROR(U31/(U19+N(U20)),"")</f>
        <v>0.552245620600005</v>
      </c>
      <c r="V34" s="274">
        <f>IFERROR(V31/(V19+N(V20)),"")</f>
        <v>0.521161752680356</v>
      </c>
      <c r="W34" s="275">
        <f>IFERROR(W31/(W19+N(W20)),"")</f>
        <v>0.561910938051882</v>
      </c>
      <c r="X34" s="274">
        <f>IFERROR(X31/(X19+N(X20)),"")</f>
        <v>0.626586681362762</v>
      </c>
      <c r="Y34" s="274">
        <f>IFERROR(Y31/(Y19+N(Y20)),"")</f>
        <v>0.637192866395146</v>
      </c>
      <c r="Z34" s="274">
        <f>IFERROR(Z31/(Z19+N(Z20)),"")</f>
        <v>0.64308347071685</v>
      </c>
      <c r="AA34" s="274">
        <f>IFERROR(AA31/(AA19+N(AA20)),"")</f>
        <v>0.640949386873972</v>
      </c>
      <c r="AB34" s="275">
        <f>IFERROR(AB31/(AB19+N(AB20)),"")</f>
        <v>0.637194307044998</v>
      </c>
      <c r="AC34" s="274">
        <f>IFERROR(AC31/(AC19+N(AC20)),"")</f>
        <v>0.636590672253063</v>
      </c>
      <c r="AD34" s="274">
        <f>IFERROR(AD31/(AD19+N(AD20)),"")</f>
        <v>0.671375491215002</v>
      </c>
      <c r="AE34" s="274">
        <f>IFERROR(AE31/(AE19+N(AE20)),"")</f>
        <v>0.684534753449255</v>
      </c>
      <c r="AF34" s="274">
        <f>IFERROR(AF31/(AF19+N(AF20)),"")</f>
        <v>0.654675461761876</v>
      </c>
      <c r="AG34" s="275">
        <f>IFERROR(AG31/(AG19+N(AG20)),"")</f>
        <v>0.662134873549003</v>
      </c>
      <c r="AH34" s="275">
        <f>IFERROR(AH31/(AH19+N(AH20)),"")</f>
        <v>0.650138038417572</v>
      </c>
      <c r="AI34" s="275">
        <f>IFERROR(AI31/(AI19+N(AI20)),"")</f>
        <v>0.677352197536216</v>
      </c>
    </row>
    <row r="35">
      <c r="C35" s="14" t="inlineStr">
        <is>
          <t xml:space="preserve">   Margem EBITDA GTF</t>
        </is>
      </c>
      <c r="D35" s="274">
        <f>IFERROR(D32/D21,"")</f>
        <v>0.70876049651605</v>
      </c>
      <c r="E35" s="274">
        <f>IFERROR(E32/E21,"")</f>
        <v>0.787380845865309</v>
      </c>
      <c r="F35" s="274">
        <f>IFERROR(F32/F21,"")</f>
        <v>0.699314322659679</v>
      </c>
      <c r="G35" s="274">
        <f>IFERROR(G32/G21,"")</f>
        <v>0.642142600035995</v>
      </c>
      <c r="H35" s="275">
        <f>IFERROR(H32/H21,"")</f>
        <v>0.706995409294889</v>
      </c>
      <c r="I35" s="274">
        <f>IFERROR(I32/I21,"")</f>
        <v>0.645884056277309</v>
      </c>
      <c r="J35" s="274">
        <f>IFERROR(J32/J21,"")</f>
        <v>0.695528778585203</v>
      </c>
      <c r="K35" s="274">
        <f>IFERROR(K32/K21,"")</f>
        <v>0.708278166340861</v>
      </c>
      <c r="L35" s="274">
        <f>IFERROR(L32/L21,"")</f>
        <v>0.732914544742291</v>
      </c>
      <c r="M35" s="275">
        <f>IFERROR(M32/M21,"")</f>
        <v>0.705026900666988</v>
      </c>
      <c r="N35" s="274">
        <f>IFERROR(N32/N21,"")</f>
        <v>0.752364828337329</v>
      </c>
      <c r="O35" s="274">
        <f>IFERROR(O32/O21,"")</f>
        <v>0.755658310441207</v>
      </c>
      <c r="P35" s="274">
        <f>IFERROR(P32/P21,"")</f>
        <v>0.734469426573675</v>
      </c>
      <c r="Q35" s="274">
        <f>IFERROR(Q32/Q21,"")</f>
        <v>0.678253727367393</v>
      </c>
      <c r="R35" s="275">
        <f>IFERROR(R32/R21,"")</f>
        <v>0.727452252723642</v>
      </c>
      <c r="S35" s="274">
        <f>IFERROR(S32/S21,"")</f>
        <v>0.671176221626558</v>
      </c>
      <c r="T35" s="274">
        <f>IFERROR(T32/T21,"")</f>
        <v>0.737673990278582</v>
      </c>
      <c r="U35" s="274">
        <f>IFERROR(U32/U21,"")</f>
        <v>0.741598594445582</v>
      </c>
      <c r="V35" s="274">
        <f>IFERROR(V32/V21,"")</f>
        <v>0.727847603095543</v>
      </c>
      <c r="W35" s="275">
        <f>IFERROR(W32/W21,"")</f>
        <v>0.720475303646525</v>
      </c>
      <c r="X35" s="274">
        <f>IFERROR(X32/X21,"")</f>
        <v>0.743061397298686</v>
      </c>
      <c r="Y35" s="274">
        <f>IFERROR(Y32/Y21,"")</f>
        <v>0.759739511719277</v>
      </c>
      <c r="Z35" s="274">
        <f>IFERROR(Z32/Z21,"")</f>
        <v>0.759768929884071</v>
      </c>
      <c r="AA35" s="274">
        <f>IFERROR(AA32/AA21,"")</f>
        <v>0.725007208337927</v>
      </c>
      <c r="AB35" s="275">
        <f>IFERROR(AB32/AB21,"")</f>
        <v>0.746456328329636</v>
      </c>
      <c r="AC35" s="274">
        <f>IFERROR(AC32/AC21,"")</f>
        <v>0.761509734882161</v>
      </c>
      <c r="AD35" s="274">
        <f>IFERROR(AD32/AD21,"")</f>
        <v>0.760558543433118</v>
      </c>
      <c r="AE35" s="274">
        <f>IFERROR(AE32/AE21,"")</f>
        <v>0.765417165815453</v>
      </c>
      <c r="AF35" s="274">
        <f>IFERROR(AF32/AF21,"")</f>
        <v>0.749136372484217</v>
      </c>
      <c r="AG35" s="275">
        <f>IFERROR(AG32/AG21,"")</f>
        <v>0.758997104707263</v>
      </c>
      <c r="AH35" s="275">
        <f>IFERROR(AH32/AH21,"")</f>
        <v>0.756647735268205</v>
      </c>
      <c r="AI35" s="275">
        <f>IFERROR(AI32/AI21,"")</f>
        <v>0.778501334038368</v>
      </c>
    </row>
    <row r="36">
      <c r="C36" s="14" t="inlineStr">
        <is>
          <t xml:space="preserve">   Margem EBITDA Seminovos</t>
        </is>
      </c>
      <c r="D36" s="274">
        <f>IFERROR(D33/D23,"")</f>
        <v>0.0115540263841674</v>
      </c>
      <c r="E36" s="274">
        <f>IFERROR(E33/E23,"")</f>
        <v>0.0206093907694279</v>
      </c>
      <c r="F36" s="274">
        <f>IFERROR(F33/F23,"")</f>
        <v>0.0169739336677771</v>
      </c>
      <c r="G36" s="274">
        <f>IFERROR(G33/G23,"")</f>
        <v>0.116874833150946</v>
      </c>
      <c r="H36" s="275">
        <f>IFERROR(H33/H23,"")</f>
        <v>0.0369403402582041</v>
      </c>
      <c r="I36" s="274">
        <f>IFERROR(I33/I23,"")</f>
        <v>0.132155605740511</v>
      </c>
      <c r="J36" s="274">
        <f>IFERROR(J33/J23,"")</f>
        <v>0.178339371622023</v>
      </c>
      <c r="K36" s="274">
        <f>IFERROR(K33/K23,"")</f>
        <v>0.221638133124956</v>
      </c>
      <c r="L36" s="274">
        <f>IFERROR(L33/L23,"")</f>
        <v>0.224394554544162</v>
      </c>
      <c r="M36" s="275">
        <f>IFERROR(M33/M23,"")</f>
        <v>0.201844908532894</v>
      </c>
      <c r="N36" s="274">
        <f>IFERROR(N33/N23,"")</f>
        <v>0.209981494451416</v>
      </c>
      <c r="O36" s="274">
        <f>IFERROR(O33/O23,"")</f>
        <v>0.167042286765394</v>
      </c>
      <c r="P36" s="274">
        <f>IFERROR(P33/P23,"")</f>
        <v>0.0965593422705732</v>
      </c>
      <c r="Q36" s="274">
        <f>IFERROR(Q33/Q23,"")</f>
        <v>0.0751868938277864</v>
      </c>
      <c r="R36" s="275">
        <f>IFERROR(R33/R23,"")</f>
        <v>0.129850283981287</v>
      </c>
      <c r="S36" s="274">
        <f>IFERROR(S33/S23,"")</f>
        <v>0.0590290850823218</v>
      </c>
      <c r="T36" s="274">
        <f>IFERROR(T33/T23,"")</f>
        <v>0.0774537223283492</v>
      </c>
      <c r="U36" s="274">
        <f>IFERROR(U33/U23,"")</f>
        <v>0.0302804729630025</v>
      </c>
      <c r="V36" s="274">
        <f>IFERROR(V33/V23,"")</f>
        <v>0.031691141803256</v>
      </c>
      <c r="W36" s="275">
        <f>IFERROR(W33/W23,"")</f>
        <v>0.0498631955246949</v>
      </c>
      <c r="X36" s="274">
        <f>IFERROR(X33/X23,"")</f>
        <v>0.025313669381466</v>
      </c>
      <c r="Y36" s="274">
        <f>IFERROR(Y33/Y23,"")</f>
        <v>0.0135150663523603</v>
      </c>
      <c r="Z36" s="274">
        <f>IFERROR(Z33/Z23,"")</f>
        <v>0.0106879496801345</v>
      </c>
      <c r="AA36" s="274">
        <f>IFERROR(AA33/AA23,"")</f>
        <v>0.0116711275821838</v>
      </c>
      <c r="AB36" s="275">
        <f>IFERROR(AB33/AB23,"")</f>
        <v>0.0149153126977608</v>
      </c>
      <c r="AC36" s="274">
        <f>IFERROR(AC33/AC23,"")</f>
        <v>0.0107551769167112</v>
      </c>
      <c r="AD36" s="274">
        <f>IFERROR(AD33/AD23,"")</f>
        <v>0.0109948980448663</v>
      </c>
      <c r="AE36" s="274">
        <f>IFERROR(AE33/AE23,"")</f>
        <v>0.0105975336048195</v>
      </c>
      <c r="AF36" s="274">
        <f>IFERROR(AF33/AF23,"")</f>
        <v>0.00974927365649987</v>
      </c>
      <c r="AG36" s="275">
        <f>IFERROR(AG33/AG23,"")</f>
        <v>0.0105461120771628</v>
      </c>
      <c r="AH36" s="275">
        <f>IFERROR(AH33/AH23,"")</f>
        <v>0.0110330583239399</v>
      </c>
      <c r="AI36" s="275">
        <f>IFERROR(AI33/AI23,"")</f>
        <v>0.0106735970223254</v>
      </c>
    </row>
    <row r="37"/>
    <row r="38">
      <c r="C38" s="12" t="inlineStr">
        <is>
          <t>RAC - frota, diarias, ocupacao e diaria media (Op Data)</t>
        </is>
      </c>
      <c r="D38" s="12" t="str">
        <f>D7</f>
        <v>1Q20</v>
      </c>
      <c r="E38" s="12" t="str">
        <f>E7</f>
        <v>2Q20</v>
      </c>
      <c r="F38" s="12" t="str">
        <f>F7</f>
        <v>3Q20</v>
      </c>
      <c r="G38" s="12" t="str">
        <f>G7</f>
        <v>4Q20</v>
      </c>
      <c r="H38" s="12">
        <f>H7</f>
        <v>2020</v>
      </c>
      <c r="I38" s="12" t="str">
        <f>I7</f>
        <v>1Q21</v>
      </c>
      <c r="J38" s="12" t="str">
        <f>J7</f>
        <v>2Q21</v>
      </c>
      <c r="K38" s="12" t="str">
        <f>K7</f>
        <v>3Q21</v>
      </c>
      <c r="L38" s="12" t="str">
        <f>L7</f>
        <v>4Q21</v>
      </c>
      <c r="M38" s="12">
        <f>M7</f>
        <v>2021</v>
      </c>
      <c r="N38" s="12" t="str">
        <f>N7</f>
        <v>1Q22</v>
      </c>
      <c r="O38" s="12" t="str">
        <f>O7</f>
        <v>2Q22</v>
      </c>
      <c r="P38" s="12" t="str">
        <f>P7</f>
        <v>3Q22</v>
      </c>
      <c r="Q38" s="12" t="str">
        <f>Q7</f>
        <v>4Q22</v>
      </c>
      <c r="R38" s="12">
        <f>R7</f>
        <v>2022</v>
      </c>
      <c r="S38" s="12" t="str">
        <f>S7</f>
        <v>1Q23</v>
      </c>
      <c r="T38" s="12" t="str">
        <f>T7</f>
        <v>2Q23</v>
      </c>
      <c r="U38" s="12" t="str">
        <f>U7</f>
        <v>3Q23</v>
      </c>
      <c r="V38" s="12" t="str">
        <f>V7</f>
        <v>4Q23</v>
      </c>
      <c r="W38" s="12">
        <f>W7</f>
        <v>2023</v>
      </c>
      <c r="X38" s="12" t="str">
        <f>X7</f>
        <v>1Q24</v>
      </c>
      <c r="Y38" s="12" t="str">
        <f>Y7</f>
        <v>2Q24</v>
      </c>
      <c r="Z38" s="12" t="str">
        <f>Z7</f>
        <v>3Q24</v>
      </c>
      <c r="AA38" s="12" t="str">
        <f>AA7</f>
        <v>4Q24</v>
      </c>
      <c r="AB38" s="12">
        <f>AB7</f>
        <v>2024</v>
      </c>
      <c r="AC38" s="12" t="str">
        <f>AC7</f>
        <v>1Q25</v>
      </c>
      <c r="AD38" s="12" t="str">
        <f>AD7</f>
        <v>2Q25</v>
      </c>
      <c r="AE38" s="12" t="str">
        <f>AE7</f>
        <v>3Q25</v>
      </c>
      <c r="AF38" s="12" t="str">
        <f>AF7</f>
        <v>4Q25</v>
      </c>
      <c r="AG38" s="12">
        <f>AG7</f>
        <v>2025</v>
      </c>
      <c r="AH38" s="12" t="str">
        <f>AH7</f>
        <v>1Q26</v>
      </c>
      <c r="AI38" s="12" t="str">
        <f>AI7</f>
        <v>2Q26</v>
      </c>
    </row>
    <row r="39">
      <c r="C39" s="14" t="inlineStr">
        <is>
          <t>Frota RAC fim do periodo (mil carros)</t>
        </is>
      </c>
      <c r="D39" s="271">
        <f>IFERROR(IFERROR(INDEX('Inputs (2)'!$D$60:$AL$60,MATCH(D$7,'Inputs (2)'!$D$2:$AL$2,0)),"")/1000,"")</f>
        <v>78.22</v>
      </c>
      <c r="E39" s="271">
        <f>IFERROR(IFERROR(INDEX('Inputs (2)'!$D$60:$AL$60,MATCH(E$7,'Inputs (2)'!$D$2:$AL$2,0)),"")/1000,"")</f>
        <v>66.025</v>
      </c>
      <c r="F39" s="271">
        <f>IFERROR(IFERROR(INDEX('Inputs (2)'!$D$60:$AL$60,MATCH(F$7,'Inputs (2)'!$D$2:$AL$2,0)),"")/1000,"")</f>
        <v>67.978</v>
      </c>
      <c r="G39" s="271">
        <f>IFERROR(IFERROR(INDEX('Inputs (2)'!$D$60:$AL$60,MATCH(G$7,'Inputs (2)'!$D$2:$AL$2,0)),"")/1000,"")</f>
        <v>71.219</v>
      </c>
      <c r="H39" s="272">
        <f>IF(COUNT(G39)=0,"",G39)</f>
        <v>71.219</v>
      </c>
      <c r="I39" s="271">
        <f>IFERROR(IFERROR(INDEX('Inputs (2)'!$D$60:$AL$60,MATCH(I$7,'Inputs (2)'!$D$2:$AL$2,0)),"")/1000,"")</f>
        <v>70.213</v>
      </c>
      <c r="J39" s="271">
        <f>IFERROR(IFERROR(INDEX('Inputs (2)'!$D$60:$AL$60,MATCH(J$7,'Inputs (2)'!$D$2:$AL$2,0)),"")/1000,"")</f>
        <v>78.453</v>
      </c>
      <c r="K39" s="271">
        <f>IFERROR(IFERROR(INDEX('Inputs (2)'!$D$60:$AL$60,MATCH(K$7,'Inputs (2)'!$D$2:$AL$2,0)),"")/1000,"")</f>
        <v>79.888</v>
      </c>
      <c r="L39" s="271">
        <f>IFERROR(IFERROR(INDEX('Inputs (2)'!$D$60:$AL$60,MATCH(L$7,'Inputs (2)'!$D$2:$AL$2,0)),"")/1000,"")</f>
        <v>90.671</v>
      </c>
      <c r="M39" s="272">
        <f>IF(COUNT(L39)=0,"",L39)</f>
        <v>90.671</v>
      </c>
      <c r="N39" s="271">
        <f>IFERROR(IFERROR(INDEX('Inputs (2)'!$D$60:$AL$60,MATCH(N$7,'Inputs (2)'!$D$2:$AL$2,0)),"")/1000,"")</f>
        <v>96.572</v>
      </c>
      <c r="O39" s="271">
        <f>IFERROR(IFERROR(INDEX('Inputs (2)'!$D$60:$AL$60,MATCH(O$7,'Inputs (2)'!$D$2:$AL$2,0)),"")/1000,"")</f>
        <v>100.403</v>
      </c>
      <c r="P39" s="271">
        <f>IFERROR(IFERROR(INDEX('Inputs (2)'!$D$60:$AL$60,MATCH(P$7,'Inputs (2)'!$D$2:$AL$2,0)),"")/1000,"")</f>
        <v>104.987</v>
      </c>
      <c r="Q39" s="271">
        <f>IFERROR(IFERROR(INDEX('Inputs (2)'!$D$60:$AL$60,MATCH(Q$7,'Inputs (2)'!$D$2:$AL$2,0)),"")/1000,"")</f>
        <v>111.632</v>
      </c>
      <c r="R39" s="272">
        <f>IF(COUNT(Q39)=0,"",Q39)</f>
        <v>111.632</v>
      </c>
      <c r="S39" s="271">
        <f>IFERROR(IFERROR(INDEX('Inputs (2)'!$D$60:$AL$60,MATCH(S$7,'Inputs (2)'!$D$2:$AL$2,0)),"")/1000,"")</f>
        <v>98.373</v>
      </c>
      <c r="T39" s="271">
        <f>IFERROR(IFERROR(INDEX('Inputs (2)'!$D$60:$AL$60,MATCH(T$7,'Inputs (2)'!$D$2:$AL$2,0)),"")/1000,"")</f>
        <v>91.632</v>
      </c>
      <c r="U39" s="271">
        <f>IFERROR(IFERROR(INDEX('Inputs (2)'!$D$60:$AL$60,MATCH(U$7,'Inputs (2)'!$D$2:$AL$2,0)),"")/1000,"")</f>
        <v>94.273</v>
      </c>
      <c r="V39" s="271">
        <f>IFERROR(IFERROR(INDEX('Inputs (2)'!$D$60:$AL$60,MATCH(V$7,'Inputs (2)'!$D$2:$AL$2,0)),"")/1000,"")</f>
        <v>113.15</v>
      </c>
      <c r="W39" s="272">
        <f>IF(COUNT(V39)=0,"",V39)</f>
        <v>113.15</v>
      </c>
      <c r="X39" s="271">
        <f>IFERROR(IFERROR(INDEX('Inputs (2)'!$D$60:$AL$60,MATCH(X$7,'Inputs (2)'!$D$2:$AL$2,0)),"")/1000,"")</f>
        <v>110.091</v>
      </c>
      <c r="Y39" s="271">
        <f>IFERROR(IFERROR(INDEX('Inputs (2)'!$D$60:$AL$60,MATCH(Y$7,'Inputs (2)'!$D$2:$AL$2,0)),"")/1000,"")</f>
        <v>108.716</v>
      </c>
      <c r="Z39" s="271">
        <f>IFERROR(IFERROR(INDEX('Inputs (2)'!$D$60:$AL$60,MATCH(Z$7,'Inputs (2)'!$D$2:$AL$2,0)),"")/1000,"")</f>
        <v>110.182</v>
      </c>
      <c r="AA39" s="271">
        <f>IFERROR(IFERROR(INDEX('Inputs (2)'!$D$60:$AL$60,MATCH(AA$7,'Inputs (2)'!$D$2:$AL$2,0)),"")/1000,"")</f>
        <v>121.942</v>
      </c>
      <c r="AB39" s="272">
        <f>IF(COUNT(AA39)=0,"",AA39)</f>
        <v>121.942</v>
      </c>
      <c r="AC39" s="271">
        <f>IFERROR(IFERROR(INDEX('Inputs (2)'!$D$60:$AL$60,MATCH(AC$7,'Inputs (2)'!$D$2:$AL$2,0)),"")/1000,"")</f>
        <v>113.257</v>
      </c>
      <c r="AD39" s="271">
        <f>IFERROR(IFERROR(INDEX('Inputs (2)'!$D$60:$AL$60,MATCH(AD$7,'Inputs (2)'!$D$2:$AL$2,0)),"")/1000,"")</f>
        <v>120.133</v>
      </c>
      <c r="AE39" s="271">
        <f>IFERROR(IFERROR(INDEX('Inputs (2)'!$D$60:$AL$60,MATCH(AE$7,'Inputs (2)'!$D$2:$AL$2,0)),"")/1000,"")</f>
        <v>115.498</v>
      </c>
      <c r="AF39" s="271">
        <f>IFERROR(IFERROR(INDEX('Inputs (2)'!$D$60:$AL$60,MATCH(AF$7,'Inputs (2)'!$D$2:$AL$2,0)),"")/1000,"")</f>
        <v>130.634</v>
      </c>
      <c r="AG39" s="272">
        <f>IF(COUNT(AF39)=0,"",AF39)</f>
        <v>130.634</v>
      </c>
      <c r="AH39" s="272">
        <f>IFERROR(IFERROR(INDEX('Inputs (2)'!$D$60:$AL$60,MATCH(AH$7,'Inputs (2)'!$D$2:$AL$2,0)),"")/1000,"")</f>
        <v>125.307</v>
      </c>
      <c r="AI39" s="272">
        <f>IFERROR(IFERROR(INDEX('Inputs (2)'!$D$60:$AL$60,MATCH(AI$7,'Inputs (2)'!$D$2:$AL$2,0)),"")/1000,"")</f>
        <v>139.785</v>
      </c>
    </row>
    <row r="40">
      <c r="C40" s="14" t="inlineStr">
        <is>
          <t xml:space="preserve">   Frota media operacional Brasil (mil)</t>
        </is>
      </c>
      <c r="D40" s="271">
        <f>IFERROR(IFERROR(INDEX('Inputs (2)'!$D$61:$AL$61,MATCH(D$7,'Inputs (2)'!$D$2:$AL$2,0)),"")/1000,"")</f>
        <v>64.923505</v>
      </c>
      <c r="E40" s="271">
        <f>IFERROR(IFERROR(INDEX('Inputs (2)'!$D$61:$AL$61,MATCH(E$7,'Inputs (2)'!$D$2:$AL$2,0)),"")/1000,"")</f>
        <v>50.952352</v>
      </c>
      <c r="F40" s="271">
        <f>IFERROR(IFERROR(INDEX('Inputs (2)'!$D$61:$AL$61,MATCH(F$7,'Inputs (2)'!$D$2:$AL$2,0)),"")/1000,"")</f>
        <v>56.268902</v>
      </c>
      <c r="G40" s="271">
        <f>IFERROR(IFERROR(INDEX('Inputs (2)'!$D$61:$AL$61,MATCH(G$7,'Inputs (2)'!$D$2:$AL$2,0)),"")/1000,"")</f>
        <v>59.81063</v>
      </c>
      <c r="H40" s="272" t="n"/>
      <c r="I40" s="271">
        <f>IFERROR(IFERROR(INDEX('Inputs (2)'!$D$61:$AL$61,MATCH(I$7,'Inputs (2)'!$D$2:$AL$2,0)),"")/1000,"")</f>
        <v>64.795778</v>
      </c>
      <c r="J40" s="271">
        <f>IFERROR(IFERROR(INDEX('Inputs (2)'!$D$61:$AL$61,MATCH(J$7,'Inputs (2)'!$D$2:$AL$2,0)),"")/1000,"")</f>
        <v>63.654352</v>
      </c>
      <c r="K40" s="271">
        <f>IFERROR(IFERROR(INDEX('Inputs (2)'!$D$61:$AL$61,MATCH(K$7,'Inputs (2)'!$D$2:$AL$2,0)),"")/1000,"")</f>
        <v>67.380652</v>
      </c>
      <c r="L40" s="271">
        <f>IFERROR(IFERROR(INDEX('Inputs (2)'!$D$61:$AL$61,MATCH(L$7,'Inputs (2)'!$D$2:$AL$2,0)),"")/1000,"")</f>
        <v>70.538359</v>
      </c>
      <c r="M40" s="272" t="n"/>
      <c r="N40" s="271">
        <f>IFERROR(IFERROR(INDEX('Inputs (2)'!$D$61:$AL$61,MATCH(N$7,'Inputs (2)'!$D$2:$AL$2,0)),"")/1000,"")</f>
        <v>75.286</v>
      </c>
      <c r="O40" s="271">
        <f>IFERROR(IFERROR(INDEX('Inputs (2)'!$D$61:$AL$61,MATCH(O$7,'Inputs (2)'!$D$2:$AL$2,0)),"")/1000,"")</f>
        <v>80.205</v>
      </c>
      <c r="P40" s="271">
        <f>IFERROR(IFERROR(INDEX('Inputs (2)'!$D$61:$AL$61,MATCH(P$7,'Inputs (2)'!$D$2:$AL$2,0)),"")/1000,"")</f>
        <v>85.151</v>
      </c>
      <c r="Q40" s="271">
        <f>IFERROR(IFERROR(INDEX('Inputs (2)'!$D$61:$AL$61,MATCH(Q$7,'Inputs (2)'!$D$2:$AL$2,0)),"")/1000,"")</f>
        <v>90.852</v>
      </c>
      <c r="R40" s="272" t="n"/>
      <c r="S40" s="271">
        <f>IFERROR(IFERROR(INDEX('Inputs (2)'!$D$61:$AL$61,MATCH(S$7,'Inputs (2)'!$D$2:$AL$2,0)),"")/1000,"")</f>
        <v>88.866199</v>
      </c>
      <c r="T40" s="271">
        <f>IFERROR(IFERROR(INDEX('Inputs (2)'!$D$61:$AL$61,MATCH(T$7,'Inputs (2)'!$D$2:$AL$2,0)),"")/1000,"")</f>
        <v>82.491</v>
      </c>
      <c r="U40" s="271">
        <f>IFERROR(IFERROR(INDEX('Inputs (2)'!$D$61:$AL$61,MATCH(U$7,'Inputs (2)'!$D$2:$AL$2,0)),"")/1000,"")</f>
        <v>79.085543</v>
      </c>
      <c r="V40" s="271">
        <f>IFERROR(IFERROR(INDEX('Inputs (2)'!$D$61:$AL$61,MATCH(V$7,'Inputs (2)'!$D$2:$AL$2,0)),"")/1000,"")</f>
        <v>81.070652</v>
      </c>
      <c r="W40" s="272" t="n"/>
      <c r="X40" s="271">
        <f>IFERROR(IFERROR(INDEX('Inputs (2)'!$D$61:$AL$61,MATCH(X$7,'Inputs (2)'!$D$2:$AL$2,0)),"")/1000,"")</f>
        <v>89.703462</v>
      </c>
      <c r="Y40" s="271">
        <f>IFERROR(IFERROR(INDEX('Inputs (2)'!$D$61:$AL$61,MATCH(Y$7,'Inputs (2)'!$D$2:$AL$2,0)),"")/1000,"")</f>
        <v>90.071198</v>
      </c>
      <c r="Z40" s="271">
        <f>IFERROR(IFERROR(INDEX('Inputs (2)'!$D$61:$AL$61,MATCH(Z$7,'Inputs (2)'!$D$2:$AL$2,0)),"")/1000,"")</f>
        <v>87.264217</v>
      </c>
      <c r="AA40" s="271">
        <f>IFERROR(IFERROR(INDEX('Inputs (2)'!$D$61:$AL$61,MATCH(AA$7,'Inputs (2)'!$D$2:$AL$2,0)),"")/1000,"")</f>
        <v>88.526512</v>
      </c>
      <c r="AB40" s="272" t="n"/>
      <c r="AC40" s="271">
        <f>IFERROR(IFERROR(INDEX('Inputs (2)'!$D$61:$AL$61,MATCH(AC$7,'Inputs (2)'!$D$2:$AL$2,0)),"")/1000,"")</f>
        <v>95.0972</v>
      </c>
      <c r="AD40" s="271">
        <f>IFERROR(IFERROR(INDEX('Inputs (2)'!$D$61:$AL$61,MATCH(AD$7,'Inputs (2)'!$D$2:$AL$2,0)),"")/1000,"")</f>
        <v>91.009044</v>
      </c>
      <c r="AE40" s="271">
        <f>IFERROR(IFERROR(INDEX('Inputs (2)'!$D$61:$AL$61,MATCH(AE$7,'Inputs (2)'!$D$2:$AL$2,0)),"")/1000,"")</f>
        <v>92.381456</v>
      </c>
      <c r="AF40" s="271">
        <f>IFERROR(IFERROR(INDEX('Inputs (2)'!$D$61:$AL$61,MATCH(AF$7,'Inputs (2)'!$D$2:$AL$2,0)),"")/1000,"")</f>
        <v>96.6593292019581</v>
      </c>
      <c r="AG40" s="272" t="n"/>
      <c r="AH40" s="272">
        <f>IFERROR(IFERROR(INDEX('Inputs (2)'!$D$61:$AL$61,MATCH(AH$7,'Inputs (2)'!$D$2:$AL$2,0)),"")/1000,"")</f>
        <v>102.753805592588</v>
      </c>
      <c r="AI40" s="272">
        <f>IFERROR(IFERROR(INDEX('Inputs (2)'!$D$61:$AL$61,MATCH(AI$7,'Inputs (2)'!$D$2:$AL$2,0)),"")/1000,"")</f>
        <v>108.816420562521</v>
      </c>
    </row>
    <row r="41">
      <c r="C41" s="14" t="inlineStr">
        <is>
          <t xml:space="preserve">   Frota media alugada (mil)</t>
        </is>
      </c>
      <c r="D41" s="271">
        <f>IFERROR(IFERROR(INDEX('Inputs (2)'!$D$62:$AL$62,MATCH(D$7,'Inputs (2)'!$D$2:$AL$2,0)),"")/1000,"")</f>
        <v>48.798693</v>
      </c>
      <c r="E41" s="271">
        <f>IFERROR(IFERROR(INDEX('Inputs (2)'!$D$62:$AL$62,MATCH(E$7,'Inputs (2)'!$D$2:$AL$2,0)),"")/1000,"")</f>
        <v>37.161198</v>
      </c>
      <c r="F41" s="271">
        <f>IFERROR(IFERROR(INDEX('Inputs (2)'!$D$62:$AL$62,MATCH(F$7,'Inputs (2)'!$D$2:$AL$2,0)),"")/1000,"")</f>
        <v>46.517628</v>
      </c>
      <c r="G41" s="271">
        <f>IFERROR(IFERROR(INDEX('Inputs (2)'!$D$62:$AL$62,MATCH(G$7,'Inputs (2)'!$D$2:$AL$2,0)),"")/1000,"")</f>
        <v>50.502289</v>
      </c>
      <c r="H41" s="272" t="n"/>
      <c r="I41" s="271">
        <f>IFERROR(IFERROR(INDEX('Inputs (2)'!$D$62:$AL$62,MATCH(I$7,'Inputs (2)'!$D$2:$AL$2,0)),"")/1000,"")</f>
        <v>51.370093</v>
      </c>
      <c r="J41" s="271">
        <f>IFERROR(IFERROR(INDEX('Inputs (2)'!$D$62:$AL$62,MATCH(J$7,'Inputs (2)'!$D$2:$AL$2,0)),"")/1000,"")</f>
        <v>50.671055</v>
      </c>
      <c r="K41" s="271">
        <f>IFERROR(IFERROR(INDEX('Inputs (2)'!$D$62:$AL$62,MATCH(K$7,'Inputs (2)'!$D$2:$AL$2,0)),"")/1000,"")</f>
        <v>55.849469</v>
      </c>
      <c r="L41" s="271">
        <f>IFERROR(IFERROR(INDEX('Inputs (2)'!$D$62:$AL$62,MATCH(L$7,'Inputs (2)'!$D$2:$AL$2,0)),"")/1000,"")</f>
        <v>57.025126</v>
      </c>
      <c r="M41" s="272" t="n"/>
      <c r="N41" s="271">
        <f>IFERROR(IFERROR(INDEX('Inputs (2)'!$D$62:$AL$62,MATCH(N$7,'Inputs (2)'!$D$2:$AL$2,0)),"")/1000,"")</f>
        <v>57.280098</v>
      </c>
      <c r="O41" s="271">
        <f>IFERROR(IFERROR(INDEX('Inputs (2)'!$D$62:$AL$62,MATCH(O$7,'Inputs (2)'!$D$2:$AL$2,0)),"")/1000,"")</f>
        <v>63.642042</v>
      </c>
      <c r="P41" s="271">
        <f>IFERROR(IFERROR(INDEX('Inputs (2)'!$D$62:$AL$62,MATCH(P$7,'Inputs (2)'!$D$2:$AL$2,0)),"")/1000,"")</f>
        <v>65.726756</v>
      </c>
      <c r="Q41" s="271">
        <f>IFERROR(IFERROR(INDEX('Inputs (2)'!$D$62:$AL$62,MATCH(Q$7,'Inputs (2)'!$D$2:$AL$2,0)),"")/1000,"")</f>
        <v>69.565355</v>
      </c>
      <c r="R41" s="272" t="n"/>
      <c r="S41" s="271">
        <f>IFERROR(IFERROR(INDEX('Inputs (2)'!$D$62:$AL$62,MATCH(S$7,'Inputs (2)'!$D$2:$AL$2,0)),"")/1000,"")</f>
        <v>69.616243</v>
      </c>
      <c r="T41" s="271">
        <f>IFERROR(IFERROR(INDEX('Inputs (2)'!$D$62:$AL$62,MATCH(T$7,'Inputs (2)'!$D$2:$AL$2,0)),"")/1000,"")</f>
        <v>64.568</v>
      </c>
      <c r="U41" s="271">
        <f>IFERROR(IFERROR(INDEX('Inputs (2)'!$D$62:$AL$62,MATCH(U$7,'Inputs (2)'!$D$2:$AL$2,0)),"")/1000,"")</f>
        <v>64.181696</v>
      </c>
      <c r="V41" s="271">
        <f>IFERROR(IFERROR(INDEX('Inputs (2)'!$D$62:$AL$62,MATCH(V$7,'Inputs (2)'!$D$2:$AL$2,0)),"")/1000,"")</f>
        <v>66.467207</v>
      </c>
      <c r="W41" s="272" t="n"/>
      <c r="X41" s="271">
        <f>IFERROR(IFERROR(INDEX('Inputs (2)'!$D$62:$AL$62,MATCH(X$7,'Inputs (2)'!$D$2:$AL$2,0)),"")/1000,"")</f>
        <v>71.924826</v>
      </c>
      <c r="Y41" s="271">
        <f>IFERROR(IFERROR(INDEX('Inputs (2)'!$D$62:$AL$62,MATCH(Y$7,'Inputs (2)'!$D$2:$AL$2,0)),"")/1000,"")</f>
        <v>70.369758</v>
      </c>
      <c r="Z41" s="271">
        <f>IFERROR(IFERROR(INDEX('Inputs (2)'!$D$62:$AL$62,MATCH(Z$7,'Inputs (2)'!$D$2:$AL$2,0)),"")/1000,"")</f>
        <v>68.114141</v>
      </c>
      <c r="AA41" s="271">
        <f>IFERROR(IFERROR(INDEX('Inputs (2)'!$D$62:$AL$62,MATCH(AA$7,'Inputs (2)'!$D$2:$AL$2,0)),"")/1000,"")</f>
        <v>66.296152</v>
      </c>
      <c r="AB41" s="272" t="n"/>
      <c r="AC41" s="271">
        <f>IFERROR(IFERROR(INDEX('Inputs (2)'!$D$62:$AL$62,MATCH(AC$7,'Inputs (2)'!$D$2:$AL$2,0)),"")/1000,"")</f>
        <v>68.2299</v>
      </c>
      <c r="AD41" s="271">
        <f>IFERROR(IFERROR(INDEX('Inputs (2)'!$D$62:$AL$62,MATCH(AD$7,'Inputs (2)'!$D$2:$AL$2,0)),"")/1000,"")</f>
        <v>67.397041</v>
      </c>
      <c r="AE41" s="271">
        <f>IFERROR(IFERROR(INDEX('Inputs (2)'!$D$62:$AL$62,MATCH(AE$7,'Inputs (2)'!$D$2:$AL$2,0)),"")/1000,"")</f>
        <v>66.285398</v>
      </c>
      <c r="AF41" s="271">
        <f>IFERROR(IFERROR(INDEX('Inputs (2)'!$D$62:$AL$62,MATCH(AF$7,'Inputs (2)'!$D$2:$AL$2,0)),"")/1000,"")</f>
        <v>73.3131930240878</v>
      </c>
      <c r="AG41" s="272" t="n"/>
      <c r="AH41" s="272">
        <f>IFERROR(IFERROR(INDEX('Inputs (2)'!$D$62:$AL$62,MATCH(AH$7,'Inputs (2)'!$D$2:$AL$2,0)),"")/1000,"")</f>
        <v>79.4116519921733</v>
      </c>
      <c r="AI41" s="272">
        <f>IFERROR(IFERROR(INDEX('Inputs (2)'!$D$62:$AL$62,MATCH(AI$7,'Inputs (2)'!$D$2:$AL$2,0)),"")/1000,"")</f>
        <v>82.9268632701926</v>
      </c>
    </row>
    <row r="42">
      <c r="C42" s="14" t="inlineStr">
        <is>
          <t>Numero de diarias (mil)</t>
        </is>
      </c>
      <c r="D42" s="276">
        <f>IFERROR(INDEX('Inputs (2)'!$D$63:$AL$63,MATCH(D$7,'Inputs (2)'!$D$2:$AL$2,0)),"")</f>
        <v>4419.568</v>
      </c>
      <c r="E42" s="276">
        <f>IFERROR(INDEX('Inputs (2)'!$D$63:$AL$63,MATCH(E$7,'Inputs (2)'!$D$2:$AL$2,0)),"")</f>
        <v>3462.499</v>
      </c>
      <c r="F42" s="276">
        <f>IFERROR(INDEX('Inputs (2)'!$D$63:$AL$63,MATCH(F$7,'Inputs (2)'!$D$2:$AL$2,0)),"")</f>
        <v>4330.12</v>
      </c>
      <c r="G42" s="276">
        <f>IFERROR(INDEX('Inputs (2)'!$D$63:$AL$63,MATCH(G$7,'Inputs (2)'!$D$2:$AL$2,0)),"")</f>
        <v>4822.77</v>
      </c>
      <c r="H42" s="277">
        <f>IF(COUNT(D42:G42)=4,SUM(D42:G42),"")</f>
        <v>17034.957</v>
      </c>
      <c r="I42" s="276">
        <f>IFERROR(INDEX('Inputs (2)'!$D$63:$AL$63,MATCH(I$7,'Inputs (2)'!$D$2:$AL$2,0)),"")</f>
        <v>5067.042</v>
      </c>
      <c r="J42" s="276">
        <f>IFERROR(INDEX('Inputs (2)'!$D$63:$AL$63,MATCH(J$7,'Inputs (2)'!$D$2:$AL$2,0)),"")</f>
        <v>4618.39</v>
      </c>
      <c r="K42" s="276">
        <f>IFERROR(INDEX('Inputs (2)'!$D$63:$AL$63,MATCH(K$7,'Inputs (2)'!$D$2:$AL$2,0)),"")</f>
        <v>5143.355</v>
      </c>
      <c r="L42" s="276">
        <f>IFERROR(INDEX('Inputs (2)'!$D$63:$AL$63,MATCH(L$7,'Inputs (2)'!$D$2:$AL$2,0)),"")</f>
        <v>5281.203</v>
      </c>
      <c r="M42" s="277">
        <f>IF(COUNT(I42:L42)=4,SUM(I42:L42),"")</f>
        <v>20109.99</v>
      </c>
      <c r="N42" s="276">
        <f>IFERROR(INDEX('Inputs (2)'!$D$63:$AL$63,MATCH(N$7,'Inputs (2)'!$D$2:$AL$2,0)),"")</f>
        <v>5224.573</v>
      </c>
      <c r="O42" s="276">
        <f>IFERROR(INDEX('Inputs (2)'!$D$63:$AL$63,MATCH(O$7,'Inputs (2)'!$D$2:$AL$2,0)),"")</f>
        <v>5677.49</v>
      </c>
      <c r="P42" s="276">
        <f>IFERROR(INDEX('Inputs (2)'!$D$63:$AL$63,MATCH(P$7,'Inputs (2)'!$D$2:$AL$2,0)),"")</f>
        <v>5888.846</v>
      </c>
      <c r="Q42" s="276">
        <f>IFERROR(INDEX('Inputs (2)'!$D$63:$AL$63,MATCH(Q$7,'Inputs (2)'!$D$2:$AL$2,0)),"")</f>
        <v>6111.338</v>
      </c>
      <c r="R42" s="277">
        <f>IF(COUNT(N42:Q42)=4,SUM(N42:Q42),"")</f>
        <v>22902.247</v>
      </c>
      <c r="S42" s="276">
        <f>IFERROR(INDEX('Inputs (2)'!$D$63:$AL$63,MATCH(S$7,'Inputs (2)'!$D$2:$AL$2,0)),"")</f>
        <v>6218.754</v>
      </c>
      <c r="T42" s="276">
        <f>IFERROR(INDEX('Inputs (2)'!$D$63:$AL$63,MATCH(T$7,'Inputs (2)'!$D$2:$AL$2,0)),"")</f>
        <v>5837.236</v>
      </c>
      <c r="U42" s="276">
        <f>IFERROR(INDEX('Inputs (2)'!$D$63:$AL$63,MATCH(U$7,'Inputs (2)'!$D$2:$AL$2,0)),"")</f>
        <v>5819.624</v>
      </c>
      <c r="V42" s="276">
        <f>IFERROR(INDEX('Inputs (2)'!$D$63:$AL$63,MATCH(V$7,'Inputs (2)'!$D$2:$AL$2,0)),"")</f>
        <v>5945.636</v>
      </c>
      <c r="W42" s="277">
        <f>IF(COUNT(S42:V42)=4,SUM(S42:V42),"")</f>
        <v>23821.25</v>
      </c>
      <c r="X42" s="276">
        <f>IFERROR(INDEX('Inputs (2)'!$D$63:$AL$63,MATCH(X$7,'Inputs (2)'!$D$2:$AL$2,0)),"")</f>
        <v>6414.484</v>
      </c>
      <c r="Y42" s="276">
        <f>IFERROR(INDEX('Inputs (2)'!$D$63:$AL$63,MATCH(Y$7,'Inputs (2)'!$D$2:$AL$2,0)),"")</f>
        <v>6200.041</v>
      </c>
      <c r="Z42" s="276">
        <f>IFERROR(INDEX('Inputs (2)'!$D$63:$AL$63,MATCH(Z$7,'Inputs (2)'!$D$2:$AL$2,0)),"")</f>
        <v>6004.671</v>
      </c>
      <c r="AA42" s="276">
        <f>IFERROR(INDEX('Inputs (2)'!$D$63:$AL$63,MATCH(AA$7,'Inputs (2)'!$D$2:$AL$2,0)),"")</f>
        <v>5958.805</v>
      </c>
      <c r="AB42" s="277">
        <f>IF(COUNT(X42:AA42)=4,SUM(X42:AA42),"")</f>
        <v>24578.001</v>
      </c>
      <c r="AC42" s="276">
        <f>IFERROR(INDEX('Inputs (2)'!$D$63:$AL$63,MATCH(AC$7,'Inputs (2)'!$D$2:$AL$2,0)),"")</f>
        <v>6026.629</v>
      </c>
      <c r="AD42" s="276">
        <f>IFERROR(INDEX('Inputs (2)'!$D$63:$AL$63,MATCH(AD$7,'Inputs (2)'!$D$2:$AL$2,0)),"")</f>
        <v>6070.355</v>
      </c>
      <c r="AE42" s="276">
        <f>IFERROR(INDEX('Inputs (2)'!$D$63:$AL$63,MATCH(AE$7,'Inputs (2)'!$D$2:$AL$2,0)),"")</f>
        <v>6084.784</v>
      </c>
      <c r="AF42" s="276">
        <f>IFERROR(INDEX('Inputs (2)'!$D$63:$AL$63,MATCH(AF$7,'Inputs (2)'!$D$2:$AL$2,0)),"")</f>
        <v>6688.82</v>
      </c>
      <c r="AG42" s="277">
        <f>IF(COUNT(AC42:AF42)=4,SUM(AC42:AF42),"")</f>
        <v>24870.588</v>
      </c>
      <c r="AH42" s="277">
        <f>IFERROR(INDEX('Inputs (2)'!$D$63:$AL$63,MATCH(AH$7,'Inputs (2)'!$D$2:$AL$2,0)),"")</f>
        <v>7085.31514955121</v>
      </c>
      <c r="AI42" s="277">
        <f>IFERROR(INDEX('Inputs (2)'!$D$63:$AL$63,MATCH(AI$7,'Inputs (2)'!$D$2:$AL$2,0)),"")</f>
        <v>7412.78699999912</v>
      </c>
    </row>
    <row r="43">
      <c r="C43" s="14" t="inlineStr">
        <is>
          <t>Taxa de ocupacao</t>
        </is>
      </c>
      <c r="D43" s="274">
        <f>IFERROR(INDEX('Inputs (2)'!$D$64:$AL$64,MATCH(D$7,'Inputs (2)'!$D$2:$AL$2,0)),"")</f>
        <v>0.752</v>
      </c>
      <c r="E43" s="274">
        <f>IFERROR(INDEX('Inputs (2)'!$D$64:$AL$64,MATCH(E$7,'Inputs (2)'!$D$2:$AL$2,0)),"")</f>
        <v>0.729</v>
      </c>
      <c r="F43" s="274">
        <f>IFERROR(INDEX('Inputs (2)'!$D$64:$AL$64,MATCH(F$7,'Inputs (2)'!$D$2:$AL$2,0)),"")</f>
        <v>0.827</v>
      </c>
      <c r="G43" s="274">
        <f>IFERROR(INDEX('Inputs (2)'!$D$64:$AL$64,MATCH(G$7,'Inputs (2)'!$D$2:$AL$2,0)),"")</f>
        <v>0.844</v>
      </c>
      <c r="H43" s="275" t="n"/>
      <c r="I43" s="274">
        <f>IFERROR(INDEX('Inputs (2)'!$D$64:$AL$64,MATCH(I$7,'Inputs (2)'!$D$2:$AL$2,0)),"")</f>
        <v>0.793</v>
      </c>
      <c r="J43" s="274">
        <f>IFERROR(INDEX('Inputs (2)'!$D$64:$AL$64,MATCH(J$7,'Inputs (2)'!$D$2:$AL$2,0)),"")</f>
        <v>0.796</v>
      </c>
      <c r="K43" s="274">
        <f>IFERROR(INDEX('Inputs (2)'!$D$64:$AL$64,MATCH(K$7,'Inputs (2)'!$D$2:$AL$2,0)),"")</f>
        <v>0.829</v>
      </c>
      <c r="L43" s="274">
        <f>IFERROR(INDEX('Inputs (2)'!$D$64:$AL$64,MATCH(L$7,'Inputs (2)'!$D$2:$AL$2,0)),"")</f>
        <v>0.808</v>
      </c>
      <c r="M43" s="275" t="n"/>
      <c r="N43" s="274">
        <f>IFERROR(INDEX('Inputs (2)'!$D$64:$AL$64,MATCH(N$7,'Inputs (2)'!$D$2:$AL$2,0)),"")</f>
        <v>0.761</v>
      </c>
      <c r="O43" s="274">
        <f>IFERROR(INDEX('Inputs (2)'!$D$64:$AL$64,MATCH(O$7,'Inputs (2)'!$D$2:$AL$2,0)),"")</f>
        <v>0.793</v>
      </c>
      <c r="P43" s="274">
        <f>IFERROR(INDEX('Inputs (2)'!$D$64:$AL$64,MATCH(P$7,'Inputs (2)'!$D$2:$AL$2,0)),"")</f>
        <v>0.772</v>
      </c>
      <c r="Q43" s="274">
        <f>IFERROR(INDEX('Inputs (2)'!$D$64:$AL$64,MATCH(Q$7,'Inputs (2)'!$D$2:$AL$2,0)),"")</f>
        <v>0.766</v>
      </c>
      <c r="R43" s="275" t="n"/>
      <c r="S43" s="274">
        <f>IFERROR(INDEX('Inputs (2)'!$D$64:$AL$64,MATCH(S$7,'Inputs (2)'!$D$2:$AL$2,0)),"")</f>
        <v>0.784</v>
      </c>
      <c r="T43" s="274">
        <f>IFERROR(INDEX('Inputs (2)'!$D$64:$AL$64,MATCH(T$7,'Inputs (2)'!$D$2:$AL$2,0)),"")</f>
        <v>0.783</v>
      </c>
      <c r="U43" s="274">
        <f>IFERROR(INDEX('Inputs (2)'!$D$64:$AL$64,MATCH(U$7,'Inputs (2)'!$D$2:$AL$2,0)),"")</f>
        <v>0.811</v>
      </c>
      <c r="V43" s="274">
        <f>IFERROR(INDEX('Inputs (2)'!$D$64:$AL$64,MATCH(V$7,'Inputs (2)'!$D$2:$AL$2,0)),"")</f>
        <v>0.82</v>
      </c>
      <c r="W43" s="275" t="n"/>
      <c r="X43" s="274">
        <f>IFERROR(INDEX('Inputs (2)'!$D$64:$AL$64,MATCH(X$7,'Inputs (2)'!$D$2:$AL$2,0)),"")</f>
        <v>0.802</v>
      </c>
      <c r="Y43" s="274">
        <f>IFERROR(INDEX('Inputs (2)'!$D$64:$AL$64,MATCH(Y$7,'Inputs (2)'!$D$2:$AL$2,0)),"")</f>
        <v>0.781</v>
      </c>
      <c r="Z43" s="274">
        <f>IFERROR(INDEX('Inputs (2)'!$D$64:$AL$64,MATCH(Z$7,'Inputs (2)'!$D$2:$AL$2,0)),"")</f>
        <v>0.781</v>
      </c>
      <c r="AA43" s="274">
        <f>IFERROR(INDEX('Inputs (2)'!$D$64:$AL$64,MATCH(AA$7,'Inputs (2)'!$D$2:$AL$2,0)),"")</f>
        <v>0.749</v>
      </c>
      <c r="AB43" s="275" t="n"/>
      <c r="AC43" s="274">
        <f>IFERROR(INDEX('Inputs (2)'!$D$64:$AL$64,MATCH(AC$7,'Inputs (2)'!$D$2:$AL$2,0)),"")</f>
        <v>0.717</v>
      </c>
      <c r="AD43" s="274">
        <f>IFERROR(INDEX('Inputs (2)'!$D$64:$AL$64,MATCH(AD$7,'Inputs (2)'!$D$2:$AL$2,0)),"")</f>
        <v>0.741</v>
      </c>
      <c r="AE43" s="274">
        <f>IFERROR(INDEX('Inputs (2)'!$D$64:$AL$64,MATCH(AE$7,'Inputs (2)'!$D$2:$AL$2,0)),"")</f>
        <v>0.718</v>
      </c>
      <c r="AF43" s="274">
        <f>IFERROR(INDEX('Inputs (2)'!$D$64:$AL$64,MATCH(AF$7,'Inputs (2)'!$D$2:$AL$2,0)),"")</f>
        <v>0.758469913141117</v>
      </c>
      <c r="AG43" s="275" t="n"/>
      <c r="AH43" s="275">
        <f>IFERROR(INDEX('Inputs (2)'!$D$64:$AL$64,MATCH(AH$7,'Inputs (2)'!$D$2:$AL$2,0)),"")</f>
        <v>0.772834169344879</v>
      </c>
      <c r="AI43" s="275">
        <f>IFERROR(INDEX('Inputs (2)'!$D$64:$AL$64,MATCH(AI$7,'Inputs (2)'!$D$2:$AL$2,0)),"")</f>
        <v>0.762080418024289</v>
      </c>
    </row>
    <row r="44">
      <c r="C44" s="14" t="inlineStr">
        <is>
          <t>Diaria media (R$)</t>
        </is>
      </c>
      <c r="D44" s="278">
        <f>IFERROR(INDEX('Inputs (2)'!$D$65:$AL$65,MATCH(D$7,'Inputs (2)'!$D$2:$AL$2,0)),"")</f>
        <v>83.427</v>
      </c>
      <c r="E44" s="278">
        <f>IFERROR(INDEX('Inputs (2)'!$D$65:$AL$65,MATCH(E$7,'Inputs (2)'!$D$2:$AL$2,0)),"")</f>
        <v>59.514</v>
      </c>
      <c r="F44" s="278">
        <f>IFERROR(INDEX('Inputs (2)'!$D$65:$AL$65,MATCH(F$7,'Inputs (2)'!$D$2:$AL$2,0)),"")</f>
        <v>70.337</v>
      </c>
      <c r="G44" s="278">
        <f>IFERROR(INDEX('Inputs (2)'!$D$65:$AL$65,MATCH(G$7,'Inputs (2)'!$D$2:$AL$2,0)),"")</f>
        <v>84.379</v>
      </c>
      <c r="H44" s="279" t="n"/>
      <c r="I44" s="278">
        <f>IFERROR(INDEX('Inputs (2)'!$D$65:$AL$65,MATCH(I$7,'Inputs (2)'!$D$2:$AL$2,0)),"")</f>
        <v>81.742</v>
      </c>
      <c r="J44" s="278">
        <f>IFERROR(INDEX('Inputs (2)'!$D$65:$AL$65,MATCH(J$7,'Inputs (2)'!$D$2:$AL$2,0)),"")</f>
        <v>84.087</v>
      </c>
      <c r="K44" s="278">
        <f>IFERROR(INDEX('Inputs (2)'!$D$65:$AL$65,MATCH(K$7,'Inputs (2)'!$D$2:$AL$2,0)),"")</f>
        <v>96.404</v>
      </c>
      <c r="L44" s="278">
        <f>IFERROR(INDEX('Inputs (2)'!$D$65:$AL$65,MATCH(L$7,'Inputs (2)'!$D$2:$AL$2,0)),"")</f>
        <v>118.614</v>
      </c>
      <c r="M44" s="279" t="n"/>
      <c r="N44" s="278">
        <f>IFERROR(INDEX('Inputs (2)'!$D$65:$AL$65,MATCH(N$7,'Inputs (2)'!$D$2:$AL$2,0)),"")</f>
        <v>118.61</v>
      </c>
      <c r="O44" s="278">
        <f>IFERROR(INDEX('Inputs (2)'!$D$65:$AL$65,MATCH(O$7,'Inputs (2)'!$D$2:$AL$2,0)),"")</f>
        <v>115.745</v>
      </c>
      <c r="P44" s="278">
        <f>IFERROR(INDEX('Inputs (2)'!$D$65:$AL$65,MATCH(P$7,'Inputs (2)'!$D$2:$AL$2,0)),"")</f>
        <v>128.557</v>
      </c>
      <c r="Q44" s="278">
        <f>IFERROR(INDEX('Inputs (2)'!$D$65:$AL$65,MATCH(Q$7,'Inputs (2)'!$D$2:$AL$2,0)),"")</f>
        <v>127.297</v>
      </c>
      <c r="R44" s="279" t="n"/>
      <c r="S44" s="278">
        <f>IFERROR(INDEX('Inputs (2)'!$D$65:$AL$65,MATCH(S$7,'Inputs (2)'!$D$2:$AL$2,0)),"")</f>
        <v>126.002</v>
      </c>
      <c r="T44" s="278">
        <f>IFERROR(INDEX('Inputs (2)'!$D$65:$AL$65,MATCH(T$7,'Inputs (2)'!$D$2:$AL$2,0)),"")</f>
        <v>123.362</v>
      </c>
      <c r="U44" s="278">
        <f>IFERROR(INDEX('Inputs (2)'!$D$65:$AL$65,MATCH(U$7,'Inputs (2)'!$D$2:$AL$2,0)),"")</f>
        <v>124.524</v>
      </c>
      <c r="V44" s="278">
        <f>IFERROR(INDEX('Inputs (2)'!$D$65:$AL$65,MATCH(V$7,'Inputs (2)'!$D$2:$AL$2,0)),"")</f>
        <v>126.1</v>
      </c>
      <c r="W44" s="279" t="n"/>
      <c r="X44" s="278">
        <f>IFERROR(INDEX('Inputs (2)'!$D$65:$AL$65,MATCH(X$7,'Inputs (2)'!$D$2:$AL$2,0)),"")</f>
        <v>130.299</v>
      </c>
      <c r="Y44" s="278">
        <f>IFERROR(INDEX('Inputs (2)'!$D$65:$AL$65,MATCH(Y$7,'Inputs (2)'!$D$2:$AL$2,0)),"")</f>
        <v>134.541</v>
      </c>
      <c r="Z44" s="278">
        <f>IFERROR(INDEX('Inputs (2)'!$D$65:$AL$65,MATCH(Z$7,'Inputs (2)'!$D$2:$AL$2,0)),"")</f>
        <v>142.036</v>
      </c>
      <c r="AA44" s="278">
        <f>IFERROR(INDEX('Inputs (2)'!$D$65:$AL$65,MATCH(AA$7,'Inputs (2)'!$D$2:$AL$2,0)),"")</f>
        <v>150.723</v>
      </c>
      <c r="AB44" s="279" t="n"/>
      <c r="AC44" s="278">
        <f>IFERROR(INDEX('Inputs (2)'!$D$65:$AL$65,MATCH(AC$7,'Inputs (2)'!$D$2:$AL$2,0)),"")</f>
        <v>158.045</v>
      </c>
      <c r="AD44" s="278">
        <f>IFERROR(INDEX('Inputs (2)'!$D$65:$AL$65,MATCH(AD$7,'Inputs (2)'!$D$2:$AL$2,0)),"")</f>
        <v>154.171</v>
      </c>
      <c r="AE44" s="278">
        <f>IFERROR(INDEX('Inputs (2)'!$D$65:$AL$65,MATCH(AE$7,'Inputs (2)'!$D$2:$AL$2,0)),"")</f>
        <v>159.266</v>
      </c>
      <c r="AF44" s="278">
        <f>IFERROR(INDEX('Inputs (2)'!$D$65:$AL$65,MATCH(AF$7,'Inputs (2)'!$D$2:$AL$2,0)),"")</f>
        <v>160.587855709724</v>
      </c>
      <c r="AG44" s="279" t="n"/>
      <c r="AH44" s="279">
        <f>IFERROR(INDEX('Inputs (2)'!$D$65:$AL$65,MATCH(AH$7,'Inputs (2)'!$D$2:$AL$2,0)),"")</f>
        <v>168.451826807674</v>
      </c>
      <c r="AI44" s="279">
        <f>IFERROR(INDEX('Inputs (2)'!$D$65:$AL$65,MATCH(AI$7,'Inputs (2)'!$D$2:$AL$2,0)),"")</f>
        <v>164.725592338976</v>
      </c>
    </row>
    <row r="45">
      <c r="C45" s="14" t="inlineStr">
        <is>
          <t>Receita media mensal por carro operacional (R$)</t>
        </is>
      </c>
      <c r="D45" s="276">
        <f>IFERROR(INDEX('Inputs (2)'!$D$66:$AL$66,MATCH(D$7,'Inputs (2)'!$D$2:$AL$2,0)),"")</f>
        <v>1720.077</v>
      </c>
      <c r="E45" s="276">
        <f>IFERROR(INDEX('Inputs (2)'!$D$66:$AL$66,MATCH(E$7,'Inputs (2)'!$D$2:$AL$2,0)),"")</f>
        <v>1218.369</v>
      </c>
      <c r="F45" s="276">
        <f>IFERROR(INDEX('Inputs (2)'!$D$66:$AL$66,MATCH(F$7,'Inputs (2)'!$D$2:$AL$2,0)),"")</f>
        <v>1648.088</v>
      </c>
      <c r="G45" s="276">
        <f>IFERROR(INDEX('Inputs (2)'!$D$66:$AL$66,MATCH(G$7,'Inputs (2)'!$D$2:$AL$2,0)),"")</f>
        <v>2113.944</v>
      </c>
      <c r="H45" s="277" t="n"/>
      <c r="I45" s="276">
        <f>IFERROR(INDEX('Inputs (2)'!$D$66:$AL$66,MATCH(I$7,'Inputs (2)'!$D$2:$AL$2,0)),"")</f>
        <v>1926.167</v>
      </c>
      <c r="J45" s="276">
        <f>IFERROR(INDEX('Inputs (2)'!$D$66:$AL$66,MATCH(J$7,'Inputs (2)'!$D$2:$AL$2,0)),"")</f>
        <v>1838.986</v>
      </c>
      <c r="K45" s="276">
        <f>IFERROR(INDEX('Inputs (2)'!$D$66:$AL$66,MATCH(K$7,'Inputs (2)'!$D$2:$AL$2,0)),"")</f>
        <v>2237.514</v>
      </c>
      <c r="L45" s="276">
        <f>IFERROR(INDEX('Inputs (2)'!$D$66:$AL$66,MATCH(L$7,'Inputs (2)'!$D$2:$AL$2,0)),"")</f>
        <v>2769.63</v>
      </c>
      <c r="M45" s="277" t="n"/>
      <c r="N45" s="276">
        <f>IFERROR(INDEX('Inputs (2)'!$D$66:$AL$66,MATCH(N$7,'Inputs (2)'!$D$2:$AL$2,0)),"")</f>
        <v>2743.698</v>
      </c>
      <c r="O45" s="276">
        <f>IFERROR(INDEX('Inputs (2)'!$D$66:$AL$66,MATCH(O$7,'Inputs (2)'!$D$2:$AL$2,0)),"")</f>
        <v>2731.097</v>
      </c>
      <c r="P45" s="276">
        <f>IFERROR(INDEX('Inputs (2)'!$D$66:$AL$66,MATCH(P$7,'Inputs (2)'!$D$2:$AL$2,0)),"")</f>
        <v>2963.558</v>
      </c>
      <c r="Q45" s="276">
        <f>IFERROR(INDEX('Inputs (2)'!$D$66:$AL$66,MATCH(Q$7,'Inputs (2)'!$D$2:$AL$2,0)),"")</f>
        <v>2854.288</v>
      </c>
      <c r="R45" s="277" t="n"/>
      <c r="S45" s="276">
        <f>IFERROR(INDEX('Inputs (2)'!$D$66:$AL$66,MATCH(S$7,'Inputs (2)'!$D$2:$AL$2,0)),"")</f>
        <v>2939.168</v>
      </c>
      <c r="T45" s="276">
        <f>IFERROR(INDEX('Inputs (2)'!$D$66:$AL$66,MATCH(T$7,'Inputs (2)'!$D$2:$AL$2,0)),"")</f>
        <v>2909.796</v>
      </c>
      <c r="U45" s="276">
        <f>IFERROR(INDEX('Inputs (2)'!$D$66:$AL$66,MATCH(U$7,'Inputs (2)'!$D$2:$AL$2,0)),"")</f>
        <v>3054.435</v>
      </c>
      <c r="V45" s="276">
        <f>IFERROR(INDEX('Inputs (2)'!$D$66:$AL$66,MATCH(V$7,'Inputs (2)'!$D$2:$AL$2,0)),"")</f>
        <v>3082.674</v>
      </c>
      <c r="W45" s="277" t="n"/>
      <c r="X45" s="276">
        <f>IFERROR(INDEX('Inputs (2)'!$D$66:$AL$66,MATCH(X$7,'Inputs (2)'!$D$2:$AL$2,0)),"")</f>
        <v>3105.783</v>
      </c>
      <c r="Y45" s="276">
        <f>IFERROR(INDEX('Inputs (2)'!$D$66:$AL$66,MATCH(Y$7,'Inputs (2)'!$D$2:$AL$2,0)),"")</f>
        <v>3087.035</v>
      </c>
      <c r="Z45" s="276">
        <f>IFERROR(INDEX('Inputs (2)'!$D$66:$AL$66,MATCH(Z$7,'Inputs (2)'!$D$2:$AL$2,0)),"")</f>
        <v>3257.833</v>
      </c>
      <c r="AA45" s="276">
        <f>IFERROR(INDEX('Inputs (2)'!$D$66:$AL$66,MATCH(AA$7,'Inputs (2)'!$D$2:$AL$2,0)),"")</f>
        <v>3381.404</v>
      </c>
      <c r="AB45" s="277" t="n"/>
      <c r="AC45" s="276">
        <f>IFERROR(INDEX('Inputs (2)'!$D$66:$AL$66,MATCH(AC$7,'Inputs (2)'!$D$2:$AL$2,0)),"")</f>
        <v>3338.611</v>
      </c>
      <c r="AD45" s="276">
        <f>IFERROR(INDEX('Inputs (2)'!$D$66:$AL$66,MATCH(AD$7,'Inputs (2)'!$D$2:$AL$2,0)),"")</f>
        <v>3427.762</v>
      </c>
      <c r="AE45" s="276">
        <f>IFERROR(INDEX('Inputs (2)'!$D$66:$AL$66,MATCH(AE$7,'Inputs (2)'!$D$2:$AL$2,0)),"")</f>
        <v>3496.733</v>
      </c>
      <c r="AF45" s="276">
        <f>IFERROR(INDEX('Inputs (2)'!$D$66:$AL$66,MATCH(AF$7,'Inputs (2)'!$D$2:$AL$2,0)),"")</f>
        <v>3704.22344777511</v>
      </c>
      <c r="AG45" s="277" t="n"/>
      <c r="AH45" s="277">
        <f>IFERROR(INDEX('Inputs (2)'!$D$66:$AL$66,MATCH(AH$7,'Inputs (2)'!$D$2:$AL$2,0)),"")</f>
        <v>3871.82506628925</v>
      </c>
      <c r="AI45" s="277">
        <f>IFERROR(INDEX('Inputs (2)'!$D$66:$AL$66,MATCH(AI$7,'Inputs (2)'!$D$2:$AL$2,0)),"")</f>
        <v>3740.4763090755</v>
      </c>
    </row>
    <row r="46">
      <c r="C46" s="14" t="inlineStr">
        <is>
          <t xml:space="preserve">   Receita RAC Brasil / diarias (R$ por diaria, implicito)</t>
        </is>
      </c>
      <c r="D46" s="278">
        <f>IFERROR(D19/D42*1000,"")</f>
        <v>66.7026732024487</v>
      </c>
      <c r="E46" s="278">
        <f>IFERROR(E19/E42*1000,"")</f>
        <v>45.0498325053668</v>
      </c>
      <c r="F46" s="278">
        <f>IFERROR(F19/F42*1000,"")</f>
        <v>56.8051231836531</v>
      </c>
      <c r="G46" s="278">
        <f>IFERROR(G19/G42*1000,"")</f>
        <v>69.2438163130317</v>
      </c>
      <c r="H46" s="279">
        <f>IFERROR(H19/H42*1000,"")</f>
        <v>60.5051131036022</v>
      </c>
      <c r="I46" s="278">
        <f>IFERROR(I19/I42*1000,"")</f>
        <v>64.9270323790488</v>
      </c>
      <c r="J46" s="278">
        <f>IFERROR(J19/J42*1000,"")</f>
        <v>66.7529160594926</v>
      </c>
      <c r="K46" s="278">
        <f>IFERROR(K19/K42*1000,"")</f>
        <v>78.5088721272399</v>
      </c>
      <c r="L46" s="278">
        <f>IFERROR(L19/L42*1000,"")</f>
        <v>98.9490462684354</v>
      </c>
      <c r="M46" s="279">
        <f>IFERROR(M19/M42*1000,"")</f>
        <v>77.7547875458914</v>
      </c>
      <c r="N46" s="278">
        <f>IFERROR(N19/N42*1000,"")</f>
        <v>105.787018384086</v>
      </c>
      <c r="O46" s="278">
        <f>IFERROR(O19/O42*1000,"")</f>
        <v>103.070899288242</v>
      </c>
      <c r="P46" s="278">
        <f>IFERROR(P19/P42*1000,"")</f>
        <v>114.684439022518</v>
      </c>
      <c r="Q46" s="278">
        <f>IFERROR(Q19/Q42*1000,"")</f>
        <v>111.738705992043</v>
      </c>
      <c r="R46" s="279">
        <f>IFERROR(R19/R42*1000,"")</f>
        <v>108.989655032539</v>
      </c>
      <c r="S46" s="278">
        <f>IFERROR(S19/S42*1000,"")</f>
        <v>110.414079733657</v>
      </c>
      <c r="T46" s="278">
        <f>IFERROR(T19/T42*1000,"")</f>
        <v>110.697083345611</v>
      </c>
      <c r="U46" s="278">
        <f>IFERROR(U19/U42*1000,"")</f>
        <v>111.898122627854</v>
      </c>
      <c r="V46" s="278">
        <f>IFERROR(V19/V42*1000,"")</f>
        <v>113.528477020793</v>
      </c>
      <c r="W46" s="279">
        <f>IFERROR(W19/W42*1000,"")</f>
        <v>111.623319515139</v>
      </c>
      <c r="X46" s="278">
        <f>IFERROR(X19/X42*1000,"")</f>
        <v>117.197579727379</v>
      </c>
      <c r="Y46" s="278">
        <f>IFERROR(Y19/Y42*1000,"")</f>
        <v>120.732911282361</v>
      </c>
      <c r="Z46" s="278">
        <f>IFERROR(Z19/Z42*1000,"")</f>
        <v>127.362181874744</v>
      </c>
      <c r="AA46" s="278">
        <f>IFERROR(AA19/AA42*1000,"")</f>
        <v>135.685930316565</v>
      </c>
      <c r="AB46" s="279">
        <f>IFERROR(AB19/AB42*1000,"")</f>
        <v>125.055125516514</v>
      </c>
      <c r="AC46" s="278">
        <f>IFERROR(AC19/AC42*1000,"")</f>
        <v>142.597130170117</v>
      </c>
      <c r="AD46" s="278">
        <f>IFERROR(AD19/AD42*1000,"")</f>
        <v>138.921529301005</v>
      </c>
      <c r="AE46" s="278">
        <f>IFERROR(AE19/AE42*1000,"")</f>
        <v>143.64454021704</v>
      </c>
      <c r="AF46" s="278">
        <f>IFERROR(AF19/AF42*1000,"")</f>
        <v>144.849282563157</v>
      </c>
      <c r="AG46" s="279">
        <f>IFERROR(AG19/AG42*1000,"")</f>
        <v>142.56196026383</v>
      </c>
      <c r="AH46" s="279">
        <f>IFERROR(AH19/AH42*1000,"")</f>
        <v>151.880398249614</v>
      </c>
      <c r="AI46" s="279">
        <f>IFERROR(AI19/AI42*1000,"")</f>
        <v>148.353423787229</v>
      </c>
    </row>
    <row r="47"/>
    <row r="48">
      <c r="C48" s="12" t="inlineStr">
        <is>
          <t>GTF - frota e ticket (Op Data)</t>
        </is>
      </c>
      <c r="D48" s="12" t="str">
        <f>D7</f>
        <v>1Q20</v>
      </c>
      <c r="E48" s="12" t="str">
        <f>E7</f>
        <v>2Q20</v>
      </c>
      <c r="F48" s="12" t="str">
        <f>F7</f>
        <v>3Q20</v>
      </c>
      <c r="G48" s="12" t="str">
        <f>G7</f>
        <v>4Q20</v>
      </c>
      <c r="H48" s="12">
        <f>H7</f>
        <v>2020</v>
      </c>
      <c r="I48" s="12" t="str">
        <f>I7</f>
        <v>1Q21</v>
      </c>
      <c r="J48" s="12" t="str">
        <f>J7</f>
        <v>2Q21</v>
      </c>
      <c r="K48" s="12" t="str">
        <f>K7</f>
        <v>3Q21</v>
      </c>
      <c r="L48" s="12" t="str">
        <f>L7</f>
        <v>4Q21</v>
      </c>
      <c r="M48" s="12">
        <f>M7</f>
        <v>2021</v>
      </c>
      <c r="N48" s="12" t="str">
        <f>N7</f>
        <v>1Q22</v>
      </c>
      <c r="O48" s="12" t="str">
        <f>O7</f>
        <v>2Q22</v>
      </c>
      <c r="P48" s="12" t="str">
        <f>P7</f>
        <v>3Q22</v>
      </c>
      <c r="Q48" s="12" t="str">
        <f>Q7</f>
        <v>4Q22</v>
      </c>
      <c r="R48" s="12">
        <f>R7</f>
        <v>2022</v>
      </c>
      <c r="S48" s="12" t="str">
        <f>S7</f>
        <v>1Q23</v>
      </c>
      <c r="T48" s="12" t="str">
        <f>T7</f>
        <v>2Q23</v>
      </c>
      <c r="U48" s="12" t="str">
        <f>U7</f>
        <v>3Q23</v>
      </c>
      <c r="V48" s="12" t="str">
        <f>V7</f>
        <v>4Q23</v>
      </c>
      <c r="W48" s="12">
        <f>W7</f>
        <v>2023</v>
      </c>
      <c r="X48" s="12" t="str">
        <f>X7</f>
        <v>1Q24</v>
      </c>
      <c r="Y48" s="12" t="str">
        <f>Y7</f>
        <v>2Q24</v>
      </c>
      <c r="Z48" s="12" t="str">
        <f>Z7</f>
        <v>3Q24</v>
      </c>
      <c r="AA48" s="12" t="str">
        <f>AA7</f>
        <v>4Q24</v>
      </c>
      <c r="AB48" s="12">
        <f>AB7</f>
        <v>2024</v>
      </c>
      <c r="AC48" s="12" t="str">
        <f>AC7</f>
        <v>1Q25</v>
      </c>
      <c r="AD48" s="12" t="str">
        <f>AD7</f>
        <v>2Q25</v>
      </c>
      <c r="AE48" s="12" t="str">
        <f>AE7</f>
        <v>3Q25</v>
      </c>
      <c r="AF48" s="12" t="str">
        <f>AF7</f>
        <v>4Q25</v>
      </c>
      <c r="AG48" s="12">
        <f>AG7</f>
        <v>2025</v>
      </c>
      <c r="AH48" s="12" t="str">
        <f>AH7</f>
        <v>1Q26</v>
      </c>
      <c r="AI48" s="12" t="str">
        <f>AI7</f>
        <v>2Q26</v>
      </c>
    </row>
    <row r="49">
      <c r="C49" s="14" t="inlineStr">
        <is>
          <t>Frota GTF fim do periodo (mil carros)</t>
        </is>
      </c>
      <c r="D49" s="271">
        <f>IFERROR(IFERROR(INDEX('Inputs (2)'!$D$67:$AL$67,MATCH(D$7,'Inputs (2)'!$D$2:$AL$2,0)),"")/1000,"")</f>
        <v>40.889</v>
      </c>
      <c r="E49" s="271">
        <f>IFERROR(IFERROR(INDEX('Inputs (2)'!$D$67:$AL$67,MATCH(E$7,'Inputs (2)'!$D$2:$AL$2,0)),"")/1000,"")</f>
        <v>39.673</v>
      </c>
      <c r="F49" s="271">
        <f>IFERROR(IFERROR(INDEX('Inputs (2)'!$D$67:$AL$67,MATCH(F$7,'Inputs (2)'!$D$2:$AL$2,0)),"")/1000,"")</f>
        <v>40.731</v>
      </c>
      <c r="G49" s="271">
        <f>IFERROR(IFERROR(INDEX('Inputs (2)'!$D$67:$AL$67,MATCH(G$7,'Inputs (2)'!$D$2:$AL$2,0)),"")/1000,"")</f>
        <v>47.244</v>
      </c>
      <c r="H49" s="272">
        <f>IF(COUNT(G49)=0,"",G49)</f>
        <v>47.244</v>
      </c>
      <c r="I49" s="271">
        <f>IFERROR(IFERROR(INDEX('Inputs (2)'!$D$67:$AL$67,MATCH(I$7,'Inputs (2)'!$D$2:$AL$2,0)),"")/1000,"")</f>
        <v>52.395</v>
      </c>
      <c r="J49" s="271">
        <f>IFERROR(IFERROR(INDEX('Inputs (2)'!$D$67:$AL$67,MATCH(J$7,'Inputs (2)'!$D$2:$AL$2,0)),"")/1000,"")</f>
        <v>55.776</v>
      </c>
      <c r="K49" s="271">
        <f>IFERROR(IFERROR(INDEX('Inputs (2)'!$D$67:$AL$67,MATCH(K$7,'Inputs (2)'!$D$2:$AL$2,0)),"")/1000,"")</f>
        <v>88.379</v>
      </c>
      <c r="L49" s="271">
        <f>IFERROR(IFERROR(INDEX('Inputs (2)'!$D$67:$AL$67,MATCH(L$7,'Inputs (2)'!$D$2:$AL$2,0)),"")/1000,"")</f>
        <v>96.303</v>
      </c>
      <c r="M49" s="272">
        <f>IF(COUNT(L49)=0,"",L49)</f>
        <v>96.303</v>
      </c>
      <c r="N49" s="271">
        <f>IFERROR(IFERROR(INDEX('Inputs (2)'!$D$67:$AL$67,MATCH(N$7,'Inputs (2)'!$D$2:$AL$2,0)),"")/1000,"")</f>
        <v>95.37</v>
      </c>
      <c r="O49" s="271">
        <f>IFERROR(IFERROR(INDEX('Inputs (2)'!$D$67:$AL$67,MATCH(O$7,'Inputs (2)'!$D$2:$AL$2,0)),"")/1000,"")</f>
        <v>106.498</v>
      </c>
      <c r="P49" s="271">
        <f>IFERROR(IFERROR(INDEX('Inputs (2)'!$D$67:$AL$67,MATCH(P$7,'Inputs (2)'!$D$2:$AL$2,0)),"")/1000,"")</f>
        <v>107.728</v>
      </c>
      <c r="Q49" s="271">
        <f>IFERROR(IFERROR(INDEX('Inputs (2)'!$D$67:$AL$67,MATCH(Q$7,'Inputs (2)'!$D$2:$AL$2,0)),"")/1000,"")</f>
        <v>112.352</v>
      </c>
      <c r="R49" s="272">
        <f>IF(COUNT(Q49)=0,"",Q49)</f>
        <v>112.352</v>
      </c>
      <c r="S49" s="271">
        <f>IFERROR(IFERROR(INDEX('Inputs (2)'!$D$67:$AL$67,MATCH(S$7,'Inputs (2)'!$D$2:$AL$2,0)),"")/1000,"")</f>
        <v>114.617</v>
      </c>
      <c r="T49" s="271">
        <f>IFERROR(IFERROR(INDEX('Inputs (2)'!$D$67:$AL$67,MATCH(T$7,'Inputs (2)'!$D$2:$AL$2,0)),"")/1000,"")</f>
        <v>113.678</v>
      </c>
      <c r="U49" s="271">
        <f>IFERROR(IFERROR(INDEX('Inputs (2)'!$D$67:$AL$67,MATCH(U$7,'Inputs (2)'!$D$2:$AL$2,0)),"")/1000,"")</f>
        <v>119.574</v>
      </c>
      <c r="V49" s="271">
        <f>IFERROR(IFERROR(INDEX('Inputs (2)'!$D$67:$AL$67,MATCH(V$7,'Inputs (2)'!$D$2:$AL$2,0)),"")/1000,"")</f>
        <v>130.781</v>
      </c>
      <c r="W49" s="272">
        <f>IF(COUNT(V49)=0,"",V49)</f>
        <v>130.781</v>
      </c>
      <c r="X49" s="271">
        <f>IFERROR(IFERROR(INDEX('Inputs (2)'!$D$67:$AL$67,MATCH(X$7,'Inputs (2)'!$D$2:$AL$2,0)),"")/1000,"")</f>
        <v>135.628</v>
      </c>
      <c r="Y49" s="271">
        <f>IFERROR(IFERROR(INDEX('Inputs (2)'!$D$67:$AL$67,MATCH(Y$7,'Inputs (2)'!$D$2:$AL$2,0)),"")/1000,"")</f>
        <v>137.648</v>
      </c>
      <c r="Z49" s="271">
        <f>IFERROR(IFERROR(INDEX('Inputs (2)'!$D$67:$AL$67,MATCH(Z$7,'Inputs (2)'!$D$2:$AL$2,0)),"")/1000,"")</f>
        <v>137.405</v>
      </c>
      <c r="AA49" s="271">
        <f>IFERROR(IFERROR(INDEX('Inputs (2)'!$D$67:$AL$67,MATCH(AA$7,'Inputs (2)'!$D$2:$AL$2,0)),"")/1000,"")</f>
        <v>146.543</v>
      </c>
      <c r="AB49" s="272">
        <f>IF(COUNT(AA49)=0,"",AA49)</f>
        <v>146.543</v>
      </c>
      <c r="AC49" s="271">
        <f>IFERROR(IFERROR(INDEX('Inputs (2)'!$D$67:$AL$67,MATCH(AC$7,'Inputs (2)'!$D$2:$AL$2,0)),"")/1000,"")</f>
        <v>143.794</v>
      </c>
      <c r="AD49" s="271">
        <f>IFERROR(IFERROR(INDEX('Inputs (2)'!$D$67:$AL$67,MATCH(AD$7,'Inputs (2)'!$D$2:$AL$2,0)),"")/1000,"")</f>
        <v>142.296</v>
      </c>
      <c r="AE49" s="271">
        <f>IFERROR(IFERROR(INDEX('Inputs (2)'!$D$67:$AL$67,MATCH(AE$7,'Inputs (2)'!$D$2:$AL$2,0)),"")/1000,"")</f>
        <v>143.449</v>
      </c>
      <c r="AF49" s="271">
        <f>IFERROR(IFERROR(INDEX('Inputs (2)'!$D$67:$AL$67,MATCH(AF$7,'Inputs (2)'!$D$2:$AL$2,0)),"")/1000,"")</f>
        <v>144.207</v>
      </c>
      <c r="AG49" s="272">
        <f>IF(COUNT(AF49)=0,"",AF49)</f>
        <v>144.207</v>
      </c>
      <c r="AH49" s="272">
        <f>IFERROR(IFERROR(INDEX('Inputs (2)'!$D$67:$AL$67,MATCH(AH$7,'Inputs (2)'!$D$2:$AL$2,0)),"")/1000,"")</f>
        <v>141.949</v>
      </c>
      <c r="AI49" s="272">
        <f>IFERROR(IFERROR(INDEX('Inputs (2)'!$D$67:$AL$67,MATCH(AI$7,'Inputs (2)'!$D$2:$AL$2,0)),"")/1000,"")</f>
        <v>145.882</v>
      </c>
    </row>
    <row r="50">
      <c r="C50" s="14" t="inlineStr">
        <is>
          <t xml:space="preserve">   Frota media operacional (mil)</t>
        </is>
      </c>
      <c r="D50" s="271">
        <f>IFERROR(IFERROR(INDEX('Inputs (2)'!$D$68:$AL$68,MATCH(D$7,'Inputs (2)'!$D$2:$AL$2,0)),"")/1000,"")</f>
        <v>34.587</v>
      </c>
      <c r="E50" s="271">
        <f>IFERROR(IFERROR(INDEX('Inputs (2)'!$D$68:$AL$68,MATCH(E$7,'Inputs (2)'!$D$2:$AL$2,0)),"")/1000,"")</f>
        <v>32.98</v>
      </c>
      <c r="F50" s="271">
        <f>IFERROR(IFERROR(INDEX('Inputs (2)'!$D$68:$AL$68,MATCH(F$7,'Inputs (2)'!$D$2:$AL$2,0)),"")/1000,"")</f>
        <v>33.511333</v>
      </c>
      <c r="G50" s="271">
        <f>IFERROR(IFERROR(INDEX('Inputs (2)'!$D$68:$AL$68,MATCH(G$7,'Inputs (2)'!$D$2:$AL$2,0)),"")/1000,"")</f>
        <v>39.270356</v>
      </c>
      <c r="H50" s="272" t="n"/>
      <c r="I50" s="271">
        <f>IFERROR(IFERROR(INDEX('Inputs (2)'!$D$68:$AL$68,MATCH(I$7,'Inputs (2)'!$D$2:$AL$2,0)),"")/1000,"")</f>
        <v>44.736039</v>
      </c>
      <c r="J50" s="271">
        <f>IFERROR(IFERROR(INDEX('Inputs (2)'!$D$68:$AL$68,MATCH(J$7,'Inputs (2)'!$D$2:$AL$2,0)),"")/1000,"")</f>
        <v>49.928678</v>
      </c>
      <c r="K50" s="271">
        <f>IFERROR(IFERROR(INDEX('Inputs (2)'!$D$68:$AL$68,MATCH(K$7,'Inputs (2)'!$D$2:$AL$2,0)),"")/1000,"")</f>
        <v>68.034931</v>
      </c>
      <c r="L50" s="271">
        <f>IFERROR(IFERROR(INDEX('Inputs (2)'!$D$68:$AL$68,MATCH(L$7,'Inputs (2)'!$D$2:$AL$2,0)),"")/1000,"")</f>
        <v>79.897806</v>
      </c>
      <c r="M50" s="272" t="n"/>
      <c r="N50" s="271">
        <f>IFERROR(IFERROR(INDEX('Inputs (2)'!$D$68:$AL$68,MATCH(N$7,'Inputs (2)'!$D$2:$AL$2,0)),"")/1000,"")</f>
        <v>85.083</v>
      </c>
      <c r="O50" s="271">
        <f>IFERROR(IFERROR(INDEX('Inputs (2)'!$D$68:$AL$68,MATCH(O$7,'Inputs (2)'!$D$2:$AL$2,0)),"")/1000,"")</f>
        <v>87.101167</v>
      </c>
      <c r="P50" s="271">
        <f>IFERROR(IFERROR(INDEX('Inputs (2)'!$D$68:$AL$68,MATCH(P$7,'Inputs (2)'!$D$2:$AL$2,0)),"")/1000,"")</f>
        <v>93.595199</v>
      </c>
      <c r="Q50" s="271">
        <f>IFERROR(IFERROR(INDEX('Inputs (2)'!$D$68:$AL$68,MATCH(Q$7,'Inputs (2)'!$D$2:$AL$2,0)),"")/1000,"")</f>
        <v>95.705704</v>
      </c>
      <c r="R50" s="272" t="n"/>
      <c r="S50" s="271">
        <f>IFERROR(IFERROR(INDEX('Inputs (2)'!$D$68:$AL$68,MATCH(S$7,'Inputs (2)'!$D$2:$AL$2,0)),"")/1000,"")</f>
        <v>98.028</v>
      </c>
      <c r="T50" s="271">
        <f>IFERROR(IFERROR(INDEX('Inputs (2)'!$D$68:$AL$68,MATCH(T$7,'Inputs (2)'!$D$2:$AL$2,0)),"")/1000,"")</f>
        <v>100.69654</v>
      </c>
      <c r="U50" s="271">
        <f>IFERROR(IFERROR(INDEX('Inputs (2)'!$D$68:$AL$68,MATCH(U$7,'Inputs (2)'!$D$2:$AL$2,0)),"")/1000,"")</f>
        <v>101.695065</v>
      </c>
      <c r="V50" s="271">
        <f>IFERROR(IFERROR(INDEX('Inputs (2)'!$D$68:$AL$68,MATCH(V$7,'Inputs (2)'!$D$2:$AL$2,0)),"")/1000,"")</f>
        <v>107.000321</v>
      </c>
      <c r="W50" s="272" t="n"/>
      <c r="X50" s="271">
        <f>IFERROR(IFERROR(INDEX('Inputs (2)'!$D$68:$AL$68,MATCH(X$7,'Inputs (2)'!$D$2:$AL$2,0)),"")/1000,"")</f>
        <v>112.709434</v>
      </c>
      <c r="Y50" s="271">
        <f>IFERROR(IFERROR(INDEX('Inputs (2)'!$D$68:$AL$68,MATCH(Y$7,'Inputs (2)'!$D$2:$AL$2,0)),"")/1000,"")</f>
        <v>118.512363</v>
      </c>
      <c r="Z50" s="271">
        <f>IFERROR(IFERROR(INDEX('Inputs (2)'!$D$68:$AL$68,MATCH(Z$7,'Inputs (2)'!$D$2:$AL$2,0)),"")/1000,"")</f>
        <v>123.986478</v>
      </c>
      <c r="AA50" s="271">
        <f>IFERROR(IFERROR(INDEX('Inputs (2)'!$D$68:$AL$68,MATCH(AA$7,'Inputs (2)'!$D$2:$AL$2,0)),"")/1000,"")</f>
        <v>127.312332</v>
      </c>
      <c r="AB50" s="272" t="n"/>
      <c r="AC50" s="271">
        <f>IFERROR(IFERROR(INDEX('Inputs (2)'!$D$68:$AL$68,MATCH(AC$7,'Inputs (2)'!$D$2:$AL$2,0)),"")/1000,"")</f>
        <v>128.6835</v>
      </c>
      <c r="AD50" s="271">
        <f>IFERROR(IFERROR(INDEX('Inputs (2)'!$D$68:$AL$68,MATCH(AD$7,'Inputs (2)'!$D$2:$AL$2,0)),"")/1000,"")</f>
        <v>126.277209</v>
      </c>
      <c r="AE50" s="271">
        <f>IFERROR(IFERROR(INDEX('Inputs (2)'!$D$68:$AL$68,MATCH(AE$7,'Inputs (2)'!$D$2:$AL$2,0)),"")/1000,"")</f>
        <v>128.188924</v>
      </c>
      <c r="AF50" s="271">
        <f>IFERROR(IFERROR(INDEX('Inputs (2)'!$D$68:$AL$68,MATCH(AF$7,'Inputs (2)'!$D$2:$AL$2,0)),"")/1000,"")</f>
        <v>129.702559782609</v>
      </c>
      <c r="AG50" s="272" t="n"/>
      <c r="AH50" s="272">
        <f>IFERROR(IFERROR(INDEX('Inputs (2)'!$D$68:$AL$68,MATCH(AH$7,'Inputs (2)'!$D$2:$AL$2,0)),"")/1000,"")</f>
        <v>131.043644444444</v>
      </c>
      <c r="AI50" s="272">
        <f>IFERROR(IFERROR(INDEX('Inputs (2)'!$D$68:$AL$68,MATCH(AI$7,'Inputs (2)'!$D$2:$AL$2,0)),"")/1000,"")</f>
        <v>130.822857142857</v>
      </c>
    </row>
    <row r="51">
      <c r="C51" s="14" t="inlineStr">
        <is>
          <t>Ticket medio mensal (R$)</t>
        </is>
      </c>
      <c r="D51" s="276">
        <f>IFERROR(INDEX('Inputs (2)'!$D$69:$AL$69,MATCH(D$7,'Inputs (2)'!$D$2:$AL$2,0)),"")</f>
        <v>1353.649</v>
      </c>
      <c r="E51" s="276">
        <f>IFERROR(INDEX('Inputs (2)'!$D$69:$AL$69,MATCH(E$7,'Inputs (2)'!$D$2:$AL$2,0)),"")</f>
        <v>1390.284</v>
      </c>
      <c r="F51" s="276">
        <f>IFERROR(INDEX('Inputs (2)'!$D$69:$AL$69,MATCH(F$7,'Inputs (2)'!$D$2:$AL$2,0)),"")</f>
        <v>1241.48</v>
      </c>
      <c r="G51" s="276">
        <f>IFERROR(INDEX('Inputs (2)'!$D$69:$AL$69,MATCH(G$7,'Inputs (2)'!$D$2:$AL$2,0)),"")</f>
        <v>1196.553</v>
      </c>
      <c r="H51" s="277" t="n"/>
      <c r="I51" s="276">
        <f>IFERROR(INDEX('Inputs (2)'!$D$69:$AL$69,MATCH(I$7,'Inputs (2)'!$D$2:$AL$2,0)),"")</f>
        <v>1372.319</v>
      </c>
      <c r="J51" s="276">
        <f>IFERROR(INDEX('Inputs (2)'!$D$69:$AL$69,MATCH(J$7,'Inputs (2)'!$D$2:$AL$2,0)),"")</f>
        <v>1446.677</v>
      </c>
      <c r="K51" s="276">
        <f>IFERROR(INDEX('Inputs (2)'!$D$69:$AL$69,MATCH(K$7,'Inputs (2)'!$D$2:$AL$2,0)),"")</f>
        <v>1556.347</v>
      </c>
      <c r="L51" s="276">
        <f>IFERROR(INDEX('Inputs (2)'!$D$69:$AL$69,MATCH(L$7,'Inputs (2)'!$D$2:$AL$2,0)),"")</f>
        <v>1554.954</v>
      </c>
      <c r="M51" s="277" t="n"/>
      <c r="N51" s="276">
        <f>IFERROR(INDEX('Inputs (2)'!$D$69:$AL$69,MATCH(N$7,'Inputs (2)'!$D$2:$AL$2,0)),"")</f>
        <v>1656.1</v>
      </c>
      <c r="O51" s="276">
        <f>IFERROR(INDEX('Inputs (2)'!$D$69:$AL$69,MATCH(O$7,'Inputs (2)'!$D$2:$AL$2,0)),"")</f>
        <v>1785.39</v>
      </c>
      <c r="P51" s="276">
        <f>IFERROR(INDEX('Inputs (2)'!$D$69:$AL$69,MATCH(P$7,'Inputs (2)'!$D$2:$AL$2,0)),"")</f>
        <v>1811.553</v>
      </c>
      <c r="Q51" s="276">
        <f>IFERROR(INDEX('Inputs (2)'!$D$69:$AL$69,MATCH(Q$7,'Inputs (2)'!$D$2:$AL$2,0)),"")</f>
        <v>1924.074</v>
      </c>
      <c r="R51" s="277" t="n"/>
      <c r="S51" s="276">
        <f>IFERROR(INDEX('Inputs (2)'!$D$69:$AL$69,MATCH(S$7,'Inputs (2)'!$D$2:$AL$2,0)),"")</f>
        <v>2040.898</v>
      </c>
      <c r="T51" s="276">
        <f>IFERROR(INDEX('Inputs (2)'!$D$69:$AL$69,MATCH(T$7,'Inputs (2)'!$D$2:$AL$2,0)),"")</f>
        <v>2110.268</v>
      </c>
      <c r="U51" s="276">
        <f>IFERROR(INDEX('Inputs (2)'!$D$69:$AL$69,MATCH(U$7,'Inputs (2)'!$D$2:$AL$2,0)),"")</f>
        <v>2191.255</v>
      </c>
      <c r="V51" s="276">
        <f>IFERROR(INDEX('Inputs (2)'!$D$69:$AL$69,MATCH(V$7,'Inputs (2)'!$D$2:$AL$2,0)),"")</f>
        <v>2275.453</v>
      </c>
      <c r="W51" s="277" t="n"/>
      <c r="X51" s="276">
        <f>IFERROR(INDEX('Inputs (2)'!$D$69:$AL$69,MATCH(X$7,'Inputs (2)'!$D$2:$AL$2,0)),"")</f>
        <v>2380.167</v>
      </c>
      <c r="Y51" s="276">
        <f>IFERROR(INDEX('Inputs (2)'!$D$69:$AL$69,MATCH(Y$7,'Inputs (2)'!$D$2:$AL$2,0)),"")</f>
        <v>2582.26</v>
      </c>
      <c r="Z51" s="276">
        <f>IFERROR(INDEX('Inputs (2)'!$D$69:$AL$69,MATCH(Z$7,'Inputs (2)'!$D$2:$AL$2,0)),"")</f>
        <v>2695.784</v>
      </c>
      <c r="AA51" s="276">
        <f>IFERROR(INDEX('Inputs (2)'!$D$69:$AL$69,MATCH(AA$7,'Inputs (2)'!$D$2:$AL$2,0)),"")</f>
        <v>2780.174</v>
      </c>
      <c r="AB51" s="277" t="n"/>
      <c r="AC51" s="276">
        <f>IFERROR(INDEX('Inputs (2)'!$D$69:$AL$69,MATCH(AC$7,'Inputs (2)'!$D$2:$AL$2,0)),"")</f>
        <v>2855.385</v>
      </c>
      <c r="AD51" s="276">
        <f>IFERROR(INDEX('Inputs (2)'!$D$69:$AL$69,MATCH(AD$7,'Inputs (2)'!$D$2:$AL$2,0)),"")</f>
        <v>2948.728</v>
      </c>
      <c r="AE51" s="276">
        <f>IFERROR(INDEX('Inputs (2)'!$D$69:$AL$69,MATCH(AE$7,'Inputs (2)'!$D$2:$AL$2,0)),"")</f>
        <v>3025.387</v>
      </c>
      <c r="AF51" s="276">
        <f>IFERROR(INDEX('Inputs (2)'!$D$69:$AL$69,MATCH(AF$7,'Inputs (2)'!$D$2:$AL$2,0)),"")</f>
        <v>3123.28743634307</v>
      </c>
      <c r="AG51" s="277" t="n"/>
      <c r="AH51" s="277">
        <f>IFERROR(INDEX('Inputs (2)'!$D$69:$AL$69,MATCH(AH$7,'Inputs (2)'!$D$2:$AL$2,0)),"")</f>
        <v>3162.0203183452</v>
      </c>
      <c r="AI51" s="277">
        <f>IFERROR(INDEX('Inputs (2)'!$D$69:$AL$69,MATCH(AI$7,'Inputs (2)'!$D$2:$AL$2,0)),"")</f>
        <v>3288.95683250247</v>
      </c>
    </row>
    <row r="52">
      <c r="C52" s="14" t="inlineStr">
        <is>
          <t xml:space="preserve">   Receita GTF / (frota media x 3) (R$/carro/mes, implicito)</t>
        </is>
      </c>
      <c r="D52" s="276">
        <f>IFERROR(D21*1000000/(D50*1000*3),"")</f>
        <v>1132.78592149266</v>
      </c>
      <c r="E52" s="276">
        <f>IFERROR(E21*1000000/(E50*1000*3),"")</f>
        <v>1174.8130179907</v>
      </c>
      <c r="F52" s="276">
        <f>IFERROR(F21*1000000/(F50*1000*3),"")</f>
        <v>1169.23628990427</v>
      </c>
      <c r="G52" s="276">
        <f>IFERROR(G21*1000000/(G50*1000*3),"")</f>
        <v>1131.91402356186</v>
      </c>
      <c r="H52" s="277" t="n"/>
      <c r="I52" s="276">
        <f>IFERROR(I21*1000000/(I50*1000*3),"")</f>
        <v>1147.64295515747</v>
      </c>
      <c r="J52" s="276">
        <f>IFERROR(J21*1000000/(J50*1000*3),"")</f>
        <v>1225.57487569235</v>
      </c>
      <c r="K52" s="276">
        <f>IFERROR(K21*1000000/(K50*1000*3),"")</f>
        <v>1335.86769811917</v>
      </c>
      <c r="L52" s="276">
        <f>IFERROR(L21*1000000/(L50*1000*3),"")</f>
        <v>1490.98795862638</v>
      </c>
      <c r="M52" s="277" t="n"/>
      <c r="N52" s="276">
        <f>IFERROR(N21*1000000/(N50*1000*3),"")</f>
        <v>1485.61992407414</v>
      </c>
      <c r="O52" s="276">
        <f>IFERROR(O21*1000000/(O50*1000*3),"")</f>
        <v>1596.51133032466</v>
      </c>
      <c r="P52" s="276">
        <f>IFERROR(P21*1000000/(P50*1000*3),"")</f>
        <v>1606.48553494003</v>
      </c>
      <c r="Q52" s="276">
        <f>IFERROR(Q21*1000000/(Q50*1000*3),"")</f>
        <v>1725.86021274831</v>
      </c>
      <c r="R52" s="277" t="n"/>
      <c r="S52" s="276">
        <f>IFERROR(S21*1000000/(S50*1000*3),"")</f>
        <v>1831.81675983733</v>
      </c>
      <c r="T52" s="276">
        <f>IFERROR(T21*1000000/(T50*1000*3),"")</f>
        <v>1847.62720413896</v>
      </c>
      <c r="U52" s="276">
        <f>IFERROR(U21*1000000/(U50*1000*3),"")</f>
        <v>1904.78925075338</v>
      </c>
      <c r="V52" s="276">
        <f>IFERROR(V21*1000000/(V50*1000*3),"")</f>
        <v>1978.92241214242</v>
      </c>
      <c r="W52" s="277" t="n"/>
      <c r="X52" s="276">
        <f>IFERROR(X21*1000000/(X50*1000*3),"")</f>
        <v>2130.52263220486</v>
      </c>
      <c r="Y52" s="276">
        <f>IFERROR(Y21*1000000/(Y50*1000*3),"")</f>
        <v>2295.13607791282</v>
      </c>
      <c r="Z52" s="276">
        <f>IFERROR(Z21*1000000/(Z50*1000*3),"")</f>
        <v>2391.19355149895</v>
      </c>
      <c r="AA52" s="276">
        <f>IFERROR(AA21*1000000/(AA50*1000*3),"")</f>
        <v>2469.91522130524</v>
      </c>
      <c r="AB52" s="277" t="n"/>
      <c r="AC52" s="276">
        <f>IFERROR(AC21*1000000/(AC50*1000*3),"")</f>
        <v>2572.67119198136</v>
      </c>
      <c r="AD52" s="276">
        <f>IFERROR(AD21*1000000/(AD50*1000*3),"")</f>
        <v>2628.8090249656</v>
      </c>
      <c r="AE52" s="276">
        <f>IFERROR(AE21*1000000/(AE50*1000*3),"")</f>
        <v>2687.24724870406</v>
      </c>
      <c r="AF52" s="276">
        <f>IFERROR(AF21*1000000/(AF50*1000*3),"")</f>
        <v>2784.85006151025</v>
      </c>
      <c r="AG52" s="277" t="n"/>
      <c r="AH52" s="277">
        <f>IFERROR(AH21*1000000/(AH50*1000*3),"")</f>
        <v>2802.14168318503</v>
      </c>
      <c r="AI52" s="277">
        <f>IFERROR(AI21*1000000/(AI50*1000*3),"")</f>
        <v>2929.5824720679</v>
      </c>
    </row>
    <row r="53"/>
    <row r="54">
      <c r="C54" s="12" t="inlineStr">
        <is>
          <t>Seminovos, compras e capex (Op Data e CAPEX)</t>
        </is>
      </c>
      <c r="D54" s="12" t="str">
        <f>D7</f>
        <v>1Q20</v>
      </c>
      <c r="E54" s="12" t="str">
        <f>E7</f>
        <v>2Q20</v>
      </c>
      <c r="F54" s="12" t="str">
        <f>F7</f>
        <v>3Q20</v>
      </c>
      <c r="G54" s="12" t="str">
        <f>G7</f>
        <v>4Q20</v>
      </c>
      <c r="H54" s="12">
        <f>H7</f>
        <v>2020</v>
      </c>
      <c r="I54" s="12" t="str">
        <f>I7</f>
        <v>1Q21</v>
      </c>
      <c r="J54" s="12" t="str">
        <f>J7</f>
        <v>2Q21</v>
      </c>
      <c r="K54" s="12" t="str">
        <f>K7</f>
        <v>3Q21</v>
      </c>
      <c r="L54" s="12" t="str">
        <f>L7</f>
        <v>4Q21</v>
      </c>
      <c r="M54" s="12">
        <f>M7</f>
        <v>2021</v>
      </c>
      <c r="N54" s="12" t="str">
        <f>N7</f>
        <v>1Q22</v>
      </c>
      <c r="O54" s="12" t="str">
        <f>O7</f>
        <v>2Q22</v>
      </c>
      <c r="P54" s="12" t="str">
        <f>P7</f>
        <v>3Q22</v>
      </c>
      <c r="Q54" s="12" t="str">
        <f>Q7</f>
        <v>4Q22</v>
      </c>
      <c r="R54" s="12">
        <f>R7</f>
        <v>2022</v>
      </c>
      <c r="S54" s="12" t="str">
        <f>S7</f>
        <v>1Q23</v>
      </c>
      <c r="T54" s="12" t="str">
        <f>T7</f>
        <v>2Q23</v>
      </c>
      <c r="U54" s="12" t="str">
        <f>U7</f>
        <v>3Q23</v>
      </c>
      <c r="V54" s="12" t="str">
        <f>V7</f>
        <v>4Q23</v>
      </c>
      <c r="W54" s="12">
        <f>W7</f>
        <v>2023</v>
      </c>
      <c r="X54" s="12" t="str">
        <f>X7</f>
        <v>1Q24</v>
      </c>
      <c r="Y54" s="12" t="str">
        <f>Y7</f>
        <v>2Q24</v>
      </c>
      <c r="Z54" s="12" t="str">
        <f>Z7</f>
        <v>3Q24</v>
      </c>
      <c r="AA54" s="12" t="str">
        <f>AA7</f>
        <v>4Q24</v>
      </c>
      <c r="AB54" s="12">
        <f>AB7</f>
        <v>2024</v>
      </c>
      <c r="AC54" s="12" t="str">
        <f>AC7</f>
        <v>1Q25</v>
      </c>
      <c r="AD54" s="12" t="str">
        <f>AD7</f>
        <v>2Q25</v>
      </c>
      <c r="AE54" s="12" t="str">
        <f>AE7</f>
        <v>3Q25</v>
      </c>
      <c r="AF54" s="12" t="str">
        <f>AF7</f>
        <v>4Q25</v>
      </c>
      <c r="AG54" s="12">
        <f>AG7</f>
        <v>2025</v>
      </c>
      <c r="AH54" s="12" t="str">
        <f>AH7</f>
        <v>1Q26</v>
      </c>
      <c r="AI54" s="12" t="str">
        <f>AI7</f>
        <v>2Q26</v>
      </c>
    </row>
    <row r="55">
      <c r="C55" s="14" t="inlineStr">
        <is>
          <t>Carros vendidos</t>
        </is>
      </c>
      <c r="D55" s="276">
        <f>IFERROR(INDEX('Inputs (2)'!$D$70:$AL$70,MATCH(D$7,'Inputs (2)'!$D$2:$AL$2,0)),"")</f>
        <v>14127</v>
      </c>
      <c r="E55" s="276">
        <f>IFERROR(INDEX('Inputs (2)'!$D$70:$AL$70,MATCH(E$7,'Inputs (2)'!$D$2:$AL$2,0)),"")</f>
        <v>18465</v>
      </c>
      <c r="F55" s="276">
        <f>IFERROR(INDEX('Inputs (2)'!$D$70:$AL$70,MATCH(F$7,'Inputs (2)'!$D$2:$AL$2,0)),"")</f>
        <v>14321</v>
      </c>
      <c r="G55" s="276">
        <f>IFERROR(INDEX('Inputs (2)'!$D$70:$AL$70,MATCH(G$7,'Inputs (2)'!$D$2:$AL$2,0)),"")</f>
        <v>9869</v>
      </c>
      <c r="H55" s="277">
        <f>IF(COUNT(D55:G55)=4,SUM(D55:G55),"")</f>
        <v>56782</v>
      </c>
      <c r="I55" s="276">
        <f>IFERROR(INDEX('Inputs (2)'!$D$70:$AL$70,MATCH(I$7,'Inputs (2)'!$D$2:$AL$2,0)),"")</f>
        <v>5356</v>
      </c>
      <c r="J55" s="276">
        <f>IFERROR(INDEX('Inputs (2)'!$D$70:$AL$70,MATCH(J$7,'Inputs (2)'!$D$2:$AL$2,0)),"")</f>
        <v>12462</v>
      </c>
      <c r="K55" s="276">
        <f>IFERROR(INDEX('Inputs (2)'!$D$70:$AL$70,MATCH(K$7,'Inputs (2)'!$D$2:$AL$2,0)),"")</f>
        <v>14509</v>
      </c>
      <c r="L55" s="276">
        <f>IFERROR(INDEX('Inputs (2)'!$D$70:$AL$70,MATCH(L$7,'Inputs (2)'!$D$2:$AL$2,0)),"")</f>
        <v>12472</v>
      </c>
      <c r="M55" s="277">
        <f>IF(COUNT(I55:L55)=4,SUM(I55:L55),"")</f>
        <v>44799</v>
      </c>
      <c r="N55" s="276">
        <f>IFERROR(INDEX('Inputs (2)'!$D$70:$AL$70,MATCH(N$7,'Inputs (2)'!$D$2:$AL$2,0)),"")</f>
        <v>15225</v>
      </c>
      <c r="O55" s="276">
        <f>IFERROR(INDEX('Inputs (2)'!$D$70:$AL$70,MATCH(O$7,'Inputs (2)'!$D$2:$AL$2,0)),"")</f>
        <v>18474</v>
      </c>
      <c r="P55" s="276">
        <f>IFERROR(INDEX('Inputs (2)'!$D$70:$AL$70,MATCH(P$7,'Inputs (2)'!$D$2:$AL$2,0)),"")</f>
        <v>20023</v>
      </c>
      <c r="Q55" s="276">
        <f>IFERROR(INDEX('Inputs (2)'!$D$70:$AL$70,MATCH(Q$7,'Inputs (2)'!$D$2:$AL$2,0)),"")</f>
        <v>18697</v>
      </c>
      <c r="R55" s="277">
        <f>IF(COUNT(N55:Q55)=4,SUM(N55:Q55),"")</f>
        <v>72419</v>
      </c>
      <c r="S55" s="276">
        <f>IFERROR(INDEX('Inputs (2)'!$D$70:$AL$70,MATCH(S$7,'Inputs (2)'!$D$2:$AL$2,0)),"")</f>
        <v>19610</v>
      </c>
      <c r="T55" s="276">
        <f>IFERROR(INDEX('Inputs (2)'!$D$70:$AL$70,MATCH(T$7,'Inputs (2)'!$D$2:$AL$2,0)),"")</f>
        <v>18806</v>
      </c>
      <c r="U55" s="276">
        <f>IFERROR(INDEX('Inputs (2)'!$D$70:$AL$70,MATCH(U$7,'Inputs (2)'!$D$2:$AL$2,0)),"")</f>
        <v>20503</v>
      </c>
      <c r="V55" s="276">
        <f>IFERROR(INDEX('Inputs (2)'!$D$70:$AL$70,MATCH(V$7,'Inputs (2)'!$D$2:$AL$2,0)),"")</f>
        <v>17253</v>
      </c>
      <c r="W55" s="277">
        <f>IF(COUNT(S55:V55)=4,SUM(S55:V55),"")</f>
        <v>76172</v>
      </c>
      <c r="X55" s="276">
        <f>IFERROR(INDEX('Inputs (2)'!$D$70:$AL$70,MATCH(X$7,'Inputs (2)'!$D$2:$AL$2,0)),"")</f>
        <v>23249</v>
      </c>
      <c r="Y55" s="276">
        <f>IFERROR(INDEX('Inputs (2)'!$D$70:$AL$70,MATCH(Y$7,'Inputs (2)'!$D$2:$AL$2,0)),"")</f>
        <v>27954</v>
      </c>
      <c r="Z55" s="276">
        <f>IFERROR(INDEX('Inputs (2)'!$D$70:$AL$70,MATCH(Z$7,'Inputs (2)'!$D$2:$AL$2,0)),"")</f>
        <v>30572</v>
      </c>
      <c r="AA55" s="276">
        <f>IFERROR(INDEX('Inputs (2)'!$D$70:$AL$70,MATCH(AA$7,'Inputs (2)'!$D$2:$AL$2,0)),"")</f>
        <v>21916</v>
      </c>
      <c r="AB55" s="277">
        <f>IF(COUNT(X55:AA55)=4,SUM(X55:AA55),"")</f>
        <v>103691</v>
      </c>
      <c r="AC55" s="276">
        <f>IFERROR(INDEX('Inputs (2)'!$D$70:$AL$70,MATCH(AC$7,'Inputs (2)'!$D$2:$AL$2,0)),"")</f>
        <v>24784</v>
      </c>
      <c r="AD55" s="276">
        <f>IFERROR(INDEX('Inputs (2)'!$D$70:$AL$70,MATCH(AD$7,'Inputs (2)'!$D$2:$AL$2,0)),"")</f>
        <v>25917</v>
      </c>
      <c r="AE55" s="276">
        <f>IFERROR(INDEX('Inputs (2)'!$D$70:$AL$70,MATCH(AE$7,'Inputs (2)'!$D$2:$AL$2,0)),"")</f>
        <v>24472</v>
      </c>
      <c r="AF55" s="276">
        <f>IFERROR(INDEX('Inputs (2)'!$D$70:$AL$70,MATCH(AF$7,'Inputs (2)'!$D$2:$AL$2,0)),"")</f>
        <v>22172</v>
      </c>
      <c r="AG55" s="277">
        <f>IF(COUNT(AC55:AF55)=4,SUM(AC55:AF55),"")</f>
        <v>97345</v>
      </c>
      <c r="AH55" s="277">
        <f>IFERROR(INDEX('Inputs (2)'!$D$70:$AL$70,MATCH(AH$7,'Inputs (2)'!$D$2:$AL$2,0)),"")</f>
        <v>20620</v>
      </c>
      <c r="AI55" s="277">
        <f>IFERROR(INDEX('Inputs (2)'!$D$70:$AL$70,MATCH(AI$7,'Inputs (2)'!$D$2:$AL$2,0)),"")</f>
        <v>19414</v>
      </c>
    </row>
    <row r="56">
      <c r="C56" s="14" t="inlineStr">
        <is>
          <t xml:space="preserve">   Preco medio do carro vendido (R$)</t>
        </is>
      </c>
      <c r="D56" s="276">
        <f>IFERROR(INDEX('Inputs (2)'!$D$71:$AL$71,MATCH(D$7,'Inputs (2)'!$D$2:$AL$2,0)),"")</f>
        <v>40161.535</v>
      </c>
      <c r="E56" s="276">
        <f>IFERROR(INDEX('Inputs (2)'!$D$71:$AL$71,MATCH(E$7,'Inputs (2)'!$D$2:$AL$2,0)),"")</f>
        <v>40614.688</v>
      </c>
      <c r="F56" s="276">
        <f>IFERROR(INDEX('Inputs (2)'!$D$71:$AL$71,MATCH(F$7,'Inputs (2)'!$D$2:$AL$2,0)),"")</f>
        <v>45289.77</v>
      </c>
      <c r="G56" s="276">
        <f>IFERROR(INDEX('Inputs (2)'!$D$71:$AL$71,MATCH(G$7,'Inputs (2)'!$D$2:$AL$2,0)),"")</f>
        <v>50153.014</v>
      </c>
      <c r="H56" s="277" t="n"/>
      <c r="I56" s="276">
        <f>IFERROR(INDEX('Inputs (2)'!$D$71:$AL$71,MATCH(I$7,'Inputs (2)'!$D$2:$AL$2,0)),"")</f>
        <v>51893.918</v>
      </c>
      <c r="J56" s="276">
        <f>IFERROR(INDEX('Inputs (2)'!$D$71:$AL$71,MATCH(J$7,'Inputs (2)'!$D$2:$AL$2,0)),"")</f>
        <v>54575.562</v>
      </c>
      <c r="K56" s="276">
        <f>IFERROR(INDEX('Inputs (2)'!$D$71:$AL$71,MATCH(K$7,'Inputs (2)'!$D$2:$AL$2,0)),"")</f>
        <v>58732.576</v>
      </c>
      <c r="L56" s="276">
        <f>IFERROR(INDEX('Inputs (2)'!$D$71:$AL$71,MATCH(L$7,'Inputs (2)'!$D$2:$AL$2,0)),"")</f>
        <v>65422.791</v>
      </c>
      <c r="M56" s="277" t="n"/>
      <c r="N56" s="276">
        <f>IFERROR(INDEX('Inputs (2)'!$D$71:$AL$71,MATCH(N$7,'Inputs (2)'!$D$2:$AL$2,0)),"")</f>
        <v>64467.473</v>
      </c>
      <c r="O56" s="276">
        <f>IFERROR(INDEX('Inputs (2)'!$D$71:$AL$71,MATCH(O$7,'Inputs (2)'!$D$2:$AL$2,0)),"")</f>
        <v>66619.727</v>
      </c>
      <c r="P56" s="276">
        <f>IFERROR(INDEX('Inputs (2)'!$D$71:$AL$71,MATCH(P$7,'Inputs (2)'!$D$2:$AL$2,0)),"")</f>
        <v>70866.812</v>
      </c>
      <c r="Q56" s="276">
        <f>IFERROR(INDEX('Inputs (2)'!$D$71:$AL$71,MATCH(Q$7,'Inputs (2)'!$D$2:$AL$2,0)),"")</f>
        <v>75437.883</v>
      </c>
      <c r="R56" s="277" t="n"/>
      <c r="S56" s="276">
        <f>IFERROR(INDEX('Inputs (2)'!$D$71:$AL$71,MATCH(S$7,'Inputs (2)'!$D$2:$AL$2,0)),"")</f>
        <v>75131.641</v>
      </c>
      <c r="T56" s="276">
        <f>IFERROR(INDEX('Inputs (2)'!$D$71:$AL$71,MATCH(T$7,'Inputs (2)'!$D$2:$AL$2,0)),"")</f>
        <v>67009.986</v>
      </c>
      <c r="U56" s="276">
        <f>IFERROR(INDEX('Inputs (2)'!$D$71:$AL$71,MATCH(U$7,'Inputs (2)'!$D$2:$AL$2,0)),"")</f>
        <v>67718.251</v>
      </c>
      <c r="V56" s="276">
        <f>IFERROR(INDEX('Inputs (2)'!$D$71:$AL$71,MATCH(V$7,'Inputs (2)'!$D$2:$AL$2,0)),"")</f>
        <v>68176.185</v>
      </c>
      <c r="W56" s="277" t="n"/>
      <c r="X56" s="276">
        <f>IFERROR(INDEX('Inputs (2)'!$D$71:$AL$71,MATCH(X$7,'Inputs (2)'!$D$2:$AL$2,0)),"")</f>
        <v>66942.505</v>
      </c>
      <c r="Y56" s="276">
        <f>IFERROR(INDEX('Inputs (2)'!$D$71:$AL$71,MATCH(Y$7,'Inputs (2)'!$D$2:$AL$2,0)),"")</f>
        <v>66598.725</v>
      </c>
      <c r="Z56" s="276">
        <f>IFERROR(INDEX('Inputs (2)'!$D$71:$AL$71,MATCH(Z$7,'Inputs (2)'!$D$2:$AL$2,0)),"")</f>
        <v>67728.675</v>
      </c>
      <c r="AA56" s="276">
        <f>IFERROR(INDEX('Inputs (2)'!$D$71:$AL$71,MATCH(AA$7,'Inputs (2)'!$D$2:$AL$2,0)),"")</f>
        <v>68181.225</v>
      </c>
      <c r="AB56" s="277" t="n"/>
      <c r="AC56" s="276">
        <f>IFERROR(INDEX('Inputs (2)'!$D$71:$AL$71,MATCH(AC$7,'Inputs (2)'!$D$2:$AL$2,0)),"")</f>
        <v>69546.779</v>
      </c>
      <c r="AD56" s="276">
        <f>IFERROR(INDEX('Inputs (2)'!$D$71:$AL$71,MATCH(AD$7,'Inputs (2)'!$D$2:$AL$2,0)),"")</f>
        <v>70398.095</v>
      </c>
      <c r="AE56" s="276">
        <f>IFERROR(INDEX('Inputs (2)'!$D$71:$AL$71,MATCH(AE$7,'Inputs (2)'!$D$2:$AL$2,0)),"")</f>
        <v>73431.672</v>
      </c>
      <c r="AF56" s="276">
        <f>IFERROR(INDEX('Inputs (2)'!$D$71:$AL$71,MATCH(AF$7,'Inputs (2)'!$D$2:$AL$2,0)),"")</f>
        <v>72269.7444547227</v>
      </c>
      <c r="AG56" s="277" t="n"/>
      <c r="AH56" s="277">
        <f>IFERROR(INDEX('Inputs (2)'!$D$71:$AL$71,MATCH(AH$7,'Inputs (2)'!$D$2:$AL$2,0)),"")</f>
        <v>77823.7286809495</v>
      </c>
      <c r="AI56" s="277">
        <f>IFERROR(INDEX('Inputs (2)'!$D$71:$AL$71,MATCH(AI$7,'Inputs (2)'!$D$2:$AL$2,0)),"")</f>
        <v>77252.1840543436</v>
      </c>
    </row>
    <row r="57">
      <c r="C57" s="14" t="inlineStr">
        <is>
          <t xml:space="preserve">   Receita Seminovos / carro vendido (R$ mil, implicito)</t>
        </is>
      </c>
      <c r="D57" s="271">
        <f>IFERROR(D23/D55*1000,"")</f>
        <v>39.5837049621293</v>
      </c>
      <c r="E57" s="271">
        <f>IFERROR(E23/E55*1000,"")</f>
        <v>40.5673436230707</v>
      </c>
      <c r="F57" s="271">
        <f>IFERROR(F23/F55*1000,"")</f>
        <v>44.7500174568815</v>
      </c>
      <c r="G57" s="271">
        <f>IFERROR(G23/G55*1000,"")</f>
        <v>49.722666936873</v>
      </c>
      <c r="H57" s="272">
        <f>IFERROR(H23/H55*1000,"")</f>
        <v>42.9687753161213</v>
      </c>
      <c r="I57" s="271">
        <f>IFERROR(I23/I55*1000,"")</f>
        <v>51.2584017923824</v>
      </c>
      <c r="J57" s="271">
        <f>IFERROR(J23/J55*1000,"")</f>
        <v>54.0426897769219</v>
      </c>
      <c r="K57" s="271">
        <f>IFERROR(K23/K55*1000,"")</f>
        <v>58.2135226411193</v>
      </c>
      <c r="L57" s="271">
        <f>IFERROR(L23/L55*1000,"")</f>
        <v>64.8745189223861</v>
      </c>
      <c r="M57" s="272">
        <f>IFERROR(M23/M55*1000,"")</f>
        <v>58.0761847362664</v>
      </c>
      <c r="N57" s="271">
        <f>IFERROR(N23/N55*1000,"")</f>
        <v>63.9580952380952</v>
      </c>
      <c r="O57" s="271">
        <f>IFERROR(O23/O55*1000,"")</f>
        <v>66.5061708346866</v>
      </c>
      <c r="P57" s="271">
        <f>IFERROR(P23/P55*1000,"")</f>
        <v>70.4403935474205</v>
      </c>
      <c r="Q57" s="271">
        <f>IFERROR(Q23/Q55*1000,"")</f>
        <v>75.1140289886078</v>
      </c>
      <c r="R57" s="272">
        <f>IFERROR(R23/R55*1000,"")</f>
        <v>69.2806031566302</v>
      </c>
      <c r="S57" s="271">
        <f>IFERROR(S23/S55*1000,"")</f>
        <v>74.6285058643549</v>
      </c>
      <c r="T57" s="271">
        <f>IFERROR(T23/T55*1000,"")</f>
        <v>66.2215782197171</v>
      </c>
      <c r="U57" s="271">
        <f>IFERROR(U23/U55*1000,"")</f>
        <v>66.7659366921914</v>
      </c>
      <c r="V57" s="271">
        <f>IFERROR(V23/V55*1000,"")</f>
        <v>66.8767170926795</v>
      </c>
      <c r="W57" s="272">
        <f>IFERROR(W23/W55*1000,"")</f>
        <v>68.680801344326</v>
      </c>
      <c r="X57" s="271">
        <f>IFERROR(X23/X55*1000,"")</f>
        <v>65.656501354897</v>
      </c>
      <c r="Y57" s="271">
        <f>IFERROR(Y23/Y55*1000,"")</f>
        <v>65.3758317235458</v>
      </c>
      <c r="Z57" s="271">
        <f>IFERROR(Z23/Z55*1000,"")</f>
        <v>66.4387674996729</v>
      </c>
      <c r="AA57" s="271">
        <f>IFERROR(AA23/AA55*1000,"")</f>
        <v>66.4856725679869</v>
      </c>
      <c r="AB57" s="272">
        <f>IFERROR(AB23/AB55*1000,"")</f>
        <v>65.9867298029723</v>
      </c>
      <c r="AC57" s="271">
        <f>IFERROR(AC23/AC55*1000,"")</f>
        <v>68.1619593285991</v>
      </c>
      <c r="AD57" s="271">
        <f>IFERROR(AD23/AD55*1000,"")</f>
        <v>68.9267276305128</v>
      </c>
      <c r="AE57" s="271">
        <f>IFERROR(AE23/AE55*1000,"")</f>
        <v>71.7158793723439</v>
      </c>
      <c r="AF57" s="271">
        <f>IFERROR(AF23/AF55*1000,"")</f>
        <v>70.4754224088991</v>
      </c>
      <c r="AG57" s="272">
        <f>IFERROR(AG23/AG55*1000,"")</f>
        <v>69.7859372915929</v>
      </c>
      <c r="AH57" s="272">
        <f>IFERROR(AH23/AH55*1000,"")</f>
        <v>76.38353353061</v>
      </c>
      <c r="AI57" s="272">
        <f>IFERROR(AI23/AI55*1000,"")</f>
        <v>75.7440800663545</v>
      </c>
    </row>
    <row r="58">
      <c r="C58" s="14" t="inlineStr">
        <is>
          <t>Carros comprados</t>
        </is>
      </c>
      <c r="D58" s="276">
        <f>IFERROR(INDEX('Inputs (2)'!$D$72:$AL$72,MATCH(D$7,'Inputs (2)'!$D$2:$AL$2,0)),"")</f>
        <v>24221</v>
      </c>
      <c r="E58" s="276">
        <f>IFERROR(INDEX('Inputs (2)'!$D$72:$AL$72,MATCH(E$7,'Inputs (2)'!$D$2:$AL$2,0)),"")</f>
        <v>5962</v>
      </c>
      <c r="F58" s="276">
        <f>IFERROR(INDEX('Inputs (2)'!$D$72:$AL$72,MATCH(F$7,'Inputs (2)'!$D$2:$AL$2,0)),"")</f>
        <v>18242</v>
      </c>
      <c r="G58" s="276">
        <f>IFERROR(INDEX('Inputs (2)'!$D$72:$AL$72,MATCH(G$7,'Inputs (2)'!$D$2:$AL$2,0)),"")</f>
        <v>21167</v>
      </c>
      <c r="H58" s="277">
        <f>IF(COUNT(D58:G58)=4,SUM(D58:G58),"")</f>
        <v>69592</v>
      </c>
      <c r="I58" s="276">
        <f>IFERROR(INDEX('Inputs (2)'!$D$72:$AL$72,MATCH(I$7,'Inputs (2)'!$D$2:$AL$2,0)),"")</f>
        <v>10911</v>
      </c>
      <c r="J58" s="276">
        <f>IFERROR(INDEX('Inputs (2)'!$D$72:$AL$72,MATCH(J$7,'Inputs (2)'!$D$2:$AL$2,0)),"")</f>
        <v>23273</v>
      </c>
      <c r="K58" s="276">
        <f>IFERROR(INDEX('Inputs (2)'!$D$72:$AL$72,MATCH(K$7,'Inputs (2)'!$D$2:$AL$2,0)),"")</f>
        <v>25098</v>
      </c>
      <c r="L58" s="276">
        <f>IFERROR(INDEX('Inputs (2)'!$D$72:$AL$72,MATCH(L$7,'Inputs (2)'!$D$2:$AL$2,0)),"")</f>
        <v>32177</v>
      </c>
      <c r="M58" s="277">
        <f>IF(COUNT(I58:L58)=4,SUM(I58:L58),"")</f>
        <v>91459</v>
      </c>
      <c r="N58" s="276">
        <f>IFERROR(INDEX('Inputs (2)'!$D$72:$AL$72,MATCH(N$7,'Inputs (2)'!$D$2:$AL$2,0)),"")</f>
        <v>21202</v>
      </c>
      <c r="O58" s="276">
        <f>IFERROR(INDEX('Inputs (2)'!$D$72:$AL$72,MATCH(O$7,'Inputs (2)'!$D$2:$AL$2,0)),"")</f>
        <v>32840</v>
      </c>
      <c r="P58" s="276">
        <f>IFERROR(INDEX('Inputs (2)'!$D$72:$AL$72,MATCH(P$7,'Inputs (2)'!$D$2:$AL$2,0)),"")</f>
        <v>27096</v>
      </c>
      <c r="Q58" s="276">
        <f>IFERROR(INDEX('Inputs (2)'!$D$72:$AL$72,MATCH(Q$7,'Inputs (2)'!$D$2:$AL$2,0)),"")</f>
        <v>27209</v>
      </c>
      <c r="R58" s="277">
        <f>IF(COUNT(N58:Q58)=4,SUM(N58:Q58),"")</f>
        <v>108347</v>
      </c>
      <c r="S58" s="276">
        <f>IFERROR(INDEX('Inputs (2)'!$D$72:$AL$72,MATCH(S$7,'Inputs (2)'!$D$2:$AL$2,0)),"")</f>
        <v>8899</v>
      </c>
      <c r="T58" s="276">
        <f>IFERROR(INDEX('Inputs (2)'!$D$72:$AL$72,MATCH(T$7,'Inputs (2)'!$D$2:$AL$2,0)),"")</f>
        <v>11971</v>
      </c>
      <c r="U58" s="276">
        <f>IFERROR(INDEX('Inputs (2)'!$D$72:$AL$72,MATCH(U$7,'Inputs (2)'!$D$2:$AL$2,0)),"")</f>
        <v>29802</v>
      </c>
      <c r="V58" s="276">
        <f>IFERROR(INDEX('Inputs (2)'!$D$72:$AL$72,MATCH(V$7,'Inputs (2)'!$D$2:$AL$2,0)),"")</f>
        <v>48289</v>
      </c>
      <c r="W58" s="277">
        <f>IF(COUNT(S58:V58)=4,SUM(S58:V58),"")</f>
        <v>98961</v>
      </c>
      <c r="X58" s="276">
        <f>IFERROR(INDEX('Inputs (2)'!$D$72:$AL$72,MATCH(X$7,'Inputs (2)'!$D$2:$AL$2,0)),"")</f>
        <v>26141</v>
      </c>
      <c r="Y58" s="276">
        <f>IFERROR(INDEX('Inputs (2)'!$D$72:$AL$72,MATCH(Y$7,'Inputs (2)'!$D$2:$AL$2,0)),"")</f>
        <v>29647</v>
      </c>
      <c r="Z58" s="276">
        <f>IFERROR(INDEX('Inputs (2)'!$D$72:$AL$72,MATCH(Z$7,'Inputs (2)'!$D$2:$AL$2,0)),"")</f>
        <v>33081</v>
      </c>
      <c r="AA58" s="276">
        <f>IFERROR(INDEX('Inputs (2)'!$D$72:$AL$72,MATCH(AA$7,'Inputs (2)'!$D$2:$AL$2,0)),"")</f>
        <v>45949</v>
      </c>
      <c r="AB58" s="277">
        <f>IF(COUNT(X58:AA58)=4,SUM(X58:AA58),"")</f>
        <v>134818</v>
      </c>
      <c r="AC58" s="276">
        <f>IFERROR(INDEX('Inputs (2)'!$D$72:$AL$72,MATCH(AC$7,'Inputs (2)'!$D$2:$AL$2,0)),"")</f>
        <v>16643</v>
      </c>
      <c r="AD58" s="276">
        <f>IFERROR(INDEX('Inputs (2)'!$D$72:$AL$72,MATCH(AD$7,'Inputs (2)'!$D$2:$AL$2,0)),"")</f>
        <v>28084</v>
      </c>
      <c r="AE58" s="276">
        <f>IFERROR(INDEX('Inputs (2)'!$D$72:$AL$72,MATCH(AE$7,'Inputs (2)'!$D$2:$AL$2,0)),"")</f>
        <v>21947</v>
      </c>
      <c r="AF58" s="276">
        <f>IFERROR(INDEX('Inputs (2)'!$D$72:$AL$72,MATCH(AF$7,'Inputs (2)'!$D$2:$AL$2,0)),"")</f>
        <v>40352</v>
      </c>
      <c r="AG58" s="277">
        <f>IF(COUNT(AC58:AF58)=4,SUM(AC58:AF58),"")</f>
        <v>107026</v>
      </c>
      <c r="AH58" s="277">
        <f>IFERROR(INDEX('Inputs (2)'!$D$72:$AL$72,MATCH(AH$7,'Inputs (2)'!$D$2:$AL$2,0)),"")</f>
        <v>14588</v>
      </c>
      <c r="AI58" s="277">
        <f>IFERROR(INDEX('Inputs (2)'!$D$72:$AL$72,MATCH(AI$7,'Inputs (2)'!$D$2:$AL$2,0)),"")</f>
        <v>38613</v>
      </c>
    </row>
    <row r="59">
      <c r="C59" s="14" t="inlineStr">
        <is>
          <t xml:space="preserve">   Preco medio do carro comprado (R$)</t>
        </is>
      </c>
      <c r="D59" s="276">
        <f>IFERROR(INDEX('Inputs (2)'!$D$73:$AL$73,MATCH(D$7,'Inputs (2)'!$D$2:$AL$2,0)),"")</f>
        <v>47031.149</v>
      </c>
      <c r="E59" s="276">
        <f>IFERROR(INDEX('Inputs (2)'!$D$73:$AL$73,MATCH(E$7,'Inputs (2)'!$D$2:$AL$2,0)),"")</f>
        <v>50847.289</v>
      </c>
      <c r="F59" s="276">
        <f>IFERROR(INDEX('Inputs (2)'!$D$73:$AL$73,MATCH(F$7,'Inputs (2)'!$D$2:$AL$2,0)),"")</f>
        <v>52071.464</v>
      </c>
      <c r="G59" s="276">
        <f>IFERROR(INDEX('Inputs (2)'!$D$73:$AL$73,MATCH(G$7,'Inputs (2)'!$D$2:$AL$2,0)),"")</f>
        <v>55619.125</v>
      </c>
      <c r="H59" s="277" t="n"/>
      <c r="I59" s="276">
        <f>IFERROR(INDEX('Inputs (2)'!$D$73:$AL$73,MATCH(I$7,'Inputs (2)'!$D$2:$AL$2,0)),"")</f>
        <v>59451.895</v>
      </c>
      <c r="J59" s="276">
        <f>IFERROR(INDEX('Inputs (2)'!$D$73:$AL$73,MATCH(J$7,'Inputs (2)'!$D$2:$AL$2,0)),"")</f>
        <v>65849.458</v>
      </c>
      <c r="K59" s="276">
        <f>IFERROR(INDEX('Inputs (2)'!$D$73:$AL$73,MATCH(K$7,'Inputs (2)'!$D$2:$AL$2,0)),"")</f>
        <v>83151.073</v>
      </c>
      <c r="L59" s="276">
        <f>IFERROR(INDEX('Inputs (2)'!$D$73:$AL$73,MATCH(L$7,'Inputs (2)'!$D$2:$AL$2,0)),"")</f>
        <v>90445.152</v>
      </c>
      <c r="M59" s="277" t="n"/>
      <c r="N59" s="276">
        <f>IFERROR(INDEX('Inputs (2)'!$D$73:$AL$73,MATCH(N$7,'Inputs (2)'!$D$2:$AL$2,0)),"")</f>
        <v>90435.525</v>
      </c>
      <c r="O59" s="276">
        <f>IFERROR(INDEX('Inputs (2)'!$D$73:$AL$73,MATCH(O$7,'Inputs (2)'!$D$2:$AL$2,0)),"")</f>
        <v>91843.12</v>
      </c>
      <c r="P59" s="276">
        <f>IFERROR(INDEX('Inputs (2)'!$D$73:$AL$73,MATCH(P$7,'Inputs (2)'!$D$2:$AL$2,0)),"")</f>
        <v>82230.106</v>
      </c>
      <c r="Q59" s="276">
        <f>IFERROR(INDEX('Inputs (2)'!$D$73:$AL$73,MATCH(Q$7,'Inputs (2)'!$D$2:$AL$2,0)),"")</f>
        <v>78693.278</v>
      </c>
      <c r="R59" s="277" t="n"/>
      <c r="S59" s="276">
        <f>IFERROR(INDEX('Inputs (2)'!$D$73:$AL$73,MATCH(S$7,'Inputs (2)'!$D$2:$AL$2,0)),"")</f>
        <v>88893.811</v>
      </c>
      <c r="T59" s="276">
        <f>IFERROR(INDEX('Inputs (2)'!$D$73:$AL$73,MATCH(T$7,'Inputs (2)'!$D$2:$AL$2,0)),"")</f>
        <v>95090.768</v>
      </c>
      <c r="U59" s="276">
        <f>IFERROR(INDEX('Inputs (2)'!$D$73:$AL$73,MATCH(U$7,'Inputs (2)'!$D$2:$AL$2,0)),"")</f>
        <v>87377.337</v>
      </c>
      <c r="V59" s="276">
        <f>IFERROR(INDEX('Inputs (2)'!$D$73:$AL$73,MATCH(V$7,'Inputs (2)'!$D$2:$AL$2,0)),"")</f>
        <v>90486.921</v>
      </c>
      <c r="W59" s="277" t="n"/>
      <c r="X59" s="276">
        <f>IFERROR(INDEX('Inputs (2)'!$D$73:$AL$73,MATCH(X$7,'Inputs (2)'!$D$2:$AL$2,0)),"")</f>
        <v>87279.205</v>
      </c>
      <c r="Y59" s="276">
        <f>IFERROR(INDEX('Inputs (2)'!$D$73:$AL$73,MATCH(Y$7,'Inputs (2)'!$D$2:$AL$2,0)),"")</f>
        <v>85989.828</v>
      </c>
      <c r="Z59" s="276">
        <f>IFERROR(INDEX('Inputs (2)'!$D$73:$AL$73,MATCH(Z$7,'Inputs (2)'!$D$2:$AL$2,0)),"")</f>
        <v>89426.948</v>
      </c>
      <c r="AA59" s="276">
        <f>IFERROR(INDEX('Inputs (2)'!$D$73:$AL$73,MATCH(AA$7,'Inputs (2)'!$D$2:$AL$2,0)),"")</f>
        <v>86193.12</v>
      </c>
      <c r="AB59" s="277" t="n"/>
      <c r="AC59" s="276">
        <f>IFERROR(INDEX('Inputs (2)'!$D$73:$AL$73,MATCH(AC$7,'Inputs (2)'!$D$2:$AL$2,0)),"")</f>
        <v>90324.7675434935</v>
      </c>
      <c r="AD59" s="276">
        <f>IFERROR(INDEX('Inputs (2)'!$D$73:$AL$73,MATCH(AD$7,'Inputs (2)'!$D$2:$AL$2,0)),"")</f>
        <v>94322.6219088117</v>
      </c>
      <c r="AE59" s="276">
        <f>IFERROR(INDEX('Inputs (2)'!$D$73:$AL$73,MATCH(AE$7,'Inputs (2)'!$D$2:$AL$2,0)),"")</f>
        <v>101130.255</v>
      </c>
      <c r="AF59" s="276">
        <f>IFERROR(INDEX('Inputs (2)'!$D$73:$AL$73,MATCH(AF$7,'Inputs (2)'!$D$2:$AL$2,0)),"")</f>
        <v>100334.850780086</v>
      </c>
      <c r="AG59" s="277" t="n"/>
      <c r="AH59" s="277">
        <f>IFERROR(INDEX('Inputs (2)'!$D$73:$AL$73,MATCH(AH$7,'Inputs (2)'!$D$2:$AL$2,0)),"")</f>
        <v>102359.604469427</v>
      </c>
      <c r="AI59" s="277">
        <f>IFERROR(INDEX('Inputs (2)'!$D$73:$AL$73,MATCH(AI$7,'Inputs (2)'!$D$2:$AL$2,0)),"")</f>
        <v>101231.423055191</v>
      </c>
    </row>
    <row r="60">
      <c r="C60" s="14" t="inlineStr">
        <is>
          <t>Capex RAC (R$ mi)</t>
        </is>
      </c>
      <c r="D60" s="271">
        <f>IFERROR(INDEX('Inputs (2)'!$D$74:$AL$74,MATCH(D$7,'Inputs (2)'!$D$2:$AL$2,0)),"")</f>
        <v>963.697</v>
      </c>
      <c r="E60" s="271">
        <f>IFERROR(INDEX('Inputs (2)'!$D$74:$AL$74,MATCH(E$7,'Inputs (2)'!$D$2:$AL$2,0)),"")</f>
        <v>283.588</v>
      </c>
      <c r="F60" s="271">
        <f>IFERROR(INDEX('Inputs (2)'!$D$74:$AL$74,MATCH(F$7,'Inputs (2)'!$D$2:$AL$2,0)),"")</f>
        <v>737.328</v>
      </c>
      <c r="G60" s="271">
        <f>IFERROR(INDEX('Inputs (2)'!$D$74:$AL$74,MATCH(G$7,'Inputs (2)'!$D$2:$AL$2,0)),"")</f>
        <v>705.969</v>
      </c>
      <c r="H60" s="272">
        <f>IF(COUNT(D60:G60)=4,SUM(D60:G60),"")</f>
        <v>2690.582</v>
      </c>
      <c r="I60" s="271">
        <f>IFERROR(INDEX('Inputs (2)'!$D$74:$AL$74,MATCH(I$7,'Inputs (2)'!$D$2:$AL$2,0)),"")</f>
        <v>281.818</v>
      </c>
      <c r="J60" s="271">
        <f>IFERROR(INDEX('Inputs (2)'!$D$74:$AL$74,MATCH(J$7,'Inputs (2)'!$D$2:$AL$2,0)),"")</f>
        <v>1318.926</v>
      </c>
      <c r="K60" s="271">
        <f>IFERROR(INDEX('Inputs (2)'!$D$74:$AL$74,MATCH(K$7,'Inputs (2)'!$D$2:$AL$2,0)),"")</f>
        <v>1182.7</v>
      </c>
      <c r="L60" s="271">
        <f>IFERROR(INDEX('Inputs (2)'!$D$74:$AL$74,MATCH(L$7,'Inputs (2)'!$D$2:$AL$2,0)),"")</f>
        <v>1996.188</v>
      </c>
      <c r="M60" s="272">
        <f>IF(COUNT(I60:L60)=4,SUM(I60:L60),"")</f>
        <v>4779.632</v>
      </c>
      <c r="N60" s="271">
        <f>IFERROR(INDEX('Inputs (2)'!$D$74:$AL$74,MATCH(N$7,'Inputs (2)'!$D$2:$AL$2,0)),"")</f>
        <v>1808.921</v>
      </c>
      <c r="O60" s="271">
        <f>IFERROR(INDEX('Inputs (2)'!$D$74:$AL$74,MATCH(O$7,'Inputs (2)'!$D$2:$AL$2,0)),"")</f>
        <v>1991.964</v>
      </c>
      <c r="P60" s="271">
        <f>IFERROR(INDEX('Inputs (2)'!$D$74:$AL$74,MATCH(P$7,'Inputs (2)'!$D$2:$AL$2,0)),"")</f>
        <v>1772.167</v>
      </c>
      <c r="Q60" s="271">
        <f>IFERROR(INDEX('Inputs (2)'!$D$74:$AL$74,MATCH(Q$7,'Inputs (2)'!$D$2:$AL$2,0)),"")</f>
        <v>1402.661</v>
      </c>
      <c r="R60" s="272">
        <f>IF(COUNT(N60:Q60)=4,SUM(N60:Q60),"")</f>
        <v>6975.713</v>
      </c>
      <c r="S60" s="271">
        <f>IFERROR(INDEX('Inputs (2)'!$D$74:$AL$74,MATCH(S$7,'Inputs (2)'!$D$2:$AL$2,0)),"")</f>
        <v>76.924</v>
      </c>
      <c r="T60" s="271">
        <f>IFERROR(INDEX('Inputs (2)'!$D$74:$AL$74,MATCH(T$7,'Inputs (2)'!$D$2:$AL$2,0)),"")</f>
        <v>261.923</v>
      </c>
      <c r="U60" s="271">
        <f>IFERROR(INDEX('Inputs (2)'!$D$74:$AL$74,MATCH(U$7,'Inputs (2)'!$D$2:$AL$2,0)),"")</f>
        <v>1026.842</v>
      </c>
      <c r="V60" s="271">
        <f>IFERROR(INDEX('Inputs (2)'!$D$74:$AL$74,MATCH(V$7,'Inputs (2)'!$D$2:$AL$2,0)),"")</f>
        <v>2266.734</v>
      </c>
      <c r="W60" s="272">
        <f>IF(COUNT(S60:V60)=4,SUM(S60:V60),"")</f>
        <v>3632.423</v>
      </c>
      <c r="X60" s="271">
        <f>IFERROR(INDEX('Inputs (2)'!$D$74:$AL$74,MATCH(X$7,'Inputs (2)'!$D$2:$AL$2,0)),"")</f>
        <v>924.786</v>
      </c>
      <c r="Y60" s="271">
        <f>IFERROR(INDEX('Inputs (2)'!$D$74:$AL$74,MATCH(Y$7,'Inputs (2)'!$D$2:$AL$2,0)),"")</f>
        <v>1095.802</v>
      </c>
      <c r="Z60" s="271">
        <f>IFERROR(INDEX('Inputs (2)'!$D$74:$AL$74,MATCH(Z$7,'Inputs (2)'!$D$2:$AL$2,0)),"")</f>
        <v>1654.517</v>
      </c>
      <c r="AA60" s="271">
        <f>IFERROR(INDEX('Inputs (2)'!$D$74:$AL$74,MATCH(AA$7,'Inputs (2)'!$D$2:$AL$2,0)),"")</f>
        <v>2135.623</v>
      </c>
      <c r="AB60" s="272">
        <f>IF(COUNT(X60:AA60)=4,SUM(X60:AA60),"")</f>
        <v>5810.728</v>
      </c>
      <c r="AC60" s="271">
        <f>IFERROR(INDEX('Inputs (2)'!$D$74:$AL$74,MATCH(AC$7,'Inputs (2)'!$D$2:$AL$2,0)),"")</f>
        <v>663.022086703778</v>
      </c>
      <c r="AD60" s="271">
        <f>IFERROR(INDEX('Inputs (2)'!$D$74:$AL$74,MATCH(AD$7,'Inputs (2)'!$D$2:$AL$2,0)),"")</f>
        <v>1801.13291329622</v>
      </c>
      <c r="AE60" s="271">
        <f>IFERROR(INDEX('Inputs (2)'!$D$74:$AL$74,MATCH(AE$7,'Inputs (2)'!$D$2:$AL$2,0)),"")</f>
        <v>955.412</v>
      </c>
      <c r="AF60" s="271">
        <f>IFERROR(INDEX('Inputs (2)'!$D$74:$AL$74,MATCH(AF$7,'Inputs (2)'!$D$2:$AL$2,0)),"")</f>
        <v>2618.41822411392</v>
      </c>
      <c r="AG60" s="272">
        <f>IF(COUNT(AC60:AF60)=4,SUM(AC60:AF60),"")</f>
        <v>6037.98522411392</v>
      </c>
      <c r="AH60" s="272">
        <f>IFERROR(INDEX('Inputs (2)'!$D$74:$AL$74,MATCH(AH$7,'Inputs (2)'!$D$2:$AL$2,0)),"")</f>
        <v>570.416798428371</v>
      </c>
      <c r="AI60" s="272">
        <f>IFERROR(INDEX('Inputs (2)'!$D$74:$AL$74,MATCH(AI$7,'Inputs (2)'!$D$2:$AL$2,0)),"")</f>
        <v>2267.39120159402</v>
      </c>
    </row>
    <row r="61">
      <c r="C61" s="14" t="inlineStr">
        <is>
          <t>Capex GTF (R$ mi)</t>
        </is>
      </c>
      <c r="D61" s="271">
        <f>IFERROR(INDEX('Inputs (2)'!$D$75:$AL$75,MATCH(D$7,'Inputs (2)'!$D$2:$AL$2,0)),"")</f>
        <v>203.085</v>
      </c>
      <c r="E61" s="271">
        <f>IFERROR(INDEX('Inputs (2)'!$D$75:$AL$75,MATCH(E$7,'Inputs (2)'!$D$2:$AL$2,0)),"")</f>
        <v>39.702</v>
      </c>
      <c r="F61" s="271">
        <f>IFERROR(INDEX('Inputs (2)'!$D$75:$AL$75,MATCH(F$7,'Inputs (2)'!$D$2:$AL$2,0)),"")</f>
        <v>238.77</v>
      </c>
      <c r="G61" s="271">
        <f>IFERROR(INDEX('Inputs (2)'!$D$75:$AL$75,MATCH(G$7,'Inputs (2)'!$D$2:$AL$2,0)),"")</f>
        <v>500.861</v>
      </c>
      <c r="H61" s="272">
        <f>IF(COUNT(D61:G61)=4,SUM(D61:G61),"")</f>
        <v>982.418</v>
      </c>
      <c r="I61" s="271">
        <f>IFERROR(INDEX('Inputs (2)'!$D$75:$AL$75,MATCH(I$7,'Inputs (2)'!$D$2:$AL$2,0)),"")</f>
        <v>400.141</v>
      </c>
      <c r="J61" s="271">
        <f>IFERROR(INDEX('Inputs (2)'!$D$75:$AL$75,MATCH(J$7,'Inputs (2)'!$D$2:$AL$2,0)),"")</f>
        <v>268.452</v>
      </c>
      <c r="K61" s="271">
        <f>IFERROR(INDEX('Inputs (2)'!$D$75:$AL$75,MATCH(K$7,'Inputs (2)'!$D$2:$AL$2,0)),"")</f>
        <v>945.323</v>
      </c>
      <c r="L61" s="271">
        <f>IFERROR(INDEX('Inputs (2)'!$D$75:$AL$75,MATCH(L$7,'Inputs (2)'!$D$2:$AL$2,0)),"")</f>
        <v>961.226</v>
      </c>
      <c r="M61" s="272">
        <f>IF(COUNT(I61:L61)=4,SUM(I61:L61),"")</f>
        <v>2575.142</v>
      </c>
      <c r="N61" s="271">
        <f>IFERROR(INDEX('Inputs (2)'!$D$75:$AL$75,MATCH(N$7,'Inputs (2)'!$D$2:$AL$2,0)),"")</f>
        <v>154.34</v>
      </c>
      <c r="O61" s="271">
        <f>IFERROR(INDEX('Inputs (2)'!$D$75:$AL$75,MATCH(O$7,'Inputs (2)'!$D$2:$AL$2,0)),"")</f>
        <v>1080.363</v>
      </c>
      <c r="P61" s="271">
        <f>IFERROR(INDEX('Inputs (2)'!$D$75:$AL$75,MATCH(P$7,'Inputs (2)'!$D$2:$AL$2,0)),"")</f>
        <v>512.801</v>
      </c>
      <c r="Q61" s="271">
        <f>IFERROR(INDEX('Inputs (2)'!$D$75:$AL$75,MATCH(Q$7,'Inputs (2)'!$D$2:$AL$2,0)),"")</f>
        <v>791.89</v>
      </c>
      <c r="R61" s="272">
        <f>IF(COUNT(N61:Q61)=4,SUM(N61:Q61),"")</f>
        <v>2539.394</v>
      </c>
      <c r="S61" s="271">
        <f>IFERROR(INDEX('Inputs (2)'!$D$75:$AL$75,MATCH(S$7,'Inputs (2)'!$D$2:$AL$2,0)),"")</f>
        <v>761.79</v>
      </c>
      <c r="T61" s="271">
        <f>IFERROR(INDEX('Inputs (2)'!$D$75:$AL$75,MATCH(T$7,'Inputs (2)'!$D$2:$AL$2,0)),"")</f>
        <v>920.396</v>
      </c>
      <c r="U61" s="271">
        <f>IFERROR(INDEX('Inputs (2)'!$D$75:$AL$75,MATCH(U$7,'Inputs (2)'!$D$2:$AL$2,0)),"")</f>
        <v>1620.787</v>
      </c>
      <c r="V61" s="271">
        <f>IFERROR(INDEX('Inputs (2)'!$D$75:$AL$75,MATCH(V$7,'Inputs (2)'!$D$2:$AL$2,0)),"")</f>
        <v>2148.859</v>
      </c>
      <c r="W61" s="272">
        <f>IF(COUNT(S61:V61)=4,SUM(S61:V61),"")</f>
        <v>5451.832</v>
      </c>
      <c r="X61" s="271">
        <f>IFERROR(INDEX('Inputs (2)'!$D$75:$AL$75,MATCH(X$7,'Inputs (2)'!$D$2:$AL$2,0)),"")</f>
        <v>1396.221</v>
      </c>
      <c r="Y61" s="271">
        <f>IFERROR(INDEX('Inputs (2)'!$D$75:$AL$75,MATCH(Y$7,'Inputs (2)'!$D$2:$AL$2,0)),"")</f>
        <v>1503.655</v>
      </c>
      <c r="Z61" s="271">
        <f>IFERROR(INDEX('Inputs (2)'!$D$75:$AL$75,MATCH(Z$7,'Inputs (2)'!$D$2:$AL$2,0)),"")</f>
        <v>1356.178</v>
      </c>
      <c r="AA61" s="271">
        <f>IFERROR(INDEX('Inputs (2)'!$D$75:$AL$75,MATCH(AA$7,'Inputs (2)'!$D$2:$AL$2,0)),"")</f>
        <v>1870.277</v>
      </c>
      <c r="AB61" s="272">
        <f>IF(COUNT(X61:AA61)=4,SUM(X61:AA61),"")</f>
        <v>6126.331</v>
      </c>
      <c r="AC61" s="271">
        <f>IFERROR(INDEX('Inputs (2)'!$D$75:$AL$75,MATCH(AC$7,'Inputs (2)'!$D$2:$AL$2,0)),"")</f>
        <v>815.738604756224</v>
      </c>
      <c r="AD61" s="271">
        <f>IFERROR(INDEX('Inputs (2)'!$D$75:$AL$75,MATCH(AD$7,'Inputs (2)'!$D$2:$AL$2,0)),"")</f>
        <v>1235.11359026344</v>
      </c>
      <c r="AE61" s="271">
        <f>IFERROR(INDEX('Inputs (2)'!$D$75:$AL$75,MATCH(AE$7,'Inputs (2)'!$D$2:$AL$2,0)),"")</f>
        <v>1335.992</v>
      </c>
      <c r="AF61" s="271">
        <f>IFERROR(INDEX('Inputs (2)'!$D$75:$AL$75,MATCH(AF$7,'Inputs (2)'!$D$2:$AL$2,0)),"")</f>
        <v>1493.40844685411</v>
      </c>
      <c r="AG61" s="272">
        <f>IF(COUNT(AC61:AF61)=4,SUM(AC61:AF61),"")</f>
        <v>4880.25264187378</v>
      </c>
      <c r="AH61" s="272">
        <f>IFERROR(INDEX('Inputs (2)'!$D$75:$AL$75,MATCH(AH$7,'Inputs (2)'!$D$2:$AL$2,0)),"")</f>
        <v>988.500251941624</v>
      </c>
      <c r="AI61" s="272">
        <f>IFERROR(INDEX('Inputs (2)'!$D$75:$AL$75,MATCH(AI$7,'Inputs (2)'!$D$2:$AL$2,0)),"")</f>
        <v>1707.59934669297</v>
      </c>
    </row>
    <row r="62">
      <c r="C62" s="273" t="inlineStr">
        <is>
          <t>Capex total RAC + GTF (R$ mi)</t>
        </is>
      </c>
      <c r="D62" s="271">
        <f>IF(COUNT(D60,D61)=0,"",N(D60)+N(D61))</f>
        <v>1166.782</v>
      </c>
      <c r="E62" s="271">
        <f>IF(COUNT(E60,E61)=0,"",N(E60)+N(E61))</f>
        <v>323.29</v>
      </c>
      <c r="F62" s="271">
        <f>IF(COUNT(F60,F61)=0,"",N(F60)+N(F61))</f>
        <v>976.098</v>
      </c>
      <c r="G62" s="271">
        <f>IF(COUNT(G60,G61)=0,"",N(G60)+N(G61))</f>
        <v>1206.83</v>
      </c>
      <c r="H62" s="272">
        <f>IF(COUNT(H60,H61)=0,"",N(H60)+N(H61))</f>
        <v>3673</v>
      </c>
      <c r="I62" s="271">
        <f>IF(COUNT(I60,I61)=0,"",N(I60)+N(I61))</f>
        <v>681.959</v>
      </c>
      <c r="J62" s="271">
        <f>IF(COUNT(J60,J61)=0,"",N(J60)+N(J61))</f>
        <v>1587.378</v>
      </c>
      <c r="K62" s="271">
        <f>IF(COUNT(K60,K61)=0,"",N(K60)+N(K61))</f>
        <v>2128.023</v>
      </c>
      <c r="L62" s="271">
        <f>IF(COUNT(L60,L61)=0,"",N(L60)+N(L61))</f>
        <v>2957.414</v>
      </c>
      <c r="M62" s="272">
        <f>IF(COUNT(M60,M61)=0,"",N(M60)+N(M61))</f>
        <v>7354.774</v>
      </c>
      <c r="N62" s="271">
        <f>IF(COUNT(N60,N61)=0,"",N(N60)+N(N61))</f>
        <v>1963.261</v>
      </c>
      <c r="O62" s="271">
        <f>IF(COUNT(O60,O61)=0,"",N(O60)+N(O61))</f>
        <v>3072.327</v>
      </c>
      <c r="P62" s="271">
        <f>IF(COUNT(P60,P61)=0,"",N(P60)+N(P61))</f>
        <v>2284.968</v>
      </c>
      <c r="Q62" s="271">
        <f>IF(COUNT(Q60,Q61)=0,"",N(Q60)+N(Q61))</f>
        <v>2194.551</v>
      </c>
      <c r="R62" s="272">
        <f>IF(COUNT(R60,R61)=0,"",N(R60)+N(R61))</f>
        <v>9515.107</v>
      </c>
      <c r="S62" s="271">
        <f>IF(COUNT(S60,S61)=0,"",N(S60)+N(S61))</f>
        <v>838.714</v>
      </c>
      <c r="T62" s="271">
        <f>IF(COUNT(T60,T61)=0,"",N(T60)+N(T61))</f>
        <v>1182.319</v>
      </c>
      <c r="U62" s="271">
        <f>IF(COUNT(U60,U61)=0,"",N(U60)+N(U61))</f>
        <v>2647.629</v>
      </c>
      <c r="V62" s="271">
        <f>IF(COUNT(V60,V61)=0,"",N(V60)+N(V61))</f>
        <v>4415.593</v>
      </c>
      <c r="W62" s="272">
        <f>IF(COUNT(W60,W61)=0,"",N(W60)+N(W61))</f>
        <v>9084.255</v>
      </c>
      <c r="X62" s="271">
        <f>IF(COUNT(X60,X61)=0,"",N(X60)+N(X61))</f>
        <v>2321.007</v>
      </c>
      <c r="Y62" s="271">
        <f>IF(COUNT(Y60,Y61)=0,"",N(Y60)+N(Y61))</f>
        <v>2599.457</v>
      </c>
      <c r="Z62" s="271">
        <f>IF(COUNT(Z60,Z61)=0,"",N(Z60)+N(Z61))</f>
        <v>3010.695</v>
      </c>
      <c r="AA62" s="271">
        <f>IF(COUNT(AA60,AA61)=0,"",N(AA60)+N(AA61))</f>
        <v>4005.9</v>
      </c>
      <c r="AB62" s="272">
        <f>IF(COUNT(AB60,AB61)=0,"",N(AB60)+N(AB61))</f>
        <v>11937.059</v>
      </c>
      <c r="AC62" s="271">
        <f>IF(COUNT(AC60,AC61)=0,"",N(AC60)+N(AC61))</f>
        <v>1478.76069146</v>
      </c>
      <c r="AD62" s="271">
        <f>IF(COUNT(AD60,AD61)=0,"",N(AD60)+N(AD61))</f>
        <v>3036.24650355966</v>
      </c>
      <c r="AE62" s="271">
        <f>IF(COUNT(AE60,AE61)=0,"",N(AE60)+N(AE61))</f>
        <v>2291.404</v>
      </c>
      <c r="AF62" s="271">
        <f>IF(COUNT(AF60,AF61)=0,"",N(AF60)+N(AF61))</f>
        <v>4111.82667096804</v>
      </c>
      <c r="AG62" s="272">
        <f>IF(COUNT(AG60,AG61)=0,"",N(AG60)+N(AG61))</f>
        <v>10918.2378659877</v>
      </c>
      <c r="AH62" s="272">
        <f>IF(COUNT(AH60,AH61)=0,"",N(AH60)+N(AH61))</f>
        <v>1558.91705037</v>
      </c>
      <c r="AI62" s="272">
        <f>IF(COUNT(AI60,AI61)=0,"",N(AI60)+N(AI61))</f>
        <v>3974.99054828699</v>
      </c>
    </row>
    <row r="63"/>
    <row r="64" hidden="1" outlineLevel="1" customFormat="1" s="23">
      <c r="A64" s="18" t="n"/>
      <c r="B64" s="19" t="n"/>
      <c r="C64" s="20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1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/>
      <c r="BD64" s="21" t="n"/>
      <c r="BE64" s="21" t="n"/>
      <c r="BF64" s="21" t="n"/>
      <c r="BG64" s="21" t="n"/>
      <c r="BH64" s="21" t="n"/>
      <c r="BI64" s="21" t="n"/>
      <c r="BJ64" s="21" t="n"/>
      <c r="BK64" s="21" t="n"/>
      <c r="BL64" s="21" t="n"/>
      <c r="BM64" s="21" t="n"/>
      <c r="BN64" s="21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1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</row>
    <row r="65" hidden="1" outlineLevel="1" customFormat="1" s="23">
      <c r="A65" s="18" t="n"/>
      <c r="B65" s="19" t="n"/>
      <c r="C65" s="20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</row>
    <row r="66" collapsed="1">
      <c r="C66" s="24" t="inlineStr">
        <is>
          <t>COGS (cash)</t>
        </is>
      </c>
      <c r="D66" s="25">
        <f>INDEX('Inputs (2)'!$D$5:$AL$5,MATCH(D$7,'Inputs (2)'!$D$2:$AL$2,0))</f>
        <v>-612.09</v>
      </c>
      <c r="E66" s="25">
        <f>INDEX('Inputs (2)'!$D$5:$AL$5,MATCH(E$7,'Inputs (2)'!$D$2:$AL$2,0))</f>
        <v>-761.96</v>
      </c>
      <c r="F66" s="25">
        <f>INDEX('Inputs (2)'!$D$5:$AL$5,MATCH(F$7,'Inputs (2)'!$D$2:$AL$2,0))</f>
        <v>-665.921</v>
      </c>
      <c r="G66" s="25">
        <f>INDEX('Inputs (2)'!$D$5:$AL$5,MATCH(G$7,'Inputs (2)'!$D$2:$AL$2,0))</f>
        <v>-491.652</v>
      </c>
      <c r="H66" s="3">
        <f>SUM(D66:G66)</f>
        <v>-2531.623</v>
      </c>
      <c r="I66" s="25">
        <f>INDEX('Inputs (2)'!$D$5:$AL$5,MATCH(I$7,'Inputs (2)'!$D$2:$AL$2,0))</f>
        <v>-296.445</v>
      </c>
      <c r="J66" s="25">
        <f>INDEX('Inputs (2)'!$D$5:$AL$5,MATCH(J$7,'Inputs (2)'!$D$2:$AL$2,0))</f>
        <v>-605.183</v>
      </c>
      <c r="K66" s="25">
        <f>INDEX('Inputs (2)'!$D$5:$AL$5,MATCH(K$7,'Inputs (2)'!$D$2:$AL$2,0))</f>
        <v>-729.162</v>
      </c>
      <c r="L66" s="25">
        <f>INDEX('Inputs (2)'!$D$5:$AL$5,MATCH(L$7,'Inputs (2)'!$D$2:$AL$2,0))</f>
        <v>-699.45</v>
      </c>
      <c r="M66" s="3">
        <f>SUM(I66:L66)</f>
        <v>-2330.24</v>
      </c>
      <c r="N66" s="25">
        <f>INDEX('Inputs (2)'!$D$5:$AL$5,MATCH(N$7,'Inputs (2)'!$D$2:$AL$2,0))</f>
        <v>-807.931</v>
      </c>
      <c r="O66" s="25">
        <f>INDEX('Inputs (2)'!$D$5:$AL$5,MATCH(O$7,'Inputs (2)'!$D$2:$AL$2,0))</f>
        <v>-1068.195</v>
      </c>
      <c r="P66" s="25">
        <f>INDEX('Inputs (2)'!$D$5:$AL$5,MATCH(P$7,'Inputs (2)'!$D$2:$AL$2,0))</f>
        <v>-1319.005</v>
      </c>
      <c r="Q66" s="25">
        <f>INDEX('Inputs (2)'!$D$5:$AL$5,MATCH(Q$7,'Inputs (2)'!$D$2:$AL$2,0))</f>
        <v>-1423.846</v>
      </c>
      <c r="R66" s="3">
        <f>SUM(N66:Q66)</f>
        <v>-4618.977</v>
      </c>
      <c r="S66" s="25">
        <f>INDEX('Inputs (2)'!$D$5:$AL$5,MATCH(S$7,'Inputs (2)'!$D$2:$AL$2,0))</f>
        <v>-1495.089</v>
      </c>
      <c r="T66" s="25">
        <f>INDEX('Inputs (2)'!$D$5:$AL$5,MATCH(T$7,'Inputs (2)'!$D$2:$AL$2,0))</f>
        <v>-1259.21</v>
      </c>
      <c r="U66" s="25">
        <f>INDEX('Inputs (2)'!$D$5:$AL$5,MATCH(U$7,'Inputs (2)'!$D$2:$AL$2,0))</f>
        <v>-1459.743</v>
      </c>
      <c r="V66" s="25">
        <f>INDEX('Inputs (2)'!$D$5:$AL$5,MATCH(V$7,'Inputs (2)'!$D$2:$AL$2,0))</f>
        <v>-1121.686</v>
      </c>
      <c r="W66" s="3">
        <f>SUM(S66:V66)</f>
        <v>-5335.728</v>
      </c>
      <c r="X66" s="25">
        <f>INDEX('Inputs (2)'!$D$5:$AL$5,MATCH(X$7,'Inputs (2)'!$D$2:$AL$2,0))</f>
        <v>-1641.713</v>
      </c>
      <c r="Y66" s="25">
        <f>INDEX('Inputs (2)'!$D$5:$AL$5,MATCH(Y$7,'Inputs (2)'!$D$2:$AL$2,0))</f>
        <v>-1943.53</v>
      </c>
      <c r="Z66" s="25">
        <f>INDEX('Inputs (2)'!$D$5:$AL$5,MATCH(Z$7,'Inputs (2)'!$D$2:$AL$2,0))</f>
        <v>-2167.358</v>
      </c>
      <c r="AA66" s="25">
        <f>INDEX('Inputs (2)'!$D$5:$AL$5,MATCH(AA$7,'Inputs (2)'!$D$2:$AL$2,0))</f>
        <v>-1632.258</v>
      </c>
      <c r="AB66" s="3">
        <f>SUM(X66:AA66)</f>
        <v>-7384.859</v>
      </c>
      <c r="AC66" s="25">
        <f>INDEX('Inputs (2)'!$D$5:$AL$5,MATCH(AC$7,'Inputs (2)'!$D$2:$AL$2,0))</f>
        <v>-1850.292</v>
      </c>
      <c r="AD66" s="25">
        <f>INDEX('Inputs (2)'!$D$5:$AL$5,MATCH(AD$7,'Inputs (2)'!$D$2:$AL$2,0))</f>
        <v>-1930.49</v>
      </c>
      <c r="AE66" s="25">
        <f>INDEX('Inputs (2)'!$D$5:$AL$5,MATCH(AE$7,'Inputs (2)'!$D$2:$AL$2,0))</f>
        <v>-1923.127</v>
      </c>
      <c r="AF66" s="25">
        <f>INDEX('Inputs (2)'!$D$5:$AL$5,MATCH(AF$7,'Inputs (2)'!$D$2:$AL$2,0))</f>
        <v>-1775.8778087</v>
      </c>
      <c r="AG66" s="3">
        <f>SUM(AC66:AF66)</f>
        <v>-7479.7868087</v>
      </c>
      <c r="AH66" s="3">
        <f>INDEX('Inputs (2)'!$D$5:$AL$5,MATCH(AH$7,'Inputs (2)'!$D$2:$AL$2,0))</f>
        <v>-1792.9548484</v>
      </c>
      <c r="AI66" s="3">
        <f>INDEX('Inputs (2)'!$D$5:$AL$5,MATCH(AI$7,'Inputs (2)'!$D$2:$AL$2,0))</f>
        <v>-1658.1450488</v>
      </c>
      <c r="AJ66" s="3">
        <f>(100%-AJ67)*-AJ15</f>
        <v>-3765.843</v>
      </c>
      <c r="AK66" s="3">
        <f>(100%-AK67)*-AK15</f>
        <v>-3658.97515495011</v>
      </c>
      <c r="AL66" s="3">
        <f>SUM(AH66:AK66)</f>
        <v>-10875.9180521501</v>
      </c>
      <c r="AM66" s="3">
        <f>(100%-AM67)*-AM15</f>
        <v>-3780.64496496181</v>
      </c>
      <c r="AN66" s="3">
        <f>(100%-AN67)*-AN15</f>
        <v>-3765.83020748821</v>
      </c>
      <c r="AO66" s="3">
        <f>(100%-AO67)*-AO15</f>
        <v>-3765.843</v>
      </c>
      <c r="AP66" s="3">
        <f>(100%-AP67)*-AP15</f>
        <v>-3658.97515495011</v>
      </c>
      <c r="AQ66" s="3">
        <f>SUM(AM66:AP66)</f>
        <v>-14971.2933274001</v>
      </c>
      <c r="AR66" s="3">
        <f>(100%-AR67)*-AR15</f>
        <v>-3780.64496496181</v>
      </c>
      <c r="AS66" s="3">
        <f>(100%-AS67)*-AS15</f>
        <v>-3765.83020748821</v>
      </c>
      <c r="AT66" s="3">
        <f>(100%-AT67)*-AT15</f>
        <v>-3765.843</v>
      </c>
      <c r="AU66" s="3">
        <f>(100%-AU67)*-AU15</f>
        <v>-3658.97515495011</v>
      </c>
      <c r="AV66" s="3">
        <f>SUM(AR66:AU66)</f>
        <v>-14971.2933274001</v>
      </c>
      <c r="AW66" s="3">
        <f>(100%-AW67)*-AW15</f>
        <v>-3780.64496496181</v>
      </c>
      <c r="AX66" s="3">
        <f>(100%-AX67)*-AX15</f>
        <v>-3765.83020748821</v>
      </c>
      <c r="AY66" s="3">
        <f>(100%-AY67)*-AY15</f>
        <v>-3765.843</v>
      </c>
      <c r="AZ66" s="3">
        <f>(100%-AZ67)*-AZ15</f>
        <v>-3658.97515495011</v>
      </c>
      <c r="BA66" s="3">
        <f>SUM(AW66:AZ66)</f>
        <v>-14971.2933274001</v>
      </c>
      <c r="BB66" s="3">
        <f>(100%-BB67)*-BB15</f>
        <v>-3780.64496496181</v>
      </c>
      <c r="BC66" s="3">
        <f>(100%-BC67)*-BC15</f>
        <v>-3765.83020748821</v>
      </c>
      <c r="BD66" s="3">
        <f>(100%-BD67)*-BD15</f>
        <v>-3765.843</v>
      </c>
      <c r="BE66" s="3">
        <f>(100%-BE67)*-BE15</f>
        <v>-3658.97515495011</v>
      </c>
      <c r="BF66" s="3">
        <f>SUM(BB66:BE66)</f>
        <v>-14971.2933274001</v>
      </c>
      <c r="BG66" s="3">
        <f>(100%-BG67)*-BG15</f>
        <v>-3780.64496496181</v>
      </c>
      <c r="BH66" s="3">
        <f>(100%-BH67)*-BH15</f>
        <v>-3765.83020748821</v>
      </c>
      <c r="BI66" s="3">
        <f>(100%-BI67)*-BI15</f>
        <v>-3765.843</v>
      </c>
      <c r="BJ66" s="3">
        <f>(100%-BJ67)*-BJ15</f>
        <v>-3658.97515495011</v>
      </c>
      <c r="BK66" s="3">
        <f>SUM(BG66:BJ66)</f>
        <v>-14971.2933274001</v>
      </c>
      <c r="BL66" s="3">
        <f>(100%-BL67)*-BL15</f>
        <v>-3780.64496496181</v>
      </c>
      <c r="BM66" s="3">
        <f>(100%-BM67)*-BM15</f>
        <v>-3765.83020748821</v>
      </c>
      <c r="BN66" s="3">
        <f>(100%-BN67)*-BN15</f>
        <v>-3765.843</v>
      </c>
      <c r="BO66" s="3">
        <f>(100%-BO67)*-BO15</f>
        <v>-3658.97515495011</v>
      </c>
      <c r="BP66" s="3">
        <f>SUM(BL66:BO66)</f>
        <v>-14971.2933274001</v>
      </c>
      <c r="BQ66" s="3">
        <f>(100%-BQ67)*-BQ15</f>
        <v>-3780.64496496181</v>
      </c>
      <c r="BR66" s="3">
        <f>(100%-BR67)*-BR15</f>
        <v>-3765.83020748821</v>
      </c>
      <c r="BS66" s="3">
        <f>(100%-BS67)*-BS15</f>
        <v>-3765.843</v>
      </c>
      <c r="BT66" s="3">
        <f>(100%-BT67)*-BT15</f>
        <v>-3658.97515495011</v>
      </c>
      <c r="BU66" s="3">
        <f>SUM(BQ66:BT66)</f>
        <v>-14971.2933274001</v>
      </c>
      <c r="BV66" s="3">
        <f>(100%-BV67)*-BV15</f>
        <v>-3780.64496496181</v>
      </c>
      <c r="BW66" s="3">
        <f>(100%-BW67)*-BW15</f>
        <v>-3765.83020748821</v>
      </c>
      <c r="BX66" s="3">
        <f>(100%-BX67)*-BX15</f>
        <v>-3765.843</v>
      </c>
      <c r="BY66" s="3">
        <f>(100%-BY67)*-BY15</f>
        <v>-3658.97515495011</v>
      </c>
      <c r="BZ66" s="3">
        <f>SUM(BV66:BY66)</f>
        <v>-14971.2933274001</v>
      </c>
      <c r="CA66" s="3">
        <f>(100%-CA67)*-CA15</f>
        <v>-3780.64496496181</v>
      </c>
      <c r="CB66" s="3">
        <f>(100%-CB67)*-CB15</f>
        <v>-3765.83020748821</v>
      </c>
      <c r="CC66" s="3">
        <f>(100%-CC67)*-CC15</f>
        <v>-3765.843</v>
      </c>
      <c r="CD66" s="3">
        <f>(100%-CD67)*-CD15</f>
        <v>-3658.97515495011</v>
      </c>
      <c r="CE66" s="3">
        <f>SUM(CA66:CD66)</f>
        <v>-14971.2933274001</v>
      </c>
      <c r="CF66" s="3">
        <f>(100%-CF67)*-CF15</f>
        <v>-3780.64496496181</v>
      </c>
      <c r="CG66" s="3">
        <f>(100%-CG67)*-CG15</f>
        <v>-3765.83020748821</v>
      </c>
      <c r="CH66" s="3">
        <f>(100%-CH67)*-CH15</f>
        <v>-3765.843</v>
      </c>
      <c r="CI66" s="3">
        <f>(100%-CI67)*-CI15</f>
        <v>-3658.97515495011</v>
      </c>
      <c r="CJ66" s="3">
        <f>SUM(CF66:CI66)</f>
        <v>-14971.2933274001</v>
      </c>
      <c r="CK66" s="3">
        <f>(100%-CK67)*-CK15</f>
        <v>-3780.64496496181</v>
      </c>
      <c r="CL66" s="3">
        <f>(100%-CL67)*-CL15</f>
        <v>-3765.83020748821</v>
      </c>
      <c r="CM66" s="3">
        <f>(100%-CM67)*-CM15</f>
        <v>-3765.843</v>
      </c>
      <c r="CN66" s="3">
        <f>(100%-CN67)*-CN15</f>
        <v>-3658.97515495011</v>
      </c>
      <c r="CO66" s="3">
        <f>SUM(CK66:CN66)</f>
        <v>-14971.2933274001</v>
      </c>
      <c r="CP66" s="3">
        <f>(100%-CP67)*-CP15</f>
        <v>-3780.64496496181</v>
      </c>
      <c r="CQ66" s="3">
        <f>(100%-CQ67)*-CQ15</f>
        <v>-3765.83020748821</v>
      </c>
      <c r="CR66" s="3">
        <f>(100%-CR67)*-CR15</f>
        <v>-3765.843</v>
      </c>
      <c r="CS66" s="3">
        <f>(100%-CS67)*-CS15</f>
        <v>-3658.97515495011</v>
      </c>
      <c r="CT66" s="3">
        <f>SUM(CP66:CS66)</f>
        <v>-14971.2933274001</v>
      </c>
      <c r="CU66" s="3">
        <f>(100%-CU67)*-CU15</f>
        <v>-3780.64496496181</v>
      </c>
      <c r="CV66" s="3">
        <f>(100%-CV67)*-CV15</f>
        <v>-3765.83020748821</v>
      </c>
      <c r="CW66" s="3">
        <f>(100%-CW67)*-CW15</f>
        <v>-3765.843</v>
      </c>
      <c r="CX66" s="3">
        <f>(100%-CX67)*-CX15</f>
        <v>-3658.97515495011</v>
      </c>
      <c r="CY66" s="3">
        <f>SUM(CU66:CX66)</f>
        <v>-14971.2933274001</v>
      </c>
    </row>
    <row r="67" hidden="1" outlineLevel="1" customFormat="1" s="1">
      <c r="C67" s="57" t="inlineStr">
        <is>
          <t>% Gross Margin</t>
        </is>
      </c>
      <c r="D67" s="54">
        <f>(D15+D66)/D$15</f>
        <v>0.369976377588044</v>
      </c>
      <c r="E67" s="54">
        <f>(E15+E66)/E$15</f>
        <v>0.253928342028168</v>
      </c>
      <c r="F67" s="54">
        <f>(F15+F66)/F$15</f>
        <v>0.336986975127093</v>
      </c>
      <c r="G67" s="54">
        <f>(G15+G66)/G$15</f>
        <v>0.486799747811092</v>
      </c>
      <c r="H67" s="54">
        <f>(H15+H66)/H$15</f>
        <v>0.359930107713106</v>
      </c>
      <c r="I67" s="54">
        <f>(I15+I66)/I$15</f>
        <v>0.608680328215093</v>
      </c>
      <c r="J67" s="54">
        <f>(J15+J66)/J$15</f>
        <v>0.480683402769137</v>
      </c>
      <c r="K67" s="54">
        <f>(K15+K66)/K$15</f>
        <v>0.520627503162235</v>
      </c>
      <c r="L67" s="54">
        <f>(L15+L66)/L$15</f>
        <v>0.585895155011796</v>
      </c>
      <c r="M67" s="54">
        <f>(M15+M66)/M$15</f>
        <v>0.546031024901822</v>
      </c>
      <c r="N67" s="54">
        <f>(N15+N66)/N$15</f>
        <v>0.576035456538086</v>
      </c>
      <c r="O67" s="54">
        <f>(O15+O66)/O$15</f>
        <v>0.521201779298178</v>
      </c>
      <c r="P67" s="54">
        <f>(P15+P66)/P$15</f>
        <v>0.480064757117449</v>
      </c>
      <c r="Q67" s="54">
        <f>(Q15+Q66)/Q$15</f>
        <v>0.457919701762675</v>
      </c>
      <c r="R67" s="54">
        <f>(R15+R66)/R$15</f>
        <v>0.503343603423</v>
      </c>
      <c r="S67" s="54">
        <f>(S15+S66)/S$15</f>
        <v>0.44692006454558</v>
      </c>
      <c r="T67" s="54">
        <f>(T15+T66)/T$15</f>
        <v>0.492078717492812</v>
      </c>
      <c r="U67" s="54">
        <f>(U15+U66)/U$15</f>
        <v>0.452504669532147</v>
      </c>
      <c r="V67" s="54">
        <f>(V15+V66)/V$15</f>
        <v>0.550145902615018</v>
      </c>
      <c r="W67" s="54">
        <f>(W15+W66)/W$15</f>
        <v>0.484072638076104</v>
      </c>
      <c r="X67" s="54">
        <f>(X15+X66)/X$15</f>
        <v>0.45668254984204</v>
      </c>
      <c r="Y67" s="54">
        <f>(Y15+Y66)/Y$15</f>
        <v>0.43429743358082</v>
      </c>
      <c r="Z67" s="54">
        <f>(Z15+Z66)/Z$15</f>
        <v>0.42599680496967</v>
      </c>
      <c r="AA67" s="54">
        <f>(AA15+AA66)/AA$15</f>
        <v>0.497481802757687</v>
      </c>
      <c r="AB67" s="54">
        <f>(AB15+AB66)/AB$15</f>
        <v>0.45221344485991</v>
      </c>
      <c r="AC67" s="54">
        <f>(AC15+AC66)/AC$15</f>
        <v>0.481453975373231</v>
      </c>
      <c r="AD67" s="54">
        <f>(AD15+AD66)/AD$15</f>
        <v>0.475268591570658</v>
      </c>
      <c r="AE67" s="54">
        <f>(AE15+AE66)/AE$15</f>
        <v>0.48932363882403</v>
      </c>
      <c r="AF67" s="44">
        <f>(AF15+AF66)/AF$15</f>
        <v>0.514651580430255</v>
      </c>
      <c r="AG67" s="54">
        <f>(AG15+AG66)/AG$15</f>
        <v>0.490201834050737</v>
      </c>
      <c r="AH67" s="55">
        <f>(AH15+AH66)/AH$15</f>
        <v>0.525754239020931</v>
      </c>
      <c r="AI67" s="55">
        <f>(AI15+AI66)/AI$15</f>
        <v>0.559686720473259</v>
      </c>
      <c r="AJ67" s="55" t="n"/>
      <c r="AK67" s="55" t="n"/>
      <c r="AL67" s="54">
        <f>(AL15+AL66)/AL$15</f>
        <v>0.273548529555209</v>
      </c>
      <c r="AM67" s="55" t="n"/>
      <c r="AN67" s="55" t="n"/>
      <c r="AO67" s="55" t="n"/>
      <c r="AP67" s="55" t="n"/>
      <c r="AQ67" s="54">
        <f>(AQ15+AQ66)/AQ$15</f>
        <v>0</v>
      </c>
      <c r="AR67" s="55" t="n"/>
      <c r="AS67" s="55" t="n"/>
      <c r="AT67" s="55" t="n"/>
      <c r="AU67" s="55" t="n"/>
      <c r="AV67" s="54">
        <f>(AV15+AV66)/AV$15</f>
        <v>0</v>
      </c>
      <c r="AW67" s="55" t="n"/>
      <c r="AX67" s="55" t="n"/>
      <c r="AY67" s="55" t="n"/>
      <c r="AZ67" s="55" t="n"/>
      <c r="BA67" s="54">
        <f>(BA15+BA66)/BA$15</f>
        <v>0</v>
      </c>
      <c r="BB67" s="55" t="n"/>
      <c r="BC67" s="55" t="n"/>
      <c r="BD67" s="55" t="n"/>
      <c r="BE67" s="55" t="n"/>
      <c r="BF67" s="54">
        <f>(BF15+BF66)/BF$15</f>
        <v>0</v>
      </c>
      <c r="BG67" s="55" t="n"/>
      <c r="BH67" s="55" t="n"/>
      <c r="BI67" s="55" t="n"/>
      <c r="BJ67" s="55" t="n"/>
      <c r="BK67" s="54">
        <f>(BK15+BK66)/BK$15</f>
        <v>0</v>
      </c>
      <c r="BL67" s="55" t="n"/>
      <c r="BM67" s="55" t="n"/>
      <c r="BN67" s="55" t="n"/>
      <c r="BO67" s="55" t="n"/>
      <c r="BP67" s="54">
        <f>(BP15+BP66)/BP$15</f>
        <v>0</v>
      </c>
      <c r="BQ67" s="55" t="n"/>
      <c r="BR67" s="55" t="n"/>
      <c r="BS67" s="55" t="n"/>
      <c r="BT67" s="55" t="n"/>
      <c r="BU67" s="54">
        <f>(BU15+BU66)/BU$15</f>
        <v>0</v>
      </c>
      <c r="BV67" s="55" t="n"/>
      <c r="BW67" s="55" t="n"/>
      <c r="BX67" s="55" t="n"/>
      <c r="BY67" s="55" t="n"/>
      <c r="BZ67" s="54">
        <f>(BZ15+BZ66)/BZ$15</f>
        <v>0</v>
      </c>
      <c r="CA67" s="55" t="n"/>
      <c r="CB67" s="55" t="n"/>
      <c r="CC67" s="55" t="n"/>
      <c r="CD67" s="55" t="n"/>
      <c r="CE67" s="54">
        <f>(CE15+CE66)/CE$15</f>
        <v>0</v>
      </c>
      <c r="CF67" s="55" t="n"/>
      <c r="CG67" s="55" t="n"/>
      <c r="CH67" s="55" t="n"/>
      <c r="CI67" s="55" t="n"/>
      <c r="CJ67" s="54">
        <f>(CJ15+CJ66)/CJ$15</f>
        <v>0</v>
      </c>
      <c r="CK67" s="55" t="n"/>
      <c r="CL67" s="55" t="n"/>
      <c r="CM67" s="55" t="n"/>
      <c r="CN67" s="55" t="n"/>
      <c r="CO67" s="54">
        <f>(CO15+CO66)/CO$15</f>
        <v>0</v>
      </c>
      <c r="CP67" s="55" t="n"/>
      <c r="CQ67" s="55" t="n"/>
      <c r="CR67" s="55" t="n"/>
      <c r="CS67" s="55" t="n"/>
      <c r="CT67" s="54">
        <f>(CT15+CT66)/CT$15</f>
        <v>0</v>
      </c>
      <c r="CU67" s="55" t="n"/>
      <c r="CV67" s="55" t="n"/>
      <c r="CW67" s="55" t="n"/>
      <c r="CX67" s="55" t="n"/>
      <c r="CY67" s="54">
        <f>(CY15+CY66)/CY$15</f>
        <v>0</v>
      </c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2" t="n"/>
      <c r="Z69" s="32" t="n"/>
      <c r="AA69" s="32" t="n"/>
      <c r="AB69" s="32" t="n"/>
      <c r="AC69" s="32" t="n"/>
      <c r="AD69" s="32" t="n"/>
      <c r="AE69" s="32" t="n"/>
      <c r="AF69" s="32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collapsed="1">
      <c r="C70" s="24" t="inlineStr">
        <is>
          <t>SG&amp;A and Other (cash)</t>
        </is>
      </c>
      <c r="D70" s="25">
        <f>INDEX('Inputs (2)'!$D$6:$AL$6,MATCH(D$7,'Inputs (2)'!$D$2:$AL$2,0))</f>
        <v>-134.338</v>
      </c>
      <c r="E70" s="25">
        <f>INDEX('Inputs (2)'!$D$6:$AL$6,MATCH(E$7,'Inputs (2)'!$D$2:$AL$2,0))</f>
        <v>-108.015</v>
      </c>
      <c r="F70" s="25">
        <f>INDEX('Inputs (2)'!$D$6:$AL$6,MATCH(F$7,'Inputs (2)'!$D$2:$AL$2,0))</f>
        <v>-125.293</v>
      </c>
      <c r="G70" s="25">
        <f>INDEX('Inputs (2)'!$D$6:$AL$6,MATCH(G$7,'Inputs (2)'!$D$2:$AL$2,0))</f>
        <v>-161.098</v>
      </c>
      <c r="H70" s="3">
        <f>SUM(D70:G70)</f>
        <v>-528.744</v>
      </c>
      <c r="I70" s="25">
        <f>INDEX('Inputs (2)'!$D$6:$AL$6,MATCH(I$7,'Inputs (2)'!$D$2:$AL$2,0))</f>
        <v>-156.605</v>
      </c>
      <c r="J70" s="25">
        <f>INDEX('Inputs (2)'!$D$6:$AL$6,MATCH(J$7,'Inputs (2)'!$D$2:$AL$2,0))</f>
        <v>-171.698</v>
      </c>
      <c r="K70" s="25">
        <f>INDEX('Inputs (2)'!$D$6:$AL$6,MATCH(K$7,'Inputs (2)'!$D$2:$AL$2,0))</f>
        <v>-178.506</v>
      </c>
      <c r="L70" s="25">
        <f>INDEX('Inputs (2)'!$D$6:$AL$6,MATCH(L$7,'Inputs (2)'!$D$2:$AL$2,0))</f>
        <v>-213.003</v>
      </c>
      <c r="M70" s="3">
        <f>SUM(I70:L70)</f>
        <v>-719.812</v>
      </c>
      <c r="N70" s="25">
        <f>INDEX('Inputs (2)'!$D$6:$AL$6,MATCH(N$7,'Inputs (2)'!$D$2:$AL$2,0))</f>
        <v>-234.631</v>
      </c>
      <c r="O70" s="25">
        <f>INDEX('Inputs (2)'!$D$6:$AL$6,MATCH(O$7,'Inputs (2)'!$D$2:$AL$2,0))</f>
        <v>-257.54</v>
      </c>
      <c r="P70" s="25">
        <f>INDEX('Inputs (2)'!$D$6:$AL$6,MATCH(P$7,'Inputs (2)'!$D$2:$AL$2,0))</f>
        <v>-292.522</v>
      </c>
      <c r="Q70" s="25">
        <f>INDEX('Inputs (2)'!$D$6:$AL$6,MATCH(Q$7,'Inputs (2)'!$D$2:$AL$2,0))</f>
        <v>-344.544</v>
      </c>
      <c r="R70" s="3">
        <f>SUM(N70:Q70)</f>
        <v>-1129.237</v>
      </c>
      <c r="S70" s="25">
        <f>INDEX('Inputs (2)'!$D$6:$AL$6,MATCH(S$7,'Inputs (2)'!$D$2:$AL$2,0))</f>
        <v>-332.775</v>
      </c>
      <c r="T70" s="25">
        <f>INDEX('Inputs (2)'!$D$6:$AL$6,MATCH(T$7,'Inputs (2)'!$D$2:$AL$2,0))</f>
        <v>-329.942</v>
      </c>
      <c r="U70" s="25">
        <f>INDEX('Inputs (2)'!$D$6:$AL$6,MATCH(U$7,'Inputs (2)'!$D$2:$AL$2,0))</f>
        <v>-338.551</v>
      </c>
      <c r="V70" s="25">
        <f>INDEX('Inputs (2)'!$D$6:$AL$6,MATCH(V$7,'Inputs (2)'!$D$2:$AL$2,0))</f>
        <v>-505.685</v>
      </c>
      <c r="W70" s="3">
        <f>SUM(S70:V70)</f>
        <v>-1506.953</v>
      </c>
      <c r="X70" s="25">
        <f>INDEX('Inputs (2)'!$D$6:$AL$6,MATCH(X$7,'Inputs (2)'!$D$2:$AL$2,0))</f>
        <v>-320.432</v>
      </c>
      <c r="Y70" s="25">
        <f>INDEX('Inputs (2)'!$D$6:$AL$6,MATCH(Y$7,'Inputs (2)'!$D$2:$AL$2,0))</f>
        <v>-342.713</v>
      </c>
      <c r="Z70" s="25">
        <f>INDEX('Inputs (2)'!$D$6:$AL$6,MATCH(Z$7,'Inputs (2)'!$D$2:$AL$2,0))</f>
        <v>-361.03</v>
      </c>
      <c r="AA70" s="25">
        <f>INDEX('Inputs (2)'!$D$6:$AL$6,MATCH(AA$7,'Inputs (2)'!$D$2:$AL$2,0))</f>
        <v>-371.618</v>
      </c>
      <c r="AB70" s="3">
        <f>SUM(X70:AA70)</f>
        <v>-1395.793</v>
      </c>
      <c r="AC70" s="25">
        <f>INDEX('Inputs (2)'!$D$6:$AL$6,MATCH(AC$7,'Inputs (2)'!$D$2:$AL$2,0))</f>
        <v>-379.61</v>
      </c>
      <c r="AD70" s="25">
        <f>INDEX('Inputs (2)'!$D$6:$AL$6,MATCH(AD$7,'Inputs (2)'!$D$2:$AL$2,0))</f>
        <v>-369.393</v>
      </c>
      <c r="AE70" s="25">
        <f>INDEX('Inputs (2)'!$D$6:$AL$6,MATCH(AE$7,'Inputs (2)'!$D$2:$AL$2,0))</f>
        <v>-364.059</v>
      </c>
      <c r="AF70" s="25">
        <f>INDEX('Inputs (2)'!$D$6:$AL$6,MATCH(AF$7,'Inputs (2)'!$D$2:$AL$2,0))</f>
        <v>-393.0470863</v>
      </c>
      <c r="AG70" s="3">
        <f>SUM(AC70:AF70)</f>
        <v>-1506.1090863</v>
      </c>
      <c r="AH70" s="3">
        <f>INDEX('Inputs (2)'!$D$6:$AL$6,MATCH(AH$7,'Inputs (2)'!$D$2:$AL$2,0))</f>
        <v>-419.025553161807</v>
      </c>
      <c r="AI70" s="3">
        <f>INDEX('Inputs (2)'!$D$6:$AL$6,MATCH(AI$7,'Inputs (2)'!$D$2:$AL$2,0))</f>
        <v>-420.941574688206</v>
      </c>
      <c r="AJ70" s="3">
        <f>-AJ15*AJ71</f>
        <v>0</v>
      </c>
      <c r="AK70" s="3">
        <f>-AK15*AK71</f>
        <v>0</v>
      </c>
      <c r="AL70" s="3">
        <f>SUM(AH70:AK70)</f>
        <v>-839.967127850014</v>
      </c>
      <c r="AM70" s="3">
        <f>-AM15*AM71</f>
        <v>0</v>
      </c>
      <c r="AN70" s="3">
        <f>-AN15*AN71</f>
        <v>0</v>
      </c>
      <c r="AO70" s="3">
        <f>-AO15*AO71</f>
        <v>0</v>
      </c>
      <c r="AP70" s="3">
        <f>-AP15*AP71</f>
        <v>0</v>
      </c>
      <c r="AQ70" s="3">
        <f>SUM(AM70:AP70)</f>
        <v>0</v>
      </c>
      <c r="AR70" s="3">
        <f>-AR15*AR71</f>
        <v>0</v>
      </c>
      <c r="AS70" s="3">
        <f>-AS15*AS71</f>
        <v>0</v>
      </c>
      <c r="AT70" s="3">
        <f>-AT15*AT71</f>
        <v>0</v>
      </c>
      <c r="AU70" s="3">
        <f>-AU15*AU71</f>
        <v>0</v>
      </c>
      <c r="AV70" s="3">
        <f>SUM(AR70:AU70)</f>
        <v>0</v>
      </c>
      <c r="AW70" s="3">
        <f>-AW15*AW71</f>
        <v>0</v>
      </c>
      <c r="AX70" s="3">
        <f>-AX15*AX71</f>
        <v>0</v>
      </c>
      <c r="AY70" s="3">
        <f>-AY15*AY71</f>
        <v>0</v>
      </c>
      <c r="AZ70" s="3">
        <f>-AZ15*AZ71</f>
        <v>0</v>
      </c>
      <c r="BA70" s="3">
        <f>SUM(AW70:AZ70)</f>
        <v>0</v>
      </c>
      <c r="BB70" s="3">
        <f>-BB15*BB71</f>
        <v>0</v>
      </c>
      <c r="BC70" s="3">
        <f>-BC15*BC71</f>
        <v>0</v>
      </c>
      <c r="BD70" s="3">
        <f>-BD15*BD71</f>
        <v>0</v>
      </c>
      <c r="BE70" s="3">
        <f>-BE15*BE71</f>
        <v>0</v>
      </c>
      <c r="BF70" s="3">
        <f>SUM(BB70:BE70)</f>
        <v>0</v>
      </c>
      <c r="BG70" s="3">
        <f>-BG15*BG71</f>
        <v>0</v>
      </c>
      <c r="BH70" s="3">
        <f>-BH15*BH71</f>
        <v>0</v>
      </c>
      <c r="BI70" s="3">
        <f>-BI15*BI71</f>
        <v>0</v>
      </c>
      <c r="BJ70" s="3">
        <f>-BJ15*BJ71</f>
        <v>0</v>
      </c>
      <c r="BK70" s="3">
        <f>SUM(BG70:BJ70)</f>
        <v>0</v>
      </c>
      <c r="BL70" s="3">
        <f>-BL15*BL71</f>
        <v>0</v>
      </c>
      <c r="BM70" s="3">
        <f>-BM15*BM71</f>
        <v>0</v>
      </c>
      <c r="BN70" s="3">
        <f>-BN15*BN71</f>
        <v>0</v>
      </c>
      <c r="BO70" s="3">
        <f>-BO15*BO71</f>
        <v>0</v>
      </c>
      <c r="BP70" s="3">
        <f>SUM(BL70:BO70)</f>
        <v>0</v>
      </c>
      <c r="BQ70" s="3">
        <f>-BQ15*BQ71</f>
        <v>0</v>
      </c>
      <c r="BR70" s="3">
        <f>-BR15*BR71</f>
        <v>0</v>
      </c>
      <c r="BS70" s="3">
        <f>-BS15*BS71</f>
        <v>0</v>
      </c>
      <c r="BT70" s="3">
        <f>-BT15*BT71</f>
        <v>0</v>
      </c>
      <c r="BU70" s="3">
        <f>SUM(BQ70:BT70)</f>
        <v>0</v>
      </c>
      <c r="BV70" s="3">
        <f>-BV15*BV71</f>
        <v>0</v>
      </c>
      <c r="BW70" s="3">
        <f>-BW15*BW71</f>
        <v>0</v>
      </c>
      <c r="BX70" s="3">
        <f>-BX15*BX71</f>
        <v>0</v>
      </c>
      <c r="BY70" s="3">
        <f>-BY15*BY71</f>
        <v>0</v>
      </c>
      <c r="BZ70" s="3">
        <f>SUM(BV70:BY70)</f>
        <v>0</v>
      </c>
      <c r="CA70" s="3">
        <f>-CA15*CA71</f>
        <v>0</v>
      </c>
      <c r="CB70" s="3">
        <f>-CB15*CB71</f>
        <v>0</v>
      </c>
      <c r="CC70" s="3">
        <f>-CC15*CC71</f>
        <v>0</v>
      </c>
      <c r="CD70" s="3">
        <f>-CD15*CD71</f>
        <v>0</v>
      </c>
      <c r="CE70" s="3">
        <f>SUM(CA70:CD70)</f>
        <v>0</v>
      </c>
      <c r="CF70" s="3">
        <f>-CF15*CF71</f>
        <v>0</v>
      </c>
      <c r="CG70" s="3">
        <f>-CG15*CG71</f>
        <v>0</v>
      </c>
      <c r="CH70" s="3">
        <f>-CH15*CH71</f>
        <v>0</v>
      </c>
      <c r="CI70" s="3">
        <f>-CI15*CI71</f>
        <v>0</v>
      </c>
      <c r="CJ70" s="3">
        <f>SUM(CF70:CI70)</f>
        <v>0</v>
      </c>
      <c r="CK70" s="3">
        <f>-CK15*CK71</f>
        <v>0</v>
      </c>
      <c r="CL70" s="3">
        <f>-CL15*CL71</f>
        <v>0</v>
      </c>
      <c r="CM70" s="3">
        <f>-CM15*CM71</f>
        <v>0</v>
      </c>
      <c r="CN70" s="3">
        <f>-CN15*CN71</f>
        <v>0</v>
      </c>
      <c r="CO70" s="3">
        <f>SUM(CK70:CN70)</f>
        <v>0</v>
      </c>
      <c r="CP70" s="3">
        <f>-CP15*CP71</f>
        <v>0</v>
      </c>
      <c r="CQ70" s="3">
        <f>-CQ15*CQ71</f>
        <v>0</v>
      </c>
      <c r="CR70" s="3">
        <f>-CR15*CR71</f>
        <v>0</v>
      </c>
      <c r="CS70" s="3">
        <f>-CS15*CS71</f>
        <v>0</v>
      </c>
      <c r="CT70" s="3">
        <f>SUM(CP70:CS70)</f>
        <v>0</v>
      </c>
      <c r="CU70" s="3">
        <f>-CU15*CU71</f>
        <v>0</v>
      </c>
      <c r="CV70" s="3">
        <f>-CV15*CV71</f>
        <v>0</v>
      </c>
      <c r="CW70" s="3">
        <f>-CW15*CW71</f>
        <v>0</v>
      </c>
      <c r="CX70" s="3">
        <f>-CX15*CX71</f>
        <v>0</v>
      </c>
      <c r="CY70" s="3">
        <f>SUM(CU70:CX70)</f>
        <v>0</v>
      </c>
    </row>
    <row r="71" hidden="1" outlineLevel="1">
      <c r="C71" s="33" t="inlineStr">
        <is>
          <t>% SG&amp;A and Other Margin</t>
        </is>
      </c>
      <c r="D71" s="56">
        <f>-(D70/D$15)</f>
        <v>0.138273968513744</v>
      </c>
      <c r="E71" s="56">
        <f>-(E70/E$15)</f>
        <v>0.105762678009118</v>
      </c>
      <c r="F71" s="56">
        <f>-(F70/F$15)</f>
        <v>0.124745864637699</v>
      </c>
      <c r="G71" s="56">
        <f>-(G70/G$15)</f>
        <v>0.168158645194423</v>
      </c>
      <c r="H71" s="56">
        <f>-(H70/H$15)</f>
        <v>0.133682272252757</v>
      </c>
      <c r="I71" s="56">
        <f>-(I70/I$15)</f>
        <v>0.2067250828986</v>
      </c>
      <c r="J71" s="56">
        <f>-(J70/J$15)</f>
        <v>0.147336625634469</v>
      </c>
      <c r="K71" s="56">
        <f>-(K70/K$15)</f>
        <v>0.117355082849246</v>
      </c>
      <c r="L71" s="56">
        <f>-(L70/L$15)</f>
        <v>0.126107047390124</v>
      </c>
      <c r="M71" s="56">
        <f>-(M70/M$15)</f>
        <v>0.140231184729199</v>
      </c>
      <c r="N71" s="56">
        <f>-(N70/N$15)</f>
        <v>0.123123416228629</v>
      </c>
      <c r="O71" s="56">
        <f>-(O70/O$15)</f>
        <v>0.115437437695877</v>
      </c>
      <c r="P71" s="56">
        <f>-(P70/P$15)</f>
        <v>0.115308506880936</v>
      </c>
      <c r="Q71" s="56">
        <f>-(Q70/Q$15)</f>
        <v>0.131173254885627</v>
      </c>
      <c r="R71" s="56">
        <f>-(R70/R$15)</f>
        <v>0.121421427147488</v>
      </c>
      <c r="S71" s="56">
        <f>-(S70/S$15)</f>
        <v>0.123103825605596</v>
      </c>
      <c r="T71" s="56">
        <f>-(T70/T$15)</f>
        <v>0.133087065535524</v>
      </c>
      <c r="U71" s="56">
        <f>-(U70/U$15)</f>
        <v>0.126977893797211</v>
      </c>
      <c r="V71" s="56">
        <f>-(V70/V$15)</f>
        <v>0.202805838029649</v>
      </c>
      <c r="W71" s="56">
        <f>-(W70/W$15)</f>
        <v>0.145711754016191</v>
      </c>
      <c r="X71" s="56">
        <f>-(X70/X$15)</f>
        <v>0.106045512942284</v>
      </c>
      <c r="Y71" s="56">
        <f>-(Y70/Y$15)</f>
        <v>0.0997533475918645</v>
      </c>
      <c r="Z71" s="56">
        <f>-(Z70/Z$15)</f>
        <v>0.0956152022424537</v>
      </c>
      <c r="AA71" s="56">
        <f>-(AA70/AA$15)</f>
        <v>0.114408878634869</v>
      </c>
      <c r="AB71" s="56">
        <f>-(AB70/AB$15)</f>
        <v>0.103535712619381</v>
      </c>
      <c r="AC71" s="56">
        <f>-(AC70/AC$15)</f>
        <v>0.10638604955789</v>
      </c>
      <c r="AD71" s="56">
        <f>-(AD70/AD$15)</f>
        <v>0.100405653048677</v>
      </c>
      <c r="AE71" s="56">
        <f>-(AE70/AE$15)</f>
        <v>0.0966739718039228</v>
      </c>
      <c r="AF71" s="44">
        <f>-(AF70/AF$15)</f>
        <v>0.107419993209918</v>
      </c>
      <c r="AG71" s="56">
        <f>-(AG70/AG$15)</f>
        <v>0.102651542022854</v>
      </c>
      <c r="AH71" s="45">
        <f>-(AH70/AH$15)</f>
        <v>0.11083440974893</v>
      </c>
      <c r="AI71" s="45">
        <f>-(AI70/AI$15)</f>
        <v>0.111779223038569</v>
      </c>
      <c r="AJ71" s="45" t="n"/>
      <c r="AK71" s="45" t="n"/>
      <c r="AL71" s="56">
        <f>-(AL70/AL$15)</f>
        <v>0.0561051813948982</v>
      </c>
      <c r="AM71" s="45" t="n"/>
      <c r="AN71" s="45" t="n"/>
      <c r="AO71" s="45" t="n"/>
      <c r="AP71" s="45" t="n"/>
      <c r="AQ71" s="56">
        <f>-(AQ70/AQ$15)</f>
        <v>0</v>
      </c>
      <c r="AR71" s="45" t="n"/>
      <c r="AS71" s="45" t="n"/>
      <c r="AT71" s="45" t="n"/>
      <c r="AU71" s="45" t="n"/>
      <c r="AV71" s="56">
        <f>-(AV70/AV$15)</f>
        <v>0</v>
      </c>
      <c r="AW71" s="45" t="n"/>
      <c r="AX71" s="45" t="n"/>
      <c r="AY71" s="45" t="n"/>
      <c r="AZ71" s="45" t="n"/>
      <c r="BA71" s="56">
        <f>-(BA70/BA$15)</f>
        <v>0</v>
      </c>
      <c r="BB71" s="45" t="n"/>
      <c r="BC71" s="45" t="n"/>
      <c r="BD71" s="45" t="n"/>
      <c r="BE71" s="45" t="n"/>
      <c r="BF71" s="56">
        <f>-(BF70/BF$15)</f>
        <v>0</v>
      </c>
      <c r="BG71" s="45" t="n"/>
      <c r="BH71" s="45" t="n"/>
      <c r="BI71" s="45" t="n"/>
      <c r="BJ71" s="45" t="n"/>
      <c r="BK71" s="56">
        <f>-(BK70/BK$15)</f>
        <v>0</v>
      </c>
      <c r="BL71" s="45" t="n"/>
      <c r="BM71" s="45" t="n"/>
      <c r="BN71" s="45" t="n"/>
      <c r="BO71" s="45" t="n"/>
      <c r="BP71" s="56">
        <f>-(BP70/BP$15)</f>
        <v>0</v>
      </c>
      <c r="BQ71" s="45" t="n"/>
      <c r="BR71" s="45" t="n"/>
      <c r="BS71" s="45" t="n"/>
      <c r="BT71" s="45" t="n"/>
      <c r="BU71" s="56">
        <f>-(BU70/BU$15)</f>
        <v>0</v>
      </c>
      <c r="BV71" s="45" t="n"/>
      <c r="BW71" s="45" t="n"/>
      <c r="BX71" s="45" t="n"/>
      <c r="BY71" s="45" t="n"/>
      <c r="BZ71" s="56">
        <f>-(BZ70/BZ$15)</f>
        <v>0</v>
      </c>
      <c r="CA71" s="45" t="n"/>
      <c r="CB71" s="45" t="n"/>
      <c r="CC71" s="45" t="n"/>
      <c r="CD71" s="45" t="n"/>
      <c r="CE71" s="56">
        <f>-(CE70/CE$15)</f>
        <v>0</v>
      </c>
      <c r="CF71" s="45" t="n"/>
      <c r="CG71" s="45" t="n"/>
      <c r="CH71" s="45" t="n"/>
      <c r="CI71" s="45" t="n"/>
      <c r="CJ71" s="56">
        <f>-(CJ70/CJ$15)</f>
        <v>0</v>
      </c>
      <c r="CK71" s="45" t="n"/>
      <c r="CL71" s="45" t="n"/>
      <c r="CM71" s="45" t="n"/>
      <c r="CN71" s="45" t="n"/>
      <c r="CO71" s="56">
        <f>-(CO70/CO$15)</f>
        <v>0</v>
      </c>
      <c r="CP71" s="45" t="n"/>
      <c r="CQ71" s="45" t="n"/>
      <c r="CR71" s="45" t="n"/>
      <c r="CS71" s="45" t="n"/>
      <c r="CT71" s="56">
        <f>-(CT70/CT$15)</f>
        <v>0</v>
      </c>
      <c r="CU71" s="45" t="n"/>
      <c r="CV71" s="45" t="n"/>
      <c r="CW71" s="45" t="n"/>
      <c r="CX71" s="45" t="n"/>
      <c r="CY71" s="56">
        <f>-(CY70/CY$15)</f>
        <v>0</v>
      </c>
    </row>
    <row r="72" hidden="1" outlineLevel="1"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</row>
    <row r="73" hidden="1" outlineLevel="1">
      <c r="C73" s="32" t="inlineStr">
        <is>
          <t>Com Vendas</t>
        </is>
      </c>
      <c r="D73" s="6" t="n"/>
      <c r="E73" s="6" t="n"/>
      <c r="F73" s="6" t="n"/>
      <c r="G73" s="6" t="n"/>
      <c r="H73" s="32" t="n"/>
      <c r="I73" s="6" t="n"/>
      <c r="J73" s="6" t="n"/>
      <c r="K73" s="6" t="n"/>
      <c r="L73" s="6" t="n"/>
      <c r="M73" s="32" t="n"/>
      <c r="N73" s="6" t="n"/>
      <c r="O73" s="6" t="n"/>
      <c r="P73" s="6" t="n"/>
      <c r="Q73" s="6" t="n"/>
      <c r="R73" s="32" t="n"/>
      <c r="S73" s="6" t="n"/>
      <c r="T73" s="6" t="n"/>
      <c r="U73" s="6" t="n"/>
      <c r="V73" s="6" t="n"/>
      <c r="W73" s="32" t="n"/>
      <c r="X73" s="6" t="n"/>
      <c r="Y73" s="6" t="n"/>
      <c r="Z73" s="6" t="n"/>
      <c r="AA73" s="6" t="n"/>
      <c r="AB73" s="32" t="n"/>
      <c r="AC73" s="6" t="n"/>
      <c r="AD73" s="6" t="n"/>
      <c r="AE73" s="6" t="n"/>
      <c r="AF73" s="6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</row>
    <row r="74" hidden="1" outlineLevel="1">
      <c r="C74" s="32" t="inlineStr">
        <is>
          <t>Gerais &amp; Administrativas</t>
        </is>
      </c>
      <c r="D74" s="6" t="n"/>
      <c r="E74" s="6" t="n"/>
      <c r="F74" s="6" t="n"/>
      <c r="G74" s="6" t="n"/>
      <c r="H74" s="32" t="n"/>
      <c r="I74" s="6" t="n"/>
      <c r="J74" s="6" t="n"/>
      <c r="K74" s="6" t="n"/>
      <c r="L74" s="6" t="n"/>
      <c r="M74" s="32" t="n"/>
      <c r="N74" s="6" t="n"/>
      <c r="O74" s="6" t="n"/>
      <c r="P74" s="6" t="n"/>
      <c r="Q74" s="6" t="n"/>
      <c r="R74" s="32" t="n"/>
      <c r="S74" s="6" t="n"/>
      <c r="T74" s="6" t="n"/>
      <c r="U74" s="6" t="n"/>
      <c r="V74" s="6" t="n"/>
      <c r="W74" s="32" t="n"/>
      <c r="X74" s="6" t="n"/>
      <c r="Y74" s="6" t="n"/>
      <c r="Z74" s="6" t="n"/>
      <c r="AA74" s="6" t="n"/>
      <c r="AB74" s="32" t="n"/>
      <c r="AC74" s="6" t="n"/>
      <c r="AD74" s="6" t="n"/>
      <c r="AE74" s="6" t="n"/>
      <c r="AF74" s="6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hidden="1" outlineLevel="1">
      <c r="C75" s="32" t="inlineStr">
        <is>
          <t>Outras Receitas (Despesas) Operacionais, Líquidas</t>
        </is>
      </c>
      <c r="D75" s="6" t="n"/>
      <c r="E75" s="6" t="n"/>
      <c r="F75" s="6" t="n"/>
      <c r="G75" s="6" t="n"/>
      <c r="H75" s="32" t="n"/>
      <c r="I75" s="6" t="n"/>
      <c r="J75" s="6" t="n"/>
      <c r="K75" s="6" t="n"/>
      <c r="L75" s="6" t="n"/>
      <c r="M75" s="32" t="n"/>
      <c r="N75" s="6" t="n"/>
      <c r="O75" s="6" t="n"/>
      <c r="P75" s="6" t="n"/>
      <c r="Q75" s="6" t="n"/>
      <c r="R75" s="32" t="n"/>
      <c r="S75" s="6" t="n"/>
      <c r="T75" s="6" t="n"/>
      <c r="U75" s="6" t="n"/>
      <c r="V75" s="6" t="n"/>
      <c r="W75" s="32" t="n"/>
      <c r="X75" s="6" t="n"/>
      <c r="Y75" s="6" t="n"/>
      <c r="Z75" s="6" t="n"/>
      <c r="AA75" s="6" t="n"/>
      <c r="AB75" s="32" t="n"/>
      <c r="AC75" s="6" t="n"/>
      <c r="AD75" s="6" t="n"/>
      <c r="AE75" s="6" t="n"/>
      <c r="AF75" s="6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2" t="n"/>
      <c r="BI75" s="32" t="n"/>
      <c r="BJ75" s="32" t="n"/>
      <c r="BK75" s="32" t="n"/>
      <c r="BL75" s="32" t="n"/>
      <c r="BM75" s="32" t="n"/>
      <c r="BN75" s="32" t="n"/>
      <c r="BO75" s="32" t="n"/>
      <c r="BP75" s="32" t="n"/>
      <c r="BQ75" s="32" t="n"/>
      <c r="BR75" s="32" t="n"/>
      <c r="BS75" s="32" t="n"/>
      <c r="BT75" s="32" t="n"/>
      <c r="BU75" s="32" t="n"/>
      <c r="BV75" s="32" t="n"/>
      <c r="BW75" s="32" t="n"/>
      <c r="BX75" s="32" t="n"/>
      <c r="BY75" s="32" t="n"/>
      <c r="BZ75" s="32" t="n"/>
      <c r="CA75" s="32" t="n"/>
      <c r="CB75" s="32" t="n"/>
      <c r="CC75" s="32" t="n"/>
      <c r="CD75" s="32" t="n"/>
      <c r="CE75" s="32" t="n"/>
      <c r="CF75" s="32" t="n"/>
      <c r="CG75" s="32" t="n"/>
      <c r="CH75" s="32" t="n"/>
      <c r="CI75" s="32" t="n"/>
      <c r="CJ75" s="32" t="n"/>
      <c r="CK75" s="32" t="n"/>
      <c r="CL75" s="32" t="n"/>
      <c r="CM75" s="32" t="n"/>
      <c r="CN75" s="32" t="n"/>
      <c r="CO75" s="32" t="n"/>
      <c r="CP75" s="32" t="n"/>
      <c r="CQ75" s="32" t="n"/>
      <c r="CR75" s="32" t="n"/>
      <c r="CS75" s="32" t="n"/>
      <c r="CT75" s="32" t="n"/>
      <c r="CU75" s="32" t="n"/>
      <c r="CV75" s="32" t="n"/>
      <c r="CW75" s="32" t="n"/>
      <c r="CX75" s="32" t="n"/>
      <c r="CY75" s="32" t="n"/>
    </row>
    <row r="76" hidden="1" outlineLevel="1"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  <c r="Y76" s="32" t="n"/>
      <c r="Z76" s="32" t="n"/>
      <c r="AA76" s="32" t="n"/>
      <c r="AB76" s="32" t="n"/>
      <c r="AC76" s="32" t="n"/>
      <c r="AD76" s="32" t="n"/>
      <c r="AE76" s="32" t="n"/>
      <c r="AF76" s="32" t="n"/>
      <c r="AG76" s="32" t="n"/>
      <c r="AH76" s="32" t="n"/>
      <c r="AI76" s="32" t="n"/>
      <c r="AJ76" s="32" t="n"/>
      <c r="AK76" s="32" t="n"/>
      <c r="AL76" s="32" t="n"/>
      <c r="AM76" s="32" t="n"/>
      <c r="AN76" s="32" t="n"/>
      <c r="AO76" s="32" t="n"/>
      <c r="AP76" s="32" t="n"/>
      <c r="AQ76" s="32" t="n"/>
      <c r="AR76" s="32" t="n"/>
      <c r="AS76" s="32" t="n"/>
      <c r="AT76" s="32" t="n"/>
      <c r="AU76" s="32" t="n"/>
      <c r="AV76" s="32" t="n"/>
      <c r="AW76" s="32" t="n"/>
      <c r="AX76" s="32" t="n"/>
      <c r="AY76" s="32" t="n"/>
      <c r="AZ76" s="32" t="n"/>
      <c r="BA76" s="32" t="n"/>
      <c r="BB76" s="32" t="n"/>
      <c r="BC76" s="32" t="n"/>
      <c r="BD76" s="32" t="n"/>
      <c r="BE76" s="32" t="n"/>
      <c r="BF76" s="32" t="n"/>
      <c r="BG76" s="32" t="n"/>
      <c r="BH76" s="32" t="n"/>
      <c r="BI76" s="32" t="n"/>
      <c r="BJ76" s="32" t="n"/>
      <c r="BK76" s="32" t="n"/>
      <c r="BL76" s="32" t="n"/>
      <c r="BM76" s="32" t="n"/>
      <c r="BN76" s="32" t="n"/>
      <c r="BO76" s="32" t="n"/>
      <c r="BP76" s="32" t="n"/>
      <c r="BQ76" s="32" t="n"/>
      <c r="BR76" s="32" t="n"/>
      <c r="BS76" s="32" t="n"/>
      <c r="BT76" s="32" t="n"/>
      <c r="BU76" s="32" t="n"/>
      <c r="BV76" s="32" t="n"/>
      <c r="BW76" s="32" t="n"/>
      <c r="BX76" s="32" t="n"/>
      <c r="BY76" s="32" t="n"/>
      <c r="BZ76" s="32" t="n"/>
      <c r="CA76" s="32" t="n"/>
      <c r="CB76" s="32" t="n"/>
      <c r="CC76" s="32" t="n"/>
      <c r="CD76" s="32" t="n"/>
      <c r="CE76" s="32" t="n"/>
      <c r="CF76" s="32" t="n"/>
      <c r="CG76" s="32" t="n"/>
      <c r="CH76" s="32" t="n"/>
      <c r="CI76" s="32" t="n"/>
      <c r="CJ76" s="32" t="n"/>
      <c r="CK76" s="32" t="n"/>
      <c r="CL76" s="32" t="n"/>
      <c r="CM76" s="32" t="n"/>
      <c r="CN76" s="32" t="n"/>
      <c r="CO76" s="32" t="n"/>
      <c r="CP76" s="32" t="n"/>
      <c r="CQ76" s="32" t="n"/>
      <c r="CR76" s="32" t="n"/>
      <c r="CS76" s="32" t="n"/>
      <c r="CT76" s="32" t="n"/>
      <c r="CU76" s="32" t="n"/>
      <c r="CV76" s="32" t="n"/>
      <c r="CW76" s="32" t="n"/>
      <c r="CX76" s="32" t="n"/>
      <c r="CY76" s="32" t="n"/>
    </row>
    <row r="77" hidden="1" outlineLevel="1">
      <c r="C77" s="32" t="inlineStr">
        <is>
          <t>Com Vendas (%)</t>
        </is>
      </c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2" t="n"/>
      <c r="BL77" s="32" t="n"/>
      <c r="BM77" s="32" t="n"/>
      <c r="BN77" s="32" t="n"/>
      <c r="BO77" s="32" t="n"/>
      <c r="BP77" s="32" t="n"/>
      <c r="BQ77" s="32" t="n"/>
      <c r="BR77" s="32" t="n"/>
      <c r="BS77" s="32" t="n"/>
      <c r="BT77" s="32" t="n"/>
      <c r="BU77" s="32" t="n"/>
      <c r="BV77" s="32" t="n"/>
      <c r="BW77" s="32" t="n"/>
      <c r="BX77" s="32" t="n"/>
      <c r="BY77" s="32" t="n"/>
      <c r="BZ77" s="32" t="n"/>
      <c r="CA77" s="32" t="n"/>
      <c r="CB77" s="32" t="n"/>
      <c r="CC77" s="32" t="n"/>
      <c r="CD77" s="32" t="n"/>
      <c r="CE77" s="32" t="n"/>
      <c r="CF77" s="32" t="n"/>
      <c r="CG77" s="32" t="n"/>
      <c r="CH77" s="32" t="n"/>
      <c r="CI77" s="32" t="n"/>
      <c r="CJ77" s="32" t="n"/>
      <c r="CK77" s="32" t="n"/>
      <c r="CL77" s="32" t="n"/>
      <c r="CM77" s="32" t="n"/>
      <c r="CN77" s="32" t="n"/>
      <c r="CO77" s="32" t="n"/>
      <c r="CP77" s="32" t="n"/>
      <c r="CQ77" s="32" t="n"/>
      <c r="CR77" s="32" t="n"/>
      <c r="CS77" s="32" t="n"/>
      <c r="CT77" s="32" t="n"/>
      <c r="CU77" s="32" t="n"/>
      <c r="CV77" s="32" t="n"/>
      <c r="CW77" s="32" t="n"/>
      <c r="CX77" s="32" t="n"/>
      <c r="CY77" s="32" t="n"/>
    </row>
    <row r="78" hidden="1" outlineLevel="1">
      <c r="C78" s="32" t="inlineStr">
        <is>
          <t>Gerais &amp; Administrativas (%)</t>
        </is>
      </c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  <c r="Y78" s="32" t="n"/>
      <c r="Z78" s="32" t="n"/>
      <c r="AA78" s="32" t="n"/>
      <c r="AB78" s="32" t="n"/>
      <c r="AC78" s="32" t="n"/>
      <c r="AD78" s="32" t="n"/>
      <c r="AE78" s="32" t="n"/>
      <c r="AF78" s="32" t="n"/>
      <c r="AG78" s="32" t="n"/>
      <c r="AH78" s="32" t="n"/>
      <c r="AI78" s="32" t="n"/>
      <c r="AJ78" s="32" t="n"/>
      <c r="AK78" s="32" t="n"/>
      <c r="AL78" s="32" t="n"/>
      <c r="AM78" s="32" t="n"/>
      <c r="AN78" s="32" t="n"/>
      <c r="AO78" s="32" t="n"/>
      <c r="AP78" s="32" t="n"/>
      <c r="AQ78" s="32" t="n"/>
      <c r="AR78" s="32" t="n"/>
      <c r="AS78" s="32" t="n"/>
      <c r="AT78" s="32" t="n"/>
      <c r="AU78" s="32" t="n"/>
      <c r="AV78" s="32" t="n"/>
      <c r="AW78" s="32" t="n"/>
      <c r="AX78" s="32" t="n"/>
      <c r="AY78" s="32" t="n"/>
      <c r="AZ78" s="32" t="n"/>
      <c r="BA78" s="32" t="n"/>
      <c r="BB78" s="32" t="n"/>
      <c r="BC78" s="32" t="n"/>
      <c r="BD78" s="32" t="n"/>
      <c r="BE78" s="32" t="n"/>
      <c r="BF78" s="32" t="n"/>
      <c r="BG78" s="32" t="n"/>
      <c r="BH78" s="32" t="n"/>
      <c r="BI78" s="32" t="n"/>
      <c r="BJ78" s="32" t="n"/>
      <c r="BK78" s="32" t="n"/>
      <c r="BL78" s="32" t="n"/>
      <c r="BM78" s="32" t="n"/>
      <c r="BN78" s="32" t="n"/>
      <c r="BO78" s="32" t="n"/>
      <c r="BP78" s="32" t="n"/>
      <c r="BQ78" s="32" t="n"/>
      <c r="BR78" s="32" t="n"/>
      <c r="BS78" s="32" t="n"/>
      <c r="BT78" s="32" t="n"/>
      <c r="BU78" s="32" t="n"/>
      <c r="BV78" s="32" t="n"/>
      <c r="BW78" s="32" t="n"/>
      <c r="BX78" s="32" t="n"/>
      <c r="BY78" s="32" t="n"/>
      <c r="BZ78" s="32" t="n"/>
      <c r="CA78" s="32" t="n"/>
      <c r="CB78" s="32" t="n"/>
      <c r="CC78" s="32" t="n"/>
      <c r="CD78" s="32" t="n"/>
      <c r="CE78" s="32" t="n"/>
      <c r="CF78" s="32" t="n"/>
      <c r="CG78" s="32" t="n"/>
      <c r="CH78" s="32" t="n"/>
      <c r="CI78" s="32" t="n"/>
      <c r="CJ78" s="32" t="n"/>
      <c r="CK78" s="32" t="n"/>
      <c r="CL78" s="32" t="n"/>
      <c r="CM78" s="32" t="n"/>
      <c r="CN78" s="32" t="n"/>
      <c r="CO78" s="32" t="n"/>
      <c r="CP78" s="32" t="n"/>
      <c r="CQ78" s="32" t="n"/>
      <c r="CR78" s="32" t="n"/>
      <c r="CS78" s="32" t="n"/>
      <c r="CT78" s="32" t="n"/>
      <c r="CU78" s="32" t="n"/>
      <c r="CV78" s="32" t="n"/>
      <c r="CW78" s="32" t="n"/>
      <c r="CX78" s="32" t="n"/>
      <c r="CY78" s="32" t="n"/>
    </row>
    <row r="79" hidden="1" outlineLevel="1">
      <c r="C79" s="32" t="inlineStr">
        <is>
          <t>Outras Receitas (Despesas) Operacionais, Líquidas (%)</t>
        </is>
      </c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  <c r="S79" s="32" t="n"/>
      <c r="T79" s="32" t="n"/>
      <c r="U79" s="32" t="n"/>
      <c r="V79" s="32" t="n"/>
      <c r="W79" s="32" t="n"/>
      <c r="X79" s="32" t="n"/>
      <c r="Y79" s="32" t="n"/>
      <c r="Z79" s="32" t="n"/>
      <c r="AA79" s="32" t="n"/>
      <c r="AB79" s="32" t="n"/>
      <c r="AC79" s="32" t="n"/>
      <c r="AD79" s="32" t="n"/>
      <c r="AE79" s="32" t="n"/>
      <c r="AF79" s="32" t="n"/>
      <c r="AG79" s="32" t="n"/>
      <c r="AH79" s="32" t="n"/>
      <c r="AI79" s="32" t="n"/>
      <c r="AJ79" s="32" t="n"/>
      <c r="AK79" s="32" t="n"/>
      <c r="AL79" s="32" t="n"/>
      <c r="AM79" s="32" t="n"/>
      <c r="AN79" s="32" t="n"/>
      <c r="AO79" s="32" t="n"/>
      <c r="AP79" s="32" t="n"/>
      <c r="AQ79" s="32" t="n"/>
      <c r="AR79" s="32" t="n"/>
      <c r="AS79" s="32" t="n"/>
      <c r="AT79" s="32" t="n"/>
      <c r="AU79" s="32" t="n"/>
      <c r="AV79" s="32" t="n"/>
      <c r="AW79" s="32" t="n"/>
      <c r="AX79" s="32" t="n"/>
      <c r="AY79" s="32" t="n"/>
      <c r="AZ79" s="32" t="n"/>
      <c r="BA79" s="32" t="n"/>
      <c r="BB79" s="32" t="n"/>
      <c r="BC79" s="32" t="n"/>
      <c r="BD79" s="32" t="n"/>
      <c r="BE79" s="32" t="n"/>
      <c r="BF79" s="32" t="n"/>
      <c r="BG79" s="32" t="n"/>
      <c r="BH79" s="32" t="n"/>
      <c r="BI79" s="32" t="n"/>
      <c r="BJ79" s="32" t="n"/>
      <c r="BK79" s="32" t="n"/>
      <c r="BL79" s="32" t="n"/>
      <c r="BM79" s="32" t="n"/>
      <c r="BN79" s="32" t="n"/>
      <c r="BO79" s="32" t="n"/>
      <c r="BP79" s="32" t="n"/>
      <c r="BQ79" s="32" t="n"/>
      <c r="BR79" s="32" t="n"/>
      <c r="BS79" s="32" t="n"/>
      <c r="BT79" s="32" t="n"/>
      <c r="BU79" s="32" t="n"/>
      <c r="BV79" s="32" t="n"/>
      <c r="BW79" s="32" t="n"/>
      <c r="BX79" s="32" t="n"/>
      <c r="BY79" s="32" t="n"/>
      <c r="BZ79" s="32" t="n"/>
      <c r="CA79" s="32" t="n"/>
      <c r="CB79" s="32" t="n"/>
      <c r="CC79" s="32" t="n"/>
      <c r="CD79" s="32" t="n"/>
      <c r="CE79" s="32" t="n"/>
      <c r="CF79" s="32" t="n"/>
      <c r="CG79" s="32" t="n"/>
      <c r="CH79" s="32" t="n"/>
      <c r="CI79" s="32" t="n"/>
      <c r="CJ79" s="32" t="n"/>
      <c r="CK79" s="32" t="n"/>
      <c r="CL79" s="32" t="n"/>
      <c r="CM79" s="32" t="n"/>
      <c r="CN79" s="32" t="n"/>
      <c r="CO79" s="32" t="n"/>
      <c r="CP79" s="32" t="n"/>
      <c r="CQ79" s="32" t="n"/>
      <c r="CR79" s="32" t="n"/>
      <c r="CS79" s="32" t="n"/>
      <c r="CT79" s="32" t="n"/>
      <c r="CU79" s="32" t="n"/>
      <c r="CV79" s="32" t="n"/>
      <c r="CW79" s="32" t="n"/>
      <c r="CX79" s="32" t="n"/>
      <c r="CY79" s="32" t="n"/>
    </row>
    <row r="80" hidden="1" outlineLevel="1"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  <c r="Q80" s="32" t="n"/>
      <c r="R80" s="32" t="n"/>
      <c r="S80" s="32" t="n"/>
      <c r="T80" s="32" t="n"/>
      <c r="U80" s="32" t="n"/>
      <c r="V80" s="32" t="n"/>
      <c r="W80" s="32" t="n"/>
      <c r="X80" s="32" t="n"/>
      <c r="Y80" s="32" t="n"/>
      <c r="Z80" s="32" t="n"/>
      <c r="AA80" s="32" t="n"/>
      <c r="AB80" s="32" t="n"/>
      <c r="AC80" s="32" t="n"/>
      <c r="AD80" s="32" t="n"/>
      <c r="AE80" s="32" t="n"/>
      <c r="AF80" s="32" t="n"/>
      <c r="AG80" s="32" t="n"/>
      <c r="AH80" s="32" t="n"/>
      <c r="AI80" s="32" t="n"/>
      <c r="AJ80" s="32" t="n"/>
      <c r="AK80" s="32" t="n"/>
      <c r="AL80" s="32" t="n"/>
      <c r="AM80" s="32" t="n"/>
      <c r="AN80" s="32" t="n"/>
      <c r="AO80" s="32" t="n"/>
      <c r="AP80" s="32" t="n"/>
      <c r="AQ80" s="32" t="n"/>
      <c r="AR80" s="32" t="n"/>
      <c r="AS80" s="32" t="n"/>
      <c r="AT80" s="32" t="n"/>
      <c r="AU80" s="32" t="n"/>
      <c r="AV80" s="32" t="n"/>
      <c r="AW80" s="32" t="n"/>
      <c r="AX80" s="32" t="n"/>
      <c r="AY80" s="32" t="n"/>
      <c r="AZ80" s="32" t="n"/>
      <c r="BA80" s="32" t="n"/>
      <c r="BB80" s="32" t="n"/>
      <c r="BC80" s="32" t="n"/>
      <c r="BD80" s="32" t="n"/>
      <c r="BE80" s="32" t="n"/>
      <c r="BF80" s="32" t="n"/>
      <c r="BG80" s="32" t="n"/>
      <c r="BH80" s="32" t="n"/>
      <c r="BI80" s="32" t="n"/>
      <c r="BJ80" s="32" t="n"/>
      <c r="BK80" s="32" t="n"/>
      <c r="BL80" s="32" t="n"/>
      <c r="BM80" s="32" t="n"/>
      <c r="BN80" s="32" t="n"/>
      <c r="BO80" s="32" t="n"/>
      <c r="BP80" s="32" t="n"/>
      <c r="BQ80" s="32" t="n"/>
      <c r="BR80" s="32" t="n"/>
      <c r="BS80" s="32" t="n"/>
      <c r="BT80" s="32" t="n"/>
      <c r="BU80" s="32" t="n"/>
      <c r="BV80" s="32" t="n"/>
      <c r="BW80" s="32" t="n"/>
      <c r="BX80" s="32" t="n"/>
      <c r="BY80" s="32" t="n"/>
      <c r="BZ80" s="32" t="n"/>
      <c r="CA80" s="32" t="n"/>
      <c r="CB80" s="32" t="n"/>
      <c r="CC80" s="32" t="n"/>
      <c r="CD80" s="32" t="n"/>
      <c r="CE80" s="32" t="n"/>
      <c r="CF80" s="32" t="n"/>
      <c r="CG80" s="32" t="n"/>
      <c r="CH80" s="32" t="n"/>
      <c r="CI80" s="32" t="n"/>
      <c r="CJ80" s="32" t="n"/>
      <c r="CK80" s="32" t="n"/>
      <c r="CL80" s="32" t="n"/>
      <c r="CM80" s="32" t="n"/>
      <c r="CN80" s="32" t="n"/>
      <c r="CO80" s="32" t="n"/>
      <c r="CP80" s="32" t="n"/>
      <c r="CQ80" s="32" t="n"/>
      <c r="CR80" s="32" t="n"/>
      <c r="CS80" s="32" t="n"/>
      <c r="CT80" s="32" t="n"/>
      <c r="CU80" s="32" t="n"/>
      <c r="CV80" s="32" t="n"/>
      <c r="CW80" s="32" t="n"/>
      <c r="CX80" s="32" t="n"/>
      <c r="CY80" s="32" t="n"/>
    </row>
    <row r="81" collapsed="1" customFormat="1" s="17">
      <c r="A81" s="13" t="n"/>
      <c r="B81" s="1" t="n"/>
      <c r="C81" s="14" t="inlineStr">
        <is>
          <t>EBITDA</t>
        </is>
      </c>
      <c r="D81" s="16">
        <f>SUM(D15,D66,D70)</f>
        <v>225.107</v>
      </c>
      <c r="E81" s="16">
        <f>SUM(E15,E66,E70)</f>
        <v>151.321</v>
      </c>
      <c r="F81" s="16">
        <f>SUM(F15,F66,F70)</f>
        <v>213.172</v>
      </c>
      <c r="G81" s="16">
        <f>SUM(G15,G66,G70)</f>
        <v>305.262</v>
      </c>
      <c r="H81" s="16">
        <f>SUM(D81:G81)</f>
        <v>894.862</v>
      </c>
      <c r="I81" s="16">
        <f>SUM(I15,I66,I70)</f>
        <v>304.502</v>
      </c>
      <c r="J81" s="16">
        <f>SUM(J15,J66,J70)</f>
        <v>388.464</v>
      </c>
      <c r="K81" s="16">
        <f>SUM(K15,K66,K70)</f>
        <v>613.408</v>
      </c>
      <c r="L81" s="16">
        <f>SUM(L15,L66,L70)</f>
        <v>776.612</v>
      </c>
      <c r="M81" s="16">
        <f>SUM(I81:L81)</f>
        <v>2082.986</v>
      </c>
      <c r="N81" s="16">
        <f>SUM(N15,N66,N70)</f>
        <v>863.095</v>
      </c>
      <c r="O81" s="16">
        <f>SUM(O15,O66,O70)</f>
        <v>905.257</v>
      </c>
      <c r="P81" s="16">
        <f>SUM(P15,P66,P70)</f>
        <v>925.337</v>
      </c>
      <c r="Q81" s="16">
        <f>SUM(Q15,Q66,Q70)</f>
        <v>858.243</v>
      </c>
      <c r="R81" s="16">
        <f>SUM(N81:Q81)</f>
        <v>3551.932</v>
      </c>
      <c r="S81" s="16">
        <f>SUM(S15,S66,S70)</f>
        <v>875.342</v>
      </c>
      <c r="T81" s="16">
        <f>SUM(T15,T66,T70)</f>
        <v>889.992</v>
      </c>
      <c r="U81" s="16">
        <f>SUM(U15,U66,U70)</f>
        <v>867.926</v>
      </c>
      <c r="V81" s="16">
        <f>SUM(V15,V66,V70)</f>
        <v>866.073</v>
      </c>
      <c r="W81" s="16">
        <f>SUM(S81:V81)</f>
        <v>3499.333</v>
      </c>
      <c r="X81" s="16">
        <f>SUM(X15,X66,X70)</f>
        <v>1059.501</v>
      </c>
      <c r="Y81" s="16">
        <f>SUM(Y15,Y66,Y70)</f>
        <v>1149.361</v>
      </c>
      <c r="Z81" s="16">
        <f>SUM(Z15,Z66,Z70)</f>
        <v>1247.476</v>
      </c>
      <c r="AA81" s="16">
        <f>SUM(AA15,AA66,AA70)</f>
        <v>1244.281</v>
      </c>
      <c r="AB81" s="16">
        <f>SUM(X81:AA81)</f>
        <v>4700.619</v>
      </c>
      <c r="AC81" s="16">
        <f>SUM(AC15,AC66,AC70)</f>
        <v>1338.329</v>
      </c>
      <c r="AD81" s="16">
        <f>SUM(AD15,AD66,AD70)</f>
        <v>1379.123</v>
      </c>
      <c r="AE81" s="16">
        <f>SUM(AE15,AE66,AE70)</f>
        <v>1478.657</v>
      </c>
      <c r="AF81" s="16">
        <f>SUM(AF15,AF66,AF70)</f>
        <v>1490.05025995011</v>
      </c>
      <c r="AG81" s="16">
        <f>SUM(AC81:AF81)</f>
        <v>5686.15925995011</v>
      </c>
      <c r="AH81" s="16">
        <f>SUM(AH15,AH66,AH70)</f>
        <v>1568.6645634</v>
      </c>
      <c r="AI81" s="16">
        <f>SUM(AI15,AI66,AI70)</f>
        <v>1686.743584</v>
      </c>
      <c r="AJ81" s="16">
        <f>SUM(AJ15,AJ66,AJ70)</f>
        <v>0</v>
      </c>
      <c r="AK81" s="16">
        <f>SUM(AK15,AK66,AK70)</f>
        <v>0</v>
      </c>
      <c r="AL81" s="16">
        <f>SUM(AH81:AK81)</f>
        <v>3255.4081474</v>
      </c>
      <c r="AM81" s="16">
        <f>SUM(AM15,AM66,AM70)</f>
        <v>0</v>
      </c>
      <c r="AN81" s="16">
        <f>SUM(AN15,AN66,AN70)</f>
        <v>0</v>
      </c>
      <c r="AO81" s="16">
        <f>SUM(AO15,AO66,AO70)</f>
        <v>0</v>
      </c>
      <c r="AP81" s="16">
        <f>SUM(AP15,AP66,AP70)</f>
        <v>0</v>
      </c>
      <c r="AQ81" s="16">
        <f>SUM(AM81:AP81)</f>
        <v>0</v>
      </c>
      <c r="AR81" s="16">
        <f>SUM(AR15,AR66,AR70)</f>
        <v>0</v>
      </c>
      <c r="AS81" s="16">
        <f>SUM(AS15,AS66,AS70)</f>
        <v>0</v>
      </c>
      <c r="AT81" s="16">
        <f>SUM(AT15,AT66,AT70)</f>
        <v>0</v>
      </c>
      <c r="AU81" s="16">
        <f>SUM(AU15,AU66,AU70)</f>
        <v>0</v>
      </c>
      <c r="AV81" s="16">
        <f>SUM(AR81:AU81)</f>
        <v>0</v>
      </c>
      <c r="AW81" s="16">
        <f>SUM(AW15,AW66,AW70)</f>
        <v>0</v>
      </c>
      <c r="AX81" s="16">
        <f>SUM(AX15,AX66,AX70)</f>
        <v>0</v>
      </c>
      <c r="AY81" s="16">
        <f>SUM(AY15,AY66,AY70)</f>
        <v>0</v>
      </c>
      <c r="AZ81" s="16">
        <f>SUM(AZ15,AZ66,AZ70)</f>
        <v>0</v>
      </c>
      <c r="BA81" s="16">
        <f>SUM(AW81:AZ81)</f>
        <v>0</v>
      </c>
      <c r="BB81" s="16">
        <f>SUM(BB15,BB66,BB70)</f>
        <v>0</v>
      </c>
      <c r="BC81" s="16">
        <f>SUM(BC15,BC66,BC70)</f>
        <v>0</v>
      </c>
      <c r="BD81" s="16">
        <f>SUM(BD15,BD66,BD70)</f>
        <v>0</v>
      </c>
      <c r="BE81" s="16">
        <f>SUM(BE15,BE66,BE70)</f>
        <v>0</v>
      </c>
      <c r="BF81" s="16">
        <f>SUM(BB81:BE81)</f>
        <v>0</v>
      </c>
      <c r="BG81" s="16">
        <f>SUM(BG15,BG66,BG70)</f>
        <v>0</v>
      </c>
      <c r="BH81" s="16">
        <f>SUM(BH15,BH66,BH70)</f>
        <v>0</v>
      </c>
      <c r="BI81" s="16">
        <f>SUM(BI15,BI66,BI70)</f>
        <v>0</v>
      </c>
      <c r="BJ81" s="16">
        <f>SUM(BJ15,BJ66,BJ70)</f>
        <v>0</v>
      </c>
      <c r="BK81" s="16">
        <f>SUM(BG81:BJ81)</f>
        <v>0</v>
      </c>
      <c r="BL81" s="16">
        <f>SUM(BL15,BL66,BL70)</f>
        <v>0</v>
      </c>
      <c r="BM81" s="16">
        <f>SUM(BM15,BM66,BM70)</f>
        <v>0</v>
      </c>
      <c r="BN81" s="16">
        <f>SUM(BN15,BN66,BN70)</f>
        <v>0</v>
      </c>
      <c r="BO81" s="16">
        <f>SUM(BO15,BO66,BO70)</f>
        <v>0</v>
      </c>
      <c r="BP81" s="16">
        <f>SUM(BL81:BO81)</f>
        <v>0</v>
      </c>
      <c r="BQ81" s="16">
        <f>SUM(BQ15,BQ66,BQ70)</f>
        <v>0</v>
      </c>
      <c r="BR81" s="16">
        <f>SUM(BR15,BR66,BR70)</f>
        <v>0</v>
      </c>
      <c r="BS81" s="16">
        <f>SUM(BS15,BS66,BS70)</f>
        <v>0</v>
      </c>
      <c r="BT81" s="16">
        <f>SUM(BT15,BT66,BT70)</f>
        <v>0</v>
      </c>
      <c r="BU81" s="16">
        <f>SUM(BQ81:BT81)</f>
        <v>0</v>
      </c>
      <c r="BV81" s="16">
        <f>SUM(BV15,BV66,BV70)</f>
        <v>0</v>
      </c>
      <c r="BW81" s="16">
        <f>SUM(BW15,BW66,BW70)</f>
        <v>0</v>
      </c>
      <c r="BX81" s="16">
        <f>SUM(BX15,BX66,BX70)</f>
        <v>0</v>
      </c>
      <c r="BY81" s="16">
        <f>SUM(BY15,BY66,BY70)</f>
        <v>0</v>
      </c>
      <c r="BZ81" s="16">
        <f>SUM(BV81:BY81)</f>
        <v>0</v>
      </c>
      <c r="CA81" s="16">
        <f>SUM(CA15,CA66,CA70)</f>
        <v>0</v>
      </c>
      <c r="CB81" s="16">
        <f>SUM(CB15,CB66,CB70)</f>
        <v>0</v>
      </c>
      <c r="CC81" s="16">
        <f>SUM(CC15,CC66,CC70)</f>
        <v>0</v>
      </c>
      <c r="CD81" s="16">
        <f>SUM(CD15,CD66,CD70)</f>
        <v>0</v>
      </c>
      <c r="CE81" s="16">
        <f>SUM(CA81:CD81)</f>
        <v>0</v>
      </c>
      <c r="CF81" s="16">
        <f>SUM(CF15,CF66,CF70)</f>
        <v>0</v>
      </c>
      <c r="CG81" s="16">
        <f>SUM(CG15,CG66,CG70)</f>
        <v>0</v>
      </c>
      <c r="CH81" s="16">
        <f>SUM(CH15,CH66,CH70)</f>
        <v>0</v>
      </c>
      <c r="CI81" s="16">
        <f>SUM(CI15,CI66,CI70)</f>
        <v>0</v>
      </c>
      <c r="CJ81" s="16">
        <f>SUM(CF81:CI81)</f>
        <v>0</v>
      </c>
      <c r="CK81" s="16">
        <f>SUM(CK15,CK66,CK70)</f>
        <v>0</v>
      </c>
      <c r="CL81" s="16">
        <f>SUM(CL15,CL66,CL70)</f>
        <v>0</v>
      </c>
      <c r="CM81" s="16">
        <f>SUM(CM15,CM66,CM70)</f>
        <v>0</v>
      </c>
      <c r="CN81" s="16">
        <f>SUM(CN15,CN66,CN70)</f>
        <v>0</v>
      </c>
      <c r="CO81" s="16">
        <f>SUM(CK81:CN81)</f>
        <v>0</v>
      </c>
      <c r="CP81" s="16">
        <f>SUM(CP15,CP66,CP70)</f>
        <v>0</v>
      </c>
      <c r="CQ81" s="16">
        <f>SUM(CQ15,CQ66,CQ70)</f>
        <v>0</v>
      </c>
      <c r="CR81" s="16">
        <f>SUM(CR15,CR66,CR70)</f>
        <v>0</v>
      </c>
      <c r="CS81" s="16">
        <f>SUM(CS15,CS66,CS70)</f>
        <v>0</v>
      </c>
      <c r="CT81" s="16">
        <f>SUM(CP81:CS81)</f>
        <v>0</v>
      </c>
      <c r="CU81" s="16">
        <f>SUM(CU15,CU66,CU70)</f>
        <v>0</v>
      </c>
      <c r="CV81" s="16">
        <f>SUM(CV15,CV66,CV70)</f>
        <v>0</v>
      </c>
      <c r="CW81" s="16">
        <f>SUM(CW15,CW66,CW70)</f>
        <v>0</v>
      </c>
      <c r="CX81" s="16">
        <f>SUM(CX15,CX66,CX70)</f>
        <v>0</v>
      </c>
      <c r="CY81" s="16">
        <f>SUM(CU81:CX81)</f>
        <v>0</v>
      </c>
    </row>
    <row r="82" ht="13.5" customHeight="1">
      <c r="C82" s="24" t="inlineStr">
        <is>
          <t>D&amp;A</t>
        </is>
      </c>
      <c r="D82" s="25">
        <f>INDEX('Inputs (2)'!$D$7:$AL$7,MATCH(D$7,'Inputs (2)'!$D$2:$AL$2,0))</f>
        <v>-107.222</v>
      </c>
      <c r="E82" s="25">
        <f>INDEX('Inputs (2)'!$D$7:$AL$7,MATCH(E$7,'Inputs (2)'!$D$2:$AL$2,0))</f>
        <v>-101.508</v>
      </c>
      <c r="F82" s="25">
        <f>INDEX('Inputs (2)'!$D$7:$AL$7,MATCH(F$7,'Inputs (2)'!$D$2:$AL$2,0))</f>
        <v>-119.025</v>
      </c>
      <c r="G82" s="25">
        <f>INDEX('Inputs (2)'!$D$7:$AL$7,MATCH(G$7,'Inputs (2)'!$D$2:$AL$2,0))</f>
        <v>-85.125</v>
      </c>
      <c r="H82" s="3">
        <f>SUM(D82:G82)</f>
        <v>-412.88</v>
      </c>
      <c r="I82" s="25">
        <f>INDEX('Inputs (2)'!$D$7:$AL$7,MATCH(I$7,'Inputs (2)'!$D$2:$AL$2,0))</f>
        <v>-62.178</v>
      </c>
      <c r="J82" s="25">
        <f>INDEX('Inputs (2)'!$D$7:$AL$7,MATCH(J$7,'Inputs (2)'!$D$2:$AL$2,0))</f>
        <v>-72.936</v>
      </c>
      <c r="K82" s="25">
        <f>INDEX('Inputs (2)'!$D$7:$AL$7,MATCH(K$7,'Inputs (2)'!$D$2:$AL$2,0))</f>
        <v>-110.706</v>
      </c>
      <c r="L82" s="25">
        <f>INDEX('Inputs (2)'!$D$7:$AL$7,MATCH(L$7,'Inputs (2)'!$D$2:$AL$2,0))</f>
        <v>-170.431</v>
      </c>
      <c r="M82" s="3">
        <f>SUM(I82:L82)</f>
        <v>-416.251</v>
      </c>
      <c r="N82" s="25">
        <f>INDEX('Inputs (2)'!$D$7:$AL$7,MATCH(N$7,'Inputs (2)'!$D$2:$AL$2,0))</f>
        <v>-212.836</v>
      </c>
      <c r="O82" s="25">
        <f>INDEX('Inputs (2)'!$D$7:$AL$7,MATCH(O$7,'Inputs (2)'!$D$2:$AL$2,0))</f>
        <v>-240.909</v>
      </c>
      <c r="P82" s="25">
        <f>INDEX('Inputs (2)'!$D$7:$AL$7,MATCH(P$7,'Inputs (2)'!$D$2:$AL$2,0))</f>
        <v>-300.524</v>
      </c>
      <c r="Q82" s="25">
        <f>INDEX('Inputs (2)'!$D$7:$AL$7,MATCH(Q$7,'Inputs (2)'!$D$2:$AL$2,0))</f>
        <v>-380.942</v>
      </c>
      <c r="R82" s="3">
        <f>SUM(N82:Q82)</f>
        <v>-1135.211</v>
      </c>
      <c r="S82" s="25">
        <f>INDEX('Inputs (2)'!$D$7:$AL$7,MATCH(S$7,'Inputs (2)'!$D$2:$AL$2,0))</f>
        <v>-390.033</v>
      </c>
      <c r="T82" s="25">
        <f>INDEX('Inputs (2)'!$D$7:$AL$7,MATCH(T$7,'Inputs (2)'!$D$2:$AL$2,0))</f>
        <v>-388.955</v>
      </c>
      <c r="U82" s="25">
        <f>INDEX('Inputs (2)'!$D$7:$AL$7,MATCH(U$7,'Inputs (2)'!$D$2:$AL$2,0))</f>
        <v>-412.766</v>
      </c>
      <c r="V82" s="25">
        <f>INDEX('Inputs (2)'!$D$7:$AL$7,MATCH(V$7,'Inputs (2)'!$D$2:$AL$2,0))</f>
        <v>-1046.012</v>
      </c>
      <c r="W82" s="3">
        <f>SUM(S82:V82)</f>
        <v>-2237.766</v>
      </c>
      <c r="X82" s="25">
        <f>INDEX('Inputs (2)'!$D$7:$AL$7,MATCH(X$7,'Inputs (2)'!$D$2:$AL$2,0))</f>
        <v>-447.855</v>
      </c>
      <c r="Y82" s="25">
        <f>INDEX('Inputs (2)'!$D$7:$AL$7,MATCH(Y$7,'Inputs (2)'!$D$2:$AL$2,0))</f>
        <v>-522.034</v>
      </c>
      <c r="Z82" s="25">
        <f>INDEX('Inputs (2)'!$D$7:$AL$7,MATCH(Z$7,'Inputs (2)'!$D$2:$AL$2,0))</f>
        <v>-551.278</v>
      </c>
      <c r="AA82" s="25">
        <f>INDEX('Inputs (2)'!$D$7:$AL$7,MATCH(AA$7,'Inputs (2)'!$D$2:$AL$2,0))</f>
        <v>-559.351</v>
      </c>
      <c r="AB82" s="3">
        <f>SUM(X82:AA82)</f>
        <v>-2080.518</v>
      </c>
      <c r="AC82" s="25">
        <f>INDEX('Inputs (2)'!$D$7:$AL$7,MATCH(AC$7,'Inputs (2)'!$D$2:$AL$2,0))</f>
        <v>-572.374</v>
      </c>
      <c r="AD82" s="25">
        <f>INDEX('Inputs (2)'!$D$7:$AL$7,MATCH(AD$7,'Inputs (2)'!$D$2:$AL$2,0))</f>
        <v>-593.733</v>
      </c>
      <c r="AE82" s="25">
        <f>INDEX('Inputs (2)'!$D$7:$AL$7,MATCH(AE$7,'Inputs (2)'!$D$2:$AL$2,0))</f>
        <v>-624.565</v>
      </c>
      <c r="AF82" s="25">
        <f>INDEX('Inputs (2)'!$D$7:$AL$7,MATCH(AF$7,'Inputs (2)'!$D$2:$AL$2,0))</f>
        <v>-639.3592426</v>
      </c>
      <c r="AG82" s="3">
        <f>SUM(AC82:AF82)</f>
        <v>-2430.0312426</v>
      </c>
      <c r="AH82" s="3">
        <f>INDEX('Inputs (2)'!$D$7:$AL$7,MATCH(AH$7,'Inputs (2)'!$D$2:$AL$2,0))</f>
        <v>-650.5859214</v>
      </c>
      <c r="AI82" s="3">
        <f>INDEX('Inputs (2)'!$D$7:$AL$7,MATCH(AI$7,'Inputs (2)'!$D$2:$AL$2,0))</f>
        <v>-671.5636214</v>
      </c>
      <c r="AJ82" s="3">
        <f>-AJ83*AJ15</f>
        <v>0</v>
      </c>
      <c r="AK82" s="3">
        <f>-AK83*AK15</f>
        <v>0</v>
      </c>
      <c r="AL82" s="3">
        <f>SUM(AH82:AK82)</f>
        <v>-1322.1495428</v>
      </c>
      <c r="AM82" s="3">
        <f>-AM83*AM15</f>
        <v>0</v>
      </c>
      <c r="AN82" s="3">
        <f>-AN83*AN15</f>
        <v>0</v>
      </c>
      <c r="AO82" s="3">
        <f>-AO83*AO15</f>
        <v>0</v>
      </c>
      <c r="AP82" s="3">
        <f>-AP83*AP15</f>
        <v>0</v>
      </c>
      <c r="AQ82" s="3">
        <f>SUM(AM82:AP82)</f>
        <v>0</v>
      </c>
      <c r="AR82" s="3">
        <f>-AR83*AR15</f>
        <v>0</v>
      </c>
      <c r="AS82" s="3">
        <f>-AS83*AS15</f>
        <v>0</v>
      </c>
      <c r="AT82" s="3">
        <f>-AT83*AT15</f>
        <v>0</v>
      </c>
      <c r="AU82" s="3">
        <f>-AU83*AU15</f>
        <v>0</v>
      </c>
      <c r="AV82" s="3">
        <f>SUM(AR82:AU82)</f>
        <v>0</v>
      </c>
      <c r="AW82" s="3">
        <f>-AW83*AW15</f>
        <v>0</v>
      </c>
      <c r="AX82" s="3">
        <f>-AX83*AX15</f>
        <v>0</v>
      </c>
      <c r="AY82" s="3">
        <f>-AY83*AY15</f>
        <v>0</v>
      </c>
      <c r="AZ82" s="3">
        <f>-AZ83*AZ15</f>
        <v>0</v>
      </c>
      <c r="BA82" s="3">
        <f>SUM(AW82:AZ82)</f>
        <v>0</v>
      </c>
      <c r="BB82" s="3">
        <f>-BB83*BB15</f>
        <v>0</v>
      </c>
      <c r="BC82" s="3">
        <f>-BC83*BC15</f>
        <v>0</v>
      </c>
      <c r="BD82" s="3">
        <f>-BD83*BD15</f>
        <v>0</v>
      </c>
      <c r="BE82" s="3">
        <f>-BE83*BE15</f>
        <v>0</v>
      </c>
      <c r="BF82" s="3">
        <f>SUM(BB82:BE82)</f>
        <v>0</v>
      </c>
      <c r="BG82" s="3">
        <f>-BG83*BG15</f>
        <v>0</v>
      </c>
      <c r="BH82" s="3">
        <f>-BH83*BH15</f>
        <v>0</v>
      </c>
      <c r="BI82" s="3">
        <f>-BI83*BI15</f>
        <v>0</v>
      </c>
      <c r="BJ82" s="3">
        <f>-BJ83*BJ15</f>
        <v>0</v>
      </c>
      <c r="BK82" s="3">
        <f>SUM(BG82:BJ82)</f>
        <v>0</v>
      </c>
      <c r="BL82" s="3">
        <f>-BL83*BL15</f>
        <v>0</v>
      </c>
      <c r="BM82" s="3">
        <f>-BM83*BM15</f>
        <v>0</v>
      </c>
      <c r="BN82" s="3">
        <f>-BN83*BN15</f>
        <v>0</v>
      </c>
      <c r="BO82" s="3">
        <f>-BO83*BO15</f>
        <v>0</v>
      </c>
      <c r="BP82" s="3">
        <f>SUM(BL82:BO82)</f>
        <v>0</v>
      </c>
      <c r="BQ82" s="3">
        <f>-BQ83*BQ15</f>
        <v>0</v>
      </c>
      <c r="BR82" s="3">
        <f>-BR83*BR15</f>
        <v>0</v>
      </c>
      <c r="BS82" s="3">
        <f>-BS83*BS15</f>
        <v>0</v>
      </c>
      <c r="BT82" s="3">
        <f>-BT83*BT15</f>
        <v>0</v>
      </c>
      <c r="BU82" s="3">
        <f>SUM(BQ82:BT82)</f>
        <v>0</v>
      </c>
      <c r="BV82" s="3">
        <f>-BV83*BV15</f>
        <v>0</v>
      </c>
      <c r="BW82" s="3">
        <f>-BW83*BW15</f>
        <v>0</v>
      </c>
      <c r="BX82" s="3">
        <f>-BX83*BX15</f>
        <v>0</v>
      </c>
      <c r="BY82" s="3">
        <f>-BY83*BY15</f>
        <v>0</v>
      </c>
      <c r="BZ82" s="3">
        <f>SUM(BV82:BY82)</f>
        <v>0</v>
      </c>
      <c r="CA82" s="3">
        <f>-CA83*CA15</f>
        <v>0</v>
      </c>
      <c r="CB82" s="3">
        <f>-CB83*CB15</f>
        <v>0</v>
      </c>
      <c r="CC82" s="3">
        <f>-CC83*CC15</f>
        <v>0</v>
      </c>
      <c r="CD82" s="3">
        <f>-CD83*CD15</f>
        <v>0</v>
      </c>
      <c r="CE82" s="3">
        <f>SUM(CA82:CD82)</f>
        <v>0</v>
      </c>
      <c r="CF82" s="3">
        <f>-CF83*CF15</f>
        <v>0</v>
      </c>
      <c r="CG82" s="3">
        <f>-CG83*CG15</f>
        <v>0</v>
      </c>
      <c r="CH82" s="3">
        <f>-CH83*CH15</f>
        <v>0</v>
      </c>
      <c r="CI82" s="3">
        <f>-CI83*CI15</f>
        <v>0</v>
      </c>
      <c r="CJ82" s="3">
        <f>SUM(CF82:CI82)</f>
        <v>0</v>
      </c>
      <c r="CK82" s="3">
        <f>-CK83*CK15</f>
        <v>0</v>
      </c>
      <c r="CL82" s="3">
        <f>-CL83*CL15</f>
        <v>0</v>
      </c>
      <c r="CM82" s="3">
        <f>-CM83*CM15</f>
        <v>0</v>
      </c>
      <c r="CN82" s="3">
        <f>-CN83*CN15</f>
        <v>0</v>
      </c>
      <c r="CO82" s="3">
        <f>SUM(CK82:CN82)</f>
        <v>0</v>
      </c>
      <c r="CP82" s="3">
        <f>-CP83*CP15</f>
        <v>0</v>
      </c>
      <c r="CQ82" s="3">
        <f>-CQ83*CQ15</f>
        <v>0</v>
      </c>
      <c r="CR82" s="3">
        <f>-CR83*CR15</f>
        <v>0</v>
      </c>
      <c r="CS82" s="3">
        <f>-CS83*CS15</f>
        <v>0</v>
      </c>
      <c r="CT82" s="3">
        <f>SUM(CP82:CS82)</f>
        <v>0</v>
      </c>
      <c r="CU82" s="3">
        <f>-CU83*CU15</f>
        <v>0</v>
      </c>
      <c r="CV82" s="3">
        <f>-CV83*CV15</f>
        <v>0</v>
      </c>
      <c r="CW82" s="3">
        <f>-CW83*CW15</f>
        <v>0</v>
      </c>
      <c r="CX82" s="3">
        <f>-CX83*CX15</f>
        <v>0</v>
      </c>
      <c r="CY82" s="3">
        <f>SUM(CU82:CX82)</f>
        <v>0</v>
      </c>
    </row>
    <row r="83" hidden="1" outlineLevel="1" customFormat="1" s="247">
      <c r="A83" s="48" t="n"/>
      <c r="B83" s="48" t="n"/>
      <c r="C83" s="246" t="inlineStr">
        <is>
          <t>% of Revenue</t>
        </is>
      </c>
      <c r="D83" s="48">
        <f>-D82/D15</f>
        <v>0.110363496940409</v>
      </c>
      <c r="E83" s="48">
        <f>-E82/E15</f>
        <v>0.0993913615641303</v>
      </c>
      <c r="F83" s="48">
        <f>-F82/F15</f>
        <v>0.118505236034752</v>
      </c>
      <c r="G83" s="48">
        <f>-G82/G15</f>
        <v>0.088855880719657</v>
      </c>
      <c r="H83" s="48" t="n"/>
      <c r="I83" s="48">
        <f>-I82/I15</f>
        <v>0.0820775339514647</v>
      </c>
      <c r="J83" s="48">
        <f>-J82/J15</f>
        <v>0.0625874740956541</v>
      </c>
      <c r="K83" s="48">
        <f>-K82/K15</f>
        <v>0.0727813731858237</v>
      </c>
      <c r="L83" s="48">
        <f>-L82/L15</f>
        <v>0.100902570356973</v>
      </c>
      <c r="M83" s="48" t="n"/>
      <c r="N83" s="48">
        <f>-N82/N15</f>
        <v>0.111686415761074</v>
      </c>
      <c r="O83" s="48">
        <f>-O82/O15</f>
        <v>0.10798290625874</v>
      </c>
      <c r="P83" s="48">
        <f>-P82/P15</f>
        <v>0.118462795009902</v>
      </c>
      <c r="Q83" s="48">
        <f>-Q82/Q15</f>
        <v>0.145030539097011</v>
      </c>
      <c r="R83" s="48" t="n"/>
      <c r="S83" s="48">
        <f>-S82/S15</f>
        <v>0.144285341183765</v>
      </c>
      <c r="T83" s="48">
        <f>-T82/T15</f>
        <v>0.1568908461953</v>
      </c>
      <c r="U83" s="48">
        <f>-U82/U15</f>
        <v>0.154813181207852</v>
      </c>
      <c r="V83" s="48">
        <f>-V82/V15</f>
        <v>0.419504909675132</v>
      </c>
      <c r="W83" s="48" t="n"/>
      <c r="X83" s="48">
        <f>-X82/X15</f>
        <v>0.148215575219599</v>
      </c>
      <c r="Y83" s="48">
        <f>-Y82/Y15</f>
        <v>0.151948245490458</v>
      </c>
      <c r="Z83" s="48">
        <f>-Z82/Z15</f>
        <v>0.146000491543128</v>
      </c>
      <c r="AA83" s="48">
        <f>-AA82/AA15</f>
        <v>0.172205653852323</v>
      </c>
      <c r="AB83" s="48" t="n"/>
      <c r="AC83" s="48">
        <f>-AC82/AC15</f>
        <v>0.160408336792097</v>
      </c>
      <c r="AD83" s="48">
        <f>-AD82/AD15</f>
        <v>0.161384080373884</v>
      </c>
      <c r="AE83" s="48">
        <f>-AE82/AE15</f>
        <v>0.165849983655718</v>
      </c>
      <c r="AF83" s="218">
        <f>-AF82/AF15</f>
        <v>0.174737246230008</v>
      </c>
      <c r="AG83" s="48" t="n"/>
      <c r="AH83" s="218">
        <f>-AH82/AH15</f>
        <v>0.172083315791218</v>
      </c>
      <c r="AI83" s="218">
        <f>-AI82/AI15</f>
        <v>0.178330828634977</v>
      </c>
      <c r="AJ83" s="218" t="n"/>
      <c r="AK83" s="218" t="n"/>
      <c r="AL83" s="48" t="n"/>
      <c r="AM83" s="218" t="n"/>
      <c r="AN83" s="218" t="n"/>
      <c r="AO83" s="218" t="n"/>
      <c r="AP83" s="218" t="n"/>
      <c r="AQ83" s="48" t="n"/>
      <c r="AR83" s="218" t="n"/>
      <c r="AS83" s="218" t="n"/>
      <c r="AT83" s="218" t="n"/>
      <c r="AU83" s="218" t="n"/>
      <c r="AV83" s="48" t="n"/>
      <c r="AW83" s="218" t="n"/>
      <c r="AX83" s="218" t="n"/>
      <c r="AY83" s="218" t="n"/>
      <c r="AZ83" s="218" t="n"/>
      <c r="BA83" s="48" t="n"/>
      <c r="BB83" s="218" t="n"/>
      <c r="BC83" s="218" t="n"/>
      <c r="BD83" s="218" t="n"/>
      <c r="BE83" s="218" t="n"/>
      <c r="BF83" s="48" t="n"/>
      <c r="BG83" s="218" t="n"/>
      <c r="BH83" s="218" t="n"/>
      <c r="BI83" s="218" t="n"/>
      <c r="BJ83" s="218" t="n"/>
      <c r="BK83" s="48" t="n"/>
      <c r="BL83" s="218" t="n"/>
      <c r="BM83" s="218" t="n"/>
      <c r="BN83" s="218" t="n"/>
      <c r="BO83" s="218" t="n"/>
      <c r="BP83" s="48" t="n"/>
      <c r="BQ83" s="218" t="n"/>
      <c r="BR83" s="218" t="n"/>
      <c r="BS83" s="218" t="n"/>
      <c r="BT83" s="218" t="n"/>
      <c r="BU83" s="48" t="n"/>
      <c r="BV83" s="218" t="n"/>
      <c r="BW83" s="218" t="n"/>
      <c r="BX83" s="218" t="n"/>
      <c r="BY83" s="218" t="n"/>
      <c r="BZ83" s="48" t="n"/>
      <c r="CA83" s="218" t="n"/>
      <c r="CB83" s="218" t="n"/>
      <c r="CC83" s="218" t="n"/>
      <c r="CD83" s="218" t="n"/>
      <c r="CE83" s="48" t="n"/>
      <c r="CF83" s="218" t="n"/>
      <c r="CG83" s="218" t="n"/>
      <c r="CH83" s="218" t="n"/>
      <c r="CI83" s="218" t="n"/>
      <c r="CJ83" s="48" t="n"/>
      <c r="CK83" s="218" t="n"/>
      <c r="CL83" s="218" t="n"/>
      <c r="CM83" s="218" t="n"/>
      <c r="CN83" s="218" t="n"/>
      <c r="CO83" s="48" t="n"/>
      <c r="CP83" s="218" t="n"/>
      <c r="CQ83" s="218" t="n"/>
      <c r="CR83" s="218" t="n"/>
      <c r="CS83" s="218" t="n"/>
      <c r="CT83" s="48" t="n"/>
      <c r="CU83" s="218" t="n"/>
      <c r="CV83" s="218" t="n"/>
      <c r="CW83" s="218" t="n"/>
      <c r="CX83" s="218" t="n"/>
      <c r="CY83" s="48" t="n"/>
    </row>
    <row r="84" hidden="1" outlineLevel="1">
      <c r="C84" s="32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collapsed="1" customFormat="1" s="17">
      <c r="A85" s="13" t="n"/>
      <c r="B85" s="1" t="n"/>
      <c r="C85" s="14" t="inlineStr">
        <is>
          <t>Operating Profit - EBIT</t>
        </is>
      </c>
      <c r="D85" s="16">
        <f>SUM(D81,D82)</f>
        <v>117.885</v>
      </c>
      <c r="E85" s="16">
        <f>SUM(E81,E82)</f>
        <v>49.813</v>
      </c>
      <c r="F85" s="16">
        <f>SUM(F81,F82)</f>
        <v>94.1469999999999</v>
      </c>
      <c r="G85" s="16">
        <f>SUM(G81,G82)</f>
        <v>220.137</v>
      </c>
      <c r="H85" s="16">
        <f>SUM(D85:G85)</f>
        <v>481.982</v>
      </c>
      <c r="I85" s="16">
        <f>SUM(I81,I82)</f>
        <v>242.324</v>
      </c>
      <c r="J85" s="16">
        <f>SUM(J81,J82)</f>
        <v>315.528</v>
      </c>
      <c r="K85" s="16">
        <f>SUM(K81,K82)</f>
        <v>502.702</v>
      </c>
      <c r="L85" s="16">
        <f>SUM(L81,L82)</f>
        <v>606.181</v>
      </c>
      <c r="M85" s="16">
        <f>SUM(I85:L85)</f>
        <v>1666.735</v>
      </c>
      <c r="N85" s="16">
        <f>SUM(N81,N82)</f>
        <v>650.259</v>
      </c>
      <c r="O85" s="16">
        <f>SUM(O81,O82)</f>
        <v>664.348</v>
      </c>
      <c r="P85" s="16">
        <f>SUM(P81,P82)</f>
        <v>624.813</v>
      </c>
      <c r="Q85" s="16">
        <f>SUM(Q81,Q82)</f>
        <v>477.301</v>
      </c>
      <c r="R85" s="16">
        <f>SUM(N85:Q85)</f>
        <v>2416.721</v>
      </c>
      <c r="S85" s="16">
        <f>SUM(S81,S82)</f>
        <v>485.309</v>
      </c>
      <c r="T85" s="16">
        <f>SUM(T81,T82)</f>
        <v>501.037</v>
      </c>
      <c r="U85" s="16">
        <f>SUM(U81,U82)</f>
        <v>455.16</v>
      </c>
      <c r="V85" s="16">
        <f>SUM(V81,V82)</f>
        <v>-179.939</v>
      </c>
      <c r="W85" s="16">
        <f>SUM(S85:V85)</f>
        <v>1261.567</v>
      </c>
      <c r="X85" s="16">
        <f>SUM(X81,X82)</f>
        <v>611.646</v>
      </c>
      <c r="Y85" s="16">
        <f>SUM(Y81,Y82)</f>
        <v>627.327</v>
      </c>
      <c r="Z85" s="16">
        <f>SUM(Z81,Z82)</f>
        <v>696.198</v>
      </c>
      <c r="AA85" s="16">
        <f>SUM(AA81,AA82)</f>
        <v>684.93</v>
      </c>
      <c r="AB85" s="16">
        <f>SUM(X85:AA85)</f>
        <v>2620.101</v>
      </c>
      <c r="AC85" s="16">
        <f>SUM(AC81,AC82)</f>
        <v>765.955</v>
      </c>
      <c r="AD85" s="16">
        <f>SUM(AD81,AD82)</f>
        <v>785.39</v>
      </c>
      <c r="AE85" s="16">
        <f>SUM(AE81,AE82)</f>
        <v>854.092</v>
      </c>
      <c r="AF85" s="16">
        <f>SUM(AF81,AF82)</f>
        <v>850.69101735011</v>
      </c>
      <c r="AG85" s="16">
        <f>SUM(AC85:AF85)</f>
        <v>3256.12801735011</v>
      </c>
      <c r="AH85" s="16">
        <f>SUM(AH81,AH82)</f>
        <v>918.078642</v>
      </c>
      <c r="AI85" s="16">
        <f>SUM(AI81,AI82)</f>
        <v>1015.1799626</v>
      </c>
      <c r="AJ85" s="16">
        <f>SUM(AJ81,AJ82)</f>
        <v>0</v>
      </c>
      <c r="AK85" s="16">
        <f>SUM(AK81,AK82)</f>
        <v>0</v>
      </c>
      <c r="AL85" s="16">
        <f>SUM(AL81,AL82)</f>
        <v>1933.2586046</v>
      </c>
      <c r="AM85" s="16">
        <f>SUM(AM81,AM82)</f>
        <v>0</v>
      </c>
      <c r="AN85" s="16">
        <f>SUM(AN81,AN82)</f>
        <v>0</v>
      </c>
      <c r="AO85" s="16">
        <f>SUM(AO81,AO82)</f>
        <v>0</v>
      </c>
      <c r="AP85" s="16">
        <f>SUM(AP81,AP82)</f>
        <v>0</v>
      </c>
      <c r="AQ85" s="16">
        <f>SUM(AQ81,AQ82)</f>
        <v>0</v>
      </c>
      <c r="AR85" s="16">
        <f>SUM(AR81,AR82)</f>
        <v>0</v>
      </c>
      <c r="AS85" s="16">
        <f>SUM(AS81,AS82)</f>
        <v>0</v>
      </c>
      <c r="AT85" s="16">
        <f>SUM(AT81,AT82)</f>
        <v>0</v>
      </c>
      <c r="AU85" s="16">
        <f>SUM(AU81,AU82)</f>
        <v>0</v>
      </c>
      <c r="AV85" s="16">
        <f>SUM(AV81,AV82)</f>
        <v>0</v>
      </c>
      <c r="AW85" s="16">
        <f>SUM(AW81,AW82)</f>
        <v>0</v>
      </c>
      <c r="AX85" s="16">
        <f>SUM(AX81,AX82)</f>
        <v>0</v>
      </c>
      <c r="AY85" s="16">
        <f>SUM(AY81,AY82)</f>
        <v>0</v>
      </c>
      <c r="AZ85" s="16">
        <f>SUM(AZ81,AZ82)</f>
        <v>0</v>
      </c>
      <c r="BA85" s="16">
        <f>SUM(BA81,BA82)</f>
        <v>0</v>
      </c>
      <c r="BB85" s="16">
        <f>SUM(BB81,BB82)</f>
        <v>0</v>
      </c>
      <c r="BC85" s="16">
        <f>SUM(BC81,BC82)</f>
        <v>0</v>
      </c>
      <c r="BD85" s="16">
        <f>SUM(BD81,BD82)</f>
        <v>0</v>
      </c>
      <c r="BE85" s="16">
        <f>SUM(BE81,BE82)</f>
        <v>0</v>
      </c>
      <c r="BF85" s="16">
        <f>SUM(BF81,BF82)</f>
        <v>0</v>
      </c>
      <c r="BG85" s="16">
        <f>SUM(BG81,BG82)</f>
        <v>0</v>
      </c>
      <c r="BH85" s="16">
        <f>SUM(BH81,BH82)</f>
        <v>0</v>
      </c>
      <c r="BI85" s="16">
        <f>SUM(BI81,BI82)</f>
        <v>0</v>
      </c>
      <c r="BJ85" s="16">
        <f>SUM(BJ81,BJ82)</f>
        <v>0</v>
      </c>
      <c r="BK85" s="16">
        <f>SUM(BK81,BK82)</f>
        <v>0</v>
      </c>
      <c r="BL85" s="16">
        <f>SUM(BL81,BL82)</f>
        <v>0</v>
      </c>
      <c r="BM85" s="16">
        <f>SUM(BM81,BM82)</f>
        <v>0</v>
      </c>
      <c r="BN85" s="16">
        <f>SUM(BN81,BN82)</f>
        <v>0</v>
      </c>
      <c r="BO85" s="16">
        <f>SUM(BO81,BO82)</f>
        <v>0</v>
      </c>
      <c r="BP85" s="16">
        <f>SUM(BP81,BP82)</f>
        <v>0</v>
      </c>
      <c r="BQ85" s="16">
        <f>SUM(BQ81,BQ82)</f>
        <v>0</v>
      </c>
      <c r="BR85" s="16">
        <f>SUM(BR81,BR82)</f>
        <v>0</v>
      </c>
      <c r="BS85" s="16">
        <f>SUM(BS81,BS82)</f>
        <v>0</v>
      </c>
      <c r="BT85" s="16">
        <f>SUM(BT81,BT82)</f>
        <v>0</v>
      </c>
      <c r="BU85" s="16">
        <f>SUM(BU81,BU82)</f>
        <v>0</v>
      </c>
      <c r="BV85" s="16">
        <f>SUM(BV81,BV82)</f>
        <v>0</v>
      </c>
      <c r="BW85" s="16">
        <f>SUM(BW81,BW82)</f>
        <v>0</v>
      </c>
      <c r="BX85" s="16">
        <f>SUM(BX81,BX82)</f>
        <v>0</v>
      </c>
      <c r="BY85" s="16">
        <f>SUM(BY81,BY82)</f>
        <v>0</v>
      </c>
      <c r="BZ85" s="16">
        <f>SUM(BZ81,BZ82)</f>
        <v>0</v>
      </c>
      <c r="CA85" s="16">
        <f>SUM(CA81,CA82)</f>
        <v>0</v>
      </c>
      <c r="CB85" s="16">
        <f>SUM(CB81,CB82)</f>
        <v>0</v>
      </c>
      <c r="CC85" s="16">
        <f>SUM(CC81,CC82)</f>
        <v>0</v>
      </c>
      <c r="CD85" s="16">
        <f>SUM(CD81,CD82)</f>
        <v>0</v>
      </c>
      <c r="CE85" s="16">
        <f>SUM(CE81,CE82)</f>
        <v>0</v>
      </c>
      <c r="CF85" s="16">
        <f>SUM(CF81,CF82)</f>
        <v>0</v>
      </c>
      <c r="CG85" s="16">
        <f>SUM(CG81,CG82)</f>
        <v>0</v>
      </c>
      <c r="CH85" s="16">
        <f>SUM(CH81,CH82)</f>
        <v>0</v>
      </c>
      <c r="CI85" s="16">
        <f>SUM(CI81,CI82)</f>
        <v>0</v>
      </c>
      <c r="CJ85" s="16">
        <f>SUM(CJ81,CJ82)</f>
        <v>0</v>
      </c>
      <c r="CK85" s="16">
        <f>SUM(CK81,CK82)</f>
        <v>0</v>
      </c>
      <c r="CL85" s="16">
        <f>SUM(CL81,CL82)</f>
        <v>0</v>
      </c>
      <c r="CM85" s="16">
        <f>SUM(CM81,CM82)</f>
        <v>0</v>
      </c>
      <c r="CN85" s="16">
        <f>SUM(CN81,CN82)</f>
        <v>0</v>
      </c>
      <c r="CO85" s="16">
        <f>SUM(CO81,CO82)</f>
        <v>0</v>
      </c>
      <c r="CP85" s="16">
        <f>SUM(CP81,CP82)</f>
        <v>0</v>
      </c>
      <c r="CQ85" s="16">
        <f>SUM(CQ81,CQ82)</f>
        <v>0</v>
      </c>
      <c r="CR85" s="16">
        <f>SUM(CR81,CR82)</f>
        <v>0</v>
      </c>
      <c r="CS85" s="16">
        <f>SUM(CS81,CS82)</f>
        <v>0</v>
      </c>
      <c r="CT85" s="16">
        <f>SUM(CT81,CT82)</f>
        <v>0</v>
      </c>
      <c r="CU85" s="16">
        <f>SUM(CU81,CU82)</f>
        <v>0</v>
      </c>
      <c r="CV85" s="16">
        <f>SUM(CV81,CV82)</f>
        <v>0</v>
      </c>
      <c r="CW85" s="16">
        <f>SUM(CW81,CW82)</f>
        <v>0</v>
      </c>
      <c r="CX85" s="16">
        <f>SUM(CX81,CX82)</f>
        <v>0</v>
      </c>
      <c r="CY85" s="16">
        <f>SUM(CY81,CY82)</f>
        <v>0</v>
      </c>
    </row>
    <row r="86">
      <c r="C86" s="26" t="inlineStr">
        <is>
          <t>Interest Expense</t>
        </is>
      </c>
      <c r="D86" s="25">
        <f>INDEX('Inputs (2)'!$D$8:$AL$8,MATCH(D$7,'Inputs (2)'!$D$2:$AL$2,0))</f>
        <v>-54.167</v>
      </c>
      <c r="E86" s="25">
        <f>INDEX('Inputs (2)'!$D$8:$AL$8,MATCH(E$7,'Inputs (2)'!$D$2:$AL$2,0))</f>
        <v>-73.113</v>
      </c>
      <c r="F86" s="25">
        <f>INDEX('Inputs (2)'!$D$8:$AL$8,MATCH(F$7,'Inputs (2)'!$D$2:$AL$2,0))</f>
        <v>-74.215</v>
      </c>
      <c r="G86" s="25">
        <f>INDEX('Inputs (2)'!$D$8:$AL$8,MATCH(G$7,'Inputs (2)'!$D$2:$AL$2,0))</f>
        <v>-45.348</v>
      </c>
      <c r="H86" s="3">
        <f>SUM(D86:G86)</f>
        <v>-246.843</v>
      </c>
      <c r="I86" s="25">
        <f>INDEX('Inputs (2)'!$D$8:$AL$8,MATCH(I$7,'Inputs (2)'!$D$2:$AL$2,0))</f>
        <v>-265.184</v>
      </c>
      <c r="J86" s="25">
        <f>INDEX('Inputs (2)'!$D$8:$AL$8,MATCH(J$7,'Inputs (2)'!$D$2:$AL$2,0))</f>
        <v>239.899</v>
      </c>
      <c r="K86" s="25">
        <f>INDEX('Inputs (2)'!$D$8:$AL$8,MATCH(K$7,'Inputs (2)'!$D$2:$AL$2,0))</f>
        <v>-342.257</v>
      </c>
      <c r="L86" s="25">
        <f>INDEX('Inputs (2)'!$D$8:$AL$8,MATCH(L$7,'Inputs (2)'!$D$2:$AL$2,0))</f>
        <v>-591.177</v>
      </c>
      <c r="M86" s="3">
        <f>SUM(I86:L86)</f>
        <v>-958.719</v>
      </c>
      <c r="N86" s="25">
        <f>INDEX('Inputs (2)'!$D$8:$AL$8,MATCH(N$7,'Inputs (2)'!$D$2:$AL$2,0))</f>
        <v>-394.958</v>
      </c>
      <c r="O86" s="25">
        <f>INDEX('Inputs (2)'!$D$8:$AL$8,MATCH(O$7,'Inputs (2)'!$D$2:$AL$2,0))</f>
        <v>-515.803</v>
      </c>
      <c r="P86" s="25">
        <f>INDEX('Inputs (2)'!$D$8:$AL$8,MATCH(P$7,'Inputs (2)'!$D$2:$AL$2,0))</f>
        <v>-637.391</v>
      </c>
      <c r="Q86" s="25">
        <f>INDEX('Inputs (2)'!$D$8:$AL$8,MATCH(Q$7,'Inputs (2)'!$D$2:$AL$2,0))</f>
        <v>-662.277</v>
      </c>
      <c r="R86" s="3">
        <f>SUM(N86:Q86)</f>
        <v>-2210.429</v>
      </c>
      <c r="S86" s="25">
        <f>INDEX('Inputs (2)'!$D$8:$AL$8,MATCH(S$7,'Inputs (2)'!$D$2:$AL$2,0))</f>
        <v>-615.278</v>
      </c>
      <c r="T86" s="25">
        <f>INDEX('Inputs (2)'!$D$8:$AL$8,MATCH(T$7,'Inputs (2)'!$D$2:$AL$2,0))</f>
        <v>-551.559</v>
      </c>
      <c r="U86" s="25">
        <f>INDEX('Inputs (2)'!$D$8:$AL$8,MATCH(U$7,'Inputs (2)'!$D$2:$AL$2,0))</f>
        <v>-590.177</v>
      </c>
      <c r="V86" s="25">
        <f>INDEX('Inputs (2)'!$D$8:$AL$8,MATCH(V$7,'Inputs (2)'!$D$2:$AL$2,0))</f>
        <v>-614.436</v>
      </c>
      <c r="W86" s="3">
        <f>SUM(S86:V86)</f>
        <v>-2371.45</v>
      </c>
      <c r="X86" s="25">
        <f>INDEX('Inputs (2)'!$D$8:$AL$8,MATCH(X$7,'Inputs (2)'!$D$2:$AL$2,0))</f>
        <v>-627.625</v>
      </c>
      <c r="Y86" s="25">
        <f>INDEX('Inputs (2)'!$D$8:$AL$8,MATCH(Y$7,'Inputs (2)'!$D$2:$AL$2,0))</f>
        <v>-662.137</v>
      </c>
      <c r="Z86" s="25">
        <f>INDEX('Inputs (2)'!$D$8:$AL$8,MATCH(Z$7,'Inputs (2)'!$D$2:$AL$2,0))</f>
        <v>-707.297</v>
      </c>
      <c r="AA86" s="25">
        <f>INDEX('Inputs (2)'!$D$8:$AL$8,MATCH(AA$7,'Inputs (2)'!$D$2:$AL$2,0))</f>
        <v>-691.837</v>
      </c>
      <c r="AB86" s="3">
        <f>SUM(X86:AA86)</f>
        <v>-2688.896</v>
      </c>
      <c r="AC86" s="25">
        <f>INDEX('Inputs (2)'!$D$8:$AL$8,MATCH(AC$7,'Inputs (2)'!$D$2:$AL$2,0))</f>
        <v>-745.217</v>
      </c>
      <c r="AD86" s="25">
        <f>INDEX('Inputs (2)'!$D$8:$AL$8,MATCH(AD$7,'Inputs (2)'!$D$2:$AL$2,0))</f>
        <v>-792.778</v>
      </c>
      <c r="AE86" s="25">
        <f>INDEX('Inputs (2)'!$D$8:$AL$8,MATCH(AE$7,'Inputs (2)'!$D$2:$AL$2,0))</f>
        <v>-895.889</v>
      </c>
      <c r="AF86" s="25">
        <f>INDEX('Inputs (2)'!$D$8:$AL$8,MATCH(AF$7,'Inputs (2)'!$D$2:$AL$2,0))</f>
        <v>-1154.5136507</v>
      </c>
      <c r="AG86" s="3">
        <f>SUM(AC86:AF86)</f>
        <v>-3588.3976507</v>
      </c>
      <c r="AH86" s="3">
        <f>INDEX('Inputs (2)'!$D$8:$AL$8,MATCH(AH$7,'Inputs (2)'!$D$2:$AL$2,0))</f>
        <v>-902.5778591</v>
      </c>
      <c r="AI86" s="3">
        <f>INDEX('Inputs (2)'!$D$8:$AL$8,MATCH(AI$7,'Inputs (2)'!$D$2:$AL$2,0))</f>
        <v>-1000.7705251</v>
      </c>
      <c r="AJ86" s="3" t="n"/>
      <c r="AK86" s="3" t="n"/>
      <c r="AL86" s="3">
        <f>SUM(AH86:AK86)</f>
        <v>-1903.3483842</v>
      </c>
      <c r="AM86" s="3" t="n"/>
      <c r="AN86" s="3" t="n"/>
      <c r="AO86" s="3" t="n"/>
      <c r="AP86" s="3" t="n"/>
      <c r="AQ86" s="3">
        <f>SUM(AM86:AP86)</f>
        <v>0</v>
      </c>
      <c r="AR86" s="3" t="n"/>
      <c r="AS86" s="3" t="n"/>
      <c r="AT86" s="3" t="n"/>
      <c r="AU86" s="3" t="n"/>
      <c r="AV86" s="3">
        <f>SUM(AR86:AU86)</f>
        <v>0</v>
      </c>
      <c r="AW86" s="3" t="n"/>
      <c r="AX86" s="3" t="n"/>
      <c r="AY86" s="3" t="n"/>
      <c r="AZ86" s="3" t="n"/>
      <c r="BA86" s="3">
        <f>SUM(AW86:AZ86)</f>
        <v>0</v>
      </c>
      <c r="BB86" s="3" t="n"/>
      <c r="BC86" s="3" t="n"/>
      <c r="BD86" s="3" t="n"/>
      <c r="BE86" s="3" t="n"/>
      <c r="BF86" s="3">
        <f>SUM(BB86:BE86)</f>
        <v>0</v>
      </c>
      <c r="BG86" s="3" t="n"/>
      <c r="BH86" s="3" t="n"/>
      <c r="BI86" s="3" t="n"/>
      <c r="BJ86" s="3" t="n"/>
      <c r="BK86" s="3">
        <f>SUM(BG86:BJ86)</f>
        <v>0</v>
      </c>
      <c r="BL86" s="3" t="n"/>
      <c r="BM86" s="3" t="n"/>
      <c r="BN86" s="3" t="n"/>
      <c r="BO86" s="3" t="n"/>
      <c r="BP86" s="3">
        <f>SUM(BL86:BO86)</f>
        <v>0</v>
      </c>
      <c r="BQ86" s="3" t="n"/>
      <c r="BR86" s="3" t="n"/>
      <c r="BS86" s="3" t="n"/>
      <c r="BT86" s="3" t="n"/>
      <c r="BU86" s="3">
        <f>SUM(BQ86:BT86)</f>
        <v>0</v>
      </c>
      <c r="BV86" s="3" t="n"/>
      <c r="BW86" s="3" t="n"/>
      <c r="BX86" s="3" t="n"/>
      <c r="BY86" s="3" t="n"/>
      <c r="BZ86" s="3">
        <f>SUM(BV86:BY86)</f>
        <v>0</v>
      </c>
      <c r="CA86" s="3" t="n"/>
      <c r="CB86" s="3" t="n"/>
      <c r="CC86" s="3" t="n"/>
      <c r="CD86" s="3" t="n"/>
      <c r="CE86" s="3">
        <f>SUM(CA86:CD86)</f>
        <v>0</v>
      </c>
      <c r="CF86" s="3" t="n"/>
      <c r="CG86" s="3" t="n"/>
      <c r="CH86" s="3" t="n"/>
      <c r="CI86" s="3" t="n"/>
      <c r="CJ86" s="3">
        <f>SUM(CF86:CI86)</f>
        <v>0</v>
      </c>
      <c r="CK86" s="3" t="n"/>
      <c r="CL86" s="3" t="n"/>
      <c r="CM86" s="3" t="n"/>
      <c r="CN86" s="3" t="n"/>
      <c r="CO86" s="3">
        <f>SUM(CK86:CN86)</f>
        <v>0</v>
      </c>
      <c r="CP86" s="3" t="n"/>
      <c r="CQ86" s="3" t="n"/>
      <c r="CR86" s="3" t="n"/>
      <c r="CS86" s="3" t="n"/>
      <c r="CT86" s="3">
        <f>SUM(CP86:CS86)</f>
        <v>0</v>
      </c>
      <c r="CU86" s="3" t="n"/>
      <c r="CV86" s="3" t="n"/>
      <c r="CW86" s="3" t="n"/>
      <c r="CX86" s="3" t="n"/>
      <c r="CY86" s="3">
        <f>SUM(CU86:CX86)</f>
        <v>0</v>
      </c>
    </row>
    <row r="87" hidden="1" outlineLevel="1">
      <c r="C87" s="32" t="inlineStr">
        <is>
          <t>% of Debt</t>
        </is>
      </c>
      <c r="D87" s="48">
        <f>IFERROR(-D86/SUM(D224+D229),0)</f>
        <v>0.0172584252192789</v>
      </c>
      <c r="E87" s="48">
        <f>IFERROR(-E86/SUM(E224+E229),0)</f>
        <v>0.0180001698756338</v>
      </c>
      <c r="F87" s="48">
        <f>IFERROR(-F86/SUM(F224+F229),0)</f>
        <v>0.0192665597268544</v>
      </c>
      <c r="G87" s="48">
        <f>IFERROR(-G86/SUM(G224+G229),0)</f>
        <v>0.0103453609446883</v>
      </c>
      <c r="H87" s="3" t="n"/>
      <c r="I87" s="48">
        <f>IFERROR(-I86/SUM(I224+I229),0)</f>
        <v>0.0303298455337694</v>
      </c>
      <c r="J87" s="48">
        <f>IFERROR(-J86/SUM(J224+J229),0)</f>
        <v>-0.026780288196843</v>
      </c>
      <c r="K87" s="48">
        <f>IFERROR(-K86/SUM(K224+K229),0)</f>
        <v>0.0250653516701275</v>
      </c>
      <c r="L87" s="48">
        <f>IFERROR(-L86/SUM(L224+L229),0)</f>
        <v>0.0411750816986636</v>
      </c>
      <c r="M87" s="3" t="n"/>
      <c r="N87" s="48">
        <f>IFERROR(-N86/SUM(N224+N229),0)</f>
        <v>0.0293458268211486</v>
      </c>
      <c r="O87" s="48">
        <f>IFERROR(-O86/SUM(O224+O229),0)</f>
        <v>0.033527919370698</v>
      </c>
      <c r="P87" s="48">
        <f>IFERROR(-P86/SUM(P224+P229),0)</f>
        <v>0.0332577032534048</v>
      </c>
      <c r="Q87" s="48">
        <f>IFERROR(-Q86/SUM(Q224+Q229),0)</f>
        <v>0.0382995585190793</v>
      </c>
      <c r="R87" s="3" t="n"/>
      <c r="S87" s="48">
        <f>IFERROR(-S86/SUM(S224+S229),0)</f>
        <v>0.0413564208055037</v>
      </c>
      <c r="T87" s="48">
        <f>IFERROR(-T86/SUM(T224+T229),0)</f>
        <v>0.04068210582279</v>
      </c>
      <c r="U87" s="48">
        <f>IFERROR(-U86/SUM(U224+U229),0)</f>
        <v>0.044540540981121</v>
      </c>
      <c r="V87" s="48">
        <f>IFERROR(-V86/SUM(V224+V229),0)</f>
        <v>0.0413213336324651</v>
      </c>
      <c r="W87" s="3" t="n"/>
      <c r="X87" s="48">
        <f>IFERROR(-X86/SUM(X224+X229),0)</f>
        <v>0.0398502158880088</v>
      </c>
      <c r="Y87" s="48">
        <f>IFERROR(-Y86/SUM(Y224+Y229),0)</f>
        <v>0.0379345442528911</v>
      </c>
      <c r="Z87" s="48">
        <f>IFERROR(-Z86/SUM(Z224+Z229),0)</f>
        <v>0.038522670821374</v>
      </c>
      <c r="AA87" s="48">
        <f>IFERROR(-AA86/SUM(AA224+AA229),0)</f>
        <v>0.0346966146932355</v>
      </c>
      <c r="AB87" s="3" t="n"/>
      <c r="AC87" s="48">
        <f>IFERROR(-AC86/SUM(AC224+AC229),0)</f>
        <v>0.0385204733299363</v>
      </c>
      <c r="AD87" s="48">
        <f>IFERROR(-AD86/SUM(AD224+AD229),0)</f>
        <v>0.0420792347226589</v>
      </c>
      <c r="AE87" s="48">
        <f>IFERROR(-AE86/SUM(AE224+AE229),0)</f>
        <v>0.0496914753252366</v>
      </c>
      <c r="AF87" s="231">
        <f>IFERROR(-AF86/SUM(AF224+AF229),0)</f>
        <v>0.0543608287750665</v>
      </c>
      <c r="AG87" s="3" t="n"/>
      <c r="AH87" s="6">
        <f>IFERROR(-AH86/SUM(AH224+AH229),0)</f>
        <v>0.0392803630968082</v>
      </c>
      <c r="AI87" s="6">
        <f>IFERROR(-AI86/SUM(AI224+AI229),0)</f>
        <v>0.0433079303621897</v>
      </c>
      <c r="AJ87" s="6" t="n"/>
      <c r="AK87" s="6" t="n"/>
      <c r="AL87" s="3" t="n"/>
      <c r="AM87" s="6" t="n"/>
      <c r="AN87" s="6" t="n"/>
      <c r="AO87" s="6" t="n"/>
      <c r="AP87" s="6" t="n"/>
      <c r="AQ87" s="3" t="n"/>
      <c r="AR87" s="6" t="n"/>
      <c r="AS87" s="6" t="n"/>
      <c r="AT87" s="6" t="n"/>
      <c r="AU87" s="6" t="n"/>
      <c r="AV87" s="3" t="n"/>
      <c r="AW87" s="6" t="n"/>
      <c r="AX87" s="6" t="n"/>
      <c r="AY87" s="6" t="n"/>
      <c r="AZ87" s="6" t="n"/>
      <c r="BA87" s="3" t="n"/>
      <c r="BB87" s="6" t="n"/>
      <c r="BC87" s="6" t="n"/>
      <c r="BD87" s="6" t="n"/>
      <c r="BE87" s="6" t="n"/>
      <c r="BF87" s="3" t="n"/>
      <c r="BG87" s="6" t="n"/>
      <c r="BH87" s="6" t="n"/>
      <c r="BI87" s="6" t="n"/>
      <c r="BJ87" s="6" t="n"/>
      <c r="BK87" s="3" t="n"/>
      <c r="BL87" s="6" t="n"/>
      <c r="BM87" s="6" t="n"/>
      <c r="BN87" s="6" t="n"/>
      <c r="BO87" s="6" t="n"/>
      <c r="BP87" s="3" t="n"/>
      <c r="BQ87" s="6" t="n"/>
      <c r="BR87" s="6" t="n"/>
      <c r="BS87" s="6" t="n"/>
      <c r="BT87" s="6" t="n"/>
      <c r="BU87" s="3" t="n"/>
      <c r="BV87" s="6" t="n"/>
      <c r="BW87" s="6" t="n"/>
      <c r="BX87" s="6" t="n"/>
      <c r="BY87" s="6" t="n"/>
      <c r="BZ87" s="3" t="n"/>
      <c r="CA87" s="6" t="n"/>
      <c r="CB87" s="6" t="n"/>
      <c r="CC87" s="6" t="n"/>
      <c r="CD87" s="6" t="n"/>
      <c r="CE87" s="3" t="n"/>
      <c r="CF87" s="6" t="n"/>
      <c r="CG87" s="6" t="n"/>
      <c r="CH87" s="6" t="n"/>
      <c r="CI87" s="6" t="n"/>
      <c r="CJ87" s="3" t="n"/>
      <c r="CK87" s="6" t="n"/>
      <c r="CL87" s="6" t="n"/>
      <c r="CM87" s="6" t="n"/>
      <c r="CN87" s="6" t="n"/>
      <c r="CO87" s="3" t="n"/>
      <c r="CP87" s="6" t="n"/>
      <c r="CQ87" s="6" t="n"/>
      <c r="CR87" s="6" t="n"/>
      <c r="CS87" s="6" t="n"/>
      <c r="CT87" s="3" t="n"/>
      <c r="CU87" s="6" t="n"/>
      <c r="CV87" s="6" t="n"/>
      <c r="CW87" s="6" t="n"/>
      <c r="CX87" s="6" t="n"/>
      <c r="CY87" s="3" t="n"/>
    </row>
    <row r="88" hidden="1" outlineLevel="1">
      <c r="C88" s="32" t="inlineStr">
        <is>
          <t>%CDI</t>
        </is>
      </c>
      <c r="D88" s="6" t="n"/>
      <c r="E88" s="6" t="n"/>
      <c r="F88" s="6" t="n"/>
      <c r="G88" s="6" t="n"/>
      <c r="H88" s="3" t="n"/>
      <c r="I88" s="6" t="n"/>
      <c r="J88" s="6" t="n"/>
      <c r="K88" s="6" t="n"/>
      <c r="L88" s="6" t="n"/>
      <c r="M88" s="3" t="n"/>
      <c r="N88" s="6" t="n"/>
      <c r="O88" s="6" t="n"/>
      <c r="P88" s="6" t="n"/>
      <c r="Q88" s="6" t="n"/>
      <c r="R88" s="3" t="n"/>
      <c r="S88" s="6" t="n"/>
      <c r="T88" s="6" t="n"/>
      <c r="U88" s="6" t="n"/>
      <c r="V88" s="6" t="n"/>
      <c r="W88" s="3" t="n"/>
      <c r="X88" s="6" t="n"/>
      <c r="Y88" s="6" t="n"/>
      <c r="Z88" s="6" t="n"/>
      <c r="AA88" s="6" t="n"/>
      <c r="AB88" s="3" t="n"/>
      <c r="AC88" s="6" t="n"/>
      <c r="AD88" s="6" t="n"/>
      <c r="AE88" s="6" t="n"/>
      <c r="AF88" s="6" t="n"/>
      <c r="AG88" s="3" t="n"/>
      <c r="AH88" s="6" t="n"/>
      <c r="AI88" s="6" t="n"/>
      <c r="AJ88" s="6" t="n"/>
      <c r="AK88" s="6" t="n"/>
      <c r="AL88" s="3" t="n"/>
      <c r="AM88" s="6" t="n"/>
      <c r="AN88" s="6" t="n"/>
      <c r="AO88" s="6" t="n"/>
      <c r="AP88" s="6" t="n"/>
      <c r="AQ88" s="3" t="n"/>
      <c r="AR88" s="6" t="n"/>
      <c r="AS88" s="6" t="n"/>
      <c r="AT88" s="6" t="n"/>
      <c r="AU88" s="6" t="n"/>
      <c r="AV88" s="3" t="n"/>
      <c r="AW88" s="6" t="n"/>
      <c r="AX88" s="6" t="n"/>
      <c r="AY88" s="6" t="n"/>
      <c r="AZ88" s="6" t="n"/>
      <c r="BA88" s="3" t="n"/>
      <c r="BB88" s="6" t="n"/>
      <c r="BC88" s="6" t="n"/>
      <c r="BD88" s="6" t="n"/>
      <c r="BE88" s="6" t="n"/>
      <c r="BF88" s="3" t="n"/>
      <c r="BG88" s="6" t="n"/>
      <c r="BH88" s="6" t="n"/>
      <c r="BI88" s="6" t="n"/>
      <c r="BJ88" s="6" t="n"/>
      <c r="BK88" s="3" t="n"/>
      <c r="BL88" s="6" t="n"/>
      <c r="BM88" s="6" t="n"/>
      <c r="BN88" s="6" t="n"/>
      <c r="BO88" s="6" t="n"/>
      <c r="BP88" s="3" t="n"/>
      <c r="BQ88" s="6" t="n"/>
      <c r="BR88" s="6" t="n"/>
      <c r="BS88" s="6" t="n"/>
      <c r="BT88" s="6" t="n"/>
      <c r="BU88" s="3" t="n"/>
      <c r="BV88" s="6" t="n"/>
      <c r="BW88" s="6" t="n"/>
      <c r="BX88" s="6" t="n"/>
      <c r="BY88" s="6" t="n"/>
      <c r="BZ88" s="3" t="n"/>
      <c r="CA88" s="6" t="n"/>
      <c r="CB88" s="6" t="n"/>
      <c r="CC88" s="6" t="n"/>
      <c r="CD88" s="6" t="n"/>
      <c r="CE88" s="3" t="n"/>
      <c r="CF88" s="6" t="n"/>
      <c r="CG88" s="6" t="n"/>
      <c r="CH88" s="6" t="n"/>
      <c r="CI88" s="6" t="n"/>
      <c r="CJ88" s="3" t="n"/>
      <c r="CK88" s="6" t="n"/>
      <c r="CL88" s="6" t="n"/>
      <c r="CM88" s="6" t="n"/>
      <c r="CN88" s="6" t="n"/>
      <c r="CO88" s="3" t="n"/>
      <c r="CP88" s="6" t="n"/>
      <c r="CQ88" s="6" t="n"/>
      <c r="CR88" s="6" t="n"/>
      <c r="CS88" s="6" t="n"/>
      <c r="CT88" s="3" t="n"/>
      <c r="CU88" s="6" t="n"/>
      <c r="CV88" s="6" t="n"/>
      <c r="CW88" s="6" t="n"/>
      <c r="CX88" s="6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RECEITA FINANCEIRA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DESPESA FINANCEIRA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OUTROS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Cash and equivalents (inc. investment securities)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Interest on cash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Average interest rate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% CDI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Current portion of long-term debt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Short term debt (Revolving credit facility)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Long term debt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Convertible debt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Total debt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Interest expense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Average interest rate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Stake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PRE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CDI+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Spread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PRE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CDI+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RECEITAS FINANCEIRAS - Rendimentos de aplicações financeiras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RECEITAS FINANCEIRAS - Variação cambial ativa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RECEITAS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RECEITAS FINANCEIRAS - Resultado positivo com instrumentos derivativos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RECEITAS FINANCEIRAS - Descontos obtidos de fornecedores por antecipação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RECEITAS FINANCEIRAS - Atualização monetária sobre Exclusão ICMS da base de PIS/COFINS (nota explicativa nº 7)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RECEITAS FINANCEIRAS - Outras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DESPESAS FINANCEIRAS - Encargos sobre empréstimos, financiamentos e debêntures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inlineStr">
        <is>
          <t>DESPESAS FINANCEIRAS - Variação cambial passiva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inlineStr">
        <is>
          <t>DESPESAS FINANCEIRAS - Resultado negativo com instrumentos derivativos</t>
        </is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DESPESAS FINANCEIRAS - Juros sobre arrendamento - IFRS16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inlineStr">
        <is>
          <t>DESPESAS FINANCEIRAS - Despesas bancárias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DESPESAS FINANCEIRAS - Despesas com obtenção de empréstimos e financiamentos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inlineStr">
        <is>
          <t>DESPESAS FINANCEIRAS - Atualização de contas a pagar por aquisição de empresas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inlineStr">
        <is>
          <t>DESPESAS FINANCEIRAS - Outras</t>
        </is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4" t="inlineStr">
        <is>
          <t>CHECK [EX IFRS-16]</t>
        </is>
      </c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Nonoperating Income / (Loss)</t>
        </is>
      </c>
      <c r="D135" s="25">
        <f>INDEX('Inputs (2)'!$D$9:$AL$9,MATCH(D$7,'Inputs (2)'!$D$2:$AL$2,0))</f>
        <v>9.014</v>
      </c>
      <c r="E135" s="25">
        <f>INDEX('Inputs (2)'!$D$9:$AL$9,MATCH(E$7,'Inputs (2)'!$D$2:$AL$2,0))</f>
        <v>27.271</v>
      </c>
      <c r="F135" s="25">
        <f>INDEX('Inputs (2)'!$D$9:$AL$9,MATCH(F$7,'Inputs (2)'!$D$2:$AL$2,0))</f>
        <v>36.801</v>
      </c>
      <c r="G135" s="25">
        <f>INDEX('Inputs (2)'!$D$9:$AL$9,MATCH(G$7,'Inputs (2)'!$D$2:$AL$2,0))</f>
        <v>8.439</v>
      </c>
      <c r="H135" s="3">
        <f>SUM(D135:G135)</f>
        <v>81.525</v>
      </c>
      <c r="I135" s="25">
        <f>INDEX('Inputs (2)'!$D$9:$AL$9,MATCH(I$7,'Inputs (2)'!$D$2:$AL$2,0))</f>
        <v>188.526</v>
      </c>
      <c r="J135" s="25">
        <f>INDEX('Inputs (2)'!$D$9:$AL$9,MATCH(J$7,'Inputs (2)'!$D$2:$AL$2,0))</f>
        <v>-307.323</v>
      </c>
      <c r="K135" s="25">
        <f>INDEX('Inputs (2)'!$D$9:$AL$9,MATCH(K$7,'Inputs (2)'!$D$2:$AL$2,0))</f>
        <v>209.511</v>
      </c>
      <c r="L135" s="25">
        <f>INDEX('Inputs (2)'!$D$9:$AL$9,MATCH(L$7,'Inputs (2)'!$D$2:$AL$2,0))</f>
        <v>383.039</v>
      </c>
      <c r="M135" s="3">
        <f>SUM(I135:L135)</f>
        <v>473.753</v>
      </c>
      <c r="N135" s="25">
        <f>INDEX('Inputs (2)'!$D$9:$AL$9,MATCH(N$7,'Inputs (2)'!$D$2:$AL$2,0))</f>
        <v>107.671</v>
      </c>
      <c r="O135" s="25">
        <f>INDEX('Inputs (2)'!$D$9:$AL$9,MATCH(O$7,'Inputs (2)'!$D$2:$AL$2,0))</f>
        <v>116.444</v>
      </c>
      <c r="P135" s="25">
        <f>INDEX('Inputs (2)'!$D$9:$AL$9,MATCH(P$7,'Inputs (2)'!$D$2:$AL$2,0))</f>
        <v>123.724</v>
      </c>
      <c r="Q135" s="25">
        <f>INDEX('Inputs (2)'!$D$9:$AL$9,MATCH(Q$7,'Inputs (2)'!$D$2:$AL$2,0))</f>
        <v>161.251</v>
      </c>
      <c r="R135" s="3">
        <f>SUM(N135:Q135)</f>
        <v>509.09</v>
      </c>
      <c r="S135" s="25">
        <f>INDEX('Inputs (2)'!$D$9:$AL$9,MATCH(S$7,'Inputs (2)'!$D$2:$AL$2,0))</f>
        <v>140.596</v>
      </c>
      <c r="T135" s="25">
        <f>INDEX('Inputs (2)'!$D$9:$AL$9,MATCH(T$7,'Inputs (2)'!$D$2:$AL$2,0))</f>
        <v>25.985</v>
      </c>
      <c r="U135" s="25">
        <f>INDEX('Inputs (2)'!$D$9:$AL$9,MATCH(U$7,'Inputs (2)'!$D$2:$AL$2,0))</f>
        <v>47.438</v>
      </c>
      <c r="V135" s="25">
        <f>INDEX('Inputs (2)'!$D$9:$AL$9,MATCH(V$7,'Inputs (2)'!$D$2:$AL$2,0))</f>
        <v>59.055</v>
      </c>
      <c r="W135" s="3">
        <f>SUM(S135:V135)</f>
        <v>273.074</v>
      </c>
      <c r="X135" s="25">
        <f>INDEX('Inputs (2)'!$D$9:$AL$9,MATCH(X$7,'Inputs (2)'!$D$2:$AL$2,0))</f>
        <v>88.865</v>
      </c>
      <c r="Y135" s="25">
        <f>INDEX('Inputs (2)'!$D$9:$AL$9,MATCH(Y$7,'Inputs (2)'!$D$2:$AL$2,0))</f>
        <v>91.414</v>
      </c>
      <c r="Z135" s="25">
        <f>INDEX('Inputs (2)'!$D$9:$AL$9,MATCH(Z$7,'Inputs (2)'!$D$2:$AL$2,0))</f>
        <v>112.895</v>
      </c>
      <c r="AA135" s="25">
        <f>INDEX('Inputs (2)'!$D$9:$AL$9,MATCH(AA$7,'Inputs (2)'!$D$2:$AL$2,0))</f>
        <v>85.172</v>
      </c>
      <c r="AB135" s="3">
        <f>SUM(X135:AA135)</f>
        <v>378.346</v>
      </c>
      <c r="AC135" s="25">
        <f>INDEX('Inputs (2)'!$D$9:$AL$9,MATCH(AC$7,'Inputs (2)'!$D$2:$AL$2,0))</f>
        <v>90.007</v>
      </c>
      <c r="AD135" s="25">
        <f>INDEX('Inputs (2)'!$D$9:$AL$9,MATCH(AD$7,'Inputs (2)'!$D$2:$AL$2,0))</f>
        <v>98.699</v>
      </c>
      <c r="AE135" s="25">
        <f>INDEX('Inputs (2)'!$D$9:$AL$9,MATCH(AE$7,'Inputs (2)'!$D$2:$AL$2,0))</f>
        <v>100.571</v>
      </c>
      <c r="AF135" s="25">
        <f>INDEX('Inputs (2)'!$D$9:$AL$9,MATCH(AF$7,'Inputs (2)'!$D$2:$AL$2,0))</f>
        <v>390.591907105874</v>
      </c>
      <c r="AG135" s="3">
        <f>SUM(AC135:AF135)</f>
        <v>679.868907105874</v>
      </c>
      <c r="AH135" s="3">
        <f>INDEX('Inputs (2)'!$D$9:$AL$9,MATCH(AH$7,'Inputs (2)'!$D$2:$AL$2,0))</f>
        <v>148.7954076</v>
      </c>
      <c r="AI135" s="3">
        <f>INDEX('Inputs (2)'!$D$9:$AL$9,MATCH(AI$7,'Inputs (2)'!$D$2:$AL$2,0))</f>
        <v>155.1356947</v>
      </c>
      <c r="AJ135" s="3">
        <f>AH135</f>
        <v>148.7954076</v>
      </c>
      <c r="AK135" s="3">
        <f>AI135</f>
        <v>155.1356947</v>
      </c>
      <c r="AL135" s="3">
        <f>SUM(AH135:AK135)</f>
        <v>607.8622046</v>
      </c>
      <c r="AM135" s="3">
        <f>AK135</f>
        <v>155.1356947</v>
      </c>
      <c r="AN135" s="3">
        <f>AL135</f>
        <v>607.8622046</v>
      </c>
      <c r="AO135" s="3">
        <f>AM135</f>
        <v>155.1356947</v>
      </c>
      <c r="AP135" s="3">
        <f>AN135</f>
        <v>607.8622046</v>
      </c>
      <c r="AQ135" s="3">
        <f>SUM(AM135:AP135)</f>
        <v>1525.9957986</v>
      </c>
      <c r="AR135" s="3">
        <f>AP135</f>
        <v>607.8622046</v>
      </c>
      <c r="AS135" s="3">
        <f>AQ135</f>
        <v>1525.9957986</v>
      </c>
      <c r="AT135" s="3">
        <f>AR135</f>
        <v>607.8622046</v>
      </c>
      <c r="AU135" s="3">
        <f>AS135</f>
        <v>1525.9957986</v>
      </c>
      <c r="AV135" s="3">
        <f>SUM(AR135:AU135)</f>
        <v>4267.7160064</v>
      </c>
      <c r="AW135" s="3">
        <f>AU135</f>
        <v>1525.9957986</v>
      </c>
      <c r="AX135" s="3">
        <f>AV135</f>
        <v>4267.7160064</v>
      </c>
      <c r="AY135" s="3">
        <f>AW135</f>
        <v>1525.9957986</v>
      </c>
      <c r="AZ135" s="3">
        <f>AX135</f>
        <v>4267.7160064</v>
      </c>
      <c r="BA135" s="3">
        <f>SUM(AW135:AZ135)</f>
        <v>11587.42361</v>
      </c>
      <c r="BB135" s="3">
        <f>AZ135</f>
        <v>4267.7160064</v>
      </c>
      <c r="BC135" s="3">
        <f>BA135</f>
        <v>11587.42361</v>
      </c>
      <c r="BD135" s="3">
        <f>BB135</f>
        <v>4267.7160064</v>
      </c>
      <c r="BE135" s="3">
        <f>BC135</f>
        <v>11587.42361</v>
      </c>
      <c r="BF135" s="3">
        <f>SUM(BB135:BE135)</f>
        <v>31710.2792328</v>
      </c>
      <c r="BG135" s="3">
        <f>BE135</f>
        <v>11587.42361</v>
      </c>
      <c r="BH135" s="3">
        <f>BF135</f>
        <v>31710.2792328</v>
      </c>
      <c r="BI135" s="3">
        <f>BG135</f>
        <v>11587.42361</v>
      </c>
      <c r="BJ135" s="3">
        <f>BH135</f>
        <v>31710.2792328</v>
      </c>
      <c r="BK135" s="3">
        <f>SUM(BG135:BJ135)</f>
        <v>86595.4056856</v>
      </c>
      <c r="BL135" s="3">
        <f>BJ135</f>
        <v>31710.2792328</v>
      </c>
      <c r="BM135" s="3">
        <f>BK135</f>
        <v>86595.4056856</v>
      </c>
      <c r="BN135" s="3">
        <f>BL135</f>
        <v>31710.2792328</v>
      </c>
      <c r="BO135" s="3">
        <f>BM135</f>
        <v>86595.4056856</v>
      </c>
      <c r="BP135" s="3">
        <f>SUM(BL135:BO135)</f>
        <v>236611.3698368</v>
      </c>
      <c r="BQ135" s="3">
        <f>BO135</f>
        <v>86595.4056856</v>
      </c>
      <c r="BR135" s="3">
        <f>BP135</f>
        <v>236611.3698368</v>
      </c>
      <c r="BS135" s="3">
        <f>BQ135</f>
        <v>86595.4056856</v>
      </c>
      <c r="BT135" s="3">
        <f>BR135</f>
        <v>236611.3698368</v>
      </c>
      <c r="BU135" s="3">
        <f>SUM(BQ135:BT135)</f>
        <v>646413.5510448</v>
      </c>
      <c r="BV135" s="3">
        <f>BT135</f>
        <v>236611.3698368</v>
      </c>
      <c r="BW135" s="3">
        <f>BU135</f>
        <v>646413.5510448</v>
      </c>
      <c r="BX135" s="3">
        <f>BV135</f>
        <v>236611.3698368</v>
      </c>
      <c r="BY135" s="3">
        <f>BW135</f>
        <v>646413.5510448</v>
      </c>
      <c r="BZ135" s="3">
        <f>SUM(BV135:BY135)</f>
        <v>1766049.8417632</v>
      </c>
      <c r="CA135" s="3">
        <f>BY135</f>
        <v>646413.5510448</v>
      </c>
      <c r="CB135" s="3">
        <f>BZ135</f>
        <v>1766049.8417632</v>
      </c>
      <c r="CC135" s="3">
        <f>CA135</f>
        <v>646413.5510448</v>
      </c>
      <c r="CD135" s="3">
        <f>CB135</f>
        <v>1766049.8417632</v>
      </c>
      <c r="CE135" s="3">
        <f>SUM(CA135:CD135)</f>
        <v>4824926.785616</v>
      </c>
      <c r="CF135" s="3">
        <f>CD135</f>
        <v>1766049.8417632</v>
      </c>
      <c r="CG135" s="3">
        <f>CE135</f>
        <v>4824926.785616</v>
      </c>
      <c r="CH135" s="3">
        <f>CF135</f>
        <v>1766049.8417632</v>
      </c>
      <c r="CI135" s="3">
        <f>CG135</f>
        <v>4824926.785616</v>
      </c>
      <c r="CJ135" s="3">
        <f>SUM(CF135:CI135)</f>
        <v>13181953.2547584</v>
      </c>
      <c r="CK135" s="3">
        <f>CI135</f>
        <v>4824926.785616</v>
      </c>
      <c r="CL135" s="3">
        <f>CJ135</f>
        <v>13181953.2547584</v>
      </c>
      <c r="CM135" s="3">
        <f>CK135</f>
        <v>4824926.785616</v>
      </c>
      <c r="CN135" s="3">
        <f>CL135</f>
        <v>13181953.2547584</v>
      </c>
      <c r="CO135" s="3">
        <f>SUM(CK135:CN135)</f>
        <v>36013760.0807488</v>
      </c>
      <c r="CP135" s="3">
        <f>CN135</f>
        <v>13181953.2547584</v>
      </c>
      <c r="CQ135" s="3">
        <f>CO135</f>
        <v>36013760.0807488</v>
      </c>
      <c r="CR135" s="3">
        <f>CP135</f>
        <v>13181953.2547584</v>
      </c>
      <c r="CS135" s="3">
        <f>CQ135</f>
        <v>36013760.0807488</v>
      </c>
      <c r="CT135" s="3">
        <f>SUM(CP135:CS135)</f>
        <v>98391426.6710144</v>
      </c>
      <c r="CU135" s="3">
        <f>CS135</f>
        <v>36013760.0807488</v>
      </c>
      <c r="CV135" s="3">
        <f>CT135</f>
        <v>98391426.6710144</v>
      </c>
      <c r="CW135" s="3">
        <f>CU135</f>
        <v>36013760.0807488</v>
      </c>
      <c r="CX135" s="3">
        <f>CV135</f>
        <v>98391426.6710144</v>
      </c>
      <c r="CY135" s="3">
        <f>SUM(CU135:CX135)</f>
        <v>268810373.503526</v>
      </c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2" t="inlineStr">
        <is>
          <t>Resultado Não Recorrente</t>
        </is>
      </c>
      <c r="D137" s="6" t="n"/>
      <c r="E137" s="6" t="n"/>
      <c r="F137" s="6" t="n"/>
      <c r="G137" s="6" t="n"/>
      <c r="H137" s="3" t="n"/>
      <c r="I137" s="6" t="n"/>
      <c r="J137" s="6" t="n"/>
      <c r="K137" s="6" t="n"/>
      <c r="L137" s="6" t="n"/>
      <c r="M137" s="3" t="n"/>
      <c r="N137" s="6" t="n"/>
      <c r="O137" s="6" t="n"/>
      <c r="P137" s="6" t="n"/>
      <c r="Q137" s="6" t="n"/>
      <c r="R137" s="3" t="n"/>
      <c r="S137" s="6" t="n"/>
      <c r="T137" s="6" t="n"/>
      <c r="U137" s="6" t="n"/>
      <c r="V137" s="6" t="n"/>
      <c r="W137" s="3" t="n"/>
      <c r="X137" s="6" t="n"/>
      <c r="Y137" s="6" t="n"/>
      <c r="Z137" s="6" t="n"/>
      <c r="AA137" s="6" t="n"/>
      <c r="AB137" s="3" t="n"/>
      <c r="AC137" s="6" t="n"/>
      <c r="AD137" s="6" t="n"/>
      <c r="AE137" s="6" t="n"/>
      <c r="AF137" s="6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hidden="1" outlineLevel="1">
      <c r="C138" s="32" t="inlineStr">
        <is>
          <t>Plano de Opção de Compra de Ações</t>
        </is>
      </c>
      <c r="D138" s="6" t="n"/>
      <c r="E138" s="6" t="n"/>
      <c r="F138" s="6" t="n"/>
      <c r="G138" s="6" t="n"/>
      <c r="H138" s="3" t="n"/>
      <c r="I138" s="6" t="n"/>
      <c r="J138" s="6" t="n"/>
      <c r="K138" s="6" t="n"/>
      <c r="L138" s="6" t="n"/>
      <c r="M138" s="3" t="n"/>
      <c r="N138" s="6" t="n"/>
      <c r="O138" s="6" t="n"/>
      <c r="P138" s="6" t="n"/>
      <c r="Q138" s="6" t="n"/>
      <c r="R138" s="3" t="n"/>
      <c r="S138" s="6" t="n"/>
      <c r="T138" s="6" t="n"/>
      <c r="U138" s="6" t="n"/>
      <c r="V138" s="6" t="n"/>
      <c r="W138" s="3" t="n"/>
      <c r="X138" s="6" t="n"/>
      <c r="Y138" s="6" t="n"/>
      <c r="Z138" s="6" t="n"/>
      <c r="AA138" s="6" t="n"/>
      <c r="AB138" s="3" t="n"/>
      <c r="AC138" s="6" t="n"/>
      <c r="AD138" s="6" t="n"/>
      <c r="AE138" s="6" t="n"/>
      <c r="AF138" s="6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2" t="inlineStr">
        <is>
          <t>Baixa Imobilizado</t>
        </is>
      </c>
      <c r="D139" s="6" t="n"/>
      <c r="E139" s="6" t="n"/>
      <c r="F139" s="6" t="n"/>
      <c r="G139" s="6" t="n"/>
      <c r="H139" s="3" t="n"/>
      <c r="I139" s="6" t="n"/>
      <c r="J139" s="6" t="n"/>
      <c r="K139" s="6" t="n"/>
      <c r="L139" s="6" t="n"/>
      <c r="M139" s="3" t="n"/>
      <c r="N139" s="6" t="n"/>
      <c r="O139" s="6" t="n"/>
      <c r="P139" s="6" t="n"/>
      <c r="Q139" s="6" t="n"/>
      <c r="R139" s="3" t="n"/>
      <c r="S139" s="6" t="n"/>
      <c r="T139" s="6" t="n"/>
      <c r="U139" s="6" t="n"/>
      <c r="V139" s="6" t="n"/>
      <c r="W139" s="3" t="n"/>
      <c r="X139" s="6" t="n"/>
      <c r="Y139" s="6" t="n"/>
      <c r="Z139" s="6" t="n"/>
      <c r="AA139" s="6" t="n"/>
      <c r="AB139" s="3" t="n"/>
      <c r="AC139" s="6" t="n"/>
      <c r="AD139" s="6" t="n"/>
      <c r="AE139" s="6" t="n"/>
      <c r="AF139" s="6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 customFormat="1" s="17">
      <c r="A142" s="13" t="n"/>
      <c r="B142" s="1" t="n"/>
      <c r="C142" s="14" t="inlineStr">
        <is>
          <t>Pretax Income - EBT</t>
        </is>
      </c>
      <c r="D142" s="16">
        <f>SUM(D85,D86,D135)</f>
        <v>72.7319999999999</v>
      </c>
      <c r="E142" s="16">
        <f>SUM(E85,E86,E135)</f>
        <v>3.97100000000003</v>
      </c>
      <c r="F142" s="16">
        <f>SUM(F85,F86,F135)</f>
        <v>56.7329999999999</v>
      </c>
      <c r="G142" s="16">
        <f>SUM(G85,G86,G135)</f>
        <v>183.228</v>
      </c>
      <c r="H142" s="16">
        <f>SUM(D142:G142)</f>
        <v>316.664</v>
      </c>
      <c r="I142" s="16">
        <f>SUM(I85,I86,I135)</f>
        <v>165.666</v>
      </c>
      <c r="J142" s="16">
        <f>SUM(J85,J86,J135)</f>
        <v>248.104</v>
      </c>
      <c r="K142" s="16">
        <f>SUM(K85,K86,K135)</f>
        <v>369.956</v>
      </c>
      <c r="L142" s="16">
        <f>SUM(L85,L86,L135)</f>
        <v>398.043</v>
      </c>
      <c r="M142" s="16">
        <f>SUM(I142:L142)</f>
        <v>1181.769</v>
      </c>
      <c r="N142" s="16">
        <f>SUM(N85,N86,N135)</f>
        <v>362.972</v>
      </c>
      <c r="O142" s="16">
        <f>SUM(O85,O86,O135)</f>
        <v>264.989</v>
      </c>
      <c r="P142" s="16">
        <f>SUM(P85,P86,P135)</f>
        <v>111.146</v>
      </c>
      <c r="Q142" s="16">
        <f>SUM(Q85,Q86,Q135)</f>
        <v>-23.7250000000001</v>
      </c>
      <c r="R142" s="16">
        <f>SUM(N142:Q142)</f>
        <v>715.382</v>
      </c>
      <c r="S142" s="16">
        <f>SUM(S85,S86,S135)</f>
        <v>10.6269999999998</v>
      </c>
      <c r="T142" s="16">
        <f>SUM(T85,T86,T135)</f>
        <v>-24.537</v>
      </c>
      <c r="U142" s="16">
        <f>SUM(U85,U86,U135)</f>
        <v>-87.5790000000001</v>
      </c>
      <c r="V142" s="16">
        <f>SUM(V85,V86,V135)</f>
        <v>-735.32</v>
      </c>
      <c r="W142" s="16">
        <f>SUM(S142:V142)</f>
        <v>-836.809</v>
      </c>
      <c r="X142" s="16">
        <f>SUM(X85,X86,X135)</f>
        <v>72.886</v>
      </c>
      <c r="Y142" s="16">
        <f>SUM(Y85,Y86,Y135)</f>
        <v>56.6039999999996</v>
      </c>
      <c r="Z142" s="16">
        <f>SUM(Z85,Z86,Z135)</f>
        <v>101.796</v>
      </c>
      <c r="AA142" s="16">
        <f>SUM(AA85,AA86,AA135)</f>
        <v>78.2650000000004</v>
      </c>
      <c r="AB142" s="16">
        <f>SUM(X142:AA142)</f>
        <v>309.551</v>
      </c>
      <c r="AC142" s="16">
        <f>SUM(AC85,AC86,AC135)</f>
        <v>110.745</v>
      </c>
      <c r="AD142" s="16">
        <f>SUM(AD85,AD86,AD135)</f>
        <v>91.3110000000004</v>
      </c>
      <c r="AE142" s="16">
        <f>SUM(AE85,AE86,AE135)</f>
        <v>58.774</v>
      </c>
      <c r="AF142" s="16">
        <f>SUM(AF85,AF86,AF135)</f>
        <v>86.7692737559841</v>
      </c>
      <c r="AG142" s="16">
        <f>SUM(AC142:AF142)</f>
        <v>347.599273755984</v>
      </c>
      <c r="AH142" s="16">
        <f>SUM(AH85,AH86,AH135)</f>
        <v>164.2961905</v>
      </c>
      <c r="AI142" s="16">
        <f>SUM(AI85,AI86,AI135)</f>
        <v>169.5451322</v>
      </c>
      <c r="AJ142" s="16">
        <f>SUM(AJ85,AJ86,AJ135)</f>
        <v>148.7954076</v>
      </c>
      <c r="AK142" s="16">
        <f>SUM(AK85,AK86,AK135)</f>
        <v>155.1356947</v>
      </c>
      <c r="AL142" s="16">
        <f>SUM(AH142:AK142)</f>
        <v>637.772425</v>
      </c>
      <c r="AM142" s="16">
        <f>SUM(AM85,AM86,AM135)</f>
        <v>155.1356947</v>
      </c>
      <c r="AN142" s="16">
        <f>SUM(AN85,AN86,AN135)</f>
        <v>607.8622046</v>
      </c>
      <c r="AO142" s="16">
        <f>SUM(AO85,AO86,AO135)</f>
        <v>155.1356947</v>
      </c>
      <c r="AP142" s="16">
        <f>SUM(AP85,AP86,AP135)</f>
        <v>607.8622046</v>
      </c>
      <c r="AQ142" s="16">
        <f>SUM(AM142:AP142)</f>
        <v>1525.9957986</v>
      </c>
      <c r="AR142" s="16">
        <f>SUM(AR85,AR86,AR135)</f>
        <v>607.8622046</v>
      </c>
      <c r="AS142" s="16">
        <f>SUM(AS85,AS86,AS135)</f>
        <v>1525.9957986</v>
      </c>
      <c r="AT142" s="16">
        <f>SUM(AT85,AT86,AT135)</f>
        <v>607.8622046</v>
      </c>
      <c r="AU142" s="16">
        <f>SUM(AU85,AU86,AU135)</f>
        <v>1525.9957986</v>
      </c>
      <c r="AV142" s="16">
        <f>SUM(AR142:AU142)</f>
        <v>4267.7160064</v>
      </c>
      <c r="AW142" s="16">
        <f>SUM(AW85,AW86,AW135)</f>
        <v>1525.9957986</v>
      </c>
      <c r="AX142" s="16">
        <f>SUM(AX85,AX86,AX135)</f>
        <v>4267.7160064</v>
      </c>
      <c r="AY142" s="16">
        <f>SUM(AY85,AY86,AY135)</f>
        <v>1525.9957986</v>
      </c>
      <c r="AZ142" s="16">
        <f>SUM(AZ85,AZ86,AZ135)</f>
        <v>4267.7160064</v>
      </c>
      <c r="BA142" s="16">
        <f>SUM(AW142:AZ142)</f>
        <v>11587.42361</v>
      </c>
      <c r="BB142" s="16">
        <f>SUM(BB85,BB86,BB135)</f>
        <v>4267.7160064</v>
      </c>
      <c r="BC142" s="16">
        <f>SUM(BC85,BC86,BC135)</f>
        <v>11587.42361</v>
      </c>
      <c r="BD142" s="16">
        <f>SUM(BD85,BD86,BD135)</f>
        <v>4267.7160064</v>
      </c>
      <c r="BE142" s="16">
        <f>SUM(BE85,BE86,BE135)</f>
        <v>11587.42361</v>
      </c>
      <c r="BF142" s="16">
        <f>SUM(BB142:BE142)</f>
        <v>31710.2792328</v>
      </c>
      <c r="BG142" s="16">
        <f>SUM(BG85,BG86,BG135)</f>
        <v>11587.42361</v>
      </c>
      <c r="BH142" s="16">
        <f>SUM(BH85,BH86,BH135)</f>
        <v>31710.2792328</v>
      </c>
      <c r="BI142" s="16">
        <f>SUM(BI85,BI86,BI135)</f>
        <v>11587.42361</v>
      </c>
      <c r="BJ142" s="16">
        <f>SUM(BJ85,BJ86,BJ135)</f>
        <v>31710.2792328</v>
      </c>
      <c r="BK142" s="16">
        <f>SUM(BG142:BJ142)</f>
        <v>86595.4056856</v>
      </c>
      <c r="BL142" s="16">
        <f>SUM(BL85,BL86,BL135)</f>
        <v>31710.2792328</v>
      </c>
      <c r="BM142" s="16">
        <f>SUM(BM85,BM86,BM135)</f>
        <v>86595.4056856</v>
      </c>
      <c r="BN142" s="16">
        <f>SUM(BN85,BN86,BN135)</f>
        <v>31710.2792328</v>
      </c>
      <c r="BO142" s="16">
        <f>SUM(BO85,BO86,BO135)</f>
        <v>86595.4056856</v>
      </c>
      <c r="BP142" s="16">
        <f>SUM(BL142:BO142)</f>
        <v>236611.3698368</v>
      </c>
      <c r="BQ142" s="16">
        <f>SUM(BQ85,BQ86,BQ135)</f>
        <v>86595.4056856</v>
      </c>
      <c r="BR142" s="16">
        <f>SUM(BR85,BR86,BR135)</f>
        <v>236611.3698368</v>
      </c>
      <c r="BS142" s="16">
        <f>SUM(BS85,BS86,BS135)</f>
        <v>86595.4056856</v>
      </c>
      <c r="BT142" s="16">
        <f>SUM(BT85,BT86,BT135)</f>
        <v>236611.3698368</v>
      </c>
      <c r="BU142" s="16">
        <f>SUM(BQ142:BT142)</f>
        <v>646413.5510448</v>
      </c>
      <c r="BV142" s="16">
        <f>SUM(BV85,BV86,BV135)</f>
        <v>236611.3698368</v>
      </c>
      <c r="BW142" s="16">
        <f>SUM(BW85,BW86,BW135)</f>
        <v>646413.5510448</v>
      </c>
      <c r="BX142" s="16">
        <f>SUM(BX85,BX86,BX135)</f>
        <v>236611.3698368</v>
      </c>
      <c r="BY142" s="16">
        <f>SUM(BY85,BY86,BY135)</f>
        <v>646413.5510448</v>
      </c>
      <c r="BZ142" s="16">
        <f>SUM(BV142:BY142)</f>
        <v>1766049.8417632</v>
      </c>
      <c r="CA142" s="16">
        <f>SUM(CA85,CA86,CA135)</f>
        <v>646413.5510448</v>
      </c>
      <c r="CB142" s="16">
        <f>SUM(CB85,CB86,CB135)</f>
        <v>1766049.8417632</v>
      </c>
      <c r="CC142" s="16">
        <f>SUM(CC85,CC86,CC135)</f>
        <v>646413.5510448</v>
      </c>
      <c r="CD142" s="16">
        <f>SUM(CD85,CD86,CD135)</f>
        <v>1766049.8417632</v>
      </c>
      <c r="CE142" s="16">
        <f>SUM(CA142:CD142)</f>
        <v>4824926.785616</v>
      </c>
      <c r="CF142" s="16">
        <f>SUM(CF85,CF86,CF135)</f>
        <v>1766049.8417632</v>
      </c>
      <c r="CG142" s="16">
        <f>SUM(CG85,CG86,CG135)</f>
        <v>4824926.785616</v>
      </c>
      <c r="CH142" s="16">
        <f>SUM(CH85,CH86,CH135)</f>
        <v>1766049.8417632</v>
      </c>
      <c r="CI142" s="16">
        <f>SUM(CI85,CI86,CI135)</f>
        <v>4824926.785616</v>
      </c>
      <c r="CJ142" s="16">
        <f>SUM(CF142:CI142)</f>
        <v>13181953.2547584</v>
      </c>
      <c r="CK142" s="16">
        <f>SUM(CK85,CK86,CK135)</f>
        <v>4824926.785616</v>
      </c>
      <c r="CL142" s="16">
        <f>SUM(CL85,CL86,CL135)</f>
        <v>13181953.2547584</v>
      </c>
      <c r="CM142" s="16">
        <f>SUM(CM85,CM86,CM135)</f>
        <v>4824926.785616</v>
      </c>
      <c r="CN142" s="16">
        <f>SUM(CN85,CN86,CN135)</f>
        <v>13181953.2547584</v>
      </c>
      <c r="CO142" s="16">
        <f>SUM(CK142:CN142)</f>
        <v>36013760.0807488</v>
      </c>
      <c r="CP142" s="16">
        <f>SUM(CP85,CP86,CP135)</f>
        <v>13181953.2547584</v>
      </c>
      <c r="CQ142" s="16">
        <f>SUM(CQ85,CQ86,CQ135)</f>
        <v>36013760.0807488</v>
      </c>
      <c r="CR142" s="16">
        <f>SUM(CR85,CR86,CR135)</f>
        <v>13181953.2547584</v>
      </c>
      <c r="CS142" s="16">
        <f>SUM(CS85,CS86,CS135)</f>
        <v>36013760.0807488</v>
      </c>
      <c r="CT142" s="16">
        <f>SUM(CP142:CS142)</f>
        <v>98391426.6710144</v>
      </c>
      <c r="CU142" s="16">
        <f>SUM(CU85,CU86,CU135)</f>
        <v>36013760.0807488</v>
      </c>
      <c r="CV142" s="16">
        <f>SUM(CV85,CV86,CV135)</f>
        <v>98391426.6710144</v>
      </c>
      <c r="CW142" s="16">
        <f>SUM(CW85,CW86,CW135)</f>
        <v>36013760.0807488</v>
      </c>
      <c r="CX142" s="16">
        <f>SUM(CX85,CX86,CX135)</f>
        <v>98391426.6710144</v>
      </c>
      <c r="CY142" s="16">
        <f>SUM(CU142:CX142)</f>
        <v>268810373.503526</v>
      </c>
    </row>
    <row r="143">
      <c r="C143" s="26" t="inlineStr">
        <is>
          <t>Taxes</t>
        </is>
      </c>
      <c r="D143" s="25">
        <f>INDEX('Inputs (2)'!$D$10:$AL$10,MATCH(D$7,'Inputs (2)'!$D$2:$AL$2,0))</f>
        <v>-17.642</v>
      </c>
      <c r="E143" s="25">
        <f>INDEX('Inputs (2)'!$D$10:$AL$10,MATCH(E$7,'Inputs (2)'!$D$2:$AL$2,0))</f>
        <v>-1.358</v>
      </c>
      <c r="F143" s="25">
        <f>INDEX('Inputs (2)'!$D$10:$AL$10,MATCH(F$7,'Inputs (2)'!$D$2:$AL$2,0))</f>
        <v>-19.531</v>
      </c>
      <c r="G143" s="25">
        <f>INDEX('Inputs (2)'!$D$10:$AL$10,MATCH(G$7,'Inputs (2)'!$D$2:$AL$2,0))</f>
        <v>-44.535</v>
      </c>
      <c r="H143" s="3">
        <f>SUM(D143:G143)</f>
        <v>-83.066</v>
      </c>
      <c r="I143" s="25">
        <f>INDEX('Inputs (2)'!$D$10:$AL$10,MATCH(I$7,'Inputs (2)'!$D$2:$AL$2,0))</f>
        <v>-56.185</v>
      </c>
      <c r="J143" s="25">
        <f>INDEX('Inputs (2)'!$D$10:$AL$10,MATCH(J$7,'Inputs (2)'!$D$2:$AL$2,0))</f>
        <v>-74.183</v>
      </c>
      <c r="K143" s="25">
        <f>INDEX('Inputs (2)'!$D$10:$AL$10,MATCH(K$7,'Inputs (2)'!$D$2:$AL$2,0))</f>
        <v>-110.575</v>
      </c>
      <c r="L143" s="25">
        <f>INDEX('Inputs (2)'!$D$10:$AL$10,MATCH(L$7,'Inputs (2)'!$D$2:$AL$2,0))</f>
        <v>-121.387</v>
      </c>
      <c r="M143" s="3">
        <f>SUM(I143:L143)</f>
        <v>-362.33</v>
      </c>
      <c r="N143" s="25">
        <f>INDEX('Inputs (2)'!$D$10:$AL$10,MATCH(N$7,'Inputs (2)'!$D$2:$AL$2,0))</f>
        <v>-104.904</v>
      </c>
      <c r="O143" s="25">
        <f>INDEX('Inputs (2)'!$D$10:$AL$10,MATCH(O$7,'Inputs (2)'!$D$2:$AL$2,0))</f>
        <v>-78.228</v>
      </c>
      <c r="P143" s="25">
        <f>INDEX('Inputs (2)'!$D$10:$AL$10,MATCH(P$7,'Inputs (2)'!$D$2:$AL$2,0))</f>
        <v>-17.428</v>
      </c>
      <c r="Q143" s="25">
        <f>INDEX('Inputs (2)'!$D$10:$AL$10,MATCH(Q$7,'Inputs (2)'!$D$2:$AL$2,0))</f>
        <v>41.556</v>
      </c>
      <c r="R143" s="3">
        <f>SUM(N143:Q143)</f>
        <v>-159.004</v>
      </c>
      <c r="S143" s="25">
        <f>INDEX('Inputs (2)'!$D$10:$AL$10,MATCH(S$7,'Inputs (2)'!$D$2:$AL$2,0))</f>
        <v>10.417</v>
      </c>
      <c r="T143" s="25">
        <f>INDEX('Inputs (2)'!$D$10:$AL$10,MATCH(T$7,'Inputs (2)'!$D$2:$AL$2,0))</f>
        <v>6.673</v>
      </c>
      <c r="U143" s="25">
        <f>INDEX('Inputs (2)'!$D$10:$AL$10,MATCH(U$7,'Inputs (2)'!$D$2:$AL$2,0))</f>
        <v>21.858</v>
      </c>
      <c r="V143" s="25">
        <f>INDEX('Inputs (2)'!$D$10:$AL$10,MATCH(V$7,'Inputs (2)'!$D$2:$AL$2,0))</f>
        <v>147.011</v>
      </c>
      <c r="W143" s="3">
        <f>SUM(S143:V143)</f>
        <v>185.959</v>
      </c>
      <c r="X143" s="25">
        <f>INDEX('Inputs (2)'!$D$10:$AL$10,MATCH(X$7,'Inputs (2)'!$D$2:$AL$2,0))</f>
        <v>-24.287</v>
      </c>
      <c r="Y143" s="25">
        <f>INDEX('Inputs (2)'!$D$10:$AL$10,MATCH(Y$7,'Inputs (2)'!$D$2:$AL$2,0))</f>
        <v>-14.056</v>
      </c>
      <c r="Z143" s="25">
        <f>INDEX('Inputs (2)'!$D$10:$AL$10,MATCH(Z$7,'Inputs (2)'!$D$2:$AL$2,0))</f>
        <v>-23.602</v>
      </c>
      <c r="AA143" s="25">
        <f>INDEX('Inputs (2)'!$D$10:$AL$10,MATCH(AA$7,'Inputs (2)'!$D$2:$AL$2,0))</f>
        <v>-16.094</v>
      </c>
      <c r="AB143" s="3">
        <f>SUM(X143:AA143)</f>
        <v>-78.039</v>
      </c>
      <c r="AC143" s="25">
        <f>INDEX('Inputs (2)'!$D$10:$AL$10,MATCH(AC$7,'Inputs (2)'!$D$2:$AL$2,0))</f>
        <v>-32.277</v>
      </c>
      <c r="AD143" s="25">
        <f>INDEX('Inputs (2)'!$D$10:$AL$10,MATCH(AD$7,'Inputs (2)'!$D$2:$AL$2,0))</f>
        <v>-23.716</v>
      </c>
      <c r="AE143" s="25">
        <f>INDEX('Inputs (2)'!$D$10:$AL$10,MATCH(AE$7,'Inputs (2)'!$D$2:$AL$2,0))</f>
        <v>11.181</v>
      </c>
      <c r="AF143" s="25">
        <f>INDEX('Inputs (2)'!$D$10:$AL$10,MATCH(AF$7,'Inputs (2)'!$D$2:$AL$2,0))</f>
        <v>15.5748332274144</v>
      </c>
      <c r="AG143" s="3">
        <f>SUM(AC143:AF143)</f>
        <v>-29.2371667725856</v>
      </c>
      <c r="AH143" s="3">
        <f>INDEX('Inputs (2)'!$D$10:$AL$10,MATCH(AH$7,'Inputs (2)'!$D$2:$AL$2,0))</f>
        <v>-39.7829993985975</v>
      </c>
      <c r="AI143" s="3">
        <f>INDEX('Inputs (2)'!$D$10:$AL$10,MATCH(AI$7,'Inputs (2)'!$D$2:$AL$2,0))</f>
        <v>-33.8954723234437</v>
      </c>
      <c r="AJ143" s="3">
        <f>AJ144*-AJ142</f>
        <v>0</v>
      </c>
      <c r="AK143" s="3">
        <f>AK144*-AK142</f>
        <v>0</v>
      </c>
      <c r="AL143" s="3">
        <f>SUM(AH143:AK143)</f>
        <v>-73.6784717220412</v>
      </c>
      <c r="AM143" s="3">
        <f>AM144*-AM142</f>
        <v>0</v>
      </c>
      <c r="AN143" s="3">
        <f>AN144*-AN142</f>
        <v>0</v>
      </c>
      <c r="AO143" s="3">
        <f>AO144*-AO142</f>
        <v>0</v>
      </c>
      <c r="AP143" s="3">
        <f>AP144*-AP142</f>
        <v>0</v>
      </c>
      <c r="AQ143" s="3">
        <f>SUM(AM143:AP143)</f>
        <v>0</v>
      </c>
      <c r="AR143" s="3">
        <f>AR144*-AR142</f>
        <v>0</v>
      </c>
      <c r="AS143" s="3">
        <f>AS144*-AS142</f>
        <v>0</v>
      </c>
      <c r="AT143" s="3">
        <f>AT144*-AT142</f>
        <v>0</v>
      </c>
      <c r="AU143" s="3">
        <f>AU144*-AU142</f>
        <v>0</v>
      </c>
      <c r="AV143" s="3">
        <f>SUM(AR143:AU143)</f>
        <v>0</v>
      </c>
      <c r="AW143" s="3">
        <f>AW144*-AW142</f>
        <v>0</v>
      </c>
      <c r="AX143" s="3">
        <f>AX144*-AX142</f>
        <v>0</v>
      </c>
      <c r="AY143" s="3">
        <f>AY144*-AY142</f>
        <v>0</v>
      </c>
      <c r="AZ143" s="3">
        <f>AZ144*-AZ142</f>
        <v>0</v>
      </c>
      <c r="BA143" s="3">
        <f>SUM(AW143:AZ143)</f>
        <v>0</v>
      </c>
      <c r="BB143" s="3">
        <f>BB144*-BB142</f>
        <v>0</v>
      </c>
      <c r="BC143" s="3">
        <f>BC144*-BC142</f>
        <v>0</v>
      </c>
      <c r="BD143" s="3">
        <f>BD144*-BD142</f>
        <v>0</v>
      </c>
      <c r="BE143" s="3">
        <f>BE144*-BE142</f>
        <v>0</v>
      </c>
      <c r="BF143" s="3">
        <f>SUM(BB143:BE143)</f>
        <v>0</v>
      </c>
      <c r="BG143" s="3">
        <f>BG144*-BG142</f>
        <v>0</v>
      </c>
      <c r="BH143" s="3">
        <f>BH144*-BH142</f>
        <v>0</v>
      </c>
      <c r="BI143" s="3">
        <f>BI144*-BI142</f>
        <v>0</v>
      </c>
      <c r="BJ143" s="3">
        <f>BJ144*-BJ142</f>
        <v>0</v>
      </c>
      <c r="BK143" s="3">
        <f>SUM(BG143:BJ143)</f>
        <v>0</v>
      </c>
      <c r="BL143" s="3">
        <f>BL144*-BL142</f>
        <v>0</v>
      </c>
      <c r="BM143" s="3">
        <f>BM144*-BM142</f>
        <v>0</v>
      </c>
      <c r="BN143" s="3">
        <f>BN144*-BN142</f>
        <v>0</v>
      </c>
      <c r="BO143" s="3">
        <f>BO144*-BO142</f>
        <v>0</v>
      </c>
      <c r="BP143" s="3">
        <f>SUM(BL143:BO143)</f>
        <v>0</v>
      </c>
      <c r="BQ143" s="3">
        <f>BQ144*-BQ142</f>
        <v>0</v>
      </c>
      <c r="BR143" s="3">
        <f>BR144*-BR142</f>
        <v>0</v>
      </c>
      <c r="BS143" s="3">
        <f>BS144*-BS142</f>
        <v>0</v>
      </c>
      <c r="BT143" s="3">
        <f>BT144*-BT142</f>
        <v>0</v>
      </c>
      <c r="BU143" s="3">
        <f>SUM(BQ143:BT143)</f>
        <v>0</v>
      </c>
      <c r="BV143" s="3">
        <f>BV144*-BV142</f>
        <v>0</v>
      </c>
      <c r="BW143" s="3">
        <f>BW144*-BW142</f>
        <v>0</v>
      </c>
      <c r="BX143" s="3">
        <f>BX144*-BX142</f>
        <v>0</v>
      </c>
      <c r="BY143" s="3">
        <f>BY144*-BY142</f>
        <v>0</v>
      </c>
      <c r="BZ143" s="3">
        <f>SUM(BV143:BY143)</f>
        <v>0</v>
      </c>
      <c r="CA143" s="3">
        <f>CA144*-CA142</f>
        <v>0</v>
      </c>
      <c r="CB143" s="3">
        <f>CB144*-CB142</f>
        <v>0</v>
      </c>
      <c r="CC143" s="3">
        <f>CC144*-CC142</f>
        <v>0</v>
      </c>
      <c r="CD143" s="3">
        <f>CD144*-CD142</f>
        <v>0</v>
      </c>
      <c r="CE143" s="3">
        <f>SUM(CA143:CD143)</f>
        <v>0</v>
      </c>
      <c r="CF143" s="3">
        <f>CF144*-CF142</f>
        <v>0</v>
      </c>
      <c r="CG143" s="3">
        <f>CG144*-CG142</f>
        <v>0</v>
      </c>
      <c r="CH143" s="3">
        <f>CH144*-CH142</f>
        <v>0</v>
      </c>
      <c r="CI143" s="3">
        <f>CI144*-CI142</f>
        <v>0</v>
      </c>
      <c r="CJ143" s="3">
        <f>SUM(CF143:CI143)</f>
        <v>0</v>
      </c>
      <c r="CK143" s="3">
        <f>CK144*-CK142</f>
        <v>0</v>
      </c>
      <c r="CL143" s="3">
        <f>CL144*-CL142</f>
        <v>0</v>
      </c>
      <c r="CM143" s="3">
        <f>CM144*-CM142</f>
        <v>0</v>
      </c>
      <c r="CN143" s="3">
        <f>CN144*-CN142</f>
        <v>0</v>
      </c>
      <c r="CO143" s="3">
        <f>SUM(CK143:CN143)</f>
        <v>0</v>
      </c>
      <c r="CP143" s="3">
        <f>CP144*-CP142</f>
        <v>0</v>
      </c>
      <c r="CQ143" s="3">
        <f>CQ144*-CQ142</f>
        <v>0</v>
      </c>
      <c r="CR143" s="3">
        <f>CR144*-CR142</f>
        <v>0</v>
      </c>
      <c r="CS143" s="3">
        <f>CS144*-CS142</f>
        <v>0</v>
      </c>
      <c r="CT143" s="3">
        <f>SUM(CP143:CS143)</f>
        <v>0</v>
      </c>
      <c r="CU143" s="3">
        <f>CU144*-CU142</f>
        <v>0</v>
      </c>
      <c r="CV143" s="3">
        <f>CV144*-CV142</f>
        <v>0</v>
      </c>
      <c r="CW143" s="3">
        <f>CW144*-CW142</f>
        <v>0</v>
      </c>
      <c r="CX143" s="3">
        <f>CX144*-CX142</f>
        <v>0</v>
      </c>
      <c r="CY143" s="3">
        <f>SUM(CU143:CX143)</f>
        <v>0</v>
      </c>
    </row>
    <row r="144" hidden="1" outlineLevel="1">
      <c r="C144" s="34" t="inlineStr">
        <is>
          <t>% ETR</t>
        </is>
      </c>
      <c r="D144" s="48">
        <f>-D143/D142</f>
        <v>0.242561733487323</v>
      </c>
      <c r="E144" s="48">
        <f>-E143/E142</f>
        <v>0.341979350289597</v>
      </c>
      <c r="F144" s="48">
        <f>-F143/F142</f>
        <v>0.344261717166376</v>
      </c>
      <c r="G144" s="48">
        <f>-G143/G142</f>
        <v>0.243057829589364</v>
      </c>
      <c r="H144" s="48">
        <f>-H143/H142</f>
        <v>0.262315893186469</v>
      </c>
      <c r="I144" s="48">
        <f>-I143/I142</f>
        <v>0.339146233988869</v>
      </c>
      <c r="J144" s="48">
        <f>-J143/J142</f>
        <v>0.298999613065489</v>
      </c>
      <c r="K144" s="48">
        <f>-K143/K142</f>
        <v>0.298886894657743</v>
      </c>
      <c r="L144" s="48">
        <f>-L143/L142</f>
        <v>0.304959514424321</v>
      </c>
      <c r="M144" s="48">
        <f>-M143/M142</f>
        <v>0.306599682340627</v>
      </c>
      <c r="N144" s="48">
        <f>-N143/N142</f>
        <v>0.289014028630308</v>
      </c>
      <c r="O144" s="48">
        <f>-O143/O142</f>
        <v>0.295212254093566</v>
      </c>
      <c r="P144" s="48">
        <f>-P143/P142</f>
        <v>0.156802763932125</v>
      </c>
      <c r="Q144" s="48">
        <f>-Q143/Q142</f>
        <v>1.75157007376185</v>
      </c>
      <c r="R144" s="48">
        <f>-R143/R142</f>
        <v>0.222264468493756</v>
      </c>
      <c r="S144" s="48">
        <f>-S143/S142</f>
        <v>-0.98023901383271</v>
      </c>
      <c r="T144" s="48">
        <f>-T143/T142</f>
        <v>0.271956636915678</v>
      </c>
      <c r="U144" s="48">
        <f>-U143/U142</f>
        <v>0.249580378857945</v>
      </c>
      <c r="V144" s="48">
        <f>-V143/V142</f>
        <v>0.199927922537127</v>
      </c>
      <c r="W144" s="48">
        <f>-W143/W142</f>
        <v>0.222223948356196</v>
      </c>
      <c r="X144" s="48">
        <f>-X143/X142</f>
        <v>0.333218999533518</v>
      </c>
      <c r="Y144" s="48">
        <f>-Y143/Y142</f>
        <v>0.248321673379975</v>
      </c>
      <c r="Z144" s="48">
        <f>-Z143/Z142</f>
        <v>0.231855868599946</v>
      </c>
      <c r="AA144" s="48">
        <f>-AA143/AA142</f>
        <v>0.205634702612917</v>
      </c>
      <c r="AB144" s="48">
        <f>-AB143/AB142</f>
        <v>0.252103853646088</v>
      </c>
      <c r="AC144" s="48">
        <f>-AC143/AC142</f>
        <v>0.291453338751186</v>
      </c>
      <c r="AD144" s="48">
        <f>-AD143/AD142</f>
        <v>0.259727743645343</v>
      </c>
      <c r="AE144" s="48">
        <f>-AE143/AE142</f>
        <v>-0.190237179705312</v>
      </c>
      <c r="AF144" s="44">
        <f>-AF143/AF142</f>
        <v>-0.179497102525193</v>
      </c>
      <c r="AG144" s="48">
        <f>-AG143/AG142</f>
        <v>0.0841117026990977</v>
      </c>
      <c r="AH144" s="44">
        <f>-AH143/AH142</f>
        <v>0.242141946672814</v>
      </c>
      <c r="AI144" s="44">
        <f>-AI143/AI142</f>
        <v>0.199920055997006</v>
      </c>
      <c r="AJ144" s="44" t="n"/>
      <c r="AK144" s="44" t="n"/>
      <c r="AL144" s="48">
        <f>-AL143/AL142</f>
        <v>0.115524705731894</v>
      </c>
      <c r="AM144" s="44" t="n"/>
      <c r="AN144" s="44" t="n"/>
      <c r="AO144" s="44" t="n"/>
      <c r="AP144" s="44" t="n"/>
      <c r="AQ144" s="48">
        <f>-AQ143/AQ142</f>
        <v>0</v>
      </c>
      <c r="AR144" s="44" t="n"/>
      <c r="AS144" s="44" t="n"/>
      <c r="AT144" s="44" t="n"/>
      <c r="AU144" s="44" t="n"/>
      <c r="AV144" s="48">
        <f>-AV143/AV142</f>
        <v>0</v>
      </c>
      <c r="AW144" s="44" t="n"/>
      <c r="AX144" s="44" t="n"/>
      <c r="AY144" s="44" t="n"/>
      <c r="AZ144" s="44" t="n"/>
      <c r="BA144" s="48">
        <f>-BA143/BA142</f>
        <v>0</v>
      </c>
      <c r="BB144" s="44" t="n"/>
      <c r="BC144" s="44" t="n"/>
      <c r="BD144" s="44" t="n"/>
      <c r="BE144" s="44" t="n"/>
      <c r="BF144" s="48">
        <f>-BF143/BF142</f>
        <v>0</v>
      </c>
      <c r="BG144" s="44" t="n"/>
      <c r="BH144" s="44" t="n"/>
      <c r="BI144" s="44" t="n"/>
      <c r="BJ144" s="44" t="n"/>
      <c r="BK144" s="48">
        <f>-BK143/BK142</f>
        <v>0</v>
      </c>
      <c r="BL144" s="44" t="n"/>
      <c r="BM144" s="44" t="n"/>
      <c r="BN144" s="44" t="n"/>
      <c r="BO144" s="44" t="n"/>
      <c r="BP144" s="48">
        <f>-BP143/BP142</f>
        <v>0</v>
      </c>
      <c r="BQ144" s="44" t="n"/>
      <c r="BR144" s="44" t="n"/>
      <c r="BS144" s="44" t="n"/>
      <c r="BT144" s="44" t="n"/>
      <c r="BU144" s="48">
        <f>-BU143/BU142</f>
        <v>0</v>
      </c>
      <c r="BV144" s="44" t="n"/>
      <c r="BW144" s="44" t="n"/>
      <c r="BX144" s="44" t="n"/>
      <c r="BY144" s="44" t="n"/>
      <c r="BZ144" s="48">
        <f>-BZ143/BZ142</f>
        <v>0</v>
      </c>
      <c r="CA144" s="44" t="n"/>
      <c r="CB144" s="44" t="n"/>
      <c r="CC144" s="44" t="n"/>
      <c r="CD144" s="44" t="n"/>
      <c r="CE144" s="48">
        <f>-CE143/CE142</f>
        <v>0</v>
      </c>
      <c r="CF144" s="44" t="n"/>
      <c r="CG144" s="44" t="n"/>
      <c r="CH144" s="44" t="n"/>
      <c r="CI144" s="44" t="n"/>
      <c r="CJ144" s="48">
        <f>-CJ143/CJ142</f>
        <v>0</v>
      </c>
      <c r="CK144" s="44" t="n"/>
      <c r="CL144" s="44" t="n"/>
      <c r="CM144" s="44" t="n"/>
      <c r="CN144" s="44" t="n"/>
      <c r="CO144" s="48">
        <f>-CO143/CO142</f>
        <v>0</v>
      </c>
      <c r="CP144" s="44" t="n"/>
      <c r="CQ144" s="44" t="n"/>
      <c r="CR144" s="44" t="n"/>
      <c r="CS144" s="44" t="n"/>
      <c r="CT144" s="48">
        <f>-CT143/CT142</f>
        <v>0</v>
      </c>
      <c r="CU144" s="44" t="n"/>
      <c r="CV144" s="44" t="n"/>
      <c r="CW144" s="44" t="n"/>
      <c r="CX144" s="44" t="n"/>
      <c r="CY144" s="48">
        <f>-CY143/CY142</f>
        <v>0</v>
      </c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Equity in Income of Affiliates, after tax (enter as +)</t>
        </is>
      </c>
      <c r="D147" s="25" t="n"/>
      <c r="E147" s="25" t="n"/>
      <c r="F147" s="25" t="n"/>
      <c r="G147" s="25" t="n"/>
      <c r="H147" s="3">
        <f>SUM(D147:G147)</f>
        <v>0</v>
      </c>
      <c r="I147" s="25" t="n"/>
      <c r="J147" s="25" t="n"/>
      <c r="K147" s="25" t="n"/>
      <c r="L147" s="25" t="n"/>
      <c r="M147" s="3">
        <f>SUM(I147:L147)</f>
        <v>0</v>
      </c>
      <c r="N147" s="25" t="n"/>
      <c r="O147" s="25" t="n"/>
      <c r="P147" s="25" t="n"/>
      <c r="Q147" s="25" t="n"/>
      <c r="R147" s="3">
        <f>SUM(N147:Q147)</f>
        <v>0</v>
      </c>
      <c r="S147" s="25" t="n"/>
      <c r="T147" s="25" t="n"/>
      <c r="U147" s="25" t="n"/>
      <c r="V147" s="25" t="n"/>
      <c r="W147" s="3">
        <f>SUM(S147:V147)</f>
        <v>0</v>
      </c>
      <c r="X147" s="25" t="n"/>
      <c r="Y147" s="25" t="n"/>
      <c r="Z147" s="25" t="n"/>
      <c r="AA147" s="25" t="n"/>
      <c r="AB147" s="3">
        <f>SUM(X147:AA147)</f>
        <v>0</v>
      </c>
      <c r="AC147" s="25" t="n"/>
      <c r="AD147" s="25" t="n"/>
      <c r="AE147" s="25" t="n"/>
      <c r="AF147" s="25" t="n"/>
      <c r="AG147" s="3">
        <f>SUM(AC147:AF147)</f>
        <v>0</v>
      </c>
      <c r="AH147" s="3">
        <f>AC147*(1+AH175)</f>
        <v>0</v>
      </c>
      <c r="AI147" s="3">
        <f>AD147*(1+AI175)</f>
        <v>0</v>
      </c>
      <c r="AJ147" s="3">
        <f>AE147*(1+AJ175)</f>
        <v>0</v>
      </c>
      <c r="AK147" s="3">
        <f>AF147*(1+AK175)</f>
        <v>0</v>
      </c>
      <c r="AL147" s="3">
        <f>SUM(AH147:AK147)</f>
        <v>0</v>
      </c>
      <c r="AM147" s="3">
        <f>AH147*(1+AM175)</f>
        <v>0</v>
      </c>
      <c r="AN147" s="3">
        <f>AI147*(1+AN175)</f>
        <v>0</v>
      </c>
      <c r="AO147" s="3">
        <f>AJ147*(1+AO175)</f>
        <v>0</v>
      </c>
      <c r="AP147" s="3">
        <f>AK147*(1+AP175)</f>
        <v>0</v>
      </c>
      <c r="AQ147" s="3">
        <f>SUM(AM147:AP147)</f>
        <v>0</v>
      </c>
      <c r="AR147" s="3">
        <f>AM147*(1+AR175)</f>
        <v>0</v>
      </c>
      <c r="AS147" s="3">
        <f>AN147*(1+AS175)</f>
        <v>0</v>
      </c>
      <c r="AT147" s="3">
        <f>AO147*(1+AT175)</f>
        <v>0</v>
      </c>
      <c r="AU147" s="3">
        <f>AP147*(1+AU175)</f>
        <v>0</v>
      </c>
      <c r="AV147" s="3">
        <f>SUM(AR147:AU147)</f>
        <v>0</v>
      </c>
      <c r="AW147" s="3">
        <f>AR147*(1+AW175)</f>
        <v>0</v>
      </c>
      <c r="AX147" s="3">
        <f>AS147*(1+AX175)</f>
        <v>0</v>
      </c>
      <c r="AY147" s="3">
        <f>AT147*(1+AY175)</f>
        <v>0</v>
      </c>
      <c r="AZ147" s="3">
        <f>AU147*(1+AZ175)</f>
        <v>0</v>
      </c>
      <c r="BA147" s="3">
        <f>SUM(AW147:AZ147)</f>
        <v>0</v>
      </c>
      <c r="BB147" s="3">
        <f>AW147*(1+BB175)</f>
        <v>0</v>
      </c>
      <c r="BC147" s="3">
        <f>AX147*(1+BC175)</f>
        <v>0</v>
      </c>
      <c r="BD147" s="3">
        <f>AY147*(1+BD175)</f>
        <v>0</v>
      </c>
      <c r="BE147" s="3">
        <f>AZ147*(1+BE175)</f>
        <v>0</v>
      </c>
      <c r="BF147" s="3">
        <f>SUM(BB147:BE147)</f>
        <v>0</v>
      </c>
      <c r="BG147" s="3">
        <f>BB147*(1+BG175)</f>
        <v>0</v>
      </c>
      <c r="BH147" s="3">
        <f>BC147*(1+BH175)</f>
        <v>0</v>
      </c>
      <c r="BI147" s="3">
        <f>BD147*(1+BI175)</f>
        <v>0</v>
      </c>
      <c r="BJ147" s="3">
        <f>BE147*(1+BJ175)</f>
        <v>0</v>
      </c>
      <c r="BK147" s="3">
        <f>SUM(BG147:BJ147)</f>
        <v>0</v>
      </c>
      <c r="BL147" s="3">
        <f>BG147*(1+BL175)</f>
        <v>0</v>
      </c>
      <c r="BM147" s="3">
        <f>BH147*(1+BM175)</f>
        <v>0</v>
      </c>
      <c r="BN147" s="3">
        <f>BI147*(1+BN175)</f>
        <v>0</v>
      </c>
      <c r="BO147" s="3">
        <f>BJ147*(1+BO175)</f>
        <v>0</v>
      </c>
      <c r="BP147" s="3">
        <f>SUM(BL147:BO147)</f>
        <v>0</v>
      </c>
      <c r="BQ147" s="3">
        <f>BL147*(1+BQ175)</f>
        <v>0</v>
      </c>
      <c r="BR147" s="3">
        <f>BM147*(1+BR175)</f>
        <v>0</v>
      </c>
      <c r="BS147" s="3">
        <f>BN147*(1+BS175)</f>
        <v>0</v>
      </c>
      <c r="BT147" s="3">
        <f>BO147*(1+BT175)</f>
        <v>0</v>
      </c>
      <c r="BU147" s="3">
        <f>SUM(BQ147:BT147)</f>
        <v>0</v>
      </c>
      <c r="BV147" s="3">
        <f>BQ147*(1+BV175)</f>
        <v>0</v>
      </c>
      <c r="BW147" s="3">
        <f>BR147*(1+BW175)</f>
        <v>0</v>
      </c>
      <c r="BX147" s="3">
        <f>BS147*(1+BX175)</f>
        <v>0</v>
      </c>
      <c r="BY147" s="3">
        <f>BT147*(1+BY175)</f>
        <v>0</v>
      </c>
      <c r="BZ147" s="3">
        <f>SUM(BV147:BY147)</f>
        <v>0</v>
      </c>
      <c r="CA147" s="3">
        <f>BV147*(1+CA175)</f>
        <v>0</v>
      </c>
      <c r="CB147" s="3">
        <f>BW147*(1+CB175)</f>
        <v>0</v>
      </c>
      <c r="CC147" s="3">
        <f>BX147*(1+CC175)</f>
        <v>0</v>
      </c>
      <c r="CD147" s="3">
        <f>BY147*(1+CD175)</f>
        <v>0</v>
      </c>
      <c r="CE147" s="3">
        <f>SUM(CA147:CD147)</f>
        <v>0</v>
      </c>
      <c r="CF147" s="3">
        <f>CA147*(1+CF175)</f>
        <v>0</v>
      </c>
      <c r="CG147" s="3">
        <f>CB147*(1+CG175)</f>
        <v>0</v>
      </c>
      <c r="CH147" s="3">
        <f>CC147*(1+CH175)</f>
        <v>0</v>
      </c>
      <c r="CI147" s="3">
        <f>CD147*(1+CI175)</f>
        <v>0</v>
      </c>
      <c r="CJ147" s="3">
        <f>SUM(CF147:CI147)</f>
        <v>0</v>
      </c>
      <c r="CK147" s="3">
        <f>CF147*(1+CK175)</f>
        <v>0</v>
      </c>
      <c r="CL147" s="3">
        <f>CG147*(1+CL175)</f>
        <v>0</v>
      </c>
      <c r="CM147" s="3">
        <f>CH147*(1+CM175)</f>
        <v>0</v>
      </c>
      <c r="CN147" s="3">
        <f>CI147*(1+CN175)</f>
        <v>0</v>
      </c>
      <c r="CO147" s="3">
        <f>SUM(CK147:CN147)</f>
        <v>0</v>
      </c>
      <c r="CP147" s="3">
        <f>CK147*(1+CP175)</f>
        <v>0</v>
      </c>
      <c r="CQ147" s="3">
        <f>CL147*(1+CQ175)</f>
        <v>0</v>
      </c>
      <c r="CR147" s="3">
        <f>CM147*(1+CR175)</f>
        <v>0</v>
      </c>
      <c r="CS147" s="3">
        <f>CN147*(1+CS175)</f>
        <v>0</v>
      </c>
      <c r="CT147" s="3">
        <f>SUM(CP147:CS147)</f>
        <v>0</v>
      </c>
      <c r="CU147" s="3">
        <f>CP147*(1+CU175)</f>
        <v>0</v>
      </c>
      <c r="CV147" s="3">
        <f>CQ147*(1+CV175)</f>
        <v>0</v>
      </c>
      <c r="CW147" s="3">
        <f>CR147*(1+CW175)</f>
        <v>0</v>
      </c>
      <c r="CX147" s="3">
        <f>CS147*(1+CX175)</f>
        <v>0</v>
      </c>
      <c r="CY147" s="3">
        <f>SUM(CU147:CX147)</f>
        <v>0</v>
      </c>
    </row>
    <row r="148">
      <c r="C148" s="26" t="inlineStr">
        <is>
          <t>Minority Interest Expense, after tax (enter as - )</t>
        </is>
      </c>
      <c r="D148" s="25" t="n"/>
      <c r="E148" s="25" t="n"/>
      <c r="F148" s="25" t="n"/>
      <c r="G148" s="25" t="n"/>
      <c r="H148" s="3">
        <f>SUM(D148:G148)</f>
        <v>0</v>
      </c>
      <c r="I148" s="25" t="n"/>
      <c r="J148" s="25" t="n"/>
      <c r="K148" s="25" t="n"/>
      <c r="L148" s="25" t="n"/>
      <c r="M148" s="3">
        <f>SUM(I148:L148)</f>
        <v>0</v>
      </c>
      <c r="N148" s="25" t="n"/>
      <c r="O148" s="25" t="n"/>
      <c r="P148" s="25" t="n"/>
      <c r="Q148" s="25" t="n"/>
      <c r="R148" s="3">
        <f>SUM(N148:Q148)</f>
        <v>0</v>
      </c>
      <c r="S148" s="25" t="n"/>
      <c r="T148" s="25" t="n"/>
      <c r="U148" s="25" t="n"/>
      <c r="V148" s="25" t="n"/>
      <c r="W148" s="3">
        <f>SUM(S148:V148)</f>
        <v>0</v>
      </c>
      <c r="X148" s="25" t="n"/>
      <c r="Y148" s="25" t="n"/>
      <c r="Z148" s="25" t="n"/>
      <c r="AA148" s="25" t="n"/>
      <c r="AB148" s="3">
        <f>SUM(X148:AA148)</f>
        <v>0</v>
      </c>
      <c r="AC148" s="25" t="n"/>
      <c r="AD148" s="25" t="n"/>
      <c r="AE148" s="25" t="n"/>
      <c r="AF148" s="25" t="n"/>
      <c r="AG148" s="3">
        <f>SUM(AC148:AF148)</f>
        <v>0</v>
      </c>
      <c r="AH148" s="3">
        <f>AC148*(1+AH262)</f>
        <v>0</v>
      </c>
      <c r="AI148" s="3">
        <f>AD148*(1+AI262)</f>
        <v>0</v>
      </c>
      <c r="AJ148" s="3">
        <f>AE148*(1+AJ262)</f>
        <v>0</v>
      </c>
      <c r="AK148" s="3">
        <f>AF148*(1+AK262)</f>
        <v>0</v>
      </c>
      <c r="AL148" s="3">
        <f>SUM(AH148:AK148)</f>
        <v>0</v>
      </c>
      <c r="AM148" s="3">
        <f>AH148*(1+AM262)</f>
        <v>0</v>
      </c>
      <c r="AN148" s="3">
        <f>AI148*(1+AN262)</f>
        <v>0</v>
      </c>
      <c r="AO148" s="3">
        <f>AJ148*(1+AO262)</f>
        <v>0</v>
      </c>
      <c r="AP148" s="3">
        <f>AK148*(1+AP262)</f>
        <v>0</v>
      </c>
      <c r="AQ148" s="3">
        <f>SUM(AM148:AP148)</f>
        <v>0</v>
      </c>
      <c r="AR148" s="3">
        <f>AM148*(1+AR262)</f>
        <v>0</v>
      </c>
      <c r="AS148" s="3">
        <f>AN148*(1+AS262)</f>
        <v>0</v>
      </c>
      <c r="AT148" s="3">
        <f>AO148*(1+AT262)</f>
        <v>0</v>
      </c>
      <c r="AU148" s="3">
        <f>AP148*(1+AU262)</f>
        <v>0</v>
      </c>
      <c r="AV148" s="3">
        <f>SUM(AR148:AU148)</f>
        <v>0</v>
      </c>
      <c r="AW148" s="3">
        <f>AR148*(1+AW262)</f>
        <v>0</v>
      </c>
      <c r="AX148" s="3">
        <f>AS148*(1+AX262)</f>
        <v>0</v>
      </c>
      <c r="AY148" s="3">
        <f>AT148*(1+AY262)</f>
        <v>0</v>
      </c>
      <c r="AZ148" s="3">
        <f>AU148*(1+AZ262)</f>
        <v>0</v>
      </c>
      <c r="BA148" s="3">
        <f>SUM(AW148:AZ148)</f>
        <v>0</v>
      </c>
      <c r="BB148" s="3">
        <f>AW148*(1+BB262)</f>
        <v>0</v>
      </c>
      <c r="BC148" s="3">
        <f>AX148*(1+BC262)</f>
        <v>0</v>
      </c>
      <c r="BD148" s="3">
        <f>AY148*(1+BD262)</f>
        <v>0</v>
      </c>
      <c r="BE148" s="3">
        <f>AZ148*(1+BE262)</f>
        <v>0</v>
      </c>
      <c r="BF148" s="3">
        <f>SUM(BB148:BE148)</f>
        <v>0</v>
      </c>
      <c r="BG148" s="3">
        <f>BB148*(1+BG262)</f>
        <v>0</v>
      </c>
      <c r="BH148" s="3">
        <f>BC148*(1+BH262)</f>
        <v>0</v>
      </c>
      <c r="BI148" s="3">
        <f>BD148*(1+BI262)</f>
        <v>0</v>
      </c>
      <c r="BJ148" s="3">
        <f>BE148*(1+BJ262)</f>
        <v>0</v>
      </c>
      <c r="BK148" s="3">
        <f>SUM(BG148:BJ148)</f>
        <v>0</v>
      </c>
      <c r="BL148" s="3">
        <f>BG148*(1+BL262)</f>
        <v>0</v>
      </c>
      <c r="BM148" s="3">
        <f>BH148*(1+BM262)</f>
        <v>0</v>
      </c>
      <c r="BN148" s="3">
        <f>BI148*(1+BN262)</f>
        <v>0</v>
      </c>
      <c r="BO148" s="3">
        <f>BJ148*(1+BO262)</f>
        <v>0</v>
      </c>
      <c r="BP148" s="3">
        <f>SUM(BL148:BO148)</f>
        <v>0</v>
      </c>
      <c r="BQ148" s="3">
        <f>BL148*(1+BQ262)</f>
        <v>0</v>
      </c>
      <c r="BR148" s="3">
        <f>BM148*(1+BR262)</f>
        <v>0</v>
      </c>
      <c r="BS148" s="3">
        <f>BN148*(1+BS262)</f>
        <v>0</v>
      </c>
      <c r="BT148" s="3">
        <f>BO148*(1+BT262)</f>
        <v>0</v>
      </c>
      <c r="BU148" s="3">
        <f>SUM(BQ148:BT148)</f>
        <v>0</v>
      </c>
      <c r="BV148" s="3">
        <f>BQ148*(1+BV262)</f>
        <v>0</v>
      </c>
      <c r="BW148" s="3">
        <f>BR148*(1+BW262)</f>
        <v>0</v>
      </c>
      <c r="BX148" s="3">
        <f>BS148*(1+BX262)</f>
        <v>0</v>
      </c>
      <c r="BY148" s="3">
        <f>BT148*(1+BY262)</f>
        <v>0</v>
      </c>
      <c r="BZ148" s="3">
        <f>SUM(BV148:BY148)</f>
        <v>0</v>
      </c>
      <c r="CA148" s="3">
        <f>BV148*(1+CA262)</f>
        <v>0</v>
      </c>
      <c r="CB148" s="3">
        <f>BW148*(1+CB262)</f>
        <v>0</v>
      </c>
      <c r="CC148" s="3">
        <f>BX148*(1+CC262)</f>
        <v>0</v>
      </c>
      <c r="CD148" s="3">
        <f>BY148*(1+CD262)</f>
        <v>0</v>
      </c>
      <c r="CE148" s="3">
        <f>SUM(CA148:CD148)</f>
        <v>0</v>
      </c>
      <c r="CF148" s="3">
        <f>CA148*(1+CF262)</f>
        <v>0</v>
      </c>
      <c r="CG148" s="3">
        <f>CB148*(1+CG262)</f>
        <v>0</v>
      </c>
      <c r="CH148" s="3">
        <f>CC148*(1+CH262)</f>
        <v>0</v>
      </c>
      <c r="CI148" s="3">
        <f>CD148*(1+CI262)</f>
        <v>0</v>
      </c>
      <c r="CJ148" s="3">
        <f>SUM(CF148:CI148)</f>
        <v>0</v>
      </c>
      <c r="CK148" s="3">
        <f>CF148*(1+CK262)</f>
        <v>0</v>
      </c>
      <c r="CL148" s="3">
        <f>CG148*(1+CL262)</f>
        <v>0</v>
      </c>
      <c r="CM148" s="3">
        <f>CH148*(1+CM262)</f>
        <v>0</v>
      </c>
      <c r="CN148" s="3">
        <f>CI148*(1+CN262)</f>
        <v>0</v>
      </c>
      <c r="CO148" s="3">
        <f>SUM(CK148:CN148)</f>
        <v>0</v>
      </c>
      <c r="CP148" s="3">
        <f>CK148*(1+CP262)</f>
        <v>0</v>
      </c>
      <c r="CQ148" s="3">
        <f>CL148*(1+CQ262)</f>
        <v>0</v>
      </c>
      <c r="CR148" s="3">
        <f>CM148*(1+CR262)</f>
        <v>0</v>
      </c>
      <c r="CS148" s="3">
        <f>CN148*(1+CS262)</f>
        <v>0</v>
      </c>
      <c r="CT148" s="3">
        <f>SUM(CP148:CS148)</f>
        <v>0</v>
      </c>
      <c r="CU148" s="3">
        <f>CP148*(1+CU262)</f>
        <v>0</v>
      </c>
      <c r="CV148" s="3">
        <f>CQ148*(1+CV262)</f>
        <v>0</v>
      </c>
      <c r="CW148" s="3">
        <f>CR148*(1+CW262)</f>
        <v>0</v>
      </c>
      <c r="CX148" s="3">
        <f>CS148*(1+CX262)</f>
        <v>0</v>
      </c>
      <c r="CY148" s="3">
        <f>SUM(CU148:CX148)</f>
        <v>0</v>
      </c>
    </row>
    <row r="149" customFormat="1" s="17">
      <c r="A149" s="13" t="n"/>
      <c r="B149" s="1" t="n"/>
      <c r="C149" s="14" t="inlineStr">
        <is>
          <t>Net Income</t>
        </is>
      </c>
      <c r="D149" s="16">
        <f>SUM(D142,D143,D147,D148)</f>
        <v>55.09</v>
      </c>
      <c r="E149" s="16">
        <f>SUM(E142,E143,E147,E148)</f>
        <v>2.61300000000003</v>
      </c>
      <c r="F149" s="16">
        <f>SUM(F142,F143,F147,F148)</f>
        <v>37.2019999999999</v>
      </c>
      <c r="G149" s="16">
        <f>SUM(G142,G143,G147,G148)</f>
        <v>138.693</v>
      </c>
      <c r="H149" s="16">
        <f>SUM(D149:G149)</f>
        <v>233.598</v>
      </c>
      <c r="I149" s="16">
        <f>SUM(I142,I143,I147,I148)</f>
        <v>109.481</v>
      </c>
      <c r="J149" s="16">
        <f>SUM(J142,J143,J147,J148)</f>
        <v>173.921</v>
      </c>
      <c r="K149" s="16">
        <f>SUM(K142,K143,K147,K148)</f>
        <v>259.381</v>
      </c>
      <c r="L149" s="16">
        <f>SUM(L142,L143,L147,L148)</f>
        <v>276.656</v>
      </c>
      <c r="M149" s="16">
        <f>SUM(I149:L149)</f>
        <v>819.439</v>
      </c>
      <c r="N149" s="16">
        <f>SUM(N142,N143,N147,N148)</f>
        <v>258.068</v>
      </c>
      <c r="O149" s="16">
        <f>SUM(O142,O143,O147,O148)</f>
        <v>186.761</v>
      </c>
      <c r="P149" s="16">
        <f>SUM(P142,P143,P147,P148)</f>
        <v>93.718</v>
      </c>
      <c r="Q149" s="16">
        <f>SUM(Q142,Q143,Q147,Q148)</f>
        <v>17.8309999999999</v>
      </c>
      <c r="R149" s="16">
        <f>SUM(N149:Q149)</f>
        <v>556.378</v>
      </c>
      <c r="S149" s="16">
        <f>SUM(S142,S143,S147,S148)</f>
        <v>21.0439999999998</v>
      </c>
      <c r="T149" s="16">
        <f>SUM(T142,T143,T147,T148)</f>
        <v>-17.864</v>
      </c>
      <c r="U149" s="16">
        <f>SUM(U142,U143,U147,U148)</f>
        <v>-65.7210000000001</v>
      </c>
      <c r="V149" s="16">
        <f>SUM(V142,V143,V147,V148)</f>
        <v>-588.309</v>
      </c>
      <c r="W149" s="16">
        <f>SUM(S149:V149)</f>
        <v>-650.85</v>
      </c>
      <c r="X149" s="16">
        <f>SUM(X142,X143,X147,X148)</f>
        <v>48.599</v>
      </c>
      <c r="Y149" s="16">
        <f>SUM(Y142,Y143,Y147,Y148)</f>
        <v>42.5479999999996</v>
      </c>
      <c r="Z149" s="16">
        <f>SUM(Z142,Z143,Z147,Z148)</f>
        <v>78.1939999999997</v>
      </c>
      <c r="AA149" s="16">
        <f>SUM(AA142,AA143,AA147,AA148)</f>
        <v>62.1710000000004</v>
      </c>
      <c r="AB149" s="16">
        <f>SUM(X149:AA149)</f>
        <v>231.512</v>
      </c>
      <c r="AC149" s="16">
        <f>SUM(AC142,AC143,AC147,AC148)</f>
        <v>78.4679999999998</v>
      </c>
      <c r="AD149" s="16">
        <f>SUM(AD142,AD143,AD147,AD148)</f>
        <v>67.5950000000004</v>
      </c>
      <c r="AE149" s="16">
        <f>SUM(AE142,AE143,AE147,AE148)</f>
        <v>69.955</v>
      </c>
      <c r="AF149" s="16">
        <f>SUM(AF142,AF143,AF147,AF148)</f>
        <v>102.344106983398</v>
      </c>
      <c r="AG149" s="16">
        <f>SUM(AC149:AF149)</f>
        <v>318.362106983399</v>
      </c>
      <c r="AH149" s="16">
        <f>SUM(AH142,AH143,AH147,AH148)</f>
        <v>124.513191101402</v>
      </c>
      <c r="AI149" s="16">
        <f>SUM(AI142,AI143,AI147,AI148)</f>
        <v>135.649659876556</v>
      </c>
      <c r="AJ149" s="16">
        <f>SUM(AJ142,AJ143,AJ147,AJ148)</f>
        <v>148.7954076</v>
      </c>
      <c r="AK149" s="16">
        <f>SUM(AK142,AK143,AK147,AK148)</f>
        <v>155.1356947</v>
      </c>
      <c r="AL149" s="16">
        <f>SUM(AH149:AK149)</f>
        <v>564.093953277959</v>
      </c>
      <c r="AM149" s="16">
        <f>SUM(AM142,AM143,AM147,AM148)</f>
        <v>155.1356947</v>
      </c>
      <c r="AN149" s="16">
        <f>SUM(AN142,AN143,AN147,AN148)</f>
        <v>607.8622046</v>
      </c>
      <c r="AO149" s="16">
        <f>SUM(AO142,AO143,AO147,AO148)</f>
        <v>155.1356947</v>
      </c>
      <c r="AP149" s="16">
        <f>SUM(AP142,AP143,AP147,AP148)</f>
        <v>607.8622046</v>
      </c>
      <c r="AQ149" s="16">
        <f>SUM(AM149:AP149)</f>
        <v>1525.9957986</v>
      </c>
      <c r="AR149" s="16">
        <f>SUM(AR142,AR143,AR147,AR148)</f>
        <v>607.8622046</v>
      </c>
      <c r="AS149" s="16">
        <f>SUM(AS142,AS143,AS147,AS148)</f>
        <v>1525.9957986</v>
      </c>
      <c r="AT149" s="16">
        <f>SUM(AT142,AT143,AT147,AT148)</f>
        <v>607.8622046</v>
      </c>
      <c r="AU149" s="16">
        <f>SUM(AU142,AU143,AU147,AU148)</f>
        <v>1525.9957986</v>
      </c>
      <c r="AV149" s="16">
        <f>SUM(AR149:AU149)</f>
        <v>4267.7160064</v>
      </c>
      <c r="AW149" s="16">
        <f>SUM(AW142,AW143,AW147,AW148)</f>
        <v>1525.9957986</v>
      </c>
      <c r="AX149" s="16">
        <f>SUM(AX142,AX143,AX147,AX148)</f>
        <v>4267.7160064</v>
      </c>
      <c r="AY149" s="16">
        <f>SUM(AY142,AY143,AY147,AY148)</f>
        <v>1525.9957986</v>
      </c>
      <c r="AZ149" s="16">
        <f>SUM(AZ142,AZ143,AZ147,AZ148)</f>
        <v>4267.7160064</v>
      </c>
      <c r="BA149" s="16">
        <f>SUM(AW149:AZ149)</f>
        <v>11587.42361</v>
      </c>
      <c r="BB149" s="16">
        <f>SUM(BB142,BB143,BB147,BB148)</f>
        <v>4267.7160064</v>
      </c>
      <c r="BC149" s="16">
        <f>SUM(BC142,BC143,BC147,BC148)</f>
        <v>11587.42361</v>
      </c>
      <c r="BD149" s="16">
        <f>SUM(BD142,BD143,BD147,BD148)</f>
        <v>4267.7160064</v>
      </c>
      <c r="BE149" s="16">
        <f>SUM(BE142,BE143,BE147,BE148)</f>
        <v>11587.42361</v>
      </c>
      <c r="BF149" s="16">
        <f>SUM(BB149:BE149)</f>
        <v>31710.2792328</v>
      </c>
      <c r="BG149" s="16">
        <f>SUM(BG142,BG143,BG147,BG148)</f>
        <v>11587.42361</v>
      </c>
      <c r="BH149" s="16">
        <f>SUM(BH142,BH143,BH147,BH148)</f>
        <v>31710.2792328</v>
      </c>
      <c r="BI149" s="16">
        <f>SUM(BI142,BI143,BI147,BI148)</f>
        <v>11587.42361</v>
      </c>
      <c r="BJ149" s="16">
        <f>SUM(BJ142,BJ143,BJ147,BJ148)</f>
        <v>31710.2792328</v>
      </c>
      <c r="BK149" s="16">
        <f>SUM(BG149:BJ149)</f>
        <v>86595.4056856</v>
      </c>
      <c r="BL149" s="16">
        <f>SUM(BL142,BL143,BL147,BL148)</f>
        <v>31710.2792328</v>
      </c>
      <c r="BM149" s="16">
        <f>SUM(BM142,BM143,BM147,BM148)</f>
        <v>86595.4056856</v>
      </c>
      <c r="BN149" s="16">
        <f>SUM(BN142,BN143,BN147,BN148)</f>
        <v>31710.2792328</v>
      </c>
      <c r="BO149" s="16">
        <f>SUM(BO142,BO143,BO147,BO148)</f>
        <v>86595.4056856</v>
      </c>
      <c r="BP149" s="16">
        <f>SUM(BL149:BO149)</f>
        <v>236611.3698368</v>
      </c>
      <c r="BQ149" s="16">
        <f>SUM(BQ142,BQ143,BQ147,BQ148)</f>
        <v>86595.4056856</v>
      </c>
      <c r="BR149" s="16">
        <f>SUM(BR142,BR143,BR147,BR148)</f>
        <v>236611.3698368</v>
      </c>
      <c r="BS149" s="16">
        <f>SUM(BS142,BS143,BS147,BS148)</f>
        <v>86595.4056856</v>
      </c>
      <c r="BT149" s="16">
        <f>SUM(BT142,BT143,BT147,BT148)</f>
        <v>236611.3698368</v>
      </c>
      <c r="BU149" s="16">
        <f>SUM(BQ149:BT149)</f>
        <v>646413.5510448</v>
      </c>
      <c r="BV149" s="16">
        <f>SUM(BV142,BV143,BV147,BV148)</f>
        <v>236611.3698368</v>
      </c>
      <c r="BW149" s="16">
        <f>SUM(BW142,BW143,BW147,BW148)</f>
        <v>646413.5510448</v>
      </c>
      <c r="BX149" s="16">
        <f>SUM(BX142,BX143,BX147,BX148)</f>
        <v>236611.3698368</v>
      </c>
      <c r="BY149" s="16">
        <f>SUM(BY142,BY143,BY147,BY148)</f>
        <v>646413.5510448</v>
      </c>
      <c r="BZ149" s="16">
        <f>SUM(BV149:BY149)</f>
        <v>1766049.8417632</v>
      </c>
      <c r="CA149" s="16">
        <f>SUM(CA142,CA143,CA147,CA148)</f>
        <v>646413.5510448</v>
      </c>
      <c r="CB149" s="16">
        <f>SUM(CB142,CB143,CB147,CB148)</f>
        <v>1766049.8417632</v>
      </c>
      <c r="CC149" s="16">
        <f>SUM(CC142,CC143,CC147,CC148)</f>
        <v>646413.5510448</v>
      </c>
      <c r="CD149" s="16">
        <f>SUM(CD142,CD143,CD147,CD148)</f>
        <v>1766049.8417632</v>
      </c>
      <c r="CE149" s="16">
        <f>SUM(CA149:CD149)</f>
        <v>4824926.785616</v>
      </c>
      <c r="CF149" s="16">
        <f>SUM(CF142,CF143,CF147,CF148)</f>
        <v>1766049.8417632</v>
      </c>
      <c r="CG149" s="16">
        <f>SUM(CG142,CG143,CG147,CG148)</f>
        <v>4824926.785616</v>
      </c>
      <c r="CH149" s="16">
        <f>SUM(CH142,CH143,CH147,CH148)</f>
        <v>1766049.8417632</v>
      </c>
      <c r="CI149" s="16">
        <f>SUM(CI142,CI143,CI147,CI148)</f>
        <v>4824926.785616</v>
      </c>
      <c r="CJ149" s="16">
        <f>SUM(CF149:CI149)</f>
        <v>13181953.2547584</v>
      </c>
      <c r="CK149" s="16">
        <f>SUM(CK142,CK143,CK147,CK148)</f>
        <v>4824926.785616</v>
      </c>
      <c r="CL149" s="16">
        <f>SUM(CL142,CL143,CL147,CL148)</f>
        <v>13181953.2547584</v>
      </c>
      <c r="CM149" s="16">
        <f>SUM(CM142,CM143,CM147,CM148)</f>
        <v>4824926.785616</v>
      </c>
      <c r="CN149" s="16">
        <f>SUM(CN142,CN143,CN147,CN148)</f>
        <v>13181953.2547584</v>
      </c>
      <c r="CO149" s="16">
        <f>SUM(CK149:CN149)</f>
        <v>36013760.0807488</v>
      </c>
      <c r="CP149" s="16">
        <f>SUM(CP142,CP143,CP147,CP148)</f>
        <v>13181953.2547584</v>
      </c>
      <c r="CQ149" s="16">
        <f>SUM(CQ142,CQ143,CQ147,CQ148)</f>
        <v>36013760.0807488</v>
      </c>
      <c r="CR149" s="16">
        <f>SUM(CR142,CR143,CR147,CR148)</f>
        <v>13181953.2547584</v>
      </c>
      <c r="CS149" s="16">
        <f>SUM(CS142,CS143,CS147,CS148)</f>
        <v>36013760.0807488</v>
      </c>
      <c r="CT149" s="16">
        <f>SUM(CP149:CS149)</f>
        <v>98391426.6710144</v>
      </c>
      <c r="CU149" s="16">
        <f>SUM(CU142,CU143,CU147,CU148)</f>
        <v>36013760.0807488</v>
      </c>
      <c r="CV149" s="16">
        <f>SUM(CV142,CV143,CV147,CV148)</f>
        <v>98391426.6710144</v>
      </c>
      <c r="CW149" s="16">
        <f>SUM(CW142,CW143,CW147,CW148)</f>
        <v>36013760.0807488</v>
      </c>
      <c r="CX149" s="16">
        <f>SUM(CX142,CX143,CX147,CX148)</f>
        <v>98391426.6710144</v>
      </c>
      <c r="CY149" s="16">
        <f>SUM(CU149:CX149)</f>
        <v>268810373.503526</v>
      </c>
    </row>
    <row r="150">
      <c r="C150" s="24" t="inlineStr">
        <is>
          <t>Common Dividends</t>
        </is>
      </c>
      <c r="D150" s="25">
        <f>INDEX('Inputs (2)'!$D$13:$AL$13,MATCH(D$7,'Inputs (2)'!$D$2:$AL$2,0))</f>
        <v>-22.944</v>
      </c>
      <c r="E150" s="25">
        <f>INDEX('Inputs (2)'!$D$13:$AL$13,MATCH(E$7,'Inputs (2)'!$D$2:$AL$2,0))</f>
        <v>0.0109999999999992</v>
      </c>
      <c r="F150" s="25">
        <f>INDEX('Inputs (2)'!$D$13:$AL$13,MATCH(F$7,'Inputs (2)'!$D$2:$AL$2,0))</f>
        <v>0</v>
      </c>
      <c r="G150" s="25">
        <f>INDEX('Inputs (2)'!$D$13:$AL$13,MATCH(G$7,'Inputs (2)'!$D$2:$AL$2,0))</f>
        <v>-33.803</v>
      </c>
      <c r="H150" s="3">
        <f>SUM(D150:G150)</f>
        <v>-56.736</v>
      </c>
      <c r="I150" s="25">
        <f>INDEX('Inputs (2)'!$D$13:$AL$13,MATCH(I$7,'Inputs (2)'!$D$2:$AL$2,0))</f>
        <v>0</v>
      </c>
      <c r="J150" s="25">
        <f>INDEX('Inputs (2)'!$D$13:$AL$13,MATCH(J$7,'Inputs (2)'!$D$2:$AL$2,0))</f>
        <v>0</v>
      </c>
      <c r="K150" s="25">
        <f>INDEX('Inputs (2)'!$D$13:$AL$13,MATCH(K$7,'Inputs (2)'!$D$2:$AL$2,0))</f>
        <v>-64.133</v>
      </c>
      <c r="L150" s="25">
        <f>INDEX('Inputs (2)'!$D$13:$AL$13,MATCH(L$7,'Inputs (2)'!$D$2:$AL$2,0))</f>
        <v>-42.481</v>
      </c>
      <c r="M150" s="3">
        <f>SUM(I150:L150)</f>
        <v>-106.614</v>
      </c>
      <c r="N150" s="25">
        <f>INDEX('Inputs (2)'!$D$13:$AL$13,MATCH(N$7,'Inputs (2)'!$D$2:$AL$2,0))</f>
        <v>-39.311</v>
      </c>
      <c r="O150" s="25">
        <f>INDEX('Inputs (2)'!$D$13:$AL$13,MATCH(O$7,'Inputs (2)'!$D$2:$AL$2,0))</f>
        <v>-309.347</v>
      </c>
      <c r="P150" s="25">
        <f>INDEX('Inputs (2)'!$D$13:$AL$13,MATCH(P$7,'Inputs (2)'!$D$2:$AL$2,0))</f>
        <v>-46.849</v>
      </c>
      <c r="Q150" s="25">
        <f>INDEX('Inputs (2)'!$D$13:$AL$13,MATCH(Q$7,'Inputs (2)'!$D$2:$AL$2,0))</f>
        <v>-52.131</v>
      </c>
      <c r="R150" s="3">
        <f>SUM(N150:Q150)</f>
        <v>-447.638</v>
      </c>
      <c r="S150" s="25">
        <f>INDEX('Inputs (2)'!$D$13:$AL$13,MATCH(S$7,'Inputs (2)'!$D$2:$AL$2,0))</f>
        <v>-47.512</v>
      </c>
      <c r="T150" s="25">
        <f>INDEX('Inputs (2)'!$D$13:$AL$13,MATCH(T$7,'Inputs (2)'!$D$2:$AL$2,0))</f>
        <v>-90.689</v>
      </c>
      <c r="U150" s="25">
        <f>INDEX('Inputs (2)'!$D$13:$AL$13,MATCH(U$7,'Inputs (2)'!$D$2:$AL$2,0))</f>
        <v>0.00100000000000477</v>
      </c>
      <c r="V150" s="25">
        <f>INDEX('Inputs (2)'!$D$13:$AL$13,MATCH(V$7,'Inputs (2)'!$D$2:$AL$2,0))</f>
        <v>0</v>
      </c>
      <c r="W150" s="3">
        <f>SUM(S150:V150)</f>
        <v>-138.2</v>
      </c>
      <c r="X150" s="25">
        <f>INDEX('Inputs (2)'!$D$13:$AL$13,MATCH(X$7,'Inputs (2)'!$D$2:$AL$2,0))</f>
        <v>0</v>
      </c>
      <c r="Y150" s="25">
        <f>INDEX('Inputs (2)'!$D$13:$AL$13,MATCH(Y$7,'Inputs (2)'!$D$2:$AL$2,0))</f>
        <v>0</v>
      </c>
      <c r="Z150" s="25">
        <f>INDEX('Inputs (2)'!$D$13:$AL$13,MATCH(Z$7,'Inputs (2)'!$D$2:$AL$2,0))</f>
        <v>0</v>
      </c>
      <c r="AA150" s="25">
        <f>INDEX('Inputs (2)'!$D$13:$AL$13,MATCH(AA$7,'Inputs (2)'!$D$2:$AL$2,0))</f>
        <v>0</v>
      </c>
      <c r="AB150" s="3">
        <f>SUM(X150:AA150)</f>
        <v>0</v>
      </c>
      <c r="AC150" s="25">
        <f>INDEX('Inputs (2)'!$D$13:$AL$13,MATCH(AC$7,'Inputs (2)'!$D$2:$AL$2,0))</f>
        <v>0</v>
      </c>
      <c r="AD150" s="25">
        <f>INDEX('Inputs (2)'!$D$13:$AL$13,MATCH(AD$7,'Inputs (2)'!$D$2:$AL$2,0))</f>
        <v>-55.05</v>
      </c>
      <c r="AE150" s="25">
        <f>INDEX('Inputs (2)'!$D$13:$AL$13,MATCH(AE$7,'Inputs (2)'!$D$2:$AL$2,0))</f>
        <v>0</v>
      </c>
      <c r="AF150" s="25">
        <f>INDEX('Inputs (2)'!$D$13:$AL$13,MATCH(AF$7,'Inputs (2)'!$D$2:$AL$2,0))</f>
        <v>0</v>
      </c>
      <c r="AG150" s="3">
        <f>SUM(AC150:AF150)</f>
        <v>-55.05</v>
      </c>
      <c r="AH150" s="3">
        <f>INDEX('Inputs (2)'!$D$13:$AL$13,MATCH(AH$7,'Inputs (2)'!$D$2:$AL$2,0))</f>
        <v>0</v>
      </c>
      <c r="AI150" s="3">
        <f>INDEX('Inputs (2)'!$D$13:$AL$13,MATCH(AI$7,'Inputs (2)'!$D$2:$AL$2,0))</f>
        <v>0</v>
      </c>
      <c r="AJ150" s="3" t="n"/>
      <c r="AK150" s="3" t="n"/>
      <c r="AL150" s="3">
        <f>SUM(AH150:AK150)</f>
        <v>0</v>
      </c>
      <c r="AM150" s="3" t="n"/>
      <c r="AN150" s="3" t="n"/>
      <c r="AO150" s="3" t="n"/>
      <c r="AP150" s="3" t="n"/>
      <c r="AQ150" s="3">
        <f>SUM(AM150:AP150)</f>
        <v>0</v>
      </c>
      <c r="AR150" s="3" t="n"/>
      <c r="AS150" s="3" t="n"/>
      <c r="AT150" s="3" t="n"/>
      <c r="AU150" s="3" t="n"/>
      <c r="AV150" s="3">
        <f>SUM(AR150:AU150)</f>
        <v>0</v>
      </c>
      <c r="AW150" s="3" t="n"/>
      <c r="AX150" s="3" t="n"/>
      <c r="AY150" s="3" t="n"/>
      <c r="AZ150" s="3" t="n"/>
      <c r="BA150" s="3">
        <f>SUM(AW150:AZ150)</f>
        <v>0</v>
      </c>
      <c r="BB150" s="3" t="n"/>
      <c r="BC150" s="3" t="n"/>
      <c r="BD150" s="3" t="n"/>
      <c r="BE150" s="3" t="n"/>
      <c r="BF150" s="3">
        <f>SUM(BB150:BE150)</f>
        <v>0</v>
      </c>
      <c r="BG150" s="3" t="n"/>
      <c r="BH150" s="3" t="n"/>
      <c r="BI150" s="3" t="n"/>
      <c r="BJ150" s="3" t="n"/>
      <c r="BK150" s="3">
        <f>SUM(BG150:BJ150)</f>
        <v>0</v>
      </c>
      <c r="BL150" s="3" t="n"/>
      <c r="BM150" s="3" t="n"/>
      <c r="BN150" s="3" t="n"/>
      <c r="BO150" s="3" t="n"/>
      <c r="BP150" s="3">
        <f>SUM(BL150:BO150)</f>
        <v>0</v>
      </c>
      <c r="BQ150" s="3" t="n"/>
      <c r="BR150" s="3" t="n"/>
      <c r="BS150" s="3" t="n"/>
      <c r="BT150" s="3" t="n"/>
      <c r="BU150" s="3">
        <f>SUM(BQ150:BT150)</f>
        <v>0</v>
      </c>
      <c r="BV150" s="3" t="n"/>
      <c r="BW150" s="3" t="n"/>
      <c r="BX150" s="3" t="n"/>
      <c r="BY150" s="3" t="n"/>
      <c r="BZ150" s="3">
        <f>SUM(BV150:BY150)</f>
        <v>0</v>
      </c>
      <c r="CA150" s="3" t="n"/>
      <c r="CB150" s="3" t="n"/>
      <c r="CC150" s="3" t="n"/>
      <c r="CD150" s="3" t="n"/>
      <c r="CE150" s="3">
        <f>SUM(CA150:CD150)</f>
        <v>0</v>
      </c>
      <c r="CF150" s="3" t="n"/>
      <c r="CG150" s="3" t="n"/>
      <c r="CH150" s="3" t="n"/>
      <c r="CI150" s="3" t="n"/>
      <c r="CJ150" s="3">
        <f>SUM(CF150:CI150)</f>
        <v>0</v>
      </c>
      <c r="CK150" s="3" t="n"/>
      <c r="CL150" s="3" t="n"/>
      <c r="CM150" s="3" t="n"/>
      <c r="CN150" s="3" t="n"/>
      <c r="CO150" s="3">
        <f>SUM(CK150:CN150)</f>
        <v>0</v>
      </c>
      <c r="CP150" s="3" t="n"/>
      <c r="CQ150" s="3" t="n"/>
      <c r="CR150" s="3" t="n"/>
      <c r="CS150" s="3" t="n"/>
      <c r="CT150" s="3">
        <f>SUM(CP150:CS150)</f>
        <v>0</v>
      </c>
      <c r="CU150" s="3" t="n"/>
      <c r="CV150" s="3" t="n"/>
      <c r="CW150" s="3" t="n"/>
      <c r="CX150" s="3" t="n"/>
      <c r="CY150" s="3">
        <f>SUM(CU150:CX150)</f>
        <v>0</v>
      </c>
    </row>
    <row r="151" hidden="1" outlineLevel="1">
      <c r="C151" s="32" t="inlineStr">
        <is>
          <t>% DVD Payout</t>
        </is>
      </c>
      <c r="D151" s="40">
        <f>-D150/D149</f>
        <v>0.416482120167</v>
      </c>
      <c r="E151" s="40">
        <f>-E150/E149</f>
        <v>-0.00420972062763073</v>
      </c>
      <c r="F151" s="40">
        <f>-F150/F149</f>
        <v>0</v>
      </c>
      <c r="G151" s="40">
        <f>-G150/G149</f>
        <v>0.24372535023397</v>
      </c>
      <c r="H151" s="40">
        <f>-H150/H149</f>
        <v>0.242878791770477</v>
      </c>
      <c r="I151" s="40">
        <f>-I150/I149</f>
        <v>0</v>
      </c>
      <c r="J151" s="40">
        <f>-J150/J149</f>
        <v>0</v>
      </c>
      <c r="K151" s="40">
        <f>-K150/K149</f>
        <v>0.24725403942463</v>
      </c>
      <c r="L151" s="40">
        <f>-L150/L149</f>
        <v>0.153551703198196</v>
      </c>
      <c r="M151" s="40">
        <f>-M150/M149</f>
        <v>0.130106084772631</v>
      </c>
      <c r="N151" s="40">
        <f>-N150/N149</f>
        <v>0.152328068571074</v>
      </c>
      <c r="O151" s="40">
        <f>-O150/O149</f>
        <v>1.65637900846536</v>
      </c>
      <c r="P151" s="40">
        <f>-P150/P149</f>
        <v>0.499893296912012</v>
      </c>
      <c r="Q151" s="40">
        <f>-Q150/Q149</f>
        <v>2.92361617407886</v>
      </c>
      <c r="R151" s="40">
        <f>-R150/R149</f>
        <v>0.804557333323748</v>
      </c>
      <c r="S151" s="40">
        <f>-S150/S149</f>
        <v>2.25774567572707</v>
      </c>
      <c r="T151" s="40">
        <f>-T150/T149</f>
        <v>-5.07663457232423</v>
      </c>
      <c r="U151" s="40">
        <f>-U150/U149</f>
        <v>1.52158366428504e-05</v>
      </c>
      <c r="V151" s="40">
        <f>-V150/V149</f>
        <v>0</v>
      </c>
      <c r="W151" s="40">
        <f>-W150/W149</f>
        <v>-0.212337712222478</v>
      </c>
      <c r="X151" s="40">
        <f>-X150/X149</f>
        <v>0</v>
      </c>
      <c r="Y151" s="40">
        <f>-Y150/Y149</f>
        <v>0</v>
      </c>
      <c r="Z151" s="40">
        <f>-Z150/Z149</f>
        <v>0</v>
      </c>
      <c r="AA151" s="40">
        <f>-AA150/AA149</f>
        <v>0</v>
      </c>
      <c r="AB151" s="40">
        <f>-AB150/AB149</f>
        <v>0</v>
      </c>
      <c r="AC151" s="40">
        <f>-AC150/AC149</f>
        <v>0</v>
      </c>
      <c r="AD151" s="40">
        <f>-AD150/AD149</f>
        <v>0.814409349803975</v>
      </c>
      <c r="AE151" s="40">
        <f>-AE150/AE149</f>
        <v>0</v>
      </c>
      <c r="AF151" s="44">
        <f>-AF150/AF149</f>
        <v>0</v>
      </c>
      <c r="AG151" s="3" t="n"/>
      <c r="AH151" s="44">
        <f>-AH150/AH149</f>
        <v>0</v>
      </c>
      <c r="AI151" s="44">
        <f>-AI150/AI149</f>
        <v>0</v>
      </c>
      <c r="AJ151" s="44" t="n"/>
      <c r="AK151" s="44" t="n"/>
      <c r="AL151" s="3">
        <f>-AL150/AL149</f>
        <v>0</v>
      </c>
      <c r="AM151" s="44" t="n"/>
      <c r="AN151" s="44" t="n"/>
      <c r="AO151" s="44" t="n"/>
      <c r="AP151" s="44" t="n"/>
      <c r="AQ151" s="3">
        <f>-AQ150/AQ149</f>
        <v>0</v>
      </c>
      <c r="AR151" s="44" t="n"/>
      <c r="AS151" s="44" t="n"/>
      <c r="AT151" s="44" t="n"/>
      <c r="AU151" s="44" t="n"/>
      <c r="AV151" s="3">
        <f>-AV150/AV149</f>
        <v>0</v>
      </c>
      <c r="AW151" s="44" t="n"/>
      <c r="AX151" s="44" t="n"/>
      <c r="AY151" s="44" t="n"/>
      <c r="AZ151" s="44" t="n"/>
      <c r="BA151" s="3">
        <f>-BA150/BA149</f>
        <v>0</v>
      </c>
      <c r="BB151" s="44" t="n"/>
      <c r="BC151" s="44" t="n"/>
      <c r="BD151" s="44" t="n"/>
      <c r="BE151" s="44" t="n"/>
      <c r="BF151" s="3">
        <f>-BF150/BF149</f>
        <v>0</v>
      </c>
      <c r="BG151" s="44" t="n"/>
      <c r="BH151" s="44" t="n"/>
      <c r="BI151" s="44" t="n"/>
      <c r="BJ151" s="44" t="n"/>
      <c r="BK151" s="3">
        <f>-BK150/BK149</f>
        <v>0</v>
      </c>
      <c r="BL151" s="44" t="n"/>
      <c r="BM151" s="44" t="n"/>
      <c r="BN151" s="44" t="n"/>
      <c r="BO151" s="44" t="n"/>
      <c r="BP151" s="3">
        <f>-BP150/BP149</f>
        <v>0</v>
      </c>
      <c r="BQ151" s="44" t="n"/>
      <c r="BR151" s="44" t="n"/>
      <c r="BS151" s="44" t="n"/>
      <c r="BT151" s="44" t="n"/>
      <c r="BU151" s="3">
        <f>-BU150/BU149</f>
        <v>0</v>
      </c>
      <c r="BV151" s="44" t="n"/>
      <c r="BW151" s="44" t="n"/>
      <c r="BX151" s="44" t="n"/>
      <c r="BY151" s="44" t="n"/>
      <c r="BZ151" s="3">
        <f>-BZ150/BZ149</f>
        <v>0</v>
      </c>
      <c r="CA151" s="44" t="n"/>
      <c r="CB151" s="44" t="n"/>
      <c r="CC151" s="44" t="n"/>
      <c r="CD151" s="44" t="n"/>
      <c r="CE151" s="3">
        <f>-CE150/CE149</f>
        <v>0</v>
      </c>
      <c r="CF151" s="44" t="n"/>
      <c r="CG151" s="44" t="n"/>
      <c r="CH151" s="44" t="n"/>
      <c r="CI151" s="44" t="n"/>
      <c r="CJ151" s="3">
        <f>-CJ150/CJ149</f>
        <v>0</v>
      </c>
      <c r="CK151" s="44" t="n"/>
      <c r="CL151" s="44" t="n"/>
      <c r="CM151" s="44" t="n"/>
      <c r="CN151" s="44" t="n"/>
      <c r="CO151" s="3">
        <f>-CO150/CO149</f>
        <v>0</v>
      </c>
      <c r="CP151" s="44" t="n"/>
      <c r="CQ151" s="44" t="n"/>
      <c r="CR151" s="44" t="n"/>
      <c r="CS151" s="44" t="n"/>
      <c r="CT151" s="3">
        <f>-CT150/CT149</f>
        <v>0</v>
      </c>
      <c r="CU151" s="44" t="n"/>
      <c r="CV151" s="44" t="n"/>
      <c r="CW151" s="44" t="n"/>
      <c r="CX151" s="44" t="n"/>
      <c r="CY151" s="3">
        <f>-CY150/CY149</f>
        <v>0</v>
      </c>
    </row>
    <row r="152" hidden="1" outlineLevel="1">
      <c r="C152" s="5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  <c r="BA152" s="1" t="n"/>
      <c r="BB152" s="1" t="n"/>
      <c r="BC152" s="1" t="n"/>
      <c r="BD152" s="1" t="n"/>
      <c r="BE152" s="1" t="n"/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  <c r="CH152" s="1" t="n"/>
      <c r="CI152" s="1" t="n"/>
      <c r="CJ152" s="1" t="n"/>
      <c r="CK152" s="1" t="n"/>
      <c r="CL152" s="1" t="n"/>
      <c r="CM152" s="1" t="n"/>
      <c r="CN152" s="1" t="n"/>
      <c r="CO152" s="1" t="n"/>
      <c r="CP152" s="1" t="n"/>
      <c r="CQ152" s="1" t="n"/>
      <c r="CR152" s="1" t="n"/>
      <c r="CS152" s="1" t="n"/>
      <c r="CT152" s="1" t="n"/>
      <c r="CU152" s="1" t="n"/>
      <c r="CV152" s="1" t="n"/>
      <c r="CW152" s="1" t="n"/>
      <c r="CX152" s="1" t="n"/>
      <c r="CY152" s="1" t="n"/>
    </row>
    <row r="153" hidden="1" outlineLevel="1">
      <c r="C153" s="5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  <c r="BA153" s="1" t="n"/>
      <c r="BB153" s="1" t="n"/>
      <c r="BC153" s="1" t="n"/>
      <c r="BD153" s="1" t="n"/>
      <c r="BE153" s="1" t="n"/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  <c r="CH153" s="1" t="n"/>
      <c r="CI153" s="1" t="n"/>
      <c r="CJ153" s="1" t="n"/>
      <c r="CK153" s="1" t="n"/>
      <c r="CL153" s="1" t="n"/>
      <c r="CM153" s="1" t="n"/>
      <c r="CN153" s="1" t="n"/>
      <c r="CO153" s="1" t="n"/>
      <c r="CP153" s="1" t="n"/>
      <c r="CQ153" s="1" t="n"/>
      <c r="CR153" s="1" t="n"/>
      <c r="CS153" s="1" t="n"/>
      <c r="CT153" s="1" t="n"/>
      <c r="CU153" s="1" t="n"/>
      <c r="CV153" s="1" t="n"/>
      <c r="CW153" s="1" t="n"/>
      <c r="CX153" s="1" t="n"/>
      <c r="CY153" s="1" t="n"/>
    </row>
    <row r="154" collapsed="1" ht="11.25" customHeight="1">
      <c r="C154" s="12" t="inlineStr">
        <is>
          <t>Balance Sheet</t>
        </is>
      </c>
      <c r="D154" s="12" t="str">
        <f>D13</f>
        <v>1Q20</v>
      </c>
      <c r="E154" s="12" t="str">
        <f>E13</f>
        <v>2Q20</v>
      </c>
      <c r="F154" s="12" t="str">
        <f>F13</f>
        <v>3Q20</v>
      </c>
      <c r="G154" s="12" t="str">
        <f>G13</f>
        <v>4Q20</v>
      </c>
      <c r="H154" s="12">
        <f>H13</f>
        <v>2020</v>
      </c>
      <c r="I154" s="12" t="str">
        <f>I13</f>
        <v>1Q21</v>
      </c>
      <c r="J154" s="12" t="str">
        <f>J13</f>
        <v>2Q21</v>
      </c>
      <c r="K154" s="12" t="str">
        <f>K13</f>
        <v>3Q21</v>
      </c>
      <c r="L154" s="12" t="str">
        <f>L13</f>
        <v>4Q21</v>
      </c>
      <c r="M154" s="12">
        <f>M13</f>
        <v>2021</v>
      </c>
      <c r="N154" s="12" t="str">
        <f>N13</f>
        <v>1Q22</v>
      </c>
      <c r="O154" s="12" t="str">
        <f>O13</f>
        <v>2Q22</v>
      </c>
      <c r="P154" s="12" t="str">
        <f>P13</f>
        <v>3Q22</v>
      </c>
      <c r="Q154" s="12" t="str">
        <f>Q13</f>
        <v>4Q22</v>
      </c>
      <c r="R154" s="12">
        <f>R13</f>
        <v>2022</v>
      </c>
      <c r="S154" s="12" t="str">
        <f>S13</f>
        <v>1Q23</v>
      </c>
      <c r="T154" s="12" t="str">
        <f>T13</f>
        <v>2Q23</v>
      </c>
      <c r="U154" s="12" t="str">
        <f>U13</f>
        <v>3Q23</v>
      </c>
      <c r="V154" s="12" t="str">
        <f>V13</f>
        <v>4Q23</v>
      </c>
      <c r="W154" s="12">
        <f>W13</f>
        <v>2023</v>
      </c>
      <c r="X154" s="12" t="str">
        <f>X13</f>
        <v>1Q24</v>
      </c>
      <c r="Y154" s="12" t="str">
        <f>Y13</f>
        <v>2Q24</v>
      </c>
      <c r="Z154" s="12" t="str">
        <f>Z13</f>
        <v>3Q24</v>
      </c>
      <c r="AA154" s="12" t="str">
        <f>AA13</f>
        <v>4Q24</v>
      </c>
      <c r="AB154" s="12">
        <f>AB13</f>
        <v>2024</v>
      </c>
      <c r="AC154" s="12" t="str">
        <f>AC13</f>
        <v>1Q25</v>
      </c>
      <c r="AD154" s="12" t="str">
        <f>AD13</f>
        <v>2Q25</v>
      </c>
      <c r="AE154" s="12" t="str">
        <f>AE13</f>
        <v>3Q25</v>
      </c>
      <c r="AF154" s="12" t="str">
        <f>AF13</f>
        <v>4Q25</v>
      </c>
      <c r="AG154" s="12">
        <f>AG13</f>
        <v>2025</v>
      </c>
      <c r="AH154" s="12" t="str">
        <f>AH13</f>
        <v>1Q26</v>
      </c>
      <c r="AI154" s="12" t="str">
        <f>AI13</f>
        <v>2Q26</v>
      </c>
      <c r="AJ154" s="12" t="str">
        <f>AJ13</f>
        <v>3Q26</v>
      </c>
      <c r="AK154" s="12" t="str">
        <f>AK13</f>
        <v>4Q26</v>
      </c>
      <c r="AL154" s="12">
        <f>AL13</f>
        <v>2026</v>
      </c>
      <c r="AM154" s="12" t="str">
        <f>AM13</f>
        <v>1Q27</v>
      </c>
      <c r="AN154" s="12" t="str">
        <f>AN13</f>
        <v>2Q27</v>
      </c>
      <c r="AO154" s="12" t="str">
        <f>AO13</f>
        <v>3Q27</v>
      </c>
      <c r="AP154" s="12" t="str">
        <f>AP13</f>
        <v>4Q27</v>
      </c>
      <c r="AQ154" s="12">
        <f>AQ13</f>
        <v>2027</v>
      </c>
      <c r="AR154" s="12" t="str">
        <f>AR13</f>
        <v>1Q28</v>
      </c>
      <c r="AS154" s="12" t="str">
        <f>AS13</f>
        <v>2Q28</v>
      </c>
      <c r="AT154" s="12" t="str">
        <f>AT13</f>
        <v>3Q28</v>
      </c>
      <c r="AU154" s="12" t="str">
        <f>AU13</f>
        <v>4Q28</v>
      </c>
      <c r="AV154" s="12">
        <f>AV13</f>
        <v>2028</v>
      </c>
      <c r="AW154" s="12" t="str">
        <f>AW13</f>
        <v>1Q29</v>
      </c>
      <c r="AX154" s="12" t="str">
        <f>AX13</f>
        <v>2Q29</v>
      </c>
      <c r="AY154" s="12" t="str">
        <f>AY13</f>
        <v>3Q29</v>
      </c>
      <c r="AZ154" s="12" t="str">
        <f>AZ13</f>
        <v>4Q29</v>
      </c>
      <c r="BA154" s="12">
        <f>BA13</f>
        <v>2029</v>
      </c>
      <c r="BB154" s="12" t="str">
        <f>BB13</f>
        <v>1Q30</v>
      </c>
      <c r="BC154" s="12" t="str">
        <f>BC13</f>
        <v>2Q30</v>
      </c>
      <c r="BD154" s="12" t="str">
        <f>BD13</f>
        <v>3Q30</v>
      </c>
      <c r="BE154" s="12" t="str">
        <f>BE13</f>
        <v>4Q30</v>
      </c>
      <c r="BF154" s="12">
        <f>BF13</f>
        <v>2030</v>
      </c>
      <c r="BG154" s="12" t="str">
        <f>BG13</f>
        <v>1Q31</v>
      </c>
      <c r="BH154" s="12" t="str">
        <f>BH13</f>
        <v>2Q31</v>
      </c>
      <c r="BI154" s="12" t="str">
        <f>BI13</f>
        <v>3Q31</v>
      </c>
      <c r="BJ154" s="12" t="str">
        <f>BJ13</f>
        <v>4Q31</v>
      </c>
      <c r="BK154" s="12">
        <f>BK13</f>
        <v>2031</v>
      </c>
      <c r="BL154" s="12" t="str">
        <f>BL13</f>
        <v>1Q32</v>
      </c>
      <c r="BM154" s="12" t="str">
        <f>BM13</f>
        <v>2Q32</v>
      </c>
      <c r="BN154" s="12" t="str">
        <f>BN13</f>
        <v>3Q32</v>
      </c>
      <c r="BO154" s="12" t="str">
        <f>BO13</f>
        <v>4Q32</v>
      </c>
      <c r="BP154" s="12">
        <f>BP13</f>
        <v>2032</v>
      </c>
      <c r="BQ154" s="12" t="str">
        <f>BQ13</f>
        <v>1Q33</v>
      </c>
      <c r="BR154" s="12" t="str">
        <f>BR13</f>
        <v>2Q33</v>
      </c>
      <c r="BS154" s="12" t="str">
        <f>BS13</f>
        <v>3Q33</v>
      </c>
      <c r="BT154" s="12" t="str">
        <f>BT13</f>
        <v>4Q33</v>
      </c>
      <c r="BU154" s="12">
        <f>BU13</f>
        <v>2033</v>
      </c>
      <c r="BV154" s="12" t="str">
        <f>BV13</f>
        <v>1Q34</v>
      </c>
      <c r="BW154" s="12" t="str">
        <f>BW13</f>
        <v>2Q34</v>
      </c>
      <c r="BX154" s="12" t="str">
        <f>BX13</f>
        <v>3Q34</v>
      </c>
      <c r="BY154" s="12" t="str">
        <f>BY13</f>
        <v>4Q34</v>
      </c>
      <c r="BZ154" s="12">
        <f>BZ13</f>
        <v>2034</v>
      </c>
      <c r="CA154" s="12" t="str">
        <f>CA13</f>
        <v>1Q35</v>
      </c>
      <c r="CB154" s="12" t="str">
        <f>CB13</f>
        <v>2Q35</v>
      </c>
      <c r="CC154" s="12" t="str">
        <f>CC13</f>
        <v>3Q35</v>
      </c>
      <c r="CD154" s="12" t="str">
        <f>CD13</f>
        <v>4Q35</v>
      </c>
      <c r="CE154" s="12">
        <f>CE13</f>
        <v>2035</v>
      </c>
      <c r="CF154" s="12" t="str">
        <f>CF13</f>
        <v>1Q36</v>
      </c>
      <c r="CG154" s="12" t="str">
        <f>CG13</f>
        <v>2Q36</v>
      </c>
      <c r="CH154" s="12" t="str">
        <f>CH13</f>
        <v>3Q36</v>
      </c>
      <c r="CI154" s="12" t="str">
        <f>CI13</f>
        <v>4Q36</v>
      </c>
      <c r="CJ154" s="12">
        <f>CJ13</f>
        <v>2036</v>
      </c>
      <c r="CK154" s="12" t="str">
        <f>CK13</f>
        <v>1Q37</v>
      </c>
      <c r="CL154" s="12" t="str">
        <f>CL13</f>
        <v>2Q37</v>
      </c>
      <c r="CM154" s="12" t="str">
        <f>CM13</f>
        <v>3Q37</v>
      </c>
      <c r="CN154" s="12" t="str">
        <f>CN13</f>
        <v>4Q37</v>
      </c>
      <c r="CO154" s="12">
        <f>CO13</f>
        <v>2037</v>
      </c>
      <c r="CP154" s="12" t="str">
        <f>CP13</f>
        <v>1Q38</v>
      </c>
      <c r="CQ154" s="12" t="str">
        <f>CQ13</f>
        <v>2Q38</v>
      </c>
      <c r="CR154" s="12" t="str">
        <f>CR13</f>
        <v>3Q38</v>
      </c>
      <c r="CS154" s="12" t="str">
        <f>CS13</f>
        <v>4Q38</v>
      </c>
      <c r="CT154" s="12">
        <f>CT13</f>
        <v>2038</v>
      </c>
      <c r="CU154" s="12" t="str">
        <f>CU13</f>
        <v>1Q39</v>
      </c>
      <c r="CV154" s="12" t="str">
        <f>CV13</f>
        <v>2Q39</v>
      </c>
      <c r="CW154" s="12" t="str">
        <f>CW13</f>
        <v>3Q39</v>
      </c>
      <c r="CX154" s="12" t="str">
        <f>CX13</f>
        <v>4Q39</v>
      </c>
      <c r="CY154" s="12">
        <f>CY13</f>
        <v>2039</v>
      </c>
    </row>
    <row r="155">
      <c r="C155" s="5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  <c r="BA155" s="1" t="n"/>
      <c r="BB155" s="1" t="n"/>
      <c r="BC155" s="1" t="n"/>
      <c r="BD155" s="1" t="n"/>
      <c r="BE155" s="1" t="n"/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  <c r="CH155" s="1" t="n"/>
      <c r="CI155" s="1" t="n"/>
      <c r="CJ155" s="1" t="n"/>
      <c r="CK155" s="1" t="n"/>
      <c r="CL155" s="1" t="n"/>
      <c r="CM155" s="1" t="n"/>
      <c r="CN155" s="1" t="n"/>
      <c r="CO155" s="1" t="n"/>
      <c r="CP155" s="1" t="n"/>
      <c r="CQ155" s="1" t="n"/>
      <c r="CR155" s="1" t="n"/>
      <c r="CS155" s="1" t="n"/>
      <c r="CT155" s="1" t="n"/>
      <c r="CU155" s="1" t="n"/>
      <c r="CV155" s="1" t="n"/>
      <c r="CW155" s="1" t="n"/>
      <c r="CX155" s="1" t="n"/>
      <c r="CY155" s="1" t="n"/>
    </row>
    <row r="156">
      <c r="C156" s="24" t="inlineStr">
        <is>
          <t>Cash and equivalents (inc. investment securities)</t>
        </is>
      </c>
      <c r="D156" s="25">
        <f>INDEX('Inputs (2)'!$D$15:$AL$15,MATCH(D$7,'Inputs (2)'!$D$2:$AL$2,0))</f>
        <v>1049.485</v>
      </c>
      <c r="E156" s="25">
        <f>INDEX('Inputs (2)'!$D$15:$AL$15,MATCH(E$7,'Inputs (2)'!$D$2:$AL$2,0))</f>
        <v>1740.613</v>
      </c>
      <c r="F156" s="25">
        <f>INDEX('Inputs (2)'!$D$15:$AL$15,MATCH(F$7,'Inputs (2)'!$D$2:$AL$2,0))</f>
        <v>1665.122</v>
      </c>
      <c r="G156" s="25">
        <f>INDEX('Inputs (2)'!$D$15:$AL$15,MATCH(G$7,'Inputs (2)'!$D$2:$AL$2,0))</f>
        <v>1732.882</v>
      </c>
      <c r="H156" s="3">
        <f>G156</f>
        <v>1732.882</v>
      </c>
      <c r="I156" s="25">
        <f>INDEX('Inputs (2)'!$D$15:$AL$15,MATCH(I$7,'Inputs (2)'!$D$2:$AL$2,0))</f>
        <v>5511.88</v>
      </c>
      <c r="J156" s="25">
        <f>INDEX('Inputs (2)'!$D$15:$AL$15,MATCH(J$7,'Inputs (2)'!$D$2:$AL$2,0))</f>
        <v>5556.755</v>
      </c>
      <c r="K156" s="25">
        <f>INDEX('Inputs (2)'!$D$15:$AL$15,MATCH(K$7,'Inputs (2)'!$D$2:$AL$2,0))</f>
        <v>8274.313</v>
      </c>
      <c r="L156" s="25">
        <f>INDEX('Inputs (2)'!$D$15:$AL$15,MATCH(L$7,'Inputs (2)'!$D$2:$AL$2,0))</f>
        <v>7786.453</v>
      </c>
      <c r="M156" s="3">
        <f>L156</f>
        <v>7786.453</v>
      </c>
      <c r="N156" s="25">
        <f>INDEX('Inputs (2)'!$D$15:$AL$15,MATCH(N$7,'Inputs (2)'!$D$2:$AL$2,0))</f>
        <v>5650.584</v>
      </c>
      <c r="O156" s="25">
        <f>INDEX('Inputs (2)'!$D$15:$AL$15,MATCH(O$7,'Inputs (2)'!$D$2:$AL$2,0))</f>
        <v>5722.697</v>
      </c>
      <c r="P156" s="25">
        <f>INDEX('Inputs (2)'!$D$15:$AL$15,MATCH(P$7,'Inputs (2)'!$D$2:$AL$2,0))</f>
        <v>7795.457</v>
      </c>
      <c r="Q156" s="25">
        <f>INDEX('Inputs (2)'!$D$15:$AL$15,MATCH(Q$7,'Inputs (2)'!$D$2:$AL$2,0))</f>
        <v>6827.535</v>
      </c>
      <c r="R156" s="3">
        <f>Q156</f>
        <v>6827.535</v>
      </c>
      <c r="S156" s="25">
        <f>INDEX('Inputs (2)'!$D$15:$AL$15,MATCH(S$7,'Inputs (2)'!$D$2:$AL$2,0))</f>
        <v>3923.099</v>
      </c>
      <c r="T156" s="25">
        <f>INDEX('Inputs (2)'!$D$15:$AL$15,MATCH(T$7,'Inputs (2)'!$D$2:$AL$2,0))</f>
        <v>2577.866</v>
      </c>
      <c r="U156" s="25">
        <f>INDEX('Inputs (2)'!$D$15:$AL$15,MATCH(U$7,'Inputs (2)'!$D$2:$AL$2,0))</f>
        <v>2011.127</v>
      </c>
      <c r="V156" s="25">
        <f>INDEX('Inputs (2)'!$D$15:$AL$15,MATCH(V$7,'Inputs (2)'!$D$2:$AL$2,0))</f>
        <v>2998.752</v>
      </c>
      <c r="W156" s="3">
        <f>V156</f>
        <v>2998.752</v>
      </c>
      <c r="X156" s="25">
        <f>INDEX('Inputs (2)'!$D$15:$AL$15,MATCH(X$7,'Inputs (2)'!$D$2:$AL$2,0))</f>
        <v>3211.286</v>
      </c>
      <c r="Y156" s="25">
        <f>INDEX('Inputs (2)'!$D$15:$AL$15,MATCH(Y$7,'Inputs (2)'!$D$2:$AL$2,0))</f>
        <v>3685.003</v>
      </c>
      <c r="Z156" s="25">
        <f>INDEX('Inputs (2)'!$D$15:$AL$15,MATCH(Z$7,'Inputs (2)'!$D$2:$AL$2,0))</f>
        <v>3975.719</v>
      </c>
      <c r="AA156" s="25">
        <f>INDEX('Inputs (2)'!$D$15:$AL$15,MATCH(AA$7,'Inputs (2)'!$D$2:$AL$2,0))</f>
        <v>4291.363</v>
      </c>
      <c r="AB156" s="3">
        <f>AA156</f>
        <v>4291.363</v>
      </c>
      <c r="AC156" s="25">
        <f>INDEX('Inputs (2)'!$D$15:$AL$15,MATCH(AC$7,'Inputs (2)'!$D$2:$AL$2,0))</f>
        <v>3037.195</v>
      </c>
      <c r="AD156" s="25">
        <f>INDEX('Inputs (2)'!$D$15:$AL$15,MATCH(AD$7,'Inputs (2)'!$D$2:$AL$2,0))</f>
        <v>3441.64</v>
      </c>
      <c r="AE156" s="25">
        <f>INDEX('Inputs (2)'!$D$15:$AL$15,MATCH(AE$7,'Inputs (2)'!$D$2:$AL$2,0))</f>
        <v>3319.489</v>
      </c>
      <c r="AF156" s="25">
        <f>INDEX('Inputs (2)'!$D$15:$AL$15,MATCH(AF$7,'Inputs (2)'!$D$2:$AL$2,0))</f>
        <v>6875.395</v>
      </c>
      <c r="AG156" s="3">
        <f>AF156</f>
        <v>6875.395</v>
      </c>
      <c r="AH156" s="3">
        <f>INDEX('Inputs (2)'!$D$15:$AL$15,MATCH(AH$7,'Inputs (2)'!$D$2:$AL$2,0))</f>
        <v>8093.188</v>
      </c>
      <c r="AI156" s="3">
        <f>INDEX('Inputs (2)'!$D$15:$AL$15,MATCH(AI$7,'Inputs (2)'!$D$2:$AL$2,0))</f>
        <v>7479.297</v>
      </c>
      <c r="AJ156" s="3">
        <f>AI156+AJ326</f>
        <v>4658.8784076</v>
      </c>
      <c r="AK156" s="3">
        <f>AJ156+AK326</f>
        <v>4814.0141023</v>
      </c>
      <c r="AL156" s="3">
        <f>AK156</f>
        <v>4814.0141023</v>
      </c>
      <c r="AM156" s="3" t="e">
        <f>AL156+AM326</f>
        <v>#DIV/0!</v>
      </c>
      <c r="AN156" s="3" t="e">
        <f>AM156+AN326</f>
        <v>#DIV/0!</v>
      </c>
      <c r="AO156" s="3" t="e">
        <f>AN156+AO326</f>
        <v>#DIV/0!</v>
      </c>
      <c r="AP156" s="3" t="e">
        <f>AO156+AP326</f>
        <v>#DIV/0!</v>
      </c>
      <c r="AQ156" s="3" t="e">
        <f>AP156</f>
        <v>#DIV/0!</v>
      </c>
      <c r="AR156" s="3" t="e">
        <f>AQ156+AR326</f>
        <v>#DIV/0!</v>
      </c>
      <c r="AS156" s="3" t="e">
        <f>AR156+AS326</f>
        <v>#DIV/0!</v>
      </c>
      <c r="AT156" s="3" t="e">
        <f>AS156+AT326</f>
        <v>#DIV/0!</v>
      </c>
      <c r="AU156" s="3" t="e">
        <f>AT156+AU326</f>
        <v>#DIV/0!</v>
      </c>
      <c r="AV156" s="3" t="e">
        <f>AU156</f>
        <v>#DIV/0!</v>
      </c>
      <c r="AW156" s="3" t="e">
        <f>AV156+AW326</f>
        <v>#DIV/0!</v>
      </c>
      <c r="AX156" s="3" t="e">
        <f>AW156+AX326</f>
        <v>#DIV/0!</v>
      </c>
      <c r="AY156" s="3" t="e">
        <f>AX156+AY326</f>
        <v>#DIV/0!</v>
      </c>
      <c r="AZ156" s="3" t="e">
        <f>AY156+AZ326</f>
        <v>#DIV/0!</v>
      </c>
      <c r="BA156" s="3" t="e">
        <f>AZ156</f>
        <v>#DIV/0!</v>
      </c>
      <c r="BB156" s="3" t="e">
        <f>BA156+BB326</f>
        <v>#DIV/0!</v>
      </c>
      <c r="BC156" s="3" t="e">
        <f>BB156+BC326</f>
        <v>#DIV/0!</v>
      </c>
      <c r="BD156" s="3" t="e">
        <f>BC156+BD326</f>
        <v>#DIV/0!</v>
      </c>
      <c r="BE156" s="3" t="e">
        <f>BD156+BE326</f>
        <v>#DIV/0!</v>
      </c>
      <c r="BF156" s="3" t="e">
        <f>BE156</f>
        <v>#DIV/0!</v>
      </c>
      <c r="BG156" s="3" t="e">
        <f>BF156+BG326</f>
        <v>#DIV/0!</v>
      </c>
      <c r="BH156" s="3" t="e">
        <f>BG156+BH326</f>
        <v>#DIV/0!</v>
      </c>
      <c r="BI156" s="3" t="e">
        <f>BH156+BI326</f>
        <v>#DIV/0!</v>
      </c>
      <c r="BJ156" s="3" t="e">
        <f>BI156+BJ326</f>
        <v>#DIV/0!</v>
      </c>
      <c r="BK156" s="3" t="e">
        <f>BJ156</f>
        <v>#DIV/0!</v>
      </c>
      <c r="BL156" s="3" t="e">
        <f>BK156+BL326</f>
        <v>#DIV/0!</v>
      </c>
      <c r="BM156" s="3" t="e">
        <f>BL156+BM326</f>
        <v>#DIV/0!</v>
      </c>
      <c r="BN156" s="3" t="e">
        <f>BM156+BN326</f>
        <v>#DIV/0!</v>
      </c>
      <c r="BO156" s="3" t="e">
        <f>BN156+BO326</f>
        <v>#DIV/0!</v>
      </c>
      <c r="BP156" s="3" t="e">
        <f>BO156</f>
        <v>#DIV/0!</v>
      </c>
      <c r="BQ156" s="3" t="e">
        <f>BP156+BQ326</f>
        <v>#DIV/0!</v>
      </c>
      <c r="BR156" s="3" t="e">
        <f>BQ156+BR326</f>
        <v>#DIV/0!</v>
      </c>
      <c r="BS156" s="3" t="e">
        <f>BR156+BS326</f>
        <v>#DIV/0!</v>
      </c>
      <c r="BT156" s="3" t="e">
        <f>BS156+BT326</f>
        <v>#DIV/0!</v>
      </c>
      <c r="BU156" s="3" t="e">
        <f>BT156</f>
        <v>#DIV/0!</v>
      </c>
      <c r="BV156" s="3" t="e">
        <f>BU156+BV326</f>
        <v>#DIV/0!</v>
      </c>
      <c r="BW156" s="3" t="e">
        <f>BV156+BW326</f>
        <v>#DIV/0!</v>
      </c>
      <c r="BX156" s="3" t="e">
        <f>BW156+BX326</f>
        <v>#DIV/0!</v>
      </c>
      <c r="BY156" s="3" t="e">
        <f>BX156+BY326</f>
        <v>#DIV/0!</v>
      </c>
      <c r="BZ156" s="3" t="e">
        <f>BY156</f>
        <v>#DIV/0!</v>
      </c>
      <c r="CA156" s="3" t="e">
        <f>BZ156+CA326</f>
        <v>#DIV/0!</v>
      </c>
      <c r="CB156" s="3" t="e">
        <f>CA156+CB326</f>
        <v>#DIV/0!</v>
      </c>
      <c r="CC156" s="3" t="e">
        <f>CB156+CC326</f>
        <v>#DIV/0!</v>
      </c>
      <c r="CD156" s="3" t="e">
        <f>CC156+CD326</f>
        <v>#DIV/0!</v>
      </c>
      <c r="CE156" s="3" t="e">
        <f>CD156</f>
        <v>#DIV/0!</v>
      </c>
      <c r="CF156" s="3" t="e">
        <f>CE156+CF326</f>
        <v>#DIV/0!</v>
      </c>
      <c r="CG156" s="3" t="e">
        <f>CF156+CG326</f>
        <v>#DIV/0!</v>
      </c>
      <c r="CH156" s="3" t="e">
        <f>CG156+CH326</f>
        <v>#DIV/0!</v>
      </c>
      <c r="CI156" s="3" t="e">
        <f>CH156+CI326</f>
        <v>#DIV/0!</v>
      </c>
      <c r="CJ156" s="3" t="e">
        <f>CI156</f>
        <v>#DIV/0!</v>
      </c>
      <c r="CK156" s="3" t="e">
        <f>CJ156+CK326</f>
        <v>#DIV/0!</v>
      </c>
      <c r="CL156" s="3" t="e">
        <f>CK156+CL326</f>
        <v>#DIV/0!</v>
      </c>
      <c r="CM156" s="3" t="e">
        <f>CL156+CM326</f>
        <v>#DIV/0!</v>
      </c>
      <c r="CN156" s="3" t="e">
        <f>CM156+CN326</f>
        <v>#DIV/0!</v>
      </c>
      <c r="CO156" s="3" t="e">
        <f>CN156</f>
        <v>#DIV/0!</v>
      </c>
      <c r="CP156" s="3" t="e">
        <f>CO156+CP326</f>
        <v>#DIV/0!</v>
      </c>
      <c r="CQ156" s="3" t="e">
        <f>CP156+CQ326</f>
        <v>#DIV/0!</v>
      </c>
      <c r="CR156" s="3" t="e">
        <f>CQ156+CR326</f>
        <v>#DIV/0!</v>
      </c>
      <c r="CS156" s="3" t="e">
        <f>CR156+CS326</f>
        <v>#DIV/0!</v>
      </c>
      <c r="CT156" s="3" t="e">
        <f>CS156</f>
        <v>#DIV/0!</v>
      </c>
      <c r="CU156" s="3" t="e">
        <f>CT156+CU326</f>
        <v>#DIV/0!</v>
      </c>
      <c r="CV156" s="3" t="e">
        <f>CU156+CV326</f>
        <v>#DIV/0!</v>
      </c>
      <c r="CW156" s="3" t="e">
        <f>CV156+CW326</f>
        <v>#DIV/0!</v>
      </c>
      <c r="CX156" s="3" t="e">
        <f>CW156+CX326</f>
        <v>#DIV/0!</v>
      </c>
      <c r="CY156" s="3" t="e">
        <f>CX156</f>
        <v>#DIV/0!</v>
      </c>
    </row>
    <row r="157">
      <c r="C157" s="26" t="inlineStr">
        <is>
          <t>Accounts receivable</t>
        </is>
      </c>
      <c r="D157" s="25">
        <f>INDEX('Inputs (2)'!$D$16:$AL$16,MATCH(D$7,'Inputs (2)'!$D$2:$AL$2,0))</f>
        <v>402.498</v>
      </c>
      <c r="E157" s="25">
        <f>INDEX('Inputs (2)'!$D$16:$AL$16,MATCH(E$7,'Inputs (2)'!$D$2:$AL$2,0))</f>
        <v>380.358</v>
      </c>
      <c r="F157" s="25">
        <f>INDEX('Inputs (2)'!$D$16:$AL$16,MATCH(F$7,'Inputs (2)'!$D$2:$AL$2,0))</f>
        <v>402.294</v>
      </c>
      <c r="G157" s="25">
        <f>INDEX('Inputs (2)'!$D$16:$AL$16,MATCH(G$7,'Inputs (2)'!$D$2:$AL$2,0))</f>
        <v>458.632</v>
      </c>
      <c r="H157" s="3">
        <f>G157</f>
        <v>458.632</v>
      </c>
      <c r="I157" s="25">
        <f>INDEX('Inputs (2)'!$D$16:$AL$16,MATCH(I$7,'Inputs (2)'!$D$2:$AL$2,0))</f>
        <v>450.38</v>
      </c>
      <c r="J157" s="25">
        <f>INDEX('Inputs (2)'!$D$16:$AL$16,MATCH(J$7,'Inputs (2)'!$D$2:$AL$2,0))</f>
        <v>553.695</v>
      </c>
      <c r="K157" s="25">
        <f>INDEX('Inputs (2)'!$D$16:$AL$16,MATCH(K$7,'Inputs (2)'!$D$2:$AL$2,0))</f>
        <v>634.363</v>
      </c>
      <c r="L157" s="25">
        <f>INDEX('Inputs (2)'!$D$16:$AL$16,MATCH(L$7,'Inputs (2)'!$D$2:$AL$2,0))</f>
        <v>887.067</v>
      </c>
      <c r="M157" s="3">
        <f>L157</f>
        <v>887.067</v>
      </c>
      <c r="N157" s="25">
        <f>INDEX('Inputs (2)'!$D$16:$AL$16,MATCH(N$7,'Inputs (2)'!$D$2:$AL$2,0))</f>
        <v>1077.835</v>
      </c>
      <c r="O157" s="25">
        <f>INDEX('Inputs (2)'!$D$16:$AL$16,MATCH(O$7,'Inputs (2)'!$D$2:$AL$2,0))</f>
        <v>1285.905</v>
      </c>
      <c r="P157" s="25">
        <f>INDEX('Inputs (2)'!$D$16:$AL$16,MATCH(P$7,'Inputs (2)'!$D$2:$AL$2,0))</f>
        <v>1046.048</v>
      </c>
      <c r="Q157" s="25">
        <f>INDEX('Inputs (2)'!$D$16:$AL$16,MATCH(Q$7,'Inputs (2)'!$D$2:$AL$2,0))</f>
        <v>1175.734</v>
      </c>
      <c r="R157" s="3">
        <f>Q157</f>
        <v>1175.734</v>
      </c>
      <c r="S157" s="25">
        <f>INDEX('Inputs (2)'!$D$16:$AL$16,MATCH(S$7,'Inputs (2)'!$D$2:$AL$2,0))</f>
        <v>1027.01</v>
      </c>
      <c r="T157" s="25">
        <f>INDEX('Inputs (2)'!$D$16:$AL$16,MATCH(T$7,'Inputs (2)'!$D$2:$AL$2,0))</f>
        <v>1100.969</v>
      </c>
      <c r="U157" s="25">
        <f>INDEX('Inputs (2)'!$D$16:$AL$16,MATCH(U$7,'Inputs (2)'!$D$2:$AL$2,0))</f>
        <v>1312.302</v>
      </c>
      <c r="V157" s="25">
        <f>INDEX('Inputs (2)'!$D$16:$AL$16,MATCH(V$7,'Inputs (2)'!$D$2:$AL$2,0))</f>
        <v>1345.413</v>
      </c>
      <c r="W157" s="3">
        <f>V157</f>
        <v>1345.413</v>
      </c>
      <c r="X157" s="25">
        <f>INDEX('Inputs (2)'!$D$16:$AL$16,MATCH(X$7,'Inputs (2)'!$D$2:$AL$2,0))</f>
        <v>1542.65</v>
      </c>
      <c r="Y157" s="25">
        <f>INDEX('Inputs (2)'!$D$16:$AL$16,MATCH(Y$7,'Inputs (2)'!$D$2:$AL$2,0))</f>
        <v>1684.031</v>
      </c>
      <c r="Z157" s="25">
        <f>INDEX('Inputs (2)'!$D$16:$AL$16,MATCH(Z$7,'Inputs (2)'!$D$2:$AL$2,0))</f>
        <v>1736.984</v>
      </c>
      <c r="AA157" s="25">
        <f>INDEX('Inputs (2)'!$D$16:$AL$16,MATCH(AA$7,'Inputs (2)'!$D$2:$AL$2,0))</f>
        <v>1441.696</v>
      </c>
      <c r="AB157" s="3">
        <f>AA157</f>
        <v>1441.696</v>
      </c>
      <c r="AC157" s="25">
        <f>INDEX('Inputs (2)'!$D$16:$AL$16,MATCH(AC$7,'Inputs (2)'!$D$2:$AL$2,0))</f>
        <v>2193.313</v>
      </c>
      <c r="AD157" s="25">
        <f>INDEX('Inputs (2)'!$D$16:$AL$16,MATCH(AD$7,'Inputs (2)'!$D$2:$AL$2,0))</f>
        <v>2186.188</v>
      </c>
      <c r="AE157" s="25">
        <f>INDEX('Inputs (2)'!$D$16:$AL$16,MATCH(AE$7,'Inputs (2)'!$D$2:$AL$2,0))</f>
        <v>2216.549</v>
      </c>
      <c r="AF157" s="25">
        <f>INDEX('Inputs (2)'!$D$16:$AL$16,MATCH(AF$7,'Inputs (2)'!$D$2:$AL$2,0))</f>
        <v>1989.681</v>
      </c>
      <c r="AG157" s="3">
        <f>AF157</f>
        <v>1989.681</v>
      </c>
      <c r="AH157" s="3">
        <f>INDEX('Inputs (2)'!$D$16:$AL$16,MATCH(AH$7,'Inputs (2)'!$D$2:$AL$2,0))</f>
        <v>2184.584</v>
      </c>
      <c r="AI157" s="3">
        <f>INDEX('Inputs (2)'!$D$16:$AL$16,MATCH(AI$7,'Inputs (2)'!$D$2:$AL$2,0))</f>
        <v>2309.874</v>
      </c>
      <c r="AJ157" s="3">
        <f>(AJ158/(AJ$5-AI$5))*AJ$15</f>
        <v>0</v>
      </c>
      <c r="AK157" s="3">
        <f>(AK158/(AK$5-AJ$5))*AK$15</f>
        <v>0</v>
      </c>
      <c r="AL157" s="3">
        <f>AK157</f>
        <v>0</v>
      </c>
      <c r="AM157" s="3">
        <f>(AM158/(AM$5-AL$5))*AM$15</f>
        <v>0</v>
      </c>
      <c r="AN157" s="3">
        <f>(AN158/(AN$5-AM$5))*AN$15</f>
        <v>0</v>
      </c>
      <c r="AO157" s="3">
        <f>(AO158/(AO$5-AN$5))*AO$15</f>
        <v>0</v>
      </c>
      <c r="AP157" s="3">
        <f>(AP158/(AP$5-AO$5))*AP$15</f>
        <v>0</v>
      </c>
      <c r="AQ157" s="3">
        <f>AP157</f>
        <v>0</v>
      </c>
      <c r="AR157" s="3">
        <f>(AR158/(AR$5-AQ$5))*AR$15</f>
        <v>0</v>
      </c>
      <c r="AS157" s="3">
        <f>(AS158/(AS$5-AR$5))*AS$15</f>
        <v>0</v>
      </c>
      <c r="AT157" s="3">
        <f>(AT158/(AT$5-AS$5))*AT$15</f>
        <v>0</v>
      </c>
      <c r="AU157" s="3">
        <f>(AU158/(AU$5-AT$5))*AU$15</f>
        <v>0</v>
      </c>
      <c r="AV157" s="3">
        <f>AU157</f>
        <v>0</v>
      </c>
      <c r="AW157" s="3">
        <f>(AW158/(AW$5-AV$5))*AW$15</f>
        <v>0</v>
      </c>
      <c r="AX157" s="3">
        <f>(AX158/(AX$5-AW$5))*AX$15</f>
        <v>0</v>
      </c>
      <c r="AY157" s="3">
        <f>(AY158/(AY$5-AX$5))*AY$15</f>
        <v>0</v>
      </c>
      <c r="AZ157" s="3">
        <f>(AZ158/(AZ$5-AY$5))*AZ$15</f>
        <v>0</v>
      </c>
      <c r="BA157" s="3">
        <f>AZ157</f>
        <v>0</v>
      </c>
      <c r="BB157" s="3">
        <f>(BB158/(BB$5-BA$5))*BB$15</f>
        <v>0</v>
      </c>
      <c r="BC157" s="3">
        <f>(BC158/(BC$5-BB$5))*BC$15</f>
        <v>0</v>
      </c>
      <c r="BD157" s="3">
        <f>(BD158/(BD$5-BC$5))*BD$15</f>
        <v>0</v>
      </c>
      <c r="BE157" s="3">
        <f>(BE158/(BE$5-BD$5))*BE$15</f>
        <v>0</v>
      </c>
      <c r="BF157" s="3">
        <f>BE157</f>
        <v>0</v>
      </c>
      <c r="BG157" s="3">
        <f>(BG158/(BG$5-BF$5))*BG$15</f>
        <v>0</v>
      </c>
      <c r="BH157" s="3">
        <f>(BH158/(BH$5-BG$5))*BH$15</f>
        <v>0</v>
      </c>
      <c r="BI157" s="3">
        <f>(BI158/(BI$5-BH$5))*BI$15</f>
        <v>0</v>
      </c>
      <c r="BJ157" s="3">
        <f>(BJ158/(BJ$5-BI$5))*BJ$15</f>
        <v>0</v>
      </c>
      <c r="BK157" s="3">
        <f>BJ157</f>
        <v>0</v>
      </c>
      <c r="BL157" s="3">
        <f>(BL158/(BL$5-BK$5))*BL$15</f>
        <v>0</v>
      </c>
      <c r="BM157" s="3">
        <f>(BM158/(BM$5-BL$5))*BM$15</f>
        <v>0</v>
      </c>
      <c r="BN157" s="3">
        <f>(BN158/(BN$5-BM$5))*BN$15</f>
        <v>0</v>
      </c>
      <c r="BO157" s="3">
        <f>(BO158/(BO$5-BN$5))*BO$15</f>
        <v>0</v>
      </c>
      <c r="BP157" s="3">
        <f>BO157</f>
        <v>0</v>
      </c>
      <c r="BQ157" s="3">
        <f>(BQ158/(BQ$5-BP$5))*BQ$15</f>
        <v>0</v>
      </c>
      <c r="BR157" s="3">
        <f>(BR158/(BR$5-BQ$5))*BR$15</f>
        <v>0</v>
      </c>
      <c r="BS157" s="3">
        <f>(BS158/(BS$5-BR$5))*BS$15</f>
        <v>0</v>
      </c>
      <c r="BT157" s="3">
        <f>(BT158/(BT$5-BS$5))*BT$15</f>
        <v>0</v>
      </c>
      <c r="BU157" s="3">
        <f>BT157</f>
        <v>0</v>
      </c>
      <c r="BV157" s="3">
        <f>(BV158/(BV$5-BU$5))*BV$15</f>
        <v>0</v>
      </c>
      <c r="BW157" s="3">
        <f>(BW158/(BW$5-BV$5))*BW$15</f>
        <v>0</v>
      </c>
      <c r="BX157" s="3">
        <f>(BX158/(BX$5-BW$5))*BX$15</f>
        <v>0</v>
      </c>
      <c r="BY157" s="3">
        <f>(BY158/(BY$5-BX$5))*BY$15</f>
        <v>0</v>
      </c>
      <c r="BZ157" s="3">
        <f>BY157</f>
        <v>0</v>
      </c>
      <c r="CA157" s="3">
        <f>(CA158/(CA$5-BZ$5))*CA$15</f>
        <v>0</v>
      </c>
      <c r="CB157" s="3">
        <f>(CB158/(CB$5-CA$5))*CB$15</f>
        <v>0</v>
      </c>
      <c r="CC157" s="3">
        <f>(CC158/(CC$5-CB$5))*CC$15</f>
        <v>0</v>
      </c>
      <c r="CD157" s="3">
        <f>(CD158/(CD$5-CC$5))*CD$15</f>
        <v>0</v>
      </c>
      <c r="CE157" s="3">
        <f>CD157</f>
        <v>0</v>
      </c>
      <c r="CF157" s="3">
        <f>(CF158/(CF$5-CE$5))*CF$15</f>
        <v>0</v>
      </c>
      <c r="CG157" s="3">
        <f>(CG158/(CG$5-CF$5))*CG$15</f>
        <v>0</v>
      </c>
      <c r="CH157" s="3">
        <f>(CH158/(CH$5-CG$5))*CH$15</f>
        <v>0</v>
      </c>
      <c r="CI157" s="3">
        <f>(CI158/(CI$5-CH$5))*CI$15</f>
        <v>0</v>
      </c>
      <c r="CJ157" s="3">
        <f>CI157</f>
        <v>0</v>
      </c>
      <c r="CK157" s="3">
        <f>(CK158/(CK$5-CJ$5))*CK$15</f>
        <v>0</v>
      </c>
      <c r="CL157" s="3">
        <f>(CL158/(CL$5-CK$5))*CL$15</f>
        <v>0</v>
      </c>
      <c r="CM157" s="3">
        <f>(CM158/(CM$5-CL$5))*CM$15</f>
        <v>0</v>
      </c>
      <c r="CN157" s="3">
        <f>(CN158/(CN$5-CM$5))*CN$15</f>
        <v>0</v>
      </c>
      <c r="CO157" s="3">
        <f>CN157</f>
        <v>0</v>
      </c>
      <c r="CP157" s="3">
        <f>(CP158/(CP$5-CO$5))*CP$15</f>
        <v>0</v>
      </c>
      <c r="CQ157" s="3">
        <f>(CQ158/(CQ$5-CP$5))*CQ$15</f>
        <v>0</v>
      </c>
      <c r="CR157" s="3">
        <f>(CR158/(CR$5-CQ$5))*CR$15</f>
        <v>0</v>
      </c>
      <c r="CS157" s="3">
        <f>(CS158/(CS$5-CR$5))*CS$15</f>
        <v>0</v>
      </c>
      <c r="CT157" s="3">
        <f>CS157</f>
        <v>0</v>
      </c>
      <c r="CU157" s="3">
        <f>(CU158/(CU$5-CT$5))*CU$15</f>
        <v>0</v>
      </c>
      <c r="CV157" s="3">
        <f>(CV158/(CV$5-CU$5))*CV$15</f>
        <v>0</v>
      </c>
      <c r="CW157" s="3">
        <f>(CW158/(CW$5-CV$5))*CW$15</f>
        <v>0</v>
      </c>
      <c r="CX157" s="3">
        <f>(CX158/(CX$5-CW$5))*CX$15</f>
        <v>0</v>
      </c>
      <c r="CY157" s="3">
        <f>CX157</f>
        <v>0</v>
      </c>
    </row>
    <row r="158" hidden="1" outlineLevel="1">
      <c r="C158" s="34" t="inlineStr">
        <is>
          <t>DSO</t>
        </is>
      </c>
      <c r="D158" s="3" t="n"/>
      <c r="E158" s="3">
        <f>(E157/E$15)*(E$5-D$5)</f>
        <v>33.8908386990647</v>
      </c>
      <c r="F158" s="3">
        <f>(F157/F$15)*(F$5-E$5)</f>
        <v>36.8494264157406</v>
      </c>
      <c r="G158" s="3">
        <f>(G157/G$15)*(G$5-F$5)</f>
        <v>44.0434399569108</v>
      </c>
      <c r="H158" s="3" t="n"/>
      <c r="I158" s="3">
        <f>(I157/I$15)*(I$5-H$5)</f>
        <v>53.5068219739371</v>
      </c>
      <c r="J158" s="3">
        <f>(J157/J$15)*(J$5-I$5)</f>
        <v>43.2371915612973</v>
      </c>
      <c r="K158" s="3">
        <f>(K157/K$15)*(K$5-J$5)</f>
        <v>38.368494407906</v>
      </c>
      <c r="L158" s="3">
        <f>(L157/L$15)*(L$5-K$5)</f>
        <v>48.3167693368817</v>
      </c>
      <c r="M158" s="3" t="n"/>
      <c r="N158" s="3">
        <f>(N157/N$15)*(N$5-M$5)</f>
        <v>50.9037827898725</v>
      </c>
      <c r="O158" s="3">
        <f>(O157/O$15)*(O$5-N$5)</f>
        <v>52.4508178424665</v>
      </c>
      <c r="P158" s="3">
        <f>(P157/P$15)*(P$5-O$5)</f>
        <v>37.9351892730552</v>
      </c>
      <c r="Q158" s="3">
        <f>(Q157/Q$15)*(Q$5-P$5)</f>
        <v>41.1810587927586</v>
      </c>
      <c r="R158" s="3" t="n"/>
      <c r="S158" s="3">
        <f>(S157/S$15)*(S$5-R$5)</f>
        <v>34.1930655673301</v>
      </c>
      <c r="T158" s="3">
        <f>(T157/T$15)*(T$5-S$5)</f>
        <v>40.4124080731091</v>
      </c>
      <c r="U158" s="3">
        <f>(U157/U$15)*(U$5-T$5)</f>
        <v>45.2820037356257</v>
      </c>
      <c r="V158" s="3">
        <f>(V157/V$15)*(V$5-U$5)</f>
        <v>49.6413779495349</v>
      </c>
      <c r="W158" s="3" t="n"/>
      <c r="X158" s="3">
        <f>(X157/X$15)*(X$5-W$5)</f>
        <v>46.4585030807712</v>
      </c>
      <c r="Y158" s="3">
        <f>(Y157/Y$15)*(Y$5-X$5)</f>
        <v>44.6054961514773</v>
      </c>
      <c r="Z158" s="3">
        <f>(Z157/Z$15)*(Z$5-Y$5)</f>
        <v>42.3221090590127</v>
      </c>
      <c r="AA158" s="3">
        <f>(AA157/AA$15)*(AA$5-Z$5)</f>
        <v>40.8342429260655</v>
      </c>
      <c r="AB158" s="3" t="n"/>
      <c r="AC158" s="3">
        <f>(AC157/AC$15)*(AC$5-AB$5)</f>
        <v>55.3210176134897</v>
      </c>
      <c r="AD158" s="3">
        <f>(AD157/AD$15)*(AD$5-AC$5)</f>
        <v>54.0752333646643</v>
      </c>
      <c r="AE158" s="3">
        <f>(AE157/AE$15)*(AE$5-AD$5)</f>
        <v>54.1505601800181</v>
      </c>
      <c r="AF158" s="6">
        <f>(AF157/AF$15)*(AF$5-AE$5)</f>
        <v>50.0278477574128</v>
      </c>
      <c r="AG158" s="3" t="n"/>
      <c r="AH158" s="6">
        <f>(AH157/AH$15)*(AH$5-AG$5)</f>
        <v>52.0050313695579</v>
      </c>
      <c r="AI158" s="6">
        <f>(AI157/AI$15)*(AI$5-AH$5)</f>
        <v>55.8173158157871</v>
      </c>
      <c r="AJ158" s="6" t="n"/>
      <c r="AK158" s="6" t="n"/>
      <c r="AL158" s="3" t="n"/>
      <c r="AM158" s="6" t="n"/>
      <c r="AN158" s="6" t="n"/>
      <c r="AO158" s="6" t="n"/>
      <c r="AP158" s="6" t="n"/>
      <c r="AQ158" s="3" t="n"/>
      <c r="AR158" s="6" t="n"/>
      <c r="AS158" s="6" t="n"/>
      <c r="AT158" s="6" t="n"/>
      <c r="AU158" s="6" t="n"/>
      <c r="AV158" s="3" t="n"/>
      <c r="AW158" s="6" t="n"/>
      <c r="AX158" s="6" t="n"/>
      <c r="AY158" s="6" t="n"/>
      <c r="AZ158" s="6" t="n"/>
      <c r="BA158" s="3" t="n"/>
      <c r="BB158" s="6" t="n"/>
      <c r="BC158" s="6" t="n"/>
      <c r="BD158" s="6" t="n"/>
      <c r="BE158" s="6" t="n"/>
      <c r="BF158" s="3" t="n"/>
      <c r="BG158" s="6" t="n"/>
      <c r="BH158" s="6" t="n"/>
      <c r="BI158" s="6" t="n"/>
      <c r="BJ158" s="6" t="n"/>
      <c r="BK158" s="3" t="n"/>
      <c r="BL158" s="6" t="n"/>
      <c r="BM158" s="6" t="n"/>
      <c r="BN158" s="6" t="n"/>
      <c r="BO158" s="6" t="n"/>
      <c r="BP158" s="3" t="n"/>
      <c r="BQ158" s="6" t="n"/>
      <c r="BR158" s="6" t="n"/>
      <c r="BS158" s="6" t="n"/>
      <c r="BT158" s="6" t="n"/>
      <c r="BU158" s="3" t="n"/>
      <c r="BV158" s="6" t="n"/>
      <c r="BW158" s="6" t="n"/>
      <c r="BX158" s="6" t="n"/>
      <c r="BY158" s="6" t="n"/>
      <c r="BZ158" s="3" t="n"/>
      <c r="CA158" s="6" t="n"/>
      <c r="CB158" s="6" t="n"/>
      <c r="CC158" s="6" t="n"/>
      <c r="CD158" s="6" t="n"/>
      <c r="CE158" s="3" t="n"/>
      <c r="CF158" s="6" t="n"/>
      <c r="CG158" s="6" t="n"/>
      <c r="CH158" s="6" t="n"/>
      <c r="CI158" s="6" t="n"/>
      <c r="CJ158" s="3" t="n"/>
      <c r="CK158" s="6" t="n"/>
      <c r="CL158" s="6" t="n"/>
      <c r="CM158" s="6" t="n"/>
      <c r="CN158" s="6" t="n"/>
      <c r="CO158" s="3" t="n"/>
      <c r="CP158" s="6" t="n"/>
      <c r="CQ158" s="6" t="n"/>
      <c r="CR158" s="6" t="n"/>
      <c r="CS158" s="6" t="n"/>
      <c r="CT158" s="3" t="n"/>
      <c r="CU158" s="6" t="n"/>
      <c r="CV158" s="6" t="n"/>
      <c r="CW158" s="6" t="n"/>
      <c r="CX158" s="6" t="n"/>
      <c r="CY158" s="3" t="n"/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Inventories</t>
        </is>
      </c>
      <c r="D161" s="25">
        <f>INDEX('Inputs (2)'!$D$17:$AL$17,MATCH(D$7,'Inputs (2)'!$D$2:$AL$2,0))</f>
        <v>0</v>
      </c>
      <c r="E161" s="25">
        <f>INDEX('Inputs (2)'!$D$17:$AL$17,MATCH(E$7,'Inputs (2)'!$D$2:$AL$2,0))</f>
        <v>0</v>
      </c>
      <c r="F161" s="25">
        <f>INDEX('Inputs (2)'!$D$17:$AL$17,MATCH(F$7,'Inputs (2)'!$D$2:$AL$2,0))</f>
        <v>0</v>
      </c>
      <c r="G161" s="25">
        <f>INDEX('Inputs (2)'!$D$17:$AL$17,MATCH(G$7,'Inputs (2)'!$D$2:$AL$2,0))</f>
        <v>0</v>
      </c>
      <c r="H161" s="3">
        <f>G161</f>
        <v>0</v>
      </c>
      <c r="I161" s="25">
        <f>INDEX('Inputs (2)'!$D$17:$AL$17,MATCH(I$7,'Inputs (2)'!$D$2:$AL$2,0))</f>
        <v>0</v>
      </c>
      <c r="J161" s="25">
        <f>INDEX('Inputs (2)'!$D$17:$AL$17,MATCH(J$7,'Inputs (2)'!$D$2:$AL$2,0))</f>
        <v>0</v>
      </c>
      <c r="K161" s="25">
        <f>INDEX('Inputs (2)'!$D$17:$AL$17,MATCH(K$7,'Inputs (2)'!$D$2:$AL$2,0))</f>
        <v>0</v>
      </c>
      <c r="L161" s="25">
        <f>INDEX('Inputs (2)'!$D$17:$AL$17,MATCH(L$7,'Inputs (2)'!$D$2:$AL$2,0))</f>
        <v>0</v>
      </c>
      <c r="M161" s="3">
        <f>L161</f>
        <v>0</v>
      </c>
      <c r="N161" s="25">
        <f>INDEX('Inputs (2)'!$D$17:$AL$17,MATCH(N$7,'Inputs (2)'!$D$2:$AL$2,0))</f>
        <v>0</v>
      </c>
      <c r="O161" s="25">
        <f>INDEX('Inputs (2)'!$D$17:$AL$17,MATCH(O$7,'Inputs (2)'!$D$2:$AL$2,0))</f>
        <v>0</v>
      </c>
      <c r="P161" s="25">
        <f>INDEX('Inputs (2)'!$D$17:$AL$17,MATCH(P$7,'Inputs (2)'!$D$2:$AL$2,0))</f>
        <v>0</v>
      </c>
      <c r="Q161" s="25">
        <f>INDEX('Inputs (2)'!$D$17:$AL$17,MATCH(Q$7,'Inputs (2)'!$D$2:$AL$2,0))</f>
        <v>0</v>
      </c>
      <c r="R161" s="3">
        <f>Q161</f>
        <v>0</v>
      </c>
      <c r="S161" s="25">
        <f>INDEX('Inputs (2)'!$D$17:$AL$17,MATCH(S$7,'Inputs (2)'!$D$2:$AL$2,0))</f>
        <v>0</v>
      </c>
      <c r="T161" s="25">
        <f>INDEX('Inputs (2)'!$D$17:$AL$17,MATCH(T$7,'Inputs (2)'!$D$2:$AL$2,0))</f>
        <v>0</v>
      </c>
      <c r="U161" s="25">
        <f>INDEX('Inputs (2)'!$D$17:$AL$17,MATCH(U$7,'Inputs (2)'!$D$2:$AL$2,0))</f>
        <v>0</v>
      </c>
      <c r="V161" s="25">
        <f>INDEX('Inputs (2)'!$D$17:$AL$17,MATCH(V$7,'Inputs (2)'!$D$2:$AL$2,0))</f>
        <v>0</v>
      </c>
      <c r="W161" s="3">
        <f>V161</f>
        <v>0</v>
      </c>
      <c r="X161" s="25">
        <f>INDEX('Inputs (2)'!$D$17:$AL$17,MATCH(X$7,'Inputs (2)'!$D$2:$AL$2,0))</f>
        <v>0</v>
      </c>
      <c r="Y161" s="25">
        <f>INDEX('Inputs (2)'!$D$17:$AL$17,MATCH(Y$7,'Inputs (2)'!$D$2:$AL$2,0))</f>
        <v>0</v>
      </c>
      <c r="Z161" s="25">
        <f>INDEX('Inputs (2)'!$D$17:$AL$17,MATCH(Z$7,'Inputs (2)'!$D$2:$AL$2,0))</f>
        <v>0</v>
      </c>
      <c r="AA161" s="25">
        <f>INDEX('Inputs (2)'!$D$17:$AL$17,MATCH(AA$7,'Inputs (2)'!$D$2:$AL$2,0))</f>
        <v>0</v>
      </c>
      <c r="AB161" s="3">
        <f>AA161</f>
        <v>0</v>
      </c>
      <c r="AC161" s="25">
        <f>INDEX('Inputs (2)'!$D$17:$AL$17,MATCH(AC$7,'Inputs (2)'!$D$2:$AL$2,0))</f>
        <v>0</v>
      </c>
      <c r="AD161" s="25">
        <f>INDEX('Inputs (2)'!$D$17:$AL$17,MATCH(AD$7,'Inputs (2)'!$D$2:$AL$2,0))</f>
        <v>0</v>
      </c>
      <c r="AE161" s="25">
        <f>INDEX('Inputs (2)'!$D$17:$AL$17,MATCH(AE$7,'Inputs (2)'!$D$2:$AL$2,0))</f>
        <v>0</v>
      </c>
      <c r="AF161" s="25">
        <f>INDEX('Inputs (2)'!$D$17:$AL$17,MATCH(AF$7,'Inputs (2)'!$D$2:$AL$2,0))</f>
        <v>0</v>
      </c>
      <c r="AG161" s="3">
        <f>AF161</f>
        <v>0</v>
      </c>
      <c r="AH161" s="3">
        <f>INDEX('Inputs (2)'!$D$17:$AL$17,MATCH(AH$7,'Inputs (2)'!$D$2:$AL$2,0))</f>
        <v>0</v>
      </c>
      <c r="AI161" s="3">
        <f>INDEX('Inputs (2)'!$D$17:$AL$17,MATCH(AI$7,'Inputs (2)'!$D$2:$AL$2,0))</f>
        <v>0</v>
      </c>
      <c r="AJ161" s="3">
        <f>(AJ162/(AJ$5-AI$5))*-AJ$66</f>
        <v>0</v>
      </c>
      <c r="AK161" s="3">
        <f>(AK162/(AK$5-AJ$5))*-AK$66</f>
        <v>0</v>
      </c>
      <c r="AL161" s="3">
        <f>AK161</f>
        <v>0</v>
      </c>
      <c r="AM161" s="3">
        <f>(AM162/(AM$5-AL$5))*-AM$66</f>
        <v>0</v>
      </c>
      <c r="AN161" s="3">
        <f>(AN162/(AN$5-AM$5))*-AN$66</f>
        <v>0</v>
      </c>
      <c r="AO161" s="3">
        <f>(AO162/(AO$5-AN$5))*-AO$66</f>
        <v>0</v>
      </c>
      <c r="AP161" s="3">
        <f>(AP162/(AP$5-AO$5))*-AP$66</f>
        <v>0</v>
      </c>
      <c r="AQ161" s="3">
        <f>AP161</f>
        <v>0</v>
      </c>
      <c r="AR161" s="3">
        <f>(AR162/(AR$5-AQ$5))*-AR$66</f>
        <v>0</v>
      </c>
      <c r="AS161" s="3">
        <f>(AS162/(AS$5-AR$5))*-AS$66</f>
        <v>0</v>
      </c>
      <c r="AT161" s="3">
        <f>(AT162/(AT$5-AS$5))*-AT$66</f>
        <v>0</v>
      </c>
      <c r="AU161" s="3">
        <f>(AU162/(AU$5-AT$5))*-AU$66</f>
        <v>0</v>
      </c>
      <c r="AV161" s="3">
        <f>AU161</f>
        <v>0</v>
      </c>
      <c r="AW161" s="3">
        <f>(AW162/(AW$5-AV$5))*-AW$66</f>
        <v>0</v>
      </c>
      <c r="AX161" s="3">
        <f>(AX162/(AX$5-AW$5))*-AX$66</f>
        <v>0</v>
      </c>
      <c r="AY161" s="3">
        <f>(AY162/(AY$5-AX$5))*-AY$66</f>
        <v>0</v>
      </c>
      <c r="AZ161" s="3">
        <f>(AZ162/(AZ$5-AY$5))*-AZ$66</f>
        <v>0</v>
      </c>
      <c r="BA161" s="3">
        <f>AZ161</f>
        <v>0</v>
      </c>
      <c r="BB161" s="3">
        <f>(BB162/(BB$5-BA$5))*-BB$66</f>
        <v>0</v>
      </c>
      <c r="BC161" s="3">
        <f>(BC162/(BC$5-BB$5))*-BC$66</f>
        <v>0</v>
      </c>
      <c r="BD161" s="3">
        <f>(BD162/(BD$5-BC$5))*-BD$66</f>
        <v>0</v>
      </c>
      <c r="BE161" s="3">
        <f>(BE162/(BE$5-BD$5))*-BE$66</f>
        <v>0</v>
      </c>
      <c r="BF161" s="3">
        <f>BE161</f>
        <v>0</v>
      </c>
      <c r="BG161" s="3">
        <f>(BG162/(BG$5-BF$5))*-BG$66</f>
        <v>0</v>
      </c>
      <c r="BH161" s="3">
        <f>(BH162/(BH$5-BG$5))*-BH$66</f>
        <v>0</v>
      </c>
      <c r="BI161" s="3">
        <f>(BI162/(BI$5-BH$5))*-BI$66</f>
        <v>0</v>
      </c>
      <c r="BJ161" s="3">
        <f>(BJ162/(BJ$5-BI$5))*-BJ$66</f>
        <v>0</v>
      </c>
      <c r="BK161" s="3">
        <f>BJ161</f>
        <v>0</v>
      </c>
      <c r="BL161" s="3">
        <f>(BL162/(BL$5-BK$5))*-BL$66</f>
        <v>0</v>
      </c>
      <c r="BM161" s="3">
        <f>(BM162/(BM$5-BL$5))*-BM$66</f>
        <v>0</v>
      </c>
      <c r="BN161" s="3">
        <f>(BN162/(BN$5-BM$5))*-BN$66</f>
        <v>0</v>
      </c>
      <c r="BO161" s="3">
        <f>(BO162/(BO$5-BN$5))*-BO$66</f>
        <v>0</v>
      </c>
      <c r="BP161" s="3">
        <f>BO161</f>
        <v>0</v>
      </c>
      <c r="BQ161" s="3">
        <f>(BQ162/(BQ$5-BP$5))*-BQ$66</f>
        <v>0</v>
      </c>
      <c r="BR161" s="3">
        <f>(BR162/(BR$5-BQ$5))*-BR$66</f>
        <v>0</v>
      </c>
      <c r="BS161" s="3">
        <f>(BS162/(BS$5-BR$5))*-BS$66</f>
        <v>0</v>
      </c>
      <c r="BT161" s="3">
        <f>(BT162/(BT$5-BS$5))*-BT$66</f>
        <v>0</v>
      </c>
      <c r="BU161" s="3">
        <f>BT161</f>
        <v>0</v>
      </c>
      <c r="BV161" s="3">
        <f>(BV162/(BV$5-BU$5))*-BV$66</f>
        <v>0</v>
      </c>
      <c r="BW161" s="3">
        <f>(BW162/(BW$5-BV$5))*-BW$66</f>
        <v>0</v>
      </c>
      <c r="BX161" s="3">
        <f>(BX162/(BX$5-BW$5))*-BX$66</f>
        <v>0</v>
      </c>
      <c r="BY161" s="3">
        <f>(BY162/(BY$5-BX$5))*-BY$66</f>
        <v>0</v>
      </c>
      <c r="BZ161" s="3">
        <f>BY161</f>
        <v>0</v>
      </c>
      <c r="CA161" s="3">
        <f>(CA162/(CA$5-BZ$5))*-CA$66</f>
        <v>0</v>
      </c>
      <c r="CB161" s="3">
        <f>(CB162/(CB$5-CA$5))*-CB$66</f>
        <v>0</v>
      </c>
      <c r="CC161" s="3">
        <f>(CC162/(CC$5-CB$5))*-CC$66</f>
        <v>0</v>
      </c>
      <c r="CD161" s="3">
        <f>(CD162/(CD$5-CC$5))*-CD$66</f>
        <v>0</v>
      </c>
      <c r="CE161" s="3">
        <f>CD161</f>
        <v>0</v>
      </c>
      <c r="CF161" s="3">
        <f>(CF162/(CF$5-CE$5))*-CF$66</f>
        <v>0</v>
      </c>
      <c r="CG161" s="3">
        <f>(CG162/(CG$5-CF$5))*-CG$66</f>
        <v>0</v>
      </c>
      <c r="CH161" s="3">
        <f>(CH162/(CH$5-CG$5))*-CH$66</f>
        <v>0</v>
      </c>
      <c r="CI161" s="3">
        <f>(CI162/(CI$5-CH$5))*-CI$66</f>
        <v>0</v>
      </c>
      <c r="CJ161" s="3">
        <f>CI161</f>
        <v>0</v>
      </c>
      <c r="CK161" s="3">
        <f>(CK162/(CK$5-CJ$5))*-CK$66</f>
        <v>0</v>
      </c>
      <c r="CL161" s="3">
        <f>(CL162/(CL$5-CK$5))*-CL$66</f>
        <v>0</v>
      </c>
      <c r="CM161" s="3">
        <f>(CM162/(CM$5-CL$5))*-CM$66</f>
        <v>0</v>
      </c>
      <c r="CN161" s="3">
        <f>(CN162/(CN$5-CM$5))*-CN$66</f>
        <v>0</v>
      </c>
      <c r="CO161" s="3">
        <f>CN161</f>
        <v>0</v>
      </c>
      <c r="CP161" s="3">
        <f>(CP162/(CP$5-CO$5))*-CP$66</f>
        <v>0</v>
      </c>
      <c r="CQ161" s="3">
        <f>(CQ162/(CQ$5-CP$5))*-CQ$66</f>
        <v>0</v>
      </c>
      <c r="CR161" s="3">
        <f>(CR162/(CR$5-CQ$5))*-CR$66</f>
        <v>0</v>
      </c>
      <c r="CS161" s="3">
        <f>(CS162/(CS$5-CR$5))*-CS$66</f>
        <v>0</v>
      </c>
      <c r="CT161" s="3">
        <f>CS161</f>
        <v>0</v>
      </c>
      <c r="CU161" s="3">
        <f>(CU162/(CU$5-CT$5))*-CU$66</f>
        <v>0</v>
      </c>
      <c r="CV161" s="3">
        <f>(CV162/(CV$5-CU$5))*-CV$66</f>
        <v>0</v>
      </c>
      <c r="CW161" s="3">
        <f>(CW162/(CW$5-CV$5))*-CW$66</f>
        <v>0</v>
      </c>
      <c r="CX161" s="3">
        <f>(CX162/(CX$5-CW$5))*-CX$66</f>
        <v>0</v>
      </c>
      <c r="CY161" s="3">
        <f>CX161</f>
        <v>0</v>
      </c>
    </row>
    <row r="162" hidden="1" outlineLevel="1">
      <c r="C162" s="34" t="inlineStr">
        <is>
          <t>DIO</t>
        </is>
      </c>
      <c r="D162" s="3" t="n"/>
      <c r="E162" s="3">
        <f>((E161/E$66)*(E$5-D$5))*-1</f>
        <v>0</v>
      </c>
      <c r="F162" s="3">
        <f>((F161/F$66)*(F$5-E$5))*-1</f>
        <v>0</v>
      </c>
      <c r="G162" s="3">
        <f>((G161/G$66)*(G$5-F$5))*-1</f>
        <v>0</v>
      </c>
      <c r="H162" s="3" t="n"/>
      <c r="I162" s="3">
        <f>((I161/I$66)*(I$5-H$5))*-1</f>
        <v>0</v>
      </c>
      <c r="J162" s="3">
        <f>((J161/J$66)*(J$5-I$5))*-1</f>
        <v>0</v>
      </c>
      <c r="K162" s="3">
        <f>((K161/K$66)*(K$5-J$5))*-1</f>
        <v>0</v>
      </c>
      <c r="L162" s="3">
        <f>((L161/L$66)*(L$5-K$5))*-1</f>
        <v>0</v>
      </c>
      <c r="M162" s="3" t="n"/>
      <c r="N162" s="3">
        <f>((N161/N$66)*(N$5-M$5))*-1</f>
        <v>0</v>
      </c>
      <c r="O162" s="3">
        <f>((O161/O$66)*(O$5-N$5))*-1</f>
        <v>0</v>
      </c>
      <c r="P162" s="3">
        <f>((P161/P$66)*(P$5-O$5))*-1</f>
        <v>0</v>
      </c>
      <c r="Q162" s="3">
        <f>((Q161/Q$66)*(Q$5-P$5))*-1</f>
        <v>0</v>
      </c>
      <c r="R162" s="3" t="n"/>
      <c r="S162" s="3">
        <f>((S161/S$66)*(S$5-R$5))*-1</f>
        <v>0</v>
      </c>
      <c r="T162" s="3">
        <f>((T161/T$66)*(T$5-S$5))*-1</f>
        <v>0</v>
      </c>
      <c r="U162" s="3">
        <f>((U161/U$66)*(U$5-T$5))*-1</f>
        <v>0</v>
      </c>
      <c r="V162" s="3">
        <f>((V161/V$66)*(V$5-U$5))*-1</f>
        <v>0</v>
      </c>
      <c r="W162" s="3" t="n"/>
      <c r="X162" s="3">
        <f>((X161/X$66)*(X$5-W$5))*-1</f>
        <v>0</v>
      </c>
      <c r="Y162" s="3">
        <f>((Y161/Y$66)*(Y$5-X$5))*-1</f>
        <v>0</v>
      </c>
      <c r="Z162" s="3">
        <f>((Z161/Z$66)*(Z$5-Y$5))*-1</f>
        <v>0</v>
      </c>
      <c r="AA162" s="3">
        <f>((AA161/AA$66)*(AA$5-Z$5))*-1</f>
        <v>0</v>
      </c>
      <c r="AB162" s="3" t="n"/>
      <c r="AC162" s="3">
        <f>((AC161/AC$66)*(AC$5-AB$5))*-1</f>
        <v>0</v>
      </c>
      <c r="AD162" s="3">
        <f>((AD161/AD$66)*(AD$5-AC$5))*-1</f>
        <v>0</v>
      </c>
      <c r="AE162" s="3">
        <f>((AE161/AE$66)*(AE$5-AD$5))*-1</f>
        <v>0</v>
      </c>
      <c r="AF162" s="6">
        <f>((AF161/AF$66)*(AF$5-AE$5))*-1</f>
        <v>0</v>
      </c>
      <c r="AG162" s="3" t="n"/>
      <c r="AH162" s="6">
        <f>((AH161/AH$66)*(AH$5-AG$5))*-1</f>
        <v>0</v>
      </c>
      <c r="AI162" s="6">
        <f>((AI161/AI$66)*(AI$5-AH$5))*-1</f>
        <v>0</v>
      </c>
      <c r="AJ162" s="6" t="n"/>
      <c r="AK162" s="6" t="n"/>
      <c r="AL162" s="3" t="n"/>
      <c r="AM162" s="6" t="n"/>
      <c r="AN162" s="6" t="n"/>
      <c r="AO162" s="6" t="n"/>
      <c r="AP162" s="6" t="n"/>
      <c r="AQ162" s="3" t="n"/>
      <c r="AR162" s="6" t="n"/>
      <c r="AS162" s="6" t="n"/>
      <c r="AT162" s="6" t="n"/>
      <c r="AU162" s="6" t="n"/>
      <c r="AV162" s="3" t="n"/>
      <c r="AW162" s="6" t="n"/>
      <c r="AX162" s="6" t="n"/>
      <c r="AY162" s="6" t="n"/>
      <c r="AZ162" s="6" t="n"/>
      <c r="BA162" s="3" t="n"/>
      <c r="BB162" s="6" t="n"/>
      <c r="BC162" s="6" t="n"/>
      <c r="BD162" s="6" t="n"/>
      <c r="BE162" s="6" t="n"/>
      <c r="BF162" s="3" t="n"/>
      <c r="BG162" s="6" t="n"/>
      <c r="BH162" s="6" t="n"/>
      <c r="BI162" s="6" t="n"/>
      <c r="BJ162" s="6" t="n"/>
      <c r="BK162" s="3" t="n"/>
      <c r="BL162" s="6" t="n"/>
      <c r="BM162" s="6" t="n"/>
      <c r="BN162" s="6" t="n"/>
      <c r="BO162" s="6" t="n"/>
      <c r="BP162" s="3" t="n"/>
      <c r="BQ162" s="6" t="n"/>
      <c r="BR162" s="6" t="n"/>
      <c r="BS162" s="6" t="n"/>
      <c r="BT162" s="6" t="n"/>
      <c r="BU162" s="3" t="n"/>
      <c r="BV162" s="6" t="n"/>
      <c r="BW162" s="6" t="n"/>
      <c r="BX162" s="6" t="n"/>
      <c r="BY162" s="6" t="n"/>
      <c r="BZ162" s="3" t="n"/>
      <c r="CA162" s="6" t="n"/>
      <c r="CB162" s="6" t="n"/>
      <c r="CC162" s="6" t="n"/>
      <c r="CD162" s="6" t="n"/>
      <c r="CE162" s="3" t="n"/>
      <c r="CF162" s="6" t="n"/>
      <c r="CG162" s="6" t="n"/>
      <c r="CH162" s="6" t="n"/>
      <c r="CI162" s="6" t="n"/>
      <c r="CJ162" s="3" t="n"/>
      <c r="CK162" s="6" t="n"/>
      <c r="CL162" s="6" t="n"/>
      <c r="CM162" s="6" t="n"/>
      <c r="CN162" s="6" t="n"/>
      <c r="CO162" s="3" t="n"/>
      <c r="CP162" s="6" t="n"/>
      <c r="CQ162" s="6" t="n"/>
      <c r="CR162" s="6" t="n"/>
      <c r="CS162" s="6" t="n"/>
      <c r="CT162" s="3" t="n"/>
      <c r="CU162" s="6" t="n"/>
      <c r="CV162" s="6" t="n"/>
      <c r="CW162" s="6" t="n"/>
      <c r="CX162" s="6" t="n"/>
      <c r="CY162" s="3" t="n"/>
    </row>
    <row r="163" hidden="1" outlineLevel="1">
      <c r="C163" s="34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collapsed="1">
      <c r="C165" s="26" t="inlineStr">
        <is>
          <t>Deferred income taxes</t>
        </is>
      </c>
      <c r="D165" s="25" t="n"/>
      <c r="E165" s="25" t="n"/>
      <c r="F165" s="25" t="n"/>
      <c r="G165" s="25" t="n"/>
      <c r="H165" s="3">
        <f>G165</f>
        <v>0</v>
      </c>
      <c r="I165" s="25" t="n"/>
      <c r="J165" s="25" t="n"/>
      <c r="K165" s="25" t="n"/>
      <c r="L165" s="25" t="n"/>
      <c r="M165" s="3">
        <f>L165</f>
        <v>0</v>
      </c>
      <c r="N165" s="25" t="n"/>
      <c r="O165" s="25" t="n"/>
      <c r="P165" s="25" t="n"/>
      <c r="Q165" s="25" t="n"/>
      <c r="R165" s="3">
        <f>Q165</f>
        <v>0</v>
      </c>
      <c r="S165" s="25" t="n"/>
      <c r="T165" s="25" t="n"/>
      <c r="U165" s="25" t="n"/>
      <c r="V165" s="25" t="n"/>
      <c r="W165" s="3">
        <f>V165</f>
        <v>0</v>
      </c>
      <c r="X165" s="25" t="n"/>
      <c r="Y165" s="25" t="n"/>
      <c r="Z165" s="25" t="n"/>
      <c r="AA165" s="25" t="n"/>
      <c r="AB165" s="3">
        <f>AA165</f>
        <v>0</v>
      </c>
      <c r="AC165" s="25" t="n"/>
      <c r="AD165" s="25" t="n"/>
      <c r="AE165" s="25" t="n"/>
      <c r="AF165" s="25" t="n"/>
      <c r="AG165" s="3">
        <f>AF165</f>
        <v>0</v>
      </c>
      <c r="AH165" s="3">
        <f>AG165</f>
        <v>0</v>
      </c>
      <c r="AI165" s="3">
        <f>AH165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>
        <f>AL165</f>
        <v>0</v>
      </c>
      <c r="AN165" s="3">
        <f>AM165</f>
        <v>0</v>
      </c>
      <c r="AO165" s="3">
        <f>AN165</f>
        <v>0</v>
      </c>
      <c r="AP165" s="3">
        <f>AO165</f>
        <v>0</v>
      </c>
      <c r="AQ165" s="3">
        <f>AP165</f>
        <v>0</v>
      </c>
      <c r="AR165" s="3">
        <f>AQ165</f>
        <v>0</v>
      </c>
      <c r="AS165" s="3">
        <f>AR165</f>
        <v>0</v>
      </c>
      <c r="AT165" s="3">
        <f>AS165</f>
        <v>0</v>
      </c>
      <c r="AU165" s="3">
        <f>AT165</f>
        <v>0</v>
      </c>
      <c r="AV165" s="3">
        <f>AU165</f>
        <v>0</v>
      </c>
      <c r="AW165" s="3">
        <f>AV165</f>
        <v>0</v>
      </c>
      <c r="AX165" s="3">
        <f>AW165</f>
        <v>0</v>
      </c>
      <c r="AY165" s="3">
        <f>AX165</f>
        <v>0</v>
      </c>
      <c r="AZ165" s="3">
        <f>AY165</f>
        <v>0</v>
      </c>
      <c r="BA165" s="3">
        <f>AZ165</f>
        <v>0</v>
      </c>
      <c r="BB165" s="3">
        <f>BA165</f>
        <v>0</v>
      </c>
      <c r="BC165" s="3">
        <f>BB165</f>
        <v>0</v>
      </c>
      <c r="BD165" s="3">
        <f>BC165</f>
        <v>0</v>
      </c>
      <c r="BE165" s="3">
        <f>BD165</f>
        <v>0</v>
      </c>
      <c r="BF165" s="3">
        <f>BE165</f>
        <v>0</v>
      </c>
      <c r="BG165" s="3">
        <f>BF165</f>
        <v>0</v>
      </c>
      <c r="BH165" s="3">
        <f>BG165</f>
        <v>0</v>
      </c>
      <c r="BI165" s="3">
        <f>BH165</f>
        <v>0</v>
      </c>
      <c r="BJ165" s="3">
        <f>BI165</f>
        <v>0</v>
      </c>
      <c r="BK165" s="3">
        <f>BJ165</f>
        <v>0</v>
      </c>
      <c r="BL165" s="3">
        <f>BK165</f>
        <v>0</v>
      </c>
      <c r="BM165" s="3">
        <f>BL165</f>
        <v>0</v>
      </c>
      <c r="BN165" s="3">
        <f>BM165</f>
        <v>0</v>
      </c>
      <c r="BO165" s="3">
        <f>BN165</f>
        <v>0</v>
      </c>
      <c r="BP165" s="3">
        <f>BO165</f>
        <v>0</v>
      </c>
      <c r="BQ165" s="3">
        <f>BP165</f>
        <v>0</v>
      </c>
      <c r="BR165" s="3">
        <f>BQ165</f>
        <v>0</v>
      </c>
      <c r="BS165" s="3">
        <f>BR165</f>
        <v>0</v>
      </c>
      <c r="BT165" s="3">
        <f>BS165</f>
        <v>0</v>
      </c>
      <c r="BU165" s="3">
        <f>BT165</f>
        <v>0</v>
      </c>
      <c r="BV165" s="3">
        <f>BU165</f>
        <v>0</v>
      </c>
      <c r="BW165" s="3">
        <f>BV165</f>
        <v>0</v>
      </c>
      <c r="BX165" s="3">
        <f>BW165</f>
        <v>0</v>
      </c>
      <c r="BY165" s="3">
        <f>BX165</f>
        <v>0</v>
      </c>
      <c r="BZ165" s="3">
        <f>BY165</f>
        <v>0</v>
      </c>
      <c r="CA165" s="3">
        <f>BZ165</f>
        <v>0</v>
      </c>
      <c r="CB165" s="3">
        <f>CA165</f>
        <v>0</v>
      </c>
      <c r="CC165" s="3">
        <f>CB165</f>
        <v>0</v>
      </c>
      <c r="CD165" s="3">
        <f>CC165</f>
        <v>0</v>
      </c>
      <c r="CE165" s="3">
        <f>CD165</f>
        <v>0</v>
      </c>
      <c r="CF165" s="3">
        <f>CE165</f>
        <v>0</v>
      </c>
      <c r="CG165" s="3">
        <f>CF165</f>
        <v>0</v>
      </c>
      <c r="CH165" s="3">
        <f>CG165</f>
        <v>0</v>
      </c>
      <c r="CI165" s="3">
        <f>CH165</f>
        <v>0</v>
      </c>
      <c r="CJ165" s="3">
        <f>CI165</f>
        <v>0</v>
      </c>
      <c r="CK165" s="3">
        <f>CJ165</f>
        <v>0</v>
      </c>
      <c r="CL165" s="3">
        <f>CK165</f>
        <v>0</v>
      </c>
      <c r="CM165" s="3">
        <f>CL165</f>
        <v>0</v>
      </c>
      <c r="CN165" s="3">
        <f>CM165</f>
        <v>0</v>
      </c>
      <c r="CO165" s="3">
        <f>CN165</f>
        <v>0</v>
      </c>
      <c r="CP165" s="3">
        <f>CO165</f>
        <v>0</v>
      </c>
      <c r="CQ165" s="3">
        <f>CP165</f>
        <v>0</v>
      </c>
      <c r="CR165" s="3">
        <f>CQ165</f>
        <v>0</v>
      </c>
      <c r="CS165" s="3">
        <f>CR165</f>
        <v>0</v>
      </c>
      <c r="CT165" s="3">
        <f>CS165</f>
        <v>0</v>
      </c>
      <c r="CU165" s="3">
        <f>CT165</f>
        <v>0</v>
      </c>
      <c r="CV165" s="3">
        <f>CU165</f>
        <v>0</v>
      </c>
      <c r="CW165" s="3">
        <f>CV165</f>
        <v>0</v>
      </c>
      <c r="CX165" s="3">
        <f>CW165</f>
        <v>0</v>
      </c>
      <c r="CY165" s="3">
        <f>CX165</f>
        <v>0</v>
      </c>
    </row>
    <row r="166">
      <c r="C166" s="26" t="inlineStr">
        <is>
          <t>Prepaid expenses</t>
        </is>
      </c>
      <c r="D166" s="25" t="n"/>
      <c r="E166" s="25" t="n"/>
      <c r="F166" s="25" t="n"/>
      <c r="G166" s="25" t="n"/>
      <c r="H166" s="3">
        <f>G166</f>
        <v>0</v>
      </c>
      <c r="I166" s="25" t="n"/>
      <c r="J166" s="25" t="n"/>
      <c r="K166" s="25" t="n"/>
      <c r="L166" s="25" t="n"/>
      <c r="M166" s="3">
        <f>L166</f>
        <v>0</v>
      </c>
      <c r="N166" s="25" t="n"/>
      <c r="O166" s="25" t="n"/>
      <c r="P166" s="25" t="n"/>
      <c r="Q166" s="25" t="n"/>
      <c r="R166" s="3">
        <f>Q166</f>
        <v>0</v>
      </c>
      <c r="S166" s="25" t="n"/>
      <c r="T166" s="25" t="n"/>
      <c r="U166" s="25" t="n"/>
      <c r="V166" s="25" t="n"/>
      <c r="W166" s="3">
        <f>V166</f>
        <v>0</v>
      </c>
      <c r="X166" s="25" t="n"/>
      <c r="Y166" s="25" t="n"/>
      <c r="Z166" s="25" t="n"/>
      <c r="AA166" s="25" t="n"/>
      <c r="AB166" s="3">
        <f>AA166</f>
        <v>0</v>
      </c>
      <c r="AC166" s="25" t="n"/>
      <c r="AD166" s="25" t="n"/>
      <c r="AE166" s="25" t="n"/>
      <c r="AF166" s="25" t="n"/>
      <c r="AG166" s="3">
        <f>AF166</f>
        <v>0</v>
      </c>
      <c r="AH166" s="3">
        <f>AG166</f>
        <v>0</v>
      </c>
      <c r="AI166" s="3">
        <f>AH166</f>
        <v>0</v>
      </c>
      <c r="AJ166" s="3">
        <f>AI166</f>
        <v>0</v>
      </c>
      <c r="AK166" s="3">
        <f>AJ166</f>
        <v>0</v>
      </c>
      <c r="AL166" s="3">
        <f>AK166</f>
        <v>0</v>
      </c>
      <c r="AM166" s="3">
        <f>AL166</f>
        <v>0</v>
      </c>
      <c r="AN166" s="3">
        <f>AM166</f>
        <v>0</v>
      </c>
      <c r="AO166" s="3">
        <f>AN166</f>
        <v>0</v>
      </c>
      <c r="AP166" s="3">
        <f>AO166</f>
        <v>0</v>
      </c>
      <c r="AQ166" s="3">
        <f>AP166</f>
        <v>0</v>
      </c>
      <c r="AR166" s="3">
        <f>AQ166</f>
        <v>0</v>
      </c>
      <c r="AS166" s="3">
        <f>AR166</f>
        <v>0</v>
      </c>
      <c r="AT166" s="3">
        <f>AS166</f>
        <v>0</v>
      </c>
      <c r="AU166" s="3">
        <f>AT166</f>
        <v>0</v>
      </c>
      <c r="AV166" s="3">
        <f>AU166</f>
        <v>0</v>
      </c>
      <c r="AW166" s="3">
        <f>AV166</f>
        <v>0</v>
      </c>
      <c r="AX166" s="3">
        <f>AW166</f>
        <v>0</v>
      </c>
      <c r="AY166" s="3">
        <f>AX166</f>
        <v>0</v>
      </c>
      <c r="AZ166" s="3">
        <f>AY166</f>
        <v>0</v>
      </c>
      <c r="BA166" s="3">
        <f>AZ166</f>
        <v>0</v>
      </c>
      <c r="BB166" s="3">
        <f>BA166</f>
        <v>0</v>
      </c>
      <c r="BC166" s="3">
        <f>BB166</f>
        <v>0</v>
      </c>
      <c r="BD166" s="3">
        <f>BC166</f>
        <v>0</v>
      </c>
      <c r="BE166" s="3">
        <f>BD166</f>
        <v>0</v>
      </c>
      <c r="BF166" s="3">
        <f>BE166</f>
        <v>0</v>
      </c>
      <c r="BG166" s="3">
        <f>BF166</f>
        <v>0</v>
      </c>
      <c r="BH166" s="3">
        <f>BG166</f>
        <v>0</v>
      </c>
      <c r="BI166" s="3">
        <f>BH166</f>
        <v>0</v>
      </c>
      <c r="BJ166" s="3">
        <f>BI166</f>
        <v>0</v>
      </c>
      <c r="BK166" s="3">
        <f>BJ166</f>
        <v>0</v>
      </c>
      <c r="BL166" s="3">
        <f>BK166</f>
        <v>0</v>
      </c>
      <c r="BM166" s="3">
        <f>BL166</f>
        <v>0</v>
      </c>
      <c r="BN166" s="3">
        <f>BM166</f>
        <v>0</v>
      </c>
      <c r="BO166" s="3">
        <f>BN166</f>
        <v>0</v>
      </c>
      <c r="BP166" s="3">
        <f>BO166</f>
        <v>0</v>
      </c>
      <c r="BQ166" s="3">
        <f>BP166</f>
        <v>0</v>
      </c>
      <c r="BR166" s="3">
        <f>BQ166</f>
        <v>0</v>
      </c>
      <c r="BS166" s="3">
        <f>BR166</f>
        <v>0</v>
      </c>
      <c r="BT166" s="3">
        <f>BS166</f>
        <v>0</v>
      </c>
      <c r="BU166" s="3">
        <f>BT166</f>
        <v>0</v>
      </c>
      <c r="BV166" s="3">
        <f>BU166</f>
        <v>0</v>
      </c>
      <c r="BW166" s="3">
        <f>BV166</f>
        <v>0</v>
      </c>
      <c r="BX166" s="3">
        <f>BW166</f>
        <v>0</v>
      </c>
      <c r="BY166" s="3">
        <f>BX166</f>
        <v>0</v>
      </c>
      <c r="BZ166" s="3">
        <f>BY166</f>
        <v>0</v>
      </c>
      <c r="CA166" s="3">
        <f>BZ166</f>
        <v>0</v>
      </c>
      <c r="CB166" s="3">
        <f>CA166</f>
        <v>0</v>
      </c>
      <c r="CC166" s="3">
        <f>CB166</f>
        <v>0</v>
      </c>
      <c r="CD166" s="3">
        <f>CC166</f>
        <v>0</v>
      </c>
      <c r="CE166" s="3">
        <f>CD166</f>
        <v>0</v>
      </c>
      <c r="CF166" s="3">
        <f>CE166</f>
        <v>0</v>
      </c>
      <c r="CG166" s="3">
        <f>CF166</f>
        <v>0</v>
      </c>
      <c r="CH166" s="3">
        <f>CG166</f>
        <v>0</v>
      </c>
      <c r="CI166" s="3">
        <f>CH166</f>
        <v>0</v>
      </c>
      <c r="CJ166" s="3">
        <f>CI166</f>
        <v>0</v>
      </c>
      <c r="CK166" s="3">
        <f>CJ166</f>
        <v>0</v>
      </c>
      <c r="CL166" s="3">
        <f>CK166</f>
        <v>0</v>
      </c>
      <c r="CM166" s="3">
        <f>CL166</f>
        <v>0</v>
      </c>
      <c r="CN166" s="3">
        <f>CM166</f>
        <v>0</v>
      </c>
      <c r="CO166" s="3">
        <f>CN166</f>
        <v>0</v>
      </c>
      <c r="CP166" s="3">
        <f>CO166</f>
        <v>0</v>
      </c>
      <c r="CQ166" s="3">
        <f>CP166</f>
        <v>0</v>
      </c>
      <c r="CR166" s="3">
        <f>CQ166</f>
        <v>0</v>
      </c>
      <c r="CS166" s="3">
        <f>CR166</f>
        <v>0</v>
      </c>
      <c r="CT166" s="3">
        <f>CS166</f>
        <v>0</v>
      </c>
      <c r="CU166" s="3">
        <f>CT166</f>
        <v>0</v>
      </c>
      <c r="CV166" s="3">
        <f>CU166</f>
        <v>0</v>
      </c>
      <c r="CW166" s="3">
        <f>CV166</f>
        <v>0</v>
      </c>
      <c r="CX166" s="3">
        <f>CW166</f>
        <v>0</v>
      </c>
      <c r="CY166" s="3">
        <f>CX166</f>
        <v>0</v>
      </c>
    </row>
    <row r="167">
      <c r="C167" s="26" t="inlineStr">
        <is>
          <t>Other current assets</t>
        </is>
      </c>
      <c r="D167" s="25">
        <f>INDEX('Inputs (2)'!$D$20:$AL$20,MATCH(D$7,'Inputs (2)'!$D$2:$AL$2,0))</f>
        <v>574.108</v>
      </c>
      <c r="E167" s="25">
        <f>INDEX('Inputs (2)'!$D$20:$AL$20,MATCH(E$7,'Inputs (2)'!$D$2:$AL$2,0))</f>
        <v>552.282</v>
      </c>
      <c r="F167" s="25">
        <f>INDEX('Inputs (2)'!$D$20:$AL$20,MATCH(F$7,'Inputs (2)'!$D$2:$AL$2,0))</f>
        <v>286.428</v>
      </c>
      <c r="G167" s="25">
        <f>INDEX('Inputs (2)'!$D$20:$AL$20,MATCH(G$7,'Inputs (2)'!$D$2:$AL$2,0))</f>
        <v>232.274</v>
      </c>
      <c r="H167" s="3">
        <f>G167</f>
        <v>232.274</v>
      </c>
      <c r="I167" s="25">
        <f>INDEX('Inputs (2)'!$D$20:$AL$20,MATCH(I$7,'Inputs (2)'!$D$2:$AL$2,0))</f>
        <v>337.505</v>
      </c>
      <c r="J167" s="25">
        <f>INDEX('Inputs (2)'!$D$20:$AL$20,MATCH(J$7,'Inputs (2)'!$D$2:$AL$2,0))</f>
        <v>432.709</v>
      </c>
      <c r="K167" s="25">
        <f>INDEX('Inputs (2)'!$D$20:$AL$20,MATCH(K$7,'Inputs (2)'!$D$2:$AL$2,0))</f>
        <v>509.809</v>
      </c>
      <c r="L167" s="25">
        <f>INDEX('Inputs (2)'!$D$20:$AL$20,MATCH(L$7,'Inputs (2)'!$D$2:$AL$2,0))</f>
        <v>480.62</v>
      </c>
      <c r="M167" s="3">
        <f>L167</f>
        <v>480.62</v>
      </c>
      <c r="N167" s="25">
        <f>INDEX('Inputs (2)'!$D$20:$AL$20,MATCH(N$7,'Inputs (2)'!$D$2:$AL$2,0))</f>
        <v>957.699</v>
      </c>
      <c r="O167" s="25">
        <f>INDEX('Inputs (2)'!$D$20:$AL$20,MATCH(O$7,'Inputs (2)'!$D$2:$AL$2,0))</f>
        <v>1087.034</v>
      </c>
      <c r="P167" s="25">
        <f>INDEX('Inputs (2)'!$D$20:$AL$20,MATCH(P$7,'Inputs (2)'!$D$2:$AL$2,0))</f>
        <v>1392.235</v>
      </c>
      <c r="Q167" s="25">
        <f>INDEX('Inputs (2)'!$D$20:$AL$20,MATCH(Q$7,'Inputs (2)'!$D$2:$AL$2,0))</f>
        <v>1438.875</v>
      </c>
      <c r="R167" s="3">
        <f>Q167</f>
        <v>1438.875</v>
      </c>
      <c r="S167" s="25">
        <f>INDEX('Inputs (2)'!$D$20:$AL$20,MATCH(S$7,'Inputs (2)'!$D$2:$AL$2,0))</f>
        <v>1373.543</v>
      </c>
      <c r="T167" s="25">
        <f>INDEX('Inputs (2)'!$D$20:$AL$20,MATCH(T$7,'Inputs (2)'!$D$2:$AL$2,0))</f>
        <v>1300.157</v>
      </c>
      <c r="U167" s="25">
        <f>INDEX('Inputs (2)'!$D$20:$AL$20,MATCH(U$7,'Inputs (2)'!$D$2:$AL$2,0))</f>
        <v>1425.439</v>
      </c>
      <c r="V167" s="25">
        <f>INDEX('Inputs (2)'!$D$20:$AL$20,MATCH(V$7,'Inputs (2)'!$D$2:$AL$2,0))</f>
        <v>1086.901</v>
      </c>
      <c r="W167" s="3">
        <f>V167</f>
        <v>1086.901</v>
      </c>
      <c r="X167" s="25">
        <f>INDEX('Inputs (2)'!$D$20:$AL$20,MATCH(X$7,'Inputs (2)'!$D$2:$AL$2,0))</f>
        <v>1575.134</v>
      </c>
      <c r="Y167" s="25">
        <f>INDEX('Inputs (2)'!$D$20:$AL$20,MATCH(Y$7,'Inputs (2)'!$D$2:$AL$2,0))</f>
        <v>1497.843</v>
      </c>
      <c r="Z167" s="25">
        <f>INDEX('Inputs (2)'!$D$20:$AL$20,MATCH(Z$7,'Inputs (2)'!$D$2:$AL$2,0))</f>
        <v>1417.002</v>
      </c>
      <c r="AA167" s="25">
        <f>INDEX('Inputs (2)'!$D$20:$AL$20,MATCH(AA$7,'Inputs (2)'!$D$2:$AL$2,0))</f>
        <v>1217.861</v>
      </c>
      <c r="AB167" s="3">
        <f>AA167</f>
        <v>1217.861</v>
      </c>
      <c r="AC167" s="25">
        <f>INDEX('Inputs (2)'!$D$20:$AL$20,MATCH(AC$7,'Inputs (2)'!$D$2:$AL$2,0))</f>
        <v>2032.503</v>
      </c>
      <c r="AD167" s="25">
        <f>INDEX('Inputs (2)'!$D$20:$AL$20,MATCH(AD$7,'Inputs (2)'!$D$2:$AL$2,0))</f>
        <v>2000.533</v>
      </c>
      <c r="AE167" s="25">
        <f>INDEX('Inputs (2)'!$D$20:$AL$20,MATCH(AE$7,'Inputs (2)'!$D$2:$AL$2,0))</f>
        <v>1727.128</v>
      </c>
      <c r="AF167" s="25">
        <f>INDEX('Inputs (2)'!$D$20:$AL$20,MATCH(AF$7,'Inputs (2)'!$D$2:$AL$2,0))</f>
        <v>942.151</v>
      </c>
      <c r="AG167" s="3">
        <f>AF167</f>
        <v>942.151</v>
      </c>
      <c r="AH167" s="3">
        <f>INDEX('Inputs (2)'!$D$20:$AL$20,MATCH(AH$7,'Inputs (2)'!$D$2:$AL$2,0))</f>
        <v>1404.787</v>
      </c>
      <c r="AI167" s="3">
        <f>INDEX('Inputs (2)'!$D$20:$AL$20,MATCH(AI$7,'Inputs (2)'!$D$2:$AL$2,0))</f>
        <v>1394.588</v>
      </c>
      <c r="AJ167" s="3">
        <f>AI167</f>
        <v>1394.588</v>
      </c>
      <c r="AK167" s="3">
        <f>AJ167</f>
        <v>1394.588</v>
      </c>
      <c r="AL167" s="3">
        <f>AK167</f>
        <v>1394.588</v>
      </c>
      <c r="AM167" s="3">
        <f>AL167</f>
        <v>1394.588</v>
      </c>
      <c r="AN167" s="3">
        <f>AM167</f>
        <v>1394.588</v>
      </c>
      <c r="AO167" s="3">
        <f>AN167</f>
        <v>1394.588</v>
      </c>
      <c r="AP167" s="3">
        <f>AO167</f>
        <v>1394.588</v>
      </c>
      <c r="AQ167" s="3">
        <f>AP167</f>
        <v>1394.588</v>
      </c>
      <c r="AR167" s="3">
        <f>AQ167</f>
        <v>1394.588</v>
      </c>
      <c r="AS167" s="3">
        <f>AR167</f>
        <v>1394.588</v>
      </c>
      <c r="AT167" s="3">
        <f>AS167</f>
        <v>1394.588</v>
      </c>
      <c r="AU167" s="3">
        <f>AT167</f>
        <v>1394.588</v>
      </c>
      <c r="AV167" s="3">
        <f>AU167</f>
        <v>1394.588</v>
      </c>
      <c r="AW167" s="3">
        <f>AV167</f>
        <v>1394.588</v>
      </c>
      <c r="AX167" s="3">
        <f>AW167</f>
        <v>1394.588</v>
      </c>
      <c r="AY167" s="3">
        <f>AX167</f>
        <v>1394.588</v>
      </c>
      <c r="AZ167" s="3">
        <f>AY167</f>
        <v>1394.588</v>
      </c>
      <c r="BA167" s="3">
        <f>AZ167</f>
        <v>1394.588</v>
      </c>
      <c r="BB167" s="3">
        <f>BA167</f>
        <v>1394.588</v>
      </c>
      <c r="BC167" s="3">
        <f>BB167</f>
        <v>1394.588</v>
      </c>
      <c r="BD167" s="3">
        <f>BC167</f>
        <v>1394.588</v>
      </c>
      <c r="BE167" s="3">
        <f>BD167</f>
        <v>1394.588</v>
      </c>
      <c r="BF167" s="3">
        <f>BE167</f>
        <v>1394.588</v>
      </c>
      <c r="BG167" s="3">
        <f>BF167</f>
        <v>1394.588</v>
      </c>
      <c r="BH167" s="3">
        <f>BG167</f>
        <v>1394.588</v>
      </c>
      <c r="BI167" s="3">
        <f>BH167</f>
        <v>1394.588</v>
      </c>
      <c r="BJ167" s="3">
        <f>BI167</f>
        <v>1394.588</v>
      </c>
      <c r="BK167" s="3">
        <f>BJ167</f>
        <v>1394.588</v>
      </c>
      <c r="BL167" s="3">
        <f>BK167</f>
        <v>1394.588</v>
      </c>
      <c r="BM167" s="3">
        <f>BL167</f>
        <v>1394.588</v>
      </c>
      <c r="BN167" s="3">
        <f>BM167</f>
        <v>1394.588</v>
      </c>
      <c r="BO167" s="3">
        <f>BN167</f>
        <v>1394.588</v>
      </c>
      <c r="BP167" s="3">
        <f>BO167</f>
        <v>1394.588</v>
      </c>
      <c r="BQ167" s="3">
        <f>BP167</f>
        <v>1394.588</v>
      </c>
      <c r="BR167" s="3">
        <f>BQ167</f>
        <v>1394.588</v>
      </c>
      <c r="BS167" s="3">
        <f>BR167</f>
        <v>1394.588</v>
      </c>
      <c r="BT167" s="3">
        <f>BS167</f>
        <v>1394.588</v>
      </c>
      <c r="BU167" s="3">
        <f>BT167</f>
        <v>1394.588</v>
      </c>
      <c r="BV167" s="3">
        <f>BU167</f>
        <v>1394.588</v>
      </c>
      <c r="BW167" s="3">
        <f>BV167</f>
        <v>1394.588</v>
      </c>
      <c r="BX167" s="3">
        <f>BW167</f>
        <v>1394.588</v>
      </c>
      <c r="BY167" s="3">
        <f>BX167</f>
        <v>1394.588</v>
      </c>
      <c r="BZ167" s="3">
        <f>BY167</f>
        <v>1394.588</v>
      </c>
      <c r="CA167" s="3">
        <f>BZ167</f>
        <v>1394.588</v>
      </c>
      <c r="CB167" s="3">
        <f>CA167</f>
        <v>1394.588</v>
      </c>
      <c r="CC167" s="3">
        <f>CB167</f>
        <v>1394.588</v>
      </c>
      <c r="CD167" s="3">
        <f>CC167</f>
        <v>1394.588</v>
      </c>
      <c r="CE167" s="3">
        <f>CD167</f>
        <v>1394.588</v>
      </c>
      <c r="CF167" s="3">
        <f>CE167</f>
        <v>1394.588</v>
      </c>
      <c r="CG167" s="3">
        <f>CF167</f>
        <v>1394.588</v>
      </c>
      <c r="CH167" s="3">
        <f>CG167</f>
        <v>1394.588</v>
      </c>
      <c r="CI167" s="3">
        <f>CH167</f>
        <v>1394.588</v>
      </c>
      <c r="CJ167" s="3">
        <f>CI167</f>
        <v>1394.588</v>
      </c>
      <c r="CK167" s="3">
        <f>CJ167</f>
        <v>1394.588</v>
      </c>
      <c r="CL167" s="3">
        <f>CK167</f>
        <v>1394.588</v>
      </c>
      <c r="CM167" s="3">
        <f>CL167</f>
        <v>1394.588</v>
      </c>
      <c r="CN167" s="3">
        <f>CM167</f>
        <v>1394.588</v>
      </c>
      <c r="CO167" s="3">
        <f>CN167</f>
        <v>1394.588</v>
      </c>
      <c r="CP167" s="3">
        <f>CO167</f>
        <v>1394.588</v>
      </c>
      <c r="CQ167" s="3">
        <f>CP167</f>
        <v>1394.588</v>
      </c>
      <c r="CR167" s="3">
        <f>CQ167</f>
        <v>1394.588</v>
      </c>
      <c r="CS167" s="3">
        <f>CR167</f>
        <v>1394.588</v>
      </c>
      <c r="CT167" s="3">
        <f>CS167</f>
        <v>1394.588</v>
      </c>
      <c r="CU167" s="3">
        <f>CT167</f>
        <v>1394.588</v>
      </c>
      <c r="CV167" s="3">
        <f>CU167</f>
        <v>1394.588</v>
      </c>
      <c r="CW167" s="3">
        <f>CV167</f>
        <v>1394.588</v>
      </c>
      <c r="CX167" s="3">
        <f>CW167</f>
        <v>1394.588</v>
      </c>
      <c r="CY167" s="3">
        <f>CX167</f>
        <v>1394.588</v>
      </c>
    </row>
    <row r="168" hidden="1" outlineLevel="1">
      <c r="C168" s="38" t="inlineStr">
        <is>
          <t>%(Var.)</t>
        </is>
      </c>
      <c r="D168" s="3" t="n"/>
      <c r="E168" s="47">
        <f>(E167-D167)/D167</f>
        <v>-0.0380172371748868</v>
      </c>
      <c r="F168" s="47">
        <f>(F167-E167)/E167</f>
        <v>-0.481373646072115</v>
      </c>
      <c r="G168" s="47">
        <f>(G167-F167)/F167</f>
        <v>-0.189066711355035</v>
      </c>
      <c r="H168" s="3" t="n"/>
      <c r="I168" s="47">
        <f>(I167-H167)/H167</f>
        <v>0.453046832620095</v>
      </c>
      <c r="J168" s="47">
        <f>(J167-I167)/I167</f>
        <v>0.282081746937082</v>
      </c>
      <c r="K168" s="47">
        <f>(K167-J167)/J167</f>
        <v>0.178179792886212</v>
      </c>
      <c r="L168" s="47">
        <f>(L167-K167)/K167</f>
        <v>-0.0572547758081948</v>
      </c>
      <c r="M168" s="3" t="n"/>
      <c r="N168" s="47">
        <f>(N167-M167)/M167</f>
        <v>0.992632433107236</v>
      </c>
      <c r="O168" s="47">
        <f>(O167-N167)/N167</f>
        <v>0.135047650671035</v>
      </c>
      <c r="P168" s="47">
        <f>(P167-O167)/O167</f>
        <v>0.280764907077424</v>
      </c>
      <c r="Q168" s="47">
        <f>(Q167-P167)/P167</f>
        <v>0.0335000915793671</v>
      </c>
      <c r="R168" s="3" t="n"/>
      <c r="S168" s="47">
        <f>(S167-R167)/R167</f>
        <v>-0.0454049170358786</v>
      </c>
      <c r="T168" s="47">
        <f>(T167-S167)/S167</f>
        <v>-0.0534282508811156</v>
      </c>
      <c r="U168" s="47">
        <f>(U167-T167)/T167</f>
        <v>0.0963591320125181</v>
      </c>
      <c r="V168" s="47">
        <f>(V167-U167)/U167</f>
        <v>-0.237497360462286</v>
      </c>
      <c r="W168" s="3" t="n"/>
      <c r="X168" s="47">
        <f>(X167-W167)/W167</f>
        <v>0.449197304998339</v>
      </c>
      <c r="Y168" s="47">
        <f>(Y167-X167)/X167</f>
        <v>-0.049069475993788</v>
      </c>
      <c r="Z168" s="47">
        <f>(Z167-Y167)/Y167</f>
        <v>-0.0539716111768721</v>
      </c>
      <c r="AA168" s="47">
        <f>(AA167-Z167)/Z167</f>
        <v>-0.140536851747563</v>
      </c>
      <c r="AB168" s="3" t="n"/>
      <c r="AC168" s="47">
        <f>(AC167-AB167)/AB167</f>
        <v>0.668912133650721</v>
      </c>
      <c r="AD168" s="47">
        <f>(AD167-AC167)/AC167</f>
        <v>-0.0157293740771839</v>
      </c>
      <c r="AE168" s="47">
        <f>(AE167-AD167)/AD167</f>
        <v>-0.136666078490083</v>
      </c>
      <c r="AF168" s="218">
        <f>(AF167-AE167)/AE167</f>
        <v>-0.454498450607019</v>
      </c>
      <c r="AG168" s="3" t="n"/>
      <c r="AH168" s="3">
        <f>(AH167-AG167)/AG167</f>
        <v>0.491042306381887</v>
      </c>
      <c r="AI168" s="3">
        <f>(AI167-AH167)/AH167</f>
        <v>-0.00726017538602055</v>
      </c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n"/>
      <c r="D169" s="3" t="n"/>
      <c r="E169" s="47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52" t="inlineStr">
        <is>
          <t xml:space="preserve">Impostos e Contribuições a Recuperar </t>
        </is>
      </c>
      <c r="D170" s="6" t="n"/>
      <c r="E170" s="6" t="n"/>
      <c r="F170" s="6" t="n"/>
      <c r="G170" s="6" t="n"/>
      <c r="H170" s="3" t="n"/>
      <c r="I170" s="6" t="n"/>
      <c r="J170" s="6" t="n"/>
      <c r="K170" s="6" t="n"/>
      <c r="L170" s="6" t="n"/>
      <c r="M170" s="3" t="n"/>
      <c r="N170" s="6" t="n"/>
      <c r="O170" s="6" t="n"/>
      <c r="P170" s="6" t="n"/>
      <c r="Q170" s="6" t="n"/>
      <c r="R170" s="3" t="n"/>
      <c r="S170" s="6" t="n"/>
      <c r="T170" s="6" t="n"/>
      <c r="U170" s="6" t="n"/>
      <c r="V170" s="6" t="n"/>
      <c r="W170" s="3" t="n"/>
      <c r="X170" s="6" t="n"/>
      <c r="Y170" s="6" t="n"/>
      <c r="Z170" s="6" t="n"/>
      <c r="AA170" s="6" t="n"/>
      <c r="AB170" s="3" t="n"/>
      <c r="AC170" s="6" t="n"/>
      <c r="AD170" s="6" t="n"/>
      <c r="AE170" s="6" t="n"/>
      <c r="AF170" s="6" t="n"/>
      <c r="AG170" s="3">
        <f>AF170</f>
        <v>0</v>
      </c>
      <c r="AH170" s="216">
        <f>AG170*AH15/AG15</f>
        <v>0</v>
      </c>
      <c r="AI170" s="216">
        <f>AH170*AI15/AH15</f>
        <v>0</v>
      </c>
      <c r="AJ170" s="216">
        <f>AI170*AJ15/AI15</f>
        <v>0</v>
      </c>
      <c r="AK170" s="216">
        <f>AJ170*AK15/AJ15</f>
        <v>0</v>
      </c>
      <c r="AL170" s="3">
        <f>AK170</f>
        <v>0</v>
      </c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hidden="1" outlineLevel="1">
      <c r="C171" s="52" t="inlineStr">
        <is>
          <t>Outros Créditos</t>
        </is>
      </c>
      <c r="D171" s="6" t="n"/>
      <c r="E171" s="6" t="n"/>
      <c r="F171" s="6" t="n"/>
      <c r="G171" s="6" t="n"/>
      <c r="H171" s="3" t="n"/>
      <c r="I171" s="6" t="n"/>
      <c r="J171" s="6" t="n"/>
      <c r="K171" s="6" t="n"/>
      <c r="L171" s="6" t="n"/>
      <c r="M171" s="3" t="n"/>
      <c r="N171" s="6" t="n"/>
      <c r="O171" s="6" t="n"/>
      <c r="P171" s="6" t="n"/>
      <c r="Q171" s="6" t="n"/>
      <c r="R171" s="3" t="n"/>
      <c r="S171" s="6" t="n"/>
      <c r="T171" s="6" t="n"/>
      <c r="U171" s="6" t="n"/>
      <c r="V171" s="6" t="n"/>
      <c r="W171" s="3" t="n"/>
      <c r="X171" s="6" t="n"/>
      <c r="Y171" s="6" t="n"/>
      <c r="Z171" s="6" t="n"/>
      <c r="AA171" s="6" t="n"/>
      <c r="AB171" s="3" t="n"/>
      <c r="AC171" s="6" t="n"/>
      <c r="AD171" s="6" t="n"/>
      <c r="AE171" s="6" t="n"/>
      <c r="AF171" s="6" t="n"/>
      <c r="AG171" s="3">
        <f>AF171</f>
        <v>0</v>
      </c>
      <c r="AH171" s="3">
        <f>AG171</f>
        <v>0</v>
      </c>
      <c r="AI171" s="3">
        <f>AH171</f>
        <v>0</v>
      </c>
      <c r="AJ171" s="3">
        <f>AI171</f>
        <v>0</v>
      </c>
      <c r="AK171" s="3">
        <f>AJ171</f>
        <v>0</v>
      </c>
      <c r="AL171" s="3">
        <f>AK171</f>
        <v>0</v>
      </c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collapsed="1">
      <c r="C173" s="26" t="inlineStr">
        <is>
          <t>Equity in affiliates</t>
        </is>
      </c>
      <c r="D173" s="25">
        <f>INDEX('Inputs (2)'!$D$21:$AL$21,MATCH(D$7,'Inputs (2)'!$D$2:$AL$2,0))</f>
        <v>1.118</v>
      </c>
      <c r="E173" s="25">
        <f>INDEX('Inputs (2)'!$D$21:$AL$21,MATCH(E$7,'Inputs (2)'!$D$2:$AL$2,0))</f>
        <v>1.127</v>
      </c>
      <c r="F173" s="25">
        <f>INDEX('Inputs (2)'!$D$21:$AL$21,MATCH(F$7,'Inputs (2)'!$D$2:$AL$2,0))</f>
        <v>1.233</v>
      </c>
      <c r="G173" s="25">
        <f>INDEX('Inputs (2)'!$D$21:$AL$21,MATCH(G$7,'Inputs (2)'!$D$2:$AL$2,0))</f>
        <v>1.239</v>
      </c>
      <c r="H173" s="3">
        <f>G173</f>
        <v>1.239</v>
      </c>
      <c r="I173" s="25">
        <f>INDEX('Inputs (2)'!$D$21:$AL$21,MATCH(I$7,'Inputs (2)'!$D$2:$AL$2,0))</f>
        <v>1.985</v>
      </c>
      <c r="J173" s="25">
        <f>INDEX('Inputs (2)'!$D$21:$AL$21,MATCH(J$7,'Inputs (2)'!$D$2:$AL$2,0))</f>
        <v>2.141</v>
      </c>
      <c r="K173" s="25">
        <f>INDEX('Inputs (2)'!$D$21:$AL$21,MATCH(K$7,'Inputs (2)'!$D$2:$AL$2,0))</f>
        <v>1.202</v>
      </c>
      <c r="L173" s="25">
        <f>INDEX('Inputs (2)'!$D$21:$AL$21,MATCH(L$7,'Inputs (2)'!$D$2:$AL$2,0))</f>
        <v>1.191</v>
      </c>
      <c r="M173" s="3">
        <f>L173</f>
        <v>1.191</v>
      </c>
      <c r="N173" s="25">
        <f>INDEX('Inputs (2)'!$D$21:$AL$21,MATCH(N$7,'Inputs (2)'!$D$2:$AL$2,0))</f>
        <v>1.188</v>
      </c>
      <c r="O173" s="25">
        <f>INDEX('Inputs (2)'!$D$21:$AL$21,MATCH(O$7,'Inputs (2)'!$D$2:$AL$2,0))</f>
        <v>1.139</v>
      </c>
      <c r="P173" s="25">
        <f>INDEX('Inputs (2)'!$D$21:$AL$21,MATCH(P$7,'Inputs (2)'!$D$2:$AL$2,0))</f>
        <v>1.107</v>
      </c>
      <c r="Q173" s="25">
        <f>INDEX('Inputs (2)'!$D$21:$AL$21,MATCH(Q$7,'Inputs (2)'!$D$2:$AL$2,0))</f>
        <v>1.102</v>
      </c>
      <c r="R173" s="3">
        <f>Q173</f>
        <v>1.102</v>
      </c>
      <c r="S173" s="25">
        <f>INDEX('Inputs (2)'!$D$21:$AL$21,MATCH(S$7,'Inputs (2)'!$D$2:$AL$2,0))</f>
        <v>1.094</v>
      </c>
      <c r="T173" s="25">
        <f>INDEX('Inputs (2)'!$D$21:$AL$21,MATCH(T$7,'Inputs (2)'!$D$2:$AL$2,0))</f>
        <v>1.113</v>
      </c>
      <c r="U173" s="25">
        <f>INDEX('Inputs (2)'!$D$21:$AL$21,MATCH(U$7,'Inputs (2)'!$D$2:$AL$2,0))</f>
        <v>0.676</v>
      </c>
      <c r="V173" s="25">
        <f>INDEX('Inputs (2)'!$D$21:$AL$21,MATCH(V$7,'Inputs (2)'!$D$2:$AL$2,0))</f>
        <v>1.142</v>
      </c>
      <c r="W173" s="3">
        <f>V173</f>
        <v>1.142</v>
      </c>
      <c r="X173" s="25">
        <f>INDEX('Inputs (2)'!$D$21:$AL$21,MATCH(X$7,'Inputs (2)'!$D$2:$AL$2,0))</f>
        <v>0.612</v>
      </c>
      <c r="Y173" s="25">
        <f>INDEX('Inputs (2)'!$D$21:$AL$21,MATCH(Y$7,'Inputs (2)'!$D$2:$AL$2,0))</f>
        <v>0.589</v>
      </c>
      <c r="Z173" s="25">
        <f>INDEX('Inputs (2)'!$D$21:$AL$21,MATCH(Z$7,'Inputs (2)'!$D$2:$AL$2,0))</f>
        <v>0.562</v>
      </c>
      <c r="AA173" s="25">
        <f>INDEX('Inputs (2)'!$D$21:$AL$21,MATCH(AA$7,'Inputs (2)'!$D$2:$AL$2,0))</f>
        <v>0.562</v>
      </c>
      <c r="AB173" s="3">
        <f>AA173</f>
        <v>0.562</v>
      </c>
      <c r="AC173" s="25">
        <f>INDEX('Inputs (2)'!$D$21:$AL$21,MATCH(AC$7,'Inputs (2)'!$D$2:$AL$2,0))</f>
        <v>0.562</v>
      </c>
      <c r="AD173" s="25">
        <f>INDEX('Inputs (2)'!$D$21:$AL$21,MATCH(AD$7,'Inputs (2)'!$D$2:$AL$2,0))</f>
        <v>0</v>
      </c>
      <c r="AE173" s="25">
        <f>INDEX('Inputs (2)'!$D$21:$AL$21,MATCH(AE$7,'Inputs (2)'!$D$2:$AL$2,0))</f>
        <v>18.175</v>
      </c>
      <c r="AF173" s="25">
        <f>INDEX('Inputs (2)'!$D$21:$AL$21,MATCH(AF$7,'Inputs (2)'!$D$2:$AL$2,0))</f>
        <v>19.697</v>
      </c>
      <c r="AG173" s="3">
        <f>AF173</f>
        <v>19.697</v>
      </c>
      <c r="AH173" s="3">
        <f>INDEX('Inputs (2)'!$D$21:$AL$21,MATCH(AH$7,'Inputs (2)'!$D$2:$AL$2,0))</f>
        <v>20.087</v>
      </c>
      <c r="AI173" s="3">
        <f>INDEX('Inputs (2)'!$D$21:$AL$21,MATCH(AI$7,'Inputs (2)'!$D$2:$AL$2,0))</f>
        <v>38.7</v>
      </c>
      <c r="AJ173" s="3">
        <f>AI173+AJ147+AJ176</f>
        <v>38.7</v>
      </c>
      <c r="AK173" s="3">
        <f>AJ173+AK147+AK176</f>
        <v>38.7</v>
      </c>
      <c r="AL173" s="3">
        <f>AK173</f>
        <v>38.7</v>
      </c>
      <c r="AM173" s="3">
        <f>AL173+AM147+AM176</f>
        <v>38.7</v>
      </c>
      <c r="AN173" s="3">
        <f>AM173+AN147+AN176</f>
        <v>38.7</v>
      </c>
      <c r="AO173" s="3">
        <f>AN173+AO147+AO176</f>
        <v>38.7</v>
      </c>
      <c r="AP173" s="3">
        <f>AO173+AP147+AP176</f>
        <v>38.7</v>
      </c>
      <c r="AQ173" s="3">
        <f>AP173</f>
        <v>38.7</v>
      </c>
      <c r="AR173" s="3">
        <f>AQ173+AR147+AR176</f>
        <v>38.7</v>
      </c>
      <c r="AS173" s="3">
        <f>AR173+AS147+AS176</f>
        <v>38.7</v>
      </c>
      <c r="AT173" s="3">
        <f>AS173+AT147+AT176</f>
        <v>38.7</v>
      </c>
      <c r="AU173" s="3">
        <f>AT173+AU147+AU176</f>
        <v>38.7</v>
      </c>
      <c r="AV173" s="3">
        <f>AU173</f>
        <v>38.7</v>
      </c>
      <c r="AW173" s="3">
        <f>AV173+AW147+AW176</f>
        <v>38.7</v>
      </c>
      <c r="AX173" s="3">
        <f>AW173+AX147+AX176</f>
        <v>38.7</v>
      </c>
      <c r="AY173" s="3">
        <f>AX173+AY147+AY176</f>
        <v>38.7</v>
      </c>
      <c r="AZ173" s="3">
        <f>AY173+AZ147+AZ176</f>
        <v>38.7</v>
      </c>
      <c r="BA173" s="3">
        <f>AZ173</f>
        <v>38.7</v>
      </c>
      <c r="BB173" s="3">
        <f>BA173+BB147+BB176</f>
        <v>38.7</v>
      </c>
      <c r="BC173" s="3">
        <f>BB173+BC147+BC176</f>
        <v>38.7</v>
      </c>
      <c r="BD173" s="3">
        <f>BC173+BD147+BD176</f>
        <v>38.7</v>
      </c>
      <c r="BE173" s="3">
        <f>BD173+BE147+BE176</f>
        <v>38.7</v>
      </c>
      <c r="BF173" s="3">
        <f>BE173</f>
        <v>38.7</v>
      </c>
      <c r="BG173" s="3">
        <f>BF173+BG147+BG176</f>
        <v>38.7</v>
      </c>
      <c r="BH173" s="3">
        <f>BG173+BH147+BH176</f>
        <v>38.7</v>
      </c>
      <c r="BI173" s="3">
        <f>BH173+BI147+BI176</f>
        <v>38.7</v>
      </c>
      <c r="BJ173" s="3">
        <f>BI173+BJ147+BJ176</f>
        <v>38.7</v>
      </c>
      <c r="BK173" s="3">
        <f>BJ173</f>
        <v>38.7</v>
      </c>
      <c r="BL173" s="3">
        <f>BK173+BL147+BL176</f>
        <v>38.7</v>
      </c>
      <c r="BM173" s="3">
        <f>BL173+BM147+BM176</f>
        <v>38.7</v>
      </c>
      <c r="BN173" s="3">
        <f>BM173+BN147+BN176</f>
        <v>38.7</v>
      </c>
      <c r="BO173" s="3">
        <f>BN173+BO147+BO176</f>
        <v>38.7</v>
      </c>
      <c r="BP173" s="3">
        <f>BO173</f>
        <v>38.7</v>
      </c>
      <c r="BQ173" s="3">
        <f>BP173+BQ147+BQ176</f>
        <v>38.7</v>
      </c>
      <c r="BR173" s="3">
        <f>BQ173+BR147+BR176</f>
        <v>38.7</v>
      </c>
      <c r="BS173" s="3">
        <f>BR173+BS147+BS176</f>
        <v>38.7</v>
      </c>
      <c r="BT173" s="3">
        <f>BS173+BT147+BT176</f>
        <v>38.7</v>
      </c>
      <c r="BU173" s="3">
        <f>BT173</f>
        <v>38.7</v>
      </c>
      <c r="BV173" s="3">
        <f>BU173+BV147+BV176</f>
        <v>38.7</v>
      </c>
      <c r="BW173" s="3">
        <f>BV173+BW147+BW176</f>
        <v>38.7</v>
      </c>
      <c r="BX173" s="3">
        <f>BW173+BX147+BX176</f>
        <v>38.7</v>
      </c>
      <c r="BY173" s="3">
        <f>BX173+BY147+BY176</f>
        <v>38.7</v>
      </c>
      <c r="BZ173" s="3">
        <f>BY173</f>
        <v>38.7</v>
      </c>
      <c r="CA173" s="3">
        <f>BZ173+CA147+CA176</f>
        <v>38.7</v>
      </c>
      <c r="CB173" s="3">
        <f>CA173+CB147+CB176</f>
        <v>38.7</v>
      </c>
      <c r="CC173" s="3">
        <f>CB173+CC147+CC176</f>
        <v>38.7</v>
      </c>
      <c r="CD173" s="3">
        <f>CC173+CD147+CD176</f>
        <v>38.7</v>
      </c>
      <c r="CE173" s="3">
        <f>CD173</f>
        <v>38.7</v>
      </c>
      <c r="CF173" s="3">
        <f>CE173+CF147+CF176</f>
        <v>38.7</v>
      </c>
      <c r="CG173" s="3">
        <f>CF173+CG147+CG176</f>
        <v>38.7</v>
      </c>
      <c r="CH173" s="3">
        <f>CG173+CH147+CH176</f>
        <v>38.7</v>
      </c>
      <c r="CI173" s="3">
        <f>CH173+CI147+CI176</f>
        <v>38.7</v>
      </c>
      <c r="CJ173" s="3">
        <f>CI173</f>
        <v>38.7</v>
      </c>
      <c r="CK173" s="3">
        <f>CJ173+CK147+CK176</f>
        <v>38.7</v>
      </c>
      <c r="CL173" s="3">
        <f>CK173+CL147+CL176</f>
        <v>38.7</v>
      </c>
      <c r="CM173" s="3">
        <f>CL173+CM147+CM176</f>
        <v>38.7</v>
      </c>
      <c r="CN173" s="3">
        <f>CM173+CN147+CN176</f>
        <v>38.7</v>
      </c>
      <c r="CO173" s="3">
        <f>CN173</f>
        <v>38.7</v>
      </c>
      <c r="CP173" s="3">
        <f>CO173+CP147+CP176</f>
        <v>38.7</v>
      </c>
      <c r="CQ173" s="3">
        <f>CP173+CQ147+CQ176</f>
        <v>38.7</v>
      </c>
      <c r="CR173" s="3">
        <f>CQ173+CR147+CR176</f>
        <v>38.7</v>
      </c>
      <c r="CS173" s="3">
        <f>CR173+CS147+CS176</f>
        <v>38.7</v>
      </c>
      <c r="CT173" s="3">
        <f>CS173</f>
        <v>38.7</v>
      </c>
      <c r="CU173" s="3">
        <f>CT173+CU147+CU176</f>
        <v>38.7</v>
      </c>
      <c r="CV173" s="3">
        <f>CU173+CV147+CV176</f>
        <v>38.7</v>
      </c>
      <c r="CW173" s="3">
        <f>CV173+CW147+CW176</f>
        <v>38.7</v>
      </c>
      <c r="CX173" s="3">
        <f>CW173+CX147+CX176</f>
        <v>38.7</v>
      </c>
      <c r="CY173" s="3">
        <f>CX173</f>
        <v>38.7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inlineStr">
        <is>
          <t>Equity in Income - % YoY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>
        <f>IF(I147=0,0,N147/I147-1)</f>
        <v>0</v>
      </c>
      <c r="O175" s="3">
        <f>IF(J147=0,0,O147/J147-1)</f>
        <v>0</v>
      </c>
      <c r="P175" s="3">
        <f>IF(K147=0,0,P147/K147-1)</f>
        <v>0</v>
      </c>
      <c r="Q175" s="3">
        <f>IF(L147=0,0,Q147/L147-1)</f>
        <v>0</v>
      </c>
      <c r="R175" s="3" t="n"/>
      <c r="S175" s="3">
        <f>IF(N147=0,0,S147/N147-1)</f>
        <v>0</v>
      </c>
      <c r="T175" s="3">
        <f>IF(O147=0,0,T147/O147-1)</f>
        <v>0</v>
      </c>
      <c r="U175" s="3">
        <f>IF(P147=0,0,U147/P147-1)</f>
        <v>0</v>
      </c>
      <c r="V175" s="3">
        <f>IF(Q147=0,0,V147/Q147-1)</f>
        <v>0</v>
      </c>
      <c r="W175" s="3" t="n"/>
      <c r="X175" s="3">
        <f>IF(S147=0,0,X147/S147-1)</f>
        <v>0</v>
      </c>
      <c r="Y175" s="3">
        <f>IF(T147=0,0,Y147/T147-1)</f>
        <v>0</v>
      </c>
      <c r="Z175" s="3">
        <f>IF(U147=0,0,Z147/U147-1)</f>
        <v>0</v>
      </c>
      <c r="AA175" s="3">
        <f>IF(V147=0,0,AA147/V147-1)</f>
        <v>0</v>
      </c>
      <c r="AB175" s="3" t="n"/>
      <c r="AC175" s="3">
        <f>IF(X147=0,0,AC147/X147-1)</f>
        <v>0</v>
      </c>
      <c r="AD175" s="3">
        <f>IF(Y147=0,0,AD147/Y147-1)</f>
        <v>0</v>
      </c>
      <c r="AE175" s="3">
        <f>IF(Z147=0,0,AE147/Z147-1)</f>
        <v>0</v>
      </c>
      <c r="AF175" s="3">
        <f>IF(AA147=0,0,AF147/AA147-1)</f>
        <v>0</v>
      </c>
      <c r="AG175" s="3" t="n"/>
      <c r="AH175" s="6">
        <f>IF(AC147=0,0,AH147/AC147-1)</f>
        <v>0</v>
      </c>
      <c r="AI175" s="6">
        <f>IF(AD147=0,0,AI147/AD147-1)</f>
        <v>0</v>
      </c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Dividends (enter as -)</t>
        </is>
      </c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PP&amp;E</t>
        </is>
      </c>
      <c r="D178" s="25">
        <f>INDEX('Inputs (2)'!$D$22:$AL$22,MATCH(D$7,'Inputs (2)'!$D$2:$AL$2,0))</f>
        <v>5005.772</v>
      </c>
      <c r="E178" s="25">
        <f>INDEX('Inputs (2)'!$D$22:$AL$22,MATCH(E$7,'Inputs (2)'!$D$2:$AL$2,0))</f>
        <v>4468.999</v>
      </c>
      <c r="F178" s="25">
        <f>INDEX('Inputs (2)'!$D$22:$AL$22,MATCH(F$7,'Inputs (2)'!$D$2:$AL$2,0))</f>
        <v>5036.472</v>
      </c>
      <c r="G178" s="25">
        <f>INDEX('Inputs (2)'!$D$22:$AL$22,MATCH(G$7,'Inputs (2)'!$D$2:$AL$2,0))</f>
        <v>5738.753</v>
      </c>
      <c r="H178" s="3">
        <f>G178</f>
        <v>5738.753</v>
      </c>
      <c r="I178" s="25">
        <f>INDEX('Inputs (2)'!$D$22:$AL$22,MATCH(I$7,'Inputs (2)'!$D$2:$AL$2,0))</f>
        <v>6358.238</v>
      </c>
      <c r="J178" s="25">
        <f>INDEX('Inputs (2)'!$D$22:$AL$22,MATCH(J$7,'Inputs (2)'!$D$2:$AL$2,0))</f>
        <v>7287.437</v>
      </c>
      <c r="K178" s="25">
        <f>INDEX('Inputs (2)'!$D$22:$AL$22,MATCH(K$7,'Inputs (2)'!$D$2:$AL$2,0))</f>
        <v>9856.908</v>
      </c>
      <c r="L178" s="25">
        <f>INDEX('Inputs (2)'!$D$22:$AL$22,MATCH(L$7,'Inputs (2)'!$D$2:$AL$2,0))</f>
        <v>12140.029</v>
      </c>
      <c r="M178" s="3">
        <f>L178</f>
        <v>12140.029</v>
      </c>
      <c r="N178" s="25">
        <f>INDEX('Inputs (2)'!$D$22:$AL$22,MATCH(N$7,'Inputs (2)'!$D$2:$AL$2,0))</f>
        <v>12833.83</v>
      </c>
      <c r="O178" s="25">
        <f>INDEX('Inputs (2)'!$D$22:$AL$22,MATCH(O$7,'Inputs (2)'!$D$2:$AL$2,0))</f>
        <v>14798.069</v>
      </c>
      <c r="P178" s="25">
        <f>INDEX('Inputs (2)'!$D$22:$AL$22,MATCH(P$7,'Inputs (2)'!$D$2:$AL$2,0))</f>
        <v>15290.954</v>
      </c>
      <c r="Q178" s="25">
        <f>INDEX('Inputs (2)'!$D$22:$AL$22,MATCH(Q$7,'Inputs (2)'!$D$2:$AL$2,0))</f>
        <v>15842.199</v>
      </c>
      <c r="R178" s="3">
        <f>Q178</f>
        <v>15842.199</v>
      </c>
      <c r="S178" s="25">
        <f>INDEX('Inputs (2)'!$D$22:$AL$22,MATCH(S$7,'Inputs (2)'!$D$2:$AL$2,0))</f>
        <v>15303.402</v>
      </c>
      <c r="T178" s="25">
        <f>INDEX('Inputs (2)'!$D$22:$AL$22,MATCH(T$7,'Inputs (2)'!$D$2:$AL$2,0))</f>
        <v>15083.106</v>
      </c>
      <c r="U178" s="25">
        <f>INDEX('Inputs (2)'!$D$22:$AL$22,MATCH(U$7,'Inputs (2)'!$D$2:$AL$2,0))</f>
        <v>16021.303</v>
      </c>
      <c r="V178" s="25">
        <f>INDEX('Inputs (2)'!$D$22:$AL$22,MATCH(V$7,'Inputs (2)'!$D$2:$AL$2,0))</f>
        <v>18637.281</v>
      </c>
      <c r="W178" s="3">
        <f>V178</f>
        <v>18637.281</v>
      </c>
      <c r="X178" s="25">
        <f>INDEX('Inputs (2)'!$D$22:$AL$22,MATCH(X$7,'Inputs (2)'!$D$2:$AL$2,0))</f>
        <v>18762.548</v>
      </c>
      <c r="Y178" s="25">
        <f>INDEX('Inputs (2)'!$D$22:$AL$22,MATCH(Y$7,'Inputs (2)'!$D$2:$AL$2,0))</f>
        <v>19168.4</v>
      </c>
      <c r="Z178" s="25">
        <f>INDEX('Inputs (2)'!$D$22:$AL$22,MATCH(Z$7,'Inputs (2)'!$D$2:$AL$2,0))</f>
        <v>19724.886</v>
      </c>
      <c r="AA178" s="25">
        <f>INDEX('Inputs (2)'!$D$22:$AL$22,MATCH(AA$7,'Inputs (2)'!$D$2:$AL$2,0))</f>
        <v>21912.952</v>
      </c>
      <c r="AB178" s="3">
        <f>AA178</f>
        <v>21912.952</v>
      </c>
      <c r="AC178" s="25">
        <f>INDEX('Inputs (2)'!$D$22:$AL$22,MATCH(AC$7,'Inputs (2)'!$D$2:$AL$2,0))</f>
        <v>20671.846</v>
      </c>
      <c r="AD178" s="25">
        <f>INDEX('Inputs (2)'!$D$22:$AL$22,MATCH(AD$7,'Inputs (2)'!$D$2:$AL$2,0))</f>
        <v>21464.854</v>
      </c>
      <c r="AE178" s="25">
        <f>INDEX('Inputs (2)'!$D$22:$AL$22,MATCH(AE$7,'Inputs (2)'!$D$2:$AL$2,0))</f>
        <v>21621.948</v>
      </c>
      <c r="AF178" s="25">
        <f>INDEX('Inputs (2)'!$D$22:$AL$22,MATCH(AF$7,'Inputs (2)'!$D$2:$AL$2,0))</f>
        <v>24160.768</v>
      </c>
      <c r="AG178" s="3">
        <f>AF178</f>
        <v>24160.768</v>
      </c>
      <c r="AH178" s="3">
        <f>INDEX('Inputs (2)'!$D$22:$AL$22,MATCH(AH$7,'Inputs (2)'!$D$2:$AL$2,0))</f>
        <v>23242.795</v>
      </c>
      <c r="AI178" s="3">
        <f>INDEX('Inputs (2)'!$D$22:$AL$22,MATCH(AI$7,'Inputs (2)'!$D$2:$AL$2,0))</f>
        <v>25078.365</v>
      </c>
      <c r="AJ178" s="3">
        <f>AJ183</f>
        <v>25078.365</v>
      </c>
      <c r="AK178" s="3">
        <f>AK183</f>
        <v>25078.365</v>
      </c>
      <c r="AL178" s="3">
        <f>AK178</f>
        <v>25078.365</v>
      </c>
      <c r="AM178" s="3">
        <f>AM183</f>
        <v>25078.365</v>
      </c>
      <c r="AN178" s="3">
        <f>AN183</f>
        <v>25078.365</v>
      </c>
      <c r="AO178" s="3">
        <f>AO183</f>
        <v>25078.365</v>
      </c>
      <c r="AP178" s="3">
        <f>AP183</f>
        <v>25078.365</v>
      </c>
      <c r="AQ178" s="3">
        <f>AP178</f>
        <v>25078.365</v>
      </c>
      <c r="AR178" s="3">
        <f>AR183</f>
        <v>25078.365</v>
      </c>
      <c r="AS178" s="3">
        <f>AS183</f>
        <v>25078.365</v>
      </c>
      <c r="AT178" s="3">
        <f>AT183</f>
        <v>25078.365</v>
      </c>
      <c r="AU178" s="3">
        <f>AU183</f>
        <v>25078.365</v>
      </c>
      <c r="AV178" s="3">
        <f>AU178</f>
        <v>25078.365</v>
      </c>
      <c r="AW178" s="3">
        <f>AW183</f>
        <v>25078.365</v>
      </c>
      <c r="AX178" s="3">
        <f>AX183</f>
        <v>25078.365</v>
      </c>
      <c r="AY178" s="3">
        <f>AY183</f>
        <v>25078.365</v>
      </c>
      <c r="AZ178" s="3">
        <f>AZ183</f>
        <v>25078.365</v>
      </c>
      <c r="BA178" s="3">
        <f>AZ178</f>
        <v>25078.365</v>
      </c>
      <c r="BB178" s="3">
        <f>BB183</f>
        <v>25078.365</v>
      </c>
      <c r="BC178" s="3">
        <f>BC183</f>
        <v>25078.365</v>
      </c>
      <c r="BD178" s="3">
        <f>BD183</f>
        <v>25078.365</v>
      </c>
      <c r="BE178" s="3">
        <f>BE183</f>
        <v>25078.365</v>
      </c>
      <c r="BF178" s="3">
        <f>BE178</f>
        <v>25078.365</v>
      </c>
      <c r="BG178" s="3">
        <f>BG183</f>
        <v>25078.365</v>
      </c>
      <c r="BH178" s="3">
        <f>BH183</f>
        <v>25078.365</v>
      </c>
      <c r="BI178" s="3">
        <f>BI183</f>
        <v>25078.365</v>
      </c>
      <c r="BJ178" s="3">
        <f>BJ183</f>
        <v>25078.365</v>
      </c>
      <c r="BK178" s="3">
        <f>BJ178</f>
        <v>25078.365</v>
      </c>
      <c r="BL178" s="3">
        <f>BL183</f>
        <v>25078.365</v>
      </c>
      <c r="BM178" s="3">
        <f>BM183</f>
        <v>25078.365</v>
      </c>
      <c r="BN178" s="3">
        <f>BN183</f>
        <v>25078.365</v>
      </c>
      <c r="BO178" s="3">
        <f>BO183</f>
        <v>25078.365</v>
      </c>
      <c r="BP178" s="3">
        <f>BO178</f>
        <v>25078.365</v>
      </c>
      <c r="BQ178" s="3">
        <f>BQ183</f>
        <v>25078.365</v>
      </c>
      <c r="BR178" s="3">
        <f>BR183</f>
        <v>25078.365</v>
      </c>
      <c r="BS178" s="3">
        <f>BS183</f>
        <v>25078.365</v>
      </c>
      <c r="BT178" s="3">
        <f>BT183</f>
        <v>25078.365</v>
      </c>
      <c r="BU178" s="3">
        <f>BT178</f>
        <v>25078.365</v>
      </c>
      <c r="BV178" s="3">
        <f>BV183</f>
        <v>25078.365</v>
      </c>
      <c r="BW178" s="3">
        <f>BW183</f>
        <v>25078.365</v>
      </c>
      <c r="BX178" s="3">
        <f>BX183</f>
        <v>25078.365</v>
      </c>
      <c r="BY178" s="3">
        <f>BY183</f>
        <v>25078.365</v>
      </c>
      <c r="BZ178" s="3">
        <f>BY178</f>
        <v>25078.365</v>
      </c>
      <c r="CA178" s="3">
        <f>CA183</f>
        <v>25078.365</v>
      </c>
      <c r="CB178" s="3">
        <f>CB183</f>
        <v>25078.365</v>
      </c>
      <c r="CC178" s="3">
        <f>CC183</f>
        <v>25078.365</v>
      </c>
      <c r="CD178" s="3">
        <f>CD183</f>
        <v>25078.365</v>
      </c>
      <c r="CE178" s="3">
        <f>CD178</f>
        <v>25078.365</v>
      </c>
      <c r="CF178" s="3">
        <f>CF183</f>
        <v>25078.365</v>
      </c>
      <c r="CG178" s="3">
        <f>CG183</f>
        <v>25078.365</v>
      </c>
      <c r="CH178" s="3">
        <f>CH183</f>
        <v>25078.365</v>
      </c>
      <c r="CI178" s="3">
        <f>CI183</f>
        <v>25078.365</v>
      </c>
      <c r="CJ178" s="3">
        <f>CI178</f>
        <v>25078.365</v>
      </c>
      <c r="CK178" s="3">
        <f>CK183</f>
        <v>25078.365</v>
      </c>
      <c r="CL178" s="3">
        <f>CL183</f>
        <v>25078.365</v>
      </c>
      <c r="CM178" s="3">
        <f>CM183</f>
        <v>25078.365</v>
      </c>
      <c r="CN178" s="3">
        <f>CN183</f>
        <v>25078.365</v>
      </c>
      <c r="CO178" s="3">
        <f>CN178</f>
        <v>25078.365</v>
      </c>
      <c r="CP178" s="3">
        <f>CP183</f>
        <v>25078.365</v>
      </c>
      <c r="CQ178" s="3">
        <f>CQ183</f>
        <v>25078.365</v>
      </c>
      <c r="CR178" s="3">
        <f>CR183</f>
        <v>25078.365</v>
      </c>
      <c r="CS178" s="3">
        <f>CS183</f>
        <v>25078.365</v>
      </c>
      <c r="CT178" s="3">
        <f>CS178</f>
        <v>25078.365</v>
      </c>
      <c r="CU178" s="3">
        <f>CU183</f>
        <v>25078.365</v>
      </c>
      <c r="CV178" s="3">
        <f>CV183</f>
        <v>25078.365</v>
      </c>
      <c r="CW178" s="3">
        <f>CW183</f>
        <v>25078.365</v>
      </c>
      <c r="CX178" s="3">
        <f>CX183</f>
        <v>25078.365</v>
      </c>
      <c r="CY178" s="3">
        <f>CX178</f>
        <v>25078.365</v>
      </c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34" t="inlineStr">
        <is>
          <t>Capital expenditures</t>
        </is>
      </c>
      <c r="D180" s="3" t="n"/>
      <c r="E180" s="3">
        <f>E178-D178-E82</f>
        <v>-435.265</v>
      </c>
      <c r="F180" s="3">
        <f>F178-E178-F82</f>
        <v>686.498</v>
      </c>
      <c r="G180" s="3">
        <f>G178-F178-G82</f>
        <v>787.406</v>
      </c>
      <c r="H180" s="3" t="n"/>
      <c r="I180" s="3">
        <f>I178-H178-I82</f>
        <v>681.663000000001</v>
      </c>
      <c r="J180" s="3">
        <f>J178-I178-J82</f>
        <v>1002.135</v>
      </c>
      <c r="K180" s="3">
        <f>K178-J178-K82</f>
        <v>2680.177</v>
      </c>
      <c r="L180" s="3">
        <f>L178-K178-L82</f>
        <v>2453.552</v>
      </c>
      <c r="M180" s="3" t="n"/>
      <c r="N180" s="3">
        <f>N178-M178-N82</f>
        <v>906.637</v>
      </c>
      <c r="O180" s="3">
        <f>O178-N178-O82</f>
        <v>2205.148</v>
      </c>
      <c r="P180" s="3">
        <f>P178-O178-P82</f>
        <v>793.409</v>
      </c>
      <c r="Q180" s="3">
        <f>Q178-P178-Q82</f>
        <v>932.187000000001</v>
      </c>
      <c r="R180" s="3" t="n"/>
      <c r="S180" s="3">
        <f>S178-R178-S82</f>
        <v>-148.764000000001</v>
      </c>
      <c r="T180" s="3">
        <f>T178-S178-T82</f>
        <v>168.659</v>
      </c>
      <c r="U180" s="3">
        <f>U178-T178-U82</f>
        <v>1350.963</v>
      </c>
      <c r="V180" s="3">
        <f>V178-U178-V82</f>
        <v>3661.99</v>
      </c>
      <c r="W180" s="3" t="n"/>
      <c r="X180" s="3">
        <f>X178-W178-X82</f>
        <v>573.122</v>
      </c>
      <c r="Y180" s="3">
        <f>Y178-X178-Y82</f>
        <v>927.886000000003</v>
      </c>
      <c r="Z180" s="3">
        <f>Z178-Y178-Z82</f>
        <v>1107.764</v>
      </c>
      <c r="AA180" s="3">
        <f>AA178-Z178-AA82</f>
        <v>2747.417</v>
      </c>
      <c r="AB180" s="3" t="n"/>
      <c r="AC180" s="3">
        <f>AC178-AB178-AC82</f>
        <v>-668.732</v>
      </c>
      <c r="AD180" s="3">
        <f>AD178-AC178-AD82</f>
        <v>1386.741</v>
      </c>
      <c r="AE180" s="3">
        <f>AE178-AD178-AE82</f>
        <v>781.659000000001</v>
      </c>
      <c r="AF180" s="6">
        <f>AF178-AE178-AF82</f>
        <v>3178.1792426</v>
      </c>
      <c r="AG180" s="3">
        <f>SUM(AC180:AF180)</f>
        <v>4677.8472426</v>
      </c>
      <c r="AH180" s="6">
        <f>AH178-AG178-AH82</f>
        <v>-267.387078600002</v>
      </c>
      <c r="AI180" s="6">
        <f>AI178-AH178-AI82</f>
        <v>2507.1336214</v>
      </c>
      <c r="AJ180" s="6" t="n"/>
      <c r="AK180" s="6" t="n"/>
      <c r="AL180" s="3" t="n"/>
      <c r="AM180" s="6" t="n"/>
      <c r="AN180" s="6" t="n"/>
      <c r="AO180" s="6" t="n"/>
      <c r="AP180" s="6" t="n"/>
      <c r="AQ180" s="3" t="n"/>
      <c r="AR180" s="6" t="n"/>
      <c r="AS180" s="6" t="n"/>
      <c r="AT180" s="6" t="n"/>
      <c r="AU180" s="6" t="n"/>
      <c r="AV180" s="3" t="n"/>
      <c r="AW180" s="6" t="n"/>
      <c r="AX180" s="6" t="n"/>
      <c r="AY180" s="6" t="n"/>
      <c r="AZ180" s="6" t="n"/>
      <c r="BA180" s="3" t="n"/>
      <c r="BB180" s="6" t="n"/>
      <c r="BC180" s="6" t="n"/>
      <c r="BD180" s="6" t="n"/>
      <c r="BE180" s="6" t="n"/>
      <c r="BF180" s="3" t="n"/>
      <c r="BG180" s="6" t="n"/>
      <c r="BH180" s="6" t="n"/>
      <c r="BI180" s="6" t="n"/>
      <c r="BJ180" s="6" t="n"/>
      <c r="BK180" s="3" t="n"/>
      <c r="BL180" s="6" t="n"/>
      <c r="BM180" s="6" t="n"/>
      <c r="BN180" s="6" t="n"/>
      <c r="BO180" s="6" t="n"/>
      <c r="BP180" s="3" t="n"/>
      <c r="BQ180" s="6" t="n"/>
      <c r="BR180" s="6" t="n"/>
      <c r="BS180" s="6" t="n"/>
      <c r="BT180" s="6" t="n"/>
      <c r="BU180" s="3" t="n"/>
      <c r="BV180" s="6" t="n"/>
      <c r="BW180" s="6" t="n"/>
      <c r="BX180" s="6" t="n"/>
      <c r="BY180" s="6" t="n"/>
      <c r="BZ180" s="3" t="n"/>
      <c r="CA180" s="6" t="n"/>
      <c r="CB180" s="6" t="n"/>
      <c r="CC180" s="6" t="n"/>
      <c r="CD180" s="6" t="n"/>
      <c r="CE180" s="3" t="n"/>
      <c r="CF180" s="6" t="n"/>
      <c r="CG180" s="6" t="n"/>
      <c r="CH180" s="6" t="n"/>
      <c r="CI180" s="6" t="n"/>
      <c r="CJ180" s="3" t="n"/>
      <c r="CK180" s="6" t="n"/>
      <c r="CL180" s="6" t="n"/>
      <c r="CM180" s="6" t="n"/>
      <c r="CN180" s="6" t="n"/>
      <c r="CO180" s="3" t="n"/>
      <c r="CP180" s="6" t="n"/>
      <c r="CQ180" s="6" t="n"/>
      <c r="CR180" s="6" t="n"/>
      <c r="CS180" s="6" t="n"/>
      <c r="CT180" s="3" t="n"/>
      <c r="CU180" s="6" t="n"/>
      <c r="CV180" s="6" t="n"/>
      <c r="CW180" s="6" t="n"/>
      <c r="CX180" s="6" t="n"/>
      <c r="CY180" s="3" t="n"/>
    </row>
    <row r="181" hidden="1" outlineLevel="1">
      <c r="C181" s="34" t="inlineStr">
        <is>
          <t>Recurring asset sales (enter as -)</t>
        </is>
      </c>
      <c r="D181" s="3" t="n"/>
      <c r="E181" s="3" t="n"/>
      <c r="F181" s="3" t="n"/>
      <c r="G181" s="3" t="n"/>
      <c r="H181" s="3">
        <f>SUM(D181:G181)</f>
        <v>0</v>
      </c>
      <c r="I181" s="3" t="n"/>
      <c r="J181" s="3" t="n"/>
      <c r="K181" s="3" t="n"/>
      <c r="L181" s="3" t="n"/>
      <c r="M181" s="3">
        <f>SUM(I181:L181)</f>
        <v>0</v>
      </c>
      <c r="N181" s="3" t="n"/>
      <c r="O181" s="3" t="n"/>
      <c r="P181" s="3" t="n"/>
      <c r="Q181" s="3" t="n"/>
      <c r="R181" s="3">
        <f>SUM(N181:Q181)</f>
        <v>0</v>
      </c>
      <c r="S181" s="3" t="n"/>
      <c r="T181" s="3" t="n"/>
      <c r="U181" s="3" t="n"/>
      <c r="V181" s="3" t="n"/>
      <c r="W181" s="3">
        <f>SUM(S181:V181)</f>
        <v>0</v>
      </c>
      <c r="X181" s="3" t="n"/>
      <c r="Y181" s="3" t="n"/>
      <c r="Z181" s="3" t="n"/>
      <c r="AA181" s="3" t="n"/>
      <c r="AB181" s="3">
        <f>SUM(X181:AA181)</f>
        <v>0</v>
      </c>
      <c r="AC181" s="3" t="n"/>
      <c r="AD181" s="3" t="n"/>
      <c r="AE181" s="3" t="n"/>
      <c r="AF181" s="6" t="n"/>
      <c r="AG181" s="3" t="n"/>
      <c r="AH181" s="6" t="n"/>
      <c r="AI181" s="6" t="n"/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inlineStr">
        <is>
          <t>Depreciation</t>
        </is>
      </c>
      <c r="D182" s="3">
        <f>D82</f>
        <v>-107.222</v>
      </c>
      <c r="E182" s="3">
        <f>E82</f>
        <v>-101.508</v>
      </c>
      <c r="F182" s="3">
        <f>F82</f>
        <v>-119.025</v>
      </c>
      <c r="G182" s="3">
        <f>G82</f>
        <v>-85.125</v>
      </c>
      <c r="H182" s="3" t="n"/>
      <c r="I182" s="3">
        <f>I82</f>
        <v>-62.178</v>
      </c>
      <c r="J182" s="3">
        <f>J82</f>
        <v>-72.936</v>
      </c>
      <c r="K182" s="3">
        <f>K82</f>
        <v>-110.706</v>
      </c>
      <c r="L182" s="3">
        <f>L82</f>
        <v>-170.431</v>
      </c>
      <c r="M182" s="3" t="n"/>
      <c r="N182" s="3">
        <f>N82</f>
        <v>-212.836</v>
      </c>
      <c r="O182" s="3">
        <f>O82</f>
        <v>-240.909</v>
      </c>
      <c r="P182" s="3">
        <f>P82</f>
        <v>-300.524</v>
      </c>
      <c r="Q182" s="3">
        <f>Q82</f>
        <v>-380.942</v>
      </c>
      <c r="R182" s="3" t="n"/>
      <c r="S182" s="3">
        <f>S82</f>
        <v>-390.033</v>
      </c>
      <c r="T182" s="3">
        <f>T82</f>
        <v>-388.955</v>
      </c>
      <c r="U182" s="3">
        <f>U82</f>
        <v>-412.766</v>
      </c>
      <c r="V182" s="3">
        <f>V82</f>
        <v>-1046.012</v>
      </c>
      <c r="W182" s="3" t="n"/>
      <c r="X182" s="3">
        <f>X82</f>
        <v>-447.855</v>
      </c>
      <c r="Y182" s="3">
        <f>Y82</f>
        <v>-522.034</v>
      </c>
      <c r="Z182" s="3">
        <f>Z82</f>
        <v>-551.278</v>
      </c>
      <c r="AA182" s="3">
        <f>AA82</f>
        <v>-559.351</v>
      </c>
      <c r="AB182" s="3" t="n"/>
      <c r="AC182" s="3">
        <f>AC82</f>
        <v>-572.374</v>
      </c>
      <c r="AD182" s="3">
        <f>AD82</f>
        <v>-593.733</v>
      </c>
      <c r="AE182" s="3">
        <f>AE82</f>
        <v>-624.565</v>
      </c>
      <c r="AF182" s="3">
        <f>AF82</f>
        <v>-639.3592426</v>
      </c>
      <c r="AG182" s="3" t="n"/>
      <c r="AH182" s="3">
        <f>AH82</f>
        <v>-650.5859214</v>
      </c>
      <c r="AI182" s="3">
        <f>AI82</f>
        <v>-671.5636214</v>
      </c>
      <c r="AJ182" s="3">
        <f>AJ82</f>
        <v>0</v>
      </c>
      <c r="AK182" s="3">
        <f>AK82</f>
        <v>0</v>
      </c>
      <c r="AL182" s="3" t="n"/>
      <c r="AM182" s="3">
        <f>AM82</f>
        <v>0</v>
      </c>
      <c r="AN182" s="3">
        <f>AN82</f>
        <v>0</v>
      </c>
      <c r="AO182" s="3">
        <f>AO82</f>
        <v>0</v>
      </c>
      <c r="AP182" s="3">
        <f>AP82</f>
        <v>0</v>
      </c>
      <c r="AQ182" s="3" t="n"/>
      <c r="AR182" s="3">
        <f>AR82</f>
        <v>0</v>
      </c>
      <c r="AS182" s="3">
        <f>AS82</f>
        <v>0</v>
      </c>
      <c r="AT182" s="3">
        <f>AT82</f>
        <v>0</v>
      </c>
      <c r="AU182" s="3">
        <f>AU82</f>
        <v>0</v>
      </c>
      <c r="AV182" s="3" t="n"/>
      <c r="AW182" s="3">
        <f>AW82</f>
        <v>0</v>
      </c>
      <c r="AX182" s="3">
        <f>AX82</f>
        <v>0</v>
      </c>
      <c r="AY182" s="3">
        <f>AY82</f>
        <v>0</v>
      </c>
      <c r="AZ182" s="3">
        <f>AZ82</f>
        <v>0</v>
      </c>
      <c r="BA182" s="3" t="n"/>
      <c r="BB182" s="3">
        <f>BB82</f>
        <v>0</v>
      </c>
      <c r="BC182" s="3">
        <f>BC82</f>
        <v>0</v>
      </c>
      <c r="BD182" s="3">
        <f>BD82</f>
        <v>0</v>
      </c>
      <c r="BE182" s="3">
        <f>BE82</f>
        <v>0</v>
      </c>
      <c r="BF182" s="3" t="n"/>
      <c r="BG182" s="3">
        <f>BG82</f>
        <v>0</v>
      </c>
      <c r="BH182" s="3">
        <f>BH82</f>
        <v>0</v>
      </c>
      <c r="BI182" s="3">
        <f>BI82</f>
        <v>0</v>
      </c>
      <c r="BJ182" s="3">
        <f>BJ82</f>
        <v>0</v>
      </c>
      <c r="BK182" s="3" t="n"/>
      <c r="BL182" s="3">
        <f>BL82</f>
        <v>0</v>
      </c>
      <c r="BM182" s="3">
        <f>BM82</f>
        <v>0</v>
      </c>
      <c r="BN182" s="3">
        <f>BN82</f>
        <v>0</v>
      </c>
      <c r="BO182" s="3">
        <f>BO82</f>
        <v>0</v>
      </c>
      <c r="BP182" s="3" t="n"/>
      <c r="BQ182" s="3">
        <f>BQ82</f>
        <v>0</v>
      </c>
      <c r="BR182" s="3">
        <f>BR82</f>
        <v>0</v>
      </c>
      <c r="BS182" s="3">
        <f>BS82</f>
        <v>0</v>
      </c>
      <c r="BT182" s="3">
        <f>BT82</f>
        <v>0</v>
      </c>
      <c r="BU182" s="3" t="n"/>
      <c r="BV182" s="3">
        <f>BV82</f>
        <v>0</v>
      </c>
      <c r="BW182" s="3">
        <f>BW82</f>
        <v>0</v>
      </c>
      <c r="BX182" s="3">
        <f>BX82</f>
        <v>0</v>
      </c>
      <c r="BY182" s="3">
        <f>BY82</f>
        <v>0</v>
      </c>
      <c r="BZ182" s="3" t="n"/>
      <c r="CA182" s="3">
        <f>CA82</f>
        <v>0</v>
      </c>
      <c r="CB182" s="3">
        <f>CB82</f>
        <v>0</v>
      </c>
      <c r="CC182" s="3">
        <f>CC82</f>
        <v>0</v>
      </c>
      <c r="CD182" s="3">
        <f>CD82</f>
        <v>0</v>
      </c>
      <c r="CE182" s="3" t="n"/>
      <c r="CF182" s="3">
        <f>CF82</f>
        <v>0</v>
      </c>
      <c r="CG182" s="3">
        <f>CG82</f>
        <v>0</v>
      </c>
      <c r="CH182" s="3">
        <f>CH82</f>
        <v>0</v>
      </c>
      <c r="CI182" s="3">
        <f>CI82</f>
        <v>0</v>
      </c>
      <c r="CJ182" s="3" t="n"/>
      <c r="CK182" s="3">
        <f>CK82</f>
        <v>0</v>
      </c>
      <c r="CL182" s="3">
        <f>CL82</f>
        <v>0</v>
      </c>
      <c r="CM182" s="3">
        <f>CM82</f>
        <v>0</v>
      </c>
      <c r="CN182" s="3">
        <f>CN82</f>
        <v>0</v>
      </c>
      <c r="CO182" s="3" t="n"/>
      <c r="CP182" s="3">
        <f>CP82</f>
        <v>0</v>
      </c>
      <c r="CQ182" s="3">
        <f>CQ82</f>
        <v>0</v>
      </c>
      <c r="CR182" s="3">
        <f>CR82</f>
        <v>0</v>
      </c>
      <c r="CS182" s="3">
        <f>CS82</f>
        <v>0</v>
      </c>
      <c r="CT182" s="3" t="n"/>
      <c r="CU182" s="3">
        <f>CU82</f>
        <v>0</v>
      </c>
      <c r="CV182" s="3">
        <f>CV82</f>
        <v>0</v>
      </c>
      <c r="CW182" s="3">
        <f>CW82</f>
        <v>0</v>
      </c>
      <c r="CX182" s="3">
        <f>CX82</f>
        <v>0</v>
      </c>
      <c r="CY182" s="3" t="n"/>
    </row>
    <row r="183" hidden="1" outlineLevel="1">
      <c r="C183" s="34" t="inlineStr">
        <is>
          <t>PP&amp;E</t>
        </is>
      </c>
      <c r="D183" s="3">
        <f>D178</f>
        <v>5005.772</v>
      </c>
      <c r="E183" s="3">
        <f>E178</f>
        <v>4468.999</v>
      </c>
      <c r="F183" s="3">
        <f>F178</f>
        <v>5036.472</v>
      </c>
      <c r="G183" s="3">
        <f>G178</f>
        <v>5738.753</v>
      </c>
      <c r="H183" s="3" t="n"/>
      <c r="I183" s="3">
        <f>I178</f>
        <v>6358.238</v>
      </c>
      <c r="J183" s="3">
        <f>J178</f>
        <v>7287.437</v>
      </c>
      <c r="K183" s="3">
        <f>K178</f>
        <v>9856.908</v>
      </c>
      <c r="L183" s="3">
        <f>L178</f>
        <v>12140.029</v>
      </c>
      <c r="M183" s="3" t="n"/>
      <c r="N183" s="3">
        <f>N178</f>
        <v>12833.83</v>
      </c>
      <c r="O183" s="3">
        <f>O178</f>
        <v>14798.069</v>
      </c>
      <c r="P183" s="3">
        <f>P178</f>
        <v>15290.954</v>
      </c>
      <c r="Q183" s="3">
        <f>Q178</f>
        <v>15842.199</v>
      </c>
      <c r="R183" s="3" t="n"/>
      <c r="S183" s="3">
        <f>S178</f>
        <v>15303.402</v>
      </c>
      <c r="T183" s="3">
        <f>T178</f>
        <v>15083.106</v>
      </c>
      <c r="U183" s="3">
        <f>U178</f>
        <v>16021.303</v>
      </c>
      <c r="V183" s="3">
        <f>V178</f>
        <v>18637.281</v>
      </c>
      <c r="W183" s="3" t="n"/>
      <c r="X183" s="3">
        <f>X178</f>
        <v>18762.548</v>
      </c>
      <c r="Y183" s="3">
        <f>Y178</f>
        <v>19168.4</v>
      </c>
      <c r="Z183" s="3">
        <f>Z178</f>
        <v>19724.886</v>
      </c>
      <c r="AA183" s="3">
        <f>Y183+SUM(AA180:AA182)</f>
        <v>21356.466</v>
      </c>
      <c r="AB183" s="3" t="n"/>
      <c r="AC183" s="3">
        <f>AC178</f>
        <v>20671.846</v>
      </c>
      <c r="AD183" s="3">
        <f>AD178</f>
        <v>21464.854</v>
      </c>
      <c r="AE183" s="3">
        <f>AE178</f>
        <v>21621.948</v>
      </c>
      <c r="AF183" s="3">
        <f>AE183+SUM(AF180:AF182)</f>
        <v>24160.768</v>
      </c>
      <c r="AG183" s="3" t="n"/>
      <c r="AH183" s="3">
        <f>AH178</f>
        <v>23242.795</v>
      </c>
      <c r="AI183" s="3">
        <f>AI178</f>
        <v>25078.365</v>
      </c>
      <c r="AJ183" s="3">
        <f>AI183+SUM(AJ180:AJ182)</f>
        <v>25078.365</v>
      </c>
      <c r="AK183" s="3">
        <f>AJ183+SUM(AK180:AK182)</f>
        <v>25078.365</v>
      </c>
      <c r="AL183" s="3" t="n"/>
      <c r="AM183" s="3">
        <f>AK183+SUM(AM180:AM182)</f>
        <v>25078.365</v>
      </c>
      <c r="AN183" s="3">
        <f>AM183+SUM(AN180:AN182)</f>
        <v>25078.365</v>
      </c>
      <c r="AO183" s="3">
        <f>AN183+SUM(AO180:AO182)</f>
        <v>25078.365</v>
      </c>
      <c r="AP183" s="3">
        <f>AO183+SUM(AP180:AP182)</f>
        <v>25078.365</v>
      </c>
      <c r="AQ183" s="3" t="n"/>
      <c r="AR183" s="3">
        <f>AP183+SUM(AR180:AR182)</f>
        <v>25078.365</v>
      </c>
      <c r="AS183" s="3">
        <f>AR183+SUM(AS180:AS182)</f>
        <v>25078.365</v>
      </c>
      <c r="AT183" s="3">
        <f>AS183+SUM(AT180:AT182)</f>
        <v>25078.365</v>
      </c>
      <c r="AU183" s="3">
        <f>AT183+SUM(AU180:AU182)</f>
        <v>25078.365</v>
      </c>
      <c r="AV183" s="3" t="n"/>
      <c r="AW183" s="3">
        <f>AU183+SUM(AW180:AW182)</f>
        <v>25078.365</v>
      </c>
      <c r="AX183" s="3">
        <f>AW183+SUM(AX180:AX182)</f>
        <v>25078.365</v>
      </c>
      <c r="AY183" s="3">
        <f>AX183+SUM(AY180:AY182)</f>
        <v>25078.365</v>
      </c>
      <c r="AZ183" s="3">
        <f>AY183+SUM(AZ180:AZ182)</f>
        <v>25078.365</v>
      </c>
      <c r="BA183" s="3" t="n"/>
      <c r="BB183" s="3">
        <f>AZ183+SUM(BB180:BB182)</f>
        <v>25078.365</v>
      </c>
      <c r="BC183" s="3">
        <f>BB183+SUM(BC180:BC182)</f>
        <v>25078.365</v>
      </c>
      <c r="BD183" s="3">
        <f>BC183+SUM(BD180:BD182)</f>
        <v>25078.365</v>
      </c>
      <c r="BE183" s="3">
        <f>BD183+SUM(BE180:BE182)</f>
        <v>25078.365</v>
      </c>
      <c r="BF183" s="3" t="n"/>
      <c r="BG183" s="3">
        <f>BE183+SUM(BG180:BG182)</f>
        <v>25078.365</v>
      </c>
      <c r="BH183" s="3">
        <f>BG183+SUM(BH180:BH182)</f>
        <v>25078.365</v>
      </c>
      <c r="BI183" s="3">
        <f>BH183+SUM(BI180:BI182)</f>
        <v>25078.365</v>
      </c>
      <c r="BJ183" s="3">
        <f>BI183+SUM(BJ180:BJ182)</f>
        <v>25078.365</v>
      </c>
      <c r="BK183" s="3" t="n"/>
      <c r="BL183" s="3">
        <f>BJ183+SUM(BL180:BL182)</f>
        <v>25078.365</v>
      </c>
      <c r="BM183" s="3">
        <f>BL183+SUM(BM180:BM182)</f>
        <v>25078.365</v>
      </c>
      <c r="BN183" s="3">
        <f>BM183+SUM(BN180:BN182)</f>
        <v>25078.365</v>
      </c>
      <c r="BO183" s="3">
        <f>BN183+SUM(BO180:BO182)</f>
        <v>25078.365</v>
      </c>
      <c r="BP183" s="3" t="n"/>
      <c r="BQ183" s="3">
        <f>BO183+SUM(BQ180:BQ182)</f>
        <v>25078.365</v>
      </c>
      <c r="BR183" s="3">
        <f>BQ183+SUM(BR180:BR182)</f>
        <v>25078.365</v>
      </c>
      <c r="BS183" s="3">
        <f>BR183+SUM(BS180:BS182)</f>
        <v>25078.365</v>
      </c>
      <c r="BT183" s="3">
        <f>BS183+SUM(BT180:BT182)</f>
        <v>25078.365</v>
      </c>
      <c r="BU183" s="3" t="n"/>
      <c r="BV183" s="3">
        <f>BT183+SUM(BV180:BV182)</f>
        <v>25078.365</v>
      </c>
      <c r="BW183" s="3">
        <f>BV183+SUM(BW180:BW182)</f>
        <v>25078.365</v>
      </c>
      <c r="BX183" s="3">
        <f>BW183+SUM(BX180:BX182)</f>
        <v>25078.365</v>
      </c>
      <c r="BY183" s="3">
        <f>BX183+SUM(BY180:BY182)</f>
        <v>25078.365</v>
      </c>
      <c r="BZ183" s="3" t="n"/>
      <c r="CA183" s="3">
        <f>BY183+SUM(CA180:CA182)</f>
        <v>25078.365</v>
      </c>
      <c r="CB183" s="3">
        <f>CA183+SUM(CB180:CB182)</f>
        <v>25078.365</v>
      </c>
      <c r="CC183" s="3">
        <f>CB183+SUM(CC180:CC182)</f>
        <v>25078.365</v>
      </c>
      <c r="CD183" s="3">
        <f>CC183+SUM(CD180:CD182)</f>
        <v>25078.365</v>
      </c>
      <c r="CE183" s="3" t="n"/>
      <c r="CF183" s="3">
        <f>CD183+SUM(CF180:CF182)</f>
        <v>25078.365</v>
      </c>
      <c r="CG183" s="3">
        <f>CF183+SUM(CG180:CG182)</f>
        <v>25078.365</v>
      </c>
      <c r="CH183" s="3">
        <f>CG183+SUM(CH180:CH182)</f>
        <v>25078.365</v>
      </c>
      <c r="CI183" s="3">
        <f>CH183+SUM(CI180:CI182)</f>
        <v>25078.365</v>
      </c>
      <c r="CJ183" s="3" t="n"/>
      <c r="CK183" s="3">
        <f>CI183+SUM(CK180:CK182)</f>
        <v>25078.365</v>
      </c>
      <c r="CL183" s="3">
        <f>CK183+SUM(CL180:CL182)</f>
        <v>25078.365</v>
      </c>
      <c r="CM183" s="3">
        <f>CL183+SUM(CM180:CM182)</f>
        <v>25078.365</v>
      </c>
      <c r="CN183" s="3">
        <f>CM183+SUM(CN180:CN182)</f>
        <v>25078.365</v>
      </c>
      <c r="CO183" s="3" t="n"/>
      <c r="CP183" s="3">
        <f>CN183+SUM(CP180:CP182)</f>
        <v>25078.365</v>
      </c>
      <c r="CQ183" s="3">
        <f>CP183+SUM(CQ180:CQ182)</f>
        <v>25078.365</v>
      </c>
      <c r="CR183" s="3">
        <f>CQ183+SUM(CR180:CR182)</f>
        <v>25078.365</v>
      </c>
      <c r="CS183" s="3">
        <f>CR183+SUM(CS180:CS182)</f>
        <v>25078.365</v>
      </c>
      <c r="CT183" s="3" t="n"/>
      <c r="CU183" s="3">
        <f>CS183+SUM(CU180:CU182)</f>
        <v>25078.365</v>
      </c>
      <c r="CV183" s="3">
        <f>CU183+SUM(CV180:CV182)</f>
        <v>25078.365</v>
      </c>
      <c r="CW183" s="3">
        <f>CV183+SUM(CW180:CW182)</f>
        <v>25078.365</v>
      </c>
      <c r="CX183" s="3">
        <f>CW183+SUM(CX180:CX182)</f>
        <v>25078.365</v>
      </c>
      <c r="CY183" s="3" t="n"/>
      <c r="CZ183">
        <f>CX183+SUM(CZ180:CZ182)</f>
        <v>25078.365</v>
      </c>
      <c r="DA183">
        <f>CZ183+SUM(DA180:DA182)</f>
        <v>25078.365</v>
      </c>
      <c r="DB183">
        <f>DA183+SUM(DB180:DB182)</f>
        <v>25078.365</v>
      </c>
      <c r="DC183">
        <f>DB183+SUM(DC180:DC182)</f>
        <v>25078.365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Capital expenditures (% Net Revenues)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40">
        <f>AF180/AF15</f>
        <v>0.868598202504967</v>
      </c>
      <c r="AG185" s="40">
        <f>AG180/AG15</f>
        <v>0.318826994118937</v>
      </c>
      <c r="AH185" s="40">
        <f>AH180/AH15</f>
        <v>-0.0707252548382847</v>
      </c>
      <c r="AI185" s="40">
        <f>AI180/AI15</f>
        <v>0.665758540152625</v>
      </c>
      <c r="AJ185" s="40">
        <f>AJ180/AJ15</f>
        <v>0</v>
      </c>
      <c r="AK185" s="40">
        <f>AK180/AK15</f>
        <v>0</v>
      </c>
      <c r="AL185" s="40">
        <f>AL180/AL15</f>
        <v>0</v>
      </c>
      <c r="AM185" s="40">
        <f>AM180/AM15</f>
        <v>0</v>
      </c>
      <c r="AN185" s="40">
        <f>AN180/AN15</f>
        <v>0</v>
      </c>
      <c r="AO185" s="40">
        <f>AO180/AO15</f>
        <v>0</v>
      </c>
      <c r="AP185" s="40">
        <f>AP180/AP15</f>
        <v>0</v>
      </c>
      <c r="AQ185" s="40">
        <f>AQ180/AQ15</f>
        <v>0</v>
      </c>
      <c r="AR185" s="40">
        <f>AR180/AR15</f>
        <v>0</v>
      </c>
      <c r="AS185" s="40">
        <f>AS180/AS15</f>
        <v>0</v>
      </c>
      <c r="AT185" s="40">
        <f>AT180/AT15</f>
        <v>0</v>
      </c>
      <c r="AU185" s="40">
        <f>AU180/AU15</f>
        <v>0</v>
      </c>
      <c r="AV185" s="40">
        <f>AV180/AV15</f>
        <v>0</v>
      </c>
      <c r="AW185" s="40">
        <f>AW180/AW15</f>
        <v>0</v>
      </c>
      <c r="AX185" s="40">
        <f>AX180/AX15</f>
        <v>0</v>
      </c>
      <c r="AY185" s="40">
        <f>AY180/AY15</f>
        <v>0</v>
      </c>
      <c r="AZ185" s="40">
        <f>AZ180/AZ15</f>
        <v>0</v>
      </c>
      <c r="BA185" s="40">
        <f>BA180/BA15</f>
        <v>0</v>
      </c>
      <c r="BB185" s="40">
        <f>BB180/BB15</f>
        <v>0</v>
      </c>
      <c r="BC185" s="40">
        <f>BC180/BC15</f>
        <v>0</v>
      </c>
      <c r="BD185" s="40">
        <f>BD180/BD15</f>
        <v>0</v>
      </c>
      <c r="BE185" s="40">
        <f>BE180/BE15</f>
        <v>0</v>
      </c>
      <c r="BF185" s="40">
        <f>BF180/BF15</f>
        <v>0</v>
      </c>
      <c r="BG185" s="40">
        <f>BG180/BG15</f>
        <v>0</v>
      </c>
      <c r="BH185" s="40">
        <f>BH180/BH15</f>
        <v>0</v>
      </c>
      <c r="BI185" s="40">
        <f>BI180/BI15</f>
        <v>0</v>
      </c>
      <c r="BJ185" s="40">
        <f>BJ180/BJ15</f>
        <v>0</v>
      </c>
      <c r="BK185" s="40">
        <f>BK180/BK15</f>
        <v>0</v>
      </c>
      <c r="BL185" s="40">
        <f>BL180/BL15</f>
        <v>0</v>
      </c>
      <c r="BM185" s="40">
        <f>BM180/BM15</f>
        <v>0</v>
      </c>
      <c r="BN185" s="40">
        <f>BN180/BN15</f>
        <v>0</v>
      </c>
      <c r="BO185" s="40">
        <f>BO180/BO15</f>
        <v>0</v>
      </c>
      <c r="BP185" s="40">
        <f>BP180/BP15</f>
        <v>0</v>
      </c>
      <c r="BQ185" s="40">
        <f>BQ180/BQ15</f>
        <v>0</v>
      </c>
      <c r="BR185" s="40">
        <f>BR180/BR15</f>
        <v>0</v>
      </c>
      <c r="BS185" s="40">
        <f>BS180/BS15</f>
        <v>0</v>
      </c>
      <c r="BT185" s="40">
        <f>BT180/BT15</f>
        <v>0</v>
      </c>
      <c r="BU185" s="40">
        <f>BU180/BU15</f>
        <v>0</v>
      </c>
      <c r="BV185" s="40">
        <f>BV180/BV15</f>
        <v>0</v>
      </c>
      <c r="BW185" s="40">
        <f>BW180/BW15</f>
        <v>0</v>
      </c>
      <c r="BX185" s="40">
        <f>BX180/BX15</f>
        <v>0</v>
      </c>
      <c r="BY185" s="40">
        <f>BY180/BY15</f>
        <v>0</v>
      </c>
      <c r="BZ185" s="40">
        <f>BZ180/BZ15</f>
        <v>0</v>
      </c>
      <c r="CA185" s="40">
        <f>CA180/CA15</f>
        <v>0</v>
      </c>
      <c r="CB185" s="40">
        <f>CB180/CB15</f>
        <v>0</v>
      </c>
      <c r="CC185" s="40">
        <f>CC180/CC15</f>
        <v>0</v>
      </c>
      <c r="CD185" s="40">
        <f>CD180/CD15</f>
        <v>0</v>
      </c>
      <c r="CE185" s="40">
        <f>CE180/CE15</f>
        <v>0</v>
      </c>
      <c r="CF185" s="40">
        <f>CF180/CF15</f>
        <v>0</v>
      </c>
      <c r="CG185" s="40">
        <f>CG180/CG15</f>
        <v>0</v>
      </c>
      <c r="CH185" s="40">
        <f>CH180/CH15</f>
        <v>0</v>
      </c>
      <c r="CI185" s="40">
        <f>CI180/CI15</f>
        <v>0</v>
      </c>
      <c r="CJ185" s="40">
        <f>CJ180/CJ15</f>
        <v>0</v>
      </c>
      <c r="CK185" s="40">
        <f>CK180/CK15</f>
        <v>0</v>
      </c>
      <c r="CL185" s="40">
        <f>CL180/CL15</f>
        <v>0</v>
      </c>
      <c r="CM185" s="40">
        <f>CM180/CM15</f>
        <v>0</v>
      </c>
      <c r="CN185" s="40">
        <f>CN180/CN15</f>
        <v>0</v>
      </c>
      <c r="CO185" s="40">
        <f>CO180/CO15</f>
        <v>0</v>
      </c>
      <c r="CP185" s="40">
        <f>CP180/CP15</f>
        <v>0</v>
      </c>
      <c r="CQ185" s="40">
        <f>CQ180/CQ15</f>
        <v>0</v>
      </c>
      <c r="CR185" s="40">
        <f>CR180/CR15</f>
        <v>0</v>
      </c>
      <c r="CS185" s="40">
        <f>CS180/CS15</f>
        <v>0</v>
      </c>
      <c r="CT185" s="40">
        <f>CT180/CT15</f>
        <v>0</v>
      </c>
      <c r="CU185" s="40">
        <f>CU180/CU15</f>
        <v>0</v>
      </c>
      <c r="CV185" s="40">
        <f>CV180/CV15</f>
        <v>0</v>
      </c>
      <c r="CW185" s="40">
        <f>CW180/CW15</f>
        <v>0</v>
      </c>
      <c r="CX185" s="40">
        <f>CX180/CX15</f>
        <v>0</v>
      </c>
      <c r="CY185" s="40">
        <f>CY180/CY15</f>
        <v>0</v>
      </c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collapsed="1">
      <c r="C188" s="26" t="inlineStr">
        <is>
          <t>Right-of-use-assets</t>
        </is>
      </c>
      <c r="D188" s="25" t="n"/>
      <c r="E188" s="25" t="n"/>
      <c r="F188" s="25" t="n"/>
      <c r="G188" s="25" t="n"/>
      <c r="H188" s="3">
        <f>G188</f>
        <v>0</v>
      </c>
      <c r="I188" s="25" t="n"/>
      <c r="J188" s="25" t="n"/>
      <c r="K188" s="25" t="n"/>
      <c r="L188" s="25" t="n"/>
      <c r="M188" s="3">
        <f>L188</f>
        <v>0</v>
      </c>
      <c r="N188" s="25" t="n"/>
      <c r="O188" s="25" t="n"/>
      <c r="P188" s="25" t="n"/>
      <c r="Q188" s="25" t="n"/>
      <c r="R188" s="3">
        <f>Q188</f>
        <v>0</v>
      </c>
      <c r="S188" s="25" t="n"/>
      <c r="T188" s="25" t="n"/>
      <c r="U188" s="25" t="n"/>
      <c r="V188" s="25" t="n"/>
      <c r="W188" s="3">
        <f>V188</f>
        <v>0</v>
      </c>
      <c r="X188" s="25" t="n"/>
      <c r="Y188" s="25" t="n"/>
      <c r="Z188" s="25" t="n"/>
      <c r="AA188" s="25" t="n"/>
      <c r="AB188" s="3">
        <f>AA188</f>
        <v>0</v>
      </c>
      <c r="AC188" s="25" t="n"/>
      <c r="AD188" s="25" t="n"/>
      <c r="AE188" s="25" t="n"/>
      <c r="AF188" s="25" t="n"/>
      <c r="AG188" s="3">
        <f>AF188</f>
        <v>0</v>
      </c>
      <c r="AH188" s="3">
        <f>AG188</f>
        <v>0</v>
      </c>
      <c r="AI188" s="3">
        <f>AH188</f>
        <v>0</v>
      </c>
      <c r="AJ188" s="3">
        <f>AI188</f>
        <v>0</v>
      </c>
      <c r="AK188" s="3">
        <f>AJ188</f>
        <v>0</v>
      </c>
      <c r="AL188" s="3">
        <f>AK188</f>
        <v>0</v>
      </c>
      <c r="AM188" s="3">
        <f>AL188</f>
        <v>0</v>
      </c>
      <c r="AN188" s="3">
        <f>AM188</f>
        <v>0</v>
      </c>
      <c r="AO188" s="3">
        <f>AN188</f>
        <v>0</v>
      </c>
      <c r="AP188" s="3">
        <f>AO188</f>
        <v>0</v>
      </c>
      <c r="AQ188" s="3">
        <f>AP188</f>
        <v>0</v>
      </c>
      <c r="AR188" s="3">
        <f>AQ188</f>
        <v>0</v>
      </c>
      <c r="AS188" s="3">
        <f>AR188</f>
        <v>0</v>
      </c>
      <c r="AT188" s="3">
        <f>AS188</f>
        <v>0</v>
      </c>
      <c r="AU188" s="3">
        <f>AT188</f>
        <v>0</v>
      </c>
      <c r="AV188" s="3">
        <f>AU188</f>
        <v>0</v>
      </c>
      <c r="AW188" s="3">
        <f>AV188</f>
        <v>0</v>
      </c>
      <c r="AX188" s="3">
        <f>AW188</f>
        <v>0</v>
      </c>
      <c r="AY188" s="3">
        <f>AX188</f>
        <v>0</v>
      </c>
      <c r="AZ188" s="3">
        <f>AY188</f>
        <v>0</v>
      </c>
      <c r="BA188" s="3">
        <f>AZ188</f>
        <v>0</v>
      </c>
      <c r="BB188" s="3">
        <f>BA188</f>
        <v>0</v>
      </c>
      <c r="BC188" s="3">
        <f>BB188</f>
        <v>0</v>
      </c>
      <c r="BD188" s="3">
        <f>BC188</f>
        <v>0</v>
      </c>
      <c r="BE188" s="3">
        <f>BD188</f>
        <v>0</v>
      </c>
      <c r="BF188" s="3">
        <f>BE188</f>
        <v>0</v>
      </c>
      <c r="BG188" s="3">
        <f>BF188</f>
        <v>0</v>
      </c>
      <c r="BH188" s="3">
        <f>BG188</f>
        <v>0</v>
      </c>
      <c r="BI188" s="3">
        <f>BH188</f>
        <v>0</v>
      </c>
      <c r="BJ188" s="3">
        <f>BI188</f>
        <v>0</v>
      </c>
      <c r="BK188" s="3">
        <f>BJ188</f>
        <v>0</v>
      </c>
      <c r="BL188" s="3">
        <f>BK188</f>
        <v>0</v>
      </c>
      <c r="BM188" s="3">
        <f>BL188</f>
        <v>0</v>
      </c>
      <c r="BN188" s="3">
        <f>BM188</f>
        <v>0</v>
      </c>
      <c r="BO188" s="3">
        <f>BN188</f>
        <v>0</v>
      </c>
      <c r="BP188" s="3">
        <f>BO188</f>
        <v>0</v>
      </c>
      <c r="BQ188" s="3">
        <f>BP188</f>
        <v>0</v>
      </c>
      <c r="BR188" s="3">
        <f>BQ188</f>
        <v>0</v>
      </c>
      <c r="BS188" s="3">
        <f>BR188</f>
        <v>0</v>
      </c>
      <c r="BT188" s="3">
        <f>BS188</f>
        <v>0</v>
      </c>
      <c r="BU188" s="3">
        <f>BT188</f>
        <v>0</v>
      </c>
      <c r="BV188" s="3">
        <f>BU188</f>
        <v>0</v>
      </c>
      <c r="BW188" s="3">
        <f>BV188</f>
        <v>0</v>
      </c>
      <c r="BX188" s="3">
        <f>BW188</f>
        <v>0</v>
      </c>
      <c r="BY188" s="3">
        <f>BX188</f>
        <v>0</v>
      </c>
      <c r="BZ188" s="3">
        <f>BY188</f>
        <v>0</v>
      </c>
      <c r="CA188" s="3">
        <f>BZ188</f>
        <v>0</v>
      </c>
      <c r="CB188" s="3">
        <f>CA188</f>
        <v>0</v>
      </c>
      <c r="CC188" s="3">
        <f>CB188</f>
        <v>0</v>
      </c>
      <c r="CD188" s="3">
        <f>CC188</f>
        <v>0</v>
      </c>
      <c r="CE188" s="3">
        <f>CD188</f>
        <v>0</v>
      </c>
      <c r="CF188" s="3">
        <f>CE188</f>
        <v>0</v>
      </c>
      <c r="CG188" s="3">
        <f>CF188</f>
        <v>0</v>
      </c>
      <c r="CH188" s="3">
        <f>CG188</f>
        <v>0</v>
      </c>
      <c r="CI188" s="3">
        <f>CH188</f>
        <v>0</v>
      </c>
      <c r="CJ188" s="3">
        <f>CI188</f>
        <v>0</v>
      </c>
      <c r="CK188" s="3">
        <f>CJ188</f>
        <v>0</v>
      </c>
      <c r="CL188" s="3">
        <f>CK188</f>
        <v>0</v>
      </c>
      <c r="CM188" s="3">
        <f>CL188</f>
        <v>0</v>
      </c>
      <c r="CN188" s="3">
        <f>CM188</f>
        <v>0</v>
      </c>
      <c r="CO188" s="3">
        <f>CN188</f>
        <v>0</v>
      </c>
      <c r="CP188" s="3">
        <f>CO188</f>
        <v>0</v>
      </c>
      <c r="CQ188" s="3">
        <f>CP188</f>
        <v>0</v>
      </c>
      <c r="CR188" s="3">
        <f>CQ188</f>
        <v>0</v>
      </c>
      <c r="CS188" s="3">
        <f>CR188</f>
        <v>0</v>
      </c>
      <c r="CT188" s="3">
        <f>CS188</f>
        <v>0</v>
      </c>
      <c r="CU188" s="3">
        <f>CT188</f>
        <v>0</v>
      </c>
      <c r="CV188" s="3">
        <f>CU188</f>
        <v>0</v>
      </c>
      <c r="CW188" s="3">
        <f>CV188</f>
        <v>0</v>
      </c>
      <c r="CX188" s="3">
        <f>CW188</f>
        <v>0</v>
      </c>
      <c r="CY188" s="3">
        <f>CX188</f>
        <v>0</v>
      </c>
    </row>
    <row r="189" hidden="1" outlineLevel="1">
      <c r="C189" s="38" t="inlineStr">
        <is>
          <t>%(Var.)</t>
        </is>
      </c>
      <c r="D189" s="3" t="n"/>
      <c r="E189" s="47">
        <f>IFERROR((E188-D188)/D188,0)</f>
        <v>0</v>
      </c>
      <c r="F189" s="47">
        <f>IFERROR((F188-E188)/E188,0)</f>
        <v>0</v>
      </c>
      <c r="G189" s="47">
        <f>IFERROR((G188-F188)/F188,0)</f>
        <v>0</v>
      </c>
      <c r="H189" s="3" t="n"/>
      <c r="I189" s="47">
        <f>IFERROR((I188-H188)/H188,0)</f>
        <v>0</v>
      </c>
      <c r="J189" s="47">
        <f>IFERROR((J188-I188)/I188,0)</f>
        <v>0</v>
      </c>
      <c r="K189" s="47">
        <f>IFERROR((K188-J188)/J188,0)</f>
        <v>0</v>
      </c>
      <c r="L189" s="47">
        <f>IFERROR((L188-K188)/K188,0)</f>
        <v>0</v>
      </c>
      <c r="M189" s="3" t="n"/>
      <c r="N189" s="47">
        <f>IFERROR((N188-M188)/M188,0)</f>
        <v>0</v>
      </c>
      <c r="O189" s="47">
        <f>IFERROR((O188-N188)/N188,0)</f>
        <v>0</v>
      </c>
      <c r="P189" s="47">
        <f>IFERROR((P188-O188)/O188,0)</f>
        <v>0</v>
      </c>
      <c r="Q189" s="47">
        <f>IFERROR((Q188-P188)/P188,0)</f>
        <v>0</v>
      </c>
      <c r="R189" s="3" t="n"/>
      <c r="S189" s="47">
        <f>IFERROR((S188-R188)/R188,0)</f>
        <v>0</v>
      </c>
      <c r="T189" s="47">
        <f>IFERROR((T188-S188)/S188,0)</f>
        <v>0</v>
      </c>
      <c r="U189" s="47">
        <f>IFERROR((U188-T188)/T188,0)</f>
        <v>0</v>
      </c>
      <c r="V189" s="47">
        <f>IFERROR((V188-U188)/U188,0)</f>
        <v>0</v>
      </c>
      <c r="W189" s="3" t="n"/>
      <c r="X189" s="47">
        <f>IFERROR((X188-W188)/W188,0)</f>
        <v>0</v>
      </c>
      <c r="Y189" s="47">
        <f>IFERROR((Y188-X188)/X188,0)</f>
        <v>0</v>
      </c>
      <c r="Z189" s="47">
        <f>IFERROR((Z188-Y188)/Y188,0)</f>
        <v>0</v>
      </c>
      <c r="AA189" s="47">
        <f>IFERROR((AA188-Z188)/Z188,0)</f>
        <v>0</v>
      </c>
      <c r="AB189" s="3" t="n"/>
      <c r="AC189" s="47">
        <f>IFERROR((AC188-AB188)/AB188,0)</f>
        <v>0</v>
      </c>
      <c r="AD189" s="47">
        <f>IFERROR((AD188-AC188)/AC188,0)</f>
        <v>0</v>
      </c>
      <c r="AE189" s="47">
        <f>IFERROR((AE188-AD188)/AD188,0)</f>
        <v>0</v>
      </c>
      <c r="AF189" s="218">
        <f>IFERROR((AF188-AE188)/AE188,0)</f>
        <v>0</v>
      </c>
      <c r="AG189" s="3" t="n"/>
      <c r="AH189" s="218">
        <f>IFERROR((AH188-AG188)/AG188,0)</f>
        <v>0</v>
      </c>
      <c r="AI189" s="218">
        <f>IFERROR((AI188-AH188)/AH188,0)</f>
        <v>0</v>
      </c>
      <c r="AJ189" s="218" t="n"/>
      <c r="AK189" s="218" t="n"/>
      <c r="AL189" s="3" t="n"/>
      <c r="AM189" s="218" t="n"/>
      <c r="AN189" s="218" t="n"/>
      <c r="AO189" s="218" t="n"/>
      <c r="AP189" s="218" t="n"/>
      <c r="AQ189" s="3" t="n"/>
      <c r="AR189" s="218" t="n"/>
      <c r="AS189" s="218" t="n"/>
      <c r="AT189" s="218" t="n"/>
      <c r="AU189" s="218" t="n"/>
      <c r="AV189" s="3" t="n"/>
      <c r="AW189" s="218" t="n"/>
      <c r="AX189" s="218" t="n"/>
      <c r="AY189" s="218" t="n"/>
      <c r="AZ189" s="218" t="n"/>
      <c r="BA189" s="3" t="n"/>
      <c r="BB189" s="218" t="n"/>
      <c r="BC189" s="218" t="n"/>
      <c r="BD189" s="218" t="n"/>
      <c r="BE189" s="218" t="n"/>
      <c r="BF189" s="3" t="n"/>
      <c r="BG189" s="218" t="n"/>
      <c r="BH189" s="218" t="n"/>
      <c r="BI189" s="218" t="n"/>
      <c r="BJ189" s="218" t="n"/>
      <c r="BK189" s="3" t="n"/>
      <c r="BL189" s="218" t="n"/>
      <c r="BM189" s="218" t="n"/>
      <c r="BN189" s="218" t="n"/>
      <c r="BO189" s="218" t="n"/>
      <c r="BP189" s="3" t="n"/>
      <c r="BQ189" s="218" t="n"/>
      <c r="BR189" s="218" t="n"/>
      <c r="BS189" s="218" t="n"/>
      <c r="BT189" s="218" t="n"/>
      <c r="BU189" s="3" t="n"/>
      <c r="BV189" s="218" t="n"/>
      <c r="BW189" s="218" t="n"/>
      <c r="BX189" s="218" t="n"/>
      <c r="BY189" s="218" t="n"/>
      <c r="BZ189" s="3" t="n"/>
      <c r="CA189" s="218" t="n"/>
      <c r="CB189" s="218" t="n"/>
      <c r="CC189" s="218" t="n"/>
      <c r="CD189" s="218" t="n"/>
      <c r="CE189" s="3" t="n"/>
      <c r="CF189" s="218" t="n"/>
      <c r="CG189" s="218" t="n"/>
      <c r="CH189" s="218" t="n"/>
      <c r="CI189" s="218" t="n"/>
      <c r="CJ189" s="3" t="n"/>
      <c r="CK189" s="218" t="n"/>
      <c r="CL189" s="218" t="n"/>
      <c r="CM189" s="218" t="n"/>
      <c r="CN189" s="218" t="n"/>
      <c r="CO189" s="3" t="n"/>
      <c r="CP189" s="218" t="n"/>
      <c r="CQ189" s="218" t="n"/>
      <c r="CR189" s="218" t="n"/>
      <c r="CS189" s="218" t="n"/>
      <c r="CT189" s="3" t="n"/>
      <c r="CU189" s="218" t="n"/>
      <c r="CV189" s="218" t="n"/>
      <c r="CW189" s="218" t="n"/>
      <c r="CX189" s="218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Goodwill</t>
        </is>
      </c>
      <c r="D191" s="25" t="n"/>
      <c r="E191" s="25" t="n"/>
      <c r="F191" s="25" t="n"/>
      <c r="G191" s="25" t="n"/>
      <c r="H191" s="3">
        <f>G191</f>
        <v>0</v>
      </c>
      <c r="I191" s="25" t="n"/>
      <c r="J191" s="25" t="n"/>
      <c r="K191" s="25" t="n"/>
      <c r="L191" s="25" t="n"/>
      <c r="M191" s="3">
        <f>L191</f>
        <v>0</v>
      </c>
      <c r="N191" s="25" t="n"/>
      <c r="O191" s="25" t="n"/>
      <c r="P191" s="25" t="n"/>
      <c r="Q191" s="25" t="n"/>
      <c r="R191" s="3">
        <f>Q191</f>
        <v>0</v>
      </c>
      <c r="S191" s="25" t="n"/>
      <c r="T191" s="25" t="n"/>
      <c r="U191" s="25" t="n"/>
      <c r="V191" s="25" t="n"/>
      <c r="W191" s="3">
        <f>V191</f>
        <v>0</v>
      </c>
      <c r="X191" s="25" t="n"/>
      <c r="Y191" s="25" t="n"/>
      <c r="Z191" s="25" t="n"/>
      <c r="AA191" s="25" t="n"/>
      <c r="AB191" s="3">
        <f>AA191</f>
        <v>0</v>
      </c>
      <c r="AC191" s="25" t="n"/>
      <c r="AD191" s="25" t="n"/>
      <c r="AE191" s="25" t="n"/>
      <c r="AF191" s="25" t="n"/>
      <c r="AG191" s="3">
        <f>AF191</f>
        <v>0</v>
      </c>
      <c r="AH191" s="3">
        <f>AG191</f>
        <v>0</v>
      </c>
      <c r="AI191" s="3">
        <f>AH191</f>
        <v>0</v>
      </c>
      <c r="AJ191" s="3">
        <f>AI191</f>
        <v>0</v>
      </c>
      <c r="AK191" s="3">
        <f>AJ191</f>
        <v>0</v>
      </c>
      <c r="AL191" s="3">
        <f>AK191</f>
        <v>0</v>
      </c>
      <c r="AM191" s="3">
        <f>AL191</f>
        <v>0</v>
      </c>
      <c r="AN191" s="3">
        <f>AM191</f>
        <v>0</v>
      </c>
      <c r="AO191" s="3">
        <f>AN191</f>
        <v>0</v>
      </c>
      <c r="AP191" s="3">
        <f>AO191</f>
        <v>0</v>
      </c>
      <c r="AQ191" s="3">
        <f>AP191</f>
        <v>0</v>
      </c>
      <c r="AR191" s="3">
        <f>AQ191</f>
        <v>0</v>
      </c>
      <c r="AS191" s="3">
        <f>AR191</f>
        <v>0</v>
      </c>
      <c r="AT191" s="3">
        <f>AS191</f>
        <v>0</v>
      </c>
      <c r="AU191" s="3">
        <f>AT191</f>
        <v>0</v>
      </c>
      <c r="AV191" s="3">
        <f>AU191</f>
        <v>0</v>
      </c>
      <c r="AW191" s="3">
        <f>AV191</f>
        <v>0</v>
      </c>
      <c r="AX191" s="3">
        <f>AW191</f>
        <v>0</v>
      </c>
      <c r="AY191" s="3">
        <f>AX191</f>
        <v>0</v>
      </c>
      <c r="AZ191" s="3">
        <f>AY191</f>
        <v>0</v>
      </c>
      <c r="BA191" s="3">
        <f>AZ191</f>
        <v>0</v>
      </c>
      <c r="BB191" s="3">
        <f>BA191</f>
        <v>0</v>
      </c>
      <c r="BC191" s="3">
        <f>BB191</f>
        <v>0</v>
      </c>
      <c r="BD191" s="3">
        <f>BC191</f>
        <v>0</v>
      </c>
      <c r="BE191" s="3">
        <f>BD191</f>
        <v>0</v>
      </c>
      <c r="BF191" s="3">
        <f>BE191</f>
        <v>0</v>
      </c>
      <c r="BG191" s="3">
        <f>BF191</f>
        <v>0</v>
      </c>
      <c r="BH191" s="3">
        <f>BG191</f>
        <v>0</v>
      </c>
      <c r="BI191" s="3">
        <f>BH191</f>
        <v>0</v>
      </c>
      <c r="BJ191" s="3">
        <f>BI191</f>
        <v>0</v>
      </c>
      <c r="BK191" s="3">
        <f>BJ191</f>
        <v>0</v>
      </c>
      <c r="BL191" s="3">
        <f>BK191</f>
        <v>0</v>
      </c>
      <c r="BM191" s="3">
        <f>BL191</f>
        <v>0</v>
      </c>
      <c r="BN191" s="3">
        <f>BM191</f>
        <v>0</v>
      </c>
      <c r="BO191" s="3">
        <f>BN191</f>
        <v>0</v>
      </c>
      <c r="BP191" s="3">
        <f>BO191</f>
        <v>0</v>
      </c>
      <c r="BQ191" s="3">
        <f>BP191</f>
        <v>0</v>
      </c>
      <c r="BR191" s="3">
        <f>BQ191</f>
        <v>0</v>
      </c>
      <c r="BS191" s="3">
        <f>BR191</f>
        <v>0</v>
      </c>
      <c r="BT191" s="3">
        <f>BS191</f>
        <v>0</v>
      </c>
      <c r="BU191" s="3">
        <f>BT191</f>
        <v>0</v>
      </c>
      <c r="BV191" s="3">
        <f>BU191</f>
        <v>0</v>
      </c>
      <c r="BW191" s="3">
        <f>BV191</f>
        <v>0</v>
      </c>
      <c r="BX191" s="3">
        <f>BW191</f>
        <v>0</v>
      </c>
      <c r="BY191" s="3">
        <f>BX191</f>
        <v>0</v>
      </c>
      <c r="BZ191" s="3">
        <f>BY191</f>
        <v>0</v>
      </c>
      <c r="CA191" s="3">
        <f>BZ191</f>
        <v>0</v>
      </c>
      <c r="CB191" s="3">
        <f>CA191</f>
        <v>0</v>
      </c>
      <c r="CC191" s="3">
        <f>CB191</f>
        <v>0</v>
      </c>
      <c r="CD191" s="3">
        <f>CC191</f>
        <v>0</v>
      </c>
      <c r="CE191" s="3">
        <f>CD191</f>
        <v>0</v>
      </c>
      <c r="CF191" s="3">
        <f>CE191</f>
        <v>0</v>
      </c>
      <c r="CG191" s="3">
        <f>CF191</f>
        <v>0</v>
      </c>
      <c r="CH191" s="3">
        <f>CG191</f>
        <v>0</v>
      </c>
      <c r="CI191" s="3">
        <f>CH191</f>
        <v>0</v>
      </c>
      <c r="CJ191" s="3">
        <f>CI191</f>
        <v>0</v>
      </c>
      <c r="CK191" s="3">
        <f>CJ191</f>
        <v>0</v>
      </c>
      <c r="CL191" s="3">
        <f>CK191</f>
        <v>0</v>
      </c>
      <c r="CM191" s="3">
        <f>CL191</f>
        <v>0</v>
      </c>
      <c r="CN191" s="3">
        <f>CM191</f>
        <v>0</v>
      </c>
      <c r="CO191" s="3">
        <f>CN191</f>
        <v>0</v>
      </c>
      <c r="CP191" s="3">
        <f>CO191</f>
        <v>0</v>
      </c>
      <c r="CQ191" s="3">
        <f>CP191</f>
        <v>0</v>
      </c>
      <c r="CR191" s="3">
        <f>CQ191</f>
        <v>0</v>
      </c>
      <c r="CS191" s="3">
        <f>CR191</f>
        <v>0</v>
      </c>
      <c r="CT191" s="3">
        <f>CS191</f>
        <v>0</v>
      </c>
      <c r="CU191" s="3">
        <f>CT191</f>
        <v>0</v>
      </c>
      <c r="CV191" s="3">
        <f>CU191</f>
        <v>0</v>
      </c>
      <c r="CW191" s="3">
        <f>CV191</f>
        <v>0</v>
      </c>
      <c r="CX191" s="3">
        <f>CW191</f>
        <v>0</v>
      </c>
      <c r="CY191" s="3">
        <f>CX191</f>
        <v>0</v>
      </c>
    </row>
    <row r="192">
      <c r="C192" s="26" t="inlineStr">
        <is>
          <t>Intangibles</t>
        </is>
      </c>
      <c r="D192" s="25">
        <f>INDEX('Inputs (2)'!$D$25:$AL$25,MATCH(D$7,'Inputs (2)'!$D$2:$AL$2,0))</f>
        <v>115.979</v>
      </c>
      <c r="E192" s="25">
        <f>INDEX('Inputs (2)'!$D$25:$AL$25,MATCH(E$7,'Inputs (2)'!$D$2:$AL$2,0))</f>
        <v>126.124</v>
      </c>
      <c r="F192" s="25">
        <f>INDEX('Inputs (2)'!$D$25:$AL$25,MATCH(F$7,'Inputs (2)'!$D$2:$AL$2,0))</f>
        <v>135.161</v>
      </c>
      <c r="G192" s="25">
        <f>INDEX('Inputs (2)'!$D$25:$AL$25,MATCH(G$7,'Inputs (2)'!$D$2:$AL$2,0))</f>
        <v>141.716</v>
      </c>
      <c r="H192" s="3">
        <f>G192</f>
        <v>141.716</v>
      </c>
      <c r="I192" s="25">
        <f>INDEX('Inputs (2)'!$D$25:$AL$25,MATCH(I$7,'Inputs (2)'!$D$2:$AL$2,0))</f>
        <v>156.288</v>
      </c>
      <c r="J192" s="25">
        <f>INDEX('Inputs (2)'!$D$25:$AL$25,MATCH(J$7,'Inputs (2)'!$D$2:$AL$2,0))</f>
        <v>157.252</v>
      </c>
      <c r="K192" s="25">
        <f>INDEX('Inputs (2)'!$D$25:$AL$25,MATCH(K$7,'Inputs (2)'!$D$2:$AL$2,0))</f>
        <v>168.4</v>
      </c>
      <c r="L192" s="25">
        <f>INDEX('Inputs (2)'!$D$25:$AL$25,MATCH(L$7,'Inputs (2)'!$D$2:$AL$2,0))</f>
        <v>175.044</v>
      </c>
      <c r="M192" s="3">
        <f>L192</f>
        <v>175.044</v>
      </c>
      <c r="N192" s="25">
        <f>INDEX('Inputs (2)'!$D$25:$AL$25,MATCH(N$7,'Inputs (2)'!$D$2:$AL$2,0))</f>
        <v>181.788</v>
      </c>
      <c r="O192" s="25">
        <f>INDEX('Inputs (2)'!$D$25:$AL$25,MATCH(O$7,'Inputs (2)'!$D$2:$AL$2,0))</f>
        <v>200.519</v>
      </c>
      <c r="P192" s="25">
        <f>INDEX('Inputs (2)'!$D$25:$AL$25,MATCH(P$7,'Inputs (2)'!$D$2:$AL$2,0))</f>
        <v>210.136</v>
      </c>
      <c r="Q192" s="25">
        <f>INDEX('Inputs (2)'!$D$25:$AL$25,MATCH(Q$7,'Inputs (2)'!$D$2:$AL$2,0))</f>
        <v>287.792</v>
      </c>
      <c r="R192" s="3">
        <f>Q192</f>
        <v>287.792</v>
      </c>
      <c r="S192" s="25">
        <f>INDEX('Inputs (2)'!$D$25:$AL$25,MATCH(S$7,'Inputs (2)'!$D$2:$AL$2,0))</f>
        <v>298.068</v>
      </c>
      <c r="T192" s="25">
        <f>INDEX('Inputs (2)'!$D$25:$AL$25,MATCH(T$7,'Inputs (2)'!$D$2:$AL$2,0))</f>
        <v>299.325</v>
      </c>
      <c r="U192" s="25">
        <f>INDEX('Inputs (2)'!$D$25:$AL$25,MATCH(U$7,'Inputs (2)'!$D$2:$AL$2,0))</f>
        <v>304.534</v>
      </c>
      <c r="V192" s="25">
        <f>INDEX('Inputs (2)'!$D$25:$AL$25,MATCH(V$7,'Inputs (2)'!$D$2:$AL$2,0))</f>
        <v>336.311</v>
      </c>
      <c r="W192" s="3">
        <f>V192</f>
        <v>336.311</v>
      </c>
      <c r="X192" s="25">
        <f>INDEX('Inputs (2)'!$D$25:$AL$25,MATCH(X$7,'Inputs (2)'!$D$2:$AL$2,0))</f>
        <v>329.214</v>
      </c>
      <c r="Y192" s="25">
        <f>INDEX('Inputs (2)'!$D$25:$AL$25,MATCH(Y$7,'Inputs (2)'!$D$2:$AL$2,0))</f>
        <v>335.703</v>
      </c>
      <c r="Z192" s="25">
        <f>INDEX('Inputs (2)'!$D$25:$AL$25,MATCH(Z$7,'Inputs (2)'!$D$2:$AL$2,0))</f>
        <v>339.4</v>
      </c>
      <c r="AA192" s="25">
        <f>INDEX('Inputs (2)'!$D$25:$AL$25,MATCH(AA$7,'Inputs (2)'!$D$2:$AL$2,0))</f>
        <v>342.163</v>
      </c>
      <c r="AB192" s="3">
        <f>AA192</f>
        <v>342.163</v>
      </c>
      <c r="AC192" s="25">
        <f>INDEX('Inputs (2)'!$D$25:$AL$25,MATCH(AC$7,'Inputs (2)'!$D$2:$AL$2,0))</f>
        <v>348.058</v>
      </c>
      <c r="AD192" s="25">
        <f>INDEX('Inputs (2)'!$D$25:$AL$25,MATCH(AD$7,'Inputs (2)'!$D$2:$AL$2,0))</f>
        <v>353.536</v>
      </c>
      <c r="AE192" s="25">
        <f>INDEX('Inputs (2)'!$D$25:$AL$25,MATCH(AE$7,'Inputs (2)'!$D$2:$AL$2,0))</f>
        <v>347.501</v>
      </c>
      <c r="AF192" s="25">
        <f>INDEX('Inputs (2)'!$D$25:$AL$25,MATCH(AF$7,'Inputs (2)'!$D$2:$AL$2,0))</f>
        <v>350.075</v>
      </c>
      <c r="AG192" s="3">
        <f>AF192</f>
        <v>350.075</v>
      </c>
      <c r="AH192" s="3">
        <f>INDEX('Inputs (2)'!$D$25:$AL$25,MATCH(AH$7,'Inputs (2)'!$D$2:$AL$2,0))</f>
        <v>357.283</v>
      </c>
      <c r="AI192" s="3">
        <f>INDEX('Inputs (2)'!$D$25:$AL$25,MATCH(AI$7,'Inputs (2)'!$D$2:$AL$2,0))</f>
        <v>384.741</v>
      </c>
      <c r="AJ192" s="3" t="n"/>
      <c r="AK192" s="3" t="n"/>
      <c r="AL192" s="3">
        <f>AK192</f>
        <v>0</v>
      </c>
      <c r="AN192" s="3" t="n"/>
      <c r="AO192" s="3" t="n"/>
      <c r="AP192" s="3" t="n"/>
      <c r="AQ192" s="3">
        <f>AP192</f>
        <v>0</v>
      </c>
      <c r="AS192" s="3" t="n"/>
      <c r="AT192" s="3" t="n"/>
      <c r="AU192" s="3" t="n"/>
      <c r="AV192" s="3">
        <f>AU192</f>
        <v>0</v>
      </c>
      <c r="AX192" s="3" t="n"/>
      <c r="AY192" s="3" t="n"/>
      <c r="AZ192" s="3" t="n"/>
      <c r="BA192" s="3">
        <f>AZ192</f>
        <v>0</v>
      </c>
      <c r="BC192" s="3" t="n"/>
      <c r="BD192" s="3" t="n"/>
      <c r="BE192" s="3" t="n"/>
      <c r="BF192" s="3">
        <f>BE192</f>
        <v>0</v>
      </c>
      <c r="BH192" s="3" t="n"/>
      <c r="BI192" s="3" t="n"/>
      <c r="BJ192" s="3" t="n"/>
      <c r="BK192" s="3">
        <f>BJ192</f>
        <v>0</v>
      </c>
      <c r="BM192" s="3" t="n"/>
      <c r="BN192" s="3" t="n"/>
      <c r="BO192" s="3" t="n"/>
      <c r="BP192" s="3">
        <f>BO192</f>
        <v>0</v>
      </c>
      <c r="BR192" s="3" t="n"/>
      <c r="BS192" s="3" t="n"/>
      <c r="BT192" s="3" t="n"/>
      <c r="BU192" s="3">
        <f>BT192</f>
        <v>0</v>
      </c>
      <c r="BW192" s="3" t="n"/>
      <c r="BX192" s="3" t="n"/>
      <c r="BY192" s="3" t="n"/>
      <c r="BZ192" s="3">
        <f>BY192</f>
        <v>0</v>
      </c>
      <c r="CB192" s="3" t="n"/>
      <c r="CC192" s="3" t="n"/>
      <c r="CD192" s="3" t="n"/>
      <c r="CE192" s="3">
        <f>CD192</f>
        <v>0</v>
      </c>
      <c r="CG192" s="3" t="n"/>
      <c r="CH192" s="3" t="n"/>
      <c r="CI192" s="3" t="n"/>
      <c r="CJ192" s="3">
        <f>CI192</f>
        <v>0</v>
      </c>
      <c r="CL192" s="3" t="n"/>
      <c r="CM192" s="3" t="n"/>
      <c r="CN192" s="3" t="n"/>
      <c r="CO192" s="3">
        <f>CN192</f>
        <v>0</v>
      </c>
      <c r="CQ192" s="3" t="n"/>
      <c r="CR192" s="3" t="n"/>
      <c r="CS192" s="3" t="n"/>
      <c r="CT192" s="3">
        <f>CS192</f>
        <v>0</v>
      </c>
      <c r="CV192" s="3" t="n"/>
      <c r="CW192" s="3" t="n"/>
      <c r="CX192" s="3" t="n"/>
      <c r="CY192" s="3">
        <f>CX192</f>
        <v>0</v>
      </c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inlineStr">
        <is>
          <t>Purchase of intangible assets</t>
        </is>
      </c>
      <c r="D194" s="3" t="n"/>
      <c r="E194" s="3">
        <f>E192-D192-E96</f>
        <v>10.145</v>
      </c>
      <c r="F194" s="3">
        <f>F192-E192-F96</f>
        <v>9.03700000000001</v>
      </c>
      <c r="G194" s="3">
        <f>G192-F192-G96</f>
        <v>6.55500000000001</v>
      </c>
      <c r="H194" s="3" t="n"/>
      <c r="I194" s="3">
        <f>I192-H192-I96</f>
        <v>14.572</v>
      </c>
      <c r="J194" s="3">
        <f>J192-I192-J96</f>
        <v>0.963999999999999</v>
      </c>
      <c r="K194" s="3">
        <f>K192-J192-K96</f>
        <v>11.148</v>
      </c>
      <c r="L194" s="3">
        <f>L192-K192-L96</f>
        <v>6.64400000000001</v>
      </c>
      <c r="M194" s="3" t="n"/>
      <c r="N194" s="3">
        <f>N192-M192-N96</f>
        <v>6.744</v>
      </c>
      <c r="O194" s="3">
        <f>O192-N192-O96</f>
        <v>18.731</v>
      </c>
      <c r="P194" s="3">
        <f>P192-O192-P96</f>
        <v>9.61699999999999</v>
      </c>
      <c r="Q194" s="3">
        <f>Q192-P192-Q96</f>
        <v>77.656</v>
      </c>
      <c r="R194" s="3" t="n"/>
      <c r="S194" s="3">
        <f>S192-R192-S96</f>
        <v>10.276</v>
      </c>
      <c r="T194" s="3">
        <f>T192-S192-T96</f>
        <v>1.25700000000001</v>
      </c>
      <c r="U194" s="3">
        <f>U192-T192-U96</f>
        <v>5.209</v>
      </c>
      <c r="V194" s="3">
        <f>V192-U192-V96</f>
        <v>31.777</v>
      </c>
      <c r="W194" s="3" t="n"/>
      <c r="X194" s="3">
        <f>X192-W192-X96</f>
        <v>-7.09699999999998</v>
      </c>
      <c r="Y194" s="3">
        <f>Y192-X192-Y96</f>
        <v>6.48899999999998</v>
      </c>
      <c r="Z194" s="3">
        <f>Z192-Y192-Z96</f>
        <v>3.697</v>
      </c>
      <c r="AA194" s="3">
        <f>AA192-Z192-AA96</f>
        <v>2.76300000000003</v>
      </c>
      <c r="AB194" s="3" t="n"/>
      <c r="AC194" s="3">
        <f>AC192-AB192-AC96</f>
        <v>5.89499999999998</v>
      </c>
      <c r="AD194" s="3">
        <f>AD192-AC192-AD96</f>
        <v>5.47800000000001</v>
      </c>
      <c r="AE194" s="3">
        <f>AE192-AD192-AE96</f>
        <v>-6.03500000000003</v>
      </c>
      <c r="AF194" s="3" t="n"/>
      <c r="AG194" s="3" t="n"/>
      <c r="AH194" s="6">
        <f>AH192-AG192-AH96</f>
        <v>7.20800000000003</v>
      </c>
      <c r="AI194" s="6">
        <f>AI192-AH192-AI96</f>
        <v>27.458</v>
      </c>
      <c r="AJ194" s="6" t="n"/>
      <c r="AK194" s="6" t="n"/>
      <c r="AL194" s="3" t="n"/>
      <c r="AM194" s="6" t="n"/>
      <c r="AN194" s="6" t="n"/>
      <c r="AO194" s="6" t="n"/>
      <c r="AP194" s="6" t="n"/>
      <c r="AQ194" s="3" t="n"/>
      <c r="AR194" s="6" t="n"/>
      <c r="AS194" s="6" t="n"/>
      <c r="AT194" s="6" t="n"/>
      <c r="AU194" s="6" t="n"/>
      <c r="AV194" s="3" t="n"/>
      <c r="AW194" s="6" t="n"/>
      <c r="AX194" s="6" t="n"/>
      <c r="AY194" s="6" t="n"/>
      <c r="AZ194" s="6" t="n"/>
      <c r="BA194" s="3" t="n"/>
      <c r="BB194" s="6" t="n"/>
      <c r="BC194" s="6" t="n"/>
      <c r="BD194" s="6" t="n"/>
      <c r="BE194" s="6" t="n"/>
      <c r="BF194" s="3" t="n"/>
      <c r="BG194" s="6" t="n"/>
      <c r="BH194" s="6" t="n"/>
      <c r="BI194" s="6" t="n"/>
      <c r="BJ194" s="6" t="n"/>
      <c r="BK194" s="3" t="n"/>
      <c r="BL194" s="6" t="n"/>
      <c r="BM194" s="6" t="n"/>
      <c r="BN194" s="6" t="n"/>
      <c r="BO194" s="6" t="n"/>
      <c r="BP194" s="3" t="n"/>
      <c r="BQ194" s="6" t="n"/>
      <c r="BR194" s="6" t="n"/>
      <c r="BS194" s="6" t="n"/>
      <c r="BT194" s="6" t="n"/>
      <c r="BU194" s="3" t="n"/>
      <c r="BV194" s="6" t="n"/>
      <c r="BW194" s="6" t="n"/>
      <c r="BX194" s="6" t="n"/>
      <c r="BY194" s="6" t="n"/>
      <c r="BZ194" s="3" t="n"/>
      <c r="CA194" s="6" t="n"/>
      <c r="CB194" s="6" t="n"/>
      <c r="CC194" s="6" t="n"/>
      <c r="CD194" s="6" t="n"/>
      <c r="CE194" s="3" t="n"/>
      <c r="CF194" s="6" t="n"/>
      <c r="CG194" s="6" t="n"/>
      <c r="CH194" s="6" t="n"/>
      <c r="CI194" s="6" t="n"/>
      <c r="CJ194" s="3" t="n"/>
      <c r="CK194" s="6" t="n"/>
      <c r="CL194" s="6" t="n"/>
      <c r="CM194" s="6" t="n"/>
      <c r="CN194" s="6" t="n"/>
      <c r="CO194" s="3" t="n"/>
      <c r="CP194" s="6" t="n"/>
      <c r="CQ194" s="6" t="n"/>
      <c r="CR194" s="6" t="n"/>
      <c r="CS194" s="6" t="n"/>
      <c r="CT194" s="3" t="n"/>
      <c r="CU194" s="6" t="n"/>
      <c r="CV194" s="6" t="n"/>
      <c r="CW194" s="6" t="n"/>
      <c r="CX194" s="6" t="n"/>
      <c r="CY194" s="3" t="n"/>
    </row>
    <row r="195" hidden="1" outlineLevel="1">
      <c r="C195" s="34" t="inlineStr">
        <is>
          <t>Amortization (enter as -)</t>
        </is>
      </c>
      <c r="D195" s="3" t="n"/>
      <c r="E195" s="3">
        <f>E95</f>
        <v>0</v>
      </c>
      <c r="F195" s="3">
        <f>F95</f>
        <v>0</v>
      </c>
      <c r="G195" s="3">
        <f>G95</f>
        <v>0</v>
      </c>
      <c r="H195" s="3" t="n"/>
      <c r="I195" s="3">
        <f>I95</f>
        <v>0</v>
      </c>
      <c r="J195" s="3">
        <f>J95</f>
        <v>0</v>
      </c>
      <c r="K195" s="3">
        <f>K95</f>
        <v>0</v>
      </c>
      <c r="L195" s="3">
        <f>L95</f>
        <v>0</v>
      </c>
      <c r="M195" s="3" t="n"/>
      <c r="N195" s="3">
        <f>N95</f>
        <v>0</v>
      </c>
      <c r="O195" s="3">
        <f>O95</f>
        <v>0</v>
      </c>
      <c r="P195" s="3">
        <f>P95</f>
        <v>0</v>
      </c>
      <c r="Q195" s="3">
        <f>Q95</f>
        <v>0</v>
      </c>
      <c r="R195" s="3" t="n"/>
      <c r="S195" s="3">
        <f>S95</f>
        <v>0</v>
      </c>
      <c r="T195" s="3">
        <f>T95</f>
        <v>0</v>
      </c>
      <c r="U195" s="3">
        <f>U95</f>
        <v>0</v>
      </c>
      <c r="V195" s="3">
        <f>V95</f>
        <v>0</v>
      </c>
      <c r="W195" s="3" t="n"/>
      <c r="X195" s="3">
        <f>X95</f>
        <v>0</v>
      </c>
      <c r="Y195" s="3">
        <f>Y95</f>
        <v>0</v>
      </c>
      <c r="Z195" s="3">
        <f>Z95</f>
        <v>0</v>
      </c>
      <c r="AA195" s="3">
        <f>AA95</f>
        <v>0</v>
      </c>
      <c r="AB195" s="3" t="n"/>
      <c r="AC195" s="3">
        <f>AC95</f>
        <v>0</v>
      </c>
      <c r="AD195" s="3">
        <f>AD95</f>
        <v>0</v>
      </c>
      <c r="AE195" s="3">
        <f>AE95</f>
        <v>0</v>
      </c>
      <c r="AF195" s="3" t="n"/>
      <c r="AG195" s="3" t="n"/>
      <c r="AH195" s="3">
        <f>AH95</f>
        <v>0</v>
      </c>
      <c r="AI195" s="6">
        <f>AI95</f>
        <v>0</v>
      </c>
      <c r="AJ195" s="6" t="n"/>
      <c r="AK195" s="6" t="n"/>
      <c r="AL195" s="3" t="n"/>
      <c r="AM195" s="6" t="n"/>
      <c r="AN195" s="6" t="n"/>
      <c r="AO195" s="6" t="n"/>
      <c r="AP195" s="6" t="n"/>
      <c r="AQ195" s="3" t="n"/>
      <c r="AR195" s="6" t="n"/>
      <c r="AS195" s="6" t="n"/>
      <c r="AT195" s="6" t="n"/>
      <c r="AU195" s="6" t="n"/>
      <c r="AV195" s="3" t="n"/>
      <c r="AW195" s="6" t="n"/>
      <c r="AX195" s="6" t="n"/>
      <c r="AY195" s="6" t="n"/>
      <c r="AZ195" s="6" t="n"/>
      <c r="BA195" s="3" t="n"/>
      <c r="BB195" s="6" t="n"/>
      <c r="BC195" s="6" t="n"/>
      <c r="BD195" s="6" t="n"/>
      <c r="BE195" s="6" t="n"/>
      <c r="BF195" s="3" t="n"/>
      <c r="BG195" s="6" t="n"/>
      <c r="BH195" s="6" t="n"/>
      <c r="BI195" s="6" t="n"/>
      <c r="BJ195" s="6" t="n"/>
      <c r="BK195" s="3" t="n"/>
      <c r="BL195" s="6" t="n"/>
      <c r="BM195" s="6" t="n"/>
      <c r="BN195" s="6" t="n"/>
      <c r="BO195" s="6" t="n"/>
      <c r="BP195" s="3" t="n"/>
      <c r="BQ195" s="6" t="n"/>
      <c r="BR195" s="6" t="n"/>
      <c r="BS195" s="6" t="n"/>
      <c r="BT195" s="6" t="n"/>
      <c r="BU195" s="3" t="n"/>
      <c r="BV195" s="6" t="n"/>
      <c r="BW195" s="6" t="n"/>
      <c r="BX195" s="6" t="n"/>
      <c r="BY195" s="6" t="n"/>
      <c r="BZ195" s="3" t="n"/>
      <c r="CA195" s="6" t="n"/>
      <c r="CB195" s="6" t="n"/>
      <c r="CC195" s="6" t="n"/>
      <c r="CD195" s="6" t="n"/>
      <c r="CE195" s="3" t="n"/>
      <c r="CF195" s="6" t="n"/>
      <c r="CG195" s="6" t="n"/>
      <c r="CH195" s="6" t="n"/>
      <c r="CI195" s="6" t="n"/>
      <c r="CJ195" s="3" t="n"/>
      <c r="CK195" s="6" t="n"/>
      <c r="CL195" s="6" t="n"/>
      <c r="CM195" s="6" t="n"/>
      <c r="CN195" s="6" t="n"/>
      <c r="CO195" s="3" t="n"/>
      <c r="CP195" s="6" t="n"/>
      <c r="CQ195" s="6" t="n"/>
      <c r="CR195" s="6" t="n"/>
      <c r="CS195" s="6" t="n"/>
      <c r="CT195" s="3" t="n"/>
      <c r="CU195" s="6" t="n"/>
      <c r="CV195" s="6" t="n"/>
      <c r="CW195" s="6" t="n"/>
      <c r="CX195" s="6" t="n"/>
      <c r="CY195" s="3" t="n"/>
    </row>
    <row r="196" hidden="1" outlineLevel="1">
      <c r="C196" s="34" t="inlineStr">
        <is>
          <t>Intangibles</t>
        </is>
      </c>
      <c r="D196" s="3" t="n"/>
      <c r="E196" s="3">
        <f>E192</f>
        <v>126.124</v>
      </c>
      <c r="F196" s="3">
        <f>F192</f>
        <v>135.161</v>
      </c>
      <c r="G196" s="3">
        <f>G192</f>
        <v>141.716</v>
      </c>
      <c r="H196" s="3" t="n"/>
      <c r="I196" s="3">
        <f>I192</f>
        <v>156.288</v>
      </c>
      <c r="J196" s="3">
        <f>J192</f>
        <v>157.252</v>
      </c>
      <c r="K196" s="3">
        <f>K192</f>
        <v>168.4</v>
      </c>
      <c r="L196" s="3">
        <f>L192</f>
        <v>175.044</v>
      </c>
      <c r="M196" s="3" t="n"/>
      <c r="N196" s="3">
        <f>N192</f>
        <v>181.788</v>
      </c>
      <c r="O196" s="3">
        <f>O192</f>
        <v>200.519</v>
      </c>
      <c r="P196" s="3">
        <f>P192</f>
        <v>210.136</v>
      </c>
      <c r="Q196" s="3">
        <f>Q192</f>
        <v>287.792</v>
      </c>
      <c r="R196" s="3" t="n"/>
      <c r="S196" s="3">
        <f>S192</f>
        <v>298.068</v>
      </c>
      <c r="T196" s="3">
        <f>T192</f>
        <v>299.325</v>
      </c>
      <c r="U196" s="3">
        <f>U192</f>
        <v>304.534</v>
      </c>
      <c r="V196" s="3">
        <f>V192</f>
        <v>336.311</v>
      </c>
      <c r="W196" s="3" t="n"/>
      <c r="X196" s="3">
        <f>X192</f>
        <v>329.214</v>
      </c>
      <c r="Y196" s="3">
        <f>Y192</f>
        <v>335.703</v>
      </c>
      <c r="Z196" s="3">
        <f>Z192</f>
        <v>339.4</v>
      </c>
      <c r="AA196" s="3">
        <f>AA192</f>
        <v>342.163</v>
      </c>
      <c r="AB196" s="3" t="n"/>
      <c r="AC196" s="3">
        <f>AC192</f>
        <v>348.058</v>
      </c>
      <c r="AD196" s="3">
        <f>AD192</f>
        <v>353.536</v>
      </c>
      <c r="AE196" s="3">
        <f>AE192</f>
        <v>347.501</v>
      </c>
      <c r="AF196" s="3">
        <f>AF192</f>
        <v>350.075</v>
      </c>
      <c r="AG196" s="3" t="n"/>
      <c r="AH196" s="3">
        <f>AH192</f>
        <v>357.283</v>
      </c>
      <c r="AI196" s="3">
        <f>AI192</f>
        <v>384.741</v>
      </c>
      <c r="AJ196" s="3">
        <f>AI196+SUM(AJ194:AJ195)</f>
        <v>384.741</v>
      </c>
      <c r="AK196" s="3">
        <f>AJ196+SUM(AK194:AK195)</f>
        <v>384.741</v>
      </c>
      <c r="AL196" s="3" t="n"/>
      <c r="AM196" s="3">
        <f>AK196+SUM(AM194:AM195)</f>
        <v>384.741</v>
      </c>
      <c r="AN196" s="3">
        <f>AM196+SUM(AN194:AN195)</f>
        <v>384.741</v>
      </c>
      <c r="AO196" s="3">
        <f>AN196+SUM(AO194:AO195)</f>
        <v>384.741</v>
      </c>
      <c r="AP196" s="3">
        <f>AO196+SUM(AP194:AP195)</f>
        <v>384.741</v>
      </c>
      <c r="AQ196" s="3" t="n"/>
      <c r="AR196" s="3">
        <f>AP196+SUM(AR194:AR195)</f>
        <v>384.741</v>
      </c>
      <c r="AS196" s="3">
        <f>AR196+SUM(AS194:AS195)</f>
        <v>384.741</v>
      </c>
      <c r="AT196" s="3">
        <f>AS196+SUM(AT194:AT195)</f>
        <v>384.741</v>
      </c>
      <c r="AU196" s="3">
        <f>AT196+SUM(AU194:AU195)</f>
        <v>384.741</v>
      </c>
      <c r="AV196" s="3" t="n"/>
      <c r="AW196" s="3">
        <f>AU196+SUM(AW194:AW195)</f>
        <v>384.741</v>
      </c>
      <c r="AX196" s="3">
        <f>AW196+SUM(AX194:AX195)</f>
        <v>384.741</v>
      </c>
      <c r="AY196" s="3">
        <f>AX196+SUM(AY194:AY195)</f>
        <v>384.741</v>
      </c>
      <c r="AZ196" s="3">
        <f>AY196+SUM(AZ194:AZ195)</f>
        <v>384.741</v>
      </c>
      <c r="BA196" s="3" t="n"/>
      <c r="BB196" s="3">
        <f>AZ196+SUM(BB194:BB195)</f>
        <v>384.741</v>
      </c>
      <c r="BC196" s="3">
        <f>BB196+SUM(BC194:BC195)</f>
        <v>384.741</v>
      </c>
      <c r="BD196" s="3">
        <f>BC196+SUM(BD194:BD195)</f>
        <v>384.741</v>
      </c>
      <c r="BE196" s="3">
        <f>BD196+SUM(BE194:BE195)</f>
        <v>384.741</v>
      </c>
      <c r="BF196" s="3" t="n"/>
      <c r="BG196" s="3">
        <f>BE196+SUM(BG194:BG195)</f>
        <v>384.741</v>
      </c>
      <c r="BH196" s="3">
        <f>BG196+SUM(BH194:BH195)</f>
        <v>384.741</v>
      </c>
      <c r="BI196" s="3">
        <f>BH196+SUM(BI194:BI195)</f>
        <v>384.741</v>
      </c>
      <c r="BJ196" s="3">
        <f>BI196+SUM(BJ194:BJ195)</f>
        <v>384.741</v>
      </c>
      <c r="BK196" s="3" t="n"/>
      <c r="BL196" s="3">
        <f>BJ196+SUM(BL194:BL195)</f>
        <v>384.741</v>
      </c>
      <c r="BM196" s="3">
        <f>BL196+SUM(BM194:BM195)</f>
        <v>384.741</v>
      </c>
      <c r="BN196" s="3">
        <f>BM196+SUM(BN194:BN195)</f>
        <v>384.741</v>
      </c>
      <c r="BO196" s="3">
        <f>BN196+SUM(BO194:BO195)</f>
        <v>384.741</v>
      </c>
      <c r="BP196" s="3" t="n"/>
      <c r="BQ196" s="3">
        <f>BO196+SUM(BQ194:BQ195)</f>
        <v>384.741</v>
      </c>
      <c r="BR196" s="3">
        <f>BQ196+SUM(BR194:BR195)</f>
        <v>384.741</v>
      </c>
      <c r="BS196" s="3">
        <f>BR196+SUM(BS194:BS195)</f>
        <v>384.741</v>
      </c>
      <c r="BT196" s="3">
        <f>BS196+SUM(BT194:BT195)</f>
        <v>384.741</v>
      </c>
      <c r="BU196" s="3" t="n"/>
      <c r="BV196" s="3">
        <f>BT196+SUM(BV194:BV195)</f>
        <v>384.741</v>
      </c>
      <c r="BW196" s="3">
        <f>BV196+SUM(BW194:BW195)</f>
        <v>384.741</v>
      </c>
      <c r="BX196" s="3">
        <f>BW196+SUM(BX194:BX195)</f>
        <v>384.741</v>
      </c>
      <c r="BY196" s="3">
        <f>BX196+SUM(BY194:BY195)</f>
        <v>384.741</v>
      </c>
      <c r="BZ196" s="3" t="n"/>
      <c r="CA196" s="3">
        <f>BY196+SUM(CA194:CA195)</f>
        <v>384.741</v>
      </c>
      <c r="CB196" s="3">
        <f>CA196+SUM(CB194:CB195)</f>
        <v>384.741</v>
      </c>
      <c r="CC196" s="3">
        <f>CB196+SUM(CC194:CC195)</f>
        <v>384.741</v>
      </c>
      <c r="CD196" s="3">
        <f>CC196+SUM(CD194:CD195)</f>
        <v>384.741</v>
      </c>
      <c r="CE196" s="3" t="n"/>
      <c r="CF196" s="3">
        <f>CD196+SUM(CF194:CF195)</f>
        <v>384.741</v>
      </c>
      <c r="CG196" s="3">
        <f>CF196+SUM(CG194:CG195)</f>
        <v>384.741</v>
      </c>
      <c r="CH196" s="3">
        <f>CG196+SUM(CH194:CH195)</f>
        <v>384.741</v>
      </c>
      <c r="CI196" s="3">
        <f>CH196+SUM(CI194:CI195)</f>
        <v>384.741</v>
      </c>
      <c r="CJ196" s="3" t="n"/>
      <c r="CK196" s="3">
        <f>CI196+SUM(CK194:CK195)</f>
        <v>384.741</v>
      </c>
      <c r="CL196" s="3">
        <f>CK196+SUM(CL194:CL195)</f>
        <v>384.741</v>
      </c>
      <c r="CM196" s="3">
        <f>CL196+SUM(CM194:CM195)</f>
        <v>384.741</v>
      </c>
      <c r="CN196" s="3">
        <f>CM196+SUM(CN194:CN195)</f>
        <v>384.741</v>
      </c>
      <c r="CO196" s="3" t="n"/>
      <c r="CP196" s="3">
        <f>CN196+SUM(CP194:CP195)</f>
        <v>384.741</v>
      </c>
      <c r="CQ196" s="3">
        <f>CP196+SUM(CQ194:CQ195)</f>
        <v>384.741</v>
      </c>
      <c r="CR196" s="3">
        <f>CQ196+SUM(CR194:CR195)</f>
        <v>384.741</v>
      </c>
      <c r="CS196" s="3">
        <f>CR196+SUM(CS194:CS195)</f>
        <v>384.741</v>
      </c>
      <c r="CT196" s="3" t="n"/>
      <c r="CU196" s="3">
        <f>CS196+SUM(CU194:CU195)</f>
        <v>384.741</v>
      </c>
      <c r="CV196" s="3">
        <f>CU196+SUM(CV194:CV195)</f>
        <v>384.741</v>
      </c>
      <c r="CW196" s="3">
        <f>CV196+SUM(CW194:CW195)</f>
        <v>384.741</v>
      </c>
      <c r="CX196" s="3">
        <f>CW196+SUM(CX194:CX195)</f>
        <v>384.741</v>
      </c>
      <c r="CY196" s="3" t="n"/>
      <c r="CZ196">
        <f>CX196+SUM(CZ194:CZ195)</f>
        <v>384.741</v>
      </c>
      <c r="DA196">
        <f>CZ196+SUM(DA194:DA195)</f>
        <v>384.741</v>
      </c>
      <c r="DB196">
        <f>DA196+SUM(DB194:DB195)</f>
        <v>384.741</v>
      </c>
      <c r="DC196">
        <f>DB196+SUM(DC194:DC195)</f>
        <v>384.741</v>
      </c>
    </row>
    <row r="197" hidden="1" outlineLevel="1">
      <c r="C197" s="3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hidden="1" outlineLevel="1">
      <c r="C198" s="34" t="inlineStr">
        <is>
          <t>Definir % do D&amp;A No PPE and Intagibles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34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Other non-current assets</t>
        </is>
      </c>
      <c r="D201" s="25">
        <f>INDEX('Inputs (2)'!$D$26:$AL$26,MATCH(D$7,'Inputs (2)'!$D$2:$AL$2,0))</f>
        <v>141.605</v>
      </c>
      <c r="E201" s="25">
        <f>INDEX('Inputs (2)'!$D$26:$AL$26,MATCH(E$7,'Inputs (2)'!$D$2:$AL$2,0))</f>
        <v>191.245</v>
      </c>
      <c r="F201" s="25">
        <f>INDEX('Inputs (2)'!$D$26:$AL$26,MATCH(F$7,'Inputs (2)'!$D$2:$AL$2,0))</f>
        <v>207.91</v>
      </c>
      <c r="G201" s="25">
        <f>INDEX('Inputs (2)'!$D$26:$AL$26,MATCH(G$7,'Inputs (2)'!$D$2:$AL$2,0))</f>
        <v>197.131</v>
      </c>
      <c r="H201" s="3">
        <f>G201</f>
        <v>197.131</v>
      </c>
      <c r="I201" s="25">
        <f>INDEX('Inputs (2)'!$D$26:$AL$26,MATCH(I$7,'Inputs (2)'!$D$2:$AL$2,0))</f>
        <v>225.68</v>
      </c>
      <c r="J201" s="25">
        <f>INDEX('Inputs (2)'!$D$26:$AL$26,MATCH(J$7,'Inputs (2)'!$D$2:$AL$2,0))</f>
        <v>214.682</v>
      </c>
      <c r="K201" s="25">
        <f>INDEX('Inputs (2)'!$D$26:$AL$26,MATCH(K$7,'Inputs (2)'!$D$2:$AL$2,0))</f>
        <v>290.818</v>
      </c>
      <c r="L201" s="25">
        <f>INDEX('Inputs (2)'!$D$26:$AL$26,MATCH(L$7,'Inputs (2)'!$D$2:$AL$2,0))</f>
        <v>245.449</v>
      </c>
      <c r="M201" s="3">
        <f>L201</f>
        <v>245.449</v>
      </c>
      <c r="N201" s="25">
        <f>INDEX('Inputs (2)'!$D$26:$AL$26,MATCH(N$7,'Inputs (2)'!$D$2:$AL$2,0))</f>
        <v>252.512</v>
      </c>
      <c r="O201" s="25">
        <f>INDEX('Inputs (2)'!$D$26:$AL$26,MATCH(O$7,'Inputs (2)'!$D$2:$AL$2,0))</f>
        <v>277.495</v>
      </c>
      <c r="P201" s="25">
        <f>INDEX('Inputs (2)'!$D$26:$AL$26,MATCH(P$7,'Inputs (2)'!$D$2:$AL$2,0))</f>
        <v>674.305</v>
      </c>
      <c r="Q201" s="25">
        <f>INDEX('Inputs (2)'!$D$26:$AL$26,MATCH(Q$7,'Inputs (2)'!$D$2:$AL$2,0))</f>
        <v>675.656</v>
      </c>
      <c r="R201" s="3">
        <f>Q201</f>
        <v>675.656</v>
      </c>
      <c r="S201" s="25">
        <f>INDEX('Inputs (2)'!$D$26:$AL$26,MATCH(S$7,'Inputs (2)'!$D$2:$AL$2,0))</f>
        <v>755.835</v>
      </c>
      <c r="T201" s="25">
        <f>INDEX('Inputs (2)'!$D$26:$AL$26,MATCH(T$7,'Inputs (2)'!$D$2:$AL$2,0))</f>
        <v>707.422</v>
      </c>
      <c r="U201" s="25">
        <f>INDEX('Inputs (2)'!$D$26:$AL$26,MATCH(U$7,'Inputs (2)'!$D$2:$AL$2,0))</f>
        <v>659.186</v>
      </c>
      <c r="V201" s="25">
        <f>INDEX('Inputs (2)'!$D$26:$AL$26,MATCH(V$7,'Inputs (2)'!$D$2:$AL$2,0))</f>
        <v>713.693</v>
      </c>
      <c r="W201" s="3">
        <f>V201</f>
        <v>713.693</v>
      </c>
      <c r="X201" s="25">
        <f>INDEX('Inputs (2)'!$D$26:$AL$26,MATCH(X$7,'Inputs (2)'!$D$2:$AL$2,0))</f>
        <v>764.144</v>
      </c>
      <c r="Y201" s="25">
        <f>INDEX('Inputs (2)'!$D$26:$AL$26,MATCH(Y$7,'Inputs (2)'!$D$2:$AL$2,0))</f>
        <v>1312.67</v>
      </c>
      <c r="Z201" s="25">
        <f>INDEX('Inputs (2)'!$D$26:$AL$26,MATCH(Z$7,'Inputs (2)'!$D$2:$AL$2,0))</f>
        <v>1379.633</v>
      </c>
      <c r="AA201" s="25">
        <f>INDEX('Inputs (2)'!$D$26:$AL$26,MATCH(AA$7,'Inputs (2)'!$D$2:$AL$2,0))</f>
        <v>1367.26</v>
      </c>
      <c r="AB201" s="3">
        <f>AA201</f>
        <v>1367.26</v>
      </c>
      <c r="AC201" s="25">
        <f>INDEX('Inputs (2)'!$D$26:$AL$26,MATCH(AC$7,'Inputs (2)'!$D$2:$AL$2,0))</f>
        <v>927.891</v>
      </c>
      <c r="AD201" s="25">
        <f>INDEX('Inputs (2)'!$D$26:$AL$26,MATCH(AD$7,'Inputs (2)'!$D$2:$AL$2,0))</f>
        <v>328.817</v>
      </c>
      <c r="AE201" s="25">
        <f>INDEX('Inputs (2)'!$D$26:$AL$26,MATCH(AE$7,'Inputs (2)'!$D$2:$AL$2,0))</f>
        <v>390.774</v>
      </c>
      <c r="AF201" s="25">
        <f>INDEX('Inputs (2)'!$D$26:$AL$26,MATCH(AF$7,'Inputs (2)'!$D$2:$AL$2,0))</f>
        <v>587.492</v>
      </c>
      <c r="AG201" s="3">
        <f>AF201</f>
        <v>587.492</v>
      </c>
      <c r="AH201" s="3">
        <f>INDEX('Inputs (2)'!$D$26:$AL$26,MATCH(AH$7,'Inputs (2)'!$D$2:$AL$2,0))</f>
        <v>633.65</v>
      </c>
      <c r="AI201" s="3">
        <f>INDEX('Inputs (2)'!$D$26:$AL$26,MATCH(AI$7,'Inputs (2)'!$D$2:$AL$2,0))</f>
        <v>655.395</v>
      </c>
      <c r="AJ201" s="3">
        <f>AI201</f>
        <v>655.395</v>
      </c>
      <c r="AK201" s="3">
        <f>AJ201</f>
        <v>655.395</v>
      </c>
      <c r="AL201" s="3">
        <f>AK201</f>
        <v>655.395</v>
      </c>
      <c r="AM201" s="3">
        <f>AL201</f>
        <v>655.395</v>
      </c>
      <c r="AN201" s="3">
        <f>AM201</f>
        <v>655.395</v>
      </c>
      <c r="AO201" s="3">
        <f>AN201</f>
        <v>655.395</v>
      </c>
      <c r="AP201" s="3">
        <f>AO201</f>
        <v>655.395</v>
      </c>
      <c r="AQ201" s="3">
        <f>AP201</f>
        <v>655.395</v>
      </c>
      <c r="AR201" s="3">
        <f>AQ201</f>
        <v>655.395</v>
      </c>
      <c r="AS201" s="3">
        <f>AR201</f>
        <v>655.395</v>
      </c>
      <c r="AT201" s="3">
        <f>AS201</f>
        <v>655.395</v>
      </c>
      <c r="AU201" s="3">
        <f>AT201</f>
        <v>655.395</v>
      </c>
      <c r="AV201" s="3">
        <f>AU201</f>
        <v>655.395</v>
      </c>
      <c r="AW201" s="3">
        <f>AV201</f>
        <v>655.395</v>
      </c>
      <c r="AX201" s="3">
        <f>AW201</f>
        <v>655.395</v>
      </c>
      <c r="AY201" s="3">
        <f>AX201</f>
        <v>655.395</v>
      </c>
      <c r="AZ201" s="3">
        <f>AY201</f>
        <v>655.395</v>
      </c>
      <c r="BA201" s="3">
        <f>AZ201</f>
        <v>655.395</v>
      </c>
      <c r="BB201" s="3">
        <f>BA201</f>
        <v>655.395</v>
      </c>
      <c r="BC201" s="3">
        <f>BB201</f>
        <v>655.395</v>
      </c>
      <c r="BD201" s="3">
        <f>BC201</f>
        <v>655.395</v>
      </c>
      <c r="BE201" s="3">
        <f>BD201</f>
        <v>655.395</v>
      </c>
      <c r="BF201" s="3">
        <f>BE201</f>
        <v>655.395</v>
      </c>
      <c r="BG201" s="3">
        <f>BF201</f>
        <v>655.395</v>
      </c>
      <c r="BH201" s="3">
        <f>BG201</f>
        <v>655.395</v>
      </c>
      <c r="BI201" s="3">
        <f>BH201</f>
        <v>655.395</v>
      </c>
      <c r="BJ201" s="3">
        <f>BI201</f>
        <v>655.395</v>
      </c>
      <c r="BK201" s="3">
        <f>BJ201</f>
        <v>655.395</v>
      </c>
      <c r="BL201" s="3">
        <f>BK201</f>
        <v>655.395</v>
      </c>
      <c r="BM201" s="3">
        <f>BL201</f>
        <v>655.395</v>
      </c>
      <c r="BN201" s="3">
        <f>BM201</f>
        <v>655.395</v>
      </c>
      <c r="BO201" s="3">
        <f>BN201</f>
        <v>655.395</v>
      </c>
      <c r="BP201" s="3">
        <f>BO201</f>
        <v>655.395</v>
      </c>
      <c r="BQ201" s="3">
        <f>BP201</f>
        <v>655.395</v>
      </c>
      <c r="BR201" s="3">
        <f>BQ201</f>
        <v>655.395</v>
      </c>
      <c r="BS201" s="3">
        <f>BR201</f>
        <v>655.395</v>
      </c>
      <c r="BT201" s="3">
        <f>BS201</f>
        <v>655.395</v>
      </c>
      <c r="BU201" s="3">
        <f>BT201</f>
        <v>655.395</v>
      </c>
      <c r="BV201" s="3">
        <f>BU201</f>
        <v>655.395</v>
      </c>
      <c r="BW201" s="3">
        <f>BV201</f>
        <v>655.395</v>
      </c>
      <c r="BX201" s="3">
        <f>BW201</f>
        <v>655.395</v>
      </c>
      <c r="BY201" s="3">
        <f>BX201</f>
        <v>655.395</v>
      </c>
      <c r="BZ201" s="3">
        <f>BY201</f>
        <v>655.395</v>
      </c>
      <c r="CA201" s="3">
        <f>BZ201</f>
        <v>655.395</v>
      </c>
      <c r="CB201" s="3">
        <f>CA201</f>
        <v>655.395</v>
      </c>
      <c r="CC201" s="3">
        <f>CB201</f>
        <v>655.395</v>
      </c>
      <c r="CD201" s="3">
        <f>CC201</f>
        <v>655.395</v>
      </c>
      <c r="CE201" s="3">
        <f>CD201</f>
        <v>655.395</v>
      </c>
      <c r="CF201" s="3">
        <f>CE201</f>
        <v>655.395</v>
      </c>
      <c r="CG201" s="3">
        <f>CF201</f>
        <v>655.395</v>
      </c>
      <c r="CH201" s="3">
        <f>CG201</f>
        <v>655.395</v>
      </c>
      <c r="CI201" s="3">
        <f>CH201</f>
        <v>655.395</v>
      </c>
      <c r="CJ201" s="3">
        <f>CI201</f>
        <v>655.395</v>
      </c>
      <c r="CK201" s="3">
        <f>CJ201</f>
        <v>655.395</v>
      </c>
      <c r="CL201" s="3">
        <f>CK201</f>
        <v>655.395</v>
      </c>
      <c r="CM201" s="3">
        <f>CL201</f>
        <v>655.395</v>
      </c>
      <c r="CN201" s="3">
        <f>CM201</f>
        <v>655.395</v>
      </c>
      <c r="CO201" s="3">
        <f>CN201</f>
        <v>655.395</v>
      </c>
      <c r="CP201" s="3">
        <f>CO201</f>
        <v>655.395</v>
      </c>
      <c r="CQ201" s="3">
        <f>CP201</f>
        <v>655.395</v>
      </c>
      <c r="CR201" s="3">
        <f>CQ201</f>
        <v>655.395</v>
      </c>
      <c r="CS201" s="3">
        <f>CR201</f>
        <v>655.395</v>
      </c>
      <c r="CT201" s="3">
        <f>CS201</f>
        <v>655.395</v>
      </c>
      <c r="CU201" s="3">
        <f>CT201</f>
        <v>655.395</v>
      </c>
      <c r="CV201" s="3">
        <f>CU201</f>
        <v>655.395</v>
      </c>
      <c r="CW201" s="3">
        <f>CV201</f>
        <v>655.395</v>
      </c>
      <c r="CX201" s="3">
        <f>CW201</f>
        <v>655.395</v>
      </c>
      <c r="CY201" s="3">
        <f>CX201</f>
        <v>655.395</v>
      </c>
    </row>
    <row r="202" hidden="1" outlineLevel="1">
      <c r="C202" s="38" t="inlineStr">
        <is>
          <t>%(Var.)</t>
        </is>
      </c>
      <c r="D202" s="3" t="n"/>
      <c r="E202" s="47">
        <f>(E201-D201)/D201</f>
        <v>0.350552593481869</v>
      </c>
      <c r="F202" s="47">
        <f>(F201-E201)/E201</f>
        <v>0.0871395330596878</v>
      </c>
      <c r="G202" s="47">
        <f>(G201-F201)/F201</f>
        <v>-0.0518445481217835</v>
      </c>
      <c r="H202" s="3" t="n"/>
      <c r="I202" s="47">
        <f>(I201-H201)/H201</f>
        <v>0.144822478453414</v>
      </c>
      <c r="J202" s="47">
        <f>(J201-I201)/I201</f>
        <v>-0.0487327188940093</v>
      </c>
      <c r="K202" s="47">
        <f>(K201-J201)/J201</f>
        <v>0.354645475633728</v>
      </c>
      <c r="L202" s="47">
        <f>(L201-K201)/K201</f>
        <v>-0.156004786498772</v>
      </c>
      <c r="M202" s="3" t="n"/>
      <c r="N202" s="47">
        <f>(N201-M201)/M201</f>
        <v>0.0287758353059088</v>
      </c>
      <c r="O202" s="47">
        <f>(O201-N201)/N201</f>
        <v>0.0989378722595362</v>
      </c>
      <c r="P202" s="47">
        <f>(P201-O201)/O201</f>
        <v>1.429971711202</v>
      </c>
      <c r="Q202" s="47">
        <f>(Q201-P201)/P201</f>
        <v>0.00200354439014986</v>
      </c>
      <c r="R202" s="3" t="n"/>
      <c r="S202" s="47">
        <f>(S201-R201)/R201</f>
        <v>0.118668375623098</v>
      </c>
      <c r="T202" s="47">
        <f>(T201-S201)/S201</f>
        <v>-0.0640523394656241</v>
      </c>
      <c r="U202" s="47">
        <f>(U201-T201)/T201</f>
        <v>-0.068185609155497</v>
      </c>
      <c r="V202" s="47">
        <f>(V201-U201)/U201</f>
        <v>0.082688345929677</v>
      </c>
      <c r="W202" s="3" t="n"/>
      <c r="X202" s="47">
        <f>(X201-W201)/W201</f>
        <v>0.0706900586106348</v>
      </c>
      <c r="Y202" s="47">
        <f>(Y201-X201)/X201</f>
        <v>0.717830670658934</v>
      </c>
      <c r="Z202" s="47">
        <f>(Z201-Y201)/Y201</f>
        <v>0.0510128211964928</v>
      </c>
      <c r="AA202" s="47">
        <f>(AA201-Z201)/Z201</f>
        <v>-0.00896832708408689</v>
      </c>
      <c r="AB202" s="3" t="n"/>
      <c r="AC202" s="47">
        <f>(AC201-AB201)/AB201</f>
        <v>-0.32134999926861</v>
      </c>
      <c r="AD202" s="47">
        <f>(AD201-AC201)/AC201</f>
        <v>-0.645629712972752</v>
      </c>
      <c r="AE202" s="47">
        <f>(AE201-AD201)/AD201</f>
        <v>0.188423956182314</v>
      </c>
      <c r="AF202" s="218">
        <f>(AF201-AE201)/AE201</f>
        <v>0.503406060792171</v>
      </c>
      <c r="AG202" s="3" t="n"/>
      <c r="AH202" s="218">
        <f>(AH201-AG201)/AG201</f>
        <v>0.0785678783711098</v>
      </c>
      <c r="AI202" s="218">
        <f>(AI201-AH201)/AH201</f>
        <v>0.0343170520003156</v>
      </c>
      <c r="AJ202" s="218" t="n"/>
      <c r="AK202" s="218" t="n"/>
      <c r="AL202" s="3" t="n"/>
      <c r="AM202" s="218" t="n"/>
      <c r="AN202" s="218" t="n"/>
      <c r="AO202" s="218" t="n"/>
      <c r="AP202" s="218" t="n"/>
      <c r="AQ202" s="3" t="n"/>
      <c r="AR202" s="218" t="n"/>
      <c r="AS202" s="218" t="n"/>
      <c r="AT202" s="218" t="n"/>
      <c r="AU202" s="218" t="n"/>
      <c r="AV202" s="3" t="n"/>
      <c r="AW202" s="218" t="n"/>
      <c r="AX202" s="218" t="n"/>
      <c r="AY202" s="218" t="n"/>
      <c r="AZ202" s="218" t="n"/>
      <c r="BA202" s="3" t="n"/>
      <c r="BB202" s="218" t="n"/>
      <c r="BC202" s="218" t="n"/>
      <c r="BD202" s="218" t="n"/>
      <c r="BE202" s="218" t="n"/>
      <c r="BF202" s="3" t="n"/>
      <c r="BG202" s="218" t="n"/>
      <c r="BH202" s="218" t="n"/>
      <c r="BI202" s="218" t="n"/>
      <c r="BJ202" s="218" t="n"/>
      <c r="BK202" s="3" t="n"/>
      <c r="BL202" s="218" t="n"/>
      <c r="BM202" s="218" t="n"/>
      <c r="BN202" s="218" t="n"/>
      <c r="BO202" s="218" t="n"/>
      <c r="BP202" s="3" t="n"/>
      <c r="BQ202" s="218" t="n"/>
      <c r="BR202" s="218" t="n"/>
      <c r="BS202" s="218" t="n"/>
      <c r="BT202" s="218" t="n"/>
      <c r="BU202" s="3" t="n"/>
      <c r="BV202" s="218" t="n"/>
      <c r="BW202" s="218" t="n"/>
      <c r="BX202" s="218" t="n"/>
      <c r="BY202" s="218" t="n"/>
      <c r="BZ202" s="3" t="n"/>
      <c r="CA202" s="218" t="n"/>
      <c r="CB202" s="218" t="n"/>
      <c r="CC202" s="218" t="n"/>
      <c r="CD202" s="218" t="n"/>
      <c r="CE202" s="3" t="n"/>
      <c r="CF202" s="218" t="n"/>
      <c r="CG202" s="218" t="n"/>
      <c r="CH202" s="218" t="n"/>
      <c r="CI202" s="218" t="n"/>
      <c r="CJ202" s="3" t="n"/>
      <c r="CK202" s="218" t="n"/>
      <c r="CL202" s="218" t="n"/>
      <c r="CM202" s="218" t="n"/>
      <c r="CN202" s="218" t="n"/>
      <c r="CO202" s="3" t="n"/>
      <c r="CP202" s="218" t="n"/>
      <c r="CQ202" s="218" t="n"/>
      <c r="CR202" s="218" t="n"/>
      <c r="CS202" s="218" t="n"/>
      <c r="CT202" s="3" t="n"/>
      <c r="CU202" s="218" t="n"/>
      <c r="CV202" s="218" t="n"/>
      <c r="CW202" s="218" t="n"/>
      <c r="CX202" s="218" t="n"/>
      <c r="CY202" s="3" t="n"/>
    </row>
    <row r="203" hidden="1" outlineLevel="1">
      <c r="C203" s="34" t="n"/>
      <c r="D203" s="3" t="n"/>
      <c r="E203" s="47" t="n"/>
      <c r="F203" s="47" t="n"/>
      <c r="G203" s="47" t="n"/>
      <c r="H203" s="3" t="n"/>
      <c r="I203" s="47" t="n"/>
      <c r="J203" s="47" t="n"/>
      <c r="K203" s="47" t="n"/>
      <c r="L203" s="47" t="n"/>
      <c r="M203" s="3" t="n"/>
      <c r="N203" s="47" t="n"/>
      <c r="O203" s="47" t="n"/>
      <c r="P203" s="47" t="n"/>
      <c r="Q203" s="47" t="n"/>
      <c r="R203" s="3" t="n"/>
      <c r="S203" s="47" t="n"/>
      <c r="T203" s="47" t="n"/>
      <c r="U203" s="47" t="n"/>
      <c r="V203" s="47" t="n"/>
      <c r="W203" s="3" t="n"/>
      <c r="X203" s="47" t="n"/>
      <c r="Y203" s="47" t="n"/>
      <c r="Z203" s="47" t="n"/>
      <c r="AA203" s="47" t="n"/>
      <c r="AB203" s="3" t="n"/>
      <c r="AC203" s="47" t="n"/>
      <c r="AD203" s="47" t="n"/>
      <c r="AE203" s="47" t="n"/>
      <c r="AF203" s="218" t="n"/>
      <c r="AG203" s="3" t="n"/>
      <c r="AH203" s="218" t="n"/>
      <c r="AI203" s="218" t="n"/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hidden="1" outlineLevel="1">
      <c r="C204" s="52" t="inlineStr">
        <is>
          <t>Outros Créditos - LP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hidden="1" outlineLevel="1">
      <c r="C205" s="52" t="inlineStr">
        <is>
          <t xml:space="preserve">Impostos e Contribuições a Recuperar </t>
        </is>
      </c>
      <c r="D205" s="6" t="n"/>
      <c r="E205" s="6" t="n"/>
      <c r="F205" s="6" t="n"/>
      <c r="G205" s="6" t="n"/>
      <c r="H205" s="3" t="n"/>
      <c r="I205" s="6" t="n"/>
      <c r="J205" s="6" t="n"/>
      <c r="K205" s="6" t="n"/>
      <c r="L205" s="6" t="n"/>
      <c r="M205" s="3" t="n"/>
      <c r="N205" s="6" t="n"/>
      <c r="O205" s="6" t="n"/>
      <c r="P205" s="6" t="n"/>
      <c r="Q205" s="6" t="n"/>
      <c r="R205" s="3" t="n"/>
      <c r="S205" s="6" t="n"/>
      <c r="T205" s="6" t="n"/>
      <c r="U205" s="6" t="n"/>
      <c r="V205" s="6" t="n"/>
      <c r="W205" s="3" t="n"/>
      <c r="X205" s="6" t="n"/>
      <c r="Y205" s="6" t="n"/>
      <c r="Z205" s="6" t="n"/>
      <c r="AA205" s="6" t="n"/>
      <c r="AB205" s="3" t="n"/>
      <c r="AC205" s="6" t="n"/>
      <c r="AD205" s="6" t="n"/>
      <c r="AE205" s="6" t="n"/>
      <c r="AF205" s="6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52" t="inlineStr">
        <is>
          <t xml:space="preserve">Imposto de Renda e Contribuição Social Diferidos </t>
        </is>
      </c>
      <c r="D206" s="6" t="n"/>
      <c r="E206" s="6" t="n"/>
      <c r="F206" s="6" t="n"/>
      <c r="G206" s="6" t="n"/>
      <c r="H206" s="3" t="n"/>
      <c r="I206" s="6" t="n"/>
      <c r="J206" s="6" t="n"/>
      <c r="K206" s="6" t="n"/>
      <c r="L206" s="6" t="n"/>
      <c r="M206" s="3" t="n"/>
      <c r="N206" s="6" t="n"/>
      <c r="O206" s="6" t="n"/>
      <c r="P206" s="6" t="n"/>
      <c r="Q206" s="6" t="n"/>
      <c r="R206" s="3" t="n"/>
      <c r="S206" s="6" t="n"/>
      <c r="T206" s="6" t="n"/>
      <c r="U206" s="6" t="n"/>
      <c r="V206" s="6" t="n"/>
      <c r="W206" s="3" t="n"/>
      <c r="X206" s="6" t="n"/>
      <c r="Y206" s="6" t="n"/>
      <c r="Z206" s="6" t="n"/>
      <c r="AA206" s="6" t="n"/>
      <c r="AB206" s="3" t="n"/>
      <c r="AC206" s="6" t="n"/>
      <c r="AD206" s="6" t="n"/>
      <c r="AE206" s="6" t="n"/>
      <c r="AF206" s="6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52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collapsed="1" customFormat="1" s="17">
      <c r="A209" s="13" t="n"/>
      <c r="B209" s="1" t="n"/>
      <c r="C209" s="14" t="inlineStr">
        <is>
          <t>Total Assets</t>
        </is>
      </c>
      <c r="D209" s="16">
        <f>(D156+D157+D161+D165+D166+D167+D173+D178+D188+D191+D192+D201)</f>
        <v>7290.565</v>
      </c>
      <c r="E209" s="16">
        <f>(E156+E157+E161+E165+E166+E167+E173+E178+E188+E191+E192+E201)</f>
        <v>7460.748</v>
      </c>
      <c r="F209" s="16">
        <f>(F156+F157+F161+F165+F166+F167+F173+F178+F188+F191+F192+F201)</f>
        <v>7734.62</v>
      </c>
      <c r="G209" s="16">
        <f>(G156+G157+G161+G165+G166+G167+G173+G178+G188+G191+G192+G201)</f>
        <v>8502.627</v>
      </c>
      <c r="H209" s="16">
        <f>SUM(H156,H157,H161,H165,H166,H167,H173,H188,H191,H192,H201,H178)</f>
        <v>8502.627</v>
      </c>
      <c r="I209" s="16">
        <f>(I156+I157+I161+I165+I166+I167+I173+I178+I188+I191+I192+I201)</f>
        <v>13041.956</v>
      </c>
      <c r="J209" s="16">
        <f>(J156+J157+J161+J165+J166+J167+J173+J178+J188+J191+J192+J201)</f>
        <v>14204.671</v>
      </c>
      <c r="K209" s="16">
        <f>(K156+K157+K161+K165+K166+K167+K173+K178+K188+K191+K192+K201)</f>
        <v>19735.813</v>
      </c>
      <c r="L209" s="16">
        <f>(L156+L157+L161+L165+L166+L167+L173+L178+L188+L191+L192+L201)</f>
        <v>21715.853</v>
      </c>
      <c r="M209" s="16">
        <f>SUM(M156,M157,M161,M165,M166,M167,M173,M188,M191,M192,M201,M178)</f>
        <v>21715.853</v>
      </c>
      <c r="N209" s="16">
        <f>(N156+N157+N161+N165+N166+N167+N173+N178+N188+N191+N192+N201)</f>
        <v>20955.436</v>
      </c>
      <c r="O209" s="16">
        <f>(O156+O157+O161+O165+O166+O167+O173+O178+O188+O191+O192+O201)</f>
        <v>23372.858</v>
      </c>
      <c r="P209" s="16">
        <f>(P156+P157+P161+P165+P166+P167+P173+P178+P188+P191+P192+P201)</f>
        <v>26410.242</v>
      </c>
      <c r="Q209" s="16">
        <f>(Q156+Q157+Q161+Q165+Q166+Q167+Q173+Q178+Q188+Q191+Q192+Q201)</f>
        <v>26248.893</v>
      </c>
      <c r="R209" s="16">
        <f>SUM(R156,R157,R161,R165,R166,R167,R173,R188,R191,R192,R201,R178)</f>
        <v>26248.893</v>
      </c>
      <c r="S209" s="16">
        <f>(S156+S157+S161+S165+S166+S167+S173+S178+S188+S191+S192+S201)</f>
        <v>22682.051</v>
      </c>
      <c r="T209" s="16">
        <f>(T156+T157+T161+T165+T166+T167+T173+T178+T188+T191+T192+T201)</f>
        <v>21069.958</v>
      </c>
      <c r="U209" s="16">
        <f>(U156+U157+U161+U165+U166+U167+U173+U178+U188+U191+U192+U201)</f>
        <v>21734.567</v>
      </c>
      <c r="V209" s="16">
        <f>(V156+V157+V161+V165+V166+V167+V173+V178+V188+V191+V192+V201)</f>
        <v>25119.493</v>
      </c>
      <c r="W209" s="16">
        <f>SUM(W156,W157,W161,W165,W166,W167,W173,W188,W191,W192,W201,W178)</f>
        <v>25119.493</v>
      </c>
      <c r="X209" s="16">
        <f>(X156+X157+X161+X165+X166+X167+X173+X178+X188+X191+X192+X201)</f>
        <v>26185.588</v>
      </c>
      <c r="Y209" s="16">
        <f>(Y156+Y157+Y161+Y165+Y166+Y167+Y173+Y178+Y188+Y191+Y192+Y201)</f>
        <v>27684.239</v>
      </c>
      <c r="Z209" s="16">
        <f>(Z156+Z157+Z161+Z165+Z166+Z167+Z173+Z178+Z188+Z191+Z192+Z201)</f>
        <v>28574.186</v>
      </c>
      <c r="AA209" s="16">
        <f>(AA156+AA157+AA161+AA165+AA166+AA167+AA173+AA178+AA188+AA191+AA192+AA201)</f>
        <v>30573.857</v>
      </c>
      <c r="AB209" s="16">
        <f>SUM(AB156,AB157,AB161,AB165,AB166,AB167,AB173,AB188,AB191,AB192,AB201,AB178)</f>
        <v>30573.857</v>
      </c>
      <c r="AC209" s="16">
        <f>(AC156+AC157+AC161+AC165+AC166+AC167+AC173+AC178+AC188+AC191+AC192+AC201)</f>
        <v>29211.368</v>
      </c>
      <c r="AD209" s="16">
        <f>(AD156+AD157+AD161+AD165+AD166+AD167+AD173+AD178+AD188+AD191+AD192+AD201)</f>
        <v>29775.568</v>
      </c>
      <c r="AE209" s="16">
        <f>(AE156+AE157+AE161+AE165+AE166+AE167+AE173+AE178+AE188+AE191+AE192+AE201)</f>
        <v>29641.564</v>
      </c>
      <c r="AF209" s="16">
        <f>(AF156+AF157+AF161+AF165+AF166+AF167+AF173+AF178+AF188+AF191+AF192+AF201)</f>
        <v>34925.259</v>
      </c>
      <c r="AG209" s="16">
        <f>SUM(AG156,AG157,AG161,AG165,AG166,AG167,AG173,AG188,AG191,AG192,AG201,AG178)</f>
        <v>34925.259</v>
      </c>
      <c r="AH209" s="16">
        <f>(AH156+AH157+AH161+AH165+AH166+AH167+AH173+AH178+AH188+AH191+AH192+AH201)</f>
        <v>35936.374</v>
      </c>
      <c r="AI209" s="16">
        <f>(AI156+AI157+AI161+AI165+AI166+AI167+AI173+AI178+AI188+AI191+AI192+AI201)</f>
        <v>37340.96</v>
      </c>
      <c r="AJ209" s="16">
        <f>(AJ156+AJ157+AJ161+AJ165+AJ166+AJ167+AJ173+AJ178+AJ188+AJ191+AJ192+AJ201)</f>
        <v>31825.9264076</v>
      </c>
      <c r="AK209" s="16">
        <f>(AK156+AK157+AK161+AK165+AK166+AK167+AK173+AK178+AK188+AK191+AK192+AK201)</f>
        <v>31981.0621023</v>
      </c>
      <c r="AL209" s="16">
        <f>SUM(AL156,AL157,AL161,AL165,AL166,AL167,AL173,AL188,AL191,AL192,AL201,AL178)</f>
        <v>31981.0621023</v>
      </c>
      <c r="AM209" s="16" t="e">
        <f>(AM156+AM157+AM161+AM165+AM166+AM167+AM173+AM178+AM188+AM191+AM192+AM201)</f>
        <v>#DIV/0!</v>
      </c>
      <c r="AN209" s="16" t="e">
        <f>(AN156+AN157+AN161+AN165+AN166+AN167+AN173+AN178+AN188+AN191+AN192+AN201)</f>
        <v>#DIV/0!</v>
      </c>
      <c r="AO209" s="16" t="e">
        <f>(AO156+AO157+AO161+AO165+AO166+AO167+AO173+AO178+AO188+AO191+AO192+AO201)</f>
        <v>#DIV/0!</v>
      </c>
      <c r="AP209" s="16" t="e">
        <f>(AP156+AP157+AP161+AP165+AP166+AP167+AP173+AP178+AP188+AP191+AP192+AP201)</f>
        <v>#DIV/0!</v>
      </c>
      <c r="AQ209" s="16" t="e">
        <f>SUM(AQ156,AQ157,AQ161,AQ165,AQ166,AQ167,AQ173,AQ188,AQ191,AQ192,AQ201,AQ178)</f>
        <v>#DIV/0!</v>
      </c>
      <c r="AR209" s="16" t="e">
        <f>(AR156+AR157+AR161+AR165+AR166+AR167+AR173+AR178+AR188+AR191+AR192+AR201)</f>
        <v>#DIV/0!</v>
      </c>
      <c r="AS209" s="16" t="e">
        <f>(AS156+AS157+AS161+AS165+AS166+AS167+AS173+AS178+AS188+AS191+AS192+AS201)</f>
        <v>#DIV/0!</v>
      </c>
      <c r="AT209" s="16" t="e">
        <f>(AT156+AT157+AT161+AT165+AT166+AT167+AT173+AT178+AT188+AT191+AT192+AT201)</f>
        <v>#DIV/0!</v>
      </c>
      <c r="AU209" s="16" t="e">
        <f>(AU156+AU157+AU161+AU165+AU166+AU167+AU173+AU178+AU188+AU191+AU192+AU201)</f>
        <v>#DIV/0!</v>
      </c>
      <c r="AV209" s="16" t="e">
        <f>SUM(AV156,AV157,AV161,AV165,AV166,AV167,AV173,AV188,AV191,AV192,AV201,AV178)</f>
        <v>#DIV/0!</v>
      </c>
      <c r="AW209" s="16" t="e">
        <f>(AW156+AW157+AW161+AW165+AW166+AW167+AW173+AW178+AW188+AW191+AW192+AW201)</f>
        <v>#DIV/0!</v>
      </c>
      <c r="AX209" s="16" t="e">
        <f>(AX156+AX157+AX161+AX165+AX166+AX167+AX173+AX178+AX188+AX191+AX192+AX201)</f>
        <v>#DIV/0!</v>
      </c>
      <c r="AY209" s="16" t="e">
        <f>(AY156+AY157+AY161+AY165+AY166+AY167+AY173+AY178+AY188+AY191+AY192+AY201)</f>
        <v>#DIV/0!</v>
      </c>
      <c r="AZ209" s="16" t="e">
        <f>(AZ156+AZ157+AZ161+AZ165+AZ166+AZ167+AZ173+AZ178+AZ188+AZ191+AZ192+AZ201)</f>
        <v>#DIV/0!</v>
      </c>
      <c r="BA209" s="16" t="e">
        <f>SUM(BA156,BA157,BA161,BA165,BA166,BA167,BA173,BA188,BA191,BA192,BA201,BA178)</f>
        <v>#DIV/0!</v>
      </c>
      <c r="BB209" s="16" t="e">
        <f>(BB156+BB157+BB161+BB165+BB166+BB167+BB173+BB178+BB188+BB191+BB192+BB201)</f>
        <v>#DIV/0!</v>
      </c>
      <c r="BC209" s="16" t="e">
        <f>(BC156+BC157+BC161+BC165+BC166+BC167+BC173+BC178+BC188+BC191+BC192+BC201)</f>
        <v>#DIV/0!</v>
      </c>
      <c r="BD209" s="16" t="e">
        <f>(BD156+BD157+BD161+BD165+BD166+BD167+BD173+BD178+BD188+BD191+BD192+BD201)</f>
        <v>#DIV/0!</v>
      </c>
      <c r="BE209" s="16" t="e">
        <f>(BE156+BE157+BE161+BE165+BE166+BE167+BE173+BE178+BE188+BE191+BE192+BE201)</f>
        <v>#DIV/0!</v>
      </c>
      <c r="BF209" s="16" t="e">
        <f>SUM(BF156,BF157,BF161,BF165,BF166,BF167,BF173,BF188,BF191,BF192,BF201,BF178)</f>
        <v>#DIV/0!</v>
      </c>
      <c r="BG209" s="16" t="e">
        <f>(BG156+BG157+BG161+BG165+BG166+BG167+BG173+BG178+BG188+BG191+BG192+BG201)</f>
        <v>#DIV/0!</v>
      </c>
      <c r="BH209" s="16" t="e">
        <f>(BH156+BH157+BH161+BH165+BH166+BH167+BH173+BH178+BH188+BH191+BH192+BH201)</f>
        <v>#DIV/0!</v>
      </c>
      <c r="BI209" s="16" t="e">
        <f>(BI156+BI157+BI161+BI165+BI166+BI167+BI173+BI178+BI188+BI191+BI192+BI201)</f>
        <v>#DIV/0!</v>
      </c>
      <c r="BJ209" s="16" t="e">
        <f>(BJ156+BJ157+BJ161+BJ165+BJ166+BJ167+BJ173+BJ178+BJ188+BJ191+BJ192+BJ201)</f>
        <v>#DIV/0!</v>
      </c>
      <c r="BK209" s="16" t="e">
        <f>SUM(BK156,BK157,BK161,BK165,BK166,BK167,BK173,BK188,BK191,BK192,BK201,BK178)</f>
        <v>#DIV/0!</v>
      </c>
      <c r="BL209" s="16" t="e">
        <f>(BL156+BL157+BL161+BL165+BL166+BL167+BL173+BL178+BL188+BL191+BL192+BL201)</f>
        <v>#DIV/0!</v>
      </c>
      <c r="BM209" s="16" t="e">
        <f>(BM156+BM157+BM161+BM165+BM166+BM167+BM173+BM178+BM188+BM191+BM192+BM201)</f>
        <v>#DIV/0!</v>
      </c>
      <c r="BN209" s="16" t="e">
        <f>(BN156+BN157+BN161+BN165+BN166+BN167+BN173+BN178+BN188+BN191+BN192+BN201)</f>
        <v>#DIV/0!</v>
      </c>
      <c r="BO209" s="16" t="e">
        <f>(BO156+BO157+BO161+BO165+BO166+BO167+BO173+BO178+BO188+BO191+BO192+BO201)</f>
        <v>#DIV/0!</v>
      </c>
      <c r="BP209" s="16" t="e">
        <f>SUM(BP156,BP157,BP161,BP165,BP166,BP167,BP173,BP188,BP191,BP192,BP201,BP178)</f>
        <v>#DIV/0!</v>
      </c>
      <c r="BQ209" s="16" t="e">
        <f>(BQ156+BQ157+BQ161+BQ165+BQ166+BQ167+BQ173+BQ178+BQ188+BQ191+BQ192+BQ201)</f>
        <v>#DIV/0!</v>
      </c>
      <c r="BR209" s="16" t="e">
        <f>(BR156+BR157+BR161+BR165+BR166+BR167+BR173+BR178+BR188+BR191+BR192+BR201)</f>
        <v>#DIV/0!</v>
      </c>
      <c r="BS209" s="16" t="e">
        <f>(BS156+BS157+BS161+BS165+BS166+BS167+BS173+BS178+BS188+BS191+BS192+BS201)</f>
        <v>#DIV/0!</v>
      </c>
      <c r="BT209" s="16" t="e">
        <f>(BT156+BT157+BT161+BT165+BT166+BT167+BT173+BT178+BT188+BT191+BT192+BT201)</f>
        <v>#DIV/0!</v>
      </c>
      <c r="BU209" s="16" t="e">
        <f>SUM(BU156,BU157,BU161,BU165,BU166,BU167,BU173,BU188,BU191,BU192,BU201,BU178)</f>
        <v>#DIV/0!</v>
      </c>
      <c r="BV209" s="16" t="e">
        <f>(BV156+BV157+BV161+BV165+BV166+BV167+BV173+BV178+BV188+BV191+BV192+BV201)</f>
        <v>#DIV/0!</v>
      </c>
      <c r="BW209" s="16" t="e">
        <f>(BW156+BW157+BW161+BW165+BW166+BW167+BW173+BW178+BW188+BW191+BW192+BW201)</f>
        <v>#DIV/0!</v>
      </c>
      <c r="BX209" s="16" t="e">
        <f>(BX156+BX157+BX161+BX165+BX166+BX167+BX173+BX178+BX188+BX191+BX192+BX201)</f>
        <v>#DIV/0!</v>
      </c>
      <c r="BY209" s="16" t="e">
        <f>(BY156+BY157+BY161+BY165+BY166+BY167+BY173+BY178+BY188+BY191+BY192+BY201)</f>
        <v>#DIV/0!</v>
      </c>
      <c r="BZ209" s="16" t="e">
        <f>SUM(BZ156,BZ157,BZ161,BZ165,BZ166,BZ167,BZ173,BZ188,BZ191,BZ192,BZ201,BZ178)</f>
        <v>#DIV/0!</v>
      </c>
      <c r="CA209" s="16" t="e">
        <f>(CA156+CA157+CA161+CA165+CA166+CA167+CA173+CA178+CA188+CA191+CA192+CA201)</f>
        <v>#DIV/0!</v>
      </c>
      <c r="CB209" s="16" t="e">
        <f>(CB156+CB157+CB161+CB165+CB166+CB167+CB173+CB178+CB188+CB191+CB192+CB201)</f>
        <v>#DIV/0!</v>
      </c>
      <c r="CC209" s="16" t="e">
        <f>(CC156+CC157+CC161+CC165+CC166+CC167+CC173+CC178+CC188+CC191+CC192+CC201)</f>
        <v>#DIV/0!</v>
      </c>
      <c r="CD209" s="16" t="e">
        <f>(CD156+CD157+CD161+CD165+CD166+CD167+CD173+CD178+CD188+CD191+CD192+CD201)</f>
        <v>#DIV/0!</v>
      </c>
      <c r="CE209" s="16" t="e">
        <f>SUM(CE156,CE157,CE161,CE165,CE166,CE167,CE173,CE188,CE191,CE192,CE201,CE178)</f>
        <v>#DIV/0!</v>
      </c>
      <c r="CF209" s="16" t="e">
        <f>(CF156+CF157+CF161+CF165+CF166+CF167+CF173+CF178+CF188+CF191+CF192+CF201)</f>
        <v>#DIV/0!</v>
      </c>
      <c r="CG209" s="16" t="e">
        <f>(CG156+CG157+CG161+CG165+CG166+CG167+CG173+CG178+CG188+CG191+CG192+CG201)</f>
        <v>#DIV/0!</v>
      </c>
      <c r="CH209" s="16" t="e">
        <f>(CH156+CH157+CH161+CH165+CH166+CH167+CH173+CH178+CH188+CH191+CH192+CH201)</f>
        <v>#DIV/0!</v>
      </c>
      <c r="CI209" s="16" t="e">
        <f>(CI156+CI157+CI161+CI165+CI166+CI167+CI173+CI178+CI188+CI191+CI192+CI201)</f>
        <v>#DIV/0!</v>
      </c>
      <c r="CJ209" s="16" t="e">
        <f>SUM(CJ156,CJ157,CJ161,CJ165,CJ166,CJ167,CJ173,CJ188,CJ191,CJ192,CJ201,CJ178)</f>
        <v>#DIV/0!</v>
      </c>
      <c r="CK209" s="16" t="e">
        <f>(CK156+CK157+CK161+CK165+CK166+CK167+CK173+CK178+CK188+CK191+CK192+CK201)</f>
        <v>#DIV/0!</v>
      </c>
      <c r="CL209" s="16" t="e">
        <f>(CL156+CL157+CL161+CL165+CL166+CL167+CL173+CL178+CL188+CL191+CL192+CL201)</f>
        <v>#DIV/0!</v>
      </c>
      <c r="CM209" s="16" t="e">
        <f>(CM156+CM157+CM161+CM165+CM166+CM167+CM173+CM178+CM188+CM191+CM192+CM201)</f>
        <v>#DIV/0!</v>
      </c>
      <c r="CN209" s="16" t="e">
        <f>(CN156+CN157+CN161+CN165+CN166+CN167+CN173+CN178+CN188+CN191+CN192+CN201)</f>
        <v>#DIV/0!</v>
      </c>
      <c r="CO209" s="16" t="e">
        <f>SUM(CO156,CO157,CO161,CO165,CO166,CO167,CO173,CO188,CO191,CO192,CO201,CO178)</f>
        <v>#DIV/0!</v>
      </c>
      <c r="CP209" s="16" t="e">
        <f>(CP156+CP157+CP161+CP165+CP166+CP167+CP173+CP178+CP188+CP191+CP192+CP201)</f>
        <v>#DIV/0!</v>
      </c>
      <c r="CQ209" s="16" t="e">
        <f>(CQ156+CQ157+CQ161+CQ165+CQ166+CQ167+CQ173+CQ178+CQ188+CQ191+CQ192+CQ201)</f>
        <v>#DIV/0!</v>
      </c>
      <c r="CR209" s="16" t="e">
        <f>(CR156+CR157+CR161+CR165+CR166+CR167+CR173+CR178+CR188+CR191+CR192+CR201)</f>
        <v>#DIV/0!</v>
      </c>
      <c r="CS209" s="16" t="e">
        <f>(CS156+CS157+CS161+CS165+CS166+CS167+CS173+CS178+CS188+CS191+CS192+CS201)</f>
        <v>#DIV/0!</v>
      </c>
      <c r="CT209" s="16" t="e">
        <f>SUM(CT156,CT157,CT161,CT165,CT166,CT167,CT173,CT188,CT191,CT192,CT201,CT178)</f>
        <v>#DIV/0!</v>
      </c>
      <c r="CU209" s="16" t="e">
        <f>(CU156+CU157+CU161+CU165+CU166+CU167+CU173+CU178+CU188+CU191+CU192+CU201)</f>
        <v>#DIV/0!</v>
      </c>
      <c r="CV209" s="16" t="e">
        <f>(CV156+CV157+CV161+CV165+CV166+CV167+CV173+CV178+CV188+CV191+CV192+CV201)</f>
        <v>#DIV/0!</v>
      </c>
      <c r="CW209" s="16" t="e">
        <f>(CW156+CW157+CW161+CW165+CW166+CW167+CW173+CW178+CW188+CW191+CW192+CW201)</f>
        <v>#DIV/0!</v>
      </c>
      <c r="CX209" s="16" t="e">
        <f>(CX156+CX157+CX161+CX165+CX166+CX167+CX173+CX178+CX188+CX191+CX192+CX201)</f>
        <v>#DIV/0!</v>
      </c>
      <c r="CY209" s="16" t="e">
        <f>SUM(CY156,CY157,CY161,CY165,CY166,CY167,CY173,CY188,CY191,CY192,CY201,CY178)</f>
        <v>#DIV/0!</v>
      </c>
    </row>
    <row r="210">
      <c r="C210" s="26" t="inlineStr">
        <is>
          <t>Accounts payable</t>
        </is>
      </c>
      <c r="D210" s="25">
        <f>INDEX('Inputs (2)'!$D$28:$AL$28,MATCH(D$7,'Inputs (2)'!$D$2:$AL$2,0))</f>
        <v>1479.83</v>
      </c>
      <c r="E210" s="25">
        <f>INDEX('Inputs (2)'!$D$28:$AL$28,MATCH(E$7,'Inputs (2)'!$D$2:$AL$2,0))</f>
        <v>727.185</v>
      </c>
      <c r="F210" s="25">
        <f>INDEX('Inputs (2)'!$D$28:$AL$28,MATCH(F$7,'Inputs (2)'!$D$2:$AL$2,0))</f>
        <v>1142.946</v>
      </c>
      <c r="G210" s="25">
        <f>INDEX('Inputs (2)'!$D$28:$AL$28,MATCH(G$7,'Inputs (2)'!$D$2:$AL$2,0))</f>
        <v>1172.715</v>
      </c>
      <c r="H210" s="3">
        <f>G210</f>
        <v>1172.715</v>
      </c>
      <c r="I210" s="25">
        <f>INDEX('Inputs (2)'!$D$28:$AL$28,MATCH(I$7,'Inputs (2)'!$D$2:$AL$2,0))</f>
        <v>945.486</v>
      </c>
      <c r="J210" s="25">
        <f>INDEX('Inputs (2)'!$D$28:$AL$28,MATCH(J$7,'Inputs (2)'!$D$2:$AL$2,0))</f>
        <v>1343.416</v>
      </c>
      <c r="K210" s="25">
        <f>INDEX('Inputs (2)'!$D$28:$AL$28,MATCH(K$7,'Inputs (2)'!$D$2:$AL$2,0))</f>
        <v>1360.476</v>
      </c>
      <c r="L210" s="25">
        <f>INDEX('Inputs (2)'!$D$28:$AL$28,MATCH(L$7,'Inputs (2)'!$D$2:$AL$2,0))</f>
        <v>2316.752</v>
      </c>
      <c r="M210" s="3">
        <f>L210</f>
        <v>2316.752</v>
      </c>
      <c r="N210" s="25">
        <f>INDEX('Inputs (2)'!$D$28:$AL$28,MATCH(N$7,'Inputs (2)'!$D$2:$AL$2,0))</f>
        <v>1725.608</v>
      </c>
      <c r="O210" s="25">
        <f>INDEX('Inputs (2)'!$D$28:$AL$28,MATCH(O$7,'Inputs (2)'!$D$2:$AL$2,0))</f>
        <v>2454.363</v>
      </c>
      <c r="P210" s="25">
        <f>INDEX('Inputs (2)'!$D$28:$AL$28,MATCH(P$7,'Inputs (2)'!$D$2:$AL$2,0))</f>
        <v>1654.353</v>
      </c>
      <c r="Q210" s="25">
        <f>INDEX('Inputs (2)'!$D$28:$AL$28,MATCH(Q$7,'Inputs (2)'!$D$2:$AL$2,0))</f>
        <v>2264.908</v>
      </c>
      <c r="R210" s="3">
        <f>Q210</f>
        <v>2264.908</v>
      </c>
      <c r="S210" s="25">
        <f>INDEX('Inputs (2)'!$D$28:$AL$28,MATCH(S$7,'Inputs (2)'!$D$2:$AL$2,0))</f>
        <v>1063.365</v>
      </c>
      <c r="T210" s="25">
        <f>INDEX('Inputs (2)'!$D$28:$AL$28,MATCH(T$7,'Inputs (2)'!$D$2:$AL$2,0))</f>
        <v>928.577</v>
      </c>
      <c r="U210" s="25">
        <f>INDEX('Inputs (2)'!$D$28:$AL$28,MATCH(U$7,'Inputs (2)'!$D$2:$AL$2,0))</f>
        <v>2091.418</v>
      </c>
      <c r="V210" s="25">
        <f>INDEX('Inputs (2)'!$D$28:$AL$28,MATCH(V$7,'Inputs (2)'!$D$2:$AL$2,0))</f>
        <v>4751.328</v>
      </c>
      <c r="W210" s="3">
        <f>V210</f>
        <v>4751.328</v>
      </c>
      <c r="X210" s="25">
        <f>INDEX('Inputs (2)'!$D$28:$AL$28,MATCH(X$7,'Inputs (2)'!$D$2:$AL$2,0))</f>
        <v>4072.857</v>
      </c>
      <c r="Y210" s="25">
        <f>INDEX('Inputs (2)'!$D$28:$AL$28,MATCH(Y$7,'Inputs (2)'!$D$2:$AL$2,0))</f>
        <v>3641.977</v>
      </c>
      <c r="Z210" s="25">
        <f>INDEX('Inputs (2)'!$D$28:$AL$28,MATCH(Z$7,'Inputs (2)'!$D$2:$AL$2,0))</f>
        <v>3717.829</v>
      </c>
      <c r="AA210" s="25">
        <f>INDEX('Inputs (2)'!$D$28:$AL$28,MATCH(AA$7,'Inputs (2)'!$D$2:$AL$2,0))</f>
        <v>5318.16</v>
      </c>
      <c r="AB210" s="3">
        <f>AA210</f>
        <v>5318.16</v>
      </c>
      <c r="AC210" s="25">
        <f>INDEX('Inputs (2)'!$D$28:$AL$28,MATCH(AC$7,'Inputs (2)'!$D$2:$AL$2,0))</f>
        <v>3497.195</v>
      </c>
      <c r="AD210" s="25">
        <f>INDEX('Inputs (2)'!$D$28:$AL$28,MATCH(AD$7,'Inputs (2)'!$D$2:$AL$2,0))</f>
        <v>4481.643</v>
      </c>
      <c r="AE210" s="25">
        <f>INDEX('Inputs (2)'!$D$28:$AL$28,MATCH(AE$7,'Inputs (2)'!$D$2:$AL$2,0))</f>
        <v>4425.851</v>
      </c>
      <c r="AF210" s="25">
        <f>INDEX('Inputs (2)'!$D$28:$AL$28,MATCH(AF$7,'Inputs (2)'!$D$2:$AL$2,0))</f>
        <v>5854.754</v>
      </c>
      <c r="AG210" s="3">
        <f>AF210</f>
        <v>5854.754</v>
      </c>
      <c r="AH210" s="3">
        <f>INDEX('Inputs (2)'!$D$28:$AL$28,MATCH(AH$7,'Inputs (2)'!$D$2:$AL$2,0))</f>
        <v>5026.274</v>
      </c>
      <c r="AI210" s="3">
        <f>INDEX('Inputs (2)'!$D$28:$AL$28,MATCH(AI$7,'Inputs (2)'!$D$2:$AL$2,0))</f>
        <v>5451.752</v>
      </c>
      <c r="AJ210" s="3">
        <f>(AJ211/(AJ$5-AI$5))*-AJ66</f>
        <v>0</v>
      </c>
      <c r="AK210" s="3">
        <f>(AK211/(AK$5-AJ$5))*-AK66</f>
        <v>0</v>
      </c>
      <c r="AL210" s="3">
        <f>AK210</f>
        <v>0</v>
      </c>
      <c r="AM210" s="3">
        <f>(AM211/(AM$5-AL$5))*-AM66</f>
        <v>0</v>
      </c>
      <c r="AN210" s="3">
        <f>(AN211/(AN$5-AM$5))*-AN66</f>
        <v>0</v>
      </c>
      <c r="AO210" s="3">
        <f>(AO211/(AO$5-AN$5))*-AO66</f>
        <v>0</v>
      </c>
      <c r="AP210" s="3">
        <f>(AP211/(AP$5-AO$5))*-AP66</f>
        <v>0</v>
      </c>
      <c r="AQ210" s="3">
        <f>AP210</f>
        <v>0</v>
      </c>
      <c r="AR210" s="3">
        <f>(AR211/(AR$5-AQ$5))*-AR66</f>
        <v>0</v>
      </c>
      <c r="AS210" s="3">
        <f>(AS211/(AS$5-AR$5))*-AS66</f>
        <v>0</v>
      </c>
      <c r="AT210" s="3">
        <f>(AT211/(AT$5-AS$5))*-AT66</f>
        <v>0</v>
      </c>
      <c r="AU210" s="3">
        <f>(AU211/(AU$5-AT$5))*-AU66</f>
        <v>0</v>
      </c>
      <c r="AV210" s="3">
        <f>AU210</f>
        <v>0</v>
      </c>
      <c r="AW210" s="3">
        <f>(AW211/(AW$5-AV$5))*-AW66</f>
        <v>0</v>
      </c>
      <c r="AX210" s="3">
        <f>(AX211/(AX$5-AW$5))*-AX66</f>
        <v>0</v>
      </c>
      <c r="AY210" s="3">
        <f>(AY211/(AY$5-AX$5))*-AY66</f>
        <v>0</v>
      </c>
      <c r="AZ210" s="3">
        <f>(AZ211/(AZ$5-AY$5))*-AZ66</f>
        <v>0</v>
      </c>
      <c r="BA210" s="3">
        <f>AZ210</f>
        <v>0</v>
      </c>
      <c r="BB210" s="3">
        <f>(BB211/(BB$5-BA$5))*-BB66</f>
        <v>0</v>
      </c>
      <c r="BC210" s="3">
        <f>(BC211/(BC$5-BB$5))*-BC66</f>
        <v>0</v>
      </c>
      <c r="BD210" s="3">
        <f>(BD211/(BD$5-BC$5))*-BD66</f>
        <v>0</v>
      </c>
      <c r="BE210" s="3">
        <f>(BE211/(BE$5-BD$5))*-BE66</f>
        <v>0</v>
      </c>
      <c r="BF210" s="3">
        <f>BE210</f>
        <v>0</v>
      </c>
      <c r="BG210" s="3">
        <f>(BG211/(BG$5-BF$5))*-BG66</f>
        <v>0</v>
      </c>
      <c r="BH210" s="3">
        <f>(BH211/(BH$5-BG$5))*-BH66</f>
        <v>0</v>
      </c>
      <c r="BI210" s="3">
        <f>(BI211/(BI$5-BH$5))*-BI66</f>
        <v>0</v>
      </c>
      <c r="BJ210" s="3">
        <f>(BJ211/(BJ$5-BI$5))*-BJ66</f>
        <v>0</v>
      </c>
      <c r="BK210" s="3">
        <f>BJ210</f>
        <v>0</v>
      </c>
      <c r="BL210" s="3">
        <f>(BL211/(BL$5-BK$5))*-BL66</f>
        <v>0</v>
      </c>
      <c r="BM210" s="3">
        <f>(BM211/(BM$5-BL$5))*-BM66</f>
        <v>0</v>
      </c>
      <c r="BN210" s="3">
        <f>(BN211/(BN$5-BM$5))*-BN66</f>
        <v>0</v>
      </c>
      <c r="BO210" s="3">
        <f>(BO211/(BO$5-BN$5))*-BO66</f>
        <v>0</v>
      </c>
      <c r="BP210" s="3">
        <f>BO210</f>
        <v>0</v>
      </c>
      <c r="BQ210" s="3">
        <f>(BQ211/(BQ$5-BP$5))*-BQ66</f>
        <v>0</v>
      </c>
      <c r="BR210" s="3">
        <f>(BR211/(BR$5-BQ$5))*-BR66</f>
        <v>0</v>
      </c>
      <c r="BS210" s="3">
        <f>(BS211/(BS$5-BR$5))*-BS66</f>
        <v>0</v>
      </c>
      <c r="BT210" s="3">
        <f>(BT211/(BT$5-BS$5))*-BT66</f>
        <v>0</v>
      </c>
      <c r="BU210" s="3">
        <f>BT210</f>
        <v>0</v>
      </c>
      <c r="BV210" s="3">
        <f>(BV211/(BV$5-BU$5))*-BV66</f>
        <v>0</v>
      </c>
      <c r="BW210" s="3">
        <f>(BW211/(BW$5-BV$5))*-BW66</f>
        <v>0</v>
      </c>
      <c r="BX210" s="3">
        <f>(BX211/(BX$5-BW$5))*-BX66</f>
        <v>0</v>
      </c>
      <c r="BY210" s="3">
        <f>(BY211/(BY$5-BX$5))*-BY66</f>
        <v>0</v>
      </c>
      <c r="BZ210" s="3">
        <f>BY210</f>
        <v>0</v>
      </c>
      <c r="CA210" s="3">
        <f>(CA211/(CA$5-BZ$5))*-CA66</f>
        <v>0</v>
      </c>
      <c r="CB210" s="3">
        <f>(CB211/(CB$5-CA$5))*-CB66</f>
        <v>0</v>
      </c>
      <c r="CC210" s="3">
        <f>(CC211/(CC$5-CB$5))*-CC66</f>
        <v>0</v>
      </c>
      <c r="CD210" s="3">
        <f>(CD211/(CD$5-CC$5))*-CD66</f>
        <v>0</v>
      </c>
      <c r="CE210" s="3">
        <f>CD210</f>
        <v>0</v>
      </c>
      <c r="CF210" s="3">
        <f>(CF211/(CF$5-CE$5))*-CF66</f>
        <v>0</v>
      </c>
      <c r="CG210" s="3">
        <f>(CG211/(CG$5-CF$5))*-CG66</f>
        <v>0</v>
      </c>
      <c r="CH210" s="3">
        <f>(CH211/(CH$5-CG$5))*-CH66</f>
        <v>0</v>
      </c>
      <c r="CI210" s="3">
        <f>(CI211/(CI$5-CH$5))*-CI66</f>
        <v>0</v>
      </c>
      <c r="CJ210" s="3">
        <f>CI210</f>
        <v>0</v>
      </c>
      <c r="CK210" s="3">
        <f>(CK211/(CK$5-CJ$5))*-CK66</f>
        <v>0</v>
      </c>
      <c r="CL210" s="3">
        <f>(CL211/(CL$5-CK$5))*-CL66</f>
        <v>0</v>
      </c>
      <c r="CM210" s="3">
        <f>(CM211/(CM$5-CL$5))*-CM66</f>
        <v>0</v>
      </c>
      <c r="CN210" s="3">
        <f>(CN211/(CN$5-CM$5))*-CN66</f>
        <v>0</v>
      </c>
      <c r="CO210" s="3">
        <f>CN210</f>
        <v>0</v>
      </c>
      <c r="CP210" s="3">
        <f>(CP211/(CP$5-CO$5))*-CP66</f>
        <v>0</v>
      </c>
      <c r="CQ210" s="3">
        <f>(CQ211/(CQ$5-CP$5))*-CQ66</f>
        <v>0</v>
      </c>
      <c r="CR210" s="3">
        <f>(CR211/(CR$5-CQ$5))*-CR66</f>
        <v>0</v>
      </c>
      <c r="CS210" s="3">
        <f>(CS211/(CS$5-CR$5))*-CS66</f>
        <v>0</v>
      </c>
      <c r="CT210" s="3">
        <f>CS210</f>
        <v>0</v>
      </c>
      <c r="CU210" s="3">
        <f>(CU211/(CU$5-CT$5))*-CU66</f>
        <v>0</v>
      </c>
      <c r="CV210" s="3">
        <f>(CV211/(CV$5-CU$5))*-CV66</f>
        <v>0</v>
      </c>
      <c r="CW210" s="3">
        <f>(CW211/(CW$5-CV$5))*-CW66</f>
        <v>0</v>
      </c>
      <c r="CX210" s="3">
        <f>(CX211/(CX$5-CW$5))*-CX66</f>
        <v>0</v>
      </c>
      <c r="CY210" s="3">
        <f>CX210</f>
        <v>0</v>
      </c>
    </row>
    <row r="211" hidden="1" outlineLevel="1">
      <c r="C211" s="34" t="inlineStr">
        <is>
          <t>DPO</t>
        </is>
      </c>
      <c r="D211" s="3" t="n"/>
      <c r="E211" s="3">
        <f>-(E210/E$66)*(E$5-D$5)</f>
        <v>86.8468620400021</v>
      </c>
      <c r="F211" s="3">
        <f>-(F210/F$66)*(F$5-E$5)</f>
        <v>157.903162687466</v>
      </c>
      <c r="G211" s="3">
        <f>-(G210/G$66)*(G$5-F$5)</f>
        <v>219.443386785775</v>
      </c>
      <c r="H211" s="3" t="n"/>
      <c r="I211" s="3">
        <f>-(I210/I$66)*(I$5-H$5)</f>
        <v>287.047310630977</v>
      </c>
      <c r="J211" s="3">
        <f>-(J210/J$66)*(J$5-I$5)</f>
        <v>202.006427807787</v>
      </c>
      <c r="K211" s="3">
        <f>-(K210/K$66)*(K$5-J$5)</f>
        <v>171.654299044657</v>
      </c>
      <c r="L211" s="3">
        <f>-(L210/L$66)*(L$5-K$5)</f>
        <v>304.726833940954</v>
      </c>
      <c r="M211" s="3" t="n"/>
      <c r="N211" s="3">
        <f>-(N210/N$66)*(N$5-M$5)</f>
        <v>192.225227154299</v>
      </c>
      <c r="O211" s="3">
        <f>-(O210/O$66)*(O$5-N$5)</f>
        <v>209.088259166163</v>
      </c>
      <c r="P211" s="3">
        <f>-(P210/P$66)*(P$5-O$5)</f>
        <v>115.390370771908</v>
      </c>
      <c r="Q211" s="3">
        <f>-(Q210/Q$66)*(Q$5-P$5)</f>
        <v>146.344152387267</v>
      </c>
      <c r="R211" s="3" t="n"/>
      <c r="S211" s="3">
        <f>-(S210/S$66)*(S$5-R$5)</f>
        <v>64.01147356445</v>
      </c>
      <c r="T211" s="3">
        <f>-(T210/T$66)*(T$5-S$5)</f>
        <v>67.1059688217216</v>
      </c>
      <c r="U211" s="3">
        <f>-(U210/U$66)*(U$5-T$5)</f>
        <v>131.811185941635</v>
      </c>
      <c r="V211" s="3">
        <f>-(V210/V$66)*(V$5-U$5)</f>
        <v>389.701017931935</v>
      </c>
      <c r="W211" s="3" t="n"/>
      <c r="X211" s="3">
        <f>-(X210/X$66)*(X$5-W$5)</f>
        <v>225.75808743672</v>
      </c>
      <c r="Y211" s="3">
        <f>-(Y210/Y$66)*(Y$5-X$5)</f>
        <v>170.52471893925</v>
      </c>
      <c r="Z211" s="3">
        <f>-(Z210/Z$66)*(Z$5-Y$5)</f>
        <v>157.814384148812</v>
      </c>
      <c r="AA211" s="3">
        <f>-(AA210/AA$66)*(AA$5-Z$5)</f>
        <v>299.750848211496</v>
      </c>
      <c r="AB211" s="3" t="n"/>
      <c r="AC211" s="3">
        <f>-(AC210/AC$66)*(AC$5-AB$5)</f>
        <v>170.106961495807</v>
      </c>
      <c r="AD211" s="3">
        <f>-(AD210/AD$66)*(AD$5-AC$5)</f>
        <v>211.256993302219</v>
      </c>
      <c r="AE211" s="3">
        <f>-(AE210/AE$66)*(AE$5-AD$5)</f>
        <v>211.727198463752</v>
      </c>
      <c r="AF211" s="6">
        <f>-(AF210/AF$66)*(AF$5-AE$5)</f>
        <v>303.307674301252</v>
      </c>
      <c r="AG211" s="3" t="n"/>
      <c r="AH211" s="6">
        <f>-(AH210/AH$66)*(AH$5-AG$5)</f>
        <v>252.301200113144</v>
      </c>
      <c r="AI211" s="6">
        <f>-(AI210/AI$66)*(AI$5-AH$5)</f>
        <v>299.195436707443</v>
      </c>
      <c r="AJ211" s="6" t="n"/>
      <c r="AK211" s="6" t="n"/>
      <c r="AL211" s="3" t="n"/>
      <c r="AM211" s="6" t="n"/>
      <c r="AN211" s="6" t="n"/>
      <c r="AO211" s="6" t="n"/>
      <c r="AP211" s="6" t="n"/>
      <c r="AQ211" s="3" t="n"/>
      <c r="AR211" s="6" t="n"/>
      <c r="AS211" s="6" t="n"/>
      <c r="AT211" s="6" t="n"/>
      <c r="AU211" s="6" t="n"/>
      <c r="AV211" s="3" t="n"/>
      <c r="AW211" s="6" t="n"/>
      <c r="AX211" s="6" t="n"/>
      <c r="AY211" s="6" t="n"/>
      <c r="AZ211" s="6" t="n"/>
      <c r="BA211" s="3" t="n"/>
      <c r="BB211" s="6" t="n"/>
      <c r="BC211" s="6" t="n"/>
      <c r="BD211" s="6" t="n"/>
      <c r="BE211" s="6" t="n"/>
      <c r="BF211" s="3" t="n"/>
      <c r="BG211" s="6" t="n"/>
      <c r="BH211" s="6" t="n"/>
      <c r="BI211" s="6" t="n"/>
      <c r="BJ211" s="6" t="n"/>
      <c r="BK211" s="3" t="n"/>
      <c r="BL211" s="6" t="n"/>
      <c r="BM211" s="6" t="n"/>
      <c r="BN211" s="6" t="n"/>
      <c r="BO211" s="6" t="n"/>
      <c r="BP211" s="3" t="n"/>
      <c r="BQ211" s="6" t="n"/>
      <c r="BR211" s="6" t="n"/>
      <c r="BS211" s="6" t="n"/>
      <c r="BT211" s="6" t="n"/>
      <c r="BU211" s="3" t="n"/>
      <c r="BV211" s="6" t="n"/>
      <c r="BW211" s="6" t="n"/>
      <c r="BX211" s="6" t="n"/>
      <c r="BY211" s="6" t="n"/>
      <c r="BZ211" s="3" t="n"/>
      <c r="CA211" s="6" t="n"/>
      <c r="CB211" s="6" t="n"/>
      <c r="CC211" s="6" t="n"/>
      <c r="CD211" s="6" t="n"/>
      <c r="CE211" s="3" t="n"/>
      <c r="CF211" s="6" t="n"/>
      <c r="CG211" s="6" t="n"/>
      <c r="CH211" s="6" t="n"/>
      <c r="CI211" s="6" t="n"/>
      <c r="CJ211" s="3" t="n"/>
      <c r="CK211" s="6" t="n"/>
      <c r="CL211" s="6" t="n"/>
      <c r="CM211" s="6" t="n"/>
      <c r="CN211" s="6" t="n"/>
      <c r="CO211" s="3" t="n"/>
      <c r="CP211" s="6" t="n"/>
      <c r="CQ211" s="6" t="n"/>
      <c r="CR211" s="6" t="n"/>
      <c r="CS211" s="6" t="n"/>
      <c r="CT211" s="3" t="n"/>
      <c r="CU211" s="6" t="n"/>
      <c r="CV211" s="6" t="n"/>
      <c r="CW211" s="6" t="n"/>
      <c r="CX211" s="6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collapsed="1">
      <c r="C214" s="26" t="inlineStr">
        <is>
          <t>Accrued expenses</t>
        </is>
      </c>
      <c r="D214" s="25">
        <f>INDEX('Inputs (2)'!$D$29:$AL$29,MATCH(D$7,'Inputs (2)'!$D$2:$AL$2,0))</f>
        <v>45.811</v>
      </c>
      <c r="E214" s="25">
        <f>INDEX('Inputs (2)'!$D$29:$AL$29,MATCH(E$7,'Inputs (2)'!$D$2:$AL$2,0))</f>
        <v>48.565</v>
      </c>
      <c r="F214" s="25">
        <f>INDEX('Inputs (2)'!$D$29:$AL$29,MATCH(F$7,'Inputs (2)'!$D$2:$AL$2,0))</f>
        <v>51.318</v>
      </c>
      <c r="G214" s="25">
        <f>INDEX('Inputs (2)'!$D$29:$AL$29,MATCH(G$7,'Inputs (2)'!$D$2:$AL$2,0))</f>
        <v>50.475</v>
      </c>
      <c r="H214" s="3">
        <f>G214</f>
        <v>50.475</v>
      </c>
      <c r="I214" s="25">
        <f>INDEX('Inputs (2)'!$D$29:$AL$29,MATCH(I$7,'Inputs (2)'!$D$2:$AL$2,0))</f>
        <v>60.032</v>
      </c>
      <c r="J214" s="25">
        <f>INDEX('Inputs (2)'!$D$29:$AL$29,MATCH(J$7,'Inputs (2)'!$D$2:$AL$2,0))</f>
        <v>70.925</v>
      </c>
      <c r="K214" s="25">
        <f>INDEX('Inputs (2)'!$D$29:$AL$29,MATCH(K$7,'Inputs (2)'!$D$2:$AL$2,0))</f>
        <v>73.609</v>
      </c>
      <c r="L214" s="25">
        <f>INDEX('Inputs (2)'!$D$29:$AL$29,MATCH(L$7,'Inputs (2)'!$D$2:$AL$2,0))</f>
        <v>66.977</v>
      </c>
      <c r="M214" s="3">
        <f>L214</f>
        <v>66.977</v>
      </c>
      <c r="N214" s="25">
        <f>INDEX('Inputs (2)'!$D$29:$AL$29,MATCH(N$7,'Inputs (2)'!$D$2:$AL$2,0))</f>
        <v>80.682</v>
      </c>
      <c r="O214" s="25">
        <f>INDEX('Inputs (2)'!$D$29:$AL$29,MATCH(O$7,'Inputs (2)'!$D$2:$AL$2,0))</f>
        <v>75.787</v>
      </c>
      <c r="P214" s="25">
        <f>INDEX('Inputs (2)'!$D$29:$AL$29,MATCH(P$7,'Inputs (2)'!$D$2:$AL$2,0))</f>
        <v>92.79</v>
      </c>
      <c r="Q214" s="25">
        <f>INDEX('Inputs (2)'!$D$29:$AL$29,MATCH(Q$7,'Inputs (2)'!$D$2:$AL$2,0))</f>
        <v>106.456</v>
      </c>
      <c r="R214" s="3">
        <f>Q214</f>
        <v>106.456</v>
      </c>
      <c r="S214" s="25">
        <f>INDEX('Inputs (2)'!$D$29:$AL$29,MATCH(S$7,'Inputs (2)'!$D$2:$AL$2,0))</f>
        <v>129.605</v>
      </c>
      <c r="T214" s="25">
        <f>INDEX('Inputs (2)'!$D$29:$AL$29,MATCH(T$7,'Inputs (2)'!$D$2:$AL$2,0))</f>
        <v>136.441</v>
      </c>
      <c r="U214" s="25">
        <f>INDEX('Inputs (2)'!$D$29:$AL$29,MATCH(U$7,'Inputs (2)'!$D$2:$AL$2,0))</f>
        <v>151.666</v>
      </c>
      <c r="V214" s="25">
        <f>INDEX('Inputs (2)'!$D$29:$AL$29,MATCH(V$7,'Inputs (2)'!$D$2:$AL$2,0))</f>
        <v>155.655</v>
      </c>
      <c r="W214" s="3">
        <f>V214</f>
        <v>155.655</v>
      </c>
      <c r="X214" s="25">
        <f>INDEX('Inputs (2)'!$D$29:$AL$29,MATCH(X$7,'Inputs (2)'!$D$2:$AL$2,0))</f>
        <v>142.042</v>
      </c>
      <c r="Y214" s="25">
        <f>INDEX('Inputs (2)'!$D$29:$AL$29,MATCH(Y$7,'Inputs (2)'!$D$2:$AL$2,0))</f>
        <v>120.107</v>
      </c>
      <c r="Z214" s="25">
        <f>INDEX('Inputs (2)'!$D$29:$AL$29,MATCH(Z$7,'Inputs (2)'!$D$2:$AL$2,0))</f>
        <v>116.491</v>
      </c>
      <c r="AA214" s="25">
        <f>INDEX('Inputs (2)'!$D$29:$AL$29,MATCH(AA$7,'Inputs (2)'!$D$2:$AL$2,0))</f>
        <v>97.953</v>
      </c>
      <c r="AB214" s="3">
        <f>AA214</f>
        <v>97.953</v>
      </c>
      <c r="AC214" s="25">
        <f>INDEX('Inputs (2)'!$D$29:$AL$29,MATCH(AC$7,'Inputs (2)'!$D$2:$AL$2,0))</f>
        <v>95.866</v>
      </c>
      <c r="AD214" s="25">
        <f>INDEX('Inputs (2)'!$D$29:$AL$29,MATCH(AD$7,'Inputs (2)'!$D$2:$AL$2,0))</f>
        <v>111.777</v>
      </c>
      <c r="AE214" s="25">
        <f>INDEX('Inputs (2)'!$D$29:$AL$29,MATCH(AE$7,'Inputs (2)'!$D$2:$AL$2,0))</f>
        <v>124.925</v>
      </c>
      <c r="AF214" s="25">
        <f>INDEX('Inputs (2)'!$D$29:$AL$29,MATCH(AF$7,'Inputs (2)'!$D$2:$AL$2,0))</f>
        <v>114.327</v>
      </c>
      <c r="AG214" s="3">
        <f>AF214</f>
        <v>114.327</v>
      </c>
      <c r="AH214" s="3">
        <f>INDEX('Inputs (2)'!$D$29:$AL$29,MATCH(AH$7,'Inputs (2)'!$D$2:$AL$2,0))</f>
        <v>127.308</v>
      </c>
      <c r="AI214" s="3">
        <f>INDEX('Inputs (2)'!$D$29:$AL$29,MATCH(AI$7,'Inputs (2)'!$D$2:$AL$2,0))</f>
        <v>126.412</v>
      </c>
      <c r="AJ214" s="3">
        <f>AH214*AJ70/AH70</f>
        <v>0</v>
      </c>
      <c r="AK214" s="3">
        <f>AI214*AK70/AI70</f>
        <v>0</v>
      </c>
      <c r="AL214" s="3">
        <f>AK214</f>
        <v>0</v>
      </c>
      <c r="AM214" s="3" t="e">
        <f>AK214*AM70/AK70</f>
        <v>#DIV/0!</v>
      </c>
      <c r="AN214" s="3">
        <f>AL214*AN70/AL70</f>
        <v>0</v>
      </c>
      <c r="AO214" s="3" t="e">
        <f>AM214*AO70/AM70</f>
        <v>#DIV/0!</v>
      </c>
      <c r="AP214" s="3" t="e">
        <f>AN214*AP70/AN70</f>
        <v>#DIV/0!</v>
      </c>
      <c r="AQ214" s="3" t="e">
        <f>AP214</f>
        <v>#DIV/0!</v>
      </c>
      <c r="AR214" s="3" t="e">
        <f>AP214*AR70/AP70</f>
        <v>#DIV/0!</v>
      </c>
      <c r="AS214" s="3" t="e">
        <f>AQ214*AS70/AQ70</f>
        <v>#DIV/0!</v>
      </c>
      <c r="AT214" s="3" t="e">
        <f>AR214*AT70/AR70</f>
        <v>#DIV/0!</v>
      </c>
      <c r="AU214" s="3" t="e">
        <f>AS214*AU70/AS70</f>
        <v>#DIV/0!</v>
      </c>
      <c r="AV214" s="3" t="e">
        <f>AU214</f>
        <v>#DIV/0!</v>
      </c>
      <c r="AW214" s="3" t="e">
        <f>AU214*AW70/AU70</f>
        <v>#DIV/0!</v>
      </c>
      <c r="AX214" s="3" t="e">
        <f>AV214*AX70/AV70</f>
        <v>#DIV/0!</v>
      </c>
      <c r="AY214" s="3" t="e">
        <f>AW214*AY70/AW70</f>
        <v>#DIV/0!</v>
      </c>
      <c r="AZ214" s="3" t="e">
        <f>AX214*AZ70/AX70</f>
        <v>#DIV/0!</v>
      </c>
      <c r="BA214" s="3" t="e">
        <f>AZ214</f>
        <v>#DIV/0!</v>
      </c>
      <c r="BB214" s="3" t="e">
        <f>AZ214*BB70/AZ70</f>
        <v>#DIV/0!</v>
      </c>
      <c r="BC214" s="3" t="e">
        <f>BA214*BC70/BA70</f>
        <v>#DIV/0!</v>
      </c>
      <c r="BD214" s="3" t="e">
        <f>BB214*BD70/BB70</f>
        <v>#DIV/0!</v>
      </c>
      <c r="BE214" s="3" t="e">
        <f>BC214*BE70/BC70</f>
        <v>#DIV/0!</v>
      </c>
      <c r="BF214" s="3" t="e">
        <f>BE214</f>
        <v>#DIV/0!</v>
      </c>
      <c r="BG214" s="3" t="e">
        <f>BE214*BG70/BE70</f>
        <v>#DIV/0!</v>
      </c>
      <c r="BH214" s="3" t="e">
        <f>BF214*BH70/BF70</f>
        <v>#DIV/0!</v>
      </c>
      <c r="BI214" s="3" t="e">
        <f>BG214*BI70/BG70</f>
        <v>#DIV/0!</v>
      </c>
      <c r="BJ214" s="3" t="e">
        <f>BH214*BJ70/BH70</f>
        <v>#DIV/0!</v>
      </c>
      <c r="BK214" s="3" t="e">
        <f>BJ214</f>
        <v>#DIV/0!</v>
      </c>
      <c r="BL214" s="3" t="e">
        <f>BJ214*BL70/BJ70</f>
        <v>#DIV/0!</v>
      </c>
      <c r="BM214" s="3" t="e">
        <f>BK214*BM70/BK70</f>
        <v>#DIV/0!</v>
      </c>
      <c r="BN214" s="3" t="e">
        <f>BL214*BN70/BL70</f>
        <v>#DIV/0!</v>
      </c>
      <c r="BO214" s="3" t="e">
        <f>BM214*BO70/BM70</f>
        <v>#DIV/0!</v>
      </c>
      <c r="BP214" s="3" t="e">
        <f>BO214</f>
        <v>#DIV/0!</v>
      </c>
      <c r="BQ214" s="3" t="e">
        <f>BO214*BQ70/BO70</f>
        <v>#DIV/0!</v>
      </c>
      <c r="BR214" s="3" t="e">
        <f>BP214*BR70/BP70</f>
        <v>#DIV/0!</v>
      </c>
      <c r="BS214" s="3" t="e">
        <f>BQ214*BS70/BQ70</f>
        <v>#DIV/0!</v>
      </c>
      <c r="BT214" s="3" t="e">
        <f>BR214*BT70/BR70</f>
        <v>#DIV/0!</v>
      </c>
      <c r="BU214" s="3" t="e">
        <f>BT214</f>
        <v>#DIV/0!</v>
      </c>
      <c r="BV214" s="3" t="e">
        <f>BT214*BV70/BT70</f>
        <v>#DIV/0!</v>
      </c>
      <c r="BW214" s="3" t="e">
        <f>BU214*BW70/BU70</f>
        <v>#DIV/0!</v>
      </c>
      <c r="BX214" s="3" t="e">
        <f>BV214*BX70/BV70</f>
        <v>#DIV/0!</v>
      </c>
      <c r="BY214" s="3" t="e">
        <f>BW214*BY70/BW70</f>
        <v>#DIV/0!</v>
      </c>
      <c r="BZ214" s="3" t="e">
        <f>BY214</f>
        <v>#DIV/0!</v>
      </c>
      <c r="CA214" s="3" t="e">
        <f>BY214*CA70/BY70</f>
        <v>#DIV/0!</v>
      </c>
      <c r="CB214" s="3" t="e">
        <f>BZ214*CB70/BZ70</f>
        <v>#DIV/0!</v>
      </c>
      <c r="CC214" s="3" t="e">
        <f>CA214*CC70/CA70</f>
        <v>#DIV/0!</v>
      </c>
      <c r="CD214" s="3" t="e">
        <f>CB214*CD70/CB70</f>
        <v>#DIV/0!</v>
      </c>
      <c r="CE214" s="3" t="e">
        <f>CD214</f>
        <v>#DIV/0!</v>
      </c>
      <c r="CF214" s="3" t="e">
        <f>CD214*CF70/CD70</f>
        <v>#DIV/0!</v>
      </c>
      <c r="CG214" s="3" t="e">
        <f>CE214*CG70/CE70</f>
        <v>#DIV/0!</v>
      </c>
      <c r="CH214" s="3" t="e">
        <f>CF214*CH70/CF70</f>
        <v>#DIV/0!</v>
      </c>
      <c r="CI214" s="3" t="e">
        <f>CG214*CI70/CG70</f>
        <v>#DIV/0!</v>
      </c>
      <c r="CJ214" s="3" t="e">
        <f>CI214</f>
        <v>#DIV/0!</v>
      </c>
      <c r="CK214" s="3" t="e">
        <f>CI214*CK70/CI70</f>
        <v>#DIV/0!</v>
      </c>
      <c r="CL214" s="3" t="e">
        <f>CJ214*CL70/CJ70</f>
        <v>#DIV/0!</v>
      </c>
      <c r="CM214" s="3" t="e">
        <f>CK214*CM70/CK70</f>
        <v>#DIV/0!</v>
      </c>
      <c r="CN214" s="3" t="e">
        <f>CL214*CN70/CL70</f>
        <v>#DIV/0!</v>
      </c>
      <c r="CO214" s="3" t="e">
        <f>CN214</f>
        <v>#DIV/0!</v>
      </c>
      <c r="CP214" s="3" t="e">
        <f>CN214*CP70/CN70</f>
        <v>#DIV/0!</v>
      </c>
      <c r="CQ214" s="3" t="e">
        <f>CO214*CQ70/CO70</f>
        <v>#DIV/0!</v>
      </c>
      <c r="CR214" s="3" t="e">
        <f>CP214*CR70/CP70</f>
        <v>#DIV/0!</v>
      </c>
      <c r="CS214" s="3" t="e">
        <f>CQ214*CS70/CQ70</f>
        <v>#DIV/0!</v>
      </c>
      <c r="CT214" s="3" t="e">
        <f>CS214</f>
        <v>#DIV/0!</v>
      </c>
      <c r="CU214" s="3" t="e">
        <f>CS214*CU70/CS70</f>
        <v>#DIV/0!</v>
      </c>
      <c r="CV214" s="3" t="e">
        <f>CT214*CV70/CT70</f>
        <v>#DIV/0!</v>
      </c>
      <c r="CW214" s="3" t="e">
        <f>CU214*CW70/CU70</f>
        <v>#DIV/0!</v>
      </c>
      <c r="CX214" s="3" t="e">
        <f>CV214*CX70/CV70</f>
        <v>#DIV/0!</v>
      </c>
      <c r="CY214" s="3" t="e">
        <f>CX214</f>
        <v>#DIV/0!</v>
      </c>
    </row>
    <row r="215" hidden="1" outlineLevel="1">
      <c r="C215" s="38" t="inlineStr">
        <is>
          <t>%(Var.)</t>
        </is>
      </c>
      <c r="D215" s="3" t="n"/>
      <c r="E215" s="47">
        <f>(E214-D214)/D214</f>
        <v>0.0601165658902883</v>
      </c>
      <c r="F215" s="47">
        <f>(F214-E214)/E214</f>
        <v>0.0566869144445588</v>
      </c>
      <c r="G215" s="47">
        <f>(G214-F214)/F214</f>
        <v>-0.0164269846837366</v>
      </c>
      <c r="H215" s="3" t="n"/>
      <c r="I215" s="47">
        <f>(I214-H214)/H214</f>
        <v>0.189341258048539</v>
      </c>
      <c r="J215" s="47">
        <f>(J214-I214)/I214</f>
        <v>0.181453224946695</v>
      </c>
      <c r="K215" s="47">
        <f>(K214-J214)/J214</f>
        <v>0.0378427916813535</v>
      </c>
      <c r="L215" s="47">
        <f>(L214-K214)/K214</f>
        <v>-0.0900976782730372</v>
      </c>
      <c r="M215" s="3" t="n"/>
      <c r="N215" s="47">
        <f>(N214-M214)/M214</f>
        <v>0.204622482344685</v>
      </c>
      <c r="O215" s="47">
        <f>(O214-N214)/N214</f>
        <v>-0.0606702858134404</v>
      </c>
      <c r="P215" s="47">
        <f>(P214-O214)/O214</f>
        <v>0.224352461503952</v>
      </c>
      <c r="Q215" s="47">
        <f>(Q214-P214)/P214</f>
        <v>0.147278801594999</v>
      </c>
      <c r="R215" s="3" t="n"/>
      <c r="S215" s="47">
        <f>(S214-R214)/R214</f>
        <v>0.217451341399263</v>
      </c>
      <c r="T215" s="47">
        <f>(T214-S214)/S214</f>
        <v>0.0527448786698045</v>
      </c>
      <c r="U215" s="47">
        <f>(U214-T214)/T214</f>
        <v>0.11158669314942</v>
      </c>
      <c r="V215" s="47">
        <f>(V214-U214)/U214</f>
        <v>0.026301214510833</v>
      </c>
      <c r="W215" s="3" t="n"/>
      <c r="X215" s="47">
        <f>(X214-W214)/W214</f>
        <v>-0.0874562333365456</v>
      </c>
      <c r="Y215" s="47">
        <f>(Y214-X214)/X214</f>
        <v>-0.154426155644105</v>
      </c>
      <c r="Z215" s="47">
        <f>(Z214-Y214)/Y214</f>
        <v>-0.0301064883811934</v>
      </c>
      <c r="AA215" s="47">
        <f>(AA214-Z214)/Z214</f>
        <v>-0.159136757346061</v>
      </c>
      <c r="AB215" s="3" t="n"/>
      <c r="AC215" s="47">
        <f>(AC214-AB214)/AB214</f>
        <v>-0.0213061366165406</v>
      </c>
      <c r="AD215" s="47">
        <f>(AD214-AC214)/AC214</f>
        <v>0.165971251538606</v>
      </c>
      <c r="AE215" s="47">
        <f>(AE214-AD214)/AD214</f>
        <v>0.117627061023287</v>
      </c>
      <c r="AF215" s="218">
        <f>(AF214-AE214)/AE214</f>
        <v>-0.0848349009405643</v>
      </c>
      <c r="AG215" s="3" t="n"/>
      <c r="AH215" s="218">
        <f>(AH214-AG214)/AG214</f>
        <v>0.113542732687817</v>
      </c>
      <c r="AI215" s="218">
        <f>(AI214-AH214)/AH214</f>
        <v>-0.00703804945486537</v>
      </c>
      <c r="AJ215" s="218" t="n"/>
      <c r="AK215" s="218" t="n"/>
      <c r="AL215" s="3" t="n"/>
      <c r="AM215" s="218" t="n"/>
      <c r="AN215" s="218" t="n"/>
      <c r="AO215" s="218" t="n"/>
      <c r="AP215" s="218" t="n"/>
      <c r="AQ215" s="3" t="n"/>
      <c r="AR215" s="218" t="n"/>
      <c r="AS215" s="218" t="n"/>
      <c r="AT215" s="218" t="n"/>
      <c r="AU215" s="218" t="n"/>
      <c r="AV215" s="3" t="n"/>
      <c r="AW215" s="218" t="n"/>
      <c r="AX215" s="218" t="n"/>
      <c r="AY215" s="218" t="n"/>
      <c r="AZ215" s="218" t="n"/>
      <c r="BA215" s="3" t="n"/>
      <c r="BB215" s="218" t="n"/>
      <c r="BC215" s="218" t="n"/>
      <c r="BD215" s="218" t="n"/>
      <c r="BE215" s="218" t="n"/>
      <c r="BF215" s="3" t="n"/>
      <c r="BG215" s="218" t="n"/>
      <c r="BH215" s="218" t="n"/>
      <c r="BI215" s="218" t="n"/>
      <c r="BJ215" s="218" t="n"/>
      <c r="BK215" s="3" t="n"/>
      <c r="BL215" s="218" t="n"/>
      <c r="BM215" s="218" t="n"/>
      <c r="BN215" s="218" t="n"/>
      <c r="BO215" s="218" t="n"/>
      <c r="BP215" s="3" t="n"/>
      <c r="BQ215" s="218" t="n"/>
      <c r="BR215" s="218" t="n"/>
      <c r="BS215" s="218" t="n"/>
      <c r="BT215" s="218" t="n"/>
      <c r="BU215" s="3" t="n"/>
      <c r="BV215" s="218" t="n"/>
      <c r="BW215" s="218" t="n"/>
      <c r="BX215" s="218" t="n"/>
      <c r="BY215" s="218" t="n"/>
      <c r="BZ215" s="3" t="n"/>
      <c r="CA215" s="218" t="n"/>
      <c r="CB215" s="218" t="n"/>
      <c r="CC215" s="218" t="n"/>
      <c r="CD215" s="218" t="n"/>
      <c r="CE215" s="3" t="n"/>
      <c r="CF215" s="218" t="n"/>
      <c r="CG215" s="218" t="n"/>
      <c r="CH215" s="218" t="n"/>
      <c r="CI215" s="218" t="n"/>
      <c r="CJ215" s="3" t="n"/>
      <c r="CK215" s="218" t="n"/>
      <c r="CL215" s="218" t="n"/>
      <c r="CM215" s="218" t="n"/>
      <c r="CN215" s="218" t="n"/>
      <c r="CO215" s="3" t="n"/>
      <c r="CP215" s="218" t="n"/>
      <c r="CQ215" s="218" t="n"/>
      <c r="CR215" s="218" t="n"/>
      <c r="CS215" s="218" t="n"/>
      <c r="CT215" s="3" t="n"/>
      <c r="CU215" s="218" t="n"/>
      <c r="CV215" s="218" t="n"/>
      <c r="CW215" s="218" t="n"/>
      <c r="CX215" s="218" t="n"/>
      <c r="CY215" s="3" t="n"/>
    </row>
    <row r="216" collapsed="1">
      <c r="C216" s="26" t="inlineStr">
        <is>
          <t>Taxes payable</t>
        </is>
      </c>
      <c r="D216" s="25">
        <f>INDEX('Inputs (2)'!$D$30:$AL$30,MATCH(D$7,'Inputs (2)'!$D$2:$AL$2,0))</f>
        <v>6.168</v>
      </c>
      <c r="E216" s="25">
        <f>INDEX('Inputs (2)'!$D$30:$AL$30,MATCH(E$7,'Inputs (2)'!$D$2:$AL$2,0))</f>
        <v>11.296</v>
      </c>
      <c r="F216" s="25">
        <f>INDEX('Inputs (2)'!$D$30:$AL$30,MATCH(F$7,'Inputs (2)'!$D$2:$AL$2,0))</f>
        <v>8.423</v>
      </c>
      <c r="G216" s="25">
        <f>INDEX('Inputs (2)'!$D$30:$AL$30,MATCH(G$7,'Inputs (2)'!$D$2:$AL$2,0))</f>
        <v>13.644</v>
      </c>
      <c r="H216" s="3">
        <f>G216</f>
        <v>13.644</v>
      </c>
      <c r="I216" s="25">
        <f>INDEX('Inputs (2)'!$D$30:$AL$30,MATCH(I$7,'Inputs (2)'!$D$2:$AL$2,0))</f>
        <v>14.888</v>
      </c>
      <c r="J216" s="25">
        <f>INDEX('Inputs (2)'!$D$30:$AL$30,MATCH(J$7,'Inputs (2)'!$D$2:$AL$2,0))</f>
        <v>20.693</v>
      </c>
      <c r="K216" s="25">
        <f>INDEX('Inputs (2)'!$D$30:$AL$30,MATCH(K$7,'Inputs (2)'!$D$2:$AL$2,0))</f>
        <v>22.33</v>
      </c>
      <c r="L216" s="25">
        <f>INDEX('Inputs (2)'!$D$30:$AL$30,MATCH(L$7,'Inputs (2)'!$D$2:$AL$2,0))</f>
        <v>24.832</v>
      </c>
      <c r="M216" s="3">
        <f>L216</f>
        <v>24.832</v>
      </c>
      <c r="N216" s="25">
        <f>INDEX('Inputs (2)'!$D$30:$AL$30,MATCH(N$7,'Inputs (2)'!$D$2:$AL$2,0))</f>
        <v>25.379</v>
      </c>
      <c r="O216" s="25">
        <f>INDEX('Inputs (2)'!$D$30:$AL$30,MATCH(O$7,'Inputs (2)'!$D$2:$AL$2,0))</f>
        <v>41.63</v>
      </c>
      <c r="P216" s="25">
        <f>INDEX('Inputs (2)'!$D$30:$AL$30,MATCH(P$7,'Inputs (2)'!$D$2:$AL$2,0))</f>
        <v>25.26</v>
      </c>
      <c r="Q216" s="25">
        <f>INDEX('Inputs (2)'!$D$30:$AL$30,MATCH(Q$7,'Inputs (2)'!$D$2:$AL$2,0))</f>
        <v>64.331</v>
      </c>
      <c r="R216" s="3">
        <f>Q216</f>
        <v>64.331</v>
      </c>
      <c r="S216" s="25">
        <f>INDEX('Inputs (2)'!$D$30:$AL$30,MATCH(S$7,'Inputs (2)'!$D$2:$AL$2,0))</f>
        <v>38.35</v>
      </c>
      <c r="T216" s="25">
        <f>INDEX('Inputs (2)'!$D$30:$AL$30,MATCH(T$7,'Inputs (2)'!$D$2:$AL$2,0))</f>
        <v>34.271</v>
      </c>
      <c r="U216" s="25">
        <f>INDEX('Inputs (2)'!$D$30:$AL$30,MATCH(U$7,'Inputs (2)'!$D$2:$AL$2,0))</f>
        <v>54.344</v>
      </c>
      <c r="V216" s="25">
        <f>INDEX('Inputs (2)'!$D$30:$AL$30,MATCH(V$7,'Inputs (2)'!$D$2:$AL$2,0))</f>
        <v>71.372</v>
      </c>
      <c r="W216" s="3">
        <f>V216</f>
        <v>71.372</v>
      </c>
      <c r="X216" s="25">
        <f>INDEX('Inputs (2)'!$D$30:$AL$30,MATCH(X$7,'Inputs (2)'!$D$2:$AL$2,0))</f>
        <v>103.155</v>
      </c>
      <c r="Y216" s="25">
        <f>INDEX('Inputs (2)'!$D$30:$AL$30,MATCH(Y$7,'Inputs (2)'!$D$2:$AL$2,0))</f>
        <v>71.063</v>
      </c>
      <c r="Z216" s="25">
        <f>INDEX('Inputs (2)'!$D$30:$AL$30,MATCH(Z$7,'Inputs (2)'!$D$2:$AL$2,0))</f>
        <v>119.799</v>
      </c>
      <c r="AA216" s="25">
        <f>INDEX('Inputs (2)'!$D$30:$AL$30,MATCH(AA$7,'Inputs (2)'!$D$2:$AL$2,0))</f>
        <v>132.506</v>
      </c>
      <c r="AB216" s="3">
        <f>AA216</f>
        <v>132.506</v>
      </c>
      <c r="AC216" s="25">
        <f>INDEX('Inputs (2)'!$D$30:$AL$30,MATCH(AC$7,'Inputs (2)'!$D$2:$AL$2,0))</f>
        <v>130.947</v>
      </c>
      <c r="AD216" s="25">
        <f>INDEX('Inputs (2)'!$D$30:$AL$30,MATCH(AD$7,'Inputs (2)'!$D$2:$AL$2,0))</f>
        <v>119.656</v>
      </c>
      <c r="AE216" s="25">
        <f>INDEX('Inputs (2)'!$D$30:$AL$30,MATCH(AE$7,'Inputs (2)'!$D$2:$AL$2,0))</f>
        <v>108.833</v>
      </c>
      <c r="AF216" s="25">
        <f>INDEX('Inputs (2)'!$D$30:$AL$30,MATCH(AF$7,'Inputs (2)'!$D$2:$AL$2,0))</f>
        <v>163.739</v>
      </c>
      <c r="AG216" s="3">
        <f>AF216</f>
        <v>163.739</v>
      </c>
      <c r="AH216" s="3">
        <f>INDEX('Inputs (2)'!$D$30:$AL$30,MATCH(AH$7,'Inputs (2)'!$D$2:$AL$2,0))</f>
        <v>116.802</v>
      </c>
      <c r="AI216" s="3">
        <f>INDEX('Inputs (2)'!$D$30:$AL$30,MATCH(AI$7,'Inputs (2)'!$D$2:$AL$2,0))</f>
        <v>85.665</v>
      </c>
      <c r="AJ216" s="3">
        <f>AH216*AJ143/AH143</f>
        <v>0</v>
      </c>
      <c r="AK216" s="3">
        <f>AI216*AK143/AI143</f>
        <v>0</v>
      </c>
      <c r="AL216" s="3">
        <f>AK216</f>
        <v>0</v>
      </c>
      <c r="AM216" s="3" t="e">
        <f>AK216*AM143/AK143</f>
        <v>#DIV/0!</v>
      </c>
      <c r="AN216" s="3">
        <f>AL216*AN143/AL143</f>
        <v>0</v>
      </c>
      <c r="AO216" s="3" t="e">
        <f>AM216*AO143/AM143</f>
        <v>#DIV/0!</v>
      </c>
      <c r="AP216" s="3" t="e">
        <f>AN216*AP143/AN143</f>
        <v>#DIV/0!</v>
      </c>
      <c r="AQ216" s="3" t="e">
        <f>AP216</f>
        <v>#DIV/0!</v>
      </c>
      <c r="AR216" s="3" t="e">
        <f>AP216*AR143/AP143</f>
        <v>#DIV/0!</v>
      </c>
      <c r="AS216" s="3" t="e">
        <f>AQ216*AS143/AQ143</f>
        <v>#DIV/0!</v>
      </c>
      <c r="AT216" s="3" t="e">
        <f>AR216*AT143/AR143</f>
        <v>#DIV/0!</v>
      </c>
      <c r="AU216" s="3" t="e">
        <f>AS216*AU143/AS143</f>
        <v>#DIV/0!</v>
      </c>
      <c r="AV216" s="3" t="e">
        <f>AU216</f>
        <v>#DIV/0!</v>
      </c>
      <c r="AW216" s="3" t="e">
        <f>AU216*AW143/AU143</f>
        <v>#DIV/0!</v>
      </c>
      <c r="AX216" s="3" t="e">
        <f>AV216*AX143/AV143</f>
        <v>#DIV/0!</v>
      </c>
      <c r="AY216" s="3" t="e">
        <f>AW216*AY143/AW143</f>
        <v>#DIV/0!</v>
      </c>
      <c r="AZ216" s="3" t="e">
        <f>AX216*AZ143/AX143</f>
        <v>#DIV/0!</v>
      </c>
      <c r="BA216" s="3" t="e">
        <f>AZ216</f>
        <v>#DIV/0!</v>
      </c>
      <c r="BB216" s="3" t="e">
        <f>AZ216*BB143/AZ143</f>
        <v>#DIV/0!</v>
      </c>
      <c r="BC216" s="3" t="e">
        <f>BA216*BC143/BA143</f>
        <v>#DIV/0!</v>
      </c>
      <c r="BD216" s="3" t="e">
        <f>BB216*BD143/BB143</f>
        <v>#DIV/0!</v>
      </c>
      <c r="BE216" s="3" t="e">
        <f>BC216*BE143/BC143</f>
        <v>#DIV/0!</v>
      </c>
      <c r="BF216" s="3" t="e">
        <f>BE216</f>
        <v>#DIV/0!</v>
      </c>
      <c r="BG216" s="3" t="e">
        <f>BE216*BG143/BE143</f>
        <v>#DIV/0!</v>
      </c>
      <c r="BH216" s="3" t="e">
        <f>BF216*BH143/BF143</f>
        <v>#DIV/0!</v>
      </c>
      <c r="BI216" s="3" t="e">
        <f>BG216*BI143/BG143</f>
        <v>#DIV/0!</v>
      </c>
      <c r="BJ216" s="3" t="e">
        <f>BH216*BJ143/BH143</f>
        <v>#DIV/0!</v>
      </c>
      <c r="BK216" s="3" t="e">
        <f>BJ216</f>
        <v>#DIV/0!</v>
      </c>
      <c r="BL216" s="3" t="e">
        <f>BJ216*BL143/BJ143</f>
        <v>#DIV/0!</v>
      </c>
      <c r="BM216" s="3" t="e">
        <f>BK216*BM143/BK143</f>
        <v>#DIV/0!</v>
      </c>
      <c r="BN216" s="3" t="e">
        <f>BL216*BN143/BL143</f>
        <v>#DIV/0!</v>
      </c>
      <c r="BO216" s="3" t="e">
        <f>BM216*BO143/BM143</f>
        <v>#DIV/0!</v>
      </c>
      <c r="BP216" s="3" t="e">
        <f>BO216</f>
        <v>#DIV/0!</v>
      </c>
      <c r="BQ216" s="3" t="e">
        <f>BO216*BQ143/BO143</f>
        <v>#DIV/0!</v>
      </c>
      <c r="BR216" s="3" t="e">
        <f>BP216*BR143/BP143</f>
        <v>#DIV/0!</v>
      </c>
      <c r="BS216" s="3" t="e">
        <f>BQ216*BS143/BQ143</f>
        <v>#DIV/0!</v>
      </c>
      <c r="BT216" s="3" t="e">
        <f>BR216*BT143/BR143</f>
        <v>#DIV/0!</v>
      </c>
      <c r="BU216" s="3" t="e">
        <f>BT216</f>
        <v>#DIV/0!</v>
      </c>
      <c r="BV216" s="3" t="e">
        <f>BT216*BV143/BT143</f>
        <v>#DIV/0!</v>
      </c>
      <c r="BW216" s="3" t="e">
        <f>BU216*BW143/BU143</f>
        <v>#DIV/0!</v>
      </c>
      <c r="BX216" s="3" t="e">
        <f>BV216*BX143/BV143</f>
        <v>#DIV/0!</v>
      </c>
      <c r="BY216" s="3" t="e">
        <f>BW216*BY143/BW143</f>
        <v>#DIV/0!</v>
      </c>
      <c r="BZ216" s="3" t="e">
        <f>BY216</f>
        <v>#DIV/0!</v>
      </c>
      <c r="CA216" s="3" t="e">
        <f>BY216*CA143/BY143</f>
        <v>#DIV/0!</v>
      </c>
      <c r="CB216" s="3" t="e">
        <f>BZ216*CB143/BZ143</f>
        <v>#DIV/0!</v>
      </c>
      <c r="CC216" s="3" t="e">
        <f>CA216*CC143/CA143</f>
        <v>#DIV/0!</v>
      </c>
      <c r="CD216" s="3" t="e">
        <f>CB216*CD143/CB143</f>
        <v>#DIV/0!</v>
      </c>
      <c r="CE216" s="3" t="e">
        <f>CD216</f>
        <v>#DIV/0!</v>
      </c>
      <c r="CF216" s="3" t="e">
        <f>CD216*CF143/CD143</f>
        <v>#DIV/0!</v>
      </c>
      <c r="CG216" s="3" t="e">
        <f>CE216*CG143/CE143</f>
        <v>#DIV/0!</v>
      </c>
      <c r="CH216" s="3" t="e">
        <f>CF216*CH143/CF143</f>
        <v>#DIV/0!</v>
      </c>
      <c r="CI216" s="3" t="e">
        <f>CG216*CI143/CG143</f>
        <v>#DIV/0!</v>
      </c>
      <c r="CJ216" s="3" t="e">
        <f>CI216</f>
        <v>#DIV/0!</v>
      </c>
      <c r="CK216" s="3" t="e">
        <f>CI216*CK143/CI143</f>
        <v>#DIV/0!</v>
      </c>
      <c r="CL216" s="3" t="e">
        <f>CJ216*CL143/CJ143</f>
        <v>#DIV/0!</v>
      </c>
      <c r="CM216" s="3" t="e">
        <f>CK216*CM143/CK143</f>
        <v>#DIV/0!</v>
      </c>
      <c r="CN216" s="3" t="e">
        <f>CL216*CN143/CL143</f>
        <v>#DIV/0!</v>
      </c>
      <c r="CO216" s="3" t="e">
        <f>CN216</f>
        <v>#DIV/0!</v>
      </c>
      <c r="CP216" s="3" t="e">
        <f>CN216*CP143/CN143</f>
        <v>#DIV/0!</v>
      </c>
      <c r="CQ216" s="3" t="e">
        <f>CO216*CQ143/CO143</f>
        <v>#DIV/0!</v>
      </c>
      <c r="CR216" s="3" t="e">
        <f>CP216*CR143/CP143</f>
        <v>#DIV/0!</v>
      </c>
      <c r="CS216" s="3" t="e">
        <f>CQ216*CS143/CQ143</f>
        <v>#DIV/0!</v>
      </c>
      <c r="CT216" s="3" t="e">
        <f>CS216</f>
        <v>#DIV/0!</v>
      </c>
      <c r="CU216" s="3" t="e">
        <f>CS216*CU143/CS143</f>
        <v>#DIV/0!</v>
      </c>
      <c r="CV216" s="3" t="e">
        <f>CT216*CV143/CT143</f>
        <v>#DIV/0!</v>
      </c>
      <c r="CW216" s="3" t="e">
        <f>CU216*CW143/CU143</f>
        <v>#DIV/0!</v>
      </c>
      <c r="CX216" s="3" t="e">
        <f>CV216*CX143/CV143</f>
        <v>#DIV/0!</v>
      </c>
      <c r="CY216" s="3" t="e">
        <f>CX216</f>
        <v>#DIV/0!</v>
      </c>
    </row>
    <row r="217">
      <c r="C217" s="26" t="inlineStr">
        <is>
          <t>Other current liabilities (non-debt)</t>
        </is>
      </c>
      <c r="D217" s="25">
        <f>INDEX('Inputs (2)'!$D$31:$AL$31,MATCH(D$7,'Inputs (2)'!$D$2:$AL$2,0))</f>
        <v>105.491</v>
      </c>
      <c r="E217" s="25">
        <f>INDEX('Inputs (2)'!$D$31:$AL$31,MATCH(E$7,'Inputs (2)'!$D$2:$AL$2,0))</f>
        <v>104.964</v>
      </c>
      <c r="F217" s="25">
        <f>INDEX('Inputs (2)'!$D$31:$AL$31,MATCH(F$7,'Inputs (2)'!$D$2:$AL$2,0))</f>
        <v>110.749</v>
      </c>
      <c r="G217" s="25">
        <f>INDEX('Inputs (2)'!$D$31:$AL$31,MATCH(G$7,'Inputs (2)'!$D$2:$AL$2,0))</f>
        <v>114.588</v>
      </c>
      <c r="H217" s="3">
        <f>G217</f>
        <v>114.588</v>
      </c>
      <c r="I217" s="25">
        <f>INDEX('Inputs (2)'!$D$31:$AL$31,MATCH(I$7,'Inputs (2)'!$D$2:$AL$2,0))</f>
        <v>184.627</v>
      </c>
      <c r="J217" s="25">
        <f>INDEX('Inputs (2)'!$D$31:$AL$31,MATCH(J$7,'Inputs (2)'!$D$2:$AL$2,0))</f>
        <v>219.97</v>
      </c>
      <c r="K217" s="25">
        <f>INDEX('Inputs (2)'!$D$31:$AL$31,MATCH(K$7,'Inputs (2)'!$D$2:$AL$2,0))</f>
        <v>232.285</v>
      </c>
      <c r="L217" s="25">
        <f>INDEX('Inputs (2)'!$D$31:$AL$31,MATCH(L$7,'Inputs (2)'!$D$2:$AL$2,0))</f>
        <v>584.538</v>
      </c>
      <c r="M217" s="3">
        <f>L217</f>
        <v>584.538</v>
      </c>
      <c r="N217" s="25">
        <f>INDEX('Inputs (2)'!$D$31:$AL$31,MATCH(N$7,'Inputs (2)'!$D$2:$AL$2,0))</f>
        <v>751.159</v>
      </c>
      <c r="O217" s="25">
        <f>INDEX('Inputs (2)'!$D$31:$AL$31,MATCH(O$7,'Inputs (2)'!$D$2:$AL$2,0))</f>
        <v>778.005</v>
      </c>
      <c r="P217" s="25">
        <f>INDEX('Inputs (2)'!$D$31:$AL$31,MATCH(P$7,'Inputs (2)'!$D$2:$AL$2,0))</f>
        <v>852.112</v>
      </c>
      <c r="Q217" s="25">
        <f>INDEX('Inputs (2)'!$D$31:$AL$31,MATCH(Q$7,'Inputs (2)'!$D$2:$AL$2,0))</f>
        <v>1375.419</v>
      </c>
      <c r="R217" s="3">
        <f>Q217</f>
        <v>1375.419</v>
      </c>
      <c r="S217" s="25">
        <f>INDEX('Inputs (2)'!$D$31:$AL$31,MATCH(S$7,'Inputs (2)'!$D$2:$AL$2,0))</f>
        <v>1319.397</v>
      </c>
      <c r="T217" s="25">
        <f>INDEX('Inputs (2)'!$D$31:$AL$31,MATCH(T$7,'Inputs (2)'!$D$2:$AL$2,0))</f>
        <v>930.606</v>
      </c>
      <c r="U217" s="25">
        <f>INDEX('Inputs (2)'!$D$31:$AL$31,MATCH(U$7,'Inputs (2)'!$D$2:$AL$2,0))</f>
        <v>738.962</v>
      </c>
      <c r="V217" s="25">
        <f>INDEX('Inputs (2)'!$D$31:$AL$31,MATCH(V$7,'Inputs (2)'!$D$2:$AL$2,0))</f>
        <v>1132.918</v>
      </c>
      <c r="W217" s="3">
        <f>V217</f>
        <v>1132.918</v>
      </c>
      <c r="X217" s="25">
        <f>INDEX('Inputs (2)'!$D$31:$AL$31,MATCH(X$7,'Inputs (2)'!$D$2:$AL$2,0))</f>
        <v>1898.452</v>
      </c>
      <c r="Y217" s="25">
        <f>INDEX('Inputs (2)'!$D$31:$AL$31,MATCH(Y$7,'Inputs (2)'!$D$2:$AL$2,0))</f>
        <v>2004.9</v>
      </c>
      <c r="Z217" s="25">
        <f>INDEX('Inputs (2)'!$D$31:$AL$31,MATCH(Z$7,'Inputs (2)'!$D$2:$AL$2,0))</f>
        <v>1499.404</v>
      </c>
      <c r="AA217" s="25">
        <f>INDEX('Inputs (2)'!$D$31:$AL$31,MATCH(AA$7,'Inputs (2)'!$D$2:$AL$2,0))</f>
        <v>1297.016</v>
      </c>
      <c r="AB217" s="3">
        <f>AA217</f>
        <v>1297.016</v>
      </c>
      <c r="AC217" s="25">
        <f>INDEX('Inputs (2)'!$D$31:$AL$31,MATCH(AC$7,'Inputs (2)'!$D$2:$AL$2,0))</f>
        <v>1956.479</v>
      </c>
      <c r="AD217" s="25">
        <f>INDEX('Inputs (2)'!$D$31:$AL$31,MATCH(AD$7,'Inputs (2)'!$D$2:$AL$2,0))</f>
        <v>1719.466</v>
      </c>
      <c r="AE217" s="25">
        <f>INDEX('Inputs (2)'!$D$31:$AL$31,MATCH(AE$7,'Inputs (2)'!$D$2:$AL$2,0))</f>
        <v>2126.293</v>
      </c>
      <c r="AF217" s="25">
        <f>INDEX('Inputs (2)'!$D$31:$AL$31,MATCH(AF$7,'Inputs (2)'!$D$2:$AL$2,0))</f>
        <v>2233.918</v>
      </c>
      <c r="AG217" s="3">
        <f>AF217</f>
        <v>2233.918</v>
      </c>
      <c r="AH217" s="3">
        <f>INDEX('Inputs (2)'!$D$31:$AL$31,MATCH(AH$7,'Inputs (2)'!$D$2:$AL$2,0))</f>
        <v>2007.831</v>
      </c>
      <c r="AI217" s="3">
        <f>INDEX('Inputs (2)'!$D$31:$AL$31,MATCH(AI$7,'Inputs (2)'!$D$2:$AL$2,0))</f>
        <v>1832.988</v>
      </c>
      <c r="AJ217" s="3">
        <f>AI217</f>
        <v>1832.988</v>
      </c>
      <c r="AK217" s="3">
        <f>AJ217</f>
        <v>1832.988</v>
      </c>
      <c r="AL217" s="3">
        <f>AK217</f>
        <v>1832.988</v>
      </c>
      <c r="AM217" s="3">
        <f>AL217</f>
        <v>1832.988</v>
      </c>
      <c r="AN217" s="3">
        <f>AM217</f>
        <v>1832.988</v>
      </c>
      <c r="AO217" s="3">
        <f>AN217</f>
        <v>1832.988</v>
      </c>
      <c r="AP217" s="3">
        <f>AO217</f>
        <v>1832.988</v>
      </c>
      <c r="AQ217" s="3">
        <f>AP217</f>
        <v>1832.988</v>
      </c>
      <c r="AR217" s="3">
        <f>AQ217</f>
        <v>1832.988</v>
      </c>
      <c r="AS217" s="3">
        <f>AR217</f>
        <v>1832.988</v>
      </c>
      <c r="AT217" s="3">
        <f>AS217</f>
        <v>1832.988</v>
      </c>
      <c r="AU217" s="3">
        <f>AT217</f>
        <v>1832.988</v>
      </c>
      <c r="AV217" s="3">
        <f>AU217</f>
        <v>1832.988</v>
      </c>
      <c r="AW217" s="3">
        <f>AV217</f>
        <v>1832.988</v>
      </c>
      <c r="AX217" s="3">
        <f>AW217</f>
        <v>1832.988</v>
      </c>
      <c r="AY217" s="3">
        <f>AX217</f>
        <v>1832.988</v>
      </c>
      <c r="AZ217" s="3">
        <f>AY217</f>
        <v>1832.988</v>
      </c>
      <c r="BA217" s="3">
        <f>AZ217</f>
        <v>1832.988</v>
      </c>
      <c r="BB217" s="3">
        <f>BA217</f>
        <v>1832.988</v>
      </c>
      <c r="BC217" s="3">
        <f>BB217</f>
        <v>1832.988</v>
      </c>
      <c r="BD217" s="3">
        <f>BC217</f>
        <v>1832.988</v>
      </c>
      <c r="BE217" s="3">
        <f>BD217</f>
        <v>1832.988</v>
      </c>
      <c r="BF217" s="3">
        <f>BE217</f>
        <v>1832.988</v>
      </c>
      <c r="BG217" s="3">
        <f>BF217</f>
        <v>1832.988</v>
      </c>
      <c r="BH217" s="3">
        <f>BG217</f>
        <v>1832.988</v>
      </c>
      <c r="BI217" s="3">
        <f>BH217</f>
        <v>1832.988</v>
      </c>
      <c r="BJ217" s="3">
        <f>BI217</f>
        <v>1832.988</v>
      </c>
      <c r="BK217" s="3">
        <f>BJ217</f>
        <v>1832.988</v>
      </c>
      <c r="BL217" s="3">
        <f>BK217</f>
        <v>1832.988</v>
      </c>
      <c r="BM217" s="3">
        <f>BL217</f>
        <v>1832.988</v>
      </c>
      <c r="BN217" s="3">
        <f>BM217</f>
        <v>1832.988</v>
      </c>
      <c r="BO217" s="3">
        <f>BN217</f>
        <v>1832.988</v>
      </c>
      <c r="BP217" s="3">
        <f>BO217</f>
        <v>1832.988</v>
      </c>
      <c r="BQ217" s="3">
        <f>BP217</f>
        <v>1832.988</v>
      </c>
      <c r="BR217" s="3">
        <f>BQ217</f>
        <v>1832.988</v>
      </c>
      <c r="BS217" s="3">
        <f>BR217</f>
        <v>1832.988</v>
      </c>
      <c r="BT217" s="3">
        <f>BS217</f>
        <v>1832.988</v>
      </c>
      <c r="BU217" s="3">
        <f>BT217</f>
        <v>1832.988</v>
      </c>
      <c r="BV217" s="3">
        <f>BU217</f>
        <v>1832.988</v>
      </c>
      <c r="BW217" s="3">
        <f>BV217</f>
        <v>1832.988</v>
      </c>
      <c r="BX217" s="3">
        <f>BW217</f>
        <v>1832.988</v>
      </c>
      <c r="BY217" s="3">
        <f>BX217</f>
        <v>1832.988</v>
      </c>
      <c r="BZ217" s="3">
        <f>BY217</f>
        <v>1832.988</v>
      </c>
      <c r="CA217" s="3">
        <f>BZ217</f>
        <v>1832.988</v>
      </c>
      <c r="CB217" s="3">
        <f>CA217</f>
        <v>1832.988</v>
      </c>
      <c r="CC217" s="3">
        <f>CB217</f>
        <v>1832.988</v>
      </c>
      <c r="CD217" s="3">
        <f>CC217</f>
        <v>1832.988</v>
      </c>
      <c r="CE217" s="3">
        <f>CD217</f>
        <v>1832.988</v>
      </c>
      <c r="CF217" s="3">
        <f>CE217</f>
        <v>1832.988</v>
      </c>
      <c r="CG217" s="3">
        <f>CF217</f>
        <v>1832.988</v>
      </c>
      <c r="CH217" s="3">
        <f>CG217</f>
        <v>1832.988</v>
      </c>
      <c r="CI217" s="3">
        <f>CH217</f>
        <v>1832.988</v>
      </c>
      <c r="CJ217" s="3">
        <f>CI217</f>
        <v>1832.988</v>
      </c>
      <c r="CK217" s="3">
        <f>CJ217</f>
        <v>1832.988</v>
      </c>
      <c r="CL217" s="3">
        <f>CK217</f>
        <v>1832.988</v>
      </c>
      <c r="CM217" s="3">
        <f>CL217</f>
        <v>1832.988</v>
      </c>
      <c r="CN217" s="3">
        <f>CM217</f>
        <v>1832.988</v>
      </c>
      <c r="CO217" s="3">
        <f>CN217</f>
        <v>1832.988</v>
      </c>
      <c r="CP217" s="3">
        <f>CO217</f>
        <v>1832.988</v>
      </c>
      <c r="CQ217" s="3">
        <f>CP217</f>
        <v>1832.988</v>
      </c>
      <c r="CR217" s="3">
        <f>CQ217</f>
        <v>1832.988</v>
      </c>
      <c r="CS217" s="3">
        <f>CR217</f>
        <v>1832.988</v>
      </c>
      <c r="CT217" s="3">
        <f>CS217</f>
        <v>1832.988</v>
      </c>
      <c r="CU217" s="3">
        <f>CT217</f>
        <v>1832.988</v>
      </c>
      <c r="CV217" s="3">
        <f>CU217</f>
        <v>1832.988</v>
      </c>
      <c r="CW217" s="3">
        <f>CV217</f>
        <v>1832.988</v>
      </c>
      <c r="CX217" s="3">
        <f>CW217</f>
        <v>1832.988</v>
      </c>
      <c r="CY217" s="3">
        <f>CX217</f>
        <v>1832.988</v>
      </c>
    </row>
    <row r="218" hidden="1" outlineLevel="1">
      <c r="C218" s="38" t="inlineStr">
        <is>
          <t>%(Var.)</t>
        </is>
      </c>
      <c r="D218" s="3" t="n"/>
      <c r="E218" s="47">
        <f>(E217-D217)/D217</f>
        <v>-0.00499568683584383</v>
      </c>
      <c r="F218" s="47">
        <f>(F217-E217)/E217</f>
        <v>0.0551141343698792</v>
      </c>
      <c r="G218" s="47">
        <f>(G217-F217)/F217</f>
        <v>0.0346639698778318</v>
      </c>
      <c r="H218" s="3" t="n"/>
      <c r="I218" s="47">
        <f>(I217-H217)/H217</f>
        <v>0.61122456103606</v>
      </c>
      <c r="J218" s="47">
        <f>(J217-I217)/I217</f>
        <v>0.191429205912461</v>
      </c>
      <c r="K218" s="47">
        <f>(K217-J217)/J217</f>
        <v>0.0559849070327773</v>
      </c>
      <c r="L218" s="47">
        <f>(L217-K217)/K217</f>
        <v>1.51646899283208</v>
      </c>
      <c r="M218" s="3" t="n"/>
      <c r="N218" s="47">
        <f>(N217-M217)/M217</f>
        <v>0.28504733652902</v>
      </c>
      <c r="O218" s="47">
        <f>(O217-N217)/N217</f>
        <v>0.0357394373228571</v>
      </c>
      <c r="P218" s="47">
        <f>(P217-O217)/O217</f>
        <v>0.0952526012043624</v>
      </c>
      <c r="Q218" s="47">
        <f>(Q217-P217)/P217</f>
        <v>0.614129363276189</v>
      </c>
      <c r="R218" s="3" t="n"/>
      <c r="S218" s="47">
        <f>(S217-R217)/R217</f>
        <v>-0.0407308609231078</v>
      </c>
      <c r="T218" s="47">
        <f>(T217-S217)/S217</f>
        <v>-0.294673248461229</v>
      </c>
      <c r="U218" s="47">
        <f>(U217-T217)/T217</f>
        <v>-0.205934627543773</v>
      </c>
      <c r="V218" s="47">
        <f>(V217-U217)/U217</f>
        <v>0.533120782936064</v>
      </c>
      <c r="W218" s="3" t="n"/>
      <c r="X218" s="47">
        <f>(X217-W217)/W217</f>
        <v>0.675718807539469</v>
      </c>
      <c r="Y218" s="47">
        <f>(Y217-X217)/X217</f>
        <v>0.0560709462235547</v>
      </c>
      <c r="Z218" s="47">
        <f>(Z217-Y217)/Y217</f>
        <v>-0.252130280812011</v>
      </c>
      <c r="AA218" s="47">
        <f>(AA217-Z217)/Z217</f>
        <v>-0.134978964975417</v>
      </c>
      <c r="AB218" s="3" t="n"/>
      <c r="AC218" s="47">
        <f>(AC217-AB217)/AB217</f>
        <v>0.50844631060835</v>
      </c>
      <c r="AD218" s="47">
        <f>(AD217-AC217)/AC217</f>
        <v>-0.121142624071099</v>
      </c>
      <c r="AE218" s="47">
        <f>(AE217-AD217)/AD217</f>
        <v>0.236600781870651</v>
      </c>
      <c r="AF218" s="218">
        <f>(AF217-AE217)/AE217</f>
        <v>0.0506162603178402</v>
      </c>
      <c r="AG218" s="3" t="n"/>
      <c r="AH218" s="218">
        <f>(AH217-AG217)/AG217</f>
        <v>-0.10120649012184</v>
      </c>
      <c r="AI218" s="218">
        <f>(AI217-AH217)/AH217</f>
        <v>-0.0870805361606629</v>
      </c>
      <c r="AJ218" s="218" t="n"/>
      <c r="AK218" s="218" t="n"/>
      <c r="AL218" s="3" t="n"/>
      <c r="AM218" s="218" t="n"/>
      <c r="AN218" s="218" t="n"/>
      <c r="AO218" s="218" t="n"/>
      <c r="AP218" s="218" t="n"/>
      <c r="AQ218" s="3" t="n"/>
      <c r="AR218" s="218" t="n"/>
      <c r="AS218" s="218" t="n"/>
      <c r="AT218" s="218" t="n"/>
      <c r="AU218" s="218" t="n"/>
      <c r="AV218" s="3" t="n"/>
      <c r="AW218" s="218" t="n"/>
      <c r="AX218" s="218" t="n"/>
      <c r="AY218" s="218" t="n"/>
      <c r="AZ218" s="218" t="n"/>
      <c r="BA218" s="3" t="n"/>
      <c r="BB218" s="218" t="n"/>
      <c r="BC218" s="218" t="n"/>
      <c r="BD218" s="218" t="n"/>
      <c r="BE218" s="218" t="n"/>
      <c r="BF218" s="3" t="n"/>
      <c r="BG218" s="218" t="n"/>
      <c r="BH218" s="218" t="n"/>
      <c r="BI218" s="218" t="n"/>
      <c r="BJ218" s="218" t="n"/>
      <c r="BK218" s="3" t="n"/>
      <c r="BL218" s="218" t="n"/>
      <c r="BM218" s="218" t="n"/>
      <c r="BN218" s="218" t="n"/>
      <c r="BO218" s="218" t="n"/>
      <c r="BP218" s="3" t="n"/>
      <c r="BQ218" s="218" t="n"/>
      <c r="BR218" s="218" t="n"/>
      <c r="BS218" s="218" t="n"/>
      <c r="BT218" s="218" t="n"/>
      <c r="BU218" s="3" t="n"/>
      <c r="BV218" s="218" t="n"/>
      <c r="BW218" s="218" t="n"/>
      <c r="BX218" s="218" t="n"/>
      <c r="BY218" s="218" t="n"/>
      <c r="BZ218" s="3" t="n"/>
      <c r="CA218" s="218" t="n"/>
      <c r="CB218" s="218" t="n"/>
      <c r="CC218" s="218" t="n"/>
      <c r="CD218" s="218" t="n"/>
      <c r="CE218" s="3" t="n"/>
      <c r="CF218" s="218" t="n"/>
      <c r="CG218" s="218" t="n"/>
      <c r="CH218" s="218" t="n"/>
      <c r="CI218" s="218" t="n"/>
      <c r="CJ218" s="3" t="n"/>
      <c r="CK218" s="218" t="n"/>
      <c r="CL218" s="218" t="n"/>
      <c r="CM218" s="218" t="n"/>
      <c r="CN218" s="218" t="n"/>
      <c r="CO218" s="3" t="n"/>
      <c r="CP218" s="218" t="n"/>
      <c r="CQ218" s="218" t="n"/>
      <c r="CR218" s="218" t="n"/>
      <c r="CS218" s="218" t="n"/>
      <c r="CT218" s="3" t="n"/>
      <c r="CU218" s="218" t="n"/>
      <c r="CV218" s="218" t="n"/>
      <c r="CW218" s="218" t="n"/>
      <c r="CX218" s="218" t="n"/>
      <c r="CY218" s="3" t="n"/>
    </row>
    <row r="219" hidden="1" outlineLevel="1">
      <c r="C219" s="34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n"/>
      <c r="BE219" s="3" t="n"/>
      <c r="BF219" s="3" t="n"/>
      <c r="BG219" s="3" t="n"/>
      <c r="BH219" s="3" t="n"/>
      <c r="BI219" s="3" t="n"/>
      <c r="BJ219" s="3" t="n"/>
      <c r="BK219" s="3" t="n"/>
      <c r="BL219" s="3" t="n"/>
      <c r="BM219" s="3" t="n"/>
      <c r="BN219" s="3" t="n"/>
      <c r="BO219" s="3" t="n"/>
      <c r="BP219" s="3" t="n"/>
      <c r="BQ219" s="3" t="n"/>
      <c r="BR219" s="3" t="n"/>
      <c r="BS219" s="3" t="n"/>
      <c r="BT219" s="3" t="n"/>
      <c r="BU219" s="3" t="n"/>
      <c r="BV219" s="3" t="n"/>
      <c r="BW219" s="3" t="n"/>
      <c r="BX219" s="3" t="n"/>
      <c r="BY219" s="3" t="n"/>
      <c r="BZ219" s="3" t="n"/>
      <c r="CA219" s="3" t="n"/>
      <c r="CB219" s="3" t="n"/>
      <c r="CC219" s="3" t="n"/>
      <c r="CD219" s="3" t="n"/>
      <c r="CE219" s="3" t="n"/>
      <c r="CF219" s="3" t="n"/>
      <c r="CG219" s="3" t="n"/>
      <c r="CH219" s="3" t="n"/>
      <c r="CI219" s="3" t="n"/>
      <c r="CJ219" s="3" t="n"/>
      <c r="CK219" s="3" t="n"/>
      <c r="CL219" s="3" t="n"/>
      <c r="CM219" s="3" t="n"/>
      <c r="CN219" s="3" t="n"/>
      <c r="CO219" s="3" t="n"/>
      <c r="CP219" s="3" t="n"/>
      <c r="CQ219" s="3" t="n"/>
      <c r="CR219" s="3" t="n"/>
      <c r="CS219" s="3" t="n"/>
      <c r="CT219" s="3" t="n"/>
      <c r="CU219" s="3" t="n"/>
      <c r="CV219" s="3" t="n"/>
      <c r="CW219" s="3" t="n"/>
      <c r="CX219" s="3" t="n"/>
      <c r="CY219" s="3" t="n"/>
    </row>
    <row r="220" hidden="1" outlineLevel="1">
      <c r="C220" s="34" t="inlineStr">
        <is>
          <t xml:space="preserve">Dividendos a Pagar </t>
        </is>
      </c>
      <c r="D220" s="6" t="n"/>
      <c r="E220" s="6" t="n"/>
      <c r="F220" s="6" t="n"/>
      <c r="G220" s="6" t="n"/>
      <c r="H220" s="3" t="n"/>
      <c r="I220" s="6" t="n"/>
      <c r="J220" s="6" t="n"/>
      <c r="K220" s="6" t="n"/>
      <c r="L220" s="6" t="n"/>
      <c r="M220" s="3" t="n"/>
      <c r="N220" s="6" t="n"/>
      <c r="O220" s="6" t="n"/>
      <c r="P220" s="6" t="n"/>
      <c r="Q220" s="6" t="n"/>
      <c r="R220" s="3" t="n"/>
      <c r="S220" s="6" t="n"/>
      <c r="T220" s="6" t="n"/>
      <c r="U220" s="6" t="n"/>
      <c r="V220" s="6" t="n"/>
      <c r="W220" s="3" t="n"/>
      <c r="X220" s="6" t="n"/>
      <c r="Y220" s="6" t="n"/>
      <c r="Z220" s="6" t="n"/>
      <c r="AA220" s="6" t="n"/>
      <c r="AB220" s="3" t="n"/>
      <c r="AC220" s="6" t="n"/>
      <c r="AD220" s="6" t="n"/>
      <c r="AE220" s="6" t="n"/>
      <c r="AF220" s="6" t="n"/>
      <c r="AG220" s="3" t="n"/>
      <c r="AH220" s="6" t="n"/>
      <c r="AI220" s="6" t="n"/>
      <c r="AJ220" s="6" t="n"/>
      <c r="AK220" s="6" t="n"/>
      <c r="AL220" s="3" t="n"/>
      <c r="AM220" s="6" t="n"/>
      <c r="AN220" s="6" t="n"/>
      <c r="AO220" s="6" t="n"/>
      <c r="AP220" s="6" t="n"/>
      <c r="AQ220" s="3" t="n"/>
      <c r="AR220" s="6" t="n"/>
      <c r="AS220" s="6" t="n"/>
      <c r="AT220" s="6" t="n"/>
      <c r="AU220" s="6" t="n"/>
      <c r="AV220" s="3" t="n"/>
      <c r="AW220" s="6" t="n"/>
      <c r="AX220" s="6" t="n"/>
      <c r="AY220" s="6" t="n"/>
      <c r="AZ220" s="6" t="n"/>
      <c r="BA220" s="3" t="n"/>
      <c r="BB220" s="6" t="n"/>
      <c r="BC220" s="6" t="n"/>
      <c r="BD220" s="6" t="n"/>
      <c r="BE220" s="6" t="n"/>
      <c r="BF220" s="3" t="n"/>
      <c r="BG220" s="6" t="n"/>
      <c r="BH220" s="6" t="n"/>
      <c r="BI220" s="6" t="n"/>
      <c r="BJ220" s="6" t="n"/>
      <c r="BK220" s="3" t="n"/>
      <c r="BL220" s="6" t="n"/>
      <c r="BM220" s="6" t="n"/>
      <c r="BN220" s="6" t="n"/>
      <c r="BO220" s="6" t="n"/>
      <c r="BP220" s="3" t="n"/>
      <c r="BQ220" s="6" t="n"/>
      <c r="BR220" s="6" t="n"/>
      <c r="BS220" s="6" t="n"/>
      <c r="BT220" s="6" t="n"/>
      <c r="BU220" s="3" t="n"/>
      <c r="BV220" s="6" t="n"/>
      <c r="BW220" s="6" t="n"/>
      <c r="BX220" s="6" t="n"/>
      <c r="BY220" s="6" t="n"/>
      <c r="BZ220" s="3" t="n"/>
      <c r="CA220" s="6" t="n"/>
      <c r="CB220" s="6" t="n"/>
      <c r="CC220" s="6" t="n"/>
      <c r="CD220" s="6" t="n"/>
      <c r="CE220" s="3" t="n"/>
      <c r="CF220" s="6" t="n"/>
      <c r="CG220" s="6" t="n"/>
      <c r="CH220" s="6" t="n"/>
      <c r="CI220" s="6" t="n"/>
      <c r="CJ220" s="3" t="n"/>
      <c r="CK220" s="6" t="n"/>
      <c r="CL220" s="6" t="n"/>
      <c r="CM220" s="6" t="n"/>
      <c r="CN220" s="6" t="n"/>
      <c r="CO220" s="3" t="n"/>
      <c r="CP220" s="6" t="n"/>
      <c r="CQ220" s="6" t="n"/>
      <c r="CR220" s="6" t="n"/>
      <c r="CS220" s="6" t="n"/>
      <c r="CT220" s="3" t="n"/>
      <c r="CU220" s="6" t="n"/>
      <c r="CV220" s="6" t="n"/>
      <c r="CW220" s="6" t="n"/>
      <c r="CX220" s="6" t="n"/>
      <c r="CY220" s="3" t="n"/>
    </row>
    <row r="221" hidden="1" outlineLevel="1">
      <c r="C221" s="34" t="inlineStr">
        <is>
          <t>Contas a pagar pela aquisição de controladas</t>
        </is>
      </c>
      <c r="D221" s="6" t="n"/>
      <c r="E221" s="6" t="n"/>
      <c r="F221" s="6" t="n"/>
      <c r="G221" s="6" t="n"/>
      <c r="H221" s="3" t="n"/>
      <c r="I221" s="6" t="n"/>
      <c r="J221" s="6" t="n"/>
      <c r="K221" s="6" t="n"/>
      <c r="L221" s="6" t="n"/>
      <c r="M221" s="3" t="n"/>
      <c r="N221" s="6" t="n"/>
      <c r="O221" s="6" t="n"/>
      <c r="P221" s="6" t="n"/>
      <c r="Q221" s="6" t="n"/>
      <c r="R221" s="3" t="n"/>
      <c r="S221" s="6" t="n"/>
      <c r="T221" s="6" t="n"/>
      <c r="U221" s="6" t="n"/>
      <c r="V221" s="6" t="n"/>
      <c r="W221" s="3" t="n"/>
      <c r="X221" s="6" t="n"/>
      <c r="Y221" s="6" t="n"/>
      <c r="Z221" s="6" t="n"/>
      <c r="AA221" s="6" t="n"/>
      <c r="AB221" s="3" t="n"/>
      <c r="AC221" s="6" t="n"/>
      <c r="AD221" s="6" t="n"/>
      <c r="AE221" s="6" t="n"/>
      <c r="AF221" s="6" t="n"/>
      <c r="AG221" s="3" t="n"/>
      <c r="AH221" s="6" t="n"/>
      <c r="AI221" s="6" t="n"/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inlineStr">
        <is>
          <t>Outros</t>
        </is>
      </c>
      <c r="D222" s="6" t="n"/>
      <c r="E222" s="6" t="n"/>
      <c r="F222" s="6" t="n"/>
      <c r="G222" s="6" t="n"/>
      <c r="H222" s="3" t="n"/>
      <c r="I222" s="6" t="n"/>
      <c r="J222" s="6" t="n"/>
      <c r="K222" s="6" t="n"/>
      <c r="L222" s="6" t="n"/>
      <c r="M222" s="3" t="n"/>
      <c r="N222" s="6" t="n"/>
      <c r="O222" s="6" t="n"/>
      <c r="P222" s="6" t="n"/>
      <c r="Q222" s="6" t="n"/>
      <c r="R222" s="3" t="n"/>
      <c r="S222" s="6" t="n"/>
      <c r="T222" s="6" t="n"/>
      <c r="U222" s="6" t="n"/>
      <c r="V222" s="6" t="n"/>
      <c r="W222" s="3" t="n"/>
      <c r="X222" s="6" t="n"/>
      <c r="Y222" s="6" t="n"/>
      <c r="Z222" s="6" t="n"/>
      <c r="AA222" s="6" t="n"/>
      <c r="AB222" s="3" t="n"/>
      <c r="AC222" s="6" t="n"/>
      <c r="AD222" s="6" t="n"/>
      <c r="AE222" s="6" t="n"/>
      <c r="AF222" s="6" t="n"/>
      <c r="AG222" s="3" t="n"/>
      <c r="AH222" s="6" t="n"/>
      <c r="AI222" s="6" t="n"/>
      <c r="AJ222" s="6" t="n"/>
      <c r="AK222" s="6" t="n"/>
      <c r="AL222" s="3" t="n"/>
      <c r="AM222" s="6" t="n"/>
      <c r="AN222" s="6" t="n"/>
      <c r="AO222" s="6" t="n"/>
      <c r="AP222" s="6" t="n"/>
      <c r="AQ222" s="3" t="n"/>
      <c r="AR222" s="6" t="n"/>
      <c r="AS222" s="6" t="n"/>
      <c r="AT222" s="6" t="n"/>
      <c r="AU222" s="6" t="n"/>
      <c r="AV222" s="3" t="n"/>
      <c r="AW222" s="6" t="n"/>
      <c r="AX222" s="6" t="n"/>
      <c r="AY222" s="6" t="n"/>
      <c r="AZ222" s="6" t="n"/>
      <c r="BA222" s="3" t="n"/>
      <c r="BB222" s="6" t="n"/>
      <c r="BC222" s="6" t="n"/>
      <c r="BD222" s="6" t="n"/>
      <c r="BE222" s="6" t="n"/>
      <c r="BF222" s="3" t="n"/>
      <c r="BG222" s="6" t="n"/>
      <c r="BH222" s="6" t="n"/>
      <c r="BI222" s="6" t="n"/>
      <c r="BJ222" s="6" t="n"/>
      <c r="BK222" s="3" t="n"/>
      <c r="BL222" s="6" t="n"/>
      <c r="BM222" s="6" t="n"/>
      <c r="BN222" s="6" t="n"/>
      <c r="BO222" s="6" t="n"/>
      <c r="BP222" s="3" t="n"/>
      <c r="BQ222" s="6" t="n"/>
      <c r="BR222" s="6" t="n"/>
      <c r="BS222" s="6" t="n"/>
      <c r="BT222" s="6" t="n"/>
      <c r="BU222" s="3" t="n"/>
      <c r="BV222" s="6" t="n"/>
      <c r="BW222" s="6" t="n"/>
      <c r="BX222" s="6" t="n"/>
      <c r="BY222" s="6" t="n"/>
      <c r="BZ222" s="3" t="n"/>
      <c r="CA222" s="6" t="n"/>
      <c r="CB222" s="6" t="n"/>
      <c r="CC222" s="6" t="n"/>
      <c r="CD222" s="6" t="n"/>
      <c r="CE222" s="3" t="n"/>
      <c r="CF222" s="6" t="n"/>
      <c r="CG222" s="6" t="n"/>
      <c r="CH222" s="6" t="n"/>
      <c r="CI222" s="6" t="n"/>
      <c r="CJ222" s="3" t="n"/>
      <c r="CK222" s="6" t="n"/>
      <c r="CL222" s="6" t="n"/>
      <c r="CM222" s="6" t="n"/>
      <c r="CN222" s="6" t="n"/>
      <c r="CO222" s="3" t="n"/>
      <c r="CP222" s="6" t="n"/>
      <c r="CQ222" s="6" t="n"/>
      <c r="CR222" s="6" t="n"/>
      <c r="CS222" s="6" t="n"/>
      <c r="CT222" s="3" t="n"/>
      <c r="CU222" s="6" t="n"/>
      <c r="CV222" s="6" t="n"/>
      <c r="CW222" s="6" t="n"/>
      <c r="CX222" s="6" t="n"/>
      <c r="CY222" s="3" t="n"/>
    </row>
    <row r="223" hidden="1" outlineLevel="1">
      <c r="C223" s="34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n"/>
      <c r="BE223" s="3" t="n"/>
      <c r="BF223" s="3" t="n"/>
      <c r="BG223" s="3" t="n"/>
      <c r="BH223" s="3" t="n"/>
      <c r="BI223" s="3" t="n"/>
      <c r="BJ223" s="3" t="n"/>
      <c r="BK223" s="3" t="n"/>
      <c r="BL223" s="3" t="n"/>
      <c r="BM223" s="3" t="n"/>
      <c r="BN223" s="3" t="n"/>
      <c r="BO223" s="3" t="n"/>
      <c r="BP223" s="3" t="n"/>
      <c r="BQ223" s="3" t="n"/>
      <c r="BR223" s="3" t="n"/>
      <c r="BS223" s="3" t="n"/>
      <c r="BT223" s="3" t="n"/>
      <c r="BU223" s="3" t="n"/>
      <c r="BV223" s="3" t="n"/>
      <c r="BW223" s="3" t="n"/>
      <c r="BX223" s="3" t="n"/>
      <c r="BY223" s="3" t="n"/>
      <c r="BZ223" s="3" t="n"/>
      <c r="CA223" s="3" t="n"/>
      <c r="CB223" s="3" t="n"/>
      <c r="CC223" s="3" t="n"/>
      <c r="CD223" s="3" t="n"/>
      <c r="CE223" s="3" t="n"/>
      <c r="CF223" s="3" t="n"/>
      <c r="CG223" s="3" t="n"/>
      <c r="CH223" s="3" t="n"/>
      <c r="CI223" s="3" t="n"/>
      <c r="CJ223" s="3" t="n"/>
      <c r="CK223" s="3" t="n"/>
      <c r="CL223" s="3" t="n"/>
      <c r="CM223" s="3" t="n"/>
      <c r="CN223" s="3" t="n"/>
      <c r="CO223" s="3" t="n"/>
      <c r="CP223" s="3" t="n"/>
      <c r="CQ223" s="3" t="n"/>
      <c r="CR223" s="3" t="n"/>
      <c r="CS223" s="3" t="n"/>
      <c r="CT223" s="3" t="n"/>
      <c r="CU223" s="3" t="n"/>
      <c r="CV223" s="3" t="n"/>
      <c r="CW223" s="3" t="n"/>
      <c r="CX223" s="3" t="n"/>
      <c r="CY223" s="3" t="n"/>
    </row>
    <row r="224" collapsed="1">
      <c r="C224" s="26" t="inlineStr">
        <is>
          <t>Current portion of long-term debt</t>
        </is>
      </c>
      <c r="D224" s="25">
        <f>INDEX('Inputs (2)'!$D$32:$AL$32,MATCH(D$7,'Inputs (2)'!$D$2:$AL$2,0))</f>
        <v>637.959</v>
      </c>
      <c r="E224" s="25">
        <f>INDEX('Inputs (2)'!$D$32:$AL$32,MATCH(E$7,'Inputs (2)'!$D$2:$AL$2,0))</f>
        <v>1244.503</v>
      </c>
      <c r="F224" s="25">
        <f>INDEX('Inputs (2)'!$D$32:$AL$32,MATCH(F$7,'Inputs (2)'!$D$2:$AL$2,0))</f>
        <v>943.745</v>
      </c>
      <c r="G224" s="25">
        <f>INDEX('Inputs (2)'!$D$32:$AL$32,MATCH(G$7,'Inputs (2)'!$D$2:$AL$2,0))</f>
        <v>1052.57</v>
      </c>
      <c r="H224" s="3">
        <f>G224</f>
        <v>1052.57</v>
      </c>
      <c r="I224" s="25">
        <f>INDEX('Inputs (2)'!$D$32:$AL$32,MATCH(I$7,'Inputs (2)'!$D$2:$AL$2,0))</f>
        <v>539.847</v>
      </c>
      <c r="J224" s="25">
        <f>INDEX('Inputs (2)'!$D$32:$AL$32,MATCH(J$7,'Inputs (2)'!$D$2:$AL$2,0))</f>
        <v>493.626</v>
      </c>
      <c r="K224" s="25">
        <f>INDEX('Inputs (2)'!$D$32:$AL$32,MATCH(K$7,'Inputs (2)'!$D$2:$AL$2,0))</f>
        <v>522.966</v>
      </c>
      <c r="L224" s="25">
        <f>INDEX('Inputs (2)'!$D$32:$AL$32,MATCH(L$7,'Inputs (2)'!$D$2:$AL$2,0))</f>
        <v>655.05</v>
      </c>
      <c r="M224" s="3">
        <f>L224</f>
        <v>655.05</v>
      </c>
      <c r="N224" s="25">
        <f>INDEX('Inputs (2)'!$D$32:$AL$32,MATCH(N$7,'Inputs (2)'!$D$2:$AL$2,0))</f>
        <v>721.818</v>
      </c>
      <c r="O224" s="25">
        <f>INDEX('Inputs (2)'!$D$32:$AL$32,MATCH(O$7,'Inputs (2)'!$D$2:$AL$2,0))</f>
        <v>1025.43</v>
      </c>
      <c r="P224" s="25">
        <f>INDEX('Inputs (2)'!$D$32:$AL$32,MATCH(P$7,'Inputs (2)'!$D$2:$AL$2,0))</f>
        <v>1141.627</v>
      </c>
      <c r="Q224" s="25">
        <f>INDEX('Inputs (2)'!$D$32:$AL$32,MATCH(Q$7,'Inputs (2)'!$D$2:$AL$2,0))</f>
        <v>1947.436</v>
      </c>
      <c r="R224" s="3">
        <f>Q224</f>
        <v>1947.436</v>
      </c>
      <c r="S224" s="25">
        <f>INDEX('Inputs (2)'!$D$32:$AL$32,MATCH(S$7,'Inputs (2)'!$D$2:$AL$2,0))</f>
        <v>1042.744</v>
      </c>
      <c r="T224" s="25">
        <f>INDEX('Inputs (2)'!$D$32:$AL$32,MATCH(T$7,'Inputs (2)'!$D$2:$AL$2,0))</f>
        <v>889.948</v>
      </c>
      <c r="U224" s="25">
        <f>INDEX('Inputs (2)'!$D$32:$AL$32,MATCH(U$7,'Inputs (2)'!$D$2:$AL$2,0))</f>
        <v>737.185</v>
      </c>
      <c r="V224" s="25">
        <f>INDEX('Inputs (2)'!$D$32:$AL$32,MATCH(V$7,'Inputs (2)'!$D$2:$AL$2,0))</f>
        <v>1188.117</v>
      </c>
      <c r="W224" s="3">
        <f>V224</f>
        <v>1188.117</v>
      </c>
      <c r="X224" s="25">
        <f>INDEX('Inputs (2)'!$D$32:$AL$32,MATCH(X$7,'Inputs (2)'!$D$2:$AL$2,0))</f>
        <v>1384.079</v>
      </c>
      <c r="Y224" s="25">
        <f>INDEX('Inputs (2)'!$D$32:$AL$32,MATCH(Y$7,'Inputs (2)'!$D$2:$AL$2,0))</f>
        <v>1189.082</v>
      </c>
      <c r="Z224" s="25">
        <f>INDEX('Inputs (2)'!$D$32:$AL$32,MATCH(Z$7,'Inputs (2)'!$D$2:$AL$2,0))</f>
        <v>1640.161</v>
      </c>
      <c r="AA224" s="25">
        <f>INDEX('Inputs (2)'!$D$32:$AL$32,MATCH(AA$7,'Inputs (2)'!$D$2:$AL$2,0))</f>
        <v>2239.598</v>
      </c>
      <c r="AB224" s="3">
        <f>AA224</f>
        <v>2239.598</v>
      </c>
      <c r="AC224" s="25">
        <f>INDEX('Inputs (2)'!$D$32:$AL$32,MATCH(AC$7,'Inputs (2)'!$D$2:$AL$2,0))</f>
        <v>2542.303</v>
      </c>
      <c r="AD224" s="25">
        <f>INDEX('Inputs (2)'!$D$32:$AL$32,MATCH(AD$7,'Inputs (2)'!$D$2:$AL$2,0))</f>
        <v>3232.289</v>
      </c>
      <c r="AE224" s="25">
        <f>INDEX('Inputs (2)'!$D$32:$AL$32,MATCH(AE$7,'Inputs (2)'!$D$2:$AL$2,0))</f>
        <v>3627.942</v>
      </c>
      <c r="AF224" s="25">
        <f>INDEX('Inputs (2)'!$D$32:$AL$32,MATCH(AF$7,'Inputs (2)'!$D$2:$AL$2,0))</f>
        <v>4142.338</v>
      </c>
      <c r="AG224" s="3">
        <f>AF224</f>
        <v>4142.338</v>
      </c>
      <c r="AH224" s="3">
        <f>INDEX('Inputs (2)'!$D$32:$AL$32,MATCH(AH$7,'Inputs (2)'!$D$2:$AL$2,0))</f>
        <v>3249.109</v>
      </c>
      <c r="AI224" s="3">
        <f>INDEX('Inputs (2)'!$D$32:$AL$32,MATCH(AI$7,'Inputs (2)'!$D$2:$AL$2,0))</f>
        <v>2782.282</v>
      </c>
      <c r="AJ224" s="3">
        <f>AI224</f>
        <v>2782.282</v>
      </c>
      <c r="AK224" s="3">
        <f>AJ224</f>
        <v>2782.282</v>
      </c>
      <c r="AL224" s="3">
        <f>AK224</f>
        <v>2782.282</v>
      </c>
      <c r="AM224" s="3">
        <f>AL224</f>
        <v>2782.282</v>
      </c>
      <c r="AN224" s="3">
        <f>AM224</f>
        <v>2782.282</v>
      </c>
      <c r="AO224" s="3">
        <f>AN224</f>
        <v>2782.282</v>
      </c>
      <c r="AP224" s="3">
        <f>AO224</f>
        <v>2782.282</v>
      </c>
      <c r="AQ224" s="3">
        <f>AP224</f>
        <v>2782.282</v>
      </c>
      <c r="AR224" s="3">
        <f>AQ224</f>
        <v>2782.282</v>
      </c>
      <c r="AS224" s="3">
        <f>AR224</f>
        <v>2782.282</v>
      </c>
      <c r="AT224" s="3">
        <f>AS224</f>
        <v>2782.282</v>
      </c>
      <c r="AU224" s="3">
        <f>AT224</f>
        <v>2782.282</v>
      </c>
      <c r="AV224" s="3">
        <f>AU224</f>
        <v>2782.282</v>
      </c>
      <c r="AW224" s="3">
        <f>AV224</f>
        <v>2782.282</v>
      </c>
      <c r="AX224" s="3">
        <f>AW224</f>
        <v>2782.282</v>
      </c>
      <c r="AY224" s="3">
        <f>AX224</f>
        <v>2782.282</v>
      </c>
      <c r="AZ224" s="3">
        <f>AY224</f>
        <v>2782.282</v>
      </c>
      <c r="BA224" s="3">
        <f>AZ224</f>
        <v>2782.282</v>
      </c>
      <c r="BB224" s="3">
        <f>BA224</f>
        <v>2782.282</v>
      </c>
      <c r="BC224" s="3">
        <f>BB224</f>
        <v>2782.282</v>
      </c>
      <c r="BD224" s="3">
        <f>BC224</f>
        <v>2782.282</v>
      </c>
      <c r="BE224" s="3">
        <f>BD224</f>
        <v>2782.282</v>
      </c>
      <c r="BF224" s="3">
        <f>BE224</f>
        <v>2782.282</v>
      </c>
      <c r="BG224" s="3">
        <f>BF224</f>
        <v>2782.282</v>
      </c>
      <c r="BH224" s="3">
        <f>BG224</f>
        <v>2782.282</v>
      </c>
      <c r="BI224" s="3">
        <f>BH224</f>
        <v>2782.282</v>
      </c>
      <c r="BJ224" s="3">
        <f>BI224</f>
        <v>2782.282</v>
      </c>
      <c r="BK224" s="3">
        <f>BJ224</f>
        <v>2782.282</v>
      </c>
      <c r="BL224" s="3">
        <f>BK224</f>
        <v>2782.282</v>
      </c>
      <c r="BM224" s="3">
        <f>BL224</f>
        <v>2782.282</v>
      </c>
      <c r="BN224" s="3">
        <f>BM224</f>
        <v>2782.282</v>
      </c>
      <c r="BO224" s="3">
        <f>BN224</f>
        <v>2782.282</v>
      </c>
      <c r="BP224" s="3">
        <f>BO224</f>
        <v>2782.282</v>
      </c>
      <c r="BQ224" s="3">
        <f>BP224</f>
        <v>2782.282</v>
      </c>
      <c r="BR224" s="3">
        <f>BQ224</f>
        <v>2782.282</v>
      </c>
      <c r="BS224" s="3">
        <f>BR224</f>
        <v>2782.282</v>
      </c>
      <c r="BT224" s="3">
        <f>BS224</f>
        <v>2782.282</v>
      </c>
      <c r="BU224" s="3">
        <f>BT224</f>
        <v>2782.282</v>
      </c>
      <c r="BV224" s="3">
        <f>BU224</f>
        <v>2782.282</v>
      </c>
      <c r="BW224" s="3">
        <f>BV224</f>
        <v>2782.282</v>
      </c>
      <c r="BX224" s="3">
        <f>BW224</f>
        <v>2782.282</v>
      </c>
      <c r="BY224" s="3">
        <f>BX224</f>
        <v>2782.282</v>
      </c>
      <c r="BZ224" s="3">
        <f>BY224</f>
        <v>2782.282</v>
      </c>
      <c r="CA224" s="3">
        <f>BZ224</f>
        <v>2782.282</v>
      </c>
      <c r="CB224" s="3">
        <f>CA224</f>
        <v>2782.282</v>
      </c>
      <c r="CC224" s="3">
        <f>CB224</f>
        <v>2782.282</v>
      </c>
      <c r="CD224" s="3">
        <f>CC224</f>
        <v>2782.282</v>
      </c>
      <c r="CE224" s="3">
        <f>CD224</f>
        <v>2782.282</v>
      </c>
      <c r="CF224" s="3">
        <f>CE224</f>
        <v>2782.282</v>
      </c>
      <c r="CG224" s="3">
        <f>CF224</f>
        <v>2782.282</v>
      </c>
      <c r="CH224" s="3">
        <f>CG224</f>
        <v>2782.282</v>
      </c>
      <c r="CI224" s="3">
        <f>CH224</f>
        <v>2782.282</v>
      </c>
      <c r="CJ224" s="3">
        <f>CI224</f>
        <v>2782.282</v>
      </c>
      <c r="CK224" s="3">
        <f>CJ224</f>
        <v>2782.282</v>
      </c>
      <c r="CL224" s="3">
        <f>CK224</f>
        <v>2782.282</v>
      </c>
      <c r="CM224" s="3">
        <f>CL224</f>
        <v>2782.282</v>
      </c>
      <c r="CN224" s="3">
        <f>CM224</f>
        <v>2782.282</v>
      </c>
      <c r="CO224" s="3">
        <f>CN224</f>
        <v>2782.282</v>
      </c>
      <c r="CP224" s="3">
        <f>CO224</f>
        <v>2782.282</v>
      </c>
      <c r="CQ224" s="3">
        <f>CP224</f>
        <v>2782.282</v>
      </c>
      <c r="CR224" s="3">
        <f>CQ224</f>
        <v>2782.282</v>
      </c>
      <c r="CS224" s="3">
        <f>CR224</f>
        <v>2782.282</v>
      </c>
      <c r="CT224" s="3">
        <f>CS224</f>
        <v>2782.282</v>
      </c>
      <c r="CU224" s="3">
        <f>CT224</f>
        <v>2782.282</v>
      </c>
      <c r="CV224" s="3">
        <f>CU224</f>
        <v>2782.282</v>
      </c>
      <c r="CW224" s="3">
        <f>CV224</f>
        <v>2782.282</v>
      </c>
      <c r="CX224" s="3">
        <f>CW224</f>
        <v>2782.282</v>
      </c>
      <c r="CY224" s="3">
        <f>CX224</f>
        <v>2782.282</v>
      </c>
    </row>
    <row r="225">
      <c r="C225" s="26" t="inlineStr">
        <is>
          <t>Short term debt (Revolving credit facility)</t>
        </is>
      </c>
      <c r="D225" s="25" t="n"/>
      <c r="E225" s="25" t="n"/>
      <c r="F225" s="25" t="n"/>
      <c r="G225" s="25" t="n"/>
      <c r="H225" s="3">
        <f>G225</f>
        <v>0</v>
      </c>
      <c r="I225" s="25" t="n"/>
      <c r="J225" s="25" t="n"/>
      <c r="K225" s="25" t="n"/>
      <c r="L225" s="25" t="n"/>
      <c r="M225" s="3">
        <f>L225</f>
        <v>0</v>
      </c>
      <c r="N225" s="25" t="n"/>
      <c r="O225" s="25" t="n"/>
      <c r="P225" s="25" t="n"/>
      <c r="Q225" s="25" t="n"/>
      <c r="R225" s="3">
        <f>Q225</f>
        <v>0</v>
      </c>
      <c r="S225" s="25" t="n"/>
      <c r="T225" s="25" t="n"/>
      <c r="U225" s="25" t="n"/>
      <c r="V225" s="25" t="n"/>
      <c r="W225" s="3">
        <f>V225</f>
        <v>0</v>
      </c>
      <c r="X225" s="25" t="n"/>
      <c r="Y225" s="25" t="n"/>
      <c r="Z225" s="25" t="n"/>
      <c r="AA225" s="25" t="n"/>
      <c r="AB225" s="3">
        <f>AA225</f>
        <v>0</v>
      </c>
      <c r="AC225" s="25" t="n"/>
      <c r="AD225" s="25" t="n"/>
      <c r="AE225" s="25" t="n"/>
      <c r="AF225" s="25" t="n"/>
      <c r="AG225" s="3">
        <f>AF225</f>
        <v>0</v>
      </c>
      <c r="AH225" s="3">
        <f>AG225</f>
        <v>0</v>
      </c>
      <c r="AI225" s="3">
        <f>AH225</f>
        <v>0</v>
      </c>
      <c r="AJ225" s="3">
        <f>AI225</f>
        <v>0</v>
      </c>
      <c r="AK225" s="3">
        <f>AJ225</f>
        <v>0</v>
      </c>
      <c r="AL225" s="3">
        <f>AK225</f>
        <v>0</v>
      </c>
      <c r="AM225" s="3">
        <f>AL225</f>
        <v>0</v>
      </c>
      <c r="AN225" s="3">
        <f>AM225</f>
        <v>0</v>
      </c>
      <c r="AO225" s="3">
        <f>AN225</f>
        <v>0</v>
      </c>
      <c r="AP225" s="3">
        <f>AO225</f>
        <v>0</v>
      </c>
      <c r="AQ225" s="3">
        <f>AP225</f>
        <v>0</v>
      </c>
      <c r="AR225" s="3">
        <f>AQ225</f>
        <v>0</v>
      </c>
      <c r="AS225" s="3">
        <f>AR225</f>
        <v>0</v>
      </c>
      <c r="AT225" s="3">
        <f>AS225</f>
        <v>0</v>
      </c>
      <c r="AU225" s="3">
        <f>AT225</f>
        <v>0</v>
      </c>
      <c r="AV225" s="3">
        <f>AU225</f>
        <v>0</v>
      </c>
      <c r="AW225" s="3">
        <f>AV225</f>
        <v>0</v>
      </c>
      <c r="AX225" s="3">
        <f>AW225</f>
        <v>0</v>
      </c>
      <c r="AY225" s="3">
        <f>AX225</f>
        <v>0</v>
      </c>
      <c r="AZ225" s="3">
        <f>AY225</f>
        <v>0</v>
      </c>
      <c r="BA225" s="3">
        <f>AZ225</f>
        <v>0</v>
      </c>
      <c r="BB225" s="3">
        <f>BA225</f>
        <v>0</v>
      </c>
      <c r="BC225" s="3">
        <f>BB225</f>
        <v>0</v>
      </c>
      <c r="BD225" s="3">
        <f>BC225</f>
        <v>0</v>
      </c>
      <c r="BE225" s="3">
        <f>BD225</f>
        <v>0</v>
      </c>
      <c r="BF225" s="3">
        <f>BE225</f>
        <v>0</v>
      </c>
      <c r="BG225" s="3">
        <f>BF225</f>
        <v>0</v>
      </c>
      <c r="BH225" s="3">
        <f>BG225</f>
        <v>0</v>
      </c>
      <c r="BI225" s="3">
        <f>BH225</f>
        <v>0</v>
      </c>
      <c r="BJ225" s="3">
        <f>BI225</f>
        <v>0</v>
      </c>
      <c r="BK225" s="3">
        <f>BJ225</f>
        <v>0</v>
      </c>
      <c r="BL225" s="3">
        <f>BK225</f>
        <v>0</v>
      </c>
      <c r="BM225" s="3">
        <f>BL225</f>
        <v>0</v>
      </c>
      <c r="BN225" s="3">
        <f>BM225</f>
        <v>0</v>
      </c>
      <c r="BO225" s="3">
        <f>BN225</f>
        <v>0</v>
      </c>
      <c r="BP225" s="3">
        <f>BO225</f>
        <v>0</v>
      </c>
      <c r="BQ225" s="3">
        <f>BP225</f>
        <v>0</v>
      </c>
      <c r="BR225" s="3">
        <f>BQ225</f>
        <v>0</v>
      </c>
      <c r="BS225" s="3">
        <f>BR225</f>
        <v>0</v>
      </c>
      <c r="BT225" s="3">
        <f>BS225</f>
        <v>0</v>
      </c>
      <c r="BU225" s="3">
        <f>BT225</f>
        <v>0</v>
      </c>
      <c r="BV225" s="3">
        <f>BU225</f>
        <v>0</v>
      </c>
      <c r="BW225" s="3">
        <f>BV225</f>
        <v>0</v>
      </c>
      <c r="BX225" s="3">
        <f>BW225</f>
        <v>0</v>
      </c>
      <c r="BY225" s="3">
        <f>BX225</f>
        <v>0</v>
      </c>
      <c r="BZ225" s="3">
        <f>BY225</f>
        <v>0</v>
      </c>
      <c r="CA225" s="3">
        <f>BZ225</f>
        <v>0</v>
      </c>
      <c r="CB225" s="3">
        <f>CA225</f>
        <v>0</v>
      </c>
      <c r="CC225" s="3">
        <f>CB225</f>
        <v>0</v>
      </c>
      <c r="CD225" s="3">
        <f>CC225</f>
        <v>0</v>
      </c>
      <c r="CE225" s="3">
        <f>CD225</f>
        <v>0</v>
      </c>
      <c r="CF225" s="3">
        <f>CE225</f>
        <v>0</v>
      </c>
      <c r="CG225" s="3">
        <f>CF225</f>
        <v>0</v>
      </c>
      <c r="CH225" s="3">
        <f>CG225</f>
        <v>0</v>
      </c>
      <c r="CI225" s="3">
        <f>CH225</f>
        <v>0</v>
      </c>
      <c r="CJ225" s="3">
        <f>CI225</f>
        <v>0</v>
      </c>
      <c r="CK225" s="3">
        <f>CJ225</f>
        <v>0</v>
      </c>
      <c r="CL225" s="3">
        <f>CK225</f>
        <v>0</v>
      </c>
      <c r="CM225" s="3">
        <f>CL225</f>
        <v>0</v>
      </c>
      <c r="CN225" s="3">
        <f>CM225</f>
        <v>0</v>
      </c>
      <c r="CO225" s="3">
        <f>CN225</f>
        <v>0</v>
      </c>
      <c r="CP225" s="3">
        <f>CO225</f>
        <v>0</v>
      </c>
      <c r="CQ225" s="3">
        <f>CP225</f>
        <v>0</v>
      </c>
      <c r="CR225" s="3">
        <f>CQ225</f>
        <v>0</v>
      </c>
      <c r="CS225" s="3">
        <f>CR225</f>
        <v>0</v>
      </c>
      <c r="CT225" s="3">
        <f>CS225</f>
        <v>0</v>
      </c>
      <c r="CU225" s="3">
        <f>CT225</f>
        <v>0</v>
      </c>
      <c r="CV225" s="3">
        <f>CU225</f>
        <v>0</v>
      </c>
      <c r="CW225" s="3">
        <f>CV225</f>
        <v>0</v>
      </c>
      <c r="CX225" s="3">
        <f>CW225</f>
        <v>0</v>
      </c>
      <c r="CY225" s="3">
        <f>CX225</f>
        <v>0</v>
      </c>
    </row>
    <row r="226">
      <c r="C226" s="26" t="inlineStr">
        <is>
          <t>Short term operating leases</t>
        </is>
      </c>
      <c r="D226" s="25">
        <f>INDEX('Inputs (2)'!$D$34:$AL$34,MATCH(D$7,'Inputs (2)'!$D$2:$AL$2,0))</f>
        <v>51.973</v>
      </c>
      <c r="E226" s="25">
        <f>INDEX('Inputs (2)'!$D$34:$AL$34,MATCH(E$7,'Inputs (2)'!$D$2:$AL$2,0))</f>
        <v>47.027</v>
      </c>
      <c r="F226" s="25">
        <f>INDEX('Inputs (2)'!$D$34:$AL$34,MATCH(F$7,'Inputs (2)'!$D$2:$AL$2,0))</f>
        <v>46.636</v>
      </c>
      <c r="G226" s="25">
        <f>INDEX('Inputs (2)'!$D$34:$AL$34,MATCH(G$7,'Inputs (2)'!$D$2:$AL$2,0))</f>
        <v>44.244</v>
      </c>
      <c r="H226" s="3">
        <f>G226</f>
        <v>44.244</v>
      </c>
      <c r="I226" s="25">
        <f>INDEX('Inputs (2)'!$D$34:$AL$34,MATCH(I$7,'Inputs (2)'!$D$2:$AL$2,0))</f>
        <v>61.994</v>
      </c>
      <c r="J226" s="25">
        <f>INDEX('Inputs (2)'!$D$34:$AL$34,MATCH(J$7,'Inputs (2)'!$D$2:$AL$2,0))</f>
        <v>67.678</v>
      </c>
      <c r="K226" s="25">
        <f>INDEX('Inputs (2)'!$D$34:$AL$34,MATCH(K$7,'Inputs (2)'!$D$2:$AL$2,0))</f>
        <v>84.414</v>
      </c>
      <c r="L226" s="25">
        <f>INDEX('Inputs (2)'!$D$34:$AL$34,MATCH(L$7,'Inputs (2)'!$D$2:$AL$2,0))</f>
        <v>103.044</v>
      </c>
      <c r="M226" s="3">
        <f>L226</f>
        <v>103.044</v>
      </c>
      <c r="N226" s="25">
        <f>INDEX('Inputs (2)'!$D$34:$AL$34,MATCH(N$7,'Inputs (2)'!$D$2:$AL$2,0))</f>
        <v>108.267</v>
      </c>
      <c r="O226" s="25">
        <f>INDEX('Inputs (2)'!$D$34:$AL$34,MATCH(O$7,'Inputs (2)'!$D$2:$AL$2,0))</f>
        <v>119.982</v>
      </c>
      <c r="P226" s="25">
        <f>INDEX('Inputs (2)'!$D$34:$AL$34,MATCH(P$7,'Inputs (2)'!$D$2:$AL$2,0))</f>
        <v>134.853</v>
      </c>
      <c r="Q226" s="25">
        <f>INDEX('Inputs (2)'!$D$34:$AL$34,MATCH(Q$7,'Inputs (2)'!$D$2:$AL$2,0))</f>
        <v>137.485</v>
      </c>
      <c r="R226" s="3">
        <f>Q226</f>
        <v>137.485</v>
      </c>
      <c r="S226" s="25">
        <f>INDEX('Inputs (2)'!$D$34:$AL$34,MATCH(S$7,'Inputs (2)'!$D$2:$AL$2,0))</f>
        <v>133.72</v>
      </c>
      <c r="T226" s="25">
        <f>INDEX('Inputs (2)'!$D$34:$AL$34,MATCH(T$7,'Inputs (2)'!$D$2:$AL$2,0))</f>
        <v>132.466</v>
      </c>
      <c r="U226" s="25">
        <f>INDEX('Inputs (2)'!$D$34:$AL$34,MATCH(U$7,'Inputs (2)'!$D$2:$AL$2,0))</f>
        <v>140.545</v>
      </c>
      <c r="V226" s="25">
        <f>INDEX('Inputs (2)'!$D$34:$AL$34,MATCH(V$7,'Inputs (2)'!$D$2:$AL$2,0))</f>
        <v>155.635</v>
      </c>
      <c r="W226" s="3">
        <f>V226</f>
        <v>155.635</v>
      </c>
      <c r="X226" s="25">
        <f>INDEX('Inputs (2)'!$D$34:$AL$34,MATCH(X$7,'Inputs (2)'!$D$2:$AL$2,0))</f>
        <v>159.147</v>
      </c>
      <c r="Y226" s="25">
        <f>INDEX('Inputs (2)'!$D$34:$AL$34,MATCH(Y$7,'Inputs (2)'!$D$2:$AL$2,0))</f>
        <v>171.944</v>
      </c>
      <c r="Z226" s="25">
        <f>INDEX('Inputs (2)'!$D$34:$AL$34,MATCH(Z$7,'Inputs (2)'!$D$2:$AL$2,0))</f>
        <v>180.835</v>
      </c>
      <c r="AA226" s="25">
        <f>INDEX('Inputs (2)'!$D$34:$AL$34,MATCH(AA$7,'Inputs (2)'!$D$2:$AL$2,0))</f>
        <v>167.348</v>
      </c>
      <c r="AB226" s="3">
        <f>AA226</f>
        <v>167.348</v>
      </c>
      <c r="AC226" s="25">
        <f>INDEX('Inputs (2)'!$D$34:$AL$34,MATCH(AC$7,'Inputs (2)'!$D$2:$AL$2,0))</f>
        <v>153.154</v>
      </c>
      <c r="AD226" s="25">
        <f>INDEX('Inputs (2)'!$D$34:$AL$34,MATCH(AD$7,'Inputs (2)'!$D$2:$AL$2,0))</f>
        <v>174.068</v>
      </c>
      <c r="AE226" s="25">
        <f>INDEX('Inputs (2)'!$D$34:$AL$34,MATCH(AE$7,'Inputs (2)'!$D$2:$AL$2,0))</f>
        <v>180.979</v>
      </c>
      <c r="AF226" s="25">
        <f>INDEX('Inputs (2)'!$D$34:$AL$34,MATCH(AF$7,'Inputs (2)'!$D$2:$AL$2,0))</f>
        <v>177.918</v>
      </c>
      <c r="AG226" s="3">
        <f>AF226</f>
        <v>177.918</v>
      </c>
      <c r="AH226" s="3">
        <f>INDEX('Inputs (2)'!$D$34:$AL$34,MATCH(AH$7,'Inputs (2)'!$D$2:$AL$2,0))</f>
        <v>177.143</v>
      </c>
      <c r="AI226" s="3">
        <f>INDEX('Inputs (2)'!$D$34:$AL$34,MATCH(AI$7,'Inputs (2)'!$D$2:$AL$2,0))</f>
        <v>200.687</v>
      </c>
      <c r="AJ226" s="3">
        <f>AI226</f>
        <v>200.687</v>
      </c>
      <c r="AK226" s="3">
        <f>AJ226</f>
        <v>200.687</v>
      </c>
      <c r="AL226" s="3">
        <f>AK226</f>
        <v>200.687</v>
      </c>
      <c r="AM226" s="3">
        <f>AL226</f>
        <v>200.687</v>
      </c>
      <c r="AN226" s="3">
        <f>AM226</f>
        <v>200.687</v>
      </c>
      <c r="AO226" s="3">
        <f>AN226</f>
        <v>200.687</v>
      </c>
      <c r="AP226" s="3">
        <f>AO226</f>
        <v>200.687</v>
      </c>
      <c r="AQ226" s="3">
        <f>AP226</f>
        <v>200.687</v>
      </c>
      <c r="AR226" s="3">
        <f>AQ226</f>
        <v>200.687</v>
      </c>
      <c r="AS226" s="3">
        <f>AR226</f>
        <v>200.687</v>
      </c>
      <c r="AT226" s="3">
        <f>AS226</f>
        <v>200.687</v>
      </c>
      <c r="AU226" s="3">
        <f>AT226</f>
        <v>200.687</v>
      </c>
      <c r="AV226" s="3">
        <f>AU226</f>
        <v>200.687</v>
      </c>
      <c r="AW226" s="3">
        <f>AV226</f>
        <v>200.687</v>
      </c>
      <c r="AX226" s="3">
        <f>AW226</f>
        <v>200.687</v>
      </c>
      <c r="AY226" s="3">
        <f>AX226</f>
        <v>200.687</v>
      </c>
      <c r="AZ226" s="3">
        <f>AY226</f>
        <v>200.687</v>
      </c>
      <c r="BA226" s="3">
        <f>AZ226</f>
        <v>200.687</v>
      </c>
      <c r="BB226" s="3">
        <f>BA226</f>
        <v>200.687</v>
      </c>
      <c r="BC226" s="3">
        <f>BB226</f>
        <v>200.687</v>
      </c>
      <c r="BD226" s="3">
        <f>BC226</f>
        <v>200.687</v>
      </c>
      <c r="BE226" s="3">
        <f>BD226</f>
        <v>200.687</v>
      </c>
      <c r="BF226" s="3">
        <f>BE226</f>
        <v>200.687</v>
      </c>
      <c r="BG226" s="3">
        <f>BF226</f>
        <v>200.687</v>
      </c>
      <c r="BH226" s="3">
        <f>BG226</f>
        <v>200.687</v>
      </c>
      <c r="BI226" s="3">
        <f>BH226</f>
        <v>200.687</v>
      </c>
      <c r="BJ226" s="3">
        <f>BI226</f>
        <v>200.687</v>
      </c>
      <c r="BK226" s="3">
        <f>BJ226</f>
        <v>200.687</v>
      </c>
      <c r="BL226" s="3">
        <f>BK226</f>
        <v>200.687</v>
      </c>
      <c r="BM226" s="3">
        <f>BL226</f>
        <v>200.687</v>
      </c>
      <c r="BN226" s="3">
        <f>BM226</f>
        <v>200.687</v>
      </c>
      <c r="BO226" s="3">
        <f>BN226</f>
        <v>200.687</v>
      </c>
      <c r="BP226" s="3">
        <f>BO226</f>
        <v>200.687</v>
      </c>
      <c r="BQ226" s="3">
        <f>BP226</f>
        <v>200.687</v>
      </c>
      <c r="BR226" s="3">
        <f>BQ226</f>
        <v>200.687</v>
      </c>
      <c r="BS226" s="3">
        <f>BR226</f>
        <v>200.687</v>
      </c>
      <c r="BT226" s="3">
        <f>BS226</f>
        <v>200.687</v>
      </c>
      <c r="BU226" s="3">
        <f>BT226</f>
        <v>200.687</v>
      </c>
      <c r="BV226" s="3">
        <f>BU226</f>
        <v>200.687</v>
      </c>
      <c r="BW226" s="3">
        <f>BV226</f>
        <v>200.687</v>
      </c>
      <c r="BX226" s="3">
        <f>BW226</f>
        <v>200.687</v>
      </c>
      <c r="BY226" s="3">
        <f>BX226</f>
        <v>200.687</v>
      </c>
      <c r="BZ226" s="3">
        <f>BY226</f>
        <v>200.687</v>
      </c>
      <c r="CA226" s="3">
        <f>BZ226</f>
        <v>200.687</v>
      </c>
      <c r="CB226" s="3">
        <f>CA226</f>
        <v>200.687</v>
      </c>
      <c r="CC226" s="3">
        <f>CB226</f>
        <v>200.687</v>
      </c>
      <c r="CD226" s="3">
        <f>CC226</f>
        <v>200.687</v>
      </c>
      <c r="CE226" s="3">
        <f>CD226</f>
        <v>200.687</v>
      </c>
      <c r="CF226" s="3">
        <f>CE226</f>
        <v>200.687</v>
      </c>
      <c r="CG226" s="3">
        <f>CF226</f>
        <v>200.687</v>
      </c>
      <c r="CH226" s="3">
        <f>CG226</f>
        <v>200.687</v>
      </c>
      <c r="CI226" s="3">
        <f>CH226</f>
        <v>200.687</v>
      </c>
      <c r="CJ226" s="3">
        <f>CI226</f>
        <v>200.687</v>
      </c>
      <c r="CK226" s="3">
        <f>CJ226</f>
        <v>200.687</v>
      </c>
      <c r="CL226" s="3">
        <f>CK226</f>
        <v>200.687</v>
      </c>
      <c r="CM226" s="3">
        <f>CL226</f>
        <v>200.687</v>
      </c>
      <c r="CN226" s="3">
        <f>CM226</f>
        <v>200.687</v>
      </c>
      <c r="CO226" s="3">
        <f>CN226</f>
        <v>200.687</v>
      </c>
      <c r="CP226" s="3">
        <f>CO226</f>
        <v>200.687</v>
      </c>
      <c r="CQ226" s="3">
        <f>CP226</f>
        <v>200.687</v>
      </c>
      <c r="CR226" s="3">
        <f>CQ226</f>
        <v>200.687</v>
      </c>
      <c r="CS226" s="3">
        <f>CR226</f>
        <v>200.687</v>
      </c>
      <c r="CT226" s="3">
        <f>CS226</f>
        <v>200.687</v>
      </c>
      <c r="CU226" s="3">
        <f>CT226</f>
        <v>200.687</v>
      </c>
      <c r="CV226" s="3">
        <f>CU226</f>
        <v>200.687</v>
      </c>
      <c r="CW226" s="3">
        <f>CV226</f>
        <v>200.687</v>
      </c>
      <c r="CX226" s="3">
        <f>CW226</f>
        <v>200.687</v>
      </c>
      <c r="CY226" s="3">
        <f>CX226</f>
        <v>200.687</v>
      </c>
    </row>
    <row r="227" hidden="1" outlineLevel="1">
      <c r="C227" s="38" t="inlineStr">
        <is>
          <t>%(Var.)</t>
        </is>
      </c>
      <c r="D227" s="3" t="n"/>
      <c r="E227" s="47">
        <f>IFERROR((E226-D226)/D226,0)</f>
        <v>-0.0951647971061897</v>
      </c>
      <c r="F227" s="47">
        <f>IFERROR((F226-E226)/E226,0)</f>
        <v>-0.00831437259446697</v>
      </c>
      <c r="G227" s="47">
        <f>IFERROR((G226-F226)/F226,0)</f>
        <v>-0.0512908482717215</v>
      </c>
      <c r="H227" s="3" t="n"/>
      <c r="I227" s="47">
        <f>IFERROR((I226-H226)/H226,0)</f>
        <v>0.401184341379622</v>
      </c>
      <c r="J227" s="47">
        <f>IFERROR((J226-I226)/I226,0)</f>
        <v>0.0916862922218279</v>
      </c>
      <c r="K227" s="47">
        <f>IFERROR((K226-J226)/J226,0)</f>
        <v>0.247288631460741</v>
      </c>
      <c r="L227" s="47">
        <f>IFERROR((L226-K226)/K226,0)</f>
        <v>0.220697988485322</v>
      </c>
      <c r="M227" s="3" t="n"/>
      <c r="N227" s="47">
        <f>IFERROR((N226-M226)/M226,0)</f>
        <v>0.0506870851286829</v>
      </c>
      <c r="O227" s="47">
        <f>IFERROR((O226-N226)/N226,0)</f>
        <v>0.108204716118485</v>
      </c>
      <c r="P227" s="47">
        <f>IFERROR((P226-O226)/O226,0)</f>
        <v>0.123943591538731</v>
      </c>
      <c r="Q227" s="47">
        <f>IFERROR((Q226-P226)/P226,0)</f>
        <v>0.0195175487382558</v>
      </c>
      <c r="R227" s="3" t="n"/>
      <c r="S227" s="47">
        <f>IFERROR((S226-R226)/R226,0)</f>
        <v>-0.0273848056151581</v>
      </c>
      <c r="T227" s="47">
        <f>IFERROR((T226-S226)/S226,0)</f>
        <v>-0.00937780436733466</v>
      </c>
      <c r="U227" s="47">
        <f>IFERROR((U226-T226)/T226,0)</f>
        <v>0.0609892349735025</v>
      </c>
      <c r="V227" s="47">
        <f>IFERROR((V226-U226)/U226,0)</f>
        <v>0.107367746984951</v>
      </c>
      <c r="W227" s="3" t="n"/>
      <c r="X227" s="47">
        <f>IFERROR((X226-W226)/W226,0)</f>
        <v>0.0225656182735246</v>
      </c>
      <c r="Y227" s="47">
        <f>IFERROR((Y226-X226)/X226,0)</f>
        <v>0.0804099354684662</v>
      </c>
      <c r="Z227" s="47">
        <f>IFERROR((Z226-Y226)/Y226,0)</f>
        <v>0.0517086958544644</v>
      </c>
      <c r="AA227" s="47">
        <f>IFERROR((AA226-Z226)/Z226,0)</f>
        <v>-0.0745818010893909</v>
      </c>
      <c r="AB227" s="3" t="n"/>
      <c r="AC227" s="47">
        <f>IFERROR((AC226-AB226)/AB226,0)</f>
        <v>-0.0848172670124532</v>
      </c>
      <c r="AD227" s="47">
        <f>IFERROR((AD226-AC226)/AC226,0)</f>
        <v>0.136555362576231</v>
      </c>
      <c r="AE227" s="47">
        <f>IFERROR((AE226-AD226)/AD226,0)</f>
        <v>0.0397028747386079</v>
      </c>
      <c r="AF227" s="6">
        <f>IFERROR((AF226-AE226)/AE226,0)</f>
        <v>-0.0169135645572139</v>
      </c>
      <c r="AG227" s="3" t="n"/>
      <c r="AH227" s="6">
        <f>IFERROR((AH226-AG226)/AG226,0)</f>
        <v>-0.0043559392529143</v>
      </c>
      <c r="AI227" s="6">
        <f>IFERROR((AI226-AH226)/AH226,0)</f>
        <v>0.132909570234218</v>
      </c>
      <c r="AJ227" s="6" t="n"/>
      <c r="AK227" s="6" t="n"/>
      <c r="AL227" s="3" t="n"/>
      <c r="AM227" s="6" t="n"/>
      <c r="AN227" s="6" t="n"/>
      <c r="AO227" s="6" t="n"/>
      <c r="AP227" s="6" t="n"/>
      <c r="AQ227" s="3" t="n"/>
      <c r="AR227" s="6" t="n"/>
      <c r="AS227" s="6" t="n"/>
      <c r="AT227" s="6" t="n"/>
      <c r="AU227" s="6" t="n"/>
      <c r="AV227" s="3" t="n"/>
      <c r="AW227" s="6" t="n"/>
      <c r="AX227" s="6" t="n"/>
      <c r="AY227" s="6" t="n"/>
      <c r="AZ227" s="6" t="n"/>
      <c r="BA227" s="3" t="n"/>
      <c r="BB227" s="6" t="n"/>
      <c r="BC227" s="6" t="n"/>
      <c r="BD227" s="6" t="n"/>
      <c r="BE227" s="6" t="n"/>
      <c r="BF227" s="3" t="n"/>
      <c r="BG227" s="6" t="n"/>
      <c r="BH227" s="6" t="n"/>
      <c r="BI227" s="6" t="n"/>
      <c r="BJ227" s="6" t="n"/>
      <c r="BK227" s="3" t="n"/>
      <c r="BL227" s="6" t="n"/>
      <c r="BM227" s="6" t="n"/>
      <c r="BN227" s="6" t="n"/>
      <c r="BO227" s="6" t="n"/>
      <c r="BP227" s="3" t="n"/>
      <c r="BQ227" s="6" t="n"/>
      <c r="BR227" s="6" t="n"/>
      <c r="BS227" s="6" t="n"/>
      <c r="BT227" s="6" t="n"/>
      <c r="BU227" s="3" t="n"/>
      <c r="BV227" s="6" t="n"/>
      <c r="BW227" s="6" t="n"/>
      <c r="BX227" s="6" t="n"/>
      <c r="BY227" s="6" t="n"/>
      <c r="BZ227" s="3" t="n"/>
      <c r="CA227" s="6" t="n"/>
      <c r="CB227" s="6" t="n"/>
      <c r="CC227" s="6" t="n"/>
      <c r="CD227" s="6" t="n"/>
      <c r="CE227" s="3" t="n"/>
      <c r="CF227" s="6" t="n"/>
      <c r="CG227" s="6" t="n"/>
      <c r="CH227" s="6" t="n"/>
      <c r="CI227" s="6" t="n"/>
      <c r="CJ227" s="3" t="n"/>
      <c r="CK227" s="6" t="n"/>
      <c r="CL227" s="6" t="n"/>
      <c r="CM227" s="6" t="n"/>
      <c r="CN227" s="6" t="n"/>
      <c r="CO227" s="3" t="n"/>
      <c r="CP227" s="6" t="n"/>
      <c r="CQ227" s="6" t="n"/>
      <c r="CR227" s="6" t="n"/>
      <c r="CS227" s="6" t="n"/>
      <c r="CT227" s="3" t="n"/>
      <c r="CU227" s="6" t="n"/>
      <c r="CV227" s="6" t="n"/>
      <c r="CW227" s="6" t="n"/>
      <c r="CX227" s="6" t="n"/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Long term debt</t>
        </is>
      </c>
      <c r="D229" s="25">
        <f>INDEX('Inputs (2)'!$D$35:$AL$35,MATCH(D$7,'Inputs (2)'!$D$2:$AL$2,0))</f>
        <v>2500.624</v>
      </c>
      <c r="E229" s="25">
        <f>INDEX('Inputs (2)'!$D$35:$AL$35,MATCH(E$7,'Inputs (2)'!$D$2:$AL$2,0))</f>
        <v>2817.292</v>
      </c>
      <c r="F229" s="25">
        <f>INDEX('Inputs (2)'!$D$35:$AL$35,MATCH(F$7,'Inputs (2)'!$D$2:$AL$2,0))</f>
        <v>2908.266</v>
      </c>
      <c r="G229" s="25">
        <f>INDEX('Inputs (2)'!$D$35:$AL$35,MATCH(G$7,'Inputs (2)'!$D$2:$AL$2,0))</f>
        <v>3330.844</v>
      </c>
      <c r="H229" s="3">
        <f>G229</f>
        <v>3330.844</v>
      </c>
      <c r="I229" s="25">
        <f>INDEX('Inputs (2)'!$D$35:$AL$35,MATCH(I$7,'Inputs (2)'!$D$2:$AL$2,0))</f>
        <v>8203.488</v>
      </c>
      <c r="J229" s="25">
        <f>INDEX('Inputs (2)'!$D$35:$AL$35,MATCH(J$7,'Inputs (2)'!$D$2:$AL$2,0))</f>
        <v>8464.418</v>
      </c>
      <c r="K229" s="25">
        <f>INDEX('Inputs (2)'!$D$35:$AL$35,MATCH(K$7,'Inputs (2)'!$D$2:$AL$2,0))</f>
        <v>13131.62</v>
      </c>
      <c r="L229" s="25">
        <f>INDEX('Inputs (2)'!$D$35:$AL$35,MATCH(L$7,'Inputs (2)'!$D$2:$AL$2,0))</f>
        <v>13702.59</v>
      </c>
      <c r="M229" s="3">
        <f>L229</f>
        <v>13702.59</v>
      </c>
      <c r="N229" s="25">
        <f>INDEX('Inputs (2)'!$D$35:$AL$35,MATCH(N$7,'Inputs (2)'!$D$2:$AL$2,0))</f>
        <v>12736.927</v>
      </c>
      <c r="O229" s="25">
        <f>INDEX('Inputs (2)'!$D$35:$AL$35,MATCH(O$7,'Inputs (2)'!$D$2:$AL$2,0))</f>
        <v>14358.853</v>
      </c>
      <c r="P229" s="25">
        <f>INDEX('Inputs (2)'!$D$35:$AL$35,MATCH(P$7,'Inputs (2)'!$D$2:$AL$2,0))</f>
        <v>18023.587</v>
      </c>
      <c r="Q229" s="25">
        <f>INDEX('Inputs (2)'!$D$35:$AL$35,MATCH(Q$7,'Inputs (2)'!$D$2:$AL$2,0))</f>
        <v>15344.591</v>
      </c>
      <c r="R229" s="3">
        <f>Q229</f>
        <v>15344.591</v>
      </c>
      <c r="S229" s="25">
        <f>INDEX('Inputs (2)'!$D$35:$AL$35,MATCH(S$7,'Inputs (2)'!$D$2:$AL$2,0))</f>
        <v>13834.704</v>
      </c>
      <c r="T229" s="25">
        <f>INDEX('Inputs (2)'!$D$35:$AL$35,MATCH(T$7,'Inputs (2)'!$D$2:$AL$2,0))</f>
        <v>12667.831</v>
      </c>
      <c r="U229" s="25">
        <f>INDEX('Inputs (2)'!$D$35:$AL$35,MATCH(U$7,'Inputs (2)'!$D$2:$AL$2,0))</f>
        <v>12513.148</v>
      </c>
      <c r="V229" s="25">
        <f>INDEX('Inputs (2)'!$D$35:$AL$35,MATCH(V$7,'Inputs (2)'!$D$2:$AL$2,0))</f>
        <v>13681.587</v>
      </c>
      <c r="W229" s="3">
        <f>V229</f>
        <v>13681.587</v>
      </c>
      <c r="X229" s="25">
        <f>INDEX('Inputs (2)'!$D$35:$AL$35,MATCH(X$7,'Inputs (2)'!$D$2:$AL$2,0))</f>
        <v>14365.522</v>
      </c>
      <c r="Y229" s="25">
        <f>INDEX('Inputs (2)'!$D$35:$AL$35,MATCH(Y$7,'Inputs (2)'!$D$2:$AL$2,0))</f>
        <v>16265.642</v>
      </c>
      <c r="Z229" s="25">
        <f>INDEX('Inputs (2)'!$D$35:$AL$35,MATCH(Z$7,'Inputs (2)'!$D$2:$AL$2,0))</f>
        <v>16720.378</v>
      </c>
      <c r="AA229" s="25">
        <f>INDEX('Inputs (2)'!$D$35:$AL$35,MATCH(AA$7,'Inputs (2)'!$D$2:$AL$2,0))</f>
        <v>17700.013</v>
      </c>
      <c r="AB229" s="3">
        <f>AA229</f>
        <v>17700.013</v>
      </c>
      <c r="AC229" s="25">
        <f>INDEX('Inputs (2)'!$D$35:$AL$35,MATCH(AC$7,'Inputs (2)'!$D$2:$AL$2,0))</f>
        <v>16803.695</v>
      </c>
      <c r="AD229" s="25">
        <f>INDEX('Inputs (2)'!$D$35:$AL$35,MATCH(AD$7,'Inputs (2)'!$D$2:$AL$2,0))</f>
        <v>15607.835</v>
      </c>
      <c r="AE229" s="25">
        <f>INDEX('Inputs (2)'!$D$35:$AL$35,MATCH(AE$7,'Inputs (2)'!$D$2:$AL$2,0))</f>
        <v>14401.086</v>
      </c>
      <c r="AF229" s="25">
        <f>INDEX('Inputs (2)'!$D$35:$AL$35,MATCH(AF$7,'Inputs (2)'!$D$2:$AL$2,0))</f>
        <v>17095.632</v>
      </c>
      <c r="AG229" s="3">
        <f>AF229</f>
        <v>17095.632</v>
      </c>
      <c r="AH229" s="3">
        <f>INDEX('Inputs (2)'!$D$35:$AL$35,MATCH(AH$7,'Inputs (2)'!$D$2:$AL$2,0))</f>
        <v>19728.73</v>
      </c>
      <c r="AI229" s="3">
        <f>INDEX('Inputs (2)'!$D$35:$AL$35,MATCH(AI$7,'Inputs (2)'!$D$2:$AL$2,0))</f>
        <v>20325.969</v>
      </c>
      <c r="AJ229" s="3">
        <f>AJ235</f>
        <v>20325.969</v>
      </c>
      <c r="AK229" s="3">
        <f>AK235</f>
        <v>20325.969</v>
      </c>
      <c r="AL229" s="3">
        <f>AK229</f>
        <v>20325.969</v>
      </c>
      <c r="AM229" s="3">
        <f>AM235</f>
        <v>20325.969</v>
      </c>
      <c r="AN229" s="3">
        <f>AN235</f>
        <v>20325.969</v>
      </c>
      <c r="AO229" s="3">
        <f>AO235</f>
        <v>20325.969</v>
      </c>
      <c r="AP229" s="3">
        <f>AP235</f>
        <v>20325.969</v>
      </c>
      <c r="AQ229" s="3">
        <f>AP229</f>
        <v>20325.969</v>
      </c>
      <c r="AR229" s="3">
        <f>AR235</f>
        <v>20325.969</v>
      </c>
      <c r="AS229" s="3">
        <f>AS235</f>
        <v>20325.969</v>
      </c>
      <c r="AT229" s="3">
        <f>AT235</f>
        <v>20325.969</v>
      </c>
      <c r="AU229" s="3">
        <f>AU235</f>
        <v>20325.969</v>
      </c>
      <c r="AV229" s="3">
        <f>AU229</f>
        <v>20325.969</v>
      </c>
      <c r="AW229" s="3">
        <f>AW235</f>
        <v>20325.969</v>
      </c>
      <c r="AX229" s="3">
        <f>AX235</f>
        <v>20325.969</v>
      </c>
      <c r="AY229" s="3">
        <f>AY235</f>
        <v>20325.969</v>
      </c>
      <c r="AZ229" s="3">
        <f>AZ235</f>
        <v>20325.969</v>
      </c>
      <c r="BA229" s="3">
        <f>AZ229</f>
        <v>20325.969</v>
      </c>
      <c r="BB229" s="3">
        <f>BB235</f>
        <v>20325.969</v>
      </c>
      <c r="BC229" s="3">
        <f>BC235</f>
        <v>20325.969</v>
      </c>
      <c r="BD229" s="3">
        <f>BD235</f>
        <v>20325.969</v>
      </c>
      <c r="BE229" s="3">
        <f>BE235</f>
        <v>20325.969</v>
      </c>
      <c r="BF229" s="3">
        <f>BE229</f>
        <v>20325.969</v>
      </c>
      <c r="BG229" s="3">
        <f>BG235</f>
        <v>20325.969</v>
      </c>
      <c r="BH229" s="3">
        <f>BH235</f>
        <v>20325.969</v>
      </c>
      <c r="BI229" s="3">
        <f>BI235</f>
        <v>20325.969</v>
      </c>
      <c r="BJ229" s="3">
        <f>BJ235</f>
        <v>20325.969</v>
      </c>
      <c r="BK229" s="3">
        <f>BJ229</f>
        <v>20325.969</v>
      </c>
      <c r="BL229" s="3">
        <f>BL235</f>
        <v>20325.969</v>
      </c>
      <c r="BM229" s="3">
        <f>BM235</f>
        <v>20325.969</v>
      </c>
      <c r="BN229" s="3">
        <f>BN235</f>
        <v>20325.969</v>
      </c>
      <c r="BO229" s="3">
        <f>BO235</f>
        <v>20325.969</v>
      </c>
      <c r="BP229" s="3">
        <f>BO229</f>
        <v>20325.969</v>
      </c>
      <c r="BQ229" s="3">
        <f>BQ235</f>
        <v>20325.969</v>
      </c>
      <c r="BR229" s="3">
        <f>BR235</f>
        <v>20325.969</v>
      </c>
      <c r="BS229" s="3">
        <f>BS235</f>
        <v>20325.969</v>
      </c>
      <c r="BT229" s="3">
        <f>BT235</f>
        <v>20325.969</v>
      </c>
      <c r="BU229" s="3">
        <f>BT229</f>
        <v>20325.969</v>
      </c>
      <c r="BV229" s="3">
        <f>BV235</f>
        <v>20325.969</v>
      </c>
      <c r="BW229" s="3">
        <f>BW235</f>
        <v>20325.969</v>
      </c>
      <c r="BX229" s="3">
        <f>BX235</f>
        <v>20325.969</v>
      </c>
      <c r="BY229" s="3">
        <f>BY235</f>
        <v>20325.969</v>
      </c>
      <c r="BZ229" s="3">
        <f>BY229</f>
        <v>20325.969</v>
      </c>
      <c r="CA229" s="3">
        <f>CA235</f>
        <v>20325.969</v>
      </c>
      <c r="CB229" s="3">
        <f>CB235</f>
        <v>20325.969</v>
      </c>
      <c r="CC229" s="3">
        <f>CC235</f>
        <v>20325.969</v>
      </c>
      <c r="CD229" s="3">
        <f>CD235</f>
        <v>20325.969</v>
      </c>
      <c r="CE229" s="3">
        <f>CD229</f>
        <v>20325.969</v>
      </c>
      <c r="CF229" s="3">
        <f>CF235</f>
        <v>20325.969</v>
      </c>
      <c r="CG229" s="3">
        <f>CG235</f>
        <v>20325.969</v>
      </c>
      <c r="CH229" s="3">
        <f>CH235</f>
        <v>20325.969</v>
      </c>
      <c r="CI229" s="3">
        <f>CI235</f>
        <v>20325.969</v>
      </c>
      <c r="CJ229" s="3">
        <f>CI229</f>
        <v>20325.969</v>
      </c>
      <c r="CK229" s="3">
        <f>CK235</f>
        <v>20325.969</v>
      </c>
      <c r="CL229" s="3">
        <f>CL235</f>
        <v>20325.969</v>
      </c>
      <c r="CM229" s="3">
        <f>CM235</f>
        <v>20325.969</v>
      </c>
      <c r="CN229" s="3">
        <f>CN235</f>
        <v>20325.969</v>
      </c>
      <c r="CO229" s="3">
        <f>CN229</f>
        <v>20325.969</v>
      </c>
      <c r="CP229" s="3">
        <f>CP235</f>
        <v>20325.969</v>
      </c>
      <c r="CQ229" s="3">
        <f>CQ235</f>
        <v>20325.969</v>
      </c>
      <c r="CR229" s="3">
        <f>CR235</f>
        <v>20325.969</v>
      </c>
      <c r="CS229" s="3">
        <f>CS235</f>
        <v>20325.969</v>
      </c>
      <c r="CT229" s="3">
        <f>CS229</f>
        <v>20325.969</v>
      </c>
      <c r="CU229" s="3">
        <f>CU235</f>
        <v>20325.969</v>
      </c>
      <c r="CV229" s="3">
        <f>CV235</f>
        <v>20325.969</v>
      </c>
      <c r="CW229" s="3">
        <f>CW235</f>
        <v>20325.969</v>
      </c>
      <c r="CX229" s="3">
        <f>CX235</f>
        <v>20325.969</v>
      </c>
      <c r="CY229" s="3">
        <f>CX229</f>
        <v>20325.969</v>
      </c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Current portion of LTD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>
        <f>AF224</f>
        <v>4142.338</v>
      </c>
      <c r="AI231" s="35" t="n"/>
      <c r="AJ231" s="35" t="n"/>
      <c r="AK231" s="35" t="n"/>
      <c r="AL231" s="3" t="n"/>
      <c r="AM231" s="3">
        <f>AK224</f>
        <v>2782.282</v>
      </c>
      <c r="AN231" s="35" t="n"/>
      <c r="AO231" s="35" t="n"/>
      <c r="AP231" s="35" t="n"/>
      <c r="AQ231" s="3" t="n"/>
      <c r="AR231" s="3">
        <f>AP224</f>
        <v>2782.282</v>
      </c>
      <c r="AS231" s="35" t="n"/>
      <c r="AT231" s="35" t="n"/>
      <c r="AU231" s="35" t="n"/>
      <c r="AV231" s="3" t="n"/>
      <c r="AW231" s="3">
        <f>AU224</f>
        <v>2782.282</v>
      </c>
      <c r="AX231" s="35" t="n"/>
      <c r="AY231" s="35" t="n"/>
      <c r="AZ231" s="35" t="n"/>
      <c r="BA231" s="3" t="n"/>
      <c r="BB231" s="3">
        <f>AZ224</f>
        <v>2782.282</v>
      </c>
      <c r="BC231" s="35" t="n"/>
      <c r="BD231" s="35" t="n"/>
      <c r="BE231" s="35" t="n"/>
      <c r="BF231" s="3" t="n"/>
      <c r="BG231" s="3">
        <f>BE224</f>
        <v>2782.282</v>
      </c>
      <c r="BH231" s="35" t="n"/>
      <c r="BI231" s="35" t="n"/>
      <c r="BJ231" s="35" t="n"/>
      <c r="BK231" s="3" t="n"/>
      <c r="BL231" s="3">
        <f>BJ224</f>
        <v>2782.282</v>
      </c>
      <c r="BM231" s="35" t="n"/>
      <c r="BN231" s="35" t="n"/>
      <c r="BO231" s="35" t="n"/>
      <c r="BP231" s="3" t="n"/>
      <c r="BQ231" s="3">
        <f>BO224</f>
        <v>2782.282</v>
      </c>
      <c r="BR231" s="35" t="n"/>
      <c r="BS231" s="35" t="n"/>
      <c r="BT231" s="35" t="n"/>
      <c r="BU231" s="3" t="n"/>
      <c r="BV231" s="3">
        <f>BT224</f>
        <v>2782.282</v>
      </c>
      <c r="BW231" s="35" t="n"/>
      <c r="BX231" s="35" t="n"/>
      <c r="BY231" s="35" t="n"/>
      <c r="BZ231" s="3" t="n"/>
      <c r="CA231" s="3">
        <f>BY224</f>
        <v>2782.282</v>
      </c>
      <c r="CB231" s="35" t="n"/>
      <c r="CC231" s="35" t="n"/>
      <c r="CD231" s="35" t="n"/>
      <c r="CE231" s="3" t="n"/>
      <c r="CF231" s="3">
        <f>CD224</f>
        <v>2782.282</v>
      </c>
      <c r="CG231" s="35" t="n"/>
      <c r="CH231" s="35" t="n"/>
      <c r="CI231" s="35" t="n"/>
      <c r="CJ231" s="3" t="n"/>
      <c r="CK231" s="3">
        <f>CI224</f>
        <v>2782.282</v>
      </c>
      <c r="CL231" s="35" t="n"/>
      <c r="CM231" s="35" t="n"/>
      <c r="CN231" s="35" t="n"/>
      <c r="CO231" s="3" t="n"/>
      <c r="CP231" s="3">
        <f>CN224</f>
        <v>2782.282</v>
      </c>
      <c r="CQ231" s="35" t="n"/>
      <c r="CR231" s="35" t="n"/>
      <c r="CS231" s="35" t="n"/>
      <c r="CT231" s="3" t="n"/>
      <c r="CU231" s="3">
        <f>CS224</f>
        <v>2782.282</v>
      </c>
      <c r="CV231" s="35" t="n"/>
      <c r="CW231" s="35" t="n"/>
      <c r="CX231" s="35" t="n"/>
      <c r="CY231" s="3" t="n"/>
    </row>
    <row r="232" hidden="1" outlineLevel="1">
      <c r="C232" s="34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n"/>
      <c r="BE232" s="3" t="n"/>
      <c r="BF232" s="3" t="n"/>
      <c r="BG232" s="3" t="n"/>
      <c r="BH232" s="3" t="n"/>
      <c r="BI232" s="3" t="n"/>
      <c r="BJ232" s="3" t="n"/>
      <c r="BK232" s="3" t="n"/>
      <c r="BL232" s="3" t="n"/>
      <c r="BM232" s="3" t="n"/>
      <c r="BN232" s="3" t="n"/>
      <c r="BO232" s="3" t="n"/>
      <c r="BP232" s="3" t="n"/>
      <c r="BQ232" s="3" t="n"/>
      <c r="BR232" s="3" t="n"/>
      <c r="BS232" s="3" t="n"/>
      <c r="BT232" s="3" t="n"/>
      <c r="BU232" s="3" t="n"/>
      <c r="BV232" s="3" t="n"/>
      <c r="BW232" s="3" t="n"/>
      <c r="BX232" s="3" t="n"/>
      <c r="BY232" s="3" t="n"/>
      <c r="BZ232" s="3" t="n"/>
      <c r="CA232" s="3" t="n"/>
      <c r="CB232" s="3" t="n"/>
      <c r="CC232" s="3" t="n"/>
      <c r="CD232" s="3" t="n"/>
      <c r="CE232" s="3" t="n"/>
      <c r="CF232" s="3" t="n"/>
      <c r="CG232" s="3" t="n"/>
      <c r="CH232" s="3" t="n"/>
      <c r="CI232" s="3" t="n"/>
      <c r="CJ232" s="3" t="n"/>
      <c r="CK232" s="3" t="n"/>
      <c r="CL232" s="3" t="n"/>
      <c r="CM232" s="3" t="n"/>
      <c r="CN232" s="3" t="n"/>
      <c r="CO232" s="3" t="n"/>
      <c r="CP232" s="3" t="n"/>
      <c r="CQ232" s="3" t="n"/>
      <c r="CR232" s="3" t="n"/>
      <c r="CS232" s="3" t="n"/>
      <c r="CT232" s="3" t="n"/>
      <c r="CU232" s="3" t="n"/>
      <c r="CV232" s="3" t="n"/>
      <c r="CW232" s="3" t="n"/>
      <c r="CX232" s="3" t="n"/>
      <c r="CY232" s="3" t="n"/>
    </row>
    <row r="233" hidden="1" outlineLevel="1">
      <c r="C233" s="34" t="inlineStr">
        <is>
          <t>Reclassification of LTD to CP of LTD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>
        <f>-AI231</f>
        <v>0</v>
      </c>
      <c r="AJ233" s="3">
        <f>-AJ231</f>
        <v>0</v>
      </c>
      <c r="AK233" s="3">
        <f>-AK231</f>
        <v>0</v>
      </c>
      <c r="AL233" s="3" t="n"/>
      <c r="AM233" s="3" t="n"/>
      <c r="AN233" s="3">
        <f>-AN231</f>
        <v>0</v>
      </c>
      <c r="AO233" s="3">
        <f>-AO231</f>
        <v>0</v>
      </c>
      <c r="AP233" s="3">
        <f>-AP231</f>
        <v>0</v>
      </c>
      <c r="AQ233" s="3" t="n"/>
      <c r="AR233" s="3" t="n"/>
      <c r="AS233" s="3">
        <f>-AS231</f>
        <v>0</v>
      </c>
      <c r="AT233" s="3">
        <f>-AT231</f>
        <v>0</v>
      </c>
      <c r="AU233" s="3">
        <f>-AU231</f>
        <v>0</v>
      </c>
      <c r="AV233" s="3" t="n"/>
      <c r="AW233" s="3" t="n"/>
      <c r="AX233" s="3">
        <f>-AX231</f>
        <v>0</v>
      </c>
      <c r="AY233" s="3">
        <f>-AY231</f>
        <v>0</v>
      </c>
      <c r="AZ233" s="3">
        <f>-AZ231</f>
        <v>0</v>
      </c>
      <c r="BA233" s="3" t="n"/>
      <c r="BB233" s="3" t="n"/>
      <c r="BC233" s="3">
        <f>-BC231</f>
        <v>0</v>
      </c>
      <c r="BD233" s="3">
        <f>-BD231</f>
        <v>0</v>
      </c>
      <c r="BE233" s="3">
        <f>-BE231</f>
        <v>0</v>
      </c>
      <c r="BF233" s="3" t="n"/>
      <c r="BG233" s="3" t="n"/>
      <c r="BH233" s="3">
        <f>-BH231</f>
        <v>0</v>
      </c>
      <c r="BI233" s="3">
        <f>-BI231</f>
        <v>0</v>
      </c>
      <c r="BJ233" s="3">
        <f>-BJ231</f>
        <v>0</v>
      </c>
      <c r="BK233" s="3" t="n"/>
      <c r="BL233" s="3" t="n"/>
      <c r="BM233" s="3">
        <f>-BM231</f>
        <v>0</v>
      </c>
      <c r="BN233" s="3">
        <f>-BN231</f>
        <v>0</v>
      </c>
      <c r="BO233" s="3">
        <f>-BO231</f>
        <v>0</v>
      </c>
      <c r="BP233" s="3" t="n"/>
      <c r="BQ233" s="3" t="n"/>
      <c r="BR233" s="3">
        <f>-BR231</f>
        <v>0</v>
      </c>
      <c r="BS233" s="3">
        <f>-BS231</f>
        <v>0</v>
      </c>
      <c r="BT233" s="3">
        <f>-BT231</f>
        <v>0</v>
      </c>
      <c r="BU233" s="3" t="n"/>
      <c r="BV233" s="3" t="n"/>
      <c r="BW233" s="3">
        <f>-BW231</f>
        <v>0</v>
      </c>
      <c r="BX233" s="3">
        <f>-BX231</f>
        <v>0</v>
      </c>
      <c r="BY233" s="3">
        <f>-BY231</f>
        <v>0</v>
      </c>
      <c r="BZ233" s="3" t="n"/>
      <c r="CA233" s="3" t="n"/>
      <c r="CB233" s="3">
        <f>-CB231</f>
        <v>0</v>
      </c>
      <c r="CC233" s="3">
        <f>-CC231</f>
        <v>0</v>
      </c>
      <c r="CD233" s="3">
        <f>-CD231</f>
        <v>0</v>
      </c>
      <c r="CE233" s="3" t="n"/>
      <c r="CF233" s="3" t="n"/>
      <c r="CG233" s="3">
        <f>-CG231</f>
        <v>0</v>
      </c>
      <c r="CH233" s="3">
        <f>-CH231</f>
        <v>0</v>
      </c>
      <c r="CI233" s="3">
        <f>-CI231</f>
        <v>0</v>
      </c>
      <c r="CJ233" s="3" t="n"/>
      <c r="CK233" s="3" t="n"/>
      <c r="CL233" s="3">
        <f>-CL231</f>
        <v>0</v>
      </c>
      <c r="CM233" s="3">
        <f>-CM231</f>
        <v>0</v>
      </c>
      <c r="CN233" s="3">
        <f>-CN231</f>
        <v>0</v>
      </c>
      <c r="CO233" s="3" t="n"/>
      <c r="CP233" s="3" t="n"/>
      <c r="CQ233" s="3">
        <f>-CQ231</f>
        <v>0</v>
      </c>
      <c r="CR233" s="3">
        <f>-CR231</f>
        <v>0</v>
      </c>
      <c r="CS233" s="3">
        <f>-CS231</f>
        <v>0</v>
      </c>
      <c r="CT233" s="3" t="n"/>
      <c r="CU233" s="3" t="n"/>
      <c r="CV233" s="3">
        <f>-CV231</f>
        <v>0</v>
      </c>
      <c r="CW233" s="3">
        <f>-CW231</f>
        <v>0</v>
      </c>
      <c r="CX233" s="3">
        <f>-CX231</f>
        <v>0</v>
      </c>
      <c r="CY233" s="3" t="n"/>
    </row>
    <row r="234" hidden="1" outlineLevel="1">
      <c r="C234" s="34" t="inlineStr">
        <is>
          <t>Discretionary (paydown)/borrowing of long term debt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5" t="n"/>
      <c r="AI234" s="35" t="n"/>
      <c r="AJ234" s="35" t="n"/>
      <c r="AK234" s="35" t="n"/>
      <c r="AL234" s="3" t="n"/>
      <c r="AM234" s="35" t="n"/>
      <c r="AN234" s="35" t="n"/>
      <c r="AO234" s="35" t="n"/>
      <c r="AP234" s="35" t="n"/>
      <c r="AQ234" s="3" t="n"/>
      <c r="AR234" s="35" t="n"/>
      <c r="AS234" s="35" t="n"/>
      <c r="AT234" s="35" t="n"/>
      <c r="AU234" s="35" t="n"/>
      <c r="AV234" s="3" t="n"/>
      <c r="AW234" s="35" t="n"/>
      <c r="AX234" s="35" t="n"/>
      <c r="AY234" s="35" t="n"/>
      <c r="AZ234" s="35" t="n"/>
      <c r="BA234" s="3" t="n"/>
      <c r="BB234" s="35" t="n"/>
      <c r="BC234" s="35" t="n"/>
      <c r="BD234" s="35" t="n"/>
      <c r="BE234" s="35" t="n"/>
      <c r="BF234" s="3" t="n"/>
      <c r="BG234" s="35" t="n"/>
      <c r="BH234" s="35" t="n"/>
      <c r="BI234" s="35" t="n"/>
      <c r="BJ234" s="35" t="n"/>
      <c r="BK234" s="3" t="n"/>
      <c r="BL234" s="35" t="n"/>
      <c r="BM234" s="35" t="n"/>
      <c r="BN234" s="35" t="n"/>
      <c r="BO234" s="35" t="n"/>
      <c r="BP234" s="3" t="n"/>
      <c r="BQ234" s="35" t="n"/>
      <c r="BR234" s="35" t="n"/>
      <c r="BS234" s="35" t="n"/>
      <c r="BT234" s="35" t="n"/>
      <c r="BU234" s="3" t="n"/>
      <c r="BV234" s="35" t="n"/>
      <c r="BW234" s="35" t="n"/>
      <c r="BX234" s="35" t="n"/>
      <c r="BY234" s="35" t="n"/>
      <c r="BZ234" s="3" t="n"/>
      <c r="CA234" s="35" t="n"/>
      <c r="CB234" s="35" t="n"/>
      <c r="CC234" s="35" t="n"/>
      <c r="CD234" s="35" t="n"/>
      <c r="CE234" s="3" t="n"/>
      <c r="CF234" s="35" t="n"/>
      <c r="CG234" s="35" t="n"/>
      <c r="CH234" s="35" t="n"/>
      <c r="CI234" s="35" t="n"/>
      <c r="CJ234" s="3" t="n"/>
      <c r="CK234" s="35" t="n"/>
      <c r="CL234" s="35" t="n"/>
      <c r="CM234" s="35" t="n"/>
      <c r="CN234" s="35" t="n"/>
      <c r="CO234" s="3" t="n"/>
      <c r="CP234" s="35" t="n"/>
      <c r="CQ234" s="35" t="n"/>
      <c r="CR234" s="35" t="n"/>
      <c r="CS234" s="35" t="n"/>
      <c r="CT234" s="3" t="n"/>
      <c r="CU234" s="35" t="n"/>
      <c r="CV234" s="35" t="n"/>
      <c r="CW234" s="35" t="n"/>
      <c r="CX234" s="35" t="n"/>
      <c r="CY234" s="3" t="n"/>
    </row>
    <row r="235" hidden="1" outlineLevel="1">
      <c r="C235" s="34" t="inlineStr">
        <is>
          <t>Long term debt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>
        <f>AF229+SUM(AH233:AH234)</f>
        <v>17095.632</v>
      </c>
      <c r="AI235" s="3">
        <f>AH235+SUM(AI233:AI234)</f>
        <v>17095.632</v>
      </c>
      <c r="AJ235" s="3">
        <f>AI229+SUM(AJ233:AJ234)</f>
        <v>20325.969</v>
      </c>
      <c r="AK235" s="3">
        <f>AJ235+SUM(AK233:AK234)</f>
        <v>20325.969</v>
      </c>
      <c r="AL235" s="3" t="n"/>
      <c r="AM235" s="3">
        <f>AK235+SUM(AM233:AM234)</f>
        <v>20325.969</v>
      </c>
      <c r="AN235" s="3">
        <f>AM235+SUM(AN233:AN234)</f>
        <v>20325.969</v>
      </c>
      <c r="AO235" s="3">
        <f>AN235+SUM(AO233:AO234)</f>
        <v>20325.969</v>
      </c>
      <c r="AP235" s="3">
        <f>AO235+SUM(AP233:AP234)</f>
        <v>20325.969</v>
      </c>
      <c r="AQ235" s="3" t="n"/>
      <c r="AR235" s="3">
        <f>AP235+SUM(AR233:AR234)</f>
        <v>20325.969</v>
      </c>
      <c r="AS235" s="3">
        <f>AR235+SUM(AS233:AS234)</f>
        <v>20325.969</v>
      </c>
      <c r="AT235" s="3">
        <f>AS235+SUM(AT233:AT234)</f>
        <v>20325.969</v>
      </c>
      <c r="AU235" s="3">
        <f>AT235+SUM(AU233:AU234)</f>
        <v>20325.969</v>
      </c>
      <c r="AV235" s="3" t="n"/>
      <c r="AW235" s="3">
        <f>AU235+SUM(AW233:AW234)</f>
        <v>20325.969</v>
      </c>
      <c r="AX235" s="3">
        <f>AW235+SUM(AX233:AX234)</f>
        <v>20325.969</v>
      </c>
      <c r="AY235" s="3">
        <f>AX235+SUM(AY233:AY234)</f>
        <v>20325.969</v>
      </c>
      <c r="AZ235" s="3">
        <f>AY235+SUM(AZ233:AZ234)</f>
        <v>20325.969</v>
      </c>
      <c r="BA235" s="3" t="n"/>
      <c r="BB235" s="3">
        <f>AZ235+SUM(BB233:BB234)</f>
        <v>20325.969</v>
      </c>
      <c r="BC235" s="3">
        <f>BB235+SUM(BC233:BC234)</f>
        <v>20325.969</v>
      </c>
      <c r="BD235" s="3">
        <f>BC235+SUM(BD233:BD234)</f>
        <v>20325.969</v>
      </c>
      <c r="BE235" s="3">
        <f>BD235+SUM(BE233:BE234)</f>
        <v>20325.969</v>
      </c>
      <c r="BF235" s="3" t="n"/>
      <c r="BG235" s="3">
        <f>BE235+SUM(BG233:BG234)</f>
        <v>20325.969</v>
      </c>
      <c r="BH235" s="3">
        <f>BG235+SUM(BH233:BH234)</f>
        <v>20325.969</v>
      </c>
      <c r="BI235" s="3">
        <f>BH235+SUM(BI233:BI234)</f>
        <v>20325.969</v>
      </c>
      <c r="BJ235" s="3">
        <f>BI235+SUM(BJ233:BJ234)</f>
        <v>20325.969</v>
      </c>
      <c r="BK235" s="3" t="n"/>
      <c r="BL235" s="3">
        <f>BJ235+SUM(BL233:BL234)</f>
        <v>20325.969</v>
      </c>
      <c r="BM235" s="3">
        <f>BL235+SUM(BM233:BM234)</f>
        <v>20325.969</v>
      </c>
      <c r="BN235" s="3">
        <f>BM235+SUM(BN233:BN234)</f>
        <v>20325.969</v>
      </c>
      <c r="BO235" s="3">
        <f>BN235+SUM(BO233:BO234)</f>
        <v>20325.969</v>
      </c>
      <c r="BP235" s="3" t="n"/>
      <c r="BQ235" s="3">
        <f>BO235+SUM(BQ233:BQ234)</f>
        <v>20325.969</v>
      </c>
      <c r="BR235" s="3">
        <f>BQ235+SUM(BR233:BR234)</f>
        <v>20325.969</v>
      </c>
      <c r="BS235" s="3">
        <f>BR235+SUM(BS233:BS234)</f>
        <v>20325.969</v>
      </c>
      <c r="BT235" s="3">
        <f>BS235+SUM(BT233:BT234)</f>
        <v>20325.969</v>
      </c>
      <c r="BU235" s="3" t="n"/>
      <c r="BV235" s="3">
        <f>BT235+SUM(BV233:BV234)</f>
        <v>20325.969</v>
      </c>
      <c r="BW235" s="3">
        <f>BV235+SUM(BW233:BW234)</f>
        <v>20325.969</v>
      </c>
      <c r="BX235" s="3">
        <f>BW235+SUM(BX233:BX234)</f>
        <v>20325.969</v>
      </c>
      <c r="BY235" s="3">
        <f>BX235+SUM(BY233:BY234)</f>
        <v>20325.969</v>
      </c>
      <c r="BZ235" s="3" t="n"/>
      <c r="CA235" s="3">
        <f>BY235+SUM(CA233:CA234)</f>
        <v>20325.969</v>
      </c>
      <c r="CB235" s="3">
        <f>CA235+SUM(CB233:CB234)</f>
        <v>20325.969</v>
      </c>
      <c r="CC235" s="3">
        <f>CB235+SUM(CC233:CC234)</f>
        <v>20325.969</v>
      </c>
      <c r="CD235" s="3">
        <f>CC235+SUM(CD233:CD234)</f>
        <v>20325.969</v>
      </c>
      <c r="CE235" s="3" t="n"/>
      <c r="CF235" s="3">
        <f>CD235+SUM(CF233:CF234)</f>
        <v>20325.969</v>
      </c>
      <c r="CG235" s="3">
        <f>CF235+SUM(CG233:CG234)</f>
        <v>20325.969</v>
      </c>
      <c r="CH235" s="3">
        <f>CG235+SUM(CH233:CH234)</f>
        <v>20325.969</v>
      </c>
      <c r="CI235" s="3">
        <f>CH235+SUM(CI233:CI234)</f>
        <v>20325.969</v>
      </c>
      <c r="CJ235" s="3" t="n"/>
      <c r="CK235" s="3">
        <f>CI235+SUM(CK233:CK234)</f>
        <v>20325.969</v>
      </c>
      <c r="CL235" s="3">
        <f>CK235+SUM(CL233:CL234)</f>
        <v>20325.969</v>
      </c>
      <c r="CM235" s="3">
        <f>CL235+SUM(CM233:CM234)</f>
        <v>20325.969</v>
      </c>
      <c r="CN235" s="3">
        <f>CM235+SUM(CN233:CN234)</f>
        <v>20325.969</v>
      </c>
      <c r="CO235" s="3" t="n"/>
      <c r="CP235" s="3">
        <f>CN235+SUM(CP233:CP234)</f>
        <v>20325.969</v>
      </c>
      <c r="CQ235" s="3">
        <f>CP235+SUM(CQ233:CQ234)</f>
        <v>20325.969</v>
      </c>
      <c r="CR235" s="3">
        <f>CQ235+SUM(CR233:CR234)</f>
        <v>20325.969</v>
      </c>
      <c r="CS235" s="3">
        <f>CR235+SUM(CS233:CS234)</f>
        <v>20325.969</v>
      </c>
      <c r="CT235" s="3" t="n"/>
      <c r="CU235" s="3">
        <f>CS235+SUM(CU233:CU234)</f>
        <v>20325.969</v>
      </c>
      <c r="CV235" s="3">
        <f>CU235+SUM(CV233:CV234)</f>
        <v>20325.969</v>
      </c>
      <c r="CW235" s="3">
        <f>CV235+SUM(CW233:CW234)</f>
        <v>20325.969</v>
      </c>
      <c r="CX235" s="3">
        <f>CW235+SUM(CX233:CX234)</f>
        <v>20325.969</v>
      </c>
      <c r="CY235" s="3" t="n"/>
      <c r="CZ235">
        <f>CX235+SUM(CZ233:CZ234)</f>
        <v>20325.969</v>
      </c>
      <c r="DA235">
        <f>CZ235+SUM(DA233:DA234)</f>
        <v>20325.969</v>
      </c>
      <c r="DB235">
        <f>DA235+SUM(DB233:DB234)</f>
        <v>20325.969</v>
      </c>
      <c r="DC235">
        <f>DB235+SUM(DC233:DC234)</f>
        <v>20325.969</v>
      </c>
    </row>
    <row r="236" hidden="1" outlineLevel="1">
      <c r="C236" s="34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inlineStr">
        <is>
          <t>Discretionary (paydown)/borrowing of convertible debt</t>
        </is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5" t="n"/>
      <c r="AI237" s="35" t="n"/>
      <c r="AJ237" s="35" t="n"/>
      <c r="AK237" s="35" t="n"/>
      <c r="AL237" s="3" t="n"/>
      <c r="AM237" s="35" t="n"/>
      <c r="AN237" s="35" t="n"/>
      <c r="AO237" s="35" t="n"/>
      <c r="AP237" s="35" t="n"/>
      <c r="AQ237" s="3" t="n"/>
      <c r="AR237" s="35" t="n"/>
      <c r="AS237" s="35" t="n"/>
      <c r="AT237" s="35" t="n"/>
      <c r="AU237" s="35" t="n"/>
      <c r="AV237" s="3" t="n"/>
      <c r="AW237" s="35" t="n"/>
      <c r="AX237" s="35" t="n"/>
      <c r="AY237" s="35" t="n"/>
      <c r="AZ237" s="35" t="n"/>
      <c r="BA237" s="3" t="n"/>
      <c r="BB237" s="35" t="n"/>
      <c r="BC237" s="35" t="n"/>
      <c r="BD237" s="35" t="n"/>
      <c r="BE237" s="35" t="n"/>
      <c r="BF237" s="3" t="n"/>
      <c r="BG237" s="35" t="n"/>
      <c r="BH237" s="35" t="n"/>
      <c r="BI237" s="35" t="n"/>
      <c r="BJ237" s="35" t="n"/>
      <c r="BK237" s="3" t="n"/>
      <c r="BL237" s="35" t="n"/>
      <c r="BM237" s="35" t="n"/>
      <c r="BN237" s="35" t="n"/>
      <c r="BO237" s="35" t="n"/>
      <c r="BP237" s="3" t="n"/>
      <c r="BQ237" s="35" t="n"/>
      <c r="BR237" s="35" t="n"/>
      <c r="BS237" s="35" t="n"/>
      <c r="BT237" s="35" t="n"/>
      <c r="BU237" s="3" t="n"/>
      <c r="BV237" s="35" t="n"/>
      <c r="BW237" s="35" t="n"/>
      <c r="BX237" s="35" t="n"/>
      <c r="BY237" s="35" t="n"/>
      <c r="BZ237" s="3" t="n"/>
      <c r="CA237" s="35" t="n"/>
      <c r="CB237" s="35" t="n"/>
      <c r="CC237" s="35" t="n"/>
      <c r="CD237" s="35" t="n"/>
      <c r="CE237" s="3" t="n"/>
      <c r="CF237" s="35" t="n"/>
      <c r="CG237" s="35" t="n"/>
      <c r="CH237" s="35" t="n"/>
      <c r="CI237" s="35" t="n"/>
      <c r="CJ237" s="3" t="n"/>
      <c r="CK237" s="35" t="n"/>
      <c r="CL237" s="35" t="n"/>
      <c r="CM237" s="35" t="n"/>
      <c r="CN237" s="35" t="n"/>
      <c r="CO237" s="3" t="n"/>
      <c r="CP237" s="35" t="n"/>
      <c r="CQ237" s="35" t="n"/>
      <c r="CR237" s="35" t="n"/>
      <c r="CS237" s="35" t="n"/>
      <c r="CT237" s="3" t="n"/>
      <c r="CU237" s="35" t="n"/>
      <c r="CV237" s="35" t="n"/>
      <c r="CW237" s="35" t="n"/>
      <c r="CX237" s="35" t="n"/>
      <c r="CY237" s="3" t="n"/>
    </row>
    <row r="238" hidden="1" outlineLevel="1">
      <c r="C238" s="34" t="inlineStr">
        <is>
          <t>Convertible debt</t>
        </is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>
        <f>AH250</f>
        <v>0</v>
      </c>
      <c r="AI238" s="3">
        <f>AH238+SUM(AI237)</f>
        <v>0</v>
      </c>
      <c r="AJ238" s="3">
        <f>AI238+SUM(AJ237)</f>
        <v>0</v>
      </c>
      <c r="AK238" s="3">
        <f>AJ238+SUM(AK237)</f>
        <v>0</v>
      </c>
      <c r="AL238" s="3" t="n"/>
      <c r="AM238" s="3">
        <f>AM250</f>
        <v>0</v>
      </c>
      <c r="AN238" s="3">
        <f>AM238+SUM(AN237)</f>
        <v>0</v>
      </c>
      <c r="AO238" s="3">
        <f>AN238+SUM(AO237)</f>
        <v>0</v>
      </c>
      <c r="AP238" s="3">
        <f>AO238+SUM(AP237)</f>
        <v>0</v>
      </c>
      <c r="AQ238" s="3" t="n"/>
      <c r="AR238" s="3">
        <f>AR250</f>
        <v>0</v>
      </c>
      <c r="AS238" s="3">
        <f>AR238+SUM(AS237)</f>
        <v>0</v>
      </c>
      <c r="AT238" s="3">
        <f>AS238+SUM(AT237)</f>
        <v>0</v>
      </c>
      <c r="AU238" s="3">
        <f>AT238+SUM(AU237)</f>
        <v>0</v>
      </c>
      <c r="AV238" s="3" t="n"/>
      <c r="AW238" s="3">
        <f>AW250</f>
        <v>0</v>
      </c>
      <c r="AX238" s="3">
        <f>AW238+SUM(AX237)</f>
        <v>0</v>
      </c>
      <c r="AY238" s="3">
        <f>AX238+SUM(AY237)</f>
        <v>0</v>
      </c>
      <c r="AZ238" s="3">
        <f>AY238+SUM(AZ237)</f>
        <v>0</v>
      </c>
      <c r="BA238" s="3" t="n"/>
      <c r="BB238" s="3">
        <f>BB250</f>
        <v>0</v>
      </c>
      <c r="BC238" s="3">
        <f>BB238+SUM(BC237)</f>
        <v>0</v>
      </c>
      <c r="BD238" s="3">
        <f>BC238+SUM(BD237)</f>
        <v>0</v>
      </c>
      <c r="BE238" s="3">
        <f>BD238+SUM(BE237)</f>
        <v>0</v>
      </c>
      <c r="BF238" s="3" t="n"/>
      <c r="BG238" s="3">
        <f>BG250</f>
        <v>0</v>
      </c>
      <c r="BH238" s="3">
        <f>BG238+SUM(BH237)</f>
        <v>0</v>
      </c>
      <c r="BI238" s="3">
        <f>BH238+SUM(BI237)</f>
        <v>0</v>
      </c>
      <c r="BJ238" s="3">
        <f>BI238+SUM(BJ237)</f>
        <v>0</v>
      </c>
      <c r="BK238" s="3" t="n"/>
      <c r="BL238" s="3">
        <f>BL250</f>
        <v>0</v>
      </c>
      <c r="BM238" s="3">
        <f>BL238+SUM(BM237)</f>
        <v>0</v>
      </c>
      <c r="BN238" s="3">
        <f>BM238+SUM(BN237)</f>
        <v>0</v>
      </c>
      <c r="BO238" s="3">
        <f>BN238+SUM(BO237)</f>
        <v>0</v>
      </c>
      <c r="BP238" s="3" t="n"/>
      <c r="BQ238" s="3">
        <f>BQ250</f>
        <v>0</v>
      </c>
      <c r="BR238" s="3">
        <f>BQ238+SUM(BR237)</f>
        <v>0</v>
      </c>
      <c r="BS238" s="3">
        <f>BR238+SUM(BS237)</f>
        <v>0</v>
      </c>
      <c r="BT238" s="3">
        <f>BS238+SUM(BT237)</f>
        <v>0</v>
      </c>
      <c r="BU238" s="3" t="n"/>
      <c r="BV238" s="3">
        <f>BV250</f>
        <v>0</v>
      </c>
      <c r="BW238" s="3">
        <f>BV238+SUM(BW237)</f>
        <v>0</v>
      </c>
      <c r="BX238" s="3">
        <f>BW238+SUM(BX237)</f>
        <v>0</v>
      </c>
      <c r="BY238" s="3">
        <f>BX238+SUM(BY237)</f>
        <v>0</v>
      </c>
      <c r="BZ238" s="3" t="n"/>
      <c r="CA238" s="3">
        <f>CA250</f>
        <v>0</v>
      </c>
      <c r="CB238" s="3">
        <f>CA238+SUM(CB237)</f>
        <v>0</v>
      </c>
      <c r="CC238" s="3">
        <f>CB238+SUM(CC237)</f>
        <v>0</v>
      </c>
      <c r="CD238" s="3">
        <f>CC238+SUM(CD237)</f>
        <v>0</v>
      </c>
      <c r="CE238" s="3" t="n"/>
      <c r="CF238" s="3">
        <f>CF250</f>
        <v>0</v>
      </c>
      <c r="CG238" s="3">
        <f>CF238+SUM(CG237)</f>
        <v>0</v>
      </c>
      <c r="CH238" s="3">
        <f>CG238+SUM(CH237)</f>
        <v>0</v>
      </c>
      <c r="CI238" s="3">
        <f>CH238+SUM(CI237)</f>
        <v>0</v>
      </c>
      <c r="CJ238" s="3" t="n"/>
      <c r="CK238" s="3">
        <f>CK250</f>
        <v>0</v>
      </c>
      <c r="CL238" s="3">
        <f>CK238+SUM(CL237)</f>
        <v>0</v>
      </c>
      <c r="CM238" s="3">
        <f>CL238+SUM(CM237)</f>
        <v>0</v>
      </c>
      <c r="CN238" s="3">
        <f>CM238+SUM(CN237)</f>
        <v>0</v>
      </c>
      <c r="CO238" s="3" t="n"/>
      <c r="CP238" s="3">
        <f>CP250</f>
        <v>0</v>
      </c>
      <c r="CQ238" s="3">
        <f>CP238+SUM(CQ237)</f>
        <v>0</v>
      </c>
      <c r="CR238" s="3">
        <f>CQ238+SUM(CR237)</f>
        <v>0</v>
      </c>
      <c r="CS238" s="3">
        <f>CR238+SUM(CS237)</f>
        <v>0</v>
      </c>
      <c r="CT238" s="3" t="n"/>
      <c r="CU238" s="3">
        <f>CU250</f>
        <v>0</v>
      </c>
      <c r="CV238" s="3">
        <f>CU238+SUM(CV237)</f>
        <v>0</v>
      </c>
      <c r="CW238" s="3">
        <f>CV238+SUM(CW237)</f>
        <v>0</v>
      </c>
      <c r="CX238" s="3">
        <f>CW238+SUM(CX237)</f>
        <v>0</v>
      </c>
      <c r="CY238" s="3" t="n"/>
    </row>
    <row r="239" hidden="1" outlineLevel="1">
      <c r="C239" s="34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I239" s="3" t="n"/>
      <c r="AJ239" s="3" t="n"/>
      <c r="AK239" s="3" t="n"/>
      <c r="AL239" s="3" t="n"/>
      <c r="AN239" s="3" t="n"/>
      <c r="AO239" s="3" t="n"/>
      <c r="AP239" s="3" t="n"/>
      <c r="AQ239" s="3" t="n"/>
      <c r="AS239" s="3" t="n"/>
      <c r="AT239" s="3" t="n"/>
      <c r="AU239" s="3" t="n"/>
      <c r="AV239" s="3" t="n"/>
      <c r="AX239" s="3" t="n"/>
      <c r="AY239" s="3" t="n"/>
      <c r="AZ239" s="3" t="n"/>
      <c r="BA239" s="3" t="n"/>
      <c r="BC239" s="3" t="n"/>
      <c r="BD239" s="3" t="n"/>
      <c r="BE239" s="3" t="n"/>
      <c r="BF239" s="3" t="n"/>
      <c r="BH239" s="3" t="n"/>
      <c r="BI239" s="3" t="n"/>
      <c r="BJ239" s="3" t="n"/>
      <c r="BK239" s="3" t="n"/>
      <c r="BM239" s="3" t="n"/>
      <c r="BN239" s="3" t="n"/>
      <c r="BO239" s="3" t="n"/>
      <c r="BP239" s="3" t="n"/>
      <c r="BR239" s="3" t="n"/>
      <c r="BS239" s="3" t="n"/>
      <c r="BT239" s="3" t="n"/>
      <c r="BU239" s="3" t="n"/>
      <c r="BW239" s="3" t="n"/>
      <c r="BX239" s="3" t="n"/>
      <c r="BY239" s="3" t="n"/>
      <c r="BZ239" s="3" t="n"/>
      <c r="CB239" s="3" t="n"/>
      <c r="CC239" s="3" t="n"/>
      <c r="CD239" s="3" t="n"/>
      <c r="CE239" s="3" t="n"/>
      <c r="CG239" s="3" t="n"/>
      <c r="CH239" s="3" t="n"/>
      <c r="CI239" s="3" t="n"/>
      <c r="CJ239" s="3" t="n"/>
      <c r="CL239" s="3" t="n"/>
      <c r="CM239" s="3" t="n"/>
      <c r="CN239" s="3" t="n"/>
      <c r="CO239" s="3" t="n"/>
      <c r="CQ239" s="3" t="n"/>
      <c r="CR239" s="3" t="n"/>
      <c r="CS239" s="3" t="n"/>
      <c r="CT239" s="3" t="n"/>
      <c r="CV239" s="3" t="n"/>
      <c r="CW239" s="3" t="n"/>
      <c r="CX239" s="3" t="n"/>
      <c r="CY239" s="3" t="n"/>
    </row>
    <row r="240" hidden="1" outlineLevel="1">
      <c r="C240" s="34" t="inlineStr">
        <is>
          <t>Calculation of short term debt</t>
        </is>
      </c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hidden="1" outlineLevel="1">
      <c r="C241" s="34" t="inlineStr">
        <is>
          <t>Cash @ beginning of the period (end of last period)</t>
        </is>
      </c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6">
        <f>AG156</f>
        <v>6875.395</v>
      </c>
      <c r="AI241" s="3" t="n"/>
      <c r="AJ241" s="3" t="n"/>
      <c r="AK241" s="3" t="n"/>
      <c r="AL241" s="3" t="n"/>
      <c r="AM241" s="36">
        <f>AL156</f>
        <v>4814.0141023</v>
      </c>
      <c r="AN241" s="3" t="n"/>
      <c r="AO241" s="3" t="n"/>
      <c r="AP241" s="3" t="n"/>
      <c r="AQ241" s="3" t="n"/>
      <c r="AR241" s="36" t="e">
        <f>AQ156</f>
        <v>#DIV/0!</v>
      </c>
      <c r="AS241" s="3" t="n"/>
      <c r="AT241" s="3" t="n"/>
      <c r="AU241" s="3" t="n"/>
      <c r="AV241" s="3" t="n"/>
      <c r="AW241" s="36" t="e">
        <f>AV156</f>
        <v>#DIV/0!</v>
      </c>
      <c r="AX241" s="3" t="n"/>
      <c r="AY241" s="3" t="n"/>
      <c r="AZ241" s="3" t="n"/>
      <c r="BA241" s="3" t="n"/>
      <c r="BB241" s="36" t="e">
        <f>BA156</f>
        <v>#DIV/0!</v>
      </c>
      <c r="BC241" s="3" t="n"/>
      <c r="BD241" s="3" t="n"/>
      <c r="BE241" s="3" t="n"/>
      <c r="BF241" s="3" t="n"/>
      <c r="BG241" s="36" t="e">
        <f>BF156</f>
        <v>#DIV/0!</v>
      </c>
      <c r="BH241" s="3" t="n"/>
      <c r="BI241" s="3" t="n"/>
      <c r="BJ241" s="3" t="n"/>
      <c r="BK241" s="3" t="n"/>
      <c r="BL241" s="36" t="e">
        <f>BK156</f>
        <v>#DIV/0!</v>
      </c>
      <c r="BM241" s="3" t="n"/>
      <c r="BN241" s="3" t="n"/>
      <c r="BO241" s="3" t="n"/>
      <c r="BP241" s="3" t="n"/>
      <c r="BQ241" s="36" t="e">
        <f>BP156</f>
        <v>#DIV/0!</v>
      </c>
      <c r="BR241" s="3" t="n"/>
      <c r="BS241" s="3" t="n"/>
      <c r="BT241" s="3" t="n"/>
      <c r="BU241" s="3" t="n"/>
      <c r="BV241" s="36" t="e">
        <f>BU156</f>
        <v>#DIV/0!</v>
      </c>
      <c r="BW241" s="3" t="n"/>
      <c r="BX241" s="3" t="n"/>
      <c r="BY241" s="3" t="n"/>
      <c r="BZ241" s="3" t="n"/>
      <c r="CA241" s="36" t="e">
        <f>BZ156</f>
        <v>#DIV/0!</v>
      </c>
      <c r="CB241" s="3" t="n"/>
      <c r="CC241" s="3" t="n"/>
      <c r="CD241" s="3" t="n"/>
      <c r="CE241" s="3" t="n"/>
      <c r="CF241" s="36" t="e">
        <f>CE156</f>
        <v>#DIV/0!</v>
      </c>
      <c r="CG241" s="3" t="n"/>
      <c r="CH241" s="3" t="n"/>
      <c r="CI241" s="3" t="n"/>
      <c r="CJ241" s="3" t="n"/>
      <c r="CK241" s="36" t="e">
        <f>CJ156</f>
        <v>#DIV/0!</v>
      </c>
      <c r="CL241" s="3" t="n"/>
      <c r="CM241" s="3" t="n"/>
      <c r="CN241" s="3" t="n"/>
      <c r="CO241" s="3" t="n"/>
      <c r="CP241" s="36" t="e">
        <f>CO156</f>
        <v>#DIV/0!</v>
      </c>
      <c r="CQ241" s="3" t="n"/>
      <c r="CR241" s="3" t="n"/>
      <c r="CS241" s="3" t="n"/>
      <c r="CT241" s="3" t="n"/>
      <c r="CU241" s="36" t="e">
        <f>CT156</f>
        <v>#DIV/0!</v>
      </c>
      <c r="CV241" s="3" t="n"/>
      <c r="CW241" s="3" t="n"/>
      <c r="CX241" s="3" t="n"/>
      <c r="CY241" s="3" t="n"/>
    </row>
    <row r="242" hidden="1" outlineLevel="1">
      <c r="C242" s="34" t="inlineStr">
        <is>
          <t>Plus: Free cash flows prior to debt during period</t>
        </is>
      </c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inlineStr">
        <is>
          <t>% of sales</t>
        </is>
      </c>
      <c r="AH242" s="37">
        <f>SUM(AH305,AH312)+SUM(AH314:AH320)</f>
        <v>-504.223999999998</v>
      </c>
      <c r="AI242" s="37">
        <f>SUM(AI305,AI312)+SUM(AI314:AI320)</f>
        <v>-775.021000000001</v>
      </c>
      <c r="AJ242" s="37">
        <f>SUM(AJ305,AJ312)+SUM(AJ314:AJ320)</f>
        <v>-2820.4185924</v>
      </c>
      <c r="AK242" s="37">
        <f>SUM(AK305,AK312)+SUM(AK314:AK320)</f>
        <v>155.1356947</v>
      </c>
      <c r="AL242" s="3" t="n"/>
      <c r="AM242" s="37" t="e">
        <f>SUM(AM305,AM312)+SUM(AM314:AM320)</f>
        <v>#DIV/0!</v>
      </c>
      <c r="AN242" s="37" t="e">
        <f>SUM(AN305,AN312)+SUM(AN314:AN320)</f>
        <v>#DIV/0!</v>
      </c>
      <c r="AO242" s="37" t="e">
        <f>SUM(AO305,AO312)+SUM(AO314:AO320)</f>
        <v>#DIV/0!</v>
      </c>
      <c r="AP242" s="37" t="e">
        <f>SUM(AP305,AP312)+SUM(AP314:AP320)</f>
        <v>#DIV/0!</v>
      </c>
      <c r="AQ242" s="3" t="n"/>
      <c r="AR242" s="37" t="e">
        <f>SUM(AR305,AR312)+SUM(AR314:AR320)</f>
        <v>#DIV/0!</v>
      </c>
      <c r="AS242" s="37" t="e">
        <f>SUM(AS305,AS312)+SUM(AS314:AS320)</f>
        <v>#DIV/0!</v>
      </c>
      <c r="AT242" s="37" t="e">
        <f>SUM(AT305,AT312)+SUM(AT314:AT320)</f>
        <v>#DIV/0!</v>
      </c>
      <c r="AU242" s="37" t="e">
        <f>SUM(AU305,AU312)+SUM(AU314:AU320)</f>
        <v>#DIV/0!</v>
      </c>
      <c r="AV242" s="3" t="n"/>
      <c r="AW242" s="37" t="e">
        <f>SUM(AW305,AW312)+SUM(AW314:AW320)</f>
        <v>#DIV/0!</v>
      </c>
      <c r="AX242" s="37" t="e">
        <f>SUM(AX305,AX312)+SUM(AX314:AX320)</f>
        <v>#DIV/0!</v>
      </c>
      <c r="AY242" s="37" t="e">
        <f>SUM(AY305,AY312)+SUM(AY314:AY320)</f>
        <v>#DIV/0!</v>
      </c>
      <c r="AZ242" s="37" t="e">
        <f>SUM(AZ305,AZ312)+SUM(AZ314:AZ320)</f>
        <v>#DIV/0!</v>
      </c>
      <c r="BA242" s="3" t="n"/>
      <c r="BB242" s="37" t="e">
        <f>SUM(BB305,BB312)+SUM(BB314:BB320)</f>
        <v>#DIV/0!</v>
      </c>
      <c r="BC242" s="37" t="e">
        <f>SUM(BC305,BC312)+SUM(BC314:BC320)</f>
        <v>#DIV/0!</v>
      </c>
      <c r="BD242" s="37" t="e">
        <f>SUM(BD305,BD312)+SUM(BD314:BD320)</f>
        <v>#DIV/0!</v>
      </c>
      <c r="BE242" s="37" t="e">
        <f>SUM(BE305,BE312)+SUM(BE314:BE320)</f>
        <v>#DIV/0!</v>
      </c>
      <c r="BF242" s="3" t="n"/>
      <c r="BG242" s="37" t="e">
        <f>SUM(BG305,BG312)+SUM(BG314:BG320)</f>
        <v>#DIV/0!</v>
      </c>
      <c r="BH242" s="37" t="e">
        <f>SUM(BH305,BH312)+SUM(BH314:BH320)</f>
        <v>#DIV/0!</v>
      </c>
      <c r="BI242" s="37" t="e">
        <f>SUM(BI305,BI312)+SUM(BI314:BI320)</f>
        <v>#DIV/0!</v>
      </c>
      <c r="BJ242" s="37" t="e">
        <f>SUM(BJ305,BJ312)+SUM(BJ314:BJ320)</f>
        <v>#DIV/0!</v>
      </c>
      <c r="BK242" s="3" t="n"/>
      <c r="BL242" s="37" t="e">
        <f>SUM(BL305,BL312)+SUM(BL314:BL320)</f>
        <v>#DIV/0!</v>
      </c>
      <c r="BM242" s="37" t="e">
        <f>SUM(BM305,BM312)+SUM(BM314:BM320)</f>
        <v>#DIV/0!</v>
      </c>
      <c r="BN242" s="37" t="e">
        <f>SUM(BN305,BN312)+SUM(BN314:BN320)</f>
        <v>#DIV/0!</v>
      </c>
      <c r="BO242" s="37" t="e">
        <f>SUM(BO305,BO312)+SUM(BO314:BO320)</f>
        <v>#DIV/0!</v>
      </c>
      <c r="BP242" s="3" t="n"/>
      <c r="BQ242" s="37" t="e">
        <f>SUM(BQ305,BQ312)+SUM(BQ314:BQ320)</f>
        <v>#DIV/0!</v>
      </c>
      <c r="BR242" s="37" t="e">
        <f>SUM(BR305,BR312)+SUM(BR314:BR320)</f>
        <v>#DIV/0!</v>
      </c>
      <c r="BS242" s="37" t="e">
        <f>SUM(BS305,BS312)+SUM(BS314:BS320)</f>
        <v>#DIV/0!</v>
      </c>
      <c r="BT242" s="37" t="e">
        <f>SUM(BT305,BT312)+SUM(BT314:BT320)</f>
        <v>#DIV/0!</v>
      </c>
      <c r="BU242" s="3" t="n"/>
      <c r="BV242" s="37" t="e">
        <f>SUM(BV305,BV312)+SUM(BV314:BV320)</f>
        <v>#DIV/0!</v>
      </c>
      <c r="BW242" s="37" t="e">
        <f>SUM(BW305,BW312)+SUM(BW314:BW320)</f>
        <v>#DIV/0!</v>
      </c>
      <c r="BX242" s="37" t="e">
        <f>SUM(BX305,BX312)+SUM(BX314:BX320)</f>
        <v>#DIV/0!</v>
      </c>
      <c r="BY242" s="37" t="e">
        <f>SUM(BY305,BY312)+SUM(BY314:BY320)</f>
        <v>#DIV/0!</v>
      </c>
      <c r="BZ242" s="3" t="n"/>
      <c r="CA242" s="37" t="e">
        <f>SUM(CA305,CA312)+SUM(CA314:CA320)</f>
        <v>#DIV/0!</v>
      </c>
      <c r="CB242" s="37" t="e">
        <f>SUM(CB305,CB312)+SUM(CB314:CB320)</f>
        <v>#DIV/0!</v>
      </c>
      <c r="CC242" s="37" t="e">
        <f>SUM(CC305,CC312)+SUM(CC314:CC320)</f>
        <v>#DIV/0!</v>
      </c>
      <c r="CD242" s="37" t="e">
        <f>SUM(CD305,CD312)+SUM(CD314:CD320)</f>
        <v>#DIV/0!</v>
      </c>
      <c r="CE242" s="3" t="n"/>
      <c r="CF242" s="37" t="e">
        <f>SUM(CF305,CF312)+SUM(CF314:CF320)</f>
        <v>#DIV/0!</v>
      </c>
      <c r="CG242" s="37" t="e">
        <f>SUM(CG305,CG312)+SUM(CG314:CG320)</f>
        <v>#DIV/0!</v>
      </c>
      <c r="CH242" s="37" t="e">
        <f>SUM(CH305,CH312)+SUM(CH314:CH320)</f>
        <v>#DIV/0!</v>
      </c>
      <c r="CI242" s="37" t="e">
        <f>SUM(CI305,CI312)+SUM(CI314:CI320)</f>
        <v>#DIV/0!</v>
      </c>
      <c r="CJ242" s="3" t="n"/>
      <c r="CK242" s="37" t="e">
        <f>SUM(CK305,CK312)+SUM(CK314:CK320)</f>
        <v>#DIV/0!</v>
      </c>
      <c r="CL242" s="37" t="e">
        <f>SUM(CL305,CL312)+SUM(CL314:CL320)</f>
        <v>#DIV/0!</v>
      </c>
      <c r="CM242" s="37" t="e">
        <f>SUM(CM305,CM312)+SUM(CM314:CM320)</f>
        <v>#DIV/0!</v>
      </c>
      <c r="CN242" s="37" t="e">
        <f>SUM(CN305,CN312)+SUM(CN314:CN320)</f>
        <v>#DIV/0!</v>
      </c>
      <c r="CO242" s="3" t="n"/>
      <c r="CP242" s="37" t="e">
        <f>SUM(CP305,CP312)+SUM(CP314:CP320)</f>
        <v>#DIV/0!</v>
      </c>
      <c r="CQ242" s="37" t="e">
        <f>SUM(CQ305,CQ312)+SUM(CQ314:CQ320)</f>
        <v>#DIV/0!</v>
      </c>
      <c r="CR242" s="37" t="e">
        <f>SUM(CR305,CR312)+SUM(CR314:CR320)</f>
        <v>#DIV/0!</v>
      </c>
      <c r="CS242" s="37" t="e">
        <f>SUM(CS305,CS312)+SUM(CS314:CS320)</f>
        <v>#DIV/0!</v>
      </c>
      <c r="CT242" s="3" t="n"/>
      <c r="CU242" s="37" t="e">
        <f>SUM(CU305,CU312)+SUM(CU314:CU320)</f>
        <v>#DIV/0!</v>
      </c>
      <c r="CV242" s="37" t="e">
        <f>SUM(CV305,CV312)+SUM(CV314:CV320)</f>
        <v>#DIV/0!</v>
      </c>
      <c r="CW242" s="37" t="e">
        <f>SUM(CW305,CW312)+SUM(CW314:CW320)</f>
        <v>#DIV/0!</v>
      </c>
      <c r="CX242" s="37" t="e">
        <f>SUM(CX305,CX312)+SUM(CX314:CX320)</f>
        <v>#DIV/0!</v>
      </c>
      <c r="CY242" s="3" t="n"/>
    </row>
    <row r="243" hidden="1" outlineLevel="1">
      <c r="C243" s="34" t="inlineStr">
        <is>
          <t>Less: Minimum cash balance</t>
        </is>
      </c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250" t="n"/>
      <c r="AH243" s="3">
        <f>($AG$243*AH15)</f>
        <v>0</v>
      </c>
      <c r="AI243" s="3">
        <f>($AG$243*AI15)</f>
        <v>0</v>
      </c>
      <c r="AJ243" s="3">
        <f>($AG$243*AJ15)</f>
        <v>0</v>
      </c>
      <c r="AK243" s="3">
        <f>($AG$243*AK15)</f>
        <v>0</v>
      </c>
      <c r="AL243" s="3" t="n"/>
      <c r="AM243" s="3">
        <f>($AG$243*AM15)</f>
        <v>0</v>
      </c>
      <c r="AN243" s="3">
        <f>($AG$243*AN15)</f>
        <v>0</v>
      </c>
      <c r="AO243" s="3">
        <f>($AG$243*AO15)</f>
        <v>0</v>
      </c>
      <c r="AP243" s="3">
        <f>($AG$243*AP15)</f>
        <v>0</v>
      </c>
      <c r="AQ243" s="3" t="n"/>
      <c r="AR243" s="3">
        <f>($AG$243*AR15)</f>
        <v>0</v>
      </c>
      <c r="AS243" s="3">
        <f>($AG$243*AS15)</f>
        <v>0</v>
      </c>
      <c r="AT243" s="3">
        <f>($AG$243*AT15)</f>
        <v>0</v>
      </c>
      <c r="AU243" s="3">
        <f>($AG$243*AU15)</f>
        <v>0</v>
      </c>
      <c r="AV243" s="3" t="n"/>
      <c r="AW243" s="3">
        <f>($AG$243*AW15)</f>
        <v>0</v>
      </c>
      <c r="AX243" s="3">
        <f>($AG$243*AX15)</f>
        <v>0</v>
      </c>
      <c r="AY243" s="3">
        <f>($AG$243*AY15)</f>
        <v>0</v>
      </c>
      <c r="AZ243" s="3">
        <f>($AG$243*AZ15)</f>
        <v>0</v>
      </c>
      <c r="BA243" s="3" t="n"/>
      <c r="BB243" s="3">
        <f>($AG$243*BB15)</f>
        <v>0</v>
      </c>
      <c r="BC243" s="3">
        <f>($AG$243*BC15)</f>
        <v>0</v>
      </c>
      <c r="BD243" s="3">
        <f>($AG$243*BD15)</f>
        <v>0</v>
      </c>
      <c r="BE243" s="3">
        <f>($AG$243*BE15)</f>
        <v>0</v>
      </c>
      <c r="BF243" s="3" t="n"/>
      <c r="BG243" s="3">
        <f>($AG$243*BG15)</f>
        <v>0</v>
      </c>
      <c r="BH243" s="3">
        <f>($AG$243*BH15)</f>
        <v>0</v>
      </c>
      <c r="BI243" s="3">
        <f>($AG$243*BI15)</f>
        <v>0</v>
      </c>
      <c r="BJ243" s="3">
        <f>($AG$243*BJ15)</f>
        <v>0</v>
      </c>
      <c r="BK243" s="3" t="n"/>
      <c r="BL243" s="3">
        <f>($AG$243*BL15)</f>
        <v>0</v>
      </c>
      <c r="BM243" s="3">
        <f>($AG$243*BM15)</f>
        <v>0</v>
      </c>
      <c r="BN243" s="3">
        <f>($AG$243*BN15)</f>
        <v>0</v>
      </c>
      <c r="BO243" s="3">
        <f>($AG$243*BO15)</f>
        <v>0</v>
      </c>
      <c r="BP243" s="3" t="n"/>
      <c r="BQ243" s="3">
        <f>($AG$243*BQ15)</f>
        <v>0</v>
      </c>
      <c r="BR243" s="3">
        <f>($AG$243*BR15)</f>
        <v>0</v>
      </c>
      <c r="BS243" s="3">
        <f>($AG$243*BS15)</f>
        <v>0</v>
      </c>
      <c r="BT243" s="3">
        <f>($AG$243*BT15)</f>
        <v>0</v>
      </c>
      <c r="BU243" s="3" t="n"/>
      <c r="BV243" s="3">
        <f>($AG$243*BV15)</f>
        <v>0</v>
      </c>
      <c r="BW243" s="3">
        <f>($AG$243*BW15)</f>
        <v>0</v>
      </c>
      <c r="BX243" s="3">
        <f>($AG$243*BX15)</f>
        <v>0</v>
      </c>
      <c r="BY243" s="3">
        <f>($AG$243*BY15)</f>
        <v>0</v>
      </c>
      <c r="BZ243" s="3" t="n"/>
      <c r="CA243" s="3">
        <f>($AG$243*CA15)</f>
        <v>0</v>
      </c>
      <c r="CB243" s="3">
        <f>($AG$243*CB15)</f>
        <v>0</v>
      </c>
      <c r="CC243" s="3">
        <f>($AG$243*CC15)</f>
        <v>0</v>
      </c>
      <c r="CD243" s="3">
        <f>($AG$243*CD15)</f>
        <v>0</v>
      </c>
      <c r="CE243" s="3" t="n"/>
      <c r="CF243" s="3">
        <f>($AG$243*CF15)</f>
        <v>0</v>
      </c>
      <c r="CG243" s="3">
        <f>($AG$243*CG15)</f>
        <v>0</v>
      </c>
      <c r="CH243" s="3">
        <f>($AG$243*CH15)</f>
        <v>0</v>
      </c>
      <c r="CI243" s="3">
        <f>($AG$243*CI15)</f>
        <v>0</v>
      </c>
      <c r="CJ243" s="3" t="n"/>
      <c r="CK243" s="3">
        <f>($AG$243*CK15)</f>
        <v>0</v>
      </c>
      <c r="CL243" s="3">
        <f>($AG$243*CL15)</f>
        <v>0</v>
      </c>
      <c r="CM243" s="3">
        <f>($AG$243*CM15)</f>
        <v>0</v>
      </c>
      <c r="CN243" s="3">
        <f>($AG$243*CN15)</f>
        <v>0</v>
      </c>
      <c r="CO243" s="3" t="n"/>
      <c r="CP243" s="3">
        <f>($AG$243*CP15)</f>
        <v>0</v>
      </c>
      <c r="CQ243" s="3">
        <f>($AG$243*CQ15)</f>
        <v>0</v>
      </c>
      <c r="CR243" s="3">
        <f>($AG$243*CR15)</f>
        <v>0</v>
      </c>
      <c r="CS243" s="3">
        <f>($AG$243*CS15)</f>
        <v>0</v>
      </c>
      <c r="CT243" s="3" t="n"/>
      <c r="CU243" s="3">
        <f>($AG$243*CU15)</f>
        <v>0</v>
      </c>
      <c r="CV243" s="3">
        <f>($AG$243*CV15)</f>
        <v>0</v>
      </c>
      <c r="CW243" s="3">
        <f>($AG$243*CW15)</f>
        <v>0</v>
      </c>
      <c r="CX243" s="3">
        <f>($AG$243*CX15)</f>
        <v>0</v>
      </c>
      <c r="CY243" s="3" t="n"/>
    </row>
    <row r="244" hidden="1" outlineLevel="1">
      <c r="C244" s="34" t="inlineStr">
        <is>
          <t>Total cash available / (debt required) for short term debt paydown</t>
        </is>
      </c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1">
        <f>AH241+AH242-AH243-AF231+AH233+AH237</f>
        <v>6371.171</v>
      </c>
      <c r="AI244" s="1">
        <f>AI241+AI242-AI243-AG231+AI233+AI237</f>
        <v>-775.021000000001</v>
      </c>
      <c r="AJ244" s="1">
        <f>AJ241+AJ242-AJ243-AH231+AJ233+AJ237</f>
        <v>-6962.7565924</v>
      </c>
      <c r="AK244" s="1">
        <f>AK241+AK242-AK243-AI231+AK233+AK237</f>
        <v>155.1356947</v>
      </c>
      <c r="AL244" s="3" t="n"/>
      <c r="AM244" s="1" t="e">
        <f>AM241+AM242-AM243-AK231+AM233+AM237</f>
        <v>#DIV/0!</v>
      </c>
      <c r="AN244" s="1" t="e">
        <f>AN241+AN242-AN243-AL231+AN233+AN237</f>
        <v>#DIV/0!</v>
      </c>
      <c r="AO244" s="1" t="e">
        <f>AO241+AO242-AO243-AM231+AO233+AO237</f>
        <v>#DIV/0!</v>
      </c>
      <c r="AP244" s="1" t="e">
        <f>AP241+AP242-AP243-AN231+AP233+AP237</f>
        <v>#DIV/0!</v>
      </c>
      <c r="AQ244" s="3" t="n"/>
      <c r="AR244" s="1" t="e">
        <f>AR241+AR242-AR243-AP231+AR233+AR237</f>
        <v>#DIV/0!</v>
      </c>
      <c r="AS244" s="1" t="e">
        <f>AS241+AS242-AS243-AQ231+AS233+AS237</f>
        <v>#DIV/0!</v>
      </c>
      <c r="AT244" s="1" t="e">
        <f>AT241+AT242-AT243-AR231+AT233+AT237</f>
        <v>#DIV/0!</v>
      </c>
      <c r="AU244" s="1" t="e">
        <f>AU241+AU242-AU243-AS231+AU233+AU237</f>
        <v>#DIV/0!</v>
      </c>
      <c r="AV244" s="3" t="n"/>
      <c r="AW244" s="1" t="e">
        <f>AW241+AW242-AW243-AU231+AW233+AW237</f>
        <v>#DIV/0!</v>
      </c>
      <c r="AX244" s="1" t="e">
        <f>AX241+AX242-AX243-AV231+AX233+AX237</f>
        <v>#DIV/0!</v>
      </c>
      <c r="AY244" s="1" t="e">
        <f>AY241+AY242-AY243-AW231+AY233+AY237</f>
        <v>#DIV/0!</v>
      </c>
      <c r="AZ244" s="1" t="e">
        <f>AZ241+AZ242-AZ243-AX231+AZ233+AZ237</f>
        <v>#DIV/0!</v>
      </c>
      <c r="BA244" s="3" t="n"/>
      <c r="BB244" s="1" t="e">
        <f>BB241+BB242-BB243-AZ231+BB233+BB237</f>
        <v>#DIV/0!</v>
      </c>
      <c r="BC244" s="1" t="e">
        <f>BC241+BC242-BC243-BA231+BC233+BC237</f>
        <v>#DIV/0!</v>
      </c>
      <c r="BD244" s="1" t="e">
        <f>BD241+BD242-BD243-BB231+BD233+BD237</f>
        <v>#DIV/0!</v>
      </c>
      <c r="BE244" s="1" t="e">
        <f>BE241+BE242-BE243-BC231+BE233+BE237</f>
        <v>#DIV/0!</v>
      </c>
      <c r="BF244" s="3" t="n"/>
      <c r="BG244" s="1" t="e">
        <f>BG241+BG242-BG243-BE231+BG233+BG237</f>
        <v>#DIV/0!</v>
      </c>
      <c r="BH244" s="1" t="e">
        <f>BH241+BH242-BH243-BF231+BH233+BH237</f>
        <v>#DIV/0!</v>
      </c>
      <c r="BI244" s="1" t="e">
        <f>BI241+BI242-BI243-BG231+BI233+BI237</f>
        <v>#DIV/0!</v>
      </c>
      <c r="BJ244" s="1" t="e">
        <f>BJ241+BJ242-BJ243-BH231+BJ233+BJ237</f>
        <v>#DIV/0!</v>
      </c>
      <c r="BK244" s="3" t="n"/>
      <c r="BL244" s="1" t="e">
        <f>BL241+BL242-BL243-BJ231+BL233+BL237</f>
        <v>#DIV/0!</v>
      </c>
      <c r="BM244" s="1" t="e">
        <f>BM241+BM242-BM243-BK231+BM233+BM237</f>
        <v>#DIV/0!</v>
      </c>
      <c r="BN244" s="1" t="e">
        <f>BN241+BN242-BN243-BL231+BN233+BN237</f>
        <v>#DIV/0!</v>
      </c>
      <c r="BO244" s="1" t="e">
        <f>BO241+BO242-BO243-BM231+BO233+BO237</f>
        <v>#DIV/0!</v>
      </c>
      <c r="BP244" s="3" t="n"/>
      <c r="BQ244" s="1" t="e">
        <f>BQ241+BQ242-BQ243-BO231+BQ233+BQ237</f>
        <v>#DIV/0!</v>
      </c>
      <c r="BR244" s="1" t="e">
        <f>BR241+BR242-BR243-BP231+BR233+BR237</f>
        <v>#DIV/0!</v>
      </c>
      <c r="BS244" s="1" t="e">
        <f>BS241+BS242-BS243-BQ231+BS233+BS237</f>
        <v>#DIV/0!</v>
      </c>
      <c r="BT244" s="1" t="e">
        <f>BT241+BT242-BT243-BR231+BT233+BT237</f>
        <v>#DIV/0!</v>
      </c>
      <c r="BU244" s="3" t="n"/>
      <c r="BV244" s="1" t="e">
        <f>BV241+BV242-BV243-BT231+BV233+BV237</f>
        <v>#DIV/0!</v>
      </c>
      <c r="BW244" s="1" t="e">
        <f>BW241+BW242-BW243-BU231+BW233+BW237</f>
        <v>#DIV/0!</v>
      </c>
      <c r="BX244" s="1" t="e">
        <f>BX241+BX242-BX243-BV231+BX233+BX237</f>
        <v>#DIV/0!</v>
      </c>
      <c r="BY244" s="1" t="e">
        <f>BY241+BY242-BY243-BW231+BY233+BY237</f>
        <v>#DIV/0!</v>
      </c>
      <c r="BZ244" s="3" t="n"/>
      <c r="CA244" s="1" t="e">
        <f>CA241+CA242-CA243-BY231+CA233+CA237</f>
        <v>#DIV/0!</v>
      </c>
      <c r="CB244" s="1" t="e">
        <f>CB241+CB242-CB243-BZ231+CB233+CB237</f>
        <v>#DIV/0!</v>
      </c>
      <c r="CC244" s="1" t="e">
        <f>CC241+CC242-CC243-CA231+CC233+CC237</f>
        <v>#DIV/0!</v>
      </c>
      <c r="CD244" s="1" t="e">
        <f>CD241+CD242-CD243-CB231+CD233+CD237</f>
        <v>#DIV/0!</v>
      </c>
      <c r="CE244" s="3" t="n"/>
      <c r="CF244" s="1" t="e">
        <f>CF241+CF242-CF243-CD231+CF233+CF237</f>
        <v>#DIV/0!</v>
      </c>
      <c r="CG244" s="1" t="e">
        <f>CG241+CG242-CG243-CE231+CG233+CG237</f>
        <v>#DIV/0!</v>
      </c>
      <c r="CH244" s="1" t="e">
        <f>CH241+CH242-CH243-CF231+CH233+CH237</f>
        <v>#DIV/0!</v>
      </c>
      <c r="CI244" s="1" t="e">
        <f>CI241+CI242-CI243-CG231+CI233+CI237</f>
        <v>#DIV/0!</v>
      </c>
      <c r="CJ244" s="3" t="n"/>
      <c r="CK244" s="1" t="e">
        <f>CK241+CK242-CK243-CI231+CK233+CK237</f>
        <v>#DIV/0!</v>
      </c>
      <c r="CL244" s="1" t="e">
        <f>CL241+CL242-CL243-CJ231+CL233+CL237</f>
        <v>#DIV/0!</v>
      </c>
      <c r="CM244" s="1" t="e">
        <f>CM241+CM242-CM243-CK231+CM233+CM237</f>
        <v>#DIV/0!</v>
      </c>
      <c r="CN244" s="1" t="e">
        <f>CN241+CN242-CN243-CL231+CN233+CN237</f>
        <v>#DIV/0!</v>
      </c>
      <c r="CO244" s="3" t="n"/>
      <c r="CP244" s="1" t="e">
        <f>CP241+CP242-CP243-CN231+CP233+CP237</f>
        <v>#DIV/0!</v>
      </c>
      <c r="CQ244" s="1" t="e">
        <f>CQ241+CQ242-CQ243-CO231+CQ233+CQ237</f>
        <v>#DIV/0!</v>
      </c>
      <c r="CR244" s="1" t="e">
        <f>CR241+CR242-CR243-CP231+CR233+CR237</f>
        <v>#DIV/0!</v>
      </c>
      <c r="CS244" s="1" t="e">
        <f>CS241+CS242-CS243-CQ231+CS233+CS237</f>
        <v>#DIV/0!</v>
      </c>
      <c r="CT244" s="3" t="n"/>
      <c r="CU244" s="1" t="e">
        <f>CU241+CU242-CU243-CS231+CU233+CU237</f>
        <v>#DIV/0!</v>
      </c>
      <c r="CV244" s="1" t="e">
        <f>CV241+CV242-CV243-CT231+CV233+CV237</f>
        <v>#DIV/0!</v>
      </c>
      <c r="CW244" s="1" t="e">
        <f>CW241+CW242-CW243-CU231+CW233+CW237</f>
        <v>#DIV/0!</v>
      </c>
      <c r="CX244" s="1" t="e">
        <f>CX241+CX242-CX243-CV231+CX233+CX237</f>
        <v>#DIV/0!</v>
      </c>
      <c r="CY244" s="3" t="n"/>
    </row>
    <row r="245" hidden="1" outlineLevel="1">
      <c r="C245" s="34" t="inlineStr">
        <is>
          <t>Short term debt</t>
        </is>
      </c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>
        <f>AH225</f>
        <v>0</v>
      </c>
      <c r="AI245" s="3">
        <f>MAX(0,AH245-AI244)</f>
        <v>775.021000000001</v>
      </c>
      <c r="AJ245" s="3">
        <f>MAX(0,AI245-AJ244)</f>
        <v>7737.7775924</v>
      </c>
      <c r="AK245" s="3">
        <f>MAX(0,AJ245-AK244)</f>
        <v>7582.6418977</v>
      </c>
      <c r="AL245" s="3" t="n"/>
      <c r="AM245" s="3">
        <f>AM225</f>
        <v>0</v>
      </c>
      <c r="AN245" s="3" t="e">
        <f>MAX(0,AM245-AN244)</f>
        <v>#DIV/0!</v>
      </c>
      <c r="AO245" s="3" t="e">
        <f>MAX(0,AN245-AO244)</f>
        <v>#DIV/0!</v>
      </c>
      <c r="AP245" s="3" t="e">
        <f>MAX(0,AO245-AP244)</f>
        <v>#DIV/0!</v>
      </c>
      <c r="AQ245" s="3" t="n"/>
      <c r="AR245" s="3">
        <f>AR225</f>
        <v>0</v>
      </c>
      <c r="AS245" s="3" t="e">
        <f>MAX(0,AR245-AS244)</f>
        <v>#DIV/0!</v>
      </c>
      <c r="AT245" s="3" t="e">
        <f>MAX(0,AS245-AT244)</f>
        <v>#DIV/0!</v>
      </c>
      <c r="AU245" s="3" t="e">
        <f>MAX(0,AT245-AU244)</f>
        <v>#DIV/0!</v>
      </c>
      <c r="AV245" s="3" t="n"/>
      <c r="AW245" s="3">
        <f>AW225</f>
        <v>0</v>
      </c>
      <c r="AX245" s="3" t="e">
        <f>MAX(0,AW245-AX244)</f>
        <v>#DIV/0!</v>
      </c>
      <c r="AY245" s="3" t="e">
        <f>MAX(0,AX245-AY244)</f>
        <v>#DIV/0!</v>
      </c>
      <c r="AZ245" s="3" t="e">
        <f>MAX(0,AY245-AZ244)</f>
        <v>#DIV/0!</v>
      </c>
      <c r="BA245" s="3" t="n"/>
      <c r="BB245" s="3">
        <f>BB225</f>
        <v>0</v>
      </c>
      <c r="BC245" s="3" t="e">
        <f>MAX(0,BB245-BC244)</f>
        <v>#DIV/0!</v>
      </c>
      <c r="BD245" s="3" t="e">
        <f>MAX(0,BC245-BD244)</f>
        <v>#DIV/0!</v>
      </c>
      <c r="BE245" s="3" t="e">
        <f>MAX(0,BD245-BE244)</f>
        <v>#DIV/0!</v>
      </c>
      <c r="BF245" s="3" t="n"/>
      <c r="BG245" s="3">
        <f>BG225</f>
        <v>0</v>
      </c>
      <c r="BH245" s="3" t="e">
        <f>MAX(0,BG245-BH244)</f>
        <v>#DIV/0!</v>
      </c>
      <c r="BI245" s="3" t="e">
        <f>MAX(0,BH245-BI244)</f>
        <v>#DIV/0!</v>
      </c>
      <c r="BJ245" s="3" t="e">
        <f>MAX(0,BI245-BJ244)</f>
        <v>#DIV/0!</v>
      </c>
      <c r="BK245" s="3" t="n"/>
      <c r="BL245" s="3">
        <f>BL225</f>
        <v>0</v>
      </c>
      <c r="BM245" s="3" t="e">
        <f>MAX(0,BL245-BM244)</f>
        <v>#DIV/0!</v>
      </c>
      <c r="BN245" s="3" t="e">
        <f>MAX(0,BM245-BN244)</f>
        <v>#DIV/0!</v>
      </c>
      <c r="BO245" s="3" t="e">
        <f>MAX(0,BN245-BO244)</f>
        <v>#DIV/0!</v>
      </c>
      <c r="BP245" s="3" t="n"/>
      <c r="BQ245" s="3">
        <f>BQ225</f>
        <v>0</v>
      </c>
      <c r="BR245" s="3" t="e">
        <f>MAX(0,BQ245-BR244)</f>
        <v>#DIV/0!</v>
      </c>
      <c r="BS245" s="3" t="e">
        <f>MAX(0,BR245-BS244)</f>
        <v>#DIV/0!</v>
      </c>
      <c r="BT245" s="3" t="e">
        <f>MAX(0,BS245-BT244)</f>
        <v>#DIV/0!</v>
      </c>
      <c r="BU245" s="3" t="n"/>
      <c r="BV245" s="3">
        <f>BV225</f>
        <v>0</v>
      </c>
      <c r="BW245" s="3" t="e">
        <f>MAX(0,BV245-BW244)</f>
        <v>#DIV/0!</v>
      </c>
      <c r="BX245" s="3" t="e">
        <f>MAX(0,BW245-BX244)</f>
        <v>#DIV/0!</v>
      </c>
      <c r="BY245" s="3" t="e">
        <f>MAX(0,BX245-BY244)</f>
        <v>#DIV/0!</v>
      </c>
      <c r="BZ245" s="3" t="n"/>
      <c r="CA245" s="3">
        <f>CA225</f>
        <v>0</v>
      </c>
      <c r="CB245" s="3" t="e">
        <f>MAX(0,CA245-CB244)</f>
        <v>#DIV/0!</v>
      </c>
      <c r="CC245" s="3" t="e">
        <f>MAX(0,CB245-CC244)</f>
        <v>#DIV/0!</v>
      </c>
      <c r="CD245" s="3" t="e">
        <f>MAX(0,CC245-CD244)</f>
        <v>#DIV/0!</v>
      </c>
      <c r="CE245" s="3" t="n"/>
      <c r="CF245" s="3">
        <f>CF225</f>
        <v>0</v>
      </c>
      <c r="CG245" s="3" t="e">
        <f>MAX(0,CF245-CG244)</f>
        <v>#DIV/0!</v>
      </c>
      <c r="CH245" s="3" t="e">
        <f>MAX(0,CG245-CH244)</f>
        <v>#DIV/0!</v>
      </c>
      <c r="CI245" s="3" t="e">
        <f>MAX(0,CH245-CI244)</f>
        <v>#DIV/0!</v>
      </c>
      <c r="CJ245" s="3" t="n"/>
      <c r="CK245" s="3">
        <f>CK225</f>
        <v>0</v>
      </c>
      <c r="CL245" s="3" t="e">
        <f>MAX(0,CK245-CL244)</f>
        <v>#DIV/0!</v>
      </c>
      <c r="CM245" s="3" t="e">
        <f>MAX(0,CL245-CM244)</f>
        <v>#DIV/0!</v>
      </c>
      <c r="CN245" s="3" t="e">
        <f>MAX(0,CM245-CN244)</f>
        <v>#DIV/0!</v>
      </c>
      <c r="CO245" s="3" t="n"/>
      <c r="CP245" s="3">
        <f>CP225</f>
        <v>0</v>
      </c>
      <c r="CQ245" s="3" t="e">
        <f>MAX(0,CP245-CQ244)</f>
        <v>#DIV/0!</v>
      </c>
      <c r="CR245" s="3" t="e">
        <f>MAX(0,CQ245-CR244)</f>
        <v>#DIV/0!</v>
      </c>
      <c r="CS245" s="3" t="e">
        <f>MAX(0,CR245-CS244)</f>
        <v>#DIV/0!</v>
      </c>
      <c r="CT245" s="3" t="n"/>
      <c r="CU245" s="3">
        <f>CU225</f>
        <v>0</v>
      </c>
      <c r="CV245" s="3" t="e">
        <f>MAX(0,CU245-CV244)</f>
        <v>#DIV/0!</v>
      </c>
      <c r="CW245" s="3" t="e">
        <f>MAX(0,CV245-CW244)</f>
        <v>#DIV/0!</v>
      </c>
      <c r="CX245" s="3" t="e">
        <f>MAX(0,CW245-CX244)</f>
        <v>#DIV/0!</v>
      </c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>
      <c r="C247" s="26" t="inlineStr">
        <is>
          <t>Long term operating leases</t>
        </is>
      </c>
      <c r="D247" s="25">
        <f>INDEX('Inputs (2)'!$D$36:$AL$36,MATCH(D$7,'Inputs (2)'!$D$2:$AL$2,0))</f>
        <v>135.339</v>
      </c>
      <c r="E247" s="25">
        <f>INDEX('Inputs (2)'!$D$36:$AL$36,MATCH(E$7,'Inputs (2)'!$D$2:$AL$2,0))</f>
        <v>127.662</v>
      </c>
      <c r="F247" s="25">
        <f>INDEX('Inputs (2)'!$D$36:$AL$36,MATCH(F$7,'Inputs (2)'!$D$2:$AL$2,0))</f>
        <v>137.361</v>
      </c>
      <c r="G247" s="25">
        <f>INDEX('Inputs (2)'!$D$36:$AL$36,MATCH(G$7,'Inputs (2)'!$D$2:$AL$2,0))</f>
        <v>128.552</v>
      </c>
      <c r="H247" s="3">
        <f>G247</f>
        <v>128.552</v>
      </c>
      <c r="I247" s="25">
        <f>INDEX('Inputs (2)'!$D$36:$AL$36,MATCH(I$7,'Inputs (2)'!$D$2:$AL$2,0))</f>
        <v>253.437</v>
      </c>
      <c r="J247" s="25">
        <f>INDEX('Inputs (2)'!$D$36:$AL$36,MATCH(J$7,'Inputs (2)'!$D$2:$AL$2,0))</f>
        <v>241.255</v>
      </c>
      <c r="K247" s="25">
        <f>INDEX('Inputs (2)'!$D$36:$AL$36,MATCH(K$7,'Inputs (2)'!$D$2:$AL$2,0))</f>
        <v>252.27</v>
      </c>
      <c r="L247" s="25">
        <f>INDEX('Inputs (2)'!$D$36:$AL$36,MATCH(L$7,'Inputs (2)'!$D$2:$AL$2,0))</f>
        <v>304.983</v>
      </c>
      <c r="M247" s="3">
        <f>L247</f>
        <v>304.983</v>
      </c>
      <c r="N247" s="25">
        <f>INDEX('Inputs (2)'!$D$36:$AL$36,MATCH(N$7,'Inputs (2)'!$D$2:$AL$2,0))</f>
        <v>311.744</v>
      </c>
      <c r="O247" s="25">
        <f>INDEX('Inputs (2)'!$D$36:$AL$36,MATCH(O$7,'Inputs (2)'!$D$2:$AL$2,0))</f>
        <v>330.194</v>
      </c>
      <c r="P247" s="25">
        <f>INDEX('Inputs (2)'!$D$36:$AL$36,MATCH(P$7,'Inputs (2)'!$D$2:$AL$2,0))</f>
        <v>340.876</v>
      </c>
      <c r="Q247" s="25">
        <f>INDEX('Inputs (2)'!$D$36:$AL$36,MATCH(Q$7,'Inputs (2)'!$D$2:$AL$2,0))</f>
        <v>336.068</v>
      </c>
      <c r="R247" s="3">
        <f>Q247</f>
        <v>336.068</v>
      </c>
      <c r="S247" s="25">
        <f>INDEX('Inputs (2)'!$D$36:$AL$36,MATCH(S$7,'Inputs (2)'!$D$2:$AL$2,0))</f>
        <v>310.644</v>
      </c>
      <c r="T247" s="25">
        <f>INDEX('Inputs (2)'!$D$36:$AL$36,MATCH(T$7,'Inputs (2)'!$D$2:$AL$2,0))</f>
        <v>306.138</v>
      </c>
      <c r="U247" s="25">
        <f>INDEX('Inputs (2)'!$D$36:$AL$36,MATCH(U$7,'Inputs (2)'!$D$2:$AL$2,0))</f>
        <v>341.102</v>
      </c>
      <c r="V247" s="25">
        <f>INDEX('Inputs (2)'!$D$36:$AL$36,MATCH(V$7,'Inputs (2)'!$D$2:$AL$2,0))</f>
        <v>336.4</v>
      </c>
      <c r="W247" s="3">
        <f>V247</f>
        <v>336.4</v>
      </c>
      <c r="X247" s="25">
        <f>INDEX('Inputs (2)'!$D$36:$AL$36,MATCH(X$7,'Inputs (2)'!$D$2:$AL$2,0))</f>
        <v>328.396</v>
      </c>
      <c r="Y247" s="25">
        <f>INDEX('Inputs (2)'!$D$36:$AL$36,MATCH(Y$7,'Inputs (2)'!$D$2:$AL$2,0))</f>
        <v>325.94</v>
      </c>
      <c r="Z247" s="25">
        <f>INDEX('Inputs (2)'!$D$36:$AL$36,MATCH(Z$7,'Inputs (2)'!$D$2:$AL$2,0))</f>
        <v>388.496</v>
      </c>
      <c r="AA247" s="25">
        <f>INDEX('Inputs (2)'!$D$36:$AL$36,MATCH(AA$7,'Inputs (2)'!$D$2:$AL$2,0))</f>
        <v>414.895</v>
      </c>
      <c r="AB247" s="3">
        <f>AA247</f>
        <v>414.895</v>
      </c>
      <c r="AC247" s="25">
        <f>INDEX('Inputs (2)'!$D$36:$AL$36,MATCH(AC$7,'Inputs (2)'!$D$2:$AL$2,0))</f>
        <v>479.603</v>
      </c>
      <c r="AD247" s="25">
        <f>INDEX('Inputs (2)'!$D$36:$AL$36,MATCH(AD$7,'Inputs (2)'!$D$2:$AL$2,0))</f>
        <v>500.576</v>
      </c>
      <c r="AE247" s="25">
        <f>INDEX('Inputs (2)'!$D$36:$AL$36,MATCH(AE$7,'Inputs (2)'!$D$2:$AL$2,0))</f>
        <v>510.209</v>
      </c>
      <c r="AF247" s="25">
        <f>INDEX('Inputs (2)'!$D$36:$AL$36,MATCH(AF$7,'Inputs (2)'!$D$2:$AL$2,0))</f>
        <v>511.61</v>
      </c>
      <c r="AG247" s="3">
        <f>AF247</f>
        <v>511.61</v>
      </c>
      <c r="AH247" s="3">
        <f>INDEX('Inputs (2)'!$D$36:$AL$36,MATCH(AH$7,'Inputs (2)'!$D$2:$AL$2,0))</f>
        <v>494.532</v>
      </c>
      <c r="AI247" s="3">
        <f>INDEX('Inputs (2)'!$D$36:$AL$36,MATCH(AI$7,'Inputs (2)'!$D$2:$AL$2,0))</f>
        <v>501.706</v>
      </c>
      <c r="AJ247" s="3">
        <f>AI247</f>
        <v>501.706</v>
      </c>
      <c r="AK247" s="3">
        <f>AJ247</f>
        <v>501.706</v>
      </c>
      <c r="AL247" s="3">
        <f>AK247</f>
        <v>501.706</v>
      </c>
      <c r="AM247" s="3">
        <f>AL247</f>
        <v>501.706</v>
      </c>
      <c r="AN247" s="3">
        <f>AM247</f>
        <v>501.706</v>
      </c>
      <c r="AO247" s="3">
        <f>AN247</f>
        <v>501.706</v>
      </c>
      <c r="AP247" s="3">
        <f>AO247</f>
        <v>501.706</v>
      </c>
      <c r="AQ247" s="3">
        <f>AP247</f>
        <v>501.706</v>
      </c>
      <c r="AR247" s="3">
        <f>AQ247</f>
        <v>501.706</v>
      </c>
      <c r="AS247" s="3">
        <f>AR247</f>
        <v>501.706</v>
      </c>
      <c r="AT247" s="3">
        <f>AS247</f>
        <v>501.706</v>
      </c>
      <c r="AU247" s="3">
        <f>AT247</f>
        <v>501.706</v>
      </c>
      <c r="AV247" s="3">
        <f>AU247</f>
        <v>501.706</v>
      </c>
      <c r="AW247" s="3">
        <f>AV247</f>
        <v>501.706</v>
      </c>
      <c r="AX247" s="3">
        <f>AW247</f>
        <v>501.706</v>
      </c>
      <c r="AY247" s="3">
        <f>AX247</f>
        <v>501.706</v>
      </c>
      <c r="AZ247" s="3">
        <f>AY247</f>
        <v>501.706</v>
      </c>
      <c r="BA247" s="3">
        <f>AZ247</f>
        <v>501.706</v>
      </c>
      <c r="BB247" s="3">
        <f>BA247</f>
        <v>501.706</v>
      </c>
      <c r="BC247" s="3">
        <f>BB247</f>
        <v>501.706</v>
      </c>
      <c r="BD247" s="3">
        <f>BC247</f>
        <v>501.706</v>
      </c>
      <c r="BE247" s="3">
        <f>BD247</f>
        <v>501.706</v>
      </c>
      <c r="BF247" s="3">
        <f>BE247</f>
        <v>501.706</v>
      </c>
      <c r="BG247" s="3">
        <f>BF247</f>
        <v>501.706</v>
      </c>
      <c r="BH247" s="3">
        <f>BG247</f>
        <v>501.706</v>
      </c>
      <c r="BI247" s="3">
        <f>BH247</f>
        <v>501.706</v>
      </c>
      <c r="BJ247" s="3">
        <f>BI247</f>
        <v>501.706</v>
      </c>
      <c r="BK247" s="3">
        <f>BJ247</f>
        <v>501.706</v>
      </c>
      <c r="BL247" s="3">
        <f>BK247</f>
        <v>501.706</v>
      </c>
      <c r="BM247" s="3">
        <f>BL247</f>
        <v>501.706</v>
      </c>
      <c r="BN247" s="3">
        <f>BM247</f>
        <v>501.706</v>
      </c>
      <c r="BO247" s="3">
        <f>BN247</f>
        <v>501.706</v>
      </c>
      <c r="BP247" s="3">
        <f>BO247</f>
        <v>501.706</v>
      </c>
      <c r="BQ247" s="3">
        <f>BP247</f>
        <v>501.706</v>
      </c>
      <c r="BR247" s="3">
        <f>BQ247</f>
        <v>501.706</v>
      </c>
      <c r="BS247" s="3">
        <f>BR247</f>
        <v>501.706</v>
      </c>
      <c r="BT247" s="3">
        <f>BS247</f>
        <v>501.706</v>
      </c>
      <c r="BU247" s="3">
        <f>BT247</f>
        <v>501.706</v>
      </c>
      <c r="BV247" s="3">
        <f>BU247</f>
        <v>501.706</v>
      </c>
      <c r="BW247" s="3">
        <f>BV247</f>
        <v>501.706</v>
      </c>
      <c r="BX247" s="3">
        <f>BW247</f>
        <v>501.706</v>
      </c>
      <c r="BY247" s="3">
        <f>BX247</f>
        <v>501.706</v>
      </c>
      <c r="BZ247" s="3">
        <f>BY247</f>
        <v>501.706</v>
      </c>
      <c r="CA247" s="3">
        <f>BZ247</f>
        <v>501.706</v>
      </c>
      <c r="CB247" s="3">
        <f>CA247</f>
        <v>501.706</v>
      </c>
      <c r="CC247" s="3">
        <f>CB247</f>
        <v>501.706</v>
      </c>
      <c r="CD247" s="3">
        <f>CC247</f>
        <v>501.706</v>
      </c>
      <c r="CE247" s="3">
        <f>CD247</f>
        <v>501.706</v>
      </c>
      <c r="CF247" s="3">
        <f>CE247</f>
        <v>501.706</v>
      </c>
      <c r="CG247" s="3">
        <f>CF247</f>
        <v>501.706</v>
      </c>
      <c r="CH247" s="3">
        <f>CG247</f>
        <v>501.706</v>
      </c>
      <c r="CI247" s="3">
        <f>CH247</f>
        <v>501.706</v>
      </c>
      <c r="CJ247" s="3">
        <f>CI247</f>
        <v>501.706</v>
      </c>
      <c r="CK247" s="3">
        <f>CJ247</f>
        <v>501.706</v>
      </c>
      <c r="CL247" s="3">
        <f>CK247</f>
        <v>501.706</v>
      </c>
      <c r="CM247" s="3">
        <f>CL247</f>
        <v>501.706</v>
      </c>
      <c r="CN247" s="3">
        <f>CM247</f>
        <v>501.706</v>
      </c>
      <c r="CO247" s="3">
        <f>CN247</f>
        <v>501.706</v>
      </c>
      <c r="CP247" s="3">
        <f>CO247</f>
        <v>501.706</v>
      </c>
      <c r="CQ247" s="3">
        <f>CP247</f>
        <v>501.706</v>
      </c>
      <c r="CR247" s="3">
        <f>CQ247</f>
        <v>501.706</v>
      </c>
      <c r="CS247" s="3">
        <f>CR247</f>
        <v>501.706</v>
      </c>
      <c r="CT247" s="3">
        <f>CS247</f>
        <v>501.706</v>
      </c>
      <c r="CU247" s="3">
        <f>CT247</f>
        <v>501.706</v>
      </c>
      <c r="CV247" s="3">
        <f>CU247</f>
        <v>501.706</v>
      </c>
      <c r="CW247" s="3">
        <f>CV247</f>
        <v>501.706</v>
      </c>
      <c r="CX247" s="3">
        <f>CW247</f>
        <v>501.706</v>
      </c>
      <c r="CY247" s="3">
        <f>CX247</f>
        <v>501.706</v>
      </c>
    </row>
    <row r="248" hidden="1" outlineLevel="1">
      <c r="C248" s="38" t="inlineStr">
        <is>
          <t>%(Var.)</t>
        </is>
      </c>
      <c r="D248" s="3" t="n"/>
      <c r="E248" s="47">
        <f>IFERROR((E247-D247)/D247,0)</f>
        <v>-0.0567242258329084</v>
      </c>
      <c r="F248" s="47">
        <f>IFERROR((F247-E247)/E247,0)</f>
        <v>0.0759740564929265</v>
      </c>
      <c r="G248" s="47">
        <f>IFERROR((G247-F247)/F247,0)</f>
        <v>-0.0641302844329904</v>
      </c>
      <c r="H248" s="3" t="n"/>
      <c r="I248" s="47">
        <f>IFERROR((I247-H247)/H247,0)</f>
        <v>0.971474578380733</v>
      </c>
      <c r="J248" s="47">
        <f>IFERROR((J247-I247)/I247,0)</f>
        <v>-0.048067172512301</v>
      </c>
      <c r="K248" s="47">
        <f>IFERROR((K247-J247)/J247,0)</f>
        <v>0.0456570848272575</v>
      </c>
      <c r="L248" s="47">
        <f>IFERROR((L247-K247)/K247,0)</f>
        <v>0.208954691402069</v>
      </c>
      <c r="M248" s="3" t="n"/>
      <c r="N248" s="47">
        <f>IFERROR((N247-M247)/M247,0)</f>
        <v>0.0221684487332082</v>
      </c>
      <c r="O248" s="47">
        <f>IFERROR((O247-N247)/N247,0)</f>
        <v>0.0591831759392322</v>
      </c>
      <c r="P248" s="47">
        <f>IFERROR((P247-O247)/O247,0)</f>
        <v>0.0323506786919204</v>
      </c>
      <c r="Q248" s="47">
        <f>IFERROR((Q247-P247)/P247,0)</f>
        <v>-0.0141048357760593</v>
      </c>
      <c r="R248" s="3" t="n"/>
      <c r="S248" s="47">
        <f>IFERROR((S247-R247)/R247,0)</f>
        <v>-0.0756513562731351</v>
      </c>
      <c r="T248" s="47">
        <f>IFERROR((T247-S247)/S247,0)</f>
        <v>-0.014505350175764</v>
      </c>
      <c r="U248" s="47">
        <f>IFERROR((U247-T247)/T247,0)</f>
        <v>0.114209931468815</v>
      </c>
      <c r="V248" s="47">
        <f>IFERROR((V247-U247)/U247,0)</f>
        <v>-0.0137847330124127</v>
      </c>
      <c r="W248" s="3" t="n"/>
      <c r="X248" s="47">
        <f>IFERROR((X247-W247)/W247,0)</f>
        <v>-0.0237931034482758</v>
      </c>
      <c r="Y248" s="47">
        <f>IFERROR((Y247-X247)/X247,0)</f>
        <v>-0.0074787756245509</v>
      </c>
      <c r="Z248" s="47">
        <f>IFERROR((Z247-Y247)/Y247,0)</f>
        <v>0.191924894152298</v>
      </c>
      <c r="AA248" s="47">
        <f>IFERROR((AA247-Z247)/Z247,0)</f>
        <v>0.0679517935834603</v>
      </c>
      <c r="AB248" s="3" t="n"/>
      <c r="AC248" s="47">
        <f>IFERROR((AC247-AB247)/AB247,0)</f>
        <v>0.155962351920365</v>
      </c>
      <c r="AD248" s="47">
        <f>IFERROR((AD247-AC247)/AC247,0)</f>
        <v>0.0437299182865829</v>
      </c>
      <c r="AE248" s="47">
        <f>IFERROR((AE247-AD247)/AD247,0)</f>
        <v>0.0192438311065652</v>
      </c>
      <c r="AF248" s="230">
        <f>IFERROR((AF247-AE247)/AE247,0)</f>
        <v>0.0027459335292008</v>
      </c>
      <c r="AG248" s="3" t="n"/>
      <c r="AH248" s="6">
        <f>IFERROR((AH247-AG247)/AG247,0)</f>
        <v>-0.0333808956040735</v>
      </c>
      <c r="AI248" s="6">
        <f>IFERROR((AI247-AH247)/AH247,0)</f>
        <v>0.0145066446660682</v>
      </c>
      <c r="AJ248" s="6" t="n"/>
      <c r="AK248" s="6" t="n"/>
      <c r="AL248" s="3" t="n"/>
      <c r="AM248" s="6" t="n"/>
      <c r="AN248" s="6" t="n"/>
      <c r="AO248" s="6" t="n"/>
      <c r="AP248" s="6" t="n"/>
      <c r="AQ248" s="3" t="n"/>
      <c r="AR248" s="6" t="n"/>
      <c r="AS248" s="6" t="n"/>
      <c r="AT248" s="6" t="n"/>
      <c r="AU248" s="6" t="n"/>
      <c r="AV248" s="3" t="n"/>
      <c r="AW248" s="6" t="n"/>
      <c r="AX248" s="6" t="n"/>
      <c r="AY248" s="6" t="n"/>
      <c r="AZ248" s="6" t="n"/>
      <c r="BA248" s="3" t="n"/>
      <c r="BB248" s="6" t="n"/>
      <c r="BC248" s="6" t="n"/>
      <c r="BD248" s="6" t="n"/>
      <c r="BE248" s="6" t="n"/>
      <c r="BF248" s="3" t="n"/>
      <c r="BG248" s="6" t="n"/>
      <c r="BH248" s="6" t="n"/>
      <c r="BI248" s="6" t="n"/>
      <c r="BJ248" s="6" t="n"/>
      <c r="BK248" s="3" t="n"/>
      <c r="BL248" s="6" t="n"/>
      <c r="BM248" s="6" t="n"/>
      <c r="BN248" s="6" t="n"/>
      <c r="BO248" s="6" t="n"/>
      <c r="BP248" s="3" t="n"/>
      <c r="BQ248" s="6" t="n"/>
      <c r="BR248" s="6" t="n"/>
      <c r="BS248" s="6" t="n"/>
      <c r="BT248" s="6" t="n"/>
      <c r="BU248" s="3" t="n"/>
      <c r="BV248" s="6" t="n"/>
      <c r="BW248" s="6" t="n"/>
      <c r="BX248" s="6" t="n"/>
      <c r="BY248" s="6" t="n"/>
      <c r="BZ248" s="3" t="n"/>
      <c r="CA248" s="6" t="n"/>
      <c r="CB248" s="6" t="n"/>
      <c r="CC248" s="6" t="n"/>
      <c r="CD248" s="6" t="n"/>
      <c r="CE248" s="3" t="n"/>
      <c r="CF248" s="6" t="n"/>
      <c r="CG248" s="6" t="n"/>
      <c r="CH248" s="6" t="n"/>
      <c r="CI248" s="6" t="n"/>
      <c r="CJ248" s="3" t="n"/>
      <c r="CK248" s="6" t="n"/>
      <c r="CL248" s="6" t="n"/>
      <c r="CM248" s="6" t="n"/>
      <c r="CN248" s="6" t="n"/>
      <c r="CO248" s="3" t="n"/>
      <c r="CP248" s="6" t="n"/>
      <c r="CQ248" s="6" t="n"/>
      <c r="CR248" s="6" t="n"/>
      <c r="CS248" s="6" t="n"/>
      <c r="CT248" s="3" t="n"/>
      <c r="CU248" s="6" t="n"/>
      <c r="CV248" s="6" t="n"/>
      <c r="CW248" s="6" t="n"/>
      <c r="CX248" s="6" t="n"/>
      <c r="CY248" s="3" t="n"/>
    </row>
    <row r="249" hidden="1" outlineLevel="1">
      <c r="C249" s="34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  <c r="CU249" s="3" t="n"/>
      <c r="CV249" s="3" t="n"/>
      <c r="CW249" s="3" t="n"/>
      <c r="CX249" s="3" t="n"/>
      <c r="CY249" s="3" t="n"/>
    </row>
    <row r="250" collapsed="1">
      <c r="C250" s="26" t="inlineStr">
        <is>
          <t>Convertible debt</t>
        </is>
      </c>
      <c r="D250" s="25" t="n"/>
      <c r="E250" s="25" t="n"/>
      <c r="F250" s="25" t="n"/>
      <c r="G250" s="25" t="n"/>
      <c r="H250" s="3">
        <f>G250</f>
        <v>0</v>
      </c>
      <c r="I250" s="25" t="n"/>
      <c r="J250" s="25" t="n"/>
      <c r="K250" s="25" t="n"/>
      <c r="L250" s="25" t="n"/>
      <c r="M250" s="3">
        <f>L250</f>
        <v>0</v>
      </c>
      <c r="N250" s="25" t="n"/>
      <c r="O250" s="25" t="n"/>
      <c r="P250" s="25" t="n"/>
      <c r="Q250" s="25" t="n"/>
      <c r="R250" s="3">
        <f>Q250</f>
        <v>0</v>
      </c>
      <c r="S250" s="25" t="n"/>
      <c r="T250" s="25" t="n"/>
      <c r="U250" s="25" t="n"/>
      <c r="V250" s="25" t="n"/>
      <c r="W250" s="3">
        <f>V250</f>
        <v>0</v>
      </c>
      <c r="X250" s="25" t="n"/>
      <c r="Y250" s="25" t="n"/>
      <c r="Z250" s="25" t="n"/>
      <c r="AA250" s="25" t="n"/>
      <c r="AB250" s="3">
        <f>AA250</f>
        <v>0</v>
      </c>
      <c r="AC250" s="25" t="n"/>
      <c r="AD250" s="25" t="n"/>
      <c r="AE250" s="25" t="n"/>
      <c r="AF250" s="25" t="n"/>
      <c r="AG250" s="3">
        <f>AF250</f>
        <v>0</v>
      </c>
      <c r="AH250" s="3">
        <f>AG250</f>
        <v>0</v>
      </c>
      <c r="AI250" s="3">
        <f>AH250</f>
        <v>0</v>
      </c>
      <c r="AJ250" s="3">
        <f>AI250</f>
        <v>0</v>
      </c>
      <c r="AK250" s="3">
        <f>AJ250</f>
        <v>0</v>
      </c>
      <c r="AL250" s="3">
        <f>AK250</f>
        <v>0</v>
      </c>
      <c r="AM250" s="3">
        <f>AL250</f>
        <v>0</v>
      </c>
      <c r="AN250" s="3">
        <f>AM250</f>
        <v>0</v>
      </c>
      <c r="AO250" s="3">
        <f>AN250</f>
        <v>0</v>
      </c>
      <c r="AP250" s="3">
        <f>AO250</f>
        <v>0</v>
      </c>
      <c r="AQ250" s="3">
        <f>AP250</f>
        <v>0</v>
      </c>
      <c r="AR250" s="3">
        <f>AQ250</f>
        <v>0</v>
      </c>
      <c r="AS250" s="3">
        <f>AR250</f>
        <v>0</v>
      </c>
      <c r="AT250" s="3">
        <f>AS250</f>
        <v>0</v>
      </c>
      <c r="AU250" s="3">
        <f>AT250</f>
        <v>0</v>
      </c>
      <c r="AV250" s="3">
        <f>AU250</f>
        <v>0</v>
      </c>
      <c r="AW250" s="3">
        <f>AV250</f>
        <v>0</v>
      </c>
      <c r="AX250" s="3">
        <f>AW250</f>
        <v>0</v>
      </c>
      <c r="AY250" s="3">
        <f>AX250</f>
        <v>0</v>
      </c>
      <c r="AZ250" s="3">
        <f>AY250</f>
        <v>0</v>
      </c>
      <c r="BA250" s="3">
        <f>AZ250</f>
        <v>0</v>
      </c>
      <c r="BB250" s="3">
        <f>BA250</f>
        <v>0</v>
      </c>
      <c r="BC250" s="3">
        <f>BB250</f>
        <v>0</v>
      </c>
      <c r="BD250" s="3">
        <f>BC250</f>
        <v>0</v>
      </c>
      <c r="BE250" s="3">
        <f>BD250</f>
        <v>0</v>
      </c>
      <c r="BF250" s="3">
        <f>BE250</f>
        <v>0</v>
      </c>
      <c r="BG250" s="3">
        <f>BF250</f>
        <v>0</v>
      </c>
      <c r="BH250" s="3">
        <f>BG250</f>
        <v>0</v>
      </c>
      <c r="BI250" s="3">
        <f>BH250</f>
        <v>0</v>
      </c>
      <c r="BJ250" s="3">
        <f>BI250</f>
        <v>0</v>
      </c>
      <c r="BK250" s="3">
        <f>BJ250</f>
        <v>0</v>
      </c>
      <c r="BL250" s="3">
        <f>BK250</f>
        <v>0</v>
      </c>
      <c r="BM250" s="3">
        <f>BL250</f>
        <v>0</v>
      </c>
      <c r="BN250" s="3">
        <f>BM250</f>
        <v>0</v>
      </c>
      <c r="BO250" s="3">
        <f>BN250</f>
        <v>0</v>
      </c>
      <c r="BP250" s="3">
        <f>BO250</f>
        <v>0</v>
      </c>
      <c r="BQ250" s="3">
        <f>BP250</f>
        <v>0</v>
      </c>
      <c r="BR250" s="3">
        <f>BQ250</f>
        <v>0</v>
      </c>
      <c r="BS250" s="3">
        <f>BR250</f>
        <v>0</v>
      </c>
      <c r="BT250" s="3">
        <f>BS250</f>
        <v>0</v>
      </c>
      <c r="BU250" s="3">
        <f>BT250</f>
        <v>0</v>
      </c>
      <c r="BV250" s="3">
        <f>BU250</f>
        <v>0</v>
      </c>
      <c r="BW250" s="3">
        <f>BV250</f>
        <v>0</v>
      </c>
      <c r="BX250" s="3">
        <f>BW250</f>
        <v>0</v>
      </c>
      <c r="BY250" s="3">
        <f>BX250</f>
        <v>0</v>
      </c>
      <c r="BZ250" s="3">
        <f>BY250</f>
        <v>0</v>
      </c>
      <c r="CA250" s="3">
        <f>BZ250</f>
        <v>0</v>
      </c>
      <c r="CB250" s="3">
        <f>CA250</f>
        <v>0</v>
      </c>
      <c r="CC250" s="3">
        <f>CB250</f>
        <v>0</v>
      </c>
      <c r="CD250" s="3">
        <f>CC250</f>
        <v>0</v>
      </c>
      <c r="CE250" s="3">
        <f>CD250</f>
        <v>0</v>
      </c>
      <c r="CF250" s="3">
        <f>CE250</f>
        <v>0</v>
      </c>
      <c r="CG250" s="3">
        <f>CF250</f>
        <v>0</v>
      </c>
      <c r="CH250" s="3">
        <f>CG250</f>
        <v>0</v>
      </c>
      <c r="CI250" s="3">
        <f>CH250</f>
        <v>0</v>
      </c>
      <c r="CJ250" s="3">
        <f>CI250</f>
        <v>0</v>
      </c>
      <c r="CK250" s="3">
        <f>CJ250</f>
        <v>0</v>
      </c>
      <c r="CL250" s="3">
        <f>CK250</f>
        <v>0</v>
      </c>
      <c r="CM250" s="3">
        <f>CL250</f>
        <v>0</v>
      </c>
      <c r="CN250" s="3">
        <f>CM250</f>
        <v>0</v>
      </c>
      <c r="CO250" s="3">
        <f>CN250</f>
        <v>0</v>
      </c>
      <c r="CP250" s="3">
        <f>CO250</f>
        <v>0</v>
      </c>
      <c r="CQ250" s="3">
        <f>CP250</f>
        <v>0</v>
      </c>
      <c r="CR250" s="3">
        <f>CQ250</f>
        <v>0</v>
      </c>
      <c r="CS250" s="3">
        <f>CR250</f>
        <v>0</v>
      </c>
      <c r="CT250" s="3">
        <f>CS250</f>
        <v>0</v>
      </c>
      <c r="CU250" s="3">
        <f>CT250</f>
        <v>0</v>
      </c>
      <c r="CV250" s="3">
        <f>CU250</f>
        <v>0</v>
      </c>
      <c r="CW250" s="3">
        <f>CV250</f>
        <v>0</v>
      </c>
      <c r="CX250" s="3">
        <f>CW250</f>
        <v>0</v>
      </c>
      <c r="CY250" s="3">
        <f>CX250</f>
        <v>0</v>
      </c>
    </row>
    <row r="251">
      <c r="C251" s="26" t="inlineStr">
        <is>
          <t>Deferred income taxes</t>
        </is>
      </c>
      <c r="D251" s="25">
        <f>INDEX('Inputs (2)'!$D$38:$AL$38,MATCH(D$7,'Inputs (2)'!$D$2:$AL$2,0))</f>
        <v>141.721</v>
      </c>
      <c r="E251" s="25">
        <f>INDEX('Inputs (2)'!$D$38:$AL$38,MATCH(E$7,'Inputs (2)'!$D$2:$AL$2,0))</f>
        <v>144.148</v>
      </c>
      <c r="F251" s="25">
        <f>INDEX('Inputs (2)'!$D$38:$AL$38,MATCH(F$7,'Inputs (2)'!$D$2:$AL$2,0))</f>
        <v>162.111</v>
      </c>
      <c r="G251" s="25">
        <f>INDEX('Inputs (2)'!$D$38:$AL$38,MATCH(G$7,'Inputs (2)'!$D$2:$AL$2,0))</f>
        <v>231.043</v>
      </c>
      <c r="H251" s="3">
        <f>G251</f>
        <v>231.043</v>
      </c>
      <c r="I251" s="25">
        <f>INDEX('Inputs (2)'!$D$38:$AL$38,MATCH(I$7,'Inputs (2)'!$D$2:$AL$2,0))</f>
        <v>253.092</v>
      </c>
      <c r="J251" s="25">
        <f>INDEX('Inputs (2)'!$D$38:$AL$38,MATCH(J$7,'Inputs (2)'!$D$2:$AL$2,0))</f>
        <v>354.903</v>
      </c>
      <c r="K251" s="25">
        <f>INDEX('Inputs (2)'!$D$38:$AL$38,MATCH(K$7,'Inputs (2)'!$D$2:$AL$2,0))</f>
        <v>488.512</v>
      </c>
      <c r="L251" s="25">
        <f>INDEX('Inputs (2)'!$D$38:$AL$38,MATCH(L$7,'Inputs (2)'!$D$2:$AL$2,0))</f>
        <v>550.758</v>
      </c>
      <c r="M251" s="3">
        <f>L251</f>
        <v>550.758</v>
      </c>
      <c r="N251" s="25">
        <f>INDEX('Inputs (2)'!$D$38:$AL$38,MATCH(N$7,'Inputs (2)'!$D$2:$AL$2,0))</f>
        <v>551.177</v>
      </c>
      <c r="O251" s="25">
        <f>INDEX('Inputs (2)'!$D$38:$AL$38,MATCH(O$7,'Inputs (2)'!$D$2:$AL$2,0))</f>
        <v>577.658</v>
      </c>
      <c r="P251" s="25">
        <f>INDEX('Inputs (2)'!$D$38:$AL$38,MATCH(P$7,'Inputs (2)'!$D$2:$AL$2,0))</f>
        <v>589.252</v>
      </c>
      <c r="Q251" s="25">
        <f>INDEX('Inputs (2)'!$D$38:$AL$38,MATCH(Q$7,'Inputs (2)'!$D$2:$AL$2,0))</f>
        <v>611.603</v>
      </c>
      <c r="R251" s="3">
        <f>Q251</f>
        <v>611.603</v>
      </c>
      <c r="S251" s="25">
        <f>INDEX('Inputs (2)'!$D$38:$AL$38,MATCH(S$7,'Inputs (2)'!$D$2:$AL$2,0))</f>
        <v>764.597</v>
      </c>
      <c r="T251" s="25">
        <f>INDEX('Inputs (2)'!$D$38:$AL$38,MATCH(T$7,'Inputs (2)'!$D$2:$AL$2,0))</f>
        <v>829.712</v>
      </c>
      <c r="U251" s="25">
        <f>INDEX('Inputs (2)'!$D$38:$AL$38,MATCH(U$7,'Inputs (2)'!$D$2:$AL$2,0))</f>
        <v>814.36</v>
      </c>
      <c r="V251" s="25">
        <f>INDEX('Inputs (2)'!$D$38:$AL$38,MATCH(V$7,'Inputs (2)'!$D$2:$AL$2,0))</f>
        <v>780.22</v>
      </c>
      <c r="W251" s="3">
        <f>V251</f>
        <v>780.22</v>
      </c>
      <c r="X251" s="25">
        <f>INDEX('Inputs (2)'!$D$38:$AL$38,MATCH(X$7,'Inputs (2)'!$D$2:$AL$2,0))</f>
        <v>780.929</v>
      </c>
      <c r="Y251" s="25">
        <f>INDEX('Inputs (2)'!$D$38:$AL$38,MATCH(Y$7,'Inputs (2)'!$D$2:$AL$2,0))</f>
        <v>861.486</v>
      </c>
      <c r="Z251" s="25">
        <f>INDEX('Inputs (2)'!$D$38:$AL$38,MATCH(Z$7,'Inputs (2)'!$D$2:$AL$2,0))</f>
        <v>937.03</v>
      </c>
      <c r="AA251" s="25">
        <f>INDEX('Inputs (2)'!$D$38:$AL$38,MATCH(AA$7,'Inputs (2)'!$D$2:$AL$2,0))</f>
        <v>319.118</v>
      </c>
      <c r="AB251" s="3">
        <f>AA251</f>
        <v>319.118</v>
      </c>
      <c r="AC251" s="25">
        <f>INDEX('Inputs (2)'!$D$38:$AL$38,MATCH(AC$7,'Inputs (2)'!$D$2:$AL$2,0))</f>
        <v>331.116</v>
      </c>
      <c r="AD251" s="25">
        <f>INDEX('Inputs (2)'!$D$38:$AL$38,MATCH(AD$7,'Inputs (2)'!$D$2:$AL$2,0))</f>
        <v>356.854</v>
      </c>
      <c r="AE251" s="25">
        <f>INDEX('Inputs (2)'!$D$38:$AL$38,MATCH(AE$7,'Inputs (2)'!$D$2:$AL$2,0))</f>
        <v>393.331</v>
      </c>
      <c r="AF251" s="25">
        <f>INDEX('Inputs (2)'!$D$38:$AL$38,MATCH(AF$7,'Inputs (2)'!$D$2:$AL$2,0))</f>
        <v>554.65</v>
      </c>
      <c r="AG251" s="3">
        <f>AF251</f>
        <v>554.65</v>
      </c>
      <c r="AH251" s="3">
        <f>INDEX('Inputs (2)'!$D$38:$AL$38,MATCH(AH$7,'Inputs (2)'!$D$2:$AL$2,0))</f>
        <v>583.321</v>
      </c>
      <c r="AI251" s="3">
        <f>INDEX('Inputs (2)'!$D$38:$AL$38,MATCH(AI$7,'Inputs (2)'!$D$2:$AL$2,0))</f>
        <v>610.153</v>
      </c>
      <c r="AJ251" s="3">
        <f>AI251</f>
        <v>610.153</v>
      </c>
      <c r="AK251" s="3">
        <f>AJ251</f>
        <v>610.153</v>
      </c>
      <c r="AL251" s="3">
        <f>AK251</f>
        <v>610.153</v>
      </c>
      <c r="AM251" s="3">
        <f>AL251</f>
        <v>610.153</v>
      </c>
      <c r="AN251" s="3">
        <f>AM251</f>
        <v>610.153</v>
      </c>
      <c r="AO251" s="3">
        <f>AN251</f>
        <v>610.153</v>
      </c>
      <c r="AP251" s="3">
        <f>AO251</f>
        <v>610.153</v>
      </c>
      <c r="AQ251" s="3">
        <f>AP251</f>
        <v>610.153</v>
      </c>
      <c r="AR251" s="3">
        <f>AQ251</f>
        <v>610.153</v>
      </c>
      <c r="AS251" s="3">
        <f>AR251</f>
        <v>610.153</v>
      </c>
      <c r="AT251" s="3">
        <f>AS251</f>
        <v>610.153</v>
      </c>
      <c r="AU251" s="3">
        <f>AT251</f>
        <v>610.153</v>
      </c>
      <c r="AV251" s="3">
        <f>AU251</f>
        <v>610.153</v>
      </c>
      <c r="AW251" s="3">
        <f>AV251</f>
        <v>610.153</v>
      </c>
      <c r="AX251" s="3">
        <f>AW251</f>
        <v>610.153</v>
      </c>
      <c r="AY251" s="3">
        <f>AX251</f>
        <v>610.153</v>
      </c>
      <c r="AZ251" s="3">
        <f>AY251</f>
        <v>610.153</v>
      </c>
      <c r="BA251" s="3">
        <f>AZ251</f>
        <v>610.153</v>
      </c>
      <c r="BB251" s="3">
        <f>BA251</f>
        <v>610.153</v>
      </c>
      <c r="BC251" s="3">
        <f>BB251</f>
        <v>610.153</v>
      </c>
      <c r="BD251" s="3">
        <f>BC251</f>
        <v>610.153</v>
      </c>
      <c r="BE251" s="3">
        <f>BD251</f>
        <v>610.153</v>
      </c>
      <c r="BF251" s="3">
        <f>BE251</f>
        <v>610.153</v>
      </c>
      <c r="BG251" s="3">
        <f>BF251</f>
        <v>610.153</v>
      </c>
      <c r="BH251" s="3">
        <f>BG251</f>
        <v>610.153</v>
      </c>
      <c r="BI251" s="3">
        <f>BH251</f>
        <v>610.153</v>
      </c>
      <c r="BJ251" s="3">
        <f>BI251</f>
        <v>610.153</v>
      </c>
      <c r="BK251" s="3">
        <f>BJ251</f>
        <v>610.153</v>
      </c>
      <c r="BL251" s="3">
        <f>BK251</f>
        <v>610.153</v>
      </c>
      <c r="BM251" s="3">
        <f>BL251</f>
        <v>610.153</v>
      </c>
      <c r="BN251" s="3">
        <f>BM251</f>
        <v>610.153</v>
      </c>
      <c r="BO251" s="3">
        <f>BN251</f>
        <v>610.153</v>
      </c>
      <c r="BP251" s="3">
        <f>BO251</f>
        <v>610.153</v>
      </c>
      <c r="BQ251" s="3">
        <f>BP251</f>
        <v>610.153</v>
      </c>
      <c r="BR251" s="3">
        <f>BQ251</f>
        <v>610.153</v>
      </c>
      <c r="BS251" s="3">
        <f>BR251</f>
        <v>610.153</v>
      </c>
      <c r="BT251" s="3">
        <f>BS251</f>
        <v>610.153</v>
      </c>
      <c r="BU251" s="3">
        <f>BT251</f>
        <v>610.153</v>
      </c>
      <c r="BV251" s="3">
        <f>BU251</f>
        <v>610.153</v>
      </c>
      <c r="BW251" s="3">
        <f>BV251</f>
        <v>610.153</v>
      </c>
      <c r="BX251" s="3">
        <f>BW251</f>
        <v>610.153</v>
      </c>
      <c r="BY251" s="3">
        <f>BX251</f>
        <v>610.153</v>
      </c>
      <c r="BZ251" s="3">
        <f>BY251</f>
        <v>610.153</v>
      </c>
      <c r="CA251" s="3">
        <f>BZ251</f>
        <v>610.153</v>
      </c>
      <c r="CB251" s="3">
        <f>CA251</f>
        <v>610.153</v>
      </c>
      <c r="CC251" s="3">
        <f>CB251</f>
        <v>610.153</v>
      </c>
      <c r="CD251" s="3">
        <f>CC251</f>
        <v>610.153</v>
      </c>
      <c r="CE251" s="3">
        <f>CD251</f>
        <v>610.153</v>
      </c>
      <c r="CF251" s="3">
        <f>CE251</f>
        <v>610.153</v>
      </c>
      <c r="CG251" s="3">
        <f>CF251</f>
        <v>610.153</v>
      </c>
      <c r="CH251" s="3">
        <f>CG251</f>
        <v>610.153</v>
      </c>
      <c r="CI251" s="3">
        <f>CH251</f>
        <v>610.153</v>
      </c>
      <c r="CJ251" s="3">
        <f>CI251</f>
        <v>610.153</v>
      </c>
      <c r="CK251" s="3">
        <f>CJ251</f>
        <v>610.153</v>
      </c>
      <c r="CL251" s="3">
        <f>CK251</f>
        <v>610.153</v>
      </c>
      <c r="CM251" s="3">
        <f>CL251</f>
        <v>610.153</v>
      </c>
      <c r="CN251" s="3">
        <f>CM251</f>
        <v>610.153</v>
      </c>
      <c r="CO251" s="3">
        <f>CN251</f>
        <v>610.153</v>
      </c>
      <c r="CP251" s="3">
        <f>CO251</f>
        <v>610.153</v>
      </c>
      <c r="CQ251" s="3">
        <f>CP251</f>
        <v>610.153</v>
      </c>
      <c r="CR251" s="3">
        <f>CQ251</f>
        <v>610.153</v>
      </c>
      <c r="CS251" s="3">
        <f>CR251</f>
        <v>610.153</v>
      </c>
      <c r="CT251" s="3">
        <f>CS251</f>
        <v>610.153</v>
      </c>
      <c r="CU251" s="3">
        <f>CT251</f>
        <v>610.153</v>
      </c>
      <c r="CV251" s="3">
        <f>CU251</f>
        <v>610.153</v>
      </c>
      <c r="CW251" s="3">
        <f>CV251</f>
        <v>610.153</v>
      </c>
      <c r="CX251" s="3">
        <f>CW251</f>
        <v>610.153</v>
      </c>
      <c r="CY251" s="3">
        <f>CX251</f>
        <v>610.153</v>
      </c>
    </row>
    <row r="252">
      <c r="C252" s="26" t="inlineStr">
        <is>
          <t>Other non-current liabilities</t>
        </is>
      </c>
      <c r="D252" s="25">
        <f>INDEX('Inputs (2)'!$D$39:$AL$39,MATCH(D$7,'Inputs (2)'!$D$2:$AL$2,0))</f>
        <v>6.006</v>
      </c>
      <c r="E252" s="25">
        <f>INDEX('Inputs (2)'!$D$39:$AL$39,MATCH(E$7,'Inputs (2)'!$D$2:$AL$2,0))</f>
        <v>8.832</v>
      </c>
      <c r="F252" s="25">
        <f>INDEX('Inputs (2)'!$D$39:$AL$39,MATCH(F$7,'Inputs (2)'!$D$2:$AL$2,0))</f>
        <v>5.804</v>
      </c>
      <c r="G252" s="25">
        <f>INDEX('Inputs (2)'!$D$39:$AL$39,MATCH(G$7,'Inputs (2)'!$D$2:$AL$2,0))</f>
        <v>5.272</v>
      </c>
      <c r="H252" s="3">
        <f>G252</f>
        <v>5.272</v>
      </c>
      <c r="I252" s="25">
        <f>INDEX('Inputs (2)'!$D$39:$AL$39,MATCH(I$7,'Inputs (2)'!$D$2:$AL$2,0))</f>
        <v>175.514</v>
      </c>
      <c r="J252" s="25">
        <f>INDEX('Inputs (2)'!$D$39:$AL$39,MATCH(J$7,'Inputs (2)'!$D$2:$AL$2,0))</f>
        <v>368.941</v>
      </c>
      <c r="K252" s="25">
        <f>INDEX('Inputs (2)'!$D$39:$AL$39,MATCH(K$7,'Inputs (2)'!$D$2:$AL$2,0))</f>
        <v>389.206</v>
      </c>
      <c r="L252" s="25">
        <f>INDEX('Inputs (2)'!$D$39:$AL$39,MATCH(L$7,'Inputs (2)'!$D$2:$AL$2,0))</f>
        <v>121.857</v>
      </c>
      <c r="M252" s="3">
        <f>L252</f>
        <v>121.857</v>
      </c>
      <c r="N252" s="25">
        <f>INDEX('Inputs (2)'!$D$39:$AL$39,MATCH(N$7,'Inputs (2)'!$D$2:$AL$2,0))</f>
        <v>701.389</v>
      </c>
      <c r="O252" s="25">
        <f>INDEX('Inputs (2)'!$D$39:$AL$39,MATCH(O$7,'Inputs (2)'!$D$2:$AL$2,0))</f>
        <v>756.418</v>
      </c>
      <c r="P252" s="25">
        <f>INDEX('Inputs (2)'!$D$39:$AL$39,MATCH(P$7,'Inputs (2)'!$D$2:$AL$2,0))</f>
        <v>778.453</v>
      </c>
      <c r="Q252" s="25">
        <f>INDEX('Inputs (2)'!$D$39:$AL$39,MATCH(Q$7,'Inputs (2)'!$D$2:$AL$2,0))</f>
        <v>1291.909</v>
      </c>
      <c r="R252" s="3">
        <f>Q252</f>
        <v>1291.909</v>
      </c>
      <c r="S252" s="25">
        <f>INDEX('Inputs (2)'!$D$39:$AL$39,MATCH(S$7,'Inputs (2)'!$D$2:$AL$2,0))</f>
        <v>1214.05</v>
      </c>
      <c r="T252" s="25">
        <f>INDEX('Inputs (2)'!$D$39:$AL$39,MATCH(T$7,'Inputs (2)'!$D$2:$AL$2,0))</f>
        <v>1141.869</v>
      </c>
      <c r="U252" s="25">
        <f>INDEX('Inputs (2)'!$D$39:$AL$39,MATCH(U$7,'Inputs (2)'!$D$2:$AL$2,0))</f>
        <v>1124.146</v>
      </c>
      <c r="V252" s="25">
        <f>INDEX('Inputs (2)'!$D$39:$AL$39,MATCH(V$7,'Inputs (2)'!$D$2:$AL$2,0))</f>
        <v>344.124</v>
      </c>
      <c r="W252" s="3">
        <f>V252</f>
        <v>344.124</v>
      </c>
      <c r="X252" s="25">
        <f>INDEX('Inputs (2)'!$D$39:$AL$39,MATCH(X$7,'Inputs (2)'!$D$2:$AL$2,0))</f>
        <v>437.191</v>
      </c>
      <c r="Y252" s="25">
        <f>INDEX('Inputs (2)'!$D$39:$AL$39,MATCH(Y$7,'Inputs (2)'!$D$2:$AL$2,0))</f>
        <v>528.912</v>
      </c>
      <c r="Z252" s="25">
        <f>INDEX('Inputs (2)'!$D$39:$AL$39,MATCH(Z$7,'Inputs (2)'!$D$2:$AL$2,0))</f>
        <v>595.543</v>
      </c>
      <c r="AA252" s="25">
        <f>INDEX('Inputs (2)'!$D$39:$AL$39,MATCH(AA$7,'Inputs (2)'!$D$2:$AL$2,0))</f>
        <v>394.754</v>
      </c>
      <c r="AB252" s="3">
        <f>AA252</f>
        <v>394.754</v>
      </c>
      <c r="AC252" s="25">
        <f>INDEX('Inputs (2)'!$D$39:$AL$39,MATCH(AC$7,'Inputs (2)'!$D$2:$AL$2,0))</f>
        <v>613.334</v>
      </c>
      <c r="AD252" s="25">
        <f>INDEX('Inputs (2)'!$D$39:$AL$39,MATCH(AD$7,'Inputs (2)'!$D$2:$AL$2,0))</f>
        <v>822.429</v>
      </c>
      <c r="AE252" s="25">
        <f>INDEX('Inputs (2)'!$D$39:$AL$39,MATCH(AE$7,'Inputs (2)'!$D$2:$AL$2,0))</f>
        <v>953.481</v>
      </c>
      <c r="AF252" s="25">
        <f>INDEX('Inputs (2)'!$D$39:$AL$39,MATCH(AF$7,'Inputs (2)'!$D$2:$AL$2,0))</f>
        <v>1108.57</v>
      </c>
      <c r="AG252" s="3">
        <f>AF252</f>
        <v>1108.57</v>
      </c>
      <c r="AH252" s="3">
        <f>INDEX('Inputs (2)'!$D$39:$AL$39,MATCH(AH$7,'Inputs (2)'!$D$2:$AL$2,0))</f>
        <v>1368.663</v>
      </c>
      <c r="AI252" s="3">
        <f>INDEX('Inputs (2)'!$D$39:$AL$39,MATCH(AI$7,'Inputs (2)'!$D$2:$AL$2,0))</f>
        <v>1521.839</v>
      </c>
      <c r="AJ252" s="3">
        <f>AI252</f>
        <v>1521.839</v>
      </c>
      <c r="AK252" s="3">
        <f>AJ252</f>
        <v>1521.839</v>
      </c>
      <c r="AL252" s="3">
        <f>AK252</f>
        <v>1521.839</v>
      </c>
      <c r="AM252" s="3">
        <f>AL252</f>
        <v>1521.839</v>
      </c>
      <c r="AN252" s="3">
        <f>AM252</f>
        <v>1521.839</v>
      </c>
      <c r="AO252" s="3">
        <f>AN252</f>
        <v>1521.839</v>
      </c>
      <c r="AP252" s="3">
        <f>AO252</f>
        <v>1521.839</v>
      </c>
      <c r="AQ252" s="3">
        <f>AP252</f>
        <v>1521.839</v>
      </c>
      <c r="AR252" s="3">
        <f>AQ252</f>
        <v>1521.839</v>
      </c>
      <c r="AS252" s="3">
        <f>AR252</f>
        <v>1521.839</v>
      </c>
      <c r="AT252" s="3">
        <f>AS252</f>
        <v>1521.839</v>
      </c>
      <c r="AU252" s="3">
        <f>AT252</f>
        <v>1521.839</v>
      </c>
      <c r="AV252" s="3">
        <f>AU252</f>
        <v>1521.839</v>
      </c>
      <c r="AW252" s="3">
        <f>AV252</f>
        <v>1521.839</v>
      </c>
      <c r="AX252" s="3">
        <f>AW252</f>
        <v>1521.839</v>
      </c>
      <c r="AY252" s="3">
        <f>AX252</f>
        <v>1521.839</v>
      </c>
      <c r="AZ252" s="3">
        <f>AY252</f>
        <v>1521.839</v>
      </c>
      <c r="BA252" s="3">
        <f>AZ252</f>
        <v>1521.839</v>
      </c>
      <c r="BB252" s="3">
        <f>BA252</f>
        <v>1521.839</v>
      </c>
      <c r="BC252" s="3">
        <f>BB252</f>
        <v>1521.839</v>
      </c>
      <c r="BD252" s="3">
        <f>BC252</f>
        <v>1521.839</v>
      </c>
      <c r="BE252" s="3">
        <f>BD252</f>
        <v>1521.839</v>
      </c>
      <c r="BF252" s="3">
        <f>BE252</f>
        <v>1521.839</v>
      </c>
      <c r="BG252" s="3">
        <f>BF252</f>
        <v>1521.839</v>
      </c>
      <c r="BH252" s="3">
        <f>BG252</f>
        <v>1521.839</v>
      </c>
      <c r="BI252" s="3">
        <f>BH252</f>
        <v>1521.839</v>
      </c>
      <c r="BJ252" s="3">
        <f>BI252</f>
        <v>1521.839</v>
      </c>
      <c r="BK252" s="3">
        <f>BJ252</f>
        <v>1521.839</v>
      </c>
      <c r="BL252" s="3">
        <f>BK252</f>
        <v>1521.839</v>
      </c>
      <c r="BM252" s="3">
        <f>BL252</f>
        <v>1521.839</v>
      </c>
      <c r="BN252" s="3">
        <f>BM252</f>
        <v>1521.839</v>
      </c>
      <c r="BO252" s="3">
        <f>BN252</f>
        <v>1521.839</v>
      </c>
      <c r="BP252" s="3">
        <f>BO252</f>
        <v>1521.839</v>
      </c>
      <c r="BQ252" s="3">
        <f>BP252</f>
        <v>1521.839</v>
      </c>
      <c r="BR252" s="3">
        <f>BQ252</f>
        <v>1521.839</v>
      </c>
      <c r="BS252" s="3">
        <f>BR252</f>
        <v>1521.839</v>
      </c>
      <c r="BT252" s="3">
        <f>BS252</f>
        <v>1521.839</v>
      </c>
      <c r="BU252" s="3">
        <f>BT252</f>
        <v>1521.839</v>
      </c>
      <c r="BV252" s="3">
        <f>BU252</f>
        <v>1521.839</v>
      </c>
      <c r="BW252" s="3">
        <f>BV252</f>
        <v>1521.839</v>
      </c>
      <c r="BX252" s="3">
        <f>BW252</f>
        <v>1521.839</v>
      </c>
      <c r="BY252" s="3">
        <f>BX252</f>
        <v>1521.839</v>
      </c>
      <c r="BZ252" s="3">
        <f>BY252</f>
        <v>1521.839</v>
      </c>
      <c r="CA252" s="3">
        <f>BZ252</f>
        <v>1521.839</v>
      </c>
      <c r="CB252" s="3">
        <f>CA252</f>
        <v>1521.839</v>
      </c>
      <c r="CC252" s="3">
        <f>CB252</f>
        <v>1521.839</v>
      </c>
      <c r="CD252" s="3">
        <f>CC252</f>
        <v>1521.839</v>
      </c>
      <c r="CE252" s="3">
        <f>CD252</f>
        <v>1521.839</v>
      </c>
      <c r="CF252" s="3">
        <f>CE252</f>
        <v>1521.839</v>
      </c>
      <c r="CG252" s="3">
        <f>CF252</f>
        <v>1521.839</v>
      </c>
      <c r="CH252" s="3">
        <f>CG252</f>
        <v>1521.839</v>
      </c>
      <c r="CI252" s="3">
        <f>CH252</f>
        <v>1521.839</v>
      </c>
      <c r="CJ252" s="3">
        <f>CI252</f>
        <v>1521.839</v>
      </c>
      <c r="CK252" s="3">
        <f>CJ252</f>
        <v>1521.839</v>
      </c>
      <c r="CL252" s="3">
        <f>CK252</f>
        <v>1521.839</v>
      </c>
      <c r="CM252" s="3">
        <f>CL252</f>
        <v>1521.839</v>
      </c>
      <c r="CN252" s="3">
        <f>CM252</f>
        <v>1521.839</v>
      </c>
      <c r="CO252" s="3">
        <f>CN252</f>
        <v>1521.839</v>
      </c>
      <c r="CP252" s="3">
        <f>CO252</f>
        <v>1521.839</v>
      </c>
      <c r="CQ252" s="3">
        <f>CP252</f>
        <v>1521.839</v>
      </c>
      <c r="CR252" s="3">
        <f>CQ252</f>
        <v>1521.839</v>
      </c>
      <c r="CS252" s="3">
        <f>CR252</f>
        <v>1521.839</v>
      </c>
      <c r="CT252" s="3">
        <f>CS252</f>
        <v>1521.839</v>
      </c>
      <c r="CU252" s="3">
        <f>CT252</f>
        <v>1521.839</v>
      </c>
      <c r="CV252" s="3">
        <f>CU252</f>
        <v>1521.839</v>
      </c>
      <c r="CW252" s="3">
        <f>CV252</f>
        <v>1521.839</v>
      </c>
      <c r="CX252" s="3">
        <f>CW252</f>
        <v>1521.839</v>
      </c>
      <c r="CY252" s="3">
        <f>CX252</f>
        <v>1521.839</v>
      </c>
    </row>
    <row r="253" hidden="1" outlineLevel="1" ht="12" customHeight="1">
      <c r="C253" s="38" t="inlineStr">
        <is>
          <t>%(Var.)</t>
        </is>
      </c>
      <c r="D253" s="3" t="n"/>
      <c r="E253" s="47">
        <f>(E252-D252)/D252</f>
        <v>0.470529470529471</v>
      </c>
      <c r="F253" s="47">
        <f>(F252-E252)/E252</f>
        <v>-0.342844202898551</v>
      </c>
      <c r="G253" s="47">
        <f>(G252-F252)/F252</f>
        <v>-0.0916609235010336</v>
      </c>
      <c r="H253" s="3" t="n"/>
      <c r="I253" s="47">
        <f>(I252-H252)/H252</f>
        <v>32.2917298937785</v>
      </c>
      <c r="J253" s="47">
        <f>(J252-I252)/I252</f>
        <v>1.10206023451121</v>
      </c>
      <c r="K253" s="47">
        <f>(K252-J252)/J252</f>
        <v>0.0549274816298541</v>
      </c>
      <c r="L253" s="47">
        <f>(L252-K252)/K252</f>
        <v>-0.686908732136709</v>
      </c>
      <c r="M253" s="3" t="n"/>
      <c r="N253" s="47">
        <f>(N252-M252)/M252</f>
        <v>4.75583675948037</v>
      </c>
      <c r="O253" s="47">
        <f>(O252-N252)/N252</f>
        <v>0.0784571756899525</v>
      </c>
      <c r="P253" s="47">
        <f>(P252-O252)/O252</f>
        <v>0.0291307187295913</v>
      </c>
      <c r="Q253" s="47">
        <f>(Q252-P252)/P252</f>
        <v>0.659585100192305</v>
      </c>
      <c r="R253" s="3" t="n"/>
      <c r="S253" s="47">
        <f>(S252-R252)/R252</f>
        <v>-0.0602666286866955</v>
      </c>
      <c r="T253" s="47">
        <f>(T252-S252)/S252</f>
        <v>-0.059454717680491</v>
      </c>
      <c r="U253" s="47">
        <f>(U252-T252)/T252</f>
        <v>-0.0155210448834323</v>
      </c>
      <c r="V253" s="47">
        <f>(V252-U252)/U252</f>
        <v>-0.693879620618674</v>
      </c>
      <c r="W253" s="3" t="n"/>
      <c r="X253" s="47">
        <f>(X252-W252)/W252</f>
        <v>0.270446118259697</v>
      </c>
      <c r="Y253" s="47">
        <f>(Y252-X252)/X252</f>
        <v>0.20979617604205</v>
      </c>
      <c r="Z253" s="47">
        <f>(Z252-Y252)/Y252</f>
        <v>0.125977478295066</v>
      </c>
      <c r="AA253" s="47">
        <f>(AA252-Z252)/Z252</f>
        <v>-0.337152816841101</v>
      </c>
      <c r="AB253" s="3" t="n"/>
      <c r="AC253" s="47">
        <f>(AC252-AB252)/AB252</f>
        <v>0.553711931988023</v>
      </c>
      <c r="AD253" s="47">
        <f>(AD252-AC252)/AC252</f>
        <v>0.340915390309358</v>
      </c>
      <c r="AE253" s="47">
        <f>(AE252-AD252)/AD252</f>
        <v>0.159347493826215</v>
      </c>
      <c r="AF253" s="230">
        <f>(AF252-AE252)/AE252</f>
        <v>0.162655574678468</v>
      </c>
      <c r="AG253" s="3" t="n"/>
      <c r="AH253" s="230">
        <f>(AH252-AG252)/AG252</f>
        <v>0.234620276572521</v>
      </c>
      <c r="AI253" s="230">
        <f>(AI252-AH252)/AH252</f>
        <v>0.111916519990677</v>
      </c>
      <c r="AJ253" s="230" t="n"/>
      <c r="AK253" s="230" t="n"/>
      <c r="AL253" s="3" t="n"/>
      <c r="AM253" s="230" t="n"/>
      <c r="AN253" s="230" t="n"/>
      <c r="AO253" s="230" t="n"/>
      <c r="AP253" s="230" t="n"/>
      <c r="AQ253" s="3" t="n"/>
      <c r="AR253" s="230" t="n"/>
      <c r="AS253" s="230" t="n"/>
      <c r="AT253" s="230" t="n"/>
      <c r="AU253" s="230" t="n"/>
      <c r="AV253" s="3" t="n"/>
      <c r="AW253" s="230" t="n"/>
      <c r="AX253" s="230" t="n"/>
      <c r="AY253" s="230" t="n"/>
      <c r="AZ253" s="230" t="n"/>
      <c r="BA253" s="3" t="n"/>
      <c r="BB253" s="230" t="n"/>
      <c r="BC253" s="230" t="n"/>
      <c r="BD253" s="230" t="n"/>
      <c r="BE253" s="230" t="n"/>
      <c r="BF253" s="3" t="n"/>
      <c r="BG253" s="230" t="n"/>
      <c r="BH253" s="230" t="n"/>
      <c r="BI253" s="230" t="n"/>
      <c r="BJ253" s="230" t="n"/>
      <c r="BK253" s="3" t="n"/>
      <c r="BL253" s="230" t="n"/>
      <c r="BM253" s="230" t="n"/>
      <c r="BN253" s="230" t="n"/>
      <c r="BO253" s="230" t="n"/>
      <c r="BP253" s="3" t="n"/>
      <c r="BQ253" s="230" t="n"/>
      <c r="BR253" s="230" t="n"/>
      <c r="BS253" s="230" t="n"/>
      <c r="BT253" s="230" t="n"/>
      <c r="BU253" s="3" t="n"/>
      <c r="BV253" s="230" t="n"/>
      <c r="BW253" s="230" t="n"/>
      <c r="BX253" s="230" t="n"/>
      <c r="BY253" s="230" t="n"/>
      <c r="BZ253" s="3" t="n"/>
      <c r="CA253" s="230" t="n"/>
      <c r="CB253" s="230" t="n"/>
      <c r="CC253" s="230" t="n"/>
      <c r="CD253" s="230" t="n"/>
      <c r="CE253" s="3" t="n"/>
      <c r="CF253" s="230" t="n"/>
      <c r="CG253" s="230" t="n"/>
      <c r="CH253" s="230" t="n"/>
      <c r="CI253" s="230" t="n"/>
      <c r="CJ253" s="3" t="n"/>
      <c r="CK253" s="230" t="n"/>
      <c r="CL253" s="230" t="n"/>
      <c r="CM253" s="230" t="n"/>
      <c r="CN253" s="230" t="n"/>
      <c r="CO253" s="3" t="n"/>
      <c r="CP253" s="230" t="n"/>
      <c r="CQ253" s="230" t="n"/>
      <c r="CR253" s="230" t="n"/>
      <c r="CS253" s="230" t="n"/>
      <c r="CT253" s="3" t="n"/>
      <c r="CU253" s="230" t="n"/>
      <c r="CV253" s="230" t="n"/>
      <c r="CW253" s="230" t="n"/>
      <c r="CX253" s="230" t="n"/>
      <c r="CY253" s="3" t="n"/>
    </row>
    <row r="254" hidden="1" outlineLevel="1" ht="12" customHeight="1">
      <c r="C254" s="38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n"/>
      <c r="BE254" s="3" t="n"/>
      <c r="BF254" s="3" t="n"/>
      <c r="BG254" s="3" t="n"/>
      <c r="BH254" s="3" t="n"/>
      <c r="BI254" s="3" t="n"/>
      <c r="BJ254" s="3" t="n"/>
      <c r="BK254" s="3" t="n"/>
      <c r="BL254" s="3" t="n"/>
      <c r="BM254" s="3" t="n"/>
      <c r="BN254" s="3" t="n"/>
      <c r="BO254" s="3" t="n"/>
      <c r="BP254" s="3" t="n"/>
      <c r="BQ254" s="3" t="n"/>
      <c r="BR254" s="3" t="n"/>
      <c r="BS254" s="3" t="n"/>
      <c r="BT254" s="3" t="n"/>
      <c r="BU254" s="3" t="n"/>
      <c r="BV254" s="3" t="n"/>
      <c r="BW254" s="3" t="n"/>
      <c r="BX254" s="3" t="n"/>
      <c r="BY254" s="3" t="n"/>
      <c r="BZ254" s="3" t="n"/>
      <c r="CA254" s="3" t="n"/>
      <c r="CB254" s="3" t="n"/>
      <c r="CC254" s="3" t="n"/>
      <c r="CD254" s="3" t="n"/>
      <c r="CE254" s="3" t="n"/>
      <c r="CF254" s="3" t="n"/>
      <c r="CG254" s="3" t="n"/>
      <c r="CH254" s="3" t="n"/>
      <c r="CI254" s="3" t="n"/>
      <c r="CJ254" s="3" t="n"/>
      <c r="CK254" s="3" t="n"/>
      <c r="CL254" s="3" t="n"/>
      <c r="CM254" s="3" t="n"/>
      <c r="CN254" s="3" t="n"/>
      <c r="CO254" s="3" t="n"/>
      <c r="CP254" s="3" t="n"/>
      <c r="CQ254" s="3" t="n"/>
      <c r="CR254" s="3" t="n"/>
      <c r="CS254" s="3" t="n"/>
      <c r="CT254" s="3" t="n"/>
      <c r="CU254" s="3" t="n"/>
      <c r="CV254" s="3" t="n"/>
      <c r="CW254" s="3" t="n"/>
      <c r="CX254" s="3" t="n"/>
      <c r="CY254" s="3" t="n"/>
    </row>
    <row r="255" hidden="1" outlineLevel="1">
      <c r="C255" s="34" t="inlineStr">
        <is>
          <t>Contas a pagar pela aquisição de controladas</t>
        </is>
      </c>
      <c r="D255" s="6" t="n"/>
      <c r="E255" s="6" t="n"/>
      <c r="F255" s="6" t="n"/>
      <c r="G255" s="6" t="n"/>
      <c r="H255" s="3" t="n"/>
      <c r="I255" s="6" t="n"/>
      <c r="J255" s="6" t="n"/>
      <c r="K255" s="6" t="n"/>
      <c r="L255" s="6" t="n"/>
      <c r="M255" s="3" t="n"/>
      <c r="N255" s="6" t="n"/>
      <c r="O255" s="6" t="n"/>
      <c r="P255" s="6" t="n"/>
      <c r="Q255" s="6" t="n"/>
      <c r="R255" s="3" t="n"/>
      <c r="S255" s="6" t="n"/>
      <c r="T255" s="6" t="n"/>
      <c r="U255" s="6" t="n"/>
      <c r="V255" s="6" t="n"/>
      <c r="W255" s="3" t="n"/>
      <c r="X255" s="6" t="n"/>
      <c r="Y255" s="6" t="n"/>
      <c r="Z255" s="6" t="n"/>
      <c r="AA255" s="6" t="n"/>
      <c r="AB255" s="3" t="n"/>
      <c r="AC255" s="6" t="n"/>
      <c r="AD255" s="6" t="n"/>
      <c r="AE255" s="6" t="n"/>
      <c r="AF255" s="6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hidden="1" outlineLevel="1">
      <c r="C256" s="34" t="inlineStr">
        <is>
          <t xml:space="preserve">Outras Obrigações </t>
        </is>
      </c>
      <c r="D256" s="6" t="n"/>
      <c r="E256" s="6" t="n"/>
      <c r="F256" s="6" t="n"/>
      <c r="G256" s="6" t="n"/>
      <c r="H256" s="3" t="n"/>
      <c r="I256" s="6" t="n"/>
      <c r="J256" s="6" t="n"/>
      <c r="K256" s="6" t="n"/>
      <c r="L256" s="6" t="n"/>
      <c r="M256" s="3" t="n"/>
      <c r="N256" s="6" t="n"/>
      <c r="O256" s="6" t="n"/>
      <c r="P256" s="6" t="n"/>
      <c r="Q256" s="6" t="n"/>
      <c r="R256" s="3" t="n"/>
      <c r="S256" s="6" t="n"/>
      <c r="T256" s="6" t="n"/>
      <c r="U256" s="6" t="n"/>
      <c r="V256" s="6" t="n"/>
      <c r="W256" s="3" t="n"/>
      <c r="X256" s="6" t="n"/>
      <c r="Y256" s="6" t="n"/>
      <c r="Z256" s="6" t="n"/>
      <c r="AA256" s="6" t="n"/>
      <c r="AB256" s="3" t="n"/>
      <c r="AC256" s="6" t="n"/>
      <c r="AD256" s="6" t="n"/>
      <c r="AE256" s="6" t="n"/>
      <c r="AF256" s="6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  <c r="CU256" s="3" t="n"/>
      <c r="CV256" s="3" t="n"/>
      <c r="CW256" s="3" t="n"/>
      <c r="CX256" s="3" t="n"/>
      <c r="CY256" s="3" t="n"/>
    </row>
    <row r="257" hidden="1" outlineLevel="1">
      <c r="C257" s="34" t="inlineStr">
        <is>
          <t xml:space="preserve">Provisão de Risco Cíveis, Trabalhistas e Tributários </t>
        </is>
      </c>
      <c r="D257" s="6" t="n"/>
      <c r="E257" s="6" t="n"/>
      <c r="F257" s="6" t="n"/>
      <c r="G257" s="6" t="n"/>
      <c r="H257" s="3" t="n"/>
      <c r="I257" s="6" t="n"/>
      <c r="J257" s="6" t="n"/>
      <c r="K257" s="6" t="n"/>
      <c r="L257" s="6" t="n"/>
      <c r="M257" s="3" t="n"/>
      <c r="N257" s="6" t="n"/>
      <c r="O257" s="6" t="n"/>
      <c r="P257" s="6" t="n"/>
      <c r="Q257" s="6" t="n"/>
      <c r="R257" s="3" t="n"/>
      <c r="S257" s="6" t="n"/>
      <c r="T257" s="6" t="n"/>
      <c r="U257" s="6" t="n"/>
      <c r="V257" s="6" t="n"/>
      <c r="W257" s="3" t="n"/>
      <c r="X257" s="6" t="n"/>
      <c r="Y257" s="6" t="n"/>
      <c r="Z257" s="6" t="n"/>
      <c r="AA257" s="6" t="n"/>
      <c r="AB257" s="3" t="n"/>
      <c r="AC257" s="6" t="n"/>
      <c r="AD257" s="6" t="n"/>
      <c r="AE257" s="6" t="n"/>
      <c r="AF257" s="6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hidden="1" outlineLevel="1">
      <c r="C258" s="34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n"/>
      <c r="BE258" s="3" t="n"/>
      <c r="BF258" s="3" t="n"/>
      <c r="BG258" s="3" t="n"/>
      <c r="BH258" s="3" t="n"/>
      <c r="BI258" s="3" t="n"/>
      <c r="BJ258" s="3" t="n"/>
      <c r="BK258" s="3" t="n"/>
      <c r="BL258" s="3" t="n"/>
      <c r="BM258" s="3" t="n"/>
      <c r="BN258" s="3" t="n"/>
      <c r="BO258" s="3" t="n"/>
      <c r="BP258" s="3" t="n"/>
      <c r="BQ258" s="3" t="n"/>
      <c r="BR258" s="3" t="n"/>
      <c r="BS258" s="3" t="n"/>
      <c r="BT258" s="3" t="n"/>
      <c r="BU258" s="3" t="n"/>
      <c r="BV258" s="3" t="n"/>
      <c r="BW258" s="3" t="n"/>
      <c r="BX258" s="3" t="n"/>
      <c r="BY258" s="3" t="n"/>
      <c r="BZ258" s="3" t="n"/>
      <c r="CA258" s="3" t="n"/>
      <c r="CB258" s="3" t="n"/>
      <c r="CC258" s="3" t="n"/>
      <c r="CD258" s="3" t="n"/>
      <c r="CE258" s="3" t="n"/>
      <c r="CF258" s="3" t="n"/>
      <c r="CG258" s="3" t="n"/>
      <c r="CH258" s="3" t="n"/>
      <c r="CI258" s="3" t="n"/>
      <c r="CJ258" s="3" t="n"/>
      <c r="CK258" s="3" t="n"/>
      <c r="CL258" s="3" t="n"/>
      <c r="CM258" s="3" t="n"/>
      <c r="CN258" s="3" t="n"/>
      <c r="CO258" s="3" t="n"/>
      <c r="CP258" s="3" t="n"/>
      <c r="CQ258" s="3" t="n"/>
      <c r="CR258" s="3" t="n"/>
      <c r="CS258" s="3" t="n"/>
      <c r="CT258" s="3" t="n"/>
      <c r="CU258" s="3" t="n"/>
      <c r="CV258" s="3" t="n"/>
      <c r="CW258" s="3" t="n"/>
      <c r="CX258" s="3" t="n"/>
      <c r="CY258" s="3" t="n"/>
    </row>
    <row r="259" collapsed="1" customFormat="1" s="17">
      <c r="A259" s="13" t="n"/>
      <c r="B259" s="13" t="n"/>
      <c r="C259" s="27" t="inlineStr">
        <is>
          <t>Total Liabilities</t>
        </is>
      </c>
      <c r="D259" s="16">
        <f>SUM(D210+D214+D216+D217+D224+D225+D226+D229+D247+D250+D251+D252)</f>
        <v>5110.922</v>
      </c>
      <c r="E259" s="16">
        <f>SUM(E210+E214+E216+E217+E224+E225+E226+E229+E247+E250+E251+E252)</f>
        <v>5281.474</v>
      </c>
      <c r="F259" s="16">
        <f>SUM(F210+F214+F216+F217+F224+F225+F226+F229+F247+F250+F251+F252)</f>
        <v>5517.359</v>
      </c>
      <c r="G259" s="16">
        <f>SUM(G210+G214+G216+G217+G224+G225+G226+G229+G247+G250+G251+G252)</f>
        <v>6143.947</v>
      </c>
      <c r="H259" s="16">
        <f>SUM(H210,H214,H216,H217,H224,H225,H229,H226,H247,H250,H251,H252)</f>
        <v>6143.947</v>
      </c>
      <c r="I259" s="16">
        <f>SUM(I210+I214+I216+I217+I224+I225+I226+I229+I247+I250+I251+I252)</f>
        <v>10692.405</v>
      </c>
      <c r="J259" s="16">
        <f>SUM(J210+J214+J216+J217+J224+J225+J226+J229+J247+J250+J251+J252)</f>
        <v>11645.825</v>
      </c>
      <c r="K259" s="16">
        <f>SUM(K210+K214+K216+K217+K224+K225+K226+K229+K247+K250+K251+K252)</f>
        <v>16557.688</v>
      </c>
      <c r="L259" s="16">
        <f>SUM(L210+L214+L216+L217+L224+L225+L226+L229+L247+L250+L251+L252)</f>
        <v>18431.381</v>
      </c>
      <c r="M259" s="16">
        <f>SUM(M210,M214,M216,M217,M224,M225,M229,M226,M247,M250,M251,M252)</f>
        <v>18431.381</v>
      </c>
      <c r="N259" s="16">
        <f>SUM(N210+N214+N216+N217+N224+N225+N226+N229+N247+N250+N251+N252)</f>
        <v>17714.15</v>
      </c>
      <c r="O259" s="16">
        <f>SUM(O210+O214+O216+O217+O224+O225+O226+O229+O247+O250+O251+O252)</f>
        <v>20518.32</v>
      </c>
      <c r="P259" s="16">
        <f>SUM(P210+P214+P216+P217+P224+P225+P226+P229+P247+P250+P251+P252)</f>
        <v>23633.163</v>
      </c>
      <c r="Q259" s="16">
        <f>SUM(Q210+Q214+Q216+Q217+Q224+Q225+Q226+Q229+Q247+Q250+Q251+Q252)</f>
        <v>23480.206</v>
      </c>
      <c r="R259" s="16">
        <f>SUM(R210,R214,R216,R217,R224,R225,R229,R226,R247,R250,R251,R252)</f>
        <v>23480.206</v>
      </c>
      <c r="S259" s="16">
        <f>SUM(S210+S214+S216+S217+S224+S225+S226+S229+S247+S250+S251+S252)</f>
        <v>19851.176</v>
      </c>
      <c r="T259" s="16">
        <f>SUM(T210+T214+T216+T217+T224+T225+T226+T229+T247+T250+T251+T252)</f>
        <v>17997.859</v>
      </c>
      <c r="U259" s="16">
        <f>SUM(U210+U214+U216+U217+U224+U225+U226+U229+U247+U250+U251+U252)</f>
        <v>18706.876</v>
      </c>
      <c r="V259" s="16">
        <f>SUM(V210+V214+V216+V217+V224+V225+V226+V229+V247+V250+V251+V252)</f>
        <v>22597.356</v>
      </c>
      <c r="W259" s="16">
        <f>SUM(W210,W214,W216,W217,W224,W225,W229,W226,W247,W250,W251,W252)</f>
        <v>22597.356</v>
      </c>
      <c r="X259" s="16">
        <f>SUM(X210+X214+X216+X217+X224+X225+X226+X229+X247+X250+X251+X252)</f>
        <v>23671.77</v>
      </c>
      <c r="Y259" s="16">
        <f>SUM(Y210+Y214+Y216+Y217+Y224+Y225+Y226+Y229+Y247+Y250+Y251+Y252)</f>
        <v>25181.053</v>
      </c>
      <c r="Z259" s="16">
        <f>SUM(Z210+Z214+Z216+Z217+Z224+Z225+Z226+Z229+Z247+Z250+Z251+Z252)</f>
        <v>25915.966</v>
      </c>
      <c r="AA259" s="16">
        <f>SUM(AA210+AA214+AA216+AA217+AA224+AA225+AA226+AA229+AA247+AA250+AA251+AA252)</f>
        <v>28081.361</v>
      </c>
      <c r="AB259" s="16">
        <f>SUM(AB210,AB214,AB216,AB217,AB224,AB225,AB229,AB226,AB247,AB250,AB251,AB252)</f>
        <v>28081.361</v>
      </c>
      <c r="AC259" s="16">
        <f>SUM(AC210+AC214+AC216+AC217+AC224+AC225+AC226+AC229+AC247+AC250+AC251+AC252)</f>
        <v>26603.692</v>
      </c>
      <c r="AD259" s="16">
        <f>SUM(AD210+AD214+AD216+AD217+AD224+AD225+AD226+AD229+AD247+AD250+AD251+AD252)</f>
        <v>27126.593</v>
      </c>
      <c r="AE259" s="16">
        <f>SUM(AE210+AE214+AE216+AE217+AE224+AE225+AE226+AE229+AE247+AE250+AE251+AE252)</f>
        <v>26852.93</v>
      </c>
      <c r="AF259" s="16">
        <f>SUM(AF210+AF214+AF216+AF217+AF224+AF225+AF226+AF229+AF247+AF250+AF251+AF252)</f>
        <v>31957.456</v>
      </c>
      <c r="AG259" s="16">
        <f>SUM(AG210,AG214,AG216,AG217,AG224,AG225,AG229,AG226,AG247,AG250,AG251,AG252)</f>
        <v>31957.456</v>
      </c>
      <c r="AH259" s="16">
        <f>SUM(AH210+AH214+AH216+AH217+AH224+AH225+AH226+AH229+AH247+AH250+AH251+AH252)</f>
        <v>32879.713</v>
      </c>
      <c r="AI259" s="16">
        <f>SUM(AI210+AI214+AI216+AI217+AI224+AI225+AI226+AI229+AI247+AI250+AI251+AI252)</f>
        <v>33439.453</v>
      </c>
      <c r="AJ259" s="16">
        <f>SUM(AJ210+AJ214+AJ216+AJ217+AJ224+AJ225+AJ226+AJ229+AJ247+AJ250+AJ251+AJ252)</f>
        <v>27775.624</v>
      </c>
      <c r="AK259" s="16">
        <f>SUM(AK210+AK214+AK216+AK217+AK224+AK225+AK226+AK229+AK247+AK250+AK251+AK252)</f>
        <v>27775.624</v>
      </c>
      <c r="AL259" s="16">
        <f>SUM(AL210,AL214,AL216,AL217,AL224,AL225,AL229,AL226,AL247,AL250,AL251,AL252)</f>
        <v>27775.624</v>
      </c>
      <c r="AM259" s="16" t="e">
        <f>SUM(AM210+AM214+AM216+AM217+AM224+AM225+AM226+AM229+AM247+AM250+AM251+AM252)</f>
        <v>#DIV/0!</v>
      </c>
      <c r="AN259" s="16">
        <f>SUM(AN210+AN214+AN216+AN217+AN224+AN225+AN226+AN229+AN247+AN250+AN251+AN252)</f>
        <v>27775.624</v>
      </c>
      <c r="AO259" s="16" t="e">
        <f>SUM(AO210+AO214+AO216+AO217+AO224+AO225+AO226+AO229+AO247+AO250+AO251+AO252)</f>
        <v>#DIV/0!</v>
      </c>
      <c r="AP259" s="16" t="e">
        <f>SUM(AP210+AP214+AP216+AP217+AP224+AP225+AP226+AP229+AP247+AP250+AP251+AP252)</f>
        <v>#DIV/0!</v>
      </c>
      <c r="AQ259" s="16" t="e">
        <f>SUM(AQ210,AQ214,AQ216,AQ217,AQ224,AQ225,AQ229,AQ226,AQ247,AQ250,AQ251,AQ252)</f>
        <v>#DIV/0!</v>
      </c>
      <c r="AR259" s="16" t="e">
        <f>SUM(AR210+AR214+AR216+AR217+AR224+AR225+AR226+AR229+AR247+AR250+AR251+AR252)</f>
        <v>#DIV/0!</v>
      </c>
      <c r="AS259" s="16" t="e">
        <f>SUM(AS210+AS214+AS216+AS217+AS224+AS225+AS226+AS229+AS247+AS250+AS251+AS252)</f>
        <v>#DIV/0!</v>
      </c>
      <c r="AT259" s="16" t="e">
        <f>SUM(AT210+AT214+AT216+AT217+AT224+AT225+AT226+AT229+AT247+AT250+AT251+AT252)</f>
        <v>#DIV/0!</v>
      </c>
      <c r="AU259" s="16" t="e">
        <f>SUM(AU210+AU214+AU216+AU217+AU224+AU225+AU226+AU229+AU247+AU250+AU251+AU252)</f>
        <v>#DIV/0!</v>
      </c>
      <c r="AV259" s="16" t="e">
        <f>SUM(AV210,AV214,AV216,AV217,AV224,AV225,AV229,AV226,AV247,AV250,AV251,AV252)</f>
        <v>#DIV/0!</v>
      </c>
      <c r="AW259" s="16" t="e">
        <f>SUM(AW210+AW214+AW216+AW217+AW224+AW225+AW226+AW229+AW247+AW250+AW251+AW252)</f>
        <v>#DIV/0!</v>
      </c>
      <c r="AX259" s="16" t="e">
        <f>SUM(AX210+AX214+AX216+AX217+AX224+AX225+AX226+AX229+AX247+AX250+AX251+AX252)</f>
        <v>#DIV/0!</v>
      </c>
      <c r="AY259" s="16" t="e">
        <f>SUM(AY210+AY214+AY216+AY217+AY224+AY225+AY226+AY229+AY247+AY250+AY251+AY252)</f>
        <v>#DIV/0!</v>
      </c>
      <c r="AZ259" s="16" t="e">
        <f>SUM(AZ210+AZ214+AZ216+AZ217+AZ224+AZ225+AZ226+AZ229+AZ247+AZ250+AZ251+AZ252)</f>
        <v>#DIV/0!</v>
      </c>
      <c r="BA259" s="16" t="e">
        <f>SUM(BA210,BA214,BA216,BA217,BA224,BA225,BA229,BA226,BA247,BA250,BA251,BA252)</f>
        <v>#DIV/0!</v>
      </c>
      <c r="BB259" s="16" t="e">
        <f>SUM(BB210+BB214+BB216+BB217+BB224+BB225+BB226+BB229+BB247+BB250+BB251+BB252)</f>
        <v>#DIV/0!</v>
      </c>
      <c r="BC259" s="16" t="e">
        <f>SUM(BC210+BC214+BC216+BC217+BC224+BC225+BC226+BC229+BC247+BC250+BC251+BC252)</f>
        <v>#DIV/0!</v>
      </c>
      <c r="BD259" s="16" t="e">
        <f>SUM(BD210+BD214+BD216+BD217+BD224+BD225+BD226+BD229+BD247+BD250+BD251+BD252)</f>
        <v>#DIV/0!</v>
      </c>
      <c r="BE259" s="16" t="e">
        <f>SUM(BE210+BE214+BE216+BE217+BE224+BE225+BE226+BE229+BE247+BE250+BE251+BE252)</f>
        <v>#DIV/0!</v>
      </c>
      <c r="BF259" s="16" t="e">
        <f>SUM(BF210,BF214,BF216,BF217,BF224,BF225,BF229,BF226,BF247,BF250,BF251,BF252)</f>
        <v>#DIV/0!</v>
      </c>
      <c r="BG259" s="16" t="e">
        <f>SUM(BG210+BG214+BG216+BG217+BG224+BG225+BG226+BG229+BG247+BG250+BG251+BG252)</f>
        <v>#DIV/0!</v>
      </c>
      <c r="BH259" s="16" t="e">
        <f>SUM(BH210+BH214+BH216+BH217+BH224+BH225+BH226+BH229+BH247+BH250+BH251+BH252)</f>
        <v>#DIV/0!</v>
      </c>
      <c r="BI259" s="16" t="e">
        <f>SUM(BI210+BI214+BI216+BI217+BI224+BI225+BI226+BI229+BI247+BI250+BI251+BI252)</f>
        <v>#DIV/0!</v>
      </c>
      <c r="BJ259" s="16" t="e">
        <f>SUM(BJ210+BJ214+BJ216+BJ217+BJ224+BJ225+BJ226+BJ229+BJ247+BJ250+BJ251+BJ252)</f>
        <v>#DIV/0!</v>
      </c>
      <c r="BK259" s="16" t="e">
        <f>SUM(BK210,BK214,BK216,BK217,BK224,BK225,BK229,BK226,BK247,BK250,BK251,BK252)</f>
        <v>#DIV/0!</v>
      </c>
      <c r="BL259" s="16" t="e">
        <f>SUM(BL210+BL214+BL216+BL217+BL224+BL225+BL226+BL229+BL247+BL250+BL251+BL252)</f>
        <v>#DIV/0!</v>
      </c>
      <c r="BM259" s="16" t="e">
        <f>SUM(BM210+BM214+BM216+BM217+BM224+BM225+BM226+BM229+BM247+BM250+BM251+BM252)</f>
        <v>#DIV/0!</v>
      </c>
      <c r="BN259" s="16" t="e">
        <f>SUM(BN210+BN214+BN216+BN217+BN224+BN225+BN226+BN229+BN247+BN250+BN251+BN252)</f>
        <v>#DIV/0!</v>
      </c>
      <c r="BO259" s="16" t="e">
        <f>SUM(BO210+BO214+BO216+BO217+BO224+BO225+BO226+BO229+BO247+BO250+BO251+BO252)</f>
        <v>#DIV/0!</v>
      </c>
      <c r="BP259" s="16" t="e">
        <f>SUM(BP210,BP214,BP216,BP217,BP224,BP225,BP229,BP226,BP247,BP250,BP251,BP252)</f>
        <v>#DIV/0!</v>
      </c>
      <c r="BQ259" s="16" t="e">
        <f>SUM(BQ210+BQ214+BQ216+BQ217+BQ224+BQ225+BQ226+BQ229+BQ247+BQ250+BQ251+BQ252)</f>
        <v>#DIV/0!</v>
      </c>
      <c r="BR259" s="16" t="e">
        <f>SUM(BR210+BR214+BR216+BR217+BR224+BR225+BR226+BR229+BR247+BR250+BR251+BR252)</f>
        <v>#DIV/0!</v>
      </c>
      <c r="BS259" s="16" t="e">
        <f>SUM(BS210+BS214+BS216+BS217+BS224+BS225+BS226+BS229+BS247+BS250+BS251+BS252)</f>
        <v>#DIV/0!</v>
      </c>
      <c r="BT259" s="16" t="e">
        <f>SUM(BT210+BT214+BT216+BT217+BT224+BT225+BT226+BT229+BT247+BT250+BT251+BT252)</f>
        <v>#DIV/0!</v>
      </c>
      <c r="BU259" s="16" t="e">
        <f>SUM(BU210,BU214,BU216,BU217,BU224,BU225,BU229,BU226,BU247,BU250,BU251,BU252)</f>
        <v>#DIV/0!</v>
      </c>
      <c r="BV259" s="16" t="e">
        <f>SUM(BV210+BV214+BV216+BV217+BV224+BV225+BV226+BV229+BV247+BV250+BV251+BV252)</f>
        <v>#DIV/0!</v>
      </c>
      <c r="BW259" s="16" t="e">
        <f>SUM(BW210+BW214+BW216+BW217+BW224+BW225+BW226+BW229+BW247+BW250+BW251+BW252)</f>
        <v>#DIV/0!</v>
      </c>
      <c r="BX259" s="16" t="e">
        <f>SUM(BX210+BX214+BX216+BX217+BX224+BX225+BX226+BX229+BX247+BX250+BX251+BX252)</f>
        <v>#DIV/0!</v>
      </c>
      <c r="BY259" s="16" t="e">
        <f>SUM(BY210+BY214+BY216+BY217+BY224+BY225+BY226+BY229+BY247+BY250+BY251+BY252)</f>
        <v>#DIV/0!</v>
      </c>
      <c r="BZ259" s="16" t="e">
        <f>SUM(BZ210,BZ214,BZ216,BZ217,BZ224,BZ225,BZ229,BZ226,BZ247,BZ250,BZ251,BZ252)</f>
        <v>#DIV/0!</v>
      </c>
      <c r="CA259" s="16" t="e">
        <f>SUM(CA210+CA214+CA216+CA217+CA224+CA225+CA226+CA229+CA247+CA250+CA251+CA252)</f>
        <v>#DIV/0!</v>
      </c>
      <c r="CB259" s="16" t="e">
        <f>SUM(CB210+CB214+CB216+CB217+CB224+CB225+CB226+CB229+CB247+CB250+CB251+CB252)</f>
        <v>#DIV/0!</v>
      </c>
      <c r="CC259" s="16" t="e">
        <f>SUM(CC210+CC214+CC216+CC217+CC224+CC225+CC226+CC229+CC247+CC250+CC251+CC252)</f>
        <v>#DIV/0!</v>
      </c>
      <c r="CD259" s="16" t="e">
        <f>SUM(CD210+CD214+CD216+CD217+CD224+CD225+CD226+CD229+CD247+CD250+CD251+CD252)</f>
        <v>#DIV/0!</v>
      </c>
      <c r="CE259" s="16" t="e">
        <f>SUM(CE210,CE214,CE216,CE217,CE224,CE225,CE229,CE226,CE247,CE250,CE251,CE252)</f>
        <v>#DIV/0!</v>
      </c>
      <c r="CF259" s="16" t="e">
        <f>SUM(CF210+CF214+CF216+CF217+CF224+CF225+CF226+CF229+CF247+CF250+CF251+CF252)</f>
        <v>#DIV/0!</v>
      </c>
      <c r="CG259" s="16" t="e">
        <f>SUM(CG210+CG214+CG216+CG217+CG224+CG225+CG226+CG229+CG247+CG250+CG251+CG252)</f>
        <v>#DIV/0!</v>
      </c>
      <c r="CH259" s="16" t="e">
        <f>SUM(CH210+CH214+CH216+CH217+CH224+CH225+CH226+CH229+CH247+CH250+CH251+CH252)</f>
        <v>#DIV/0!</v>
      </c>
      <c r="CI259" s="16" t="e">
        <f>SUM(CI210+CI214+CI216+CI217+CI224+CI225+CI226+CI229+CI247+CI250+CI251+CI252)</f>
        <v>#DIV/0!</v>
      </c>
      <c r="CJ259" s="16" t="e">
        <f>SUM(CJ210,CJ214,CJ216,CJ217,CJ224,CJ225,CJ229,CJ226,CJ247,CJ250,CJ251,CJ252)</f>
        <v>#DIV/0!</v>
      </c>
      <c r="CK259" s="16" t="e">
        <f>SUM(CK210+CK214+CK216+CK217+CK224+CK225+CK226+CK229+CK247+CK250+CK251+CK252)</f>
        <v>#DIV/0!</v>
      </c>
      <c r="CL259" s="16" t="e">
        <f>SUM(CL210+CL214+CL216+CL217+CL224+CL225+CL226+CL229+CL247+CL250+CL251+CL252)</f>
        <v>#DIV/0!</v>
      </c>
      <c r="CM259" s="16" t="e">
        <f>SUM(CM210+CM214+CM216+CM217+CM224+CM225+CM226+CM229+CM247+CM250+CM251+CM252)</f>
        <v>#DIV/0!</v>
      </c>
      <c r="CN259" s="16" t="e">
        <f>SUM(CN210+CN214+CN216+CN217+CN224+CN225+CN226+CN229+CN247+CN250+CN251+CN252)</f>
        <v>#DIV/0!</v>
      </c>
      <c r="CO259" s="16" t="e">
        <f>SUM(CO210,CO214,CO216,CO217,CO224,CO225,CO229,CO226,CO247,CO250,CO251,CO252)</f>
        <v>#DIV/0!</v>
      </c>
      <c r="CP259" s="16" t="e">
        <f>SUM(CP210+CP214+CP216+CP217+CP224+CP225+CP226+CP229+CP247+CP250+CP251+CP252)</f>
        <v>#DIV/0!</v>
      </c>
      <c r="CQ259" s="16" t="e">
        <f>SUM(CQ210+CQ214+CQ216+CQ217+CQ224+CQ225+CQ226+CQ229+CQ247+CQ250+CQ251+CQ252)</f>
        <v>#DIV/0!</v>
      </c>
      <c r="CR259" s="16" t="e">
        <f>SUM(CR210+CR214+CR216+CR217+CR224+CR225+CR226+CR229+CR247+CR250+CR251+CR252)</f>
        <v>#DIV/0!</v>
      </c>
      <c r="CS259" s="16" t="e">
        <f>SUM(CS210+CS214+CS216+CS217+CS224+CS225+CS226+CS229+CS247+CS250+CS251+CS252)</f>
        <v>#DIV/0!</v>
      </c>
      <c r="CT259" s="16" t="e">
        <f>SUM(CT210,CT214,CT216,CT217,CT224,CT225,CT229,CT226,CT247,CT250,CT251,CT252)</f>
        <v>#DIV/0!</v>
      </c>
      <c r="CU259" s="16" t="e">
        <f>SUM(CU210+CU214+CU216+CU217+CU224+CU225+CU226+CU229+CU247+CU250+CU251+CU252)</f>
        <v>#DIV/0!</v>
      </c>
      <c r="CV259" s="16" t="e">
        <f>SUM(CV210+CV214+CV216+CV217+CV224+CV225+CV226+CV229+CV247+CV250+CV251+CV252)</f>
        <v>#DIV/0!</v>
      </c>
      <c r="CW259" s="16" t="e">
        <f>SUM(CW210+CW214+CW216+CW217+CW224+CW225+CW226+CW229+CW247+CW250+CW251+CW252)</f>
        <v>#DIV/0!</v>
      </c>
      <c r="CX259" s="16" t="e">
        <f>SUM(CX210+CX214+CX216+CX217+CX224+CX225+CX226+CX229+CX247+CX250+CX251+CX252)</f>
        <v>#DIV/0!</v>
      </c>
      <c r="CY259" s="16" t="e">
        <f>SUM(CY210,CY214,CY216,CY217,CY224,CY225,CY229,CY226,CY247,CY250,CY251,CY252)</f>
        <v>#DIV/0!</v>
      </c>
    </row>
    <row r="260">
      <c r="C260" s="26" t="inlineStr">
        <is>
          <t>Minority interest</t>
        </is>
      </c>
      <c r="D260" s="25" t="n"/>
      <c r="E260" s="25" t="n"/>
      <c r="F260" s="25" t="n"/>
      <c r="G260" s="25" t="n"/>
      <c r="H260" s="3">
        <f>G260</f>
        <v>0</v>
      </c>
      <c r="I260" s="25" t="n"/>
      <c r="J260" s="25" t="n"/>
      <c r="K260" s="25" t="n"/>
      <c r="L260" s="25" t="n"/>
      <c r="M260" s="3">
        <f>L260</f>
        <v>0</v>
      </c>
      <c r="N260" s="25" t="n"/>
      <c r="O260" s="25" t="n"/>
      <c r="P260" s="25" t="n"/>
      <c r="Q260" s="25" t="n"/>
      <c r="R260" s="3">
        <f>Q260</f>
        <v>0</v>
      </c>
      <c r="S260" s="25" t="n"/>
      <c r="T260" s="25" t="n"/>
      <c r="U260" s="25" t="n"/>
      <c r="V260" s="25" t="n"/>
      <c r="W260" s="3">
        <f>V260</f>
        <v>0</v>
      </c>
      <c r="X260" s="25" t="n"/>
      <c r="Y260" s="25" t="n"/>
      <c r="Z260" s="25" t="n"/>
      <c r="AA260" s="25" t="n"/>
      <c r="AB260" s="3">
        <f>AA260</f>
        <v>0</v>
      </c>
      <c r="AC260" s="25" t="n"/>
      <c r="AD260" s="25" t="n"/>
      <c r="AE260" s="25" t="n"/>
      <c r="AF260" s="25" t="n"/>
      <c r="AG260" s="3">
        <f>AF260</f>
        <v>0</v>
      </c>
      <c r="AH260" s="3">
        <f>AG260-AH148+AH263</f>
        <v>0</v>
      </c>
      <c r="AI260" s="3">
        <f>AH260-AI148+AI263</f>
        <v>0</v>
      </c>
      <c r="AJ260" s="3">
        <f>AI260-AJ148+AJ263</f>
        <v>0</v>
      </c>
      <c r="AK260" s="3">
        <f>AJ260-AK148+AK263</f>
        <v>0</v>
      </c>
      <c r="AL260" s="3">
        <f>AK260</f>
        <v>0</v>
      </c>
      <c r="AM260" s="3">
        <f>AL260-AM148+AM263</f>
        <v>0</v>
      </c>
      <c r="AN260" s="3">
        <f>AM260-AN148+AN263</f>
        <v>0</v>
      </c>
      <c r="AO260" s="3">
        <f>AN260-AO148+AO263</f>
        <v>0</v>
      </c>
      <c r="AP260" s="3">
        <f>AO260-AP148+AP263</f>
        <v>0</v>
      </c>
      <c r="AQ260" s="3">
        <f>AP260</f>
        <v>0</v>
      </c>
      <c r="AR260" s="3">
        <f>AQ260-AR148+AR263</f>
        <v>0</v>
      </c>
      <c r="AS260" s="3">
        <f>AR260-AS148+AS263</f>
        <v>0</v>
      </c>
      <c r="AT260" s="3">
        <f>AS260-AT148+AT263</f>
        <v>0</v>
      </c>
      <c r="AU260" s="3">
        <f>AT260-AU148+AU263</f>
        <v>0</v>
      </c>
      <c r="AV260" s="3">
        <f>AU260</f>
        <v>0</v>
      </c>
      <c r="AW260" s="3">
        <f>AV260-AW148+AW263</f>
        <v>0</v>
      </c>
      <c r="AX260" s="3">
        <f>AW260-AX148+AX263</f>
        <v>0</v>
      </c>
      <c r="AY260" s="3">
        <f>AX260-AY148+AY263</f>
        <v>0</v>
      </c>
      <c r="AZ260" s="3">
        <f>AY260-AZ148+AZ263</f>
        <v>0</v>
      </c>
      <c r="BA260" s="3">
        <f>AZ260</f>
        <v>0</v>
      </c>
      <c r="BB260" s="3">
        <f>BA260-BB148+BB263</f>
        <v>0</v>
      </c>
      <c r="BC260" s="3">
        <f>BB260-BC148+BC263</f>
        <v>0</v>
      </c>
      <c r="BD260" s="3">
        <f>BC260-BD148+BD263</f>
        <v>0</v>
      </c>
      <c r="BE260" s="3">
        <f>BD260-BE148+BE263</f>
        <v>0</v>
      </c>
      <c r="BF260" s="3">
        <f>BE260</f>
        <v>0</v>
      </c>
      <c r="BG260" s="3">
        <f>BF260-BG148+BG263</f>
        <v>0</v>
      </c>
      <c r="BH260" s="3">
        <f>BG260-BH148+BH263</f>
        <v>0</v>
      </c>
      <c r="BI260" s="3">
        <f>BH260-BI148+BI263</f>
        <v>0</v>
      </c>
      <c r="BJ260" s="3">
        <f>BI260-BJ148+BJ263</f>
        <v>0</v>
      </c>
      <c r="BK260" s="3">
        <f>BJ260</f>
        <v>0</v>
      </c>
      <c r="BL260" s="3">
        <f>BK260-BL148+BL263</f>
        <v>0</v>
      </c>
      <c r="BM260" s="3">
        <f>BL260-BM148+BM263</f>
        <v>0</v>
      </c>
      <c r="BN260" s="3">
        <f>BM260-BN148+BN263</f>
        <v>0</v>
      </c>
      <c r="BO260" s="3">
        <f>BN260-BO148+BO263</f>
        <v>0</v>
      </c>
      <c r="BP260" s="3">
        <f>BO260</f>
        <v>0</v>
      </c>
      <c r="BQ260" s="3">
        <f>BP260-BQ148+BQ263</f>
        <v>0</v>
      </c>
      <c r="BR260" s="3">
        <f>BQ260-BR148+BR263</f>
        <v>0</v>
      </c>
      <c r="BS260" s="3">
        <f>BR260-BS148+BS263</f>
        <v>0</v>
      </c>
      <c r="BT260" s="3">
        <f>BS260-BT148+BT263</f>
        <v>0</v>
      </c>
      <c r="BU260" s="3">
        <f>BT260</f>
        <v>0</v>
      </c>
      <c r="BV260" s="3">
        <f>BU260-BV148+BV263</f>
        <v>0</v>
      </c>
      <c r="BW260" s="3">
        <f>BV260-BW148+BW263</f>
        <v>0</v>
      </c>
      <c r="BX260" s="3">
        <f>BW260-BX148+BX263</f>
        <v>0</v>
      </c>
      <c r="BY260" s="3">
        <f>BX260-BY148+BY263</f>
        <v>0</v>
      </c>
      <c r="BZ260" s="3">
        <f>BY260</f>
        <v>0</v>
      </c>
      <c r="CA260" s="3">
        <f>BZ260-CA148+CA263</f>
        <v>0</v>
      </c>
      <c r="CB260" s="3">
        <f>CA260-CB148+CB263</f>
        <v>0</v>
      </c>
      <c r="CC260" s="3">
        <f>CB260-CC148+CC263</f>
        <v>0</v>
      </c>
      <c r="CD260" s="3">
        <f>CC260-CD148+CD263</f>
        <v>0</v>
      </c>
      <c r="CE260" s="3">
        <f>CD260</f>
        <v>0</v>
      </c>
      <c r="CF260" s="3">
        <f>CE260-CF148+CF263</f>
        <v>0</v>
      </c>
      <c r="CG260" s="3">
        <f>CF260-CG148+CG263</f>
        <v>0</v>
      </c>
      <c r="CH260" s="3">
        <f>CG260-CH148+CH263</f>
        <v>0</v>
      </c>
      <c r="CI260" s="3">
        <f>CH260-CI148+CI263</f>
        <v>0</v>
      </c>
      <c r="CJ260" s="3">
        <f>CI260</f>
        <v>0</v>
      </c>
      <c r="CK260" s="3">
        <f>CJ260-CK148+CK263</f>
        <v>0</v>
      </c>
      <c r="CL260" s="3">
        <f>CK260-CL148+CL263</f>
        <v>0</v>
      </c>
      <c r="CM260" s="3">
        <f>CL260-CM148+CM263</f>
        <v>0</v>
      </c>
      <c r="CN260" s="3">
        <f>CM260-CN148+CN263</f>
        <v>0</v>
      </c>
      <c r="CO260" s="3">
        <f>CN260</f>
        <v>0</v>
      </c>
      <c r="CP260" s="3">
        <f>CO260-CP148+CP263</f>
        <v>0</v>
      </c>
      <c r="CQ260" s="3">
        <f>CP260-CQ148+CQ263</f>
        <v>0</v>
      </c>
      <c r="CR260" s="3">
        <f>CQ260-CR148+CR263</f>
        <v>0</v>
      </c>
      <c r="CS260" s="3">
        <f>CR260-CS148+CS263</f>
        <v>0</v>
      </c>
      <c r="CT260" s="3">
        <f>CS260</f>
        <v>0</v>
      </c>
      <c r="CU260" s="3">
        <f>CT260-CU148+CU263</f>
        <v>0</v>
      </c>
      <c r="CV260" s="3">
        <f>CU260-CV148+CV263</f>
        <v>0</v>
      </c>
      <c r="CW260" s="3">
        <f>CV260-CW148+CW263</f>
        <v>0</v>
      </c>
      <c r="CX260" s="3">
        <f>CW260-CX148+CX263</f>
        <v>0</v>
      </c>
      <c r="CY260" s="3">
        <f>CX260</f>
        <v>0</v>
      </c>
    </row>
    <row r="261" hidden="1" outlineLevel="1" customFormat="1" s="39">
      <c r="A261" s="19" t="n"/>
      <c r="B261" s="19" t="n"/>
      <c r="C261" s="38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  <c r="AP261" s="22" t="n"/>
      <c r="AQ261" s="22" t="n"/>
      <c r="AR261" s="22" t="n"/>
      <c r="AS261" s="22" t="n"/>
      <c r="AT261" s="22" t="n"/>
      <c r="AU261" s="22" t="n"/>
      <c r="AV261" s="22" t="n"/>
      <c r="AW261" s="22" t="n"/>
      <c r="AX261" s="22" t="n"/>
      <c r="AY261" s="22" t="n"/>
      <c r="AZ261" s="22" t="n"/>
      <c r="BA261" s="22" t="n"/>
      <c r="BB261" s="22" t="n"/>
      <c r="BC261" s="22" t="n"/>
      <c r="BD261" s="22" t="n"/>
      <c r="BE261" s="22" t="n"/>
      <c r="BF261" s="22" t="n"/>
      <c r="BG261" s="22" t="n"/>
      <c r="BH261" s="22" t="n"/>
      <c r="BI261" s="22" t="n"/>
      <c r="BJ261" s="22" t="n"/>
      <c r="BK261" s="22" t="n"/>
      <c r="BL261" s="22" t="n"/>
      <c r="BM261" s="22" t="n"/>
      <c r="BN261" s="22" t="n"/>
      <c r="BO261" s="22" t="n"/>
      <c r="BP261" s="22" t="n"/>
      <c r="BQ261" s="22" t="n"/>
      <c r="BR261" s="22" t="n"/>
      <c r="BS261" s="22" t="n"/>
      <c r="BT261" s="22" t="n"/>
      <c r="BU261" s="22" t="n"/>
      <c r="BV261" s="22" t="n"/>
      <c r="BW261" s="22" t="n"/>
      <c r="BX261" s="22" t="n"/>
      <c r="BY261" s="22" t="n"/>
      <c r="BZ261" s="22" t="n"/>
      <c r="CA261" s="22" t="n"/>
      <c r="CB261" s="22" t="n"/>
      <c r="CC261" s="22" t="n"/>
      <c r="CD261" s="22" t="n"/>
      <c r="CE261" s="22" t="n"/>
      <c r="CF261" s="22" t="n"/>
      <c r="CG261" s="22" t="n"/>
      <c r="CH261" s="22" t="n"/>
      <c r="CI261" s="22" t="n"/>
      <c r="CJ261" s="22" t="n"/>
      <c r="CK261" s="22" t="n"/>
      <c r="CL261" s="22" t="n"/>
      <c r="CM261" s="22" t="n"/>
      <c r="CN261" s="22" t="n"/>
      <c r="CO261" s="22" t="n"/>
      <c r="CP261" s="22" t="n"/>
      <c r="CQ261" s="22" t="n"/>
      <c r="CR261" s="22" t="n"/>
      <c r="CS261" s="22" t="n"/>
      <c r="CT261" s="22" t="n"/>
      <c r="CU261" s="22" t="n"/>
      <c r="CV261" s="22" t="n"/>
      <c r="CW261" s="22" t="n"/>
      <c r="CX261" s="22" t="n"/>
      <c r="CY261" s="22" t="n"/>
    </row>
    <row r="262" hidden="1" outlineLevel="1" customFormat="1" s="39">
      <c r="A262" s="19" t="n"/>
      <c r="B262" s="19" t="n"/>
      <c r="C262" s="34" t="inlineStr">
        <is>
          <t>Minority Interest Expense - % YoY</t>
        </is>
      </c>
      <c r="D262" s="22" t="n"/>
      <c r="E262" s="40">
        <f>IF(D147=0,0,E147/D147-1)</f>
        <v>0</v>
      </c>
      <c r="F262" s="22" t="n"/>
      <c r="G262" s="22" t="n"/>
      <c r="H262" s="40" t="n"/>
      <c r="I262" s="22" t="n"/>
      <c r="J262" s="40">
        <f>IF(I147=0,0,J147/I147-1)</f>
        <v>0</v>
      </c>
      <c r="K262" s="22" t="n"/>
      <c r="L262" s="22" t="n"/>
      <c r="M262" s="40" t="n"/>
      <c r="N262" s="40">
        <f>IF(I147=0,0,N147/I147-1)</f>
        <v>0</v>
      </c>
      <c r="O262" s="40">
        <f>IF(J147=0,0,O147/J147-1)</f>
        <v>0</v>
      </c>
      <c r="P262" s="40">
        <f>IF(K147=0,0,P147/K147-1)</f>
        <v>0</v>
      </c>
      <c r="Q262" s="40">
        <f>IF(L147=0,0,Q147/L147-1)</f>
        <v>0</v>
      </c>
      <c r="R262" s="40" t="n"/>
      <c r="S262" s="40">
        <f>IF(N147=0,0,S147/N147-1)</f>
        <v>0</v>
      </c>
      <c r="T262" s="40">
        <f>IF(O147=0,0,T147/O147-1)</f>
        <v>0</v>
      </c>
      <c r="U262" s="40">
        <f>IF(P147=0,0,U147/P147-1)</f>
        <v>0</v>
      </c>
      <c r="V262" s="40">
        <f>IF(Q147=0,0,V147/Q147-1)</f>
        <v>0</v>
      </c>
      <c r="W262" s="40">
        <f>IF(R148=0,0,W148/R148-1)</f>
        <v>0</v>
      </c>
      <c r="X262" s="40">
        <f>IF(S147=0,0,X147/S147-1)</f>
        <v>0</v>
      </c>
      <c r="Y262" s="40">
        <f>IF(T147=0,0,Y147/T147-1)</f>
        <v>0</v>
      </c>
      <c r="Z262" s="40">
        <f>IF(U147=0,0,Z147/U147-1)</f>
        <v>0</v>
      </c>
      <c r="AA262" s="40">
        <f>IF(V147=0,0,AA147/V147-1)</f>
        <v>0</v>
      </c>
      <c r="AB262" s="40">
        <f>IF(W148=0,0,AB148/W148-1)</f>
        <v>0</v>
      </c>
      <c r="AC262" s="40">
        <f>IF(X147=0,0,AC147/X147-1)</f>
        <v>0</v>
      </c>
      <c r="AD262" s="40">
        <f>IF(Y147=0,0,AD147/Y147-1)</f>
        <v>0</v>
      </c>
      <c r="AE262" s="40">
        <f>IF(Z147=0,0,AE147/Z147-1)</f>
        <v>0</v>
      </c>
      <c r="AF262" s="40">
        <f>IF(AA147=0,0,AF147/AA147-1)</f>
        <v>0</v>
      </c>
      <c r="AG262" s="40">
        <f>IF(AB148=0,0,AG148/AB148-1)</f>
        <v>0</v>
      </c>
      <c r="AH262" s="35">
        <f>IF(AC147=0,0,AH147/AC147-1)</f>
        <v>0</v>
      </c>
      <c r="AI262" s="35">
        <f>IF(AD147=0,0,AI147/AD147-1)</f>
        <v>0</v>
      </c>
      <c r="AJ262" s="35" t="n"/>
      <c r="AK262" s="35" t="n"/>
      <c r="AL262" s="40">
        <f>IF(AG148=0,0,AL148/AG148-1)</f>
        <v>0</v>
      </c>
      <c r="AM262" s="35" t="n"/>
      <c r="AN262" s="35" t="n"/>
      <c r="AO262" s="35" t="n"/>
      <c r="AP262" s="35" t="n"/>
      <c r="AQ262" s="40">
        <f>IF(AL148=0,0,AQ148/AL148-1)</f>
        <v>0</v>
      </c>
      <c r="AR262" s="35" t="n"/>
      <c r="AS262" s="35" t="n"/>
      <c r="AT262" s="35" t="n"/>
      <c r="AU262" s="35" t="n"/>
      <c r="AV262" s="40">
        <f>IF(AQ148=0,0,AV148/AQ148-1)</f>
        <v>0</v>
      </c>
      <c r="AW262" s="35" t="n"/>
      <c r="AX262" s="35" t="n"/>
      <c r="AY262" s="35" t="n"/>
      <c r="AZ262" s="35" t="n"/>
      <c r="BA262" s="40">
        <f>IF(AV148=0,0,BA148/AV148-1)</f>
        <v>0</v>
      </c>
      <c r="BB262" s="35" t="n"/>
      <c r="BC262" s="35" t="n"/>
      <c r="BD262" s="35" t="n"/>
      <c r="BE262" s="35" t="n"/>
      <c r="BF262" s="40">
        <f>IF(BA148=0,0,BF148/BA148-1)</f>
        <v>0</v>
      </c>
      <c r="BG262" s="35" t="n"/>
      <c r="BH262" s="35" t="n"/>
      <c r="BI262" s="35" t="n"/>
      <c r="BJ262" s="35" t="n"/>
      <c r="BK262" s="40">
        <f>IF(BF148=0,0,BK148/BF148-1)</f>
        <v>0</v>
      </c>
      <c r="BL262" s="35" t="n"/>
      <c r="BM262" s="35" t="n"/>
      <c r="BN262" s="35" t="n"/>
      <c r="BO262" s="35" t="n"/>
      <c r="BP262" s="40">
        <f>IF(BK148=0,0,BP148/BK148-1)</f>
        <v>0</v>
      </c>
      <c r="BQ262" s="35" t="n"/>
      <c r="BR262" s="35" t="n"/>
      <c r="BS262" s="35" t="n"/>
      <c r="BT262" s="35" t="n"/>
      <c r="BU262" s="40">
        <f>IF(BP148=0,0,BU148/BP148-1)</f>
        <v>0</v>
      </c>
      <c r="BV262" s="35" t="n"/>
      <c r="BW262" s="35" t="n"/>
      <c r="BX262" s="35" t="n"/>
      <c r="BY262" s="35" t="n"/>
      <c r="BZ262" s="40">
        <f>IF(BU148=0,0,BZ148/BU148-1)</f>
        <v>0</v>
      </c>
      <c r="CA262" s="35" t="n"/>
      <c r="CB262" s="35" t="n"/>
      <c r="CC262" s="35" t="n"/>
      <c r="CD262" s="35" t="n"/>
      <c r="CE262" s="40">
        <f>IF(BZ148=0,0,CE148/BZ148-1)</f>
        <v>0</v>
      </c>
      <c r="CF262" s="35" t="n"/>
      <c r="CG262" s="35" t="n"/>
      <c r="CH262" s="35" t="n"/>
      <c r="CI262" s="35" t="n"/>
      <c r="CJ262" s="40">
        <f>IF(CE148=0,0,CJ148/CE148-1)</f>
        <v>0</v>
      </c>
      <c r="CK262" s="35" t="n"/>
      <c r="CL262" s="35" t="n"/>
      <c r="CM262" s="35" t="n"/>
      <c r="CN262" s="35" t="n"/>
      <c r="CO262" s="40">
        <f>IF(CJ148=0,0,CO148/CJ148-1)</f>
        <v>0</v>
      </c>
      <c r="CP262" s="35" t="n"/>
      <c r="CQ262" s="35" t="n"/>
      <c r="CR262" s="35" t="n"/>
      <c r="CS262" s="35" t="n"/>
      <c r="CT262" s="40">
        <f>IF(CO148=0,0,CT148/CO148-1)</f>
        <v>0</v>
      </c>
      <c r="CU262" s="35" t="n"/>
      <c r="CV262" s="35" t="n"/>
      <c r="CW262" s="35" t="n"/>
      <c r="CX262" s="35" t="n"/>
      <c r="CY262" s="40">
        <f>IF(CT148=0,0,CY148/CT148-1)</f>
        <v>0</v>
      </c>
    </row>
    <row r="263" hidden="1" outlineLevel="1" customFormat="1" s="39">
      <c r="A263" s="19" t="n"/>
      <c r="B263" s="19" t="n"/>
      <c r="C263" s="34" t="inlineStr">
        <is>
          <t>Dividends (enter as -)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35" t="n"/>
      <c r="AI263" s="35" t="n"/>
      <c r="AJ263" s="35" t="n"/>
      <c r="AK263" s="35" t="n"/>
      <c r="AL263" s="22" t="n"/>
      <c r="AM263" s="35" t="n"/>
      <c r="AN263" s="35" t="n"/>
      <c r="AO263" s="35" t="n"/>
      <c r="AP263" s="35" t="n"/>
      <c r="AQ263" s="22" t="n"/>
      <c r="AR263" s="35" t="n"/>
      <c r="AS263" s="35" t="n"/>
      <c r="AT263" s="35" t="n"/>
      <c r="AU263" s="35" t="n"/>
      <c r="AV263" s="22" t="n"/>
      <c r="AW263" s="35" t="n"/>
      <c r="AX263" s="35" t="n"/>
      <c r="AY263" s="35" t="n"/>
      <c r="AZ263" s="35" t="n"/>
      <c r="BA263" s="22" t="n"/>
      <c r="BB263" s="35" t="n"/>
      <c r="BC263" s="35" t="n"/>
      <c r="BD263" s="35" t="n"/>
      <c r="BE263" s="35" t="n"/>
      <c r="BF263" s="22" t="n"/>
      <c r="BG263" s="35" t="n"/>
      <c r="BH263" s="35" t="n"/>
      <c r="BI263" s="35" t="n"/>
      <c r="BJ263" s="35" t="n"/>
      <c r="BK263" s="22" t="n"/>
      <c r="BL263" s="35" t="n"/>
      <c r="BM263" s="35" t="n"/>
      <c r="BN263" s="35" t="n"/>
      <c r="BO263" s="35" t="n"/>
      <c r="BP263" s="22" t="n"/>
      <c r="BQ263" s="35" t="n"/>
      <c r="BR263" s="35" t="n"/>
      <c r="BS263" s="35" t="n"/>
      <c r="BT263" s="35" t="n"/>
      <c r="BU263" s="22" t="n"/>
      <c r="BV263" s="35" t="n"/>
      <c r="BW263" s="35" t="n"/>
      <c r="BX263" s="35" t="n"/>
      <c r="BY263" s="35" t="n"/>
      <c r="BZ263" s="22" t="n"/>
      <c r="CA263" s="35" t="n"/>
      <c r="CB263" s="35" t="n"/>
      <c r="CC263" s="35" t="n"/>
      <c r="CD263" s="35" t="n"/>
      <c r="CE263" s="22" t="n"/>
      <c r="CF263" s="35" t="n"/>
      <c r="CG263" s="35" t="n"/>
      <c r="CH263" s="35" t="n"/>
      <c r="CI263" s="35" t="n"/>
      <c r="CJ263" s="22" t="n"/>
      <c r="CK263" s="35" t="n"/>
      <c r="CL263" s="35" t="n"/>
      <c r="CM263" s="35" t="n"/>
      <c r="CN263" s="35" t="n"/>
      <c r="CO263" s="22" t="n"/>
      <c r="CP263" s="35" t="n"/>
      <c r="CQ263" s="35" t="n"/>
      <c r="CR263" s="35" t="n"/>
      <c r="CS263" s="35" t="n"/>
      <c r="CT263" s="22" t="n"/>
      <c r="CU263" s="35" t="n"/>
      <c r="CV263" s="35" t="n"/>
      <c r="CW263" s="35" t="n"/>
      <c r="CX263" s="35" t="n"/>
      <c r="CY263" s="22" t="n"/>
    </row>
    <row r="264" hidden="1" outlineLevel="1" customFormat="1" s="39">
      <c r="A264" s="19" t="n"/>
      <c r="B264" s="19" t="n"/>
      <c r="C264" s="38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2" t="n"/>
      <c r="AI264" s="22" t="n"/>
      <c r="AJ264" s="22" t="n"/>
      <c r="AK264" s="22" t="n"/>
      <c r="AL264" s="22" t="n"/>
      <c r="AM264" s="22" t="n"/>
      <c r="AN264" s="22" t="n"/>
      <c r="AO264" s="22" t="n"/>
      <c r="AP264" s="22" t="n"/>
      <c r="AQ264" s="22" t="n"/>
      <c r="AR264" s="22" t="n"/>
      <c r="AS264" s="22" t="n"/>
      <c r="AT264" s="22" t="n"/>
      <c r="AU264" s="22" t="n"/>
      <c r="AV264" s="22" t="n"/>
      <c r="AW264" s="22" t="n"/>
      <c r="AX264" s="22" t="n"/>
      <c r="AY264" s="22" t="n"/>
      <c r="AZ264" s="22" t="n"/>
      <c r="BA264" s="22" t="n"/>
      <c r="BB264" s="22" t="n"/>
      <c r="BC264" s="22" t="n"/>
      <c r="BD264" s="22" t="n"/>
      <c r="BE264" s="22" t="n"/>
      <c r="BF264" s="22" t="n"/>
      <c r="BG264" s="22" t="n"/>
      <c r="BH264" s="22" t="n"/>
      <c r="BI264" s="22" t="n"/>
      <c r="BJ264" s="22" t="n"/>
      <c r="BK264" s="22" t="n"/>
      <c r="BL264" s="22" t="n"/>
      <c r="BM264" s="22" t="n"/>
      <c r="BN264" s="22" t="n"/>
      <c r="BO264" s="22" t="n"/>
      <c r="BP264" s="22" t="n"/>
      <c r="BQ264" s="22" t="n"/>
      <c r="BR264" s="22" t="n"/>
      <c r="BS264" s="22" t="n"/>
      <c r="BT264" s="22" t="n"/>
      <c r="BU264" s="22" t="n"/>
      <c r="BV264" s="22" t="n"/>
      <c r="BW264" s="22" t="n"/>
      <c r="BX264" s="22" t="n"/>
      <c r="BY264" s="22" t="n"/>
      <c r="BZ264" s="22" t="n"/>
      <c r="CA264" s="22" t="n"/>
      <c r="CB264" s="22" t="n"/>
      <c r="CC264" s="22" t="n"/>
      <c r="CD264" s="22" t="n"/>
      <c r="CE264" s="22" t="n"/>
      <c r="CF264" s="22" t="n"/>
      <c r="CG264" s="22" t="n"/>
      <c r="CH264" s="22" t="n"/>
      <c r="CI264" s="22" t="n"/>
      <c r="CJ264" s="22" t="n"/>
      <c r="CK264" s="22" t="n"/>
      <c r="CL264" s="22" t="n"/>
      <c r="CM264" s="22" t="n"/>
      <c r="CN264" s="22" t="n"/>
      <c r="CO264" s="22" t="n"/>
      <c r="CP264" s="22" t="n"/>
      <c r="CQ264" s="22" t="n"/>
      <c r="CR264" s="22" t="n"/>
      <c r="CS264" s="22" t="n"/>
      <c r="CT264" s="22" t="n"/>
      <c r="CU264" s="22" t="n"/>
      <c r="CV264" s="22" t="n"/>
      <c r="CW264" s="22" t="n"/>
      <c r="CX264" s="22" t="n"/>
      <c r="CY264" s="22" t="n"/>
    </row>
    <row r="265" collapsed="1">
      <c r="C265" s="26" t="inlineStr">
        <is>
          <t>Convertible Preferred Stock</t>
        </is>
      </c>
      <c r="D265" s="25" t="n"/>
      <c r="E265" s="25" t="n"/>
      <c r="F265" s="25" t="n"/>
      <c r="G265" s="25" t="n"/>
      <c r="H265" s="3">
        <f>G265</f>
        <v>0</v>
      </c>
      <c r="I265" s="25" t="n"/>
      <c r="J265" s="25" t="n"/>
      <c r="K265" s="25" t="n"/>
      <c r="L265" s="25" t="n"/>
      <c r="M265" s="3">
        <f>L265</f>
        <v>0</v>
      </c>
      <c r="N265" s="25" t="n"/>
      <c r="O265" s="25" t="n"/>
      <c r="P265" s="25" t="n"/>
      <c r="Q265" s="25" t="n"/>
      <c r="R265" s="3">
        <f>Q265</f>
        <v>0</v>
      </c>
      <c r="S265" s="25" t="n"/>
      <c r="T265" s="25" t="n"/>
      <c r="U265" s="25" t="n"/>
      <c r="V265" s="25" t="n"/>
      <c r="W265" s="3">
        <f>V265</f>
        <v>0</v>
      </c>
      <c r="X265" s="25" t="n"/>
      <c r="Y265" s="25" t="n"/>
      <c r="Z265" s="25" t="n"/>
      <c r="AA265" s="25" t="n"/>
      <c r="AB265" s="3">
        <f>AA265</f>
        <v>0</v>
      </c>
      <c r="AC265" s="25" t="n"/>
      <c r="AD265" s="25" t="n"/>
      <c r="AE265" s="25" t="n"/>
      <c r="AF265" s="25" t="n"/>
      <c r="AG265" s="3">
        <f>AF265</f>
        <v>0</v>
      </c>
      <c r="AH265" s="3">
        <f>AG265</f>
        <v>0</v>
      </c>
      <c r="AI265" s="3">
        <f>AH265</f>
        <v>0</v>
      </c>
      <c r="AJ265" s="3">
        <f>AI265</f>
        <v>0</v>
      </c>
      <c r="AK265" s="3">
        <f>AJ265</f>
        <v>0</v>
      </c>
      <c r="AL265" s="3">
        <f>AK265</f>
        <v>0</v>
      </c>
      <c r="AM265" s="3">
        <f>AL265</f>
        <v>0</v>
      </c>
      <c r="AN265" s="3">
        <f>AM265</f>
        <v>0</v>
      </c>
      <c r="AO265" s="3">
        <f>AN265</f>
        <v>0</v>
      </c>
      <c r="AP265" s="3">
        <f>AO265</f>
        <v>0</v>
      </c>
      <c r="AQ265" s="3">
        <f>AP265</f>
        <v>0</v>
      </c>
      <c r="AR265" s="3">
        <f>AQ265</f>
        <v>0</v>
      </c>
      <c r="AS265" s="3">
        <f>AR265</f>
        <v>0</v>
      </c>
      <c r="AT265" s="3">
        <f>AS265</f>
        <v>0</v>
      </c>
      <c r="AU265" s="3">
        <f>AT265</f>
        <v>0</v>
      </c>
      <c r="AV265" s="3">
        <f>AU265</f>
        <v>0</v>
      </c>
      <c r="AW265" s="3">
        <f>AV265</f>
        <v>0</v>
      </c>
      <c r="AX265" s="3">
        <f>AW265</f>
        <v>0</v>
      </c>
      <c r="AY265" s="3">
        <f>AX265</f>
        <v>0</v>
      </c>
      <c r="AZ265" s="3">
        <f>AY265</f>
        <v>0</v>
      </c>
      <c r="BA265" s="3">
        <f>AZ265</f>
        <v>0</v>
      </c>
      <c r="BB265" s="3">
        <f>BA265</f>
        <v>0</v>
      </c>
      <c r="BC265" s="3">
        <f>BB265</f>
        <v>0</v>
      </c>
      <c r="BD265" s="3">
        <f>BC265</f>
        <v>0</v>
      </c>
      <c r="BE265" s="3">
        <f>BD265</f>
        <v>0</v>
      </c>
      <c r="BF265" s="3">
        <f>BE265</f>
        <v>0</v>
      </c>
      <c r="BG265" s="3">
        <f>BF265</f>
        <v>0</v>
      </c>
      <c r="BH265" s="3">
        <f>BG265</f>
        <v>0</v>
      </c>
      <c r="BI265" s="3">
        <f>BH265</f>
        <v>0</v>
      </c>
      <c r="BJ265" s="3">
        <f>BI265</f>
        <v>0</v>
      </c>
      <c r="BK265" s="3">
        <f>BJ265</f>
        <v>0</v>
      </c>
      <c r="BL265" s="3">
        <f>BK265</f>
        <v>0</v>
      </c>
      <c r="BM265" s="3">
        <f>BL265</f>
        <v>0</v>
      </c>
      <c r="BN265" s="3">
        <f>BM265</f>
        <v>0</v>
      </c>
      <c r="BO265" s="3">
        <f>BN265</f>
        <v>0</v>
      </c>
      <c r="BP265" s="3">
        <f>BO265</f>
        <v>0</v>
      </c>
      <c r="BQ265" s="3">
        <f>BP265</f>
        <v>0</v>
      </c>
      <c r="BR265" s="3">
        <f>BQ265</f>
        <v>0</v>
      </c>
      <c r="BS265" s="3">
        <f>BR265</f>
        <v>0</v>
      </c>
      <c r="BT265" s="3">
        <f>BS265</f>
        <v>0</v>
      </c>
      <c r="BU265" s="3">
        <f>BT265</f>
        <v>0</v>
      </c>
      <c r="BV265" s="3">
        <f>BU265</f>
        <v>0</v>
      </c>
      <c r="BW265" s="3">
        <f>BV265</f>
        <v>0</v>
      </c>
      <c r="BX265" s="3">
        <f>BW265</f>
        <v>0</v>
      </c>
      <c r="BY265" s="3">
        <f>BX265</f>
        <v>0</v>
      </c>
      <c r="BZ265" s="3">
        <f>BY265</f>
        <v>0</v>
      </c>
      <c r="CA265" s="3">
        <f>BZ265</f>
        <v>0</v>
      </c>
      <c r="CB265" s="3">
        <f>CA265</f>
        <v>0</v>
      </c>
      <c r="CC265" s="3">
        <f>CB265</f>
        <v>0</v>
      </c>
      <c r="CD265" s="3">
        <f>CC265</f>
        <v>0</v>
      </c>
      <c r="CE265" s="3">
        <f>CD265</f>
        <v>0</v>
      </c>
      <c r="CF265" s="3">
        <f>CE265</f>
        <v>0</v>
      </c>
      <c r="CG265" s="3">
        <f>CF265</f>
        <v>0</v>
      </c>
      <c r="CH265" s="3">
        <f>CG265</f>
        <v>0</v>
      </c>
      <c r="CI265" s="3">
        <f>CH265</f>
        <v>0</v>
      </c>
      <c r="CJ265" s="3">
        <f>CI265</f>
        <v>0</v>
      </c>
      <c r="CK265" s="3">
        <f>CJ265</f>
        <v>0</v>
      </c>
      <c r="CL265" s="3">
        <f>CK265</f>
        <v>0</v>
      </c>
      <c r="CM265" s="3">
        <f>CL265</f>
        <v>0</v>
      </c>
      <c r="CN265" s="3">
        <f>CM265</f>
        <v>0</v>
      </c>
      <c r="CO265" s="3">
        <f>CN265</f>
        <v>0</v>
      </c>
      <c r="CP265" s="3">
        <f>CO265</f>
        <v>0</v>
      </c>
      <c r="CQ265" s="3">
        <f>CP265</f>
        <v>0</v>
      </c>
      <c r="CR265" s="3">
        <f>CQ265</f>
        <v>0</v>
      </c>
      <c r="CS265" s="3">
        <f>CR265</f>
        <v>0</v>
      </c>
      <c r="CT265" s="3">
        <f>CS265</f>
        <v>0</v>
      </c>
      <c r="CU265" s="3">
        <f>CT265</f>
        <v>0</v>
      </c>
      <c r="CV265" s="3">
        <f>CU265</f>
        <v>0</v>
      </c>
      <c r="CW265" s="3">
        <f>CV265</f>
        <v>0</v>
      </c>
      <c r="CX265" s="3">
        <f>CW265</f>
        <v>0</v>
      </c>
      <c r="CY265" s="3">
        <f>CX265</f>
        <v>0</v>
      </c>
    </row>
    <row r="266">
      <c r="C266" s="24" t="inlineStr">
        <is>
          <t>Common Stock and APIC</t>
        </is>
      </c>
      <c r="D266" s="25">
        <f>INDEX('Inputs (2)'!$D$43:$AL$43,MATCH(D$7,'Inputs (2)'!$D$2:$AL$2,0))</f>
        <v>2075.169</v>
      </c>
      <c r="E266" s="25">
        <f>INDEX('Inputs (2)'!$D$43:$AL$43,MATCH(E$7,'Inputs (2)'!$D$2:$AL$2,0))</f>
        <v>2070.692</v>
      </c>
      <c r="F266" s="25">
        <f>INDEX('Inputs (2)'!$D$43:$AL$43,MATCH(F$7,'Inputs (2)'!$D$2:$AL$2,0))</f>
        <v>2070.749</v>
      </c>
      <c r="G266" s="25">
        <f>INDEX('Inputs (2)'!$D$43:$AL$43,MATCH(G$7,'Inputs (2)'!$D$2:$AL$2,0))</f>
        <v>2070.805</v>
      </c>
      <c r="H266" s="3">
        <f>G266</f>
        <v>2070.805</v>
      </c>
      <c r="I266" s="25">
        <f>INDEX('Inputs (2)'!$D$43:$AL$43,MATCH(I$7,'Inputs (2)'!$D$2:$AL$2,0))</f>
        <v>2070.813</v>
      </c>
      <c r="J266" s="25">
        <f>INDEX('Inputs (2)'!$D$43:$AL$43,MATCH(J$7,'Inputs (2)'!$D$2:$AL$2,0))</f>
        <v>2070.959</v>
      </c>
      <c r="K266" s="25">
        <f>INDEX('Inputs (2)'!$D$43:$AL$43,MATCH(K$7,'Inputs (2)'!$D$2:$AL$2,0))</f>
        <v>2653.829</v>
      </c>
      <c r="L266" s="25">
        <f>INDEX('Inputs (2)'!$D$43:$AL$43,MATCH(L$7,'Inputs (2)'!$D$2:$AL$2,0))</f>
        <v>2652.335</v>
      </c>
      <c r="M266" s="3">
        <f>L266</f>
        <v>2652.335</v>
      </c>
      <c r="N266" s="25">
        <f>INDEX('Inputs (2)'!$D$43:$AL$43,MATCH(N$7,'Inputs (2)'!$D$2:$AL$2,0))</f>
        <v>2652.409</v>
      </c>
      <c r="O266" s="25">
        <f>INDEX('Inputs (2)'!$D$43:$AL$43,MATCH(O$7,'Inputs (2)'!$D$2:$AL$2,0))</f>
        <v>2652.409</v>
      </c>
      <c r="P266" s="25">
        <f>INDEX('Inputs (2)'!$D$43:$AL$43,MATCH(P$7,'Inputs (2)'!$D$2:$AL$2,0))</f>
        <v>2652.409</v>
      </c>
      <c r="Q266" s="25">
        <f>INDEX('Inputs (2)'!$D$43:$AL$43,MATCH(Q$7,'Inputs (2)'!$D$2:$AL$2,0))</f>
        <v>2652.409</v>
      </c>
      <c r="R266" s="3">
        <f>Q266</f>
        <v>2652.409</v>
      </c>
      <c r="S266" s="25">
        <f>INDEX('Inputs (2)'!$D$43:$AL$43,MATCH(S$7,'Inputs (2)'!$D$2:$AL$2,0))</f>
        <v>2652.409</v>
      </c>
      <c r="T266" s="25">
        <f>INDEX('Inputs (2)'!$D$43:$AL$43,MATCH(T$7,'Inputs (2)'!$D$2:$AL$2,0))</f>
        <v>2652.408</v>
      </c>
      <c r="U266" s="25">
        <f>INDEX('Inputs (2)'!$D$43:$AL$43,MATCH(U$7,'Inputs (2)'!$D$2:$AL$2,0))</f>
        <v>2652.409</v>
      </c>
      <c r="V266" s="25">
        <f>INDEX('Inputs (2)'!$D$43:$AL$43,MATCH(V$7,'Inputs (2)'!$D$2:$AL$2,0))</f>
        <v>2652.409</v>
      </c>
      <c r="W266" s="3">
        <f>V266</f>
        <v>2652.409</v>
      </c>
      <c r="X266" s="25">
        <f>INDEX('Inputs (2)'!$D$43:$AL$43,MATCH(X$7,'Inputs (2)'!$D$2:$AL$2,0))</f>
        <v>2652.409</v>
      </c>
      <c r="Y266" s="25">
        <f>INDEX('Inputs (2)'!$D$43:$AL$43,MATCH(Y$7,'Inputs (2)'!$D$2:$AL$2,0))</f>
        <v>2652.409</v>
      </c>
      <c r="Z266" s="25">
        <f>INDEX('Inputs (2)'!$D$43:$AL$43,MATCH(Z$7,'Inputs (2)'!$D$2:$AL$2,0))</f>
        <v>2652.409</v>
      </c>
      <c r="AA266" s="25">
        <f>INDEX('Inputs (2)'!$D$43:$AL$43,MATCH(AA$7,'Inputs (2)'!$D$2:$AL$2,0))</f>
        <v>2652.409</v>
      </c>
      <c r="AB266" s="3">
        <f>AA266</f>
        <v>2652.409</v>
      </c>
      <c r="AC266" s="25">
        <f>INDEX('Inputs (2)'!$D$43:$AL$43,MATCH(AC$7,'Inputs (2)'!$D$2:$AL$2,0))</f>
        <v>2652.409</v>
      </c>
      <c r="AD266" s="25">
        <f>INDEX('Inputs (2)'!$D$43:$AL$43,MATCH(AD$7,'Inputs (2)'!$D$2:$AL$2,0))</f>
        <v>2652.409</v>
      </c>
      <c r="AE266" s="25">
        <f>INDEX('Inputs (2)'!$D$43:$AL$43,MATCH(AE$7,'Inputs (2)'!$D$2:$AL$2,0))</f>
        <v>2652.409</v>
      </c>
      <c r="AF266" s="25">
        <f>INDEX('Inputs (2)'!$D$43:$AL$43,MATCH(AF$7,'Inputs (2)'!$D$2:$AL$2,0))</f>
        <v>2652.409</v>
      </c>
      <c r="AG266" s="3">
        <f>AF266</f>
        <v>2652.409</v>
      </c>
      <c r="AH266" s="3">
        <f>INDEX('Inputs (2)'!$D$43:$AL$43,MATCH(AH$7,'Inputs (2)'!$D$2:$AL$2,0))</f>
        <v>2590.776</v>
      </c>
      <c r="AI266" s="3">
        <f>INDEX('Inputs (2)'!$D$43:$AL$43,MATCH(AI$7,'Inputs (2)'!$D$2:$AL$2,0))</f>
        <v>3335.708</v>
      </c>
      <c r="AJ266" s="3">
        <f>AI266+AJ270</f>
        <v>3335.708</v>
      </c>
      <c r="AK266" s="3">
        <f>AJ266+AK270</f>
        <v>3335.708</v>
      </c>
      <c r="AL266" s="3">
        <f>AK266</f>
        <v>3335.708</v>
      </c>
      <c r="AM266" s="3">
        <f>AL266+AM270</f>
        <v>3335.708</v>
      </c>
      <c r="AN266" s="3">
        <f>AM266+AN270</f>
        <v>3335.708</v>
      </c>
      <c r="AO266" s="3">
        <f>AN266+AO270</f>
        <v>3335.708</v>
      </c>
      <c r="AP266" s="3">
        <f>AO266+AP270</f>
        <v>3335.708</v>
      </c>
      <c r="AQ266" s="3">
        <f>AP266</f>
        <v>3335.708</v>
      </c>
      <c r="AR266" s="3">
        <f>AQ266+AR270</f>
        <v>3335.708</v>
      </c>
      <c r="AS266" s="3">
        <f>AR266+AS270</f>
        <v>3335.708</v>
      </c>
      <c r="AT266" s="3">
        <f>AS266+AT270</f>
        <v>3335.708</v>
      </c>
      <c r="AU266" s="3">
        <f>AT266+AU270</f>
        <v>3335.708</v>
      </c>
      <c r="AV266" s="3">
        <f>AU266</f>
        <v>3335.708</v>
      </c>
      <c r="AW266" s="3">
        <f>AV266+AW270</f>
        <v>3335.708</v>
      </c>
      <c r="AX266" s="3">
        <f>AW266+AX270</f>
        <v>3335.708</v>
      </c>
      <c r="AY266" s="3">
        <f>AX266+AY270</f>
        <v>3335.708</v>
      </c>
      <c r="AZ266" s="3">
        <f>AY266+AZ270</f>
        <v>3335.708</v>
      </c>
      <c r="BA266" s="3">
        <f>AZ266</f>
        <v>3335.708</v>
      </c>
      <c r="BB266" s="3">
        <f>BA266+BB270</f>
        <v>3335.708</v>
      </c>
      <c r="BC266" s="3">
        <f>BB266+BC270</f>
        <v>3335.708</v>
      </c>
      <c r="BD266" s="3">
        <f>BC266+BD270</f>
        <v>3335.708</v>
      </c>
      <c r="BE266" s="3">
        <f>BD266+BE270</f>
        <v>3335.708</v>
      </c>
      <c r="BF266" s="3">
        <f>BE266</f>
        <v>3335.708</v>
      </c>
      <c r="BG266" s="3">
        <f>BF266+BG270</f>
        <v>3335.708</v>
      </c>
      <c r="BH266" s="3">
        <f>BG266+BH270</f>
        <v>3335.708</v>
      </c>
      <c r="BI266" s="3">
        <f>BH266+BI270</f>
        <v>3335.708</v>
      </c>
      <c r="BJ266" s="3">
        <f>BI266+BJ270</f>
        <v>3335.708</v>
      </c>
      <c r="BK266" s="3">
        <f>BJ266</f>
        <v>3335.708</v>
      </c>
      <c r="BL266" s="3">
        <f>BK266+BL270</f>
        <v>3335.708</v>
      </c>
      <c r="BM266" s="3">
        <f>BL266+BM270</f>
        <v>3335.708</v>
      </c>
      <c r="BN266" s="3">
        <f>BM266+BN270</f>
        <v>3335.708</v>
      </c>
      <c r="BO266" s="3">
        <f>BN266+BO270</f>
        <v>3335.708</v>
      </c>
      <c r="BP266" s="3">
        <f>BO266</f>
        <v>3335.708</v>
      </c>
      <c r="BQ266" s="3">
        <f>BP266+BQ270</f>
        <v>3335.708</v>
      </c>
      <c r="BR266" s="3">
        <f>BQ266+BR270</f>
        <v>3335.708</v>
      </c>
      <c r="BS266" s="3">
        <f>BR266+BS270</f>
        <v>3335.708</v>
      </c>
      <c r="BT266" s="3">
        <f>BS266+BT270</f>
        <v>3335.708</v>
      </c>
      <c r="BU266" s="3">
        <f>BT266</f>
        <v>3335.708</v>
      </c>
      <c r="BV266" s="3">
        <f>BU266+BV270</f>
        <v>3335.708</v>
      </c>
      <c r="BW266" s="3">
        <f>BV266+BW270</f>
        <v>3335.708</v>
      </c>
      <c r="BX266" s="3">
        <f>BW266+BX270</f>
        <v>3335.708</v>
      </c>
      <c r="BY266" s="3">
        <f>BX266+BY270</f>
        <v>3335.708</v>
      </c>
      <c r="BZ266" s="3">
        <f>BY266</f>
        <v>3335.708</v>
      </c>
      <c r="CA266" s="3">
        <f>BZ266+CA270</f>
        <v>3335.708</v>
      </c>
      <c r="CB266" s="3">
        <f>CA266+CB270</f>
        <v>3335.708</v>
      </c>
      <c r="CC266" s="3">
        <f>CB266+CC270</f>
        <v>3335.708</v>
      </c>
      <c r="CD266" s="3">
        <f>CC266+CD270</f>
        <v>3335.708</v>
      </c>
      <c r="CE266" s="3">
        <f>CD266</f>
        <v>3335.708</v>
      </c>
      <c r="CF266" s="3">
        <f>CE266+CF270</f>
        <v>3335.708</v>
      </c>
      <c r="CG266" s="3">
        <f>CF266+CG270</f>
        <v>3335.708</v>
      </c>
      <c r="CH266" s="3">
        <f>CG266+CH270</f>
        <v>3335.708</v>
      </c>
      <c r="CI266" s="3">
        <f>CH266+CI270</f>
        <v>3335.708</v>
      </c>
      <c r="CJ266" s="3">
        <f>CI266</f>
        <v>3335.708</v>
      </c>
      <c r="CK266" s="3">
        <f>CJ266+CK270</f>
        <v>3335.708</v>
      </c>
      <c r="CL266" s="3">
        <f>CK266+CL270</f>
        <v>3335.708</v>
      </c>
      <c r="CM266" s="3">
        <f>CL266+CM270</f>
        <v>3335.708</v>
      </c>
      <c r="CN266" s="3">
        <f>CM266+CN270</f>
        <v>3335.708</v>
      </c>
      <c r="CO266" s="3">
        <f>CN266</f>
        <v>3335.708</v>
      </c>
      <c r="CP266" s="3">
        <f>CO266+CP270</f>
        <v>3335.708</v>
      </c>
      <c r="CQ266" s="3">
        <f>CP266+CQ270</f>
        <v>3335.708</v>
      </c>
      <c r="CR266" s="3">
        <f>CQ266+CR270</f>
        <v>3335.708</v>
      </c>
      <c r="CS266" s="3">
        <f>CR266+CS270</f>
        <v>3335.708</v>
      </c>
      <c r="CT266" s="3">
        <f>CS266</f>
        <v>3335.708</v>
      </c>
      <c r="CU266" s="3">
        <f>CT266+CU270</f>
        <v>3335.708</v>
      </c>
      <c r="CV266" s="3">
        <f>CU266+CV270</f>
        <v>3335.708</v>
      </c>
      <c r="CW266" s="3">
        <f>CV266+CW270</f>
        <v>3335.708</v>
      </c>
      <c r="CX266" s="3">
        <f>CW266+CX270</f>
        <v>3335.708</v>
      </c>
      <c r="CY266" s="3">
        <f>CX266</f>
        <v>3335.708</v>
      </c>
    </row>
    <row r="267" hidden="1" outlineLevel="1" customFormat="1" s="39">
      <c r="A267" s="19" t="n"/>
      <c r="B267" s="19" t="n"/>
      <c r="C267" s="41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  <c r="AP267" s="22" t="n"/>
      <c r="AQ267" s="22" t="n"/>
      <c r="AR267" s="22" t="n"/>
      <c r="AS267" s="22" t="n"/>
      <c r="AT267" s="22" t="n"/>
      <c r="AU267" s="22" t="n"/>
      <c r="AV267" s="22" t="n"/>
      <c r="AW267" s="22" t="n"/>
      <c r="AX267" s="22" t="n"/>
      <c r="AY267" s="22" t="n"/>
      <c r="AZ267" s="22" t="n"/>
      <c r="BA267" s="22" t="n"/>
      <c r="BB267" s="22" t="n"/>
      <c r="BC267" s="22" t="n"/>
      <c r="BD267" s="22" t="n"/>
      <c r="BE267" s="22" t="n"/>
      <c r="BF267" s="22" t="n"/>
      <c r="BG267" s="22" t="n"/>
      <c r="BH267" s="22" t="n"/>
      <c r="BI267" s="22" t="n"/>
      <c r="BJ267" s="22" t="n"/>
      <c r="BK267" s="22" t="n"/>
      <c r="BL267" s="22" t="n"/>
      <c r="BM267" s="22" t="n"/>
      <c r="BN267" s="22" t="n"/>
      <c r="BO267" s="22" t="n"/>
      <c r="BP267" s="22" t="n"/>
      <c r="BQ267" s="22" t="n"/>
      <c r="BR267" s="22" t="n"/>
      <c r="BS267" s="22" t="n"/>
      <c r="BT267" s="22" t="n"/>
      <c r="BU267" s="22" t="n"/>
      <c r="BV267" s="22" t="n"/>
      <c r="BW267" s="22" t="n"/>
      <c r="BX267" s="22" t="n"/>
      <c r="BY267" s="22" t="n"/>
      <c r="BZ267" s="22" t="n"/>
      <c r="CA267" s="22" t="n"/>
      <c r="CB267" s="22" t="n"/>
      <c r="CC267" s="22" t="n"/>
      <c r="CD267" s="22" t="n"/>
      <c r="CE267" s="22" t="n"/>
      <c r="CF267" s="22" t="n"/>
      <c r="CG267" s="22" t="n"/>
      <c r="CH267" s="22" t="n"/>
      <c r="CI267" s="22" t="n"/>
      <c r="CJ267" s="22" t="n"/>
      <c r="CK267" s="22" t="n"/>
      <c r="CL267" s="22" t="n"/>
      <c r="CM267" s="22" t="n"/>
      <c r="CN267" s="22" t="n"/>
      <c r="CO267" s="22" t="n"/>
      <c r="CP267" s="22" t="n"/>
      <c r="CQ267" s="22" t="n"/>
      <c r="CR267" s="22" t="n"/>
      <c r="CS267" s="22" t="n"/>
      <c r="CT267" s="22" t="n"/>
      <c r="CU267" s="22" t="n"/>
      <c r="CV267" s="22" t="n"/>
      <c r="CW267" s="22" t="n"/>
      <c r="CX267" s="22" t="n"/>
      <c r="CY267" s="22" t="n"/>
    </row>
    <row r="268" hidden="1" outlineLevel="1" customFormat="1" s="39">
      <c r="A268" s="19" t="n"/>
      <c r="B268" s="19" t="n"/>
      <c r="C268" s="41" t="inlineStr">
        <is>
          <t>Diluted Shares outstanding</t>
        </is>
      </c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2" t="n"/>
      <c r="AI268" s="22" t="n"/>
      <c r="AJ268" s="22" t="n"/>
      <c r="AK268" s="22" t="n"/>
      <c r="AL268" s="22" t="n"/>
      <c r="AM268" s="22" t="n"/>
      <c r="AN268" s="22" t="n"/>
      <c r="AO268" s="22" t="n"/>
      <c r="AP268" s="22" t="n"/>
      <c r="AQ268" s="22" t="n"/>
      <c r="AR268" s="22" t="n"/>
      <c r="AS268" s="22" t="n"/>
      <c r="AT268" s="22" t="n"/>
      <c r="AU268" s="22" t="n"/>
      <c r="AV268" s="22" t="n"/>
      <c r="AW268" s="22" t="n"/>
      <c r="AX268" s="22" t="n"/>
      <c r="AY268" s="22" t="n"/>
      <c r="AZ268" s="22" t="n"/>
      <c r="BA268" s="22" t="n"/>
      <c r="BB268" s="22" t="n"/>
      <c r="BC268" s="22" t="n"/>
      <c r="BD268" s="22" t="n"/>
      <c r="BE268" s="22" t="n"/>
      <c r="BF268" s="22" t="n"/>
      <c r="BG268" s="22" t="n"/>
      <c r="BH268" s="22" t="n"/>
      <c r="BI268" s="22" t="n"/>
      <c r="BJ268" s="22" t="n"/>
      <c r="BK268" s="22" t="n"/>
      <c r="BL268" s="22" t="n"/>
      <c r="BM268" s="22" t="n"/>
      <c r="BN268" s="22" t="n"/>
      <c r="BO268" s="22" t="n"/>
      <c r="BP268" s="22" t="n"/>
      <c r="BQ268" s="22" t="n"/>
      <c r="BR268" s="22" t="n"/>
      <c r="BS268" s="22" t="n"/>
      <c r="BT268" s="22" t="n"/>
      <c r="BU268" s="22" t="n"/>
      <c r="BV268" s="22" t="n"/>
      <c r="BW268" s="22" t="n"/>
      <c r="BX268" s="22" t="n"/>
      <c r="BY268" s="22" t="n"/>
      <c r="BZ268" s="22" t="n"/>
      <c r="CA268" s="22" t="n"/>
      <c r="CB268" s="22" t="n"/>
      <c r="CC268" s="22" t="n"/>
      <c r="CD268" s="22" t="n"/>
      <c r="CE268" s="22" t="n"/>
      <c r="CF268" s="22" t="n"/>
      <c r="CG268" s="22" t="n"/>
      <c r="CH268" s="22" t="n"/>
      <c r="CI268" s="22" t="n"/>
      <c r="CJ268" s="22" t="n"/>
      <c r="CK268" s="22" t="n"/>
      <c r="CL268" s="22" t="n"/>
      <c r="CM268" s="22" t="n"/>
      <c r="CN268" s="22" t="n"/>
      <c r="CO268" s="22" t="n"/>
      <c r="CP268" s="22" t="n"/>
      <c r="CQ268" s="22" t="n"/>
      <c r="CR268" s="22" t="n"/>
      <c r="CS268" s="22" t="n"/>
      <c r="CT268" s="22" t="n"/>
      <c r="CU268" s="22" t="n"/>
      <c r="CV268" s="22" t="n"/>
      <c r="CW268" s="22" t="n"/>
      <c r="CX268" s="22" t="n"/>
      <c r="CY268" s="22" t="n"/>
    </row>
    <row r="269" hidden="1" outlineLevel="1" customFormat="1" s="39">
      <c r="A269" s="19" t="n"/>
      <c r="B269" s="19" t="n"/>
      <c r="C269" s="41" t="inlineStr">
        <is>
          <t>Treasury share $ repurchases</t>
        </is>
      </c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6" t="n"/>
      <c r="AI269" s="6" t="n"/>
      <c r="AJ269" s="6" t="n"/>
      <c r="AK269" s="6" t="n"/>
      <c r="AL269" s="22" t="n"/>
      <c r="AM269" s="6" t="n"/>
      <c r="AN269" s="6" t="n"/>
      <c r="AO269" s="6" t="n"/>
      <c r="AP269" s="6" t="n"/>
      <c r="AQ269" s="22" t="n"/>
      <c r="AR269" s="6" t="n"/>
      <c r="AS269" s="6" t="n"/>
      <c r="AT269" s="6" t="n"/>
      <c r="AU269" s="6" t="n"/>
      <c r="AV269" s="22" t="n"/>
      <c r="AW269" s="6" t="n"/>
      <c r="AX269" s="6" t="n"/>
      <c r="AY269" s="6" t="n"/>
      <c r="AZ269" s="6" t="n"/>
      <c r="BA269" s="22" t="n"/>
      <c r="BB269" s="6" t="n"/>
      <c r="BC269" s="6" t="n"/>
      <c r="BD269" s="6" t="n"/>
      <c r="BE269" s="6" t="n"/>
      <c r="BF269" s="22" t="n"/>
      <c r="BG269" s="6" t="n"/>
      <c r="BH269" s="6" t="n"/>
      <c r="BI269" s="6" t="n"/>
      <c r="BJ269" s="6" t="n"/>
      <c r="BK269" s="22" t="n"/>
      <c r="BL269" s="6" t="n"/>
      <c r="BM269" s="6" t="n"/>
      <c r="BN269" s="6" t="n"/>
      <c r="BO269" s="6" t="n"/>
      <c r="BP269" s="22" t="n"/>
      <c r="BQ269" s="6" t="n"/>
      <c r="BR269" s="6" t="n"/>
      <c r="BS269" s="6" t="n"/>
      <c r="BT269" s="6" t="n"/>
      <c r="BU269" s="22" t="n"/>
      <c r="BV269" s="6" t="n"/>
      <c r="BW269" s="6" t="n"/>
      <c r="BX269" s="6" t="n"/>
      <c r="BY269" s="6" t="n"/>
      <c r="BZ269" s="22" t="n"/>
      <c r="CA269" s="6" t="n"/>
      <c r="CB269" s="6" t="n"/>
      <c r="CC269" s="6" t="n"/>
      <c r="CD269" s="6" t="n"/>
      <c r="CE269" s="22" t="n"/>
      <c r="CF269" s="6" t="n"/>
      <c r="CG269" s="6" t="n"/>
      <c r="CH269" s="6" t="n"/>
      <c r="CI269" s="6" t="n"/>
      <c r="CJ269" s="22" t="n"/>
      <c r="CK269" s="6" t="n"/>
      <c r="CL269" s="6" t="n"/>
      <c r="CM269" s="6" t="n"/>
      <c r="CN269" s="6" t="n"/>
      <c r="CO269" s="22" t="n"/>
      <c r="CP269" s="6" t="n"/>
      <c r="CQ269" s="6" t="n"/>
      <c r="CR269" s="6" t="n"/>
      <c r="CS269" s="6" t="n"/>
      <c r="CT269" s="22" t="n"/>
      <c r="CU269" s="6" t="n"/>
      <c r="CV269" s="6" t="n"/>
      <c r="CW269" s="6" t="n"/>
      <c r="CX269" s="6" t="n"/>
      <c r="CY269" s="22" t="n"/>
    </row>
    <row r="270" hidden="1" outlineLevel="1" customFormat="1" s="39">
      <c r="A270" s="19" t="n"/>
      <c r="B270" s="19" t="n"/>
      <c r="C270" s="41" t="inlineStr">
        <is>
          <t>Value of shares issued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6" t="n"/>
      <c r="AI270" s="6" t="n"/>
      <c r="AJ270" s="6" t="n"/>
      <c r="AK270" s="6" t="n"/>
      <c r="AL270" s="22" t="n"/>
      <c r="AM270" s="6" t="n"/>
      <c r="AN270" s="6" t="n"/>
      <c r="AO270" s="6" t="n"/>
      <c r="AP270" s="6" t="n"/>
      <c r="AQ270" s="22" t="n"/>
      <c r="AR270" s="6" t="n"/>
      <c r="AS270" s="6" t="n"/>
      <c r="AT270" s="6" t="n"/>
      <c r="AU270" s="6" t="n"/>
      <c r="AV270" s="22" t="n"/>
      <c r="AW270" s="6" t="n"/>
      <c r="AX270" s="6" t="n"/>
      <c r="AY270" s="6" t="n"/>
      <c r="AZ270" s="6" t="n"/>
      <c r="BA270" s="22" t="n"/>
      <c r="BB270" s="6" t="n"/>
      <c r="BC270" s="6" t="n"/>
      <c r="BD270" s="6" t="n"/>
      <c r="BE270" s="6" t="n"/>
      <c r="BF270" s="22" t="n"/>
      <c r="BG270" s="6" t="n"/>
      <c r="BH270" s="6" t="n"/>
      <c r="BI270" s="6" t="n"/>
      <c r="BJ270" s="6" t="n"/>
      <c r="BK270" s="22" t="n"/>
      <c r="BL270" s="6" t="n"/>
      <c r="BM270" s="6" t="n"/>
      <c r="BN270" s="6" t="n"/>
      <c r="BO270" s="6" t="n"/>
      <c r="BP270" s="22" t="n"/>
      <c r="BQ270" s="6" t="n"/>
      <c r="BR270" s="6" t="n"/>
      <c r="BS270" s="6" t="n"/>
      <c r="BT270" s="6" t="n"/>
      <c r="BU270" s="22" t="n"/>
      <c r="BV270" s="6" t="n"/>
      <c r="BW270" s="6" t="n"/>
      <c r="BX270" s="6" t="n"/>
      <c r="BY270" s="6" t="n"/>
      <c r="BZ270" s="22" t="n"/>
      <c r="CA270" s="6" t="n"/>
      <c r="CB270" s="6" t="n"/>
      <c r="CC270" s="6" t="n"/>
      <c r="CD270" s="6" t="n"/>
      <c r="CE270" s="22" t="n"/>
      <c r="CF270" s="6" t="n"/>
      <c r="CG270" s="6" t="n"/>
      <c r="CH270" s="6" t="n"/>
      <c r="CI270" s="6" t="n"/>
      <c r="CJ270" s="22" t="n"/>
      <c r="CK270" s="6" t="n"/>
      <c r="CL270" s="6" t="n"/>
      <c r="CM270" s="6" t="n"/>
      <c r="CN270" s="6" t="n"/>
      <c r="CO270" s="22" t="n"/>
      <c r="CP270" s="6" t="n"/>
      <c r="CQ270" s="6" t="n"/>
      <c r="CR270" s="6" t="n"/>
      <c r="CS270" s="6" t="n"/>
      <c r="CT270" s="22" t="n"/>
      <c r="CU270" s="6" t="n"/>
      <c r="CV270" s="6" t="n"/>
      <c r="CW270" s="6" t="n"/>
      <c r="CX270" s="6" t="n"/>
      <c r="CY270" s="22" t="n"/>
    </row>
    <row r="271" hidden="1" outlineLevel="1" customFormat="1" s="39">
      <c r="A271" s="19" t="n"/>
      <c r="B271" s="19" t="n"/>
      <c r="C271" s="41" t="inlineStr">
        <is>
          <t>Expected average share price</t>
        </is>
      </c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51" t="n"/>
      <c r="AH271" s="42">
        <f>AG271*(1+AH272)</f>
        <v>0</v>
      </c>
      <c r="AI271" s="42">
        <f>AH271*(1+AI272)</f>
        <v>0</v>
      </c>
      <c r="AJ271" s="42">
        <f>AI271*(1+AJ272)</f>
        <v>0</v>
      </c>
      <c r="AK271" s="42">
        <f>AJ271*(1+AK272)</f>
        <v>0</v>
      </c>
      <c r="AL271" s="22" t="n"/>
      <c r="AM271" s="42">
        <f>AK271*(1+AM272)</f>
        <v>0</v>
      </c>
      <c r="AN271" s="42">
        <f>AM271*(1+AN272)</f>
        <v>0</v>
      </c>
      <c r="AO271" s="42">
        <f>AN271*(1+AO272)</f>
        <v>0</v>
      </c>
      <c r="AP271" s="42">
        <f>AO271*(1+AP272)</f>
        <v>0</v>
      </c>
      <c r="AQ271" s="22" t="n"/>
      <c r="AR271" s="42">
        <f>AP271*(1+AR272)</f>
        <v>0</v>
      </c>
      <c r="AS271" s="42">
        <f>AR271*(1+AS272)</f>
        <v>0</v>
      </c>
      <c r="AT271" s="42">
        <f>AS271*(1+AT272)</f>
        <v>0</v>
      </c>
      <c r="AU271" s="42">
        <f>AT271*(1+AU272)</f>
        <v>0</v>
      </c>
      <c r="AV271" s="22" t="n"/>
      <c r="AW271" s="42">
        <f>AU271*(1+AW272)</f>
        <v>0</v>
      </c>
      <c r="AX271" s="42">
        <f>AW271*(1+AX272)</f>
        <v>0</v>
      </c>
      <c r="AY271" s="42">
        <f>AX271*(1+AY272)</f>
        <v>0</v>
      </c>
      <c r="AZ271" s="42">
        <f>AY271*(1+AZ272)</f>
        <v>0</v>
      </c>
      <c r="BA271" s="22" t="n"/>
      <c r="BB271" s="42">
        <f>AZ271*(1+BB272)</f>
        <v>0</v>
      </c>
      <c r="BC271" s="42">
        <f>BB271*(1+BC272)</f>
        <v>0</v>
      </c>
      <c r="BD271" s="42">
        <f>BC271*(1+BD272)</f>
        <v>0</v>
      </c>
      <c r="BE271" s="42">
        <f>BD271*(1+BE272)</f>
        <v>0</v>
      </c>
      <c r="BF271" s="22" t="n"/>
      <c r="BG271" s="42">
        <f>BE271*(1+BG272)</f>
        <v>0</v>
      </c>
      <c r="BH271" s="42">
        <f>BG271*(1+BH272)</f>
        <v>0</v>
      </c>
      <c r="BI271" s="42">
        <f>BH271*(1+BI272)</f>
        <v>0</v>
      </c>
      <c r="BJ271" s="42">
        <f>BI271*(1+BJ272)</f>
        <v>0</v>
      </c>
      <c r="BK271" s="22" t="n"/>
      <c r="BL271" s="42">
        <f>BJ271*(1+BL272)</f>
        <v>0</v>
      </c>
      <c r="BM271" s="42">
        <f>BL271*(1+BM272)</f>
        <v>0</v>
      </c>
      <c r="BN271" s="42">
        <f>BM271*(1+BN272)</f>
        <v>0</v>
      </c>
      <c r="BO271" s="42">
        <f>BN271*(1+BO272)</f>
        <v>0</v>
      </c>
      <c r="BP271" s="22" t="n"/>
      <c r="BQ271" s="42">
        <f>BO271*(1+BQ272)</f>
        <v>0</v>
      </c>
      <c r="BR271" s="42">
        <f>BQ271*(1+BR272)</f>
        <v>0</v>
      </c>
      <c r="BS271" s="42">
        <f>BR271*(1+BS272)</f>
        <v>0</v>
      </c>
      <c r="BT271" s="42">
        <f>BS271*(1+BT272)</f>
        <v>0</v>
      </c>
      <c r="BU271" s="22" t="n"/>
      <c r="BV271" s="42">
        <f>BT271*(1+BV272)</f>
        <v>0</v>
      </c>
      <c r="BW271" s="42">
        <f>BV271*(1+BW272)</f>
        <v>0</v>
      </c>
      <c r="BX271" s="42">
        <f>BW271*(1+BX272)</f>
        <v>0</v>
      </c>
      <c r="BY271" s="42">
        <f>BX271*(1+BY272)</f>
        <v>0</v>
      </c>
      <c r="BZ271" s="22" t="n"/>
      <c r="CA271" s="42">
        <f>BY271*(1+CA272)</f>
        <v>0</v>
      </c>
      <c r="CB271" s="42">
        <f>CA271*(1+CB272)</f>
        <v>0</v>
      </c>
      <c r="CC271" s="42">
        <f>CB271*(1+CC272)</f>
        <v>0</v>
      </c>
      <c r="CD271" s="42">
        <f>CC271*(1+CD272)</f>
        <v>0</v>
      </c>
      <c r="CE271" s="22" t="n"/>
      <c r="CF271" s="42">
        <f>CD271*(1+CF272)</f>
        <v>0</v>
      </c>
      <c r="CG271" s="42">
        <f>CF271*(1+CG272)</f>
        <v>0</v>
      </c>
      <c r="CH271" s="42">
        <f>CG271*(1+CH272)</f>
        <v>0</v>
      </c>
      <c r="CI271" s="42">
        <f>CH271*(1+CI272)</f>
        <v>0</v>
      </c>
      <c r="CJ271" s="22" t="n"/>
      <c r="CK271" s="42">
        <f>CI271*(1+CK272)</f>
        <v>0</v>
      </c>
      <c r="CL271" s="42">
        <f>CK271*(1+CL272)</f>
        <v>0</v>
      </c>
      <c r="CM271" s="42">
        <f>CL271*(1+CM272)</f>
        <v>0</v>
      </c>
      <c r="CN271" s="42">
        <f>CM271*(1+CN272)</f>
        <v>0</v>
      </c>
      <c r="CO271" s="22" t="n"/>
      <c r="CP271" s="42">
        <f>CN271*(1+CP272)</f>
        <v>0</v>
      </c>
      <c r="CQ271" s="42">
        <f>CP271*(1+CQ272)</f>
        <v>0</v>
      </c>
      <c r="CR271" s="42">
        <f>CQ271*(1+CR272)</f>
        <v>0</v>
      </c>
      <c r="CS271" s="42">
        <f>CR271*(1+CS272)</f>
        <v>0</v>
      </c>
      <c r="CT271" s="22" t="n"/>
      <c r="CU271" s="42">
        <f>CS271*(1+CU272)</f>
        <v>0</v>
      </c>
      <c r="CV271" s="42">
        <f>CU271*(1+CV272)</f>
        <v>0</v>
      </c>
      <c r="CW271" s="42">
        <f>CV271*(1+CW272)</f>
        <v>0</v>
      </c>
      <c r="CX271" s="42">
        <f>CW271*(1+CX272)</f>
        <v>0</v>
      </c>
      <c r="CY271" s="22" t="n"/>
      <c r="CZ271">
        <f>CX271*(1+CZ272)</f>
        <v>0</v>
      </c>
      <c r="DA271">
        <f>CZ271*(1+DA272)</f>
        <v>0</v>
      </c>
      <c r="DB271">
        <f>DA271*(1+DB272)</f>
        <v>0</v>
      </c>
      <c r="DC271">
        <f>DB271*(1+DC272)</f>
        <v>0</v>
      </c>
    </row>
    <row r="272" hidden="1" outlineLevel="1" customFormat="1" s="39">
      <c r="A272" s="19" t="n"/>
      <c r="B272" s="19" t="n"/>
      <c r="C272" s="41" t="inlineStr">
        <is>
          <t>Consensus EPS growth</t>
        </is>
      </c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40">
        <f>$AL$277</f>
        <v>0</v>
      </c>
      <c r="AI272" s="40">
        <f>$AL$277</f>
        <v>0</v>
      </c>
      <c r="AJ272" s="40">
        <f>$AL$277</f>
        <v>0</v>
      </c>
      <c r="AK272" s="40">
        <f>$AL$277</f>
        <v>0</v>
      </c>
      <c r="AL272" s="22" t="n"/>
      <c r="AM272" s="40">
        <f>$AL$277</f>
        <v>0</v>
      </c>
      <c r="AN272" s="40">
        <f>$AL$277</f>
        <v>0</v>
      </c>
      <c r="AO272" s="40">
        <f>$AL$277</f>
        <v>0</v>
      </c>
      <c r="AP272" s="40">
        <f>$AL$277</f>
        <v>0</v>
      </c>
      <c r="AQ272" s="22" t="n"/>
      <c r="AR272" s="40">
        <f>$AL$277</f>
        <v>0</v>
      </c>
      <c r="AS272" s="40">
        <f>$AL$277</f>
        <v>0</v>
      </c>
      <c r="AT272" s="40">
        <f>$AL$277</f>
        <v>0</v>
      </c>
      <c r="AU272" s="40">
        <f>$AL$277</f>
        <v>0</v>
      </c>
      <c r="AV272" s="22" t="n"/>
      <c r="AW272" s="40">
        <f>$AL$277</f>
        <v>0</v>
      </c>
      <c r="AX272" s="40">
        <f>$AL$277</f>
        <v>0</v>
      </c>
      <c r="AY272" s="40">
        <f>$AL$277</f>
        <v>0</v>
      </c>
      <c r="AZ272" s="40">
        <f>$AL$277</f>
        <v>0</v>
      </c>
      <c r="BA272" s="22" t="n"/>
      <c r="BB272" s="40">
        <f>$AL$277</f>
        <v>0</v>
      </c>
      <c r="BC272" s="40">
        <f>$AL$277</f>
        <v>0</v>
      </c>
      <c r="BD272" s="40">
        <f>$AL$277</f>
        <v>0</v>
      </c>
      <c r="BE272" s="40">
        <f>$AL$277</f>
        <v>0</v>
      </c>
      <c r="BF272" s="22" t="n"/>
      <c r="BG272" s="40">
        <f>$AL$277</f>
        <v>0</v>
      </c>
      <c r="BH272" s="40">
        <f>$AL$277</f>
        <v>0</v>
      </c>
      <c r="BI272" s="40">
        <f>$AL$277</f>
        <v>0</v>
      </c>
      <c r="BJ272" s="40">
        <f>$AL$277</f>
        <v>0</v>
      </c>
      <c r="BK272" s="22" t="n"/>
      <c r="BL272" s="40">
        <f>$AL$277</f>
        <v>0</v>
      </c>
      <c r="BM272" s="40">
        <f>$AL$277</f>
        <v>0</v>
      </c>
      <c r="BN272" s="40">
        <f>$AL$277</f>
        <v>0</v>
      </c>
      <c r="BO272" s="40">
        <f>$AL$277</f>
        <v>0</v>
      </c>
      <c r="BP272" s="22" t="n"/>
      <c r="BQ272" s="40">
        <f>$AL$277</f>
        <v>0</v>
      </c>
      <c r="BR272" s="40">
        <f>$AL$277</f>
        <v>0</v>
      </c>
      <c r="BS272" s="40">
        <f>$AL$277</f>
        <v>0</v>
      </c>
      <c r="BT272" s="40">
        <f>$AL$277</f>
        <v>0</v>
      </c>
      <c r="BU272" s="22" t="n"/>
      <c r="BV272" s="40">
        <f>$AL$277</f>
        <v>0</v>
      </c>
      <c r="BW272" s="40">
        <f>$AL$277</f>
        <v>0</v>
      </c>
      <c r="BX272" s="40">
        <f>$AL$277</f>
        <v>0</v>
      </c>
      <c r="BY272" s="40">
        <f>$AL$277</f>
        <v>0</v>
      </c>
      <c r="BZ272" s="22" t="n"/>
      <c r="CA272" s="40">
        <f>$AL$277</f>
        <v>0</v>
      </c>
      <c r="CB272" s="40">
        <f>$AL$277</f>
        <v>0</v>
      </c>
      <c r="CC272" s="40">
        <f>$AL$277</f>
        <v>0</v>
      </c>
      <c r="CD272" s="40">
        <f>$AL$277</f>
        <v>0</v>
      </c>
      <c r="CE272" s="22" t="n"/>
      <c r="CF272" s="40">
        <f>$AL$277</f>
        <v>0</v>
      </c>
      <c r="CG272" s="40">
        <f>$AL$277</f>
        <v>0</v>
      </c>
      <c r="CH272" s="40">
        <f>$AL$277</f>
        <v>0</v>
      </c>
      <c r="CI272" s="40">
        <f>$AL$277</f>
        <v>0</v>
      </c>
      <c r="CJ272" s="22" t="n"/>
      <c r="CK272" s="40">
        <f>$AL$277</f>
        <v>0</v>
      </c>
      <c r="CL272" s="40">
        <f>$AL$277</f>
        <v>0</v>
      </c>
      <c r="CM272" s="40">
        <f>$AL$277</f>
        <v>0</v>
      </c>
      <c r="CN272" s="40">
        <f>$AL$277</f>
        <v>0</v>
      </c>
      <c r="CO272" s="22" t="n"/>
      <c r="CP272" s="40">
        <f>$AL$277</f>
        <v>0</v>
      </c>
      <c r="CQ272" s="40">
        <f>$AL$277</f>
        <v>0</v>
      </c>
      <c r="CR272" s="40">
        <f>$AL$277</f>
        <v>0</v>
      </c>
      <c r="CS272" s="40">
        <f>$AL$277</f>
        <v>0</v>
      </c>
      <c r="CT272" s="22" t="n"/>
      <c r="CU272" s="40">
        <f>$AL$277</f>
        <v>0</v>
      </c>
      <c r="CV272" s="40">
        <f>$AL$277</f>
        <v>0</v>
      </c>
      <c r="CW272" s="40">
        <f>$AL$277</f>
        <v>0</v>
      </c>
      <c r="CX272" s="40">
        <f>$AL$277</f>
        <v>0</v>
      </c>
      <c r="CY272" s="22" t="n"/>
    </row>
    <row r="273" hidden="1" outlineLevel="1" customFormat="1" s="39">
      <c r="A273" s="19" t="n"/>
      <c r="B273" s="19" t="n"/>
      <c r="C273" s="41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3" t="n"/>
      <c r="AI273" s="3" t="n"/>
      <c r="AJ273" s="3" t="n"/>
      <c r="AK273" s="3" t="n"/>
      <c r="AL273" s="22" t="n"/>
      <c r="AM273" s="3" t="n"/>
      <c r="AN273" s="3" t="n"/>
      <c r="AO273" s="3" t="n"/>
      <c r="AP273" s="3" t="n"/>
      <c r="AQ273" s="22" t="n"/>
      <c r="AR273" s="3" t="n"/>
      <c r="AS273" s="3" t="n"/>
      <c r="AT273" s="3" t="n"/>
      <c r="AU273" s="3" t="n"/>
      <c r="AV273" s="22" t="n"/>
      <c r="AW273" s="3" t="n"/>
      <c r="AX273" s="3" t="n"/>
      <c r="AY273" s="3" t="n"/>
      <c r="AZ273" s="3" t="n"/>
      <c r="BA273" s="22" t="n"/>
      <c r="BB273" s="3" t="n"/>
      <c r="BC273" s="3" t="n"/>
      <c r="BD273" s="3" t="n"/>
      <c r="BE273" s="3" t="n"/>
      <c r="BF273" s="22" t="n"/>
      <c r="BG273" s="3" t="n"/>
      <c r="BH273" s="3" t="n"/>
      <c r="BI273" s="3" t="n"/>
      <c r="BJ273" s="3" t="n"/>
      <c r="BK273" s="22" t="n"/>
      <c r="BL273" s="3" t="n"/>
      <c r="BM273" s="3" t="n"/>
      <c r="BN273" s="3" t="n"/>
      <c r="BO273" s="3" t="n"/>
      <c r="BP273" s="22" t="n"/>
      <c r="BQ273" s="3" t="n"/>
      <c r="BR273" s="3" t="n"/>
      <c r="BS273" s="3" t="n"/>
      <c r="BT273" s="3" t="n"/>
      <c r="BU273" s="22" t="n"/>
      <c r="BV273" s="3" t="n"/>
      <c r="BW273" s="3" t="n"/>
      <c r="BX273" s="3" t="n"/>
      <c r="BY273" s="3" t="n"/>
      <c r="BZ273" s="22" t="n"/>
      <c r="CA273" s="3" t="n"/>
      <c r="CB273" s="3" t="n"/>
      <c r="CC273" s="3" t="n"/>
      <c r="CD273" s="3" t="n"/>
      <c r="CE273" s="22" t="n"/>
      <c r="CF273" s="3" t="n"/>
      <c r="CG273" s="3" t="n"/>
      <c r="CH273" s="3" t="n"/>
      <c r="CI273" s="3" t="n"/>
      <c r="CJ273" s="22" t="n"/>
      <c r="CK273" s="3" t="n"/>
      <c r="CL273" s="3" t="n"/>
      <c r="CM273" s="3" t="n"/>
      <c r="CN273" s="3" t="n"/>
      <c r="CO273" s="22" t="n"/>
      <c r="CP273" s="3" t="n"/>
      <c r="CQ273" s="3" t="n"/>
      <c r="CR273" s="3" t="n"/>
      <c r="CS273" s="3" t="n"/>
      <c r="CT273" s="22" t="n"/>
      <c r="CU273" s="3" t="n"/>
      <c r="CV273" s="3" t="n"/>
      <c r="CW273" s="3" t="n"/>
      <c r="CX273" s="3" t="n"/>
      <c r="CY273" s="22" t="n"/>
    </row>
    <row r="274" hidden="1" outlineLevel="1" customFormat="1" s="39">
      <c r="A274" s="19" t="n"/>
      <c r="B274" s="19" t="n"/>
      <c r="C274" s="41" t="inlineStr">
        <is>
          <t>Shares repurchased</t>
        </is>
      </c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43" t="n"/>
      <c r="AI274" s="43" t="n"/>
      <c r="AJ274" s="43" t="e">
        <f>-AJ269/AJ271</f>
        <v>#DIV/0!</v>
      </c>
      <c r="AK274" s="43" t="e">
        <f>-AK269/AK271</f>
        <v>#DIV/0!</v>
      </c>
      <c r="AL274" s="22" t="n"/>
      <c r="AM274" s="43" t="e">
        <f>-AM269/AM271</f>
        <v>#DIV/0!</v>
      </c>
      <c r="AN274" s="43" t="e">
        <f>-AN269/AN271</f>
        <v>#DIV/0!</v>
      </c>
      <c r="AO274" s="43" t="e">
        <f>-AO269/AO271</f>
        <v>#DIV/0!</v>
      </c>
      <c r="AP274" s="43" t="e">
        <f>-AP269/AP271</f>
        <v>#DIV/0!</v>
      </c>
      <c r="AQ274" s="22" t="n"/>
      <c r="AR274" s="43" t="e">
        <f>-AR269/AR271</f>
        <v>#DIV/0!</v>
      </c>
      <c r="AS274" s="43" t="e">
        <f>-AS269/AS271</f>
        <v>#DIV/0!</v>
      </c>
      <c r="AT274" s="43" t="e">
        <f>-AT269/AT271</f>
        <v>#DIV/0!</v>
      </c>
      <c r="AU274" s="43" t="e">
        <f>-AU269/AU271</f>
        <v>#DIV/0!</v>
      </c>
      <c r="AV274" s="22" t="n"/>
      <c r="AW274" s="43" t="e">
        <f>-AW269/AW271</f>
        <v>#DIV/0!</v>
      </c>
      <c r="AX274" s="43" t="e">
        <f>-AX269/AX271</f>
        <v>#DIV/0!</v>
      </c>
      <c r="AY274" s="43" t="e">
        <f>-AY269/AY271</f>
        <v>#DIV/0!</v>
      </c>
      <c r="AZ274" s="43" t="e">
        <f>-AZ269/AZ271</f>
        <v>#DIV/0!</v>
      </c>
      <c r="BA274" s="22" t="n"/>
      <c r="BB274" s="43" t="e">
        <f>-BB269/BB271</f>
        <v>#DIV/0!</v>
      </c>
      <c r="BC274" s="43" t="e">
        <f>-BC269/BC271</f>
        <v>#DIV/0!</v>
      </c>
      <c r="BD274" s="43" t="e">
        <f>-BD269/BD271</f>
        <v>#DIV/0!</v>
      </c>
      <c r="BE274" s="43" t="e">
        <f>-BE269/BE271</f>
        <v>#DIV/0!</v>
      </c>
      <c r="BF274" s="22" t="n"/>
      <c r="BG274" s="43" t="e">
        <f>-BG269/BG271</f>
        <v>#DIV/0!</v>
      </c>
      <c r="BH274" s="43" t="e">
        <f>-BH269/BH271</f>
        <v>#DIV/0!</v>
      </c>
      <c r="BI274" s="43" t="e">
        <f>-BI269/BI271</f>
        <v>#DIV/0!</v>
      </c>
      <c r="BJ274" s="43" t="e">
        <f>-BJ269/BJ271</f>
        <v>#DIV/0!</v>
      </c>
      <c r="BK274" s="22" t="n"/>
      <c r="BL274" s="43" t="e">
        <f>-BL269/BL271</f>
        <v>#DIV/0!</v>
      </c>
      <c r="BM274" s="43" t="e">
        <f>-BM269/BM271</f>
        <v>#DIV/0!</v>
      </c>
      <c r="BN274" s="43" t="e">
        <f>-BN269/BN271</f>
        <v>#DIV/0!</v>
      </c>
      <c r="BO274" s="43" t="e">
        <f>-BO269/BO271</f>
        <v>#DIV/0!</v>
      </c>
      <c r="BP274" s="22" t="n"/>
      <c r="BQ274" s="43" t="e">
        <f>-BQ269/BQ271</f>
        <v>#DIV/0!</v>
      </c>
      <c r="BR274" s="43" t="e">
        <f>-BR269/BR271</f>
        <v>#DIV/0!</v>
      </c>
      <c r="BS274" s="43" t="e">
        <f>-BS269/BS271</f>
        <v>#DIV/0!</v>
      </c>
      <c r="BT274" s="43" t="e">
        <f>-BT269/BT271</f>
        <v>#DIV/0!</v>
      </c>
      <c r="BU274" s="22" t="n"/>
      <c r="BV274" s="43" t="e">
        <f>-BV269/BV271</f>
        <v>#DIV/0!</v>
      </c>
      <c r="BW274" s="43" t="e">
        <f>-BW269/BW271</f>
        <v>#DIV/0!</v>
      </c>
      <c r="BX274" s="43" t="e">
        <f>-BX269/BX271</f>
        <v>#DIV/0!</v>
      </c>
      <c r="BY274" s="43" t="e">
        <f>-BY269/BY271</f>
        <v>#DIV/0!</v>
      </c>
      <c r="BZ274" s="22" t="n"/>
      <c r="CA274" s="43" t="e">
        <f>-CA269/CA271</f>
        <v>#DIV/0!</v>
      </c>
      <c r="CB274" s="43" t="e">
        <f>-CB269/CB271</f>
        <v>#DIV/0!</v>
      </c>
      <c r="CC274" s="43" t="e">
        <f>-CC269/CC271</f>
        <v>#DIV/0!</v>
      </c>
      <c r="CD274" s="43" t="e">
        <f>-CD269/CD271</f>
        <v>#DIV/0!</v>
      </c>
      <c r="CE274" s="22" t="n"/>
      <c r="CF274" s="43" t="e">
        <f>-CF269/CF271</f>
        <v>#DIV/0!</v>
      </c>
      <c r="CG274" s="43" t="e">
        <f>-CG269/CG271</f>
        <v>#DIV/0!</v>
      </c>
      <c r="CH274" s="43" t="e">
        <f>-CH269/CH271</f>
        <v>#DIV/0!</v>
      </c>
      <c r="CI274" s="43" t="e">
        <f>-CI269/CI271</f>
        <v>#DIV/0!</v>
      </c>
      <c r="CJ274" s="22" t="n"/>
      <c r="CK274" s="43" t="e">
        <f>-CK269/CK271</f>
        <v>#DIV/0!</v>
      </c>
      <c r="CL274" s="43" t="e">
        <f>-CL269/CL271</f>
        <v>#DIV/0!</v>
      </c>
      <c r="CM274" s="43" t="e">
        <f>-CM269/CM271</f>
        <v>#DIV/0!</v>
      </c>
      <c r="CN274" s="43" t="e">
        <f>-CN269/CN271</f>
        <v>#DIV/0!</v>
      </c>
      <c r="CO274" s="22" t="n"/>
      <c r="CP274" s="43" t="e">
        <f>-CP269/CP271</f>
        <v>#DIV/0!</v>
      </c>
      <c r="CQ274" s="43" t="e">
        <f>-CQ269/CQ271</f>
        <v>#DIV/0!</v>
      </c>
      <c r="CR274" s="43" t="e">
        <f>-CR269/CR271</f>
        <v>#DIV/0!</v>
      </c>
      <c r="CS274" s="43" t="e">
        <f>-CS269/CS271</f>
        <v>#DIV/0!</v>
      </c>
      <c r="CT274" s="22" t="n"/>
      <c r="CU274" s="43" t="e">
        <f>-CU269/CU271</f>
        <v>#DIV/0!</v>
      </c>
      <c r="CV274" s="43" t="e">
        <f>-CV269/CV271</f>
        <v>#DIV/0!</v>
      </c>
      <c r="CW274" s="43" t="e">
        <f>-CW269/CW271</f>
        <v>#DIV/0!</v>
      </c>
      <c r="CX274" s="43" t="e">
        <f>-CX269/CX271</f>
        <v>#DIV/0!</v>
      </c>
      <c r="CY274" s="22" t="n"/>
    </row>
    <row r="275" hidden="1" outlineLevel="1" customFormat="1" s="39">
      <c r="A275" s="19" t="n"/>
      <c r="B275" s="19" t="n"/>
      <c r="C275" s="41" t="inlineStr">
        <is>
          <t>Shares issued</t>
        </is>
      </c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46" t="n"/>
      <c r="AG275" s="22" t="n"/>
      <c r="AH275" s="43" t="n"/>
      <c r="AI275" s="43" t="n"/>
      <c r="AJ275" s="43" t="e">
        <f>AJ270/AJ271</f>
        <v>#DIV/0!</v>
      </c>
      <c r="AK275" s="43" t="e">
        <f>AK270/AK271</f>
        <v>#DIV/0!</v>
      </c>
      <c r="AL275" s="22" t="n"/>
      <c r="AM275" s="43" t="e">
        <f>AM270/AM271</f>
        <v>#DIV/0!</v>
      </c>
      <c r="AN275" s="43" t="e">
        <f>AN270/AN271</f>
        <v>#DIV/0!</v>
      </c>
      <c r="AO275" s="43" t="e">
        <f>AO270/AO271</f>
        <v>#DIV/0!</v>
      </c>
      <c r="AP275" s="43" t="e">
        <f>AP270/AP271</f>
        <v>#DIV/0!</v>
      </c>
      <c r="AQ275" s="22" t="n"/>
      <c r="AR275" s="43" t="e">
        <f>AR270/AR271</f>
        <v>#DIV/0!</v>
      </c>
      <c r="AS275" s="43" t="e">
        <f>AS270/AS271</f>
        <v>#DIV/0!</v>
      </c>
      <c r="AT275" s="43" t="e">
        <f>AT270/AT271</f>
        <v>#DIV/0!</v>
      </c>
      <c r="AU275" s="43" t="e">
        <f>AU270/AU271</f>
        <v>#DIV/0!</v>
      </c>
      <c r="AV275" s="22" t="n"/>
      <c r="AW275" s="43" t="e">
        <f>AW270/AW271</f>
        <v>#DIV/0!</v>
      </c>
      <c r="AX275" s="43" t="e">
        <f>AX270/AX271</f>
        <v>#DIV/0!</v>
      </c>
      <c r="AY275" s="43" t="e">
        <f>AY270/AY271</f>
        <v>#DIV/0!</v>
      </c>
      <c r="AZ275" s="43" t="e">
        <f>AZ270/AZ271</f>
        <v>#DIV/0!</v>
      </c>
      <c r="BA275" s="22" t="n"/>
      <c r="BB275" s="43" t="e">
        <f>BB270/BB271</f>
        <v>#DIV/0!</v>
      </c>
      <c r="BC275" s="43" t="e">
        <f>BC270/BC271</f>
        <v>#DIV/0!</v>
      </c>
      <c r="BD275" s="43" t="e">
        <f>BD270/BD271</f>
        <v>#DIV/0!</v>
      </c>
      <c r="BE275" s="43" t="e">
        <f>BE270/BE271</f>
        <v>#DIV/0!</v>
      </c>
      <c r="BF275" s="22" t="n"/>
      <c r="BG275" s="43" t="e">
        <f>BG270/BG271</f>
        <v>#DIV/0!</v>
      </c>
      <c r="BH275" s="43" t="e">
        <f>BH270/BH271</f>
        <v>#DIV/0!</v>
      </c>
      <c r="BI275" s="43" t="e">
        <f>BI270/BI271</f>
        <v>#DIV/0!</v>
      </c>
      <c r="BJ275" s="43" t="e">
        <f>BJ270/BJ271</f>
        <v>#DIV/0!</v>
      </c>
      <c r="BK275" s="22" t="n"/>
      <c r="BL275" s="43" t="e">
        <f>BL270/BL271</f>
        <v>#DIV/0!</v>
      </c>
      <c r="BM275" s="43" t="e">
        <f>BM270/BM271</f>
        <v>#DIV/0!</v>
      </c>
      <c r="BN275" s="43" t="e">
        <f>BN270/BN271</f>
        <v>#DIV/0!</v>
      </c>
      <c r="BO275" s="43" t="e">
        <f>BO270/BO271</f>
        <v>#DIV/0!</v>
      </c>
      <c r="BP275" s="22" t="n"/>
      <c r="BQ275" s="43" t="e">
        <f>BQ270/BQ271</f>
        <v>#DIV/0!</v>
      </c>
      <c r="BR275" s="43" t="e">
        <f>BR270/BR271</f>
        <v>#DIV/0!</v>
      </c>
      <c r="BS275" s="43" t="e">
        <f>BS270/BS271</f>
        <v>#DIV/0!</v>
      </c>
      <c r="BT275" s="43" t="e">
        <f>BT270/BT271</f>
        <v>#DIV/0!</v>
      </c>
      <c r="BU275" s="22" t="n"/>
      <c r="BV275" s="43" t="e">
        <f>BV270/BV271</f>
        <v>#DIV/0!</v>
      </c>
      <c r="BW275" s="43" t="e">
        <f>BW270/BW271</f>
        <v>#DIV/0!</v>
      </c>
      <c r="BX275" s="43" t="e">
        <f>BX270/BX271</f>
        <v>#DIV/0!</v>
      </c>
      <c r="BY275" s="43" t="e">
        <f>BY270/BY271</f>
        <v>#DIV/0!</v>
      </c>
      <c r="BZ275" s="22" t="n"/>
      <c r="CA275" s="43" t="e">
        <f>CA270/CA271</f>
        <v>#DIV/0!</v>
      </c>
      <c r="CB275" s="43" t="e">
        <f>CB270/CB271</f>
        <v>#DIV/0!</v>
      </c>
      <c r="CC275" s="43" t="e">
        <f>CC270/CC271</f>
        <v>#DIV/0!</v>
      </c>
      <c r="CD275" s="43" t="e">
        <f>CD270/CD271</f>
        <v>#DIV/0!</v>
      </c>
      <c r="CE275" s="22" t="n"/>
      <c r="CF275" s="43" t="e">
        <f>CF270/CF271</f>
        <v>#DIV/0!</v>
      </c>
      <c r="CG275" s="43" t="e">
        <f>CG270/CG271</f>
        <v>#DIV/0!</v>
      </c>
      <c r="CH275" s="43" t="e">
        <f>CH270/CH271</f>
        <v>#DIV/0!</v>
      </c>
      <c r="CI275" s="43" t="e">
        <f>CI270/CI271</f>
        <v>#DIV/0!</v>
      </c>
      <c r="CJ275" s="22" t="n"/>
      <c r="CK275" s="43" t="e">
        <f>CK270/CK271</f>
        <v>#DIV/0!</v>
      </c>
      <c r="CL275" s="43" t="e">
        <f>CL270/CL271</f>
        <v>#DIV/0!</v>
      </c>
      <c r="CM275" s="43" t="e">
        <f>CM270/CM271</f>
        <v>#DIV/0!</v>
      </c>
      <c r="CN275" s="43" t="e">
        <f>CN270/CN271</f>
        <v>#DIV/0!</v>
      </c>
      <c r="CO275" s="22" t="n"/>
      <c r="CP275" s="43" t="e">
        <f>CP270/CP271</f>
        <v>#DIV/0!</v>
      </c>
      <c r="CQ275" s="43" t="e">
        <f>CQ270/CQ271</f>
        <v>#DIV/0!</v>
      </c>
      <c r="CR275" s="43" t="e">
        <f>CR270/CR271</f>
        <v>#DIV/0!</v>
      </c>
      <c r="CS275" s="43" t="e">
        <f>CS270/CS271</f>
        <v>#DIV/0!</v>
      </c>
      <c r="CT275" s="22" t="n"/>
      <c r="CU275" s="43" t="e">
        <f>CU270/CU271</f>
        <v>#DIV/0!</v>
      </c>
      <c r="CV275" s="43" t="e">
        <f>CV270/CV271</f>
        <v>#DIV/0!</v>
      </c>
      <c r="CW275" s="43" t="e">
        <f>CW270/CW271</f>
        <v>#DIV/0!</v>
      </c>
      <c r="CX275" s="43" t="e">
        <f>CX270/CX271</f>
        <v>#DIV/0!</v>
      </c>
      <c r="CY275" s="22" t="n"/>
    </row>
    <row r="276" hidden="1" outlineLevel="1" customFormat="1" s="39">
      <c r="A276" s="19" t="n"/>
      <c r="B276" s="19" t="n"/>
      <c r="C276" s="41" t="inlineStr">
        <is>
          <t>End of period basic shares outstanding</t>
        </is>
      </c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51" t="n"/>
      <c r="AH276" s="1">
        <f>AG276+AH275-AH274</f>
        <v>0</v>
      </c>
      <c r="AI276" s="1">
        <f>AH276+AI275-AI274</f>
        <v>0</v>
      </c>
      <c r="AJ276" s="43" t="e">
        <f>AI276+AJ275-AJ274</f>
        <v>#DIV/0!</v>
      </c>
      <c r="AK276" s="43" t="e">
        <f>AJ276+AK275-AK274</f>
        <v>#DIV/0!</v>
      </c>
      <c r="AL276" s="22" t="n"/>
      <c r="AM276" s="1" t="e">
        <f>AK276+AM275-AM274</f>
        <v>#DIV/0!</v>
      </c>
      <c r="AN276" s="1" t="e">
        <f>AM276+AN275-AN274</f>
        <v>#DIV/0!</v>
      </c>
      <c r="AO276" s="43" t="e">
        <f>AN276+AO275-AO274</f>
        <v>#DIV/0!</v>
      </c>
      <c r="AP276" s="43" t="e">
        <f>AO276+AP275-AP274</f>
        <v>#DIV/0!</v>
      </c>
      <c r="AQ276" s="22" t="n"/>
      <c r="AR276" s="1" t="e">
        <f>AP276+AR275-AR274</f>
        <v>#DIV/0!</v>
      </c>
      <c r="AS276" s="1" t="e">
        <f>AR276+AS275-AS274</f>
        <v>#DIV/0!</v>
      </c>
      <c r="AT276" s="43" t="e">
        <f>AS276+AT275-AT274</f>
        <v>#DIV/0!</v>
      </c>
      <c r="AU276" s="43" t="e">
        <f>AT276+AU275-AU274</f>
        <v>#DIV/0!</v>
      </c>
      <c r="AV276" s="22" t="n"/>
      <c r="AW276" s="1" t="e">
        <f>AU276+AW275-AW274</f>
        <v>#DIV/0!</v>
      </c>
      <c r="AX276" s="1" t="e">
        <f>AW276+AX275-AX274</f>
        <v>#DIV/0!</v>
      </c>
      <c r="AY276" s="43" t="e">
        <f>AX276+AY275-AY274</f>
        <v>#DIV/0!</v>
      </c>
      <c r="AZ276" s="43" t="e">
        <f>AY276+AZ275-AZ274</f>
        <v>#DIV/0!</v>
      </c>
      <c r="BA276" s="22" t="n"/>
      <c r="BB276" s="1" t="e">
        <f>AZ276+BB275-BB274</f>
        <v>#DIV/0!</v>
      </c>
      <c r="BC276" s="1" t="e">
        <f>BB276+BC275-BC274</f>
        <v>#DIV/0!</v>
      </c>
      <c r="BD276" s="43" t="e">
        <f>BC276+BD275-BD274</f>
        <v>#DIV/0!</v>
      </c>
      <c r="BE276" s="43" t="e">
        <f>BD276+BE275-BE274</f>
        <v>#DIV/0!</v>
      </c>
      <c r="BF276" s="22" t="n"/>
      <c r="BG276" s="1" t="e">
        <f>BE276+BG275-BG274</f>
        <v>#DIV/0!</v>
      </c>
      <c r="BH276" s="1" t="e">
        <f>BG276+BH275-BH274</f>
        <v>#DIV/0!</v>
      </c>
      <c r="BI276" s="43" t="e">
        <f>BH276+BI275-BI274</f>
        <v>#DIV/0!</v>
      </c>
      <c r="BJ276" s="43" t="e">
        <f>BI276+BJ275-BJ274</f>
        <v>#DIV/0!</v>
      </c>
      <c r="BK276" s="22" t="n"/>
      <c r="BL276" s="1" t="e">
        <f>BJ276+BL275-BL274</f>
        <v>#DIV/0!</v>
      </c>
      <c r="BM276" s="1" t="e">
        <f>BL276+BM275-BM274</f>
        <v>#DIV/0!</v>
      </c>
      <c r="BN276" s="43" t="e">
        <f>BM276+BN275-BN274</f>
        <v>#DIV/0!</v>
      </c>
      <c r="BO276" s="43" t="e">
        <f>BN276+BO275-BO274</f>
        <v>#DIV/0!</v>
      </c>
      <c r="BP276" s="22" t="n"/>
      <c r="BQ276" s="1" t="e">
        <f>BO276+BQ275-BQ274</f>
        <v>#DIV/0!</v>
      </c>
      <c r="BR276" s="1" t="e">
        <f>BQ276+BR275-BR274</f>
        <v>#DIV/0!</v>
      </c>
      <c r="BS276" s="43" t="e">
        <f>BR276+BS275-BS274</f>
        <v>#DIV/0!</v>
      </c>
      <c r="BT276" s="43" t="e">
        <f>BS276+BT275-BT274</f>
        <v>#DIV/0!</v>
      </c>
      <c r="BU276" s="22" t="n"/>
      <c r="BV276" s="1" t="e">
        <f>BT276+BV275-BV274</f>
        <v>#DIV/0!</v>
      </c>
      <c r="BW276" s="1" t="e">
        <f>BV276+BW275-BW274</f>
        <v>#DIV/0!</v>
      </c>
      <c r="BX276" s="43" t="e">
        <f>BW276+BX275-BX274</f>
        <v>#DIV/0!</v>
      </c>
      <c r="BY276" s="43" t="e">
        <f>BX276+BY275-BY274</f>
        <v>#DIV/0!</v>
      </c>
      <c r="BZ276" s="22" t="n"/>
      <c r="CA276" s="1" t="e">
        <f>BY276+CA275-CA274</f>
        <v>#DIV/0!</v>
      </c>
      <c r="CB276" s="1" t="e">
        <f>CA276+CB275-CB274</f>
        <v>#DIV/0!</v>
      </c>
      <c r="CC276" s="43" t="e">
        <f>CB276+CC275-CC274</f>
        <v>#DIV/0!</v>
      </c>
      <c r="CD276" s="43" t="e">
        <f>CC276+CD275-CD274</f>
        <v>#DIV/0!</v>
      </c>
      <c r="CE276" s="22" t="n"/>
      <c r="CF276" s="1" t="e">
        <f>CD276+CF275-CF274</f>
        <v>#DIV/0!</v>
      </c>
      <c r="CG276" s="1" t="e">
        <f>CF276+CG275-CG274</f>
        <v>#DIV/0!</v>
      </c>
      <c r="CH276" s="43" t="e">
        <f>CG276+CH275-CH274</f>
        <v>#DIV/0!</v>
      </c>
      <c r="CI276" s="43" t="e">
        <f>CH276+CI275-CI274</f>
        <v>#DIV/0!</v>
      </c>
      <c r="CJ276" s="22" t="n"/>
      <c r="CK276" s="1" t="e">
        <f>CI276+CK275-CK274</f>
        <v>#DIV/0!</v>
      </c>
      <c r="CL276" s="1" t="e">
        <f>CK276+CL275-CL274</f>
        <v>#DIV/0!</v>
      </c>
      <c r="CM276" s="43" t="e">
        <f>CL276+CM275-CM274</f>
        <v>#DIV/0!</v>
      </c>
      <c r="CN276" s="43" t="e">
        <f>CM276+CN275-CN274</f>
        <v>#DIV/0!</v>
      </c>
      <c r="CO276" s="22" t="n"/>
      <c r="CP276" s="1" t="e">
        <f>CN276+CP275-CP274</f>
        <v>#DIV/0!</v>
      </c>
      <c r="CQ276" s="1" t="e">
        <f>CP276+CQ275-CQ274</f>
        <v>#DIV/0!</v>
      </c>
      <c r="CR276" s="43" t="e">
        <f>CQ276+CR275-CR274</f>
        <v>#DIV/0!</v>
      </c>
      <c r="CS276" s="43" t="e">
        <f>CR276+CS275-CS274</f>
        <v>#DIV/0!</v>
      </c>
      <c r="CT276" s="22" t="n"/>
      <c r="CU276" s="1" t="e">
        <f>CS276+CU275-CU274</f>
        <v>#DIV/0!</v>
      </c>
      <c r="CV276" s="1" t="e">
        <f>CU276+CV275-CV274</f>
        <v>#DIV/0!</v>
      </c>
      <c r="CW276" s="43" t="e">
        <f>CV276+CW275-CW274</f>
        <v>#DIV/0!</v>
      </c>
      <c r="CX276" s="43" t="e">
        <f>CW276+CX275-CX274</f>
        <v>#DIV/0!</v>
      </c>
      <c r="CY276" s="22" t="n"/>
      <c r="CZ276" t="e">
        <f>CX276+CZ275-CZ274</f>
        <v>#DIV/0!</v>
      </c>
      <c r="DA276" t="e">
        <f>CZ276+DA275-DA274</f>
        <v>#DIV/0!</v>
      </c>
      <c r="DB276" t="e">
        <f>DA276+DB275-DB274</f>
        <v>#DIV/0!</v>
      </c>
      <c r="DC276" t="e">
        <f>DB276+DC275-DC274</f>
        <v>#DIV/0!</v>
      </c>
    </row>
    <row r="277" hidden="1" outlineLevel="1" customFormat="1" s="39">
      <c r="A277" s="19" t="n"/>
      <c r="B277" s="19" t="n"/>
      <c r="C277" s="41" t="inlineStr">
        <is>
          <t>Weighted average basic shares outstanding</t>
        </is>
      </c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43">
        <f>AVERAGE(AG276,AH276)</f>
        <v>0</v>
      </c>
      <c r="AI277" s="43">
        <f>AVERAGE(AH276,AI276)</f>
        <v>0</v>
      </c>
      <c r="AJ277" s="43" t="e">
        <f>AVERAGE(AI276,AJ276)</f>
        <v>#DIV/0!</v>
      </c>
      <c r="AK277" s="43" t="e">
        <f>AVERAGE(AJ276,AK276)</f>
        <v>#DIV/0!</v>
      </c>
      <c r="AL277" s="22" t="n"/>
      <c r="AM277" s="43" t="e">
        <f>AVERAGE(AK276,AM276)</f>
        <v>#DIV/0!</v>
      </c>
      <c r="AN277" s="43" t="e">
        <f>AVERAGE(AM276,AN276)</f>
        <v>#DIV/0!</v>
      </c>
      <c r="AO277" s="43" t="e">
        <f>AVERAGE(AN276,AO276)</f>
        <v>#DIV/0!</v>
      </c>
      <c r="AP277" s="43" t="e">
        <f>AVERAGE(AO276,AP276)</f>
        <v>#DIV/0!</v>
      </c>
      <c r="AQ277" s="22" t="n"/>
      <c r="AR277" s="43" t="e">
        <f>AVERAGE(AP276,AR276)</f>
        <v>#DIV/0!</v>
      </c>
      <c r="AS277" s="43" t="e">
        <f>AVERAGE(AR276,AS276)</f>
        <v>#DIV/0!</v>
      </c>
      <c r="AT277" s="43" t="e">
        <f>AVERAGE(AS276,AT276)</f>
        <v>#DIV/0!</v>
      </c>
      <c r="AU277" s="43" t="e">
        <f>AVERAGE(AT276,AU276)</f>
        <v>#DIV/0!</v>
      </c>
      <c r="AV277" s="22" t="n"/>
      <c r="AW277" s="43" t="e">
        <f>AVERAGE(AU276,AW276)</f>
        <v>#DIV/0!</v>
      </c>
      <c r="AX277" s="43" t="e">
        <f>AVERAGE(AW276,AX276)</f>
        <v>#DIV/0!</v>
      </c>
      <c r="AY277" s="43" t="e">
        <f>AVERAGE(AX276,AY276)</f>
        <v>#DIV/0!</v>
      </c>
      <c r="AZ277" s="43" t="e">
        <f>AVERAGE(AY276,AZ276)</f>
        <v>#DIV/0!</v>
      </c>
      <c r="BA277" s="22" t="n"/>
      <c r="BB277" s="43" t="e">
        <f>AVERAGE(AZ276,BB276)</f>
        <v>#DIV/0!</v>
      </c>
      <c r="BC277" s="43" t="e">
        <f>AVERAGE(BB276,BC276)</f>
        <v>#DIV/0!</v>
      </c>
      <c r="BD277" s="43" t="e">
        <f>AVERAGE(BC276,BD276)</f>
        <v>#DIV/0!</v>
      </c>
      <c r="BE277" s="43" t="e">
        <f>AVERAGE(BD276,BE276)</f>
        <v>#DIV/0!</v>
      </c>
      <c r="BF277" s="22" t="n"/>
      <c r="BG277" s="43" t="e">
        <f>AVERAGE(BE276,BG276)</f>
        <v>#DIV/0!</v>
      </c>
      <c r="BH277" s="43" t="e">
        <f>AVERAGE(BG276,BH276)</f>
        <v>#DIV/0!</v>
      </c>
      <c r="BI277" s="43" t="e">
        <f>AVERAGE(BH276,BI276)</f>
        <v>#DIV/0!</v>
      </c>
      <c r="BJ277" s="43" t="e">
        <f>AVERAGE(BI276,BJ276)</f>
        <v>#DIV/0!</v>
      </c>
      <c r="BK277" s="22" t="n"/>
      <c r="BL277" s="43" t="e">
        <f>AVERAGE(BJ276,BL276)</f>
        <v>#DIV/0!</v>
      </c>
      <c r="BM277" s="43" t="e">
        <f>AVERAGE(BL276,BM276)</f>
        <v>#DIV/0!</v>
      </c>
      <c r="BN277" s="43" t="e">
        <f>AVERAGE(BM276,BN276)</f>
        <v>#DIV/0!</v>
      </c>
      <c r="BO277" s="43" t="e">
        <f>AVERAGE(BN276,BO276)</f>
        <v>#DIV/0!</v>
      </c>
      <c r="BP277" s="22" t="n"/>
      <c r="BQ277" s="43" t="e">
        <f>AVERAGE(BO276,BQ276)</f>
        <v>#DIV/0!</v>
      </c>
      <c r="BR277" s="43" t="e">
        <f>AVERAGE(BQ276,BR276)</f>
        <v>#DIV/0!</v>
      </c>
      <c r="BS277" s="43" t="e">
        <f>AVERAGE(BR276,BS276)</f>
        <v>#DIV/0!</v>
      </c>
      <c r="BT277" s="43" t="e">
        <f>AVERAGE(BS276,BT276)</f>
        <v>#DIV/0!</v>
      </c>
      <c r="BU277" s="22" t="n"/>
      <c r="BV277" s="43" t="e">
        <f>AVERAGE(BT276,BV276)</f>
        <v>#DIV/0!</v>
      </c>
      <c r="BW277" s="43" t="e">
        <f>AVERAGE(BV276,BW276)</f>
        <v>#DIV/0!</v>
      </c>
      <c r="BX277" s="43" t="e">
        <f>AVERAGE(BW276,BX276)</f>
        <v>#DIV/0!</v>
      </c>
      <c r="BY277" s="43" t="e">
        <f>AVERAGE(BX276,BY276)</f>
        <v>#DIV/0!</v>
      </c>
      <c r="BZ277" s="22" t="n"/>
      <c r="CA277" s="43" t="e">
        <f>AVERAGE(BY276,CA276)</f>
        <v>#DIV/0!</v>
      </c>
      <c r="CB277" s="43" t="e">
        <f>AVERAGE(CA276,CB276)</f>
        <v>#DIV/0!</v>
      </c>
      <c r="CC277" s="43" t="e">
        <f>AVERAGE(CB276,CC276)</f>
        <v>#DIV/0!</v>
      </c>
      <c r="CD277" s="43" t="e">
        <f>AVERAGE(CC276,CD276)</f>
        <v>#DIV/0!</v>
      </c>
      <c r="CE277" s="22" t="n"/>
      <c r="CF277" s="43" t="e">
        <f>AVERAGE(CD276,CF276)</f>
        <v>#DIV/0!</v>
      </c>
      <c r="CG277" s="43" t="e">
        <f>AVERAGE(CF276,CG276)</f>
        <v>#DIV/0!</v>
      </c>
      <c r="CH277" s="43" t="e">
        <f>AVERAGE(CG276,CH276)</f>
        <v>#DIV/0!</v>
      </c>
      <c r="CI277" s="43" t="e">
        <f>AVERAGE(CH276,CI276)</f>
        <v>#DIV/0!</v>
      </c>
      <c r="CJ277" s="22" t="n"/>
      <c r="CK277" s="43" t="e">
        <f>AVERAGE(CI276,CK276)</f>
        <v>#DIV/0!</v>
      </c>
      <c r="CL277" s="43" t="e">
        <f>AVERAGE(CK276,CL276)</f>
        <v>#DIV/0!</v>
      </c>
      <c r="CM277" s="43" t="e">
        <f>AVERAGE(CL276,CM276)</f>
        <v>#DIV/0!</v>
      </c>
      <c r="CN277" s="43" t="e">
        <f>AVERAGE(CM276,CN276)</f>
        <v>#DIV/0!</v>
      </c>
      <c r="CO277" s="22" t="n"/>
      <c r="CP277" s="43" t="e">
        <f>AVERAGE(CN276,CP276)</f>
        <v>#DIV/0!</v>
      </c>
      <c r="CQ277" s="43" t="e">
        <f>AVERAGE(CP276,CQ276)</f>
        <v>#DIV/0!</v>
      </c>
      <c r="CR277" s="43" t="e">
        <f>AVERAGE(CQ276,CR276)</f>
        <v>#DIV/0!</v>
      </c>
      <c r="CS277" s="43" t="e">
        <f>AVERAGE(CR276,CS276)</f>
        <v>#DIV/0!</v>
      </c>
      <c r="CT277" s="22" t="n"/>
      <c r="CU277" s="43" t="e">
        <f>AVERAGE(CS276,CU276)</f>
        <v>#DIV/0!</v>
      </c>
      <c r="CV277" s="43" t="e">
        <f>AVERAGE(CU276,CV276)</f>
        <v>#DIV/0!</v>
      </c>
      <c r="CW277" s="43" t="e">
        <f>AVERAGE(CV276,CW276)</f>
        <v>#DIV/0!</v>
      </c>
      <c r="CX277" s="43" t="e">
        <f>AVERAGE(CW276,CX276)</f>
        <v>#DIV/0!</v>
      </c>
      <c r="CY277" s="22" t="n"/>
      <c r="CZ277" t="e">
        <f>AVERAGE(CX276,CZ276)</f>
        <v>#DIV/0!</v>
      </c>
      <c r="DA277" t="e">
        <f>AVERAGE(CZ276,DA276)</f>
        <v>#DIV/0!</v>
      </c>
      <c r="DB277" t="e">
        <f>AVERAGE(DA276,DB276)</f>
        <v>#DIV/0!</v>
      </c>
      <c r="DC277" t="e">
        <f>AVERAGE(DB276,DC276)</f>
        <v>#DIV/0!</v>
      </c>
    </row>
    <row r="278" hidden="1" outlineLevel="1" customFormat="1" s="39">
      <c r="A278" s="19" t="n"/>
      <c r="B278" s="19" t="n"/>
      <c r="C278" s="41" t="n"/>
      <c r="D278" s="22" t="n"/>
      <c r="E278" s="22" t="n"/>
      <c r="F278" s="22" t="n"/>
      <c r="G278" s="22" t="n"/>
      <c r="H278" s="3" t="n"/>
      <c r="I278" s="22" t="n"/>
      <c r="J278" s="22" t="n"/>
      <c r="K278" s="22" t="n"/>
      <c r="L278" s="22" t="n"/>
      <c r="M278" s="3" t="n"/>
      <c r="N278" s="22" t="n"/>
      <c r="O278" s="22" t="n"/>
      <c r="P278" s="22" t="n"/>
      <c r="Q278" s="22" t="n"/>
      <c r="R278" s="3" t="n"/>
      <c r="S278" s="22" t="n"/>
      <c r="T278" s="22" t="n"/>
      <c r="U278" s="22" t="n"/>
      <c r="V278" s="22" t="n"/>
      <c r="W278" s="3" t="n"/>
      <c r="X278" s="22" t="n"/>
      <c r="Y278" s="22" t="n"/>
      <c r="Z278" s="22" t="n"/>
      <c r="AA278" s="22" t="n"/>
      <c r="AB278" s="3" t="n"/>
      <c r="AC278" s="22" t="n"/>
      <c r="AD278" s="22" t="n"/>
      <c r="AE278" s="22" t="n"/>
      <c r="AF278" s="22" t="n"/>
      <c r="AG278" s="3" t="n"/>
      <c r="AH278" s="22" t="n"/>
      <c r="AI278" s="22" t="n"/>
      <c r="AJ278" s="22" t="n"/>
      <c r="AK278" s="22" t="n"/>
      <c r="AL278" s="3" t="n"/>
      <c r="AM278" s="22" t="n"/>
      <c r="AN278" s="22" t="n"/>
      <c r="AO278" s="22" t="n"/>
      <c r="AP278" s="22" t="n"/>
      <c r="AQ278" s="3" t="n"/>
      <c r="AR278" s="22" t="n"/>
      <c r="AS278" s="22" t="n"/>
      <c r="AT278" s="22" t="n"/>
      <c r="AU278" s="22" t="n"/>
      <c r="AV278" s="3" t="n"/>
      <c r="AW278" s="22" t="n"/>
      <c r="AX278" s="22" t="n"/>
      <c r="AY278" s="22" t="n"/>
      <c r="AZ278" s="22" t="n"/>
      <c r="BA278" s="3" t="n"/>
      <c r="BB278" s="22" t="n"/>
      <c r="BC278" s="22" t="n"/>
      <c r="BD278" s="22" t="n"/>
      <c r="BE278" s="22" t="n"/>
      <c r="BF278" s="3" t="n"/>
      <c r="BG278" s="22" t="n"/>
      <c r="BH278" s="22" t="n"/>
      <c r="BI278" s="22" t="n"/>
      <c r="BJ278" s="22" t="n"/>
      <c r="BK278" s="3" t="n"/>
      <c r="BL278" s="22" t="n"/>
      <c r="BM278" s="22" t="n"/>
      <c r="BN278" s="22" t="n"/>
      <c r="BO278" s="22" t="n"/>
      <c r="BP278" s="3" t="n"/>
      <c r="BQ278" s="22" t="n"/>
      <c r="BR278" s="22" t="n"/>
      <c r="BS278" s="22" t="n"/>
      <c r="BT278" s="22" t="n"/>
      <c r="BU278" s="3" t="n"/>
      <c r="BV278" s="22" t="n"/>
      <c r="BW278" s="22" t="n"/>
      <c r="BX278" s="22" t="n"/>
      <c r="BY278" s="22" t="n"/>
      <c r="BZ278" s="3" t="n"/>
      <c r="CA278" s="22" t="n"/>
      <c r="CB278" s="22" t="n"/>
      <c r="CC278" s="22" t="n"/>
      <c r="CD278" s="22" t="n"/>
      <c r="CE278" s="3" t="n"/>
      <c r="CF278" s="22" t="n"/>
      <c r="CG278" s="22" t="n"/>
      <c r="CH278" s="22" t="n"/>
      <c r="CI278" s="22" t="n"/>
      <c r="CJ278" s="3" t="n"/>
      <c r="CK278" s="22" t="n"/>
      <c r="CL278" s="22" t="n"/>
      <c r="CM278" s="22" t="n"/>
      <c r="CN278" s="22" t="n"/>
      <c r="CO278" s="3" t="n"/>
      <c r="CP278" s="22" t="n"/>
      <c r="CQ278" s="22" t="n"/>
      <c r="CR278" s="22" t="n"/>
      <c r="CS278" s="22" t="n"/>
      <c r="CT278" s="3" t="n"/>
      <c r="CU278" s="22" t="n"/>
      <c r="CV278" s="22" t="n"/>
      <c r="CW278" s="22" t="n"/>
      <c r="CX278" s="22" t="n"/>
      <c r="CY278" s="3" t="n"/>
    </row>
    <row r="279" collapsed="1">
      <c r="C279" s="26" t="inlineStr">
        <is>
          <t>Treasury stock (contra account)</t>
        </is>
      </c>
      <c r="D279" s="25">
        <f>INDEX('Inputs (2)'!$D$44:$AL$44,MATCH(D$7,'Inputs (2)'!$D$2:$AL$2,0))</f>
        <v>-23.027</v>
      </c>
      <c r="E279" s="25">
        <f>INDEX('Inputs (2)'!$D$44:$AL$44,MATCH(E$7,'Inputs (2)'!$D$2:$AL$2,0))</f>
        <v>-23.061</v>
      </c>
      <c r="F279" s="25">
        <f>INDEX('Inputs (2)'!$D$44:$AL$44,MATCH(F$7,'Inputs (2)'!$D$2:$AL$2,0))</f>
        <v>-23.23</v>
      </c>
      <c r="G279" s="25">
        <f>INDEX('Inputs (2)'!$D$44:$AL$44,MATCH(G$7,'Inputs (2)'!$D$2:$AL$2,0))</f>
        <v>-23.306</v>
      </c>
      <c r="H279" s="3">
        <f>G279</f>
        <v>-23.306</v>
      </c>
      <c r="I279" s="25">
        <f>INDEX('Inputs (2)'!$D$44:$AL$44,MATCH(I$7,'Inputs (2)'!$D$2:$AL$2,0))</f>
        <v>-23.377</v>
      </c>
      <c r="J279" s="25">
        <f>INDEX('Inputs (2)'!$D$44:$AL$44,MATCH(J$7,'Inputs (2)'!$D$2:$AL$2,0))</f>
        <v>-27.166</v>
      </c>
      <c r="K279" s="25">
        <f>INDEX('Inputs (2)'!$D$44:$AL$44,MATCH(K$7,'Inputs (2)'!$D$2:$AL$2,0))</f>
        <v>-12.509</v>
      </c>
      <c r="L279" s="25">
        <f>INDEX('Inputs (2)'!$D$44:$AL$44,MATCH(L$7,'Inputs (2)'!$D$2:$AL$2,0))</f>
        <v>-12.639</v>
      </c>
      <c r="M279" s="3">
        <f>L279</f>
        <v>-12.639</v>
      </c>
      <c r="N279" s="25">
        <f>INDEX('Inputs (2)'!$D$44:$AL$44,MATCH(N$7,'Inputs (2)'!$D$2:$AL$2,0))</f>
        <v>-12.649</v>
      </c>
      <c r="O279" s="25">
        <f>INDEX('Inputs (2)'!$D$44:$AL$44,MATCH(O$7,'Inputs (2)'!$D$2:$AL$2,0))</f>
        <v>-13.53</v>
      </c>
      <c r="P279" s="25">
        <f>INDEX('Inputs (2)'!$D$44:$AL$44,MATCH(P$7,'Inputs (2)'!$D$2:$AL$2,0))</f>
        <v>-14.41</v>
      </c>
      <c r="Q279" s="25">
        <f>INDEX('Inputs (2)'!$D$44:$AL$44,MATCH(Q$7,'Inputs (2)'!$D$2:$AL$2,0))</f>
        <v>-14.419</v>
      </c>
      <c r="R279" s="3">
        <f>Q279</f>
        <v>-14.419</v>
      </c>
      <c r="S279" s="25">
        <f>INDEX('Inputs (2)'!$D$44:$AL$44,MATCH(S$7,'Inputs (2)'!$D$2:$AL$2,0))</f>
        <v>-29.946</v>
      </c>
      <c r="T279" s="25">
        <f>INDEX('Inputs (2)'!$D$44:$AL$44,MATCH(T$7,'Inputs (2)'!$D$2:$AL$2,0))</f>
        <v>-29.97</v>
      </c>
      <c r="U279" s="25">
        <f>INDEX('Inputs (2)'!$D$44:$AL$44,MATCH(U$7,'Inputs (2)'!$D$2:$AL$2,0))</f>
        <v>-30.106</v>
      </c>
      <c r="V279" s="25">
        <f>INDEX('Inputs (2)'!$D$44:$AL$44,MATCH(V$7,'Inputs (2)'!$D$2:$AL$2,0))</f>
        <v>-50.667</v>
      </c>
      <c r="W279" s="3">
        <f>V279</f>
        <v>-50.667</v>
      </c>
      <c r="X279" s="25">
        <f>INDEX('Inputs (2)'!$D$44:$AL$44,MATCH(X$7,'Inputs (2)'!$D$2:$AL$2,0))</f>
        <v>-50.76</v>
      </c>
      <c r="Y279" s="25">
        <f>INDEX('Inputs (2)'!$D$44:$AL$44,MATCH(Y$7,'Inputs (2)'!$D$2:$AL$2,0))</f>
        <v>-50.763</v>
      </c>
      <c r="Z279" s="25">
        <f>INDEX('Inputs (2)'!$D$44:$AL$44,MATCH(Z$7,'Inputs (2)'!$D$2:$AL$2,0))</f>
        <v>-50.78</v>
      </c>
      <c r="AA279" s="25">
        <f>INDEX('Inputs (2)'!$D$44:$AL$44,MATCH(AA$7,'Inputs (2)'!$D$2:$AL$2,0))</f>
        <v>-50.803</v>
      </c>
      <c r="AB279" s="3">
        <f>AA279</f>
        <v>-50.803</v>
      </c>
      <c r="AC279" s="25">
        <f>INDEX('Inputs (2)'!$D$44:$AL$44,MATCH(AC$7,'Inputs (2)'!$D$2:$AL$2,0))</f>
        <v>-82.243</v>
      </c>
      <c r="AD279" s="25">
        <f>INDEX('Inputs (2)'!$D$44:$AL$44,MATCH(AD$7,'Inputs (2)'!$D$2:$AL$2,0))</f>
        <v>-124.687</v>
      </c>
      <c r="AE279" s="25">
        <f>INDEX('Inputs (2)'!$D$44:$AL$44,MATCH(AE$7,'Inputs (2)'!$D$2:$AL$2,0))</f>
        <v>-145.608</v>
      </c>
      <c r="AF279" s="25">
        <f>INDEX('Inputs (2)'!$D$44:$AL$44,MATCH(AF$7,'Inputs (2)'!$D$2:$AL$2,0))</f>
        <v>-153.531</v>
      </c>
      <c r="AG279" s="3">
        <f>AF279</f>
        <v>-153.531</v>
      </c>
      <c r="AH279" s="3">
        <f>INDEX('Inputs (2)'!$D$44:$AL$44,MATCH(AH$7,'Inputs (2)'!$D$2:$AL$2,0))</f>
        <v>-2.564</v>
      </c>
      <c r="AI279" s="3">
        <f>INDEX('Inputs (2)'!$D$44:$AL$44,MATCH(AI$7,'Inputs (2)'!$D$2:$AL$2,0))</f>
        <v>-13.542</v>
      </c>
      <c r="AJ279" s="3">
        <f>AI279+AJ269</f>
        <v>-13.542</v>
      </c>
      <c r="AK279" s="3">
        <f>AJ279+AK269</f>
        <v>-13.542</v>
      </c>
      <c r="AL279" s="3">
        <f>AK279</f>
        <v>-13.542</v>
      </c>
      <c r="AM279" s="3">
        <f>AL279+AM269</f>
        <v>-13.542</v>
      </c>
      <c r="AN279" s="3">
        <f>AM279+AN269</f>
        <v>-13.542</v>
      </c>
      <c r="AO279" s="3">
        <f>AN279+AO269</f>
        <v>-13.542</v>
      </c>
      <c r="AP279" s="3">
        <f>AO279+AP269</f>
        <v>-13.542</v>
      </c>
      <c r="AQ279" s="3">
        <f>AP279</f>
        <v>-13.542</v>
      </c>
      <c r="AR279" s="3">
        <f>AQ279+AR269</f>
        <v>-13.542</v>
      </c>
      <c r="AS279" s="3">
        <f>AR279+AS269</f>
        <v>-13.542</v>
      </c>
      <c r="AT279" s="3">
        <f>AS279+AT269</f>
        <v>-13.542</v>
      </c>
      <c r="AU279" s="3">
        <f>AT279+AU269</f>
        <v>-13.542</v>
      </c>
      <c r="AV279" s="3">
        <f>AU279</f>
        <v>-13.542</v>
      </c>
      <c r="AW279" s="3">
        <f>AV279+AW269</f>
        <v>-13.542</v>
      </c>
      <c r="AX279" s="3">
        <f>AW279+AX269</f>
        <v>-13.542</v>
      </c>
      <c r="AY279" s="3">
        <f>AX279+AY269</f>
        <v>-13.542</v>
      </c>
      <c r="AZ279" s="3">
        <f>AY279+AZ269</f>
        <v>-13.542</v>
      </c>
      <c r="BA279" s="3">
        <f>AZ279</f>
        <v>-13.542</v>
      </c>
      <c r="BB279" s="3">
        <f>BA279+BB269</f>
        <v>-13.542</v>
      </c>
      <c r="BC279" s="3">
        <f>BB279+BC269</f>
        <v>-13.542</v>
      </c>
      <c r="BD279" s="3">
        <f>BC279+BD269</f>
        <v>-13.542</v>
      </c>
      <c r="BE279" s="3">
        <f>BD279+BE269</f>
        <v>-13.542</v>
      </c>
      <c r="BF279" s="3">
        <f>BE279</f>
        <v>-13.542</v>
      </c>
      <c r="BG279" s="3">
        <f>BF279+BG269</f>
        <v>-13.542</v>
      </c>
      <c r="BH279" s="3">
        <f>BG279+BH269</f>
        <v>-13.542</v>
      </c>
      <c r="BI279" s="3">
        <f>BH279+BI269</f>
        <v>-13.542</v>
      </c>
      <c r="BJ279" s="3">
        <f>BI279+BJ269</f>
        <v>-13.542</v>
      </c>
      <c r="BK279" s="3">
        <f>BJ279</f>
        <v>-13.542</v>
      </c>
      <c r="BL279" s="3">
        <f>BK279+BL269</f>
        <v>-13.542</v>
      </c>
      <c r="BM279" s="3">
        <f>BL279+BM269</f>
        <v>-13.542</v>
      </c>
      <c r="BN279" s="3">
        <f>BM279+BN269</f>
        <v>-13.542</v>
      </c>
      <c r="BO279" s="3">
        <f>BN279+BO269</f>
        <v>-13.542</v>
      </c>
      <c r="BP279" s="3">
        <f>BO279</f>
        <v>-13.542</v>
      </c>
      <c r="BQ279" s="3">
        <f>BP279+BQ269</f>
        <v>-13.542</v>
      </c>
      <c r="BR279" s="3">
        <f>BQ279+BR269</f>
        <v>-13.542</v>
      </c>
      <c r="BS279" s="3">
        <f>BR279+BS269</f>
        <v>-13.542</v>
      </c>
      <c r="BT279" s="3">
        <f>BS279+BT269</f>
        <v>-13.542</v>
      </c>
      <c r="BU279" s="3">
        <f>BT279</f>
        <v>-13.542</v>
      </c>
      <c r="BV279" s="3">
        <f>BU279+BV269</f>
        <v>-13.542</v>
      </c>
      <c r="BW279" s="3">
        <f>BV279+BW269</f>
        <v>-13.542</v>
      </c>
      <c r="BX279" s="3">
        <f>BW279+BX269</f>
        <v>-13.542</v>
      </c>
      <c r="BY279" s="3">
        <f>BX279+BY269</f>
        <v>-13.542</v>
      </c>
      <c r="BZ279" s="3">
        <f>BY279</f>
        <v>-13.542</v>
      </c>
      <c r="CA279" s="3">
        <f>BZ279+CA269</f>
        <v>-13.542</v>
      </c>
      <c r="CB279" s="3">
        <f>CA279+CB269</f>
        <v>-13.542</v>
      </c>
      <c r="CC279" s="3">
        <f>CB279+CC269</f>
        <v>-13.542</v>
      </c>
      <c r="CD279" s="3">
        <f>CC279+CD269</f>
        <v>-13.542</v>
      </c>
      <c r="CE279" s="3">
        <f>CD279</f>
        <v>-13.542</v>
      </c>
      <c r="CF279" s="3">
        <f>CE279+CF269</f>
        <v>-13.542</v>
      </c>
      <c r="CG279" s="3">
        <f>CF279+CG269</f>
        <v>-13.542</v>
      </c>
      <c r="CH279" s="3">
        <f>CG279+CH269</f>
        <v>-13.542</v>
      </c>
      <c r="CI279" s="3">
        <f>CH279+CI269</f>
        <v>-13.542</v>
      </c>
      <c r="CJ279" s="3">
        <f>CI279</f>
        <v>-13.542</v>
      </c>
      <c r="CK279" s="3">
        <f>CJ279+CK269</f>
        <v>-13.542</v>
      </c>
      <c r="CL279" s="3">
        <f>CK279+CL269</f>
        <v>-13.542</v>
      </c>
      <c r="CM279" s="3">
        <f>CL279+CM269</f>
        <v>-13.542</v>
      </c>
      <c r="CN279" s="3">
        <f>CM279+CN269</f>
        <v>-13.542</v>
      </c>
      <c r="CO279" s="3">
        <f>CN279</f>
        <v>-13.542</v>
      </c>
      <c r="CP279" s="3">
        <f>CO279+CP269</f>
        <v>-13.542</v>
      </c>
      <c r="CQ279" s="3">
        <f>CP279+CQ269</f>
        <v>-13.542</v>
      </c>
      <c r="CR279" s="3">
        <f>CQ279+CR269</f>
        <v>-13.542</v>
      </c>
      <c r="CS279" s="3">
        <f>CR279+CS269</f>
        <v>-13.542</v>
      </c>
      <c r="CT279" s="3">
        <f>CS279</f>
        <v>-13.542</v>
      </c>
      <c r="CU279" s="3">
        <f>CT279+CU269</f>
        <v>-13.542</v>
      </c>
      <c r="CV279" s="3">
        <f>CU279+CV269</f>
        <v>-13.542</v>
      </c>
      <c r="CW279" s="3">
        <f>CV279+CW269</f>
        <v>-13.542</v>
      </c>
      <c r="CX279" s="3">
        <f>CW279+CX269</f>
        <v>-13.542</v>
      </c>
      <c r="CY279" s="3">
        <f>CX279</f>
        <v>-13.542</v>
      </c>
    </row>
    <row r="280">
      <c r="C280" s="26" t="inlineStr">
        <is>
          <t>Comprehensive (accumulated) loss</t>
        </is>
      </c>
      <c r="D280" s="25">
        <f>INDEX('Inputs (2)'!$D$45:$AL$45,MATCH(D$7,'Inputs (2)'!$D$2:$AL$2,0))</f>
        <v>-4.686</v>
      </c>
      <c r="E280" s="25">
        <f>INDEX('Inputs (2)'!$D$45:$AL$45,MATCH(E$7,'Inputs (2)'!$D$2:$AL$2,0))</f>
        <v>-3.158</v>
      </c>
      <c r="F280" s="25">
        <f>INDEX('Inputs (2)'!$D$45:$AL$45,MATCH(F$7,'Inputs (2)'!$D$2:$AL$2,0))</f>
        <v>-2.261</v>
      </c>
      <c r="G280" s="25">
        <f>INDEX('Inputs (2)'!$D$45:$AL$45,MATCH(G$7,'Inputs (2)'!$D$2:$AL$2,0))</f>
        <v>-0.407</v>
      </c>
      <c r="H280" s="3">
        <f>G280</f>
        <v>-0.407</v>
      </c>
      <c r="I280" s="25">
        <f>INDEX('Inputs (2)'!$D$45:$AL$45,MATCH(I$7,'Inputs (2)'!$D$2:$AL$2,0))</f>
        <v>-91.954</v>
      </c>
      <c r="J280" s="25">
        <f>INDEX('Inputs (2)'!$D$45:$AL$45,MATCH(J$7,'Inputs (2)'!$D$2:$AL$2,0))</f>
        <v>-29.036</v>
      </c>
      <c r="K280" s="25">
        <f>INDEX('Inputs (2)'!$D$45:$AL$45,MATCH(K$7,'Inputs (2)'!$D$2:$AL$2,0))</f>
        <v>-235.068</v>
      </c>
      <c r="L280" s="25">
        <f>INDEX('Inputs (2)'!$D$45:$AL$45,MATCH(L$7,'Inputs (2)'!$D$2:$AL$2,0))</f>
        <v>-269.184</v>
      </c>
      <c r="M280" s="3">
        <f>L280</f>
        <v>-269.184</v>
      </c>
      <c r="N280" s="25">
        <f>INDEX('Inputs (2)'!$D$45:$AL$45,MATCH(N$7,'Inputs (2)'!$D$2:$AL$2,0))</f>
        <v>-516.528</v>
      </c>
      <c r="O280" s="25">
        <f>INDEX('Inputs (2)'!$D$45:$AL$45,MATCH(O$7,'Inputs (2)'!$D$2:$AL$2,0))</f>
        <v>-818.601</v>
      </c>
      <c r="P280" s="25">
        <f>INDEX('Inputs (2)'!$D$45:$AL$45,MATCH(P$7,'Inputs (2)'!$D$2:$AL$2,0))</f>
        <v>-933.9</v>
      </c>
      <c r="Q280" s="25">
        <f>INDEX('Inputs (2)'!$D$45:$AL$45,MATCH(Q$7,'Inputs (2)'!$D$2:$AL$2,0))</f>
        <v>-861.809</v>
      </c>
      <c r="R280" s="3">
        <f>Q280</f>
        <v>-861.809</v>
      </c>
      <c r="S280" s="25">
        <f>INDEX('Inputs (2)'!$D$45:$AL$45,MATCH(S$7,'Inputs (2)'!$D$2:$AL$2,0))</f>
        <v>-805.138</v>
      </c>
      <c r="T280" s="25">
        <f>INDEX('Inputs (2)'!$D$45:$AL$45,MATCH(T$7,'Inputs (2)'!$D$2:$AL$2,0))</f>
        <v>-546.023</v>
      </c>
      <c r="U280" s="25">
        <f>INDEX('Inputs (2)'!$D$45:$AL$45,MATCH(U$7,'Inputs (2)'!$D$2:$AL$2,0))</f>
        <v>-524.573</v>
      </c>
      <c r="V280" s="25">
        <f>INDEX('Inputs (2)'!$D$45:$AL$45,MATCH(V$7,'Inputs (2)'!$D$2:$AL$2,0))</f>
        <v>-421.258</v>
      </c>
      <c r="W280" s="3">
        <f>V280</f>
        <v>-421.258</v>
      </c>
      <c r="X280" s="25">
        <f>INDEX('Inputs (2)'!$D$45:$AL$45,MATCH(X$7,'Inputs (2)'!$D$2:$AL$2,0))</f>
        <v>-478.032</v>
      </c>
      <c r="Y280" s="25">
        <f>INDEX('Inputs (2)'!$D$45:$AL$45,MATCH(Y$7,'Inputs (2)'!$D$2:$AL$2,0))</f>
        <v>-531.21</v>
      </c>
      <c r="Z280" s="25">
        <f>INDEX('Inputs (2)'!$D$45:$AL$45,MATCH(Z$7,'Inputs (2)'!$D$2:$AL$2,0))</f>
        <v>-454.383</v>
      </c>
      <c r="AA280" s="25">
        <f>INDEX('Inputs (2)'!$D$45:$AL$45,MATCH(AA$7,'Inputs (2)'!$D$2:$AL$2,0))</f>
        <v>-618.961</v>
      </c>
      <c r="AB280" s="3">
        <f>AA280</f>
        <v>-618.961</v>
      </c>
      <c r="AC280" s="25">
        <f>INDEX('Inputs (2)'!$D$45:$AL$45,MATCH(AC$7,'Inputs (2)'!$D$2:$AL$2,0))</f>
        <v>-550.804</v>
      </c>
      <c r="AD280" s="25">
        <f>INDEX('Inputs (2)'!$D$45:$AL$45,MATCH(AD$7,'Inputs (2)'!$D$2:$AL$2,0))</f>
        <v>-534.657</v>
      </c>
      <c r="AE280" s="25">
        <f>INDEX('Inputs (2)'!$D$45:$AL$45,MATCH(AE$7,'Inputs (2)'!$D$2:$AL$2,0))</f>
        <v>-444.032</v>
      </c>
      <c r="AF280" s="25">
        <f>INDEX('Inputs (2)'!$D$45:$AL$45,MATCH(AF$7,'Inputs (2)'!$D$2:$AL$2,0))</f>
        <v>-104.285</v>
      </c>
      <c r="AG280" s="3">
        <f>AF280</f>
        <v>-104.285</v>
      </c>
      <c r="AH280" s="3">
        <f>INDEX('Inputs (2)'!$D$45:$AL$45,MATCH(AH$7,'Inputs (2)'!$D$2:$AL$2,0))</f>
        <v>-126.946</v>
      </c>
      <c r="AI280" s="3">
        <f>INDEX('Inputs (2)'!$D$45:$AL$45,MATCH(AI$7,'Inputs (2)'!$D$2:$AL$2,0))</f>
        <v>-151.704</v>
      </c>
      <c r="AJ280" s="3">
        <f>AI280</f>
        <v>-151.704</v>
      </c>
      <c r="AK280" s="3">
        <f>AJ280</f>
        <v>-151.704</v>
      </c>
      <c r="AL280" s="3">
        <f>AK280</f>
        <v>-151.704</v>
      </c>
      <c r="AM280" s="3">
        <f>AL280</f>
        <v>-151.704</v>
      </c>
      <c r="AN280" s="3">
        <f>AM280</f>
        <v>-151.704</v>
      </c>
      <c r="AO280" s="3">
        <f>AN280</f>
        <v>-151.704</v>
      </c>
      <c r="AP280" s="3">
        <f>AO280</f>
        <v>-151.704</v>
      </c>
      <c r="AQ280" s="3">
        <f>AP280</f>
        <v>-151.704</v>
      </c>
      <c r="AR280" s="3">
        <f>AQ280</f>
        <v>-151.704</v>
      </c>
      <c r="AS280" s="3">
        <f>AR280</f>
        <v>-151.704</v>
      </c>
      <c r="AT280" s="3">
        <f>AS280</f>
        <v>-151.704</v>
      </c>
      <c r="AU280" s="3">
        <f>AT280</f>
        <v>-151.704</v>
      </c>
      <c r="AV280" s="3">
        <f>AU280</f>
        <v>-151.704</v>
      </c>
      <c r="AW280" s="3">
        <f>AV280</f>
        <v>-151.704</v>
      </c>
      <c r="AX280" s="3">
        <f>AW280</f>
        <v>-151.704</v>
      </c>
      <c r="AY280" s="3">
        <f>AX280</f>
        <v>-151.704</v>
      </c>
      <c r="AZ280" s="3">
        <f>AY280</f>
        <v>-151.704</v>
      </c>
      <c r="BA280" s="3">
        <f>AZ280</f>
        <v>-151.704</v>
      </c>
      <c r="BB280" s="3">
        <f>BA280</f>
        <v>-151.704</v>
      </c>
      <c r="BC280" s="3">
        <f>BB280</f>
        <v>-151.704</v>
      </c>
      <c r="BD280" s="3">
        <f>BC280</f>
        <v>-151.704</v>
      </c>
      <c r="BE280" s="3">
        <f>BD280</f>
        <v>-151.704</v>
      </c>
      <c r="BF280" s="3">
        <f>BE280</f>
        <v>-151.704</v>
      </c>
      <c r="BG280" s="3">
        <f>BF280</f>
        <v>-151.704</v>
      </c>
      <c r="BH280" s="3">
        <f>BG280</f>
        <v>-151.704</v>
      </c>
      <c r="BI280" s="3">
        <f>BH280</f>
        <v>-151.704</v>
      </c>
      <c r="BJ280" s="3">
        <f>BI280</f>
        <v>-151.704</v>
      </c>
      <c r="BK280" s="3">
        <f>BJ280</f>
        <v>-151.704</v>
      </c>
      <c r="BL280" s="3">
        <f>BK280</f>
        <v>-151.704</v>
      </c>
      <c r="BM280" s="3">
        <f>BL280</f>
        <v>-151.704</v>
      </c>
      <c r="BN280" s="3">
        <f>BM280</f>
        <v>-151.704</v>
      </c>
      <c r="BO280" s="3">
        <f>BN280</f>
        <v>-151.704</v>
      </c>
      <c r="BP280" s="3">
        <f>BO280</f>
        <v>-151.704</v>
      </c>
      <c r="BQ280" s="3">
        <f>BP280</f>
        <v>-151.704</v>
      </c>
      <c r="BR280" s="3">
        <f>BQ280</f>
        <v>-151.704</v>
      </c>
      <c r="BS280" s="3">
        <f>BR280</f>
        <v>-151.704</v>
      </c>
      <c r="BT280" s="3">
        <f>BS280</f>
        <v>-151.704</v>
      </c>
      <c r="BU280" s="3">
        <f>BT280</f>
        <v>-151.704</v>
      </c>
      <c r="BV280" s="3">
        <f>BU280</f>
        <v>-151.704</v>
      </c>
      <c r="BW280" s="3">
        <f>BV280</f>
        <v>-151.704</v>
      </c>
      <c r="BX280" s="3">
        <f>BW280</f>
        <v>-151.704</v>
      </c>
      <c r="BY280" s="3">
        <f>BX280</f>
        <v>-151.704</v>
      </c>
      <c r="BZ280" s="3">
        <f>BY280</f>
        <v>-151.704</v>
      </c>
      <c r="CA280" s="3">
        <f>BZ280</f>
        <v>-151.704</v>
      </c>
      <c r="CB280" s="3">
        <f>CA280</f>
        <v>-151.704</v>
      </c>
      <c r="CC280" s="3">
        <f>CB280</f>
        <v>-151.704</v>
      </c>
      <c r="CD280" s="3">
        <f>CC280</f>
        <v>-151.704</v>
      </c>
      <c r="CE280" s="3">
        <f>CD280</f>
        <v>-151.704</v>
      </c>
      <c r="CF280" s="3">
        <f>CE280</f>
        <v>-151.704</v>
      </c>
      <c r="CG280" s="3">
        <f>CF280</f>
        <v>-151.704</v>
      </c>
      <c r="CH280" s="3">
        <f>CG280</f>
        <v>-151.704</v>
      </c>
      <c r="CI280" s="3">
        <f>CH280</f>
        <v>-151.704</v>
      </c>
      <c r="CJ280" s="3">
        <f>CI280</f>
        <v>-151.704</v>
      </c>
      <c r="CK280" s="3">
        <f>CJ280</f>
        <v>-151.704</v>
      </c>
      <c r="CL280" s="3">
        <f>CK280</f>
        <v>-151.704</v>
      </c>
      <c r="CM280" s="3">
        <f>CL280</f>
        <v>-151.704</v>
      </c>
      <c r="CN280" s="3">
        <f>CM280</f>
        <v>-151.704</v>
      </c>
      <c r="CO280" s="3">
        <f>CN280</f>
        <v>-151.704</v>
      </c>
      <c r="CP280" s="3">
        <f>CO280</f>
        <v>-151.704</v>
      </c>
      <c r="CQ280" s="3">
        <f>CP280</f>
        <v>-151.704</v>
      </c>
      <c r="CR280" s="3">
        <f>CQ280</f>
        <v>-151.704</v>
      </c>
      <c r="CS280" s="3">
        <f>CR280</f>
        <v>-151.704</v>
      </c>
      <c r="CT280" s="3">
        <f>CS280</f>
        <v>-151.704</v>
      </c>
      <c r="CU280" s="3">
        <f>CT280</f>
        <v>-151.704</v>
      </c>
      <c r="CV280" s="3">
        <f>CU280</f>
        <v>-151.704</v>
      </c>
      <c r="CW280" s="3">
        <f>CV280</f>
        <v>-151.704</v>
      </c>
      <c r="CX280" s="3">
        <f>CW280</f>
        <v>-151.704</v>
      </c>
      <c r="CY280" s="3">
        <f>CX280</f>
        <v>-151.704</v>
      </c>
    </row>
    <row r="281">
      <c r="C281" s="26" t="inlineStr">
        <is>
          <t>Other equity account</t>
        </is>
      </c>
      <c r="D281" s="25" t="n"/>
      <c r="E281" s="25" t="n"/>
      <c r="F281" s="25" t="n"/>
      <c r="G281" s="25" t="n"/>
      <c r="H281" s="3">
        <f>G281</f>
        <v>0</v>
      </c>
      <c r="I281" s="25" t="n"/>
      <c r="J281" s="25" t="n"/>
      <c r="K281" s="25" t="n"/>
      <c r="L281" s="25" t="n"/>
      <c r="M281" s="3">
        <f>L281</f>
        <v>0</v>
      </c>
      <c r="N281" s="25" t="n"/>
      <c r="O281" s="25" t="n"/>
      <c r="P281" s="25" t="n"/>
      <c r="Q281" s="25" t="n"/>
      <c r="R281" s="3">
        <f>Q281</f>
        <v>0</v>
      </c>
      <c r="S281" s="25" t="n"/>
      <c r="T281" s="25" t="n"/>
      <c r="U281" s="25" t="n"/>
      <c r="V281" s="25" t="n"/>
      <c r="W281" s="3">
        <f>V281</f>
        <v>0</v>
      </c>
      <c r="X281" s="25" t="n"/>
      <c r="Y281" s="25" t="n"/>
      <c r="Z281" s="25" t="n"/>
      <c r="AA281" s="25" t="n"/>
      <c r="AB281" s="3">
        <f>AA281</f>
        <v>0</v>
      </c>
      <c r="AC281" s="25" t="n"/>
      <c r="AD281" s="25" t="n"/>
      <c r="AE281" s="25" t="n"/>
      <c r="AF281" s="25" t="n"/>
      <c r="AG281" s="3">
        <f>AF281</f>
        <v>0</v>
      </c>
      <c r="AH281" s="3">
        <f>AG281</f>
        <v>0</v>
      </c>
      <c r="AI281" s="3">
        <f>AH281</f>
        <v>0</v>
      </c>
      <c r="AJ281" s="3">
        <f>AI281</f>
        <v>0</v>
      </c>
      <c r="AK281" s="3">
        <f>AJ281</f>
        <v>0</v>
      </c>
      <c r="AL281" s="3">
        <f>AK281</f>
        <v>0</v>
      </c>
      <c r="AM281" s="3">
        <f>AL281</f>
        <v>0</v>
      </c>
      <c r="AN281" s="3">
        <f>AM281</f>
        <v>0</v>
      </c>
      <c r="AO281" s="3">
        <f>AN281</f>
        <v>0</v>
      </c>
      <c r="AP281" s="3">
        <f>AO281</f>
        <v>0</v>
      </c>
      <c r="AQ281" s="3">
        <f>AP281</f>
        <v>0</v>
      </c>
      <c r="AR281" s="3">
        <f>AQ281</f>
        <v>0</v>
      </c>
      <c r="AS281" s="3">
        <f>AR281</f>
        <v>0</v>
      </c>
      <c r="AT281" s="3">
        <f>AS281</f>
        <v>0</v>
      </c>
      <c r="AU281" s="3">
        <f>AT281</f>
        <v>0</v>
      </c>
      <c r="AV281" s="3">
        <f>AU281</f>
        <v>0</v>
      </c>
      <c r="AW281" s="3">
        <f>AV281</f>
        <v>0</v>
      </c>
      <c r="AX281" s="3">
        <f>AW281</f>
        <v>0</v>
      </c>
      <c r="AY281" s="3">
        <f>AX281</f>
        <v>0</v>
      </c>
      <c r="AZ281" s="3">
        <f>AY281</f>
        <v>0</v>
      </c>
      <c r="BA281" s="3">
        <f>AZ281</f>
        <v>0</v>
      </c>
      <c r="BB281" s="3">
        <f>BA281</f>
        <v>0</v>
      </c>
      <c r="BC281" s="3">
        <f>BB281</f>
        <v>0</v>
      </c>
      <c r="BD281" s="3">
        <f>BC281</f>
        <v>0</v>
      </c>
      <c r="BE281" s="3">
        <f>BD281</f>
        <v>0</v>
      </c>
      <c r="BF281" s="3">
        <f>BE281</f>
        <v>0</v>
      </c>
      <c r="BG281" s="3">
        <f>BF281</f>
        <v>0</v>
      </c>
      <c r="BH281" s="3">
        <f>BG281</f>
        <v>0</v>
      </c>
      <c r="BI281" s="3">
        <f>BH281</f>
        <v>0</v>
      </c>
      <c r="BJ281" s="3">
        <f>BI281</f>
        <v>0</v>
      </c>
      <c r="BK281" s="3">
        <f>BJ281</f>
        <v>0</v>
      </c>
      <c r="BL281" s="3">
        <f>BK281</f>
        <v>0</v>
      </c>
      <c r="BM281" s="3">
        <f>BL281</f>
        <v>0</v>
      </c>
      <c r="BN281" s="3">
        <f>BM281</f>
        <v>0</v>
      </c>
      <c r="BO281" s="3">
        <f>BN281</f>
        <v>0</v>
      </c>
      <c r="BP281" s="3">
        <f>BO281</f>
        <v>0</v>
      </c>
      <c r="BQ281" s="3">
        <f>BP281</f>
        <v>0</v>
      </c>
      <c r="BR281" s="3">
        <f>BQ281</f>
        <v>0</v>
      </c>
      <c r="BS281" s="3">
        <f>BR281</f>
        <v>0</v>
      </c>
      <c r="BT281" s="3">
        <f>BS281</f>
        <v>0</v>
      </c>
      <c r="BU281" s="3">
        <f>BT281</f>
        <v>0</v>
      </c>
      <c r="BV281" s="3">
        <f>BU281</f>
        <v>0</v>
      </c>
      <c r="BW281" s="3">
        <f>BV281</f>
        <v>0</v>
      </c>
      <c r="BX281" s="3">
        <f>BW281</f>
        <v>0</v>
      </c>
      <c r="BY281" s="3">
        <f>BX281</f>
        <v>0</v>
      </c>
      <c r="BZ281" s="3">
        <f>BY281</f>
        <v>0</v>
      </c>
      <c r="CA281" s="3">
        <f>BZ281</f>
        <v>0</v>
      </c>
      <c r="CB281" s="3">
        <f>CA281</f>
        <v>0</v>
      </c>
      <c r="CC281" s="3">
        <f>CB281</f>
        <v>0</v>
      </c>
      <c r="CD281" s="3">
        <f>CC281</f>
        <v>0</v>
      </c>
      <c r="CE281" s="3">
        <f>CD281</f>
        <v>0</v>
      </c>
      <c r="CF281" s="3">
        <f>CE281</f>
        <v>0</v>
      </c>
      <c r="CG281" s="3">
        <f>CF281</f>
        <v>0</v>
      </c>
      <c r="CH281" s="3">
        <f>CG281</f>
        <v>0</v>
      </c>
      <c r="CI281" s="3">
        <f>CH281</f>
        <v>0</v>
      </c>
      <c r="CJ281" s="3">
        <f>CI281</f>
        <v>0</v>
      </c>
      <c r="CK281" s="3">
        <f>CJ281</f>
        <v>0</v>
      </c>
      <c r="CL281" s="3">
        <f>CK281</f>
        <v>0</v>
      </c>
      <c r="CM281" s="3">
        <f>CL281</f>
        <v>0</v>
      </c>
      <c r="CN281" s="3">
        <f>CM281</f>
        <v>0</v>
      </c>
      <c r="CO281" s="3">
        <f>CN281</f>
        <v>0</v>
      </c>
      <c r="CP281" s="3">
        <f>CO281</f>
        <v>0</v>
      </c>
      <c r="CQ281" s="3">
        <f>CP281</f>
        <v>0</v>
      </c>
      <c r="CR281" s="3">
        <f>CQ281</f>
        <v>0</v>
      </c>
      <c r="CS281" s="3">
        <f>CR281</f>
        <v>0</v>
      </c>
      <c r="CT281" s="3">
        <f>CS281</f>
        <v>0</v>
      </c>
      <c r="CU281" s="3">
        <f>CT281</f>
        <v>0</v>
      </c>
      <c r="CV281" s="3">
        <f>CU281</f>
        <v>0</v>
      </c>
      <c r="CW281" s="3">
        <f>CV281</f>
        <v>0</v>
      </c>
      <c r="CX281" s="3">
        <f>CW281</f>
        <v>0</v>
      </c>
      <c r="CY281" s="3">
        <f>CX281</f>
        <v>0</v>
      </c>
    </row>
    <row r="282">
      <c r="C282" s="28" t="inlineStr">
        <is>
          <t>Retained earnings</t>
        </is>
      </c>
      <c r="D282" s="25">
        <f>INDEX('Inputs (2)'!$D$47:$AL$47,MATCH(D$7,'Inputs (2)'!$D$2:$AL$2,0))</f>
        <v>132.187</v>
      </c>
      <c r="E282" s="25">
        <f>INDEX('Inputs (2)'!$D$47:$AL$47,MATCH(E$7,'Inputs (2)'!$D$2:$AL$2,0))</f>
        <v>134.801</v>
      </c>
      <c r="F282" s="25">
        <f>INDEX('Inputs (2)'!$D$47:$AL$47,MATCH(F$7,'Inputs (2)'!$D$2:$AL$2,0))</f>
        <v>172.003</v>
      </c>
      <c r="G282" s="25">
        <f>INDEX('Inputs (2)'!$D$47:$AL$47,MATCH(G$7,'Inputs (2)'!$D$2:$AL$2,0))</f>
        <v>311.588</v>
      </c>
      <c r="H282" s="3">
        <f>G282</f>
        <v>311.588</v>
      </c>
      <c r="I282" s="25">
        <f>INDEX('Inputs (2)'!$D$47:$AL$47,MATCH(I$7,'Inputs (2)'!$D$2:$AL$2,0))</f>
        <v>394.069</v>
      </c>
      <c r="J282" s="25">
        <f>INDEX('Inputs (2)'!$D$47:$AL$47,MATCH(J$7,'Inputs (2)'!$D$2:$AL$2,0))</f>
        <v>544.089</v>
      </c>
      <c r="K282" s="25">
        <f>INDEX('Inputs (2)'!$D$47:$AL$47,MATCH(K$7,'Inputs (2)'!$D$2:$AL$2,0))</f>
        <v>771.873</v>
      </c>
      <c r="L282" s="25">
        <f>INDEX('Inputs (2)'!$D$47:$AL$47,MATCH(L$7,'Inputs (2)'!$D$2:$AL$2,0))</f>
        <v>913.96</v>
      </c>
      <c r="M282" s="3">
        <f>L282</f>
        <v>913.96</v>
      </c>
      <c r="N282" s="25">
        <f>INDEX('Inputs (2)'!$D$47:$AL$47,MATCH(N$7,'Inputs (2)'!$D$2:$AL$2,0))</f>
        <v>1118.054</v>
      </c>
      <c r="O282" s="25">
        <f>INDEX('Inputs (2)'!$D$47:$AL$47,MATCH(O$7,'Inputs (2)'!$D$2:$AL$2,0))</f>
        <v>1034.26</v>
      </c>
      <c r="P282" s="25">
        <f>INDEX('Inputs (2)'!$D$47:$AL$47,MATCH(P$7,'Inputs (2)'!$D$2:$AL$2,0))</f>
        <v>1072.979</v>
      </c>
      <c r="Q282" s="25">
        <f>INDEX('Inputs (2)'!$D$47:$AL$47,MATCH(Q$7,'Inputs (2)'!$D$2:$AL$2,0))</f>
        <v>992.503</v>
      </c>
      <c r="R282" s="3">
        <f>Q282</f>
        <v>992.503</v>
      </c>
      <c r="S282" s="25">
        <f>INDEX('Inputs (2)'!$D$47:$AL$47,MATCH(S$7,'Inputs (2)'!$D$2:$AL$2,0))</f>
        <v>1013.55</v>
      </c>
      <c r="T282" s="25">
        <f>INDEX('Inputs (2)'!$D$47:$AL$47,MATCH(T$7,'Inputs (2)'!$D$2:$AL$2,0))</f>
        <v>995.684</v>
      </c>
      <c r="U282" s="25">
        <f>INDEX('Inputs (2)'!$D$47:$AL$47,MATCH(U$7,'Inputs (2)'!$D$2:$AL$2,0))</f>
        <v>929.958</v>
      </c>
      <c r="V282" s="25">
        <f>INDEX('Inputs (2)'!$D$47:$AL$47,MATCH(V$7,'Inputs (2)'!$D$2:$AL$2,0))</f>
        <v>341.65</v>
      </c>
      <c r="W282" s="3">
        <f>V282</f>
        <v>341.65</v>
      </c>
      <c r="X282" s="25">
        <f>INDEX('Inputs (2)'!$D$47:$AL$47,MATCH(X$7,'Inputs (2)'!$D$2:$AL$2,0))</f>
        <v>390.201</v>
      </c>
      <c r="Y282" s="25">
        <f>INDEX('Inputs (2)'!$D$47:$AL$47,MATCH(Y$7,'Inputs (2)'!$D$2:$AL$2,0))</f>
        <v>432.75</v>
      </c>
      <c r="Z282" s="25">
        <f>INDEX('Inputs (2)'!$D$47:$AL$47,MATCH(Z$7,'Inputs (2)'!$D$2:$AL$2,0))</f>
        <v>510.974</v>
      </c>
      <c r="AA282" s="25">
        <f>INDEX('Inputs (2)'!$D$47:$AL$47,MATCH(AA$7,'Inputs (2)'!$D$2:$AL$2,0))</f>
        <v>509.847</v>
      </c>
      <c r="AB282" s="3">
        <f>AA282</f>
        <v>509.847</v>
      </c>
      <c r="AC282" s="25">
        <f>INDEX('Inputs (2)'!$D$47:$AL$47,MATCH(AC$7,'Inputs (2)'!$D$2:$AL$2,0))</f>
        <v>588.314</v>
      </c>
      <c r="AD282" s="25">
        <f>INDEX('Inputs (2)'!$D$47:$AL$47,MATCH(AD$7,'Inputs (2)'!$D$2:$AL$2,0))</f>
        <v>655.91</v>
      </c>
      <c r="AE282" s="25">
        <f>INDEX('Inputs (2)'!$D$47:$AL$47,MATCH(AE$7,'Inputs (2)'!$D$2:$AL$2,0))</f>
        <v>725.865</v>
      </c>
      <c r="AF282" s="25">
        <f>INDEX('Inputs (2)'!$D$47:$AL$47,MATCH(AF$7,'Inputs (2)'!$D$2:$AL$2,0))</f>
        <v>573.210999999997</v>
      </c>
      <c r="AG282" s="3">
        <f>AF282</f>
        <v>573.210999999997</v>
      </c>
      <c r="AH282" s="3">
        <f>INDEX('Inputs (2)'!$D$47:$AL$47,MATCH(AH$7,'Inputs (2)'!$D$2:$AL$2,0))</f>
        <v>595.395</v>
      </c>
      <c r="AI282" s="3">
        <f>INDEX('Inputs (2)'!$D$47:$AL$47,MATCH(AI$7,'Inputs (2)'!$D$2:$AL$2,0))</f>
        <v>731.045</v>
      </c>
      <c r="AJ282" s="3">
        <f>AI282+AJ149+AJ150</f>
        <v>879.8404076</v>
      </c>
      <c r="AK282" s="3">
        <f>AJ282+AK149+AK150</f>
        <v>1034.9761023</v>
      </c>
      <c r="AL282" s="3">
        <f>AK282</f>
        <v>1034.9761023</v>
      </c>
      <c r="AM282" s="3">
        <f>AL282+AM149+AM150</f>
        <v>1190.111797</v>
      </c>
      <c r="AN282" s="3">
        <f>AM282+AN149+AN150</f>
        <v>1797.9740016</v>
      </c>
      <c r="AO282" s="3">
        <f>AN282+AO149+AO150</f>
        <v>1953.1096963</v>
      </c>
      <c r="AP282" s="3">
        <f>AO282+AP149+AP150</f>
        <v>2560.9719009</v>
      </c>
      <c r="AQ282" s="3">
        <f>AP282</f>
        <v>2560.9719009</v>
      </c>
      <c r="AR282" s="3">
        <f>AQ282+AR149+AR150</f>
        <v>3168.8341055</v>
      </c>
      <c r="AS282" s="3">
        <f>AR282+AS149+AS150</f>
        <v>4694.8299041</v>
      </c>
      <c r="AT282" s="3">
        <f>AS282+AT149+AT150</f>
        <v>5302.6921087</v>
      </c>
      <c r="AU282" s="3">
        <f>AT282+AU149+AU150</f>
        <v>6828.6879073</v>
      </c>
      <c r="AV282" s="3">
        <f>AU282</f>
        <v>6828.6879073</v>
      </c>
      <c r="AW282" s="3">
        <f>AV282+AW149+AW150</f>
        <v>8354.6837059</v>
      </c>
      <c r="AX282" s="3">
        <f>AW282+AX149+AX150</f>
        <v>12622.3997123</v>
      </c>
      <c r="AY282" s="3">
        <f>AX282+AY149+AY150</f>
        <v>14148.3955109</v>
      </c>
      <c r="AZ282" s="3">
        <f>AY282+AZ149+AZ150</f>
        <v>18416.1115173</v>
      </c>
      <c r="BA282" s="3">
        <f>AZ282</f>
        <v>18416.1115173</v>
      </c>
      <c r="BB282" s="3">
        <f>BA282+BB149+BB150</f>
        <v>22683.8275237</v>
      </c>
      <c r="BC282" s="3">
        <f>BB282+BC149+BC150</f>
        <v>34271.2511337</v>
      </c>
      <c r="BD282" s="3">
        <f>BC282+BD149+BD150</f>
        <v>38538.9671401</v>
      </c>
      <c r="BE282" s="3">
        <f>BD282+BE149+BE150</f>
        <v>50126.3907501</v>
      </c>
      <c r="BF282" s="3">
        <f>BE282</f>
        <v>50126.3907501</v>
      </c>
      <c r="BG282" s="3">
        <f>BF282+BG149+BG150</f>
        <v>61713.8143601</v>
      </c>
      <c r="BH282" s="3">
        <f>BG282+BH149+BH150</f>
        <v>93424.0935929</v>
      </c>
      <c r="BI282" s="3">
        <f>BH282+BI149+BI150</f>
        <v>105011.5172029</v>
      </c>
      <c r="BJ282" s="3">
        <f>BI282+BJ149+BJ150</f>
        <v>136721.7964357</v>
      </c>
      <c r="BK282" s="3">
        <f>BJ282</f>
        <v>136721.7964357</v>
      </c>
      <c r="BL282" s="3">
        <f>BK282+BL149+BL150</f>
        <v>168432.0756685</v>
      </c>
      <c r="BM282" s="3">
        <f>BL282+BM149+BM150</f>
        <v>255027.4813541</v>
      </c>
      <c r="BN282" s="3">
        <f>BM282+BN149+BN150</f>
        <v>286737.7605869</v>
      </c>
      <c r="BO282" s="3">
        <f>BN282+BO149+BO150</f>
        <v>373333.1662725</v>
      </c>
      <c r="BP282" s="3">
        <f>BO282</f>
        <v>373333.1662725</v>
      </c>
      <c r="BQ282" s="3">
        <f>BP282+BQ149+BQ150</f>
        <v>459928.5719581</v>
      </c>
      <c r="BR282" s="3">
        <f>BQ282+BR149+BR150</f>
        <v>696539.9417949</v>
      </c>
      <c r="BS282" s="3">
        <f>BR282+BS149+BS150</f>
        <v>783135.3474805</v>
      </c>
      <c r="BT282" s="3">
        <f>BS282+BT149+BT150</f>
        <v>1019746.7173173</v>
      </c>
      <c r="BU282" s="3">
        <f>BT282</f>
        <v>1019746.7173173</v>
      </c>
      <c r="BV282" s="3">
        <f>BU282+BV149+BV150</f>
        <v>1256358.0871541</v>
      </c>
      <c r="BW282" s="3">
        <f>BV282+BW149+BW150</f>
        <v>1902771.6381989</v>
      </c>
      <c r="BX282" s="3">
        <f>BW282+BX149+BX150</f>
        <v>2139383.0080357</v>
      </c>
      <c r="BY282" s="3">
        <f>BX282+BY149+BY150</f>
        <v>2785796.5590805</v>
      </c>
      <c r="BZ282" s="3">
        <f>BY282</f>
        <v>2785796.5590805</v>
      </c>
      <c r="CA282" s="3">
        <f>BZ282+CA149+CA150</f>
        <v>3432210.1101253</v>
      </c>
      <c r="CB282" s="3">
        <f>CA282+CB149+CB150</f>
        <v>5198259.9518885</v>
      </c>
      <c r="CC282" s="3">
        <f>CB282+CC149+CC150</f>
        <v>5844673.5029333</v>
      </c>
      <c r="CD282" s="3">
        <f>CC282+CD149+CD150</f>
        <v>7610723.3446965</v>
      </c>
      <c r="CE282" s="3">
        <f>CD282</f>
        <v>7610723.3446965</v>
      </c>
      <c r="CF282" s="3">
        <f>CE282+CF149+CF150</f>
        <v>9376773.1864597</v>
      </c>
      <c r="CG282" s="3">
        <f>CF282+CG149+CG150</f>
        <v>14201699.9720757</v>
      </c>
      <c r="CH282" s="3">
        <f>CG282+CH149+CH150</f>
        <v>15967749.8138389</v>
      </c>
      <c r="CI282" s="3">
        <f>CH282+CI149+CI150</f>
        <v>20792676.5994549</v>
      </c>
      <c r="CJ282" s="3">
        <f>CI282</f>
        <v>20792676.5994549</v>
      </c>
      <c r="CK282" s="3">
        <f>CJ282+CK149+CK150</f>
        <v>25617603.3850709</v>
      </c>
      <c r="CL282" s="3">
        <f>CK282+CL149+CL150</f>
        <v>38799556.6398293</v>
      </c>
      <c r="CM282" s="3">
        <f>CL282+CM149+CM150</f>
        <v>43624483.4254453</v>
      </c>
      <c r="CN282" s="3">
        <f>CM282+CN149+CN150</f>
        <v>56806436.6802037</v>
      </c>
      <c r="CO282" s="3">
        <f>CN282</f>
        <v>56806436.6802037</v>
      </c>
      <c r="CP282" s="3">
        <f>CO282+CP149+CP150</f>
        <v>69988389.9349621</v>
      </c>
      <c r="CQ282" s="3">
        <f>CP282+CQ149+CQ150</f>
        <v>106002150.015711</v>
      </c>
      <c r="CR282" s="3">
        <f>CQ282+CR149+CR150</f>
        <v>119184103.270469</v>
      </c>
      <c r="CS282" s="3">
        <f>CR282+CS149+CS150</f>
        <v>155197863.351218</v>
      </c>
      <c r="CT282" s="3">
        <f>CS282</f>
        <v>155197863.351218</v>
      </c>
      <c r="CU282" s="3">
        <f>CT282+CU149+CU150</f>
        <v>191211623.431967</v>
      </c>
      <c r="CV282" s="3">
        <f>CU282+CV149+CV150</f>
        <v>289603050.102981</v>
      </c>
      <c r="CW282" s="3">
        <f>CV282+CW149+CW150</f>
        <v>325616810.18373</v>
      </c>
      <c r="CX282" s="3">
        <f>CW282+CX149+CX150</f>
        <v>424008236.854745</v>
      </c>
      <c r="CY282" s="3">
        <f>CX282</f>
        <v>424008236.854745</v>
      </c>
    </row>
    <row r="283" customFormat="1" s="17">
      <c r="A283" s="13" t="inlineStr">
        <is>
          <t xml:space="preserve"> </t>
        </is>
      </c>
      <c r="B283" s="13" t="n"/>
      <c r="C283" s="27" t="inlineStr">
        <is>
          <t>Total Shareholders' Equity</t>
        </is>
      </c>
      <c r="D283" s="16">
        <f>SUM(D260+D265+D266+D279+D280+D281+D282)</f>
        <v>2179.643</v>
      </c>
      <c r="E283" s="16">
        <f>SUM(E260+E265+E266+E279+E280+E281+E282)</f>
        <v>2179.274</v>
      </c>
      <c r="F283" s="16">
        <f>SUM(F260+F265+F266+F279+F280+F281+F282)</f>
        <v>2217.261</v>
      </c>
      <c r="G283" s="16">
        <f>SUM(G260+G265+G266+G279+G280+G281+G282)</f>
        <v>2358.68</v>
      </c>
      <c r="H283" s="16">
        <f>SUM(H260,H265,H266,H279,H280,H281,H282)</f>
        <v>2358.68</v>
      </c>
      <c r="I283" s="16">
        <f>SUM(I260+I265+I266+I279+I280+I281+I282)</f>
        <v>2349.551</v>
      </c>
      <c r="J283" s="16">
        <f>SUM(J260+J265+J266+J279+J280+J281+J282)</f>
        <v>2558.846</v>
      </c>
      <c r="K283" s="16">
        <f>SUM(K260+K265+K266+K279+K280+K281+K282)</f>
        <v>3178.125</v>
      </c>
      <c r="L283" s="16">
        <f>SUM(L260+L265+L266+L279+L280+L281+L282)</f>
        <v>3284.472</v>
      </c>
      <c r="M283" s="16">
        <f>SUM(M260,M265,M266,M279,M280,M281,M282)</f>
        <v>3284.472</v>
      </c>
      <c r="N283" s="16">
        <f>SUM(N260+N265+N266+N279+N280+N281+N282)</f>
        <v>3241.286</v>
      </c>
      <c r="O283" s="16">
        <f>SUM(O260+O265+O266+O279+O280+O281+O282)</f>
        <v>2854.538</v>
      </c>
      <c r="P283" s="16">
        <f>SUM(P260+P265+P266+P279+P280+P281+P282)</f>
        <v>2777.078</v>
      </c>
      <c r="Q283" s="16">
        <f>SUM(Q260+Q265+Q266+Q279+Q280+Q281+Q282)</f>
        <v>2768.684</v>
      </c>
      <c r="R283" s="16">
        <f>SUM(R260,R265,R266,R279,R280,R281,R282)</f>
        <v>2768.684</v>
      </c>
      <c r="S283" s="16">
        <f>SUM(S260+S265+S266+S279+S280+S281+S282)</f>
        <v>2830.875</v>
      </c>
      <c r="T283" s="16">
        <f>SUM(T260+T265+T266+T279+T280+T281+T282)</f>
        <v>3072.099</v>
      </c>
      <c r="U283" s="16">
        <f>SUM(U260+U265+U266+U279+U280+U281+U282)</f>
        <v>3027.688</v>
      </c>
      <c r="V283" s="16">
        <f>SUM(V260+V265+V266+V279+V280+V281+V282)</f>
        <v>2522.134</v>
      </c>
      <c r="W283" s="16">
        <f>SUM(W260,W265,W266,W279,W280,W281,W282)</f>
        <v>2522.134</v>
      </c>
      <c r="X283" s="16">
        <f>SUM(X260+X265+X266+X279+X280+X281+X282)</f>
        <v>2513.818</v>
      </c>
      <c r="Y283" s="16">
        <f>SUM(Y260+Y265+Y266+Y279+Y280+Y281+Y282)</f>
        <v>2503.186</v>
      </c>
      <c r="Z283" s="16">
        <f>SUM(Z260+Z265+Z266+Z279+Z280+Z281+Z282)</f>
        <v>2658.22</v>
      </c>
      <c r="AA283" s="16">
        <f>SUM(AA260+AA265+AA266+AA279+AA280+AA281+AA282)</f>
        <v>2492.492</v>
      </c>
      <c r="AB283" s="16">
        <f>SUM(AB260,AB265,AB266,AB279,AB280,AB281,AB282)</f>
        <v>2492.492</v>
      </c>
      <c r="AC283" s="16">
        <f>SUM(AC260+AC265+AC266+AC279+AC280+AC281+AC282)</f>
        <v>2607.676</v>
      </c>
      <c r="AD283" s="16">
        <f>SUM(AD260+AD265+AD266+AD279+AD280+AD281+AD282)</f>
        <v>2648.975</v>
      </c>
      <c r="AE283" s="16">
        <f>SUM(AE260+AE265+AE266+AE279+AE280+AE281+AE282)</f>
        <v>2788.634</v>
      </c>
      <c r="AF283" s="16">
        <f>SUM(AF260+AF265+AF266+AF279+AF280+AF281+AF282)</f>
        <v>2967.804</v>
      </c>
      <c r="AG283" s="16">
        <f>SUM(AG260,AG265,AG266,AG279,AG280,AG281,AG282)</f>
        <v>2967.804</v>
      </c>
      <c r="AH283" s="16">
        <f>SUM(AH260+AH265+AH266+AH279+AH280+AH281+AH282)</f>
        <v>3056.661</v>
      </c>
      <c r="AI283" s="16">
        <f>SUM(AI260+AI265+AI266+AI279+AI280+AI281+AI282)</f>
        <v>3901.507</v>
      </c>
      <c r="AJ283" s="16">
        <f>SUM(AJ260+AJ265+AJ266+AJ279+AJ280+AJ281+AJ282)</f>
        <v>4050.3024076</v>
      </c>
      <c r="AK283" s="16">
        <f>SUM(AK260+AK265+AK266+AK279+AK280+AK281+AK282)</f>
        <v>4205.4381023</v>
      </c>
      <c r="AL283" s="16">
        <f>SUM(AL260,AL265,AL266,AL279,AL280,AL281,AL282)</f>
        <v>4205.4381023</v>
      </c>
      <c r="AM283" s="16">
        <f>SUM(AM260+AM265+AM266+AM279+AM280+AM281+AM282)</f>
        <v>4360.573797</v>
      </c>
      <c r="AN283" s="16">
        <f>SUM(AN260+AN265+AN266+AN279+AN280+AN281+AN282)</f>
        <v>4968.4360016</v>
      </c>
      <c r="AO283" s="16">
        <f>SUM(AO260+AO265+AO266+AO279+AO280+AO281+AO282)</f>
        <v>5123.5716963</v>
      </c>
      <c r="AP283" s="16">
        <f>SUM(AP260+AP265+AP266+AP279+AP280+AP281+AP282)</f>
        <v>5731.4339009</v>
      </c>
      <c r="AQ283" s="16">
        <f>SUM(AQ260,AQ265,AQ266,AQ279,AQ280,AQ281,AQ282)</f>
        <v>5731.4339009</v>
      </c>
      <c r="AR283" s="16">
        <f>SUM(AR260+AR265+AR266+AR279+AR280+AR281+AR282)</f>
        <v>6339.2961055</v>
      </c>
      <c r="AS283" s="16">
        <f>SUM(AS260+AS265+AS266+AS279+AS280+AS281+AS282)</f>
        <v>7865.2919041</v>
      </c>
      <c r="AT283" s="16">
        <f>SUM(AT260+AT265+AT266+AT279+AT280+AT281+AT282)</f>
        <v>8473.1541087</v>
      </c>
      <c r="AU283" s="16">
        <f>SUM(AU260+AU265+AU266+AU279+AU280+AU281+AU282)</f>
        <v>9999.1499073</v>
      </c>
      <c r="AV283" s="16">
        <f>SUM(AV260,AV265,AV266,AV279,AV280,AV281,AV282)</f>
        <v>9999.1499073</v>
      </c>
      <c r="AW283" s="16">
        <f>SUM(AW260+AW265+AW266+AW279+AW280+AW281+AW282)</f>
        <v>11525.1457059</v>
      </c>
      <c r="AX283" s="16">
        <f>SUM(AX260+AX265+AX266+AX279+AX280+AX281+AX282)</f>
        <v>15792.8617123</v>
      </c>
      <c r="AY283" s="16">
        <f>SUM(AY260+AY265+AY266+AY279+AY280+AY281+AY282)</f>
        <v>17318.8575109</v>
      </c>
      <c r="AZ283" s="16">
        <f>SUM(AZ260+AZ265+AZ266+AZ279+AZ280+AZ281+AZ282)</f>
        <v>21586.5735173</v>
      </c>
      <c r="BA283" s="16">
        <f>SUM(BA260,BA265,BA266,BA279,BA280,BA281,BA282)</f>
        <v>21586.5735173</v>
      </c>
      <c r="BB283" s="16">
        <f>SUM(BB260+BB265+BB266+BB279+BB280+BB281+BB282)</f>
        <v>25854.2895237</v>
      </c>
      <c r="BC283" s="16">
        <f>SUM(BC260+BC265+BC266+BC279+BC280+BC281+BC282)</f>
        <v>37441.7131337</v>
      </c>
      <c r="BD283" s="16">
        <f>SUM(BD260+BD265+BD266+BD279+BD280+BD281+BD282)</f>
        <v>41709.4291401</v>
      </c>
      <c r="BE283" s="16">
        <f>SUM(BE260+BE265+BE266+BE279+BE280+BE281+BE282)</f>
        <v>53296.8527501</v>
      </c>
      <c r="BF283" s="16">
        <f>SUM(BF260,BF265,BF266,BF279,BF280,BF281,BF282)</f>
        <v>53296.8527501</v>
      </c>
      <c r="BG283" s="16">
        <f>SUM(BG260+BG265+BG266+BG279+BG280+BG281+BG282)</f>
        <v>64884.2763601</v>
      </c>
      <c r="BH283" s="16">
        <f>SUM(BH260+BH265+BH266+BH279+BH280+BH281+BH282)</f>
        <v>96594.5555929</v>
      </c>
      <c r="BI283" s="16">
        <f>SUM(BI260+BI265+BI266+BI279+BI280+BI281+BI282)</f>
        <v>108181.9792029</v>
      </c>
      <c r="BJ283" s="16">
        <f>SUM(BJ260+BJ265+BJ266+BJ279+BJ280+BJ281+BJ282)</f>
        <v>139892.2584357</v>
      </c>
      <c r="BK283" s="16">
        <f>SUM(BK260,BK265,BK266,BK279,BK280,BK281,BK282)</f>
        <v>139892.2584357</v>
      </c>
      <c r="BL283" s="16">
        <f>SUM(BL260+BL265+BL266+BL279+BL280+BL281+BL282)</f>
        <v>171602.5376685</v>
      </c>
      <c r="BM283" s="16">
        <f>SUM(BM260+BM265+BM266+BM279+BM280+BM281+BM282)</f>
        <v>258197.9433541</v>
      </c>
      <c r="BN283" s="16">
        <f>SUM(BN260+BN265+BN266+BN279+BN280+BN281+BN282)</f>
        <v>289908.2225869</v>
      </c>
      <c r="BO283" s="16">
        <f>SUM(BO260+BO265+BO266+BO279+BO280+BO281+BO282)</f>
        <v>376503.6282725</v>
      </c>
      <c r="BP283" s="16">
        <f>SUM(BP260,BP265,BP266,BP279,BP280,BP281,BP282)</f>
        <v>376503.6282725</v>
      </c>
      <c r="BQ283" s="16">
        <f>SUM(BQ260+BQ265+BQ266+BQ279+BQ280+BQ281+BQ282)</f>
        <v>463099.0339581</v>
      </c>
      <c r="BR283" s="16">
        <f>SUM(BR260+BR265+BR266+BR279+BR280+BR281+BR282)</f>
        <v>699710.4037949</v>
      </c>
      <c r="BS283" s="16">
        <f>SUM(BS260+BS265+BS266+BS279+BS280+BS281+BS282)</f>
        <v>786305.8094805</v>
      </c>
      <c r="BT283" s="16">
        <f>SUM(BT260+BT265+BT266+BT279+BT280+BT281+BT282)</f>
        <v>1022917.1793173</v>
      </c>
      <c r="BU283" s="16">
        <f>SUM(BU260,BU265,BU266,BU279,BU280,BU281,BU282)</f>
        <v>1022917.1793173</v>
      </c>
      <c r="BV283" s="16">
        <f>SUM(BV260+BV265+BV266+BV279+BV280+BV281+BV282)</f>
        <v>1259528.5491541</v>
      </c>
      <c r="BW283" s="16">
        <f>SUM(BW260+BW265+BW266+BW279+BW280+BW281+BW282)</f>
        <v>1905942.1001989</v>
      </c>
      <c r="BX283" s="16">
        <f>SUM(BX260+BX265+BX266+BX279+BX280+BX281+BX282)</f>
        <v>2142553.4700357</v>
      </c>
      <c r="BY283" s="16">
        <f>SUM(BY260+BY265+BY266+BY279+BY280+BY281+BY282)</f>
        <v>2788967.0210805</v>
      </c>
      <c r="BZ283" s="16">
        <f>SUM(BZ260,BZ265,BZ266,BZ279,BZ280,BZ281,BZ282)</f>
        <v>2788967.0210805</v>
      </c>
      <c r="CA283" s="16">
        <f>SUM(CA260+CA265+CA266+CA279+CA280+CA281+CA282)</f>
        <v>3435380.5721253</v>
      </c>
      <c r="CB283" s="16">
        <f>SUM(CB260+CB265+CB266+CB279+CB280+CB281+CB282)</f>
        <v>5201430.4138885</v>
      </c>
      <c r="CC283" s="16">
        <f>SUM(CC260+CC265+CC266+CC279+CC280+CC281+CC282)</f>
        <v>5847843.9649333</v>
      </c>
      <c r="CD283" s="16">
        <f>SUM(CD260+CD265+CD266+CD279+CD280+CD281+CD282)</f>
        <v>7613893.8066965</v>
      </c>
      <c r="CE283" s="16">
        <f>SUM(CE260,CE265,CE266,CE279,CE280,CE281,CE282)</f>
        <v>7613893.8066965</v>
      </c>
      <c r="CF283" s="16">
        <f>SUM(CF260+CF265+CF266+CF279+CF280+CF281+CF282)</f>
        <v>9379943.6484597</v>
      </c>
      <c r="CG283" s="16">
        <f>SUM(CG260+CG265+CG266+CG279+CG280+CG281+CG282)</f>
        <v>14204870.4340757</v>
      </c>
      <c r="CH283" s="16">
        <f>SUM(CH260+CH265+CH266+CH279+CH280+CH281+CH282)</f>
        <v>15970920.2758389</v>
      </c>
      <c r="CI283" s="16">
        <f>SUM(CI260+CI265+CI266+CI279+CI280+CI281+CI282)</f>
        <v>20795847.0614549</v>
      </c>
      <c r="CJ283" s="16">
        <f>SUM(CJ260,CJ265,CJ266,CJ279,CJ280,CJ281,CJ282)</f>
        <v>20795847.0614549</v>
      </c>
      <c r="CK283" s="16">
        <f>SUM(CK260+CK265+CK266+CK279+CK280+CK281+CK282)</f>
        <v>25620773.8470709</v>
      </c>
      <c r="CL283" s="16">
        <f>SUM(CL260+CL265+CL266+CL279+CL280+CL281+CL282)</f>
        <v>38802727.1018293</v>
      </c>
      <c r="CM283" s="16">
        <f>SUM(CM260+CM265+CM266+CM279+CM280+CM281+CM282)</f>
        <v>43627653.8874453</v>
      </c>
      <c r="CN283" s="16">
        <f>SUM(CN260+CN265+CN266+CN279+CN280+CN281+CN282)</f>
        <v>56809607.1422037</v>
      </c>
      <c r="CO283" s="16">
        <f>SUM(CO260,CO265,CO266,CO279,CO280,CO281,CO282)</f>
        <v>56809607.1422037</v>
      </c>
      <c r="CP283" s="16">
        <f>SUM(CP260+CP265+CP266+CP279+CP280+CP281+CP282)</f>
        <v>69991560.3969621</v>
      </c>
      <c r="CQ283" s="16">
        <f>SUM(CQ260+CQ265+CQ266+CQ279+CQ280+CQ281+CQ282)</f>
        <v>106005320.477711</v>
      </c>
      <c r="CR283" s="16">
        <f>SUM(CR260+CR265+CR266+CR279+CR280+CR281+CR282)</f>
        <v>119187273.732469</v>
      </c>
      <c r="CS283" s="16">
        <f>SUM(CS260+CS265+CS266+CS279+CS280+CS281+CS282)</f>
        <v>155201033.813218</v>
      </c>
      <c r="CT283" s="16">
        <f>SUM(CT260,CT265,CT266,CT279,CT280,CT281,CT282)</f>
        <v>155201033.813218</v>
      </c>
      <c r="CU283" s="16">
        <f>SUM(CU260+CU265+CU266+CU279+CU280+CU281+CU282)</f>
        <v>191214793.893967</v>
      </c>
      <c r="CV283" s="16">
        <f>SUM(CV260+CV265+CV266+CV279+CV280+CV281+CV282)</f>
        <v>289606220.564981</v>
      </c>
      <c r="CW283" s="16">
        <f>SUM(CW260+CW265+CW266+CW279+CW280+CW281+CW282)</f>
        <v>325619980.64573</v>
      </c>
      <c r="CX283" s="16">
        <f>SUM(CX260+CX265+CX266+CX279+CX280+CX281+CX282)</f>
        <v>424011407.316745</v>
      </c>
      <c r="CY283" s="16">
        <f>SUM(CY260,CY265,CY266,CY279,CY280,CY281,CY282)</f>
        <v>424011407.316745</v>
      </c>
    </row>
    <row r="284">
      <c r="C284" s="29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n"/>
      <c r="BE284" s="3" t="n"/>
      <c r="BF284" s="3" t="n"/>
      <c r="BG284" s="3" t="n"/>
      <c r="BH284" s="3" t="n"/>
      <c r="BI284" s="3" t="n"/>
      <c r="BJ284" s="3" t="n"/>
      <c r="BK284" s="3" t="n"/>
      <c r="BL284" s="3" t="n"/>
      <c r="BM284" s="3" t="n"/>
      <c r="BN284" s="3" t="n"/>
      <c r="BO284" s="3" t="n"/>
      <c r="BP284" s="3" t="n"/>
      <c r="BQ284" s="3" t="n"/>
      <c r="BR284" s="3" t="n"/>
      <c r="BS284" s="3" t="n"/>
      <c r="BT284" s="3" t="n"/>
      <c r="BU284" s="3" t="n"/>
      <c r="BV284" s="3" t="n"/>
      <c r="BW284" s="3" t="n"/>
      <c r="BX284" s="3" t="n"/>
      <c r="BY284" s="3" t="n"/>
      <c r="BZ284" s="3" t="n"/>
      <c r="CA284" s="3" t="n"/>
      <c r="CB284" s="3" t="n"/>
      <c r="CC284" s="3" t="n"/>
      <c r="CD284" s="3" t="n"/>
      <c r="CE284" s="3" t="n"/>
      <c r="CF284" s="3" t="n"/>
      <c r="CG284" s="3" t="n"/>
      <c r="CH284" s="3" t="n"/>
      <c r="CI284" s="3" t="n"/>
      <c r="CJ284" s="3" t="n"/>
      <c r="CK284" s="3" t="n"/>
      <c r="CL284" s="3" t="n"/>
      <c r="CM284" s="3" t="n"/>
      <c r="CN284" s="3" t="n"/>
      <c r="CO284" s="3" t="n"/>
      <c r="CP284" s="3" t="n"/>
      <c r="CQ284" s="3" t="n"/>
      <c r="CR284" s="3" t="n"/>
      <c r="CS284" s="3" t="n"/>
      <c r="CT284" s="3" t="n"/>
      <c r="CU284" s="3" t="n"/>
      <c r="CV284" s="3" t="n"/>
      <c r="CW284" s="3" t="n"/>
      <c r="CX284" s="3" t="n"/>
      <c r="CY284" s="3" t="n"/>
    </row>
    <row r="285" customFormat="1" s="17">
      <c r="A285" s="13" t="n"/>
      <c r="B285" s="1" t="n"/>
      <c r="C285" s="14" t="inlineStr">
        <is>
          <t>Total Liabilities + Shareholders' Equity</t>
        </is>
      </c>
      <c r="D285" s="16">
        <f>D283+D259</f>
        <v>7290.565</v>
      </c>
      <c r="E285" s="16">
        <f>E283+E259</f>
        <v>7460.748</v>
      </c>
      <c r="F285" s="16">
        <f>F283+F259</f>
        <v>7734.62</v>
      </c>
      <c r="G285" s="16">
        <f>G283+G259</f>
        <v>8502.627</v>
      </c>
      <c r="H285" s="16">
        <f>H283+H259</f>
        <v>8502.627</v>
      </c>
      <c r="I285" s="16">
        <f>I283+I259</f>
        <v>13041.956</v>
      </c>
      <c r="J285" s="16">
        <f>J283+J259</f>
        <v>14204.671</v>
      </c>
      <c r="K285" s="16">
        <f>K283+K259</f>
        <v>19735.813</v>
      </c>
      <c r="L285" s="16">
        <f>L283+L259</f>
        <v>21715.853</v>
      </c>
      <c r="M285" s="16">
        <f>M283+M259</f>
        <v>21715.853</v>
      </c>
      <c r="N285" s="16">
        <f>N283+N259</f>
        <v>20955.436</v>
      </c>
      <c r="O285" s="16">
        <f>O283+O259</f>
        <v>23372.858</v>
      </c>
      <c r="P285" s="16">
        <f>P283+P259</f>
        <v>26410.241</v>
      </c>
      <c r="Q285" s="16">
        <f>Q283+Q259</f>
        <v>26248.89</v>
      </c>
      <c r="R285" s="16">
        <f>R283+R259</f>
        <v>26248.89</v>
      </c>
      <c r="S285" s="16">
        <f>S283+S259</f>
        <v>22682.051</v>
      </c>
      <c r="T285" s="16">
        <f>T283+T259</f>
        <v>21069.958</v>
      </c>
      <c r="U285" s="16">
        <f>U283+U259</f>
        <v>21734.564</v>
      </c>
      <c r="V285" s="16">
        <f>V283+V259</f>
        <v>25119.49</v>
      </c>
      <c r="W285" s="16">
        <f>W283+W259</f>
        <v>25119.49</v>
      </c>
      <c r="X285" s="16">
        <f>X283+X259</f>
        <v>26185.588</v>
      </c>
      <c r="Y285" s="16">
        <f>Y283+Y259</f>
        <v>27684.239</v>
      </c>
      <c r="Z285" s="16">
        <f>Z283+Z259</f>
        <v>28574.186</v>
      </c>
      <c r="AA285" s="16">
        <f>AA283+AA259</f>
        <v>30573.853</v>
      </c>
      <c r="AB285" s="16">
        <f>AB283+AB259</f>
        <v>30573.853</v>
      </c>
      <c r="AC285" s="16">
        <f>AC283+AC259</f>
        <v>29211.368</v>
      </c>
      <c r="AD285" s="16">
        <f>AD283+AD259</f>
        <v>29775.568</v>
      </c>
      <c r="AE285" s="16">
        <f>AE283+AE259</f>
        <v>29641.564</v>
      </c>
      <c r="AF285" s="16">
        <f>AF283+AF259</f>
        <v>34925.26</v>
      </c>
      <c r="AG285" s="16">
        <f>AG283+AG259</f>
        <v>34925.26</v>
      </c>
      <c r="AH285" s="16">
        <f>AH283+AH259</f>
        <v>35936.374</v>
      </c>
      <c r="AI285" s="16">
        <f>AI283+AI259</f>
        <v>37340.96</v>
      </c>
      <c r="AJ285" s="16">
        <f>AJ283+AJ259</f>
        <v>31825.9264076</v>
      </c>
      <c r="AK285" s="16">
        <f>AK283+AK259</f>
        <v>31981.0621023</v>
      </c>
      <c r="AL285" s="16">
        <f>AL283+AL259</f>
        <v>31981.0621023</v>
      </c>
      <c r="AM285" s="16" t="e">
        <f>AM283+AM259</f>
        <v>#DIV/0!</v>
      </c>
      <c r="AN285" s="16">
        <f>AN283+AN259</f>
        <v>32744.0600016</v>
      </c>
      <c r="AO285" s="16" t="e">
        <f>AO283+AO259</f>
        <v>#DIV/0!</v>
      </c>
      <c r="AP285" s="16" t="e">
        <f>AP283+AP259</f>
        <v>#DIV/0!</v>
      </c>
      <c r="AQ285" s="16" t="e">
        <f>AQ283+AQ259</f>
        <v>#DIV/0!</v>
      </c>
      <c r="AR285" s="16" t="e">
        <f>AR283+AR259</f>
        <v>#DIV/0!</v>
      </c>
      <c r="AS285" s="16" t="e">
        <f>AS283+AS259</f>
        <v>#DIV/0!</v>
      </c>
      <c r="AT285" s="16" t="e">
        <f>AT283+AT259</f>
        <v>#DIV/0!</v>
      </c>
      <c r="AU285" s="16" t="e">
        <f>AU283+AU259</f>
        <v>#DIV/0!</v>
      </c>
      <c r="AV285" s="16" t="e">
        <f>AV283+AV259</f>
        <v>#DIV/0!</v>
      </c>
      <c r="AW285" s="16" t="e">
        <f>AW283+AW259</f>
        <v>#DIV/0!</v>
      </c>
      <c r="AX285" s="16" t="e">
        <f>AX283+AX259</f>
        <v>#DIV/0!</v>
      </c>
      <c r="AY285" s="16" t="e">
        <f>AY283+AY259</f>
        <v>#DIV/0!</v>
      </c>
      <c r="AZ285" s="16" t="e">
        <f>AZ283+AZ259</f>
        <v>#DIV/0!</v>
      </c>
      <c r="BA285" s="16" t="e">
        <f>BA283+BA259</f>
        <v>#DIV/0!</v>
      </c>
      <c r="BB285" s="16" t="e">
        <f>BB283+BB259</f>
        <v>#DIV/0!</v>
      </c>
      <c r="BC285" s="16" t="e">
        <f>BC283+BC259</f>
        <v>#DIV/0!</v>
      </c>
      <c r="BD285" s="16" t="e">
        <f>BD283+BD259</f>
        <v>#DIV/0!</v>
      </c>
      <c r="BE285" s="16" t="e">
        <f>BE283+BE259</f>
        <v>#DIV/0!</v>
      </c>
      <c r="BF285" s="16" t="e">
        <f>BF283+BF259</f>
        <v>#DIV/0!</v>
      </c>
      <c r="BG285" s="16" t="e">
        <f>BG283+BG259</f>
        <v>#DIV/0!</v>
      </c>
      <c r="BH285" s="16" t="e">
        <f>BH283+BH259</f>
        <v>#DIV/0!</v>
      </c>
      <c r="BI285" s="16" t="e">
        <f>BI283+BI259</f>
        <v>#DIV/0!</v>
      </c>
      <c r="BJ285" s="16" t="e">
        <f>BJ283+BJ259</f>
        <v>#DIV/0!</v>
      </c>
      <c r="BK285" s="16" t="e">
        <f>BK283+BK259</f>
        <v>#DIV/0!</v>
      </c>
      <c r="BL285" s="16" t="e">
        <f>BL283+BL259</f>
        <v>#DIV/0!</v>
      </c>
      <c r="BM285" s="16" t="e">
        <f>BM283+BM259</f>
        <v>#DIV/0!</v>
      </c>
      <c r="BN285" s="16" t="e">
        <f>BN283+BN259</f>
        <v>#DIV/0!</v>
      </c>
      <c r="BO285" s="16" t="e">
        <f>BO283+BO259</f>
        <v>#DIV/0!</v>
      </c>
      <c r="BP285" s="16" t="e">
        <f>BP283+BP259</f>
        <v>#DIV/0!</v>
      </c>
      <c r="BQ285" s="16" t="e">
        <f>BQ283+BQ259</f>
        <v>#DIV/0!</v>
      </c>
      <c r="BR285" s="16" t="e">
        <f>BR283+BR259</f>
        <v>#DIV/0!</v>
      </c>
      <c r="BS285" s="16" t="e">
        <f>BS283+BS259</f>
        <v>#DIV/0!</v>
      </c>
      <c r="BT285" s="16" t="e">
        <f>BT283+BT259</f>
        <v>#DIV/0!</v>
      </c>
      <c r="BU285" s="16" t="e">
        <f>BU283+BU259</f>
        <v>#DIV/0!</v>
      </c>
      <c r="BV285" s="16" t="e">
        <f>BV283+BV259</f>
        <v>#DIV/0!</v>
      </c>
      <c r="BW285" s="16" t="e">
        <f>BW283+BW259</f>
        <v>#DIV/0!</v>
      </c>
      <c r="BX285" s="16" t="e">
        <f>BX283+BX259</f>
        <v>#DIV/0!</v>
      </c>
      <c r="BY285" s="16" t="e">
        <f>BY283+BY259</f>
        <v>#DIV/0!</v>
      </c>
      <c r="BZ285" s="16" t="e">
        <f>BZ283+BZ259</f>
        <v>#DIV/0!</v>
      </c>
      <c r="CA285" s="16" t="e">
        <f>CA283+CA259</f>
        <v>#DIV/0!</v>
      </c>
      <c r="CB285" s="16" t="e">
        <f>CB283+CB259</f>
        <v>#DIV/0!</v>
      </c>
      <c r="CC285" s="16" t="e">
        <f>CC283+CC259</f>
        <v>#DIV/0!</v>
      </c>
      <c r="CD285" s="16" t="e">
        <f>CD283+CD259</f>
        <v>#DIV/0!</v>
      </c>
      <c r="CE285" s="16" t="e">
        <f>CE283+CE259</f>
        <v>#DIV/0!</v>
      </c>
      <c r="CF285" s="16" t="e">
        <f>CF283+CF259</f>
        <v>#DIV/0!</v>
      </c>
      <c r="CG285" s="16" t="e">
        <f>CG283+CG259</f>
        <v>#DIV/0!</v>
      </c>
      <c r="CH285" s="16" t="e">
        <f>CH283+CH259</f>
        <v>#DIV/0!</v>
      </c>
      <c r="CI285" s="16" t="e">
        <f>CI283+CI259</f>
        <v>#DIV/0!</v>
      </c>
      <c r="CJ285" s="16" t="e">
        <f>CJ283+CJ259</f>
        <v>#DIV/0!</v>
      </c>
      <c r="CK285" s="16" t="e">
        <f>CK283+CK259</f>
        <v>#DIV/0!</v>
      </c>
      <c r="CL285" s="16" t="e">
        <f>CL283+CL259</f>
        <v>#DIV/0!</v>
      </c>
      <c r="CM285" s="16" t="e">
        <f>CM283+CM259</f>
        <v>#DIV/0!</v>
      </c>
      <c r="CN285" s="16" t="e">
        <f>CN283+CN259</f>
        <v>#DIV/0!</v>
      </c>
      <c r="CO285" s="16" t="e">
        <f>CO283+CO259</f>
        <v>#DIV/0!</v>
      </c>
      <c r="CP285" s="16" t="e">
        <f>CP283+CP259</f>
        <v>#DIV/0!</v>
      </c>
      <c r="CQ285" s="16" t="e">
        <f>CQ283+CQ259</f>
        <v>#DIV/0!</v>
      </c>
      <c r="CR285" s="16" t="e">
        <f>CR283+CR259</f>
        <v>#DIV/0!</v>
      </c>
      <c r="CS285" s="16" t="e">
        <f>CS283+CS259</f>
        <v>#DIV/0!</v>
      </c>
      <c r="CT285" s="16" t="e">
        <f>CT283+CT259</f>
        <v>#DIV/0!</v>
      </c>
      <c r="CU285" s="16" t="e">
        <f>CU283+CU259</f>
        <v>#DIV/0!</v>
      </c>
      <c r="CV285" s="16" t="e">
        <f>CV283+CV259</f>
        <v>#DIV/0!</v>
      </c>
      <c r="CW285" s="16" t="e">
        <f>CW283+CW259</f>
        <v>#DIV/0!</v>
      </c>
      <c r="CX285" s="16" t="e">
        <f>CX283+CX259</f>
        <v>#DIV/0!</v>
      </c>
      <c r="CY285" s="16" t="e">
        <f>CY283+CY259</f>
        <v>#DIV/0!</v>
      </c>
    </row>
    <row r="286">
      <c r="C286" s="5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  <c r="BA286" s="1" t="n"/>
      <c r="BB286" s="1" t="n"/>
      <c r="BC286" s="1" t="n"/>
      <c r="BD286" s="1" t="n"/>
      <c r="BE286" s="1" t="n"/>
      <c r="BF286" s="1" t="n"/>
      <c r="BG286" s="1" t="n"/>
      <c r="BH286" s="1" t="n"/>
      <c r="BI286" s="1" t="n"/>
      <c r="BJ286" s="1" t="n"/>
      <c r="BK286" s="1" t="n"/>
      <c r="BL286" s="1" t="n"/>
      <c r="BM286" s="1" t="n"/>
      <c r="BN286" s="1" t="n"/>
      <c r="BO286" s="1" t="n"/>
      <c r="BP286" s="1" t="n"/>
      <c r="BQ286" s="1" t="n"/>
      <c r="BR286" s="1" t="n"/>
      <c r="BS286" s="1" t="n"/>
      <c r="BT286" s="1" t="n"/>
      <c r="BU286" s="1" t="n"/>
      <c r="BV286" s="1" t="n"/>
      <c r="BW286" s="1" t="n"/>
      <c r="BX286" s="1" t="n"/>
      <c r="BY286" s="1" t="n"/>
      <c r="BZ286" s="1" t="n"/>
      <c r="CA286" s="1" t="n"/>
      <c r="CB286" s="1" t="n"/>
      <c r="CC286" s="1" t="n"/>
      <c r="CD286" s="1" t="n"/>
      <c r="CE286" s="1" t="n"/>
      <c r="CF286" s="1" t="n"/>
      <c r="CG286" s="1" t="n"/>
      <c r="CH286" s="1" t="n"/>
      <c r="CI286" s="1" t="n"/>
      <c r="CJ286" s="1" t="n"/>
      <c r="CK286" s="1" t="n"/>
      <c r="CL286" s="1" t="n"/>
      <c r="CM286" s="1" t="n"/>
      <c r="CN286" s="1" t="n"/>
      <c r="CO286" s="1" t="n"/>
      <c r="CP286" s="1" t="n"/>
      <c r="CQ286" s="1" t="n"/>
      <c r="CR286" s="1" t="n"/>
      <c r="CS286" s="1" t="n"/>
      <c r="CT286" s="1" t="n"/>
      <c r="CU286" s="1" t="n"/>
      <c r="CV286" s="1" t="n"/>
      <c r="CW286" s="1" t="n"/>
      <c r="CX286" s="1" t="n"/>
      <c r="CY286" s="1" t="n"/>
    </row>
    <row r="287" customFormat="1" s="17">
      <c r="A287" s="13" t="n"/>
      <c r="B287" s="13" t="n"/>
      <c r="C287" s="12" t="inlineStr">
        <is>
          <t>Cash Flow Statement</t>
        </is>
      </c>
      <c r="D287" s="232" t="str">
        <f>D154</f>
        <v>1Q20</v>
      </c>
      <c r="E287" s="232" t="str">
        <f>E154</f>
        <v>2Q20</v>
      </c>
      <c r="F287" s="232" t="str">
        <f>F154</f>
        <v>3Q20</v>
      </c>
      <c r="G287" s="232" t="str">
        <f>G154</f>
        <v>4Q20</v>
      </c>
      <c r="H287" s="232">
        <f>H154</f>
        <v>2020</v>
      </c>
      <c r="I287" s="232" t="str">
        <f>I154</f>
        <v>1Q21</v>
      </c>
      <c r="J287" s="232" t="str">
        <f>J154</f>
        <v>2Q21</v>
      </c>
      <c r="K287" s="232" t="str">
        <f>K154</f>
        <v>3Q21</v>
      </c>
      <c r="L287" s="232" t="str">
        <f>L154</f>
        <v>4Q21</v>
      </c>
      <c r="M287" s="232">
        <f>M154</f>
        <v>2021</v>
      </c>
      <c r="N287" s="232" t="str">
        <f>N154</f>
        <v>1Q22</v>
      </c>
      <c r="O287" s="232" t="str">
        <f>O154</f>
        <v>2Q22</v>
      </c>
      <c r="P287" s="232" t="str">
        <f>P154</f>
        <v>3Q22</v>
      </c>
      <c r="Q287" s="232" t="str">
        <f>Q154</f>
        <v>4Q22</v>
      </c>
      <c r="R287" s="232">
        <f>R154</f>
        <v>2022</v>
      </c>
      <c r="S287" s="232" t="str">
        <f>S154</f>
        <v>1Q23</v>
      </c>
      <c r="T287" s="232" t="str">
        <f>T154</f>
        <v>2Q23</v>
      </c>
      <c r="U287" s="232" t="str">
        <f>U154</f>
        <v>3Q23</v>
      </c>
      <c r="V287" s="232" t="str">
        <f>V154</f>
        <v>4Q23</v>
      </c>
      <c r="W287" s="232">
        <f>W154</f>
        <v>2023</v>
      </c>
      <c r="X287" s="232" t="str">
        <f>X154</f>
        <v>1Q24</v>
      </c>
      <c r="Y287" s="232" t="str">
        <f>Y154</f>
        <v>2Q24</v>
      </c>
      <c r="Z287" s="232" t="str">
        <f>Z154</f>
        <v>3Q24</v>
      </c>
      <c r="AA287" s="232" t="str">
        <f>AA154</f>
        <v>4Q24</v>
      </c>
      <c r="AB287" s="232">
        <f>AB154</f>
        <v>2024</v>
      </c>
      <c r="AC287" s="232" t="str">
        <f>AC154</f>
        <v>1Q25</v>
      </c>
      <c r="AD287" s="232" t="str">
        <f>AD154</f>
        <v>2Q25</v>
      </c>
      <c r="AE287" s="232" t="str">
        <f>AE154</f>
        <v>3Q25</v>
      </c>
      <c r="AF287" s="232" t="str">
        <f>AF154</f>
        <v>4Q25</v>
      </c>
      <c r="AG287" s="232">
        <f>AG154</f>
        <v>2025</v>
      </c>
      <c r="AH287" s="232" t="str">
        <f>AH154</f>
        <v>1Q26</v>
      </c>
      <c r="AI287" s="232" t="str">
        <f>AI154</f>
        <v>2Q26</v>
      </c>
      <c r="AJ287" s="232" t="str">
        <f>AJ154</f>
        <v>3Q26</v>
      </c>
      <c r="AK287" s="232" t="str">
        <f>AK154</f>
        <v>4Q26</v>
      </c>
      <c r="AL287" s="232">
        <f>AL154</f>
        <v>2026</v>
      </c>
      <c r="AM287" s="232" t="str">
        <f>AM154</f>
        <v>1Q27</v>
      </c>
      <c r="AN287" s="232" t="str">
        <f>AN154</f>
        <v>2Q27</v>
      </c>
      <c r="AO287" s="232" t="str">
        <f>AO154</f>
        <v>3Q27</v>
      </c>
      <c r="AP287" s="232" t="str">
        <f>AP154</f>
        <v>4Q27</v>
      </c>
      <c r="AQ287" s="232">
        <f>AQ154</f>
        <v>2027</v>
      </c>
      <c r="AR287" s="232" t="str">
        <f>AR154</f>
        <v>1Q28</v>
      </c>
      <c r="AS287" s="232" t="str">
        <f>AS154</f>
        <v>2Q28</v>
      </c>
      <c r="AT287" s="232" t="str">
        <f>AT154</f>
        <v>3Q28</v>
      </c>
      <c r="AU287" s="232" t="str">
        <f>AU154</f>
        <v>4Q28</v>
      </c>
      <c r="AV287" s="232">
        <f>AV154</f>
        <v>2028</v>
      </c>
      <c r="AW287" s="232" t="str">
        <f>AW154</f>
        <v>1Q29</v>
      </c>
      <c r="AX287" s="232" t="str">
        <f>AX154</f>
        <v>2Q29</v>
      </c>
      <c r="AY287" s="232" t="str">
        <f>AY154</f>
        <v>3Q29</v>
      </c>
      <c r="AZ287" s="232" t="str">
        <f>AZ154</f>
        <v>4Q29</v>
      </c>
      <c r="BA287" s="232">
        <f>BA154</f>
        <v>2029</v>
      </c>
      <c r="BB287" s="232" t="str">
        <f>BB154</f>
        <v>1Q30</v>
      </c>
      <c r="BC287" s="232" t="str">
        <f>BC154</f>
        <v>2Q30</v>
      </c>
      <c r="BD287" s="232" t="str">
        <f>BD154</f>
        <v>3Q30</v>
      </c>
      <c r="BE287" s="232" t="str">
        <f>BE154</f>
        <v>4Q30</v>
      </c>
      <c r="BF287" s="232">
        <f>BF154</f>
        <v>2030</v>
      </c>
      <c r="BG287" s="232" t="str">
        <f>BG154</f>
        <v>1Q31</v>
      </c>
      <c r="BH287" s="232" t="str">
        <f>BH154</f>
        <v>2Q31</v>
      </c>
      <c r="BI287" s="232" t="str">
        <f>BI154</f>
        <v>3Q31</v>
      </c>
      <c r="BJ287" s="232" t="str">
        <f>BJ154</f>
        <v>4Q31</v>
      </c>
      <c r="BK287" s="232">
        <f>BK154</f>
        <v>2031</v>
      </c>
      <c r="BL287" s="232" t="str">
        <f>BL154</f>
        <v>1Q32</v>
      </c>
      <c r="BM287" s="232" t="str">
        <f>BM154</f>
        <v>2Q32</v>
      </c>
      <c r="BN287" s="232" t="str">
        <f>BN154</f>
        <v>3Q32</v>
      </c>
      <c r="BO287" s="232" t="str">
        <f>BO154</f>
        <v>4Q32</v>
      </c>
      <c r="BP287" s="232">
        <f>BP154</f>
        <v>2032</v>
      </c>
      <c r="BQ287" s="232" t="str">
        <f>BQ154</f>
        <v>1Q33</v>
      </c>
      <c r="BR287" s="232" t="str">
        <f>BR154</f>
        <v>2Q33</v>
      </c>
      <c r="BS287" s="232" t="str">
        <f>BS154</f>
        <v>3Q33</v>
      </c>
      <c r="BT287" s="232" t="str">
        <f>BT154</f>
        <v>4Q33</v>
      </c>
      <c r="BU287" s="232">
        <f>BU154</f>
        <v>2033</v>
      </c>
      <c r="BV287" s="232" t="str">
        <f>BV154</f>
        <v>1Q34</v>
      </c>
      <c r="BW287" s="232" t="str">
        <f>BW154</f>
        <v>2Q34</v>
      </c>
      <c r="BX287" s="232" t="str">
        <f>BX154</f>
        <v>3Q34</v>
      </c>
      <c r="BY287" s="232" t="str">
        <f>BY154</f>
        <v>4Q34</v>
      </c>
      <c r="BZ287" s="232">
        <f>BZ154</f>
        <v>2034</v>
      </c>
      <c r="CA287" s="232" t="str">
        <f>CA154</f>
        <v>1Q35</v>
      </c>
      <c r="CB287" s="232" t="str">
        <f>CB154</f>
        <v>2Q35</v>
      </c>
      <c r="CC287" s="232" t="str">
        <f>CC154</f>
        <v>3Q35</v>
      </c>
      <c r="CD287" s="232" t="str">
        <f>CD154</f>
        <v>4Q35</v>
      </c>
      <c r="CE287" s="232">
        <f>CE154</f>
        <v>2035</v>
      </c>
      <c r="CF287" s="232" t="str">
        <f>CF154</f>
        <v>1Q36</v>
      </c>
      <c r="CG287" s="232" t="str">
        <f>CG154</f>
        <v>2Q36</v>
      </c>
      <c r="CH287" s="232" t="str">
        <f>CH154</f>
        <v>3Q36</v>
      </c>
      <c r="CI287" s="232" t="str">
        <f>CI154</f>
        <v>4Q36</v>
      </c>
      <c r="CJ287" s="232">
        <f>CJ154</f>
        <v>2036</v>
      </c>
      <c r="CK287" s="232" t="str">
        <f>CK154</f>
        <v>1Q37</v>
      </c>
      <c r="CL287" s="232" t="str">
        <f>CL154</f>
        <v>2Q37</v>
      </c>
      <c r="CM287" s="232" t="str">
        <f>CM154</f>
        <v>3Q37</v>
      </c>
      <c r="CN287" s="232" t="str">
        <f>CN154</f>
        <v>4Q37</v>
      </c>
      <c r="CO287" s="232">
        <f>CO154</f>
        <v>2037</v>
      </c>
      <c r="CP287" s="232" t="str">
        <f>CP154</f>
        <v>1Q38</v>
      </c>
      <c r="CQ287" s="232" t="str">
        <f>CQ154</f>
        <v>2Q38</v>
      </c>
      <c r="CR287" s="232" t="str">
        <f>CR154</f>
        <v>3Q38</v>
      </c>
      <c r="CS287" s="232" t="str">
        <f>CS154</f>
        <v>4Q38</v>
      </c>
      <c r="CT287" s="232">
        <f>CT154</f>
        <v>2038</v>
      </c>
      <c r="CU287" s="232" t="str">
        <f>CU154</f>
        <v>1Q39</v>
      </c>
      <c r="CV287" s="232" t="str">
        <f>CV154</f>
        <v>2Q39</v>
      </c>
      <c r="CW287" s="232" t="str">
        <f>CW154</f>
        <v>3Q39</v>
      </c>
      <c r="CX287" s="232" t="str">
        <f>CX154</f>
        <v>4Q39</v>
      </c>
      <c r="CY287" s="232">
        <f>CY154</f>
        <v>2039</v>
      </c>
    </row>
    <row r="288">
      <c r="C288" s="5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  <c r="BA288" s="1" t="n"/>
      <c r="BB288" s="1" t="n"/>
      <c r="BC288" s="1" t="n"/>
      <c r="BD288" s="1" t="n"/>
      <c r="BE288" s="1" t="n"/>
      <c r="BF288" s="1" t="n"/>
      <c r="BG288" s="1" t="n"/>
      <c r="BH288" s="1" t="n"/>
      <c r="BI288" s="1" t="n"/>
      <c r="BJ288" s="1" t="n"/>
      <c r="BK288" s="1" t="n"/>
      <c r="BL288" s="1" t="n"/>
      <c r="BM288" s="1" t="n"/>
      <c r="BN288" s="1" t="n"/>
      <c r="BO288" s="1" t="n"/>
      <c r="BP288" s="1" t="n"/>
      <c r="BQ288" s="1" t="n"/>
      <c r="BR288" s="1" t="n"/>
      <c r="BS288" s="1" t="n"/>
      <c r="BT288" s="1" t="n"/>
      <c r="BU288" s="1" t="n"/>
      <c r="BV288" s="1" t="n"/>
      <c r="BW288" s="1" t="n"/>
      <c r="BX288" s="1" t="n"/>
      <c r="BY288" s="1" t="n"/>
      <c r="BZ288" s="1" t="n"/>
      <c r="CA288" s="1" t="n"/>
      <c r="CB288" s="1" t="n"/>
      <c r="CC288" s="1" t="n"/>
      <c r="CD288" s="1" t="n"/>
      <c r="CE288" s="1" t="n"/>
      <c r="CF288" s="1" t="n"/>
      <c r="CG288" s="1" t="n"/>
      <c r="CH288" s="1" t="n"/>
      <c r="CI288" s="1" t="n"/>
      <c r="CJ288" s="1" t="n"/>
      <c r="CK288" s="1" t="n"/>
      <c r="CL288" s="1" t="n"/>
      <c r="CM288" s="1" t="n"/>
      <c r="CN288" s="1" t="n"/>
      <c r="CO288" s="1" t="n"/>
      <c r="CP288" s="1" t="n"/>
      <c r="CQ288" s="1" t="n"/>
      <c r="CR288" s="1" t="n"/>
      <c r="CS288" s="1" t="n"/>
      <c r="CT288" s="1" t="n"/>
      <c r="CU288" s="1" t="n"/>
      <c r="CV288" s="1" t="n"/>
      <c r="CW288" s="1" t="n"/>
      <c r="CX288" s="1" t="n"/>
      <c r="CY288" s="1" t="n"/>
    </row>
    <row r="289">
      <c r="C289" s="29" t="inlineStr">
        <is>
          <t>Net Income</t>
        </is>
      </c>
      <c r="D289" s="3" t="n"/>
      <c r="E289" s="3">
        <f>E149</f>
        <v>2.61300000000003</v>
      </c>
      <c r="F289" s="3">
        <f>F149</f>
        <v>37.2019999999999</v>
      </c>
      <c r="G289" s="3">
        <f>G149</f>
        <v>138.693</v>
      </c>
      <c r="H289" s="3">
        <f>SUM(D289:G289)</f>
        <v>178.508</v>
      </c>
      <c r="I289" s="3">
        <f>I149</f>
        <v>109.481</v>
      </c>
      <c r="J289" s="3">
        <f>J149</f>
        <v>173.921</v>
      </c>
      <c r="K289" s="3">
        <f>K149</f>
        <v>259.381</v>
      </c>
      <c r="L289" s="3">
        <f>L149</f>
        <v>276.656</v>
      </c>
      <c r="M289" s="3">
        <f>SUM(I289:L289)</f>
        <v>819.439</v>
      </c>
      <c r="N289" s="3">
        <f>N149</f>
        <v>258.068</v>
      </c>
      <c r="O289" s="3">
        <f>O149</f>
        <v>186.761</v>
      </c>
      <c r="P289" s="3">
        <f>P149</f>
        <v>93.718</v>
      </c>
      <c r="Q289" s="3">
        <f>Q149</f>
        <v>17.8309999999999</v>
      </c>
      <c r="R289" s="3">
        <f>SUM(N289:Q289)</f>
        <v>556.378</v>
      </c>
      <c r="S289" s="3">
        <f>S149</f>
        <v>21.0439999999998</v>
      </c>
      <c r="T289" s="3">
        <f>T149</f>
        <v>-17.864</v>
      </c>
      <c r="U289" s="3">
        <f>U149</f>
        <v>-65.7210000000001</v>
      </c>
      <c r="V289" s="3">
        <f>V149</f>
        <v>-588.309</v>
      </c>
      <c r="W289" s="3">
        <f>SUM(S289:V289)</f>
        <v>-650.85</v>
      </c>
      <c r="X289" s="3">
        <f>X149</f>
        <v>48.599</v>
      </c>
      <c r="Y289" s="3">
        <f>Y149</f>
        <v>42.5479999999996</v>
      </c>
      <c r="Z289" s="3">
        <f>Z149</f>
        <v>78.1939999999997</v>
      </c>
      <c r="AA289" s="3">
        <f>AA149</f>
        <v>62.1710000000004</v>
      </c>
      <c r="AB289" s="3">
        <f>SUM(X289:AA289)</f>
        <v>231.512</v>
      </c>
      <c r="AC289" s="3">
        <f>AC149</f>
        <v>78.4679999999998</v>
      </c>
      <c r="AD289" s="3">
        <f>AD149</f>
        <v>67.5950000000004</v>
      </c>
      <c r="AE289" s="3">
        <f>AE149</f>
        <v>69.955</v>
      </c>
      <c r="AF289" s="3">
        <f>AF149</f>
        <v>102.344106983398</v>
      </c>
      <c r="AG289" s="3">
        <f>SUM(AC289:AF289)</f>
        <v>318.362106983399</v>
      </c>
      <c r="AH289" s="3">
        <f>AH149</f>
        <v>124.513191101402</v>
      </c>
      <c r="AI289" s="3">
        <f>AI149</f>
        <v>135.649659876556</v>
      </c>
      <c r="AJ289" s="3">
        <f>AJ149</f>
        <v>148.7954076</v>
      </c>
      <c r="AK289" s="3">
        <f>AK149</f>
        <v>155.1356947</v>
      </c>
      <c r="AL289" s="3">
        <f>SUM(AH289:AK289)</f>
        <v>564.093953277959</v>
      </c>
      <c r="AM289" s="3">
        <f>AM149</f>
        <v>155.1356947</v>
      </c>
      <c r="AN289" s="3">
        <f>AN149</f>
        <v>607.8622046</v>
      </c>
      <c r="AO289" s="3">
        <f>AO149</f>
        <v>155.1356947</v>
      </c>
      <c r="AP289" s="3">
        <f>AP149</f>
        <v>607.8622046</v>
      </c>
      <c r="AQ289" s="3">
        <f>SUM(AM289:AP289)</f>
        <v>1525.9957986</v>
      </c>
      <c r="AR289" s="3">
        <f>AR149</f>
        <v>607.8622046</v>
      </c>
      <c r="AS289" s="3">
        <f>AS149</f>
        <v>1525.9957986</v>
      </c>
      <c r="AT289" s="3">
        <f>AT149</f>
        <v>607.8622046</v>
      </c>
      <c r="AU289" s="3">
        <f>AU149</f>
        <v>1525.9957986</v>
      </c>
      <c r="AV289" s="3">
        <f>SUM(AR289:AU289)</f>
        <v>4267.7160064</v>
      </c>
      <c r="AW289" s="3">
        <f>AW149</f>
        <v>1525.9957986</v>
      </c>
      <c r="AX289" s="3">
        <f>AX149</f>
        <v>4267.7160064</v>
      </c>
      <c r="AY289" s="3">
        <f>AY149</f>
        <v>1525.9957986</v>
      </c>
      <c r="AZ289" s="3">
        <f>AZ149</f>
        <v>4267.7160064</v>
      </c>
      <c r="BA289" s="3">
        <f>SUM(AW289:AZ289)</f>
        <v>11587.42361</v>
      </c>
      <c r="BB289" s="3">
        <f>BB149</f>
        <v>4267.7160064</v>
      </c>
      <c r="BC289" s="3">
        <f>BC149</f>
        <v>11587.42361</v>
      </c>
      <c r="BD289" s="3">
        <f>BD149</f>
        <v>4267.7160064</v>
      </c>
      <c r="BE289" s="3">
        <f>BE149</f>
        <v>11587.42361</v>
      </c>
      <c r="BF289" s="3">
        <f>SUM(BB289:BE289)</f>
        <v>31710.2792328</v>
      </c>
      <c r="BG289" s="3">
        <f>BG149</f>
        <v>11587.42361</v>
      </c>
      <c r="BH289" s="3">
        <f>BH149</f>
        <v>31710.2792328</v>
      </c>
      <c r="BI289" s="3">
        <f>BI149</f>
        <v>11587.42361</v>
      </c>
      <c r="BJ289" s="3">
        <f>BJ149</f>
        <v>31710.2792328</v>
      </c>
      <c r="BK289" s="3">
        <f>SUM(BG289:BJ289)</f>
        <v>86595.4056856</v>
      </c>
      <c r="BL289" s="3">
        <f>BL149</f>
        <v>31710.2792328</v>
      </c>
      <c r="BM289" s="3">
        <f>BM149</f>
        <v>86595.4056856</v>
      </c>
      <c r="BN289" s="3">
        <f>BN149</f>
        <v>31710.2792328</v>
      </c>
      <c r="BO289" s="3">
        <f>BO149</f>
        <v>86595.4056856</v>
      </c>
      <c r="BP289" s="3">
        <f>SUM(BL289:BO289)</f>
        <v>236611.3698368</v>
      </c>
      <c r="BQ289" s="3">
        <f>BQ149</f>
        <v>86595.4056856</v>
      </c>
      <c r="BR289" s="3">
        <f>BR149</f>
        <v>236611.3698368</v>
      </c>
      <c r="BS289" s="3">
        <f>BS149</f>
        <v>86595.4056856</v>
      </c>
      <c r="BT289" s="3">
        <f>BT149</f>
        <v>236611.3698368</v>
      </c>
      <c r="BU289" s="3">
        <f>SUM(BQ289:BT289)</f>
        <v>646413.5510448</v>
      </c>
      <c r="BV289" s="3">
        <f>BV149</f>
        <v>236611.3698368</v>
      </c>
      <c r="BW289" s="3">
        <f>BW149</f>
        <v>646413.5510448</v>
      </c>
      <c r="BX289" s="3">
        <f>BX149</f>
        <v>236611.3698368</v>
      </c>
      <c r="BY289" s="3">
        <f>BY149</f>
        <v>646413.5510448</v>
      </c>
      <c r="BZ289" s="3">
        <f>SUM(BV289:BY289)</f>
        <v>1766049.8417632</v>
      </c>
      <c r="CA289" s="3">
        <f>CA149</f>
        <v>646413.5510448</v>
      </c>
      <c r="CB289" s="3">
        <f>CB149</f>
        <v>1766049.8417632</v>
      </c>
      <c r="CC289" s="3">
        <f>CC149</f>
        <v>646413.5510448</v>
      </c>
      <c r="CD289" s="3">
        <f>CD149</f>
        <v>1766049.8417632</v>
      </c>
      <c r="CE289" s="3">
        <f>SUM(CA289:CD289)</f>
        <v>4824926.785616</v>
      </c>
      <c r="CF289" s="3">
        <f>CF149</f>
        <v>1766049.8417632</v>
      </c>
      <c r="CG289" s="3">
        <f>CG149</f>
        <v>4824926.785616</v>
      </c>
      <c r="CH289" s="3">
        <f>CH149</f>
        <v>1766049.8417632</v>
      </c>
      <c r="CI289" s="3">
        <f>CI149</f>
        <v>4824926.785616</v>
      </c>
      <c r="CJ289" s="3">
        <f>SUM(CF289:CI289)</f>
        <v>13181953.2547584</v>
      </c>
      <c r="CK289" s="3">
        <f>CK149</f>
        <v>4824926.785616</v>
      </c>
      <c r="CL289" s="3">
        <f>CL149</f>
        <v>13181953.2547584</v>
      </c>
      <c r="CM289" s="3">
        <f>CM149</f>
        <v>4824926.785616</v>
      </c>
      <c r="CN289" s="3">
        <f>CN149</f>
        <v>13181953.2547584</v>
      </c>
      <c r="CO289" s="3">
        <f>SUM(CK289:CN289)</f>
        <v>36013760.0807488</v>
      </c>
      <c r="CP289" s="3">
        <f>CP149</f>
        <v>13181953.2547584</v>
      </c>
      <c r="CQ289" s="3">
        <f>CQ149</f>
        <v>36013760.0807488</v>
      </c>
      <c r="CR289" s="3">
        <f>CR149</f>
        <v>13181953.2547584</v>
      </c>
      <c r="CS289" s="3">
        <f>CS149</f>
        <v>36013760.0807488</v>
      </c>
      <c r="CT289" s="3">
        <f>SUM(CP289:CS289)</f>
        <v>98391426.6710144</v>
      </c>
      <c r="CU289" s="3">
        <f>CU149</f>
        <v>36013760.0807488</v>
      </c>
      <c r="CV289" s="3">
        <f>CV149</f>
        <v>98391426.6710144</v>
      </c>
      <c r="CW289" s="3">
        <f>CW149</f>
        <v>36013760.0807488</v>
      </c>
      <c r="CX289" s="3">
        <f>CX149</f>
        <v>98391426.6710144</v>
      </c>
      <c r="CY289" s="3">
        <f>SUM(CU289:CX289)</f>
        <v>268810373.503526</v>
      </c>
    </row>
    <row r="290">
      <c r="C290" s="29" t="inlineStr">
        <is>
          <t>Depreciation &amp; amortization</t>
        </is>
      </c>
      <c r="D290" s="3" t="n"/>
      <c r="E290" s="3">
        <f>-E82</f>
        <v>101.508</v>
      </c>
      <c r="F290" s="3">
        <f>-F82</f>
        <v>119.025</v>
      </c>
      <c r="G290" s="3">
        <f>-G82</f>
        <v>85.125</v>
      </c>
      <c r="H290" s="3">
        <f>SUM(D290:G290)</f>
        <v>305.658</v>
      </c>
      <c r="I290" s="3">
        <f>-I82</f>
        <v>62.178</v>
      </c>
      <c r="J290" s="3">
        <f>-J82</f>
        <v>72.936</v>
      </c>
      <c r="K290" s="3">
        <f>-K82</f>
        <v>110.706</v>
      </c>
      <c r="L290" s="3">
        <f>-L82</f>
        <v>170.431</v>
      </c>
      <c r="M290" s="3">
        <f>SUM(I290:L290)</f>
        <v>416.251</v>
      </c>
      <c r="N290" s="3">
        <f>-N82</f>
        <v>212.836</v>
      </c>
      <c r="O290" s="3">
        <f>-O82</f>
        <v>240.909</v>
      </c>
      <c r="P290" s="3">
        <f>-P82</f>
        <v>300.524</v>
      </c>
      <c r="Q290" s="3">
        <f>-Q82</f>
        <v>380.942</v>
      </c>
      <c r="R290" s="3">
        <f>SUM(N290:Q290)</f>
        <v>1135.211</v>
      </c>
      <c r="S290" s="3">
        <f>-S82</f>
        <v>390.033</v>
      </c>
      <c r="T290" s="3">
        <f>-T82</f>
        <v>388.955</v>
      </c>
      <c r="U290" s="3">
        <f>-U82</f>
        <v>412.766</v>
      </c>
      <c r="V290" s="3">
        <f>-V82</f>
        <v>1046.012</v>
      </c>
      <c r="W290" s="3">
        <f>SUM(S290:V290)</f>
        <v>2237.766</v>
      </c>
      <c r="X290" s="3">
        <f>-X82</f>
        <v>447.855</v>
      </c>
      <c r="Y290" s="3">
        <f>-Y82</f>
        <v>522.034</v>
      </c>
      <c r="Z290" s="3">
        <f>-Z82</f>
        <v>551.278</v>
      </c>
      <c r="AA290" s="3">
        <f>-AA82</f>
        <v>559.351</v>
      </c>
      <c r="AB290" s="3">
        <f>SUM(X290:AA290)</f>
        <v>2080.518</v>
      </c>
      <c r="AC290" s="3">
        <f>-AC82</f>
        <v>572.374</v>
      </c>
      <c r="AD290" s="3">
        <f>-AD82</f>
        <v>593.733</v>
      </c>
      <c r="AE290" s="3">
        <f>-AE82</f>
        <v>624.565</v>
      </c>
      <c r="AF290" s="3">
        <f>-AF82</f>
        <v>639.3592426</v>
      </c>
      <c r="AG290" s="3">
        <f>SUM(AC290:AF290)</f>
        <v>2430.0312426</v>
      </c>
      <c r="AH290" s="3">
        <f>-AH82</f>
        <v>650.5859214</v>
      </c>
      <c r="AI290" s="3">
        <f>-AI82</f>
        <v>671.5636214</v>
      </c>
      <c r="AJ290" s="3">
        <f>-AJ82</f>
        <v>0</v>
      </c>
      <c r="AK290" s="3">
        <f>-AK82</f>
        <v>0</v>
      </c>
      <c r="AL290" s="3">
        <f>SUM(AH290:AK290)</f>
        <v>1322.1495428</v>
      </c>
      <c r="AM290" s="3">
        <f>-AM82</f>
        <v>0</v>
      </c>
      <c r="AN290" s="3">
        <f>-AN82</f>
        <v>0</v>
      </c>
      <c r="AO290" s="3">
        <f>-AO82</f>
        <v>0</v>
      </c>
      <c r="AP290" s="3">
        <f>-AP82</f>
        <v>0</v>
      </c>
      <c r="AQ290" s="3">
        <f>SUM(AM290:AP290)</f>
        <v>0</v>
      </c>
      <c r="AR290" s="3">
        <f>-AR82</f>
        <v>0</v>
      </c>
      <c r="AS290" s="3">
        <f>-AS82</f>
        <v>0</v>
      </c>
      <c r="AT290" s="3">
        <f>-AT82</f>
        <v>0</v>
      </c>
      <c r="AU290" s="3">
        <f>-AU82</f>
        <v>0</v>
      </c>
      <c r="AV290" s="3">
        <f>SUM(AR290:AU290)</f>
        <v>0</v>
      </c>
      <c r="AW290" s="3">
        <f>-AW82</f>
        <v>0</v>
      </c>
      <c r="AX290" s="3">
        <f>-AX82</f>
        <v>0</v>
      </c>
      <c r="AY290" s="3">
        <f>-AY82</f>
        <v>0</v>
      </c>
      <c r="AZ290" s="3">
        <f>-AZ82</f>
        <v>0</v>
      </c>
      <c r="BA290" s="3">
        <f>SUM(AW290:AZ290)</f>
        <v>0</v>
      </c>
      <c r="BB290" s="3">
        <f>-BB82</f>
        <v>0</v>
      </c>
      <c r="BC290" s="3">
        <f>-BC82</f>
        <v>0</v>
      </c>
      <c r="BD290" s="3">
        <f>-BD82</f>
        <v>0</v>
      </c>
      <c r="BE290" s="3">
        <f>-BE82</f>
        <v>0</v>
      </c>
      <c r="BF290" s="3">
        <f>SUM(BB290:BE290)</f>
        <v>0</v>
      </c>
      <c r="BG290" s="3">
        <f>-BG82</f>
        <v>0</v>
      </c>
      <c r="BH290" s="3">
        <f>-BH82</f>
        <v>0</v>
      </c>
      <c r="BI290" s="3">
        <f>-BI82</f>
        <v>0</v>
      </c>
      <c r="BJ290" s="3">
        <f>-BJ82</f>
        <v>0</v>
      </c>
      <c r="BK290" s="3">
        <f>SUM(BG290:BJ290)</f>
        <v>0</v>
      </c>
      <c r="BL290" s="3">
        <f>-BL82</f>
        <v>0</v>
      </c>
      <c r="BM290" s="3">
        <f>-BM82</f>
        <v>0</v>
      </c>
      <c r="BN290" s="3">
        <f>-BN82</f>
        <v>0</v>
      </c>
      <c r="BO290" s="3">
        <f>-BO82</f>
        <v>0</v>
      </c>
      <c r="BP290" s="3">
        <f>SUM(BL290:BO290)</f>
        <v>0</v>
      </c>
      <c r="BQ290" s="3">
        <f>-BQ82</f>
        <v>0</v>
      </c>
      <c r="BR290" s="3">
        <f>-BR82</f>
        <v>0</v>
      </c>
      <c r="BS290" s="3">
        <f>-BS82</f>
        <v>0</v>
      </c>
      <c r="BT290" s="3">
        <f>-BT82</f>
        <v>0</v>
      </c>
      <c r="BU290" s="3">
        <f>SUM(BQ290:BT290)</f>
        <v>0</v>
      </c>
      <c r="BV290" s="3">
        <f>-BV82</f>
        <v>0</v>
      </c>
      <c r="BW290" s="3">
        <f>-BW82</f>
        <v>0</v>
      </c>
      <c r="BX290" s="3">
        <f>-BX82</f>
        <v>0</v>
      </c>
      <c r="BY290" s="3">
        <f>-BY82</f>
        <v>0</v>
      </c>
      <c r="BZ290" s="3">
        <f>SUM(BV290:BY290)</f>
        <v>0</v>
      </c>
      <c r="CA290" s="3">
        <f>-CA82</f>
        <v>0</v>
      </c>
      <c r="CB290" s="3">
        <f>-CB82</f>
        <v>0</v>
      </c>
      <c r="CC290" s="3">
        <f>-CC82</f>
        <v>0</v>
      </c>
      <c r="CD290" s="3">
        <f>-CD82</f>
        <v>0</v>
      </c>
      <c r="CE290" s="3">
        <f>SUM(CA290:CD290)</f>
        <v>0</v>
      </c>
      <c r="CF290" s="3">
        <f>-CF82</f>
        <v>0</v>
      </c>
      <c r="CG290" s="3">
        <f>-CG82</f>
        <v>0</v>
      </c>
      <c r="CH290" s="3">
        <f>-CH82</f>
        <v>0</v>
      </c>
      <c r="CI290" s="3">
        <f>-CI82</f>
        <v>0</v>
      </c>
      <c r="CJ290" s="3">
        <f>SUM(CF290:CI290)</f>
        <v>0</v>
      </c>
      <c r="CK290" s="3">
        <f>-CK82</f>
        <v>0</v>
      </c>
      <c r="CL290" s="3">
        <f>-CL82</f>
        <v>0</v>
      </c>
      <c r="CM290" s="3">
        <f>-CM82</f>
        <v>0</v>
      </c>
      <c r="CN290" s="3">
        <f>-CN82</f>
        <v>0</v>
      </c>
      <c r="CO290" s="3">
        <f>SUM(CK290:CN290)</f>
        <v>0</v>
      </c>
      <c r="CP290" s="3">
        <f>-CP82</f>
        <v>0</v>
      </c>
      <c r="CQ290" s="3">
        <f>-CQ82</f>
        <v>0</v>
      </c>
      <c r="CR290" s="3">
        <f>-CR82</f>
        <v>0</v>
      </c>
      <c r="CS290" s="3">
        <f>-CS82</f>
        <v>0</v>
      </c>
      <c r="CT290" s="3">
        <f>SUM(CP290:CS290)</f>
        <v>0</v>
      </c>
      <c r="CU290" s="3">
        <f>-CU82</f>
        <v>0</v>
      </c>
      <c r="CV290" s="3">
        <f>-CV82</f>
        <v>0</v>
      </c>
      <c r="CW290" s="3">
        <f>-CW82</f>
        <v>0</v>
      </c>
      <c r="CX290" s="3">
        <f>-CX82</f>
        <v>0</v>
      </c>
      <c r="CY290" s="3">
        <f>SUM(CU290:CX290)</f>
        <v>0</v>
      </c>
    </row>
    <row r="291">
      <c r="C291" s="29" t="inlineStr">
        <is>
          <t xml:space="preserve">Changes in working capital </t>
        </is>
      </c>
      <c r="D291" s="3" t="n"/>
      <c r="E291" s="3">
        <f>SUM(E292:E301)</f>
        <v>-698.897</v>
      </c>
      <c r="F291" s="3">
        <f>SUM(F292:F301)</f>
        <v>683.307</v>
      </c>
      <c r="G291" s="3">
        <f>SUM(G292:G301)</f>
        <v>104.734</v>
      </c>
      <c r="H291" s="3">
        <f>SUM(D291:G291)</f>
        <v>89.144</v>
      </c>
      <c r="I291" s="3">
        <f>SUM(I292:I301)</f>
        <v>-221.319</v>
      </c>
      <c r="J291" s="3">
        <f>SUM(J292:J301)</f>
        <v>353.263</v>
      </c>
      <c r="K291" s="3">
        <f>SUM(K292:K301)</f>
        <v>9.53700000000032</v>
      </c>
      <c r="L291" s="3">
        <f>SUM(L292:L301)</f>
        <v>1143.13</v>
      </c>
      <c r="M291" s="3">
        <f>SUM(I291:L291)</f>
        <v>1284.611</v>
      </c>
      <c r="N291" s="3">
        <f>SUM(N292:N301)</f>
        <v>-1077.699</v>
      </c>
      <c r="O291" s="3">
        <f>SUM(O292:O301)</f>
        <v>456.033</v>
      </c>
      <c r="P291" s="3">
        <f>SUM(P292:P301)</f>
        <v>-779.02</v>
      </c>
      <c r="Q291" s="3">
        <f>SUM(Q292:Q301)</f>
        <v>1032.624</v>
      </c>
      <c r="R291" s="3">
        <f>SUM(N291:Q291)</f>
        <v>-368.062</v>
      </c>
      <c r="S291" s="3">
        <f>SUM(S292:S301)</f>
        <v>-893.347</v>
      </c>
      <c r="T291" s="3">
        <f>SUM(T292:T301)</f>
        <v>-456.28</v>
      </c>
      <c r="U291" s="3">
        <f>SUM(U292:U301)</f>
        <v>654.528000000001</v>
      </c>
      <c r="V291" s="3">
        <f>SUM(V292:V301)</f>
        <v>3346.17</v>
      </c>
      <c r="W291" s="3">
        <f>SUM(S291:V291)</f>
        <v>2651.071</v>
      </c>
      <c r="X291" s="3">
        <f>SUM(X292:X301)</f>
        <v>-579.528</v>
      </c>
      <c r="Y291" s="3">
        <f>SUM(Y292:Y301)</f>
        <v>-361.992000000001</v>
      </c>
      <c r="Z291" s="3">
        <f>SUM(Z292:Z301)</f>
        <v>-281.092</v>
      </c>
      <c r="AA291" s="3">
        <f>SUM(AA292:AA301)</f>
        <v>1268.629</v>
      </c>
      <c r="AB291" s="3">
        <f>SUM(X291:AA291)</f>
        <v>46.0169999999994</v>
      </c>
      <c r="AC291" s="3">
        <f>SUM(AC292:AC301)</f>
        <v>-2719.409</v>
      </c>
      <c r="AD291" s="3">
        <f>SUM(AD292:AD301)</f>
        <v>816.887999999999</v>
      </c>
      <c r="AE291" s="3">
        <f>SUM(AE292:AE301)</f>
        <v>632.881000000001</v>
      </c>
      <c r="AF291" s="3">
        <f>SUM(AF292:AF301)</f>
        <v>2754</v>
      </c>
      <c r="AG291" s="3">
        <f>SUM(AC291:AF291)</f>
        <v>1484.36</v>
      </c>
      <c r="AH291" s="3">
        <f>SUM(AH292:AH301)</f>
        <v>-1717.391</v>
      </c>
      <c r="AI291" s="3">
        <f>SUM(AI292:AI301)</f>
        <v>130.343000000002</v>
      </c>
      <c r="AJ291" s="3">
        <f>SUM(AJ292:AJ301)</f>
        <v>-3353.955</v>
      </c>
      <c r="AK291" s="3">
        <f>SUM(AK292:AK301)</f>
        <v>0</v>
      </c>
      <c r="AL291" s="3">
        <f>SUM(AH291:AK291)</f>
        <v>-4941.003</v>
      </c>
      <c r="AM291" s="3" t="e">
        <f>SUM(AM292:AM301)</f>
        <v>#DIV/0!</v>
      </c>
      <c r="AN291" s="3" t="e">
        <f>SUM(AN292:AN301)</f>
        <v>#DIV/0!</v>
      </c>
      <c r="AO291" s="3" t="e">
        <f>SUM(AO292:AO301)</f>
        <v>#DIV/0!</v>
      </c>
      <c r="AP291" s="3" t="e">
        <f>SUM(AP292:AP301)</f>
        <v>#DIV/0!</v>
      </c>
      <c r="AQ291" s="3" t="e">
        <f>SUM(AM291:AP291)</f>
        <v>#DIV/0!</v>
      </c>
      <c r="AR291" s="3" t="e">
        <f>SUM(AR292:AR301)</f>
        <v>#DIV/0!</v>
      </c>
      <c r="AS291" s="3" t="e">
        <f>SUM(AS292:AS301)</f>
        <v>#DIV/0!</v>
      </c>
      <c r="AT291" s="3" t="e">
        <f>SUM(AT292:AT301)</f>
        <v>#DIV/0!</v>
      </c>
      <c r="AU291" s="3" t="e">
        <f>SUM(AU292:AU301)</f>
        <v>#DIV/0!</v>
      </c>
      <c r="AV291" s="3" t="e">
        <f>SUM(AR291:AU291)</f>
        <v>#DIV/0!</v>
      </c>
      <c r="AW291" s="3" t="e">
        <f>SUM(AW292:AW301)</f>
        <v>#DIV/0!</v>
      </c>
      <c r="AX291" s="3" t="e">
        <f>SUM(AX292:AX301)</f>
        <v>#DIV/0!</v>
      </c>
      <c r="AY291" s="3" t="e">
        <f>SUM(AY292:AY301)</f>
        <v>#DIV/0!</v>
      </c>
      <c r="AZ291" s="3" t="e">
        <f>SUM(AZ292:AZ301)</f>
        <v>#DIV/0!</v>
      </c>
      <c r="BA291" s="3" t="e">
        <f>SUM(AW291:AZ291)</f>
        <v>#DIV/0!</v>
      </c>
      <c r="BB291" s="3" t="e">
        <f>SUM(BB292:BB301)</f>
        <v>#DIV/0!</v>
      </c>
      <c r="BC291" s="3" t="e">
        <f>SUM(BC292:BC301)</f>
        <v>#DIV/0!</v>
      </c>
      <c r="BD291" s="3" t="e">
        <f>SUM(BD292:BD301)</f>
        <v>#DIV/0!</v>
      </c>
      <c r="BE291" s="3" t="e">
        <f>SUM(BE292:BE301)</f>
        <v>#DIV/0!</v>
      </c>
      <c r="BF291" s="3" t="e">
        <f>SUM(BB291:BE291)</f>
        <v>#DIV/0!</v>
      </c>
      <c r="BG291" s="3" t="e">
        <f>SUM(BG292:BG301)</f>
        <v>#DIV/0!</v>
      </c>
      <c r="BH291" s="3" t="e">
        <f>SUM(BH292:BH301)</f>
        <v>#DIV/0!</v>
      </c>
      <c r="BI291" s="3" t="e">
        <f>SUM(BI292:BI301)</f>
        <v>#DIV/0!</v>
      </c>
      <c r="BJ291" s="3" t="e">
        <f>SUM(BJ292:BJ301)</f>
        <v>#DIV/0!</v>
      </c>
      <c r="BK291" s="3" t="e">
        <f>SUM(BG291:BJ291)</f>
        <v>#DIV/0!</v>
      </c>
      <c r="BL291" s="3" t="e">
        <f>SUM(BL292:BL301)</f>
        <v>#DIV/0!</v>
      </c>
      <c r="BM291" s="3" t="e">
        <f>SUM(BM292:BM301)</f>
        <v>#DIV/0!</v>
      </c>
      <c r="BN291" s="3" t="e">
        <f>SUM(BN292:BN301)</f>
        <v>#DIV/0!</v>
      </c>
      <c r="BO291" s="3" t="e">
        <f>SUM(BO292:BO301)</f>
        <v>#DIV/0!</v>
      </c>
      <c r="BP291" s="3" t="e">
        <f>SUM(BL291:BO291)</f>
        <v>#DIV/0!</v>
      </c>
      <c r="BQ291" s="3" t="e">
        <f>SUM(BQ292:BQ301)</f>
        <v>#DIV/0!</v>
      </c>
      <c r="BR291" s="3" t="e">
        <f>SUM(BR292:BR301)</f>
        <v>#DIV/0!</v>
      </c>
      <c r="BS291" s="3" t="e">
        <f>SUM(BS292:BS301)</f>
        <v>#DIV/0!</v>
      </c>
      <c r="BT291" s="3" t="e">
        <f>SUM(BT292:BT301)</f>
        <v>#DIV/0!</v>
      </c>
      <c r="BU291" s="3" t="e">
        <f>SUM(BQ291:BT291)</f>
        <v>#DIV/0!</v>
      </c>
      <c r="BV291" s="3" t="e">
        <f>SUM(BV292:BV301)</f>
        <v>#DIV/0!</v>
      </c>
      <c r="BW291" s="3" t="e">
        <f>SUM(BW292:BW301)</f>
        <v>#DIV/0!</v>
      </c>
      <c r="BX291" s="3" t="e">
        <f>SUM(BX292:BX301)</f>
        <v>#DIV/0!</v>
      </c>
      <c r="BY291" s="3" t="e">
        <f>SUM(BY292:BY301)</f>
        <v>#DIV/0!</v>
      </c>
      <c r="BZ291" s="3" t="e">
        <f>SUM(BV291:BY291)</f>
        <v>#DIV/0!</v>
      </c>
      <c r="CA291" s="3" t="e">
        <f>SUM(CA292:CA301)</f>
        <v>#DIV/0!</v>
      </c>
      <c r="CB291" s="3" t="e">
        <f>SUM(CB292:CB301)</f>
        <v>#DIV/0!</v>
      </c>
      <c r="CC291" s="3" t="e">
        <f>SUM(CC292:CC301)</f>
        <v>#DIV/0!</v>
      </c>
      <c r="CD291" s="3" t="e">
        <f>SUM(CD292:CD301)</f>
        <v>#DIV/0!</v>
      </c>
      <c r="CE291" s="3" t="e">
        <f>SUM(CA291:CD291)</f>
        <v>#DIV/0!</v>
      </c>
      <c r="CF291" s="3" t="e">
        <f>SUM(CF292:CF301)</f>
        <v>#DIV/0!</v>
      </c>
      <c r="CG291" s="3" t="e">
        <f>SUM(CG292:CG301)</f>
        <v>#DIV/0!</v>
      </c>
      <c r="CH291" s="3" t="e">
        <f>SUM(CH292:CH301)</f>
        <v>#DIV/0!</v>
      </c>
      <c r="CI291" s="3" t="e">
        <f>SUM(CI292:CI301)</f>
        <v>#DIV/0!</v>
      </c>
      <c r="CJ291" s="3" t="e">
        <f>SUM(CF291:CI291)</f>
        <v>#DIV/0!</v>
      </c>
      <c r="CK291" s="3" t="e">
        <f>SUM(CK292:CK301)</f>
        <v>#DIV/0!</v>
      </c>
      <c r="CL291" s="3" t="e">
        <f>SUM(CL292:CL301)</f>
        <v>#DIV/0!</v>
      </c>
      <c r="CM291" s="3" t="e">
        <f>SUM(CM292:CM301)</f>
        <v>#DIV/0!</v>
      </c>
      <c r="CN291" s="3" t="e">
        <f>SUM(CN292:CN301)</f>
        <v>#DIV/0!</v>
      </c>
      <c r="CO291" s="3" t="e">
        <f>SUM(CK291:CN291)</f>
        <v>#DIV/0!</v>
      </c>
      <c r="CP291" s="3" t="e">
        <f>SUM(CP292:CP301)</f>
        <v>#DIV/0!</v>
      </c>
      <c r="CQ291" s="3" t="e">
        <f>SUM(CQ292:CQ301)</f>
        <v>#DIV/0!</v>
      </c>
      <c r="CR291" s="3" t="e">
        <f>SUM(CR292:CR301)</f>
        <v>#DIV/0!</v>
      </c>
      <c r="CS291" s="3" t="e">
        <f>SUM(CS292:CS301)</f>
        <v>#DIV/0!</v>
      </c>
      <c r="CT291" s="3" t="e">
        <f>SUM(CP291:CS291)</f>
        <v>#DIV/0!</v>
      </c>
      <c r="CU291" s="3" t="e">
        <f>SUM(CU292:CU301)</f>
        <v>#DIV/0!</v>
      </c>
      <c r="CV291" s="3" t="e">
        <f>SUM(CV292:CV301)</f>
        <v>#DIV/0!</v>
      </c>
      <c r="CW291" s="3" t="e">
        <f>SUM(CW292:CW301)</f>
        <v>#DIV/0!</v>
      </c>
      <c r="CX291" s="3" t="e">
        <f>SUM(CX292:CX301)</f>
        <v>#DIV/0!</v>
      </c>
      <c r="CY291" s="3" t="e">
        <f>SUM(CU291:CX291)</f>
        <v>#DIV/0!</v>
      </c>
    </row>
    <row r="292" hidden="1" outlineLevel="1">
      <c r="C292" s="29" t="inlineStr">
        <is>
          <t>Accounts receivable</t>
        </is>
      </c>
      <c r="D292" s="3" t="n"/>
      <c r="E292" s="3">
        <f>(E157-D157)*-1</f>
        <v>22.14</v>
      </c>
      <c r="F292" s="3">
        <f>(F157-E157)*-1</f>
        <v>-21.936</v>
      </c>
      <c r="G292" s="3">
        <f>(G157-F157)*-1</f>
        <v>-56.338</v>
      </c>
      <c r="H292" s="3">
        <f>SUM(D292:G292)</f>
        <v>-56.134</v>
      </c>
      <c r="I292" s="3">
        <f>(I157-H157)*-1</f>
        <v>8.25200000000001</v>
      </c>
      <c r="J292" s="3">
        <f>(J157-I157)*-1</f>
        <v>-103.315</v>
      </c>
      <c r="K292" s="3">
        <f>(K157-J157)*-1</f>
        <v>-80.6679999999999</v>
      </c>
      <c r="L292" s="3">
        <f>(L157-K157)*-1</f>
        <v>-252.704</v>
      </c>
      <c r="M292" s="3">
        <f>SUM(I292:L292)</f>
        <v>-428.435</v>
      </c>
      <c r="N292" s="3">
        <f>(N157-M157)*-1</f>
        <v>-190.768</v>
      </c>
      <c r="O292" s="3">
        <f>(O157-N157)*-1</f>
        <v>-208.07</v>
      </c>
      <c r="P292" s="3">
        <f>(P157-O157)*-1</f>
        <v>239.857</v>
      </c>
      <c r="Q292" s="3">
        <f>(Q157-P157)*-1</f>
        <v>-129.686</v>
      </c>
      <c r="R292" s="3">
        <f>SUM(N292:Q292)</f>
        <v>-288.667</v>
      </c>
      <c r="S292" s="3">
        <f>(S157-R157)*-1</f>
        <v>148.724</v>
      </c>
      <c r="T292" s="3">
        <f>(T157-S157)*-1</f>
        <v>-73.9590000000001</v>
      </c>
      <c r="U292" s="3">
        <f>(U157-T157)*-1</f>
        <v>-211.333</v>
      </c>
      <c r="V292" s="3">
        <f>(V157-U157)*-1</f>
        <v>-33.1109999999999</v>
      </c>
      <c r="W292" s="3">
        <f>SUM(S292:V292)</f>
        <v>-169.679</v>
      </c>
      <c r="X292" s="3">
        <f>(X157-W157)*-1</f>
        <v>-197.237</v>
      </c>
      <c r="Y292" s="3">
        <f>(Y157-X157)*-1</f>
        <v>-141.381</v>
      </c>
      <c r="Z292" s="3">
        <f>(Z157-Y157)*-1</f>
        <v>-52.953</v>
      </c>
      <c r="AA292" s="3">
        <f>(AA157-Z157)*-1</f>
        <v>295.288</v>
      </c>
      <c r="AB292" s="3">
        <f>SUM(X292:AA292)</f>
        <v>-96.2830000000001</v>
      </c>
      <c r="AC292" s="3">
        <f>(AC157-AB157)*-1</f>
        <v>-751.617</v>
      </c>
      <c r="AD292" s="3">
        <f>(AD157-AC157)*-1</f>
        <v>7.12500000000046</v>
      </c>
      <c r="AE292" s="3">
        <f>(AE157-AD157)*-1</f>
        <v>-30.3610000000003</v>
      </c>
      <c r="AF292" s="3">
        <f>(AF157-AE157)*-1</f>
        <v>226.868</v>
      </c>
      <c r="AG292" s="3">
        <f>SUM(AC292:AF292)</f>
        <v>-547.985</v>
      </c>
      <c r="AH292" s="3">
        <f>(AH157-AG157)*-1</f>
        <v>-194.903</v>
      </c>
      <c r="AI292" s="3">
        <f>(AI157-AH157)*-1</f>
        <v>-125.29</v>
      </c>
      <c r="AJ292" s="3">
        <f>(AJ157-AI157)*-1</f>
        <v>2309.874</v>
      </c>
      <c r="AK292" s="3">
        <f>(AK157-AJ157)*-1</f>
        <v>0</v>
      </c>
      <c r="AL292" s="3">
        <f>SUM(AH292:AK292)</f>
        <v>1989.681</v>
      </c>
      <c r="AM292" s="3">
        <f>(AM157-AL157)*-1</f>
        <v>0</v>
      </c>
      <c r="AN292" s="3">
        <f>(AN157-AM157)*-1</f>
        <v>0</v>
      </c>
      <c r="AO292" s="3">
        <f>(AO157-AN157)*-1</f>
        <v>0</v>
      </c>
      <c r="AP292" s="3">
        <f>(AP157-AO157)*-1</f>
        <v>0</v>
      </c>
      <c r="AQ292" s="3">
        <f>SUM(AM292:AP292)</f>
        <v>0</v>
      </c>
      <c r="AR292" s="3">
        <f>(AR157-AQ157)*-1</f>
        <v>0</v>
      </c>
      <c r="AS292" s="3">
        <f>(AS157-AR157)*-1</f>
        <v>0</v>
      </c>
      <c r="AT292" s="3">
        <f>(AT157-AS157)*-1</f>
        <v>0</v>
      </c>
      <c r="AU292" s="3">
        <f>(AU157-AT157)*-1</f>
        <v>0</v>
      </c>
      <c r="AV292" s="3">
        <f>SUM(AR292:AU292)</f>
        <v>0</v>
      </c>
      <c r="AW292" s="3">
        <f>(AW157-AV157)*-1</f>
        <v>0</v>
      </c>
      <c r="AX292" s="3">
        <f>(AX157-AW157)*-1</f>
        <v>0</v>
      </c>
      <c r="AY292" s="3">
        <f>(AY157-AX157)*-1</f>
        <v>0</v>
      </c>
      <c r="AZ292" s="3">
        <f>(AZ157-AY157)*-1</f>
        <v>0</v>
      </c>
      <c r="BA292" s="3">
        <f>SUM(AW292:AZ292)</f>
        <v>0</v>
      </c>
      <c r="BB292" s="3">
        <f>(BB157-BA157)*-1</f>
        <v>0</v>
      </c>
      <c r="BC292" s="3">
        <f>(BC157-BB157)*-1</f>
        <v>0</v>
      </c>
      <c r="BD292" s="3">
        <f>(BD157-BC157)*-1</f>
        <v>0</v>
      </c>
      <c r="BE292" s="3">
        <f>(BE157-BD157)*-1</f>
        <v>0</v>
      </c>
      <c r="BF292" s="3">
        <f>SUM(BB292:BE292)</f>
        <v>0</v>
      </c>
      <c r="BG292" s="3">
        <f>(BG157-BF157)*-1</f>
        <v>0</v>
      </c>
      <c r="BH292" s="3">
        <f>(BH157-BG157)*-1</f>
        <v>0</v>
      </c>
      <c r="BI292" s="3">
        <f>(BI157-BH157)*-1</f>
        <v>0</v>
      </c>
      <c r="BJ292" s="3">
        <f>(BJ157-BI157)*-1</f>
        <v>0</v>
      </c>
      <c r="BK292" s="3">
        <f>SUM(BG292:BJ292)</f>
        <v>0</v>
      </c>
      <c r="BL292" s="3">
        <f>(BL157-BK157)*-1</f>
        <v>0</v>
      </c>
      <c r="BM292" s="3">
        <f>(BM157-BL157)*-1</f>
        <v>0</v>
      </c>
      <c r="BN292" s="3">
        <f>(BN157-BM157)*-1</f>
        <v>0</v>
      </c>
      <c r="BO292" s="3">
        <f>(BO157-BN157)*-1</f>
        <v>0</v>
      </c>
      <c r="BP292" s="3">
        <f>SUM(BL292:BO292)</f>
        <v>0</v>
      </c>
      <c r="BQ292" s="3">
        <f>(BQ157-BP157)*-1</f>
        <v>0</v>
      </c>
      <c r="BR292" s="3">
        <f>(BR157-BQ157)*-1</f>
        <v>0</v>
      </c>
      <c r="BS292" s="3">
        <f>(BS157-BR157)*-1</f>
        <v>0</v>
      </c>
      <c r="BT292" s="3">
        <f>(BT157-BS157)*-1</f>
        <v>0</v>
      </c>
      <c r="BU292" s="3">
        <f>SUM(BQ292:BT292)</f>
        <v>0</v>
      </c>
      <c r="BV292" s="3">
        <f>(BV157-BU157)*-1</f>
        <v>0</v>
      </c>
      <c r="BW292" s="3">
        <f>(BW157-BV157)*-1</f>
        <v>0</v>
      </c>
      <c r="BX292" s="3">
        <f>(BX157-BW157)*-1</f>
        <v>0</v>
      </c>
      <c r="BY292" s="3">
        <f>(BY157-BX157)*-1</f>
        <v>0</v>
      </c>
      <c r="BZ292" s="3">
        <f>SUM(BV292:BY292)</f>
        <v>0</v>
      </c>
      <c r="CA292" s="3">
        <f>(CA157-BZ157)*-1</f>
        <v>0</v>
      </c>
      <c r="CB292" s="3">
        <f>(CB157-CA157)*-1</f>
        <v>0</v>
      </c>
      <c r="CC292" s="3">
        <f>(CC157-CB157)*-1</f>
        <v>0</v>
      </c>
      <c r="CD292" s="3">
        <f>(CD157-CC157)*-1</f>
        <v>0</v>
      </c>
      <c r="CE292" s="3">
        <f>SUM(CA292:CD292)</f>
        <v>0</v>
      </c>
      <c r="CF292" s="3">
        <f>(CF157-CE157)*-1</f>
        <v>0</v>
      </c>
      <c r="CG292" s="3">
        <f>(CG157-CF157)*-1</f>
        <v>0</v>
      </c>
      <c r="CH292" s="3">
        <f>(CH157-CG157)*-1</f>
        <v>0</v>
      </c>
      <c r="CI292" s="3">
        <f>(CI157-CH157)*-1</f>
        <v>0</v>
      </c>
      <c r="CJ292" s="3">
        <f>SUM(CF292:CI292)</f>
        <v>0</v>
      </c>
      <c r="CK292" s="3">
        <f>(CK157-CJ157)*-1</f>
        <v>0</v>
      </c>
      <c r="CL292" s="3">
        <f>(CL157-CK157)*-1</f>
        <v>0</v>
      </c>
      <c r="CM292" s="3">
        <f>(CM157-CL157)*-1</f>
        <v>0</v>
      </c>
      <c r="CN292" s="3">
        <f>(CN157-CM157)*-1</f>
        <v>0</v>
      </c>
      <c r="CO292" s="3">
        <f>SUM(CK292:CN292)</f>
        <v>0</v>
      </c>
      <c r="CP292" s="3">
        <f>(CP157-CO157)*-1</f>
        <v>0</v>
      </c>
      <c r="CQ292" s="3">
        <f>(CQ157-CP157)*-1</f>
        <v>0</v>
      </c>
      <c r="CR292" s="3">
        <f>(CR157-CQ157)*-1</f>
        <v>0</v>
      </c>
      <c r="CS292" s="3">
        <f>(CS157-CR157)*-1</f>
        <v>0</v>
      </c>
      <c r="CT292" s="3">
        <f>SUM(CP292:CS292)</f>
        <v>0</v>
      </c>
      <c r="CU292" s="3">
        <f>(CU157-CT157)*-1</f>
        <v>0</v>
      </c>
      <c r="CV292" s="3">
        <f>(CV157-CU157)*-1</f>
        <v>0</v>
      </c>
      <c r="CW292" s="3">
        <f>(CW157-CV157)*-1</f>
        <v>0</v>
      </c>
      <c r="CX292" s="3">
        <f>(CX157-CW157)*-1</f>
        <v>0</v>
      </c>
      <c r="CY292" s="3">
        <f>SUM(CU292:CX292)</f>
        <v>0</v>
      </c>
    </row>
    <row r="293" hidden="1" outlineLevel="1">
      <c r="C293" s="29" t="inlineStr">
        <is>
          <t>Inventories</t>
        </is>
      </c>
      <c r="D293" s="3" t="n"/>
      <c r="E293" s="3">
        <f>(E161-D161)*-1</f>
        <v>0</v>
      </c>
      <c r="F293" s="3">
        <f>(F161-E161)*-1</f>
        <v>0</v>
      </c>
      <c r="G293" s="3">
        <f>(G161-F161)*-1</f>
        <v>0</v>
      </c>
      <c r="H293" s="3">
        <f>SUM(D293:G293)</f>
        <v>0</v>
      </c>
      <c r="I293" s="3">
        <f>(I161-H161)*-1</f>
        <v>0</v>
      </c>
      <c r="J293" s="3">
        <f>(J161-I161)*-1</f>
        <v>0</v>
      </c>
      <c r="K293" s="3">
        <f>(K161-J161)*-1</f>
        <v>0</v>
      </c>
      <c r="L293" s="3">
        <f>(L161-K161)*-1</f>
        <v>0</v>
      </c>
      <c r="M293" s="3">
        <f>SUM(I293:L293)</f>
        <v>0</v>
      </c>
      <c r="N293" s="3">
        <f>(N161-M161)*-1</f>
        <v>0</v>
      </c>
      <c r="O293" s="3">
        <f>(O161-N161)*-1</f>
        <v>0</v>
      </c>
      <c r="P293" s="3">
        <f>(P161-O161)*-1</f>
        <v>0</v>
      </c>
      <c r="Q293" s="3">
        <f>(Q161-P161)*-1</f>
        <v>0</v>
      </c>
      <c r="R293" s="3">
        <f>SUM(N293:Q293)</f>
        <v>0</v>
      </c>
      <c r="S293" s="3">
        <f>(S161-R161)*-1</f>
        <v>0</v>
      </c>
      <c r="T293" s="3">
        <f>(T161-S161)*-1</f>
        <v>0</v>
      </c>
      <c r="U293" s="3">
        <f>(U161-T161)*-1</f>
        <v>0</v>
      </c>
      <c r="V293" s="3">
        <f>(V161-U161)*-1</f>
        <v>0</v>
      </c>
      <c r="W293" s="3">
        <f>SUM(S293:V293)</f>
        <v>0</v>
      </c>
      <c r="X293" s="3">
        <f>(X161-W161)*-1</f>
        <v>0</v>
      </c>
      <c r="Y293" s="3">
        <f>(Y161-X161)*-1</f>
        <v>0</v>
      </c>
      <c r="Z293" s="3">
        <f>(Z161-Y161)*-1</f>
        <v>0</v>
      </c>
      <c r="AA293" s="3">
        <f>(AA161-Z161)*-1</f>
        <v>0</v>
      </c>
      <c r="AB293" s="3">
        <f>SUM(X293:AA293)</f>
        <v>0</v>
      </c>
      <c r="AC293" s="3">
        <f>(AC161-AB161)*-1</f>
        <v>0</v>
      </c>
      <c r="AD293" s="3">
        <f>(AD161-AC161)*-1</f>
        <v>0</v>
      </c>
      <c r="AE293" s="3">
        <f>(AE161-AD161)*-1</f>
        <v>0</v>
      </c>
      <c r="AF293" s="3">
        <f>(AF161-AE161)*-1</f>
        <v>0</v>
      </c>
      <c r="AG293" s="3">
        <f>SUM(AC293:AF293)</f>
        <v>0</v>
      </c>
      <c r="AH293" s="3">
        <f>(AH161-AG161)*-1</f>
        <v>0</v>
      </c>
      <c r="AI293" s="3">
        <f>(AI161-AH161)*-1</f>
        <v>0</v>
      </c>
      <c r="AJ293" s="3">
        <f>(AJ161-AI161)*-1</f>
        <v>0</v>
      </c>
      <c r="AK293" s="3">
        <f>(AK161-AJ161)*-1</f>
        <v>0</v>
      </c>
      <c r="AL293" s="3">
        <f>SUM(AH293:AK293)</f>
        <v>0</v>
      </c>
      <c r="AM293" s="3">
        <f>(AM161-AL161)*-1</f>
        <v>0</v>
      </c>
      <c r="AN293" s="3">
        <f>(AN161-AM161)*-1</f>
        <v>0</v>
      </c>
      <c r="AO293" s="3">
        <f>(AO161-AN161)*-1</f>
        <v>0</v>
      </c>
      <c r="AP293" s="3">
        <f>(AP161-AO161)*-1</f>
        <v>0</v>
      </c>
      <c r="AQ293" s="3">
        <f>SUM(AM293:AP293)</f>
        <v>0</v>
      </c>
      <c r="AR293" s="3">
        <f>(AR161-AQ161)*-1</f>
        <v>0</v>
      </c>
      <c r="AS293" s="3">
        <f>(AS161-AR161)*-1</f>
        <v>0</v>
      </c>
      <c r="AT293" s="3">
        <f>(AT161-AS161)*-1</f>
        <v>0</v>
      </c>
      <c r="AU293" s="3">
        <f>(AU161-AT161)*-1</f>
        <v>0</v>
      </c>
      <c r="AV293" s="3">
        <f>SUM(AR293:AU293)</f>
        <v>0</v>
      </c>
      <c r="AW293" s="3">
        <f>(AW161-AV161)*-1</f>
        <v>0</v>
      </c>
      <c r="AX293" s="3">
        <f>(AX161-AW161)*-1</f>
        <v>0</v>
      </c>
      <c r="AY293" s="3">
        <f>(AY161-AX161)*-1</f>
        <v>0</v>
      </c>
      <c r="AZ293" s="3">
        <f>(AZ161-AY161)*-1</f>
        <v>0</v>
      </c>
      <c r="BA293" s="3">
        <f>SUM(AW293:AZ293)</f>
        <v>0</v>
      </c>
      <c r="BB293" s="3">
        <f>(BB161-BA161)*-1</f>
        <v>0</v>
      </c>
      <c r="BC293" s="3">
        <f>(BC161-BB161)*-1</f>
        <v>0</v>
      </c>
      <c r="BD293" s="3">
        <f>(BD161-BC161)*-1</f>
        <v>0</v>
      </c>
      <c r="BE293" s="3">
        <f>(BE161-BD161)*-1</f>
        <v>0</v>
      </c>
      <c r="BF293" s="3">
        <f>SUM(BB293:BE293)</f>
        <v>0</v>
      </c>
      <c r="BG293" s="3">
        <f>(BG161-BF161)*-1</f>
        <v>0</v>
      </c>
      <c r="BH293" s="3">
        <f>(BH161-BG161)*-1</f>
        <v>0</v>
      </c>
      <c r="BI293" s="3">
        <f>(BI161-BH161)*-1</f>
        <v>0</v>
      </c>
      <c r="BJ293" s="3">
        <f>(BJ161-BI161)*-1</f>
        <v>0</v>
      </c>
      <c r="BK293" s="3">
        <f>SUM(BG293:BJ293)</f>
        <v>0</v>
      </c>
      <c r="BL293" s="3">
        <f>(BL161-BK161)*-1</f>
        <v>0</v>
      </c>
      <c r="BM293" s="3">
        <f>(BM161-BL161)*-1</f>
        <v>0</v>
      </c>
      <c r="BN293" s="3">
        <f>(BN161-BM161)*-1</f>
        <v>0</v>
      </c>
      <c r="BO293" s="3">
        <f>(BO161-BN161)*-1</f>
        <v>0</v>
      </c>
      <c r="BP293" s="3">
        <f>SUM(BL293:BO293)</f>
        <v>0</v>
      </c>
      <c r="BQ293" s="3">
        <f>(BQ161-BP161)*-1</f>
        <v>0</v>
      </c>
      <c r="BR293" s="3">
        <f>(BR161-BQ161)*-1</f>
        <v>0</v>
      </c>
      <c r="BS293" s="3">
        <f>(BS161-BR161)*-1</f>
        <v>0</v>
      </c>
      <c r="BT293" s="3">
        <f>(BT161-BS161)*-1</f>
        <v>0</v>
      </c>
      <c r="BU293" s="3">
        <f>SUM(BQ293:BT293)</f>
        <v>0</v>
      </c>
      <c r="BV293" s="3">
        <f>(BV161-BU161)*-1</f>
        <v>0</v>
      </c>
      <c r="BW293" s="3">
        <f>(BW161-BV161)*-1</f>
        <v>0</v>
      </c>
      <c r="BX293" s="3">
        <f>(BX161-BW161)*-1</f>
        <v>0</v>
      </c>
      <c r="BY293" s="3">
        <f>(BY161-BX161)*-1</f>
        <v>0</v>
      </c>
      <c r="BZ293" s="3">
        <f>SUM(BV293:BY293)</f>
        <v>0</v>
      </c>
      <c r="CA293" s="3">
        <f>(CA161-BZ161)*-1</f>
        <v>0</v>
      </c>
      <c r="CB293" s="3">
        <f>(CB161-CA161)*-1</f>
        <v>0</v>
      </c>
      <c r="CC293" s="3">
        <f>(CC161-CB161)*-1</f>
        <v>0</v>
      </c>
      <c r="CD293" s="3">
        <f>(CD161-CC161)*-1</f>
        <v>0</v>
      </c>
      <c r="CE293" s="3">
        <f>SUM(CA293:CD293)</f>
        <v>0</v>
      </c>
      <c r="CF293" s="3">
        <f>(CF161-CE161)*-1</f>
        <v>0</v>
      </c>
      <c r="CG293" s="3">
        <f>(CG161-CF161)*-1</f>
        <v>0</v>
      </c>
      <c r="CH293" s="3">
        <f>(CH161-CG161)*-1</f>
        <v>0</v>
      </c>
      <c r="CI293" s="3">
        <f>(CI161-CH161)*-1</f>
        <v>0</v>
      </c>
      <c r="CJ293" s="3">
        <f>SUM(CF293:CI293)</f>
        <v>0</v>
      </c>
      <c r="CK293" s="3">
        <f>(CK161-CJ161)*-1</f>
        <v>0</v>
      </c>
      <c r="CL293" s="3">
        <f>(CL161-CK161)*-1</f>
        <v>0</v>
      </c>
      <c r="CM293" s="3">
        <f>(CM161-CL161)*-1</f>
        <v>0</v>
      </c>
      <c r="CN293" s="3">
        <f>(CN161-CM161)*-1</f>
        <v>0</v>
      </c>
      <c r="CO293" s="3">
        <f>SUM(CK293:CN293)</f>
        <v>0</v>
      </c>
      <c r="CP293" s="3">
        <f>(CP161-CO161)*-1</f>
        <v>0</v>
      </c>
      <c r="CQ293" s="3">
        <f>(CQ161-CP161)*-1</f>
        <v>0</v>
      </c>
      <c r="CR293" s="3">
        <f>(CR161-CQ161)*-1</f>
        <v>0</v>
      </c>
      <c r="CS293" s="3">
        <f>(CS161-CR161)*-1</f>
        <v>0</v>
      </c>
      <c r="CT293" s="3">
        <f>SUM(CP293:CS293)</f>
        <v>0</v>
      </c>
      <c r="CU293" s="3">
        <f>(CU161-CT161)*-1</f>
        <v>0</v>
      </c>
      <c r="CV293" s="3">
        <f>(CV161-CU161)*-1</f>
        <v>0</v>
      </c>
      <c r="CW293" s="3">
        <f>(CW161-CV161)*-1</f>
        <v>0</v>
      </c>
      <c r="CX293" s="3">
        <f>(CX161-CW161)*-1</f>
        <v>0</v>
      </c>
      <c r="CY293" s="3">
        <f>SUM(CU293:CX293)</f>
        <v>0</v>
      </c>
    </row>
    <row r="294" hidden="1" outlineLevel="1">
      <c r="C294" s="29" t="inlineStr">
        <is>
          <t>Deferred income taxes</t>
        </is>
      </c>
      <c r="D294" s="3" t="n"/>
      <c r="E294" s="3">
        <f>(E165-D165)*-1</f>
        <v>0</v>
      </c>
      <c r="F294" s="3">
        <f>(F165-E165)*-1</f>
        <v>0</v>
      </c>
      <c r="G294" s="3">
        <f>(G165-F165)*-1</f>
        <v>0</v>
      </c>
      <c r="H294" s="3">
        <f>SUM(D294:G294)</f>
        <v>0</v>
      </c>
      <c r="I294" s="3">
        <f>(I165-H165)*-1</f>
        <v>0</v>
      </c>
      <c r="J294" s="3">
        <f>(J165-I165)*-1</f>
        <v>0</v>
      </c>
      <c r="K294" s="3">
        <f>(K165-J165)*-1</f>
        <v>0</v>
      </c>
      <c r="L294" s="3">
        <f>(L165-K165)*-1</f>
        <v>0</v>
      </c>
      <c r="M294" s="3">
        <f>SUM(I294:L294)</f>
        <v>0</v>
      </c>
      <c r="N294" s="3">
        <f>(N165-M165)*-1</f>
        <v>0</v>
      </c>
      <c r="O294" s="3">
        <f>(O165-N165)*-1</f>
        <v>0</v>
      </c>
      <c r="P294" s="3">
        <f>(P165-O165)*-1</f>
        <v>0</v>
      </c>
      <c r="Q294" s="3">
        <f>(Q165-P165)*-1</f>
        <v>0</v>
      </c>
      <c r="R294" s="3">
        <f>SUM(N294:Q294)</f>
        <v>0</v>
      </c>
      <c r="S294" s="3">
        <f>(S165-R165)*-1</f>
        <v>0</v>
      </c>
      <c r="T294" s="3">
        <f>(T165-S165)*-1</f>
        <v>0</v>
      </c>
      <c r="U294" s="3">
        <f>(U165-T165)*-1</f>
        <v>0</v>
      </c>
      <c r="V294" s="3">
        <f>(V165-U165)*-1</f>
        <v>0</v>
      </c>
      <c r="W294" s="3">
        <f>SUM(S294:V294)</f>
        <v>0</v>
      </c>
      <c r="X294" s="3">
        <f>(X165-W165)*-1</f>
        <v>0</v>
      </c>
      <c r="Y294" s="3">
        <f>(Y165-X165)*-1</f>
        <v>0</v>
      </c>
      <c r="Z294" s="3">
        <f>(Z165-Y165)*-1</f>
        <v>0</v>
      </c>
      <c r="AA294" s="3">
        <f>(AA165-Z165)*-1</f>
        <v>0</v>
      </c>
      <c r="AB294" s="3">
        <f>SUM(X294:AA294)</f>
        <v>0</v>
      </c>
      <c r="AC294" s="3">
        <f>(AC165-AB165)*-1</f>
        <v>0</v>
      </c>
      <c r="AD294" s="3">
        <f>(AD165-AC165)*-1</f>
        <v>0</v>
      </c>
      <c r="AE294" s="3">
        <f>(AE165-AD165)*-1</f>
        <v>0</v>
      </c>
      <c r="AF294" s="3">
        <f>(AF165-AE165)*-1</f>
        <v>0</v>
      </c>
      <c r="AG294" s="3">
        <f>SUM(AC294:AF294)</f>
        <v>0</v>
      </c>
      <c r="AH294" s="3">
        <f>(AH165-AG165)*-1</f>
        <v>0</v>
      </c>
      <c r="AI294" s="3">
        <f>(AI165-AH165)*-1</f>
        <v>0</v>
      </c>
      <c r="AJ294" s="3">
        <f>(AJ165-AI165)*-1</f>
        <v>0</v>
      </c>
      <c r="AK294" s="3">
        <f>(AK165-AJ165)*-1</f>
        <v>0</v>
      </c>
      <c r="AL294" s="3">
        <f>SUM(AH294:AK294)</f>
        <v>0</v>
      </c>
      <c r="AM294" s="3">
        <f>(AM165-AL165)*-1</f>
        <v>0</v>
      </c>
      <c r="AN294" s="3">
        <f>(AN165-AM165)*-1</f>
        <v>0</v>
      </c>
      <c r="AO294" s="3">
        <f>(AO165-AN165)*-1</f>
        <v>0</v>
      </c>
      <c r="AP294" s="3">
        <f>(AP165-AO165)*-1</f>
        <v>0</v>
      </c>
      <c r="AQ294" s="3">
        <f>SUM(AM294:AP294)</f>
        <v>0</v>
      </c>
      <c r="AR294" s="3">
        <f>(AR165-AQ165)*-1</f>
        <v>0</v>
      </c>
      <c r="AS294" s="3">
        <f>(AS165-AR165)*-1</f>
        <v>0</v>
      </c>
      <c r="AT294" s="3">
        <f>(AT165-AS165)*-1</f>
        <v>0</v>
      </c>
      <c r="AU294" s="3">
        <f>(AU165-AT165)*-1</f>
        <v>0</v>
      </c>
      <c r="AV294" s="3">
        <f>SUM(AR294:AU294)</f>
        <v>0</v>
      </c>
      <c r="AW294" s="3">
        <f>(AW165-AV165)*-1</f>
        <v>0</v>
      </c>
      <c r="AX294" s="3">
        <f>(AX165-AW165)*-1</f>
        <v>0</v>
      </c>
      <c r="AY294" s="3">
        <f>(AY165-AX165)*-1</f>
        <v>0</v>
      </c>
      <c r="AZ294" s="3">
        <f>(AZ165-AY165)*-1</f>
        <v>0</v>
      </c>
      <c r="BA294" s="3">
        <f>SUM(AW294:AZ294)</f>
        <v>0</v>
      </c>
      <c r="BB294" s="3">
        <f>(BB165-BA165)*-1</f>
        <v>0</v>
      </c>
      <c r="BC294" s="3">
        <f>(BC165-BB165)*-1</f>
        <v>0</v>
      </c>
      <c r="BD294" s="3">
        <f>(BD165-BC165)*-1</f>
        <v>0</v>
      </c>
      <c r="BE294" s="3">
        <f>(BE165-BD165)*-1</f>
        <v>0</v>
      </c>
      <c r="BF294" s="3">
        <f>SUM(BB294:BE294)</f>
        <v>0</v>
      </c>
      <c r="BG294" s="3">
        <f>(BG165-BF165)*-1</f>
        <v>0</v>
      </c>
      <c r="BH294" s="3">
        <f>(BH165-BG165)*-1</f>
        <v>0</v>
      </c>
      <c r="BI294" s="3">
        <f>(BI165-BH165)*-1</f>
        <v>0</v>
      </c>
      <c r="BJ294" s="3">
        <f>(BJ165-BI165)*-1</f>
        <v>0</v>
      </c>
      <c r="BK294" s="3">
        <f>SUM(BG294:BJ294)</f>
        <v>0</v>
      </c>
      <c r="BL294" s="3">
        <f>(BL165-BK165)*-1</f>
        <v>0</v>
      </c>
      <c r="BM294" s="3">
        <f>(BM165-BL165)*-1</f>
        <v>0</v>
      </c>
      <c r="BN294" s="3">
        <f>(BN165-BM165)*-1</f>
        <v>0</v>
      </c>
      <c r="BO294" s="3">
        <f>(BO165-BN165)*-1</f>
        <v>0</v>
      </c>
      <c r="BP294" s="3">
        <f>SUM(BL294:BO294)</f>
        <v>0</v>
      </c>
      <c r="BQ294" s="3">
        <f>(BQ165-BP165)*-1</f>
        <v>0</v>
      </c>
      <c r="BR294" s="3">
        <f>(BR165-BQ165)*-1</f>
        <v>0</v>
      </c>
      <c r="BS294" s="3">
        <f>(BS165-BR165)*-1</f>
        <v>0</v>
      </c>
      <c r="BT294" s="3">
        <f>(BT165-BS165)*-1</f>
        <v>0</v>
      </c>
      <c r="BU294" s="3">
        <f>SUM(BQ294:BT294)</f>
        <v>0</v>
      </c>
      <c r="BV294" s="3">
        <f>(BV165-BU165)*-1</f>
        <v>0</v>
      </c>
      <c r="BW294" s="3">
        <f>(BW165-BV165)*-1</f>
        <v>0</v>
      </c>
      <c r="BX294" s="3">
        <f>(BX165-BW165)*-1</f>
        <v>0</v>
      </c>
      <c r="BY294" s="3">
        <f>(BY165-BX165)*-1</f>
        <v>0</v>
      </c>
      <c r="BZ294" s="3">
        <f>SUM(BV294:BY294)</f>
        <v>0</v>
      </c>
      <c r="CA294" s="3">
        <f>(CA165-BZ165)*-1</f>
        <v>0</v>
      </c>
      <c r="CB294" s="3">
        <f>(CB165-CA165)*-1</f>
        <v>0</v>
      </c>
      <c r="CC294" s="3">
        <f>(CC165-CB165)*-1</f>
        <v>0</v>
      </c>
      <c r="CD294" s="3">
        <f>(CD165-CC165)*-1</f>
        <v>0</v>
      </c>
      <c r="CE294" s="3">
        <f>SUM(CA294:CD294)</f>
        <v>0</v>
      </c>
      <c r="CF294" s="3">
        <f>(CF165-CE165)*-1</f>
        <v>0</v>
      </c>
      <c r="CG294" s="3">
        <f>(CG165-CF165)*-1</f>
        <v>0</v>
      </c>
      <c r="CH294" s="3">
        <f>(CH165-CG165)*-1</f>
        <v>0</v>
      </c>
      <c r="CI294" s="3">
        <f>(CI165-CH165)*-1</f>
        <v>0</v>
      </c>
      <c r="CJ294" s="3">
        <f>SUM(CF294:CI294)</f>
        <v>0</v>
      </c>
      <c r="CK294" s="3">
        <f>(CK165-CJ165)*-1</f>
        <v>0</v>
      </c>
      <c r="CL294" s="3">
        <f>(CL165-CK165)*-1</f>
        <v>0</v>
      </c>
      <c r="CM294" s="3">
        <f>(CM165-CL165)*-1</f>
        <v>0</v>
      </c>
      <c r="CN294" s="3">
        <f>(CN165-CM165)*-1</f>
        <v>0</v>
      </c>
      <c r="CO294" s="3">
        <f>SUM(CK294:CN294)</f>
        <v>0</v>
      </c>
      <c r="CP294" s="3">
        <f>(CP165-CO165)*-1</f>
        <v>0</v>
      </c>
      <c r="CQ294" s="3">
        <f>(CQ165-CP165)*-1</f>
        <v>0</v>
      </c>
      <c r="CR294" s="3">
        <f>(CR165-CQ165)*-1</f>
        <v>0</v>
      </c>
      <c r="CS294" s="3">
        <f>(CS165-CR165)*-1</f>
        <v>0</v>
      </c>
      <c r="CT294" s="3">
        <f>SUM(CP294:CS294)</f>
        <v>0</v>
      </c>
      <c r="CU294" s="3">
        <f>(CU165-CT165)*-1</f>
        <v>0</v>
      </c>
      <c r="CV294" s="3">
        <f>(CV165-CU165)*-1</f>
        <v>0</v>
      </c>
      <c r="CW294" s="3">
        <f>(CW165-CV165)*-1</f>
        <v>0</v>
      </c>
      <c r="CX294" s="3">
        <f>(CX165-CW165)*-1</f>
        <v>0</v>
      </c>
      <c r="CY294" s="3">
        <f>SUM(CU294:CX294)</f>
        <v>0</v>
      </c>
    </row>
    <row r="295" hidden="1" outlineLevel="1">
      <c r="C295" s="29" t="inlineStr">
        <is>
          <t>Prepaid expenses</t>
        </is>
      </c>
      <c r="D295" s="3" t="n"/>
      <c r="E295" s="3">
        <f>(E166-D166)*-1</f>
        <v>0</v>
      </c>
      <c r="F295" s="3">
        <f>(F166-E166)*-1</f>
        <v>0</v>
      </c>
      <c r="G295" s="3">
        <f>(G166-F166)*-1</f>
        <v>0</v>
      </c>
      <c r="H295" s="3">
        <f>SUM(D295:G295)</f>
        <v>0</v>
      </c>
      <c r="I295" s="3">
        <f>(I166-H166)*-1</f>
        <v>0</v>
      </c>
      <c r="J295" s="3">
        <f>(J166-I166)*-1</f>
        <v>0</v>
      </c>
      <c r="K295" s="3">
        <f>(K166-J166)*-1</f>
        <v>0</v>
      </c>
      <c r="L295" s="3">
        <f>(L166-K166)*-1</f>
        <v>0</v>
      </c>
      <c r="M295" s="3">
        <f>SUM(I295:L295)</f>
        <v>0</v>
      </c>
      <c r="N295" s="3">
        <f>(N166-M166)*-1</f>
        <v>0</v>
      </c>
      <c r="O295" s="3">
        <f>(O166-N166)*-1</f>
        <v>0</v>
      </c>
      <c r="P295" s="3">
        <f>(P166-O166)*-1</f>
        <v>0</v>
      </c>
      <c r="Q295" s="3">
        <f>(Q166-P166)*-1</f>
        <v>0</v>
      </c>
      <c r="R295" s="3">
        <f>SUM(N295:Q295)</f>
        <v>0</v>
      </c>
      <c r="S295" s="3">
        <f>(S166-R166)*-1</f>
        <v>0</v>
      </c>
      <c r="T295" s="3">
        <f>(T166-S166)*-1</f>
        <v>0</v>
      </c>
      <c r="U295" s="3">
        <f>(U166-T166)*-1</f>
        <v>0</v>
      </c>
      <c r="V295" s="3">
        <f>(V166-U166)*-1</f>
        <v>0</v>
      </c>
      <c r="W295" s="3">
        <f>SUM(S295:V295)</f>
        <v>0</v>
      </c>
      <c r="X295" s="3">
        <f>(X166-W166)*-1</f>
        <v>0</v>
      </c>
      <c r="Y295" s="3">
        <f>(Y166-X166)*-1</f>
        <v>0</v>
      </c>
      <c r="Z295" s="3">
        <f>(Z166-Y166)*-1</f>
        <v>0</v>
      </c>
      <c r="AA295" s="3">
        <f>(AA166-Z166)*-1</f>
        <v>0</v>
      </c>
      <c r="AB295" s="3">
        <f>SUM(X295:AA295)</f>
        <v>0</v>
      </c>
      <c r="AC295" s="3">
        <f>(AC166-AB166)*-1</f>
        <v>0</v>
      </c>
      <c r="AD295" s="3">
        <f>(AD166-AC166)*-1</f>
        <v>0</v>
      </c>
      <c r="AE295" s="3">
        <f>(AE166-AD166)*-1</f>
        <v>0</v>
      </c>
      <c r="AF295" s="3">
        <f>(AF166-AE166)*-1</f>
        <v>0</v>
      </c>
      <c r="AG295" s="3">
        <f>SUM(AC295:AF295)</f>
        <v>0</v>
      </c>
      <c r="AH295" s="3">
        <f>(AH166-AG166)*-1</f>
        <v>0</v>
      </c>
      <c r="AI295" s="3">
        <f>(AI166-AH166)*-1</f>
        <v>0</v>
      </c>
      <c r="AJ295" s="3">
        <f>(AJ166-AI166)*-1</f>
        <v>0</v>
      </c>
      <c r="AK295" s="3">
        <f>(AK166-AJ166)*-1</f>
        <v>0</v>
      </c>
      <c r="AL295" s="3">
        <f>SUM(AH295:AK295)</f>
        <v>0</v>
      </c>
      <c r="AM295" s="3">
        <f>(AM166-AL166)*-1</f>
        <v>0</v>
      </c>
      <c r="AN295" s="3">
        <f>(AN166-AM166)*-1</f>
        <v>0</v>
      </c>
      <c r="AO295" s="3">
        <f>(AO166-AN166)*-1</f>
        <v>0</v>
      </c>
      <c r="AP295" s="3">
        <f>(AP166-AO166)*-1</f>
        <v>0</v>
      </c>
      <c r="AQ295" s="3">
        <f>SUM(AM295:AP295)</f>
        <v>0</v>
      </c>
      <c r="AR295" s="3">
        <f>(AR166-AQ166)*-1</f>
        <v>0</v>
      </c>
      <c r="AS295" s="3">
        <f>(AS166-AR166)*-1</f>
        <v>0</v>
      </c>
      <c r="AT295" s="3">
        <f>(AT166-AS166)*-1</f>
        <v>0</v>
      </c>
      <c r="AU295" s="3">
        <f>(AU166-AT166)*-1</f>
        <v>0</v>
      </c>
      <c r="AV295" s="3">
        <f>SUM(AR295:AU295)</f>
        <v>0</v>
      </c>
      <c r="AW295" s="3">
        <f>(AW166-AV166)*-1</f>
        <v>0</v>
      </c>
      <c r="AX295" s="3">
        <f>(AX166-AW166)*-1</f>
        <v>0</v>
      </c>
      <c r="AY295" s="3">
        <f>(AY166-AX166)*-1</f>
        <v>0</v>
      </c>
      <c r="AZ295" s="3">
        <f>(AZ166-AY166)*-1</f>
        <v>0</v>
      </c>
      <c r="BA295" s="3">
        <f>SUM(AW295:AZ295)</f>
        <v>0</v>
      </c>
      <c r="BB295" s="3">
        <f>(BB166-BA166)*-1</f>
        <v>0</v>
      </c>
      <c r="BC295" s="3">
        <f>(BC166-BB166)*-1</f>
        <v>0</v>
      </c>
      <c r="BD295" s="3">
        <f>(BD166-BC166)*-1</f>
        <v>0</v>
      </c>
      <c r="BE295" s="3">
        <f>(BE166-BD166)*-1</f>
        <v>0</v>
      </c>
      <c r="BF295" s="3">
        <f>SUM(BB295:BE295)</f>
        <v>0</v>
      </c>
      <c r="BG295" s="3">
        <f>(BG166-BF166)*-1</f>
        <v>0</v>
      </c>
      <c r="BH295" s="3">
        <f>(BH166-BG166)*-1</f>
        <v>0</v>
      </c>
      <c r="BI295" s="3">
        <f>(BI166-BH166)*-1</f>
        <v>0</v>
      </c>
      <c r="BJ295" s="3">
        <f>(BJ166-BI166)*-1</f>
        <v>0</v>
      </c>
      <c r="BK295" s="3">
        <f>SUM(BG295:BJ295)</f>
        <v>0</v>
      </c>
      <c r="BL295" s="3">
        <f>(BL166-BK166)*-1</f>
        <v>0</v>
      </c>
      <c r="BM295" s="3">
        <f>(BM166-BL166)*-1</f>
        <v>0</v>
      </c>
      <c r="BN295" s="3">
        <f>(BN166-BM166)*-1</f>
        <v>0</v>
      </c>
      <c r="BO295" s="3">
        <f>(BO166-BN166)*-1</f>
        <v>0</v>
      </c>
      <c r="BP295" s="3">
        <f>SUM(BL295:BO295)</f>
        <v>0</v>
      </c>
      <c r="BQ295" s="3">
        <f>(BQ166-BP166)*-1</f>
        <v>0</v>
      </c>
      <c r="BR295" s="3">
        <f>(BR166-BQ166)*-1</f>
        <v>0</v>
      </c>
      <c r="BS295" s="3">
        <f>(BS166-BR166)*-1</f>
        <v>0</v>
      </c>
      <c r="BT295" s="3">
        <f>(BT166-BS166)*-1</f>
        <v>0</v>
      </c>
      <c r="BU295" s="3">
        <f>SUM(BQ295:BT295)</f>
        <v>0</v>
      </c>
      <c r="BV295" s="3">
        <f>(BV166-BU166)*-1</f>
        <v>0</v>
      </c>
      <c r="BW295" s="3">
        <f>(BW166-BV166)*-1</f>
        <v>0</v>
      </c>
      <c r="BX295" s="3">
        <f>(BX166-BW166)*-1</f>
        <v>0</v>
      </c>
      <c r="BY295" s="3">
        <f>(BY166-BX166)*-1</f>
        <v>0</v>
      </c>
      <c r="BZ295" s="3">
        <f>SUM(BV295:BY295)</f>
        <v>0</v>
      </c>
      <c r="CA295" s="3">
        <f>(CA166-BZ166)*-1</f>
        <v>0</v>
      </c>
      <c r="CB295" s="3">
        <f>(CB166-CA166)*-1</f>
        <v>0</v>
      </c>
      <c r="CC295" s="3">
        <f>(CC166-CB166)*-1</f>
        <v>0</v>
      </c>
      <c r="CD295" s="3">
        <f>(CD166-CC166)*-1</f>
        <v>0</v>
      </c>
      <c r="CE295" s="3">
        <f>SUM(CA295:CD295)</f>
        <v>0</v>
      </c>
      <c r="CF295" s="3">
        <f>(CF166-CE166)*-1</f>
        <v>0</v>
      </c>
      <c r="CG295" s="3">
        <f>(CG166-CF166)*-1</f>
        <v>0</v>
      </c>
      <c r="CH295" s="3">
        <f>(CH166-CG166)*-1</f>
        <v>0</v>
      </c>
      <c r="CI295" s="3">
        <f>(CI166-CH166)*-1</f>
        <v>0</v>
      </c>
      <c r="CJ295" s="3">
        <f>SUM(CF295:CI295)</f>
        <v>0</v>
      </c>
      <c r="CK295" s="3">
        <f>(CK166-CJ166)*-1</f>
        <v>0</v>
      </c>
      <c r="CL295" s="3">
        <f>(CL166-CK166)*-1</f>
        <v>0</v>
      </c>
      <c r="CM295" s="3">
        <f>(CM166-CL166)*-1</f>
        <v>0</v>
      </c>
      <c r="CN295" s="3">
        <f>(CN166-CM166)*-1</f>
        <v>0</v>
      </c>
      <c r="CO295" s="3">
        <f>SUM(CK295:CN295)</f>
        <v>0</v>
      </c>
      <c r="CP295" s="3">
        <f>(CP166-CO166)*-1</f>
        <v>0</v>
      </c>
      <c r="CQ295" s="3">
        <f>(CQ166-CP166)*-1</f>
        <v>0</v>
      </c>
      <c r="CR295" s="3">
        <f>(CR166-CQ166)*-1</f>
        <v>0</v>
      </c>
      <c r="CS295" s="3">
        <f>(CS166-CR166)*-1</f>
        <v>0</v>
      </c>
      <c r="CT295" s="3">
        <f>SUM(CP295:CS295)</f>
        <v>0</v>
      </c>
      <c r="CU295" s="3">
        <f>(CU166-CT166)*-1</f>
        <v>0</v>
      </c>
      <c r="CV295" s="3">
        <f>(CV166-CU166)*-1</f>
        <v>0</v>
      </c>
      <c r="CW295" s="3">
        <f>(CW166-CV166)*-1</f>
        <v>0</v>
      </c>
      <c r="CX295" s="3">
        <f>(CX166-CW166)*-1</f>
        <v>0</v>
      </c>
      <c r="CY295" s="3">
        <f>SUM(CU295:CX295)</f>
        <v>0</v>
      </c>
    </row>
    <row r="296" hidden="1" outlineLevel="1">
      <c r="C296" s="29" t="inlineStr">
        <is>
          <t>Other current assets</t>
        </is>
      </c>
      <c r="D296" s="3" t="n"/>
      <c r="E296" s="3">
        <f>(E167-D167)*-1</f>
        <v>21.8259999999999</v>
      </c>
      <c r="F296" s="3">
        <f>(F167-E167)*-1</f>
        <v>265.854</v>
      </c>
      <c r="G296" s="3">
        <f>(G167-F167)*-1</f>
        <v>54.154</v>
      </c>
      <c r="H296" s="3">
        <f>SUM(D296:G296)</f>
        <v>341.834</v>
      </c>
      <c r="I296" s="3">
        <f>(I167-H167)*-1</f>
        <v>-105.231</v>
      </c>
      <c r="J296" s="3">
        <f>(J167-I167)*-1</f>
        <v>-95.204</v>
      </c>
      <c r="K296" s="3">
        <f>(K167-J167)*-1</f>
        <v>-77.1</v>
      </c>
      <c r="L296" s="3">
        <f>(L167-K167)*-1</f>
        <v>29.189</v>
      </c>
      <c r="M296" s="3">
        <f>SUM(I296:L296)</f>
        <v>-248.346</v>
      </c>
      <c r="N296" s="3">
        <f>(N167-M167)*-1</f>
        <v>-477.079</v>
      </c>
      <c r="O296" s="3">
        <f>(O167-N167)*-1</f>
        <v>-129.335</v>
      </c>
      <c r="P296" s="3">
        <f>(P167-O167)*-1</f>
        <v>-305.201</v>
      </c>
      <c r="Q296" s="3">
        <f>(Q167-P167)*-1</f>
        <v>-46.6400000000001</v>
      </c>
      <c r="R296" s="3">
        <f>SUM(N296:Q296)</f>
        <v>-958.255</v>
      </c>
      <c r="S296" s="3">
        <f>(S167-R167)*-1</f>
        <v>65.3319999999999</v>
      </c>
      <c r="T296" s="3">
        <f>(T167-S167)*-1</f>
        <v>73.3860000000002</v>
      </c>
      <c r="U296" s="3">
        <f>(U167-T167)*-1</f>
        <v>-125.281999999999</v>
      </c>
      <c r="V296" s="3">
        <f>(V167-U167)*-1</f>
        <v>338.538</v>
      </c>
      <c r="W296" s="3">
        <f>SUM(S296:V296)</f>
        <v>351.974000000001</v>
      </c>
      <c r="X296" s="3">
        <f>(X167-W167)*-1</f>
        <v>-488.233</v>
      </c>
      <c r="Y296" s="3">
        <f>(Y167-X167)*-1</f>
        <v>77.2909999999993</v>
      </c>
      <c r="Z296" s="3">
        <f>(Z167-Y167)*-1</f>
        <v>80.8409999999997</v>
      </c>
      <c r="AA296" s="3">
        <f>(AA167-Z167)*-1</f>
        <v>199.141000000001</v>
      </c>
      <c r="AB296" s="3">
        <f>SUM(X296:AA296)</f>
        <v>-130.96</v>
      </c>
      <c r="AC296" s="3">
        <f>(AC167-AB167)*-1</f>
        <v>-814.642</v>
      </c>
      <c r="AD296" s="3">
        <f>(AD167-AC167)*-1</f>
        <v>31.9699999999984</v>
      </c>
      <c r="AE296" s="3">
        <f>(AE167-AD167)*-1</f>
        <v>273.405000000002</v>
      </c>
      <c r="AF296" s="3">
        <f>(AF167-AE167)*-1</f>
        <v>784.976999999999</v>
      </c>
      <c r="AG296" s="3">
        <f>SUM(AC296:AF296)</f>
        <v>275.709999999999</v>
      </c>
      <c r="AH296" s="3">
        <f>(AH167-AG167)*-1</f>
        <v>-462.636000000002</v>
      </c>
      <c r="AI296" s="3">
        <f>(AI167-AH167)*-1</f>
        <v>10.1990000000017</v>
      </c>
      <c r="AJ296" s="3">
        <f>(AJ167-AI167)*-1</f>
        <v>0</v>
      </c>
      <c r="AK296" s="3">
        <f>(AK167-AJ167)*-1</f>
        <v>0</v>
      </c>
      <c r="AL296" s="3">
        <f>SUM(AH296:AK296)</f>
        <v>-452.437</v>
      </c>
      <c r="AM296" s="3">
        <f>(AM167-AL167)*-1</f>
        <v>0</v>
      </c>
      <c r="AN296" s="3">
        <f>(AN167-AM167)*-1</f>
        <v>0</v>
      </c>
      <c r="AO296" s="3">
        <f>(AO167-AN167)*-1</f>
        <v>0</v>
      </c>
      <c r="AP296" s="3">
        <f>(AP167-AO167)*-1</f>
        <v>0</v>
      </c>
      <c r="AQ296" s="3">
        <f>SUM(AM296:AP296)</f>
        <v>0</v>
      </c>
      <c r="AR296" s="3">
        <f>(AR167-AQ167)*-1</f>
        <v>0</v>
      </c>
      <c r="AS296" s="3">
        <f>(AS167-AR167)*-1</f>
        <v>0</v>
      </c>
      <c r="AT296" s="3">
        <f>(AT167-AS167)*-1</f>
        <v>0</v>
      </c>
      <c r="AU296" s="3">
        <f>(AU167-AT167)*-1</f>
        <v>0</v>
      </c>
      <c r="AV296" s="3">
        <f>SUM(AR296:AU296)</f>
        <v>0</v>
      </c>
      <c r="AW296" s="3">
        <f>(AW167-AV167)*-1</f>
        <v>0</v>
      </c>
      <c r="AX296" s="3">
        <f>(AX167-AW167)*-1</f>
        <v>0</v>
      </c>
      <c r="AY296" s="3">
        <f>(AY167-AX167)*-1</f>
        <v>0</v>
      </c>
      <c r="AZ296" s="3">
        <f>(AZ167-AY167)*-1</f>
        <v>0</v>
      </c>
      <c r="BA296" s="3">
        <f>SUM(AW296:AZ296)</f>
        <v>0</v>
      </c>
      <c r="BB296" s="3">
        <f>(BB167-BA167)*-1</f>
        <v>0</v>
      </c>
      <c r="BC296" s="3">
        <f>(BC167-BB167)*-1</f>
        <v>0</v>
      </c>
      <c r="BD296" s="3">
        <f>(BD167-BC167)*-1</f>
        <v>0</v>
      </c>
      <c r="BE296" s="3">
        <f>(BE167-BD167)*-1</f>
        <v>0</v>
      </c>
      <c r="BF296" s="3">
        <f>SUM(BB296:BE296)</f>
        <v>0</v>
      </c>
      <c r="BG296" s="3">
        <f>(BG167-BF167)*-1</f>
        <v>0</v>
      </c>
      <c r="BH296" s="3">
        <f>(BH167-BG167)*-1</f>
        <v>0</v>
      </c>
      <c r="BI296" s="3">
        <f>(BI167-BH167)*-1</f>
        <v>0</v>
      </c>
      <c r="BJ296" s="3">
        <f>(BJ167-BI167)*-1</f>
        <v>0</v>
      </c>
      <c r="BK296" s="3">
        <f>SUM(BG296:BJ296)</f>
        <v>0</v>
      </c>
      <c r="BL296" s="3">
        <f>(BL167-BK167)*-1</f>
        <v>0</v>
      </c>
      <c r="BM296" s="3">
        <f>(BM167-BL167)*-1</f>
        <v>0</v>
      </c>
      <c r="BN296" s="3">
        <f>(BN167-BM167)*-1</f>
        <v>0</v>
      </c>
      <c r="BO296" s="3">
        <f>(BO167-BN167)*-1</f>
        <v>0</v>
      </c>
      <c r="BP296" s="3">
        <f>SUM(BL296:BO296)</f>
        <v>0</v>
      </c>
      <c r="BQ296" s="3">
        <f>(BQ167-BP167)*-1</f>
        <v>0</v>
      </c>
      <c r="BR296" s="3">
        <f>(BR167-BQ167)*-1</f>
        <v>0</v>
      </c>
      <c r="BS296" s="3">
        <f>(BS167-BR167)*-1</f>
        <v>0</v>
      </c>
      <c r="BT296" s="3">
        <f>(BT167-BS167)*-1</f>
        <v>0</v>
      </c>
      <c r="BU296" s="3">
        <f>SUM(BQ296:BT296)</f>
        <v>0</v>
      </c>
      <c r="BV296" s="3">
        <f>(BV167-BU167)*-1</f>
        <v>0</v>
      </c>
      <c r="BW296" s="3">
        <f>(BW167-BV167)*-1</f>
        <v>0</v>
      </c>
      <c r="BX296" s="3">
        <f>(BX167-BW167)*-1</f>
        <v>0</v>
      </c>
      <c r="BY296" s="3">
        <f>(BY167-BX167)*-1</f>
        <v>0</v>
      </c>
      <c r="BZ296" s="3">
        <f>SUM(BV296:BY296)</f>
        <v>0</v>
      </c>
      <c r="CA296" s="3">
        <f>(CA167-BZ167)*-1</f>
        <v>0</v>
      </c>
      <c r="CB296" s="3">
        <f>(CB167-CA167)*-1</f>
        <v>0</v>
      </c>
      <c r="CC296" s="3">
        <f>(CC167-CB167)*-1</f>
        <v>0</v>
      </c>
      <c r="CD296" s="3">
        <f>(CD167-CC167)*-1</f>
        <v>0</v>
      </c>
      <c r="CE296" s="3">
        <f>SUM(CA296:CD296)</f>
        <v>0</v>
      </c>
      <c r="CF296" s="3">
        <f>(CF167-CE167)*-1</f>
        <v>0</v>
      </c>
      <c r="CG296" s="3">
        <f>(CG167-CF167)*-1</f>
        <v>0</v>
      </c>
      <c r="CH296" s="3">
        <f>(CH167-CG167)*-1</f>
        <v>0</v>
      </c>
      <c r="CI296" s="3">
        <f>(CI167-CH167)*-1</f>
        <v>0</v>
      </c>
      <c r="CJ296" s="3">
        <f>SUM(CF296:CI296)</f>
        <v>0</v>
      </c>
      <c r="CK296" s="3">
        <f>(CK167-CJ167)*-1</f>
        <v>0</v>
      </c>
      <c r="CL296" s="3">
        <f>(CL167-CK167)*-1</f>
        <v>0</v>
      </c>
      <c r="CM296" s="3">
        <f>(CM167-CL167)*-1</f>
        <v>0</v>
      </c>
      <c r="CN296" s="3">
        <f>(CN167-CM167)*-1</f>
        <v>0</v>
      </c>
      <c r="CO296" s="3">
        <f>SUM(CK296:CN296)</f>
        <v>0</v>
      </c>
      <c r="CP296" s="3">
        <f>(CP167-CO167)*-1</f>
        <v>0</v>
      </c>
      <c r="CQ296" s="3">
        <f>(CQ167-CP167)*-1</f>
        <v>0</v>
      </c>
      <c r="CR296" s="3">
        <f>(CR167-CQ167)*-1</f>
        <v>0</v>
      </c>
      <c r="CS296" s="3">
        <f>(CS167-CR167)*-1</f>
        <v>0</v>
      </c>
      <c r="CT296" s="3">
        <f>SUM(CP296:CS296)</f>
        <v>0</v>
      </c>
      <c r="CU296" s="3">
        <f>(CU167-CT167)*-1</f>
        <v>0</v>
      </c>
      <c r="CV296" s="3">
        <f>(CV167-CU167)*-1</f>
        <v>0</v>
      </c>
      <c r="CW296" s="3">
        <f>(CW167-CV167)*-1</f>
        <v>0</v>
      </c>
      <c r="CX296" s="3">
        <f>(CX167-CW167)*-1</f>
        <v>0</v>
      </c>
      <c r="CY296" s="3">
        <f>SUM(CU296:CX296)</f>
        <v>0</v>
      </c>
    </row>
    <row r="297" hidden="1" outlineLevel="1">
      <c r="C297" s="29" t="inlineStr">
        <is>
          <t>Accounts payable</t>
        </is>
      </c>
      <c r="D297" s="3" t="n"/>
      <c r="E297" s="3">
        <f>E210-D210</f>
        <v>-752.645</v>
      </c>
      <c r="F297" s="3">
        <f>F210-E210</f>
        <v>415.761</v>
      </c>
      <c r="G297" s="3">
        <f>G210-F210</f>
        <v>29.769</v>
      </c>
      <c r="H297" s="3">
        <f>SUM(D297:G297)</f>
        <v>-307.115</v>
      </c>
      <c r="I297" s="3">
        <f>I210-H210</f>
        <v>-227.229</v>
      </c>
      <c r="J297" s="3">
        <f>J210-I210</f>
        <v>397.93</v>
      </c>
      <c r="K297" s="3">
        <f>K210-J210</f>
        <v>17.0600000000002</v>
      </c>
      <c r="L297" s="3">
        <f>L210-K210</f>
        <v>956.276</v>
      </c>
      <c r="M297" s="3">
        <f>SUM(I297:L297)</f>
        <v>1144.037</v>
      </c>
      <c r="N297" s="3">
        <f>N210-M210</f>
        <v>-591.144</v>
      </c>
      <c r="O297" s="3">
        <f>O210-N210</f>
        <v>728.755</v>
      </c>
      <c r="P297" s="3">
        <f>P210-O210</f>
        <v>-800.01</v>
      </c>
      <c r="Q297" s="3">
        <f>Q210-P210</f>
        <v>610.555</v>
      </c>
      <c r="R297" s="3">
        <f>SUM(N297:Q297)</f>
        <v>-51.8440000000001</v>
      </c>
      <c r="S297" s="3">
        <f>S210-R210</f>
        <v>-1201.543</v>
      </c>
      <c r="T297" s="3">
        <f>T210-S210</f>
        <v>-134.788</v>
      </c>
      <c r="U297" s="3">
        <f>U210-T210</f>
        <v>1162.841</v>
      </c>
      <c r="V297" s="3">
        <f>V210-U210</f>
        <v>2659.91</v>
      </c>
      <c r="W297" s="3">
        <f>SUM(S297:V297)</f>
        <v>2486.42</v>
      </c>
      <c r="X297" s="3">
        <f>X210-W210</f>
        <v>-678.471000000001</v>
      </c>
      <c r="Y297" s="3">
        <f>Y210-X210</f>
        <v>-430.88</v>
      </c>
      <c r="Z297" s="3">
        <f>Z210-Y210</f>
        <v>75.8520000000003</v>
      </c>
      <c r="AA297" s="3">
        <f>AA210-Z210</f>
        <v>1600.331</v>
      </c>
      <c r="AB297" s="3">
        <f>SUM(X297:AA297)</f>
        <v>566.831999999999</v>
      </c>
      <c r="AC297" s="3">
        <f>AC210-AB210</f>
        <v>-1820.965</v>
      </c>
      <c r="AD297" s="3">
        <f>AD210-AC210</f>
        <v>984.448</v>
      </c>
      <c r="AE297" s="3">
        <f>AE210-AD210</f>
        <v>-55.7920000000004</v>
      </c>
      <c r="AF297" s="3">
        <f>AF210-AE210</f>
        <v>1428.903</v>
      </c>
      <c r="AG297" s="3">
        <f>SUM(AC297:AF297)</f>
        <v>536.594</v>
      </c>
      <c r="AH297" s="3">
        <f>AH210-AG210</f>
        <v>-828.48</v>
      </c>
      <c r="AI297" s="3">
        <f>AI210-AH210</f>
        <v>425.478</v>
      </c>
      <c r="AJ297" s="3">
        <f>AJ210-AI210</f>
        <v>-5451.752</v>
      </c>
      <c r="AK297" s="3">
        <f>AK210-AJ210</f>
        <v>0</v>
      </c>
      <c r="AL297" s="3">
        <f>SUM(AH297:AK297)</f>
        <v>-5854.754</v>
      </c>
      <c r="AM297" s="3">
        <f>AM210-AL210</f>
        <v>0</v>
      </c>
      <c r="AN297" s="3">
        <f>AN210-AM210</f>
        <v>0</v>
      </c>
      <c r="AO297" s="3">
        <f>AO210-AN210</f>
        <v>0</v>
      </c>
      <c r="AP297" s="3">
        <f>AP210-AO210</f>
        <v>0</v>
      </c>
      <c r="AQ297" s="3">
        <f>SUM(AM297:AP297)</f>
        <v>0</v>
      </c>
      <c r="AR297" s="3">
        <f>AR210-AQ210</f>
        <v>0</v>
      </c>
      <c r="AS297" s="3">
        <f>AS210-AR210</f>
        <v>0</v>
      </c>
      <c r="AT297" s="3">
        <f>AT210-AS210</f>
        <v>0</v>
      </c>
      <c r="AU297" s="3">
        <f>AU210-AT210</f>
        <v>0</v>
      </c>
      <c r="AV297" s="3">
        <f>SUM(AR297:AU297)</f>
        <v>0</v>
      </c>
      <c r="AW297" s="3">
        <f>AW210-AV210</f>
        <v>0</v>
      </c>
      <c r="AX297" s="3">
        <f>AX210-AW210</f>
        <v>0</v>
      </c>
      <c r="AY297" s="3">
        <f>AY210-AX210</f>
        <v>0</v>
      </c>
      <c r="AZ297" s="3">
        <f>AZ210-AY210</f>
        <v>0</v>
      </c>
      <c r="BA297" s="3">
        <f>SUM(AW297:AZ297)</f>
        <v>0</v>
      </c>
      <c r="BB297" s="3">
        <f>BB210-BA210</f>
        <v>0</v>
      </c>
      <c r="BC297" s="3">
        <f>BC210-BB210</f>
        <v>0</v>
      </c>
      <c r="BD297" s="3">
        <f>BD210-BC210</f>
        <v>0</v>
      </c>
      <c r="BE297" s="3">
        <f>BE210-BD210</f>
        <v>0</v>
      </c>
      <c r="BF297" s="3">
        <f>SUM(BB297:BE297)</f>
        <v>0</v>
      </c>
      <c r="BG297" s="3">
        <f>BG210-BF210</f>
        <v>0</v>
      </c>
      <c r="BH297" s="3">
        <f>BH210-BG210</f>
        <v>0</v>
      </c>
      <c r="BI297" s="3">
        <f>BI210-BH210</f>
        <v>0</v>
      </c>
      <c r="BJ297" s="3">
        <f>BJ210-BI210</f>
        <v>0</v>
      </c>
      <c r="BK297" s="3">
        <f>SUM(BG297:BJ297)</f>
        <v>0</v>
      </c>
      <c r="BL297" s="3">
        <f>BL210-BK210</f>
        <v>0</v>
      </c>
      <c r="BM297" s="3">
        <f>BM210-BL210</f>
        <v>0</v>
      </c>
      <c r="BN297" s="3">
        <f>BN210-BM210</f>
        <v>0</v>
      </c>
      <c r="BO297" s="3">
        <f>BO210-BN210</f>
        <v>0</v>
      </c>
      <c r="BP297" s="3">
        <f>SUM(BL297:BO297)</f>
        <v>0</v>
      </c>
      <c r="BQ297" s="3">
        <f>BQ210-BP210</f>
        <v>0</v>
      </c>
      <c r="BR297" s="3">
        <f>BR210-BQ210</f>
        <v>0</v>
      </c>
      <c r="BS297" s="3">
        <f>BS210-BR210</f>
        <v>0</v>
      </c>
      <c r="BT297" s="3">
        <f>BT210-BS210</f>
        <v>0</v>
      </c>
      <c r="BU297" s="3">
        <f>SUM(BQ297:BT297)</f>
        <v>0</v>
      </c>
      <c r="BV297" s="3">
        <f>BV210-BU210</f>
        <v>0</v>
      </c>
      <c r="BW297" s="3">
        <f>BW210-BV210</f>
        <v>0</v>
      </c>
      <c r="BX297" s="3">
        <f>BX210-BW210</f>
        <v>0</v>
      </c>
      <c r="BY297" s="3">
        <f>BY210-BX210</f>
        <v>0</v>
      </c>
      <c r="BZ297" s="3">
        <f>SUM(BV297:BY297)</f>
        <v>0</v>
      </c>
      <c r="CA297" s="3">
        <f>CA210-BZ210</f>
        <v>0</v>
      </c>
      <c r="CB297" s="3">
        <f>CB210-CA210</f>
        <v>0</v>
      </c>
      <c r="CC297" s="3">
        <f>CC210-CB210</f>
        <v>0</v>
      </c>
      <c r="CD297" s="3">
        <f>CD210-CC210</f>
        <v>0</v>
      </c>
      <c r="CE297" s="3">
        <f>SUM(CA297:CD297)</f>
        <v>0</v>
      </c>
      <c r="CF297" s="3">
        <f>CF210-CE210</f>
        <v>0</v>
      </c>
      <c r="CG297" s="3">
        <f>CG210-CF210</f>
        <v>0</v>
      </c>
      <c r="CH297" s="3">
        <f>CH210-CG210</f>
        <v>0</v>
      </c>
      <c r="CI297" s="3">
        <f>CI210-CH210</f>
        <v>0</v>
      </c>
      <c r="CJ297" s="3">
        <f>SUM(CF297:CI297)</f>
        <v>0</v>
      </c>
      <c r="CK297" s="3">
        <f>CK210-CJ210</f>
        <v>0</v>
      </c>
      <c r="CL297" s="3">
        <f>CL210-CK210</f>
        <v>0</v>
      </c>
      <c r="CM297" s="3">
        <f>CM210-CL210</f>
        <v>0</v>
      </c>
      <c r="CN297" s="3">
        <f>CN210-CM210</f>
        <v>0</v>
      </c>
      <c r="CO297" s="3">
        <f>SUM(CK297:CN297)</f>
        <v>0</v>
      </c>
      <c r="CP297" s="3">
        <f>CP210-CO210</f>
        <v>0</v>
      </c>
      <c r="CQ297" s="3">
        <f>CQ210-CP210</f>
        <v>0</v>
      </c>
      <c r="CR297" s="3">
        <f>CR210-CQ210</f>
        <v>0</v>
      </c>
      <c r="CS297" s="3">
        <f>CS210-CR210</f>
        <v>0</v>
      </c>
      <c r="CT297" s="3">
        <f>SUM(CP297:CS297)</f>
        <v>0</v>
      </c>
      <c r="CU297" s="3">
        <f>CU210-CT210</f>
        <v>0</v>
      </c>
      <c r="CV297" s="3">
        <f>CV210-CU210</f>
        <v>0</v>
      </c>
      <c r="CW297" s="3">
        <f>CW210-CV210</f>
        <v>0</v>
      </c>
      <c r="CX297" s="3">
        <f>CX210-CW210</f>
        <v>0</v>
      </c>
      <c r="CY297" s="3">
        <f>SUM(CU297:CX297)</f>
        <v>0</v>
      </c>
    </row>
    <row r="298" hidden="1" outlineLevel="1">
      <c r="C298" s="29" t="inlineStr">
        <is>
          <t>Accrued expenses</t>
        </is>
      </c>
      <c r="D298" s="3" t="n"/>
      <c r="E298" s="3">
        <f>E214-D214</f>
        <v>2.754</v>
      </c>
      <c r="F298" s="3">
        <f>F214-E214</f>
        <v>2.753</v>
      </c>
      <c r="G298" s="3">
        <f>G214-F214</f>
        <v>-0.842999999999996</v>
      </c>
      <c r="H298" s="3">
        <f>SUM(D298:G298)</f>
        <v>4.664</v>
      </c>
      <c r="I298" s="3">
        <f>I214-H214</f>
        <v>9.557</v>
      </c>
      <c r="J298" s="3">
        <f>J214-I214</f>
        <v>10.893</v>
      </c>
      <c r="K298" s="3">
        <f>K214-J214</f>
        <v>2.684</v>
      </c>
      <c r="L298" s="3">
        <f>L214-K214</f>
        <v>-6.63199999999999</v>
      </c>
      <c r="M298" s="3">
        <f>SUM(I298:L298)</f>
        <v>16.502</v>
      </c>
      <c r="N298" s="3">
        <f>N214-M214</f>
        <v>13.705</v>
      </c>
      <c r="O298" s="3">
        <f>O214-N214</f>
        <v>-4.895</v>
      </c>
      <c r="P298" s="3">
        <f>P214-O214</f>
        <v>17.003</v>
      </c>
      <c r="Q298" s="3">
        <f>Q214-P214</f>
        <v>13.666</v>
      </c>
      <c r="R298" s="3">
        <f>SUM(N298:Q298)</f>
        <v>39.479</v>
      </c>
      <c r="S298" s="3">
        <f>S214-R214</f>
        <v>23.149</v>
      </c>
      <c r="T298" s="3">
        <f>T214-S214</f>
        <v>6.83600000000001</v>
      </c>
      <c r="U298" s="3">
        <f>U214-T214</f>
        <v>15.225</v>
      </c>
      <c r="V298" s="3">
        <f>V214-U214</f>
        <v>3.989</v>
      </c>
      <c r="W298" s="3">
        <f>SUM(S298:V298)</f>
        <v>49.199</v>
      </c>
      <c r="X298" s="3">
        <f>X214-W214</f>
        <v>-13.613</v>
      </c>
      <c r="Y298" s="3">
        <f>Y214-X214</f>
        <v>-21.935</v>
      </c>
      <c r="Z298" s="3">
        <f>Z214-Y214</f>
        <v>-3.616</v>
      </c>
      <c r="AA298" s="3">
        <f>AA214-Z214</f>
        <v>-18.538</v>
      </c>
      <c r="AB298" s="3">
        <f>SUM(X298:AA298)</f>
        <v>-57.702</v>
      </c>
      <c r="AC298" s="3">
        <f>AC214-AB214</f>
        <v>-2.087</v>
      </c>
      <c r="AD298" s="3">
        <f>AD214-AC214</f>
        <v>15.911</v>
      </c>
      <c r="AE298" s="3">
        <f>AE214-AD214</f>
        <v>13.148</v>
      </c>
      <c r="AF298" s="3">
        <f>AF214-AE214</f>
        <v>-10.598</v>
      </c>
      <c r="AG298" s="3">
        <f>SUM(AC298:AF298)</f>
        <v>16.374</v>
      </c>
      <c r="AH298" s="3">
        <f>AH214-AG214</f>
        <v>12.981</v>
      </c>
      <c r="AI298" s="3">
        <f>AI214-AH214</f>
        <v>-0.896000000000001</v>
      </c>
      <c r="AJ298" s="3">
        <f>AJ214-AI214</f>
        <v>-126.412</v>
      </c>
      <c r="AK298" s="3">
        <f>AK214-AJ214</f>
        <v>0</v>
      </c>
      <c r="AL298" s="3">
        <f>SUM(AH298:AK298)</f>
        <v>-114.327</v>
      </c>
      <c r="AM298" s="3" t="e">
        <f>AM214-AL214</f>
        <v>#DIV/0!</v>
      </c>
      <c r="AN298" s="3" t="e">
        <f>AN214-AM214</f>
        <v>#DIV/0!</v>
      </c>
      <c r="AO298" s="3" t="e">
        <f>AO214-AN214</f>
        <v>#DIV/0!</v>
      </c>
      <c r="AP298" s="3" t="e">
        <f>AP214-AO214</f>
        <v>#DIV/0!</v>
      </c>
      <c r="AQ298" s="3" t="e">
        <f>SUM(AM298:AP298)</f>
        <v>#DIV/0!</v>
      </c>
      <c r="AR298" s="3" t="e">
        <f>AR214-AQ214</f>
        <v>#DIV/0!</v>
      </c>
      <c r="AS298" s="3" t="e">
        <f>AS214-AR214</f>
        <v>#DIV/0!</v>
      </c>
      <c r="AT298" s="3" t="e">
        <f>AT214-AS214</f>
        <v>#DIV/0!</v>
      </c>
      <c r="AU298" s="3" t="e">
        <f>AU214-AT214</f>
        <v>#DIV/0!</v>
      </c>
      <c r="AV298" s="3" t="e">
        <f>SUM(AR298:AU298)</f>
        <v>#DIV/0!</v>
      </c>
      <c r="AW298" s="3" t="e">
        <f>AW214-AV214</f>
        <v>#DIV/0!</v>
      </c>
      <c r="AX298" s="3" t="e">
        <f>AX214-AW214</f>
        <v>#DIV/0!</v>
      </c>
      <c r="AY298" s="3" t="e">
        <f>AY214-AX214</f>
        <v>#DIV/0!</v>
      </c>
      <c r="AZ298" s="3" t="e">
        <f>AZ214-AY214</f>
        <v>#DIV/0!</v>
      </c>
      <c r="BA298" s="3" t="e">
        <f>SUM(AW298:AZ298)</f>
        <v>#DIV/0!</v>
      </c>
      <c r="BB298" s="3" t="e">
        <f>BB214-BA214</f>
        <v>#DIV/0!</v>
      </c>
      <c r="BC298" s="3" t="e">
        <f>BC214-BB214</f>
        <v>#DIV/0!</v>
      </c>
      <c r="BD298" s="3" t="e">
        <f>BD214-BC214</f>
        <v>#DIV/0!</v>
      </c>
      <c r="BE298" s="3" t="e">
        <f>BE214-BD214</f>
        <v>#DIV/0!</v>
      </c>
      <c r="BF298" s="3" t="e">
        <f>SUM(BB298:BE298)</f>
        <v>#DIV/0!</v>
      </c>
      <c r="BG298" s="3" t="e">
        <f>BG214-BF214</f>
        <v>#DIV/0!</v>
      </c>
      <c r="BH298" s="3" t="e">
        <f>BH214-BG214</f>
        <v>#DIV/0!</v>
      </c>
      <c r="BI298" s="3" t="e">
        <f>BI214-BH214</f>
        <v>#DIV/0!</v>
      </c>
      <c r="BJ298" s="3" t="e">
        <f>BJ214-BI214</f>
        <v>#DIV/0!</v>
      </c>
      <c r="BK298" s="3" t="e">
        <f>SUM(BG298:BJ298)</f>
        <v>#DIV/0!</v>
      </c>
      <c r="BL298" s="3" t="e">
        <f>BL214-BK214</f>
        <v>#DIV/0!</v>
      </c>
      <c r="BM298" s="3" t="e">
        <f>BM214-BL214</f>
        <v>#DIV/0!</v>
      </c>
      <c r="BN298" s="3" t="e">
        <f>BN214-BM214</f>
        <v>#DIV/0!</v>
      </c>
      <c r="BO298" s="3" t="e">
        <f>BO214-BN214</f>
        <v>#DIV/0!</v>
      </c>
      <c r="BP298" s="3" t="e">
        <f>SUM(BL298:BO298)</f>
        <v>#DIV/0!</v>
      </c>
      <c r="BQ298" s="3" t="e">
        <f>BQ214-BP214</f>
        <v>#DIV/0!</v>
      </c>
      <c r="BR298" s="3" t="e">
        <f>BR214-BQ214</f>
        <v>#DIV/0!</v>
      </c>
      <c r="BS298" s="3" t="e">
        <f>BS214-BR214</f>
        <v>#DIV/0!</v>
      </c>
      <c r="BT298" s="3" t="e">
        <f>BT214-BS214</f>
        <v>#DIV/0!</v>
      </c>
      <c r="BU298" s="3" t="e">
        <f>SUM(BQ298:BT298)</f>
        <v>#DIV/0!</v>
      </c>
      <c r="BV298" s="3" t="e">
        <f>BV214-BU214</f>
        <v>#DIV/0!</v>
      </c>
      <c r="BW298" s="3" t="e">
        <f>BW214-BV214</f>
        <v>#DIV/0!</v>
      </c>
      <c r="BX298" s="3" t="e">
        <f>BX214-BW214</f>
        <v>#DIV/0!</v>
      </c>
      <c r="BY298" s="3" t="e">
        <f>BY214-BX214</f>
        <v>#DIV/0!</v>
      </c>
      <c r="BZ298" s="3" t="e">
        <f>SUM(BV298:BY298)</f>
        <v>#DIV/0!</v>
      </c>
      <c r="CA298" s="3" t="e">
        <f>CA214-BZ214</f>
        <v>#DIV/0!</v>
      </c>
      <c r="CB298" s="3" t="e">
        <f>CB214-CA214</f>
        <v>#DIV/0!</v>
      </c>
      <c r="CC298" s="3" t="e">
        <f>CC214-CB214</f>
        <v>#DIV/0!</v>
      </c>
      <c r="CD298" s="3" t="e">
        <f>CD214-CC214</f>
        <v>#DIV/0!</v>
      </c>
      <c r="CE298" s="3" t="e">
        <f>SUM(CA298:CD298)</f>
        <v>#DIV/0!</v>
      </c>
      <c r="CF298" s="3" t="e">
        <f>CF214-CE214</f>
        <v>#DIV/0!</v>
      </c>
      <c r="CG298" s="3" t="e">
        <f>CG214-CF214</f>
        <v>#DIV/0!</v>
      </c>
      <c r="CH298" s="3" t="e">
        <f>CH214-CG214</f>
        <v>#DIV/0!</v>
      </c>
      <c r="CI298" s="3" t="e">
        <f>CI214-CH214</f>
        <v>#DIV/0!</v>
      </c>
      <c r="CJ298" s="3" t="e">
        <f>SUM(CF298:CI298)</f>
        <v>#DIV/0!</v>
      </c>
      <c r="CK298" s="3" t="e">
        <f>CK214-CJ214</f>
        <v>#DIV/0!</v>
      </c>
      <c r="CL298" s="3" t="e">
        <f>CL214-CK214</f>
        <v>#DIV/0!</v>
      </c>
      <c r="CM298" s="3" t="e">
        <f>CM214-CL214</f>
        <v>#DIV/0!</v>
      </c>
      <c r="CN298" s="3" t="e">
        <f>CN214-CM214</f>
        <v>#DIV/0!</v>
      </c>
      <c r="CO298" s="3" t="e">
        <f>SUM(CK298:CN298)</f>
        <v>#DIV/0!</v>
      </c>
      <c r="CP298" s="3" t="e">
        <f>CP214-CO214</f>
        <v>#DIV/0!</v>
      </c>
      <c r="CQ298" s="3" t="e">
        <f>CQ214-CP214</f>
        <v>#DIV/0!</v>
      </c>
      <c r="CR298" s="3" t="e">
        <f>CR214-CQ214</f>
        <v>#DIV/0!</v>
      </c>
      <c r="CS298" s="3" t="e">
        <f>CS214-CR214</f>
        <v>#DIV/0!</v>
      </c>
      <c r="CT298" s="3" t="e">
        <f>SUM(CP298:CS298)</f>
        <v>#DIV/0!</v>
      </c>
      <c r="CU298" s="3" t="e">
        <f>CU214-CT214</f>
        <v>#DIV/0!</v>
      </c>
      <c r="CV298" s="3" t="e">
        <f>CV214-CU214</f>
        <v>#DIV/0!</v>
      </c>
      <c r="CW298" s="3" t="e">
        <f>CW214-CV214</f>
        <v>#DIV/0!</v>
      </c>
      <c r="CX298" s="3" t="e">
        <f>CX214-CW214</f>
        <v>#DIV/0!</v>
      </c>
      <c r="CY298" s="3" t="e">
        <f>SUM(CU298:CX298)</f>
        <v>#DIV/0!</v>
      </c>
    </row>
    <row r="299" hidden="1" outlineLevel="1">
      <c r="C299" s="29" t="inlineStr">
        <is>
          <t>Taxes payable</t>
        </is>
      </c>
      <c r="D299" s="3" t="n"/>
      <c r="E299" s="3">
        <f>E216-D216</f>
        <v>5.128</v>
      </c>
      <c r="F299" s="3">
        <f>F216-E216</f>
        <v>-2.873</v>
      </c>
      <c r="G299" s="3">
        <f>G216-F216</f>
        <v>5.221</v>
      </c>
      <c r="H299" s="3">
        <f>SUM(D299:G299)</f>
        <v>7.476</v>
      </c>
      <c r="I299" s="3">
        <f>I216-H216</f>
        <v>1.244</v>
      </c>
      <c r="J299" s="3">
        <f>J216-I216</f>
        <v>5.805</v>
      </c>
      <c r="K299" s="3">
        <f>K216-J216</f>
        <v>1.637</v>
      </c>
      <c r="L299" s="3">
        <f>L216-K216</f>
        <v>2.502</v>
      </c>
      <c r="M299" s="3">
        <f>SUM(I299:L299)</f>
        <v>11.188</v>
      </c>
      <c r="N299" s="3">
        <f>N216-M216</f>
        <v>0.547000000000001</v>
      </c>
      <c r="O299" s="3">
        <f>O216-N216</f>
        <v>16.251</v>
      </c>
      <c r="P299" s="3">
        <f>P216-O216</f>
        <v>-16.37</v>
      </c>
      <c r="Q299" s="3">
        <f>Q216-P216</f>
        <v>39.071</v>
      </c>
      <c r="R299" s="3">
        <f>SUM(N299:Q299)</f>
        <v>39.499</v>
      </c>
      <c r="S299" s="3">
        <f>S216-R216</f>
        <v>-25.981</v>
      </c>
      <c r="T299" s="3">
        <f>T216-S216</f>
        <v>-4.079</v>
      </c>
      <c r="U299" s="3">
        <f>U216-T216</f>
        <v>20.073</v>
      </c>
      <c r="V299" s="3">
        <f>V216-U216</f>
        <v>17.028</v>
      </c>
      <c r="W299" s="3">
        <f>SUM(S299:V299)</f>
        <v>7.041</v>
      </c>
      <c r="X299" s="3">
        <f>X216-W216</f>
        <v>31.783</v>
      </c>
      <c r="Y299" s="3">
        <f>Y216-X216</f>
        <v>-32.092</v>
      </c>
      <c r="Z299" s="3">
        <f>Z216-Y216</f>
        <v>48.736</v>
      </c>
      <c r="AA299" s="3">
        <f>AA216-Z216</f>
        <v>12.707</v>
      </c>
      <c r="AB299" s="3">
        <f>SUM(X299:AA299)</f>
        <v>61.134</v>
      </c>
      <c r="AC299" s="3">
        <f>AC216-AB216</f>
        <v>-1.559</v>
      </c>
      <c r="AD299" s="3">
        <f>AD216-AC216</f>
        <v>-11.291</v>
      </c>
      <c r="AE299" s="3">
        <f>AE216-AD216</f>
        <v>-10.823</v>
      </c>
      <c r="AF299" s="3">
        <f>AF216-AE216</f>
        <v>54.906</v>
      </c>
      <c r="AG299" s="3">
        <f>SUM(AC299:AF299)</f>
        <v>31.233</v>
      </c>
      <c r="AH299" s="3">
        <f>AH216-AG216</f>
        <v>-46.937</v>
      </c>
      <c r="AI299" s="3">
        <f>AI216-AH216</f>
        <v>-31.137</v>
      </c>
      <c r="AJ299" s="3">
        <f>AJ216-AI216</f>
        <v>-85.665</v>
      </c>
      <c r="AK299" s="3">
        <f>AK216-AJ216</f>
        <v>0</v>
      </c>
      <c r="AL299" s="3">
        <f>SUM(AH299:AK299)</f>
        <v>-163.739</v>
      </c>
      <c r="AM299" s="3" t="e">
        <f>AM216-AL216</f>
        <v>#DIV/0!</v>
      </c>
      <c r="AN299" s="3" t="e">
        <f>AN216-AM216</f>
        <v>#DIV/0!</v>
      </c>
      <c r="AO299" s="3" t="e">
        <f>AO216-AN216</f>
        <v>#DIV/0!</v>
      </c>
      <c r="AP299" s="3" t="e">
        <f>AP216-AO216</f>
        <v>#DIV/0!</v>
      </c>
      <c r="AQ299" s="3" t="e">
        <f>SUM(AM299:AP299)</f>
        <v>#DIV/0!</v>
      </c>
      <c r="AR299" s="3" t="e">
        <f>AR216-AQ216</f>
        <v>#DIV/0!</v>
      </c>
      <c r="AS299" s="3" t="e">
        <f>AS216-AR216</f>
        <v>#DIV/0!</v>
      </c>
      <c r="AT299" s="3" t="e">
        <f>AT216-AS216</f>
        <v>#DIV/0!</v>
      </c>
      <c r="AU299" s="3" t="e">
        <f>AU216-AT216</f>
        <v>#DIV/0!</v>
      </c>
      <c r="AV299" s="3" t="e">
        <f>SUM(AR299:AU299)</f>
        <v>#DIV/0!</v>
      </c>
      <c r="AW299" s="3" t="e">
        <f>AW216-AV216</f>
        <v>#DIV/0!</v>
      </c>
      <c r="AX299" s="3" t="e">
        <f>AX216-AW216</f>
        <v>#DIV/0!</v>
      </c>
      <c r="AY299" s="3" t="e">
        <f>AY216-AX216</f>
        <v>#DIV/0!</v>
      </c>
      <c r="AZ299" s="3" t="e">
        <f>AZ216-AY216</f>
        <v>#DIV/0!</v>
      </c>
      <c r="BA299" s="3" t="e">
        <f>SUM(AW299:AZ299)</f>
        <v>#DIV/0!</v>
      </c>
      <c r="BB299" s="3" t="e">
        <f>BB216-BA216</f>
        <v>#DIV/0!</v>
      </c>
      <c r="BC299" s="3" t="e">
        <f>BC216-BB216</f>
        <v>#DIV/0!</v>
      </c>
      <c r="BD299" s="3" t="e">
        <f>BD216-BC216</f>
        <v>#DIV/0!</v>
      </c>
      <c r="BE299" s="3" t="e">
        <f>BE216-BD216</f>
        <v>#DIV/0!</v>
      </c>
      <c r="BF299" s="3" t="e">
        <f>SUM(BB299:BE299)</f>
        <v>#DIV/0!</v>
      </c>
      <c r="BG299" s="3" t="e">
        <f>BG216-BF216</f>
        <v>#DIV/0!</v>
      </c>
      <c r="BH299" s="3" t="e">
        <f>BH216-BG216</f>
        <v>#DIV/0!</v>
      </c>
      <c r="BI299" s="3" t="e">
        <f>BI216-BH216</f>
        <v>#DIV/0!</v>
      </c>
      <c r="BJ299" s="3" t="e">
        <f>BJ216-BI216</f>
        <v>#DIV/0!</v>
      </c>
      <c r="BK299" s="3" t="e">
        <f>SUM(BG299:BJ299)</f>
        <v>#DIV/0!</v>
      </c>
      <c r="BL299" s="3" t="e">
        <f>BL216-BK216</f>
        <v>#DIV/0!</v>
      </c>
      <c r="BM299" s="3" t="e">
        <f>BM216-BL216</f>
        <v>#DIV/0!</v>
      </c>
      <c r="BN299" s="3" t="e">
        <f>BN216-BM216</f>
        <v>#DIV/0!</v>
      </c>
      <c r="BO299" s="3" t="e">
        <f>BO216-BN216</f>
        <v>#DIV/0!</v>
      </c>
      <c r="BP299" s="3" t="e">
        <f>SUM(BL299:BO299)</f>
        <v>#DIV/0!</v>
      </c>
      <c r="BQ299" s="3" t="e">
        <f>BQ216-BP216</f>
        <v>#DIV/0!</v>
      </c>
      <c r="BR299" s="3" t="e">
        <f>BR216-BQ216</f>
        <v>#DIV/0!</v>
      </c>
      <c r="BS299" s="3" t="e">
        <f>BS216-BR216</f>
        <v>#DIV/0!</v>
      </c>
      <c r="BT299" s="3" t="e">
        <f>BT216-BS216</f>
        <v>#DIV/0!</v>
      </c>
      <c r="BU299" s="3" t="e">
        <f>SUM(BQ299:BT299)</f>
        <v>#DIV/0!</v>
      </c>
      <c r="BV299" s="3" t="e">
        <f>BV216-BU216</f>
        <v>#DIV/0!</v>
      </c>
      <c r="BW299" s="3" t="e">
        <f>BW216-BV216</f>
        <v>#DIV/0!</v>
      </c>
      <c r="BX299" s="3" t="e">
        <f>BX216-BW216</f>
        <v>#DIV/0!</v>
      </c>
      <c r="BY299" s="3" t="e">
        <f>BY216-BX216</f>
        <v>#DIV/0!</v>
      </c>
      <c r="BZ299" s="3" t="e">
        <f>SUM(BV299:BY299)</f>
        <v>#DIV/0!</v>
      </c>
      <c r="CA299" s="3" t="e">
        <f>CA216-BZ216</f>
        <v>#DIV/0!</v>
      </c>
      <c r="CB299" s="3" t="e">
        <f>CB216-CA216</f>
        <v>#DIV/0!</v>
      </c>
      <c r="CC299" s="3" t="e">
        <f>CC216-CB216</f>
        <v>#DIV/0!</v>
      </c>
      <c r="CD299" s="3" t="e">
        <f>CD216-CC216</f>
        <v>#DIV/0!</v>
      </c>
      <c r="CE299" s="3" t="e">
        <f>SUM(CA299:CD299)</f>
        <v>#DIV/0!</v>
      </c>
      <c r="CF299" s="3" t="e">
        <f>CF216-CE216</f>
        <v>#DIV/0!</v>
      </c>
      <c r="CG299" s="3" t="e">
        <f>CG216-CF216</f>
        <v>#DIV/0!</v>
      </c>
      <c r="CH299" s="3" t="e">
        <f>CH216-CG216</f>
        <v>#DIV/0!</v>
      </c>
      <c r="CI299" s="3" t="e">
        <f>CI216-CH216</f>
        <v>#DIV/0!</v>
      </c>
      <c r="CJ299" s="3" t="e">
        <f>SUM(CF299:CI299)</f>
        <v>#DIV/0!</v>
      </c>
      <c r="CK299" s="3" t="e">
        <f>CK216-CJ216</f>
        <v>#DIV/0!</v>
      </c>
      <c r="CL299" s="3" t="e">
        <f>CL216-CK216</f>
        <v>#DIV/0!</v>
      </c>
      <c r="CM299" s="3" t="e">
        <f>CM216-CL216</f>
        <v>#DIV/0!</v>
      </c>
      <c r="CN299" s="3" t="e">
        <f>CN216-CM216</f>
        <v>#DIV/0!</v>
      </c>
      <c r="CO299" s="3" t="e">
        <f>SUM(CK299:CN299)</f>
        <v>#DIV/0!</v>
      </c>
      <c r="CP299" s="3" t="e">
        <f>CP216-CO216</f>
        <v>#DIV/0!</v>
      </c>
      <c r="CQ299" s="3" t="e">
        <f>CQ216-CP216</f>
        <v>#DIV/0!</v>
      </c>
      <c r="CR299" s="3" t="e">
        <f>CR216-CQ216</f>
        <v>#DIV/0!</v>
      </c>
      <c r="CS299" s="3" t="e">
        <f>CS216-CR216</f>
        <v>#DIV/0!</v>
      </c>
      <c r="CT299" s="3" t="e">
        <f>SUM(CP299:CS299)</f>
        <v>#DIV/0!</v>
      </c>
      <c r="CU299" s="3" t="e">
        <f>CU216-CT216</f>
        <v>#DIV/0!</v>
      </c>
      <c r="CV299" s="3" t="e">
        <f>CV216-CU216</f>
        <v>#DIV/0!</v>
      </c>
      <c r="CW299" s="3" t="e">
        <f>CW216-CV216</f>
        <v>#DIV/0!</v>
      </c>
      <c r="CX299" s="3" t="e">
        <f>CX216-CW216</f>
        <v>#DIV/0!</v>
      </c>
      <c r="CY299" s="3" t="e">
        <f>SUM(CU299:CX299)</f>
        <v>#DIV/0!</v>
      </c>
    </row>
    <row r="300" hidden="1" outlineLevel="1">
      <c r="C300" s="29" t="inlineStr">
        <is>
          <t>Other current liabilities (non-debt)</t>
        </is>
      </c>
      <c r="D300" s="3" t="n"/>
      <c r="E300" s="3">
        <f>E217-D217</f>
        <v>-0.527000000000001</v>
      </c>
      <c r="F300" s="3">
        <f>F217-E217</f>
        <v>5.785</v>
      </c>
      <c r="G300" s="3">
        <f>G217-F217</f>
        <v>3.839</v>
      </c>
      <c r="H300" s="3">
        <f>SUM(D300:G300)</f>
        <v>9.09699999999999</v>
      </c>
      <c r="I300" s="3">
        <f>I217-H217</f>
        <v>70.039</v>
      </c>
      <c r="J300" s="3">
        <f>J217-I217</f>
        <v>35.343</v>
      </c>
      <c r="K300" s="3">
        <f>K217-J217</f>
        <v>12.315</v>
      </c>
      <c r="L300" s="3">
        <f>L217-K217</f>
        <v>352.253</v>
      </c>
      <c r="M300" s="3">
        <f>SUM(I300:L300)</f>
        <v>469.95</v>
      </c>
      <c r="N300" s="3">
        <f>N217-M217</f>
        <v>166.621</v>
      </c>
      <c r="O300" s="3">
        <f>O217-N217</f>
        <v>26.846</v>
      </c>
      <c r="P300" s="3">
        <f>P217-O217</f>
        <v>74.107</v>
      </c>
      <c r="Q300" s="3">
        <f>Q217-P217</f>
        <v>523.307</v>
      </c>
      <c r="R300" s="3">
        <f>SUM(N300:Q300)</f>
        <v>790.881</v>
      </c>
      <c r="S300" s="3">
        <f>S217-R217</f>
        <v>-56.0219999999999</v>
      </c>
      <c r="T300" s="3">
        <f>T217-S217</f>
        <v>-388.791</v>
      </c>
      <c r="U300" s="3">
        <f>U217-T217</f>
        <v>-191.644</v>
      </c>
      <c r="V300" s="3">
        <f>V217-U217</f>
        <v>393.956</v>
      </c>
      <c r="W300" s="3">
        <f>SUM(S300:V300)</f>
        <v>-242.501</v>
      </c>
      <c r="X300" s="3">
        <f>X217-W217</f>
        <v>765.534</v>
      </c>
      <c r="Y300" s="3">
        <f>Y217-X217</f>
        <v>106.448</v>
      </c>
      <c r="Z300" s="3">
        <f>Z217-Y217</f>
        <v>-505.496</v>
      </c>
      <c r="AA300" s="3">
        <f>AA217-Z217</f>
        <v>-202.388</v>
      </c>
      <c r="AB300" s="3">
        <f>SUM(X300:AA300)</f>
        <v>164.098</v>
      </c>
      <c r="AC300" s="3">
        <f>AC217-AB217</f>
        <v>659.463</v>
      </c>
      <c r="AD300" s="3">
        <f>AD217-AC217</f>
        <v>-237.013</v>
      </c>
      <c r="AE300" s="3">
        <f>AE217-AD217</f>
        <v>406.827</v>
      </c>
      <c r="AF300" s="3">
        <f>AF217-AE217</f>
        <v>107.625000000001</v>
      </c>
      <c r="AG300" s="3">
        <f>SUM(AC300:AF300)</f>
        <v>936.902000000001</v>
      </c>
      <c r="AH300" s="3">
        <f>AH217-AG217</f>
        <v>-226.087000000002</v>
      </c>
      <c r="AI300" s="3">
        <f>AI217-AH217</f>
        <v>-174.843</v>
      </c>
      <c r="AJ300" s="3">
        <f>AJ217-AI217</f>
        <v>0</v>
      </c>
      <c r="AK300" s="3">
        <f>AK217-AJ217</f>
        <v>0</v>
      </c>
      <c r="AL300" s="3">
        <f>SUM(AH300:AK300)</f>
        <v>-400.930000000001</v>
      </c>
      <c r="AM300" s="3">
        <f>AM217-AL217</f>
        <v>0</v>
      </c>
      <c r="AN300" s="3">
        <f>AN217-AM217</f>
        <v>0</v>
      </c>
      <c r="AO300" s="3">
        <f>AO217-AN217</f>
        <v>0</v>
      </c>
      <c r="AP300" s="3">
        <f>AP217-AO217</f>
        <v>0</v>
      </c>
      <c r="AQ300" s="3">
        <f>SUM(AM300:AP300)</f>
        <v>0</v>
      </c>
      <c r="AR300" s="3">
        <f>AR217-AQ217</f>
        <v>0</v>
      </c>
      <c r="AS300" s="3">
        <f>AS217-AR217</f>
        <v>0</v>
      </c>
      <c r="AT300" s="3">
        <f>AT217-AS217</f>
        <v>0</v>
      </c>
      <c r="AU300" s="3">
        <f>AU217-AT217</f>
        <v>0</v>
      </c>
      <c r="AV300" s="3">
        <f>SUM(AR300:AU300)</f>
        <v>0</v>
      </c>
      <c r="AW300" s="3">
        <f>AW217-AV217</f>
        <v>0</v>
      </c>
      <c r="AX300" s="3">
        <f>AX217-AW217</f>
        <v>0</v>
      </c>
      <c r="AY300" s="3">
        <f>AY217-AX217</f>
        <v>0</v>
      </c>
      <c r="AZ300" s="3">
        <f>AZ217-AY217</f>
        <v>0</v>
      </c>
      <c r="BA300" s="3">
        <f>SUM(AW300:AZ300)</f>
        <v>0</v>
      </c>
      <c r="BB300" s="3">
        <f>BB217-BA217</f>
        <v>0</v>
      </c>
      <c r="BC300" s="3">
        <f>BC217-BB217</f>
        <v>0</v>
      </c>
      <c r="BD300" s="3">
        <f>BD217-BC217</f>
        <v>0</v>
      </c>
      <c r="BE300" s="3">
        <f>BE217-BD217</f>
        <v>0</v>
      </c>
      <c r="BF300" s="3">
        <f>SUM(BB300:BE300)</f>
        <v>0</v>
      </c>
      <c r="BG300" s="3">
        <f>BG217-BF217</f>
        <v>0</v>
      </c>
      <c r="BH300" s="3">
        <f>BH217-BG217</f>
        <v>0</v>
      </c>
      <c r="BI300" s="3">
        <f>BI217-BH217</f>
        <v>0</v>
      </c>
      <c r="BJ300" s="3">
        <f>BJ217-BI217</f>
        <v>0</v>
      </c>
      <c r="BK300" s="3">
        <f>SUM(BG300:BJ300)</f>
        <v>0</v>
      </c>
      <c r="BL300" s="3">
        <f>BL217-BK217</f>
        <v>0</v>
      </c>
      <c r="BM300" s="3">
        <f>BM217-BL217</f>
        <v>0</v>
      </c>
      <c r="BN300" s="3">
        <f>BN217-BM217</f>
        <v>0</v>
      </c>
      <c r="BO300" s="3">
        <f>BO217-BN217</f>
        <v>0</v>
      </c>
      <c r="BP300" s="3">
        <f>SUM(BL300:BO300)</f>
        <v>0</v>
      </c>
      <c r="BQ300" s="3">
        <f>BQ217-BP217</f>
        <v>0</v>
      </c>
      <c r="BR300" s="3">
        <f>BR217-BQ217</f>
        <v>0</v>
      </c>
      <c r="BS300" s="3">
        <f>BS217-BR217</f>
        <v>0</v>
      </c>
      <c r="BT300" s="3">
        <f>BT217-BS217</f>
        <v>0</v>
      </c>
      <c r="BU300" s="3">
        <f>SUM(BQ300:BT300)</f>
        <v>0</v>
      </c>
      <c r="BV300" s="3">
        <f>BV217-BU217</f>
        <v>0</v>
      </c>
      <c r="BW300" s="3">
        <f>BW217-BV217</f>
        <v>0</v>
      </c>
      <c r="BX300" s="3">
        <f>BX217-BW217</f>
        <v>0</v>
      </c>
      <c r="BY300" s="3">
        <f>BY217-BX217</f>
        <v>0</v>
      </c>
      <c r="BZ300" s="3">
        <f>SUM(BV300:BY300)</f>
        <v>0</v>
      </c>
      <c r="CA300" s="3">
        <f>CA217-BZ217</f>
        <v>0</v>
      </c>
      <c r="CB300" s="3">
        <f>CB217-CA217</f>
        <v>0</v>
      </c>
      <c r="CC300" s="3">
        <f>CC217-CB217</f>
        <v>0</v>
      </c>
      <c r="CD300" s="3">
        <f>CD217-CC217</f>
        <v>0</v>
      </c>
      <c r="CE300" s="3">
        <f>SUM(CA300:CD300)</f>
        <v>0</v>
      </c>
      <c r="CF300" s="3">
        <f>CF217-CE217</f>
        <v>0</v>
      </c>
      <c r="CG300" s="3">
        <f>CG217-CF217</f>
        <v>0</v>
      </c>
      <c r="CH300" s="3">
        <f>CH217-CG217</f>
        <v>0</v>
      </c>
      <c r="CI300" s="3">
        <f>CI217-CH217</f>
        <v>0</v>
      </c>
      <c r="CJ300" s="3">
        <f>SUM(CF300:CI300)</f>
        <v>0</v>
      </c>
      <c r="CK300" s="3">
        <f>CK217-CJ217</f>
        <v>0</v>
      </c>
      <c r="CL300" s="3">
        <f>CL217-CK217</f>
        <v>0</v>
      </c>
      <c r="CM300" s="3">
        <f>CM217-CL217</f>
        <v>0</v>
      </c>
      <c r="CN300" s="3">
        <f>CN217-CM217</f>
        <v>0</v>
      </c>
      <c r="CO300" s="3">
        <f>SUM(CK300:CN300)</f>
        <v>0</v>
      </c>
      <c r="CP300" s="3">
        <f>CP217-CO217</f>
        <v>0</v>
      </c>
      <c r="CQ300" s="3">
        <f>CQ217-CP217</f>
        <v>0</v>
      </c>
      <c r="CR300" s="3">
        <f>CR217-CQ217</f>
        <v>0</v>
      </c>
      <c r="CS300" s="3">
        <f>CS217-CR217</f>
        <v>0</v>
      </c>
      <c r="CT300" s="3">
        <f>SUM(CP300:CS300)</f>
        <v>0</v>
      </c>
      <c r="CU300" s="3">
        <f>CU217-CT217</f>
        <v>0</v>
      </c>
      <c r="CV300" s="3">
        <f>CV217-CU217</f>
        <v>0</v>
      </c>
      <c r="CW300" s="3">
        <f>CW217-CV217</f>
        <v>0</v>
      </c>
      <c r="CX300" s="3">
        <f>CX217-CW217</f>
        <v>0</v>
      </c>
      <c r="CY300" s="3">
        <f>SUM(CU300:CX300)</f>
        <v>0</v>
      </c>
    </row>
    <row r="301" hidden="1" outlineLevel="1">
      <c r="C301" s="29" t="inlineStr">
        <is>
          <t>Deferred income taxes</t>
        </is>
      </c>
      <c r="D301" s="3" t="n"/>
      <c r="E301" s="3">
        <f>E251-D251</f>
        <v>2.42699999999999</v>
      </c>
      <c r="F301" s="3">
        <f>F251-E251</f>
        <v>17.963</v>
      </c>
      <c r="G301" s="3">
        <f>G251-F251</f>
        <v>68.932</v>
      </c>
      <c r="H301" s="3">
        <f>SUM(D301:G301)</f>
        <v>89.322</v>
      </c>
      <c r="I301" s="3">
        <f>I251-H251</f>
        <v>22.049</v>
      </c>
      <c r="J301" s="3">
        <f>J251-I251</f>
        <v>101.811</v>
      </c>
      <c r="K301" s="3">
        <f>K251-J251</f>
        <v>133.609</v>
      </c>
      <c r="L301" s="3">
        <f>L251-K251</f>
        <v>62.246</v>
      </c>
      <c r="M301" s="3">
        <f>SUM(I301:L301)</f>
        <v>319.715</v>
      </c>
      <c r="N301" s="3">
        <f>N251-M251</f>
        <v>0.418999999999983</v>
      </c>
      <c r="O301" s="3">
        <f>O251-N251</f>
        <v>26.481</v>
      </c>
      <c r="P301" s="3">
        <f>P251-O251</f>
        <v>11.5939999999999</v>
      </c>
      <c r="Q301" s="3">
        <f>Q251-P251</f>
        <v>22.351</v>
      </c>
      <c r="R301" s="3">
        <f>SUM(N301:Q301)</f>
        <v>60.8449999999999</v>
      </c>
      <c r="S301" s="3">
        <f>S251-R251</f>
        <v>152.994</v>
      </c>
      <c r="T301" s="3">
        <f>T251-S251</f>
        <v>65.115</v>
      </c>
      <c r="U301" s="3">
        <f>U251-T251</f>
        <v>-15.352</v>
      </c>
      <c r="V301" s="3">
        <f>V251-U251</f>
        <v>-34.14</v>
      </c>
      <c r="W301" s="3">
        <f>SUM(S301:V301)</f>
        <v>168.617</v>
      </c>
      <c r="X301" s="3">
        <f>X251-W251</f>
        <v>0.708999999999946</v>
      </c>
      <c r="Y301" s="3">
        <f>Y251-X251</f>
        <v>80.557</v>
      </c>
      <c r="Z301" s="3">
        <f>Z251-Y251</f>
        <v>75.544</v>
      </c>
      <c r="AA301" s="3">
        <f>AA251-Z251</f>
        <v>-617.912</v>
      </c>
      <c r="AB301" s="3">
        <f>SUM(X301:AA301)</f>
        <v>-461.102</v>
      </c>
      <c r="AC301" s="3">
        <f>AC251-AB251</f>
        <v>11.998</v>
      </c>
      <c r="AD301" s="3">
        <f>AD251-AC251</f>
        <v>25.738</v>
      </c>
      <c r="AE301" s="3">
        <f>AE251-AD251</f>
        <v>36.477</v>
      </c>
      <c r="AF301" s="3">
        <f>AF251-AE251</f>
        <v>161.319</v>
      </c>
      <c r="AG301" s="3">
        <f>SUM(AC301:AF301)</f>
        <v>235.532</v>
      </c>
      <c r="AH301" s="3">
        <f>AH251-AG251</f>
        <v>28.6710000000001</v>
      </c>
      <c r="AI301" s="3">
        <f>AI251-AH251</f>
        <v>26.832</v>
      </c>
      <c r="AJ301" s="3">
        <f>AJ251-AI251</f>
        <v>0</v>
      </c>
      <c r="AK301" s="3">
        <f>AK251-AJ251</f>
        <v>0</v>
      </c>
      <c r="AL301" s="3">
        <f>SUM(AH301:AK301)</f>
        <v>55.503</v>
      </c>
      <c r="AM301" s="3">
        <f>AM251-AL251</f>
        <v>0</v>
      </c>
      <c r="AN301" s="3">
        <f>AN251-AM251</f>
        <v>0</v>
      </c>
      <c r="AO301" s="3">
        <f>AO251-AN251</f>
        <v>0</v>
      </c>
      <c r="AP301" s="3">
        <f>AP251-AO251</f>
        <v>0</v>
      </c>
      <c r="AQ301" s="3">
        <f>SUM(AM301:AP301)</f>
        <v>0</v>
      </c>
      <c r="AR301" s="3">
        <f>AR251-AQ251</f>
        <v>0</v>
      </c>
      <c r="AS301" s="3">
        <f>AS251-AR251</f>
        <v>0</v>
      </c>
      <c r="AT301" s="3">
        <f>AT251-AS251</f>
        <v>0</v>
      </c>
      <c r="AU301" s="3">
        <f>AU251-AT251</f>
        <v>0</v>
      </c>
      <c r="AV301" s="3">
        <f>SUM(AR301:AU301)</f>
        <v>0</v>
      </c>
      <c r="AW301" s="3">
        <f>AW251-AV251</f>
        <v>0</v>
      </c>
      <c r="AX301" s="3">
        <f>AX251-AW251</f>
        <v>0</v>
      </c>
      <c r="AY301" s="3">
        <f>AY251-AX251</f>
        <v>0</v>
      </c>
      <c r="AZ301" s="3">
        <f>AZ251-AY251</f>
        <v>0</v>
      </c>
      <c r="BA301" s="3">
        <f>SUM(AW301:AZ301)</f>
        <v>0</v>
      </c>
      <c r="BB301" s="3">
        <f>BB251-BA251</f>
        <v>0</v>
      </c>
      <c r="BC301" s="3">
        <f>BC251-BB251</f>
        <v>0</v>
      </c>
      <c r="BD301" s="3">
        <f>BD251-BC251</f>
        <v>0</v>
      </c>
      <c r="BE301" s="3">
        <f>BE251-BD251</f>
        <v>0</v>
      </c>
      <c r="BF301" s="3">
        <f>SUM(BB301:BE301)</f>
        <v>0</v>
      </c>
      <c r="BG301" s="3">
        <f>BG251-BF251</f>
        <v>0</v>
      </c>
      <c r="BH301" s="3">
        <f>BH251-BG251</f>
        <v>0</v>
      </c>
      <c r="BI301" s="3">
        <f>BI251-BH251</f>
        <v>0</v>
      </c>
      <c r="BJ301" s="3">
        <f>BJ251-BI251</f>
        <v>0</v>
      </c>
      <c r="BK301" s="3">
        <f>SUM(BG301:BJ301)</f>
        <v>0</v>
      </c>
      <c r="BL301" s="3">
        <f>BL251-BK251</f>
        <v>0</v>
      </c>
      <c r="BM301" s="3">
        <f>BM251-BL251</f>
        <v>0</v>
      </c>
      <c r="BN301" s="3">
        <f>BN251-BM251</f>
        <v>0</v>
      </c>
      <c r="BO301" s="3">
        <f>BO251-BN251</f>
        <v>0</v>
      </c>
      <c r="BP301" s="3">
        <f>SUM(BL301:BO301)</f>
        <v>0</v>
      </c>
      <c r="BQ301" s="3">
        <f>BQ251-BP251</f>
        <v>0</v>
      </c>
      <c r="BR301" s="3">
        <f>BR251-BQ251</f>
        <v>0</v>
      </c>
      <c r="BS301" s="3">
        <f>BS251-BR251</f>
        <v>0</v>
      </c>
      <c r="BT301" s="3">
        <f>BT251-BS251</f>
        <v>0</v>
      </c>
      <c r="BU301" s="3">
        <f>SUM(BQ301:BT301)</f>
        <v>0</v>
      </c>
      <c r="BV301" s="3">
        <f>BV251-BU251</f>
        <v>0</v>
      </c>
      <c r="BW301" s="3">
        <f>BW251-BV251</f>
        <v>0</v>
      </c>
      <c r="BX301" s="3">
        <f>BX251-BW251</f>
        <v>0</v>
      </c>
      <c r="BY301" s="3">
        <f>BY251-BX251</f>
        <v>0</v>
      </c>
      <c r="BZ301" s="3">
        <f>SUM(BV301:BY301)</f>
        <v>0</v>
      </c>
      <c r="CA301" s="3">
        <f>CA251-BZ251</f>
        <v>0</v>
      </c>
      <c r="CB301" s="3">
        <f>CB251-CA251</f>
        <v>0</v>
      </c>
      <c r="CC301" s="3">
        <f>CC251-CB251</f>
        <v>0</v>
      </c>
      <c r="CD301" s="3">
        <f>CD251-CC251</f>
        <v>0</v>
      </c>
      <c r="CE301" s="3">
        <f>SUM(CA301:CD301)</f>
        <v>0</v>
      </c>
      <c r="CF301" s="3">
        <f>CF251-CE251</f>
        <v>0</v>
      </c>
      <c r="CG301" s="3">
        <f>CG251-CF251</f>
        <v>0</v>
      </c>
      <c r="CH301" s="3">
        <f>CH251-CG251</f>
        <v>0</v>
      </c>
      <c r="CI301" s="3">
        <f>CI251-CH251</f>
        <v>0</v>
      </c>
      <c r="CJ301" s="3">
        <f>SUM(CF301:CI301)</f>
        <v>0</v>
      </c>
      <c r="CK301" s="3">
        <f>CK251-CJ251</f>
        <v>0</v>
      </c>
      <c r="CL301" s="3">
        <f>CL251-CK251</f>
        <v>0</v>
      </c>
      <c r="CM301" s="3">
        <f>CM251-CL251</f>
        <v>0</v>
      </c>
      <c r="CN301" s="3">
        <f>CN251-CM251</f>
        <v>0</v>
      </c>
      <c r="CO301" s="3">
        <f>SUM(CK301:CN301)</f>
        <v>0</v>
      </c>
      <c r="CP301" s="3">
        <f>CP251-CO251</f>
        <v>0</v>
      </c>
      <c r="CQ301" s="3">
        <f>CQ251-CP251</f>
        <v>0</v>
      </c>
      <c r="CR301" s="3">
        <f>CR251-CQ251</f>
        <v>0</v>
      </c>
      <c r="CS301" s="3">
        <f>CS251-CR251</f>
        <v>0</v>
      </c>
      <c r="CT301" s="3">
        <f>SUM(CP301:CS301)</f>
        <v>0</v>
      </c>
      <c r="CU301" s="3">
        <f>CU251-CT251</f>
        <v>0</v>
      </c>
      <c r="CV301" s="3">
        <f>CV251-CU251</f>
        <v>0</v>
      </c>
      <c r="CW301" s="3">
        <f>CW251-CV251</f>
        <v>0</v>
      </c>
      <c r="CX301" s="3">
        <f>CX251-CW251</f>
        <v>0</v>
      </c>
      <c r="CY301" s="3">
        <f>SUM(CU301:CX301)</f>
        <v>0</v>
      </c>
    </row>
    <row r="302" collapsed="1">
      <c r="C302" s="29" t="inlineStr">
        <is>
          <t>Equity income in affiliates</t>
        </is>
      </c>
      <c r="D302" s="3" t="n"/>
      <c r="E302" s="3">
        <f>(E173-D173)*-1</f>
        <v>-0.0089999999999999</v>
      </c>
      <c r="F302" s="3">
        <f>(F173-E173)*-1</f>
        <v>-0.106</v>
      </c>
      <c r="G302" s="3">
        <f>(G173-F173)*-1</f>
        <v>-0.00600000000000001</v>
      </c>
      <c r="H302" s="3">
        <f>SUM(D302:G302)</f>
        <v>-0.121</v>
      </c>
      <c r="I302" s="3">
        <f>(I173-H173)*-1</f>
        <v>-0.746</v>
      </c>
      <c r="J302" s="3">
        <f>(J173-I173)*-1</f>
        <v>-0.156</v>
      </c>
      <c r="K302" s="3">
        <f>(K173-J173)*-1</f>
        <v>0.939</v>
      </c>
      <c r="L302" s="3">
        <f>(L173-K173)*-1</f>
        <v>0.0109999999999999</v>
      </c>
      <c r="M302" s="3">
        <f>SUM(I302:L302)</f>
        <v>0.048</v>
      </c>
      <c r="N302" s="3">
        <f>(N173-M173)*-1</f>
        <v>0.00300000000000011</v>
      </c>
      <c r="O302" s="3">
        <f>(O173-N173)*-1</f>
        <v>0.0489999999999999</v>
      </c>
      <c r="P302" s="3">
        <f>(P173-O173)*-1</f>
        <v>0.032</v>
      </c>
      <c r="Q302" s="3">
        <f>(Q173-P173)*-1</f>
        <v>0.00499999999999989</v>
      </c>
      <c r="R302" s="3">
        <f>SUM(N302:Q302)</f>
        <v>0.089</v>
      </c>
      <c r="S302" s="3">
        <f>(S173-R173)*-1</f>
        <v>0.00800000000000001</v>
      </c>
      <c r="T302" s="3">
        <f>(T173-S173)*-1</f>
        <v>-0.0189999999999999</v>
      </c>
      <c r="U302" s="3">
        <f>(U173-T173)*-1</f>
        <v>0.437</v>
      </c>
      <c r="V302" s="3">
        <f>(V173-U173)*-1</f>
        <v>-0.466</v>
      </c>
      <c r="W302" s="3">
        <f>SUM(S302:V302)</f>
        <v>-0.0399999999999998</v>
      </c>
      <c r="X302" s="3">
        <f>(X173-W173)*-1</f>
        <v>0.53</v>
      </c>
      <c r="Y302" s="3">
        <f>(Y173-X173)*-1</f>
        <v>0.023</v>
      </c>
      <c r="Z302" s="3">
        <f>(Z173-Y173)*-1</f>
        <v>0.0269999999999999</v>
      </c>
      <c r="AA302" s="3">
        <f>(AA173-Z173)*-1</f>
        <v>0</v>
      </c>
      <c r="AB302" s="3">
        <f>SUM(X302:AA302)</f>
        <v>0.58</v>
      </c>
      <c r="AC302" s="3">
        <f>(AC173-AB173)*-1</f>
        <v>0</v>
      </c>
      <c r="AD302" s="3">
        <f>(AD173-AC173)*-1</f>
        <v>0.562</v>
      </c>
      <c r="AE302" s="3">
        <f>(AE173-AD173)*-1</f>
        <v>-18.175</v>
      </c>
      <c r="AF302" s="3">
        <f>(AF173-AE173)*-1</f>
        <v>-1.522</v>
      </c>
      <c r="AG302" s="3">
        <f>SUM(AC302:AF302)</f>
        <v>-19.135</v>
      </c>
      <c r="AH302" s="3">
        <f>(AH173-AG173)*-1</f>
        <v>-0.390000000000001</v>
      </c>
      <c r="AI302" s="3">
        <f>(AI173-AH173)*-1</f>
        <v>-18.613</v>
      </c>
      <c r="AJ302" s="3">
        <f>(AJ173-AI173)*-1</f>
        <v>0</v>
      </c>
      <c r="AK302" s="3">
        <f>(AK173-AJ173)*-1</f>
        <v>0</v>
      </c>
      <c r="AL302" s="3">
        <f>SUM(AH302:AK302)</f>
        <v>-19.003</v>
      </c>
      <c r="AM302" s="3">
        <f>(AM173-AL173)*-1</f>
        <v>0</v>
      </c>
      <c r="AN302" s="3">
        <f>(AN173-AM173)*-1</f>
        <v>0</v>
      </c>
      <c r="AO302" s="3">
        <f>(AO173-AN173)*-1</f>
        <v>0</v>
      </c>
      <c r="AP302" s="3">
        <f>(AP173-AO173)*-1</f>
        <v>0</v>
      </c>
      <c r="AQ302" s="3">
        <f>SUM(AM302:AP302)</f>
        <v>0</v>
      </c>
      <c r="AR302" s="3">
        <f>(AR173-AQ173)*-1</f>
        <v>0</v>
      </c>
      <c r="AS302" s="3">
        <f>(AS173-AR173)*-1</f>
        <v>0</v>
      </c>
      <c r="AT302" s="3">
        <f>(AT173-AS173)*-1</f>
        <v>0</v>
      </c>
      <c r="AU302" s="3">
        <f>(AU173-AT173)*-1</f>
        <v>0</v>
      </c>
      <c r="AV302" s="3">
        <f>SUM(AR302:AU302)</f>
        <v>0</v>
      </c>
      <c r="AW302" s="3">
        <f>(AW173-AV173)*-1</f>
        <v>0</v>
      </c>
      <c r="AX302" s="3">
        <f>(AX173-AW173)*-1</f>
        <v>0</v>
      </c>
      <c r="AY302" s="3">
        <f>(AY173-AX173)*-1</f>
        <v>0</v>
      </c>
      <c r="AZ302" s="3">
        <f>(AZ173-AY173)*-1</f>
        <v>0</v>
      </c>
      <c r="BA302" s="3">
        <f>SUM(AW302:AZ302)</f>
        <v>0</v>
      </c>
      <c r="BB302" s="3">
        <f>(BB173-BA173)*-1</f>
        <v>0</v>
      </c>
      <c r="BC302" s="3">
        <f>(BC173-BB173)*-1</f>
        <v>0</v>
      </c>
      <c r="BD302" s="3">
        <f>(BD173-BC173)*-1</f>
        <v>0</v>
      </c>
      <c r="BE302" s="3">
        <f>(BE173-BD173)*-1</f>
        <v>0</v>
      </c>
      <c r="BF302" s="3">
        <f>SUM(BB302:BE302)</f>
        <v>0</v>
      </c>
      <c r="BG302" s="3">
        <f>(BG173-BF173)*-1</f>
        <v>0</v>
      </c>
      <c r="BH302" s="3">
        <f>(BH173-BG173)*-1</f>
        <v>0</v>
      </c>
      <c r="BI302" s="3">
        <f>(BI173-BH173)*-1</f>
        <v>0</v>
      </c>
      <c r="BJ302" s="3">
        <f>(BJ173-BI173)*-1</f>
        <v>0</v>
      </c>
      <c r="BK302" s="3">
        <f>SUM(BG302:BJ302)</f>
        <v>0</v>
      </c>
      <c r="BL302" s="3">
        <f>(BL173-BK173)*-1</f>
        <v>0</v>
      </c>
      <c r="BM302" s="3">
        <f>(BM173-BL173)*-1</f>
        <v>0</v>
      </c>
      <c r="BN302" s="3">
        <f>(BN173-BM173)*-1</f>
        <v>0</v>
      </c>
      <c r="BO302" s="3">
        <f>(BO173-BN173)*-1</f>
        <v>0</v>
      </c>
      <c r="BP302" s="3">
        <f>SUM(BL302:BO302)</f>
        <v>0</v>
      </c>
      <c r="BQ302" s="3">
        <f>(BQ173-BP173)*-1</f>
        <v>0</v>
      </c>
      <c r="BR302" s="3">
        <f>(BR173-BQ173)*-1</f>
        <v>0</v>
      </c>
      <c r="BS302" s="3">
        <f>(BS173-BR173)*-1</f>
        <v>0</v>
      </c>
      <c r="BT302" s="3">
        <f>(BT173-BS173)*-1</f>
        <v>0</v>
      </c>
      <c r="BU302" s="3">
        <f>SUM(BQ302:BT302)</f>
        <v>0</v>
      </c>
      <c r="BV302" s="3">
        <f>(BV173-BU173)*-1</f>
        <v>0</v>
      </c>
      <c r="BW302" s="3">
        <f>(BW173-BV173)*-1</f>
        <v>0</v>
      </c>
      <c r="BX302" s="3">
        <f>(BX173-BW173)*-1</f>
        <v>0</v>
      </c>
      <c r="BY302" s="3">
        <f>(BY173-BX173)*-1</f>
        <v>0</v>
      </c>
      <c r="BZ302" s="3">
        <f>SUM(BV302:BY302)</f>
        <v>0</v>
      </c>
      <c r="CA302" s="3">
        <f>(CA173-BZ173)*-1</f>
        <v>0</v>
      </c>
      <c r="CB302" s="3">
        <f>(CB173-CA173)*-1</f>
        <v>0</v>
      </c>
      <c r="CC302" s="3">
        <f>(CC173-CB173)*-1</f>
        <v>0</v>
      </c>
      <c r="CD302" s="3">
        <f>(CD173-CC173)*-1</f>
        <v>0</v>
      </c>
      <c r="CE302" s="3">
        <f>SUM(CA302:CD302)</f>
        <v>0</v>
      </c>
      <c r="CF302" s="3">
        <f>(CF173-CE173)*-1</f>
        <v>0</v>
      </c>
      <c r="CG302" s="3">
        <f>(CG173-CF173)*-1</f>
        <v>0</v>
      </c>
      <c r="CH302" s="3">
        <f>(CH173-CG173)*-1</f>
        <v>0</v>
      </c>
      <c r="CI302" s="3">
        <f>(CI173-CH173)*-1</f>
        <v>0</v>
      </c>
      <c r="CJ302" s="3">
        <f>SUM(CF302:CI302)</f>
        <v>0</v>
      </c>
      <c r="CK302" s="3">
        <f>(CK173-CJ173)*-1</f>
        <v>0</v>
      </c>
      <c r="CL302" s="3">
        <f>(CL173-CK173)*-1</f>
        <v>0</v>
      </c>
      <c r="CM302" s="3">
        <f>(CM173-CL173)*-1</f>
        <v>0</v>
      </c>
      <c r="CN302" s="3">
        <f>(CN173-CM173)*-1</f>
        <v>0</v>
      </c>
      <c r="CO302" s="3">
        <f>SUM(CK302:CN302)</f>
        <v>0</v>
      </c>
      <c r="CP302" s="3">
        <f>(CP173-CO173)*-1</f>
        <v>0</v>
      </c>
      <c r="CQ302" s="3">
        <f>(CQ173-CP173)*-1</f>
        <v>0</v>
      </c>
      <c r="CR302" s="3">
        <f>(CR173-CQ173)*-1</f>
        <v>0</v>
      </c>
      <c r="CS302" s="3">
        <f>(CS173-CR173)*-1</f>
        <v>0</v>
      </c>
      <c r="CT302" s="3">
        <f>SUM(CP302:CS302)</f>
        <v>0</v>
      </c>
      <c r="CU302" s="3">
        <f>(CU173-CT173)*-1</f>
        <v>0</v>
      </c>
      <c r="CV302" s="3">
        <f>(CV173-CU173)*-1</f>
        <v>0</v>
      </c>
      <c r="CW302" s="3">
        <f>(CW173-CV173)*-1</f>
        <v>0</v>
      </c>
      <c r="CX302" s="3">
        <f>(CX173-CW173)*-1</f>
        <v>0</v>
      </c>
      <c r="CY302" s="3">
        <f>SUM(CU302:CX302)</f>
        <v>0</v>
      </c>
    </row>
    <row r="303">
      <c r="C303" s="29" t="inlineStr">
        <is>
          <t>Dividends received from affiliates</t>
        </is>
      </c>
      <c r="D303" s="3" t="n"/>
      <c r="E303" s="3">
        <f>-E176</f>
        <v>0</v>
      </c>
      <c r="F303" s="3">
        <f>-F176</f>
        <v>0</v>
      </c>
      <c r="G303" s="3">
        <f>-G176</f>
        <v>0</v>
      </c>
      <c r="H303" s="3">
        <f>SUM(D303:G303)</f>
        <v>0</v>
      </c>
      <c r="I303" s="3">
        <f>-I176</f>
        <v>0</v>
      </c>
      <c r="J303" s="3">
        <f>-J176</f>
        <v>0</v>
      </c>
      <c r="K303" s="3">
        <f>-K176</f>
        <v>0</v>
      </c>
      <c r="L303" s="3">
        <f>-L176</f>
        <v>0</v>
      </c>
      <c r="M303" s="3">
        <f>SUM(I303:L303)</f>
        <v>0</v>
      </c>
      <c r="N303" s="3">
        <f>-N176</f>
        <v>0</v>
      </c>
      <c r="O303" s="3">
        <f>-O176</f>
        <v>0</v>
      </c>
      <c r="P303" s="3">
        <f>-P176</f>
        <v>0</v>
      </c>
      <c r="Q303" s="3">
        <f>-Q176</f>
        <v>0</v>
      </c>
      <c r="R303" s="3">
        <f>SUM(N303:Q303)</f>
        <v>0</v>
      </c>
      <c r="S303" s="3">
        <f>-S176</f>
        <v>0</v>
      </c>
      <c r="T303" s="3">
        <f>-T176</f>
        <v>0</v>
      </c>
      <c r="U303" s="3">
        <f>-U176</f>
        <v>0</v>
      </c>
      <c r="V303" s="3">
        <f>-V176</f>
        <v>0</v>
      </c>
      <c r="W303" s="3">
        <f>SUM(S303:V303)</f>
        <v>0</v>
      </c>
      <c r="X303" s="3">
        <f>-X176</f>
        <v>0</v>
      </c>
      <c r="Y303" s="3">
        <f>-Y176</f>
        <v>0</v>
      </c>
      <c r="Z303" s="3">
        <f>-Z176</f>
        <v>0</v>
      </c>
      <c r="AA303" s="3">
        <f>-AA176</f>
        <v>0</v>
      </c>
      <c r="AB303" s="3">
        <f>SUM(X303:AA303)</f>
        <v>0</v>
      </c>
      <c r="AC303" s="3">
        <f>-AC176</f>
        <v>0</v>
      </c>
      <c r="AD303" s="3">
        <f>-AD176</f>
        <v>0</v>
      </c>
      <c r="AE303" s="3">
        <f>-AE176</f>
        <v>0</v>
      </c>
      <c r="AF303" s="3">
        <f>-AF176</f>
        <v>0</v>
      </c>
      <c r="AG303" s="3">
        <f>SUM(AC303:AF303)</f>
        <v>0</v>
      </c>
      <c r="AH303" s="3">
        <f>-AH176</f>
        <v>0</v>
      </c>
      <c r="AI303" s="3">
        <f>-AI176</f>
        <v>0</v>
      </c>
      <c r="AJ303" s="3">
        <f>-AJ176</f>
        <v>0</v>
      </c>
      <c r="AK303" s="3">
        <f>-AK176</f>
        <v>0</v>
      </c>
      <c r="AL303" s="3">
        <f>SUM(AH303:AK303)</f>
        <v>0</v>
      </c>
      <c r="AM303" s="3">
        <f>-AM176</f>
        <v>0</v>
      </c>
      <c r="AN303" s="3">
        <f>-AN176</f>
        <v>0</v>
      </c>
      <c r="AO303" s="3">
        <f>-AO176</f>
        <v>0</v>
      </c>
      <c r="AP303" s="3">
        <f>-AP176</f>
        <v>0</v>
      </c>
      <c r="AQ303" s="3">
        <f>SUM(AM303:AP303)</f>
        <v>0</v>
      </c>
      <c r="AR303" s="3">
        <f>-AR176</f>
        <v>0</v>
      </c>
      <c r="AS303" s="3">
        <f>-AS176</f>
        <v>0</v>
      </c>
      <c r="AT303" s="3">
        <f>-AT176</f>
        <v>0</v>
      </c>
      <c r="AU303" s="3">
        <f>-AU176</f>
        <v>0</v>
      </c>
      <c r="AV303" s="3">
        <f>SUM(AR303:AU303)</f>
        <v>0</v>
      </c>
      <c r="AW303" s="3">
        <f>-AW176</f>
        <v>0</v>
      </c>
      <c r="AX303" s="3">
        <f>-AX176</f>
        <v>0</v>
      </c>
      <c r="AY303" s="3">
        <f>-AY176</f>
        <v>0</v>
      </c>
      <c r="AZ303" s="3">
        <f>-AZ176</f>
        <v>0</v>
      </c>
      <c r="BA303" s="3">
        <f>SUM(AW303:AZ303)</f>
        <v>0</v>
      </c>
      <c r="BB303" s="3">
        <f>-BB176</f>
        <v>0</v>
      </c>
      <c r="BC303" s="3">
        <f>-BC176</f>
        <v>0</v>
      </c>
      <c r="BD303" s="3">
        <f>-BD176</f>
        <v>0</v>
      </c>
      <c r="BE303" s="3">
        <f>-BE176</f>
        <v>0</v>
      </c>
      <c r="BF303" s="3">
        <f>SUM(BB303:BE303)</f>
        <v>0</v>
      </c>
      <c r="BG303" s="3">
        <f>-BG176</f>
        <v>0</v>
      </c>
      <c r="BH303" s="3">
        <f>-BH176</f>
        <v>0</v>
      </c>
      <c r="BI303" s="3">
        <f>-BI176</f>
        <v>0</v>
      </c>
      <c r="BJ303" s="3">
        <f>-BJ176</f>
        <v>0</v>
      </c>
      <c r="BK303" s="3">
        <f>SUM(BG303:BJ303)</f>
        <v>0</v>
      </c>
      <c r="BL303" s="3">
        <f>-BL176</f>
        <v>0</v>
      </c>
      <c r="BM303" s="3">
        <f>-BM176</f>
        <v>0</v>
      </c>
      <c r="BN303" s="3">
        <f>-BN176</f>
        <v>0</v>
      </c>
      <c r="BO303" s="3">
        <f>-BO176</f>
        <v>0</v>
      </c>
      <c r="BP303" s="3">
        <f>SUM(BL303:BO303)</f>
        <v>0</v>
      </c>
      <c r="BQ303" s="3">
        <f>-BQ176</f>
        <v>0</v>
      </c>
      <c r="BR303" s="3">
        <f>-BR176</f>
        <v>0</v>
      </c>
      <c r="BS303" s="3">
        <f>-BS176</f>
        <v>0</v>
      </c>
      <c r="BT303" s="3">
        <f>-BT176</f>
        <v>0</v>
      </c>
      <c r="BU303" s="3">
        <f>SUM(BQ303:BT303)</f>
        <v>0</v>
      </c>
      <c r="BV303" s="3">
        <f>-BV176</f>
        <v>0</v>
      </c>
      <c r="BW303" s="3">
        <f>-BW176</f>
        <v>0</v>
      </c>
      <c r="BX303" s="3">
        <f>-BX176</f>
        <v>0</v>
      </c>
      <c r="BY303" s="3">
        <f>-BY176</f>
        <v>0</v>
      </c>
      <c r="BZ303" s="3">
        <f>SUM(BV303:BY303)</f>
        <v>0</v>
      </c>
      <c r="CA303" s="3">
        <f>-CA176</f>
        <v>0</v>
      </c>
      <c r="CB303" s="3">
        <f>-CB176</f>
        <v>0</v>
      </c>
      <c r="CC303" s="3">
        <f>-CC176</f>
        <v>0</v>
      </c>
      <c r="CD303" s="3">
        <f>-CD176</f>
        <v>0</v>
      </c>
      <c r="CE303" s="3">
        <f>SUM(CA303:CD303)</f>
        <v>0</v>
      </c>
      <c r="CF303" s="3">
        <f>-CF176</f>
        <v>0</v>
      </c>
      <c r="CG303" s="3">
        <f>-CG176</f>
        <v>0</v>
      </c>
      <c r="CH303" s="3">
        <f>-CH176</f>
        <v>0</v>
      </c>
      <c r="CI303" s="3">
        <f>-CI176</f>
        <v>0</v>
      </c>
      <c r="CJ303" s="3">
        <f>SUM(CF303:CI303)</f>
        <v>0</v>
      </c>
      <c r="CK303" s="3">
        <f>-CK176</f>
        <v>0</v>
      </c>
      <c r="CL303" s="3">
        <f>-CL176</f>
        <v>0</v>
      </c>
      <c r="CM303" s="3">
        <f>-CM176</f>
        <v>0</v>
      </c>
      <c r="CN303" s="3">
        <f>-CN176</f>
        <v>0</v>
      </c>
      <c r="CO303" s="3">
        <f>SUM(CK303:CN303)</f>
        <v>0</v>
      </c>
      <c r="CP303" s="3">
        <f>-CP176</f>
        <v>0</v>
      </c>
      <c r="CQ303" s="3">
        <f>-CQ176</f>
        <v>0</v>
      </c>
      <c r="CR303" s="3">
        <f>-CR176</f>
        <v>0</v>
      </c>
      <c r="CS303" s="3">
        <f>-CS176</f>
        <v>0</v>
      </c>
      <c r="CT303" s="3">
        <f>SUM(CP303:CS303)</f>
        <v>0</v>
      </c>
      <c r="CU303" s="3">
        <f>-CU176</f>
        <v>0</v>
      </c>
      <c r="CV303" s="3">
        <f>-CV176</f>
        <v>0</v>
      </c>
      <c r="CW303" s="3">
        <f>-CW176</f>
        <v>0</v>
      </c>
      <c r="CX303" s="3">
        <f>-CX176</f>
        <v>0</v>
      </c>
      <c r="CY303" s="3">
        <f>SUM(CU303:CX303)</f>
        <v>0</v>
      </c>
    </row>
    <row r="304">
      <c r="C304" s="30" t="inlineStr">
        <is>
          <t>Minority interest expense</t>
        </is>
      </c>
      <c r="D304" s="3" t="n"/>
      <c r="E304" s="3">
        <f>-E148</f>
        <v>0</v>
      </c>
      <c r="F304" s="3">
        <f>-F148</f>
        <v>0</v>
      </c>
      <c r="G304" s="3">
        <f>-G148</f>
        <v>0</v>
      </c>
      <c r="H304" s="3">
        <f>SUM(D304:G304)</f>
        <v>0</v>
      </c>
      <c r="I304" s="3">
        <f>-I148</f>
        <v>0</v>
      </c>
      <c r="J304" s="3">
        <f>-J148</f>
        <v>0</v>
      </c>
      <c r="K304" s="3">
        <f>-K148</f>
        <v>0</v>
      </c>
      <c r="L304" s="3">
        <f>-L148</f>
        <v>0</v>
      </c>
      <c r="M304" s="3">
        <f>SUM(I304:L304)</f>
        <v>0</v>
      </c>
      <c r="N304" s="3">
        <f>-N148</f>
        <v>0</v>
      </c>
      <c r="O304" s="3">
        <f>-O148</f>
        <v>0</v>
      </c>
      <c r="P304" s="3">
        <f>-P148</f>
        <v>0</v>
      </c>
      <c r="Q304" s="3">
        <f>-Q148</f>
        <v>0</v>
      </c>
      <c r="R304" s="3">
        <f>SUM(N304:Q304)</f>
        <v>0</v>
      </c>
      <c r="S304" s="3">
        <f>-S148</f>
        <v>0</v>
      </c>
      <c r="T304" s="3">
        <f>-T148</f>
        <v>0</v>
      </c>
      <c r="U304" s="3">
        <f>-U148</f>
        <v>0</v>
      </c>
      <c r="V304" s="3">
        <f>-V148</f>
        <v>0</v>
      </c>
      <c r="W304" s="3">
        <f>SUM(S304:V304)</f>
        <v>0</v>
      </c>
      <c r="X304" s="3">
        <f>-X148</f>
        <v>0</v>
      </c>
      <c r="Y304" s="3">
        <f>-Y148</f>
        <v>0</v>
      </c>
      <c r="Z304" s="3">
        <f>-Z148</f>
        <v>0</v>
      </c>
      <c r="AA304" s="3">
        <f>-AA148</f>
        <v>0</v>
      </c>
      <c r="AB304" s="3">
        <f>SUM(X304:AA304)</f>
        <v>0</v>
      </c>
      <c r="AC304" s="3">
        <f>-AC148</f>
        <v>0</v>
      </c>
      <c r="AD304" s="3">
        <f>-AD148</f>
        <v>0</v>
      </c>
      <c r="AE304" s="3">
        <f>-AE148</f>
        <v>0</v>
      </c>
      <c r="AF304" s="3">
        <f>-AF148</f>
        <v>0</v>
      </c>
      <c r="AG304" s="3">
        <f>SUM(AC304:AF304)</f>
        <v>0</v>
      </c>
      <c r="AH304" s="3">
        <f>-AH148</f>
        <v>0</v>
      </c>
      <c r="AI304" s="3">
        <f>-AI148</f>
        <v>0</v>
      </c>
      <c r="AJ304" s="3">
        <f>-AJ148</f>
        <v>0</v>
      </c>
      <c r="AK304" s="3">
        <f>-AK148</f>
        <v>0</v>
      </c>
      <c r="AL304" s="3">
        <f>SUM(AH304:AK304)</f>
        <v>0</v>
      </c>
      <c r="AM304" s="3">
        <f>-AM148</f>
        <v>0</v>
      </c>
      <c r="AN304" s="3">
        <f>-AN148</f>
        <v>0</v>
      </c>
      <c r="AO304" s="3">
        <f>-AO148</f>
        <v>0</v>
      </c>
      <c r="AP304" s="3">
        <f>-AP148</f>
        <v>0</v>
      </c>
      <c r="AQ304" s="3">
        <f>SUM(AM304:AP304)</f>
        <v>0</v>
      </c>
      <c r="AR304" s="3">
        <f>-AR148</f>
        <v>0</v>
      </c>
      <c r="AS304" s="3">
        <f>-AS148</f>
        <v>0</v>
      </c>
      <c r="AT304" s="3">
        <f>-AT148</f>
        <v>0</v>
      </c>
      <c r="AU304" s="3">
        <f>-AU148</f>
        <v>0</v>
      </c>
      <c r="AV304" s="3">
        <f>SUM(AR304:AU304)</f>
        <v>0</v>
      </c>
      <c r="AW304" s="3">
        <f>-AW148</f>
        <v>0</v>
      </c>
      <c r="AX304" s="3">
        <f>-AX148</f>
        <v>0</v>
      </c>
      <c r="AY304" s="3">
        <f>-AY148</f>
        <v>0</v>
      </c>
      <c r="AZ304" s="3">
        <f>-AZ148</f>
        <v>0</v>
      </c>
      <c r="BA304" s="3">
        <f>SUM(AW304:AZ304)</f>
        <v>0</v>
      </c>
      <c r="BB304" s="3">
        <f>-BB148</f>
        <v>0</v>
      </c>
      <c r="BC304" s="3">
        <f>-BC148</f>
        <v>0</v>
      </c>
      <c r="BD304" s="3">
        <f>-BD148</f>
        <v>0</v>
      </c>
      <c r="BE304" s="3">
        <f>-BE148</f>
        <v>0</v>
      </c>
      <c r="BF304" s="3">
        <f>SUM(BB304:BE304)</f>
        <v>0</v>
      </c>
      <c r="BG304" s="3">
        <f>-BG148</f>
        <v>0</v>
      </c>
      <c r="BH304" s="3">
        <f>-BH148</f>
        <v>0</v>
      </c>
      <c r="BI304" s="3">
        <f>-BI148</f>
        <v>0</v>
      </c>
      <c r="BJ304" s="3">
        <f>-BJ148</f>
        <v>0</v>
      </c>
      <c r="BK304" s="3">
        <f>SUM(BG304:BJ304)</f>
        <v>0</v>
      </c>
      <c r="BL304" s="3">
        <f>-BL148</f>
        <v>0</v>
      </c>
      <c r="BM304" s="3">
        <f>-BM148</f>
        <v>0</v>
      </c>
      <c r="BN304" s="3">
        <f>-BN148</f>
        <v>0</v>
      </c>
      <c r="BO304" s="3">
        <f>-BO148</f>
        <v>0</v>
      </c>
      <c r="BP304" s="3">
        <f>SUM(BL304:BO304)</f>
        <v>0</v>
      </c>
      <c r="BQ304" s="3">
        <f>-BQ148</f>
        <v>0</v>
      </c>
      <c r="BR304" s="3">
        <f>-BR148</f>
        <v>0</v>
      </c>
      <c r="BS304" s="3">
        <f>-BS148</f>
        <v>0</v>
      </c>
      <c r="BT304" s="3">
        <f>-BT148</f>
        <v>0</v>
      </c>
      <c r="BU304" s="3">
        <f>SUM(BQ304:BT304)</f>
        <v>0</v>
      </c>
      <c r="BV304" s="3">
        <f>-BV148</f>
        <v>0</v>
      </c>
      <c r="BW304" s="3">
        <f>-BW148</f>
        <v>0</v>
      </c>
      <c r="BX304" s="3">
        <f>-BX148</f>
        <v>0</v>
      </c>
      <c r="BY304" s="3">
        <f>-BY148</f>
        <v>0</v>
      </c>
      <c r="BZ304" s="3">
        <f>SUM(BV304:BY304)</f>
        <v>0</v>
      </c>
      <c r="CA304" s="3">
        <f>-CA148</f>
        <v>0</v>
      </c>
      <c r="CB304" s="3">
        <f>-CB148</f>
        <v>0</v>
      </c>
      <c r="CC304" s="3">
        <f>-CC148</f>
        <v>0</v>
      </c>
      <c r="CD304" s="3">
        <f>-CD148</f>
        <v>0</v>
      </c>
      <c r="CE304" s="3">
        <f>SUM(CA304:CD304)</f>
        <v>0</v>
      </c>
      <c r="CF304" s="3">
        <f>-CF148</f>
        <v>0</v>
      </c>
      <c r="CG304" s="3">
        <f>-CG148</f>
        <v>0</v>
      </c>
      <c r="CH304" s="3">
        <f>-CH148</f>
        <v>0</v>
      </c>
      <c r="CI304" s="3">
        <f>-CI148</f>
        <v>0</v>
      </c>
      <c r="CJ304" s="3">
        <f>SUM(CF304:CI304)</f>
        <v>0</v>
      </c>
      <c r="CK304" s="3">
        <f>-CK148</f>
        <v>0</v>
      </c>
      <c r="CL304" s="3">
        <f>-CL148</f>
        <v>0</v>
      </c>
      <c r="CM304" s="3">
        <f>-CM148</f>
        <v>0</v>
      </c>
      <c r="CN304" s="3">
        <f>-CN148</f>
        <v>0</v>
      </c>
      <c r="CO304" s="3">
        <f>SUM(CK304:CN304)</f>
        <v>0</v>
      </c>
      <c r="CP304" s="3">
        <f>-CP148</f>
        <v>0</v>
      </c>
      <c r="CQ304" s="3">
        <f>-CQ148</f>
        <v>0</v>
      </c>
      <c r="CR304" s="3">
        <f>-CR148</f>
        <v>0</v>
      </c>
      <c r="CS304" s="3">
        <f>-CS148</f>
        <v>0</v>
      </c>
      <c r="CT304" s="3">
        <f>SUM(CP304:CS304)</f>
        <v>0</v>
      </c>
      <c r="CU304" s="3">
        <f>-CU148</f>
        <v>0</v>
      </c>
      <c r="CV304" s="3">
        <f>-CV148</f>
        <v>0</v>
      </c>
      <c r="CW304" s="3">
        <f>-CW148</f>
        <v>0</v>
      </c>
      <c r="CX304" s="3">
        <f>-CX148</f>
        <v>0</v>
      </c>
      <c r="CY304" s="3">
        <f>SUM(CU304:CX304)</f>
        <v>0</v>
      </c>
    </row>
    <row r="305">
      <c r="C305" s="26" t="inlineStr">
        <is>
          <t>Cash from operations</t>
        </is>
      </c>
      <c r="D305" s="3" t="n"/>
      <c r="E305" s="3">
        <f>SUM(E289,E290,E291,E302,E303,E304)</f>
        <v>-594.785</v>
      </c>
      <c r="F305" s="3">
        <f>SUM(F289,F290,F291,F302,F303,F304)</f>
        <v>839.428</v>
      </c>
      <c r="G305" s="3">
        <f>SUM(G289,G290,G291,G302,G303,G304)</f>
        <v>328.546</v>
      </c>
      <c r="H305" s="3">
        <f>SUM(H289,H290,H291,H302,H303,H304)</f>
        <v>573.189</v>
      </c>
      <c r="I305" s="3">
        <f>SUM(I289,I290,I291,I302,I303,I304)</f>
        <v>-50.4059999999999</v>
      </c>
      <c r="J305" s="3">
        <f>SUM(J289,J290,J291,J302,J303,J304)</f>
        <v>599.964</v>
      </c>
      <c r="K305" s="3">
        <f>SUM(K289,K290,K291,K302,K303,K304)</f>
        <v>380.563</v>
      </c>
      <c r="L305" s="3">
        <f>SUM(L289,L290,L291,L302,L303,L304)</f>
        <v>1590.228</v>
      </c>
      <c r="M305" s="3">
        <f>SUM(M289,M290,M291,M302,M303,M304)</f>
        <v>2520.349</v>
      </c>
      <c r="N305" s="3">
        <f>SUM(N289,N290,N291,N302,N303,N304)</f>
        <v>-606.792</v>
      </c>
      <c r="O305" s="3">
        <f>SUM(O289,O290,O291,O302,O303,O304)</f>
        <v>883.752</v>
      </c>
      <c r="P305" s="3">
        <f>SUM(P289,P290,P291,P302,P303,P304)</f>
        <v>-384.746</v>
      </c>
      <c r="Q305" s="3">
        <f>SUM(Q289,Q290,Q291,Q302,Q303,Q304)</f>
        <v>1431.402</v>
      </c>
      <c r="R305" s="3">
        <f>SUM(R289,R290,R291,R302,R303,R304)</f>
        <v>1323.616</v>
      </c>
      <c r="S305" s="3">
        <f>SUM(S289,S290,S291,S302,S303,S304)</f>
        <v>-482.262</v>
      </c>
      <c r="T305" s="3">
        <f>SUM(T289,T290,T291,T302,T303,T304)</f>
        <v>-85.2079999999998</v>
      </c>
      <c r="U305" s="3">
        <f>SUM(U289,U290,U291,U302,U303,U304)</f>
        <v>1002.01</v>
      </c>
      <c r="V305" s="3">
        <f>SUM(V289,V290,V291,V302,V303,V304)</f>
        <v>3803.407</v>
      </c>
      <c r="W305" s="3">
        <f>SUM(W289,W290,W291,W302,W303,W304)</f>
        <v>4237.947</v>
      </c>
      <c r="X305" s="3">
        <f>SUM(X289,X290,X291,X302,X303,X304)</f>
        <v>-82.5440000000003</v>
      </c>
      <c r="Y305" s="3">
        <f>SUM(Y289,Y290,Y291,Y302,Y303,Y304)</f>
        <v>202.612999999999</v>
      </c>
      <c r="Z305" s="3">
        <f>SUM(Z289,Z290,Z291,Z302,Z303,Z304)</f>
        <v>348.407</v>
      </c>
      <c r="AA305" s="3">
        <f>SUM(AA289,AA290,AA291,AA302,AA303,AA304)</f>
        <v>1890.151</v>
      </c>
      <c r="AB305" s="3">
        <f>SUM(AB289,AB290,AB291,AB302,AB303,AB304)</f>
        <v>2358.627</v>
      </c>
      <c r="AC305" s="3">
        <f>SUM(AC289,AC290,AC291,AC302,AC303,AC304)</f>
        <v>-2068.567</v>
      </c>
      <c r="AD305" s="3">
        <f>SUM(AD289,AD290,AD291,AD302,AD303,AD304)</f>
        <v>1478.778</v>
      </c>
      <c r="AE305" s="3">
        <f>SUM(AE289,AE290,AE291,AE302,AE303,AE304)</f>
        <v>1309.226</v>
      </c>
      <c r="AF305" s="3">
        <f>SUM(AF289,AF290,AF291,AF302,AF303,AF304)</f>
        <v>3494.1813495834</v>
      </c>
      <c r="AG305" s="3">
        <f>SUM(AG289,AG290,AG291,AG302,AG303,AG304)</f>
        <v>4213.6183495834</v>
      </c>
      <c r="AH305" s="3">
        <f>SUM(AH289,AH290,AH291,AH302,AH303,AH304)</f>
        <v>-942.6818874986</v>
      </c>
      <c r="AI305" s="3">
        <f>SUM(AI289,AI290,AI291,AI302,AI303,AI304)</f>
        <v>918.943281276558</v>
      </c>
      <c r="AJ305" s="3">
        <f>SUM(AJ289,AJ290,AJ291,AJ302,AJ303,AJ304)</f>
        <v>-3205.1595924</v>
      </c>
      <c r="AK305" s="3">
        <f>SUM(AK289,AK290,AK291,AK302,AK303,AK304)</f>
        <v>155.1356947</v>
      </c>
      <c r="AL305" s="3">
        <f>SUM(AL289,AL290,AL291,AL302,AL303,AL304)</f>
        <v>-3073.76250392204</v>
      </c>
      <c r="AM305" s="3" t="e">
        <f>SUM(AM289,AM290,AM291,AM302,AM303,AM304)</f>
        <v>#DIV/0!</v>
      </c>
      <c r="AN305" s="3" t="e">
        <f>SUM(AN289,AN290,AN291,AN302,AN303,AN304)</f>
        <v>#DIV/0!</v>
      </c>
      <c r="AO305" s="3" t="e">
        <f>SUM(AO289,AO290,AO291,AO302,AO303,AO304)</f>
        <v>#DIV/0!</v>
      </c>
      <c r="AP305" s="3" t="e">
        <f>SUM(AP289,AP290,AP291,AP302,AP303,AP304)</f>
        <v>#DIV/0!</v>
      </c>
      <c r="AQ305" s="3" t="e">
        <f>SUM(AQ289,AQ290,AQ291,AQ302,AQ303,AQ304)</f>
        <v>#DIV/0!</v>
      </c>
      <c r="AR305" s="3" t="e">
        <f>SUM(AR289,AR290,AR291,AR302,AR303,AR304)</f>
        <v>#DIV/0!</v>
      </c>
      <c r="AS305" s="3" t="e">
        <f>SUM(AS289,AS290,AS291,AS302,AS303,AS304)</f>
        <v>#DIV/0!</v>
      </c>
      <c r="AT305" s="3" t="e">
        <f>SUM(AT289,AT290,AT291,AT302,AT303,AT304)</f>
        <v>#DIV/0!</v>
      </c>
      <c r="AU305" s="3" t="e">
        <f>SUM(AU289,AU290,AU291,AU302,AU303,AU304)</f>
        <v>#DIV/0!</v>
      </c>
      <c r="AV305" s="3" t="e">
        <f>SUM(AV289,AV290,AV291,AV302,AV303,AV304)</f>
        <v>#DIV/0!</v>
      </c>
      <c r="AW305" s="3" t="e">
        <f>SUM(AW289,AW290,AW291,AW302,AW303,AW304)</f>
        <v>#DIV/0!</v>
      </c>
      <c r="AX305" s="3" t="e">
        <f>SUM(AX289,AX290,AX291,AX302,AX303,AX304)</f>
        <v>#DIV/0!</v>
      </c>
      <c r="AY305" s="3" t="e">
        <f>SUM(AY289,AY290,AY291,AY302,AY303,AY304)</f>
        <v>#DIV/0!</v>
      </c>
      <c r="AZ305" s="3" t="e">
        <f>SUM(AZ289,AZ290,AZ291,AZ302,AZ303,AZ304)</f>
        <v>#DIV/0!</v>
      </c>
      <c r="BA305" s="3" t="e">
        <f>SUM(BA289,BA290,BA291,BA302,BA303,BA304)</f>
        <v>#DIV/0!</v>
      </c>
      <c r="BB305" s="3" t="e">
        <f>SUM(BB289,BB290,BB291,BB302,BB303,BB304)</f>
        <v>#DIV/0!</v>
      </c>
      <c r="BC305" s="3" t="e">
        <f>SUM(BC289,BC290,BC291,BC302,BC303,BC304)</f>
        <v>#DIV/0!</v>
      </c>
      <c r="BD305" s="3" t="e">
        <f>SUM(BD289,BD290,BD291,BD302,BD303,BD304)</f>
        <v>#DIV/0!</v>
      </c>
      <c r="BE305" s="3" t="e">
        <f>SUM(BE289,BE290,BE291,BE302,BE303,BE304)</f>
        <v>#DIV/0!</v>
      </c>
      <c r="BF305" s="3" t="e">
        <f>SUM(BF289,BF290,BF291,BF302,BF303,BF304)</f>
        <v>#DIV/0!</v>
      </c>
      <c r="BG305" s="3" t="e">
        <f>SUM(BG289,BG290,BG291,BG302,BG303,BG304)</f>
        <v>#DIV/0!</v>
      </c>
      <c r="BH305" s="3" t="e">
        <f>SUM(BH289,BH290,BH291,BH302,BH303,BH304)</f>
        <v>#DIV/0!</v>
      </c>
      <c r="BI305" s="3" t="e">
        <f>SUM(BI289,BI290,BI291,BI302,BI303,BI304)</f>
        <v>#DIV/0!</v>
      </c>
      <c r="BJ305" s="3" t="e">
        <f>SUM(BJ289,BJ290,BJ291,BJ302,BJ303,BJ304)</f>
        <v>#DIV/0!</v>
      </c>
      <c r="BK305" s="3" t="e">
        <f>SUM(BK289,BK290,BK291,BK302,BK303,BK304)</f>
        <v>#DIV/0!</v>
      </c>
      <c r="BL305" s="3" t="e">
        <f>SUM(BL289,BL290,BL291,BL302,BL303,BL304)</f>
        <v>#DIV/0!</v>
      </c>
      <c r="BM305" s="3" t="e">
        <f>SUM(BM289,BM290,BM291,BM302,BM303,BM304)</f>
        <v>#DIV/0!</v>
      </c>
      <c r="BN305" s="3" t="e">
        <f>SUM(BN289,BN290,BN291,BN302,BN303,BN304)</f>
        <v>#DIV/0!</v>
      </c>
      <c r="BO305" s="3" t="e">
        <f>SUM(BO289,BO290,BO291,BO302,BO303,BO304)</f>
        <v>#DIV/0!</v>
      </c>
      <c r="BP305" s="3" t="e">
        <f>SUM(BP289,BP290,BP291,BP302,BP303,BP304)</f>
        <v>#DIV/0!</v>
      </c>
      <c r="BQ305" s="3" t="e">
        <f>SUM(BQ289,BQ290,BQ291,BQ302,BQ303,BQ304)</f>
        <v>#DIV/0!</v>
      </c>
      <c r="BR305" s="3" t="e">
        <f>SUM(BR289,BR290,BR291,BR302,BR303,BR304)</f>
        <v>#DIV/0!</v>
      </c>
      <c r="BS305" s="3" t="e">
        <f>SUM(BS289,BS290,BS291,BS302,BS303,BS304)</f>
        <v>#DIV/0!</v>
      </c>
      <c r="BT305" s="3" t="e">
        <f>SUM(BT289,BT290,BT291,BT302,BT303,BT304)</f>
        <v>#DIV/0!</v>
      </c>
      <c r="BU305" s="3" t="e">
        <f>SUM(BU289,BU290,BU291,BU302,BU303,BU304)</f>
        <v>#DIV/0!</v>
      </c>
      <c r="BV305" s="3" t="e">
        <f>SUM(BV289,BV290,BV291,BV302,BV303,BV304)</f>
        <v>#DIV/0!</v>
      </c>
      <c r="BW305" s="3" t="e">
        <f>SUM(BW289,BW290,BW291,BW302,BW303,BW304)</f>
        <v>#DIV/0!</v>
      </c>
      <c r="BX305" s="3" t="e">
        <f>SUM(BX289,BX290,BX291,BX302,BX303,BX304)</f>
        <v>#DIV/0!</v>
      </c>
      <c r="BY305" s="3" t="e">
        <f>SUM(BY289,BY290,BY291,BY302,BY303,BY304)</f>
        <v>#DIV/0!</v>
      </c>
      <c r="BZ305" s="3" t="e">
        <f>SUM(BZ289,BZ290,BZ291,BZ302,BZ303,BZ304)</f>
        <v>#DIV/0!</v>
      </c>
      <c r="CA305" s="3" t="e">
        <f>SUM(CA289,CA290,CA291,CA302,CA303,CA304)</f>
        <v>#DIV/0!</v>
      </c>
      <c r="CB305" s="3" t="e">
        <f>SUM(CB289,CB290,CB291,CB302,CB303,CB304)</f>
        <v>#DIV/0!</v>
      </c>
      <c r="CC305" s="3" t="e">
        <f>SUM(CC289,CC290,CC291,CC302,CC303,CC304)</f>
        <v>#DIV/0!</v>
      </c>
      <c r="CD305" s="3" t="e">
        <f>SUM(CD289,CD290,CD291,CD302,CD303,CD304)</f>
        <v>#DIV/0!</v>
      </c>
      <c r="CE305" s="3" t="e">
        <f>SUM(CE289,CE290,CE291,CE302,CE303,CE304)</f>
        <v>#DIV/0!</v>
      </c>
      <c r="CF305" s="3" t="e">
        <f>SUM(CF289,CF290,CF291,CF302,CF303,CF304)</f>
        <v>#DIV/0!</v>
      </c>
      <c r="CG305" s="3" t="e">
        <f>SUM(CG289,CG290,CG291,CG302,CG303,CG304)</f>
        <v>#DIV/0!</v>
      </c>
      <c r="CH305" s="3" t="e">
        <f>SUM(CH289,CH290,CH291,CH302,CH303,CH304)</f>
        <v>#DIV/0!</v>
      </c>
      <c r="CI305" s="3" t="e">
        <f>SUM(CI289,CI290,CI291,CI302,CI303,CI304)</f>
        <v>#DIV/0!</v>
      </c>
      <c r="CJ305" s="3" t="e">
        <f>SUM(CJ289,CJ290,CJ291,CJ302,CJ303,CJ304)</f>
        <v>#DIV/0!</v>
      </c>
      <c r="CK305" s="3" t="e">
        <f>SUM(CK289,CK290,CK291,CK302,CK303,CK304)</f>
        <v>#DIV/0!</v>
      </c>
      <c r="CL305" s="3" t="e">
        <f>SUM(CL289,CL290,CL291,CL302,CL303,CL304)</f>
        <v>#DIV/0!</v>
      </c>
      <c r="CM305" s="3" t="e">
        <f>SUM(CM289,CM290,CM291,CM302,CM303,CM304)</f>
        <v>#DIV/0!</v>
      </c>
      <c r="CN305" s="3" t="e">
        <f>SUM(CN289,CN290,CN291,CN302,CN303,CN304)</f>
        <v>#DIV/0!</v>
      </c>
      <c r="CO305" s="3" t="e">
        <f>SUM(CO289,CO290,CO291,CO302,CO303,CO304)</f>
        <v>#DIV/0!</v>
      </c>
      <c r="CP305" s="3" t="e">
        <f>SUM(CP289,CP290,CP291,CP302,CP303,CP304)</f>
        <v>#DIV/0!</v>
      </c>
      <c r="CQ305" s="3" t="e">
        <f>SUM(CQ289,CQ290,CQ291,CQ302,CQ303,CQ304)</f>
        <v>#DIV/0!</v>
      </c>
      <c r="CR305" s="3" t="e">
        <f>SUM(CR289,CR290,CR291,CR302,CR303,CR304)</f>
        <v>#DIV/0!</v>
      </c>
      <c r="CS305" s="3" t="e">
        <f>SUM(CS289,CS290,CS291,CS302,CS303,CS304)</f>
        <v>#DIV/0!</v>
      </c>
      <c r="CT305" s="3" t="e">
        <f>SUM(CT289,CT290,CT291,CT302,CT303,CT304)</f>
        <v>#DIV/0!</v>
      </c>
      <c r="CU305" s="3" t="e">
        <f>SUM(CU289,CU290,CU291,CU302,CU303,CU304)</f>
        <v>#DIV/0!</v>
      </c>
      <c r="CV305" s="3" t="e">
        <f>SUM(CV289,CV290,CV291,CV302,CV303,CV304)</f>
        <v>#DIV/0!</v>
      </c>
      <c r="CW305" s="3" t="e">
        <f>SUM(CW289,CW290,CW291,CW302,CW303,CW304)</f>
        <v>#DIV/0!</v>
      </c>
      <c r="CX305" s="3" t="e">
        <f>SUM(CX289,CX290,CX291,CX302,CX303,CX304)</f>
        <v>#DIV/0!</v>
      </c>
      <c r="CY305" s="3" t="e">
        <f>SUM(CY289,CY290,CY291,CY302,CY303,CY304)</f>
        <v>#DIV/0!</v>
      </c>
    </row>
    <row r="306">
      <c r="C306" s="26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  <c r="AY306" s="3" t="n"/>
      <c r="AZ306" s="3" t="n"/>
      <c r="BA306" s="3" t="n"/>
      <c r="BB306" s="3" t="n"/>
      <c r="BC306" s="3" t="n"/>
      <c r="BD306" s="3" t="n"/>
      <c r="BE306" s="3" t="n"/>
      <c r="BF306" s="3" t="n"/>
      <c r="BG306" s="3" t="n"/>
      <c r="BH306" s="3" t="n"/>
      <c r="BI306" s="3" t="n"/>
      <c r="BJ306" s="3" t="n"/>
      <c r="BK306" s="3" t="n"/>
      <c r="BL306" s="3" t="n"/>
      <c r="BM306" s="3" t="n"/>
      <c r="BN306" s="3" t="n"/>
      <c r="BO306" s="3" t="n"/>
      <c r="BP306" s="3" t="n"/>
      <c r="BQ306" s="3" t="n"/>
      <c r="BR306" s="3" t="n"/>
      <c r="BS306" s="3" t="n"/>
      <c r="BT306" s="3" t="n"/>
      <c r="BU306" s="3" t="n"/>
      <c r="BV306" s="3" t="n"/>
      <c r="BW306" s="3" t="n"/>
      <c r="BX306" s="3" t="n"/>
      <c r="BY306" s="3" t="n"/>
      <c r="BZ306" s="3" t="n"/>
      <c r="CA306" s="3" t="n"/>
      <c r="CB306" s="3" t="n"/>
      <c r="CC306" s="3" t="n"/>
      <c r="CD306" s="3" t="n"/>
      <c r="CE306" s="3" t="n"/>
      <c r="CF306" s="3" t="n"/>
      <c r="CG306" s="3" t="n"/>
      <c r="CH306" s="3" t="n"/>
      <c r="CI306" s="3" t="n"/>
      <c r="CJ306" s="3" t="n"/>
      <c r="CK306" s="3" t="n"/>
      <c r="CL306" s="3" t="n"/>
      <c r="CM306" s="3" t="n"/>
      <c r="CN306" s="3" t="n"/>
      <c r="CO306" s="3" t="n"/>
      <c r="CP306" s="3" t="n"/>
      <c r="CQ306" s="3" t="n"/>
      <c r="CR306" s="3" t="n"/>
      <c r="CS306" s="3" t="n"/>
      <c r="CT306" s="3" t="n"/>
      <c r="CU306" s="3" t="n"/>
      <c r="CV306" s="3" t="n"/>
      <c r="CW306" s="3" t="n"/>
      <c r="CX306" s="3" t="n"/>
      <c r="CY306" s="3" t="n"/>
    </row>
    <row r="307">
      <c r="C307" s="29" t="inlineStr">
        <is>
          <t>Purchase of fixed assets (capital expenditures)</t>
        </is>
      </c>
      <c r="D307" s="3" t="n"/>
      <c r="E307" s="3">
        <f>-E180</f>
        <v>435.265</v>
      </c>
      <c r="F307" s="3">
        <f>-F180</f>
        <v>-686.498</v>
      </c>
      <c r="G307" s="3">
        <f>-G180</f>
        <v>-787.406</v>
      </c>
      <c r="H307" s="3">
        <f>SUM(D307:G307)</f>
        <v>-1038.639</v>
      </c>
      <c r="I307" s="3">
        <f>-I180</f>
        <v>-681.663000000001</v>
      </c>
      <c r="J307" s="3">
        <f>-J180</f>
        <v>-1002.135</v>
      </c>
      <c r="K307" s="3">
        <f>-K180</f>
        <v>-2680.177</v>
      </c>
      <c r="L307" s="3">
        <f>-L180</f>
        <v>-2453.552</v>
      </c>
      <c r="M307" s="3">
        <f>SUM(I307:L307)</f>
        <v>-6817.527</v>
      </c>
      <c r="N307" s="3">
        <f>-N180</f>
        <v>-906.637</v>
      </c>
      <c r="O307" s="3">
        <f>-O180</f>
        <v>-2205.148</v>
      </c>
      <c r="P307" s="3">
        <f>-P180</f>
        <v>-793.409</v>
      </c>
      <c r="Q307" s="3">
        <f>-Q180</f>
        <v>-932.187000000001</v>
      </c>
      <c r="R307" s="3">
        <f>SUM(N307:Q307)</f>
        <v>-4837.381</v>
      </c>
      <c r="S307" s="3">
        <f>-S180</f>
        <v>148.764000000001</v>
      </c>
      <c r="T307" s="3">
        <f>-T180</f>
        <v>-168.659</v>
      </c>
      <c r="U307" s="3">
        <f>-U180</f>
        <v>-1350.963</v>
      </c>
      <c r="V307" s="3">
        <f>-V180</f>
        <v>-3661.99</v>
      </c>
      <c r="W307" s="3">
        <f>SUM(S307:V307)</f>
        <v>-5032.848</v>
      </c>
      <c r="X307" s="3">
        <f>-X180</f>
        <v>-573.122</v>
      </c>
      <c r="Y307" s="3">
        <f>-Y180</f>
        <v>-927.886000000003</v>
      </c>
      <c r="Z307" s="3">
        <f>-Z180</f>
        <v>-1107.764</v>
      </c>
      <c r="AA307" s="3">
        <f>-AA180</f>
        <v>-2747.417</v>
      </c>
      <c r="AB307" s="3">
        <f>SUM(X307:AA307)</f>
        <v>-5356.189</v>
      </c>
      <c r="AC307" s="3">
        <f>-AC180</f>
        <v>668.732</v>
      </c>
      <c r="AD307" s="3">
        <f>-AD180</f>
        <v>-1386.741</v>
      </c>
      <c r="AE307" s="3">
        <f>-AE180</f>
        <v>-781.659000000001</v>
      </c>
      <c r="AF307" s="3">
        <f>-AF180</f>
        <v>-3178.1792426</v>
      </c>
      <c r="AG307" s="3">
        <f>SUM(AC307:AF307)</f>
        <v>-4677.8472426</v>
      </c>
      <c r="AH307" s="3">
        <f>-AH180</f>
        <v>267.387078600002</v>
      </c>
      <c r="AI307" s="3">
        <f>-AI180</f>
        <v>-2507.1336214</v>
      </c>
      <c r="AJ307" s="3">
        <f>-AJ180</f>
        <v>0</v>
      </c>
      <c r="AK307" s="3">
        <f>-AK180</f>
        <v>0</v>
      </c>
      <c r="AL307" s="3">
        <f>SUM(AH307:AK307)</f>
        <v>-2239.7465428</v>
      </c>
      <c r="AM307" s="3">
        <f>-AM180</f>
        <v>0</v>
      </c>
      <c r="AN307" s="3">
        <f>-AN180</f>
        <v>0</v>
      </c>
      <c r="AO307" s="3">
        <f>-AO180</f>
        <v>0</v>
      </c>
      <c r="AP307" s="3">
        <f>-AP180</f>
        <v>0</v>
      </c>
      <c r="AQ307" s="3">
        <f>SUM(AM307:AP307)</f>
        <v>0</v>
      </c>
      <c r="AR307" s="3">
        <f>-AR180</f>
        <v>0</v>
      </c>
      <c r="AS307" s="3">
        <f>-AS180</f>
        <v>0</v>
      </c>
      <c r="AT307" s="3">
        <f>-AT180</f>
        <v>0</v>
      </c>
      <c r="AU307" s="3">
        <f>-AU180</f>
        <v>0</v>
      </c>
      <c r="AV307" s="3">
        <f>SUM(AR307:AU307)</f>
        <v>0</v>
      </c>
      <c r="AW307" s="3">
        <f>-AW180</f>
        <v>0</v>
      </c>
      <c r="AX307" s="3">
        <f>-AX180</f>
        <v>0</v>
      </c>
      <c r="AY307" s="3">
        <f>-AY180</f>
        <v>0</v>
      </c>
      <c r="AZ307" s="3">
        <f>-AZ180</f>
        <v>0</v>
      </c>
      <c r="BA307" s="3">
        <f>SUM(AW307:AZ307)</f>
        <v>0</v>
      </c>
      <c r="BB307" s="3">
        <f>-BB180</f>
        <v>0</v>
      </c>
      <c r="BC307" s="3">
        <f>-BC180</f>
        <v>0</v>
      </c>
      <c r="BD307" s="3">
        <f>-BD180</f>
        <v>0</v>
      </c>
      <c r="BE307" s="3">
        <f>-BE180</f>
        <v>0</v>
      </c>
      <c r="BF307" s="3">
        <f>SUM(BB307:BE307)</f>
        <v>0</v>
      </c>
      <c r="BG307" s="3">
        <f>-BG180</f>
        <v>0</v>
      </c>
      <c r="BH307" s="3">
        <f>-BH180</f>
        <v>0</v>
      </c>
      <c r="BI307" s="3">
        <f>-BI180</f>
        <v>0</v>
      </c>
      <c r="BJ307" s="3">
        <f>-BJ180</f>
        <v>0</v>
      </c>
      <c r="BK307" s="3">
        <f>SUM(BG307:BJ307)</f>
        <v>0</v>
      </c>
      <c r="BL307" s="3">
        <f>-BL180</f>
        <v>0</v>
      </c>
      <c r="BM307" s="3">
        <f>-BM180</f>
        <v>0</v>
      </c>
      <c r="BN307" s="3">
        <f>-BN180</f>
        <v>0</v>
      </c>
      <c r="BO307" s="3">
        <f>-BO180</f>
        <v>0</v>
      </c>
      <c r="BP307" s="3">
        <f>SUM(BL307:BO307)</f>
        <v>0</v>
      </c>
      <c r="BQ307" s="3">
        <f>-BQ180</f>
        <v>0</v>
      </c>
      <c r="BR307" s="3">
        <f>-BR180</f>
        <v>0</v>
      </c>
      <c r="BS307" s="3">
        <f>-BS180</f>
        <v>0</v>
      </c>
      <c r="BT307" s="3">
        <f>-BT180</f>
        <v>0</v>
      </c>
      <c r="BU307" s="3">
        <f>SUM(BQ307:BT307)</f>
        <v>0</v>
      </c>
      <c r="BV307" s="3">
        <f>-BV180</f>
        <v>0</v>
      </c>
      <c r="BW307" s="3">
        <f>-BW180</f>
        <v>0</v>
      </c>
      <c r="BX307" s="3">
        <f>-BX180</f>
        <v>0</v>
      </c>
      <c r="BY307" s="3">
        <f>-BY180</f>
        <v>0</v>
      </c>
      <c r="BZ307" s="3">
        <f>SUM(BV307:BY307)</f>
        <v>0</v>
      </c>
      <c r="CA307" s="3">
        <f>-CA180</f>
        <v>0</v>
      </c>
      <c r="CB307" s="3">
        <f>-CB180</f>
        <v>0</v>
      </c>
      <c r="CC307" s="3">
        <f>-CC180</f>
        <v>0</v>
      </c>
      <c r="CD307" s="3">
        <f>-CD180</f>
        <v>0</v>
      </c>
      <c r="CE307" s="3">
        <f>SUM(CA307:CD307)</f>
        <v>0</v>
      </c>
      <c r="CF307" s="3">
        <f>-CF180</f>
        <v>0</v>
      </c>
      <c r="CG307" s="3">
        <f>-CG180</f>
        <v>0</v>
      </c>
      <c r="CH307" s="3">
        <f>-CH180</f>
        <v>0</v>
      </c>
      <c r="CI307" s="3">
        <f>-CI180</f>
        <v>0</v>
      </c>
      <c r="CJ307" s="3">
        <f>SUM(CF307:CI307)</f>
        <v>0</v>
      </c>
      <c r="CK307" s="3">
        <f>-CK180</f>
        <v>0</v>
      </c>
      <c r="CL307" s="3">
        <f>-CL180</f>
        <v>0</v>
      </c>
      <c r="CM307" s="3">
        <f>-CM180</f>
        <v>0</v>
      </c>
      <c r="CN307" s="3">
        <f>-CN180</f>
        <v>0</v>
      </c>
      <c r="CO307" s="3">
        <f>SUM(CK307:CN307)</f>
        <v>0</v>
      </c>
      <c r="CP307" s="3">
        <f>-CP180</f>
        <v>0</v>
      </c>
      <c r="CQ307" s="3">
        <f>-CQ180</f>
        <v>0</v>
      </c>
      <c r="CR307" s="3">
        <f>-CR180</f>
        <v>0</v>
      </c>
      <c r="CS307" s="3">
        <f>-CS180</f>
        <v>0</v>
      </c>
      <c r="CT307" s="3">
        <f>SUM(CP307:CS307)</f>
        <v>0</v>
      </c>
      <c r="CU307" s="3">
        <f>-CU180</f>
        <v>0</v>
      </c>
      <c r="CV307" s="3">
        <f>-CV180</f>
        <v>0</v>
      </c>
      <c r="CW307" s="3">
        <f>-CW180</f>
        <v>0</v>
      </c>
      <c r="CX307" s="3">
        <f>-CX180</f>
        <v>0</v>
      </c>
      <c r="CY307" s="3">
        <f>SUM(CU307:CX307)</f>
        <v>0</v>
      </c>
    </row>
    <row r="308">
      <c r="C308" s="29" t="inlineStr">
        <is>
          <t>Proceeds from sale of fixed assets</t>
        </is>
      </c>
      <c r="D308" s="3" t="n"/>
      <c r="E308" s="3">
        <f>-E181</f>
        <v>0</v>
      </c>
      <c r="F308" s="3">
        <f>-F181</f>
        <v>0</v>
      </c>
      <c r="G308" s="3">
        <f>-G181</f>
        <v>0</v>
      </c>
      <c r="H308" s="3">
        <f>SUM(D308:G308)</f>
        <v>0</v>
      </c>
      <c r="I308" s="3">
        <f>-I181</f>
        <v>0</v>
      </c>
      <c r="J308" s="3">
        <f>-J181</f>
        <v>0</v>
      </c>
      <c r="K308" s="3">
        <f>-K181</f>
        <v>0</v>
      </c>
      <c r="L308" s="3">
        <f>-L181</f>
        <v>0</v>
      </c>
      <c r="M308" s="3">
        <f>SUM(I308:L308)</f>
        <v>0</v>
      </c>
      <c r="N308" s="3">
        <f>-N181</f>
        <v>0</v>
      </c>
      <c r="O308" s="3">
        <f>-O181</f>
        <v>0</v>
      </c>
      <c r="P308" s="3">
        <f>-P181</f>
        <v>0</v>
      </c>
      <c r="Q308" s="3">
        <f>-Q181</f>
        <v>0</v>
      </c>
      <c r="R308" s="3">
        <f>SUM(N308:Q308)</f>
        <v>0</v>
      </c>
      <c r="S308" s="3">
        <f>-S181</f>
        <v>0</v>
      </c>
      <c r="T308" s="3">
        <f>-T181</f>
        <v>0</v>
      </c>
      <c r="U308" s="3">
        <f>-U181</f>
        <v>0</v>
      </c>
      <c r="V308" s="3">
        <f>-V181</f>
        <v>0</v>
      </c>
      <c r="W308" s="3">
        <f>SUM(S308:V308)</f>
        <v>0</v>
      </c>
      <c r="X308" s="3">
        <f>-X181</f>
        <v>0</v>
      </c>
      <c r="Y308" s="3">
        <f>-Y181</f>
        <v>0</v>
      </c>
      <c r="Z308" s="3">
        <f>-Z181</f>
        <v>0</v>
      </c>
      <c r="AA308" s="3">
        <f>-AA181</f>
        <v>0</v>
      </c>
      <c r="AB308" s="3">
        <f>SUM(X308:AA308)</f>
        <v>0</v>
      </c>
      <c r="AC308" s="3">
        <f>-AC181</f>
        <v>0</v>
      </c>
      <c r="AD308" s="3">
        <f>-AD181</f>
        <v>0</v>
      </c>
      <c r="AE308" s="3">
        <f>-AE181</f>
        <v>0</v>
      </c>
      <c r="AF308" s="3">
        <f>-AF181</f>
        <v>0</v>
      </c>
      <c r="AG308" s="3">
        <f>SUM(AC308:AF308)</f>
        <v>0</v>
      </c>
      <c r="AH308" s="3">
        <f>-AH181</f>
        <v>0</v>
      </c>
      <c r="AI308" s="3">
        <f>-AI181</f>
        <v>0</v>
      </c>
      <c r="AJ308" s="3">
        <f>-AJ181</f>
        <v>0</v>
      </c>
      <c r="AK308" s="3">
        <f>-AK181</f>
        <v>0</v>
      </c>
      <c r="AL308" s="3">
        <f>SUM(AH308:AK308)</f>
        <v>0</v>
      </c>
      <c r="AM308" s="3">
        <f>-AM181</f>
        <v>0</v>
      </c>
      <c r="AN308" s="3">
        <f>-AN181</f>
        <v>0</v>
      </c>
      <c r="AO308" s="3">
        <f>-AO181</f>
        <v>0</v>
      </c>
      <c r="AP308" s="3">
        <f>-AP181</f>
        <v>0</v>
      </c>
      <c r="AQ308" s="3">
        <f>SUM(AM308:AP308)</f>
        <v>0</v>
      </c>
      <c r="AR308" s="3">
        <f>-AR181</f>
        <v>0</v>
      </c>
      <c r="AS308" s="3">
        <f>-AS181</f>
        <v>0</v>
      </c>
      <c r="AT308" s="3">
        <f>-AT181</f>
        <v>0</v>
      </c>
      <c r="AU308" s="3">
        <f>-AU181</f>
        <v>0</v>
      </c>
      <c r="AV308" s="3">
        <f>SUM(AR308:AU308)</f>
        <v>0</v>
      </c>
      <c r="AW308" s="3">
        <f>-AW181</f>
        <v>0</v>
      </c>
      <c r="AX308" s="3">
        <f>-AX181</f>
        <v>0</v>
      </c>
      <c r="AY308" s="3">
        <f>-AY181</f>
        <v>0</v>
      </c>
      <c r="AZ308" s="3">
        <f>-AZ181</f>
        <v>0</v>
      </c>
      <c r="BA308" s="3">
        <f>SUM(AW308:AZ308)</f>
        <v>0</v>
      </c>
      <c r="BB308" s="3">
        <f>-BB181</f>
        <v>0</v>
      </c>
      <c r="BC308" s="3">
        <f>-BC181</f>
        <v>0</v>
      </c>
      <c r="BD308" s="3">
        <f>-BD181</f>
        <v>0</v>
      </c>
      <c r="BE308" s="3">
        <f>-BE181</f>
        <v>0</v>
      </c>
      <c r="BF308" s="3">
        <f>SUM(BB308:BE308)</f>
        <v>0</v>
      </c>
      <c r="BG308" s="3">
        <f>-BG181</f>
        <v>0</v>
      </c>
      <c r="BH308" s="3">
        <f>-BH181</f>
        <v>0</v>
      </c>
      <c r="BI308" s="3">
        <f>-BI181</f>
        <v>0</v>
      </c>
      <c r="BJ308" s="3">
        <f>-BJ181</f>
        <v>0</v>
      </c>
      <c r="BK308" s="3">
        <f>SUM(BG308:BJ308)</f>
        <v>0</v>
      </c>
      <c r="BL308" s="3">
        <f>-BL181</f>
        <v>0</v>
      </c>
      <c r="BM308" s="3">
        <f>-BM181</f>
        <v>0</v>
      </c>
      <c r="BN308" s="3">
        <f>-BN181</f>
        <v>0</v>
      </c>
      <c r="BO308" s="3">
        <f>-BO181</f>
        <v>0</v>
      </c>
      <c r="BP308" s="3">
        <f>SUM(BL308:BO308)</f>
        <v>0</v>
      </c>
      <c r="BQ308" s="3">
        <f>-BQ181</f>
        <v>0</v>
      </c>
      <c r="BR308" s="3">
        <f>-BR181</f>
        <v>0</v>
      </c>
      <c r="BS308" s="3">
        <f>-BS181</f>
        <v>0</v>
      </c>
      <c r="BT308" s="3">
        <f>-BT181</f>
        <v>0</v>
      </c>
      <c r="BU308" s="3">
        <f>SUM(BQ308:BT308)</f>
        <v>0</v>
      </c>
      <c r="BV308" s="3">
        <f>-BV181</f>
        <v>0</v>
      </c>
      <c r="BW308" s="3">
        <f>-BW181</f>
        <v>0</v>
      </c>
      <c r="BX308" s="3">
        <f>-BX181</f>
        <v>0</v>
      </c>
      <c r="BY308" s="3">
        <f>-BY181</f>
        <v>0</v>
      </c>
      <c r="BZ308" s="3">
        <f>SUM(BV308:BY308)</f>
        <v>0</v>
      </c>
      <c r="CA308" s="3">
        <f>-CA181</f>
        <v>0</v>
      </c>
      <c r="CB308" s="3">
        <f>-CB181</f>
        <v>0</v>
      </c>
      <c r="CC308" s="3">
        <f>-CC181</f>
        <v>0</v>
      </c>
      <c r="CD308" s="3">
        <f>-CD181</f>
        <v>0</v>
      </c>
      <c r="CE308" s="3">
        <f>SUM(CA308:CD308)</f>
        <v>0</v>
      </c>
      <c r="CF308" s="3">
        <f>-CF181</f>
        <v>0</v>
      </c>
      <c r="CG308" s="3">
        <f>-CG181</f>
        <v>0</v>
      </c>
      <c r="CH308" s="3">
        <f>-CH181</f>
        <v>0</v>
      </c>
      <c r="CI308" s="3">
        <f>-CI181</f>
        <v>0</v>
      </c>
      <c r="CJ308" s="3">
        <f>SUM(CF308:CI308)</f>
        <v>0</v>
      </c>
      <c r="CK308" s="3">
        <f>-CK181</f>
        <v>0</v>
      </c>
      <c r="CL308" s="3">
        <f>-CL181</f>
        <v>0</v>
      </c>
      <c r="CM308" s="3">
        <f>-CM181</f>
        <v>0</v>
      </c>
      <c r="CN308" s="3">
        <f>-CN181</f>
        <v>0</v>
      </c>
      <c r="CO308" s="3">
        <f>SUM(CK308:CN308)</f>
        <v>0</v>
      </c>
      <c r="CP308" s="3">
        <f>-CP181</f>
        <v>0</v>
      </c>
      <c r="CQ308" s="3">
        <f>-CQ181</f>
        <v>0</v>
      </c>
      <c r="CR308" s="3">
        <f>-CR181</f>
        <v>0</v>
      </c>
      <c r="CS308" s="3">
        <f>-CS181</f>
        <v>0</v>
      </c>
      <c r="CT308" s="3">
        <f>SUM(CP308:CS308)</f>
        <v>0</v>
      </c>
      <c r="CU308" s="3">
        <f>-CU181</f>
        <v>0</v>
      </c>
      <c r="CV308" s="3">
        <f>-CV181</f>
        <v>0</v>
      </c>
      <c r="CW308" s="3">
        <f>-CW181</f>
        <v>0</v>
      </c>
      <c r="CX308" s="3">
        <f>-CX181</f>
        <v>0</v>
      </c>
      <c r="CY308" s="3">
        <f>SUM(CU308:CX308)</f>
        <v>0</v>
      </c>
    </row>
    <row r="309">
      <c r="C309" s="29" t="inlineStr">
        <is>
          <t>Var.Right-of-use-assets</t>
        </is>
      </c>
      <c r="D309" s="3" t="n"/>
      <c r="E309" s="3">
        <f>(E188-D188)*-1</f>
        <v>0</v>
      </c>
      <c r="F309" s="3">
        <f>(F188-E188)*-1</f>
        <v>0</v>
      </c>
      <c r="G309" s="3">
        <f>(G188-F188)*-1</f>
        <v>0</v>
      </c>
      <c r="H309" s="3">
        <f>SUM(D309:G309)</f>
        <v>0</v>
      </c>
      <c r="I309" s="3">
        <f>(I188-H188)*-1</f>
        <v>0</v>
      </c>
      <c r="J309" s="3">
        <f>(J188-I188)*-1</f>
        <v>0</v>
      </c>
      <c r="K309" s="3">
        <f>(K188-J188)*-1</f>
        <v>0</v>
      </c>
      <c r="L309" s="3">
        <f>(L188-K188)*-1</f>
        <v>0</v>
      </c>
      <c r="M309" s="3">
        <f>SUM(I309:L309)</f>
        <v>0</v>
      </c>
      <c r="N309" s="3">
        <f>(N188-M188)*-1</f>
        <v>0</v>
      </c>
      <c r="O309" s="3">
        <f>(O188-N188)*-1</f>
        <v>0</v>
      </c>
      <c r="P309" s="3">
        <f>(P188-O188)*-1</f>
        <v>0</v>
      </c>
      <c r="Q309" s="3">
        <f>(Q188-P188)*-1</f>
        <v>0</v>
      </c>
      <c r="R309" s="3">
        <f>SUM(N309:Q309)</f>
        <v>0</v>
      </c>
      <c r="S309" s="3">
        <f>(S188-R188)*-1</f>
        <v>0</v>
      </c>
      <c r="T309" s="3">
        <f>(T188-S188)*-1</f>
        <v>0</v>
      </c>
      <c r="U309" s="3">
        <f>(U188-T188)*-1</f>
        <v>0</v>
      </c>
      <c r="V309" s="3">
        <f>(V188-U188)*-1</f>
        <v>0</v>
      </c>
      <c r="W309" s="3">
        <f>SUM(S309:V309)</f>
        <v>0</v>
      </c>
      <c r="X309" s="3">
        <f>(X188-W188)*-1</f>
        <v>0</v>
      </c>
      <c r="Y309" s="3">
        <f>(Y188-X188)*-1</f>
        <v>0</v>
      </c>
      <c r="Z309" s="3">
        <f>(Z188-Y188)*-1</f>
        <v>0</v>
      </c>
      <c r="AA309" s="3">
        <f>(AA188-Z188)*-1</f>
        <v>0</v>
      </c>
      <c r="AB309" s="3">
        <f>SUM(X309:AA309)</f>
        <v>0</v>
      </c>
      <c r="AC309" s="3">
        <f>(AC188-AB188)*-1</f>
        <v>0</v>
      </c>
      <c r="AD309" s="3">
        <f>(AD188-AC188)*-1</f>
        <v>0</v>
      </c>
      <c r="AE309" s="3">
        <f>(AE188-AD188)*-1</f>
        <v>0</v>
      </c>
      <c r="AF309" s="3">
        <f>(AF188-AE188)*-1</f>
        <v>0</v>
      </c>
      <c r="AG309" s="3">
        <f>SUM(AC309:AF309)</f>
        <v>0</v>
      </c>
      <c r="AH309" s="3">
        <f>(AH188-AG188)*-1</f>
        <v>0</v>
      </c>
      <c r="AI309" s="3">
        <f>(AI188-AH188)*-1</f>
        <v>0</v>
      </c>
      <c r="AJ309" s="3">
        <f>(AJ188-AI188)*-1</f>
        <v>0</v>
      </c>
      <c r="AK309" s="3">
        <f>(AK188-AJ188)*-1</f>
        <v>0</v>
      </c>
      <c r="AL309" s="3">
        <f>SUM(AH309:AK309)</f>
        <v>0</v>
      </c>
      <c r="AM309" s="3">
        <f>(AM188-AL188)*-1</f>
        <v>0</v>
      </c>
      <c r="AN309" s="3">
        <f>(AN188-AM188)*-1</f>
        <v>0</v>
      </c>
      <c r="AO309" s="3">
        <f>(AO188-AN188)*-1</f>
        <v>0</v>
      </c>
      <c r="AP309" s="3">
        <f>(AP188-AO188)*-1</f>
        <v>0</v>
      </c>
      <c r="AQ309" s="3">
        <f>SUM(AM309:AP309)</f>
        <v>0</v>
      </c>
      <c r="AR309" s="3">
        <f>(AR188-AQ188)*-1</f>
        <v>0</v>
      </c>
      <c r="AS309" s="3">
        <f>(AS188-AR188)*-1</f>
        <v>0</v>
      </c>
      <c r="AT309" s="3">
        <f>(AT188-AS188)*-1</f>
        <v>0</v>
      </c>
      <c r="AU309" s="3">
        <f>(AU188-AT188)*-1</f>
        <v>0</v>
      </c>
      <c r="AV309" s="3">
        <f>SUM(AR309:AU309)</f>
        <v>0</v>
      </c>
      <c r="AW309" s="3">
        <f>(AW188-AV188)*-1</f>
        <v>0</v>
      </c>
      <c r="AX309" s="3">
        <f>(AX188-AW188)*-1</f>
        <v>0</v>
      </c>
      <c r="AY309" s="3">
        <f>(AY188-AX188)*-1</f>
        <v>0</v>
      </c>
      <c r="AZ309" s="3">
        <f>(AZ188-AY188)*-1</f>
        <v>0</v>
      </c>
      <c r="BA309" s="3">
        <f>SUM(AW309:AZ309)</f>
        <v>0</v>
      </c>
      <c r="BB309" s="3">
        <f>(BB188-BA188)*-1</f>
        <v>0</v>
      </c>
      <c r="BC309" s="3">
        <f>(BC188-BB188)*-1</f>
        <v>0</v>
      </c>
      <c r="BD309" s="3">
        <f>(BD188-BC188)*-1</f>
        <v>0</v>
      </c>
      <c r="BE309" s="3">
        <f>(BE188-BD188)*-1</f>
        <v>0</v>
      </c>
      <c r="BF309" s="3">
        <f>SUM(BB309:BE309)</f>
        <v>0</v>
      </c>
      <c r="BG309" s="3">
        <f>(BG188-BF188)*-1</f>
        <v>0</v>
      </c>
      <c r="BH309" s="3">
        <f>(BH188-BG188)*-1</f>
        <v>0</v>
      </c>
      <c r="BI309" s="3">
        <f>(BI188-BH188)*-1</f>
        <v>0</v>
      </c>
      <c r="BJ309" s="3">
        <f>(BJ188-BI188)*-1</f>
        <v>0</v>
      </c>
      <c r="BK309" s="3">
        <f>SUM(BG309:BJ309)</f>
        <v>0</v>
      </c>
      <c r="BL309" s="3">
        <f>(BL188-BK188)*-1</f>
        <v>0</v>
      </c>
      <c r="BM309" s="3">
        <f>(BM188-BL188)*-1</f>
        <v>0</v>
      </c>
      <c r="BN309" s="3">
        <f>(BN188-BM188)*-1</f>
        <v>0</v>
      </c>
      <c r="BO309" s="3">
        <f>(BO188-BN188)*-1</f>
        <v>0</v>
      </c>
      <c r="BP309" s="3">
        <f>SUM(BL309:BO309)</f>
        <v>0</v>
      </c>
      <c r="BQ309" s="3">
        <f>(BQ188-BP188)*-1</f>
        <v>0</v>
      </c>
      <c r="BR309" s="3">
        <f>(BR188-BQ188)*-1</f>
        <v>0</v>
      </c>
      <c r="BS309" s="3">
        <f>(BS188-BR188)*-1</f>
        <v>0</v>
      </c>
      <c r="BT309" s="3">
        <f>(BT188-BS188)*-1</f>
        <v>0</v>
      </c>
      <c r="BU309" s="3">
        <f>SUM(BQ309:BT309)</f>
        <v>0</v>
      </c>
      <c r="BV309" s="3">
        <f>(BV188-BU188)*-1</f>
        <v>0</v>
      </c>
      <c r="BW309" s="3">
        <f>(BW188-BV188)*-1</f>
        <v>0</v>
      </c>
      <c r="BX309" s="3">
        <f>(BX188-BW188)*-1</f>
        <v>0</v>
      </c>
      <c r="BY309" s="3">
        <f>(BY188-BX188)*-1</f>
        <v>0</v>
      </c>
      <c r="BZ309" s="3">
        <f>SUM(BV309:BY309)</f>
        <v>0</v>
      </c>
      <c r="CA309" s="3">
        <f>(CA188-BZ188)*-1</f>
        <v>0</v>
      </c>
      <c r="CB309" s="3">
        <f>(CB188-CA188)*-1</f>
        <v>0</v>
      </c>
      <c r="CC309" s="3">
        <f>(CC188-CB188)*-1</f>
        <v>0</v>
      </c>
      <c r="CD309" s="3">
        <f>(CD188-CC188)*-1</f>
        <v>0</v>
      </c>
      <c r="CE309" s="3">
        <f>SUM(CA309:CD309)</f>
        <v>0</v>
      </c>
      <c r="CF309" s="3">
        <f>(CF188-CE188)*-1</f>
        <v>0</v>
      </c>
      <c r="CG309" s="3">
        <f>(CG188-CF188)*-1</f>
        <v>0</v>
      </c>
      <c r="CH309" s="3">
        <f>(CH188-CG188)*-1</f>
        <v>0</v>
      </c>
      <c r="CI309" s="3">
        <f>(CI188-CH188)*-1</f>
        <v>0</v>
      </c>
      <c r="CJ309" s="3">
        <f>SUM(CF309:CI309)</f>
        <v>0</v>
      </c>
      <c r="CK309" s="3">
        <f>(CK188-CJ188)*-1</f>
        <v>0</v>
      </c>
      <c r="CL309" s="3">
        <f>(CL188-CK188)*-1</f>
        <v>0</v>
      </c>
      <c r="CM309" s="3">
        <f>(CM188-CL188)*-1</f>
        <v>0</v>
      </c>
      <c r="CN309" s="3">
        <f>(CN188-CM188)*-1</f>
        <v>0</v>
      </c>
      <c r="CO309" s="3">
        <f>SUM(CK309:CN309)</f>
        <v>0</v>
      </c>
      <c r="CP309" s="3">
        <f>(CP188-CO188)*-1</f>
        <v>0</v>
      </c>
      <c r="CQ309" s="3">
        <f>(CQ188-CP188)*-1</f>
        <v>0</v>
      </c>
      <c r="CR309" s="3">
        <f>(CR188-CQ188)*-1</f>
        <v>0</v>
      </c>
      <c r="CS309" s="3">
        <f>(CS188-CR188)*-1</f>
        <v>0</v>
      </c>
      <c r="CT309" s="3">
        <f>SUM(CP309:CS309)</f>
        <v>0</v>
      </c>
      <c r="CU309" s="3">
        <f>(CU188-CT188)*-1</f>
        <v>0</v>
      </c>
      <c r="CV309" s="3">
        <f>(CV188-CU188)*-1</f>
        <v>0</v>
      </c>
      <c r="CW309" s="3">
        <f>(CW188-CV188)*-1</f>
        <v>0</v>
      </c>
      <c r="CX309" s="3">
        <f>(CX188-CW188)*-1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9" t="inlineStr">
        <is>
          <t>Purchases of intangible assets</t>
        </is>
      </c>
      <c r="D310" s="3" t="n"/>
      <c r="E310" s="3">
        <f>((E192-D192)*-1)+((E191-D191)*-1)</f>
        <v>-10.145</v>
      </c>
      <c r="F310" s="3">
        <f>((F192-E192)*-1)+((F191-E191)*-1)</f>
        <v>-9.03700000000001</v>
      </c>
      <c r="G310" s="3">
        <f>((G192-F192)*-1)+((G191-F191)*-1)</f>
        <v>-6.55500000000001</v>
      </c>
      <c r="H310" s="3">
        <f>SUM(D310:G310)</f>
        <v>-25.737</v>
      </c>
      <c r="I310" s="3">
        <f>((I192-H192)*-1)+((I191-H191)*-1)</f>
        <v>-14.572</v>
      </c>
      <c r="J310" s="3">
        <f>((J192-I192)*-1)+((J191-I191)*-1)</f>
        <v>-0.963999999999999</v>
      </c>
      <c r="K310" s="3">
        <f>((K192-J192)*-1)+((K191-J191)*-1)</f>
        <v>-11.148</v>
      </c>
      <c r="L310" s="3">
        <f>((L192-K192)*-1)+((L191-K191)*-1)</f>
        <v>-6.64400000000001</v>
      </c>
      <c r="M310" s="3">
        <f>SUM(I310:L310)</f>
        <v>-33.328</v>
      </c>
      <c r="N310" s="3">
        <f>((N192-M192)*-1)+((N191-M191)*-1)</f>
        <v>-6.744</v>
      </c>
      <c r="O310" s="3">
        <f>((O192-N192)*-1)+((O191-N191)*-1)</f>
        <v>-18.731</v>
      </c>
      <c r="P310" s="3">
        <f>((P192-O192)*-1)+((P191-O191)*-1)</f>
        <v>-9.61699999999999</v>
      </c>
      <c r="Q310" s="3">
        <f>((Q192-P192)*-1)+((Q191-P191)*-1)</f>
        <v>-77.656</v>
      </c>
      <c r="R310" s="3">
        <f>SUM(N310:Q310)</f>
        <v>-112.748</v>
      </c>
      <c r="S310" s="3">
        <f>((S192-R192)*-1)+((S191-R191)*-1)</f>
        <v>-10.276</v>
      </c>
      <c r="T310" s="3">
        <f>((T192-S192)*-1)+((T191-S191)*-1)</f>
        <v>-1.25700000000001</v>
      </c>
      <c r="U310" s="3">
        <f>((U192-T192)*-1)+((U191-T191)*-1)</f>
        <v>-5.209</v>
      </c>
      <c r="V310" s="3">
        <f>((V192-U192)*-1)+((V191-U191)*-1)</f>
        <v>-31.777</v>
      </c>
      <c r="W310" s="3">
        <f>SUM(S310:V310)</f>
        <v>-48.519</v>
      </c>
      <c r="X310" s="3">
        <f>((X192-W192)*-1)+((X191-W191)*-1)</f>
        <v>7.09699999999998</v>
      </c>
      <c r="Y310" s="3">
        <f>((Y192-X192)*-1)+((Y191-X191)*-1)</f>
        <v>-6.48899999999998</v>
      </c>
      <c r="Z310" s="3">
        <f>((Z192-Y192)*-1)+((Z191-Y191)*-1)</f>
        <v>-3.697</v>
      </c>
      <c r="AA310" s="3">
        <f>((AA192-Z192)*-1)+((AA191-Z191)*-1)</f>
        <v>-2.76300000000003</v>
      </c>
      <c r="AB310" s="3">
        <f>SUM(X310:AA310)</f>
        <v>-5.85200000000003</v>
      </c>
      <c r="AC310" s="3">
        <f>((AC192-AB192)*-1)+((AC191-AB191)*-1)</f>
        <v>-5.89499999999998</v>
      </c>
      <c r="AD310" s="3">
        <f>((AD192-AC192)*-1)+((AD191-AC191)*-1)</f>
        <v>-5.47800000000001</v>
      </c>
      <c r="AE310" s="3">
        <f>((AE192-AD192)*-1)+((AE191-AD191)*-1)</f>
        <v>6.03500000000003</v>
      </c>
      <c r="AF310" s="3">
        <f>((AF192-AE192)*-1)+((AF191-AE191)*-1)</f>
        <v>-2.57400000000001</v>
      </c>
      <c r="AG310" s="3">
        <f>SUM(AC310:AF310)</f>
        <v>-7.91199999999998</v>
      </c>
      <c r="AH310" s="3">
        <f>((AH192-AG192)*-1)+((AH191-AG191)*-1)</f>
        <v>-7.20800000000003</v>
      </c>
      <c r="AI310" s="3">
        <f>((AI192-AH192)*-1)+((AI191-AH191)*-1)</f>
        <v>-27.458</v>
      </c>
      <c r="AJ310" s="3">
        <f>((AJ192-AI192)*-1)+((AJ191-AI191)*-1)</f>
        <v>384.741</v>
      </c>
      <c r="AK310" s="3">
        <f>((AK192-AJ192)*-1)+((AK191-AJ191)*-1)</f>
        <v>0</v>
      </c>
      <c r="AL310" s="3">
        <f>SUM(AH310:AK310)</f>
        <v>350.075</v>
      </c>
      <c r="AM310" s="3">
        <f>((AM192-AL192)*-1)+((AM191-AL191)*-1)</f>
        <v>0</v>
      </c>
      <c r="AN310" s="3">
        <f>((AN192-AM192)*-1)+((AN191-AM191)*-1)</f>
        <v>0</v>
      </c>
      <c r="AO310" s="3">
        <f>((AO192-AN192)*-1)+((AO191-AN191)*-1)</f>
        <v>0</v>
      </c>
      <c r="AP310" s="3">
        <f>((AP192-AO192)*-1)+((AP191-AO191)*-1)</f>
        <v>0</v>
      </c>
      <c r="AQ310" s="3">
        <f>SUM(AM310:AP310)</f>
        <v>0</v>
      </c>
      <c r="AR310" s="3">
        <f>((AR192-AQ192)*-1)+((AR191-AQ191)*-1)</f>
        <v>0</v>
      </c>
      <c r="AS310" s="3">
        <f>((AS192-AR192)*-1)+((AS191-AR191)*-1)</f>
        <v>0</v>
      </c>
      <c r="AT310" s="3">
        <f>((AT192-AS192)*-1)+((AT191-AS191)*-1)</f>
        <v>0</v>
      </c>
      <c r="AU310" s="3">
        <f>((AU192-AT192)*-1)+((AU191-AT191)*-1)</f>
        <v>0</v>
      </c>
      <c r="AV310" s="3">
        <f>SUM(AR310:AU310)</f>
        <v>0</v>
      </c>
      <c r="AW310" s="3">
        <f>((AW192-AV192)*-1)+((AW191-AV191)*-1)</f>
        <v>0</v>
      </c>
      <c r="AX310" s="3">
        <f>((AX192-AW192)*-1)+((AX191-AW191)*-1)</f>
        <v>0</v>
      </c>
      <c r="AY310" s="3">
        <f>((AY192-AX192)*-1)+((AY191-AX191)*-1)</f>
        <v>0</v>
      </c>
      <c r="AZ310" s="3">
        <f>((AZ192-AY192)*-1)+((AZ191-AY191)*-1)</f>
        <v>0</v>
      </c>
      <c r="BA310" s="3">
        <f>SUM(AW310:AZ310)</f>
        <v>0</v>
      </c>
      <c r="BB310" s="3">
        <f>((BB192-BA192)*-1)+((BB191-BA191)*-1)</f>
        <v>0</v>
      </c>
      <c r="BC310" s="3">
        <f>((BC192-BB192)*-1)+((BC191-BB191)*-1)</f>
        <v>0</v>
      </c>
      <c r="BD310" s="3">
        <f>((BD192-BC192)*-1)+((BD191-BC191)*-1)</f>
        <v>0</v>
      </c>
      <c r="BE310" s="3">
        <f>((BE192-BD192)*-1)+((BE191-BD191)*-1)</f>
        <v>0</v>
      </c>
      <c r="BF310" s="3">
        <f>SUM(BB310:BE310)</f>
        <v>0</v>
      </c>
      <c r="BG310" s="3">
        <f>((BG192-BF192)*-1)+((BG191-BF191)*-1)</f>
        <v>0</v>
      </c>
      <c r="BH310" s="3">
        <f>((BH192-BG192)*-1)+((BH191-BG191)*-1)</f>
        <v>0</v>
      </c>
      <c r="BI310" s="3">
        <f>((BI192-BH192)*-1)+((BI191-BH191)*-1)</f>
        <v>0</v>
      </c>
      <c r="BJ310" s="3">
        <f>((BJ192-BI192)*-1)+((BJ191-BI191)*-1)</f>
        <v>0</v>
      </c>
      <c r="BK310" s="3">
        <f>SUM(BG310:BJ310)</f>
        <v>0</v>
      </c>
      <c r="BL310" s="3">
        <f>((BL192-BK192)*-1)+((BL191-BK191)*-1)</f>
        <v>0</v>
      </c>
      <c r="BM310" s="3">
        <f>((BM192-BL192)*-1)+((BM191-BL191)*-1)</f>
        <v>0</v>
      </c>
      <c r="BN310" s="3">
        <f>((BN192-BM192)*-1)+((BN191-BM191)*-1)</f>
        <v>0</v>
      </c>
      <c r="BO310" s="3">
        <f>((BO192-BN192)*-1)+((BO191-BN191)*-1)</f>
        <v>0</v>
      </c>
      <c r="BP310" s="3">
        <f>SUM(BL310:BO310)</f>
        <v>0</v>
      </c>
      <c r="BQ310" s="3">
        <f>((BQ192-BP192)*-1)+((BQ191-BP191)*-1)</f>
        <v>0</v>
      </c>
      <c r="BR310" s="3">
        <f>((BR192-BQ192)*-1)+((BR191-BQ191)*-1)</f>
        <v>0</v>
      </c>
      <c r="BS310" s="3">
        <f>((BS192-BR192)*-1)+((BS191-BR191)*-1)</f>
        <v>0</v>
      </c>
      <c r="BT310" s="3">
        <f>((BT192-BS192)*-1)+((BT191-BS191)*-1)</f>
        <v>0</v>
      </c>
      <c r="BU310" s="3">
        <f>SUM(BQ310:BT310)</f>
        <v>0</v>
      </c>
      <c r="BV310" s="3">
        <f>((BV192-BU192)*-1)+((BV191-BU191)*-1)</f>
        <v>0</v>
      </c>
      <c r="BW310" s="3">
        <f>((BW192-BV192)*-1)+((BW191-BV191)*-1)</f>
        <v>0</v>
      </c>
      <c r="BX310" s="3">
        <f>((BX192-BW192)*-1)+((BX191-BW191)*-1)</f>
        <v>0</v>
      </c>
      <c r="BY310" s="3">
        <f>((BY192-BX192)*-1)+((BY191-BX191)*-1)</f>
        <v>0</v>
      </c>
      <c r="BZ310" s="3">
        <f>SUM(BV310:BY310)</f>
        <v>0</v>
      </c>
      <c r="CA310" s="3">
        <f>((CA192-BZ192)*-1)+((CA191-BZ191)*-1)</f>
        <v>0</v>
      </c>
      <c r="CB310" s="3">
        <f>((CB192-CA192)*-1)+((CB191-CA191)*-1)</f>
        <v>0</v>
      </c>
      <c r="CC310" s="3">
        <f>((CC192-CB192)*-1)+((CC191-CB191)*-1)</f>
        <v>0</v>
      </c>
      <c r="CD310" s="3">
        <f>((CD192-CC192)*-1)+((CD191-CC191)*-1)</f>
        <v>0</v>
      </c>
      <c r="CE310" s="3">
        <f>SUM(CA310:CD310)</f>
        <v>0</v>
      </c>
      <c r="CF310" s="3">
        <f>((CF192-CE192)*-1)+((CF191-CE191)*-1)</f>
        <v>0</v>
      </c>
      <c r="CG310" s="3">
        <f>((CG192-CF192)*-1)+((CG191-CF191)*-1)</f>
        <v>0</v>
      </c>
      <c r="CH310" s="3">
        <f>((CH192-CG192)*-1)+((CH191-CG191)*-1)</f>
        <v>0</v>
      </c>
      <c r="CI310" s="3">
        <f>((CI192-CH192)*-1)+((CI191-CH191)*-1)</f>
        <v>0</v>
      </c>
      <c r="CJ310" s="3">
        <f>SUM(CF310:CI310)</f>
        <v>0</v>
      </c>
      <c r="CK310" s="3">
        <f>((CK192-CJ192)*-1)+((CK191-CJ191)*-1)</f>
        <v>0</v>
      </c>
      <c r="CL310" s="3">
        <f>((CL192-CK192)*-1)+((CL191-CK191)*-1)</f>
        <v>0</v>
      </c>
      <c r="CM310" s="3">
        <f>((CM192-CL192)*-1)+((CM191-CL191)*-1)</f>
        <v>0</v>
      </c>
      <c r="CN310" s="3">
        <f>((CN192-CM192)*-1)+((CN191-CM191)*-1)</f>
        <v>0</v>
      </c>
      <c r="CO310" s="3">
        <f>SUM(CK310:CN310)</f>
        <v>0</v>
      </c>
      <c r="CP310" s="3">
        <f>((CP192-CO192)*-1)+((CP191-CO191)*-1)</f>
        <v>0</v>
      </c>
      <c r="CQ310" s="3">
        <f>((CQ192-CP192)*-1)+((CQ191-CP191)*-1)</f>
        <v>0</v>
      </c>
      <c r="CR310" s="3">
        <f>((CR192-CQ192)*-1)+((CR191-CQ191)*-1)</f>
        <v>0</v>
      </c>
      <c r="CS310" s="3">
        <f>((CS192-CR192)*-1)+((CS191-CR191)*-1)</f>
        <v>0</v>
      </c>
      <c r="CT310" s="3">
        <f>SUM(CP310:CS310)</f>
        <v>0</v>
      </c>
      <c r="CU310" s="3">
        <f>((CU192-CT192)*-1)+((CU191-CT191)*-1)</f>
        <v>0</v>
      </c>
      <c r="CV310" s="3">
        <f>((CV192-CU192)*-1)+((CV191-CU191)*-1)</f>
        <v>0</v>
      </c>
      <c r="CW310" s="3">
        <f>((CW192-CV192)*-1)+((CW191-CV191)*-1)</f>
        <v>0</v>
      </c>
      <c r="CX310" s="3">
        <f>((CX192-CW192)*-1)+((CX191-CW191)*-1)</f>
        <v>0</v>
      </c>
      <c r="CY310" s="3">
        <f>SUM(CU310:CX310)</f>
        <v>0</v>
      </c>
      <c r="CZ310" s="3" t="n"/>
      <c r="DA310" s="3" t="n"/>
      <c r="DB310" s="3" t="n"/>
      <c r="DC310" s="3" t="n"/>
    </row>
    <row r="311">
      <c r="C311" s="30" t="inlineStr">
        <is>
          <t>Purchases/Proceeds from other long-term assets</t>
        </is>
      </c>
      <c r="D311" s="3" t="n"/>
      <c r="E311" s="3">
        <f>((E201-D201)*-1)+(E252-D252)</f>
        <v>-46.814</v>
      </c>
      <c r="F311" s="3">
        <f>((F201-E201)*-1)+(F252-E252)</f>
        <v>-19.693</v>
      </c>
      <c r="G311" s="3">
        <f>((G201-F201)*-1)+(G252-F252)</f>
        <v>10.247</v>
      </c>
      <c r="H311" s="3">
        <f>SUM(D311:G311)</f>
        <v>-56.26</v>
      </c>
      <c r="I311" s="3">
        <f>((I201-H201)*-1)+(I252-H252)</f>
        <v>141.693</v>
      </c>
      <c r="J311" s="3">
        <f>((J201-I201)*-1)+(J252-I252)</f>
        <v>204.425</v>
      </c>
      <c r="K311" s="3">
        <f>((K201-J201)*-1)+(K252-J252)</f>
        <v>-55.871</v>
      </c>
      <c r="L311" s="3">
        <f>((L201-K201)*-1)+(L252-K252)</f>
        <v>-221.98</v>
      </c>
      <c r="M311" s="3">
        <f>SUM(I311:L311)</f>
        <v>68.267</v>
      </c>
      <c r="N311" s="3">
        <f>((N201-M201)*-1)+(N252-M252)</f>
        <v>572.469</v>
      </c>
      <c r="O311" s="3">
        <f>((O201-N201)*-1)+(O252-N252)</f>
        <v>30.0460000000001</v>
      </c>
      <c r="P311" s="3">
        <f>((P201-O201)*-1)+(P252-O252)</f>
        <v>-374.775</v>
      </c>
      <c r="Q311" s="3">
        <f>((Q201-P201)*-1)+(Q252-P252)</f>
        <v>512.105</v>
      </c>
      <c r="R311" s="3">
        <f>SUM(N311:Q311)</f>
        <v>739.845</v>
      </c>
      <c r="S311" s="3">
        <f>((S201-R201)*-1)+(S252-R252)</f>
        <v>-158.038</v>
      </c>
      <c r="T311" s="3">
        <f>((T201-S201)*-1)+(T252-S252)</f>
        <v>-23.768</v>
      </c>
      <c r="U311" s="3">
        <f>((U201-T201)*-1)+(U252-T252)</f>
        <v>30.513</v>
      </c>
      <c r="V311" s="3">
        <f>((V201-U201)*-1)+(V252-U252)</f>
        <v>-834.529</v>
      </c>
      <c r="W311" s="3">
        <f>SUM(S311:V311)</f>
        <v>-985.822</v>
      </c>
      <c r="X311" s="3">
        <f>((X201-W201)*-1)+(X252-W252)</f>
        <v>42.6160000000002</v>
      </c>
      <c r="Y311" s="3">
        <f>((Y201-X201)*-1)+(Y252-X252)</f>
        <v>-456.805</v>
      </c>
      <c r="Z311" s="3">
        <f>((Z201-Y201)*-1)+(Z252-Y252)</f>
        <v>-0.332000000000221</v>
      </c>
      <c r="AA311" s="3">
        <f>((AA201-Z201)*-1)+(AA252-Z252)</f>
        <v>-188.416</v>
      </c>
      <c r="AB311" s="3">
        <f>SUM(X311:AA311)</f>
        <v>-602.937</v>
      </c>
      <c r="AC311" s="3">
        <f>((AC201-AB201)*-1)+(AC252-AB252)</f>
        <v>657.949</v>
      </c>
      <c r="AD311" s="3">
        <f>((AD201-AC201)*-1)+(AD252-AC252)</f>
        <v>808.169</v>
      </c>
      <c r="AE311" s="3">
        <f>((AE201-AD201)*-1)+(AE252-AD252)</f>
        <v>69.095</v>
      </c>
      <c r="AF311" s="3">
        <f>((AF201-AE201)*-1)+(AF252-AE252)</f>
        <v>-41.6289999999998</v>
      </c>
      <c r="AG311" s="3">
        <f>SUM(AC311:AF311)</f>
        <v>1493.584</v>
      </c>
      <c r="AH311" s="3">
        <f>((AH201-AG201)*-1)+(AH252-AG252)</f>
        <v>213.935</v>
      </c>
      <c r="AI311" s="3">
        <f>((AI201-AH201)*-1)+(AI252-AH252)</f>
        <v>131.431</v>
      </c>
      <c r="AJ311" s="3">
        <f>((AJ201-AI201)*-1)+(AJ252-AI252)</f>
        <v>0</v>
      </c>
      <c r="AK311" s="3">
        <f>((AK201-AJ201)*-1)+(AK252-AJ252)</f>
        <v>0</v>
      </c>
      <c r="AL311" s="3">
        <f>SUM(AH311:AK311)</f>
        <v>345.366</v>
      </c>
      <c r="AM311" s="3">
        <f>((AM201-AL201)*-1)+(AM252-AL252)</f>
        <v>0</v>
      </c>
      <c r="AN311" s="3">
        <f>((AN201-AM201)*-1)+(AN252-AM252)</f>
        <v>0</v>
      </c>
      <c r="AO311" s="3">
        <f>((AO201-AN201)*-1)+(AO252-AN252)</f>
        <v>0</v>
      </c>
      <c r="AP311" s="3">
        <f>((AP201-AO201)*-1)+(AP252-AO252)</f>
        <v>0</v>
      </c>
      <c r="AQ311" s="3">
        <f>SUM(AM311:AP311)</f>
        <v>0</v>
      </c>
      <c r="AR311" s="3">
        <f>((AR201-AQ201)*-1)+(AR252-AQ252)</f>
        <v>0</v>
      </c>
      <c r="AS311" s="3">
        <f>((AS201-AR201)*-1)+(AS252-AR252)</f>
        <v>0</v>
      </c>
      <c r="AT311" s="3">
        <f>((AT201-AS201)*-1)+(AT252-AS252)</f>
        <v>0</v>
      </c>
      <c r="AU311" s="3">
        <f>((AU201-AT201)*-1)+(AU252-AT252)</f>
        <v>0</v>
      </c>
      <c r="AV311" s="3">
        <f>SUM(AR311:AU311)</f>
        <v>0</v>
      </c>
      <c r="AW311" s="3">
        <f>((AW201-AV201)*-1)+(AW252-AV252)</f>
        <v>0</v>
      </c>
      <c r="AX311" s="3">
        <f>((AX201-AW201)*-1)+(AX252-AW252)</f>
        <v>0</v>
      </c>
      <c r="AY311" s="3">
        <f>((AY201-AX201)*-1)+(AY252-AX252)</f>
        <v>0</v>
      </c>
      <c r="AZ311" s="3">
        <f>((AZ201-AY201)*-1)+(AZ252-AY252)</f>
        <v>0</v>
      </c>
      <c r="BA311" s="3">
        <f>SUM(AW311:AZ311)</f>
        <v>0</v>
      </c>
      <c r="BB311" s="3">
        <f>((BB201-BA201)*-1)+(BB252-BA252)</f>
        <v>0</v>
      </c>
      <c r="BC311" s="3">
        <f>((BC201-BB201)*-1)+(BC252-BB252)</f>
        <v>0</v>
      </c>
      <c r="BD311" s="3">
        <f>((BD201-BC201)*-1)+(BD252-BC252)</f>
        <v>0</v>
      </c>
      <c r="BE311" s="3">
        <f>((BE201-BD201)*-1)+(BE252-BD252)</f>
        <v>0</v>
      </c>
      <c r="BF311" s="3">
        <f>SUM(BB311:BE311)</f>
        <v>0</v>
      </c>
      <c r="BG311" s="3">
        <f>((BG201-BF201)*-1)+(BG252-BF252)</f>
        <v>0</v>
      </c>
      <c r="BH311" s="3">
        <f>((BH201-BG201)*-1)+(BH252-BG252)</f>
        <v>0</v>
      </c>
      <c r="BI311" s="3">
        <f>((BI201-BH201)*-1)+(BI252-BH252)</f>
        <v>0</v>
      </c>
      <c r="BJ311" s="3">
        <f>((BJ201-BI201)*-1)+(BJ252-BI252)</f>
        <v>0</v>
      </c>
      <c r="BK311" s="3">
        <f>SUM(BG311:BJ311)</f>
        <v>0</v>
      </c>
      <c r="BL311" s="3">
        <f>((BL201-BK201)*-1)+(BL252-BK252)</f>
        <v>0</v>
      </c>
      <c r="BM311" s="3">
        <f>((BM201-BL201)*-1)+(BM252-BL252)</f>
        <v>0</v>
      </c>
      <c r="BN311" s="3">
        <f>((BN201-BM201)*-1)+(BN252-BM252)</f>
        <v>0</v>
      </c>
      <c r="BO311" s="3">
        <f>((BO201-BN201)*-1)+(BO252-BN252)</f>
        <v>0</v>
      </c>
      <c r="BP311" s="3">
        <f>SUM(BL311:BO311)</f>
        <v>0</v>
      </c>
      <c r="BQ311" s="3">
        <f>((BQ201-BP201)*-1)+(BQ252-BP252)</f>
        <v>0</v>
      </c>
      <c r="BR311" s="3">
        <f>((BR201-BQ201)*-1)+(BR252-BQ252)</f>
        <v>0</v>
      </c>
      <c r="BS311" s="3">
        <f>((BS201-BR201)*-1)+(BS252-BR252)</f>
        <v>0</v>
      </c>
      <c r="BT311" s="3">
        <f>((BT201-BS201)*-1)+(BT252-BS252)</f>
        <v>0</v>
      </c>
      <c r="BU311" s="3">
        <f>SUM(BQ311:BT311)</f>
        <v>0</v>
      </c>
      <c r="BV311" s="3">
        <f>((BV201-BU201)*-1)+(BV252-BU252)</f>
        <v>0</v>
      </c>
      <c r="BW311" s="3">
        <f>((BW201-BV201)*-1)+(BW252-BV252)</f>
        <v>0</v>
      </c>
      <c r="BX311" s="3">
        <f>((BX201-BW201)*-1)+(BX252-BW252)</f>
        <v>0</v>
      </c>
      <c r="BY311" s="3">
        <f>((BY201-BX201)*-1)+(BY252-BX252)</f>
        <v>0</v>
      </c>
      <c r="BZ311" s="3">
        <f>SUM(BV311:BY311)</f>
        <v>0</v>
      </c>
      <c r="CA311" s="3">
        <f>((CA201-BZ201)*-1)+(CA252-BZ252)</f>
        <v>0</v>
      </c>
      <c r="CB311" s="3">
        <f>((CB201-CA201)*-1)+(CB252-CA252)</f>
        <v>0</v>
      </c>
      <c r="CC311" s="3">
        <f>((CC201-CB201)*-1)+(CC252-CB252)</f>
        <v>0</v>
      </c>
      <c r="CD311" s="3">
        <f>((CD201-CC201)*-1)+(CD252-CC252)</f>
        <v>0</v>
      </c>
      <c r="CE311" s="3">
        <f>SUM(CA311:CD311)</f>
        <v>0</v>
      </c>
      <c r="CF311" s="3">
        <f>((CF201-CE201)*-1)+(CF252-CE252)</f>
        <v>0</v>
      </c>
      <c r="CG311" s="3">
        <f>((CG201-CF201)*-1)+(CG252-CF252)</f>
        <v>0</v>
      </c>
      <c r="CH311" s="3">
        <f>((CH201-CG201)*-1)+(CH252-CG252)</f>
        <v>0</v>
      </c>
      <c r="CI311" s="3">
        <f>((CI201-CH201)*-1)+(CI252-CH252)</f>
        <v>0</v>
      </c>
      <c r="CJ311" s="3">
        <f>SUM(CF311:CI311)</f>
        <v>0</v>
      </c>
      <c r="CK311" s="3">
        <f>((CK201-CJ201)*-1)+(CK252-CJ252)</f>
        <v>0</v>
      </c>
      <c r="CL311" s="3">
        <f>((CL201-CK201)*-1)+(CL252-CK252)</f>
        <v>0</v>
      </c>
      <c r="CM311" s="3">
        <f>((CM201-CL201)*-1)+(CM252-CL252)</f>
        <v>0</v>
      </c>
      <c r="CN311" s="3">
        <f>((CN201-CM201)*-1)+(CN252-CM252)</f>
        <v>0</v>
      </c>
      <c r="CO311" s="3">
        <f>SUM(CK311:CN311)</f>
        <v>0</v>
      </c>
      <c r="CP311" s="3">
        <f>((CP201-CO201)*-1)+(CP252-CO252)</f>
        <v>0</v>
      </c>
      <c r="CQ311" s="3">
        <f>((CQ201-CP201)*-1)+(CQ252-CP252)</f>
        <v>0</v>
      </c>
      <c r="CR311" s="3">
        <f>((CR201-CQ201)*-1)+(CR252-CQ252)</f>
        <v>0</v>
      </c>
      <c r="CS311" s="3">
        <f>((CS201-CR201)*-1)+(CS252-CR252)</f>
        <v>0</v>
      </c>
      <c r="CT311" s="3">
        <f>SUM(CP311:CS311)</f>
        <v>0</v>
      </c>
      <c r="CU311" s="3">
        <f>((CU201-CT201)*-1)+(CU252-CT252)</f>
        <v>0</v>
      </c>
      <c r="CV311" s="3">
        <f>((CV201-CU201)*-1)+(CV252-CU252)</f>
        <v>0</v>
      </c>
      <c r="CW311" s="3">
        <f>((CW201-CV201)*-1)+(CW252-CV252)</f>
        <v>0</v>
      </c>
      <c r="CX311" s="3">
        <f>((CX201-CW201)*-1)+(CX252-CW252)</f>
        <v>0</v>
      </c>
      <c r="CY311" s="3">
        <f>SUM(CU311:CX311)</f>
        <v>0</v>
      </c>
    </row>
    <row r="312">
      <c r="C312" s="26" t="inlineStr">
        <is>
          <t>Cash from investing</t>
        </is>
      </c>
      <c r="D312" s="3" t="n"/>
      <c r="E312" s="3">
        <f>SUM(E307,E308,E310,E311,E309)</f>
        <v>378.306</v>
      </c>
      <c r="F312" s="3">
        <f>SUM(F307,F308,F310,F311,F309)</f>
        <v>-715.228</v>
      </c>
      <c r="G312" s="3">
        <f>SUM(G307,G308,G310,G311,G309)</f>
        <v>-783.714</v>
      </c>
      <c r="H312" s="3">
        <f>SUM(H307,H308,H310,H311)</f>
        <v>-1120.636</v>
      </c>
      <c r="I312" s="3">
        <f>SUM(I307,I308,I310,I311,I309)</f>
        <v>-554.542000000001</v>
      </c>
      <c r="J312" s="3">
        <f>SUM(J307,J308,J310,J311,J309)</f>
        <v>-798.674</v>
      </c>
      <c r="K312" s="3">
        <f>SUM(K307,K308,K310,K311,K309)</f>
        <v>-2747.196</v>
      </c>
      <c r="L312" s="3">
        <f>SUM(L307,L308,L310,L311,L309)</f>
        <v>-2682.176</v>
      </c>
      <c r="M312" s="3">
        <f>SUM(M307,M308,M310,M311)</f>
        <v>-6782.588</v>
      </c>
      <c r="N312" s="3">
        <f>SUM(N307,N308,N310,N311,N309)</f>
        <v>-340.912</v>
      </c>
      <c r="O312" s="3">
        <f>SUM(O307,O308,O310,O311,O309)</f>
        <v>-2193.833</v>
      </c>
      <c r="P312" s="3">
        <f>SUM(P307,P308,P310,P311,P309)</f>
        <v>-1177.801</v>
      </c>
      <c r="Q312" s="3">
        <f>SUM(Q307,Q308,Q310,Q311,Q309)</f>
        <v>-497.738000000001</v>
      </c>
      <c r="R312" s="3">
        <f>SUM(R307,R308,R310,R311)</f>
        <v>-4210.284</v>
      </c>
      <c r="S312" s="3">
        <f>SUM(S307,S308,S310,S311,S309)</f>
        <v>-19.5499999999996</v>
      </c>
      <c r="T312" s="3">
        <f>SUM(T307,T308,T310,T311,T309)</f>
        <v>-193.684</v>
      </c>
      <c r="U312" s="3">
        <f>SUM(U307,U308,U310,U311,U309)</f>
        <v>-1325.659</v>
      </c>
      <c r="V312" s="3">
        <f>SUM(V307,V308,V310,V311,V309)</f>
        <v>-4528.296</v>
      </c>
      <c r="W312" s="3">
        <f>SUM(W307,W308,W310,W311)</f>
        <v>-6067.189</v>
      </c>
      <c r="X312" s="3">
        <f>SUM(X307,X308,X310,X311,X309)</f>
        <v>-523.409</v>
      </c>
      <c r="Y312" s="3">
        <f>SUM(Y307,Y308,Y310,Y311,Y309)</f>
        <v>-1391.18</v>
      </c>
      <c r="Z312" s="3">
        <f>SUM(Z307,Z308,Z310,Z311,Z309)</f>
        <v>-1111.793</v>
      </c>
      <c r="AA312" s="3">
        <f>SUM(AA307,AA308,AA310,AA311,AA309)</f>
        <v>-2938.596</v>
      </c>
      <c r="AB312" s="3">
        <f>SUM(AB307,AB308,AB310,AB311)</f>
        <v>-5964.978</v>
      </c>
      <c r="AC312" s="3">
        <f>SUM(AC307,AC308,AC310,AC311,AC309)</f>
        <v>1320.786</v>
      </c>
      <c r="AD312" s="3">
        <f>SUM(AD307,AD308,AD310,AD311,AD309)</f>
        <v>-584.049999999998</v>
      </c>
      <c r="AE312" s="3">
        <f>SUM(AE307,AE308,AE310,AE311,AE309)</f>
        <v>-706.529000000001</v>
      </c>
      <c r="AF312" s="3">
        <f>SUM(AF307,AF308,AF310,AF311,AF309)</f>
        <v>-3222.3822426</v>
      </c>
      <c r="AG312" s="3">
        <f>SUM(AG307,AG308,AG310,AG311)</f>
        <v>-3192.1752426</v>
      </c>
      <c r="AH312" s="3">
        <f>SUM(AH307,AH308,AH310,AH311,AH309)</f>
        <v>474.114078600001</v>
      </c>
      <c r="AI312" s="3">
        <f>SUM(AI307,AI308,AI310,AI311,AI309)</f>
        <v>-2403.1606214</v>
      </c>
      <c r="AJ312" s="3">
        <f>SUM(AJ307,AJ308,AJ310,AJ311,AJ309)</f>
        <v>384.741</v>
      </c>
      <c r="AK312" s="3">
        <f>SUM(AK307,AK308,AK310,AK311,AK309)</f>
        <v>0</v>
      </c>
      <c r="AL312" s="3">
        <f>SUM(AL307,AL308,AL310,AL311)</f>
        <v>-1544.3055428</v>
      </c>
      <c r="AM312" s="3">
        <f>SUM(AM307,AM308,AM310,AM311,AM309)</f>
        <v>0</v>
      </c>
      <c r="AN312" s="3">
        <f>SUM(AN307,AN308,AN310,AN311,AN309)</f>
        <v>0</v>
      </c>
      <c r="AO312" s="3">
        <f>SUM(AO307,AO308,AO310,AO311,AO309)</f>
        <v>0</v>
      </c>
      <c r="AP312" s="3">
        <f>SUM(AP307,AP308,AP310,AP311,AP309)</f>
        <v>0</v>
      </c>
      <c r="AQ312" s="3">
        <f>SUM(AQ307,AQ308,AQ310,AQ311)</f>
        <v>0</v>
      </c>
      <c r="AR312" s="3">
        <f>SUM(AR307,AR308,AR310,AR311,AR309)</f>
        <v>0</v>
      </c>
      <c r="AS312" s="3">
        <f>SUM(AS307,AS308,AS310,AS311,AS309)</f>
        <v>0</v>
      </c>
      <c r="AT312" s="3">
        <f>SUM(AT307,AT308,AT310,AT311,AT309)</f>
        <v>0</v>
      </c>
      <c r="AU312" s="3">
        <f>SUM(AU307,AU308,AU310,AU311,AU309)</f>
        <v>0</v>
      </c>
      <c r="AV312" s="3">
        <f>SUM(AV307,AV308,AV310,AV311)</f>
        <v>0</v>
      </c>
      <c r="AW312" s="3">
        <f>SUM(AW307,AW308,AW310,AW311,AW309)</f>
        <v>0</v>
      </c>
      <c r="AX312" s="3">
        <f>SUM(AX307,AX308,AX310,AX311,AX309)</f>
        <v>0</v>
      </c>
      <c r="AY312" s="3">
        <f>SUM(AY307,AY308,AY310,AY311,AY309)</f>
        <v>0</v>
      </c>
      <c r="AZ312" s="3">
        <f>SUM(AZ307,AZ308,AZ310,AZ311,AZ309)</f>
        <v>0</v>
      </c>
      <c r="BA312" s="3">
        <f>SUM(BA307,BA308,BA310,BA311)</f>
        <v>0</v>
      </c>
      <c r="BB312" s="3">
        <f>SUM(BB307,BB308,BB310,BB311,BB309)</f>
        <v>0</v>
      </c>
      <c r="BC312" s="3">
        <f>SUM(BC307,BC308,BC310,BC311,BC309)</f>
        <v>0</v>
      </c>
      <c r="BD312" s="3">
        <f>SUM(BD307,BD308,BD310,BD311,BD309)</f>
        <v>0</v>
      </c>
      <c r="BE312" s="3">
        <f>SUM(BE307,BE308,BE310,BE311,BE309)</f>
        <v>0</v>
      </c>
      <c r="BF312" s="3">
        <f>SUM(BF307,BF308,BF310,BF311)</f>
        <v>0</v>
      </c>
      <c r="BG312" s="3">
        <f>SUM(BG307,BG308,BG310,BG311,BG309)</f>
        <v>0</v>
      </c>
      <c r="BH312" s="3">
        <f>SUM(BH307,BH308,BH310,BH311,BH309)</f>
        <v>0</v>
      </c>
      <c r="BI312" s="3">
        <f>SUM(BI307,BI308,BI310,BI311,BI309)</f>
        <v>0</v>
      </c>
      <c r="BJ312" s="3">
        <f>SUM(BJ307,BJ308,BJ310,BJ311,BJ309)</f>
        <v>0</v>
      </c>
      <c r="BK312" s="3">
        <f>SUM(BK307,BK308,BK310,BK311)</f>
        <v>0</v>
      </c>
      <c r="BL312" s="3">
        <f>SUM(BL307,BL308,BL310,BL311,BL309)</f>
        <v>0</v>
      </c>
      <c r="BM312" s="3">
        <f>SUM(BM307,BM308,BM310,BM311,BM309)</f>
        <v>0</v>
      </c>
      <c r="BN312" s="3">
        <f>SUM(BN307,BN308,BN310,BN311,BN309)</f>
        <v>0</v>
      </c>
      <c r="BO312" s="3">
        <f>SUM(BO307,BO308,BO310,BO311,BO309)</f>
        <v>0</v>
      </c>
      <c r="BP312" s="3">
        <f>SUM(BP307,BP308,BP310,BP311)</f>
        <v>0</v>
      </c>
      <c r="BQ312" s="3">
        <f>SUM(BQ307,BQ308,BQ310,BQ311,BQ309)</f>
        <v>0</v>
      </c>
      <c r="BR312" s="3">
        <f>SUM(BR307,BR308,BR310,BR311,BR309)</f>
        <v>0</v>
      </c>
      <c r="BS312" s="3">
        <f>SUM(BS307,BS308,BS310,BS311,BS309)</f>
        <v>0</v>
      </c>
      <c r="BT312" s="3">
        <f>SUM(BT307,BT308,BT310,BT311,BT309)</f>
        <v>0</v>
      </c>
      <c r="BU312" s="3">
        <f>SUM(BU307,BU308,BU310,BU311)</f>
        <v>0</v>
      </c>
      <c r="BV312" s="3">
        <f>SUM(BV307,BV308,BV310,BV311,BV309)</f>
        <v>0</v>
      </c>
      <c r="BW312" s="3">
        <f>SUM(BW307,BW308,BW310,BW311,BW309)</f>
        <v>0</v>
      </c>
      <c r="BX312" s="3">
        <f>SUM(BX307,BX308,BX310,BX311,BX309)</f>
        <v>0</v>
      </c>
      <c r="BY312" s="3">
        <f>SUM(BY307,BY308,BY310,BY311,BY309)</f>
        <v>0</v>
      </c>
      <c r="BZ312" s="3">
        <f>SUM(BZ307,BZ308,BZ310,BZ311)</f>
        <v>0</v>
      </c>
      <c r="CA312" s="3">
        <f>SUM(CA307,CA308,CA310,CA311,CA309)</f>
        <v>0</v>
      </c>
      <c r="CB312" s="3">
        <f>SUM(CB307,CB308,CB310,CB311,CB309)</f>
        <v>0</v>
      </c>
      <c r="CC312" s="3">
        <f>SUM(CC307,CC308,CC310,CC311,CC309)</f>
        <v>0</v>
      </c>
      <c r="CD312" s="3">
        <f>SUM(CD307,CD308,CD310,CD311,CD309)</f>
        <v>0</v>
      </c>
      <c r="CE312" s="3">
        <f>SUM(CE307,CE308,CE310,CE311)</f>
        <v>0</v>
      </c>
      <c r="CF312" s="3">
        <f>SUM(CF307,CF308,CF310,CF311,CF309)</f>
        <v>0</v>
      </c>
      <c r="CG312" s="3">
        <f>SUM(CG307,CG308,CG310,CG311,CG309)</f>
        <v>0</v>
      </c>
      <c r="CH312" s="3">
        <f>SUM(CH307,CH308,CH310,CH311,CH309)</f>
        <v>0</v>
      </c>
      <c r="CI312" s="3">
        <f>SUM(CI307,CI308,CI310,CI311,CI309)</f>
        <v>0</v>
      </c>
      <c r="CJ312" s="3">
        <f>SUM(CJ307,CJ308,CJ310,CJ311)</f>
        <v>0</v>
      </c>
      <c r="CK312" s="3">
        <f>SUM(CK307,CK308,CK310,CK311,CK309)</f>
        <v>0</v>
      </c>
      <c r="CL312" s="3">
        <f>SUM(CL307,CL308,CL310,CL311,CL309)</f>
        <v>0</v>
      </c>
      <c r="CM312" s="3">
        <f>SUM(CM307,CM308,CM310,CM311,CM309)</f>
        <v>0</v>
      </c>
      <c r="CN312" s="3">
        <f>SUM(CN307,CN308,CN310,CN311,CN309)</f>
        <v>0</v>
      </c>
      <c r="CO312" s="3">
        <f>SUM(CO307,CO308,CO310,CO311)</f>
        <v>0</v>
      </c>
      <c r="CP312" s="3">
        <f>SUM(CP307,CP308,CP310,CP311,CP309)</f>
        <v>0</v>
      </c>
      <c r="CQ312" s="3">
        <f>SUM(CQ307,CQ308,CQ310,CQ311,CQ309)</f>
        <v>0</v>
      </c>
      <c r="CR312" s="3">
        <f>SUM(CR307,CR308,CR310,CR311,CR309)</f>
        <v>0</v>
      </c>
      <c r="CS312" s="3">
        <f>SUM(CS307,CS308,CS310,CS311,CS309)</f>
        <v>0</v>
      </c>
      <c r="CT312" s="3">
        <f>SUM(CT307,CT308,CT310,CT311)</f>
        <v>0</v>
      </c>
      <c r="CU312" s="3">
        <f>SUM(CU307,CU308,CU310,CU311,CU309)</f>
        <v>0</v>
      </c>
      <c r="CV312" s="3">
        <f>SUM(CV307,CV308,CV310,CV311,CV309)</f>
        <v>0</v>
      </c>
      <c r="CW312" s="3">
        <f>SUM(CW307,CW308,CW310,CW311,CW309)</f>
        <v>0</v>
      </c>
      <c r="CX312" s="3">
        <f>SUM(CX307,CX308,CX310,CX311,CX309)</f>
        <v>0</v>
      </c>
      <c r="CY312" s="3">
        <f>SUM(CY307,CY308,CY310,CY311)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Convertible preferred stock</t>
        </is>
      </c>
      <c r="D314" s="3" t="n"/>
      <c r="E314" s="3">
        <f>E265-D265</f>
        <v>0</v>
      </c>
      <c r="F314" s="3">
        <f>F265-E265</f>
        <v>0</v>
      </c>
      <c r="G314" s="3">
        <f>G265-F265</f>
        <v>0</v>
      </c>
      <c r="H314" s="3">
        <f>SUM(D314:G314)</f>
        <v>0</v>
      </c>
      <c r="I314" s="3">
        <f>I265-H265</f>
        <v>0</v>
      </c>
      <c r="J314" s="3">
        <f>J265-I265</f>
        <v>0</v>
      </c>
      <c r="K314" s="3">
        <f>K265-J265</f>
        <v>0</v>
      </c>
      <c r="L314" s="3">
        <f>L265-K265</f>
        <v>0</v>
      </c>
      <c r="M314" s="3">
        <f>SUM(I314:L314)</f>
        <v>0</v>
      </c>
      <c r="N314" s="3">
        <f>N265-M265</f>
        <v>0</v>
      </c>
      <c r="O314" s="3">
        <f>O265-N265</f>
        <v>0</v>
      </c>
      <c r="P314" s="3">
        <f>P265-O265</f>
        <v>0</v>
      </c>
      <c r="Q314" s="3">
        <f>Q265-P265</f>
        <v>0</v>
      </c>
      <c r="R314" s="3">
        <f>SUM(N314:Q314)</f>
        <v>0</v>
      </c>
      <c r="S314" s="3">
        <f>S265-R265</f>
        <v>0</v>
      </c>
      <c r="T314" s="3">
        <f>T265-S265</f>
        <v>0</v>
      </c>
      <c r="U314" s="3">
        <f>U265-T265</f>
        <v>0</v>
      </c>
      <c r="V314" s="3">
        <f>V265-U265</f>
        <v>0</v>
      </c>
      <c r="W314" s="3">
        <f>SUM(S314:V314)</f>
        <v>0</v>
      </c>
      <c r="X314" s="3">
        <f>X265-W265</f>
        <v>0</v>
      </c>
      <c r="Y314" s="3">
        <f>Y265-X265</f>
        <v>0</v>
      </c>
      <c r="Z314" s="3">
        <f>Z265-Y265</f>
        <v>0</v>
      </c>
      <c r="AA314" s="3">
        <f>AA265-Z265</f>
        <v>0</v>
      </c>
      <c r="AB314" s="3">
        <f>SUM(X314:AA314)</f>
        <v>0</v>
      </c>
      <c r="AC314" s="3">
        <f>AC265-AB265</f>
        <v>0</v>
      </c>
      <c r="AD314" s="3">
        <f>AD265-AC265</f>
        <v>0</v>
      </c>
      <c r="AE314" s="3">
        <f>AE265-AD265</f>
        <v>0</v>
      </c>
      <c r="AF314" s="3">
        <f>AF265-AE265</f>
        <v>0</v>
      </c>
      <c r="AG314" s="3">
        <f>SUM(AC314:AF314)</f>
        <v>0</v>
      </c>
      <c r="AH314" s="3">
        <f>AH265-AG265</f>
        <v>0</v>
      </c>
      <c r="AI314" s="3">
        <f>AI265-AH265</f>
        <v>0</v>
      </c>
      <c r="AJ314" s="3">
        <f>AJ265-AI265</f>
        <v>0</v>
      </c>
      <c r="AK314" s="3">
        <f>AK265-AJ265</f>
        <v>0</v>
      </c>
      <c r="AL314" s="3">
        <f>SUM(AH314:AK314)</f>
        <v>0</v>
      </c>
      <c r="AM314" s="3">
        <f>AM265-AL265</f>
        <v>0</v>
      </c>
      <c r="AN314" s="3">
        <f>AN265-AM265</f>
        <v>0</v>
      </c>
      <c r="AO314" s="3">
        <f>AO265-AN265</f>
        <v>0</v>
      </c>
      <c r="AP314" s="3">
        <f>AP265-AO265</f>
        <v>0</v>
      </c>
      <c r="AQ314" s="3">
        <f>SUM(AM314:AP314)</f>
        <v>0</v>
      </c>
      <c r="AR314" s="3">
        <f>AR265-AQ265</f>
        <v>0</v>
      </c>
      <c r="AS314" s="3">
        <f>AS265-AR265</f>
        <v>0</v>
      </c>
      <c r="AT314" s="3">
        <f>AT265-AS265</f>
        <v>0</v>
      </c>
      <c r="AU314" s="3">
        <f>AU265-AT265</f>
        <v>0</v>
      </c>
      <c r="AV314" s="3">
        <f>SUM(AR314:AU314)</f>
        <v>0</v>
      </c>
      <c r="AW314" s="3">
        <f>AW265-AV265</f>
        <v>0</v>
      </c>
      <c r="AX314" s="3">
        <f>AX265-AW265</f>
        <v>0</v>
      </c>
      <c r="AY314" s="3">
        <f>AY265-AX265</f>
        <v>0</v>
      </c>
      <c r="AZ314" s="3">
        <f>AZ265-AY265</f>
        <v>0</v>
      </c>
      <c r="BA314" s="3">
        <f>SUM(AW314:AZ314)</f>
        <v>0</v>
      </c>
      <c r="BB314" s="3">
        <f>BB265-BA265</f>
        <v>0</v>
      </c>
      <c r="BC314" s="3">
        <f>BC265-BB265</f>
        <v>0</v>
      </c>
      <c r="BD314" s="3">
        <f>BD265-BC265</f>
        <v>0</v>
      </c>
      <c r="BE314" s="3">
        <f>BE265-BD265</f>
        <v>0</v>
      </c>
      <c r="BF314" s="3">
        <f>SUM(BB314:BE314)</f>
        <v>0</v>
      </c>
      <c r="BG314" s="3">
        <f>BG265-BF265</f>
        <v>0</v>
      </c>
      <c r="BH314" s="3">
        <f>BH265-BG265</f>
        <v>0</v>
      </c>
      <c r="BI314" s="3">
        <f>BI265-BH265</f>
        <v>0</v>
      </c>
      <c r="BJ314" s="3">
        <f>BJ265-BI265</f>
        <v>0</v>
      </c>
      <c r="BK314" s="3">
        <f>SUM(BG314:BJ314)</f>
        <v>0</v>
      </c>
      <c r="BL314" s="3">
        <f>BL265-BK265</f>
        <v>0</v>
      </c>
      <c r="BM314" s="3">
        <f>BM265-BL265</f>
        <v>0</v>
      </c>
      <c r="BN314" s="3">
        <f>BN265-BM265</f>
        <v>0</v>
      </c>
      <c r="BO314" s="3">
        <f>BO265-BN265</f>
        <v>0</v>
      </c>
      <c r="BP314" s="3">
        <f>SUM(BL314:BO314)</f>
        <v>0</v>
      </c>
      <c r="BQ314" s="3">
        <f>BQ265-BP265</f>
        <v>0</v>
      </c>
      <c r="BR314" s="3">
        <f>BR265-BQ265</f>
        <v>0</v>
      </c>
      <c r="BS314" s="3">
        <f>BS265-BR265</f>
        <v>0</v>
      </c>
      <c r="BT314" s="3">
        <f>BT265-BS265</f>
        <v>0</v>
      </c>
      <c r="BU314" s="3">
        <f>SUM(BQ314:BT314)</f>
        <v>0</v>
      </c>
      <c r="BV314" s="3">
        <f>BV265-BU265</f>
        <v>0</v>
      </c>
      <c r="BW314" s="3">
        <f>BW265-BV265</f>
        <v>0</v>
      </c>
      <c r="BX314" s="3">
        <f>BX265-BW265</f>
        <v>0</v>
      </c>
      <c r="BY314" s="3">
        <f>BY265-BX265</f>
        <v>0</v>
      </c>
      <c r="BZ314" s="3">
        <f>SUM(BV314:BY314)</f>
        <v>0</v>
      </c>
      <c r="CA314" s="3">
        <f>CA265-BZ265</f>
        <v>0</v>
      </c>
      <c r="CB314" s="3">
        <f>CB265-CA265</f>
        <v>0</v>
      </c>
      <c r="CC314" s="3">
        <f>CC265-CB265</f>
        <v>0</v>
      </c>
      <c r="CD314" s="3">
        <f>CD265-CC265</f>
        <v>0</v>
      </c>
      <c r="CE314" s="3">
        <f>SUM(CA314:CD314)</f>
        <v>0</v>
      </c>
      <c r="CF314" s="3">
        <f>CF265-CE265</f>
        <v>0</v>
      </c>
      <c r="CG314" s="3">
        <f>CG265-CF265</f>
        <v>0</v>
      </c>
      <c r="CH314" s="3">
        <f>CH265-CG265</f>
        <v>0</v>
      </c>
      <c r="CI314" s="3">
        <f>CI265-CH265</f>
        <v>0</v>
      </c>
      <c r="CJ314" s="3">
        <f>SUM(CF314:CI314)</f>
        <v>0</v>
      </c>
      <c r="CK314" s="3">
        <f>CK265-CJ265</f>
        <v>0</v>
      </c>
      <c r="CL314" s="3">
        <f>CL265-CK265</f>
        <v>0</v>
      </c>
      <c r="CM314" s="3">
        <f>CM265-CL265</f>
        <v>0</v>
      </c>
      <c r="CN314" s="3">
        <f>CN265-CM265</f>
        <v>0</v>
      </c>
      <c r="CO314" s="3">
        <f>SUM(CK314:CN314)</f>
        <v>0</v>
      </c>
      <c r="CP314" s="3">
        <f>CP265-CO265</f>
        <v>0</v>
      </c>
      <c r="CQ314" s="3">
        <f>CQ265-CP265</f>
        <v>0</v>
      </c>
      <c r="CR314" s="3">
        <f>CR265-CQ265</f>
        <v>0</v>
      </c>
      <c r="CS314" s="3">
        <f>CS265-CR265</f>
        <v>0</v>
      </c>
      <c r="CT314" s="3">
        <f>SUM(CP314:CS314)</f>
        <v>0</v>
      </c>
      <c r="CU314" s="3">
        <f>CU265-CT265</f>
        <v>0</v>
      </c>
      <c r="CV314" s="3">
        <f>CV265-CU265</f>
        <v>0</v>
      </c>
      <c r="CW314" s="3">
        <f>CW265-CV265</f>
        <v>0</v>
      </c>
      <c r="CX314" s="3">
        <f>CX265-CW265</f>
        <v>0</v>
      </c>
      <c r="CY314" s="3">
        <f>SUM(CU314:CX314)</f>
        <v>0</v>
      </c>
    </row>
    <row r="315">
      <c r="C315" s="26" t="inlineStr">
        <is>
          <t>Common stock and APIC</t>
        </is>
      </c>
      <c r="D315" s="3" t="n"/>
      <c r="E315" s="3">
        <f>E266-D266</f>
        <v>-4.47699999999986</v>
      </c>
      <c r="F315" s="3">
        <f>F266-E266</f>
        <v>0.056999999999789</v>
      </c>
      <c r="G315" s="3">
        <f>G266-F266</f>
        <v>0.05600000000004</v>
      </c>
      <c r="H315" s="3">
        <f>SUM(D315:G315)</f>
        <v>-4.36400000000003</v>
      </c>
      <c r="I315" s="3">
        <f>I266-H266</f>
        <v>0.00800000000026557</v>
      </c>
      <c r="J315" s="3">
        <f>J266-I266</f>
        <v>0.145999999999731</v>
      </c>
      <c r="K315" s="3">
        <f>K266-J266</f>
        <v>582.87</v>
      </c>
      <c r="L315" s="3">
        <f>L266-K266</f>
        <v>-1.49400000000014</v>
      </c>
      <c r="M315" s="3">
        <f>SUM(I315:L315)</f>
        <v>581.53</v>
      </c>
      <c r="N315" s="3">
        <f>N266-M266</f>
        <v>0.0739999999996144</v>
      </c>
      <c r="O315" s="3">
        <f>O266-N266</f>
        <v>0</v>
      </c>
      <c r="P315" s="3">
        <f>P266-O266</f>
        <v>0</v>
      </c>
      <c r="Q315" s="3">
        <f>Q266-P266</f>
        <v>0</v>
      </c>
      <c r="R315" s="3">
        <f>SUM(N315:Q315)</f>
        <v>0.0739999999996144</v>
      </c>
      <c r="S315" s="3">
        <f>S266-R266</f>
        <v>0</v>
      </c>
      <c r="T315" s="3">
        <f>T266-S266</f>
        <v>-0.00099999999974898</v>
      </c>
      <c r="U315" s="3">
        <f>U266-T266</f>
        <v>0.00099999999974898</v>
      </c>
      <c r="V315" s="3">
        <f>V266-U266</f>
        <v>0</v>
      </c>
      <c r="W315" s="3">
        <f>SUM(S315:V315)</f>
        <v>0</v>
      </c>
      <c r="X315" s="3">
        <f>X266-W266</f>
        <v>0</v>
      </c>
      <c r="Y315" s="3">
        <f>Y266-X266</f>
        <v>0</v>
      </c>
      <c r="Z315" s="3">
        <f>Z266-Y266</f>
        <v>0</v>
      </c>
      <c r="AA315" s="3">
        <f>AA266-Z266</f>
        <v>0</v>
      </c>
      <c r="AB315" s="3">
        <f>SUM(X315:AA315)</f>
        <v>0</v>
      </c>
      <c r="AC315" s="3">
        <f>AC266-AB266</f>
        <v>0</v>
      </c>
      <c r="AD315" s="3">
        <f>AD266-AC266</f>
        <v>0</v>
      </c>
      <c r="AE315" s="3">
        <f>AE266-AD266</f>
        <v>0</v>
      </c>
      <c r="AF315" s="3">
        <f>AF266-AE266</f>
        <v>0</v>
      </c>
      <c r="AG315" s="3">
        <f>SUM(AC315:AF315)</f>
        <v>0</v>
      </c>
      <c r="AH315" s="3">
        <f>AH266-AG266</f>
        <v>-61.6329999999998</v>
      </c>
      <c r="AI315" s="3">
        <f>AI266-AH266</f>
        <v>744.932</v>
      </c>
      <c r="AJ315" s="3">
        <f>AJ266-AI266</f>
        <v>0</v>
      </c>
      <c r="AK315" s="3">
        <f>AK266-AJ266</f>
        <v>0</v>
      </c>
      <c r="AL315" s="3">
        <f>SUM(AH315:AK315)</f>
        <v>683.299</v>
      </c>
      <c r="AM315" s="3">
        <f>AM266-AL266</f>
        <v>0</v>
      </c>
      <c r="AN315" s="3">
        <f>AN266-AM266</f>
        <v>0</v>
      </c>
      <c r="AO315" s="3">
        <f>AO266-AN266</f>
        <v>0</v>
      </c>
      <c r="AP315" s="3">
        <f>AP266-AO266</f>
        <v>0</v>
      </c>
      <c r="AQ315" s="3">
        <f>SUM(AM315:AP315)</f>
        <v>0</v>
      </c>
      <c r="AR315" s="3">
        <f>AR266-AQ266</f>
        <v>0</v>
      </c>
      <c r="AS315" s="3">
        <f>AS266-AR266</f>
        <v>0</v>
      </c>
      <c r="AT315" s="3">
        <f>AT266-AS266</f>
        <v>0</v>
      </c>
      <c r="AU315" s="3">
        <f>AU266-AT266</f>
        <v>0</v>
      </c>
      <c r="AV315" s="3">
        <f>SUM(AR315:AU315)</f>
        <v>0</v>
      </c>
      <c r="AW315" s="3">
        <f>AW266-AV266</f>
        <v>0</v>
      </c>
      <c r="AX315" s="3">
        <f>AX266-AW266</f>
        <v>0</v>
      </c>
      <c r="AY315" s="3">
        <f>AY266-AX266</f>
        <v>0</v>
      </c>
      <c r="AZ315" s="3">
        <f>AZ266-AY266</f>
        <v>0</v>
      </c>
      <c r="BA315" s="3">
        <f>SUM(AW315:AZ315)</f>
        <v>0</v>
      </c>
      <c r="BB315" s="3">
        <f>BB266-BA266</f>
        <v>0</v>
      </c>
      <c r="BC315" s="3">
        <f>BC266-BB266</f>
        <v>0</v>
      </c>
      <c r="BD315" s="3">
        <f>BD266-BC266</f>
        <v>0</v>
      </c>
      <c r="BE315" s="3">
        <f>BE266-BD266</f>
        <v>0</v>
      </c>
      <c r="BF315" s="3">
        <f>SUM(BB315:BE315)</f>
        <v>0</v>
      </c>
      <c r="BG315" s="3">
        <f>BG266-BF266</f>
        <v>0</v>
      </c>
      <c r="BH315" s="3">
        <f>BH266-BG266</f>
        <v>0</v>
      </c>
      <c r="BI315" s="3">
        <f>BI266-BH266</f>
        <v>0</v>
      </c>
      <c r="BJ315" s="3">
        <f>BJ266-BI266</f>
        <v>0</v>
      </c>
      <c r="BK315" s="3">
        <f>SUM(BG315:BJ315)</f>
        <v>0</v>
      </c>
      <c r="BL315" s="3">
        <f>BL266-BK266</f>
        <v>0</v>
      </c>
      <c r="BM315" s="3">
        <f>BM266-BL266</f>
        <v>0</v>
      </c>
      <c r="BN315" s="3">
        <f>BN266-BM266</f>
        <v>0</v>
      </c>
      <c r="BO315" s="3">
        <f>BO266-BN266</f>
        <v>0</v>
      </c>
      <c r="BP315" s="3">
        <f>SUM(BL315:BO315)</f>
        <v>0</v>
      </c>
      <c r="BQ315" s="3">
        <f>BQ266-BP266</f>
        <v>0</v>
      </c>
      <c r="BR315" s="3">
        <f>BR266-BQ266</f>
        <v>0</v>
      </c>
      <c r="BS315" s="3">
        <f>BS266-BR266</f>
        <v>0</v>
      </c>
      <c r="BT315" s="3">
        <f>BT266-BS266</f>
        <v>0</v>
      </c>
      <c r="BU315" s="3">
        <f>SUM(BQ315:BT315)</f>
        <v>0</v>
      </c>
      <c r="BV315" s="3">
        <f>BV266-BU266</f>
        <v>0</v>
      </c>
      <c r="BW315" s="3">
        <f>BW266-BV266</f>
        <v>0</v>
      </c>
      <c r="BX315" s="3">
        <f>BX266-BW266</f>
        <v>0</v>
      </c>
      <c r="BY315" s="3">
        <f>BY266-BX266</f>
        <v>0</v>
      </c>
      <c r="BZ315" s="3">
        <f>SUM(BV315:BY315)</f>
        <v>0</v>
      </c>
      <c r="CA315" s="3">
        <f>CA266-BZ266</f>
        <v>0</v>
      </c>
      <c r="CB315" s="3">
        <f>CB266-CA266</f>
        <v>0</v>
      </c>
      <c r="CC315" s="3">
        <f>CC266-CB266</f>
        <v>0</v>
      </c>
      <c r="CD315" s="3">
        <f>CD266-CC266</f>
        <v>0</v>
      </c>
      <c r="CE315" s="3">
        <f>SUM(CA315:CD315)</f>
        <v>0</v>
      </c>
      <c r="CF315" s="3">
        <f>CF266-CE266</f>
        <v>0</v>
      </c>
      <c r="CG315" s="3">
        <f>CG266-CF266</f>
        <v>0</v>
      </c>
      <c r="CH315" s="3">
        <f>CH266-CG266</f>
        <v>0</v>
      </c>
      <c r="CI315" s="3">
        <f>CI266-CH266</f>
        <v>0</v>
      </c>
      <c r="CJ315" s="3">
        <f>SUM(CF315:CI315)</f>
        <v>0</v>
      </c>
      <c r="CK315" s="3">
        <f>CK266-CJ266</f>
        <v>0</v>
      </c>
      <c r="CL315" s="3">
        <f>CL266-CK266</f>
        <v>0</v>
      </c>
      <c r="CM315" s="3">
        <f>CM266-CL266</f>
        <v>0</v>
      </c>
      <c r="CN315" s="3">
        <f>CN266-CM266</f>
        <v>0</v>
      </c>
      <c r="CO315" s="3">
        <f>SUM(CK315:CN315)</f>
        <v>0</v>
      </c>
      <c r="CP315" s="3">
        <f>CP266-CO266</f>
        <v>0</v>
      </c>
      <c r="CQ315" s="3">
        <f>CQ266-CP266</f>
        <v>0</v>
      </c>
      <c r="CR315" s="3">
        <f>CR266-CQ266</f>
        <v>0</v>
      </c>
      <c r="CS315" s="3">
        <f>CS266-CR266</f>
        <v>0</v>
      </c>
      <c r="CT315" s="3">
        <f>SUM(CP315:CS315)</f>
        <v>0</v>
      </c>
      <c r="CU315" s="3">
        <f>CU266-CT266</f>
        <v>0</v>
      </c>
      <c r="CV315" s="3">
        <f>CV266-CU266</f>
        <v>0</v>
      </c>
      <c r="CW315" s="3">
        <f>CW266-CV266</f>
        <v>0</v>
      </c>
      <c r="CX315" s="3">
        <f>CX266-CW266</f>
        <v>0</v>
      </c>
      <c r="CY315" s="3">
        <f>SUM(CU315:CX315)</f>
        <v>0</v>
      </c>
    </row>
    <row r="316">
      <c r="C316" s="26" t="inlineStr">
        <is>
          <t>Treasury stock repurchases</t>
        </is>
      </c>
      <c r="D316" s="3" t="n"/>
      <c r="E316" s="3">
        <f>E279-D279</f>
        <v>-0.0339999999999989</v>
      </c>
      <c r="F316" s="3">
        <f>F279-E279</f>
        <v>-0.169</v>
      </c>
      <c r="G316" s="3">
        <f>G279-F279</f>
        <v>-0.0760000000000005</v>
      </c>
      <c r="H316" s="3">
        <f>SUM(D316:G316)</f>
        <v>-0.279</v>
      </c>
      <c r="I316" s="3">
        <f>I279-H279</f>
        <v>-0.070999999999998</v>
      </c>
      <c r="J316" s="3">
        <f>J279-I279</f>
        <v>-3.789</v>
      </c>
      <c r="K316" s="3">
        <f>K279-J279</f>
        <v>14.657</v>
      </c>
      <c r="L316" s="3">
        <f>L279-K279</f>
        <v>-0.129999999999999</v>
      </c>
      <c r="M316" s="3">
        <f>SUM(I316:L316)</f>
        <v>10.667</v>
      </c>
      <c r="N316" s="3">
        <f>N279-M279</f>
        <v>-0.00999999999999979</v>
      </c>
      <c r="O316" s="3">
        <f>O279-N279</f>
        <v>-0.881</v>
      </c>
      <c r="P316" s="3">
        <f>P279-O279</f>
        <v>-0.880000000000001</v>
      </c>
      <c r="Q316" s="3">
        <f>Q279-P279</f>
        <v>-0.00900000000000034</v>
      </c>
      <c r="R316" s="3">
        <f>SUM(N316:Q316)</f>
        <v>-1.78</v>
      </c>
      <c r="S316" s="3">
        <f>S279-R279</f>
        <v>-15.527</v>
      </c>
      <c r="T316" s="3">
        <f>T279-S279</f>
        <v>-0.0239999999999974</v>
      </c>
      <c r="U316" s="3">
        <f>U279-T279</f>
        <v>-0.136000000000003</v>
      </c>
      <c r="V316" s="3">
        <f>V279-U279</f>
        <v>-20.561</v>
      </c>
      <c r="W316" s="3">
        <f>SUM(S316:V316)</f>
        <v>-36.248</v>
      </c>
      <c r="X316" s="3">
        <f>X279-W279</f>
        <v>-0.0929999999999964</v>
      </c>
      <c r="Y316" s="3">
        <f>Y279-X279</f>
        <v>-0.00300000000000011</v>
      </c>
      <c r="Z316" s="3">
        <f>Z279-Y279</f>
        <v>-0.017000000000003</v>
      </c>
      <c r="AA316" s="3">
        <f>AA279-Z279</f>
        <v>-0.0229999999999961</v>
      </c>
      <c r="AB316" s="3">
        <f>SUM(X316:AA316)</f>
        <v>-0.135999999999996</v>
      </c>
      <c r="AC316" s="3">
        <f>AC279-AB279</f>
        <v>-31.44</v>
      </c>
      <c r="AD316" s="3">
        <f>AD279-AC279</f>
        <v>-42.444</v>
      </c>
      <c r="AE316" s="3">
        <f>AE279-AD279</f>
        <v>-20.921</v>
      </c>
      <c r="AF316" s="3">
        <f>AF279-AE279</f>
        <v>-7.923</v>
      </c>
      <c r="AG316" s="3">
        <f>SUM(AC316:AF316)</f>
        <v>-102.728</v>
      </c>
      <c r="AH316" s="3">
        <f>AH279-AG279</f>
        <v>150.967</v>
      </c>
      <c r="AI316" s="3">
        <f>AI279-AH279</f>
        <v>-10.978</v>
      </c>
      <c r="AJ316" s="3">
        <f>AJ279-AI279</f>
        <v>0</v>
      </c>
      <c r="AK316" s="3">
        <f>AK279-AJ279</f>
        <v>0</v>
      </c>
      <c r="AL316" s="3">
        <f>SUM(AH316:AK316)</f>
        <v>139.989</v>
      </c>
      <c r="AM316" s="3">
        <f>AM279-AL279</f>
        <v>0</v>
      </c>
      <c r="AN316" s="3">
        <f>AN279-AM279</f>
        <v>0</v>
      </c>
      <c r="AO316" s="3">
        <f>AO279-AN279</f>
        <v>0</v>
      </c>
      <c r="AP316" s="3">
        <f>AP279-AO279</f>
        <v>0</v>
      </c>
      <c r="AQ316" s="3">
        <f>SUM(AM316:AP316)</f>
        <v>0</v>
      </c>
      <c r="AR316" s="3">
        <f>AR279-AQ279</f>
        <v>0</v>
      </c>
      <c r="AS316" s="3">
        <f>AS279-AR279</f>
        <v>0</v>
      </c>
      <c r="AT316" s="3">
        <f>AT279-AS279</f>
        <v>0</v>
      </c>
      <c r="AU316" s="3">
        <f>AU279-AT279</f>
        <v>0</v>
      </c>
      <c r="AV316" s="3">
        <f>SUM(AR316:AU316)</f>
        <v>0</v>
      </c>
      <c r="AW316" s="3">
        <f>AW279-AV279</f>
        <v>0</v>
      </c>
      <c r="AX316" s="3">
        <f>AX279-AW279</f>
        <v>0</v>
      </c>
      <c r="AY316" s="3">
        <f>AY279-AX279</f>
        <v>0</v>
      </c>
      <c r="AZ316" s="3">
        <f>AZ279-AY279</f>
        <v>0</v>
      </c>
      <c r="BA316" s="3">
        <f>SUM(AW316:AZ316)</f>
        <v>0</v>
      </c>
      <c r="BB316" s="3">
        <f>BB279-BA279</f>
        <v>0</v>
      </c>
      <c r="BC316" s="3">
        <f>BC279-BB279</f>
        <v>0</v>
      </c>
      <c r="BD316" s="3">
        <f>BD279-BC279</f>
        <v>0</v>
      </c>
      <c r="BE316" s="3">
        <f>BE279-BD279</f>
        <v>0</v>
      </c>
      <c r="BF316" s="3">
        <f>SUM(BB316:BE316)</f>
        <v>0</v>
      </c>
      <c r="BG316" s="3">
        <f>BG279-BF279</f>
        <v>0</v>
      </c>
      <c r="BH316" s="3">
        <f>BH279-BG279</f>
        <v>0</v>
      </c>
      <c r="BI316" s="3">
        <f>BI279-BH279</f>
        <v>0</v>
      </c>
      <c r="BJ316" s="3">
        <f>BJ279-BI279</f>
        <v>0</v>
      </c>
      <c r="BK316" s="3">
        <f>SUM(BG316:BJ316)</f>
        <v>0</v>
      </c>
      <c r="BL316" s="3">
        <f>BL279-BK279</f>
        <v>0</v>
      </c>
      <c r="BM316" s="3">
        <f>BM279-BL279</f>
        <v>0</v>
      </c>
      <c r="BN316" s="3">
        <f>BN279-BM279</f>
        <v>0</v>
      </c>
      <c r="BO316" s="3">
        <f>BO279-BN279</f>
        <v>0</v>
      </c>
      <c r="BP316" s="3">
        <f>SUM(BL316:BO316)</f>
        <v>0</v>
      </c>
      <c r="BQ316" s="3">
        <f>BQ279-BP279</f>
        <v>0</v>
      </c>
      <c r="BR316" s="3">
        <f>BR279-BQ279</f>
        <v>0</v>
      </c>
      <c r="BS316" s="3">
        <f>BS279-BR279</f>
        <v>0</v>
      </c>
      <c r="BT316" s="3">
        <f>BT279-BS279</f>
        <v>0</v>
      </c>
      <c r="BU316" s="3">
        <f>SUM(BQ316:BT316)</f>
        <v>0</v>
      </c>
      <c r="BV316" s="3">
        <f>BV279-BU279</f>
        <v>0</v>
      </c>
      <c r="BW316" s="3">
        <f>BW279-BV279</f>
        <v>0</v>
      </c>
      <c r="BX316" s="3">
        <f>BX279-BW279</f>
        <v>0</v>
      </c>
      <c r="BY316" s="3">
        <f>BY279-BX279</f>
        <v>0</v>
      </c>
      <c r="BZ316" s="3">
        <f>SUM(BV316:BY316)</f>
        <v>0</v>
      </c>
      <c r="CA316" s="3">
        <f>CA279-BZ279</f>
        <v>0</v>
      </c>
      <c r="CB316" s="3">
        <f>CB279-CA279</f>
        <v>0</v>
      </c>
      <c r="CC316" s="3">
        <f>CC279-CB279</f>
        <v>0</v>
      </c>
      <c r="CD316" s="3">
        <f>CD279-CC279</f>
        <v>0</v>
      </c>
      <c r="CE316" s="3">
        <f>SUM(CA316:CD316)</f>
        <v>0</v>
      </c>
      <c r="CF316" s="3">
        <f>CF279-CE279</f>
        <v>0</v>
      </c>
      <c r="CG316" s="3">
        <f>CG279-CF279</f>
        <v>0</v>
      </c>
      <c r="CH316" s="3">
        <f>CH279-CG279</f>
        <v>0</v>
      </c>
      <c r="CI316" s="3">
        <f>CI279-CH279</f>
        <v>0</v>
      </c>
      <c r="CJ316" s="3">
        <f>SUM(CF316:CI316)</f>
        <v>0</v>
      </c>
      <c r="CK316" s="3">
        <f>CK279-CJ279</f>
        <v>0</v>
      </c>
      <c r="CL316" s="3">
        <f>CL279-CK279</f>
        <v>0</v>
      </c>
      <c r="CM316" s="3">
        <f>CM279-CL279</f>
        <v>0</v>
      </c>
      <c r="CN316" s="3">
        <f>CN279-CM279</f>
        <v>0</v>
      </c>
      <c r="CO316" s="3">
        <f>SUM(CK316:CN316)</f>
        <v>0</v>
      </c>
      <c r="CP316" s="3">
        <f>CP279-CO279</f>
        <v>0</v>
      </c>
      <c r="CQ316" s="3">
        <f>CQ279-CP279</f>
        <v>0</v>
      </c>
      <c r="CR316" s="3">
        <f>CR279-CQ279</f>
        <v>0</v>
      </c>
      <c r="CS316" s="3">
        <f>CS279-CR279</f>
        <v>0</v>
      </c>
      <c r="CT316" s="3">
        <f>SUM(CP316:CS316)</f>
        <v>0</v>
      </c>
      <c r="CU316" s="3">
        <f>CU279-CT279</f>
        <v>0</v>
      </c>
      <c r="CV316" s="3">
        <f>CV279-CU279</f>
        <v>0</v>
      </c>
      <c r="CW316" s="3">
        <f>CW279-CV279</f>
        <v>0</v>
      </c>
      <c r="CX316" s="3">
        <f>CX279-CW279</f>
        <v>0</v>
      </c>
      <c r="CY316" s="3">
        <f>SUM(CU316:CX316)</f>
        <v>0</v>
      </c>
    </row>
    <row r="317">
      <c r="C317" s="26" t="inlineStr">
        <is>
          <t>Comprehensive accumulated loss</t>
        </is>
      </c>
      <c r="D317" s="3" t="n"/>
      <c r="E317" s="3">
        <f>E280-D280</f>
        <v>1.528</v>
      </c>
      <c r="F317" s="3">
        <f>F280-E280</f>
        <v>0.897</v>
      </c>
      <c r="G317" s="3">
        <f>G280-F280</f>
        <v>1.854</v>
      </c>
      <c r="H317" s="3">
        <f>SUM(D317:G317)</f>
        <v>4.279</v>
      </c>
      <c r="I317" s="3">
        <f>I280-H280</f>
        <v>-91.547</v>
      </c>
      <c r="J317" s="3">
        <f>J280-I280</f>
        <v>62.918</v>
      </c>
      <c r="K317" s="3">
        <f>K280-J280</f>
        <v>-206.032</v>
      </c>
      <c r="L317" s="3">
        <f>L280-K280</f>
        <v>-34.116</v>
      </c>
      <c r="M317" s="3">
        <f>SUM(I317:L317)</f>
        <v>-268.777</v>
      </c>
      <c r="N317" s="3">
        <f>N280-M280</f>
        <v>-247.344</v>
      </c>
      <c r="O317" s="3">
        <f>O280-N280</f>
        <v>-302.073</v>
      </c>
      <c r="P317" s="3">
        <f>P280-O280</f>
        <v>-115.299</v>
      </c>
      <c r="Q317" s="3">
        <f>Q280-P280</f>
        <v>72.091</v>
      </c>
      <c r="R317" s="3">
        <f>SUM(N317:Q317)</f>
        <v>-592.625</v>
      </c>
      <c r="S317" s="3">
        <f>S280-R280</f>
        <v>56.6709999999999</v>
      </c>
      <c r="T317" s="3">
        <f>T280-S280</f>
        <v>259.115</v>
      </c>
      <c r="U317" s="3">
        <f>U280-T280</f>
        <v>21.45</v>
      </c>
      <c r="V317" s="3">
        <f>V280-U280</f>
        <v>103.315</v>
      </c>
      <c r="W317" s="3">
        <f>SUM(S317:V317)</f>
        <v>440.551</v>
      </c>
      <c r="X317" s="3">
        <f>X280-W280</f>
        <v>-56.774</v>
      </c>
      <c r="Y317" s="3">
        <f>Y280-X280</f>
        <v>-53.1780000000001</v>
      </c>
      <c r="Z317" s="3">
        <f>Z280-Y280</f>
        <v>76.8270000000001</v>
      </c>
      <c r="AA317" s="3">
        <f>AA280-Z280</f>
        <v>-164.578</v>
      </c>
      <c r="AB317" s="3">
        <f>SUM(X317:AA317)</f>
        <v>-197.703</v>
      </c>
      <c r="AC317" s="3">
        <f>AC280-AB280</f>
        <v>68.157</v>
      </c>
      <c r="AD317" s="3">
        <f>AD280-AC280</f>
        <v>16.1469999999999</v>
      </c>
      <c r="AE317" s="3">
        <f>AE280-AD280</f>
        <v>90.6250000000001</v>
      </c>
      <c r="AF317" s="3">
        <f>AF280-AE280</f>
        <v>339.747</v>
      </c>
      <c r="AG317" s="3">
        <f>SUM(AC317:AF317)</f>
        <v>514.676</v>
      </c>
      <c r="AH317" s="3">
        <f>AH280-AG280</f>
        <v>-22.661</v>
      </c>
      <c r="AI317" s="3">
        <f>AI280-AH280</f>
        <v>-24.758</v>
      </c>
      <c r="AJ317" s="3">
        <f>AJ280-AI280</f>
        <v>0</v>
      </c>
      <c r="AK317" s="3">
        <f>AK280-AJ280</f>
        <v>0</v>
      </c>
      <c r="AL317" s="3">
        <f>SUM(AH317:AK317)</f>
        <v>-47.419</v>
      </c>
      <c r="AM317" s="3">
        <f>AM280-AL280</f>
        <v>0</v>
      </c>
      <c r="AN317" s="3">
        <f>AN280-AM280</f>
        <v>0</v>
      </c>
      <c r="AO317" s="3">
        <f>AO280-AN280</f>
        <v>0</v>
      </c>
      <c r="AP317" s="3">
        <f>AP280-AO280</f>
        <v>0</v>
      </c>
      <c r="AQ317" s="3">
        <f>SUM(AM317:AP317)</f>
        <v>0</v>
      </c>
      <c r="AR317" s="3">
        <f>AR280-AQ280</f>
        <v>0</v>
      </c>
      <c r="AS317" s="3">
        <f>AS280-AR280</f>
        <v>0</v>
      </c>
      <c r="AT317" s="3">
        <f>AT280-AS280</f>
        <v>0</v>
      </c>
      <c r="AU317" s="3">
        <f>AU280-AT280</f>
        <v>0</v>
      </c>
      <c r="AV317" s="3">
        <f>SUM(AR317:AU317)</f>
        <v>0</v>
      </c>
      <c r="AW317" s="3">
        <f>AW280-AV280</f>
        <v>0</v>
      </c>
      <c r="AX317" s="3">
        <f>AX280-AW280</f>
        <v>0</v>
      </c>
      <c r="AY317" s="3">
        <f>AY280-AX280</f>
        <v>0</v>
      </c>
      <c r="AZ317" s="3">
        <f>AZ280-AY280</f>
        <v>0</v>
      </c>
      <c r="BA317" s="3">
        <f>SUM(AW317:AZ317)</f>
        <v>0</v>
      </c>
      <c r="BB317" s="3">
        <f>BB280-BA280</f>
        <v>0</v>
      </c>
      <c r="BC317" s="3">
        <f>BC280-BB280</f>
        <v>0</v>
      </c>
      <c r="BD317" s="3">
        <f>BD280-BC280</f>
        <v>0</v>
      </c>
      <c r="BE317" s="3">
        <f>BE280-BD280</f>
        <v>0</v>
      </c>
      <c r="BF317" s="3">
        <f>SUM(BB317:BE317)</f>
        <v>0</v>
      </c>
      <c r="BG317" s="3">
        <f>BG280-BF280</f>
        <v>0</v>
      </c>
      <c r="BH317" s="3">
        <f>BH280-BG280</f>
        <v>0</v>
      </c>
      <c r="BI317" s="3">
        <f>BI280-BH280</f>
        <v>0</v>
      </c>
      <c r="BJ317" s="3">
        <f>BJ280-BI280</f>
        <v>0</v>
      </c>
      <c r="BK317" s="3">
        <f>SUM(BG317:BJ317)</f>
        <v>0</v>
      </c>
      <c r="BL317" s="3">
        <f>BL280-BK280</f>
        <v>0</v>
      </c>
      <c r="BM317" s="3">
        <f>BM280-BL280</f>
        <v>0</v>
      </c>
      <c r="BN317" s="3">
        <f>BN280-BM280</f>
        <v>0</v>
      </c>
      <c r="BO317" s="3">
        <f>BO280-BN280</f>
        <v>0</v>
      </c>
      <c r="BP317" s="3">
        <f>SUM(BL317:BO317)</f>
        <v>0</v>
      </c>
      <c r="BQ317" s="3">
        <f>BQ280-BP280</f>
        <v>0</v>
      </c>
      <c r="BR317" s="3">
        <f>BR280-BQ280</f>
        <v>0</v>
      </c>
      <c r="BS317" s="3">
        <f>BS280-BR280</f>
        <v>0</v>
      </c>
      <c r="BT317" s="3">
        <f>BT280-BS280</f>
        <v>0</v>
      </c>
      <c r="BU317" s="3">
        <f>SUM(BQ317:BT317)</f>
        <v>0</v>
      </c>
      <c r="BV317" s="3">
        <f>BV280-BU280</f>
        <v>0</v>
      </c>
      <c r="BW317" s="3">
        <f>BW280-BV280</f>
        <v>0</v>
      </c>
      <c r="BX317" s="3">
        <f>BX280-BW280</f>
        <v>0</v>
      </c>
      <c r="BY317" s="3">
        <f>BY280-BX280</f>
        <v>0</v>
      </c>
      <c r="BZ317" s="3">
        <f>SUM(BV317:BY317)</f>
        <v>0</v>
      </c>
      <c r="CA317" s="3">
        <f>CA280-BZ280</f>
        <v>0</v>
      </c>
      <c r="CB317" s="3">
        <f>CB280-CA280</f>
        <v>0</v>
      </c>
      <c r="CC317" s="3">
        <f>CC280-CB280</f>
        <v>0</v>
      </c>
      <c r="CD317" s="3">
        <f>CD280-CC280</f>
        <v>0</v>
      </c>
      <c r="CE317" s="3">
        <f>SUM(CA317:CD317)</f>
        <v>0</v>
      </c>
      <c r="CF317" s="3">
        <f>CF280-CE280</f>
        <v>0</v>
      </c>
      <c r="CG317" s="3">
        <f>CG280-CF280</f>
        <v>0</v>
      </c>
      <c r="CH317" s="3">
        <f>CH280-CG280</f>
        <v>0</v>
      </c>
      <c r="CI317" s="3">
        <f>CI280-CH280</f>
        <v>0</v>
      </c>
      <c r="CJ317" s="3">
        <f>SUM(CF317:CI317)</f>
        <v>0</v>
      </c>
      <c r="CK317" s="3">
        <f>CK280-CJ280</f>
        <v>0</v>
      </c>
      <c r="CL317" s="3">
        <f>CL280-CK280</f>
        <v>0</v>
      </c>
      <c r="CM317" s="3">
        <f>CM280-CL280</f>
        <v>0</v>
      </c>
      <c r="CN317" s="3">
        <f>CN280-CM280</f>
        <v>0</v>
      </c>
      <c r="CO317" s="3">
        <f>SUM(CK317:CN317)</f>
        <v>0</v>
      </c>
      <c r="CP317" s="3">
        <f>CP280-CO280</f>
        <v>0</v>
      </c>
      <c r="CQ317" s="3">
        <f>CQ280-CP280</f>
        <v>0</v>
      </c>
      <c r="CR317" s="3">
        <f>CR280-CQ280</f>
        <v>0</v>
      </c>
      <c r="CS317" s="3">
        <f>CS280-CR280</f>
        <v>0</v>
      </c>
      <c r="CT317" s="3">
        <f>SUM(CP317:CS317)</f>
        <v>0</v>
      </c>
      <c r="CU317" s="3">
        <f>CU280-CT280</f>
        <v>0</v>
      </c>
      <c r="CV317" s="3">
        <f>CV280-CU280</f>
        <v>0</v>
      </c>
      <c r="CW317" s="3">
        <f>CW280-CV280</f>
        <v>0</v>
      </c>
      <c r="CX317" s="3">
        <f>CX280-CW280</f>
        <v>0</v>
      </c>
      <c r="CY317" s="3">
        <f>SUM(CU317:CX317)</f>
        <v>0</v>
      </c>
    </row>
    <row r="318">
      <c r="C318" s="26" t="inlineStr">
        <is>
          <t>Other equity account</t>
        </is>
      </c>
      <c r="D318" s="3" t="n"/>
      <c r="E318" s="3">
        <f>E281-D281</f>
        <v>0</v>
      </c>
      <c r="F318" s="3">
        <f>F281-E281</f>
        <v>0</v>
      </c>
      <c r="G318" s="3">
        <f>G281-F281</f>
        <v>0</v>
      </c>
      <c r="H318" s="3">
        <f>SUM(D318:G318)</f>
        <v>0</v>
      </c>
      <c r="I318" s="3">
        <f>I281-H281</f>
        <v>0</v>
      </c>
      <c r="J318" s="3">
        <f>J281-I281</f>
        <v>0</v>
      </c>
      <c r="K318" s="3">
        <f>K281-J281</f>
        <v>0</v>
      </c>
      <c r="L318" s="3">
        <f>L281-K281</f>
        <v>0</v>
      </c>
      <c r="M318" s="3">
        <f>SUM(I318:L318)</f>
        <v>0</v>
      </c>
      <c r="N318" s="3">
        <f>N281-M281</f>
        <v>0</v>
      </c>
      <c r="O318" s="3">
        <f>O281-N281</f>
        <v>0</v>
      </c>
      <c r="P318" s="3">
        <f>P281-O281</f>
        <v>0</v>
      </c>
      <c r="Q318" s="3">
        <f>Q281-P281</f>
        <v>0</v>
      </c>
      <c r="R318" s="3">
        <f>SUM(N318:Q318)</f>
        <v>0</v>
      </c>
      <c r="S318" s="3">
        <f>S281-R281</f>
        <v>0</v>
      </c>
      <c r="T318" s="3">
        <f>T281-S281</f>
        <v>0</v>
      </c>
      <c r="U318" s="3">
        <f>U281-T281</f>
        <v>0</v>
      </c>
      <c r="V318" s="3">
        <f>V281-U281</f>
        <v>0</v>
      </c>
      <c r="W318" s="3">
        <f>SUM(S318:V318)</f>
        <v>0</v>
      </c>
      <c r="X318" s="3">
        <f>X281-W281</f>
        <v>0</v>
      </c>
      <c r="Y318" s="3">
        <f>Y281-X281</f>
        <v>0</v>
      </c>
      <c r="Z318" s="3">
        <f>Z281-Y281</f>
        <v>0</v>
      </c>
      <c r="AA318" s="3">
        <f>AA281-Z281</f>
        <v>0</v>
      </c>
      <c r="AB318" s="3">
        <f>SUM(X318:AA318)</f>
        <v>0</v>
      </c>
      <c r="AC318" s="3">
        <f>AC281-AB281</f>
        <v>0</v>
      </c>
      <c r="AD318" s="3">
        <f>AD281-AC281</f>
        <v>0</v>
      </c>
      <c r="AE318" s="3">
        <f>AE281-AD281</f>
        <v>0</v>
      </c>
      <c r="AF318" s="3">
        <f>AF281-AE281</f>
        <v>0</v>
      </c>
      <c r="AG318" s="3">
        <f>SUM(AC318:AF318)</f>
        <v>0</v>
      </c>
      <c r="AH318" s="3">
        <f>AH281-AG281</f>
        <v>0</v>
      </c>
      <c r="AI318" s="3">
        <f>AI281-AH281</f>
        <v>0</v>
      </c>
      <c r="AJ318" s="3">
        <f>AJ281-AI281</f>
        <v>0</v>
      </c>
      <c r="AK318" s="3">
        <f>AK281-AJ281</f>
        <v>0</v>
      </c>
      <c r="AL318" s="3">
        <f>SUM(AH318:AK318)</f>
        <v>0</v>
      </c>
      <c r="AM318" s="3">
        <f>AM281-AL281</f>
        <v>0</v>
      </c>
      <c r="AN318" s="3">
        <f>AN281-AM281</f>
        <v>0</v>
      </c>
      <c r="AO318" s="3">
        <f>AO281-AN281</f>
        <v>0</v>
      </c>
      <c r="AP318" s="3">
        <f>AP281-AO281</f>
        <v>0</v>
      </c>
      <c r="AQ318" s="3">
        <f>SUM(AM318:AP318)</f>
        <v>0</v>
      </c>
      <c r="AR318" s="3">
        <f>AR281-AQ281</f>
        <v>0</v>
      </c>
      <c r="AS318" s="3">
        <f>AS281-AR281</f>
        <v>0</v>
      </c>
      <c r="AT318" s="3">
        <f>AT281-AS281</f>
        <v>0</v>
      </c>
      <c r="AU318" s="3">
        <f>AU281-AT281</f>
        <v>0</v>
      </c>
      <c r="AV318" s="3">
        <f>SUM(AR318:AU318)</f>
        <v>0</v>
      </c>
      <c r="AW318" s="3">
        <f>AW281-AV281</f>
        <v>0</v>
      </c>
      <c r="AX318" s="3">
        <f>AX281-AW281</f>
        <v>0</v>
      </c>
      <c r="AY318" s="3">
        <f>AY281-AX281</f>
        <v>0</v>
      </c>
      <c r="AZ318" s="3">
        <f>AZ281-AY281</f>
        <v>0</v>
      </c>
      <c r="BA318" s="3">
        <f>SUM(AW318:AZ318)</f>
        <v>0</v>
      </c>
      <c r="BB318" s="3">
        <f>BB281-BA281</f>
        <v>0</v>
      </c>
      <c r="BC318" s="3">
        <f>BC281-BB281</f>
        <v>0</v>
      </c>
      <c r="BD318" s="3">
        <f>BD281-BC281</f>
        <v>0</v>
      </c>
      <c r="BE318" s="3">
        <f>BE281-BD281</f>
        <v>0</v>
      </c>
      <c r="BF318" s="3">
        <f>SUM(BB318:BE318)</f>
        <v>0</v>
      </c>
      <c r="BG318" s="3">
        <f>BG281-BF281</f>
        <v>0</v>
      </c>
      <c r="BH318" s="3">
        <f>BH281-BG281</f>
        <v>0</v>
      </c>
      <c r="BI318" s="3">
        <f>BI281-BH281</f>
        <v>0</v>
      </c>
      <c r="BJ318" s="3">
        <f>BJ281-BI281</f>
        <v>0</v>
      </c>
      <c r="BK318" s="3">
        <f>SUM(BG318:BJ318)</f>
        <v>0</v>
      </c>
      <c r="BL318" s="3">
        <f>BL281-BK281</f>
        <v>0</v>
      </c>
      <c r="BM318" s="3">
        <f>BM281-BL281</f>
        <v>0</v>
      </c>
      <c r="BN318" s="3">
        <f>BN281-BM281</f>
        <v>0</v>
      </c>
      <c r="BO318" s="3">
        <f>BO281-BN281</f>
        <v>0</v>
      </c>
      <c r="BP318" s="3">
        <f>SUM(BL318:BO318)</f>
        <v>0</v>
      </c>
      <c r="BQ318" s="3">
        <f>BQ281-BP281</f>
        <v>0</v>
      </c>
      <c r="BR318" s="3">
        <f>BR281-BQ281</f>
        <v>0</v>
      </c>
      <c r="BS318" s="3">
        <f>BS281-BR281</f>
        <v>0</v>
      </c>
      <c r="BT318" s="3">
        <f>BT281-BS281</f>
        <v>0</v>
      </c>
      <c r="BU318" s="3">
        <f>SUM(BQ318:BT318)</f>
        <v>0</v>
      </c>
      <c r="BV318" s="3">
        <f>BV281-BU281</f>
        <v>0</v>
      </c>
      <c r="BW318" s="3">
        <f>BW281-BV281</f>
        <v>0</v>
      </c>
      <c r="BX318" s="3">
        <f>BX281-BW281</f>
        <v>0</v>
      </c>
      <c r="BY318" s="3">
        <f>BY281-BX281</f>
        <v>0</v>
      </c>
      <c r="BZ318" s="3">
        <f>SUM(BV318:BY318)</f>
        <v>0</v>
      </c>
      <c r="CA318" s="3">
        <f>CA281-BZ281</f>
        <v>0</v>
      </c>
      <c r="CB318" s="3">
        <f>CB281-CA281</f>
        <v>0</v>
      </c>
      <c r="CC318" s="3">
        <f>CC281-CB281</f>
        <v>0</v>
      </c>
      <c r="CD318" s="3">
        <f>CD281-CC281</f>
        <v>0</v>
      </c>
      <c r="CE318" s="3">
        <f>SUM(CA318:CD318)</f>
        <v>0</v>
      </c>
      <c r="CF318" s="3">
        <f>CF281-CE281</f>
        <v>0</v>
      </c>
      <c r="CG318" s="3">
        <f>CG281-CF281</f>
        <v>0</v>
      </c>
      <c r="CH318" s="3">
        <f>CH281-CG281</f>
        <v>0</v>
      </c>
      <c r="CI318" s="3">
        <f>CI281-CH281</f>
        <v>0</v>
      </c>
      <c r="CJ318" s="3">
        <f>SUM(CF318:CI318)</f>
        <v>0</v>
      </c>
      <c r="CK318" s="3">
        <f>CK281-CJ281</f>
        <v>0</v>
      </c>
      <c r="CL318" s="3">
        <f>CL281-CK281</f>
        <v>0</v>
      </c>
      <c r="CM318" s="3">
        <f>CM281-CL281</f>
        <v>0</v>
      </c>
      <c r="CN318" s="3">
        <f>CN281-CM281</f>
        <v>0</v>
      </c>
      <c r="CO318" s="3">
        <f>SUM(CK318:CN318)</f>
        <v>0</v>
      </c>
      <c r="CP318" s="3">
        <f>CP281-CO281</f>
        <v>0</v>
      </c>
      <c r="CQ318" s="3">
        <f>CQ281-CP281</f>
        <v>0</v>
      </c>
      <c r="CR318" s="3">
        <f>CR281-CQ281</f>
        <v>0</v>
      </c>
      <c r="CS318" s="3">
        <f>CS281-CR281</f>
        <v>0</v>
      </c>
      <c r="CT318" s="3">
        <f>SUM(CP318:CS318)</f>
        <v>0</v>
      </c>
      <c r="CU318" s="3">
        <f>CU281-CT281</f>
        <v>0</v>
      </c>
      <c r="CV318" s="3">
        <f>CV281-CU281</f>
        <v>0</v>
      </c>
      <c r="CW318" s="3">
        <f>CW281-CV281</f>
        <v>0</v>
      </c>
      <c r="CX318" s="3">
        <f>CX281-CW281</f>
        <v>0</v>
      </c>
      <c r="CY318" s="3">
        <f>SUM(CU318:CX318)</f>
        <v>0</v>
      </c>
    </row>
    <row r="319">
      <c r="C319" s="29" t="inlineStr">
        <is>
          <t>Common and preferred dividends</t>
        </is>
      </c>
      <c r="D319" s="3" t="n"/>
      <c r="E319" s="3">
        <f>(E282-D282)-E289</f>
        <v>0.000999999999943935</v>
      </c>
      <c r="F319" s="3">
        <f>(F282-E282)-F289</f>
        <v>0</v>
      </c>
      <c r="G319" s="3">
        <f>(G282-F282)-G289</f>
        <v>0.891999999999911</v>
      </c>
      <c r="H319" s="3">
        <f>SUM(D319:G319)</f>
        <v>0.892999999999855</v>
      </c>
      <c r="I319" s="3">
        <f>(I282-H282)-I289</f>
        <v>-27.0000000000001</v>
      </c>
      <c r="J319" s="3">
        <f>(J282-I282)-J289</f>
        <v>-23.901</v>
      </c>
      <c r="K319" s="3">
        <f>(K282-J282)-K289</f>
        <v>-31.597</v>
      </c>
      <c r="L319" s="3">
        <f>(L282-K282)-L289</f>
        <v>-134.569</v>
      </c>
      <c r="M319" s="3">
        <f>SUM(I319:L319)</f>
        <v>-217.067</v>
      </c>
      <c r="N319" s="3">
        <f>(N282-M282)-N289</f>
        <v>-53.9739999999999</v>
      </c>
      <c r="O319" s="3">
        <f>(O282-N282)-O289</f>
        <v>-270.555</v>
      </c>
      <c r="P319" s="3">
        <f>(P282-O282)-P289</f>
        <v>-54.999</v>
      </c>
      <c r="Q319" s="3">
        <f>(Q282-P282)-Q289</f>
        <v>-98.307</v>
      </c>
      <c r="R319" s="3">
        <f>SUM(N319:Q319)</f>
        <v>-477.835</v>
      </c>
      <c r="S319" s="3">
        <f>(S282-R282)-S289</f>
        <v>0.00300000000012801</v>
      </c>
      <c r="T319" s="3">
        <f>(T282-S282)-T289</f>
        <v>-0.00199999999999179</v>
      </c>
      <c r="U319" s="3">
        <f>(U282-T282)-U289</f>
        <v>-0.00499999999988177</v>
      </c>
      <c r="V319" s="3">
        <f>(V282-U282)-V289</f>
        <v>0.000999999999976353</v>
      </c>
      <c r="W319" s="3">
        <f>SUM(S319:V319)</f>
        <v>-0.00299999999976919</v>
      </c>
      <c r="X319" s="3">
        <f>(X282-W282)-X289</f>
        <v>-0.0479999999999095</v>
      </c>
      <c r="Y319" s="3">
        <f>(Y282-X282)-Y289</f>
        <v>0.00100000000037426</v>
      </c>
      <c r="Z319" s="3">
        <f>(Z282-Y282)-Z289</f>
        <v>0.0300000000002711</v>
      </c>
      <c r="AA319" s="3">
        <f>(AA282-Z282)-AA289</f>
        <v>-63.2980000000004</v>
      </c>
      <c r="AB319" s="3">
        <f>SUM(X319:AA319)</f>
        <v>-63.3149999999997</v>
      </c>
      <c r="AC319" s="3">
        <f>(AC282-AB282)-AC289</f>
        <v>-0.000999999999848455</v>
      </c>
      <c r="AD319" s="3">
        <f>(AD282-AC282)-AD289</f>
        <v>0.00099999999959266</v>
      </c>
      <c r="AE319" s="3">
        <f>(AE282-AD282)-AE289</f>
        <v>0</v>
      </c>
      <c r="AF319" s="3">
        <f>(AF282-AE282)-AF289</f>
        <v>-254.998106983401</v>
      </c>
      <c r="AG319" s="3">
        <f>SUM(AC319:AF319)</f>
        <v>-254.998106983402</v>
      </c>
      <c r="AH319" s="3">
        <f>(AH282-AG282)-AH289</f>
        <v>-102.3291911014</v>
      </c>
      <c r="AI319" s="3">
        <f>(AI282-AH282)-AI289</f>
        <v>0.000340123444090068</v>
      </c>
      <c r="AJ319" s="3">
        <f>(AJ282-AI282)-AJ289</f>
        <v>0</v>
      </c>
      <c r="AK319" s="3">
        <f>(AK282-AJ282)-AK289</f>
        <v>0</v>
      </c>
      <c r="AL319" s="3">
        <f>SUM(AH319:AK319)</f>
        <v>-102.328850977955</v>
      </c>
      <c r="AM319" s="3">
        <f>(AM282-AL282)-AM289</f>
        <v>0</v>
      </c>
      <c r="AN319" s="3">
        <f>(AN282-AM282)-AN289</f>
        <v>0</v>
      </c>
      <c r="AO319" s="3">
        <f>(AO282-AN282)-AO289</f>
        <v>0</v>
      </c>
      <c r="AP319" s="3">
        <f>(AP282-AO282)-AP289</f>
        <v>0</v>
      </c>
      <c r="AQ319" s="3">
        <f>SUM(AM319:AP319)</f>
        <v>0</v>
      </c>
      <c r="AR319" s="3">
        <f>(AR282-AQ282)-AR289</f>
        <v>0</v>
      </c>
      <c r="AS319" s="3">
        <f>(AS282-AR282)-AS289</f>
        <v>0</v>
      </c>
      <c r="AT319" s="3">
        <f>(AT282-AS282)-AT289</f>
        <v>0</v>
      </c>
      <c r="AU319" s="3">
        <f>(AU282-AT282)-AU289</f>
        <v>0</v>
      </c>
      <c r="AV319" s="3">
        <f>SUM(AR319:AU319)</f>
        <v>0</v>
      </c>
      <c r="AW319" s="3">
        <f>(AW282-AV282)-AW289</f>
        <v>0</v>
      </c>
      <c r="AX319" s="3">
        <f>(AX282-AW282)-AX289</f>
        <v>0</v>
      </c>
      <c r="AY319" s="3">
        <f>(AY282-AX282)-AY289</f>
        <v>0</v>
      </c>
      <c r="AZ319" s="3">
        <f>(AZ282-AY282)-AZ289</f>
        <v>0</v>
      </c>
      <c r="BA319" s="3">
        <f>SUM(AW319:AZ319)</f>
        <v>0</v>
      </c>
      <c r="BB319" s="3">
        <f>(BB282-BA282)-BB289</f>
        <v>0</v>
      </c>
      <c r="BC319" s="3">
        <f>(BC282-BB282)-BC289</f>
        <v>0</v>
      </c>
      <c r="BD319" s="3">
        <f>(BD282-BC282)-BD289</f>
        <v>0</v>
      </c>
      <c r="BE319" s="3">
        <f>(BE282-BD282)-BE289</f>
        <v>0</v>
      </c>
      <c r="BF319" s="3">
        <f>SUM(BB319:BE319)</f>
        <v>0</v>
      </c>
      <c r="BG319" s="3">
        <f>(BG282-BF282)-BG289</f>
        <v>0</v>
      </c>
      <c r="BH319" s="3">
        <f>(BH282-BG282)-BH289</f>
        <v>0</v>
      </c>
      <c r="BI319" s="3">
        <f>(BI282-BH282)-BI289</f>
        <v>0</v>
      </c>
      <c r="BJ319" s="3">
        <f>(BJ282-BI282)-BJ289</f>
        <v>0</v>
      </c>
      <c r="BK319" s="3">
        <f>SUM(BG319:BJ319)</f>
        <v>0</v>
      </c>
      <c r="BL319" s="3">
        <f>(BL282-BK282)-BL289</f>
        <v>0</v>
      </c>
      <c r="BM319" s="3">
        <f>(BM282-BL282)-BM289</f>
        <v>0</v>
      </c>
      <c r="BN319" s="3">
        <f>(BN282-BM282)-BN289</f>
        <v>0</v>
      </c>
      <c r="BO319" s="3">
        <f>(BO282-BN282)-BO289</f>
        <v>0</v>
      </c>
      <c r="BP319" s="3">
        <f>SUM(BL319:BO319)</f>
        <v>0</v>
      </c>
      <c r="BQ319" s="3">
        <f>(BQ282-BP282)-BQ289</f>
        <v>0</v>
      </c>
      <c r="BR319" s="3">
        <f>(BR282-BQ282)-BR289</f>
        <v>0</v>
      </c>
      <c r="BS319" s="3">
        <f>(BS282-BR282)-BS289</f>
        <v>0</v>
      </c>
      <c r="BT319" s="3">
        <f>(BT282-BS282)-BT289</f>
        <v>0</v>
      </c>
      <c r="BU319" s="3">
        <f>SUM(BQ319:BT319)</f>
        <v>0</v>
      </c>
      <c r="BV319" s="3">
        <f>(BV282-BU282)-BV289</f>
        <v>0</v>
      </c>
      <c r="BW319" s="3">
        <f>(BW282-BV282)-BW289</f>
        <v>0</v>
      </c>
      <c r="BX319" s="3">
        <f>(BX282-BW282)-BX289</f>
        <v>0</v>
      </c>
      <c r="BY319" s="3">
        <f>(BY282-BX282)-BY289</f>
        <v>0</v>
      </c>
      <c r="BZ319" s="3">
        <f>SUM(BV319:BY319)</f>
        <v>0</v>
      </c>
      <c r="CA319" s="3">
        <f>(CA282-BZ282)-CA289</f>
        <v>0</v>
      </c>
      <c r="CB319" s="3">
        <f>(CB282-CA282)-CB289</f>
        <v>0</v>
      </c>
      <c r="CC319" s="3">
        <f>(CC282-CB282)-CC289</f>
        <v>0</v>
      </c>
      <c r="CD319" s="3">
        <f>(CD282-CC282)-CD289</f>
        <v>0</v>
      </c>
      <c r="CE319" s="3">
        <f>SUM(CA319:CD319)</f>
        <v>0</v>
      </c>
      <c r="CF319" s="3">
        <f>(CF282-CE282)-CF289</f>
        <v>0</v>
      </c>
      <c r="CG319" s="3">
        <f>(CG282-CF282)-CG289</f>
        <v>0</v>
      </c>
      <c r="CH319" s="3">
        <f>(CH282-CG282)-CH289</f>
        <v>0</v>
      </c>
      <c r="CI319" s="3">
        <f>(CI282-CH282)-CI289</f>
        <v>0</v>
      </c>
      <c r="CJ319" s="3">
        <f>SUM(CF319:CI319)</f>
        <v>0</v>
      </c>
      <c r="CK319" s="3">
        <f>(CK282-CJ282)-CK289</f>
        <v>0</v>
      </c>
      <c r="CL319" s="3">
        <f>(CL282-CK282)-CL289</f>
        <v>0</v>
      </c>
      <c r="CM319" s="3">
        <f>(CM282-CL282)-CM289</f>
        <v>0</v>
      </c>
      <c r="CN319" s="3">
        <f>(CN282-CM282)-CN289</f>
        <v>0</v>
      </c>
      <c r="CO319" s="3">
        <f>SUM(CK319:CN319)</f>
        <v>0</v>
      </c>
      <c r="CP319" s="3">
        <f>(CP282-CO282)-CP289</f>
        <v>0</v>
      </c>
      <c r="CQ319" s="3">
        <f>(CQ282-CP282)-CQ289</f>
        <v>0</v>
      </c>
      <c r="CR319" s="3">
        <f>(CR282-CQ282)-CR289</f>
        <v>0</v>
      </c>
      <c r="CS319" s="3">
        <f>(CS282-CR282)-CS289</f>
        <v>0</v>
      </c>
      <c r="CT319" s="3">
        <f>SUM(CP319:CS319)</f>
        <v>0</v>
      </c>
      <c r="CU319" s="3">
        <f>(CU282-CT282)-CU289</f>
        <v>0</v>
      </c>
      <c r="CV319" s="3">
        <f>(CV282-CU282)-CV289</f>
        <v>0</v>
      </c>
      <c r="CW319" s="3">
        <f>(CW282-CV282)-CW289</f>
        <v>0</v>
      </c>
      <c r="CX319" s="3">
        <f>(CX282-CW282)-CX289</f>
        <v>0</v>
      </c>
      <c r="CY319" s="3">
        <f>SUM(CU319:CX319)</f>
        <v>0</v>
      </c>
    </row>
    <row r="320">
      <c r="C320" s="26" t="inlineStr">
        <is>
          <t>Dividends to minority interests</t>
        </is>
      </c>
      <c r="D320" s="3" t="n"/>
      <c r="E320" s="3">
        <f>(E260-D260)+E148</f>
        <v>0</v>
      </c>
      <c r="F320" s="3">
        <f>(F260-E260)+F148</f>
        <v>0</v>
      </c>
      <c r="G320" s="3">
        <f>(G260-F260)+G148</f>
        <v>0</v>
      </c>
      <c r="H320" s="3">
        <f>SUM(D320:G320)</f>
        <v>0</v>
      </c>
      <c r="I320" s="3">
        <f>(I260-H260)+I148</f>
        <v>0</v>
      </c>
      <c r="J320" s="3">
        <f>(J260-I260)+J148</f>
        <v>0</v>
      </c>
      <c r="K320" s="3">
        <f>(K260-J260)+K148</f>
        <v>0</v>
      </c>
      <c r="L320" s="3">
        <f>(L260-K260)+L148</f>
        <v>0</v>
      </c>
      <c r="M320" s="3">
        <f>SUM(I320:L320)</f>
        <v>0</v>
      </c>
      <c r="N320" s="3">
        <f>(N260-M260)+N148</f>
        <v>0</v>
      </c>
      <c r="O320" s="3">
        <f>(O260-N260)+O148</f>
        <v>0</v>
      </c>
      <c r="P320" s="3">
        <f>(P260-O260)+P148</f>
        <v>0</v>
      </c>
      <c r="Q320" s="3">
        <f>(Q260-P260)+Q148</f>
        <v>0</v>
      </c>
      <c r="R320" s="3">
        <f>SUM(N320:Q320)</f>
        <v>0</v>
      </c>
      <c r="S320" s="3">
        <f>(S260-R260)+S148</f>
        <v>0</v>
      </c>
      <c r="T320" s="3">
        <f>(T260-S260)+T148</f>
        <v>0</v>
      </c>
      <c r="U320" s="3">
        <f>(U260-T260)+U148</f>
        <v>0</v>
      </c>
      <c r="V320" s="3">
        <f>(V260-U260)+V148</f>
        <v>0</v>
      </c>
      <c r="W320" s="3">
        <f>SUM(S320:V320)</f>
        <v>0</v>
      </c>
      <c r="X320" s="3">
        <f>(X260-W260)+X148</f>
        <v>0</v>
      </c>
      <c r="Y320" s="3">
        <f>(Y260-X260)+Y148</f>
        <v>0</v>
      </c>
      <c r="Z320" s="3">
        <f>(Z260-Y260)+Z148</f>
        <v>0</v>
      </c>
      <c r="AA320" s="3">
        <f>(AA260-Z260)+AA148</f>
        <v>0</v>
      </c>
      <c r="AB320" s="3">
        <f>SUM(X320:AA320)</f>
        <v>0</v>
      </c>
      <c r="AC320" s="3">
        <f>(AC260-AB260)+AC148</f>
        <v>0</v>
      </c>
      <c r="AD320" s="3">
        <f>(AD260-AC260)+AD148</f>
        <v>0</v>
      </c>
      <c r="AE320" s="3">
        <f>(AE260-AD260)+AE148</f>
        <v>0</v>
      </c>
      <c r="AF320" s="3">
        <f>(AF260-AE260)+AF148</f>
        <v>0</v>
      </c>
      <c r="AG320" s="3">
        <f>SUM(AC320:AF320)</f>
        <v>0</v>
      </c>
      <c r="AH320" s="3">
        <f>(AH260-AG260)+AH148</f>
        <v>0</v>
      </c>
      <c r="AI320" s="3">
        <f>(AI260-AH260)+AI148</f>
        <v>0</v>
      </c>
      <c r="AJ320" s="3">
        <f>(AJ260-AI260)+AJ148</f>
        <v>0</v>
      </c>
      <c r="AK320" s="3">
        <f>(AK260-AJ260)+AK148</f>
        <v>0</v>
      </c>
      <c r="AL320" s="3">
        <f>SUM(AH320:AK320)</f>
        <v>0</v>
      </c>
      <c r="AM320" s="3">
        <f>(AM260-AL260)+AM148</f>
        <v>0</v>
      </c>
      <c r="AN320" s="3">
        <f>(AN260-AM260)+AN148</f>
        <v>0</v>
      </c>
      <c r="AO320" s="3">
        <f>(AO260-AN260)+AO148</f>
        <v>0</v>
      </c>
      <c r="AP320" s="3">
        <f>(AP260-AO260)+AP148</f>
        <v>0</v>
      </c>
      <c r="AQ320" s="3">
        <f>SUM(AM320:AP320)</f>
        <v>0</v>
      </c>
      <c r="AR320" s="3">
        <f>(AR260-AQ260)+AR148</f>
        <v>0</v>
      </c>
      <c r="AS320" s="3">
        <f>(AS260-AR260)+AS148</f>
        <v>0</v>
      </c>
      <c r="AT320" s="3">
        <f>(AT260-AS260)+AT148</f>
        <v>0</v>
      </c>
      <c r="AU320" s="3">
        <f>(AU260-AT260)+AU148</f>
        <v>0</v>
      </c>
      <c r="AV320" s="3">
        <f>SUM(AR320:AU320)</f>
        <v>0</v>
      </c>
      <c r="AW320" s="3">
        <f>(AW260-AV260)+AW148</f>
        <v>0</v>
      </c>
      <c r="AX320" s="3">
        <f>(AX260-AW260)+AX148</f>
        <v>0</v>
      </c>
      <c r="AY320" s="3">
        <f>(AY260-AX260)+AY148</f>
        <v>0</v>
      </c>
      <c r="AZ320" s="3">
        <f>(AZ260-AY260)+AZ148</f>
        <v>0</v>
      </c>
      <c r="BA320" s="3">
        <f>SUM(AW320:AZ320)</f>
        <v>0</v>
      </c>
      <c r="BB320" s="3">
        <f>(BB260-BA260)+BB148</f>
        <v>0</v>
      </c>
      <c r="BC320" s="3">
        <f>(BC260-BB260)+BC148</f>
        <v>0</v>
      </c>
      <c r="BD320" s="3">
        <f>(BD260-BC260)+BD148</f>
        <v>0</v>
      </c>
      <c r="BE320" s="3">
        <f>(BE260-BD260)+BE148</f>
        <v>0</v>
      </c>
      <c r="BF320" s="3">
        <f>SUM(BB320:BE320)</f>
        <v>0</v>
      </c>
      <c r="BG320" s="3">
        <f>(BG260-BF260)+BG148</f>
        <v>0</v>
      </c>
      <c r="BH320" s="3">
        <f>(BH260-BG260)+BH148</f>
        <v>0</v>
      </c>
      <c r="BI320" s="3">
        <f>(BI260-BH260)+BI148</f>
        <v>0</v>
      </c>
      <c r="BJ320" s="3">
        <f>(BJ260-BI260)+BJ148</f>
        <v>0</v>
      </c>
      <c r="BK320" s="3">
        <f>SUM(BG320:BJ320)</f>
        <v>0</v>
      </c>
      <c r="BL320" s="3">
        <f>(BL260-BK260)+BL148</f>
        <v>0</v>
      </c>
      <c r="BM320" s="3">
        <f>(BM260-BL260)+BM148</f>
        <v>0</v>
      </c>
      <c r="BN320" s="3">
        <f>(BN260-BM260)+BN148</f>
        <v>0</v>
      </c>
      <c r="BO320" s="3">
        <f>(BO260-BN260)+BO148</f>
        <v>0</v>
      </c>
      <c r="BP320" s="3">
        <f>SUM(BL320:BO320)</f>
        <v>0</v>
      </c>
      <c r="BQ320" s="3">
        <f>(BQ260-BP260)+BQ148</f>
        <v>0</v>
      </c>
      <c r="BR320" s="3">
        <f>(BR260-BQ260)+BR148</f>
        <v>0</v>
      </c>
      <c r="BS320" s="3">
        <f>(BS260-BR260)+BS148</f>
        <v>0</v>
      </c>
      <c r="BT320" s="3">
        <f>(BT260-BS260)+BT148</f>
        <v>0</v>
      </c>
      <c r="BU320" s="3">
        <f>SUM(BQ320:BT320)</f>
        <v>0</v>
      </c>
      <c r="BV320" s="3">
        <f>(BV260-BU260)+BV148</f>
        <v>0</v>
      </c>
      <c r="BW320" s="3">
        <f>(BW260-BV260)+BW148</f>
        <v>0</v>
      </c>
      <c r="BX320" s="3">
        <f>(BX260-BW260)+BX148</f>
        <v>0</v>
      </c>
      <c r="BY320" s="3">
        <f>(BY260-BX260)+BY148</f>
        <v>0</v>
      </c>
      <c r="BZ320" s="3">
        <f>SUM(BV320:BY320)</f>
        <v>0</v>
      </c>
      <c r="CA320" s="3">
        <f>(CA260-BZ260)+CA148</f>
        <v>0</v>
      </c>
      <c r="CB320" s="3">
        <f>(CB260-CA260)+CB148</f>
        <v>0</v>
      </c>
      <c r="CC320" s="3">
        <f>(CC260-CB260)+CC148</f>
        <v>0</v>
      </c>
      <c r="CD320" s="3">
        <f>(CD260-CC260)+CD148</f>
        <v>0</v>
      </c>
      <c r="CE320" s="3">
        <f>SUM(CA320:CD320)</f>
        <v>0</v>
      </c>
      <c r="CF320" s="3">
        <f>(CF260-CE260)+CF148</f>
        <v>0</v>
      </c>
      <c r="CG320" s="3">
        <f>(CG260-CF260)+CG148</f>
        <v>0</v>
      </c>
      <c r="CH320" s="3">
        <f>(CH260-CG260)+CH148</f>
        <v>0</v>
      </c>
      <c r="CI320" s="3">
        <f>(CI260-CH260)+CI148</f>
        <v>0</v>
      </c>
      <c r="CJ320" s="3">
        <f>SUM(CF320:CI320)</f>
        <v>0</v>
      </c>
      <c r="CK320" s="3">
        <f>(CK260-CJ260)+CK148</f>
        <v>0</v>
      </c>
      <c r="CL320" s="3">
        <f>(CL260-CK260)+CL148</f>
        <v>0</v>
      </c>
      <c r="CM320" s="3">
        <f>(CM260-CL260)+CM148</f>
        <v>0</v>
      </c>
      <c r="CN320" s="3">
        <f>(CN260-CM260)+CN148</f>
        <v>0</v>
      </c>
      <c r="CO320" s="3">
        <f>SUM(CK320:CN320)</f>
        <v>0</v>
      </c>
      <c r="CP320" s="3">
        <f>(CP260-CO260)+CP148</f>
        <v>0</v>
      </c>
      <c r="CQ320" s="3">
        <f>(CQ260-CP260)+CQ148</f>
        <v>0</v>
      </c>
      <c r="CR320" s="3">
        <f>(CR260-CQ260)+CR148</f>
        <v>0</v>
      </c>
      <c r="CS320" s="3">
        <f>(CS260-CR260)+CS148</f>
        <v>0</v>
      </c>
      <c r="CT320" s="3">
        <f>SUM(CP320:CS320)</f>
        <v>0</v>
      </c>
      <c r="CU320" s="3">
        <f>(CU260-CT260)+CU148</f>
        <v>0</v>
      </c>
      <c r="CV320" s="3">
        <f>(CV260-CU260)+CV148</f>
        <v>0</v>
      </c>
      <c r="CW320" s="3">
        <f>(CW260-CV260)+CW148</f>
        <v>0</v>
      </c>
      <c r="CX320" s="3">
        <f>(CX260-CW260)+CX148</f>
        <v>0</v>
      </c>
      <c r="CY320" s="3">
        <f>SUM(CU320:CX320)</f>
        <v>0</v>
      </c>
    </row>
    <row r="321">
      <c r="C321" s="28" t="inlineStr">
        <is>
          <t>Increases / (decreases) in debt</t>
        </is>
      </c>
      <c r="D321" s="3" t="n"/>
      <c r="E321" s="3">
        <f>SUM(E224:E226,E229,E250,E247)-SUM(D224:D226,D229,D250,D247)</f>
        <v>910.589</v>
      </c>
      <c r="F321" s="3">
        <f>SUM(F224:F226,F229,F250,F247)-SUM(E224:E226,E229,E250,E247)</f>
        <v>-200.476</v>
      </c>
      <c r="G321" s="3">
        <f>SUM(G224:G226,G229,G250,G247)-SUM(F224:F226,F229,F250,F247)</f>
        <v>520.202</v>
      </c>
      <c r="H321" s="3">
        <f>SUM(D321:G321)</f>
        <v>1230.315</v>
      </c>
      <c r="I321" s="3">
        <f>SUM(I224:I226,I229,I250,I247)-SUM(H224:H226,H229,H250,H247)</f>
        <v>4502.556</v>
      </c>
      <c r="J321" s="3">
        <f>SUM(J224:J226,J229,J250,J247)-SUM(I224:I226,I229,I250,I247)</f>
        <v>208.210999999999</v>
      </c>
      <c r="K321" s="3">
        <f>SUM(K224:K226,K229,K250,K247)-SUM(J224:J226,J229,J250,J247)</f>
        <v>4724.293</v>
      </c>
      <c r="L321" s="3">
        <f>SUM(L224:L226,L229,L250,L247)-SUM(K224:K226,K229,K250,K247)</f>
        <v>774.396999999999</v>
      </c>
      <c r="M321" s="3">
        <f>SUM(I321:L321)</f>
        <v>10209.457</v>
      </c>
      <c r="N321" s="3">
        <f>SUM(N224:N226,N229,N250,N247)-SUM(M224:M226,M229,M250,M247)</f>
        <v>-886.911</v>
      </c>
      <c r="O321" s="3">
        <f>SUM(O224:O226,O229,O250,O247)-SUM(N224:N226,N229,N250,N247)</f>
        <v>1955.703</v>
      </c>
      <c r="P321" s="3">
        <f>SUM(P224:P226,P229,P250,P247)-SUM(O224:O226,O229,O250,O247)</f>
        <v>3806.484</v>
      </c>
      <c r="Q321" s="3">
        <f>SUM(Q224:Q226,Q229,Q250,Q247)-SUM(P224:P226,P229,P250,P247)</f>
        <v>-1875.363</v>
      </c>
      <c r="R321" s="3">
        <f>SUM(N321:Q321)</f>
        <v>2999.913</v>
      </c>
      <c r="S321" s="3">
        <f>SUM(S224:S226,S229,S250,S247)-SUM(R224:R226,R229,R250,R247)</f>
        <v>-2443.768</v>
      </c>
      <c r="T321" s="3">
        <f>SUM(T224:T226,T229,T250,T247)-SUM(S224:S226,S229,S250,S247)</f>
        <v>-1325.429</v>
      </c>
      <c r="U321" s="3">
        <f>SUM(U224:U226,U229,U250,U247)-SUM(T224:T226,T229,T250,T247)</f>
        <v>-264.402999999997</v>
      </c>
      <c r="V321" s="3">
        <f>SUM(V224:V226,V229,V250,V247)-SUM(U224:U226,U229,U250,U247)</f>
        <v>1629.759</v>
      </c>
      <c r="W321" s="3">
        <f>SUM(S321:V321)</f>
        <v>-2403.841</v>
      </c>
      <c r="X321" s="3">
        <f>SUM(X224:X226,X229,X250,X247)-SUM(W224:W226,W229,W250,W247)</f>
        <v>875.405000000001</v>
      </c>
      <c r="Y321" s="3">
        <f>SUM(Y224:Y226,Y229,Y250,Y247)-SUM(X224:X226,X229,X250,X247)</f>
        <v>1715.464</v>
      </c>
      <c r="Z321" s="3">
        <f>SUM(Z224:Z226,Z229,Z250,Z247)-SUM(Y224:Y226,Y229,Y250,Y247)</f>
        <v>977.261999999999</v>
      </c>
      <c r="AA321" s="3">
        <f>SUM(AA224:AA226,AA229,AA250,AA247)-SUM(Z224:Z226,Z229,Z250,Z247)</f>
        <v>1591.984</v>
      </c>
      <c r="AB321" s="3">
        <f>SUM(X321:AA321)</f>
        <v>5160.115</v>
      </c>
      <c r="AC321" s="3">
        <f>SUM(AC224:AC226,AC229,AC250,AC247)-SUM(AB224:AB226,AB229,AB250,AB247)</f>
        <v>-543.098999999998</v>
      </c>
      <c r="AD321" s="3">
        <f>SUM(AD224:AD226,AD229,AD250,AD247)-SUM(AC224:AC226,AC229,AC250,AC247)</f>
        <v>-463.987000000001</v>
      </c>
      <c r="AE321" s="3">
        <f>SUM(AE224:AE226,AE229,AE250,AE247)-SUM(AD224:AD226,AD229,AD250,AD247)</f>
        <v>-794.552</v>
      </c>
      <c r="AF321" s="3">
        <f>SUM(AF224:AF226,AF229,AF250,AF247)-SUM(AE224:AE226,AE229,AE250,AE247)</f>
        <v>3207.282</v>
      </c>
      <c r="AG321" s="3">
        <f>SUM(AC321:AF321)</f>
        <v>1405.644</v>
      </c>
      <c r="AH321" s="3">
        <f>SUM(AH224:AH226,AH229,AH250,AH247)-SUM(AG224:AG226,AG229,AG250,AG247)</f>
        <v>1722.016</v>
      </c>
      <c r="AI321" s="3">
        <f>SUM(AI224:AI226,AI229,AI250,AI247)-SUM(AH224:AH226,AH229,AH250,AH247)</f>
        <v>161.130000000001</v>
      </c>
      <c r="AJ321" s="3">
        <f>SUM(AJ224:AJ226,AJ229,AJ250,AJ247)-SUM(AI224:AI226,AI229,AI250,AI247)</f>
        <v>0</v>
      </c>
      <c r="AK321" s="3">
        <f>SUM(AK224:AK226,AK229,AK250,AK247)-SUM(AJ224:AJ226,AJ229,AJ250,AJ247)</f>
        <v>0</v>
      </c>
      <c r="AL321" s="3">
        <f>SUM(AH321:AK321)</f>
        <v>1883.146</v>
      </c>
      <c r="AM321" s="3">
        <f>SUM(AM224:AM226,AM229,AM250,AM247)-SUM(AL224:AL226,AL229,AL250,AL247)</f>
        <v>0</v>
      </c>
      <c r="AN321" s="3">
        <f>SUM(AN224:AN226,AN229,AN250,AN247)-SUM(AM224:AM226,AM229,AM250,AM247)</f>
        <v>0</v>
      </c>
      <c r="AO321" s="3">
        <f>SUM(AO224:AO226,AO229,AO250,AO247)-SUM(AN224:AN226,AN229,AN250,AN247)</f>
        <v>0</v>
      </c>
      <c r="AP321" s="3">
        <f>SUM(AP224:AP226,AP229,AP250,AP247)-SUM(AO224:AO226,AO229,AO250,AO247)</f>
        <v>0</v>
      </c>
      <c r="AQ321" s="3">
        <f>SUM(AM321:AP321)</f>
        <v>0</v>
      </c>
      <c r="AR321" s="3">
        <f>SUM(AR224:AR226,AR229,AR250,AR247)-SUM(AQ224:AQ226,AQ229,AQ250,AQ247)</f>
        <v>0</v>
      </c>
      <c r="AS321" s="3">
        <f>SUM(AS224:AS226,AS229,AS250,AS247)-SUM(AR224:AR226,AR229,AR250,AR247)</f>
        <v>0</v>
      </c>
      <c r="AT321" s="3">
        <f>SUM(AT224:AT226,AT229,AT250,AT247)-SUM(AS224:AS226,AS229,AS250,AS247)</f>
        <v>0</v>
      </c>
      <c r="AU321" s="3">
        <f>SUM(AU224:AU226,AU229,AU250,AU247)-SUM(AT224:AT226,AT229,AT250,AT247)</f>
        <v>0</v>
      </c>
      <c r="AV321" s="3">
        <f>SUM(AR321:AU321)</f>
        <v>0</v>
      </c>
      <c r="AW321" s="3">
        <f>SUM(AW224:AW226,AW229,AW250,AW247)-SUM(AV224:AV226,AV229,AV250,AV247)</f>
        <v>0</v>
      </c>
      <c r="AX321" s="3">
        <f>SUM(AX224:AX226,AX229,AX250,AX247)-SUM(AW224:AW226,AW229,AW250,AW247)</f>
        <v>0</v>
      </c>
      <c r="AY321" s="3">
        <f>SUM(AY224:AY226,AY229,AY250,AY247)-SUM(AX224:AX226,AX229,AX250,AX247)</f>
        <v>0</v>
      </c>
      <c r="AZ321" s="3">
        <f>SUM(AZ224:AZ226,AZ229,AZ250,AZ247)-SUM(AY224:AY226,AY229,AY250,AY247)</f>
        <v>0</v>
      </c>
      <c r="BA321" s="3">
        <f>SUM(AW321:AZ321)</f>
        <v>0</v>
      </c>
      <c r="BB321" s="3">
        <f>SUM(BB224:BB226,BB229,BB250,BB247)-SUM(BA224:BA226,BA229,BA250,BA247)</f>
        <v>0</v>
      </c>
      <c r="BC321" s="3">
        <f>SUM(BC224:BC226,BC229,BC250,BC247)-SUM(BB224:BB226,BB229,BB250,BB247)</f>
        <v>0</v>
      </c>
      <c r="BD321" s="3">
        <f>SUM(BD224:BD226,BD229,BD250,BD247)-SUM(BC224:BC226,BC229,BC250,BC247)</f>
        <v>0</v>
      </c>
      <c r="BE321" s="3">
        <f>SUM(BE224:BE226,BE229,BE250,BE247)-SUM(BD224:BD226,BD229,BD250,BD247)</f>
        <v>0</v>
      </c>
      <c r="BF321" s="3">
        <f>SUM(BB321:BE321)</f>
        <v>0</v>
      </c>
      <c r="BG321" s="3">
        <f>SUM(BG224:BG226,BG229,BG250,BG247)-SUM(BF224:BF226,BF229,BF250,BF247)</f>
        <v>0</v>
      </c>
      <c r="BH321" s="3">
        <f>SUM(BH224:BH226,BH229,BH250,BH247)-SUM(BG224:BG226,BG229,BG250,BG247)</f>
        <v>0</v>
      </c>
      <c r="BI321" s="3">
        <f>SUM(BI224:BI226,BI229,BI250,BI247)-SUM(BH224:BH226,BH229,BH250,BH247)</f>
        <v>0</v>
      </c>
      <c r="BJ321" s="3">
        <f>SUM(BJ224:BJ226,BJ229,BJ250,BJ247)-SUM(BI224:BI226,BI229,BI250,BI247)</f>
        <v>0</v>
      </c>
      <c r="BK321" s="3">
        <f>SUM(BG321:BJ321)</f>
        <v>0</v>
      </c>
      <c r="BL321" s="3">
        <f>SUM(BL224:BL226,BL229,BL250,BL247)-SUM(BK224:BK226,BK229,BK250,BK247)</f>
        <v>0</v>
      </c>
      <c r="BM321" s="3">
        <f>SUM(BM224:BM226,BM229,BM250,BM247)-SUM(BL224:BL226,BL229,BL250,BL247)</f>
        <v>0</v>
      </c>
      <c r="BN321" s="3">
        <f>SUM(BN224:BN226,BN229,BN250,BN247)-SUM(BM224:BM226,BM229,BM250,BM247)</f>
        <v>0</v>
      </c>
      <c r="BO321" s="3">
        <f>SUM(BO224:BO226,BO229,BO250,BO247)-SUM(BN224:BN226,BN229,BN250,BN247)</f>
        <v>0</v>
      </c>
      <c r="BP321" s="3">
        <f>SUM(BL321:BO321)</f>
        <v>0</v>
      </c>
      <c r="BQ321" s="3">
        <f>SUM(BQ224:BQ226,BQ229,BQ250,BQ247)-SUM(BP224:BP226,BP229,BP250,BP247)</f>
        <v>0</v>
      </c>
      <c r="BR321" s="3">
        <f>SUM(BR224:BR226,BR229,BR250,BR247)-SUM(BQ224:BQ226,BQ229,BQ250,BQ247)</f>
        <v>0</v>
      </c>
      <c r="BS321" s="3">
        <f>SUM(BS224:BS226,BS229,BS250,BS247)-SUM(BR224:BR226,BR229,BR250,BR247)</f>
        <v>0</v>
      </c>
      <c r="BT321" s="3">
        <f>SUM(BT224:BT226,BT229,BT250,BT247)-SUM(BS224:BS226,BS229,BS250,BS247)</f>
        <v>0</v>
      </c>
      <c r="BU321" s="3">
        <f>SUM(BQ321:BT321)</f>
        <v>0</v>
      </c>
      <c r="BV321" s="3">
        <f>SUM(BV224:BV226,BV229,BV250,BV247)-SUM(BU224:BU226,BU229,BU250,BU247)</f>
        <v>0</v>
      </c>
      <c r="BW321" s="3">
        <f>SUM(BW224:BW226,BW229,BW250,BW247)-SUM(BV224:BV226,BV229,BV250,BV247)</f>
        <v>0</v>
      </c>
      <c r="BX321" s="3">
        <f>SUM(BX224:BX226,BX229,BX250,BX247)-SUM(BW224:BW226,BW229,BW250,BW247)</f>
        <v>0</v>
      </c>
      <c r="BY321" s="3">
        <f>SUM(BY224:BY226,BY229,BY250,BY247)-SUM(BX224:BX226,BX229,BX250,BX247)</f>
        <v>0</v>
      </c>
      <c r="BZ321" s="3">
        <f>SUM(BV321:BY321)</f>
        <v>0</v>
      </c>
      <c r="CA321" s="3">
        <f>SUM(CA224:CA226,CA229,CA250,CA247)-SUM(BZ224:BZ226,BZ229,BZ250,BZ247)</f>
        <v>0</v>
      </c>
      <c r="CB321" s="3">
        <f>SUM(CB224:CB226,CB229,CB250,CB247)-SUM(CA224:CA226,CA229,CA250,CA247)</f>
        <v>0</v>
      </c>
      <c r="CC321" s="3">
        <f>SUM(CC224:CC226,CC229,CC250,CC247)-SUM(CB224:CB226,CB229,CB250,CB247)</f>
        <v>0</v>
      </c>
      <c r="CD321" s="3">
        <f>SUM(CD224:CD226,CD229,CD250,CD247)-SUM(CC224:CC226,CC229,CC250,CC247)</f>
        <v>0</v>
      </c>
      <c r="CE321" s="3">
        <f>SUM(CA321:CD321)</f>
        <v>0</v>
      </c>
      <c r="CF321" s="3">
        <f>SUM(CF224:CF226,CF229,CF250,CF247)-SUM(CE224:CE226,CE229,CE250,CE247)</f>
        <v>0</v>
      </c>
      <c r="CG321" s="3">
        <f>SUM(CG224:CG226,CG229,CG250,CG247)-SUM(CF224:CF226,CF229,CF250,CF247)</f>
        <v>0</v>
      </c>
      <c r="CH321" s="3">
        <f>SUM(CH224:CH226,CH229,CH250,CH247)-SUM(CG224:CG226,CG229,CG250,CG247)</f>
        <v>0</v>
      </c>
      <c r="CI321" s="3">
        <f>SUM(CI224:CI226,CI229,CI250,CI247)-SUM(CH224:CH226,CH229,CH250,CH247)</f>
        <v>0</v>
      </c>
      <c r="CJ321" s="3">
        <f>SUM(CF321:CI321)</f>
        <v>0</v>
      </c>
      <c r="CK321" s="3">
        <f>SUM(CK224:CK226,CK229,CK250,CK247)-SUM(CJ224:CJ226,CJ229,CJ250,CJ247)</f>
        <v>0</v>
      </c>
      <c r="CL321" s="3">
        <f>SUM(CL224:CL226,CL229,CL250,CL247)-SUM(CK224:CK226,CK229,CK250,CK247)</f>
        <v>0</v>
      </c>
      <c r="CM321" s="3">
        <f>SUM(CM224:CM226,CM229,CM250,CM247)-SUM(CL224:CL226,CL229,CL250,CL247)</f>
        <v>0</v>
      </c>
      <c r="CN321" s="3">
        <f>SUM(CN224:CN226,CN229,CN250,CN247)-SUM(CM224:CM226,CM229,CM250,CM247)</f>
        <v>0</v>
      </c>
      <c r="CO321" s="3">
        <f>SUM(CK321:CN321)</f>
        <v>0</v>
      </c>
      <c r="CP321" s="3">
        <f>SUM(CP224:CP226,CP229,CP250,CP247)-SUM(CO224:CO226,CO229,CO250,CO247)</f>
        <v>0</v>
      </c>
      <c r="CQ321" s="3">
        <f>SUM(CQ224:CQ226,CQ229,CQ250,CQ247)-SUM(CP224:CP226,CP229,CP250,CP247)</f>
        <v>0</v>
      </c>
      <c r="CR321" s="3">
        <f>SUM(CR224:CR226,CR229,CR250,CR247)-SUM(CQ224:CQ226,CQ229,CQ250,CQ247)</f>
        <v>0</v>
      </c>
      <c r="CS321" s="3">
        <f>SUM(CS224:CS226,CS229,CS250,CS247)-SUM(CR224:CR226,CR229,CR250,CR247)</f>
        <v>0</v>
      </c>
      <c r="CT321" s="3">
        <f>SUM(CP321:CS321)</f>
        <v>0</v>
      </c>
      <c r="CU321" s="3">
        <f>SUM(CU224:CU226,CU229,CU250,CU247)-SUM(CT224:CT226,CT229,CT250,CT247)</f>
        <v>0</v>
      </c>
      <c r="CV321" s="3">
        <f>SUM(CV224:CV226,CV229,CV250,CV247)-SUM(CU224:CU226,CU229,CU250,CU247)</f>
        <v>0</v>
      </c>
      <c r="CW321" s="3">
        <f>SUM(CW224:CW226,CW229,CW250,CW247)-SUM(CV224:CV226,CV229,CV250,CV247)</f>
        <v>0</v>
      </c>
      <c r="CX321" s="3">
        <f>SUM(CX224:CX226,CX229,CX250,CX247)-SUM(CW224:CW226,CW229,CW250,CW247)</f>
        <v>0</v>
      </c>
      <c r="CY321" s="3">
        <f>SUM(CU321:CX321)</f>
        <v>0</v>
      </c>
      <c r="CZ321" s="3" t="n"/>
      <c r="DA321" s="3" t="n"/>
      <c r="DB321" s="3" t="n"/>
      <c r="DC321" s="3" t="n"/>
    </row>
    <row r="322">
      <c r="C322" s="26" t="inlineStr">
        <is>
          <t>Cash from financing</t>
        </is>
      </c>
      <c r="D322" s="3" t="n"/>
      <c r="E322" s="3">
        <f>SUM(E314,E315,E316,E317,E318,E319,E320,E321)</f>
        <v>907.607</v>
      </c>
      <c r="F322" s="3">
        <f>SUM(F314,F315,F316,F317,F318,F319,F320,F321)</f>
        <v>-199.691</v>
      </c>
      <c r="G322" s="3">
        <f>SUM(G314,G315,G316,G317,G318,G319,G320,G321)</f>
        <v>522.928</v>
      </c>
      <c r="H322" s="3">
        <f>SUM(H314,H315,H316,H317,H318,H319,H320,H321)</f>
        <v>1230.844</v>
      </c>
      <c r="I322" s="3">
        <f>SUM(I314,I315,I316,I317,I318,I319,I320,I321)</f>
        <v>4383.946</v>
      </c>
      <c r="J322" s="3">
        <f>SUM(J314,J315,J316,J317,J318,J319,J320,J321)</f>
        <v>243.584999999999</v>
      </c>
      <c r="K322" s="3">
        <f>SUM(K314,K315,K316,K317,K318,K319,K320,K321)</f>
        <v>5084.191</v>
      </c>
      <c r="L322" s="3">
        <f>SUM(L314,L315,L316,L317,L318,L319,L320,L321)</f>
        <v>604.087999999999</v>
      </c>
      <c r="M322" s="3">
        <f>SUM(M314,M315,M316,M317,M318,M319,M320,M321)</f>
        <v>10315.81</v>
      </c>
      <c r="N322" s="3">
        <f>SUM(N314,N315,N316,N317,N318,N319,N320,N321)</f>
        <v>-1188.165</v>
      </c>
      <c r="O322" s="3">
        <f>SUM(O314,O315,O316,O317,O318,O319,O320,O321)</f>
        <v>1382.194</v>
      </c>
      <c r="P322" s="3">
        <f>SUM(P314,P315,P316,P317,P318,P319,P320,P321)</f>
        <v>3635.306</v>
      </c>
      <c r="Q322" s="3">
        <f>SUM(Q314,Q315,Q316,Q317,Q318,Q319,Q320,Q321)</f>
        <v>-1901.588</v>
      </c>
      <c r="R322" s="3">
        <f>SUM(R314,R315,R316,R317,R318,R319,R320,R321)</f>
        <v>1927.747</v>
      </c>
      <c r="S322" s="3">
        <f>SUM(S314,S315,S316,S317,S318,S319,S320,S321)</f>
        <v>-2402.621</v>
      </c>
      <c r="T322" s="3">
        <f>SUM(T314,T315,T316,T317,T318,T319,T320,T321)</f>
        <v>-1066.341</v>
      </c>
      <c r="U322" s="3">
        <f>SUM(U314,U315,U316,U317,U318,U319,U320,U321)</f>
        <v>-243.092999999997</v>
      </c>
      <c r="V322" s="3">
        <f>SUM(V314,V315,V316,V317,V318,V319,V320,V321)</f>
        <v>1712.514</v>
      </c>
      <c r="W322" s="3">
        <f>SUM(W314,W315,W316,W317,W318,W319,W320,W321)</f>
        <v>-1999.541</v>
      </c>
      <c r="X322" s="3">
        <f>SUM(X314,X315,X316,X317,X318,X319,X320,X321)</f>
        <v>818.490000000001</v>
      </c>
      <c r="Y322" s="3">
        <f>SUM(Y314,Y315,Y316,Y317,Y318,Y319,Y320,Y321)</f>
        <v>1662.284</v>
      </c>
      <c r="Z322" s="3">
        <f>SUM(Z314,Z315,Z316,Z317,Z318,Z319,Z320,Z321)</f>
        <v>1054.102</v>
      </c>
      <c r="AA322" s="3">
        <f>SUM(AA314,AA315,AA316,AA317,AA318,AA319,AA320,AA321)</f>
        <v>1364.085</v>
      </c>
      <c r="AB322" s="3">
        <f>SUM(AB314,AB315,AB316,AB317,AB318,AB319,AB320,AB321)</f>
        <v>4898.961</v>
      </c>
      <c r="AC322" s="3">
        <f>SUM(AC314,AC315,AC316,AC317,AC318,AC319,AC320,AC321)</f>
        <v>-506.382999999998</v>
      </c>
      <c r="AD322" s="3">
        <f>SUM(AD314,AD315,AD316,AD317,AD318,AD319,AD320,AD321)</f>
        <v>-490.283000000002</v>
      </c>
      <c r="AE322" s="3">
        <f>SUM(AE314,AE315,AE316,AE317,AE318,AE319,AE320,AE321)</f>
        <v>-724.848</v>
      </c>
      <c r="AF322" s="3">
        <f>SUM(AF314,AF315,AF316,AF317,AF318,AF319,AF320,AF321)</f>
        <v>3284.10789301659</v>
      </c>
      <c r="AG322" s="3">
        <f>SUM(AG314,AG315,AG316,AG317,AG318,AG319,AG320,AG321)</f>
        <v>1562.59389301659</v>
      </c>
      <c r="AH322" s="3">
        <f>SUM(AH314,AH315,AH316,AH317,AH318,AH319,AH320,AH321)</f>
        <v>1686.3598088986</v>
      </c>
      <c r="AI322" s="3">
        <f>SUM(AI314,AI315,AI316,AI317,AI318,AI319,AI320,AI321)</f>
        <v>870.326340123445</v>
      </c>
      <c r="AJ322" s="3">
        <f>SUM(AJ314,AJ315,AJ316,AJ317,AJ318,AJ319,AJ320,AJ321)</f>
        <v>0</v>
      </c>
      <c r="AK322" s="3">
        <f>SUM(AK314,AK315,AK316,AK317,AK318,AK319,AK320,AK321)</f>
        <v>0</v>
      </c>
      <c r="AL322" s="3">
        <f>SUM(AL314,AL315,AL316,AL317,AL318,AL319,AL320,AL321)</f>
        <v>2556.68614902205</v>
      </c>
      <c r="AM322" s="3">
        <f>SUM(AM314,AM315,AM316,AM317,AM318,AM319,AM320,AM321)</f>
        <v>0</v>
      </c>
      <c r="AN322" s="3">
        <f>SUM(AN314,AN315,AN316,AN317,AN318,AN319,AN320,AN321)</f>
        <v>0</v>
      </c>
      <c r="AO322" s="3">
        <f>SUM(AO314,AO315,AO316,AO317,AO318,AO319,AO320,AO321)</f>
        <v>0</v>
      </c>
      <c r="AP322" s="3">
        <f>SUM(AP314,AP315,AP316,AP317,AP318,AP319,AP320,AP321)</f>
        <v>0</v>
      </c>
      <c r="AQ322" s="3">
        <f>SUM(AQ314,AQ315,AQ316,AQ317,AQ318,AQ319,AQ320,AQ321)</f>
        <v>0</v>
      </c>
      <c r="AR322" s="3">
        <f>SUM(AR314,AR315,AR316,AR317,AR318,AR319,AR320,AR321)</f>
        <v>0</v>
      </c>
      <c r="AS322" s="3">
        <f>SUM(AS314,AS315,AS316,AS317,AS318,AS319,AS320,AS321)</f>
        <v>0</v>
      </c>
      <c r="AT322" s="3">
        <f>SUM(AT314,AT315,AT316,AT317,AT318,AT319,AT320,AT321)</f>
        <v>0</v>
      </c>
      <c r="AU322" s="3">
        <f>SUM(AU314,AU315,AU316,AU317,AU318,AU319,AU320,AU321)</f>
        <v>0</v>
      </c>
      <c r="AV322" s="3">
        <f>SUM(AV314,AV315,AV316,AV317,AV318,AV319,AV320,AV321)</f>
        <v>0</v>
      </c>
      <c r="AW322" s="3">
        <f>SUM(AW314,AW315,AW316,AW317,AW318,AW319,AW320,AW321)</f>
        <v>0</v>
      </c>
      <c r="AX322" s="3">
        <f>SUM(AX314,AX315,AX316,AX317,AX318,AX319,AX320,AX321)</f>
        <v>0</v>
      </c>
      <c r="AY322" s="3">
        <f>SUM(AY314,AY315,AY316,AY317,AY318,AY319,AY320,AY321)</f>
        <v>0</v>
      </c>
      <c r="AZ322" s="3">
        <f>SUM(AZ314,AZ315,AZ316,AZ317,AZ318,AZ319,AZ320,AZ321)</f>
        <v>0</v>
      </c>
      <c r="BA322" s="3">
        <f>SUM(BA314,BA315,BA316,BA317,BA318,BA319,BA320,BA321)</f>
        <v>0</v>
      </c>
      <c r="BB322" s="3">
        <f>SUM(BB314,BB315,BB316,BB317,BB318,BB319,BB320,BB321)</f>
        <v>0</v>
      </c>
      <c r="BC322" s="3">
        <f>SUM(BC314,BC315,BC316,BC317,BC318,BC319,BC320,BC321)</f>
        <v>0</v>
      </c>
      <c r="BD322" s="3">
        <f>SUM(BD314,BD315,BD316,BD317,BD318,BD319,BD320,BD321)</f>
        <v>0</v>
      </c>
      <c r="BE322" s="3">
        <f>SUM(BE314,BE315,BE316,BE317,BE318,BE319,BE320,BE321)</f>
        <v>0</v>
      </c>
      <c r="BF322" s="3">
        <f>SUM(BF314,BF315,BF316,BF317,BF318,BF319,BF320,BF321)</f>
        <v>0</v>
      </c>
      <c r="BG322" s="3">
        <f>SUM(BG314,BG315,BG316,BG317,BG318,BG319,BG320,BG321)</f>
        <v>0</v>
      </c>
      <c r="BH322" s="3">
        <f>SUM(BH314,BH315,BH316,BH317,BH318,BH319,BH320,BH321)</f>
        <v>0</v>
      </c>
      <c r="BI322" s="3">
        <f>SUM(BI314,BI315,BI316,BI317,BI318,BI319,BI320,BI321)</f>
        <v>0</v>
      </c>
      <c r="BJ322" s="3">
        <f>SUM(BJ314,BJ315,BJ316,BJ317,BJ318,BJ319,BJ320,BJ321)</f>
        <v>0</v>
      </c>
      <c r="BK322" s="3">
        <f>SUM(BK314,BK315,BK316,BK317,BK318,BK319,BK320,BK321)</f>
        <v>0</v>
      </c>
      <c r="BL322" s="3">
        <f>SUM(BL314,BL315,BL316,BL317,BL318,BL319,BL320,BL321)</f>
        <v>0</v>
      </c>
      <c r="BM322" s="3">
        <f>SUM(BM314,BM315,BM316,BM317,BM318,BM319,BM320,BM321)</f>
        <v>0</v>
      </c>
      <c r="BN322" s="3">
        <f>SUM(BN314,BN315,BN316,BN317,BN318,BN319,BN320,BN321)</f>
        <v>0</v>
      </c>
      <c r="BO322" s="3">
        <f>SUM(BO314,BO315,BO316,BO317,BO318,BO319,BO320,BO321)</f>
        <v>0</v>
      </c>
      <c r="BP322" s="3">
        <f>SUM(BP314,BP315,BP316,BP317,BP318,BP319,BP320,BP321)</f>
        <v>0</v>
      </c>
      <c r="BQ322" s="3">
        <f>SUM(BQ314,BQ315,BQ316,BQ317,BQ318,BQ319,BQ320,BQ321)</f>
        <v>0</v>
      </c>
      <c r="BR322" s="3">
        <f>SUM(BR314,BR315,BR316,BR317,BR318,BR319,BR320,BR321)</f>
        <v>0</v>
      </c>
      <c r="BS322" s="3">
        <f>SUM(BS314,BS315,BS316,BS317,BS318,BS319,BS320,BS321)</f>
        <v>0</v>
      </c>
      <c r="BT322" s="3">
        <f>SUM(BT314,BT315,BT316,BT317,BT318,BT319,BT320,BT321)</f>
        <v>0</v>
      </c>
      <c r="BU322" s="3">
        <f>SUM(BU314,BU315,BU316,BU317,BU318,BU319,BU320,BU321)</f>
        <v>0</v>
      </c>
      <c r="BV322" s="3">
        <f>SUM(BV314,BV315,BV316,BV317,BV318,BV319,BV320,BV321)</f>
        <v>0</v>
      </c>
      <c r="BW322" s="3">
        <f>SUM(BW314,BW315,BW316,BW317,BW318,BW319,BW320,BW321)</f>
        <v>0</v>
      </c>
      <c r="BX322" s="3">
        <f>SUM(BX314,BX315,BX316,BX317,BX318,BX319,BX320,BX321)</f>
        <v>0</v>
      </c>
      <c r="BY322" s="3">
        <f>SUM(BY314,BY315,BY316,BY317,BY318,BY319,BY320,BY321)</f>
        <v>0</v>
      </c>
      <c r="BZ322" s="3">
        <f>SUM(BZ314,BZ315,BZ316,BZ317,BZ318,BZ319,BZ320,BZ321)</f>
        <v>0</v>
      </c>
      <c r="CA322" s="3">
        <f>SUM(CA314,CA315,CA316,CA317,CA318,CA319,CA320,CA321)</f>
        <v>0</v>
      </c>
      <c r="CB322" s="3">
        <f>SUM(CB314,CB315,CB316,CB317,CB318,CB319,CB320,CB321)</f>
        <v>0</v>
      </c>
      <c r="CC322" s="3">
        <f>SUM(CC314,CC315,CC316,CC317,CC318,CC319,CC320,CC321)</f>
        <v>0</v>
      </c>
      <c r="CD322" s="3">
        <f>SUM(CD314,CD315,CD316,CD317,CD318,CD319,CD320,CD321)</f>
        <v>0</v>
      </c>
      <c r="CE322" s="3">
        <f>SUM(CE314,CE315,CE316,CE317,CE318,CE319,CE320,CE321)</f>
        <v>0</v>
      </c>
      <c r="CF322" s="3">
        <f>SUM(CF314,CF315,CF316,CF317,CF318,CF319,CF320,CF321)</f>
        <v>0</v>
      </c>
      <c r="CG322" s="3">
        <f>SUM(CG314,CG315,CG316,CG317,CG318,CG319,CG320,CG321)</f>
        <v>0</v>
      </c>
      <c r="CH322" s="3">
        <f>SUM(CH314,CH315,CH316,CH317,CH318,CH319,CH320,CH321)</f>
        <v>0</v>
      </c>
      <c r="CI322" s="3">
        <f>SUM(CI314,CI315,CI316,CI317,CI318,CI319,CI320,CI321)</f>
        <v>0</v>
      </c>
      <c r="CJ322" s="3">
        <f>SUM(CJ314,CJ315,CJ316,CJ317,CJ318,CJ319,CJ320,CJ321)</f>
        <v>0</v>
      </c>
      <c r="CK322" s="3">
        <f>SUM(CK314,CK315,CK316,CK317,CK318,CK319,CK320,CK321)</f>
        <v>0</v>
      </c>
      <c r="CL322" s="3">
        <f>SUM(CL314,CL315,CL316,CL317,CL318,CL319,CL320,CL321)</f>
        <v>0</v>
      </c>
      <c r="CM322" s="3">
        <f>SUM(CM314,CM315,CM316,CM317,CM318,CM319,CM320,CM321)</f>
        <v>0</v>
      </c>
      <c r="CN322" s="3">
        <f>SUM(CN314,CN315,CN316,CN317,CN318,CN319,CN320,CN321)</f>
        <v>0</v>
      </c>
      <c r="CO322" s="3">
        <f>SUM(CO314,CO315,CO316,CO317,CO318,CO319,CO320,CO321)</f>
        <v>0</v>
      </c>
      <c r="CP322" s="3">
        <f>SUM(CP314,CP315,CP316,CP317,CP318,CP319,CP320,CP321)</f>
        <v>0</v>
      </c>
      <c r="CQ322" s="3">
        <f>SUM(CQ314,CQ315,CQ316,CQ317,CQ318,CQ319,CQ320,CQ321)</f>
        <v>0</v>
      </c>
      <c r="CR322" s="3">
        <f>SUM(CR314,CR315,CR316,CR317,CR318,CR319,CR320,CR321)</f>
        <v>0</v>
      </c>
      <c r="CS322" s="3">
        <f>SUM(CS314,CS315,CS316,CS317,CS318,CS319,CS320,CS321)</f>
        <v>0</v>
      </c>
      <c r="CT322" s="3">
        <f>SUM(CT314,CT315,CT316,CT317,CT318,CT319,CT320,CT321)</f>
        <v>0</v>
      </c>
      <c r="CU322" s="3">
        <f>SUM(CU314,CU315,CU316,CU317,CU318,CU319,CU320,CU321)</f>
        <v>0</v>
      </c>
      <c r="CV322" s="3">
        <f>SUM(CV314,CV315,CV316,CV317,CV318,CV319,CV320,CV321)</f>
        <v>0</v>
      </c>
      <c r="CW322" s="3">
        <f>SUM(CW314,CW315,CW316,CW317,CW318,CW319,CW320,CW321)</f>
        <v>0</v>
      </c>
      <c r="CX322" s="3">
        <f>SUM(CX314,CX315,CX316,CX317,CX318,CX319,CX320,CX321)</f>
        <v>0</v>
      </c>
      <c r="CY322" s="3">
        <f>SUM(CY314,CY315,CY316,CY317,CY318,CY319,CY320,CY321)</f>
        <v>0</v>
      </c>
    </row>
    <row r="323">
      <c r="C323" s="26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  <c r="AY323" s="3" t="n"/>
      <c r="AZ323" s="3" t="n"/>
      <c r="BA323" s="3" t="n"/>
      <c r="BB323" s="3" t="n"/>
      <c r="BC323" s="3" t="n"/>
      <c r="BD323" s="3" t="n"/>
      <c r="BE323" s="3" t="n"/>
      <c r="BF323" s="3" t="n"/>
      <c r="BG323" s="3" t="n"/>
      <c r="BH323" s="3" t="n"/>
      <c r="BI323" s="3" t="n"/>
      <c r="BJ323" s="3" t="n"/>
      <c r="BK323" s="3" t="n"/>
      <c r="BL323" s="3" t="n"/>
      <c r="BM323" s="3" t="n"/>
      <c r="BN323" s="3" t="n"/>
      <c r="BO323" s="3" t="n"/>
      <c r="BP323" s="3" t="n"/>
      <c r="BQ323" s="3" t="n"/>
      <c r="BR323" s="3" t="n"/>
      <c r="BS323" s="3" t="n"/>
      <c r="BT323" s="3" t="n"/>
      <c r="BU323" s="3" t="n"/>
      <c r="BV323" s="3" t="n"/>
      <c r="BW323" s="3" t="n"/>
      <c r="BX323" s="3" t="n"/>
      <c r="BY323" s="3" t="n"/>
      <c r="BZ323" s="3" t="n"/>
      <c r="CA323" s="3" t="n"/>
      <c r="CB323" s="3" t="n"/>
      <c r="CC323" s="3" t="n"/>
      <c r="CD323" s="3" t="n"/>
      <c r="CE323" s="3" t="n"/>
      <c r="CF323" s="3" t="n"/>
      <c r="CG323" s="3" t="n"/>
      <c r="CH323" s="3" t="n"/>
      <c r="CI323" s="3" t="n"/>
      <c r="CJ323" s="3" t="n"/>
      <c r="CK323" s="3" t="n"/>
      <c r="CL323" s="3" t="n"/>
      <c r="CM323" s="3" t="n"/>
      <c r="CN323" s="3" t="n"/>
      <c r="CO323" s="3" t="n"/>
      <c r="CP323" s="3" t="n"/>
      <c r="CQ323" s="3" t="n"/>
      <c r="CR323" s="3" t="n"/>
      <c r="CS323" s="3" t="n"/>
      <c r="CT323" s="3" t="n"/>
      <c r="CU323" s="3" t="n"/>
      <c r="CV323" s="3" t="n"/>
      <c r="CW323" s="3" t="n"/>
      <c r="CX323" s="3" t="n"/>
      <c r="CY323" s="3" t="n"/>
    </row>
    <row r="324">
      <c r="C324" s="26" t="inlineStr">
        <is>
          <t>Others</t>
        </is>
      </c>
      <c r="D324" s="3" t="n"/>
      <c r="E324" s="3" t="n"/>
      <c r="F324" s="3" t="n"/>
      <c r="G324" s="3" t="n"/>
      <c r="H324" s="3">
        <f>SUM(D324:G324)</f>
        <v>0</v>
      </c>
      <c r="I324" s="3" t="n"/>
      <c r="J324" s="3" t="n"/>
      <c r="K324" s="3" t="n"/>
      <c r="L324" s="3" t="n"/>
      <c r="M324" s="3">
        <f>SUM(I324:L324)</f>
        <v>0</v>
      </c>
      <c r="N324" s="3" t="n"/>
      <c r="O324" s="3" t="n"/>
      <c r="P324" s="3" t="n"/>
      <c r="Q324" s="3" t="n"/>
      <c r="R324" s="3">
        <f>SUM(N324:Q324)</f>
        <v>0</v>
      </c>
      <c r="S324" s="3" t="n"/>
      <c r="T324" s="3" t="n"/>
      <c r="U324" s="3" t="n"/>
      <c r="V324" s="3" t="n"/>
      <c r="W324" s="3">
        <f>SUM(S324:V324)</f>
        <v>0</v>
      </c>
      <c r="X324" s="3" t="n"/>
      <c r="Y324" s="3" t="n"/>
      <c r="Z324" s="3" t="n"/>
      <c r="AA324" s="3" t="n"/>
      <c r="AB324" s="3">
        <f>SUM(X324:AA324)</f>
        <v>0</v>
      </c>
      <c r="AC324" s="3" t="n"/>
      <c r="AD324" s="3" t="n"/>
      <c r="AE324" s="3" t="n"/>
      <c r="AF324" s="3" t="n"/>
      <c r="AG324" s="3">
        <f>SUM(AC324:AF324)</f>
        <v>0</v>
      </c>
      <c r="AH324" s="3" t="n"/>
      <c r="AI324" s="3" t="n"/>
      <c r="AJ324" s="3" t="n"/>
      <c r="AK324" s="3" t="n"/>
      <c r="AL324" s="3">
        <f>SUM(AH324:AK324)</f>
        <v>0</v>
      </c>
      <c r="AM324" s="3" t="n"/>
      <c r="AN324" s="3" t="n"/>
      <c r="AO324" s="3" t="n"/>
      <c r="AP324" s="3" t="n"/>
      <c r="AQ324" s="3">
        <f>SUM(AM324:AP324)</f>
        <v>0</v>
      </c>
      <c r="AR324" s="3" t="n"/>
      <c r="AS324" s="3" t="n"/>
      <c r="AT324" s="3" t="n"/>
      <c r="AU324" s="3" t="n"/>
      <c r="AV324" s="3">
        <f>SUM(AR324:AU324)</f>
        <v>0</v>
      </c>
      <c r="AW324" s="3" t="n"/>
      <c r="AX324" s="3" t="n"/>
      <c r="AY324" s="3" t="n"/>
      <c r="AZ324" s="3" t="n"/>
      <c r="BA324" s="3">
        <f>SUM(AW324:AZ324)</f>
        <v>0</v>
      </c>
      <c r="BB324" s="3" t="n"/>
      <c r="BC324" s="3" t="n"/>
      <c r="BD324" s="3" t="n"/>
      <c r="BE324" s="3" t="n"/>
      <c r="BF324" s="3">
        <f>SUM(BB324:BE324)</f>
        <v>0</v>
      </c>
      <c r="BG324" s="3" t="n"/>
      <c r="BH324" s="3" t="n"/>
      <c r="BI324" s="3" t="n"/>
      <c r="BJ324" s="3" t="n"/>
      <c r="BK324" s="3">
        <f>SUM(BG324:BJ324)</f>
        <v>0</v>
      </c>
      <c r="BL324" s="3" t="n"/>
      <c r="BM324" s="3" t="n"/>
      <c r="BN324" s="3" t="n"/>
      <c r="BO324" s="3" t="n"/>
      <c r="BP324" s="3">
        <f>SUM(BL324:BO324)</f>
        <v>0</v>
      </c>
      <c r="BQ324" s="3" t="n"/>
      <c r="BR324" s="3" t="n"/>
      <c r="BS324" s="3" t="n"/>
      <c r="BT324" s="3" t="n"/>
      <c r="BU324" s="3">
        <f>SUM(BQ324:BT324)</f>
        <v>0</v>
      </c>
      <c r="BV324" s="3" t="n"/>
      <c r="BW324" s="3" t="n"/>
      <c r="BX324" s="3" t="n"/>
      <c r="BY324" s="3" t="n"/>
      <c r="BZ324" s="3">
        <f>SUM(BV324:BY324)</f>
        <v>0</v>
      </c>
      <c r="CA324" s="3" t="n"/>
      <c r="CB324" s="3" t="n"/>
      <c r="CC324" s="3" t="n"/>
      <c r="CD324" s="3" t="n"/>
      <c r="CE324" s="3">
        <f>SUM(CA324:CD324)</f>
        <v>0</v>
      </c>
      <c r="CF324" s="3" t="n"/>
      <c r="CG324" s="3" t="n"/>
      <c r="CH324" s="3" t="n"/>
      <c r="CI324" s="3" t="n"/>
      <c r="CJ324" s="3">
        <f>SUM(CF324:CI324)</f>
        <v>0</v>
      </c>
      <c r="CK324" s="3" t="n"/>
      <c r="CL324" s="3" t="n"/>
      <c r="CM324" s="3" t="n"/>
      <c r="CN324" s="3" t="n"/>
      <c r="CO324" s="3">
        <f>SUM(CK324:CN324)</f>
        <v>0</v>
      </c>
      <c r="CP324" s="3" t="n"/>
      <c r="CQ324" s="3" t="n"/>
      <c r="CR324" s="3" t="n"/>
      <c r="CS324" s="3" t="n"/>
      <c r="CT324" s="3">
        <f>SUM(CP324:CS324)</f>
        <v>0</v>
      </c>
      <c r="CU324" s="3" t="n"/>
      <c r="CV324" s="3" t="n"/>
      <c r="CW324" s="3" t="n"/>
      <c r="CX324" s="3" t="n"/>
      <c r="CY324" s="3">
        <f>SUM(CU324:CX324)</f>
        <v>0</v>
      </c>
    </row>
    <row r="325">
      <c r="C325" s="26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n"/>
      <c r="BE325" s="3" t="n"/>
      <c r="BF325" s="3" t="n"/>
      <c r="BG325" s="3" t="n"/>
      <c r="BH325" s="3" t="n"/>
      <c r="BI325" s="3" t="n"/>
      <c r="BJ325" s="3" t="n"/>
      <c r="BK325" s="3" t="n"/>
      <c r="BL325" s="3" t="n"/>
      <c r="BM325" s="3" t="n"/>
      <c r="BN325" s="3" t="n"/>
      <c r="BO325" s="3" t="n"/>
      <c r="BP325" s="3" t="n"/>
      <c r="BQ325" s="3" t="n"/>
      <c r="BR325" s="3" t="n"/>
      <c r="BS325" s="3" t="n"/>
      <c r="BT325" s="3" t="n"/>
      <c r="BU325" s="3" t="n"/>
      <c r="BV325" s="3" t="n"/>
      <c r="BW325" s="3" t="n"/>
      <c r="BX325" s="3" t="n"/>
      <c r="BY325" s="3" t="n"/>
      <c r="BZ325" s="3" t="n"/>
      <c r="CA325" s="3" t="n"/>
      <c r="CB325" s="3" t="n"/>
      <c r="CC325" s="3" t="n"/>
      <c r="CD325" s="3" t="n"/>
      <c r="CE325" s="3" t="n"/>
      <c r="CF325" s="3" t="n"/>
      <c r="CG325" s="3" t="n"/>
      <c r="CH325" s="3" t="n"/>
      <c r="CI325" s="3" t="n"/>
      <c r="CJ325" s="3" t="n"/>
      <c r="CK325" s="3" t="n"/>
      <c r="CL325" s="3" t="n"/>
      <c r="CM325" s="3" t="n"/>
      <c r="CN325" s="3" t="n"/>
      <c r="CO325" s="3" t="n"/>
      <c r="CP325" s="3" t="n"/>
      <c r="CQ325" s="3" t="n"/>
      <c r="CR325" s="3" t="n"/>
      <c r="CS325" s="3" t="n"/>
      <c r="CT325" s="3" t="n"/>
      <c r="CU325" s="3" t="n"/>
      <c r="CV325" s="3" t="n"/>
      <c r="CW325" s="3" t="n"/>
      <c r="CX325" s="3" t="n"/>
      <c r="CY325" s="3" t="n"/>
    </row>
    <row r="326">
      <c r="C326" s="26" t="inlineStr">
        <is>
          <t>Total increase/decrease of cash</t>
        </is>
      </c>
      <c r="D326" s="3" t="n"/>
      <c r="E326" s="3">
        <f>SUM(E305,E312,E322,E324)</f>
        <v>691.128</v>
      </c>
      <c r="F326" s="3">
        <f>SUM(F305,F312,F322,F324)</f>
        <v>-75.4909999999999</v>
      </c>
      <c r="G326" s="3">
        <f>SUM(G305,G312,G322,G324)</f>
        <v>67.7600000000004</v>
      </c>
      <c r="H326" s="3">
        <f>SUM(D326:G326)</f>
        <v>683.397</v>
      </c>
      <c r="I326" s="3">
        <f>SUM(I305,I312,I322,I324)</f>
        <v>3778.998</v>
      </c>
      <c r="J326" s="3">
        <f>SUM(J305,J312,J322,J324)</f>
        <v>44.8749999999994</v>
      </c>
      <c r="K326" s="3">
        <f>SUM(K305,K312,K322,K324)</f>
        <v>2717.558</v>
      </c>
      <c r="L326" s="3">
        <f>SUM(L305,L312,L322,L324)</f>
        <v>-487.860000000003</v>
      </c>
      <c r="M326" s="3">
        <f>SUM(I326:L326)</f>
        <v>6053.571</v>
      </c>
      <c r="N326" s="3">
        <f>SUM(N305,N312,N322,N324)</f>
        <v>-2135.869</v>
      </c>
      <c r="O326" s="3">
        <f>SUM(O305,O312,O322,O324)</f>
        <v>72.1129999999995</v>
      </c>
      <c r="P326" s="3">
        <f>SUM(P305,P312,P322,P324)</f>
        <v>2072.759</v>
      </c>
      <c r="Q326" s="3">
        <f>SUM(Q305,Q312,Q322,Q324)</f>
        <v>-967.923999999998</v>
      </c>
      <c r="R326" s="3">
        <f>SUM(N326:Q326)</f>
        <v>-958.920999999998</v>
      </c>
      <c r="S326" s="3">
        <f>SUM(S305,S312,S322,S324)</f>
        <v>-2904.433</v>
      </c>
      <c r="T326" s="3">
        <f>SUM(T305,T312,T322,T324)</f>
        <v>-1345.233</v>
      </c>
      <c r="U326" s="3">
        <f>SUM(U305,U312,U322,U324)</f>
        <v>-566.741999999996</v>
      </c>
      <c r="V326" s="3">
        <f>SUM(V305,V312,V322,V324)</f>
        <v>987.625</v>
      </c>
      <c r="W326" s="3">
        <f>SUM(S326:V326)</f>
        <v>-3828.783</v>
      </c>
      <c r="X326" s="3">
        <f>SUM(X305,X312,X322,X324)</f>
        <v>212.537000000001</v>
      </c>
      <c r="Y326" s="3">
        <f>SUM(Y305,Y312,Y322,Y324)</f>
        <v>473.716999999997</v>
      </c>
      <c r="Z326" s="3">
        <f>SUM(Z305,Z312,Z322,Z324)</f>
        <v>290.716000000002</v>
      </c>
      <c r="AA326" s="3">
        <f>SUM(AA305,AA312,AA322,AA324)</f>
        <v>315.639999999998</v>
      </c>
      <c r="AB326" s="3">
        <f>SUM(X326:AA326)</f>
        <v>1292.61</v>
      </c>
      <c r="AC326" s="3">
        <f>SUM(AC305,AC312,AC322,AC324)</f>
        <v>-1254.164</v>
      </c>
      <c r="AD326" s="3">
        <f>SUM(AD305,AD312,AD322,AD324)</f>
        <v>404.445</v>
      </c>
      <c r="AE326" s="3">
        <f>SUM(AE305,AE312,AE322,AE324)</f>
        <v>-122.151</v>
      </c>
      <c r="AF326" s="3">
        <f>SUM(AF305,AF312,AF322,AF324)</f>
        <v>3555.90699999999</v>
      </c>
      <c r="AG326" s="3">
        <f>SUM(AC326:AF326)</f>
        <v>2584.037</v>
      </c>
      <c r="AH326" s="3">
        <f>SUM(AH305,AH312,AH322,AH324)</f>
        <v>1217.79200000001</v>
      </c>
      <c r="AI326" s="3">
        <f>SUM(AI305,AI312,AI322,AI324)</f>
        <v>-613.891</v>
      </c>
      <c r="AJ326" s="3">
        <f>SUM(AJ305,AJ312,AJ322,AJ324)</f>
        <v>-2820.4185924</v>
      </c>
      <c r="AK326" s="3">
        <f>SUM(AK305,AK312,AK322,AK324)</f>
        <v>155.1356947</v>
      </c>
      <c r="AL326" s="3">
        <f>SUM(AH326:AK326)</f>
        <v>-2061.38189769999</v>
      </c>
      <c r="AM326" s="3" t="e">
        <f>SUM(AM305,AM312,AM322,AM324)</f>
        <v>#DIV/0!</v>
      </c>
      <c r="AN326" s="3" t="e">
        <f>SUM(AN305,AN312,AN322,AN324)</f>
        <v>#DIV/0!</v>
      </c>
      <c r="AO326" s="3" t="e">
        <f>SUM(AO305,AO312,AO322,AO324)</f>
        <v>#DIV/0!</v>
      </c>
      <c r="AP326" s="3" t="e">
        <f>SUM(AP305,AP312,AP322,AP324)</f>
        <v>#DIV/0!</v>
      </c>
      <c r="AQ326" s="3" t="e">
        <f>SUM(AM326:AP326)</f>
        <v>#DIV/0!</v>
      </c>
      <c r="AR326" s="3" t="e">
        <f>SUM(AR305,AR312,AR322,AR324)</f>
        <v>#DIV/0!</v>
      </c>
      <c r="AS326" s="3" t="e">
        <f>SUM(AS305,AS312,AS322,AS324)</f>
        <v>#DIV/0!</v>
      </c>
      <c r="AT326" s="3" t="e">
        <f>SUM(AT305,AT312,AT322,AT324)</f>
        <v>#DIV/0!</v>
      </c>
      <c r="AU326" s="3" t="e">
        <f>SUM(AU305,AU312,AU322,AU324)</f>
        <v>#DIV/0!</v>
      </c>
      <c r="AV326" s="3" t="e">
        <f>SUM(AR326:AU326)</f>
        <v>#DIV/0!</v>
      </c>
      <c r="AW326" s="3" t="e">
        <f>SUM(AW305,AW312,AW322,AW324)</f>
        <v>#DIV/0!</v>
      </c>
      <c r="AX326" s="3" t="e">
        <f>SUM(AX305,AX312,AX322,AX324)</f>
        <v>#DIV/0!</v>
      </c>
      <c r="AY326" s="3" t="e">
        <f>SUM(AY305,AY312,AY322,AY324)</f>
        <v>#DIV/0!</v>
      </c>
      <c r="AZ326" s="3" t="e">
        <f>SUM(AZ305,AZ312,AZ322,AZ324)</f>
        <v>#DIV/0!</v>
      </c>
      <c r="BA326" s="3" t="e">
        <f>SUM(AW326:AZ326)</f>
        <v>#DIV/0!</v>
      </c>
      <c r="BB326" s="3" t="e">
        <f>SUM(BB305,BB312,BB322,BB324)</f>
        <v>#DIV/0!</v>
      </c>
      <c r="BC326" s="3" t="e">
        <f>SUM(BC305,BC312,BC322,BC324)</f>
        <v>#DIV/0!</v>
      </c>
      <c r="BD326" s="3" t="e">
        <f>SUM(BD305,BD312,BD322,BD324)</f>
        <v>#DIV/0!</v>
      </c>
      <c r="BE326" s="3" t="e">
        <f>SUM(BE305,BE312,BE322,BE324)</f>
        <v>#DIV/0!</v>
      </c>
      <c r="BF326" s="3" t="e">
        <f>SUM(BB326:BE326)</f>
        <v>#DIV/0!</v>
      </c>
      <c r="BG326" s="3" t="e">
        <f>SUM(BG305,BG312,BG322,BG324)</f>
        <v>#DIV/0!</v>
      </c>
      <c r="BH326" s="3" t="e">
        <f>SUM(BH305,BH312,BH322,BH324)</f>
        <v>#DIV/0!</v>
      </c>
      <c r="BI326" s="3" t="e">
        <f>SUM(BI305,BI312,BI322,BI324)</f>
        <v>#DIV/0!</v>
      </c>
      <c r="BJ326" s="3" t="e">
        <f>SUM(BJ305,BJ312,BJ322,BJ324)</f>
        <v>#DIV/0!</v>
      </c>
      <c r="BK326" s="3" t="e">
        <f>SUM(BG326:BJ326)</f>
        <v>#DIV/0!</v>
      </c>
      <c r="BL326" s="3" t="e">
        <f>SUM(BL305,BL312,BL322,BL324)</f>
        <v>#DIV/0!</v>
      </c>
      <c r="BM326" s="3" t="e">
        <f>SUM(BM305,BM312,BM322,BM324)</f>
        <v>#DIV/0!</v>
      </c>
      <c r="BN326" s="3" t="e">
        <f>SUM(BN305,BN312,BN322,BN324)</f>
        <v>#DIV/0!</v>
      </c>
      <c r="BO326" s="3" t="e">
        <f>SUM(BO305,BO312,BO322,BO324)</f>
        <v>#DIV/0!</v>
      </c>
      <c r="BP326" s="3" t="e">
        <f>SUM(BL326:BO326)</f>
        <v>#DIV/0!</v>
      </c>
      <c r="BQ326" s="3" t="e">
        <f>SUM(BQ305,BQ312,BQ322,BQ324)</f>
        <v>#DIV/0!</v>
      </c>
      <c r="BR326" s="3" t="e">
        <f>SUM(BR305,BR312,BR322,BR324)</f>
        <v>#DIV/0!</v>
      </c>
      <c r="BS326" s="3" t="e">
        <f>SUM(BS305,BS312,BS322,BS324)</f>
        <v>#DIV/0!</v>
      </c>
      <c r="BT326" s="3" t="e">
        <f>SUM(BT305,BT312,BT322,BT324)</f>
        <v>#DIV/0!</v>
      </c>
      <c r="BU326" s="3" t="e">
        <f>SUM(BQ326:BT326)</f>
        <v>#DIV/0!</v>
      </c>
      <c r="BV326" s="3" t="e">
        <f>SUM(BV305,BV312,BV322,BV324)</f>
        <v>#DIV/0!</v>
      </c>
      <c r="BW326" s="3" t="e">
        <f>SUM(BW305,BW312,BW322,BW324)</f>
        <v>#DIV/0!</v>
      </c>
      <c r="BX326" s="3" t="e">
        <f>SUM(BX305,BX312,BX322,BX324)</f>
        <v>#DIV/0!</v>
      </c>
      <c r="BY326" s="3" t="e">
        <f>SUM(BY305,BY312,BY322,BY324)</f>
        <v>#DIV/0!</v>
      </c>
      <c r="BZ326" s="3" t="e">
        <f>SUM(BV326:BY326)</f>
        <v>#DIV/0!</v>
      </c>
      <c r="CA326" s="3" t="e">
        <f>SUM(CA305,CA312,CA322,CA324)</f>
        <v>#DIV/0!</v>
      </c>
      <c r="CB326" s="3" t="e">
        <f>SUM(CB305,CB312,CB322,CB324)</f>
        <v>#DIV/0!</v>
      </c>
      <c r="CC326" s="3" t="e">
        <f>SUM(CC305,CC312,CC322,CC324)</f>
        <v>#DIV/0!</v>
      </c>
      <c r="CD326" s="3" t="e">
        <f>SUM(CD305,CD312,CD322,CD324)</f>
        <v>#DIV/0!</v>
      </c>
      <c r="CE326" s="3" t="e">
        <f>SUM(CA326:CD326)</f>
        <v>#DIV/0!</v>
      </c>
      <c r="CF326" s="3" t="e">
        <f>SUM(CF305,CF312,CF322,CF324)</f>
        <v>#DIV/0!</v>
      </c>
      <c r="CG326" s="3" t="e">
        <f>SUM(CG305,CG312,CG322,CG324)</f>
        <v>#DIV/0!</v>
      </c>
      <c r="CH326" s="3" t="e">
        <f>SUM(CH305,CH312,CH322,CH324)</f>
        <v>#DIV/0!</v>
      </c>
      <c r="CI326" s="3" t="e">
        <f>SUM(CI305,CI312,CI322,CI324)</f>
        <v>#DIV/0!</v>
      </c>
      <c r="CJ326" s="3" t="e">
        <f>SUM(CF326:CI326)</f>
        <v>#DIV/0!</v>
      </c>
      <c r="CK326" s="3" t="e">
        <f>SUM(CK305,CK312,CK322,CK324)</f>
        <v>#DIV/0!</v>
      </c>
      <c r="CL326" s="3" t="e">
        <f>SUM(CL305,CL312,CL322,CL324)</f>
        <v>#DIV/0!</v>
      </c>
      <c r="CM326" s="3" t="e">
        <f>SUM(CM305,CM312,CM322,CM324)</f>
        <v>#DIV/0!</v>
      </c>
      <c r="CN326" s="3" t="e">
        <f>SUM(CN305,CN312,CN322,CN324)</f>
        <v>#DIV/0!</v>
      </c>
      <c r="CO326" s="3" t="e">
        <f>SUM(CK326:CN326)</f>
        <v>#DIV/0!</v>
      </c>
      <c r="CP326" s="3" t="e">
        <f>SUM(CP305,CP312,CP322,CP324)</f>
        <v>#DIV/0!</v>
      </c>
      <c r="CQ326" s="3" t="e">
        <f>SUM(CQ305,CQ312,CQ322,CQ324)</f>
        <v>#DIV/0!</v>
      </c>
      <c r="CR326" s="3" t="e">
        <f>SUM(CR305,CR312,CR322,CR324)</f>
        <v>#DIV/0!</v>
      </c>
      <c r="CS326" s="3" t="e">
        <f>SUM(CS305,CS312,CS322,CS324)</f>
        <v>#DIV/0!</v>
      </c>
      <c r="CT326" s="3" t="e">
        <f>SUM(CP326:CS326)</f>
        <v>#DIV/0!</v>
      </c>
      <c r="CU326" s="3" t="e">
        <f>SUM(CU305,CU312,CU322,CU324)</f>
        <v>#DIV/0!</v>
      </c>
      <c r="CV326" s="3" t="e">
        <f>SUM(CV305,CV312,CV322,CV324)</f>
        <v>#DIV/0!</v>
      </c>
      <c r="CW326" s="3" t="e">
        <f>SUM(CW305,CW312,CW322,CW324)</f>
        <v>#DIV/0!</v>
      </c>
      <c r="CX326" s="3" t="e">
        <f>SUM(CX305,CX312,CX322,CX324)</f>
        <v>#DIV/0!</v>
      </c>
      <c r="CY326" s="3" t="e">
        <f>SUM(CU326:CX326)</f>
        <v>#DIV/0!</v>
      </c>
    </row>
    <row r="327">
      <c r="C327" s="4" t="inlineStr">
        <is>
          <t>Check</t>
        </is>
      </c>
      <c r="E327" s="51">
        <f>(E326)-(E156-D156)</f>
        <v>0</v>
      </c>
      <c r="F327" s="51">
        <f>(F326)-(F156-E156)</f>
        <v>2.8421709430404e-13</v>
      </c>
      <c r="G327" s="51">
        <f>(G326)-(G156-F156)</f>
        <v>3.97903932025656e-13</v>
      </c>
      <c r="I327" s="51">
        <f>(I326)-(I156-H156)</f>
        <v>0</v>
      </c>
      <c r="J327" s="51">
        <f>(J326)-(J156-I156)</f>
        <v>3.41060513164848e-13</v>
      </c>
      <c r="K327" s="51">
        <f>(K326)-(K156-J156)</f>
        <v>0</v>
      </c>
      <c r="L327" s="51">
        <f>(L326)-(L156-K156)</f>
        <v>-2.1600499167107e-12</v>
      </c>
      <c r="N327" s="51">
        <f>(N326)-(N156-M156)</f>
        <v>0</v>
      </c>
      <c r="O327" s="51">
        <f>(O326)-(O156-N156)</f>
        <v>0</v>
      </c>
      <c r="P327" s="51">
        <f>(P326)-(P156-O156)</f>
        <v>-0.00100000000065847</v>
      </c>
      <c r="Q327" s="51">
        <f>(Q326)-(Q156-P156)</f>
        <v>-0.00199999999779266</v>
      </c>
      <c r="S327" s="51">
        <f>(S326)-(S156-R156)</f>
        <v>0.00299999999970169</v>
      </c>
      <c r="T327" s="51">
        <f>(T326)-(T156-S156)</f>
        <v>0</v>
      </c>
      <c r="U327" s="51">
        <f>(U326)-(U156-T156)</f>
        <v>-0.00299999999629108</v>
      </c>
      <c r="V327" s="51">
        <f>(V326)-(V156-U156)</f>
        <v>0</v>
      </c>
      <c r="X327" s="51">
        <f>(X326)-(X156-W156)</f>
        <v>0.00300000000112277</v>
      </c>
      <c r="Y327" s="51">
        <f>(Y326)-(Y156-X156)</f>
        <v>-2.95585778076202e-12</v>
      </c>
      <c r="Z327" s="51">
        <f>(Z326)-(Z156-Y156)</f>
        <v>1.19371179607697e-12</v>
      </c>
      <c r="AA327" s="51">
        <f>(AA326)-(AA156-Z156)</f>
        <v>-0.00400000000126966</v>
      </c>
      <c r="AC327" s="51">
        <f>(AC326)-(AC156-AB156)</f>
        <v>0.00400000000149703</v>
      </c>
      <c r="AD327" s="51">
        <f>(AD326)-(AD156-AC156)</f>
        <v>0</v>
      </c>
      <c r="AE327" s="51">
        <f>(AE326)-(AE156-AD156)</f>
        <v>0</v>
      </c>
      <c r="AF327" s="51">
        <f>(AF326)-(AF156-AE156)</f>
        <v>0.000999999993382517</v>
      </c>
      <c r="AH327" s="51">
        <f>(AH326)-(AH156-AG156)</f>
        <v>-0.000999999994519385</v>
      </c>
      <c r="AI327" s="51">
        <f>(AI326)-(AI156-AH156)</f>
        <v>0</v>
      </c>
      <c r="AJ327" s="51">
        <f>(AJ326)-(AJ156-AI156)</f>
        <v>0</v>
      </c>
      <c r="AK327" s="51">
        <f>(AK326)-(AK156-AJ156)</f>
        <v>0</v>
      </c>
      <c r="AM327" s="51" t="e">
        <f>(AM326)-(AM156-AL156)</f>
        <v>#DIV/0!</v>
      </c>
      <c r="AN327" s="51" t="e">
        <f>(AN326)-(AN156-AM156)</f>
        <v>#DIV/0!</v>
      </c>
      <c r="AO327" s="51" t="e">
        <f>(AO326)-(AO156-AN156)</f>
        <v>#DIV/0!</v>
      </c>
      <c r="AP327" s="51" t="e">
        <f>(AP326)-(AP156-AO156)</f>
        <v>#DIV/0!</v>
      </c>
      <c r="AR327" s="51" t="e">
        <f>(AR326)-(AR156-AQ156)</f>
        <v>#DIV/0!</v>
      </c>
      <c r="AS327" s="51" t="e">
        <f>(AS326)-(AS156-AR156)</f>
        <v>#DIV/0!</v>
      </c>
      <c r="AT327" s="51" t="e">
        <f>(AT326)-(AT156-AS156)</f>
        <v>#DIV/0!</v>
      </c>
      <c r="AU327" s="51" t="e">
        <f>(AU326)-(AU156-AT156)</f>
        <v>#DIV/0!</v>
      </c>
      <c r="AW327" s="51" t="e">
        <f>(AW326)-(AW156-AV156)</f>
        <v>#DIV/0!</v>
      </c>
      <c r="AX327" s="51" t="e">
        <f>(AX326)-(AX156-AW156)</f>
        <v>#DIV/0!</v>
      </c>
      <c r="AY327" s="51" t="e">
        <f>(AY326)-(AY156-AX156)</f>
        <v>#DIV/0!</v>
      </c>
      <c r="AZ327" s="51" t="e">
        <f>(AZ326)-(AZ156-AY156)</f>
        <v>#DIV/0!</v>
      </c>
      <c r="BB327" s="51" t="e">
        <f>(BB326)-(BB156-BA156)</f>
        <v>#DIV/0!</v>
      </c>
      <c r="BC327" s="51" t="e">
        <f>(BC326)-(BC156-BB156)</f>
        <v>#DIV/0!</v>
      </c>
      <c r="BD327" s="51" t="e">
        <f>(BD326)-(BD156-BC156)</f>
        <v>#DIV/0!</v>
      </c>
      <c r="BE327" s="51" t="e">
        <f>(BE326)-(BE156-BD156)</f>
        <v>#DIV/0!</v>
      </c>
      <c r="BG327" s="51" t="e">
        <f>(BG326)-(BG156-BF156)</f>
        <v>#DIV/0!</v>
      </c>
      <c r="BH327" s="51" t="e">
        <f>(BH326)-(BH156-BG156)</f>
        <v>#DIV/0!</v>
      </c>
      <c r="BI327" s="51" t="e">
        <f>(BI326)-(BI156-BH156)</f>
        <v>#DIV/0!</v>
      </c>
      <c r="BJ327" s="51" t="e">
        <f>(BJ326)-(BJ156-BI156)</f>
        <v>#DIV/0!</v>
      </c>
      <c r="BL327" s="51" t="e">
        <f>(BL326)-(BL156-BK156)</f>
        <v>#DIV/0!</v>
      </c>
      <c r="BM327" s="51" t="e">
        <f>(BM326)-(BM156-BL156)</f>
        <v>#DIV/0!</v>
      </c>
      <c r="BN327" s="51" t="e">
        <f>(BN326)-(BN156-BM156)</f>
        <v>#DIV/0!</v>
      </c>
      <c r="BO327" s="51" t="e">
        <f>(BO326)-(BO156-BN156)</f>
        <v>#DIV/0!</v>
      </c>
      <c r="BQ327" s="51" t="e">
        <f>(BQ326)-(BQ156-BP156)</f>
        <v>#DIV/0!</v>
      </c>
      <c r="BR327" s="51" t="e">
        <f>(BR326)-(BR156-BQ156)</f>
        <v>#DIV/0!</v>
      </c>
      <c r="BS327" s="51" t="e">
        <f>(BS326)-(BS156-BR156)</f>
        <v>#DIV/0!</v>
      </c>
      <c r="BT327" s="51" t="e">
        <f>(BT326)-(BT156-BS156)</f>
        <v>#DIV/0!</v>
      </c>
      <c r="BV327" s="51" t="e">
        <f>(BV326)-(BV156-BU156)</f>
        <v>#DIV/0!</v>
      </c>
      <c r="BW327" s="51" t="e">
        <f>(BW326)-(BW156-BV156)</f>
        <v>#DIV/0!</v>
      </c>
      <c r="BX327" s="51" t="e">
        <f>(BX326)-(BX156-BW156)</f>
        <v>#DIV/0!</v>
      </c>
      <c r="BY327" s="51" t="e">
        <f>(BY326)-(BY156-BX156)</f>
        <v>#DIV/0!</v>
      </c>
      <c r="CA327" s="51" t="e">
        <f>(CA326)-(CA156-BZ156)</f>
        <v>#DIV/0!</v>
      </c>
      <c r="CB327" s="51" t="e">
        <f>(CB326)-(CB156-CA156)</f>
        <v>#DIV/0!</v>
      </c>
      <c r="CC327" s="51" t="e">
        <f>(CC326)-(CC156-CB156)</f>
        <v>#DIV/0!</v>
      </c>
      <c r="CD327" s="51" t="e">
        <f>(CD326)-(CD156-CC156)</f>
        <v>#DIV/0!</v>
      </c>
      <c r="CF327" s="51" t="e">
        <f>(CF326)-(CF156-CE156)</f>
        <v>#DIV/0!</v>
      </c>
      <c r="CG327" s="51" t="e">
        <f>(CG326)-(CG156-CF156)</f>
        <v>#DIV/0!</v>
      </c>
      <c r="CH327" s="51" t="e">
        <f>(CH326)-(CH156-CG156)</f>
        <v>#DIV/0!</v>
      </c>
      <c r="CI327" s="51" t="e">
        <f>(CI326)-(CI156-CH156)</f>
        <v>#DIV/0!</v>
      </c>
      <c r="CK327" s="51" t="e">
        <f>(CK326)-(CK156-CJ156)</f>
        <v>#DIV/0!</v>
      </c>
      <c r="CL327" s="51" t="e">
        <f>(CL326)-(CL156-CK156)</f>
        <v>#DIV/0!</v>
      </c>
      <c r="CM327" s="51" t="e">
        <f>(CM326)-(CM156-CL156)</f>
        <v>#DIV/0!</v>
      </c>
      <c r="CN327" s="51" t="e">
        <f>(CN326)-(CN156-CM156)</f>
        <v>#DIV/0!</v>
      </c>
      <c r="CP327" s="51" t="e">
        <f>(CP326)-(CP156-CO156)</f>
        <v>#DIV/0!</v>
      </c>
      <c r="CQ327" s="51" t="e">
        <f>(CQ326)-(CQ156-CP156)</f>
        <v>#DIV/0!</v>
      </c>
      <c r="CR327" s="51" t="e">
        <f>(CR326)-(CR156-CQ156)</f>
        <v>#DIV/0!</v>
      </c>
      <c r="CS327" s="51" t="e">
        <f>(CS326)-(CS156-CR156)</f>
        <v>#DIV/0!</v>
      </c>
      <c r="CU327" s="51" t="e">
        <f>(CU326)-(CU156-CT156)</f>
        <v>#DIV/0!</v>
      </c>
      <c r="CV327" s="51" t="e">
        <f>(CV326)-(CV156-CU156)</f>
        <v>#DIV/0!</v>
      </c>
      <c r="CW327" s="51" t="e">
        <f>(CW326)-(CW156-CV156)</f>
        <v>#DIV/0!</v>
      </c>
      <c r="CX327" s="51" t="e">
        <f>(CX326)-(CX156-CW156)</f>
        <v>#DIV/0!</v>
      </c>
    </row>
    <row r="329">
      <c r="C329" s="53" t="inlineStr">
        <is>
          <t>Ratio Analysis</t>
        </is>
      </c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  <c r="AJ329" s="53" t="n"/>
      <c r="AK329" s="53" t="n"/>
      <c r="AL329" s="53" t="n"/>
      <c r="AM329" s="53" t="n"/>
      <c r="AN329" s="53" t="n"/>
      <c r="AO329" s="53" t="n"/>
      <c r="AP329" s="53" t="n"/>
      <c r="AQ329" s="53" t="n"/>
      <c r="AR329" s="53" t="n"/>
      <c r="AS329" s="53" t="n"/>
      <c r="AT329" s="53" t="n"/>
      <c r="AU329" s="53" t="n"/>
      <c r="AV329" s="53" t="n"/>
      <c r="AW329" s="53" t="n"/>
      <c r="AX329" s="53" t="n"/>
      <c r="AY329" s="53" t="n"/>
      <c r="AZ329" s="53" t="n"/>
      <c r="BA329" s="53" t="n"/>
      <c r="BB329" s="53" t="n"/>
      <c r="BC329" s="53" t="n"/>
      <c r="BD329" s="53" t="n"/>
      <c r="BE329" s="53" t="n"/>
      <c r="BF329" s="53" t="n"/>
      <c r="BG329" s="53" t="n"/>
      <c r="BH329" s="53" t="n"/>
      <c r="BI329" s="53" t="n"/>
      <c r="BJ329" s="53" t="n"/>
      <c r="BK329" s="53" t="n"/>
      <c r="BL329" s="53" t="n"/>
      <c r="BM329" s="53" t="n"/>
      <c r="BN329" s="53" t="n"/>
      <c r="BO329" s="53" t="n"/>
      <c r="BP329" s="53" t="n"/>
      <c r="BQ329" s="53" t="n"/>
      <c r="BR329" s="53" t="n"/>
      <c r="BS329" s="53" t="n"/>
      <c r="BT329" s="53" t="n"/>
      <c r="BU329" s="53" t="n"/>
      <c r="BV329" s="53" t="n"/>
      <c r="BW329" s="53" t="n"/>
      <c r="BX329" s="53" t="n"/>
      <c r="BY329" s="53" t="n"/>
      <c r="BZ329" s="53" t="n"/>
      <c r="CA329" s="53" t="n"/>
      <c r="CB329" s="53" t="n"/>
      <c r="CC329" s="53" t="n"/>
      <c r="CD329" s="53" t="n"/>
      <c r="CE329" s="53" t="n"/>
      <c r="CF329" s="53" t="n"/>
      <c r="CG329" s="53" t="n"/>
      <c r="CH329" s="53" t="n"/>
      <c r="CI329" s="53" t="n"/>
      <c r="CJ329" s="53" t="n"/>
      <c r="CK329" s="53" t="n"/>
      <c r="CL329" s="53" t="n"/>
      <c r="CM329" s="53" t="n"/>
      <c r="CN329" s="53" t="n"/>
      <c r="CO329" s="53" t="n"/>
      <c r="CP329" s="53" t="n"/>
      <c r="CQ329" s="53" t="n"/>
      <c r="CR329" s="53" t="n"/>
      <c r="CS329" s="53" t="n"/>
      <c r="CT329" s="53" t="n"/>
      <c r="CU329" s="53" t="n"/>
      <c r="CV329" s="53" t="n"/>
      <c r="CW329" s="53" t="n"/>
      <c r="CX329" s="53" t="n"/>
      <c r="CY329" s="53" t="n"/>
    </row>
    <row r="331" customFormat="1" s="234">
      <c r="C331" s="234" t="inlineStr">
        <is>
          <t>YEAR</t>
        </is>
      </c>
      <c r="D331" s="234" t="str">
        <f>D287</f>
        <v>1Q20</v>
      </c>
      <c r="E331" s="235" t="str">
        <f>E287</f>
        <v>2Q20</v>
      </c>
      <c r="F331" s="235" t="str">
        <f>F287</f>
        <v>3Q20</v>
      </c>
      <c r="G331" s="235" t="str">
        <f>G287</f>
        <v>4Q20</v>
      </c>
      <c r="H331" s="235">
        <f>H287</f>
        <v>2020</v>
      </c>
      <c r="I331" s="235" t="str">
        <f>I287</f>
        <v>1Q21</v>
      </c>
      <c r="J331" s="235" t="str">
        <f>J287</f>
        <v>2Q21</v>
      </c>
      <c r="K331" s="235" t="str">
        <f>K287</f>
        <v>3Q21</v>
      </c>
      <c r="L331" s="235" t="str">
        <f>L287</f>
        <v>4Q21</v>
      </c>
      <c r="M331" s="235">
        <f>M287</f>
        <v>2021</v>
      </c>
      <c r="N331" s="235" t="str">
        <f>N287</f>
        <v>1Q22</v>
      </c>
      <c r="O331" s="235" t="str">
        <f>O287</f>
        <v>2Q22</v>
      </c>
      <c r="P331" s="235" t="str">
        <f>P287</f>
        <v>3Q22</v>
      </c>
      <c r="Q331" s="235" t="str">
        <f>Q287</f>
        <v>4Q22</v>
      </c>
      <c r="R331" s="235">
        <f>R287</f>
        <v>2022</v>
      </c>
      <c r="S331" s="235" t="str">
        <f>S287</f>
        <v>1Q23</v>
      </c>
      <c r="T331" s="235" t="str">
        <f>T287</f>
        <v>2Q23</v>
      </c>
      <c r="U331" s="235" t="str">
        <f>U287</f>
        <v>3Q23</v>
      </c>
      <c r="V331" s="235" t="str">
        <f>V287</f>
        <v>4Q23</v>
      </c>
      <c r="W331" s="235">
        <f>W287</f>
        <v>2023</v>
      </c>
      <c r="X331" s="235" t="str">
        <f>X287</f>
        <v>1Q24</v>
      </c>
      <c r="Y331" s="235" t="str">
        <f>Y287</f>
        <v>2Q24</v>
      </c>
      <c r="Z331" s="235" t="str">
        <f>Z287</f>
        <v>3Q24</v>
      </c>
      <c r="AA331" s="235" t="str">
        <f>AA287</f>
        <v>4Q24</v>
      </c>
      <c r="AB331" s="235">
        <f>AB287</f>
        <v>2024</v>
      </c>
      <c r="AC331" s="235" t="str">
        <f>AC287</f>
        <v>1Q25</v>
      </c>
      <c r="AD331" s="235" t="str">
        <f>AD287</f>
        <v>2Q25</v>
      </c>
      <c r="AE331" s="235" t="str">
        <f>AE287</f>
        <v>3Q25</v>
      </c>
      <c r="AF331" s="235" t="str">
        <f>AF287</f>
        <v>4Q25</v>
      </c>
      <c r="AG331" s="235">
        <f>AG287</f>
        <v>2025</v>
      </c>
      <c r="AH331" s="235" t="str">
        <f>AH287</f>
        <v>1Q26</v>
      </c>
      <c r="AI331" s="235" t="str">
        <f>AI287</f>
        <v>2Q26</v>
      </c>
      <c r="AJ331" s="235" t="str">
        <f>AJ287</f>
        <v>3Q26</v>
      </c>
      <c r="AK331" s="235" t="str">
        <f>AK287</f>
        <v>4Q26</v>
      </c>
      <c r="AL331" s="235">
        <f>AL287</f>
        <v>2026</v>
      </c>
      <c r="AM331" s="235" t="str">
        <f>AM287</f>
        <v>1Q27</v>
      </c>
      <c r="AN331" s="235" t="str">
        <f>AN287</f>
        <v>2Q27</v>
      </c>
      <c r="AO331" s="235" t="str">
        <f>AO287</f>
        <v>3Q27</v>
      </c>
      <c r="AP331" s="235" t="str">
        <f>AP287</f>
        <v>4Q27</v>
      </c>
      <c r="AQ331" s="235">
        <f>AQ287</f>
        <v>2027</v>
      </c>
      <c r="AR331" s="235" t="str">
        <f>AR287</f>
        <v>1Q28</v>
      </c>
      <c r="AS331" s="235" t="str">
        <f>AS287</f>
        <v>2Q28</v>
      </c>
      <c r="AT331" s="235" t="str">
        <f>AT287</f>
        <v>3Q28</v>
      </c>
      <c r="AU331" s="235" t="str">
        <f>AU287</f>
        <v>4Q28</v>
      </c>
      <c r="AV331" s="235">
        <f>AV287</f>
        <v>2028</v>
      </c>
      <c r="AW331" s="235" t="str">
        <f>AW287</f>
        <v>1Q29</v>
      </c>
      <c r="AX331" s="235" t="str">
        <f>AX287</f>
        <v>2Q29</v>
      </c>
      <c r="AY331" s="235" t="str">
        <f>AY287</f>
        <v>3Q29</v>
      </c>
      <c r="AZ331" s="235" t="str">
        <f>AZ287</f>
        <v>4Q29</v>
      </c>
      <c r="BA331" s="235">
        <f>BA287</f>
        <v>2029</v>
      </c>
      <c r="BB331" s="235" t="str">
        <f>BB287</f>
        <v>1Q30</v>
      </c>
      <c r="BC331" s="235" t="str">
        <f>BC287</f>
        <v>2Q30</v>
      </c>
      <c r="BD331" s="235" t="str">
        <f>BD287</f>
        <v>3Q30</v>
      </c>
      <c r="BE331" s="235" t="str">
        <f>BE287</f>
        <v>4Q30</v>
      </c>
      <c r="BF331" s="235">
        <f>BF287</f>
        <v>2030</v>
      </c>
      <c r="BG331" s="235" t="str">
        <f>BG287</f>
        <v>1Q31</v>
      </c>
      <c r="BH331" s="235" t="str">
        <f>BH287</f>
        <v>2Q31</v>
      </c>
      <c r="BI331" s="235" t="str">
        <f>BI287</f>
        <v>3Q31</v>
      </c>
      <c r="BJ331" s="235" t="str">
        <f>BJ287</f>
        <v>4Q31</v>
      </c>
      <c r="BK331" s="235">
        <f>BK287</f>
        <v>2031</v>
      </c>
      <c r="BL331" s="235" t="str">
        <f>BL287</f>
        <v>1Q32</v>
      </c>
      <c r="BM331" s="235" t="str">
        <f>BM287</f>
        <v>2Q32</v>
      </c>
      <c r="BN331" s="235" t="str">
        <f>BN287</f>
        <v>3Q32</v>
      </c>
      <c r="BO331" s="235" t="str">
        <f>BO287</f>
        <v>4Q32</v>
      </c>
      <c r="BP331" s="235">
        <f>BP287</f>
        <v>2032</v>
      </c>
      <c r="BQ331" s="235" t="str">
        <f>BQ287</f>
        <v>1Q33</v>
      </c>
      <c r="BR331" s="235" t="str">
        <f>BR287</f>
        <v>2Q33</v>
      </c>
      <c r="BS331" s="235" t="str">
        <f>BS287</f>
        <v>3Q33</v>
      </c>
      <c r="BT331" s="235" t="str">
        <f>BT287</f>
        <v>4Q33</v>
      </c>
      <c r="BU331" s="235">
        <f>BU287</f>
        <v>2033</v>
      </c>
      <c r="BV331" s="235" t="str">
        <f>BV287</f>
        <v>1Q34</v>
      </c>
      <c r="BW331" s="235" t="str">
        <f>BW287</f>
        <v>2Q34</v>
      </c>
      <c r="BX331" s="235" t="str">
        <f>BX287</f>
        <v>3Q34</v>
      </c>
      <c r="BY331" s="235" t="str">
        <f>BY287</f>
        <v>4Q34</v>
      </c>
      <c r="BZ331" s="235">
        <f>BZ287</f>
        <v>2034</v>
      </c>
      <c r="CA331" s="235" t="str">
        <f>CA287</f>
        <v>1Q35</v>
      </c>
      <c r="CB331" s="235" t="str">
        <f>CB287</f>
        <v>2Q35</v>
      </c>
      <c r="CC331" s="235" t="str">
        <f>CC287</f>
        <v>3Q35</v>
      </c>
      <c r="CD331" s="235" t="str">
        <f>CD287</f>
        <v>4Q35</v>
      </c>
      <c r="CE331" s="235">
        <f>CE287</f>
        <v>2035</v>
      </c>
      <c r="CF331" s="235" t="str">
        <f>CF287</f>
        <v>1Q36</v>
      </c>
      <c r="CG331" s="235" t="str">
        <f>CG287</f>
        <v>2Q36</v>
      </c>
      <c r="CH331" s="235" t="str">
        <f>CH287</f>
        <v>3Q36</v>
      </c>
      <c r="CI331" s="235" t="str">
        <f>CI287</f>
        <v>4Q36</v>
      </c>
      <c r="CJ331" s="235">
        <f>CJ287</f>
        <v>2036</v>
      </c>
      <c r="CK331" s="235" t="str">
        <f>CK287</f>
        <v>1Q37</v>
      </c>
      <c r="CL331" s="235" t="str">
        <f>CL287</f>
        <v>2Q37</v>
      </c>
      <c r="CM331" s="235" t="str">
        <f>CM287</f>
        <v>3Q37</v>
      </c>
      <c r="CN331" s="235" t="str">
        <f>CN287</f>
        <v>4Q37</v>
      </c>
      <c r="CO331" s="235">
        <f>CO287</f>
        <v>2037</v>
      </c>
      <c r="CP331" s="235" t="str">
        <f>CP287</f>
        <v>1Q38</v>
      </c>
      <c r="CQ331" s="235" t="str">
        <f>CQ287</f>
        <v>2Q38</v>
      </c>
      <c r="CR331" s="235" t="str">
        <f>CR287</f>
        <v>3Q38</v>
      </c>
      <c r="CS331" s="235" t="str">
        <f>CS287</f>
        <v>4Q38</v>
      </c>
      <c r="CT331" s="235">
        <f>CT287</f>
        <v>2038</v>
      </c>
      <c r="CU331" s="235" t="str">
        <f>CU287</f>
        <v>1Q39</v>
      </c>
      <c r="CV331" s="235" t="str">
        <f>CV287</f>
        <v>2Q39</v>
      </c>
      <c r="CW331" s="235" t="str">
        <f>CW287</f>
        <v>3Q39</v>
      </c>
      <c r="CX331" s="235" t="str">
        <f>CX287</f>
        <v>4Q39</v>
      </c>
      <c r="CY331" s="235">
        <f>CY287</f>
        <v>2039</v>
      </c>
    </row>
    <row r="332" customFormat="1" s="233">
      <c r="A332" s="224" t="n"/>
      <c r="B332" s="224" t="n"/>
      <c r="C332" s="234" t="inlineStr">
        <is>
          <t>GROWTH &amp; MARGINS</t>
        </is>
      </c>
    </row>
    <row r="333" customFormat="1" s="233">
      <c r="A333" s="224" t="n"/>
      <c r="B333" s="224" t="n"/>
      <c r="C333" s="233" t="inlineStr">
        <is>
          <t>NET REVENUE GROWTH</t>
        </is>
      </c>
      <c r="E333" s="236">
        <f>E15/D15-1</f>
        <v>0.051218947335917</v>
      </c>
      <c r="F333" s="236">
        <f>F15/E15-1</f>
        <v>-0.0165573937428523</v>
      </c>
      <c r="G333" s="236">
        <f>G15/F15-1</f>
        <v>-0.0461714918368038</v>
      </c>
      <c r="H333" s="236" t="n"/>
      <c r="I333" s="220">
        <f>I15/H15-1</f>
        <v>-0.808468232812816</v>
      </c>
      <c r="J333" s="220">
        <f>J15/I15-1</f>
        <v>0.538303641202188</v>
      </c>
      <c r="K333" s="220">
        <f>K15/J15-1</f>
        <v>0.305258099532756</v>
      </c>
      <c r="L333" s="220">
        <f>L15/K15-1</f>
        <v>0.110440898416647</v>
      </c>
      <c r="M333" s="236" t="n"/>
      <c r="N333" s="220">
        <f>N15/M15-1</f>
        <v>-0.628746757768012</v>
      </c>
      <c r="O333" s="220">
        <f>O15/N15-1</f>
        <v>0.170720649098972</v>
      </c>
      <c r="P333" s="220">
        <f>P15/O15-1</f>
        <v>0.137101343258963</v>
      </c>
      <c r="Q333" s="220">
        <f>Q15/P15-1</f>
        <v>0.0353858149274064</v>
      </c>
      <c r="R333" s="236" t="n"/>
      <c r="S333" s="220">
        <f>S15/R15-1</f>
        <v>-0.709337251264658</v>
      </c>
      <c r="T333" s="220">
        <f>T15/S15-1</f>
        <v>-0.082887504688877</v>
      </c>
      <c r="U333" s="220">
        <f>U15/T15-1</f>
        <v>0.0754599168099956</v>
      </c>
      <c r="V333" s="220">
        <f>V15/U15-1</f>
        <v>-0.0648018543105969</v>
      </c>
      <c r="W333" s="236" t="n"/>
      <c r="X333" s="220">
        <f>X15/W15-1</f>
        <v>-0.707828088416821</v>
      </c>
      <c r="Y333" s="220">
        <f>Y15/X15-1</f>
        <v>0.136997517247222</v>
      </c>
      <c r="Z333" s="220">
        <f>Z15/Y15-1</f>
        <v>0.0990393537788408</v>
      </c>
      <c r="AA333" s="220">
        <f>AA15/Z15-1</f>
        <v>-0.139757946790456</v>
      </c>
      <c r="AB333" s="236" t="n"/>
      <c r="AC333" s="220">
        <f>AC15/AB15-1</f>
        <v>-0.735319392362931</v>
      </c>
      <c r="AD333" s="220">
        <f>AD15/AC15-1</f>
        <v>0.0310447950258825</v>
      </c>
      <c r="AE333" s="220">
        <f>AE15/AD15-1</f>
        <v>0.0236033863494651</v>
      </c>
      <c r="AF333" s="220">
        <f>AF15/AE15-1</f>
        <v>-0.0283781997948108</v>
      </c>
      <c r="AG333" s="236" t="n"/>
      <c r="AH333" s="220">
        <f>AH15/AG15-1</f>
        <v>-0.74232342197226</v>
      </c>
      <c r="AI333" s="220">
        <f>AI15/AH15-1</f>
        <v>-0.00391857939872753</v>
      </c>
      <c r="AJ333" s="220">
        <f>AJ15/AI15-1</f>
        <v>3.39699643636671e-06</v>
      </c>
      <c r="AK333" s="220">
        <f>AK15/AJ15-1</f>
        <v>-0.0283781997948108</v>
      </c>
      <c r="AL333" s="236" t="n"/>
      <c r="AM333" s="220">
        <f>AM15/AL15-1</f>
        <v>-0.747473723058879</v>
      </c>
      <c r="AN333" s="220">
        <f>AN15/AM15-1</f>
        <v>-0.00391857939872753</v>
      </c>
      <c r="AO333" s="220">
        <f>AO15/AN15-1</f>
        <v>3.39699643636671e-06</v>
      </c>
      <c r="AP333" s="220">
        <f>AP15/AO15-1</f>
        <v>-0.0283781997948108</v>
      </c>
      <c r="AQ333" s="236" t="n"/>
      <c r="AR333" s="220">
        <f>AR15/AQ15-1</f>
        <v>-0.747473723058879</v>
      </c>
      <c r="AS333" s="220">
        <f>AS15/AR15-1</f>
        <v>-0.00391857939872753</v>
      </c>
      <c r="AT333" s="220">
        <f>AT15/AS15-1</f>
        <v>3.39699643636671e-06</v>
      </c>
      <c r="AU333" s="220">
        <f>AU15/AT15-1</f>
        <v>-0.0283781997948108</v>
      </c>
      <c r="AV333" s="236" t="n"/>
      <c r="AW333" s="220">
        <f>AW15/AV15-1</f>
        <v>-0.747473723058879</v>
      </c>
      <c r="AX333" s="220">
        <f>AX15/AW15-1</f>
        <v>-0.00391857939872753</v>
      </c>
      <c r="AY333" s="220">
        <f>AY15/AX15-1</f>
        <v>3.39699643636671e-06</v>
      </c>
      <c r="AZ333" s="220">
        <f>AZ15/AY15-1</f>
        <v>-0.0283781997948108</v>
      </c>
      <c r="BA333" s="236" t="n"/>
      <c r="BB333" s="220">
        <f>BB15/BA15-1</f>
        <v>-0.747473723058879</v>
      </c>
      <c r="BC333" s="220">
        <f>BC15/BB15-1</f>
        <v>-0.00391857939872753</v>
      </c>
      <c r="BD333" s="220">
        <f>BD15/BC15-1</f>
        <v>3.39699643636671e-06</v>
      </c>
      <c r="BE333" s="220">
        <f>BE15/BD15-1</f>
        <v>-0.0283781997948108</v>
      </c>
      <c r="BF333" s="236" t="n"/>
      <c r="BG333" s="220">
        <f>BG15/BF15-1</f>
        <v>-0.747473723058879</v>
      </c>
      <c r="BH333" s="220">
        <f>BH15/BG15-1</f>
        <v>-0.00391857939872753</v>
      </c>
      <c r="BI333" s="220">
        <f>BI15/BH15-1</f>
        <v>3.39699643636671e-06</v>
      </c>
      <c r="BJ333" s="220">
        <f>BJ15/BI15-1</f>
        <v>-0.0283781997948108</v>
      </c>
      <c r="BK333" s="236" t="n"/>
      <c r="BL333" s="220">
        <f>BL15/BK15-1</f>
        <v>-0.747473723058879</v>
      </c>
      <c r="BM333" s="220">
        <f>BM15/BL15-1</f>
        <v>-0.00391857939872753</v>
      </c>
      <c r="BN333" s="220">
        <f>BN15/BM15-1</f>
        <v>3.39699643636671e-06</v>
      </c>
      <c r="BO333" s="220">
        <f>BO15/BN15-1</f>
        <v>-0.0283781997948108</v>
      </c>
      <c r="BP333" s="236" t="n"/>
      <c r="BQ333" s="220">
        <f>BQ15/BP15-1</f>
        <v>-0.747473723058879</v>
      </c>
      <c r="BR333" s="220">
        <f>BR15/BQ15-1</f>
        <v>-0.00391857939872753</v>
      </c>
      <c r="BS333" s="220">
        <f>BS15/BR15-1</f>
        <v>3.39699643636671e-06</v>
      </c>
      <c r="BT333" s="220">
        <f>BT15/BS15-1</f>
        <v>-0.0283781997948108</v>
      </c>
      <c r="BU333" s="236" t="n"/>
      <c r="BV333" s="220">
        <f>BV15/BU15-1</f>
        <v>-0.747473723058879</v>
      </c>
      <c r="BW333" s="220">
        <f>BW15/BV15-1</f>
        <v>-0.00391857939872753</v>
      </c>
      <c r="BX333" s="220">
        <f>BX15/BW15-1</f>
        <v>3.39699643636671e-06</v>
      </c>
      <c r="BY333" s="220">
        <f>BY15/BX15-1</f>
        <v>-0.0283781997948108</v>
      </c>
      <c r="BZ333" s="236" t="n"/>
      <c r="CA333" s="220">
        <f>CA15/BZ15-1</f>
        <v>-0.747473723058879</v>
      </c>
      <c r="CB333" s="220">
        <f>CB15/CA15-1</f>
        <v>-0.00391857939872753</v>
      </c>
      <c r="CC333" s="220">
        <f>CC15/CB15-1</f>
        <v>3.39699643636671e-06</v>
      </c>
      <c r="CD333" s="220">
        <f>CD15/CC15-1</f>
        <v>-0.0283781997948108</v>
      </c>
      <c r="CE333" s="236" t="n"/>
      <c r="CF333" s="220">
        <f>CF15/CE15-1</f>
        <v>-0.747473723058879</v>
      </c>
      <c r="CG333" s="220">
        <f>CG15/CF15-1</f>
        <v>-0.00391857939872753</v>
      </c>
      <c r="CH333" s="220">
        <f>CH15/CG15-1</f>
        <v>3.39699643636671e-06</v>
      </c>
      <c r="CI333" s="220">
        <f>CI15/CH15-1</f>
        <v>-0.0283781997948108</v>
      </c>
      <c r="CJ333" s="236" t="n"/>
      <c r="CK333" s="220">
        <f>CK15/CJ15-1</f>
        <v>-0.747473723058879</v>
      </c>
      <c r="CL333" s="220">
        <f>CL15/CK15-1</f>
        <v>-0.00391857939872753</v>
      </c>
      <c r="CM333" s="220">
        <f>CM15/CL15-1</f>
        <v>3.39699643636671e-06</v>
      </c>
      <c r="CN333" s="220">
        <f>CN15/CM15-1</f>
        <v>-0.0283781997948108</v>
      </c>
      <c r="CO333" s="236" t="n"/>
      <c r="CP333" s="220">
        <f>CP15/CO15-1</f>
        <v>-0.747473723058879</v>
      </c>
      <c r="CQ333" s="220">
        <f>CQ15/CP15-1</f>
        <v>-0.00391857939872753</v>
      </c>
      <c r="CR333" s="220">
        <f>CR15/CQ15-1</f>
        <v>3.39699643636671e-06</v>
      </c>
      <c r="CS333" s="220">
        <f>CS15/CR15-1</f>
        <v>-0.0283781997948108</v>
      </c>
      <c r="CT333" s="236" t="n"/>
      <c r="CU333" s="220">
        <f>CU15/CT15-1</f>
        <v>-0.747473723058879</v>
      </c>
      <c r="CV333" s="220">
        <f>CV15/CU15-1</f>
        <v>-0.00391857939872753</v>
      </c>
      <c r="CW333" s="220">
        <f>CW15/CV15-1</f>
        <v>3.39699643636671e-06</v>
      </c>
      <c r="CX333" s="220">
        <f>CX15/CW15-1</f>
        <v>-0.0283781997948108</v>
      </c>
      <c r="CY333" s="236" t="n"/>
    </row>
    <row r="334" customFormat="1" s="233">
      <c r="A334" s="224" t="n"/>
      <c r="B334" s="224" t="n"/>
      <c r="C334" s="233" t="inlineStr">
        <is>
          <t>GROSS MARGIN</t>
        </is>
      </c>
      <c r="D334" s="220">
        <f>SUM(D15,D66)/D15</f>
        <v>0.369976377588044</v>
      </c>
      <c r="E334" s="220">
        <f>SUM(E15,E66)/E15</f>
        <v>0.253928342028168</v>
      </c>
      <c r="F334" s="220">
        <f>SUM(F15,F66)/F15</f>
        <v>0.336986975127093</v>
      </c>
      <c r="G334" s="220">
        <f>SUM(G15,G66)/G15</f>
        <v>0.486799747811092</v>
      </c>
      <c r="I334" s="221">
        <f>SUM(I15,I66)/I15</f>
        <v>0.608680328215093</v>
      </c>
      <c r="J334" s="221">
        <f>SUM(J15,J66)/J15</f>
        <v>0.480683402769137</v>
      </c>
      <c r="K334" s="221">
        <f>SUM(K15,K66)/K15</f>
        <v>0.520627503162235</v>
      </c>
      <c r="L334" s="221">
        <f>SUM(L15,L66)/L15</f>
        <v>0.585895155011796</v>
      </c>
      <c r="N334" s="221">
        <f>SUM(N15,N66)/N15</f>
        <v>0.576035456538086</v>
      </c>
      <c r="O334" s="221">
        <f>SUM(O15,O66)/O15</f>
        <v>0.521201779298178</v>
      </c>
      <c r="P334" s="221">
        <f>SUM(P15,P66)/P15</f>
        <v>0.480064757117449</v>
      </c>
      <c r="Q334" s="221">
        <f>SUM(Q15,Q66)/Q15</f>
        <v>0.457919701762675</v>
      </c>
      <c r="S334" s="221">
        <f>SUM(S15,S66)/S15</f>
        <v>0.44692006454558</v>
      </c>
      <c r="T334" s="221">
        <f>SUM(T15,T66)/T15</f>
        <v>0.492078717492812</v>
      </c>
      <c r="U334" s="221">
        <f>SUM(U15,U66)/U15</f>
        <v>0.452504669532147</v>
      </c>
      <c r="V334" s="221">
        <f>SUM(V15,V66)/V15</f>
        <v>0.550145902615018</v>
      </c>
      <c r="X334" s="221">
        <f>SUM(X15,X66)/X15</f>
        <v>0.45668254984204</v>
      </c>
      <c r="Y334" s="221">
        <f>SUM(Y15,Y66)/Y15</f>
        <v>0.43429743358082</v>
      </c>
      <c r="Z334" s="221">
        <f>SUM(Z15,Z66)/Z15</f>
        <v>0.42599680496967</v>
      </c>
      <c r="AA334" s="221">
        <f>SUM(AA15,AA66)/AA15</f>
        <v>0.497481802757687</v>
      </c>
      <c r="AC334" s="221">
        <f>SUM(AC15,AC66)/AC15</f>
        <v>0.481453975373231</v>
      </c>
      <c r="AD334" s="221">
        <f>SUM(AD15,AD66)/AD15</f>
        <v>0.475268591570658</v>
      </c>
      <c r="AE334" s="221">
        <f>SUM(AE15,AE66)/AE15</f>
        <v>0.48932363882403</v>
      </c>
      <c r="AF334" s="221">
        <f>SUM(AF15,AF66)/AF15</f>
        <v>0.514651580430255</v>
      </c>
      <c r="AH334" s="221">
        <f>SUM(AH15,AH66)/AH15</f>
        <v>0.525754239020931</v>
      </c>
      <c r="AI334" s="221">
        <f>SUM(AI15,AI66)/AI15</f>
        <v>0.559686720473259</v>
      </c>
      <c r="AJ334" s="221">
        <f>SUM(AJ15,AJ66)/AJ15</f>
        <v>0</v>
      </c>
      <c r="AK334" s="221">
        <f>SUM(AK15,AK66)/AK15</f>
        <v>0</v>
      </c>
      <c r="AM334" s="221">
        <f>SUM(AM15,AM66)/AM15</f>
        <v>0</v>
      </c>
      <c r="AN334" s="221">
        <f>SUM(AN15,AN66)/AN15</f>
        <v>0</v>
      </c>
      <c r="AO334" s="221">
        <f>SUM(AO15,AO66)/AO15</f>
        <v>0</v>
      </c>
      <c r="AP334" s="221">
        <f>SUM(AP15,AP66)/AP15</f>
        <v>0</v>
      </c>
      <c r="AR334" s="221">
        <f>SUM(AR15,AR66)/AR15</f>
        <v>0</v>
      </c>
      <c r="AS334" s="221">
        <f>SUM(AS15,AS66)/AS15</f>
        <v>0</v>
      </c>
      <c r="AT334" s="221">
        <f>SUM(AT15,AT66)/AT15</f>
        <v>0</v>
      </c>
      <c r="AU334" s="221">
        <f>SUM(AU15,AU66)/AU15</f>
        <v>0</v>
      </c>
      <c r="AW334" s="221">
        <f>SUM(AW15,AW66)/AW15</f>
        <v>0</v>
      </c>
      <c r="AX334" s="221">
        <f>SUM(AX15,AX66)/AX15</f>
        <v>0</v>
      </c>
      <c r="AY334" s="221">
        <f>SUM(AY15,AY66)/AY15</f>
        <v>0</v>
      </c>
      <c r="AZ334" s="221">
        <f>SUM(AZ15,AZ66)/AZ15</f>
        <v>0</v>
      </c>
      <c r="BB334" s="221">
        <f>SUM(BB15,BB66)/BB15</f>
        <v>0</v>
      </c>
      <c r="BC334" s="221">
        <f>SUM(BC15,BC66)/BC15</f>
        <v>0</v>
      </c>
      <c r="BD334" s="221">
        <f>SUM(BD15,BD66)/BD15</f>
        <v>0</v>
      </c>
      <c r="BE334" s="221">
        <f>SUM(BE15,BE66)/BE15</f>
        <v>0</v>
      </c>
      <c r="BG334" s="221">
        <f>SUM(BG15,BG66)/BG15</f>
        <v>0</v>
      </c>
      <c r="BH334" s="221">
        <f>SUM(BH15,BH66)/BH15</f>
        <v>0</v>
      </c>
      <c r="BI334" s="221">
        <f>SUM(BI15,BI66)/BI15</f>
        <v>0</v>
      </c>
      <c r="BJ334" s="221">
        <f>SUM(BJ15,BJ66)/BJ15</f>
        <v>0</v>
      </c>
      <c r="BL334" s="221">
        <f>SUM(BL15,BL66)/BL15</f>
        <v>0</v>
      </c>
      <c r="BM334" s="221">
        <f>SUM(BM15,BM66)/BM15</f>
        <v>0</v>
      </c>
      <c r="BN334" s="221">
        <f>SUM(BN15,BN66)/BN15</f>
        <v>0</v>
      </c>
      <c r="BO334" s="221">
        <f>SUM(BO15,BO66)/BO15</f>
        <v>0</v>
      </c>
      <c r="BQ334" s="221">
        <f>SUM(BQ15,BQ66)/BQ15</f>
        <v>0</v>
      </c>
      <c r="BR334" s="221">
        <f>SUM(BR15,BR66)/BR15</f>
        <v>0</v>
      </c>
      <c r="BS334" s="221">
        <f>SUM(BS15,BS66)/BS15</f>
        <v>0</v>
      </c>
      <c r="BT334" s="221">
        <f>SUM(BT15,BT66)/BT15</f>
        <v>0</v>
      </c>
      <c r="BV334" s="221">
        <f>SUM(BV15,BV66)/BV15</f>
        <v>0</v>
      </c>
      <c r="BW334" s="221">
        <f>SUM(BW15,BW66)/BW15</f>
        <v>0</v>
      </c>
      <c r="BX334" s="221">
        <f>SUM(BX15,BX66)/BX15</f>
        <v>0</v>
      </c>
      <c r="BY334" s="221">
        <f>SUM(BY15,BY66)/BY15</f>
        <v>0</v>
      </c>
      <c r="CA334" s="221">
        <f>SUM(CA15,CA66)/CA15</f>
        <v>0</v>
      </c>
      <c r="CB334" s="221">
        <f>SUM(CB15,CB66)/CB15</f>
        <v>0</v>
      </c>
      <c r="CC334" s="221">
        <f>SUM(CC15,CC66)/CC15</f>
        <v>0</v>
      </c>
      <c r="CD334" s="221">
        <f>SUM(CD15,CD66)/CD15</f>
        <v>0</v>
      </c>
      <c r="CF334" s="221">
        <f>SUM(CF15,CF66)/CF15</f>
        <v>0</v>
      </c>
      <c r="CG334" s="221">
        <f>SUM(CG15,CG66)/CG15</f>
        <v>0</v>
      </c>
      <c r="CH334" s="221">
        <f>SUM(CH15,CH66)/CH15</f>
        <v>0</v>
      </c>
      <c r="CI334" s="221">
        <f>SUM(CI15,CI66)/CI15</f>
        <v>0</v>
      </c>
      <c r="CK334" s="221">
        <f>SUM(CK15,CK66)/CK15</f>
        <v>0</v>
      </c>
      <c r="CL334" s="221">
        <f>SUM(CL15,CL66)/CL15</f>
        <v>0</v>
      </c>
      <c r="CM334" s="221">
        <f>SUM(CM15,CM66)/CM15</f>
        <v>0</v>
      </c>
      <c r="CN334" s="221">
        <f>SUM(CN15,CN66)/CN15</f>
        <v>0</v>
      </c>
      <c r="CP334" s="221">
        <f>SUM(CP15,CP66)/CP15</f>
        <v>0</v>
      </c>
      <c r="CQ334" s="221">
        <f>SUM(CQ15,CQ66)/CQ15</f>
        <v>0</v>
      </c>
      <c r="CR334" s="221">
        <f>SUM(CR15,CR66)/CR15</f>
        <v>0</v>
      </c>
      <c r="CS334" s="221">
        <f>SUM(CS15,CS66)/CS15</f>
        <v>0</v>
      </c>
      <c r="CU334" s="221">
        <f>SUM(CU15,CU66)/CU15</f>
        <v>0</v>
      </c>
      <c r="CV334" s="221">
        <f>SUM(CV15,CV66)/CV15</f>
        <v>0</v>
      </c>
      <c r="CW334" s="221">
        <f>SUM(CW15,CW66)/CW15</f>
        <v>0</v>
      </c>
      <c r="CX334" s="221">
        <f>SUM(CX15,CX66)/CX15</f>
        <v>0</v>
      </c>
    </row>
    <row r="335" customFormat="1" s="233">
      <c r="A335" s="224" t="n"/>
      <c r="B335" s="224" t="n"/>
      <c r="C335" s="233" t="inlineStr">
        <is>
          <t>EBIT MARGIN</t>
        </is>
      </c>
      <c r="D335" s="236">
        <f>(D85/D15)</f>
        <v>0.121338912133891</v>
      </c>
      <c r="E335" s="236">
        <f>(E85/E15)</f>
        <v>0.0487743024549201</v>
      </c>
      <c r="F335" s="236">
        <f>(F85/F15)</f>
        <v>0.0937358744546419</v>
      </c>
      <c r="G335" s="236">
        <f>(G85/G15)</f>
        <v>0.229785221897012</v>
      </c>
      <c r="I335" s="222">
        <f>(I85/I15)</f>
        <v>0.319877711365029</v>
      </c>
      <c r="J335" s="222">
        <f>(J85/J15)</f>
        <v>0.270759303039014</v>
      </c>
      <c r="K335" s="222">
        <f>(K85/K15)</f>
        <v>0.330491047127165</v>
      </c>
      <c r="L335" s="222">
        <f>(L85/L15)</f>
        <v>0.3588855372647</v>
      </c>
      <c r="N335" s="222">
        <f>(N85/N15)</f>
        <v>0.341225624548384</v>
      </c>
      <c r="O335" s="222">
        <f>(O85/O15)</f>
        <v>0.29778143534356</v>
      </c>
      <c r="P335" s="222">
        <f>(P85/P15)</f>
        <v>0.24629345522661</v>
      </c>
      <c r="Q335" s="222">
        <f>(Q85/Q15)</f>
        <v>0.181715907780036</v>
      </c>
      <c r="S335" s="222">
        <f>(S85/S15)</f>
        <v>0.17953089775622</v>
      </c>
      <c r="T335" s="222">
        <f>(T85/T15)</f>
        <v>0.202100805761989</v>
      </c>
      <c r="U335" s="222">
        <f>(U85/U15)</f>
        <v>0.170713594527083</v>
      </c>
      <c r="V335" s="222">
        <f>(V85/V15)</f>
        <v>-0.0721648450897634</v>
      </c>
      <c r="X335" s="222">
        <f>(X85/X15)</f>
        <v>0.202421461680157</v>
      </c>
      <c r="Y335" s="222">
        <f>(Y85/Y15)</f>
        <v>0.182595840498497</v>
      </c>
      <c r="Z335" s="222">
        <f>(Z85/Z15)</f>
        <v>0.184381111184089</v>
      </c>
      <c r="AA335" s="222">
        <f>(AA85/AA15)</f>
        <v>0.210867270270495</v>
      </c>
      <c r="AC335" s="222">
        <f>(AC85/AC15)</f>
        <v>0.214659589023244</v>
      </c>
      <c r="AD335" s="222">
        <f>(AD85/AD15)</f>
        <v>0.213478858148098</v>
      </c>
      <c r="AE335" s="222">
        <f>(AE85/AE15)</f>
        <v>0.226799683364389</v>
      </c>
      <c r="AF335" s="222">
        <f>(AF85/AF15)</f>
        <v>0.232494340990328</v>
      </c>
      <c r="AH335" s="222">
        <f>(AH85/AH15)</f>
        <v>0.242836513480782</v>
      </c>
      <c r="AI335" s="222">
        <f>(AI85/AI15)</f>
        <v>0.269576668799712</v>
      </c>
      <c r="AJ335" s="222">
        <f>(AJ85/AJ15)</f>
        <v>0</v>
      </c>
      <c r="AK335" s="222">
        <f>(AK85/AK15)</f>
        <v>0</v>
      </c>
      <c r="AM335" s="222">
        <f>(AM85/AM15)</f>
        <v>0</v>
      </c>
      <c r="AN335" s="222">
        <f>(AN85/AN15)</f>
        <v>0</v>
      </c>
      <c r="AO335" s="222">
        <f>(AO85/AO15)</f>
        <v>0</v>
      </c>
      <c r="AP335" s="222">
        <f>(AP85/AP15)</f>
        <v>0</v>
      </c>
      <c r="AR335" s="222">
        <f>(AR85/AR15)</f>
        <v>0</v>
      </c>
      <c r="AS335" s="222">
        <f>(AS85/AS15)</f>
        <v>0</v>
      </c>
      <c r="AT335" s="222">
        <f>(AT85/AT15)</f>
        <v>0</v>
      </c>
      <c r="AU335" s="222">
        <f>(AU85/AU15)</f>
        <v>0</v>
      </c>
      <c r="AW335" s="222">
        <f>(AW85/AW15)</f>
        <v>0</v>
      </c>
      <c r="AX335" s="222">
        <f>(AX85/AX15)</f>
        <v>0</v>
      </c>
      <c r="AY335" s="222">
        <f>(AY85/AY15)</f>
        <v>0</v>
      </c>
      <c r="AZ335" s="222">
        <f>(AZ85/AZ15)</f>
        <v>0</v>
      </c>
      <c r="BB335" s="222">
        <f>(BB85/BB15)</f>
        <v>0</v>
      </c>
      <c r="BC335" s="222">
        <f>(BC85/BC15)</f>
        <v>0</v>
      </c>
      <c r="BD335" s="222">
        <f>(BD85/BD15)</f>
        <v>0</v>
      </c>
      <c r="BE335" s="222">
        <f>(BE85/BE15)</f>
        <v>0</v>
      </c>
      <c r="BG335" s="222">
        <f>(BG85/BG15)</f>
        <v>0</v>
      </c>
      <c r="BH335" s="222">
        <f>(BH85/BH15)</f>
        <v>0</v>
      </c>
      <c r="BI335" s="222">
        <f>(BI85/BI15)</f>
        <v>0</v>
      </c>
      <c r="BJ335" s="222">
        <f>(BJ85/BJ15)</f>
        <v>0</v>
      </c>
      <c r="BL335" s="222">
        <f>(BL85/BL15)</f>
        <v>0</v>
      </c>
      <c r="BM335" s="222">
        <f>(BM85/BM15)</f>
        <v>0</v>
      </c>
      <c r="BN335" s="222">
        <f>(BN85/BN15)</f>
        <v>0</v>
      </c>
      <c r="BO335" s="222">
        <f>(BO85/BO15)</f>
        <v>0</v>
      </c>
      <c r="BQ335" s="222">
        <f>(BQ85/BQ15)</f>
        <v>0</v>
      </c>
      <c r="BR335" s="222">
        <f>(BR85/BR15)</f>
        <v>0</v>
      </c>
      <c r="BS335" s="222">
        <f>(BS85/BS15)</f>
        <v>0</v>
      </c>
      <c r="BT335" s="222">
        <f>(BT85/BT15)</f>
        <v>0</v>
      </c>
      <c r="BV335" s="222">
        <f>(BV85/BV15)</f>
        <v>0</v>
      </c>
      <c r="BW335" s="222">
        <f>(BW85/BW15)</f>
        <v>0</v>
      </c>
      <c r="BX335" s="222">
        <f>(BX85/BX15)</f>
        <v>0</v>
      </c>
      <c r="BY335" s="222">
        <f>(BY85/BY15)</f>
        <v>0</v>
      </c>
      <c r="CA335" s="222">
        <f>(CA85/CA15)</f>
        <v>0</v>
      </c>
      <c r="CB335" s="222">
        <f>(CB85/CB15)</f>
        <v>0</v>
      </c>
      <c r="CC335" s="222">
        <f>(CC85/CC15)</f>
        <v>0</v>
      </c>
      <c r="CD335" s="222">
        <f>(CD85/CD15)</f>
        <v>0</v>
      </c>
      <c r="CF335" s="222">
        <f>(CF85/CF15)</f>
        <v>0</v>
      </c>
      <c r="CG335" s="222">
        <f>(CG85/CG15)</f>
        <v>0</v>
      </c>
      <c r="CH335" s="222">
        <f>(CH85/CH15)</f>
        <v>0</v>
      </c>
      <c r="CI335" s="222">
        <f>(CI85/CI15)</f>
        <v>0</v>
      </c>
      <c r="CK335" s="222">
        <f>(CK85/CK15)</f>
        <v>0</v>
      </c>
      <c r="CL335" s="222">
        <f>(CL85/CL15)</f>
        <v>0</v>
      </c>
      <c r="CM335" s="222">
        <f>(CM85/CM15)</f>
        <v>0</v>
      </c>
      <c r="CN335" s="222">
        <f>(CN85/CN15)</f>
        <v>0</v>
      </c>
      <c r="CP335" s="222">
        <f>(CP85/CP15)</f>
        <v>0</v>
      </c>
      <c r="CQ335" s="222">
        <f>(CQ85/CQ15)</f>
        <v>0</v>
      </c>
      <c r="CR335" s="222">
        <f>(CR85/CR15)</f>
        <v>0</v>
      </c>
      <c r="CS335" s="222">
        <f>(CS85/CS15)</f>
        <v>0</v>
      </c>
      <c r="CU335" s="222">
        <f>(CU85/CU15)</f>
        <v>0</v>
      </c>
      <c r="CV335" s="222">
        <f>(CV85/CV15)</f>
        <v>0</v>
      </c>
      <c r="CW335" s="222">
        <f>(CW85/CW15)</f>
        <v>0</v>
      </c>
      <c r="CX335" s="222">
        <f>(CX85/CX15)</f>
        <v>0</v>
      </c>
    </row>
    <row r="336" customFormat="1" s="233">
      <c r="A336" s="224" t="n"/>
      <c r="B336" s="224" t="n"/>
      <c r="C336" s="233" t="inlineStr">
        <is>
          <t>EBITDA MARTGIN</t>
        </is>
      </c>
      <c r="D336" s="236">
        <f>D81/D15</f>
        <v>0.2317024090743</v>
      </c>
      <c r="E336" s="236">
        <f>E81/E15</f>
        <v>0.14816566401905</v>
      </c>
      <c r="F336" s="236">
        <f>F81/F15</f>
        <v>0.212241110489393</v>
      </c>
      <c r="G336" s="236">
        <f>G81/G15</f>
        <v>0.318641102616669</v>
      </c>
      <c r="I336" s="222">
        <f>I81/I15</f>
        <v>0.401955245316493</v>
      </c>
      <c r="J336" s="222">
        <f>J81/J15</f>
        <v>0.333346777134668</v>
      </c>
      <c r="K336" s="222">
        <f>K81/K15</f>
        <v>0.403272420312989</v>
      </c>
      <c r="L336" s="222">
        <f>L81/L15</f>
        <v>0.459788107621672</v>
      </c>
      <c r="N336" s="222">
        <f>N81/N15</f>
        <v>0.452912040309458</v>
      </c>
      <c r="O336" s="222">
        <f>O81/O15</f>
        <v>0.405764341602301</v>
      </c>
      <c r="P336" s="222">
        <f>P81/P15</f>
        <v>0.364756250236513</v>
      </c>
      <c r="Q336" s="222">
        <f>Q81/Q15</f>
        <v>0.326746446877048</v>
      </c>
      <c r="S336" s="222">
        <f>S81/S15</f>
        <v>0.323816238939985</v>
      </c>
      <c r="T336" s="222">
        <f>T81/T15</f>
        <v>0.358991651957289</v>
      </c>
      <c r="U336" s="222">
        <f>U81/U15</f>
        <v>0.325526775734936</v>
      </c>
      <c r="V336" s="222">
        <f>V81/V15</f>
        <v>0.347340064585369</v>
      </c>
      <c r="X336" s="222">
        <f>X81/X15</f>
        <v>0.350637036899756</v>
      </c>
      <c r="Y336" s="222">
        <f>Y81/Y15</f>
        <v>0.334544085988956</v>
      </c>
      <c r="Z336" s="222">
        <f>Z81/Z15</f>
        <v>0.330381602727217</v>
      </c>
      <c r="AA336" s="222">
        <f>AA81/AA15</f>
        <v>0.383072924122818</v>
      </c>
      <c r="AC336" s="222">
        <f>AC81/AC15</f>
        <v>0.375067925815341</v>
      </c>
      <c r="AD336" s="222">
        <f>AD81/AD15</f>
        <v>0.374862938521981</v>
      </c>
      <c r="AE336" s="222">
        <f>AE81/AE15</f>
        <v>0.392649667020107</v>
      </c>
      <c r="AF336" s="222">
        <f>AF81/AF15</f>
        <v>0.407231587220337</v>
      </c>
      <c r="AH336" s="222">
        <f>AH81/AH15</f>
        <v>0.414919829272</v>
      </c>
      <c r="AI336" s="222">
        <f>AI81/AI15</f>
        <v>0.44790749743469</v>
      </c>
      <c r="AJ336" s="222">
        <f>AJ81/AJ15</f>
        <v>0</v>
      </c>
      <c r="AK336" s="222">
        <f>AK81/AK15</f>
        <v>0</v>
      </c>
      <c r="AM336" s="222">
        <f>AM81/AM15</f>
        <v>0</v>
      </c>
      <c r="AN336" s="222">
        <f>AN81/AN15</f>
        <v>0</v>
      </c>
      <c r="AO336" s="222">
        <f>AO81/AO15</f>
        <v>0</v>
      </c>
      <c r="AP336" s="222">
        <f>AP81/AP15</f>
        <v>0</v>
      </c>
      <c r="AR336" s="222">
        <f>AR81/AR15</f>
        <v>0</v>
      </c>
      <c r="AS336" s="222">
        <f>AS81/AS15</f>
        <v>0</v>
      </c>
      <c r="AT336" s="222">
        <f>AT81/AT15</f>
        <v>0</v>
      </c>
      <c r="AU336" s="222">
        <f>AU81/AU15</f>
        <v>0</v>
      </c>
      <c r="AW336" s="222">
        <f>AW81/AW15</f>
        <v>0</v>
      </c>
      <c r="AX336" s="222">
        <f>AX81/AX15</f>
        <v>0</v>
      </c>
      <c r="AY336" s="222">
        <f>AY81/AY15</f>
        <v>0</v>
      </c>
      <c r="AZ336" s="222">
        <f>AZ81/AZ15</f>
        <v>0</v>
      </c>
      <c r="BB336" s="222">
        <f>BB81/BB15</f>
        <v>0</v>
      </c>
      <c r="BC336" s="222">
        <f>BC81/BC15</f>
        <v>0</v>
      </c>
      <c r="BD336" s="222">
        <f>BD81/BD15</f>
        <v>0</v>
      </c>
      <c r="BE336" s="222">
        <f>BE81/BE15</f>
        <v>0</v>
      </c>
      <c r="BG336" s="222">
        <f>BG81/BG15</f>
        <v>0</v>
      </c>
      <c r="BH336" s="222">
        <f>BH81/BH15</f>
        <v>0</v>
      </c>
      <c r="BI336" s="222">
        <f>BI81/BI15</f>
        <v>0</v>
      </c>
      <c r="BJ336" s="222">
        <f>BJ81/BJ15</f>
        <v>0</v>
      </c>
      <c r="BL336" s="222">
        <f>BL81/BL15</f>
        <v>0</v>
      </c>
      <c r="BM336" s="222">
        <f>BM81/BM15</f>
        <v>0</v>
      </c>
      <c r="BN336" s="222">
        <f>BN81/BN15</f>
        <v>0</v>
      </c>
      <c r="BO336" s="222">
        <f>BO81/BO15</f>
        <v>0</v>
      </c>
      <c r="BQ336" s="222">
        <f>BQ81/BQ15</f>
        <v>0</v>
      </c>
      <c r="BR336" s="222">
        <f>BR81/BR15</f>
        <v>0</v>
      </c>
      <c r="BS336" s="222">
        <f>BS81/BS15</f>
        <v>0</v>
      </c>
      <c r="BT336" s="222">
        <f>BT81/BT15</f>
        <v>0</v>
      </c>
      <c r="BV336" s="222">
        <f>BV81/BV15</f>
        <v>0</v>
      </c>
      <c r="BW336" s="222">
        <f>BW81/BW15</f>
        <v>0</v>
      </c>
      <c r="BX336" s="222">
        <f>BX81/BX15</f>
        <v>0</v>
      </c>
      <c r="BY336" s="222">
        <f>BY81/BY15</f>
        <v>0</v>
      </c>
      <c r="CA336" s="222">
        <f>CA81/CA15</f>
        <v>0</v>
      </c>
      <c r="CB336" s="222">
        <f>CB81/CB15</f>
        <v>0</v>
      </c>
      <c r="CC336" s="222">
        <f>CC81/CC15</f>
        <v>0</v>
      </c>
      <c r="CD336" s="222">
        <f>CD81/CD15</f>
        <v>0</v>
      </c>
      <c r="CF336" s="222">
        <f>CF81/CF15</f>
        <v>0</v>
      </c>
      <c r="CG336" s="222">
        <f>CG81/CG15</f>
        <v>0</v>
      </c>
      <c r="CH336" s="222">
        <f>CH81/CH15</f>
        <v>0</v>
      </c>
      <c r="CI336" s="222">
        <f>CI81/CI15</f>
        <v>0</v>
      </c>
      <c r="CK336" s="222">
        <f>CK81/CK15</f>
        <v>0</v>
      </c>
      <c r="CL336" s="222">
        <f>CL81/CL15</f>
        <v>0</v>
      </c>
      <c r="CM336" s="222">
        <f>CM81/CM15</f>
        <v>0</v>
      </c>
      <c r="CN336" s="222">
        <f>CN81/CN15</f>
        <v>0</v>
      </c>
      <c r="CP336" s="222">
        <f>CP81/CP15</f>
        <v>0</v>
      </c>
      <c r="CQ336" s="222">
        <f>CQ81/CQ15</f>
        <v>0</v>
      </c>
      <c r="CR336" s="222">
        <f>CR81/CR15</f>
        <v>0</v>
      </c>
      <c r="CS336" s="222">
        <f>CS81/CS15</f>
        <v>0</v>
      </c>
      <c r="CU336" s="222">
        <f>CU81/CU15</f>
        <v>0</v>
      </c>
      <c r="CV336" s="222">
        <f>CV81/CV15</f>
        <v>0</v>
      </c>
      <c r="CW336" s="222">
        <f>CW81/CW15</f>
        <v>0</v>
      </c>
      <c r="CX336" s="222">
        <f>CX81/CX15</f>
        <v>0</v>
      </c>
    </row>
    <row r="337" customFormat="1" s="233">
      <c r="A337" s="224" t="n"/>
      <c r="B337" s="224" t="n"/>
      <c r="C337" s="233" t="inlineStr">
        <is>
          <t>ETR</t>
        </is>
      </c>
      <c r="D337" s="236">
        <f>-D143/D142</f>
        <v>0.242561733487323</v>
      </c>
      <c r="E337" s="236">
        <f>-E143/E142</f>
        <v>0.341979350289597</v>
      </c>
      <c r="F337" s="236">
        <f>-F143/F142</f>
        <v>0.344261717166376</v>
      </c>
      <c r="G337" s="236">
        <f>-G143/G142</f>
        <v>0.243057829589364</v>
      </c>
      <c r="I337" s="222">
        <f>-I143/I142</f>
        <v>0.339146233988869</v>
      </c>
      <c r="J337" s="222">
        <f>-J143/J142</f>
        <v>0.298999613065489</v>
      </c>
      <c r="K337" s="222">
        <f>-K143/K142</f>
        <v>0.298886894657743</v>
      </c>
      <c r="L337" s="222">
        <f>-L143/L142</f>
        <v>0.304959514424321</v>
      </c>
      <c r="N337" s="222">
        <f>-N143/N142</f>
        <v>0.289014028630308</v>
      </c>
      <c r="O337" s="222">
        <f>-O143/O142</f>
        <v>0.295212254093566</v>
      </c>
      <c r="P337" s="222">
        <f>-P143/P142</f>
        <v>0.156802763932125</v>
      </c>
      <c r="Q337" s="222">
        <f>-Q143/Q142</f>
        <v>1.75157007376185</v>
      </c>
      <c r="S337" s="222">
        <f>-S143/S142</f>
        <v>-0.98023901383271</v>
      </c>
      <c r="T337" s="222">
        <f>-T143/T142</f>
        <v>0.271956636915678</v>
      </c>
      <c r="U337" s="222">
        <f>-U143/U142</f>
        <v>0.249580378857945</v>
      </c>
      <c r="V337" s="222">
        <f>-V143/V142</f>
        <v>0.199927922537127</v>
      </c>
      <c r="X337" s="222">
        <f>-X143/X142</f>
        <v>0.333218999533518</v>
      </c>
      <c r="Y337" s="222">
        <f>-Y143/Y142</f>
        <v>0.248321673379975</v>
      </c>
      <c r="Z337" s="222">
        <f>-Z143/Z142</f>
        <v>0.231855868599946</v>
      </c>
      <c r="AA337" s="222">
        <f>-AA143/AA142</f>
        <v>0.205634702612917</v>
      </c>
      <c r="AC337" s="222">
        <f>-AC143/AC142</f>
        <v>0.291453338751186</v>
      </c>
      <c r="AD337" s="222">
        <f>-AD143/AD142</f>
        <v>0.259727743645343</v>
      </c>
      <c r="AE337" s="222">
        <f>-AE143/AE142</f>
        <v>-0.190237179705312</v>
      </c>
      <c r="AF337" s="222">
        <f>-AF143/AF142</f>
        <v>-0.179497102525193</v>
      </c>
      <c r="AH337" s="222">
        <f>-AH143/AH142</f>
        <v>0.242141946672814</v>
      </c>
      <c r="AI337" s="222">
        <f>-AI143/AI142</f>
        <v>0.199920055997006</v>
      </c>
      <c r="AJ337" s="222">
        <f>-AJ143/AJ142</f>
        <v>0</v>
      </c>
      <c r="AK337" s="222">
        <f>-AK143/AK142</f>
        <v>0</v>
      </c>
      <c r="AM337" s="222">
        <f>-AM143/AM142</f>
        <v>0</v>
      </c>
      <c r="AN337" s="222">
        <f>-AN143/AN142</f>
        <v>0</v>
      </c>
      <c r="AO337" s="222">
        <f>-AO143/AO142</f>
        <v>0</v>
      </c>
      <c r="AP337" s="222">
        <f>-AP143/AP142</f>
        <v>0</v>
      </c>
      <c r="AR337" s="222">
        <f>-AR143/AR142</f>
        <v>0</v>
      </c>
      <c r="AS337" s="222">
        <f>-AS143/AS142</f>
        <v>0</v>
      </c>
      <c r="AT337" s="222">
        <f>-AT143/AT142</f>
        <v>0</v>
      </c>
      <c r="AU337" s="222">
        <f>-AU143/AU142</f>
        <v>0</v>
      </c>
      <c r="AW337" s="222">
        <f>-AW143/AW142</f>
        <v>0</v>
      </c>
      <c r="AX337" s="222">
        <f>-AX143/AX142</f>
        <v>0</v>
      </c>
      <c r="AY337" s="222">
        <f>-AY143/AY142</f>
        <v>0</v>
      </c>
      <c r="AZ337" s="222">
        <f>-AZ143/AZ142</f>
        <v>0</v>
      </c>
      <c r="BB337" s="222">
        <f>-BB143/BB142</f>
        <v>0</v>
      </c>
      <c r="BC337" s="222">
        <f>-BC143/BC142</f>
        <v>0</v>
      </c>
      <c r="BD337" s="222">
        <f>-BD143/BD142</f>
        <v>0</v>
      </c>
      <c r="BE337" s="222">
        <f>-BE143/BE142</f>
        <v>0</v>
      </c>
      <c r="BG337" s="222">
        <f>-BG143/BG142</f>
        <v>0</v>
      </c>
      <c r="BH337" s="222">
        <f>-BH143/BH142</f>
        <v>0</v>
      </c>
      <c r="BI337" s="222">
        <f>-BI143/BI142</f>
        <v>0</v>
      </c>
      <c r="BJ337" s="222">
        <f>-BJ143/BJ142</f>
        <v>0</v>
      </c>
      <c r="BL337" s="222">
        <f>-BL143/BL142</f>
        <v>0</v>
      </c>
      <c r="BM337" s="222">
        <f>-BM143/BM142</f>
        <v>0</v>
      </c>
      <c r="BN337" s="222">
        <f>-BN143/BN142</f>
        <v>0</v>
      </c>
      <c r="BO337" s="222">
        <f>-BO143/BO142</f>
        <v>0</v>
      </c>
      <c r="BQ337" s="222">
        <f>-BQ143/BQ142</f>
        <v>0</v>
      </c>
      <c r="BR337" s="222">
        <f>-BR143/BR142</f>
        <v>0</v>
      </c>
      <c r="BS337" s="222">
        <f>-BS143/BS142</f>
        <v>0</v>
      </c>
      <c r="BT337" s="222">
        <f>-BT143/BT142</f>
        <v>0</v>
      </c>
      <c r="BV337" s="222">
        <f>-BV143/BV142</f>
        <v>0</v>
      </c>
      <c r="BW337" s="222">
        <f>-BW143/BW142</f>
        <v>0</v>
      </c>
      <c r="BX337" s="222">
        <f>-BX143/BX142</f>
        <v>0</v>
      </c>
      <c r="BY337" s="222">
        <f>-BY143/BY142</f>
        <v>0</v>
      </c>
      <c r="CA337" s="222">
        <f>-CA143/CA142</f>
        <v>0</v>
      </c>
      <c r="CB337" s="222">
        <f>-CB143/CB142</f>
        <v>0</v>
      </c>
      <c r="CC337" s="222">
        <f>-CC143/CC142</f>
        <v>0</v>
      </c>
      <c r="CD337" s="222">
        <f>-CD143/CD142</f>
        <v>0</v>
      </c>
      <c r="CF337" s="222">
        <f>-CF143/CF142</f>
        <v>0</v>
      </c>
      <c r="CG337" s="222">
        <f>-CG143/CG142</f>
        <v>0</v>
      </c>
      <c r="CH337" s="222">
        <f>-CH143/CH142</f>
        <v>0</v>
      </c>
      <c r="CI337" s="222">
        <f>-CI143/CI142</f>
        <v>0</v>
      </c>
      <c r="CK337" s="222">
        <f>-CK143/CK142</f>
        <v>0</v>
      </c>
      <c r="CL337" s="222">
        <f>-CL143/CL142</f>
        <v>0</v>
      </c>
      <c r="CM337" s="222">
        <f>-CM143/CM142</f>
        <v>0</v>
      </c>
      <c r="CN337" s="222">
        <f>-CN143/CN142</f>
        <v>0</v>
      </c>
      <c r="CP337" s="222">
        <f>-CP143/CP142</f>
        <v>0</v>
      </c>
      <c r="CQ337" s="222">
        <f>-CQ143/CQ142</f>
        <v>0</v>
      </c>
      <c r="CR337" s="222">
        <f>-CR143/CR142</f>
        <v>0</v>
      </c>
      <c r="CS337" s="222">
        <f>-CS143/CS142</f>
        <v>0</v>
      </c>
      <c r="CU337" s="222">
        <f>-CU143/CU142</f>
        <v>0</v>
      </c>
      <c r="CV337" s="222">
        <f>-CV143/CV142</f>
        <v>0</v>
      </c>
      <c r="CW337" s="222">
        <f>-CW143/CW142</f>
        <v>0</v>
      </c>
      <c r="CX337" s="222">
        <f>-CX143/CX142</f>
        <v>0</v>
      </c>
    </row>
    <row r="338" customFormat="1" s="233">
      <c r="A338" s="224" t="n"/>
      <c r="B338" s="224" t="n"/>
    </row>
    <row r="339" customFormat="1" s="233">
      <c r="A339" s="224" t="n"/>
      <c r="B339" s="224" t="n"/>
      <c r="C339" s="234" t="inlineStr">
        <is>
          <t>CAPITAL STRUCTURE</t>
        </is>
      </c>
    </row>
    <row r="340" customFormat="1" s="233">
      <c r="A340" s="224" t="n"/>
      <c r="B340" s="224" t="n"/>
      <c r="C340" s="233" t="inlineStr">
        <is>
          <t>MARKET DEBT / EQUITY</t>
        </is>
      </c>
    </row>
    <row r="341" customFormat="1" s="233">
      <c r="A341" s="224" t="n"/>
      <c r="B341" s="224" t="n"/>
      <c r="C341" s="233" t="inlineStr">
        <is>
          <t>NET DEBT / (NET DEBT + MARKET CAP)</t>
        </is>
      </c>
    </row>
    <row r="342" customFormat="1" s="233">
      <c r="A342" s="224" t="n"/>
      <c r="B342" s="224" t="n"/>
    </row>
    <row r="343" customFormat="1" s="233">
      <c r="A343" s="224" t="n"/>
      <c r="B343" s="224" t="n"/>
      <c r="C343" s="234" t="inlineStr">
        <is>
          <t>FINANCIAL RISK RATIOS</t>
        </is>
      </c>
    </row>
    <row r="344" customFormat="1" s="233">
      <c r="A344" s="224" t="n"/>
      <c r="B344" s="224" t="n"/>
      <c r="C344" s="233" t="inlineStr">
        <is>
          <t>EBITDA / TOTAL INTEREST</t>
        </is>
      </c>
      <c r="D344" s="219">
        <f>D81/-D86</f>
        <v>4.15579596433253</v>
      </c>
      <c r="E344" s="219">
        <f>E81/-E86</f>
        <v>2.06968664943307</v>
      </c>
      <c r="F344" s="219">
        <f>F81/-F86</f>
        <v>2.87235734016034</v>
      </c>
      <c r="G344" s="219">
        <f>G81/-G86</f>
        <v>6.73154273617359</v>
      </c>
      <c r="I344" s="219">
        <f>I81/-I86</f>
        <v>1.14826686376252</v>
      </c>
      <c r="J344" s="219">
        <f>J81/-J86</f>
        <v>-1.6192814476092</v>
      </c>
      <c r="K344" s="219">
        <f>K81/-K86</f>
        <v>1.79224384015521</v>
      </c>
      <c r="L344" s="219">
        <f>L81/-L86</f>
        <v>1.31367086337933</v>
      </c>
      <c r="N344" s="219">
        <f>N81/-N86</f>
        <v>2.18528299211562</v>
      </c>
      <c r="O344" s="219">
        <f>O81/-O86</f>
        <v>1.75504407690533</v>
      </c>
      <c r="P344" s="219">
        <f>P81/-P86</f>
        <v>1.45175724163033</v>
      </c>
      <c r="Q344" s="219">
        <f>Q81/-Q86</f>
        <v>1.29589733600895</v>
      </c>
      <c r="S344" s="219">
        <f>S81/-S86</f>
        <v>1.42267722882989</v>
      </c>
      <c r="T344" s="219">
        <f>T81/-T86</f>
        <v>1.6135934686951</v>
      </c>
      <c r="U344" s="219">
        <f>U81/-U86</f>
        <v>1.47061983099985</v>
      </c>
      <c r="V344" s="219">
        <f>V81/-V86</f>
        <v>1.40954143311915</v>
      </c>
      <c r="X344" s="219">
        <f>X81/-X86</f>
        <v>1.68811153156742</v>
      </c>
      <c r="Y344" s="219">
        <f>Y81/-Y86</f>
        <v>1.73583563522353</v>
      </c>
      <c r="Z344" s="219">
        <f>Z81/-Z86</f>
        <v>1.76372301876015</v>
      </c>
      <c r="AA344" s="219">
        <f>AA81/-AA86</f>
        <v>1.79851756989002</v>
      </c>
      <c r="AC344" s="219">
        <f>AC81/-AC86</f>
        <v>1.7958916664542</v>
      </c>
      <c r="AD344" s="219">
        <f>AD81/-AD86</f>
        <v>1.7396080617777</v>
      </c>
      <c r="AE344" s="219">
        <f>AE81/-AE86</f>
        <v>1.65049129970342</v>
      </c>
      <c r="AF344" s="219">
        <f>AF81/-AF86</f>
        <v>1.29063026586708</v>
      </c>
      <c r="AH344" s="219">
        <f>AH81/-AH86</f>
        <v>1.73798254364913</v>
      </c>
      <c r="AI344" s="219">
        <f>AI81/-AI86</f>
        <v>1.68544490639496</v>
      </c>
      <c r="AJ344" s="219" t="e">
        <f>AJ81/-AJ86</f>
        <v>#DIV/0!</v>
      </c>
      <c r="AK344" s="219" t="e">
        <f>AK81/-AK86</f>
        <v>#DIV/0!</v>
      </c>
      <c r="AM344" s="219" t="e">
        <f>AM81/-AM86</f>
        <v>#DIV/0!</v>
      </c>
      <c r="AN344" s="219" t="e">
        <f>AN81/-AN86</f>
        <v>#DIV/0!</v>
      </c>
      <c r="AO344" s="219" t="e">
        <f>AO81/-AO86</f>
        <v>#DIV/0!</v>
      </c>
      <c r="AP344" s="219" t="e">
        <f>AP81/-AP86</f>
        <v>#DIV/0!</v>
      </c>
      <c r="AR344" s="219" t="e">
        <f>AR81/-AR86</f>
        <v>#DIV/0!</v>
      </c>
      <c r="AS344" s="219" t="e">
        <f>AS81/-AS86</f>
        <v>#DIV/0!</v>
      </c>
      <c r="AT344" s="219" t="e">
        <f>AT81/-AT86</f>
        <v>#DIV/0!</v>
      </c>
      <c r="AU344" s="219" t="e">
        <f>AU81/-AU86</f>
        <v>#DIV/0!</v>
      </c>
      <c r="AW344" s="219" t="e">
        <f>AW81/-AW86</f>
        <v>#DIV/0!</v>
      </c>
      <c r="AX344" s="219" t="e">
        <f>AX81/-AX86</f>
        <v>#DIV/0!</v>
      </c>
      <c r="AY344" s="219" t="e">
        <f>AY81/-AY86</f>
        <v>#DIV/0!</v>
      </c>
      <c r="AZ344" s="219" t="e">
        <f>AZ81/-AZ86</f>
        <v>#DIV/0!</v>
      </c>
      <c r="BB344" s="219" t="e">
        <f>BB81/-BB86</f>
        <v>#DIV/0!</v>
      </c>
      <c r="BC344" s="219" t="e">
        <f>BC81/-BC86</f>
        <v>#DIV/0!</v>
      </c>
      <c r="BD344" s="219" t="e">
        <f>BD81/-BD86</f>
        <v>#DIV/0!</v>
      </c>
      <c r="BE344" s="219" t="e">
        <f>BE81/-BE86</f>
        <v>#DIV/0!</v>
      </c>
      <c r="BG344" s="219" t="e">
        <f>BG81/-BG86</f>
        <v>#DIV/0!</v>
      </c>
      <c r="BH344" s="219" t="e">
        <f>BH81/-BH86</f>
        <v>#DIV/0!</v>
      </c>
      <c r="BI344" s="219" t="e">
        <f>BI81/-BI86</f>
        <v>#DIV/0!</v>
      </c>
      <c r="BJ344" s="219" t="e">
        <f>BJ81/-BJ86</f>
        <v>#DIV/0!</v>
      </c>
      <c r="BL344" s="219" t="e">
        <f>BL81/-BL86</f>
        <v>#DIV/0!</v>
      </c>
      <c r="BM344" s="219" t="e">
        <f>BM81/-BM86</f>
        <v>#DIV/0!</v>
      </c>
      <c r="BN344" s="219" t="e">
        <f>BN81/-BN86</f>
        <v>#DIV/0!</v>
      </c>
      <c r="BO344" s="219" t="e">
        <f>BO81/-BO86</f>
        <v>#DIV/0!</v>
      </c>
      <c r="BQ344" s="219" t="e">
        <f>BQ81/-BQ86</f>
        <v>#DIV/0!</v>
      </c>
      <c r="BR344" s="219" t="e">
        <f>BR81/-BR86</f>
        <v>#DIV/0!</v>
      </c>
      <c r="BS344" s="219" t="e">
        <f>BS81/-BS86</f>
        <v>#DIV/0!</v>
      </c>
      <c r="BT344" s="219" t="e">
        <f>BT81/-BT86</f>
        <v>#DIV/0!</v>
      </c>
      <c r="BV344" s="219" t="e">
        <f>BV81/-BV86</f>
        <v>#DIV/0!</v>
      </c>
      <c r="BW344" s="219" t="e">
        <f>BW81/-BW86</f>
        <v>#DIV/0!</v>
      </c>
      <c r="BX344" s="219" t="e">
        <f>BX81/-BX86</f>
        <v>#DIV/0!</v>
      </c>
      <c r="BY344" s="219" t="e">
        <f>BY81/-BY86</f>
        <v>#DIV/0!</v>
      </c>
      <c r="CA344" s="219" t="e">
        <f>CA81/-CA86</f>
        <v>#DIV/0!</v>
      </c>
      <c r="CB344" s="219" t="e">
        <f>CB81/-CB86</f>
        <v>#DIV/0!</v>
      </c>
      <c r="CC344" s="219" t="e">
        <f>CC81/-CC86</f>
        <v>#DIV/0!</v>
      </c>
      <c r="CD344" s="219" t="e">
        <f>CD81/-CD86</f>
        <v>#DIV/0!</v>
      </c>
      <c r="CF344" s="219" t="e">
        <f>CF81/-CF86</f>
        <v>#DIV/0!</v>
      </c>
      <c r="CG344" s="219" t="e">
        <f>CG81/-CG86</f>
        <v>#DIV/0!</v>
      </c>
      <c r="CH344" s="219" t="e">
        <f>CH81/-CH86</f>
        <v>#DIV/0!</v>
      </c>
      <c r="CI344" s="219" t="e">
        <f>CI81/-CI86</f>
        <v>#DIV/0!</v>
      </c>
      <c r="CK344" s="219" t="e">
        <f>CK81/-CK86</f>
        <v>#DIV/0!</v>
      </c>
      <c r="CL344" s="219" t="e">
        <f>CL81/-CL86</f>
        <v>#DIV/0!</v>
      </c>
      <c r="CM344" s="219" t="e">
        <f>CM81/-CM86</f>
        <v>#DIV/0!</v>
      </c>
      <c r="CN344" s="219" t="e">
        <f>CN81/-CN86</f>
        <v>#DIV/0!</v>
      </c>
      <c r="CP344" s="219" t="e">
        <f>CP81/-CP86</f>
        <v>#DIV/0!</v>
      </c>
      <c r="CQ344" s="219" t="e">
        <f>CQ81/-CQ86</f>
        <v>#DIV/0!</v>
      </c>
      <c r="CR344" s="219" t="e">
        <f>CR81/-CR86</f>
        <v>#DIV/0!</v>
      </c>
      <c r="CS344" s="219" t="e">
        <f>CS81/-CS86</f>
        <v>#DIV/0!</v>
      </c>
      <c r="CU344" s="219" t="e">
        <f>CU81/-CU86</f>
        <v>#DIV/0!</v>
      </c>
      <c r="CV344" s="219" t="e">
        <f>CV81/-CV86</f>
        <v>#DIV/0!</v>
      </c>
      <c r="CW344" s="219" t="e">
        <f>CW81/-CW86</f>
        <v>#DIV/0!</v>
      </c>
      <c r="CX344" s="219" t="e">
        <f>CX81/-CX86</f>
        <v>#DIV/0!</v>
      </c>
    </row>
    <row r="345" customFormat="1" s="233">
      <c r="A345" s="224" t="n"/>
      <c r="B345" s="224" t="n"/>
      <c r="C345" s="233" t="inlineStr">
        <is>
          <t>(EBITDA - CAPEX) / TOTAL INTEREST</t>
        </is>
      </c>
      <c r="D345" s="219">
        <f>(D81-D180)/-D86</f>
        <v>4.15579596433253</v>
      </c>
      <c r="E345" s="219">
        <f>(E81-E180)/-E86</f>
        <v>8.02300548466073</v>
      </c>
      <c r="F345" s="219">
        <f>(F81-F180)/-F86</f>
        <v>-6.3777672977161</v>
      </c>
      <c r="G345" s="219">
        <f>(G81-G180)/-G86</f>
        <v>-10.6320896180647</v>
      </c>
      <c r="I345" s="219">
        <f>(I81-I180)/-I86</f>
        <v>-1.42226152407385</v>
      </c>
      <c r="J345" s="219">
        <f>(J81-J180)/-J86</f>
        <v>2.55803900808257</v>
      </c>
      <c r="K345" s="219">
        <f>(K81-K180)/-K86</f>
        <v>-6.03864639729794</v>
      </c>
      <c r="L345" s="219">
        <f>(L81-L180)/-L86</f>
        <v>-2.83661238512324</v>
      </c>
      <c r="N345" s="219">
        <f>(N81-N180)/-N86</f>
        <v>-0.11024463360661</v>
      </c>
      <c r="O345" s="219">
        <f>(O81-O180)/-O86</f>
        <v>-2.52013074759162</v>
      </c>
      <c r="P345" s="219">
        <f>(P81-P180)/-P86</f>
        <v>0.206981272092012</v>
      </c>
      <c r="Q345" s="219">
        <f>(Q81-Q180)/-Q86</f>
        <v>-0.111651167109836</v>
      </c>
      <c r="S345" s="219">
        <f>(S81-S180)/-S86</f>
        <v>1.66446061780203</v>
      </c>
      <c r="T345" s="219">
        <f>(T81-T180)/-T86</f>
        <v>1.30780750563403</v>
      </c>
      <c r="U345" s="219">
        <f>(U81-U180)/-U86</f>
        <v>-0.818461241288631</v>
      </c>
      <c r="V345" s="219">
        <f>(V81-V180)/-V86</f>
        <v>-4.55037953505328</v>
      </c>
      <c r="X345" s="219">
        <f>(X81-X180)/-X86</f>
        <v>0.774951603266282</v>
      </c>
      <c r="Y345" s="219">
        <f>(Y81-Y180)/-Y86</f>
        <v>0.334485159415645</v>
      </c>
      <c r="Z345" s="219">
        <f>(Z81-Z180)/-Z86</f>
        <v>0.197529467819039</v>
      </c>
      <c r="AA345" s="219">
        <f>(AA81-AA180)/-AA86</f>
        <v>-2.17267362109862</v>
      </c>
      <c r="AC345" s="219">
        <f>(AC81-AC180)/-AC86</f>
        <v>2.6932571318153</v>
      </c>
      <c r="AD345" s="219">
        <f>(AD81-AD180)/-AD86</f>
        <v>-0.00960924748163756</v>
      </c>
      <c r="AE345" s="219">
        <f>(AE81-AE180)/-AE86</f>
        <v>0.777995934764239</v>
      </c>
      <c r="AF345" s="219">
        <f>(AF81-AF180)/-AF86</f>
        <v>-1.46219924002315</v>
      </c>
      <c r="AH345" s="219">
        <f>(AH81-AH180)/-AH86</f>
        <v>2.03423075747815</v>
      </c>
      <c r="AI345" s="219">
        <f>(AI81-AI180)/-AI86</f>
        <v>-0.819758392982275</v>
      </c>
      <c r="AJ345" s="219" t="e">
        <f>(AJ81-AJ180)/-AJ86</f>
        <v>#DIV/0!</v>
      </c>
      <c r="AK345" s="219" t="e">
        <f>(AK81-AK180)/-AK86</f>
        <v>#DIV/0!</v>
      </c>
      <c r="AM345" s="219" t="e">
        <f>(AM81-AM180)/-AM86</f>
        <v>#DIV/0!</v>
      </c>
      <c r="AN345" s="219" t="e">
        <f>(AN81-AN180)/-AN86</f>
        <v>#DIV/0!</v>
      </c>
      <c r="AO345" s="219" t="e">
        <f>(AO81-AO180)/-AO86</f>
        <v>#DIV/0!</v>
      </c>
      <c r="AP345" s="219" t="e">
        <f>(AP81-AP180)/-AP86</f>
        <v>#DIV/0!</v>
      </c>
      <c r="AR345" s="219" t="e">
        <f>(AR81-AR180)/-AR86</f>
        <v>#DIV/0!</v>
      </c>
      <c r="AS345" s="219" t="e">
        <f>(AS81-AS180)/-AS86</f>
        <v>#DIV/0!</v>
      </c>
      <c r="AT345" s="219" t="e">
        <f>(AT81-AT180)/-AT86</f>
        <v>#DIV/0!</v>
      </c>
      <c r="AU345" s="219" t="e">
        <f>(AU81-AU180)/-AU86</f>
        <v>#DIV/0!</v>
      </c>
      <c r="AW345" s="219" t="e">
        <f>(AW81-AW180)/-AW86</f>
        <v>#DIV/0!</v>
      </c>
      <c r="AX345" s="219" t="e">
        <f>(AX81-AX180)/-AX86</f>
        <v>#DIV/0!</v>
      </c>
      <c r="AY345" s="219" t="e">
        <f>(AY81-AY180)/-AY86</f>
        <v>#DIV/0!</v>
      </c>
      <c r="AZ345" s="219" t="e">
        <f>(AZ81-AZ180)/-AZ86</f>
        <v>#DIV/0!</v>
      </c>
      <c r="BB345" s="219" t="e">
        <f>(BB81-BB180)/-BB86</f>
        <v>#DIV/0!</v>
      </c>
      <c r="BC345" s="219" t="e">
        <f>(BC81-BC180)/-BC86</f>
        <v>#DIV/0!</v>
      </c>
      <c r="BD345" s="219" t="e">
        <f>(BD81-BD180)/-BD86</f>
        <v>#DIV/0!</v>
      </c>
      <c r="BE345" s="219" t="e">
        <f>(BE81-BE180)/-BE86</f>
        <v>#DIV/0!</v>
      </c>
      <c r="BG345" s="219" t="e">
        <f>(BG81-BG180)/-BG86</f>
        <v>#DIV/0!</v>
      </c>
      <c r="BH345" s="219" t="e">
        <f>(BH81-BH180)/-BH86</f>
        <v>#DIV/0!</v>
      </c>
      <c r="BI345" s="219" t="e">
        <f>(BI81-BI180)/-BI86</f>
        <v>#DIV/0!</v>
      </c>
      <c r="BJ345" s="219" t="e">
        <f>(BJ81-BJ180)/-BJ86</f>
        <v>#DIV/0!</v>
      </c>
      <c r="BL345" s="219" t="e">
        <f>(BL81-BL180)/-BL86</f>
        <v>#DIV/0!</v>
      </c>
      <c r="BM345" s="219" t="e">
        <f>(BM81-BM180)/-BM86</f>
        <v>#DIV/0!</v>
      </c>
      <c r="BN345" s="219" t="e">
        <f>(BN81-BN180)/-BN86</f>
        <v>#DIV/0!</v>
      </c>
      <c r="BO345" s="219" t="e">
        <f>(BO81-BO180)/-BO86</f>
        <v>#DIV/0!</v>
      </c>
      <c r="BQ345" s="219" t="e">
        <f>(BQ81-BQ180)/-BQ86</f>
        <v>#DIV/0!</v>
      </c>
      <c r="BR345" s="219" t="e">
        <f>(BR81-BR180)/-BR86</f>
        <v>#DIV/0!</v>
      </c>
      <c r="BS345" s="219" t="e">
        <f>(BS81-BS180)/-BS86</f>
        <v>#DIV/0!</v>
      </c>
      <c r="BT345" s="219" t="e">
        <f>(BT81-BT180)/-BT86</f>
        <v>#DIV/0!</v>
      </c>
      <c r="BV345" s="219" t="e">
        <f>(BV81-BV180)/-BV86</f>
        <v>#DIV/0!</v>
      </c>
      <c r="BW345" s="219" t="e">
        <f>(BW81-BW180)/-BW86</f>
        <v>#DIV/0!</v>
      </c>
      <c r="BX345" s="219" t="e">
        <f>(BX81-BX180)/-BX86</f>
        <v>#DIV/0!</v>
      </c>
      <c r="BY345" s="219" t="e">
        <f>(BY81-BY180)/-BY86</f>
        <v>#DIV/0!</v>
      </c>
      <c r="CA345" s="219" t="e">
        <f>(CA81-CA180)/-CA86</f>
        <v>#DIV/0!</v>
      </c>
      <c r="CB345" s="219" t="e">
        <f>(CB81-CB180)/-CB86</f>
        <v>#DIV/0!</v>
      </c>
      <c r="CC345" s="219" t="e">
        <f>(CC81-CC180)/-CC86</f>
        <v>#DIV/0!</v>
      </c>
      <c r="CD345" s="219" t="e">
        <f>(CD81-CD180)/-CD86</f>
        <v>#DIV/0!</v>
      </c>
      <c r="CF345" s="219" t="e">
        <f>(CF81-CF180)/-CF86</f>
        <v>#DIV/0!</v>
      </c>
      <c r="CG345" s="219" t="e">
        <f>(CG81-CG180)/-CG86</f>
        <v>#DIV/0!</v>
      </c>
      <c r="CH345" s="219" t="e">
        <f>(CH81-CH180)/-CH86</f>
        <v>#DIV/0!</v>
      </c>
      <c r="CI345" s="219" t="e">
        <f>(CI81-CI180)/-CI86</f>
        <v>#DIV/0!</v>
      </c>
      <c r="CK345" s="219" t="e">
        <f>(CK81-CK180)/-CK86</f>
        <v>#DIV/0!</v>
      </c>
      <c r="CL345" s="219" t="e">
        <f>(CL81-CL180)/-CL86</f>
        <v>#DIV/0!</v>
      </c>
      <c r="CM345" s="219" t="e">
        <f>(CM81-CM180)/-CM86</f>
        <v>#DIV/0!</v>
      </c>
      <c r="CN345" s="219" t="e">
        <f>(CN81-CN180)/-CN86</f>
        <v>#DIV/0!</v>
      </c>
      <c r="CP345" s="219" t="e">
        <f>(CP81-CP180)/-CP86</f>
        <v>#DIV/0!</v>
      </c>
      <c r="CQ345" s="219" t="e">
        <f>(CQ81-CQ180)/-CQ86</f>
        <v>#DIV/0!</v>
      </c>
      <c r="CR345" s="219" t="e">
        <f>(CR81-CR180)/-CR86</f>
        <v>#DIV/0!</v>
      </c>
      <c r="CS345" s="219" t="e">
        <f>(CS81-CS180)/-CS86</f>
        <v>#DIV/0!</v>
      </c>
      <c r="CU345" s="219" t="e">
        <f>(CU81-CU180)/-CU86</f>
        <v>#DIV/0!</v>
      </c>
      <c r="CV345" s="219" t="e">
        <f>(CV81-CV180)/-CV86</f>
        <v>#DIV/0!</v>
      </c>
      <c r="CW345" s="219" t="e">
        <f>(CW81-CW180)/-CW86</f>
        <v>#DIV/0!</v>
      </c>
      <c r="CX345" s="219" t="e">
        <f>(CX81-CX180)/-CX86</f>
        <v>#DIV/0!</v>
      </c>
    </row>
    <row r="346" customFormat="1" s="233">
      <c r="A346" s="224" t="n"/>
      <c r="B346" s="224" t="n"/>
      <c r="C346" s="233" t="inlineStr">
        <is>
          <t>TOTAL DEBT / EBITDA LTM</t>
        </is>
      </c>
      <c r="D346" s="219" t="str">
        <f>""</f>
        <v/>
      </c>
      <c r="E346" s="219" t="str">
        <f>""</f>
        <v/>
      </c>
      <c r="F346" s="219" t="str">
        <f>""</f>
        <v/>
      </c>
      <c r="G346" s="219">
        <f>IFERROR(SUM(G224,G225,G226,G229,G247,G250)/(G81+F81+E81+D81),"")</f>
        <v>5.09152249173616</v>
      </c>
      <c r="I346" s="219">
        <f>IFERROR(SUM(I224,I225,I226,I229,I247,I250)/(I81+G81+F81+E81),"")</f>
        <v>9.29812770141759</v>
      </c>
      <c r="J346" s="219">
        <f>IFERROR(SUM(J224,J225,J226,J229,J247,J250)/(J81+I81+G81+F81),"")</f>
        <v>7.64980766055803</v>
      </c>
      <c r="K346" s="219">
        <f>IFERROR(SUM(K224,K225,K226,K229,K247,K250)/(K81+J81+I81+G81),"")</f>
        <v>8.68140820880149</v>
      </c>
      <c r="L346" s="219">
        <f>IFERROR(SUM(L224,L225,L226,L229,L247,L250)/(L81+K81+J81+I81),"")</f>
        <v>7.08870198839551</v>
      </c>
      <c r="N346" s="219">
        <f>IFERROR(SUM(N224,N225,N226,N229,N247,N250)/(N81+L81+K81+J81),"")</f>
        <v>5.25396211886906</v>
      </c>
      <c r="O346" s="219">
        <f>IFERROR(SUM(O224,O225,O226,O229,O247,O250)/(O81+N81+L81+K81),"")</f>
        <v>5.0134876449006</v>
      </c>
      <c r="P346" s="219">
        <f>IFERROR(SUM(P224,P225,P226,P229,P247,P250)/(P81+O81+N81+L81),"")</f>
        <v>5.65972317675037</v>
      </c>
      <c r="Q346" s="219">
        <f>IFERROR(SUM(Q224,Q225,Q226,Q229,Q247,Q250)/(Q81+P81+O81+N81),"")</f>
        <v>5.00166669857419</v>
      </c>
      <c r="S346" s="219">
        <f>IFERROR(SUM(S224,S225,S226,S229,S247,S250)/(S81+Q81+P81+O81),"")</f>
        <v>4.29883347609646</v>
      </c>
      <c r="T346" s="219">
        <f>IFERROR(SUM(T224,T225,T226,T229,T247,T250)/(T81+S81+Q81+P81),"")</f>
        <v>3.94384958328097</v>
      </c>
      <c r="U346" s="219">
        <f>IFERROR(SUM(U224,U225,U226,U229,U247,U250)/(U81+T81+S81+Q81),"")</f>
        <v>3.93297098699328</v>
      </c>
      <c r="V346" s="219">
        <f>IFERROR(SUM(V224,V225,V226,V229,V247,V250)/(V81+U81+T81+S81),"")</f>
        <v>4.38990487615783</v>
      </c>
      <c r="X346" s="219">
        <f>IFERROR(SUM(X224,X225,X226,X229,X247,X250)/(X81+V81+U81+T81),"")</f>
        <v>4.40808450242324</v>
      </c>
      <c r="Y346" s="219">
        <f>IFERROR(SUM(Y224,Y225,Y226,Y229,Y247,Y250)/(Y81+X81+V81+U81),"")</f>
        <v>4.55319322694866</v>
      </c>
      <c r="Z346" s="219">
        <f>IFERROR(SUM(Z224,Z225,Z226,Z229,Z247,Z250)/(Z81+Y81+X81+V81),"")</f>
        <v>4.37947016144462</v>
      </c>
      <c r="AA346" s="219">
        <f>IFERROR(SUM(AA224,AA225,AA226,AA229,AA247,AA250)/(AA81+Z81+Y81+X81),"")</f>
        <v>4.36577693278268</v>
      </c>
      <c r="AC346" s="219">
        <f>IFERROR(SUM(AC224,AC225,AC226,AC229,AC247,AC250)/(AC81+AA81+Z81+Y81),"")</f>
        <v>4.01224372907273</v>
      </c>
      <c r="AD346" s="219">
        <f>IFERROR(SUM(AD224,AD225,AD226,AD229,AD247,AD250)/(AD81+AC81+AA81+Z81),"")</f>
        <v>3.74620561394254</v>
      </c>
      <c r="AE346" s="219">
        <f>IFERROR(SUM(AE224,AE225,AE226,AE229,AE247,AE250)/(AE81+AD81+AC81+AA81),"")</f>
        <v>3.4409694893197</v>
      </c>
      <c r="AF346" s="219">
        <f>IFERROR(SUM(AF224,AF225,AF226,AF229,AF247,AF250)/(AF81+AE81+AD81+AC81),"")</f>
        <v>3.85629332517014</v>
      </c>
      <c r="AH346" s="219">
        <f>IFERROR(SUM(AH224,AH225,AH226,AH229,AH247,AH250)/(AH81+AF81+AE81+AD81),"")</f>
        <v>3.99721705268203</v>
      </c>
      <c r="AI346" s="219">
        <f>IFERROR(SUM(AI224,AI225,AI226,AI229,AI247,AI250)/(AI81+AH81+AF81+AE81),"")</f>
        <v>3.82554667477435</v>
      </c>
      <c r="AJ346" s="219">
        <f>IFERROR(SUM(AJ224,AJ225,AJ226,AJ229,AJ247,AJ250)/(AJ81+AI81+AH81+AF81),"")</f>
        <v>5.01756457566256</v>
      </c>
      <c r="AK346" s="219">
        <f>IFERROR(SUM(AK224,AK225,AK226,AK229,AK247,AK250)/(AK81+AJ81+AI81+AH81),"")</f>
        <v>7.31418087130392</v>
      </c>
      <c r="AM346" s="219">
        <f>IFERROR(SUM(AM224,AM225,AM226,AM229,AM247,AM250)/(AM81+AK81+AJ81+AI81),"")</f>
        <v>14.116338859007</v>
      </c>
      <c r="AN346" s="219" t="str">
        <f>IFERROR(SUM(AN224,AN225,AN226,AN229,AN247,AN250)/(AN81+AM81+AK81+AJ81),"")</f>
        <v/>
      </c>
      <c r="AO346" s="219" t="str">
        <f>IFERROR(SUM(AO224,AO225,AO226,AO229,AO247,AO250)/(AO81+AN81+AM81+AK81),"")</f>
        <v/>
      </c>
      <c r="AP346" s="219" t="str">
        <f>IFERROR(SUM(AP224,AP225,AP226,AP229,AP247,AP250)/(AP81+AO81+AN81+AM81),"")</f>
        <v/>
      </c>
      <c r="AR346" s="219" t="str">
        <f>IFERROR(SUM(AR224,AR225,AR226,AR229,AR247,AR250)/(AR81+AP81+AO81+AN81),"")</f>
        <v/>
      </c>
      <c r="AS346" s="219" t="str">
        <f>IFERROR(SUM(AS224,AS225,AS226,AS229,AS247,AS250)/(AS81+AR81+AP81+AO81),"")</f>
        <v/>
      </c>
      <c r="AT346" s="219" t="str">
        <f>IFERROR(SUM(AT224,AT225,AT226,AT229,AT247,AT250)/(AT81+AS81+AR81+AP81),"")</f>
        <v/>
      </c>
      <c r="AU346" s="219" t="str">
        <f>IFERROR(SUM(AU224,AU225,AU226,AU229,AU247,AU250)/(AU81+AT81+AS81+AR81),"")</f>
        <v/>
      </c>
      <c r="AW346" s="219" t="str">
        <f>IFERROR(SUM(AW224,AW225,AW226,AW229,AW247,AW250)/(AW81+AU81+AT81+AS81),"")</f>
        <v/>
      </c>
      <c r="AX346" s="219" t="str">
        <f>IFERROR(SUM(AX224,AX225,AX226,AX229,AX247,AX250)/(AX81+AW81+AU81+AT81),"")</f>
        <v/>
      </c>
      <c r="AY346" s="219" t="str">
        <f>IFERROR(SUM(AY224,AY225,AY226,AY229,AY247,AY250)/(AY81+AX81+AW81+AU81),"")</f>
        <v/>
      </c>
      <c r="AZ346" s="219" t="str">
        <f>IFERROR(SUM(AZ224,AZ225,AZ226,AZ229,AZ247,AZ250)/(AZ81+AY81+AX81+AW81),"")</f>
        <v/>
      </c>
      <c r="BB346" s="219" t="str">
        <f>IFERROR(SUM(BB224,BB225,BB226,BB229,BB247,BB250)/(BB81+AZ81+AY81+AX81),"")</f>
        <v/>
      </c>
      <c r="BC346" s="219" t="str">
        <f>IFERROR(SUM(BC224,BC225,BC226,BC229,BC247,BC250)/(BC81+BB81+AZ81+AY81),"")</f>
        <v/>
      </c>
      <c r="BD346" s="219" t="str">
        <f>IFERROR(SUM(BD224,BD225,BD226,BD229,BD247,BD250)/(BD81+BC81+BB81+AZ81),"")</f>
        <v/>
      </c>
      <c r="BE346" s="219" t="str">
        <f>IFERROR(SUM(BE224,BE225,BE226,BE229,BE247,BE250)/(BE81+BD81+BC81+BB81),"")</f>
        <v/>
      </c>
      <c r="BG346" s="219" t="str">
        <f>IFERROR(SUM(BG224,BG225,BG226,BG229,BG247,BG250)/(BG81+BE81+BD81+BC81),"")</f>
        <v/>
      </c>
      <c r="BH346" s="219" t="str">
        <f>IFERROR(SUM(BH224,BH225,BH226,BH229,BH247,BH250)/(BH81+BG81+BE81+BD81),"")</f>
        <v/>
      </c>
      <c r="BI346" s="219" t="str">
        <f>IFERROR(SUM(BI224,BI225,BI226,BI229,BI247,BI250)/(BI81+BH81+BG81+BE81),"")</f>
        <v/>
      </c>
      <c r="BJ346" s="219" t="str">
        <f>IFERROR(SUM(BJ224,BJ225,BJ226,BJ229,BJ247,BJ250)/(BJ81+BI81+BH81+BG81),"")</f>
        <v/>
      </c>
      <c r="BL346" s="219" t="str">
        <f>IFERROR(SUM(BL224,BL225,BL226,BL229,BL247,BL250)/(BL81+BJ81+BI81+BH81),"")</f>
        <v/>
      </c>
      <c r="BM346" s="219" t="str">
        <f>IFERROR(SUM(BM224,BM225,BM226,BM229,BM247,BM250)/(BM81+BL81+BJ81+BI81),"")</f>
        <v/>
      </c>
      <c r="BN346" s="219" t="str">
        <f>IFERROR(SUM(BN224,BN225,BN226,BN229,BN247,BN250)/(BN81+BM81+BL81+BJ81),"")</f>
        <v/>
      </c>
      <c r="BO346" s="219" t="str">
        <f>IFERROR(SUM(BO224,BO225,BO226,BO229,BO247,BO250)/(BO81+BN81+BM81+BL81),"")</f>
        <v/>
      </c>
      <c r="BQ346" s="219" t="str">
        <f>IFERROR(SUM(BQ224,BQ225,BQ226,BQ229,BQ247,BQ250)/(BQ81+BO81+BN81+BM81),"")</f>
        <v/>
      </c>
      <c r="BR346" s="219" t="str">
        <f>IFERROR(SUM(BR224,BR225,BR226,BR229,BR247,BR250)/(BR81+BQ81+BO81+BN81),"")</f>
        <v/>
      </c>
      <c r="BS346" s="219" t="str">
        <f>IFERROR(SUM(BS224,BS225,BS226,BS229,BS247,BS250)/(BS81+BR81+BQ81+BO81),"")</f>
        <v/>
      </c>
      <c r="BT346" s="219" t="str">
        <f>IFERROR(SUM(BT224,BT225,BT226,BT229,BT247,BT250)/(BT81+BS81+BR81+BQ81),"")</f>
        <v/>
      </c>
      <c r="BV346" s="219" t="str">
        <f>IFERROR(SUM(BV224,BV225,BV226,BV229,BV247,BV250)/(BV81+BT81+BS81+BR81),"")</f>
        <v/>
      </c>
      <c r="BW346" s="219" t="str">
        <f>IFERROR(SUM(BW224,BW225,BW226,BW229,BW247,BW250)/(BW81+BV81+BT81+BS81),"")</f>
        <v/>
      </c>
      <c r="BX346" s="219" t="str">
        <f>IFERROR(SUM(BX224,BX225,BX226,BX229,BX247,BX250)/(BX81+BW81+BV81+BT81),"")</f>
        <v/>
      </c>
      <c r="BY346" s="219" t="str">
        <f>IFERROR(SUM(BY224,BY225,BY226,BY229,BY247,BY250)/(BY81+BX81+BW81+BV81),"")</f>
        <v/>
      </c>
      <c r="CA346" s="219" t="str">
        <f>IFERROR(SUM(CA224,CA225,CA226,CA229,CA247,CA250)/(CA81+BY81+BX81+BW81),"")</f>
        <v/>
      </c>
      <c r="CB346" s="219" t="str">
        <f>IFERROR(SUM(CB224,CB225,CB226,CB229,CB247,CB250)/(CB81+CA81+BY81+BX81),"")</f>
        <v/>
      </c>
      <c r="CC346" s="219" t="str">
        <f>IFERROR(SUM(CC224,CC225,CC226,CC229,CC247,CC250)/(CC81+CB81+CA81+BY81),"")</f>
        <v/>
      </c>
      <c r="CD346" s="219" t="str">
        <f>IFERROR(SUM(CD224,CD225,CD226,CD229,CD247,CD250)/(CD81+CC81+CB81+CA81),"")</f>
        <v/>
      </c>
      <c r="CF346" s="219" t="str">
        <f>IFERROR(SUM(CF224,CF225,CF226,CF229,CF247,CF250)/(CF81+CD81+CC81+CB81),"")</f>
        <v/>
      </c>
      <c r="CG346" s="219" t="str">
        <f>IFERROR(SUM(CG224,CG225,CG226,CG229,CG247,CG250)/(CG81+CF81+CD81+CC81),"")</f>
        <v/>
      </c>
      <c r="CH346" s="219" t="str">
        <f>IFERROR(SUM(CH224,CH225,CH226,CH229,CH247,CH250)/(CH81+CG81+CF81+CD81),"")</f>
        <v/>
      </c>
      <c r="CI346" s="219" t="str">
        <f>IFERROR(SUM(CI224,CI225,CI226,CI229,CI247,CI250)/(CI81+CH81+CG81+CF81),"")</f>
        <v/>
      </c>
      <c r="CK346" s="219" t="str">
        <f>IFERROR(SUM(CK224,CK225,CK226,CK229,CK247,CK250)/(CK81+CI81+CH81+CG81),"")</f>
        <v/>
      </c>
      <c r="CL346" s="219" t="str">
        <f>IFERROR(SUM(CL224,CL225,CL226,CL229,CL247,CL250)/(CL81+CK81+CI81+CH81),"")</f>
        <v/>
      </c>
      <c r="CM346" s="219" t="str">
        <f>IFERROR(SUM(CM224,CM225,CM226,CM229,CM247,CM250)/(CM81+CL81+CK81+CI81),"")</f>
        <v/>
      </c>
      <c r="CN346" s="219" t="str">
        <f>IFERROR(SUM(CN224,CN225,CN226,CN229,CN247,CN250)/(CN81+CM81+CL81+CK81),"")</f>
        <v/>
      </c>
      <c r="CP346" s="219" t="str">
        <f>IFERROR(SUM(CP224,CP225,CP226,CP229,CP247,CP250)/(CP81+CN81+CM81+CL81),"")</f>
        <v/>
      </c>
      <c r="CQ346" s="219" t="str">
        <f>IFERROR(SUM(CQ224,CQ225,CQ226,CQ229,CQ247,CQ250)/(CQ81+CP81+CN81+CM81),"")</f>
        <v/>
      </c>
      <c r="CR346" s="219" t="str">
        <f>IFERROR(SUM(CR224,CR225,CR226,CR229,CR247,CR250)/(CR81+CQ81+CP81+CN81),"")</f>
        <v/>
      </c>
      <c r="CS346" s="219" t="str">
        <f>IFERROR(SUM(CS224,CS225,CS226,CS229,CS247,CS250)/(CS81+CR81+CQ81+CP81),"")</f>
        <v/>
      </c>
      <c r="CU346" s="219" t="str">
        <f>IFERROR(SUM(CU224,CU225,CU226,CU229,CU247,CU250)/(CU81+CS81+CR81+CQ81),"")</f>
        <v/>
      </c>
      <c r="CV346" s="219" t="str">
        <f>IFERROR(SUM(CV224,CV225,CV226,CV229,CV247,CV250)/(CV81+CU81+CS81+CR81),"")</f>
        <v/>
      </c>
      <c r="CW346" s="219" t="str">
        <f>IFERROR(SUM(CW224,CW225,CW226,CW229,CW247,CW250)/(CW81+CV81+CU81+CS81),"")</f>
        <v/>
      </c>
      <c r="CX346" s="219" t="str">
        <f>IFERROR(SUM(CX224,CX225,CX226,CX229,CX247,CX250)/(CX81+CW81+CV81+CU81),"")</f>
        <v/>
      </c>
    </row>
    <row r="347" customFormat="1" s="233">
      <c r="A347" s="224" t="n"/>
      <c r="B347" s="224" t="n"/>
      <c r="C347" s="233" t="inlineStr">
        <is>
          <t>TOTAL DEBT / TOTAL CAPITALIZATION</t>
        </is>
      </c>
      <c r="D347" s="221">
        <f>SUM(D224+D225+D226+D229+D247+D250)/(SUM(D224+D225+D226+D229+D247+D250)+D283)</f>
        <v>0.60409990812887</v>
      </c>
      <c r="E347" s="221">
        <f>SUM(E224+E225+E226+E229+E247+E250)/(SUM(E224+E225+E226+E229+E247+E250)+E283)</f>
        <v>0.660324781576861</v>
      </c>
      <c r="F347" s="221">
        <f>SUM(F224+F225+F226+F229+F247+F250)/(SUM(F224+F225+F226+F229+F247+F250)+F283)</f>
        <v>0.645423697589213</v>
      </c>
      <c r="G347" s="221">
        <f>SUM(G224+G225+G226+G229+G247+G250)/(SUM(G224+G225+G226+G229+G247+G250)+G283)</f>
        <v>0.658898406193013</v>
      </c>
      <c r="I347" s="221">
        <f>SUM(I224+I225+I226+I229+I247+I250)/(SUM(I224+I225+I226+I229+I247+I250)+I283)</f>
        <v>0.794049288777652</v>
      </c>
      <c r="J347" s="221">
        <f>SUM(J224+J225+J226+J229+J247+J250)/(SUM(J224+J225+J226+J229+J247+J250)+J283)</f>
        <v>0.78362216312556</v>
      </c>
      <c r="K347" s="221">
        <f>SUM(K224+K225+K226+K229+K247+K250)/(SUM(K224+K225+K226+K229+K247+K250)+K283)</f>
        <v>0.814895923822593</v>
      </c>
      <c r="L347" s="221">
        <f>SUM(L224+L225+L226+L229+L247+L250)/(SUM(L224+L225+L226+L229+L247+L250)+L283)</f>
        <v>0.818036193516294</v>
      </c>
      <c r="N347" s="221">
        <f>SUM(N224+N225+N226+N229+N247+N250)/(SUM(N224+N225+N226+N229+N247+N250)+N283)</f>
        <v>0.810673011199388</v>
      </c>
      <c r="O347" s="221">
        <f>SUM(O224+O225+O226+O229+O247+O250)/(SUM(O224+O225+O226+O229+O247+O250)+O283)</f>
        <v>0.847261038139179</v>
      </c>
      <c r="P347" s="221">
        <f>SUM(P224+P225+P226+P229+P247+P250)/(SUM(P224+P225+P226+P229+P247+P250)+P283)</f>
        <v>0.876122963753134</v>
      </c>
      <c r="Q347" s="221">
        <f>SUM(Q224+Q225+Q226+Q229+Q247+Q250)/(SUM(Q224+Q225+Q226+Q229+Q247+Q250)+Q283)</f>
        <v>0.865167604741032</v>
      </c>
      <c r="S347" s="221">
        <f>SUM(S224+S225+S226+S229+S247+S250)/(SUM(S224+S225+S226+S229+S247+S250)+S283)</f>
        <v>0.844052012795681</v>
      </c>
      <c r="T347" s="221">
        <f>SUM(T224+T225+T226+T229+T247+T250)/(SUM(T224+T225+T226+T229+T247+T250)+T283)</f>
        <v>0.820013343893148</v>
      </c>
      <c r="U347" s="221">
        <f>SUM(U224+U225+U226+U229+U247+U250)/(SUM(U224+U225+U226+U229+U247+U250)+U283)</f>
        <v>0.819346779423077</v>
      </c>
      <c r="V347" s="221">
        <f>SUM(V224+V225+V226+V229+V247+V250)/(SUM(V224+V225+V226+V229+V247+V250)+V283)</f>
        <v>0.858971599720038</v>
      </c>
      <c r="X347" s="221">
        <f>SUM(X224+X225+X226+X229+X247+X250)/(SUM(X224+X225+X226+X229+X247+X250)+X283)</f>
        <v>0.865936585013612</v>
      </c>
      <c r="Y347" s="221">
        <f>SUM(Y224+Y225+Y226+Y229+Y247+Y250)/(SUM(Y224+Y225+Y226+Y229+Y247+Y250)+Y283)</f>
        <v>0.877629487273875</v>
      </c>
      <c r="Z347" s="221">
        <f>SUM(Z224+Z225+Z226+Z229+Z247+Z250)/(SUM(Z224+Z225+Z226+Z229+Z247+Z250)+Z283)</f>
        <v>0.876866364740929</v>
      </c>
      <c r="AA347" s="221">
        <f>SUM(AA224+AA225+AA226+AA229+AA247+AA250)/(SUM(AA224+AA225+AA226+AA229+AA247+AA250)+AA283)</f>
        <v>0.8916983345953</v>
      </c>
      <c r="AC347" s="221">
        <f>SUM(AC224+AC225+AC226+AC229+AC247+AC250)/(SUM(AC224+AC225+AC226+AC229+AC247+AC250)+AC283)</f>
        <v>0.884546788290722</v>
      </c>
      <c r="AD347" s="221">
        <f>SUM(AD224+AD225+AD226+AD229+AD247+AD250)/(SUM(AD224+AD225+AD226+AD229+AD247+AD250)+AD283)</f>
        <v>0.88048160457374</v>
      </c>
      <c r="AE347" s="221">
        <f>SUM(AE224+AE225+AE226+AE229+AE247+AE250)/(SUM(AE224+AE225+AE226+AE229+AE247+AE250)+AE283)</f>
        <v>0.870349460803344</v>
      </c>
      <c r="AF347" s="221">
        <f>SUM(AF224+AF225+AF226+AF229+AF247+AF250)/(SUM(AF224+AF225+AF226+AF229+AF247+AF250)+AF283)</f>
        <v>0.880788592160883</v>
      </c>
      <c r="AH347" s="221">
        <f>SUM(AH224+AH225+AH226+AH229+AH247+AH250)/(SUM(AH224+AH225+AH226+AH229+AH247+AH250)+AH283)</f>
        <v>0.885544785054393</v>
      </c>
      <c r="AI347" s="221">
        <f>SUM(AI224+AI225+AI226+AI229+AI247+AI250)/(SUM(AI224+AI225+AI226+AI229+AI247+AI250)+AI283)</f>
        <v>0.859213130009287</v>
      </c>
      <c r="AJ347" s="221">
        <f>SUM(AJ224+AJ225+AJ226+AJ229+AJ247+AJ250)/(SUM(AJ224+AJ225+AJ226+AJ229+AJ247+AJ250)+AJ283)</f>
        <v>0.854624378212251</v>
      </c>
      <c r="AK347" s="221">
        <f>SUM(AK224+AK225+AK226+AK229+AK247+AK250)/(SUM(AK224+AK225+AK226+AK229+AK247+AK250)+AK283)</f>
        <v>0.849891998212171</v>
      </c>
      <c r="AM347" s="221">
        <f>SUM(AM224+AM225+AM226+AM229+AM247+AM250)/(SUM(AM224+AM225+AM226+AM229+AM247+AM250)+AM283)</f>
        <v>0.845211739569726</v>
      </c>
      <c r="AN347" s="221">
        <f>SUM(AN224+AN225+AN226+AN229+AN247+AN250)/(SUM(AN224+AN225+AN226+AN229+AN247+AN250)+AN283)</f>
        <v>0.827359456892862</v>
      </c>
      <c r="AO347" s="221">
        <f>SUM(AO224+AO225+AO226+AO229+AO247+AO250)/(SUM(AO224+AO225+AO226+AO229+AO247+AO250)+AO283)</f>
        <v>0.822923429130475</v>
      </c>
      <c r="AP347" s="221">
        <f>SUM(AP224+AP225+AP226+AP229+AP247+AP250)/(SUM(AP224+AP225+AP226+AP229+AP247+AP250)+AP283)</f>
        <v>0.805990833815878</v>
      </c>
      <c r="AR347" s="221">
        <f>SUM(AR224+AR225+AR226+AR229+AR247+AR250)/(SUM(AR224+AR225+AR226+AR229+AR247+AR250)+AR283)</f>
        <v>0.789741005013023</v>
      </c>
      <c r="AS347" s="221">
        <f>SUM(AS224+AS225+AS226+AS229+AS247+AS250)/(SUM(AS224+AS225+AS226+AS229+AS247+AS250)+AS283)</f>
        <v>0.751695042952718</v>
      </c>
      <c r="AT347" s="221">
        <f>SUM(AT224+AT225+AT226+AT229+AT247+AT250)/(SUM(AT224+AT225+AT226+AT229+AT247+AT250)+AT283)</f>
        <v>0.737541596556552</v>
      </c>
      <c r="AU347" s="221">
        <f>SUM(AU224+AU225+AU226+AU229+AU247+AU250)/(SUM(AU224+AU225+AU226+AU229+AU247+AU250)+AU283)</f>
        <v>0.70425285836655</v>
      </c>
      <c r="AW347" s="221">
        <f>SUM(AW224+AW225+AW226+AW229+AW247+AW250)/(SUM(AW224+AW225+AW226+AW229+AW247+AW250)+AW283)</f>
        <v>0.673839305649489</v>
      </c>
      <c r="AX347" s="221">
        <f>SUM(AX224+AX225+AX226+AX229+AX247+AX250)/(SUM(AX224+AX225+AX226+AX229+AX247+AX250)+AX283)</f>
        <v>0.601225663530209</v>
      </c>
      <c r="AY347" s="221">
        <f>SUM(AY224+AY225+AY226+AY229+AY247+AY250)/(SUM(AY224+AY225+AY226+AY229+AY247+AY250)+AY283)</f>
        <v>0.57891885691077</v>
      </c>
      <c r="AZ347" s="221">
        <f>SUM(AZ224+AZ225+AZ226+AZ229+AZ247+AZ250)/(SUM(AZ224+AZ225+AZ226+AZ229+AZ247+AZ250)+AZ283)</f>
        <v>0.524495669606319</v>
      </c>
      <c r="BB347" s="221">
        <f>SUM(BB224+BB225+BB226+BB229+BB247+BB250)/(SUM(BB224+BB225+BB226+BB229+BB247+BB250)+BB283)</f>
        <v>0.479425669393831</v>
      </c>
      <c r="BC347" s="221">
        <f>SUM(BC224+BC225+BC226+BC229+BC247+BC250)/(SUM(BC224+BC225+BC226+BC229+BC247+BC250)+BC283)</f>
        <v>0.388730248340105</v>
      </c>
      <c r="BD347" s="221">
        <f>SUM(BD224+BD225+BD226+BD229+BD247+BD250)/(SUM(BD224+BD225+BD226+BD229+BD247+BD250)+BD283)</f>
        <v>0.363409911785145</v>
      </c>
      <c r="BE347" s="221">
        <f>SUM(BE224+BE225+BE226+BE229+BE247+BE250)/(SUM(BE224+BE225+BE226+BE229+BE247+BE250)+BE283)</f>
        <v>0.308798041741241</v>
      </c>
      <c r="BG347" s="221">
        <f>SUM(BG224+BG225+BG226+BG229+BG247+BG250)/(SUM(BG224+BG225+BG226+BG229+BG247+BG250)+BG283)</f>
        <v>0.268455554200051</v>
      </c>
      <c r="BH347" s="221">
        <f>SUM(BH224+BH225+BH226+BH229+BH247+BH250)/(SUM(BH224+BH225+BH226+BH229+BH247+BH250)+BH283)</f>
        <v>0.197754283706233</v>
      </c>
      <c r="BI347" s="221">
        <f>SUM(BI224+BI225+BI226+BI229+BI247+BI250)/(SUM(BI224+BI225+BI226+BI229+BI247+BI250)+BI283)</f>
        <v>0.180393747939975</v>
      </c>
      <c r="BJ347" s="221">
        <f>SUM(BJ224+BJ225+BJ226+BJ229+BJ247+BJ250)/(SUM(BJ224+BJ225+BJ226+BJ229+BJ247+BJ250)+BJ283)</f>
        <v>0.145450347218813</v>
      </c>
      <c r="BL347" s="221">
        <f>SUM(BL224+BL225+BL226+BL229+BL247+BL250)/(SUM(BL224+BL225+BL226+BL229+BL247+BL250)+BL283)</f>
        <v>0.121847685998954</v>
      </c>
      <c r="BM347" s="221">
        <f>SUM(BM224+BM225+BM226+BM229+BM247+BM250)/(SUM(BM224+BM225+BM226+BM229+BM247+BM250)+BM283)</f>
        <v>0.0844323367008059</v>
      </c>
      <c r="BN347" s="221">
        <f>SUM(BN224+BN225+BN226+BN229+BN247+BN250)/(SUM(BN224+BN225+BN226+BN229+BN247+BN250)+BN283)</f>
        <v>0.0758980301664595</v>
      </c>
      <c r="BO347" s="221">
        <f>SUM(BO224+BO225+BO226+BO229+BO247+BO250)/(SUM(BO224+BO225+BO226+BO229+BO247+BO250)+BO283)</f>
        <v>0.0594798778090823</v>
      </c>
      <c r="BQ347" s="221">
        <f>SUM(BQ224+BQ225+BQ226+BQ229+BQ247+BQ250)/(SUM(BQ224+BQ225+BQ226+BQ229+BQ247+BQ250)+BQ283)</f>
        <v>0.0489015624003452</v>
      </c>
      <c r="BR347" s="221">
        <f>SUM(BR224+BR225+BR226+BR229+BR247+BR250)/(SUM(BR224+BR225+BR226+BR229+BR247+BR250)+BR283)</f>
        <v>0.0329094005938991</v>
      </c>
      <c r="BS347" s="221">
        <f>SUM(BS224+BS225+BS226+BS229+BS247+BS250)/(SUM(BS224+BS225+BS226+BS229+BS247+BS250)+BS283)</f>
        <v>0.0293916311632759</v>
      </c>
      <c r="BT347" s="221">
        <f>SUM(BT224+BT225+BT226+BT229+BT247+BT250)/(SUM(BT224+BT225+BT226+BT229+BT247+BT250)+BT283)</f>
        <v>0.0227476937839859</v>
      </c>
      <c r="BV347" s="221">
        <f>SUM(BV224+BV225+BV226+BV229+BV247+BV250)/(SUM(BV224+BV225+BV226+BV229+BV247+BV250)+BV283)</f>
        <v>0.0185536638536534</v>
      </c>
      <c r="BW347" s="221">
        <f>SUM(BW224+BW225+BW226+BW229+BW247+BW250)/(SUM(BW224+BW225+BW226+BW229+BW247+BW250)+BW283)</f>
        <v>0.0123387019770165</v>
      </c>
      <c r="BX347" s="221">
        <f>SUM(BX224+BX225+BX226+BX229+BX247+BX250)/(SUM(BX224+BX225+BX226+BX229+BX247+BX250)+BX283)</f>
        <v>0.0109910627884448</v>
      </c>
      <c r="BY347" s="221">
        <f>SUM(BY224+BY225+BY226+BY229+BY247+BY250)/(SUM(BY224+BY225+BY226+BY229+BY247+BY250)+BY283)</f>
        <v>0.00846517102848175</v>
      </c>
      <c r="CA347" s="221">
        <f>SUM(CA224+CA225+CA226+CA229+CA247+CA250)/(SUM(CA224+CA225+CA226+CA229+CA247+CA250)+CA283)</f>
        <v>0.00688329800590518</v>
      </c>
      <c r="CB347" s="221">
        <f>SUM(CB224+CB225+CB226+CB229+CB247+CB250)/(SUM(CB224+CB225+CB226+CB229+CB247+CB250)+CB283)</f>
        <v>0.00455685082012691</v>
      </c>
      <c r="CC347" s="221">
        <f>SUM(CC224+CC225+CC226+CC229+CC247+CC250)/(SUM(CC224+CC225+CC226+CC229+CC247+CC250)+CC283)</f>
        <v>0.00405518471126926</v>
      </c>
      <c r="CD347" s="221">
        <f>SUM(CD224+CD225+CD226+CD229+CD247+CD250)/(SUM(CD224+CD225+CD226+CD229+CD247+CD250)+CD283)</f>
        <v>0.00311751314203165</v>
      </c>
      <c r="CF347" s="221">
        <f>SUM(CF224+CF225+CF226+CF229+CF247+CF250)/(SUM(CF224+CF225+CF226+CF229+CF247+CF250)+CF283)</f>
        <v>0.00253203595707433</v>
      </c>
      <c r="CG347" s="221">
        <f>SUM(CG224+CG225+CG226+CG229+CG247+CG250)/(SUM(CG224+CG225+CG226+CG229+CG247+CG250)+CG283)</f>
        <v>0.00167342593943501</v>
      </c>
      <c r="CH347" s="221">
        <f>SUM(CH224+CH225+CH226+CH229+CH247+CH250)/(SUM(CH224+CH225+CH226+CH229+CH247+CH250)+CH283)</f>
        <v>0.00148865549031942</v>
      </c>
      <c r="CI347" s="221">
        <f>SUM(CI224+CI225+CI226+CI229+CI247+CI250)/(SUM(CI224+CI225+CI226+CI229+CI247+CI250)+CI283)</f>
        <v>0.00114366164597228</v>
      </c>
      <c r="CK347" s="221">
        <f>SUM(CK224+CK225+CK226+CK229+CK247+CK250)/(SUM(CK224+CK225+CK226+CK229+CK247+CK250)+CK283)</f>
        <v>0.00092848624661049</v>
      </c>
      <c r="CL347" s="221">
        <f>SUM(CL224+CL225+CL226+CL229+CL247+CL250)/(SUM(CL224+CL225+CL226+CL229+CL247+CL250)+CL283)</f>
        <v>0.000613256946984868</v>
      </c>
      <c r="CM347" s="221">
        <f>SUM(CM224+CM225+CM226+CM229+CM247+CM250)/(SUM(CM224+CM225+CM226+CM229+CM247+CM250)+CM283)</f>
        <v>0.000545471824498522</v>
      </c>
      <c r="CN347" s="221">
        <f>SUM(CN224+CN225+CN226+CN229+CN247+CN250)/(SUM(CN224+CN225+CN226+CN229+CN247+CN250)+CN283)</f>
        <v>0.000418954990346895</v>
      </c>
      <c r="CP347" s="221">
        <f>SUM(CP224+CP225+CP226+CP229+CP247+CP250)/(SUM(CP224+CP225+CP226+CP229+CP247+CP250)+CP283)</f>
        <v>0.000340077380809276</v>
      </c>
      <c r="CQ347" s="221">
        <f>SUM(CQ224+CQ225+CQ226+CQ229+CQ247+CQ250)/(SUM(CQ224+CQ225+CQ226+CQ229+CQ247+CQ250)+CQ283)</f>
        <v>0.000224567001050567</v>
      </c>
      <c r="CR347" s="221">
        <f>SUM(CR224+CR225+CR226+CR229+CR247+CR250)/(SUM(CR224+CR225+CR226+CR229+CR247+CR250)+CR283)</f>
        <v>0.000199735151513309</v>
      </c>
      <c r="CS347" s="221">
        <f>SUM(CS224+CS225+CS226+CS229+CS247+CS250)/(SUM(CS224+CS225+CS226+CS229+CS247+CS250)+CS283)</f>
        <v>0.000153394542499042</v>
      </c>
      <c r="CU347" s="221">
        <f>SUM(CU224+CU225+CU226+CU229+CU247+CU250)/(SUM(CU224+CU225+CU226+CU229+CU247+CU250)+CU283)</f>
        <v>0.000124507518016703</v>
      </c>
      <c r="CV347" s="221">
        <f>SUM(CV224+CV225+CV226+CV229+CV247+CV250)/(SUM(CV224+CV225+CV226+CV229+CV247+CV250)+CV283)</f>
        <v>8.22105494399492e-05</v>
      </c>
      <c r="CW347" s="221">
        <f>SUM(CW224+CW225+CW226+CW229+CW247+CW250)/(SUM(CW224+CW225+CW226+CW229+CW247+CW250)+CW283)</f>
        <v>7.3118679480105e-05</v>
      </c>
      <c r="CX347" s="221">
        <f>SUM(CX224+CX225+CX226+CX229+CX247+CX250)/(SUM(CX224+CX225+CX226+CX229+CX247+CX250)+CX283)</f>
        <v>5.61525151484099e-05</v>
      </c>
    </row>
    <row r="348" customFormat="1" s="233">
      <c r="A348" s="224" t="n"/>
      <c r="B348" s="224" t="n"/>
      <c r="C348" s="233" t="inlineStr">
        <is>
          <t>NET DEBT / EBITDA LTM (com arrendamentos)</t>
        </is>
      </c>
      <c r="D348" s="219" t="str">
        <f>""</f>
        <v/>
      </c>
      <c r="E348" s="219" t="str">
        <f>""</f>
        <v/>
      </c>
      <c r="F348" s="219" t="str">
        <f>""</f>
        <v/>
      </c>
      <c r="G348" s="219">
        <f>IFERROR((SUM(G224,G225,G226,G229,G247,G250)-G156)/(G81+F81+E81+D81),"")</f>
        <v>3.15504290046957</v>
      </c>
      <c r="I348" s="219">
        <f>IFERROR((SUM(I224,I225,I226,I229,I247,I250)-I156)/(I81+G81+F81+E81),"")</f>
        <v>3.6406061234356</v>
      </c>
      <c r="J348" s="219">
        <f>IFERROR((SUM(J224,J225,J226,J229,J247,J250)-J156)/(J81+I81+G81+F81),"")</f>
        <v>3.06275548951626</v>
      </c>
      <c r="K348" s="219">
        <f>IFERROR((SUM(K224,K225,K226,K229,K247,K250)-K156)/(K81+J81+I81+G81),"")</f>
        <v>3.54730038296489</v>
      </c>
      <c r="L348" s="219">
        <f>IFERROR((SUM(L224,L225,L226,L229,L247,L250)-L156)/(L81+K81+J81+I81),"")</f>
        <v>3.35058132891916</v>
      </c>
      <c r="N348" s="219">
        <f>IFERROR((SUM(N224,N225,N226,N229,N247,N250)-N156)/(N81+L81+K81+J81),"")</f>
        <v>3.11486879627677</v>
      </c>
      <c r="O348" s="219">
        <f>IFERROR((SUM(O224,O225,O226,O229,O247,O250)-O156)/(O81+N81+L81+K81),"")</f>
        <v>3.2015741021007</v>
      </c>
      <c r="P348" s="219">
        <f>IFERROR((SUM(P224,P225,P226,P229,P247,P250)-P156)/(P81+O81+N81+L81),"")</f>
        <v>3.41338863689346</v>
      </c>
      <c r="Q348" s="219">
        <f>IFERROR((SUM(Q224,Q225,Q226,Q229,Q247,Q250)-Q156)/(Q81+P81+O81+N81),"")</f>
        <v>3.07946351450422</v>
      </c>
      <c r="S348" s="219">
        <f>IFERROR((SUM(S224,S225,S226,S229,S247,S250)-S156)/(S81+Q81+P81+O81),"")</f>
        <v>3.19813146309431</v>
      </c>
      <c r="T348" s="219">
        <f>IFERROR((SUM(T224,T225,T226,T229,T247,T250)-T156)/(T81+S81+Q81+P81),"")</f>
        <v>3.21746793526132</v>
      </c>
      <c r="U348" s="219">
        <f>IFERROR((SUM(U224,U225,U226,U229,U247,U250)-U156)/(U81+T81+S81+Q81),"")</f>
        <v>3.35696489448813</v>
      </c>
      <c r="V348" s="219">
        <f>IFERROR((SUM(V224,V225,V226,V229,V247,V250)-V156)/(V81+U81+T81+S81),"")</f>
        <v>3.53295528033485</v>
      </c>
      <c r="X348" s="219">
        <f>IFERROR((SUM(X224,X225,X226,X229,X247,X250)-X156)/(X81+V81+U81+T81),"")</f>
        <v>3.5362797041503</v>
      </c>
      <c r="Y348" s="219">
        <f>IFERROR((SUM(Y224,Y225,Y226,Y229,Y247,Y250)-Y156)/(Y81+X81+V81+U81),"")</f>
        <v>3.6185919310876</v>
      </c>
      <c r="Z348" s="219">
        <f>IFERROR((SUM(Z224,Z225,Z226,Z229,Z247,Z250)-Z156)/(Z81+Y81+X81+V81),"")</f>
        <v>3.45967817498151</v>
      </c>
      <c r="AA348" s="219">
        <f>IFERROR((SUM(AA224,AA225,AA226,AA229,AA247,AA250)-AA156)/(AA81+Z81+Y81+X81),"")</f>
        <v>3.45284121091286</v>
      </c>
      <c r="AC348" s="219">
        <f>IFERROR((SUM(AC224,AC225,AC226,AC229,AC247,AC250)-AC156)/(AC81+AA81+Z81+Y81),"")</f>
        <v>3.40229748403789</v>
      </c>
      <c r="AD348" s="219">
        <f>IFERROR((SUM(AD224,AD225,AD226,AD229,AD247,AD250)-AD156)/(AD81+AC81+AA81+Z81),"")</f>
        <v>3.08552181338856</v>
      </c>
      <c r="AE348" s="219">
        <f>IFERROR((SUM(AE224,AE225,AE226,AE229,AE247,AE250)-AE156)/(AE81+AD81+AC81+AA81),"")</f>
        <v>2.83081304832926</v>
      </c>
      <c r="AF348" s="219">
        <f>IFERROR((SUM(AF224,AF225,AF226,AF229,AF247,AF250)-AF156)/(AF81+AE81+AD81+AC81),"")</f>
        <v>2.64714762845599</v>
      </c>
      <c r="AH348" s="219">
        <f>IFERROR((SUM(AH224,AH225,AH226,AH229,AH247,AH250)-AH156)/(AH81+AF81+AE81+AD81),"")</f>
        <v>2.62931456283968</v>
      </c>
      <c r="AI348" s="219">
        <f>IFERROR((SUM(AI224,AI225,AI226,AI229,AI247,AI250)-AI156)/(AI81+AH81+AF81+AE81),"")</f>
        <v>2.6238824204182</v>
      </c>
      <c r="AJ348" s="219">
        <f>IFERROR((SUM(AJ224,AJ225,AJ226,AJ229,AJ247,AJ250)-AJ156)/(AJ81+AI81+AH81+AF81),"")</f>
        <v>4.03580938834831</v>
      </c>
      <c r="AK348" s="219">
        <f>IFERROR((SUM(AK224,AK225,AK226,AK229,AK247,AK250)-AK156)/(AK81+AJ81+AI81+AH81),"")</f>
        <v>5.83540651050839</v>
      </c>
      <c r="AM348" s="219" t="str">
        <f>IFERROR((SUM(AM224,AM225,AM226,AM229,AM247,AM250)-AM156)/(AM81+AK81+AJ81+AI81),"")</f>
        <v/>
      </c>
      <c r="AN348" s="219" t="str">
        <f>IFERROR((SUM(AN224,AN225,AN226,AN229,AN247,AN250)-AN156)/(AN81+AM81+AK81+AJ81),"")</f>
        <v/>
      </c>
      <c r="AO348" s="219" t="str">
        <f>IFERROR((SUM(AO224,AO225,AO226,AO229,AO247,AO250)-AO156)/(AO81+AN81+AM81+AK81),"")</f>
        <v/>
      </c>
      <c r="AP348" s="219" t="str">
        <f>IFERROR((SUM(AP224,AP225,AP226,AP229,AP247,AP250)-AP156)/(AP81+AO81+AN81+AM81),"")</f>
        <v/>
      </c>
      <c r="AR348" s="219" t="str">
        <f>IFERROR((SUM(AR224,AR225,AR226,AR229,AR247,AR250)-AR156)/(AR81+AP81+AO81+AN81),"")</f>
        <v/>
      </c>
      <c r="AS348" s="219" t="str">
        <f>IFERROR((SUM(AS224,AS225,AS226,AS229,AS247,AS250)-AS156)/(AS81+AR81+AP81+AO81),"")</f>
        <v/>
      </c>
      <c r="AT348" s="219" t="str">
        <f>IFERROR((SUM(AT224,AT225,AT226,AT229,AT247,AT250)-AT156)/(AT81+AS81+AR81+AP81),"")</f>
        <v/>
      </c>
      <c r="AU348" s="219" t="str">
        <f>IFERROR((SUM(AU224,AU225,AU226,AU229,AU247,AU250)-AU156)/(AU81+AT81+AS81+AR81),"")</f>
        <v/>
      </c>
      <c r="AW348" s="219" t="str">
        <f>IFERROR((SUM(AW224,AW225,AW226,AW229,AW247,AW250)-AW156)/(AW81+AU81+AT81+AS81),"")</f>
        <v/>
      </c>
      <c r="AX348" s="219" t="str">
        <f>IFERROR((SUM(AX224,AX225,AX226,AX229,AX247,AX250)-AX156)/(AX81+AW81+AU81+AT81),"")</f>
        <v/>
      </c>
      <c r="AY348" s="219" t="str">
        <f>IFERROR((SUM(AY224,AY225,AY226,AY229,AY247,AY250)-AY156)/(AY81+AX81+AW81+AU81),"")</f>
        <v/>
      </c>
      <c r="AZ348" s="219" t="str">
        <f>IFERROR((SUM(AZ224,AZ225,AZ226,AZ229,AZ247,AZ250)-AZ156)/(AZ81+AY81+AX81+AW81),"")</f>
        <v/>
      </c>
      <c r="BB348" s="219" t="str">
        <f>IFERROR((SUM(BB224,BB225,BB226,BB229,BB247,BB250)-BB156)/(BB81+AZ81+AY81+AX81),"")</f>
        <v/>
      </c>
      <c r="BC348" s="219" t="str">
        <f>IFERROR((SUM(BC224,BC225,BC226,BC229,BC247,BC250)-BC156)/(BC81+BB81+AZ81+AY81),"")</f>
        <v/>
      </c>
      <c r="BD348" s="219" t="str">
        <f>IFERROR((SUM(BD224,BD225,BD226,BD229,BD247,BD250)-BD156)/(BD81+BC81+BB81+AZ81),"")</f>
        <v/>
      </c>
      <c r="BE348" s="219" t="str">
        <f>IFERROR((SUM(BE224,BE225,BE226,BE229,BE247,BE250)-BE156)/(BE81+BD81+BC81+BB81),"")</f>
        <v/>
      </c>
      <c r="BG348" s="219" t="str">
        <f>IFERROR((SUM(BG224,BG225,BG226,BG229,BG247,BG250)-BG156)/(BG81+BE81+BD81+BC81),"")</f>
        <v/>
      </c>
      <c r="BH348" s="219" t="str">
        <f>IFERROR((SUM(BH224,BH225,BH226,BH229,BH247,BH250)-BH156)/(BH81+BG81+BE81+BD81),"")</f>
        <v/>
      </c>
      <c r="BI348" s="219" t="str">
        <f>IFERROR((SUM(BI224,BI225,BI226,BI229,BI247,BI250)-BI156)/(BI81+BH81+BG81+BE81),"")</f>
        <v/>
      </c>
      <c r="BJ348" s="219" t="str">
        <f>IFERROR((SUM(BJ224,BJ225,BJ226,BJ229,BJ247,BJ250)-BJ156)/(BJ81+BI81+BH81+BG81),"")</f>
        <v/>
      </c>
      <c r="BL348" s="219" t="str">
        <f>IFERROR((SUM(BL224,BL225,BL226,BL229,BL247,BL250)-BL156)/(BL81+BJ81+BI81+BH81),"")</f>
        <v/>
      </c>
      <c r="BM348" s="219" t="str">
        <f>IFERROR((SUM(BM224,BM225,BM226,BM229,BM247,BM250)-BM156)/(BM81+BL81+BJ81+BI81),"")</f>
        <v/>
      </c>
      <c r="BN348" s="219" t="str">
        <f>IFERROR((SUM(BN224,BN225,BN226,BN229,BN247,BN250)-BN156)/(BN81+BM81+BL81+BJ81),"")</f>
        <v/>
      </c>
      <c r="BO348" s="219" t="str">
        <f>IFERROR((SUM(BO224,BO225,BO226,BO229,BO247,BO250)-BO156)/(BO81+BN81+BM81+BL81),"")</f>
        <v/>
      </c>
      <c r="BQ348" s="219" t="str">
        <f>IFERROR((SUM(BQ224,BQ225,BQ226,BQ229,BQ247,BQ250)-BQ156)/(BQ81+BO81+BN81+BM81),"")</f>
        <v/>
      </c>
      <c r="BR348" s="219" t="str">
        <f>IFERROR((SUM(BR224,BR225,BR226,BR229,BR247,BR250)-BR156)/(BR81+BQ81+BO81+BN81),"")</f>
        <v/>
      </c>
      <c r="BS348" s="219" t="str">
        <f>IFERROR((SUM(BS224,BS225,BS226,BS229,BS247,BS250)-BS156)/(BS81+BR81+BQ81+BO81),"")</f>
        <v/>
      </c>
      <c r="BT348" s="219" t="str">
        <f>IFERROR((SUM(BT224,BT225,BT226,BT229,BT247,BT250)-BT156)/(BT81+BS81+BR81+BQ81),"")</f>
        <v/>
      </c>
      <c r="BV348" s="219" t="str">
        <f>IFERROR((SUM(BV224,BV225,BV226,BV229,BV247,BV250)-BV156)/(BV81+BT81+BS81+BR81),"")</f>
        <v/>
      </c>
      <c r="BW348" s="219" t="str">
        <f>IFERROR((SUM(BW224,BW225,BW226,BW229,BW247,BW250)-BW156)/(BW81+BV81+BT81+BS81),"")</f>
        <v/>
      </c>
      <c r="BX348" s="219" t="str">
        <f>IFERROR((SUM(BX224,BX225,BX226,BX229,BX247,BX250)-BX156)/(BX81+BW81+BV81+BT81),"")</f>
        <v/>
      </c>
      <c r="BY348" s="219" t="str">
        <f>IFERROR((SUM(BY224,BY225,BY226,BY229,BY247,BY250)-BY156)/(BY81+BX81+BW81+BV81),"")</f>
        <v/>
      </c>
      <c r="CA348" s="219" t="str">
        <f>IFERROR((SUM(CA224,CA225,CA226,CA229,CA247,CA250)-CA156)/(CA81+BY81+BX81+BW81),"")</f>
        <v/>
      </c>
      <c r="CB348" s="219" t="str">
        <f>IFERROR((SUM(CB224,CB225,CB226,CB229,CB247,CB250)-CB156)/(CB81+CA81+BY81+BX81),"")</f>
        <v/>
      </c>
      <c r="CC348" s="219" t="str">
        <f>IFERROR((SUM(CC224,CC225,CC226,CC229,CC247,CC250)-CC156)/(CC81+CB81+CA81+BY81),"")</f>
        <v/>
      </c>
      <c r="CD348" s="219" t="str">
        <f>IFERROR((SUM(CD224,CD225,CD226,CD229,CD247,CD250)-CD156)/(CD81+CC81+CB81+CA81),"")</f>
        <v/>
      </c>
      <c r="CF348" s="219" t="str">
        <f>IFERROR((SUM(CF224,CF225,CF226,CF229,CF247,CF250)-CF156)/(CF81+CD81+CC81+CB81),"")</f>
        <v/>
      </c>
      <c r="CG348" s="219" t="str">
        <f>IFERROR((SUM(CG224,CG225,CG226,CG229,CG247,CG250)-CG156)/(CG81+CF81+CD81+CC81),"")</f>
        <v/>
      </c>
      <c r="CH348" s="219" t="str">
        <f>IFERROR((SUM(CH224,CH225,CH226,CH229,CH247,CH250)-CH156)/(CH81+CG81+CF81+CD81),"")</f>
        <v/>
      </c>
      <c r="CI348" s="219" t="str">
        <f>IFERROR((SUM(CI224,CI225,CI226,CI229,CI247,CI250)-CI156)/(CI81+CH81+CG81+CF81),"")</f>
        <v/>
      </c>
      <c r="CK348" s="219" t="str">
        <f>IFERROR((SUM(CK224,CK225,CK226,CK229,CK247,CK250)-CK156)/(CK81+CI81+CH81+CG81),"")</f>
        <v/>
      </c>
      <c r="CL348" s="219" t="str">
        <f>IFERROR((SUM(CL224,CL225,CL226,CL229,CL247,CL250)-CL156)/(CL81+CK81+CI81+CH81),"")</f>
        <v/>
      </c>
      <c r="CM348" s="219" t="str">
        <f>IFERROR((SUM(CM224,CM225,CM226,CM229,CM247,CM250)-CM156)/(CM81+CL81+CK81+CI81),"")</f>
        <v/>
      </c>
      <c r="CN348" s="219" t="str">
        <f>IFERROR((SUM(CN224,CN225,CN226,CN229,CN247,CN250)-CN156)/(CN81+CM81+CL81+CK81),"")</f>
        <v/>
      </c>
      <c r="CP348" s="219" t="str">
        <f>IFERROR((SUM(CP224,CP225,CP226,CP229,CP247,CP250)-CP156)/(CP81+CN81+CM81+CL81),"")</f>
        <v/>
      </c>
      <c r="CQ348" s="219" t="str">
        <f>IFERROR((SUM(CQ224,CQ225,CQ226,CQ229,CQ247,CQ250)-CQ156)/(CQ81+CP81+CN81+CM81),"")</f>
        <v/>
      </c>
      <c r="CR348" s="219" t="str">
        <f>IFERROR((SUM(CR224,CR225,CR226,CR229,CR247,CR250)-CR156)/(CR81+CQ81+CP81+CN81),"")</f>
        <v/>
      </c>
      <c r="CS348" s="219" t="str">
        <f>IFERROR((SUM(CS224,CS225,CS226,CS229,CS247,CS250)-CS156)/(CS81+CR81+CQ81+CP81),"")</f>
        <v/>
      </c>
      <c r="CU348" s="219" t="str">
        <f>IFERROR((SUM(CU224,CU225,CU226,CU229,CU247,CU250)-CU156)/(CU81+CS81+CR81+CQ81),"")</f>
        <v/>
      </c>
      <c r="CV348" s="219" t="str">
        <f>IFERROR((SUM(CV224,CV225,CV226,CV229,CV247,CV250)-CV156)/(CV81+CU81+CS81+CR81),"")</f>
        <v/>
      </c>
      <c r="CW348" s="219" t="str">
        <f>IFERROR((SUM(CW224,CW225,CW226,CW229,CW247,CW250)-CW156)/(CW81+CV81+CU81+CS81),"")</f>
        <v/>
      </c>
      <c r="CX348" s="219" t="str">
        <f>IFERROR((SUM(CX224,CX225,CX226,CX229,CX247,CX250)-CX156)/(CX81+CW81+CV81+CU81),"")</f>
        <v/>
      </c>
    </row>
    <row r="349" customFormat="1" s="233">
      <c r="A349" s="224" t="n"/>
      <c r="B349" s="224" t="n"/>
      <c r="C349" s="237" t="inlineStr">
        <is>
          <t>NET DEBT (EX IFRS 16) / EBITDA LTM</t>
        </is>
      </c>
      <c r="D349" s="219" t="str">
        <f>""</f>
        <v/>
      </c>
      <c r="E349" s="219" t="str">
        <f>""</f>
        <v/>
      </c>
      <c r="F349" s="219" t="str">
        <f>""</f>
        <v/>
      </c>
      <c r="G349" s="219">
        <f>IFERROR((SUM(G224,G225,G229,G250)-G156)/(G81+F81+E81+D81),"")</f>
        <v>2.96194497028592</v>
      </c>
      <c r="I349" s="219">
        <f>IFERROR((SUM(I224,I225,I229,I250)-I156)/(I81+G81+F81+E81),"")</f>
        <v>3.31684042300954</v>
      </c>
      <c r="J349" s="219">
        <f>IFERROR((SUM(J224,J225,J229,J250)-J156)/(J81+I81+G81+F81),"")</f>
        <v>2.80773402674592</v>
      </c>
      <c r="K349" s="219">
        <f>IFERROR((SUM(K224,K225,K229,K250)-K156)/(K81+J81+I81+G81),"")</f>
        <v>3.33839216795852</v>
      </c>
      <c r="L349" s="219">
        <f>IFERROR((SUM(L224,L225,L229,L250)-L156)/(L81+K81+J81+I81),"")</f>
        <v>3.15469571086892</v>
      </c>
      <c r="N349" s="219">
        <f>IFERROR((SUM(N224,N225,N229,N250)-N156)/(N81+L81+K81+J81),"")</f>
        <v>2.95586881936902</v>
      </c>
      <c r="O349" s="219">
        <f>IFERROR((SUM(O224,O225,O229,O250)-O156)/(O81+N81+L81+K81),"")</f>
        <v>3.05903991043487</v>
      </c>
      <c r="P349" s="219">
        <f>IFERROR((SUM(P224,P225,P229,P250)-P156)/(P81+O81+N81+L81),"")</f>
        <v>3.27630283367351</v>
      </c>
      <c r="Q349" s="219">
        <f>IFERROR((SUM(Q224,Q225,Q229,Q250)-Q156)/(Q81+P81+O81+N81),"")</f>
        <v>2.94614086080477</v>
      </c>
      <c r="S349" s="219">
        <f>IFERROR((SUM(S224,S225,S229,S250)-S156)/(S81+Q81+P81+O81),"")</f>
        <v>3.07345646781489</v>
      </c>
      <c r="T349" s="219">
        <f>IFERROR((SUM(T224,T225,T229,T250)-T156)/(T81+S81+Q81+P81),"")</f>
        <v>3.09387970517178</v>
      </c>
      <c r="U349" s="219">
        <f>IFERROR((SUM(U224,U225,U229,U250)-U156)/(U81+T81+S81+Q81),"")</f>
        <v>3.21901656679086</v>
      </c>
      <c r="V349" s="219">
        <f>IFERROR((SUM(V224,V225,V229,V250)-V156)/(V81+U81+T81+S81),"")</f>
        <v>3.39234705585322</v>
      </c>
      <c r="X349" s="219">
        <f>IFERROR((SUM(X224,X225,X229,X250)-X156)/(X81+V81+U81+T81),"")</f>
        <v>3.40392079038043</v>
      </c>
      <c r="Y349" s="219">
        <f>IFERROR((SUM(Y224,Y225,Y229,Y250)-Y156)/(Y81+X81+V81+U81),"")</f>
        <v>3.49231712708107</v>
      </c>
      <c r="Z349" s="219">
        <f>IFERROR((SUM(Z224,Z225,Z229,Z250)-Z156)/(Z81+Y81+X81+V81),"")</f>
        <v>3.32796210263207</v>
      </c>
      <c r="AA349" s="219">
        <f>IFERROR((SUM(AA224,AA225,AA229,AA250)-AA156)/(AA81+Z81+Y81+X81),"")</f>
        <v>3.32897603485839</v>
      </c>
      <c r="AC349" s="219">
        <f>IFERROR((SUM(AC224,AC225,AC229,AC250)-AC156)/(AC81+AA81+Z81+Y81),"")</f>
        <v>3.27522373468379</v>
      </c>
      <c r="AD349" s="219">
        <f>IFERROR((SUM(AD224,AD225,AD229,AD250)-AD156)/(AD81+AC81+AA81+Z81),"")</f>
        <v>2.95601193962461</v>
      </c>
      <c r="AE349" s="219">
        <f>IFERROR((SUM(AE224,AE225,AE229,AE250)-AE156)/(AE81+AD81+AC81+AA81),"")</f>
        <v>2.70376553886762</v>
      </c>
      <c r="AF349" s="219">
        <f>IFERROR((SUM(AF224,AF225,AF229,AF250)-AF156)/(AF81+AE81+AD81+AC81),"")</f>
        <v>2.52588334997251</v>
      </c>
      <c r="AH349" s="219">
        <f>IFERROR((SUM(AH224,AH225,AH229,AH250)-AH156)/(AH81+AF81+AE81+AD81),"")</f>
        <v>2.51578873039085</v>
      </c>
      <c r="AI349" s="219">
        <f>IFERROR((SUM(AI224,AI225,AI229,AI250)-AI156)/(AI81+AH81+AF81+AE81),"")</f>
        <v>2.51103216716445</v>
      </c>
      <c r="AJ349" s="219">
        <f>IFERROR((SUM(AJ224,AJ225,AJ229,AJ250)-AJ156)/(AJ81+AI81+AH81+AF81),"")</f>
        <v>3.88779565822857</v>
      </c>
      <c r="AK349" s="219">
        <f>IFERROR((SUM(AK224,AK225,AK229,AK250)-AK156)/(AK81+AJ81+AI81+AH81),"")</f>
        <v>5.61964462499459</v>
      </c>
      <c r="AM349" s="219" t="str">
        <f>IFERROR((SUM(AM224,AM225,AM229,AM250)-AM156)/(AM81+AK81+AJ81+AI81),"")</f>
        <v/>
      </c>
      <c r="AN349" s="219" t="str">
        <f>IFERROR((SUM(AN224,AN225,AN229,AN250)-AN156)/(AN81+AM81+AK81+AJ81),"")</f>
        <v/>
      </c>
      <c r="AO349" s="219" t="str">
        <f>IFERROR((SUM(AO224,AO225,AO229,AO250)-AO156)/(AO81+AN81+AM81+AK81),"")</f>
        <v/>
      </c>
      <c r="AP349" s="219" t="str">
        <f>IFERROR((SUM(AP224,AP225,AP229,AP250)-AP156)/(AP81+AO81+AN81+AM81),"")</f>
        <v/>
      </c>
      <c r="AR349" s="219" t="str">
        <f>IFERROR((SUM(AR224,AR225,AR229,AR250)-AR156)/(AR81+AP81+AO81+AN81),"")</f>
        <v/>
      </c>
      <c r="AS349" s="219" t="str">
        <f>IFERROR((SUM(AS224,AS225,AS229,AS250)-AS156)/(AS81+AR81+AP81+AO81),"")</f>
        <v/>
      </c>
      <c r="AT349" s="219" t="str">
        <f>IFERROR((SUM(AT224,AT225,AT229,AT250)-AT156)/(AT81+AS81+AR81+AP81),"")</f>
        <v/>
      </c>
      <c r="AU349" s="219" t="str">
        <f>IFERROR((SUM(AU224,AU225,AU229,AU250)-AU156)/(AU81+AT81+AS81+AR81),"")</f>
        <v/>
      </c>
      <c r="AW349" s="219" t="str">
        <f>IFERROR((SUM(AW224,AW225,AW229,AW250)-AW156)/(AW81+AU81+AT81+AS81),"")</f>
        <v/>
      </c>
      <c r="AX349" s="219" t="str">
        <f>IFERROR((SUM(AX224,AX225,AX229,AX250)-AX156)/(AX81+AW81+AU81+AT81),"")</f>
        <v/>
      </c>
      <c r="AY349" s="219" t="str">
        <f>IFERROR((SUM(AY224,AY225,AY229,AY250)-AY156)/(AY81+AX81+AW81+AU81),"")</f>
        <v/>
      </c>
      <c r="AZ349" s="219" t="str">
        <f>IFERROR((SUM(AZ224,AZ225,AZ229,AZ250)-AZ156)/(AZ81+AY81+AX81+AW81),"")</f>
        <v/>
      </c>
      <c r="BB349" s="219" t="str">
        <f>IFERROR((SUM(BB224,BB225,BB229,BB250)-BB156)/(BB81+AZ81+AY81+AX81),"")</f>
        <v/>
      </c>
      <c r="BC349" s="219" t="str">
        <f>IFERROR((SUM(BC224,BC225,BC229,BC250)-BC156)/(BC81+BB81+AZ81+AY81),"")</f>
        <v/>
      </c>
      <c r="BD349" s="219" t="str">
        <f>IFERROR((SUM(BD224,BD225,BD229,BD250)-BD156)/(BD81+BC81+BB81+AZ81),"")</f>
        <v/>
      </c>
      <c r="BE349" s="219" t="str">
        <f>IFERROR((SUM(BE224,BE225,BE229,BE250)-BE156)/(BE81+BD81+BC81+BB81),"")</f>
        <v/>
      </c>
      <c r="BG349" s="219" t="str">
        <f>IFERROR((SUM(BG224,BG225,BG229,BG250)-BG156)/(BG81+BE81+BD81+BC81),"")</f>
        <v/>
      </c>
      <c r="BH349" s="219" t="str">
        <f>IFERROR((SUM(BH224,BH225,BH229,BH250)-BH156)/(BH81+BG81+BE81+BD81),"")</f>
        <v/>
      </c>
      <c r="BI349" s="219" t="str">
        <f>IFERROR((SUM(BI224,BI225,BI229,BI250)-BI156)/(BI81+BH81+BG81+BE81),"")</f>
        <v/>
      </c>
      <c r="BJ349" s="219" t="str">
        <f>IFERROR((SUM(BJ224,BJ225,BJ229,BJ250)-BJ156)/(BJ81+BI81+BH81+BG81),"")</f>
        <v/>
      </c>
      <c r="BL349" s="219" t="str">
        <f>IFERROR((SUM(BL224,BL225,BL229,BL250)-BL156)/(BL81+BJ81+BI81+BH81),"")</f>
        <v/>
      </c>
      <c r="BM349" s="219" t="str">
        <f>IFERROR((SUM(BM224,BM225,BM229,BM250)-BM156)/(BM81+BL81+BJ81+BI81),"")</f>
        <v/>
      </c>
      <c r="BN349" s="219" t="str">
        <f>IFERROR((SUM(BN224,BN225,BN229,BN250)-BN156)/(BN81+BM81+BL81+BJ81),"")</f>
        <v/>
      </c>
      <c r="BO349" s="219" t="str">
        <f>IFERROR((SUM(BO224,BO225,BO229,BO250)-BO156)/(BO81+BN81+BM81+BL81),"")</f>
        <v/>
      </c>
      <c r="BQ349" s="219" t="str">
        <f>IFERROR((SUM(BQ224,BQ225,BQ229,BQ250)-BQ156)/(BQ81+BO81+BN81+BM81),"")</f>
        <v/>
      </c>
      <c r="BR349" s="219" t="str">
        <f>IFERROR((SUM(BR224,BR225,BR229,BR250)-BR156)/(BR81+BQ81+BO81+BN81),"")</f>
        <v/>
      </c>
      <c r="BS349" s="219" t="str">
        <f>IFERROR((SUM(BS224,BS225,BS229,BS250)-BS156)/(BS81+BR81+BQ81+BO81),"")</f>
        <v/>
      </c>
      <c r="BT349" s="219" t="str">
        <f>IFERROR((SUM(BT224,BT225,BT229,BT250)-BT156)/(BT81+BS81+BR81+BQ81),"")</f>
        <v/>
      </c>
      <c r="BV349" s="219" t="str">
        <f>IFERROR((SUM(BV224,BV225,BV229,BV250)-BV156)/(BV81+BT81+BS81+BR81),"")</f>
        <v/>
      </c>
      <c r="BW349" s="219" t="str">
        <f>IFERROR((SUM(BW224,BW225,BW229,BW250)-BW156)/(BW81+BV81+BT81+BS81),"")</f>
        <v/>
      </c>
      <c r="BX349" s="219" t="str">
        <f>IFERROR((SUM(BX224,BX225,BX229,BX250)-BX156)/(BX81+BW81+BV81+BT81),"")</f>
        <v/>
      </c>
      <c r="BY349" s="219" t="str">
        <f>IFERROR((SUM(BY224,BY225,BY229,BY250)-BY156)/(BY81+BX81+BW81+BV81),"")</f>
        <v/>
      </c>
      <c r="CA349" s="219" t="str">
        <f>IFERROR((SUM(CA224,CA225,CA229,CA250)-CA156)/(CA81+BY81+BX81+BW81),"")</f>
        <v/>
      </c>
      <c r="CB349" s="219" t="str">
        <f>IFERROR((SUM(CB224,CB225,CB229,CB250)-CB156)/(CB81+CA81+BY81+BX81),"")</f>
        <v/>
      </c>
      <c r="CC349" s="219" t="str">
        <f>IFERROR((SUM(CC224,CC225,CC229,CC250)-CC156)/(CC81+CB81+CA81+BY81),"")</f>
        <v/>
      </c>
      <c r="CD349" s="219" t="str">
        <f>IFERROR((SUM(CD224,CD225,CD229,CD250)-CD156)/(CD81+CC81+CB81+CA81),"")</f>
        <v/>
      </c>
      <c r="CF349" s="219" t="str">
        <f>IFERROR((SUM(CF224,CF225,CF229,CF250)-CF156)/(CF81+CD81+CC81+CB81),"")</f>
        <v/>
      </c>
      <c r="CG349" s="219" t="str">
        <f>IFERROR((SUM(CG224,CG225,CG229,CG250)-CG156)/(CG81+CF81+CD81+CC81),"")</f>
        <v/>
      </c>
      <c r="CH349" s="219" t="str">
        <f>IFERROR((SUM(CH224,CH225,CH229,CH250)-CH156)/(CH81+CG81+CF81+CD81),"")</f>
        <v/>
      </c>
      <c r="CI349" s="219" t="str">
        <f>IFERROR((SUM(CI224,CI225,CI229,CI250)-CI156)/(CI81+CH81+CG81+CF81),"")</f>
        <v/>
      </c>
      <c r="CK349" s="219" t="str">
        <f>IFERROR((SUM(CK224,CK225,CK229,CK250)-CK156)/(CK81+CI81+CH81+CG81),"")</f>
        <v/>
      </c>
      <c r="CL349" s="219" t="str">
        <f>IFERROR((SUM(CL224,CL225,CL229,CL250)-CL156)/(CL81+CK81+CI81+CH81),"")</f>
        <v/>
      </c>
      <c r="CM349" s="219" t="str">
        <f>IFERROR((SUM(CM224,CM225,CM229,CM250)-CM156)/(CM81+CL81+CK81+CI81),"")</f>
        <v/>
      </c>
      <c r="CN349" s="219" t="str">
        <f>IFERROR((SUM(CN224,CN225,CN229,CN250)-CN156)/(CN81+CM81+CL81+CK81),"")</f>
        <v/>
      </c>
      <c r="CP349" s="219" t="str">
        <f>IFERROR((SUM(CP224,CP225,CP229,CP250)-CP156)/(CP81+CN81+CM81+CL81),"")</f>
        <v/>
      </c>
      <c r="CQ349" s="219" t="str">
        <f>IFERROR((SUM(CQ224,CQ225,CQ229,CQ250)-CQ156)/(CQ81+CP81+CN81+CM81),"")</f>
        <v/>
      </c>
      <c r="CR349" s="219" t="str">
        <f>IFERROR((SUM(CR224,CR225,CR229,CR250)-CR156)/(CR81+CQ81+CP81+CN81),"")</f>
        <v/>
      </c>
      <c r="CS349" s="219" t="str">
        <f>IFERROR((SUM(CS224,CS225,CS229,CS250)-CS156)/(CS81+CR81+CQ81+CP81),"")</f>
        <v/>
      </c>
      <c r="CU349" s="219" t="str">
        <f>IFERROR((SUM(CU224,CU225,CU229,CU250)-CU156)/(CU81+CS81+CR81+CQ81),"")</f>
        <v/>
      </c>
      <c r="CV349" s="219" t="str">
        <f>IFERROR((SUM(CV224,CV225,CV229,CV250)-CV156)/(CV81+CU81+CS81+CR81),"")</f>
        <v/>
      </c>
      <c r="CW349" s="219" t="str">
        <f>IFERROR((SUM(CW224,CW225,CW229,CW250)-CW156)/(CW81+CV81+CU81+CS81),"")</f>
        <v/>
      </c>
      <c r="CX349" s="219" t="str">
        <f>IFERROR((SUM(CX224,CX225,CX229,CX250)-CX156)/(CX81+CW81+CV81+CU81),"")</f>
        <v/>
      </c>
    </row>
    <row r="350" customFormat="1" s="233">
      <c r="A350" s="224" t="n"/>
      <c r="B350" s="224" t="n"/>
      <c r="C350" s="233" t="inlineStr">
        <is>
          <t>INTEREST COVERAGE</t>
        </is>
      </c>
      <c r="D350" s="219">
        <f>D85/-D86</f>
        <v>2.17632506876881</v>
      </c>
      <c r="E350" s="219">
        <f>E85/-E86</f>
        <v>0.681315224378702</v>
      </c>
      <c r="F350" s="219">
        <f>F85/-F86</f>
        <v>1.26857104358957</v>
      </c>
      <c r="G350" s="219">
        <f>G85/-G86</f>
        <v>4.85439269648055</v>
      </c>
      <c r="I350" s="219">
        <f>I85/-I86</f>
        <v>0.913795704114879</v>
      </c>
      <c r="J350" s="219">
        <f>J85/-J86</f>
        <v>-1.31525350251564</v>
      </c>
      <c r="K350" s="219">
        <f>K85/-K86</f>
        <v>1.46878515267767</v>
      </c>
      <c r="L350" s="219">
        <f>L85/-L86</f>
        <v>1.02537987776926</v>
      </c>
      <c r="N350" s="219">
        <f>N85/-N86</f>
        <v>1.64640037674892</v>
      </c>
      <c r="O350" s="219">
        <f>O85/-O86</f>
        <v>1.28798785582868</v>
      </c>
      <c r="P350" s="219">
        <f>P85/-P86</f>
        <v>0.980266429868009</v>
      </c>
      <c r="Q350" s="219">
        <f>Q85/-Q86</f>
        <v>0.72069692892853</v>
      </c>
      <c r="S350" s="219">
        <f>S85/-S86</f>
        <v>0.788763778324594</v>
      </c>
      <c r="T350" s="219">
        <f>T85/-T86</f>
        <v>0.908401458411521</v>
      </c>
      <c r="U350" s="219">
        <f>U85/-U86</f>
        <v>0.771226259240872</v>
      </c>
      <c r="V350" s="219">
        <f>V85/-V86</f>
        <v>-0.29285230683098</v>
      </c>
      <c r="X350" s="219">
        <f>X85/-X86</f>
        <v>0.974540529774945</v>
      </c>
      <c r="Y350" s="219">
        <f>Y85/-Y86</f>
        <v>0.947427798174697</v>
      </c>
      <c r="Z350" s="219">
        <f>Z85/-Z86</f>
        <v>0.984307865012858</v>
      </c>
      <c r="AA350" s="219">
        <f>AA85/-AA86</f>
        <v>0.990016434506973</v>
      </c>
      <c r="AC350" s="219">
        <f>AC85/-AC86</f>
        <v>1.02782813596577</v>
      </c>
      <c r="AD350" s="219">
        <f>AD85/-AD86</f>
        <v>0.990680871568081</v>
      </c>
      <c r="AE350" s="219">
        <f>AE85/-AE86</f>
        <v>0.953345782792288</v>
      </c>
      <c r="AF350" s="219">
        <f>AF85/-AF86</f>
        <v>0.736839288850611</v>
      </c>
      <c r="AH350" s="219">
        <f>AH85/-AH86</f>
        <v>1.01717390111415</v>
      </c>
      <c r="AI350" s="219">
        <f>AI85/-AI86</f>
        <v>1.01439834321515</v>
      </c>
      <c r="AJ350" s="219" t="e">
        <f>AJ85/-AJ86</f>
        <v>#DIV/0!</v>
      </c>
      <c r="AK350" s="219" t="e">
        <f>AK85/-AK86</f>
        <v>#DIV/0!</v>
      </c>
      <c r="AM350" s="219" t="e">
        <f>AM85/-AM86</f>
        <v>#DIV/0!</v>
      </c>
      <c r="AN350" s="219" t="e">
        <f>AN85/-AN86</f>
        <v>#DIV/0!</v>
      </c>
      <c r="AO350" s="219" t="e">
        <f>AO85/-AO86</f>
        <v>#DIV/0!</v>
      </c>
      <c r="AP350" s="219" t="e">
        <f>AP85/-AP86</f>
        <v>#DIV/0!</v>
      </c>
      <c r="AR350" s="219" t="e">
        <f>AR85/-AR86</f>
        <v>#DIV/0!</v>
      </c>
      <c r="AS350" s="219" t="e">
        <f>AS85/-AS86</f>
        <v>#DIV/0!</v>
      </c>
      <c r="AT350" s="219" t="e">
        <f>AT85/-AT86</f>
        <v>#DIV/0!</v>
      </c>
      <c r="AU350" s="219" t="e">
        <f>AU85/-AU86</f>
        <v>#DIV/0!</v>
      </c>
      <c r="AW350" s="219" t="e">
        <f>AW85/-AW86</f>
        <v>#DIV/0!</v>
      </c>
      <c r="AX350" s="219" t="e">
        <f>AX85/-AX86</f>
        <v>#DIV/0!</v>
      </c>
      <c r="AY350" s="219" t="e">
        <f>AY85/-AY86</f>
        <v>#DIV/0!</v>
      </c>
      <c r="AZ350" s="219" t="e">
        <f>AZ85/-AZ86</f>
        <v>#DIV/0!</v>
      </c>
      <c r="BB350" s="219" t="e">
        <f>BB85/-BB86</f>
        <v>#DIV/0!</v>
      </c>
      <c r="BC350" s="219" t="e">
        <f>BC85/-BC86</f>
        <v>#DIV/0!</v>
      </c>
      <c r="BD350" s="219" t="e">
        <f>BD85/-BD86</f>
        <v>#DIV/0!</v>
      </c>
      <c r="BE350" s="219" t="e">
        <f>BE85/-BE86</f>
        <v>#DIV/0!</v>
      </c>
      <c r="BG350" s="219" t="e">
        <f>BG85/-BG86</f>
        <v>#DIV/0!</v>
      </c>
      <c r="BH350" s="219" t="e">
        <f>BH85/-BH86</f>
        <v>#DIV/0!</v>
      </c>
      <c r="BI350" s="219" t="e">
        <f>BI85/-BI86</f>
        <v>#DIV/0!</v>
      </c>
      <c r="BJ350" s="219" t="e">
        <f>BJ85/-BJ86</f>
        <v>#DIV/0!</v>
      </c>
      <c r="BL350" s="219" t="e">
        <f>BL85/-BL86</f>
        <v>#DIV/0!</v>
      </c>
      <c r="BM350" s="219" t="e">
        <f>BM85/-BM86</f>
        <v>#DIV/0!</v>
      </c>
      <c r="BN350" s="219" t="e">
        <f>BN85/-BN86</f>
        <v>#DIV/0!</v>
      </c>
      <c r="BO350" s="219" t="e">
        <f>BO85/-BO86</f>
        <v>#DIV/0!</v>
      </c>
      <c r="BQ350" s="219" t="e">
        <f>BQ85/-BQ86</f>
        <v>#DIV/0!</v>
      </c>
      <c r="BR350" s="219" t="e">
        <f>BR85/-BR86</f>
        <v>#DIV/0!</v>
      </c>
      <c r="BS350" s="219" t="e">
        <f>BS85/-BS86</f>
        <v>#DIV/0!</v>
      </c>
      <c r="BT350" s="219" t="e">
        <f>BT85/-BT86</f>
        <v>#DIV/0!</v>
      </c>
      <c r="BV350" s="219" t="e">
        <f>BV85/-BV86</f>
        <v>#DIV/0!</v>
      </c>
      <c r="BW350" s="219" t="e">
        <f>BW85/-BW86</f>
        <v>#DIV/0!</v>
      </c>
      <c r="BX350" s="219" t="e">
        <f>BX85/-BX86</f>
        <v>#DIV/0!</v>
      </c>
      <c r="BY350" s="219" t="e">
        <f>BY85/-BY86</f>
        <v>#DIV/0!</v>
      </c>
      <c r="CA350" s="219" t="e">
        <f>CA85/-CA86</f>
        <v>#DIV/0!</v>
      </c>
      <c r="CB350" s="219" t="e">
        <f>CB85/-CB86</f>
        <v>#DIV/0!</v>
      </c>
      <c r="CC350" s="219" t="e">
        <f>CC85/-CC86</f>
        <v>#DIV/0!</v>
      </c>
      <c r="CD350" s="219" t="e">
        <f>CD85/-CD86</f>
        <v>#DIV/0!</v>
      </c>
      <c r="CF350" s="219" t="e">
        <f>CF85/-CF86</f>
        <v>#DIV/0!</v>
      </c>
      <c r="CG350" s="219" t="e">
        <f>CG85/-CG86</f>
        <v>#DIV/0!</v>
      </c>
      <c r="CH350" s="219" t="e">
        <f>CH85/-CH86</f>
        <v>#DIV/0!</v>
      </c>
      <c r="CI350" s="219" t="e">
        <f>CI85/-CI86</f>
        <v>#DIV/0!</v>
      </c>
      <c r="CK350" s="219" t="e">
        <f>CK85/-CK86</f>
        <v>#DIV/0!</v>
      </c>
      <c r="CL350" s="219" t="e">
        <f>CL85/-CL86</f>
        <v>#DIV/0!</v>
      </c>
      <c r="CM350" s="219" t="e">
        <f>CM85/-CM86</f>
        <v>#DIV/0!</v>
      </c>
      <c r="CN350" s="219" t="e">
        <f>CN85/-CN86</f>
        <v>#DIV/0!</v>
      </c>
      <c r="CP350" s="219" t="e">
        <f>CP85/-CP86</f>
        <v>#DIV/0!</v>
      </c>
      <c r="CQ350" s="219" t="e">
        <f>CQ85/-CQ86</f>
        <v>#DIV/0!</v>
      </c>
      <c r="CR350" s="219" t="e">
        <f>CR85/-CR86</f>
        <v>#DIV/0!</v>
      </c>
      <c r="CS350" s="219" t="e">
        <f>CS85/-CS86</f>
        <v>#DIV/0!</v>
      </c>
      <c r="CU350" s="219" t="e">
        <f>CU85/-CU86</f>
        <v>#DIV/0!</v>
      </c>
      <c r="CV350" s="219" t="e">
        <f>CV85/-CV86</f>
        <v>#DIV/0!</v>
      </c>
      <c r="CW350" s="219" t="e">
        <f>CW85/-CW86</f>
        <v>#DIV/0!</v>
      </c>
      <c r="CX350" s="219" t="e">
        <f>CX85/-CX86</f>
        <v>#DIV/0!</v>
      </c>
    </row>
    <row r="351" customFormat="1" s="233">
      <c r="A351" s="224" t="n"/>
      <c r="B351" s="224" t="n"/>
    </row>
    <row r="352" customFormat="1" s="233">
      <c r="A352" s="224" t="n"/>
      <c r="B352" s="224" t="n"/>
      <c r="C352" s="234" t="inlineStr">
        <is>
          <t>INTERNAL LIQUIDITY</t>
        </is>
      </c>
    </row>
    <row r="353" customFormat="1" s="233">
      <c r="A353" s="224" t="n"/>
      <c r="B353" s="224" t="n"/>
      <c r="C353" s="233" t="inlineStr">
        <is>
          <t>CURRENT RATIO</t>
        </is>
      </c>
      <c r="D353" s="219">
        <f>SUM(D156,D157,D161,D165,D166,D167)/SUM(D210,D214,D216,D217)</f>
        <v>1.23745862090026</v>
      </c>
      <c r="E353" s="219">
        <f>SUM(E156,E157,E161,E165,E166,E167)/SUM(E210,E214,E216,E217)</f>
        <v>2.99688680620172</v>
      </c>
      <c r="F353" s="219">
        <f>SUM(F156,F157,F161,F165,F166,F167)/SUM(F210,F214,F216,F217)</f>
        <v>1.79212690987608</v>
      </c>
      <c r="G353" s="219">
        <f>SUM(G156,G157,G161,G165,G166,G167)/SUM(G210,G214,G216,G217)</f>
        <v>1.7935093553309</v>
      </c>
      <c r="I353" s="219">
        <f>SUM(I156,I157,I161,I165,I166,I167)/SUM(I210,I214,I216,I217)</f>
        <v>5.22787757679665</v>
      </c>
      <c r="J353" s="219">
        <f>SUM(J156,J157,J161,J165,J166,J167)/SUM(J210,J214,J216,J217)</f>
        <v>3.9535608373152</v>
      </c>
      <c r="K353" s="219">
        <f>SUM(K156,K157,K161,K165,K166,K167)/SUM(K210,K214,K216,K217)</f>
        <v>5.57735832297033</v>
      </c>
      <c r="L353" s="219">
        <f>SUM(L156,L157,L161,L165,L166,L167)/SUM(L210,L214,L216,L217)</f>
        <v>3.05841537483391</v>
      </c>
      <c r="N353" s="219">
        <f>SUM(N156,N157,N161,N165,N166,N167)/SUM(N210,N214,N216,N217)</f>
        <v>2.97585359923309</v>
      </c>
      <c r="O353" s="219">
        <f>SUM(O156,O157,O161,O165,O166,O167)/SUM(O210,O214,O216,O217)</f>
        <v>2.41676286687056</v>
      </c>
      <c r="P353" s="219">
        <f>SUM(P156,P157,P161,P165,P166,P167)/SUM(P210,P214,P216,P217)</f>
        <v>3.8992880589366</v>
      </c>
      <c r="Q353" s="219">
        <f>SUM(Q156,Q157,Q161,Q165,Q166,Q167)/SUM(Q210,Q214,Q216,Q217)</f>
        <v>2.47752861761679</v>
      </c>
      <c r="S353" s="219">
        <f>SUM(S156,S157,S161,S165,S166,S167)/SUM(S210,S214,S216,S217)</f>
        <v>2.47916644614044</v>
      </c>
      <c r="T353" s="219">
        <f>SUM(T156,T157,T161,T165,T166,T167)/SUM(T210,T214,T216,T217)</f>
        <v>2.45283228935487</v>
      </c>
      <c r="U353" s="219">
        <f>SUM(U156,U157,U161,U165,U166,U167)/SUM(U210,U214,U216,U217)</f>
        <v>1.56398486360448</v>
      </c>
      <c r="V353" s="219">
        <f>SUM(V156,V157,V161,V165,V166,V167)/SUM(V210,V214,V216,V217)</f>
        <v>0.888696348534912</v>
      </c>
      <c r="X353" s="219">
        <f>SUM(X156,X157,X161,X165,X166,X167)/SUM(X210,X214,X216,X217)</f>
        <v>1.01810727762508</v>
      </c>
      <c r="Y353" s="219">
        <f>SUM(Y156,Y157,Y161,Y165,Y166,Y167)/SUM(Y210,Y214,Y216,Y217)</f>
        <v>1.17622845448144</v>
      </c>
      <c r="Z353" s="219">
        <f>SUM(Z156,Z157,Z161,Z165,Z166,Z167)/SUM(Z210,Z214,Z216,Z217)</f>
        <v>1.30735764752436</v>
      </c>
      <c r="AA353" s="219">
        <f>SUM(AA156,AA157,AA161,AA165,AA166,AA167)/SUM(AA210,AA214,AA216,AA217)</f>
        <v>1.01537987345221</v>
      </c>
      <c r="AC353" s="219">
        <f>SUM(AC156,AC157,AC161,AC165,AC166,AC167)/SUM(AC210,AC214,AC216,AC217)</f>
        <v>1.27858949417541</v>
      </c>
      <c r="AD353" s="219">
        <f>SUM(AD156,AD157,AD161,AD165,AD166,AD167)/SUM(AD210,AD214,AD216,AD217)</f>
        <v>1.18590146788004</v>
      </c>
      <c r="AE353" s="219">
        <f>SUM(AE156,AE157,AE161,AE165,AE166,AE167)/SUM(AE210,AE214,AE216,AE217)</f>
        <v>1.07033169650844</v>
      </c>
      <c r="AF353" s="219">
        <f>SUM(AF156,AF157,AF161,AF165,AF166,AF167)/SUM(AF210,AF214,AF216,AF217)</f>
        <v>1.17216853210893</v>
      </c>
      <c r="AH353" s="219">
        <f>SUM(AH156,AH157,AH161,AH165,AH166,AH167)/SUM(AH210,AH214,AH216,AH217)</f>
        <v>1.60514068353298</v>
      </c>
      <c r="AI353" s="219">
        <f>SUM(AI156,AI157,AI161,AI165,AI166,AI167)/SUM(AI210,AI214,AI216,AI217)</f>
        <v>1.49180098700555</v>
      </c>
      <c r="AJ353" s="219">
        <f>SUM(AJ156,AJ157,AJ161,AJ165,AJ166,AJ167)/SUM(AJ210,AJ214,AJ216,AJ217)</f>
        <v>3.30251284110971</v>
      </c>
      <c r="AK353" s="219">
        <f>SUM(AK156,AK157,AK161,AK165,AK166,AK167)/SUM(AK210,AK214,AK216,AK217)</f>
        <v>3.38714825318005</v>
      </c>
      <c r="AM353" s="219" t="e">
        <f>SUM(AM156,AM157,AM161,AM165,AM166,AM167)/SUM(AM210,AM214,AM216,AM217)</f>
        <v>#DIV/0!</v>
      </c>
      <c r="AN353" s="219" t="e">
        <f>SUM(AN156,AN157,AN161,AN165,AN166,AN167)/SUM(AN210,AN214,AN216,AN217)</f>
        <v>#DIV/0!</v>
      </c>
      <c r="AO353" s="219" t="e">
        <f>SUM(AO156,AO157,AO161,AO165,AO166,AO167)/SUM(AO210,AO214,AO216,AO217)</f>
        <v>#DIV/0!</v>
      </c>
      <c r="AP353" s="219" t="e">
        <f>SUM(AP156,AP157,AP161,AP165,AP166,AP167)/SUM(AP210,AP214,AP216,AP217)</f>
        <v>#DIV/0!</v>
      </c>
      <c r="AR353" s="219" t="e">
        <f>SUM(AR156,AR157,AR161,AR165,AR166,AR167)/SUM(AR210,AR214,AR216,AR217)</f>
        <v>#DIV/0!</v>
      </c>
      <c r="AS353" s="219" t="e">
        <f>SUM(AS156,AS157,AS161,AS165,AS166,AS167)/SUM(AS210,AS214,AS216,AS217)</f>
        <v>#DIV/0!</v>
      </c>
      <c r="AT353" s="219" t="e">
        <f>SUM(AT156,AT157,AT161,AT165,AT166,AT167)/SUM(AT210,AT214,AT216,AT217)</f>
        <v>#DIV/0!</v>
      </c>
      <c r="AU353" s="219" t="e">
        <f>SUM(AU156,AU157,AU161,AU165,AU166,AU167)/SUM(AU210,AU214,AU216,AU217)</f>
        <v>#DIV/0!</v>
      </c>
      <c r="AW353" s="219" t="e">
        <f>SUM(AW156,AW157,AW161,AW165,AW166,AW167)/SUM(AW210,AW214,AW216,AW217)</f>
        <v>#DIV/0!</v>
      </c>
      <c r="AX353" s="219" t="e">
        <f>SUM(AX156,AX157,AX161,AX165,AX166,AX167)/SUM(AX210,AX214,AX216,AX217)</f>
        <v>#DIV/0!</v>
      </c>
      <c r="AY353" s="219" t="e">
        <f>SUM(AY156,AY157,AY161,AY165,AY166,AY167)/SUM(AY210,AY214,AY216,AY217)</f>
        <v>#DIV/0!</v>
      </c>
      <c r="AZ353" s="219" t="e">
        <f>SUM(AZ156,AZ157,AZ161,AZ165,AZ166,AZ167)/SUM(AZ210,AZ214,AZ216,AZ217)</f>
        <v>#DIV/0!</v>
      </c>
      <c r="BB353" s="219" t="e">
        <f>SUM(BB156,BB157,BB161,BB165,BB166,BB167)/SUM(BB210,BB214,BB216,BB217)</f>
        <v>#DIV/0!</v>
      </c>
      <c r="BC353" s="219" t="e">
        <f>SUM(BC156,BC157,BC161,BC165,BC166,BC167)/SUM(BC210,BC214,BC216,BC217)</f>
        <v>#DIV/0!</v>
      </c>
      <c r="BD353" s="219" t="e">
        <f>SUM(BD156,BD157,BD161,BD165,BD166,BD167)/SUM(BD210,BD214,BD216,BD217)</f>
        <v>#DIV/0!</v>
      </c>
      <c r="BE353" s="219" t="e">
        <f>SUM(BE156,BE157,BE161,BE165,BE166,BE167)/SUM(BE210,BE214,BE216,BE217)</f>
        <v>#DIV/0!</v>
      </c>
      <c r="BG353" s="219" t="e">
        <f>SUM(BG156,BG157,BG161,BG165,BG166,BG167)/SUM(BG210,BG214,BG216,BG217)</f>
        <v>#DIV/0!</v>
      </c>
      <c r="BH353" s="219" t="e">
        <f>SUM(BH156,BH157,BH161,BH165,BH166,BH167)/SUM(BH210,BH214,BH216,BH217)</f>
        <v>#DIV/0!</v>
      </c>
      <c r="BI353" s="219" t="e">
        <f>SUM(BI156,BI157,BI161,BI165,BI166,BI167)/SUM(BI210,BI214,BI216,BI217)</f>
        <v>#DIV/0!</v>
      </c>
      <c r="BJ353" s="219" t="e">
        <f>SUM(BJ156,BJ157,BJ161,BJ165,BJ166,BJ167)/SUM(BJ210,BJ214,BJ216,BJ217)</f>
        <v>#DIV/0!</v>
      </c>
      <c r="BL353" s="219" t="e">
        <f>SUM(BL156,BL157,BL161,BL165,BL166,BL167)/SUM(BL210,BL214,BL216,BL217)</f>
        <v>#DIV/0!</v>
      </c>
      <c r="BM353" s="219" t="e">
        <f>SUM(BM156,BM157,BM161,BM165,BM166,BM167)/SUM(BM210,BM214,BM216,BM217)</f>
        <v>#DIV/0!</v>
      </c>
      <c r="BN353" s="219" t="e">
        <f>SUM(BN156,BN157,BN161,BN165,BN166,BN167)/SUM(BN210,BN214,BN216,BN217)</f>
        <v>#DIV/0!</v>
      </c>
      <c r="BO353" s="219" t="e">
        <f>SUM(BO156,BO157,BO161,BO165,BO166,BO167)/SUM(BO210,BO214,BO216,BO217)</f>
        <v>#DIV/0!</v>
      </c>
      <c r="BQ353" s="219" t="e">
        <f>SUM(BQ156,BQ157,BQ161,BQ165,BQ166,BQ167)/SUM(BQ210,BQ214,BQ216,BQ217)</f>
        <v>#DIV/0!</v>
      </c>
      <c r="BR353" s="219" t="e">
        <f>SUM(BR156,BR157,BR161,BR165,BR166,BR167)/SUM(BR210,BR214,BR216,BR217)</f>
        <v>#DIV/0!</v>
      </c>
      <c r="BS353" s="219" t="e">
        <f>SUM(BS156,BS157,BS161,BS165,BS166,BS167)/SUM(BS210,BS214,BS216,BS217)</f>
        <v>#DIV/0!</v>
      </c>
      <c r="BT353" s="219" t="e">
        <f>SUM(BT156,BT157,BT161,BT165,BT166,BT167)/SUM(BT210,BT214,BT216,BT217)</f>
        <v>#DIV/0!</v>
      </c>
      <c r="BV353" s="219" t="e">
        <f>SUM(BV156,BV157,BV161,BV165,BV166,BV167)/SUM(BV210,BV214,BV216,BV217)</f>
        <v>#DIV/0!</v>
      </c>
      <c r="BW353" s="219" t="e">
        <f>SUM(BW156,BW157,BW161,BW165,BW166,BW167)/SUM(BW210,BW214,BW216,BW217)</f>
        <v>#DIV/0!</v>
      </c>
      <c r="BX353" s="219" t="e">
        <f>SUM(BX156,BX157,BX161,BX165,BX166,BX167)/SUM(BX210,BX214,BX216,BX217)</f>
        <v>#DIV/0!</v>
      </c>
      <c r="BY353" s="219" t="e">
        <f>SUM(BY156,BY157,BY161,BY165,BY166,BY167)/SUM(BY210,BY214,BY216,BY217)</f>
        <v>#DIV/0!</v>
      </c>
      <c r="CA353" s="219" t="e">
        <f>SUM(CA156,CA157,CA161,CA165,CA166,CA167)/SUM(CA210,CA214,CA216,CA217)</f>
        <v>#DIV/0!</v>
      </c>
      <c r="CB353" s="219" t="e">
        <f>SUM(CB156,CB157,CB161,CB165,CB166,CB167)/SUM(CB210,CB214,CB216,CB217)</f>
        <v>#DIV/0!</v>
      </c>
      <c r="CC353" s="219" t="e">
        <f>SUM(CC156,CC157,CC161,CC165,CC166,CC167)/SUM(CC210,CC214,CC216,CC217)</f>
        <v>#DIV/0!</v>
      </c>
      <c r="CD353" s="219" t="e">
        <f>SUM(CD156,CD157,CD161,CD165,CD166,CD167)/SUM(CD210,CD214,CD216,CD217)</f>
        <v>#DIV/0!</v>
      </c>
      <c r="CF353" s="219" t="e">
        <f>SUM(CF156,CF157,CF161,CF165,CF166,CF167)/SUM(CF210,CF214,CF216,CF217)</f>
        <v>#DIV/0!</v>
      </c>
      <c r="CG353" s="219" t="e">
        <f>SUM(CG156,CG157,CG161,CG165,CG166,CG167)/SUM(CG210,CG214,CG216,CG217)</f>
        <v>#DIV/0!</v>
      </c>
      <c r="CH353" s="219" t="e">
        <f>SUM(CH156,CH157,CH161,CH165,CH166,CH167)/SUM(CH210,CH214,CH216,CH217)</f>
        <v>#DIV/0!</v>
      </c>
      <c r="CI353" s="219" t="e">
        <f>SUM(CI156,CI157,CI161,CI165,CI166,CI167)/SUM(CI210,CI214,CI216,CI217)</f>
        <v>#DIV/0!</v>
      </c>
      <c r="CK353" s="219" t="e">
        <f>SUM(CK156,CK157,CK161,CK165,CK166,CK167)/SUM(CK210,CK214,CK216,CK217)</f>
        <v>#DIV/0!</v>
      </c>
      <c r="CL353" s="219" t="e">
        <f>SUM(CL156,CL157,CL161,CL165,CL166,CL167)/SUM(CL210,CL214,CL216,CL217)</f>
        <v>#DIV/0!</v>
      </c>
      <c r="CM353" s="219" t="e">
        <f>SUM(CM156,CM157,CM161,CM165,CM166,CM167)/SUM(CM210,CM214,CM216,CM217)</f>
        <v>#DIV/0!</v>
      </c>
      <c r="CN353" s="219" t="e">
        <f>SUM(CN156,CN157,CN161,CN165,CN166,CN167)/SUM(CN210,CN214,CN216,CN217)</f>
        <v>#DIV/0!</v>
      </c>
      <c r="CP353" s="219" t="e">
        <f>SUM(CP156,CP157,CP161,CP165,CP166,CP167)/SUM(CP210,CP214,CP216,CP217)</f>
        <v>#DIV/0!</v>
      </c>
      <c r="CQ353" s="219" t="e">
        <f>SUM(CQ156,CQ157,CQ161,CQ165,CQ166,CQ167)/SUM(CQ210,CQ214,CQ216,CQ217)</f>
        <v>#DIV/0!</v>
      </c>
      <c r="CR353" s="219" t="e">
        <f>SUM(CR156,CR157,CR161,CR165,CR166,CR167)/SUM(CR210,CR214,CR216,CR217)</f>
        <v>#DIV/0!</v>
      </c>
      <c r="CS353" s="219" t="e">
        <f>SUM(CS156,CS157,CS161,CS165,CS166,CS167)/SUM(CS210,CS214,CS216,CS217)</f>
        <v>#DIV/0!</v>
      </c>
      <c r="CU353" s="219" t="e">
        <f>SUM(CU156,CU157,CU161,CU165,CU166,CU167)/SUM(CU210,CU214,CU216,CU217)</f>
        <v>#DIV/0!</v>
      </c>
      <c r="CV353" s="219" t="e">
        <f>SUM(CV156,CV157,CV161,CV165,CV166,CV167)/SUM(CV210,CV214,CV216,CV217)</f>
        <v>#DIV/0!</v>
      </c>
      <c r="CW353" s="219" t="e">
        <f>SUM(CW156,CW157,CW161,CW165,CW166,CW167)/SUM(CW210,CW214,CW216,CW217)</f>
        <v>#DIV/0!</v>
      </c>
      <c r="CX353" s="219" t="e">
        <f>SUM(CX156,CX157,CX161,CX165,CX166,CX167)/SUM(CX210,CX214,CX216,CX217)</f>
        <v>#DIV/0!</v>
      </c>
    </row>
    <row r="354" customFormat="1" s="233">
      <c r="A354" s="224" t="n"/>
      <c r="B354" s="224" t="n"/>
      <c r="C354" s="233" t="inlineStr">
        <is>
          <t>CASH RATIO</t>
        </is>
      </c>
      <c r="D354" s="219">
        <f>SUM(D156)/SUM(D210,D214,D216,D217)</f>
        <v>0.64098515849264</v>
      </c>
      <c r="E354" s="219">
        <f>SUM(E156)/SUM(E210,E214,E216,E217)</f>
        <v>1.95133798948442</v>
      </c>
      <c r="F354" s="219">
        <f>SUM(F156)/SUM(F210,F214,F216,F217)</f>
        <v>1.26776028675931</v>
      </c>
      <c r="G354" s="219">
        <f>SUM(G156)/SUM(G210,G214,G216,G217)</f>
        <v>1.28226564315218</v>
      </c>
      <c r="I354" s="219">
        <f>SUM(I156)/SUM(I210,I214,I216,I217)</f>
        <v>4.57404900944622</v>
      </c>
      <c r="J354" s="219">
        <f>SUM(J156)/SUM(J210,J214,J216,J217)</f>
        <v>3.35754777631957</v>
      </c>
      <c r="K354" s="219">
        <f>SUM(K156)/SUM(K210,K214,K216,K217)</f>
        <v>4.89981228163676</v>
      </c>
      <c r="L354" s="219">
        <f>SUM(L156)/SUM(L210,L214,L216,L217)</f>
        <v>2.60146857821943</v>
      </c>
      <c r="N354" s="219">
        <f>SUM(N156)/SUM(N210,N214,N216,N217)</f>
        <v>2.18775079099344</v>
      </c>
      <c r="O354" s="219">
        <f>SUM(O156)/SUM(O210,O214,O216,O217)</f>
        <v>1.70837740332589</v>
      </c>
      <c r="P354" s="219">
        <f>SUM(P156)/SUM(P210,P214,P216,P217)</f>
        <v>2.97024669319855</v>
      </c>
      <c r="Q354" s="219">
        <f>SUM(Q156)/SUM(Q210,Q214,Q216,Q217)</f>
        <v>1.79148012890719</v>
      </c>
      <c r="S354" s="219">
        <f>SUM(S156)/SUM(S210,S214,S216,S217)</f>
        <v>1.53803773605618</v>
      </c>
      <c r="T354" s="219">
        <f>SUM(T156)/SUM(T210,T214,T216,T217)</f>
        <v>1.26995041615453</v>
      </c>
      <c r="U354" s="219">
        <f>SUM(U156)/SUM(U210,U214,U216,U217)</f>
        <v>0.662341464699857</v>
      </c>
      <c r="V354" s="219">
        <f>SUM(V156)/SUM(V210,V214,V216,V217)</f>
        <v>0.490691873853451</v>
      </c>
      <c r="X354" s="219">
        <f>SUM(X156)/SUM(X210,X214,X216,X217)</f>
        <v>0.516574101271679</v>
      </c>
      <c r="Y354" s="219">
        <f>SUM(Y156)/SUM(Y210,Y214,Y216,Y217)</f>
        <v>0.631204750492759</v>
      </c>
      <c r="Z354" s="219">
        <f>SUM(Z156)/SUM(Z210,Z214,Z216,Z217)</f>
        <v>0.729018471179089</v>
      </c>
      <c r="AA354" s="219">
        <f>SUM(AA156)/SUM(AA210,AA214,AA216,AA217)</f>
        <v>0.626875812105086</v>
      </c>
      <c r="AC354" s="219">
        <f>SUM(AC156)/SUM(AC210,AC214,AC216,AC217)</f>
        <v>0.534671587136807</v>
      </c>
      <c r="AD354" s="219">
        <f>SUM(AD156)/SUM(AD210,AD214,AD216,AD217)</f>
        <v>0.535035760357258</v>
      </c>
      <c r="AE354" s="219">
        <f>SUM(AE156)/SUM(AE210,AE214,AE216,AE217)</f>
        <v>0.489174320525112</v>
      </c>
      <c r="AF354" s="219">
        <f>SUM(AF156)/SUM(AF210,AF214,AF216,AF217)</f>
        <v>0.821753352381777</v>
      </c>
      <c r="AH354" s="219">
        <f>SUM(AH156)/SUM(AH210,AH214,AH216,AH217)</f>
        <v>1.11197429589535</v>
      </c>
      <c r="AI354" s="219">
        <f>SUM(AI156)/SUM(AI210,AI214,AI216,AI217)</f>
        <v>0.997663008180672</v>
      </c>
      <c r="AJ354" s="219">
        <f>SUM(AJ156)/SUM(AJ210,AJ214,AJ216,AJ217)</f>
        <v>2.54168516520566</v>
      </c>
      <c r="AK354" s="219">
        <f>SUM(AK156)/SUM(AK210,AK214,AK216,AK217)</f>
        <v>2.62632057727601</v>
      </c>
      <c r="AM354" s="219" t="e">
        <f>SUM(AM156)/SUM(AM210,AM214,AM216,AM217)</f>
        <v>#DIV/0!</v>
      </c>
      <c r="AN354" s="219" t="e">
        <f>SUM(AN156)/SUM(AN210,AN214,AN216,AN217)</f>
        <v>#DIV/0!</v>
      </c>
      <c r="AO354" s="219" t="e">
        <f>SUM(AO156)/SUM(AO210,AO214,AO216,AO217)</f>
        <v>#DIV/0!</v>
      </c>
      <c r="AP354" s="219" t="e">
        <f>SUM(AP156)/SUM(AP210,AP214,AP216,AP217)</f>
        <v>#DIV/0!</v>
      </c>
      <c r="AR354" s="219" t="e">
        <f>SUM(AR156)/SUM(AR210,AR214,AR216,AR217)</f>
        <v>#DIV/0!</v>
      </c>
      <c r="AS354" s="219" t="e">
        <f>SUM(AS156)/SUM(AS210,AS214,AS216,AS217)</f>
        <v>#DIV/0!</v>
      </c>
      <c r="AT354" s="219" t="e">
        <f>SUM(AT156)/SUM(AT210,AT214,AT216,AT217)</f>
        <v>#DIV/0!</v>
      </c>
      <c r="AU354" s="219" t="e">
        <f>SUM(AU156)/SUM(AU210,AU214,AU216,AU217)</f>
        <v>#DIV/0!</v>
      </c>
      <c r="AW354" s="219" t="e">
        <f>SUM(AW156)/SUM(AW210,AW214,AW216,AW217)</f>
        <v>#DIV/0!</v>
      </c>
      <c r="AX354" s="219" t="e">
        <f>SUM(AX156)/SUM(AX210,AX214,AX216,AX217)</f>
        <v>#DIV/0!</v>
      </c>
      <c r="AY354" s="219" t="e">
        <f>SUM(AY156)/SUM(AY210,AY214,AY216,AY217)</f>
        <v>#DIV/0!</v>
      </c>
      <c r="AZ354" s="219" t="e">
        <f>SUM(AZ156)/SUM(AZ210,AZ214,AZ216,AZ217)</f>
        <v>#DIV/0!</v>
      </c>
      <c r="BB354" s="219" t="e">
        <f>SUM(BB156)/SUM(BB210,BB214,BB216,BB217)</f>
        <v>#DIV/0!</v>
      </c>
      <c r="BC354" s="219" t="e">
        <f>SUM(BC156)/SUM(BC210,BC214,BC216,BC217)</f>
        <v>#DIV/0!</v>
      </c>
      <c r="BD354" s="219" t="e">
        <f>SUM(BD156)/SUM(BD210,BD214,BD216,BD217)</f>
        <v>#DIV/0!</v>
      </c>
      <c r="BE354" s="219" t="e">
        <f>SUM(BE156)/SUM(BE210,BE214,BE216,BE217)</f>
        <v>#DIV/0!</v>
      </c>
      <c r="BG354" s="219" t="e">
        <f>SUM(BG156)/SUM(BG210,BG214,BG216,BG217)</f>
        <v>#DIV/0!</v>
      </c>
      <c r="BH354" s="219" t="e">
        <f>SUM(BH156)/SUM(BH210,BH214,BH216,BH217)</f>
        <v>#DIV/0!</v>
      </c>
      <c r="BI354" s="219" t="e">
        <f>SUM(BI156)/SUM(BI210,BI214,BI216,BI217)</f>
        <v>#DIV/0!</v>
      </c>
      <c r="BJ354" s="219" t="e">
        <f>SUM(BJ156)/SUM(BJ210,BJ214,BJ216,BJ217)</f>
        <v>#DIV/0!</v>
      </c>
      <c r="BL354" s="219" t="e">
        <f>SUM(BL156)/SUM(BL210,BL214,BL216,BL217)</f>
        <v>#DIV/0!</v>
      </c>
      <c r="BM354" s="219" t="e">
        <f>SUM(BM156)/SUM(BM210,BM214,BM216,BM217)</f>
        <v>#DIV/0!</v>
      </c>
      <c r="BN354" s="219" t="e">
        <f>SUM(BN156)/SUM(BN210,BN214,BN216,BN217)</f>
        <v>#DIV/0!</v>
      </c>
      <c r="BO354" s="219" t="e">
        <f>SUM(BO156)/SUM(BO210,BO214,BO216,BO217)</f>
        <v>#DIV/0!</v>
      </c>
      <c r="BQ354" s="219" t="e">
        <f>SUM(BQ156)/SUM(BQ210,BQ214,BQ216,BQ217)</f>
        <v>#DIV/0!</v>
      </c>
      <c r="BR354" s="219" t="e">
        <f>SUM(BR156)/SUM(BR210,BR214,BR216,BR217)</f>
        <v>#DIV/0!</v>
      </c>
      <c r="BS354" s="219" t="e">
        <f>SUM(BS156)/SUM(BS210,BS214,BS216,BS217)</f>
        <v>#DIV/0!</v>
      </c>
      <c r="BT354" s="219" t="e">
        <f>SUM(BT156)/SUM(BT210,BT214,BT216,BT217)</f>
        <v>#DIV/0!</v>
      </c>
      <c r="BV354" s="219" t="e">
        <f>SUM(BV156)/SUM(BV210,BV214,BV216,BV217)</f>
        <v>#DIV/0!</v>
      </c>
      <c r="BW354" s="219" t="e">
        <f>SUM(BW156)/SUM(BW210,BW214,BW216,BW217)</f>
        <v>#DIV/0!</v>
      </c>
      <c r="BX354" s="219" t="e">
        <f>SUM(BX156)/SUM(BX210,BX214,BX216,BX217)</f>
        <v>#DIV/0!</v>
      </c>
      <c r="BY354" s="219" t="e">
        <f>SUM(BY156)/SUM(BY210,BY214,BY216,BY217)</f>
        <v>#DIV/0!</v>
      </c>
      <c r="CA354" s="219" t="e">
        <f>SUM(CA156)/SUM(CA210,CA214,CA216,CA217)</f>
        <v>#DIV/0!</v>
      </c>
      <c r="CB354" s="219" t="e">
        <f>SUM(CB156)/SUM(CB210,CB214,CB216,CB217)</f>
        <v>#DIV/0!</v>
      </c>
      <c r="CC354" s="219" t="e">
        <f>SUM(CC156)/SUM(CC210,CC214,CC216,CC217)</f>
        <v>#DIV/0!</v>
      </c>
      <c r="CD354" s="219" t="e">
        <f>SUM(CD156)/SUM(CD210,CD214,CD216,CD217)</f>
        <v>#DIV/0!</v>
      </c>
      <c r="CF354" s="219" t="e">
        <f>SUM(CF156)/SUM(CF210,CF214,CF216,CF217)</f>
        <v>#DIV/0!</v>
      </c>
      <c r="CG354" s="219" t="e">
        <f>SUM(CG156)/SUM(CG210,CG214,CG216,CG217)</f>
        <v>#DIV/0!</v>
      </c>
      <c r="CH354" s="219" t="e">
        <f>SUM(CH156)/SUM(CH210,CH214,CH216,CH217)</f>
        <v>#DIV/0!</v>
      </c>
      <c r="CI354" s="219" t="e">
        <f>SUM(CI156)/SUM(CI210,CI214,CI216,CI217)</f>
        <v>#DIV/0!</v>
      </c>
      <c r="CK354" s="219" t="e">
        <f>SUM(CK156)/SUM(CK210,CK214,CK216,CK217)</f>
        <v>#DIV/0!</v>
      </c>
      <c r="CL354" s="219" t="e">
        <f>SUM(CL156)/SUM(CL210,CL214,CL216,CL217)</f>
        <v>#DIV/0!</v>
      </c>
      <c r="CM354" s="219" t="e">
        <f>SUM(CM156)/SUM(CM210,CM214,CM216,CM217)</f>
        <v>#DIV/0!</v>
      </c>
      <c r="CN354" s="219" t="e">
        <f>SUM(CN156)/SUM(CN210,CN214,CN216,CN217)</f>
        <v>#DIV/0!</v>
      </c>
      <c r="CP354" s="219" t="e">
        <f>SUM(CP156)/SUM(CP210,CP214,CP216,CP217)</f>
        <v>#DIV/0!</v>
      </c>
      <c r="CQ354" s="219" t="e">
        <f>SUM(CQ156)/SUM(CQ210,CQ214,CQ216,CQ217)</f>
        <v>#DIV/0!</v>
      </c>
      <c r="CR354" s="219" t="e">
        <f>SUM(CR156)/SUM(CR210,CR214,CR216,CR217)</f>
        <v>#DIV/0!</v>
      </c>
      <c r="CS354" s="219" t="e">
        <f>SUM(CS156)/SUM(CS210,CS214,CS216,CS217)</f>
        <v>#DIV/0!</v>
      </c>
      <c r="CU354" s="219" t="e">
        <f>SUM(CU156)/SUM(CU210,CU214,CU216,CU217)</f>
        <v>#DIV/0!</v>
      </c>
      <c r="CV354" s="219" t="e">
        <f>SUM(CV156)/SUM(CV210,CV214,CV216,CV217)</f>
        <v>#DIV/0!</v>
      </c>
      <c r="CW354" s="219" t="e">
        <f>SUM(CW156)/SUM(CW210,CW214,CW216,CW217)</f>
        <v>#DIV/0!</v>
      </c>
      <c r="CX354" s="219" t="e">
        <f>SUM(CX156)/SUM(CX210,CX214,CX216,CX217)</f>
        <v>#DIV/0!</v>
      </c>
    </row>
    <row r="355" customFormat="1" s="233">
      <c r="A355" s="224" t="n"/>
      <c r="B355" s="224" t="n"/>
    </row>
    <row r="356" customFormat="1" s="233">
      <c r="A356" s="224" t="n"/>
      <c r="B356" s="224" t="n"/>
      <c r="C356" s="234" t="inlineStr">
        <is>
          <t>OPERATING EFFICIENCY</t>
        </is>
      </c>
    </row>
    <row r="357" customFormat="1" s="238">
      <c r="A357" s="222" t="n"/>
      <c r="B357" s="222" t="n"/>
      <c r="C357" s="238" t="inlineStr">
        <is>
          <t>RETURN ON CAPITAL (ROIC)</t>
        </is>
      </c>
      <c r="D357" s="238">
        <f>D359/D362</f>
        <v>0.019425123404459</v>
      </c>
      <c r="E357" s="238">
        <f>E359/E362</f>
        <v>0.0068029998601178</v>
      </c>
      <c r="F357" s="238">
        <f>F359/F362</f>
        <v>0.01299967722089</v>
      </c>
      <c r="G357" s="238">
        <f>G359/G362</f>
        <v>0.0307902378293419</v>
      </c>
      <c r="H357" s="238">
        <f>H359/H362</f>
        <v>0.0656989675861245</v>
      </c>
      <c r="I357" s="222">
        <f>I359/I362</f>
        <v>0.026049545638857</v>
      </c>
      <c r="J357" s="222">
        <f>J359/J362</f>
        <v>0.0334024355938876</v>
      </c>
      <c r="K357" s="222">
        <f>K359/K362</f>
        <v>0.0375651497274643</v>
      </c>
      <c r="L357" s="222">
        <f>L359/L362</f>
        <v>0.0389633292207951</v>
      </c>
      <c r="M357" s="222">
        <f>M359/M362</f>
        <v>0.106879454171099</v>
      </c>
      <c r="N357" s="222">
        <f>N359/N362</f>
        <v>0.0384647502299303</v>
      </c>
      <c r="O357" s="222">
        <f>O359/O362</f>
        <v>0.0345736238088575</v>
      </c>
      <c r="P357" s="222">
        <f>P359/P362</f>
        <v>0.034636160617044</v>
      </c>
      <c r="Q357" s="222">
        <f>Q359/Q362</f>
        <v>-0.0250554801878691</v>
      </c>
      <c r="R357" s="222">
        <f>R359/R362</f>
        <v>0.131280240493209</v>
      </c>
      <c r="S357" s="222">
        <f>S359/S362</f>
        <v>0.0640980445969506</v>
      </c>
      <c r="T357" s="222">
        <f>T359/T362</f>
        <v>0.0238117072258389</v>
      </c>
      <c r="U357" s="222">
        <f>U359/U362</f>
        <v>0.0219480780489155</v>
      </c>
      <c r="V357" s="222">
        <f>V359/V362</f>
        <v>-0.00919064817643388</v>
      </c>
      <c r="W357" s="222">
        <f>W359/W362</f>
        <v>0.0626407013995426</v>
      </c>
      <c r="X357" s="222">
        <f>X359/X362</f>
        <v>0.0249898349718239</v>
      </c>
      <c r="Y357" s="222">
        <f>Y359/Y362</f>
        <v>0.0267443542333304</v>
      </c>
      <c r="Z357" s="222">
        <f>Z359/Z362</f>
        <v>0.0288309369655133</v>
      </c>
      <c r="AA357" s="222">
        <f>AA359/AA362</f>
        <v>0.0285735574653449</v>
      </c>
      <c r="AB357" s="222">
        <f>AB359/AB362</f>
        <v>0.102909908139169</v>
      </c>
      <c r="AC357" s="222">
        <f>AC359/AC362</f>
        <v>0.027299828515132</v>
      </c>
      <c r="AD357" s="222">
        <f>AD359/AD362</f>
        <v>0.0304734911566908</v>
      </c>
      <c r="AE357" s="222">
        <f>AE359/AE362</f>
        <v>0.0547588743240058</v>
      </c>
      <c r="AF357" s="222">
        <f>AF359/AF362</f>
        <v>0.0540768102904292</v>
      </c>
      <c r="AG357" s="222">
        <f>AG359/AG362</f>
        <v>0.16072606887525</v>
      </c>
      <c r="AH357" s="222">
        <f>AH359/AH362</f>
        <v>0.0362831285907367</v>
      </c>
      <c r="AI357" s="222">
        <f>AI359/AI362</f>
        <v>0.039041200825866</v>
      </c>
      <c r="AJ357" s="222">
        <f>AJ359/AJ362</f>
        <v>0</v>
      </c>
      <c r="AK357" s="222">
        <f>AK359/AK362</f>
        <v>0</v>
      </c>
      <c r="AL357" s="222">
        <f>AL359/AL362</f>
        <v>0.0719253775324208</v>
      </c>
      <c r="AM357" s="222" t="e">
        <f>AM359/AM362</f>
        <v>#DIV/0!</v>
      </c>
      <c r="AN357" s="222">
        <f>AN359/AN362</f>
        <v>0</v>
      </c>
      <c r="AO357" s="222" t="e">
        <f>AO359/AO362</f>
        <v>#DIV/0!</v>
      </c>
      <c r="AP357" s="222" t="e">
        <f>AP359/AP362</f>
        <v>#DIV/0!</v>
      </c>
      <c r="AQ357" s="222" t="e">
        <f>AQ359/AQ362</f>
        <v>#DIV/0!</v>
      </c>
      <c r="AR357" s="222" t="e">
        <f>AR359/AR362</f>
        <v>#DIV/0!</v>
      </c>
      <c r="AS357" s="222" t="e">
        <f>AS359/AS362</f>
        <v>#DIV/0!</v>
      </c>
      <c r="AT357" s="222" t="e">
        <f>AT359/AT362</f>
        <v>#DIV/0!</v>
      </c>
      <c r="AU357" s="222" t="e">
        <f>AU359/AU362</f>
        <v>#DIV/0!</v>
      </c>
      <c r="AV357" s="222" t="e">
        <f>AV359/AV362</f>
        <v>#DIV/0!</v>
      </c>
      <c r="AW357" s="222" t="e">
        <f>AW359/AW362</f>
        <v>#DIV/0!</v>
      </c>
      <c r="AX357" s="222" t="e">
        <f>AX359/AX362</f>
        <v>#DIV/0!</v>
      </c>
      <c r="AY357" s="222" t="e">
        <f>AY359/AY362</f>
        <v>#DIV/0!</v>
      </c>
      <c r="AZ357" s="222" t="e">
        <f>AZ359/AZ362</f>
        <v>#DIV/0!</v>
      </c>
      <c r="BA357" s="222" t="e">
        <f>BA359/BA362</f>
        <v>#DIV/0!</v>
      </c>
      <c r="BB357" s="222" t="e">
        <f>BB359/BB362</f>
        <v>#DIV/0!</v>
      </c>
      <c r="BC357" s="222" t="e">
        <f>BC359/BC362</f>
        <v>#DIV/0!</v>
      </c>
      <c r="BD357" s="222" t="e">
        <f>BD359/BD362</f>
        <v>#DIV/0!</v>
      </c>
      <c r="BE357" s="222" t="e">
        <f>BE359/BE362</f>
        <v>#DIV/0!</v>
      </c>
      <c r="BF357" s="222" t="e">
        <f>BF359/BF362</f>
        <v>#DIV/0!</v>
      </c>
      <c r="BG357" s="222" t="e">
        <f>BG359/BG362</f>
        <v>#DIV/0!</v>
      </c>
      <c r="BH357" s="222" t="e">
        <f>BH359/BH362</f>
        <v>#DIV/0!</v>
      </c>
      <c r="BI357" s="222" t="e">
        <f>BI359/BI362</f>
        <v>#DIV/0!</v>
      </c>
      <c r="BJ357" s="222" t="e">
        <f>BJ359/BJ362</f>
        <v>#DIV/0!</v>
      </c>
      <c r="BK357" s="222" t="e">
        <f>BK359/BK362</f>
        <v>#DIV/0!</v>
      </c>
      <c r="BL357" s="222" t="e">
        <f>BL359/BL362</f>
        <v>#DIV/0!</v>
      </c>
      <c r="BM357" s="222" t="e">
        <f>BM359/BM362</f>
        <v>#DIV/0!</v>
      </c>
      <c r="BN357" s="222" t="e">
        <f>BN359/BN362</f>
        <v>#DIV/0!</v>
      </c>
      <c r="BO357" s="222" t="e">
        <f>BO359/BO362</f>
        <v>#DIV/0!</v>
      </c>
      <c r="BP357" s="222" t="e">
        <f>BP359/BP362</f>
        <v>#DIV/0!</v>
      </c>
      <c r="BQ357" s="222" t="e">
        <f>BQ359/BQ362</f>
        <v>#DIV/0!</v>
      </c>
      <c r="BR357" s="222" t="e">
        <f>BR359/BR362</f>
        <v>#DIV/0!</v>
      </c>
      <c r="BS357" s="222" t="e">
        <f>BS359/BS362</f>
        <v>#DIV/0!</v>
      </c>
      <c r="BT357" s="222" t="e">
        <f>BT359/BT362</f>
        <v>#DIV/0!</v>
      </c>
      <c r="BU357" s="222" t="e">
        <f>BU359/BU362</f>
        <v>#DIV/0!</v>
      </c>
      <c r="BV357" s="222" t="e">
        <f>BV359/BV362</f>
        <v>#DIV/0!</v>
      </c>
      <c r="BW357" s="222" t="e">
        <f>BW359/BW362</f>
        <v>#DIV/0!</v>
      </c>
      <c r="BX357" s="222" t="e">
        <f>BX359/BX362</f>
        <v>#DIV/0!</v>
      </c>
      <c r="BY357" s="222" t="e">
        <f>BY359/BY362</f>
        <v>#DIV/0!</v>
      </c>
      <c r="BZ357" s="222" t="e">
        <f>BZ359/BZ362</f>
        <v>#DIV/0!</v>
      </c>
      <c r="CA357" s="222" t="e">
        <f>CA359/CA362</f>
        <v>#DIV/0!</v>
      </c>
      <c r="CB357" s="222" t="e">
        <f>CB359/CB362</f>
        <v>#DIV/0!</v>
      </c>
      <c r="CC357" s="222" t="e">
        <f>CC359/CC362</f>
        <v>#DIV/0!</v>
      </c>
      <c r="CD357" s="222" t="e">
        <f>CD359/CD362</f>
        <v>#DIV/0!</v>
      </c>
      <c r="CE357" s="222" t="e">
        <f>CE359/CE362</f>
        <v>#DIV/0!</v>
      </c>
      <c r="CF357" s="222" t="e">
        <f>CF359/CF362</f>
        <v>#DIV/0!</v>
      </c>
      <c r="CG357" s="222" t="e">
        <f>CG359/CG362</f>
        <v>#DIV/0!</v>
      </c>
      <c r="CH357" s="222" t="e">
        <f>CH359/CH362</f>
        <v>#DIV/0!</v>
      </c>
      <c r="CI357" s="222" t="e">
        <f>CI359/CI362</f>
        <v>#DIV/0!</v>
      </c>
      <c r="CJ357" s="222" t="e">
        <f>CJ359/CJ362</f>
        <v>#DIV/0!</v>
      </c>
      <c r="CK357" s="222" t="e">
        <f>CK359/CK362</f>
        <v>#DIV/0!</v>
      </c>
      <c r="CL357" s="222" t="e">
        <f>CL359/CL362</f>
        <v>#DIV/0!</v>
      </c>
      <c r="CM357" s="222" t="e">
        <f>CM359/CM362</f>
        <v>#DIV/0!</v>
      </c>
      <c r="CN357" s="222" t="e">
        <f>CN359/CN362</f>
        <v>#DIV/0!</v>
      </c>
      <c r="CO357" s="222" t="e">
        <f>CO359/CO362</f>
        <v>#DIV/0!</v>
      </c>
      <c r="CP357" s="222" t="e">
        <f>CP359/CP362</f>
        <v>#DIV/0!</v>
      </c>
      <c r="CQ357" s="222" t="e">
        <f>CQ359/CQ362</f>
        <v>#DIV/0!</v>
      </c>
      <c r="CR357" s="222" t="e">
        <f>CR359/CR362</f>
        <v>#DIV/0!</v>
      </c>
      <c r="CS357" s="222" t="e">
        <f>CS359/CS362</f>
        <v>#DIV/0!</v>
      </c>
      <c r="CT357" s="222" t="e">
        <f>CT359/CT362</f>
        <v>#DIV/0!</v>
      </c>
      <c r="CU357" s="222" t="e">
        <f>CU359/CU362</f>
        <v>#DIV/0!</v>
      </c>
      <c r="CV357" s="222" t="e">
        <f>CV359/CV362</f>
        <v>#DIV/0!</v>
      </c>
      <c r="CW357" s="222" t="e">
        <f>CW359/CW362</f>
        <v>#DIV/0!</v>
      </c>
      <c r="CX357" s="222" t="e">
        <f>CX359/CX362</f>
        <v>#DIV/0!</v>
      </c>
      <c r="CY357" s="222" t="e">
        <f>CY359/CY362</f>
        <v>#DIV/0!</v>
      </c>
    </row>
    <row r="358" customFormat="1" s="238">
      <c r="A358" s="222" t="n"/>
      <c r="B358" s="222" t="n"/>
      <c r="C358" s="238" t="inlineStr">
        <is>
          <t>RETURN ON CAPITAL (ROIC) - EX GOODWILL</t>
        </is>
      </c>
      <c r="D358" s="238">
        <f>D359/D363</f>
        <v>0.019425123404459</v>
      </c>
      <c r="E358" s="238">
        <f>E359/E363</f>
        <v>0.0068029998601178</v>
      </c>
      <c r="F358" s="238">
        <f>F359/F363</f>
        <v>0.01299967722089</v>
      </c>
      <c r="G358" s="238">
        <f>G359/G363</f>
        <v>0.0307902378293419</v>
      </c>
      <c r="H358" s="238">
        <f>H359/H363</f>
        <v>0.0656989675861245</v>
      </c>
      <c r="I358" s="222">
        <f>I359/I363</f>
        <v>0.026049545638857</v>
      </c>
      <c r="J358" s="222">
        <f>J359/J363</f>
        <v>0.0334024355938876</v>
      </c>
      <c r="K358" s="222">
        <f>K359/K363</f>
        <v>0.0375651497274643</v>
      </c>
      <c r="L358" s="222">
        <f>L359/L363</f>
        <v>0.0389633292207951</v>
      </c>
      <c r="M358" s="222">
        <f>M359/M363</f>
        <v>0.106879454171099</v>
      </c>
      <c r="N358" s="222">
        <f>N359/N363</f>
        <v>0.0384647502299303</v>
      </c>
      <c r="O358" s="222">
        <f>O359/O363</f>
        <v>0.0345736238088575</v>
      </c>
      <c r="P358" s="222">
        <f>P359/P363</f>
        <v>0.034636160617044</v>
      </c>
      <c r="Q358" s="222">
        <f>Q359/Q363</f>
        <v>-0.0250554801878691</v>
      </c>
      <c r="R358" s="222">
        <f>R359/R363</f>
        <v>0.131280240493209</v>
      </c>
      <c r="S358" s="222">
        <f>S359/S363</f>
        <v>0.0640980445969506</v>
      </c>
      <c r="T358" s="222">
        <f>T359/T363</f>
        <v>0.0238117072258389</v>
      </c>
      <c r="U358" s="222">
        <f>U359/U363</f>
        <v>0.0219480780489155</v>
      </c>
      <c r="V358" s="222">
        <f>V359/V363</f>
        <v>-0.00919064817643388</v>
      </c>
      <c r="W358" s="222">
        <f>W359/W363</f>
        <v>0.0626407013995426</v>
      </c>
      <c r="X358" s="222">
        <f>X359/X363</f>
        <v>0.0249898349718239</v>
      </c>
      <c r="Y358" s="222">
        <f>Y359/Y363</f>
        <v>0.0267443542333304</v>
      </c>
      <c r="Z358" s="222">
        <f>Z359/Z363</f>
        <v>0.0288309369655133</v>
      </c>
      <c r="AA358" s="222">
        <f>AA359/AA363</f>
        <v>0.0285735574653449</v>
      </c>
      <c r="AB358" s="222">
        <f>AB359/AB363</f>
        <v>0.102909908139169</v>
      </c>
      <c r="AC358" s="222">
        <f>AC359/AC363</f>
        <v>0.027299828515132</v>
      </c>
      <c r="AD358" s="222">
        <f>AD359/AD363</f>
        <v>0.0304734911566908</v>
      </c>
      <c r="AE358" s="222">
        <f>AE359/AE363</f>
        <v>0.0547588743240058</v>
      </c>
      <c r="AF358" s="222">
        <f>AF359/AF363</f>
        <v>0.0540768102904292</v>
      </c>
      <c r="AG358" s="222">
        <f>AG359/AG363</f>
        <v>0.16072606887525</v>
      </c>
      <c r="AH358" s="222">
        <f>AH359/AH363</f>
        <v>0.0362831285907367</v>
      </c>
      <c r="AI358" s="222">
        <f>AI359/AI363</f>
        <v>0.039041200825866</v>
      </c>
      <c r="AJ358" s="222">
        <f>AJ359/AJ363</f>
        <v>0</v>
      </c>
      <c r="AK358" s="222">
        <f>AK359/AK363</f>
        <v>0</v>
      </c>
      <c r="AL358" s="222">
        <f>AL359/AL363</f>
        <v>0.0719253775324208</v>
      </c>
      <c r="AM358" s="222" t="e">
        <f>AM359/AM363</f>
        <v>#DIV/0!</v>
      </c>
      <c r="AN358" s="222">
        <f>AN359/AN363</f>
        <v>0</v>
      </c>
      <c r="AO358" s="222" t="e">
        <f>AO359/AO363</f>
        <v>#DIV/0!</v>
      </c>
      <c r="AP358" s="222" t="e">
        <f>AP359/AP363</f>
        <v>#DIV/0!</v>
      </c>
      <c r="AQ358" s="222" t="e">
        <f>AQ359/AQ363</f>
        <v>#DIV/0!</v>
      </c>
      <c r="AR358" s="222" t="e">
        <f>AR359/AR363</f>
        <v>#DIV/0!</v>
      </c>
      <c r="AS358" s="222" t="e">
        <f>AS359/AS363</f>
        <v>#DIV/0!</v>
      </c>
      <c r="AT358" s="222" t="e">
        <f>AT359/AT363</f>
        <v>#DIV/0!</v>
      </c>
      <c r="AU358" s="222" t="e">
        <f>AU359/AU363</f>
        <v>#DIV/0!</v>
      </c>
      <c r="AV358" s="222" t="e">
        <f>AV359/AV363</f>
        <v>#DIV/0!</v>
      </c>
      <c r="AW358" s="222" t="e">
        <f>AW359/AW363</f>
        <v>#DIV/0!</v>
      </c>
      <c r="AX358" s="222" t="e">
        <f>AX359/AX363</f>
        <v>#DIV/0!</v>
      </c>
      <c r="AY358" s="222" t="e">
        <f>AY359/AY363</f>
        <v>#DIV/0!</v>
      </c>
      <c r="AZ358" s="222" t="e">
        <f>AZ359/AZ363</f>
        <v>#DIV/0!</v>
      </c>
      <c r="BA358" s="222" t="e">
        <f>BA359/BA363</f>
        <v>#DIV/0!</v>
      </c>
      <c r="BB358" s="222" t="e">
        <f>BB359/BB363</f>
        <v>#DIV/0!</v>
      </c>
      <c r="BC358" s="222" t="e">
        <f>BC359/BC363</f>
        <v>#DIV/0!</v>
      </c>
      <c r="BD358" s="222" t="e">
        <f>BD359/BD363</f>
        <v>#DIV/0!</v>
      </c>
      <c r="BE358" s="222" t="e">
        <f>BE359/BE363</f>
        <v>#DIV/0!</v>
      </c>
      <c r="BF358" s="222" t="e">
        <f>BF359/BF363</f>
        <v>#DIV/0!</v>
      </c>
      <c r="BG358" s="222" t="e">
        <f>BG359/BG363</f>
        <v>#DIV/0!</v>
      </c>
      <c r="BH358" s="222" t="e">
        <f>BH359/BH363</f>
        <v>#DIV/0!</v>
      </c>
      <c r="BI358" s="222" t="e">
        <f>BI359/BI363</f>
        <v>#DIV/0!</v>
      </c>
      <c r="BJ358" s="222" t="e">
        <f>BJ359/BJ363</f>
        <v>#DIV/0!</v>
      </c>
      <c r="BK358" s="222" t="e">
        <f>BK359/BK363</f>
        <v>#DIV/0!</v>
      </c>
      <c r="BL358" s="222" t="e">
        <f>BL359/BL363</f>
        <v>#DIV/0!</v>
      </c>
      <c r="BM358" s="222" t="e">
        <f>BM359/BM363</f>
        <v>#DIV/0!</v>
      </c>
      <c r="BN358" s="222" t="e">
        <f>BN359/BN363</f>
        <v>#DIV/0!</v>
      </c>
      <c r="BO358" s="222" t="e">
        <f>BO359/BO363</f>
        <v>#DIV/0!</v>
      </c>
      <c r="BP358" s="222" t="e">
        <f>BP359/BP363</f>
        <v>#DIV/0!</v>
      </c>
      <c r="BQ358" s="222" t="e">
        <f>BQ359/BQ363</f>
        <v>#DIV/0!</v>
      </c>
      <c r="BR358" s="222" t="e">
        <f>BR359/BR363</f>
        <v>#DIV/0!</v>
      </c>
      <c r="BS358" s="222" t="e">
        <f>BS359/BS363</f>
        <v>#DIV/0!</v>
      </c>
      <c r="BT358" s="222" t="e">
        <f>BT359/BT363</f>
        <v>#DIV/0!</v>
      </c>
      <c r="BU358" s="222" t="e">
        <f>BU359/BU363</f>
        <v>#DIV/0!</v>
      </c>
      <c r="BV358" s="222" t="e">
        <f>BV359/BV363</f>
        <v>#DIV/0!</v>
      </c>
      <c r="BW358" s="222" t="e">
        <f>BW359/BW363</f>
        <v>#DIV/0!</v>
      </c>
      <c r="BX358" s="222" t="e">
        <f>BX359/BX363</f>
        <v>#DIV/0!</v>
      </c>
      <c r="BY358" s="222" t="e">
        <f>BY359/BY363</f>
        <v>#DIV/0!</v>
      </c>
      <c r="BZ358" s="222" t="e">
        <f>BZ359/BZ363</f>
        <v>#DIV/0!</v>
      </c>
      <c r="CA358" s="222" t="e">
        <f>CA359/CA363</f>
        <v>#DIV/0!</v>
      </c>
      <c r="CB358" s="222" t="e">
        <f>CB359/CB363</f>
        <v>#DIV/0!</v>
      </c>
      <c r="CC358" s="222" t="e">
        <f>CC359/CC363</f>
        <v>#DIV/0!</v>
      </c>
      <c r="CD358" s="222" t="e">
        <f>CD359/CD363</f>
        <v>#DIV/0!</v>
      </c>
      <c r="CE358" s="222" t="e">
        <f>CE359/CE363</f>
        <v>#DIV/0!</v>
      </c>
      <c r="CF358" s="222" t="e">
        <f>CF359/CF363</f>
        <v>#DIV/0!</v>
      </c>
      <c r="CG358" s="222" t="e">
        <f>CG359/CG363</f>
        <v>#DIV/0!</v>
      </c>
      <c r="CH358" s="222" t="e">
        <f>CH359/CH363</f>
        <v>#DIV/0!</v>
      </c>
      <c r="CI358" s="222" t="e">
        <f>CI359/CI363</f>
        <v>#DIV/0!</v>
      </c>
      <c r="CJ358" s="222" t="e">
        <f>CJ359/CJ363</f>
        <v>#DIV/0!</v>
      </c>
      <c r="CK358" s="222" t="e">
        <f>CK359/CK363</f>
        <v>#DIV/0!</v>
      </c>
      <c r="CL358" s="222" t="e">
        <f>CL359/CL363</f>
        <v>#DIV/0!</v>
      </c>
      <c r="CM358" s="222" t="e">
        <f>CM359/CM363</f>
        <v>#DIV/0!</v>
      </c>
      <c r="CN358" s="222" t="e">
        <f>CN359/CN363</f>
        <v>#DIV/0!</v>
      </c>
      <c r="CO358" s="222" t="e">
        <f>CO359/CO363</f>
        <v>#DIV/0!</v>
      </c>
      <c r="CP358" s="222" t="e">
        <f>CP359/CP363</f>
        <v>#DIV/0!</v>
      </c>
      <c r="CQ358" s="222" t="e">
        <f>CQ359/CQ363</f>
        <v>#DIV/0!</v>
      </c>
      <c r="CR358" s="222" t="e">
        <f>CR359/CR363</f>
        <v>#DIV/0!</v>
      </c>
      <c r="CS358" s="222" t="e">
        <f>CS359/CS363</f>
        <v>#DIV/0!</v>
      </c>
      <c r="CT358" s="222" t="e">
        <f>CT359/CT363</f>
        <v>#DIV/0!</v>
      </c>
      <c r="CU358" s="222" t="e">
        <f>CU359/CU363</f>
        <v>#DIV/0!</v>
      </c>
      <c r="CV358" s="222" t="e">
        <f>CV359/CV363</f>
        <v>#DIV/0!</v>
      </c>
      <c r="CW358" s="222" t="e">
        <f>CW359/CW363</f>
        <v>#DIV/0!</v>
      </c>
      <c r="CX358" s="222" t="e">
        <f>CX359/CX363</f>
        <v>#DIV/0!</v>
      </c>
      <c r="CY358" s="222" t="e">
        <f>CY359/CY363</f>
        <v>#DIV/0!</v>
      </c>
    </row>
    <row r="359" customFormat="1" s="233">
      <c r="A359" s="224" t="n"/>
      <c r="B359" s="224" t="n"/>
      <c r="C359" s="233" t="inlineStr">
        <is>
          <t>NOPLAT</t>
        </is>
      </c>
      <c r="D359" s="233">
        <f>D360*(1-D361)</f>
        <v>89.2906100478468</v>
      </c>
      <c r="E359" s="233">
        <f>E360*(1-E361)</f>
        <v>32.7779826240243</v>
      </c>
      <c r="F359" s="233">
        <f>F360*(1-F361)</f>
        <v>61.7357921139371</v>
      </c>
      <c r="G359" s="233">
        <f>G360*(1-G361)</f>
        <v>166.630978567686</v>
      </c>
      <c r="H359" s="233">
        <f>H360*(1-H361)</f>
        <v>355.550461170199</v>
      </c>
      <c r="I359" s="223">
        <f>I360*(1-I361)</f>
        <v>160.140727994881</v>
      </c>
      <c r="J359" s="224">
        <f>J360*(1-J361)</f>
        <v>221.185250088673</v>
      </c>
      <c r="K359" s="224">
        <f>K360*(1-K361)</f>
        <v>352.450960281763</v>
      </c>
      <c r="L359" s="224">
        <f>L360*(1-L361)</f>
        <v>421.320336586751</v>
      </c>
      <c r="M359" s="224">
        <f>M360*(1-M361)</f>
        <v>1155.714578454</v>
      </c>
      <c r="N359" s="223">
        <f>N360*(1-N361)</f>
        <v>462.325026756885</v>
      </c>
      <c r="O359" s="224">
        <f>O360*(1-O361)</f>
        <v>468.224329417448</v>
      </c>
      <c r="P359" s="224">
        <f>P360*(1-P361)</f>
        <v>526.840594659277</v>
      </c>
      <c r="Q359" s="224">
        <f>Q360*(1-Q361)</f>
        <v>-358.725147776605</v>
      </c>
      <c r="R359" s="224">
        <f>R360*(1-R361)</f>
        <v>1879.5697914373</v>
      </c>
      <c r="S359" s="223">
        <f>S360*(1-S361)</f>
        <v>961.027815564139</v>
      </c>
      <c r="T359" s="224">
        <f>T360*(1-T361)</f>
        <v>364.776662509679</v>
      </c>
      <c r="U359" s="224">
        <f>U360*(1-U361)</f>
        <v>341.560994759018</v>
      </c>
      <c r="V359" s="224">
        <f>V360*(1-V361)</f>
        <v>-143.964169546592</v>
      </c>
      <c r="W359" s="224">
        <f>W360*(1-W361)</f>
        <v>981.216600144119</v>
      </c>
      <c r="X359" s="223">
        <f>X360*(1-X361)</f>
        <v>407.833931811322</v>
      </c>
      <c r="Y359" s="224">
        <f>Y360*(1-Y361)</f>
        <v>471.54810960356</v>
      </c>
      <c r="Z359" s="224">
        <f>Z360*(1-Z361)</f>
        <v>534.780407992455</v>
      </c>
      <c r="AA359" s="224">
        <f>AA360*(1-AA361)</f>
        <v>544.084623139335</v>
      </c>
      <c r="AB359" s="224">
        <f>AB360*(1-AB361)</f>
        <v>1959.56344095803</v>
      </c>
      <c r="AC359" s="223">
        <f>AC360*(1-AC361)</f>
        <v>542.714857916836</v>
      </c>
      <c r="AD359" s="224">
        <f>AD360*(1-AD361)</f>
        <v>581.402427418385</v>
      </c>
      <c r="AE359" s="224">
        <f>AE360*(1-AE361)</f>
        <v>1016.57205328887</v>
      </c>
      <c r="AF359" s="224">
        <f>AF360*(1-AF361)</f>
        <v>1003.38759010866</v>
      </c>
      <c r="AG359" s="224">
        <f>AG360*(1-AG361)</f>
        <v>2982.24954560456</v>
      </c>
      <c r="AH359" s="223">
        <f>AH360*(1-AH361)</f>
        <v>695.773292427386</v>
      </c>
      <c r="AI359" s="224">
        <f>AI360*(1-AI361)</f>
        <v>812.225127629969</v>
      </c>
      <c r="AJ359" s="224">
        <f>AJ360*(1-AJ361)</f>
        <v>0</v>
      </c>
      <c r="AK359" s="224">
        <f>AK360*(1-AK361)</f>
        <v>0</v>
      </c>
      <c r="AL359" s="224">
        <f>AL360*(1-AL361)</f>
        <v>1709.91947319993</v>
      </c>
      <c r="AM359" s="223">
        <f>AM360*(1-AM361)</f>
        <v>0</v>
      </c>
      <c r="AN359" s="224">
        <f>AN360*(1-AN361)</f>
        <v>0</v>
      </c>
      <c r="AO359" s="224">
        <f>AO360*(1-AO361)</f>
        <v>0</v>
      </c>
      <c r="AP359" s="224">
        <f>AP360*(1-AP361)</f>
        <v>0</v>
      </c>
      <c r="AQ359" s="224">
        <f>AQ360*(1-AQ361)</f>
        <v>0</v>
      </c>
      <c r="AR359" s="223">
        <f>AR360*(1-AR361)</f>
        <v>0</v>
      </c>
      <c r="AS359" s="224">
        <f>AS360*(1-AS361)</f>
        <v>0</v>
      </c>
      <c r="AT359" s="224">
        <f>AT360*(1-AT361)</f>
        <v>0</v>
      </c>
      <c r="AU359" s="224">
        <f>AU360*(1-AU361)</f>
        <v>0</v>
      </c>
      <c r="AV359" s="224">
        <f>AV360*(1-AV361)</f>
        <v>0</v>
      </c>
      <c r="AW359" s="223">
        <f>AW360*(1-AW361)</f>
        <v>0</v>
      </c>
      <c r="AX359" s="224">
        <f>AX360*(1-AX361)</f>
        <v>0</v>
      </c>
      <c r="AY359" s="224">
        <f>AY360*(1-AY361)</f>
        <v>0</v>
      </c>
      <c r="AZ359" s="224">
        <f>AZ360*(1-AZ361)</f>
        <v>0</v>
      </c>
      <c r="BA359" s="224">
        <f>BA360*(1-BA361)</f>
        <v>0</v>
      </c>
      <c r="BB359" s="223">
        <f>BB360*(1-BB361)</f>
        <v>0</v>
      </c>
      <c r="BC359" s="224">
        <f>BC360*(1-BC361)</f>
        <v>0</v>
      </c>
      <c r="BD359" s="224">
        <f>BD360*(1-BD361)</f>
        <v>0</v>
      </c>
      <c r="BE359" s="224">
        <f>BE360*(1-BE361)</f>
        <v>0</v>
      </c>
      <c r="BF359" s="224">
        <f>BF360*(1-BF361)</f>
        <v>0</v>
      </c>
      <c r="BG359" s="223">
        <f>BG360*(1-BG361)</f>
        <v>0</v>
      </c>
      <c r="BH359" s="224">
        <f>BH360*(1-BH361)</f>
        <v>0</v>
      </c>
      <c r="BI359" s="224">
        <f>BI360*(1-BI361)</f>
        <v>0</v>
      </c>
      <c r="BJ359" s="224">
        <f>BJ360*(1-BJ361)</f>
        <v>0</v>
      </c>
      <c r="BK359" s="224">
        <f>BK360*(1-BK361)</f>
        <v>0</v>
      </c>
      <c r="BL359" s="223">
        <f>BL360*(1-BL361)</f>
        <v>0</v>
      </c>
      <c r="BM359" s="224">
        <f>BM360*(1-BM361)</f>
        <v>0</v>
      </c>
      <c r="BN359" s="224">
        <f>BN360*(1-BN361)</f>
        <v>0</v>
      </c>
      <c r="BO359" s="224">
        <f>BO360*(1-BO361)</f>
        <v>0</v>
      </c>
      <c r="BP359" s="224">
        <f>BP360*(1-BP361)</f>
        <v>0</v>
      </c>
      <c r="BQ359" s="223">
        <f>BQ360*(1-BQ361)</f>
        <v>0</v>
      </c>
      <c r="BR359" s="224">
        <f>BR360*(1-BR361)</f>
        <v>0</v>
      </c>
      <c r="BS359" s="224">
        <f>BS360*(1-BS361)</f>
        <v>0</v>
      </c>
      <c r="BT359" s="224">
        <f>BT360*(1-BT361)</f>
        <v>0</v>
      </c>
      <c r="BU359" s="224">
        <f>BU360*(1-BU361)</f>
        <v>0</v>
      </c>
      <c r="BV359" s="223">
        <f>BV360*(1-BV361)</f>
        <v>0</v>
      </c>
      <c r="BW359" s="224">
        <f>BW360*(1-BW361)</f>
        <v>0</v>
      </c>
      <c r="BX359" s="224">
        <f>BX360*(1-BX361)</f>
        <v>0</v>
      </c>
      <c r="BY359" s="224">
        <f>BY360*(1-BY361)</f>
        <v>0</v>
      </c>
      <c r="BZ359" s="224">
        <f>BZ360*(1-BZ361)</f>
        <v>0</v>
      </c>
      <c r="CA359" s="223">
        <f>CA360*(1-CA361)</f>
        <v>0</v>
      </c>
      <c r="CB359" s="224">
        <f>CB360*(1-CB361)</f>
        <v>0</v>
      </c>
      <c r="CC359" s="224">
        <f>CC360*(1-CC361)</f>
        <v>0</v>
      </c>
      <c r="CD359" s="224">
        <f>CD360*(1-CD361)</f>
        <v>0</v>
      </c>
      <c r="CE359" s="224">
        <f>CE360*(1-CE361)</f>
        <v>0</v>
      </c>
      <c r="CF359" s="223">
        <f>CF360*(1-CF361)</f>
        <v>0</v>
      </c>
      <c r="CG359" s="224">
        <f>CG360*(1-CG361)</f>
        <v>0</v>
      </c>
      <c r="CH359" s="224">
        <f>CH360*(1-CH361)</f>
        <v>0</v>
      </c>
      <c r="CI359" s="224">
        <f>CI360*(1-CI361)</f>
        <v>0</v>
      </c>
      <c r="CJ359" s="224">
        <f>CJ360*(1-CJ361)</f>
        <v>0</v>
      </c>
      <c r="CK359" s="223">
        <f>CK360*(1-CK361)</f>
        <v>0</v>
      </c>
      <c r="CL359" s="224">
        <f>CL360*(1-CL361)</f>
        <v>0</v>
      </c>
      <c r="CM359" s="224">
        <f>CM360*(1-CM361)</f>
        <v>0</v>
      </c>
      <c r="CN359" s="224">
        <f>CN360*(1-CN361)</f>
        <v>0</v>
      </c>
      <c r="CO359" s="224">
        <f>CO360*(1-CO361)</f>
        <v>0</v>
      </c>
      <c r="CP359" s="223">
        <f>CP360*(1-CP361)</f>
        <v>0</v>
      </c>
      <c r="CQ359" s="224">
        <f>CQ360*(1-CQ361)</f>
        <v>0</v>
      </c>
      <c r="CR359" s="224">
        <f>CR360*(1-CR361)</f>
        <v>0</v>
      </c>
      <c r="CS359" s="224">
        <f>CS360*(1-CS361)</f>
        <v>0</v>
      </c>
      <c r="CT359" s="224">
        <f>CT360*(1-CT361)</f>
        <v>0</v>
      </c>
      <c r="CU359" s="223">
        <f>CU360*(1-CU361)</f>
        <v>0</v>
      </c>
      <c r="CV359" s="224">
        <f>CV360*(1-CV361)</f>
        <v>0</v>
      </c>
      <c r="CW359" s="224">
        <f>CW360*(1-CW361)</f>
        <v>0</v>
      </c>
      <c r="CX359" s="224">
        <f>CX360*(1-CX361)</f>
        <v>0</v>
      </c>
      <c r="CY359" s="224">
        <f>CY360*(1-CY361)</f>
        <v>0</v>
      </c>
    </row>
    <row r="360" customFormat="1" s="233">
      <c r="A360" s="224" t="n"/>
      <c r="B360" s="224" t="n"/>
      <c r="C360" s="233" t="inlineStr">
        <is>
          <t>EBIT</t>
        </is>
      </c>
      <c r="D360" s="239">
        <f>D85</f>
        <v>117.885</v>
      </c>
      <c r="E360" s="239">
        <f>E85</f>
        <v>49.813</v>
      </c>
      <c r="F360" s="239">
        <f>F85</f>
        <v>94.1469999999999</v>
      </c>
      <c r="G360" s="239">
        <f>G85</f>
        <v>220.137</v>
      </c>
      <c r="H360" s="239">
        <f>H85</f>
        <v>481.982</v>
      </c>
      <c r="I360" s="36">
        <f>I85</f>
        <v>242.324</v>
      </c>
      <c r="J360" s="36">
        <f>J85</f>
        <v>315.528</v>
      </c>
      <c r="K360" s="36">
        <f>K85</f>
        <v>502.702</v>
      </c>
      <c r="L360" s="36">
        <f>L85</f>
        <v>606.181</v>
      </c>
      <c r="M360" s="36">
        <f>M85</f>
        <v>1666.735</v>
      </c>
      <c r="N360" s="36">
        <f>N85</f>
        <v>650.259</v>
      </c>
      <c r="O360" s="36">
        <f>O85</f>
        <v>664.348</v>
      </c>
      <c r="P360" s="36">
        <f>P85</f>
        <v>624.813</v>
      </c>
      <c r="Q360" s="36">
        <f>Q85</f>
        <v>477.301</v>
      </c>
      <c r="R360" s="36">
        <f>R85</f>
        <v>2416.721</v>
      </c>
      <c r="S360" s="36">
        <f>S85</f>
        <v>485.309</v>
      </c>
      <c r="T360" s="36">
        <f>T85</f>
        <v>501.037</v>
      </c>
      <c r="U360" s="36">
        <f>U85</f>
        <v>455.16</v>
      </c>
      <c r="V360" s="36">
        <f>V85</f>
        <v>-179.939</v>
      </c>
      <c r="W360" s="36">
        <f>W85</f>
        <v>1261.567</v>
      </c>
      <c r="X360" s="36">
        <f>X85</f>
        <v>611.646</v>
      </c>
      <c r="Y360" s="36">
        <f>Y85</f>
        <v>627.327</v>
      </c>
      <c r="Z360" s="36">
        <f>Z85</f>
        <v>696.198</v>
      </c>
      <c r="AA360" s="36">
        <f>AA85</f>
        <v>684.93</v>
      </c>
      <c r="AB360" s="36">
        <f>AB85</f>
        <v>2620.101</v>
      </c>
      <c r="AC360" s="36">
        <f>AC85</f>
        <v>765.955</v>
      </c>
      <c r="AD360" s="36">
        <f>AD85</f>
        <v>785.39</v>
      </c>
      <c r="AE360" s="36">
        <f>AE85</f>
        <v>854.092</v>
      </c>
      <c r="AF360" s="36">
        <f>AF85</f>
        <v>850.69101735011</v>
      </c>
      <c r="AG360" s="36">
        <f>AG85</f>
        <v>3256.12801735011</v>
      </c>
      <c r="AH360" s="36">
        <f>AH85</f>
        <v>918.078642</v>
      </c>
      <c r="AI360" s="36">
        <f>AI85</f>
        <v>1015.1799626</v>
      </c>
      <c r="AJ360" s="36">
        <f>AJ85</f>
        <v>0</v>
      </c>
      <c r="AK360" s="36">
        <f>AK85</f>
        <v>0</v>
      </c>
      <c r="AL360" s="36">
        <f>AL85</f>
        <v>1933.2586046</v>
      </c>
      <c r="AM360" s="36">
        <f>AM85</f>
        <v>0</v>
      </c>
      <c r="AN360" s="36">
        <f>AN85</f>
        <v>0</v>
      </c>
      <c r="AO360" s="36">
        <f>AO85</f>
        <v>0</v>
      </c>
      <c r="AP360" s="36">
        <f>AP85</f>
        <v>0</v>
      </c>
      <c r="AQ360" s="36">
        <f>AQ85</f>
        <v>0</v>
      </c>
      <c r="AR360" s="36">
        <f>AR85</f>
        <v>0</v>
      </c>
      <c r="AS360" s="36">
        <f>AS85</f>
        <v>0</v>
      </c>
      <c r="AT360" s="36">
        <f>AT85</f>
        <v>0</v>
      </c>
      <c r="AU360" s="36">
        <f>AU85</f>
        <v>0</v>
      </c>
      <c r="AV360" s="36">
        <f>AV85</f>
        <v>0</v>
      </c>
      <c r="AW360" s="36">
        <f>AW85</f>
        <v>0</v>
      </c>
      <c r="AX360" s="36">
        <f>AX85</f>
        <v>0</v>
      </c>
      <c r="AY360" s="36">
        <f>AY85</f>
        <v>0</v>
      </c>
      <c r="AZ360" s="36">
        <f>AZ85</f>
        <v>0</v>
      </c>
      <c r="BA360" s="36">
        <f>BA85</f>
        <v>0</v>
      </c>
      <c r="BB360" s="36">
        <f>BB85</f>
        <v>0</v>
      </c>
      <c r="BC360" s="36">
        <f>BC85</f>
        <v>0</v>
      </c>
      <c r="BD360" s="36">
        <f>BD85</f>
        <v>0</v>
      </c>
      <c r="BE360" s="36">
        <f>BE85</f>
        <v>0</v>
      </c>
      <c r="BF360" s="36">
        <f>BF85</f>
        <v>0</v>
      </c>
      <c r="BG360" s="36">
        <f>BG85</f>
        <v>0</v>
      </c>
      <c r="BH360" s="36">
        <f>BH85</f>
        <v>0</v>
      </c>
      <c r="BI360" s="36">
        <f>BI85</f>
        <v>0</v>
      </c>
      <c r="BJ360" s="36">
        <f>BJ85</f>
        <v>0</v>
      </c>
      <c r="BK360" s="36">
        <f>BK85</f>
        <v>0</v>
      </c>
      <c r="BL360" s="36">
        <f>BL85</f>
        <v>0</v>
      </c>
      <c r="BM360" s="36">
        <f>BM85</f>
        <v>0</v>
      </c>
      <c r="BN360" s="36">
        <f>BN85</f>
        <v>0</v>
      </c>
      <c r="BO360" s="36">
        <f>BO85</f>
        <v>0</v>
      </c>
      <c r="BP360" s="36">
        <f>BP85</f>
        <v>0</v>
      </c>
      <c r="BQ360" s="36">
        <f>BQ85</f>
        <v>0</v>
      </c>
      <c r="BR360" s="36">
        <f>BR85</f>
        <v>0</v>
      </c>
      <c r="BS360" s="36">
        <f>BS85</f>
        <v>0</v>
      </c>
      <c r="BT360" s="36">
        <f>BT85</f>
        <v>0</v>
      </c>
      <c r="BU360" s="36">
        <f>BU85</f>
        <v>0</v>
      </c>
      <c r="BV360" s="36">
        <f>BV85</f>
        <v>0</v>
      </c>
      <c r="BW360" s="36">
        <f>BW85</f>
        <v>0</v>
      </c>
      <c r="BX360" s="36">
        <f>BX85</f>
        <v>0</v>
      </c>
      <c r="BY360" s="36">
        <f>BY85</f>
        <v>0</v>
      </c>
      <c r="BZ360" s="36">
        <f>BZ85</f>
        <v>0</v>
      </c>
      <c r="CA360" s="36">
        <f>CA85</f>
        <v>0</v>
      </c>
      <c r="CB360" s="36">
        <f>CB85</f>
        <v>0</v>
      </c>
      <c r="CC360" s="36">
        <f>CC85</f>
        <v>0</v>
      </c>
      <c r="CD360" s="36">
        <f>CD85</f>
        <v>0</v>
      </c>
      <c r="CE360" s="36">
        <f>CE85</f>
        <v>0</v>
      </c>
      <c r="CF360" s="36">
        <f>CF85</f>
        <v>0</v>
      </c>
      <c r="CG360" s="36">
        <f>CG85</f>
        <v>0</v>
      </c>
      <c r="CH360" s="36">
        <f>CH85</f>
        <v>0</v>
      </c>
      <c r="CI360" s="36">
        <f>CI85</f>
        <v>0</v>
      </c>
      <c r="CJ360" s="36">
        <f>CJ85</f>
        <v>0</v>
      </c>
      <c r="CK360" s="36">
        <f>CK85</f>
        <v>0</v>
      </c>
      <c r="CL360" s="36">
        <f>CL85</f>
        <v>0</v>
      </c>
      <c r="CM360" s="36">
        <f>CM85</f>
        <v>0</v>
      </c>
      <c r="CN360" s="36">
        <f>CN85</f>
        <v>0</v>
      </c>
      <c r="CO360" s="36">
        <f>CO85</f>
        <v>0</v>
      </c>
      <c r="CP360" s="36">
        <f>CP85</f>
        <v>0</v>
      </c>
      <c r="CQ360" s="36">
        <f>CQ85</f>
        <v>0</v>
      </c>
      <c r="CR360" s="36">
        <f>CR85</f>
        <v>0</v>
      </c>
      <c r="CS360" s="36">
        <f>CS85</f>
        <v>0</v>
      </c>
      <c r="CT360" s="36">
        <f>CT85</f>
        <v>0</v>
      </c>
      <c r="CU360" s="36">
        <f>CU85</f>
        <v>0</v>
      </c>
      <c r="CV360" s="36">
        <f>CV85</f>
        <v>0</v>
      </c>
      <c r="CW360" s="36">
        <f>CW85</f>
        <v>0</v>
      </c>
      <c r="CX360" s="36">
        <f>CX85</f>
        <v>0</v>
      </c>
      <c r="CY360" s="36">
        <f>CY85</f>
        <v>0</v>
      </c>
    </row>
    <row r="361" customFormat="1" s="233">
      <c r="A361" s="224" t="n"/>
      <c r="B361" s="224" t="n"/>
      <c r="C361" s="233" t="inlineStr">
        <is>
          <t>ETR</t>
        </is>
      </c>
      <c r="D361" s="240">
        <f>D144</f>
        <v>0.242561733487323</v>
      </c>
      <c r="E361" s="240">
        <f>E144</f>
        <v>0.341979350289597</v>
      </c>
      <c r="F361" s="240">
        <f>F144</f>
        <v>0.344261717166376</v>
      </c>
      <c r="G361" s="240">
        <f>G144</f>
        <v>0.243057829589364</v>
      </c>
      <c r="H361" s="240">
        <f>H144</f>
        <v>0.262315893186469</v>
      </c>
      <c r="I361" s="225">
        <f>I144</f>
        <v>0.339146233988869</v>
      </c>
      <c r="J361" s="225">
        <f>J144</f>
        <v>0.298999613065489</v>
      </c>
      <c r="K361" s="225">
        <f>K144</f>
        <v>0.298886894657743</v>
      </c>
      <c r="L361" s="225">
        <f>L144</f>
        <v>0.304959514424321</v>
      </c>
      <c r="M361" s="225">
        <f>M144</f>
        <v>0.306599682340627</v>
      </c>
      <c r="N361" s="225">
        <f>N144</f>
        <v>0.289014028630308</v>
      </c>
      <c r="O361" s="225">
        <f>O144</f>
        <v>0.295212254093566</v>
      </c>
      <c r="P361" s="225">
        <f>P144</f>
        <v>0.156802763932125</v>
      </c>
      <c r="Q361" s="225">
        <f>Q144</f>
        <v>1.75157007376185</v>
      </c>
      <c r="R361" s="225">
        <f>R144</f>
        <v>0.222264468493756</v>
      </c>
      <c r="S361" s="225">
        <f>S144</f>
        <v>-0.98023901383271</v>
      </c>
      <c r="T361" s="225">
        <f>T144</f>
        <v>0.271956636915678</v>
      </c>
      <c r="U361" s="225">
        <f>U144</f>
        <v>0.249580378857945</v>
      </c>
      <c r="V361" s="225">
        <f>V144</f>
        <v>0.199927922537127</v>
      </c>
      <c r="W361" s="225">
        <f>W144</f>
        <v>0.222223948356196</v>
      </c>
      <c r="X361" s="225">
        <f>X144</f>
        <v>0.333218999533518</v>
      </c>
      <c r="Y361" s="225">
        <f>Y144</f>
        <v>0.248321673379975</v>
      </c>
      <c r="Z361" s="225">
        <f>Z144</f>
        <v>0.231855868599946</v>
      </c>
      <c r="AA361" s="225">
        <f>AA144</f>
        <v>0.205634702612917</v>
      </c>
      <c r="AB361" s="225">
        <f>AB144</f>
        <v>0.252103853646088</v>
      </c>
      <c r="AC361" s="225">
        <f>AC144</f>
        <v>0.291453338751186</v>
      </c>
      <c r="AD361" s="225">
        <f>AD144</f>
        <v>0.259727743645343</v>
      </c>
      <c r="AE361" s="225">
        <f>AE144</f>
        <v>-0.190237179705312</v>
      </c>
      <c r="AF361" s="225">
        <f>AF144</f>
        <v>-0.179497102525193</v>
      </c>
      <c r="AG361" s="225">
        <f>AG144</f>
        <v>0.0841117026990977</v>
      </c>
      <c r="AH361" s="225">
        <f>AH144</f>
        <v>0.242141946672814</v>
      </c>
      <c r="AI361" s="225">
        <f>AI144</f>
        <v>0.199920055997006</v>
      </c>
      <c r="AJ361" s="225">
        <f>AJ144</f>
        <v>0</v>
      </c>
      <c r="AK361" s="225">
        <f>AK144</f>
        <v>0</v>
      </c>
      <c r="AL361" s="225">
        <f>AL144</f>
        <v>0.115524705731894</v>
      </c>
      <c r="AM361" s="225">
        <f>AM144</f>
        <v>0</v>
      </c>
      <c r="AN361" s="225">
        <f>AN144</f>
        <v>0</v>
      </c>
      <c r="AO361" s="225">
        <f>AO144</f>
        <v>0</v>
      </c>
      <c r="AP361" s="225">
        <f>AP144</f>
        <v>0</v>
      </c>
      <c r="AQ361" s="225">
        <f>AQ144</f>
        <v>0</v>
      </c>
      <c r="AR361" s="225">
        <f>AR144</f>
        <v>0</v>
      </c>
      <c r="AS361" s="225">
        <f>AS144</f>
        <v>0</v>
      </c>
      <c r="AT361" s="225">
        <f>AT144</f>
        <v>0</v>
      </c>
      <c r="AU361" s="225">
        <f>AU144</f>
        <v>0</v>
      </c>
      <c r="AV361" s="225">
        <f>AV144</f>
        <v>0</v>
      </c>
      <c r="AW361" s="225">
        <f>AW144</f>
        <v>0</v>
      </c>
      <c r="AX361" s="225">
        <f>AX144</f>
        <v>0</v>
      </c>
      <c r="AY361" s="225">
        <f>AY144</f>
        <v>0</v>
      </c>
      <c r="AZ361" s="225">
        <f>AZ144</f>
        <v>0</v>
      </c>
      <c r="BA361" s="225">
        <f>BA144</f>
        <v>0</v>
      </c>
      <c r="BB361" s="225">
        <f>BB144</f>
        <v>0</v>
      </c>
      <c r="BC361" s="225">
        <f>BC144</f>
        <v>0</v>
      </c>
      <c r="BD361" s="225">
        <f>BD144</f>
        <v>0</v>
      </c>
      <c r="BE361" s="225">
        <f>BE144</f>
        <v>0</v>
      </c>
      <c r="BF361" s="225">
        <f>BF144</f>
        <v>0</v>
      </c>
      <c r="BG361" s="225">
        <f>BG144</f>
        <v>0</v>
      </c>
      <c r="BH361" s="225">
        <f>BH144</f>
        <v>0</v>
      </c>
      <c r="BI361" s="225">
        <f>BI144</f>
        <v>0</v>
      </c>
      <c r="BJ361" s="225">
        <f>BJ144</f>
        <v>0</v>
      </c>
      <c r="BK361" s="225">
        <f>BK144</f>
        <v>0</v>
      </c>
      <c r="BL361" s="225">
        <f>BL144</f>
        <v>0</v>
      </c>
      <c r="BM361" s="225">
        <f>BM144</f>
        <v>0</v>
      </c>
      <c r="BN361" s="225">
        <f>BN144</f>
        <v>0</v>
      </c>
      <c r="BO361" s="225">
        <f>BO144</f>
        <v>0</v>
      </c>
      <c r="BP361" s="225">
        <f>BP144</f>
        <v>0</v>
      </c>
      <c r="BQ361" s="225">
        <f>BQ144</f>
        <v>0</v>
      </c>
      <c r="BR361" s="225">
        <f>BR144</f>
        <v>0</v>
      </c>
      <c r="BS361" s="225">
        <f>BS144</f>
        <v>0</v>
      </c>
      <c r="BT361" s="225">
        <f>BT144</f>
        <v>0</v>
      </c>
      <c r="BU361" s="225">
        <f>BU144</f>
        <v>0</v>
      </c>
      <c r="BV361" s="225">
        <f>BV144</f>
        <v>0</v>
      </c>
      <c r="BW361" s="225">
        <f>BW144</f>
        <v>0</v>
      </c>
      <c r="BX361" s="225">
        <f>BX144</f>
        <v>0</v>
      </c>
      <c r="BY361" s="225">
        <f>BY144</f>
        <v>0</v>
      </c>
      <c r="BZ361" s="225">
        <f>BZ144</f>
        <v>0</v>
      </c>
      <c r="CA361" s="225">
        <f>CA144</f>
        <v>0</v>
      </c>
      <c r="CB361" s="225">
        <f>CB144</f>
        <v>0</v>
      </c>
      <c r="CC361" s="225">
        <f>CC144</f>
        <v>0</v>
      </c>
      <c r="CD361" s="225">
        <f>CD144</f>
        <v>0</v>
      </c>
      <c r="CE361" s="225">
        <f>CE144</f>
        <v>0</v>
      </c>
      <c r="CF361" s="225">
        <f>CF144</f>
        <v>0</v>
      </c>
      <c r="CG361" s="225">
        <f>CG144</f>
        <v>0</v>
      </c>
      <c r="CH361" s="225">
        <f>CH144</f>
        <v>0</v>
      </c>
      <c r="CI361" s="225">
        <f>CI144</f>
        <v>0</v>
      </c>
      <c r="CJ361" s="225">
        <f>CJ144</f>
        <v>0</v>
      </c>
      <c r="CK361" s="225">
        <f>CK144</f>
        <v>0</v>
      </c>
      <c r="CL361" s="225">
        <f>CL144</f>
        <v>0</v>
      </c>
      <c r="CM361" s="225">
        <f>CM144</f>
        <v>0</v>
      </c>
      <c r="CN361" s="225">
        <f>CN144</f>
        <v>0</v>
      </c>
      <c r="CO361" s="225">
        <f>CO144</f>
        <v>0</v>
      </c>
      <c r="CP361" s="225">
        <f>CP144</f>
        <v>0</v>
      </c>
      <c r="CQ361" s="225">
        <f>CQ144</f>
        <v>0</v>
      </c>
      <c r="CR361" s="225">
        <f>CR144</f>
        <v>0</v>
      </c>
      <c r="CS361" s="225">
        <f>CS144</f>
        <v>0</v>
      </c>
      <c r="CT361" s="225">
        <f>CT144</f>
        <v>0</v>
      </c>
      <c r="CU361" s="225">
        <f>CU144</f>
        <v>0</v>
      </c>
      <c r="CV361" s="225">
        <f>CV144</f>
        <v>0</v>
      </c>
      <c r="CW361" s="225">
        <f>CW144</f>
        <v>0</v>
      </c>
      <c r="CX361" s="225">
        <f>CX144</f>
        <v>0</v>
      </c>
      <c r="CY361" s="225">
        <f>CY144</f>
        <v>0</v>
      </c>
    </row>
    <row r="362" customFormat="1" s="233">
      <c r="A362" s="224" t="n"/>
      <c r="B362" s="224" t="n"/>
      <c r="C362" s="233" t="inlineStr">
        <is>
          <t>INVESTED CAPITAL</t>
        </is>
      </c>
      <c r="D362" s="239">
        <f>D365-D366+D367</f>
        <v>4596.656</v>
      </c>
      <c r="E362" s="239">
        <f>E365-E366+E367</f>
        <v>4818.166</v>
      </c>
      <c r="F362" s="239">
        <f>F365-F366+F367</f>
        <v>4749.025</v>
      </c>
      <c r="G362" s="239">
        <f>G365-G366+G367</f>
        <v>5411.812</v>
      </c>
      <c r="H362" s="239">
        <f>H365-H366+H367</f>
        <v>5411.812</v>
      </c>
      <c r="I362" s="36">
        <f>I365-I366+I367</f>
        <v>6147.544</v>
      </c>
      <c r="J362" s="36">
        <f>J365-J366+J367</f>
        <v>6621.83</v>
      </c>
      <c r="K362" s="36">
        <f>K365-K366+K367</f>
        <v>9382.392</v>
      </c>
      <c r="L362" s="36">
        <f>L365-L366+L367</f>
        <v>10813.253</v>
      </c>
      <c r="M362" s="36">
        <f>M365-M366+M367</f>
        <v>10813.253</v>
      </c>
      <c r="N362" s="36">
        <f>N365-N366+N367</f>
        <v>12019.447</v>
      </c>
      <c r="O362" s="36">
        <f>O365-O366+O367</f>
        <v>13542.819</v>
      </c>
      <c r="P362" s="36">
        <f>P365-P366+P367</f>
        <v>15210.71</v>
      </c>
      <c r="Q362" s="36">
        <f>Q365-Q366+Q367</f>
        <v>14317.233</v>
      </c>
      <c r="R362" s="36">
        <f>R365-R366+R367</f>
        <v>14317.233</v>
      </c>
      <c r="S362" s="36">
        <f>S365-S366+S367</f>
        <v>14993.091</v>
      </c>
      <c r="T362" s="36">
        <f>T365-T366+T367</f>
        <v>15319.215</v>
      </c>
      <c r="U362" s="36">
        <f>U365-U366+U367</f>
        <v>15562.228</v>
      </c>
      <c r="V362" s="36">
        <f>V365-V366+V367</f>
        <v>15664.202</v>
      </c>
      <c r="W362" s="36">
        <f>W365-W366+W367</f>
        <v>15664.202</v>
      </c>
      <c r="X362" s="36">
        <f>X365-X366+X367</f>
        <v>16319.993</v>
      </c>
      <c r="Y362" s="36">
        <f>Y365-Y366+Y367</f>
        <v>17631.688</v>
      </c>
      <c r="Z362" s="36">
        <f>Z365-Z366+Z367</f>
        <v>18548.839</v>
      </c>
      <c r="AA362" s="36">
        <f>AA365-AA366+AA367</f>
        <v>19041.543</v>
      </c>
      <c r="AB362" s="36">
        <f>AB365-AB366+AB367</f>
        <v>19041.543</v>
      </c>
      <c r="AC362" s="36">
        <f>AC365-AC366+AC367</f>
        <v>19879.79</v>
      </c>
      <c r="AD362" s="36">
        <f>AD365-AD366+AD367</f>
        <v>19078.957</v>
      </c>
      <c r="AE362" s="36">
        <f>AE365-AE366+AE367</f>
        <v>18564.517</v>
      </c>
      <c r="AF362" s="36">
        <f>AF365-AF366+AF367</f>
        <v>18554.859</v>
      </c>
      <c r="AG362" s="36">
        <f>AG365-AG366+AG367</f>
        <v>18554.859</v>
      </c>
      <c r="AH362" s="36">
        <f>AH365-AH366+AH367</f>
        <v>19176.221</v>
      </c>
      <c r="AI362" s="36">
        <f>AI365-AI366+AI367</f>
        <v>20804.307</v>
      </c>
      <c r="AJ362" s="36">
        <f>AJ365-AJ366+AJ367</f>
        <v>23773.521</v>
      </c>
      <c r="AK362" s="36">
        <f>AK365-AK366+AK367</f>
        <v>23773.521</v>
      </c>
      <c r="AL362" s="36">
        <f>AL365-AL366+AL367</f>
        <v>23773.521</v>
      </c>
      <c r="AM362" s="36" t="e">
        <f>AM365-AM366+AM367</f>
        <v>#DIV/0!</v>
      </c>
      <c r="AN362" s="36">
        <f>AN365-AN366+AN367</f>
        <v>23773.521</v>
      </c>
      <c r="AO362" s="36" t="e">
        <f>AO365-AO366+AO367</f>
        <v>#DIV/0!</v>
      </c>
      <c r="AP362" s="36" t="e">
        <f>AP365-AP366+AP367</f>
        <v>#DIV/0!</v>
      </c>
      <c r="AQ362" s="36" t="e">
        <f>AQ365-AQ366+AQ367</f>
        <v>#DIV/0!</v>
      </c>
      <c r="AR362" s="36" t="e">
        <f>AR365-AR366+AR367</f>
        <v>#DIV/0!</v>
      </c>
      <c r="AS362" s="36" t="e">
        <f>AS365-AS366+AS367</f>
        <v>#DIV/0!</v>
      </c>
      <c r="AT362" s="36" t="e">
        <f>AT365-AT366+AT367</f>
        <v>#DIV/0!</v>
      </c>
      <c r="AU362" s="36" t="e">
        <f>AU365-AU366+AU367</f>
        <v>#DIV/0!</v>
      </c>
      <c r="AV362" s="36" t="e">
        <f>AV365-AV366+AV367</f>
        <v>#DIV/0!</v>
      </c>
      <c r="AW362" s="36" t="e">
        <f>AW365-AW366+AW367</f>
        <v>#DIV/0!</v>
      </c>
      <c r="AX362" s="36" t="e">
        <f>AX365-AX366+AX367</f>
        <v>#DIV/0!</v>
      </c>
      <c r="AY362" s="36" t="e">
        <f>AY365-AY366+AY367</f>
        <v>#DIV/0!</v>
      </c>
      <c r="AZ362" s="36" t="e">
        <f>AZ365-AZ366+AZ367</f>
        <v>#DIV/0!</v>
      </c>
      <c r="BA362" s="36" t="e">
        <f>BA365-BA366+BA367</f>
        <v>#DIV/0!</v>
      </c>
      <c r="BB362" s="36" t="e">
        <f>BB365-BB366+BB367</f>
        <v>#DIV/0!</v>
      </c>
      <c r="BC362" s="36" t="e">
        <f>BC365-BC366+BC367</f>
        <v>#DIV/0!</v>
      </c>
      <c r="BD362" s="36" t="e">
        <f>BD365-BD366+BD367</f>
        <v>#DIV/0!</v>
      </c>
      <c r="BE362" s="36" t="e">
        <f>BE365-BE366+BE367</f>
        <v>#DIV/0!</v>
      </c>
      <c r="BF362" s="36" t="e">
        <f>BF365-BF366+BF367</f>
        <v>#DIV/0!</v>
      </c>
      <c r="BG362" s="36" t="e">
        <f>BG365-BG366+BG367</f>
        <v>#DIV/0!</v>
      </c>
      <c r="BH362" s="36" t="e">
        <f>BH365-BH366+BH367</f>
        <v>#DIV/0!</v>
      </c>
      <c r="BI362" s="36" t="e">
        <f>BI365-BI366+BI367</f>
        <v>#DIV/0!</v>
      </c>
      <c r="BJ362" s="36" t="e">
        <f>BJ365-BJ366+BJ367</f>
        <v>#DIV/0!</v>
      </c>
      <c r="BK362" s="36" t="e">
        <f>BK365-BK366+BK367</f>
        <v>#DIV/0!</v>
      </c>
      <c r="BL362" s="36" t="e">
        <f>BL365-BL366+BL367</f>
        <v>#DIV/0!</v>
      </c>
      <c r="BM362" s="36" t="e">
        <f>BM365-BM366+BM367</f>
        <v>#DIV/0!</v>
      </c>
      <c r="BN362" s="36" t="e">
        <f>BN365-BN366+BN367</f>
        <v>#DIV/0!</v>
      </c>
      <c r="BO362" s="36" t="e">
        <f>BO365-BO366+BO367</f>
        <v>#DIV/0!</v>
      </c>
      <c r="BP362" s="36" t="e">
        <f>BP365-BP366+BP367</f>
        <v>#DIV/0!</v>
      </c>
      <c r="BQ362" s="36" t="e">
        <f>BQ365-BQ366+BQ367</f>
        <v>#DIV/0!</v>
      </c>
      <c r="BR362" s="36" t="e">
        <f>BR365-BR366+BR367</f>
        <v>#DIV/0!</v>
      </c>
      <c r="BS362" s="36" t="e">
        <f>BS365-BS366+BS367</f>
        <v>#DIV/0!</v>
      </c>
      <c r="BT362" s="36" t="e">
        <f>BT365-BT366+BT367</f>
        <v>#DIV/0!</v>
      </c>
      <c r="BU362" s="36" t="e">
        <f>BU365-BU366+BU367</f>
        <v>#DIV/0!</v>
      </c>
      <c r="BV362" s="36" t="e">
        <f>BV365-BV366+BV367</f>
        <v>#DIV/0!</v>
      </c>
      <c r="BW362" s="36" t="e">
        <f>BW365-BW366+BW367</f>
        <v>#DIV/0!</v>
      </c>
      <c r="BX362" s="36" t="e">
        <f>BX365-BX366+BX367</f>
        <v>#DIV/0!</v>
      </c>
      <c r="BY362" s="36" t="e">
        <f>BY365-BY366+BY367</f>
        <v>#DIV/0!</v>
      </c>
      <c r="BZ362" s="36" t="e">
        <f>BZ365-BZ366+BZ367</f>
        <v>#DIV/0!</v>
      </c>
      <c r="CA362" s="36" t="e">
        <f>CA365-CA366+CA367</f>
        <v>#DIV/0!</v>
      </c>
      <c r="CB362" s="36" t="e">
        <f>CB365-CB366+CB367</f>
        <v>#DIV/0!</v>
      </c>
      <c r="CC362" s="36" t="e">
        <f>CC365-CC366+CC367</f>
        <v>#DIV/0!</v>
      </c>
      <c r="CD362" s="36" t="e">
        <f>CD365-CD366+CD367</f>
        <v>#DIV/0!</v>
      </c>
      <c r="CE362" s="36" t="e">
        <f>CE365-CE366+CE367</f>
        <v>#DIV/0!</v>
      </c>
      <c r="CF362" s="36" t="e">
        <f>CF365-CF366+CF367</f>
        <v>#DIV/0!</v>
      </c>
      <c r="CG362" s="36" t="e">
        <f>CG365-CG366+CG367</f>
        <v>#DIV/0!</v>
      </c>
      <c r="CH362" s="36" t="e">
        <f>CH365-CH366+CH367</f>
        <v>#DIV/0!</v>
      </c>
      <c r="CI362" s="36" t="e">
        <f>CI365-CI366+CI367</f>
        <v>#DIV/0!</v>
      </c>
      <c r="CJ362" s="36" t="e">
        <f>CJ365-CJ366+CJ367</f>
        <v>#DIV/0!</v>
      </c>
      <c r="CK362" s="36" t="e">
        <f>CK365-CK366+CK367</f>
        <v>#DIV/0!</v>
      </c>
      <c r="CL362" s="36" t="e">
        <f>CL365-CL366+CL367</f>
        <v>#DIV/0!</v>
      </c>
      <c r="CM362" s="36" t="e">
        <f>CM365-CM366+CM367</f>
        <v>#DIV/0!</v>
      </c>
      <c r="CN362" s="36" t="e">
        <f>CN365-CN366+CN367</f>
        <v>#DIV/0!</v>
      </c>
      <c r="CO362" s="36" t="e">
        <f>CO365-CO366+CO367</f>
        <v>#DIV/0!</v>
      </c>
      <c r="CP362" s="36" t="e">
        <f>CP365-CP366+CP367</f>
        <v>#DIV/0!</v>
      </c>
      <c r="CQ362" s="36" t="e">
        <f>CQ365-CQ366+CQ367</f>
        <v>#DIV/0!</v>
      </c>
      <c r="CR362" s="36" t="e">
        <f>CR365-CR366+CR367</f>
        <v>#DIV/0!</v>
      </c>
      <c r="CS362" s="36" t="e">
        <f>CS365-CS366+CS367</f>
        <v>#DIV/0!</v>
      </c>
      <c r="CT362" s="36" t="e">
        <f>CT365-CT366+CT367</f>
        <v>#DIV/0!</v>
      </c>
      <c r="CU362" s="36" t="e">
        <f>CU365-CU366+CU367</f>
        <v>#DIV/0!</v>
      </c>
      <c r="CV362" s="36" t="e">
        <f>CV365-CV366+CV367</f>
        <v>#DIV/0!</v>
      </c>
      <c r="CW362" s="36" t="e">
        <f>CW365-CW366+CW367</f>
        <v>#DIV/0!</v>
      </c>
      <c r="CX362" s="36" t="e">
        <f>CX365-CX366+CX367</f>
        <v>#DIV/0!</v>
      </c>
      <c r="CY362" s="36" t="e">
        <f>CY365-CY366+CY367</f>
        <v>#DIV/0!</v>
      </c>
    </row>
    <row r="363" customFormat="1" s="233">
      <c r="A363" s="224" t="n"/>
      <c r="B363" s="224" t="n"/>
      <c r="C363" s="233" t="inlineStr">
        <is>
          <t>INVESTED CAPITAL - EX GOODWILL</t>
        </is>
      </c>
      <c r="D363" s="241">
        <f>D362-D191</f>
        <v>4596.656</v>
      </c>
      <c r="E363" s="241">
        <f>E362-E191</f>
        <v>4818.166</v>
      </c>
      <c r="F363" s="241">
        <f>F362-F191</f>
        <v>4749.025</v>
      </c>
      <c r="G363" s="241">
        <f>G362-G191</f>
        <v>5411.812</v>
      </c>
      <c r="H363" s="241">
        <f>H362-H191</f>
        <v>5411.812</v>
      </c>
      <c r="I363" s="226">
        <f>I362-I191</f>
        <v>6147.544</v>
      </c>
      <c r="J363" s="226">
        <f>J362-J191</f>
        <v>6621.83</v>
      </c>
      <c r="K363" s="226">
        <f>K362-K191</f>
        <v>9382.392</v>
      </c>
      <c r="L363" s="226">
        <f>L362-L191</f>
        <v>10813.253</v>
      </c>
      <c r="M363" s="226">
        <f>M362-M191</f>
        <v>10813.253</v>
      </c>
      <c r="N363" s="226">
        <f>N362-N191</f>
        <v>12019.447</v>
      </c>
      <c r="O363" s="226">
        <f>O362-O191</f>
        <v>13542.819</v>
      </c>
      <c r="P363" s="226">
        <f>P362-P191</f>
        <v>15210.71</v>
      </c>
      <c r="Q363" s="226">
        <f>Q362-Q191</f>
        <v>14317.233</v>
      </c>
      <c r="R363" s="226">
        <f>R362-R191</f>
        <v>14317.233</v>
      </c>
      <c r="S363" s="226">
        <f>S362-S191</f>
        <v>14993.091</v>
      </c>
      <c r="T363" s="226">
        <f>T362-T191</f>
        <v>15319.215</v>
      </c>
      <c r="U363" s="226">
        <f>U362-U191</f>
        <v>15562.228</v>
      </c>
      <c r="V363" s="226">
        <f>V362-V191</f>
        <v>15664.202</v>
      </c>
      <c r="W363" s="226">
        <f>W362-W191</f>
        <v>15664.202</v>
      </c>
      <c r="X363" s="226">
        <f>X362-X191</f>
        <v>16319.993</v>
      </c>
      <c r="Y363" s="226">
        <f>Y362-Y191</f>
        <v>17631.688</v>
      </c>
      <c r="Z363" s="226">
        <f>Z362-Z191</f>
        <v>18548.839</v>
      </c>
      <c r="AA363" s="226">
        <f>AA362-AA191</f>
        <v>19041.543</v>
      </c>
      <c r="AB363" s="226">
        <f>AB362-AB191</f>
        <v>19041.543</v>
      </c>
      <c r="AC363" s="226">
        <f>AC362-AC191</f>
        <v>19879.79</v>
      </c>
      <c r="AD363" s="226">
        <f>AD362-AD191</f>
        <v>19078.957</v>
      </c>
      <c r="AE363" s="226">
        <f>AE362-AE191</f>
        <v>18564.517</v>
      </c>
      <c r="AF363" s="226">
        <f>AF362-AF191</f>
        <v>18554.859</v>
      </c>
      <c r="AG363" s="226">
        <f>AG362-AG191</f>
        <v>18554.859</v>
      </c>
      <c r="AH363" s="226">
        <f>AH362-AH191</f>
        <v>19176.221</v>
      </c>
      <c r="AI363" s="226">
        <f>AI362-AI191</f>
        <v>20804.307</v>
      </c>
      <c r="AJ363" s="226">
        <f>AJ362-AJ191</f>
        <v>23773.521</v>
      </c>
      <c r="AK363" s="226">
        <f>AK362-AK191</f>
        <v>23773.521</v>
      </c>
      <c r="AL363" s="226">
        <f>AL362-AL191</f>
        <v>23773.521</v>
      </c>
      <c r="AM363" s="226" t="e">
        <f>AM362-AM191</f>
        <v>#DIV/0!</v>
      </c>
      <c r="AN363" s="226">
        <f>AN362-AN191</f>
        <v>23773.521</v>
      </c>
      <c r="AO363" s="226" t="e">
        <f>AO362-AO191</f>
        <v>#DIV/0!</v>
      </c>
      <c r="AP363" s="226" t="e">
        <f>AP362-AP191</f>
        <v>#DIV/0!</v>
      </c>
      <c r="AQ363" s="226" t="e">
        <f>AQ362-AQ191</f>
        <v>#DIV/0!</v>
      </c>
      <c r="AR363" s="226" t="e">
        <f>AR362-AR191</f>
        <v>#DIV/0!</v>
      </c>
      <c r="AS363" s="226" t="e">
        <f>AS362-AS191</f>
        <v>#DIV/0!</v>
      </c>
      <c r="AT363" s="226" t="e">
        <f>AT362-AT191</f>
        <v>#DIV/0!</v>
      </c>
      <c r="AU363" s="226" t="e">
        <f>AU362-AU191</f>
        <v>#DIV/0!</v>
      </c>
      <c r="AV363" s="226" t="e">
        <f>AV362-AV191</f>
        <v>#DIV/0!</v>
      </c>
      <c r="AW363" s="226" t="e">
        <f>AW362-AW191</f>
        <v>#DIV/0!</v>
      </c>
      <c r="AX363" s="226" t="e">
        <f>AX362-AX191</f>
        <v>#DIV/0!</v>
      </c>
      <c r="AY363" s="226" t="e">
        <f>AY362-AY191</f>
        <v>#DIV/0!</v>
      </c>
      <c r="AZ363" s="226" t="e">
        <f>AZ362-AZ191</f>
        <v>#DIV/0!</v>
      </c>
      <c r="BA363" s="226" t="e">
        <f>BA362-BA191</f>
        <v>#DIV/0!</v>
      </c>
      <c r="BB363" s="226" t="e">
        <f>BB362-BB191</f>
        <v>#DIV/0!</v>
      </c>
      <c r="BC363" s="226" t="e">
        <f>BC362-BC191</f>
        <v>#DIV/0!</v>
      </c>
      <c r="BD363" s="226" t="e">
        <f>BD362-BD191</f>
        <v>#DIV/0!</v>
      </c>
      <c r="BE363" s="226" t="e">
        <f>BE362-BE191</f>
        <v>#DIV/0!</v>
      </c>
      <c r="BF363" s="226" t="e">
        <f>BF362-BF191</f>
        <v>#DIV/0!</v>
      </c>
      <c r="BG363" s="226" t="e">
        <f>BG362-BG191</f>
        <v>#DIV/0!</v>
      </c>
      <c r="BH363" s="226" t="e">
        <f>BH362-BH191</f>
        <v>#DIV/0!</v>
      </c>
      <c r="BI363" s="226" t="e">
        <f>BI362-BI191</f>
        <v>#DIV/0!</v>
      </c>
      <c r="BJ363" s="226" t="e">
        <f>BJ362-BJ191</f>
        <v>#DIV/0!</v>
      </c>
      <c r="BK363" s="226" t="e">
        <f>BK362-BK191</f>
        <v>#DIV/0!</v>
      </c>
      <c r="BL363" s="226" t="e">
        <f>BL362-BL191</f>
        <v>#DIV/0!</v>
      </c>
      <c r="BM363" s="226" t="e">
        <f>BM362-BM191</f>
        <v>#DIV/0!</v>
      </c>
      <c r="BN363" s="226" t="e">
        <f>BN362-BN191</f>
        <v>#DIV/0!</v>
      </c>
      <c r="BO363" s="226" t="e">
        <f>BO362-BO191</f>
        <v>#DIV/0!</v>
      </c>
      <c r="BP363" s="226" t="e">
        <f>BP362-BP191</f>
        <v>#DIV/0!</v>
      </c>
      <c r="BQ363" s="226" t="e">
        <f>BQ362-BQ191</f>
        <v>#DIV/0!</v>
      </c>
      <c r="BR363" s="226" t="e">
        <f>BR362-BR191</f>
        <v>#DIV/0!</v>
      </c>
      <c r="BS363" s="226" t="e">
        <f>BS362-BS191</f>
        <v>#DIV/0!</v>
      </c>
      <c r="BT363" s="226" t="e">
        <f>BT362-BT191</f>
        <v>#DIV/0!</v>
      </c>
      <c r="BU363" s="226" t="e">
        <f>BU362-BU191</f>
        <v>#DIV/0!</v>
      </c>
      <c r="BV363" s="226" t="e">
        <f>BV362-BV191</f>
        <v>#DIV/0!</v>
      </c>
      <c r="BW363" s="226" t="e">
        <f>BW362-BW191</f>
        <v>#DIV/0!</v>
      </c>
      <c r="BX363" s="226" t="e">
        <f>BX362-BX191</f>
        <v>#DIV/0!</v>
      </c>
      <c r="BY363" s="226" t="e">
        <f>BY362-BY191</f>
        <v>#DIV/0!</v>
      </c>
      <c r="BZ363" s="226" t="e">
        <f>BZ362-BZ191</f>
        <v>#DIV/0!</v>
      </c>
      <c r="CA363" s="226" t="e">
        <f>CA362-CA191</f>
        <v>#DIV/0!</v>
      </c>
      <c r="CB363" s="226" t="e">
        <f>CB362-CB191</f>
        <v>#DIV/0!</v>
      </c>
      <c r="CC363" s="226" t="e">
        <f>CC362-CC191</f>
        <v>#DIV/0!</v>
      </c>
      <c r="CD363" s="226" t="e">
        <f>CD362-CD191</f>
        <v>#DIV/0!</v>
      </c>
      <c r="CE363" s="226" t="e">
        <f>CE362-CE191</f>
        <v>#DIV/0!</v>
      </c>
      <c r="CF363" s="226" t="e">
        <f>CF362-CF191</f>
        <v>#DIV/0!</v>
      </c>
      <c r="CG363" s="226" t="e">
        <f>CG362-CG191</f>
        <v>#DIV/0!</v>
      </c>
      <c r="CH363" s="226" t="e">
        <f>CH362-CH191</f>
        <v>#DIV/0!</v>
      </c>
      <c r="CI363" s="226" t="e">
        <f>CI362-CI191</f>
        <v>#DIV/0!</v>
      </c>
      <c r="CJ363" s="226" t="e">
        <f>CJ362-CJ191</f>
        <v>#DIV/0!</v>
      </c>
      <c r="CK363" s="226" t="e">
        <f>CK362-CK191</f>
        <v>#DIV/0!</v>
      </c>
      <c r="CL363" s="226" t="e">
        <f>CL362-CL191</f>
        <v>#DIV/0!</v>
      </c>
      <c r="CM363" s="226" t="e">
        <f>CM362-CM191</f>
        <v>#DIV/0!</v>
      </c>
      <c r="CN363" s="226" t="e">
        <f>CN362-CN191</f>
        <v>#DIV/0!</v>
      </c>
      <c r="CO363" s="226" t="e">
        <f>CO362-CO191</f>
        <v>#DIV/0!</v>
      </c>
      <c r="CP363" s="226" t="e">
        <f>CP362-CP191</f>
        <v>#DIV/0!</v>
      </c>
      <c r="CQ363" s="226" t="e">
        <f>CQ362-CQ191</f>
        <v>#DIV/0!</v>
      </c>
      <c r="CR363" s="226" t="e">
        <f>CR362-CR191</f>
        <v>#DIV/0!</v>
      </c>
      <c r="CS363" s="226" t="e">
        <f>CS362-CS191</f>
        <v>#DIV/0!</v>
      </c>
      <c r="CT363" s="226" t="e">
        <f>CT362-CT191</f>
        <v>#DIV/0!</v>
      </c>
      <c r="CU363" s="226" t="e">
        <f>CU362-CU191</f>
        <v>#DIV/0!</v>
      </c>
      <c r="CV363" s="226" t="e">
        <f>CV362-CV191</f>
        <v>#DIV/0!</v>
      </c>
      <c r="CW363" s="226" t="e">
        <f>CW362-CW191</f>
        <v>#DIV/0!</v>
      </c>
      <c r="CX363" s="226" t="e">
        <f>CX362-CX191</f>
        <v>#DIV/0!</v>
      </c>
      <c r="CY363" s="226" t="e">
        <f>CY362-CY191</f>
        <v>#DIV/0!</v>
      </c>
    </row>
    <row r="364" customFormat="1" s="233">
      <c r="A364" s="224" t="n"/>
      <c r="B364" s="224" t="n"/>
      <c r="C364" s="233" t="inlineStr">
        <is>
          <t>OPERATING WORKING CAPITAL</t>
        </is>
      </c>
      <c r="D364" s="242">
        <f>D365-D366</f>
        <v>-660.694</v>
      </c>
      <c r="E364" s="242">
        <f>E365-E366</f>
        <v>40.6300000000001</v>
      </c>
      <c r="F364" s="242">
        <f>F365-F366</f>
        <v>-624.714</v>
      </c>
      <c r="G364" s="242">
        <f>G365-G366</f>
        <v>-660.516</v>
      </c>
      <c r="H364" s="242">
        <f>H365-H366</f>
        <v>-660.516</v>
      </c>
      <c r="I364" s="36">
        <f>I365-I366</f>
        <v>-417.148</v>
      </c>
      <c r="J364" s="36">
        <f>J365-J366</f>
        <v>-668.6</v>
      </c>
      <c r="K364" s="36">
        <f>K365-K366</f>
        <v>-544.528</v>
      </c>
      <c r="L364" s="36">
        <f>L365-L366</f>
        <v>-1625.412</v>
      </c>
      <c r="M364" s="36">
        <f>M365-M366</f>
        <v>-1625.412</v>
      </c>
      <c r="N364" s="36">
        <f>N365-N366</f>
        <v>-547.294</v>
      </c>
      <c r="O364" s="36">
        <f>O365-O366</f>
        <v>-976.846</v>
      </c>
      <c r="P364" s="36">
        <f>P365-P366</f>
        <v>-186.232</v>
      </c>
      <c r="Q364" s="36">
        <f>Q365-Q366</f>
        <v>-1196.505</v>
      </c>
      <c r="R364" s="36">
        <f>R365-R366</f>
        <v>-1196.505</v>
      </c>
      <c r="S364" s="36">
        <f>S365-S366</f>
        <v>-150.164</v>
      </c>
      <c r="T364" s="36">
        <f>T365-T366</f>
        <v>371.231</v>
      </c>
      <c r="U364" s="36">
        <f>U365-U366</f>
        <v>-298.649000000001</v>
      </c>
      <c r="V364" s="36">
        <f>V365-V366</f>
        <v>-3678.959</v>
      </c>
      <c r="W364" s="36">
        <f>W365-W366</f>
        <v>-3678.959</v>
      </c>
      <c r="X364" s="36">
        <f>X365-X366</f>
        <v>-3098.722</v>
      </c>
      <c r="Y364" s="36">
        <f>Y365-Y366</f>
        <v>-2656.173</v>
      </c>
      <c r="Z364" s="36">
        <f>Z365-Z366</f>
        <v>-2299.537</v>
      </c>
      <c r="AA364" s="36">
        <f>AA365-AA366</f>
        <v>-4186.078</v>
      </c>
      <c r="AB364" s="36">
        <f>AB365-AB366</f>
        <v>-4186.078</v>
      </c>
      <c r="AC364" s="36">
        <f>AC365-AC366</f>
        <v>-1454.671</v>
      </c>
      <c r="AD364" s="36">
        <f>AD365-AD366</f>
        <v>-2245.821</v>
      </c>
      <c r="AE364" s="36">
        <f>AE365-AE366</f>
        <v>-2842.225</v>
      </c>
      <c r="AF364" s="36">
        <f>AF365-AF366</f>
        <v>-5434.906</v>
      </c>
      <c r="AG364" s="36">
        <f>AG365-AG366</f>
        <v>-5434.906</v>
      </c>
      <c r="AH364" s="36">
        <f>AH365-AH366</f>
        <v>-3688.844</v>
      </c>
      <c r="AI364" s="36">
        <f>AI365-AI366</f>
        <v>-3792.355</v>
      </c>
      <c r="AJ364" s="36">
        <f>AJ365-AJ366</f>
        <v>-438.4</v>
      </c>
      <c r="AK364" s="36">
        <f>AK365-AK366</f>
        <v>-438.4</v>
      </c>
      <c r="AL364" s="36">
        <f>AL365-AL366</f>
        <v>-438.4</v>
      </c>
      <c r="AM364" s="36" t="e">
        <f>AM365-AM366</f>
        <v>#DIV/0!</v>
      </c>
      <c r="AN364" s="36">
        <f>AN365-AN366</f>
        <v>-438.4</v>
      </c>
      <c r="AO364" s="36" t="e">
        <f>AO365-AO366</f>
        <v>#DIV/0!</v>
      </c>
      <c r="AP364" s="36" t="e">
        <f>AP365-AP366</f>
        <v>#DIV/0!</v>
      </c>
      <c r="AQ364" s="36" t="e">
        <f>AQ365-AQ366</f>
        <v>#DIV/0!</v>
      </c>
      <c r="AR364" s="36" t="e">
        <f>AR365-AR366</f>
        <v>#DIV/0!</v>
      </c>
      <c r="AS364" s="36" t="e">
        <f>AS365-AS366</f>
        <v>#DIV/0!</v>
      </c>
      <c r="AT364" s="36" t="e">
        <f>AT365-AT366</f>
        <v>#DIV/0!</v>
      </c>
      <c r="AU364" s="36" t="e">
        <f>AU365-AU366</f>
        <v>#DIV/0!</v>
      </c>
      <c r="AV364" s="36" t="e">
        <f>AV365-AV366</f>
        <v>#DIV/0!</v>
      </c>
      <c r="AW364" s="36" t="e">
        <f>AW365-AW366</f>
        <v>#DIV/0!</v>
      </c>
      <c r="AX364" s="36" t="e">
        <f>AX365-AX366</f>
        <v>#DIV/0!</v>
      </c>
      <c r="AY364" s="36" t="e">
        <f>AY365-AY366</f>
        <v>#DIV/0!</v>
      </c>
      <c r="AZ364" s="36" t="e">
        <f>AZ365-AZ366</f>
        <v>#DIV/0!</v>
      </c>
      <c r="BA364" s="36" t="e">
        <f>BA365-BA366</f>
        <v>#DIV/0!</v>
      </c>
      <c r="BB364" s="36" t="e">
        <f>BB365-BB366</f>
        <v>#DIV/0!</v>
      </c>
      <c r="BC364" s="36" t="e">
        <f>BC365-BC366</f>
        <v>#DIV/0!</v>
      </c>
      <c r="BD364" s="36" t="e">
        <f>BD365-BD366</f>
        <v>#DIV/0!</v>
      </c>
      <c r="BE364" s="36" t="e">
        <f>BE365-BE366</f>
        <v>#DIV/0!</v>
      </c>
      <c r="BF364" s="36" t="e">
        <f>BF365-BF366</f>
        <v>#DIV/0!</v>
      </c>
      <c r="BG364" s="36" t="e">
        <f>BG365-BG366</f>
        <v>#DIV/0!</v>
      </c>
      <c r="BH364" s="36" t="e">
        <f>BH365-BH366</f>
        <v>#DIV/0!</v>
      </c>
      <c r="BI364" s="36" t="e">
        <f>BI365-BI366</f>
        <v>#DIV/0!</v>
      </c>
      <c r="BJ364" s="36" t="e">
        <f>BJ365-BJ366</f>
        <v>#DIV/0!</v>
      </c>
      <c r="BK364" s="36" t="e">
        <f>BK365-BK366</f>
        <v>#DIV/0!</v>
      </c>
      <c r="BL364" s="36" t="e">
        <f>BL365-BL366</f>
        <v>#DIV/0!</v>
      </c>
      <c r="BM364" s="36" t="e">
        <f>BM365-BM366</f>
        <v>#DIV/0!</v>
      </c>
      <c r="BN364" s="36" t="e">
        <f>BN365-BN366</f>
        <v>#DIV/0!</v>
      </c>
      <c r="BO364" s="36" t="e">
        <f>BO365-BO366</f>
        <v>#DIV/0!</v>
      </c>
      <c r="BP364" s="36" t="e">
        <f>BP365-BP366</f>
        <v>#DIV/0!</v>
      </c>
      <c r="BQ364" s="36" t="e">
        <f>BQ365-BQ366</f>
        <v>#DIV/0!</v>
      </c>
      <c r="BR364" s="36" t="e">
        <f>BR365-BR366</f>
        <v>#DIV/0!</v>
      </c>
      <c r="BS364" s="36" t="e">
        <f>BS365-BS366</f>
        <v>#DIV/0!</v>
      </c>
      <c r="BT364" s="36" t="e">
        <f>BT365-BT366</f>
        <v>#DIV/0!</v>
      </c>
      <c r="BU364" s="36" t="e">
        <f>BU365-BU366</f>
        <v>#DIV/0!</v>
      </c>
      <c r="BV364" s="36" t="e">
        <f>BV365-BV366</f>
        <v>#DIV/0!</v>
      </c>
      <c r="BW364" s="36" t="e">
        <f>BW365-BW366</f>
        <v>#DIV/0!</v>
      </c>
      <c r="BX364" s="36" t="e">
        <f>BX365-BX366</f>
        <v>#DIV/0!</v>
      </c>
      <c r="BY364" s="36" t="e">
        <f>BY365-BY366</f>
        <v>#DIV/0!</v>
      </c>
      <c r="BZ364" s="36" t="e">
        <f>BZ365-BZ366</f>
        <v>#DIV/0!</v>
      </c>
      <c r="CA364" s="36" t="e">
        <f>CA365-CA366</f>
        <v>#DIV/0!</v>
      </c>
      <c r="CB364" s="36" t="e">
        <f>CB365-CB366</f>
        <v>#DIV/0!</v>
      </c>
      <c r="CC364" s="36" t="e">
        <f>CC365-CC366</f>
        <v>#DIV/0!</v>
      </c>
      <c r="CD364" s="36" t="e">
        <f>CD365-CD366</f>
        <v>#DIV/0!</v>
      </c>
      <c r="CE364" s="36" t="e">
        <f>CE365-CE366</f>
        <v>#DIV/0!</v>
      </c>
      <c r="CF364" s="36" t="e">
        <f>CF365-CF366</f>
        <v>#DIV/0!</v>
      </c>
      <c r="CG364" s="36" t="e">
        <f>CG365-CG366</f>
        <v>#DIV/0!</v>
      </c>
      <c r="CH364" s="36" t="e">
        <f>CH365-CH366</f>
        <v>#DIV/0!</v>
      </c>
      <c r="CI364" s="36" t="e">
        <f>CI365-CI366</f>
        <v>#DIV/0!</v>
      </c>
      <c r="CJ364" s="36" t="e">
        <f>CJ365-CJ366</f>
        <v>#DIV/0!</v>
      </c>
      <c r="CK364" s="36" t="e">
        <f>CK365-CK366</f>
        <v>#DIV/0!</v>
      </c>
      <c r="CL364" s="36" t="e">
        <f>CL365-CL366</f>
        <v>#DIV/0!</v>
      </c>
      <c r="CM364" s="36" t="e">
        <f>CM365-CM366</f>
        <v>#DIV/0!</v>
      </c>
      <c r="CN364" s="36" t="e">
        <f>CN365-CN366</f>
        <v>#DIV/0!</v>
      </c>
      <c r="CO364" s="36" t="e">
        <f>CO365-CO366</f>
        <v>#DIV/0!</v>
      </c>
      <c r="CP364" s="36" t="e">
        <f>CP365-CP366</f>
        <v>#DIV/0!</v>
      </c>
      <c r="CQ364" s="36" t="e">
        <f>CQ365-CQ366</f>
        <v>#DIV/0!</v>
      </c>
      <c r="CR364" s="36" t="e">
        <f>CR365-CR366</f>
        <v>#DIV/0!</v>
      </c>
      <c r="CS364" s="36" t="e">
        <f>CS365-CS366</f>
        <v>#DIV/0!</v>
      </c>
      <c r="CT364" s="36" t="e">
        <f>CT365-CT366</f>
        <v>#DIV/0!</v>
      </c>
      <c r="CU364" s="36" t="e">
        <f>CU365-CU366</f>
        <v>#DIV/0!</v>
      </c>
      <c r="CV364" s="36" t="e">
        <f>CV365-CV366</f>
        <v>#DIV/0!</v>
      </c>
      <c r="CW364" s="36" t="e">
        <f>CW365-CW366</f>
        <v>#DIV/0!</v>
      </c>
      <c r="CX364" s="36" t="e">
        <f>CX365-CX366</f>
        <v>#DIV/0!</v>
      </c>
      <c r="CY364" s="36" t="e">
        <f>CY365-CY366</f>
        <v>#DIV/0!</v>
      </c>
    </row>
    <row r="365" customFormat="1" s="233">
      <c r="A365" s="224" t="n"/>
      <c r="B365" s="224" t="n"/>
      <c r="C365" s="233" t="inlineStr">
        <is>
          <t>CURRENT ASSETS</t>
        </is>
      </c>
      <c r="D365" s="241">
        <f>D157+D161+D165+D166+D167</f>
        <v>976.606</v>
      </c>
      <c r="E365" s="241">
        <f>E157+E161+E165+E166+E167</f>
        <v>932.64</v>
      </c>
      <c r="F365" s="241">
        <f>F157+F161+F165+F166+F167</f>
        <v>688.722</v>
      </c>
      <c r="G365" s="241">
        <f>G157+G161+G165+G166+G167</f>
        <v>690.906</v>
      </c>
      <c r="H365" s="241">
        <f>H157+H161+H165+H166+H167</f>
        <v>690.906</v>
      </c>
      <c r="I365" s="226">
        <f>I157+I161+I165+I166+I167</f>
        <v>787.885</v>
      </c>
      <c r="J365" s="226">
        <f>J157+J161+J165+J166+J167</f>
        <v>986.404</v>
      </c>
      <c r="K365" s="226">
        <f>K157+K161+K165+K166+K167</f>
        <v>1144.172</v>
      </c>
      <c r="L365" s="226">
        <f>L157+L161+L165+L166+L167</f>
        <v>1367.687</v>
      </c>
      <c r="M365" s="226">
        <f>M157+M161+M165+M166+M167</f>
        <v>1367.687</v>
      </c>
      <c r="N365" s="226">
        <f>N157+N161+N165+N166+N167</f>
        <v>2035.534</v>
      </c>
      <c r="O365" s="226">
        <f>O157+O161+O165+O166+O167</f>
        <v>2372.939</v>
      </c>
      <c r="P365" s="226">
        <f>P157+P161+P165+P166+P167</f>
        <v>2438.283</v>
      </c>
      <c r="Q365" s="226">
        <f>Q157+Q161+Q165+Q166+Q167</f>
        <v>2614.609</v>
      </c>
      <c r="R365" s="226">
        <f>R157+R161+R165+R166+R167</f>
        <v>2614.609</v>
      </c>
      <c r="S365" s="226">
        <f>S157+S161+S165+S166+S167</f>
        <v>2400.553</v>
      </c>
      <c r="T365" s="226">
        <f>T157+T161+T165+T166+T167</f>
        <v>2401.126</v>
      </c>
      <c r="U365" s="226">
        <f>U157+U161+U165+U166+U167</f>
        <v>2737.741</v>
      </c>
      <c r="V365" s="226">
        <f>V157+V161+V165+V166+V167</f>
        <v>2432.314</v>
      </c>
      <c r="W365" s="226">
        <f>W157+W161+W165+W166+W167</f>
        <v>2432.314</v>
      </c>
      <c r="X365" s="226">
        <f>X157+X161+X165+X166+X167</f>
        <v>3117.784</v>
      </c>
      <c r="Y365" s="226">
        <f>Y157+Y161+Y165+Y166+Y167</f>
        <v>3181.874</v>
      </c>
      <c r="Z365" s="226">
        <f>Z157+Z161+Z165+Z166+Z167</f>
        <v>3153.986</v>
      </c>
      <c r="AA365" s="226">
        <f>AA157+AA161+AA165+AA166+AA167</f>
        <v>2659.557</v>
      </c>
      <c r="AB365" s="226">
        <f>AB157+AB161+AB165+AB166+AB167</f>
        <v>2659.557</v>
      </c>
      <c r="AC365" s="226">
        <f>AC157+AC161+AC165+AC166+AC167</f>
        <v>4225.816</v>
      </c>
      <c r="AD365" s="226">
        <f>AD157+AD161+AD165+AD166+AD167</f>
        <v>4186.721</v>
      </c>
      <c r="AE365" s="226">
        <f>AE157+AE161+AE165+AE166+AE167</f>
        <v>3943.677</v>
      </c>
      <c r="AF365" s="226">
        <f>AF157+AF161+AF165+AF166+AF167</f>
        <v>2931.832</v>
      </c>
      <c r="AG365" s="226">
        <f>AG157+AG161+AG165+AG166+AG167</f>
        <v>2931.832</v>
      </c>
      <c r="AH365" s="226">
        <f>AH157+AH161+AH165+AH166+AH167</f>
        <v>3589.371</v>
      </c>
      <c r="AI365" s="226">
        <f>AI157+AI161+AI165+AI166+AI167</f>
        <v>3704.462</v>
      </c>
      <c r="AJ365" s="226">
        <f>AJ157+AJ161+AJ165+AJ166+AJ167</f>
        <v>1394.588</v>
      </c>
      <c r="AK365" s="226">
        <f>AK157+AK161+AK165+AK166+AK167</f>
        <v>1394.588</v>
      </c>
      <c r="AL365" s="226">
        <f>AL157+AL161+AL165+AL166+AL167</f>
        <v>1394.588</v>
      </c>
      <c r="AM365" s="226">
        <f>AM157+AM161+AM165+AM166+AM167</f>
        <v>1394.588</v>
      </c>
      <c r="AN365" s="226">
        <f>AN157+AN161+AN165+AN166+AN167</f>
        <v>1394.588</v>
      </c>
      <c r="AO365" s="226">
        <f>AO157+AO161+AO165+AO166+AO167</f>
        <v>1394.588</v>
      </c>
      <c r="AP365" s="226">
        <f>AP157+AP161+AP165+AP166+AP167</f>
        <v>1394.588</v>
      </c>
      <c r="AQ365" s="226">
        <f>AQ157+AQ161+AQ165+AQ166+AQ167</f>
        <v>1394.588</v>
      </c>
      <c r="AR365" s="226">
        <f>AR157+AR161+AR165+AR166+AR167</f>
        <v>1394.588</v>
      </c>
      <c r="AS365" s="226">
        <f>AS157+AS161+AS165+AS166+AS167</f>
        <v>1394.588</v>
      </c>
      <c r="AT365" s="226">
        <f>AT157+AT161+AT165+AT166+AT167</f>
        <v>1394.588</v>
      </c>
      <c r="AU365" s="226">
        <f>AU157+AU161+AU165+AU166+AU167</f>
        <v>1394.588</v>
      </c>
      <c r="AV365" s="226">
        <f>AV157+AV161+AV165+AV166+AV167</f>
        <v>1394.588</v>
      </c>
      <c r="AW365" s="226">
        <f>AW157+AW161+AW165+AW166+AW167</f>
        <v>1394.588</v>
      </c>
      <c r="AX365" s="226">
        <f>AX157+AX161+AX165+AX166+AX167</f>
        <v>1394.588</v>
      </c>
      <c r="AY365" s="226">
        <f>AY157+AY161+AY165+AY166+AY167</f>
        <v>1394.588</v>
      </c>
      <c r="AZ365" s="226">
        <f>AZ157+AZ161+AZ165+AZ166+AZ167</f>
        <v>1394.588</v>
      </c>
      <c r="BA365" s="226">
        <f>BA157+BA161+BA165+BA166+BA167</f>
        <v>1394.588</v>
      </c>
      <c r="BB365" s="226">
        <f>BB157+BB161+BB165+BB166+BB167</f>
        <v>1394.588</v>
      </c>
      <c r="BC365" s="226">
        <f>BC157+BC161+BC165+BC166+BC167</f>
        <v>1394.588</v>
      </c>
      <c r="BD365" s="226">
        <f>BD157+BD161+BD165+BD166+BD167</f>
        <v>1394.588</v>
      </c>
      <c r="BE365" s="226">
        <f>BE157+BE161+BE165+BE166+BE167</f>
        <v>1394.588</v>
      </c>
      <c r="BF365" s="226">
        <f>BF157+BF161+BF165+BF166+BF167</f>
        <v>1394.588</v>
      </c>
      <c r="BG365" s="226">
        <f>BG157+BG161+BG165+BG166+BG167</f>
        <v>1394.588</v>
      </c>
      <c r="BH365" s="226">
        <f>BH157+BH161+BH165+BH166+BH167</f>
        <v>1394.588</v>
      </c>
      <c r="BI365" s="226">
        <f>BI157+BI161+BI165+BI166+BI167</f>
        <v>1394.588</v>
      </c>
      <c r="BJ365" s="226">
        <f>BJ157+BJ161+BJ165+BJ166+BJ167</f>
        <v>1394.588</v>
      </c>
      <c r="BK365" s="226">
        <f>BK157+BK161+BK165+BK166+BK167</f>
        <v>1394.588</v>
      </c>
      <c r="BL365" s="226">
        <f>BL157+BL161+BL165+BL166+BL167</f>
        <v>1394.588</v>
      </c>
      <c r="BM365" s="226">
        <f>BM157+BM161+BM165+BM166+BM167</f>
        <v>1394.588</v>
      </c>
      <c r="BN365" s="226">
        <f>BN157+BN161+BN165+BN166+BN167</f>
        <v>1394.588</v>
      </c>
      <c r="BO365" s="226">
        <f>BO157+BO161+BO165+BO166+BO167</f>
        <v>1394.588</v>
      </c>
      <c r="BP365" s="226">
        <f>BP157+BP161+BP165+BP166+BP167</f>
        <v>1394.588</v>
      </c>
      <c r="BQ365" s="226">
        <f>BQ157+BQ161+BQ165+BQ166+BQ167</f>
        <v>1394.588</v>
      </c>
      <c r="BR365" s="226">
        <f>BR157+BR161+BR165+BR166+BR167</f>
        <v>1394.588</v>
      </c>
      <c r="BS365" s="226">
        <f>BS157+BS161+BS165+BS166+BS167</f>
        <v>1394.588</v>
      </c>
      <c r="BT365" s="226">
        <f>BT157+BT161+BT165+BT166+BT167</f>
        <v>1394.588</v>
      </c>
      <c r="BU365" s="226">
        <f>BU157+BU161+BU165+BU166+BU167</f>
        <v>1394.588</v>
      </c>
      <c r="BV365" s="226">
        <f>BV157+BV161+BV165+BV166+BV167</f>
        <v>1394.588</v>
      </c>
      <c r="BW365" s="226">
        <f>BW157+BW161+BW165+BW166+BW167</f>
        <v>1394.588</v>
      </c>
      <c r="BX365" s="226">
        <f>BX157+BX161+BX165+BX166+BX167</f>
        <v>1394.588</v>
      </c>
      <c r="BY365" s="226">
        <f>BY157+BY161+BY165+BY166+BY167</f>
        <v>1394.588</v>
      </c>
      <c r="BZ365" s="226">
        <f>BZ157+BZ161+BZ165+BZ166+BZ167</f>
        <v>1394.588</v>
      </c>
      <c r="CA365" s="226">
        <f>CA157+CA161+CA165+CA166+CA167</f>
        <v>1394.588</v>
      </c>
      <c r="CB365" s="226">
        <f>CB157+CB161+CB165+CB166+CB167</f>
        <v>1394.588</v>
      </c>
      <c r="CC365" s="226">
        <f>CC157+CC161+CC165+CC166+CC167</f>
        <v>1394.588</v>
      </c>
      <c r="CD365" s="226">
        <f>CD157+CD161+CD165+CD166+CD167</f>
        <v>1394.588</v>
      </c>
      <c r="CE365" s="226">
        <f>CE157+CE161+CE165+CE166+CE167</f>
        <v>1394.588</v>
      </c>
      <c r="CF365" s="226">
        <f>CF157+CF161+CF165+CF166+CF167</f>
        <v>1394.588</v>
      </c>
      <c r="CG365" s="226">
        <f>CG157+CG161+CG165+CG166+CG167</f>
        <v>1394.588</v>
      </c>
      <c r="CH365" s="226">
        <f>CH157+CH161+CH165+CH166+CH167</f>
        <v>1394.588</v>
      </c>
      <c r="CI365" s="226">
        <f>CI157+CI161+CI165+CI166+CI167</f>
        <v>1394.588</v>
      </c>
      <c r="CJ365" s="226">
        <f>CJ157+CJ161+CJ165+CJ166+CJ167</f>
        <v>1394.588</v>
      </c>
      <c r="CK365" s="226">
        <f>CK157+CK161+CK165+CK166+CK167</f>
        <v>1394.588</v>
      </c>
      <c r="CL365" s="226">
        <f>CL157+CL161+CL165+CL166+CL167</f>
        <v>1394.588</v>
      </c>
      <c r="CM365" s="226">
        <f>CM157+CM161+CM165+CM166+CM167</f>
        <v>1394.588</v>
      </c>
      <c r="CN365" s="226">
        <f>CN157+CN161+CN165+CN166+CN167</f>
        <v>1394.588</v>
      </c>
      <c r="CO365" s="226">
        <f>CO157+CO161+CO165+CO166+CO167</f>
        <v>1394.588</v>
      </c>
      <c r="CP365" s="226">
        <f>CP157+CP161+CP165+CP166+CP167</f>
        <v>1394.588</v>
      </c>
      <c r="CQ365" s="226">
        <f>CQ157+CQ161+CQ165+CQ166+CQ167</f>
        <v>1394.588</v>
      </c>
      <c r="CR365" s="226">
        <f>CR157+CR161+CR165+CR166+CR167</f>
        <v>1394.588</v>
      </c>
      <c r="CS365" s="226">
        <f>CS157+CS161+CS165+CS166+CS167</f>
        <v>1394.588</v>
      </c>
      <c r="CT365" s="226">
        <f>CT157+CT161+CT165+CT166+CT167</f>
        <v>1394.588</v>
      </c>
      <c r="CU365" s="226">
        <f>CU157+CU161+CU165+CU166+CU167</f>
        <v>1394.588</v>
      </c>
      <c r="CV365" s="226">
        <f>CV157+CV161+CV165+CV166+CV167</f>
        <v>1394.588</v>
      </c>
      <c r="CW365" s="226">
        <f>CW157+CW161+CW165+CW166+CW167</f>
        <v>1394.588</v>
      </c>
      <c r="CX365" s="226">
        <f>CX157+CX161+CX165+CX166+CX167</f>
        <v>1394.588</v>
      </c>
      <c r="CY365" s="226">
        <f>CY157+CY161+CY165+CY166+CY167</f>
        <v>1394.588</v>
      </c>
    </row>
    <row r="366" customFormat="1" s="233">
      <c r="A366" s="224" t="n"/>
      <c r="B366" s="224" t="n"/>
      <c r="C366" s="233" t="inlineStr">
        <is>
          <t>CURRENT LIABILITIES</t>
        </is>
      </c>
      <c r="D366" s="241">
        <f>D210+D214+D216+D217</f>
        <v>1637.3</v>
      </c>
      <c r="E366" s="241">
        <f>E210+E214+E216+E217</f>
        <v>892.01</v>
      </c>
      <c r="F366" s="241">
        <f>F210+F214+F216+F217</f>
        <v>1313.436</v>
      </c>
      <c r="G366" s="241">
        <f>G210+G214+G216+G217</f>
        <v>1351.422</v>
      </c>
      <c r="H366" s="241">
        <f>H210+H214+H216+H217</f>
        <v>1351.422</v>
      </c>
      <c r="I366" s="226">
        <f>I210+I214+I216+I217</f>
        <v>1205.033</v>
      </c>
      <c r="J366" s="226">
        <f>J210+J214+J216+J217</f>
        <v>1655.004</v>
      </c>
      <c r="K366" s="226">
        <f>K210+K214+K216+K217</f>
        <v>1688.7</v>
      </c>
      <c r="L366" s="226">
        <f>L210+L214+L216+L217</f>
        <v>2993.099</v>
      </c>
      <c r="M366" s="226">
        <f>M210+M214+M216+M217</f>
        <v>2993.099</v>
      </c>
      <c r="N366" s="226">
        <f>N210+N214+N216+N217</f>
        <v>2582.828</v>
      </c>
      <c r="O366" s="226">
        <f>O210+O214+O216+O217</f>
        <v>3349.785</v>
      </c>
      <c r="P366" s="226">
        <f>P210+P214+P216+P217</f>
        <v>2624.515</v>
      </c>
      <c r="Q366" s="226">
        <f>Q210+Q214+Q216+Q217</f>
        <v>3811.114</v>
      </c>
      <c r="R366" s="226">
        <f>R210+R214+R216+R217</f>
        <v>3811.114</v>
      </c>
      <c r="S366" s="226">
        <f>S210+S214+S216+S217</f>
        <v>2550.717</v>
      </c>
      <c r="T366" s="226">
        <f>T210+T214+T216+T217</f>
        <v>2029.895</v>
      </c>
      <c r="U366" s="226">
        <f>U210+U214+U216+U217</f>
        <v>3036.39</v>
      </c>
      <c r="V366" s="226">
        <f>V210+V214+V216+V217</f>
        <v>6111.273</v>
      </c>
      <c r="W366" s="226">
        <f>W210+W214+W216+W217</f>
        <v>6111.273</v>
      </c>
      <c r="X366" s="226">
        <f>X210+X214+X216+X217</f>
        <v>6216.506</v>
      </c>
      <c r="Y366" s="226">
        <f>Y210+Y214+Y216+Y217</f>
        <v>5838.047</v>
      </c>
      <c r="Z366" s="226">
        <f>Z210+Z214+Z216+Z217</f>
        <v>5453.523</v>
      </c>
      <c r="AA366" s="226">
        <f>AA210+AA214+AA216+AA217</f>
        <v>6845.635</v>
      </c>
      <c r="AB366" s="226">
        <f>AB210+AB214+AB216+AB217</f>
        <v>6845.635</v>
      </c>
      <c r="AC366" s="226">
        <f>AC210+AC214+AC216+AC217</f>
        <v>5680.487</v>
      </c>
      <c r="AD366" s="226">
        <f>AD210+AD214+AD216+AD217</f>
        <v>6432.542</v>
      </c>
      <c r="AE366" s="226">
        <f>AE210+AE214+AE216+AE217</f>
        <v>6785.902</v>
      </c>
      <c r="AF366" s="226">
        <f>AF210+AF214+AF216+AF217</f>
        <v>8366.738</v>
      </c>
      <c r="AG366" s="226">
        <f>AG210+AG214+AG216+AG217</f>
        <v>8366.738</v>
      </c>
      <c r="AH366" s="226">
        <f>AH210+AH214+AH216+AH217</f>
        <v>7278.215</v>
      </c>
      <c r="AI366" s="226">
        <f>AI210+AI214+AI216+AI217</f>
        <v>7496.817</v>
      </c>
      <c r="AJ366" s="226">
        <f>AJ210+AJ214+AJ216+AJ217</f>
        <v>1832.988</v>
      </c>
      <c r="AK366" s="226">
        <f>AK210+AK214+AK216+AK217</f>
        <v>1832.988</v>
      </c>
      <c r="AL366" s="226">
        <f>AL210+AL214+AL216+AL217</f>
        <v>1832.988</v>
      </c>
      <c r="AM366" s="226" t="e">
        <f>AM210+AM214+AM216+AM217</f>
        <v>#DIV/0!</v>
      </c>
      <c r="AN366" s="226">
        <f>AN210+AN214+AN216+AN217</f>
        <v>1832.988</v>
      </c>
      <c r="AO366" s="226" t="e">
        <f>AO210+AO214+AO216+AO217</f>
        <v>#DIV/0!</v>
      </c>
      <c r="AP366" s="226" t="e">
        <f>AP210+AP214+AP216+AP217</f>
        <v>#DIV/0!</v>
      </c>
      <c r="AQ366" s="226" t="e">
        <f>AQ210+AQ214+AQ216+AQ217</f>
        <v>#DIV/0!</v>
      </c>
      <c r="AR366" s="226" t="e">
        <f>AR210+AR214+AR216+AR217</f>
        <v>#DIV/0!</v>
      </c>
      <c r="AS366" s="226" t="e">
        <f>AS210+AS214+AS216+AS217</f>
        <v>#DIV/0!</v>
      </c>
      <c r="AT366" s="226" t="e">
        <f>AT210+AT214+AT216+AT217</f>
        <v>#DIV/0!</v>
      </c>
      <c r="AU366" s="226" t="e">
        <f>AU210+AU214+AU216+AU217</f>
        <v>#DIV/0!</v>
      </c>
      <c r="AV366" s="226" t="e">
        <f>AV210+AV214+AV216+AV217</f>
        <v>#DIV/0!</v>
      </c>
      <c r="AW366" s="226" t="e">
        <f>AW210+AW214+AW216+AW217</f>
        <v>#DIV/0!</v>
      </c>
      <c r="AX366" s="226" t="e">
        <f>AX210+AX214+AX216+AX217</f>
        <v>#DIV/0!</v>
      </c>
      <c r="AY366" s="226" t="e">
        <f>AY210+AY214+AY216+AY217</f>
        <v>#DIV/0!</v>
      </c>
      <c r="AZ366" s="226" t="e">
        <f>AZ210+AZ214+AZ216+AZ217</f>
        <v>#DIV/0!</v>
      </c>
      <c r="BA366" s="226" t="e">
        <f>BA210+BA214+BA216+BA217</f>
        <v>#DIV/0!</v>
      </c>
      <c r="BB366" s="226" t="e">
        <f>BB210+BB214+BB216+BB217</f>
        <v>#DIV/0!</v>
      </c>
      <c r="BC366" s="226" t="e">
        <f>BC210+BC214+BC216+BC217</f>
        <v>#DIV/0!</v>
      </c>
      <c r="BD366" s="226" t="e">
        <f>BD210+BD214+BD216+BD217</f>
        <v>#DIV/0!</v>
      </c>
      <c r="BE366" s="226" t="e">
        <f>BE210+BE214+BE216+BE217</f>
        <v>#DIV/0!</v>
      </c>
      <c r="BF366" s="226" t="e">
        <f>BF210+BF214+BF216+BF217</f>
        <v>#DIV/0!</v>
      </c>
      <c r="BG366" s="226" t="e">
        <f>BG210+BG214+BG216+BG217</f>
        <v>#DIV/0!</v>
      </c>
      <c r="BH366" s="226" t="e">
        <f>BH210+BH214+BH216+BH217</f>
        <v>#DIV/0!</v>
      </c>
      <c r="BI366" s="226" t="e">
        <f>BI210+BI214+BI216+BI217</f>
        <v>#DIV/0!</v>
      </c>
      <c r="BJ366" s="226" t="e">
        <f>BJ210+BJ214+BJ216+BJ217</f>
        <v>#DIV/0!</v>
      </c>
      <c r="BK366" s="226" t="e">
        <f>BK210+BK214+BK216+BK217</f>
        <v>#DIV/0!</v>
      </c>
      <c r="BL366" s="226" t="e">
        <f>BL210+BL214+BL216+BL217</f>
        <v>#DIV/0!</v>
      </c>
      <c r="BM366" s="226" t="e">
        <f>BM210+BM214+BM216+BM217</f>
        <v>#DIV/0!</v>
      </c>
      <c r="BN366" s="226" t="e">
        <f>BN210+BN214+BN216+BN217</f>
        <v>#DIV/0!</v>
      </c>
      <c r="BO366" s="226" t="e">
        <f>BO210+BO214+BO216+BO217</f>
        <v>#DIV/0!</v>
      </c>
      <c r="BP366" s="226" t="e">
        <f>BP210+BP214+BP216+BP217</f>
        <v>#DIV/0!</v>
      </c>
      <c r="BQ366" s="226" t="e">
        <f>BQ210+BQ214+BQ216+BQ217</f>
        <v>#DIV/0!</v>
      </c>
      <c r="BR366" s="226" t="e">
        <f>BR210+BR214+BR216+BR217</f>
        <v>#DIV/0!</v>
      </c>
      <c r="BS366" s="226" t="e">
        <f>BS210+BS214+BS216+BS217</f>
        <v>#DIV/0!</v>
      </c>
      <c r="BT366" s="226" t="e">
        <f>BT210+BT214+BT216+BT217</f>
        <v>#DIV/0!</v>
      </c>
      <c r="BU366" s="226" t="e">
        <f>BU210+BU214+BU216+BU217</f>
        <v>#DIV/0!</v>
      </c>
      <c r="BV366" s="226" t="e">
        <f>BV210+BV214+BV216+BV217</f>
        <v>#DIV/0!</v>
      </c>
      <c r="BW366" s="226" t="e">
        <f>BW210+BW214+BW216+BW217</f>
        <v>#DIV/0!</v>
      </c>
      <c r="BX366" s="226" t="e">
        <f>BX210+BX214+BX216+BX217</f>
        <v>#DIV/0!</v>
      </c>
      <c r="BY366" s="226" t="e">
        <f>BY210+BY214+BY216+BY217</f>
        <v>#DIV/0!</v>
      </c>
      <c r="BZ366" s="226" t="e">
        <f>BZ210+BZ214+BZ216+BZ217</f>
        <v>#DIV/0!</v>
      </c>
      <c r="CA366" s="226" t="e">
        <f>CA210+CA214+CA216+CA217</f>
        <v>#DIV/0!</v>
      </c>
      <c r="CB366" s="226" t="e">
        <f>CB210+CB214+CB216+CB217</f>
        <v>#DIV/0!</v>
      </c>
      <c r="CC366" s="226" t="e">
        <f>CC210+CC214+CC216+CC217</f>
        <v>#DIV/0!</v>
      </c>
      <c r="CD366" s="226" t="e">
        <f>CD210+CD214+CD216+CD217</f>
        <v>#DIV/0!</v>
      </c>
      <c r="CE366" s="226" t="e">
        <f>CE210+CE214+CE216+CE217</f>
        <v>#DIV/0!</v>
      </c>
      <c r="CF366" s="226" t="e">
        <f>CF210+CF214+CF216+CF217</f>
        <v>#DIV/0!</v>
      </c>
      <c r="CG366" s="226" t="e">
        <f>CG210+CG214+CG216+CG217</f>
        <v>#DIV/0!</v>
      </c>
      <c r="CH366" s="226" t="e">
        <f>CH210+CH214+CH216+CH217</f>
        <v>#DIV/0!</v>
      </c>
      <c r="CI366" s="226" t="e">
        <f>CI210+CI214+CI216+CI217</f>
        <v>#DIV/0!</v>
      </c>
      <c r="CJ366" s="226" t="e">
        <f>CJ210+CJ214+CJ216+CJ217</f>
        <v>#DIV/0!</v>
      </c>
      <c r="CK366" s="226" t="e">
        <f>CK210+CK214+CK216+CK217</f>
        <v>#DIV/0!</v>
      </c>
      <c r="CL366" s="226" t="e">
        <f>CL210+CL214+CL216+CL217</f>
        <v>#DIV/0!</v>
      </c>
      <c r="CM366" s="226" t="e">
        <f>CM210+CM214+CM216+CM217</f>
        <v>#DIV/0!</v>
      </c>
      <c r="CN366" s="226" t="e">
        <f>CN210+CN214+CN216+CN217</f>
        <v>#DIV/0!</v>
      </c>
      <c r="CO366" s="226" t="e">
        <f>CO210+CO214+CO216+CO217</f>
        <v>#DIV/0!</v>
      </c>
      <c r="CP366" s="226" t="e">
        <f>CP210+CP214+CP216+CP217</f>
        <v>#DIV/0!</v>
      </c>
      <c r="CQ366" s="226" t="e">
        <f>CQ210+CQ214+CQ216+CQ217</f>
        <v>#DIV/0!</v>
      </c>
      <c r="CR366" s="226" t="e">
        <f>CR210+CR214+CR216+CR217</f>
        <v>#DIV/0!</v>
      </c>
      <c r="CS366" s="226" t="e">
        <f>CS210+CS214+CS216+CS217</f>
        <v>#DIV/0!</v>
      </c>
      <c r="CT366" s="226" t="e">
        <f>CT210+CT214+CT216+CT217</f>
        <v>#DIV/0!</v>
      </c>
      <c r="CU366" s="226" t="e">
        <f>CU210+CU214+CU216+CU217</f>
        <v>#DIV/0!</v>
      </c>
      <c r="CV366" s="226" t="e">
        <f>CV210+CV214+CV216+CV217</f>
        <v>#DIV/0!</v>
      </c>
      <c r="CW366" s="226" t="e">
        <f>CW210+CW214+CW216+CW217</f>
        <v>#DIV/0!</v>
      </c>
      <c r="CX366" s="226" t="e">
        <f>CX210+CX214+CX216+CX217</f>
        <v>#DIV/0!</v>
      </c>
      <c r="CY366" s="226" t="e">
        <f>CY210+CY214+CY216+CY217</f>
        <v>#DIV/0!</v>
      </c>
    </row>
    <row r="367" customFormat="1" s="233">
      <c r="A367" s="224" t="n"/>
      <c r="B367" s="224" t="n"/>
      <c r="C367" s="233" t="inlineStr">
        <is>
          <t>FIXED ASSETS</t>
        </is>
      </c>
      <c r="D367" s="241">
        <f>D178+D188+D191+D192+D201-D252</f>
        <v>5257.35</v>
      </c>
      <c r="E367" s="241">
        <f>E178+E188+E191+E192+E201-E252</f>
        <v>4777.536</v>
      </c>
      <c r="F367" s="241">
        <f>F178+F188+F191+F192+F201-F252</f>
        <v>5373.739</v>
      </c>
      <c r="G367" s="241">
        <f>G178+G188+G191+G192+G201-G252</f>
        <v>6072.328</v>
      </c>
      <c r="H367" s="241">
        <f>H178+H188+H191+H192+H201-H252</f>
        <v>6072.328</v>
      </c>
      <c r="I367" s="226">
        <f>I178+I188+I191+I192+I201-I252</f>
        <v>6564.692</v>
      </c>
      <c r="J367" s="226">
        <f>J178+J188+J191+J192+J201-J252</f>
        <v>7290.43</v>
      </c>
      <c r="K367" s="226">
        <f>K178+K188+K191+K192+K201-K252</f>
        <v>9926.92</v>
      </c>
      <c r="L367" s="226">
        <f>L178+L188+L191+L192+L201-L252</f>
        <v>12438.665</v>
      </c>
      <c r="M367" s="226">
        <f>M178+M188+M191+M192+M201-M252</f>
        <v>12438.665</v>
      </c>
      <c r="N367" s="226">
        <f>N178+N188+N191+N192+N201-N252</f>
        <v>12566.741</v>
      </c>
      <c r="O367" s="226">
        <f>O178+O188+O191+O192+O201-O252</f>
        <v>14519.665</v>
      </c>
      <c r="P367" s="226">
        <f>P178+P188+P191+P192+P201-P252</f>
        <v>15396.942</v>
      </c>
      <c r="Q367" s="226">
        <f>Q178+Q188+Q191+Q192+Q201-Q252</f>
        <v>15513.738</v>
      </c>
      <c r="R367" s="226">
        <f>R178+R188+R191+R192+R201-R252</f>
        <v>15513.738</v>
      </c>
      <c r="S367" s="226">
        <f>S178+S188+S191+S192+S201-S252</f>
        <v>15143.255</v>
      </c>
      <c r="T367" s="226">
        <f>T178+T188+T191+T192+T201-T252</f>
        <v>14947.984</v>
      </c>
      <c r="U367" s="226">
        <f>U178+U188+U191+U192+U201-U252</f>
        <v>15860.877</v>
      </c>
      <c r="V367" s="226">
        <f>V178+V188+V191+V192+V201-V252</f>
        <v>19343.161</v>
      </c>
      <c r="W367" s="226">
        <f>W178+W188+W191+W192+W201-W252</f>
        <v>19343.161</v>
      </c>
      <c r="X367" s="226">
        <f>X178+X188+X191+X192+X201-X252</f>
        <v>19418.715</v>
      </c>
      <c r="Y367" s="226">
        <f>Y178+Y188+Y191+Y192+Y201-Y252</f>
        <v>20287.861</v>
      </c>
      <c r="Z367" s="226">
        <f>Z178+Z188+Z191+Z192+Z201-Z252</f>
        <v>20848.376</v>
      </c>
      <c r="AA367" s="226">
        <f>AA178+AA188+AA191+AA192+AA201-AA252</f>
        <v>23227.621</v>
      </c>
      <c r="AB367" s="226">
        <f>AB178+AB188+AB191+AB192+AB201-AB252</f>
        <v>23227.621</v>
      </c>
      <c r="AC367" s="226">
        <f>AC178+AC188+AC191+AC192+AC201-AC252</f>
        <v>21334.461</v>
      </c>
      <c r="AD367" s="226">
        <f>AD178+AD188+AD191+AD192+AD201-AD252</f>
        <v>21324.778</v>
      </c>
      <c r="AE367" s="226">
        <f>AE178+AE188+AE191+AE192+AE201-AE252</f>
        <v>21406.742</v>
      </c>
      <c r="AF367" s="226">
        <f>AF178+AF188+AF191+AF192+AF201-AF252</f>
        <v>23989.765</v>
      </c>
      <c r="AG367" s="226">
        <f>AG178+AG188+AG191+AG192+AG201-AG252</f>
        <v>23989.765</v>
      </c>
      <c r="AH367" s="226">
        <f>AH178+AH188+AH191+AH192+AH201-AH252</f>
        <v>22865.065</v>
      </c>
      <c r="AI367" s="226">
        <f>AI178+AI188+AI191+AI192+AI201-AI252</f>
        <v>24596.662</v>
      </c>
      <c r="AJ367" s="226">
        <f>AJ178+AJ188+AJ191+AJ192+AJ201-AJ252</f>
        <v>24211.921</v>
      </c>
      <c r="AK367" s="226">
        <f>AK178+AK188+AK191+AK192+AK201-AK252</f>
        <v>24211.921</v>
      </c>
      <c r="AL367" s="226">
        <f>AL178+AL188+AL191+AL192+AL201-AL252</f>
        <v>24211.921</v>
      </c>
      <c r="AM367" s="226">
        <f>AM178+AM188+AM191+AM192+AM201-AM252</f>
        <v>24211.921</v>
      </c>
      <c r="AN367" s="226">
        <f>AN178+AN188+AN191+AN192+AN201-AN252</f>
        <v>24211.921</v>
      </c>
      <c r="AO367" s="226">
        <f>AO178+AO188+AO191+AO192+AO201-AO252</f>
        <v>24211.921</v>
      </c>
      <c r="AP367" s="226">
        <f>AP178+AP188+AP191+AP192+AP201-AP252</f>
        <v>24211.921</v>
      </c>
      <c r="AQ367" s="226">
        <f>AQ178+AQ188+AQ191+AQ192+AQ201-AQ252</f>
        <v>24211.921</v>
      </c>
      <c r="AR367" s="226">
        <f>AR178+AR188+AR191+AR192+AR201-AR252</f>
        <v>24211.921</v>
      </c>
      <c r="AS367" s="226">
        <f>AS178+AS188+AS191+AS192+AS201-AS252</f>
        <v>24211.921</v>
      </c>
      <c r="AT367" s="226">
        <f>AT178+AT188+AT191+AT192+AT201-AT252</f>
        <v>24211.921</v>
      </c>
      <c r="AU367" s="226">
        <f>AU178+AU188+AU191+AU192+AU201-AU252</f>
        <v>24211.921</v>
      </c>
      <c r="AV367" s="226">
        <f>AV178+AV188+AV191+AV192+AV201-AV252</f>
        <v>24211.921</v>
      </c>
      <c r="AW367" s="226">
        <f>AW178+AW188+AW191+AW192+AW201-AW252</f>
        <v>24211.921</v>
      </c>
      <c r="AX367" s="226">
        <f>AX178+AX188+AX191+AX192+AX201-AX252</f>
        <v>24211.921</v>
      </c>
      <c r="AY367" s="226">
        <f>AY178+AY188+AY191+AY192+AY201-AY252</f>
        <v>24211.921</v>
      </c>
      <c r="AZ367" s="226">
        <f>AZ178+AZ188+AZ191+AZ192+AZ201-AZ252</f>
        <v>24211.921</v>
      </c>
      <c r="BA367" s="226">
        <f>BA178+BA188+BA191+BA192+BA201-BA252</f>
        <v>24211.921</v>
      </c>
      <c r="BB367" s="226">
        <f>BB178+BB188+BB191+BB192+BB201-BB252</f>
        <v>24211.921</v>
      </c>
      <c r="BC367" s="226">
        <f>BC178+BC188+BC191+BC192+BC201-BC252</f>
        <v>24211.921</v>
      </c>
      <c r="BD367" s="226">
        <f>BD178+BD188+BD191+BD192+BD201-BD252</f>
        <v>24211.921</v>
      </c>
      <c r="BE367" s="226">
        <f>BE178+BE188+BE191+BE192+BE201-BE252</f>
        <v>24211.921</v>
      </c>
      <c r="BF367" s="226">
        <f>BF178+BF188+BF191+BF192+BF201-BF252</f>
        <v>24211.921</v>
      </c>
      <c r="BG367" s="226">
        <f>BG178+BG188+BG191+BG192+BG201-BG252</f>
        <v>24211.921</v>
      </c>
      <c r="BH367" s="226">
        <f>BH178+BH188+BH191+BH192+BH201-BH252</f>
        <v>24211.921</v>
      </c>
      <c r="BI367" s="226">
        <f>BI178+BI188+BI191+BI192+BI201-BI252</f>
        <v>24211.921</v>
      </c>
      <c r="BJ367" s="226">
        <f>BJ178+BJ188+BJ191+BJ192+BJ201-BJ252</f>
        <v>24211.921</v>
      </c>
      <c r="BK367" s="226">
        <f>BK178+BK188+BK191+BK192+BK201-BK252</f>
        <v>24211.921</v>
      </c>
      <c r="BL367" s="226">
        <f>BL178+BL188+BL191+BL192+BL201-BL252</f>
        <v>24211.921</v>
      </c>
      <c r="BM367" s="226">
        <f>BM178+BM188+BM191+BM192+BM201-BM252</f>
        <v>24211.921</v>
      </c>
      <c r="BN367" s="226">
        <f>BN178+BN188+BN191+BN192+BN201-BN252</f>
        <v>24211.921</v>
      </c>
      <c r="BO367" s="226">
        <f>BO178+BO188+BO191+BO192+BO201-BO252</f>
        <v>24211.921</v>
      </c>
      <c r="BP367" s="226">
        <f>BP178+BP188+BP191+BP192+BP201-BP252</f>
        <v>24211.921</v>
      </c>
      <c r="BQ367" s="226">
        <f>BQ178+BQ188+BQ191+BQ192+BQ201-BQ252</f>
        <v>24211.921</v>
      </c>
      <c r="BR367" s="226">
        <f>BR178+BR188+BR191+BR192+BR201-BR252</f>
        <v>24211.921</v>
      </c>
      <c r="BS367" s="226">
        <f>BS178+BS188+BS191+BS192+BS201-BS252</f>
        <v>24211.921</v>
      </c>
      <c r="BT367" s="226">
        <f>BT178+BT188+BT191+BT192+BT201-BT252</f>
        <v>24211.921</v>
      </c>
      <c r="BU367" s="226">
        <f>BU178+BU188+BU191+BU192+BU201-BU252</f>
        <v>24211.921</v>
      </c>
      <c r="BV367" s="226">
        <f>BV178+BV188+BV191+BV192+BV201-BV252</f>
        <v>24211.921</v>
      </c>
      <c r="BW367" s="226">
        <f>BW178+BW188+BW191+BW192+BW201-BW252</f>
        <v>24211.921</v>
      </c>
      <c r="BX367" s="226">
        <f>BX178+BX188+BX191+BX192+BX201-BX252</f>
        <v>24211.921</v>
      </c>
      <c r="BY367" s="226">
        <f>BY178+BY188+BY191+BY192+BY201-BY252</f>
        <v>24211.921</v>
      </c>
      <c r="BZ367" s="226">
        <f>BZ178+BZ188+BZ191+BZ192+BZ201-BZ252</f>
        <v>24211.921</v>
      </c>
      <c r="CA367" s="226">
        <f>CA178+CA188+CA191+CA192+CA201-CA252</f>
        <v>24211.921</v>
      </c>
      <c r="CB367" s="226">
        <f>CB178+CB188+CB191+CB192+CB201-CB252</f>
        <v>24211.921</v>
      </c>
      <c r="CC367" s="226">
        <f>CC178+CC188+CC191+CC192+CC201-CC252</f>
        <v>24211.921</v>
      </c>
      <c r="CD367" s="226">
        <f>CD178+CD188+CD191+CD192+CD201-CD252</f>
        <v>24211.921</v>
      </c>
      <c r="CE367" s="226">
        <f>CE178+CE188+CE191+CE192+CE201-CE252</f>
        <v>24211.921</v>
      </c>
      <c r="CF367" s="226">
        <f>CF178+CF188+CF191+CF192+CF201-CF252</f>
        <v>24211.921</v>
      </c>
      <c r="CG367" s="226">
        <f>CG178+CG188+CG191+CG192+CG201-CG252</f>
        <v>24211.921</v>
      </c>
      <c r="CH367" s="226">
        <f>CH178+CH188+CH191+CH192+CH201-CH252</f>
        <v>24211.921</v>
      </c>
      <c r="CI367" s="226">
        <f>CI178+CI188+CI191+CI192+CI201-CI252</f>
        <v>24211.921</v>
      </c>
      <c r="CJ367" s="226">
        <f>CJ178+CJ188+CJ191+CJ192+CJ201-CJ252</f>
        <v>24211.921</v>
      </c>
      <c r="CK367" s="226">
        <f>CK178+CK188+CK191+CK192+CK201-CK252</f>
        <v>24211.921</v>
      </c>
      <c r="CL367" s="226">
        <f>CL178+CL188+CL191+CL192+CL201-CL252</f>
        <v>24211.921</v>
      </c>
      <c r="CM367" s="226">
        <f>CM178+CM188+CM191+CM192+CM201-CM252</f>
        <v>24211.921</v>
      </c>
      <c r="CN367" s="226">
        <f>CN178+CN188+CN191+CN192+CN201-CN252</f>
        <v>24211.921</v>
      </c>
      <c r="CO367" s="226">
        <f>CO178+CO188+CO191+CO192+CO201-CO252</f>
        <v>24211.921</v>
      </c>
      <c r="CP367" s="226">
        <f>CP178+CP188+CP191+CP192+CP201-CP252</f>
        <v>24211.921</v>
      </c>
      <c r="CQ367" s="226">
        <f>CQ178+CQ188+CQ191+CQ192+CQ201-CQ252</f>
        <v>24211.921</v>
      </c>
      <c r="CR367" s="226">
        <f>CR178+CR188+CR191+CR192+CR201-CR252</f>
        <v>24211.921</v>
      </c>
      <c r="CS367" s="226">
        <f>CS178+CS188+CS191+CS192+CS201-CS252</f>
        <v>24211.921</v>
      </c>
      <c r="CT367" s="226">
        <f>CT178+CT188+CT191+CT192+CT201-CT252</f>
        <v>24211.921</v>
      </c>
      <c r="CU367" s="226">
        <f>CU178+CU188+CU191+CU192+CU201-CU252</f>
        <v>24211.921</v>
      </c>
      <c r="CV367" s="226">
        <f>CV178+CV188+CV191+CV192+CV201-CV252</f>
        <v>24211.921</v>
      </c>
      <c r="CW367" s="226">
        <f>CW178+CW188+CW191+CW192+CW201-CW252</f>
        <v>24211.921</v>
      </c>
      <c r="CX367" s="226">
        <f>CX178+CX188+CX191+CX192+CX201-CX252</f>
        <v>24211.921</v>
      </c>
      <c r="CY367" s="226">
        <f>CY178+CY188+CY191+CY192+CY201-CY252</f>
        <v>24211.921</v>
      </c>
    </row>
    <row r="368" customFormat="1" s="233">
      <c r="A368" s="224" t="n"/>
      <c r="B368" s="224" t="n"/>
    </row>
    <row r="369" customFormat="1" s="233">
      <c r="A369" s="224" t="n"/>
      <c r="B369" s="224" t="n"/>
    </row>
    <row r="370" customFormat="1" s="233">
      <c r="A370" s="224" t="n"/>
      <c r="B370" s="224" t="n"/>
    </row>
    <row r="371" customFormat="1" s="233">
      <c r="A371" s="224" t="n"/>
      <c r="B371" s="224" t="n"/>
    </row>
    <row r="372" customFormat="1" s="233">
      <c r="A372" s="224" t="n"/>
      <c r="B372" s="224" t="n"/>
    </row>
    <row r="373" customFormat="1" s="233">
      <c r="A373" s="224" t="n"/>
      <c r="B373" s="224" t="n"/>
    </row>
    <row r="374" customFormat="1" s="233">
      <c r="A374" s="224" t="n"/>
      <c r="B374" s="224" t="n"/>
    </row>
    <row r="375" customFormat="1" s="233">
      <c r="A375" s="224" t="n"/>
      <c r="B375" s="224" t="n"/>
      <c r="C375" s="234" t="inlineStr">
        <is>
          <t>DUPONT ANALYSIS</t>
        </is>
      </c>
    </row>
    <row r="376" customFormat="1" s="233">
      <c r="A376" s="224" t="n"/>
      <c r="B376" s="224" t="n"/>
      <c r="C376" s="233" t="inlineStr">
        <is>
          <t>NET PROFIT MARGIN</t>
        </is>
      </c>
      <c r="D376" s="238">
        <f>D149/D15</f>
        <v>0.0567040816851683</v>
      </c>
      <c r="E376" s="238">
        <f>E149/E15</f>
        <v>0.00255851388823616</v>
      </c>
      <c r="F376" s="238">
        <f>F149/F15</f>
        <v>0.0370395445575704</v>
      </c>
      <c r="G376" s="238">
        <f>G149/G15</f>
        <v>0.144771673006184</v>
      </c>
      <c r="I376" s="222">
        <f>I149/I15</f>
        <v>0.144519452130019</v>
      </c>
      <c r="J376" s="222">
        <f>J149/J15</f>
        <v>0.149244215232399</v>
      </c>
      <c r="K376" s="222">
        <f>K149/K15</f>
        <v>0.17052468121251</v>
      </c>
      <c r="L376" s="222">
        <f>L149/L15</f>
        <v>0.163792394016808</v>
      </c>
      <c r="N376" s="222">
        <f>N149/N15</f>
        <v>0.135422061787614</v>
      </c>
      <c r="O376" s="222">
        <f>O149/O15</f>
        <v>0.0837120886134957</v>
      </c>
      <c r="P376" s="222">
        <f>P149/P15</f>
        <v>0.036942461243488</v>
      </c>
      <c r="Q376" s="222">
        <f>Q149/Q15</f>
        <v>0.0067885387871088</v>
      </c>
      <c r="S376" s="222">
        <f>S149/S15</f>
        <v>0.0077848303088998</v>
      </c>
      <c r="T376" s="222">
        <f>T149/T15</f>
        <v>-0.00720571293962755</v>
      </c>
      <c r="U376" s="222">
        <f>U149/U15</f>
        <v>-0.0246495037918852</v>
      </c>
      <c r="V376" s="222">
        <f>V149/V15</f>
        <v>-0.235942335179775</v>
      </c>
      <c r="X376" s="222">
        <f>X149/X15</f>
        <v>0.0160836180015793</v>
      </c>
      <c r="Y376" s="222">
        <f>Y149/Y15</f>
        <v>0.0123844308016872</v>
      </c>
      <c r="Z376" s="222">
        <f>Z149/Z15</f>
        <v>0.0207089026511547</v>
      </c>
      <c r="AA376" s="222">
        <f>AA149/AA15</f>
        <v>0.0191403925364446</v>
      </c>
      <c r="AC376" s="222">
        <f>AC149/AC15</f>
        <v>0.0219907287392548</v>
      </c>
      <c r="AD376" s="222">
        <f>AD149/AD15</f>
        <v>0.018373169274527</v>
      </c>
      <c r="AE376" s="222">
        <f>AE149/AE15</f>
        <v>0.0185761859960705</v>
      </c>
      <c r="AF376" s="222">
        <f>AF149/AF15</f>
        <v>0.0279707029015872</v>
      </c>
      <c r="AH376" s="222">
        <f>AH149/AH15</f>
        <v>0.0329343781961447</v>
      </c>
      <c r="AI376" s="222">
        <f>AI149/AI15</f>
        <v>0.0360211832192599</v>
      </c>
      <c r="AJ376" s="222">
        <f>AJ149/AJ15</f>
        <v>0.0395118457142265</v>
      </c>
      <c r="AK376" s="222">
        <f>AK149/AK15</f>
        <v>0.0423986739811889</v>
      </c>
      <c r="AM376" s="222">
        <f>AM149/AM15</f>
        <v>0.0410341875890923</v>
      </c>
      <c r="AN376" s="222">
        <f>AN149/AN15</f>
        <v>0.161415191633253</v>
      </c>
      <c r="AO376" s="222">
        <f>AO149/AO15</f>
        <v>0.0411954759399157</v>
      </c>
      <c r="AP376" s="222">
        <f>AP149/AP15</f>
        <v>0.166129087752247</v>
      </c>
      <c r="AR376" s="222">
        <f>AR149/AR15</f>
        <v>0.160782673388677</v>
      </c>
      <c r="AS376" s="222">
        <f>AS149/AS15</f>
        <v>0.405221615028107</v>
      </c>
      <c r="AT376" s="222">
        <f>AT149/AT15</f>
        <v>0.161414643308285</v>
      </c>
      <c r="AU376" s="222">
        <f>AU149/AU15</f>
        <v>0.417055523466873</v>
      </c>
      <c r="AW376" s="222">
        <f>AW149/AW15</f>
        <v>0.403633721955538</v>
      </c>
      <c r="AX376" s="222">
        <f>AX149/AX15</f>
        <v>1.13327361332272</v>
      </c>
      <c r="AY376" s="222">
        <f>AY149/AY15</f>
        <v>0.4052202384964</v>
      </c>
      <c r="AZ376" s="222">
        <f>AZ149/AZ15</f>
        <v>1.16636922243824</v>
      </c>
      <c r="BB376" s="222">
        <f>BB149/BB15</f>
        <v>1.12883279068843</v>
      </c>
      <c r="BC376" s="222">
        <f>BC149/BC15</f>
        <v>3.07699045670165</v>
      </c>
      <c r="BD376" s="222">
        <f>BD149/BD15</f>
        <v>1.13326976360937</v>
      </c>
      <c r="BE376" s="222">
        <f>BE149/BE15</f>
        <v>3.16684949181023</v>
      </c>
      <c r="BG376" s="222">
        <f>BG149/BG15</f>
        <v>3.06493302528794</v>
      </c>
      <c r="BH376" s="222">
        <f>BH149/BH15</f>
        <v>8.42052814004874</v>
      </c>
      <c r="BI376" s="222">
        <f>BI149/BI15</f>
        <v>3.07698000421154</v>
      </c>
      <c r="BJ376" s="222">
        <f>BJ149/BJ15</f>
        <v>8.66643742849693</v>
      </c>
      <c r="BL376" s="222">
        <f>BL149/BL15</f>
        <v>8.38753163195274</v>
      </c>
      <c r="BM376" s="222">
        <f>BM149/BM15</f>
        <v>22.9950371935008</v>
      </c>
      <c r="BN376" s="222">
        <f>BN149/BN15</f>
        <v>8.42049953564182</v>
      </c>
      <c r="BO376" s="222">
        <f>BO149/BO15</f>
        <v>23.6665738406143</v>
      </c>
      <c r="BQ376" s="222">
        <f>BQ149/BQ15</f>
        <v>22.9049293144814</v>
      </c>
      <c r="BR376" s="222">
        <f>BR149/BR15</f>
        <v>62.831130667099</v>
      </c>
      <c r="BS376" s="222">
        <f>BS149/BS15</f>
        <v>22.9949590797067</v>
      </c>
      <c r="BT376" s="222">
        <f>BT149/BT15</f>
        <v>64.6660225382225</v>
      </c>
      <c r="BV376" s="222">
        <f>BV149/BV15</f>
        <v>62.5849218928682</v>
      </c>
      <c r="BW376" s="222">
        <f>BW149/BW15</f>
        <v>171.6523357212</v>
      </c>
      <c r="BX376" s="222">
        <f>BX149/BX15</f>
        <v>62.8309172306971</v>
      </c>
      <c r="BY376" s="222">
        <f>BY149/BY15</f>
        <v>176.665192757674</v>
      </c>
      <c r="CA376" s="222">
        <f>CA149/CA15</f>
        <v>170.979702414699</v>
      </c>
      <c r="CB376" s="222">
        <f>CB149/CB15</f>
        <v>468.966932776597</v>
      </c>
      <c r="CC376" s="222">
        <f>CC149/CC15</f>
        <v>171.651752620808</v>
      </c>
      <c r="CD376" s="222">
        <f>CD149/CD15</f>
        <v>482.662430591792</v>
      </c>
      <c r="CF376" s="222">
        <f>CF149/CF15</f>
        <v>467.129248615134</v>
      </c>
      <c r="CG376" s="222">
        <f>CG149/CG15</f>
        <v>1281.23853699559</v>
      </c>
      <c r="CH376" s="222">
        <f>CH149/CH15</f>
        <v>468.96533970301</v>
      </c>
      <c r="CI376" s="222">
        <f>CI149/CI15</f>
        <v>1318.65524669893</v>
      </c>
      <c r="CK376" s="222">
        <f>CK149/CK15</f>
        <v>1276.21790205967</v>
      </c>
      <c r="CL376" s="222">
        <f>CL149/CL15</f>
        <v>3500.41093954438</v>
      </c>
      <c r="CM376" s="222">
        <f>CM149/CM15</f>
        <v>1281.23418464763</v>
      </c>
      <c r="CN376" s="222">
        <f>CN149/CN15</f>
        <v>3602.63535458145</v>
      </c>
      <c r="CP376" s="222">
        <f>CP149/CP15</f>
        <v>3486.6943013496</v>
      </c>
      <c r="CQ376" s="222">
        <f>CQ149/CQ15</f>
        <v>9563.29895307995</v>
      </c>
      <c r="CR376" s="222">
        <f>CR149/CR15</f>
        <v>3500.39904870129</v>
      </c>
      <c r="CS376" s="222">
        <f>CS149/CS15</f>
        <v>9842.58120256076</v>
      </c>
      <c r="CU376" s="222">
        <f>CU149/CU15</f>
        <v>9525.82440681854</v>
      </c>
      <c r="CV376" s="222">
        <f>CV149/CV15</f>
        <v>26127.4197852487</v>
      </c>
      <c r="CW376" s="222">
        <f>CW149/CW15</f>
        <v>9563.26646669785</v>
      </c>
      <c r="CX376" s="222">
        <f>CX149/CX15</f>
        <v>26890.4331142844</v>
      </c>
    </row>
    <row r="377" customFormat="1" s="233">
      <c r="A377" s="224" t="n"/>
      <c r="B377" s="224" t="n"/>
      <c r="C377" s="233" t="inlineStr">
        <is>
          <t>ASSET TURNOVER</t>
        </is>
      </c>
      <c r="D377" s="238">
        <f>D149/D209</f>
        <v>0.00755634165527637</v>
      </c>
      <c r="E377" s="238">
        <f>E149/E209</f>
        <v>0.000350232979320577</v>
      </c>
      <c r="F377" s="238">
        <f>F149/F209</f>
        <v>0.00480980319653712</v>
      </c>
      <c r="G377" s="238">
        <f>G149/G209</f>
        <v>0.0163117822291864</v>
      </c>
      <c r="I377" s="222">
        <f>I149/I209</f>
        <v>0.00839452303013444</v>
      </c>
      <c r="J377" s="222">
        <f>J149/J209</f>
        <v>0.0122439301832475</v>
      </c>
      <c r="K377" s="222">
        <f>K149/K209</f>
        <v>0.013142655942271</v>
      </c>
      <c r="L377" s="222">
        <f>L149/L209</f>
        <v>0.0127398173122649</v>
      </c>
      <c r="N377" s="222">
        <f>N149/N209</f>
        <v>0.0123150861666634</v>
      </c>
      <c r="O377" s="222">
        <f>O149/O209</f>
        <v>0.00799050762213163</v>
      </c>
      <c r="P377" s="222">
        <f>P149/P209</f>
        <v>0.00354854756726576</v>
      </c>
      <c r="Q377" s="222">
        <f>Q149/Q209</f>
        <v>0.000679304837731631</v>
      </c>
      <c r="S377" s="222">
        <f>S149/S209</f>
        <v>0.00092778205992041</v>
      </c>
      <c r="T377" s="222">
        <f>T149/T209</f>
        <v>-0.000847842221612402</v>
      </c>
      <c r="U377" s="222">
        <f>U149/U209</f>
        <v>-0.00302380075020589</v>
      </c>
      <c r="V377" s="222">
        <f>V149/V209</f>
        <v>-0.0234204169646258</v>
      </c>
      <c r="X377" s="222">
        <f>X149/X209</f>
        <v>0.00185594457531372</v>
      </c>
      <c r="Y377" s="222">
        <f>Y149/Y209</f>
        <v>0.00153690336223436</v>
      </c>
      <c r="Z377" s="222">
        <f>Z149/Z209</f>
        <v>0.00273652589788559</v>
      </c>
      <c r="AA377" s="222">
        <f>AA149/AA209</f>
        <v>0.0020334693133418</v>
      </c>
      <c r="AC377" s="222">
        <f>AC149/AC209</f>
        <v>0.00268621449019436</v>
      </c>
      <c r="AD377" s="222">
        <f>AD149/AD209</f>
        <v>0.0022701498087291</v>
      </c>
      <c r="AE377" s="222">
        <f>AE149/AE209</f>
        <v>0.00236003066504858</v>
      </c>
      <c r="AF377" s="222">
        <f>AF149/AF209</f>
        <v>0.0029303750326776</v>
      </c>
      <c r="AH377" s="222">
        <f>AH149/AH209</f>
        <v>0.00346482344327234</v>
      </c>
      <c r="AI377" s="222">
        <f>AI149/AI209</f>
        <v>0.00363273091737749</v>
      </c>
      <c r="AJ377" s="222">
        <f>AJ149/AJ209</f>
        <v>0.00467528912416726</v>
      </c>
      <c r="AK377" s="222">
        <f>AK149/AK209</f>
        <v>0.00485086124418748</v>
      </c>
      <c r="AM377" s="222" t="e">
        <f>AM149/AM209</f>
        <v>#DIV/0!</v>
      </c>
      <c r="AN377" s="222" t="e">
        <f>AN149/AN209</f>
        <v>#DIV/0!</v>
      </c>
      <c r="AO377" s="222" t="e">
        <f>AO149/AO209</f>
        <v>#DIV/0!</v>
      </c>
      <c r="AP377" s="222" t="e">
        <f>AP149/AP209</f>
        <v>#DIV/0!</v>
      </c>
      <c r="AR377" s="222" t="e">
        <f>AR149/AR209</f>
        <v>#DIV/0!</v>
      </c>
      <c r="AS377" s="222" t="e">
        <f>AS149/AS209</f>
        <v>#DIV/0!</v>
      </c>
      <c r="AT377" s="222" t="e">
        <f>AT149/AT209</f>
        <v>#DIV/0!</v>
      </c>
      <c r="AU377" s="222" t="e">
        <f>AU149/AU209</f>
        <v>#DIV/0!</v>
      </c>
      <c r="AW377" s="222" t="e">
        <f>AW149/AW209</f>
        <v>#DIV/0!</v>
      </c>
      <c r="AX377" s="222" t="e">
        <f>AX149/AX209</f>
        <v>#DIV/0!</v>
      </c>
      <c r="AY377" s="222" t="e">
        <f>AY149/AY209</f>
        <v>#DIV/0!</v>
      </c>
      <c r="AZ377" s="222" t="e">
        <f>AZ149/AZ209</f>
        <v>#DIV/0!</v>
      </c>
      <c r="BB377" s="222" t="e">
        <f>BB149/BB209</f>
        <v>#DIV/0!</v>
      </c>
      <c r="BC377" s="222" t="e">
        <f>BC149/BC209</f>
        <v>#DIV/0!</v>
      </c>
      <c r="BD377" s="222" t="e">
        <f>BD149/BD209</f>
        <v>#DIV/0!</v>
      </c>
      <c r="BE377" s="222" t="e">
        <f>BE149/BE209</f>
        <v>#DIV/0!</v>
      </c>
      <c r="BG377" s="222" t="e">
        <f>BG149/BG209</f>
        <v>#DIV/0!</v>
      </c>
      <c r="BH377" s="222" t="e">
        <f>BH149/BH209</f>
        <v>#DIV/0!</v>
      </c>
      <c r="BI377" s="222" t="e">
        <f>BI149/BI209</f>
        <v>#DIV/0!</v>
      </c>
      <c r="BJ377" s="222" t="e">
        <f>BJ149/BJ209</f>
        <v>#DIV/0!</v>
      </c>
      <c r="BL377" s="222" t="e">
        <f>BL149/BL209</f>
        <v>#DIV/0!</v>
      </c>
      <c r="BM377" s="222" t="e">
        <f>BM149/BM209</f>
        <v>#DIV/0!</v>
      </c>
      <c r="BN377" s="222" t="e">
        <f>BN149/BN209</f>
        <v>#DIV/0!</v>
      </c>
      <c r="BO377" s="222" t="e">
        <f>BO149/BO209</f>
        <v>#DIV/0!</v>
      </c>
      <c r="BQ377" s="222" t="e">
        <f>BQ149/BQ209</f>
        <v>#DIV/0!</v>
      </c>
      <c r="BR377" s="222" t="e">
        <f>BR149/BR209</f>
        <v>#DIV/0!</v>
      </c>
      <c r="BS377" s="222" t="e">
        <f>BS149/BS209</f>
        <v>#DIV/0!</v>
      </c>
      <c r="BT377" s="222" t="e">
        <f>BT149/BT209</f>
        <v>#DIV/0!</v>
      </c>
      <c r="BV377" s="222" t="e">
        <f>BV149/BV209</f>
        <v>#DIV/0!</v>
      </c>
      <c r="BW377" s="222" t="e">
        <f>BW149/BW209</f>
        <v>#DIV/0!</v>
      </c>
      <c r="BX377" s="222" t="e">
        <f>BX149/BX209</f>
        <v>#DIV/0!</v>
      </c>
      <c r="BY377" s="222" t="e">
        <f>BY149/BY209</f>
        <v>#DIV/0!</v>
      </c>
      <c r="CA377" s="222" t="e">
        <f>CA149/CA209</f>
        <v>#DIV/0!</v>
      </c>
      <c r="CB377" s="222" t="e">
        <f>CB149/CB209</f>
        <v>#DIV/0!</v>
      </c>
      <c r="CC377" s="222" t="e">
        <f>CC149/CC209</f>
        <v>#DIV/0!</v>
      </c>
      <c r="CD377" s="222" t="e">
        <f>CD149/CD209</f>
        <v>#DIV/0!</v>
      </c>
      <c r="CF377" s="222" t="e">
        <f>CF149/CF209</f>
        <v>#DIV/0!</v>
      </c>
      <c r="CG377" s="222" t="e">
        <f>CG149/CG209</f>
        <v>#DIV/0!</v>
      </c>
      <c r="CH377" s="222" t="e">
        <f>CH149/CH209</f>
        <v>#DIV/0!</v>
      </c>
      <c r="CI377" s="222" t="e">
        <f>CI149/CI209</f>
        <v>#DIV/0!</v>
      </c>
      <c r="CK377" s="222" t="e">
        <f>CK149/CK209</f>
        <v>#DIV/0!</v>
      </c>
      <c r="CL377" s="222" t="e">
        <f>CL149/CL209</f>
        <v>#DIV/0!</v>
      </c>
      <c r="CM377" s="222" t="e">
        <f>CM149/CM209</f>
        <v>#DIV/0!</v>
      </c>
      <c r="CN377" s="222" t="e">
        <f>CN149/CN209</f>
        <v>#DIV/0!</v>
      </c>
      <c r="CP377" s="222" t="e">
        <f>CP149/CP209</f>
        <v>#DIV/0!</v>
      </c>
      <c r="CQ377" s="222" t="e">
        <f>CQ149/CQ209</f>
        <v>#DIV/0!</v>
      </c>
      <c r="CR377" s="222" t="e">
        <f>CR149/CR209</f>
        <v>#DIV/0!</v>
      </c>
      <c r="CS377" s="222" t="e">
        <f>CS149/CS209</f>
        <v>#DIV/0!</v>
      </c>
      <c r="CU377" s="222" t="e">
        <f>CU149/CU209</f>
        <v>#DIV/0!</v>
      </c>
      <c r="CV377" s="222" t="e">
        <f>CV149/CV209</f>
        <v>#DIV/0!</v>
      </c>
      <c r="CW377" s="222" t="e">
        <f>CW149/CW209</f>
        <v>#DIV/0!</v>
      </c>
      <c r="CX377" s="222" t="e">
        <f>CX149/CX209</f>
        <v>#DIV/0!</v>
      </c>
    </row>
    <row r="378" customFormat="1" s="233">
      <c r="A378" s="224" t="n"/>
      <c r="B378" s="224" t="n"/>
      <c r="C378" s="233" t="inlineStr">
        <is>
          <t>EQUITY MULTIPLIER</t>
        </is>
      </c>
      <c r="D378" s="238">
        <f>D209/D283</f>
        <v>3.34484362806203</v>
      </c>
      <c r="E378" s="238">
        <f>E209/E283</f>
        <v>3.42350158814357</v>
      </c>
      <c r="F378" s="238">
        <f>F209/F283</f>
        <v>3.48836695364235</v>
      </c>
      <c r="G378" s="238">
        <f>G209/G283</f>
        <v>3.60482430851154</v>
      </c>
      <c r="I378" s="222">
        <f>I209/I283</f>
        <v>5.55082907329954</v>
      </c>
      <c r="J378" s="222">
        <f>J209/J283</f>
        <v>5.55120198714577</v>
      </c>
      <c r="K378" s="222">
        <f>K209/K283</f>
        <v>6.20989199606686</v>
      </c>
      <c r="L378" s="222">
        <f>L209/L283</f>
        <v>6.611672439284</v>
      </c>
      <c r="N378" s="222">
        <f>N209/N283</f>
        <v>6.46516105027449</v>
      </c>
      <c r="O378" s="222">
        <f>O209/O283</f>
        <v>8.18796526793478</v>
      </c>
      <c r="P378" s="222">
        <f>P209/P283</f>
        <v>9.51008290008419</v>
      </c>
      <c r="Q378" s="222">
        <f>Q209/Q283</f>
        <v>9.4806388161307</v>
      </c>
      <c r="S378" s="222">
        <f>S209/S283</f>
        <v>8.01238168410827</v>
      </c>
      <c r="T378" s="222">
        <f>T209/T283</f>
        <v>6.85848926092551</v>
      </c>
      <c r="U378" s="222">
        <f>U209/U283</f>
        <v>7.17860195634425</v>
      </c>
      <c r="V378" s="222">
        <f>V209/V283</f>
        <v>9.95961871970324</v>
      </c>
      <c r="X378" s="222">
        <f>X209/X283</f>
        <v>10.4166602355461</v>
      </c>
      <c r="Y378" s="222">
        <f>Y209/Y283</f>
        <v>11.0596012441744</v>
      </c>
      <c r="Z378" s="222">
        <f>Z209/Z283</f>
        <v>10.7493683743257</v>
      </c>
      <c r="AA378" s="222">
        <f>AA209/AA283</f>
        <v>12.2663811960079</v>
      </c>
      <c r="AC378" s="222">
        <f>AC209/AC283</f>
        <v>11.2020695822641</v>
      </c>
      <c r="AD378" s="222">
        <f>AD209/AD283</f>
        <v>11.2404111024075</v>
      </c>
      <c r="AE378" s="222">
        <f>AE209/AE283</f>
        <v>10.6294207127934</v>
      </c>
      <c r="AF378" s="222">
        <f>AF209/AF283</f>
        <v>11.7680476877853</v>
      </c>
      <c r="AH378" s="222">
        <f>AH209/AH283</f>
        <v>11.7567417518658</v>
      </c>
      <c r="AI378" s="222">
        <f>AI209/AI283</f>
        <v>9.57090683164224</v>
      </c>
      <c r="AJ378" s="222">
        <f>AJ209/AJ283</f>
        <v>7.85766671344879</v>
      </c>
      <c r="AK378" s="222">
        <f>AK209/AK283</f>
        <v>7.60469214487052</v>
      </c>
      <c r="AM378" s="222" t="e">
        <f>AM209/AM283</f>
        <v>#DIV/0!</v>
      </c>
      <c r="AN378" s="222" t="e">
        <f>AN209/AN283</f>
        <v>#DIV/0!</v>
      </c>
      <c r="AO378" s="222" t="e">
        <f>AO209/AO283</f>
        <v>#DIV/0!</v>
      </c>
      <c r="AP378" s="222" t="e">
        <f>AP209/AP283</f>
        <v>#DIV/0!</v>
      </c>
      <c r="AR378" s="222" t="e">
        <f>AR209/AR283</f>
        <v>#DIV/0!</v>
      </c>
      <c r="AS378" s="222" t="e">
        <f>AS209/AS283</f>
        <v>#DIV/0!</v>
      </c>
      <c r="AT378" s="222" t="e">
        <f>AT209/AT283</f>
        <v>#DIV/0!</v>
      </c>
      <c r="AU378" s="222" t="e">
        <f>AU209/AU283</f>
        <v>#DIV/0!</v>
      </c>
      <c r="AW378" s="222" t="e">
        <f>AW209/AW283</f>
        <v>#DIV/0!</v>
      </c>
      <c r="AX378" s="222" t="e">
        <f>AX209/AX283</f>
        <v>#DIV/0!</v>
      </c>
      <c r="AY378" s="222" t="e">
        <f>AY209/AY283</f>
        <v>#DIV/0!</v>
      </c>
      <c r="AZ378" s="222" t="e">
        <f>AZ209/AZ283</f>
        <v>#DIV/0!</v>
      </c>
      <c r="BB378" s="222" t="e">
        <f>BB209/BB283</f>
        <v>#DIV/0!</v>
      </c>
      <c r="BC378" s="222" t="e">
        <f>BC209/BC283</f>
        <v>#DIV/0!</v>
      </c>
      <c r="BD378" s="222" t="e">
        <f>BD209/BD283</f>
        <v>#DIV/0!</v>
      </c>
      <c r="BE378" s="222" t="e">
        <f>BE209/BE283</f>
        <v>#DIV/0!</v>
      </c>
      <c r="BG378" s="222" t="e">
        <f>BG209/BG283</f>
        <v>#DIV/0!</v>
      </c>
      <c r="BH378" s="222" t="e">
        <f>BH209/BH283</f>
        <v>#DIV/0!</v>
      </c>
      <c r="BI378" s="222" t="e">
        <f>BI209/BI283</f>
        <v>#DIV/0!</v>
      </c>
      <c r="BJ378" s="222" t="e">
        <f>BJ209/BJ283</f>
        <v>#DIV/0!</v>
      </c>
      <c r="BL378" s="222" t="e">
        <f>BL209/BL283</f>
        <v>#DIV/0!</v>
      </c>
      <c r="BM378" s="222" t="e">
        <f>BM209/BM283</f>
        <v>#DIV/0!</v>
      </c>
      <c r="BN378" s="222" t="e">
        <f>BN209/BN283</f>
        <v>#DIV/0!</v>
      </c>
      <c r="BO378" s="222" t="e">
        <f>BO209/BO283</f>
        <v>#DIV/0!</v>
      </c>
      <c r="BQ378" s="222" t="e">
        <f>BQ209/BQ283</f>
        <v>#DIV/0!</v>
      </c>
      <c r="BR378" s="222" t="e">
        <f>BR209/BR283</f>
        <v>#DIV/0!</v>
      </c>
      <c r="BS378" s="222" t="e">
        <f>BS209/BS283</f>
        <v>#DIV/0!</v>
      </c>
      <c r="BT378" s="222" t="e">
        <f>BT209/BT283</f>
        <v>#DIV/0!</v>
      </c>
      <c r="BV378" s="222" t="e">
        <f>BV209/BV283</f>
        <v>#DIV/0!</v>
      </c>
      <c r="BW378" s="222" t="e">
        <f>BW209/BW283</f>
        <v>#DIV/0!</v>
      </c>
      <c r="BX378" s="222" t="e">
        <f>BX209/BX283</f>
        <v>#DIV/0!</v>
      </c>
      <c r="BY378" s="222" t="e">
        <f>BY209/BY283</f>
        <v>#DIV/0!</v>
      </c>
      <c r="CA378" s="222" t="e">
        <f>CA209/CA283</f>
        <v>#DIV/0!</v>
      </c>
      <c r="CB378" s="222" t="e">
        <f>CB209/CB283</f>
        <v>#DIV/0!</v>
      </c>
      <c r="CC378" s="222" t="e">
        <f>CC209/CC283</f>
        <v>#DIV/0!</v>
      </c>
      <c r="CD378" s="222" t="e">
        <f>CD209/CD283</f>
        <v>#DIV/0!</v>
      </c>
      <c r="CF378" s="222" t="e">
        <f>CF209/CF283</f>
        <v>#DIV/0!</v>
      </c>
      <c r="CG378" s="222" t="e">
        <f>CG209/CG283</f>
        <v>#DIV/0!</v>
      </c>
      <c r="CH378" s="222" t="e">
        <f>CH209/CH283</f>
        <v>#DIV/0!</v>
      </c>
      <c r="CI378" s="222" t="e">
        <f>CI209/CI283</f>
        <v>#DIV/0!</v>
      </c>
      <c r="CK378" s="222" t="e">
        <f>CK209/CK283</f>
        <v>#DIV/0!</v>
      </c>
      <c r="CL378" s="222" t="e">
        <f>CL209/CL283</f>
        <v>#DIV/0!</v>
      </c>
      <c r="CM378" s="222" t="e">
        <f>CM209/CM283</f>
        <v>#DIV/0!</v>
      </c>
      <c r="CN378" s="222" t="e">
        <f>CN209/CN283</f>
        <v>#DIV/0!</v>
      </c>
      <c r="CP378" s="222" t="e">
        <f>CP209/CP283</f>
        <v>#DIV/0!</v>
      </c>
      <c r="CQ378" s="222" t="e">
        <f>CQ209/CQ283</f>
        <v>#DIV/0!</v>
      </c>
      <c r="CR378" s="222" t="e">
        <f>CR209/CR283</f>
        <v>#DIV/0!</v>
      </c>
      <c r="CS378" s="222" t="e">
        <f>CS209/CS283</f>
        <v>#DIV/0!</v>
      </c>
      <c r="CU378" s="222" t="e">
        <f>CU209/CU283</f>
        <v>#DIV/0!</v>
      </c>
      <c r="CV378" s="222" t="e">
        <f>CV209/CV283</f>
        <v>#DIV/0!</v>
      </c>
      <c r="CW378" s="222" t="e">
        <f>CW209/CW283</f>
        <v>#DIV/0!</v>
      </c>
      <c r="CX378" s="222" t="e">
        <f>CX209/CX283</f>
        <v>#DIV/0!</v>
      </c>
    </row>
    <row r="379" customFormat="1" s="233">
      <c r="A379" s="224" t="n"/>
      <c r="B379" s="224" t="n"/>
      <c r="C379" s="233" t="inlineStr">
        <is>
          <t>ROE - DUPONT</t>
        </is>
      </c>
      <c r="D379" s="238">
        <f>PRODUCT(D376:D378)</f>
        <v>0.00143318325984389</v>
      </c>
      <c r="E379" s="238">
        <f>PRODUCT(E376:E378)</f>
        <v>3.06771740954151e-06</v>
      </c>
      <c r="F379" s="238">
        <f>PRODUCT(F376:F378)</f>
        <v>0.00062146275816457</v>
      </c>
      <c r="G379" s="238">
        <f>PRODUCT(G376:G378)</f>
        <v>0.00851273493829034</v>
      </c>
      <c r="I379" s="222">
        <f>PRODUCT(I376:I378)</f>
        <v>0.0067341096825081</v>
      </c>
      <c r="J379" s="222">
        <f>PRODUCT(J376:J378)</f>
        <v>0.0101439098552371</v>
      </c>
      <c r="K379" s="222">
        <f>PRODUCT(K376:K378)</f>
        <v>0.0139172821514516</v>
      </c>
      <c r="L379" s="222">
        <f>PRODUCT(L376:L378)</f>
        <v>0.0137964788736558</v>
      </c>
      <c r="N379" s="222">
        <f>PRODUCT(N376:N378)</f>
        <v>0.010782171225065</v>
      </c>
      <c r="O379" s="222">
        <f>PRODUCT(O376:O378)</f>
        <v>0.00547694701613539</v>
      </c>
      <c r="P379" s="222">
        <f>PRODUCT(P376:P378)</f>
        <v>0.00124669655761099</v>
      </c>
      <c r="Q379" s="222">
        <f>PRODUCT(Q376:Q378)</f>
        <v>4.3719844920163e-05</v>
      </c>
      <c r="S379" s="222">
        <f>PRODUCT(S376:S378)</f>
        <v>5.78704354733026e-05</v>
      </c>
      <c r="T379" s="222">
        <f>PRODUCT(T376:T378)</f>
        <v>4.19006210260498e-05</v>
      </c>
      <c r="U379" s="222">
        <f>PRODUCT(U376:U378)</f>
        <v>0.000535058446810401</v>
      </c>
      <c r="V379" s="222">
        <f>PRODUCT(V376:V378)</f>
        <v>0.0550355370758566</v>
      </c>
      <c r="X379" s="222">
        <f>PRODUCT(X376:X378)</f>
        <v>0.00031094047033586</v>
      </c>
      <c r="Y379" s="222">
        <f>PRODUCT(Y376:Y378)</f>
        <v>0.000210504837335372</v>
      </c>
      <c r="Z379" s="222">
        <f>PRODUCT(Z376:Z378)</f>
        <v>0.000609171526022823</v>
      </c>
      <c r="AA379" s="222">
        <f>PRODUCT(AA376:AA378)</f>
        <v>0.000477424739731685</v>
      </c>
      <c r="AC379" s="222">
        <f>PRODUCT(AC376:AC378)</f>
        <v>0.000661726572899333</v>
      </c>
      <c r="AD379" s="222">
        <f>PRODUCT(AD376:AD378)</f>
        <v>0.000468835824087301</v>
      </c>
      <c r="AE379" s="222">
        <f>PRODUCT(AE376:AE378)</f>
        <v>0.000465997721951002</v>
      </c>
      <c r="AF379" s="222">
        <f>PRODUCT(AF376:AF378)</f>
        <v>0.000964563903196066</v>
      </c>
      <c r="AH379" s="222">
        <f>PRODUCT(AH376:AH378)</f>
        <v>0.00134158303002604</v>
      </c>
      <c r="AI379" s="222">
        <f>PRODUCT(AI376:AI378)</f>
        <v>0.00125240355894369</v>
      </c>
      <c r="AJ379" s="222">
        <f>PRODUCT(AJ376:AJ378)</f>
        <v>0.00145154129159466</v>
      </c>
      <c r="AK379" s="222">
        <f>PRODUCT(AK376:AK378)</f>
        <v>0.00156405767542583</v>
      </c>
      <c r="AM379" s="222" t="e">
        <f>PRODUCT(AM376:AM378)</f>
        <v>#DIV/0!</v>
      </c>
      <c r="AN379" s="222" t="e">
        <f>PRODUCT(AN376:AN378)</f>
        <v>#DIV/0!</v>
      </c>
      <c r="AO379" s="222" t="e">
        <f>PRODUCT(AO376:AO378)</f>
        <v>#DIV/0!</v>
      </c>
      <c r="AP379" s="222" t="e">
        <f>PRODUCT(AP376:AP378)</f>
        <v>#DIV/0!</v>
      </c>
      <c r="AR379" s="222" t="e">
        <f>PRODUCT(AR376:AR378)</f>
        <v>#DIV/0!</v>
      </c>
      <c r="AS379" s="222" t="e">
        <f>PRODUCT(AS376:AS378)</f>
        <v>#DIV/0!</v>
      </c>
      <c r="AT379" s="222" t="e">
        <f>PRODUCT(AT376:AT378)</f>
        <v>#DIV/0!</v>
      </c>
      <c r="AU379" s="222" t="e">
        <f>PRODUCT(AU376:AU378)</f>
        <v>#DIV/0!</v>
      </c>
      <c r="AW379" s="222" t="e">
        <f>PRODUCT(AW376:AW378)</f>
        <v>#DIV/0!</v>
      </c>
      <c r="AX379" s="222" t="e">
        <f>PRODUCT(AX376:AX378)</f>
        <v>#DIV/0!</v>
      </c>
      <c r="AY379" s="222" t="e">
        <f>PRODUCT(AY376:AY378)</f>
        <v>#DIV/0!</v>
      </c>
      <c r="AZ379" s="222" t="e">
        <f>PRODUCT(AZ376:AZ378)</f>
        <v>#DIV/0!</v>
      </c>
      <c r="BB379" s="222" t="e">
        <f>PRODUCT(BB376:BB378)</f>
        <v>#DIV/0!</v>
      </c>
      <c r="BC379" s="222" t="e">
        <f>PRODUCT(BC376:BC378)</f>
        <v>#DIV/0!</v>
      </c>
      <c r="BD379" s="222" t="e">
        <f>PRODUCT(BD376:BD378)</f>
        <v>#DIV/0!</v>
      </c>
      <c r="BE379" s="222" t="e">
        <f>PRODUCT(BE376:BE378)</f>
        <v>#DIV/0!</v>
      </c>
      <c r="BG379" s="222" t="e">
        <f>PRODUCT(BG376:BG378)</f>
        <v>#DIV/0!</v>
      </c>
      <c r="BH379" s="222" t="e">
        <f>PRODUCT(BH376:BH378)</f>
        <v>#DIV/0!</v>
      </c>
      <c r="BI379" s="222" t="e">
        <f>PRODUCT(BI376:BI378)</f>
        <v>#DIV/0!</v>
      </c>
      <c r="BJ379" s="222" t="e">
        <f>PRODUCT(BJ376:BJ378)</f>
        <v>#DIV/0!</v>
      </c>
      <c r="BL379" s="222" t="e">
        <f>PRODUCT(BL376:BL378)</f>
        <v>#DIV/0!</v>
      </c>
      <c r="BM379" s="222" t="e">
        <f>PRODUCT(BM376:BM378)</f>
        <v>#DIV/0!</v>
      </c>
      <c r="BN379" s="222" t="e">
        <f>PRODUCT(BN376:BN378)</f>
        <v>#DIV/0!</v>
      </c>
      <c r="BO379" s="222" t="e">
        <f>PRODUCT(BO376:BO378)</f>
        <v>#DIV/0!</v>
      </c>
      <c r="BQ379" s="222" t="e">
        <f>PRODUCT(BQ376:BQ378)</f>
        <v>#DIV/0!</v>
      </c>
      <c r="BR379" s="222" t="e">
        <f>PRODUCT(BR376:BR378)</f>
        <v>#DIV/0!</v>
      </c>
      <c r="BS379" s="222" t="e">
        <f>PRODUCT(BS376:BS378)</f>
        <v>#DIV/0!</v>
      </c>
      <c r="BT379" s="222" t="e">
        <f>PRODUCT(BT376:BT378)</f>
        <v>#DIV/0!</v>
      </c>
      <c r="BV379" s="222" t="e">
        <f>PRODUCT(BV376:BV378)</f>
        <v>#DIV/0!</v>
      </c>
      <c r="BW379" s="222" t="e">
        <f>PRODUCT(BW376:BW378)</f>
        <v>#DIV/0!</v>
      </c>
      <c r="BX379" s="222" t="e">
        <f>PRODUCT(BX376:BX378)</f>
        <v>#DIV/0!</v>
      </c>
      <c r="BY379" s="222" t="e">
        <f>PRODUCT(BY376:BY378)</f>
        <v>#DIV/0!</v>
      </c>
      <c r="CA379" s="222" t="e">
        <f>PRODUCT(CA376:CA378)</f>
        <v>#DIV/0!</v>
      </c>
      <c r="CB379" s="222" t="e">
        <f>PRODUCT(CB376:CB378)</f>
        <v>#DIV/0!</v>
      </c>
      <c r="CC379" s="222" t="e">
        <f>PRODUCT(CC376:CC378)</f>
        <v>#DIV/0!</v>
      </c>
      <c r="CD379" s="222" t="e">
        <f>PRODUCT(CD376:CD378)</f>
        <v>#DIV/0!</v>
      </c>
      <c r="CF379" s="222" t="e">
        <f>PRODUCT(CF376:CF378)</f>
        <v>#DIV/0!</v>
      </c>
      <c r="CG379" s="222" t="e">
        <f>PRODUCT(CG376:CG378)</f>
        <v>#DIV/0!</v>
      </c>
      <c r="CH379" s="222" t="e">
        <f>PRODUCT(CH376:CH378)</f>
        <v>#DIV/0!</v>
      </c>
      <c r="CI379" s="222" t="e">
        <f>PRODUCT(CI376:CI378)</f>
        <v>#DIV/0!</v>
      </c>
      <c r="CK379" s="222" t="e">
        <f>PRODUCT(CK376:CK378)</f>
        <v>#DIV/0!</v>
      </c>
      <c r="CL379" s="222" t="e">
        <f>PRODUCT(CL376:CL378)</f>
        <v>#DIV/0!</v>
      </c>
      <c r="CM379" s="222" t="e">
        <f>PRODUCT(CM376:CM378)</f>
        <v>#DIV/0!</v>
      </c>
      <c r="CN379" s="222" t="e">
        <f>PRODUCT(CN376:CN378)</f>
        <v>#DIV/0!</v>
      </c>
      <c r="CP379" s="222" t="e">
        <f>PRODUCT(CP376:CP378)</f>
        <v>#DIV/0!</v>
      </c>
      <c r="CQ379" s="222" t="e">
        <f>PRODUCT(CQ376:CQ378)</f>
        <v>#DIV/0!</v>
      </c>
      <c r="CR379" s="222" t="e">
        <f>PRODUCT(CR376:CR378)</f>
        <v>#DIV/0!</v>
      </c>
      <c r="CS379" s="222" t="e">
        <f>PRODUCT(CS376:CS378)</f>
        <v>#DIV/0!</v>
      </c>
      <c r="CU379" s="222" t="e">
        <f>PRODUCT(CU376:CU378)</f>
        <v>#DIV/0!</v>
      </c>
      <c r="CV379" s="222" t="e">
        <f>PRODUCT(CV376:CV378)</f>
        <v>#DIV/0!</v>
      </c>
      <c r="CW379" s="222" t="e">
        <f>PRODUCT(CW376:CW378)</f>
        <v>#DIV/0!</v>
      </c>
      <c r="CX379" s="222" t="e">
        <f>PRODUCT(CX376:CX378)</f>
        <v>#DIV/0!</v>
      </c>
    </row>
    <row r="380" customFormat="1" s="233">
      <c r="A380" s="224" t="n"/>
      <c r="B380" s="224" t="n"/>
      <c r="C380" s="233" t="inlineStr">
        <is>
          <t>ROE</t>
        </is>
      </c>
      <c r="D380" s="238">
        <f>D149/D283</f>
        <v>0.0252747812371108</v>
      </c>
      <c r="E380" s="238">
        <f>E149/E283</f>
        <v>0.00119902316092425</v>
      </c>
      <c r="F380" s="238">
        <f>F149/F283</f>
        <v>0.0167783585243234</v>
      </c>
      <c r="G380" s="238">
        <f>G149/G283</f>
        <v>0.0588011090949176</v>
      </c>
      <c r="I380" s="222">
        <f>I149/I283</f>
        <v>0.0465965624921528</v>
      </c>
      <c r="J380" s="222">
        <f>J149/J283</f>
        <v>0.0679685295637174</v>
      </c>
      <c r="K380" s="222">
        <f>K149/K283</f>
        <v>0.0816144739429695</v>
      </c>
      <c r="L380" s="222">
        <f>L149/L283</f>
        <v>0.0842314990050151</v>
      </c>
      <c r="N380" s="222">
        <f>N149/N283</f>
        <v>0.0796190154154863</v>
      </c>
      <c r="O380" s="222">
        <f>O149/O283</f>
        <v>0.0654259988831819</v>
      </c>
      <c r="P380" s="222">
        <f>P149/P283</f>
        <v>0.0337469815395895</v>
      </c>
      <c r="Q380" s="222">
        <f>Q149/Q283</f>
        <v>0.00644024381258387</v>
      </c>
      <c r="S380" s="222">
        <f>S149/S283</f>
        <v>0.00743374398375053</v>
      </c>
      <c r="T380" s="222">
        <f>T149/T283</f>
        <v>-0.00581491677188788</v>
      </c>
      <c r="U380" s="222">
        <f>U149/U283</f>
        <v>-0.0217066619810232</v>
      </c>
      <c r="V380" s="222">
        <f>V149/V283</f>
        <v>-0.233258423224143</v>
      </c>
      <c r="X380" s="222">
        <f>X149/X283</f>
        <v>0.0193327440570479</v>
      </c>
      <c r="Y380" s="222">
        <f>Y149/Y283</f>
        <v>0.016997538337143</v>
      </c>
      <c r="Z380" s="222">
        <f>Z149/Z283</f>
        <v>0.0294159249422545</v>
      </c>
      <c r="AA380" s="222">
        <f>AA149/AA283</f>
        <v>0.0249433097478349</v>
      </c>
      <c r="AC380" s="222">
        <f>AC149/AC283</f>
        <v>0.0300911616320432</v>
      </c>
      <c r="AD380" s="222">
        <f>AD149/AD283</f>
        <v>0.025517417114167</v>
      </c>
      <c r="AE380" s="222">
        <f>AE149/AE283</f>
        <v>0.025085758833895</v>
      </c>
      <c r="AF380" s="222">
        <f>AF149/AF283</f>
        <v>0.0344847931276454</v>
      </c>
      <c r="AH380" s="222">
        <f>AH149/AH283</f>
        <v>0.0407350344383635</v>
      </c>
      <c r="AI380" s="222">
        <f>AI149/AI283</f>
        <v>0.0347685291546461</v>
      </c>
      <c r="AJ380" s="222">
        <f>AJ149/AJ283</f>
        <v>0.0367368637267182</v>
      </c>
      <c r="AK380" s="222">
        <f>AK149/AK283</f>
        <v>0.0368893063995294</v>
      </c>
      <c r="AM380" s="222">
        <f>AM149/AM283</f>
        <v>0.0355768992619115</v>
      </c>
      <c r="AN380" s="222">
        <f>AN149/AN283</f>
        <v>0.122344779001732</v>
      </c>
      <c r="AO380" s="222">
        <f>AO149/AO283</f>
        <v>0.0302788179605316</v>
      </c>
      <c r="AP380" s="222">
        <f>AP149/AP283</f>
        <v>0.106057614047429</v>
      </c>
      <c r="AR380" s="222">
        <f>AR149/AR283</f>
        <v>0.0958879652383829</v>
      </c>
      <c r="AS380" s="222">
        <f>AS149/AS283</f>
        <v>0.194016422684139</v>
      </c>
      <c r="AT380" s="222">
        <f>AT149/AT283</f>
        <v>0.0717397791662805</v>
      </c>
      <c r="AU380" s="222">
        <f>AU149/AU283</f>
        <v>0.152612553341752</v>
      </c>
      <c r="AW380" s="222">
        <f>AW149/AW283</f>
        <v>0.132405770611543</v>
      </c>
      <c r="AX380" s="222">
        <f>AX149/AX283</f>
        <v>0.270230695623464</v>
      </c>
      <c r="AY380" s="222">
        <f>AY149/AY283</f>
        <v>0.0881118051603336</v>
      </c>
      <c r="AZ380" s="222">
        <f>AZ149/AZ283</f>
        <v>0.197702335805159</v>
      </c>
      <c r="BB380" s="222">
        <f>BB149/BB283</f>
        <v>0.165068005542674</v>
      </c>
      <c r="BC380" s="222">
        <f>BC149/BC283</f>
        <v>0.309478991215564</v>
      </c>
      <c r="BD380" s="222">
        <f>BD149/BD283</f>
        <v>0.102320173025264</v>
      </c>
      <c r="BE380" s="222">
        <f>BE149/BE283</f>
        <v>0.217412905492403</v>
      </c>
      <c r="BG380" s="222">
        <f>BG149/BG283</f>
        <v>0.178586003574906</v>
      </c>
      <c r="BH380" s="222">
        <f>BH149/BH283</f>
        <v>0.328282262267904</v>
      </c>
      <c r="BI380" s="222">
        <f>BI149/BI283</f>
        <v>0.107110478985296</v>
      </c>
      <c r="BJ380" s="222">
        <f>BJ149/BJ283</f>
        <v>0.226676440765129</v>
      </c>
      <c r="BL380" s="222">
        <f>BL149/BL283</f>
        <v>0.184789104308338</v>
      </c>
      <c r="BM380" s="222">
        <f>BM149/BM283</f>
        <v>0.335383793382276</v>
      </c>
      <c r="BN380" s="222">
        <f>BN149/BN283</f>
        <v>0.109380406495007</v>
      </c>
      <c r="BO380" s="222">
        <f>BO149/BO283</f>
        <v>0.229998861054601</v>
      </c>
      <c r="BQ380" s="222">
        <f>BQ149/BQ283</f>
        <v>0.186991117095345</v>
      </c>
      <c r="BR380" s="222">
        <f>BR149/BR283</f>
        <v>0.338156140817017</v>
      </c>
      <c r="BS380" s="222">
        <f>BS149/BS283</f>
        <v>0.110129423745212</v>
      </c>
      <c r="BT380" s="222">
        <f>BT149/BT283</f>
        <v>0.231310388192635</v>
      </c>
      <c r="BV380" s="222">
        <f>BV149/BV283</f>
        <v>0.187857091445611</v>
      </c>
      <c r="BW380" s="222">
        <f>BW149/BW283</f>
        <v>0.339156971755512</v>
      </c>
      <c r="BX380" s="222">
        <f>BX149/BX283</f>
        <v>0.110434289340213</v>
      </c>
      <c r="BY380" s="222">
        <f>BY149/BY283</f>
        <v>0.231775258064675</v>
      </c>
      <c r="CA380" s="222">
        <f>CA149/CA283</f>
        <v>0.188163592787886</v>
      </c>
      <c r="CB380" s="222">
        <f>CB149/CB283</f>
        <v>0.339531571363065</v>
      </c>
      <c r="CC380" s="222">
        <f>CC149/CC283</f>
        <v>0.110538782313795</v>
      </c>
      <c r="CD380" s="222">
        <f>CD149/CD283</f>
        <v>0.231950942132912</v>
      </c>
      <c r="CF380" s="222">
        <f>CF149/CF283</f>
        <v>0.188279365841735</v>
      </c>
      <c r="CG380" s="222">
        <f>CG149/CG283</f>
        <v>0.339667074614184</v>
      </c>
      <c r="CH380" s="222">
        <f>CH149/CH283</f>
        <v>0.110579090701173</v>
      </c>
      <c r="CI380" s="222">
        <f>CI149/CI283</f>
        <v>0.232013957948316</v>
      </c>
      <c r="CK380" s="222">
        <f>CK149/CK283</f>
        <v>0.188320884233074</v>
      </c>
      <c r="CL380" s="222">
        <f>CL149/CL283</f>
        <v>0.339717185860809</v>
      </c>
      <c r="CM380" s="222">
        <f>CM149/CM283</f>
        <v>0.110593313086782</v>
      </c>
      <c r="CN380" s="222">
        <f>CN149/CN283</f>
        <v>0.232037395044149</v>
      </c>
      <c r="CP380" s="222">
        <f>CP149/CP283</f>
        <v>0.188336324836823</v>
      </c>
      <c r="CQ380" s="222">
        <f>CQ149/CQ283</f>
        <v>0.339735401189803</v>
      </c>
      <c r="CR380" s="222">
        <f>CR149/CR283</f>
        <v>0.110598664118679</v>
      </c>
      <c r="CS380" s="222">
        <f>CS149/CS283</f>
        <v>0.23204587750421</v>
      </c>
      <c r="CU380" s="222">
        <f>CU149/CU283</f>
        <v>0.188341913025408</v>
      </c>
      <c r="CV380" s="222">
        <f>CV149/CV283</f>
        <v>0.339742103878385</v>
      </c>
      <c r="CW380" s="222">
        <f>CW149/CW283</f>
        <v>0.110600584181999</v>
      </c>
      <c r="CX380" s="222">
        <f>CX149/CX283</f>
        <v>0.232049008524703</v>
      </c>
    </row>
    <row r="382">
      <c r="C382" s="53" t="inlineStr">
        <is>
          <t>Scenario Analysis</t>
        </is>
      </c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  <c r="AJ382" s="53" t="n"/>
      <c r="AK382" s="53" t="n"/>
      <c r="AL382" s="53" t="n"/>
      <c r="AM382" s="53" t="n"/>
      <c r="AN382" s="53" t="n"/>
      <c r="AO382" s="53" t="n"/>
      <c r="AP382" s="53" t="n"/>
      <c r="AQ382" s="53" t="n"/>
      <c r="AR382" s="53" t="n"/>
      <c r="AS382" s="53" t="n"/>
      <c r="AT382" s="53" t="n"/>
      <c r="AU382" s="53" t="n"/>
      <c r="AV382" s="53" t="n"/>
      <c r="AW382" s="53" t="n"/>
      <c r="AX382" s="53" t="n"/>
      <c r="AY382" s="53" t="n"/>
      <c r="AZ382" s="53" t="n"/>
      <c r="BA382" s="53" t="n"/>
      <c r="BB382" s="53" t="n"/>
      <c r="BC382" s="53" t="n"/>
      <c r="BD382" s="53" t="n"/>
      <c r="BE382" s="53" t="n"/>
      <c r="BF382" s="53" t="n"/>
      <c r="BG382" s="53" t="n"/>
      <c r="BH382" s="53" t="n"/>
      <c r="BI382" s="53" t="n"/>
      <c r="BJ382" s="53" t="n"/>
      <c r="BK382" s="53" t="n"/>
      <c r="BL382" s="53" t="n"/>
      <c r="BM382" s="53" t="n"/>
      <c r="BN382" s="53" t="n"/>
      <c r="BO382" s="53" t="n"/>
      <c r="BP382" s="53" t="n"/>
      <c r="BQ382" s="53" t="n"/>
      <c r="BR382" s="53" t="n"/>
      <c r="BS382" s="53" t="n"/>
      <c r="BT382" s="53" t="n"/>
      <c r="BU382" s="53" t="n"/>
      <c r="BV382" s="53" t="n"/>
      <c r="BW382" s="53" t="n"/>
      <c r="BX382" s="53" t="n"/>
      <c r="BY382" s="53" t="n"/>
      <c r="BZ382" s="53" t="n"/>
      <c r="CA382" s="53" t="n"/>
      <c r="CB382" s="53" t="n"/>
      <c r="CC382" s="53" t="n"/>
      <c r="CD382" s="53" t="n"/>
      <c r="CE382" s="53" t="n"/>
      <c r="CF382" s="53" t="n"/>
      <c r="CG382" s="53" t="n"/>
      <c r="CH382" s="53" t="n"/>
      <c r="CI382" s="53" t="n"/>
      <c r="CJ382" s="53" t="n"/>
      <c r="CK382" s="53" t="n"/>
      <c r="CL382" s="53" t="n"/>
      <c r="CM382" s="53" t="n"/>
      <c r="CN382" s="53" t="n"/>
      <c r="CO382" s="53" t="n"/>
      <c r="CP382" s="53" t="n"/>
      <c r="CQ382" s="53" t="n"/>
      <c r="CR382" s="53" t="n"/>
      <c r="CS382" s="53" t="n"/>
      <c r="CT382" s="53" t="n"/>
      <c r="CU382" s="53" t="n"/>
      <c r="CV382" s="53" t="n"/>
      <c r="CW382" s="53" t="n"/>
      <c r="CX382" s="53" t="n"/>
      <c r="CY382" s="53" t="n"/>
    </row>
    <row r="385">
      <c r="C385" s="4" t="inlineStr">
        <is>
          <t>Bull case</t>
        </is>
      </c>
    </row>
    <row r="386">
      <c r="C386" s="4" t="inlineStr">
        <is>
          <t>Base case</t>
        </is>
      </c>
    </row>
    <row r="387">
      <c r="C387" s="4" t="inlineStr">
        <is>
          <t>Bear case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  <row r="395">
      <c r="C395" s="4" t="inlineStr">
        <is>
          <t>% Gross Margin</t>
        </is>
      </c>
    </row>
    <row r="396">
      <c r="C396" s="4" t="inlineStr">
        <is>
          <t>Bull case</t>
        </is>
      </c>
    </row>
    <row r="397">
      <c r="C397" s="4" t="inlineStr">
        <is>
          <t>Base case</t>
        </is>
      </c>
    </row>
    <row r="398">
      <c r="C398" s="4" t="inlineStr">
        <is>
          <t>Bear case</t>
        </is>
      </c>
    </row>
    <row r="401">
      <c r="C401" s="4" t="inlineStr">
        <is>
          <t>Capital expenditures</t>
        </is>
      </c>
    </row>
    <row r="402">
      <c r="C402" s="4" t="inlineStr">
        <is>
          <t>Bull case</t>
        </is>
      </c>
    </row>
    <row r="403">
      <c r="C403" s="4" t="inlineStr">
        <is>
          <t>Base case</t>
        </is>
      </c>
    </row>
    <row r="404">
      <c r="C404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7:G327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7:L327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7:Q327">
    <cfRule type="cellIs" priority="44" operator="notEqual" dxfId="0">
      <formula>0</formula>
    </cfRule>
  </conditionalFormatting>
  <conditionalFormatting sqref="S327:V327">
    <cfRule type="cellIs" priority="43" operator="notEqual" dxfId="0">
      <formula>0</formula>
    </cfRule>
  </conditionalFormatting>
  <conditionalFormatting sqref="X327:AA327">
    <cfRule type="cellIs" priority="42" operator="notEqual" dxfId="0">
      <formula>0</formula>
    </cfRule>
  </conditionalFormatting>
  <conditionalFormatting sqref="AC327:AF327">
    <cfRule type="cellIs" priority="41" operator="notEqual" dxfId="0">
      <formula>0</formula>
    </cfRule>
  </conditionalFormatting>
  <conditionalFormatting sqref="AH327:AK327">
    <cfRule type="cellIs" priority="14" operator="notEqual" dxfId="0">
      <formula>0</formula>
    </cfRule>
  </conditionalFormatting>
  <conditionalFormatting sqref="AM327:AP327">
    <cfRule type="cellIs" priority="13" operator="notEqual" dxfId="0">
      <formula>0</formula>
    </cfRule>
  </conditionalFormatting>
  <conditionalFormatting sqref="AR327:AU327">
    <cfRule type="cellIs" priority="12" operator="notEqual" dxfId="0">
      <formula>0</formula>
    </cfRule>
  </conditionalFormatting>
  <conditionalFormatting sqref="AW327:AZ327">
    <cfRule type="cellIs" priority="11" operator="notEqual" dxfId="0">
      <formula>0</formula>
    </cfRule>
  </conditionalFormatting>
  <conditionalFormatting sqref="BB327:BE327">
    <cfRule type="cellIs" priority="10" operator="notEqual" dxfId="0">
      <formula>0</formula>
    </cfRule>
  </conditionalFormatting>
  <conditionalFormatting sqref="BG327:BJ327">
    <cfRule type="cellIs" priority="9" operator="notEqual" dxfId="0">
      <formula>0</formula>
    </cfRule>
  </conditionalFormatting>
  <conditionalFormatting sqref="BL327:BO327">
    <cfRule type="cellIs" priority="8" operator="notEqual" dxfId="0">
      <formula>0</formula>
    </cfRule>
  </conditionalFormatting>
  <conditionalFormatting sqref="BQ327:BT327">
    <cfRule type="cellIs" priority="7" operator="notEqual" dxfId="0">
      <formula>0</formula>
    </cfRule>
  </conditionalFormatting>
  <conditionalFormatting sqref="BV327:BY327">
    <cfRule type="cellIs" priority="6" operator="notEqual" dxfId="0">
      <formula>0</formula>
    </cfRule>
  </conditionalFormatting>
  <conditionalFormatting sqref="CA327:CD327">
    <cfRule type="cellIs" priority="5" operator="notEqual" dxfId="0">
      <formula>0</formula>
    </cfRule>
  </conditionalFormatting>
  <conditionalFormatting sqref="CF327:CI327">
    <cfRule type="cellIs" priority="4" operator="notEqual" dxfId="0">
      <formula>0</formula>
    </cfRule>
  </conditionalFormatting>
  <conditionalFormatting sqref="CK327:CN327">
    <cfRule type="cellIs" priority="3" operator="notEqual" dxfId="0">
      <formula>0</formula>
    </cfRule>
  </conditionalFormatting>
  <conditionalFormatting sqref="CP327:CS327">
    <cfRule type="cellIs" priority="2" operator="notEqual" dxfId="0">
      <formula>0</formula>
    </cfRule>
  </conditionalFormatting>
  <conditionalFormatting sqref="CU327:CX327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10342.014</v>
      </c>
      <c r="E18" s="83">
        <f>Model!AB15</f>
        <v>13481.271</v>
      </c>
      <c r="F18" s="83">
        <f>Model!AG15</f>
        <v>14672.0551549501</v>
      </c>
      <c r="G18" s="83">
        <f>Model!AL15</f>
        <v>14971.2933274001</v>
      </c>
      <c r="H18" s="83">
        <f>Model!AQ15</f>
        <v>14971.2933274001</v>
      </c>
      <c r="I18" s="83">
        <f>Model!AV15</f>
        <v>14971.2933274001</v>
      </c>
      <c r="J18" s="83">
        <f>Model!BA15</f>
        <v>14971.2933274001</v>
      </c>
      <c r="K18" s="83">
        <f>Model!BF15</f>
        <v>14971.2933274001</v>
      </c>
      <c r="L18" s="83">
        <f>Model!BK15</f>
        <v>14971.2933274001</v>
      </c>
      <c r="M18" s="83">
        <f>Model!BP15</f>
        <v>14971.2933274001</v>
      </c>
      <c r="N18" s="83">
        <f>Model!BU15</f>
        <v>14971.2933274001</v>
      </c>
      <c r="O18" s="83">
        <f>Model!BZ15</f>
        <v>14971.2933274001</v>
      </c>
      <c r="P18" s="83">
        <f>Model!CE15</f>
        <v>14971.2933274001</v>
      </c>
      <c r="Q18" s="83">
        <f>Model!CJ15</f>
        <v>14971.2933274001</v>
      </c>
      <c r="R18" s="83">
        <f>Model!CO15</f>
        <v>14971.2933274001</v>
      </c>
      <c r="S18" s="83" t="n"/>
      <c r="T18" s="83" t="n"/>
      <c r="U18" s="83" t="n"/>
      <c r="V18" s="84" t="n"/>
      <c r="X18" s="85">
        <f>((L18/F18)^(1/6))-1</f>
        <v>0.0033706536887852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0.303544067915592</v>
      </c>
      <c r="F19" s="87">
        <f>F18/E18-1</f>
        <v>0.0883287751540718</v>
      </c>
      <c r="G19" s="87">
        <f>G18/F18-1</f>
        <v>0.0203951095664368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Model!W81</f>
        <v>3499.333</v>
      </c>
      <c r="E20" s="83">
        <f>Model!AB81</f>
        <v>4700.619</v>
      </c>
      <c r="F20" s="83">
        <f>Model!AG81</f>
        <v>5686.15925995011</v>
      </c>
      <c r="G20" s="83">
        <f>Model!AL81</f>
        <v>3255.4081474</v>
      </c>
      <c r="H20" s="83">
        <f>Model!AQ81</f>
        <v>0</v>
      </c>
      <c r="I20" s="83">
        <f>Model!BA81</f>
        <v>0</v>
      </c>
      <c r="J20" s="83">
        <f>Model!BA81</f>
        <v>0</v>
      </c>
      <c r="K20" s="83">
        <f>Model!BF81</f>
        <v>0</v>
      </c>
      <c r="L20" s="83">
        <f>Model!BK81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0.338360884059913</v>
      </c>
      <c r="E21" s="92">
        <f>E20/E18</f>
        <v>0.348677732240528</v>
      </c>
      <c r="F21" s="92">
        <f>F20/F18</f>
        <v>0.387550292027882</v>
      </c>
      <c r="G21" s="92">
        <f>G20/G18</f>
        <v>0.217443348160311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Model!W85</f>
        <v>1261.567</v>
      </c>
      <c r="E22" s="83">
        <f>Model!AB85</f>
        <v>2620.101</v>
      </c>
      <c r="F22" s="83">
        <f>Model!AG85</f>
        <v>3256.12801735011</v>
      </c>
      <c r="G22" s="83">
        <f>Model!AL85</f>
        <v>1933.2586046</v>
      </c>
      <c r="H22" s="83">
        <f>Model!AQ85</f>
        <v>0</v>
      </c>
      <c r="I22" s="83">
        <f>Model!AV85</f>
        <v>0</v>
      </c>
      <c r="J22" s="83">
        <f>Model!BA85</f>
        <v>0</v>
      </c>
      <c r="K22" s="83">
        <f>Model!BF85</f>
        <v>0</v>
      </c>
      <c r="L22" s="83">
        <f>Model!BK85</f>
        <v>0</v>
      </c>
      <c r="M22" s="83">
        <f>Model!BP85</f>
        <v>0</v>
      </c>
      <c r="N22" s="83">
        <f>Model!BU85</f>
        <v>0</v>
      </c>
      <c r="O22" s="83">
        <f>Model!BZ85</f>
        <v>0</v>
      </c>
      <c r="P22" s="83">
        <f>Model!CE85</f>
        <v>0</v>
      </c>
      <c r="Q22" s="83">
        <f>Model!CJ85</f>
        <v>0</v>
      </c>
      <c r="R22" s="83">
        <f>Model!CO85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0.121984654052876</v>
      </c>
      <c r="E23" s="92">
        <f>E22/E18</f>
        <v>0.19435118543348</v>
      </c>
      <c r="F23" s="92">
        <f>F22/F18</f>
        <v>0.221927193086617</v>
      </c>
      <c r="G23" s="92">
        <f>G22/G18</f>
        <v>0.129131035129864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Model!W144</f>
        <v>0.222223948356196</v>
      </c>
      <c r="E24" s="95">
        <f>Model!AB144</f>
        <v>0.252103853646088</v>
      </c>
      <c r="F24" s="95">
        <f>Model!AG144</f>
        <v>0.0841117026990977</v>
      </c>
      <c r="G24" s="95">
        <f>Model!AL144</f>
        <v>0.115524705731894</v>
      </c>
      <c r="H24" s="95">
        <f>Model!AQ144</f>
        <v>0</v>
      </c>
      <c r="I24" s="95">
        <f>Model!AV144</f>
        <v>0</v>
      </c>
      <c r="J24" s="95">
        <f>Model!BA144</f>
        <v>0</v>
      </c>
      <c r="K24" s="95">
        <f>Model!BF144</f>
        <v>0</v>
      </c>
      <c r="L24" s="95">
        <f>Model!BK144</f>
        <v>0</v>
      </c>
      <c r="M24" s="95">
        <f>Model!BP144</f>
        <v>0</v>
      </c>
      <c r="N24" s="95">
        <f>Model!BU144</f>
        <v>0</v>
      </c>
      <c r="O24" s="95">
        <f>Model!BZ144</f>
        <v>0</v>
      </c>
      <c r="P24" s="95">
        <f>Model!CE144</f>
        <v>0</v>
      </c>
      <c r="Q24" s="95">
        <f>Model!CJ144</f>
        <v>0</v>
      </c>
      <c r="R24" s="95">
        <f>Model!CO144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981.216600144119</v>
      </c>
      <c r="E25" s="97">
        <f>E22*(1-E24)</f>
        <v>1959.56344095803</v>
      </c>
      <c r="F25" s="97">
        <f>F22*(1-F24)</f>
        <v>2982.24954560456</v>
      </c>
      <c r="G25" s="97">
        <f>G22*(1-G24)</f>
        <v>1709.91947319993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Model!W82</f>
        <v>-2237.766</v>
      </c>
      <c r="E26" s="100">
        <f>Model!AB82</f>
        <v>-2080.518</v>
      </c>
      <c r="F26" s="100">
        <f>Model!AG82</f>
        <v>-2430.0312426</v>
      </c>
      <c r="G26" s="100">
        <f>Model!AL82</f>
        <v>-1322.1495428</v>
      </c>
      <c r="H26" s="100">
        <f>Model!AQ82</f>
        <v>0</v>
      </c>
      <c r="I26" s="100">
        <f>Model!AV82</f>
        <v>0</v>
      </c>
      <c r="J26" s="100">
        <f>Model!BA82</f>
        <v>0</v>
      </c>
      <c r="K26" s="100">
        <f>Model!BF82</f>
        <v>0</v>
      </c>
      <c r="L26" s="101">
        <f>Model!BK82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1665.249</v>
      </c>
      <c r="E27" s="103">
        <f>SUM(E28:E39)</f>
        <v>-556.920000000001</v>
      </c>
      <c r="F27" s="103">
        <f>SUM(F28:F39)</f>
        <v>2977.944</v>
      </c>
      <c r="G27" s="103">
        <f>SUM(G28:G39)</f>
        <v>-4595.637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Model!W292</f>
        <v>-169.679</v>
      </c>
      <c r="E28" s="106">
        <f>Model!AB292</f>
        <v>-96.2830000000001</v>
      </c>
      <c r="F28" s="106">
        <f>Model!AG292</f>
        <v>-547.985</v>
      </c>
      <c r="G28" s="106">
        <f>Model!AL292</f>
        <v>1989.681</v>
      </c>
      <c r="H28" s="106">
        <f>Model!AQ292</f>
        <v>0</v>
      </c>
      <c r="I28" s="106">
        <f>Model!AV292</f>
        <v>0</v>
      </c>
      <c r="J28" s="106">
        <f>Model!BA292</f>
        <v>0</v>
      </c>
      <c r="K28" s="106">
        <f>Model!BF292</f>
        <v>0</v>
      </c>
      <c r="L28" s="107">
        <f>Model!BK292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Model!W293</f>
        <v>0</v>
      </c>
      <c r="E29" s="106">
        <f>Model!AB293</f>
        <v>0</v>
      </c>
      <c r="F29" s="106">
        <f>Model!AG293</f>
        <v>0</v>
      </c>
      <c r="G29" s="106">
        <f>Model!AL293</f>
        <v>0</v>
      </c>
      <c r="H29" s="106">
        <f>Model!AQ293</f>
        <v>0</v>
      </c>
      <c r="I29" s="106">
        <f>Model!AV293</f>
        <v>0</v>
      </c>
      <c r="J29" s="106">
        <f>Model!BA293</f>
        <v>0</v>
      </c>
      <c r="K29" s="106">
        <f>Model!BF293</f>
        <v>0</v>
      </c>
      <c r="L29" s="107">
        <f>Model!BK293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Model!W294</f>
        <v>0</v>
      </c>
      <c r="E30" s="106">
        <f>Model!AB294</f>
        <v>0</v>
      </c>
      <c r="F30" s="106">
        <f>Model!AG294</f>
        <v>0</v>
      </c>
      <c r="G30" s="106">
        <f>Model!AL294</f>
        <v>0</v>
      </c>
      <c r="H30" s="106">
        <f>Model!AQ294</f>
        <v>0</v>
      </c>
      <c r="I30" s="106">
        <f>Model!AV294</f>
        <v>0</v>
      </c>
      <c r="J30" s="106">
        <f>Model!BA294</f>
        <v>0</v>
      </c>
      <c r="K30" s="106">
        <f>Model!BF294</f>
        <v>0</v>
      </c>
      <c r="L30" s="107">
        <f>Model!BK294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Model!W295</f>
        <v>0</v>
      </c>
      <c r="E31" s="106">
        <f>Model!AB295</f>
        <v>0</v>
      </c>
      <c r="F31" s="106">
        <f>Model!AG295</f>
        <v>0</v>
      </c>
      <c r="G31" s="106">
        <f>Model!AL295</f>
        <v>0</v>
      </c>
      <c r="H31" s="106">
        <f>Model!AQ295</f>
        <v>0</v>
      </c>
      <c r="I31" s="106">
        <f>Model!AV295</f>
        <v>0</v>
      </c>
      <c r="J31" s="106">
        <f>Model!BA295</f>
        <v>0</v>
      </c>
      <c r="K31" s="106">
        <f>Model!BF295</f>
        <v>0</v>
      </c>
      <c r="L31" s="107">
        <f>Model!BK295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Model!W296</f>
        <v>351.974000000001</v>
      </c>
      <c r="E32" s="106">
        <f>Model!AB296</f>
        <v>-130.96</v>
      </c>
      <c r="F32" s="106">
        <f>Model!AG296</f>
        <v>275.709999999999</v>
      </c>
      <c r="G32" s="106">
        <f>Model!AL296</f>
        <v>-452.437</v>
      </c>
      <c r="H32" s="106">
        <f>Model!AQ296</f>
        <v>0</v>
      </c>
      <c r="I32" s="106">
        <f>Model!AV296</f>
        <v>0</v>
      </c>
      <c r="J32" s="106">
        <f>Model!BA296</f>
        <v>0</v>
      </c>
      <c r="K32" s="106">
        <f>Model!BF296</f>
        <v>0</v>
      </c>
      <c r="L32" s="107">
        <f>Model!BK296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Model!W297</f>
        <v>2486.42</v>
      </c>
      <c r="E33" s="106">
        <f>Model!AB297</f>
        <v>566.831999999999</v>
      </c>
      <c r="F33" s="106">
        <f>Model!AG297</f>
        <v>536.594</v>
      </c>
      <c r="G33" s="106">
        <f>Model!AL297</f>
        <v>-5854.754</v>
      </c>
      <c r="H33" s="106">
        <f>Model!AQ297</f>
        <v>0</v>
      </c>
      <c r="I33" s="106">
        <f>Model!AV297</f>
        <v>0</v>
      </c>
      <c r="J33" s="106">
        <f>Model!BA297</f>
        <v>0</v>
      </c>
      <c r="K33" s="106">
        <f>Model!BF297</f>
        <v>0</v>
      </c>
      <c r="L33" s="107">
        <f>Model!BK297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Model!W298</f>
        <v>49.199</v>
      </c>
      <c r="E34" s="106">
        <f>Model!AB298</f>
        <v>-57.702</v>
      </c>
      <c r="F34" s="106">
        <f>Model!AG298</f>
        <v>16.374</v>
      </c>
      <c r="G34" s="106">
        <f>Model!AL298</f>
        <v>-114.327</v>
      </c>
      <c r="H34" s="106" t="e">
        <f>Model!AQ298</f>
        <v>#DIV/0!</v>
      </c>
      <c r="I34" s="106" t="e">
        <f>Model!AV298</f>
        <v>#DIV/0!</v>
      </c>
      <c r="J34" s="106" t="e">
        <f>Model!BA298</f>
        <v>#DIV/0!</v>
      </c>
      <c r="K34" s="106" t="e">
        <f>Model!BF298</f>
        <v>#DIV/0!</v>
      </c>
      <c r="L34" s="107" t="e">
        <f>Model!BK298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Model!W299</f>
        <v>7.041</v>
      </c>
      <c r="E35" s="106">
        <f>Model!AB299</f>
        <v>61.134</v>
      </c>
      <c r="F35" s="106">
        <f>Model!AG299</f>
        <v>31.233</v>
      </c>
      <c r="G35" s="106">
        <f>Model!AL299</f>
        <v>-163.739</v>
      </c>
      <c r="H35" s="106" t="e">
        <f>Model!AQ299</f>
        <v>#DIV/0!</v>
      </c>
      <c r="I35" s="106" t="e">
        <f>Model!AV299</f>
        <v>#DIV/0!</v>
      </c>
      <c r="J35" s="106" t="e">
        <f>Model!BA299</f>
        <v>#DIV/0!</v>
      </c>
      <c r="K35" s="106" t="e">
        <f>Model!BF299</f>
        <v>#DIV/0!</v>
      </c>
      <c r="L35" s="107" t="e">
        <f>Model!BK299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Model!W300</f>
        <v>-242.501</v>
      </c>
      <c r="E36" s="106">
        <f>Model!AB300</f>
        <v>164.098</v>
      </c>
      <c r="F36" s="106">
        <f>Model!AG300</f>
        <v>936.902000000001</v>
      </c>
      <c r="G36" s="106">
        <f>Model!AL300</f>
        <v>-400.930000000001</v>
      </c>
      <c r="H36" s="106">
        <f>Model!AQ300</f>
        <v>0</v>
      </c>
      <c r="I36" s="106">
        <f>Model!AV300</f>
        <v>0</v>
      </c>
      <c r="J36" s="106">
        <f>Model!BA300</f>
        <v>0</v>
      </c>
      <c r="K36" s="106">
        <f>Model!BF300</f>
        <v>0</v>
      </c>
      <c r="L36" s="107">
        <f>Model!BK300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Model!W301</f>
        <v>168.617</v>
      </c>
      <c r="E37" s="106">
        <f>Model!AB301</f>
        <v>-461.102</v>
      </c>
      <c r="F37" s="106">
        <f>Model!AG301</f>
        <v>235.532</v>
      </c>
      <c r="G37" s="106">
        <f>Model!AL301</f>
        <v>55.503</v>
      </c>
      <c r="H37" s="106">
        <f>Model!AQ301</f>
        <v>0</v>
      </c>
      <c r="I37" s="106">
        <f>Model!AV301</f>
        <v>0</v>
      </c>
      <c r="J37" s="106">
        <f>Model!BA301</f>
        <v>0</v>
      </c>
      <c r="K37" s="106">
        <f>Model!BF301</f>
        <v>0</v>
      </c>
      <c r="L37" s="107">
        <f>Model!BK301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(Model!W201-Model!R201)*-1</f>
        <v>-38.037</v>
      </c>
      <c r="E38" s="106">
        <f>(Model!AB201-Model!W201)*-1</f>
        <v>-653.567</v>
      </c>
      <c r="F38" s="106">
        <f>(Model!AG201-Model!AB201)*-1</f>
        <v>779.768</v>
      </c>
      <c r="G38" s="106">
        <f>(Model!AL201-Model!AG201)*-1</f>
        <v>-67.903</v>
      </c>
      <c r="H38" s="106">
        <f>(Model!AQ201-Model!AL201)*-1</f>
        <v>0</v>
      </c>
      <c r="I38" s="106">
        <f>(Model!AV201-Model!AQ201)*-1</f>
        <v>0</v>
      </c>
      <c r="J38" s="106">
        <f>(Model!BA201-Model!AV201)*-1</f>
        <v>0</v>
      </c>
      <c r="K38" s="106">
        <f>(Model!BF201-Model!BA201)*-1</f>
        <v>0</v>
      </c>
      <c r="L38" s="107">
        <f>(Model!BK201-Model!BF201)*-1</f>
        <v>0</v>
      </c>
      <c r="M38">
        <f>(Model!BP201-Model!BK201)*-1</f>
        <v>0</v>
      </c>
      <c r="N38">
        <f>(Model!BU201-Model!BP201)*-1</f>
        <v>0</v>
      </c>
      <c r="O38">
        <f>(Model!BZ201-Model!BU201)*-1</f>
        <v>0</v>
      </c>
      <c r="P38">
        <f>(Model!CE201-Model!BZ201)*-1</f>
        <v>0</v>
      </c>
      <c r="Q38">
        <f>(Model!CJ201-Model!CE201)*-1</f>
        <v>0</v>
      </c>
      <c r="R38">
        <f>(Model!CO201-Model!CJ201)*-1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Model!W252-Model!R252</f>
        <v>-947.785</v>
      </c>
      <c r="E39" s="106">
        <f>Model!AB252-Model!W252</f>
        <v>50.6299999999999</v>
      </c>
      <c r="F39" s="106">
        <f>Model!AG252-Model!AB252</f>
        <v>713.816</v>
      </c>
      <c r="G39" s="106">
        <f>Model!AL252-Model!AG252</f>
        <v>413.269</v>
      </c>
      <c r="H39" s="106">
        <f>Model!AQ252-Model!AL252</f>
        <v>0</v>
      </c>
      <c r="I39" s="106">
        <f>Model!AV252-Model!AQ252</f>
        <v>0</v>
      </c>
      <c r="J39" s="106">
        <f>Model!BA252-Model!AV252</f>
        <v>0</v>
      </c>
      <c r="K39" s="106">
        <f>Model!BF252-Model!BA252</f>
        <v>0</v>
      </c>
      <c r="L39" s="107">
        <f>Model!BK252-Model!BF252</f>
        <v>0</v>
      </c>
      <c r="M39">
        <f>Model!BP252-Model!BK252</f>
        <v>0</v>
      </c>
      <c r="N39">
        <f>Model!BU252-Model!BP252</f>
        <v>0</v>
      </c>
      <c r="O39">
        <f>Model!BZ252-Model!BU252</f>
        <v>0</v>
      </c>
      <c r="P39">
        <f>Model!CE252-Model!BZ252</f>
        <v>0</v>
      </c>
      <c r="Q39">
        <f>Model!CJ252-Model!CE252</f>
        <v>0</v>
      </c>
      <c r="R39">
        <f>Model!CO252-Model!CJ252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-572.516999999999</v>
      </c>
      <c r="E44" s="103">
        <f>SUM(E27+E40+E41+E42+E26)</f>
        <v>-2637.438</v>
      </c>
      <c r="F44" s="103">
        <f>SUM(F27+F40+F41+F42+F26)</f>
        <v>547.912757400001</v>
      </c>
      <c r="G44" s="103">
        <f>SUM(G27+G40+G41+G42+G26)</f>
        <v>-5917.7865428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Model!W362</f>
        <v>15664.202</v>
      </c>
      <c r="E46" s="106">
        <f>Model!AB362</f>
        <v>19041.543</v>
      </c>
      <c r="F46" s="106">
        <f>Model!AG362</f>
        <v>18554.859</v>
      </c>
      <c r="G46" s="106">
        <f>Model!AL362</f>
        <v>23773.521</v>
      </c>
      <c r="H46" s="106" t="e">
        <f>Model!AQ362</f>
        <v>#DIV/0!</v>
      </c>
      <c r="I46" s="106" t="e">
        <f>Model!AV362</f>
        <v>#DIV/0!</v>
      </c>
      <c r="J46" s="106" t="e">
        <f>Model!BA362</f>
        <v>#DIV/0!</v>
      </c>
      <c r="K46" s="106" t="e">
        <f>Model!BF362</f>
        <v>#DIV/0!</v>
      </c>
      <c r="L46" s="106" t="e">
        <f>Model!BK362</f>
        <v>#DIV/0!</v>
      </c>
      <c r="M46" s="115" t="e">
        <f>Model!BP362</f>
        <v>#DIV/0!</v>
      </c>
      <c r="N46" s="115" t="e">
        <f>Model!BU362</f>
        <v>#DIV/0!</v>
      </c>
      <c r="O46" s="115" t="e">
        <f>Model!BZ362</f>
        <v>#DIV/0!</v>
      </c>
      <c r="P46" s="115" t="e">
        <f>Model!CE362</f>
        <v>#DIV/0!</v>
      </c>
      <c r="Q46" s="115" t="e">
        <f>Model!CJ362</f>
        <v>#DIV/0!</v>
      </c>
      <c r="R46" s="115" t="e">
        <f>Model!CO362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Model!W363</f>
        <v>15664.202</v>
      </c>
      <c r="E47" s="106">
        <f>Model!AB363</f>
        <v>19041.543</v>
      </c>
      <c r="F47" s="106">
        <f>Model!AG363</f>
        <v>18554.859</v>
      </c>
      <c r="G47" s="106">
        <f>Model!AL363</f>
        <v>23773.521</v>
      </c>
      <c r="H47" s="106" t="e">
        <f>Model!AQ363</f>
        <v>#DIV/0!</v>
      </c>
      <c r="I47" s="106" t="e">
        <f>Model!AV363</f>
        <v>#DIV/0!</v>
      </c>
      <c r="J47" s="106" t="e">
        <f>Model!BA363</f>
        <v>#DIV/0!</v>
      </c>
      <c r="K47" s="106" t="e">
        <f>Model!BF363</f>
        <v>#DIV/0!</v>
      </c>
      <c r="L47" s="106" t="e">
        <f>Model!BK363</f>
        <v>#DIV/0!</v>
      </c>
      <c r="M47" t="e">
        <f>Model!BP363</f>
        <v>#DIV/0!</v>
      </c>
      <c r="N47" t="e">
        <f>Model!BU363</f>
        <v>#DIV/0!</v>
      </c>
      <c r="O47" t="e">
        <f>Model!BZ363</f>
        <v>#DIV/0!</v>
      </c>
      <c r="P47" t="e">
        <f>Model!CE363</f>
        <v>#DIV/0!</v>
      </c>
      <c r="Q47" t="e">
        <f>Model!CJ363</f>
        <v>#DIV/0!</v>
      </c>
      <c r="R47" t="e">
        <f>Model!CO363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1.51461813917483</v>
      </c>
      <c r="E48" s="92">
        <f>E46/E18</f>
        <v>1.41244419758345</v>
      </c>
      <c r="F48" s="92">
        <f>F46/F18</f>
        <v>1.26463939809686</v>
      </c>
      <c r="G48" s="92">
        <f>G46/G18</f>
        <v>1.58794036561225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0.0807930505821358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0.660232420393966</v>
      </c>
      <c r="E51" s="124">
        <f>E18/E46</f>
        <v>0.707992571820467</v>
      </c>
      <c r="F51" s="124">
        <f>F18/F46</f>
        <v>0.790739242747688</v>
      </c>
      <c r="G51" s="124">
        <f>G18/G46</f>
        <v>0.629746570876065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408.69960014412</v>
      </c>
      <c r="E53" s="125">
        <f>E25+E44</f>
        <v>-677.874559041969</v>
      </c>
      <c r="F53" s="125">
        <f>F25+F44</f>
        <v>3530.16230300456</v>
      </c>
      <c r="G53" s="126">
        <f>(G25+G44)*stub_year_fraction</f>
        <v>-1095.19827838906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0.0841117026990977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2026-10-12T14:24:58Z</dcterms:modified>
  <cp:lastModifiedBy>Lucas Nascimento</cp:lastModifiedBy>
</cp:coreProperties>
</file>