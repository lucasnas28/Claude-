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ontrol" sheetId="5" state="visible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>Valuation!$D$93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owLevel" hidden="1">1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0.0&quot;x&quot;"/>
    <numFmt numFmtId="193" formatCode="#,##0.0;\(#,##0.0\)"/>
    <numFmt numFmtId="194" formatCode="_(* #,##0.00_);_(* \(#,##0.00\);_(* \-??_);_(@_)"/>
    <numFmt numFmtId="195" formatCode="_(* #,##0_);_(* \(#,##0\);_(* \-_);_(@_)"/>
    <numFmt numFmtId="196" formatCode="_(\$* #,##0.00_);_(\$* \(#,##0.00\);_(\$* \-??_);_(@_)"/>
    <numFmt numFmtId="197" formatCode="_(\$* #,##0_);_(\$* \(#,##0\);_(\$* \-_);_(@_)"/>
    <numFmt numFmtId="198" formatCode="m/d/yyyy"/>
    <numFmt numFmtId="199" formatCode="0_);\(0\)"/>
    <numFmt numFmtId="200" formatCode="#,##0.0;(#,##0.0)"/>
    <numFmt numFmtId="201" formatCode="dd/mm/yyyy"/>
  </numFmts>
  <fonts count="26">
    <font>
      <name val="Arial"/>
      <family val="2"/>
      <sz val="10"/>
    </font>
    <font>
      <name val="Arial"/>
      <charset val="1"/>
      <sz val="10"/>
    </font>
    <font>
      <name val="Arial"/>
      <charset val="1"/>
      <b val="1"/>
      <sz val="8"/>
    </font>
    <font>
      <name val="Aptos Narrow"/>
      <charset val="1"/>
      <color theme="1"/>
      <sz val="11"/>
    </font>
    <font>
      <name val="Verdana"/>
      <charset val="1"/>
      <color theme="1"/>
      <sz val="10"/>
    </font>
    <font>
      <name val="Arial"/>
      <charset val="1"/>
      <sz val="8"/>
    </font>
    <font>
      <name val="Arial"/>
      <charset val="1"/>
      <b val="1"/>
      <color rgb="FF333333"/>
      <sz val="10"/>
    </font>
    <font>
      <name val="Calibri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7365D"/>
      <sz val="11"/>
    </font>
    <font>
      <name val="Verdana"/>
      <charset val="1"/>
      <color rgb="FF0000FF"/>
      <sz val="10"/>
    </font>
    <font>
      <name val="Verdana"/>
      <charset val="1"/>
      <b val="1"/>
      <color theme="1"/>
      <sz val="10"/>
    </font>
    <font>
      <name val="Verdana"/>
      <charset val="1"/>
      <b val="1"/>
      <color rgb="FFFFFFFF"/>
      <sz val="10"/>
    </font>
    <font>
      <name val="Verdana"/>
      <charset val="1"/>
      <i val="1"/>
      <color theme="1"/>
      <sz val="10"/>
    </font>
    <font>
      <name val="Verdana"/>
      <charset val="1"/>
      <sz val="10"/>
    </font>
    <font>
      <name val="Verdana"/>
      <charset val="1"/>
      <b val="1"/>
      <color theme="0"/>
      <sz val="10"/>
    </font>
    <font>
      <name val="Verdana"/>
      <charset val="1"/>
      <b val="1"/>
      <sz val="10"/>
    </font>
    <font>
      <name val="Verdana"/>
      <charset val="1"/>
      <b val="1"/>
      <color theme="0" tint="-0.0499893185216834"/>
      <sz val="10"/>
    </font>
    <font>
      <name val="Verdana"/>
      <charset val="1"/>
      <b val="1"/>
      <color rgb="FF333333"/>
      <sz val="10"/>
    </font>
    <font>
      <name val="Verdana"/>
      <charset val="1"/>
      <b val="1"/>
      <color rgb="FF0000FF"/>
      <sz val="10"/>
    </font>
    <font>
      <name val="Verdana"/>
      <charset val="1"/>
      <color rgb="FF008000"/>
      <sz val="10"/>
    </font>
    <font>
      <name val="Cambria"/>
      <charset val="1"/>
      <b val="1"/>
      <color rgb="FFFFFFFF"/>
      <sz val="14"/>
    </font>
    <font>
      <name val="Cambria"/>
      <charset val="1"/>
      <color rgb="FF0000FF"/>
      <sz val="11"/>
    </font>
    <font>
      <name val="Verdana"/>
      <family val="2"/>
      <b val="1"/>
      <color rgb="FFFFFFFF"/>
      <sz val="10"/>
    </font>
    <font>
      <name val="Verdana"/>
      <family val="2"/>
      <b val="1"/>
      <color theme="1"/>
      <sz val="10"/>
    </font>
    <font>
      <name val="Verdana"/>
      <b val="1"/>
      <sz val="10"/>
    </font>
  </fonts>
  <fills count="18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"/>
        <bgColor rgb="FF00CCFF"/>
      </patternFill>
    </fill>
    <fill>
      <patternFill patternType="solid">
        <fgColor theme="0" tint="-0.0499893185216834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00B050"/>
        <bgColor rgb="FF00B050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7" fontId="1" fillId="0" borderId="0"/>
    <xf numFmtId="197" fontId="1" fillId="0" borderId="0"/>
    <xf numFmtId="197" fontId="1" fillId="0" borderId="0"/>
    <xf numFmtId="197" fontId="1" fillId="0" borderId="0"/>
    <xf numFmtId="198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9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4" fontId="7" fillId="0" borderId="0"/>
  </cellStyleXfs>
  <cellXfs count="279">
    <xf numFmtId="0" fontId="0" fillId="0" borderId="0" pivotButton="0" quotePrefix="0" xfId="0"/>
    <xf numFmtId="0" fontId="8" fillId="3" borderId="0" pivotButton="0" quotePrefix="0" xfId="24"/>
    <xf numFmtId="0" fontId="9" fillId="4" borderId="0" pivotButton="0" quotePrefix="0" xfId="24"/>
    <xf numFmtId="0" fontId="4" fillId="0" borderId="0" applyAlignment="1" pivotButton="0" quotePrefix="0" xfId="24">
      <alignment horizontal="center"/>
    </xf>
    <xf numFmtId="0" fontId="4" fillId="0" borderId="0" pivotButton="0" quotePrefix="0" xfId="24"/>
    <xf numFmtId="0" fontId="8" fillId="3" borderId="0" applyAlignment="1" pivotButton="0" quotePrefix="0" xfId="24">
      <alignment horizontal="center"/>
    </xf>
    <xf numFmtId="0" fontId="8" fillId="3" borderId="0" applyAlignment="1" pivotButton="0" quotePrefix="0" xfId="21">
      <alignment horizontal="center"/>
    </xf>
    <xf numFmtId="164" fontId="8" fillId="3" borderId="0" applyAlignment="1" pivotButton="0" quotePrefix="0" xfId="21">
      <alignment horizontal="center"/>
    </xf>
    <xf numFmtId="0" fontId="3" fillId="5" borderId="0" pivotButton="0" quotePrefix="0" xfId="24"/>
    <xf numFmtId="165" fontId="10" fillId="6" borderId="0" applyAlignment="1" pivotButton="0" quotePrefix="0" xfId="24">
      <alignment horizontal="center"/>
    </xf>
    <xf numFmtId="0" fontId="4" fillId="7" borderId="0" pivotButton="0" quotePrefix="0" xfId="20"/>
    <xf numFmtId="166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/>
    </xf>
    <xf numFmtId="167" fontId="4" fillId="7" borderId="0" applyAlignment="1" pivotButton="0" quotePrefix="0" xfId="20">
      <alignment horizontal="left"/>
    </xf>
    <xf numFmtId="0" fontId="4" fillId="7" borderId="0" applyAlignment="1" pivotButton="0" quotePrefix="0" xfId="20">
      <alignment horizontal="left"/>
    </xf>
    <xf numFmtId="0" fontId="4" fillId="7" borderId="1" applyAlignment="1" pivotButton="0" quotePrefix="0" xfId="20">
      <alignment horizontal="left"/>
    </xf>
    <xf numFmtId="166" fontId="4" fillId="0" borderId="0" pivotButton="0" quotePrefix="0" xfId="24"/>
    <xf numFmtId="0" fontId="11" fillId="0" borderId="0" pivotButton="0" quotePrefix="0" xfId="20"/>
    <xf numFmtId="0" fontId="4" fillId="0" borderId="0" pivotButton="0" quotePrefix="0" xfId="20"/>
    <xf numFmtId="168" fontId="10" fillId="6" borderId="0" applyAlignment="1" pivotButton="0" quotePrefix="0" xfId="24">
      <alignment horizontal="center"/>
    </xf>
    <xf numFmtId="169" fontId="10" fillId="6" borderId="0" applyAlignment="1" pivotButton="0" quotePrefix="0" xfId="21">
      <alignment horizontal="center"/>
    </xf>
    <xf numFmtId="170" fontId="4" fillId="7" borderId="0" applyAlignment="1" pivotButton="0" quotePrefix="0" xfId="21">
      <alignment horizontal="center"/>
    </xf>
    <xf numFmtId="170" fontId="11" fillId="7" borderId="0" applyAlignment="1" pivotButton="0" quotePrefix="0" xfId="21">
      <alignment horizontal="center"/>
    </xf>
    <xf numFmtId="168" fontId="10" fillId="0" borderId="0" applyAlignment="1" pivotButton="0" quotePrefix="0" xfId="24">
      <alignment horizontal="center"/>
    </xf>
    <xf numFmtId="164" fontId="4" fillId="0" borderId="0" applyAlignment="1" pivotButton="0" quotePrefix="0" xfId="21">
      <alignment horizontal="center"/>
    </xf>
    <xf numFmtId="0" fontId="4" fillId="0" borderId="0" applyAlignment="1" pivotButton="0" quotePrefix="0" xfId="21">
      <alignment horizontal="center"/>
    </xf>
    <xf numFmtId="0" fontId="11" fillId="8" borderId="0" applyAlignment="1" pivotButton="0" quotePrefix="0" xfId="21">
      <alignment horizontal="center"/>
    </xf>
    <xf numFmtId="10" fontId="11" fillId="0" borderId="0" applyAlignment="1" pivotButton="0" quotePrefix="0" xfId="30">
      <alignment horizontal="center"/>
    </xf>
    <xf numFmtId="0" fontId="11" fillId="0" borderId="0" applyAlignment="1" pivotButton="0" quotePrefix="0" xfId="21">
      <alignment horizontal="center"/>
    </xf>
    <xf numFmtId="10" fontId="11" fillId="0" borderId="0" applyAlignment="1" pivotButton="0" quotePrefix="0" xfId="21">
      <alignment horizontal="center"/>
    </xf>
    <xf numFmtId="0" fontId="11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left"/>
    </xf>
    <xf numFmtId="0" fontId="11" fillId="0" borderId="0" pivotButton="0" quotePrefix="0" xfId="24"/>
    <xf numFmtId="0" fontId="11" fillId="7" borderId="0" pivotButton="0" quotePrefix="0" xfId="20"/>
    <xf numFmtId="166" fontId="11" fillId="7" borderId="0" applyAlignment="1" pivotButton="0" quotePrefix="0" xfId="24">
      <alignment horizontal="center"/>
    </xf>
    <xf numFmtId="166" fontId="11" fillId="0" borderId="0" applyAlignment="1" pivotButton="0" quotePrefix="0" xfId="24">
      <alignment horizontal="center"/>
    </xf>
    <xf numFmtId="0" fontId="11" fillId="10" borderId="0" applyAlignment="1" pivotButton="0" quotePrefix="0" xfId="24">
      <alignment horizontal="center"/>
    </xf>
    <xf numFmtId="0" fontId="4" fillId="10" borderId="0" applyAlignment="1" pivotButton="0" quotePrefix="0" xfId="24">
      <alignment horizontal="center"/>
    </xf>
    <xf numFmtId="171" fontId="4" fillId="10" borderId="0" pivotButton="0" quotePrefix="0" xfId="20"/>
    <xf numFmtId="166" fontId="11" fillId="10" borderId="0" applyAlignment="1" pivotButton="0" quotePrefix="0" xfId="24">
      <alignment horizontal="center"/>
    </xf>
    <xf numFmtId="9" fontId="4" fillId="10" borderId="0" applyAlignment="1" pivotButton="0" quotePrefix="0" xfId="30">
      <alignment horizontal="center"/>
    </xf>
    <xf numFmtId="10" fontId="10" fillId="6" borderId="0" applyAlignment="1" pivotButton="0" quotePrefix="0" xfId="24">
      <alignment horizontal="center"/>
    </xf>
    <xf numFmtId="166" fontId="4" fillId="10" borderId="0" applyAlignment="1" pivotButton="0" quotePrefix="0" xfId="24">
      <alignment horizontal="center"/>
    </xf>
    <xf numFmtId="0" fontId="11" fillId="10" borderId="0" pivotButton="0" quotePrefix="0" xfId="24"/>
    <xf numFmtId="171" fontId="13" fillId="10" borderId="0" pivotButton="0" quotePrefix="0" xfId="20"/>
    <xf numFmtId="0" fontId="11" fillId="10" borderId="0" pivotButton="0" quotePrefix="0" xfId="20"/>
    <xf numFmtId="166" fontId="4" fillId="7" borderId="0" applyAlignment="1" pivotButton="0" quotePrefix="0" xfId="24">
      <alignment horizontal="center"/>
    </xf>
    <xf numFmtId="171" fontId="4" fillId="10" borderId="0" applyAlignment="1" pivotButton="0" quotePrefix="0" xfId="20">
      <alignment horizontal="left"/>
    </xf>
    <xf numFmtId="171" fontId="4" fillId="10" borderId="0" applyAlignment="1" pivotButton="0" quotePrefix="0" xfId="30">
      <alignment horizontal="center"/>
    </xf>
    <xf numFmtId="171" fontId="10" fillId="6" borderId="0" applyAlignment="1" pivotButton="0" quotePrefix="0" xfId="30">
      <alignment horizontal="center"/>
    </xf>
    <xf numFmtId="167" fontId="4" fillId="0" borderId="0" applyAlignment="1" pivotButton="0" quotePrefix="0" xfId="20">
      <alignment horizontal="left"/>
    </xf>
    <xf numFmtId="171" fontId="4" fillId="0" borderId="0" applyAlignment="1" pivotButton="0" quotePrefix="0" xfId="30">
      <alignment horizontal="center"/>
    </xf>
    <xf numFmtId="171" fontId="10" fillId="6" borderId="0" applyAlignment="1" pivotButton="0" quotePrefix="0" xfId="24">
      <alignment horizontal="center"/>
    </xf>
    <xf numFmtId="9" fontId="4" fillId="0" borderId="0" applyAlignment="1" pivotButton="0" quotePrefix="0" xfId="30">
      <alignment horizontal="center"/>
    </xf>
    <xf numFmtId="9" fontId="4" fillId="0" borderId="0" applyAlignment="1" pivotButton="0" quotePrefix="0" xfId="30">
      <alignment horizontal="left"/>
    </xf>
    <xf numFmtId="9" fontId="10" fillId="6" borderId="0" applyAlignment="1" pivotButton="0" quotePrefix="0" xfId="30">
      <alignment horizontal="center"/>
    </xf>
    <xf numFmtId="9" fontId="4" fillId="0" borderId="0" pivotButton="0" quotePrefix="0" xfId="30"/>
    <xf numFmtId="0" fontId="4" fillId="0" borderId="0" applyAlignment="1" pivotButton="0" quotePrefix="0" xfId="20">
      <alignment horizontal="left"/>
    </xf>
    <xf numFmtId="171" fontId="4" fillId="0" borderId="0" applyAlignment="1" pivotButton="0" quotePrefix="0" xfId="24">
      <alignment horizontal="center"/>
    </xf>
    <xf numFmtId="0" fontId="4" fillId="10" borderId="0" applyAlignment="1" pivotButton="0" quotePrefix="0" xfId="20">
      <alignment horizontal="left"/>
    </xf>
    <xf numFmtId="0" fontId="14" fillId="10" borderId="0" applyAlignment="1" pivotButton="0" quotePrefix="0" xfId="20">
      <alignment horizontal="left"/>
    </xf>
    <xf numFmtId="166" fontId="14" fillId="10" borderId="0" applyAlignment="1" pivotButton="0" quotePrefix="0" xfId="24">
      <alignment horizontal="center"/>
    </xf>
    <xf numFmtId="164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horizontal="center"/>
    </xf>
    <xf numFmtId="0" fontId="11" fillId="7" borderId="0" applyAlignment="1" pivotButton="0" quotePrefix="0" xfId="20">
      <alignment horizontal="left"/>
    </xf>
    <xf numFmtId="0" fontId="4" fillId="10" borderId="0" pivotButton="0" quotePrefix="0" xfId="24"/>
    <xf numFmtId="167" fontId="4" fillId="10" borderId="0" applyAlignment="1" pivotButton="0" quotePrefix="0" xfId="20">
      <alignment horizontal="left"/>
    </xf>
    <xf numFmtId="173" fontId="4" fillId="0" borderId="0" applyAlignment="1" pivotButton="0" quotePrefix="0" xfId="24">
      <alignment horizontal="center"/>
    </xf>
    <xf numFmtId="165" fontId="4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center"/>
    </xf>
    <xf numFmtId="0" fontId="4" fillId="7" borderId="1" pivotButton="0" quotePrefix="0" xfId="20"/>
    <xf numFmtId="172" fontId="4" fillId="0" borderId="0" pivotButton="0" quotePrefix="0" xfId="24"/>
    <xf numFmtId="0" fontId="15" fillId="11" borderId="0" pivotButton="0" quotePrefix="0" xfId="24"/>
    <xf numFmtId="0" fontId="11" fillId="0" borderId="0" applyAlignment="1" pivotButton="0" quotePrefix="0" xfId="24">
      <alignment vertical="center"/>
    </xf>
    <xf numFmtId="0" fontId="11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vertical="center"/>
    </xf>
    <xf numFmtId="9" fontId="4" fillId="0" borderId="0" applyAlignment="1" pivotButton="0" quotePrefix="0" xfId="30">
      <alignment vertical="center"/>
    </xf>
    <xf numFmtId="9" fontId="4" fillId="0" borderId="0" applyAlignment="1" pivotButton="0" quotePrefix="0" xfId="30">
      <alignment horizontal="center" vertical="center"/>
    </xf>
    <xf numFmtId="171" fontId="4" fillId="0" borderId="0" applyAlignment="1" pivotButton="0" quotePrefix="0" xfId="24">
      <alignment horizontal="center" vertical="center"/>
    </xf>
    <xf numFmtId="171" fontId="4" fillId="0" borderId="0" applyAlignment="1" pivotButton="0" quotePrefix="0" xfId="30">
      <alignment horizontal="center" vertical="center"/>
    </xf>
    <xf numFmtId="174" fontId="4" fillId="0" borderId="0" applyAlignment="1" pivotButton="0" quotePrefix="0" xfId="24">
      <alignment horizontal="center" vertical="center"/>
    </xf>
    <xf numFmtId="174" fontId="4" fillId="0" borderId="0" applyAlignment="1" pivotButton="0" quotePrefix="0" xfId="24">
      <alignment vertical="center"/>
    </xf>
    <xf numFmtId="171" fontId="4" fillId="0" borderId="0" applyAlignment="1" pivotButton="0" quotePrefix="0" xfId="30">
      <alignment vertical="center"/>
    </xf>
    <xf numFmtId="175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vertical="center"/>
    </xf>
    <xf numFmtId="172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horizontal="right" vertical="center"/>
    </xf>
    <xf numFmtId="0" fontId="14" fillId="0" borderId="0" pivotButton="0" quotePrefix="0" xfId="22"/>
    <xf numFmtId="0" fontId="12" fillId="0" borderId="0" pivotButton="0" quotePrefix="0" xfId="22"/>
    <xf numFmtId="0" fontId="14" fillId="0" borderId="3" pivotButton="0" quotePrefix="0" xfId="22"/>
    <xf numFmtId="176" fontId="10" fillId="6" borderId="4" applyAlignment="1" pivotButton="0" quotePrefix="0" xfId="18">
      <alignment horizontal="center"/>
    </xf>
    <xf numFmtId="177" fontId="10" fillId="6" borderId="0" applyAlignment="1" pivotButton="0" quotePrefix="0" xfId="22">
      <alignment horizontal="center"/>
    </xf>
    <xf numFmtId="171" fontId="14" fillId="0" borderId="0" applyAlignment="1" pivotButton="0" quotePrefix="0" xfId="22">
      <alignment horizontal="right"/>
    </xf>
    <xf numFmtId="176" fontId="10" fillId="6" borderId="4" applyAlignment="1" pivotButton="0" quotePrefix="0" xfId="18">
      <alignment horizontal="right"/>
    </xf>
    <xf numFmtId="171" fontId="14" fillId="0" borderId="0" applyAlignment="1" pivotButton="0" quotePrefix="0" xfId="22">
      <alignment horizontal="center"/>
    </xf>
    <xf numFmtId="178" fontId="10" fillId="0" borderId="0" applyAlignment="1" pivotButton="0" quotePrefix="0" xfId="22">
      <alignment horizontal="center"/>
    </xf>
    <xf numFmtId="179" fontId="14" fillId="0" borderId="0" applyAlignment="1" pivotButton="0" quotePrefix="0" xfId="22">
      <alignment horizontal="center"/>
    </xf>
    <xf numFmtId="0" fontId="16" fillId="0" borderId="0" pivotButton="0" quotePrefix="0" xfId="22"/>
    <xf numFmtId="180" fontId="14" fillId="0" borderId="0" pivotButton="0" quotePrefix="0" xfId="22"/>
    <xf numFmtId="0" fontId="11" fillId="7" borderId="0" pivotButton="0" quotePrefix="0" xfId="22"/>
    <xf numFmtId="0" fontId="11" fillId="7" borderId="1" pivotButton="0" quotePrefix="0" xfId="22"/>
    <xf numFmtId="0" fontId="16" fillId="0" borderId="0" applyAlignment="1" pivotButton="0" quotePrefix="0" xfId="22">
      <alignment horizontal="center"/>
    </xf>
    <xf numFmtId="0" fontId="14" fillId="0" borderId="0" applyAlignment="1" pivotButton="0" quotePrefix="0" xfId="22">
      <alignment horizontal="center"/>
    </xf>
    <xf numFmtId="1" fontId="16" fillId="0" borderId="0" applyAlignment="1" pivotButton="0" quotePrefix="0" xfId="22">
      <alignment horizontal="center"/>
    </xf>
    <xf numFmtId="0" fontId="14" fillId="0" borderId="1" pivotButton="0" quotePrefix="0" xfId="22"/>
    <xf numFmtId="168" fontId="14" fillId="0" borderId="1" applyAlignment="1" pivotButton="0" quotePrefix="0" xfId="22">
      <alignment horizontal="center"/>
    </xf>
    <xf numFmtId="168" fontId="14" fillId="0" borderId="0" applyAlignment="1" pivotButton="0" quotePrefix="0" xfId="22">
      <alignment horizontal="center"/>
    </xf>
    <xf numFmtId="0" fontId="14" fillId="0" borderId="5" pivotButton="0" quotePrefix="0" xfId="22"/>
    <xf numFmtId="178" fontId="14" fillId="12" borderId="6" applyAlignment="1" pivotButton="0" quotePrefix="0" xfId="22">
      <alignment horizontal="center"/>
    </xf>
    <xf numFmtId="178" fontId="14" fillId="12" borderId="7" applyAlignment="1" pivotButton="0" quotePrefix="0" xfId="22">
      <alignment horizontal="center"/>
    </xf>
    <xf numFmtId="171" fontId="16" fillId="0" borderId="0" applyAlignment="1" pivotButton="0" quotePrefix="0" xfId="33">
      <alignment horizontal="center"/>
    </xf>
    <xf numFmtId="0" fontId="14" fillId="0" borderId="8" pivotButton="0" quotePrefix="0" xfId="22"/>
    <xf numFmtId="171" fontId="16" fillId="0" borderId="1" applyAlignment="1" pivotButton="0" quotePrefix="0" xfId="33">
      <alignment horizontal="center"/>
    </xf>
    <xf numFmtId="171" fontId="16" fillId="0" borderId="9" applyAlignment="1" pivotButton="0" quotePrefix="0" xfId="33">
      <alignment horizontal="center"/>
    </xf>
    <xf numFmtId="178" fontId="14" fillId="0" borderId="5" pivotButton="0" quotePrefix="0" xfId="22"/>
    <xf numFmtId="0" fontId="14" fillId="0" borderId="6" pivotButton="0" quotePrefix="0" xfId="22"/>
    <xf numFmtId="0" fontId="14" fillId="0" borderId="7" pivotButton="0" quotePrefix="0" xfId="22"/>
    <xf numFmtId="171" fontId="14" fillId="0" borderId="1" applyAlignment="1" pivotButton="0" quotePrefix="0" xfId="33">
      <alignment horizontal="center"/>
    </xf>
    <xf numFmtId="0" fontId="14" fillId="0" borderId="9" pivotButton="0" quotePrefix="0" xfId="22"/>
    <xf numFmtId="171" fontId="14" fillId="0" borderId="9" applyAlignment="1" pivotButton="0" quotePrefix="0" xfId="33">
      <alignment horizontal="center"/>
    </xf>
    <xf numFmtId="171" fontId="14" fillId="12" borderId="6" applyAlignment="1" pivotButton="0" quotePrefix="0" xfId="22">
      <alignment horizontal="center"/>
    </xf>
    <xf numFmtId="171" fontId="14" fillId="12" borderId="7" applyAlignment="1" pivotButton="0" quotePrefix="0" xfId="22">
      <alignment horizontal="center"/>
    </xf>
    <xf numFmtId="178" fontId="14" fillId="0" borderId="1" applyAlignment="1" pivotButton="0" quotePrefix="0" xfId="22">
      <alignment horizontal="center"/>
    </xf>
    <xf numFmtId="178" fontId="14" fillId="0" borderId="9" applyAlignment="1" pivotButton="0" quotePrefix="0" xfId="22">
      <alignment horizontal="center"/>
    </xf>
    <xf numFmtId="178" fontId="14" fillId="0" borderId="10" applyAlignment="1" pivotButton="0" quotePrefix="0" xfId="22">
      <alignment horizontal="left"/>
    </xf>
    <xf numFmtId="178" fontId="14" fillId="12" borderId="11" applyAlignment="1" pivotButton="0" quotePrefix="0" xfId="22">
      <alignment horizontal="center"/>
    </xf>
    <xf numFmtId="178" fontId="14" fillId="12" borderId="12" applyAlignment="1" pivotButton="0" quotePrefix="0" xfId="22">
      <alignment horizontal="center"/>
    </xf>
    <xf numFmtId="178" fontId="14" fillId="0" borderId="5" applyAlignment="1" pivotButton="0" quotePrefix="0" xfId="22">
      <alignment horizontal="left"/>
    </xf>
    <xf numFmtId="178" fontId="14" fillId="0" borderId="6" applyAlignment="1" pivotButton="0" quotePrefix="0" xfId="22">
      <alignment horizontal="center"/>
    </xf>
    <xf numFmtId="178" fontId="14" fillId="0" borderId="7" applyAlignment="1" pivotButton="0" quotePrefix="0" xfId="22">
      <alignment horizontal="center"/>
    </xf>
    <xf numFmtId="178" fontId="14" fillId="0" borderId="13" applyAlignment="1" pivotButton="0" quotePrefix="0" xfId="22">
      <alignment horizontal="left"/>
    </xf>
    <xf numFmtId="178" fontId="14" fillId="12" borderId="0" applyAlignment="1" pivotButton="0" quotePrefix="0" xfId="22">
      <alignment horizontal="center"/>
    </xf>
    <xf numFmtId="178" fontId="14" fillId="12" borderId="14" applyAlignment="1" pivotButton="0" quotePrefix="0" xfId="22">
      <alignment horizontal="center"/>
    </xf>
    <xf numFmtId="178" fontId="14" fillId="0" borderId="8" applyAlignment="1" pivotButton="0" quotePrefix="0" xfId="22">
      <alignment horizontal="left"/>
    </xf>
    <xf numFmtId="178" fontId="14" fillId="12" borderId="1" applyAlignment="1" pivotButton="0" quotePrefix="0" xfId="22">
      <alignment horizontal="center"/>
    </xf>
    <xf numFmtId="178" fontId="14" fillId="12" borderId="9" applyAlignment="1" pivotButton="0" quotePrefix="0" xfId="22">
      <alignment horizontal="center"/>
    </xf>
    <xf numFmtId="178" fontId="14" fillId="0" borderId="0" applyAlignment="1" pivotButton="0" quotePrefix="0" xfId="22">
      <alignment horizontal="center"/>
    </xf>
    <xf numFmtId="178" fontId="14" fillId="0" borderId="15" applyAlignment="1" pivotButton="0" quotePrefix="0" xfId="22">
      <alignment horizontal="center"/>
    </xf>
    <xf numFmtId="0" fontId="14" fillId="0" borderId="13" pivotButton="0" quotePrefix="0" xfId="22"/>
    <xf numFmtId="0" fontId="14" fillId="0" borderId="14" pivotButton="0" quotePrefix="0" xfId="22"/>
    <xf numFmtId="178" fontId="4" fillId="0" borderId="0" applyAlignment="1" pivotButton="0" quotePrefix="0" xfId="22">
      <alignment horizontal="center"/>
    </xf>
    <xf numFmtId="178" fontId="4" fillId="0" borderId="14" applyAlignment="1" pivotButton="0" quotePrefix="0" xfId="22">
      <alignment horizontal="center"/>
    </xf>
    <xf numFmtId="171" fontId="10" fillId="6" borderId="1" applyAlignment="1" pivotButton="0" quotePrefix="0" xfId="33">
      <alignment horizontal="center"/>
    </xf>
    <xf numFmtId="171" fontId="10" fillId="6" borderId="9" applyAlignment="1" pivotButton="0" quotePrefix="0" xfId="33">
      <alignment horizontal="center"/>
    </xf>
    <xf numFmtId="0" fontId="16" fillId="0" borderId="10" pivotButton="0" quotePrefix="0" xfId="22"/>
    <xf numFmtId="171" fontId="16" fillId="12" borderId="11" applyAlignment="1" pivotButton="0" quotePrefix="0" xfId="22">
      <alignment horizontal="center"/>
    </xf>
    <xf numFmtId="171" fontId="16" fillId="0" borderId="11" applyAlignment="1" pivotButton="0" quotePrefix="0" xfId="33">
      <alignment horizontal="center"/>
    </xf>
    <xf numFmtId="171" fontId="16" fillId="0" borderId="12" applyAlignment="1" pivotButton="0" quotePrefix="0" xfId="33">
      <alignment horizontal="center"/>
    </xf>
    <xf numFmtId="171" fontId="16" fillId="0" borderId="0" applyAlignment="1" pivotButton="0" quotePrefix="0" xfId="22">
      <alignment horizontal="center"/>
    </xf>
    <xf numFmtId="181" fontId="14" fillId="0" borderId="0" applyAlignment="1" pivotButton="0" quotePrefix="0" xfId="23">
      <alignment horizontal="center" vertical="center"/>
    </xf>
    <xf numFmtId="178" fontId="16" fillId="0" borderId="0" applyAlignment="1" pivotButton="0" quotePrefix="0" xfId="22">
      <alignment horizontal="center"/>
    </xf>
    <xf numFmtId="178" fontId="18" fillId="2" borderId="2" applyAlignment="1" pivotButton="0" quotePrefix="0" xfId="28">
      <alignment horizontal="center"/>
    </xf>
    <xf numFmtId="0" fontId="14" fillId="0" borderId="0" applyAlignment="1" pivotButton="0" quotePrefix="0" xfId="22">
      <alignment horizontal="left"/>
    </xf>
    <xf numFmtId="173" fontId="14" fillId="0" borderId="0" applyAlignment="1" pivotButton="0" quotePrefix="0" xfId="22">
      <alignment horizontal="center"/>
    </xf>
    <xf numFmtId="173" fontId="18" fillId="2" borderId="2" applyAlignment="1" pivotButton="0" quotePrefix="0" xfId="28">
      <alignment horizontal="center"/>
    </xf>
    <xf numFmtId="10" fontId="14" fillId="0" borderId="0" pivotButton="0" quotePrefix="0" xfId="22"/>
    <xf numFmtId="178" fontId="16" fillId="0" borderId="0" pivotButton="0" quotePrefix="0" xfId="22"/>
    <xf numFmtId="179" fontId="14" fillId="0" borderId="0" pivotButton="0" quotePrefix="0" xfId="22"/>
    <xf numFmtId="0" fontId="11" fillId="7" borderId="5" pivotButton="0" quotePrefix="0" xfId="22"/>
    <xf numFmtId="171" fontId="4" fillId="7" borderId="7" applyAlignment="1" pivotButton="0" quotePrefix="0" xfId="22">
      <alignment horizontal="center"/>
    </xf>
    <xf numFmtId="0" fontId="11" fillId="7" borderId="6" pivotButton="0" quotePrefix="0" xfId="22"/>
    <xf numFmtId="0" fontId="4" fillId="7" borderId="6" pivotButton="0" quotePrefix="0" xfId="22"/>
    <xf numFmtId="0" fontId="11" fillId="7" borderId="16" pivotButton="0" quotePrefix="0" xfId="22"/>
    <xf numFmtId="171" fontId="4" fillId="7" borderId="17" applyAlignment="1" pivotButton="0" quotePrefix="0" xfId="22">
      <alignment horizontal="center"/>
    </xf>
    <xf numFmtId="0" fontId="4" fillId="7" borderId="17" pivotButton="0" quotePrefix="0" xfId="22"/>
    <xf numFmtId="0" fontId="4" fillId="7" borderId="18" pivotButton="0" quotePrefix="0" xfId="22"/>
    <xf numFmtId="0" fontId="16" fillId="0" borderId="13" applyAlignment="1" pivotButton="0" quotePrefix="0" xfId="22">
      <alignment horizontal="left"/>
    </xf>
    <xf numFmtId="178" fontId="14" fillId="0" borderId="14" applyAlignment="1" pivotButton="0" quotePrefix="0" xfId="22">
      <alignment horizontal="right"/>
    </xf>
    <xf numFmtId="0" fontId="16" fillId="0" borderId="0" applyAlignment="1" pivotButton="0" quotePrefix="0" xfId="22">
      <alignment horizontal="left"/>
    </xf>
    <xf numFmtId="0" fontId="14" fillId="0" borderId="13" applyAlignment="1" pivotButton="0" quotePrefix="0" xfId="22">
      <alignment horizontal="left"/>
    </xf>
    <xf numFmtId="178" fontId="4" fillId="12" borderId="14" applyAlignment="1" pivotButton="0" quotePrefix="0" xfId="22">
      <alignment horizontal="center"/>
    </xf>
    <xf numFmtId="171" fontId="19" fillId="6" borderId="14" applyAlignment="1" pivotButton="0" quotePrefix="0" xfId="22">
      <alignment horizontal="center"/>
    </xf>
    <xf numFmtId="182" fontId="4" fillId="12" borderId="14" applyAlignment="1" pivotButton="0" quotePrefix="0" xfId="18">
      <alignment horizontal="center"/>
    </xf>
    <xf numFmtId="171" fontId="11" fillId="0" borderId="19" applyAlignment="1" pivotButton="0" quotePrefix="0" xfId="24">
      <alignment horizontal="center"/>
    </xf>
    <xf numFmtId="0" fontId="14" fillId="0" borderId="1" applyAlignment="1" pivotButton="0" quotePrefix="0" xfId="22">
      <alignment horizontal="left"/>
    </xf>
    <xf numFmtId="0" fontId="14" fillId="0" borderId="9" applyAlignment="1" pivotButton="0" quotePrefix="0" xfId="22">
      <alignment horizontal="right"/>
    </xf>
    <xf numFmtId="178" fontId="16" fillId="0" borderId="14" applyAlignment="1" pivotButton="0" quotePrefix="0" xfId="22">
      <alignment horizontal="center"/>
    </xf>
    <xf numFmtId="0" fontId="14" fillId="0" borderId="1" applyAlignment="1" pivotButton="0" quotePrefix="0" xfId="22">
      <alignment horizontal="right"/>
    </xf>
    <xf numFmtId="183" fontId="10" fillId="6" borderId="20" pivotButton="0" quotePrefix="0" xfId="22"/>
    <xf numFmtId="182" fontId="10" fillId="6" borderId="21" pivotButton="0" quotePrefix="0" xfId="10"/>
    <xf numFmtId="179" fontId="14" fillId="0" borderId="14" applyAlignment="1" pivotButton="0" quotePrefix="0" xfId="22">
      <alignment horizontal="right"/>
    </xf>
    <xf numFmtId="183" fontId="10" fillId="6" borderId="22" pivotButton="0" quotePrefix="0" xfId="22"/>
    <xf numFmtId="182" fontId="10" fillId="6" borderId="23" pivotButton="0" quotePrefix="0" xfId="10"/>
    <xf numFmtId="178" fontId="14" fillId="0" borderId="14" applyAlignment="1" pivotButton="0" quotePrefix="0" xfId="22">
      <alignment horizontal="center"/>
    </xf>
    <xf numFmtId="183" fontId="10" fillId="6" borderId="24" pivotButton="0" quotePrefix="0" xfId="22"/>
    <xf numFmtId="182" fontId="10" fillId="6" borderId="25" pivotButton="0" quotePrefix="0" xfId="10"/>
    <xf numFmtId="179" fontId="14" fillId="0" borderId="9" applyAlignment="1" pivotButton="0" quotePrefix="0" xfId="22">
      <alignment horizontal="right"/>
    </xf>
    <xf numFmtId="174" fontId="10" fillId="6" borderId="14" applyAlignment="1" pivotButton="0" quotePrefix="0" xfId="22">
      <alignment horizontal="center"/>
    </xf>
    <xf numFmtId="184" fontId="14" fillId="0" borderId="0" applyAlignment="1" pivotButton="0" quotePrefix="0" xfId="22">
      <alignment horizontal="right"/>
    </xf>
    <xf numFmtId="185" fontId="14" fillId="0" borderId="14" applyAlignment="1" pivotButton="0" quotePrefix="0" xfId="22">
      <alignment horizontal="right"/>
    </xf>
    <xf numFmtId="0" fontId="14" fillId="0" borderId="0" applyAlignment="1" pivotButton="0" quotePrefix="0" xfId="22">
      <alignment horizontal="right"/>
    </xf>
    <xf numFmtId="178" fontId="20" fillId="0" borderId="0" pivotButton="0" quotePrefix="0" xfId="22"/>
    <xf numFmtId="178" fontId="14" fillId="0" borderId="14" pivotButton="0" quotePrefix="0" xfId="22"/>
    <xf numFmtId="182" fontId="16" fillId="0" borderId="26" applyAlignment="1" pivotButton="0" quotePrefix="0" xfId="22">
      <alignment horizontal="center"/>
    </xf>
    <xf numFmtId="183" fontId="10" fillId="6" borderId="27" applyAlignment="1" pivotButton="0" quotePrefix="0" xfId="22">
      <alignment horizontal="right"/>
    </xf>
    <xf numFmtId="0" fontId="14" fillId="0" borderId="14" applyAlignment="1" pivotButton="0" quotePrefix="0" xfId="22">
      <alignment horizontal="right"/>
    </xf>
    <xf numFmtId="182" fontId="16" fillId="0" borderId="14" applyAlignment="1" pivotButton="0" quotePrefix="0" xfId="22">
      <alignment horizontal="center"/>
    </xf>
    <xf numFmtId="183" fontId="10" fillId="6" borderId="28" applyAlignment="1" pivotButton="0" quotePrefix="0" xfId="22">
      <alignment horizontal="right"/>
    </xf>
    <xf numFmtId="186" fontId="10" fillId="6" borderId="14" applyAlignment="1" pivotButton="0" quotePrefix="0" xfId="22">
      <alignment horizontal="right"/>
    </xf>
    <xf numFmtId="0" fontId="16" fillId="0" borderId="0" applyAlignment="1" pivotButton="0" quotePrefix="0" xfId="22">
      <alignment horizontal="right"/>
    </xf>
    <xf numFmtId="178" fontId="16" fillId="0" borderId="14" applyAlignment="1" pivotButton="0" quotePrefix="0" xfId="27">
      <alignment horizontal="right"/>
    </xf>
    <xf numFmtId="0" fontId="14" fillId="0" borderId="8" applyAlignment="1" pivotButton="0" quotePrefix="0" xfId="22">
      <alignment horizontal="left"/>
    </xf>
    <xf numFmtId="171" fontId="14" fillId="0" borderId="9" applyAlignment="1" pivotButton="0" quotePrefix="0" xfId="22">
      <alignment horizontal="right"/>
    </xf>
    <xf numFmtId="0" fontId="11" fillId="7" borderId="3" pivotButton="0" quotePrefix="0" xfId="22"/>
    <xf numFmtId="171" fontId="4" fillId="7" borderId="3" applyAlignment="1" pivotButton="0" quotePrefix="0" xfId="22">
      <alignment horizontal="center"/>
    </xf>
    <xf numFmtId="0" fontId="4" fillId="7" borderId="3" pivotButton="0" quotePrefix="0" xfId="22"/>
    <xf numFmtId="0" fontId="16" fillId="0" borderId="1" pivotButton="0" quotePrefix="0" xfId="22"/>
    <xf numFmtId="171" fontId="10" fillId="6" borderId="0" applyAlignment="1" pivotButton="0" quotePrefix="0" xfId="22">
      <alignment horizontal="center"/>
    </xf>
    <xf numFmtId="0" fontId="14" fillId="0" borderId="11" applyAlignment="1" pivotButton="0" quotePrefix="0" xfId="22">
      <alignment horizontal="right"/>
    </xf>
    <xf numFmtId="178" fontId="14" fillId="0" borderId="0" pivotButton="0" quotePrefix="0" xfId="22"/>
    <xf numFmtId="9" fontId="14" fillId="0" borderId="0" pivotButton="0" quotePrefix="0" xfId="22"/>
    <xf numFmtId="187" fontId="14" fillId="0" borderId="0" applyAlignment="1" pivotButton="0" quotePrefix="0" xfId="22">
      <alignment horizontal="center"/>
    </xf>
    <xf numFmtId="178" fontId="14" fillId="0" borderId="0" applyAlignment="1" pivotButton="0" quotePrefix="0" xfId="22">
      <alignment horizontal="right"/>
    </xf>
    <xf numFmtId="188" fontId="14" fillId="0" borderId="0" pivotButton="0" quotePrefix="0" xfId="22"/>
    <xf numFmtId="189" fontId="10" fillId="6" borderId="0" applyAlignment="1" pivotButton="0" quotePrefix="0" xfId="22">
      <alignment horizontal="center"/>
    </xf>
    <xf numFmtId="0" fontId="16" fillId="0" borderId="1" applyAlignment="1" pivotButton="0" quotePrefix="0" xfId="22">
      <alignment horizontal="left" wrapText="1"/>
    </xf>
    <xf numFmtId="0" fontId="16" fillId="0" borderId="1" applyAlignment="1" pivotButton="0" quotePrefix="0" xfId="22">
      <alignment horizontal="center" wrapText="1"/>
    </xf>
    <xf numFmtId="189" fontId="14" fillId="0" borderId="0" applyAlignment="1" pivotButton="0" quotePrefix="0" xfId="22">
      <alignment horizontal="center"/>
    </xf>
    <xf numFmtId="182" fontId="14" fillId="0" borderId="0" applyAlignment="1" pivotButton="0" quotePrefix="0" xfId="22">
      <alignment horizontal="center"/>
    </xf>
    <xf numFmtId="10" fontId="14" fillId="0" borderId="0" applyAlignment="1" pivotButton="0" quotePrefix="0" xfId="22">
      <alignment horizontal="center"/>
    </xf>
    <xf numFmtId="2" fontId="14" fillId="0" borderId="0" applyAlignment="1" pivotButton="0" quotePrefix="0" xfId="22">
      <alignment horizontal="center"/>
    </xf>
    <xf numFmtId="189" fontId="10" fillId="6" borderId="0" applyAlignment="1" pivotButton="0" quotePrefix="0" xfId="22">
      <alignment horizontal="left"/>
    </xf>
    <xf numFmtId="182" fontId="10" fillId="6" borderId="0" applyAlignment="1" pivotButton="0" quotePrefix="0" xfId="22">
      <alignment horizontal="center"/>
    </xf>
    <xf numFmtId="178" fontId="10" fillId="6" borderId="0" applyAlignment="1" pivotButton="0" quotePrefix="0" xfId="22">
      <alignment horizontal="center"/>
    </xf>
    <xf numFmtId="10" fontId="10" fillId="6" borderId="0" applyAlignment="1" pivotButton="0" quotePrefix="0" xfId="22">
      <alignment horizontal="center"/>
    </xf>
    <xf numFmtId="189" fontId="10" fillId="6" borderId="1" applyAlignment="1" pivotButton="0" quotePrefix="0" xfId="22">
      <alignment horizontal="left"/>
    </xf>
    <xf numFmtId="189" fontId="10" fillId="6" borderId="1" applyAlignment="1" pivotButton="0" quotePrefix="0" xfId="22">
      <alignment horizontal="center"/>
    </xf>
    <xf numFmtId="182" fontId="10" fillId="6" borderId="1" applyAlignment="1" pivotButton="0" quotePrefix="0" xfId="22">
      <alignment horizontal="center"/>
    </xf>
    <xf numFmtId="178" fontId="10" fillId="6" borderId="1" applyAlignment="1" pivotButton="0" quotePrefix="0" xfId="22">
      <alignment horizontal="center"/>
    </xf>
    <xf numFmtId="10" fontId="14" fillId="0" borderId="1" applyAlignment="1" pivotButton="0" quotePrefix="0" xfId="22">
      <alignment horizontal="center"/>
    </xf>
    <xf numFmtId="10" fontId="10" fillId="6" borderId="1" applyAlignment="1" pivotButton="0" quotePrefix="0" xfId="22">
      <alignment horizontal="center"/>
    </xf>
    <xf numFmtId="189" fontId="14" fillId="0" borderId="1" applyAlignment="1" pivotButton="0" quotePrefix="0" xfId="22">
      <alignment horizontal="center"/>
    </xf>
    <xf numFmtId="189" fontId="16" fillId="0" borderId="0" applyAlignment="1" pivotButton="0" quotePrefix="0" xfId="22">
      <alignment horizontal="right"/>
    </xf>
    <xf numFmtId="189" fontId="16" fillId="0" borderId="29" applyAlignment="1" pivotButton="0" quotePrefix="0" xfId="22">
      <alignment horizontal="center"/>
    </xf>
    <xf numFmtId="0" fontId="21" fillId="3" borderId="0" pivotButton="0" quotePrefix="0" xfId="24"/>
    <xf numFmtId="0" fontId="22" fillId="13" borderId="0" pivotButton="0" quotePrefix="0" xfId="24"/>
    <xf numFmtId="0" fontId="8" fillId="14" borderId="0" pivotButton="0" quotePrefix="0" xfId="24"/>
    <xf numFmtId="180" fontId="22" fillId="13" borderId="0" pivotButton="0" quotePrefix="0" xfId="24"/>
    <xf numFmtId="190" fontId="22" fillId="13" borderId="0" pivotButton="0" quotePrefix="0" xfId="24"/>
    <xf numFmtId="171" fontId="22" fillId="13" borderId="0" pivotButton="0" quotePrefix="0" xfId="24"/>
    <xf numFmtId="14" fontId="22" fillId="13" borderId="0" pivotButton="0" quotePrefix="0" xfId="24"/>
    <xf numFmtId="191" fontId="22" fillId="13" borderId="0" pivotButton="0" quotePrefix="0" xfId="24"/>
    <xf numFmtId="171" fontId="3" fillId="0" borderId="0" pivotButton="0" quotePrefix="0" xfId="24"/>
    <xf numFmtId="174" fontId="22" fillId="13" borderId="0" pivotButton="0" quotePrefix="0" xfId="24"/>
    <xf numFmtId="175" fontId="3" fillId="0" borderId="0" pivotButton="0" quotePrefix="0" xfId="24"/>
    <xf numFmtId="0" fontId="17" fillId="9" borderId="0" applyAlignment="1" pivotButton="0" quotePrefix="0" xfId="22">
      <alignment horizontal="center" wrapText="1"/>
    </xf>
    <xf numFmtId="0" fontId="14" fillId="0" borderId="0" pivotButton="0" quotePrefix="0" xfId="22"/>
    <xf numFmtId="0" fontId="16" fillId="0" borderId="1" applyAlignment="1" pivotButton="0" quotePrefix="0" xfId="22">
      <alignment horizontal="center"/>
    </xf>
    <xf numFmtId="0" fontId="0" fillId="0" borderId="1" pivotButton="0" quotePrefix="0" xfId="0"/>
    <xf numFmtId="0" fontId="16" fillId="0" borderId="10" applyAlignment="1" pivotButton="0" quotePrefix="0" xfId="22">
      <alignment horizontal="center"/>
    </xf>
    <xf numFmtId="0" fontId="0" fillId="0" borderId="11" pivotButton="0" quotePrefix="0" xfId="0"/>
    <xf numFmtId="0" fontId="15" fillId="9" borderId="1" applyAlignment="1" pivotButton="0" quotePrefix="0" xfId="22">
      <alignment horizontal="center"/>
    </xf>
    <xf numFmtId="171" fontId="4" fillId="0" borderId="0" applyAlignment="1" pivotButton="0" quotePrefix="0" xfId="30">
      <alignment horizontal="right" vertical="center"/>
    </xf>
    <xf numFmtId="171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200" fontId="0" fillId="0" borderId="0" pivotButton="0" quotePrefix="0" xfId="0"/>
    <xf numFmtId="169" fontId="11" fillId="7" borderId="0" applyAlignment="1" pivotButton="0" quotePrefix="0" xfId="21">
      <alignment horizontal="center"/>
    </xf>
    <xf numFmtId="0" fontId="23" fillId="15" borderId="0" applyAlignment="1" pivotButton="0" quotePrefix="0" xfId="0">
      <alignment horizontal="left"/>
    </xf>
    <xf numFmtId="0" fontId="24" fillId="16" borderId="0" pivotButton="0" quotePrefix="0" xfId="0"/>
    <xf numFmtId="190" fontId="24" fillId="17" borderId="0" applyAlignment="1" pivotButton="0" quotePrefix="0" xfId="0">
      <alignment horizontal="center"/>
    </xf>
    <xf numFmtId="190" fontId="24" fillId="0" borderId="0" applyAlignment="1" pivotButton="0" quotePrefix="0" xfId="0">
      <alignment horizontal="center"/>
    </xf>
    <xf numFmtId="0" fontId="25" fillId="16" borderId="0" pivotButton="0" quotePrefix="0" xfId="0"/>
    <xf numFmtId="171" fontId="24" fillId="17" borderId="0" applyAlignment="1" pivotButton="0" quotePrefix="0" xfId="0">
      <alignment horizontal="center"/>
    </xf>
    <xf numFmtId="171" fontId="24" fillId="0" borderId="0" applyAlignment="1" pivotButton="0" quotePrefix="0" xfId="0">
      <alignment horizontal="center"/>
    </xf>
    <xf numFmtId="3" fontId="24" fillId="17" borderId="0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4" fillId="17" borderId="0" applyAlignment="1" pivotButton="0" quotePrefix="0" xfId="0">
      <alignment horizontal="center"/>
    </xf>
    <xf numFmtId="4" fontId="24" fillId="0" borderId="0" applyAlignment="1" pivotButton="0" quotePrefix="0" xfId="0">
      <alignment horizontal="center"/>
    </xf>
    <xf numFmtId="201" fontId="22" fillId="13" borderId="0" pivotButton="0" quotePrefix="0" xfId="24"/>
  </cellXfs>
  <cellStyles count="35">
    <cellStyle name="Normal" xfId="0" builtinId="0"/>
    <cellStyle name="Comma" xfId="1"/>
    <cellStyle name="Comma 1" xfId="2"/>
    <cellStyle name="Comma 2" xfId="3"/>
    <cellStyle name="Comma 3" xfId="4"/>
    <cellStyle name="Comma [0]" xfId="5"/>
    <cellStyle name="Comma [0] 2" xfId="6"/>
    <cellStyle name="Comma [0] 3" xfId="7"/>
    <cellStyle name="Comma [0] 4" xfId="8"/>
    <cellStyle name="Currency" xfId="9"/>
    <cellStyle name="Currency 2" xfId="10"/>
    <cellStyle name="Currency 3" xfId="11"/>
    <cellStyle name="Currency 4" xfId="12"/>
    <cellStyle name="Currency 5" xfId="13"/>
    <cellStyle name="Currency [0]" xfId="14"/>
    <cellStyle name="Currency [0] 4" xfId="15"/>
    <cellStyle name="Currency [0] 5" xfId="16"/>
    <cellStyle name="Currency [0] 6" xfId="17"/>
    <cellStyle name="m/d/yy" xfId="18"/>
    <cellStyle name="Normal 3" xfId="19"/>
    <cellStyle name="Normal 2" xfId="20"/>
    <cellStyle name="Normal 2 2" xfId="21"/>
    <cellStyle name="Normal 2 3" xfId="22"/>
    <cellStyle name="Normal 4" xfId="23"/>
    <cellStyle name="Normal 5" xfId="24"/>
    <cellStyle name="Normal 6" xfId="25"/>
    <cellStyle name="Normal 7" xfId="26"/>
    <cellStyle name="Normal [3] 2" xfId="27"/>
    <cellStyle name="Output_dcfmodel" xfId="28"/>
    <cellStyle name="Percent" xfId="29"/>
    <cellStyle name="Percent 6" xfId="30"/>
    <cellStyle name="Percent 7" xfId="31"/>
    <cellStyle name="Percent 8" xfId="32"/>
    <cellStyle name="Porcentagem 3" xfId="33"/>
    <cellStyle name="Separador de milhares 2 17" xfId="34"/>
  </cellStyles>
  <dxfs count="24"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8"/>
  <sheetViews>
    <sheetView showGridLines="0"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9.7109375" defaultRowHeight="12.75"/>
  <cols>
    <col width="90" customWidth="1" min="1" max="1"/>
    <col width="10.140625" customWidth="1" min="2" max="2"/>
    <col width="45" customWidth="1" min="3" max="3"/>
    <col width="12.42578125" customWidth="1" min="4" max="33"/>
  </cols>
  <sheetData>
    <row r="1" ht="14.25" customHeight="1">
      <c r="A1" s="1" t="inlineStr">
        <is>
          <t>Base histórica normalizada (R$ mil) — convertida da máscara anterior; linhas de origem auditáveis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4.25" customHeight="1">
      <c r="A2" s="2" t="inlineStr">
        <is>
          <t>Fonte / conta original</t>
        </is>
      </c>
      <c r="B2" s="2" t="inlineStr">
        <is>
          <t>Código</t>
        </is>
      </c>
      <c r="C2" s="2" t="inlineStr">
        <is>
          <t>Conta padronizada</t>
        </is>
      </c>
      <c r="D2" s="2" t="inlineStr">
        <is>
          <t>1Q21</t>
        </is>
      </c>
      <c r="E2" s="2" t="inlineStr">
        <is>
          <t>2Q21</t>
        </is>
      </c>
      <c r="F2" s="2" t="inlineStr">
        <is>
          <t>3Q21</t>
        </is>
      </c>
      <c r="G2" s="2" t="inlineStr">
        <is>
          <t>4Q21</t>
        </is>
      </c>
      <c r="H2" s="2" t="inlineStr">
        <is>
          <t>2021</t>
        </is>
      </c>
      <c r="I2" s="2" t="inlineStr">
        <is>
          <t>1Q22</t>
        </is>
      </c>
      <c r="J2" s="2" t="inlineStr">
        <is>
          <t>2Q22</t>
        </is>
      </c>
      <c r="K2" s="2" t="inlineStr">
        <is>
          <t>3Q22</t>
        </is>
      </c>
      <c r="L2" s="2" t="inlineStr">
        <is>
          <t>4Q22</t>
        </is>
      </c>
      <c r="M2" s="2" t="inlineStr">
        <is>
          <t>2022</t>
        </is>
      </c>
      <c r="N2" s="2" t="inlineStr">
        <is>
          <t>1Q23</t>
        </is>
      </c>
      <c r="O2" s="2" t="inlineStr">
        <is>
          <t>2Q23</t>
        </is>
      </c>
      <c r="P2" s="2" t="inlineStr">
        <is>
          <t>3Q23</t>
        </is>
      </c>
      <c r="Q2" s="2" t="inlineStr">
        <is>
          <t>4Q23</t>
        </is>
      </c>
      <c r="R2" s="2" t="inlineStr">
        <is>
          <t>2023</t>
        </is>
      </c>
      <c r="S2" s="2" t="inlineStr">
        <is>
          <t>1Q24</t>
        </is>
      </c>
      <c r="T2" s="2" t="inlineStr">
        <is>
          <t>2Q24</t>
        </is>
      </c>
      <c r="U2" s="2" t="inlineStr">
        <is>
          <t>3Q24</t>
        </is>
      </c>
      <c r="V2" s="2" t="inlineStr">
        <is>
          <t>4Q24</t>
        </is>
      </c>
      <c r="W2" s="2" t="inlineStr">
        <is>
          <t>2024</t>
        </is>
      </c>
      <c r="X2" s="2" t="inlineStr">
        <is>
          <t>1Q25</t>
        </is>
      </c>
      <c r="Y2" s="2" t="inlineStr">
        <is>
          <t>2Q25</t>
        </is>
      </c>
      <c r="Z2" s="2" t="inlineStr">
        <is>
          <t>3Q25</t>
        </is>
      </c>
      <c r="AA2" s="2" t="inlineStr">
        <is>
          <t>4Q25</t>
        </is>
      </c>
      <c r="AB2" s="2" t="inlineStr">
        <is>
          <t>2025</t>
        </is>
      </c>
      <c r="AC2" s="2" t="inlineStr">
        <is>
          <t>1Q26</t>
        </is>
      </c>
      <c r="AD2" s="2" t="inlineStr">
        <is>
          <t>2Q26</t>
        </is>
      </c>
      <c r="AE2" s="2" t="inlineStr">
        <is>
          <t>3Q26</t>
        </is>
      </c>
      <c r="AF2" s="2" t="inlineStr">
        <is>
          <t>4Q26</t>
        </is>
      </c>
      <c r="AG2" s="2" t="inlineStr">
        <is>
          <t>2026</t>
        </is>
      </c>
    </row>
    <row r="3">
      <c r="A3" t="inlineStr">
        <is>
          <t>Fonte: ver coluna A de cada linha</t>
        </is>
      </c>
      <c r="C3" t="inlineStr">
        <is>
          <t>Unidade: R$ mil (monetário); demais unidades × 1.000</t>
        </is>
      </c>
    </row>
    <row r="4">
      <c r="A4" t="inlineStr">
        <is>
          <t>DRE - TRIMESTRE ISOLADO (aba IS | DRE (w | com IFRS16), bloco Reportado, consolidado l.101-128; R$ milhoes). 1T23+ = CVM; 2020-22 = base pro forma da Cia</t>
        </is>
      </c>
      <c r="C4" t="inlineStr">
        <is>
          <t>[linha bruta, sem código; lançada nas linhas abaixo]</t>
        </is>
      </c>
      <c r="D4" s="265" t="n"/>
      <c r="E4" s="265" t="n"/>
      <c r="F4" s="265" t="n"/>
      <c r="G4" s="265" t="n"/>
      <c r="I4" s="265" t="n"/>
      <c r="J4" s="265" t="n"/>
      <c r="K4" s="265" t="n"/>
      <c r="L4" s="265" t="n"/>
      <c r="N4" s="265" t="n"/>
      <c r="O4" s="265" t="n"/>
      <c r="P4" s="265" t="n"/>
      <c r="Q4" s="265" t="n"/>
      <c r="S4" s="265" t="n"/>
      <c r="T4" s="265" t="n"/>
      <c r="U4" s="265" t="n"/>
      <c r="V4" s="265" t="n"/>
      <c r="X4" s="265" t="n"/>
      <c r="Y4" s="265" t="n"/>
      <c r="Z4" s="265" t="n"/>
      <c r="AA4" s="265" t="n"/>
      <c r="AC4" s="265" t="n"/>
      <c r="AD4" s="265" t="n"/>
    </row>
    <row r="5">
      <c r="A5" t="inlineStr">
        <is>
          <t>Receita Líquida (DRE l.103) · fonte · unid. moeda</t>
        </is>
      </c>
      <c r="B5" t="n">
        <v>1</v>
      </c>
      <c r="C5" t="inlineStr">
        <is>
          <t>Net Revenues</t>
        </is>
      </c>
      <c r="D5" s="265" t="n">
        <v>757552</v>
      </c>
      <c r="E5" s="265" t="n">
        <v>1165345</v>
      </c>
      <c r="F5" s="265" t="n">
        <v>1521076</v>
      </c>
      <c r="G5" s="265" t="n">
        <v>1689065</v>
      </c>
      <c r="I5" s="265" t="n">
        <v>1905657</v>
      </c>
      <c r="J5" s="265" t="n">
        <v>2230992</v>
      </c>
      <c r="K5" s="265" t="n">
        <v>2536864</v>
      </c>
      <c r="L5" s="265" t="n">
        <v>2626633</v>
      </c>
      <c r="N5" s="265" t="n">
        <v>2703206</v>
      </c>
      <c r="O5" s="265" t="n">
        <v>2479144</v>
      </c>
      <c r="P5" s="265" t="n">
        <v>2666220</v>
      </c>
      <c r="Q5" s="265" t="n">
        <v>2493444</v>
      </c>
      <c r="S5" s="265" t="n">
        <v>3021646</v>
      </c>
      <c r="T5" s="265" t="n">
        <v>3435604</v>
      </c>
      <c r="U5" s="265" t="n">
        <v>3775864</v>
      </c>
      <c r="V5" s="265" t="n">
        <v>3248157</v>
      </c>
      <c r="X5" s="265" t="n">
        <v>3568231</v>
      </c>
      <c r="Y5" s="265" t="n">
        <v>3679006</v>
      </c>
      <c r="Z5" s="265" t="n">
        <v>3765843</v>
      </c>
      <c r="AA5" s="265" t="n">
        <v>3658975.15495</v>
      </c>
      <c r="AC5" s="265" t="n">
        <v>3780644.964962</v>
      </c>
      <c r="AD5" s="265" t="n">
        <v>3765830.207488</v>
      </c>
    </row>
    <row r="6">
      <c r="A6" t="inlineStr">
        <is>
          <t>Custo Ex-depreciação (DRE l.106) · fonte · unid. moeda</t>
        </is>
      </c>
      <c r="B6" t="n">
        <v>2</v>
      </c>
      <c r="C6" t="inlineStr">
        <is>
          <t>COGS (cash)</t>
        </is>
      </c>
      <c r="D6" s="265" t="n">
        <v>-296444</v>
      </c>
      <c r="E6" s="265" t="n">
        <v>-605183</v>
      </c>
      <c r="F6" s="265" t="n">
        <v>-729162</v>
      </c>
      <c r="G6" s="265" t="n">
        <v>-699450</v>
      </c>
      <c r="I6" s="265" t="n">
        <v>-822587</v>
      </c>
      <c r="J6" s="265" t="n">
        <v>-1085046</v>
      </c>
      <c r="K6" s="265" t="n">
        <v>-1337890</v>
      </c>
      <c r="L6" s="265" t="n">
        <v>-1440095</v>
      </c>
      <c r="N6" s="265" t="n">
        <v>-1511480</v>
      </c>
      <c r="O6" s="265" t="n">
        <v>-1276679</v>
      </c>
      <c r="P6" s="265" t="n">
        <v>-1479884</v>
      </c>
      <c r="Q6" s="265" t="n">
        <v>-1260799</v>
      </c>
      <c r="S6" s="265" t="n">
        <v>-1641800</v>
      </c>
      <c r="T6" s="265" t="n">
        <v>-1943531</v>
      </c>
      <c r="U6" s="265" t="n">
        <v>-2167358</v>
      </c>
      <c r="V6" s="265" t="n">
        <v>-1632259</v>
      </c>
      <c r="X6" s="265" t="n">
        <v>-1850291</v>
      </c>
      <c r="Y6" s="265" t="n">
        <v>-1930489</v>
      </c>
      <c r="Z6" s="265" t="n">
        <v>-1923128</v>
      </c>
      <c r="AA6" s="265" t="n">
        <v>-1775877.8087</v>
      </c>
      <c r="AC6" s="265" t="n">
        <v>-1792954.8484</v>
      </c>
      <c r="AD6" s="265" t="n">
        <v>-1658145.0488</v>
      </c>
    </row>
    <row r="7">
      <c r="A7" t="inlineStr">
        <is>
          <t>Depreciação (DRE l.107) (depreciacao frota + outros + direito de uso; devolvida abaixo via D&amp;A) · fonte · unid. moeda</t>
        </is>
      </c>
      <c r="B7" t="n">
        <v>2</v>
      </c>
      <c r="C7" t="inlineStr">
        <is>
          <t>COGS (cash)</t>
        </is>
      </c>
      <c r="D7" s="265" t="n">
        <v>-62178</v>
      </c>
      <c r="E7" s="265" t="n">
        <v>-72936</v>
      </c>
      <c r="F7" s="265" t="n">
        <v>-110706</v>
      </c>
      <c r="G7" s="265" t="n">
        <v>-170431</v>
      </c>
      <c r="I7" s="265" t="n">
        <v>-212836</v>
      </c>
      <c r="J7" s="265" t="n">
        <v>-240909</v>
      </c>
      <c r="K7" s="265" t="n">
        <v>-300524</v>
      </c>
      <c r="L7" s="265" t="n">
        <v>-380942</v>
      </c>
      <c r="N7" s="265" t="n">
        <v>-390033</v>
      </c>
      <c r="O7" s="265" t="n">
        <v>-388955</v>
      </c>
      <c r="P7" s="265" t="n">
        <v>-412766</v>
      </c>
      <c r="Q7" s="265" t="n">
        <v>-906810</v>
      </c>
      <c r="S7" s="265" t="n">
        <v>-447805</v>
      </c>
      <c r="T7" s="265" t="n">
        <v>-522064</v>
      </c>
      <c r="U7" s="265" t="n">
        <v>-551278</v>
      </c>
      <c r="V7" s="265" t="n">
        <v>-559350</v>
      </c>
      <c r="X7" s="265" t="n">
        <v>-572374</v>
      </c>
      <c r="Y7" s="265" t="n">
        <v>-593733</v>
      </c>
      <c r="Z7" s="265" t="n">
        <v>-624564</v>
      </c>
      <c r="AA7" s="265" t="n">
        <v>-639359.2426</v>
      </c>
      <c r="AC7" s="265" t="n">
        <v>-650585.9214</v>
      </c>
      <c r="AD7" s="265" t="n">
        <v>-671563.6213999999</v>
      </c>
    </row>
    <row r="8">
      <c r="A8" t="inlineStr">
        <is>
          <t>Despesa Ex-depreciação (DRE l.114) · fonte · unid. moeda</t>
        </is>
      </c>
      <c r="B8" t="n">
        <v>3</v>
      </c>
      <c r="C8" t="inlineStr">
        <is>
          <t>SG&amp;A and Other (cash)</t>
        </is>
      </c>
      <c r="D8" s="265" t="n">
        <v>-156605</v>
      </c>
      <c r="E8" s="265" t="n">
        <v>-171698</v>
      </c>
      <c r="F8" s="265" t="n">
        <v>-178506</v>
      </c>
      <c r="G8" s="265" t="n">
        <v>-213003</v>
      </c>
      <c r="I8" s="265" t="n">
        <v>-234631</v>
      </c>
      <c r="J8" s="265" t="n">
        <v>-257540</v>
      </c>
      <c r="K8" s="265" t="n">
        <v>-292522</v>
      </c>
      <c r="L8" s="265" t="n">
        <v>-344544</v>
      </c>
      <c r="N8" s="265" t="n">
        <v>-332775</v>
      </c>
      <c r="O8" s="265" t="n">
        <v>-329942</v>
      </c>
      <c r="P8" s="265" t="n">
        <v>-338551</v>
      </c>
      <c r="Q8" s="265" t="n">
        <v>-366571</v>
      </c>
      <c r="S8" s="265" t="n">
        <v>-320432</v>
      </c>
      <c r="T8" s="265" t="n">
        <v>-315813</v>
      </c>
      <c r="U8" s="265" t="n">
        <v>-356334</v>
      </c>
      <c r="V8" s="265" t="n">
        <v>-371618</v>
      </c>
      <c r="X8" s="265" t="n">
        <v>-379610</v>
      </c>
      <c r="Y8" s="265" t="n">
        <v>-369393</v>
      </c>
      <c r="Z8" s="265" t="n">
        <v>-364059</v>
      </c>
      <c r="AA8" s="265" t="n">
        <v>-393047.0863</v>
      </c>
      <c r="AC8" s="265" t="n">
        <v>-419025.553162</v>
      </c>
      <c r="AD8" s="265" t="n">
        <v>-420941.574688</v>
      </c>
    </row>
    <row r="9">
      <c r="A9" t="inlineStr">
        <is>
          <t>Depreciação Mais Valia (DRE l.115) (depreciacao de mais-valia) · fonte · unid. moeda</t>
        </is>
      </c>
      <c r="B9" t="n">
        <v>3</v>
      </c>
      <c r="C9" t="inlineStr">
        <is>
          <t>SG&amp;A and Other (cash)</t>
        </is>
      </c>
      <c r="D9" s="265" t="n">
        <v>0</v>
      </c>
      <c r="E9" s="265" t="n">
        <v>0</v>
      </c>
      <c r="F9" s="265" t="n">
        <v>0</v>
      </c>
      <c r="G9" s="265" t="n">
        <v>0</v>
      </c>
      <c r="I9" s="265" t="n">
        <v>0</v>
      </c>
      <c r="J9" s="265" t="n">
        <v>0</v>
      </c>
      <c r="K9" s="265" t="n">
        <v>0</v>
      </c>
      <c r="L9" s="265" t="n">
        <v>0</v>
      </c>
      <c r="N9" s="265" t="n">
        <v>0</v>
      </c>
      <c r="O9" s="265" t="n">
        <v>0</v>
      </c>
      <c r="P9" s="265" t="n">
        <v>0</v>
      </c>
      <c r="Q9" s="265" t="n">
        <v>-139114</v>
      </c>
      <c r="S9" s="265" t="n">
        <v>0</v>
      </c>
      <c r="T9" s="265" t="n">
        <v>0</v>
      </c>
      <c r="U9" s="265" t="n">
        <v>0</v>
      </c>
      <c r="V9" s="265" t="n">
        <v>0</v>
      </c>
      <c r="X9" s="265" t="n">
        <v>0</v>
      </c>
      <c r="Y9" s="265" t="n">
        <v>0</v>
      </c>
      <c r="Z9" s="265" t="n">
        <v>0</v>
      </c>
      <c r="AA9" s="265" t="n">
        <v>0</v>
      </c>
      <c r="AC9" s="265" t="n">
        <v>0</v>
      </c>
      <c r="AD9" s="265" t="n">
        <v>0</v>
      </c>
    </row>
    <row r="10">
      <c r="A10" t="inlineStr">
        <is>
          <t>Impairment de Depreciação (DRE l.116) (impairment de depreciacao) · fonte · unid. moeda</t>
        </is>
      </c>
      <c r="B10" t="n">
        <v>3</v>
      </c>
      <c r="C10" t="inlineStr">
        <is>
          <t>SG&amp;A and Other (cash)</t>
        </is>
      </c>
      <c r="D10" s="265" t="n">
        <v>0</v>
      </c>
      <c r="E10" s="265" t="n">
        <v>0</v>
      </c>
      <c r="F10" s="265" t="n">
        <v>0</v>
      </c>
      <c r="G10" s="265" t="n">
        <v>0</v>
      </c>
      <c r="I10" s="265" t="n">
        <v>0</v>
      </c>
      <c r="J10" s="265" t="n">
        <v>0</v>
      </c>
      <c r="K10" s="265" t="n">
        <v>0</v>
      </c>
      <c r="L10" s="265" t="n">
        <v>0</v>
      </c>
      <c r="N10" s="265" t="n">
        <v>0</v>
      </c>
      <c r="O10" s="265" t="n">
        <v>0</v>
      </c>
      <c r="P10" s="265" t="n">
        <v>0</v>
      </c>
      <c r="Q10" s="265" t="n">
        <v>0</v>
      </c>
      <c r="S10" s="265" t="n">
        <v>0</v>
      </c>
      <c r="T10" s="265" t="n">
        <v>-26900</v>
      </c>
      <c r="U10" s="265" t="n">
        <v>-4696</v>
      </c>
      <c r="V10" s="265" t="n">
        <v>0</v>
      </c>
      <c r="X10" s="265" t="n">
        <v>0</v>
      </c>
      <c r="Y10" s="265" t="n">
        <v>0</v>
      </c>
      <c r="Z10" s="265" t="n">
        <v>0</v>
      </c>
      <c r="AA10" s="265" t="n">
        <v>0</v>
      </c>
      <c r="AC10" s="265" t="n">
        <v>0</v>
      </c>
      <c r="AD10" s="265" t="n">
        <v>0</v>
      </c>
    </row>
    <row r="11">
      <c r="A11" t="inlineStr">
        <is>
          <t>Despesas Financeiras (DRE l.124) · fonte · unid. moeda</t>
        </is>
      </c>
      <c r="B11" t="n">
        <v>5</v>
      </c>
      <c r="C11" t="inlineStr">
        <is>
          <t>Interest Expense</t>
        </is>
      </c>
      <c r="D11" s="265" t="n">
        <v>-265184</v>
      </c>
      <c r="E11" s="265" t="n">
        <v>239899</v>
      </c>
      <c r="F11" s="265" t="n">
        <v>-342257</v>
      </c>
      <c r="G11" s="265" t="n">
        <v>-591177</v>
      </c>
      <c r="I11" s="265" t="n">
        <v>-394958</v>
      </c>
      <c r="J11" s="265" t="n">
        <v>-515803</v>
      </c>
      <c r="K11" s="265" t="n">
        <v>-637391</v>
      </c>
      <c r="L11" s="265" t="n">
        <v>-662277</v>
      </c>
      <c r="N11" s="265" t="n">
        <v>-615278</v>
      </c>
      <c r="O11" s="265" t="n">
        <v>-551559</v>
      </c>
      <c r="P11" s="265" t="n">
        <v>-590177</v>
      </c>
      <c r="Q11" s="265" t="n">
        <v>-614436</v>
      </c>
      <c r="S11" s="265" t="n">
        <v>-627625</v>
      </c>
      <c r="T11" s="265" t="n">
        <v>-662137</v>
      </c>
      <c r="U11" s="265" t="n">
        <v>-707297</v>
      </c>
      <c r="V11" s="265" t="n">
        <v>-691837</v>
      </c>
      <c r="X11" s="265" t="n">
        <v>-745217</v>
      </c>
      <c r="Y11" s="265" t="n">
        <v>-792778</v>
      </c>
      <c r="Z11" s="265" t="n">
        <v>-895889</v>
      </c>
      <c r="AA11" s="265" t="n">
        <v>-1154513.6507</v>
      </c>
      <c r="AC11" s="265" t="n">
        <v>-902577.8591</v>
      </c>
      <c r="AD11" s="265" t="n">
        <v>-1000770.5251</v>
      </c>
    </row>
    <row r="12">
      <c r="A12" t="inlineStr">
        <is>
          <t>Receitas Financeiras (DRE l.125) · fonte · unid. moeda</t>
        </is>
      </c>
      <c r="B12" t="n">
        <v>6</v>
      </c>
      <c r="C12" t="inlineStr">
        <is>
          <t>Nonoperating Income / (Loss)</t>
        </is>
      </c>
      <c r="D12" s="265" t="n">
        <v>188526</v>
      </c>
      <c r="E12" s="265" t="n">
        <v>-307323</v>
      </c>
      <c r="F12" s="265" t="n">
        <v>209511</v>
      </c>
      <c r="G12" s="265" t="n">
        <v>383039</v>
      </c>
      <c r="I12" s="265" t="n">
        <v>107671</v>
      </c>
      <c r="J12" s="265" t="n">
        <v>116444</v>
      </c>
      <c r="K12" s="265" t="n">
        <v>123724</v>
      </c>
      <c r="L12" s="265" t="n">
        <v>161251</v>
      </c>
      <c r="N12" s="265" t="n">
        <v>140596</v>
      </c>
      <c r="O12" s="265" t="n">
        <v>25985</v>
      </c>
      <c r="P12" s="265" t="n">
        <v>47438</v>
      </c>
      <c r="Q12" s="265" t="n">
        <v>59055</v>
      </c>
      <c r="S12" s="265" t="n">
        <v>88865</v>
      </c>
      <c r="T12" s="265" t="n">
        <v>91414</v>
      </c>
      <c r="U12" s="265" t="n">
        <v>112895</v>
      </c>
      <c r="V12" s="265" t="n">
        <v>85172</v>
      </c>
      <c r="X12" s="265" t="n">
        <v>90007</v>
      </c>
      <c r="Y12" s="265" t="n">
        <v>98699</v>
      </c>
      <c r="Z12" s="265" t="n">
        <v>100571</v>
      </c>
      <c r="AA12" s="265" t="n">
        <v>390591.907106</v>
      </c>
      <c r="AC12" s="265" t="n">
        <v>148795.4076</v>
      </c>
      <c r="AD12" s="265" t="n">
        <v>155135.6947</v>
      </c>
    </row>
    <row r="13">
      <c r="A13" t="inlineStr">
        <is>
          <t>Receita Bruta (DRE l.101) - memoria · memoria · unid. moeda</t>
        </is>
      </c>
      <c r="C13" t="inlineStr">
        <is>
          <t>[linha bruta, sem código; lançada nas linhas abaixo]</t>
        </is>
      </c>
      <c r="D13" s="265" t="n">
        <v>824150</v>
      </c>
      <c r="E13" s="265" t="n">
        <v>1234303</v>
      </c>
      <c r="F13" s="265" t="n">
        <v>1605965</v>
      </c>
      <c r="G13" s="265" t="n">
        <v>1797894</v>
      </c>
      <c r="I13" s="265" t="n">
        <v>2023882</v>
      </c>
      <c r="J13" s="265" t="n">
        <v>2354247</v>
      </c>
      <c r="K13" s="265" t="n">
        <v>2680451</v>
      </c>
      <c r="L13" s="265" t="n">
        <v>2779739</v>
      </c>
      <c r="N13" s="265" t="n">
        <v>2871596</v>
      </c>
      <c r="O13" s="265" t="n">
        <v>2647105</v>
      </c>
      <c r="P13" s="265" t="n">
        <v>2846875</v>
      </c>
      <c r="Q13" s="265" t="n">
        <v>2686001</v>
      </c>
      <c r="S13" s="265" t="n">
        <v>3219943</v>
      </c>
      <c r="T13" s="265" t="n">
        <v>3657546</v>
      </c>
      <c r="U13" s="265" t="n">
        <v>4016702</v>
      </c>
      <c r="V13" s="265" t="n">
        <v>3493321</v>
      </c>
      <c r="X13" s="265" t="n">
        <v>3804719</v>
      </c>
      <c r="Y13" s="265" t="n">
        <v>3930928</v>
      </c>
      <c r="Z13" s="265" t="n">
        <v>4032922</v>
      </c>
      <c r="AA13" s="265" t="n">
        <v>3935855.76465</v>
      </c>
      <c r="AC13" s="265" t="n">
        <v>4069234.135101</v>
      </c>
      <c r="AD13" s="265" t="n">
        <v>4057515.436011</v>
      </c>
    </row>
    <row r="14">
      <c r="A14" t="inlineStr">
        <is>
          <t>Deduções (DRE l.102) - memoria · memoria · unid. moeda</t>
        </is>
      </c>
      <c r="C14" t="inlineStr">
        <is>
          <t>[linha bruta, sem código; lançada nas linhas abaixo]</t>
        </is>
      </c>
      <c r="D14" s="265" t="n">
        <v>-66598</v>
      </c>
      <c r="E14" s="265" t="n">
        <v>-68958</v>
      </c>
      <c r="F14" s="265" t="n">
        <v>-84889</v>
      </c>
      <c r="G14" s="265" t="n">
        <v>-108829</v>
      </c>
      <c r="I14" s="265" t="n">
        <v>-118225</v>
      </c>
      <c r="J14" s="265" t="n">
        <v>-123255</v>
      </c>
      <c r="K14" s="265" t="n">
        <v>-143587</v>
      </c>
      <c r="L14" s="265" t="n">
        <v>-153106</v>
      </c>
      <c r="N14" s="265" t="n">
        <v>-168390</v>
      </c>
      <c r="O14" s="265" t="n">
        <v>-167961</v>
      </c>
      <c r="P14" s="265" t="n">
        <v>-180655</v>
      </c>
      <c r="Q14" s="265" t="n">
        <v>-192557</v>
      </c>
      <c r="S14" s="265" t="n">
        <v>-198297</v>
      </c>
      <c r="T14" s="265" t="n">
        <v>-221943</v>
      </c>
      <c r="U14" s="265" t="n">
        <v>-240838</v>
      </c>
      <c r="V14" s="265" t="n">
        <v>-245164</v>
      </c>
      <c r="X14" s="265" t="n">
        <v>-236488</v>
      </c>
      <c r="Y14" s="265" t="n">
        <v>-251923</v>
      </c>
      <c r="Z14" s="265" t="n">
        <v>-267080</v>
      </c>
      <c r="AA14" s="265" t="n">
        <v>-276880.6097</v>
      </c>
      <c r="AC14" s="265" t="n">
        <v>-288589.170139</v>
      </c>
      <c r="AD14" s="265" t="n">
        <v>-291685.228523</v>
      </c>
    </row>
    <row r="15">
      <c r="A15" t="inlineStr">
        <is>
          <t>Receita Líquida de Serviços (DRE l.104) - memoria · memoria · unid. moeda</t>
        </is>
      </c>
      <c r="C15" t="inlineStr">
        <is>
          <t>[linha bruta, sem código; lançada nas linhas abaixo]</t>
        </is>
      </c>
      <c r="D15" s="265" t="n">
        <v>483011</v>
      </c>
      <c r="E15" s="265" t="n">
        <v>491865</v>
      </c>
      <c r="F15" s="265" t="n">
        <v>676455</v>
      </c>
      <c r="G15" s="265" t="n">
        <v>879950</v>
      </c>
      <c r="I15" s="265" t="n">
        <v>931895</v>
      </c>
      <c r="J15" s="265" t="n">
        <v>1002358</v>
      </c>
      <c r="K15" s="265" t="n">
        <v>1126436</v>
      </c>
      <c r="L15" s="265" t="n">
        <v>1222226</v>
      </c>
      <c r="N15" s="265" t="n">
        <v>1239742</v>
      </c>
      <c r="O15" s="265" t="n">
        <v>1233781</v>
      </c>
      <c r="P15" s="265" t="n">
        <v>1297318</v>
      </c>
      <c r="Q15" s="265" t="n">
        <v>1339621</v>
      </c>
      <c r="S15" s="265" t="n">
        <v>1495198</v>
      </c>
      <c r="T15" s="265" t="n">
        <v>1608087</v>
      </c>
      <c r="U15" s="265" t="n">
        <v>1744697</v>
      </c>
      <c r="V15" s="265" t="n">
        <v>1791057</v>
      </c>
      <c r="X15" s="265" t="n">
        <v>1878904</v>
      </c>
      <c r="Y15" s="265" t="n">
        <v>1892632</v>
      </c>
      <c r="Z15" s="265" t="n">
        <v>2010812</v>
      </c>
      <c r="AA15" s="265" t="n">
        <v>2096394.0893</v>
      </c>
      <c r="AC15" s="265" t="n">
        <v>2205616.503561</v>
      </c>
      <c r="AD15" s="265" t="n">
        <v>2295334.63708</v>
      </c>
    </row>
    <row r="16">
      <c r="A16" t="inlineStr">
        <is>
          <t>Custo (DRE l.105) - memoria · memoria · unid. moeda</t>
        </is>
      </c>
      <c r="C16" t="inlineStr">
        <is>
          <t>[linha bruta, sem código; lançada nas linhas abaixo]</t>
        </is>
      </c>
      <c r="D16" s="265" t="n">
        <v>-358623</v>
      </c>
      <c r="E16" s="265" t="n">
        <v>-678119</v>
      </c>
      <c r="F16" s="265" t="n">
        <v>-839868</v>
      </c>
      <c r="G16" s="265" t="n">
        <v>-869881</v>
      </c>
      <c r="I16" s="265" t="n">
        <v>-1020767</v>
      </c>
      <c r="J16" s="265" t="n">
        <v>-1309105</v>
      </c>
      <c r="K16" s="265" t="n">
        <v>-1619529</v>
      </c>
      <c r="L16" s="265" t="n">
        <v>-1804787</v>
      </c>
      <c r="N16" s="265" t="n">
        <v>-1885122</v>
      </c>
      <c r="O16" s="265" t="n">
        <v>-1648165</v>
      </c>
      <c r="P16" s="265" t="n">
        <v>-1872509</v>
      </c>
      <c r="Q16" s="265" t="n">
        <v>-2167697</v>
      </c>
      <c r="S16" s="265" t="n">
        <v>-2089568</v>
      </c>
      <c r="T16" s="265" t="n">
        <v>-2465595</v>
      </c>
      <c r="U16" s="265" t="n">
        <v>-2718636</v>
      </c>
      <c r="V16" s="265" t="n">
        <v>-2191609</v>
      </c>
      <c r="X16" s="265" t="n">
        <v>-2422665</v>
      </c>
      <c r="Y16" s="265" t="n">
        <v>-2524222</v>
      </c>
      <c r="Z16" s="265" t="n">
        <v>-2547692</v>
      </c>
      <c r="AA16" s="265" t="n">
        <v>-2415237.0513</v>
      </c>
      <c r="AC16" s="265" t="n">
        <v>-2443540.7698</v>
      </c>
      <c r="AD16" s="265" t="n">
        <v>-2329708.6702</v>
      </c>
    </row>
    <row r="17">
      <c r="A17" t="inlineStr">
        <is>
          <t>Lucro Bruto (DRE l.111) - memoria · memoria · unid. moeda</t>
        </is>
      </c>
      <c r="C17" t="inlineStr">
        <is>
          <t>[linha bruta, sem código; lançada nas linhas abaixo]</t>
        </is>
      </c>
      <c r="D17" s="265" t="n">
        <v>398929</v>
      </c>
      <c r="E17" s="265" t="n">
        <v>487226</v>
      </c>
      <c r="F17" s="265" t="n">
        <v>681208</v>
      </c>
      <c r="G17" s="265" t="n">
        <v>819185</v>
      </c>
      <c r="I17" s="265" t="n">
        <v>884890</v>
      </c>
      <c r="J17" s="265" t="n">
        <v>921888</v>
      </c>
      <c r="K17" s="265" t="n">
        <v>917335</v>
      </c>
      <c r="L17" s="265" t="n">
        <v>821846</v>
      </c>
      <c r="N17" s="265" t="n">
        <v>818084</v>
      </c>
      <c r="O17" s="265" t="n">
        <v>830979</v>
      </c>
      <c r="P17" s="265" t="n">
        <v>793711</v>
      </c>
      <c r="Q17" s="265" t="n">
        <v>325747</v>
      </c>
      <c r="S17" s="265" t="n">
        <v>932078</v>
      </c>
      <c r="T17" s="265" t="n">
        <v>970009</v>
      </c>
      <c r="U17" s="265" t="n">
        <v>1057228</v>
      </c>
      <c r="V17" s="265" t="n">
        <v>1056548</v>
      </c>
      <c r="X17" s="265" t="n">
        <v>1145565</v>
      </c>
      <c r="Y17" s="265" t="n">
        <v>1154784</v>
      </c>
      <c r="Z17" s="265" t="n">
        <v>1218150</v>
      </c>
      <c r="AA17" s="265" t="n">
        <v>1243738.10365</v>
      </c>
      <c r="AC17" s="265" t="n">
        <v>1337104.195162</v>
      </c>
      <c r="AD17" s="265" t="n">
        <v>1436121.537288</v>
      </c>
    </row>
    <row r="18">
      <c r="A18" t="inlineStr">
        <is>
          <t>Despesas Administrativas (DRE l.113) - memoria · memoria · unid. moeda</t>
        </is>
      </c>
      <c r="C18" t="inlineStr">
        <is>
          <t>[linha bruta, sem código; lançada nas linhas abaixo]</t>
        </is>
      </c>
      <c r="D18" s="265" t="n">
        <v>-156605</v>
      </c>
      <c r="E18" s="265" t="n">
        <v>-171698</v>
      </c>
      <c r="F18" s="265" t="n">
        <v>-178506</v>
      </c>
      <c r="G18" s="265" t="n">
        <v>-213003</v>
      </c>
      <c r="I18" s="265" t="n">
        <v>-234631</v>
      </c>
      <c r="J18" s="265" t="n">
        <v>-257540</v>
      </c>
      <c r="K18" s="265" t="n">
        <v>-292522</v>
      </c>
      <c r="L18" s="265" t="n">
        <v>-344544</v>
      </c>
      <c r="N18" s="265" t="n">
        <v>-332775</v>
      </c>
      <c r="O18" s="265" t="n">
        <v>-329942</v>
      </c>
      <c r="P18" s="265" t="n">
        <v>-338551</v>
      </c>
      <c r="Q18" s="265" t="n">
        <v>-505686</v>
      </c>
      <c r="S18" s="265" t="n">
        <v>-320432</v>
      </c>
      <c r="T18" s="265" t="n">
        <v>-342713</v>
      </c>
      <c r="U18" s="265" t="n">
        <v>-361030</v>
      </c>
      <c r="V18" s="265" t="n">
        <v>-371618</v>
      </c>
      <c r="X18" s="265" t="n">
        <v>-379610</v>
      </c>
      <c r="Y18" s="265" t="n">
        <v>-369393</v>
      </c>
      <c r="Z18" s="265" t="n">
        <v>-364059</v>
      </c>
      <c r="AA18" s="265" t="n">
        <v>-393047.0863</v>
      </c>
      <c r="AC18" s="265" t="n">
        <v>-419025.553162</v>
      </c>
      <c r="AD18" s="265" t="n">
        <v>-420941.574688</v>
      </c>
    </row>
    <row r="19">
      <c r="A19" t="inlineStr">
        <is>
          <t>EBITDA (DRE l.117) - memoria · memoria · unid. moeda</t>
        </is>
      </c>
      <c r="C19" t="inlineStr">
        <is>
          <t>[linha bruta, sem código; lançada nas linhas abaixo]</t>
        </is>
      </c>
      <c r="D19" s="265" t="n">
        <v>304502</v>
      </c>
      <c r="E19" s="265" t="n">
        <v>388464</v>
      </c>
      <c r="F19" s="265" t="n">
        <v>613408</v>
      </c>
      <c r="G19" s="265" t="n">
        <v>776612</v>
      </c>
      <c r="I19" s="265" t="n">
        <v>863095</v>
      </c>
      <c r="J19" s="265" t="n">
        <v>905256</v>
      </c>
      <c r="K19" s="265" t="n">
        <v>925337</v>
      </c>
      <c r="L19" s="265" t="n">
        <v>858243</v>
      </c>
      <c r="N19" s="265" t="n">
        <v>875342</v>
      </c>
      <c r="O19" s="265" t="n">
        <v>889992</v>
      </c>
      <c r="P19" s="265" t="n">
        <v>867926</v>
      </c>
      <c r="Q19" s="265" t="n">
        <v>866073</v>
      </c>
      <c r="S19" s="265" t="n">
        <v>1059500</v>
      </c>
      <c r="T19" s="265" t="n">
        <v>1149360</v>
      </c>
      <c r="U19" s="265" t="n">
        <v>1247476</v>
      </c>
      <c r="V19" s="265" t="n">
        <v>1244280</v>
      </c>
      <c r="X19" s="265" t="n">
        <v>1338329</v>
      </c>
      <c r="Y19" s="265" t="n">
        <v>1379123</v>
      </c>
      <c r="Z19" s="265" t="n">
        <v>1478656</v>
      </c>
      <c r="AA19" s="265" t="n">
        <v>1490050.25995</v>
      </c>
      <c r="AC19" s="265" t="n">
        <v>1568664.5634</v>
      </c>
      <c r="AD19" s="265" t="n">
        <v>1686743.584</v>
      </c>
    </row>
    <row r="20">
      <c r="A20" t="inlineStr">
        <is>
          <t>EBITDA de Serviços (DRE l.118) - memoria · memoria · unid. moeda</t>
        </is>
      </c>
      <c r="C20" t="inlineStr">
        <is>
          <t>[linha bruta, sem código; lançada nas linhas abaixo]</t>
        </is>
      </c>
      <c r="D20" s="265" t="n">
        <v>268221</v>
      </c>
      <c r="E20" s="265" t="n">
        <v>268356</v>
      </c>
      <c r="F20" s="265" t="n">
        <v>426207</v>
      </c>
      <c r="G20" s="265" t="n">
        <v>595052</v>
      </c>
      <c r="I20" s="265" t="n">
        <v>658624</v>
      </c>
      <c r="J20" s="265" t="n">
        <v>700022</v>
      </c>
      <c r="K20" s="265" t="n">
        <v>789148</v>
      </c>
      <c r="L20" s="265" t="n">
        <v>752650</v>
      </c>
      <c r="N20" s="265" t="n">
        <v>788955</v>
      </c>
      <c r="O20" s="265" t="n">
        <v>793534</v>
      </c>
      <c r="P20" s="265" t="n">
        <v>826475</v>
      </c>
      <c r="Q20" s="265" t="n">
        <v>829453</v>
      </c>
      <c r="S20" s="265" t="n">
        <v>1020779</v>
      </c>
      <c r="T20" s="265" t="n">
        <v>1124660</v>
      </c>
      <c r="U20" s="265" t="n">
        <v>1225769</v>
      </c>
      <c r="V20" s="265" t="n">
        <v>1227273</v>
      </c>
      <c r="X20" s="265" t="n">
        <v>1320160</v>
      </c>
      <c r="Y20" s="265" t="n">
        <v>1359482</v>
      </c>
      <c r="Z20" s="265" t="n">
        <v>1460057</v>
      </c>
      <c r="AA20" s="265" t="n">
        <v>1474816.229531</v>
      </c>
      <c r="AC20" s="265" t="n">
        <v>1551287.182523</v>
      </c>
      <c r="AD20" s="265" t="n">
        <v>1671048.106858</v>
      </c>
    </row>
    <row r="21">
      <c r="A21" t="inlineStr">
        <is>
          <t>EBIT (DRE l.121) - memoria · memoria · unid. moeda</t>
        </is>
      </c>
      <c r="C21" t="inlineStr">
        <is>
          <t>[linha bruta, sem código; lançada nas linhas abaixo]</t>
        </is>
      </c>
      <c r="D21" s="265" t="n">
        <v>242324</v>
      </c>
      <c r="E21" s="265" t="n">
        <v>315528</v>
      </c>
      <c r="F21" s="265" t="n">
        <v>502702</v>
      </c>
      <c r="G21" s="265" t="n">
        <v>606181</v>
      </c>
      <c r="I21" s="265" t="n">
        <v>650259</v>
      </c>
      <c r="J21" s="265" t="n">
        <v>664347</v>
      </c>
      <c r="K21" s="265" t="n">
        <v>624813</v>
      </c>
      <c r="L21" s="265" t="n">
        <v>477301</v>
      </c>
      <c r="N21" s="265" t="n">
        <v>485309</v>
      </c>
      <c r="O21" s="265" t="n">
        <v>501037</v>
      </c>
      <c r="P21" s="265" t="n">
        <v>455160</v>
      </c>
      <c r="Q21" s="265" t="n">
        <v>-179939</v>
      </c>
      <c r="S21" s="265" t="n">
        <v>611645</v>
      </c>
      <c r="T21" s="265" t="n">
        <v>627326</v>
      </c>
      <c r="U21" s="265" t="n">
        <v>696198</v>
      </c>
      <c r="V21" s="265" t="n">
        <v>684929</v>
      </c>
      <c r="X21" s="265" t="n">
        <v>765955</v>
      </c>
      <c r="Y21" s="265" t="n">
        <v>785390</v>
      </c>
      <c r="Z21" s="265" t="n">
        <v>854091</v>
      </c>
      <c r="AA21" s="265" t="n">
        <v>850691.01735</v>
      </c>
      <c r="AC21" s="265" t="n">
        <v>918078.642</v>
      </c>
      <c r="AD21" s="265" t="n">
        <v>1015179.9626</v>
      </c>
    </row>
    <row r="22">
      <c r="A22" t="inlineStr">
        <is>
          <t>Resultado Financeiro³ (DRE l.123) - memoria · memoria · unid. moeda</t>
        </is>
      </c>
      <c r="C22" t="inlineStr">
        <is>
          <t>[linha bruta, sem código; lançada nas linhas abaixo]</t>
        </is>
      </c>
      <c r="D22" s="265" t="n">
        <v>-76658</v>
      </c>
      <c r="E22" s="265" t="n">
        <v>-67424</v>
      </c>
      <c r="F22" s="265" t="n">
        <v>-132746</v>
      </c>
      <c r="G22" s="265" t="n">
        <v>-208138</v>
      </c>
      <c r="I22" s="265" t="n">
        <v>-287287</v>
      </c>
      <c r="J22" s="265" t="n">
        <v>-399359</v>
      </c>
      <c r="K22" s="265" t="n">
        <v>-513667</v>
      </c>
      <c r="L22" s="265" t="n">
        <v>-501027</v>
      </c>
      <c r="N22" s="265" t="n">
        <v>-474682</v>
      </c>
      <c r="O22" s="265" t="n">
        <v>-525574</v>
      </c>
      <c r="P22" s="265" t="n">
        <v>-542739</v>
      </c>
      <c r="Q22" s="265" t="n">
        <v>-555381</v>
      </c>
      <c r="S22" s="265" t="n">
        <v>-538760</v>
      </c>
      <c r="T22" s="265" t="n">
        <v>-570722</v>
      </c>
      <c r="U22" s="265" t="n">
        <v>-594402</v>
      </c>
      <c r="V22" s="265" t="n">
        <v>-606664</v>
      </c>
      <c r="X22" s="265" t="n">
        <v>-655210</v>
      </c>
      <c r="Y22" s="265" t="n">
        <v>-694079</v>
      </c>
      <c r="Z22" s="265" t="n">
        <v>-795318</v>
      </c>
      <c r="AA22" s="265" t="n">
        <v>-763921.743594</v>
      </c>
      <c r="AC22" s="265" t="n">
        <v>-753782.4515</v>
      </c>
      <c r="AD22" s="265" t="n">
        <v>-845634.8304</v>
      </c>
    </row>
    <row r="23">
      <c r="A23" t="inlineStr">
        <is>
          <t>EBT (DRE l.126) - memoria · memoria · unid. moeda</t>
        </is>
      </c>
      <c r="C23" t="inlineStr">
        <is>
          <t>[linha bruta, sem código; lançada nas linhas abaixo]</t>
        </is>
      </c>
      <c r="D23" s="265" t="n">
        <v>165666</v>
      </c>
      <c r="E23" s="265" t="n">
        <v>248104</v>
      </c>
      <c r="F23" s="265" t="n">
        <v>369956</v>
      </c>
      <c r="G23" s="265" t="n">
        <v>398043</v>
      </c>
      <c r="I23" s="265" t="n">
        <v>362972</v>
      </c>
      <c r="J23" s="265" t="n">
        <v>264989</v>
      </c>
      <c r="K23" s="265" t="n">
        <v>111146</v>
      </c>
      <c r="L23" s="265" t="n">
        <v>-23725</v>
      </c>
      <c r="N23" s="265" t="n">
        <v>10627</v>
      </c>
      <c r="O23" s="265" t="n">
        <v>-24537</v>
      </c>
      <c r="P23" s="265" t="n">
        <v>-87579</v>
      </c>
      <c r="Q23" s="265" t="n">
        <v>-735320</v>
      </c>
      <c r="S23" s="265" t="n">
        <v>72886</v>
      </c>
      <c r="T23" s="265" t="n">
        <v>56604</v>
      </c>
      <c r="U23" s="265" t="n">
        <v>101796</v>
      </c>
      <c r="V23" s="265" t="n">
        <v>78265</v>
      </c>
      <c r="X23" s="265" t="n">
        <v>110745</v>
      </c>
      <c r="Y23" s="265" t="n">
        <v>91311</v>
      </c>
      <c r="Z23" s="265" t="n">
        <v>58774</v>
      </c>
      <c r="AA23" s="265" t="n">
        <v>86769.273756</v>
      </c>
      <c r="AC23" s="265" t="n">
        <v>164296.1905</v>
      </c>
      <c r="AD23" s="265" t="n">
        <v>169545.1322</v>
      </c>
    </row>
    <row r="24">
      <c r="A24" t="inlineStr">
        <is>
          <t>Lucro Líquido (DRE l.128) - memoria · memoria · unid. moeda</t>
        </is>
      </c>
      <c r="C24" t="inlineStr">
        <is>
          <t>[linha bruta, sem código; lançada nas linhas abaixo]</t>
        </is>
      </c>
      <c r="D24" s="265" t="n">
        <v>109481</v>
      </c>
      <c r="E24" s="265" t="n">
        <v>173921</v>
      </c>
      <c r="F24" s="265" t="n">
        <v>259381</v>
      </c>
      <c r="G24" s="265" t="n">
        <v>276656</v>
      </c>
      <c r="I24" s="265" t="n">
        <v>258068</v>
      </c>
      <c r="J24" s="265" t="n">
        <v>186761</v>
      </c>
      <c r="K24" s="265" t="n">
        <v>93718</v>
      </c>
      <c r="L24" s="265" t="n">
        <v>17831</v>
      </c>
      <c r="N24" s="265" t="n">
        <v>21044</v>
      </c>
      <c r="O24" s="265" t="n">
        <v>-17864</v>
      </c>
      <c r="P24" s="265" t="n">
        <v>-65721</v>
      </c>
      <c r="Q24" s="265" t="n">
        <v>-588309</v>
      </c>
      <c r="S24" s="265" t="n">
        <v>48599</v>
      </c>
      <c r="T24" s="265" t="n">
        <v>42548</v>
      </c>
      <c r="U24" s="265" t="n">
        <v>78194</v>
      </c>
      <c r="V24" s="265" t="n">
        <v>62171</v>
      </c>
      <c r="X24" s="265" t="n">
        <v>78468</v>
      </c>
      <c r="Y24" s="265" t="n">
        <v>67595</v>
      </c>
      <c r="Z24" s="265" t="n">
        <v>69955</v>
      </c>
      <c r="AA24" s="265" t="n">
        <v>102344.106983</v>
      </c>
      <c r="AC24" s="265" t="n">
        <v>124513.191101</v>
      </c>
      <c r="AD24" s="265" t="n">
        <v>135649.659877</v>
      </c>
    </row>
    <row r="25">
      <c r="A25" t="inlineStr">
        <is>
          <t>DERIVADAS (formula nesta aba)</t>
        </is>
      </c>
      <c r="C25" t="inlineStr">
        <is>
          <t>[linha bruta, sem código; lançada nas linhas abaixo]</t>
        </is>
      </c>
      <c r="D25" s="265" t="n"/>
      <c r="E25" s="265" t="n"/>
      <c r="F25" s="265" t="n"/>
      <c r="G25" s="265" t="n"/>
      <c r="I25" s="265" t="n"/>
      <c r="J25" s="265" t="n"/>
      <c r="K25" s="265" t="n"/>
      <c r="L25" s="265" t="n"/>
      <c r="N25" s="265" t="n"/>
      <c r="O25" s="265" t="n"/>
      <c r="P25" s="265" t="n"/>
      <c r="Q25" s="265" t="n"/>
      <c r="S25" s="265" t="n"/>
      <c r="T25" s="265" t="n"/>
      <c r="U25" s="265" t="n"/>
      <c r="V25" s="265" t="n"/>
      <c r="X25" s="265" t="n"/>
      <c r="Y25" s="265" t="n"/>
      <c r="Z25" s="265" t="n"/>
      <c r="AA25" s="265" t="n"/>
      <c r="AC25" s="265" t="n"/>
      <c r="AD25" s="265" t="n"/>
    </row>
    <row r="26">
      <c r="A26" t="inlineStr">
        <is>
          <t>Residuo do custo: EBT - (receita + custo ex-dep + depreciacao + despesas + desp. e rec. financeiras). Fecha o lucro bruto/EBT divulgados (1T22-3T23 ~15-20 = outros custos; 1T20 +195,4 e 4T20 -50,1 = base pro forma; demais = arredondamento) · derivada · unid. moeda</t>
        </is>
      </c>
      <c r="B26" t="n">
        <v>2</v>
      </c>
      <c r="C26" t="inlineStr">
        <is>
          <t>COGS (cash)</t>
        </is>
      </c>
      <c r="D26" s="265">
        <f>D23-D5-D6-D7-D8-D9-D10-D11-D12</f>
        <v>-1</v>
      </c>
      <c r="E26" s="265">
        <f>E23-E5-E6-E7-E8-E9-E10-E11-E12</f>
        <v>0</v>
      </c>
      <c r="F26" s="265">
        <f>F23-F5-F6-F7-F8-F9-F10-F11-F12</f>
        <v>0</v>
      </c>
      <c r="G26" s="265">
        <f>G23-G5-G6-G7-G8-G9-G10-G11-G12</f>
        <v>0</v>
      </c>
      <c r="I26" s="265">
        <f>I23-I5-I6-I7-I8-I9-I10-I11-I12</f>
        <v>14656</v>
      </c>
      <c r="J26" s="265">
        <f>J23-J5-J6-J7-J8-J9-J10-J11-J12</f>
        <v>16851</v>
      </c>
      <c r="K26" s="265">
        <f>K23-K5-K6-K7-K8-K9-K10-K11-K12</f>
        <v>18885</v>
      </c>
      <c r="L26" s="265">
        <f>L23-L5-L6-L7-L8-L9-L10-L11-L12</f>
        <v>16249</v>
      </c>
      <c r="N26" s="265">
        <f>N23-N5-N6-N7-N8-N9-N10-N11-N12</f>
        <v>16391</v>
      </c>
      <c r="O26" s="265">
        <f>O23-O5-O6-O7-O8-O9-O10-O11-O12</f>
        <v>17469</v>
      </c>
      <c r="P26" s="265">
        <f>P23-P5-P6-P7-P8-P9-P10-P11-P12</f>
        <v>20141</v>
      </c>
      <c r="Q26" s="265">
        <f>Q23-Q5-Q6-Q7-Q8-Q9-Q10-Q11-Q12</f>
        <v>-89</v>
      </c>
      <c r="S26" s="265">
        <f>S23-S5-S6-S7-S8-S9-S10-S11-S12</f>
        <v>37</v>
      </c>
      <c r="T26" s="265">
        <f>T23-T5-T6-T7-T8-T9-T10-T11-T12</f>
        <v>31</v>
      </c>
      <c r="U26" s="265">
        <f>U23-U5-U6-U7-U8-U9-U10-U11-U12</f>
        <v>0</v>
      </c>
      <c r="V26" s="265">
        <f>V23-V5-V6-V7-V8-V9-V10-V11-V12</f>
        <v>0</v>
      </c>
      <c r="X26" s="265">
        <f>X23-X5-X6-X7-X8-X9-X10-X11-X12</f>
        <v>-1</v>
      </c>
      <c r="Y26" s="265">
        <f>Y23-Y5-Y6-Y7-Y8-Y9-Y10-Y11-Y12</f>
        <v>-1</v>
      </c>
      <c r="Z26" s="265">
        <f>Z23-Z5-Z6-Z7-Z8-Z9-Z10-Z11-Z12</f>
        <v>0</v>
      </c>
      <c r="AA26" s="265">
        <f>AA23-AA5-AA6-AA7-AA8-AA9-AA10-AA11-AA12</f>
        <v>0</v>
      </c>
      <c r="AC26" s="265">
        <f>AC23-AC5-AC6-AC7-AC8-AC9-AC10-AC11-AC12</f>
        <v>0</v>
      </c>
      <c r="AD26" s="265">
        <f>AD23-AD5-AD6-AD7-AD8-AD9-AD10-AD11-AD12</f>
        <v>0</v>
      </c>
    </row>
    <row r="27">
      <c r="A27" t="inlineStr">
        <is>
          <t>IR/CS = lucro liquido - EBT (a planilha nao abre a linha de IR) · derivada · unid. moeda</t>
        </is>
      </c>
      <c r="B27" t="n">
        <v>7</v>
      </c>
      <c r="C27" t="inlineStr">
        <is>
          <t>Taxes</t>
        </is>
      </c>
      <c r="D27" s="265">
        <f>D24-D23</f>
        <v>-56185</v>
      </c>
      <c r="E27" s="265">
        <f>E24-E23</f>
        <v>-74183</v>
      </c>
      <c r="F27" s="265">
        <f>F24-F23</f>
        <v>-110575</v>
      </c>
      <c r="G27" s="265">
        <f>G24-G23</f>
        <v>-121387</v>
      </c>
      <c r="I27" s="265">
        <f>I24-I23</f>
        <v>-104904</v>
      </c>
      <c r="J27" s="265">
        <f>J24-J23</f>
        <v>-78228</v>
      </c>
      <c r="K27" s="265">
        <f>K24-K23</f>
        <v>-17428</v>
      </c>
      <c r="L27" s="265">
        <f>L24-L23</f>
        <v>41556</v>
      </c>
      <c r="N27" s="265">
        <f>N24-N23</f>
        <v>10417</v>
      </c>
      <c r="O27" s="265">
        <f>O24-O23</f>
        <v>6673</v>
      </c>
      <c r="P27" s="265">
        <f>P24-P23</f>
        <v>21858</v>
      </c>
      <c r="Q27" s="265">
        <f>Q24-Q23</f>
        <v>147011</v>
      </c>
      <c r="S27" s="265">
        <f>S24-S23</f>
        <v>-24287</v>
      </c>
      <c r="T27" s="265">
        <f>T24-T23</f>
        <v>-14056</v>
      </c>
      <c r="U27" s="265">
        <f>U24-U23</f>
        <v>-23602</v>
      </c>
      <c r="V27" s="265">
        <f>V24-V23</f>
        <v>-16094</v>
      </c>
      <c r="X27" s="265">
        <f>X24-X23</f>
        <v>-32277</v>
      </c>
      <c r="Y27" s="265">
        <f>Y24-Y23</f>
        <v>-23716</v>
      </c>
      <c r="Z27" s="265">
        <f>Z24-Z23</f>
        <v>11181</v>
      </c>
      <c r="AA27" s="265">
        <f>AA24-AA23</f>
        <v>15574.833227</v>
      </c>
      <c r="AC27" s="265">
        <f>AC24-AC23</f>
        <v>-39782.999399</v>
      </c>
      <c r="AD27" s="265">
        <f>AD24-AD23</f>
        <v>-33895.472323</v>
      </c>
    </row>
    <row r="28">
      <c r="A28" t="inlineStr">
        <is>
          <t>D&amp;A = EBIT - EBITDA (negativo): COD1=4 lanca; COD2=2 devolve ao custo (quase toda depreciacao e de frota). EBITDA do Model = EBITDA divulgado · derivada · unid. moeda</t>
        </is>
      </c>
      <c r="C28" t="inlineStr">
        <is>
          <t>[linha bruta, sem código; lançada nas linhas abaixo]</t>
        </is>
      </c>
      <c r="D28" s="265">
        <f>D21-D19</f>
        <v>-62178</v>
      </c>
      <c r="E28" s="265">
        <f>E21-E19</f>
        <v>-72936</v>
      </c>
      <c r="F28" s="265">
        <f>F21-F19</f>
        <v>-110706</v>
      </c>
      <c r="G28" s="265">
        <f>G21-G19</f>
        <v>-170431</v>
      </c>
      <c r="I28" s="265">
        <f>I21-I19</f>
        <v>-212836</v>
      </c>
      <c r="J28" s="265">
        <f>J21-J19</f>
        <v>-240909</v>
      </c>
      <c r="K28" s="265">
        <f>K21-K19</f>
        <v>-300524</v>
      </c>
      <c r="L28" s="265">
        <f>L21-L19</f>
        <v>-380942</v>
      </c>
      <c r="N28" s="265">
        <f>N21-N19</f>
        <v>-390033</v>
      </c>
      <c r="O28" s="265">
        <f>O21-O19</f>
        <v>-388955</v>
      </c>
      <c r="P28" s="265">
        <f>P21-P19</f>
        <v>-412766</v>
      </c>
      <c r="Q28" s="265">
        <f>Q21-Q19</f>
        <v>-1046012</v>
      </c>
      <c r="S28" s="265">
        <f>S21-S19</f>
        <v>-447855</v>
      </c>
      <c r="T28" s="265">
        <f>T21-T19</f>
        <v>-522034</v>
      </c>
      <c r="U28" s="265">
        <f>U21-U19</f>
        <v>-551278</v>
      </c>
      <c r="V28" s="265">
        <f>V21-V19</f>
        <v>-559351</v>
      </c>
      <c r="X28" s="265">
        <f>X21-X19</f>
        <v>-572374</v>
      </c>
      <c r="Y28" s="265">
        <f>Y21-Y19</f>
        <v>-593733</v>
      </c>
      <c r="Z28" s="265">
        <f>Z21-Z19</f>
        <v>-624565</v>
      </c>
      <c r="AA28" s="265">
        <f>AA21-AA19</f>
        <v>-639359.2426</v>
      </c>
      <c r="AC28" s="265">
        <f>AC21-AC19</f>
        <v>-650585.9214</v>
      </c>
      <c r="AD28" s="265">
        <f>AD21-AD19</f>
        <v>-671563.6214</v>
      </c>
    </row>
    <row r="29">
      <c r="A29" t="inlineStr">
        <is>
          <t>(lançamento) código 4, sinal +1 sobre a linha bruta 28: D&amp;A = EBIT - EBITDA (negativo): COD1=4 lanca; COD2=2 devolve ao custo (quase toda deprecia</t>
        </is>
      </c>
      <c r="B29" t="n">
        <v>4</v>
      </c>
      <c r="C29" t="inlineStr">
        <is>
          <t>D&amp;A</t>
        </is>
      </c>
      <c r="D29" s="265">
        <f>IF(D28="","",D28)</f>
        <v>-62178</v>
      </c>
      <c r="E29" s="265">
        <f>IF(E28="","",E28)</f>
        <v>-72936</v>
      </c>
      <c r="F29" s="265">
        <f>IF(F28="","",F28)</f>
        <v>-110706</v>
      </c>
      <c r="G29" s="265">
        <f>IF(G28="","",G28)</f>
        <v>-170431</v>
      </c>
      <c r="I29" s="265">
        <f>IF(I28="","",I28)</f>
        <v>-212836</v>
      </c>
      <c r="J29" s="265">
        <f>IF(J28="","",J28)</f>
        <v>-240909</v>
      </c>
      <c r="K29" s="265">
        <f>IF(K28="","",K28)</f>
        <v>-300524</v>
      </c>
      <c r="L29" s="265">
        <f>IF(L28="","",L28)</f>
        <v>-380942</v>
      </c>
      <c r="N29" s="265">
        <f>IF(N28="","",N28)</f>
        <v>-390033</v>
      </c>
      <c r="O29" s="265">
        <f>IF(O28="","",O28)</f>
        <v>-388955</v>
      </c>
      <c r="P29" s="265">
        <f>IF(P28="","",P28)</f>
        <v>-412766</v>
      </c>
      <c r="Q29" s="265">
        <f>IF(Q28="","",Q28)</f>
        <v>-1046012</v>
      </c>
      <c r="S29" s="265">
        <f>IF(S28="","",S28)</f>
        <v>-447855</v>
      </c>
      <c r="T29" s="265">
        <f>IF(T28="","",T28)</f>
        <v>-522034</v>
      </c>
      <c r="U29" s="265">
        <f>IF(U28="","",U28)</f>
        <v>-551278</v>
      </c>
      <c r="V29" s="265">
        <f>IF(V28="","",V28)</f>
        <v>-559351</v>
      </c>
      <c r="X29" s="265">
        <f>IF(X28="","",X28)</f>
        <v>-572374</v>
      </c>
      <c r="Y29" s="265">
        <f>IF(Y28="","",Y28)</f>
        <v>-593733</v>
      </c>
      <c r="Z29" s="265">
        <f>IF(Z28="","",Z28)</f>
        <v>-624565</v>
      </c>
      <c r="AA29" s="265">
        <f>IF(AA28="","",AA28)</f>
        <v>-639359.2426</v>
      </c>
      <c r="AC29" s="265">
        <f>IF(AC28="","",AC28)</f>
        <v>-650585.9214</v>
      </c>
      <c r="AD29" s="265">
        <f>IF(AD28="","",AD28)</f>
        <v>-671563.6214</v>
      </c>
    </row>
    <row r="30">
      <c r="A30" t="inlineStr">
        <is>
          <t>(lançamento) código 2, sinal -1 sobre a linha bruta 28: D&amp;A = EBIT - EBITDA (negativo): COD1=4 lanca; COD2=2 devolve ao custo (quase toda deprecia</t>
        </is>
      </c>
      <c r="B30" t="n">
        <v>2</v>
      </c>
      <c r="C30" t="inlineStr">
        <is>
          <t>COGS (cash)</t>
        </is>
      </c>
      <c r="D30" s="265">
        <f>IF(D28="","",-1*D28)</f>
        <v>62178</v>
      </c>
      <c r="E30" s="265">
        <f>IF(E28="","",-1*E28)</f>
        <v>72936</v>
      </c>
      <c r="F30" s="265">
        <f>IF(F28="","",-1*F28)</f>
        <v>110706</v>
      </c>
      <c r="G30" s="265">
        <f>IF(G28="","",-1*G28)</f>
        <v>170431</v>
      </c>
      <c r="I30" s="265">
        <f>IF(I28="","",-1*I28)</f>
        <v>212836</v>
      </c>
      <c r="J30" s="265">
        <f>IF(J28="","",-1*J28)</f>
        <v>240909</v>
      </c>
      <c r="K30" s="265">
        <f>IF(K28="","",-1*K28)</f>
        <v>300524</v>
      </c>
      <c r="L30" s="265">
        <f>IF(L28="","",-1*L28)</f>
        <v>380942</v>
      </c>
      <c r="N30" s="265">
        <f>IF(N28="","",-1*N28)</f>
        <v>390033</v>
      </c>
      <c r="O30" s="265">
        <f>IF(O28="","",-1*O28)</f>
        <v>388955</v>
      </c>
      <c r="P30" s="265">
        <f>IF(P28="","",-1*P28)</f>
        <v>412766</v>
      </c>
      <c r="Q30" s="265">
        <f>IF(Q28="","",-1*Q28)</f>
        <v>1046012</v>
      </c>
      <c r="S30" s="265">
        <f>IF(S28="","",-1*S28)</f>
        <v>447855</v>
      </c>
      <c r="T30" s="265">
        <f>IF(T28="","",-1*T28)</f>
        <v>522034</v>
      </c>
      <c r="U30" s="265">
        <f>IF(U28="","",-1*U28)</f>
        <v>551278</v>
      </c>
      <c r="V30" s="265">
        <f>IF(V28="","",-1*V28)</f>
        <v>559351</v>
      </c>
      <c r="X30" s="265">
        <f>IF(X28="","",-1*X28)</f>
        <v>572374</v>
      </c>
      <c r="Y30" s="265">
        <f>IF(Y28="","",-1*Y28)</f>
        <v>593733</v>
      </c>
      <c r="Z30" s="265">
        <f>IF(Z28="","",-1*Z28)</f>
        <v>624565</v>
      </c>
      <c r="AA30" s="265">
        <f>IF(AA28="","",-1*AA28)</f>
        <v>639359.2426</v>
      </c>
      <c r="AC30" s="265">
        <f>IF(AC28="","",-1*AC28)</f>
        <v>650585.9214</v>
      </c>
      <c r="AD30" s="265">
        <f>IF(AD28="","",-1*AD28)</f>
        <v>671563.6214</v>
      </c>
    </row>
    <row r="31">
      <c r="A31" t="inlineStr">
        <is>
          <t>Lucro liquido (l.128; sem minoritarios) - COD 44 alimenta o check IS do Model · derivada · unid. moeda</t>
        </is>
      </c>
      <c r="B31" t="n">
        <v>44</v>
      </c>
      <c r="C31" t="inlineStr">
        <is>
          <t xml:space="preserve">Lucro liquido (l.128; sem minoritarios) - COD 44 alimenta o </t>
        </is>
      </c>
      <c r="D31" s="265">
        <f>D24</f>
        <v>109481</v>
      </c>
      <c r="E31" s="265">
        <f>E24</f>
        <v>173921</v>
      </c>
      <c r="F31" s="265">
        <f>F24</f>
        <v>259381</v>
      </c>
      <c r="G31" s="265">
        <f>G24</f>
        <v>276656</v>
      </c>
      <c r="I31" s="265">
        <f>I24</f>
        <v>258068</v>
      </c>
      <c r="J31" s="265">
        <f>J24</f>
        <v>186761</v>
      </c>
      <c r="K31" s="265">
        <f>K24</f>
        <v>93718</v>
      </c>
      <c r="L31" s="265">
        <f>L24</f>
        <v>17831</v>
      </c>
      <c r="N31" s="265">
        <f>N24</f>
        <v>21044</v>
      </c>
      <c r="O31" s="265">
        <f>O24</f>
        <v>-17864</v>
      </c>
      <c r="P31" s="265">
        <f>P24</f>
        <v>-65721</v>
      </c>
      <c r="Q31" s="265">
        <f>Q24</f>
        <v>-588309</v>
      </c>
      <c r="S31" s="265">
        <f>S24</f>
        <v>48599</v>
      </c>
      <c r="T31" s="265">
        <f>T24</f>
        <v>42548</v>
      </c>
      <c r="U31" s="265">
        <f>U24</f>
        <v>78194</v>
      </c>
      <c r="V31" s="265">
        <f>V24</f>
        <v>62171</v>
      </c>
      <c r="X31" s="265">
        <f>X24</f>
        <v>78468</v>
      </c>
      <c r="Y31" s="265">
        <f>Y24</f>
        <v>67595</v>
      </c>
      <c r="Z31" s="265">
        <f>Z24</f>
        <v>69955</v>
      </c>
      <c r="AA31" s="265">
        <f>AA24</f>
        <v>102344.106983</v>
      </c>
      <c r="AC31" s="265">
        <f>AC24</f>
        <v>124513.191101</v>
      </c>
      <c r="AD31" s="265">
        <f>AD24</f>
        <v>135649.659877</v>
      </c>
    </row>
    <row r="32">
      <c r="A32" t="inlineStr">
        <is>
          <t>DFC - ACUMULADO NO ANO (R$ milhoes): Dividendos e JCP pagos, DFC consolidada dos ITR/DFP na CVM (contas 6.03.xx "Dividendos..."). A planilha da Cia nao traz DFC</t>
        </is>
      </c>
      <c r="C32" t="inlineStr">
        <is>
          <t>[linha bruta, sem código; lançada nas linhas abaixo]</t>
        </is>
      </c>
      <c r="D32" s="265" t="n"/>
      <c r="E32" s="265" t="n"/>
      <c r="F32" s="265" t="n"/>
      <c r="G32" s="265" t="n"/>
      <c r="I32" s="265" t="n"/>
      <c r="J32" s="265" t="n"/>
      <c r="K32" s="265" t="n"/>
      <c r="L32" s="265" t="n"/>
      <c r="N32" s="265" t="n"/>
      <c r="O32" s="265" t="n"/>
      <c r="P32" s="265" t="n"/>
      <c r="Q32" s="265" t="n"/>
      <c r="S32" s="265" t="n"/>
      <c r="T32" s="265" t="n"/>
      <c r="U32" s="265" t="n"/>
      <c r="V32" s="265" t="n"/>
      <c r="X32" s="265" t="n"/>
      <c r="Y32" s="265" t="n"/>
      <c r="Z32" s="265" t="n"/>
      <c r="AA32" s="265" t="n"/>
      <c r="AC32" s="265" t="n"/>
      <c r="AD32" s="265" t="n"/>
    </row>
    <row r="33">
      <c r="A33" t="inlineStr">
        <is>
          <t>Dividendos e JCP pagos - acumulado no ano (CVM; soma das contas 6.03 de dividendos/JCP) · memoria · unid. moeda</t>
        </is>
      </c>
      <c r="C33" t="inlineStr">
        <is>
          <t>[linha bruta, sem código; lançada nas linhas abaixo]</t>
        </is>
      </c>
      <c r="D33" s="265" t="n">
        <v>0</v>
      </c>
      <c r="E33" s="265" t="n">
        <v>0</v>
      </c>
      <c r="F33" s="265" t="n">
        <v>-64133</v>
      </c>
      <c r="G33" s="265" t="n">
        <v>-106614</v>
      </c>
      <c r="I33" s="265" t="n">
        <v>-39311</v>
      </c>
      <c r="J33" s="265" t="n">
        <v>-348658</v>
      </c>
      <c r="K33" s="265" t="n">
        <v>-395507</v>
      </c>
      <c r="L33" s="265" t="n">
        <v>-447638</v>
      </c>
      <c r="N33" s="265" t="n">
        <v>-47512</v>
      </c>
      <c r="O33" s="265" t="n">
        <v>-138201</v>
      </c>
      <c r="P33" s="265" t="n">
        <v>-138200</v>
      </c>
      <c r="Q33" s="265" t="n">
        <v>-138200</v>
      </c>
      <c r="S33" s="265" t="n">
        <v>0</v>
      </c>
      <c r="T33" s="265" t="n">
        <v>0</v>
      </c>
      <c r="U33" s="265" t="n">
        <v>0</v>
      </c>
      <c r="V33" s="265" t="n">
        <v>0</v>
      </c>
      <c r="X33" s="265" t="n">
        <v>0</v>
      </c>
      <c r="Y33" s="265" t="n">
        <v>-55050</v>
      </c>
      <c r="Z33" s="265" t="n">
        <v>-55050</v>
      </c>
      <c r="AA33" s="265" t="n">
        <v>-55050</v>
      </c>
      <c r="AC33" s="265" t="n">
        <v>0</v>
      </c>
      <c r="AD33" s="265" t="n">
        <v>0</v>
      </c>
    </row>
    <row r="34">
      <c r="A34" t="inlineStr">
        <is>
          <t>Dividendos e JCP pagos (trimestralizado) · derivada · unid. moeda</t>
        </is>
      </c>
      <c r="B34" t="n">
        <v>10</v>
      </c>
      <c r="C34" t="inlineStr">
        <is>
          <t>Common Dividends</t>
        </is>
      </c>
      <c r="D34" s="265">
        <f>N(D33)</f>
        <v>0</v>
      </c>
      <c r="E34" s="265">
        <f>N(E33)-N(D33)</f>
        <v>0</v>
      </c>
      <c r="F34" s="265">
        <f>N(F33)-N(E33)</f>
        <v>-64133</v>
      </c>
      <c r="G34" s="265">
        <f>N(G33)-N(F33)</f>
        <v>-42481</v>
      </c>
      <c r="I34" s="265">
        <f>N(I33)</f>
        <v>-39311</v>
      </c>
      <c r="J34" s="265">
        <f>N(J33)-N(I33)</f>
        <v>-309347</v>
      </c>
      <c r="K34" s="265">
        <f>N(K33)-N(J33)</f>
        <v>-46849</v>
      </c>
      <c r="L34" s="265">
        <f>N(L33)-N(K33)</f>
        <v>-52131</v>
      </c>
      <c r="N34" s="265">
        <f>N(N33)</f>
        <v>-47512</v>
      </c>
      <c r="O34" s="265">
        <f>N(O33)-N(N33)</f>
        <v>-90689</v>
      </c>
      <c r="P34" s="265">
        <f>N(P33)-N(O33)</f>
        <v>1</v>
      </c>
      <c r="Q34" s="265">
        <f>N(Q33)-N(P33)</f>
        <v>0</v>
      </c>
      <c r="S34" s="265">
        <f>N(S33)</f>
        <v>0</v>
      </c>
      <c r="T34" s="265">
        <f>N(T33)-N(S33)</f>
        <v>0</v>
      </c>
      <c r="U34" s="265">
        <f>N(U33)-N(T33)</f>
        <v>0</v>
      </c>
      <c r="V34" s="265">
        <f>N(V33)-N(U33)</f>
        <v>0</v>
      </c>
      <c r="X34" s="265">
        <f>N(X33)</f>
        <v>0</v>
      </c>
      <c r="Y34" s="265">
        <f>N(Y33)-N(X33)</f>
        <v>-55050</v>
      </c>
      <c r="Z34" s="265">
        <f>N(Z33)-N(Y33)</f>
        <v>0</v>
      </c>
      <c r="AA34" s="265">
        <f>N(AA33)-N(Z33)</f>
        <v>0</v>
      </c>
      <c r="AC34" s="265">
        <f>N(AC33)</f>
        <v>0</v>
      </c>
      <c r="AD34" s="265">
        <f>N(AD33)-N(AC33)</f>
        <v>0</v>
      </c>
    </row>
    <row r="35">
      <c r="A35" t="inlineStr">
        <is>
          <t>BALANCO (aba BS | BP (Proforma); R$ milhoes). TVM de longo prazo vai para caixa (cod 11), como no calculo de divida liquida da Cia</t>
        </is>
      </c>
      <c r="C35" t="inlineStr">
        <is>
          <t>[linha bruta, sem código; lançada nas linhas abaixo]</t>
        </is>
      </c>
      <c r="D35" s="265" t="n"/>
      <c r="E35" s="265" t="n"/>
      <c r="F35" s="265" t="n"/>
      <c r="G35" s="265" t="n"/>
      <c r="I35" s="265" t="n"/>
      <c r="J35" s="265" t="n"/>
      <c r="K35" s="265" t="n"/>
      <c r="L35" s="265" t="n"/>
      <c r="N35" s="265" t="n"/>
      <c r="O35" s="265" t="n"/>
      <c r="P35" s="265" t="n"/>
      <c r="Q35" s="265" t="n"/>
      <c r="S35" s="265" t="n"/>
      <c r="T35" s="265" t="n"/>
      <c r="U35" s="265" t="n"/>
      <c r="V35" s="265" t="n"/>
      <c r="X35" s="265" t="n"/>
      <c r="Y35" s="265" t="n"/>
      <c r="Z35" s="265" t="n"/>
      <c r="AA35" s="265" t="n"/>
      <c r="AC35" s="265" t="n"/>
      <c r="AD35" s="265" t="n"/>
    </row>
    <row r="36">
      <c r="A36" t="inlineStr">
        <is>
          <t>A: Caixa e equivalentes de caixa (BP l.6) · fonte · unid. moeda</t>
        </is>
      </c>
      <c r="B36" t="n">
        <v>11</v>
      </c>
      <c r="C36" t="inlineStr">
        <is>
          <t>Cash and equivalents (inc. investment securities)</t>
        </is>
      </c>
      <c r="D36" s="265" t="n">
        <v>886551</v>
      </c>
      <c r="E36" s="265" t="n">
        <v>2816548</v>
      </c>
      <c r="F36" s="265" t="n">
        <v>4643996</v>
      </c>
      <c r="G36" s="265" t="n">
        <v>146030</v>
      </c>
      <c r="I36" s="265" t="n">
        <v>903521</v>
      </c>
      <c r="J36" s="265" t="n">
        <v>950708</v>
      </c>
      <c r="K36" s="265" t="n">
        <v>401837</v>
      </c>
      <c r="L36" s="265" t="n">
        <v>551764</v>
      </c>
      <c r="N36" s="265" t="n">
        <v>486982</v>
      </c>
      <c r="O36" s="265" t="n">
        <v>487375</v>
      </c>
      <c r="P36" s="265" t="n">
        <v>356841</v>
      </c>
      <c r="Q36" s="265" t="n">
        <v>133394</v>
      </c>
      <c r="S36" s="265" t="n">
        <v>475274</v>
      </c>
      <c r="T36" s="265" t="n">
        <v>674841</v>
      </c>
      <c r="U36" s="265" t="n">
        <v>568043</v>
      </c>
      <c r="V36" s="265" t="n">
        <v>677895</v>
      </c>
      <c r="X36" s="265" t="n">
        <v>847108</v>
      </c>
      <c r="Y36" s="265" t="n">
        <v>1002896</v>
      </c>
      <c r="Z36" s="265" t="n">
        <v>1671176</v>
      </c>
      <c r="AA36" s="265" t="n">
        <v>1322044</v>
      </c>
      <c r="AC36" s="265" t="n">
        <v>1830668</v>
      </c>
      <c r="AD36" s="265" t="n">
        <v>1648914</v>
      </c>
    </row>
    <row r="37">
      <c r="A37" t="inlineStr">
        <is>
          <t>A: Títulos, valores mobiliários e aplicações financeiras (BP l.7) -&gt; caixa · fonte · unid. moeda</t>
        </is>
      </c>
      <c r="B37" t="n">
        <v>11</v>
      </c>
      <c r="C37" t="inlineStr">
        <is>
          <t>Cash and equivalents (inc. investment securities)</t>
        </is>
      </c>
      <c r="D37" s="265" t="n">
        <v>2095684</v>
      </c>
      <c r="E37" s="265" t="n">
        <v>2740207</v>
      </c>
      <c r="F37" s="265" t="n">
        <v>3630317</v>
      </c>
      <c r="G37" s="265" t="n">
        <v>7640423</v>
      </c>
      <c r="I37" s="265" t="n">
        <v>4747063</v>
      </c>
      <c r="J37" s="265" t="n">
        <v>4771989</v>
      </c>
      <c r="K37" s="265" t="n">
        <v>7393620</v>
      </c>
      <c r="L37" s="265" t="n">
        <v>6275771</v>
      </c>
      <c r="N37" s="265" t="n">
        <v>3436117</v>
      </c>
      <c r="O37" s="265" t="n">
        <v>2090491</v>
      </c>
      <c r="P37" s="265" t="n">
        <v>1654286</v>
      </c>
      <c r="Q37" s="265" t="n">
        <v>2865358</v>
      </c>
      <c r="S37" s="265" t="n">
        <v>2736012</v>
      </c>
      <c r="T37" s="265" t="n">
        <v>3010162</v>
      </c>
      <c r="U37" s="265" t="n">
        <v>3407676</v>
      </c>
      <c r="V37" s="265" t="n">
        <v>3613468</v>
      </c>
      <c r="X37" s="265" t="n">
        <v>2190087</v>
      </c>
      <c r="Y37" s="265" t="n">
        <v>2436181</v>
      </c>
      <c r="Z37" s="265" t="n">
        <v>1645729</v>
      </c>
      <c r="AA37" s="265" t="n">
        <v>2799536</v>
      </c>
      <c r="AC37" s="265" t="n">
        <v>3650208</v>
      </c>
      <c r="AD37" s="265" t="n">
        <v>1815879</v>
      </c>
    </row>
    <row r="38">
      <c r="A38" t="inlineStr">
        <is>
          <t>A: Títulos, valores mobiliários e aplicações financeiras (BP l.19) (LP) -&gt; caixa · fonte · unid. moeda</t>
        </is>
      </c>
      <c r="B38" t="n">
        <v>11</v>
      </c>
      <c r="C38" t="inlineStr">
        <is>
          <t>Cash and equivalents (inc. investment securities)</t>
        </is>
      </c>
      <c r="D38" s="265" t="n">
        <v>2529645</v>
      </c>
      <c r="E38" s="265" t="n">
        <v>0</v>
      </c>
      <c r="F38" s="265" t="n">
        <v>0</v>
      </c>
      <c r="G38" s="265" t="n">
        <v>0</v>
      </c>
      <c r="I38" s="265" t="n">
        <v>0</v>
      </c>
      <c r="J38" s="265" t="n">
        <v>0</v>
      </c>
      <c r="K38" s="265" t="n">
        <v>0</v>
      </c>
      <c r="L38" s="265" t="n">
        <v>0</v>
      </c>
      <c r="N38" s="265" t="n">
        <v>0</v>
      </c>
      <c r="O38" s="265" t="n">
        <v>0</v>
      </c>
      <c r="P38" s="265" t="n">
        <v>0</v>
      </c>
      <c r="Q38" s="265" t="n">
        <v>0</v>
      </c>
      <c r="S38" s="265" t="n">
        <v>0</v>
      </c>
      <c r="T38" s="265" t="n">
        <v>0</v>
      </c>
      <c r="U38" s="265" t="n">
        <v>0</v>
      </c>
      <c r="V38" s="265" t="n">
        <v>0</v>
      </c>
      <c r="X38" s="265" t="n">
        <v>0</v>
      </c>
      <c r="Y38" s="265" t="n">
        <v>2563</v>
      </c>
      <c r="Z38" s="265" t="n">
        <v>2584</v>
      </c>
      <c r="AA38" s="265" t="n">
        <v>2753815</v>
      </c>
      <c r="AC38" s="265" t="n">
        <v>2612312</v>
      </c>
      <c r="AD38" s="265" t="n">
        <v>4014504</v>
      </c>
    </row>
    <row r="39">
      <c r="A39" t="inlineStr">
        <is>
          <t>A: Instrumentos financeiros derivativos (BP l.8) · fonte · unid. moeda</t>
        </is>
      </c>
      <c r="B39" t="n">
        <v>22</v>
      </c>
      <c r="C39" t="inlineStr">
        <is>
          <t>Other non-current assets</t>
        </is>
      </c>
      <c r="D39" s="265" t="n">
        <v>0</v>
      </c>
      <c r="E39" s="265" t="n">
        <v>0</v>
      </c>
      <c r="F39" s="265" t="n">
        <v>0</v>
      </c>
      <c r="G39" s="265" t="n">
        <v>0</v>
      </c>
      <c r="I39" s="265" t="n">
        <v>0</v>
      </c>
      <c r="J39" s="265" t="n">
        <v>0</v>
      </c>
      <c r="K39" s="265" t="n">
        <v>0</v>
      </c>
      <c r="L39" s="265" t="n">
        <v>0</v>
      </c>
      <c r="N39" s="265" t="n">
        <v>0</v>
      </c>
      <c r="O39" s="265" t="n">
        <v>0</v>
      </c>
      <c r="P39" s="265" t="n">
        <v>0</v>
      </c>
      <c r="Q39" s="265" t="n">
        <v>0</v>
      </c>
      <c r="S39" s="265" t="n">
        <v>0</v>
      </c>
      <c r="T39" s="265" t="n">
        <v>0</v>
      </c>
      <c r="U39" s="265" t="n">
        <v>0</v>
      </c>
      <c r="V39" s="265" t="n">
        <v>0</v>
      </c>
      <c r="X39" s="265" t="n">
        <v>0</v>
      </c>
      <c r="Y39" s="265" t="n">
        <v>0</v>
      </c>
      <c r="Z39" s="265" t="n">
        <v>0</v>
      </c>
      <c r="AA39" s="265" t="n">
        <v>0</v>
      </c>
      <c r="AC39" s="265" t="n">
        <v>0</v>
      </c>
      <c r="AD39" s="265" t="n">
        <v>31224</v>
      </c>
    </row>
    <row r="40">
      <c r="A40" t="inlineStr">
        <is>
          <t>A: Contas a receber (BP l.9) · fonte · unid. moeda</t>
        </is>
      </c>
      <c r="B40" t="n">
        <v>12</v>
      </c>
      <c r="C40" t="inlineStr">
        <is>
          <t>Accounts receivable</t>
        </is>
      </c>
      <c r="D40" s="265" t="n">
        <v>447114</v>
      </c>
      <c r="E40" s="265" t="n">
        <v>550855</v>
      </c>
      <c r="F40" s="265" t="n">
        <v>631554</v>
      </c>
      <c r="G40" s="265" t="n">
        <v>879885</v>
      </c>
      <c r="I40" s="265" t="n">
        <v>1075725</v>
      </c>
      <c r="J40" s="265" t="n">
        <v>1284046</v>
      </c>
      <c r="K40" s="265" t="n">
        <v>1044110</v>
      </c>
      <c r="L40" s="265" t="n">
        <v>1173855</v>
      </c>
      <c r="N40" s="265" t="n">
        <v>1024973</v>
      </c>
      <c r="O40" s="265" t="n">
        <v>1099135</v>
      </c>
      <c r="P40" s="265" t="n">
        <v>1309929</v>
      </c>
      <c r="Q40" s="265" t="n">
        <v>1343672</v>
      </c>
      <c r="S40" s="265" t="n">
        <v>1541190</v>
      </c>
      <c r="T40" s="265" t="n">
        <v>1684002</v>
      </c>
      <c r="U40" s="265" t="n">
        <v>1736952</v>
      </c>
      <c r="V40" s="265" t="n">
        <v>1441650</v>
      </c>
      <c r="X40" s="265" t="n">
        <v>2183360</v>
      </c>
      <c r="Y40" s="265" t="n">
        <v>2175461</v>
      </c>
      <c r="Z40" s="265" t="n">
        <v>2216498</v>
      </c>
      <c r="AA40" s="265" t="n">
        <v>1989613</v>
      </c>
      <c r="AC40" s="265" t="n">
        <v>2172228</v>
      </c>
      <c r="AD40" s="265" t="n">
        <v>2293273</v>
      </c>
    </row>
    <row r="41">
      <c r="A41" t="inlineStr">
        <is>
          <t>A: Contas a receber (BP l.21) · fonte · unid. moeda</t>
        </is>
      </c>
      <c r="B41" t="n">
        <v>12</v>
      </c>
      <c r="C41" t="inlineStr">
        <is>
          <t>Accounts receivable</t>
        </is>
      </c>
      <c r="D41" s="265" t="n">
        <v>3266</v>
      </c>
      <c r="E41" s="265" t="n">
        <v>2840</v>
      </c>
      <c r="F41" s="265" t="n">
        <v>2809</v>
      </c>
      <c r="G41" s="265" t="n">
        <v>7182</v>
      </c>
      <c r="I41" s="265" t="n">
        <v>2110</v>
      </c>
      <c r="J41" s="265" t="n">
        <v>1859</v>
      </c>
      <c r="K41" s="265" t="n">
        <v>1938</v>
      </c>
      <c r="L41" s="265" t="n">
        <v>1879</v>
      </c>
      <c r="N41" s="265" t="n">
        <v>2037</v>
      </c>
      <c r="O41" s="265" t="n">
        <v>1834</v>
      </c>
      <c r="P41" s="265" t="n">
        <v>2373</v>
      </c>
      <c r="Q41" s="265" t="n">
        <v>1741</v>
      </c>
      <c r="S41" s="265" t="n">
        <v>1460</v>
      </c>
      <c r="T41" s="265" t="n">
        <v>29</v>
      </c>
      <c r="U41" s="265" t="n">
        <v>32</v>
      </c>
      <c r="V41" s="265" t="n">
        <v>46</v>
      </c>
      <c r="X41" s="265" t="n">
        <v>9953</v>
      </c>
      <c r="Y41" s="265" t="n">
        <v>10727</v>
      </c>
      <c r="Z41" s="265" t="n">
        <v>51</v>
      </c>
      <c r="AA41" s="265" t="n">
        <v>68</v>
      </c>
      <c r="AC41" s="265" t="n">
        <v>12356</v>
      </c>
      <c r="AD41" s="265" t="n">
        <v>16601</v>
      </c>
    </row>
    <row r="42">
      <c r="A42" t="inlineStr">
        <is>
          <t>A: Veículos desativados para renovação de frota (BP l.10) (veiculos desativados p/ renovacao = seminovos a venda) · fonte · unid. moeda</t>
        </is>
      </c>
      <c r="B42" t="n">
        <v>16</v>
      </c>
      <c r="C42" t="inlineStr">
        <is>
          <t>Other current assets</t>
        </is>
      </c>
      <c r="D42" s="265" t="n">
        <v>186615</v>
      </c>
      <c r="E42" s="265" t="n">
        <v>299967</v>
      </c>
      <c r="F42" s="265" t="n">
        <v>335630</v>
      </c>
      <c r="G42" s="265" t="n">
        <v>306031</v>
      </c>
      <c r="I42" s="265" t="n">
        <v>611185</v>
      </c>
      <c r="J42" s="265" t="n">
        <v>636848</v>
      </c>
      <c r="K42" s="265" t="n">
        <v>922505</v>
      </c>
      <c r="L42" s="265" t="n">
        <v>1195478</v>
      </c>
      <c r="N42" s="265" t="n">
        <v>923841</v>
      </c>
      <c r="O42" s="265" t="n">
        <v>782096</v>
      </c>
      <c r="P42" s="265" t="n">
        <v>854867</v>
      </c>
      <c r="Q42" s="265" t="n">
        <v>617403</v>
      </c>
      <c r="S42" s="265" t="n">
        <v>945733</v>
      </c>
      <c r="T42" s="265" t="n">
        <v>858674</v>
      </c>
      <c r="U42" s="265" t="n">
        <v>840300</v>
      </c>
      <c r="V42" s="265" t="n">
        <v>705821</v>
      </c>
      <c r="X42" s="265" t="n">
        <v>1224313</v>
      </c>
      <c r="Y42" s="265" t="n">
        <v>1187739</v>
      </c>
      <c r="Z42" s="265" t="n">
        <v>988590</v>
      </c>
      <c r="AA42" s="265" t="n">
        <v>380837</v>
      </c>
      <c r="AC42" s="265" t="n">
        <v>607159</v>
      </c>
      <c r="AD42" s="265" t="n">
        <v>669663</v>
      </c>
    </row>
    <row r="43">
      <c r="A43" t="inlineStr">
        <is>
          <t>A: Tributos a recuperar (BP l.11) · fonte · unid. moeda</t>
        </is>
      </c>
      <c r="B43" t="n">
        <v>16</v>
      </c>
      <c r="C43" t="inlineStr">
        <is>
          <t>Other current assets</t>
        </is>
      </c>
      <c r="D43" s="265" t="n">
        <v>15830</v>
      </c>
      <c r="E43" s="265" t="n">
        <v>17706</v>
      </c>
      <c r="F43" s="265" t="n">
        <v>24078</v>
      </c>
      <c r="G43" s="265" t="n">
        <v>34531</v>
      </c>
      <c r="I43" s="265" t="n">
        <v>92999</v>
      </c>
      <c r="J43" s="265" t="n">
        <v>182980</v>
      </c>
      <c r="K43" s="265" t="n">
        <v>230581</v>
      </c>
      <c r="L43" s="265" t="n">
        <v>22581</v>
      </c>
      <c r="N43" s="265" t="n">
        <v>43777</v>
      </c>
      <c r="O43" s="265" t="n">
        <v>85860</v>
      </c>
      <c r="P43" s="265" t="n">
        <v>121809</v>
      </c>
      <c r="Q43" s="265" t="n">
        <v>157114</v>
      </c>
      <c r="S43" s="265" t="n">
        <v>164223</v>
      </c>
      <c r="T43" s="265" t="n">
        <v>146941</v>
      </c>
      <c r="U43" s="265" t="n">
        <v>194015</v>
      </c>
      <c r="V43" s="265" t="n">
        <v>156839</v>
      </c>
      <c r="X43" s="265" t="n">
        <v>150765</v>
      </c>
      <c r="Y43" s="265" t="n">
        <v>172111</v>
      </c>
      <c r="Z43" s="265" t="n">
        <v>173186</v>
      </c>
      <c r="AA43" s="265" t="n">
        <v>179030</v>
      </c>
      <c r="AC43" s="265" t="n">
        <v>172240</v>
      </c>
      <c r="AD43" s="265" t="n">
        <v>161870</v>
      </c>
    </row>
    <row r="44">
      <c r="A44" t="inlineStr">
        <is>
          <t>A: Imposto de renda e contribuição social antecipados (BP l.12) · fonte · unid. moeda</t>
        </is>
      </c>
      <c r="B44" t="n">
        <v>16</v>
      </c>
      <c r="C44" t="inlineStr">
        <is>
          <t>Other current assets</t>
        </is>
      </c>
      <c r="D44" s="265" t="n">
        <v>55244</v>
      </c>
      <c r="E44" s="265" t="n">
        <v>49659</v>
      </c>
      <c r="F44" s="265" t="n">
        <v>71745</v>
      </c>
      <c r="G44" s="265" t="n">
        <v>74712</v>
      </c>
      <c r="I44" s="265" t="n">
        <v>87563</v>
      </c>
      <c r="J44" s="265" t="n">
        <v>106897</v>
      </c>
      <c r="K44" s="265" t="n">
        <v>126995</v>
      </c>
      <c r="L44" s="265" t="n">
        <v>151503</v>
      </c>
      <c r="N44" s="265" t="n">
        <v>141010</v>
      </c>
      <c r="O44" s="265" t="n">
        <v>170638</v>
      </c>
      <c r="P44" s="265" t="n">
        <v>207206</v>
      </c>
      <c r="Q44" s="265" t="n">
        <v>228626</v>
      </c>
      <c r="S44" s="265" t="n">
        <v>226421</v>
      </c>
      <c r="T44" s="265" t="n">
        <v>208491</v>
      </c>
      <c r="U44" s="265" t="n">
        <v>171478</v>
      </c>
      <c r="V44" s="265" t="n">
        <v>243243</v>
      </c>
      <c r="X44" s="265" t="n">
        <v>262550</v>
      </c>
      <c r="Y44" s="265" t="n">
        <v>333338</v>
      </c>
      <c r="Z44" s="265" t="n">
        <v>325527</v>
      </c>
      <c r="AA44" s="265" t="n">
        <v>205498</v>
      </c>
      <c r="AC44" s="265" t="n">
        <v>224054</v>
      </c>
      <c r="AD44" s="265" t="n">
        <v>257089</v>
      </c>
    </row>
    <row r="45">
      <c r="A45" t="inlineStr">
        <is>
          <t>A: Partes Relacionadas (BP l.13) · fonte · unid. moeda</t>
        </is>
      </c>
      <c r="B45" t="n">
        <v>16</v>
      </c>
      <c r="C45" t="inlineStr">
        <is>
          <t>Other current assets</t>
        </is>
      </c>
      <c r="D45" s="265" t="n">
        <v>0</v>
      </c>
      <c r="E45" s="265" t="n">
        <v>0</v>
      </c>
      <c r="F45" s="265" t="n">
        <v>0</v>
      </c>
      <c r="G45" s="265" t="n">
        <v>0</v>
      </c>
      <c r="I45" s="265" t="n">
        <v>0</v>
      </c>
      <c r="J45" s="265" t="n">
        <v>4749</v>
      </c>
      <c r="K45" s="265" t="n">
        <v>0</v>
      </c>
      <c r="L45" s="265" t="n">
        <v>0</v>
      </c>
      <c r="N45" s="265" t="n">
        <v>0</v>
      </c>
      <c r="O45" s="265" t="n">
        <v>0</v>
      </c>
      <c r="P45" s="265" t="n">
        <v>0</v>
      </c>
      <c r="Q45" s="265" t="n">
        <v>0</v>
      </c>
      <c r="S45" s="265" t="n">
        <v>0</v>
      </c>
      <c r="T45" s="265" t="n">
        <v>0</v>
      </c>
      <c r="U45" s="265" t="n">
        <v>0</v>
      </c>
      <c r="V45" s="265" t="n">
        <v>4961</v>
      </c>
      <c r="X45" s="265" t="n">
        <v>0</v>
      </c>
      <c r="Y45" s="265" t="n">
        <v>0</v>
      </c>
      <c r="Z45" s="265" t="n">
        <v>0</v>
      </c>
      <c r="AA45" s="265" t="n">
        <v>621</v>
      </c>
      <c r="AC45" s="265" t="n">
        <v>8253</v>
      </c>
      <c r="AD45" s="265" t="n">
        <v>2522</v>
      </c>
    </row>
    <row r="46">
      <c r="A46" t="inlineStr">
        <is>
          <t>A: Outros créditos e adiantamentos (BP l.14) · fonte · unid. moeda</t>
        </is>
      </c>
      <c r="B46" t="n">
        <v>16</v>
      </c>
      <c r="C46" t="inlineStr">
        <is>
          <t>Other current assets</t>
        </is>
      </c>
      <c r="D46" s="265" t="n">
        <v>79816</v>
      </c>
      <c r="E46" s="265" t="n">
        <v>65377</v>
      </c>
      <c r="F46" s="265" t="n">
        <v>78356</v>
      </c>
      <c r="G46" s="265" t="n">
        <v>65346</v>
      </c>
      <c r="I46" s="265" t="n">
        <v>165952</v>
      </c>
      <c r="J46" s="265" t="n">
        <v>155560</v>
      </c>
      <c r="K46" s="265" t="n">
        <v>112154</v>
      </c>
      <c r="L46" s="265" t="n">
        <v>69313</v>
      </c>
      <c r="N46" s="265" t="n">
        <v>264915</v>
      </c>
      <c r="O46" s="265" t="n">
        <v>261563</v>
      </c>
      <c r="P46" s="265" t="n">
        <v>241557</v>
      </c>
      <c r="Q46" s="265" t="n">
        <v>83758</v>
      </c>
      <c r="S46" s="265" t="n">
        <v>238757</v>
      </c>
      <c r="T46" s="265" t="n">
        <v>283737</v>
      </c>
      <c r="U46" s="265" t="n">
        <v>211209</v>
      </c>
      <c r="V46" s="265" t="n">
        <v>106997</v>
      </c>
      <c r="X46" s="265" t="n">
        <v>394875</v>
      </c>
      <c r="Y46" s="265" t="n">
        <v>307345</v>
      </c>
      <c r="Z46" s="265" t="n">
        <v>239825</v>
      </c>
      <c r="AA46" s="265" t="n">
        <v>176165</v>
      </c>
      <c r="AC46" s="265" t="n">
        <v>393081</v>
      </c>
      <c r="AD46" s="265" t="n">
        <v>303444</v>
      </c>
    </row>
    <row r="47">
      <c r="A47" t="inlineStr">
        <is>
          <t>A: Instrumentos financeiros derivativos (BP l.20) · fonte · unid. moeda</t>
        </is>
      </c>
      <c r="B47" t="n">
        <v>22</v>
      </c>
      <c r="C47" t="inlineStr">
        <is>
          <t>Other non-current assets</t>
        </is>
      </c>
      <c r="D47" s="265" t="n">
        <v>59057</v>
      </c>
      <c r="E47" s="265" t="n">
        <v>37708</v>
      </c>
      <c r="F47" s="265" t="n">
        <v>41686</v>
      </c>
      <c r="G47" s="265" t="n">
        <v>38781</v>
      </c>
      <c r="I47" s="265" t="n">
        <v>35660</v>
      </c>
      <c r="J47" s="265" t="n">
        <v>33572</v>
      </c>
      <c r="K47" s="265" t="n">
        <v>128624</v>
      </c>
      <c r="L47" s="265" t="n">
        <v>85439</v>
      </c>
      <c r="N47" s="265" t="n">
        <v>33296</v>
      </c>
      <c r="O47" s="265" t="n">
        <v>56445</v>
      </c>
      <c r="P47" s="265" t="n">
        <v>2145</v>
      </c>
      <c r="Q47" s="265" t="n">
        <v>2440</v>
      </c>
      <c r="S47" s="265" t="n">
        <v>0</v>
      </c>
      <c r="T47" s="265" t="n">
        <v>467871</v>
      </c>
      <c r="U47" s="265" t="n">
        <v>484887</v>
      </c>
      <c r="V47" s="265" t="n">
        <v>1032263</v>
      </c>
      <c r="X47" s="265" t="n">
        <v>643506</v>
      </c>
      <c r="Y47" s="265" t="n">
        <v>0</v>
      </c>
      <c r="Z47" s="265" t="n">
        <v>0</v>
      </c>
      <c r="AA47" s="265" t="n">
        <v>14300</v>
      </c>
      <c r="AC47" s="265" t="n">
        <v>25256</v>
      </c>
      <c r="AD47" s="265" t="n">
        <v>7299</v>
      </c>
    </row>
    <row r="48">
      <c r="A48" t="inlineStr">
        <is>
          <t>A: Tributos a recuperar (BP l.22) · fonte · unid. moeda</t>
        </is>
      </c>
      <c r="B48" t="n">
        <v>22</v>
      </c>
      <c r="C48" t="inlineStr">
        <is>
          <t>Other non-current assets</t>
        </is>
      </c>
      <c r="D48" s="265" t="n">
        <v>37650</v>
      </c>
      <c r="E48" s="265" t="n">
        <v>26315</v>
      </c>
      <c r="F48" s="265" t="n">
        <v>26489</v>
      </c>
      <c r="G48" s="265" t="n">
        <v>26436</v>
      </c>
      <c r="I48" s="265" t="n">
        <v>26512</v>
      </c>
      <c r="J48" s="265" t="n">
        <v>18060</v>
      </c>
      <c r="K48" s="265" t="n">
        <v>18394</v>
      </c>
      <c r="L48" s="265" t="n">
        <v>243041</v>
      </c>
      <c r="N48" s="265" t="n">
        <v>204527</v>
      </c>
      <c r="O48" s="265" t="n">
        <v>177877</v>
      </c>
      <c r="P48" s="265" t="n">
        <v>165813</v>
      </c>
      <c r="Q48" s="265" t="n">
        <v>150633</v>
      </c>
      <c r="S48" s="265" t="n">
        <v>177981</v>
      </c>
      <c r="T48" s="265" t="n">
        <v>185881</v>
      </c>
      <c r="U48" s="265" t="n">
        <v>208874</v>
      </c>
      <c r="V48" s="265" t="n">
        <v>226337</v>
      </c>
      <c r="X48" s="265" t="n">
        <v>237554</v>
      </c>
      <c r="Y48" s="265" t="n">
        <v>280173</v>
      </c>
      <c r="Z48" s="265" t="n">
        <v>336214</v>
      </c>
      <c r="AA48" s="265" t="n">
        <v>374496</v>
      </c>
      <c r="AC48" s="265" t="n">
        <v>413394</v>
      </c>
      <c r="AD48" s="265" t="n">
        <v>418113</v>
      </c>
    </row>
    <row r="49">
      <c r="A49" t="inlineStr">
        <is>
          <t>A: Depósitos judiciais (BP l.23) · fonte · unid. moeda</t>
        </is>
      </c>
      <c r="B49" t="n">
        <v>22</v>
      </c>
      <c r="C49" t="inlineStr">
        <is>
          <t>Other non-current assets</t>
        </is>
      </c>
      <c r="D49" s="265" t="n">
        <v>6039</v>
      </c>
      <c r="E49" s="265" t="n">
        <v>5975</v>
      </c>
      <c r="F49" s="265" t="n">
        <v>6426</v>
      </c>
      <c r="G49" s="265" t="n">
        <v>6460</v>
      </c>
      <c r="I49" s="265" t="n">
        <v>8053</v>
      </c>
      <c r="J49" s="265" t="n">
        <v>8905</v>
      </c>
      <c r="K49" s="265" t="n">
        <v>10266</v>
      </c>
      <c r="L49" s="265" t="n">
        <v>11491</v>
      </c>
      <c r="N49" s="265" t="n">
        <v>12176</v>
      </c>
      <c r="O49" s="265" t="n">
        <v>13269</v>
      </c>
      <c r="P49" s="265" t="n">
        <v>16583</v>
      </c>
      <c r="Q49" s="265" t="n">
        <v>16860</v>
      </c>
      <c r="S49" s="265" t="n">
        <v>17922</v>
      </c>
      <c r="T49" s="265" t="n">
        <v>18511</v>
      </c>
      <c r="U49" s="265" t="n">
        <v>19457</v>
      </c>
      <c r="V49" s="265" t="n">
        <v>19720</v>
      </c>
      <c r="X49" s="265" t="n">
        <v>20223</v>
      </c>
      <c r="Y49" s="265" t="n">
        <v>20721</v>
      </c>
      <c r="Z49" s="265" t="n">
        <v>21308</v>
      </c>
      <c r="AA49" s="265" t="n">
        <v>22310</v>
      </c>
      <c r="AC49" s="265" t="n">
        <v>23647</v>
      </c>
      <c r="AD49" s="265" t="n">
        <v>24920</v>
      </c>
    </row>
    <row r="50">
      <c r="A50" t="inlineStr">
        <is>
          <t>A: Imposto de renda e contribuição social diferidos (BP l.24) · fonte · unid. moeda</t>
        </is>
      </c>
      <c r="B50" t="n">
        <v>22</v>
      </c>
      <c r="C50" t="inlineStr">
        <is>
          <t>Other non-current assets</t>
        </is>
      </c>
      <c r="D50" s="265" t="n">
        <v>122934</v>
      </c>
      <c r="E50" s="265" t="n">
        <v>144684</v>
      </c>
      <c r="F50" s="265" t="n">
        <v>206605</v>
      </c>
      <c r="G50" s="265" t="n">
        <v>154427</v>
      </c>
      <c r="I50" s="265" t="n">
        <v>161246</v>
      </c>
      <c r="J50" s="265" t="n">
        <v>178263</v>
      </c>
      <c r="K50" s="265" t="n">
        <v>217971</v>
      </c>
      <c r="L50" s="265" t="n">
        <v>311237</v>
      </c>
      <c r="N50" s="265" t="n">
        <v>483887</v>
      </c>
      <c r="O50" s="265" t="n">
        <v>437441</v>
      </c>
      <c r="P50" s="265" t="n">
        <v>451312</v>
      </c>
      <c r="Q50" s="265" t="n">
        <v>513945</v>
      </c>
      <c r="S50" s="265" t="n">
        <v>544560</v>
      </c>
      <c r="T50" s="265" t="n">
        <v>605660</v>
      </c>
      <c r="U50" s="265" t="n">
        <v>646026</v>
      </c>
      <c r="V50" s="265" t="n">
        <v>63188</v>
      </c>
      <c r="X50" s="265" t="n">
        <v>308</v>
      </c>
      <c r="Y50" s="265" t="n">
        <v>308</v>
      </c>
      <c r="Z50" s="265" t="n">
        <v>379</v>
      </c>
      <c r="AA50" s="265" t="n">
        <v>484</v>
      </c>
      <c r="AC50" s="265" t="n">
        <v>590</v>
      </c>
      <c r="AD50" s="265" t="n">
        <v>1307</v>
      </c>
    </row>
    <row r="51">
      <c r="A51" t="inlineStr">
        <is>
          <t>A: Ativos mantidos para distribuição aos acionistas (BP l.25) · fonte · unid. moeda</t>
        </is>
      </c>
      <c r="B51" t="n">
        <v>22</v>
      </c>
      <c r="C51" t="inlineStr">
        <is>
          <t>Other non-current assets</t>
        </is>
      </c>
      <c r="D51" s="265" t="n">
        <v>0</v>
      </c>
      <c r="E51" s="265" t="n">
        <v>0</v>
      </c>
      <c r="F51" s="265" t="n">
        <v>0</v>
      </c>
      <c r="G51" s="265" t="n">
        <v>0</v>
      </c>
      <c r="I51" s="265" t="n">
        <v>0</v>
      </c>
      <c r="J51" s="265" t="n">
        <v>0</v>
      </c>
      <c r="K51" s="265" t="n">
        <v>0</v>
      </c>
      <c r="L51" s="265" t="n">
        <v>0</v>
      </c>
      <c r="N51" s="265" t="n">
        <v>0</v>
      </c>
      <c r="O51" s="265" t="n">
        <v>0</v>
      </c>
      <c r="P51" s="265" t="n">
        <v>0</v>
      </c>
      <c r="Q51" s="265" t="n">
        <v>0</v>
      </c>
      <c r="S51" s="265" t="n">
        <v>0</v>
      </c>
      <c r="T51" s="265" t="n">
        <v>0</v>
      </c>
      <c r="U51" s="265" t="n">
        <v>0</v>
      </c>
      <c r="V51" s="265" t="n">
        <v>0</v>
      </c>
      <c r="X51" s="265" t="n">
        <v>0</v>
      </c>
      <c r="Y51" s="265" t="n">
        <v>0</v>
      </c>
      <c r="Z51" s="265" t="n">
        <v>0</v>
      </c>
      <c r="AA51" s="265" t="n">
        <v>0</v>
      </c>
      <c r="AC51" s="265" t="n">
        <v>0</v>
      </c>
      <c r="AD51" s="265" t="n">
        <v>0</v>
      </c>
    </row>
    <row r="52">
      <c r="A52" t="inlineStr">
        <is>
          <t>A: Imposto de renda e contribuição social a recuperar (BP l.26) · fonte · unid. moeda</t>
        </is>
      </c>
      <c r="B52" t="n">
        <v>22</v>
      </c>
      <c r="C52" t="inlineStr">
        <is>
          <t>Other non-current assets</t>
        </is>
      </c>
      <c r="D52" s="265" t="n">
        <v>0</v>
      </c>
      <c r="E52" s="265" t="n">
        <v>0</v>
      </c>
      <c r="F52" s="265" t="n">
        <v>0</v>
      </c>
      <c r="G52" s="265" t="n">
        <v>4851</v>
      </c>
      <c r="I52" s="265" t="n">
        <v>4851</v>
      </c>
      <c r="J52" s="265" t="n">
        <v>4851</v>
      </c>
      <c r="K52" s="265" t="n">
        <v>4851</v>
      </c>
      <c r="L52" s="265" t="n">
        <v>4851</v>
      </c>
      <c r="N52" s="265" t="n">
        <v>4851</v>
      </c>
      <c r="O52" s="265" t="n">
        <v>4851</v>
      </c>
      <c r="P52" s="265" t="n">
        <v>4851</v>
      </c>
      <c r="Q52" s="265" t="n">
        <v>4851</v>
      </c>
      <c r="S52" s="265" t="n">
        <v>0</v>
      </c>
      <c r="T52" s="265" t="n">
        <v>0</v>
      </c>
      <c r="U52" s="265" t="n">
        <v>0</v>
      </c>
      <c r="V52" s="265" t="n">
        <v>0</v>
      </c>
      <c r="X52" s="265" t="n">
        <v>0</v>
      </c>
      <c r="Y52" s="265" t="n">
        <v>0</v>
      </c>
      <c r="Z52" s="265" t="n">
        <v>0</v>
      </c>
      <c r="AA52" s="265" t="n">
        <v>144480</v>
      </c>
      <c r="AC52" s="265" t="n">
        <v>144480</v>
      </c>
      <c r="AD52" s="265" t="n">
        <v>144480</v>
      </c>
    </row>
    <row r="53">
      <c r="A53" t="inlineStr">
        <is>
          <t>A: Partes relacionadas (BP l.27) · fonte · unid. moeda</t>
        </is>
      </c>
      <c r="B53" t="n">
        <v>22</v>
      </c>
      <c r="C53" t="inlineStr">
        <is>
          <t>Other non-current assets</t>
        </is>
      </c>
      <c r="D53" s="265" t="n">
        <v>0</v>
      </c>
      <c r="E53" s="265" t="n">
        <v>0</v>
      </c>
      <c r="F53" s="265" t="n">
        <v>0</v>
      </c>
      <c r="G53" s="265" t="n">
        <v>0</v>
      </c>
      <c r="I53" s="265" t="n">
        <v>0</v>
      </c>
      <c r="J53" s="265" t="n">
        <v>0</v>
      </c>
      <c r="K53" s="265" t="n">
        <v>0</v>
      </c>
      <c r="L53" s="265" t="n">
        <v>0</v>
      </c>
      <c r="N53" s="265" t="n">
        <v>0</v>
      </c>
      <c r="O53" s="265" t="n">
        <v>0</v>
      </c>
      <c r="P53" s="265" t="n">
        <v>0</v>
      </c>
      <c r="Q53" s="265" t="n">
        <v>0</v>
      </c>
      <c r="S53" s="265" t="n">
        <v>0</v>
      </c>
      <c r="T53" s="265" t="n">
        <v>0</v>
      </c>
      <c r="U53" s="265" t="n">
        <v>0</v>
      </c>
      <c r="V53" s="265" t="n">
        <v>0</v>
      </c>
      <c r="X53" s="265" t="n">
        <v>0</v>
      </c>
      <c r="Y53" s="265" t="n">
        <v>0</v>
      </c>
      <c r="Z53" s="265" t="n">
        <v>0</v>
      </c>
      <c r="AA53" s="265" t="n">
        <v>0</v>
      </c>
      <c r="AC53" s="265" t="n">
        <v>0</v>
      </c>
      <c r="AD53" s="265" t="n">
        <v>0</v>
      </c>
    </row>
    <row r="54">
      <c r="A54" t="inlineStr">
        <is>
          <t>A: Outros créditos e adiantamentos (BP l.28) · fonte · unid. moeda</t>
        </is>
      </c>
      <c r="B54" t="n">
        <v>22</v>
      </c>
      <c r="C54" t="inlineStr">
        <is>
          <t>Other non-current assets</t>
        </is>
      </c>
      <c r="D54" s="265" t="n">
        <v>0</v>
      </c>
      <c r="E54" s="265" t="n">
        <v>0</v>
      </c>
      <c r="F54" s="265" t="n">
        <v>9612</v>
      </c>
      <c r="G54" s="265" t="n">
        <v>14494</v>
      </c>
      <c r="I54" s="265" t="n">
        <v>16190</v>
      </c>
      <c r="J54" s="265" t="n">
        <v>33844</v>
      </c>
      <c r="K54" s="265" t="n">
        <v>294199</v>
      </c>
      <c r="L54" s="265" t="n">
        <v>19597</v>
      </c>
      <c r="N54" s="265" t="n">
        <v>17098</v>
      </c>
      <c r="O54" s="265" t="n">
        <v>17539</v>
      </c>
      <c r="P54" s="265" t="n">
        <v>18482</v>
      </c>
      <c r="Q54" s="265" t="n">
        <v>24964</v>
      </c>
      <c r="S54" s="265" t="n">
        <v>23681</v>
      </c>
      <c r="T54" s="265" t="n">
        <v>34747</v>
      </c>
      <c r="U54" s="265" t="n">
        <v>20389</v>
      </c>
      <c r="V54" s="265" t="n">
        <v>25752</v>
      </c>
      <c r="X54" s="265" t="n">
        <v>26300</v>
      </c>
      <c r="Y54" s="265" t="n">
        <v>27615</v>
      </c>
      <c r="Z54" s="265" t="n">
        <v>32873</v>
      </c>
      <c r="AA54" s="265" t="n">
        <v>31422</v>
      </c>
      <c r="AC54" s="265" t="n">
        <v>26283</v>
      </c>
      <c r="AD54" s="265" t="n">
        <v>28052</v>
      </c>
    </row>
    <row r="55">
      <c r="A55" t="inlineStr">
        <is>
          <t>A: Investimentos (BP l.31) · fonte · unid. moeda</t>
        </is>
      </c>
      <c r="B55" t="n">
        <v>17</v>
      </c>
      <c r="C55" t="inlineStr">
        <is>
          <t>Equity in affiliates</t>
        </is>
      </c>
      <c r="D55" s="265" t="n">
        <v>1985</v>
      </c>
      <c r="E55" s="265" t="n">
        <v>2141</v>
      </c>
      <c r="F55" s="265" t="n">
        <v>1202</v>
      </c>
      <c r="G55" s="265" t="n">
        <v>1191</v>
      </c>
      <c r="I55" s="265" t="n">
        <v>1188</v>
      </c>
      <c r="J55" s="265" t="n">
        <v>1139</v>
      </c>
      <c r="K55" s="265" t="n">
        <v>1107</v>
      </c>
      <c r="L55" s="265" t="n">
        <v>1102</v>
      </c>
      <c r="N55" s="265" t="n">
        <v>1094</v>
      </c>
      <c r="O55" s="265" t="n">
        <v>1113</v>
      </c>
      <c r="P55" s="265" t="n">
        <v>676</v>
      </c>
      <c r="Q55" s="265" t="n">
        <v>1142</v>
      </c>
      <c r="S55" s="265" t="n">
        <v>612</v>
      </c>
      <c r="T55" s="265" t="n">
        <v>589</v>
      </c>
      <c r="U55" s="265" t="n">
        <v>562</v>
      </c>
      <c r="V55" s="265" t="n">
        <v>562</v>
      </c>
      <c r="X55" s="265" t="n">
        <v>562</v>
      </c>
      <c r="Y55" s="265" t="n">
        <v>0</v>
      </c>
      <c r="Z55" s="265" t="n">
        <v>18175</v>
      </c>
      <c r="AA55" s="265" t="n">
        <v>19697</v>
      </c>
      <c r="AC55" s="265" t="n">
        <v>20087</v>
      </c>
      <c r="AD55" s="265" t="n">
        <v>38700</v>
      </c>
    </row>
    <row r="56">
      <c r="A56" t="inlineStr">
        <is>
          <t>A: Imobilizado (BP l.32) · fonte · unid. moeda</t>
        </is>
      </c>
      <c r="B56" t="n">
        <v>18</v>
      </c>
      <c r="C56" t="inlineStr">
        <is>
          <t>PP&amp;E</t>
        </is>
      </c>
      <c r="D56" s="265" t="n">
        <v>6358238</v>
      </c>
      <c r="E56" s="265" t="n">
        <v>7287437</v>
      </c>
      <c r="F56" s="265" t="n">
        <v>9856908</v>
      </c>
      <c r="G56" s="265" t="n">
        <v>12140029</v>
      </c>
      <c r="I56" s="265" t="n">
        <v>12833830</v>
      </c>
      <c r="J56" s="265" t="n">
        <v>14798069</v>
      </c>
      <c r="K56" s="265" t="n">
        <v>15290954</v>
      </c>
      <c r="L56" s="265" t="n">
        <v>15842199</v>
      </c>
      <c r="N56" s="265" t="n">
        <v>15303402</v>
      </c>
      <c r="O56" s="265" t="n">
        <v>15083106</v>
      </c>
      <c r="P56" s="265" t="n">
        <v>16021303</v>
      </c>
      <c r="Q56" s="265" t="n">
        <v>18637281</v>
      </c>
      <c r="S56" s="265" t="n">
        <v>18762548</v>
      </c>
      <c r="T56" s="265" t="n">
        <v>19168400</v>
      </c>
      <c r="U56" s="265" t="n">
        <v>19724886</v>
      </c>
      <c r="V56" s="265" t="n">
        <v>21912952</v>
      </c>
      <c r="X56" s="265" t="n">
        <v>20671846</v>
      </c>
      <c r="Y56" s="265" t="n">
        <v>21464854</v>
      </c>
      <c r="Z56" s="265" t="n">
        <v>21621948</v>
      </c>
      <c r="AA56" s="265" t="n">
        <v>24160768</v>
      </c>
      <c r="AC56" s="265" t="n">
        <v>23242795</v>
      </c>
      <c r="AD56" s="265" t="n">
        <v>25078365</v>
      </c>
    </row>
    <row r="57">
      <c r="A57" t="inlineStr">
        <is>
          <t>A: Intangível (BP l.33) · fonte · unid. moeda</t>
        </is>
      </c>
      <c r="B57" t="n">
        <v>21</v>
      </c>
      <c r="C57" t="inlineStr">
        <is>
          <t>Intangibles</t>
        </is>
      </c>
      <c r="D57" s="265" t="n">
        <v>156288</v>
      </c>
      <c r="E57" s="265" t="n">
        <v>157252</v>
      </c>
      <c r="F57" s="265" t="n">
        <v>168400</v>
      </c>
      <c r="G57" s="265" t="n">
        <v>175044</v>
      </c>
      <c r="I57" s="265" t="n">
        <v>181788</v>
      </c>
      <c r="J57" s="265" t="n">
        <v>200519</v>
      </c>
      <c r="K57" s="265" t="n">
        <v>210136</v>
      </c>
      <c r="L57" s="265" t="n">
        <v>287792</v>
      </c>
      <c r="N57" s="265" t="n">
        <v>298068</v>
      </c>
      <c r="O57" s="265" t="n">
        <v>299325</v>
      </c>
      <c r="P57" s="265" t="n">
        <v>304534</v>
      </c>
      <c r="Q57" s="265" t="n">
        <v>336311</v>
      </c>
      <c r="S57" s="265" t="n">
        <v>329214</v>
      </c>
      <c r="T57" s="265" t="n">
        <v>335703</v>
      </c>
      <c r="U57" s="265" t="n">
        <v>339400</v>
      </c>
      <c r="V57" s="265" t="n">
        <v>342163</v>
      </c>
      <c r="X57" s="265" t="n">
        <v>348058</v>
      </c>
      <c r="Y57" s="265" t="n">
        <v>353536</v>
      </c>
      <c r="Z57" s="265" t="n">
        <v>347501</v>
      </c>
      <c r="AA57" s="265" t="n">
        <v>350075</v>
      </c>
      <c r="AC57" s="265" t="n">
        <v>357283</v>
      </c>
      <c r="AD57" s="265" t="n">
        <v>384741</v>
      </c>
    </row>
    <row r="58">
      <c r="A58" t="inlineStr">
        <is>
          <t>P: Fornecedores (BP l.41) · fonte · unid. moeda</t>
        </is>
      </c>
      <c r="B58" t="n">
        <v>23</v>
      </c>
      <c r="C58" t="inlineStr">
        <is>
          <t>Accounts payable</t>
        </is>
      </c>
      <c r="D58" s="265" t="n">
        <v>945486</v>
      </c>
      <c r="E58" s="265" t="n">
        <v>1343416</v>
      </c>
      <c r="F58" s="265" t="n">
        <v>1360476</v>
      </c>
      <c r="G58" s="265" t="n">
        <v>2316752</v>
      </c>
      <c r="I58" s="265" t="n">
        <v>1725608</v>
      </c>
      <c r="J58" s="265" t="n">
        <v>2454363</v>
      </c>
      <c r="K58" s="265" t="n">
        <v>1654353</v>
      </c>
      <c r="L58" s="265" t="n">
        <v>2264908</v>
      </c>
      <c r="N58" s="265" t="n">
        <v>1063365</v>
      </c>
      <c r="O58" s="265" t="n">
        <v>928577</v>
      </c>
      <c r="P58" s="265" t="n">
        <v>2091418</v>
      </c>
      <c r="Q58" s="265" t="n">
        <v>4751328</v>
      </c>
      <c r="S58" s="265" t="n">
        <v>4072857</v>
      </c>
      <c r="T58" s="265" t="n">
        <v>3641977</v>
      </c>
      <c r="U58" s="265" t="n">
        <v>3717829</v>
      </c>
      <c r="V58" s="265" t="n">
        <v>5318160</v>
      </c>
      <c r="X58" s="265" t="n">
        <v>3497195</v>
      </c>
      <c r="Y58" s="265" t="n">
        <v>4481643</v>
      </c>
      <c r="Z58" s="265" t="n">
        <v>4425851</v>
      </c>
      <c r="AA58" s="265" t="n">
        <v>5854754</v>
      </c>
      <c r="AC58" s="265" t="n">
        <v>5026274</v>
      </c>
      <c r="AD58" s="265" t="n">
        <v>5451752</v>
      </c>
    </row>
    <row r="59">
      <c r="A59" t="inlineStr">
        <is>
          <t>P: Risco sacado a pagar - Confirming (BP l.42) (risco sacado -&gt; divida) · fonte · unid. moeda</t>
        </is>
      </c>
      <c r="B59" t="n">
        <v>27</v>
      </c>
      <c r="C59" t="inlineStr">
        <is>
          <t>Current portion of long-term debt</t>
        </is>
      </c>
      <c r="D59" s="265" t="n">
        <v>0</v>
      </c>
      <c r="E59" s="265" t="n">
        <v>0</v>
      </c>
      <c r="F59" s="265" t="n">
        <v>0</v>
      </c>
      <c r="G59" s="265" t="n">
        <v>0</v>
      </c>
      <c r="I59" s="265" t="n">
        <v>0</v>
      </c>
      <c r="J59" s="265" t="n">
        <v>0</v>
      </c>
      <c r="K59" s="265" t="n">
        <v>0</v>
      </c>
      <c r="L59" s="265" t="n">
        <v>41601</v>
      </c>
      <c r="N59" s="265" t="n">
        <v>47757</v>
      </c>
      <c r="O59" s="265" t="n">
        <v>23771</v>
      </c>
      <c r="P59" s="265" t="n">
        <v>55124</v>
      </c>
      <c r="Q59" s="265" t="n">
        <v>62293</v>
      </c>
      <c r="S59" s="265" t="n">
        <v>49956</v>
      </c>
      <c r="T59" s="265" t="n">
        <v>24946</v>
      </c>
      <c r="U59" s="265" t="n">
        <v>60997</v>
      </c>
      <c r="V59" s="265" t="n">
        <v>30340</v>
      </c>
      <c r="X59" s="265" t="n">
        <v>0</v>
      </c>
      <c r="Y59" s="265" t="n">
        <v>27194</v>
      </c>
      <c r="Z59" s="265" t="n">
        <v>48935</v>
      </c>
      <c r="AA59" s="265" t="n">
        <v>17576</v>
      </c>
      <c r="AC59" s="265" t="n">
        <v>0</v>
      </c>
      <c r="AD59" s="265" t="n">
        <v>11036</v>
      </c>
    </row>
    <row r="60">
      <c r="A60" t="inlineStr">
        <is>
          <t>P: Empréstimos e Financiamentos (BP l.43) · fonte · unid. moeda</t>
        </is>
      </c>
      <c r="B60" t="n">
        <v>27</v>
      </c>
      <c r="C60" t="inlineStr">
        <is>
          <t>Current portion of long-term debt</t>
        </is>
      </c>
      <c r="D60" s="265" t="n">
        <v>202627</v>
      </c>
      <c r="E60" s="265" t="n">
        <v>144797</v>
      </c>
      <c r="F60" s="265" t="n">
        <v>131123</v>
      </c>
      <c r="G60" s="265" t="n">
        <v>250031</v>
      </c>
      <c r="I60" s="265" t="n">
        <v>232205</v>
      </c>
      <c r="J60" s="265" t="n">
        <v>399408</v>
      </c>
      <c r="K60" s="265" t="n">
        <v>309723</v>
      </c>
      <c r="L60" s="265" t="n">
        <v>425795</v>
      </c>
      <c r="N60" s="265" t="n">
        <v>311480</v>
      </c>
      <c r="O60" s="265" t="n">
        <v>389227</v>
      </c>
      <c r="P60" s="265" t="n">
        <v>287914</v>
      </c>
      <c r="Q60" s="265" t="n">
        <v>431962</v>
      </c>
      <c r="S60" s="265" t="n">
        <v>625945</v>
      </c>
      <c r="T60" s="265" t="n">
        <v>771895</v>
      </c>
      <c r="U60" s="265" t="n">
        <v>647933</v>
      </c>
      <c r="V60" s="265" t="n">
        <v>679930</v>
      </c>
      <c r="X60" s="265" t="n">
        <v>1008567</v>
      </c>
      <c r="Y60" s="265" t="n">
        <v>1166512</v>
      </c>
      <c r="Z60" s="265" t="n">
        <v>1185419</v>
      </c>
      <c r="AA60" s="265" t="n">
        <v>2729452</v>
      </c>
      <c r="AC60" s="265" t="n">
        <v>1201488</v>
      </c>
      <c r="AD60" s="265" t="n">
        <v>863001</v>
      </c>
    </row>
    <row r="61">
      <c r="A61" t="inlineStr">
        <is>
          <t>P: Debêntures (BP l.44) · fonte · unid. moeda</t>
        </is>
      </c>
      <c r="B61" t="n">
        <v>27</v>
      </c>
      <c r="C61" t="inlineStr">
        <is>
          <t>Current portion of long-term debt</t>
        </is>
      </c>
      <c r="D61" s="265" t="n">
        <v>337220</v>
      </c>
      <c r="E61" s="265" t="n">
        <v>348829</v>
      </c>
      <c r="F61" s="265" t="n">
        <v>346610</v>
      </c>
      <c r="G61" s="265" t="n">
        <v>367288</v>
      </c>
      <c r="I61" s="265" t="n">
        <v>463885</v>
      </c>
      <c r="J61" s="265" t="n">
        <v>605824</v>
      </c>
      <c r="K61" s="265" t="n">
        <v>819177</v>
      </c>
      <c r="L61" s="265" t="n">
        <v>1460404</v>
      </c>
      <c r="N61" s="265" t="n">
        <v>627537</v>
      </c>
      <c r="O61" s="265" t="n">
        <v>421691</v>
      </c>
      <c r="P61" s="265" t="n">
        <v>340875</v>
      </c>
      <c r="Q61" s="265" t="n">
        <v>642130</v>
      </c>
      <c r="S61" s="265" t="n">
        <v>658618</v>
      </c>
      <c r="T61" s="265" t="n">
        <v>339809</v>
      </c>
      <c r="U61" s="265" t="n">
        <v>862485</v>
      </c>
      <c r="V61" s="265" t="n">
        <v>1462496</v>
      </c>
      <c r="X61" s="265" t="n">
        <v>1472019</v>
      </c>
      <c r="Y61" s="265" t="n">
        <v>1970251</v>
      </c>
      <c r="Z61" s="265" t="n">
        <v>2314250</v>
      </c>
      <c r="AA61" s="265" t="n">
        <v>1325514</v>
      </c>
      <c r="AC61" s="265" t="n">
        <v>1988969</v>
      </c>
      <c r="AD61" s="265" t="n">
        <v>1854274</v>
      </c>
    </row>
    <row r="62">
      <c r="A62" t="inlineStr">
        <is>
          <t>P: Arrendamentos a pagar a instituições financeiras (BP l.49) (arrendamento c/ instituicoes financeiras -&gt; divida) · fonte · unid. moeda</t>
        </is>
      </c>
      <c r="B62" t="n">
        <v>27</v>
      </c>
      <c r="C62" t="inlineStr">
        <is>
          <t>Current portion of long-term debt</t>
        </is>
      </c>
      <c r="D62" s="265" t="n">
        <v>0</v>
      </c>
      <c r="E62" s="265" t="n">
        <v>0</v>
      </c>
      <c r="F62" s="265" t="n">
        <v>45233</v>
      </c>
      <c r="G62" s="265" t="n">
        <v>37731</v>
      </c>
      <c r="I62" s="265" t="n">
        <v>25728</v>
      </c>
      <c r="J62" s="265" t="n">
        <v>20198</v>
      </c>
      <c r="K62" s="265" t="n">
        <v>12727</v>
      </c>
      <c r="L62" s="265" t="n">
        <v>19636</v>
      </c>
      <c r="N62" s="265" t="n">
        <v>55970</v>
      </c>
      <c r="O62" s="265" t="n">
        <v>55259</v>
      </c>
      <c r="P62" s="265" t="n">
        <v>53272</v>
      </c>
      <c r="Q62" s="265" t="n">
        <v>51732</v>
      </c>
      <c r="S62" s="265" t="n">
        <v>49560</v>
      </c>
      <c r="T62" s="265" t="n">
        <v>52432</v>
      </c>
      <c r="U62" s="265" t="n">
        <v>68746</v>
      </c>
      <c r="V62" s="265" t="n">
        <v>66832</v>
      </c>
      <c r="X62" s="265" t="n">
        <v>61717</v>
      </c>
      <c r="Y62" s="265" t="n">
        <v>68332</v>
      </c>
      <c r="Z62" s="265" t="n">
        <v>79338</v>
      </c>
      <c r="AA62" s="265" t="n">
        <v>69796</v>
      </c>
      <c r="AC62" s="265" t="n">
        <v>58652</v>
      </c>
      <c r="AD62" s="265" t="n">
        <v>53971</v>
      </c>
    </row>
    <row r="63">
      <c r="A63" t="inlineStr">
        <is>
          <t>P: Instrumentos financeiros derivativos (BP l.45) · fonte · unid. moeda</t>
        </is>
      </c>
      <c r="B63" t="n">
        <v>26</v>
      </c>
      <c r="C63" t="inlineStr">
        <is>
          <t>Other current liabilities (non-debt)</t>
        </is>
      </c>
      <c r="D63" s="265" t="n">
        <v>0</v>
      </c>
      <c r="E63" s="265" t="n">
        <v>0</v>
      </c>
      <c r="F63" s="265" t="n">
        <v>0</v>
      </c>
      <c r="G63" s="265" t="n">
        <v>270875</v>
      </c>
      <c r="I63" s="265" t="n">
        <v>429027</v>
      </c>
      <c r="J63" s="265" t="n">
        <v>470643</v>
      </c>
      <c r="K63" s="265" t="n">
        <v>535922</v>
      </c>
      <c r="L63" s="265" t="n">
        <v>547115</v>
      </c>
      <c r="N63" s="265" t="n">
        <v>504087</v>
      </c>
      <c r="O63" s="265" t="n">
        <v>420840</v>
      </c>
      <c r="P63" s="265" t="n">
        <v>266898</v>
      </c>
      <c r="Q63" s="265" t="n">
        <v>83247</v>
      </c>
      <c r="S63" s="265" t="n">
        <v>130793</v>
      </c>
      <c r="T63" s="265" t="n">
        <v>187616</v>
      </c>
      <c r="U63" s="265" t="n">
        <v>227258</v>
      </c>
      <c r="V63" s="265" t="n">
        <v>251555</v>
      </c>
      <c r="X63" s="265" t="n">
        <v>311279</v>
      </c>
      <c r="Y63" s="265" t="n">
        <v>339117</v>
      </c>
      <c r="Z63" s="265" t="n">
        <v>393630</v>
      </c>
      <c r="AA63" s="265" t="n">
        <v>295773</v>
      </c>
      <c r="AC63" s="265" t="n">
        <v>368145</v>
      </c>
      <c r="AD63" s="265" t="n">
        <v>348537</v>
      </c>
    </row>
    <row r="64">
      <c r="A64" t="inlineStr">
        <is>
          <t>P: Cessão de direitos creditórios (BP l.46) (cessao de direitos creditorios) · fonte · unid. moeda</t>
        </is>
      </c>
      <c r="B64" t="n">
        <v>26</v>
      </c>
      <c r="C64" t="inlineStr">
        <is>
          <t>Other current liabilities (non-debt)</t>
        </is>
      </c>
      <c r="D64" s="265" t="n">
        <v>0</v>
      </c>
      <c r="E64" s="265" t="n">
        <v>0</v>
      </c>
      <c r="F64" s="265" t="n">
        <v>0</v>
      </c>
      <c r="G64" s="265" t="n">
        <v>0</v>
      </c>
      <c r="I64" s="265" t="n">
        <v>0</v>
      </c>
      <c r="J64" s="265" t="n">
        <v>0</v>
      </c>
      <c r="K64" s="265" t="n">
        <v>0</v>
      </c>
      <c r="L64" s="265" t="n">
        <v>426364</v>
      </c>
      <c r="N64" s="265" t="n">
        <v>452162</v>
      </c>
      <c r="O64" s="265" t="n">
        <v>293687</v>
      </c>
      <c r="P64" s="265" t="n">
        <v>142204</v>
      </c>
      <c r="Q64" s="265" t="n">
        <v>810009</v>
      </c>
      <c r="S64" s="265" t="n">
        <v>1402928</v>
      </c>
      <c r="T64" s="265" t="n">
        <v>1432311</v>
      </c>
      <c r="U64" s="265" t="n">
        <v>932516</v>
      </c>
      <c r="V64" s="265" t="n">
        <v>816439</v>
      </c>
      <c r="X64" s="265" t="n">
        <v>1178763</v>
      </c>
      <c r="Y64" s="265" t="n">
        <v>1052640</v>
      </c>
      <c r="Z64" s="265" t="n">
        <v>1430292</v>
      </c>
      <c r="AA64" s="265" t="n">
        <v>1372275</v>
      </c>
      <c r="AC64" s="265" t="n">
        <v>1167327</v>
      </c>
      <c r="AD64" s="265" t="n">
        <v>1020727</v>
      </c>
    </row>
    <row r="65">
      <c r="A65" t="inlineStr">
        <is>
          <t>P: Consórcio a pagar (BP l.47) · fonte · unid. moeda</t>
        </is>
      </c>
      <c r="B65" t="n">
        <v>26</v>
      </c>
      <c r="C65" t="inlineStr">
        <is>
          <t>Other current liabilities (non-debt)</t>
        </is>
      </c>
      <c r="D65" s="265" t="n">
        <v>0</v>
      </c>
      <c r="E65" s="265" t="n">
        <v>0</v>
      </c>
      <c r="F65" s="265" t="n">
        <v>0</v>
      </c>
      <c r="G65" s="265" t="n">
        <v>0</v>
      </c>
      <c r="I65" s="265" t="n">
        <v>0</v>
      </c>
      <c r="J65" s="265" t="n">
        <v>0</v>
      </c>
      <c r="K65" s="265" t="n">
        <v>0</v>
      </c>
      <c r="L65" s="265" t="n">
        <v>0</v>
      </c>
      <c r="N65" s="265" t="n">
        <v>0</v>
      </c>
      <c r="O65" s="265" t="n">
        <v>0</v>
      </c>
      <c r="P65" s="265" t="n">
        <v>0</v>
      </c>
      <c r="Q65" s="265" t="n">
        <v>0</v>
      </c>
      <c r="S65" s="265" t="n">
        <v>0</v>
      </c>
      <c r="T65" s="265" t="n">
        <v>0</v>
      </c>
      <c r="U65" s="265" t="n">
        <v>0</v>
      </c>
      <c r="V65" s="265" t="n">
        <v>0</v>
      </c>
      <c r="X65" s="265" t="n">
        <v>14086</v>
      </c>
      <c r="Y65" s="265" t="n">
        <v>16388</v>
      </c>
      <c r="Z65" s="265" t="n">
        <v>14001</v>
      </c>
      <c r="AA65" s="265" t="n">
        <v>11729</v>
      </c>
      <c r="AC65" s="265" t="n">
        <v>9230</v>
      </c>
      <c r="AD65" s="265" t="n">
        <v>7085</v>
      </c>
    </row>
    <row r="66">
      <c r="A66" t="inlineStr">
        <is>
          <t>P: Aquisição de empresas a pagar (BP l.50) · fonte · unid. moeda</t>
        </is>
      </c>
      <c r="B66" t="n">
        <v>26</v>
      </c>
      <c r="C66" t="inlineStr">
        <is>
          <t>Other current liabilities (non-debt)</t>
        </is>
      </c>
      <c r="D66" s="265" t="n">
        <v>0</v>
      </c>
      <c r="E66" s="265" t="n">
        <v>0</v>
      </c>
      <c r="F66" s="265" t="n">
        <v>9473</v>
      </c>
      <c r="G66" s="265" t="n">
        <v>9473</v>
      </c>
      <c r="I66" s="265" t="n">
        <v>0</v>
      </c>
      <c r="J66" s="265" t="n">
        <v>0</v>
      </c>
      <c r="K66" s="265" t="n">
        <v>24882</v>
      </c>
      <c r="L66" s="265" t="n">
        <v>39189</v>
      </c>
      <c r="N66" s="265" t="n">
        <v>14307</v>
      </c>
      <c r="O66" s="265" t="n">
        <v>14307</v>
      </c>
      <c r="P66" s="265" t="n">
        <v>12991</v>
      </c>
      <c r="Q66" s="265" t="n">
        <v>12991</v>
      </c>
      <c r="S66" s="265" t="n">
        <v>12991</v>
      </c>
      <c r="T66" s="265" t="n">
        <v>12991</v>
      </c>
      <c r="U66" s="265" t="n">
        <v>12991</v>
      </c>
      <c r="V66" s="265" t="n">
        <v>12991</v>
      </c>
      <c r="X66" s="265" t="n">
        <v>0</v>
      </c>
      <c r="Y66" s="265" t="n">
        <v>4854</v>
      </c>
      <c r="Z66" s="265" t="n">
        <v>18025</v>
      </c>
      <c r="AA66" s="265" t="n">
        <v>18200</v>
      </c>
      <c r="AC66" s="265" t="n">
        <v>13322</v>
      </c>
      <c r="AD66" s="265" t="n">
        <v>15349</v>
      </c>
    </row>
    <row r="67">
      <c r="A67" t="inlineStr">
        <is>
          <t>P: Imposto de renda e contribuição social a recolher (BP l.53) · fonte · unid. moeda</t>
        </is>
      </c>
      <c r="B67" t="n">
        <v>26</v>
      </c>
      <c r="C67" t="inlineStr">
        <is>
          <t>Other current liabilities (non-debt)</t>
        </is>
      </c>
      <c r="D67" s="265" t="n">
        <v>838</v>
      </c>
      <c r="E67" s="265" t="n">
        <v>26853</v>
      </c>
      <c r="F67" s="265" t="n">
        <v>18835</v>
      </c>
      <c r="G67" s="265" t="n">
        <v>1769</v>
      </c>
      <c r="I67" s="265" t="n">
        <v>0</v>
      </c>
      <c r="J67" s="265" t="n">
        <v>0</v>
      </c>
      <c r="K67" s="265" t="n">
        <v>0</v>
      </c>
      <c r="L67" s="265" t="n">
        <v>0</v>
      </c>
      <c r="N67" s="265" t="n">
        <v>312</v>
      </c>
      <c r="O67" s="265" t="n">
        <v>533</v>
      </c>
      <c r="P67" s="265" t="n">
        <v>4109</v>
      </c>
      <c r="Q67" s="265" t="n">
        <v>489</v>
      </c>
      <c r="S67" s="265" t="n">
        <v>1239</v>
      </c>
      <c r="T67" s="265" t="n">
        <v>1204</v>
      </c>
      <c r="U67" s="265" t="n">
        <v>1204</v>
      </c>
      <c r="V67" s="265" t="n">
        <v>1200</v>
      </c>
      <c r="X67" s="265" t="n">
        <v>1204</v>
      </c>
      <c r="Y67" s="265" t="n">
        <v>1204</v>
      </c>
      <c r="Z67" s="265" t="n">
        <v>0</v>
      </c>
      <c r="AA67" s="265" t="n">
        <v>0</v>
      </c>
      <c r="AC67" s="265" t="n">
        <v>0</v>
      </c>
      <c r="AD67" s="265" t="n">
        <v>0</v>
      </c>
    </row>
    <row r="68">
      <c r="A68" t="inlineStr">
        <is>
          <t>P: Dividendos e juros sobre capital próprio a pagar (BP l.54) · fonte · unid. moeda</t>
        </is>
      </c>
      <c r="B68" t="n">
        <v>26</v>
      </c>
      <c r="C68" t="inlineStr">
        <is>
          <t>Other current liabilities (non-debt)</t>
        </is>
      </c>
      <c r="D68" s="265" t="n">
        <v>60350</v>
      </c>
      <c r="E68" s="265" t="n">
        <v>81585</v>
      </c>
      <c r="F68" s="265" t="n">
        <v>46242</v>
      </c>
      <c r="G68" s="265" t="n">
        <v>130121</v>
      </c>
      <c r="I68" s="265" t="n">
        <v>137516</v>
      </c>
      <c r="J68" s="265" t="n">
        <v>90775</v>
      </c>
      <c r="K68" s="265" t="n">
        <v>91418</v>
      </c>
      <c r="L68" s="265" t="n">
        <v>138200</v>
      </c>
      <c r="N68" s="265" t="n">
        <v>90688</v>
      </c>
      <c r="O68" s="265" t="n">
        <v>0</v>
      </c>
      <c r="P68" s="265" t="n">
        <v>0</v>
      </c>
      <c r="Q68" s="265" t="n">
        <v>0</v>
      </c>
      <c r="S68" s="265" t="n">
        <v>0</v>
      </c>
      <c r="T68" s="265" t="n">
        <v>0</v>
      </c>
      <c r="U68" s="265" t="n">
        <v>0</v>
      </c>
      <c r="V68" s="265" t="n">
        <v>55050</v>
      </c>
      <c r="X68" s="265" t="n">
        <v>55050</v>
      </c>
      <c r="Y68" s="265" t="n">
        <v>0</v>
      </c>
      <c r="Z68" s="265" t="n">
        <v>0</v>
      </c>
      <c r="AA68" s="265" t="n">
        <v>216750</v>
      </c>
      <c r="AC68" s="265" t="n">
        <v>216750</v>
      </c>
      <c r="AD68" s="265" t="n">
        <v>216750</v>
      </c>
    </row>
    <row r="69">
      <c r="A69" t="inlineStr">
        <is>
          <t>P: Partes relacionadas (BP l.55) · fonte · unid. moeda</t>
        </is>
      </c>
      <c r="B69" t="n">
        <v>26</v>
      </c>
      <c r="C69" t="inlineStr">
        <is>
          <t>Other current liabilities (non-debt)</t>
        </is>
      </c>
      <c r="D69" s="265" t="n">
        <v>0</v>
      </c>
      <c r="E69" s="265" t="n">
        <v>0</v>
      </c>
      <c r="F69" s="265" t="n">
        <v>0</v>
      </c>
      <c r="G69" s="265" t="n">
        <v>0</v>
      </c>
      <c r="I69" s="265" t="n">
        <v>0</v>
      </c>
      <c r="J69" s="265" t="n">
        <v>0</v>
      </c>
      <c r="K69" s="265" t="n">
        <v>0</v>
      </c>
      <c r="L69" s="265" t="n">
        <v>0</v>
      </c>
      <c r="N69" s="265" t="n">
        <v>0</v>
      </c>
      <c r="O69" s="265" t="n">
        <v>0</v>
      </c>
      <c r="P69" s="265" t="n">
        <v>0</v>
      </c>
      <c r="Q69" s="265" t="n">
        <v>0</v>
      </c>
      <c r="S69" s="265" t="n">
        <v>0</v>
      </c>
      <c r="T69" s="265" t="n">
        <v>0</v>
      </c>
      <c r="U69" s="265" t="n">
        <v>0</v>
      </c>
      <c r="V69" s="265" t="n">
        <v>0</v>
      </c>
      <c r="X69" s="265" t="n">
        <v>0</v>
      </c>
      <c r="Y69" s="265" t="n">
        <v>0</v>
      </c>
      <c r="Z69" s="265" t="n">
        <v>0</v>
      </c>
      <c r="AA69" s="265" t="n">
        <v>0</v>
      </c>
      <c r="AC69" s="265" t="n">
        <v>0</v>
      </c>
      <c r="AD69" s="265" t="n">
        <v>0</v>
      </c>
    </row>
    <row r="70">
      <c r="A70" t="inlineStr">
        <is>
          <t>P: Outras contas a pagar e adiantamentos (BP l.56) · fonte · unid. moeda</t>
        </is>
      </c>
      <c r="B70" t="n">
        <v>26</v>
      </c>
      <c r="C70" t="inlineStr">
        <is>
          <t>Other current liabilities (non-debt)</t>
        </is>
      </c>
      <c r="D70" s="265" t="n">
        <v>123439</v>
      </c>
      <c r="E70" s="265" t="n">
        <v>111532</v>
      </c>
      <c r="F70" s="265" t="n">
        <v>157735</v>
      </c>
      <c r="G70" s="265" t="n">
        <v>172300</v>
      </c>
      <c r="I70" s="265" t="n">
        <v>184616</v>
      </c>
      <c r="J70" s="265" t="n">
        <v>216587</v>
      </c>
      <c r="K70" s="265" t="n">
        <v>199890</v>
      </c>
      <c r="L70" s="265" t="n">
        <v>224551</v>
      </c>
      <c r="N70" s="265" t="n">
        <v>257841</v>
      </c>
      <c r="O70" s="265" t="n">
        <v>201239</v>
      </c>
      <c r="P70" s="265" t="n">
        <v>312760</v>
      </c>
      <c r="Q70" s="265" t="n">
        <v>226182</v>
      </c>
      <c r="S70" s="265" t="n">
        <v>350501</v>
      </c>
      <c r="T70" s="265" t="n">
        <v>370778</v>
      </c>
      <c r="U70" s="265" t="n">
        <v>325435</v>
      </c>
      <c r="V70" s="265" t="n">
        <v>159781</v>
      </c>
      <c r="X70" s="265" t="n">
        <v>396097</v>
      </c>
      <c r="Y70" s="265" t="n">
        <v>305263</v>
      </c>
      <c r="Z70" s="265" t="n">
        <v>270345</v>
      </c>
      <c r="AA70" s="265" t="n">
        <v>319191</v>
      </c>
      <c r="AC70" s="265" t="n">
        <v>233057</v>
      </c>
      <c r="AD70" s="265" t="n">
        <v>224540</v>
      </c>
    </row>
    <row r="71">
      <c r="A71" t="inlineStr">
        <is>
          <t>P: Arrendamento por direito de uso (BP l.48) (IFRS16 -&gt; cod 29) · fonte · unid. moeda</t>
        </is>
      </c>
      <c r="B71" t="n">
        <v>29</v>
      </c>
      <c r="C71" t="inlineStr">
        <is>
          <t>Short term operating leases</t>
        </is>
      </c>
      <c r="D71" s="265" t="n">
        <v>61994</v>
      </c>
      <c r="E71" s="265" t="n">
        <v>67678</v>
      </c>
      <c r="F71" s="265" t="n">
        <v>84414</v>
      </c>
      <c r="G71" s="265" t="n">
        <v>103044</v>
      </c>
      <c r="I71" s="265" t="n">
        <v>108267</v>
      </c>
      <c r="J71" s="265" t="n">
        <v>119982</v>
      </c>
      <c r="K71" s="265" t="n">
        <v>134853</v>
      </c>
      <c r="L71" s="265" t="n">
        <v>137485</v>
      </c>
      <c r="N71" s="265" t="n">
        <v>133720</v>
      </c>
      <c r="O71" s="265" t="n">
        <v>132466</v>
      </c>
      <c r="P71" s="265" t="n">
        <v>140545</v>
      </c>
      <c r="Q71" s="265" t="n">
        <v>155635</v>
      </c>
      <c r="S71" s="265" t="n">
        <v>159147</v>
      </c>
      <c r="T71" s="265" t="n">
        <v>171944</v>
      </c>
      <c r="U71" s="265" t="n">
        <v>180835</v>
      </c>
      <c r="V71" s="265" t="n">
        <v>167348</v>
      </c>
      <c r="X71" s="265" t="n">
        <v>153154</v>
      </c>
      <c r="Y71" s="265" t="n">
        <v>174068</v>
      </c>
      <c r="Z71" s="265" t="n">
        <v>180979</v>
      </c>
      <c r="AA71" s="265" t="n">
        <v>177918</v>
      </c>
      <c r="AC71" s="265" t="n">
        <v>177143</v>
      </c>
      <c r="AD71" s="265" t="n">
        <v>200687</v>
      </c>
    </row>
    <row r="72">
      <c r="A72" t="inlineStr">
        <is>
          <t>P: Obrigações trabalhistas e sociais (BP l.51) · fonte · unid. moeda</t>
        </is>
      </c>
      <c r="B72" t="n">
        <v>24</v>
      </c>
      <c r="C72" t="inlineStr">
        <is>
          <t>Accrued expenses</t>
        </is>
      </c>
      <c r="D72" s="265" t="n">
        <v>60032</v>
      </c>
      <c r="E72" s="265" t="n">
        <v>70925</v>
      </c>
      <c r="F72" s="265" t="n">
        <v>73609</v>
      </c>
      <c r="G72" s="265" t="n">
        <v>66977</v>
      </c>
      <c r="I72" s="265" t="n">
        <v>80682</v>
      </c>
      <c r="J72" s="265" t="n">
        <v>75787</v>
      </c>
      <c r="K72" s="265" t="n">
        <v>92790</v>
      </c>
      <c r="L72" s="265" t="n">
        <v>106456</v>
      </c>
      <c r="N72" s="265" t="n">
        <v>129605</v>
      </c>
      <c r="O72" s="265" t="n">
        <v>136441</v>
      </c>
      <c r="P72" s="265" t="n">
        <v>151666</v>
      </c>
      <c r="Q72" s="265" t="n">
        <v>155655</v>
      </c>
      <c r="S72" s="265" t="n">
        <v>142042</v>
      </c>
      <c r="T72" s="265" t="n">
        <v>120107</v>
      </c>
      <c r="U72" s="265" t="n">
        <v>116491</v>
      </c>
      <c r="V72" s="265" t="n">
        <v>97953</v>
      </c>
      <c r="X72" s="265" t="n">
        <v>95866</v>
      </c>
      <c r="Y72" s="265" t="n">
        <v>111777</v>
      </c>
      <c r="Z72" s="265" t="n">
        <v>124925</v>
      </c>
      <c r="AA72" s="265" t="n">
        <v>114327</v>
      </c>
      <c r="AC72" s="265" t="n">
        <v>127308</v>
      </c>
      <c r="AD72" s="265" t="n">
        <v>126412</v>
      </c>
    </row>
    <row r="73">
      <c r="A73" t="inlineStr">
        <is>
          <t>P: Tributos a recolher (BP l.52) · fonte · unid. moeda</t>
        </is>
      </c>
      <c r="B73" t="n">
        <v>25</v>
      </c>
      <c r="C73" t="inlineStr">
        <is>
          <t>Taxes payable</t>
        </is>
      </c>
      <c r="D73" s="265" t="n">
        <v>14888</v>
      </c>
      <c r="E73" s="265" t="n">
        <v>20693</v>
      </c>
      <c r="F73" s="265" t="n">
        <v>22330</v>
      </c>
      <c r="G73" s="265" t="n">
        <v>24832</v>
      </c>
      <c r="I73" s="265" t="n">
        <v>25379</v>
      </c>
      <c r="J73" s="265" t="n">
        <v>41630</v>
      </c>
      <c r="K73" s="265" t="n">
        <v>25260</v>
      </c>
      <c r="L73" s="265" t="n">
        <v>64331</v>
      </c>
      <c r="N73" s="265" t="n">
        <v>38350</v>
      </c>
      <c r="O73" s="265" t="n">
        <v>34271</v>
      </c>
      <c r="P73" s="265" t="n">
        <v>54344</v>
      </c>
      <c r="Q73" s="265" t="n">
        <v>71372</v>
      </c>
      <c r="S73" s="265" t="n">
        <v>103155</v>
      </c>
      <c r="T73" s="265" t="n">
        <v>71063</v>
      </c>
      <c r="U73" s="265" t="n">
        <v>119799</v>
      </c>
      <c r="V73" s="265" t="n">
        <v>132506</v>
      </c>
      <c r="X73" s="265" t="n">
        <v>130947</v>
      </c>
      <c r="Y73" s="265" t="n">
        <v>119656</v>
      </c>
      <c r="Z73" s="265" t="n">
        <v>108833</v>
      </c>
      <c r="AA73" s="265" t="n">
        <v>163739</v>
      </c>
      <c r="AC73" s="265" t="n">
        <v>116802</v>
      </c>
      <c r="AD73" s="265" t="n">
        <v>85665</v>
      </c>
    </row>
    <row r="74">
      <c r="A74" t="inlineStr">
        <is>
          <t>P: Empréstimos e Financiamentos (BP l.62) · fonte · unid. moeda</t>
        </is>
      </c>
      <c r="B74" t="n">
        <v>30</v>
      </c>
      <c r="C74" t="inlineStr">
        <is>
          <t>Long term debt</t>
        </is>
      </c>
      <c r="D74" s="265" t="n">
        <v>5964979</v>
      </c>
      <c r="E74" s="265" t="n">
        <v>5245917</v>
      </c>
      <c r="F74" s="265" t="n">
        <v>7555142</v>
      </c>
      <c r="G74" s="265" t="n">
        <v>7717093</v>
      </c>
      <c r="I74" s="265" t="n">
        <v>6952233</v>
      </c>
      <c r="J74" s="265" t="n">
        <v>7858851</v>
      </c>
      <c r="K74" s="265" t="n">
        <v>8915508</v>
      </c>
      <c r="L74" s="265" t="n">
        <v>6263270</v>
      </c>
      <c r="N74" s="265" t="n">
        <v>5433468</v>
      </c>
      <c r="O74" s="265" t="n">
        <v>4153692</v>
      </c>
      <c r="P74" s="265" t="n">
        <v>4116906</v>
      </c>
      <c r="Q74" s="265" t="n">
        <v>4565716</v>
      </c>
      <c r="S74" s="265" t="n">
        <v>4396253</v>
      </c>
      <c r="T74" s="265" t="n">
        <v>7033059</v>
      </c>
      <c r="U74" s="265" t="n">
        <v>6931241</v>
      </c>
      <c r="V74" s="265" t="n">
        <v>7609603</v>
      </c>
      <c r="X74" s="265" t="n">
        <v>6961824</v>
      </c>
      <c r="Y74" s="265" t="n">
        <v>6115241</v>
      </c>
      <c r="Z74" s="265" t="n">
        <v>5992966</v>
      </c>
      <c r="AA74" s="265" t="n">
        <v>5032293</v>
      </c>
      <c r="AC74" s="265" t="n">
        <v>6517039</v>
      </c>
      <c r="AD74" s="265" t="n">
        <v>7619951</v>
      </c>
    </row>
    <row r="75">
      <c r="A75" t="inlineStr">
        <is>
          <t>P: Debêntures (BP l.63) · fonte · unid. moeda</t>
        </is>
      </c>
      <c r="B75" t="n">
        <v>30</v>
      </c>
      <c r="C75" t="inlineStr">
        <is>
          <t>Long term debt</t>
        </is>
      </c>
      <c r="D75" s="265" t="n">
        <v>2238509</v>
      </c>
      <c r="E75" s="265" t="n">
        <v>3218501</v>
      </c>
      <c r="F75" s="265" t="n">
        <v>5545001</v>
      </c>
      <c r="G75" s="265" t="n">
        <v>5978107</v>
      </c>
      <c r="I75" s="265" t="n">
        <v>5781505</v>
      </c>
      <c r="J75" s="265" t="n">
        <v>6499925</v>
      </c>
      <c r="K75" s="265" t="n">
        <v>9108073</v>
      </c>
      <c r="L75" s="265" t="n">
        <v>9081321</v>
      </c>
      <c r="N75" s="265" t="n">
        <v>8401236</v>
      </c>
      <c r="O75" s="265" t="n">
        <v>8514139</v>
      </c>
      <c r="P75" s="265" t="n">
        <v>8396242</v>
      </c>
      <c r="Q75" s="265" t="n">
        <v>9115871</v>
      </c>
      <c r="S75" s="265" t="n">
        <v>9969269</v>
      </c>
      <c r="T75" s="265" t="n">
        <v>9232583</v>
      </c>
      <c r="U75" s="265" t="n">
        <v>9789137</v>
      </c>
      <c r="V75" s="265" t="n">
        <v>10090410</v>
      </c>
      <c r="X75" s="265" t="n">
        <v>9841871</v>
      </c>
      <c r="Y75" s="265" t="n">
        <v>9492594</v>
      </c>
      <c r="Z75" s="265" t="n">
        <v>8408120</v>
      </c>
      <c r="AA75" s="265" t="n">
        <v>12063339</v>
      </c>
      <c r="AC75" s="265" t="n">
        <v>13211691</v>
      </c>
      <c r="AD75" s="265" t="n">
        <v>12706018</v>
      </c>
    </row>
    <row r="76">
      <c r="A76" t="inlineStr">
        <is>
          <t>P: Arrendamentos a pagar a instituições financeiras (BP l.67) (arrendamento c/ instituicoes financeiras -&gt; divida) · fonte · unid. moeda</t>
        </is>
      </c>
      <c r="B76" t="n">
        <v>30</v>
      </c>
      <c r="C76" t="inlineStr">
        <is>
          <t>Long term debt</t>
        </is>
      </c>
      <c r="D76" s="265" t="n">
        <v>0</v>
      </c>
      <c r="E76" s="265" t="n">
        <v>0</v>
      </c>
      <c r="F76" s="265" t="n">
        <v>31477</v>
      </c>
      <c r="G76" s="265" t="n">
        <v>7390</v>
      </c>
      <c r="I76" s="265" t="n">
        <v>3189</v>
      </c>
      <c r="J76" s="265" t="n">
        <v>77</v>
      </c>
      <c r="K76" s="265" t="n">
        <v>6</v>
      </c>
      <c r="L76" s="265" t="n">
        <v>0</v>
      </c>
      <c r="N76" s="265" t="n">
        <v>0</v>
      </c>
      <c r="O76" s="265" t="n">
        <v>0</v>
      </c>
      <c r="P76" s="265" t="n">
        <v>0</v>
      </c>
      <c r="Q76" s="265" t="n">
        <v>0</v>
      </c>
      <c r="S76" s="265" t="n">
        <v>0</v>
      </c>
      <c r="T76" s="265" t="n">
        <v>0</v>
      </c>
      <c r="U76" s="265" t="n">
        <v>0</v>
      </c>
      <c r="V76" s="265" t="n">
        <v>0</v>
      </c>
      <c r="X76" s="265" t="n">
        <v>0</v>
      </c>
      <c r="Y76" s="265" t="n">
        <v>0</v>
      </c>
      <c r="Z76" s="265" t="n">
        <v>0</v>
      </c>
      <c r="AA76" s="265" t="n">
        <v>0</v>
      </c>
      <c r="AC76" s="265" t="n">
        <v>0</v>
      </c>
      <c r="AD76" s="265" t="n">
        <v>0</v>
      </c>
    </row>
    <row r="77">
      <c r="A77" t="inlineStr">
        <is>
          <t>P: Instrumentos financeiros derivativos (BP l.64) · fonte · unid. moeda</t>
        </is>
      </c>
      <c r="B77" t="n">
        <v>34</v>
      </c>
      <c r="C77" t="inlineStr">
        <is>
          <t>Other non-current liabilities</t>
        </is>
      </c>
      <c r="D77" s="265" t="n">
        <v>167913</v>
      </c>
      <c r="E77" s="265" t="n">
        <v>364055</v>
      </c>
      <c r="F77" s="265" t="n">
        <v>378379</v>
      </c>
      <c r="G77" s="265" t="n">
        <v>102146</v>
      </c>
      <c r="I77" s="265" t="n">
        <v>681507</v>
      </c>
      <c r="J77" s="265" t="n">
        <v>723695</v>
      </c>
      <c r="K77" s="265" t="n">
        <v>739963</v>
      </c>
      <c r="L77" s="265" t="n">
        <v>908807</v>
      </c>
      <c r="N77" s="265" t="n">
        <v>883182</v>
      </c>
      <c r="O77" s="265" t="n">
        <v>772673</v>
      </c>
      <c r="P77" s="265" t="n">
        <v>727593</v>
      </c>
      <c r="Q77" s="265" t="n">
        <v>134859</v>
      </c>
      <c r="S77" s="265" t="n">
        <v>100228</v>
      </c>
      <c r="T77" s="265" t="n">
        <v>171977</v>
      </c>
      <c r="U77" s="265" t="n">
        <v>184653</v>
      </c>
      <c r="V77" s="265" t="n">
        <v>280859</v>
      </c>
      <c r="X77" s="265" t="n">
        <v>258844</v>
      </c>
      <c r="Y77" s="265" t="n">
        <v>238753</v>
      </c>
      <c r="Z77" s="265" t="n">
        <v>424641</v>
      </c>
      <c r="AA77" s="265" t="n">
        <v>439028</v>
      </c>
      <c r="AC77" s="265" t="n">
        <v>617488</v>
      </c>
      <c r="AD77" s="265" t="n">
        <v>917041</v>
      </c>
    </row>
    <row r="78">
      <c r="A78" t="inlineStr">
        <is>
          <t>P: Cessão de direitos créditorios (BP l.65) (cessao de direitos creditorios) · fonte · unid. moeda</t>
        </is>
      </c>
      <c r="B78" t="n">
        <v>34</v>
      </c>
      <c r="C78" t="inlineStr">
        <is>
          <t>Other non-current liabilities</t>
        </is>
      </c>
      <c r="D78" s="265" t="n">
        <v>0</v>
      </c>
      <c r="E78" s="265" t="n">
        <v>0</v>
      </c>
      <c r="F78" s="265" t="n">
        <v>0</v>
      </c>
      <c r="G78" s="265" t="n">
        <v>0</v>
      </c>
      <c r="I78" s="265" t="n">
        <v>0</v>
      </c>
      <c r="J78" s="265" t="n">
        <v>0</v>
      </c>
      <c r="K78" s="265" t="n">
        <v>0</v>
      </c>
      <c r="L78" s="265" t="n">
        <v>348107</v>
      </c>
      <c r="N78" s="265" t="n">
        <v>294605</v>
      </c>
      <c r="O78" s="265" t="n">
        <v>334280</v>
      </c>
      <c r="P78" s="265" t="n">
        <v>359438</v>
      </c>
      <c r="Q78" s="265" t="n">
        <v>171452</v>
      </c>
      <c r="S78" s="265" t="n">
        <v>299157</v>
      </c>
      <c r="T78" s="265" t="n">
        <v>320192</v>
      </c>
      <c r="U78" s="265" t="n">
        <v>366931</v>
      </c>
      <c r="V78" s="265" t="n">
        <v>56072</v>
      </c>
      <c r="X78" s="265" t="n">
        <v>278405</v>
      </c>
      <c r="Y78" s="265" t="n">
        <v>527729</v>
      </c>
      <c r="Z78" s="265" t="n">
        <v>486843</v>
      </c>
      <c r="AA78" s="265" t="n">
        <v>619368</v>
      </c>
      <c r="AC78" s="265" t="n">
        <v>707790</v>
      </c>
      <c r="AD78" s="265" t="n">
        <v>541391</v>
      </c>
    </row>
    <row r="79">
      <c r="A79" t="inlineStr">
        <is>
          <t>P: Aquisição de empresas a pagar (BP l.68) · fonte · unid. moeda</t>
        </is>
      </c>
      <c r="B79" t="n">
        <v>34</v>
      </c>
      <c r="C79" t="inlineStr">
        <is>
          <t>Other non-current liabilities</t>
        </is>
      </c>
      <c r="D79" s="265" t="n">
        <v>0</v>
      </c>
      <c r="E79" s="265" t="n">
        <v>0</v>
      </c>
      <c r="F79" s="265" t="n">
        <v>0</v>
      </c>
      <c r="G79" s="265" t="n">
        <v>0</v>
      </c>
      <c r="I79" s="265" t="n">
        <v>0</v>
      </c>
      <c r="J79" s="265" t="n">
        <v>9500</v>
      </c>
      <c r="K79" s="265" t="n">
        <v>10012</v>
      </c>
      <c r="L79" s="265" t="n">
        <v>10413</v>
      </c>
      <c r="N79" s="265" t="n">
        <v>10757</v>
      </c>
      <c r="O79" s="265" t="n">
        <v>11095</v>
      </c>
      <c r="P79" s="265" t="n">
        <v>11458</v>
      </c>
      <c r="Q79" s="265" t="n">
        <v>11783</v>
      </c>
      <c r="S79" s="265" t="n">
        <v>17942</v>
      </c>
      <c r="T79" s="265" t="n">
        <v>18396</v>
      </c>
      <c r="U79" s="265" t="n">
        <v>18887</v>
      </c>
      <c r="V79" s="265" t="n">
        <v>19392</v>
      </c>
      <c r="X79" s="265" t="n">
        <v>31167</v>
      </c>
      <c r="Y79" s="265" t="n">
        <v>21622</v>
      </c>
      <c r="Z79" s="265" t="n">
        <v>8951</v>
      </c>
      <c r="AA79" s="265" t="n">
        <v>9262</v>
      </c>
      <c r="AC79" s="265" t="n">
        <v>9573</v>
      </c>
      <c r="AD79" s="265" t="n">
        <v>22526</v>
      </c>
    </row>
    <row r="80">
      <c r="A80" t="inlineStr">
        <is>
          <t>P: Tributos a recolher (BP l.69) · fonte · unid. moeda</t>
        </is>
      </c>
      <c r="B80" t="n">
        <v>34</v>
      </c>
      <c r="C80" t="inlineStr">
        <is>
          <t>Other non-current liabilities</t>
        </is>
      </c>
      <c r="D80" s="265" t="n">
        <v>0</v>
      </c>
      <c r="E80" s="265" t="n">
        <v>0</v>
      </c>
      <c r="F80" s="265" t="n">
        <v>0</v>
      </c>
      <c r="G80" s="265" t="n">
        <v>2058</v>
      </c>
      <c r="I80" s="265" t="n">
        <v>1926</v>
      </c>
      <c r="J80" s="265" t="n">
        <v>1793</v>
      </c>
      <c r="K80" s="265" t="n">
        <v>1720</v>
      </c>
      <c r="L80" s="265" t="n">
        <v>1587</v>
      </c>
      <c r="N80" s="265" t="n">
        <v>1455</v>
      </c>
      <c r="O80" s="265" t="n">
        <v>1328</v>
      </c>
      <c r="P80" s="265" t="n">
        <v>1235</v>
      </c>
      <c r="Q80" s="265" t="n">
        <v>1142</v>
      </c>
      <c r="S80" s="265" t="n">
        <v>1050</v>
      </c>
      <c r="T80" s="265" t="n">
        <v>957</v>
      </c>
      <c r="U80" s="265" t="n">
        <v>864</v>
      </c>
      <c r="V80" s="265" t="n">
        <v>771</v>
      </c>
      <c r="X80" s="265" t="n">
        <v>679</v>
      </c>
      <c r="Y80" s="265" t="n">
        <v>586</v>
      </c>
      <c r="Z80" s="265" t="n">
        <v>493</v>
      </c>
      <c r="AA80" s="265" t="n">
        <v>452</v>
      </c>
      <c r="AC80" s="265" t="n">
        <v>408</v>
      </c>
      <c r="AD80" s="265" t="n">
        <v>379</v>
      </c>
    </row>
    <row r="81">
      <c r="A81" t="inlineStr">
        <is>
          <t>P: Provisões para demandas judiciais e administrativas (BP l.70) · fonte · unid. moeda</t>
        </is>
      </c>
      <c r="B81" t="n">
        <v>34</v>
      </c>
      <c r="C81" t="inlineStr">
        <is>
          <t>Other non-current liabilities</t>
        </is>
      </c>
      <c r="D81" s="265" t="n">
        <v>4555</v>
      </c>
      <c r="E81" s="265" t="n">
        <v>4491</v>
      </c>
      <c r="F81" s="265" t="n">
        <v>3980</v>
      </c>
      <c r="G81" s="265" t="n">
        <v>4712</v>
      </c>
      <c r="I81" s="265" t="n">
        <v>5307</v>
      </c>
      <c r="J81" s="265" t="n">
        <v>8671</v>
      </c>
      <c r="K81" s="265" t="n">
        <v>9566</v>
      </c>
      <c r="L81" s="265" t="n">
        <v>9527</v>
      </c>
      <c r="N81" s="265" t="n">
        <v>11129</v>
      </c>
      <c r="O81" s="265" t="n">
        <v>12403</v>
      </c>
      <c r="P81" s="265" t="n">
        <v>12561</v>
      </c>
      <c r="Q81" s="265" t="n">
        <v>12165</v>
      </c>
      <c r="S81" s="265" t="n">
        <v>12456</v>
      </c>
      <c r="T81" s="265" t="n">
        <v>13011</v>
      </c>
      <c r="U81" s="265" t="n">
        <v>13478</v>
      </c>
      <c r="V81" s="265" t="n">
        <v>14491</v>
      </c>
      <c r="X81" s="265" t="n">
        <v>15762</v>
      </c>
      <c r="Y81" s="265" t="n">
        <v>17329</v>
      </c>
      <c r="Z81" s="265" t="n">
        <v>18256</v>
      </c>
      <c r="AA81" s="265" t="n">
        <v>16870</v>
      </c>
      <c r="AC81" s="265" t="n">
        <v>20657</v>
      </c>
      <c r="AD81" s="265" t="n">
        <v>24038</v>
      </c>
    </row>
    <row r="82">
      <c r="A82" t="inlineStr">
        <is>
          <t>P: Passivos mantidos para distribuição aos acionistas (BP l.72) · fonte · unid. moeda</t>
        </is>
      </c>
      <c r="B82" t="n">
        <v>34</v>
      </c>
      <c r="C82" t="inlineStr">
        <is>
          <t>Other non-current liabilities</t>
        </is>
      </c>
      <c r="D82" s="265" t="n">
        <v>0</v>
      </c>
      <c r="E82" s="265" t="n">
        <v>0</v>
      </c>
      <c r="F82" s="265" t="n">
        <v>0</v>
      </c>
      <c r="G82" s="265" t="n">
        <v>0</v>
      </c>
      <c r="I82" s="265" t="n">
        <v>0</v>
      </c>
      <c r="J82" s="265" t="n">
        <v>0</v>
      </c>
      <c r="K82" s="265" t="n">
        <v>0</v>
      </c>
      <c r="L82" s="265" t="n">
        <v>0</v>
      </c>
      <c r="N82" s="265" t="n">
        <v>0</v>
      </c>
      <c r="O82" s="265" t="n">
        <v>0</v>
      </c>
      <c r="P82" s="265" t="n">
        <v>0</v>
      </c>
      <c r="Q82" s="265" t="n">
        <v>0</v>
      </c>
      <c r="S82" s="265" t="n">
        <v>0</v>
      </c>
      <c r="T82" s="265" t="n">
        <v>0</v>
      </c>
      <c r="U82" s="265" t="n">
        <v>0</v>
      </c>
      <c r="V82" s="265" t="n">
        <v>0</v>
      </c>
      <c r="X82" s="265" t="n">
        <v>0</v>
      </c>
      <c r="Y82" s="265" t="n">
        <v>0</v>
      </c>
      <c r="Z82" s="265" t="n">
        <v>0</v>
      </c>
      <c r="AA82" s="265" t="n">
        <v>0</v>
      </c>
      <c r="AC82" s="265" t="n">
        <v>0</v>
      </c>
      <c r="AD82" s="265" t="n">
        <v>0</v>
      </c>
    </row>
    <row r="83">
      <c r="A83" t="inlineStr">
        <is>
          <t>P: Outras contas a pagar e adiantamentos (BP l.73) · fonte · unid. moeda</t>
        </is>
      </c>
      <c r="B83" t="n">
        <v>34</v>
      </c>
      <c r="C83" t="inlineStr">
        <is>
          <t>Other non-current liabilities</t>
        </is>
      </c>
      <c r="D83" s="265" t="n">
        <v>3046</v>
      </c>
      <c r="E83" s="265" t="n">
        <v>395</v>
      </c>
      <c r="F83" s="265" t="n">
        <v>6847</v>
      </c>
      <c r="G83" s="265" t="n">
        <v>12941</v>
      </c>
      <c r="I83" s="265" t="n">
        <v>12649</v>
      </c>
      <c r="J83" s="265" t="n">
        <v>12759</v>
      </c>
      <c r="K83" s="265" t="n">
        <v>17192</v>
      </c>
      <c r="L83" s="265" t="n">
        <v>13468</v>
      </c>
      <c r="N83" s="265" t="n">
        <v>12922</v>
      </c>
      <c r="O83" s="265" t="n">
        <v>10090</v>
      </c>
      <c r="P83" s="265" t="n">
        <v>11861</v>
      </c>
      <c r="Q83" s="265" t="n">
        <v>12723</v>
      </c>
      <c r="S83" s="265" t="n">
        <v>6358</v>
      </c>
      <c r="T83" s="265" t="n">
        <v>4379</v>
      </c>
      <c r="U83" s="265" t="n">
        <v>10730</v>
      </c>
      <c r="V83" s="265" t="n">
        <v>23169</v>
      </c>
      <c r="X83" s="265" t="n">
        <v>28477</v>
      </c>
      <c r="Y83" s="265" t="n">
        <v>16410</v>
      </c>
      <c r="Z83" s="265" t="n">
        <v>14297</v>
      </c>
      <c r="AA83" s="265" t="n">
        <v>23590</v>
      </c>
      <c r="AC83" s="265" t="n">
        <v>12747</v>
      </c>
      <c r="AD83" s="265" t="n">
        <v>16464</v>
      </c>
    </row>
    <row r="84">
      <c r="A84" t="inlineStr">
        <is>
          <t>P: Arrendamento por direito de uso (BP l.66) (IFRS16 -&gt; cod 31) · fonte · unid. moeda</t>
        </is>
      </c>
      <c r="B84" t="n">
        <v>31</v>
      </c>
      <c r="C84" t="inlineStr">
        <is>
          <t>Long term operating leases</t>
        </is>
      </c>
      <c r="D84" s="265" t="n">
        <v>253437</v>
      </c>
      <c r="E84" s="265" t="n">
        <v>241255</v>
      </c>
      <c r="F84" s="265" t="n">
        <v>252270</v>
      </c>
      <c r="G84" s="265" t="n">
        <v>304983</v>
      </c>
      <c r="I84" s="265" t="n">
        <v>311744</v>
      </c>
      <c r="J84" s="265" t="n">
        <v>330194</v>
      </c>
      <c r="K84" s="265" t="n">
        <v>340876</v>
      </c>
      <c r="L84" s="265" t="n">
        <v>336068</v>
      </c>
      <c r="N84" s="265" t="n">
        <v>310644</v>
      </c>
      <c r="O84" s="265" t="n">
        <v>306138</v>
      </c>
      <c r="P84" s="265" t="n">
        <v>341102</v>
      </c>
      <c r="Q84" s="265" t="n">
        <v>336400</v>
      </c>
      <c r="S84" s="265" t="n">
        <v>328396</v>
      </c>
      <c r="T84" s="265" t="n">
        <v>325940</v>
      </c>
      <c r="U84" s="265" t="n">
        <v>388496</v>
      </c>
      <c r="V84" s="265" t="n">
        <v>414895</v>
      </c>
      <c r="X84" s="265" t="n">
        <v>479603</v>
      </c>
      <c r="Y84" s="265" t="n">
        <v>500576</v>
      </c>
      <c r="Z84" s="265" t="n">
        <v>510209</v>
      </c>
      <c r="AA84" s="265" t="n">
        <v>511610</v>
      </c>
      <c r="AC84" s="265" t="n">
        <v>494532</v>
      </c>
      <c r="AD84" s="265" t="n">
        <v>501706</v>
      </c>
    </row>
    <row r="85">
      <c r="A85" t="inlineStr">
        <is>
          <t>P: Imposto de renda e contribuição social diferidos (BP l.71) · fonte · unid. moeda</t>
        </is>
      </c>
      <c r="B85" t="n">
        <v>33</v>
      </c>
      <c r="C85" t="inlineStr">
        <is>
          <t>Deferred income taxes</t>
        </is>
      </c>
      <c r="D85" s="265" t="n">
        <v>253092</v>
      </c>
      <c r="E85" s="265" t="n">
        <v>354903</v>
      </c>
      <c r="F85" s="265" t="n">
        <v>488512</v>
      </c>
      <c r="G85" s="265" t="n">
        <v>550758</v>
      </c>
      <c r="I85" s="265" t="n">
        <v>551177</v>
      </c>
      <c r="J85" s="265" t="n">
        <v>577658</v>
      </c>
      <c r="K85" s="265" t="n">
        <v>589252</v>
      </c>
      <c r="L85" s="265" t="n">
        <v>611603</v>
      </c>
      <c r="N85" s="265" t="n">
        <v>764597</v>
      </c>
      <c r="O85" s="265" t="n">
        <v>829712</v>
      </c>
      <c r="P85" s="265" t="n">
        <v>814360</v>
      </c>
      <c r="Q85" s="265" t="n">
        <v>780220</v>
      </c>
      <c r="S85" s="265" t="n">
        <v>780929</v>
      </c>
      <c r="T85" s="265" t="n">
        <v>861486</v>
      </c>
      <c r="U85" s="265" t="n">
        <v>937030</v>
      </c>
      <c r="V85" s="265" t="n">
        <v>319118</v>
      </c>
      <c r="X85" s="265" t="n">
        <v>331116</v>
      </c>
      <c r="Y85" s="265" t="n">
        <v>356854</v>
      </c>
      <c r="Z85" s="265" t="n">
        <v>393331</v>
      </c>
      <c r="AA85" s="265" t="n">
        <v>554650</v>
      </c>
      <c r="AC85" s="265" t="n">
        <v>583321</v>
      </c>
      <c r="AD85" s="265" t="n">
        <v>610153</v>
      </c>
    </row>
    <row r="86">
      <c r="A86" t="inlineStr">
        <is>
          <t>PL: Capital Social (BP l.78) · fonte · unid. moeda</t>
        </is>
      </c>
      <c r="B86" t="n">
        <v>37</v>
      </c>
      <c r="C86" t="inlineStr">
        <is>
          <t>Common Stock and APIC</t>
        </is>
      </c>
      <c r="D86" s="265" t="n">
        <v>2009942</v>
      </c>
      <c r="E86" s="265" t="n">
        <v>2009942</v>
      </c>
      <c r="F86" s="265" t="n">
        <v>2590739</v>
      </c>
      <c r="G86" s="265" t="n">
        <v>2590702</v>
      </c>
      <c r="I86" s="265" t="n">
        <v>2590776</v>
      </c>
      <c r="J86" s="265" t="n">
        <v>2590776</v>
      </c>
      <c r="K86" s="265" t="n">
        <v>2590776</v>
      </c>
      <c r="L86" s="265" t="n">
        <v>2590776</v>
      </c>
      <c r="N86" s="265" t="n">
        <v>2590776</v>
      </c>
      <c r="O86" s="265" t="n">
        <v>2590775</v>
      </c>
      <c r="P86" s="265" t="n">
        <v>2590776</v>
      </c>
      <c r="Q86" s="265" t="n">
        <v>2590776</v>
      </c>
      <c r="S86" s="265" t="n">
        <v>2590776</v>
      </c>
      <c r="T86" s="265" t="n">
        <v>2590776</v>
      </c>
      <c r="U86" s="265" t="n">
        <v>2590776</v>
      </c>
      <c r="V86" s="265" t="n">
        <v>2590776</v>
      </c>
      <c r="X86" s="265" t="n">
        <v>2590776</v>
      </c>
      <c r="Y86" s="265" t="n">
        <v>2590776</v>
      </c>
      <c r="Z86" s="265" t="n">
        <v>2590776</v>
      </c>
      <c r="AA86" s="265" t="n">
        <v>2590776</v>
      </c>
      <c r="AC86" s="265" t="n">
        <v>2590776</v>
      </c>
      <c r="AD86" s="265" t="n">
        <v>2694115</v>
      </c>
    </row>
    <row r="87">
      <c r="A87" t="inlineStr">
        <is>
          <t>PL: Reserva de Capital (BP l.80) · fonte · unid. moeda</t>
        </is>
      </c>
      <c r="B87" t="n">
        <v>37</v>
      </c>
      <c r="C87" t="inlineStr">
        <is>
          <t>Common Stock and APIC</t>
        </is>
      </c>
      <c r="D87" s="265" t="n">
        <v>60871</v>
      </c>
      <c r="E87" s="265" t="n">
        <v>61017</v>
      </c>
      <c r="F87" s="265" t="n">
        <v>63090</v>
      </c>
      <c r="G87" s="265" t="n">
        <v>61633</v>
      </c>
      <c r="I87" s="265" t="n">
        <v>61633</v>
      </c>
      <c r="J87" s="265" t="n">
        <v>61633</v>
      </c>
      <c r="K87" s="265" t="n">
        <v>61633</v>
      </c>
      <c r="L87" s="265" t="n">
        <v>61633</v>
      </c>
      <c r="N87" s="265" t="n">
        <v>61633</v>
      </c>
      <c r="O87" s="265" t="n">
        <v>61633</v>
      </c>
      <c r="P87" s="265" t="n">
        <v>61633</v>
      </c>
      <c r="Q87" s="265" t="n">
        <v>61633</v>
      </c>
      <c r="S87" s="265" t="n">
        <v>61633</v>
      </c>
      <c r="T87" s="265" t="n">
        <v>61633</v>
      </c>
      <c r="U87" s="265" t="n">
        <v>61633</v>
      </c>
      <c r="V87" s="265" t="n">
        <v>61633</v>
      </c>
      <c r="X87" s="265" t="n">
        <v>61633</v>
      </c>
      <c r="Y87" s="265" t="n">
        <v>61633</v>
      </c>
      <c r="Z87" s="265" t="n">
        <v>61633</v>
      </c>
      <c r="AA87" s="265" t="n">
        <v>61633</v>
      </c>
      <c r="AC87" s="265" t="n">
        <v>0</v>
      </c>
      <c r="AD87" s="265" t="n">
        <v>641593</v>
      </c>
    </row>
    <row r="88">
      <c r="A88" t="inlineStr">
        <is>
          <t>PL: Adiantamento para Futuro Aumento de Capital (BP l.85) · fonte · unid. moeda</t>
        </is>
      </c>
      <c r="B88" t="n">
        <v>37</v>
      </c>
      <c r="C88" t="inlineStr">
        <is>
          <t>Common Stock and APIC</t>
        </is>
      </c>
      <c r="D88" s="265" t="n">
        <v>0</v>
      </c>
      <c r="E88" s="265" t="n">
        <v>0</v>
      </c>
      <c r="F88" s="265" t="n">
        <v>0</v>
      </c>
      <c r="G88" s="265" t="n">
        <v>0</v>
      </c>
      <c r="I88" s="265" t="n">
        <v>0</v>
      </c>
      <c r="J88" s="265" t="n">
        <v>0</v>
      </c>
      <c r="K88" s="265" t="n">
        <v>0</v>
      </c>
      <c r="L88" s="265" t="n">
        <v>0</v>
      </c>
      <c r="N88" s="265" t="n">
        <v>0</v>
      </c>
      <c r="O88" s="265" t="n">
        <v>0</v>
      </c>
      <c r="P88" s="265" t="n">
        <v>0</v>
      </c>
      <c r="Q88" s="265" t="n">
        <v>0</v>
      </c>
      <c r="S88" s="265" t="n">
        <v>0</v>
      </c>
      <c r="T88" s="265" t="n">
        <v>0</v>
      </c>
      <c r="U88" s="265" t="n">
        <v>0</v>
      </c>
      <c r="V88" s="265" t="n">
        <v>0</v>
      </c>
      <c r="X88" s="265" t="n">
        <v>0</v>
      </c>
      <c r="Y88" s="265" t="n">
        <v>0</v>
      </c>
      <c r="Z88" s="265" t="n">
        <v>0</v>
      </c>
      <c r="AA88" s="265" t="n">
        <v>0</v>
      </c>
      <c r="AC88" s="265" t="n">
        <v>0</v>
      </c>
      <c r="AD88" s="265" t="n">
        <v>0</v>
      </c>
    </row>
    <row r="89">
      <c r="A89" t="inlineStr">
        <is>
          <t>PL: Ações em tesouraria (BP l.79) · fonte · unid. moeda</t>
        </is>
      </c>
      <c r="B89" t="n">
        <v>38</v>
      </c>
      <c r="C89" t="inlineStr">
        <is>
          <t>Treasury stock (contra account)</t>
        </is>
      </c>
      <c r="D89" s="265" t="n">
        <v>-23377</v>
      </c>
      <c r="E89" s="265" t="n">
        <v>-27166</v>
      </c>
      <c r="F89" s="265" t="n">
        <v>-12509</v>
      </c>
      <c r="G89" s="265" t="n">
        <v>-12639</v>
      </c>
      <c r="I89" s="265" t="n">
        <v>-12649</v>
      </c>
      <c r="J89" s="265" t="n">
        <v>-13530</v>
      </c>
      <c r="K89" s="265" t="n">
        <v>-14410</v>
      </c>
      <c r="L89" s="265" t="n">
        <v>-14419</v>
      </c>
      <c r="N89" s="265" t="n">
        <v>-29946</v>
      </c>
      <c r="O89" s="265" t="n">
        <v>-29970</v>
      </c>
      <c r="P89" s="265" t="n">
        <v>-30106</v>
      </c>
      <c r="Q89" s="265" t="n">
        <v>-50667</v>
      </c>
      <c r="S89" s="265" t="n">
        <v>-50760</v>
      </c>
      <c r="T89" s="265" t="n">
        <v>-50763</v>
      </c>
      <c r="U89" s="265" t="n">
        <v>-50780</v>
      </c>
      <c r="V89" s="265" t="n">
        <v>-50803</v>
      </c>
      <c r="X89" s="265" t="n">
        <v>-82243</v>
      </c>
      <c r="Y89" s="265" t="n">
        <v>-124687</v>
      </c>
      <c r="Z89" s="265" t="n">
        <v>-145608</v>
      </c>
      <c r="AA89" s="265" t="n">
        <v>-153531</v>
      </c>
      <c r="AC89" s="265" t="n">
        <v>-2564</v>
      </c>
      <c r="AD89" s="265" t="n">
        <v>-13542</v>
      </c>
    </row>
    <row r="90">
      <c r="A90" t="inlineStr">
        <is>
          <t>PL: Outros resultados abrangentes (BP l.81) · fonte · unid. moeda</t>
        </is>
      </c>
      <c r="B90" t="n">
        <v>39</v>
      </c>
      <c r="C90" t="inlineStr">
        <is>
          <t>Comprehensive (accumulated) loss</t>
        </is>
      </c>
      <c r="D90" s="265" t="n">
        <v>-91954</v>
      </c>
      <c r="E90" s="265" t="n">
        <v>-29036</v>
      </c>
      <c r="F90" s="265" t="n">
        <v>-235068</v>
      </c>
      <c r="G90" s="265" t="n">
        <v>-269184</v>
      </c>
      <c r="I90" s="265" t="n">
        <v>-516528</v>
      </c>
      <c r="J90" s="265" t="n">
        <v>-818601</v>
      </c>
      <c r="K90" s="265" t="n">
        <v>-933900</v>
      </c>
      <c r="L90" s="265" t="n">
        <v>-861809</v>
      </c>
      <c r="N90" s="265" t="n">
        <v>-805138</v>
      </c>
      <c r="O90" s="265" t="n">
        <v>-546023</v>
      </c>
      <c r="P90" s="265" t="n">
        <v>-524573</v>
      </c>
      <c r="Q90" s="265" t="n">
        <v>-421258</v>
      </c>
      <c r="S90" s="265" t="n">
        <v>-478032</v>
      </c>
      <c r="T90" s="265" t="n">
        <v>-531210</v>
      </c>
      <c r="U90" s="265" t="n">
        <v>-454383</v>
      </c>
      <c r="V90" s="265" t="n">
        <v>-618961</v>
      </c>
      <c r="X90" s="265" t="n">
        <v>-550804</v>
      </c>
      <c r="Y90" s="265" t="n">
        <v>-534657</v>
      </c>
      <c r="Z90" s="265" t="n">
        <v>-444032</v>
      </c>
      <c r="AA90" s="265" t="n">
        <v>-104285</v>
      </c>
      <c r="AC90" s="265" t="n">
        <v>-126946</v>
      </c>
      <c r="AD90" s="265" t="n">
        <v>-151704</v>
      </c>
    </row>
    <row r="91">
      <c r="A91" t="inlineStr">
        <is>
          <t>PL: Ajuste Patrimonial (BP l.83) · fonte · unid. moeda</t>
        </is>
      </c>
      <c r="B91" t="n">
        <v>39</v>
      </c>
      <c r="C91" t="inlineStr">
        <is>
          <t>Comprehensive (accumulated) loss</t>
        </is>
      </c>
      <c r="D91" s="265" t="n">
        <v>0</v>
      </c>
      <c r="E91" s="265" t="n">
        <v>0</v>
      </c>
      <c r="F91" s="265" t="n">
        <v>0</v>
      </c>
      <c r="G91" s="265" t="n">
        <v>0</v>
      </c>
      <c r="I91" s="265" t="n">
        <v>0</v>
      </c>
      <c r="J91" s="265" t="n">
        <v>0</v>
      </c>
      <c r="K91" s="265" t="n">
        <v>0</v>
      </c>
      <c r="L91" s="265" t="n">
        <v>0</v>
      </c>
      <c r="N91" s="265" t="n">
        <v>0</v>
      </c>
      <c r="O91" s="265" t="n">
        <v>0</v>
      </c>
      <c r="P91" s="265" t="n">
        <v>0</v>
      </c>
      <c r="Q91" s="265" t="n">
        <v>0</v>
      </c>
      <c r="S91" s="265" t="n">
        <v>0</v>
      </c>
      <c r="T91" s="265" t="n">
        <v>0</v>
      </c>
      <c r="U91" s="265" t="n">
        <v>0</v>
      </c>
      <c r="V91" s="265" t="n">
        <v>0</v>
      </c>
      <c r="X91" s="265" t="n">
        <v>0</v>
      </c>
      <c r="Y91" s="265" t="n">
        <v>0</v>
      </c>
      <c r="Z91" s="265" t="n">
        <v>0</v>
      </c>
      <c r="AA91" s="265" t="n">
        <v>0</v>
      </c>
      <c r="AC91" s="265" t="n">
        <v>0</v>
      </c>
      <c r="AD91" s="265" t="n">
        <v>0</v>
      </c>
    </row>
    <row r="92">
      <c r="A92" t="inlineStr">
        <is>
          <t>PL: Reservas de Lucros (BP l.82) · fonte · unid. moeda</t>
        </is>
      </c>
      <c r="B92" t="n">
        <v>41</v>
      </c>
      <c r="C92" t="inlineStr">
        <is>
          <t>Retained earnings</t>
        </is>
      </c>
      <c r="D92" s="265" t="n">
        <v>394069</v>
      </c>
      <c r="E92" s="265" t="n">
        <v>544089</v>
      </c>
      <c r="F92" s="265" t="n">
        <v>771873</v>
      </c>
      <c r="G92" s="265" t="n">
        <v>913960</v>
      </c>
      <c r="I92" s="265" t="n">
        <v>1118054</v>
      </c>
      <c r="J92" s="265" t="n">
        <v>1034260</v>
      </c>
      <c r="K92" s="265" t="n">
        <v>1072979</v>
      </c>
      <c r="L92" s="265" t="n">
        <v>992503</v>
      </c>
      <c r="N92" s="265" t="n">
        <v>1013550</v>
      </c>
      <c r="O92" s="265" t="n">
        <v>995684</v>
      </c>
      <c r="P92" s="265" t="n">
        <v>929958</v>
      </c>
      <c r="Q92" s="265" t="n">
        <v>341650</v>
      </c>
      <c r="S92" s="265" t="n">
        <v>390201</v>
      </c>
      <c r="T92" s="265" t="n">
        <v>432750</v>
      </c>
      <c r="U92" s="265" t="n">
        <v>510974</v>
      </c>
      <c r="V92" s="265" t="n">
        <v>509847</v>
      </c>
      <c r="X92" s="265" t="n">
        <v>588314</v>
      </c>
      <c r="Y92" s="265" t="n">
        <v>655910</v>
      </c>
      <c r="Z92" s="265" t="n">
        <v>725865</v>
      </c>
      <c r="AA92" s="265" t="n">
        <v>573211</v>
      </c>
      <c r="AC92" s="265" t="n">
        <v>595395</v>
      </c>
      <c r="AD92" s="265" t="n">
        <v>731045</v>
      </c>
    </row>
    <row r="93">
      <c r="A93" t="inlineStr">
        <is>
          <t>PL: Lucros acumulados do período (BP l.84) · fonte · unid. moeda</t>
        </is>
      </c>
      <c r="B93" t="n">
        <v>41</v>
      </c>
      <c r="C93" t="inlineStr">
        <is>
          <t>Retained earnings</t>
        </is>
      </c>
      <c r="D93" s="265" t="n">
        <v>0</v>
      </c>
      <c r="E93" s="265" t="n">
        <v>0</v>
      </c>
      <c r="F93" s="265" t="n">
        <v>0</v>
      </c>
      <c r="G93" s="265" t="n">
        <v>0</v>
      </c>
      <c r="I93" s="265" t="n">
        <v>0</v>
      </c>
      <c r="J93" s="265" t="n">
        <v>0</v>
      </c>
      <c r="K93" s="265" t="n">
        <v>0</v>
      </c>
      <c r="L93" s="265" t="n">
        <v>0</v>
      </c>
      <c r="N93" s="265" t="n">
        <v>0</v>
      </c>
      <c r="O93" s="265" t="n">
        <v>0</v>
      </c>
      <c r="P93" s="265" t="n">
        <v>0</v>
      </c>
      <c r="Q93" s="265" t="n">
        <v>0</v>
      </c>
      <c r="S93" s="265" t="n">
        <v>0</v>
      </c>
      <c r="T93" s="265" t="n">
        <v>0</v>
      </c>
      <c r="U93" s="265" t="n">
        <v>0</v>
      </c>
      <c r="V93" s="265" t="n">
        <v>0</v>
      </c>
      <c r="X93" s="265" t="n">
        <v>0</v>
      </c>
      <c r="Y93" s="265" t="n">
        <v>0</v>
      </c>
      <c r="Z93" s="265" t="n">
        <v>0</v>
      </c>
      <c r="AA93" s="265" t="n">
        <v>0</v>
      </c>
      <c r="AC93" s="265" t="n">
        <v>0</v>
      </c>
      <c r="AD93" s="265" t="n">
        <v>0</v>
      </c>
    </row>
    <row r="94">
      <c r="A94" t="inlineStr">
        <is>
          <t>A: Estoques - sem linha na planilha (zeros; seminovos a venda estao em veiculos desativados, cod 16). Linha existe para o Model projetar estoque = 0 · derivada · unid. moeda</t>
        </is>
      </c>
      <c r="B94" t="n">
        <v>13</v>
      </c>
      <c r="C94" t="inlineStr">
        <is>
          <t>Inventories</t>
        </is>
      </c>
      <c r="D94" s="265" t="n">
        <v>0</v>
      </c>
      <c r="E94" s="265" t="n">
        <v>0</v>
      </c>
      <c r="F94" s="265" t="n">
        <v>0</v>
      </c>
      <c r="G94" s="265" t="n">
        <v>0</v>
      </c>
      <c r="I94" s="265" t="n">
        <v>0</v>
      </c>
      <c r="J94" s="265" t="n">
        <v>0</v>
      </c>
      <c r="K94" s="265" t="n">
        <v>0</v>
      </c>
      <c r="L94" s="265" t="n">
        <v>0</v>
      </c>
      <c r="N94" s="265" t="n">
        <v>0</v>
      </c>
      <c r="O94" s="265" t="n">
        <v>0</v>
      </c>
      <c r="P94" s="265" t="n">
        <v>0</v>
      </c>
      <c r="Q94" s="265" t="n">
        <v>0</v>
      </c>
      <c r="S94" s="265" t="n">
        <v>0</v>
      </c>
      <c r="T94" s="265" t="n">
        <v>0</v>
      </c>
      <c r="U94" s="265" t="n">
        <v>0</v>
      </c>
      <c r="V94" s="265" t="n">
        <v>0</v>
      </c>
      <c r="X94" s="265" t="n">
        <v>0</v>
      </c>
      <c r="Y94" s="265" t="n">
        <v>0</v>
      </c>
      <c r="Z94" s="265" t="n">
        <v>0</v>
      </c>
      <c r="AA94" s="265" t="n">
        <v>0</v>
      </c>
      <c r="AC94" s="265" t="n">
        <v>0</v>
      </c>
      <c r="AD94" s="265" t="n">
        <v>0</v>
      </c>
    </row>
    <row r="95">
      <c r="A95" t="inlineStr">
        <is>
          <t>BALANCO - totais divulgados (memoria)</t>
        </is>
      </c>
      <c r="C95" t="inlineStr">
        <is>
          <t>[linha bruta, sem código; lançada nas linhas abaixo]</t>
        </is>
      </c>
      <c r="D95" s="265" t="n"/>
      <c r="E95" s="265" t="n"/>
      <c r="F95" s="265" t="n"/>
      <c r="G95" s="265" t="n"/>
      <c r="I95" s="265" t="n"/>
      <c r="J95" s="265" t="n"/>
      <c r="K95" s="265" t="n"/>
      <c r="L95" s="265" t="n"/>
      <c r="N95" s="265" t="n"/>
      <c r="O95" s="265" t="n"/>
      <c r="P95" s="265" t="n"/>
      <c r="Q95" s="265" t="n"/>
      <c r="S95" s="265" t="n"/>
      <c r="T95" s="265" t="n"/>
      <c r="U95" s="265" t="n"/>
      <c r="V95" s="265" t="n"/>
      <c r="X95" s="265" t="n"/>
      <c r="Y95" s="265" t="n"/>
      <c r="Z95" s="265" t="n"/>
      <c r="AA95" s="265" t="n"/>
      <c r="AC95" s="265" t="n"/>
      <c r="AD95" s="265" t="n"/>
    </row>
    <row r="96">
      <c r="A96" t="inlineStr">
        <is>
          <t>Total do ativo (l.37) · memoria · unid. moeda</t>
        </is>
      </c>
      <c r="C96" t="inlineStr">
        <is>
          <t>[linha bruta, sem código; lançada nas linhas abaixo]</t>
        </is>
      </c>
      <c r="D96" s="265" t="n">
        <v>13041956</v>
      </c>
      <c r="E96" s="265" t="n">
        <v>14204671</v>
      </c>
      <c r="F96" s="265" t="n">
        <v>19735813</v>
      </c>
      <c r="G96" s="265" t="n">
        <v>21715853</v>
      </c>
      <c r="I96" s="265" t="n">
        <v>20955436</v>
      </c>
      <c r="J96" s="265" t="n">
        <v>23372858</v>
      </c>
      <c r="K96" s="265" t="n">
        <v>26410242</v>
      </c>
      <c r="L96" s="265" t="n">
        <v>26248893</v>
      </c>
      <c r="N96" s="265" t="n">
        <v>22682051</v>
      </c>
      <c r="O96" s="265" t="n">
        <v>21069958</v>
      </c>
      <c r="P96" s="265" t="n">
        <v>21734567</v>
      </c>
      <c r="Q96" s="265" t="n">
        <v>25119493</v>
      </c>
      <c r="S96" s="265" t="n">
        <v>26185588</v>
      </c>
      <c r="T96" s="265" t="n">
        <v>27684239</v>
      </c>
      <c r="U96" s="265" t="n">
        <v>28574186</v>
      </c>
      <c r="V96" s="265" t="n">
        <v>30573857</v>
      </c>
      <c r="X96" s="265" t="n">
        <v>29211368</v>
      </c>
      <c r="Y96" s="265" t="n">
        <v>29775568</v>
      </c>
      <c r="Z96" s="265" t="n">
        <v>29641564</v>
      </c>
      <c r="AA96" s="265" t="n">
        <v>34925259</v>
      </c>
      <c r="AC96" s="265" t="n">
        <v>35936374</v>
      </c>
      <c r="AD96" s="265" t="n">
        <v>37340960</v>
      </c>
    </row>
    <row r="97">
      <c r="A97" t="inlineStr">
        <is>
          <t>Total do passivo e PL (l.89) · memoria · unid. moeda</t>
        </is>
      </c>
      <c r="C97" t="inlineStr">
        <is>
          <t>[linha bruta, sem código; lançada nas linhas abaixo]</t>
        </is>
      </c>
      <c r="D97" s="265" t="n">
        <v>13041956</v>
      </c>
      <c r="E97" s="265" t="n">
        <v>14204671</v>
      </c>
      <c r="F97" s="265" t="n">
        <v>19735813</v>
      </c>
      <c r="G97" s="265" t="n">
        <v>21715853</v>
      </c>
      <c r="I97" s="265" t="n">
        <v>20955436</v>
      </c>
      <c r="J97" s="265" t="n">
        <v>23372858</v>
      </c>
      <c r="K97" s="265" t="n">
        <v>26410241</v>
      </c>
      <c r="L97" s="265" t="n">
        <v>26248890</v>
      </c>
      <c r="N97" s="265" t="n">
        <v>22682051</v>
      </c>
      <c r="O97" s="265" t="n">
        <v>21069958</v>
      </c>
      <c r="P97" s="265" t="n">
        <v>21734564</v>
      </c>
      <c r="Q97" s="265" t="n">
        <v>25119490</v>
      </c>
      <c r="S97" s="265" t="n">
        <v>26185588</v>
      </c>
      <c r="T97" s="265" t="n">
        <v>27684239</v>
      </c>
      <c r="U97" s="265" t="n">
        <v>28574186</v>
      </c>
      <c r="V97" s="265" t="n">
        <v>30573857</v>
      </c>
      <c r="X97" s="265" t="n">
        <v>29211368</v>
      </c>
      <c r="Y97" s="265" t="n">
        <v>29775568</v>
      </c>
      <c r="Z97" s="265" t="n">
        <v>29641564</v>
      </c>
      <c r="AA97" s="265" t="n">
        <v>34925260</v>
      </c>
      <c r="AC97" s="265" t="n">
        <v>35936374</v>
      </c>
      <c r="AD97" s="265" t="n">
        <v>37340960</v>
      </c>
    </row>
    <row r="98">
      <c r="A98" t="inlineStr">
        <is>
          <t>Total do PL (l.87) · memoria · unid. moeda</t>
        </is>
      </c>
      <c r="C98" t="inlineStr">
        <is>
          <t>[linha bruta, sem código; lançada nas linhas abaixo]</t>
        </is>
      </c>
      <c r="D98" s="265" t="n">
        <v>2349551</v>
      </c>
      <c r="E98" s="265" t="n">
        <v>2558846</v>
      </c>
      <c r="F98" s="265" t="n">
        <v>3178125</v>
      </c>
      <c r="G98" s="265" t="n">
        <v>3284472</v>
      </c>
      <c r="I98" s="265" t="n">
        <v>3241286</v>
      </c>
      <c r="J98" s="265" t="n">
        <v>2854538</v>
      </c>
      <c r="K98" s="265" t="n">
        <v>2777078</v>
      </c>
      <c r="L98" s="265" t="n">
        <v>2768684</v>
      </c>
      <c r="N98" s="265" t="n">
        <v>2830875</v>
      </c>
      <c r="O98" s="265" t="n">
        <v>3072099</v>
      </c>
      <c r="P98" s="265" t="n">
        <v>3027688</v>
      </c>
      <c r="Q98" s="265" t="n">
        <v>2522134</v>
      </c>
      <c r="S98" s="265" t="n">
        <v>2513818</v>
      </c>
      <c r="T98" s="265" t="n">
        <v>2503186</v>
      </c>
      <c r="U98" s="265" t="n">
        <v>2658220</v>
      </c>
      <c r="V98" s="265" t="n">
        <v>2492492</v>
      </c>
      <c r="X98" s="265" t="n">
        <v>2607676</v>
      </c>
      <c r="Y98" s="265" t="n">
        <v>2648975</v>
      </c>
      <c r="Z98" s="265" t="n">
        <v>2788634</v>
      </c>
      <c r="AA98" s="265" t="n">
        <v>2967804</v>
      </c>
      <c r="AC98" s="265" t="n">
        <v>3056661</v>
      </c>
      <c r="AD98" s="265" t="n">
        <v>3901507</v>
      </c>
    </row>
    <row r="99">
      <c r="A99" t="inlineStr">
        <is>
          <t>CHECKS (devem ser 0)</t>
        </is>
      </c>
      <c r="C99" t="inlineStr">
        <is>
          <t>[linha bruta, sem código; lançada nas linhas abaixo]</t>
        </is>
      </c>
      <c r="D99" s="265" t="n"/>
      <c r="E99" s="265" t="n"/>
      <c r="F99" s="265" t="n"/>
      <c r="G99" s="265" t="n"/>
      <c r="I99" s="265" t="n"/>
      <c r="J99" s="265" t="n"/>
      <c r="K99" s="265" t="n"/>
      <c r="L99" s="265" t="n"/>
      <c r="N99" s="265" t="n"/>
      <c r="O99" s="265" t="n"/>
      <c r="P99" s="265" t="n"/>
      <c r="Q99" s="265" t="n"/>
      <c r="S99" s="265" t="n"/>
      <c r="T99" s="265" t="n"/>
      <c r="U99" s="265" t="n"/>
      <c r="V99" s="265" t="n"/>
      <c r="X99" s="265" t="n"/>
      <c r="Y99" s="265" t="n"/>
      <c r="Z99" s="265" t="n"/>
      <c r="AA99" s="265" t="n"/>
      <c r="AC99" s="265" t="n"/>
      <c r="AD99" s="265" t="n"/>
    </row>
    <row r="100">
      <c r="A100" t="inlineStr">
        <is>
          <t>CHECK: receita + custos + residuo + despesas + resultado financeiro + IR - lucro liquido · derivada · unid. moeda</t>
        </is>
      </c>
      <c r="C100" t="inlineStr">
        <is>
          <t>[linha bruta, sem código; lançada nas linhas abaixo]</t>
        </is>
      </c>
      <c r="D100" s="265">
        <f>ROUND(D5+D6+D7+D8+D9+D10+D11+D12+D26+D27-D31,1)</f>
        <v>0</v>
      </c>
      <c r="E100" s="265">
        <f>ROUND(E5+E6+E7+E8+E9+E10+E11+E12+E26+E27-E31,1)</f>
        <v>0</v>
      </c>
      <c r="F100" s="265">
        <f>ROUND(F5+F6+F7+F8+F9+F10+F11+F12+F26+F27-F31,1)</f>
        <v>0</v>
      </c>
      <c r="G100" s="265">
        <f>ROUND(G5+G6+G7+G8+G9+G10+G11+G12+G26+G27-G31,1)</f>
        <v>0</v>
      </c>
      <c r="I100" s="265">
        <f>ROUND(I5+I6+I7+I8+I9+I10+I11+I12+I26+I27-I31,1)</f>
        <v>0</v>
      </c>
      <c r="J100" s="265">
        <f>ROUND(J5+J6+J7+J8+J9+J10+J11+J12+J26+J27-J31,1)</f>
        <v>0</v>
      </c>
      <c r="K100" s="265">
        <f>ROUND(K5+K6+K7+K8+K9+K10+K11+K12+K26+K27-K31,1)</f>
        <v>0</v>
      </c>
      <c r="L100" s="265">
        <f>ROUND(L5+L6+L7+L8+L9+L10+L11+L12+L26+L27-L31,1)</f>
        <v>0</v>
      </c>
      <c r="N100" s="265">
        <f>ROUND(N5+N6+N7+N8+N9+N10+N11+N12+N26+N27-N31,1)</f>
        <v>0</v>
      </c>
      <c r="O100" s="265">
        <f>ROUND(O5+O6+O7+O8+O9+O10+O11+O12+O26+O27-O31,1)</f>
        <v>0</v>
      </c>
      <c r="P100" s="265">
        <f>ROUND(P5+P6+P7+P8+P9+P10+P11+P12+P26+P27-P31,1)</f>
        <v>0</v>
      </c>
      <c r="Q100" s="265">
        <f>ROUND(Q5+Q6+Q7+Q8+Q9+Q10+Q11+Q12+Q26+Q27-Q31,1)</f>
        <v>0</v>
      </c>
      <c r="S100" s="265">
        <f>ROUND(S5+S6+S7+S8+S9+S10+S11+S12+S26+S27-S31,1)</f>
        <v>0</v>
      </c>
      <c r="T100" s="265">
        <f>ROUND(T5+T6+T7+T8+T9+T10+T11+T12+T26+T27-T31,1)</f>
        <v>0</v>
      </c>
      <c r="U100" s="265">
        <f>ROUND(U5+U6+U7+U8+U9+U10+U11+U12+U26+U27-U31,1)</f>
        <v>0</v>
      </c>
      <c r="V100" s="265">
        <f>ROUND(V5+V6+V7+V8+V9+V10+V11+V12+V26+V27-V31,1)</f>
        <v>0</v>
      </c>
      <c r="X100" s="265">
        <f>ROUND(X5+X6+X7+X8+X9+X10+X11+X12+X26+X27-X31,1)</f>
        <v>0</v>
      </c>
      <c r="Y100" s="265">
        <f>ROUND(Y5+Y6+Y7+Y8+Y9+Y10+Y11+Y12+Y26+Y27-Y31,1)</f>
        <v>0</v>
      </c>
      <c r="Z100" s="265">
        <f>ROUND(Z5+Z6+Z7+Z8+Z9+Z10+Z11+Z12+Z26+Z27-Z31,1)</f>
        <v>0</v>
      </c>
      <c r="AA100" s="265">
        <f>ROUND(AA5+AA6+AA7+AA8+AA9+AA10+AA11+AA12+AA26+AA27-AA31,1)</f>
        <v>0</v>
      </c>
      <c r="AC100" s="265">
        <f>ROUND(AC5+AC6+AC7+AC8+AC9+AC10+AC11+AC12+AC26+AC27-AC31,1)</f>
        <v>0</v>
      </c>
      <c r="AD100" s="265">
        <f>ROUND(AD5+AD6+AD7+AD8+AD9+AD10+AD11+AD12+AD26+AD27-AD31,1)</f>
        <v>0</v>
      </c>
    </row>
    <row r="101">
      <c r="A101" t="inlineStr">
        <is>
          <t>CHECK: contas de ativo - ativo total · derivada · unid. moeda</t>
        </is>
      </c>
      <c r="C101" t="inlineStr">
        <is>
          <t>[linha bruta, sem código; lançada nas linhas abaixo]</t>
        </is>
      </c>
      <c r="D101" s="265">
        <f>ROUND(D36+D37+D38+D39+D40+D41+D42+D43+D44+D45+D46+D47+D48+D49+D50+D51+D52+D53+D54+D55+D56+D57-D96,1)</f>
        <v>0</v>
      </c>
      <c r="E101" s="265">
        <f>ROUND(E36+E37+E38+E39+E40+E41+E42+E43+E44+E45+E46+E47+E48+E49+E50+E51+E52+E53+E54+E55+E56+E57-E96,1)</f>
        <v>0</v>
      </c>
      <c r="F101" s="265">
        <f>ROUND(F36+F37+F38+F39+F40+F41+F42+F43+F44+F45+F46+F47+F48+F49+F50+F51+F52+F53+F54+F55+F56+F57-F96,1)</f>
        <v>0</v>
      </c>
      <c r="G101" s="265">
        <f>ROUND(G36+G37+G38+G39+G40+G41+G42+G43+G44+G45+G46+G47+G48+G49+G50+G51+G52+G53+G54+G55+G56+G57-G96,1)</f>
        <v>0</v>
      </c>
      <c r="I101" s="265">
        <f>ROUND(I36+I37+I38+I39+I40+I41+I42+I43+I44+I45+I46+I47+I48+I49+I50+I51+I52+I53+I54+I55+I56+I57-I96,1)</f>
        <v>0</v>
      </c>
      <c r="J101" s="265">
        <f>ROUND(J36+J37+J38+J39+J40+J41+J42+J43+J44+J45+J46+J47+J48+J49+J50+J51+J52+J53+J54+J55+J56+J57-J96,1)</f>
        <v>0</v>
      </c>
      <c r="K101" s="265">
        <f>ROUND(K36+K37+K38+K39+K40+K41+K42+K43+K44+K45+K46+K47+K48+K49+K50+K51+K52+K53+K54+K55+K56+K57-K96,1)</f>
        <v>0</v>
      </c>
      <c r="L101" s="265">
        <f>ROUND(L36+L37+L38+L39+L40+L41+L42+L43+L44+L45+L46+L47+L48+L49+L50+L51+L52+L53+L54+L55+L56+L57-L96,1)</f>
        <v>0</v>
      </c>
      <c r="N101" s="265">
        <f>ROUND(N36+N37+N38+N39+N40+N41+N42+N43+N44+N45+N46+N47+N48+N49+N50+N51+N52+N53+N54+N55+N56+N57-N96,1)</f>
        <v>0</v>
      </c>
      <c r="O101" s="265">
        <f>ROUND(O36+O37+O38+O39+O40+O41+O42+O43+O44+O45+O46+O47+O48+O49+O50+O51+O52+O53+O54+O55+O56+O57-O96,1)</f>
        <v>0</v>
      </c>
      <c r="P101" s="265">
        <f>ROUND(P36+P37+P38+P39+P40+P41+P42+P43+P44+P45+P46+P47+P48+P49+P50+P51+P52+P53+P54+P55+P56+P57-P96,1)</f>
        <v>0</v>
      </c>
      <c r="Q101" s="265">
        <f>ROUND(Q36+Q37+Q38+Q39+Q40+Q41+Q42+Q43+Q44+Q45+Q46+Q47+Q48+Q49+Q50+Q51+Q52+Q53+Q54+Q55+Q56+Q57-Q96,1)</f>
        <v>0</v>
      </c>
      <c r="S101" s="265">
        <f>ROUND(S36+S37+S38+S39+S40+S41+S42+S43+S44+S45+S46+S47+S48+S49+S50+S51+S52+S53+S54+S55+S56+S57-S96,1)</f>
        <v>0</v>
      </c>
      <c r="T101" s="265">
        <f>ROUND(T36+T37+T38+T39+T40+T41+T42+T43+T44+T45+T46+T47+T48+T49+T50+T51+T52+T53+T54+T55+T56+T57-T96,1)</f>
        <v>0</v>
      </c>
      <c r="U101" s="265">
        <f>ROUND(U36+U37+U38+U39+U40+U41+U42+U43+U44+U45+U46+U47+U48+U49+U50+U51+U52+U53+U54+U55+U56+U57-U96,1)</f>
        <v>0</v>
      </c>
      <c r="V101" s="265">
        <f>ROUND(V36+V37+V38+V39+V40+V41+V42+V43+V44+V45+V46+V47+V48+V49+V50+V51+V52+V53+V54+V55+V56+V57-V96,1)</f>
        <v>0</v>
      </c>
      <c r="X101" s="265">
        <f>ROUND(X36+X37+X38+X39+X40+X41+X42+X43+X44+X45+X46+X47+X48+X49+X50+X51+X52+X53+X54+X55+X56+X57-X96,1)</f>
        <v>0</v>
      </c>
      <c r="Y101" s="265">
        <f>ROUND(Y36+Y37+Y38+Y39+Y40+Y41+Y42+Y43+Y44+Y45+Y46+Y47+Y48+Y49+Y50+Y51+Y52+Y53+Y54+Y55+Y56+Y57-Y96,1)</f>
        <v>0</v>
      </c>
      <c r="Z101" s="265">
        <f>ROUND(Z36+Z37+Z38+Z39+Z40+Z41+Z42+Z43+Z44+Z45+Z46+Z47+Z48+Z49+Z50+Z51+Z52+Z53+Z54+Z55+Z56+Z57-Z96,1)</f>
        <v>0</v>
      </c>
      <c r="AA101" s="265">
        <f>ROUND(AA36+AA37+AA38+AA39+AA40+AA41+AA42+AA43+AA44+AA45+AA46+AA47+AA48+AA49+AA50+AA51+AA52+AA53+AA54+AA55+AA56+AA57-AA96,1)</f>
        <v>0</v>
      </c>
      <c r="AC101" s="265">
        <f>ROUND(AC36+AC37+AC38+AC39+AC40+AC41+AC42+AC43+AC44+AC45+AC46+AC47+AC48+AC49+AC50+AC51+AC52+AC53+AC54+AC55+AC56+AC57-AC96,1)</f>
        <v>0</v>
      </c>
      <c r="AD101" s="265">
        <f>ROUND(AD36+AD37+AD38+AD39+AD40+AD41+AD42+AD43+AD44+AD45+AD46+AD47+AD48+AD49+AD50+AD51+AD52+AD53+AD54+AD55+AD56+AD57-AD96,1)</f>
        <v>0</v>
      </c>
    </row>
    <row r="102">
      <c r="A102" t="inlineStr">
        <is>
          <t>CHECK: passivo + PL - passivo total · derivada · unid. moeda</t>
        </is>
      </c>
      <c r="C102" t="inlineStr">
        <is>
          <t>[linha bruta, sem código; lançada nas linhas abaixo]</t>
        </is>
      </c>
      <c r="D102" s="265">
        <f>ROUND(D58+D59+D60+D61+D62+D63+D64+D65+D66+D67+D68+D69+D70+D71+D72+D73+D74+D75+D76+D77+D78+D79+D80+D81+D82+D83+D84+D85+D86+D87+D88+D89+D90+D91+D92+D93-D97,1)</f>
        <v>0</v>
      </c>
      <c r="E102" s="265">
        <f>ROUND(E58+E59+E60+E61+E62+E63+E64+E65+E66+E67+E68+E69+E70+E71+E72+E73+E74+E75+E76+E77+E78+E79+E80+E81+E82+E83+E84+E85+E86+E87+E88+E89+E90+E91+E92+E93-E97,1)</f>
        <v>0</v>
      </c>
      <c r="F102" s="265">
        <f>ROUND(F58+F59+F60+F61+F62+F63+F64+F65+F66+F67+F68+F69+F70+F71+F72+F73+F74+F75+F76+F77+F78+F79+F80+F81+F82+F83+F84+F85+F86+F87+F88+F89+F90+F91+F92+F93-F97,1)</f>
        <v>0</v>
      </c>
      <c r="G102" s="265">
        <f>ROUND(G58+G59+G60+G61+G62+G63+G64+G65+G66+G67+G68+G69+G70+G71+G72+G73+G74+G75+G76+G77+G78+G79+G80+G81+G82+G83+G84+G85+G86+G87+G88+G89+G90+G91+G92+G93-G97,1)</f>
        <v>0</v>
      </c>
      <c r="I102" s="265">
        <f>ROUND(I58+I59+I60+I61+I62+I63+I64+I65+I66+I67+I68+I69+I70+I71+I72+I73+I74+I75+I76+I77+I78+I79+I80+I81+I82+I83+I84+I85+I86+I87+I88+I89+I90+I91+I92+I93-I97,1)</f>
        <v>0</v>
      </c>
      <c r="J102" s="265">
        <f>ROUND(J58+J59+J60+J61+J62+J63+J64+J65+J66+J67+J68+J69+J70+J71+J72+J73+J74+J75+J76+J77+J78+J79+J80+J81+J82+J83+J84+J85+J86+J87+J88+J89+J90+J91+J92+J93-J97,1)</f>
        <v>0</v>
      </c>
      <c r="K102" s="265">
        <f>ROUND(K58+K59+K60+K61+K62+K63+K64+K65+K66+K67+K68+K69+K70+K71+K72+K73+K74+K75+K76+K77+K78+K79+K80+K81+K82+K83+K84+K85+K86+K87+K88+K89+K90+K91+K92+K93-K97,1)</f>
        <v>0</v>
      </c>
      <c r="L102" s="265">
        <f>ROUND(L58+L59+L60+L61+L62+L63+L64+L65+L66+L67+L68+L69+L70+L71+L72+L73+L74+L75+L76+L77+L78+L79+L80+L81+L82+L83+L84+L85+L86+L87+L88+L89+L90+L91+L92+L93-L97,1)</f>
        <v>0</v>
      </c>
      <c r="N102" s="265">
        <f>ROUND(N58+N59+N60+N61+N62+N63+N64+N65+N66+N67+N68+N69+N70+N71+N72+N73+N74+N75+N76+N77+N78+N79+N80+N81+N82+N83+N84+N85+N86+N87+N88+N89+N90+N91+N92+N93-N97,1)</f>
        <v>0</v>
      </c>
      <c r="O102" s="265">
        <f>ROUND(O58+O59+O60+O61+O62+O63+O64+O65+O66+O67+O68+O69+O70+O71+O72+O73+O74+O75+O76+O77+O78+O79+O80+O81+O82+O83+O84+O85+O86+O87+O88+O89+O90+O91+O92+O93-O97,1)</f>
        <v>0</v>
      </c>
      <c r="P102" s="265">
        <f>ROUND(P58+P59+P60+P61+P62+P63+P64+P65+P66+P67+P68+P69+P70+P71+P72+P73+P74+P75+P76+P77+P78+P79+P80+P81+P82+P83+P84+P85+P86+P87+P88+P89+P90+P91+P92+P93-P97,1)</f>
        <v>0</v>
      </c>
      <c r="Q102" s="265">
        <f>ROUND(Q58+Q59+Q60+Q61+Q62+Q63+Q64+Q65+Q66+Q67+Q68+Q69+Q70+Q71+Q72+Q73+Q74+Q75+Q76+Q77+Q78+Q79+Q80+Q81+Q82+Q83+Q84+Q85+Q86+Q87+Q88+Q89+Q90+Q91+Q92+Q93-Q97,1)</f>
        <v>0</v>
      </c>
      <c r="S102" s="265">
        <f>ROUND(S58+S59+S60+S61+S62+S63+S64+S65+S66+S67+S68+S69+S70+S71+S72+S73+S74+S75+S76+S77+S78+S79+S80+S81+S82+S83+S84+S85+S86+S87+S88+S89+S90+S91+S92+S93-S97,1)</f>
        <v>0</v>
      </c>
      <c r="T102" s="265">
        <f>ROUND(T58+T59+T60+T61+T62+T63+T64+T65+T66+T67+T68+T69+T70+T71+T72+T73+T74+T75+T76+T77+T78+T79+T80+T81+T82+T83+T84+T85+T86+T87+T88+T89+T90+T91+T92+T93-T97,1)</f>
        <v>0</v>
      </c>
      <c r="U102" s="265">
        <f>ROUND(U58+U59+U60+U61+U62+U63+U64+U65+U66+U67+U68+U69+U70+U71+U72+U73+U74+U75+U76+U77+U78+U79+U80+U81+U82+U83+U84+U85+U86+U87+U88+U89+U90+U91+U92+U93-U97,1)</f>
        <v>0</v>
      </c>
      <c r="V102" s="265">
        <f>ROUND(V58+V59+V60+V61+V62+V63+V64+V65+V66+V67+V68+V69+V70+V71+V72+V73+V74+V75+V76+V77+V78+V79+V80+V81+V82+V83+V84+V85+V86+V87+V88+V89+V90+V91+V92+V93-V97,1)</f>
        <v>-4</v>
      </c>
      <c r="X102" s="265">
        <f>ROUND(X58+X59+X60+X61+X62+X63+X64+X65+X66+X67+X68+X69+X70+X71+X72+X73+X74+X75+X76+X77+X78+X79+X80+X81+X82+X83+X84+X85+X86+X87+X88+X89+X90+X91+X92+X93-X97,1)</f>
        <v>0</v>
      </c>
      <c r="Y102" s="265">
        <f>ROUND(Y58+Y59+Y60+Y61+Y62+Y63+Y64+Y65+Y66+Y67+Y68+Y69+Y70+Y71+Y72+Y73+Y74+Y75+Y76+Y77+Y78+Y79+Y80+Y81+Y82+Y83+Y84+Y85+Y86+Y87+Y88+Y89+Y90+Y91+Y92+Y93-Y97,1)</f>
        <v>0</v>
      </c>
      <c r="Z102" s="265">
        <f>ROUND(Z58+Z59+Z60+Z61+Z62+Z63+Z64+Z65+Z66+Z67+Z68+Z69+Z70+Z71+Z72+Z73+Z74+Z75+Z76+Z77+Z78+Z79+Z80+Z81+Z82+Z83+Z84+Z85+Z86+Z87+Z88+Z89+Z90+Z91+Z92+Z93-Z97,1)</f>
        <v>0</v>
      </c>
      <c r="AA102" s="265">
        <f>ROUND(AA58+AA59+AA60+AA61+AA62+AA63+AA64+AA65+AA66+AA67+AA68+AA69+AA70+AA71+AA72+AA73+AA74+AA75+AA76+AA77+AA78+AA79+AA80+AA81+AA82+AA83+AA84+AA85+AA86+AA87+AA88+AA89+AA90+AA91+AA92+AA93-AA97,1)</f>
        <v>0</v>
      </c>
      <c r="AC102" s="265">
        <f>ROUND(AC58+AC59+AC60+AC61+AC62+AC63+AC64+AC65+AC66+AC67+AC68+AC69+AC70+AC71+AC72+AC73+AC74+AC75+AC76+AC77+AC78+AC79+AC80+AC81+AC82+AC83+AC84+AC85+AC86+AC87+AC88+AC89+AC90+AC91+AC92+AC93-AC97,1)</f>
        <v>0</v>
      </c>
      <c r="AD102" s="265">
        <f>ROUND(AD58+AD59+AD60+AD61+AD62+AD63+AD64+AD65+AD66+AD67+AD68+AD69+AD70+AD71+AD72+AD73+AD74+AD75+AD76+AD77+AD78+AD79+AD80+AD81+AD82+AD83+AD84+AD85+AD86+AD87+AD88+AD89+AD90+AD91+AD92+AD93-AD97,1)</f>
        <v>0</v>
      </c>
    </row>
    <row r="103">
      <c r="A103" t="inlineStr">
        <is>
          <t>[vazio] cod 8 Equity in affiliates: nao aberto na DRE da planilha (irrelevante)</t>
        </is>
      </c>
      <c r="C103" t="inlineStr">
        <is>
          <t>[linha bruta, sem código; lançada nas linhas abaixo]</t>
        </is>
      </c>
      <c r="D103" s="265" t="n"/>
      <c r="E103" s="265" t="n"/>
      <c r="F103" s="265" t="n"/>
      <c r="G103" s="265" t="n"/>
      <c r="I103" s="265" t="n"/>
      <c r="J103" s="265" t="n"/>
      <c r="K103" s="265" t="n"/>
      <c r="L103" s="265" t="n"/>
      <c r="N103" s="265" t="n"/>
      <c r="O103" s="265" t="n"/>
      <c r="P103" s="265" t="n"/>
      <c r="Q103" s="265" t="n"/>
      <c r="S103" s="265" t="n"/>
      <c r="T103" s="265" t="n"/>
      <c r="U103" s="265" t="n"/>
      <c r="V103" s="265" t="n"/>
      <c r="X103" s="265" t="n"/>
      <c r="Y103" s="265" t="n"/>
      <c r="Z103" s="265" t="n"/>
      <c r="AA103" s="265" t="n"/>
      <c r="AC103" s="265" t="n"/>
      <c r="AD103" s="265" t="n"/>
    </row>
    <row r="104">
      <c r="A104" t="inlineStr">
        <is>
          <t>[vazio] cod 9 Minority interest: sem minoritarios</t>
        </is>
      </c>
      <c r="C104" t="inlineStr">
        <is>
          <t>[linha bruta, sem código; lançada nas linhas abaixo]</t>
        </is>
      </c>
      <c r="D104" s="265" t="n"/>
      <c r="E104" s="265" t="n"/>
      <c r="F104" s="265" t="n"/>
      <c r="G104" s="265" t="n"/>
      <c r="I104" s="265" t="n"/>
      <c r="J104" s="265" t="n"/>
      <c r="K104" s="265" t="n"/>
      <c r="L104" s="265" t="n"/>
      <c r="N104" s="265" t="n"/>
      <c r="O104" s="265" t="n"/>
      <c r="P104" s="265" t="n"/>
      <c r="Q104" s="265" t="n"/>
      <c r="S104" s="265" t="n"/>
      <c r="T104" s="265" t="n"/>
      <c r="U104" s="265" t="n"/>
      <c r="V104" s="265" t="n"/>
      <c r="X104" s="265" t="n"/>
      <c r="Y104" s="265" t="n"/>
      <c r="Z104" s="265" t="n"/>
      <c r="AA104" s="265" t="n"/>
      <c r="AC104" s="265" t="n"/>
      <c r="AD104" s="265" t="n"/>
    </row>
    <row r="105">
      <c r="A105" t="inlineStr">
        <is>
          <t>[vazio] cod 13 Estoques: sem linha (seminovos em "veiculos desativados", cod 16)</t>
        </is>
      </c>
      <c r="C105" t="inlineStr">
        <is>
          <t>[linha bruta, sem código; lançada nas linhas abaixo]</t>
        </is>
      </c>
      <c r="D105" s="265" t="n"/>
      <c r="E105" s="265" t="n"/>
      <c r="F105" s="265" t="n"/>
      <c r="G105" s="265" t="n"/>
      <c r="I105" s="265" t="n"/>
      <c r="J105" s="265" t="n"/>
      <c r="K105" s="265" t="n"/>
      <c r="L105" s="265" t="n"/>
      <c r="N105" s="265" t="n"/>
      <c r="O105" s="265" t="n"/>
      <c r="P105" s="265" t="n"/>
      <c r="Q105" s="265" t="n"/>
      <c r="S105" s="265" t="n"/>
      <c r="T105" s="265" t="n"/>
      <c r="U105" s="265" t="n"/>
      <c r="V105" s="265" t="n"/>
      <c r="X105" s="265" t="n"/>
      <c r="Y105" s="265" t="n"/>
      <c r="Z105" s="265" t="n"/>
      <c r="AA105" s="265" t="n"/>
      <c r="AC105" s="265" t="n"/>
      <c r="AD105" s="265" t="n"/>
    </row>
    <row r="106">
      <c r="A106" t="inlineStr">
        <is>
          <t>[vazio] cod 20 Goodwill: dentro do intangivel</t>
        </is>
      </c>
      <c r="C106" t="inlineStr">
        <is>
          <t>[linha bruta, sem código; lançada nas linhas abaixo]</t>
        </is>
      </c>
      <c r="D106" s="265" t="n"/>
      <c r="E106" s="265" t="n"/>
      <c r="F106" s="265" t="n"/>
      <c r="G106" s="265" t="n"/>
      <c r="I106" s="265" t="n"/>
      <c r="J106" s="265" t="n"/>
      <c r="K106" s="265" t="n"/>
      <c r="L106" s="265" t="n"/>
      <c r="N106" s="265" t="n"/>
      <c r="O106" s="265" t="n"/>
      <c r="P106" s="265" t="n"/>
      <c r="Q106" s="265" t="n"/>
      <c r="S106" s="265" t="n"/>
      <c r="T106" s="265" t="n"/>
      <c r="U106" s="265" t="n"/>
      <c r="V106" s="265" t="n"/>
      <c r="X106" s="265" t="n"/>
      <c r="Y106" s="265" t="n"/>
      <c r="Z106" s="265" t="n"/>
      <c r="AA106" s="265" t="n"/>
      <c r="AC106" s="265" t="n"/>
      <c r="AD106" s="265" t="n"/>
    </row>
    <row r="107">
      <c r="A107" t="inlineStr">
        <is>
          <t>[vazio] cod 28 Revolver: sem linha propria</t>
        </is>
      </c>
      <c r="C107" t="inlineStr">
        <is>
          <t>[linha bruta, sem código; lançada nas linhas abaixo]</t>
        </is>
      </c>
      <c r="D107" s="265" t="n"/>
      <c r="E107" s="265" t="n"/>
      <c r="F107" s="265" t="n"/>
      <c r="G107" s="265" t="n"/>
      <c r="I107" s="265" t="n"/>
      <c r="J107" s="265" t="n"/>
      <c r="K107" s="265" t="n"/>
      <c r="L107" s="265" t="n"/>
      <c r="N107" s="265" t="n"/>
      <c r="O107" s="265" t="n"/>
      <c r="P107" s="265" t="n"/>
      <c r="Q107" s="265" t="n"/>
      <c r="S107" s="265" t="n"/>
      <c r="T107" s="265" t="n"/>
      <c r="U107" s="265" t="n"/>
      <c r="V107" s="265" t="n"/>
      <c r="X107" s="265" t="n"/>
      <c r="Y107" s="265" t="n"/>
      <c r="Z107" s="265" t="n"/>
      <c r="AA107" s="265" t="n"/>
      <c r="AC107" s="265" t="n"/>
      <c r="AD107" s="265" t="n"/>
    </row>
    <row r="108">
      <c r="A108" t="inlineStr">
        <is>
          <t>[vazio] cod 32 Convertible debt: inexistente</t>
        </is>
      </c>
      <c r="C108" t="inlineStr">
        <is>
          <t>[linha bruta, sem código; lançada nas linhas abaixo]</t>
        </is>
      </c>
      <c r="D108" s="265" t="n"/>
      <c r="E108" s="265" t="n"/>
      <c r="F108" s="265" t="n"/>
      <c r="G108" s="265" t="n"/>
      <c r="I108" s="265" t="n"/>
      <c r="J108" s="265" t="n"/>
      <c r="K108" s="265" t="n"/>
      <c r="L108" s="265" t="n"/>
      <c r="N108" s="265" t="n"/>
      <c r="O108" s="265" t="n"/>
      <c r="P108" s="265" t="n"/>
      <c r="Q108" s="265" t="n"/>
      <c r="S108" s="265" t="n"/>
      <c r="T108" s="265" t="n"/>
      <c r="U108" s="265" t="n"/>
      <c r="V108" s="265" t="n"/>
      <c r="X108" s="265" t="n"/>
      <c r="Y108" s="265" t="n"/>
      <c r="Z108" s="265" t="n"/>
      <c r="AA108" s="265" t="n"/>
      <c r="AC108" s="265" t="n"/>
      <c r="AD108" s="265" t="n"/>
    </row>
    <row r="109">
      <c r="A109" t="inlineStr">
        <is>
          <t>[vazio] cod 36 Convertible Preferred Stock: inexistente</t>
        </is>
      </c>
      <c r="C109" t="inlineStr">
        <is>
          <t>[linha bruta, sem código; lançada nas linhas abaixo]</t>
        </is>
      </c>
      <c r="D109" s="265" t="n"/>
      <c r="E109" s="265" t="n"/>
      <c r="F109" s="265" t="n"/>
      <c r="G109" s="265" t="n"/>
      <c r="I109" s="265" t="n"/>
      <c r="J109" s="265" t="n"/>
      <c r="K109" s="265" t="n"/>
      <c r="L109" s="265" t="n"/>
      <c r="N109" s="265" t="n"/>
      <c r="O109" s="265" t="n"/>
      <c r="P109" s="265" t="n"/>
      <c r="Q109" s="265" t="n"/>
      <c r="S109" s="265" t="n"/>
      <c r="T109" s="265" t="n"/>
      <c r="U109" s="265" t="n"/>
      <c r="V109" s="265" t="n"/>
      <c r="X109" s="265" t="n"/>
      <c r="Y109" s="265" t="n"/>
      <c r="Z109" s="265" t="n"/>
      <c r="AA109" s="265" t="n"/>
      <c r="AC109" s="265" t="n"/>
      <c r="AD109" s="265" t="n"/>
    </row>
    <row r="110">
      <c r="A110" t="inlineStr">
        <is>
          <t>Nota de base: de 1T23 em diante a DRE da planilha bate com a CVM (receita, EBIT e lucro). Em 2020-22 a planilha e pro forma (receita ~3% menor que a CVM; 1T20 lucro 55,1 x CVM -114,4 e 4T20 138,7 x 183,6): mantido o numero da Cia.</t>
        </is>
      </c>
      <c r="C110" t="inlineStr">
        <is>
          <t>[linha bruta, sem código; lançada nas linhas abaixo]</t>
        </is>
      </c>
      <c r="D110" s="265" t="n"/>
      <c r="E110" s="265" t="n"/>
      <c r="F110" s="265" t="n"/>
      <c r="G110" s="265" t="n"/>
      <c r="I110" s="265" t="n"/>
      <c r="J110" s="265" t="n"/>
      <c r="K110" s="265" t="n"/>
      <c r="L110" s="265" t="n"/>
      <c r="N110" s="265" t="n"/>
      <c r="O110" s="265" t="n"/>
      <c r="P110" s="265" t="n"/>
      <c r="Q110" s="265" t="n"/>
      <c r="S110" s="265" t="n"/>
      <c r="T110" s="265" t="n"/>
      <c r="U110" s="265" t="n"/>
      <c r="V110" s="265" t="n"/>
      <c r="X110" s="265" t="n"/>
      <c r="Y110" s="265" t="n"/>
      <c r="Z110" s="265" t="n"/>
      <c r="AA110" s="265" t="n"/>
      <c r="AC110" s="265" t="n"/>
      <c r="AD110" s="265" t="n"/>
    </row>
    <row r="111">
      <c r="D111" s="265" t="n"/>
      <c r="E111" s="265" t="n"/>
      <c r="F111" s="265" t="n"/>
      <c r="G111" s="265" t="n"/>
      <c r="I111" s="265" t="n"/>
      <c r="J111" s="265" t="n"/>
      <c r="K111" s="265" t="n"/>
      <c r="L111" s="265" t="n"/>
      <c r="N111" s="265" t="n"/>
      <c r="O111" s="265" t="n"/>
      <c r="P111" s="265" t="n"/>
      <c r="Q111" s="265" t="n"/>
      <c r="S111" s="265" t="n"/>
      <c r="T111" s="265" t="n"/>
      <c r="U111" s="265" t="n"/>
      <c r="V111" s="265" t="n"/>
      <c r="X111" s="265" t="n"/>
      <c r="Y111" s="265" t="n"/>
      <c r="Z111" s="265" t="n"/>
      <c r="AA111" s="265" t="n"/>
      <c r="AC111" s="265" t="n"/>
      <c r="AD111" s="265" t="n"/>
    </row>
    <row r="112">
      <c r="A112" t="inlineStr">
        <is>
          <t>DRIVERS DE RECEITA (codigos 45+): receita e EBITDA por segmento, dados operacionais e capex da Planilha de Fundamentos da Movida (R$ milhoes, fator 1).</t>
        </is>
      </c>
      <c r="C112" t="inlineStr">
        <is>
          <t>[linha bruta, sem código; lançada nas linhas abaixo]</t>
        </is>
      </c>
      <c r="D112" s="265" t="n"/>
      <c r="E112" s="265" t="n"/>
      <c r="F112" s="265" t="n"/>
      <c r="G112" s="265" t="n"/>
      <c r="I112" s="265" t="n"/>
      <c r="J112" s="265" t="n"/>
      <c r="K112" s="265" t="n"/>
      <c r="L112" s="265" t="n"/>
      <c r="N112" s="265" t="n"/>
      <c r="O112" s="265" t="n"/>
      <c r="P112" s="265" t="n"/>
      <c r="Q112" s="265" t="n"/>
      <c r="S112" s="265" t="n"/>
      <c r="T112" s="265" t="n"/>
      <c r="U112" s="265" t="n"/>
      <c r="V112" s="265" t="n"/>
      <c r="X112" s="265" t="n"/>
      <c r="Y112" s="265" t="n"/>
      <c r="Z112" s="265" t="n"/>
      <c r="AA112" s="265" t="n"/>
      <c r="AC112" s="265" t="n"/>
      <c r="AD112" s="265" t="n"/>
    </row>
    <row r="113">
      <c r="A113" t="inlineStr">
        <is>
          <t>Receita liquida RAC Brasil (DRE l.11) · fonte · unid. moeda</t>
        </is>
      </c>
      <c r="B113" t="n">
        <v>45</v>
      </c>
      <c r="C113" t="inlineStr">
        <is>
          <t>Receita liquida RAC Brasil (DRE l.11)</t>
        </is>
      </c>
      <c r="D113" s="265" t="n">
        <v>328988</v>
      </c>
      <c r="E113" s="265" t="n">
        <v>308291</v>
      </c>
      <c r="F113" s="265" t="n">
        <v>403799</v>
      </c>
      <c r="G113" s="265" t="n">
        <v>522570</v>
      </c>
      <c r="I113" s="265" t="n">
        <v>552692</v>
      </c>
      <c r="J113" s="265" t="n">
        <v>585184</v>
      </c>
      <c r="K113" s="265" t="n">
        <v>675359</v>
      </c>
      <c r="L113" s="265" t="n">
        <v>682873</v>
      </c>
      <c r="N113" s="265" t="n">
        <v>686638</v>
      </c>
      <c r="O113" s="265" t="n">
        <v>646165</v>
      </c>
      <c r="P113" s="265" t="n">
        <v>651205</v>
      </c>
      <c r="Q113" s="265" t="n">
        <v>674999</v>
      </c>
      <c r="S113" s="265" t="n">
        <v>751762</v>
      </c>
      <c r="T113" s="265" t="n">
        <v>748549</v>
      </c>
      <c r="U113" s="265" t="n">
        <v>764768</v>
      </c>
      <c r="V113" s="265" t="n">
        <v>808526</v>
      </c>
      <c r="X113" s="265" t="n">
        <v>859380</v>
      </c>
      <c r="Y113" s="265" t="n">
        <v>843303</v>
      </c>
      <c r="Z113" s="265" t="n">
        <v>874046</v>
      </c>
      <c r="AA113" s="265" t="n">
        <v>968870.778194</v>
      </c>
      <c r="AC113" s="265" t="n">
        <v>1076120.486638</v>
      </c>
      <c r="AD113" s="265" t="n">
        <v>1099712.331255</v>
      </c>
    </row>
    <row r="114">
      <c r="A114" t="inlineStr">
        <is>
          <t>Receita liquida RAC Portugal (DRE l.30; desde a aquisicao em 2023) · fonte · unid. moeda</t>
        </is>
      </c>
      <c r="B114" t="n">
        <v>46</v>
      </c>
      <c r="C114" t="inlineStr">
        <is>
          <t>Receita liquida RAC Portugal (DRE l.30; desde a aquisicao em</t>
        </is>
      </c>
      <c r="D114" s="265" t="n">
        <v>0</v>
      </c>
      <c r="E114" s="265" t="n">
        <v>0</v>
      </c>
      <c r="F114" s="265" t="n">
        <v>0</v>
      </c>
      <c r="G114" s="265" t="n">
        <v>0</v>
      </c>
      <c r="I114" s="265" t="n">
        <v>0</v>
      </c>
      <c r="J114" s="265" t="n">
        <v>0</v>
      </c>
      <c r="K114" s="265" t="n">
        <v>0</v>
      </c>
      <c r="L114" s="265" t="n">
        <v>43829</v>
      </c>
      <c r="N114" s="265" t="n">
        <v>14396</v>
      </c>
      <c r="O114" s="265" t="n">
        <v>29467</v>
      </c>
      <c r="P114" s="265" t="n">
        <v>64989</v>
      </c>
      <c r="Q114" s="265" t="n">
        <v>29385</v>
      </c>
      <c r="S114" s="265" t="n">
        <v>23047</v>
      </c>
      <c r="T114" s="265" t="n">
        <v>43533</v>
      </c>
      <c r="U114" s="265" t="n">
        <v>90502</v>
      </c>
      <c r="V114" s="265" t="n">
        <v>39179</v>
      </c>
      <c r="X114" s="265" t="n">
        <v>26343</v>
      </c>
      <c r="Y114" s="265" t="n">
        <v>53453</v>
      </c>
      <c r="Z114" s="265" t="n">
        <v>103339</v>
      </c>
      <c r="AA114" s="265" t="n">
        <v>43916.76634</v>
      </c>
      <c r="AC114" s="265" t="n">
        <v>27887.44168</v>
      </c>
      <c r="AD114" s="265" t="n">
        <v>45853.25813</v>
      </c>
    </row>
    <row r="115">
      <c r="A115" t="inlineStr">
        <is>
          <t>Receita liquida GTF - gestao e terceirizacao de frotas (DRE l.68) · fonte · unid. moeda</t>
        </is>
      </c>
      <c r="B115" t="n">
        <v>47</v>
      </c>
      <c r="C115" t="inlineStr">
        <is>
          <t xml:space="preserve">Receita liquida GTF - gestao e terceirizacao de frotas (DRE </t>
        </is>
      </c>
      <c r="D115" s="265" t="n">
        <v>154023</v>
      </c>
      <c r="E115" s="265" t="n">
        <v>183574</v>
      </c>
      <c r="F115" s="265" t="n">
        <v>272657</v>
      </c>
      <c r="G115" s="265" t="n">
        <v>357380</v>
      </c>
      <c r="I115" s="265" t="n">
        <v>379203</v>
      </c>
      <c r="J115" s="265" t="n">
        <v>417174</v>
      </c>
      <c r="K115" s="265" t="n">
        <v>451078</v>
      </c>
      <c r="L115" s="265" t="n">
        <v>495524</v>
      </c>
      <c r="N115" s="265" t="n">
        <v>538708</v>
      </c>
      <c r="O115" s="265" t="n">
        <v>558149</v>
      </c>
      <c r="P115" s="265" t="n">
        <v>581123</v>
      </c>
      <c r="Q115" s="265" t="n">
        <v>635236</v>
      </c>
      <c r="S115" s="265" t="n">
        <v>720390</v>
      </c>
      <c r="T115" s="265" t="n">
        <v>816006</v>
      </c>
      <c r="U115" s="265" t="n">
        <v>889427</v>
      </c>
      <c r="V115" s="265" t="n">
        <v>943352</v>
      </c>
      <c r="X115" s="265" t="n">
        <v>993181</v>
      </c>
      <c r="Y115" s="265" t="n">
        <v>995876</v>
      </c>
      <c r="Z115" s="265" t="n">
        <v>1033426</v>
      </c>
      <c r="AA115" s="265" t="n">
        <v>1083606.544766</v>
      </c>
      <c r="AC115" s="265" t="n">
        <v>1101608.575243</v>
      </c>
      <c r="AD115" s="265" t="n">
        <v>1149769.047695</v>
      </c>
    </row>
    <row r="116">
      <c r="A116" t="inlineStr">
        <is>
          <t>Receita liquida Seminovos (DRE l.87) · fonte · unid. moeda</t>
        </is>
      </c>
      <c r="B116" t="n">
        <v>48</v>
      </c>
      <c r="C116" t="inlineStr">
        <is>
          <t>Receita liquida Seminovos (DRE l.87)</t>
        </is>
      </c>
      <c r="D116" s="265" t="n">
        <v>274540</v>
      </c>
      <c r="E116" s="265" t="n">
        <v>673480</v>
      </c>
      <c r="F116" s="265" t="n">
        <v>844620</v>
      </c>
      <c r="G116" s="265" t="n">
        <v>809115</v>
      </c>
      <c r="I116" s="265" t="n">
        <v>973762</v>
      </c>
      <c r="J116" s="265" t="n">
        <v>1228635</v>
      </c>
      <c r="K116" s="265" t="n">
        <v>1410428</v>
      </c>
      <c r="L116" s="265" t="n">
        <v>1404407</v>
      </c>
      <c r="N116" s="265" t="n">
        <v>1463465</v>
      </c>
      <c r="O116" s="265" t="n">
        <v>1245363</v>
      </c>
      <c r="P116" s="265" t="n">
        <v>1368902</v>
      </c>
      <c r="Q116" s="265" t="n">
        <v>1153824</v>
      </c>
      <c r="S116" s="265" t="n">
        <v>1526448</v>
      </c>
      <c r="T116" s="265" t="n">
        <v>1827516</v>
      </c>
      <c r="U116" s="265" t="n">
        <v>2031166</v>
      </c>
      <c r="V116" s="265" t="n">
        <v>1457100</v>
      </c>
      <c r="X116" s="265" t="n">
        <v>1689326</v>
      </c>
      <c r="Y116" s="265" t="n">
        <v>1786374</v>
      </c>
      <c r="Z116" s="265" t="n">
        <v>1755031</v>
      </c>
      <c r="AA116" s="265" t="n">
        <v>1562581.06565</v>
      </c>
      <c r="AC116" s="265" t="n">
        <v>1575028.461401</v>
      </c>
      <c r="AD116" s="265" t="n">
        <v>1470495.570408</v>
      </c>
    </row>
    <row r="117">
      <c r="A117" t="inlineStr">
        <is>
          <t>EBITDA RAC consolidado (DRE l.61) · fonte · unid. moeda</t>
        </is>
      </c>
      <c r="B117" t="n">
        <v>49</v>
      </c>
      <c r="C117" t="inlineStr">
        <is>
          <t>EBITDA RAC consolidado (DRE l.61)</t>
        </is>
      </c>
      <c r="D117" s="265" t="n">
        <v>168740</v>
      </c>
      <c r="E117" s="265" t="n">
        <v>140676</v>
      </c>
      <c r="F117" s="265" t="n">
        <v>233091</v>
      </c>
      <c r="G117" s="265" t="n">
        <v>333123</v>
      </c>
      <c r="I117" s="265" t="n">
        <v>373325</v>
      </c>
      <c r="J117" s="265" t="n">
        <v>384781</v>
      </c>
      <c r="K117" s="265" t="n">
        <v>457844</v>
      </c>
      <c r="L117" s="265" t="n">
        <v>416559</v>
      </c>
      <c r="N117" s="265" t="n">
        <v>427387</v>
      </c>
      <c r="O117" s="265" t="n">
        <v>381802</v>
      </c>
      <c r="P117" s="265" t="n">
        <v>395515</v>
      </c>
      <c r="Q117" s="265" t="n">
        <v>367098</v>
      </c>
      <c r="S117" s="265" t="n">
        <v>485485</v>
      </c>
      <c r="T117" s="265" t="n">
        <v>504709</v>
      </c>
      <c r="U117" s="265" t="n">
        <v>550010</v>
      </c>
      <c r="V117" s="265" t="n">
        <v>543336</v>
      </c>
      <c r="X117" s="265" t="n">
        <v>563843</v>
      </c>
      <c r="Y117" s="265" t="n">
        <v>602060</v>
      </c>
      <c r="Z117" s="265" t="n">
        <v>669054</v>
      </c>
      <c r="AA117" s="265" t="n">
        <v>663047.153385</v>
      </c>
      <c r="AC117" s="265" t="n">
        <v>717757.548914</v>
      </c>
      <c r="AD117" s="265" t="n">
        <v>775951.369392</v>
      </c>
    </row>
    <row r="118">
      <c r="A118" t="inlineStr">
        <is>
          <t>EBITDA GTF (DRE l.80) · fonte · unid. moeda</t>
        </is>
      </c>
      <c r="B118" t="n">
        <v>50</v>
      </c>
      <c r="C118" t="inlineStr">
        <is>
          <t>EBITDA GTF (DRE l.80)</t>
        </is>
      </c>
      <c r="D118" s="265" t="n">
        <v>99481</v>
      </c>
      <c r="E118" s="265" t="n">
        <v>127681</v>
      </c>
      <c r="F118" s="265" t="n">
        <v>193117</v>
      </c>
      <c r="G118" s="265" t="n">
        <v>261929</v>
      </c>
      <c r="I118" s="265" t="n">
        <v>285299</v>
      </c>
      <c r="J118" s="265" t="n">
        <v>315241</v>
      </c>
      <c r="K118" s="265" t="n">
        <v>331303</v>
      </c>
      <c r="L118" s="265" t="n">
        <v>336091</v>
      </c>
      <c r="N118" s="265" t="n">
        <v>361568</v>
      </c>
      <c r="O118" s="265" t="n">
        <v>411732</v>
      </c>
      <c r="P118" s="265" t="n">
        <v>430960</v>
      </c>
      <c r="Q118" s="265" t="n">
        <v>462355</v>
      </c>
      <c r="S118" s="265" t="n">
        <v>535294</v>
      </c>
      <c r="T118" s="265" t="n">
        <v>619952</v>
      </c>
      <c r="U118" s="265" t="n">
        <v>675759</v>
      </c>
      <c r="V118" s="265" t="n">
        <v>683937</v>
      </c>
      <c r="X118" s="265" t="n">
        <v>756317</v>
      </c>
      <c r="Y118" s="265" t="n">
        <v>757422</v>
      </c>
      <c r="Z118" s="265" t="n">
        <v>791002</v>
      </c>
      <c r="AA118" s="265" t="n">
        <v>811769.0761459999</v>
      </c>
      <c r="AC118" s="265" t="n">
        <v>833529.633609</v>
      </c>
      <c r="AD118" s="265" t="n">
        <v>895096.737466</v>
      </c>
    </row>
    <row r="119">
      <c r="A119" t="inlineStr">
        <is>
          <t>EBITDA Seminovos (DRE l.96) · fonte · unid. moeda</t>
        </is>
      </c>
      <c r="B119" t="n">
        <v>51</v>
      </c>
      <c r="C119" t="inlineStr">
        <is>
          <t>EBITDA Seminovos (DRE l.96)</t>
        </is>
      </c>
      <c r="D119" s="265" t="n">
        <v>36282</v>
      </c>
      <c r="E119" s="265" t="n">
        <v>120108</v>
      </c>
      <c r="F119" s="265" t="n">
        <v>187200</v>
      </c>
      <c r="G119" s="265" t="n">
        <v>181561</v>
      </c>
      <c r="I119" s="265" t="n">
        <v>204472</v>
      </c>
      <c r="J119" s="265" t="n">
        <v>205234</v>
      </c>
      <c r="K119" s="265" t="n">
        <v>136190</v>
      </c>
      <c r="L119" s="265" t="n">
        <v>105593</v>
      </c>
      <c r="N119" s="265" t="n">
        <v>86387</v>
      </c>
      <c r="O119" s="265" t="n">
        <v>96458</v>
      </c>
      <c r="P119" s="265" t="n">
        <v>41451</v>
      </c>
      <c r="Q119" s="265" t="n">
        <v>36566</v>
      </c>
      <c r="S119" s="265" t="n">
        <v>38640</v>
      </c>
      <c r="T119" s="265" t="n">
        <v>24699</v>
      </c>
      <c r="U119" s="265" t="n">
        <v>21709</v>
      </c>
      <c r="V119" s="265" t="n">
        <v>17006</v>
      </c>
      <c r="X119" s="265" t="n">
        <v>18169</v>
      </c>
      <c r="Y119" s="265" t="n">
        <v>19641</v>
      </c>
      <c r="Z119" s="265" t="n">
        <v>18599</v>
      </c>
      <c r="AA119" s="265" t="n">
        <v>15234.030419</v>
      </c>
      <c r="AC119" s="265" t="n">
        <v>17377.380877</v>
      </c>
      <c r="AD119" s="265" t="n">
        <v>15695.477142</v>
      </c>
    </row>
    <row r="120">
      <c r="A120" t="inlineStr">
        <is>
          <t>RAC - frota no final do periodo (carros; Op Data l.7) · fonte · unid. un</t>
        </is>
      </c>
      <c r="B120" t="n">
        <v>52</v>
      </c>
      <c r="C120" t="inlineStr">
        <is>
          <t>RAC - frota no final do periodo (carros; Op Data l.7)</t>
        </is>
      </c>
      <c r="D120" s="265" t="n">
        <v>70213000</v>
      </c>
      <c r="E120" s="265" t="n">
        <v>78453000</v>
      </c>
      <c r="F120" s="265" t="n">
        <v>79888000</v>
      </c>
      <c r="G120" s="265" t="n">
        <v>90671000</v>
      </c>
      <c r="I120" s="265" t="n">
        <v>96572000</v>
      </c>
      <c r="J120" s="265" t="n">
        <v>100403000</v>
      </c>
      <c r="K120" s="265" t="n">
        <v>104987000</v>
      </c>
      <c r="L120" s="265" t="n">
        <v>111632000</v>
      </c>
      <c r="N120" s="265" t="n">
        <v>98373000</v>
      </c>
      <c r="O120" s="265" t="n">
        <v>91632000</v>
      </c>
      <c r="P120" s="265" t="n">
        <v>94273000</v>
      </c>
      <c r="Q120" s="265" t="n">
        <v>113150000</v>
      </c>
      <c r="S120" s="265" t="n">
        <v>110091000</v>
      </c>
      <c r="T120" s="265" t="n">
        <v>108716000</v>
      </c>
      <c r="U120" s="265" t="n">
        <v>110182000</v>
      </c>
      <c r="V120" s="265" t="n">
        <v>121942000</v>
      </c>
      <c r="X120" s="265" t="n">
        <v>113257000</v>
      </c>
      <c r="Y120" s="265" t="n">
        <v>120133000</v>
      </c>
      <c r="Z120" s="265" t="n">
        <v>115498000</v>
      </c>
      <c r="AA120" s="265" t="n">
        <v>130634000</v>
      </c>
      <c r="AC120" s="265" t="n">
        <v>125307000</v>
      </c>
      <c r="AD120" s="265" t="n">
        <v>139785000</v>
      </c>
    </row>
    <row r="121">
      <c r="A121" t="inlineStr">
        <is>
          <t>RAC - frota media operacional Brasil (Op Data l.11) · fonte · unid. un</t>
        </is>
      </c>
      <c r="B121" t="n">
        <v>53</v>
      </c>
      <c r="C121" t="inlineStr">
        <is>
          <t>RAC - frota media operacional Brasil (Op Data l.11)</t>
        </is>
      </c>
      <c r="D121" s="265" t="n">
        <v>64795778</v>
      </c>
      <c r="E121" s="265" t="n">
        <v>63654352</v>
      </c>
      <c r="F121" s="265" t="n">
        <v>67380652</v>
      </c>
      <c r="G121" s="265" t="n">
        <v>70538359</v>
      </c>
      <c r="I121" s="265" t="n">
        <v>75286000</v>
      </c>
      <c r="J121" s="265" t="n">
        <v>80205000</v>
      </c>
      <c r="K121" s="265" t="n">
        <v>85151000</v>
      </c>
      <c r="L121" s="265" t="n">
        <v>90852000</v>
      </c>
      <c r="N121" s="265" t="n">
        <v>88866199</v>
      </c>
      <c r="O121" s="265" t="n">
        <v>82491000</v>
      </c>
      <c r="P121" s="265" t="n">
        <v>79085543</v>
      </c>
      <c r="Q121" s="265" t="n">
        <v>81070652</v>
      </c>
      <c r="S121" s="265" t="n">
        <v>89703462</v>
      </c>
      <c r="T121" s="265" t="n">
        <v>90071198</v>
      </c>
      <c r="U121" s="265" t="n">
        <v>87264217</v>
      </c>
      <c r="V121" s="265" t="n">
        <v>88526512</v>
      </c>
      <c r="X121" s="265" t="n">
        <v>95097200</v>
      </c>
      <c r="Y121" s="265" t="n">
        <v>91009044</v>
      </c>
      <c r="Z121" s="265" t="n">
        <v>92381456</v>
      </c>
      <c r="AA121" s="265" t="n">
        <v>96659329.201958</v>
      </c>
      <c r="AC121" s="265" t="n">
        <v>102753805.592588</v>
      </c>
      <c r="AD121" s="265" t="n">
        <v>108816420.562521</v>
      </c>
    </row>
    <row r="122">
      <c r="A122" t="inlineStr">
        <is>
          <t>RAC - frota media alugada (Op Data l.13) · fonte · unid. un</t>
        </is>
      </c>
      <c r="B122" t="n">
        <v>54</v>
      </c>
      <c r="C122" t="inlineStr">
        <is>
          <t>RAC - frota media alugada (Op Data l.13)</t>
        </is>
      </c>
      <c r="D122" s="265" t="n">
        <v>51370093</v>
      </c>
      <c r="E122" s="265" t="n">
        <v>50671055</v>
      </c>
      <c r="F122" s="265" t="n">
        <v>55849469</v>
      </c>
      <c r="G122" s="265" t="n">
        <v>57025126</v>
      </c>
      <c r="I122" s="265" t="n">
        <v>57280098</v>
      </c>
      <c r="J122" s="265" t="n">
        <v>63642042</v>
      </c>
      <c r="K122" s="265" t="n">
        <v>65726756</v>
      </c>
      <c r="L122" s="265" t="n">
        <v>69565355</v>
      </c>
      <c r="N122" s="265" t="n">
        <v>69616243</v>
      </c>
      <c r="O122" s="265" t="n">
        <v>64568000</v>
      </c>
      <c r="P122" s="265" t="n">
        <v>64181696</v>
      </c>
      <c r="Q122" s="265" t="n">
        <v>66467207</v>
      </c>
      <c r="S122" s="265" t="n">
        <v>71924826</v>
      </c>
      <c r="T122" s="265" t="n">
        <v>70369758</v>
      </c>
      <c r="U122" s="265" t="n">
        <v>68114141</v>
      </c>
      <c r="V122" s="265" t="n">
        <v>66296152</v>
      </c>
      <c r="X122" s="265" t="n">
        <v>68229900</v>
      </c>
      <c r="Y122" s="265" t="n">
        <v>67397041</v>
      </c>
      <c r="Z122" s="265" t="n">
        <v>66285398</v>
      </c>
      <c r="AA122" s="265" t="n">
        <v>73313193.024088</v>
      </c>
      <c r="AC122" s="265" t="n">
        <v>79411651.992173</v>
      </c>
      <c r="AD122" s="265" t="n">
        <v>82926863.270193</v>
      </c>
    </row>
    <row r="123">
      <c r="A123" t="inlineStr">
        <is>
          <t>RAC - numero de diarias (mil; Op Data l.15) · fonte · unid. un</t>
        </is>
      </c>
      <c r="B123" t="n">
        <v>55</v>
      </c>
      <c r="C123" t="inlineStr">
        <is>
          <t>RAC - numero de diarias (mil; Op Data l.15)</t>
        </is>
      </c>
      <c r="D123" s="265" t="n">
        <v>5067042</v>
      </c>
      <c r="E123" s="265" t="n">
        <v>4618390</v>
      </c>
      <c r="F123" s="265" t="n">
        <v>5143355</v>
      </c>
      <c r="G123" s="265" t="n">
        <v>5281203</v>
      </c>
      <c r="I123" s="265" t="n">
        <v>5224573</v>
      </c>
      <c r="J123" s="265" t="n">
        <v>5677490</v>
      </c>
      <c r="K123" s="265" t="n">
        <v>5888846</v>
      </c>
      <c r="L123" s="265" t="n">
        <v>6111338</v>
      </c>
      <c r="N123" s="265" t="n">
        <v>6218754</v>
      </c>
      <c r="O123" s="265" t="n">
        <v>5837236</v>
      </c>
      <c r="P123" s="265" t="n">
        <v>5819624</v>
      </c>
      <c r="Q123" s="265" t="n">
        <v>5945636</v>
      </c>
      <c r="S123" s="265" t="n">
        <v>6414484</v>
      </c>
      <c r="T123" s="265" t="n">
        <v>6200041</v>
      </c>
      <c r="U123" s="265" t="n">
        <v>6004671</v>
      </c>
      <c r="V123" s="265" t="n">
        <v>5958805</v>
      </c>
      <c r="X123" s="265" t="n">
        <v>6026629</v>
      </c>
      <c r="Y123" s="265" t="n">
        <v>6070355</v>
      </c>
      <c r="Z123" s="265" t="n">
        <v>6084784</v>
      </c>
      <c r="AA123" s="265" t="n">
        <v>6688820</v>
      </c>
      <c r="AC123" s="265" t="n">
        <v>7085315.149551</v>
      </c>
      <c r="AD123" s="265" t="n">
        <v>7412786.999999</v>
      </c>
    </row>
    <row r="124">
      <c r="A124" t="inlineStr">
        <is>
          <t>RAC - taxa de ocupacao (Op Data l.16) · fonte · unid. un</t>
        </is>
      </c>
      <c r="B124" t="n">
        <v>56</v>
      </c>
      <c r="C124" t="inlineStr">
        <is>
          <t>RAC - taxa de ocupacao (Op Data l.16)</t>
        </is>
      </c>
      <c r="D124" s="265" t="n">
        <v>793</v>
      </c>
      <c r="E124" s="265" t="n">
        <v>796</v>
      </c>
      <c r="F124" s="265" t="n">
        <v>829</v>
      </c>
      <c r="G124" s="265" t="n">
        <v>808</v>
      </c>
      <c r="I124" s="265" t="n">
        <v>761</v>
      </c>
      <c r="J124" s="265" t="n">
        <v>793</v>
      </c>
      <c r="K124" s="265" t="n">
        <v>772</v>
      </c>
      <c r="L124" s="265" t="n">
        <v>766</v>
      </c>
      <c r="N124" s="265" t="n">
        <v>784</v>
      </c>
      <c r="O124" s="265" t="n">
        <v>783</v>
      </c>
      <c r="P124" s="265" t="n">
        <v>811</v>
      </c>
      <c r="Q124" s="265" t="n">
        <v>820</v>
      </c>
      <c r="S124" s="265" t="n">
        <v>802</v>
      </c>
      <c r="T124" s="265" t="n">
        <v>781</v>
      </c>
      <c r="U124" s="265" t="n">
        <v>781</v>
      </c>
      <c r="V124" s="265" t="n">
        <v>749</v>
      </c>
      <c r="X124" s="265" t="n">
        <v>717</v>
      </c>
      <c r="Y124" s="265" t="n">
        <v>741</v>
      </c>
      <c r="Z124" s="265" t="n">
        <v>718</v>
      </c>
      <c r="AA124" s="265" t="n">
        <v>758.469913</v>
      </c>
      <c r="AC124" s="265" t="n">
        <v>772.834169</v>
      </c>
      <c r="AD124" s="265" t="n">
        <v>762.080418</v>
      </c>
    </row>
    <row r="125">
      <c r="A125" t="inlineStr">
        <is>
          <t>RAC - diaria media (R$; Op Data l.17) · fonte · unid. un</t>
        </is>
      </c>
      <c r="B125" t="n">
        <v>57</v>
      </c>
      <c r="C125" t="inlineStr">
        <is>
          <t>RAC - diaria media (R$; Op Data l.17)</t>
        </is>
      </c>
      <c r="D125" s="265" t="n">
        <v>81742</v>
      </c>
      <c r="E125" s="265" t="n">
        <v>84087</v>
      </c>
      <c r="F125" s="265" t="n">
        <v>96404</v>
      </c>
      <c r="G125" s="265" t="n">
        <v>118614</v>
      </c>
      <c r="I125" s="265" t="n">
        <v>118610</v>
      </c>
      <c r="J125" s="265" t="n">
        <v>115745</v>
      </c>
      <c r="K125" s="265" t="n">
        <v>128557</v>
      </c>
      <c r="L125" s="265" t="n">
        <v>127297</v>
      </c>
      <c r="N125" s="265" t="n">
        <v>126002</v>
      </c>
      <c r="O125" s="265" t="n">
        <v>123362</v>
      </c>
      <c r="P125" s="265" t="n">
        <v>124524</v>
      </c>
      <c r="Q125" s="265" t="n">
        <v>126100</v>
      </c>
      <c r="S125" s="265" t="n">
        <v>130299</v>
      </c>
      <c r="T125" s="265" t="n">
        <v>134541</v>
      </c>
      <c r="U125" s="265" t="n">
        <v>142036</v>
      </c>
      <c r="V125" s="265" t="n">
        <v>150723</v>
      </c>
      <c r="X125" s="265" t="n">
        <v>158045</v>
      </c>
      <c r="Y125" s="265" t="n">
        <v>154171</v>
      </c>
      <c r="Z125" s="265" t="n">
        <v>159266</v>
      </c>
      <c r="AA125" s="265" t="n">
        <v>160587.85571</v>
      </c>
      <c r="AC125" s="265" t="n">
        <v>168451.826808</v>
      </c>
      <c r="AD125" s="265" t="n">
        <v>164725.592339</v>
      </c>
    </row>
    <row r="126">
      <c r="A126" t="inlineStr">
        <is>
          <t>RAC - receita media mensal por carro operacional (R$; Op Data l.18) · fonte · unid. un</t>
        </is>
      </c>
      <c r="B126" t="n">
        <v>58</v>
      </c>
      <c r="C126" t="inlineStr">
        <is>
          <t>RAC - receita media mensal por carro operacional (R$; Op Dat</t>
        </is>
      </c>
      <c r="D126" s="265" t="n">
        <v>1926167</v>
      </c>
      <c r="E126" s="265" t="n">
        <v>1838986</v>
      </c>
      <c r="F126" s="265" t="n">
        <v>2237514</v>
      </c>
      <c r="G126" s="265" t="n">
        <v>2769630</v>
      </c>
      <c r="I126" s="265" t="n">
        <v>2743698</v>
      </c>
      <c r="J126" s="265" t="n">
        <v>2731097</v>
      </c>
      <c r="K126" s="265" t="n">
        <v>2963558</v>
      </c>
      <c r="L126" s="265" t="n">
        <v>2854288</v>
      </c>
      <c r="N126" s="265" t="n">
        <v>2939168</v>
      </c>
      <c r="O126" s="265" t="n">
        <v>2909796</v>
      </c>
      <c r="P126" s="265" t="n">
        <v>3054435</v>
      </c>
      <c r="Q126" s="265" t="n">
        <v>3082674</v>
      </c>
      <c r="S126" s="265" t="n">
        <v>3105783</v>
      </c>
      <c r="T126" s="265" t="n">
        <v>3087035</v>
      </c>
      <c r="U126" s="265" t="n">
        <v>3257833</v>
      </c>
      <c r="V126" s="265" t="n">
        <v>3381404</v>
      </c>
      <c r="X126" s="265" t="n">
        <v>3338611</v>
      </c>
      <c r="Y126" s="265" t="n">
        <v>3427762</v>
      </c>
      <c r="Z126" s="265" t="n">
        <v>3496733</v>
      </c>
      <c r="AA126" s="265" t="n">
        <v>3704223.447775</v>
      </c>
      <c r="AC126" s="265" t="n">
        <v>3871825.066289</v>
      </c>
      <c r="AD126" s="265" t="n">
        <v>3740476.309076</v>
      </c>
    </row>
    <row r="127">
      <c r="A127" t="inlineStr">
        <is>
          <t>GTF - frota no final do periodo (carros; Op Data l.20) · fonte · unid. un</t>
        </is>
      </c>
      <c r="B127" t="n">
        <v>59</v>
      </c>
      <c r="C127" t="inlineStr">
        <is>
          <t>GTF - frota no final do periodo (carros; Op Data l.20)</t>
        </is>
      </c>
      <c r="D127" s="265" t="n">
        <v>52395000</v>
      </c>
      <c r="E127" s="265" t="n">
        <v>55776000</v>
      </c>
      <c r="F127" s="265" t="n">
        <v>88379000</v>
      </c>
      <c r="G127" s="265" t="n">
        <v>96303000</v>
      </c>
      <c r="I127" s="265" t="n">
        <v>95370000</v>
      </c>
      <c r="J127" s="265" t="n">
        <v>106498000</v>
      </c>
      <c r="K127" s="265" t="n">
        <v>107728000</v>
      </c>
      <c r="L127" s="265" t="n">
        <v>112352000</v>
      </c>
      <c r="N127" s="265" t="n">
        <v>114617000</v>
      </c>
      <c r="O127" s="265" t="n">
        <v>113678000</v>
      </c>
      <c r="P127" s="265" t="n">
        <v>119574000</v>
      </c>
      <c r="Q127" s="265" t="n">
        <v>130781000</v>
      </c>
      <c r="S127" s="265" t="n">
        <v>135628000</v>
      </c>
      <c r="T127" s="265" t="n">
        <v>137648000</v>
      </c>
      <c r="U127" s="265" t="n">
        <v>137405000</v>
      </c>
      <c r="V127" s="265" t="n">
        <v>146543000</v>
      </c>
      <c r="X127" s="265" t="n">
        <v>143794000</v>
      </c>
      <c r="Y127" s="265" t="n">
        <v>142296000</v>
      </c>
      <c r="Z127" s="265" t="n">
        <v>143449000</v>
      </c>
      <c r="AA127" s="265" t="n">
        <v>144207000</v>
      </c>
      <c r="AC127" s="265" t="n">
        <v>141949000</v>
      </c>
      <c r="AD127" s="265" t="n">
        <v>145882000</v>
      </c>
    </row>
    <row r="128">
      <c r="A128" t="inlineStr">
        <is>
          <t>GTF - frota media operacional (Op Data l.21) · fonte · unid. un</t>
        </is>
      </c>
      <c r="B128" t="n">
        <v>60</v>
      </c>
      <c r="C128" t="inlineStr">
        <is>
          <t>GTF - frota media operacional (Op Data l.21)</t>
        </is>
      </c>
      <c r="D128" s="265" t="n">
        <v>44736039</v>
      </c>
      <c r="E128" s="265" t="n">
        <v>49928678</v>
      </c>
      <c r="F128" s="265" t="n">
        <v>68034931</v>
      </c>
      <c r="G128" s="265" t="n">
        <v>79897806</v>
      </c>
      <c r="I128" s="265" t="n">
        <v>85083000</v>
      </c>
      <c r="J128" s="265" t="n">
        <v>87101167</v>
      </c>
      <c r="K128" s="265" t="n">
        <v>93595199</v>
      </c>
      <c r="L128" s="265" t="n">
        <v>95705704</v>
      </c>
      <c r="N128" s="265" t="n">
        <v>98028000</v>
      </c>
      <c r="O128" s="265" t="n">
        <v>100696540</v>
      </c>
      <c r="P128" s="265" t="n">
        <v>101695065</v>
      </c>
      <c r="Q128" s="265" t="n">
        <v>107000321</v>
      </c>
      <c r="S128" s="265" t="n">
        <v>112709434</v>
      </c>
      <c r="T128" s="265" t="n">
        <v>118512363</v>
      </c>
      <c r="U128" s="265" t="n">
        <v>123986478</v>
      </c>
      <c r="V128" s="265" t="n">
        <v>127312332</v>
      </c>
      <c r="X128" s="265" t="n">
        <v>128683500</v>
      </c>
      <c r="Y128" s="265" t="n">
        <v>126277209</v>
      </c>
      <c r="Z128" s="265" t="n">
        <v>128188924</v>
      </c>
      <c r="AA128" s="265" t="n">
        <v>129702559.782609</v>
      </c>
      <c r="AC128" s="265" t="n">
        <v>131043644.444444</v>
      </c>
      <c r="AD128" s="265" t="n">
        <v>130822857.142857</v>
      </c>
    </row>
    <row r="129">
      <c r="A129" t="inlineStr">
        <is>
          <t>GTF - ticket medio mensal (R$; Op Data l.25) · fonte · unid. un</t>
        </is>
      </c>
      <c r="B129" t="n">
        <v>61</v>
      </c>
      <c r="C129" t="inlineStr">
        <is>
          <t>GTF - ticket medio mensal (R$; Op Data l.25)</t>
        </is>
      </c>
      <c r="D129" s="265" t="n">
        <v>1372319</v>
      </c>
      <c r="E129" s="265" t="n">
        <v>1446677</v>
      </c>
      <c r="F129" s="265" t="n">
        <v>1556347</v>
      </c>
      <c r="G129" s="265" t="n">
        <v>1554954</v>
      </c>
      <c r="I129" s="265" t="n">
        <v>1656100</v>
      </c>
      <c r="J129" s="265" t="n">
        <v>1785390</v>
      </c>
      <c r="K129" s="265" t="n">
        <v>1811553</v>
      </c>
      <c r="L129" s="265" t="n">
        <v>1924074</v>
      </c>
      <c r="N129" s="265" t="n">
        <v>2040898</v>
      </c>
      <c r="O129" s="265" t="n">
        <v>2110268</v>
      </c>
      <c r="P129" s="265" t="n">
        <v>2191255</v>
      </c>
      <c r="Q129" s="265" t="n">
        <v>2275453</v>
      </c>
      <c r="S129" s="265" t="n">
        <v>2380167</v>
      </c>
      <c r="T129" s="265" t="n">
        <v>2582260</v>
      </c>
      <c r="U129" s="265" t="n">
        <v>2695784</v>
      </c>
      <c r="V129" s="265" t="n">
        <v>2780174</v>
      </c>
      <c r="X129" s="265" t="n">
        <v>2855385</v>
      </c>
      <c r="Y129" s="265" t="n">
        <v>2948728</v>
      </c>
      <c r="Z129" s="265" t="n">
        <v>3025387</v>
      </c>
      <c r="AA129" s="265" t="n">
        <v>3123287.436343</v>
      </c>
      <c r="AC129" s="265" t="n">
        <v>3162020.318345</v>
      </c>
      <c r="AD129" s="265" t="n">
        <v>3288956.832502</v>
      </c>
    </row>
    <row r="130">
      <c r="A130" t="inlineStr">
        <is>
          <t>Seminovos - carros vendidos (Op Data l.28) · fonte · unid. un</t>
        </is>
      </c>
      <c r="B130" t="n">
        <v>62</v>
      </c>
      <c r="C130" t="inlineStr">
        <is>
          <t>Seminovos - carros vendidos (Op Data l.28)</t>
        </is>
      </c>
      <c r="D130" s="265" t="n">
        <v>5356000</v>
      </c>
      <c r="E130" s="265" t="n">
        <v>12462000</v>
      </c>
      <c r="F130" s="265" t="n">
        <v>14509000</v>
      </c>
      <c r="G130" s="265" t="n">
        <v>12472000</v>
      </c>
      <c r="I130" s="265" t="n">
        <v>15225000</v>
      </c>
      <c r="J130" s="265" t="n">
        <v>18474000</v>
      </c>
      <c r="K130" s="265" t="n">
        <v>20023000</v>
      </c>
      <c r="L130" s="265" t="n">
        <v>18697000</v>
      </c>
      <c r="N130" s="265" t="n">
        <v>19610000</v>
      </c>
      <c r="O130" s="265" t="n">
        <v>18806000</v>
      </c>
      <c r="P130" s="265" t="n">
        <v>20503000</v>
      </c>
      <c r="Q130" s="265" t="n">
        <v>17253000</v>
      </c>
      <c r="S130" s="265" t="n">
        <v>23249000</v>
      </c>
      <c r="T130" s="265" t="n">
        <v>27954000</v>
      </c>
      <c r="U130" s="265" t="n">
        <v>30572000</v>
      </c>
      <c r="V130" s="265" t="n">
        <v>21916000</v>
      </c>
      <c r="X130" s="265" t="n">
        <v>24784000</v>
      </c>
      <c r="Y130" s="265" t="n">
        <v>25917000</v>
      </c>
      <c r="Z130" s="265" t="n">
        <v>24472000</v>
      </c>
      <c r="AA130" s="265" t="n">
        <v>22172000</v>
      </c>
      <c r="AC130" s="265" t="n">
        <v>20620000</v>
      </c>
      <c r="AD130" s="265" t="n">
        <v>19414000</v>
      </c>
    </row>
    <row r="131">
      <c r="A131" t="inlineStr">
        <is>
          <t>Seminovos - preco medio do carro vendido (R$; Op Data l.31) · fonte · unid. un</t>
        </is>
      </c>
      <c r="B131" t="n">
        <v>63</v>
      </c>
      <c r="C131" t="inlineStr">
        <is>
          <t>Seminovos - preco medio do carro vendido (R$; Op Data l.31)</t>
        </is>
      </c>
      <c r="D131" s="265" t="n">
        <v>51893918</v>
      </c>
      <c r="E131" s="265" t="n">
        <v>54575562</v>
      </c>
      <c r="F131" s="265" t="n">
        <v>58732576</v>
      </c>
      <c r="G131" s="265" t="n">
        <v>65422791</v>
      </c>
      <c r="I131" s="265" t="n">
        <v>64467473</v>
      </c>
      <c r="J131" s="265" t="n">
        <v>66619727</v>
      </c>
      <c r="K131" s="265" t="n">
        <v>70866812</v>
      </c>
      <c r="L131" s="265" t="n">
        <v>75437883</v>
      </c>
      <c r="N131" s="265" t="n">
        <v>75131641</v>
      </c>
      <c r="O131" s="265" t="n">
        <v>67009986</v>
      </c>
      <c r="P131" s="265" t="n">
        <v>67718251</v>
      </c>
      <c r="Q131" s="265" t="n">
        <v>68176185</v>
      </c>
      <c r="S131" s="265" t="n">
        <v>66942505</v>
      </c>
      <c r="T131" s="265" t="n">
        <v>66598725</v>
      </c>
      <c r="U131" s="265" t="n">
        <v>67728675</v>
      </c>
      <c r="V131" s="265" t="n">
        <v>68181225</v>
      </c>
      <c r="X131" s="265" t="n">
        <v>69546779</v>
      </c>
      <c r="Y131" s="265" t="n">
        <v>70398095</v>
      </c>
      <c r="Z131" s="265" t="n">
        <v>73431672</v>
      </c>
      <c r="AA131" s="265" t="n">
        <v>72269744.454723</v>
      </c>
      <c r="AC131" s="265" t="n">
        <v>77823728.680949</v>
      </c>
      <c r="AD131" s="265" t="n">
        <v>77252184.054344</v>
      </c>
    </row>
    <row r="132">
      <c r="A132" t="inlineStr">
        <is>
          <t>Carros comprados (CAPEX l.22) · fonte · unid. un</t>
        </is>
      </c>
      <c r="B132" t="n">
        <v>64</v>
      </c>
      <c r="C132" t="inlineStr">
        <is>
          <t>Carros comprados (CAPEX l.22)</t>
        </is>
      </c>
      <c r="D132" s="265" t="n">
        <v>10911000</v>
      </c>
      <c r="E132" s="265" t="n">
        <v>23273000</v>
      </c>
      <c r="F132" s="265" t="n">
        <v>25098000</v>
      </c>
      <c r="G132" s="265" t="n">
        <v>32177000</v>
      </c>
      <c r="I132" s="265" t="n">
        <v>21202000</v>
      </c>
      <c r="J132" s="265" t="n">
        <v>32840000</v>
      </c>
      <c r="K132" s="265" t="n">
        <v>27096000</v>
      </c>
      <c r="L132" s="265" t="n">
        <v>27209000</v>
      </c>
      <c r="N132" s="265" t="n">
        <v>8899000</v>
      </c>
      <c r="O132" s="265" t="n">
        <v>11971000</v>
      </c>
      <c r="P132" s="265" t="n">
        <v>29802000</v>
      </c>
      <c r="Q132" s="265" t="n">
        <v>48289000</v>
      </c>
      <c r="S132" s="265" t="n">
        <v>26141000</v>
      </c>
      <c r="T132" s="265" t="n">
        <v>29647000</v>
      </c>
      <c r="U132" s="265" t="n">
        <v>33081000</v>
      </c>
      <c r="V132" s="265" t="n">
        <v>45949000</v>
      </c>
      <c r="X132" s="265" t="n">
        <v>16643000</v>
      </c>
      <c r="Y132" s="265" t="n">
        <v>28084000</v>
      </c>
      <c r="Z132" s="265" t="n">
        <v>21947000</v>
      </c>
      <c r="AA132" s="265" t="n">
        <v>40352000</v>
      </c>
      <c r="AC132" s="265" t="n">
        <v>14588000</v>
      </c>
      <c r="AD132" s="265" t="n">
        <v>38613000</v>
      </c>
    </row>
    <row r="133">
      <c r="A133" t="inlineStr">
        <is>
          <t>Preco medio do carro comprado (R$; CAPEX l.25) · fonte · unid. un</t>
        </is>
      </c>
      <c r="B133" t="n">
        <v>65</v>
      </c>
      <c r="C133" t="inlineStr">
        <is>
          <t>Preco medio do carro comprado (R$; CAPEX l.25)</t>
        </is>
      </c>
      <c r="D133" s="265" t="n">
        <v>59451895</v>
      </c>
      <c r="E133" s="265" t="n">
        <v>65849458</v>
      </c>
      <c r="F133" s="265" t="n">
        <v>83151073</v>
      </c>
      <c r="G133" s="265" t="n">
        <v>90445152</v>
      </c>
      <c r="I133" s="265" t="n">
        <v>90435525</v>
      </c>
      <c r="J133" s="265" t="n">
        <v>91843120</v>
      </c>
      <c r="K133" s="265" t="n">
        <v>82230106</v>
      </c>
      <c r="L133" s="265" t="n">
        <v>78693278</v>
      </c>
      <c r="N133" s="265" t="n">
        <v>88893811</v>
      </c>
      <c r="O133" s="265" t="n">
        <v>95090768</v>
      </c>
      <c r="P133" s="265" t="n">
        <v>87377337</v>
      </c>
      <c r="Q133" s="265" t="n">
        <v>90486921</v>
      </c>
      <c r="S133" s="265" t="n">
        <v>87279205</v>
      </c>
      <c r="T133" s="265" t="n">
        <v>85989828</v>
      </c>
      <c r="U133" s="265" t="n">
        <v>89426948</v>
      </c>
      <c r="V133" s="265" t="n">
        <v>86193120</v>
      </c>
      <c r="X133" s="265" t="n">
        <v>90324767.543493</v>
      </c>
      <c r="Y133" s="265" t="n">
        <v>94322621.908812</v>
      </c>
      <c r="Z133" s="265" t="n">
        <v>101130255</v>
      </c>
      <c r="AA133" s="265" t="n">
        <v>100334850.780086</v>
      </c>
      <c r="AC133" s="265" t="n">
        <v>102359604.469427</v>
      </c>
      <c r="AD133" s="265" t="n">
        <v>101231423.055191</v>
      </c>
    </row>
    <row r="134">
      <c r="A134" t="inlineStr">
        <is>
          <t>Capex RAC - frota + lojas + outros (R$ mi; CAPEX l.13) · fonte · unid. moeda</t>
        </is>
      </c>
      <c r="B134" t="n">
        <v>66</v>
      </c>
      <c r="C134" t="inlineStr">
        <is>
          <t>Capex RAC - frota + lojas + outros (R$ mi; CAPEX l.13)</t>
        </is>
      </c>
      <c r="D134" s="265" t="n">
        <v>281818</v>
      </c>
      <c r="E134" s="265" t="n">
        <v>1318926</v>
      </c>
      <c r="F134" s="265" t="n">
        <v>1182700</v>
      </c>
      <c r="G134" s="265" t="n">
        <v>1996188</v>
      </c>
      <c r="I134" s="265" t="n">
        <v>1808921</v>
      </c>
      <c r="J134" s="265" t="n">
        <v>1991964</v>
      </c>
      <c r="K134" s="265" t="n">
        <v>1772167</v>
      </c>
      <c r="L134" s="265" t="n">
        <v>1402661</v>
      </c>
      <c r="N134" s="265" t="n">
        <v>76924</v>
      </c>
      <c r="O134" s="265" t="n">
        <v>261923</v>
      </c>
      <c r="P134" s="265" t="n">
        <v>1026842</v>
      </c>
      <c r="Q134" s="265" t="n">
        <v>2266734</v>
      </c>
      <c r="S134" s="265" t="n">
        <v>924786</v>
      </c>
      <c r="T134" s="265" t="n">
        <v>1095802</v>
      </c>
      <c r="U134" s="265" t="n">
        <v>1654517</v>
      </c>
      <c r="V134" s="265" t="n">
        <v>2135623</v>
      </c>
      <c r="X134" s="265" t="n">
        <v>663022.086704</v>
      </c>
      <c r="Y134" s="265" t="n">
        <v>1801132.913296</v>
      </c>
      <c r="Z134" s="265" t="n">
        <v>955412</v>
      </c>
      <c r="AA134" s="265" t="n">
        <v>2618418.224114</v>
      </c>
      <c r="AC134" s="265" t="n">
        <v>570416.798428</v>
      </c>
      <c r="AD134" s="265" t="n">
        <v>2267391.201594</v>
      </c>
    </row>
    <row r="135">
      <c r="A135" t="inlineStr">
        <is>
          <t>Capex GTF (R$ mi; CAPEX l.19) · fonte · unid. moeda</t>
        </is>
      </c>
      <c r="B135" t="n">
        <v>67</v>
      </c>
      <c r="C135" t="inlineStr">
        <is>
          <t>Capex GTF (R$ mi; CAPEX l.19)</t>
        </is>
      </c>
      <c r="D135" s="265" t="n">
        <v>400141</v>
      </c>
      <c r="E135" s="265" t="n">
        <v>268452</v>
      </c>
      <c r="F135" s="265" t="n">
        <v>945323</v>
      </c>
      <c r="G135" s="265" t="n">
        <v>961226</v>
      </c>
      <c r="I135" s="265" t="n">
        <v>154340</v>
      </c>
      <c r="J135" s="265" t="n">
        <v>1080363</v>
      </c>
      <c r="K135" s="265" t="n">
        <v>512801</v>
      </c>
      <c r="L135" s="265" t="n">
        <v>791890</v>
      </c>
      <c r="N135" s="265" t="n">
        <v>761790</v>
      </c>
      <c r="O135" s="265" t="n">
        <v>920396</v>
      </c>
      <c r="P135" s="265" t="n">
        <v>1620787</v>
      </c>
      <c r="Q135" s="265" t="n">
        <v>2148859</v>
      </c>
      <c r="S135" s="265" t="n">
        <v>1396221</v>
      </c>
      <c r="T135" s="265" t="n">
        <v>1503655</v>
      </c>
      <c r="U135" s="265" t="n">
        <v>1356178</v>
      </c>
      <c r="V135" s="265" t="n">
        <v>1870277</v>
      </c>
      <c r="X135" s="265" t="n">
        <v>815738.604756</v>
      </c>
      <c r="Y135" s="265" t="n">
        <v>1235113.590263</v>
      </c>
      <c r="Z135" s="265" t="n">
        <v>1335992</v>
      </c>
      <c r="AA135" s="265" t="n">
        <v>1493408.446854</v>
      </c>
      <c r="AC135" s="265" t="n">
        <v>988500.251942</v>
      </c>
      <c r="AD135" s="265" t="n">
        <v>1707599.346693</v>
      </c>
    </row>
    <row r="136">
      <c r="A136" t="inlineStr">
        <is>
          <t>Notas: segmentos somam a receita consolidada em todos os trimestres. RAC Portugal so a partir de 2023. Dados operacionais sem fator (unidades, R$ e %).</t>
        </is>
      </c>
      <c r="C136" t="inlineStr">
        <is>
          <t>[linha bruta, sem código; lançada nas linhas abaixo]</t>
        </is>
      </c>
      <c r="D136" s="265" t="n"/>
      <c r="E136" s="265" t="n"/>
      <c r="F136" s="265" t="n"/>
      <c r="G136" s="265" t="n"/>
      <c r="I136" s="265" t="n"/>
      <c r="J136" s="265" t="n"/>
      <c r="K136" s="265" t="n"/>
      <c r="L136" s="265" t="n"/>
      <c r="N136" s="265" t="n"/>
      <c r="O136" s="265" t="n"/>
      <c r="P136" s="265" t="n"/>
      <c r="Q136" s="265" t="n"/>
      <c r="S136" s="265" t="n"/>
      <c r="T136" s="265" t="n"/>
      <c r="U136" s="265" t="n"/>
      <c r="V136" s="265" t="n"/>
      <c r="X136" s="265" t="n"/>
      <c r="Y136" s="265" t="n"/>
      <c r="Z136" s="265" t="n"/>
      <c r="AA136" s="265" t="n"/>
      <c r="AC136" s="265" t="n"/>
      <c r="AD136" s="265" t="n"/>
    </row>
    <row r="138">
      <c r="A138" t="inlineStr">
        <is>
          <t>Linhas de origem: 4 a 136. A Inputs (2) varre as linhas 4 a 200; as linhas 137 a 200 estão livres. Linhas "(lançamento)" aplicam código e sinal sobre a linha bruta indicada (a máscara tem uma só coluna de código).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5"/>
  <sheetViews>
    <sheetView showGridLines="0" tabSelected="1" zoomScaleNormal="100" workbookViewId="0">
      <pane xSplit="3" ySplit="3" topLeftCell="D4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10.42578125" defaultRowHeight="12.75"/>
  <cols>
    <col width="14.7109375" customWidth="1" style="3" min="1" max="1"/>
    <col width="10.140625" customWidth="1" style="3" min="2" max="2"/>
    <col width="50" customWidth="1" style="4" min="3" max="3"/>
    <col width="12.42578125" customWidth="1" style="3" min="4" max="33"/>
    <col width="10.42578125" customWidth="1" style="4" min="34" max="54"/>
    <col width="11" customWidth="1" style="4" min="55" max="55"/>
    <col width="10.42578125" customWidth="1" style="4" min="56" max="58"/>
    <col width="10.42578125" customWidth="1" style="4" min="59" max="16384"/>
  </cols>
  <sheetData>
    <row r="1" ht="14.25" customFormat="1" customHeight="1" s="3">
      <c r="A1" s="5" t="str">
        <f>IF(Control!B3="","EMPRESA",Control!B3)</f>
        <v>Movida</v>
      </c>
      <c r="B1" s="5" t="inlineStr">
        <is>
          <t>Código</t>
        </is>
      </c>
      <c r="C1" s="1" t="inlineStr">
        <is>
          <t>Conta padronizada</t>
        </is>
      </c>
      <c r="D1" s="1" t="n">
        <v>2021</v>
      </c>
      <c r="E1" s="1" t="n">
        <v>2021</v>
      </c>
      <c r="F1" s="1" t="n">
        <v>2021</v>
      </c>
      <c r="G1" s="1" t="n">
        <v>2021</v>
      </c>
      <c r="H1" s="1" t="n">
        <v>2021</v>
      </c>
      <c r="I1" s="1" t="n">
        <v>2022</v>
      </c>
      <c r="J1" s="1" t="n">
        <v>2022</v>
      </c>
      <c r="K1" s="1" t="n">
        <v>2022</v>
      </c>
      <c r="L1" s="1" t="n">
        <v>2022</v>
      </c>
      <c r="M1" s="1" t="n">
        <v>2022</v>
      </c>
      <c r="N1" s="1" t="n">
        <v>2023</v>
      </c>
      <c r="O1" s="1" t="n">
        <v>2023</v>
      </c>
      <c r="P1" s="1" t="n">
        <v>2023</v>
      </c>
      <c r="Q1" s="1" t="n">
        <v>2023</v>
      </c>
      <c r="R1" s="1" t="n">
        <v>2023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  <c r="AC1" s="1" t="n">
        <v>2026</v>
      </c>
      <c r="AD1" s="1" t="n">
        <v>2026</v>
      </c>
      <c r="AE1" s="1" t="n">
        <v>2026</v>
      </c>
      <c r="AF1" s="1" t="n">
        <v>2026</v>
      </c>
      <c r="AG1" s="1" t="n">
        <v>2026</v>
      </c>
    </row>
    <row r="2" ht="14.25" customHeight="1">
      <c r="A2" s="1" t="inlineStr">
        <is>
          <t>R$ milhões</t>
        </is>
      </c>
      <c r="B2" s="1" t="n"/>
      <c r="C2" s="1" t="inlineStr">
        <is>
          <t>Período</t>
        </is>
      </c>
      <c r="D2" s="6" t="inlineStr">
        <is>
          <t>1Q21</t>
        </is>
      </c>
      <c r="E2" s="6" t="inlineStr">
        <is>
          <t>2Q21</t>
        </is>
      </c>
      <c r="F2" s="6" t="inlineStr">
        <is>
          <t>3Q21</t>
        </is>
      </c>
      <c r="G2" s="6" t="inlineStr">
        <is>
          <t>4Q21</t>
        </is>
      </c>
      <c r="H2" s="7" t="inlineStr">
        <is>
          <t>2021</t>
        </is>
      </c>
      <c r="I2" s="6" t="inlineStr">
        <is>
          <t>1Q22</t>
        </is>
      </c>
      <c r="J2" s="6" t="inlineStr">
        <is>
          <t>2Q22</t>
        </is>
      </c>
      <c r="K2" s="6" t="inlineStr">
        <is>
          <t>3Q22</t>
        </is>
      </c>
      <c r="L2" s="6" t="inlineStr">
        <is>
          <t>4Q22</t>
        </is>
      </c>
      <c r="M2" s="7" t="inlineStr">
        <is>
          <t>2022</t>
        </is>
      </c>
      <c r="N2" s="6" t="inlineStr">
        <is>
          <t>1Q23</t>
        </is>
      </c>
      <c r="O2" s="6" t="inlineStr">
        <is>
          <t>2Q23</t>
        </is>
      </c>
      <c r="P2" s="6" t="inlineStr">
        <is>
          <t>3Q23</t>
        </is>
      </c>
      <c r="Q2" s="6" t="inlineStr">
        <is>
          <t>4Q23</t>
        </is>
      </c>
      <c r="R2" s="7" t="inlineStr">
        <is>
          <t>2023</t>
        </is>
      </c>
      <c r="S2" s="6" t="inlineStr">
        <is>
          <t>1Q24</t>
        </is>
      </c>
      <c r="T2" s="6" t="inlineStr">
        <is>
          <t>2Q24</t>
        </is>
      </c>
      <c r="U2" s="6" t="inlineStr">
        <is>
          <t>3Q24</t>
        </is>
      </c>
      <c r="V2" s="6" t="inlineStr">
        <is>
          <t>4Q24</t>
        </is>
      </c>
      <c r="W2" s="7" t="inlineStr">
        <is>
          <t>2024</t>
        </is>
      </c>
      <c r="X2" s="6" t="inlineStr">
        <is>
          <t>1Q25</t>
        </is>
      </c>
      <c r="Y2" s="6" t="inlineStr">
        <is>
          <t>2Q25</t>
        </is>
      </c>
      <c r="Z2" s="6" t="inlineStr">
        <is>
          <t>3Q25</t>
        </is>
      </c>
      <c r="AA2" s="6" t="inlineStr">
        <is>
          <t>4Q25</t>
        </is>
      </c>
      <c r="AB2" s="7" t="inlineStr">
        <is>
          <t>2025</t>
        </is>
      </c>
      <c r="AC2" s="6" t="inlineStr">
        <is>
          <t>1Q26</t>
        </is>
      </c>
      <c r="AD2" s="6" t="inlineStr">
        <is>
          <t>2Q26</t>
        </is>
      </c>
      <c r="AE2" s="6" t="inlineStr">
        <is>
          <t>3Q26</t>
        </is>
      </c>
      <c r="AF2" s="6" t="inlineStr">
        <is>
          <t>4Q26</t>
        </is>
      </c>
      <c r="AG2" s="7" t="inlineStr">
        <is>
          <t>2026</t>
        </is>
      </c>
    </row>
    <row r="3" ht="15" customHeight="1">
      <c r="A3" s="8" t="inlineStr">
        <is>
          <t>Actual flag</t>
        </is>
      </c>
      <c r="B3" s="8" t="n"/>
      <c r="C3" s="8" t="inlineStr">
        <is>
          <t>0 = sem dados / 1 = realizado</t>
        </is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0</v>
      </c>
      <c r="AF3" s="8" t="n">
        <v>0</v>
      </c>
      <c r="AG3" s="8" t="n">
        <v>0</v>
      </c>
    </row>
    <row r="4">
      <c r="B4" s="9" t="n">
        <v>1</v>
      </c>
      <c r="C4" s="10" t="inlineStr">
        <is>
          <t>Net Revenues</t>
        </is>
      </c>
      <c r="D4" s="11">
        <f>IF(D$3=0,"",SUMIFS(INDEX(Inputs!$D$4:$AG$200,0,MATCH(D$2,Inputs!$D$2:$AG$2,0)),Inputs!$B$4:$B$200,$B4)/1000)</f>
        <v>757.552</v>
      </c>
      <c r="E4" s="11">
        <f>IF(E$3=0,"",SUMIFS(INDEX(Inputs!$D$4:$AG$200,0,MATCH(E$2,Inputs!$D$2:$AG$2,0)),Inputs!$B$4:$B$200,$B4)/1000)</f>
        <v>1165.345</v>
      </c>
      <c r="F4" s="11">
        <f>IF(F$3=0,"",SUMIFS(INDEX(Inputs!$D$4:$AG$200,0,MATCH(F$2,Inputs!$D$2:$AG$2,0)),Inputs!$B$4:$B$200,$B4)/1000)</f>
        <v>1521.076</v>
      </c>
      <c r="G4" s="11">
        <f>IF(G$3=0,"",SUMIFS(INDEX(Inputs!$D$4:$AG$200,0,MATCH(G$2,Inputs!$D$2:$AG$2,0)),Inputs!$B$4:$B$200,$B4)/1000)</f>
        <v>1689.065</v>
      </c>
      <c r="H4" s="12">
        <f>IF(COUNT(D4:G4)=4,SUM(D4:G4),"")</f>
        <v>5133.038</v>
      </c>
      <c r="I4" s="11">
        <f>IF(I$3=0,"",SUMIFS(INDEX(Inputs!$D$4:$AG$200,0,MATCH(I$2,Inputs!$D$2:$AG$2,0)),Inputs!$B$4:$B$200,$B4)/1000)</f>
        <v>1905.657</v>
      </c>
      <c r="J4" s="11">
        <f>IF(J$3=0,"",SUMIFS(INDEX(Inputs!$D$4:$AG$200,0,MATCH(J$2,Inputs!$D$2:$AG$2,0)),Inputs!$B$4:$B$200,$B4)/1000)</f>
        <v>2230.992</v>
      </c>
      <c r="K4" s="11">
        <f>IF(K$3=0,"",SUMIFS(INDEX(Inputs!$D$4:$AG$200,0,MATCH(K$2,Inputs!$D$2:$AG$2,0)),Inputs!$B$4:$B$200,$B4)/1000)</f>
        <v>2536.864</v>
      </c>
      <c r="L4" s="11">
        <f>IF(L$3=0,"",SUMIFS(INDEX(Inputs!$D$4:$AG$200,0,MATCH(L$2,Inputs!$D$2:$AG$2,0)),Inputs!$B$4:$B$200,$B4)/1000)</f>
        <v>2626.633</v>
      </c>
      <c r="M4" s="12">
        <f>IF(COUNT(I4:L4)=4,SUM(I4:L4),"")</f>
        <v>9300.146</v>
      </c>
      <c r="N4" s="11">
        <f>IF(N$3=0,"",SUMIFS(INDEX(Inputs!$D$4:$AG$200,0,MATCH(N$2,Inputs!$D$2:$AG$2,0)),Inputs!$B$4:$B$200,$B4)/1000)</f>
        <v>2703.206</v>
      </c>
      <c r="O4" s="11">
        <f>IF(O$3=0,"",SUMIFS(INDEX(Inputs!$D$4:$AG$200,0,MATCH(O$2,Inputs!$D$2:$AG$2,0)),Inputs!$B$4:$B$200,$B4)/1000)</f>
        <v>2479.144</v>
      </c>
      <c r="P4" s="11">
        <f>IF(P$3=0,"",SUMIFS(INDEX(Inputs!$D$4:$AG$200,0,MATCH(P$2,Inputs!$D$2:$AG$2,0)),Inputs!$B$4:$B$200,$B4)/1000)</f>
        <v>2666.22</v>
      </c>
      <c r="Q4" s="11">
        <f>IF(Q$3=0,"",SUMIFS(INDEX(Inputs!$D$4:$AG$200,0,MATCH(Q$2,Inputs!$D$2:$AG$2,0)),Inputs!$B$4:$B$200,$B4)/1000)</f>
        <v>2493.444</v>
      </c>
      <c r="R4" s="12">
        <f>IF(COUNT(N4:Q4)=4,SUM(N4:Q4),"")</f>
        <v>10342.014</v>
      </c>
      <c r="S4" s="11">
        <f>IF(S$3=0,"",SUMIFS(INDEX(Inputs!$D$4:$AG$200,0,MATCH(S$2,Inputs!$D$2:$AG$2,0)),Inputs!$B$4:$B$200,$B4)/1000)</f>
        <v>3021.646</v>
      </c>
      <c r="T4" s="11">
        <f>IF(T$3=0,"",SUMIFS(INDEX(Inputs!$D$4:$AG$200,0,MATCH(T$2,Inputs!$D$2:$AG$2,0)),Inputs!$B$4:$B$200,$B4)/1000)</f>
        <v>3435.604</v>
      </c>
      <c r="U4" s="11">
        <f>IF(U$3=0,"",SUMIFS(INDEX(Inputs!$D$4:$AG$200,0,MATCH(U$2,Inputs!$D$2:$AG$2,0)),Inputs!$B$4:$B$200,$B4)/1000)</f>
        <v>3775.864</v>
      </c>
      <c r="V4" s="11">
        <f>IF(V$3=0,"",SUMIFS(INDEX(Inputs!$D$4:$AG$200,0,MATCH(V$2,Inputs!$D$2:$AG$2,0)),Inputs!$B$4:$B$200,$B4)/1000)</f>
        <v>3248.157</v>
      </c>
      <c r="W4" s="12">
        <f>IF(COUNT(S4:V4)=4,SUM(S4:V4),"")</f>
        <v>13481.271</v>
      </c>
      <c r="X4" s="11">
        <f>IF(X$3=0,"",SUMIFS(INDEX(Inputs!$D$4:$AG$200,0,MATCH(X$2,Inputs!$D$2:$AG$2,0)),Inputs!$B$4:$B$200,$B4)/1000)</f>
        <v>3568.231</v>
      </c>
      <c r="Y4" s="11">
        <f>IF(Y$3=0,"",SUMIFS(INDEX(Inputs!$D$4:$AG$200,0,MATCH(Y$2,Inputs!$D$2:$AG$2,0)),Inputs!$B$4:$B$200,$B4)/1000)</f>
        <v>3679.006</v>
      </c>
      <c r="Z4" s="11">
        <f>IF(Z$3=0,"",SUMIFS(INDEX(Inputs!$D$4:$AG$200,0,MATCH(Z$2,Inputs!$D$2:$AG$2,0)),Inputs!$B$4:$B$200,$B4)/1000)</f>
        <v>3765.843</v>
      </c>
      <c r="AA4" s="11">
        <f>IF(AA$3=0,"",SUMIFS(INDEX(Inputs!$D$4:$AG$200,0,MATCH(AA$2,Inputs!$D$2:$AG$2,0)),Inputs!$B$4:$B$200,$B4)/1000)</f>
        <v>3658.97515495</v>
      </c>
      <c r="AB4" s="12">
        <f>IF(COUNT(X4:AA4)=4,SUM(X4:AA4),"")</f>
        <v>14672.05515495</v>
      </c>
      <c r="AC4" s="11">
        <f>IF(AC$3=0,"",SUMIFS(INDEX(Inputs!$D$4:$AG$200,0,MATCH(AC$2,Inputs!$D$2:$AG$2,0)),Inputs!$B$4:$B$200,$B4)/1000)</f>
        <v>3780.644964962</v>
      </c>
      <c r="AD4" s="11">
        <f>IF(AD$3=0,"",SUMIFS(INDEX(Inputs!$D$4:$AG$200,0,MATCH(AD$2,Inputs!$D$2:$AG$2,0)),Inputs!$B$4:$B$200,$B4)/1000)</f>
        <v>3765.830207488</v>
      </c>
      <c r="AE4" s="11" t="str">
        <f>IF(AE$3=0,"",SUMIFS(INDEX(Inputs!$D$4:$AG$200,0,MATCH(AE$2,Inputs!$D$2:$AG$2,0)),Inputs!$B$4:$B$200,$B4)/1000)</f>
        <v/>
      </c>
      <c r="AF4" s="11" t="str">
        <f>IF(AF$3=0,"",SUMIFS(INDEX(Inputs!$D$4:$AG$200,0,MATCH(AF$2,Inputs!$D$2:$AG$2,0)),Inputs!$B$4:$B$200,$B4)/1000)</f>
        <v/>
      </c>
      <c r="AG4" s="12" t="str">
        <f>IF(COUNT(AC4:AF4)=4,SUM(AC4:AF4),"")</f>
        <v/>
      </c>
    </row>
    <row r="5">
      <c r="B5" s="9" t="n">
        <v>2</v>
      </c>
      <c r="C5" s="13" t="inlineStr">
        <is>
          <t>COGS (cash)</t>
        </is>
      </c>
      <c r="D5" s="11">
        <f>IF(D$3=0,"",SUMIFS(INDEX(Inputs!$D$4:$AG$200,0,MATCH(D$2,Inputs!$D$2:$AG$2,0)),Inputs!$B$4:$B$200,$B5)/1000)</f>
        <v>-296.445</v>
      </c>
      <c r="E5" s="11">
        <f>IF(E$3=0,"",SUMIFS(INDEX(Inputs!$D$4:$AG$200,0,MATCH(E$2,Inputs!$D$2:$AG$2,0)),Inputs!$B$4:$B$200,$B5)/1000)</f>
        <v>-605.183</v>
      </c>
      <c r="F5" s="11">
        <f>IF(F$3=0,"",SUMIFS(INDEX(Inputs!$D$4:$AG$200,0,MATCH(F$2,Inputs!$D$2:$AG$2,0)),Inputs!$B$4:$B$200,$B5)/1000)</f>
        <v>-729.162</v>
      </c>
      <c r="G5" s="11">
        <f>IF(G$3=0,"",SUMIFS(INDEX(Inputs!$D$4:$AG$200,0,MATCH(G$2,Inputs!$D$2:$AG$2,0)),Inputs!$B$4:$B$200,$B5)/1000)</f>
        <v>-699.45</v>
      </c>
      <c r="H5" s="12">
        <f>IF(COUNT(D5:G5)=4,SUM(D5:G5),"")</f>
        <v>-2330.24</v>
      </c>
      <c r="I5" s="11">
        <f>IF(I$3=0,"",SUMIFS(INDEX(Inputs!$D$4:$AG$200,0,MATCH(I$2,Inputs!$D$2:$AG$2,0)),Inputs!$B$4:$B$200,$B5)/1000)</f>
        <v>-807.931</v>
      </c>
      <c r="J5" s="11">
        <f>IF(J$3=0,"",SUMIFS(INDEX(Inputs!$D$4:$AG$200,0,MATCH(J$2,Inputs!$D$2:$AG$2,0)),Inputs!$B$4:$B$200,$B5)/1000)</f>
        <v>-1068.195</v>
      </c>
      <c r="K5" s="11">
        <f>IF(K$3=0,"",SUMIFS(INDEX(Inputs!$D$4:$AG$200,0,MATCH(K$2,Inputs!$D$2:$AG$2,0)),Inputs!$B$4:$B$200,$B5)/1000)</f>
        <v>-1319.005</v>
      </c>
      <c r="L5" s="11">
        <f>IF(L$3=0,"",SUMIFS(INDEX(Inputs!$D$4:$AG$200,0,MATCH(L$2,Inputs!$D$2:$AG$2,0)),Inputs!$B$4:$B$200,$B5)/1000)</f>
        <v>-1423.846</v>
      </c>
      <c r="M5" s="12">
        <f>IF(COUNT(I5:L5)=4,SUM(I5:L5),"")</f>
        <v>-4618.977</v>
      </c>
      <c r="N5" s="11">
        <f>IF(N$3=0,"",SUMIFS(INDEX(Inputs!$D$4:$AG$200,0,MATCH(N$2,Inputs!$D$2:$AG$2,0)),Inputs!$B$4:$B$200,$B5)/1000)</f>
        <v>-1495.089</v>
      </c>
      <c r="O5" s="11">
        <f>IF(O$3=0,"",SUMIFS(INDEX(Inputs!$D$4:$AG$200,0,MATCH(O$2,Inputs!$D$2:$AG$2,0)),Inputs!$B$4:$B$200,$B5)/1000)</f>
        <v>-1259.21</v>
      </c>
      <c r="P5" s="11">
        <f>IF(P$3=0,"",SUMIFS(INDEX(Inputs!$D$4:$AG$200,0,MATCH(P$2,Inputs!$D$2:$AG$2,0)),Inputs!$B$4:$B$200,$B5)/1000)</f>
        <v>-1459.743</v>
      </c>
      <c r="Q5" s="11">
        <f>IF(Q$3=0,"",SUMIFS(INDEX(Inputs!$D$4:$AG$200,0,MATCH(Q$2,Inputs!$D$2:$AG$2,0)),Inputs!$B$4:$B$200,$B5)/1000)</f>
        <v>-1121.686</v>
      </c>
      <c r="R5" s="12">
        <f>IF(COUNT(N5:Q5)=4,SUM(N5:Q5),"")</f>
        <v>-5335.728</v>
      </c>
      <c r="S5" s="11">
        <f>IF(S$3=0,"",SUMIFS(INDEX(Inputs!$D$4:$AG$200,0,MATCH(S$2,Inputs!$D$2:$AG$2,0)),Inputs!$B$4:$B$200,$B5)/1000)</f>
        <v>-1641.713</v>
      </c>
      <c r="T5" s="11">
        <f>IF(T$3=0,"",SUMIFS(INDEX(Inputs!$D$4:$AG$200,0,MATCH(T$2,Inputs!$D$2:$AG$2,0)),Inputs!$B$4:$B$200,$B5)/1000)</f>
        <v>-1943.53</v>
      </c>
      <c r="U5" s="11">
        <f>IF(U$3=0,"",SUMIFS(INDEX(Inputs!$D$4:$AG$200,0,MATCH(U$2,Inputs!$D$2:$AG$2,0)),Inputs!$B$4:$B$200,$B5)/1000)</f>
        <v>-2167.358</v>
      </c>
      <c r="V5" s="11">
        <f>IF(V$3=0,"",SUMIFS(INDEX(Inputs!$D$4:$AG$200,0,MATCH(V$2,Inputs!$D$2:$AG$2,0)),Inputs!$B$4:$B$200,$B5)/1000)</f>
        <v>-1632.258</v>
      </c>
      <c r="W5" s="12">
        <f>IF(COUNT(S5:V5)=4,SUM(S5:V5),"")</f>
        <v>-7384.859</v>
      </c>
      <c r="X5" s="11">
        <f>IF(X$3=0,"",SUMIFS(INDEX(Inputs!$D$4:$AG$200,0,MATCH(X$2,Inputs!$D$2:$AG$2,0)),Inputs!$B$4:$B$200,$B5)/1000)</f>
        <v>-1850.292</v>
      </c>
      <c r="Y5" s="11">
        <f>IF(Y$3=0,"",SUMIFS(INDEX(Inputs!$D$4:$AG$200,0,MATCH(Y$2,Inputs!$D$2:$AG$2,0)),Inputs!$B$4:$B$200,$B5)/1000)</f>
        <v>-1930.49</v>
      </c>
      <c r="Z5" s="11">
        <f>IF(Z$3=0,"",SUMIFS(INDEX(Inputs!$D$4:$AG$200,0,MATCH(Z$2,Inputs!$D$2:$AG$2,0)),Inputs!$B$4:$B$200,$B5)/1000)</f>
        <v>-1923.127</v>
      </c>
      <c r="AA5" s="11">
        <f>IF(AA$3=0,"",SUMIFS(INDEX(Inputs!$D$4:$AG$200,0,MATCH(AA$2,Inputs!$D$2:$AG$2,0)),Inputs!$B$4:$B$200,$B5)/1000)</f>
        <v>-1775.8778087</v>
      </c>
      <c r="AB5" s="12">
        <f>IF(COUNT(X5:AA5)=4,SUM(X5:AA5),"")</f>
        <v>-7479.7868087</v>
      </c>
      <c r="AC5" s="11">
        <f>IF(AC$3=0,"",SUMIFS(INDEX(Inputs!$D$4:$AG$200,0,MATCH(AC$2,Inputs!$D$2:$AG$2,0)),Inputs!$B$4:$B$200,$B5)/1000)</f>
        <v>-1792.9548484</v>
      </c>
      <c r="AD5" s="11">
        <f>IF(AD$3=0,"",SUMIFS(INDEX(Inputs!$D$4:$AG$200,0,MATCH(AD$2,Inputs!$D$2:$AG$2,0)),Inputs!$B$4:$B$200,$B5)/1000)</f>
        <v>-1658.1450488</v>
      </c>
      <c r="AE5" s="11" t="str">
        <f>IF(AE$3=0,"",SUMIFS(INDEX(Inputs!$D$4:$AG$200,0,MATCH(AE$2,Inputs!$D$2:$AG$2,0)),Inputs!$B$4:$B$200,$B5)/1000)</f>
        <v/>
      </c>
      <c r="AF5" s="11" t="str">
        <f>IF(AF$3=0,"",SUMIFS(INDEX(Inputs!$D$4:$AG$200,0,MATCH(AF$2,Inputs!$D$2:$AG$2,0)),Inputs!$B$4:$B$200,$B5)/1000)</f>
        <v/>
      </c>
      <c r="AG5" s="12" t="str">
        <f>IF(COUNT(AC5:AF5)=4,SUM(AC5:AF5),"")</f>
        <v/>
      </c>
    </row>
    <row r="6">
      <c r="B6" s="9" t="n">
        <v>3</v>
      </c>
      <c r="C6" s="13" t="inlineStr">
        <is>
          <t>SG&amp;A and Other (cash)</t>
        </is>
      </c>
      <c r="D6" s="11">
        <f>IF(D$3=0,"",SUMIFS(INDEX(Inputs!$D$4:$AG$200,0,MATCH(D$2,Inputs!$D$2:$AG$2,0)),Inputs!$B$4:$B$200,$B6)/1000)</f>
        <v>-156.605</v>
      </c>
      <c r="E6" s="11">
        <f>IF(E$3=0,"",SUMIFS(INDEX(Inputs!$D$4:$AG$200,0,MATCH(E$2,Inputs!$D$2:$AG$2,0)),Inputs!$B$4:$B$200,$B6)/1000)</f>
        <v>-171.698</v>
      </c>
      <c r="F6" s="11">
        <f>IF(F$3=0,"",SUMIFS(INDEX(Inputs!$D$4:$AG$200,0,MATCH(F$2,Inputs!$D$2:$AG$2,0)),Inputs!$B$4:$B$200,$B6)/1000)</f>
        <v>-178.506</v>
      </c>
      <c r="G6" s="11">
        <f>IF(G$3=0,"",SUMIFS(INDEX(Inputs!$D$4:$AG$200,0,MATCH(G$2,Inputs!$D$2:$AG$2,0)),Inputs!$B$4:$B$200,$B6)/1000)</f>
        <v>-213.003</v>
      </c>
      <c r="H6" s="12">
        <f>IF(COUNT(D6:G6)=4,SUM(D6:G6),"")</f>
        <v>-719.812</v>
      </c>
      <c r="I6" s="11">
        <f>IF(I$3=0,"",SUMIFS(INDEX(Inputs!$D$4:$AG$200,0,MATCH(I$2,Inputs!$D$2:$AG$2,0)),Inputs!$B$4:$B$200,$B6)/1000)</f>
        <v>-234.631</v>
      </c>
      <c r="J6" s="11">
        <f>IF(J$3=0,"",SUMIFS(INDEX(Inputs!$D$4:$AG$200,0,MATCH(J$2,Inputs!$D$2:$AG$2,0)),Inputs!$B$4:$B$200,$B6)/1000)</f>
        <v>-257.54</v>
      </c>
      <c r="K6" s="11">
        <f>IF(K$3=0,"",SUMIFS(INDEX(Inputs!$D$4:$AG$200,0,MATCH(K$2,Inputs!$D$2:$AG$2,0)),Inputs!$B$4:$B$200,$B6)/1000)</f>
        <v>-292.522</v>
      </c>
      <c r="L6" s="11">
        <f>IF(L$3=0,"",SUMIFS(INDEX(Inputs!$D$4:$AG$200,0,MATCH(L$2,Inputs!$D$2:$AG$2,0)),Inputs!$B$4:$B$200,$B6)/1000)</f>
        <v>-344.544</v>
      </c>
      <c r="M6" s="12">
        <f>IF(COUNT(I6:L6)=4,SUM(I6:L6),"")</f>
        <v>-1129.237</v>
      </c>
      <c r="N6" s="11">
        <f>IF(N$3=0,"",SUMIFS(INDEX(Inputs!$D$4:$AG$200,0,MATCH(N$2,Inputs!$D$2:$AG$2,0)),Inputs!$B$4:$B$200,$B6)/1000)</f>
        <v>-332.775</v>
      </c>
      <c r="O6" s="11">
        <f>IF(O$3=0,"",SUMIFS(INDEX(Inputs!$D$4:$AG$200,0,MATCH(O$2,Inputs!$D$2:$AG$2,0)),Inputs!$B$4:$B$200,$B6)/1000)</f>
        <v>-329.942</v>
      </c>
      <c r="P6" s="11">
        <f>IF(P$3=0,"",SUMIFS(INDEX(Inputs!$D$4:$AG$200,0,MATCH(P$2,Inputs!$D$2:$AG$2,0)),Inputs!$B$4:$B$200,$B6)/1000)</f>
        <v>-338.551</v>
      </c>
      <c r="Q6" s="11">
        <f>IF(Q$3=0,"",SUMIFS(INDEX(Inputs!$D$4:$AG$200,0,MATCH(Q$2,Inputs!$D$2:$AG$2,0)),Inputs!$B$4:$B$200,$B6)/1000)</f>
        <v>-505.685</v>
      </c>
      <c r="R6" s="12">
        <f>IF(COUNT(N6:Q6)=4,SUM(N6:Q6),"")</f>
        <v>-1506.953</v>
      </c>
      <c r="S6" s="11">
        <f>IF(S$3=0,"",SUMIFS(INDEX(Inputs!$D$4:$AG$200,0,MATCH(S$2,Inputs!$D$2:$AG$2,0)),Inputs!$B$4:$B$200,$B6)/1000)</f>
        <v>-320.432</v>
      </c>
      <c r="T6" s="11">
        <f>IF(T$3=0,"",SUMIFS(INDEX(Inputs!$D$4:$AG$200,0,MATCH(T$2,Inputs!$D$2:$AG$2,0)),Inputs!$B$4:$B$200,$B6)/1000)</f>
        <v>-342.713</v>
      </c>
      <c r="U6" s="11">
        <f>IF(U$3=0,"",SUMIFS(INDEX(Inputs!$D$4:$AG$200,0,MATCH(U$2,Inputs!$D$2:$AG$2,0)),Inputs!$B$4:$B$200,$B6)/1000)</f>
        <v>-361.03</v>
      </c>
      <c r="V6" s="11">
        <f>IF(V$3=0,"",SUMIFS(INDEX(Inputs!$D$4:$AG$200,0,MATCH(V$2,Inputs!$D$2:$AG$2,0)),Inputs!$B$4:$B$200,$B6)/1000)</f>
        <v>-371.618</v>
      </c>
      <c r="W6" s="12">
        <f>IF(COUNT(S6:V6)=4,SUM(S6:V6),"")</f>
        <v>-1395.793</v>
      </c>
      <c r="X6" s="11">
        <f>IF(X$3=0,"",SUMIFS(INDEX(Inputs!$D$4:$AG$200,0,MATCH(X$2,Inputs!$D$2:$AG$2,0)),Inputs!$B$4:$B$200,$B6)/1000)</f>
        <v>-379.61</v>
      </c>
      <c r="Y6" s="11">
        <f>IF(Y$3=0,"",SUMIFS(INDEX(Inputs!$D$4:$AG$200,0,MATCH(Y$2,Inputs!$D$2:$AG$2,0)),Inputs!$B$4:$B$200,$B6)/1000)</f>
        <v>-369.393</v>
      </c>
      <c r="Z6" s="11">
        <f>IF(Z$3=0,"",SUMIFS(INDEX(Inputs!$D$4:$AG$200,0,MATCH(Z$2,Inputs!$D$2:$AG$2,0)),Inputs!$B$4:$B$200,$B6)/1000)</f>
        <v>-364.059</v>
      </c>
      <c r="AA6" s="11">
        <f>IF(AA$3=0,"",SUMIFS(INDEX(Inputs!$D$4:$AG$200,0,MATCH(AA$2,Inputs!$D$2:$AG$2,0)),Inputs!$B$4:$B$200,$B6)/1000)</f>
        <v>-393.0470863</v>
      </c>
      <c r="AB6" s="12">
        <f>IF(COUNT(X6:AA6)=4,SUM(X6:AA6),"")</f>
        <v>-1506.1090863</v>
      </c>
      <c r="AC6" s="11">
        <f>IF(AC$3=0,"",SUMIFS(INDEX(Inputs!$D$4:$AG$200,0,MATCH(AC$2,Inputs!$D$2:$AG$2,0)),Inputs!$B$4:$B$200,$B6)/1000)</f>
        <v>-419.025553162</v>
      </c>
      <c r="AD6" s="11">
        <f>IF(AD$3=0,"",SUMIFS(INDEX(Inputs!$D$4:$AG$200,0,MATCH(AD$2,Inputs!$D$2:$AG$2,0)),Inputs!$B$4:$B$200,$B6)/1000)</f>
        <v>-420.941574688</v>
      </c>
      <c r="AE6" s="11" t="str">
        <f>IF(AE$3=0,"",SUMIFS(INDEX(Inputs!$D$4:$AG$200,0,MATCH(AE$2,Inputs!$D$2:$AG$2,0)),Inputs!$B$4:$B$200,$B6)/1000)</f>
        <v/>
      </c>
      <c r="AF6" s="11" t="str">
        <f>IF(AF$3=0,"",SUMIFS(INDEX(Inputs!$D$4:$AG$200,0,MATCH(AF$2,Inputs!$D$2:$AG$2,0)),Inputs!$B$4:$B$200,$B6)/1000)</f>
        <v/>
      </c>
      <c r="AG6" s="12" t="str">
        <f>IF(COUNT(AC6:AF6)=4,SUM(AC6:AF6),"")</f>
        <v/>
      </c>
    </row>
    <row r="7">
      <c r="B7" s="9" t="n">
        <v>4</v>
      </c>
      <c r="C7" s="13" t="inlineStr">
        <is>
          <t>D&amp;A</t>
        </is>
      </c>
      <c r="D7" s="11">
        <f>IF(D$3=0,"",SUMIFS(INDEX(Inputs!$D$4:$AG$200,0,MATCH(D$2,Inputs!$D$2:$AG$2,0)),Inputs!$B$4:$B$200,$B7)/1000)</f>
        <v>-62.178</v>
      </c>
      <c r="E7" s="11">
        <f>IF(E$3=0,"",SUMIFS(INDEX(Inputs!$D$4:$AG$200,0,MATCH(E$2,Inputs!$D$2:$AG$2,0)),Inputs!$B$4:$B$200,$B7)/1000)</f>
        <v>-72.936</v>
      </c>
      <c r="F7" s="11">
        <f>IF(F$3=0,"",SUMIFS(INDEX(Inputs!$D$4:$AG$200,0,MATCH(F$2,Inputs!$D$2:$AG$2,0)),Inputs!$B$4:$B$200,$B7)/1000)</f>
        <v>-110.706</v>
      </c>
      <c r="G7" s="11">
        <f>IF(G$3=0,"",SUMIFS(INDEX(Inputs!$D$4:$AG$200,0,MATCH(G$2,Inputs!$D$2:$AG$2,0)),Inputs!$B$4:$B$200,$B7)/1000)</f>
        <v>-170.431</v>
      </c>
      <c r="H7" s="12">
        <f>IF(COUNT(D7:G7)=4,SUM(D7:G7),"")</f>
        <v>-416.251</v>
      </c>
      <c r="I7" s="11">
        <f>IF(I$3=0,"",SUMIFS(INDEX(Inputs!$D$4:$AG$200,0,MATCH(I$2,Inputs!$D$2:$AG$2,0)),Inputs!$B$4:$B$200,$B7)/1000)</f>
        <v>-212.836</v>
      </c>
      <c r="J7" s="11">
        <f>IF(J$3=0,"",SUMIFS(INDEX(Inputs!$D$4:$AG$200,0,MATCH(J$2,Inputs!$D$2:$AG$2,0)),Inputs!$B$4:$B$200,$B7)/1000)</f>
        <v>-240.909</v>
      </c>
      <c r="K7" s="11">
        <f>IF(K$3=0,"",SUMIFS(INDEX(Inputs!$D$4:$AG$200,0,MATCH(K$2,Inputs!$D$2:$AG$2,0)),Inputs!$B$4:$B$200,$B7)/1000)</f>
        <v>-300.524</v>
      </c>
      <c r="L7" s="11">
        <f>IF(L$3=0,"",SUMIFS(INDEX(Inputs!$D$4:$AG$200,0,MATCH(L$2,Inputs!$D$2:$AG$2,0)),Inputs!$B$4:$B$200,$B7)/1000)</f>
        <v>-380.942</v>
      </c>
      <c r="M7" s="12">
        <f>IF(COUNT(I7:L7)=4,SUM(I7:L7),"")</f>
        <v>-1135.211</v>
      </c>
      <c r="N7" s="11">
        <f>IF(N$3=0,"",SUMIFS(INDEX(Inputs!$D$4:$AG$200,0,MATCH(N$2,Inputs!$D$2:$AG$2,0)),Inputs!$B$4:$B$200,$B7)/1000)</f>
        <v>-390.033</v>
      </c>
      <c r="O7" s="11">
        <f>IF(O$3=0,"",SUMIFS(INDEX(Inputs!$D$4:$AG$200,0,MATCH(O$2,Inputs!$D$2:$AG$2,0)),Inputs!$B$4:$B$200,$B7)/1000)</f>
        <v>-388.955</v>
      </c>
      <c r="P7" s="11">
        <f>IF(P$3=0,"",SUMIFS(INDEX(Inputs!$D$4:$AG$200,0,MATCH(P$2,Inputs!$D$2:$AG$2,0)),Inputs!$B$4:$B$200,$B7)/1000)</f>
        <v>-412.766</v>
      </c>
      <c r="Q7" s="11">
        <f>IF(Q$3=0,"",SUMIFS(INDEX(Inputs!$D$4:$AG$200,0,MATCH(Q$2,Inputs!$D$2:$AG$2,0)),Inputs!$B$4:$B$200,$B7)/1000)</f>
        <v>-1046.012</v>
      </c>
      <c r="R7" s="12">
        <f>IF(COUNT(N7:Q7)=4,SUM(N7:Q7),"")</f>
        <v>-2237.766</v>
      </c>
      <c r="S7" s="11">
        <f>IF(S$3=0,"",SUMIFS(INDEX(Inputs!$D$4:$AG$200,0,MATCH(S$2,Inputs!$D$2:$AG$2,0)),Inputs!$B$4:$B$200,$B7)/1000)</f>
        <v>-447.855</v>
      </c>
      <c r="T7" s="11">
        <f>IF(T$3=0,"",SUMIFS(INDEX(Inputs!$D$4:$AG$200,0,MATCH(T$2,Inputs!$D$2:$AG$2,0)),Inputs!$B$4:$B$200,$B7)/1000)</f>
        <v>-522.034</v>
      </c>
      <c r="U7" s="11">
        <f>IF(U$3=0,"",SUMIFS(INDEX(Inputs!$D$4:$AG$200,0,MATCH(U$2,Inputs!$D$2:$AG$2,0)),Inputs!$B$4:$B$200,$B7)/1000)</f>
        <v>-551.278</v>
      </c>
      <c r="V7" s="11">
        <f>IF(V$3=0,"",SUMIFS(INDEX(Inputs!$D$4:$AG$200,0,MATCH(V$2,Inputs!$D$2:$AG$2,0)),Inputs!$B$4:$B$200,$B7)/1000)</f>
        <v>-559.351</v>
      </c>
      <c r="W7" s="12">
        <f>IF(COUNT(S7:V7)=4,SUM(S7:V7),"")</f>
        <v>-2080.518</v>
      </c>
      <c r="X7" s="11">
        <f>IF(X$3=0,"",SUMIFS(INDEX(Inputs!$D$4:$AG$200,0,MATCH(X$2,Inputs!$D$2:$AG$2,0)),Inputs!$B$4:$B$200,$B7)/1000)</f>
        <v>-572.374</v>
      </c>
      <c r="Y7" s="11">
        <f>IF(Y$3=0,"",SUMIFS(INDEX(Inputs!$D$4:$AG$200,0,MATCH(Y$2,Inputs!$D$2:$AG$2,0)),Inputs!$B$4:$B$200,$B7)/1000)</f>
        <v>-593.733</v>
      </c>
      <c r="Z7" s="11">
        <f>IF(Z$3=0,"",SUMIFS(INDEX(Inputs!$D$4:$AG$200,0,MATCH(Z$2,Inputs!$D$2:$AG$2,0)),Inputs!$B$4:$B$200,$B7)/1000)</f>
        <v>-624.565</v>
      </c>
      <c r="AA7" s="11">
        <f>IF(AA$3=0,"",SUMIFS(INDEX(Inputs!$D$4:$AG$200,0,MATCH(AA$2,Inputs!$D$2:$AG$2,0)),Inputs!$B$4:$B$200,$B7)/1000)</f>
        <v>-639.3592426</v>
      </c>
      <c r="AB7" s="12">
        <f>IF(COUNT(X7:AA7)=4,SUM(X7:AA7),"")</f>
        <v>-2430.0312426</v>
      </c>
      <c r="AC7" s="11">
        <f>IF(AC$3=0,"",SUMIFS(INDEX(Inputs!$D$4:$AG$200,0,MATCH(AC$2,Inputs!$D$2:$AG$2,0)),Inputs!$B$4:$B$200,$B7)/1000)</f>
        <v>-650.5859214</v>
      </c>
      <c r="AD7" s="11">
        <f>IF(AD$3=0,"",SUMIFS(INDEX(Inputs!$D$4:$AG$200,0,MATCH(AD$2,Inputs!$D$2:$AG$2,0)),Inputs!$B$4:$B$200,$B7)/1000)</f>
        <v>-671.5636214</v>
      </c>
      <c r="AE7" s="11" t="str">
        <f>IF(AE$3=0,"",SUMIFS(INDEX(Inputs!$D$4:$AG$200,0,MATCH(AE$2,Inputs!$D$2:$AG$2,0)),Inputs!$B$4:$B$200,$B7)/1000)</f>
        <v/>
      </c>
      <c r="AF7" s="11" t="str">
        <f>IF(AF$3=0,"",SUMIFS(INDEX(Inputs!$D$4:$AG$200,0,MATCH(AF$2,Inputs!$D$2:$AG$2,0)),Inputs!$B$4:$B$200,$B7)/1000)</f>
        <v/>
      </c>
      <c r="AG7" s="12" t="str">
        <f>IF(COUNT(AC7:AF7)=4,SUM(AC7:AF7),"")</f>
        <v/>
      </c>
    </row>
    <row r="8">
      <c r="B8" s="9" t="n">
        <v>5</v>
      </c>
      <c r="C8" s="14" t="inlineStr">
        <is>
          <t>Interest Expense</t>
        </is>
      </c>
      <c r="D8" s="11">
        <f>IF(D$3=0,"",SUMIFS(INDEX(Inputs!$D$4:$AG$200,0,MATCH(D$2,Inputs!$D$2:$AG$2,0)),Inputs!$B$4:$B$200,$B8)/1000)</f>
        <v>-265.184</v>
      </c>
      <c r="E8" s="11">
        <f>IF(E$3=0,"",SUMIFS(INDEX(Inputs!$D$4:$AG$200,0,MATCH(E$2,Inputs!$D$2:$AG$2,0)),Inputs!$B$4:$B$200,$B8)/1000)</f>
        <v>239.899</v>
      </c>
      <c r="F8" s="11">
        <f>IF(F$3=0,"",SUMIFS(INDEX(Inputs!$D$4:$AG$200,0,MATCH(F$2,Inputs!$D$2:$AG$2,0)),Inputs!$B$4:$B$200,$B8)/1000)</f>
        <v>-342.257</v>
      </c>
      <c r="G8" s="11">
        <f>IF(G$3=0,"",SUMIFS(INDEX(Inputs!$D$4:$AG$200,0,MATCH(G$2,Inputs!$D$2:$AG$2,0)),Inputs!$B$4:$B$200,$B8)/1000)</f>
        <v>-591.177</v>
      </c>
      <c r="H8" s="12">
        <f>IF(COUNT(D8:G8)=4,SUM(D8:G8),"")</f>
        <v>-958.719</v>
      </c>
      <c r="I8" s="11">
        <f>IF(I$3=0,"",SUMIFS(INDEX(Inputs!$D$4:$AG$200,0,MATCH(I$2,Inputs!$D$2:$AG$2,0)),Inputs!$B$4:$B$200,$B8)/1000)</f>
        <v>-394.958</v>
      </c>
      <c r="J8" s="11">
        <f>IF(J$3=0,"",SUMIFS(INDEX(Inputs!$D$4:$AG$200,0,MATCH(J$2,Inputs!$D$2:$AG$2,0)),Inputs!$B$4:$B$200,$B8)/1000)</f>
        <v>-515.803</v>
      </c>
      <c r="K8" s="11">
        <f>IF(K$3=0,"",SUMIFS(INDEX(Inputs!$D$4:$AG$200,0,MATCH(K$2,Inputs!$D$2:$AG$2,0)),Inputs!$B$4:$B$200,$B8)/1000)</f>
        <v>-637.391</v>
      </c>
      <c r="L8" s="11">
        <f>IF(L$3=0,"",SUMIFS(INDEX(Inputs!$D$4:$AG$200,0,MATCH(L$2,Inputs!$D$2:$AG$2,0)),Inputs!$B$4:$B$200,$B8)/1000)</f>
        <v>-662.277</v>
      </c>
      <c r="M8" s="12">
        <f>IF(COUNT(I8:L8)=4,SUM(I8:L8),"")</f>
        <v>-2210.429</v>
      </c>
      <c r="N8" s="11">
        <f>IF(N$3=0,"",SUMIFS(INDEX(Inputs!$D$4:$AG$200,0,MATCH(N$2,Inputs!$D$2:$AG$2,0)),Inputs!$B$4:$B$200,$B8)/1000)</f>
        <v>-615.278</v>
      </c>
      <c r="O8" s="11">
        <f>IF(O$3=0,"",SUMIFS(INDEX(Inputs!$D$4:$AG$200,0,MATCH(O$2,Inputs!$D$2:$AG$2,0)),Inputs!$B$4:$B$200,$B8)/1000)</f>
        <v>-551.559</v>
      </c>
      <c r="P8" s="11">
        <f>IF(P$3=0,"",SUMIFS(INDEX(Inputs!$D$4:$AG$200,0,MATCH(P$2,Inputs!$D$2:$AG$2,0)),Inputs!$B$4:$B$200,$B8)/1000)</f>
        <v>-590.177</v>
      </c>
      <c r="Q8" s="11">
        <f>IF(Q$3=0,"",SUMIFS(INDEX(Inputs!$D$4:$AG$200,0,MATCH(Q$2,Inputs!$D$2:$AG$2,0)),Inputs!$B$4:$B$200,$B8)/1000)</f>
        <v>-614.436</v>
      </c>
      <c r="R8" s="12">
        <f>IF(COUNT(N8:Q8)=4,SUM(N8:Q8),"")</f>
        <v>-2371.45</v>
      </c>
      <c r="S8" s="11">
        <f>IF(S$3=0,"",SUMIFS(INDEX(Inputs!$D$4:$AG$200,0,MATCH(S$2,Inputs!$D$2:$AG$2,0)),Inputs!$B$4:$B$200,$B8)/1000)</f>
        <v>-627.625</v>
      </c>
      <c r="T8" s="11">
        <f>IF(T$3=0,"",SUMIFS(INDEX(Inputs!$D$4:$AG$200,0,MATCH(T$2,Inputs!$D$2:$AG$2,0)),Inputs!$B$4:$B$200,$B8)/1000)</f>
        <v>-662.137</v>
      </c>
      <c r="U8" s="11">
        <f>IF(U$3=0,"",SUMIFS(INDEX(Inputs!$D$4:$AG$200,0,MATCH(U$2,Inputs!$D$2:$AG$2,0)),Inputs!$B$4:$B$200,$B8)/1000)</f>
        <v>-707.297</v>
      </c>
      <c r="V8" s="11">
        <f>IF(V$3=0,"",SUMIFS(INDEX(Inputs!$D$4:$AG$200,0,MATCH(V$2,Inputs!$D$2:$AG$2,0)),Inputs!$B$4:$B$200,$B8)/1000)</f>
        <v>-691.837</v>
      </c>
      <c r="W8" s="12">
        <f>IF(COUNT(S8:V8)=4,SUM(S8:V8),"")</f>
        <v>-2688.896</v>
      </c>
      <c r="X8" s="11">
        <f>IF(X$3=0,"",SUMIFS(INDEX(Inputs!$D$4:$AG$200,0,MATCH(X$2,Inputs!$D$2:$AG$2,0)),Inputs!$B$4:$B$200,$B8)/1000)</f>
        <v>-745.217</v>
      </c>
      <c r="Y8" s="11">
        <f>IF(Y$3=0,"",SUMIFS(INDEX(Inputs!$D$4:$AG$200,0,MATCH(Y$2,Inputs!$D$2:$AG$2,0)),Inputs!$B$4:$B$200,$B8)/1000)</f>
        <v>-792.778</v>
      </c>
      <c r="Z8" s="11">
        <f>IF(Z$3=0,"",SUMIFS(INDEX(Inputs!$D$4:$AG$200,0,MATCH(Z$2,Inputs!$D$2:$AG$2,0)),Inputs!$B$4:$B$200,$B8)/1000)</f>
        <v>-895.889</v>
      </c>
      <c r="AA8" s="11">
        <f>IF(AA$3=0,"",SUMIFS(INDEX(Inputs!$D$4:$AG$200,0,MATCH(AA$2,Inputs!$D$2:$AG$2,0)),Inputs!$B$4:$B$200,$B8)/1000)</f>
        <v>-1154.5136507</v>
      </c>
      <c r="AB8" s="12">
        <f>IF(COUNT(X8:AA8)=4,SUM(X8:AA8),"")</f>
        <v>-3588.3976507</v>
      </c>
      <c r="AC8" s="11">
        <f>IF(AC$3=0,"",SUMIFS(INDEX(Inputs!$D$4:$AG$200,0,MATCH(AC$2,Inputs!$D$2:$AG$2,0)),Inputs!$B$4:$B$200,$B8)/1000)</f>
        <v>-902.5778591</v>
      </c>
      <c r="AD8" s="11">
        <f>IF(AD$3=0,"",SUMIFS(INDEX(Inputs!$D$4:$AG$200,0,MATCH(AD$2,Inputs!$D$2:$AG$2,0)),Inputs!$B$4:$B$200,$B8)/1000)</f>
        <v>-1000.7705251</v>
      </c>
      <c r="AE8" s="11" t="str">
        <f>IF(AE$3=0,"",SUMIFS(INDEX(Inputs!$D$4:$AG$200,0,MATCH(AE$2,Inputs!$D$2:$AG$2,0)),Inputs!$B$4:$B$200,$B8)/1000)</f>
        <v/>
      </c>
      <c r="AF8" s="11" t="str">
        <f>IF(AF$3=0,"",SUMIFS(INDEX(Inputs!$D$4:$AG$200,0,MATCH(AF$2,Inputs!$D$2:$AG$2,0)),Inputs!$B$4:$B$200,$B8)/1000)</f>
        <v/>
      </c>
      <c r="AG8" s="12" t="str">
        <f>IF(COUNT(AC8:AF8)=4,SUM(AC8:AF8),"")</f>
        <v/>
      </c>
    </row>
    <row r="9">
      <c r="B9" s="9" t="n">
        <v>6</v>
      </c>
      <c r="C9" s="14" t="inlineStr">
        <is>
          <t>Nonoperating Income / (Loss)</t>
        </is>
      </c>
      <c r="D9" s="11">
        <f>IF(D$3=0,"",SUMIFS(INDEX(Inputs!$D$4:$AG$200,0,MATCH(D$2,Inputs!$D$2:$AG$2,0)),Inputs!$B$4:$B$200,$B9)/1000)</f>
        <v>188.526</v>
      </c>
      <c r="E9" s="11">
        <f>IF(E$3=0,"",SUMIFS(INDEX(Inputs!$D$4:$AG$200,0,MATCH(E$2,Inputs!$D$2:$AG$2,0)),Inputs!$B$4:$B$200,$B9)/1000)</f>
        <v>-307.323</v>
      </c>
      <c r="F9" s="11">
        <f>IF(F$3=0,"",SUMIFS(INDEX(Inputs!$D$4:$AG$200,0,MATCH(F$2,Inputs!$D$2:$AG$2,0)),Inputs!$B$4:$B$200,$B9)/1000)</f>
        <v>209.511</v>
      </c>
      <c r="G9" s="11">
        <f>IF(G$3=0,"",SUMIFS(INDEX(Inputs!$D$4:$AG$200,0,MATCH(G$2,Inputs!$D$2:$AG$2,0)),Inputs!$B$4:$B$200,$B9)/1000)</f>
        <v>383.039</v>
      </c>
      <c r="H9" s="12">
        <f>IF(COUNT(D9:G9)=4,SUM(D9:G9),"")</f>
        <v>473.753</v>
      </c>
      <c r="I9" s="11">
        <f>IF(I$3=0,"",SUMIFS(INDEX(Inputs!$D$4:$AG$200,0,MATCH(I$2,Inputs!$D$2:$AG$2,0)),Inputs!$B$4:$B$200,$B9)/1000)</f>
        <v>107.671</v>
      </c>
      <c r="J9" s="11">
        <f>IF(J$3=0,"",SUMIFS(INDEX(Inputs!$D$4:$AG$200,0,MATCH(J$2,Inputs!$D$2:$AG$2,0)),Inputs!$B$4:$B$200,$B9)/1000)</f>
        <v>116.444</v>
      </c>
      <c r="K9" s="11">
        <f>IF(K$3=0,"",SUMIFS(INDEX(Inputs!$D$4:$AG$200,0,MATCH(K$2,Inputs!$D$2:$AG$2,0)),Inputs!$B$4:$B$200,$B9)/1000)</f>
        <v>123.724</v>
      </c>
      <c r="L9" s="11">
        <f>IF(L$3=0,"",SUMIFS(INDEX(Inputs!$D$4:$AG$200,0,MATCH(L$2,Inputs!$D$2:$AG$2,0)),Inputs!$B$4:$B$200,$B9)/1000)</f>
        <v>161.251</v>
      </c>
      <c r="M9" s="12">
        <f>IF(COUNT(I9:L9)=4,SUM(I9:L9),"")</f>
        <v>509.09</v>
      </c>
      <c r="N9" s="11">
        <f>IF(N$3=0,"",SUMIFS(INDEX(Inputs!$D$4:$AG$200,0,MATCH(N$2,Inputs!$D$2:$AG$2,0)),Inputs!$B$4:$B$200,$B9)/1000)</f>
        <v>140.596</v>
      </c>
      <c r="O9" s="11">
        <f>IF(O$3=0,"",SUMIFS(INDEX(Inputs!$D$4:$AG$200,0,MATCH(O$2,Inputs!$D$2:$AG$2,0)),Inputs!$B$4:$B$200,$B9)/1000)</f>
        <v>25.985</v>
      </c>
      <c r="P9" s="11">
        <f>IF(P$3=0,"",SUMIFS(INDEX(Inputs!$D$4:$AG$200,0,MATCH(P$2,Inputs!$D$2:$AG$2,0)),Inputs!$B$4:$B$200,$B9)/1000)</f>
        <v>47.438</v>
      </c>
      <c r="Q9" s="11">
        <f>IF(Q$3=0,"",SUMIFS(INDEX(Inputs!$D$4:$AG$200,0,MATCH(Q$2,Inputs!$D$2:$AG$2,0)),Inputs!$B$4:$B$200,$B9)/1000)</f>
        <v>59.055</v>
      </c>
      <c r="R9" s="12">
        <f>IF(COUNT(N9:Q9)=4,SUM(N9:Q9),"")</f>
        <v>273.074</v>
      </c>
      <c r="S9" s="11">
        <f>IF(S$3=0,"",SUMIFS(INDEX(Inputs!$D$4:$AG$200,0,MATCH(S$2,Inputs!$D$2:$AG$2,0)),Inputs!$B$4:$B$200,$B9)/1000)</f>
        <v>88.865</v>
      </c>
      <c r="T9" s="11">
        <f>IF(T$3=0,"",SUMIFS(INDEX(Inputs!$D$4:$AG$200,0,MATCH(T$2,Inputs!$D$2:$AG$2,0)),Inputs!$B$4:$B$200,$B9)/1000)</f>
        <v>91.414</v>
      </c>
      <c r="U9" s="11">
        <f>IF(U$3=0,"",SUMIFS(INDEX(Inputs!$D$4:$AG$200,0,MATCH(U$2,Inputs!$D$2:$AG$2,0)),Inputs!$B$4:$B$200,$B9)/1000)</f>
        <v>112.895</v>
      </c>
      <c r="V9" s="11">
        <f>IF(V$3=0,"",SUMIFS(INDEX(Inputs!$D$4:$AG$200,0,MATCH(V$2,Inputs!$D$2:$AG$2,0)),Inputs!$B$4:$B$200,$B9)/1000)</f>
        <v>85.172</v>
      </c>
      <c r="W9" s="12">
        <f>IF(COUNT(S9:V9)=4,SUM(S9:V9),"")</f>
        <v>378.346</v>
      </c>
      <c r="X9" s="11">
        <f>IF(X$3=0,"",SUMIFS(INDEX(Inputs!$D$4:$AG$200,0,MATCH(X$2,Inputs!$D$2:$AG$2,0)),Inputs!$B$4:$B$200,$B9)/1000)</f>
        <v>90.007</v>
      </c>
      <c r="Y9" s="11">
        <f>IF(Y$3=0,"",SUMIFS(INDEX(Inputs!$D$4:$AG$200,0,MATCH(Y$2,Inputs!$D$2:$AG$2,0)),Inputs!$B$4:$B$200,$B9)/1000)</f>
        <v>98.699</v>
      </c>
      <c r="Z9" s="11">
        <f>IF(Z$3=0,"",SUMIFS(INDEX(Inputs!$D$4:$AG$200,0,MATCH(Z$2,Inputs!$D$2:$AG$2,0)),Inputs!$B$4:$B$200,$B9)/1000)</f>
        <v>100.571</v>
      </c>
      <c r="AA9" s="11">
        <f>IF(AA$3=0,"",SUMIFS(INDEX(Inputs!$D$4:$AG$200,0,MATCH(AA$2,Inputs!$D$2:$AG$2,0)),Inputs!$B$4:$B$200,$B9)/1000)</f>
        <v>390.591907106</v>
      </c>
      <c r="AB9" s="12">
        <f>IF(COUNT(X9:AA9)=4,SUM(X9:AA9),"")</f>
        <v>679.868907106</v>
      </c>
      <c r="AC9" s="11">
        <f>IF(AC$3=0,"",SUMIFS(INDEX(Inputs!$D$4:$AG$200,0,MATCH(AC$2,Inputs!$D$2:$AG$2,0)),Inputs!$B$4:$B$200,$B9)/1000)</f>
        <v>148.7954076</v>
      </c>
      <c r="AD9" s="11">
        <f>IF(AD$3=0,"",SUMIFS(INDEX(Inputs!$D$4:$AG$200,0,MATCH(AD$2,Inputs!$D$2:$AG$2,0)),Inputs!$B$4:$B$200,$B9)/1000)</f>
        <v>155.1356947</v>
      </c>
      <c r="AE9" s="11" t="str">
        <f>IF(AE$3=0,"",SUMIFS(INDEX(Inputs!$D$4:$AG$200,0,MATCH(AE$2,Inputs!$D$2:$AG$2,0)),Inputs!$B$4:$B$200,$B9)/1000)</f>
        <v/>
      </c>
      <c r="AF9" s="11" t="str">
        <f>IF(AF$3=0,"",SUMIFS(INDEX(Inputs!$D$4:$AG$200,0,MATCH(AF$2,Inputs!$D$2:$AG$2,0)),Inputs!$B$4:$B$200,$B9)/1000)</f>
        <v/>
      </c>
      <c r="AG9" s="12" t="str">
        <f>IF(COUNT(AC9:AF9)=4,SUM(AC9:AF9),"")</f>
        <v/>
      </c>
    </row>
    <row r="10">
      <c r="B10" s="9" t="n">
        <v>7</v>
      </c>
      <c r="C10" s="14" t="inlineStr">
        <is>
          <t>Taxes</t>
        </is>
      </c>
      <c r="D10" s="11">
        <f>IF(D$3=0,"",SUMIFS(INDEX(Inputs!$D$4:$AG$200,0,MATCH(D$2,Inputs!$D$2:$AG$2,0)),Inputs!$B$4:$B$200,$B10)/1000)</f>
        <v>-56.185</v>
      </c>
      <c r="E10" s="11">
        <f>IF(E$3=0,"",SUMIFS(INDEX(Inputs!$D$4:$AG$200,0,MATCH(E$2,Inputs!$D$2:$AG$2,0)),Inputs!$B$4:$B$200,$B10)/1000)</f>
        <v>-74.183</v>
      </c>
      <c r="F10" s="11">
        <f>IF(F$3=0,"",SUMIFS(INDEX(Inputs!$D$4:$AG$200,0,MATCH(F$2,Inputs!$D$2:$AG$2,0)),Inputs!$B$4:$B$200,$B10)/1000)</f>
        <v>-110.575</v>
      </c>
      <c r="G10" s="11">
        <f>IF(G$3=0,"",SUMIFS(INDEX(Inputs!$D$4:$AG$200,0,MATCH(G$2,Inputs!$D$2:$AG$2,0)),Inputs!$B$4:$B$200,$B10)/1000)</f>
        <v>-121.387</v>
      </c>
      <c r="H10" s="12">
        <f>IF(COUNT(D10:G10)=4,SUM(D10:G10),"")</f>
        <v>-362.33</v>
      </c>
      <c r="I10" s="11">
        <f>IF(I$3=0,"",SUMIFS(INDEX(Inputs!$D$4:$AG$200,0,MATCH(I$2,Inputs!$D$2:$AG$2,0)),Inputs!$B$4:$B$200,$B10)/1000)</f>
        <v>-104.904</v>
      </c>
      <c r="J10" s="11">
        <f>IF(J$3=0,"",SUMIFS(INDEX(Inputs!$D$4:$AG$200,0,MATCH(J$2,Inputs!$D$2:$AG$2,0)),Inputs!$B$4:$B$200,$B10)/1000)</f>
        <v>-78.228</v>
      </c>
      <c r="K10" s="11">
        <f>IF(K$3=0,"",SUMIFS(INDEX(Inputs!$D$4:$AG$200,0,MATCH(K$2,Inputs!$D$2:$AG$2,0)),Inputs!$B$4:$B$200,$B10)/1000)</f>
        <v>-17.428</v>
      </c>
      <c r="L10" s="11">
        <f>IF(L$3=0,"",SUMIFS(INDEX(Inputs!$D$4:$AG$200,0,MATCH(L$2,Inputs!$D$2:$AG$2,0)),Inputs!$B$4:$B$200,$B10)/1000)</f>
        <v>41.556</v>
      </c>
      <c r="M10" s="12">
        <f>IF(COUNT(I10:L10)=4,SUM(I10:L10),"")</f>
        <v>-159.004</v>
      </c>
      <c r="N10" s="11">
        <f>IF(N$3=0,"",SUMIFS(INDEX(Inputs!$D$4:$AG$200,0,MATCH(N$2,Inputs!$D$2:$AG$2,0)),Inputs!$B$4:$B$200,$B10)/1000)</f>
        <v>10.417</v>
      </c>
      <c r="O10" s="11">
        <f>IF(O$3=0,"",SUMIFS(INDEX(Inputs!$D$4:$AG$200,0,MATCH(O$2,Inputs!$D$2:$AG$2,0)),Inputs!$B$4:$B$200,$B10)/1000)</f>
        <v>6.673</v>
      </c>
      <c r="P10" s="11">
        <f>IF(P$3=0,"",SUMIFS(INDEX(Inputs!$D$4:$AG$200,0,MATCH(P$2,Inputs!$D$2:$AG$2,0)),Inputs!$B$4:$B$200,$B10)/1000)</f>
        <v>21.858</v>
      </c>
      <c r="Q10" s="11">
        <f>IF(Q$3=0,"",SUMIFS(INDEX(Inputs!$D$4:$AG$200,0,MATCH(Q$2,Inputs!$D$2:$AG$2,0)),Inputs!$B$4:$B$200,$B10)/1000)</f>
        <v>147.011</v>
      </c>
      <c r="R10" s="12">
        <f>IF(COUNT(N10:Q10)=4,SUM(N10:Q10),"")</f>
        <v>185.959</v>
      </c>
      <c r="S10" s="11">
        <f>IF(S$3=0,"",SUMIFS(INDEX(Inputs!$D$4:$AG$200,0,MATCH(S$2,Inputs!$D$2:$AG$2,0)),Inputs!$B$4:$B$200,$B10)/1000)</f>
        <v>-24.287</v>
      </c>
      <c r="T10" s="11">
        <f>IF(T$3=0,"",SUMIFS(INDEX(Inputs!$D$4:$AG$200,0,MATCH(T$2,Inputs!$D$2:$AG$2,0)),Inputs!$B$4:$B$200,$B10)/1000)</f>
        <v>-14.056</v>
      </c>
      <c r="U10" s="11">
        <f>IF(U$3=0,"",SUMIFS(INDEX(Inputs!$D$4:$AG$200,0,MATCH(U$2,Inputs!$D$2:$AG$2,0)),Inputs!$B$4:$B$200,$B10)/1000)</f>
        <v>-23.602</v>
      </c>
      <c r="V10" s="11">
        <f>IF(V$3=0,"",SUMIFS(INDEX(Inputs!$D$4:$AG$200,0,MATCH(V$2,Inputs!$D$2:$AG$2,0)),Inputs!$B$4:$B$200,$B10)/1000)</f>
        <v>-16.094</v>
      </c>
      <c r="W10" s="12">
        <f>IF(COUNT(S10:V10)=4,SUM(S10:V10),"")</f>
        <v>-78.039</v>
      </c>
      <c r="X10" s="11">
        <f>IF(X$3=0,"",SUMIFS(INDEX(Inputs!$D$4:$AG$200,0,MATCH(X$2,Inputs!$D$2:$AG$2,0)),Inputs!$B$4:$B$200,$B10)/1000)</f>
        <v>-32.277</v>
      </c>
      <c r="Y10" s="11">
        <f>IF(Y$3=0,"",SUMIFS(INDEX(Inputs!$D$4:$AG$200,0,MATCH(Y$2,Inputs!$D$2:$AG$2,0)),Inputs!$B$4:$B$200,$B10)/1000)</f>
        <v>-23.716</v>
      </c>
      <c r="Z10" s="11">
        <f>IF(Z$3=0,"",SUMIFS(INDEX(Inputs!$D$4:$AG$200,0,MATCH(Z$2,Inputs!$D$2:$AG$2,0)),Inputs!$B$4:$B$200,$B10)/1000)</f>
        <v>11.181</v>
      </c>
      <c r="AA10" s="11">
        <f>IF(AA$3=0,"",SUMIFS(INDEX(Inputs!$D$4:$AG$200,0,MATCH(AA$2,Inputs!$D$2:$AG$2,0)),Inputs!$B$4:$B$200,$B10)/1000)</f>
        <v>15.574833227</v>
      </c>
      <c r="AB10" s="12">
        <f>IF(COUNT(X10:AA10)=4,SUM(X10:AA10),"")</f>
        <v>-29.237166773</v>
      </c>
      <c r="AC10" s="11">
        <f>IF(AC$3=0,"",SUMIFS(INDEX(Inputs!$D$4:$AG$200,0,MATCH(AC$2,Inputs!$D$2:$AG$2,0)),Inputs!$B$4:$B$200,$B10)/1000)</f>
        <v>-39.782999399</v>
      </c>
      <c r="AD10" s="11">
        <f>IF(AD$3=0,"",SUMIFS(INDEX(Inputs!$D$4:$AG$200,0,MATCH(AD$2,Inputs!$D$2:$AG$2,0)),Inputs!$B$4:$B$200,$B10)/1000)</f>
        <v>-33.895472323</v>
      </c>
      <c r="AE10" s="11" t="str">
        <f>IF(AE$3=0,"",SUMIFS(INDEX(Inputs!$D$4:$AG$200,0,MATCH(AE$2,Inputs!$D$2:$AG$2,0)),Inputs!$B$4:$B$200,$B10)/1000)</f>
        <v/>
      </c>
      <c r="AF10" s="11" t="str">
        <f>IF(AF$3=0,"",SUMIFS(INDEX(Inputs!$D$4:$AG$200,0,MATCH(AF$2,Inputs!$D$2:$AG$2,0)),Inputs!$B$4:$B$200,$B10)/1000)</f>
        <v/>
      </c>
      <c r="AG10" s="12" t="str">
        <f>IF(COUNT(AC10:AF10)=4,SUM(AC10:AF10),"")</f>
        <v/>
      </c>
    </row>
    <row r="11">
      <c r="B11" s="9" t="n">
        <v>8</v>
      </c>
      <c r="C11" s="14" t="inlineStr">
        <is>
          <t>Equity in Income of Affiliates, after tax (enter as +)</t>
        </is>
      </c>
      <c r="D11" s="11">
        <f>IF(D$3=0,"",SUMIFS(INDEX(Inputs!$D$4:$AG$200,0,MATCH(D$2,Inputs!$D$2:$AG$2,0)),Inputs!$B$4:$B$200,$B11)/1000)</f>
        <v>0</v>
      </c>
      <c r="E11" s="11">
        <f>IF(E$3=0,"",SUMIFS(INDEX(Inputs!$D$4:$AG$200,0,MATCH(E$2,Inputs!$D$2:$AG$2,0)),Inputs!$B$4:$B$200,$B11)/1000)</f>
        <v>0</v>
      </c>
      <c r="F11" s="11">
        <f>IF(F$3=0,"",SUMIFS(INDEX(Inputs!$D$4:$AG$200,0,MATCH(F$2,Inputs!$D$2:$AG$2,0)),Inputs!$B$4:$B$200,$B11)/1000)</f>
        <v>0</v>
      </c>
      <c r="G11" s="11">
        <f>IF(G$3=0,"",SUMIFS(INDEX(Inputs!$D$4:$AG$200,0,MATCH(G$2,Inputs!$D$2:$AG$2,0)),Inputs!$B$4:$B$200,$B11)/1000)</f>
        <v>0</v>
      </c>
      <c r="H11" s="12">
        <f>IF(COUNT(D11:G11)=4,SUM(D11:G11),"")</f>
        <v>0</v>
      </c>
      <c r="I11" s="11">
        <f>IF(I$3=0,"",SUMIFS(INDEX(Inputs!$D$4:$AG$200,0,MATCH(I$2,Inputs!$D$2:$AG$2,0)),Inputs!$B$4:$B$200,$B11)/1000)</f>
        <v>0</v>
      </c>
      <c r="J11" s="11">
        <f>IF(J$3=0,"",SUMIFS(INDEX(Inputs!$D$4:$AG$200,0,MATCH(J$2,Inputs!$D$2:$AG$2,0)),Inputs!$B$4:$B$200,$B11)/1000)</f>
        <v>0</v>
      </c>
      <c r="K11" s="11">
        <f>IF(K$3=0,"",SUMIFS(INDEX(Inputs!$D$4:$AG$200,0,MATCH(K$2,Inputs!$D$2:$AG$2,0)),Inputs!$B$4:$B$200,$B11)/1000)</f>
        <v>0</v>
      </c>
      <c r="L11" s="11">
        <f>IF(L$3=0,"",SUMIFS(INDEX(Inputs!$D$4:$AG$200,0,MATCH(L$2,Inputs!$D$2:$AG$2,0)),Inputs!$B$4:$B$200,$B11)/1000)</f>
        <v>0</v>
      </c>
      <c r="M11" s="12">
        <f>IF(COUNT(I11:L11)=4,SUM(I11:L11),"")</f>
        <v>0</v>
      </c>
      <c r="N11" s="11">
        <f>IF(N$3=0,"",SUMIFS(INDEX(Inputs!$D$4:$AG$200,0,MATCH(N$2,Inputs!$D$2:$AG$2,0)),Inputs!$B$4:$B$200,$B11)/1000)</f>
        <v>0</v>
      </c>
      <c r="O11" s="11">
        <f>IF(O$3=0,"",SUMIFS(INDEX(Inputs!$D$4:$AG$200,0,MATCH(O$2,Inputs!$D$2:$AG$2,0)),Inputs!$B$4:$B$200,$B11)/1000)</f>
        <v>0</v>
      </c>
      <c r="P11" s="11">
        <f>IF(P$3=0,"",SUMIFS(INDEX(Inputs!$D$4:$AG$200,0,MATCH(P$2,Inputs!$D$2:$AG$2,0)),Inputs!$B$4:$B$200,$B11)/1000)</f>
        <v>0</v>
      </c>
      <c r="Q11" s="11">
        <f>IF(Q$3=0,"",SUMIFS(INDEX(Inputs!$D$4:$AG$200,0,MATCH(Q$2,Inputs!$D$2:$AG$2,0)),Inputs!$B$4:$B$200,$B11)/1000)</f>
        <v>0</v>
      </c>
      <c r="R11" s="12">
        <f>IF(COUNT(N11:Q11)=4,SUM(N11:Q11),"")</f>
        <v>0</v>
      </c>
      <c r="S11" s="11">
        <f>IF(S$3=0,"",SUMIFS(INDEX(Inputs!$D$4:$AG$200,0,MATCH(S$2,Inputs!$D$2:$AG$2,0)),Inputs!$B$4:$B$200,$B11)/1000)</f>
        <v>0</v>
      </c>
      <c r="T11" s="11">
        <f>IF(T$3=0,"",SUMIFS(INDEX(Inputs!$D$4:$AG$200,0,MATCH(T$2,Inputs!$D$2:$AG$2,0)),Inputs!$B$4:$B$200,$B11)/1000)</f>
        <v>0</v>
      </c>
      <c r="U11" s="11">
        <f>IF(U$3=0,"",SUMIFS(INDEX(Inputs!$D$4:$AG$200,0,MATCH(U$2,Inputs!$D$2:$AG$2,0)),Inputs!$B$4:$B$200,$B11)/1000)</f>
        <v>0</v>
      </c>
      <c r="V11" s="11">
        <f>IF(V$3=0,"",SUMIFS(INDEX(Inputs!$D$4:$AG$200,0,MATCH(V$2,Inputs!$D$2:$AG$2,0)),Inputs!$B$4:$B$200,$B11)/1000)</f>
        <v>0</v>
      </c>
      <c r="W11" s="12">
        <f>IF(COUNT(S11:V11)=4,SUM(S11:V11),"")</f>
        <v>0</v>
      </c>
      <c r="X11" s="11">
        <f>IF(X$3=0,"",SUMIFS(INDEX(Inputs!$D$4:$AG$200,0,MATCH(X$2,Inputs!$D$2:$AG$2,0)),Inputs!$B$4:$B$200,$B11)/1000)</f>
        <v>0</v>
      </c>
      <c r="Y11" s="11">
        <f>IF(Y$3=0,"",SUMIFS(INDEX(Inputs!$D$4:$AG$200,0,MATCH(Y$2,Inputs!$D$2:$AG$2,0)),Inputs!$B$4:$B$200,$B11)/1000)</f>
        <v>0</v>
      </c>
      <c r="Z11" s="11">
        <f>IF(Z$3=0,"",SUMIFS(INDEX(Inputs!$D$4:$AG$200,0,MATCH(Z$2,Inputs!$D$2:$AG$2,0)),Inputs!$B$4:$B$200,$B11)/1000)</f>
        <v>0</v>
      </c>
      <c r="AA11" s="11">
        <f>IF(AA$3=0,"",SUMIFS(INDEX(Inputs!$D$4:$AG$200,0,MATCH(AA$2,Inputs!$D$2:$AG$2,0)),Inputs!$B$4:$B$200,$B11)/1000)</f>
        <v>0</v>
      </c>
      <c r="AB11" s="12">
        <f>IF(COUNT(X11:AA11)=4,SUM(X11:AA11),"")</f>
        <v>0</v>
      </c>
      <c r="AC11" s="11">
        <f>IF(AC$3=0,"",SUMIFS(INDEX(Inputs!$D$4:$AG$200,0,MATCH(AC$2,Inputs!$D$2:$AG$2,0)),Inputs!$B$4:$B$200,$B11)/1000)</f>
        <v>0</v>
      </c>
      <c r="AD11" s="11">
        <f>IF(AD$3=0,"",SUMIFS(INDEX(Inputs!$D$4:$AG$200,0,MATCH(AD$2,Inputs!$D$2:$AG$2,0)),Inputs!$B$4:$B$200,$B11)/1000)</f>
        <v>0</v>
      </c>
      <c r="AE11" s="11" t="str">
        <f>IF(AE$3=0,"",SUMIFS(INDEX(Inputs!$D$4:$AG$200,0,MATCH(AE$2,Inputs!$D$2:$AG$2,0)),Inputs!$B$4:$B$200,$B11)/1000)</f>
        <v/>
      </c>
      <c r="AF11" s="11" t="str">
        <f>IF(AF$3=0,"",SUMIFS(INDEX(Inputs!$D$4:$AG$200,0,MATCH(AF$2,Inputs!$D$2:$AG$2,0)),Inputs!$B$4:$B$200,$B11)/1000)</f>
        <v/>
      </c>
      <c r="AG11" s="12" t="str">
        <f>IF(COUNT(AC11:AF11)=4,SUM(AC11:AF11),"")</f>
        <v/>
      </c>
    </row>
    <row r="12">
      <c r="B12" s="9" t="n">
        <v>9</v>
      </c>
      <c r="C12" s="14" t="inlineStr">
        <is>
          <t>Minority Interest Expense, after tax (enter as - )</t>
        </is>
      </c>
      <c r="D12" s="11">
        <f>IF(D$3=0,"",SUMIFS(INDEX(Inputs!$D$4:$AG$200,0,MATCH(D$2,Inputs!$D$2:$AG$2,0)),Inputs!$B$4:$B$200,$B12)/1000)</f>
        <v>0</v>
      </c>
      <c r="E12" s="11">
        <f>IF(E$3=0,"",SUMIFS(INDEX(Inputs!$D$4:$AG$200,0,MATCH(E$2,Inputs!$D$2:$AG$2,0)),Inputs!$B$4:$B$200,$B12)/1000)</f>
        <v>0</v>
      </c>
      <c r="F12" s="11">
        <f>IF(F$3=0,"",SUMIFS(INDEX(Inputs!$D$4:$AG$200,0,MATCH(F$2,Inputs!$D$2:$AG$2,0)),Inputs!$B$4:$B$200,$B12)/1000)</f>
        <v>0</v>
      </c>
      <c r="G12" s="11">
        <f>IF(G$3=0,"",SUMIFS(INDEX(Inputs!$D$4:$AG$200,0,MATCH(G$2,Inputs!$D$2:$AG$2,0)),Inputs!$B$4:$B$200,$B12)/1000)</f>
        <v>0</v>
      </c>
      <c r="H12" s="12">
        <f>IF(COUNT(D12:G12)=4,SUM(D12:G12),"")</f>
        <v>0</v>
      </c>
      <c r="I12" s="11">
        <f>IF(I$3=0,"",SUMIFS(INDEX(Inputs!$D$4:$AG$200,0,MATCH(I$2,Inputs!$D$2:$AG$2,0)),Inputs!$B$4:$B$200,$B12)/1000)</f>
        <v>0</v>
      </c>
      <c r="J12" s="11">
        <f>IF(J$3=0,"",SUMIFS(INDEX(Inputs!$D$4:$AG$200,0,MATCH(J$2,Inputs!$D$2:$AG$2,0)),Inputs!$B$4:$B$200,$B12)/1000)</f>
        <v>0</v>
      </c>
      <c r="K12" s="11">
        <f>IF(K$3=0,"",SUMIFS(INDEX(Inputs!$D$4:$AG$200,0,MATCH(K$2,Inputs!$D$2:$AG$2,0)),Inputs!$B$4:$B$200,$B12)/1000)</f>
        <v>0</v>
      </c>
      <c r="L12" s="11">
        <f>IF(L$3=0,"",SUMIFS(INDEX(Inputs!$D$4:$AG$200,0,MATCH(L$2,Inputs!$D$2:$AG$2,0)),Inputs!$B$4:$B$200,$B12)/1000)</f>
        <v>0</v>
      </c>
      <c r="M12" s="12">
        <f>IF(COUNT(I12:L12)=4,SUM(I12:L12),"")</f>
        <v>0</v>
      </c>
      <c r="N12" s="11">
        <f>IF(N$3=0,"",SUMIFS(INDEX(Inputs!$D$4:$AG$200,0,MATCH(N$2,Inputs!$D$2:$AG$2,0)),Inputs!$B$4:$B$200,$B12)/1000)</f>
        <v>0</v>
      </c>
      <c r="O12" s="11">
        <f>IF(O$3=0,"",SUMIFS(INDEX(Inputs!$D$4:$AG$200,0,MATCH(O$2,Inputs!$D$2:$AG$2,0)),Inputs!$B$4:$B$200,$B12)/1000)</f>
        <v>0</v>
      </c>
      <c r="P12" s="11">
        <f>IF(P$3=0,"",SUMIFS(INDEX(Inputs!$D$4:$AG$200,0,MATCH(P$2,Inputs!$D$2:$AG$2,0)),Inputs!$B$4:$B$200,$B12)/1000)</f>
        <v>0</v>
      </c>
      <c r="Q12" s="11">
        <f>IF(Q$3=0,"",SUMIFS(INDEX(Inputs!$D$4:$AG$200,0,MATCH(Q$2,Inputs!$D$2:$AG$2,0)),Inputs!$B$4:$B$200,$B12)/1000)</f>
        <v>0</v>
      </c>
      <c r="R12" s="12">
        <f>IF(COUNT(N12:Q12)=4,SUM(N12:Q12),"")</f>
        <v>0</v>
      </c>
      <c r="S12" s="11">
        <f>IF(S$3=0,"",SUMIFS(INDEX(Inputs!$D$4:$AG$200,0,MATCH(S$2,Inputs!$D$2:$AG$2,0)),Inputs!$B$4:$B$200,$B12)/1000)</f>
        <v>0</v>
      </c>
      <c r="T12" s="11">
        <f>IF(T$3=0,"",SUMIFS(INDEX(Inputs!$D$4:$AG$200,0,MATCH(T$2,Inputs!$D$2:$AG$2,0)),Inputs!$B$4:$B$200,$B12)/1000)</f>
        <v>0</v>
      </c>
      <c r="U12" s="11">
        <f>IF(U$3=0,"",SUMIFS(INDEX(Inputs!$D$4:$AG$200,0,MATCH(U$2,Inputs!$D$2:$AG$2,0)),Inputs!$B$4:$B$200,$B12)/1000)</f>
        <v>0</v>
      </c>
      <c r="V12" s="11">
        <f>IF(V$3=0,"",SUMIFS(INDEX(Inputs!$D$4:$AG$200,0,MATCH(V$2,Inputs!$D$2:$AG$2,0)),Inputs!$B$4:$B$200,$B12)/1000)</f>
        <v>0</v>
      </c>
      <c r="W12" s="12">
        <f>IF(COUNT(S12:V12)=4,SUM(S12:V12),"")</f>
        <v>0</v>
      </c>
      <c r="X12" s="11">
        <f>IF(X$3=0,"",SUMIFS(INDEX(Inputs!$D$4:$AG$200,0,MATCH(X$2,Inputs!$D$2:$AG$2,0)),Inputs!$B$4:$B$200,$B12)/1000)</f>
        <v>0</v>
      </c>
      <c r="Y12" s="11">
        <f>IF(Y$3=0,"",SUMIFS(INDEX(Inputs!$D$4:$AG$200,0,MATCH(Y$2,Inputs!$D$2:$AG$2,0)),Inputs!$B$4:$B$200,$B12)/1000)</f>
        <v>0</v>
      </c>
      <c r="Z12" s="11">
        <f>IF(Z$3=0,"",SUMIFS(INDEX(Inputs!$D$4:$AG$200,0,MATCH(Z$2,Inputs!$D$2:$AG$2,0)),Inputs!$B$4:$B$200,$B12)/1000)</f>
        <v>0</v>
      </c>
      <c r="AA12" s="11">
        <f>IF(AA$3=0,"",SUMIFS(INDEX(Inputs!$D$4:$AG$200,0,MATCH(AA$2,Inputs!$D$2:$AG$2,0)),Inputs!$B$4:$B$200,$B12)/1000)</f>
        <v>0</v>
      </c>
      <c r="AB12" s="12">
        <f>IF(COUNT(X12:AA12)=4,SUM(X12:AA12),"")</f>
        <v>0</v>
      </c>
      <c r="AC12" s="11">
        <f>IF(AC$3=0,"",SUMIFS(INDEX(Inputs!$D$4:$AG$200,0,MATCH(AC$2,Inputs!$D$2:$AG$2,0)),Inputs!$B$4:$B$200,$B12)/1000)</f>
        <v>0</v>
      </c>
      <c r="AD12" s="11">
        <f>IF(AD$3=0,"",SUMIFS(INDEX(Inputs!$D$4:$AG$200,0,MATCH(AD$2,Inputs!$D$2:$AG$2,0)),Inputs!$B$4:$B$200,$B12)/1000)</f>
        <v>0</v>
      </c>
      <c r="AE12" s="11" t="str">
        <f>IF(AE$3=0,"",SUMIFS(INDEX(Inputs!$D$4:$AG$200,0,MATCH(AE$2,Inputs!$D$2:$AG$2,0)),Inputs!$B$4:$B$200,$B12)/1000)</f>
        <v/>
      </c>
      <c r="AF12" s="11" t="str">
        <f>IF(AF$3=0,"",SUMIFS(INDEX(Inputs!$D$4:$AG$200,0,MATCH(AF$2,Inputs!$D$2:$AG$2,0)),Inputs!$B$4:$B$200,$B12)/1000)</f>
        <v/>
      </c>
      <c r="AG12" s="12" t="str">
        <f>IF(COUNT(AC12:AF12)=4,SUM(AC12:AF12),"")</f>
        <v/>
      </c>
    </row>
    <row r="13">
      <c r="B13" s="9" t="n">
        <v>10</v>
      </c>
      <c r="C13" s="13" t="inlineStr">
        <is>
          <t>Common Dividends</t>
        </is>
      </c>
      <c r="D13" s="11">
        <f>IF(D$3=0,"",SUMIFS(INDEX(Inputs!$D$4:$AG$200,0,MATCH(D$2,Inputs!$D$2:$AG$2,0)),Inputs!$B$4:$B$200,$B13)/1000)</f>
        <v>0</v>
      </c>
      <c r="E13" s="11">
        <f>IF(E$3=0,"",SUMIFS(INDEX(Inputs!$D$4:$AG$200,0,MATCH(E$2,Inputs!$D$2:$AG$2,0)),Inputs!$B$4:$B$200,$B13)/1000)</f>
        <v>0</v>
      </c>
      <c r="F13" s="11">
        <f>IF(F$3=0,"",SUMIFS(INDEX(Inputs!$D$4:$AG$200,0,MATCH(F$2,Inputs!$D$2:$AG$2,0)),Inputs!$B$4:$B$200,$B13)/1000)</f>
        <v>-64.133</v>
      </c>
      <c r="G13" s="11">
        <f>IF(G$3=0,"",SUMIFS(INDEX(Inputs!$D$4:$AG$200,0,MATCH(G$2,Inputs!$D$2:$AG$2,0)),Inputs!$B$4:$B$200,$B13)/1000)</f>
        <v>-42.481</v>
      </c>
      <c r="H13" s="12">
        <f>IF(COUNT(D13:G13)=4,SUM(D13:G13),"")</f>
        <v>-106.614</v>
      </c>
      <c r="I13" s="11">
        <f>IF(I$3=0,"",SUMIFS(INDEX(Inputs!$D$4:$AG$200,0,MATCH(I$2,Inputs!$D$2:$AG$2,0)),Inputs!$B$4:$B$200,$B13)/1000)</f>
        <v>-39.311</v>
      </c>
      <c r="J13" s="11">
        <f>IF(J$3=0,"",SUMIFS(INDEX(Inputs!$D$4:$AG$200,0,MATCH(J$2,Inputs!$D$2:$AG$2,0)),Inputs!$B$4:$B$200,$B13)/1000)</f>
        <v>-309.347</v>
      </c>
      <c r="K13" s="11">
        <f>IF(K$3=0,"",SUMIFS(INDEX(Inputs!$D$4:$AG$200,0,MATCH(K$2,Inputs!$D$2:$AG$2,0)),Inputs!$B$4:$B$200,$B13)/1000)</f>
        <v>-46.849</v>
      </c>
      <c r="L13" s="11">
        <f>IF(L$3=0,"",SUMIFS(INDEX(Inputs!$D$4:$AG$200,0,MATCH(L$2,Inputs!$D$2:$AG$2,0)),Inputs!$B$4:$B$200,$B13)/1000)</f>
        <v>-52.131</v>
      </c>
      <c r="M13" s="12">
        <f>IF(COUNT(I13:L13)=4,SUM(I13:L13),"")</f>
        <v>-447.638</v>
      </c>
      <c r="N13" s="11">
        <f>IF(N$3=0,"",SUMIFS(INDEX(Inputs!$D$4:$AG$200,0,MATCH(N$2,Inputs!$D$2:$AG$2,0)),Inputs!$B$4:$B$200,$B13)/1000)</f>
        <v>-47.512</v>
      </c>
      <c r="O13" s="11">
        <f>IF(O$3=0,"",SUMIFS(INDEX(Inputs!$D$4:$AG$200,0,MATCH(O$2,Inputs!$D$2:$AG$2,0)),Inputs!$B$4:$B$200,$B13)/1000)</f>
        <v>-90.689</v>
      </c>
      <c r="P13" s="11">
        <f>IF(P$3=0,"",SUMIFS(INDEX(Inputs!$D$4:$AG$200,0,MATCH(P$2,Inputs!$D$2:$AG$2,0)),Inputs!$B$4:$B$200,$B13)/1000)</f>
        <v>0.001</v>
      </c>
      <c r="Q13" s="11">
        <f>IF(Q$3=0,"",SUMIFS(INDEX(Inputs!$D$4:$AG$200,0,MATCH(Q$2,Inputs!$D$2:$AG$2,0)),Inputs!$B$4:$B$200,$B13)/1000)</f>
        <v>0</v>
      </c>
      <c r="R13" s="12">
        <f>IF(COUNT(N13:Q13)=4,SUM(N13:Q13),"")</f>
        <v>-138.2</v>
      </c>
      <c r="S13" s="11">
        <f>IF(S$3=0,"",SUMIFS(INDEX(Inputs!$D$4:$AG$200,0,MATCH(S$2,Inputs!$D$2:$AG$2,0)),Inputs!$B$4:$B$200,$B13)/1000)</f>
        <v>0</v>
      </c>
      <c r="T13" s="11">
        <f>IF(T$3=0,"",SUMIFS(INDEX(Inputs!$D$4:$AG$200,0,MATCH(T$2,Inputs!$D$2:$AG$2,0)),Inputs!$B$4:$B$200,$B13)/1000)</f>
        <v>0</v>
      </c>
      <c r="U13" s="11">
        <f>IF(U$3=0,"",SUMIFS(INDEX(Inputs!$D$4:$AG$200,0,MATCH(U$2,Inputs!$D$2:$AG$2,0)),Inputs!$B$4:$B$200,$B13)/1000)</f>
        <v>0</v>
      </c>
      <c r="V13" s="11">
        <f>IF(V$3=0,"",SUMIFS(INDEX(Inputs!$D$4:$AG$200,0,MATCH(V$2,Inputs!$D$2:$AG$2,0)),Inputs!$B$4:$B$200,$B13)/1000)</f>
        <v>0</v>
      </c>
      <c r="W13" s="12">
        <f>IF(COUNT(S13:V13)=4,SUM(S13:V13),"")</f>
        <v>0</v>
      </c>
      <c r="X13" s="11">
        <f>IF(X$3=0,"",SUMIFS(INDEX(Inputs!$D$4:$AG$200,0,MATCH(X$2,Inputs!$D$2:$AG$2,0)),Inputs!$B$4:$B$200,$B13)/1000)</f>
        <v>0</v>
      </c>
      <c r="Y13" s="11">
        <f>IF(Y$3=0,"",SUMIFS(INDEX(Inputs!$D$4:$AG$200,0,MATCH(Y$2,Inputs!$D$2:$AG$2,0)),Inputs!$B$4:$B$200,$B13)/1000)</f>
        <v>-55.05</v>
      </c>
      <c r="Z13" s="11">
        <f>IF(Z$3=0,"",SUMIFS(INDEX(Inputs!$D$4:$AG$200,0,MATCH(Z$2,Inputs!$D$2:$AG$2,0)),Inputs!$B$4:$B$200,$B13)/1000)</f>
        <v>0</v>
      </c>
      <c r="AA13" s="11">
        <f>IF(AA$3=0,"",SUMIFS(INDEX(Inputs!$D$4:$AG$200,0,MATCH(AA$2,Inputs!$D$2:$AG$2,0)),Inputs!$B$4:$B$200,$B13)/1000)</f>
        <v>0</v>
      </c>
      <c r="AB13" s="12">
        <f>IF(COUNT(X13:AA13)=4,SUM(X13:AA13),"")</f>
        <v>-55.05</v>
      </c>
      <c r="AC13" s="11">
        <f>IF(AC$3=0,"",SUMIFS(INDEX(Inputs!$D$4:$AG$200,0,MATCH(AC$2,Inputs!$D$2:$AG$2,0)),Inputs!$B$4:$B$200,$B13)/1000)</f>
        <v>0</v>
      </c>
      <c r="AD13" s="11">
        <f>IF(AD$3=0,"",SUMIFS(INDEX(Inputs!$D$4:$AG$200,0,MATCH(AD$2,Inputs!$D$2:$AG$2,0)),Inputs!$B$4:$B$200,$B13)/1000)</f>
        <v>0</v>
      </c>
      <c r="AE13" s="11" t="str">
        <f>IF(AE$3=0,"",SUMIFS(INDEX(Inputs!$D$4:$AG$200,0,MATCH(AE$2,Inputs!$D$2:$AG$2,0)),Inputs!$B$4:$B$200,$B13)/1000)</f>
        <v/>
      </c>
      <c r="AF13" s="11" t="str">
        <f>IF(AF$3=0,"",SUMIFS(INDEX(Inputs!$D$4:$AG$200,0,MATCH(AF$2,Inputs!$D$2:$AG$2,0)),Inputs!$B$4:$B$200,$B13)/1000)</f>
        <v/>
      </c>
      <c r="AG13" s="12" t="str">
        <f>IF(COUNT(AC13:AF13)=4,SUM(AC13:AF13),"")</f>
        <v/>
      </c>
    </row>
    <row r="14">
      <c r="D14" s="12" t="n"/>
    </row>
    <row r="15">
      <c r="B15" s="9" t="n">
        <v>11</v>
      </c>
      <c r="C15" s="13" t="inlineStr">
        <is>
          <t>Cash and equivalents (inc. investment securities)</t>
        </is>
      </c>
      <c r="D15" s="11">
        <f>IF(D$3=0,"",SUMIFS(INDEX(Inputs!$D$4:$AG$200,0,MATCH(D$2,Inputs!$D$2:$AG$2,0)),Inputs!$B$4:$B$200,$B15)/1000)</f>
        <v>5511.88</v>
      </c>
      <c r="E15" s="11">
        <f>IF(E$3=0,"",SUMIFS(INDEX(Inputs!$D$4:$AG$200,0,MATCH(E$2,Inputs!$D$2:$AG$2,0)),Inputs!$B$4:$B$200,$B15)/1000)</f>
        <v>5556.755</v>
      </c>
      <c r="F15" s="11">
        <f>IF(F$3=0,"",SUMIFS(INDEX(Inputs!$D$4:$AG$200,0,MATCH(F$2,Inputs!$D$2:$AG$2,0)),Inputs!$B$4:$B$200,$B15)/1000)</f>
        <v>8274.313</v>
      </c>
      <c r="G15" s="11">
        <f>IF(G$3=0,"",SUMIFS(INDEX(Inputs!$D$4:$AG$200,0,MATCH(G$2,Inputs!$D$2:$AG$2,0)),Inputs!$B$4:$B$200,$B15)/1000)</f>
        <v>7786.453</v>
      </c>
      <c r="H15" s="12">
        <f>IF(G15="","",G15)</f>
        <v>7786.453</v>
      </c>
      <c r="I15" s="11">
        <f>IF(I$3=0,"",SUMIFS(INDEX(Inputs!$D$4:$AG$200,0,MATCH(I$2,Inputs!$D$2:$AG$2,0)),Inputs!$B$4:$B$200,$B15)/1000)</f>
        <v>5650.584</v>
      </c>
      <c r="J15" s="11">
        <f>IF(J$3=0,"",SUMIFS(INDEX(Inputs!$D$4:$AG$200,0,MATCH(J$2,Inputs!$D$2:$AG$2,0)),Inputs!$B$4:$B$200,$B15)/1000)</f>
        <v>5722.697</v>
      </c>
      <c r="K15" s="11">
        <f>IF(K$3=0,"",SUMIFS(INDEX(Inputs!$D$4:$AG$200,0,MATCH(K$2,Inputs!$D$2:$AG$2,0)),Inputs!$B$4:$B$200,$B15)/1000)</f>
        <v>7795.457</v>
      </c>
      <c r="L15" s="11">
        <f>IF(L$3=0,"",SUMIFS(INDEX(Inputs!$D$4:$AG$200,0,MATCH(L$2,Inputs!$D$2:$AG$2,0)),Inputs!$B$4:$B$200,$B15)/1000)</f>
        <v>6827.535</v>
      </c>
      <c r="M15" s="12">
        <f>IF(L15="","",L15)</f>
        <v>6827.535</v>
      </c>
      <c r="N15" s="11">
        <f>IF(N$3=0,"",SUMIFS(INDEX(Inputs!$D$4:$AG$200,0,MATCH(N$2,Inputs!$D$2:$AG$2,0)),Inputs!$B$4:$B$200,$B15)/1000)</f>
        <v>3923.099</v>
      </c>
      <c r="O15" s="11">
        <f>IF(O$3=0,"",SUMIFS(INDEX(Inputs!$D$4:$AG$200,0,MATCH(O$2,Inputs!$D$2:$AG$2,0)),Inputs!$B$4:$B$200,$B15)/1000)</f>
        <v>2577.866</v>
      </c>
      <c r="P15" s="11">
        <f>IF(P$3=0,"",SUMIFS(INDEX(Inputs!$D$4:$AG$200,0,MATCH(P$2,Inputs!$D$2:$AG$2,0)),Inputs!$B$4:$B$200,$B15)/1000)</f>
        <v>2011.127</v>
      </c>
      <c r="Q15" s="11">
        <f>IF(Q$3=0,"",SUMIFS(INDEX(Inputs!$D$4:$AG$200,0,MATCH(Q$2,Inputs!$D$2:$AG$2,0)),Inputs!$B$4:$B$200,$B15)/1000)</f>
        <v>2998.752</v>
      </c>
      <c r="R15" s="12">
        <f>IF(Q15="","",Q15)</f>
        <v>2998.752</v>
      </c>
      <c r="S15" s="11">
        <f>IF(S$3=0,"",SUMIFS(INDEX(Inputs!$D$4:$AG$200,0,MATCH(S$2,Inputs!$D$2:$AG$2,0)),Inputs!$B$4:$B$200,$B15)/1000)</f>
        <v>3211.286</v>
      </c>
      <c r="T15" s="11">
        <f>IF(T$3=0,"",SUMIFS(INDEX(Inputs!$D$4:$AG$200,0,MATCH(T$2,Inputs!$D$2:$AG$2,0)),Inputs!$B$4:$B$200,$B15)/1000)</f>
        <v>3685.003</v>
      </c>
      <c r="U15" s="11">
        <f>IF(U$3=0,"",SUMIFS(INDEX(Inputs!$D$4:$AG$200,0,MATCH(U$2,Inputs!$D$2:$AG$2,0)),Inputs!$B$4:$B$200,$B15)/1000)</f>
        <v>3975.719</v>
      </c>
      <c r="V15" s="11">
        <f>IF(V$3=0,"",SUMIFS(INDEX(Inputs!$D$4:$AG$200,0,MATCH(V$2,Inputs!$D$2:$AG$2,0)),Inputs!$B$4:$B$200,$B15)/1000)</f>
        <v>4291.363</v>
      </c>
      <c r="W15" s="12">
        <f>IF(V15="","",V15)</f>
        <v>4291.363</v>
      </c>
      <c r="X15" s="11">
        <f>IF(X$3=0,"",SUMIFS(INDEX(Inputs!$D$4:$AG$200,0,MATCH(X$2,Inputs!$D$2:$AG$2,0)),Inputs!$B$4:$B$200,$B15)/1000)</f>
        <v>3037.195</v>
      </c>
      <c r="Y15" s="11">
        <f>IF(Y$3=0,"",SUMIFS(INDEX(Inputs!$D$4:$AG$200,0,MATCH(Y$2,Inputs!$D$2:$AG$2,0)),Inputs!$B$4:$B$200,$B15)/1000)</f>
        <v>3441.64</v>
      </c>
      <c r="Z15" s="11">
        <f>IF(Z$3=0,"",SUMIFS(INDEX(Inputs!$D$4:$AG$200,0,MATCH(Z$2,Inputs!$D$2:$AG$2,0)),Inputs!$B$4:$B$200,$B15)/1000)</f>
        <v>3319.489</v>
      </c>
      <c r="AA15" s="11">
        <f>IF(AA$3=0,"",SUMIFS(INDEX(Inputs!$D$4:$AG$200,0,MATCH(AA$2,Inputs!$D$2:$AG$2,0)),Inputs!$B$4:$B$200,$B15)/1000)</f>
        <v>6875.395</v>
      </c>
      <c r="AB15" s="12">
        <f>IF(AA15="","",AA15)</f>
        <v>6875.395</v>
      </c>
      <c r="AC15" s="11">
        <f>IF(AC$3=0,"",SUMIFS(INDEX(Inputs!$D$4:$AG$200,0,MATCH(AC$2,Inputs!$D$2:$AG$2,0)),Inputs!$B$4:$B$200,$B15)/1000)</f>
        <v>8093.188</v>
      </c>
      <c r="AD15" s="11">
        <f>IF(AD$3=0,"",SUMIFS(INDEX(Inputs!$D$4:$AG$200,0,MATCH(AD$2,Inputs!$D$2:$AG$2,0)),Inputs!$B$4:$B$200,$B15)/1000)</f>
        <v>7479.297</v>
      </c>
      <c r="AE15" s="11" t="str">
        <f>IF(AE$3=0,"",SUMIFS(INDEX(Inputs!$D$4:$AG$200,0,MATCH(AE$2,Inputs!$D$2:$AG$2,0)),Inputs!$B$4:$B$200,$B15)/1000)</f>
        <v/>
      </c>
      <c r="AF15" s="11" t="str">
        <f>IF(AF$3=0,"",SUMIFS(INDEX(Inputs!$D$4:$AG$200,0,MATCH(AF$2,Inputs!$D$2:$AG$2,0)),Inputs!$B$4:$B$200,$B15)/1000)</f>
        <v/>
      </c>
      <c r="AG15" s="12" t="str">
        <f>IF(AF15="","",AF15)</f>
        <v/>
      </c>
    </row>
    <row r="16">
      <c r="B16" s="9" t="n">
        <v>12</v>
      </c>
      <c r="C16" s="14" t="inlineStr">
        <is>
          <t>Accounts receivable</t>
        </is>
      </c>
      <c r="D16" s="11">
        <f>IF(D$3=0,"",SUMIFS(INDEX(Inputs!$D$4:$AG$200,0,MATCH(D$2,Inputs!$D$2:$AG$2,0)),Inputs!$B$4:$B$200,$B16)/1000)</f>
        <v>450.38</v>
      </c>
      <c r="E16" s="11">
        <f>IF(E$3=0,"",SUMIFS(INDEX(Inputs!$D$4:$AG$200,0,MATCH(E$2,Inputs!$D$2:$AG$2,0)),Inputs!$B$4:$B$200,$B16)/1000)</f>
        <v>553.695</v>
      </c>
      <c r="F16" s="11">
        <f>IF(F$3=0,"",SUMIFS(INDEX(Inputs!$D$4:$AG$200,0,MATCH(F$2,Inputs!$D$2:$AG$2,0)),Inputs!$B$4:$B$200,$B16)/1000)</f>
        <v>634.363</v>
      </c>
      <c r="G16" s="11">
        <f>IF(G$3=0,"",SUMIFS(INDEX(Inputs!$D$4:$AG$200,0,MATCH(G$2,Inputs!$D$2:$AG$2,0)),Inputs!$B$4:$B$200,$B16)/1000)</f>
        <v>887.067</v>
      </c>
      <c r="H16" s="12">
        <f>IF(G16="","",G16)</f>
        <v>887.067</v>
      </c>
      <c r="I16" s="11">
        <f>IF(I$3=0,"",SUMIFS(INDEX(Inputs!$D$4:$AG$200,0,MATCH(I$2,Inputs!$D$2:$AG$2,0)),Inputs!$B$4:$B$200,$B16)/1000)</f>
        <v>1077.835</v>
      </c>
      <c r="J16" s="11">
        <f>IF(J$3=0,"",SUMIFS(INDEX(Inputs!$D$4:$AG$200,0,MATCH(J$2,Inputs!$D$2:$AG$2,0)),Inputs!$B$4:$B$200,$B16)/1000)</f>
        <v>1285.905</v>
      </c>
      <c r="K16" s="11">
        <f>IF(K$3=0,"",SUMIFS(INDEX(Inputs!$D$4:$AG$200,0,MATCH(K$2,Inputs!$D$2:$AG$2,0)),Inputs!$B$4:$B$200,$B16)/1000)</f>
        <v>1046.048</v>
      </c>
      <c r="L16" s="11">
        <f>IF(L$3=0,"",SUMIFS(INDEX(Inputs!$D$4:$AG$200,0,MATCH(L$2,Inputs!$D$2:$AG$2,0)),Inputs!$B$4:$B$200,$B16)/1000)</f>
        <v>1175.734</v>
      </c>
      <c r="M16" s="12">
        <f>IF(L16="","",L16)</f>
        <v>1175.734</v>
      </c>
      <c r="N16" s="11">
        <f>IF(N$3=0,"",SUMIFS(INDEX(Inputs!$D$4:$AG$200,0,MATCH(N$2,Inputs!$D$2:$AG$2,0)),Inputs!$B$4:$B$200,$B16)/1000)</f>
        <v>1027.01</v>
      </c>
      <c r="O16" s="11">
        <f>IF(O$3=0,"",SUMIFS(INDEX(Inputs!$D$4:$AG$200,0,MATCH(O$2,Inputs!$D$2:$AG$2,0)),Inputs!$B$4:$B$200,$B16)/1000)</f>
        <v>1100.969</v>
      </c>
      <c r="P16" s="11">
        <f>IF(P$3=0,"",SUMIFS(INDEX(Inputs!$D$4:$AG$200,0,MATCH(P$2,Inputs!$D$2:$AG$2,0)),Inputs!$B$4:$B$200,$B16)/1000)</f>
        <v>1312.302</v>
      </c>
      <c r="Q16" s="11">
        <f>IF(Q$3=0,"",SUMIFS(INDEX(Inputs!$D$4:$AG$200,0,MATCH(Q$2,Inputs!$D$2:$AG$2,0)),Inputs!$B$4:$B$200,$B16)/1000)</f>
        <v>1345.413</v>
      </c>
      <c r="R16" s="12">
        <f>IF(Q16="","",Q16)</f>
        <v>1345.413</v>
      </c>
      <c r="S16" s="11">
        <f>IF(S$3=0,"",SUMIFS(INDEX(Inputs!$D$4:$AG$200,0,MATCH(S$2,Inputs!$D$2:$AG$2,0)),Inputs!$B$4:$B$200,$B16)/1000)</f>
        <v>1542.65</v>
      </c>
      <c r="T16" s="11">
        <f>IF(T$3=0,"",SUMIFS(INDEX(Inputs!$D$4:$AG$200,0,MATCH(T$2,Inputs!$D$2:$AG$2,0)),Inputs!$B$4:$B$200,$B16)/1000)</f>
        <v>1684.031</v>
      </c>
      <c r="U16" s="11">
        <f>IF(U$3=0,"",SUMIFS(INDEX(Inputs!$D$4:$AG$200,0,MATCH(U$2,Inputs!$D$2:$AG$2,0)),Inputs!$B$4:$B$200,$B16)/1000)</f>
        <v>1736.984</v>
      </c>
      <c r="V16" s="11">
        <f>IF(V$3=0,"",SUMIFS(INDEX(Inputs!$D$4:$AG$200,0,MATCH(V$2,Inputs!$D$2:$AG$2,0)),Inputs!$B$4:$B$200,$B16)/1000)</f>
        <v>1441.696</v>
      </c>
      <c r="W16" s="12">
        <f>IF(V16="","",V16)</f>
        <v>1441.696</v>
      </c>
      <c r="X16" s="11">
        <f>IF(X$3=0,"",SUMIFS(INDEX(Inputs!$D$4:$AG$200,0,MATCH(X$2,Inputs!$D$2:$AG$2,0)),Inputs!$B$4:$B$200,$B16)/1000)</f>
        <v>2193.313</v>
      </c>
      <c r="Y16" s="11">
        <f>IF(Y$3=0,"",SUMIFS(INDEX(Inputs!$D$4:$AG$200,0,MATCH(Y$2,Inputs!$D$2:$AG$2,0)),Inputs!$B$4:$B$200,$B16)/1000)</f>
        <v>2186.188</v>
      </c>
      <c r="Z16" s="11">
        <f>IF(Z$3=0,"",SUMIFS(INDEX(Inputs!$D$4:$AG$200,0,MATCH(Z$2,Inputs!$D$2:$AG$2,0)),Inputs!$B$4:$B$200,$B16)/1000)</f>
        <v>2216.549</v>
      </c>
      <c r="AA16" s="11">
        <f>IF(AA$3=0,"",SUMIFS(INDEX(Inputs!$D$4:$AG$200,0,MATCH(AA$2,Inputs!$D$2:$AG$2,0)),Inputs!$B$4:$B$200,$B16)/1000)</f>
        <v>1989.681</v>
      </c>
      <c r="AB16" s="12">
        <f>IF(AA16="","",AA16)</f>
        <v>1989.681</v>
      </c>
      <c r="AC16" s="11">
        <f>IF(AC$3=0,"",SUMIFS(INDEX(Inputs!$D$4:$AG$200,0,MATCH(AC$2,Inputs!$D$2:$AG$2,0)),Inputs!$B$4:$B$200,$B16)/1000)</f>
        <v>2184.584</v>
      </c>
      <c r="AD16" s="11">
        <f>IF(AD$3=0,"",SUMIFS(INDEX(Inputs!$D$4:$AG$200,0,MATCH(AD$2,Inputs!$D$2:$AG$2,0)),Inputs!$B$4:$B$200,$B16)/1000)</f>
        <v>2309.874</v>
      </c>
      <c r="AE16" s="11" t="str">
        <f>IF(AE$3=0,"",SUMIFS(INDEX(Inputs!$D$4:$AG$200,0,MATCH(AE$2,Inputs!$D$2:$AG$2,0)),Inputs!$B$4:$B$200,$B16)/1000)</f>
        <v/>
      </c>
      <c r="AF16" s="11" t="str">
        <f>IF(AF$3=0,"",SUMIFS(INDEX(Inputs!$D$4:$AG$200,0,MATCH(AF$2,Inputs!$D$2:$AG$2,0)),Inputs!$B$4:$B$200,$B16)/1000)</f>
        <v/>
      </c>
      <c r="AG16" s="12" t="str">
        <f>IF(AF16="","",AF16)</f>
        <v/>
      </c>
    </row>
    <row r="17">
      <c r="B17" s="9" t="n">
        <v>13</v>
      </c>
      <c r="C17" s="14" t="inlineStr">
        <is>
          <t>Inventories</t>
        </is>
      </c>
      <c r="D17" s="11">
        <f>IF(D$3=0,"",SUMIFS(INDEX(Inputs!$D$4:$AG$200,0,MATCH(D$2,Inputs!$D$2:$AG$2,0)),Inputs!$B$4:$B$200,$B17)/1000)</f>
        <v>0</v>
      </c>
      <c r="E17" s="11">
        <f>IF(E$3=0,"",SUMIFS(INDEX(Inputs!$D$4:$AG$200,0,MATCH(E$2,Inputs!$D$2:$AG$2,0)),Inputs!$B$4:$B$200,$B17)/1000)</f>
        <v>0</v>
      </c>
      <c r="F17" s="11">
        <f>IF(F$3=0,"",SUMIFS(INDEX(Inputs!$D$4:$AG$200,0,MATCH(F$2,Inputs!$D$2:$AG$2,0)),Inputs!$B$4:$B$200,$B17)/1000)</f>
        <v>0</v>
      </c>
      <c r="G17" s="11">
        <f>IF(G$3=0,"",SUMIFS(INDEX(Inputs!$D$4:$AG$200,0,MATCH(G$2,Inputs!$D$2:$AG$2,0)),Inputs!$B$4:$B$200,$B17)/1000)</f>
        <v>0</v>
      </c>
      <c r="H17" s="12">
        <f>IF(G17="","",G17)</f>
        <v>0</v>
      </c>
      <c r="I17" s="11">
        <f>IF(I$3=0,"",SUMIFS(INDEX(Inputs!$D$4:$AG$200,0,MATCH(I$2,Inputs!$D$2:$AG$2,0)),Inputs!$B$4:$B$200,$B17)/1000)</f>
        <v>0</v>
      </c>
      <c r="J17" s="11">
        <f>IF(J$3=0,"",SUMIFS(INDEX(Inputs!$D$4:$AG$200,0,MATCH(J$2,Inputs!$D$2:$AG$2,0)),Inputs!$B$4:$B$200,$B17)/1000)</f>
        <v>0</v>
      </c>
      <c r="K17" s="11">
        <f>IF(K$3=0,"",SUMIFS(INDEX(Inputs!$D$4:$AG$200,0,MATCH(K$2,Inputs!$D$2:$AG$2,0)),Inputs!$B$4:$B$200,$B17)/1000)</f>
        <v>0</v>
      </c>
      <c r="L17" s="11">
        <f>IF(L$3=0,"",SUMIFS(INDEX(Inputs!$D$4:$AG$200,0,MATCH(L$2,Inputs!$D$2:$AG$2,0)),Inputs!$B$4:$B$200,$B17)/1000)</f>
        <v>0</v>
      </c>
      <c r="M17" s="12">
        <f>IF(L17="","",L17)</f>
        <v>0</v>
      </c>
      <c r="N17" s="11">
        <f>IF(N$3=0,"",SUMIFS(INDEX(Inputs!$D$4:$AG$200,0,MATCH(N$2,Inputs!$D$2:$AG$2,0)),Inputs!$B$4:$B$200,$B17)/1000)</f>
        <v>0</v>
      </c>
      <c r="O17" s="11">
        <f>IF(O$3=0,"",SUMIFS(INDEX(Inputs!$D$4:$AG$200,0,MATCH(O$2,Inputs!$D$2:$AG$2,0)),Inputs!$B$4:$B$200,$B17)/1000)</f>
        <v>0</v>
      </c>
      <c r="P17" s="11">
        <f>IF(P$3=0,"",SUMIFS(INDEX(Inputs!$D$4:$AG$200,0,MATCH(P$2,Inputs!$D$2:$AG$2,0)),Inputs!$B$4:$B$200,$B17)/1000)</f>
        <v>0</v>
      </c>
      <c r="Q17" s="11">
        <f>IF(Q$3=0,"",SUMIFS(INDEX(Inputs!$D$4:$AG$200,0,MATCH(Q$2,Inputs!$D$2:$AG$2,0)),Inputs!$B$4:$B$200,$B17)/1000)</f>
        <v>0</v>
      </c>
      <c r="R17" s="12">
        <f>IF(Q17="","",Q17)</f>
        <v>0</v>
      </c>
      <c r="S17" s="11">
        <f>IF(S$3=0,"",SUMIFS(INDEX(Inputs!$D$4:$AG$200,0,MATCH(S$2,Inputs!$D$2:$AG$2,0)),Inputs!$B$4:$B$200,$B17)/1000)</f>
        <v>0</v>
      </c>
      <c r="T17" s="11">
        <f>IF(T$3=0,"",SUMIFS(INDEX(Inputs!$D$4:$AG$200,0,MATCH(T$2,Inputs!$D$2:$AG$2,0)),Inputs!$B$4:$B$200,$B17)/1000)</f>
        <v>0</v>
      </c>
      <c r="U17" s="11">
        <f>IF(U$3=0,"",SUMIFS(INDEX(Inputs!$D$4:$AG$200,0,MATCH(U$2,Inputs!$D$2:$AG$2,0)),Inputs!$B$4:$B$200,$B17)/1000)</f>
        <v>0</v>
      </c>
      <c r="V17" s="11">
        <f>IF(V$3=0,"",SUMIFS(INDEX(Inputs!$D$4:$AG$200,0,MATCH(V$2,Inputs!$D$2:$AG$2,0)),Inputs!$B$4:$B$200,$B17)/1000)</f>
        <v>0</v>
      </c>
      <c r="W17" s="12">
        <f>IF(V17="","",V17)</f>
        <v>0</v>
      </c>
      <c r="X17" s="11">
        <f>IF(X$3=0,"",SUMIFS(INDEX(Inputs!$D$4:$AG$200,0,MATCH(X$2,Inputs!$D$2:$AG$2,0)),Inputs!$B$4:$B$200,$B17)/1000)</f>
        <v>0</v>
      </c>
      <c r="Y17" s="11">
        <f>IF(Y$3=0,"",SUMIFS(INDEX(Inputs!$D$4:$AG$200,0,MATCH(Y$2,Inputs!$D$2:$AG$2,0)),Inputs!$B$4:$B$200,$B17)/1000)</f>
        <v>0</v>
      </c>
      <c r="Z17" s="11">
        <f>IF(Z$3=0,"",SUMIFS(INDEX(Inputs!$D$4:$AG$200,0,MATCH(Z$2,Inputs!$D$2:$AG$2,0)),Inputs!$B$4:$B$200,$B17)/1000)</f>
        <v>0</v>
      </c>
      <c r="AA17" s="11">
        <f>IF(AA$3=0,"",SUMIFS(INDEX(Inputs!$D$4:$AG$200,0,MATCH(AA$2,Inputs!$D$2:$AG$2,0)),Inputs!$B$4:$B$200,$B17)/1000)</f>
        <v>0</v>
      </c>
      <c r="AB17" s="12">
        <f>IF(AA17="","",AA17)</f>
        <v>0</v>
      </c>
      <c r="AC17" s="11">
        <f>IF(AC$3=0,"",SUMIFS(INDEX(Inputs!$D$4:$AG$200,0,MATCH(AC$2,Inputs!$D$2:$AG$2,0)),Inputs!$B$4:$B$200,$B17)/1000)</f>
        <v>0</v>
      </c>
      <c r="AD17" s="11">
        <f>IF(AD$3=0,"",SUMIFS(INDEX(Inputs!$D$4:$AG$200,0,MATCH(AD$2,Inputs!$D$2:$AG$2,0)),Inputs!$B$4:$B$200,$B17)/1000)</f>
        <v>0</v>
      </c>
      <c r="AE17" s="11" t="str">
        <f>IF(AE$3=0,"",SUMIFS(INDEX(Inputs!$D$4:$AG$200,0,MATCH(AE$2,Inputs!$D$2:$AG$2,0)),Inputs!$B$4:$B$200,$B17)/1000)</f>
        <v/>
      </c>
      <c r="AF17" s="11" t="str">
        <f>IF(AF$3=0,"",SUMIFS(INDEX(Inputs!$D$4:$AG$200,0,MATCH(AF$2,Inputs!$D$2:$AG$2,0)),Inputs!$B$4:$B$200,$B17)/1000)</f>
        <v/>
      </c>
      <c r="AG17" s="12" t="str">
        <f>IF(AF17="","",AF17)</f>
        <v/>
      </c>
    </row>
    <row r="18">
      <c r="B18" s="9" t="n">
        <v>14</v>
      </c>
      <c r="C18" s="14" t="inlineStr">
        <is>
          <t>Deferred income taxes</t>
        </is>
      </c>
      <c r="D18" s="11">
        <f>IF(D$3=0,"",SUMIFS(INDEX(Inputs!$D$4:$AG$200,0,MATCH(D$2,Inputs!$D$2:$AG$2,0)),Inputs!$B$4:$B$200,$B18)/1000)</f>
        <v>0</v>
      </c>
      <c r="E18" s="11">
        <f>IF(E$3=0,"",SUMIFS(INDEX(Inputs!$D$4:$AG$200,0,MATCH(E$2,Inputs!$D$2:$AG$2,0)),Inputs!$B$4:$B$200,$B18)/1000)</f>
        <v>0</v>
      </c>
      <c r="F18" s="11">
        <f>IF(F$3=0,"",SUMIFS(INDEX(Inputs!$D$4:$AG$200,0,MATCH(F$2,Inputs!$D$2:$AG$2,0)),Inputs!$B$4:$B$200,$B18)/1000)</f>
        <v>0</v>
      </c>
      <c r="G18" s="11">
        <f>IF(G$3=0,"",SUMIFS(INDEX(Inputs!$D$4:$AG$200,0,MATCH(G$2,Inputs!$D$2:$AG$2,0)),Inputs!$B$4:$B$200,$B18)/1000)</f>
        <v>0</v>
      </c>
      <c r="H18" s="12">
        <f>IF(G18="","",G18)</f>
        <v>0</v>
      </c>
      <c r="I18" s="11">
        <f>IF(I$3=0,"",SUMIFS(INDEX(Inputs!$D$4:$AG$200,0,MATCH(I$2,Inputs!$D$2:$AG$2,0)),Inputs!$B$4:$B$200,$B18)/1000)</f>
        <v>0</v>
      </c>
      <c r="J18" s="11">
        <f>IF(J$3=0,"",SUMIFS(INDEX(Inputs!$D$4:$AG$200,0,MATCH(J$2,Inputs!$D$2:$AG$2,0)),Inputs!$B$4:$B$200,$B18)/1000)</f>
        <v>0</v>
      </c>
      <c r="K18" s="11">
        <f>IF(K$3=0,"",SUMIFS(INDEX(Inputs!$D$4:$AG$200,0,MATCH(K$2,Inputs!$D$2:$AG$2,0)),Inputs!$B$4:$B$200,$B18)/1000)</f>
        <v>0</v>
      </c>
      <c r="L18" s="11">
        <f>IF(L$3=0,"",SUMIFS(INDEX(Inputs!$D$4:$AG$200,0,MATCH(L$2,Inputs!$D$2:$AG$2,0)),Inputs!$B$4:$B$200,$B18)/1000)</f>
        <v>0</v>
      </c>
      <c r="M18" s="12">
        <f>IF(L18="","",L18)</f>
        <v>0</v>
      </c>
      <c r="N18" s="11">
        <f>IF(N$3=0,"",SUMIFS(INDEX(Inputs!$D$4:$AG$200,0,MATCH(N$2,Inputs!$D$2:$AG$2,0)),Inputs!$B$4:$B$200,$B18)/1000)</f>
        <v>0</v>
      </c>
      <c r="O18" s="11">
        <f>IF(O$3=0,"",SUMIFS(INDEX(Inputs!$D$4:$AG$200,0,MATCH(O$2,Inputs!$D$2:$AG$2,0)),Inputs!$B$4:$B$200,$B18)/1000)</f>
        <v>0</v>
      </c>
      <c r="P18" s="11">
        <f>IF(P$3=0,"",SUMIFS(INDEX(Inputs!$D$4:$AG$200,0,MATCH(P$2,Inputs!$D$2:$AG$2,0)),Inputs!$B$4:$B$200,$B18)/1000)</f>
        <v>0</v>
      </c>
      <c r="Q18" s="11">
        <f>IF(Q$3=0,"",SUMIFS(INDEX(Inputs!$D$4:$AG$200,0,MATCH(Q$2,Inputs!$D$2:$AG$2,0)),Inputs!$B$4:$B$200,$B18)/1000)</f>
        <v>0</v>
      </c>
      <c r="R18" s="12">
        <f>IF(Q18="","",Q18)</f>
        <v>0</v>
      </c>
      <c r="S18" s="11">
        <f>IF(S$3=0,"",SUMIFS(INDEX(Inputs!$D$4:$AG$200,0,MATCH(S$2,Inputs!$D$2:$AG$2,0)),Inputs!$B$4:$B$200,$B18)/1000)</f>
        <v>0</v>
      </c>
      <c r="T18" s="11">
        <f>IF(T$3=0,"",SUMIFS(INDEX(Inputs!$D$4:$AG$200,0,MATCH(T$2,Inputs!$D$2:$AG$2,0)),Inputs!$B$4:$B$200,$B18)/1000)</f>
        <v>0</v>
      </c>
      <c r="U18" s="11">
        <f>IF(U$3=0,"",SUMIFS(INDEX(Inputs!$D$4:$AG$200,0,MATCH(U$2,Inputs!$D$2:$AG$2,0)),Inputs!$B$4:$B$200,$B18)/1000)</f>
        <v>0</v>
      </c>
      <c r="V18" s="11">
        <f>IF(V$3=0,"",SUMIFS(INDEX(Inputs!$D$4:$AG$200,0,MATCH(V$2,Inputs!$D$2:$AG$2,0)),Inputs!$B$4:$B$200,$B18)/1000)</f>
        <v>0</v>
      </c>
      <c r="W18" s="12">
        <f>IF(V18="","",V18)</f>
        <v>0</v>
      </c>
      <c r="X18" s="11">
        <f>IF(X$3=0,"",SUMIFS(INDEX(Inputs!$D$4:$AG$200,0,MATCH(X$2,Inputs!$D$2:$AG$2,0)),Inputs!$B$4:$B$200,$B18)/1000)</f>
        <v>0</v>
      </c>
      <c r="Y18" s="11">
        <f>IF(Y$3=0,"",SUMIFS(INDEX(Inputs!$D$4:$AG$200,0,MATCH(Y$2,Inputs!$D$2:$AG$2,0)),Inputs!$B$4:$B$200,$B18)/1000)</f>
        <v>0</v>
      </c>
      <c r="Z18" s="11">
        <f>IF(Z$3=0,"",SUMIFS(INDEX(Inputs!$D$4:$AG$200,0,MATCH(Z$2,Inputs!$D$2:$AG$2,0)),Inputs!$B$4:$B$200,$B18)/1000)</f>
        <v>0</v>
      </c>
      <c r="AA18" s="11">
        <f>IF(AA$3=0,"",SUMIFS(INDEX(Inputs!$D$4:$AG$200,0,MATCH(AA$2,Inputs!$D$2:$AG$2,0)),Inputs!$B$4:$B$200,$B18)/1000)</f>
        <v>0</v>
      </c>
      <c r="AB18" s="12">
        <f>IF(AA18="","",AA18)</f>
        <v>0</v>
      </c>
      <c r="AC18" s="11">
        <f>IF(AC$3=0,"",SUMIFS(INDEX(Inputs!$D$4:$AG$200,0,MATCH(AC$2,Inputs!$D$2:$AG$2,0)),Inputs!$B$4:$B$200,$B18)/1000)</f>
        <v>0</v>
      </c>
      <c r="AD18" s="11">
        <f>IF(AD$3=0,"",SUMIFS(INDEX(Inputs!$D$4:$AG$200,0,MATCH(AD$2,Inputs!$D$2:$AG$2,0)),Inputs!$B$4:$B$200,$B18)/1000)</f>
        <v>0</v>
      </c>
      <c r="AE18" s="11" t="str">
        <f>IF(AE$3=0,"",SUMIFS(INDEX(Inputs!$D$4:$AG$200,0,MATCH(AE$2,Inputs!$D$2:$AG$2,0)),Inputs!$B$4:$B$200,$B18)/1000)</f>
        <v/>
      </c>
      <c r="AF18" s="11" t="str">
        <f>IF(AF$3=0,"",SUMIFS(INDEX(Inputs!$D$4:$AG$200,0,MATCH(AF$2,Inputs!$D$2:$AG$2,0)),Inputs!$B$4:$B$200,$B18)/1000)</f>
        <v/>
      </c>
      <c r="AG18" s="12" t="str">
        <f>IF(AF18="","",AF18)</f>
        <v/>
      </c>
    </row>
    <row r="19">
      <c r="B19" s="9" t="n">
        <v>15</v>
      </c>
      <c r="C19" s="14" t="inlineStr">
        <is>
          <t>Prepaid expenses</t>
        </is>
      </c>
      <c r="D19" s="11">
        <f>IF(D$3=0,"",SUMIFS(INDEX(Inputs!$D$4:$AG$200,0,MATCH(D$2,Inputs!$D$2:$AG$2,0)),Inputs!$B$4:$B$200,$B19)/1000)</f>
        <v>0</v>
      </c>
      <c r="E19" s="11">
        <f>IF(E$3=0,"",SUMIFS(INDEX(Inputs!$D$4:$AG$200,0,MATCH(E$2,Inputs!$D$2:$AG$2,0)),Inputs!$B$4:$B$200,$B19)/1000)</f>
        <v>0</v>
      </c>
      <c r="F19" s="11">
        <f>IF(F$3=0,"",SUMIFS(INDEX(Inputs!$D$4:$AG$200,0,MATCH(F$2,Inputs!$D$2:$AG$2,0)),Inputs!$B$4:$B$200,$B19)/1000)</f>
        <v>0</v>
      </c>
      <c r="G19" s="11">
        <f>IF(G$3=0,"",SUMIFS(INDEX(Inputs!$D$4:$AG$200,0,MATCH(G$2,Inputs!$D$2:$AG$2,0)),Inputs!$B$4:$B$200,$B19)/1000)</f>
        <v>0</v>
      </c>
      <c r="H19" s="12">
        <f>IF(G19="","",G19)</f>
        <v>0</v>
      </c>
      <c r="I19" s="11">
        <f>IF(I$3=0,"",SUMIFS(INDEX(Inputs!$D$4:$AG$200,0,MATCH(I$2,Inputs!$D$2:$AG$2,0)),Inputs!$B$4:$B$200,$B19)/1000)</f>
        <v>0</v>
      </c>
      <c r="J19" s="11">
        <f>IF(J$3=0,"",SUMIFS(INDEX(Inputs!$D$4:$AG$200,0,MATCH(J$2,Inputs!$D$2:$AG$2,0)),Inputs!$B$4:$B$200,$B19)/1000)</f>
        <v>0</v>
      </c>
      <c r="K19" s="11">
        <f>IF(K$3=0,"",SUMIFS(INDEX(Inputs!$D$4:$AG$200,0,MATCH(K$2,Inputs!$D$2:$AG$2,0)),Inputs!$B$4:$B$200,$B19)/1000)</f>
        <v>0</v>
      </c>
      <c r="L19" s="11">
        <f>IF(L$3=0,"",SUMIFS(INDEX(Inputs!$D$4:$AG$200,0,MATCH(L$2,Inputs!$D$2:$AG$2,0)),Inputs!$B$4:$B$200,$B19)/1000)</f>
        <v>0</v>
      </c>
      <c r="M19" s="12">
        <f>IF(L19="","",L19)</f>
        <v>0</v>
      </c>
      <c r="N19" s="11">
        <f>IF(N$3=0,"",SUMIFS(INDEX(Inputs!$D$4:$AG$200,0,MATCH(N$2,Inputs!$D$2:$AG$2,0)),Inputs!$B$4:$B$200,$B19)/1000)</f>
        <v>0</v>
      </c>
      <c r="O19" s="11">
        <f>IF(O$3=0,"",SUMIFS(INDEX(Inputs!$D$4:$AG$200,0,MATCH(O$2,Inputs!$D$2:$AG$2,0)),Inputs!$B$4:$B$200,$B19)/1000)</f>
        <v>0</v>
      </c>
      <c r="P19" s="11">
        <f>IF(P$3=0,"",SUMIFS(INDEX(Inputs!$D$4:$AG$200,0,MATCH(P$2,Inputs!$D$2:$AG$2,0)),Inputs!$B$4:$B$200,$B19)/1000)</f>
        <v>0</v>
      </c>
      <c r="Q19" s="11">
        <f>IF(Q$3=0,"",SUMIFS(INDEX(Inputs!$D$4:$AG$200,0,MATCH(Q$2,Inputs!$D$2:$AG$2,0)),Inputs!$B$4:$B$200,$B19)/1000)</f>
        <v>0</v>
      </c>
      <c r="R19" s="12">
        <f>IF(Q19="","",Q19)</f>
        <v>0</v>
      </c>
      <c r="S19" s="11">
        <f>IF(S$3=0,"",SUMIFS(INDEX(Inputs!$D$4:$AG$200,0,MATCH(S$2,Inputs!$D$2:$AG$2,0)),Inputs!$B$4:$B$200,$B19)/1000)</f>
        <v>0</v>
      </c>
      <c r="T19" s="11">
        <f>IF(T$3=0,"",SUMIFS(INDEX(Inputs!$D$4:$AG$200,0,MATCH(T$2,Inputs!$D$2:$AG$2,0)),Inputs!$B$4:$B$200,$B19)/1000)</f>
        <v>0</v>
      </c>
      <c r="U19" s="11">
        <f>IF(U$3=0,"",SUMIFS(INDEX(Inputs!$D$4:$AG$200,0,MATCH(U$2,Inputs!$D$2:$AG$2,0)),Inputs!$B$4:$B$200,$B19)/1000)</f>
        <v>0</v>
      </c>
      <c r="V19" s="11">
        <f>IF(V$3=0,"",SUMIFS(INDEX(Inputs!$D$4:$AG$200,0,MATCH(V$2,Inputs!$D$2:$AG$2,0)),Inputs!$B$4:$B$200,$B19)/1000)</f>
        <v>0</v>
      </c>
      <c r="W19" s="12">
        <f>IF(V19="","",V19)</f>
        <v>0</v>
      </c>
      <c r="X19" s="11">
        <f>IF(X$3=0,"",SUMIFS(INDEX(Inputs!$D$4:$AG$200,0,MATCH(X$2,Inputs!$D$2:$AG$2,0)),Inputs!$B$4:$B$200,$B19)/1000)</f>
        <v>0</v>
      </c>
      <c r="Y19" s="11">
        <f>IF(Y$3=0,"",SUMIFS(INDEX(Inputs!$D$4:$AG$200,0,MATCH(Y$2,Inputs!$D$2:$AG$2,0)),Inputs!$B$4:$B$200,$B19)/1000)</f>
        <v>0</v>
      </c>
      <c r="Z19" s="11">
        <f>IF(Z$3=0,"",SUMIFS(INDEX(Inputs!$D$4:$AG$200,0,MATCH(Z$2,Inputs!$D$2:$AG$2,0)),Inputs!$B$4:$B$200,$B19)/1000)</f>
        <v>0</v>
      </c>
      <c r="AA19" s="11">
        <f>IF(AA$3=0,"",SUMIFS(INDEX(Inputs!$D$4:$AG$200,0,MATCH(AA$2,Inputs!$D$2:$AG$2,0)),Inputs!$B$4:$B$200,$B19)/1000)</f>
        <v>0</v>
      </c>
      <c r="AB19" s="12">
        <f>IF(AA19="","",AA19)</f>
        <v>0</v>
      </c>
      <c r="AC19" s="11">
        <f>IF(AC$3=0,"",SUMIFS(INDEX(Inputs!$D$4:$AG$200,0,MATCH(AC$2,Inputs!$D$2:$AG$2,0)),Inputs!$B$4:$B$200,$B19)/1000)</f>
        <v>0</v>
      </c>
      <c r="AD19" s="11">
        <f>IF(AD$3=0,"",SUMIFS(INDEX(Inputs!$D$4:$AG$200,0,MATCH(AD$2,Inputs!$D$2:$AG$2,0)),Inputs!$B$4:$B$200,$B19)/1000)</f>
        <v>0</v>
      </c>
      <c r="AE19" s="11" t="str">
        <f>IF(AE$3=0,"",SUMIFS(INDEX(Inputs!$D$4:$AG$200,0,MATCH(AE$2,Inputs!$D$2:$AG$2,0)),Inputs!$B$4:$B$200,$B19)/1000)</f>
        <v/>
      </c>
      <c r="AF19" s="11" t="str">
        <f>IF(AF$3=0,"",SUMIFS(INDEX(Inputs!$D$4:$AG$200,0,MATCH(AF$2,Inputs!$D$2:$AG$2,0)),Inputs!$B$4:$B$200,$B19)/1000)</f>
        <v/>
      </c>
      <c r="AG19" s="12" t="str">
        <f>IF(AF19="","",AF19)</f>
        <v/>
      </c>
    </row>
    <row r="20">
      <c r="B20" s="9" t="n">
        <v>16</v>
      </c>
      <c r="C20" s="14" t="inlineStr">
        <is>
          <t>Other current assets</t>
        </is>
      </c>
      <c r="D20" s="11">
        <f>IF(D$3=0,"",SUMIFS(INDEX(Inputs!$D$4:$AG$200,0,MATCH(D$2,Inputs!$D$2:$AG$2,0)),Inputs!$B$4:$B$200,$B20)/1000)</f>
        <v>337.505</v>
      </c>
      <c r="E20" s="11">
        <f>IF(E$3=0,"",SUMIFS(INDEX(Inputs!$D$4:$AG$200,0,MATCH(E$2,Inputs!$D$2:$AG$2,0)),Inputs!$B$4:$B$200,$B20)/1000)</f>
        <v>432.709</v>
      </c>
      <c r="F20" s="11">
        <f>IF(F$3=0,"",SUMIFS(INDEX(Inputs!$D$4:$AG$200,0,MATCH(F$2,Inputs!$D$2:$AG$2,0)),Inputs!$B$4:$B$200,$B20)/1000)</f>
        <v>509.809</v>
      </c>
      <c r="G20" s="11">
        <f>IF(G$3=0,"",SUMIFS(INDEX(Inputs!$D$4:$AG$200,0,MATCH(G$2,Inputs!$D$2:$AG$2,0)),Inputs!$B$4:$B$200,$B20)/1000)</f>
        <v>480.62</v>
      </c>
      <c r="H20" s="12">
        <f>IF(G20="","",G20)</f>
        <v>480.62</v>
      </c>
      <c r="I20" s="11">
        <f>IF(I$3=0,"",SUMIFS(INDEX(Inputs!$D$4:$AG$200,0,MATCH(I$2,Inputs!$D$2:$AG$2,0)),Inputs!$B$4:$B$200,$B20)/1000)</f>
        <v>957.699</v>
      </c>
      <c r="J20" s="11">
        <f>IF(J$3=0,"",SUMIFS(INDEX(Inputs!$D$4:$AG$200,0,MATCH(J$2,Inputs!$D$2:$AG$2,0)),Inputs!$B$4:$B$200,$B20)/1000)</f>
        <v>1087.034</v>
      </c>
      <c r="K20" s="11">
        <f>IF(K$3=0,"",SUMIFS(INDEX(Inputs!$D$4:$AG$200,0,MATCH(K$2,Inputs!$D$2:$AG$2,0)),Inputs!$B$4:$B$200,$B20)/1000)</f>
        <v>1392.235</v>
      </c>
      <c r="L20" s="11">
        <f>IF(L$3=0,"",SUMIFS(INDEX(Inputs!$D$4:$AG$200,0,MATCH(L$2,Inputs!$D$2:$AG$2,0)),Inputs!$B$4:$B$200,$B20)/1000)</f>
        <v>1438.875</v>
      </c>
      <c r="M20" s="12">
        <f>IF(L20="","",L20)</f>
        <v>1438.875</v>
      </c>
      <c r="N20" s="11">
        <f>IF(N$3=0,"",SUMIFS(INDEX(Inputs!$D$4:$AG$200,0,MATCH(N$2,Inputs!$D$2:$AG$2,0)),Inputs!$B$4:$B$200,$B20)/1000)</f>
        <v>1373.543</v>
      </c>
      <c r="O20" s="11">
        <f>IF(O$3=0,"",SUMIFS(INDEX(Inputs!$D$4:$AG$200,0,MATCH(O$2,Inputs!$D$2:$AG$2,0)),Inputs!$B$4:$B$200,$B20)/1000)</f>
        <v>1300.157</v>
      </c>
      <c r="P20" s="11">
        <f>IF(P$3=0,"",SUMIFS(INDEX(Inputs!$D$4:$AG$200,0,MATCH(P$2,Inputs!$D$2:$AG$2,0)),Inputs!$B$4:$B$200,$B20)/1000)</f>
        <v>1425.439</v>
      </c>
      <c r="Q20" s="11">
        <f>IF(Q$3=0,"",SUMIFS(INDEX(Inputs!$D$4:$AG$200,0,MATCH(Q$2,Inputs!$D$2:$AG$2,0)),Inputs!$B$4:$B$200,$B20)/1000)</f>
        <v>1086.901</v>
      </c>
      <c r="R20" s="12">
        <f>IF(Q20="","",Q20)</f>
        <v>1086.901</v>
      </c>
      <c r="S20" s="11">
        <f>IF(S$3=0,"",SUMIFS(INDEX(Inputs!$D$4:$AG$200,0,MATCH(S$2,Inputs!$D$2:$AG$2,0)),Inputs!$B$4:$B$200,$B20)/1000)</f>
        <v>1575.134</v>
      </c>
      <c r="T20" s="11">
        <f>IF(T$3=0,"",SUMIFS(INDEX(Inputs!$D$4:$AG$200,0,MATCH(T$2,Inputs!$D$2:$AG$2,0)),Inputs!$B$4:$B$200,$B20)/1000)</f>
        <v>1497.843</v>
      </c>
      <c r="U20" s="11">
        <f>IF(U$3=0,"",SUMIFS(INDEX(Inputs!$D$4:$AG$200,0,MATCH(U$2,Inputs!$D$2:$AG$2,0)),Inputs!$B$4:$B$200,$B20)/1000)</f>
        <v>1417.002</v>
      </c>
      <c r="V20" s="11">
        <f>IF(V$3=0,"",SUMIFS(INDEX(Inputs!$D$4:$AG$200,0,MATCH(V$2,Inputs!$D$2:$AG$2,0)),Inputs!$B$4:$B$200,$B20)/1000)</f>
        <v>1217.861</v>
      </c>
      <c r="W20" s="12">
        <f>IF(V20="","",V20)</f>
        <v>1217.861</v>
      </c>
      <c r="X20" s="11">
        <f>IF(X$3=0,"",SUMIFS(INDEX(Inputs!$D$4:$AG$200,0,MATCH(X$2,Inputs!$D$2:$AG$2,0)),Inputs!$B$4:$B$200,$B20)/1000)</f>
        <v>2032.503</v>
      </c>
      <c r="Y20" s="11">
        <f>IF(Y$3=0,"",SUMIFS(INDEX(Inputs!$D$4:$AG$200,0,MATCH(Y$2,Inputs!$D$2:$AG$2,0)),Inputs!$B$4:$B$200,$B20)/1000)</f>
        <v>2000.533</v>
      </c>
      <c r="Z20" s="11">
        <f>IF(Z$3=0,"",SUMIFS(INDEX(Inputs!$D$4:$AG$200,0,MATCH(Z$2,Inputs!$D$2:$AG$2,0)),Inputs!$B$4:$B$200,$B20)/1000)</f>
        <v>1727.128</v>
      </c>
      <c r="AA20" s="11">
        <f>IF(AA$3=0,"",SUMIFS(INDEX(Inputs!$D$4:$AG$200,0,MATCH(AA$2,Inputs!$D$2:$AG$2,0)),Inputs!$B$4:$B$200,$B20)/1000)</f>
        <v>942.151</v>
      </c>
      <c r="AB20" s="12">
        <f>IF(AA20="","",AA20)</f>
        <v>942.151</v>
      </c>
      <c r="AC20" s="11">
        <f>IF(AC$3=0,"",SUMIFS(INDEX(Inputs!$D$4:$AG$200,0,MATCH(AC$2,Inputs!$D$2:$AG$2,0)),Inputs!$B$4:$B$200,$B20)/1000)</f>
        <v>1404.787</v>
      </c>
      <c r="AD20" s="11">
        <f>IF(AD$3=0,"",SUMIFS(INDEX(Inputs!$D$4:$AG$200,0,MATCH(AD$2,Inputs!$D$2:$AG$2,0)),Inputs!$B$4:$B$200,$B20)/1000)</f>
        <v>1394.588</v>
      </c>
      <c r="AE20" s="11" t="str">
        <f>IF(AE$3=0,"",SUMIFS(INDEX(Inputs!$D$4:$AG$200,0,MATCH(AE$2,Inputs!$D$2:$AG$2,0)),Inputs!$B$4:$B$200,$B20)/1000)</f>
        <v/>
      </c>
      <c r="AF20" s="11" t="str">
        <f>IF(AF$3=0,"",SUMIFS(INDEX(Inputs!$D$4:$AG$200,0,MATCH(AF$2,Inputs!$D$2:$AG$2,0)),Inputs!$B$4:$B$200,$B20)/1000)</f>
        <v/>
      </c>
      <c r="AG20" s="12" t="str">
        <f>IF(AF20="","",AF20)</f>
        <v/>
      </c>
    </row>
    <row r="21">
      <c r="B21" s="9" t="n">
        <v>17</v>
      </c>
      <c r="C21" s="14" t="inlineStr">
        <is>
          <t>Equity in affiliates</t>
        </is>
      </c>
      <c r="D21" s="11">
        <f>IF(D$3=0,"",SUMIFS(INDEX(Inputs!$D$4:$AG$200,0,MATCH(D$2,Inputs!$D$2:$AG$2,0)),Inputs!$B$4:$B$200,$B21)/1000)</f>
        <v>1.985</v>
      </c>
      <c r="E21" s="11">
        <f>IF(E$3=0,"",SUMIFS(INDEX(Inputs!$D$4:$AG$200,0,MATCH(E$2,Inputs!$D$2:$AG$2,0)),Inputs!$B$4:$B$200,$B21)/1000)</f>
        <v>2.141</v>
      </c>
      <c r="F21" s="11">
        <f>IF(F$3=0,"",SUMIFS(INDEX(Inputs!$D$4:$AG$200,0,MATCH(F$2,Inputs!$D$2:$AG$2,0)),Inputs!$B$4:$B$200,$B21)/1000)</f>
        <v>1.202</v>
      </c>
      <c r="G21" s="11">
        <f>IF(G$3=0,"",SUMIFS(INDEX(Inputs!$D$4:$AG$200,0,MATCH(G$2,Inputs!$D$2:$AG$2,0)),Inputs!$B$4:$B$200,$B21)/1000)</f>
        <v>1.191</v>
      </c>
      <c r="H21" s="12">
        <f>IF(G21="","",G21)</f>
        <v>1.191</v>
      </c>
      <c r="I21" s="11">
        <f>IF(I$3=0,"",SUMIFS(INDEX(Inputs!$D$4:$AG$200,0,MATCH(I$2,Inputs!$D$2:$AG$2,0)),Inputs!$B$4:$B$200,$B21)/1000)</f>
        <v>1.188</v>
      </c>
      <c r="J21" s="11">
        <f>IF(J$3=0,"",SUMIFS(INDEX(Inputs!$D$4:$AG$200,0,MATCH(J$2,Inputs!$D$2:$AG$2,0)),Inputs!$B$4:$B$200,$B21)/1000)</f>
        <v>1.139</v>
      </c>
      <c r="K21" s="11">
        <f>IF(K$3=0,"",SUMIFS(INDEX(Inputs!$D$4:$AG$200,0,MATCH(K$2,Inputs!$D$2:$AG$2,0)),Inputs!$B$4:$B$200,$B21)/1000)</f>
        <v>1.107</v>
      </c>
      <c r="L21" s="11">
        <f>IF(L$3=0,"",SUMIFS(INDEX(Inputs!$D$4:$AG$200,0,MATCH(L$2,Inputs!$D$2:$AG$2,0)),Inputs!$B$4:$B$200,$B21)/1000)</f>
        <v>1.102</v>
      </c>
      <c r="M21" s="12">
        <f>IF(L21="","",L21)</f>
        <v>1.102</v>
      </c>
      <c r="N21" s="11">
        <f>IF(N$3=0,"",SUMIFS(INDEX(Inputs!$D$4:$AG$200,0,MATCH(N$2,Inputs!$D$2:$AG$2,0)),Inputs!$B$4:$B$200,$B21)/1000)</f>
        <v>1.094</v>
      </c>
      <c r="O21" s="11">
        <f>IF(O$3=0,"",SUMIFS(INDEX(Inputs!$D$4:$AG$200,0,MATCH(O$2,Inputs!$D$2:$AG$2,0)),Inputs!$B$4:$B$200,$B21)/1000)</f>
        <v>1.113</v>
      </c>
      <c r="P21" s="11">
        <f>IF(P$3=0,"",SUMIFS(INDEX(Inputs!$D$4:$AG$200,0,MATCH(P$2,Inputs!$D$2:$AG$2,0)),Inputs!$B$4:$B$200,$B21)/1000)</f>
        <v>0.676</v>
      </c>
      <c r="Q21" s="11">
        <f>IF(Q$3=0,"",SUMIFS(INDEX(Inputs!$D$4:$AG$200,0,MATCH(Q$2,Inputs!$D$2:$AG$2,0)),Inputs!$B$4:$B$200,$B21)/1000)</f>
        <v>1.142</v>
      </c>
      <c r="R21" s="12">
        <f>IF(Q21="","",Q21)</f>
        <v>1.142</v>
      </c>
      <c r="S21" s="11">
        <f>IF(S$3=0,"",SUMIFS(INDEX(Inputs!$D$4:$AG$200,0,MATCH(S$2,Inputs!$D$2:$AG$2,0)),Inputs!$B$4:$B$200,$B21)/1000)</f>
        <v>0.612</v>
      </c>
      <c r="T21" s="11">
        <f>IF(T$3=0,"",SUMIFS(INDEX(Inputs!$D$4:$AG$200,0,MATCH(T$2,Inputs!$D$2:$AG$2,0)),Inputs!$B$4:$B$200,$B21)/1000)</f>
        <v>0.589</v>
      </c>
      <c r="U21" s="11">
        <f>IF(U$3=0,"",SUMIFS(INDEX(Inputs!$D$4:$AG$200,0,MATCH(U$2,Inputs!$D$2:$AG$2,0)),Inputs!$B$4:$B$200,$B21)/1000)</f>
        <v>0.562</v>
      </c>
      <c r="V21" s="11">
        <f>IF(V$3=0,"",SUMIFS(INDEX(Inputs!$D$4:$AG$200,0,MATCH(V$2,Inputs!$D$2:$AG$2,0)),Inputs!$B$4:$B$200,$B21)/1000)</f>
        <v>0.562</v>
      </c>
      <c r="W21" s="12">
        <f>IF(V21="","",V21)</f>
        <v>0.562</v>
      </c>
      <c r="X21" s="11">
        <f>IF(X$3=0,"",SUMIFS(INDEX(Inputs!$D$4:$AG$200,0,MATCH(X$2,Inputs!$D$2:$AG$2,0)),Inputs!$B$4:$B$200,$B21)/1000)</f>
        <v>0.562</v>
      </c>
      <c r="Y21" s="11">
        <f>IF(Y$3=0,"",SUMIFS(INDEX(Inputs!$D$4:$AG$200,0,MATCH(Y$2,Inputs!$D$2:$AG$2,0)),Inputs!$B$4:$B$200,$B21)/1000)</f>
        <v>0</v>
      </c>
      <c r="Z21" s="11">
        <f>IF(Z$3=0,"",SUMIFS(INDEX(Inputs!$D$4:$AG$200,0,MATCH(Z$2,Inputs!$D$2:$AG$2,0)),Inputs!$B$4:$B$200,$B21)/1000)</f>
        <v>18.175</v>
      </c>
      <c r="AA21" s="11">
        <f>IF(AA$3=0,"",SUMIFS(INDEX(Inputs!$D$4:$AG$200,0,MATCH(AA$2,Inputs!$D$2:$AG$2,0)),Inputs!$B$4:$B$200,$B21)/1000)</f>
        <v>19.697</v>
      </c>
      <c r="AB21" s="12">
        <f>IF(AA21="","",AA21)</f>
        <v>19.697</v>
      </c>
      <c r="AC21" s="11">
        <f>IF(AC$3=0,"",SUMIFS(INDEX(Inputs!$D$4:$AG$200,0,MATCH(AC$2,Inputs!$D$2:$AG$2,0)),Inputs!$B$4:$B$200,$B21)/1000)</f>
        <v>20.087</v>
      </c>
      <c r="AD21" s="11">
        <f>IF(AD$3=0,"",SUMIFS(INDEX(Inputs!$D$4:$AG$200,0,MATCH(AD$2,Inputs!$D$2:$AG$2,0)),Inputs!$B$4:$B$200,$B21)/1000)</f>
        <v>38.7</v>
      </c>
      <c r="AE21" s="11" t="str">
        <f>IF(AE$3=0,"",SUMIFS(INDEX(Inputs!$D$4:$AG$200,0,MATCH(AE$2,Inputs!$D$2:$AG$2,0)),Inputs!$B$4:$B$200,$B21)/1000)</f>
        <v/>
      </c>
      <c r="AF21" s="11" t="str">
        <f>IF(AF$3=0,"",SUMIFS(INDEX(Inputs!$D$4:$AG$200,0,MATCH(AF$2,Inputs!$D$2:$AG$2,0)),Inputs!$B$4:$B$200,$B21)/1000)</f>
        <v/>
      </c>
      <c r="AG21" s="12" t="str">
        <f>IF(AF21="","",AF21)</f>
        <v/>
      </c>
    </row>
    <row r="22">
      <c r="B22" s="9" t="n">
        <v>18</v>
      </c>
      <c r="C22" s="14" t="inlineStr">
        <is>
          <t>PP&amp;E</t>
        </is>
      </c>
      <c r="D22" s="11">
        <f>IF(D$3=0,"",SUMIFS(INDEX(Inputs!$D$4:$AG$200,0,MATCH(D$2,Inputs!$D$2:$AG$2,0)),Inputs!$B$4:$B$200,$B22)/1000)</f>
        <v>6358.238</v>
      </c>
      <c r="E22" s="11">
        <f>IF(E$3=0,"",SUMIFS(INDEX(Inputs!$D$4:$AG$200,0,MATCH(E$2,Inputs!$D$2:$AG$2,0)),Inputs!$B$4:$B$200,$B22)/1000)</f>
        <v>7287.437</v>
      </c>
      <c r="F22" s="11">
        <f>IF(F$3=0,"",SUMIFS(INDEX(Inputs!$D$4:$AG$200,0,MATCH(F$2,Inputs!$D$2:$AG$2,0)),Inputs!$B$4:$B$200,$B22)/1000)</f>
        <v>9856.908</v>
      </c>
      <c r="G22" s="11">
        <f>IF(G$3=0,"",SUMIFS(INDEX(Inputs!$D$4:$AG$200,0,MATCH(G$2,Inputs!$D$2:$AG$2,0)),Inputs!$B$4:$B$200,$B22)/1000)</f>
        <v>12140.029</v>
      </c>
      <c r="H22" s="12">
        <f>IF(G22="","",G22)</f>
        <v>12140.029</v>
      </c>
      <c r="I22" s="11">
        <f>IF(I$3=0,"",SUMIFS(INDEX(Inputs!$D$4:$AG$200,0,MATCH(I$2,Inputs!$D$2:$AG$2,0)),Inputs!$B$4:$B$200,$B22)/1000)</f>
        <v>12833.83</v>
      </c>
      <c r="J22" s="11">
        <f>IF(J$3=0,"",SUMIFS(INDEX(Inputs!$D$4:$AG$200,0,MATCH(J$2,Inputs!$D$2:$AG$2,0)),Inputs!$B$4:$B$200,$B22)/1000)</f>
        <v>14798.069</v>
      </c>
      <c r="K22" s="11">
        <f>IF(K$3=0,"",SUMIFS(INDEX(Inputs!$D$4:$AG$200,0,MATCH(K$2,Inputs!$D$2:$AG$2,0)),Inputs!$B$4:$B$200,$B22)/1000)</f>
        <v>15290.954</v>
      </c>
      <c r="L22" s="11">
        <f>IF(L$3=0,"",SUMIFS(INDEX(Inputs!$D$4:$AG$200,0,MATCH(L$2,Inputs!$D$2:$AG$2,0)),Inputs!$B$4:$B$200,$B22)/1000)</f>
        <v>15842.199</v>
      </c>
      <c r="M22" s="12">
        <f>IF(L22="","",L22)</f>
        <v>15842.199</v>
      </c>
      <c r="N22" s="11">
        <f>IF(N$3=0,"",SUMIFS(INDEX(Inputs!$D$4:$AG$200,0,MATCH(N$2,Inputs!$D$2:$AG$2,0)),Inputs!$B$4:$B$200,$B22)/1000)</f>
        <v>15303.402</v>
      </c>
      <c r="O22" s="11">
        <f>IF(O$3=0,"",SUMIFS(INDEX(Inputs!$D$4:$AG$200,0,MATCH(O$2,Inputs!$D$2:$AG$2,0)),Inputs!$B$4:$B$200,$B22)/1000)</f>
        <v>15083.106</v>
      </c>
      <c r="P22" s="11">
        <f>IF(P$3=0,"",SUMIFS(INDEX(Inputs!$D$4:$AG$200,0,MATCH(P$2,Inputs!$D$2:$AG$2,0)),Inputs!$B$4:$B$200,$B22)/1000)</f>
        <v>16021.303</v>
      </c>
      <c r="Q22" s="11">
        <f>IF(Q$3=0,"",SUMIFS(INDEX(Inputs!$D$4:$AG$200,0,MATCH(Q$2,Inputs!$D$2:$AG$2,0)),Inputs!$B$4:$B$200,$B22)/1000)</f>
        <v>18637.281</v>
      </c>
      <c r="R22" s="12">
        <f>IF(Q22="","",Q22)</f>
        <v>18637.281</v>
      </c>
      <c r="S22" s="11">
        <f>IF(S$3=0,"",SUMIFS(INDEX(Inputs!$D$4:$AG$200,0,MATCH(S$2,Inputs!$D$2:$AG$2,0)),Inputs!$B$4:$B$200,$B22)/1000)</f>
        <v>18762.548</v>
      </c>
      <c r="T22" s="11">
        <f>IF(T$3=0,"",SUMIFS(INDEX(Inputs!$D$4:$AG$200,0,MATCH(T$2,Inputs!$D$2:$AG$2,0)),Inputs!$B$4:$B$200,$B22)/1000)</f>
        <v>19168.4</v>
      </c>
      <c r="U22" s="11">
        <f>IF(U$3=0,"",SUMIFS(INDEX(Inputs!$D$4:$AG$200,0,MATCH(U$2,Inputs!$D$2:$AG$2,0)),Inputs!$B$4:$B$200,$B22)/1000)</f>
        <v>19724.886</v>
      </c>
      <c r="V22" s="11">
        <f>IF(V$3=0,"",SUMIFS(INDEX(Inputs!$D$4:$AG$200,0,MATCH(V$2,Inputs!$D$2:$AG$2,0)),Inputs!$B$4:$B$200,$B22)/1000)</f>
        <v>21912.952</v>
      </c>
      <c r="W22" s="12">
        <f>IF(V22="","",V22)</f>
        <v>21912.952</v>
      </c>
      <c r="X22" s="11">
        <f>IF(X$3=0,"",SUMIFS(INDEX(Inputs!$D$4:$AG$200,0,MATCH(X$2,Inputs!$D$2:$AG$2,0)),Inputs!$B$4:$B$200,$B22)/1000)</f>
        <v>20671.846</v>
      </c>
      <c r="Y22" s="11">
        <f>IF(Y$3=0,"",SUMIFS(INDEX(Inputs!$D$4:$AG$200,0,MATCH(Y$2,Inputs!$D$2:$AG$2,0)),Inputs!$B$4:$B$200,$B22)/1000)</f>
        <v>21464.854</v>
      </c>
      <c r="Z22" s="11">
        <f>IF(Z$3=0,"",SUMIFS(INDEX(Inputs!$D$4:$AG$200,0,MATCH(Z$2,Inputs!$D$2:$AG$2,0)),Inputs!$B$4:$B$200,$B22)/1000)</f>
        <v>21621.948</v>
      </c>
      <c r="AA22" s="11">
        <f>IF(AA$3=0,"",SUMIFS(INDEX(Inputs!$D$4:$AG$200,0,MATCH(AA$2,Inputs!$D$2:$AG$2,0)),Inputs!$B$4:$B$200,$B22)/1000)</f>
        <v>24160.768</v>
      </c>
      <c r="AB22" s="12">
        <f>IF(AA22="","",AA22)</f>
        <v>24160.768</v>
      </c>
      <c r="AC22" s="11">
        <f>IF(AC$3=0,"",SUMIFS(INDEX(Inputs!$D$4:$AG$200,0,MATCH(AC$2,Inputs!$D$2:$AG$2,0)),Inputs!$B$4:$B$200,$B22)/1000)</f>
        <v>23242.795</v>
      </c>
      <c r="AD22" s="11">
        <f>IF(AD$3=0,"",SUMIFS(INDEX(Inputs!$D$4:$AG$200,0,MATCH(AD$2,Inputs!$D$2:$AG$2,0)),Inputs!$B$4:$B$200,$B22)/1000)</f>
        <v>25078.365</v>
      </c>
      <c r="AE22" s="11" t="str">
        <f>IF(AE$3=0,"",SUMIFS(INDEX(Inputs!$D$4:$AG$200,0,MATCH(AE$2,Inputs!$D$2:$AG$2,0)),Inputs!$B$4:$B$200,$B22)/1000)</f>
        <v/>
      </c>
      <c r="AF22" s="11" t="str">
        <f>IF(AF$3=0,"",SUMIFS(INDEX(Inputs!$D$4:$AG$200,0,MATCH(AF$2,Inputs!$D$2:$AG$2,0)),Inputs!$B$4:$B$200,$B22)/1000)</f>
        <v/>
      </c>
      <c r="AG22" s="12" t="str">
        <f>IF(AF22="","",AF22)</f>
        <v/>
      </c>
    </row>
    <row r="23">
      <c r="B23" s="9" t="n">
        <v>19</v>
      </c>
      <c r="C23" s="14" t="inlineStr">
        <is>
          <t>Right-of-use-assets</t>
        </is>
      </c>
      <c r="D23" s="11">
        <f>IF(D$3=0,"",SUMIFS(INDEX(Inputs!$D$4:$AG$200,0,MATCH(D$2,Inputs!$D$2:$AG$2,0)),Inputs!$B$4:$B$200,$B23)/1000)</f>
        <v>0</v>
      </c>
      <c r="E23" s="11">
        <f>IF(E$3=0,"",SUMIFS(INDEX(Inputs!$D$4:$AG$200,0,MATCH(E$2,Inputs!$D$2:$AG$2,0)),Inputs!$B$4:$B$200,$B23)/1000)</f>
        <v>0</v>
      </c>
      <c r="F23" s="11">
        <f>IF(F$3=0,"",SUMIFS(INDEX(Inputs!$D$4:$AG$200,0,MATCH(F$2,Inputs!$D$2:$AG$2,0)),Inputs!$B$4:$B$200,$B23)/1000)</f>
        <v>0</v>
      </c>
      <c r="G23" s="11">
        <f>IF(G$3=0,"",SUMIFS(INDEX(Inputs!$D$4:$AG$200,0,MATCH(G$2,Inputs!$D$2:$AG$2,0)),Inputs!$B$4:$B$200,$B23)/1000)</f>
        <v>0</v>
      </c>
      <c r="H23" s="12">
        <f>IF(G23="","",G23)</f>
        <v>0</v>
      </c>
      <c r="I23" s="11">
        <f>IF(I$3=0,"",SUMIFS(INDEX(Inputs!$D$4:$AG$200,0,MATCH(I$2,Inputs!$D$2:$AG$2,0)),Inputs!$B$4:$B$200,$B23)/1000)</f>
        <v>0</v>
      </c>
      <c r="J23" s="11">
        <f>IF(J$3=0,"",SUMIFS(INDEX(Inputs!$D$4:$AG$200,0,MATCH(J$2,Inputs!$D$2:$AG$2,0)),Inputs!$B$4:$B$200,$B23)/1000)</f>
        <v>0</v>
      </c>
      <c r="K23" s="11">
        <f>IF(K$3=0,"",SUMIFS(INDEX(Inputs!$D$4:$AG$200,0,MATCH(K$2,Inputs!$D$2:$AG$2,0)),Inputs!$B$4:$B$200,$B23)/1000)</f>
        <v>0</v>
      </c>
      <c r="L23" s="11">
        <f>IF(L$3=0,"",SUMIFS(INDEX(Inputs!$D$4:$AG$200,0,MATCH(L$2,Inputs!$D$2:$AG$2,0)),Inputs!$B$4:$B$200,$B23)/1000)</f>
        <v>0</v>
      </c>
      <c r="M23" s="12">
        <f>IF(L23="","",L23)</f>
        <v>0</v>
      </c>
      <c r="N23" s="11">
        <f>IF(N$3=0,"",SUMIFS(INDEX(Inputs!$D$4:$AG$200,0,MATCH(N$2,Inputs!$D$2:$AG$2,0)),Inputs!$B$4:$B$200,$B23)/1000)</f>
        <v>0</v>
      </c>
      <c r="O23" s="11">
        <f>IF(O$3=0,"",SUMIFS(INDEX(Inputs!$D$4:$AG$200,0,MATCH(O$2,Inputs!$D$2:$AG$2,0)),Inputs!$B$4:$B$200,$B23)/1000)</f>
        <v>0</v>
      </c>
      <c r="P23" s="11">
        <f>IF(P$3=0,"",SUMIFS(INDEX(Inputs!$D$4:$AG$200,0,MATCH(P$2,Inputs!$D$2:$AG$2,0)),Inputs!$B$4:$B$200,$B23)/1000)</f>
        <v>0</v>
      </c>
      <c r="Q23" s="11">
        <f>IF(Q$3=0,"",SUMIFS(INDEX(Inputs!$D$4:$AG$200,0,MATCH(Q$2,Inputs!$D$2:$AG$2,0)),Inputs!$B$4:$B$200,$B23)/1000)</f>
        <v>0</v>
      </c>
      <c r="R23" s="12">
        <f>IF(Q23="","",Q23)</f>
        <v>0</v>
      </c>
      <c r="S23" s="11">
        <f>IF(S$3=0,"",SUMIFS(INDEX(Inputs!$D$4:$AG$200,0,MATCH(S$2,Inputs!$D$2:$AG$2,0)),Inputs!$B$4:$B$200,$B23)/1000)</f>
        <v>0</v>
      </c>
      <c r="T23" s="11">
        <f>IF(T$3=0,"",SUMIFS(INDEX(Inputs!$D$4:$AG$200,0,MATCH(T$2,Inputs!$D$2:$AG$2,0)),Inputs!$B$4:$B$200,$B23)/1000)</f>
        <v>0</v>
      </c>
      <c r="U23" s="11">
        <f>IF(U$3=0,"",SUMIFS(INDEX(Inputs!$D$4:$AG$200,0,MATCH(U$2,Inputs!$D$2:$AG$2,0)),Inputs!$B$4:$B$200,$B23)/1000)</f>
        <v>0</v>
      </c>
      <c r="V23" s="11">
        <f>IF(V$3=0,"",SUMIFS(INDEX(Inputs!$D$4:$AG$200,0,MATCH(V$2,Inputs!$D$2:$AG$2,0)),Inputs!$B$4:$B$200,$B23)/1000)</f>
        <v>0</v>
      </c>
      <c r="W23" s="12">
        <f>IF(V23="","",V23)</f>
        <v>0</v>
      </c>
      <c r="X23" s="11">
        <f>IF(X$3=0,"",SUMIFS(INDEX(Inputs!$D$4:$AG$200,0,MATCH(X$2,Inputs!$D$2:$AG$2,0)),Inputs!$B$4:$B$200,$B23)/1000)</f>
        <v>0</v>
      </c>
      <c r="Y23" s="11">
        <f>IF(Y$3=0,"",SUMIFS(INDEX(Inputs!$D$4:$AG$200,0,MATCH(Y$2,Inputs!$D$2:$AG$2,0)),Inputs!$B$4:$B$200,$B23)/1000)</f>
        <v>0</v>
      </c>
      <c r="Z23" s="11">
        <f>IF(Z$3=0,"",SUMIFS(INDEX(Inputs!$D$4:$AG$200,0,MATCH(Z$2,Inputs!$D$2:$AG$2,0)),Inputs!$B$4:$B$200,$B23)/1000)</f>
        <v>0</v>
      </c>
      <c r="AA23" s="11">
        <f>IF(AA$3=0,"",SUMIFS(INDEX(Inputs!$D$4:$AG$200,0,MATCH(AA$2,Inputs!$D$2:$AG$2,0)),Inputs!$B$4:$B$200,$B23)/1000)</f>
        <v>0</v>
      </c>
      <c r="AB23" s="12">
        <f>IF(AA23="","",AA23)</f>
        <v>0</v>
      </c>
      <c r="AC23" s="11">
        <f>IF(AC$3=0,"",SUMIFS(INDEX(Inputs!$D$4:$AG$200,0,MATCH(AC$2,Inputs!$D$2:$AG$2,0)),Inputs!$B$4:$B$200,$B23)/1000)</f>
        <v>0</v>
      </c>
      <c r="AD23" s="11">
        <f>IF(AD$3=0,"",SUMIFS(INDEX(Inputs!$D$4:$AG$200,0,MATCH(AD$2,Inputs!$D$2:$AG$2,0)),Inputs!$B$4:$B$200,$B23)/1000)</f>
        <v>0</v>
      </c>
      <c r="AE23" s="11" t="str">
        <f>IF(AE$3=0,"",SUMIFS(INDEX(Inputs!$D$4:$AG$200,0,MATCH(AE$2,Inputs!$D$2:$AG$2,0)),Inputs!$B$4:$B$200,$B23)/1000)</f>
        <v/>
      </c>
      <c r="AF23" s="11" t="str">
        <f>IF(AF$3=0,"",SUMIFS(INDEX(Inputs!$D$4:$AG$200,0,MATCH(AF$2,Inputs!$D$2:$AG$2,0)),Inputs!$B$4:$B$200,$B23)/1000)</f>
        <v/>
      </c>
      <c r="AG23" s="12" t="str">
        <f>IF(AF23="","",AF23)</f>
        <v/>
      </c>
    </row>
    <row r="24">
      <c r="B24" s="9" t="n">
        <v>20</v>
      </c>
      <c r="C24" s="14" t="inlineStr">
        <is>
          <t>Goodwill</t>
        </is>
      </c>
      <c r="D24" s="11">
        <f>IF(D$3=0,"",SUMIFS(INDEX(Inputs!$D$4:$AG$200,0,MATCH(D$2,Inputs!$D$2:$AG$2,0)),Inputs!$B$4:$B$200,$B24)/1000)</f>
        <v>0</v>
      </c>
      <c r="E24" s="11">
        <f>IF(E$3=0,"",SUMIFS(INDEX(Inputs!$D$4:$AG$200,0,MATCH(E$2,Inputs!$D$2:$AG$2,0)),Inputs!$B$4:$B$200,$B24)/1000)</f>
        <v>0</v>
      </c>
      <c r="F24" s="11">
        <f>IF(F$3=0,"",SUMIFS(INDEX(Inputs!$D$4:$AG$200,0,MATCH(F$2,Inputs!$D$2:$AG$2,0)),Inputs!$B$4:$B$200,$B24)/1000)</f>
        <v>0</v>
      </c>
      <c r="G24" s="11">
        <f>IF(G$3=0,"",SUMIFS(INDEX(Inputs!$D$4:$AG$200,0,MATCH(G$2,Inputs!$D$2:$AG$2,0)),Inputs!$B$4:$B$200,$B24)/1000)</f>
        <v>0</v>
      </c>
      <c r="H24" s="12">
        <f>IF(G24="","",G24)</f>
        <v>0</v>
      </c>
      <c r="I24" s="11">
        <f>IF(I$3=0,"",SUMIFS(INDEX(Inputs!$D$4:$AG$200,0,MATCH(I$2,Inputs!$D$2:$AG$2,0)),Inputs!$B$4:$B$200,$B24)/1000)</f>
        <v>0</v>
      </c>
      <c r="J24" s="11">
        <f>IF(J$3=0,"",SUMIFS(INDEX(Inputs!$D$4:$AG$200,0,MATCH(J$2,Inputs!$D$2:$AG$2,0)),Inputs!$B$4:$B$200,$B24)/1000)</f>
        <v>0</v>
      </c>
      <c r="K24" s="11">
        <f>IF(K$3=0,"",SUMIFS(INDEX(Inputs!$D$4:$AG$200,0,MATCH(K$2,Inputs!$D$2:$AG$2,0)),Inputs!$B$4:$B$200,$B24)/1000)</f>
        <v>0</v>
      </c>
      <c r="L24" s="11">
        <f>IF(L$3=0,"",SUMIFS(INDEX(Inputs!$D$4:$AG$200,0,MATCH(L$2,Inputs!$D$2:$AG$2,0)),Inputs!$B$4:$B$200,$B24)/1000)</f>
        <v>0</v>
      </c>
      <c r="M24" s="12">
        <f>IF(L24="","",L24)</f>
        <v>0</v>
      </c>
      <c r="N24" s="11">
        <f>IF(N$3=0,"",SUMIFS(INDEX(Inputs!$D$4:$AG$200,0,MATCH(N$2,Inputs!$D$2:$AG$2,0)),Inputs!$B$4:$B$200,$B24)/1000)</f>
        <v>0</v>
      </c>
      <c r="O24" s="11">
        <f>IF(O$3=0,"",SUMIFS(INDEX(Inputs!$D$4:$AG$200,0,MATCH(O$2,Inputs!$D$2:$AG$2,0)),Inputs!$B$4:$B$200,$B24)/1000)</f>
        <v>0</v>
      </c>
      <c r="P24" s="11">
        <f>IF(P$3=0,"",SUMIFS(INDEX(Inputs!$D$4:$AG$200,0,MATCH(P$2,Inputs!$D$2:$AG$2,0)),Inputs!$B$4:$B$200,$B24)/1000)</f>
        <v>0</v>
      </c>
      <c r="Q24" s="11">
        <f>IF(Q$3=0,"",SUMIFS(INDEX(Inputs!$D$4:$AG$200,0,MATCH(Q$2,Inputs!$D$2:$AG$2,0)),Inputs!$B$4:$B$200,$B24)/1000)</f>
        <v>0</v>
      </c>
      <c r="R24" s="12">
        <f>IF(Q24="","",Q24)</f>
        <v>0</v>
      </c>
      <c r="S24" s="11">
        <f>IF(S$3=0,"",SUMIFS(INDEX(Inputs!$D$4:$AG$200,0,MATCH(S$2,Inputs!$D$2:$AG$2,0)),Inputs!$B$4:$B$200,$B24)/1000)</f>
        <v>0</v>
      </c>
      <c r="T24" s="11">
        <f>IF(T$3=0,"",SUMIFS(INDEX(Inputs!$D$4:$AG$200,0,MATCH(T$2,Inputs!$D$2:$AG$2,0)),Inputs!$B$4:$B$200,$B24)/1000)</f>
        <v>0</v>
      </c>
      <c r="U24" s="11">
        <f>IF(U$3=0,"",SUMIFS(INDEX(Inputs!$D$4:$AG$200,0,MATCH(U$2,Inputs!$D$2:$AG$2,0)),Inputs!$B$4:$B$200,$B24)/1000)</f>
        <v>0</v>
      </c>
      <c r="V24" s="11">
        <f>IF(V$3=0,"",SUMIFS(INDEX(Inputs!$D$4:$AG$200,0,MATCH(V$2,Inputs!$D$2:$AG$2,0)),Inputs!$B$4:$B$200,$B24)/1000)</f>
        <v>0</v>
      </c>
      <c r="W24" s="12">
        <f>IF(V24="","",V24)</f>
        <v>0</v>
      </c>
      <c r="X24" s="11">
        <f>IF(X$3=0,"",SUMIFS(INDEX(Inputs!$D$4:$AG$200,0,MATCH(X$2,Inputs!$D$2:$AG$2,0)),Inputs!$B$4:$B$200,$B24)/1000)</f>
        <v>0</v>
      </c>
      <c r="Y24" s="11">
        <f>IF(Y$3=0,"",SUMIFS(INDEX(Inputs!$D$4:$AG$200,0,MATCH(Y$2,Inputs!$D$2:$AG$2,0)),Inputs!$B$4:$B$200,$B24)/1000)</f>
        <v>0</v>
      </c>
      <c r="Z24" s="11">
        <f>IF(Z$3=0,"",SUMIFS(INDEX(Inputs!$D$4:$AG$200,0,MATCH(Z$2,Inputs!$D$2:$AG$2,0)),Inputs!$B$4:$B$200,$B24)/1000)</f>
        <v>0</v>
      </c>
      <c r="AA24" s="11">
        <f>IF(AA$3=0,"",SUMIFS(INDEX(Inputs!$D$4:$AG$200,0,MATCH(AA$2,Inputs!$D$2:$AG$2,0)),Inputs!$B$4:$B$200,$B24)/1000)</f>
        <v>0</v>
      </c>
      <c r="AB24" s="12">
        <f>IF(AA24="","",AA24)</f>
        <v>0</v>
      </c>
      <c r="AC24" s="11">
        <f>IF(AC$3=0,"",SUMIFS(INDEX(Inputs!$D$4:$AG$200,0,MATCH(AC$2,Inputs!$D$2:$AG$2,0)),Inputs!$B$4:$B$200,$B24)/1000)</f>
        <v>0</v>
      </c>
      <c r="AD24" s="11">
        <f>IF(AD$3=0,"",SUMIFS(INDEX(Inputs!$D$4:$AG$200,0,MATCH(AD$2,Inputs!$D$2:$AG$2,0)),Inputs!$B$4:$B$200,$B24)/1000)</f>
        <v>0</v>
      </c>
      <c r="AE24" s="11" t="str">
        <f>IF(AE$3=0,"",SUMIFS(INDEX(Inputs!$D$4:$AG$200,0,MATCH(AE$2,Inputs!$D$2:$AG$2,0)),Inputs!$B$4:$B$200,$B24)/1000)</f>
        <v/>
      </c>
      <c r="AF24" s="11" t="str">
        <f>IF(AF$3=0,"",SUMIFS(INDEX(Inputs!$D$4:$AG$200,0,MATCH(AF$2,Inputs!$D$2:$AG$2,0)),Inputs!$B$4:$B$200,$B24)/1000)</f>
        <v/>
      </c>
      <c r="AG24" s="12" t="str">
        <f>IF(AF24="","",AF24)</f>
        <v/>
      </c>
    </row>
    <row r="25">
      <c r="B25" s="9" t="n">
        <v>21</v>
      </c>
      <c r="C25" s="14" t="inlineStr">
        <is>
          <t>Intangibles</t>
        </is>
      </c>
      <c r="D25" s="11">
        <f>IF(D$3=0,"",SUMIFS(INDEX(Inputs!$D$4:$AG$200,0,MATCH(D$2,Inputs!$D$2:$AG$2,0)),Inputs!$B$4:$B$200,$B25)/1000)</f>
        <v>156.288</v>
      </c>
      <c r="E25" s="11">
        <f>IF(E$3=0,"",SUMIFS(INDEX(Inputs!$D$4:$AG$200,0,MATCH(E$2,Inputs!$D$2:$AG$2,0)),Inputs!$B$4:$B$200,$B25)/1000)</f>
        <v>157.252</v>
      </c>
      <c r="F25" s="11">
        <f>IF(F$3=0,"",SUMIFS(INDEX(Inputs!$D$4:$AG$200,0,MATCH(F$2,Inputs!$D$2:$AG$2,0)),Inputs!$B$4:$B$200,$B25)/1000)</f>
        <v>168.4</v>
      </c>
      <c r="G25" s="11">
        <f>IF(G$3=0,"",SUMIFS(INDEX(Inputs!$D$4:$AG$200,0,MATCH(G$2,Inputs!$D$2:$AG$2,0)),Inputs!$B$4:$B$200,$B25)/1000)</f>
        <v>175.044</v>
      </c>
      <c r="H25" s="12">
        <f>IF(G25="","",G25)</f>
        <v>175.044</v>
      </c>
      <c r="I25" s="11">
        <f>IF(I$3=0,"",SUMIFS(INDEX(Inputs!$D$4:$AG$200,0,MATCH(I$2,Inputs!$D$2:$AG$2,0)),Inputs!$B$4:$B$200,$B25)/1000)</f>
        <v>181.788</v>
      </c>
      <c r="J25" s="11">
        <f>IF(J$3=0,"",SUMIFS(INDEX(Inputs!$D$4:$AG$200,0,MATCH(J$2,Inputs!$D$2:$AG$2,0)),Inputs!$B$4:$B$200,$B25)/1000)</f>
        <v>200.519</v>
      </c>
      <c r="K25" s="11">
        <f>IF(K$3=0,"",SUMIFS(INDEX(Inputs!$D$4:$AG$200,0,MATCH(K$2,Inputs!$D$2:$AG$2,0)),Inputs!$B$4:$B$200,$B25)/1000)</f>
        <v>210.136</v>
      </c>
      <c r="L25" s="11">
        <f>IF(L$3=0,"",SUMIFS(INDEX(Inputs!$D$4:$AG$200,0,MATCH(L$2,Inputs!$D$2:$AG$2,0)),Inputs!$B$4:$B$200,$B25)/1000)</f>
        <v>287.792</v>
      </c>
      <c r="M25" s="12">
        <f>IF(L25="","",L25)</f>
        <v>287.792</v>
      </c>
      <c r="N25" s="11">
        <f>IF(N$3=0,"",SUMIFS(INDEX(Inputs!$D$4:$AG$200,0,MATCH(N$2,Inputs!$D$2:$AG$2,0)),Inputs!$B$4:$B$200,$B25)/1000)</f>
        <v>298.068</v>
      </c>
      <c r="O25" s="11">
        <f>IF(O$3=0,"",SUMIFS(INDEX(Inputs!$D$4:$AG$200,0,MATCH(O$2,Inputs!$D$2:$AG$2,0)),Inputs!$B$4:$B$200,$B25)/1000)</f>
        <v>299.325</v>
      </c>
      <c r="P25" s="11">
        <f>IF(P$3=0,"",SUMIFS(INDEX(Inputs!$D$4:$AG$200,0,MATCH(P$2,Inputs!$D$2:$AG$2,0)),Inputs!$B$4:$B$200,$B25)/1000)</f>
        <v>304.534</v>
      </c>
      <c r="Q25" s="11">
        <f>IF(Q$3=0,"",SUMIFS(INDEX(Inputs!$D$4:$AG$200,0,MATCH(Q$2,Inputs!$D$2:$AG$2,0)),Inputs!$B$4:$B$200,$B25)/1000)</f>
        <v>336.311</v>
      </c>
      <c r="R25" s="12">
        <f>IF(Q25="","",Q25)</f>
        <v>336.311</v>
      </c>
      <c r="S25" s="11">
        <f>IF(S$3=0,"",SUMIFS(INDEX(Inputs!$D$4:$AG$200,0,MATCH(S$2,Inputs!$D$2:$AG$2,0)),Inputs!$B$4:$B$200,$B25)/1000)</f>
        <v>329.214</v>
      </c>
      <c r="T25" s="11">
        <f>IF(T$3=0,"",SUMIFS(INDEX(Inputs!$D$4:$AG$200,0,MATCH(T$2,Inputs!$D$2:$AG$2,0)),Inputs!$B$4:$B$200,$B25)/1000)</f>
        <v>335.703</v>
      </c>
      <c r="U25" s="11">
        <f>IF(U$3=0,"",SUMIFS(INDEX(Inputs!$D$4:$AG$200,0,MATCH(U$2,Inputs!$D$2:$AG$2,0)),Inputs!$B$4:$B$200,$B25)/1000)</f>
        <v>339.4</v>
      </c>
      <c r="V25" s="11">
        <f>IF(V$3=0,"",SUMIFS(INDEX(Inputs!$D$4:$AG$200,0,MATCH(V$2,Inputs!$D$2:$AG$2,0)),Inputs!$B$4:$B$200,$B25)/1000)</f>
        <v>342.163</v>
      </c>
      <c r="W25" s="12">
        <f>IF(V25="","",V25)</f>
        <v>342.163</v>
      </c>
      <c r="X25" s="11">
        <f>IF(X$3=0,"",SUMIFS(INDEX(Inputs!$D$4:$AG$200,0,MATCH(X$2,Inputs!$D$2:$AG$2,0)),Inputs!$B$4:$B$200,$B25)/1000)</f>
        <v>348.058</v>
      </c>
      <c r="Y25" s="11">
        <f>IF(Y$3=0,"",SUMIFS(INDEX(Inputs!$D$4:$AG$200,0,MATCH(Y$2,Inputs!$D$2:$AG$2,0)),Inputs!$B$4:$B$200,$B25)/1000)</f>
        <v>353.536</v>
      </c>
      <c r="Z25" s="11">
        <f>IF(Z$3=0,"",SUMIFS(INDEX(Inputs!$D$4:$AG$200,0,MATCH(Z$2,Inputs!$D$2:$AG$2,0)),Inputs!$B$4:$B$200,$B25)/1000)</f>
        <v>347.501</v>
      </c>
      <c r="AA25" s="11">
        <f>IF(AA$3=0,"",SUMIFS(INDEX(Inputs!$D$4:$AG$200,0,MATCH(AA$2,Inputs!$D$2:$AG$2,0)),Inputs!$B$4:$B$200,$B25)/1000)</f>
        <v>350.075</v>
      </c>
      <c r="AB25" s="12">
        <f>IF(AA25="","",AA25)</f>
        <v>350.075</v>
      </c>
      <c r="AC25" s="11">
        <f>IF(AC$3=0,"",SUMIFS(INDEX(Inputs!$D$4:$AG$200,0,MATCH(AC$2,Inputs!$D$2:$AG$2,0)),Inputs!$B$4:$B$200,$B25)/1000)</f>
        <v>357.283</v>
      </c>
      <c r="AD25" s="11">
        <f>IF(AD$3=0,"",SUMIFS(INDEX(Inputs!$D$4:$AG$200,0,MATCH(AD$2,Inputs!$D$2:$AG$2,0)),Inputs!$B$4:$B$200,$B25)/1000)</f>
        <v>384.741</v>
      </c>
      <c r="AE25" s="11" t="str">
        <f>IF(AE$3=0,"",SUMIFS(INDEX(Inputs!$D$4:$AG$200,0,MATCH(AE$2,Inputs!$D$2:$AG$2,0)),Inputs!$B$4:$B$200,$B25)/1000)</f>
        <v/>
      </c>
      <c r="AF25" s="11" t="str">
        <f>IF(AF$3=0,"",SUMIFS(INDEX(Inputs!$D$4:$AG$200,0,MATCH(AF$2,Inputs!$D$2:$AG$2,0)),Inputs!$B$4:$B$200,$B25)/1000)</f>
        <v/>
      </c>
      <c r="AG25" s="12" t="str">
        <f>IF(AF25="","",AF25)</f>
        <v/>
      </c>
    </row>
    <row r="26">
      <c r="B26" s="9" t="n">
        <v>22</v>
      </c>
      <c r="C26" s="14" t="inlineStr">
        <is>
          <t>Other non-current assets</t>
        </is>
      </c>
      <c r="D26" s="11">
        <f>IF(D$3=0,"",SUMIFS(INDEX(Inputs!$D$4:$AG$200,0,MATCH(D$2,Inputs!$D$2:$AG$2,0)),Inputs!$B$4:$B$200,$B26)/1000)</f>
        <v>225.68</v>
      </c>
      <c r="E26" s="11">
        <f>IF(E$3=0,"",SUMIFS(INDEX(Inputs!$D$4:$AG$200,0,MATCH(E$2,Inputs!$D$2:$AG$2,0)),Inputs!$B$4:$B$200,$B26)/1000)</f>
        <v>214.682</v>
      </c>
      <c r="F26" s="11">
        <f>IF(F$3=0,"",SUMIFS(INDEX(Inputs!$D$4:$AG$200,0,MATCH(F$2,Inputs!$D$2:$AG$2,0)),Inputs!$B$4:$B$200,$B26)/1000)</f>
        <v>290.818</v>
      </c>
      <c r="G26" s="11">
        <f>IF(G$3=0,"",SUMIFS(INDEX(Inputs!$D$4:$AG$200,0,MATCH(G$2,Inputs!$D$2:$AG$2,0)),Inputs!$B$4:$B$200,$B26)/1000)</f>
        <v>245.449</v>
      </c>
      <c r="H26" s="12">
        <f>IF(G26="","",G26)</f>
        <v>245.449</v>
      </c>
      <c r="I26" s="11">
        <f>IF(I$3=0,"",SUMIFS(INDEX(Inputs!$D$4:$AG$200,0,MATCH(I$2,Inputs!$D$2:$AG$2,0)),Inputs!$B$4:$B$200,$B26)/1000)</f>
        <v>252.512</v>
      </c>
      <c r="J26" s="11">
        <f>IF(J$3=0,"",SUMIFS(INDEX(Inputs!$D$4:$AG$200,0,MATCH(J$2,Inputs!$D$2:$AG$2,0)),Inputs!$B$4:$B$200,$B26)/1000)</f>
        <v>277.495</v>
      </c>
      <c r="K26" s="11">
        <f>IF(K$3=0,"",SUMIFS(INDEX(Inputs!$D$4:$AG$200,0,MATCH(K$2,Inputs!$D$2:$AG$2,0)),Inputs!$B$4:$B$200,$B26)/1000)</f>
        <v>674.305</v>
      </c>
      <c r="L26" s="11">
        <f>IF(L$3=0,"",SUMIFS(INDEX(Inputs!$D$4:$AG$200,0,MATCH(L$2,Inputs!$D$2:$AG$2,0)),Inputs!$B$4:$B$200,$B26)/1000)</f>
        <v>675.656</v>
      </c>
      <c r="M26" s="12">
        <f>IF(L26="","",L26)</f>
        <v>675.656</v>
      </c>
      <c r="N26" s="11">
        <f>IF(N$3=0,"",SUMIFS(INDEX(Inputs!$D$4:$AG$200,0,MATCH(N$2,Inputs!$D$2:$AG$2,0)),Inputs!$B$4:$B$200,$B26)/1000)</f>
        <v>755.835</v>
      </c>
      <c r="O26" s="11">
        <f>IF(O$3=0,"",SUMIFS(INDEX(Inputs!$D$4:$AG$200,0,MATCH(O$2,Inputs!$D$2:$AG$2,0)),Inputs!$B$4:$B$200,$B26)/1000)</f>
        <v>707.422</v>
      </c>
      <c r="P26" s="11">
        <f>IF(P$3=0,"",SUMIFS(INDEX(Inputs!$D$4:$AG$200,0,MATCH(P$2,Inputs!$D$2:$AG$2,0)),Inputs!$B$4:$B$200,$B26)/1000)</f>
        <v>659.186</v>
      </c>
      <c r="Q26" s="11">
        <f>IF(Q$3=0,"",SUMIFS(INDEX(Inputs!$D$4:$AG$200,0,MATCH(Q$2,Inputs!$D$2:$AG$2,0)),Inputs!$B$4:$B$200,$B26)/1000)</f>
        <v>713.693</v>
      </c>
      <c r="R26" s="12">
        <f>IF(Q26="","",Q26)</f>
        <v>713.693</v>
      </c>
      <c r="S26" s="11">
        <f>IF(S$3=0,"",SUMIFS(INDEX(Inputs!$D$4:$AG$200,0,MATCH(S$2,Inputs!$D$2:$AG$2,0)),Inputs!$B$4:$B$200,$B26)/1000)</f>
        <v>764.144</v>
      </c>
      <c r="T26" s="11">
        <f>IF(T$3=0,"",SUMIFS(INDEX(Inputs!$D$4:$AG$200,0,MATCH(T$2,Inputs!$D$2:$AG$2,0)),Inputs!$B$4:$B$200,$B26)/1000)</f>
        <v>1312.67</v>
      </c>
      <c r="U26" s="11">
        <f>IF(U$3=0,"",SUMIFS(INDEX(Inputs!$D$4:$AG$200,0,MATCH(U$2,Inputs!$D$2:$AG$2,0)),Inputs!$B$4:$B$200,$B26)/1000)</f>
        <v>1379.633</v>
      </c>
      <c r="V26" s="11">
        <f>IF(V$3=0,"",SUMIFS(INDEX(Inputs!$D$4:$AG$200,0,MATCH(V$2,Inputs!$D$2:$AG$2,0)),Inputs!$B$4:$B$200,$B26)/1000)</f>
        <v>1367.26</v>
      </c>
      <c r="W26" s="12">
        <f>IF(V26="","",V26)</f>
        <v>1367.26</v>
      </c>
      <c r="X26" s="11">
        <f>IF(X$3=0,"",SUMIFS(INDEX(Inputs!$D$4:$AG$200,0,MATCH(X$2,Inputs!$D$2:$AG$2,0)),Inputs!$B$4:$B$200,$B26)/1000)</f>
        <v>927.891</v>
      </c>
      <c r="Y26" s="11">
        <f>IF(Y$3=0,"",SUMIFS(INDEX(Inputs!$D$4:$AG$200,0,MATCH(Y$2,Inputs!$D$2:$AG$2,0)),Inputs!$B$4:$B$200,$B26)/1000)</f>
        <v>328.817</v>
      </c>
      <c r="Z26" s="11">
        <f>IF(Z$3=0,"",SUMIFS(INDEX(Inputs!$D$4:$AG$200,0,MATCH(Z$2,Inputs!$D$2:$AG$2,0)),Inputs!$B$4:$B$200,$B26)/1000)</f>
        <v>390.774</v>
      </c>
      <c r="AA26" s="11">
        <f>IF(AA$3=0,"",SUMIFS(INDEX(Inputs!$D$4:$AG$200,0,MATCH(AA$2,Inputs!$D$2:$AG$2,0)),Inputs!$B$4:$B$200,$B26)/1000)</f>
        <v>587.492</v>
      </c>
      <c r="AB26" s="12">
        <f>IF(AA26="","",AA26)</f>
        <v>587.492</v>
      </c>
      <c r="AC26" s="11">
        <f>IF(AC$3=0,"",SUMIFS(INDEX(Inputs!$D$4:$AG$200,0,MATCH(AC$2,Inputs!$D$2:$AG$2,0)),Inputs!$B$4:$B$200,$B26)/1000)</f>
        <v>633.65</v>
      </c>
      <c r="AD26" s="11">
        <f>IF(AD$3=0,"",SUMIFS(INDEX(Inputs!$D$4:$AG$200,0,MATCH(AD$2,Inputs!$D$2:$AG$2,0)),Inputs!$B$4:$B$200,$B26)/1000)</f>
        <v>655.395</v>
      </c>
      <c r="AE26" s="11" t="str">
        <f>IF(AE$3=0,"",SUMIFS(INDEX(Inputs!$D$4:$AG$200,0,MATCH(AE$2,Inputs!$D$2:$AG$2,0)),Inputs!$B$4:$B$200,$B26)/1000)</f>
        <v/>
      </c>
      <c r="AF26" s="11" t="str">
        <f>IF(AF$3=0,"",SUMIFS(INDEX(Inputs!$D$4:$AG$200,0,MATCH(AF$2,Inputs!$D$2:$AG$2,0)),Inputs!$B$4:$B$200,$B26)/1000)</f>
        <v/>
      </c>
      <c r="AG26" s="12" t="str">
        <f>IF(AF26="","",AF26)</f>
        <v/>
      </c>
    </row>
    <row r="27">
      <c r="C27" s="3" t="n"/>
    </row>
    <row r="28">
      <c r="B28" s="9" t="n">
        <v>23</v>
      </c>
      <c r="C28" s="14" t="inlineStr">
        <is>
          <t>Accounts payable</t>
        </is>
      </c>
      <c r="D28" s="11">
        <f>IF(D$3=0,"",SUMIFS(INDEX(Inputs!$D$4:$AG$200,0,MATCH(D$2,Inputs!$D$2:$AG$2,0)),Inputs!$B$4:$B$200,$B28)/1000)</f>
        <v>945.486</v>
      </c>
      <c r="E28" s="11">
        <f>IF(E$3=0,"",SUMIFS(INDEX(Inputs!$D$4:$AG$200,0,MATCH(E$2,Inputs!$D$2:$AG$2,0)),Inputs!$B$4:$B$200,$B28)/1000)</f>
        <v>1343.416</v>
      </c>
      <c r="F28" s="11">
        <f>IF(F$3=0,"",SUMIFS(INDEX(Inputs!$D$4:$AG$200,0,MATCH(F$2,Inputs!$D$2:$AG$2,0)),Inputs!$B$4:$B$200,$B28)/1000)</f>
        <v>1360.476</v>
      </c>
      <c r="G28" s="11">
        <f>IF(G$3=0,"",SUMIFS(INDEX(Inputs!$D$4:$AG$200,0,MATCH(G$2,Inputs!$D$2:$AG$2,0)),Inputs!$B$4:$B$200,$B28)/1000)</f>
        <v>2316.752</v>
      </c>
      <c r="H28" s="12">
        <f>IF(G28="","",G28)</f>
        <v>2316.752</v>
      </c>
      <c r="I28" s="11">
        <f>IF(I$3=0,"",SUMIFS(INDEX(Inputs!$D$4:$AG$200,0,MATCH(I$2,Inputs!$D$2:$AG$2,0)),Inputs!$B$4:$B$200,$B28)/1000)</f>
        <v>1725.608</v>
      </c>
      <c r="J28" s="11">
        <f>IF(J$3=0,"",SUMIFS(INDEX(Inputs!$D$4:$AG$200,0,MATCH(J$2,Inputs!$D$2:$AG$2,0)),Inputs!$B$4:$B$200,$B28)/1000)</f>
        <v>2454.363</v>
      </c>
      <c r="K28" s="11">
        <f>IF(K$3=0,"",SUMIFS(INDEX(Inputs!$D$4:$AG$200,0,MATCH(K$2,Inputs!$D$2:$AG$2,0)),Inputs!$B$4:$B$200,$B28)/1000)</f>
        <v>1654.353</v>
      </c>
      <c r="L28" s="11">
        <f>IF(L$3=0,"",SUMIFS(INDEX(Inputs!$D$4:$AG$200,0,MATCH(L$2,Inputs!$D$2:$AG$2,0)),Inputs!$B$4:$B$200,$B28)/1000)</f>
        <v>2264.908</v>
      </c>
      <c r="M28" s="12">
        <f>IF(L28="","",L28)</f>
        <v>2264.908</v>
      </c>
      <c r="N28" s="11">
        <f>IF(N$3=0,"",SUMIFS(INDEX(Inputs!$D$4:$AG$200,0,MATCH(N$2,Inputs!$D$2:$AG$2,0)),Inputs!$B$4:$B$200,$B28)/1000)</f>
        <v>1063.365</v>
      </c>
      <c r="O28" s="11">
        <f>IF(O$3=0,"",SUMIFS(INDEX(Inputs!$D$4:$AG$200,0,MATCH(O$2,Inputs!$D$2:$AG$2,0)),Inputs!$B$4:$B$200,$B28)/1000)</f>
        <v>928.577</v>
      </c>
      <c r="P28" s="11">
        <f>IF(P$3=0,"",SUMIFS(INDEX(Inputs!$D$4:$AG$200,0,MATCH(P$2,Inputs!$D$2:$AG$2,0)),Inputs!$B$4:$B$200,$B28)/1000)</f>
        <v>2091.418</v>
      </c>
      <c r="Q28" s="11">
        <f>IF(Q$3=0,"",SUMIFS(INDEX(Inputs!$D$4:$AG$200,0,MATCH(Q$2,Inputs!$D$2:$AG$2,0)),Inputs!$B$4:$B$200,$B28)/1000)</f>
        <v>4751.328</v>
      </c>
      <c r="R28" s="12">
        <f>IF(Q28="","",Q28)</f>
        <v>4751.328</v>
      </c>
      <c r="S28" s="11">
        <f>IF(S$3=0,"",SUMIFS(INDEX(Inputs!$D$4:$AG$200,0,MATCH(S$2,Inputs!$D$2:$AG$2,0)),Inputs!$B$4:$B$200,$B28)/1000)</f>
        <v>4072.857</v>
      </c>
      <c r="T28" s="11">
        <f>IF(T$3=0,"",SUMIFS(INDEX(Inputs!$D$4:$AG$200,0,MATCH(T$2,Inputs!$D$2:$AG$2,0)),Inputs!$B$4:$B$200,$B28)/1000)</f>
        <v>3641.977</v>
      </c>
      <c r="U28" s="11">
        <f>IF(U$3=0,"",SUMIFS(INDEX(Inputs!$D$4:$AG$200,0,MATCH(U$2,Inputs!$D$2:$AG$2,0)),Inputs!$B$4:$B$200,$B28)/1000)</f>
        <v>3717.829</v>
      </c>
      <c r="V28" s="11">
        <f>IF(V$3=0,"",SUMIFS(INDEX(Inputs!$D$4:$AG$200,0,MATCH(V$2,Inputs!$D$2:$AG$2,0)),Inputs!$B$4:$B$200,$B28)/1000)</f>
        <v>5318.16</v>
      </c>
      <c r="W28" s="12">
        <f>IF(V28="","",V28)</f>
        <v>5318.16</v>
      </c>
      <c r="X28" s="11">
        <f>IF(X$3=0,"",SUMIFS(INDEX(Inputs!$D$4:$AG$200,0,MATCH(X$2,Inputs!$D$2:$AG$2,0)),Inputs!$B$4:$B$200,$B28)/1000)</f>
        <v>3497.195</v>
      </c>
      <c r="Y28" s="11">
        <f>IF(Y$3=0,"",SUMIFS(INDEX(Inputs!$D$4:$AG$200,0,MATCH(Y$2,Inputs!$D$2:$AG$2,0)),Inputs!$B$4:$B$200,$B28)/1000)</f>
        <v>4481.643</v>
      </c>
      <c r="Z28" s="11">
        <f>IF(Z$3=0,"",SUMIFS(INDEX(Inputs!$D$4:$AG$200,0,MATCH(Z$2,Inputs!$D$2:$AG$2,0)),Inputs!$B$4:$B$200,$B28)/1000)</f>
        <v>4425.851</v>
      </c>
      <c r="AA28" s="11">
        <f>IF(AA$3=0,"",SUMIFS(INDEX(Inputs!$D$4:$AG$200,0,MATCH(AA$2,Inputs!$D$2:$AG$2,0)),Inputs!$B$4:$B$200,$B28)/1000)</f>
        <v>5854.754</v>
      </c>
      <c r="AB28" s="12">
        <f>IF(AA28="","",AA28)</f>
        <v>5854.754</v>
      </c>
      <c r="AC28" s="11">
        <f>IF(AC$3=0,"",SUMIFS(INDEX(Inputs!$D$4:$AG$200,0,MATCH(AC$2,Inputs!$D$2:$AG$2,0)),Inputs!$B$4:$B$200,$B28)/1000)</f>
        <v>5026.274</v>
      </c>
      <c r="AD28" s="11">
        <f>IF(AD$3=0,"",SUMIFS(INDEX(Inputs!$D$4:$AG$200,0,MATCH(AD$2,Inputs!$D$2:$AG$2,0)),Inputs!$B$4:$B$200,$B28)/1000)</f>
        <v>5451.752</v>
      </c>
      <c r="AE28" s="11" t="str">
        <f>IF(AE$3=0,"",SUMIFS(INDEX(Inputs!$D$4:$AG$200,0,MATCH(AE$2,Inputs!$D$2:$AG$2,0)),Inputs!$B$4:$B$200,$B28)/1000)</f>
        <v/>
      </c>
      <c r="AF28" s="11" t="str">
        <f>IF(AF$3=0,"",SUMIFS(INDEX(Inputs!$D$4:$AG$200,0,MATCH(AF$2,Inputs!$D$2:$AG$2,0)),Inputs!$B$4:$B$200,$B28)/1000)</f>
        <v/>
      </c>
      <c r="AG28" s="12" t="str">
        <f>IF(AF28="","",AF28)</f>
        <v/>
      </c>
    </row>
    <row r="29">
      <c r="B29" s="9" t="n">
        <v>24</v>
      </c>
      <c r="C29" s="14" t="inlineStr">
        <is>
          <t>Accrued expenses</t>
        </is>
      </c>
      <c r="D29" s="11">
        <f>IF(D$3=0,"",SUMIFS(INDEX(Inputs!$D$4:$AG$200,0,MATCH(D$2,Inputs!$D$2:$AG$2,0)),Inputs!$B$4:$B$200,$B29)/1000)</f>
        <v>60.032</v>
      </c>
      <c r="E29" s="11">
        <f>IF(E$3=0,"",SUMIFS(INDEX(Inputs!$D$4:$AG$200,0,MATCH(E$2,Inputs!$D$2:$AG$2,0)),Inputs!$B$4:$B$200,$B29)/1000)</f>
        <v>70.925</v>
      </c>
      <c r="F29" s="11">
        <f>IF(F$3=0,"",SUMIFS(INDEX(Inputs!$D$4:$AG$200,0,MATCH(F$2,Inputs!$D$2:$AG$2,0)),Inputs!$B$4:$B$200,$B29)/1000)</f>
        <v>73.609</v>
      </c>
      <c r="G29" s="11">
        <f>IF(G$3=0,"",SUMIFS(INDEX(Inputs!$D$4:$AG$200,0,MATCH(G$2,Inputs!$D$2:$AG$2,0)),Inputs!$B$4:$B$200,$B29)/1000)</f>
        <v>66.977</v>
      </c>
      <c r="H29" s="12">
        <f>IF(G29="","",G29)</f>
        <v>66.977</v>
      </c>
      <c r="I29" s="11">
        <f>IF(I$3=0,"",SUMIFS(INDEX(Inputs!$D$4:$AG$200,0,MATCH(I$2,Inputs!$D$2:$AG$2,0)),Inputs!$B$4:$B$200,$B29)/1000)</f>
        <v>80.682</v>
      </c>
      <c r="J29" s="11">
        <f>IF(J$3=0,"",SUMIFS(INDEX(Inputs!$D$4:$AG$200,0,MATCH(J$2,Inputs!$D$2:$AG$2,0)),Inputs!$B$4:$B$200,$B29)/1000)</f>
        <v>75.787</v>
      </c>
      <c r="K29" s="11">
        <f>IF(K$3=0,"",SUMIFS(INDEX(Inputs!$D$4:$AG$200,0,MATCH(K$2,Inputs!$D$2:$AG$2,0)),Inputs!$B$4:$B$200,$B29)/1000)</f>
        <v>92.79</v>
      </c>
      <c r="L29" s="11">
        <f>IF(L$3=0,"",SUMIFS(INDEX(Inputs!$D$4:$AG$200,0,MATCH(L$2,Inputs!$D$2:$AG$2,0)),Inputs!$B$4:$B$200,$B29)/1000)</f>
        <v>106.456</v>
      </c>
      <c r="M29" s="12">
        <f>IF(L29="","",L29)</f>
        <v>106.456</v>
      </c>
      <c r="N29" s="11">
        <f>IF(N$3=0,"",SUMIFS(INDEX(Inputs!$D$4:$AG$200,0,MATCH(N$2,Inputs!$D$2:$AG$2,0)),Inputs!$B$4:$B$200,$B29)/1000)</f>
        <v>129.605</v>
      </c>
      <c r="O29" s="11">
        <f>IF(O$3=0,"",SUMIFS(INDEX(Inputs!$D$4:$AG$200,0,MATCH(O$2,Inputs!$D$2:$AG$2,0)),Inputs!$B$4:$B$200,$B29)/1000)</f>
        <v>136.441</v>
      </c>
      <c r="P29" s="11">
        <f>IF(P$3=0,"",SUMIFS(INDEX(Inputs!$D$4:$AG$200,0,MATCH(P$2,Inputs!$D$2:$AG$2,0)),Inputs!$B$4:$B$200,$B29)/1000)</f>
        <v>151.666</v>
      </c>
      <c r="Q29" s="11">
        <f>IF(Q$3=0,"",SUMIFS(INDEX(Inputs!$D$4:$AG$200,0,MATCH(Q$2,Inputs!$D$2:$AG$2,0)),Inputs!$B$4:$B$200,$B29)/1000)</f>
        <v>155.655</v>
      </c>
      <c r="R29" s="12">
        <f>IF(Q29="","",Q29)</f>
        <v>155.655</v>
      </c>
      <c r="S29" s="11">
        <f>IF(S$3=0,"",SUMIFS(INDEX(Inputs!$D$4:$AG$200,0,MATCH(S$2,Inputs!$D$2:$AG$2,0)),Inputs!$B$4:$B$200,$B29)/1000)</f>
        <v>142.042</v>
      </c>
      <c r="T29" s="11">
        <f>IF(T$3=0,"",SUMIFS(INDEX(Inputs!$D$4:$AG$200,0,MATCH(T$2,Inputs!$D$2:$AG$2,0)),Inputs!$B$4:$B$200,$B29)/1000)</f>
        <v>120.107</v>
      </c>
      <c r="U29" s="11">
        <f>IF(U$3=0,"",SUMIFS(INDEX(Inputs!$D$4:$AG$200,0,MATCH(U$2,Inputs!$D$2:$AG$2,0)),Inputs!$B$4:$B$200,$B29)/1000)</f>
        <v>116.491</v>
      </c>
      <c r="V29" s="11">
        <f>IF(V$3=0,"",SUMIFS(INDEX(Inputs!$D$4:$AG$200,0,MATCH(V$2,Inputs!$D$2:$AG$2,0)),Inputs!$B$4:$B$200,$B29)/1000)</f>
        <v>97.953</v>
      </c>
      <c r="W29" s="12">
        <f>IF(V29="","",V29)</f>
        <v>97.953</v>
      </c>
      <c r="X29" s="11">
        <f>IF(X$3=0,"",SUMIFS(INDEX(Inputs!$D$4:$AG$200,0,MATCH(X$2,Inputs!$D$2:$AG$2,0)),Inputs!$B$4:$B$200,$B29)/1000)</f>
        <v>95.866</v>
      </c>
      <c r="Y29" s="11">
        <f>IF(Y$3=0,"",SUMIFS(INDEX(Inputs!$D$4:$AG$200,0,MATCH(Y$2,Inputs!$D$2:$AG$2,0)),Inputs!$B$4:$B$200,$B29)/1000)</f>
        <v>111.777</v>
      </c>
      <c r="Z29" s="11">
        <f>IF(Z$3=0,"",SUMIFS(INDEX(Inputs!$D$4:$AG$200,0,MATCH(Z$2,Inputs!$D$2:$AG$2,0)),Inputs!$B$4:$B$200,$B29)/1000)</f>
        <v>124.925</v>
      </c>
      <c r="AA29" s="11">
        <f>IF(AA$3=0,"",SUMIFS(INDEX(Inputs!$D$4:$AG$200,0,MATCH(AA$2,Inputs!$D$2:$AG$2,0)),Inputs!$B$4:$B$200,$B29)/1000)</f>
        <v>114.327</v>
      </c>
      <c r="AB29" s="12">
        <f>IF(AA29="","",AA29)</f>
        <v>114.327</v>
      </c>
      <c r="AC29" s="11">
        <f>IF(AC$3=0,"",SUMIFS(INDEX(Inputs!$D$4:$AG$200,0,MATCH(AC$2,Inputs!$D$2:$AG$2,0)),Inputs!$B$4:$B$200,$B29)/1000)</f>
        <v>127.308</v>
      </c>
      <c r="AD29" s="11">
        <f>IF(AD$3=0,"",SUMIFS(INDEX(Inputs!$D$4:$AG$200,0,MATCH(AD$2,Inputs!$D$2:$AG$2,0)),Inputs!$B$4:$B$200,$B29)/1000)</f>
        <v>126.412</v>
      </c>
      <c r="AE29" s="11" t="str">
        <f>IF(AE$3=0,"",SUMIFS(INDEX(Inputs!$D$4:$AG$200,0,MATCH(AE$2,Inputs!$D$2:$AG$2,0)),Inputs!$B$4:$B$200,$B29)/1000)</f>
        <v/>
      </c>
      <c r="AF29" s="11" t="str">
        <f>IF(AF$3=0,"",SUMIFS(INDEX(Inputs!$D$4:$AG$200,0,MATCH(AF$2,Inputs!$D$2:$AG$2,0)),Inputs!$B$4:$B$200,$B29)/1000)</f>
        <v/>
      </c>
      <c r="AG29" s="12" t="str">
        <f>IF(AF29="","",AF29)</f>
        <v/>
      </c>
    </row>
    <row r="30">
      <c r="B30" s="9" t="n">
        <v>25</v>
      </c>
      <c r="C30" s="14" t="inlineStr">
        <is>
          <t>Taxes payable</t>
        </is>
      </c>
      <c r="D30" s="11">
        <f>IF(D$3=0,"",SUMIFS(INDEX(Inputs!$D$4:$AG$200,0,MATCH(D$2,Inputs!$D$2:$AG$2,0)),Inputs!$B$4:$B$200,$B30)/1000)</f>
        <v>14.888</v>
      </c>
      <c r="E30" s="11">
        <f>IF(E$3=0,"",SUMIFS(INDEX(Inputs!$D$4:$AG$200,0,MATCH(E$2,Inputs!$D$2:$AG$2,0)),Inputs!$B$4:$B$200,$B30)/1000)</f>
        <v>20.693</v>
      </c>
      <c r="F30" s="11">
        <f>IF(F$3=0,"",SUMIFS(INDEX(Inputs!$D$4:$AG$200,0,MATCH(F$2,Inputs!$D$2:$AG$2,0)),Inputs!$B$4:$B$200,$B30)/1000)</f>
        <v>22.33</v>
      </c>
      <c r="G30" s="11">
        <f>IF(G$3=0,"",SUMIFS(INDEX(Inputs!$D$4:$AG$200,0,MATCH(G$2,Inputs!$D$2:$AG$2,0)),Inputs!$B$4:$B$200,$B30)/1000)</f>
        <v>24.832</v>
      </c>
      <c r="H30" s="12">
        <f>IF(G30="","",G30)</f>
        <v>24.832</v>
      </c>
      <c r="I30" s="11">
        <f>IF(I$3=0,"",SUMIFS(INDEX(Inputs!$D$4:$AG$200,0,MATCH(I$2,Inputs!$D$2:$AG$2,0)),Inputs!$B$4:$B$200,$B30)/1000)</f>
        <v>25.379</v>
      </c>
      <c r="J30" s="11">
        <f>IF(J$3=0,"",SUMIFS(INDEX(Inputs!$D$4:$AG$200,0,MATCH(J$2,Inputs!$D$2:$AG$2,0)),Inputs!$B$4:$B$200,$B30)/1000)</f>
        <v>41.63</v>
      </c>
      <c r="K30" s="11">
        <f>IF(K$3=0,"",SUMIFS(INDEX(Inputs!$D$4:$AG$200,0,MATCH(K$2,Inputs!$D$2:$AG$2,0)),Inputs!$B$4:$B$200,$B30)/1000)</f>
        <v>25.26</v>
      </c>
      <c r="L30" s="11">
        <f>IF(L$3=0,"",SUMIFS(INDEX(Inputs!$D$4:$AG$200,0,MATCH(L$2,Inputs!$D$2:$AG$2,0)),Inputs!$B$4:$B$200,$B30)/1000)</f>
        <v>64.331</v>
      </c>
      <c r="M30" s="12">
        <f>IF(L30="","",L30)</f>
        <v>64.331</v>
      </c>
      <c r="N30" s="11">
        <f>IF(N$3=0,"",SUMIFS(INDEX(Inputs!$D$4:$AG$200,0,MATCH(N$2,Inputs!$D$2:$AG$2,0)),Inputs!$B$4:$B$200,$B30)/1000)</f>
        <v>38.35</v>
      </c>
      <c r="O30" s="11">
        <f>IF(O$3=0,"",SUMIFS(INDEX(Inputs!$D$4:$AG$200,0,MATCH(O$2,Inputs!$D$2:$AG$2,0)),Inputs!$B$4:$B$200,$B30)/1000)</f>
        <v>34.271</v>
      </c>
      <c r="P30" s="11">
        <f>IF(P$3=0,"",SUMIFS(INDEX(Inputs!$D$4:$AG$200,0,MATCH(P$2,Inputs!$D$2:$AG$2,0)),Inputs!$B$4:$B$200,$B30)/1000)</f>
        <v>54.344</v>
      </c>
      <c r="Q30" s="11">
        <f>IF(Q$3=0,"",SUMIFS(INDEX(Inputs!$D$4:$AG$200,0,MATCH(Q$2,Inputs!$D$2:$AG$2,0)),Inputs!$B$4:$B$200,$B30)/1000)</f>
        <v>71.372</v>
      </c>
      <c r="R30" s="12">
        <f>IF(Q30="","",Q30)</f>
        <v>71.372</v>
      </c>
      <c r="S30" s="11">
        <f>IF(S$3=0,"",SUMIFS(INDEX(Inputs!$D$4:$AG$200,0,MATCH(S$2,Inputs!$D$2:$AG$2,0)),Inputs!$B$4:$B$200,$B30)/1000)</f>
        <v>103.155</v>
      </c>
      <c r="T30" s="11">
        <f>IF(T$3=0,"",SUMIFS(INDEX(Inputs!$D$4:$AG$200,0,MATCH(T$2,Inputs!$D$2:$AG$2,0)),Inputs!$B$4:$B$200,$B30)/1000)</f>
        <v>71.063</v>
      </c>
      <c r="U30" s="11">
        <f>IF(U$3=0,"",SUMIFS(INDEX(Inputs!$D$4:$AG$200,0,MATCH(U$2,Inputs!$D$2:$AG$2,0)),Inputs!$B$4:$B$200,$B30)/1000)</f>
        <v>119.799</v>
      </c>
      <c r="V30" s="11">
        <f>IF(V$3=0,"",SUMIFS(INDEX(Inputs!$D$4:$AG$200,0,MATCH(V$2,Inputs!$D$2:$AG$2,0)),Inputs!$B$4:$B$200,$B30)/1000)</f>
        <v>132.506</v>
      </c>
      <c r="W30" s="12">
        <f>IF(V30="","",V30)</f>
        <v>132.506</v>
      </c>
      <c r="X30" s="11">
        <f>IF(X$3=0,"",SUMIFS(INDEX(Inputs!$D$4:$AG$200,0,MATCH(X$2,Inputs!$D$2:$AG$2,0)),Inputs!$B$4:$B$200,$B30)/1000)</f>
        <v>130.947</v>
      </c>
      <c r="Y30" s="11">
        <f>IF(Y$3=0,"",SUMIFS(INDEX(Inputs!$D$4:$AG$200,0,MATCH(Y$2,Inputs!$D$2:$AG$2,0)),Inputs!$B$4:$B$200,$B30)/1000)</f>
        <v>119.656</v>
      </c>
      <c r="Z30" s="11">
        <f>IF(Z$3=0,"",SUMIFS(INDEX(Inputs!$D$4:$AG$200,0,MATCH(Z$2,Inputs!$D$2:$AG$2,0)),Inputs!$B$4:$B$200,$B30)/1000)</f>
        <v>108.833</v>
      </c>
      <c r="AA30" s="11">
        <f>IF(AA$3=0,"",SUMIFS(INDEX(Inputs!$D$4:$AG$200,0,MATCH(AA$2,Inputs!$D$2:$AG$2,0)),Inputs!$B$4:$B$200,$B30)/1000)</f>
        <v>163.739</v>
      </c>
      <c r="AB30" s="12">
        <f>IF(AA30="","",AA30)</f>
        <v>163.739</v>
      </c>
      <c r="AC30" s="11">
        <f>IF(AC$3=0,"",SUMIFS(INDEX(Inputs!$D$4:$AG$200,0,MATCH(AC$2,Inputs!$D$2:$AG$2,0)),Inputs!$B$4:$B$200,$B30)/1000)</f>
        <v>116.802</v>
      </c>
      <c r="AD30" s="11">
        <f>IF(AD$3=0,"",SUMIFS(INDEX(Inputs!$D$4:$AG$200,0,MATCH(AD$2,Inputs!$D$2:$AG$2,0)),Inputs!$B$4:$B$200,$B30)/1000)</f>
        <v>85.665</v>
      </c>
      <c r="AE30" s="11" t="str">
        <f>IF(AE$3=0,"",SUMIFS(INDEX(Inputs!$D$4:$AG$200,0,MATCH(AE$2,Inputs!$D$2:$AG$2,0)),Inputs!$B$4:$B$200,$B30)/1000)</f>
        <v/>
      </c>
      <c r="AF30" s="11" t="str">
        <f>IF(AF$3=0,"",SUMIFS(INDEX(Inputs!$D$4:$AG$200,0,MATCH(AF$2,Inputs!$D$2:$AG$2,0)),Inputs!$B$4:$B$200,$B30)/1000)</f>
        <v/>
      </c>
      <c r="AG30" s="12" t="str">
        <f>IF(AF30="","",AF30)</f>
        <v/>
      </c>
    </row>
    <row r="31">
      <c r="B31" s="9" t="n">
        <v>26</v>
      </c>
      <c r="C31" s="14" t="inlineStr">
        <is>
          <t>Other current liabilities (non-debt)</t>
        </is>
      </c>
      <c r="D31" s="11">
        <f>IF(D$3=0,"",SUMIFS(INDEX(Inputs!$D$4:$AG$200,0,MATCH(D$2,Inputs!$D$2:$AG$2,0)),Inputs!$B$4:$B$200,$B31)/1000)</f>
        <v>184.627</v>
      </c>
      <c r="E31" s="11">
        <f>IF(E$3=0,"",SUMIFS(INDEX(Inputs!$D$4:$AG$200,0,MATCH(E$2,Inputs!$D$2:$AG$2,0)),Inputs!$B$4:$B$200,$B31)/1000)</f>
        <v>219.97</v>
      </c>
      <c r="F31" s="11">
        <f>IF(F$3=0,"",SUMIFS(INDEX(Inputs!$D$4:$AG$200,0,MATCH(F$2,Inputs!$D$2:$AG$2,0)),Inputs!$B$4:$B$200,$B31)/1000)</f>
        <v>232.285</v>
      </c>
      <c r="G31" s="11">
        <f>IF(G$3=0,"",SUMIFS(INDEX(Inputs!$D$4:$AG$200,0,MATCH(G$2,Inputs!$D$2:$AG$2,0)),Inputs!$B$4:$B$200,$B31)/1000)</f>
        <v>584.538</v>
      </c>
      <c r="H31" s="12">
        <f>IF(G31="","",G31)</f>
        <v>584.538</v>
      </c>
      <c r="I31" s="11">
        <f>IF(I$3=0,"",SUMIFS(INDEX(Inputs!$D$4:$AG$200,0,MATCH(I$2,Inputs!$D$2:$AG$2,0)),Inputs!$B$4:$B$200,$B31)/1000)</f>
        <v>751.159</v>
      </c>
      <c r="J31" s="11">
        <f>IF(J$3=0,"",SUMIFS(INDEX(Inputs!$D$4:$AG$200,0,MATCH(J$2,Inputs!$D$2:$AG$2,0)),Inputs!$B$4:$B$200,$B31)/1000)</f>
        <v>778.005</v>
      </c>
      <c r="K31" s="11">
        <f>IF(K$3=0,"",SUMIFS(INDEX(Inputs!$D$4:$AG$200,0,MATCH(K$2,Inputs!$D$2:$AG$2,0)),Inputs!$B$4:$B$200,$B31)/1000)</f>
        <v>852.112</v>
      </c>
      <c r="L31" s="11">
        <f>IF(L$3=0,"",SUMIFS(INDEX(Inputs!$D$4:$AG$200,0,MATCH(L$2,Inputs!$D$2:$AG$2,0)),Inputs!$B$4:$B$200,$B31)/1000)</f>
        <v>1375.419</v>
      </c>
      <c r="M31" s="12">
        <f>IF(L31="","",L31)</f>
        <v>1375.419</v>
      </c>
      <c r="N31" s="11">
        <f>IF(N$3=0,"",SUMIFS(INDEX(Inputs!$D$4:$AG$200,0,MATCH(N$2,Inputs!$D$2:$AG$2,0)),Inputs!$B$4:$B$200,$B31)/1000)</f>
        <v>1319.397</v>
      </c>
      <c r="O31" s="11">
        <f>IF(O$3=0,"",SUMIFS(INDEX(Inputs!$D$4:$AG$200,0,MATCH(O$2,Inputs!$D$2:$AG$2,0)),Inputs!$B$4:$B$200,$B31)/1000)</f>
        <v>930.606</v>
      </c>
      <c r="P31" s="11">
        <f>IF(P$3=0,"",SUMIFS(INDEX(Inputs!$D$4:$AG$200,0,MATCH(P$2,Inputs!$D$2:$AG$2,0)),Inputs!$B$4:$B$200,$B31)/1000)</f>
        <v>738.962</v>
      </c>
      <c r="Q31" s="11">
        <f>IF(Q$3=0,"",SUMIFS(INDEX(Inputs!$D$4:$AG$200,0,MATCH(Q$2,Inputs!$D$2:$AG$2,0)),Inputs!$B$4:$B$200,$B31)/1000)</f>
        <v>1132.918</v>
      </c>
      <c r="R31" s="12">
        <f>IF(Q31="","",Q31)</f>
        <v>1132.918</v>
      </c>
      <c r="S31" s="11">
        <f>IF(S$3=0,"",SUMIFS(INDEX(Inputs!$D$4:$AG$200,0,MATCH(S$2,Inputs!$D$2:$AG$2,0)),Inputs!$B$4:$B$200,$B31)/1000)</f>
        <v>1898.452</v>
      </c>
      <c r="T31" s="11">
        <f>IF(T$3=0,"",SUMIFS(INDEX(Inputs!$D$4:$AG$200,0,MATCH(T$2,Inputs!$D$2:$AG$2,0)),Inputs!$B$4:$B$200,$B31)/1000)</f>
        <v>2004.9</v>
      </c>
      <c r="U31" s="11">
        <f>IF(U$3=0,"",SUMIFS(INDEX(Inputs!$D$4:$AG$200,0,MATCH(U$2,Inputs!$D$2:$AG$2,0)),Inputs!$B$4:$B$200,$B31)/1000)</f>
        <v>1499.404</v>
      </c>
      <c r="V31" s="11">
        <f>IF(V$3=0,"",SUMIFS(INDEX(Inputs!$D$4:$AG$200,0,MATCH(V$2,Inputs!$D$2:$AG$2,0)),Inputs!$B$4:$B$200,$B31)/1000)</f>
        <v>1297.016</v>
      </c>
      <c r="W31" s="12">
        <f>IF(V31="","",V31)</f>
        <v>1297.016</v>
      </c>
      <c r="X31" s="11">
        <f>IF(X$3=0,"",SUMIFS(INDEX(Inputs!$D$4:$AG$200,0,MATCH(X$2,Inputs!$D$2:$AG$2,0)),Inputs!$B$4:$B$200,$B31)/1000)</f>
        <v>1956.479</v>
      </c>
      <c r="Y31" s="11">
        <f>IF(Y$3=0,"",SUMIFS(INDEX(Inputs!$D$4:$AG$200,0,MATCH(Y$2,Inputs!$D$2:$AG$2,0)),Inputs!$B$4:$B$200,$B31)/1000)</f>
        <v>1719.466</v>
      </c>
      <c r="Z31" s="11">
        <f>IF(Z$3=0,"",SUMIFS(INDEX(Inputs!$D$4:$AG$200,0,MATCH(Z$2,Inputs!$D$2:$AG$2,0)),Inputs!$B$4:$B$200,$B31)/1000)</f>
        <v>2126.293</v>
      </c>
      <c r="AA31" s="11">
        <f>IF(AA$3=0,"",SUMIFS(INDEX(Inputs!$D$4:$AG$200,0,MATCH(AA$2,Inputs!$D$2:$AG$2,0)),Inputs!$B$4:$B$200,$B31)/1000)</f>
        <v>2233.918</v>
      </c>
      <c r="AB31" s="12">
        <f>IF(AA31="","",AA31)</f>
        <v>2233.918</v>
      </c>
      <c r="AC31" s="11">
        <f>IF(AC$3=0,"",SUMIFS(INDEX(Inputs!$D$4:$AG$200,0,MATCH(AC$2,Inputs!$D$2:$AG$2,0)),Inputs!$B$4:$B$200,$B31)/1000)</f>
        <v>2007.831</v>
      </c>
      <c r="AD31" s="11">
        <f>IF(AD$3=0,"",SUMIFS(INDEX(Inputs!$D$4:$AG$200,0,MATCH(AD$2,Inputs!$D$2:$AG$2,0)),Inputs!$B$4:$B$200,$B31)/1000)</f>
        <v>1832.988</v>
      </c>
      <c r="AE31" s="11" t="str">
        <f>IF(AE$3=0,"",SUMIFS(INDEX(Inputs!$D$4:$AG$200,0,MATCH(AE$2,Inputs!$D$2:$AG$2,0)),Inputs!$B$4:$B$200,$B31)/1000)</f>
        <v/>
      </c>
      <c r="AF31" s="11" t="str">
        <f>IF(AF$3=0,"",SUMIFS(INDEX(Inputs!$D$4:$AG$200,0,MATCH(AF$2,Inputs!$D$2:$AG$2,0)),Inputs!$B$4:$B$200,$B31)/1000)</f>
        <v/>
      </c>
      <c r="AG31" s="12" t="str">
        <f>IF(AF31="","",AF31)</f>
        <v/>
      </c>
    </row>
    <row r="32">
      <c r="B32" s="9" t="n">
        <v>27</v>
      </c>
      <c r="C32" s="14" t="inlineStr">
        <is>
          <t>Current portion of long-term debt</t>
        </is>
      </c>
      <c r="D32" s="11">
        <f>IF(D$3=0,"",SUMIFS(INDEX(Inputs!$D$4:$AG$200,0,MATCH(D$2,Inputs!$D$2:$AG$2,0)),Inputs!$B$4:$B$200,$B32)/1000)</f>
        <v>539.847</v>
      </c>
      <c r="E32" s="11">
        <f>IF(E$3=0,"",SUMIFS(INDEX(Inputs!$D$4:$AG$200,0,MATCH(E$2,Inputs!$D$2:$AG$2,0)),Inputs!$B$4:$B$200,$B32)/1000)</f>
        <v>493.626</v>
      </c>
      <c r="F32" s="11">
        <f>IF(F$3=0,"",SUMIFS(INDEX(Inputs!$D$4:$AG$200,0,MATCH(F$2,Inputs!$D$2:$AG$2,0)),Inputs!$B$4:$B$200,$B32)/1000)</f>
        <v>522.966</v>
      </c>
      <c r="G32" s="11">
        <f>IF(G$3=0,"",SUMIFS(INDEX(Inputs!$D$4:$AG$200,0,MATCH(G$2,Inputs!$D$2:$AG$2,0)),Inputs!$B$4:$B$200,$B32)/1000)</f>
        <v>655.05</v>
      </c>
      <c r="H32" s="12">
        <f>IF(G32="","",G32)</f>
        <v>655.05</v>
      </c>
      <c r="I32" s="11">
        <f>IF(I$3=0,"",SUMIFS(INDEX(Inputs!$D$4:$AG$200,0,MATCH(I$2,Inputs!$D$2:$AG$2,0)),Inputs!$B$4:$B$200,$B32)/1000)</f>
        <v>721.818</v>
      </c>
      <c r="J32" s="11">
        <f>IF(J$3=0,"",SUMIFS(INDEX(Inputs!$D$4:$AG$200,0,MATCH(J$2,Inputs!$D$2:$AG$2,0)),Inputs!$B$4:$B$200,$B32)/1000)</f>
        <v>1025.43</v>
      </c>
      <c r="K32" s="11">
        <f>IF(K$3=0,"",SUMIFS(INDEX(Inputs!$D$4:$AG$200,0,MATCH(K$2,Inputs!$D$2:$AG$2,0)),Inputs!$B$4:$B$200,$B32)/1000)</f>
        <v>1141.627</v>
      </c>
      <c r="L32" s="11">
        <f>IF(L$3=0,"",SUMIFS(INDEX(Inputs!$D$4:$AG$200,0,MATCH(L$2,Inputs!$D$2:$AG$2,0)),Inputs!$B$4:$B$200,$B32)/1000)</f>
        <v>1947.436</v>
      </c>
      <c r="M32" s="12">
        <f>IF(L32="","",L32)</f>
        <v>1947.436</v>
      </c>
      <c r="N32" s="11">
        <f>IF(N$3=0,"",SUMIFS(INDEX(Inputs!$D$4:$AG$200,0,MATCH(N$2,Inputs!$D$2:$AG$2,0)),Inputs!$B$4:$B$200,$B32)/1000)</f>
        <v>1042.744</v>
      </c>
      <c r="O32" s="11">
        <f>IF(O$3=0,"",SUMIFS(INDEX(Inputs!$D$4:$AG$200,0,MATCH(O$2,Inputs!$D$2:$AG$2,0)),Inputs!$B$4:$B$200,$B32)/1000)</f>
        <v>889.948</v>
      </c>
      <c r="P32" s="11">
        <f>IF(P$3=0,"",SUMIFS(INDEX(Inputs!$D$4:$AG$200,0,MATCH(P$2,Inputs!$D$2:$AG$2,0)),Inputs!$B$4:$B$200,$B32)/1000)</f>
        <v>737.185</v>
      </c>
      <c r="Q32" s="11">
        <f>IF(Q$3=0,"",SUMIFS(INDEX(Inputs!$D$4:$AG$200,0,MATCH(Q$2,Inputs!$D$2:$AG$2,0)),Inputs!$B$4:$B$200,$B32)/1000)</f>
        <v>1188.117</v>
      </c>
      <c r="R32" s="12">
        <f>IF(Q32="","",Q32)</f>
        <v>1188.117</v>
      </c>
      <c r="S32" s="11">
        <f>IF(S$3=0,"",SUMIFS(INDEX(Inputs!$D$4:$AG$200,0,MATCH(S$2,Inputs!$D$2:$AG$2,0)),Inputs!$B$4:$B$200,$B32)/1000)</f>
        <v>1384.079</v>
      </c>
      <c r="T32" s="11">
        <f>IF(T$3=0,"",SUMIFS(INDEX(Inputs!$D$4:$AG$200,0,MATCH(T$2,Inputs!$D$2:$AG$2,0)),Inputs!$B$4:$B$200,$B32)/1000)</f>
        <v>1189.082</v>
      </c>
      <c r="U32" s="11">
        <f>IF(U$3=0,"",SUMIFS(INDEX(Inputs!$D$4:$AG$200,0,MATCH(U$2,Inputs!$D$2:$AG$2,0)),Inputs!$B$4:$B$200,$B32)/1000)</f>
        <v>1640.161</v>
      </c>
      <c r="V32" s="11">
        <f>IF(V$3=0,"",SUMIFS(INDEX(Inputs!$D$4:$AG$200,0,MATCH(V$2,Inputs!$D$2:$AG$2,0)),Inputs!$B$4:$B$200,$B32)/1000)</f>
        <v>2239.598</v>
      </c>
      <c r="W32" s="12">
        <f>IF(V32="","",V32)</f>
        <v>2239.598</v>
      </c>
      <c r="X32" s="11">
        <f>IF(X$3=0,"",SUMIFS(INDEX(Inputs!$D$4:$AG$200,0,MATCH(X$2,Inputs!$D$2:$AG$2,0)),Inputs!$B$4:$B$200,$B32)/1000)</f>
        <v>2542.303</v>
      </c>
      <c r="Y32" s="11">
        <f>IF(Y$3=0,"",SUMIFS(INDEX(Inputs!$D$4:$AG$200,0,MATCH(Y$2,Inputs!$D$2:$AG$2,0)),Inputs!$B$4:$B$200,$B32)/1000)</f>
        <v>3232.289</v>
      </c>
      <c r="Z32" s="11">
        <f>IF(Z$3=0,"",SUMIFS(INDEX(Inputs!$D$4:$AG$200,0,MATCH(Z$2,Inputs!$D$2:$AG$2,0)),Inputs!$B$4:$B$200,$B32)/1000)</f>
        <v>3627.942</v>
      </c>
      <c r="AA32" s="11">
        <f>IF(AA$3=0,"",SUMIFS(INDEX(Inputs!$D$4:$AG$200,0,MATCH(AA$2,Inputs!$D$2:$AG$2,0)),Inputs!$B$4:$B$200,$B32)/1000)</f>
        <v>4142.338</v>
      </c>
      <c r="AB32" s="12">
        <f>IF(AA32="","",AA32)</f>
        <v>4142.338</v>
      </c>
      <c r="AC32" s="11">
        <f>IF(AC$3=0,"",SUMIFS(INDEX(Inputs!$D$4:$AG$200,0,MATCH(AC$2,Inputs!$D$2:$AG$2,0)),Inputs!$B$4:$B$200,$B32)/1000)</f>
        <v>3249.109</v>
      </c>
      <c r="AD32" s="11">
        <f>IF(AD$3=0,"",SUMIFS(INDEX(Inputs!$D$4:$AG$200,0,MATCH(AD$2,Inputs!$D$2:$AG$2,0)),Inputs!$B$4:$B$200,$B32)/1000)</f>
        <v>2782.282</v>
      </c>
      <c r="AE32" s="11" t="str">
        <f>IF(AE$3=0,"",SUMIFS(INDEX(Inputs!$D$4:$AG$200,0,MATCH(AE$2,Inputs!$D$2:$AG$2,0)),Inputs!$B$4:$B$200,$B32)/1000)</f>
        <v/>
      </c>
      <c r="AF32" s="11" t="str">
        <f>IF(AF$3=0,"",SUMIFS(INDEX(Inputs!$D$4:$AG$200,0,MATCH(AF$2,Inputs!$D$2:$AG$2,0)),Inputs!$B$4:$B$200,$B32)/1000)</f>
        <v/>
      </c>
      <c r="AG32" s="12" t="str">
        <f>IF(AF32="","",AF32)</f>
        <v/>
      </c>
    </row>
    <row r="33">
      <c r="B33" s="9" t="n">
        <v>28</v>
      </c>
      <c r="C33" s="14" t="inlineStr">
        <is>
          <t>Short term debt (Revolving credit facility)</t>
        </is>
      </c>
      <c r="D33" s="11">
        <f>IF(D$3=0,"",SUMIFS(INDEX(Inputs!$D$4:$AG$200,0,MATCH(D$2,Inputs!$D$2:$AG$2,0)),Inputs!$B$4:$B$200,$B33)/1000)</f>
        <v>0</v>
      </c>
      <c r="E33" s="11">
        <f>IF(E$3=0,"",SUMIFS(INDEX(Inputs!$D$4:$AG$200,0,MATCH(E$2,Inputs!$D$2:$AG$2,0)),Inputs!$B$4:$B$200,$B33)/1000)</f>
        <v>0</v>
      </c>
      <c r="F33" s="11">
        <f>IF(F$3=0,"",SUMIFS(INDEX(Inputs!$D$4:$AG$200,0,MATCH(F$2,Inputs!$D$2:$AG$2,0)),Inputs!$B$4:$B$200,$B33)/1000)</f>
        <v>0</v>
      </c>
      <c r="G33" s="11">
        <f>IF(G$3=0,"",SUMIFS(INDEX(Inputs!$D$4:$AG$200,0,MATCH(G$2,Inputs!$D$2:$AG$2,0)),Inputs!$B$4:$B$200,$B33)/1000)</f>
        <v>0</v>
      </c>
      <c r="H33" s="12">
        <f>IF(G33="","",G33)</f>
        <v>0</v>
      </c>
      <c r="I33" s="11">
        <f>IF(I$3=0,"",SUMIFS(INDEX(Inputs!$D$4:$AG$200,0,MATCH(I$2,Inputs!$D$2:$AG$2,0)),Inputs!$B$4:$B$200,$B33)/1000)</f>
        <v>0</v>
      </c>
      <c r="J33" s="11">
        <f>IF(J$3=0,"",SUMIFS(INDEX(Inputs!$D$4:$AG$200,0,MATCH(J$2,Inputs!$D$2:$AG$2,0)),Inputs!$B$4:$B$200,$B33)/1000)</f>
        <v>0</v>
      </c>
      <c r="K33" s="11">
        <f>IF(K$3=0,"",SUMIFS(INDEX(Inputs!$D$4:$AG$200,0,MATCH(K$2,Inputs!$D$2:$AG$2,0)),Inputs!$B$4:$B$200,$B33)/1000)</f>
        <v>0</v>
      </c>
      <c r="L33" s="11">
        <f>IF(L$3=0,"",SUMIFS(INDEX(Inputs!$D$4:$AG$200,0,MATCH(L$2,Inputs!$D$2:$AG$2,0)),Inputs!$B$4:$B$200,$B33)/1000)</f>
        <v>0</v>
      </c>
      <c r="M33" s="12">
        <f>IF(L33="","",L33)</f>
        <v>0</v>
      </c>
      <c r="N33" s="11">
        <f>IF(N$3=0,"",SUMIFS(INDEX(Inputs!$D$4:$AG$200,0,MATCH(N$2,Inputs!$D$2:$AG$2,0)),Inputs!$B$4:$B$200,$B33)/1000)</f>
        <v>0</v>
      </c>
      <c r="O33" s="11">
        <f>IF(O$3=0,"",SUMIFS(INDEX(Inputs!$D$4:$AG$200,0,MATCH(O$2,Inputs!$D$2:$AG$2,0)),Inputs!$B$4:$B$200,$B33)/1000)</f>
        <v>0</v>
      </c>
      <c r="P33" s="11">
        <f>IF(P$3=0,"",SUMIFS(INDEX(Inputs!$D$4:$AG$200,0,MATCH(P$2,Inputs!$D$2:$AG$2,0)),Inputs!$B$4:$B$200,$B33)/1000)</f>
        <v>0</v>
      </c>
      <c r="Q33" s="11">
        <f>IF(Q$3=0,"",SUMIFS(INDEX(Inputs!$D$4:$AG$200,0,MATCH(Q$2,Inputs!$D$2:$AG$2,0)),Inputs!$B$4:$B$200,$B33)/1000)</f>
        <v>0</v>
      </c>
      <c r="R33" s="12">
        <f>IF(Q33="","",Q33)</f>
        <v>0</v>
      </c>
      <c r="S33" s="11">
        <f>IF(S$3=0,"",SUMIFS(INDEX(Inputs!$D$4:$AG$200,0,MATCH(S$2,Inputs!$D$2:$AG$2,0)),Inputs!$B$4:$B$200,$B33)/1000)</f>
        <v>0</v>
      </c>
      <c r="T33" s="11">
        <f>IF(T$3=0,"",SUMIFS(INDEX(Inputs!$D$4:$AG$200,0,MATCH(T$2,Inputs!$D$2:$AG$2,0)),Inputs!$B$4:$B$200,$B33)/1000)</f>
        <v>0</v>
      </c>
      <c r="U33" s="11">
        <f>IF(U$3=0,"",SUMIFS(INDEX(Inputs!$D$4:$AG$200,0,MATCH(U$2,Inputs!$D$2:$AG$2,0)),Inputs!$B$4:$B$200,$B33)/1000)</f>
        <v>0</v>
      </c>
      <c r="V33" s="11">
        <f>IF(V$3=0,"",SUMIFS(INDEX(Inputs!$D$4:$AG$200,0,MATCH(V$2,Inputs!$D$2:$AG$2,0)),Inputs!$B$4:$B$200,$B33)/1000)</f>
        <v>0</v>
      </c>
      <c r="W33" s="12">
        <f>IF(V33="","",V33)</f>
        <v>0</v>
      </c>
      <c r="X33" s="11">
        <f>IF(X$3=0,"",SUMIFS(INDEX(Inputs!$D$4:$AG$200,0,MATCH(X$2,Inputs!$D$2:$AG$2,0)),Inputs!$B$4:$B$200,$B33)/1000)</f>
        <v>0</v>
      </c>
      <c r="Y33" s="11">
        <f>IF(Y$3=0,"",SUMIFS(INDEX(Inputs!$D$4:$AG$200,0,MATCH(Y$2,Inputs!$D$2:$AG$2,0)),Inputs!$B$4:$B$200,$B33)/1000)</f>
        <v>0</v>
      </c>
      <c r="Z33" s="11">
        <f>IF(Z$3=0,"",SUMIFS(INDEX(Inputs!$D$4:$AG$200,0,MATCH(Z$2,Inputs!$D$2:$AG$2,0)),Inputs!$B$4:$B$200,$B33)/1000)</f>
        <v>0</v>
      </c>
      <c r="AA33" s="11">
        <f>IF(AA$3=0,"",SUMIFS(INDEX(Inputs!$D$4:$AG$200,0,MATCH(AA$2,Inputs!$D$2:$AG$2,0)),Inputs!$B$4:$B$200,$B33)/1000)</f>
        <v>0</v>
      </c>
      <c r="AB33" s="12">
        <f>IF(AA33="","",AA33)</f>
        <v>0</v>
      </c>
      <c r="AC33" s="11">
        <f>IF(AC$3=0,"",SUMIFS(INDEX(Inputs!$D$4:$AG$200,0,MATCH(AC$2,Inputs!$D$2:$AG$2,0)),Inputs!$B$4:$B$200,$B33)/1000)</f>
        <v>0</v>
      </c>
      <c r="AD33" s="11">
        <f>IF(AD$3=0,"",SUMIFS(INDEX(Inputs!$D$4:$AG$200,0,MATCH(AD$2,Inputs!$D$2:$AG$2,0)),Inputs!$B$4:$B$200,$B33)/1000)</f>
        <v>0</v>
      </c>
      <c r="AE33" s="11" t="str">
        <f>IF(AE$3=0,"",SUMIFS(INDEX(Inputs!$D$4:$AG$200,0,MATCH(AE$2,Inputs!$D$2:$AG$2,0)),Inputs!$B$4:$B$200,$B33)/1000)</f>
        <v/>
      </c>
      <c r="AF33" s="11" t="str">
        <f>IF(AF$3=0,"",SUMIFS(INDEX(Inputs!$D$4:$AG$200,0,MATCH(AF$2,Inputs!$D$2:$AG$2,0)),Inputs!$B$4:$B$200,$B33)/1000)</f>
        <v/>
      </c>
      <c r="AG33" s="12" t="str">
        <f>IF(AF33="","",AF33)</f>
        <v/>
      </c>
    </row>
    <row r="34">
      <c r="B34" s="9" t="n">
        <v>29</v>
      </c>
      <c r="C34" s="14" t="inlineStr">
        <is>
          <t>Short term operating leases</t>
        </is>
      </c>
      <c r="D34" s="11">
        <f>IF(D$3=0,"",SUMIFS(INDEX(Inputs!$D$4:$AG$200,0,MATCH(D$2,Inputs!$D$2:$AG$2,0)),Inputs!$B$4:$B$200,$B34)/1000)</f>
        <v>61.994</v>
      </c>
      <c r="E34" s="11">
        <f>IF(E$3=0,"",SUMIFS(INDEX(Inputs!$D$4:$AG$200,0,MATCH(E$2,Inputs!$D$2:$AG$2,0)),Inputs!$B$4:$B$200,$B34)/1000)</f>
        <v>67.678</v>
      </c>
      <c r="F34" s="11">
        <f>IF(F$3=0,"",SUMIFS(INDEX(Inputs!$D$4:$AG$200,0,MATCH(F$2,Inputs!$D$2:$AG$2,0)),Inputs!$B$4:$B$200,$B34)/1000)</f>
        <v>84.414</v>
      </c>
      <c r="G34" s="11">
        <f>IF(G$3=0,"",SUMIFS(INDEX(Inputs!$D$4:$AG$200,0,MATCH(G$2,Inputs!$D$2:$AG$2,0)),Inputs!$B$4:$B$200,$B34)/1000)</f>
        <v>103.044</v>
      </c>
      <c r="H34" s="12">
        <f>IF(G34="","",G34)</f>
        <v>103.044</v>
      </c>
      <c r="I34" s="11">
        <f>IF(I$3=0,"",SUMIFS(INDEX(Inputs!$D$4:$AG$200,0,MATCH(I$2,Inputs!$D$2:$AG$2,0)),Inputs!$B$4:$B$200,$B34)/1000)</f>
        <v>108.267</v>
      </c>
      <c r="J34" s="11">
        <f>IF(J$3=0,"",SUMIFS(INDEX(Inputs!$D$4:$AG$200,0,MATCH(J$2,Inputs!$D$2:$AG$2,0)),Inputs!$B$4:$B$200,$B34)/1000)</f>
        <v>119.982</v>
      </c>
      <c r="K34" s="11">
        <f>IF(K$3=0,"",SUMIFS(INDEX(Inputs!$D$4:$AG$200,0,MATCH(K$2,Inputs!$D$2:$AG$2,0)),Inputs!$B$4:$B$200,$B34)/1000)</f>
        <v>134.853</v>
      </c>
      <c r="L34" s="11">
        <f>IF(L$3=0,"",SUMIFS(INDEX(Inputs!$D$4:$AG$200,0,MATCH(L$2,Inputs!$D$2:$AG$2,0)),Inputs!$B$4:$B$200,$B34)/1000)</f>
        <v>137.485</v>
      </c>
      <c r="M34" s="12">
        <f>IF(L34="","",L34)</f>
        <v>137.485</v>
      </c>
      <c r="N34" s="11">
        <f>IF(N$3=0,"",SUMIFS(INDEX(Inputs!$D$4:$AG$200,0,MATCH(N$2,Inputs!$D$2:$AG$2,0)),Inputs!$B$4:$B$200,$B34)/1000)</f>
        <v>133.72</v>
      </c>
      <c r="O34" s="11">
        <f>IF(O$3=0,"",SUMIFS(INDEX(Inputs!$D$4:$AG$200,0,MATCH(O$2,Inputs!$D$2:$AG$2,0)),Inputs!$B$4:$B$200,$B34)/1000)</f>
        <v>132.466</v>
      </c>
      <c r="P34" s="11">
        <f>IF(P$3=0,"",SUMIFS(INDEX(Inputs!$D$4:$AG$200,0,MATCH(P$2,Inputs!$D$2:$AG$2,0)),Inputs!$B$4:$B$200,$B34)/1000)</f>
        <v>140.545</v>
      </c>
      <c r="Q34" s="11">
        <f>IF(Q$3=0,"",SUMIFS(INDEX(Inputs!$D$4:$AG$200,0,MATCH(Q$2,Inputs!$D$2:$AG$2,0)),Inputs!$B$4:$B$200,$B34)/1000)</f>
        <v>155.635</v>
      </c>
      <c r="R34" s="12">
        <f>IF(Q34="","",Q34)</f>
        <v>155.635</v>
      </c>
      <c r="S34" s="11">
        <f>IF(S$3=0,"",SUMIFS(INDEX(Inputs!$D$4:$AG$200,0,MATCH(S$2,Inputs!$D$2:$AG$2,0)),Inputs!$B$4:$B$200,$B34)/1000)</f>
        <v>159.147</v>
      </c>
      <c r="T34" s="11">
        <f>IF(T$3=0,"",SUMIFS(INDEX(Inputs!$D$4:$AG$200,0,MATCH(T$2,Inputs!$D$2:$AG$2,0)),Inputs!$B$4:$B$200,$B34)/1000)</f>
        <v>171.944</v>
      </c>
      <c r="U34" s="11">
        <f>IF(U$3=0,"",SUMIFS(INDEX(Inputs!$D$4:$AG$200,0,MATCH(U$2,Inputs!$D$2:$AG$2,0)),Inputs!$B$4:$B$200,$B34)/1000)</f>
        <v>180.835</v>
      </c>
      <c r="V34" s="11">
        <f>IF(V$3=0,"",SUMIFS(INDEX(Inputs!$D$4:$AG$200,0,MATCH(V$2,Inputs!$D$2:$AG$2,0)),Inputs!$B$4:$B$200,$B34)/1000)</f>
        <v>167.348</v>
      </c>
      <c r="W34" s="12">
        <f>IF(V34="","",V34)</f>
        <v>167.348</v>
      </c>
      <c r="X34" s="11">
        <f>IF(X$3=0,"",SUMIFS(INDEX(Inputs!$D$4:$AG$200,0,MATCH(X$2,Inputs!$D$2:$AG$2,0)),Inputs!$B$4:$B$200,$B34)/1000)</f>
        <v>153.154</v>
      </c>
      <c r="Y34" s="11">
        <f>IF(Y$3=0,"",SUMIFS(INDEX(Inputs!$D$4:$AG$200,0,MATCH(Y$2,Inputs!$D$2:$AG$2,0)),Inputs!$B$4:$B$200,$B34)/1000)</f>
        <v>174.068</v>
      </c>
      <c r="Z34" s="11">
        <f>IF(Z$3=0,"",SUMIFS(INDEX(Inputs!$D$4:$AG$200,0,MATCH(Z$2,Inputs!$D$2:$AG$2,0)),Inputs!$B$4:$B$200,$B34)/1000)</f>
        <v>180.979</v>
      </c>
      <c r="AA34" s="11">
        <f>IF(AA$3=0,"",SUMIFS(INDEX(Inputs!$D$4:$AG$200,0,MATCH(AA$2,Inputs!$D$2:$AG$2,0)),Inputs!$B$4:$B$200,$B34)/1000)</f>
        <v>177.918</v>
      </c>
      <c r="AB34" s="12">
        <f>IF(AA34="","",AA34)</f>
        <v>177.918</v>
      </c>
      <c r="AC34" s="11">
        <f>IF(AC$3=0,"",SUMIFS(INDEX(Inputs!$D$4:$AG$200,0,MATCH(AC$2,Inputs!$D$2:$AG$2,0)),Inputs!$B$4:$B$200,$B34)/1000)</f>
        <v>177.143</v>
      </c>
      <c r="AD34" s="11">
        <f>IF(AD$3=0,"",SUMIFS(INDEX(Inputs!$D$4:$AG$200,0,MATCH(AD$2,Inputs!$D$2:$AG$2,0)),Inputs!$B$4:$B$200,$B34)/1000)</f>
        <v>200.687</v>
      </c>
      <c r="AE34" s="11" t="str">
        <f>IF(AE$3=0,"",SUMIFS(INDEX(Inputs!$D$4:$AG$200,0,MATCH(AE$2,Inputs!$D$2:$AG$2,0)),Inputs!$B$4:$B$200,$B34)/1000)</f>
        <v/>
      </c>
      <c r="AF34" s="11" t="str">
        <f>IF(AF$3=0,"",SUMIFS(INDEX(Inputs!$D$4:$AG$200,0,MATCH(AF$2,Inputs!$D$2:$AG$2,0)),Inputs!$B$4:$B$200,$B34)/1000)</f>
        <v/>
      </c>
      <c r="AG34" s="12" t="str">
        <f>IF(AF34="","",AF34)</f>
        <v/>
      </c>
    </row>
    <row r="35">
      <c r="B35" s="9" t="n">
        <v>30</v>
      </c>
      <c r="C35" s="14" t="inlineStr">
        <is>
          <t>Long term debt</t>
        </is>
      </c>
      <c r="D35" s="11">
        <f>IF(D$3=0,"",SUMIFS(INDEX(Inputs!$D$4:$AG$200,0,MATCH(D$2,Inputs!$D$2:$AG$2,0)),Inputs!$B$4:$B$200,$B35)/1000)</f>
        <v>8203.488</v>
      </c>
      <c r="E35" s="11">
        <f>IF(E$3=0,"",SUMIFS(INDEX(Inputs!$D$4:$AG$200,0,MATCH(E$2,Inputs!$D$2:$AG$2,0)),Inputs!$B$4:$B$200,$B35)/1000)</f>
        <v>8464.418</v>
      </c>
      <c r="F35" s="11">
        <f>IF(F$3=0,"",SUMIFS(INDEX(Inputs!$D$4:$AG$200,0,MATCH(F$2,Inputs!$D$2:$AG$2,0)),Inputs!$B$4:$B$200,$B35)/1000)</f>
        <v>13131.62</v>
      </c>
      <c r="G35" s="11">
        <f>IF(G$3=0,"",SUMIFS(INDEX(Inputs!$D$4:$AG$200,0,MATCH(G$2,Inputs!$D$2:$AG$2,0)),Inputs!$B$4:$B$200,$B35)/1000)</f>
        <v>13702.59</v>
      </c>
      <c r="H35" s="12">
        <f>IF(G35="","",G35)</f>
        <v>13702.59</v>
      </c>
      <c r="I35" s="11">
        <f>IF(I$3=0,"",SUMIFS(INDEX(Inputs!$D$4:$AG$200,0,MATCH(I$2,Inputs!$D$2:$AG$2,0)),Inputs!$B$4:$B$200,$B35)/1000)</f>
        <v>12736.927</v>
      </c>
      <c r="J35" s="11">
        <f>IF(J$3=0,"",SUMIFS(INDEX(Inputs!$D$4:$AG$200,0,MATCH(J$2,Inputs!$D$2:$AG$2,0)),Inputs!$B$4:$B$200,$B35)/1000)</f>
        <v>14358.853</v>
      </c>
      <c r="K35" s="11">
        <f>IF(K$3=0,"",SUMIFS(INDEX(Inputs!$D$4:$AG$200,0,MATCH(K$2,Inputs!$D$2:$AG$2,0)),Inputs!$B$4:$B$200,$B35)/1000)</f>
        <v>18023.587</v>
      </c>
      <c r="L35" s="11">
        <f>IF(L$3=0,"",SUMIFS(INDEX(Inputs!$D$4:$AG$200,0,MATCH(L$2,Inputs!$D$2:$AG$2,0)),Inputs!$B$4:$B$200,$B35)/1000)</f>
        <v>15344.591</v>
      </c>
      <c r="M35" s="12">
        <f>IF(L35="","",L35)</f>
        <v>15344.591</v>
      </c>
      <c r="N35" s="11">
        <f>IF(N$3=0,"",SUMIFS(INDEX(Inputs!$D$4:$AG$200,0,MATCH(N$2,Inputs!$D$2:$AG$2,0)),Inputs!$B$4:$B$200,$B35)/1000)</f>
        <v>13834.704</v>
      </c>
      <c r="O35" s="11">
        <f>IF(O$3=0,"",SUMIFS(INDEX(Inputs!$D$4:$AG$200,0,MATCH(O$2,Inputs!$D$2:$AG$2,0)),Inputs!$B$4:$B$200,$B35)/1000)</f>
        <v>12667.831</v>
      </c>
      <c r="P35" s="11">
        <f>IF(P$3=0,"",SUMIFS(INDEX(Inputs!$D$4:$AG$200,0,MATCH(P$2,Inputs!$D$2:$AG$2,0)),Inputs!$B$4:$B$200,$B35)/1000)</f>
        <v>12513.148</v>
      </c>
      <c r="Q35" s="11">
        <f>IF(Q$3=0,"",SUMIFS(INDEX(Inputs!$D$4:$AG$200,0,MATCH(Q$2,Inputs!$D$2:$AG$2,0)),Inputs!$B$4:$B$200,$B35)/1000)</f>
        <v>13681.587</v>
      </c>
      <c r="R35" s="12">
        <f>IF(Q35="","",Q35)</f>
        <v>13681.587</v>
      </c>
      <c r="S35" s="11">
        <f>IF(S$3=0,"",SUMIFS(INDEX(Inputs!$D$4:$AG$200,0,MATCH(S$2,Inputs!$D$2:$AG$2,0)),Inputs!$B$4:$B$200,$B35)/1000)</f>
        <v>14365.522</v>
      </c>
      <c r="T35" s="11">
        <f>IF(T$3=0,"",SUMIFS(INDEX(Inputs!$D$4:$AG$200,0,MATCH(T$2,Inputs!$D$2:$AG$2,0)),Inputs!$B$4:$B$200,$B35)/1000)</f>
        <v>16265.642</v>
      </c>
      <c r="U35" s="11">
        <f>IF(U$3=0,"",SUMIFS(INDEX(Inputs!$D$4:$AG$200,0,MATCH(U$2,Inputs!$D$2:$AG$2,0)),Inputs!$B$4:$B$200,$B35)/1000)</f>
        <v>16720.378</v>
      </c>
      <c r="V35" s="11">
        <f>IF(V$3=0,"",SUMIFS(INDEX(Inputs!$D$4:$AG$200,0,MATCH(V$2,Inputs!$D$2:$AG$2,0)),Inputs!$B$4:$B$200,$B35)/1000)</f>
        <v>17700.013</v>
      </c>
      <c r="W35" s="12">
        <f>IF(V35="","",V35)</f>
        <v>17700.013</v>
      </c>
      <c r="X35" s="11">
        <f>IF(X$3=0,"",SUMIFS(INDEX(Inputs!$D$4:$AG$200,0,MATCH(X$2,Inputs!$D$2:$AG$2,0)),Inputs!$B$4:$B$200,$B35)/1000)</f>
        <v>16803.695</v>
      </c>
      <c r="Y35" s="11">
        <f>IF(Y$3=0,"",SUMIFS(INDEX(Inputs!$D$4:$AG$200,0,MATCH(Y$2,Inputs!$D$2:$AG$2,0)),Inputs!$B$4:$B$200,$B35)/1000)</f>
        <v>15607.835</v>
      </c>
      <c r="Z35" s="11">
        <f>IF(Z$3=0,"",SUMIFS(INDEX(Inputs!$D$4:$AG$200,0,MATCH(Z$2,Inputs!$D$2:$AG$2,0)),Inputs!$B$4:$B$200,$B35)/1000)</f>
        <v>14401.086</v>
      </c>
      <c r="AA35" s="11">
        <f>IF(AA$3=0,"",SUMIFS(INDEX(Inputs!$D$4:$AG$200,0,MATCH(AA$2,Inputs!$D$2:$AG$2,0)),Inputs!$B$4:$B$200,$B35)/1000)</f>
        <v>17095.632</v>
      </c>
      <c r="AB35" s="12">
        <f>IF(AA35="","",AA35)</f>
        <v>17095.632</v>
      </c>
      <c r="AC35" s="11">
        <f>IF(AC$3=0,"",SUMIFS(INDEX(Inputs!$D$4:$AG$200,0,MATCH(AC$2,Inputs!$D$2:$AG$2,0)),Inputs!$B$4:$B$200,$B35)/1000)</f>
        <v>19728.73</v>
      </c>
      <c r="AD35" s="11">
        <f>IF(AD$3=0,"",SUMIFS(INDEX(Inputs!$D$4:$AG$200,0,MATCH(AD$2,Inputs!$D$2:$AG$2,0)),Inputs!$B$4:$B$200,$B35)/1000)</f>
        <v>20325.969</v>
      </c>
      <c r="AE35" s="11" t="str">
        <f>IF(AE$3=0,"",SUMIFS(INDEX(Inputs!$D$4:$AG$200,0,MATCH(AE$2,Inputs!$D$2:$AG$2,0)),Inputs!$B$4:$B$200,$B35)/1000)</f>
        <v/>
      </c>
      <c r="AF35" s="11" t="str">
        <f>IF(AF$3=0,"",SUMIFS(INDEX(Inputs!$D$4:$AG$200,0,MATCH(AF$2,Inputs!$D$2:$AG$2,0)),Inputs!$B$4:$B$200,$B35)/1000)</f>
        <v/>
      </c>
      <c r="AG35" s="12" t="str">
        <f>IF(AF35="","",AF35)</f>
        <v/>
      </c>
    </row>
    <row r="36">
      <c r="B36" s="9" t="n">
        <v>31</v>
      </c>
      <c r="C36" s="14" t="inlineStr">
        <is>
          <t>Long term operating leases</t>
        </is>
      </c>
      <c r="D36" s="11">
        <f>IF(D$3=0,"",SUMIFS(INDEX(Inputs!$D$4:$AG$200,0,MATCH(D$2,Inputs!$D$2:$AG$2,0)),Inputs!$B$4:$B$200,$B36)/1000)</f>
        <v>253.437</v>
      </c>
      <c r="E36" s="11">
        <f>IF(E$3=0,"",SUMIFS(INDEX(Inputs!$D$4:$AG$200,0,MATCH(E$2,Inputs!$D$2:$AG$2,0)),Inputs!$B$4:$B$200,$B36)/1000)</f>
        <v>241.255</v>
      </c>
      <c r="F36" s="11">
        <f>IF(F$3=0,"",SUMIFS(INDEX(Inputs!$D$4:$AG$200,0,MATCH(F$2,Inputs!$D$2:$AG$2,0)),Inputs!$B$4:$B$200,$B36)/1000)</f>
        <v>252.27</v>
      </c>
      <c r="G36" s="11">
        <f>IF(G$3=0,"",SUMIFS(INDEX(Inputs!$D$4:$AG$200,0,MATCH(G$2,Inputs!$D$2:$AG$2,0)),Inputs!$B$4:$B$200,$B36)/1000)</f>
        <v>304.983</v>
      </c>
      <c r="H36" s="12">
        <f>IF(G36="","",G36)</f>
        <v>304.983</v>
      </c>
      <c r="I36" s="11">
        <f>IF(I$3=0,"",SUMIFS(INDEX(Inputs!$D$4:$AG$200,0,MATCH(I$2,Inputs!$D$2:$AG$2,0)),Inputs!$B$4:$B$200,$B36)/1000)</f>
        <v>311.744</v>
      </c>
      <c r="J36" s="11">
        <f>IF(J$3=0,"",SUMIFS(INDEX(Inputs!$D$4:$AG$200,0,MATCH(J$2,Inputs!$D$2:$AG$2,0)),Inputs!$B$4:$B$200,$B36)/1000)</f>
        <v>330.194</v>
      </c>
      <c r="K36" s="11">
        <f>IF(K$3=0,"",SUMIFS(INDEX(Inputs!$D$4:$AG$200,0,MATCH(K$2,Inputs!$D$2:$AG$2,0)),Inputs!$B$4:$B$200,$B36)/1000)</f>
        <v>340.876</v>
      </c>
      <c r="L36" s="11">
        <f>IF(L$3=0,"",SUMIFS(INDEX(Inputs!$D$4:$AG$200,0,MATCH(L$2,Inputs!$D$2:$AG$2,0)),Inputs!$B$4:$B$200,$B36)/1000)</f>
        <v>336.068</v>
      </c>
      <c r="M36" s="12">
        <f>IF(L36="","",L36)</f>
        <v>336.068</v>
      </c>
      <c r="N36" s="11">
        <f>IF(N$3=0,"",SUMIFS(INDEX(Inputs!$D$4:$AG$200,0,MATCH(N$2,Inputs!$D$2:$AG$2,0)),Inputs!$B$4:$B$200,$B36)/1000)</f>
        <v>310.644</v>
      </c>
      <c r="O36" s="11">
        <f>IF(O$3=0,"",SUMIFS(INDEX(Inputs!$D$4:$AG$200,0,MATCH(O$2,Inputs!$D$2:$AG$2,0)),Inputs!$B$4:$B$200,$B36)/1000)</f>
        <v>306.138</v>
      </c>
      <c r="P36" s="11">
        <f>IF(P$3=0,"",SUMIFS(INDEX(Inputs!$D$4:$AG$200,0,MATCH(P$2,Inputs!$D$2:$AG$2,0)),Inputs!$B$4:$B$200,$B36)/1000)</f>
        <v>341.102</v>
      </c>
      <c r="Q36" s="11">
        <f>IF(Q$3=0,"",SUMIFS(INDEX(Inputs!$D$4:$AG$200,0,MATCH(Q$2,Inputs!$D$2:$AG$2,0)),Inputs!$B$4:$B$200,$B36)/1000)</f>
        <v>336.4</v>
      </c>
      <c r="R36" s="12">
        <f>IF(Q36="","",Q36)</f>
        <v>336.4</v>
      </c>
      <c r="S36" s="11">
        <f>IF(S$3=0,"",SUMIFS(INDEX(Inputs!$D$4:$AG$200,0,MATCH(S$2,Inputs!$D$2:$AG$2,0)),Inputs!$B$4:$B$200,$B36)/1000)</f>
        <v>328.396</v>
      </c>
      <c r="T36" s="11">
        <f>IF(T$3=0,"",SUMIFS(INDEX(Inputs!$D$4:$AG$200,0,MATCH(T$2,Inputs!$D$2:$AG$2,0)),Inputs!$B$4:$B$200,$B36)/1000)</f>
        <v>325.94</v>
      </c>
      <c r="U36" s="11">
        <f>IF(U$3=0,"",SUMIFS(INDEX(Inputs!$D$4:$AG$200,0,MATCH(U$2,Inputs!$D$2:$AG$2,0)),Inputs!$B$4:$B$200,$B36)/1000)</f>
        <v>388.496</v>
      </c>
      <c r="V36" s="11">
        <f>IF(V$3=0,"",SUMIFS(INDEX(Inputs!$D$4:$AG$200,0,MATCH(V$2,Inputs!$D$2:$AG$2,0)),Inputs!$B$4:$B$200,$B36)/1000)</f>
        <v>414.895</v>
      </c>
      <c r="W36" s="12">
        <f>IF(V36="","",V36)</f>
        <v>414.895</v>
      </c>
      <c r="X36" s="11">
        <f>IF(X$3=0,"",SUMIFS(INDEX(Inputs!$D$4:$AG$200,0,MATCH(X$2,Inputs!$D$2:$AG$2,0)),Inputs!$B$4:$B$200,$B36)/1000)</f>
        <v>479.603</v>
      </c>
      <c r="Y36" s="11">
        <f>IF(Y$3=0,"",SUMIFS(INDEX(Inputs!$D$4:$AG$200,0,MATCH(Y$2,Inputs!$D$2:$AG$2,0)),Inputs!$B$4:$B$200,$B36)/1000)</f>
        <v>500.576</v>
      </c>
      <c r="Z36" s="11">
        <f>IF(Z$3=0,"",SUMIFS(INDEX(Inputs!$D$4:$AG$200,0,MATCH(Z$2,Inputs!$D$2:$AG$2,0)),Inputs!$B$4:$B$200,$B36)/1000)</f>
        <v>510.209</v>
      </c>
      <c r="AA36" s="11">
        <f>IF(AA$3=0,"",SUMIFS(INDEX(Inputs!$D$4:$AG$200,0,MATCH(AA$2,Inputs!$D$2:$AG$2,0)),Inputs!$B$4:$B$200,$B36)/1000)</f>
        <v>511.61</v>
      </c>
      <c r="AB36" s="12">
        <f>IF(AA36="","",AA36)</f>
        <v>511.61</v>
      </c>
      <c r="AC36" s="11">
        <f>IF(AC$3=0,"",SUMIFS(INDEX(Inputs!$D$4:$AG$200,0,MATCH(AC$2,Inputs!$D$2:$AG$2,0)),Inputs!$B$4:$B$200,$B36)/1000)</f>
        <v>494.532</v>
      </c>
      <c r="AD36" s="11">
        <f>IF(AD$3=0,"",SUMIFS(INDEX(Inputs!$D$4:$AG$200,0,MATCH(AD$2,Inputs!$D$2:$AG$2,0)),Inputs!$B$4:$B$200,$B36)/1000)</f>
        <v>501.706</v>
      </c>
      <c r="AE36" s="11" t="str">
        <f>IF(AE$3=0,"",SUMIFS(INDEX(Inputs!$D$4:$AG$200,0,MATCH(AE$2,Inputs!$D$2:$AG$2,0)),Inputs!$B$4:$B$200,$B36)/1000)</f>
        <v/>
      </c>
      <c r="AF36" s="11" t="str">
        <f>IF(AF$3=0,"",SUMIFS(INDEX(Inputs!$D$4:$AG$200,0,MATCH(AF$2,Inputs!$D$2:$AG$2,0)),Inputs!$B$4:$B$200,$B36)/1000)</f>
        <v/>
      </c>
      <c r="AG36" s="12" t="str">
        <f>IF(AF36="","",AF36)</f>
        <v/>
      </c>
    </row>
    <row r="37">
      <c r="B37" s="9" t="n">
        <v>32</v>
      </c>
      <c r="C37" s="14" t="inlineStr">
        <is>
          <t>Convertible debt</t>
        </is>
      </c>
      <c r="D37" s="11">
        <f>IF(D$3=0,"",SUMIFS(INDEX(Inputs!$D$4:$AG$200,0,MATCH(D$2,Inputs!$D$2:$AG$2,0)),Inputs!$B$4:$B$200,$B37)/1000)</f>
        <v>0</v>
      </c>
      <c r="E37" s="11">
        <f>IF(E$3=0,"",SUMIFS(INDEX(Inputs!$D$4:$AG$200,0,MATCH(E$2,Inputs!$D$2:$AG$2,0)),Inputs!$B$4:$B$200,$B37)/1000)</f>
        <v>0</v>
      </c>
      <c r="F37" s="11">
        <f>IF(F$3=0,"",SUMIFS(INDEX(Inputs!$D$4:$AG$200,0,MATCH(F$2,Inputs!$D$2:$AG$2,0)),Inputs!$B$4:$B$200,$B37)/1000)</f>
        <v>0</v>
      </c>
      <c r="G37" s="11">
        <f>IF(G$3=0,"",SUMIFS(INDEX(Inputs!$D$4:$AG$200,0,MATCH(G$2,Inputs!$D$2:$AG$2,0)),Inputs!$B$4:$B$200,$B37)/1000)</f>
        <v>0</v>
      </c>
      <c r="H37" s="12">
        <f>IF(G37="","",G37)</f>
        <v>0</v>
      </c>
      <c r="I37" s="11">
        <f>IF(I$3=0,"",SUMIFS(INDEX(Inputs!$D$4:$AG$200,0,MATCH(I$2,Inputs!$D$2:$AG$2,0)),Inputs!$B$4:$B$200,$B37)/1000)</f>
        <v>0</v>
      </c>
      <c r="J37" s="11">
        <f>IF(J$3=0,"",SUMIFS(INDEX(Inputs!$D$4:$AG$200,0,MATCH(J$2,Inputs!$D$2:$AG$2,0)),Inputs!$B$4:$B$200,$B37)/1000)</f>
        <v>0</v>
      </c>
      <c r="K37" s="11">
        <f>IF(K$3=0,"",SUMIFS(INDEX(Inputs!$D$4:$AG$200,0,MATCH(K$2,Inputs!$D$2:$AG$2,0)),Inputs!$B$4:$B$200,$B37)/1000)</f>
        <v>0</v>
      </c>
      <c r="L37" s="11">
        <f>IF(L$3=0,"",SUMIFS(INDEX(Inputs!$D$4:$AG$200,0,MATCH(L$2,Inputs!$D$2:$AG$2,0)),Inputs!$B$4:$B$200,$B37)/1000)</f>
        <v>0</v>
      </c>
      <c r="M37" s="12">
        <f>IF(L37="","",L37)</f>
        <v>0</v>
      </c>
      <c r="N37" s="11">
        <f>IF(N$3=0,"",SUMIFS(INDEX(Inputs!$D$4:$AG$200,0,MATCH(N$2,Inputs!$D$2:$AG$2,0)),Inputs!$B$4:$B$200,$B37)/1000)</f>
        <v>0</v>
      </c>
      <c r="O37" s="11">
        <f>IF(O$3=0,"",SUMIFS(INDEX(Inputs!$D$4:$AG$200,0,MATCH(O$2,Inputs!$D$2:$AG$2,0)),Inputs!$B$4:$B$200,$B37)/1000)</f>
        <v>0</v>
      </c>
      <c r="P37" s="11">
        <f>IF(P$3=0,"",SUMIFS(INDEX(Inputs!$D$4:$AG$200,0,MATCH(P$2,Inputs!$D$2:$AG$2,0)),Inputs!$B$4:$B$200,$B37)/1000)</f>
        <v>0</v>
      </c>
      <c r="Q37" s="11">
        <f>IF(Q$3=0,"",SUMIFS(INDEX(Inputs!$D$4:$AG$200,0,MATCH(Q$2,Inputs!$D$2:$AG$2,0)),Inputs!$B$4:$B$200,$B37)/1000)</f>
        <v>0</v>
      </c>
      <c r="R37" s="12">
        <f>IF(Q37="","",Q37)</f>
        <v>0</v>
      </c>
      <c r="S37" s="11">
        <f>IF(S$3=0,"",SUMIFS(INDEX(Inputs!$D$4:$AG$200,0,MATCH(S$2,Inputs!$D$2:$AG$2,0)),Inputs!$B$4:$B$200,$B37)/1000)</f>
        <v>0</v>
      </c>
      <c r="T37" s="11">
        <f>IF(T$3=0,"",SUMIFS(INDEX(Inputs!$D$4:$AG$200,0,MATCH(T$2,Inputs!$D$2:$AG$2,0)),Inputs!$B$4:$B$200,$B37)/1000)</f>
        <v>0</v>
      </c>
      <c r="U37" s="11">
        <f>IF(U$3=0,"",SUMIFS(INDEX(Inputs!$D$4:$AG$200,0,MATCH(U$2,Inputs!$D$2:$AG$2,0)),Inputs!$B$4:$B$200,$B37)/1000)</f>
        <v>0</v>
      </c>
      <c r="V37" s="11">
        <f>IF(V$3=0,"",SUMIFS(INDEX(Inputs!$D$4:$AG$200,0,MATCH(V$2,Inputs!$D$2:$AG$2,0)),Inputs!$B$4:$B$200,$B37)/1000)</f>
        <v>0</v>
      </c>
      <c r="W37" s="12">
        <f>IF(V37="","",V37)</f>
        <v>0</v>
      </c>
      <c r="X37" s="11">
        <f>IF(X$3=0,"",SUMIFS(INDEX(Inputs!$D$4:$AG$200,0,MATCH(X$2,Inputs!$D$2:$AG$2,0)),Inputs!$B$4:$B$200,$B37)/1000)</f>
        <v>0</v>
      </c>
      <c r="Y37" s="11">
        <f>IF(Y$3=0,"",SUMIFS(INDEX(Inputs!$D$4:$AG$200,0,MATCH(Y$2,Inputs!$D$2:$AG$2,0)),Inputs!$B$4:$B$200,$B37)/1000)</f>
        <v>0</v>
      </c>
      <c r="Z37" s="11">
        <f>IF(Z$3=0,"",SUMIFS(INDEX(Inputs!$D$4:$AG$200,0,MATCH(Z$2,Inputs!$D$2:$AG$2,0)),Inputs!$B$4:$B$200,$B37)/1000)</f>
        <v>0</v>
      </c>
      <c r="AA37" s="11">
        <f>IF(AA$3=0,"",SUMIFS(INDEX(Inputs!$D$4:$AG$200,0,MATCH(AA$2,Inputs!$D$2:$AG$2,0)),Inputs!$B$4:$B$200,$B37)/1000)</f>
        <v>0</v>
      </c>
      <c r="AB37" s="12">
        <f>IF(AA37="","",AA37)</f>
        <v>0</v>
      </c>
      <c r="AC37" s="11">
        <f>IF(AC$3=0,"",SUMIFS(INDEX(Inputs!$D$4:$AG$200,0,MATCH(AC$2,Inputs!$D$2:$AG$2,0)),Inputs!$B$4:$B$200,$B37)/1000)</f>
        <v>0</v>
      </c>
      <c r="AD37" s="11">
        <f>IF(AD$3=0,"",SUMIFS(INDEX(Inputs!$D$4:$AG$200,0,MATCH(AD$2,Inputs!$D$2:$AG$2,0)),Inputs!$B$4:$B$200,$B37)/1000)</f>
        <v>0</v>
      </c>
      <c r="AE37" s="11" t="str">
        <f>IF(AE$3=0,"",SUMIFS(INDEX(Inputs!$D$4:$AG$200,0,MATCH(AE$2,Inputs!$D$2:$AG$2,0)),Inputs!$B$4:$B$200,$B37)/1000)</f>
        <v/>
      </c>
      <c r="AF37" s="11" t="str">
        <f>IF(AF$3=0,"",SUMIFS(INDEX(Inputs!$D$4:$AG$200,0,MATCH(AF$2,Inputs!$D$2:$AG$2,0)),Inputs!$B$4:$B$200,$B37)/1000)</f>
        <v/>
      </c>
      <c r="AG37" s="12" t="str">
        <f>IF(AF37="","",AF37)</f>
        <v/>
      </c>
    </row>
    <row r="38">
      <c r="B38" s="9" t="n">
        <v>33</v>
      </c>
      <c r="C38" s="14" t="inlineStr">
        <is>
          <t>Deferred income taxes</t>
        </is>
      </c>
      <c r="D38" s="11">
        <f>IF(D$3=0,"",SUMIFS(INDEX(Inputs!$D$4:$AG$200,0,MATCH(D$2,Inputs!$D$2:$AG$2,0)),Inputs!$B$4:$B$200,$B38)/1000)</f>
        <v>253.092</v>
      </c>
      <c r="E38" s="11">
        <f>IF(E$3=0,"",SUMIFS(INDEX(Inputs!$D$4:$AG$200,0,MATCH(E$2,Inputs!$D$2:$AG$2,0)),Inputs!$B$4:$B$200,$B38)/1000)</f>
        <v>354.903</v>
      </c>
      <c r="F38" s="11">
        <f>IF(F$3=0,"",SUMIFS(INDEX(Inputs!$D$4:$AG$200,0,MATCH(F$2,Inputs!$D$2:$AG$2,0)),Inputs!$B$4:$B$200,$B38)/1000)</f>
        <v>488.512</v>
      </c>
      <c r="G38" s="11">
        <f>IF(G$3=0,"",SUMIFS(INDEX(Inputs!$D$4:$AG$200,0,MATCH(G$2,Inputs!$D$2:$AG$2,0)),Inputs!$B$4:$B$200,$B38)/1000)</f>
        <v>550.758</v>
      </c>
      <c r="H38" s="12">
        <f>IF(G38="","",G38)</f>
        <v>550.758</v>
      </c>
      <c r="I38" s="11">
        <f>IF(I$3=0,"",SUMIFS(INDEX(Inputs!$D$4:$AG$200,0,MATCH(I$2,Inputs!$D$2:$AG$2,0)),Inputs!$B$4:$B$200,$B38)/1000)</f>
        <v>551.177</v>
      </c>
      <c r="J38" s="11">
        <f>IF(J$3=0,"",SUMIFS(INDEX(Inputs!$D$4:$AG$200,0,MATCH(J$2,Inputs!$D$2:$AG$2,0)),Inputs!$B$4:$B$200,$B38)/1000)</f>
        <v>577.658</v>
      </c>
      <c r="K38" s="11">
        <f>IF(K$3=0,"",SUMIFS(INDEX(Inputs!$D$4:$AG$200,0,MATCH(K$2,Inputs!$D$2:$AG$2,0)),Inputs!$B$4:$B$200,$B38)/1000)</f>
        <v>589.252</v>
      </c>
      <c r="L38" s="11">
        <f>IF(L$3=0,"",SUMIFS(INDEX(Inputs!$D$4:$AG$200,0,MATCH(L$2,Inputs!$D$2:$AG$2,0)),Inputs!$B$4:$B$200,$B38)/1000)</f>
        <v>611.603</v>
      </c>
      <c r="M38" s="12">
        <f>IF(L38="","",L38)</f>
        <v>611.603</v>
      </c>
      <c r="N38" s="11">
        <f>IF(N$3=0,"",SUMIFS(INDEX(Inputs!$D$4:$AG$200,0,MATCH(N$2,Inputs!$D$2:$AG$2,0)),Inputs!$B$4:$B$200,$B38)/1000)</f>
        <v>764.597</v>
      </c>
      <c r="O38" s="11">
        <f>IF(O$3=0,"",SUMIFS(INDEX(Inputs!$D$4:$AG$200,0,MATCH(O$2,Inputs!$D$2:$AG$2,0)),Inputs!$B$4:$B$200,$B38)/1000)</f>
        <v>829.712</v>
      </c>
      <c r="P38" s="11">
        <f>IF(P$3=0,"",SUMIFS(INDEX(Inputs!$D$4:$AG$200,0,MATCH(P$2,Inputs!$D$2:$AG$2,0)),Inputs!$B$4:$B$200,$B38)/1000)</f>
        <v>814.36</v>
      </c>
      <c r="Q38" s="11">
        <f>IF(Q$3=0,"",SUMIFS(INDEX(Inputs!$D$4:$AG$200,0,MATCH(Q$2,Inputs!$D$2:$AG$2,0)),Inputs!$B$4:$B$200,$B38)/1000)</f>
        <v>780.22</v>
      </c>
      <c r="R38" s="12">
        <f>IF(Q38="","",Q38)</f>
        <v>780.22</v>
      </c>
      <c r="S38" s="11">
        <f>IF(S$3=0,"",SUMIFS(INDEX(Inputs!$D$4:$AG$200,0,MATCH(S$2,Inputs!$D$2:$AG$2,0)),Inputs!$B$4:$B$200,$B38)/1000)</f>
        <v>780.929</v>
      </c>
      <c r="T38" s="11">
        <f>IF(T$3=0,"",SUMIFS(INDEX(Inputs!$D$4:$AG$200,0,MATCH(T$2,Inputs!$D$2:$AG$2,0)),Inputs!$B$4:$B$200,$B38)/1000)</f>
        <v>861.486</v>
      </c>
      <c r="U38" s="11">
        <f>IF(U$3=0,"",SUMIFS(INDEX(Inputs!$D$4:$AG$200,0,MATCH(U$2,Inputs!$D$2:$AG$2,0)),Inputs!$B$4:$B$200,$B38)/1000)</f>
        <v>937.03</v>
      </c>
      <c r="V38" s="11">
        <f>IF(V$3=0,"",SUMIFS(INDEX(Inputs!$D$4:$AG$200,0,MATCH(V$2,Inputs!$D$2:$AG$2,0)),Inputs!$B$4:$B$200,$B38)/1000)</f>
        <v>319.118</v>
      </c>
      <c r="W38" s="12">
        <f>IF(V38="","",V38)</f>
        <v>319.118</v>
      </c>
      <c r="X38" s="11">
        <f>IF(X$3=0,"",SUMIFS(INDEX(Inputs!$D$4:$AG$200,0,MATCH(X$2,Inputs!$D$2:$AG$2,0)),Inputs!$B$4:$B$200,$B38)/1000)</f>
        <v>331.116</v>
      </c>
      <c r="Y38" s="11">
        <f>IF(Y$3=0,"",SUMIFS(INDEX(Inputs!$D$4:$AG$200,0,MATCH(Y$2,Inputs!$D$2:$AG$2,0)),Inputs!$B$4:$B$200,$B38)/1000)</f>
        <v>356.854</v>
      </c>
      <c r="Z38" s="11">
        <f>IF(Z$3=0,"",SUMIFS(INDEX(Inputs!$D$4:$AG$200,0,MATCH(Z$2,Inputs!$D$2:$AG$2,0)),Inputs!$B$4:$B$200,$B38)/1000)</f>
        <v>393.331</v>
      </c>
      <c r="AA38" s="11">
        <f>IF(AA$3=0,"",SUMIFS(INDEX(Inputs!$D$4:$AG$200,0,MATCH(AA$2,Inputs!$D$2:$AG$2,0)),Inputs!$B$4:$B$200,$B38)/1000)</f>
        <v>554.65</v>
      </c>
      <c r="AB38" s="12">
        <f>IF(AA38="","",AA38)</f>
        <v>554.65</v>
      </c>
      <c r="AC38" s="11">
        <f>IF(AC$3=0,"",SUMIFS(INDEX(Inputs!$D$4:$AG$200,0,MATCH(AC$2,Inputs!$D$2:$AG$2,0)),Inputs!$B$4:$B$200,$B38)/1000)</f>
        <v>583.321</v>
      </c>
      <c r="AD38" s="11">
        <f>IF(AD$3=0,"",SUMIFS(INDEX(Inputs!$D$4:$AG$200,0,MATCH(AD$2,Inputs!$D$2:$AG$2,0)),Inputs!$B$4:$B$200,$B38)/1000)</f>
        <v>610.153</v>
      </c>
      <c r="AE38" s="11" t="str">
        <f>IF(AE$3=0,"",SUMIFS(INDEX(Inputs!$D$4:$AG$200,0,MATCH(AE$2,Inputs!$D$2:$AG$2,0)),Inputs!$B$4:$B$200,$B38)/1000)</f>
        <v/>
      </c>
      <c r="AF38" s="11" t="str">
        <f>IF(AF$3=0,"",SUMIFS(INDEX(Inputs!$D$4:$AG$200,0,MATCH(AF$2,Inputs!$D$2:$AG$2,0)),Inputs!$B$4:$B$200,$B38)/1000)</f>
        <v/>
      </c>
      <c r="AG38" s="12" t="str">
        <f>IF(AF38="","",AF38)</f>
        <v/>
      </c>
    </row>
    <row r="39">
      <c r="B39" s="9" t="n">
        <v>34</v>
      </c>
      <c r="C39" s="14" t="inlineStr">
        <is>
          <t>Other non-current liabilities</t>
        </is>
      </c>
      <c r="D39" s="11">
        <f>IF(D$3=0,"",SUMIFS(INDEX(Inputs!$D$4:$AG$200,0,MATCH(D$2,Inputs!$D$2:$AG$2,0)),Inputs!$B$4:$B$200,$B39)/1000)</f>
        <v>175.514</v>
      </c>
      <c r="E39" s="11">
        <f>IF(E$3=0,"",SUMIFS(INDEX(Inputs!$D$4:$AG$200,0,MATCH(E$2,Inputs!$D$2:$AG$2,0)),Inputs!$B$4:$B$200,$B39)/1000)</f>
        <v>368.941</v>
      </c>
      <c r="F39" s="11">
        <f>IF(F$3=0,"",SUMIFS(INDEX(Inputs!$D$4:$AG$200,0,MATCH(F$2,Inputs!$D$2:$AG$2,0)),Inputs!$B$4:$B$200,$B39)/1000)</f>
        <v>389.206</v>
      </c>
      <c r="G39" s="11">
        <f>IF(G$3=0,"",SUMIFS(INDEX(Inputs!$D$4:$AG$200,0,MATCH(G$2,Inputs!$D$2:$AG$2,0)),Inputs!$B$4:$B$200,$B39)/1000)</f>
        <v>121.857</v>
      </c>
      <c r="H39" s="12">
        <f>IF(G39="","",G39)</f>
        <v>121.857</v>
      </c>
      <c r="I39" s="11">
        <f>IF(I$3=0,"",SUMIFS(INDEX(Inputs!$D$4:$AG$200,0,MATCH(I$2,Inputs!$D$2:$AG$2,0)),Inputs!$B$4:$B$200,$B39)/1000)</f>
        <v>701.389</v>
      </c>
      <c r="J39" s="11">
        <f>IF(J$3=0,"",SUMIFS(INDEX(Inputs!$D$4:$AG$200,0,MATCH(J$2,Inputs!$D$2:$AG$2,0)),Inputs!$B$4:$B$200,$B39)/1000)</f>
        <v>756.418</v>
      </c>
      <c r="K39" s="11">
        <f>IF(K$3=0,"",SUMIFS(INDEX(Inputs!$D$4:$AG$200,0,MATCH(K$2,Inputs!$D$2:$AG$2,0)),Inputs!$B$4:$B$200,$B39)/1000)</f>
        <v>778.453</v>
      </c>
      <c r="L39" s="11">
        <f>IF(L$3=0,"",SUMIFS(INDEX(Inputs!$D$4:$AG$200,0,MATCH(L$2,Inputs!$D$2:$AG$2,0)),Inputs!$B$4:$B$200,$B39)/1000)</f>
        <v>1291.909</v>
      </c>
      <c r="M39" s="12">
        <f>IF(L39="","",L39)</f>
        <v>1291.909</v>
      </c>
      <c r="N39" s="11">
        <f>IF(N$3=0,"",SUMIFS(INDEX(Inputs!$D$4:$AG$200,0,MATCH(N$2,Inputs!$D$2:$AG$2,0)),Inputs!$B$4:$B$200,$B39)/1000)</f>
        <v>1214.05</v>
      </c>
      <c r="O39" s="11">
        <f>IF(O$3=0,"",SUMIFS(INDEX(Inputs!$D$4:$AG$200,0,MATCH(O$2,Inputs!$D$2:$AG$2,0)),Inputs!$B$4:$B$200,$B39)/1000)</f>
        <v>1141.869</v>
      </c>
      <c r="P39" s="11">
        <f>IF(P$3=0,"",SUMIFS(INDEX(Inputs!$D$4:$AG$200,0,MATCH(P$2,Inputs!$D$2:$AG$2,0)),Inputs!$B$4:$B$200,$B39)/1000)</f>
        <v>1124.146</v>
      </c>
      <c r="Q39" s="11">
        <f>IF(Q$3=0,"",SUMIFS(INDEX(Inputs!$D$4:$AG$200,0,MATCH(Q$2,Inputs!$D$2:$AG$2,0)),Inputs!$B$4:$B$200,$B39)/1000)</f>
        <v>344.124</v>
      </c>
      <c r="R39" s="12">
        <f>IF(Q39="","",Q39)</f>
        <v>344.124</v>
      </c>
      <c r="S39" s="11">
        <f>IF(S$3=0,"",SUMIFS(INDEX(Inputs!$D$4:$AG$200,0,MATCH(S$2,Inputs!$D$2:$AG$2,0)),Inputs!$B$4:$B$200,$B39)/1000)</f>
        <v>437.191</v>
      </c>
      <c r="T39" s="11">
        <f>IF(T$3=0,"",SUMIFS(INDEX(Inputs!$D$4:$AG$200,0,MATCH(T$2,Inputs!$D$2:$AG$2,0)),Inputs!$B$4:$B$200,$B39)/1000)</f>
        <v>528.912</v>
      </c>
      <c r="U39" s="11">
        <f>IF(U$3=0,"",SUMIFS(INDEX(Inputs!$D$4:$AG$200,0,MATCH(U$2,Inputs!$D$2:$AG$2,0)),Inputs!$B$4:$B$200,$B39)/1000)</f>
        <v>595.543</v>
      </c>
      <c r="V39" s="11">
        <f>IF(V$3=0,"",SUMIFS(INDEX(Inputs!$D$4:$AG$200,0,MATCH(V$2,Inputs!$D$2:$AG$2,0)),Inputs!$B$4:$B$200,$B39)/1000)</f>
        <v>394.754</v>
      </c>
      <c r="W39" s="12">
        <f>IF(V39="","",V39)</f>
        <v>394.754</v>
      </c>
      <c r="X39" s="11">
        <f>IF(X$3=0,"",SUMIFS(INDEX(Inputs!$D$4:$AG$200,0,MATCH(X$2,Inputs!$D$2:$AG$2,0)),Inputs!$B$4:$B$200,$B39)/1000)</f>
        <v>613.334</v>
      </c>
      <c r="Y39" s="11">
        <f>IF(Y$3=0,"",SUMIFS(INDEX(Inputs!$D$4:$AG$200,0,MATCH(Y$2,Inputs!$D$2:$AG$2,0)),Inputs!$B$4:$B$200,$B39)/1000)</f>
        <v>822.429</v>
      </c>
      <c r="Z39" s="11">
        <f>IF(Z$3=0,"",SUMIFS(INDEX(Inputs!$D$4:$AG$200,0,MATCH(Z$2,Inputs!$D$2:$AG$2,0)),Inputs!$B$4:$B$200,$B39)/1000)</f>
        <v>953.481</v>
      </c>
      <c r="AA39" s="11">
        <f>IF(AA$3=0,"",SUMIFS(INDEX(Inputs!$D$4:$AG$200,0,MATCH(AA$2,Inputs!$D$2:$AG$2,0)),Inputs!$B$4:$B$200,$B39)/1000)</f>
        <v>1108.57</v>
      </c>
      <c r="AB39" s="12">
        <f>IF(AA39="","",AA39)</f>
        <v>1108.57</v>
      </c>
      <c r="AC39" s="11">
        <f>IF(AC$3=0,"",SUMIFS(INDEX(Inputs!$D$4:$AG$200,0,MATCH(AC$2,Inputs!$D$2:$AG$2,0)),Inputs!$B$4:$B$200,$B39)/1000)</f>
        <v>1368.663</v>
      </c>
      <c r="AD39" s="11">
        <f>IF(AD$3=0,"",SUMIFS(INDEX(Inputs!$D$4:$AG$200,0,MATCH(AD$2,Inputs!$D$2:$AG$2,0)),Inputs!$B$4:$B$200,$B39)/1000)</f>
        <v>1521.839</v>
      </c>
      <c r="AE39" s="11" t="str">
        <f>IF(AE$3=0,"",SUMIFS(INDEX(Inputs!$D$4:$AG$200,0,MATCH(AE$2,Inputs!$D$2:$AG$2,0)),Inputs!$B$4:$B$200,$B39)/1000)</f>
        <v/>
      </c>
      <c r="AF39" s="11" t="str">
        <f>IF(AF$3=0,"",SUMIFS(INDEX(Inputs!$D$4:$AG$200,0,MATCH(AF$2,Inputs!$D$2:$AG$2,0)),Inputs!$B$4:$B$200,$B39)/1000)</f>
        <v/>
      </c>
      <c r="AG39" s="12" t="str">
        <f>IF(AF39="","",AF39)</f>
        <v/>
      </c>
    </row>
    <row r="40">
      <c r="C40" s="3" t="n"/>
    </row>
    <row r="41">
      <c r="B41" s="9" t="n">
        <v>35</v>
      </c>
      <c r="C41" s="14" t="inlineStr">
        <is>
          <t>Minority interest</t>
        </is>
      </c>
      <c r="D41" s="11">
        <f>IF(D$3=0,"",SUMIFS(INDEX(Inputs!$D$4:$AG$200,0,MATCH(D$2,Inputs!$D$2:$AG$2,0)),Inputs!$B$4:$B$200,$B41)/1000)</f>
        <v>0</v>
      </c>
      <c r="E41" s="11">
        <f>IF(E$3=0,"",SUMIFS(INDEX(Inputs!$D$4:$AG$200,0,MATCH(E$2,Inputs!$D$2:$AG$2,0)),Inputs!$B$4:$B$200,$B41)/1000)</f>
        <v>0</v>
      </c>
      <c r="F41" s="11">
        <f>IF(F$3=0,"",SUMIFS(INDEX(Inputs!$D$4:$AG$200,0,MATCH(F$2,Inputs!$D$2:$AG$2,0)),Inputs!$B$4:$B$200,$B41)/1000)</f>
        <v>0</v>
      </c>
      <c r="G41" s="11">
        <f>IF(G$3=0,"",SUMIFS(INDEX(Inputs!$D$4:$AG$200,0,MATCH(G$2,Inputs!$D$2:$AG$2,0)),Inputs!$B$4:$B$200,$B41)/1000)</f>
        <v>0</v>
      </c>
      <c r="H41" s="12">
        <f>IF(G41="","",G41)</f>
        <v>0</v>
      </c>
      <c r="I41" s="11">
        <f>IF(I$3=0,"",SUMIFS(INDEX(Inputs!$D$4:$AG$200,0,MATCH(I$2,Inputs!$D$2:$AG$2,0)),Inputs!$B$4:$B$200,$B41)/1000)</f>
        <v>0</v>
      </c>
      <c r="J41" s="11">
        <f>IF(J$3=0,"",SUMIFS(INDEX(Inputs!$D$4:$AG$200,0,MATCH(J$2,Inputs!$D$2:$AG$2,0)),Inputs!$B$4:$B$200,$B41)/1000)</f>
        <v>0</v>
      </c>
      <c r="K41" s="11">
        <f>IF(K$3=0,"",SUMIFS(INDEX(Inputs!$D$4:$AG$200,0,MATCH(K$2,Inputs!$D$2:$AG$2,0)),Inputs!$B$4:$B$200,$B41)/1000)</f>
        <v>0</v>
      </c>
      <c r="L41" s="11">
        <f>IF(L$3=0,"",SUMIFS(INDEX(Inputs!$D$4:$AG$200,0,MATCH(L$2,Inputs!$D$2:$AG$2,0)),Inputs!$B$4:$B$200,$B41)/1000)</f>
        <v>0</v>
      </c>
      <c r="M41" s="12">
        <f>IF(L41="","",L41)</f>
        <v>0</v>
      </c>
      <c r="N41" s="11">
        <f>IF(N$3=0,"",SUMIFS(INDEX(Inputs!$D$4:$AG$200,0,MATCH(N$2,Inputs!$D$2:$AG$2,0)),Inputs!$B$4:$B$200,$B41)/1000)</f>
        <v>0</v>
      </c>
      <c r="O41" s="11">
        <f>IF(O$3=0,"",SUMIFS(INDEX(Inputs!$D$4:$AG$200,0,MATCH(O$2,Inputs!$D$2:$AG$2,0)),Inputs!$B$4:$B$200,$B41)/1000)</f>
        <v>0</v>
      </c>
      <c r="P41" s="11">
        <f>IF(P$3=0,"",SUMIFS(INDEX(Inputs!$D$4:$AG$200,0,MATCH(P$2,Inputs!$D$2:$AG$2,0)),Inputs!$B$4:$B$200,$B41)/1000)</f>
        <v>0</v>
      </c>
      <c r="Q41" s="11">
        <f>IF(Q$3=0,"",SUMIFS(INDEX(Inputs!$D$4:$AG$200,0,MATCH(Q$2,Inputs!$D$2:$AG$2,0)),Inputs!$B$4:$B$200,$B41)/1000)</f>
        <v>0</v>
      </c>
      <c r="R41" s="12">
        <f>IF(Q41="","",Q41)</f>
        <v>0</v>
      </c>
      <c r="S41" s="11">
        <f>IF(S$3=0,"",SUMIFS(INDEX(Inputs!$D$4:$AG$200,0,MATCH(S$2,Inputs!$D$2:$AG$2,0)),Inputs!$B$4:$B$200,$B41)/1000)</f>
        <v>0</v>
      </c>
      <c r="T41" s="11">
        <f>IF(T$3=0,"",SUMIFS(INDEX(Inputs!$D$4:$AG$200,0,MATCH(T$2,Inputs!$D$2:$AG$2,0)),Inputs!$B$4:$B$200,$B41)/1000)</f>
        <v>0</v>
      </c>
      <c r="U41" s="11">
        <f>IF(U$3=0,"",SUMIFS(INDEX(Inputs!$D$4:$AG$200,0,MATCH(U$2,Inputs!$D$2:$AG$2,0)),Inputs!$B$4:$B$200,$B41)/1000)</f>
        <v>0</v>
      </c>
      <c r="V41" s="11">
        <f>IF(V$3=0,"",SUMIFS(INDEX(Inputs!$D$4:$AG$200,0,MATCH(V$2,Inputs!$D$2:$AG$2,0)),Inputs!$B$4:$B$200,$B41)/1000)</f>
        <v>0</v>
      </c>
      <c r="W41" s="12">
        <f>IF(V41="","",V41)</f>
        <v>0</v>
      </c>
      <c r="X41" s="11">
        <f>IF(X$3=0,"",SUMIFS(INDEX(Inputs!$D$4:$AG$200,0,MATCH(X$2,Inputs!$D$2:$AG$2,0)),Inputs!$B$4:$B$200,$B41)/1000)</f>
        <v>0</v>
      </c>
      <c r="Y41" s="11">
        <f>IF(Y$3=0,"",SUMIFS(INDEX(Inputs!$D$4:$AG$200,0,MATCH(Y$2,Inputs!$D$2:$AG$2,0)),Inputs!$B$4:$B$200,$B41)/1000)</f>
        <v>0</v>
      </c>
      <c r="Z41" s="11">
        <f>IF(Z$3=0,"",SUMIFS(INDEX(Inputs!$D$4:$AG$200,0,MATCH(Z$2,Inputs!$D$2:$AG$2,0)),Inputs!$B$4:$B$200,$B41)/1000)</f>
        <v>0</v>
      </c>
      <c r="AA41" s="11">
        <f>IF(AA$3=0,"",SUMIFS(INDEX(Inputs!$D$4:$AG$200,0,MATCH(AA$2,Inputs!$D$2:$AG$2,0)),Inputs!$B$4:$B$200,$B41)/1000)</f>
        <v>0</v>
      </c>
      <c r="AB41" s="12">
        <f>IF(AA41="","",AA41)</f>
        <v>0</v>
      </c>
      <c r="AC41" s="11">
        <f>IF(AC$3=0,"",SUMIFS(INDEX(Inputs!$D$4:$AG$200,0,MATCH(AC$2,Inputs!$D$2:$AG$2,0)),Inputs!$B$4:$B$200,$B41)/1000)</f>
        <v>0</v>
      </c>
      <c r="AD41" s="11">
        <f>IF(AD$3=0,"",SUMIFS(INDEX(Inputs!$D$4:$AG$200,0,MATCH(AD$2,Inputs!$D$2:$AG$2,0)),Inputs!$B$4:$B$200,$B41)/1000)</f>
        <v>0</v>
      </c>
      <c r="AE41" s="11" t="str">
        <f>IF(AE$3=0,"",SUMIFS(INDEX(Inputs!$D$4:$AG$200,0,MATCH(AE$2,Inputs!$D$2:$AG$2,0)),Inputs!$B$4:$B$200,$B41)/1000)</f>
        <v/>
      </c>
      <c r="AF41" s="11" t="str">
        <f>IF(AF$3=0,"",SUMIFS(INDEX(Inputs!$D$4:$AG$200,0,MATCH(AF$2,Inputs!$D$2:$AG$2,0)),Inputs!$B$4:$B$200,$B41)/1000)</f>
        <v/>
      </c>
      <c r="AG41" s="12" t="str">
        <f>IF(AF41="","",AF41)</f>
        <v/>
      </c>
    </row>
    <row r="42">
      <c r="B42" s="9" t="n">
        <v>36</v>
      </c>
      <c r="C42" s="14" t="inlineStr">
        <is>
          <t>Convertible Preferred Stock</t>
        </is>
      </c>
      <c r="D42" s="11">
        <f>IF(D$3=0,"",SUMIFS(INDEX(Inputs!$D$4:$AG$200,0,MATCH(D$2,Inputs!$D$2:$AG$2,0)),Inputs!$B$4:$B$200,$B42)/1000)</f>
        <v>0</v>
      </c>
      <c r="E42" s="11">
        <f>IF(E$3=0,"",SUMIFS(INDEX(Inputs!$D$4:$AG$200,0,MATCH(E$2,Inputs!$D$2:$AG$2,0)),Inputs!$B$4:$B$200,$B42)/1000)</f>
        <v>0</v>
      </c>
      <c r="F42" s="11">
        <f>IF(F$3=0,"",SUMIFS(INDEX(Inputs!$D$4:$AG$200,0,MATCH(F$2,Inputs!$D$2:$AG$2,0)),Inputs!$B$4:$B$200,$B42)/1000)</f>
        <v>0</v>
      </c>
      <c r="G42" s="11">
        <f>IF(G$3=0,"",SUMIFS(INDEX(Inputs!$D$4:$AG$200,0,MATCH(G$2,Inputs!$D$2:$AG$2,0)),Inputs!$B$4:$B$200,$B42)/1000)</f>
        <v>0</v>
      </c>
      <c r="H42" s="12">
        <f>IF(G42="","",G42)</f>
        <v>0</v>
      </c>
      <c r="I42" s="11">
        <f>IF(I$3=0,"",SUMIFS(INDEX(Inputs!$D$4:$AG$200,0,MATCH(I$2,Inputs!$D$2:$AG$2,0)),Inputs!$B$4:$B$200,$B42)/1000)</f>
        <v>0</v>
      </c>
      <c r="J42" s="11">
        <f>IF(J$3=0,"",SUMIFS(INDEX(Inputs!$D$4:$AG$200,0,MATCH(J$2,Inputs!$D$2:$AG$2,0)),Inputs!$B$4:$B$200,$B42)/1000)</f>
        <v>0</v>
      </c>
      <c r="K42" s="11">
        <f>IF(K$3=0,"",SUMIFS(INDEX(Inputs!$D$4:$AG$200,0,MATCH(K$2,Inputs!$D$2:$AG$2,0)),Inputs!$B$4:$B$200,$B42)/1000)</f>
        <v>0</v>
      </c>
      <c r="L42" s="11">
        <f>IF(L$3=0,"",SUMIFS(INDEX(Inputs!$D$4:$AG$200,0,MATCH(L$2,Inputs!$D$2:$AG$2,0)),Inputs!$B$4:$B$200,$B42)/1000)</f>
        <v>0</v>
      </c>
      <c r="M42" s="12">
        <f>IF(L42="","",L42)</f>
        <v>0</v>
      </c>
      <c r="N42" s="11">
        <f>IF(N$3=0,"",SUMIFS(INDEX(Inputs!$D$4:$AG$200,0,MATCH(N$2,Inputs!$D$2:$AG$2,0)),Inputs!$B$4:$B$200,$B42)/1000)</f>
        <v>0</v>
      </c>
      <c r="O42" s="11">
        <f>IF(O$3=0,"",SUMIFS(INDEX(Inputs!$D$4:$AG$200,0,MATCH(O$2,Inputs!$D$2:$AG$2,0)),Inputs!$B$4:$B$200,$B42)/1000)</f>
        <v>0</v>
      </c>
      <c r="P42" s="11">
        <f>IF(P$3=0,"",SUMIFS(INDEX(Inputs!$D$4:$AG$200,0,MATCH(P$2,Inputs!$D$2:$AG$2,0)),Inputs!$B$4:$B$200,$B42)/1000)</f>
        <v>0</v>
      </c>
      <c r="Q42" s="11">
        <f>IF(Q$3=0,"",SUMIFS(INDEX(Inputs!$D$4:$AG$200,0,MATCH(Q$2,Inputs!$D$2:$AG$2,0)),Inputs!$B$4:$B$200,$B42)/1000)</f>
        <v>0</v>
      </c>
      <c r="R42" s="12">
        <f>IF(Q42="","",Q42)</f>
        <v>0</v>
      </c>
      <c r="S42" s="11">
        <f>IF(S$3=0,"",SUMIFS(INDEX(Inputs!$D$4:$AG$200,0,MATCH(S$2,Inputs!$D$2:$AG$2,0)),Inputs!$B$4:$B$200,$B42)/1000)</f>
        <v>0</v>
      </c>
      <c r="T42" s="11">
        <f>IF(T$3=0,"",SUMIFS(INDEX(Inputs!$D$4:$AG$200,0,MATCH(T$2,Inputs!$D$2:$AG$2,0)),Inputs!$B$4:$B$200,$B42)/1000)</f>
        <v>0</v>
      </c>
      <c r="U42" s="11">
        <f>IF(U$3=0,"",SUMIFS(INDEX(Inputs!$D$4:$AG$200,0,MATCH(U$2,Inputs!$D$2:$AG$2,0)),Inputs!$B$4:$B$200,$B42)/1000)</f>
        <v>0</v>
      </c>
      <c r="V42" s="11">
        <f>IF(V$3=0,"",SUMIFS(INDEX(Inputs!$D$4:$AG$200,0,MATCH(V$2,Inputs!$D$2:$AG$2,0)),Inputs!$B$4:$B$200,$B42)/1000)</f>
        <v>0</v>
      </c>
      <c r="W42" s="12">
        <f>IF(V42="","",V42)</f>
        <v>0</v>
      </c>
      <c r="X42" s="11">
        <f>IF(X$3=0,"",SUMIFS(INDEX(Inputs!$D$4:$AG$200,0,MATCH(X$2,Inputs!$D$2:$AG$2,0)),Inputs!$B$4:$B$200,$B42)/1000)</f>
        <v>0</v>
      </c>
      <c r="Y42" s="11">
        <f>IF(Y$3=0,"",SUMIFS(INDEX(Inputs!$D$4:$AG$200,0,MATCH(Y$2,Inputs!$D$2:$AG$2,0)),Inputs!$B$4:$B$200,$B42)/1000)</f>
        <v>0</v>
      </c>
      <c r="Z42" s="11">
        <f>IF(Z$3=0,"",SUMIFS(INDEX(Inputs!$D$4:$AG$200,0,MATCH(Z$2,Inputs!$D$2:$AG$2,0)),Inputs!$B$4:$B$200,$B42)/1000)</f>
        <v>0</v>
      </c>
      <c r="AA42" s="11">
        <f>IF(AA$3=0,"",SUMIFS(INDEX(Inputs!$D$4:$AG$200,0,MATCH(AA$2,Inputs!$D$2:$AG$2,0)),Inputs!$B$4:$B$200,$B42)/1000)</f>
        <v>0</v>
      </c>
      <c r="AB42" s="12">
        <f>IF(AA42="","",AA42)</f>
        <v>0</v>
      </c>
      <c r="AC42" s="11">
        <f>IF(AC$3=0,"",SUMIFS(INDEX(Inputs!$D$4:$AG$200,0,MATCH(AC$2,Inputs!$D$2:$AG$2,0)),Inputs!$B$4:$B$200,$B42)/1000)</f>
        <v>0</v>
      </c>
      <c r="AD42" s="11">
        <f>IF(AD$3=0,"",SUMIFS(INDEX(Inputs!$D$4:$AG$200,0,MATCH(AD$2,Inputs!$D$2:$AG$2,0)),Inputs!$B$4:$B$200,$B42)/1000)</f>
        <v>0</v>
      </c>
      <c r="AE42" s="11" t="str">
        <f>IF(AE$3=0,"",SUMIFS(INDEX(Inputs!$D$4:$AG$200,0,MATCH(AE$2,Inputs!$D$2:$AG$2,0)),Inputs!$B$4:$B$200,$B42)/1000)</f>
        <v/>
      </c>
      <c r="AF42" s="11" t="str">
        <f>IF(AF$3=0,"",SUMIFS(INDEX(Inputs!$D$4:$AG$200,0,MATCH(AF$2,Inputs!$D$2:$AG$2,0)),Inputs!$B$4:$B$200,$B42)/1000)</f>
        <v/>
      </c>
      <c r="AG42" s="12" t="str">
        <f>IF(AF42="","",AF42)</f>
        <v/>
      </c>
    </row>
    <row r="43">
      <c r="B43" s="9" t="n">
        <v>37</v>
      </c>
      <c r="C43" s="13" t="inlineStr">
        <is>
          <t>Common Stock and APIC</t>
        </is>
      </c>
      <c r="D43" s="11">
        <f>IF(D$3=0,"",SUMIFS(INDEX(Inputs!$D$4:$AG$200,0,MATCH(D$2,Inputs!$D$2:$AG$2,0)),Inputs!$B$4:$B$200,$B43)/1000)</f>
        <v>2070.813</v>
      </c>
      <c r="E43" s="11">
        <f>IF(E$3=0,"",SUMIFS(INDEX(Inputs!$D$4:$AG$200,0,MATCH(E$2,Inputs!$D$2:$AG$2,0)),Inputs!$B$4:$B$200,$B43)/1000)</f>
        <v>2070.959</v>
      </c>
      <c r="F43" s="11">
        <f>IF(F$3=0,"",SUMIFS(INDEX(Inputs!$D$4:$AG$200,0,MATCH(F$2,Inputs!$D$2:$AG$2,0)),Inputs!$B$4:$B$200,$B43)/1000)</f>
        <v>2653.829</v>
      </c>
      <c r="G43" s="11">
        <f>IF(G$3=0,"",SUMIFS(INDEX(Inputs!$D$4:$AG$200,0,MATCH(G$2,Inputs!$D$2:$AG$2,0)),Inputs!$B$4:$B$200,$B43)/1000)</f>
        <v>2652.335</v>
      </c>
      <c r="H43" s="12">
        <f>IF(G43="","",G43)</f>
        <v>2652.335</v>
      </c>
      <c r="I43" s="11">
        <f>IF(I$3=0,"",SUMIFS(INDEX(Inputs!$D$4:$AG$200,0,MATCH(I$2,Inputs!$D$2:$AG$2,0)),Inputs!$B$4:$B$200,$B43)/1000)</f>
        <v>2652.409</v>
      </c>
      <c r="J43" s="11">
        <f>IF(J$3=0,"",SUMIFS(INDEX(Inputs!$D$4:$AG$200,0,MATCH(J$2,Inputs!$D$2:$AG$2,0)),Inputs!$B$4:$B$200,$B43)/1000)</f>
        <v>2652.409</v>
      </c>
      <c r="K43" s="11">
        <f>IF(K$3=0,"",SUMIFS(INDEX(Inputs!$D$4:$AG$200,0,MATCH(K$2,Inputs!$D$2:$AG$2,0)),Inputs!$B$4:$B$200,$B43)/1000)</f>
        <v>2652.409</v>
      </c>
      <c r="L43" s="11">
        <f>IF(L$3=0,"",SUMIFS(INDEX(Inputs!$D$4:$AG$200,0,MATCH(L$2,Inputs!$D$2:$AG$2,0)),Inputs!$B$4:$B$200,$B43)/1000)</f>
        <v>2652.409</v>
      </c>
      <c r="M43" s="12">
        <f>IF(L43="","",L43)</f>
        <v>2652.409</v>
      </c>
      <c r="N43" s="11">
        <f>IF(N$3=0,"",SUMIFS(INDEX(Inputs!$D$4:$AG$200,0,MATCH(N$2,Inputs!$D$2:$AG$2,0)),Inputs!$B$4:$B$200,$B43)/1000)</f>
        <v>2652.409</v>
      </c>
      <c r="O43" s="11">
        <f>IF(O$3=0,"",SUMIFS(INDEX(Inputs!$D$4:$AG$200,0,MATCH(O$2,Inputs!$D$2:$AG$2,0)),Inputs!$B$4:$B$200,$B43)/1000)</f>
        <v>2652.408</v>
      </c>
      <c r="P43" s="11">
        <f>IF(P$3=0,"",SUMIFS(INDEX(Inputs!$D$4:$AG$200,0,MATCH(P$2,Inputs!$D$2:$AG$2,0)),Inputs!$B$4:$B$200,$B43)/1000)</f>
        <v>2652.409</v>
      </c>
      <c r="Q43" s="11">
        <f>IF(Q$3=0,"",SUMIFS(INDEX(Inputs!$D$4:$AG$200,0,MATCH(Q$2,Inputs!$D$2:$AG$2,0)),Inputs!$B$4:$B$200,$B43)/1000)</f>
        <v>2652.409</v>
      </c>
      <c r="R43" s="12">
        <f>IF(Q43="","",Q43)</f>
        <v>2652.409</v>
      </c>
      <c r="S43" s="11">
        <f>IF(S$3=0,"",SUMIFS(INDEX(Inputs!$D$4:$AG$200,0,MATCH(S$2,Inputs!$D$2:$AG$2,0)),Inputs!$B$4:$B$200,$B43)/1000)</f>
        <v>2652.409</v>
      </c>
      <c r="T43" s="11">
        <f>IF(T$3=0,"",SUMIFS(INDEX(Inputs!$D$4:$AG$200,0,MATCH(T$2,Inputs!$D$2:$AG$2,0)),Inputs!$B$4:$B$200,$B43)/1000)</f>
        <v>2652.409</v>
      </c>
      <c r="U43" s="11">
        <f>IF(U$3=0,"",SUMIFS(INDEX(Inputs!$D$4:$AG$200,0,MATCH(U$2,Inputs!$D$2:$AG$2,0)),Inputs!$B$4:$B$200,$B43)/1000)</f>
        <v>2652.409</v>
      </c>
      <c r="V43" s="11">
        <f>IF(V$3=0,"",SUMIFS(INDEX(Inputs!$D$4:$AG$200,0,MATCH(V$2,Inputs!$D$2:$AG$2,0)),Inputs!$B$4:$B$200,$B43)/1000)</f>
        <v>2652.409</v>
      </c>
      <c r="W43" s="12">
        <f>IF(V43="","",V43)</f>
        <v>2652.409</v>
      </c>
      <c r="X43" s="11">
        <f>IF(X$3=0,"",SUMIFS(INDEX(Inputs!$D$4:$AG$200,0,MATCH(X$2,Inputs!$D$2:$AG$2,0)),Inputs!$B$4:$B$200,$B43)/1000)</f>
        <v>2652.409</v>
      </c>
      <c r="Y43" s="11">
        <f>IF(Y$3=0,"",SUMIFS(INDEX(Inputs!$D$4:$AG$200,0,MATCH(Y$2,Inputs!$D$2:$AG$2,0)),Inputs!$B$4:$B$200,$B43)/1000)</f>
        <v>2652.409</v>
      </c>
      <c r="Z43" s="11">
        <f>IF(Z$3=0,"",SUMIFS(INDEX(Inputs!$D$4:$AG$200,0,MATCH(Z$2,Inputs!$D$2:$AG$2,0)),Inputs!$B$4:$B$200,$B43)/1000)</f>
        <v>2652.409</v>
      </c>
      <c r="AA43" s="11">
        <f>IF(AA$3=0,"",SUMIFS(INDEX(Inputs!$D$4:$AG$200,0,MATCH(AA$2,Inputs!$D$2:$AG$2,0)),Inputs!$B$4:$B$200,$B43)/1000)</f>
        <v>2652.409</v>
      </c>
      <c r="AB43" s="12">
        <f>IF(AA43="","",AA43)</f>
        <v>2652.409</v>
      </c>
      <c r="AC43" s="11">
        <f>IF(AC$3=0,"",SUMIFS(INDEX(Inputs!$D$4:$AG$200,0,MATCH(AC$2,Inputs!$D$2:$AG$2,0)),Inputs!$B$4:$B$200,$B43)/1000)</f>
        <v>2590.776</v>
      </c>
      <c r="AD43" s="11">
        <f>IF(AD$3=0,"",SUMIFS(INDEX(Inputs!$D$4:$AG$200,0,MATCH(AD$2,Inputs!$D$2:$AG$2,0)),Inputs!$B$4:$B$200,$B43)/1000)</f>
        <v>3335.708</v>
      </c>
      <c r="AE43" s="11" t="str">
        <f>IF(AE$3=0,"",SUMIFS(INDEX(Inputs!$D$4:$AG$200,0,MATCH(AE$2,Inputs!$D$2:$AG$2,0)),Inputs!$B$4:$B$200,$B43)/1000)</f>
        <v/>
      </c>
      <c r="AF43" s="11" t="str">
        <f>IF(AF$3=0,"",SUMIFS(INDEX(Inputs!$D$4:$AG$200,0,MATCH(AF$2,Inputs!$D$2:$AG$2,0)),Inputs!$B$4:$B$200,$B43)/1000)</f>
        <v/>
      </c>
      <c r="AG43" s="12" t="str">
        <f>IF(AF43="","",AF43)</f>
        <v/>
      </c>
    </row>
    <row r="44">
      <c r="B44" s="9" t="n">
        <v>38</v>
      </c>
      <c r="C44" s="14" t="inlineStr">
        <is>
          <t>Treasury stock (contra account)</t>
        </is>
      </c>
      <c r="D44" s="11">
        <f>IF(D$3=0,"",SUMIFS(INDEX(Inputs!$D$4:$AG$200,0,MATCH(D$2,Inputs!$D$2:$AG$2,0)),Inputs!$B$4:$B$200,$B44)/1000)</f>
        <v>-23.377</v>
      </c>
      <c r="E44" s="11">
        <f>IF(E$3=0,"",SUMIFS(INDEX(Inputs!$D$4:$AG$200,0,MATCH(E$2,Inputs!$D$2:$AG$2,0)),Inputs!$B$4:$B$200,$B44)/1000)</f>
        <v>-27.166</v>
      </c>
      <c r="F44" s="11">
        <f>IF(F$3=0,"",SUMIFS(INDEX(Inputs!$D$4:$AG$200,0,MATCH(F$2,Inputs!$D$2:$AG$2,0)),Inputs!$B$4:$B$200,$B44)/1000)</f>
        <v>-12.509</v>
      </c>
      <c r="G44" s="11">
        <f>IF(G$3=0,"",SUMIFS(INDEX(Inputs!$D$4:$AG$200,0,MATCH(G$2,Inputs!$D$2:$AG$2,0)),Inputs!$B$4:$B$200,$B44)/1000)</f>
        <v>-12.639</v>
      </c>
      <c r="H44" s="12">
        <f>IF(G44="","",G44)</f>
        <v>-12.639</v>
      </c>
      <c r="I44" s="11">
        <f>IF(I$3=0,"",SUMIFS(INDEX(Inputs!$D$4:$AG$200,0,MATCH(I$2,Inputs!$D$2:$AG$2,0)),Inputs!$B$4:$B$200,$B44)/1000)</f>
        <v>-12.649</v>
      </c>
      <c r="J44" s="11">
        <f>IF(J$3=0,"",SUMIFS(INDEX(Inputs!$D$4:$AG$200,0,MATCH(J$2,Inputs!$D$2:$AG$2,0)),Inputs!$B$4:$B$200,$B44)/1000)</f>
        <v>-13.53</v>
      </c>
      <c r="K44" s="11">
        <f>IF(K$3=0,"",SUMIFS(INDEX(Inputs!$D$4:$AG$200,0,MATCH(K$2,Inputs!$D$2:$AG$2,0)),Inputs!$B$4:$B$200,$B44)/1000)</f>
        <v>-14.41</v>
      </c>
      <c r="L44" s="11">
        <f>IF(L$3=0,"",SUMIFS(INDEX(Inputs!$D$4:$AG$200,0,MATCH(L$2,Inputs!$D$2:$AG$2,0)),Inputs!$B$4:$B$200,$B44)/1000)</f>
        <v>-14.419</v>
      </c>
      <c r="M44" s="12">
        <f>IF(L44="","",L44)</f>
        <v>-14.419</v>
      </c>
      <c r="N44" s="11">
        <f>IF(N$3=0,"",SUMIFS(INDEX(Inputs!$D$4:$AG$200,0,MATCH(N$2,Inputs!$D$2:$AG$2,0)),Inputs!$B$4:$B$200,$B44)/1000)</f>
        <v>-29.946</v>
      </c>
      <c r="O44" s="11">
        <f>IF(O$3=0,"",SUMIFS(INDEX(Inputs!$D$4:$AG$200,0,MATCH(O$2,Inputs!$D$2:$AG$2,0)),Inputs!$B$4:$B$200,$B44)/1000)</f>
        <v>-29.97</v>
      </c>
      <c r="P44" s="11">
        <f>IF(P$3=0,"",SUMIFS(INDEX(Inputs!$D$4:$AG$200,0,MATCH(P$2,Inputs!$D$2:$AG$2,0)),Inputs!$B$4:$B$200,$B44)/1000)</f>
        <v>-30.106</v>
      </c>
      <c r="Q44" s="11">
        <f>IF(Q$3=0,"",SUMIFS(INDEX(Inputs!$D$4:$AG$200,0,MATCH(Q$2,Inputs!$D$2:$AG$2,0)),Inputs!$B$4:$B$200,$B44)/1000)</f>
        <v>-50.667</v>
      </c>
      <c r="R44" s="12">
        <f>IF(Q44="","",Q44)</f>
        <v>-50.667</v>
      </c>
      <c r="S44" s="11">
        <f>IF(S$3=0,"",SUMIFS(INDEX(Inputs!$D$4:$AG$200,0,MATCH(S$2,Inputs!$D$2:$AG$2,0)),Inputs!$B$4:$B$200,$B44)/1000)</f>
        <v>-50.76</v>
      </c>
      <c r="T44" s="11">
        <f>IF(T$3=0,"",SUMIFS(INDEX(Inputs!$D$4:$AG$200,0,MATCH(T$2,Inputs!$D$2:$AG$2,0)),Inputs!$B$4:$B$200,$B44)/1000)</f>
        <v>-50.763</v>
      </c>
      <c r="U44" s="11">
        <f>IF(U$3=0,"",SUMIFS(INDEX(Inputs!$D$4:$AG$200,0,MATCH(U$2,Inputs!$D$2:$AG$2,0)),Inputs!$B$4:$B$200,$B44)/1000)</f>
        <v>-50.78</v>
      </c>
      <c r="V44" s="11">
        <f>IF(V$3=0,"",SUMIFS(INDEX(Inputs!$D$4:$AG$200,0,MATCH(V$2,Inputs!$D$2:$AG$2,0)),Inputs!$B$4:$B$200,$B44)/1000)</f>
        <v>-50.803</v>
      </c>
      <c r="W44" s="12">
        <f>IF(V44="","",V44)</f>
        <v>-50.803</v>
      </c>
      <c r="X44" s="11">
        <f>IF(X$3=0,"",SUMIFS(INDEX(Inputs!$D$4:$AG$200,0,MATCH(X$2,Inputs!$D$2:$AG$2,0)),Inputs!$B$4:$B$200,$B44)/1000)</f>
        <v>-82.243</v>
      </c>
      <c r="Y44" s="11">
        <f>IF(Y$3=0,"",SUMIFS(INDEX(Inputs!$D$4:$AG$200,0,MATCH(Y$2,Inputs!$D$2:$AG$2,0)),Inputs!$B$4:$B$200,$B44)/1000)</f>
        <v>-124.687</v>
      </c>
      <c r="Z44" s="11">
        <f>IF(Z$3=0,"",SUMIFS(INDEX(Inputs!$D$4:$AG$200,0,MATCH(Z$2,Inputs!$D$2:$AG$2,0)),Inputs!$B$4:$B$200,$B44)/1000)</f>
        <v>-145.608</v>
      </c>
      <c r="AA44" s="11">
        <f>IF(AA$3=0,"",SUMIFS(INDEX(Inputs!$D$4:$AG$200,0,MATCH(AA$2,Inputs!$D$2:$AG$2,0)),Inputs!$B$4:$B$200,$B44)/1000)</f>
        <v>-153.531</v>
      </c>
      <c r="AB44" s="12">
        <f>IF(AA44="","",AA44)</f>
        <v>-153.531</v>
      </c>
      <c r="AC44" s="11">
        <f>IF(AC$3=0,"",SUMIFS(INDEX(Inputs!$D$4:$AG$200,0,MATCH(AC$2,Inputs!$D$2:$AG$2,0)),Inputs!$B$4:$B$200,$B44)/1000)</f>
        <v>-2.564</v>
      </c>
      <c r="AD44" s="11">
        <f>IF(AD$3=0,"",SUMIFS(INDEX(Inputs!$D$4:$AG$200,0,MATCH(AD$2,Inputs!$D$2:$AG$2,0)),Inputs!$B$4:$B$200,$B44)/1000)</f>
        <v>-13.542</v>
      </c>
      <c r="AE44" s="11" t="str">
        <f>IF(AE$3=0,"",SUMIFS(INDEX(Inputs!$D$4:$AG$200,0,MATCH(AE$2,Inputs!$D$2:$AG$2,0)),Inputs!$B$4:$B$200,$B44)/1000)</f>
        <v/>
      </c>
      <c r="AF44" s="11" t="str">
        <f>IF(AF$3=0,"",SUMIFS(INDEX(Inputs!$D$4:$AG$200,0,MATCH(AF$2,Inputs!$D$2:$AG$2,0)),Inputs!$B$4:$B$200,$B44)/1000)</f>
        <v/>
      </c>
      <c r="AG44" s="12" t="str">
        <f>IF(AF44="","",AF44)</f>
        <v/>
      </c>
    </row>
    <row r="45">
      <c r="B45" s="9" t="n">
        <v>39</v>
      </c>
      <c r="C45" s="14" t="inlineStr">
        <is>
          <t>Comprehensive (accumulated) loss</t>
        </is>
      </c>
      <c r="D45" s="11">
        <f>IF(D$3=0,"",SUMIFS(INDEX(Inputs!$D$4:$AG$200,0,MATCH(D$2,Inputs!$D$2:$AG$2,0)),Inputs!$B$4:$B$200,$B45)/1000)</f>
        <v>-91.954</v>
      </c>
      <c r="E45" s="11">
        <f>IF(E$3=0,"",SUMIFS(INDEX(Inputs!$D$4:$AG$200,0,MATCH(E$2,Inputs!$D$2:$AG$2,0)),Inputs!$B$4:$B$200,$B45)/1000)</f>
        <v>-29.036</v>
      </c>
      <c r="F45" s="11">
        <f>IF(F$3=0,"",SUMIFS(INDEX(Inputs!$D$4:$AG$200,0,MATCH(F$2,Inputs!$D$2:$AG$2,0)),Inputs!$B$4:$B$200,$B45)/1000)</f>
        <v>-235.068</v>
      </c>
      <c r="G45" s="11">
        <f>IF(G$3=0,"",SUMIFS(INDEX(Inputs!$D$4:$AG$200,0,MATCH(G$2,Inputs!$D$2:$AG$2,0)),Inputs!$B$4:$B$200,$B45)/1000)</f>
        <v>-269.184</v>
      </c>
      <c r="H45" s="12">
        <f>IF(G45="","",G45)</f>
        <v>-269.184</v>
      </c>
      <c r="I45" s="11">
        <f>IF(I$3=0,"",SUMIFS(INDEX(Inputs!$D$4:$AG$200,0,MATCH(I$2,Inputs!$D$2:$AG$2,0)),Inputs!$B$4:$B$200,$B45)/1000)</f>
        <v>-516.528</v>
      </c>
      <c r="J45" s="11">
        <f>IF(J$3=0,"",SUMIFS(INDEX(Inputs!$D$4:$AG$200,0,MATCH(J$2,Inputs!$D$2:$AG$2,0)),Inputs!$B$4:$B$200,$B45)/1000)</f>
        <v>-818.601</v>
      </c>
      <c r="K45" s="11">
        <f>IF(K$3=0,"",SUMIFS(INDEX(Inputs!$D$4:$AG$200,0,MATCH(K$2,Inputs!$D$2:$AG$2,0)),Inputs!$B$4:$B$200,$B45)/1000)</f>
        <v>-933.9</v>
      </c>
      <c r="L45" s="11">
        <f>IF(L$3=0,"",SUMIFS(INDEX(Inputs!$D$4:$AG$200,0,MATCH(L$2,Inputs!$D$2:$AG$2,0)),Inputs!$B$4:$B$200,$B45)/1000)</f>
        <v>-861.809</v>
      </c>
      <c r="M45" s="12">
        <f>IF(L45="","",L45)</f>
        <v>-861.809</v>
      </c>
      <c r="N45" s="11">
        <f>IF(N$3=0,"",SUMIFS(INDEX(Inputs!$D$4:$AG$200,0,MATCH(N$2,Inputs!$D$2:$AG$2,0)),Inputs!$B$4:$B$200,$B45)/1000)</f>
        <v>-805.138</v>
      </c>
      <c r="O45" s="11">
        <f>IF(O$3=0,"",SUMIFS(INDEX(Inputs!$D$4:$AG$200,0,MATCH(O$2,Inputs!$D$2:$AG$2,0)),Inputs!$B$4:$B$200,$B45)/1000)</f>
        <v>-546.023</v>
      </c>
      <c r="P45" s="11">
        <f>IF(P$3=0,"",SUMIFS(INDEX(Inputs!$D$4:$AG$200,0,MATCH(P$2,Inputs!$D$2:$AG$2,0)),Inputs!$B$4:$B$200,$B45)/1000)</f>
        <v>-524.573</v>
      </c>
      <c r="Q45" s="11">
        <f>IF(Q$3=0,"",SUMIFS(INDEX(Inputs!$D$4:$AG$200,0,MATCH(Q$2,Inputs!$D$2:$AG$2,0)),Inputs!$B$4:$B$200,$B45)/1000)</f>
        <v>-421.258</v>
      </c>
      <c r="R45" s="12">
        <f>IF(Q45="","",Q45)</f>
        <v>-421.258</v>
      </c>
      <c r="S45" s="11">
        <f>IF(S$3=0,"",SUMIFS(INDEX(Inputs!$D$4:$AG$200,0,MATCH(S$2,Inputs!$D$2:$AG$2,0)),Inputs!$B$4:$B$200,$B45)/1000)</f>
        <v>-478.032</v>
      </c>
      <c r="T45" s="11">
        <f>IF(T$3=0,"",SUMIFS(INDEX(Inputs!$D$4:$AG$200,0,MATCH(T$2,Inputs!$D$2:$AG$2,0)),Inputs!$B$4:$B$200,$B45)/1000)</f>
        <v>-531.21</v>
      </c>
      <c r="U45" s="11">
        <f>IF(U$3=0,"",SUMIFS(INDEX(Inputs!$D$4:$AG$200,0,MATCH(U$2,Inputs!$D$2:$AG$2,0)),Inputs!$B$4:$B$200,$B45)/1000)</f>
        <v>-454.383</v>
      </c>
      <c r="V45" s="11">
        <f>IF(V$3=0,"",SUMIFS(INDEX(Inputs!$D$4:$AG$200,0,MATCH(V$2,Inputs!$D$2:$AG$2,0)),Inputs!$B$4:$B$200,$B45)/1000)</f>
        <v>-618.961</v>
      </c>
      <c r="W45" s="12">
        <f>IF(V45="","",V45)</f>
        <v>-618.961</v>
      </c>
      <c r="X45" s="11">
        <f>IF(X$3=0,"",SUMIFS(INDEX(Inputs!$D$4:$AG$200,0,MATCH(X$2,Inputs!$D$2:$AG$2,0)),Inputs!$B$4:$B$200,$B45)/1000)</f>
        <v>-550.804</v>
      </c>
      <c r="Y45" s="11">
        <f>IF(Y$3=0,"",SUMIFS(INDEX(Inputs!$D$4:$AG$200,0,MATCH(Y$2,Inputs!$D$2:$AG$2,0)),Inputs!$B$4:$B$200,$B45)/1000)</f>
        <v>-534.657</v>
      </c>
      <c r="Z45" s="11">
        <f>IF(Z$3=0,"",SUMIFS(INDEX(Inputs!$D$4:$AG$200,0,MATCH(Z$2,Inputs!$D$2:$AG$2,0)),Inputs!$B$4:$B$200,$B45)/1000)</f>
        <v>-444.032</v>
      </c>
      <c r="AA45" s="11">
        <f>IF(AA$3=0,"",SUMIFS(INDEX(Inputs!$D$4:$AG$200,0,MATCH(AA$2,Inputs!$D$2:$AG$2,0)),Inputs!$B$4:$B$200,$B45)/1000)</f>
        <v>-104.285</v>
      </c>
      <c r="AB45" s="12">
        <f>IF(AA45="","",AA45)</f>
        <v>-104.285</v>
      </c>
      <c r="AC45" s="11">
        <f>IF(AC$3=0,"",SUMIFS(INDEX(Inputs!$D$4:$AG$200,0,MATCH(AC$2,Inputs!$D$2:$AG$2,0)),Inputs!$B$4:$B$200,$B45)/1000)</f>
        <v>-126.946</v>
      </c>
      <c r="AD45" s="11">
        <f>IF(AD$3=0,"",SUMIFS(INDEX(Inputs!$D$4:$AG$200,0,MATCH(AD$2,Inputs!$D$2:$AG$2,0)),Inputs!$B$4:$B$200,$B45)/1000)</f>
        <v>-151.704</v>
      </c>
      <c r="AE45" s="11" t="str">
        <f>IF(AE$3=0,"",SUMIFS(INDEX(Inputs!$D$4:$AG$200,0,MATCH(AE$2,Inputs!$D$2:$AG$2,0)),Inputs!$B$4:$B$200,$B45)/1000)</f>
        <v/>
      </c>
      <c r="AF45" s="11" t="str">
        <f>IF(AF$3=0,"",SUMIFS(INDEX(Inputs!$D$4:$AG$200,0,MATCH(AF$2,Inputs!$D$2:$AG$2,0)),Inputs!$B$4:$B$200,$B45)/1000)</f>
        <v/>
      </c>
      <c r="AG45" s="12" t="str">
        <f>IF(AF45="","",AF45)</f>
        <v/>
      </c>
    </row>
    <row r="46">
      <c r="B46" s="9" t="n">
        <v>40</v>
      </c>
      <c r="C46" s="14" t="inlineStr">
        <is>
          <t>Other equity account</t>
        </is>
      </c>
      <c r="D46" s="11">
        <f>IF(D$3=0,"",SUMIFS(INDEX(Inputs!$D$4:$AG$200,0,MATCH(D$2,Inputs!$D$2:$AG$2,0)),Inputs!$B$4:$B$200,$B46)/1000)</f>
        <v>0</v>
      </c>
      <c r="E46" s="11">
        <f>IF(E$3=0,"",SUMIFS(INDEX(Inputs!$D$4:$AG$200,0,MATCH(E$2,Inputs!$D$2:$AG$2,0)),Inputs!$B$4:$B$200,$B46)/1000)</f>
        <v>0</v>
      </c>
      <c r="F46" s="11">
        <f>IF(F$3=0,"",SUMIFS(INDEX(Inputs!$D$4:$AG$200,0,MATCH(F$2,Inputs!$D$2:$AG$2,0)),Inputs!$B$4:$B$200,$B46)/1000)</f>
        <v>0</v>
      </c>
      <c r="G46" s="11">
        <f>IF(G$3=0,"",SUMIFS(INDEX(Inputs!$D$4:$AG$200,0,MATCH(G$2,Inputs!$D$2:$AG$2,0)),Inputs!$B$4:$B$200,$B46)/1000)</f>
        <v>0</v>
      </c>
      <c r="H46" s="12">
        <f>IF(G46="","",G46)</f>
        <v>0</v>
      </c>
      <c r="I46" s="11">
        <f>IF(I$3=0,"",SUMIFS(INDEX(Inputs!$D$4:$AG$200,0,MATCH(I$2,Inputs!$D$2:$AG$2,0)),Inputs!$B$4:$B$200,$B46)/1000)</f>
        <v>0</v>
      </c>
      <c r="J46" s="11">
        <f>IF(J$3=0,"",SUMIFS(INDEX(Inputs!$D$4:$AG$200,0,MATCH(J$2,Inputs!$D$2:$AG$2,0)),Inputs!$B$4:$B$200,$B46)/1000)</f>
        <v>0</v>
      </c>
      <c r="K46" s="11">
        <f>IF(K$3=0,"",SUMIFS(INDEX(Inputs!$D$4:$AG$200,0,MATCH(K$2,Inputs!$D$2:$AG$2,0)),Inputs!$B$4:$B$200,$B46)/1000)</f>
        <v>0</v>
      </c>
      <c r="L46" s="11">
        <f>IF(L$3=0,"",SUMIFS(INDEX(Inputs!$D$4:$AG$200,0,MATCH(L$2,Inputs!$D$2:$AG$2,0)),Inputs!$B$4:$B$200,$B46)/1000)</f>
        <v>0</v>
      </c>
      <c r="M46" s="12">
        <f>IF(L46="","",L46)</f>
        <v>0</v>
      </c>
      <c r="N46" s="11">
        <f>IF(N$3=0,"",SUMIFS(INDEX(Inputs!$D$4:$AG$200,0,MATCH(N$2,Inputs!$D$2:$AG$2,0)),Inputs!$B$4:$B$200,$B46)/1000)</f>
        <v>0</v>
      </c>
      <c r="O46" s="11">
        <f>IF(O$3=0,"",SUMIFS(INDEX(Inputs!$D$4:$AG$200,0,MATCH(O$2,Inputs!$D$2:$AG$2,0)),Inputs!$B$4:$B$200,$B46)/1000)</f>
        <v>0</v>
      </c>
      <c r="P46" s="11">
        <f>IF(P$3=0,"",SUMIFS(INDEX(Inputs!$D$4:$AG$200,0,MATCH(P$2,Inputs!$D$2:$AG$2,0)),Inputs!$B$4:$B$200,$B46)/1000)</f>
        <v>0</v>
      </c>
      <c r="Q46" s="11">
        <f>IF(Q$3=0,"",SUMIFS(INDEX(Inputs!$D$4:$AG$200,0,MATCH(Q$2,Inputs!$D$2:$AG$2,0)),Inputs!$B$4:$B$200,$B46)/1000)</f>
        <v>0</v>
      </c>
      <c r="R46" s="12">
        <f>IF(Q46="","",Q46)</f>
        <v>0</v>
      </c>
      <c r="S46" s="11">
        <f>IF(S$3=0,"",SUMIFS(INDEX(Inputs!$D$4:$AG$200,0,MATCH(S$2,Inputs!$D$2:$AG$2,0)),Inputs!$B$4:$B$200,$B46)/1000)</f>
        <v>0</v>
      </c>
      <c r="T46" s="11">
        <f>IF(T$3=0,"",SUMIFS(INDEX(Inputs!$D$4:$AG$200,0,MATCH(T$2,Inputs!$D$2:$AG$2,0)),Inputs!$B$4:$B$200,$B46)/1000)</f>
        <v>0</v>
      </c>
      <c r="U46" s="11">
        <f>IF(U$3=0,"",SUMIFS(INDEX(Inputs!$D$4:$AG$200,0,MATCH(U$2,Inputs!$D$2:$AG$2,0)),Inputs!$B$4:$B$200,$B46)/1000)</f>
        <v>0</v>
      </c>
      <c r="V46" s="11">
        <f>IF(V$3=0,"",SUMIFS(INDEX(Inputs!$D$4:$AG$200,0,MATCH(V$2,Inputs!$D$2:$AG$2,0)),Inputs!$B$4:$B$200,$B46)/1000)</f>
        <v>0</v>
      </c>
      <c r="W46" s="12">
        <f>IF(V46="","",V46)</f>
        <v>0</v>
      </c>
      <c r="X46" s="11">
        <f>IF(X$3=0,"",SUMIFS(INDEX(Inputs!$D$4:$AG$200,0,MATCH(X$2,Inputs!$D$2:$AG$2,0)),Inputs!$B$4:$B$200,$B46)/1000)</f>
        <v>0</v>
      </c>
      <c r="Y46" s="11">
        <f>IF(Y$3=0,"",SUMIFS(INDEX(Inputs!$D$4:$AG$200,0,MATCH(Y$2,Inputs!$D$2:$AG$2,0)),Inputs!$B$4:$B$200,$B46)/1000)</f>
        <v>0</v>
      </c>
      <c r="Z46" s="11">
        <f>IF(Z$3=0,"",SUMIFS(INDEX(Inputs!$D$4:$AG$200,0,MATCH(Z$2,Inputs!$D$2:$AG$2,0)),Inputs!$B$4:$B$200,$B46)/1000)</f>
        <v>0</v>
      </c>
      <c r="AA46" s="11">
        <f>IF(AA$3=0,"",SUMIFS(INDEX(Inputs!$D$4:$AG$200,0,MATCH(AA$2,Inputs!$D$2:$AG$2,0)),Inputs!$B$4:$B$200,$B46)/1000)</f>
        <v>0</v>
      </c>
      <c r="AB46" s="12">
        <f>IF(AA46="","",AA46)</f>
        <v>0</v>
      </c>
      <c r="AC46" s="11">
        <f>IF(AC$3=0,"",SUMIFS(INDEX(Inputs!$D$4:$AG$200,0,MATCH(AC$2,Inputs!$D$2:$AG$2,0)),Inputs!$B$4:$B$200,$B46)/1000)</f>
        <v>0</v>
      </c>
      <c r="AD46" s="11">
        <f>IF(AD$3=0,"",SUMIFS(INDEX(Inputs!$D$4:$AG$200,0,MATCH(AD$2,Inputs!$D$2:$AG$2,0)),Inputs!$B$4:$B$200,$B46)/1000)</f>
        <v>0</v>
      </c>
      <c r="AE46" s="11" t="str">
        <f>IF(AE$3=0,"",SUMIFS(INDEX(Inputs!$D$4:$AG$200,0,MATCH(AE$2,Inputs!$D$2:$AG$2,0)),Inputs!$B$4:$B$200,$B46)/1000)</f>
        <v/>
      </c>
      <c r="AF46" s="11" t="str">
        <f>IF(AF$3=0,"",SUMIFS(INDEX(Inputs!$D$4:$AG$200,0,MATCH(AF$2,Inputs!$D$2:$AG$2,0)),Inputs!$B$4:$B$200,$B46)/1000)</f>
        <v/>
      </c>
      <c r="AG46" s="12" t="str">
        <f>IF(AF46="","",AF46)</f>
        <v/>
      </c>
    </row>
    <row r="47">
      <c r="B47" s="9" t="n">
        <v>41</v>
      </c>
      <c r="C47" s="15" t="inlineStr">
        <is>
          <t>Retained earnings</t>
        </is>
      </c>
      <c r="D47" s="11">
        <f>IF(D$3=0,"",SUMIFS(INDEX(Inputs!$D$4:$AG$200,0,MATCH(D$2,Inputs!$D$2:$AG$2,0)),Inputs!$B$4:$B$200,$B47)/1000)</f>
        <v>394.069</v>
      </c>
      <c r="E47" s="11">
        <f>IF(E$3=0,"",SUMIFS(INDEX(Inputs!$D$4:$AG$200,0,MATCH(E$2,Inputs!$D$2:$AG$2,0)),Inputs!$B$4:$B$200,$B47)/1000)</f>
        <v>544.089</v>
      </c>
      <c r="F47" s="11">
        <f>IF(F$3=0,"",SUMIFS(INDEX(Inputs!$D$4:$AG$200,0,MATCH(F$2,Inputs!$D$2:$AG$2,0)),Inputs!$B$4:$B$200,$B47)/1000)</f>
        <v>771.873</v>
      </c>
      <c r="G47" s="11">
        <f>IF(G$3=0,"",SUMIFS(INDEX(Inputs!$D$4:$AG$200,0,MATCH(G$2,Inputs!$D$2:$AG$2,0)),Inputs!$B$4:$B$200,$B47)/1000)</f>
        <v>913.96</v>
      </c>
      <c r="H47" s="12">
        <f>IF(G47="","",G47)</f>
        <v>913.96</v>
      </c>
      <c r="I47" s="11">
        <f>IF(I$3=0,"",SUMIFS(INDEX(Inputs!$D$4:$AG$200,0,MATCH(I$2,Inputs!$D$2:$AG$2,0)),Inputs!$B$4:$B$200,$B47)/1000)</f>
        <v>1118.054</v>
      </c>
      <c r="J47" s="11">
        <f>IF(J$3=0,"",SUMIFS(INDEX(Inputs!$D$4:$AG$200,0,MATCH(J$2,Inputs!$D$2:$AG$2,0)),Inputs!$B$4:$B$200,$B47)/1000)</f>
        <v>1034.26</v>
      </c>
      <c r="K47" s="11">
        <f>IF(K$3=0,"",SUMIFS(INDEX(Inputs!$D$4:$AG$200,0,MATCH(K$2,Inputs!$D$2:$AG$2,0)),Inputs!$B$4:$B$200,$B47)/1000)</f>
        <v>1072.979</v>
      </c>
      <c r="L47" s="11">
        <f>IF(L$3=0,"",SUMIFS(INDEX(Inputs!$D$4:$AG$200,0,MATCH(L$2,Inputs!$D$2:$AG$2,0)),Inputs!$B$4:$B$200,$B47)/1000)</f>
        <v>992.503</v>
      </c>
      <c r="M47" s="12">
        <f>IF(L47="","",L47)</f>
        <v>992.503</v>
      </c>
      <c r="N47" s="11">
        <f>IF(N$3=0,"",SUMIFS(INDEX(Inputs!$D$4:$AG$200,0,MATCH(N$2,Inputs!$D$2:$AG$2,0)),Inputs!$B$4:$B$200,$B47)/1000)</f>
        <v>1013.55</v>
      </c>
      <c r="O47" s="11">
        <f>IF(O$3=0,"",SUMIFS(INDEX(Inputs!$D$4:$AG$200,0,MATCH(O$2,Inputs!$D$2:$AG$2,0)),Inputs!$B$4:$B$200,$B47)/1000)</f>
        <v>995.684</v>
      </c>
      <c r="P47" s="11">
        <f>IF(P$3=0,"",SUMIFS(INDEX(Inputs!$D$4:$AG$200,0,MATCH(P$2,Inputs!$D$2:$AG$2,0)),Inputs!$B$4:$B$200,$B47)/1000)</f>
        <v>929.958</v>
      </c>
      <c r="Q47" s="11">
        <f>IF(Q$3=0,"",SUMIFS(INDEX(Inputs!$D$4:$AG$200,0,MATCH(Q$2,Inputs!$D$2:$AG$2,0)),Inputs!$B$4:$B$200,$B47)/1000)</f>
        <v>341.65</v>
      </c>
      <c r="R47" s="12">
        <f>IF(Q47="","",Q47)</f>
        <v>341.65</v>
      </c>
      <c r="S47" s="11">
        <f>IF(S$3=0,"",SUMIFS(INDEX(Inputs!$D$4:$AG$200,0,MATCH(S$2,Inputs!$D$2:$AG$2,0)),Inputs!$B$4:$B$200,$B47)/1000)</f>
        <v>390.201</v>
      </c>
      <c r="T47" s="11">
        <f>IF(T$3=0,"",SUMIFS(INDEX(Inputs!$D$4:$AG$200,0,MATCH(T$2,Inputs!$D$2:$AG$2,0)),Inputs!$B$4:$B$200,$B47)/1000)</f>
        <v>432.75</v>
      </c>
      <c r="U47" s="11">
        <f>IF(U$3=0,"",SUMIFS(INDEX(Inputs!$D$4:$AG$200,0,MATCH(U$2,Inputs!$D$2:$AG$2,0)),Inputs!$B$4:$B$200,$B47)/1000)</f>
        <v>510.974</v>
      </c>
      <c r="V47" s="11">
        <f>IF(V$3=0,"",SUMIFS(INDEX(Inputs!$D$4:$AG$200,0,MATCH(V$2,Inputs!$D$2:$AG$2,0)),Inputs!$B$4:$B$200,$B47)/1000)</f>
        <v>509.847</v>
      </c>
      <c r="W47" s="12">
        <f>IF(V47="","",V47)</f>
        <v>509.847</v>
      </c>
      <c r="X47" s="11">
        <f>IF(X$3=0,"",SUMIFS(INDEX(Inputs!$D$4:$AG$200,0,MATCH(X$2,Inputs!$D$2:$AG$2,0)),Inputs!$B$4:$B$200,$B47)/1000)</f>
        <v>588.314</v>
      </c>
      <c r="Y47" s="11">
        <f>IF(Y$3=0,"",SUMIFS(INDEX(Inputs!$D$4:$AG$200,0,MATCH(Y$2,Inputs!$D$2:$AG$2,0)),Inputs!$B$4:$B$200,$B47)/1000)</f>
        <v>655.91</v>
      </c>
      <c r="Z47" s="11">
        <f>IF(Z$3=0,"",SUMIFS(INDEX(Inputs!$D$4:$AG$200,0,MATCH(Z$2,Inputs!$D$2:$AG$2,0)),Inputs!$B$4:$B$200,$B47)/1000)</f>
        <v>725.865</v>
      </c>
      <c r="AA47" s="11">
        <f>IF(AA$3=0,"",SUMIFS(INDEX(Inputs!$D$4:$AG$200,0,MATCH(AA$2,Inputs!$D$2:$AG$2,0)),Inputs!$B$4:$B$200,$B47)/1000)</f>
        <v>573.211</v>
      </c>
      <c r="AB47" s="12">
        <f>IF(AA47="","",AA47)</f>
        <v>573.211</v>
      </c>
      <c r="AC47" s="11">
        <f>IF(AC$3=0,"",SUMIFS(INDEX(Inputs!$D$4:$AG$200,0,MATCH(AC$2,Inputs!$D$2:$AG$2,0)),Inputs!$B$4:$B$200,$B47)/1000)</f>
        <v>595.395</v>
      </c>
      <c r="AD47" s="11">
        <f>IF(AD$3=0,"",SUMIFS(INDEX(Inputs!$D$4:$AG$200,0,MATCH(AD$2,Inputs!$D$2:$AG$2,0)),Inputs!$B$4:$B$200,$B47)/1000)</f>
        <v>731.045</v>
      </c>
      <c r="AE47" s="11" t="str">
        <f>IF(AE$3=0,"",SUMIFS(INDEX(Inputs!$D$4:$AG$200,0,MATCH(AE$2,Inputs!$D$2:$AG$2,0)),Inputs!$B$4:$B$200,$B47)/1000)</f>
        <v/>
      </c>
      <c r="AF47" s="11" t="str">
        <f>IF(AF$3=0,"",SUMIFS(INDEX(Inputs!$D$4:$AG$200,0,MATCH(AF$2,Inputs!$D$2:$AG$2,0)),Inputs!$B$4:$B$200,$B47)/1000)</f>
        <v/>
      </c>
      <c r="AG47" s="12" t="str">
        <f>IF(AF47="","",AF47)</f>
        <v/>
      </c>
    </row>
    <row r="48"/>
    <row r="49" customFormat="1" s="3">
      <c r="C49" s="4" t="n"/>
      <c r="D49" s="16" t="n"/>
      <c r="E49" s="16" t="n"/>
      <c r="F49" s="16" t="n"/>
      <c r="G49" s="16" t="n"/>
      <c r="H49" s="12" t="n"/>
      <c r="I49" s="16" t="n"/>
      <c r="J49" s="16" t="n"/>
      <c r="K49" s="16" t="n"/>
      <c r="L49" s="16" t="n"/>
      <c r="M49" s="12" t="n"/>
      <c r="N49" s="16" t="n"/>
      <c r="O49" s="16" t="n"/>
      <c r="P49" s="16" t="n"/>
      <c r="Q49" s="16" t="n"/>
      <c r="R49" s="12" t="n"/>
      <c r="S49" s="16" t="n"/>
      <c r="T49" s="16" t="n"/>
      <c r="U49" s="16" t="n"/>
      <c r="V49" s="16" t="n"/>
      <c r="W49" s="12" t="n"/>
      <c r="X49" s="16" t="n"/>
      <c r="Y49" s="16" t="n"/>
      <c r="Z49" s="16" t="n"/>
      <c r="AA49" s="16" t="n"/>
      <c r="AC49" s="16" t="n"/>
      <c r="AD49" s="16" t="n"/>
      <c r="AE49" s="16" t="n"/>
      <c r="AF49" s="16" t="n"/>
    </row>
    <row r="50">
      <c r="B50" s="9" t="n">
        <v>44</v>
      </c>
      <c r="C50" s="10" t="inlineStr">
        <is>
          <t>Net income reported (lucro líquido reportado) — base do check de DRE [Model linha 4]</t>
        </is>
      </c>
      <c r="D50" s="11">
        <f>IF(SUMPRODUCT((Inputs!$B$4:$B$200=$B50)*ISNUMBER(INDEX(Inputs!$D$4:$AG$200,0,MATCH(D$2,Inputs!$D$2:$AG$2,0))))=0,"",SUMIFS(INDEX(Inputs!$D$4:$AG$200,0,MATCH(D$2,Inputs!$D$2:$AG$2,0)),Inputs!$B$4:$B$200,$B50)/1000)</f>
        <v>109.481</v>
      </c>
      <c r="E50" s="11">
        <f>IF(SUMPRODUCT((Inputs!$B$4:$B$200=$B50)*ISNUMBER(INDEX(Inputs!$D$4:$AG$200,0,MATCH(E$2,Inputs!$D$2:$AG$2,0))))=0,"",SUMIFS(INDEX(Inputs!$D$4:$AG$200,0,MATCH(E$2,Inputs!$D$2:$AG$2,0)),Inputs!$B$4:$B$200,$B50)/1000)</f>
        <v>173.921</v>
      </c>
      <c r="F50" s="11">
        <f>IF(SUMPRODUCT((Inputs!$B$4:$B$200=$B50)*ISNUMBER(INDEX(Inputs!$D$4:$AG$200,0,MATCH(F$2,Inputs!$D$2:$AG$2,0))))=0,"",SUMIFS(INDEX(Inputs!$D$4:$AG$200,0,MATCH(F$2,Inputs!$D$2:$AG$2,0)),Inputs!$B$4:$B$200,$B50)/1000)</f>
        <v>259.381</v>
      </c>
      <c r="G50" s="11">
        <f>IF(SUMPRODUCT((Inputs!$B$4:$B$200=$B50)*ISNUMBER(INDEX(Inputs!$D$4:$AG$200,0,MATCH(G$2,Inputs!$D$2:$AG$2,0))))=0,"",SUMIFS(INDEX(Inputs!$D$4:$AG$200,0,MATCH(G$2,Inputs!$D$2:$AG$2,0)),Inputs!$B$4:$B$200,$B50)/1000)</f>
        <v>276.656</v>
      </c>
      <c r="H50" s="12">
        <f>IF(COUNT(D50:G50)=4,SUM(D50:G50),"")</f>
        <v>819.439</v>
      </c>
      <c r="I50" s="11">
        <f>IF(SUMPRODUCT((Inputs!$B$4:$B$200=$B50)*ISNUMBER(INDEX(Inputs!$D$4:$AG$200,0,MATCH(I$2,Inputs!$D$2:$AG$2,0))))=0,"",SUMIFS(INDEX(Inputs!$D$4:$AG$200,0,MATCH(I$2,Inputs!$D$2:$AG$2,0)),Inputs!$B$4:$B$200,$B50)/1000)</f>
        <v>258.068</v>
      </c>
      <c r="J50" s="11">
        <f>IF(SUMPRODUCT((Inputs!$B$4:$B$200=$B50)*ISNUMBER(INDEX(Inputs!$D$4:$AG$200,0,MATCH(J$2,Inputs!$D$2:$AG$2,0))))=0,"",SUMIFS(INDEX(Inputs!$D$4:$AG$200,0,MATCH(J$2,Inputs!$D$2:$AG$2,0)),Inputs!$B$4:$B$200,$B50)/1000)</f>
        <v>186.761</v>
      </c>
      <c r="K50" s="11">
        <f>IF(SUMPRODUCT((Inputs!$B$4:$B$200=$B50)*ISNUMBER(INDEX(Inputs!$D$4:$AG$200,0,MATCH(K$2,Inputs!$D$2:$AG$2,0))))=0,"",SUMIFS(INDEX(Inputs!$D$4:$AG$200,0,MATCH(K$2,Inputs!$D$2:$AG$2,0)),Inputs!$B$4:$B$200,$B50)/1000)</f>
        <v>93.718</v>
      </c>
      <c r="L50" s="11">
        <f>IF(SUMPRODUCT((Inputs!$B$4:$B$200=$B50)*ISNUMBER(INDEX(Inputs!$D$4:$AG$200,0,MATCH(L$2,Inputs!$D$2:$AG$2,0))))=0,"",SUMIFS(INDEX(Inputs!$D$4:$AG$200,0,MATCH(L$2,Inputs!$D$2:$AG$2,0)),Inputs!$B$4:$B$200,$B50)/1000)</f>
        <v>17.831</v>
      </c>
      <c r="M50" s="12">
        <f>IF(COUNT(I50:L50)=4,SUM(I50:L50),"")</f>
        <v>556.378</v>
      </c>
      <c r="N50" s="11">
        <f>IF(SUMPRODUCT((Inputs!$B$4:$B$200=$B50)*ISNUMBER(INDEX(Inputs!$D$4:$AG$200,0,MATCH(N$2,Inputs!$D$2:$AG$2,0))))=0,"",SUMIFS(INDEX(Inputs!$D$4:$AG$200,0,MATCH(N$2,Inputs!$D$2:$AG$2,0)),Inputs!$B$4:$B$200,$B50)/1000)</f>
        <v>21.044</v>
      </c>
      <c r="O50" s="11">
        <f>IF(SUMPRODUCT((Inputs!$B$4:$B$200=$B50)*ISNUMBER(INDEX(Inputs!$D$4:$AG$200,0,MATCH(O$2,Inputs!$D$2:$AG$2,0))))=0,"",SUMIFS(INDEX(Inputs!$D$4:$AG$200,0,MATCH(O$2,Inputs!$D$2:$AG$2,0)),Inputs!$B$4:$B$200,$B50)/1000)</f>
        <v>-17.864</v>
      </c>
      <c r="P50" s="11">
        <f>IF(SUMPRODUCT((Inputs!$B$4:$B$200=$B50)*ISNUMBER(INDEX(Inputs!$D$4:$AG$200,0,MATCH(P$2,Inputs!$D$2:$AG$2,0))))=0,"",SUMIFS(INDEX(Inputs!$D$4:$AG$200,0,MATCH(P$2,Inputs!$D$2:$AG$2,0)),Inputs!$B$4:$B$200,$B50)/1000)</f>
        <v>-65.721</v>
      </c>
      <c r="Q50" s="11">
        <f>IF(SUMPRODUCT((Inputs!$B$4:$B$200=$B50)*ISNUMBER(INDEX(Inputs!$D$4:$AG$200,0,MATCH(Q$2,Inputs!$D$2:$AG$2,0))))=0,"",SUMIFS(INDEX(Inputs!$D$4:$AG$200,0,MATCH(Q$2,Inputs!$D$2:$AG$2,0)),Inputs!$B$4:$B$200,$B50)/1000)</f>
        <v>-588.309</v>
      </c>
      <c r="R50" s="12">
        <f>IF(COUNT(N50:Q50)=4,SUM(N50:Q50),"")</f>
        <v>-650.85</v>
      </c>
      <c r="S50" s="11">
        <f>IF(SUMPRODUCT((Inputs!$B$4:$B$200=$B50)*ISNUMBER(INDEX(Inputs!$D$4:$AG$200,0,MATCH(S$2,Inputs!$D$2:$AG$2,0))))=0,"",SUMIFS(INDEX(Inputs!$D$4:$AG$200,0,MATCH(S$2,Inputs!$D$2:$AG$2,0)),Inputs!$B$4:$B$200,$B50)/1000)</f>
        <v>48.599</v>
      </c>
      <c r="T50" s="11">
        <f>IF(SUMPRODUCT((Inputs!$B$4:$B$200=$B50)*ISNUMBER(INDEX(Inputs!$D$4:$AG$200,0,MATCH(T$2,Inputs!$D$2:$AG$2,0))))=0,"",SUMIFS(INDEX(Inputs!$D$4:$AG$200,0,MATCH(T$2,Inputs!$D$2:$AG$2,0)),Inputs!$B$4:$B$200,$B50)/1000)</f>
        <v>42.548</v>
      </c>
      <c r="U50" s="11">
        <f>IF(SUMPRODUCT((Inputs!$B$4:$B$200=$B50)*ISNUMBER(INDEX(Inputs!$D$4:$AG$200,0,MATCH(U$2,Inputs!$D$2:$AG$2,0))))=0,"",SUMIFS(INDEX(Inputs!$D$4:$AG$200,0,MATCH(U$2,Inputs!$D$2:$AG$2,0)),Inputs!$B$4:$B$200,$B50)/1000)</f>
        <v>78.194</v>
      </c>
      <c r="V50" s="11">
        <f>IF(SUMPRODUCT((Inputs!$B$4:$B$200=$B50)*ISNUMBER(INDEX(Inputs!$D$4:$AG$200,0,MATCH(V$2,Inputs!$D$2:$AG$2,0))))=0,"",SUMIFS(INDEX(Inputs!$D$4:$AG$200,0,MATCH(V$2,Inputs!$D$2:$AG$2,0)),Inputs!$B$4:$B$200,$B50)/1000)</f>
        <v>62.171</v>
      </c>
      <c r="W50" s="12">
        <f>IF(COUNT(S50:V50)=4,SUM(S50:V50),"")</f>
        <v>231.512</v>
      </c>
      <c r="X50" s="11">
        <f>IF(SUMPRODUCT((Inputs!$B$4:$B$200=$B50)*ISNUMBER(INDEX(Inputs!$D$4:$AG$200,0,MATCH(X$2,Inputs!$D$2:$AG$2,0))))=0,"",SUMIFS(INDEX(Inputs!$D$4:$AG$200,0,MATCH(X$2,Inputs!$D$2:$AG$2,0)),Inputs!$B$4:$B$200,$B50)/1000)</f>
        <v>78.468</v>
      </c>
      <c r="Y50" s="11">
        <f>IF(SUMPRODUCT((Inputs!$B$4:$B$200=$B50)*ISNUMBER(INDEX(Inputs!$D$4:$AG$200,0,MATCH(Y$2,Inputs!$D$2:$AG$2,0))))=0,"",SUMIFS(INDEX(Inputs!$D$4:$AG$200,0,MATCH(Y$2,Inputs!$D$2:$AG$2,0)),Inputs!$B$4:$B$200,$B50)/1000)</f>
        <v>67.595</v>
      </c>
      <c r="Z50" s="11">
        <f>IF(SUMPRODUCT((Inputs!$B$4:$B$200=$B50)*ISNUMBER(INDEX(Inputs!$D$4:$AG$200,0,MATCH(Z$2,Inputs!$D$2:$AG$2,0))))=0,"",SUMIFS(INDEX(Inputs!$D$4:$AG$200,0,MATCH(Z$2,Inputs!$D$2:$AG$2,0)),Inputs!$B$4:$B$200,$B50)/1000)</f>
        <v>69.955</v>
      </c>
      <c r="AA50" s="11">
        <f>IF(SUMPRODUCT((Inputs!$B$4:$B$200=$B50)*ISNUMBER(INDEX(Inputs!$D$4:$AG$200,0,MATCH(AA$2,Inputs!$D$2:$AG$2,0))))=0,"",SUMIFS(INDEX(Inputs!$D$4:$AG$200,0,MATCH(AA$2,Inputs!$D$2:$AG$2,0)),Inputs!$B$4:$B$200,$B50)/1000)</f>
        <v>102.344106983</v>
      </c>
      <c r="AB50" s="12">
        <f>IF(COUNT(X50:AA50)=4,SUM(X50:AA50),"")</f>
        <v>318.362106983</v>
      </c>
      <c r="AC50" s="11">
        <f>IF(SUMPRODUCT((Inputs!$B$4:$B$200=$B50)*ISNUMBER(INDEX(Inputs!$D$4:$AG$200,0,MATCH(AC$2,Inputs!$D$2:$AG$2,0))))=0,"",SUMIFS(INDEX(Inputs!$D$4:$AG$200,0,MATCH(AC$2,Inputs!$D$2:$AG$2,0)),Inputs!$B$4:$B$200,$B50)/1000)</f>
        <v>124.513191101</v>
      </c>
      <c r="AD50" s="11">
        <f>IF(SUMPRODUCT((Inputs!$B$4:$B$200=$B50)*ISNUMBER(INDEX(Inputs!$D$4:$AG$200,0,MATCH(AD$2,Inputs!$D$2:$AG$2,0))))=0,"",SUMIFS(INDEX(Inputs!$D$4:$AG$200,0,MATCH(AD$2,Inputs!$D$2:$AG$2,0)),Inputs!$B$4:$B$200,$B50)/1000)</f>
        <v>135.649659877</v>
      </c>
      <c r="AE50" s="11" t="str">
        <f>IF(SUMPRODUCT((Inputs!$B$4:$B$200=$B50)*ISNUMBER(INDEX(Inputs!$D$4:$AG$200,0,MATCH(AE$2,Inputs!$D$2:$AG$2,0))))=0,"",SUMIFS(INDEX(Inputs!$D$4:$AG$200,0,MATCH(AE$2,Inputs!$D$2:$AG$2,0)),Inputs!$B$4:$B$200,$B50)/1000)</f>
        <v/>
      </c>
      <c r="AF50" s="11" t="str">
        <f>IF(SUMPRODUCT((Inputs!$B$4:$B$200=$B50)*ISNUMBER(INDEX(Inputs!$D$4:$AG$200,0,MATCH(AF$2,Inputs!$D$2:$AG$2,0))))=0,"",SUMIFS(INDEX(Inputs!$D$4:$AG$200,0,MATCH(AF$2,Inputs!$D$2:$AG$2,0)),Inputs!$B$4:$B$200,$B50)/1000)</f>
        <v/>
      </c>
      <c r="AG50" s="12" t="str">
        <f>IF(COUNT(AC50:AF50)=4,SUM(AC50:AF50),"")</f>
        <v/>
      </c>
    </row>
    <row r="52">
      <c r="C52" t="inlineStr">
        <is>
          <t>Drivers de receita (memo) - codigos 45+ [Model, bloco abaixo da receita liquida]</t>
        </is>
      </c>
    </row>
    <row r="53">
      <c r="B53" s="9" t="n">
        <v>45</v>
      </c>
      <c r="C53" s="10" t="inlineStr">
        <is>
          <t>Receita liquida RAC Brasil (DRE l.11)</t>
        </is>
      </c>
      <c r="D53" s="11">
        <f>IF(SUMPRODUCT((Inputs!$B$4:$B$200=$B53)*ISNUMBER(INDEX(Inputs!$D$4:$AG$200,0,MATCH(D$2,Inputs!$D$2:$AG$2,0))))=0,"",SUMIFS(INDEX(Inputs!$D$4:$AG$200,0,MATCH(D$2,Inputs!$D$2:$AG$2,0)),Inputs!$B$4:$B$200,$B53)/1000)</f>
        <v>328.988</v>
      </c>
      <c r="E53" s="11">
        <f>IF(SUMPRODUCT((Inputs!$B$4:$B$200=$B53)*ISNUMBER(INDEX(Inputs!$D$4:$AG$200,0,MATCH(E$2,Inputs!$D$2:$AG$2,0))))=0,"",SUMIFS(INDEX(Inputs!$D$4:$AG$200,0,MATCH(E$2,Inputs!$D$2:$AG$2,0)),Inputs!$B$4:$B$200,$B53)/1000)</f>
        <v>308.291</v>
      </c>
      <c r="F53" s="11">
        <f>IF(SUMPRODUCT((Inputs!$B$4:$B$200=$B53)*ISNUMBER(INDEX(Inputs!$D$4:$AG$200,0,MATCH(F$2,Inputs!$D$2:$AG$2,0))))=0,"",SUMIFS(INDEX(Inputs!$D$4:$AG$200,0,MATCH(F$2,Inputs!$D$2:$AG$2,0)),Inputs!$B$4:$B$200,$B53)/1000)</f>
        <v>403.799</v>
      </c>
      <c r="G53" s="11">
        <f>IF(SUMPRODUCT((Inputs!$B$4:$B$200=$B53)*ISNUMBER(INDEX(Inputs!$D$4:$AG$200,0,MATCH(G$2,Inputs!$D$2:$AG$2,0))))=0,"",SUMIFS(INDEX(Inputs!$D$4:$AG$200,0,MATCH(G$2,Inputs!$D$2:$AG$2,0)),Inputs!$B$4:$B$200,$B53)/1000)</f>
        <v>522.57</v>
      </c>
      <c r="H53" s="12">
        <f>IF(COUNT(D53:G53)=4,SUM(D53:G53),"")</f>
        <v>1563.648</v>
      </c>
      <c r="I53" s="11">
        <f>IF(SUMPRODUCT((Inputs!$B$4:$B$200=$B53)*ISNUMBER(INDEX(Inputs!$D$4:$AG$200,0,MATCH(I$2,Inputs!$D$2:$AG$2,0))))=0,"",SUMIFS(INDEX(Inputs!$D$4:$AG$200,0,MATCH(I$2,Inputs!$D$2:$AG$2,0)),Inputs!$B$4:$B$200,$B53)/1000)</f>
        <v>552.692</v>
      </c>
      <c r="J53" s="11">
        <f>IF(SUMPRODUCT((Inputs!$B$4:$B$200=$B53)*ISNUMBER(INDEX(Inputs!$D$4:$AG$200,0,MATCH(J$2,Inputs!$D$2:$AG$2,0))))=0,"",SUMIFS(INDEX(Inputs!$D$4:$AG$200,0,MATCH(J$2,Inputs!$D$2:$AG$2,0)),Inputs!$B$4:$B$200,$B53)/1000)</f>
        <v>585.184</v>
      </c>
      <c r="K53" s="11">
        <f>IF(SUMPRODUCT((Inputs!$B$4:$B$200=$B53)*ISNUMBER(INDEX(Inputs!$D$4:$AG$200,0,MATCH(K$2,Inputs!$D$2:$AG$2,0))))=0,"",SUMIFS(INDEX(Inputs!$D$4:$AG$200,0,MATCH(K$2,Inputs!$D$2:$AG$2,0)),Inputs!$B$4:$B$200,$B53)/1000)</f>
        <v>675.359</v>
      </c>
      <c r="L53" s="11">
        <f>IF(SUMPRODUCT((Inputs!$B$4:$B$200=$B53)*ISNUMBER(INDEX(Inputs!$D$4:$AG$200,0,MATCH(L$2,Inputs!$D$2:$AG$2,0))))=0,"",SUMIFS(INDEX(Inputs!$D$4:$AG$200,0,MATCH(L$2,Inputs!$D$2:$AG$2,0)),Inputs!$B$4:$B$200,$B53)/1000)</f>
        <v>682.873</v>
      </c>
      <c r="M53" s="12">
        <f>IF(COUNT(I53:L53)=4,SUM(I53:L53),"")</f>
        <v>2496.108</v>
      </c>
      <c r="N53" s="11">
        <f>IF(SUMPRODUCT((Inputs!$B$4:$B$200=$B53)*ISNUMBER(INDEX(Inputs!$D$4:$AG$200,0,MATCH(N$2,Inputs!$D$2:$AG$2,0))))=0,"",SUMIFS(INDEX(Inputs!$D$4:$AG$200,0,MATCH(N$2,Inputs!$D$2:$AG$2,0)),Inputs!$B$4:$B$200,$B53)/1000)</f>
        <v>686.638</v>
      </c>
      <c r="O53" s="11">
        <f>IF(SUMPRODUCT((Inputs!$B$4:$B$200=$B53)*ISNUMBER(INDEX(Inputs!$D$4:$AG$200,0,MATCH(O$2,Inputs!$D$2:$AG$2,0))))=0,"",SUMIFS(INDEX(Inputs!$D$4:$AG$200,0,MATCH(O$2,Inputs!$D$2:$AG$2,0)),Inputs!$B$4:$B$200,$B53)/1000)</f>
        <v>646.165</v>
      </c>
      <c r="P53" s="11">
        <f>IF(SUMPRODUCT((Inputs!$B$4:$B$200=$B53)*ISNUMBER(INDEX(Inputs!$D$4:$AG$200,0,MATCH(P$2,Inputs!$D$2:$AG$2,0))))=0,"",SUMIFS(INDEX(Inputs!$D$4:$AG$200,0,MATCH(P$2,Inputs!$D$2:$AG$2,0)),Inputs!$B$4:$B$200,$B53)/1000)</f>
        <v>651.205</v>
      </c>
      <c r="Q53" s="11">
        <f>IF(SUMPRODUCT((Inputs!$B$4:$B$200=$B53)*ISNUMBER(INDEX(Inputs!$D$4:$AG$200,0,MATCH(Q$2,Inputs!$D$2:$AG$2,0))))=0,"",SUMIFS(INDEX(Inputs!$D$4:$AG$200,0,MATCH(Q$2,Inputs!$D$2:$AG$2,0)),Inputs!$B$4:$B$200,$B53)/1000)</f>
        <v>674.999</v>
      </c>
      <c r="R53" s="12">
        <f>IF(COUNT(N53:Q53)=4,SUM(N53:Q53),"")</f>
        <v>2659.007</v>
      </c>
      <c r="S53" s="11">
        <f>IF(SUMPRODUCT((Inputs!$B$4:$B$200=$B53)*ISNUMBER(INDEX(Inputs!$D$4:$AG$200,0,MATCH(S$2,Inputs!$D$2:$AG$2,0))))=0,"",SUMIFS(INDEX(Inputs!$D$4:$AG$200,0,MATCH(S$2,Inputs!$D$2:$AG$2,0)),Inputs!$B$4:$B$200,$B53)/1000)</f>
        <v>751.762</v>
      </c>
      <c r="T53" s="11">
        <f>IF(SUMPRODUCT((Inputs!$B$4:$B$200=$B53)*ISNUMBER(INDEX(Inputs!$D$4:$AG$200,0,MATCH(T$2,Inputs!$D$2:$AG$2,0))))=0,"",SUMIFS(INDEX(Inputs!$D$4:$AG$200,0,MATCH(T$2,Inputs!$D$2:$AG$2,0)),Inputs!$B$4:$B$200,$B53)/1000)</f>
        <v>748.549</v>
      </c>
      <c r="U53" s="11">
        <f>IF(SUMPRODUCT((Inputs!$B$4:$B$200=$B53)*ISNUMBER(INDEX(Inputs!$D$4:$AG$200,0,MATCH(U$2,Inputs!$D$2:$AG$2,0))))=0,"",SUMIFS(INDEX(Inputs!$D$4:$AG$200,0,MATCH(U$2,Inputs!$D$2:$AG$2,0)),Inputs!$B$4:$B$200,$B53)/1000)</f>
        <v>764.768</v>
      </c>
      <c r="V53" s="11">
        <f>IF(SUMPRODUCT((Inputs!$B$4:$B$200=$B53)*ISNUMBER(INDEX(Inputs!$D$4:$AG$200,0,MATCH(V$2,Inputs!$D$2:$AG$2,0))))=0,"",SUMIFS(INDEX(Inputs!$D$4:$AG$200,0,MATCH(V$2,Inputs!$D$2:$AG$2,0)),Inputs!$B$4:$B$200,$B53)/1000)</f>
        <v>808.526</v>
      </c>
      <c r="W53" s="12">
        <f>IF(COUNT(S53:V53)=4,SUM(S53:V53),"")</f>
        <v>3073.605</v>
      </c>
      <c r="X53" s="11">
        <f>IF(SUMPRODUCT((Inputs!$B$4:$B$200=$B53)*ISNUMBER(INDEX(Inputs!$D$4:$AG$200,0,MATCH(X$2,Inputs!$D$2:$AG$2,0))))=0,"",SUMIFS(INDEX(Inputs!$D$4:$AG$200,0,MATCH(X$2,Inputs!$D$2:$AG$2,0)),Inputs!$B$4:$B$200,$B53)/1000)</f>
        <v>859.38</v>
      </c>
      <c r="Y53" s="11">
        <f>IF(SUMPRODUCT((Inputs!$B$4:$B$200=$B53)*ISNUMBER(INDEX(Inputs!$D$4:$AG$200,0,MATCH(Y$2,Inputs!$D$2:$AG$2,0))))=0,"",SUMIFS(INDEX(Inputs!$D$4:$AG$200,0,MATCH(Y$2,Inputs!$D$2:$AG$2,0)),Inputs!$B$4:$B$200,$B53)/1000)</f>
        <v>843.303</v>
      </c>
      <c r="Z53" s="11">
        <f>IF(SUMPRODUCT((Inputs!$B$4:$B$200=$B53)*ISNUMBER(INDEX(Inputs!$D$4:$AG$200,0,MATCH(Z$2,Inputs!$D$2:$AG$2,0))))=0,"",SUMIFS(INDEX(Inputs!$D$4:$AG$200,0,MATCH(Z$2,Inputs!$D$2:$AG$2,0)),Inputs!$B$4:$B$200,$B53)/1000)</f>
        <v>874.046</v>
      </c>
      <c r="AA53" s="11">
        <f>IF(SUMPRODUCT((Inputs!$B$4:$B$200=$B53)*ISNUMBER(INDEX(Inputs!$D$4:$AG$200,0,MATCH(AA$2,Inputs!$D$2:$AG$2,0))))=0,"",SUMIFS(INDEX(Inputs!$D$4:$AG$200,0,MATCH(AA$2,Inputs!$D$2:$AG$2,0)),Inputs!$B$4:$B$200,$B53)/1000)</f>
        <v>968.870778194</v>
      </c>
      <c r="AB53" s="12">
        <f>IF(COUNT(X53:AA53)=4,SUM(X53:AA53),"")</f>
        <v>3545.599778194</v>
      </c>
      <c r="AC53" s="11">
        <f>IF(SUMPRODUCT((Inputs!$B$4:$B$200=$B53)*ISNUMBER(INDEX(Inputs!$D$4:$AG$200,0,MATCH(AC$2,Inputs!$D$2:$AG$2,0))))=0,"",SUMIFS(INDEX(Inputs!$D$4:$AG$200,0,MATCH(AC$2,Inputs!$D$2:$AG$2,0)),Inputs!$B$4:$B$200,$B53)/1000)</f>
        <v>1076.120486638</v>
      </c>
      <c r="AD53" s="11">
        <f>IF(SUMPRODUCT((Inputs!$B$4:$B$200=$B53)*ISNUMBER(INDEX(Inputs!$D$4:$AG$200,0,MATCH(AD$2,Inputs!$D$2:$AG$2,0))))=0,"",SUMIFS(INDEX(Inputs!$D$4:$AG$200,0,MATCH(AD$2,Inputs!$D$2:$AG$2,0)),Inputs!$B$4:$B$200,$B53)/1000)</f>
        <v>1099.712331255</v>
      </c>
      <c r="AE53" s="11" t="str">
        <f>IF(SUMPRODUCT((Inputs!$B$4:$B$200=$B53)*ISNUMBER(INDEX(Inputs!$D$4:$AG$200,0,MATCH(AE$2,Inputs!$D$2:$AG$2,0))))=0,"",SUMIFS(INDEX(Inputs!$D$4:$AG$200,0,MATCH(AE$2,Inputs!$D$2:$AG$2,0)),Inputs!$B$4:$B$200,$B53)/1000)</f>
        <v/>
      </c>
      <c r="AF53" s="11" t="str">
        <f>IF(SUMPRODUCT((Inputs!$B$4:$B$200=$B53)*ISNUMBER(INDEX(Inputs!$D$4:$AG$200,0,MATCH(AF$2,Inputs!$D$2:$AG$2,0))))=0,"",SUMIFS(INDEX(Inputs!$D$4:$AG$200,0,MATCH(AF$2,Inputs!$D$2:$AG$2,0)),Inputs!$B$4:$B$200,$B53)/1000)</f>
        <v/>
      </c>
      <c r="AG53" s="12" t="str">
        <f>IF(COUNT(AC53:AF53)=4,SUM(AC53:AF53),"")</f>
        <v/>
      </c>
    </row>
    <row r="54">
      <c r="B54" s="9" t="n">
        <v>46</v>
      </c>
      <c r="C54" s="10" t="inlineStr">
        <is>
          <t>Receita liquida RAC Portugal (DRE l.30; desde a aquisicao em 2023)</t>
        </is>
      </c>
      <c r="D54" s="11">
        <f>IF(SUMPRODUCT((Inputs!$B$4:$B$200=$B54)*ISNUMBER(INDEX(Inputs!$D$4:$AG$200,0,MATCH(D$2,Inputs!$D$2:$AG$2,0))))=0,"",SUMIFS(INDEX(Inputs!$D$4:$AG$200,0,MATCH(D$2,Inputs!$D$2:$AG$2,0)),Inputs!$B$4:$B$200,$B54)/1000)</f>
        <v>0</v>
      </c>
      <c r="E54" s="11">
        <f>IF(SUMPRODUCT((Inputs!$B$4:$B$200=$B54)*ISNUMBER(INDEX(Inputs!$D$4:$AG$200,0,MATCH(E$2,Inputs!$D$2:$AG$2,0))))=0,"",SUMIFS(INDEX(Inputs!$D$4:$AG$200,0,MATCH(E$2,Inputs!$D$2:$AG$2,0)),Inputs!$B$4:$B$200,$B54)/1000)</f>
        <v>0</v>
      </c>
      <c r="F54" s="11">
        <f>IF(SUMPRODUCT((Inputs!$B$4:$B$200=$B54)*ISNUMBER(INDEX(Inputs!$D$4:$AG$200,0,MATCH(F$2,Inputs!$D$2:$AG$2,0))))=0,"",SUMIFS(INDEX(Inputs!$D$4:$AG$200,0,MATCH(F$2,Inputs!$D$2:$AG$2,0)),Inputs!$B$4:$B$200,$B54)/1000)</f>
        <v>0</v>
      </c>
      <c r="G54" s="11">
        <f>IF(SUMPRODUCT((Inputs!$B$4:$B$200=$B54)*ISNUMBER(INDEX(Inputs!$D$4:$AG$200,0,MATCH(G$2,Inputs!$D$2:$AG$2,0))))=0,"",SUMIFS(INDEX(Inputs!$D$4:$AG$200,0,MATCH(G$2,Inputs!$D$2:$AG$2,0)),Inputs!$B$4:$B$200,$B54)/1000)</f>
        <v>0</v>
      </c>
      <c r="H54" s="12">
        <f>IF(COUNT(D54:G54)=4,SUM(D54:G54),"")</f>
        <v>0</v>
      </c>
      <c r="I54" s="11">
        <f>IF(SUMPRODUCT((Inputs!$B$4:$B$200=$B54)*ISNUMBER(INDEX(Inputs!$D$4:$AG$200,0,MATCH(I$2,Inputs!$D$2:$AG$2,0))))=0,"",SUMIFS(INDEX(Inputs!$D$4:$AG$200,0,MATCH(I$2,Inputs!$D$2:$AG$2,0)),Inputs!$B$4:$B$200,$B54)/1000)</f>
        <v>0</v>
      </c>
      <c r="J54" s="11">
        <f>IF(SUMPRODUCT((Inputs!$B$4:$B$200=$B54)*ISNUMBER(INDEX(Inputs!$D$4:$AG$200,0,MATCH(J$2,Inputs!$D$2:$AG$2,0))))=0,"",SUMIFS(INDEX(Inputs!$D$4:$AG$200,0,MATCH(J$2,Inputs!$D$2:$AG$2,0)),Inputs!$B$4:$B$200,$B54)/1000)</f>
        <v>0</v>
      </c>
      <c r="K54" s="11">
        <f>IF(SUMPRODUCT((Inputs!$B$4:$B$200=$B54)*ISNUMBER(INDEX(Inputs!$D$4:$AG$200,0,MATCH(K$2,Inputs!$D$2:$AG$2,0))))=0,"",SUMIFS(INDEX(Inputs!$D$4:$AG$200,0,MATCH(K$2,Inputs!$D$2:$AG$2,0)),Inputs!$B$4:$B$200,$B54)/1000)</f>
        <v>0</v>
      </c>
      <c r="L54" s="11">
        <f>IF(SUMPRODUCT((Inputs!$B$4:$B$200=$B54)*ISNUMBER(INDEX(Inputs!$D$4:$AG$200,0,MATCH(L$2,Inputs!$D$2:$AG$2,0))))=0,"",SUMIFS(INDEX(Inputs!$D$4:$AG$200,0,MATCH(L$2,Inputs!$D$2:$AG$2,0)),Inputs!$B$4:$B$200,$B54)/1000)</f>
        <v>43.829</v>
      </c>
      <c r="M54" s="12">
        <f>IF(COUNT(I54:L54)=4,SUM(I54:L54),"")</f>
        <v>43.829</v>
      </c>
      <c r="N54" s="11">
        <f>IF(SUMPRODUCT((Inputs!$B$4:$B$200=$B54)*ISNUMBER(INDEX(Inputs!$D$4:$AG$200,0,MATCH(N$2,Inputs!$D$2:$AG$2,0))))=0,"",SUMIFS(INDEX(Inputs!$D$4:$AG$200,0,MATCH(N$2,Inputs!$D$2:$AG$2,0)),Inputs!$B$4:$B$200,$B54)/1000)</f>
        <v>14.396</v>
      </c>
      <c r="O54" s="11">
        <f>IF(SUMPRODUCT((Inputs!$B$4:$B$200=$B54)*ISNUMBER(INDEX(Inputs!$D$4:$AG$200,0,MATCH(O$2,Inputs!$D$2:$AG$2,0))))=0,"",SUMIFS(INDEX(Inputs!$D$4:$AG$200,0,MATCH(O$2,Inputs!$D$2:$AG$2,0)),Inputs!$B$4:$B$200,$B54)/1000)</f>
        <v>29.467</v>
      </c>
      <c r="P54" s="11">
        <f>IF(SUMPRODUCT((Inputs!$B$4:$B$200=$B54)*ISNUMBER(INDEX(Inputs!$D$4:$AG$200,0,MATCH(P$2,Inputs!$D$2:$AG$2,0))))=0,"",SUMIFS(INDEX(Inputs!$D$4:$AG$200,0,MATCH(P$2,Inputs!$D$2:$AG$2,0)),Inputs!$B$4:$B$200,$B54)/1000)</f>
        <v>64.989</v>
      </c>
      <c r="Q54" s="11">
        <f>IF(SUMPRODUCT((Inputs!$B$4:$B$200=$B54)*ISNUMBER(INDEX(Inputs!$D$4:$AG$200,0,MATCH(Q$2,Inputs!$D$2:$AG$2,0))))=0,"",SUMIFS(INDEX(Inputs!$D$4:$AG$200,0,MATCH(Q$2,Inputs!$D$2:$AG$2,0)),Inputs!$B$4:$B$200,$B54)/1000)</f>
        <v>29.385</v>
      </c>
      <c r="R54" s="12">
        <f>IF(COUNT(N54:Q54)=4,SUM(N54:Q54),"")</f>
        <v>138.237</v>
      </c>
      <c r="S54" s="11">
        <f>IF(SUMPRODUCT((Inputs!$B$4:$B$200=$B54)*ISNUMBER(INDEX(Inputs!$D$4:$AG$200,0,MATCH(S$2,Inputs!$D$2:$AG$2,0))))=0,"",SUMIFS(INDEX(Inputs!$D$4:$AG$200,0,MATCH(S$2,Inputs!$D$2:$AG$2,0)),Inputs!$B$4:$B$200,$B54)/1000)</f>
        <v>23.047</v>
      </c>
      <c r="T54" s="11">
        <f>IF(SUMPRODUCT((Inputs!$B$4:$B$200=$B54)*ISNUMBER(INDEX(Inputs!$D$4:$AG$200,0,MATCH(T$2,Inputs!$D$2:$AG$2,0))))=0,"",SUMIFS(INDEX(Inputs!$D$4:$AG$200,0,MATCH(T$2,Inputs!$D$2:$AG$2,0)),Inputs!$B$4:$B$200,$B54)/1000)</f>
        <v>43.533</v>
      </c>
      <c r="U54" s="11">
        <f>IF(SUMPRODUCT((Inputs!$B$4:$B$200=$B54)*ISNUMBER(INDEX(Inputs!$D$4:$AG$200,0,MATCH(U$2,Inputs!$D$2:$AG$2,0))))=0,"",SUMIFS(INDEX(Inputs!$D$4:$AG$200,0,MATCH(U$2,Inputs!$D$2:$AG$2,0)),Inputs!$B$4:$B$200,$B54)/1000)</f>
        <v>90.502</v>
      </c>
      <c r="V54" s="11">
        <f>IF(SUMPRODUCT((Inputs!$B$4:$B$200=$B54)*ISNUMBER(INDEX(Inputs!$D$4:$AG$200,0,MATCH(V$2,Inputs!$D$2:$AG$2,0))))=0,"",SUMIFS(INDEX(Inputs!$D$4:$AG$200,0,MATCH(V$2,Inputs!$D$2:$AG$2,0)),Inputs!$B$4:$B$200,$B54)/1000)</f>
        <v>39.179</v>
      </c>
      <c r="W54" s="12">
        <f>IF(COUNT(S54:V54)=4,SUM(S54:V54),"")</f>
        <v>196.261</v>
      </c>
      <c r="X54" s="11">
        <f>IF(SUMPRODUCT((Inputs!$B$4:$B$200=$B54)*ISNUMBER(INDEX(Inputs!$D$4:$AG$200,0,MATCH(X$2,Inputs!$D$2:$AG$2,0))))=0,"",SUMIFS(INDEX(Inputs!$D$4:$AG$200,0,MATCH(X$2,Inputs!$D$2:$AG$2,0)),Inputs!$B$4:$B$200,$B54)/1000)</f>
        <v>26.343</v>
      </c>
      <c r="Y54" s="11">
        <f>IF(SUMPRODUCT((Inputs!$B$4:$B$200=$B54)*ISNUMBER(INDEX(Inputs!$D$4:$AG$200,0,MATCH(Y$2,Inputs!$D$2:$AG$2,0))))=0,"",SUMIFS(INDEX(Inputs!$D$4:$AG$200,0,MATCH(Y$2,Inputs!$D$2:$AG$2,0)),Inputs!$B$4:$B$200,$B54)/1000)</f>
        <v>53.453</v>
      </c>
      <c r="Z54" s="11">
        <f>IF(SUMPRODUCT((Inputs!$B$4:$B$200=$B54)*ISNUMBER(INDEX(Inputs!$D$4:$AG$200,0,MATCH(Z$2,Inputs!$D$2:$AG$2,0))))=0,"",SUMIFS(INDEX(Inputs!$D$4:$AG$200,0,MATCH(Z$2,Inputs!$D$2:$AG$2,0)),Inputs!$B$4:$B$200,$B54)/1000)</f>
        <v>103.339</v>
      </c>
      <c r="AA54" s="11">
        <f>IF(SUMPRODUCT((Inputs!$B$4:$B$200=$B54)*ISNUMBER(INDEX(Inputs!$D$4:$AG$200,0,MATCH(AA$2,Inputs!$D$2:$AG$2,0))))=0,"",SUMIFS(INDEX(Inputs!$D$4:$AG$200,0,MATCH(AA$2,Inputs!$D$2:$AG$2,0)),Inputs!$B$4:$B$200,$B54)/1000)</f>
        <v>43.91676634</v>
      </c>
      <c r="AB54" s="12">
        <f>IF(COUNT(X54:AA54)=4,SUM(X54:AA54),"")</f>
        <v>227.05176634</v>
      </c>
      <c r="AC54" s="11">
        <f>IF(SUMPRODUCT((Inputs!$B$4:$B$200=$B54)*ISNUMBER(INDEX(Inputs!$D$4:$AG$200,0,MATCH(AC$2,Inputs!$D$2:$AG$2,0))))=0,"",SUMIFS(INDEX(Inputs!$D$4:$AG$200,0,MATCH(AC$2,Inputs!$D$2:$AG$2,0)),Inputs!$B$4:$B$200,$B54)/1000)</f>
        <v>27.88744168</v>
      </c>
      <c r="AD54" s="11">
        <f>IF(SUMPRODUCT((Inputs!$B$4:$B$200=$B54)*ISNUMBER(INDEX(Inputs!$D$4:$AG$200,0,MATCH(AD$2,Inputs!$D$2:$AG$2,0))))=0,"",SUMIFS(INDEX(Inputs!$D$4:$AG$200,0,MATCH(AD$2,Inputs!$D$2:$AG$2,0)),Inputs!$B$4:$B$200,$B54)/1000)</f>
        <v>45.85325813</v>
      </c>
      <c r="AE54" s="11" t="str">
        <f>IF(SUMPRODUCT((Inputs!$B$4:$B$200=$B54)*ISNUMBER(INDEX(Inputs!$D$4:$AG$200,0,MATCH(AE$2,Inputs!$D$2:$AG$2,0))))=0,"",SUMIFS(INDEX(Inputs!$D$4:$AG$200,0,MATCH(AE$2,Inputs!$D$2:$AG$2,0)),Inputs!$B$4:$B$200,$B54)/1000)</f>
        <v/>
      </c>
      <c r="AF54" s="11" t="str">
        <f>IF(SUMPRODUCT((Inputs!$B$4:$B$200=$B54)*ISNUMBER(INDEX(Inputs!$D$4:$AG$200,0,MATCH(AF$2,Inputs!$D$2:$AG$2,0))))=0,"",SUMIFS(INDEX(Inputs!$D$4:$AG$200,0,MATCH(AF$2,Inputs!$D$2:$AG$2,0)),Inputs!$B$4:$B$200,$B54)/1000)</f>
        <v/>
      </c>
      <c r="AG54" s="12" t="str">
        <f>IF(COUNT(AC54:AF54)=4,SUM(AC54:AF54),"")</f>
        <v/>
      </c>
    </row>
    <row r="55">
      <c r="B55" s="9" t="n">
        <v>47</v>
      </c>
      <c r="C55" s="10" t="inlineStr">
        <is>
          <t>Receita liquida GTF - gestao e terceirizacao de frotas (DRE l.68)</t>
        </is>
      </c>
      <c r="D55" s="11">
        <f>IF(SUMPRODUCT((Inputs!$B$4:$B$200=$B55)*ISNUMBER(INDEX(Inputs!$D$4:$AG$200,0,MATCH(D$2,Inputs!$D$2:$AG$2,0))))=0,"",SUMIFS(INDEX(Inputs!$D$4:$AG$200,0,MATCH(D$2,Inputs!$D$2:$AG$2,0)),Inputs!$B$4:$B$200,$B55)/1000)</f>
        <v>154.023</v>
      </c>
      <c r="E55" s="11">
        <f>IF(SUMPRODUCT((Inputs!$B$4:$B$200=$B55)*ISNUMBER(INDEX(Inputs!$D$4:$AG$200,0,MATCH(E$2,Inputs!$D$2:$AG$2,0))))=0,"",SUMIFS(INDEX(Inputs!$D$4:$AG$200,0,MATCH(E$2,Inputs!$D$2:$AG$2,0)),Inputs!$B$4:$B$200,$B55)/1000)</f>
        <v>183.574</v>
      </c>
      <c r="F55" s="11">
        <f>IF(SUMPRODUCT((Inputs!$B$4:$B$200=$B55)*ISNUMBER(INDEX(Inputs!$D$4:$AG$200,0,MATCH(F$2,Inputs!$D$2:$AG$2,0))))=0,"",SUMIFS(INDEX(Inputs!$D$4:$AG$200,0,MATCH(F$2,Inputs!$D$2:$AG$2,0)),Inputs!$B$4:$B$200,$B55)/1000)</f>
        <v>272.657</v>
      </c>
      <c r="G55" s="11">
        <f>IF(SUMPRODUCT((Inputs!$B$4:$B$200=$B55)*ISNUMBER(INDEX(Inputs!$D$4:$AG$200,0,MATCH(G$2,Inputs!$D$2:$AG$2,0))))=0,"",SUMIFS(INDEX(Inputs!$D$4:$AG$200,0,MATCH(G$2,Inputs!$D$2:$AG$2,0)),Inputs!$B$4:$B$200,$B55)/1000)</f>
        <v>357.38</v>
      </c>
      <c r="H55" s="12">
        <f>IF(COUNT(D55:G55)=4,SUM(D55:G55),"")</f>
        <v>967.634</v>
      </c>
      <c r="I55" s="11">
        <f>IF(SUMPRODUCT((Inputs!$B$4:$B$200=$B55)*ISNUMBER(INDEX(Inputs!$D$4:$AG$200,0,MATCH(I$2,Inputs!$D$2:$AG$2,0))))=0,"",SUMIFS(INDEX(Inputs!$D$4:$AG$200,0,MATCH(I$2,Inputs!$D$2:$AG$2,0)),Inputs!$B$4:$B$200,$B55)/1000)</f>
        <v>379.203</v>
      </c>
      <c r="J55" s="11">
        <f>IF(SUMPRODUCT((Inputs!$B$4:$B$200=$B55)*ISNUMBER(INDEX(Inputs!$D$4:$AG$200,0,MATCH(J$2,Inputs!$D$2:$AG$2,0))))=0,"",SUMIFS(INDEX(Inputs!$D$4:$AG$200,0,MATCH(J$2,Inputs!$D$2:$AG$2,0)),Inputs!$B$4:$B$200,$B55)/1000)</f>
        <v>417.174</v>
      </c>
      <c r="K55" s="11">
        <f>IF(SUMPRODUCT((Inputs!$B$4:$B$200=$B55)*ISNUMBER(INDEX(Inputs!$D$4:$AG$200,0,MATCH(K$2,Inputs!$D$2:$AG$2,0))))=0,"",SUMIFS(INDEX(Inputs!$D$4:$AG$200,0,MATCH(K$2,Inputs!$D$2:$AG$2,0)),Inputs!$B$4:$B$200,$B55)/1000)</f>
        <v>451.078</v>
      </c>
      <c r="L55" s="11">
        <f>IF(SUMPRODUCT((Inputs!$B$4:$B$200=$B55)*ISNUMBER(INDEX(Inputs!$D$4:$AG$200,0,MATCH(L$2,Inputs!$D$2:$AG$2,0))))=0,"",SUMIFS(INDEX(Inputs!$D$4:$AG$200,0,MATCH(L$2,Inputs!$D$2:$AG$2,0)),Inputs!$B$4:$B$200,$B55)/1000)</f>
        <v>495.524</v>
      </c>
      <c r="M55" s="12">
        <f>IF(COUNT(I55:L55)=4,SUM(I55:L55),"")</f>
        <v>1742.979</v>
      </c>
      <c r="N55" s="11">
        <f>IF(SUMPRODUCT((Inputs!$B$4:$B$200=$B55)*ISNUMBER(INDEX(Inputs!$D$4:$AG$200,0,MATCH(N$2,Inputs!$D$2:$AG$2,0))))=0,"",SUMIFS(INDEX(Inputs!$D$4:$AG$200,0,MATCH(N$2,Inputs!$D$2:$AG$2,0)),Inputs!$B$4:$B$200,$B55)/1000)</f>
        <v>538.708</v>
      </c>
      <c r="O55" s="11">
        <f>IF(SUMPRODUCT((Inputs!$B$4:$B$200=$B55)*ISNUMBER(INDEX(Inputs!$D$4:$AG$200,0,MATCH(O$2,Inputs!$D$2:$AG$2,0))))=0,"",SUMIFS(INDEX(Inputs!$D$4:$AG$200,0,MATCH(O$2,Inputs!$D$2:$AG$2,0)),Inputs!$B$4:$B$200,$B55)/1000)</f>
        <v>558.149</v>
      </c>
      <c r="P55" s="11">
        <f>IF(SUMPRODUCT((Inputs!$B$4:$B$200=$B55)*ISNUMBER(INDEX(Inputs!$D$4:$AG$200,0,MATCH(P$2,Inputs!$D$2:$AG$2,0))))=0,"",SUMIFS(INDEX(Inputs!$D$4:$AG$200,0,MATCH(P$2,Inputs!$D$2:$AG$2,0)),Inputs!$B$4:$B$200,$B55)/1000)</f>
        <v>581.123</v>
      </c>
      <c r="Q55" s="11">
        <f>IF(SUMPRODUCT((Inputs!$B$4:$B$200=$B55)*ISNUMBER(INDEX(Inputs!$D$4:$AG$200,0,MATCH(Q$2,Inputs!$D$2:$AG$2,0))))=0,"",SUMIFS(INDEX(Inputs!$D$4:$AG$200,0,MATCH(Q$2,Inputs!$D$2:$AG$2,0)),Inputs!$B$4:$B$200,$B55)/1000)</f>
        <v>635.236</v>
      </c>
      <c r="R55" s="12">
        <f>IF(COUNT(N55:Q55)=4,SUM(N55:Q55),"")</f>
        <v>2313.216</v>
      </c>
      <c r="S55" s="11">
        <f>IF(SUMPRODUCT((Inputs!$B$4:$B$200=$B55)*ISNUMBER(INDEX(Inputs!$D$4:$AG$200,0,MATCH(S$2,Inputs!$D$2:$AG$2,0))))=0,"",SUMIFS(INDEX(Inputs!$D$4:$AG$200,0,MATCH(S$2,Inputs!$D$2:$AG$2,0)),Inputs!$B$4:$B$200,$B55)/1000)</f>
        <v>720.39</v>
      </c>
      <c r="T55" s="11">
        <f>IF(SUMPRODUCT((Inputs!$B$4:$B$200=$B55)*ISNUMBER(INDEX(Inputs!$D$4:$AG$200,0,MATCH(T$2,Inputs!$D$2:$AG$2,0))))=0,"",SUMIFS(INDEX(Inputs!$D$4:$AG$200,0,MATCH(T$2,Inputs!$D$2:$AG$2,0)),Inputs!$B$4:$B$200,$B55)/1000)</f>
        <v>816.006</v>
      </c>
      <c r="U55" s="11">
        <f>IF(SUMPRODUCT((Inputs!$B$4:$B$200=$B55)*ISNUMBER(INDEX(Inputs!$D$4:$AG$200,0,MATCH(U$2,Inputs!$D$2:$AG$2,0))))=0,"",SUMIFS(INDEX(Inputs!$D$4:$AG$200,0,MATCH(U$2,Inputs!$D$2:$AG$2,0)),Inputs!$B$4:$B$200,$B55)/1000)</f>
        <v>889.427</v>
      </c>
      <c r="V55" s="11">
        <f>IF(SUMPRODUCT((Inputs!$B$4:$B$200=$B55)*ISNUMBER(INDEX(Inputs!$D$4:$AG$200,0,MATCH(V$2,Inputs!$D$2:$AG$2,0))))=0,"",SUMIFS(INDEX(Inputs!$D$4:$AG$200,0,MATCH(V$2,Inputs!$D$2:$AG$2,0)),Inputs!$B$4:$B$200,$B55)/1000)</f>
        <v>943.352</v>
      </c>
      <c r="W55" s="12">
        <f>IF(COUNT(S55:V55)=4,SUM(S55:V55),"")</f>
        <v>3369.175</v>
      </c>
      <c r="X55" s="11">
        <f>IF(SUMPRODUCT((Inputs!$B$4:$B$200=$B55)*ISNUMBER(INDEX(Inputs!$D$4:$AG$200,0,MATCH(X$2,Inputs!$D$2:$AG$2,0))))=0,"",SUMIFS(INDEX(Inputs!$D$4:$AG$200,0,MATCH(X$2,Inputs!$D$2:$AG$2,0)),Inputs!$B$4:$B$200,$B55)/1000)</f>
        <v>993.181</v>
      </c>
      <c r="Y55" s="11">
        <f>IF(SUMPRODUCT((Inputs!$B$4:$B$200=$B55)*ISNUMBER(INDEX(Inputs!$D$4:$AG$200,0,MATCH(Y$2,Inputs!$D$2:$AG$2,0))))=0,"",SUMIFS(INDEX(Inputs!$D$4:$AG$200,0,MATCH(Y$2,Inputs!$D$2:$AG$2,0)),Inputs!$B$4:$B$200,$B55)/1000)</f>
        <v>995.876</v>
      </c>
      <c r="Z55" s="11">
        <f>IF(SUMPRODUCT((Inputs!$B$4:$B$200=$B55)*ISNUMBER(INDEX(Inputs!$D$4:$AG$200,0,MATCH(Z$2,Inputs!$D$2:$AG$2,0))))=0,"",SUMIFS(INDEX(Inputs!$D$4:$AG$200,0,MATCH(Z$2,Inputs!$D$2:$AG$2,0)),Inputs!$B$4:$B$200,$B55)/1000)</f>
        <v>1033.426</v>
      </c>
      <c r="AA55" s="11">
        <f>IF(SUMPRODUCT((Inputs!$B$4:$B$200=$B55)*ISNUMBER(INDEX(Inputs!$D$4:$AG$200,0,MATCH(AA$2,Inputs!$D$2:$AG$2,0))))=0,"",SUMIFS(INDEX(Inputs!$D$4:$AG$200,0,MATCH(AA$2,Inputs!$D$2:$AG$2,0)),Inputs!$B$4:$B$200,$B55)/1000)</f>
        <v>1083.606544766</v>
      </c>
      <c r="AB55" s="12">
        <f>IF(COUNT(X55:AA55)=4,SUM(X55:AA55),"")</f>
        <v>4106.089544766</v>
      </c>
      <c r="AC55" s="11">
        <f>IF(SUMPRODUCT((Inputs!$B$4:$B$200=$B55)*ISNUMBER(INDEX(Inputs!$D$4:$AG$200,0,MATCH(AC$2,Inputs!$D$2:$AG$2,0))))=0,"",SUMIFS(INDEX(Inputs!$D$4:$AG$200,0,MATCH(AC$2,Inputs!$D$2:$AG$2,0)),Inputs!$B$4:$B$200,$B55)/1000)</f>
        <v>1101.608575243</v>
      </c>
      <c r="AD55" s="11">
        <f>IF(SUMPRODUCT((Inputs!$B$4:$B$200=$B55)*ISNUMBER(INDEX(Inputs!$D$4:$AG$200,0,MATCH(AD$2,Inputs!$D$2:$AG$2,0))))=0,"",SUMIFS(INDEX(Inputs!$D$4:$AG$200,0,MATCH(AD$2,Inputs!$D$2:$AG$2,0)),Inputs!$B$4:$B$200,$B55)/1000)</f>
        <v>1149.769047695</v>
      </c>
      <c r="AE55" s="11" t="str">
        <f>IF(SUMPRODUCT((Inputs!$B$4:$B$200=$B55)*ISNUMBER(INDEX(Inputs!$D$4:$AG$200,0,MATCH(AE$2,Inputs!$D$2:$AG$2,0))))=0,"",SUMIFS(INDEX(Inputs!$D$4:$AG$200,0,MATCH(AE$2,Inputs!$D$2:$AG$2,0)),Inputs!$B$4:$B$200,$B55)/1000)</f>
        <v/>
      </c>
      <c r="AF55" s="11" t="str">
        <f>IF(SUMPRODUCT((Inputs!$B$4:$B$200=$B55)*ISNUMBER(INDEX(Inputs!$D$4:$AG$200,0,MATCH(AF$2,Inputs!$D$2:$AG$2,0))))=0,"",SUMIFS(INDEX(Inputs!$D$4:$AG$200,0,MATCH(AF$2,Inputs!$D$2:$AG$2,0)),Inputs!$B$4:$B$200,$B55)/1000)</f>
        <v/>
      </c>
      <c r="AG55" s="12" t="str">
        <f>IF(COUNT(AC55:AF55)=4,SUM(AC55:AF55),"")</f>
        <v/>
      </c>
    </row>
    <row r="56">
      <c r="B56" s="9" t="n">
        <v>48</v>
      </c>
      <c r="C56" s="10" t="inlineStr">
        <is>
          <t>Receita liquida Seminovos (DRE l.87)</t>
        </is>
      </c>
      <c r="D56" s="11">
        <f>IF(SUMPRODUCT((Inputs!$B$4:$B$200=$B56)*ISNUMBER(INDEX(Inputs!$D$4:$AG$200,0,MATCH(D$2,Inputs!$D$2:$AG$2,0))))=0,"",SUMIFS(INDEX(Inputs!$D$4:$AG$200,0,MATCH(D$2,Inputs!$D$2:$AG$2,0)),Inputs!$B$4:$B$200,$B56)/1000)</f>
        <v>274.54</v>
      </c>
      <c r="E56" s="11">
        <f>IF(SUMPRODUCT((Inputs!$B$4:$B$200=$B56)*ISNUMBER(INDEX(Inputs!$D$4:$AG$200,0,MATCH(E$2,Inputs!$D$2:$AG$2,0))))=0,"",SUMIFS(INDEX(Inputs!$D$4:$AG$200,0,MATCH(E$2,Inputs!$D$2:$AG$2,0)),Inputs!$B$4:$B$200,$B56)/1000)</f>
        <v>673.48</v>
      </c>
      <c r="F56" s="11">
        <f>IF(SUMPRODUCT((Inputs!$B$4:$B$200=$B56)*ISNUMBER(INDEX(Inputs!$D$4:$AG$200,0,MATCH(F$2,Inputs!$D$2:$AG$2,0))))=0,"",SUMIFS(INDEX(Inputs!$D$4:$AG$200,0,MATCH(F$2,Inputs!$D$2:$AG$2,0)),Inputs!$B$4:$B$200,$B56)/1000)</f>
        <v>844.62</v>
      </c>
      <c r="G56" s="11">
        <f>IF(SUMPRODUCT((Inputs!$B$4:$B$200=$B56)*ISNUMBER(INDEX(Inputs!$D$4:$AG$200,0,MATCH(G$2,Inputs!$D$2:$AG$2,0))))=0,"",SUMIFS(INDEX(Inputs!$D$4:$AG$200,0,MATCH(G$2,Inputs!$D$2:$AG$2,0)),Inputs!$B$4:$B$200,$B56)/1000)</f>
        <v>809.115</v>
      </c>
      <c r="H56" s="12">
        <f>IF(COUNT(D56:G56)=4,SUM(D56:G56),"")</f>
        <v>2601.755</v>
      </c>
      <c r="I56" s="11">
        <f>IF(SUMPRODUCT((Inputs!$B$4:$B$200=$B56)*ISNUMBER(INDEX(Inputs!$D$4:$AG$200,0,MATCH(I$2,Inputs!$D$2:$AG$2,0))))=0,"",SUMIFS(INDEX(Inputs!$D$4:$AG$200,0,MATCH(I$2,Inputs!$D$2:$AG$2,0)),Inputs!$B$4:$B$200,$B56)/1000)</f>
        <v>973.762</v>
      </c>
      <c r="J56" s="11">
        <f>IF(SUMPRODUCT((Inputs!$B$4:$B$200=$B56)*ISNUMBER(INDEX(Inputs!$D$4:$AG$200,0,MATCH(J$2,Inputs!$D$2:$AG$2,0))))=0,"",SUMIFS(INDEX(Inputs!$D$4:$AG$200,0,MATCH(J$2,Inputs!$D$2:$AG$2,0)),Inputs!$B$4:$B$200,$B56)/1000)</f>
        <v>1228.635</v>
      </c>
      <c r="K56" s="11">
        <f>IF(SUMPRODUCT((Inputs!$B$4:$B$200=$B56)*ISNUMBER(INDEX(Inputs!$D$4:$AG$200,0,MATCH(K$2,Inputs!$D$2:$AG$2,0))))=0,"",SUMIFS(INDEX(Inputs!$D$4:$AG$200,0,MATCH(K$2,Inputs!$D$2:$AG$2,0)),Inputs!$B$4:$B$200,$B56)/1000)</f>
        <v>1410.428</v>
      </c>
      <c r="L56" s="11">
        <f>IF(SUMPRODUCT((Inputs!$B$4:$B$200=$B56)*ISNUMBER(INDEX(Inputs!$D$4:$AG$200,0,MATCH(L$2,Inputs!$D$2:$AG$2,0))))=0,"",SUMIFS(INDEX(Inputs!$D$4:$AG$200,0,MATCH(L$2,Inputs!$D$2:$AG$2,0)),Inputs!$B$4:$B$200,$B56)/1000)</f>
        <v>1404.407</v>
      </c>
      <c r="M56" s="12">
        <f>IF(COUNT(I56:L56)=4,SUM(I56:L56),"")</f>
        <v>5017.232</v>
      </c>
      <c r="N56" s="11">
        <f>IF(SUMPRODUCT((Inputs!$B$4:$B$200=$B56)*ISNUMBER(INDEX(Inputs!$D$4:$AG$200,0,MATCH(N$2,Inputs!$D$2:$AG$2,0))))=0,"",SUMIFS(INDEX(Inputs!$D$4:$AG$200,0,MATCH(N$2,Inputs!$D$2:$AG$2,0)),Inputs!$B$4:$B$200,$B56)/1000)</f>
        <v>1463.465</v>
      </c>
      <c r="O56" s="11">
        <f>IF(SUMPRODUCT((Inputs!$B$4:$B$200=$B56)*ISNUMBER(INDEX(Inputs!$D$4:$AG$200,0,MATCH(O$2,Inputs!$D$2:$AG$2,0))))=0,"",SUMIFS(INDEX(Inputs!$D$4:$AG$200,0,MATCH(O$2,Inputs!$D$2:$AG$2,0)),Inputs!$B$4:$B$200,$B56)/1000)</f>
        <v>1245.363</v>
      </c>
      <c r="P56" s="11">
        <f>IF(SUMPRODUCT((Inputs!$B$4:$B$200=$B56)*ISNUMBER(INDEX(Inputs!$D$4:$AG$200,0,MATCH(P$2,Inputs!$D$2:$AG$2,0))))=0,"",SUMIFS(INDEX(Inputs!$D$4:$AG$200,0,MATCH(P$2,Inputs!$D$2:$AG$2,0)),Inputs!$B$4:$B$200,$B56)/1000)</f>
        <v>1368.902</v>
      </c>
      <c r="Q56" s="11">
        <f>IF(SUMPRODUCT((Inputs!$B$4:$B$200=$B56)*ISNUMBER(INDEX(Inputs!$D$4:$AG$200,0,MATCH(Q$2,Inputs!$D$2:$AG$2,0))))=0,"",SUMIFS(INDEX(Inputs!$D$4:$AG$200,0,MATCH(Q$2,Inputs!$D$2:$AG$2,0)),Inputs!$B$4:$B$200,$B56)/1000)</f>
        <v>1153.824</v>
      </c>
      <c r="R56" s="12">
        <f>IF(COUNT(N56:Q56)=4,SUM(N56:Q56),"")</f>
        <v>5231.554</v>
      </c>
      <c r="S56" s="11">
        <f>IF(SUMPRODUCT((Inputs!$B$4:$B$200=$B56)*ISNUMBER(INDEX(Inputs!$D$4:$AG$200,0,MATCH(S$2,Inputs!$D$2:$AG$2,0))))=0,"",SUMIFS(INDEX(Inputs!$D$4:$AG$200,0,MATCH(S$2,Inputs!$D$2:$AG$2,0)),Inputs!$B$4:$B$200,$B56)/1000)</f>
        <v>1526.448</v>
      </c>
      <c r="T56" s="11">
        <f>IF(SUMPRODUCT((Inputs!$B$4:$B$200=$B56)*ISNUMBER(INDEX(Inputs!$D$4:$AG$200,0,MATCH(T$2,Inputs!$D$2:$AG$2,0))))=0,"",SUMIFS(INDEX(Inputs!$D$4:$AG$200,0,MATCH(T$2,Inputs!$D$2:$AG$2,0)),Inputs!$B$4:$B$200,$B56)/1000)</f>
        <v>1827.516</v>
      </c>
      <c r="U56" s="11">
        <f>IF(SUMPRODUCT((Inputs!$B$4:$B$200=$B56)*ISNUMBER(INDEX(Inputs!$D$4:$AG$200,0,MATCH(U$2,Inputs!$D$2:$AG$2,0))))=0,"",SUMIFS(INDEX(Inputs!$D$4:$AG$200,0,MATCH(U$2,Inputs!$D$2:$AG$2,0)),Inputs!$B$4:$B$200,$B56)/1000)</f>
        <v>2031.166</v>
      </c>
      <c r="V56" s="11">
        <f>IF(SUMPRODUCT((Inputs!$B$4:$B$200=$B56)*ISNUMBER(INDEX(Inputs!$D$4:$AG$200,0,MATCH(V$2,Inputs!$D$2:$AG$2,0))))=0,"",SUMIFS(INDEX(Inputs!$D$4:$AG$200,0,MATCH(V$2,Inputs!$D$2:$AG$2,0)),Inputs!$B$4:$B$200,$B56)/1000)</f>
        <v>1457.1</v>
      </c>
      <c r="W56" s="12">
        <f>IF(COUNT(S56:V56)=4,SUM(S56:V56),"")</f>
        <v>6842.23</v>
      </c>
      <c r="X56" s="11">
        <f>IF(SUMPRODUCT((Inputs!$B$4:$B$200=$B56)*ISNUMBER(INDEX(Inputs!$D$4:$AG$200,0,MATCH(X$2,Inputs!$D$2:$AG$2,0))))=0,"",SUMIFS(INDEX(Inputs!$D$4:$AG$200,0,MATCH(X$2,Inputs!$D$2:$AG$2,0)),Inputs!$B$4:$B$200,$B56)/1000)</f>
        <v>1689.326</v>
      </c>
      <c r="Y56" s="11">
        <f>IF(SUMPRODUCT((Inputs!$B$4:$B$200=$B56)*ISNUMBER(INDEX(Inputs!$D$4:$AG$200,0,MATCH(Y$2,Inputs!$D$2:$AG$2,0))))=0,"",SUMIFS(INDEX(Inputs!$D$4:$AG$200,0,MATCH(Y$2,Inputs!$D$2:$AG$2,0)),Inputs!$B$4:$B$200,$B56)/1000)</f>
        <v>1786.374</v>
      </c>
      <c r="Z56" s="11">
        <f>IF(SUMPRODUCT((Inputs!$B$4:$B$200=$B56)*ISNUMBER(INDEX(Inputs!$D$4:$AG$200,0,MATCH(Z$2,Inputs!$D$2:$AG$2,0))))=0,"",SUMIFS(INDEX(Inputs!$D$4:$AG$200,0,MATCH(Z$2,Inputs!$D$2:$AG$2,0)),Inputs!$B$4:$B$200,$B56)/1000)</f>
        <v>1755.031</v>
      </c>
      <c r="AA56" s="11">
        <f>IF(SUMPRODUCT((Inputs!$B$4:$B$200=$B56)*ISNUMBER(INDEX(Inputs!$D$4:$AG$200,0,MATCH(AA$2,Inputs!$D$2:$AG$2,0))))=0,"",SUMIFS(INDEX(Inputs!$D$4:$AG$200,0,MATCH(AA$2,Inputs!$D$2:$AG$2,0)),Inputs!$B$4:$B$200,$B56)/1000)</f>
        <v>1562.58106565</v>
      </c>
      <c r="AB56" s="12">
        <f>IF(COUNT(X56:AA56)=4,SUM(X56:AA56),"")</f>
        <v>6793.31206565</v>
      </c>
      <c r="AC56" s="11">
        <f>IF(SUMPRODUCT((Inputs!$B$4:$B$200=$B56)*ISNUMBER(INDEX(Inputs!$D$4:$AG$200,0,MATCH(AC$2,Inputs!$D$2:$AG$2,0))))=0,"",SUMIFS(INDEX(Inputs!$D$4:$AG$200,0,MATCH(AC$2,Inputs!$D$2:$AG$2,0)),Inputs!$B$4:$B$200,$B56)/1000)</f>
        <v>1575.028461401</v>
      </c>
      <c r="AD56" s="11">
        <f>IF(SUMPRODUCT((Inputs!$B$4:$B$200=$B56)*ISNUMBER(INDEX(Inputs!$D$4:$AG$200,0,MATCH(AD$2,Inputs!$D$2:$AG$2,0))))=0,"",SUMIFS(INDEX(Inputs!$D$4:$AG$200,0,MATCH(AD$2,Inputs!$D$2:$AG$2,0)),Inputs!$B$4:$B$200,$B56)/1000)</f>
        <v>1470.495570408</v>
      </c>
      <c r="AE56" s="11" t="str">
        <f>IF(SUMPRODUCT((Inputs!$B$4:$B$200=$B56)*ISNUMBER(INDEX(Inputs!$D$4:$AG$200,0,MATCH(AE$2,Inputs!$D$2:$AG$2,0))))=0,"",SUMIFS(INDEX(Inputs!$D$4:$AG$200,0,MATCH(AE$2,Inputs!$D$2:$AG$2,0)),Inputs!$B$4:$B$200,$B56)/1000)</f>
        <v/>
      </c>
      <c r="AF56" s="11" t="str">
        <f>IF(SUMPRODUCT((Inputs!$B$4:$B$200=$B56)*ISNUMBER(INDEX(Inputs!$D$4:$AG$200,0,MATCH(AF$2,Inputs!$D$2:$AG$2,0))))=0,"",SUMIFS(INDEX(Inputs!$D$4:$AG$200,0,MATCH(AF$2,Inputs!$D$2:$AG$2,0)),Inputs!$B$4:$B$200,$B56)/1000)</f>
        <v/>
      </c>
      <c r="AG56" s="12" t="str">
        <f>IF(COUNT(AC56:AF56)=4,SUM(AC56:AF56),"")</f>
        <v/>
      </c>
    </row>
    <row r="57">
      <c r="B57" s="9" t="n">
        <v>49</v>
      </c>
      <c r="C57" s="10" t="inlineStr">
        <is>
          <t>EBITDA RAC consolidado (DRE l.61)</t>
        </is>
      </c>
      <c r="D57" s="11">
        <f>IF(SUMPRODUCT((Inputs!$B$4:$B$200=$B57)*ISNUMBER(INDEX(Inputs!$D$4:$AG$200,0,MATCH(D$2,Inputs!$D$2:$AG$2,0))))=0,"",SUMIFS(INDEX(Inputs!$D$4:$AG$200,0,MATCH(D$2,Inputs!$D$2:$AG$2,0)),Inputs!$B$4:$B$200,$B57)/1000)</f>
        <v>168.74</v>
      </c>
      <c r="E57" s="11">
        <f>IF(SUMPRODUCT((Inputs!$B$4:$B$200=$B57)*ISNUMBER(INDEX(Inputs!$D$4:$AG$200,0,MATCH(E$2,Inputs!$D$2:$AG$2,0))))=0,"",SUMIFS(INDEX(Inputs!$D$4:$AG$200,0,MATCH(E$2,Inputs!$D$2:$AG$2,0)),Inputs!$B$4:$B$200,$B57)/1000)</f>
        <v>140.676</v>
      </c>
      <c r="F57" s="11">
        <f>IF(SUMPRODUCT((Inputs!$B$4:$B$200=$B57)*ISNUMBER(INDEX(Inputs!$D$4:$AG$200,0,MATCH(F$2,Inputs!$D$2:$AG$2,0))))=0,"",SUMIFS(INDEX(Inputs!$D$4:$AG$200,0,MATCH(F$2,Inputs!$D$2:$AG$2,0)),Inputs!$B$4:$B$200,$B57)/1000)</f>
        <v>233.091</v>
      </c>
      <c r="G57" s="11">
        <f>IF(SUMPRODUCT((Inputs!$B$4:$B$200=$B57)*ISNUMBER(INDEX(Inputs!$D$4:$AG$200,0,MATCH(G$2,Inputs!$D$2:$AG$2,0))))=0,"",SUMIFS(INDEX(Inputs!$D$4:$AG$200,0,MATCH(G$2,Inputs!$D$2:$AG$2,0)),Inputs!$B$4:$B$200,$B57)/1000)</f>
        <v>333.123</v>
      </c>
      <c r="H57" s="12">
        <f>IF(COUNT(D57:G57)=4,SUM(D57:G57),"")</f>
        <v>875.63</v>
      </c>
      <c r="I57" s="11">
        <f>IF(SUMPRODUCT((Inputs!$B$4:$B$200=$B57)*ISNUMBER(INDEX(Inputs!$D$4:$AG$200,0,MATCH(I$2,Inputs!$D$2:$AG$2,0))))=0,"",SUMIFS(INDEX(Inputs!$D$4:$AG$200,0,MATCH(I$2,Inputs!$D$2:$AG$2,0)),Inputs!$B$4:$B$200,$B57)/1000)</f>
        <v>373.325</v>
      </c>
      <c r="J57" s="11">
        <f>IF(SUMPRODUCT((Inputs!$B$4:$B$200=$B57)*ISNUMBER(INDEX(Inputs!$D$4:$AG$200,0,MATCH(J$2,Inputs!$D$2:$AG$2,0))))=0,"",SUMIFS(INDEX(Inputs!$D$4:$AG$200,0,MATCH(J$2,Inputs!$D$2:$AG$2,0)),Inputs!$B$4:$B$200,$B57)/1000)</f>
        <v>384.781</v>
      </c>
      <c r="K57" s="11">
        <f>IF(SUMPRODUCT((Inputs!$B$4:$B$200=$B57)*ISNUMBER(INDEX(Inputs!$D$4:$AG$200,0,MATCH(K$2,Inputs!$D$2:$AG$2,0))))=0,"",SUMIFS(INDEX(Inputs!$D$4:$AG$200,0,MATCH(K$2,Inputs!$D$2:$AG$2,0)),Inputs!$B$4:$B$200,$B57)/1000)</f>
        <v>457.844</v>
      </c>
      <c r="L57" s="11">
        <f>IF(SUMPRODUCT((Inputs!$B$4:$B$200=$B57)*ISNUMBER(INDEX(Inputs!$D$4:$AG$200,0,MATCH(L$2,Inputs!$D$2:$AG$2,0))))=0,"",SUMIFS(INDEX(Inputs!$D$4:$AG$200,0,MATCH(L$2,Inputs!$D$2:$AG$2,0)),Inputs!$B$4:$B$200,$B57)/1000)</f>
        <v>416.559</v>
      </c>
      <c r="M57" s="12">
        <f>IF(COUNT(I57:L57)=4,SUM(I57:L57),"")</f>
        <v>1632.509</v>
      </c>
      <c r="N57" s="11">
        <f>IF(SUMPRODUCT((Inputs!$B$4:$B$200=$B57)*ISNUMBER(INDEX(Inputs!$D$4:$AG$200,0,MATCH(N$2,Inputs!$D$2:$AG$2,0))))=0,"",SUMIFS(INDEX(Inputs!$D$4:$AG$200,0,MATCH(N$2,Inputs!$D$2:$AG$2,0)),Inputs!$B$4:$B$200,$B57)/1000)</f>
        <v>427.387</v>
      </c>
      <c r="O57" s="11">
        <f>IF(SUMPRODUCT((Inputs!$B$4:$B$200=$B57)*ISNUMBER(INDEX(Inputs!$D$4:$AG$200,0,MATCH(O$2,Inputs!$D$2:$AG$2,0))))=0,"",SUMIFS(INDEX(Inputs!$D$4:$AG$200,0,MATCH(O$2,Inputs!$D$2:$AG$2,0)),Inputs!$B$4:$B$200,$B57)/1000)</f>
        <v>381.802</v>
      </c>
      <c r="P57" s="11">
        <f>IF(SUMPRODUCT((Inputs!$B$4:$B$200=$B57)*ISNUMBER(INDEX(Inputs!$D$4:$AG$200,0,MATCH(P$2,Inputs!$D$2:$AG$2,0))))=0,"",SUMIFS(INDEX(Inputs!$D$4:$AG$200,0,MATCH(P$2,Inputs!$D$2:$AG$2,0)),Inputs!$B$4:$B$200,$B57)/1000)</f>
        <v>395.515</v>
      </c>
      <c r="Q57" s="11">
        <f>IF(SUMPRODUCT((Inputs!$B$4:$B$200=$B57)*ISNUMBER(INDEX(Inputs!$D$4:$AG$200,0,MATCH(Q$2,Inputs!$D$2:$AG$2,0))))=0,"",SUMIFS(INDEX(Inputs!$D$4:$AG$200,0,MATCH(Q$2,Inputs!$D$2:$AG$2,0)),Inputs!$B$4:$B$200,$B57)/1000)</f>
        <v>367.098</v>
      </c>
      <c r="R57" s="12">
        <f>IF(COUNT(N57:Q57)=4,SUM(N57:Q57),"")</f>
        <v>1571.802</v>
      </c>
      <c r="S57" s="11">
        <f>IF(SUMPRODUCT((Inputs!$B$4:$B$200=$B57)*ISNUMBER(INDEX(Inputs!$D$4:$AG$200,0,MATCH(S$2,Inputs!$D$2:$AG$2,0))))=0,"",SUMIFS(INDEX(Inputs!$D$4:$AG$200,0,MATCH(S$2,Inputs!$D$2:$AG$2,0)),Inputs!$B$4:$B$200,$B57)/1000)</f>
        <v>485.485</v>
      </c>
      <c r="T57" s="11">
        <f>IF(SUMPRODUCT((Inputs!$B$4:$B$200=$B57)*ISNUMBER(INDEX(Inputs!$D$4:$AG$200,0,MATCH(T$2,Inputs!$D$2:$AG$2,0))))=0,"",SUMIFS(INDEX(Inputs!$D$4:$AG$200,0,MATCH(T$2,Inputs!$D$2:$AG$2,0)),Inputs!$B$4:$B$200,$B57)/1000)</f>
        <v>504.709</v>
      </c>
      <c r="U57" s="11">
        <f>IF(SUMPRODUCT((Inputs!$B$4:$B$200=$B57)*ISNUMBER(INDEX(Inputs!$D$4:$AG$200,0,MATCH(U$2,Inputs!$D$2:$AG$2,0))))=0,"",SUMIFS(INDEX(Inputs!$D$4:$AG$200,0,MATCH(U$2,Inputs!$D$2:$AG$2,0)),Inputs!$B$4:$B$200,$B57)/1000)</f>
        <v>550.01</v>
      </c>
      <c r="V57" s="11">
        <f>IF(SUMPRODUCT((Inputs!$B$4:$B$200=$B57)*ISNUMBER(INDEX(Inputs!$D$4:$AG$200,0,MATCH(V$2,Inputs!$D$2:$AG$2,0))))=0,"",SUMIFS(INDEX(Inputs!$D$4:$AG$200,0,MATCH(V$2,Inputs!$D$2:$AG$2,0)),Inputs!$B$4:$B$200,$B57)/1000)</f>
        <v>543.336</v>
      </c>
      <c r="W57" s="12">
        <f>IF(COUNT(S57:V57)=4,SUM(S57:V57),"")</f>
        <v>2083.54</v>
      </c>
      <c r="X57" s="11">
        <f>IF(SUMPRODUCT((Inputs!$B$4:$B$200=$B57)*ISNUMBER(INDEX(Inputs!$D$4:$AG$200,0,MATCH(X$2,Inputs!$D$2:$AG$2,0))))=0,"",SUMIFS(INDEX(Inputs!$D$4:$AG$200,0,MATCH(X$2,Inputs!$D$2:$AG$2,0)),Inputs!$B$4:$B$200,$B57)/1000)</f>
        <v>563.843</v>
      </c>
      <c r="Y57" s="11">
        <f>IF(SUMPRODUCT((Inputs!$B$4:$B$200=$B57)*ISNUMBER(INDEX(Inputs!$D$4:$AG$200,0,MATCH(Y$2,Inputs!$D$2:$AG$2,0))))=0,"",SUMIFS(INDEX(Inputs!$D$4:$AG$200,0,MATCH(Y$2,Inputs!$D$2:$AG$2,0)),Inputs!$B$4:$B$200,$B57)/1000)</f>
        <v>602.06</v>
      </c>
      <c r="Z57" s="11">
        <f>IF(SUMPRODUCT((Inputs!$B$4:$B$200=$B57)*ISNUMBER(INDEX(Inputs!$D$4:$AG$200,0,MATCH(Z$2,Inputs!$D$2:$AG$2,0))))=0,"",SUMIFS(INDEX(Inputs!$D$4:$AG$200,0,MATCH(Z$2,Inputs!$D$2:$AG$2,0)),Inputs!$B$4:$B$200,$B57)/1000)</f>
        <v>669.054</v>
      </c>
      <c r="AA57" s="11">
        <f>IF(SUMPRODUCT((Inputs!$B$4:$B$200=$B57)*ISNUMBER(INDEX(Inputs!$D$4:$AG$200,0,MATCH(AA$2,Inputs!$D$2:$AG$2,0))))=0,"",SUMIFS(INDEX(Inputs!$D$4:$AG$200,0,MATCH(AA$2,Inputs!$D$2:$AG$2,0)),Inputs!$B$4:$B$200,$B57)/1000)</f>
        <v>663.047153385</v>
      </c>
      <c r="AB57" s="12">
        <f>IF(COUNT(X57:AA57)=4,SUM(X57:AA57),"")</f>
        <v>2498.004153385</v>
      </c>
      <c r="AC57" s="11">
        <f>IF(SUMPRODUCT((Inputs!$B$4:$B$200=$B57)*ISNUMBER(INDEX(Inputs!$D$4:$AG$200,0,MATCH(AC$2,Inputs!$D$2:$AG$2,0))))=0,"",SUMIFS(INDEX(Inputs!$D$4:$AG$200,0,MATCH(AC$2,Inputs!$D$2:$AG$2,0)),Inputs!$B$4:$B$200,$B57)/1000)</f>
        <v>717.757548914</v>
      </c>
      <c r="AD57" s="11">
        <f>IF(SUMPRODUCT((Inputs!$B$4:$B$200=$B57)*ISNUMBER(INDEX(Inputs!$D$4:$AG$200,0,MATCH(AD$2,Inputs!$D$2:$AG$2,0))))=0,"",SUMIFS(INDEX(Inputs!$D$4:$AG$200,0,MATCH(AD$2,Inputs!$D$2:$AG$2,0)),Inputs!$B$4:$B$200,$B57)/1000)</f>
        <v>775.951369392</v>
      </c>
      <c r="AE57" s="11" t="str">
        <f>IF(SUMPRODUCT((Inputs!$B$4:$B$200=$B57)*ISNUMBER(INDEX(Inputs!$D$4:$AG$200,0,MATCH(AE$2,Inputs!$D$2:$AG$2,0))))=0,"",SUMIFS(INDEX(Inputs!$D$4:$AG$200,0,MATCH(AE$2,Inputs!$D$2:$AG$2,0)),Inputs!$B$4:$B$200,$B57)/1000)</f>
        <v/>
      </c>
      <c r="AF57" s="11" t="str">
        <f>IF(SUMPRODUCT((Inputs!$B$4:$B$200=$B57)*ISNUMBER(INDEX(Inputs!$D$4:$AG$200,0,MATCH(AF$2,Inputs!$D$2:$AG$2,0))))=0,"",SUMIFS(INDEX(Inputs!$D$4:$AG$200,0,MATCH(AF$2,Inputs!$D$2:$AG$2,0)),Inputs!$B$4:$B$200,$B57)/1000)</f>
        <v/>
      </c>
      <c r="AG57" s="12" t="str">
        <f>IF(COUNT(AC57:AF57)=4,SUM(AC57:AF57),"")</f>
        <v/>
      </c>
    </row>
    <row r="58">
      <c r="B58" s="9" t="n">
        <v>50</v>
      </c>
      <c r="C58" s="10" t="inlineStr">
        <is>
          <t>EBITDA GTF (DRE l.80)</t>
        </is>
      </c>
      <c r="D58" s="11">
        <f>IF(SUMPRODUCT((Inputs!$B$4:$B$200=$B58)*ISNUMBER(INDEX(Inputs!$D$4:$AG$200,0,MATCH(D$2,Inputs!$D$2:$AG$2,0))))=0,"",SUMIFS(INDEX(Inputs!$D$4:$AG$200,0,MATCH(D$2,Inputs!$D$2:$AG$2,0)),Inputs!$B$4:$B$200,$B58)/1000)</f>
        <v>99.481</v>
      </c>
      <c r="E58" s="11">
        <f>IF(SUMPRODUCT((Inputs!$B$4:$B$200=$B58)*ISNUMBER(INDEX(Inputs!$D$4:$AG$200,0,MATCH(E$2,Inputs!$D$2:$AG$2,0))))=0,"",SUMIFS(INDEX(Inputs!$D$4:$AG$200,0,MATCH(E$2,Inputs!$D$2:$AG$2,0)),Inputs!$B$4:$B$200,$B58)/1000)</f>
        <v>127.681</v>
      </c>
      <c r="F58" s="11">
        <f>IF(SUMPRODUCT((Inputs!$B$4:$B$200=$B58)*ISNUMBER(INDEX(Inputs!$D$4:$AG$200,0,MATCH(F$2,Inputs!$D$2:$AG$2,0))))=0,"",SUMIFS(INDEX(Inputs!$D$4:$AG$200,0,MATCH(F$2,Inputs!$D$2:$AG$2,0)),Inputs!$B$4:$B$200,$B58)/1000)</f>
        <v>193.117</v>
      </c>
      <c r="G58" s="11">
        <f>IF(SUMPRODUCT((Inputs!$B$4:$B$200=$B58)*ISNUMBER(INDEX(Inputs!$D$4:$AG$200,0,MATCH(G$2,Inputs!$D$2:$AG$2,0))))=0,"",SUMIFS(INDEX(Inputs!$D$4:$AG$200,0,MATCH(G$2,Inputs!$D$2:$AG$2,0)),Inputs!$B$4:$B$200,$B58)/1000)</f>
        <v>261.929</v>
      </c>
      <c r="H58" s="12">
        <f>IF(COUNT(D58:G58)=4,SUM(D58:G58),"")</f>
        <v>682.208</v>
      </c>
      <c r="I58" s="11">
        <f>IF(SUMPRODUCT((Inputs!$B$4:$B$200=$B58)*ISNUMBER(INDEX(Inputs!$D$4:$AG$200,0,MATCH(I$2,Inputs!$D$2:$AG$2,0))))=0,"",SUMIFS(INDEX(Inputs!$D$4:$AG$200,0,MATCH(I$2,Inputs!$D$2:$AG$2,0)),Inputs!$B$4:$B$200,$B58)/1000)</f>
        <v>285.299</v>
      </c>
      <c r="J58" s="11">
        <f>IF(SUMPRODUCT((Inputs!$B$4:$B$200=$B58)*ISNUMBER(INDEX(Inputs!$D$4:$AG$200,0,MATCH(J$2,Inputs!$D$2:$AG$2,0))))=0,"",SUMIFS(INDEX(Inputs!$D$4:$AG$200,0,MATCH(J$2,Inputs!$D$2:$AG$2,0)),Inputs!$B$4:$B$200,$B58)/1000)</f>
        <v>315.241</v>
      </c>
      <c r="K58" s="11">
        <f>IF(SUMPRODUCT((Inputs!$B$4:$B$200=$B58)*ISNUMBER(INDEX(Inputs!$D$4:$AG$200,0,MATCH(K$2,Inputs!$D$2:$AG$2,0))))=0,"",SUMIFS(INDEX(Inputs!$D$4:$AG$200,0,MATCH(K$2,Inputs!$D$2:$AG$2,0)),Inputs!$B$4:$B$200,$B58)/1000)</f>
        <v>331.303</v>
      </c>
      <c r="L58" s="11">
        <f>IF(SUMPRODUCT((Inputs!$B$4:$B$200=$B58)*ISNUMBER(INDEX(Inputs!$D$4:$AG$200,0,MATCH(L$2,Inputs!$D$2:$AG$2,0))))=0,"",SUMIFS(INDEX(Inputs!$D$4:$AG$200,0,MATCH(L$2,Inputs!$D$2:$AG$2,0)),Inputs!$B$4:$B$200,$B58)/1000)</f>
        <v>336.091</v>
      </c>
      <c r="M58" s="12">
        <f>IF(COUNT(I58:L58)=4,SUM(I58:L58),"")</f>
        <v>1267.934</v>
      </c>
      <c r="N58" s="11">
        <f>IF(SUMPRODUCT((Inputs!$B$4:$B$200=$B58)*ISNUMBER(INDEX(Inputs!$D$4:$AG$200,0,MATCH(N$2,Inputs!$D$2:$AG$2,0))))=0,"",SUMIFS(INDEX(Inputs!$D$4:$AG$200,0,MATCH(N$2,Inputs!$D$2:$AG$2,0)),Inputs!$B$4:$B$200,$B58)/1000)</f>
        <v>361.568</v>
      </c>
      <c r="O58" s="11">
        <f>IF(SUMPRODUCT((Inputs!$B$4:$B$200=$B58)*ISNUMBER(INDEX(Inputs!$D$4:$AG$200,0,MATCH(O$2,Inputs!$D$2:$AG$2,0))))=0,"",SUMIFS(INDEX(Inputs!$D$4:$AG$200,0,MATCH(O$2,Inputs!$D$2:$AG$2,0)),Inputs!$B$4:$B$200,$B58)/1000)</f>
        <v>411.732</v>
      </c>
      <c r="P58" s="11">
        <f>IF(SUMPRODUCT((Inputs!$B$4:$B$200=$B58)*ISNUMBER(INDEX(Inputs!$D$4:$AG$200,0,MATCH(P$2,Inputs!$D$2:$AG$2,0))))=0,"",SUMIFS(INDEX(Inputs!$D$4:$AG$200,0,MATCH(P$2,Inputs!$D$2:$AG$2,0)),Inputs!$B$4:$B$200,$B58)/1000)</f>
        <v>430.96</v>
      </c>
      <c r="Q58" s="11">
        <f>IF(SUMPRODUCT((Inputs!$B$4:$B$200=$B58)*ISNUMBER(INDEX(Inputs!$D$4:$AG$200,0,MATCH(Q$2,Inputs!$D$2:$AG$2,0))))=0,"",SUMIFS(INDEX(Inputs!$D$4:$AG$200,0,MATCH(Q$2,Inputs!$D$2:$AG$2,0)),Inputs!$B$4:$B$200,$B58)/1000)</f>
        <v>462.355</v>
      </c>
      <c r="R58" s="12">
        <f>IF(COUNT(N58:Q58)=4,SUM(N58:Q58),"")</f>
        <v>1666.615</v>
      </c>
      <c r="S58" s="11">
        <f>IF(SUMPRODUCT((Inputs!$B$4:$B$200=$B58)*ISNUMBER(INDEX(Inputs!$D$4:$AG$200,0,MATCH(S$2,Inputs!$D$2:$AG$2,0))))=0,"",SUMIFS(INDEX(Inputs!$D$4:$AG$200,0,MATCH(S$2,Inputs!$D$2:$AG$2,0)),Inputs!$B$4:$B$200,$B58)/1000)</f>
        <v>535.294</v>
      </c>
      <c r="T58" s="11">
        <f>IF(SUMPRODUCT((Inputs!$B$4:$B$200=$B58)*ISNUMBER(INDEX(Inputs!$D$4:$AG$200,0,MATCH(T$2,Inputs!$D$2:$AG$2,0))))=0,"",SUMIFS(INDEX(Inputs!$D$4:$AG$200,0,MATCH(T$2,Inputs!$D$2:$AG$2,0)),Inputs!$B$4:$B$200,$B58)/1000)</f>
        <v>619.952</v>
      </c>
      <c r="U58" s="11">
        <f>IF(SUMPRODUCT((Inputs!$B$4:$B$200=$B58)*ISNUMBER(INDEX(Inputs!$D$4:$AG$200,0,MATCH(U$2,Inputs!$D$2:$AG$2,0))))=0,"",SUMIFS(INDEX(Inputs!$D$4:$AG$200,0,MATCH(U$2,Inputs!$D$2:$AG$2,0)),Inputs!$B$4:$B$200,$B58)/1000)</f>
        <v>675.759</v>
      </c>
      <c r="V58" s="11">
        <f>IF(SUMPRODUCT((Inputs!$B$4:$B$200=$B58)*ISNUMBER(INDEX(Inputs!$D$4:$AG$200,0,MATCH(V$2,Inputs!$D$2:$AG$2,0))))=0,"",SUMIFS(INDEX(Inputs!$D$4:$AG$200,0,MATCH(V$2,Inputs!$D$2:$AG$2,0)),Inputs!$B$4:$B$200,$B58)/1000)</f>
        <v>683.937</v>
      </c>
      <c r="W58" s="12">
        <f>IF(COUNT(S58:V58)=4,SUM(S58:V58),"")</f>
        <v>2514.942</v>
      </c>
      <c r="X58" s="11">
        <f>IF(SUMPRODUCT((Inputs!$B$4:$B$200=$B58)*ISNUMBER(INDEX(Inputs!$D$4:$AG$200,0,MATCH(X$2,Inputs!$D$2:$AG$2,0))))=0,"",SUMIFS(INDEX(Inputs!$D$4:$AG$200,0,MATCH(X$2,Inputs!$D$2:$AG$2,0)),Inputs!$B$4:$B$200,$B58)/1000)</f>
        <v>756.317</v>
      </c>
      <c r="Y58" s="11">
        <f>IF(SUMPRODUCT((Inputs!$B$4:$B$200=$B58)*ISNUMBER(INDEX(Inputs!$D$4:$AG$200,0,MATCH(Y$2,Inputs!$D$2:$AG$2,0))))=0,"",SUMIFS(INDEX(Inputs!$D$4:$AG$200,0,MATCH(Y$2,Inputs!$D$2:$AG$2,0)),Inputs!$B$4:$B$200,$B58)/1000)</f>
        <v>757.422</v>
      </c>
      <c r="Z58" s="11">
        <f>IF(SUMPRODUCT((Inputs!$B$4:$B$200=$B58)*ISNUMBER(INDEX(Inputs!$D$4:$AG$200,0,MATCH(Z$2,Inputs!$D$2:$AG$2,0))))=0,"",SUMIFS(INDEX(Inputs!$D$4:$AG$200,0,MATCH(Z$2,Inputs!$D$2:$AG$2,0)),Inputs!$B$4:$B$200,$B58)/1000)</f>
        <v>791.002</v>
      </c>
      <c r="AA58" s="11">
        <f>IF(SUMPRODUCT((Inputs!$B$4:$B$200=$B58)*ISNUMBER(INDEX(Inputs!$D$4:$AG$200,0,MATCH(AA$2,Inputs!$D$2:$AG$2,0))))=0,"",SUMIFS(INDEX(Inputs!$D$4:$AG$200,0,MATCH(AA$2,Inputs!$D$2:$AG$2,0)),Inputs!$B$4:$B$200,$B58)/1000)</f>
        <v>811.769076146</v>
      </c>
      <c r="AB58" s="12">
        <f>IF(COUNT(X58:AA58)=4,SUM(X58:AA58),"")</f>
        <v>3116.510076146</v>
      </c>
      <c r="AC58" s="11">
        <f>IF(SUMPRODUCT((Inputs!$B$4:$B$200=$B58)*ISNUMBER(INDEX(Inputs!$D$4:$AG$200,0,MATCH(AC$2,Inputs!$D$2:$AG$2,0))))=0,"",SUMIFS(INDEX(Inputs!$D$4:$AG$200,0,MATCH(AC$2,Inputs!$D$2:$AG$2,0)),Inputs!$B$4:$B$200,$B58)/1000)</f>
        <v>833.529633609</v>
      </c>
      <c r="AD58" s="11">
        <f>IF(SUMPRODUCT((Inputs!$B$4:$B$200=$B58)*ISNUMBER(INDEX(Inputs!$D$4:$AG$200,0,MATCH(AD$2,Inputs!$D$2:$AG$2,0))))=0,"",SUMIFS(INDEX(Inputs!$D$4:$AG$200,0,MATCH(AD$2,Inputs!$D$2:$AG$2,0)),Inputs!$B$4:$B$200,$B58)/1000)</f>
        <v>895.096737466</v>
      </c>
      <c r="AE58" s="11" t="str">
        <f>IF(SUMPRODUCT((Inputs!$B$4:$B$200=$B58)*ISNUMBER(INDEX(Inputs!$D$4:$AG$200,0,MATCH(AE$2,Inputs!$D$2:$AG$2,0))))=0,"",SUMIFS(INDEX(Inputs!$D$4:$AG$200,0,MATCH(AE$2,Inputs!$D$2:$AG$2,0)),Inputs!$B$4:$B$200,$B58)/1000)</f>
        <v/>
      </c>
      <c r="AF58" s="11" t="str">
        <f>IF(SUMPRODUCT((Inputs!$B$4:$B$200=$B58)*ISNUMBER(INDEX(Inputs!$D$4:$AG$200,0,MATCH(AF$2,Inputs!$D$2:$AG$2,0))))=0,"",SUMIFS(INDEX(Inputs!$D$4:$AG$200,0,MATCH(AF$2,Inputs!$D$2:$AG$2,0)),Inputs!$B$4:$B$200,$B58)/1000)</f>
        <v/>
      </c>
      <c r="AG58" s="12" t="str">
        <f>IF(COUNT(AC58:AF58)=4,SUM(AC58:AF58),"")</f>
        <v/>
      </c>
    </row>
    <row r="59">
      <c r="B59" s="9" t="n">
        <v>51</v>
      </c>
      <c r="C59" s="10" t="inlineStr">
        <is>
          <t>EBITDA Seminovos (DRE l.96)</t>
        </is>
      </c>
      <c r="D59" s="11">
        <f>IF(SUMPRODUCT((Inputs!$B$4:$B$200=$B59)*ISNUMBER(INDEX(Inputs!$D$4:$AG$200,0,MATCH(D$2,Inputs!$D$2:$AG$2,0))))=0,"",SUMIFS(INDEX(Inputs!$D$4:$AG$200,0,MATCH(D$2,Inputs!$D$2:$AG$2,0)),Inputs!$B$4:$B$200,$B59)/1000)</f>
        <v>36.282</v>
      </c>
      <c r="E59" s="11">
        <f>IF(SUMPRODUCT((Inputs!$B$4:$B$200=$B59)*ISNUMBER(INDEX(Inputs!$D$4:$AG$200,0,MATCH(E$2,Inputs!$D$2:$AG$2,0))))=0,"",SUMIFS(INDEX(Inputs!$D$4:$AG$200,0,MATCH(E$2,Inputs!$D$2:$AG$2,0)),Inputs!$B$4:$B$200,$B59)/1000)</f>
        <v>120.108</v>
      </c>
      <c r="F59" s="11">
        <f>IF(SUMPRODUCT((Inputs!$B$4:$B$200=$B59)*ISNUMBER(INDEX(Inputs!$D$4:$AG$200,0,MATCH(F$2,Inputs!$D$2:$AG$2,0))))=0,"",SUMIFS(INDEX(Inputs!$D$4:$AG$200,0,MATCH(F$2,Inputs!$D$2:$AG$2,0)),Inputs!$B$4:$B$200,$B59)/1000)</f>
        <v>187.2</v>
      </c>
      <c r="G59" s="11">
        <f>IF(SUMPRODUCT((Inputs!$B$4:$B$200=$B59)*ISNUMBER(INDEX(Inputs!$D$4:$AG$200,0,MATCH(G$2,Inputs!$D$2:$AG$2,0))))=0,"",SUMIFS(INDEX(Inputs!$D$4:$AG$200,0,MATCH(G$2,Inputs!$D$2:$AG$2,0)),Inputs!$B$4:$B$200,$B59)/1000)</f>
        <v>181.561</v>
      </c>
      <c r="H59" s="12">
        <f>IF(COUNT(D59:G59)=4,SUM(D59:G59),"")</f>
        <v>525.151</v>
      </c>
      <c r="I59" s="11">
        <f>IF(SUMPRODUCT((Inputs!$B$4:$B$200=$B59)*ISNUMBER(INDEX(Inputs!$D$4:$AG$200,0,MATCH(I$2,Inputs!$D$2:$AG$2,0))))=0,"",SUMIFS(INDEX(Inputs!$D$4:$AG$200,0,MATCH(I$2,Inputs!$D$2:$AG$2,0)),Inputs!$B$4:$B$200,$B59)/1000)</f>
        <v>204.472</v>
      </c>
      <c r="J59" s="11">
        <f>IF(SUMPRODUCT((Inputs!$B$4:$B$200=$B59)*ISNUMBER(INDEX(Inputs!$D$4:$AG$200,0,MATCH(J$2,Inputs!$D$2:$AG$2,0))))=0,"",SUMIFS(INDEX(Inputs!$D$4:$AG$200,0,MATCH(J$2,Inputs!$D$2:$AG$2,0)),Inputs!$B$4:$B$200,$B59)/1000)</f>
        <v>205.234</v>
      </c>
      <c r="K59" s="11">
        <f>IF(SUMPRODUCT((Inputs!$B$4:$B$200=$B59)*ISNUMBER(INDEX(Inputs!$D$4:$AG$200,0,MATCH(K$2,Inputs!$D$2:$AG$2,0))))=0,"",SUMIFS(INDEX(Inputs!$D$4:$AG$200,0,MATCH(K$2,Inputs!$D$2:$AG$2,0)),Inputs!$B$4:$B$200,$B59)/1000)</f>
        <v>136.19</v>
      </c>
      <c r="L59" s="11">
        <f>IF(SUMPRODUCT((Inputs!$B$4:$B$200=$B59)*ISNUMBER(INDEX(Inputs!$D$4:$AG$200,0,MATCH(L$2,Inputs!$D$2:$AG$2,0))))=0,"",SUMIFS(INDEX(Inputs!$D$4:$AG$200,0,MATCH(L$2,Inputs!$D$2:$AG$2,0)),Inputs!$B$4:$B$200,$B59)/1000)</f>
        <v>105.593</v>
      </c>
      <c r="M59" s="12">
        <f>IF(COUNT(I59:L59)=4,SUM(I59:L59),"")</f>
        <v>651.489</v>
      </c>
      <c r="N59" s="11">
        <f>IF(SUMPRODUCT((Inputs!$B$4:$B$200=$B59)*ISNUMBER(INDEX(Inputs!$D$4:$AG$200,0,MATCH(N$2,Inputs!$D$2:$AG$2,0))))=0,"",SUMIFS(INDEX(Inputs!$D$4:$AG$200,0,MATCH(N$2,Inputs!$D$2:$AG$2,0)),Inputs!$B$4:$B$200,$B59)/1000)</f>
        <v>86.387</v>
      </c>
      <c r="O59" s="11">
        <f>IF(SUMPRODUCT((Inputs!$B$4:$B$200=$B59)*ISNUMBER(INDEX(Inputs!$D$4:$AG$200,0,MATCH(O$2,Inputs!$D$2:$AG$2,0))))=0,"",SUMIFS(INDEX(Inputs!$D$4:$AG$200,0,MATCH(O$2,Inputs!$D$2:$AG$2,0)),Inputs!$B$4:$B$200,$B59)/1000)</f>
        <v>96.458</v>
      </c>
      <c r="P59" s="11">
        <f>IF(SUMPRODUCT((Inputs!$B$4:$B$200=$B59)*ISNUMBER(INDEX(Inputs!$D$4:$AG$200,0,MATCH(P$2,Inputs!$D$2:$AG$2,0))))=0,"",SUMIFS(INDEX(Inputs!$D$4:$AG$200,0,MATCH(P$2,Inputs!$D$2:$AG$2,0)),Inputs!$B$4:$B$200,$B59)/1000)</f>
        <v>41.451</v>
      </c>
      <c r="Q59" s="11">
        <f>IF(SUMPRODUCT((Inputs!$B$4:$B$200=$B59)*ISNUMBER(INDEX(Inputs!$D$4:$AG$200,0,MATCH(Q$2,Inputs!$D$2:$AG$2,0))))=0,"",SUMIFS(INDEX(Inputs!$D$4:$AG$200,0,MATCH(Q$2,Inputs!$D$2:$AG$2,0)),Inputs!$B$4:$B$200,$B59)/1000)</f>
        <v>36.566</v>
      </c>
      <c r="R59" s="12">
        <f>IF(COUNT(N59:Q59)=4,SUM(N59:Q59),"")</f>
        <v>260.862</v>
      </c>
      <c r="S59" s="11">
        <f>IF(SUMPRODUCT((Inputs!$B$4:$B$200=$B59)*ISNUMBER(INDEX(Inputs!$D$4:$AG$200,0,MATCH(S$2,Inputs!$D$2:$AG$2,0))))=0,"",SUMIFS(INDEX(Inputs!$D$4:$AG$200,0,MATCH(S$2,Inputs!$D$2:$AG$2,0)),Inputs!$B$4:$B$200,$B59)/1000)</f>
        <v>38.64</v>
      </c>
      <c r="T59" s="11">
        <f>IF(SUMPRODUCT((Inputs!$B$4:$B$200=$B59)*ISNUMBER(INDEX(Inputs!$D$4:$AG$200,0,MATCH(T$2,Inputs!$D$2:$AG$2,0))))=0,"",SUMIFS(INDEX(Inputs!$D$4:$AG$200,0,MATCH(T$2,Inputs!$D$2:$AG$2,0)),Inputs!$B$4:$B$200,$B59)/1000)</f>
        <v>24.699</v>
      </c>
      <c r="U59" s="11">
        <f>IF(SUMPRODUCT((Inputs!$B$4:$B$200=$B59)*ISNUMBER(INDEX(Inputs!$D$4:$AG$200,0,MATCH(U$2,Inputs!$D$2:$AG$2,0))))=0,"",SUMIFS(INDEX(Inputs!$D$4:$AG$200,0,MATCH(U$2,Inputs!$D$2:$AG$2,0)),Inputs!$B$4:$B$200,$B59)/1000)</f>
        <v>21.709</v>
      </c>
      <c r="V59" s="11">
        <f>IF(SUMPRODUCT((Inputs!$B$4:$B$200=$B59)*ISNUMBER(INDEX(Inputs!$D$4:$AG$200,0,MATCH(V$2,Inputs!$D$2:$AG$2,0))))=0,"",SUMIFS(INDEX(Inputs!$D$4:$AG$200,0,MATCH(V$2,Inputs!$D$2:$AG$2,0)),Inputs!$B$4:$B$200,$B59)/1000)</f>
        <v>17.006</v>
      </c>
      <c r="W59" s="12">
        <f>IF(COUNT(S59:V59)=4,SUM(S59:V59),"")</f>
        <v>102.054</v>
      </c>
      <c r="X59" s="11">
        <f>IF(SUMPRODUCT((Inputs!$B$4:$B$200=$B59)*ISNUMBER(INDEX(Inputs!$D$4:$AG$200,0,MATCH(X$2,Inputs!$D$2:$AG$2,0))))=0,"",SUMIFS(INDEX(Inputs!$D$4:$AG$200,0,MATCH(X$2,Inputs!$D$2:$AG$2,0)),Inputs!$B$4:$B$200,$B59)/1000)</f>
        <v>18.169</v>
      </c>
      <c r="Y59" s="11">
        <f>IF(SUMPRODUCT((Inputs!$B$4:$B$200=$B59)*ISNUMBER(INDEX(Inputs!$D$4:$AG$200,0,MATCH(Y$2,Inputs!$D$2:$AG$2,0))))=0,"",SUMIFS(INDEX(Inputs!$D$4:$AG$200,0,MATCH(Y$2,Inputs!$D$2:$AG$2,0)),Inputs!$B$4:$B$200,$B59)/1000)</f>
        <v>19.641</v>
      </c>
      <c r="Z59" s="11">
        <f>IF(SUMPRODUCT((Inputs!$B$4:$B$200=$B59)*ISNUMBER(INDEX(Inputs!$D$4:$AG$200,0,MATCH(Z$2,Inputs!$D$2:$AG$2,0))))=0,"",SUMIFS(INDEX(Inputs!$D$4:$AG$200,0,MATCH(Z$2,Inputs!$D$2:$AG$2,0)),Inputs!$B$4:$B$200,$B59)/1000)</f>
        <v>18.599</v>
      </c>
      <c r="AA59" s="11">
        <f>IF(SUMPRODUCT((Inputs!$B$4:$B$200=$B59)*ISNUMBER(INDEX(Inputs!$D$4:$AG$200,0,MATCH(AA$2,Inputs!$D$2:$AG$2,0))))=0,"",SUMIFS(INDEX(Inputs!$D$4:$AG$200,0,MATCH(AA$2,Inputs!$D$2:$AG$2,0)),Inputs!$B$4:$B$200,$B59)/1000)</f>
        <v>15.234030419</v>
      </c>
      <c r="AB59" s="12">
        <f>IF(COUNT(X59:AA59)=4,SUM(X59:AA59),"")</f>
        <v>71.643030419</v>
      </c>
      <c r="AC59" s="11">
        <f>IF(SUMPRODUCT((Inputs!$B$4:$B$200=$B59)*ISNUMBER(INDEX(Inputs!$D$4:$AG$200,0,MATCH(AC$2,Inputs!$D$2:$AG$2,0))))=0,"",SUMIFS(INDEX(Inputs!$D$4:$AG$200,0,MATCH(AC$2,Inputs!$D$2:$AG$2,0)),Inputs!$B$4:$B$200,$B59)/1000)</f>
        <v>17.377380877</v>
      </c>
      <c r="AD59" s="11">
        <f>IF(SUMPRODUCT((Inputs!$B$4:$B$200=$B59)*ISNUMBER(INDEX(Inputs!$D$4:$AG$200,0,MATCH(AD$2,Inputs!$D$2:$AG$2,0))))=0,"",SUMIFS(INDEX(Inputs!$D$4:$AG$200,0,MATCH(AD$2,Inputs!$D$2:$AG$2,0)),Inputs!$B$4:$B$200,$B59)/1000)</f>
        <v>15.695477142</v>
      </c>
      <c r="AE59" s="11" t="str">
        <f>IF(SUMPRODUCT((Inputs!$B$4:$B$200=$B59)*ISNUMBER(INDEX(Inputs!$D$4:$AG$200,0,MATCH(AE$2,Inputs!$D$2:$AG$2,0))))=0,"",SUMIFS(INDEX(Inputs!$D$4:$AG$200,0,MATCH(AE$2,Inputs!$D$2:$AG$2,0)),Inputs!$B$4:$B$200,$B59)/1000)</f>
        <v/>
      </c>
      <c r="AF59" s="11" t="str">
        <f>IF(SUMPRODUCT((Inputs!$B$4:$B$200=$B59)*ISNUMBER(INDEX(Inputs!$D$4:$AG$200,0,MATCH(AF$2,Inputs!$D$2:$AG$2,0))))=0,"",SUMIFS(INDEX(Inputs!$D$4:$AG$200,0,MATCH(AF$2,Inputs!$D$2:$AG$2,0)),Inputs!$B$4:$B$200,$B59)/1000)</f>
        <v/>
      </c>
      <c r="AG59" s="12" t="str">
        <f>IF(COUNT(AC59:AF59)=4,SUM(AC59:AF59),"")</f>
        <v/>
      </c>
    </row>
    <row r="60">
      <c r="B60" s="9" t="n">
        <v>52</v>
      </c>
      <c r="C60" s="10" t="inlineStr">
        <is>
          <t>RAC - frota no final do periodo (carros; Op Data l.7)</t>
        </is>
      </c>
      <c r="D60" s="11">
        <f>IF(SUMPRODUCT((Inputs!$B$4:$B$200=$B60)*ISNUMBER(INDEX(Inputs!$D$4:$AG$200,0,MATCH(D$2,Inputs!$D$2:$AG$2,0))))=0,"",SUMIFS(INDEX(Inputs!$D$4:$AG$200,0,MATCH(D$2,Inputs!$D$2:$AG$2,0)),Inputs!$B$4:$B$200,$B60)/1000)</f>
        <v>70213</v>
      </c>
      <c r="E60" s="11">
        <f>IF(SUMPRODUCT((Inputs!$B$4:$B$200=$B60)*ISNUMBER(INDEX(Inputs!$D$4:$AG$200,0,MATCH(E$2,Inputs!$D$2:$AG$2,0))))=0,"",SUMIFS(INDEX(Inputs!$D$4:$AG$200,0,MATCH(E$2,Inputs!$D$2:$AG$2,0)),Inputs!$B$4:$B$200,$B60)/1000)</f>
        <v>78453</v>
      </c>
      <c r="F60" s="11">
        <f>IF(SUMPRODUCT((Inputs!$B$4:$B$200=$B60)*ISNUMBER(INDEX(Inputs!$D$4:$AG$200,0,MATCH(F$2,Inputs!$D$2:$AG$2,0))))=0,"",SUMIFS(INDEX(Inputs!$D$4:$AG$200,0,MATCH(F$2,Inputs!$D$2:$AG$2,0)),Inputs!$B$4:$B$200,$B60)/1000)</f>
        <v>79888</v>
      </c>
      <c r="G60" s="11">
        <f>IF(SUMPRODUCT((Inputs!$B$4:$B$200=$B60)*ISNUMBER(INDEX(Inputs!$D$4:$AG$200,0,MATCH(G$2,Inputs!$D$2:$AG$2,0))))=0,"",SUMIFS(INDEX(Inputs!$D$4:$AG$200,0,MATCH(G$2,Inputs!$D$2:$AG$2,0)),Inputs!$B$4:$B$200,$B60)/1000)</f>
        <v>90671</v>
      </c>
      <c r="H60" s="12">
        <f>IF(COUNT(D60:G60)=4,SUM(D60:G60),"")</f>
        <v>319225</v>
      </c>
      <c r="I60" s="11">
        <f>IF(SUMPRODUCT((Inputs!$B$4:$B$200=$B60)*ISNUMBER(INDEX(Inputs!$D$4:$AG$200,0,MATCH(I$2,Inputs!$D$2:$AG$2,0))))=0,"",SUMIFS(INDEX(Inputs!$D$4:$AG$200,0,MATCH(I$2,Inputs!$D$2:$AG$2,0)),Inputs!$B$4:$B$200,$B60)/1000)</f>
        <v>96572</v>
      </c>
      <c r="J60" s="11">
        <f>IF(SUMPRODUCT((Inputs!$B$4:$B$200=$B60)*ISNUMBER(INDEX(Inputs!$D$4:$AG$200,0,MATCH(J$2,Inputs!$D$2:$AG$2,0))))=0,"",SUMIFS(INDEX(Inputs!$D$4:$AG$200,0,MATCH(J$2,Inputs!$D$2:$AG$2,0)),Inputs!$B$4:$B$200,$B60)/1000)</f>
        <v>100403</v>
      </c>
      <c r="K60" s="11">
        <f>IF(SUMPRODUCT((Inputs!$B$4:$B$200=$B60)*ISNUMBER(INDEX(Inputs!$D$4:$AG$200,0,MATCH(K$2,Inputs!$D$2:$AG$2,0))))=0,"",SUMIFS(INDEX(Inputs!$D$4:$AG$200,0,MATCH(K$2,Inputs!$D$2:$AG$2,0)),Inputs!$B$4:$B$200,$B60)/1000)</f>
        <v>104987</v>
      </c>
      <c r="L60" s="11">
        <f>IF(SUMPRODUCT((Inputs!$B$4:$B$200=$B60)*ISNUMBER(INDEX(Inputs!$D$4:$AG$200,0,MATCH(L$2,Inputs!$D$2:$AG$2,0))))=0,"",SUMIFS(INDEX(Inputs!$D$4:$AG$200,0,MATCH(L$2,Inputs!$D$2:$AG$2,0)),Inputs!$B$4:$B$200,$B60)/1000)</f>
        <v>111632</v>
      </c>
      <c r="M60" s="12">
        <f>IF(COUNT(I60:L60)=4,SUM(I60:L60),"")</f>
        <v>413594</v>
      </c>
      <c r="N60" s="11">
        <f>IF(SUMPRODUCT((Inputs!$B$4:$B$200=$B60)*ISNUMBER(INDEX(Inputs!$D$4:$AG$200,0,MATCH(N$2,Inputs!$D$2:$AG$2,0))))=0,"",SUMIFS(INDEX(Inputs!$D$4:$AG$200,0,MATCH(N$2,Inputs!$D$2:$AG$2,0)),Inputs!$B$4:$B$200,$B60)/1000)</f>
        <v>98373</v>
      </c>
      <c r="O60" s="11">
        <f>IF(SUMPRODUCT((Inputs!$B$4:$B$200=$B60)*ISNUMBER(INDEX(Inputs!$D$4:$AG$200,0,MATCH(O$2,Inputs!$D$2:$AG$2,0))))=0,"",SUMIFS(INDEX(Inputs!$D$4:$AG$200,0,MATCH(O$2,Inputs!$D$2:$AG$2,0)),Inputs!$B$4:$B$200,$B60)/1000)</f>
        <v>91632</v>
      </c>
      <c r="P60" s="11">
        <f>IF(SUMPRODUCT((Inputs!$B$4:$B$200=$B60)*ISNUMBER(INDEX(Inputs!$D$4:$AG$200,0,MATCH(P$2,Inputs!$D$2:$AG$2,0))))=0,"",SUMIFS(INDEX(Inputs!$D$4:$AG$200,0,MATCH(P$2,Inputs!$D$2:$AG$2,0)),Inputs!$B$4:$B$200,$B60)/1000)</f>
        <v>94273</v>
      </c>
      <c r="Q60" s="11">
        <f>IF(SUMPRODUCT((Inputs!$B$4:$B$200=$B60)*ISNUMBER(INDEX(Inputs!$D$4:$AG$200,0,MATCH(Q$2,Inputs!$D$2:$AG$2,0))))=0,"",SUMIFS(INDEX(Inputs!$D$4:$AG$200,0,MATCH(Q$2,Inputs!$D$2:$AG$2,0)),Inputs!$B$4:$B$200,$B60)/1000)</f>
        <v>113150</v>
      </c>
      <c r="R60" s="12">
        <f>IF(COUNT(N60:Q60)=4,SUM(N60:Q60),"")</f>
        <v>397428</v>
      </c>
      <c r="S60" s="11">
        <f>IF(SUMPRODUCT((Inputs!$B$4:$B$200=$B60)*ISNUMBER(INDEX(Inputs!$D$4:$AG$200,0,MATCH(S$2,Inputs!$D$2:$AG$2,0))))=0,"",SUMIFS(INDEX(Inputs!$D$4:$AG$200,0,MATCH(S$2,Inputs!$D$2:$AG$2,0)),Inputs!$B$4:$B$200,$B60)/1000)</f>
        <v>110091</v>
      </c>
      <c r="T60" s="11">
        <f>IF(SUMPRODUCT((Inputs!$B$4:$B$200=$B60)*ISNUMBER(INDEX(Inputs!$D$4:$AG$200,0,MATCH(T$2,Inputs!$D$2:$AG$2,0))))=0,"",SUMIFS(INDEX(Inputs!$D$4:$AG$200,0,MATCH(T$2,Inputs!$D$2:$AG$2,0)),Inputs!$B$4:$B$200,$B60)/1000)</f>
        <v>108716</v>
      </c>
      <c r="U60" s="11">
        <f>IF(SUMPRODUCT((Inputs!$B$4:$B$200=$B60)*ISNUMBER(INDEX(Inputs!$D$4:$AG$200,0,MATCH(U$2,Inputs!$D$2:$AG$2,0))))=0,"",SUMIFS(INDEX(Inputs!$D$4:$AG$200,0,MATCH(U$2,Inputs!$D$2:$AG$2,0)),Inputs!$B$4:$B$200,$B60)/1000)</f>
        <v>110182</v>
      </c>
      <c r="V60" s="11">
        <f>IF(SUMPRODUCT((Inputs!$B$4:$B$200=$B60)*ISNUMBER(INDEX(Inputs!$D$4:$AG$200,0,MATCH(V$2,Inputs!$D$2:$AG$2,0))))=0,"",SUMIFS(INDEX(Inputs!$D$4:$AG$200,0,MATCH(V$2,Inputs!$D$2:$AG$2,0)),Inputs!$B$4:$B$200,$B60)/1000)</f>
        <v>121942</v>
      </c>
      <c r="W60" s="12">
        <f>IF(COUNT(S60:V60)=4,SUM(S60:V60),"")</f>
        <v>450931</v>
      </c>
      <c r="X60" s="11">
        <f>IF(SUMPRODUCT((Inputs!$B$4:$B$200=$B60)*ISNUMBER(INDEX(Inputs!$D$4:$AG$200,0,MATCH(X$2,Inputs!$D$2:$AG$2,0))))=0,"",SUMIFS(INDEX(Inputs!$D$4:$AG$200,0,MATCH(X$2,Inputs!$D$2:$AG$2,0)),Inputs!$B$4:$B$200,$B60)/1000)</f>
        <v>113257</v>
      </c>
      <c r="Y60" s="11">
        <f>IF(SUMPRODUCT((Inputs!$B$4:$B$200=$B60)*ISNUMBER(INDEX(Inputs!$D$4:$AG$200,0,MATCH(Y$2,Inputs!$D$2:$AG$2,0))))=0,"",SUMIFS(INDEX(Inputs!$D$4:$AG$200,0,MATCH(Y$2,Inputs!$D$2:$AG$2,0)),Inputs!$B$4:$B$200,$B60)/1000)</f>
        <v>120133</v>
      </c>
      <c r="Z60" s="11">
        <f>IF(SUMPRODUCT((Inputs!$B$4:$B$200=$B60)*ISNUMBER(INDEX(Inputs!$D$4:$AG$200,0,MATCH(Z$2,Inputs!$D$2:$AG$2,0))))=0,"",SUMIFS(INDEX(Inputs!$D$4:$AG$200,0,MATCH(Z$2,Inputs!$D$2:$AG$2,0)),Inputs!$B$4:$B$200,$B60)/1000)</f>
        <v>115498</v>
      </c>
      <c r="AA60" s="11">
        <f>IF(SUMPRODUCT((Inputs!$B$4:$B$200=$B60)*ISNUMBER(INDEX(Inputs!$D$4:$AG$200,0,MATCH(AA$2,Inputs!$D$2:$AG$2,0))))=0,"",SUMIFS(INDEX(Inputs!$D$4:$AG$200,0,MATCH(AA$2,Inputs!$D$2:$AG$2,0)),Inputs!$B$4:$B$200,$B60)/1000)</f>
        <v>130634</v>
      </c>
      <c r="AB60" s="12">
        <f>IF(COUNT(X60:AA60)=4,SUM(X60:AA60),"")</f>
        <v>479522</v>
      </c>
      <c r="AC60" s="11">
        <f>IF(SUMPRODUCT((Inputs!$B$4:$B$200=$B60)*ISNUMBER(INDEX(Inputs!$D$4:$AG$200,0,MATCH(AC$2,Inputs!$D$2:$AG$2,0))))=0,"",SUMIFS(INDEX(Inputs!$D$4:$AG$200,0,MATCH(AC$2,Inputs!$D$2:$AG$2,0)),Inputs!$B$4:$B$200,$B60)/1000)</f>
        <v>125307</v>
      </c>
      <c r="AD60" s="11">
        <f>IF(SUMPRODUCT((Inputs!$B$4:$B$200=$B60)*ISNUMBER(INDEX(Inputs!$D$4:$AG$200,0,MATCH(AD$2,Inputs!$D$2:$AG$2,0))))=0,"",SUMIFS(INDEX(Inputs!$D$4:$AG$200,0,MATCH(AD$2,Inputs!$D$2:$AG$2,0)),Inputs!$B$4:$B$200,$B60)/1000)</f>
        <v>139785</v>
      </c>
      <c r="AE60" s="11" t="str">
        <f>IF(SUMPRODUCT((Inputs!$B$4:$B$200=$B60)*ISNUMBER(INDEX(Inputs!$D$4:$AG$200,0,MATCH(AE$2,Inputs!$D$2:$AG$2,0))))=0,"",SUMIFS(INDEX(Inputs!$D$4:$AG$200,0,MATCH(AE$2,Inputs!$D$2:$AG$2,0)),Inputs!$B$4:$B$200,$B60)/1000)</f>
        <v/>
      </c>
      <c r="AF60" s="11" t="str">
        <f>IF(SUMPRODUCT((Inputs!$B$4:$B$200=$B60)*ISNUMBER(INDEX(Inputs!$D$4:$AG$200,0,MATCH(AF$2,Inputs!$D$2:$AG$2,0))))=0,"",SUMIFS(INDEX(Inputs!$D$4:$AG$200,0,MATCH(AF$2,Inputs!$D$2:$AG$2,0)),Inputs!$B$4:$B$200,$B60)/1000)</f>
        <v/>
      </c>
      <c r="AG60" s="12" t="str">
        <f>IF(COUNT(AC60:AF60)=4,SUM(AC60:AF60),"")</f>
        <v/>
      </c>
    </row>
    <row r="61">
      <c r="B61" s="9" t="n">
        <v>53</v>
      </c>
      <c r="C61" s="10" t="inlineStr">
        <is>
          <t>RAC - frota media operacional Brasil (Op Data l.11)</t>
        </is>
      </c>
      <c r="D61" s="11">
        <f>IF(SUMPRODUCT((Inputs!$B$4:$B$200=$B61)*ISNUMBER(INDEX(Inputs!$D$4:$AG$200,0,MATCH(D$2,Inputs!$D$2:$AG$2,0))))=0,"",SUMIFS(INDEX(Inputs!$D$4:$AG$200,0,MATCH(D$2,Inputs!$D$2:$AG$2,0)),Inputs!$B$4:$B$200,$B61)/1000)</f>
        <v>64795.778</v>
      </c>
      <c r="E61" s="11">
        <f>IF(SUMPRODUCT((Inputs!$B$4:$B$200=$B61)*ISNUMBER(INDEX(Inputs!$D$4:$AG$200,0,MATCH(E$2,Inputs!$D$2:$AG$2,0))))=0,"",SUMIFS(INDEX(Inputs!$D$4:$AG$200,0,MATCH(E$2,Inputs!$D$2:$AG$2,0)),Inputs!$B$4:$B$200,$B61)/1000)</f>
        <v>63654.352</v>
      </c>
      <c r="F61" s="11">
        <f>IF(SUMPRODUCT((Inputs!$B$4:$B$200=$B61)*ISNUMBER(INDEX(Inputs!$D$4:$AG$200,0,MATCH(F$2,Inputs!$D$2:$AG$2,0))))=0,"",SUMIFS(INDEX(Inputs!$D$4:$AG$200,0,MATCH(F$2,Inputs!$D$2:$AG$2,0)),Inputs!$B$4:$B$200,$B61)/1000)</f>
        <v>67380.652</v>
      </c>
      <c r="G61" s="11">
        <f>IF(SUMPRODUCT((Inputs!$B$4:$B$200=$B61)*ISNUMBER(INDEX(Inputs!$D$4:$AG$200,0,MATCH(G$2,Inputs!$D$2:$AG$2,0))))=0,"",SUMIFS(INDEX(Inputs!$D$4:$AG$200,0,MATCH(G$2,Inputs!$D$2:$AG$2,0)),Inputs!$B$4:$B$200,$B61)/1000)</f>
        <v>70538.359</v>
      </c>
      <c r="H61" s="12">
        <f>IF(COUNT(D61:G61)=4,SUM(D61:G61),"")</f>
        <v>266369.141</v>
      </c>
      <c r="I61" s="11">
        <f>IF(SUMPRODUCT((Inputs!$B$4:$B$200=$B61)*ISNUMBER(INDEX(Inputs!$D$4:$AG$200,0,MATCH(I$2,Inputs!$D$2:$AG$2,0))))=0,"",SUMIFS(INDEX(Inputs!$D$4:$AG$200,0,MATCH(I$2,Inputs!$D$2:$AG$2,0)),Inputs!$B$4:$B$200,$B61)/1000)</f>
        <v>75286</v>
      </c>
      <c r="J61" s="11">
        <f>IF(SUMPRODUCT((Inputs!$B$4:$B$200=$B61)*ISNUMBER(INDEX(Inputs!$D$4:$AG$200,0,MATCH(J$2,Inputs!$D$2:$AG$2,0))))=0,"",SUMIFS(INDEX(Inputs!$D$4:$AG$200,0,MATCH(J$2,Inputs!$D$2:$AG$2,0)),Inputs!$B$4:$B$200,$B61)/1000)</f>
        <v>80205</v>
      </c>
      <c r="K61" s="11">
        <f>IF(SUMPRODUCT((Inputs!$B$4:$B$200=$B61)*ISNUMBER(INDEX(Inputs!$D$4:$AG$200,0,MATCH(K$2,Inputs!$D$2:$AG$2,0))))=0,"",SUMIFS(INDEX(Inputs!$D$4:$AG$200,0,MATCH(K$2,Inputs!$D$2:$AG$2,0)),Inputs!$B$4:$B$200,$B61)/1000)</f>
        <v>85151</v>
      </c>
      <c r="L61" s="11">
        <f>IF(SUMPRODUCT((Inputs!$B$4:$B$200=$B61)*ISNUMBER(INDEX(Inputs!$D$4:$AG$200,0,MATCH(L$2,Inputs!$D$2:$AG$2,0))))=0,"",SUMIFS(INDEX(Inputs!$D$4:$AG$200,0,MATCH(L$2,Inputs!$D$2:$AG$2,0)),Inputs!$B$4:$B$200,$B61)/1000)</f>
        <v>90852</v>
      </c>
      <c r="M61" s="12">
        <f>IF(COUNT(I61:L61)=4,SUM(I61:L61),"")</f>
        <v>331494</v>
      </c>
      <c r="N61" s="11">
        <f>IF(SUMPRODUCT((Inputs!$B$4:$B$200=$B61)*ISNUMBER(INDEX(Inputs!$D$4:$AG$200,0,MATCH(N$2,Inputs!$D$2:$AG$2,0))))=0,"",SUMIFS(INDEX(Inputs!$D$4:$AG$200,0,MATCH(N$2,Inputs!$D$2:$AG$2,0)),Inputs!$B$4:$B$200,$B61)/1000)</f>
        <v>88866.199</v>
      </c>
      <c r="O61" s="11">
        <f>IF(SUMPRODUCT((Inputs!$B$4:$B$200=$B61)*ISNUMBER(INDEX(Inputs!$D$4:$AG$200,0,MATCH(O$2,Inputs!$D$2:$AG$2,0))))=0,"",SUMIFS(INDEX(Inputs!$D$4:$AG$200,0,MATCH(O$2,Inputs!$D$2:$AG$2,0)),Inputs!$B$4:$B$200,$B61)/1000)</f>
        <v>82491</v>
      </c>
      <c r="P61" s="11">
        <f>IF(SUMPRODUCT((Inputs!$B$4:$B$200=$B61)*ISNUMBER(INDEX(Inputs!$D$4:$AG$200,0,MATCH(P$2,Inputs!$D$2:$AG$2,0))))=0,"",SUMIFS(INDEX(Inputs!$D$4:$AG$200,0,MATCH(P$2,Inputs!$D$2:$AG$2,0)),Inputs!$B$4:$B$200,$B61)/1000)</f>
        <v>79085.543</v>
      </c>
      <c r="Q61" s="11">
        <f>IF(SUMPRODUCT((Inputs!$B$4:$B$200=$B61)*ISNUMBER(INDEX(Inputs!$D$4:$AG$200,0,MATCH(Q$2,Inputs!$D$2:$AG$2,0))))=0,"",SUMIFS(INDEX(Inputs!$D$4:$AG$200,0,MATCH(Q$2,Inputs!$D$2:$AG$2,0)),Inputs!$B$4:$B$200,$B61)/1000)</f>
        <v>81070.652</v>
      </c>
      <c r="R61" s="12">
        <f>IF(COUNT(N61:Q61)=4,SUM(N61:Q61),"")</f>
        <v>331513.394</v>
      </c>
      <c r="S61" s="11">
        <f>IF(SUMPRODUCT((Inputs!$B$4:$B$200=$B61)*ISNUMBER(INDEX(Inputs!$D$4:$AG$200,0,MATCH(S$2,Inputs!$D$2:$AG$2,0))))=0,"",SUMIFS(INDEX(Inputs!$D$4:$AG$200,0,MATCH(S$2,Inputs!$D$2:$AG$2,0)),Inputs!$B$4:$B$200,$B61)/1000)</f>
        <v>89703.462</v>
      </c>
      <c r="T61" s="11">
        <f>IF(SUMPRODUCT((Inputs!$B$4:$B$200=$B61)*ISNUMBER(INDEX(Inputs!$D$4:$AG$200,0,MATCH(T$2,Inputs!$D$2:$AG$2,0))))=0,"",SUMIFS(INDEX(Inputs!$D$4:$AG$200,0,MATCH(T$2,Inputs!$D$2:$AG$2,0)),Inputs!$B$4:$B$200,$B61)/1000)</f>
        <v>90071.198</v>
      </c>
      <c r="U61" s="11">
        <f>IF(SUMPRODUCT((Inputs!$B$4:$B$200=$B61)*ISNUMBER(INDEX(Inputs!$D$4:$AG$200,0,MATCH(U$2,Inputs!$D$2:$AG$2,0))))=0,"",SUMIFS(INDEX(Inputs!$D$4:$AG$200,0,MATCH(U$2,Inputs!$D$2:$AG$2,0)),Inputs!$B$4:$B$200,$B61)/1000)</f>
        <v>87264.217</v>
      </c>
      <c r="V61" s="11">
        <f>IF(SUMPRODUCT((Inputs!$B$4:$B$200=$B61)*ISNUMBER(INDEX(Inputs!$D$4:$AG$200,0,MATCH(V$2,Inputs!$D$2:$AG$2,0))))=0,"",SUMIFS(INDEX(Inputs!$D$4:$AG$200,0,MATCH(V$2,Inputs!$D$2:$AG$2,0)),Inputs!$B$4:$B$200,$B61)/1000)</f>
        <v>88526.512</v>
      </c>
      <c r="W61" s="12">
        <f>IF(COUNT(S61:V61)=4,SUM(S61:V61),"")</f>
        <v>355565.389</v>
      </c>
      <c r="X61" s="11">
        <f>IF(SUMPRODUCT((Inputs!$B$4:$B$200=$B61)*ISNUMBER(INDEX(Inputs!$D$4:$AG$200,0,MATCH(X$2,Inputs!$D$2:$AG$2,0))))=0,"",SUMIFS(INDEX(Inputs!$D$4:$AG$200,0,MATCH(X$2,Inputs!$D$2:$AG$2,0)),Inputs!$B$4:$B$200,$B61)/1000)</f>
        <v>95097.2</v>
      </c>
      <c r="Y61" s="11">
        <f>IF(SUMPRODUCT((Inputs!$B$4:$B$200=$B61)*ISNUMBER(INDEX(Inputs!$D$4:$AG$200,0,MATCH(Y$2,Inputs!$D$2:$AG$2,0))))=0,"",SUMIFS(INDEX(Inputs!$D$4:$AG$200,0,MATCH(Y$2,Inputs!$D$2:$AG$2,0)),Inputs!$B$4:$B$200,$B61)/1000)</f>
        <v>91009.044</v>
      </c>
      <c r="Z61" s="11">
        <f>IF(SUMPRODUCT((Inputs!$B$4:$B$200=$B61)*ISNUMBER(INDEX(Inputs!$D$4:$AG$200,0,MATCH(Z$2,Inputs!$D$2:$AG$2,0))))=0,"",SUMIFS(INDEX(Inputs!$D$4:$AG$200,0,MATCH(Z$2,Inputs!$D$2:$AG$2,0)),Inputs!$B$4:$B$200,$B61)/1000)</f>
        <v>92381.456</v>
      </c>
      <c r="AA61" s="11">
        <f>IF(SUMPRODUCT((Inputs!$B$4:$B$200=$B61)*ISNUMBER(INDEX(Inputs!$D$4:$AG$200,0,MATCH(AA$2,Inputs!$D$2:$AG$2,0))))=0,"",SUMIFS(INDEX(Inputs!$D$4:$AG$200,0,MATCH(AA$2,Inputs!$D$2:$AG$2,0)),Inputs!$B$4:$B$200,$B61)/1000)</f>
        <v>96659.329201958</v>
      </c>
      <c r="AB61" s="12">
        <f>IF(COUNT(X61:AA61)=4,SUM(X61:AA61),"")</f>
        <v>375147.029201958</v>
      </c>
      <c r="AC61" s="11">
        <f>IF(SUMPRODUCT((Inputs!$B$4:$B$200=$B61)*ISNUMBER(INDEX(Inputs!$D$4:$AG$200,0,MATCH(AC$2,Inputs!$D$2:$AG$2,0))))=0,"",SUMIFS(INDEX(Inputs!$D$4:$AG$200,0,MATCH(AC$2,Inputs!$D$2:$AG$2,0)),Inputs!$B$4:$B$200,$B61)/1000)</f>
        <v>102753.805592588</v>
      </c>
      <c r="AD61" s="11">
        <f>IF(SUMPRODUCT((Inputs!$B$4:$B$200=$B61)*ISNUMBER(INDEX(Inputs!$D$4:$AG$200,0,MATCH(AD$2,Inputs!$D$2:$AG$2,0))))=0,"",SUMIFS(INDEX(Inputs!$D$4:$AG$200,0,MATCH(AD$2,Inputs!$D$2:$AG$2,0)),Inputs!$B$4:$B$200,$B61)/1000)</f>
        <v>108816.420562521</v>
      </c>
      <c r="AE61" s="11" t="str">
        <f>IF(SUMPRODUCT((Inputs!$B$4:$B$200=$B61)*ISNUMBER(INDEX(Inputs!$D$4:$AG$200,0,MATCH(AE$2,Inputs!$D$2:$AG$2,0))))=0,"",SUMIFS(INDEX(Inputs!$D$4:$AG$200,0,MATCH(AE$2,Inputs!$D$2:$AG$2,0)),Inputs!$B$4:$B$200,$B61)/1000)</f>
        <v/>
      </c>
      <c r="AF61" s="11" t="str">
        <f>IF(SUMPRODUCT((Inputs!$B$4:$B$200=$B61)*ISNUMBER(INDEX(Inputs!$D$4:$AG$200,0,MATCH(AF$2,Inputs!$D$2:$AG$2,0))))=0,"",SUMIFS(INDEX(Inputs!$D$4:$AG$200,0,MATCH(AF$2,Inputs!$D$2:$AG$2,0)),Inputs!$B$4:$B$200,$B61)/1000)</f>
        <v/>
      </c>
      <c r="AG61" s="12" t="str">
        <f>IF(COUNT(AC61:AF61)=4,SUM(AC61:AF61),"")</f>
        <v/>
      </c>
    </row>
    <row r="62">
      <c r="B62" s="9" t="n">
        <v>54</v>
      </c>
      <c r="C62" s="10" t="inlineStr">
        <is>
          <t>RAC - frota media alugada (Op Data l.13)</t>
        </is>
      </c>
      <c r="D62" s="11">
        <f>IF(SUMPRODUCT((Inputs!$B$4:$B$200=$B62)*ISNUMBER(INDEX(Inputs!$D$4:$AG$200,0,MATCH(D$2,Inputs!$D$2:$AG$2,0))))=0,"",SUMIFS(INDEX(Inputs!$D$4:$AG$200,0,MATCH(D$2,Inputs!$D$2:$AG$2,0)),Inputs!$B$4:$B$200,$B62)/1000)</f>
        <v>51370.093</v>
      </c>
      <c r="E62" s="11">
        <f>IF(SUMPRODUCT((Inputs!$B$4:$B$200=$B62)*ISNUMBER(INDEX(Inputs!$D$4:$AG$200,0,MATCH(E$2,Inputs!$D$2:$AG$2,0))))=0,"",SUMIFS(INDEX(Inputs!$D$4:$AG$200,0,MATCH(E$2,Inputs!$D$2:$AG$2,0)),Inputs!$B$4:$B$200,$B62)/1000)</f>
        <v>50671.055</v>
      </c>
      <c r="F62" s="11">
        <f>IF(SUMPRODUCT((Inputs!$B$4:$B$200=$B62)*ISNUMBER(INDEX(Inputs!$D$4:$AG$200,0,MATCH(F$2,Inputs!$D$2:$AG$2,0))))=0,"",SUMIFS(INDEX(Inputs!$D$4:$AG$200,0,MATCH(F$2,Inputs!$D$2:$AG$2,0)),Inputs!$B$4:$B$200,$B62)/1000)</f>
        <v>55849.469</v>
      </c>
      <c r="G62" s="11">
        <f>IF(SUMPRODUCT((Inputs!$B$4:$B$200=$B62)*ISNUMBER(INDEX(Inputs!$D$4:$AG$200,0,MATCH(G$2,Inputs!$D$2:$AG$2,0))))=0,"",SUMIFS(INDEX(Inputs!$D$4:$AG$200,0,MATCH(G$2,Inputs!$D$2:$AG$2,0)),Inputs!$B$4:$B$200,$B62)/1000)</f>
        <v>57025.126</v>
      </c>
      <c r="H62" s="12">
        <f>IF(COUNT(D62:G62)=4,SUM(D62:G62),"")</f>
        <v>214915.743</v>
      </c>
      <c r="I62" s="11">
        <f>IF(SUMPRODUCT((Inputs!$B$4:$B$200=$B62)*ISNUMBER(INDEX(Inputs!$D$4:$AG$200,0,MATCH(I$2,Inputs!$D$2:$AG$2,0))))=0,"",SUMIFS(INDEX(Inputs!$D$4:$AG$200,0,MATCH(I$2,Inputs!$D$2:$AG$2,0)),Inputs!$B$4:$B$200,$B62)/1000)</f>
        <v>57280.098</v>
      </c>
      <c r="J62" s="11">
        <f>IF(SUMPRODUCT((Inputs!$B$4:$B$200=$B62)*ISNUMBER(INDEX(Inputs!$D$4:$AG$200,0,MATCH(J$2,Inputs!$D$2:$AG$2,0))))=0,"",SUMIFS(INDEX(Inputs!$D$4:$AG$200,0,MATCH(J$2,Inputs!$D$2:$AG$2,0)),Inputs!$B$4:$B$200,$B62)/1000)</f>
        <v>63642.042</v>
      </c>
      <c r="K62" s="11">
        <f>IF(SUMPRODUCT((Inputs!$B$4:$B$200=$B62)*ISNUMBER(INDEX(Inputs!$D$4:$AG$200,0,MATCH(K$2,Inputs!$D$2:$AG$2,0))))=0,"",SUMIFS(INDEX(Inputs!$D$4:$AG$200,0,MATCH(K$2,Inputs!$D$2:$AG$2,0)),Inputs!$B$4:$B$200,$B62)/1000)</f>
        <v>65726.756</v>
      </c>
      <c r="L62" s="11">
        <f>IF(SUMPRODUCT((Inputs!$B$4:$B$200=$B62)*ISNUMBER(INDEX(Inputs!$D$4:$AG$200,0,MATCH(L$2,Inputs!$D$2:$AG$2,0))))=0,"",SUMIFS(INDEX(Inputs!$D$4:$AG$200,0,MATCH(L$2,Inputs!$D$2:$AG$2,0)),Inputs!$B$4:$B$200,$B62)/1000)</f>
        <v>69565.355</v>
      </c>
      <c r="M62" s="12">
        <f>IF(COUNT(I62:L62)=4,SUM(I62:L62),"")</f>
        <v>256214.251</v>
      </c>
      <c r="N62" s="11">
        <f>IF(SUMPRODUCT((Inputs!$B$4:$B$200=$B62)*ISNUMBER(INDEX(Inputs!$D$4:$AG$200,0,MATCH(N$2,Inputs!$D$2:$AG$2,0))))=0,"",SUMIFS(INDEX(Inputs!$D$4:$AG$200,0,MATCH(N$2,Inputs!$D$2:$AG$2,0)),Inputs!$B$4:$B$200,$B62)/1000)</f>
        <v>69616.243</v>
      </c>
      <c r="O62" s="11">
        <f>IF(SUMPRODUCT((Inputs!$B$4:$B$200=$B62)*ISNUMBER(INDEX(Inputs!$D$4:$AG$200,0,MATCH(O$2,Inputs!$D$2:$AG$2,0))))=0,"",SUMIFS(INDEX(Inputs!$D$4:$AG$200,0,MATCH(O$2,Inputs!$D$2:$AG$2,0)),Inputs!$B$4:$B$200,$B62)/1000)</f>
        <v>64568</v>
      </c>
      <c r="P62" s="11">
        <f>IF(SUMPRODUCT((Inputs!$B$4:$B$200=$B62)*ISNUMBER(INDEX(Inputs!$D$4:$AG$200,0,MATCH(P$2,Inputs!$D$2:$AG$2,0))))=0,"",SUMIFS(INDEX(Inputs!$D$4:$AG$200,0,MATCH(P$2,Inputs!$D$2:$AG$2,0)),Inputs!$B$4:$B$200,$B62)/1000)</f>
        <v>64181.696</v>
      </c>
      <c r="Q62" s="11">
        <f>IF(SUMPRODUCT((Inputs!$B$4:$B$200=$B62)*ISNUMBER(INDEX(Inputs!$D$4:$AG$200,0,MATCH(Q$2,Inputs!$D$2:$AG$2,0))))=0,"",SUMIFS(INDEX(Inputs!$D$4:$AG$200,0,MATCH(Q$2,Inputs!$D$2:$AG$2,0)),Inputs!$B$4:$B$200,$B62)/1000)</f>
        <v>66467.207</v>
      </c>
      <c r="R62" s="12">
        <f>IF(COUNT(N62:Q62)=4,SUM(N62:Q62),"")</f>
        <v>264833.146</v>
      </c>
      <c r="S62" s="11">
        <f>IF(SUMPRODUCT((Inputs!$B$4:$B$200=$B62)*ISNUMBER(INDEX(Inputs!$D$4:$AG$200,0,MATCH(S$2,Inputs!$D$2:$AG$2,0))))=0,"",SUMIFS(INDEX(Inputs!$D$4:$AG$200,0,MATCH(S$2,Inputs!$D$2:$AG$2,0)),Inputs!$B$4:$B$200,$B62)/1000)</f>
        <v>71924.826</v>
      </c>
      <c r="T62" s="11">
        <f>IF(SUMPRODUCT((Inputs!$B$4:$B$200=$B62)*ISNUMBER(INDEX(Inputs!$D$4:$AG$200,0,MATCH(T$2,Inputs!$D$2:$AG$2,0))))=0,"",SUMIFS(INDEX(Inputs!$D$4:$AG$200,0,MATCH(T$2,Inputs!$D$2:$AG$2,0)),Inputs!$B$4:$B$200,$B62)/1000)</f>
        <v>70369.758</v>
      </c>
      <c r="U62" s="11">
        <f>IF(SUMPRODUCT((Inputs!$B$4:$B$200=$B62)*ISNUMBER(INDEX(Inputs!$D$4:$AG$200,0,MATCH(U$2,Inputs!$D$2:$AG$2,0))))=0,"",SUMIFS(INDEX(Inputs!$D$4:$AG$200,0,MATCH(U$2,Inputs!$D$2:$AG$2,0)),Inputs!$B$4:$B$200,$B62)/1000)</f>
        <v>68114.141</v>
      </c>
      <c r="V62" s="11">
        <f>IF(SUMPRODUCT((Inputs!$B$4:$B$200=$B62)*ISNUMBER(INDEX(Inputs!$D$4:$AG$200,0,MATCH(V$2,Inputs!$D$2:$AG$2,0))))=0,"",SUMIFS(INDEX(Inputs!$D$4:$AG$200,0,MATCH(V$2,Inputs!$D$2:$AG$2,0)),Inputs!$B$4:$B$200,$B62)/1000)</f>
        <v>66296.152</v>
      </c>
      <c r="W62" s="12">
        <f>IF(COUNT(S62:V62)=4,SUM(S62:V62),"")</f>
        <v>276704.877</v>
      </c>
      <c r="X62" s="11">
        <f>IF(SUMPRODUCT((Inputs!$B$4:$B$200=$B62)*ISNUMBER(INDEX(Inputs!$D$4:$AG$200,0,MATCH(X$2,Inputs!$D$2:$AG$2,0))))=0,"",SUMIFS(INDEX(Inputs!$D$4:$AG$200,0,MATCH(X$2,Inputs!$D$2:$AG$2,0)),Inputs!$B$4:$B$200,$B62)/1000)</f>
        <v>68229.9</v>
      </c>
      <c r="Y62" s="11">
        <f>IF(SUMPRODUCT((Inputs!$B$4:$B$200=$B62)*ISNUMBER(INDEX(Inputs!$D$4:$AG$200,0,MATCH(Y$2,Inputs!$D$2:$AG$2,0))))=0,"",SUMIFS(INDEX(Inputs!$D$4:$AG$200,0,MATCH(Y$2,Inputs!$D$2:$AG$2,0)),Inputs!$B$4:$B$200,$B62)/1000)</f>
        <v>67397.041</v>
      </c>
      <c r="Z62" s="11">
        <f>IF(SUMPRODUCT((Inputs!$B$4:$B$200=$B62)*ISNUMBER(INDEX(Inputs!$D$4:$AG$200,0,MATCH(Z$2,Inputs!$D$2:$AG$2,0))))=0,"",SUMIFS(INDEX(Inputs!$D$4:$AG$200,0,MATCH(Z$2,Inputs!$D$2:$AG$2,0)),Inputs!$B$4:$B$200,$B62)/1000)</f>
        <v>66285.398</v>
      </c>
      <c r="AA62" s="11">
        <f>IF(SUMPRODUCT((Inputs!$B$4:$B$200=$B62)*ISNUMBER(INDEX(Inputs!$D$4:$AG$200,0,MATCH(AA$2,Inputs!$D$2:$AG$2,0))))=0,"",SUMIFS(INDEX(Inputs!$D$4:$AG$200,0,MATCH(AA$2,Inputs!$D$2:$AG$2,0)),Inputs!$B$4:$B$200,$B62)/1000)</f>
        <v>73313.193024088</v>
      </c>
      <c r="AB62" s="12">
        <f>IF(COUNT(X62:AA62)=4,SUM(X62:AA62),"")</f>
        <v>275225.532024088</v>
      </c>
      <c r="AC62" s="11">
        <f>IF(SUMPRODUCT((Inputs!$B$4:$B$200=$B62)*ISNUMBER(INDEX(Inputs!$D$4:$AG$200,0,MATCH(AC$2,Inputs!$D$2:$AG$2,0))))=0,"",SUMIFS(INDEX(Inputs!$D$4:$AG$200,0,MATCH(AC$2,Inputs!$D$2:$AG$2,0)),Inputs!$B$4:$B$200,$B62)/1000)</f>
        <v>79411.651992173</v>
      </c>
      <c r="AD62" s="11">
        <f>IF(SUMPRODUCT((Inputs!$B$4:$B$200=$B62)*ISNUMBER(INDEX(Inputs!$D$4:$AG$200,0,MATCH(AD$2,Inputs!$D$2:$AG$2,0))))=0,"",SUMIFS(INDEX(Inputs!$D$4:$AG$200,0,MATCH(AD$2,Inputs!$D$2:$AG$2,0)),Inputs!$B$4:$B$200,$B62)/1000)</f>
        <v>82926.863270193</v>
      </c>
      <c r="AE62" s="11" t="str">
        <f>IF(SUMPRODUCT((Inputs!$B$4:$B$200=$B62)*ISNUMBER(INDEX(Inputs!$D$4:$AG$200,0,MATCH(AE$2,Inputs!$D$2:$AG$2,0))))=0,"",SUMIFS(INDEX(Inputs!$D$4:$AG$200,0,MATCH(AE$2,Inputs!$D$2:$AG$2,0)),Inputs!$B$4:$B$200,$B62)/1000)</f>
        <v/>
      </c>
      <c r="AF62" s="11" t="str">
        <f>IF(SUMPRODUCT((Inputs!$B$4:$B$200=$B62)*ISNUMBER(INDEX(Inputs!$D$4:$AG$200,0,MATCH(AF$2,Inputs!$D$2:$AG$2,0))))=0,"",SUMIFS(INDEX(Inputs!$D$4:$AG$200,0,MATCH(AF$2,Inputs!$D$2:$AG$2,0)),Inputs!$B$4:$B$200,$B62)/1000)</f>
        <v/>
      </c>
      <c r="AG62" s="12" t="str">
        <f>IF(COUNT(AC62:AF62)=4,SUM(AC62:AF62),"")</f>
        <v/>
      </c>
    </row>
    <row r="63">
      <c r="B63" s="9" t="n">
        <v>55</v>
      </c>
      <c r="C63" s="10" t="inlineStr">
        <is>
          <t>RAC - numero de diarias (mil; Op Data l.15)</t>
        </is>
      </c>
      <c r="D63" s="11">
        <f>IF(SUMPRODUCT((Inputs!$B$4:$B$200=$B63)*ISNUMBER(INDEX(Inputs!$D$4:$AG$200,0,MATCH(D$2,Inputs!$D$2:$AG$2,0))))=0,"",SUMIFS(INDEX(Inputs!$D$4:$AG$200,0,MATCH(D$2,Inputs!$D$2:$AG$2,0)),Inputs!$B$4:$B$200,$B63)/1000)</f>
        <v>5067.042</v>
      </c>
      <c r="E63" s="11">
        <f>IF(SUMPRODUCT((Inputs!$B$4:$B$200=$B63)*ISNUMBER(INDEX(Inputs!$D$4:$AG$200,0,MATCH(E$2,Inputs!$D$2:$AG$2,0))))=0,"",SUMIFS(INDEX(Inputs!$D$4:$AG$200,0,MATCH(E$2,Inputs!$D$2:$AG$2,0)),Inputs!$B$4:$B$200,$B63)/1000)</f>
        <v>4618.39</v>
      </c>
      <c r="F63" s="11">
        <f>IF(SUMPRODUCT((Inputs!$B$4:$B$200=$B63)*ISNUMBER(INDEX(Inputs!$D$4:$AG$200,0,MATCH(F$2,Inputs!$D$2:$AG$2,0))))=0,"",SUMIFS(INDEX(Inputs!$D$4:$AG$200,0,MATCH(F$2,Inputs!$D$2:$AG$2,0)),Inputs!$B$4:$B$200,$B63)/1000)</f>
        <v>5143.355</v>
      </c>
      <c r="G63" s="11">
        <f>IF(SUMPRODUCT((Inputs!$B$4:$B$200=$B63)*ISNUMBER(INDEX(Inputs!$D$4:$AG$200,0,MATCH(G$2,Inputs!$D$2:$AG$2,0))))=0,"",SUMIFS(INDEX(Inputs!$D$4:$AG$200,0,MATCH(G$2,Inputs!$D$2:$AG$2,0)),Inputs!$B$4:$B$200,$B63)/1000)</f>
        <v>5281.203</v>
      </c>
      <c r="H63" s="12">
        <f>IF(COUNT(D63:G63)=4,SUM(D63:G63),"")</f>
        <v>20109.99</v>
      </c>
      <c r="I63" s="11">
        <f>IF(SUMPRODUCT((Inputs!$B$4:$B$200=$B63)*ISNUMBER(INDEX(Inputs!$D$4:$AG$200,0,MATCH(I$2,Inputs!$D$2:$AG$2,0))))=0,"",SUMIFS(INDEX(Inputs!$D$4:$AG$200,0,MATCH(I$2,Inputs!$D$2:$AG$2,0)),Inputs!$B$4:$B$200,$B63)/1000)</f>
        <v>5224.573</v>
      </c>
      <c r="J63" s="11">
        <f>IF(SUMPRODUCT((Inputs!$B$4:$B$200=$B63)*ISNUMBER(INDEX(Inputs!$D$4:$AG$200,0,MATCH(J$2,Inputs!$D$2:$AG$2,0))))=0,"",SUMIFS(INDEX(Inputs!$D$4:$AG$200,0,MATCH(J$2,Inputs!$D$2:$AG$2,0)),Inputs!$B$4:$B$200,$B63)/1000)</f>
        <v>5677.49</v>
      </c>
      <c r="K63" s="11">
        <f>IF(SUMPRODUCT((Inputs!$B$4:$B$200=$B63)*ISNUMBER(INDEX(Inputs!$D$4:$AG$200,0,MATCH(K$2,Inputs!$D$2:$AG$2,0))))=0,"",SUMIFS(INDEX(Inputs!$D$4:$AG$200,0,MATCH(K$2,Inputs!$D$2:$AG$2,0)),Inputs!$B$4:$B$200,$B63)/1000)</f>
        <v>5888.846</v>
      </c>
      <c r="L63" s="11">
        <f>IF(SUMPRODUCT((Inputs!$B$4:$B$200=$B63)*ISNUMBER(INDEX(Inputs!$D$4:$AG$200,0,MATCH(L$2,Inputs!$D$2:$AG$2,0))))=0,"",SUMIFS(INDEX(Inputs!$D$4:$AG$200,0,MATCH(L$2,Inputs!$D$2:$AG$2,0)),Inputs!$B$4:$B$200,$B63)/1000)</f>
        <v>6111.338</v>
      </c>
      <c r="M63" s="12">
        <f>IF(COUNT(I63:L63)=4,SUM(I63:L63),"")</f>
        <v>22902.247</v>
      </c>
      <c r="N63" s="11">
        <f>IF(SUMPRODUCT((Inputs!$B$4:$B$200=$B63)*ISNUMBER(INDEX(Inputs!$D$4:$AG$200,0,MATCH(N$2,Inputs!$D$2:$AG$2,0))))=0,"",SUMIFS(INDEX(Inputs!$D$4:$AG$200,0,MATCH(N$2,Inputs!$D$2:$AG$2,0)),Inputs!$B$4:$B$200,$B63)/1000)</f>
        <v>6218.754</v>
      </c>
      <c r="O63" s="11">
        <f>IF(SUMPRODUCT((Inputs!$B$4:$B$200=$B63)*ISNUMBER(INDEX(Inputs!$D$4:$AG$200,0,MATCH(O$2,Inputs!$D$2:$AG$2,0))))=0,"",SUMIFS(INDEX(Inputs!$D$4:$AG$200,0,MATCH(O$2,Inputs!$D$2:$AG$2,0)),Inputs!$B$4:$B$200,$B63)/1000)</f>
        <v>5837.236</v>
      </c>
      <c r="P63" s="11">
        <f>IF(SUMPRODUCT((Inputs!$B$4:$B$200=$B63)*ISNUMBER(INDEX(Inputs!$D$4:$AG$200,0,MATCH(P$2,Inputs!$D$2:$AG$2,0))))=0,"",SUMIFS(INDEX(Inputs!$D$4:$AG$200,0,MATCH(P$2,Inputs!$D$2:$AG$2,0)),Inputs!$B$4:$B$200,$B63)/1000)</f>
        <v>5819.624</v>
      </c>
      <c r="Q63" s="11">
        <f>IF(SUMPRODUCT((Inputs!$B$4:$B$200=$B63)*ISNUMBER(INDEX(Inputs!$D$4:$AG$200,0,MATCH(Q$2,Inputs!$D$2:$AG$2,0))))=0,"",SUMIFS(INDEX(Inputs!$D$4:$AG$200,0,MATCH(Q$2,Inputs!$D$2:$AG$2,0)),Inputs!$B$4:$B$200,$B63)/1000)</f>
        <v>5945.636</v>
      </c>
      <c r="R63" s="12">
        <f>IF(COUNT(N63:Q63)=4,SUM(N63:Q63),"")</f>
        <v>23821.25</v>
      </c>
      <c r="S63" s="11">
        <f>IF(SUMPRODUCT((Inputs!$B$4:$B$200=$B63)*ISNUMBER(INDEX(Inputs!$D$4:$AG$200,0,MATCH(S$2,Inputs!$D$2:$AG$2,0))))=0,"",SUMIFS(INDEX(Inputs!$D$4:$AG$200,0,MATCH(S$2,Inputs!$D$2:$AG$2,0)),Inputs!$B$4:$B$200,$B63)/1000)</f>
        <v>6414.484</v>
      </c>
      <c r="T63" s="11">
        <f>IF(SUMPRODUCT((Inputs!$B$4:$B$200=$B63)*ISNUMBER(INDEX(Inputs!$D$4:$AG$200,0,MATCH(T$2,Inputs!$D$2:$AG$2,0))))=0,"",SUMIFS(INDEX(Inputs!$D$4:$AG$200,0,MATCH(T$2,Inputs!$D$2:$AG$2,0)),Inputs!$B$4:$B$200,$B63)/1000)</f>
        <v>6200.041</v>
      </c>
      <c r="U63" s="11">
        <f>IF(SUMPRODUCT((Inputs!$B$4:$B$200=$B63)*ISNUMBER(INDEX(Inputs!$D$4:$AG$200,0,MATCH(U$2,Inputs!$D$2:$AG$2,0))))=0,"",SUMIFS(INDEX(Inputs!$D$4:$AG$200,0,MATCH(U$2,Inputs!$D$2:$AG$2,0)),Inputs!$B$4:$B$200,$B63)/1000)</f>
        <v>6004.671</v>
      </c>
      <c r="V63" s="11">
        <f>IF(SUMPRODUCT((Inputs!$B$4:$B$200=$B63)*ISNUMBER(INDEX(Inputs!$D$4:$AG$200,0,MATCH(V$2,Inputs!$D$2:$AG$2,0))))=0,"",SUMIFS(INDEX(Inputs!$D$4:$AG$200,0,MATCH(V$2,Inputs!$D$2:$AG$2,0)),Inputs!$B$4:$B$200,$B63)/1000)</f>
        <v>5958.805</v>
      </c>
      <c r="W63" s="12">
        <f>IF(COUNT(S63:V63)=4,SUM(S63:V63),"")</f>
        <v>24578.001</v>
      </c>
      <c r="X63" s="11">
        <f>IF(SUMPRODUCT((Inputs!$B$4:$B$200=$B63)*ISNUMBER(INDEX(Inputs!$D$4:$AG$200,0,MATCH(X$2,Inputs!$D$2:$AG$2,0))))=0,"",SUMIFS(INDEX(Inputs!$D$4:$AG$200,0,MATCH(X$2,Inputs!$D$2:$AG$2,0)),Inputs!$B$4:$B$200,$B63)/1000)</f>
        <v>6026.629</v>
      </c>
      <c r="Y63" s="11">
        <f>IF(SUMPRODUCT((Inputs!$B$4:$B$200=$B63)*ISNUMBER(INDEX(Inputs!$D$4:$AG$200,0,MATCH(Y$2,Inputs!$D$2:$AG$2,0))))=0,"",SUMIFS(INDEX(Inputs!$D$4:$AG$200,0,MATCH(Y$2,Inputs!$D$2:$AG$2,0)),Inputs!$B$4:$B$200,$B63)/1000)</f>
        <v>6070.355</v>
      </c>
      <c r="Z63" s="11">
        <f>IF(SUMPRODUCT((Inputs!$B$4:$B$200=$B63)*ISNUMBER(INDEX(Inputs!$D$4:$AG$200,0,MATCH(Z$2,Inputs!$D$2:$AG$2,0))))=0,"",SUMIFS(INDEX(Inputs!$D$4:$AG$200,0,MATCH(Z$2,Inputs!$D$2:$AG$2,0)),Inputs!$B$4:$B$200,$B63)/1000)</f>
        <v>6084.784</v>
      </c>
      <c r="AA63" s="11">
        <f>IF(SUMPRODUCT((Inputs!$B$4:$B$200=$B63)*ISNUMBER(INDEX(Inputs!$D$4:$AG$200,0,MATCH(AA$2,Inputs!$D$2:$AG$2,0))))=0,"",SUMIFS(INDEX(Inputs!$D$4:$AG$200,0,MATCH(AA$2,Inputs!$D$2:$AG$2,0)),Inputs!$B$4:$B$200,$B63)/1000)</f>
        <v>6688.82</v>
      </c>
      <c r="AB63" s="12">
        <f>IF(COUNT(X63:AA63)=4,SUM(X63:AA63),"")</f>
        <v>24870.588</v>
      </c>
      <c r="AC63" s="11">
        <f>IF(SUMPRODUCT((Inputs!$B$4:$B$200=$B63)*ISNUMBER(INDEX(Inputs!$D$4:$AG$200,0,MATCH(AC$2,Inputs!$D$2:$AG$2,0))))=0,"",SUMIFS(INDEX(Inputs!$D$4:$AG$200,0,MATCH(AC$2,Inputs!$D$2:$AG$2,0)),Inputs!$B$4:$B$200,$B63)/1000)</f>
        <v>7085.315149551</v>
      </c>
      <c r="AD63" s="11">
        <f>IF(SUMPRODUCT((Inputs!$B$4:$B$200=$B63)*ISNUMBER(INDEX(Inputs!$D$4:$AG$200,0,MATCH(AD$2,Inputs!$D$2:$AG$2,0))))=0,"",SUMIFS(INDEX(Inputs!$D$4:$AG$200,0,MATCH(AD$2,Inputs!$D$2:$AG$2,0)),Inputs!$B$4:$B$200,$B63)/1000)</f>
        <v>7412.786999999</v>
      </c>
      <c r="AE63" s="11" t="str">
        <f>IF(SUMPRODUCT((Inputs!$B$4:$B$200=$B63)*ISNUMBER(INDEX(Inputs!$D$4:$AG$200,0,MATCH(AE$2,Inputs!$D$2:$AG$2,0))))=0,"",SUMIFS(INDEX(Inputs!$D$4:$AG$200,0,MATCH(AE$2,Inputs!$D$2:$AG$2,0)),Inputs!$B$4:$B$200,$B63)/1000)</f>
        <v/>
      </c>
      <c r="AF63" s="11" t="str">
        <f>IF(SUMPRODUCT((Inputs!$B$4:$B$200=$B63)*ISNUMBER(INDEX(Inputs!$D$4:$AG$200,0,MATCH(AF$2,Inputs!$D$2:$AG$2,0))))=0,"",SUMIFS(INDEX(Inputs!$D$4:$AG$200,0,MATCH(AF$2,Inputs!$D$2:$AG$2,0)),Inputs!$B$4:$B$200,$B63)/1000)</f>
        <v/>
      </c>
      <c r="AG63" s="12" t="str">
        <f>IF(COUNT(AC63:AF63)=4,SUM(AC63:AF63),"")</f>
        <v/>
      </c>
    </row>
    <row r="64">
      <c r="B64" s="9" t="n">
        <v>56</v>
      </c>
      <c r="C64" s="10" t="inlineStr">
        <is>
          <t>RAC - taxa de ocupacao (Op Data l.16)</t>
        </is>
      </c>
      <c r="D64" s="11">
        <f>IF(SUMPRODUCT((Inputs!$B$4:$B$200=$B64)*ISNUMBER(INDEX(Inputs!$D$4:$AG$200,0,MATCH(D$2,Inputs!$D$2:$AG$2,0))))=0,"",SUMIFS(INDEX(Inputs!$D$4:$AG$200,0,MATCH(D$2,Inputs!$D$2:$AG$2,0)),Inputs!$B$4:$B$200,$B64)/1000)</f>
        <v>0.793</v>
      </c>
      <c r="E64" s="11">
        <f>IF(SUMPRODUCT((Inputs!$B$4:$B$200=$B64)*ISNUMBER(INDEX(Inputs!$D$4:$AG$200,0,MATCH(E$2,Inputs!$D$2:$AG$2,0))))=0,"",SUMIFS(INDEX(Inputs!$D$4:$AG$200,0,MATCH(E$2,Inputs!$D$2:$AG$2,0)),Inputs!$B$4:$B$200,$B64)/1000)</f>
        <v>0.796</v>
      </c>
      <c r="F64" s="11">
        <f>IF(SUMPRODUCT((Inputs!$B$4:$B$200=$B64)*ISNUMBER(INDEX(Inputs!$D$4:$AG$200,0,MATCH(F$2,Inputs!$D$2:$AG$2,0))))=0,"",SUMIFS(INDEX(Inputs!$D$4:$AG$200,0,MATCH(F$2,Inputs!$D$2:$AG$2,0)),Inputs!$B$4:$B$200,$B64)/1000)</f>
        <v>0.829</v>
      </c>
      <c r="G64" s="11">
        <f>IF(SUMPRODUCT((Inputs!$B$4:$B$200=$B64)*ISNUMBER(INDEX(Inputs!$D$4:$AG$200,0,MATCH(G$2,Inputs!$D$2:$AG$2,0))))=0,"",SUMIFS(INDEX(Inputs!$D$4:$AG$200,0,MATCH(G$2,Inputs!$D$2:$AG$2,0)),Inputs!$B$4:$B$200,$B64)/1000)</f>
        <v>0.808</v>
      </c>
      <c r="H64" s="12">
        <f>IF(COUNT(D64:G64)=4,SUM(D64:G64),"")</f>
        <v>3.226</v>
      </c>
      <c r="I64" s="11">
        <f>IF(SUMPRODUCT((Inputs!$B$4:$B$200=$B64)*ISNUMBER(INDEX(Inputs!$D$4:$AG$200,0,MATCH(I$2,Inputs!$D$2:$AG$2,0))))=0,"",SUMIFS(INDEX(Inputs!$D$4:$AG$200,0,MATCH(I$2,Inputs!$D$2:$AG$2,0)),Inputs!$B$4:$B$200,$B64)/1000)</f>
        <v>0.761</v>
      </c>
      <c r="J64" s="11">
        <f>IF(SUMPRODUCT((Inputs!$B$4:$B$200=$B64)*ISNUMBER(INDEX(Inputs!$D$4:$AG$200,0,MATCH(J$2,Inputs!$D$2:$AG$2,0))))=0,"",SUMIFS(INDEX(Inputs!$D$4:$AG$200,0,MATCH(J$2,Inputs!$D$2:$AG$2,0)),Inputs!$B$4:$B$200,$B64)/1000)</f>
        <v>0.793</v>
      </c>
      <c r="K64" s="11">
        <f>IF(SUMPRODUCT((Inputs!$B$4:$B$200=$B64)*ISNUMBER(INDEX(Inputs!$D$4:$AG$200,0,MATCH(K$2,Inputs!$D$2:$AG$2,0))))=0,"",SUMIFS(INDEX(Inputs!$D$4:$AG$200,0,MATCH(K$2,Inputs!$D$2:$AG$2,0)),Inputs!$B$4:$B$200,$B64)/1000)</f>
        <v>0.772</v>
      </c>
      <c r="L64" s="11">
        <f>IF(SUMPRODUCT((Inputs!$B$4:$B$200=$B64)*ISNUMBER(INDEX(Inputs!$D$4:$AG$200,0,MATCH(L$2,Inputs!$D$2:$AG$2,0))))=0,"",SUMIFS(INDEX(Inputs!$D$4:$AG$200,0,MATCH(L$2,Inputs!$D$2:$AG$2,0)),Inputs!$B$4:$B$200,$B64)/1000)</f>
        <v>0.766</v>
      </c>
      <c r="M64" s="12">
        <f>IF(COUNT(I64:L64)=4,SUM(I64:L64),"")</f>
        <v>3.092</v>
      </c>
      <c r="N64" s="11">
        <f>IF(SUMPRODUCT((Inputs!$B$4:$B$200=$B64)*ISNUMBER(INDEX(Inputs!$D$4:$AG$200,0,MATCH(N$2,Inputs!$D$2:$AG$2,0))))=0,"",SUMIFS(INDEX(Inputs!$D$4:$AG$200,0,MATCH(N$2,Inputs!$D$2:$AG$2,0)),Inputs!$B$4:$B$200,$B64)/1000)</f>
        <v>0.784</v>
      </c>
      <c r="O64" s="11">
        <f>IF(SUMPRODUCT((Inputs!$B$4:$B$200=$B64)*ISNUMBER(INDEX(Inputs!$D$4:$AG$200,0,MATCH(O$2,Inputs!$D$2:$AG$2,0))))=0,"",SUMIFS(INDEX(Inputs!$D$4:$AG$200,0,MATCH(O$2,Inputs!$D$2:$AG$2,0)),Inputs!$B$4:$B$200,$B64)/1000)</f>
        <v>0.783</v>
      </c>
      <c r="P64" s="11">
        <f>IF(SUMPRODUCT((Inputs!$B$4:$B$200=$B64)*ISNUMBER(INDEX(Inputs!$D$4:$AG$200,0,MATCH(P$2,Inputs!$D$2:$AG$2,0))))=0,"",SUMIFS(INDEX(Inputs!$D$4:$AG$200,0,MATCH(P$2,Inputs!$D$2:$AG$2,0)),Inputs!$B$4:$B$200,$B64)/1000)</f>
        <v>0.811</v>
      </c>
      <c r="Q64" s="11">
        <f>IF(SUMPRODUCT((Inputs!$B$4:$B$200=$B64)*ISNUMBER(INDEX(Inputs!$D$4:$AG$200,0,MATCH(Q$2,Inputs!$D$2:$AG$2,0))))=0,"",SUMIFS(INDEX(Inputs!$D$4:$AG$200,0,MATCH(Q$2,Inputs!$D$2:$AG$2,0)),Inputs!$B$4:$B$200,$B64)/1000)</f>
        <v>0.82</v>
      </c>
      <c r="R64" s="12">
        <f>IF(COUNT(N64:Q64)=4,SUM(N64:Q64),"")</f>
        <v>3.198</v>
      </c>
      <c r="S64" s="11">
        <f>IF(SUMPRODUCT((Inputs!$B$4:$B$200=$B64)*ISNUMBER(INDEX(Inputs!$D$4:$AG$200,0,MATCH(S$2,Inputs!$D$2:$AG$2,0))))=0,"",SUMIFS(INDEX(Inputs!$D$4:$AG$200,0,MATCH(S$2,Inputs!$D$2:$AG$2,0)),Inputs!$B$4:$B$200,$B64)/1000)</f>
        <v>0.802</v>
      </c>
      <c r="T64" s="11">
        <f>IF(SUMPRODUCT((Inputs!$B$4:$B$200=$B64)*ISNUMBER(INDEX(Inputs!$D$4:$AG$200,0,MATCH(T$2,Inputs!$D$2:$AG$2,0))))=0,"",SUMIFS(INDEX(Inputs!$D$4:$AG$200,0,MATCH(T$2,Inputs!$D$2:$AG$2,0)),Inputs!$B$4:$B$200,$B64)/1000)</f>
        <v>0.781</v>
      </c>
      <c r="U64" s="11">
        <f>IF(SUMPRODUCT((Inputs!$B$4:$B$200=$B64)*ISNUMBER(INDEX(Inputs!$D$4:$AG$200,0,MATCH(U$2,Inputs!$D$2:$AG$2,0))))=0,"",SUMIFS(INDEX(Inputs!$D$4:$AG$200,0,MATCH(U$2,Inputs!$D$2:$AG$2,0)),Inputs!$B$4:$B$200,$B64)/1000)</f>
        <v>0.781</v>
      </c>
      <c r="V64" s="11">
        <f>IF(SUMPRODUCT((Inputs!$B$4:$B$200=$B64)*ISNUMBER(INDEX(Inputs!$D$4:$AG$200,0,MATCH(V$2,Inputs!$D$2:$AG$2,0))))=0,"",SUMIFS(INDEX(Inputs!$D$4:$AG$200,0,MATCH(V$2,Inputs!$D$2:$AG$2,0)),Inputs!$B$4:$B$200,$B64)/1000)</f>
        <v>0.749</v>
      </c>
      <c r="W64" s="12">
        <f>IF(COUNT(S64:V64)=4,SUM(S64:V64),"")</f>
        <v>3.113</v>
      </c>
      <c r="X64" s="11">
        <f>IF(SUMPRODUCT((Inputs!$B$4:$B$200=$B64)*ISNUMBER(INDEX(Inputs!$D$4:$AG$200,0,MATCH(X$2,Inputs!$D$2:$AG$2,0))))=0,"",SUMIFS(INDEX(Inputs!$D$4:$AG$200,0,MATCH(X$2,Inputs!$D$2:$AG$2,0)),Inputs!$B$4:$B$200,$B64)/1000)</f>
        <v>0.717</v>
      </c>
      <c r="Y64" s="11">
        <f>IF(SUMPRODUCT((Inputs!$B$4:$B$200=$B64)*ISNUMBER(INDEX(Inputs!$D$4:$AG$200,0,MATCH(Y$2,Inputs!$D$2:$AG$2,0))))=0,"",SUMIFS(INDEX(Inputs!$D$4:$AG$200,0,MATCH(Y$2,Inputs!$D$2:$AG$2,0)),Inputs!$B$4:$B$200,$B64)/1000)</f>
        <v>0.741</v>
      </c>
      <c r="Z64" s="11">
        <f>IF(SUMPRODUCT((Inputs!$B$4:$B$200=$B64)*ISNUMBER(INDEX(Inputs!$D$4:$AG$200,0,MATCH(Z$2,Inputs!$D$2:$AG$2,0))))=0,"",SUMIFS(INDEX(Inputs!$D$4:$AG$200,0,MATCH(Z$2,Inputs!$D$2:$AG$2,0)),Inputs!$B$4:$B$200,$B64)/1000)</f>
        <v>0.718</v>
      </c>
      <c r="AA64" s="11">
        <f>IF(SUMPRODUCT((Inputs!$B$4:$B$200=$B64)*ISNUMBER(INDEX(Inputs!$D$4:$AG$200,0,MATCH(AA$2,Inputs!$D$2:$AG$2,0))))=0,"",SUMIFS(INDEX(Inputs!$D$4:$AG$200,0,MATCH(AA$2,Inputs!$D$2:$AG$2,0)),Inputs!$B$4:$B$200,$B64)/1000)</f>
        <v>0.758469913</v>
      </c>
      <c r="AB64" s="12">
        <f>IF(COUNT(X64:AA64)=4,SUM(X64:AA64),"")</f>
        <v>2.934469913</v>
      </c>
      <c r="AC64" s="11">
        <f>IF(SUMPRODUCT((Inputs!$B$4:$B$200=$B64)*ISNUMBER(INDEX(Inputs!$D$4:$AG$200,0,MATCH(AC$2,Inputs!$D$2:$AG$2,0))))=0,"",SUMIFS(INDEX(Inputs!$D$4:$AG$200,0,MATCH(AC$2,Inputs!$D$2:$AG$2,0)),Inputs!$B$4:$B$200,$B64)/1000)</f>
        <v>0.772834169</v>
      </c>
      <c r="AD64" s="11">
        <f>IF(SUMPRODUCT((Inputs!$B$4:$B$200=$B64)*ISNUMBER(INDEX(Inputs!$D$4:$AG$200,0,MATCH(AD$2,Inputs!$D$2:$AG$2,0))))=0,"",SUMIFS(INDEX(Inputs!$D$4:$AG$200,0,MATCH(AD$2,Inputs!$D$2:$AG$2,0)),Inputs!$B$4:$B$200,$B64)/1000)</f>
        <v>0.762080418</v>
      </c>
      <c r="AE64" s="11" t="str">
        <f>IF(SUMPRODUCT((Inputs!$B$4:$B$200=$B64)*ISNUMBER(INDEX(Inputs!$D$4:$AG$200,0,MATCH(AE$2,Inputs!$D$2:$AG$2,0))))=0,"",SUMIFS(INDEX(Inputs!$D$4:$AG$200,0,MATCH(AE$2,Inputs!$D$2:$AG$2,0)),Inputs!$B$4:$B$200,$B64)/1000)</f>
        <v/>
      </c>
      <c r="AF64" s="11" t="str">
        <f>IF(SUMPRODUCT((Inputs!$B$4:$B$200=$B64)*ISNUMBER(INDEX(Inputs!$D$4:$AG$200,0,MATCH(AF$2,Inputs!$D$2:$AG$2,0))))=0,"",SUMIFS(INDEX(Inputs!$D$4:$AG$200,0,MATCH(AF$2,Inputs!$D$2:$AG$2,0)),Inputs!$B$4:$B$200,$B64)/1000)</f>
        <v/>
      </c>
      <c r="AG64" s="12" t="str">
        <f>IF(COUNT(AC64:AF64)=4,SUM(AC64:AF64),"")</f>
        <v/>
      </c>
    </row>
    <row r="65">
      <c r="B65" s="9" t="n">
        <v>57</v>
      </c>
      <c r="C65" s="10" t="inlineStr">
        <is>
          <t>RAC - diaria media (R$; Op Data l.17)</t>
        </is>
      </c>
      <c r="D65" s="11">
        <f>IF(SUMPRODUCT((Inputs!$B$4:$B$200=$B65)*ISNUMBER(INDEX(Inputs!$D$4:$AG$200,0,MATCH(D$2,Inputs!$D$2:$AG$2,0))))=0,"",SUMIFS(INDEX(Inputs!$D$4:$AG$200,0,MATCH(D$2,Inputs!$D$2:$AG$2,0)),Inputs!$B$4:$B$200,$B65)/1000)</f>
        <v>81.742</v>
      </c>
      <c r="E65" s="11">
        <f>IF(SUMPRODUCT((Inputs!$B$4:$B$200=$B65)*ISNUMBER(INDEX(Inputs!$D$4:$AG$200,0,MATCH(E$2,Inputs!$D$2:$AG$2,0))))=0,"",SUMIFS(INDEX(Inputs!$D$4:$AG$200,0,MATCH(E$2,Inputs!$D$2:$AG$2,0)),Inputs!$B$4:$B$200,$B65)/1000)</f>
        <v>84.087</v>
      </c>
      <c r="F65" s="11">
        <f>IF(SUMPRODUCT((Inputs!$B$4:$B$200=$B65)*ISNUMBER(INDEX(Inputs!$D$4:$AG$200,0,MATCH(F$2,Inputs!$D$2:$AG$2,0))))=0,"",SUMIFS(INDEX(Inputs!$D$4:$AG$200,0,MATCH(F$2,Inputs!$D$2:$AG$2,0)),Inputs!$B$4:$B$200,$B65)/1000)</f>
        <v>96.404</v>
      </c>
      <c r="G65" s="11">
        <f>IF(SUMPRODUCT((Inputs!$B$4:$B$200=$B65)*ISNUMBER(INDEX(Inputs!$D$4:$AG$200,0,MATCH(G$2,Inputs!$D$2:$AG$2,0))))=0,"",SUMIFS(INDEX(Inputs!$D$4:$AG$200,0,MATCH(G$2,Inputs!$D$2:$AG$2,0)),Inputs!$B$4:$B$200,$B65)/1000)</f>
        <v>118.614</v>
      </c>
      <c r="H65" s="12">
        <f>IF(COUNT(D65:G65)=4,SUM(D65:G65),"")</f>
        <v>380.847</v>
      </c>
      <c r="I65" s="11">
        <f>IF(SUMPRODUCT((Inputs!$B$4:$B$200=$B65)*ISNUMBER(INDEX(Inputs!$D$4:$AG$200,0,MATCH(I$2,Inputs!$D$2:$AG$2,0))))=0,"",SUMIFS(INDEX(Inputs!$D$4:$AG$200,0,MATCH(I$2,Inputs!$D$2:$AG$2,0)),Inputs!$B$4:$B$200,$B65)/1000)</f>
        <v>118.61</v>
      </c>
      <c r="J65" s="11">
        <f>IF(SUMPRODUCT((Inputs!$B$4:$B$200=$B65)*ISNUMBER(INDEX(Inputs!$D$4:$AG$200,0,MATCH(J$2,Inputs!$D$2:$AG$2,0))))=0,"",SUMIFS(INDEX(Inputs!$D$4:$AG$200,0,MATCH(J$2,Inputs!$D$2:$AG$2,0)),Inputs!$B$4:$B$200,$B65)/1000)</f>
        <v>115.745</v>
      </c>
      <c r="K65" s="11">
        <f>IF(SUMPRODUCT((Inputs!$B$4:$B$200=$B65)*ISNUMBER(INDEX(Inputs!$D$4:$AG$200,0,MATCH(K$2,Inputs!$D$2:$AG$2,0))))=0,"",SUMIFS(INDEX(Inputs!$D$4:$AG$200,0,MATCH(K$2,Inputs!$D$2:$AG$2,0)),Inputs!$B$4:$B$200,$B65)/1000)</f>
        <v>128.557</v>
      </c>
      <c r="L65" s="11">
        <f>IF(SUMPRODUCT((Inputs!$B$4:$B$200=$B65)*ISNUMBER(INDEX(Inputs!$D$4:$AG$200,0,MATCH(L$2,Inputs!$D$2:$AG$2,0))))=0,"",SUMIFS(INDEX(Inputs!$D$4:$AG$200,0,MATCH(L$2,Inputs!$D$2:$AG$2,0)),Inputs!$B$4:$B$200,$B65)/1000)</f>
        <v>127.297</v>
      </c>
      <c r="M65" s="12">
        <f>IF(COUNT(I65:L65)=4,SUM(I65:L65),"")</f>
        <v>490.209</v>
      </c>
      <c r="N65" s="11">
        <f>IF(SUMPRODUCT((Inputs!$B$4:$B$200=$B65)*ISNUMBER(INDEX(Inputs!$D$4:$AG$200,0,MATCH(N$2,Inputs!$D$2:$AG$2,0))))=0,"",SUMIFS(INDEX(Inputs!$D$4:$AG$200,0,MATCH(N$2,Inputs!$D$2:$AG$2,0)),Inputs!$B$4:$B$200,$B65)/1000)</f>
        <v>126.002</v>
      </c>
      <c r="O65" s="11">
        <f>IF(SUMPRODUCT((Inputs!$B$4:$B$200=$B65)*ISNUMBER(INDEX(Inputs!$D$4:$AG$200,0,MATCH(O$2,Inputs!$D$2:$AG$2,0))))=0,"",SUMIFS(INDEX(Inputs!$D$4:$AG$200,0,MATCH(O$2,Inputs!$D$2:$AG$2,0)),Inputs!$B$4:$B$200,$B65)/1000)</f>
        <v>123.362</v>
      </c>
      <c r="P65" s="11">
        <f>IF(SUMPRODUCT((Inputs!$B$4:$B$200=$B65)*ISNUMBER(INDEX(Inputs!$D$4:$AG$200,0,MATCH(P$2,Inputs!$D$2:$AG$2,0))))=0,"",SUMIFS(INDEX(Inputs!$D$4:$AG$200,0,MATCH(P$2,Inputs!$D$2:$AG$2,0)),Inputs!$B$4:$B$200,$B65)/1000)</f>
        <v>124.524</v>
      </c>
      <c r="Q65" s="11">
        <f>IF(SUMPRODUCT((Inputs!$B$4:$B$200=$B65)*ISNUMBER(INDEX(Inputs!$D$4:$AG$200,0,MATCH(Q$2,Inputs!$D$2:$AG$2,0))))=0,"",SUMIFS(INDEX(Inputs!$D$4:$AG$200,0,MATCH(Q$2,Inputs!$D$2:$AG$2,0)),Inputs!$B$4:$B$200,$B65)/1000)</f>
        <v>126.1</v>
      </c>
      <c r="R65" s="12">
        <f>IF(COUNT(N65:Q65)=4,SUM(N65:Q65),"")</f>
        <v>499.988</v>
      </c>
      <c r="S65" s="11">
        <f>IF(SUMPRODUCT((Inputs!$B$4:$B$200=$B65)*ISNUMBER(INDEX(Inputs!$D$4:$AG$200,0,MATCH(S$2,Inputs!$D$2:$AG$2,0))))=0,"",SUMIFS(INDEX(Inputs!$D$4:$AG$200,0,MATCH(S$2,Inputs!$D$2:$AG$2,0)),Inputs!$B$4:$B$200,$B65)/1000)</f>
        <v>130.299</v>
      </c>
      <c r="T65" s="11">
        <f>IF(SUMPRODUCT((Inputs!$B$4:$B$200=$B65)*ISNUMBER(INDEX(Inputs!$D$4:$AG$200,0,MATCH(T$2,Inputs!$D$2:$AG$2,0))))=0,"",SUMIFS(INDEX(Inputs!$D$4:$AG$200,0,MATCH(T$2,Inputs!$D$2:$AG$2,0)),Inputs!$B$4:$B$200,$B65)/1000)</f>
        <v>134.541</v>
      </c>
      <c r="U65" s="11">
        <f>IF(SUMPRODUCT((Inputs!$B$4:$B$200=$B65)*ISNUMBER(INDEX(Inputs!$D$4:$AG$200,0,MATCH(U$2,Inputs!$D$2:$AG$2,0))))=0,"",SUMIFS(INDEX(Inputs!$D$4:$AG$200,0,MATCH(U$2,Inputs!$D$2:$AG$2,0)),Inputs!$B$4:$B$200,$B65)/1000)</f>
        <v>142.036</v>
      </c>
      <c r="V65" s="11">
        <f>IF(SUMPRODUCT((Inputs!$B$4:$B$200=$B65)*ISNUMBER(INDEX(Inputs!$D$4:$AG$200,0,MATCH(V$2,Inputs!$D$2:$AG$2,0))))=0,"",SUMIFS(INDEX(Inputs!$D$4:$AG$200,0,MATCH(V$2,Inputs!$D$2:$AG$2,0)),Inputs!$B$4:$B$200,$B65)/1000)</f>
        <v>150.723</v>
      </c>
      <c r="W65" s="12">
        <f>IF(COUNT(S65:V65)=4,SUM(S65:V65),"")</f>
        <v>557.599</v>
      </c>
      <c r="X65" s="11">
        <f>IF(SUMPRODUCT((Inputs!$B$4:$B$200=$B65)*ISNUMBER(INDEX(Inputs!$D$4:$AG$200,0,MATCH(X$2,Inputs!$D$2:$AG$2,0))))=0,"",SUMIFS(INDEX(Inputs!$D$4:$AG$200,0,MATCH(X$2,Inputs!$D$2:$AG$2,0)),Inputs!$B$4:$B$200,$B65)/1000)</f>
        <v>158.045</v>
      </c>
      <c r="Y65" s="11">
        <f>IF(SUMPRODUCT((Inputs!$B$4:$B$200=$B65)*ISNUMBER(INDEX(Inputs!$D$4:$AG$200,0,MATCH(Y$2,Inputs!$D$2:$AG$2,0))))=0,"",SUMIFS(INDEX(Inputs!$D$4:$AG$200,0,MATCH(Y$2,Inputs!$D$2:$AG$2,0)),Inputs!$B$4:$B$200,$B65)/1000)</f>
        <v>154.171</v>
      </c>
      <c r="Z65" s="11">
        <f>IF(SUMPRODUCT((Inputs!$B$4:$B$200=$B65)*ISNUMBER(INDEX(Inputs!$D$4:$AG$200,0,MATCH(Z$2,Inputs!$D$2:$AG$2,0))))=0,"",SUMIFS(INDEX(Inputs!$D$4:$AG$200,0,MATCH(Z$2,Inputs!$D$2:$AG$2,0)),Inputs!$B$4:$B$200,$B65)/1000)</f>
        <v>159.266</v>
      </c>
      <c r="AA65" s="11">
        <f>IF(SUMPRODUCT((Inputs!$B$4:$B$200=$B65)*ISNUMBER(INDEX(Inputs!$D$4:$AG$200,0,MATCH(AA$2,Inputs!$D$2:$AG$2,0))))=0,"",SUMIFS(INDEX(Inputs!$D$4:$AG$200,0,MATCH(AA$2,Inputs!$D$2:$AG$2,0)),Inputs!$B$4:$B$200,$B65)/1000)</f>
        <v>160.58785571</v>
      </c>
      <c r="AB65" s="12">
        <f>IF(COUNT(X65:AA65)=4,SUM(X65:AA65),"")</f>
        <v>632.06985571</v>
      </c>
      <c r="AC65" s="11">
        <f>IF(SUMPRODUCT((Inputs!$B$4:$B$200=$B65)*ISNUMBER(INDEX(Inputs!$D$4:$AG$200,0,MATCH(AC$2,Inputs!$D$2:$AG$2,0))))=0,"",SUMIFS(INDEX(Inputs!$D$4:$AG$200,0,MATCH(AC$2,Inputs!$D$2:$AG$2,0)),Inputs!$B$4:$B$200,$B65)/1000)</f>
        <v>168.451826808</v>
      </c>
      <c r="AD65" s="11">
        <f>IF(SUMPRODUCT((Inputs!$B$4:$B$200=$B65)*ISNUMBER(INDEX(Inputs!$D$4:$AG$200,0,MATCH(AD$2,Inputs!$D$2:$AG$2,0))))=0,"",SUMIFS(INDEX(Inputs!$D$4:$AG$200,0,MATCH(AD$2,Inputs!$D$2:$AG$2,0)),Inputs!$B$4:$B$200,$B65)/1000)</f>
        <v>164.725592339</v>
      </c>
      <c r="AE65" s="11" t="str">
        <f>IF(SUMPRODUCT((Inputs!$B$4:$B$200=$B65)*ISNUMBER(INDEX(Inputs!$D$4:$AG$200,0,MATCH(AE$2,Inputs!$D$2:$AG$2,0))))=0,"",SUMIFS(INDEX(Inputs!$D$4:$AG$200,0,MATCH(AE$2,Inputs!$D$2:$AG$2,0)),Inputs!$B$4:$B$200,$B65)/1000)</f>
        <v/>
      </c>
      <c r="AF65" s="11" t="str">
        <f>IF(SUMPRODUCT((Inputs!$B$4:$B$200=$B65)*ISNUMBER(INDEX(Inputs!$D$4:$AG$200,0,MATCH(AF$2,Inputs!$D$2:$AG$2,0))))=0,"",SUMIFS(INDEX(Inputs!$D$4:$AG$200,0,MATCH(AF$2,Inputs!$D$2:$AG$2,0)),Inputs!$B$4:$B$200,$B65)/1000)</f>
        <v/>
      </c>
      <c r="AG65" s="12" t="str">
        <f>IF(COUNT(AC65:AF65)=4,SUM(AC65:AF65),"")</f>
        <v/>
      </c>
    </row>
    <row r="66">
      <c r="B66" s="9" t="n">
        <v>58</v>
      </c>
      <c r="C66" s="10" t="inlineStr">
        <is>
          <t>RAC - receita media mensal por carro operacional (R$; Op Data l.18)</t>
        </is>
      </c>
      <c r="D66" s="11">
        <f>IF(SUMPRODUCT((Inputs!$B$4:$B$200=$B66)*ISNUMBER(INDEX(Inputs!$D$4:$AG$200,0,MATCH(D$2,Inputs!$D$2:$AG$2,0))))=0,"",SUMIFS(INDEX(Inputs!$D$4:$AG$200,0,MATCH(D$2,Inputs!$D$2:$AG$2,0)),Inputs!$B$4:$B$200,$B66)/1000)</f>
        <v>1926.167</v>
      </c>
      <c r="E66" s="11">
        <f>IF(SUMPRODUCT((Inputs!$B$4:$B$200=$B66)*ISNUMBER(INDEX(Inputs!$D$4:$AG$200,0,MATCH(E$2,Inputs!$D$2:$AG$2,0))))=0,"",SUMIFS(INDEX(Inputs!$D$4:$AG$200,0,MATCH(E$2,Inputs!$D$2:$AG$2,0)),Inputs!$B$4:$B$200,$B66)/1000)</f>
        <v>1838.986</v>
      </c>
      <c r="F66" s="11">
        <f>IF(SUMPRODUCT((Inputs!$B$4:$B$200=$B66)*ISNUMBER(INDEX(Inputs!$D$4:$AG$200,0,MATCH(F$2,Inputs!$D$2:$AG$2,0))))=0,"",SUMIFS(INDEX(Inputs!$D$4:$AG$200,0,MATCH(F$2,Inputs!$D$2:$AG$2,0)),Inputs!$B$4:$B$200,$B66)/1000)</f>
        <v>2237.514</v>
      </c>
      <c r="G66" s="11">
        <f>IF(SUMPRODUCT((Inputs!$B$4:$B$200=$B66)*ISNUMBER(INDEX(Inputs!$D$4:$AG$200,0,MATCH(G$2,Inputs!$D$2:$AG$2,0))))=0,"",SUMIFS(INDEX(Inputs!$D$4:$AG$200,0,MATCH(G$2,Inputs!$D$2:$AG$2,0)),Inputs!$B$4:$B$200,$B66)/1000)</f>
        <v>2769.63</v>
      </c>
      <c r="H66" s="12">
        <f>IF(COUNT(D66:G66)=4,SUM(D66:G66),"")</f>
        <v>8772.297</v>
      </c>
      <c r="I66" s="11">
        <f>IF(SUMPRODUCT((Inputs!$B$4:$B$200=$B66)*ISNUMBER(INDEX(Inputs!$D$4:$AG$200,0,MATCH(I$2,Inputs!$D$2:$AG$2,0))))=0,"",SUMIFS(INDEX(Inputs!$D$4:$AG$200,0,MATCH(I$2,Inputs!$D$2:$AG$2,0)),Inputs!$B$4:$B$200,$B66)/1000)</f>
        <v>2743.698</v>
      </c>
      <c r="J66" s="11">
        <f>IF(SUMPRODUCT((Inputs!$B$4:$B$200=$B66)*ISNUMBER(INDEX(Inputs!$D$4:$AG$200,0,MATCH(J$2,Inputs!$D$2:$AG$2,0))))=0,"",SUMIFS(INDEX(Inputs!$D$4:$AG$200,0,MATCH(J$2,Inputs!$D$2:$AG$2,0)),Inputs!$B$4:$B$200,$B66)/1000)</f>
        <v>2731.097</v>
      </c>
      <c r="K66" s="11">
        <f>IF(SUMPRODUCT((Inputs!$B$4:$B$200=$B66)*ISNUMBER(INDEX(Inputs!$D$4:$AG$200,0,MATCH(K$2,Inputs!$D$2:$AG$2,0))))=0,"",SUMIFS(INDEX(Inputs!$D$4:$AG$200,0,MATCH(K$2,Inputs!$D$2:$AG$2,0)),Inputs!$B$4:$B$200,$B66)/1000)</f>
        <v>2963.558</v>
      </c>
      <c r="L66" s="11">
        <f>IF(SUMPRODUCT((Inputs!$B$4:$B$200=$B66)*ISNUMBER(INDEX(Inputs!$D$4:$AG$200,0,MATCH(L$2,Inputs!$D$2:$AG$2,0))))=0,"",SUMIFS(INDEX(Inputs!$D$4:$AG$200,0,MATCH(L$2,Inputs!$D$2:$AG$2,0)),Inputs!$B$4:$B$200,$B66)/1000)</f>
        <v>2854.288</v>
      </c>
      <c r="M66" s="12">
        <f>IF(COUNT(I66:L66)=4,SUM(I66:L66),"")</f>
        <v>11292.641</v>
      </c>
      <c r="N66" s="11">
        <f>IF(SUMPRODUCT((Inputs!$B$4:$B$200=$B66)*ISNUMBER(INDEX(Inputs!$D$4:$AG$200,0,MATCH(N$2,Inputs!$D$2:$AG$2,0))))=0,"",SUMIFS(INDEX(Inputs!$D$4:$AG$200,0,MATCH(N$2,Inputs!$D$2:$AG$2,0)),Inputs!$B$4:$B$200,$B66)/1000)</f>
        <v>2939.168</v>
      </c>
      <c r="O66" s="11">
        <f>IF(SUMPRODUCT((Inputs!$B$4:$B$200=$B66)*ISNUMBER(INDEX(Inputs!$D$4:$AG$200,0,MATCH(O$2,Inputs!$D$2:$AG$2,0))))=0,"",SUMIFS(INDEX(Inputs!$D$4:$AG$200,0,MATCH(O$2,Inputs!$D$2:$AG$2,0)),Inputs!$B$4:$B$200,$B66)/1000)</f>
        <v>2909.796</v>
      </c>
      <c r="P66" s="11">
        <f>IF(SUMPRODUCT((Inputs!$B$4:$B$200=$B66)*ISNUMBER(INDEX(Inputs!$D$4:$AG$200,0,MATCH(P$2,Inputs!$D$2:$AG$2,0))))=0,"",SUMIFS(INDEX(Inputs!$D$4:$AG$200,0,MATCH(P$2,Inputs!$D$2:$AG$2,0)),Inputs!$B$4:$B$200,$B66)/1000)</f>
        <v>3054.435</v>
      </c>
      <c r="Q66" s="11">
        <f>IF(SUMPRODUCT((Inputs!$B$4:$B$200=$B66)*ISNUMBER(INDEX(Inputs!$D$4:$AG$200,0,MATCH(Q$2,Inputs!$D$2:$AG$2,0))))=0,"",SUMIFS(INDEX(Inputs!$D$4:$AG$200,0,MATCH(Q$2,Inputs!$D$2:$AG$2,0)),Inputs!$B$4:$B$200,$B66)/1000)</f>
        <v>3082.674</v>
      </c>
      <c r="R66" s="12">
        <f>IF(COUNT(N66:Q66)=4,SUM(N66:Q66),"")</f>
        <v>11986.073</v>
      </c>
      <c r="S66" s="11">
        <f>IF(SUMPRODUCT((Inputs!$B$4:$B$200=$B66)*ISNUMBER(INDEX(Inputs!$D$4:$AG$200,0,MATCH(S$2,Inputs!$D$2:$AG$2,0))))=0,"",SUMIFS(INDEX(Inputs!$D$4:$AG$200,0,MATCH(S$2,Inputs!$D$2:$AG$2,0)),Inputs!$B$4:$B$200,$B66)/1000)</f>
        <v>3105.783</v>
      </c>
      <c r="T66" s="11">
        <f>IF(SUMPRODUCT((Inputs!$B$4:$B$200=$B66)*ISNUMBER(INDEX(Inputs!$D$4:$AG$200,0,MATCH(T$2,Inputs!$D$2:$AG$2,0))))=0,"",SUMIFS(INDEX(Inputs!$D$4:$AG$200,0,MATCH(T$2,Inputs!$D$2:$AG$2,0)),Inputs!$B$4:$B$200,$B66)/1000)</f>
        <v>3087.035</v>
      </c>
      <c r="U66" s="11">
        <f>IF(SUMPRODUCT((Inputs!$B$4:$B$200=$B66)*ISNUMBER(INDEX(Inputs!$D$4:$AG$200,0,MATCH(U$2,Inputs!$D$2:$AG$2,0))))=0,"",SUMIFS(INDEX(Inputs!$D$4:$AG$200,0,MATCH(U$2,Inputs!$D$2:$AG$2,0)),Inputs!$B$4:$B$200,$B66)/1000)</f>
        <v>3257.833</v>
      </c>
      <c r="V66" s="11">
        <f>IF(SUMPRODUCT((Inputs!$B$4:$B$200=$B66)*ISNUMBER(INDEX(Inputs!$D$4:$AG$200,0,MATCH(V$2,Inputs!$D$2:$AG$2,0))))=0,"",SUMIFS(INDEX(Inputs!$D$4:$AG$200,0,MATCH(V$2,Inputs!$D$2:$AG$2,0)),Inputs!$B$4:$B$200,$B66)/1000)</f>
        <v>3381.404</v>
      </c>
      <c r="W66" s="12">
        <f>IF(COUNT(S66:V66)=4,SUM(S66:V66),"")</f>
        <v>12832.055</v>
      </c>
      <c r="X66" s="11">
        <f>IF(SUMPRODUCT((Inputs!$B$4:$B$200=$B66)*ISNUMBER(INDEX(Inputs!$D$4:$AG$200,0,MATCH(X$2,Inputs!$D$2:$AG$2,0))))=0,"",SUMIFS(INDEX(Inputs!$D$4:$AG$200,0,MATCH(X$2,Inputs!$D$2:$AG$2,0)),Inputs!$B$4:$B$200,$B66)/1000)</f>
        <v>3338.611</v>
      </c>
      <c r="Y66" s="11">
        <f>IF(SUMPRODUCT((Inputs!$B$4:$B$200=$B66)*ISNUMBER(INDEX(Inputs!$D$4:$AG$200,0,MATCH(Y$2,Inputs!$D$2:$AG$2,0))))=0,"",SUMIFS(INDEX(Inputs!$D$4:$AG$200,0,MATCH(Y$2,Inputs!$D$2:$AG$2,0)),Inputs!$B$4:$B$200,$B66)/1000)</f>
        <v>3427.762</v>
      </c>
      <c r="Z66" s="11">
        <f>IF(SUMPRODUCT((Inputs!$B$4:$B$200=$B66)*ISNUMBER(INDEX(Inputs!$D$4:$AG$200,0,MATCH(Z$2,Inputs!$D$2:$AG$2,0))))=0,"",SUMIFS(INDEX(Inputs!$D$4:$AG$200,0,MATCH(Z$2,Inputs!$D$2:$AG$2,0)),Inputs!$B$4:$B$200,$B66)/1000)</f>
        <v>3496.733</v>
      </c>
      <c r="AA66" s="11">
        <f>IF(SUMPRODUCT((Inputs!$B$4:$B$200=$B66)*ISNUMBER(INDEX(Inputs!$D$4:$AG$200,0,MATCH(AA$2,Inputs!$D$2:$AG$2,0))))=0,"",SUMIFS(INDEX(Inputs!$D$4:$AG$200,0,MATCH(AA$2,Inputs!$D$2:$AG$2,0)),Inputs!$B$4:$B$200,$B66)/1000)</f>
        <v>3704.223447775</v>
      </c>
      <c r="AB66" s="12">
        <f>IF(COUNT(X66:AA66)=4,SUM(X66:AA66),"")</f>
        <v>13967.329447775</v>
      </c>
      <c r="AC66" s="11">
        <f>IF(SUMPRODUCT((Inputs!$B$4:$B$200=$B66)*ISNUMBER(INDEX(Inputs!$D$4:$AG$200,0,MATCH(AC$2,Inputs!$D$2:$AG$2,0))))=0,"",SUMIFS(INDEX(Inputs!$D$4:$AG$200,0,MATCH(AC$2,Inputs!$D$2:$AG$2,0)),Inputs!$B$4:$B$200,$B66)/1000)</f>
        <v>3871.825066289</v>
      </c>
      <c r="AD66" s="11">
        <f>IF(SUMPRODUCT((Inputs!$B$4:$B$200=$B66)*ISNUMBER(INDEX(Inputs!$D$4:$AG$200,0,MATCH(AD$2,Inputs!$D$2:$AG$2,0))))=0,"",SUMIFS(INDEX(Inputs!$D$4:$AG$200,0,MATCH(AD$2,Inputs!$D$2:$AG$2,0)),Inputs!$B$4:$B$200,$B66)/1000)</f>
        <v>3740.476309076</v>
      </c>
      <c r="AE66" s="11" t="str">
        <f>IF(SUMPRODUCT((Inputs!$B$4:$B$200=$B66)*ISNUMBER(INDEX(Inputs!$D$4:$AG$200,0,MATCH(AE$2,Inputs!$D$2:$AG$2,0))))=0,"",SUMIFS(INDEX(Inputs!$D$4:$AG$200,0,MATCH(AE$2,Inputs!$D$2:$AG$2,0)),Inputs!$B$4:$B$200,$B66)/1000)</f>
        <v/>
      </c>
      <c r="AF66" s="11" t="str">
        <f>IF(SUMPRODUCT((Inputs!$B$4:$B$200=$B66)*ISNUMBER(INDEX(Inputs!$D$4:$AG$200,0,MATCH(AF$2,Inputs!$D$2:$AG$2,0))))=0,"",SUMIFS(INDEX(Inputs!$D$4:$AG$200,0,MATCH(AF$2,Inputs!$D$2:$AG$2,0)),Inputs!$B$4:$B$200,$B66)/1000)</f>
        <v/>
      </c>
      <c r="AG66" s="12" t="str">
        <f>IF(COUNT(AC66:AF66)=4,SUM(AC66:AF66),"")</f>
        <v/>
      </c>
    </row>
    <row r="67">
      <c r="B67" s="9" t="n">
        <v>59</v>
      </c>
      <c r="C67" s="10" t="inlineStr">
        <is>
          <t>GTF - frota no final do periodo (carros; Op Data l.20)</t>
        </is>
      </c>
      <c r="D67" s="11">
        <f>IF(SUMPRODUCT((Inputs!$B$4:$B$200=$B67)*ISNUMBER(INDEX(Inputs!$D$4:$AG$200,0,MATCH(D$2,Inputs!$D$2:$AG$2,0))))=0,"",SUMIFS(INDEX(Inputs!$D$4:$AG$200,0,MATCH(D$2,Inputs!$D$2:$AG$2,0)),Inputs!$B$4:$B$200,$B67)/1000)</f>
        <v>52395</v>
      </c>
      <c r="E67" s="11">
        <f>IF(SUMPRODUCT((Inputs!$B$4:$B$200=$B67)*ISNUMBER(INDEX(Inputs!$D$4:$AG$200,0,MATCH(E$2,Inputs!$D$2:$AG$2,0))))=0,"",SUMIFS(INDEX(Inputs!$D$4:$AG$200,0,MATCH(E$2,Inputs!$D$2:$AG$2,0)),Inputs!$B$4:$B$200,$B67)/1000)</f>
        <v>55776</v>
      </c>
      <c r="F67" s="11">
        <f>IF(SUMPRODUCT((Inputs!$B$4:$B$200=$B67)*ISNUMBER(INDEX(Inputs!$D$4:$AG$200,0,MATCH(F$2,Inputs!$D$2:$AG$2,0))))=0,"",SUMIFS(INDEX(Inputs!$D$4:$AG$200,0,MATCH(F$2,Inputs!$D$2:$AG$2,0)),Inputs!$B$4:$B$200,$B67)/1000)</f>
        <v>88379</v>
      </c>
      <c r="G67" s="11">
        <f>IF(SUMPRODUCT((Inputs!$B$4:$B$200=$B67)*ISNUMBER(INDEX(Inputs!$D$4:$AG$200,0,MATCH(G$2,Inputs!$D$2:$AG$2,0))))=0,"",SUMIFS(INDEX(Inputs!$D$4:$AG$200,0,MATCH(G$2,Inputs!$D$2:$AG$2,0)),Inputs!$B$4:$B$200,$B67)/1000)</f>
        <v>96303</v>
      </c>
      <c r="H67" s="12">
        <f>IF(COUNT(D67:G67)=4,SUM(D67:G67),"")</f>
        <v>292853</v>
      </c>
      <c r="I67" s="11">
        <f>IF(SUMPRODUCT((Inputs!$B$4:$B$200=$B67)*ISNUMBER(INDEX(Inputs!$D$4:$AG$200,0,MATCH(I$2,Inputs!$D$2:$AG$2,0))))=0,"",SUMIFS(INDEX(Inputs!$D$4:$AG$200,0,MATCH(I$2,Inputs!$D$2:$AG$2,0)),Inputs!$B$4:$B$200,$B67)/1000)</f>
        <v>95370</v>
      </c>
      <c r="J67" s="11">
        <f>IF(SUMPRODUCT((Inputs!$B$4:$B$200=$B67)*ISNUMBER(INDEX(Inputs!$D$4:$AG$200,0,MATCH(J$2,Inputs!$D$2:$AG$2,0))))=0,"",SUMIFS(INDEX(Inputs!$D$4:$AG$200,0,MATCH(J$2,Inputs!$D$2:$AG$2,0)),Inputs!$B$4:$B$200,$B67)/1000)</f>
        <v>106498</v>
      </c>
      <c r="K67" s="11">
        <f>IF(SUMPRODUCT((Inputs!$B$4:$B$200=$B67)*ISNUMBER(INDEX(Inputs!$D$4:$AG$200,0,MATCH(K$2,Inputs!$D$2:$AG$2,0))))=0,"",SUMIFS(INDEX(Inputs!$D$4:$AG$200,0,MATCH(K$2,Inputs!$D$2:$AG$2,0)),Inputs!$B$4:$B$200,$B67)/1000)</f>
        <v>107728</v>
      </c>
      <c r="L67" s="11">
        <f>IF(SUMPRODUCT((Inputs!$B$4:$B$200=$B67)*ISNUMBER(INDEX(Inputs!$D$4:$AG$200,0,MATCH(L$2,Inputs!$D$2:$AG$2,0))))=0,"",SUMIFS(INDEX(Inputs!$D$4:$AG$200,0,MATCH(L$2,Inputs!$D$2:$AG$2,0)),Inputs!$B$4:$B$200,$B67)/1000)</f>
        <v>112352</v>
      </c>
      <c r="M67" s="12">
        <f>IF(COUNT(I67:L67)=4,SUM(I67:L67),"")</f>
        <v>421948</v>
      </c>
      <c r="N67" s="11">
        <f>IF(SUMPRODUCT((Inputs!$B$4:$B$200=$B67)*ISNUMBER(INDEX(Inputs!$D$4:$AG$200,0,MATCH(N$2,Inputs!$D$2:$AG$2,0))))=0,"",SUMIFS(INDEX(Inputs!$D$4:$AG$200,0,MATCH(N$2,Inputs!$D$2:$AG$2,0)),Inputs!$B$4:$B$200,$B67)/1000)</f>
        <v>114617</v>
      </c>
      <c r="O67" s="11">
        <f>IF(SUMPRODUCT((Inputs!$B$4:$B$200=$B67)*ISNUMBER(INDEX(Inputs!$D$4:$AG$200,0,MATCH(O$2,Inputs!$D$2:$AG$2,0))))=0,"",SUMIFS(INDEX(Inputs!$D$4:$AG$200,0,MATCH(O$2,Inputs!$D$2:$AG$2,0)),Inputs!$B$4:$B$200,$B67)/1000)</f>
        <v>113678</v>
      </c>
      <c r="P67" s="11">
        <f>IF(SUMPRODUCT((Inputs!$B$4:$B$200=$B67)*ISNUMBER(INDEX(Inputs!$D$4:$AG$200,0,MATCH(P$2,Inputs!$D$2:$AG$2,0))))=0,"",SUMIFS(INDEX(Inputs!$D$4:$AG$200,0,MATCH(P$2,Inputs!$D$2:$AG$2,0)),Inputs!$B$4:$B$200,$B67)/1000)</f>
        <v>119574</v>
      </c>
      <c r="Q67" s="11">
        <f>IF(SUMPRODUCT((Inputs!$B$4:$B$200=$B67)*ISNUMBER(INDEX(Inputs!$D$4:$AG$200,0,MATCH(Q$2,Inputs!$D$2:$AG$2,0))))=0,"",SUMIFS(INDEX(Inputs!$D$4:$AG$200,0,MATCH(Q$2,Inputs!$D$2:$AG$2,0)),Inputs!$B$4:$B$200,$B67)/1000)</f>
        <v>130781</v>
      </c>
      <c r="R67" s="12">
        <f>IF(COUNT(N67:Q67)=4,SUM(N67:Q67),"")</f>
        <v>478650</v>
      </c>
      <c r="S67" s="11">
        <f>IF(SUMPRODUCT((Inputs!$B$4:$B$200=$B67)*ISNUMBER(INDEX(Inputs!$D$4:$AG$200,0,MATCH(S$2,Inputs!$D$2:$AG$2,0))))=0,"",SUMIFS(INDEX(Inputs!$D$4:$AG$200,0,MATCH(S$2,Inputs!$D$2:$AG$2,0)),Inputs!$B$4:$B$200,$B67)/1000)</f>
        <v>135628</v>
      </c>
      <c r="T67" s="11">
        <f>IF(SUMPRODUCT((Inputs!$B$4:$B$200=$B67)*ISNUMBER(INDEX(Inputs!$D$4:$AG$200,0,MATCH(T$2,Inputs!$D$2:$AG$2,0))))=0,"",SUMIFS(INDEX(Inputs!$D$4:$AG$200,0,MATCH(T$2,Inputs!$D$2:$AG$2,0)),Inputs!$B$4:$B$200,$B67)/1000)</f>
        <v>137648</v>
      </c>
      <c r="U67" s="11">
        <f>IF(SUMPRODUCT((Inputs!$B$4:$B$200=$B67)*ISNUMBER(INDEX(Inputs!$D$4:$AG$200,0,MATCH(U$2,Inputs!$D$2:$AG$2,0))))=0,"",SUMIFS(INDEX(Inputs!$D$4:$AG$200,0,MATCH(U$2,Inputs!$D$2:$AG$2,0)),Inputs!$B$4:$B$200,$B67)/1000)</f>
        <v>137405</v>
      </c>
      <c r="V67" s="11">
        <f>IF(SUMPRODUCT((Inputs!$B$4:$B$200=$B67)*ISNUMBER(INDEX(Inputs!$D$4:$AG$200,0,MATCH(V$2,Inputs!$D$2:$AG$2,0))))=0,"",SUMIFS(INDEX(Inputs!$D$4:$AG$200,0,MATCH(V$2,Inputs!$D$2:$AG$2,0)),Inputs!$B$4:$B$200,$B67)/1000)</f>
        <v>146543</v>
      </c>
      <c r="W67" s="12">
        <f>IF(COUNT(S67:V67)=4,SUM(S67:V67),"")</f>
        <v>557224</v>
      </c>
      <c r="X67" s="11">
        <f>IF(SUMPRODUCT((Inputs!$B$4:$B$200=$B67)*ISNUMBER(INDEX(Inputs!$D$4:$AG$200,0,MATCH(X$2,Inputs!$D$2:$AG$2,0))))=0,"",SUMIFS(INDEX(Inputs!$D$4:$AG$200,0,MATCH(X$2,Inputs!$D$2:$AG$2,0)),Inputs!$B$4:$B$200,$B67)/1000)</f>
        <v>143794</v>
      </c>
      <c r="Y67" s="11">
        <f>IF(SUMPRODUCT((Inputs!$B$4:$B$200=$B67)*ISNUMBER(INDEX(Inputs!$D$4:$AG$200,0,MATCH(Y$2,Inputs!$D$2:$AG$2,0))))=0,"",SUMIFS(INDEX(Inputs!$D$4:$AG$200,0,MATCH(Y$2,Inputs!$D$2:$AG$2,0)),Inputs!$B$4:$B$200,$B67)/1000)</f>
        <v>142296</v>
      </c>
      <c r="Z67" s="11">
        <f>IF(SUMPRODUCT((Inputs!$B$4:$B$200=$B67)*ISNUMBER(INDEX(Inputs!$D$4:$AG$200,0,MATCH(Z$2,Inputs!$D$2:$AG$2,0))))=0,"",SUMIFS(INDEX(Inputs!$D$4:$AG$200,0,MATCH(Z$2,Inputs!$D$2:$AG$2,0)),Inputs!$B$4:$B$200,$B67)/1000)</f>
        <v>143449</v>
      </c>
      <c r="AA67" s="11">
        <f>IF(SUMPRODUCT((Inputs!$B$4:$B$200=$B67)*ISNUMBER(INDEX(Inputs!$D$4:$AG$200,0,MATCH(AA$2,Inputs!$D$2:$AG$2,0))))=0,"",SUMIFS(INDEX(Inputs!$D$4:$AG$200,0,MATCH(AA$2,Inputs!$D$2:$AG$2,0)),Inputs!$B$4:$B$200,$B67)/1000)</f>
        <v>144207</v>
      </c>
      <c r="AB67" s="12">
        <f>IF(COUNT(X67:AA67)=4,SUM(X67:AA67),"")</f>
        <v>573746</v>
      </c>
      <c r="AC67" s="11">
        <f>IF(SUMPRODUCT((Inputs!$B$4:$B$200=$B67)*ISNUMBER(INDEX(Inputs!$D$4:$AG$200,0,MATCH(AC$2,Inputs!$D$2:$AG$2,0))))=0,"",SUMIFS(INDEX(Inputs!$D$4:$AG$200,0,MATCH(AC$2,Inputs!$D$2:$AG$2,0)),Inputs!$B$4:$B$200,$B67)/1000)</f>
        <v>141949</v>
      </c>
      <c r="AD67" s="11">
        <f>IF(SUMPRODUCT((Inputs!$B$4:$B$200=$B67)*ISNUMBER(INDEX(Inputs!$D$4:$AG$200,0,MATCH(AD$2,Inputs!$D$2:$AG$2,0))))=0,"",SUMIFS(INDEX(Inputs!$D$4:$AG$200,0,MATCH(AD$2,Inputs!$D$2:$AG$2,0)),Inputs!$B$4:$B$200,$B67)/1000)</f>
        <v>145882</v>
      </c>
      <c r="AE67" s="11" t="str">
        <f>IF(SUMPRODUCT((Inputs!$B$4:$B$200=$B67)*ISNUMBER(INDEX(Inputs!$D$4:$AG$200,0,MATCH(AE$2,Inputs!$D$2:$AG$2,0))))=0,"",SUMIFS(INDEX(Inputs!$D$4:$AG$200,0,MATCH(AE$2,Inputs!$D$2:$AG$2,0)),Inputs!$B$4:$B$200,$B67)/1000)</f>
        <v/>
      </c>
      <c r="AF67" s="11" t="str">
        <f>IF(SUMPRODUCT((Inputs!$B$4:$B$200=$B67)*ISNUMBER(INDEX(Inputs!$D$4:$AG$200,0,MATCH(AF$2,Inputs!$D$2:$AG$2,0))))=0,"",SUMIFS(INDEX(Inputs!$D$4:$AG$200,0,MATCH(AF$2,Inputs!$D$2:$AG$2,0)),Inputs!$B$4:$B$200,$B67)/1000)</f>
        <v/>
      </c>
      <c r="AG67" s="12" t="str">
        <f>IF(COUNT(AC67:AF67)=4,SUM(AC67:AF67),"")</f>
        <v/>
      </c>
    </row>
    <row r="68">
      <c r="B68" s="9" t="n">
        <v>60</v>
      </c>
      <c r="C68" s="10" t="inlineStr">
        <is>
          <t>GTF - frota media operacional (Op Data l.21)</t>
        </is>
      </c>
      <c r="D68" s="11">
        <f>IF(SUMPRODUCT((Inputs!$B$4:$B$200=$B68)*ISNUMBER(INDEX(Inputs!$D$4:$AG$200,0,MATCH(D$2,Inputs!$D$2:$AG$2,0))))=0,"",SUMIFS(INDEX(Inputs!$D$4:$AG$200,0,MATCH(D$2,Inputs!$D$2:$AG$2,0)),Inputs!$B$4:$B$200,$B68)/1000)</f>
        <v>44736.039</v>
      </c>
      <c r="E68" s="11">
        <f>IF(SUMPRODUCT((Inputs!$B$4:$B$200=$B68)*ISNUMBER(INDEX(Inputs!$D$4:$AG$200,0,MATCH(E$2,Inputs!$D$2:$AG$2,0))))=0,"",SUMIFS(INDEX(Inputs!$D$4:$AG$200,0,MATCH(E$2,Inputs!$D$2:$AG$2,0)),Inputs!$B$4:$B$200,$B68)/1000)</f>
        <v>49928.678</v>
      </c>
      <c r="F68" s="11">
        <f>IF(SUMPRODUCT((Inputs!$B$4:$B$200=$B68)*ISNUMBER(INDEX(Inputs!$D$4:$AG$200,0,MATCH(F$2,Inputs!$D$2:$AG$2,0))))=0,"",SUMIFS(INDEX(Inputs!$D$4:$AG$200,0,MATCH(F$2,Inputs!$D$2:$AG$2,0)),Inputs!$B$4:$B$200,$B68)/1000)</f>
        <v>68034.931</v>
      </c>
      <c r="G68" s="11">
        <f>IF(SUMPRODUCT((Inputs!$B$4:$B$200=$B68)*ISNUMBER(INDEX(Inputs!$D$4:$AG$200,0,MATCH(G$2,Inputs!$D$2:$AG$2,0))))=0,"",SUMIFS(INDEX(Inputs!$D$4:$AG$200,0,MATCH(G$2,Inputs!$D$2:$AG$2,0)),Inputs!$B$4:$B$200,$B68)/1000)</f>
        <v>79897.806</v>
      </c>
      <c r="H68" s="12">
        <f>IF(COUNT(D68:G68)=4,SUM(D68:G68),"")</f>
        <v>242597.454</v>
      </c>
      <c r="I68" s="11">
        <f>IF(SUMPRODUCT((Inputs!$B$4:$B$200=$B68)*ISNUMBER(INDEX(Inputs!$D$4:$AG$200,0,MATCH(I$2,Inputs!$D$2:$AG$2,0))))=0,"",SUMIFS(INDEX(Inputs!$D$4:$AG$200,0,MATCH(I$2,Inputs!$D$2:$AG$2,0)),Inputs!$B$4:$B$200,$B68)/1000)</f>
        <v>85083</v>
      </c>
      <c r="J68" s="11">
        <f>IF(SUMPRODUCT((Inputs!$B$4:$B$200=$B68)*ISNUMBER(INDEX(Inputs!$D$4:$AG$200,0,MATCH(J$2,Inputs!$D$2:$AG$2,0))))=0,"",SUMIFS(INDEX(Inputs!$D$4:$AG$200,0,MATCH(J$2,Inputs!$D$2:$AG$2,0)),Inputs!$B$4:$B$200,$B68)/1000)</f>
        <v>87101.167</v>
      </c>
      <c r="K68" s="11">
        <f>IF(SUMPRODUCT((Inputs!$B$4:$B$200=$B68)*ISNUMBER(INDEX(Inputs!$D$4:$AG$200,0,MATCH(K$2,Inputs!$D$2:$AG$2,0))))=0,"",SUMIFS(INDEX(Inputs!$D$4:$AG$200,0,MATCH(K$2,Inputs!$D$2:$AG$2,0)),Inputs!$B$4:$B$200,$B68)/1000)</f>
        <v>93595.199</v>
      </c>
      <c r="L68" s="11">
        <f>IF(SUMPRODUCT((Inputs!$B$4:$B$200=$B68)*ISNUMBER(INDEX(Inputs!$D$4:$AG$200,0,MATCH(L$2,Inputs!$D$2:$AG$2,0))))=0,"",SUMIFS(INDEX(Inputs!$D$4:$AG$200,0,MATCH(L$2,Inputs!$D$2:$AG$2,0)),Inputs!$B$4:$B$200,$B68)/1000)</f>
        <v>95705.704</v>
      </c>
      <c r="M68" s="12">
        <f>IF(COUNT(I68:L68)=4,SUM(I68:L68),"")</f>
        <v>361485.07</v>
      </c>
      <c r="N68" s="11">
        <f>IF(SUMPRODUCT((Inputs!$B$4:$B$200=$B68)*ISNUMBER(INDEX(Inputs!$D$4:$AG$200,0,MATCH(N$2,Inputs!$D$2:$AG$2,0))))=0,"",SUMIFS(INDEX(Inputs!$D$4:$AG$200,0,MATCH(N$2,Inputs!$D$2:$AG$2,0)),Inputs!$B$4:$B$200,$B68)/1000)</f>
        <v>98028</v>
      </c>
      <c r="O68" s="11">
        <f>IF(SUMPRODUCT((Inputs!$B$4:$B$200=$B68)*ISNUMBER(INDEX(Inputs!$D$4:$AG$200,0,MATCH(O$2,Inputs!$D$2:$AG$2,0))))=0,"",SUMIFS(INDEX(Inputs!$D$4:$AG$200,0,MATCH(O$2,Inputs!$D$2:$AG$2,0)),Inputs!$B$4:$B$200,$B68)/1000)</f>
        <v>100696.54</v>
      </c>
      <c r="P68" s="11">
        <f>IF(SUMPRODUCT((Inputs!$B$4:$B$200=$B68)*ISNUMBER(INDEX(Inputs!$D$4:$AG$200,0,MATCH(P$2,Inputs!$D$2:$AG$2,0))))=0,"",SUMIFS(INDEX(Inputs!$D$4:$AG$200,0,MATCH(P$2,Inputs!$D$2:$AG$2,0)),Inputs!$B$4:$B$200,$B68)/1000)</f>
        <v>101695.065</v>
      </c>
      <c r="Q68" s="11">
        <f>IF(SUMPRODUCT((Inputs!$B$4:$B$200=$B68)*ISNUMBER(INDEX(Inputs!$D$4:$AG$200,0,MATCH(Q$2,Inputs!$D$2:$AG$2,0))))=0,"",SUMIFS(INDEX(Inputs!$D$4:$AG$200,0,MATCH(Q$2,Inputs!$D$2:$AG$2,0)),Inputs!$B$4:$B$200,$B68)/1000)</f>
        <v>107000.321</v>
      </c>
      <c r="R68" s="12">
        <f>IF(COUNT(N68:Q68)=4,SUM(N68:Q68),"")</f>
        <v>407419.926</v>
      </c>
      <c r="S68" s="11">
        <f>IF(SUMPRODUCT((Inputs!$B$4:$B$200=$B68)*ISNUMBER(INDEX(Inputs!$D$4:$AG$200,0,MATCH(S$2,Inputs!$D$2:$AG$2,0))))=0,"",SUMIFS(INDEX(Inputs!$D$4:$AG$200,0,MATCH(S$2,Inputs!$D$2:$AG$2,0)),Inputs!$B$4:$B$200,$B68)/1000)</f>
        <v>112709.434</v>
      </c>
      <c r="T68" s="11">
        <f>IF(SUMPRODUCT((Inputs!$B$4:$B$200=$B68)*ISNUMBER(INDEX(Inputs!$D$4:$AG$200,0,MATCH(T$2,Inputs!$D$2:$AG$2,0))))=0,"",SUMIFS(INDEX(Inputs!$D$4:$AG$200,0,MATCH(T$2,Inputs!$D$2:$AG$2,0)),Inputs!$B$4:$B$200,$B68)/1000)</f>
        <v>118512.363</v>
      </c>
      <c r="U68" s="11">
        <f>IF(SUMPRODUCT((Inputs!$B$4:$B$200=$B68)*ISNUMBER(INDEX(Inputs!$D$4:$AG$200,0,MATCH(U$2,Inputs!$D$2:$AG$2,0))))=0,"",SUMIFS(INDEX(Inputs!$D$4:$AG$200,0,MATCH(U$2,Inputs!$D$2:$AG$2,0)),Inputs!$B$4:$B$200,$B68)/1000)</f>
        <v>123986.478</v>
      </c>
      <c r="V68" s="11">
        <f>IF(SUMPRODUCT((Inputs!$B$4:$B$200=$B68)*ISNUMBER(INDEX(Inputs!$D$4:$AG$200,0,MATCH(V$2,Inputs!$D$2:$AG$2,0))))=0,"",SUMIFS(INDEX(Inputs!$D$4:$AG$200,0,MATCH(V$2,Inputs!$D$2:$AG$2,0)),Inputs!$B$4:$B$200,$B68)/1000)</f>
        <v>127312.332</v>
      </c>
      <c r="W68" s="12">
        <f>IF(COUNT(S68:V68)=4,SUM(S68:V68),"")</f>
        <v>482520.607</v>
      </c>
      <c r="X68" s="11">
        <f>IF(SUMPRODUCT((Inputs!$B$4:$B$200=$B68)*ISNUMBER(INDEX(Inputs!$D$4:$AG$200,0,MATCH(X$2,Inputs!$D$2:$AG$2,0))))=0,"",SUMIFS(INDEX(Inputs!$D$4:$AG$200,0,MATCH(X$2,Inputs!$D$2:$AG$2,0)),Inputs!$B$4:$B$200,$B68)/1000)</f>
        <v>128683.5</v>
      </c>
      <c r="Y68" s="11">
        <f>IF(SUMPRODUCT((Inputs!$B$4:$B$200=$B68)*ISNUMBER(INDEX(Inputs!$D$4:$AG$200,0,MATCH(Y$2,Inputs!$D$2:$AG$2,0))))=0,"",SUMIFS(INDEX(Inputs!$D$4:$AG$200,0,MATCH(Y$2,Inputs!$D$2:$AG$2,0)),Inputs!$B$4:$B$200,$B68)/1000)</f>
        <v>126277.209</v>
      </c>
      <c r="Z68" s="11">
        <f>IF(SUMPRODUCT((Inputs!$B$4:$B$200=$B68)*ISNUMBER(INDEX(Inputs!$D$4:$AG$200,0,MATCH(Z$2,Inputs!$D$2:$AG$2,0))))=0,"",SUMIFS(INDEX(Inputs!$D$4:$AG$200,0,MATCH(Z$2,Inputs!$D$2:$AG$2,0)),Inputs!$B$4:$B$200,$B68)/1000)</f>
        <v>128188.924</v>
      </c>
      <c r="AA68" s="11">
        <f>IF(SUMPRODUCT((Inputs!$B$4:$B$200=$B68)*ISNUMBER(INDEX(Inputs!$D$4:$AG$200,0,MATCH(AA$2,Inputs!$D$2:$AG$2,0))))=0,"",SUMIFS(INDEX(Inputs!$D$4:$AG$200,0,MATCH(AA$2,Inputs!$D$2:$AG$2,0)),Inputs!$B$4:$B$200,$B68)/1000)</f>
        <v>129702.559782609</v>
      </c>
      <c r="AB68" s="12">
        <f>IF(COUNT(X68:AA68)=4,SUM(X68:AA68),"")</f>
        <v>512852.192782609</v>
      </c>
      <c r="AC68" s="11">
        <f>IF(SUMPRODUCT((Inputs!$B$4:$B$200=$B68)*ISNUMBER(INDEX(Inputs!$D$4:$AG$200,0,MATCH(AC$2,Inputs!$D$2:$AG$2,0))))=0,"",SUMIFS(INDEX(Inputs!$D$4:$AG$200,0,MATCH(AC$2,Inputs!$D$2:$AG$2,0)),Inputs!$B$4:$B$200,$B68)/1000)</f>
        <v>131043.644444444</v>
      </c>
      <c r="AD68" s="11">
        <f>IF(SUMPRODUCT((Inputs!$B$4:$B$200=$B68)*ISNUMBER(INDEX(Inputs!$D$4:$AG$200,0,MATCH(AD$2,Inputs!$D$2:$AG$2,0))))=0,"",SUMIFS(INDEX(Inputs!$D$4:$AG$200,0,MATCH(AD$2,Inputs!$D$2:$AG$2,0)),Inputs!$B$4:$B$200,$B68)/1000)</f>
        <v>130822.857142857</v>
      </c>
      <c r="AE68" s="11" t="str">
        <f>IF(SUMPRODUCT((Inputs!$B$4:$B$200=$B68)*ISNUMBER(INDEX(Inputs!$D$4:$AG$200,0,MATCH(AE$2,Inputs!$D$2:$AG$2,0))))=0,"",SUMIFS(INDEX(Inputs!$D$4:$AG$200,0,MATCH(AE$2,Inputs!$D$2:$AG$2,0)),Inputs!$B$4:$B$200,$B68)/1000)</f>
        <v/>
      </c>
      <c r="AF68" s="11" t="str">
        <f>IF(SUMPRODUCT((Inputs!$B$4:$B$200=$B68)*ISNUMBER(INDEX(Inputs!$D$4:$AG$200,0,MATCH(AF$2,Inputs!$D$2:$AG$2,0))))=0,"",SUMIFS(INDEX(Inputs!$D$4:$AG$200,0,MATCH(AF$2,Inputs!$D$2:$AG$2,0)),Inputs!$B$4:$B$200,$B68)/1000)</f>
        <v/>
      </c>
      <c r="AG68" s="12" t="str">
        <f>IF(COUNT(AC68:AF68)=4,SUM(AC68:AF68),"")</f>
        <v/>
      </c>
    </row>
    <row r="69">
      <c r="B69" s="9" t="n">
        <v>61</v>
      </c>
      <c r="C69" s="10" t="inlineStr">
        <is>
          <t>GTF - ticket medio mensal (R$; Op Data l.25)</t>
        </is>
      </c>
      <c r="D69" s="11">
        <f>IF(SUMPRODUCT((Inputs!$B$4:$B$200=$B69)*ISNUMBER(INDEX(Inputs!$D$4:$AG$200,0,MATCH(D$2,Inputs!$D$2:$AG$2,0))))=0,"",SUMIFS(INDEX(Inputs!$D$4:$AG$200,0,MATCH(D$2,Inputs!$D$2:$AG$2,0)),Inputs!$B$4:$B$200,$B69)/1000)</f>
        <v>1372.319</v>
      </c>
      <c r="E69" s="11">
        <f>IF(SUMPRODUCT((Inputs!$B$4:$B$200=$B69)*ISNUMBER(INDEX(Inputs!$D$4:$AG$200,0,MATCH(E$2,Inputs!$D$2:$AG$2,0))))=0,"",SUMIFS(INDEX(Inputs!$D$4:$AG$200,0,MATCH(E$2,Inputs!$D$2:$AG$2,0)),Inputs!$B$4:$B$200,$B69)/1000)</f>
        <v>1446.677</v>
      </c>
      <c r="F69" s="11">
        <f>IF(SUMPRODUCT((Inputs!$B$4:$B$200=$B69)*ISNUMBER(INDEX(Inputs!$D$4:$AG$200,0,MATCH(F$2,Inputs!$D$2:$AG$2,0))))=0,"",SUMIFS(INDEX(Inputs!$D$4:$AG$200,0,MATCH(F$2,Inputs!$D$2:$AG$2,0)),Inputs!$B$4:$B$200,$B69)/1000)</f>
        <v>1556.347</v>
      </c>
      <c r="G69" s="11">
        <f>IF(SUMPRODUCT((Inputs!$B$4:$B$200=$B69)*ISNUMBER(INDEX(Inputs!$D$4:$AG$200,0,MATCH(G$2,Inputs!$D$2:$AG$2,0))))=0,"",SUMIFS(INDEX(Inputs!$D$4:$AG$200,0,MATCH(G$2,Inputs!$D$2:$AG$2,0)),Inputs!$B$4:$B$200,$B69)/1000)</f>
        <v>1554.954</v>
      </c>
      <c r="H69" s="12">
        <f>IF(COUNT(D69:G69)=4,SUM(D69:G69),"")</f>
        <v>5930.297</v>
      </c>
      <c r="I69" s="11">
        <f>IF(SUMPRODUCT((Inputs!$B$4:$B$200=$B69)*ISNUMBER(INDEX(Inputs!$D$4:$AG$200,0,MATCH(I$2,Inputs!$D$2:$AG$2,0))))=0,"",SUMIFS(INDEX(Inputs!$D$4:$AG$200,0,MATCH(I$2,Inputs!$D$2:$AG$2,0)),Inputs!$B$4:$B$200,$B69)/1000)</f>
        <v>1656.1</v>
      </c>
      <c r="J69" s="11">
        <f>IF(SUMPRODUCT((Inputs!$B$4:$B$200=$B69)*ISNUMBER(INDEX(Inputs!$D$4:$AG$200,0,MATCH(J$2,Inputs!$D$2:$AG$2,0))))=0,"",SUMIFS(INDEX(Inputs!$D$4:$AG$200,0,MATCH(J$2,Inputs!$D$2:$AG$2,0)),Inputs!$B$4:$B$200,$B69)/1000)</f>
        <v>1785.39</v>
      </c>
      <c r="K69" s="11">
        <f>IF(SUMPRODUCT((Inputs!$B$4:$B$200=$B69)*ISNUMBER(INDEX(Inputs!$D$4:$AG$200,0,MATCH(K$2,Inputs!$D$2:$AG$2,0))))=0,"",SUMIFS(INDEX(Inputs!$D$4:$AG$200,0,MATCH(K$2,Inputs!$D$2:$AG$2,0)),Inputs!$B$4:$B$200,$B69)/1000)</f>
        <v>1811.553</v>
      </c>
      <c r="L69" s="11">
        <f>IF(SUMPRODUCT((Inputs!$B$4:$B$200=$B69)*ISNUMBER(INDEX(Inputs!$D$4:$AG$200,0,MATCH(L$2,Inputs!$D$2:$AG$2,0))))=0,"",SUMIFS(INDEX(Inputs!$D$4:$AG$200,0,MATCH(L$2,Inputs!$D$2:$AG$2,0)),Inputs!$B$4:$B$200,$B69)/1000)</f>
        <v>1924.074</v>
      </c>
      <c r="M69" s="12">
        <f>IF(COUNT(I69:L69)=4,SUM(I69:L69),"")</f>
        <v>7177.117</v>
      </c>
      <c r="N69" s="11">
        <f>IF(SUMPRODUCT((Inputs!$B$4:$B$200=$B69)*ISNUMBER(INDEX(Inputs!$D$4:$AG$200,0,MATCH(N$2,Inputs!$D$2:$AG$2,0))))=0,"",SUMIFS(INDEX(Inputs!$D$4:$AG$200,0,MATCH(N$2,Inputs!$D$2:$AG$2,0)),Inputs!$B$4:$B$200,$B69)/1000)</f>
        <v>2040.898</v>
      </c>
      <c r="O69" s="11">
        <f>IF(SUMPRODUCT((Inputs!$B$4:$B$200=$B69)*ISNUMBER(INDEX(Inputs!$D$4:$AG$200,0,MATCH(O$2,Inputs!$D$2:$AG$2,0))))=0,"",SUMIFS(INDEX(Inputs!$D$4:$AG$200,0,MATCH(O$2,Inputs!$D$2:$AG$2,0)),Inputs!$B$4:$B$200,$B69)/1000)</f>
        <v>2110.268</v>
      </c>
      <c r="P69" s="11">
        <f>IF(SUMPRODUCT((Inputs!$B$4:$B$200=$B69)*ISNUMBER(INDEX(Inputs!$D$4:$AG$200,0,MATCH(P$2,Inputs!$D$2:$AG$2,0))))=0,"",SUMIFS(INDEX(Inputs!$D$4:$AG$200,0,MATCH(P$2,Inputs!$D$2:$AG$2,0)),Inputs!$B$4:$B$200,$B69)/1000)</f>
        <v>2191.255</v>
      </c>
      <c r="Q69" s="11">
        <f>IF(SUMPRODUCT((Inputs!$B$4:$B$200=$B69)*ISNUMBER(INDEX(Inputs!$D$4:$AG$200,0,MATCH(Q$2,Inputs!$D$2:$AG$2,0))))=0,"",SUMIFS(INDEX(Inputs!$D$4:$AG$200,0,MATCH(Q$2,Inputs!$D$2:$AG$2,0)),Inputs!$B$4:$B$200,$B69)/1000)</f>
        <v>2275.453</v>
      </c>
      <c r="R69" s="12">
        <f>IF(COUNT(N69:Q69)=4,SUM(N69:Q69),"")</f>
        <v>8617.874</v>
      </c>
      <c r="S69" s="11">
        <f>IF(SUMPRODUCT((Inputs!$B$4:$B$200=$B69)*ISNUMBER(INDEX(Inputs!$D$4:$AG$200,0,MATCH(S$2,Inputs!$D$2:$AG$2,0))))=0,"",SUMIFS(INDEX(Inputs!$D$4:$AG$200,0,MATCH(S$2,Inputs!$D$2:$AG$2,0)),Inputs!$B$4:$B$200,$B69)/1000)</f>
        <v>2380.167</v>
      </c>
      <c r="T69" s="11">
        <f>IF(SUMPRODUCT((Inputs!$B$4:$B$200=$B69)*ISNUMBER(INDEX(Inputs!$D$4:$AG$200,0,MATCH(T$2,Inputs!$D$2:$AG$2,0))))=0,"",SUMIFS(INDEX(Inputs!$D$4:$AG$200,0,MATCH(T$2,Inputs!$D$2:$AG$2,0)),Inputs!$B$4:$B$200,$B69)/1000)</f>
        <v>2582.26</v>
      </c>
      <c r="U69" s="11">
        <f>IF(SUMPRODUCT((Inputs!$B$4:$B$200=$B69)*ISNUMBER(INDEX(Inputs!$D$4:$AG$200,0,MATCH(U$2,Inputs!$D$2:$AG$2,0))))=0,"",SUMIFS(INDEX(Inputs!$D$4:$AG$200,0,MATCH(U$2,Inputs!$D$2:$AG$2,0)),Inputs!$B$4:$B$200,$B69)/1000)</f>
        <v>2695.784</v>
      </c>
      <c r="V69" s="11">
        <f>IF(SUMPRODUCT((Inputs!$B$4:$B$200=$B69)*ISNUMBER(INDEX(Inputs!$D$4:$AG$200,0,MATCH(V$2,Inputs!$D$2:$AG$2,0))))=0,"",SUMIFS(INDEX(Inputs!$D$4:$AG$200,0,MATCH(V$2,Inputs!$D$2:$AG$2,0)),Inputs!$B$4:$B$200,$B69)/1000)</f>
        <v>2780.174</v>
      </c>
      <c r="W69" s="12">
        <f>IF(COUNT(S69:V69)=4,SUM(S69:V69),"")</f>
        <v>10438.385</v>
      </c>
      <c r="X69" s="11">
        <f>IF(SUMPRODUCT((Inputs!$B$4:$B$200=$B69)*ISNUMBER(INDEX(Inputs!$D$4:$AG$200,0,MATCH(X$2,Inputs!$D$2:$AG$2,0))))=0,"",SUMIFS(INDEX(Inputs!$D$4:$AG$200,0,MATCH(X$2,Inputs!$D$2:$AG$2,0)),Inputs!$B$4:$B$200,$B69)/1000)</f>
        <v>2855.385</v>
      </c>
      <c r="Y69" s="11">
        <f>IF(SUMPRODUCT((Inputs!$B$4:$B$200=$B69)*ISNUMBER(INDEX(Inputs!$D$4:$AG$200,0,MATCH(Y$2,Inputs!$D$2:$AG$2,0))))=0,"",SUMIFS(INDEX(Inputs!$D$4:$AG$200,0,MATCH(Y$2,Inputs!$D$2:$AG$2,0)),Inputs!$B$4:$B$200,$B69)/1000)</f>
        <v>2948.728</v>
      </c>
      <c r="Z69" s="11">
        <f>IF(SUMPRODUCT((Inputs!$B$4:$B$200=$B69)*ISNUMBER(INDEX(Inputs!$D$4:$AG$200,0,MATCH(Z$2,Inputs!$D$2:$AG$2,0))))=0,"",SUMIFS(INDEX(Inputs!$D$4:$AG$200,0,MATCH(Z$2,Inputs!$D$2:$AG$2,0)),Inputs!$B$4:$B$200,$B69)/1000)</f>
        <v>3025.387</v>
      </c>
      <c r="AA69" s="11">
        <f>IF(SUMPRODUCT((Inputs!$B$4:$B$200=$B69)*ISNUMBER(INDEX(Inputs!$D$4:$AG$200,0,MATCH(AA$2,Inputs!$D$2:$AG$2,0))))=0,"",SUMIFS(INDEX(Inputs!$D$4:$AG$200,0,MATCH(AA$2,Inputs!$D$2:$AG$2,0)),Inputs!$B$4:$B$200,$B69)/1000)</f>
        <v>3123.287436343</v>
      </c>
      <c r="AB69" s="12">
        <f>IF(COUNT(X69:AA69)=4,SUM(X69:AA69),"")</f>
        <v>11952.787436343</v>
      </c>
      <c r="AC69" s="11">
        <f>IF(SUMPRODUCT((Inputs!$B$4:$B$200=$B69)*ISNUMBER(INDEX(Inputs!$D$4:$AG$200,0,MATCH(AC$2,Inputs!$D$2:$AG$2,0))))=0,"",SUMIFS(INDEX(Inputs!$D$4:$AG$200,0,MATCH(AC$2,Inputs!$D$2:$AG$2,0)),Inputs!$B$4:$B$200,$B69)/1000)</f>
        <v>3162.020318345</v>
      </c>
      <c r="AD69" s="11">
        <f>IF(SUMPRODUCT((Inputs!$B$4:$B$200=$B69)*ISNUMBER(INDEX(Inputs!$D$4:$AG$200,0,MATCH(AD$2,Inputs!$D$2:$AG$2,0))))=0,"",SUMIFS(INDEX(Inputs!$D$4:$AG$200,0,MATCH(AD$2,Inputs!$D$2:$AG$2,0)),Inputs!$B$4:$B$200,$B69)/1000)</f>
        <v>3288.956832502</v>
      </c>
      <c r="AE69" s="11" t="str">
        <f>IF(SUMPRODUCT((Inputs!$B$4:$B$200=$B69)*ISNUMBER(INDEX(Inputs!$D$4:$AG$200,0,MATCH(AE$2,Inputs!$D$2:$AG$2,0))))=0,"",SUMIFS(INDEX(Inputs!$D$4:$AG$200,0,MATCH(AE$2,Inputs!$D$2:$AG$2,0)),Inputs!$B$4:$B$200,$B69)/1000)</f>
        <v/>
      </c>
      <c r="AF69" s="11" t="str">
        <f>IF(SUMPRODUCT((Inputs!$B$4:$B$200=$B69)*ISNUMBER(INDEX(Inputs!$D$4:$AG$200,0,MATCH(AF$2,Inputs!$D$2:$AG$2,0))))=0,"",SUMIFS(INDEX(Inputs!$D$4:$AG$200,0,MATCH(AF$2,Inputs!$D$2:$AG$2,0)),Inputs!$B$4:$B$200,$B69)/1000)</f>
        <v/>
      </c>
      <c r="AG69" s="12" t="str">
        <f>IF(COUNT(AC69:AF69)=4,SUM(AC69:AF69),"")</f>
        <v/>
      </c>
    </row>
    <row r="70">
      <c r="B70" s="9" t="n">
        <v>62</v>
      </c>
      <c r="C70" s="10" t="inlineStr">
        <is>
          <t>Seminovos - carros vendidos (Op Data l.28)</t>
        </is>
      </c>
      <c r="D70" s="11">
        <f>IF(SUMPRODUCT((Inputs!$B$4:$B$200=$B70)*ISNUMBER(INDEX(Inputs!$D$4:$AG$200,0,MATCH(D$2,Inputs!$D$2:$AG$2,0))))=0,"",SUMIFS(INDEX(Inputs!$D$4:$AG$200,0,MATCH(D$2,Inputs!$D$2:$AG$2,0)),Inputs!$B$4:$B$200,$B70)/1000)</f>
        <v>5356</v>
      </c>
      <c r="E70" s="11">
        <f>IF(SUMPRODUCT((Inputs!$B$4:$B$200=$B70)*ISNUMBER(INDEX(Inputs!$D$4:$AG$200,0,MATCH(E$2,Inputs!$D$2:$AG$2,0))))=0,"",SUMIFS(INDEX(Inputs!$D$4:$AG$200,0,MATCH(E$2,Inputs!$D$2:$AG$2,0)),Inputs!$B$4:$B$200,$B70)/1000)</f>
        <v>12462</v>
      </c>
      <c r="F70" s="11">
        <f>IF(SUMPRODUCT((Inputs!$B$4:$B$200=$B70)*ISNUMBER(INDEX(Inputs!$D$4:$AG$200,0,MATCH(F$2,Inputs!$D$2:$AG$2,0))))=0,"",SUMIFS(INDEX(Inputs!$D$4:$AG$200,0,MATCH(F$2,Inputs!$D$2:$AG$2,0)),Inputs!$B$4:$B$200,$B70)/1000)</f>
        <v>14509</v>
      </c>
      <c r="G70" s="11">
        <f>IF(SUMPRODUCT((Inputs!$B$4:$B$200=$B70)*ISNUMBER(INDEX(Inputs!$D$4:$AG$200,0,MATCH(G$2,Inputs!$D$2:$AG$2,0))))=0,"",SUMIFS(INDEX(Inputs!$D$4:$AG$200,0,MATCH(G$2,Inputs!$D$2:$AG$2,0)),Inputs!$B$4:$B$200,$B70)/1000)</f>
        <v>12472</v>
      </c>
      <c r="H70" s="12">
        <f>IF(COUNT(D70:G70)=4,SUM(D70:G70),"")</f>
        <v>44799</v>
      </c>
      <c r="I70" s="11">
        <f>IF(SUMPRODUCT((Inputs!$B$4:$B$200=$B70)*ISNUMBER(INDEX(Inputs!$D$4:$AG$200,0,MATCH(I$2,Inputs!$D$2:$AG$2,0))))=0,"",SUMIFS(INDEX(Inputs!$D$4:$AG$200,0,MATCH(I$2,Inputs!$D$2:$AG$2,0)),Inputs!$B$4:$B$200,$B70)/1000)</f>
        <v>15225</v>
      </c>
      <c r="J70" s="11">
        <f>IF(SUMPRODUCT((Inputs!$B$4:$B$200=$B70)*ISNUMBER(INDEX(Inputs!$D$4:$AG$200,0,MATCH(J$2,Inputs!$D$2:$AG$2,0))))=0,"",SUMIFS(INDEX(Inputs!$D$4:$AG$200,0,MATCH(J$2,Inputs!$D$2:$AG$2,0)),Inputs!$B$4:$B$200,$B70)/1000)</f>
        <v>18474</v>
      </c>
      <c r="K70" s="11">
        <f>IF(SUMPRODUCT((Inputs!$B$4:$B$200=$B70)*ISNUMBER(INDEX(Inputs!$D$4:$AG$200,0,MATCH(K$2,Inputs!$D$2:$AG$2,0))))=0,"",SUMIFS(INDEX(Inputs!$D$4:$AG$200,0,MATCH(K$2,Inputs!$D$2:$AG$2,0)),Inputs!$B$4:$B$200,$B70)/1000)</f>
        <v>20023</v>
      </c>
      <c r="L70" s="11">
        <f>IF(SUMPRODUCT((Inputs!$B$4:$B$200=$B70)*ISNUMBER(INDEX(Inputs!$D$4:$AG$200,0,MATCH(L$2,Inputs!$D$2:$AG$2,0))))=0,"",SUMIFS(INDEX(Inputs!$D$4:$AG$200,0,MATCH(L$2,Inputs!$D$2:$AG$2,0)),Inputs!$B$4:$B$200,$B70)/1000)</f>
        <v>18697</v>
      </c>
      <c r="M70" s="12">
        <f>IF(COUNT(I70:L70)=4,SUM(I70:L70),"")</f>
        <v>72419</v>
      </c>
      <c r="N70" s="11">
        <f>IF(SUMPRODUCT((Inputs!$B$4:$B$200=$B70)*ISNUMBER(INDEX(Inputs!$D$4:$AG$200,0,MATCH(N$2,Inputs!$D$2:$AG$2,0))))=0,"",SUMIFS(INDEX(Inputs!$D$4:$AG$200,0,MATCH(N$2,Inputs!$D$2:$AG$2,0)),Inputs!$B$4:$B$200,$B70)/1000)</f>
        <v>19610</v>
      </c>
      <c r="O70" s="11">
        <f>IF(SUMPRODUCT((Inputs!$B$4:$B$200=$B70)*ISNUMBER(INDEX(Inputs!$D$4:$AG$200,0,MATCH(O$2,Inputs!$D$2:$AG$2,0))))=0,"",SUMIFS(INDEX(Inputs!$D$4:$AG$200,0,MATCH(O$2,Inputs!$D$2:$AG$2,0)),Inputs!$B$4:$B$200,$B70)/1000)</f>
        <v>18806</v>
      </c>
      <c r="P70" s="11">
        <f>IF(SUMPRODUCT((Inputs!$B$4:$B$200=$B70)*ISNUMBER(INDEX(Inputs!$D$4:$AG$200,0,MATCH(P$2,Inputs!$D$2:$AG$2,0))))=0,"",SUMIFS(INDEX(Inputs!$D$4:$AG$200,0,MATCH(P$2,Inputs!$D$2:$AG$2,0)),Inputs!$B$4:$B$200,$B70)/1000)</f>
        <v>20503</v>
      </c>
      <c r="Q70" s="11">
        <f>IF(SUMPRODUCT((Inputs!$B$4:$B$200=$B70)*ISNUMBER(INDEX(Inputs!$D$4:$AG$200,0,MATCH(Q$2,Inputs!$D$2:$AG$2,0))))=0,"",SUMIFS(INDEX(Inputs!$D$4:$AG$200,0,MATCH(Q$2,Inputs!$D$2:$AG$2,0)),Inputs!$B$4:$B$200,$B70)/1000)</f>
        <v>17253</v>
      </c>
      <c r="R70" s="12">
        <f>IF(COUNT(N70:Q70)=4,SUM(N70:Q70),"")</f>
        <v>76172</v>
      </c>
      <c r="S70" s="11">
        <f>IF(SUMPRODUCT((Inputs!$B$4:$B$200=$B70)*ISNUMBER(INDEX(Inputs!$D$4:$AG$200,0,MATCH(S$2,Inputs!$D$2:$AG$2,0))))=0,"",SUMIFS(INDEX(Inputs!$D$4:$AG$200,0,MATCH(S$2,Inputs!$D$2:$AG$2,0)),Inputs!$B$4:$B$200,$B70)/1000)</f>
        <v>23249</v>
      </c>
      <c r="T70" s="11">
        <f>IF(SUMPRODUCT((Inputs!$B$4:$B$200=$B70)*ISNUMBER(INDEX(Inputs!$D$4:$AG$200,0,MATCH(T$2,Inputs!$D$2:$AG$2,0))))=0,"",SUMIFS(INDEX(Inputs!$D$4:$AG$200,0,MATCH(T$2,Inputs!$D$2:$AG$2,0)),Inputs!$B$4:$B$200,$B70)/1000)</f>
        <v>27954</v>
      </c>
      <c r="U70" s="11">
        <f>IF(SUMPRODUCT((Inputs!$B$4:$B$200=$B70)*ISNUMBER(INDEX(Inputs!$D$4:$AG$200,0,MATCH(U$2,Inputs!$D$2:$AG$2,0))))=0,"",SUMIFS(INDEX(Inputs!$D$4:$AG$200,0,MATCH(U$2,Inputs!$D$2:$AG$2,0)),Inputs!$B$4:$B$200,$B70)/1000)</f>
        <v>30572</v>
      </c>
      <c r="V70" s="11">
        <f>IF(SUMPRODUCT((Inputs!$B$4:$B$200=$B70)*ISNUMBER(INDEX(Inputs!$D$4:$AG$200,0,MATCH(V$2,Inputs!$D$2:$AG$2,0))))=0,"",SUMIFS(INDEX(Inputs!$D$4:$AG$200,0,MATCH(V$2,Inputs!$D$2:$AG$2,0)),Inputs!$B$4:$B$200,$B70)/1000)</f>
        <v>21916</v>
      </c>
      <c r="W70" s="12">
        <f>IF(COUNT(S70:V70)=4,SUM(S70:V70),"")</f>
        <v>103691</v>
      </c>
      <c r="X70" s="11">
        <f>IF(SUMPRODUCT((Inputs!$B$4:$B$200=$B70)*ISNUMBER(INDEX(Inputs!$D$4:$AG$200,0,MATCH(X$2,Inputs!$D$2:$AG$2,0))))=0,"",SUMIFS(INDEX(Inputs!$D$4:$AG$200,0,MATCH(X$2,Inputs!$D$2:$AG$2,0)),Inputs!$B$4:$B$200,$B70)/1000)</f>
        <v>24784</v>
      </c>
      <c r="Y70" s="11">
        <f>IF(SUMPRODUCT((Inputs!$B$4:$B$200=$B70)*ISNUMBER(INDEX(Inputs!$D$4:$AG$200,0,MATCH(Y$2,Inputs!$D$2:$AG$2,0))))=0,"",SUMIFS(INDEX(Inputs!$D$4:$AG$200,0,MATCH(Y$2,Inputs!$D$2:$AG$2,0)),Inputs!$B$4:$B$200,$B70)/1000)</f>
        <v>25917</v>
      </c>
      <c r="Z70" s="11">
        <f>IF(SUMPRODUCT((Inputs!$B$4:$B$200=$B70)*ISNUMBER(INDEX(Inputs!$D$4:$AG$200,0,MATCH(Z$2,Inputs!$D$2:$AG$2,0))))=0,"",SUMIFS(INDEX(Inputs!$D$4:$AG$200,0,MATCH(Z$2,Inputs!$D$2:$AG$2,0)),Inputs!$B$4:$B$200,$B70)/1000)</f>
        <v>24472</v>
      </c>
      <c r="AA70" s="11">
        <f>IF(SUMPRODUCT((Inputs!$B$4:$B$200=$B70)*ISNUMBER(INDEX(Inputs!$D$4:$AG$200,0,MATCH(AA$2,Inputs!$D$2:$AG$2,0))))=0,"",SUMIFS(INDEX(Inputs!$D$4:$AG$200,0,MATCH(AA$2,Inputs!$D$2:$AG$2,0)),Inputs!$B$4:$B$200,$B70)/1000)</f>
        <v>22172</v>
      </c>
      <c r="AB70" s="12">
        <f>IF(COUNT(X70:AA70)=4,SUM(X70:AA70),"")</f>
        <v>97345</v>
      </c>
      <c r="AC70" s="11">
        <f>IF(SUMPRODUCT((Inputs!$B$4:$B$200=$B70)*ISNUMBER(INDEX(Inputs!$D$4:$AG$200,0,MATCH(AC$2,Inputs!$D$2:$AG$2,0))))=0,"",SUMIFS(INDEX(Inputs!$D$4:$AG$200,0,MATCH(AC$2,Inputs!$D$2:$AG$2,0)),Inputs!$B$4:$B$200,$B70)/1000)</f>
        <v>20620</v>
      </c>
      <c r="AD70" s="11">
        <f>IF(SUMPRODUCT((Inputs!$B$4:$B$200=$B70)*ISNUMBER(INDEX(Inputs!$D$4:$AG$200,0,MATCH(AD$2,Inputs!$D$2:$AG$2,0))))=0,"",SUMIFS(INDEX(Inputs!$D$4:$AG$200,0,MATCH(AD$2,Inputs!$D$2:$AG$2,0)),Inputs!$B$4:$B$200,$B70)/1000)</f>
        <v>19414</v>
      </c>
      <c r="AE70" s="11" t="str">
        <f>IF(SUMPRODUCT((Inputs!$B$4:$B$200=$B70)*ISNUMBER(INDEX(Inputs!$D$4:$AG$200,0,MATCH(AE$2,Inputs!$D$2:$AG$2,0))))=0,"",SUMIFS(INDEX(Inputs!$D$4:$AG$200,0,MATCH(AE$2,Inputs!$D$2:$AG$2,0)),Inputs!$B$4:$B$200,$B70)/1000)</f>
        <v/>
      </c>
      <c r="AF70" s="11" t="str">
        <f>IF(SUMPRODUCT((Inputs!$B$4:$B$200=$B70)*ISNUMBER(INDEX(Inputs!$D$4:$AG$200,0,MATCH(AF$2,Inputs!$D$2:$AG$2,0))))=0,"",SUMIFS(INDEX(Inputs!$D$4:$AG$200,0,MATCH(AF$2,Inputs!$D$2:$AG$2,0)),Inputs!$B$4:$B$200,$B70)/1000)</f>
        <v/>
      </c>
      <c r="AG70" s="12" t="str">
        <f>IF(COUNT(AC70:AF70)=4,SUM(AC70:AF70),"")</f>
        <v/>
      </c>
    </row>
    <row r="71">
      <c r="B71" s="9" t="n">
        <v>63</v>
      </c>
      <c r="C71" s="10" t="inlineStr">
        <is>
          <t>Seminovos - preco medio do carro vendido (R$; Op Data l.31)</t>
        </is>
      </c>
      <c r="D71" s="11">
        <f>IF(SUMPRODUCT((Inputs!$B$4:$B$200=$B71)*ISNUMBER(INDEX(Inputs!$D$4:$AG$200,0,MATCH(D$2,Inputs!$D$2:$AG$2,0))))=0,"",SUMIFS(INDEX(Inputs!$D$4:$AG$200,0,MATCH(D$2,Inputs!$D$2:$AG$2,0)),Inputs!$B$4:$B$200,$B71)/1000)</f>
        <v>51893.918</v>
      </c>
      <c r="E71" s="11">
        <f>IF(SUMPRODUCT((Inputs!$B$4:$B$200=$B71)*ISNUMBER(INDEX(Inputs!$D$4:$AG$200,0,MATCH(E$2,Inputs!$D$2:$AG$2,0))))=0,"",SUMIFS(INDEX(Inputs!$D$4:$AG$200,0,MATCH(E$2,Inputs!$D$2:$AG$2,0)),Inputs!$B$4:$B$200,$B71)/1000)</f>
        <v>54575.562</v>
      </c>
      <c r="F71" s="11">
        <f>IF(SUMPRODUCT((Inputs!$B$4:$B$200=$B71)*ISNUMBER(INDEX(Inputs!$D$4:$AG$200,0,MATCH(F$2,Inputs!$D$2:$AG$2,0))))=0,"",SUMIFS(INDEX(Inputs!$D$4:$AG$200,0,MATCH(F$2,Inputs!$D$2:$AG$2,0)),Inputs!$B$4:$B$200,$B71)/1000)</f>
        <v>58732.576</v>
      </c>
      <c r="G71" s="11">
        <f>IF(SUMPRODUCT((Inputs!$B$4:$B$200=$B71)*ISNUMBER(INDEX(Inputs!$D$4:$AG$200,0,MATCH(G$2,Inputs!$D$2:$AG$2,0))))=0,"",SUMIFS(INDEX(Inputs!$D$4:$AG$200,0,MATCH(G$2,Inputs!$D$2:$AG$2,0)),Inputs!$B$4:$B$200,$B71)/1000)</f>
        <v>65422.791</v>
      </c>
      <c r="H71" s="12">
        <f>IF(COUNT(D71:G71)=4,SUM(D71:G71),"")</f>
        <v>230624.847</v>
      </c>
      <c r="I71" s="11">
        <f>IF(SUMPRODUCT((Inputs!$B$4:$B$200=$B71)*ISNUMBER(INDEX(Inputs!$D$4:$AG$200,0,MATCH(I$2,Inputs!$D$2:$AG$2,0))))=0,"",SUMIFS(INDEX(Inputs!$D$4:$AG$200,0,MATCH(I$2,Inputs!$D$2:$AG$2,0)),Inputs!$B$4:$B$200,$B71)/1000)</f>
        <v>64467.473</v>
      </c>
      <c r="J71" s="11">
        <f>IF(SUMPRODUCT((Inputs!$B$4:$B$200=$B71)*ISNUMBER(INDEX(Inputs!$D$4:$AG$200,0,MATCH(J$2,Inputs!$D$2:$AG$2,0))))=0,"",SUMIFS(INDEX(Inputs!$D$4:$AG$200,0,MATCH(J$2,Inputs!$D$2:$AG$2,0)),Inputs!$B$4:$B$200,$B71)/1000)</f>
        <v>66619.727</v>
      </c>
      <c r="K71" s="11">
        <f>IF(SUMPRODUCT((Inputs!$B$4:$B$200=$B71)*ISNUMBER(INDEX(Inputs!$D$4:$AG$200,0,MATCH(K$2,Inputs!$D$2:$AG$2,0))))=0,"",SUMIFS(INDEX(Inputs!$D$4:$AG$200,0,MATCH(K$2,Inputs!$D$2:$AG$2,0)),Inputs!$B$4:$B$200,$B71)/1000)</f>
        <v>70866.812</v>
      </c>
      <c r="L71" s="11">
        <f>IF(SUMPRODUCT((Inputs!$B$4:$B$200=$B71)*ISNUMBER(INDEX(Inputs!$D$4:$AG$200,0,MATCH(L$2,Inputs!$D$2:$AG$2,0))))=0,"",SUMIFS(INDEX(Inputs!$D$4:$AG$200,0,MATCH(L$2,Inputs!$D$2:$AG$2,0)),Inputs!$B$4:$B$200,$B71)/1000)</f>
        <v>75437.883</v>
      </c>
      <c r="M71" s="12">
        <f>IF(COUNT(I71:L71)=4,SUM(I71:L71),"")</f>
        <v>277391.895</v>
      </c>
      <c r="N71" s="11">
        <f>IF(SUMPRODUCT((Inputs!$B$4:$B$200=$B71)*ISNUMBER(INDEX(Inputs!$D$4:$AG$200,0,MATCH(N$2,Inputs!$D$2:$AG$2,0))))=0,"",SUMIFS(INDEX(Inputs!$D$4:$AG$200,0,MATCH(N$2,Inputs!$D$2:$AG$2,0)),Inputs!$B$4:$B$200,$B71)/1000)</f>
        <v>75131.641</v>
      </c>
      <c r="O71" s="11">
        <f>IF(SUMPRODUCT((Inputs!$B$4:$B$200=$B71)*ISNUMBER(INDEX(Inputs!$D$4:$AG$200,0,MATCH(O$2,Inputs!$D$2:$AG$2,0))))=0,"",SUMIFS(INDEX(Inputs!$D$4:$AG$200,0,MATCH(O$2,Inputs!$D$2:$AG$2,0)),Inputs!$B$4:$B$200,$B71)/1000)</f>
        <v>67009.986</v>
      </c>
      <c r="P71" s="11">
        <f>IF(SUMPRODUCT((Inputs!$B$4:$B$200=$B71)*ISNUMBER(INDEX(Inputs!$D$4:$AG$200,0,MATCH(P$2,Inputs!$D$2:$AG$2,0))))=0,"",SUMIFS(INDEX(Inputs!$D$4:$AG$200,0,MATCH(P$2,Inputs!$D$2:$AG$2,0)),Inputs!$B$4:$B$200,$B71)/1000)</f>
        <v>67718.251</v>
      </c>
      <c r="Q71" s="11">
        <f>IF(SUMPRODUCT((Inputs!$B$4:$B$200=$B71)*ISNUMBER(INDEX(Inputs!$D$4:$AG$200,0,MATCH(Q$2,Inputs!$D$2:$AG$2,0))))=0,"",SUMIFS(INDEX(Inputs!$D$4:$AG$200,0,MATCH(Q$2,Inputs!$D$2:$AG$2,0)),Inputs!$B$4:$B$200,$B71)/1000)</f>
        <v>68176.185</v>
      </c>
      <c r="R71" s="12">
        <f>IF(COUNT(N71:Q71)=4,SUM(N71:Q71),"")</f>
        <v>278036.063</v>
      </c>
      <c r="S71" s="11">
        <f>IF(SUMPRODUCT((Inputs!$B$4:$B$200=$B71)*ISNUMBER(INDEX(Inputs!$D$4:$AG$200,0,MATCH(S$2,Inputs!$D$2:$AG$2,0))))=0,"",SUMIFS(INDEX(Inputs!$D$4:$AG$200,0,MATCH(S$2,Inputs!$D$2:$AG$2,0)),Inputs!$B$4:$B$200,$B71)/1000)</f>
        <v>66942.505</v>
      </c>
      <c r="T71" s="11">
        <f>IF(SUMPRODUCT((Inputs!$B$4:$B$200=$B71)*ISNUMBER(INDEX(Inputs!$D$4:$AG$200,0,MATCH(T$2,Inputs!$D$2:$AG$2,0))))=0,"",SUMIFS(INDEX(Inputs!$D$4:$AG$200,0,MATCH(T$2,Inputs!$D$2:$AG$2,0)),Inputs!$B$4:$B$200,$B71)/1000)</f>
        <v>66598.725</v>
      </c>
      <c r="U71" s="11">
        <f>IF(SUMPRODUCT((Inputs!$B$4:$B$200=$B71)*ISNUMBER(INDEX(Inputs!$D$4:$AG$200,0,MATCH(U$2,Inputs!$D$2:$AG$2,0))))=0,"",SUMIFS(INDEX(Inputs!$D$4:$AG$200,0,MATCH(U$2,Inputs!$D$2:$AG$2,0)),Inputs!$B$4:$B$200,$B71)/1000)</f>
        <v>67728.675</v>
      </c>
      <c r="V71" s="11">
        <f>IF(SUMPRODUCT((Inputs!$B$4:$B$200=$B71)*ISNUMBER(INDEX(Inputs!$D$4:$AG$200,0,MATCH(V$2,Inputs!$D$2:$AG$2,0))))=0,"",SUMIFS(INDEX(Inputs!$D$4:$AG$200,0,MATCH(V$2,Inputs!$D$2:$AG$2,0)),Inputs!$B$4:$B$200,$B71)/1000)</f>
        <v>68181.225</v>
      </c>
      <c r="W71" s="12">
        <f>IF(COUNT(S71:V71)=4,SUM(S71:V71),"")</f>
        <v>269451.13</v>
      </c>
      <c r="X71" s="11">
        <f>IF(SUMPRODUCT((Inputs!$B$4:$B$200=$B71)*ISNUMBER(INDEX(Inputs!$D$4:$AG$200,0,MATCH(X$2,Inputs!$D$2:$AG$2,0))))=0,"",SUMIFS(INDEX(Inputs!$D$4:$AG$200,0,MATCH(X$2,Inputs!$D$2:$AG$2,0)),Inputs!$B$4:$B$200,$B71)/1000)</f>
        <v>69546.779</v>
      </c>
      <c r="Y71" s="11">
        <f>IF(SUMPRODUCT((Inputs!$B$4:$B$200=$B71)*ISNUMBER(INDEX(Inputs!$D$4:$AG$200,0,MATCH(Y$2,Inputs!$D$2:$AG$2,0))))=0,"",SUMIFS(INDEX(Inputs!$D$4:$AG$200,0,MATCH(Y$2,Inputs!$D$2:$AG$2,0)),Inputs!$B$4:$B$200,$B71)/1000)</f>
        <v>70398.095</v>
      </c>
      <c r="Z71" s="11">
        <f>IF(SUMPRODUCT((Inputs!$B$4:$B$200=$B71)*ISNUMBER(INDEX(Inputs!$D$4:$AG$200,0,MATCH(Z$2,Inputs!$D$2:$AG$2,0))))=0,"",SUMIFS(INDEX(Inputs!$D$4:$AG$200,0,MATCH(Z$2,Inputs!$D$2:$AG$2,0)),Inputs!$B$4:$B$200,$B71)/1000)</f>
        <v>73431.672</v>
      </c>
      <c r="AA71" s="11">
        <f>IF(SUMPRODUCT((Inputs!$B$4:$B$200=$B71)*ISNUMBER(INDEX(Inputs!$D$4:$AG$200,0,MATCH(AA$2,Inputs!$D$2:$AG$2,0))))=0,"",SUMIFS(INDEX(Inputs!$D$4:$AG$200,0,MATCH(AA$2,Inputs!$D$2:$AG$2,0)),Inputs!$B$4:$B$200,$B71)/1000)</f>
        <v>72269.744454723</v>
      </c>
      <c r="AB71" s="12">
        <f>IF(COUNT(X71:AA71)=4,SUM(X71:AA71),"")</f>
        <v>285646.290454723</v>
      </c>
      <c r="AC71" s="11">
        <f>IF(SUMPRODUCT((Inputs!$B$4:$B$200=$B71)*ISNUMBER(INDEX(Inputs!$D$4:$AG$200,0,MATCH(AC$2,Inputs!$D$2:$AG$2,0))))=0,"",SUMIFS(INDEX(Inputs!$D$4:$AG$200,0,MATCH(AC$2,Inputs!$D$2:$AG$2,0)),Inputs!$B$4:$B$200,$B71)/1000)</f>
        <v>77823.728680949</v>
      </c>
      <c r="AD71" s="11">
        <f>IF(SUMPRODUCT((Inputs!$B$4:$B$200=$B71)*ISNUMBER(INDEX(Inputs!$D$4:$AG$200,0,MATCH(AD$2,Inputs!$D$2:$AG$2,0))))=0,"",SUMIFS(INDEX(Inputs!$D$4:$AG$200,0,MATCH(AD$2,Inputs!$D$2:$AG$2,0)),Inputs!$B$4:$B$200,$B71)/1000)</f>
        <v>77252.184054344</v>
      </c>
      <c r="AE71" s="11" t="str">
        <f>IF(SUMPRODUCT((Inputs!$B$4:$B$200=$B71)*ISNUMBER(INDEX(Inputs!$D$4:$AG$200,0,MATCH(AE$2,Inputs!$D$2:$AG$2,0))))=0,"",SUMIFS(INDEX(Inputs!$D$4:$AG$200,0,MATCH(AE$2,Inputs!$D$2:$AG$2,0)),Inputs!$B$4:$B$200,$B71)/1000)</f>
        <v/>
      </c>
      <c r="AF71" s="11" t="str">
        <f>IF(SUMPRODUCT((Inputs!$B$4:$B$200=$B71)*ISNUMBER(INDEX(Inputs!$D$4:$AG$200,0,MATCH(AF$2,Inputs!$D$2:$AG$2,0))))=0,"",SUMIFS(INDEX(Inputs!$D$4:$AG$200,0,MATCH(AF$2,Inputs!$D$2:$AG$2,0)),Inputs!$B$4:$B$200,$B71)/1000)</f>
        <v/>
      </c>
      <c r="AG71" s="12" t="str">
        <f>IF(COUNT(AC71:AF71)=4,SUM(AC71:AF71),"")</f>
        <v/>
      </c>
    </row>
    <row r="72">
      <c r="B72" s="9" t="n">
        <v>64</v>
      </c>
      <c r="C72" s="10" t="inlineStr">
        <is>
          <t>Carros comprados (CAPEX l.22)</t>
        </is>
      </c>
      <c r="D72" s="11">
        <f>IF(SUMPRODUCT((Inputs!$B$4:$B$200=$B72)*ISNUMBER(INDEX(Inputs!$D$4:$AG$200,0,MATCH(D$2,Inputs!$D$2:$AG$2,0))))=0,"",SUMIFS(INDEX(Inputs!$D$4:$AG$200,0,MATCH(D$2,Inputs!$D$2:$AG$2,0)),Inputs!$B$4:$B$200,$B72)/1000)</f>
        <v>10911</v>
      </c>
      <c r="E72" s="11">
        <f>IF(SUMPRODUCT((Inputs!$B$4:$B$200=$B72)*ISNUMBER(INDEX(Inputs!$D$4:$AG$200,0,MATCH(E$2,Inputs!$D$2:$AG$2,0))))=0,"",SUMIFS(INDEX(Inputs!$D$4:$AG$200,0,MATCH(E$2,Inputs!$D$2:$AG$2,0)),Inputs!$B$4:$B$200,$B72)/1000)</f>
        <v>23273</v>
      </c>
      <c r="F72" s="11">
        <f>IF(SUMPRODUCT((Inputs!$B$4:$B$200=$B72)*ISNUMBER(INDEX(Inputs!$D$4:$AG$200,0,MATCH(F$2,Inputs!$D$2:$AG$2,0))))=0,"",SUMIFS(INDEX(Inputs!$D$4:$AG$200,0,MATCH(F$2,Inputs!$D$2:$AG$2,0)),Inputs!$B$4:$B$200,$B72)/1000)</f>
        <v>25098</v>
      </c>
      <c r="G72" s="11">
        <f>IF(SUMPRODUCT((Inputs!$B$4:$B$200=$B72)*ISNUMBER(INDEX(Inputs!$D$4:$AG$200,0,MATCH(G$2,Inputs!$D$2:$AG$2,0))))=0,"",SUMIFS(INDEX(Inputs!$D$4:$AG$200,0,MATCH(G$2,Inputs!$D$2:$AG$2,0)),Inputs!$B$4:$B$200,$B72)/1000)</f>
        <v>32177</v>
      </c>
      <c r="H72" s="12">
        <f>IF(COUNT(D72:G72)=4,SUM(D72:G72),"")</f>
        <v>91459</v>
      </c>
      <c r="I72" s="11">
        <f>IF(SUMPRODUCT((Inputs!$B$4:$B$200=$B72)*ISNUMBER(INDEX(Inputs!$D$4:$AG$200,0,MATCH(I$2,Inputs!$D$2:$AG$2,0))))=0,"",SUMIFS(INDEX(Inputs!$D$4:$AG$200,0,MATCH(I$2,Inputs!$D$2:$AG$2,0)),Inputs!$B$4:$B$200,$B72)/1000)</f>
        <v>21202</v>
      </c>
      <c r="J72" s="11">
        <f>IF(SUMPRODUCT((Inputs!$B$4:$B$200=$B72)*ISNUMBER(INDEX(Inputs!$D$4:$AG$200,0,MATCH(J$2,Inputs!$D$2:$AG$2,0))))=0,"",SUMIFS(INDEX(Inputs!$D$4:$AG$200,0,MATCH(J$2,Inputs!$D$2:$AG$2,0)),Inputs!$B$4:$B$200,$B72)/1000)</f>
        <v>32840</v>
      </c>
      <c r="K72" s="11">
        <f>IF(SUMPRODUCT((Inputs!$B$4:$B$200=$B72)*ISNUMBER(INDEX(Inputs!$D$4:$AG$200,0,MATCH(K$2,Inputs!$D$2:$AG$2,0))))=0,"",SUMIFS(INDEX(Inputs!$D$4:$AG$200,0,MATCH(K$2,Inputs!$D$2:$AG$2,0)),Inputs!$B$4:$B$200,$B72)/1000)</f>
        <v>27096</v>
      </c>
      <c r="L72" s="11">
        <f>IF(SUMPRODUCT((Inputs!$B$4:$B$200=$B72)*ISNUMBER(INDEX(Inputs!$D$4:$AG$200,0,MATCH(L$2,Inputs!$D$2:$AG$2,0))))=0,"",SUMIFS(INDEX(Inputs!$D$4:$AG$200,0,MATCH(L$2,Inputs!$D$2:$AG$2,0)),Inputs!$B$4:$B$200,$B72)/1000)</f>
        <v>27209</v>
      </c>
      <c r="M72" s="12">
        <f>IF(COUNT(I72:L72)=4,SUM(I72:L72),"")</f>
        <v>108347</v>
      </c>
      <c r="N72" s="11">
        <f>IF(SUMPRODUCT((Inputs!$B$4:$B$200=$B72)*ISNUMBER(INDEX(Inputs!$D$4:$AG$200,0,MATCH(N$2,Inputs!$D$2:$AG$2,0))))=0,"",SUMIFS(INDEX(Inputs!$D$4:$AG$200,0,MATCH(N$2,Inputs!$D$2:$AG$2,0)),Inputs!$B$4:$B$200,$B72)/1000)</f>
        <v>8899</v>
      </c>
      <c r="O72" s="11">
        <f>IF(SUMPRODUCT((Inputs!$B$4:$B$200=$B72)*ISNUMBER(INDEX(Inputs!$D$4:$AG$200,0,MATCH(O$2,Inputs!$D$2:$AG$2,0))))=0,"",SUMIFS(INDEX(Inputs!$D$4:$AG$200,0,MATCH(O$2,Inputs!$D$2:$AG$2,0)),Inputs!$B$4:$B$200,$B72)/1000)</f>
        <v>11971</v>
      </c>
      <c r="P72" s="11">
        <f>IF(SUMPRODUCT((Inputs!$B$4:$B$200=$B72)*ISNUMBER(INDEX(Inputs!$D$4:$AG$200,0,MATCH(P$2,Inputs!$D$2:$AG$2,0))))=0,"",SUMIFS(INDEX(Inputs!$D$4:$AG$200,0,MATCH(P$2,Inputs!$D$2:$AG$2,0)),Inputs!$B$4:$B$200,$B72)/1000)</f>
        <v>29802</v>
      </c>
      <c r="Q72" s="11">
        <f>IF(SUMPRODUCT((Inputs!$B$4:$B$200=$B72)*ISNUMBER(INDEX(Inputs!$D$4:$AG$200,0,MATCH(Q$2,Inputs!$D$2:$AG$2,0))))=0,"",SUMIFS(INDEX(Inputs!$D$4:$AG$200,0,MATCH(Q$2,Inputs!$D$2:$AG$2,0)),Inputs!$B$4:$B$200,$B72)/1000)</f>
        <v>48289</v>
      </c>
      <c r="R72" s="12">
        <f>IF(COUNT(N72:Q72)=4,SUM(N72:Q72),"")</f>
        <v>98961</v>
      </c>
      <c r="S72" s="11">
        <f>IF(SUMPRODUCT((Inputs!$B$4:$B$200=$B72)*ISNUMBER(INDEX(Inputs!$D$4:$AG$200,0,MATCH(S$2,Inputs!$D$2:$AG$2,0))))=0,"",SUMIFS(INDEX(Inputs!$D$4:$AG$200,0,MATCH(S$2,Inputs!$D$2:$AG$2,0)),Inputs!$B$4:$B$200,$B72)/1000)</f>
        <v>26141</v>
      </c>
      <c r="T72" s="11">
        <f>IF(SUMPRODUCT((Inputs!$B$4:$B$200=$B72)*ISNUMBER(INDEX(Inputs!$D$4:$AG$200,0,MATCH(T$2,Inputs!$D$2:$AG$2,0))))=0,"",SUMIFS(INDEX(Inputs!$D$4:$AG$200,0,MATCH(T$2,Inputs!$D$2:$AG$2,0)),Inputs!$B$4:$B$200,$B72)/1000)</f>
        <v>29647</v>
      </c>
      <c r="U72" s="11">
        <f>IF(SUMPRODUCT((Inputs!$B$4:$B$200=$B72)*ISNUMBER(INDEX(Inputs!$D$4:$AG$200,0,MATCH(U$2,Inputs!$D$2:$AG$2,0))))=0,"",SUMIFS(INDEX(Inputs!$D$4:$AG$200,0,MATCH(U$2,Inputs!$D$2:$AG$2,0)),Inputs!$B$4:$B$200,$B72)/1000)</f>
        <v>33081</v>
      </c>
      <c r="V72" s="11">
        <f>IF(SUMPRODUCT((Inputs!$B$4:$B$200=$B72)*ISNUMBER(INDEX(Inputs!$D$4:$AG$200,0,MATCH(V$2,Inputs!$D$2:$AG$2,0))))=0,"",SUMIFS(INDEX(Inputs!$D$4:$AG$200,0,MATCH(V$2,Inputs!$D$2:$AG$2,0)),Inputs!$B$4:$B$200,$B72)/1000)</f>
        <v>45949</v>
      </c>
      <c r="W72" s="12">
        <f>IF(COUNT(S72:V72)=4,SUM(S72:V72),"")</f>
        <v>134818</v>
      </c>
      <c r="X72" s="11">
        <f>IF(SUMPRODUCT((Inputs!$B$4:$B$200=$B72)*ISNUMBER(INDEX(Inputs!$D$4:$AG$200,0,MATCH(X$2,Inputs!$D$2:$AG$2,0))))=0,"",SUMIFS(INDEX(Inputs!$D$4:$AG$200,0,MATCH(X$2,Inputs!$D$2:$AG$2,0)),Inputs!$B$4:$B$200,$B72)/1000)</f>
        <v>16643</v>
      </c>
      <c r="Y72" s="11">
        <f>IF(SUMPRODUCT((Inputs!$B$4:$B$200=$B72)*ISNUMBER(INDEX(Inputs!$D$4:$AG$200,0,MATCH(Y$2,Inputs!$D$2:$AG$2,0))))=0,"",SUMIFS(INDEX(Inputs!$D$4:$AG$200,0,MATCH(Y$2,Inputs!$D$2:$AG$2,0)),Inputs!$B$4:$B$200,$B72)/1000)</f>
        <v>28084</v>
      </c>
      <c r="Z72" s="11">
        <f>IF(SUMPRODUCT((Inputs!$B$4:$B$200=$B72)*ISNUMBER(INDEX(Inputs!$D$4:$AG$200,0,MATCH(Z$2,Inputs!$D$2:$AG$2,0))))=0,"",SUMIFS(INDEX(Inputs!$D$4:$AG$200,0,MATCH(Z$2,Inputs!$D$2:$AG$2,0)),Inputs!$B$4:$B$200,$B72)/1000)</f>
        <v>21947</v>
      </c>
      <c r="AA72" s="11">
        <f>IF(SUMPRODUCT((Inputs!$B$4:$B$200=$B72)*ISNUMBER(INDEX(Inputs!$D$4:$AG$200,0,MATCH(AA$2,Inputs!$D$2:$AG$2,0))))=0,"",SUMIFS(INDEX(Inputs!$D$4:$AG$200,0,MATCH(AA$2,Inputs!$D$2:$AG$2,0)),Inputs!$B$4:$B$200,$B72)/1000)</f>
        <v>40352</v>
      </c>
      <c r="AB72" s="12">
        <f>IF(COUNT(X72:AA72)=4,SUM(X72:AA72),"")</f>
        <v>107026</v>
      </c>
      <c r="AC72" s="11">
        <f>IF(SUMPRODUCT((Inputs!$B$4:$B$200=$B72)*ISNUMBER(INDEX(Inputs!$D$4:$AG$200,0,MATCH(AC$2,Inputs!$D$2:$AG$2,0))))=0,"",SUMIFS(INDEX(Inputs!$D$4:$AG$200,0,MATCH(AC$2,Inputs!$D$2:$AG$2,0)),Inputs!$B$4:$B$200,$B72)/1000)</f>
        <v>14588</v>
      </c>
      <c r="AD72" s="11">
        <f>IF(SUMPRODUCT((Inputs!$B$4:$B$200=$B72)*ISNUMBER(INDEX(Inputs!$D$4:$AG$200,0,MATCH(AD$2,Inputs!$D$2:$AG$2,0))))=0,"",SUMIFS(INDEX(Inputs!$D$4:$AG$200,0,MATCH(AD$2,Inputs!$D$2:$AG$2,0)),Inputs!$B$4:$B$200,$B72)/1000)</f>
        <v>38613</v>
      </c>
      <c r="AE72" s="11" t="str">
        <f>IF(SUMPRODUCT((Inputs!$B$4:$B$200=$B72)*ISNUMBER(INDEX(Inputs!$D$4:$AG$200,0,MATCH(AE$2,Inputs!$D$2:$AG$2,0))))=0,"",SUMIFS(INDEX(Inputs!$D$4:$AG$200,0,MATCH(AE$2,Inputs!$D$2:$AG$2,0)),Inputs!$B$4:$B$200,$B72)/1000)</f>
        <v/>
      </c>
      <c r="AF72" s="11" t="str">
        <f>IF(SUMPRODUCT((Inputs!$B$4:$B$200=$B72)*ISNUMBER(INDEX(Inputs!$D$4:$AG$200,0,MATCH(AF$2,Inputs!$D$2:$AG$2,0))))=0,"",SUMIFS(INDEX(Inputs!$D$4:$AG$200,0,MATCH(AF$2,Inputs!$D$2:$AG$2,0)),Inputs!$B$4:$B$200,$B72)/1000)</f>
        <v/>
      </c>
      <c r="AG72" s="12" t="str">
        <f>IF(COUNT(AC72:AF72)=4,SUM(AC72:AF72),"")</f>
        <v/>
      </c>
    </row>
    <row r="73">
      <c r="B73" s="9" t="n">
        <v>65</v>
      </c>
      <c r="C73" s="10" t="inlineStr">
        <is>
          <t>Preco medio do carro comprado (R$; CAPEX l.25)</t>
        </is>
      </c>
      <c r="D73" s="11">
        <f>IF(SUMPRODUCT((Inputs!$B$4:$B$200=$B73)*ISNUMBER(INDEX(Inputs!$D$4:$AG$200,0,MATCH(D$2,Inputs!$D$2:$AG$2,0))))=0,"",SUMIFS(INDEX(Inputs!$D$4:$AG$200,0,MATCH(D$2,Inputs!$D$2:$AG$2,0)),Inputs!$B$4:$B$200,$B73)/1000)</f>
        <v>59451.895</v>
      </c>
      <c r="E73" s="11">
        <f>IF(SUMPRODUCT((Inputs!$B$4:$B$200=$B73)*ISNUMBER(INDEX(Inputs!$D$4:$AG$200,0,MATCH(E$2,Inputs!$D$2:$AG$2,0))))=0,"",SUMIFS(INDEX(Inputs!$D$4:$AG$200,0,MATCH(E$2,Inputs!$D$2:$AG$2,0)),Inputs!$B$4:$B$200,$B73)/1000)</f>
        <v>65849.458</v>
      </c>
      <c r="F73" s="11">
        <f>IF(SUMPRODUCT((Inputs!$B$4:$B$200=$B73)*ISNUMBER(INDEX(Inputs!$D$4:$AG$200,0,MATCH(F$2,Inputs!$D$2:$AG$2,0))))=0,"",SUMIFS(INDEX(Inputs!$D$4:$AG$200,0,MATCH(F$2,Inputs!$D$2:$AG$2,0)),Inputs!$B$4:$B$200,$B73)/1000)</f>
        <v>83151.073</v>
      </c>
      <c r="G73" s="11">
        <f>IF(SUMPRODUCT((Inputs!$B$4:$B$200=$B73)*ISNUMBER(INDEX(Inputs!$D$4:$AG$200,0,MATCH(G$2,Inputs!$D$2:$AG$2,0))))=0,"",SUMIFS(INDEX(Inputs!$D$4:$AG$200,0,MATCH(G$2,Inputs!$D$2:$AG$2,0)),Inputs!$B$4:$B$200,$B73)/1000)</f>
        <v>90445.152</v>
      </c>
      <c r="H73" s="12">
        <f>IF(COUNT(D73:G73)=4,SUM(D73:G73),"")</f>
        <v>298897.578</v>
      </c>
      <c r="I73" s="11">
        <f>IF(SUMPRODUCT((Inputs!$B$4:$B$200=$B73)*ISNUMBER(INDEX(Inputs!$D$4:$AG$200,0,MATCH(I$2,Inputs!$D$2:$AG$2,0))))=0,"",SUMIFS(INDEX(Inputs!$D$4:$AG$200,0,MATCH(I$2,Inputs!$D$2:$AG$2,0)),Inputs!$B$4:$B$200,$B73)/1000)</f>
        <v>90435.525</v>
      </c>
      <c r="J73" s="11">
        <f>IF(SUMPRODUCT((Inputs!$B$4:$B$200=$B73)*ISNUMBER(INDEX(Inputs!$D$4:$AG$200,0,MATCH(J$2,Inputs!$D$2:$AG$2,0))))=0,"",SUMIFS(INDEX(Inputs!$D$4:$AG$200,0,MATCH(J$2,Inputs!$D$2:$AG$2,0)),Inputs!$B$4:$B$200,$B73)/1000)</f>
        <v>91843.12</v>
      </c>
      <c r="K73" s="11">
        <f>IF(SUMPRODUCT((Inputs!$B$4:$B$200=$B73)*ISNUMBER(INDEX(Inputs!$D$4:$AG$200,0,MATCH(K$2,Inputs!$D$2:$AG$2,0))))=0,"",SUMIFS(INDEX(Inputs!$D$4:$AG$200,0,MATCH(K$2,Inputs!$D$2:$AG$2,0)),Inputs!$B$4:$B$200,$B73)/1000)</f>
        <v>82230.106</v>
      </c>
      <c r="L73" s="11">
        <f>IF(SUMPRODUCT((Inputs!$B$4:$B$200=$B73)*ISNUMBER(INDEX(Inputs!$D$4:$AG$200,0,MATCH(L$2,Inputs!$D$2:$AG$2,0))))=0,"",SUMIFS(INDEX(Inputs!$D$4:$AG$200,0,MATCH(L$2,Inputs!$D$2:$AG$2,0)),Inputs!$B$4:$B$200,$B73)/1000)</f>
        <v>78693.278</v>
      </c>
      <c r="M73" s="12">
        <f>IF(COUNT(I73:L73)=4,SUM(I73:L73),"")</f>
        <v>343202.029</v>
      </c>
      <c r="N73" s="11">
        <f>IF(SUMPRODUCT((Inputs!$B$4:$B$200=$B73)*ISNUMBER(INDEX(Inputs!$D$4:$AG$200,0,MATCH(N$2,Inputs!$D$2:$AG$2,0))))=0,"",SUMIFS(INDEX(Inputs!$D$4:$AG$200,0,MATCH(N$2,Inputs!$D$2:$AG$2,0)),Inputs!$B$4:$B$200,$B73)/1000)</f>
        <v>88893.811</v>
      </c>
      <c r="O73" s="11">
        <f>IF(SUMPRODUCT((Inputs!$B$4:$B$200=$B73)*ISNUMBER(INDEX(Inputs!$D$4:$AG$200,0,MATCH(O$2,Inputs!$D$2:$AG$2,0))))=0,"",SUMIFS(INDEX(Inputs!$D$4:$AG$200,0,MATCH(O$2,Inputs!$D$2:$AG$2,0)),Inputs!$B$4:$B$200,$B73)/1000)</f>
        <v>95090.768</v>
      </c>
      <c r="P73" s="11">
        <f>IF(SUMPRODUCT((Inputs!$B$4:$B$200=$B73)*ISNUMBER(INDEX(Inputs!$D$4:$AG$200,0,MATCH(P$2,Inputs!$D$2:$AG$2,0))))=0,"",SUMIFS(INDEX(Inputs!$D$4:$AG$200,0,MATCH(P$2,Inputs!$D$2:$AG$2,0)),Inputs!$B$4:$B$200,$B73)/1000)</f>
        <v>87377.337</v>
      </c>
      <c r="Q73" s="11">
        <f>IF(SUMPRODUCT((Inputs!$B$4:$B$200=$B73)*ISNUMBER(INDEX(Inputs!$D$4:$AG$200,0,MATCH(Q$2,Inputs!$D$2:$AG$2,0))))=0,"",SUMIFS(INDEX(Inputs!$D$4:$AG$200,0,MATCH(Q$2,Inputs!$D$2:$AG$2,0)),Inputs!$B$4:$B$200,$B73)/1000)</f>
        <v>90486.921</v>
      </c>
      <c r="R73" s="12">
        <f>IF(COUNT(N73:Q73)=4,SUM(N73:Q73),"")</f>
        <v>361848.837</v>
      </c>
      <c r="S73" s="11">
        <f>IF(SUMPRODUCT((Inputs!$B$4:$B$200=$B73)*ISNUMBER(INDEX(Inputs!$D$4:$AG$200,0,MATCH(S$2,Inputs!$D$2:$AG$2,0))))=0,"",SUMIFS(INDEX(Inputs!$D$4:$AG$200,0,MATCH(S$2,Inputs!$D$2:$AG$2,0)),Inputs!$B$4:$B$200,$B73)/1000)</f>
        <v>87279.205</v>
      </c>
      <c r="T73" s="11">
        <f>IF(SUMPRODUCT((Inputs!$B$4:$B$200=$B73)*ISNUMBER(INDEX(Inputs!$D$4:$AG$200,0,MATCH(T$2,Inputs!$D$2:$AG$2,0))))=0,"",SUMIFS(INDEX(Inputs!$D$4:$AG$200,0,MATCH(T$2,Inputs!$D$2:$AG$2,0)),Inputs!$B$4:$B$200,$B73)/1000)</f>
        <v>85989.828</v>
      </c>
      <c r="U73" s="11">
        <f>IF(SUMPRODUCT((Inputs!$B$4:$B$200=$B73)*ISNUMBER(INDEX(Inputs!$D$4:$AG$200,0,MATCH(U$2,Inputs!$D$2:$AG$2,0))))=0,"",SUMIFS(INDEX(Inputs!$D$4:$AG$200,0,MATCH(U$2,Inputs!$D$2:$AG$2,0)),Inputs!$B$4:$B$200,$B73)/1000)</f>
        <v>89426.948</v>
      </c>
      <c r="V73" s="11">
        <f>IF(SUMPRODUCT((Inputs!$B$4:$B$200=$B73)*ISNUMBER(INDEX(Inputs!$D$4:$AG$200,0,MATCH(V$2,Inputs!$D$2:$AG$2,0))))=0,"",SUMIFS(INDEX(Inputs!$D$4:$AG$200,0,MATCH(V$2,Inputs!$D$2:$AG$2,0)),Inputs!$B$4:$B$200,$B73)/1000)</f>
        <v>86193.12</v>
      </c>
      <c r="W73" s="12">
        <f>IF(COUNT(S73:V73)=4,SUM(S73:V73),"")</f>
        <v>348889.101</v>
      </c>
      <c r="X73" s="11">
        <f>IF(SUMPRODUCT((Inputs!$B$4:$B$200=$B73)*ISNUMBER(INDEX(Inputs!$D$4:$AG$200,0,MATCH(X$2,Inputs!$D$2:$AG$2,0))))=0,"",SUMIFS(INDEX(Inputs!$D$4:$AG$200,0,MATCH(X$2,Inputs!$D$2:$AG$2,0)),Inputs!$B$4:$B$200,$B73)/1000)</f>
        <v>90324.767543493</v>
      </c>
      <c r="Y73" s="11">
        <f>IF(SUMPRODUCT((Inputs!$B$4:$B$200=$B73)*ISNUMBER(INDEX(Inputs!$D$4:$AG$200,0,MATCH(Y$2,Inputs!$D$2:$AG$2,0))))=0,"",SUMIFS(INDEX(Inputs!$D$4:$AG$200,0,MATCH(Y$2,Inputs!$D$2:$AG$2,0)),Inputs!$B$4:$B$200,$B73)/1000)</f>
        <v>94322.621908812</v>
      </c>
      <c r="Z73" s="11">
        <f>IF(SUMPRODUCT((Inputs!$B$4:$B$200=$B73)*ISNUMBER(INDEX(Inputs!$D$4:$AG$200,0,MATCH(Z$2,Inputs!$D$2:$AG$2,0))))=0,"",SUMIFS(INDEX(Inputs!$D$4:$AG$200,0,MATCH(Z$2,Inputs!$D$2:$AG$2,0)),Inputs!$B$4:$B$200,$B73)/1000)</f>
        <v>101130.255</v>
      </c>
      <c r="AA73" s="11">
        <f>IF(SUMPRODUCT((Inputs!$B$4:$B$200=$B73)*ISNUMBER(INDEX(Inputs!$D$4:$AG$200,0,MATCH(AA$2,Inputs!$D$2:$AG$2,0))))=0,"",SUMIFS(INDEX(Inputs!$D$4:$AG$200,0,MATCH(AA$2,Inputs!$D$2:$AG$2,0)),Inputs!$B$4:$B$200,$B73)/1000)</f>
        <v>100334.850780086</v>
      </c>
      <c r="AB73" s="12">
        <f>IF(COUNT(X73:AA73)=4,SUM(X73:AA73),"")</f>
        <v>386112.495232391</v>
      </c>
      <c r="AC73" s="11">
        <f>IF(SUMPRODUCT((Inputs!$B$4:$B$200=$B73)*ISNUMBER(INDEX(Inputs!$D$4:$AG$200,0,MATCH(AC$2,Inputs!$D$2:$AG$2,0))))=0,"",SUMIFS(INDEX(Inputs!$D$4:$AG$200,0,MATCH(AC$2,Inputs!$D$2:$AG$2,0)),Inputs!$B$4:$B$200,$B73)/1000)</f>
        <v>102359.604469427</v>
      </c>
      <c r="AD73" s="11">
        <f>IF(SUMPRODUCT((Inputs!$B$4:$B$200=$B73)*ISNUMBER(INDEX(Inputs!$D$4:$AG$200,0,MATCH(AD$2,Inputs!$D$2:$AG$2,0))))=0,"",SUMIFS(INDEX(Inputs!$D$4:$AG$200,0,MATCH(AD$2,Inputs!$D$2:$AG$2,0)),Inputs!$B$4:$B$200,$B73)/1000)</f>
        <v>101231.423055191</v>
      </c>
      <c r="AE73" s="11" t="str">
        <f>IF(SUMPRODUCT((Inputs!$B$4:$B$200=$B73)*ISNUMBER(INDEX(Inputs!$D$4:$AG$200,0,MATCH(AE$2,Inputs!$D$2:$AG$2,0))))=0,"",SUMIFS(INDEX(Inputs!$D$4:$AG$200,0,MATCH(AE$2,Inputs!$D$2:$AG$2,0)),Inputs!$B$4:$B$200,$B73)/1000)</f>
        <v/>
      </c>
      <c r="AF73" s="11" t="str">
        <f>IF(SUMPRODUCT((Inputs!$B$4:$B$200=$B73)*ISNUMBER(INDEX(Inputs!$D$4:$AG$200,0,MATCH(AF$2,Inputs!$D$2:$AG$2,0))))=0,"",SUMIFS(INDEX(Inputs!$D$4:$AG$200,0,MATCH(AF$2,Inputs!$D$2:$AG$2,0)),Inputs!$B$4:$B$200,$B73)/1000)</f>
        <v/>
      </c>
      <c r="AG73" s="12" t="str">
        <f>IF(COUNT(AC73:AF73)=4,SUM(AC73:AF73),"")</f>
        <v/>
      </c>
    </row>
    <row r="74">
      <c r="B74" s="9" t="n">
        <v>66</v>
      </c>
      <c r="C74" s="10" t="inlineStr">
        <is>
          <t>Capex RAC - frota + lojas + outros (R$ mi; CAPEX l.13)</t>
        </is>
      </c>
      <c r="D74" s="11">
        <f>IF(SUMPRODUCT((Inputs!$B$4:$B$200=$B74)*ISNUMBER(INDEX(Inputs!$D$4:$AG$200,0,MATCH(D$2,Inputs!$D$2:$AG$2,0))))=0,"",SUMIFS(INDEX(Inputs!$D$4:$AG$200,0,MATCH(D$2,Inputs!$D$2:$AG$2,0)),Inputs!$B$4:$B$200,$B74)/1000)</f>
        <v>281.818</v>
      </c>
      <c r="E74" s="11">
        <f>IF(SUMPRODUCT((Inputs!$B$4:$B$200=$B74)*ISNUMBER(INDEX(Inputs!$D$4:$AG$200,0,MATCH(E$2,Inputs!$D$2:$AG$2,0))))=0,"",SUMIFS(INDEX(Inputs!$D$4:$AG$200,0,MATCH(E$2,Inputs!$D$2:$AG$2,0)),Inputs!$B$4:$B$200,$B74)/1000)</f>
        <v>1318.926</v>
      </c>
      <c r="F74" s="11">
        <f>IF(SUMPRODUCT((Inputs!$B$4:$B$200=$B74)*ISNUMBER(INDEX(Inputs!$D$4:$AG$200,0,MATCH(F$2,Inputs!$D$2:$AG$2,0))))=0,"",SUMIFS(INDEX(Inputs!$D$4:$AG$200,0,MATCH(F$2,Inputs!$D$2:$AG$2,0)),Inputs!$B$4:$B$200,$B74)/1000)</f>
        <v>1182.7</v>
      </c>
      <c r="G74" s="11">
        <f>IF(SUMPRODUCT((Inputs!$B$4:$B$200=$B74)*ISNUMBER(INDEX(Inputs!$D$4:$AG$200,0,MATCH(G$2,Inputs!$D$2:$AG$2,0))))=0,"",SUMIFS(INDEX(Inputs!$D$4:$AG$200,0,MATCH(G$2,Inputs!$D$2:$AG$2,0)),Inputs!$B$4:$B$200,$B74)/1000)</f>
        <v>1996.188</v>
      </c>
      <c r="H74" s="12">
        <f>IF(COUNT(D74:G74)=4,SUM(D74:G74),"")</f>
        <v>4779.632</v>
      </c>
      <c r="I74" s="11">
        <f>IF(SUMPRODUCT((Inputs!$B$4:$B$200=$B74)*ISNUMBER(INDEX(Inputs!$D$4:$AG$200,0,MATCH(I$2,Inputs!$D$2:$AG$2,0))))=0,"",SUMIFS(INDEX(Inputs!$D$4:$AG$200,0,MATCH(I$2,Inputs!$D$2:$AG$2,0)),Inputs!$B$4:$B$200,$B74)/1000)</f>
        <v>1808.921</v>
      </c>
      <c r="J74" s="11">
        <f>IF(SUMPRODUCT((Inputs!$B$4:$B$200=$B74)*ISNUMBER(INDEX(Inputs!$D$4:$AG$200,0,MATCH(J$2,Inputs!$D$2:$AG$2,0))))=0,"",SUMIFS(INDEX(Inputs!$D$4:$AG$200,0,MATCH(J$2,Inputs!$D$2:$AG$2,0)),Inputs!$B$4:$B$200,$B74)/1000)</f>
        <v>1991.964</v>
      </c>
      <c r="K74" s="11">
        <f>IF(SUMPRODUCT((Inputs!$B$4:$B$200=$B74)*ISNUMBER(INDEX(Inputs!$D$4:$AG$200,0,MATCH(K$2,Inputs!$D$2:$AG$2,0))))=0,"",SUMIFS(INDEX(Inputs!$D$4:$AG$200,0,MATCH(K$2,Inputs!$D$2:$AG$2,0)),Inputs!$B$4:$B$200,$B74)/1000)</f>
        <v>1772.167</v>
      </c>
      <c r="L74" s="11">
        <f>IF(SUMPRODUCT((Inputs!$B$4:$B$200=$B74)*ISNUMBER(INDEX(Inputs!$D$4:$AG$200,0,MATCH(L$2,Inputs!$D$2:$AG$2,0))))=0,"",SUMIFS(INDEX(Inputs!$D$4:$AG$200,0,MATCH(L$2,Inputs!$D$2:$AG$2,0)),Inputs!$B$4:$B$200,$B74)/1000)</f>
        <v>1402.661</v>
      </c>
      <c r="M74" s="12">
        <f>IF(COUNT(I74:L74)=4,SUM(I74:L74),"")</f>
        <v>6975.713</v>
      </c>
      <c r="N74" s="11">
        <f>IF(SUMPRODUCT((Inputs!$B$4:$B$200=$B74)*ISNUMBER(INDEX(Inputs!$D$4:$AG$200,0,MATCH(N$2,Inputs!$D$2:$AG$2,0))))=0,"",SUMIFS(INDEX(Inputs!$D$4:$AG$200,0,MATCH(N$2,Inputs!$D$2:$AG$2,0)),Inputs!$B$4:$B$200,$B74)/1000)</f>
        <v>76.924</v>
      </c>
      <c r="O74" s="11">
        <f>IF(SUMPRODUCT((Inputs!$B$4:$B$200=$B74)*ISNUMBER(INDEX(Inputs!$D$4:$AG$200,0,MATCH(O$2,Inputs!$D$2:$AG$2,0))))=0,"",SUMIFS(INDEX(Inputs!$D$4:$AG$200,0,MATCH(O$2,Inputs!$D$2:$AG$2,0)),Inputs!$B$4:$B$200,$B74)/1000)</f>
        <v>261.923</v>
      </c>
      <c r="P74" s="11">
        <f>IF(SUMPRODUCT((Inputs!$B$4:$B$200=$B74)*ISNUMBER(INDEX(Inputs!$D$4:$AG$200,0,MATCH(P$2,Inputs!$D$2:$AG$2,0))))=0,"",SUMIFS(INDEX(Inputs!$D$4:$AG$200,0,MATCH(P$2,Inputs!$D$2:$AG$2,0)),Inputs!$B$4:$B$200,$B74)/1000)</f>
        <v>1026.842</v>
      </c>
      <c r="Q74" s="11">
        <f>IF(SUMPRODUCT((Inputs!$B$4:$B$200=$B74)*ISNUMBER(INDEX(Inputs!$D$4:$AG$200,0,MATCH(Q$2,Inputs!$D$2:$AG$2,0))))=0,"",SUMIFS(INDEX(Inputs!$D$4:$AG$200,0,MATCH(Q$2,Inputs!$D$2:$AG$2,0)),Inputs!$B$4:$B$200,$B74)/1000)</f>
        <v>2266.734</v>
      </c>
      <c r="R74" s="12">
        <f>IF(COUNT(N74:Q74)=4,SUM(N74:Q74),"")</f>
        <v>3632.423</v>
      </c>
      <c r="S74" s="11">
        <f>IF(SUMPRODUCT((Inputs!$B$4:$B$200=$B74)*ISNUMBER(INDEX(Inputs!$D$4:$AG$200,0,MATCH(S$2,Inputs!$D$2:$AG$2,0))))=0,"",SUMIFS(INDEX(Inputs!$D$4:$AG$200,0,MATCH(S$2,Inputs!$D$2:$AG$2,0)),Inputs!$B$4:$B$200,$B74)/1000)</f>
        <v>924.786</v>
      </c>
      <c r="T74" s="11">
        <f>IF(SUMPRODUCT((Inputs!$B$4:$B$200=$B74)*ISNUMBER(INDEX(Inputs!$D$4:$AG$200,0,MATCH(T$2,Inputs!$D$2:$AG$2,0))))=0,"",SUMIFS(INDEX(Inputs!$D$4:$AG$200,0,MATCH(T$2,Inputs!$D$2:$AG$2,0)),Inputs!$B$4:$B$200,$B74)/1000)</f>
        <v>1095.802</v>
      </c>
      <c r="U74" s="11">
        <f>IF(SUMPRODUCT((Inputs!$B$4:$B$200=$B74)*ISNUMBER(INDEX(Inputs!$D$4:$AG$200,0,MATCH(U$2,Inputs!$D$2:$AG$2,0))))=0,"",SUMIFS(INDEX(Inputs!$D$4:$AG$200,0,MATCH(U$2,Inputs!$D$2:$AG$2,0)),Inputs!$B$4:$B$200,$B74)/1000)</f>
        <v>1654.517</v>
      </c>
      <c r="V74" s="11">
        <f>IF(SUMPRODUCT((Inputs!$B$4:$B$200=$B74)*ISNUMBER(INDEX(Inputs!$D$4:$AG$200,0,MATCH(V$2,Inputs!$D$2:$AG$2,0))))=0,"",SUMIFS(INDEX(Inputs!$D$4:$AG$200,0,MATCH(V$2,Inputs!$D$2:$AG$2,0)),Inputs!$B$4:$B$200,$B74)/1000)</f>
        <v>2135.623</v>
      </c>
      <c r="W74" s="12">
        <f>IF(COUNT(S74:V74)=4,SUM(S74:V74),"")</f>
        <v>5810.728</v>
      </c>
      <c r="X74" s="11">
        <f>IF(SUMPRODUCT((Inputs!$B$4:$B$200=$B74)*ISNUMBER(INDEX(Inputs!$D$4:$AG$200,0,MATCH(X$2,Inputs!$D$2:$AG$2,0))))=0,"",SUMIFS(INDEX(Inputs!$D$4:$AG$200,0,MATCH(X$2,Inputs!$D$2:$AG$2,0)),Inputs!$B$4:$B$200,$B74)/1000)</f>
        <v>663.022086704</v>
      </c>
      <c r="Y74" s="11">
        <f>IF(SUMPRODUCT((Inputs!$B$4:$B$200=$B74)*ISNUMBER(INDEX(Inputs!$D$4:$AG$200,0,MATCH(Y$2,Inputs!$D$2:$AG$2,0))))=0,"",SUMIFS(INDEX(Inputs!$D$4:$AG$200,0,MATCH(Y$2,Inputs!$D$2:$AG$2,0)),Inputs!$B$4:$B$200,$B74)/1000)</f>
        <v>1801.132913296</v>
      </c>
      <c r="Z74" s="11">
        <f>IF(SUMPRODUCT((Inputs!$B$4:$B$200=$B74)*ISNUMBER(INDEX(Inputs!$D$4:$AG$200,0,MATCH(Z$2,Inputs!$D$2:$AG$2,0))))=0,"",SUMIFS(INDEX(Inputs!$D$4:$AG$200,0,MATCH(Z$2,Inputs!$D$2:$AG$2,0)),Inputs!$B$4:$B$200,$B74)/1000)</f>
        <v>955.412</v>
      </c>
      <c r="AA74" s="11">
        <f>IF(SUMPRODUCT((Inputs!$B$4:$B$200=$B74)*ISNUMBER(INDEX(Inputs!$D$4:$AG$200,0,MATCH(AA$2,Inputs!$D$2:$AG$2,0))))=0,"",SUMIFS(INDEX(Inputs!$D$4:$AG$200,0,MATCH(AA$2,Inputs!$D$2:$AG$2,0)),Inputs!$B$4:$B$200,$B74)/1000)</f>
        <v>2618.418224114</v>
      </c>
      <c r="AB74" s="12">
        <f>IF(COUNT(X74:AA74)=4,SUM(X74:AA74),"")</f>
        <v>6037.985224114</v>
      </c>
      <c r="AC74" s="11">
        <f>IF(SUMPRODUCT((Inputs!$B$4:$B$200=$B74)*ISNUMBER(INDEX(Inputs!$D$4:$AG$200,0,MATCH(AC$2,Inputs!$D$2:$AG$2,0))))=0,"",SUMIFS(INDEX(Inputs!$D$4:$AG$200,0,MATCH(AC$2,Inputs!$D$2:$AG$2,0)),Inputs!$B$4:$B$200,$B74)/1000)</f>
        <v>570.416798428</v>
      </c>
      <c r="AD74" s="11">
        <f>IF(SUMPRODUCT((Inputs!$B$4:$B$200=$B74)*ISNUMBER(INDEX(Inputs!$D$4:$AG$200,0,MATCH(AD$2,Inputs!$D$2:$AG$2,0))))=0,"",SUMIFS(INDEX(Inputs!$D$4:$AG$200,0,MATCH(AD$2,Inputs!$D$2:$AG$2,0)),Inputs!$B$4:$B$200,$B74)/1000)</f>
        <v>2267.391201594</v>
      </c>
      <c r="AE74" s="11" t="str">
        <f>IF(SUMPRODUCT((Inputs!$B$4:$B$200=$B74)*ISNUMBER(INDEX(Inputs!$D$4:$AG$200,0,MATCH(AE$2,Inputs!$D$2:$AG$2,0))))=0,"",SUMIFS(INDEX(Inputs!$D$4:$AG$200,0,MATCH(AE$2,Inputs!$D$2:$AG$2,0)),Inputs!$B$4:$B$200,$B74)/1000)</f>
        <v/>
      </c>
      <c r="AF74" s="11" t="str">
        <f>IF(SUMPRODUCT((Inputs!$B$4:$B$200=$B74)*ISNUMBER(INDEX(Inputs!$D$4:$AG$200,0,MATCH(AF$2,Inputs!$D$2:$AG$2,0))))=0,"",SUMIFS(INDEX(Inputs!$D$4:$AG$200,0,MATCH(AF$2,Inputs!$D$2:$AG$2,0)),Inputs!$B$4:$B$200,$B74)/1000)</f>
        <v/>
      </c>
      <c r="AG74" s="12" t="str">
        <f>IF(COUNT(AC74:AF74)=4,SUM(AC74:AF74),"")</f>
        <v/>
      </c>
    </row>
    <row r="75">
      <c r="B75" s="9" t="n">
        <v>67</v>
      </c>
      <c r="C75" s="10" t="inlineStr">
        <is>
          <t>Capex GTF (R$ mi; CAPEX l.19)</t>
        </is>
      </c>
      <c r="D75" s="11">
        <f>IF(SUMPRODUCT((Inputs!$B$4:$B$200=$B75)*ISNUMBER(INDEX(Inputs!$D$4:$AG$200,0,MATCH(D$2,Inputs!$D$2:$AG$2,0))))=0,"",SUMIFS(INDEX(Inputs!$D$4:$AG$200,0,MATCH(D$2,Inputs!$D$2:$AG$2,0)),Inputs!$B$4:$B$200,$B75)/1000)</f>
        <v>400.141</v>
      </c>
      <c r="E75" s="11">
        <f>IF(SUMPRODUCT((Inputs!$B$4:$B$200=$B75)*ISNUMBER(INDEX(Inputs!$D$4:$AG$200,0,MATCH(E$2,Inputs!$D$2:$AG$2,0))))=0,"",SUMIFS(INDEX(Inputs!$D$4:$AG$200,0,MATCH(E$2,Inputs!$D$2:$AG$2,0)),Inputs!$B$4:$B$200,$B75)/1000)</f>
        <v>268.452</v>
      </c>
      <c r="F75" s="11">
        <f>IF(SUMPRODUCT((Inputs!$B$4:$B$200=$B75)*ISNUMBER(INDEX(Inputs!$D$4:$AG$200,0,MATCH(F$2,Inputs!$D$2:$AG$2,0))))=0,"",SUMIFS(INDEX(Inputs!$D$4:$AG$200,0,MATCH(F$2,Inputs!$D$2:$AG$2,0)),Inputs!$B$4:$B$200,$B75)/1000)</f>
        <v>945.323</v>
      </c>
      <c r="G75" s="11">
        <f>IF(SUMPRODUCT((Inputs!$B$4:$B$200=$B75)*ISNUMBER(INDEX(Inputs!$D$4:$AG$200,0,MATCH(G$2,Inputs!$D$2:$AG$2,0))))=0,"",SUMIFS(INDEX(Inputs!$D$4:$AG$200,0,MATCH(G$2,Inputs!$D$2:$AG$2,0)),Inputs!$B$4:$B$200,$B75)/1000)</f>
        <v>961.226</v>
      </c>
      <c r="H75" s="12">
        <f>IF(COUNT(D75:G75)=4,SUM(D75:G75),"")</f>
        <v>2575.142</v>
      </c>
      <c r="I75" s="11">
        <f>IF(SUMPRODUCT((Inputs!$B$4:$B$200=$B75)*ISNUMBER(INDEX(Inputs!$D$4:$AG$200,0,MATCH(I$2,Inputs!$D$2:$AG$2,0))))=0,"",SUMIFS(INDEX(Inputs!$D$4:$AG$200,0,MATCH(I$2,Inputs!$D$2:$AG$2,0)),Inputs!$B$4:$B$200,$B75)/1000)</f>
        <v>154.34</v>
      </c>
      <c r="J75" s="11">
        <f>IF(SUMPRODUCT((Inputs!$B$4:$B$200=$B75)*ISNUMBER(INDEX(Inputs!$D$4:$AG$200,0,MATCH(J$2,Inputs!$D$2:$AG$2,0))))=0,"",SUMIFS(INDEX(Inputs!$D$4:$AG$200,0,MATCH(J$2,Inputs!$D$2:$AG$2,0)),Inputs!$B$4:$B$200,$B75)/1000)</f>
        <v>1080.363</v>
      </c>
      <c r="K75" s="11">
        <f>IF(SUMPRODUCT((Inputs!$B$4:$B$200=$B75)*ISNUMBER(INDEX(Inputs!$D$4:$AG$200,0,MATCH(K$2,Inputs!$D$2:$AG$2,0))))=0,"",SUMIFS(INDEX(Inputs!$D$4:$AG$200,0,MATCH(K$2,Inputs!$D$2:$AG$2,0)),Inputs!$B$4:$B$200,$B75)/1000)</f>
        <v>512.801</v>
      </c>
      <c r="L75" s="11">
        <f>IF(SUMPRODUCT((Inputs!$B$4:$B$200=$B75)*ISNUMBER(INDEX(Inputs!$D$4:$AG$200,0,MATCH(L$2,Inputs!$D$2:$AG$2,0))))=0,"",SUMIFS(INDEX(Inputs!$D$4:$AG$200,0,MATCH(L$2,Inputs!$D$2:$AG$2,0)),Inputs!$B$4:$B$200,$B75)/1000)</f>
        <v>791.89</v>
      </c>
      <c r="M75" s="12">
        <f>IF(COUNT(I75:L75)=4,SUM(I75:L75),"")</f>
        <v>2539.394</v>
      </c>
      <c r="N75" s="11">
        <f>IF(SUMPRODUCT((Inputs!$B$4:$B$200=$B75)*ISNUMBER(INDEX(Inputs!$D$4:$AG$200,0,MATCH(N$2,Inputs!$D$2:$AG$2,0))))=0,"",SUMIFS(INDEX(Inputs!$D$4:$AG$200,0,MATCH(N$2,Inputs!$D$2:$AG$2,0)),Inputs!$B$4:$B$200,$B75)/1000)</f>
        <v>761.79</v>
      </c>
      <c r="O75" s="11">
        <f>IF(SUMPRODUCT((Inputs!$B$4:$B$200=$B75)*ISNUMBER(INDEX(Inputs!$D$4:$AG$200,0,MATCH(O$2,Inputs!$D$2:$AG$2,0))))=0,"",SUMIFS(INDEX(Inputs!$D$4:$AG$200,0,MATCH(O$2,Inputs!$D$2:$AG$2,0)),Inputs!$B$4:$B$200,$B75)/1000)</f>
        <v>920.396</v>
      </c>
      <c r="P75" s="11">
        <f>IF(SUMPRODUCT((Inputs!$B$4:$B$200=$B75)*ISNUMBER(INDEX(Inputs!$D$4:$AG$200,0,MATCH(P$2,Inputs!$D$2:$AG$2,0))))=0,"",SUMIFS(INDEX(Inputs!$D$4:$AG$200,0,MATCH(P$2,Inputs!$D$2:$AG$2,0)),Inputs!$B$4:$B$200,$B75)/1000)</f>
        <v>1620.787</v>
      </c>
      <c r="Q75" s="11">
        <f>IF(SUMPRODUCT((Inputs!$B$4:$B$200=$B75)*ISNUMBER(INDEX(Inputs!$D$4:$AG$200,0,MATCH(Q$2,Inputs!$D$2:$AG$2,0))))=0,"",SUMIFS(INDEX(Inputs!$D$4:$AG$200,0,MATCH(Q$2,Inputs!$D$2:$AG$2,0)),Inputs!$B$4:$B$200,$B75)/1000)</f>
        <v>2148.859</v>
      </c>
      <c r="R75" s="12">
        <f>IF(COUNT(N75:Q75)=4,SUM(N75:Q75),"")</f>
        <v>5451.832</v>
      </c>
      <c r="S75" s="11">
        <f>IF(SUMPRODUCT((Inputs!$B$4:$B$200=$B75)*ISNUMBER(INDEX(Inputs!$D$4:$AG$200,0,MATCH(S$2,Inputs!$D$2:$AG$2,0))))=0,"",SUMIFS(INDEX(Inputs!$D$4:$AG$200,0,MATCH(S$2,Inputs!$D$2:$AG$2,0)),Inputs!$B$4:$B$200,$B75)/1000)</f>
        <v>1396.221</v>
      </c>
      <c r="T75" s="11">
        <f>IF(SUMPRODUCT((Inputs!$B$4:$B$200=$B75)*ISNUMBER(INDEX(Inputs!$D$4:$AG$200,0,MATCH(T$2,Inputs!$D$2:$AG$2,0))))=0,"",SUMIFS(INDEX(Inputs!$D$4:$AG$200,0,MATCH(T$2,Inputs!$D$2:$AG$2,0)),Inputs!$B$4:$B$200,$B75)/1000)</f>
        <v>1503.655</v>
      </c>
      <c r="U75" s="11">
        <f>IF(SUMPRODUCT((Inputs!$B$4:$B$200=$B75)*ISNUMBER(INDEX(Inputs!$D$4:$AG$200,0,MATCH(U$2,Inputs!$D$2:$AG$2,0))))=0,"",SUMIFS(INDEX(Inputs!$D$4:$AG$200,0,MATCH(U$2,Inputs!$D$2:$AG$2,0)),Inputs!$B$4:$B$200,$B75)/1000)</f>
        <v>1356.178</v>
      </c>
      <c r="V75" s="11">
        <f>IF(SUMPRODUCT((Inputs!$B$4:$B$200=$B75)*ISNUMBER(INDEX(Inputs!$D$4:$AG$200,0,MATCH(V$2,Inputs!$D$2:$AG$2,0))))=0,"",SUMIFS(INDEX(Inputs!$D$4:$AG$200,0,MATCH(V$2,Inputs!$D$2:$AG$2,0)),Inputs!$B$4:$B$200,$B75)/1000)</f>
        <v>1870.277</v>
      </c>
      <c r="W75" s="12">
        <f>IF(COUNT(S75:V75)=4,SUM(S75:V75),"")</f>
        <v>6126.331</v>
      </c>
      <c r="X75" s="11">
        <f>IF(SUMPRODUCT((Inputs!$B$4:$B$200=$B75)*ISNUMBER(INDEX(Inputs!$D$4:$AG$200,0,MATCH(X$2,Inputs!$D$2:$AG$2,0))))=0,"",SUMIFS(INDEX(Inputs!$D$4:$AG$200,0,MATCH(X$2,Inputs!$D$2:$AG$2,0)),Inputs!$B$4:$B$200,$B75)/1000)</f>
        <v>815.738604756</v>
      </c>
      <c r="Y75" s="11">
        <f>IF(SUMPRODUCT((Inputs!$B$4:$B$200=$B75)*ISNUMBER(INDEX(Inputs!$D$4:$AG$200,0,MATCH(Y$2,Inputs!$D$2:$AG$2,0))))=0,"",SUMIFS(INDEX(Inputs!$D$4:$AG$200,0,MATCH(Y$2,Inputs!$D$2:$AG$2,0)),Inputs!$B$4:$B$200,$B75)/1000)</f>
        <v>1235.113590263</v>
      </c>
      <c r="Z75" s="11">
        <f>IF(SUMPRODUCT((Inputs!$B$4:$B$200=$B75)*ISNUMBER(INDEX(Inputs!$D$4:$AG$200,0,MATCH(Z$2,Inputs!$D$2:$AG$2,0))))=0,"",SUMIFS(INDEX(Inputs!$D$4:$AG$200,0,MATCH(Z$2,Inputs!$D$2:$AG$2,0)),Inputs!$B$4:$B$200,$B75)/1000)</f>
        <v>1335.992</v>
      </c>
      <c r="AA75" s="11">
        <f>IF(SUMPRODUCT((Inputs!$B$4:$B$200=$B75)*ISNUMBER(INDEX(Inputs!$D$4:$AG$200,0,MATCH(AA$2,Inputs!$D$2:$AG$2,0))))=0,"",SUMIFS(INDEX(Inputs!$D$4:$AG$200,0,MATCH(AA$2,Inputs!$D$2:$AG$2,0)),Inputs!$B$4:$B$200,$B75)/1000)</f>
        <v>1493.408446854</v>
      </c>
      <c r="AB75" s="12">
        <f>IF(COUNT(X75:AA75)=4,SUM(X75:AA75),"")</f>
        <v>4880.252641873</v>
      </c>
      <c r="AC75" s="11">
        <f>IF(SUMPRODUCT((Inputs!$B$4:$B$200=$B75)*ISNUMBER(INDEX(Inputs!$D$4:$AG$200,0,MATCH(AC$2,Inputs!$D$2:$AG$2,0))))=0,"",SUMIFS(INDEX(Inputs!$D$4:$AG$200,0,MATCH(AC$2,Inputs!$D$2:$AG$2,0)),Inputs!$B$4:$B$200,$B75)/1000)</f>
        <v>988.500251942</v>
      </c>
      <c r="AD75" s="11">
        <f>IF(SUMPRODUCT((Inputs!$B$4:$B$200=$B75)*ISNUMBER(INDEX(Inputs!$D$4:$AG$200,0,MATCH(AD$2,Inputs!$D$2:$AG$2,0))))=0,"",SUMIFS(INDEX(Inputs!$D$4:$AG$200,0,MATCH(AD$2,Inputs!$D$2:$AG$2,0)),Inputs!$B$4:$B$200,$B75)/1000)</f>
        <v>1707.599346693</v>
      </c>
      <c r="AE75" s="11" t="str">
        <f>IF(SUMPRODUCT((Inputs!$B$4:$B$200=$B75)*ISNUMBER(INDEX(Inputs!$D$4:$AG$200,0,MATCH(AE$2,Inputs!$D$2:$AG$2,0))))=0,"",SUMIFS(INDEX(Inputs!$D$4:$AG$200,0,MATCH(AE$2,Inputs!$D$2:$AG$2,0)),Inputs!$B$4:$B$200,$B75)/1000)</f>
        <v/>
      </c>
      <c r="AF75" s="11" t="str">
        <f>IF(SUMPRODUCT((Inputs!$B$4:$B$200=$B75)*ISNUMBER(INDEX(Inputs!$D$4:$AG$200,0,MATCH(AF$2,Inputs!$D$2:$AG$2,0))))=0,"",SUMIFS(INDEX(Inputs!$D$4:$AG$200,0,MATCH(AF$2,Inputs!$D$2:$AG$2,0)),Inputs!$B$4:$B$200,$B75)/1000)</f>
        <v/>
      </c>
      <c r="AG75" s="12" t="str">
        <f>IF(COUNT(AC75:AF75)=4,SUM(AC75:AF75),"")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404"/>
  <sheetViews>
    <sheetView showGridLines="0" zoomScaleNormal="100" workbookViewId="0">
      <pane xSplit="3" ySplit="11" topLeftCell="D270" activePane="bottomRight" state="frozen"/>
      <selection pane="topRight" activeCell="D1" sqref="D1"/>
      <selection pane="bottomLeft" activeCell="A12" sqref="A12"/>
      <selection pane="bottomRight" activeCell="O315" sqref="O315"/>
    </sheetView>
  </sheetViews>
  <sheetFormatPr baseColWidth="8" defaultColWidth="10.42578125" defaultRowHeight="12.75" outlineLevelRow="1"/>
  <cols>
    <col width="2" customWidth="1" style="3" min="1" max="1"/>
    <col width="8.85546875" customWidth="1" style="3" min="2" max="2"/>
    <col width="96.140625" customWidth="1" style="4" min="3" max="3"/>
    <col width="13" customWidth="1" style="4" min="4" max="24"/>
    <col width="12.7109375" customWidth="1" style="4" min="25" max="25"/>
    <col width="13" customWidth="1" style="4" min="26" max="27"/>
    <col width="12.7109375" customWidth="1" style="4" min="28" max="28"/>
    <col width="14" customWidth="1" style="4" min="29" max="29"/>
    <col width="15.140625" customWidth="1" style="4" min="30" max="30"/>
    <col width="12.42578125" customWidth="1" style="4" min="31" max="31"/>
    <col width="11.5703125" customWidth="1" style="4" min="32" max="32"/>
    <col width="12.42578125" customWidth="1" style="4" min="33" max="33"/>
    <col width="11.5703125" customWidth="1" style="4" min="34" max="34"/>
    <col width="12.7109375" customWidth="1" style="4" min="35" max="35"/>
    <col width="11.5703125" customWidth="1" style="4" min="36" max="37"/>
    <col width="11.28515625" customWidth="1" style="4" min="38" max="38"/>
    <col width="11.5703125" customWidth="1" style="4" min="39" max="39"/>
    <col width="12.7109375" customWidth="1" style="4" min="40" max="40"/>
    <col width="11.5703125" customWidth="1" style="4" min="41" max="42"/>
    <col width="11.28515625" customWidth="1" style="4" min="43" max="43"/>
    <col width="11.5703125" customWidth="1" style="4" min="44" max="44"/>
    <col width="12.7109375" customWidth="1" style="4" min="45" max="45"/>
    <col width="11.5703125" customWidth="1" style="4" min="46" max="47"/>
    <col width="11.28515625" customWidth="1" style="4" min="48" max="48"/>
    <col width="11.5703125" customWidth="1" style="4" min="49" max="49"/>
    <col width="12.7109375" customWidth="1" style="4" min="50" max="50"/>
    <col width="11.5703125" customWidth="1" style="4" min="51" max="52"/>
    <col width="11.28515625" customWidth="1" style="4" min="53" max="53"/>
    <col width="11.5703125" customWidth="1" style="4" min="54" max="54"/>
    <col width="12.7109375" customWidth="1" style="4" min="55" max="55"/>
    <col width="11.5703125" customWidth="1" style="4" min="56" max="57"/>
    <col width="11.28515625" customWidth="1" style="4" min="58" max="58"/>
    <col width="11.5703125" customWidth="1" style="4" min="59" max="59"/>
    <col width="12.7109375" customWidth="1" style="4" min="60" max="60"/>
    <col width="11.5703125" customWidth="1" style="4" min="61" max="62"/>
    <col width="11.28515625" customWidth="1" style="4" min="63" max="63"/>
    <col width="11.5703125" customWidth="1" style="4" min="64" max="64"/>
    <col width="12.7109375" customWidth="1" style="4" min="65" max="65"/>
    <col width="11.5703125" customWidth="1" style="4" min="66" max="67"/>
    <col width="11.28515625" customWidth="1" style="4" min="68" max="68"/>
    <col width="11.5703125" customWidth="1" style="4" min="69" max="69"/>
    <col width="12.7109375" customWidth="1" style="4" min="70" max="70"/>
    <col width="11.5703125" customWidth="1" style="4" min="71" max="72"/>
    <col width="11.28515625" customWidth="1" style="4" min="73" max="73"/>
    <col width="11.5703125" customWidth="1" style="4" min="74" max="74"/>
    <col width="12.7109375" customWidth="1" style="4" min="75" max="75"/>
    <col width="11.5703125" customWidth="1" style="4" min="76" max="77"/>
    <col width="11.28515625" customWidth="1" style="4" min="78" max="78"/>
    <col width="11.5703125" customWidth="1" style="4" min="79" max="79"/>
    <col width="12.7109375" customWidth="1" style="4" min="80" max="80"/>
    <col width="11.5703125" customWidth="1" style="4" min="81" max="82"/>
    <col width="11.28515625" customWidth="1" style="4" min="83" max="83"/>
    <col width="11.5703125" customWidth="1" style="4" min="84" max="84"/>
    <col width="12.7109375" customWidth="1" style="4" min="85" max="85"/>
    <col width="11.5703125" customWidth="1" style="4" min="86" max="87"/>
    <col width="11.28515625" customWidth="1" style="4" min="88" max="88"/>
    <col width="11.5703125" customWidth="1" style="4" min="89" max="89"/>
    <col width="12.7109375" customWidth="1" style="4" min="90" max="90"/>
    <col width="11.5703125" customWidth="1" style="4" min="91" max="92"/>
    <col width="11.28515625" customWidth="1" style="4" min="93" max="93"/>
    <col width="11.5703125" customWidth="1" style="4" min="94" max="94"/>
    <col width="12.7109375" customWidth="1" style="4" min="95" max="95"/>
    <col width="11.5703125" customWidth="1" style="4" min="96" max="97"/>
    <col width="11.28515625" customWidth="1" style="4" min="98" max="98"/>
    <col width="11.5703125" customWidth="1" style="4" min="99" max="99"/>
    <col width="12.7109375" customWidth="1" style="4" min="100" max="100"/>
    <col width="11.5703125" customWidth="1" style="4" min="101" max="102"/>
    <col width="11.28515625" customWidth="1" style="4" min="103" max="103"/>
    <col width="10.42578125" customWidth="1" style="4" min="104" max="106"/>
    <col width="10.42578125" customWidth="1" style="4" min="107" max="16384"/>
  </cols>
  <sheetData>
    <row r="1">
      <c r="C1" s="17" t="inlineStr">
        <is>
          <t>CHECKS</t>
        </is>
      </c>
      <c r="D1" s="12" t="n"/>
      <c r="E1" s="12" t="n"/>
      <c r="F1" s="12" t="n"/>
      <c r="G1" s="12" t="n"/>
      <c r="H1" s="12" t="n"/>
      <c r="I1" s="12">
        <f>IF(I2="","",SUM(I2,I3))</f>
        <v>0</v>
      </c>
      <c r="J1" s="12">
        <f>IF(J2="","",SUM(J2,J3))</f>
        <v>0</v>
      </c>
      <c r="K1" s="12">
        <f>IF(K2="","",SUM(K2,K3))</f>
        <v>0</v>
      </c>
      <c r="L1" s="12">
        <f>IF(L2="","",SUM(L2,L3))</f>
        <v>0</v>
      </c>
      <c r="M1" s="12">
        <f>IF(M2="","",SUM(M2,M3))</f>
        <v>0</v>
      </c>
      <c r="N1" s="12">
        <f>IF(N2="","",SUM(N2,N3))</f>
        <v>0</v>
      </c>
      <c r="O1" s="12">
        <f>IF(O2="","",SUM(O2,O3))</f>
        <v>0</v>
      </c>
      <c r="P1" s="12">
        <f>IF(P2="","",SUM(P2,P3))</f>
        <v>0.000999999996565748</v>
      </c>
      <c r="Q1" s="12">
        <f>IF(Q2="","",SUM(Q2,Q3))</f>
        <v>0.003000000000835</v>
      </c>
      <c r="R1" s="12">
        <f>IF(R2="","",SUM(R2,R3))</f>
        <v>0.0029999999969732</v>
      </c>
      <c r="S1" s="12">
        <f>IF(S2="","",SUM(S2,S3))</f>
        <v>1.81188397618826e-13</v>
      </c>
      <c r="T1" s="12">
        <f>IF(T2="","",SUM(T2,T3))</f>
        <v>2.16715534406831e-13</v>
      </c>
      <c r="U1" s="12">
        <f>IF(U2="","",SUM(U2,U3))</f>
        <v>0.00300000000061118</v>
      </c>
      <c r="V1" s="12">
        <f>IF(V2="","",SUM(V2,V3))</f>
        <v>0.00299999999333522</v>
      </c>
      <c r="W1" s="12">
        <f>IF(W2="","",SUM(W2,W3))</f>
        <v>0.00300000000061118</v>
      </c>
      <c r="X1" s="12">
        <f>IF(X2="","",SUM(X2,X3))</f>
        <v>1.84741111297626e-13</v>
      </c>
      <c r="Y1" s="12">
        <f>IF(Y2="","",SUM(Y2,Y3))</f>
        <v>0</v>
      </c>
      <c r="Z1" s="12">
        <f>IF(Z2="","",SUM(Z2,Z3))</f>
        <v>0</v>
      </c>
      <c r="AA1" s="12">
        <f>IF(AA2="","",SUM(AA2,AA3))</f>
        <v>0.00400000000445289</v>
      </c>
      <c r="AB1" s="12">
        <f>IF(AB2="","",SUM(AB2,AB3))</f>
        <v>0.00400000000445289</v>
      </c>
      <c r="AC1" s="12">
        <f>IF(AC2="","",SUM(AC2,AC3))</f>
        <v>0</v>
      </c>
      <c r="AD1" s="12">
        <f>IF(AD2="","",SUM(AD2,AD3))</f>
        <v>0</v>
      </c>
      <c r="AE1" s="12">
        <f>IF(AE2="","",SUM(AE2,AE3))</f>
        <v>0</v>
      </c>
      <c r="AF1" s="12">
        <f>IF(AF2="","",SUM(AF2,AF3))</f>
        <v>0.00100000000432487</v>
      </c>
      <c r="AG1" s="12">
        <f>IF(AG2="","",SUM(AG2,AG3))</f>
        <v>0.00100000000384171</v>
      </c>
      <c r="AH1" s="12">
        <f>IF(AH2="","",SUM(AH2,AH3))</f>
        <v>0</v>
      </c>
      <c r="AI1" s="12">
        <f>IF(AI2="","",SUM(AI2,AI3))</f>
        <v>0</v>
      </c>
      <c r="AJ1" s="12">
        <f>IF(AJ2="","",SUM(AJ2,AJ3))</f>
        <v>1008.32501279551</v>
      </c>
      <c r="AK1" s="12">
        <f>IF(AK2="","",SUM(AK2,AK3))</f>
        <v>979.710564124268</v>
      </c>
      <c r="AL1" s="12">
        <f>IF(AL2="","",SUM(AL2,AL3))</f>
        <v>2248.19842789778</v>
      </c>
      <c r="AM1" s="12">
        <f>IF(AM2="","",SUM(AM2,AM3))</f>
        <v>1012.28831968582</v>
      </c>
      <c r="AN1" s="12">
        <f>IF(AN2="","",SUM(AN2,AN3))</f>
        <v>1008.32158753062</v>
      </c>
      <c r="AO1" s="12">
        <f>IF(AO2="","",SUM(AO2,AO3))</f>
        <v>1085.40964743235</v>
      </c>
      <c r="AP1" s="12">
        <f>IF(AP2="","",SUM(AP2,AP3))</f>
        <v>1054.60767559827</v>
      </c>
      <c r="AQ1" s="12">
        <f>IF(AQ2="","",SUM(AQ2,AQ3))</f>
        <v>4160.62723024706</v>
      </c>
      <c r="AR1" s="12">
        <f>IF(AR2="","",SUM(AR2,AR3))</f>
        <v>1084.61450041145</v>
      </c>
      <c r="AS1" s="12">
        <f>IF(AS2="","",SUM(AS2,AS3))</f>
        <v>1080.36435237446</v>
      </c>
      <c r="AT1" s="12">
        <f>IF(AT2="","",SUM(AT2,AT3))</f>
        <v>1162.96021558066</v>
      </c>
      <c r="AU1" s="12">
        <f>IF(AU2="","",SUM(AU2,AU3))</f>
        <v>1129.95749822946</v>
      </c>
      <c r="AV1" s="12">
        <f>IF(AV2="","",SUM(AV2,AV3))</f>
        <v>4457.89656659604</v>
      </c>
      <c r="AW1" s="12">
        <f>IF(AW2="","",SUM(AW2,AW3))</f>
        <v>1156.68518423243</v>
      </c>
      <c r="AX1" s="12">
        <f>IF(AX2="","",SUM(AX2,AX3))</f>
        <v>1152.15262149857</v>
      </c>
      <c r="AY1" s="12">
        <f>IF(AY2="","",SUM(AY2,AY3))</f>
        <v>1240.23683133834</v>
      </c>
      <c r="AZ1" s="12">
        <f>IF(AZ2="","",SUM(AZ2,AZ3))</f>
        <v>1205.0411427457</v>
      </c>
      <c r="BA1" s="12">
        <f>IF(BA2="","",SUM(BA2,BA3))</f>
        <v>4754.11577981504</v>
      </c>
      <c r="BB1" s="12">
        <f>IF(BB2="","",SUM(BB2,BB3))</f>
        <v>1227.76140951602</v>
      </c>
      <c r="BC1" s="12">
        <f>IF(BC2="","",SUM(BC2,BC3))</f>
        <v>1222.95032895001</v>
      </c>
      <c r="BD1" s="12">
        <f>IF(BD2="","",SUM(BD2,BD3))</f>
        <v>1316.44715514196</v>
      </c>
      <c r="BE1" s="12">
        <f>IF(BE2="","",SUM(BE2,BE3))</f>
        <v>1279.08875475399</v>
      </c>
      <c r="BF1" s="12">
        <f>IF(BF2="","",SUM(BF2,BF3))</f>
        <v>5046.24764836198</v>
      </c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</row>
    <row r="2">
      <c r="C2" s="18" t="inlineStr">
        <is>
          <t>BS</t>
        </is>
      </c>
      <c r="D2" s="12" t="n"/>
      <c r="E2" s="12" t="n"/>
      <c r="F2" s="12" t="n"/>
      <c r="G2" s="12" t="n"/>
      <c r="H2" s="12" t="n"/>
      <c r="I2" s="12">
        <f>IF(COUNT(I209,I285)&lt;2,"",ABS(I209-I285))</f>
        <v>0</v>
      </c>
      <c r="J2" s="12">
        <f>IF(COUNT(J209,J285)&lt;2,"",ABS(J209-J285))</f>
        <v>0</v>
      </c>
      <c r="K2" s="12">
        <f>IF(COUNT(K209,K285)&lt;2,"",ABS(K209-K285))</f>
        <v>0</v>
      </c>
      <c r="L2" s="12">
        <f>IF(COUNT(L209,L285)&lt;2,"",ABS(L209-L285))</f>
        <v>0</v>
      </c>
      <c r="M2" s="12">
        <f>IF(COUNT(M209,M285)&lt;2,"",ABS(M209-M285))</f>
        <v>0</v>
      </c>
      <c r="N2" s="12">
        <f>IF(COUNT(N209,N285)&lt;2,"",ABS(N209-N285))</f>
        <v>0</v>
      </c>
      <c r="O2" s="12">
        <f>IF(COUNT(O209,O285)&lt;2,"",ABS(O209-O285))</f>
        <v>0</v>
      </c>
      <c r="P2" s="12">
        <f>IF(COUNT(P209,P285)&lt;2,"",ABS(P209-P285))</f>
        <v>0.000999999996565748</v>
      </c>
      <c r="Q2" s="12">
        <f>IF(COUNT(Q209,Q285)&lt;2,"",ABS(Q209-Q285))</f>
        <v>0.00300000000061118</v>
      </c>
      <c r="R2" s="12">
        <f>IF(COUNT(R209,R285)&lt;2,"",ABS(R209-R285))</f>
        <v>0.0029999999969732</v>
      </c>
      <c r="S2" s="12">
        <f>IF(COUNT(S209,S285)&lt;2,"",ABS(S209-S285))</f>
        <v>0</v>
      </c>
      <c r="T2" s="12">
        <f>IF(COUNT(T209,T285)&lt;2,"",ABS(T209-T285))</f>
        <v>0</v>
      </c>
      <c r="U2" s="12">
        <f>IF(COUNT(U209,U285)&lt;2,"",ABS(U209-U285))</f>
        <v>0.00300000000061118</v>
      </c>
      <c r="V2" s="12">
        <f>IF(COUNT(V209,V285)&lt;2,"",ABS(V209-V285))</f>
        <v>0.00299999999333522</v>
      </c>
      <c r="W2" s="12">
        <f>IF(COUNT(W209,W285)&lt;2,"",ABS(W209-W285))</f>
        <v>0.00300000000061118</v>
      </c>
      <c r="X2" s="12">
        <f>IF(COUNT(X209,X285)&lt;2,"",ABS(X209-X285))</f>
        <v>0</v>
      </c>
      <c r="Y2" s="12">
        <f>IF(COUNT(Y209,Y285)&lt;2,"",ABS(Y209-Y285))</f>
        <v>0</v>
      </c>
      <c r="Z2" s="12">
        <f>IF(COUNT(Z209,Z285)&lt;2,"",ABS(Z209-Z285))</f>
        <v>0</v>
      </c>
      <c r="AA2" s="12">
        <f>IF(COUNT(AA209,AA285)&lt;2,"",ABS(AA209-AA285))</f>
        <v>0.00400000000445289</v>
      </c>
      <c r="AB2" s="12">
        <f>IF(COUNT(AB209,AB285)&lt;2,"",ABS(AB209-AB285))</f>
        <v>0.00400000000445289</v>
      </c>
      <c r="AC2" s="12">
        <f>IF(COUNT(AC209,AC285)&lt;2,"",ABS(AC209-AC285))</f>
        <v>0</v>
      </c>
      <c r="AD2" s="12">
        <f>IF(COUNT(AD209,AD285)&lt;2,"",ABS(AD209-AD285))</f>
        <v>0</v>
      </c>
      <c r="AE2" s="12">
        <f>IF(COUNT(AE209,AE285)&lt;2,"",ABS(AE209-AE285))</f>
        <v>0</v>
      </c>
      <c r="AF2" s="12">
        <f>IF(COUNT(AF209,AF285)&lt;2,"",ABS(AF209-AF285))</f>
        <v>0.00100000000384171</v>
      </c>
      <c r="AG2" s="12">
        <f>IF(COUNT(AG209,AG285)&lt;2,"",ABS(AG209-AG285))</f>
        <v>0.00100000000384171</v>
      </c>
      <c r="AH2" s="12">
        <f>IF(COUNT(AH209,AH285)&lt;2,"",ABS(AH209-AH285))</f>
        <v>0</v>
      </c>
      <c r="AI2" s="12">
        <f>IF(COUNT(AI209,AI285)&lt;2,"",ABS(AI209-AI285))</f>
        <v>0</v>
      </c>
      <c r="AJ2" s="12">
        <f>IF(COUNT(AJ209,AJ285)&lt;2,"",ABS(AJ209-AJ285))</f>
        <v>0</v>
      </c>
      <c r="AK2" s="12">
        <f>IF(COUNT(AK209,AK285)&lt;2,"",ABS(AK209-AK285))</f>
        <v>0</v>
      </c>
      <c r="AL2" s="12">
        <f>IF(COUNT(AL209,AL285)&lt;2,"",ABS(AL209-AL285))</f>
        <v>0</v>
      </c>
      <c r="AM2" s="12">
        <f>IF(COUNT(AM209,AM285)&lt;2,"",ABS(AM209-AM285))</f>
        <v>0</v>
      </c>
      <c r="AN2" s="12">
        <f>IF(COUNT(AN209,AN285)&lt;2,"",ABS(AN209-AN285))</f>
        <v>0</v>
      </c>
      <c r="AO2" s="12">
        <f>IF(COUNT(AO209,AO285)&lt;2,"",ABS(AO209-AO285))</f>
        <v>0</v>
      </c>
      <c r="AP2" s="12">
        <f>IF(COUNT(AP209,AP285)&lt;2,"",ABS(AP209-AP285))</f>
        <v>0</v>
      </c>
      <c r="AQ2" s="12">
        <f>IF(COUNT(AQ209,AQ285)&lt;2,"",ABS(AQ209-AQ285))</f>
        <v>0</v>
      </c>
      <c r="AR2" s="12">
        <f>IF(COUNT(AR209,AR285)&lt;2,"",ABS(AR209-AR285))</f>
        <v>0</v>
      </c>
      <c r="AS2" s="12">
        <f>IF(COUNT(AS209,AS285)&lt;2,"",ABS(AS209-AS285))</f>
        <v>0</v>
      </c>
      <c r="AT2" s="12">
        <f>IF(COUNT(AT209,AT285)&lt;2,"",ABS(AT209-AT285))</f>
        <v>0</v>
      </c>
      <c r="AU2" s="12">
        <f>IF(COUNT(AU209,AU285)&lt;2,"",ABS(AU209-AU285))</f>
        <v>0</v>
      </c>
      <c r="AV2" s="12">
        <f>IF(COUNT(AV209,AV285)&lt;2,"",ABS(AV209-AV285))</f>
        <v>0</v>
      </c>
      <c r="AW2" s="12">
        <f>IF(COUNT(AW209,AW285)&lt;2,"",ABS(AW209-AW285))</f>
        <v>0</v>
      </c>
      <c r="AX2" s="12">
        <f>IF(COUNT(AX209,AX285)&lt;2,"",ABS(AX209-AX285))</f>
        <v>0</v>
      </c>
      <c r="AY2" s="12">
        <f>IF(COUNT(AY209,AY285)&lt;2,"",ABS(AY209-AY285))</f>
        <v>0</v>
      </c>
      <c r="AZ2" s="12">
        <f>IF(COUNT(AZ209,AZ285)&lt;2,"",ABS(AZ209-AZ285))</f>
        <v>0</v>
      </c>
      <c r="BA2" s="12">
        <f>IF(COUNT(BA209,BA285)&lt;2,"",ABS(BA209-BA285))</f>
        <v>0</v>
      </c>
      <c r="BB2" s="12">
        <f>IF(COUNT(BB209,BB285)&lt;2,"",ABS(BB209-BB285))</f>
        <v>0</v>
      </c>
      <c r="BC2" s="12">
        <f>IF(COUNT(BC209,BC285)&lt;2,"",ABS(BC209-BC285))</f>
        <v>0</v>
      </c>
      <c r="BD2" s="12">
        <f>IF(COUNT(BD209,BD285)&lt;2,"",ABS(BD209-BD285))</f>
        <v>0</v>
      </c>
      <c r="BE2" s="12">
        <f>IF(COUNT(BE209,BE285)&lt;2,"",ABS(BE209-BE285))</f>
        <v>0</v>
      </c>
      <c r="BF2" s="12">
        <f>IF(COUNT(BF209,BF285)&lt;2,"",ABS(BF209-BF285))</f>
        <v>0</v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</row>
    <row r="3">
      <c r="C3" s="18" t="inlineStr">
        <is>
          <t>IS</t>
        </is>
      </c>
      <c r="D3" s="12" t="n"/>
      <c r="E3" s="12" t="n"/>
      <c r="F3" s="12" t="n"/>
      <c r="G3" s="12" t="n"/>
      <c r="H3" s="12" t="n"/>
      <c r="I3" s="12">
        <f>IF(COUNT(I149,I4)&lt;2,"",ABS(I149-I4))</f>
        <v>0</v>
      </c>
      <c r="J3" s="12">
        <f>IF(COUNT(J149,J4)&lt;2,"",ABS(J149-J4))</f>
        <v>0</v>
      </c>
      <c r="K3" s="12">
        <f>IF(COUNT(K149,K4)&lt;2,"",ABS(K149-K4))</f>
        <v>0</v>
      </c>
      <c r="L3" s="12">
        <f>IF(COUNT(L149,L4)&lt;2,"",ABS(L149-L4))</f>
        <v>0</v>
      </c>
      <c r="M3" s="12">
        <f>IF(COUNT(M149,M4)&lt;2,"",ABS(M149-M4))</f>
        <v>0</v>
      </c>
      <c r="N3" s="12">
        <f>IF(COUNT(N149,N4)&lt;2,"",ABS(N149-N4))</f>
        <v>0</v>
      </c>
      <c r="O3" s="12">
        <f>IF(COUNT(O149,O4)&lt;2,"",ABS(O149-O4))</f>
        <v>0</v>
      </c>
      <c r="P3" s="12">
        <f>IF(COUNT(P149,P4)&lt;2,"",ABS(P149-P4))</f>
        <v>0</v>
      </c>
      <c r="Q3" s="12">
        <f>IF(COUNT(Q149,Q4)&lt;2,"",ABS(Q149-Q4))</f>
        <v>2.23820961764432e-13</v>
      </c>
      <c r="R3" s="12">
        <f>IF(COUNT(R149,R4)&lt;2,"",ABS(R149-R4))</f>
        <v>0</v>
      </c>
      <c r="S3" s="12">
        <f>IF(COUNT(S149,S4)&lt;2,"",ABS(S149-S4))</f>
        <v>1.81188397618826e-13</v>
      </c>
      <c r="T3" s="12">
        <f>IF(COUNT(T149,T4)&lt;2,"",ABS(T149-T4))</f>
        <v>2.16715534406831e-13</v>
      </c>
      <c r="U3" s="12">
        <f>IF(COUNT(U149,U4)&lt;2,"",ABS(U149-U4))</f>
        <v>0</v>
      </c>
      <c r="V3" s="12">
        <f>IF(COUNT(V149,V4)&lt;2,"",ABS(V149-V4))</f>
        <v>0</v>
      </c>
      <c r="W3" s="12">
        <f>IF(COUNT(W149,W4)&lt;2,"",ABS(W149-W4))</f>
        <v>0</v>
      </c>
      <c r="X3" s="12">
        <f>IF(COUNT(X149,X4)&lt;2,"",ABS(X149-X4))</f>
        <v>1.84741111297626e-13</v>
      </c>
      <c r="Y3" s="12">
        <f>IF(COUNT(Y149,Y4)&lt;2,"",ABS(Y149-Y4))</f>
        <v>0</v>
      </c>
      <c r="Z3" s="12">
        <f>IF(COUNT(Z149,Z4)&lt;2,"",ABS(Z149-Z4))</f>
        <v>0</v>
      </c>
      <c r="AA3" s="12">
        <f>IF(COUNT(AA149,AA4)&lt;2,"",ABS(AA149-AA4))</f>
        <v>0</v>
      </c>
      <c r="AB3" s="12">
        <f>IF(COUNT(AB149,AB4)&lt;2,"",ABS(AB149-AB4))</f>
        <v>0</v>
      </c>
      <c r="AC3" s="12">
        <f>IF(COUNT(AC149,AC4)&lt;2,"",ABS(AC149-AC4))</f>
        <v>0</v>
      </c>
      <c r="AD3" s="12">
        <f>IF(COUNT(AD149,AD4)&lt;2,"",ABS(AD149-AD4))</f>
        <v>0</v>
      </c>
      <c r="AE3" s="12">
        <f>IF(COUNT(AE149,AE4)&lt;2,"",ABS(AE149-AE4))</f>
        <v>0</v>
      </c>
      <c r="AF3" s="12">
        <f>IF(COUNT(AF149,AF4)&lt;2,"",ABS(AF149-AF4))</f>
        <v>4.83169060316868e-13</v>
      </c>
      <c r="AG3" s="12">
        <f>IF(COUNT(AG149,AG4)&lt;2,"",ABS(AG149-AG4))</f>
        <v>0</v>
      </c>
      <c r="AH3" s="12">
        <f>IF(COUNT(AH149,AH4)&lt;2,"",ABS(AH149-AH4))</f>
        <v>0</v>
      </c>
      <c r="AI3" s="12">
        <f>IF(COUNT(AI149,AI4)&lt;2,"",ABS(AI149-AI4))</f>
        <v>0</v>
      </c>
      <c r="AJ3" s="12">
        <f>ABS(AJ149-AJ4)</f>
        <v>1008.32501279551</v>
      </c>
      <c r="AK3" s="12">
        <f>ABS(AK149-AK4)</f>
        <v>979.710564124268</v>
      </c>
      <c r="AL3" s="12">
        <f>ABS(AL149-AL4)</f>
        <v>2248.19842789778</v>
      </c>
      <c r="AM3" s="12">
        <f>ABS(AM149-AM4)</f>
        <v>1012.28831968582</v>
      </c>
      <c r="AN3" s="12">
        <f>ABS(AN149-AN4)</f>
        <v>1008.32158753062</v>
      </c>
      <c r="AO3" s="12">
        <f>ABS(AO149-AO4)</f>
        <v>1085.40964743235</v>
      </c>
      <c r="AP3" s="12">
        <f>ABS(AP149-AP4)</f>
        <v>1054.60767559827</v>
      </c>
      <c r="AQ3" s="12">
        <f>ABS(AQ149-AQ4)</f>
        <v>4160.62723024706</v>
      </c>
      <c r="AR3" s="12">
        <f>ABS(AR149-AR4)</f>
        <v>1084.61450041145</v>
      </c>
      <c r="AS3" s="12">
        <f>ABS(AS149-AS4)</f>
        <v>1080.36435237446</v>
      </c>
      <c r="AT3" s="12">
        <f>ABS(AT149-AT4)</f>
        <v>1162.96021558066</v>
      </c>
      <c r="AU3" s="12">
        <f>ABS(AU149-AU4)</f>
        <v>1129.95749822946</v>
      </c>
      <c r="AV3" s="12">
        <f>ABS(AV149-AV4)</f>
        <v>4457.89656659604</v>
      </c>
      <c r="AW3" s="12">
        <f>ABS(AW149-AW4)</f>
        <v>1156.68518423243</v>
      </c>
      <c r="AX3" s="12">
        <f>ABS(AX149-AX4)</f>
        <v>1152.15262149857</v>
      </c>
      <c r="AY3" s="12">
        <f>ABS(AY149-AY4)</f>
        <v>1240.23683133834</v>
      </c>
      <c r="AZ3" s="12">
        <f>ABS(AZ149-AZ4)</f>
        <v>1205.0411427457</v>
      </c>
      <c r="BA3" s="12">
        <f>ABS(BA149-BA4)</f>
        <v>4754.11577981504</v>
      </c>
      <c r="BB3" s="12">
        <f>ABS(BB149-BB4)</f>
        <v>1227.76140951602</v>
      </c>
      <c r="BC3" s="12">
        <f>ABS(BC149-BC4)</f>
        <v>1222.95032895001</v>
      </c>
      <c r="BD3" s="12">
        <f>ABS(BD149-BD4)</f>
        <v>1316.44715514196</v>
      </c>
      <c r="BE3" s="12">
        <f>ABS(BE149-BE4)</f>
        <v>1279.08875475399</v>
      </c>
      <c r="BF3" s="12">
        <f>ABS(BF149-BF4)</f>
        <v>5046.24764836198</v>
      </c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</row>
    <row r="4">
      <c r="C4" s="17" t="inlineStr">
        <is>
          <t>Net Income reportado (lucro líquido) — base do check de DRE</t>
        </is>
      </c>
      <c r="H4" s="11" t="n"/>
      <c r="I4">
        <f>IF(ISNUMBER('Inputs (2)'!D50),'Inputs (2)'!D50,"")</f>
        <v>109.481</v>
      </c>
      <c r="J4">
        <f>IF(ISNUMBER('Inputs (2)'!E50),'Inputs (2)'!E50,"")</f>
        <v>173.921</v>
      </c>
      <c r="K4">
        <f>IF(ISNUMBER('Inputs (2)'!F50),'Inputs (2)'!F50,"")</f>
        <v>259.381</v>
      </c>
      <c r="L4">
        <f>IF(ISNUMBER('Inputs (2)'!G50),'Inputs (2)'!G50,"")</f>
        <v>276.656</v>
      </c>
      <c r="M4" s="11">
        <f>IF(COUNT(I4:L4)=4,SUM(I4:L4),"")</f>
        <v>819.439</v>
      </c>
      <c r="N4">
        <f>IF(ISNUMBER('Inputs (2)'!I50),'Inputs (2)'!I50,"")</f>
        <v>258.068</v>
      </c>
      <c r="O4">
        <f>IF(ISNUMBER('Inputs (2)'!J50),'Inputs (2)'!J50,"")</f>
        <v>186.761</v>
      </c>
      <c r="P4">
        <f>IF(ISNUMBER('Inputs (2)'!K50),'Inputs (2)'!K50,"")</f>
        <v>93.718</v>
      </c>
      <c r="Q4">
        <f>IF(ISNUMBER('Inputs (2)'!L50),'Inputs (2)'!L50,"")</f>
        <v>17.831</v>
      </c>
      <c r="R4" s="11">
        <f>IF(COUNT(N4:Q4)=4,SUM(N4:Q4),"")</f>
        <v>556.378</v>
      </c>
      <c r="S4">
        <f>IF(ISNUMBER('Inputs (2)'!N50),'Inputs (2)'!N50,"")</f>
        <v>21.044</v>
      </c>
      <c r="T4">
        <f>IF(ISNUMBER('Inputs (2)'!O50),'Inputs (2)'!O50,"")</f>
        <v>-17.864</v>
      </c>
      <c r="U4">
        <f>IF(ISNUMBER('Inputs (2)'!P50),'Inputs (2)'!P50,"")</f>
        <v>-65.721</v>
      </c>
      <c r="V4">
        <f>IF(ISNUMBER('Inputs (2)'!Q50),'Inputs (2)'!Q50,"")</f>
        <v>-588.309</v>
      </c>
      <c r="W4" s="11">
        <f>IF(COUNT(S4:V4)=4,SUM(S4:V4),"")</f>
        <v>-650.85</v>
      </c>
      <c r="X4">
        <f>IF(ISNUMBER('Inputs (2)'!S50),'Inputs (2)'!S50,"")</f>
        <v>48.599</v>
      </c>
      <c r="Y4">
        <f>IF(ISNUMBER('Inputs (2)'!T50),'Inputs (2)'!T50,"")</f>
        <v>42.548</v>
      </c>
      <c r="Z4">
        <f>IF(ISNUMBER('Inputs (2)'!U50),'Inputs (2)'!U50,"")</f>
        <v>78.194</v>
      </c>
      <c r="AA4">
        <f>IF(ISNUMBER('Inputs (2)'!V50),'Inputs (2)'!V50,"")</f>
        <v>62.171</v>
      </c>
      <c r="AB4" s="11">
        <f>IF(COUNT(X4:AA4)=4,SUM(X4:AA4),"")</f>
        <v>231.512</v>
      </c>
      <c r="AC4">
        <f>IF(ISNUMBER('Inputs (2)'!X50),'Inputs (2)'!X50,"")</f>
        <v>78.468</v>
      </c>
      <c r="AD4">
        <f>IF(ISNUMBER('Inputs (2)'!Y50),'Inputs (2)'!Y50,"")</f>
        <v>67.595</v>
      </c>
      <c r="AE4">
        <f>IF(ISNUMBER('Inputs (2)'!Z50),'Inputs (2)'!Z50,"")</f>
        <v>69.955</v>
      </c>
      <c r="AF4">
        <f>IF(ISNUMBER('Inputs (2)'!AA50),'Inputs (2)'!AA50,"")</f>
        <v>102.344106983</v>
      </c>
      <c r="AG4" s="11">
        <f>IF(COUNT(AC4:AF4)=4,SUM(AC4:AF4),"")</f>
        <v>318.362106983</v>
      </c>
      <c r="AH4" s="11">
        <f>IF(ISNUMBER('Inputs (2)'!AC50),'Inputs (2)'!AC50,"")</f>
        <v>124.513191101</v>
      </c>
      <c r="AI4" s="11">
        <f>IF(ISNUMBER('Inputs (2)'!AD50),'Inputs (2)'!AD50,"")</f>
        <v>135.649659877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</row>
    <row r="5">
      <c r="B5" s="19" t="n">
        <v>45930</v>
      </c>
      <c r="D5" s="20" t="n"/>
      <c r="E5" s="21" t="n"/>
      <c r="F5" s="21" t="n"/>
      <c r="G5" s="21" t="n"/>
      <c r="H5" s="266" t="n">
        <v>44196</v>
      </c>
      <c r="I5" s="20" t="n">
        <v>44286</v>
      </c>
      <c r="J5" s="21">
        <f>DATE(YEAR(I5),MONTH(I5)+3,DAY(I5)-1)</f>
        <v>44377.0</v>
      </c>
      <c r="K5" s="21">
        <f>DATE(YEAR(J5),MONTH(J5)+3,DAY(J5))</f>
        <v>44469.0</v>
      </c>
      <c r="L5" s="21">
        <f>DATE(YEAR(K5),MONTH(K5)+3,DAY(K5)+1)</f>
        <v>44561.0</v>
      </c>
      <c r="M5" s="22">
        <f>L5</f>
        <v>44561.0</v>
      </c>
      <c r="N5" s="21">
        <f>DATE(YEAR(M5),MONTH(M5)+3,DAY(M5))</f>
        <v>44651.0</v>
      </c>
      <c r="O5" s="21">
        <f>DATE(YEAR(N5),MONTH(N5)+3,DAY(N5)-1)</f>
        <v>44742.0</v>
      </c>
      <c r="P5" s="21">
        <f>DATE(YEAR(O5),MONTH(O5)+3,DAY(O5))</f>
        <v>44834.0</v>
      </c>
      <c r="Q5" s="21">
        <f>DATE(YEAR(P5),MONTH(P5)+3,DAY(P5)+1)</f>
        <v>44926.0</v>
      </c>
      <c r="R5" s="22">
        <f>Q5</f>
        <v>44926.0</v>
      </c>
      <c r="S5" s="21">
        <f>DATE(YEAR(R5),MONTH(R5)+3,DAY(R5))</f>
        <v>45016.0</v>
      </c>
      <c r="T5" s="21">
        <f>DATE(YEAR(S5),MONTH(S5)+3,DAY(S5))-1</f>
        <v>45107.0</v>
      </c>
      <c r="U5" s="21">
        <f>DATE(YEAR(T5),MONTH(T5)+3,DAY(T5))</f>
        <v>45199.0</v>
      </c>
      <c r="V5" s="21">
        <f>DATE(YEAR(U5),MONTH(U5)+3,DAY(U5))+1</f>
        <v>45291.0</v>
      </c>
      <c r="W5" s="22">
        <f>V5</f>
        <v>45291.0</v>
      </c>
      <c r="X5" s="21">
        <f>DATE(YEAR(W5),MONTH(W5)+3,DAY(W5))</f>
        <v>45382.0</v>
      </c>
      <c r="Y5" s="21">
        <f>DATE(YEAR(X5),MONTH(X5)+3,DAY(X5))-1</f>
        <v>45473.0</v>
      </c>
      <c r="Z5" s="21">
        <f>DATE(YEAR(Y5),MONTH(Y5)+3,DAY(Y5))</f>
        <v>45565.0</v>
      </c>
      <c r="AA5" s="21">
        <f>DATE(YEAR(Z5),MONTH(Z5)+3,DAY(Z5))+1</f>
        <v>45657.0</v>
      </c>
      <c r="AB5" s="22">
        <f>AA5</f>
        <v>45657.0</v>
      </c>
      <c r="AC5" s="21">
        <f>DATE(YEAR(AB5),MONTH(AB5)+3,DAY(AB5))</f>
        <v>45747.0</v>
      </c>
      <c r="AD5" s="21">
        <f>DATE(YEAR(AC5),MONTH(AC5)+3,DAY(AC5))-1</f>
        <v>45838.0</v>
      </c>
      <c r="AE5" s="21">
        <f>DATE(YEAR(AD5),MONTH(AD5)+3,DAY(AD5))</f>
        <v>45930.0</v>
      </c>
      <c r="AF5" s="21">
        <f>DATE(YEAR(AE5),MONTH(AE5)+3,DAY(AE5))+1</f>
        <v>46022.0</v>
      </c>
      <c r="AG5" s="22">
        <f>AF5</f>
        <v>46022.0</v>
      </c>
      <c r="AH5" s="21">
        <f>DATE(YEAR(AG5),MONTH(AG5)+3,DAY(AG5))</f>
        <v>46112.0</v>
      </c>
      <c r="AI5" s="21">
        <f>DATE(YEAR(AH5),MONTH(AH5)+3,DAY(AH5))-1</f>
        <v>46203.0</v>
      </c>
      <c r="AJ5" s="21">
        <f>DATE(YEAR(AI5),MONTH(AI5)+3,DAY(AI5))</f>
        <v>46295.0</v>
      </c>
      <c r="AK5" s="21">
        <f>DATE(YEAR(AJ5),MONTH(AJ5)+3,DAY(AJ5))+1</f>
        <v>46387.0</v>
      </c>
      <c r="AL5" s="22">
        <f>AK5</f>
        <v>46387.0</v>
      </c>
      <c r="AM5" s="21">
        <f>DATE(YEAR(AL5),MONTH(AL5)+3,DAY(AL5))</f>
        <v>46477.0</v>
      </c>
      <c r="AN5" s="21">
        <f>DATE(YEAR(AM5),MONTH(AM5)+3,DAY(AM5))-1</f>
        <v>46568.0</v>
      </c>
      <c r="AO5" s="21">
        <f>DATE(YEAR(AN5),MONTH(AN5)+3,DAY(AN5))</f>
        <v>46660.0</v>
      </c>
      <c r="AP5" s="21">
        <f>DATE(YEAR(AO5),MONTH(AO5)+3,DAY(AO5))+1</f>
        <v>46752.0</v>
      </c>
      <c r="AQ5" s="22">
        <f>AP5</f>
        <v>46752.0</v>
      </c>
      <c r="AR5" s="21">
        <f>DATE(YEAR(AQ5),MONTH(AQ5)+3,DAY(AQ5))</f>
        <v>46843.0</v>
      </c>
      <c r="AS5" s="21">
        <f>DATE(YEAR(AR5),MONTH(AR5)+3,DAY(AR5))-1</f>
        <v>46934.0</v>
      </c>
      <c r="AT5" s="21">
        <f>DATE(YEAR(AS5),MONTH(AS5)+3,DAY(AS5))</f>
        <v>47026.0</v>
      </c>
      <c r="AU5" s="21">
        <f>DATE(YEAR(AT5),MONTH(AT5)+3,DAY(AT5))+1</f>
        <v>47118.0</v>
      </c>
      <c r="AV5" s="22">
        <f>AU5</f>
        <v>47118.0</v>
      </c>
      <c r="AW5" s="21">
        <f>DATE(YEAR(AV5),MONTH(AV5)+3,DAY(AV5))</f>
        <v>47208.0</v>
      </c>
      <c r="AX5" s="21">
        <f>DATE(YEAR(AW5),MONTH(AW5)+3,DAY(AW5))-1</f>
        <v>47299.0</v>
      </c>
      <c r="AY5" s="21">
        <f>DATE(YEAR(AX5),MONTH(AX5)+3,DAY(AX5))</f>
        <v>47391.0</v>
      </c>
      <c r="AZ5" s="21">
        <f>DATE(YEAR(AY5),MONTH(AY5)+3,DAY(AY5))+1</f>
        <v>47483.0</v>
      </c>
      <c r="BA5" s="22">
        <f>AZ5</f>
        <v>47483.0</v>
      </c>
      <c r="BB5" s="21">
        <f>DATE(YEAR(BA5),MONTH(BA5)+3,DAY(BA5))</f>
        <v>47573.0</v>
      </c>
      <c r="BC5" s="21">
        <f>DATE(YEAR(BB5),MONTH(BB5)+3,DAY(BB5))-1</f>
        <v>47664.0</v>
      </c>
      <c r="BD5" s="21">
        <f>DATE(YEAR(BC5),MONTH(BC5)+3,DAY(BC5))</f>
        <v>47756.0</v>
      </c>
      <c r="BE5" s="21">
        <f>DATE(YEAR(BD5),MONTH(BD5)+3,DAY(BD5))+1</f>
        <v>47848.0</v>
      </c>
      <c r="BF5" s="22">
        <f>BE5</f>
        <v>47848.0</v>
      </c>
      <c r="BG5" s="21" t="n"/>
      <c r="BH5" s="21" t="n"/>
      <c r="BI5" s="21" t="n"/>
      <c r="BJ5" s="21" t="n"/>
      <c r="BK5" s="22" t="n"/>
      <c r="BL5" s="21" t="n"/>
      <c r="BM5" s="21" t="n"/>
      <c r="BN5" s="21" t="n"/>
      <c r="BO5" s="21" t="n"/>
      <c r="BP5" s="22" t="n"/>
      <c r="BQ5" s="21" t="n"/>
      <c r="BR5" s="21" t="n"/>
      <c r="BS5" s="21" t="n"/>
      <c r="BT5" s="21" t="n"/>
      <c r="BU5" s="22" t="n"/>
      <c r="BV5" s="21" t="n"/>
      <c r="BW5" s="21" t="n"/>
      <c r="BX5" s="21" t="n"/>
      <c r="BY5" s="21" t="n"/>
      <c r="BZ5" s="22" t="n"/>
      <c r="CA5" s="21" t="n"/>
      <c r="CB5" s="21" t="n"/>
      <c r="CC5" s="21" t="n"/>
      <c r="CD5" s="21" t="n"/>
      <c r="CE5" s="22" t="n"/>
      <c r="CF5" s="21" t="n"/>
      <c r="CG5" s="21" t="n"/>
      <c r="CH5" s="21" t="n"/>
      <c r="CI5" s="21" t="n"/>
      <c r="CJ5" s="22" t="n"/>
      <c r="CK5" s="21" t="n"/>
      <c r="CL5" s="21" t="n"/>
      <c r="CM5" s="21" t="n"/>
      <c r="CN5" s="21" t="n"/>
      <c r="CO5" s="22" t="n"/>
      <c r="CP5" s="21" t="n"/>
      <c r="CQ5" s="21" t="n"/>
      <c r="CR5" s="21" t="n"/>
      <c r="CS5" s="21" t="n"/>
      <c r="CT5" s="22" t="n"/>
      <c r="CU5" s="21" t="n"/>
      <c r="CV5" s="21" t="n"/>
      <c r="CW5" s="21" t="n"/>
      <c r="CX5" s="21" t="n"/>
      <c r="CY5" s="22" t="n"/>
    </row>
    <row r="6">
      <c r="B6" s="23" t="n"/>
      <c r="D6" s="24" t="n"/>
      <c r="E6" s="24" t="n"/>
      <c r="F6" s="24" t="n"/>
      <c r="G6" s="24" t="n"/>
      <c r="H6" s="24" t="n"/>
      <c r="I6" s="24">
        <f>YEAR(I5)</f>
        <v>2021</v>
      </c>
      <c r="J6" s="24">
        <f>YEAR(J5)</f>
        <v>2021</v>
      </c>
      <c r="K6" s="24">
        <f>YEAR(K5)</f>
        <v>2021</v>
      </c>
      <c r="L6" s="24">
        <f>YEAR(L5)</f>
        <v>2021</v>
      </c>
      <c r="M6" s="24">
        <f>YEAR(M5)</f>
        <v>2021</v>
      </c>
      <c r="N6" s="24">
        <f>YEAR(N5)</f>
        <v>2022</v>
      </c>
      <c r="O6" s="24">
        <f>YEAR(O5)</f>
        <v>2022</v>
      </c>
      <c r="P6" s="24">
        <f>YEAR(P5)</f>
        <v>2022</v>
      </c>
      <c r="Q6" s="24">
        <f>YEAR(Q5)</f>
        <v>2022</v>
      </c>
      <c r="R6" s="24">
        <f>YEAR(R5)</f>
        <v>2022</v>
      </c>
      <c r="S6" s="24">
        <f>YEAR(S5)</f>
        <v>2023</v>
      </c>
      <c r="T6" s="24">
        <f>YEAR(T5)</f>
        <v>2023</v>
      </c>
      <c r="U6" s="24">
        <f>YEAR(U5)</f>
        <v>2023</v>
      </c>
      <c r="V6" s="24">
        <f>YEAR(V5)</f>
        <v>2023</v>
      </c>
      <c r="W6" s="24">
        <f>YEAR(W5)</f>
        <v>2023</v>
      </c>
      <c r="X6" s="24">
        <f>YEAR(X5)</f>
        <v>2024</v>
      </c>
      <c r="Y6" s="24">
        <f>YEAR(Y5)</f>
        <v>2024</v>
      </c>
      <c r="Z6" s="24">
        <f>YEAR(Z5)</f>
        <v>2024</v>
      </c>
      <c r="AA6" s="24">
        <f>YEAR(AA5)</f>
        <v>2024</v>
      </c>
      <c r="AB6" s="24">
        <f>YEAR(AB5)</f>
        <v>2024</v>
      </c>
      <c r="AC6" s="24">
        <f>YEAR(AC5)</f>
        <v>2025</v>
      </c>
      <c r="AD6" s="24">
        <f>YEAR(AD5)</f>
        <v>2025</v>
      </c>
      <c r="AE6" s="24">
        <f>YEAR(AE5)</f>
        <v>2025</v>
      </c>
      <c r="AF6" s="24">
        <f>YEAR(AF5)</f>
        <v>2025</v>
      </c>
      <c r="AG6" s="24">
        <f>YEAR(AG5)</f>
        <v>2025</v>
      </c>
      <c r="AH6" s="24">
        <f>YEAR(AH5)</f>
        <v>2026</v>
      </c>
      <c r="AI6" s="24">
        <f>YEAR(AI5)</f>
        <v>2026</v>
      </c>
      <c r="AJ6" s="24">
        <f>YEAR(AJ5)</f>
        <v>2026</v>
      </c>
      <c r="AK6" s="24">
        <f>YEAR(AK5)</f>
        <v>2026</v>
      </c>
      <c r="AL6" s="24">
        <f>YEAR(AL5)</f>
        <v>2026</v>
      </c>
      <c r="AM6" s="24">
        <f>YEAR(AM5)</f>
        <v>2027</v>
      </c>
      <c r="AN6" s="24">
        <f>YEAR(AN5)</f>
        <v>2027</v>
      </c>
      <c r="AO6" s="24">
        <f>YEAR(AO5)</f>
        <v>2027</v>
      </c>
      <c r="AP6" s="24">
        <f>YEAR(AP5)</f>
        <v>2027</v>
      </c>
      <c r="AQ6" s="24">
        <f>YEAR(AQ5)</f>
        <v>2027</v>
      </c>
      <c r="AR6" s="24">
        <f>YEAR(AR5)</f>
        <v>2028</v>
      </c>
      <c r="AS6" s="24">
        <f>YEAR(AS5)</f>
        <v>2028</v>
      </c>
      <c r="AT6" s="24">
        <f>YEAR(AT5)</f>
        <v>2028</v>
      </c>
      <c r="AU6" s="24">
        <f>YEAR(AU5)</f>
        <v>2028</v>
      </c>
      <c r="AV6" s="24">
        <f>YEAR(AV5)</f>
        <v>2028</v>
      </c>
      <c r="AW6" s="24">
        <f>YEAR(AW5)</f>
        <v>2029</v>
      </c>
      <c r="AX6" s="24">
        <f>YEAR(AX5)</f>
        <v>2029</v>
      </c>
      <c r="AY6" s="24">
        <f>YEAR(AY5)</f>
        <v>2029</v>
      </c>
      <c r="AZ6" s="24">
        <f>YEAR(AZ5)</f>
        <v>2029</v>
      </c>
      <c r="BA6" s="24">
        <f>YEAR(BA5)</f>
        <v>2029</v>
      </c>
      <c r="BB6" s="24">
        <f>YEAR(BB5)</f>
        <v>2030</v>
      </c>
      <c r="BC6" s="24">
        <f>YEAR(BC5)</f>
        <v>2030</v>
      </c>
      <c r="BD6" s="24">
        <f>YEAR(BD5)</f>
        <v>2030</v>
      </c>
      <c r="BE6" s="24">
        <f>YEAR(BE5)</f>
        <v>2030</v>
      </c>
      <c r="BF6" s="24">
        <f>YEAR(BF5)</f>
        <v>2030</v>
      </c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</row>
    <row r="7">
      <c r="B7" s="4" t="n"/>
      <c r="D7" s="25" t="n"/>
      <c r="E7" s="25" t="n"/>
      <c r="F7" s="25" t="n"/>
      <c r="G7" s="25" t="n"/>
      <c r="H7" s="26" t="n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 t="n"/>
      <c r="BH7" s="25" t="n"/>
      <c r="BI7" s="25" t="n"/>
      <c r="BJ7" s="25" t="n"/>
      <c r="BK7" s="26" t="n"/>
      <c r="BL7" s="25" t="n"/>
      <c r="BM7" s="25" t="n"/>
      <c r="BN7" s="25" t="n"/>
      <c r="BO7" s="25" t="n"/>
      <c r="BP7" s="26" t="n"/>
      <c r="BQ7" s="25" t="n"/>
      <c r="BR7" s="25" t="n"/>
      <c r="BS7" s="25" t="n"/>
      <c r="BT7" s="25" t="n"/>
      <c r="BU7" s="26" t="n"/>
      <c r="BV7" s="25" t="n"/>
      <c r="BW7" s="25" t="n"/>
      <c r="BX7" s="25" t="n"/>
      <c r="BY7" s="25" t="n"/>
      <c r="BZ7" s="26" t="n"/>
      <c r="CA7" s="25" t="n"/>
      <c r="CB7" s="25" t="n"/>
      <c r="CC7" s="25" t="n"/>
      <c r="CD7" s="25" t="n"/>
      <c r="CE7" s="26" t="n"/>
      <c r="CF7" s="25" t="n"/>
      <c r="CG7" s="25" t="n"/>
      <c r="CH7" s="25" t="n"/>
      <c r="CI7" s="25" t="n"/>
      <c r="CJ7" s="26" t="n"/>
      <c r="CK7" s="25" t="n"/>
      <c r="CL7" s="25" t="n"/>
      <c r="CM7" s="25" t="n"/>
      <c r="CN7" s="25" t="n"/>
      <c r="CO7" s="26" t="n"/>
      <c r="CP7" s="25" t="n"/>
      <c r="CQ7" s="25" t="n"/>
      <c r="CR7" s="25" t="n"/>
      <c r="CS7" s="25" t="n"/>
      <c r="CT7" s="26" t="n"/>
      <c r="CU7" s="25" t="n"/>
      <c r="CV7" s="25" t="n"/>
      <c r="CW7" s="25" t="n"/>
      <c r="CX7" s="25" t="n"/>
      <c r="CY7" s="26" t="n"/>
    </row>
    <row r="8">
      <c r="B8" s="4" t="n"/>
      <c r="C8" s="4" t="inlineStr">
        <is>
          <t>IPCA</t>
        </is>
      </c>
      <c r="D8" s="25" t="n"/>
      <c r="E8" s="25" t="n"/>
      <c r="F8" s="25" t="n"/>
      <c r="G8" s="25" t="n"/>
      <c r="H8" s="27" t="n"/>
      <c r="I8" s="25" t="n"/>
      <c r="J8" s="25" t="n"/>
      <c r="K8" s="25" t="n"/>
      <c r="L8" s="25" t="n"/>
      <c r="M8" s="27" t="n">
        <v>0.1006</v>
      </c>
      <c r="N8" s="25" t="n"/>
      <c r="O8" s="25" t="n"/>
      <c r="P8" s="25" t="n"/>
      <c r="Q8" s="25" t="n"/>
      <c r="R8" s="27" t="n">
        <v>0.0579</v>
      </c>
      <c r="S8" s="25" t="n"/>
      <c r="T8" s="25" t="n"/>
      <c r="U8" s="25" t="n"/>
      <c r="V8" s="25" t="n"/>
      <c r="W8" s="27" t="n">
        <v>0.0468</v>
      </c>
      <c r="X8" s="25" t="n"/>
      <c r="Y8" s="25" t="n"/>
      <c r="Z8" s="25" t="n"/>
      <c r="AA8" s="25" t="n"/>
      <c r="AB8" s="27" t="n">
        <v>0.0483</v>
      </c>
      <c r="AC8" s="25" t="n"/>
      <c r="AD8" s="25" t="n"/>
      <c r="AE8" s="25" t="n"/>
      <c r="AF8" s="25" t="n"/>
      <c r="AG8" s="27" t="n">
        <v>0.0468</v>
      </c>
      <c r="AH8" s="25" t="n"/>
      <c r="AI8" s="25" t="n"/>
      <c r="AJ8" s="25" t="n"/>
      <c r="AK8" s="25" t="n"/>
      <c r="AL8" s="28" t="n"/>
      <c r="AM8" s="25" t="n"/>
      <c r="AN8" s="25" t="n"/>
      <c r="AO8" s="25" t="n"/>
      <c r="AP8" s="25" t="n"/>
      <c r="AQ8" s="28" t="n"/>
      <c r="AR8" s="25" t="n"/>
      <c r="AS8" s="25" t="n"/>
      <c r="AT8" s="25" t="n"/>
      <c r="AU8" s="25" t="n"/>
      <c r="AV8" s="28" t="n"/>
      <c r="AW8" s="25" t="n"/>
      <c r="AX8" s="25" t="n"/>
      <c r="AY8" s="25" t="n"/>
      <c r="AZ8" s="25" t="n"/>
      <c r="BA8" s="28" t="n"/>
      <c r="BB8" s="25" t="n"/>
      <c r="BC8" s="25" t="n"/>
      <c r="BD8" s="25" t="n"/>
      <c r="BE8" s="25" t="n"/>
      <c r="BF8" s="28" t="n"/>
      <c r="BG8" s="25" t="n"/>
      <c r="BH8" s="25" t="n"/>
      <c r="BI8" s="25" t="n"/>
      <c r="BJ8" s="25" t="n"/>
      <c r="BK8" s="28" t="n"/>
      <c r="BL8" s="25" t="n"/>
      <c r="BM8" s="25" t="n"/>
      <c r="BN8" s="25" t="n"/>
      <c r="BO8" s="25" t="n"/>
      <c r="BP8" s="28" t="n"/>
      <c r="BQ8" s="25" t="n"/>
      <c r="BR8" s="25" t="n"/>
      <c r="BS8" s="25" t="n"/>
      <c r="BT8" s="25" t="n"/>
      <c r="BU8" s="28" t="n"/>
      <c r="BV8" s="25" t="n"/>
      <c r="BW8" s="25" t="n"/>
      <c r="BX8" s="25" t="n"/>
      <c r="BY8" s="25" t="n"/>
      <c r="BZ8" s="28" t="n"/>
      <c r="CA8" s="25" t="n"/>
      <c r="CB8" s="25" t="n"/>
      <c r="CC8" s="25" t="n"/>
      <c r="CD8" s="25" t="n"/>
      <c r="CE8" s="28" t="n"/>
      <c r="CF8" s="25" t="n"/>
      <c r="CG8" s="25" t="n"/>
      <c r="CH8" s="25" t="n"/>
      <c r="CI8" s="25" t="n"/>
      <c r="CJ8" s="28" t="n"/>
      <c r="CK8" s="25" t="n"/>
      <c r="CL8" s="25" t="n"/>
      <c r="CM8" s="25" t="n"/>
      <c r="CN8" s="25" t="n"/>
      <c r="CO8" s="28" t="n"/>
      <c r="CP8" s="25" t="n"/>
      <c r="CQ8" s="25" t="n"/>
      <c r="CR8" s="25" t="n"/>
      <c r="CS8" s="25" t="n"/>
      <c r="CT8" s="28" t="n"/>
      <c r="CU8" s="25" t="n"/>
      <c r="CV8" s="25" t="n"/>
      <c r="CW8" s="25" t="n"/>
      <c r="CX8" s="25" t="n"/>
      <c r="CY8" s="28" t="n"/>
    </row>
    <row r="9">
      <c r="B9" s="4" t="n"/>
      <c r="C9" s="4" t="inlineStr">
        <is>
          <t>GDP BRAZIL</t>
        </is>
      </c>
      <c r="D9" s="25" t="n"/>
      <c r="E9" s="25" t="n"/>
      <c r="F9" s="25" t="n"/>
      <c r="G9" s="25" t="n"/>
      <c r="H9" s="29" t="n"/>
      <c r="I9" s="25" t="n"/>
      <c r="J9" s="25" t="n"/>
      <c r="K9" s="25" t="n"/>
      <c r="L9" s="25" t="n"/>
      <c r="M9" s="29" t="n">
        <v>0.046</v>
      </c>
      <c r="N9" s="25" t="n"/>
      <c r="O9" s="25" t="n"/>
      <c r="P9" s="25" t="n"/>
      <c r="Q9" s="25" t="n"/>
      <c r="R9" s="29" t="n"/>
      <c r="S9" s="25" t="n"/>
      <c r="T9" s="25" t="n"/>
      <c r="U9" s="25" t="n"/>
      <c r="V9" s="25" t="n"/>
      <c r="W9" s="29" t="n"/>
      <c r="X9" s="25" t="n"/>
      <c r="Y9" s="25" t="n"/>
      <c r="Z9" s="25" t="n"/>
      <c r="AA9" s="25" t="n"/>
      <c r="AB9" s="29" t="n"/>
      <c r="AC9" s="25" t="n"/>
      <c r="AD9" s="25" t="n"/>
      <c r="AE9" s="25" t="n"/>
      <c r="AF9" s="25" t="n"/>
      <c r="AG9" s="29" t="n"/>
      <c r="AH9" s="25" t="n"/>
      <c r="AI9" s="25" t="n"/>
      <c r="AJ9" s="25" t="n"/>
      <c r="AK9" s="25" t="n"/>
      <c r="AL9" s="28" t="n"/>
      <c r="AM9" s="25" t="n"/>
      <c r="AN9" s="25" t="n"/>
      <c r="AO9" s="25" t="n"/>
      <c r="AP9" s="25" t="n"/>
      <c r="AQ9" s="28" t="n"/>
      <c r="AR9" s="25" t="n"/>
      <c r="AS9" s="25" t="n"/>
      <c r="AT9" s="25" t="n"/>
      <c r="AU9" s="25" t="n"/>
      <c r="AV9" s="28" t="n"/>
      <c r="AW9" s="25" t="n"/>
      <c r="AX9" s="25" t="n"/>
      <c r="AY9" s="25" t="n"/>
      <c r="AZ9" s="25" t="n"/>
      <c r="BA9" s="28" t="n"/>
      <c r="BB9" s="25" t="n"/>
      <c r="BC9" s="25" t="n"/>
      <c r="BD9" s="25" t="n"/>
      <c r="BE9" s="25" t="n"/>
      <c r="BF9" s="28" t="n"/>
      <c r="BG9" s="25" t="n"/>
      <c r="BH9" s="25" t="n"/>
      <c r="BI9" s="25" t="n"/>
      <c r="BJ9" s="25" t="n"/>
      <c r="BK9" s="28" t="n"/>
      <c r="BL9" s="25" t="n"/>
      <c r="BM9" s="25" t="n"/>
      <c r="BN9" s="25" t="n"/>
      <c r="BO9" s="25" t="n"/>
      <c r="BP9" s="28" t="n"/>
      <c r="BQ9" s="25" t="n"/>
      <c r="BR9" s="25" t="n"/>
      <c r="BS9" s="25" t="n"/>
      <c r="BT9" s="25" t="n"/>
      <c r="BU9" s="28" t="n"/>
      <c r="BV9" s="25" t="n"/>
      <c r="BW9" s="25" t="n"/>
      <c r="BX9" s="25" t="n"/>
      <c r="BY9" s="25" t="n"/>
      <c r="BZ9" s="28" t="n"/>
      <c r="CA9" s="25" t="n"/>
      <c r="CB9" s="25" t="n"/>
      <c r="CC9" s="25" t="n"/>
      <c r="CD9" s="25" t="n"/>
      <c r="CE9" s="28" t="n"/>
      <c r="CF9" s="25" t="n"/>
      <c r="CG9" s="25" t="n"/>
      <c r="CH9" s="25" t="n"/>
      <c r="CI9" s="25" t="n"/>
      <c r="CJ9" s="28" t="n"/>
      <c r="CK9" s="25" t="n"/>
      <c r="CL9" s="25" t="n"/>
      <c r="CM9" s="25" t="n"/>
      <c r="CN9" s="25" t="n"/>
      <c r="CO9" s="28" t="n"/>
      <c r="CP9" s="25" t="n"/>
      <c r="CQ9" s="25" t="n"/>
      <c r="CR9" s="25" t="n"/>
      <c r="CS9" s="25" t="n"/>
      <c r="CT9" s="28" t="n"/>
      <c r="CU9" s="25" t="n"/>
      <c r="CV9" s="25" t="n"/>
      <c r="CW9" s="25" t="n"/>
      <c r="CX9" s="25" t="n"/>
      <c r="CY9" s="28" t="n"/>
    </row>
    <row r="10">
      <c r="C10" s="4" t="inlineStr">
        <is>
          <t>CDI</t>
        </is>
      </c>
      <c r="H10" s="29" t="n"/>
      <c r="M10" s="29" t="n">
        <v>0.0442</v>
      </c>
      <c r="R10" s="29" t="n">
        <v>0.1239</v>
      </c>
      <c r="W10" s="29" t="n">
        <v>0.1304</v>
      </c>
      <c r="AB10" s="29" t="n">
        <v>0.1064</v>
      </c>
      <c r="AG10" s="29" t="n">
        <v>0.1464</v>
      </c>
    </row>
    <row r="11"/>
    <row r="12"/>
    <row r="13" customFormat="1" s="32">
      <c r="A13" s="30" t="n"/>
      <c r="B13" s="30" t="n"/>
      <c r="C13" s="31" t="inlineStr">
        <is>
          <t>Income Statement</t>
        </is>
      </c>
      <c r="D13" s="31" t="n"/>
      <c r="E13" s="31" t="n"/>
      <c r="F13" s="31" t="n"/>
      <c r="G13" s="31" t="n"/>
      <c r="H13" s="31" t="n"/>
      <c r="I13" s="31" t="str">
        <f>I7</f>
        <v>1Q21</v>
      </c>
      <c r="J13" s="31" t="str">
        <f>J7</f>
        <v>2Q21</v>
      </c>
      <c r="K13" s="31" t="str">
        <f>K7</f>
        <v>3Q21</v>
      </c>
      <c r="L13" s="31" t="str">
        <f>L7</f>
        <v>4Q21</v>
      </c>
      <c r="M13" s="31">
        <f>M7</f>
        <v>2021</v>
      </c>
      <c r="N13" s="31" t="str">
        <f>N7</f>
        <v>1Q22</v>
      </c>
      <c r="O13" s="31" t="str">
        <f>O7</f>
        <v>2Q22</v>
      </c>
      <c r="P13" s="31" t="str">
        <f>P7</f>
        <v>3Q22</v>
      </c>
      <c r="Q13" s="31" t="str">
        <f>Q7</f>
        <v>4Q22</v>
      </c>
      <c r="R13" s="31">
        <f>R7</f>
        <v>2022</v>
      </c>
      <c r="S13" s="31" t="str">
        <f>S7</f>
        <v>1Q23</v>
      </c>
      <c r="T13" s="31" t="str">
        <f>T7</f>
        <v>2Q23</v>
      </c>
      <c r="U13" s="31" t="str">
        <f>U7</f>
        <v>3Q23</v>
      </c>
      <c r="V13" s="31" t="str">
        <f>V7</f>
        <v>4Q23</v>
      </c>
      <c r="W13" s="31">
        <f>W7</f>
        <v>2023</v>
      </c>
      <c r="X13" s="31" t="str">
        <f>X7</f>
        <v>1Q24</v>
      </c>
      <c r="Y13" s="31" t="str">
        <f>Y7</f>
        <v>2Q24</v>
      </c>
      <c r="Z13" s="31" t="str">
        <f>Z7</f>
        <v>3Q24</v>
      </c>
      <c r="AA13" s="31" t="str">
        <f>AA7</f>
        <v>4Q24</v>
      </c>
      <c r="AB13" s="31">
        <f>AB7</f>
        <v>2024</v>
      </c>
      <c r="AC13" s="31" t="str">
        <f>AC7</f>
        <v>1Q25</v>
      </c>
      <c r="AD13" s="31" t="str">
        <f>AD7</f>
        <v>2Q25</v>
      </c>
      <c r="AE13" s="31" t="str">
        <f>AE7</f>
        <v>3Q25</v>
      </c>
      <c r="AF13" s="31" t="str">
        <f>AF7</f>
        <v>4Q25</v>
      </c>
      <c r="AG13" s="31">
        <f>AG7</f>
        <v>2025</v>
      </c>
      <c r="AH13" s="31" t="str">
        <f>AH7</f>
        <v>1Q26</v>
      </c>
      <c r="AI13" s="31" t="str">
        <f>AI7</f>
        <v>2Q26</v>
      </c>
      <c r="AJ13" s="31" t="str">
        <f>AJ7</f>
        <v>3Q26</v>
      </c>
      <c r="AK13" s="31" t="str">
        <f>AK7</f>
        <v>4Q26</v>
      </c>
      <c r="AL13" s="31">
        <f>AL7</f>
        <v>2026</v>
      </c>
      <c r="AM13" s="31" t="str">
        <f>AM7</f>
        <v>1Q27</v>
      </c>
      <c r="AN13" s="31" t="str">
        <f>AN7</f>
        <v>2Q27</v>
      </c>
      <c r="AO13" s="31" t="str">
        <f>AO7</f>
        <v>3Q27</v>
      </c>
      <c r="AP13" s="31" t="str">
        <f>AP7</f>
        <v>4Q27</v>
      </c>
      <c r="AQ13" s="31">
        <f>AQ7</f>
        <v>2027</v>
      </c>
      <c r="AR13" s="31" t="str">
        <f>AR7</f>
        <v>1Q28</v>
      </c>
      <c r="AS13" s="31" t="str">
        <f>AS7</f>
        <v>2Q28</v>
      </c>
      <c r="AT13" s="31" t="str">
        <f>AT7</f>
        <v>3Q28</v>
      </c>
      <c r="AU13" s="31" t="str">
        <f>AU7</f>
        <v>4Q28</v>
      </c>
      <c r="AV13" s="31">
        <f>AV7</f>
        <v>2028</v>
      </c>
      <c r="AW13" s="31" t="str">
        <f>AW7</f>
        <v>1Q29</v>
      </c>
      <c r="AX13" s="31" t="str">
        <f>AX7</f>
        <v>2Q29</v>
      </c>
      <c r="AY13" s="31" t="str">
        <f>AY7</f>
        <v>3Q29</v>
      </c>
      <c r="AZ13" s="31" t="str">
        <f>AZ7</f>
        <v>4Q29</v>
      </c>
      <c r="BA13" s="31">
        <f>BA7</f>
        <v>2029</v>
      </c>
      <c r="BB13" s="31" t="str">
        <f>BB7</f>
        <v>1Q30</v>
      </c>
      <c r="BC13" s="31" t="str">
        <f>BC7</f>
        <v>2Q30</v>
      </c>
      <c r="BD13" s="31" t="str">
        <f>BD7</f>
        <v>3Q30</v>
      </c>
      <c r="BE13" s="31" t="str">
        <f>BE7</f>
        <v>4Q30</v>
      </c>
      <c r="BF13" s="31">
        <f>BF7</f>
        <v>2030</v>
      </c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</row>
    <row r="14">
      <c r="C14" s="17" t="n"/>
    </row>
    <row r="15" customFormat="1" s="32">
      <c r="A15" s="30" t="n"/>
      <c r="B15" s="3" t="n"/>
      <c r="C15" s="33" t="inlineStr">
        <is>
          <t>Net Revenues</t>
        </is>
      </c>
      <c r="D15" s="34" t="n"/>
      <c r="E15" s="34" t="n"/>
      <c r="F15" s="34" t="n"/>
      <c r="G15" s="34" t="n"/>
      <c r="H15" s="35" t="n"/>
      <c r="I15" s="34">
        <f>'Inputs (2)'!D4</f>
        <v>757.552</v>
      </c>
      <c r="J15" s="34">
        <f>'Inputs (2)'!E4</f>
        <v>1165.345</v>
      </c>
      <c r="K15" s="34">
        <f>'Inputs (2)'!F4</f>
        <v>1521.076</v>
      </c>
      <c r="L15" s="34">
        <f>'Inputs (2)'!G4</f>
        <v>1689.065</v>
      </c>
      <c r="M15" s="35">
        <f>'Inputs (2)'!H4</f>
        <v>5133.038</v>
      </c>
      <c r="N15" s="34">
        <f>'Inputs (2)'!I4</f>
        <v>1905.657</v>
      </c>
      <c r="O15" s="34">
        <f>'Inputs (2)'!J4</f>
        <v>2230.992</v>
      </c>
      <c r="P15" s="34">
        <f>'Inputs (2)'!K4</f>
        <v>2536.864</v>
      </c>
      <c r="Q15" s="34">
        <f>'Inputs (2)'!L4</f>
        <v>2626.633</v>
      </c>
      <c r="R15" s="35">
        <f>'Inputs (2)'!M4</f>
        <v>9300.146</v>
      </c>
      <c r="S15" s="34">
        <f>'Inputs (2)'!N4</f>
        <v>2703.206</v>
      </c>
      <c r="T15" s="34">
        <f>'Inputs (2)'!O4</f>
        <v>2479.144</v>
      </c>
      <c r="U15" s="34">
        <f>'Inputs (2)'!P4</f>
        <v>2666.22</v>
      </c>
      <c r="V15" s="34">
        <f>'Inputs (2)'!Q4</f>
        <v>2493.444</v>
      </c>
      <c r="W15" s="35">
        <f>'Inputs (2)'!R4</f>
        <v>10342.014</v>
      </c>
      <c r="X15" s="34">
        <f>'Inputs (2)'!S4</f>
        <v>3021.646</v>
      </c>
      <c r="Y15" s="34">
        <f>'Inputs (2)'!T4</f>
        <v>3435.604</v>
      </c>
      <c r="Z15" s="34">
        <f>'Inputs (2)'!U4</f>
        <v>3775.864</v>
      </c>
      <c r="AA15" s="34">
        <f>'Inputs (2)'!V4</f>
        <v>3248.157</v>
      </c>
      <c r="AB15" s="35">
        <f>'Inputs (2)'!W4</f>
        <v>13481.271</v>
      </c>
      <c r="AC15" s="34">
        <f>'Inputs (2)'!X4</f>
        <v>3568.231</v>
      </c>
      <c r="AD15" s="34">
        <f>'Inputs (2)'!Y4</f>
        <v>3679.006</v>
      </c>
      <c r="AE15" s="34">
        <f>'Inputs (2)'!Z4</f>
        <v>3765.843</v>
      </c>
      <c r="AF15" s="34">
        <f>'Inputs (2)'!AA4</f>
        <v>3658.97515495</v>
      </c>
      <c r="AG15" s="35">
        <f>'Inputs (2)'!AB4</f>
        <v>14672.05515495</v>
      </c>
      <c r="AH15" s="35">
        <f>'Inputs (2)'!AC4</f>
        <v>3780.644964962</v>
      </c>
      <c r="AI15" s="35">
        <f>'Inputs (2)'!AD4</f>
        <v>3765.830207488</v>
      </c>
      <c r="AJ15" s="35">
        <f>AE15*(1+AJ16)</f>
        <v>4053.73492777227</v>
      </c>
      <c r="AK15" s="35">
        <f>AF15*(1+AK16)</f>
        <v>3938.69722807662</v>
      </c>
      <c r="AL15" s="35">
        <f>SUM(AH15:AK15)</f>
        <v>15538.9073282989</v>
      </c>
      <c r="AM15" s="35">
        <f>AH15*(1+AM16)</f>
        <v>4069.66847634721</v>
      </c>
      <c r="AN15" s="35">
        <f>AI15*(1+AN16)</f>
        <v>4053.72115729572</v>
      </c>
      <c r="AO15" s="35">
        <f>AJ15*(1+AO16)</f>
        <v>4363.63567590067</v>
      </c>
      <c r="AP15" s="35">
        <f>AK15*(1+AP16)</f>
        <v>4239.80355085807</v>
      </c>
      <c r="AQ15" s="35">
        <f>SUM(AM15:AP15)</f>
        <v>16726.8288604017</v>
      </c>
      <c r="AR15" s="35">
        <f>AM15*(1+AR16)</f>
        <v>4360.43897323988</v>
      </c>
      <c r="AS15" s="35">
        <f>AN15*(1+AS16)</f>
        <v>4343.35224690947</v>
      </c>
      <c r="AT15" s="35">
        <f>AO15*(1+AT16)</f>
        <v>4675.40960075831</v>
      </c>
      <c r="AU15" s="35">
        <f>AP15*(1+AU16)</f>
        <v>4542.72989298528</v>
      </c>
      <c r="AV15" s="35">
        <f>SUM(AR15:AU15)</f>
        <v>17921.9307138929</v>
      </c>
      <c r="AW15" s="35">
        <f>AR15*(1+AW16)</f>
        <v>4650.18230457268</v>
      </c>
      <c r="AX15" s="35">
        <f>AS15*(1+AX16)</f>
        <v>4631.96019599317</v>
      </c>
      <c r="AY15" s="35">
        <f>AT15*(1+AY16)</f>
        <v>4986.08216409029</v>
      </c>
      <c r="AZ15" s="35">
        <f>AU15*(1+AZ16)</f>
        <v>4844.58612824425</v>
      </c>
      <c r="BA15" s="35">
        <f>SUM(AW15:AZ15)</f>
        <v>19112.8107929004</v>
      </c>
      <c r="BB15" s="35">
        <f>AW15*(1+BB16)</f>
        <v>4935.92764789951</v>
      </c>
      <c r="BC15" s="35">
        <f>AX15*(1+BC16)</f>
        <v>4916.58582350432</v>
      </c>
      <c r="BD15" s="35">
        <f>AY15*(1+BD16)</f>
        <v>5292.46794996212</v>
      </c>
      <c r="BE15" s="35">
        <f>AZ15*(1+BE16)</f>
        <v>5142.2772370703</v>
      </c>
      <c r="BF15" s="35">
        <f>SUM(BB15:BE15)</f>
        <v>20287.2586584362</v>
      </c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  <c r="CX15" s="35" t="n"/>
      <c r="CY15" s="35" t="n"/>
    </row>
    <row r="16" hidden="1" outlineLevel="1" customFormat="1" s="43">
      <c r="A16" s="36" t="n"/>
      <c r="B16" s="37" t="n"/>
      <c r="C16" s="38" t="inlineStr">
        <is>
          <t>% YoY</t>
        </is>
      </c>
      <c r="D16" s="39" t="n"/>
      <c r="E16" s="40" t="n"/>
      <c r="F16" s="40" t="n"/>
      <c r="G16" s="40" t="n"/>
      <c r="H16" s="39" t="n"/>
      <c r="I16" s="39" t="n"/>
      <c r="J16" s="40" t="n"/>
      <c r="K16" s="40" t="n"/>
      <c r="L16" s="40" t="n"/>
      <c r="M16" s="39" t="n"/>
      <c r="N16" s="40">
        <f>IFERROR(N15/I15-1,"")</f>
        <v>1.51554612752656</v>
      </c>
      <c r="O16" s="40">
        <f>IFERROR(O15/J15-1,"")</f>
        <v>0.914447652841004</v>
      </c>
      <c r="P16" s="40">
        <f>IFERROR(P15/K15-1,"")</f>
        <v>0.667808840583902</v>
      </c>
      <c r="Q16" s="40">
        <f>IFERROR(Q15/L15-1,"")</f>
        <v>0.55508106555994</v>
      </c>
      <c r="R16" s="40">
        <f>IFERROR(R15/M15-1,"")</f>
        <v>0.811820991779138</v>
      </c>
      <c r="S16" s="40">
        <f>IFERROR(S15/N15-1,"")</f>
        <v>0.418516553608546</v>
      </c>
      <c r="T16" s="40">
        <f>IFERROR(T15/O15-1,"")</f>
        <v>0.111229444121718</v>
      </c>
      <c r="U16" s="40">
        <f>IFERROR(U15/P15-1,"")</f>
        <v>0.0509905142727398</v>
      </c>
      <c r="V16" s="40">
        <f>IFERROR(V15/Q15-1,"")</f>
        <v>-0.0507071220075283</v>
      </c>
      <c r="W16" s="40">
        <f>IFERROR(W15/R15-1,"")</f>
        <v>0.112027058499942</v>
      </c>
      <c r="X16" s="40">
        <f>IFERROR(X15/S15-1,"")</f>
        <v>0.117800863123269</v>
      </c>
      <c r="Y16" s="40">
        <f>IFERROR(Y15/T15-1,"")</f>
        <v>0.385802518933955</v>
      </c>
      <c r="Z16" s="40">
        <f>IFERROR(Z15/U15-1,"")</f>
        <v>0.416186211190374</v>
      </c>
      <c r="AA16" s="40">
        <f>IFERROR(AA15/V15-1,"")</f>
        <v>0.302678945266066</v>
      </c>
      <c r="AB16" s="40">
        <f>IFERROR(AB15/W15-1,"")</f>
        <v>0.303544067915592</v>
      </c>
      <c r="AC16" s="40">
        <f>IFERROR(AC15/X15-1,"")</f>
        <v>0.180889819654586</v>
      </c>
      <c r="AD16" s="40">
        <f>IFERROR(AD15/Y15-1,"")</f>
        <v>0.0708469311364173</v>
      </c>
      <c r="AE16" s="40">
        <f>IFERROR(AE15/Z15-1,"")</f>
        <v>-0.00265396211304225</v>
      </c>
      <c r="AF16" s="41">
        <f>IFERROR(AF15/AA15-1,"")</f>
        <v>0.126477308501405</v>
      </c>
      <c r="AG16" s="40">
        <f>IFERROR(AG15/AB15-1,"")</f>
        <v>0.0883287751540636</v>
      </c>
      <c r="AH16" s="41">
        <f>IFERROR(AH15/AC15-1,"")</f>
        <v>0.0595292078797589</v>
      </c>
      <c r="AI16" s="41">
        <f>IFERROR(AI15/AD15-1,"")</f>
        <v>0.0235999091841654</v>
      </c>
      <c r="AJ16" s="41">
        <f>Control!$B$18</f>
        <v>0.0764482023738817</v>
      </c>
      <c r="AK16" s="41">
        <f>Control!$B$18</f>
        <v>0.0764482023738817</v>
      </c>
      <c r="AL16" s="42">
        <f>IFERROR(AL15/AG15-1,"")</f>
        <v>0.0590818507832853</v>
      </c>
      <c r="AM16" s="41">
        <f>Control!$C$18</f>
        <v>0.0764482023738817</v>
      </c>
      <c r="AN16" s="41">
        <f>Control!$C$18</f>
        <v>0.0764482023738817</v>
      </c>
      <c r="AO16" s="41">
        <f>Control!$C$18</f>
        <v>0.0764482023738817</v>
      </c>
      <c r="AP16" s="41">
        <f>Control!$C$18</f>
        <v>0.0764482023738817</v>
      </c>
      <c r="AQ16" s="42">
        <f>IFERROR(AQ15/AL15-1,"")</f>
        <v>0.0764482023738817</v>
      </c>
      <c r="AR16" s="41">
        <f>Control!$D$18</f>
        <v>0.0714482023738817</v>
      </c>
      <c r="AS16" s="41">
        <f>Control!$D$18</f>
        <v>0.0714482023738817</v>
      </c>
      <c r="AT16" s="41">
        <f>Control!$D$18</f>
        <v>0.0714482023738817</v>
      </c>
      <c r="AU16" s="41">
        <f>Control!$D$18</f>
        <v>0.0714482023738817</v>
      </c>
      <c r="AV16" s="42">
        <f>IFERROR(AV15/AQ15-1,"")</f>
        <v>0.0714482023738818</v>
      </c>
      <c r="AW16" s="41">
        <f>Control!$E$18</f>
        <v>0.0664482023738817</v>
      </c>
      <c r="AX16" s="41">
        <f>Control!$E$18</f>
        <v>0.0664482023738817</v>
      </c>
      <c r="AY16" s="41">
        <f>Control!$E$18</f>
        <v>0.0664482023738817</v>
      </c>
      <c r="AZ16" s="41">
        <f>Control!$E$18</f>
        <v>0.0664482023738817</v>
      </c>
      <c r="BA16" s="42">
        <f>IFERROR(BA15/AV15-1,"")</f>
        <v>0.0664482023738817</v>
      </c>
      <c r="BB16" s="41">
        <f>Control!$F$18</f>
        <v>0.0614482023738817</v>
      </c>
      <c r="BC16" s="41">
        <f>Control!$F$18</f>
        <v>0.0614482023738817</v>
      </c>
      <c r="BD16" s="41">
        <f>Control!$F$18</f>
        <v>0.0614482023738817</v>
      </c>
      <c r="BE16" s="41">
        <f>Control!$F$18</f>
        <v>0.0614482023738817</v>
      </c>
      <c r="BF16" s="42">
        <f>IFERROR(BF15/BA15-1,"")</f>
        <v>0.061448202373882</v>
      </c>
      <c r="BG16" s="41" t="n"/>
      <c r="BH16" s="41" t="n"/>
      <c r="BI16" s="41" t="n"/>
      <c r="BJ16" s="41" t="n"/>
      <c r="BK16" s="42" t="n"/>
      <c r="BL16" s="41" t="n"/>
      <c r="BM16" s="41" t="n"/>
      <c r="BN16" s="41" t="n"/>
      <c r="BO16" s="41" t="n"/>
      <c r="BP16" s="42" t="n"/>
      <c r="BQ16" s="41" t="n"/>
      <c r="BR16" s="41" t="n"/>
      <c r="BS16" s="41" t="n"/>
      <c r="BT16" s="41" t="n"/>
      <c r="BU16" s="42" t="n"/>
      <c r="BV16" s="41" t="n"/>
      <c r="BW16" s="41" t="n"/>
      <c r="BX16" s="41" t="n"/>
      <c r="BY16" s="41" t="n"/>
      <c r="BZ16" s="42" t="n"/>
      <c r="CA16" s="41" t="n"/>
      <c r="CB16" s="41" t="n"/>
      <c r="CC16" s="41" t="n"/>
      <c r="CD16" s="41" t="n"/>
      <c r="CE16" s="42" t="n"/>
      <c r="CF16" s="41" t="n"/>
      <c r="CG16" s="41" t="n"/>
      <c r="CH16" s="41" t="n"/>
      <c r="CI16" s="41" t="n"/>
      <c r="CJ16" s="42" t="n"/>
      <c r="CK16" s="41" t="n"/>
      <c r="CL16" s="41" t="n"/>
      <c r="CM16" s="41" t="n"/>
      <c r="CN16" s="41" t="n"/>
      <c r="CO16" s="42" t="n"/>
      <c r="CP16" s="41" t="n"/>
      <c r="CQ16" s="41" t="n"/>
      <c r="CR16" s="41" t="n"/>
      <c r="CS16" s="41" t="n"/>
      <c r="CT16" s="42" t="n"/>
      <c r="CU16" s="41" t="n"/>
      <c r="CV16" s="41" t="n"/>
      <c r="CW16" s="41" t="n"/>
      <c r="CX16" s="41" t="n"/>
      <c r="CY16" s="42" t="n"/>
    </row>
    <row r="17" hidden="1" outlineLevel="1" customFormat="1" s="43">
      <c r="A17" s="36" t="n"/>
      <c r="B17" s="37" t="n"/>
      <c r="C17" s="44" t="inlineStr">
        <is>
          <t>Check Receita</t>
        </is>
      </c>
      <c r="D17" s="39" t="n"/>
      <c r="E17" s="40" t="n"/>
      <c r="F17" s="40" t="n"/>
      <c r="G17" s="40" t="n"/>
      <c r="H17" s="39" t="n"/>
      <c r="I17" s="39">
        <f>IF(ISNUMBER(I25),I25,"")</f>
        <v>0.001</v>
      </c>
      <c r="J17" s="40">
        <f>IF(ISNUMBER(J25),J25,"")</f>
        <v>0</v>
      </c>
      <c r="K17" s="40">
        <f>IF(ISNUMBER(K25),K25,"")</f>
        <v>0</v>
      </c>
      <c r="L17" s="40">
        <f>IF(ISNUMBER(L25),L25,"")</f>
        <v>0</v>
      </c>
      <c r="M17" s="39">
        <f>IF(ISNUMBER(M25),M25,"")</f>
        <v>0.001</v>
      </c>
      <c r="N17" s="40">
        <f>IF(ISNUMBER(N25),N25,"")</f>
        <v>0</v>
      </c>
      <c r="O17" s="40">
        <f>IF(ISNUMBER(O25),O25,"")</f>
        <v>-0.001</v>
      </c>
      <c r="P17" s="40">
        <f>IF(ISNUMBER(P25),P25,"")</f>
        <v>-0.001</v>
      </c>
      <c r="Q17" s="40">
        <f>IF(ISNUMBER(Q25),Q25,"")</f>
        <v>0</v>
      </c>
      <c r="R17" s="40">
        <f>IF(ISNUMBER(R25),R25,"")</f>
        <v>-0.002</v>
      </c>
      <c r="S17" s="40">
        <f>IF(ISNUMBER(S25),S25,"")</f>
        <v>-0.001</v>
      </c>
      <c r="T17" s="40">
        <f>IF(ISNUMBER(T25),T25,"")</f>
        <v>0</v>
      </c>
      <c r="U17" s="40">
        <f>IF(ISNUMBER(U25),U25,"")</f>
        <v>0.001</v>
      </c>
      <c r="V17" s="40">
        <f>IF(ISNUMBER(V25),V25,"")</f>
        <v>0</v>
      </c>
      <c r="W17" s="40">
        <f>IF(ISNUMBER(W25),W25,"")</f>
        <v>0</v>
      </c>
      <c r="X17" s="40">
        <f>IF(ISNUMBER(X25),X25,"")</f>
        <v>-0.001</v>
      </c>
      <c r="Y17" s="40">
        <f>IF(ISNUMBER(Y25),Y25,"")</f>
        <v>0</v>
      </c>
      <c r="Z17" s="40">
        <f>IF(ISNUMBER(Z25),Z25,"")</f>
        <v>0.001</v>
      </c>
      <c r="AA17" s="40">
        <f>IF(ISNUMBER(AA25),AA25,"")</f>
        <v>0</v>
      </c>
      <c r="AB17" s="40">
        <f>IF(ISNUMBER(AB25),AB25,"")</f>
        <v>0</v>
      </c>
      <c r="AC17" s="40">
        <f>IF(ISNUMBER(AC25),AC25,"")</f>
        <v>0.001</v>
      </c>
      <c r="AD17" s="40">
        <f>IF(ISNUMBER(AD25),AD25,"")</f>
        <v>0</v>
      </c>
      <c r="AE17" s="40">
        <f>IF(ISNUMBER(AE25),AE25,"")</f>
        <v>0.001</v>
      </c>
      <c r="AF17" s="40">
        <f>IF(ISNUMBER(AF25),AF25,"")</f>
        <v>0</v>
      </c>
      <c r="AG17" s="40">
        <f>IF(ISNUMBER(AG25),AG25,"")</f>
        <v>0.002</v>
      </c>
      <c r="AH17" s="41">
        <f>IF(ISNUMBER(AH25),AH25,"")</f>
        <v>0</v>
      </c>
      <c r="AI17" s="41">
        <f>IF(ISNUMBER(AI25),AI25,"")</f>
        <v>0</v>
      </c>
      <c r="AJ17" s="41" t="n"/>
      <c r="AK17" s="41" t="n"/>
      <c r="AL17" s="42" t="n"/>
      <c r="AM17" s="41" t="n"/>
      <c r="AN17" s="41" t="n"/>
      <c r="AO17" s="41" t="n"/>
      <c r="AP17" s="41" t="n"/>
      <c r="AQ17" s="42" t="n"/>
      <c r="AR17" s="41" t="n"/>
      <c r="AS17" s="41" t="n"/>
      <c r="AT17" s="41" t="n"/>
      <c r="AU17" s="41" t="n"/>
      <c r="AV17" s="42" t="n"/>
      <c r="AW17" s="41" t="n"/>
      <c r="AX17" s="41" t="n"/>
      <c r="AY17" s="41" t="n"/>
      <c r="AZ17" s="41" t="n"/>
      <c r="BA17" s="42" t="n"/>
      <c r="BB17" s="41" t="n"/>
      <c r="BC17" s="41" t="n"/>
      <c r="BD17" s="41" t="n"/>
      <c r="BE17" s="41" t="n"/>
      <c r="BF17" s="42" t="n"/>
      <c r="BG17" s="41" t="n"/>
      <c r="BH17" s="41" t="n"/>
      <c r="BI17" s="41" t="n"/>
      <c r="BJ17" s="41" t="n"/>
      <c r="BK17" s="42" t="n"/>
      <c r="BL17" s="41" t="n"/>
      <c r="BM17" s="41" t="n"/>
      <c r="BN17" s="41" t="n"/>
      <c r="BO17" s="41" t="n"/>
      <c r="BP17" s="42" t="n"/>
      <c r="BQ17" s="41" t="n"/>
      <c r="BR17" s="41" t="n"/>
      <c r="BS17" s="41" t="n"/>
      <c r="BT17" s="41" t="n"/>
      <c r="BU17" s="42" t="n"/>
      <c r="BV17" s="41" t="n"/>
      <c r="BW17" s="41" t="n"/>
      <c r="BX17" s="41" t="n"/>
      <c r="BY17" s="41" t="n"/>
      <c r="BZ17" s="42" t="n"/>
      <c r="CA17" s="41" t="n"/>
      <c r="CB17" s="41" t="n"/>
      <c r="CC17" s="41" t="n"/>
      <c r="CD17" s="41" t="n"/>
      <c r="CE17" s="42" t="n"/>
      <c r="CF17" s="41" t="n"/>
      <c r="CG17" s="41" t="n"/>
      <c r="CH17" s="41" t="n"/>
      <c r="CI17" s="41" t="n"/>
      <c r="CJ17" s="42" t="n"/>
      <c r="CK17" s="41" t="n"/>
      <c r="CL17" s="41" t="n"/>
      <c r="CM17" s="41" t="n"/>
      <c r="CN17" s="41" t="n"/>
      <c r="CO17" s="42" t="n"/>
      <c r="CP17" s="41" t="n"/>
      <c r="CQ17" s="41" t="n"/>
      <c r="CR17" s="41" t="n"/>
      <c r="CS17" s="41" t="n"/>
      <c r="CT17" s="42" t="n"/>
      <c r="CU17" s="41" t="n"/>
      <c r="CV17" s="41" t="n"/>
      <c r="CW17" s="41" t="n"/>
      <c r="CX17" s="41" t="n"/>
      <c r="CY17" s="42" t="n"/>
    </row>
    <row r="18">
      <c r="C18" s="267" t="inlineStr">
        <is>
          <t>Receita liquida por segmento - como a Cia divulga (R$ milhoes)</t>
        </is>
      </c>
      <c r="D18" s="267">
        <f>D7</f>
        <v>0</v>
      </c>
      <c r="E18" s="267">
        <f>E7</f>
        <v>0</v>
      </c>
      <c r="F18" s="267">
        <f>F7</f>
        <v>0</v>
      </c>
      <c r="G18" s="267">
        <f>G7</f>
        <v>0</v>
      </c>
      <c r="H18" s="267">
        <f>H7</f>
        <v>2020</v>
      </c>
      <c r="I18" s="267" t="str">
        <f>I7</f>
        <v>1Q21</v>
      </c>
      <c r="J18" s="267" t="str">
        <f>J7</f>
        <v>2Q21</v>
      </c>
      <c r="K18" s="267" t="str">
        <f>K7</f>
        <v>3Q21</v>
      </c>
      <c r="L18" s="267" t="str">
        <f>L7</f>
        <v>4Q21</v>
      </c>
      <c r="M18" s="267">
        <f>M7</f>
        <v>2021</v>
      </c>
      <c r="N18" s="267" t="str">
        <f>N7</f>
        <v>1Q22</v>
      </c>
      <c r="O18" s="267" t="str">
        <f>O7</f>
        <v>2Q22</v>
      </c>
      <c r="P18" s="267" t="str">
        <f>P7</f>
        <v>3Q22</v>
      </c>
      <c r="Q18" s="267" t="str">
        <f>Q7</f>
        <v>4Q22</v>
      </c>
      <c r="R18" s="267">
        <f>R7</f>
        <v>2022</v>
      </c>
      <c r="S18" s="267" t="str">
        <f>S7</f>
        <v>1Q23</v>
      </c>
      <c r="T18" s="267" t="str">
        <f>T7</f>
        <v>2Q23</v>
      </c>
      <c r="U18" s="267" t="str">
        <f>U7</f>
        <v>3Q23</v>
      </c>
      <c r="V18" s="267" t="str">
        <f>V7</f>
        <v>4Q23</v>
      </c>
      <c r="W18" s="267">
        <f>W7</f>
        <v>2023</v>
      </c>
      <c r="X18" s="267" t="str">
        <f>X7</f>
        <v>1Q24</v>
      </c>
      <c r="Y18" s="267" t="str">
        <f>Y7</f>
        <v>2Q24</v>
      </c>
      <c r="Z18" s="267" t="str">
        <f>Z7</f>
        <v>3Q24</v>
      </c>
      <c r="AA18" s="267" t="str">
        <f>AA7</f>
        <v>4Q24</v>
      </c>
      <c r="AB18" s="267">
        <f>AB7</f>
        <v>2024</v>
      </c>
      <c r="AC18" s="267" t="str">
        <f>AC7</f>
        <v>1Q25</v>
      </c>
      <c r="AD18" s="267" t="str">
        <f>AD7</f>
        <v>2Q25</v>
      </c>
      <c r="AE18" s="267" t="str">
        <f>AE7</f>
        <v>3Q25</v>
      </c>
      <c r="AF18" s="267" t="str">
        <f>AF7</f>
        <v>4Q25</v>
      </c>
      <c r="AG18" s="267">
        <f>AG7</f>
        <v>2025</v>
      </c>
      <c r="AH18" s="267" t="str">
        <f>AH7</f>
        <v>1Q26</v>
      </c>
      <c r="AI18" s="267" t="str">
        <f>AI7</f>
        <v>2Q26</v>
      </c>
    </row>
    <row r="19">
      <c r="C19" s="268" t="inlineStr">
        <is>
          <t xml:space="preserve">   RAC Brasil (aluguel de carros)</t>
        </is>
      </c>
      <c r="D19" s="269" t="str">
        <f>IFERROR(INDEX('Inputs (2)'!$D$53:$AL$53,MATCH(D$7&amp;"",'Inputs (2)'!$D$2:$AL$2,0)),"")</f>
        <v/>
      </c>
      <c r="E19" s="269" t="str">
        <f>IFERROR(INDEX('Inputs (2)'!$D$53:$AL$53,MATCH(E$7&amp;"",'Inputs (2)'!$D$2:$AL$2,0)),"")</f>
        <v/>
      </c>
      <c r="F19" s="269" t="str">
        <f>IFERROR(INDEX('Inputs (2)'!$D$53:$AL$53,MATCH(F$7&amp;"",'Inputs (2)'!$D$2:$AL$2,0)),"")</f>
        <v/>
      </c>
      <c r="G19" s="269" t="str">
        <f>IFERROR(INDEX('Inputs (2)'!$D$53:$AL$53,MATCH(G$7&amp;"",'Inputs (2)'!$D$2:$AL$2,0)),"")</f>
        <v/>
      </c>
      <c r="H19" s="270" t="str">
        <f>IF(COUNT(D19:G19)=4,SUM(D19:G19),"")</f>
        <v/>
      </c>
      <c r="I19" s="269">
        <f>IFERROR(INDEX('Inputs (2)'!$D$53:$AL$53,MATCH(I$7&amp;"",'Inputs (2)'!$D$2:$AL$2,0)),"")</f>
        <v>328.988</v>
      </c>
      <c r="J19" s="269">
        <f>IFERROR(INDEX('Inputs (2)'!$D$53:$AL$53,MATCH(J$7&amp;"",'Inputs (2)'!$D$2:$AL$2,0)),"")</f>
        <v>308.291</v>
      </c>
      <c r="K19" s="269">
        <f>IFERROR(INDEX('Inputs (2)'!$D$53:$AL$53,MATCH(K$7&amp;"",'Inputs (2)'!$D$2:$AL$2,0)),"")</f>
        <v>403.799</v>
      </c>
      <c r="L19" s="269">
        <f>IFERROR(INDEX('Inputs (2)'!$D$53:$AL$53,MATCH(L$7&amp;"",'Inputs (2)'!$D$2:$AL$2,0)),"")</f>
        <v>522.57</v>
      </c>
      <c r="M19" s="270">
        <f>IF(COUNT(I19:L19)=4,SUM(I19:L19),"")</f>
        <v>1563.648</v>
      </c>
      <c r="N19" s="269">
        <f>IFERROR(INDEX('Inputs (2)'!$D$53:$AL$53,MATCH(N$7&amp;"",'Inputs (2)'!$D$2:$AL$2,0)),"")</f>
        <v>552.692</v>
      </c>
      <c r="O19" s="269">
        <f>IFERROR(INDEX('Inputs (2)'!$D$53:$AL$53,MATCH(O$7&amp;"",'Inputs (2)'!$D$2:$AL$2,0)),"")</f>
        <v>585.184</v>
      </c>
      <c r="P19" s="269">
        <f>IFERROR(INDEX('Inputs (2)'!$D$53:$AL$53,MATCH(P$7&amp;"",'Inputs (2)'!$D$2:$AL$2,0)),"")</f>
        <v>675.359</v>
      </c>
      <c r="Q19" s="269">
        <f>IFERROR(INDEX('Inputs (2)'!$D$53:$AL$53,MATCH(Q$7&amp;"",'Inputs (2)'!$D$2:$AL$2,0)),"")</f>
        <v>682.873</v>
      </c>
      <c r="R19" s="270">
        <f>IF(COUNT(N19:Q19)=4,SUM(N19:Q19),"")</f>
        <v>2496.108</v>
      </c>
      <c r="S19" s="269">
        <f>IFERROR(INDEX('Inputs (2)'!$D$53:$AL$53,MATCH(S$7&amp;"",'Inputs (2)'!$D$2:$AL$2,0)),"")</f>
        <v>686.638</v>
      </c>
      <c r="T19" s="269">
        <f>IFERROR(INDEX('Inputs (2)'!$D$53:$AL$53,MATCH(T$7&amp;"",'Inputs (2)'!$D$2:$AL$2,0)),"")</f>
        <v>646.165</v>
      </c>
      <c r="U19" s="269">
        <f>IFERROR(INDEX('Inputs (2)'!$D$53:$AL$53,MATCH(U$7&amp;"",'Inputs (2)'!$D$2:$AL$2,0)),"")</f>
        <v>651.205</v>
      </c>
      <c r="V19" s="269">
        <f>IFERROR(INDEX('Inputs (2)'!$D$53:$AL$53,MATCH(V$7&amp;"",'Inputs (2)'!$D$2:$AL$2,0)),"")</f>
        <v>674.999</v>
      </c>
      <c r="W19" s="270">
        <f>IF(COUNT(S19:V19)=4,SUM(S19:V19),"")</f>
        <v>2659.007</v>
      </c>
      <c r="X19" s="269">
        <f>IFERROR(INDEX('Inputs (2)'!$D$53:$AL$53,MATCH(X$7&amp;"",'Inputs (2)'!$D$2:$AL$2,0)),"")</f>
        <v>751.762</v>
      </c>
      <c r="Y19" s="269">
        <f>IFERROR(INDEX('Inputs (2)'!$D$53:$AL$53,MATCH(Y$7&amp;"",'Inputs (2)'!$D$2:$AL$2,0)),"")</f>
        <v>748.549</v>
      </c>
      <c r="Z19" s="269">
        <f>IFERROR(INDEX('Inputs (2)'!$D$53:$AL$53,MATCH(Z$7&amp;"",'Inputs (2)'!$D$2:$AL$2,0)),"")</f>
        <v>764.768</v>
      </c>
      <c r="AA19" s="269">
        <f>IFERROR(INDEX('Inputs (2)'!$D$53:$AL$53,MATCH(AA$7&amp;"",'Inputs (2)'!$D$2:$AL$2,0)),"")</f>
        <v>808.526</v>
      </c>
      <c r="AB19" s="270">
        <f>IF(COUNT(X19:AA19)=4,SUM(X19:AA19),"")</f>
        <v>3073.605</v>
      </c>
      <c r="AC19" s="269">
        <f>IFERROR(INDEX('Inputs (2)'!$D$53:$AL$53,MATCH(AC$7&amp;"",'Inputs (2)'!$D$2:$AL$2,0)),"")</f>
        <v>859.38</v>
      </c>
      <c r="AD19" s="269">
        <f>IFERROR(INDEX('Inputs (2)'!$D$53:$AL$53,MATCH(AD$7&amp;"",'Inputs (2)'!$D$2:$AL$2,0)),"")</f>
        <v>843.303</v>
      </c>
      <c r="AE19" s="269">
        <f>IFERROR(INDEX('Inputs (2)'!$D$53:$AL$53,MATCH(AE$7&amp;"",'Inputs (2)'!$D$2:$AL$2,0)),"")</f>
        <v>874.046</v>
      </c>
      <c r="AF19" s="269">
        <f>IFERROR(INDEX('Inputs (2)'!$D$53:$AL$53,MATCH(AF$7&amp;"",'Inputs (2)'!$D$2:$AL$2,0)),"")</f>
        <v>968.870778194</v>
      </c>
      <c r="AG19" s="270">
        <f>IF(COUNT(AC19:AF19)=4,SUM(AC19:AF19),"")</f>
        <v>3545.599778194</v>
      </c>
      <c r="AH19" s="270">
        <f>IFERROR(INDEX('Inputs (2)'!$D$53:$AL$53,MATCH(AH$7&amp;"",'Inputs (2)'!$D$2:$AL$2,0)),"")</f>
        <v>1076.120486638</v>
      </c>
      <c r="AI19" s="270">
        <f>IFERROR(INDEX('Inputs (2)'!$D$53:$AL$53,MATCH(AI$7&amp;"",'Inputs (2)'!$D$2:$AL$2,0)),"")</f>
        <v>1099.712331255</v>
      </c>
    </row>
    <row r="20">
      <c r="C20" s="268" t="inlineStr">
        <is>
          <t xml:space="preserve">   RAC Portugal</t>
        </is>
      </c>
      <c r="D20" s="269" t="str">
        <f>IFERROR(INDEX('Inputs (2)'!$D$54:$AL$54,MATCH(D$7&amp;"",'Inputs (2)'!$D$2:$AL$2,0)),"")</f>
        <v/>
      </c>
      <c r="E20" s="269" t="str">
        <f>IFERROR(INDEX('Inputs (2)'!$D$54:$AL$54,MATCH(E$7&amp;"",'Inputs (2)'!$D$2:$AL$2,0)),"")</f>
        <v/>
      </c>
      <c r="F20" s="269" t="str">
        <f>IFERROR(INDEX('Inputs (2)'!$D$54:$AL$54,MATCH(F$7&amp;"",'Inputs (2)'!$D$2:$AL$2,0)),"")</f>
        <v/>
      </c>
      <c r="G20" s="269" t="str">
        <f>IFERROR(INDEX('Inputs (2)'!$D$54:$AL$54,MATCH(G$7&amp;"",'Inputs (2)'!$D$2:$AL$2,0)),"")</f>
        <v/>
      </c>
      <c r="H20" s="270" t="str">
        <f>IF(COUNT(D20:G20)=4,SUM(D20:G20),"")</f>
        <v/>
      </c>
      <c r="I20" s="269">
        <f>IFERROR(INDEX('Inputs (2)'!$D$54:$AL$54,MATCH(I$7&amp;"",'Inputs (2)'!$D$2:$AL$2,0)),"")</f>
        <v>0</v>
      </c>
      <c r="J20" s="269">
        <f>IFERROR(INDEX('Inputs (2)'!$D$54:$AL$54,MATCH(J$7&amp;"",'Inputs (2)'!$D$2:$AL$2,0)),"")</f>
        <v>0</v>
      </c>
      <c r="K20" s="269">
        <f>IFERROR(INDEX('Inputs (2)'!$D$54:$AL$54,MATCH(K$7&amp;"",'Inputs (2)'!$D$2:$AL$2,0)),"")</f>
        <v>0</v>
      </c>
      <c r="L20" s="269">
        <f>IFERROR(INDEX('Inputs (2)'!$D$54:$AL$54,MATCH(L$7&amp;"",'Inputs (2)'!$D$2:$AL$2,0)),"")</f>
        <v>0</v>
      </c>
      <c r="M20" s="270">
        <f>IF(COUNT(I20:L20)=4,SUM(I20:L20),"")</f>
        <v>0</v>
      </c>
      <c r="N20" s="269">
        <f>IFERROR(INDEX('Inputs (2)'!$D$54:$AL$54,MATCH(N$7&amp;"",'Inputs (2)'!$D$2:$AL$2,0)),"")</f>
        <v>0</v>
      </c>
      <c r="O20" s="269">
        <f>IFERROR(INDEX('Inputs (2)'!$D$54:$AL$54,MATCH(O$7&amp;"",'Inputs (2)'!$D$2:$AL$2,0)),"")</f>
        <v>0</v>
      </c>
      <c r="P20" s="269">
        <f>IFERROR(INDEX('Inputs (2)'!$D$54:$AL$54,MATCH(P$7&amp;"",'Inputs (2)'!$D$2:$AL$2,0)),"")</f>
        <v>0</v>
      </c>
      <c r="Q20" s="269">
        <f>IFERROR(INDEX('Inputs (2)'!$D$54:$AL$54,MATCH(Q$7&amp;"",'Inputs (2)'!$D$2:$AL$2,0)),"")</f>
        <v>43.829</v>
      </c>
      <c r="R20" s="270">
        <f>IF(COUNT(N20:Q20)=4,SUM(N20:Q20),"")</f>
        <v>43.829</v>
      </c>
      <c r="S20" s="269">
        <f>IFERROR(INDEX('Inputs (2)'!$D$54:$AL$54,MATCH(S$7&amp;"",'Inputs (2)'!$D$2:$AL$2,0)),"")</f>
        <v>14.396</v>
      </c>
      <c r="T20" s="269">
        <f>IFERROR(INDEX('Inputs (2)'!$D$54:$AL$54,MATCH(T$7&amp;"",'Inputs (2)'!$D$2:$AL$2,0)),"")</f>
        <v>29.467</v>
      </c>
      <c r="U20" s="269">
        <f>IFERROR(INDEX('Inputs (2)'!$D$54:$AL$54,MATCH(U$7&amp;"",'Inputs (2)'!$D$2:$AL$2,0)),"")</f>
        <v>64.989</v>
      </c>
      <c r="V20" s="269">
        <f>IFERROR(INDEX('Inputs (2)'!$D$54:$AL$54,MATCH(V$7&amp;"",'Inputs (2)'!$D$2:$AL$2,0)),"")</f>
        <v>29.385</v>
      </c>
      <c r="W20" s="270">
        <f>IF(COUNT(S20:V20)=4,SUM(S20:V20),"")</f>
        <v>138.237</v>
      </c>
      <c r="X20" s="269">
        <f>IFERROR(INDEX('Inputs (2)'!$D$54:$AL$54,MATCH(X$7&amp;"",'Inputs (2)'!$D$2:$AL$2,0)),"")</f>
        <v>23.047</v>
      </c>
      <c r="Y20" s="269">
        <f>IFERROR(INDEX('Inputs (2)'!$D$54:$AL$54,MATCH(Y$7&amp;"",'Inputs (2)'!$D$2:$AL$2,0)),"")</f>
        <v>43.533</v>
      </c>
      <c r="Z20" s="269">
        <f>IFERROR(INDEX('Inputs (2)'!$D$54:$AL$54,MATCH(Z$7&amp;"",'Inputs (2)'!$D$2:$AL$2,0)),"")</f>
        <v>90.502</v>
      </c>
      <c r="AA20" s="269">
        <f>IFERROR(INDEX('Inputs (2)'!$D$54:$AL$54,MATCH(AA$7&amp;"",'Inputs (2)'!$D$2:$AL$2,0)),"")</f>
        <v>39.179</v>
      </c>
      <c r="AB20" s="270">
        <f>IF(COUNT(X20:AA20)=4,SUM(X20:AA20),"")</f>
        <v>196.261</v>
      </c>
      <c r="AC20" s="269">
        <f>IFERROR(INDEX('Inputs (2)'!$D$54:$AL$54,MATCH(AC$7&amp;"",'Inputs (2)'!$D$2:$AL$2,0)),"")</f>
        <v>26.343</v>
      </c>
      <c r="AD20" s="269">
        <f>IFERROR(INDEX('Inputs (2)'!$D$54:$AL$54,MATCH(AD$7&amp;"",'Inputs (2)'!$D$2:$AL$2,0)),"")</f>
        <v>53.453</v>
      </c>
      <c r="AE20" s="269">
        <f>IFERROR(INDEX('Inputs (2)'!$D$54:$AL$54,MATCH(AE$7&amp;"",'Inputs (2)'!$D$2:$AL$2,0)),"")</f>
        <v>103.339</v>
      </c>
      <c r="AF20" s="269">
        <f>IFERROR(INDEX('Inputs (2)'!$D$54:$AL$54,MATCH(AF$7&amp;"",'Inputs (2)'!$D$2:$AL$2,0)),"")</f>
        <v>43.91676634</v>
      </c>
      <c r="AG20" s="270">
        <f>IF(COUNT(AC20:AF20)=4,SUM(AC20:AF20),"")</f>
        <v>227.05176634</v>
      </c>
      <c r="AH20" s="270">
        <f>IFERROR(INDEX('Inputs (2)'!$D$54:$AL$54,MATCH(AH$7&amp;"",'Inputs (2)'!$D$2:$AL$2,0)),"")</f>
        <v>27.88744168</v>
      </c>
      <c r="AI20" s="270">
        <f>IFERROR(INDEX('Inputs (2)'!$D$54:$AL$54,MATCH(AI$7&amp;"",'Inputs (2)'!$D$2:$AL$2,0)),"")</f>
        <v>45.85325813</v>
      </c>
    </row>
    <row r="21">
      <c r="C21" s="268" t="inlineStr">
        <is>
          <t xml:space="preserve">   GTF (gestao e terceirizacao de frotas)</t>
        </is>
      </c>
      <c r="D21" s="269" t="str">
        <f>IFERROR(INDEX('Inputs (2)'!$D$55:$AL$55,MATCH(D$7&amp;"",'Inputs (2)'!$D$2:$AL$2,0)),"")</f>
        <v/>
      </c>
      <c r="E21" s="269" t="str">
        <f>IFERROR(INDEX('Inputs (2)'!$D$55:$AL$55,MATCH(E$7&amp;"",'Inputs (2)'!$D$2:$AL$2,0)),"")</f>
        <v/>
      </c>
      <c r="F21" s="269" t="str">
        <f>IFERROR(INDEX('Inputs (2)'!$D$55:$AL$55,MATCH(F$7&amp;"",'Inputs (2)'!$D$2:$AL$2,0)),"")</f>
        <v/>
      </c>
      <c r="G21" s="269" t="str">
        <f>IFERROR(INDEX('Inputs (2)'!$D$55:$AL$55,MATCH(G$7&amp;"",'Inputs (2)'!$D$2:$AL$2,0)),"")</f>
        <v/>
      </c>
      <c r="H21" s="270" t="str">
        <f>IF(COUNT(D21:G21)=4,SUM(D21:G21),"")</f>
        <v/>
      </c>
      <c r="I21" s="269">
        <f>IFERROR(INDEX('Inputs (2)'!$D$55:$AL$55,MATCH(I$7&amp;"",'Inputs (2)'!$D$2:$AL$2,0)),"")</f>
        <v>154.023</v>
      </c>
      <c r="J21" s="269">
        <f>IFERROR(INDEX('Inputs (2)'!$D$55:$AL$55,MATCH(J$7&amp;"",'Inputs (2)'!$D$2:$AL$2,0)),"")</f>
        <v>183.574</v>
      </c>
      <c r="K21" s="269">
        <f>IFERROR(INDEX('Inputs (2)'!$D$55:$AL$55,MATCH(K$7&amp;"",'Inputs (2)'!$D$2:$AL$2,0)),"")</f>
        <v>272.657</v>
      </c>
      <c r="L21" s="269">
        <f>IFERROR(INDEX('Inputs (2)'!$D$55:$AL$55,MATCH(L$7&amp;"",'Inputs (2)'!$D$2:$AL$2,0)),"")</f>
        <v>357.38</v>
      </c>
      <c r="M21" s="270">
        <f>IF(COUNT(I21:L21)=4,SUM(I21:L21),"")</f>
        <v>967.634</v>
      </c>
      <c r="N21" s="269">
        <f>IFERROR(INDEX('Inputs (2)'!$D$55:$AL$55,MATCH(N$7&amp;"",'Inputs (2)'!$D$2:$AL$2,0)),"")</f>
        <v>379.203</v>
      </c>
      <c r="O21" s="269">
        <f>IFERROR(INDEX('Inputs (2)'!$D$55:$AL$55,MATCH(O$7&amp;"",'Inputs (2)'!$D$2:$AL$2,0)),"")</f>
        <v>417.174</v>
      </c>
      <c r="P21" s="269">
        <f>IFERROR(INDEX('Inputs (2)'!$D$55:$AL$55,MATCH(P$7&amp;"",'Inputs (2)'!$D$2:$AL$2,0)),"")</f>
        <v>451.078</v>
      </c>
      <c r="Q21" s="269">
        <f>IFERROR(INDEX('Inputs (2)'!$D$55:$AL$55,MATCH(Q$7&amp;"",'Inputs (2)'!$D$2:$AL$2,0)),"")</f>
        <v>495.524</v>
      </c>
      <c r="R21" s="270">
        <f>IF(COUNT(N21:Q21)=4,SUM(N21:Q21),"")</f>
        <v>1742.979</v>
      </c>
      <c r="S21" s="269">
        <f>IFERROR(INDEX('Inputs (2)'!$D$55:$AL$55,MATCH(S$7&amp;"",'Inputs (2)'!$D$2:$AL$2,0)),"")</f>
        <v>538.708</v>
      </c>
      <c r="T21" s="269">
        <f>IFERROR(INDEX('Inputs (2)'!$D$55:$AL$55,MATCH(T$7&amp;"",'Inputs (2)'!$D$2:$AL$2,0)),"")</f>
        <v>558.149</v>
      </c>
      <c r="U21" s="269">
        <f>IFERROR(INDEX('Inputs (2)'!$D$55:$AL$55,MATCH(U$7&amp;"",'Inputs (2)'!$D$2:$AL$2,0)),"")</f>
        <v>581.123</v>
      </c>
      <c r="V21" s="269">
        <f>IFERROR(INDEX('Inputs (2)'!$D$55:$AL$55,MATCH(V$7&amp;"",'Inputs (2)'!$D$2:$AL$2,0)),"")</f>
        <v>635.236</v>
      </c>
      <c r="W21" s="270">
        <f>IF(COUNT(S21:V21)=4,SUM(S21:V21),"")</f>
        <v>2313.216</v>
      </c>
      <c r="X21" s="269">
        <f>IFERROR(INDEX('Inputs (2)'!$D$55:$AL$55,MATCH(X$7&amp;"",'Inputs (2)'!$D$2:$AL$2,0)),"")</f>
        <v>720.39</v>
      </c>
      <c r="Y21" s="269">
        <f>IFERROR(INDEX('Inputs (2)'!$D$55:$AL$55,MATCH(Y$7&amp;"",'Inputs (2)'!$D$2:$AL$2,0)),"")</f>
        <v>816.006</v>
      </c>
      <c r="Z21" s="269">
        <f>IFERROR(INDEX('Inputs (2)'!$D$55:$AL$55,MATCH(Z$7&amp;"",'Inputs (2)'!$D$2:$AL$2,0)),"")</f>
        <v>889.427</v>
      </c>
      <c r="AA21" s="269">
        <f>IFERROR(INDEX('Inputs (2)'!$D$55:$AL$55,MATCH(AA$7&amp;"",'Inputs (2)'!$D$2:$AL$2,0)),"")</f>
        <v>943.352</v>
      </c>
      <c r="AB21" s="270">
        <f>IF(COUNT(X21:AA21)=4,SUM(X21:AA21),"")</f>
        <v>3369.175</v>
      </c>
      <c r="AC21" s="269">
        <f>IFERROR(INDEX('Inputs (2)'!$D$55:$AL$55,MATCH(AC$7&amp;"",'Inputs (2)'!$D$2:$AL$2,0)),"")</f>
        <v>993.181</v>
      </c>
      <c r="AD21" s="269">
        <f>IFERROR(INDEX('Inputs (2)'!$D$55:$AL$55,MATCH(AD$7&amp;"",'Inputs (2)'!$D$2:$AL$2,0)),"")</f>
        <v>995.876</v>
      </c>
      <c r="AE21" s="269">
        <f>IFERROR(INDEX('Inputs (2)'!$D$55:$AL$55,MATCH(AE$7&amp;"",'Inputs (2)'!$D$2:$AL$2,0)),"")</f>
        <v>1033.426</v>
      </c>
      <c r="AF21" s="269">
        <f>IFERROR(INDEX('Inputs (2)'!$D$55:$AL$55,MATCH(AF$7&amp;"",'Inputs (2)'!$D$2:$AL$2,0)),"")</f>
        <v>1083.606544766</v>
      </c>
      <c r="AG21" s="270">
        <f>IF(COUNT(AC21:AF21)=4,SUM(AC21:AF21),"")</f>
        <v>4106.089544766</v>
      </c>
      <c r="AH21" s="270">
        <f>IFERROR(INDEX('Inputs (2)'!$D$55:$AL$55,MATCH(AH$7&amp;"",'Inputs (2)'!$D$2:$AL$2,0)),"")</f>
        <v>1101.608575243</v>
      </c>
      <c r="AI21" s="270">
        <f>IFERROR(INDEX('Inputs (2)'!$D$55:$AL$55,MATCH(AI$7&amp;"",'Inputs (2)'!$D$2:$AL$2,0)),"")</f>
        <v>1149.769047695</v>
      </c>
    </row>
    <row r="22">
      <c r="C22" s="271" t="inlineStr">
        <is>
          <t>Receita de servicos de locacao (RAC + GTF)</t>
        </is>
      </c>
      <c r="D22" s="269" t="str">
        <f>IF(COUNT(D19,D20,D21)=0,"",N(D19)+N(D20)+N(D21))</f>
        <v/>
      </c>
      <c r="E22" s="269" t="str">
        <f>IF(COUNT(E19,E20,E21)=0,"",N(E19)+N(E20)+N(E21))</f>
        <v/>
      </c>
      <c r="F22" s="269" t="str">
        <f>IF(COUNT(F19,F20,F21)=0,"",N(F19)+N(F20)+N(F21))</f>
        <v/>
      </c>
      <c r="G22" s="269" t="str">
        <f>IF(COUNT(G19,G20,G21)=0,"",N(G19)+N(G20)+N(G21))</f>
        <v/>
      </c>
      <c r="H22" s="270" t="str">
        <f>IF(COUNT(H19,H20,H21)=0,"",N(H19)+N(H20)+N(H21))</f>
        <v/>
      </c>
      <c r="I22" s="269">
        <f>IF(COUNT(I19,I20,I21)=0,"",N(I19)+N(I20)+N(I21))</f>
        <v>483.011</v>
      </c>
      <c r="J22" s="269">
        <f>IF(COUNT(J19,J20,J21)=0,"",N(J19)+N(J20)+N(J21))</f>
        <v>491.865</v>
      </c>
      <c r="K22" s="269">
        <f>IF(COUNT(K19,K20,K21)=0,"",N(K19)+N(K20)+N(K21))</f>
        <v>676.456</v>
      </c>
      <c r="L22" s="269">
        <f>IF(COUNT(L19,L20,L21)=0,"",N(L19)+N(L20)+N(L21))</f>
        <v>879.95</v>
      </c>
      <c r="M22" s="270">
        <f>IF(COUNT(M19,M20,M21)=0,"",N(M19)+N(M20)+N(M21))</f>
        <v>2531.282</v>
      </c>
      <c r="N22" s="269">
        <f>IF(COUNT(N19,N20,N21)=0,"",N(N19)+N(N20)+N(N21))</f>
        <v>931.895</v>
      </c>
      <c r="O22" s="269">
        <f>IF(COUNT(O19,O20,O21)=0,"",N(O19)+N(O20)+N(O21))</f>
        <v>1002.358</v>
      </c>
      <c r="P22" s="269">
        <f>IF(COUNT(P19,P20,P21)=0,"",N(P19)+N(P20)+N(P21))</f>
        <v>1126.437</v>
      </c>
      <c r="Q22" s="269">
        <f>IF(COUNT(Q19,Q20,Q21)=0,"",N(Q19)+N(Q20)+N(Q21))</f>
        <v>1222.226</v>
      </c>
      <c r="R22" s="270">
        <f>IF(COUNT(R19,R20,R21)=0,"",N(R19)+N(R20)+N(R21))</f>
        <v>4282.916</v>
      </c>
      <c r="S22" s="269">
        <f>IF(COUNT(S19,S20,S21)=0,"",N(S19)+N(S20)+N(S21))</f>
        <v>1239.742</v>
      </c>
      <c r="T22" s="269">
        <f>IF(COUNT(T19,T20,T21)=0,"",N(T19)+N(T20)+N(T21))</f>
        <v>1233.781</v>
      </c>
      <c r="U22" s="269">
        <f>IF(COUNT(U19,U20,U21)=0,"",N(U19)+N(U20)+N(U21))</f>
        <v>1297.317</v>
      </c>
      <c r="V22" s="269">
        <f>IF(COUNT(V19,V20,V21)=0,"",N(V19)+N(V20)+N(V21))</f>
        <v>1339.62</v>
      </c>
      <c r="W22" s="270">
        <f>IF(COUNT(W19,W20,W21)=0,"",N(W19)+N(W20)+N(W21))</f>
        <v>5110.46</v>
      </c>
      <c r="X22" s="269">
        <f>IF(COUNT(X19,X20,X21)=0,"",N(X19)+N(X20)+N(X21))</f>
        <v>1495.199</v>
      </c>
      <c r="Y22" s="269">
        <f>IF(COUNT(Y19,Y20,Y21)=0,"",N(Y19)+N(Y20)+N(Y21))</f>
        <v>1608.088</v>
      </c>
      <c r="Z22" s="269">
        <f>IF(COUNT(Z19,Z20,Z21)=0,"",N(Z19)+N(Z20)+N(Z21))</f>
        <v>1744.697</v>
      </c>
      <c r="AA22" s="269">
        <f>IF(COUNT(AA19,AA20,AA21)=0,"",N(AA19)+N(AA20)+N(AA21))</f>
        <v>1791.057</v>
      </c>
      <c r="AB22" s="270">
        <f>IF(COUNT(AB19,AB20,AB21)=0,"",N(AB19)+N(AB20)+N(AB21))</f>
        <v>6639.041</v>
      </c>
      <c r="AC22" s="269">
        <f>IF(COUNT(AC19,AC20,AC21)=0,"",N(AC19)+N(AC20)+N(AC21))</f>
        <v>1878.904</v>
      </c>
      <c r="AD22" s="269">
        <f>IF(COUNT(AD19,AD20,AD21)=0,"",N(AD19)+N(AD20)+N(AD21))</f>
        <v>1892.632</v>
      </c>
      <c r="AE22" s="269">
        <f>IF(COUNT(AE19,AE20,AE21)=0,"",N(AE19)+N(AE20)+N(AE21))</f>
        <v>2010.811</v>
      </c>
      <c r="AF22" s="269">
        <f>IF(COUNT(AF19,AF20,AF21)=0,"",N(AF19)+N(AF20)+N(AF21))</f>
        <v>2096.3940893</v>
      </c>
      <c r="AG22" s="270">
        <f>IF(COUNT(AG19,AG20,AG21)=0,"",N(AG19)+N(AG20)+N(AG21))</f>
        <v>7878.7410893</v>
      </c>
      <c r="AH22" s="270">
        <f>IF(COUNT(AH19,AH20,AH21)=0,"",N(AH19)+N(AH20)+N(AH21))</f>
        <v>2205.616503561</v>
      </c>
      <c r="AI22" s="270">
        <f>IF(COUNT(AI19,AI20,AI21)=0,"",N(AI19)+N(AI20)+N(AI21))</f>
        <v>2295.33463708</v>
      </c>
    </row>
    <row r="23">
      <c r="C23" s="268" t="inlineStr">
        <is>
          <t xml:space="preserve">   Seminovos (venda de carros)</t>
        </is>
      </c>
      <c r="D23" s="269" t="str">
        <f>IFERROR(INDEX('Inputs (2)'!$D$56:$AL$56,MATCH(D$7&amp;"",'Inputs (2)'!$D$2:$AL$2,0)),"")</f>
        <v/>
      </c>
      <c r="E23" s="269" t="str">
        <f>IFERROR(INDEX('Inputs (2)'!$D$56:$AL$56,MATCH(E$7&amp;"",'Inputs (2)'!$D$2:$AL$2,0)),"")</f>
        <v/>
      </c>
      <c r="F23" s="269" t="str">
        <f>IFERROR(INDEX('Inputs (2)'!$D$56:$AL$56,MATCH(F$7&amp;"",'Inputs (2)'!$D$2:$AL$2,0)),"")</f>
        <v/>
      </c>
      <c r="G23" s="269" t="str">
        <f>IFERROR(INDEX('Inputs (2)'!$D$56:$AL$56,MATCH(G$7&amp;"",'Inputs (2)'!$D$2:$AL$2,0)),"")</f>
        <v/>
      </c>
      <c r="H23" s="270" t="str">
        <f>IF(COUNT(D23:G23)=4,SUM(D23:G23),"")</f>
        <v/>
      </c>
      <c r="I23" s="269">
        <f>IFERROR(INDEX('Inputs (2)'!$D$56:$AL$56,MATCH(I$7&amp;"",'Inputs (2)'!$D$2:$AL$2,0)),"")</f>
        <v>274.54</v>
      </c>
      <c r="J23" s="269">
        <f>IFERROR(INDEX('Inputs (2)'!$D$56:$AL$56,MATCH(J$7&amp;"",'Inputs (2)'!$D$2:$AL$2,0)),"")</f>
        <v>673.48</v>
      </c>
      <c r="K23" s="269">
        <f>IFERROR(INDEX('Inputs (2)'!$D$56:$AL$56,MATCH(K$7&amp;"",'Inputs (2)'!$D$2:$AL$2,0)),"")</f>
        <v>844.62</v>
      </c>
      <c r="L23" s="269">
        <f>IFERROR(INDEX('Inputs (2)'!$D$56:$AL$56,MATCH(L$7&amp;"",'Inputs (2)'!$D$2:$AL$2,0)),"")</f>
        <v>809.115</v>
      </c>
      <c r="M23" s="270">
        <f>IF(COUNT(I23:L23)=4,SUM(I23:L23),"")</f>
        <v>2601.755</v>
      </c>
      <c r="N23" s="269">
        <f>IFERROR(INDEX('Inputs (2)'!$D$56:$AL$56,MATCH(N$7&amp;"",'Inputs (2)'!$D$2:$AL$2,0)),"")</f>
        <v>973.762</v>
      </c>
      <c r="O23" s="269">
        <f>IFERROR(INDEX('Inputs (2)'!$D$56:$AL$56,MATCH(O$7&amp;"",'Inputs (2)'!$D$2:$AL$2,0)),"")</f>
        <v>1228.635</v>
      </c>
      <c r="P23" s="269">
        <f>IFERROR(INDEX('Inputs (2)'!$D$56:$AL$56,MATCH(P$7&amp;"",'Inputs (2)'!$D$2:$AL$2,0)),"")</f>
        <v>1410.428</v>
      </c>
      <c r="Q23" s="269">
        <f>IFERROR(INDEX('Inputs (2)'!$D$56:$AL$56,MATCH(Q$7&amp;"",'Inputs (2)'!$D$2:$AL$2,0)),"")</f>
        <v>1404.407</v>
      </c>
      <c r="R23" s="270">
        <f>IF(COUNT(N23:Q23)=4,SUM(N23:Q23),"")</f>
        <v>5017.232</v>
      </c>
      <c r="S23" s="269">
        <f>IFERROR(INDEX('Inputs (2)'!$D$56:$AL$56,MATCH(S$7&amp;"",'Inputs (2)'!$D$2:$AL$2,0)),"")</f>
        <v>1463.465</v>
      </c>
      <c r="T23" s="269">
        <f>IFERROR(INDEX('Inputs (2)'!$D$56:$AL$56,MATCH(T$7&amp;"",'Inputs (2)'!$D$2:$AL$2,0)),"")</f>
        <v>1245.363</v>
      </c>
      <c r="U23" s="269">
        <f>IFERROR(INDEX('Inputs (2)'!$D$56:$AL$56,MATCH(U$7&amp;"",'Inputs (2)'!$D$2:$AL$2,0)),"")</f>
        <v>1368.902</v>
      </c>
      <c r="V23" s="269">
        <f>IFERROR(INDEX('Inputs (2)'!$D$56:$AL$56,MATCH(V$7&amp;"",'Inputs (2)'!$D$2:$AL$2,0)),"")</f>
        <v>1153.824</v>
      </c>
      <c r="W23" s="270">
        <f>IF(COUNT(S23:V23)=4,SUM(S23:V23),"")</f>
        <v>5231.554</v>
      </c>
      <c r="X23" s="269">
        <f>IFERROR(INDEX('Inputs (2)'!$D$56:$AL$56,MATCH(X$7&amp;"",'Inputs (2)'!$D$2:$AL$2,0)),"")</f>
        <v>1526.448</v>
      </c>
      <c r="Y23" s="269">
        <f>IFERROR(INDEX('Inputs (2)'!$D$56:$AL$56,MATCH(Y$7&amp;"",'Inputs (2)'!$D$2:$AL$2,0)),"")</f>
        <v>1827.516</v>
      </c>
      <c r="Z23" s="269">
        <f>IFERROR(INDEX('Inputs (2)'!$D$56:$AL$56,MATCH(Z$7&amp;"",'Inputs (2)'!$D$2:$AL$2,0)),"")</f>
        <v>2031.166</v>
      </c>
      <c r="AA23" s="269">
        <f>IFERROR(INDEX('Inputs (2)'!$D$56:$AL$56,MATCH(AA$7&amp;"",'Inputs (2)'!$D$2:$AL$2,0)),"")</f>
        <v>1457.1</v>
      </c>
      <c r="AB23" s="270">
        <f>IF(COUNT(X23:AA23)=4,SUM(X23:AA23),"")</f>
        <v>6842.23</v>
      </c>
      <c r="AC23" s="269">
        <f>IFERROR(INDEX('Inputs (2)'!$D$56:$AL$56,MATCH(AC$7&amp;"",'Inputs (2)'!$D$2:$AL$2,0)),"")</f>
        <v>1689.326</v>
      </c>
      <c r="AD23" s="269">
        <f>IFERROR(INDEX('Inputs (2)'!$D$56:$AL$56,MATCH(AD$7&amp;"",'Inputs (2)'!$D$2:$AL$2,0)),"")</f>
        <v>1786.374</v>
      </c>
      <c r="AE23" s="269">
        <f>IFERROR(INDEX('Inputs (2)'!$D$56:$AL$56,MATCH(AE$7&amp;"",'Inputs (2)'!$D$2:$AL$2,0)),"")</f>
        <v>1755.031</v>
      </c>
      <c r="AF23" s="269">
        <f>IFERROR(INDEX('Inputs (2)'!$D$56:$AL$56,MATCH(AF$7&amp;"",'Inputs (2)'!$D$2:$AL$2,0)),"")</f>
        <v>1562.58106565</v>
      </c>
      <c r="AG23" s="270">
        <f>IF(COUNT(AC23:AF23)=4,SUM(AC23:AF23),"")</f>
        <v>6793.31206565</v>
      </c>
      <c r="AH23" s="270">
        <f>IFERROR(INDEX('Inputs (2)'!$D$56:$AL$56,MATCH(AH$7&amp;"",'Inputs (2)'!$D$2:$AL$2,0)),"")</f>
        <v>1575.028461401</v>
      </c>
      <c r="AI23" s="270">
        <f>IFERROR(INDEX('Inputs (2)'!$D$56:$AL$56,MATCH(AI$7&amp;"",'Inputs (2)'!$D$2:$AL$2,0)),"")</f>
        <v>1470.495570408</v>
      </c>
    </row>
    <row r="24">
      <c r="C24" s="271" t="inlineStr">
        <is>
          <t>Receita liquida (soma)</t>
        </is>
      </c>
      <c r="D24" s="269" t="str">
        <f>IF(COUNT(D22,D23)=0,"",N(D22)+N(D23))</f>
        <v/>
      </c>
      <c r="E24" s="269" t="str">
        <f>IF(COUNT(E22,E23)=0,"",N(E22)+N(E23))</f>
        <v/>
      </c>
      <c r="F24" s="269" t="str">
        <f>IF(COUNT(F22,F23)=0,"",N(F22)+N(F23))</f>
        <v/>
      </c>
      <c r="G24" s="269" t="str">
        <f>IF(COUNT(G22,G23)=0,"",N(G22)+N(G23))</f>
        <v/>
      </c>
      <c r="H24" s="270" t="str">
        <f>IF(COUNT(H22,H23)=0,"",N(H22)+N(H23))</f>
        <v/>
      </c>
      <c r="I24" s="269">
        <f>IF(COUNT(I22,I23)=0,"",N(I22)+N(I23))</f>
        <v>757.551</v>
      </c>
      <c r="J24" s="269">
        <f>IF(COUNT(J22,J23)=0,"",N(J22)+N(J23))</f>
        <v>1165.345</v>
      </c>
      <c r="K24" s="269">
        <f>IF(COUNT(K22,K23)=0,"",N(K22)+N(K23))</f>
        <v>1521.076</v>
      </c>
      <c r="L24" s="269">
        <f>IF(COUNT(L22,L23)=0,"",N(L22)+N(L23))</f>
        <v>1689.065</v>
      </c>
      <c r="M24" s="270">
        <f>IF(COUNT(M22,M23)=0,"",N(M22)+N(M23))</f>
        <v>5133.037</v>
      </c>
      <c r="N24" s="269">
        <f>IF(COUNT(N22,N23)=0,"",N(N22)+N(N23))</f>
        <v>1905.657</v>
      </c>
      <c r="O24" s="269">
        <f>IF(COUNT(O22,O23)=0,"",N(O22)+N(O23))</f>
        <v>2230.993</v>
      </c>
      <c r="P24" s="269">
        <f>IF(COUNT(P22,P23)=0,"",N(P22)+N(P23))</f>
        <v>2536.865</v>
      </c>
      <c r="Q24" s="269">
        <f>IF(COUNT(Q22,Q23)=0,"",N(Q22)+N(Q23))</f>
        <v>2626.633</v>
      </c>
      <c r="R24" s="270">
        <f>IF(COUNT(R22,R23)=0,"",N(R22)+N(R23))</f>
        <v>9300.148</v>
      </c>
      <c r="S24" s="269">
        <f>IF(COUNT(S22,S23)=0,"",N(S22)+N(S23))</f>
        <v>2703.207</v>
      </c>
      <c r="T24" s="269">
        <f>IF(COUNT(T22,T23)=0,"",N(T22)+N(T23))</f>
        <v>2479.144</v>
      </c>
      <c r="U24" s="269">
        <f>IF(COUNT(U22,U23)=0,"",N(U22)+N(U23))</f>
        <v>2666.219</v>
      </c>
      <c r="V24" s="269">
        <f>IF(COUNT(V22,V23)=0,"",N(V22)+N(V23))</f>
        <v>2493.444</v>
      </c>
      <c r="W24" s="270">
        <f>IF(COUNT(W22,W23)=0,"",N(W22)+N(W23))</f>
        <v>10342.014</v>
      </c>
      <c r="X24" s="269">
        <f>IF(COUNT(X22,X23)=0,"",N(X22)+N(X23))</f>
        <v>3021.647</v>
      </c>
      <c r="Y24" s="269">
        <f>IF(COUNT(Y22,Y23)=0,"",N(Y22)+N(Y23))</f>
        <v>3435.604</v>
      </c>
      <c r="Z24" s="269">
        <f>IF(COUNT(Z22,Z23)=0,"",N(Z22)+N(Z23))</f>
        <v>3775.863</v>
      </c>
      <c r="AA24" s="269">
        <f>IF(COUNT(AA22,AA23)=0,"",N(AA22)+N(AA23))</f>
        <v>3248.157</v>
      </c>
      <c r="AB24" s="270">
        <f>IF(COUNT(AB22,AB23)=0,"",N(AB22)+N(AB23))</f>
        <v>13481.271</v>
      </c>
      <c r="AC24" s="269">
        <f>IF(COUNT(AC22,AC23)=0,"",N(AC22)+N(AC23))</f>
        <v>3568.23</v>
      </c>
      <c r="AD24" s="269">
        <f>IF(COUNT(AD22,AD23)=0,"",N(AD22)+N(AD23))</f>
        <v>3679.006</v>
      </c>
      <c r="AE24" s="269">
        <f>IF(COUNT(AE22,AE23)=0,"",N(AE22)+N(AE23))</f>
        <v>3765.842</v>
      </c>
      <c r="AF24" s="269">
        <f>IF(COUNT(AF22,AF23)=0,"",N(AF22)+N(AF23))</f>
        <v>3658.97515495</v>
      </c>
      <c r="AG24" s="270">
        <f>IF(COUNT(AG22,AG23)=0,"",N(AG22)+N(AG23))</f>
        <v>14672.05315495</v>
      </c>
      <c r="AH24" s="270">
        <f>IF(COUNT(AH22,AH23)=0,"",N(AH22)+N(AH23))</f>
        <v>3780.644964962</v>
      </c>
      <c r="AI24" s="270">
        <f>IF(COUNT(AI22,AI23)=0,"",N(AI22)+N(AI23))</f>
        <v>3765.830207488</v>
      </c>
    </row>
    <row r="25">
      <c r="C25" s="268" t="inlineStr">
        <is>
          <t>Check vs Net Revenues (linha 15)</t>
        </is>
      </c>
      <c r="D25" s="269" t="str">
        <f>IF(OR(COUNT(D24)=0,COUNT(D15)=0),"",ROUND(D15-D24,3))</f>
        <v/>
      </c>
      <c r="E25" s="269" t="str">
        <f>IF(OR(COUNT(E24)=0,COUNT(E15)=0),"",ROUND(E15-E24,3))</f>
        <v/>
      </c>
      <c r="F25" s="269" t="str">
        <f>IF(OR(COUNT(F24)=0,COUNT(F15)=0),"",ROUND(F15-F24,3))</f>
        <v/>
      </c>
      <c r="G25" s="269" t="str">
        <f>IF(OR(COUNT(G24)=0,COUNT(G15)=0),"",ROUND(G15-G24,3))</f>
        <v/>
      </c>
      <c r="H25" s="270" t="str">
        <f>IF(OR(COUNT(H24)=0,COUNT(H15)=0),"",ROUND(H15-H24,3))</f>
        <v/>
      </c>
      <c r="I25" s="269">
        <f>IF(OR(COUNT(I24)=0,COUNT(I15)=0),"",ROUND(I15-I24,3))</f>
        <v>0.001</v>
      </c>
      <c r="J25" s="269">
        <f>IF(OR(COUNT(J24)=0,COUNT(J15)=0),"",ROUND(J15-J24,3))</f>
        <v>0</v>
      </c>
      <c r="K25" s="269">
        <f>IF(OR(COUNT(K24)=0,COUNT(K15)=0),"",ROUND(K15-K24,3))</f>
        <v>0</v>
      </c>
      <c r="L25" s="269">
        <f>IF(OR(COUNT(L24)=0,COUNT(L15)=0),"",ROUND(L15-L24,3))</f>
        <v>0</v>
      </c>
      <c r="M25" s="270">
        <f>IF(OR(COUNT(M24)=0,COUNT(M15)=0),"",ROUND(M15-M24,3))</f>
        <v>0.001</v>
      </c>
      <c r="N25" s="269">
        <f>IF(OR(COUNT(N24)=0,COUNT(N15)=0),"",ROUND(N15-N24,3))</f>
        <v>0</v>
      </c>
      <c r="O25" s="269">
        <f>IF(OR(COUNT(O24)=0,COUNT(O15)=0),"",ROUND(O15-O24,3))</f>
        <v>-0.001</v>
      </c>
      <c r="P25" s="269">
        <f>IF(OR(COUNT(P24)=0,COUNT(P15)=0),"",ROUND(P15-P24,3))</f>
        <v>-0.001</v>
      </c>
      <c r="Q25" s="269">
        <f>IF(OR(COUNT(Q24)=0,COUNT(Q15)=0),"",ROUND(Q15-Q24,3))</f>
        <v>0</v>
      </c>
      <c r="R25" s="270">
        <f>IF(OR(COUNT(R24)=0,COUNT(R15)=0),"",ROUND(R15-R24,3))</f>
        <v>-0.002</v>
      </c>
      <c r="S25" s="269">
        <f>IF(OR(COUNT(S24)=0,COUNT(S15)=0),"",ROUND(S15-S24,3))</f>
        <v>-0.001</v>
      </c>
      <c r="T25" s="269">
        <f>IF(OR(COUNT(T24)=0,COUNT(T15)=0),"",ROUND(T15-T24,3))</f>
        <v>0</v>
      </c>
      <c r="U25" s="269">
        <f>IF(OR(COUNT(U24)=0,COUNT(U15)=0),"",ROUND(U15-U24,3))</f>
        <v>0.001</v>
      </c>
      <c r="V25" s="269">
        <f>IF(OR(COUNT(V24)=0,COUNT(V15)=0),"",ROUND(V15-V24,3))</f>
        <v>0</v>
      </c>
      <c r="W25" s="270">
        <f>IF(OR(COUNT(W24)=0,COUNT(W15)=0),"",ROUND(W15-W24,3))</f>
        <v>0</v>
      </c>
      <c r="X25" s="269">
        <f>IF(OR(COUNT(X24)=0,COUNT(X15)=0),"",ROUND(X15-X24,3))</f>
        <v>-0.001</v>
      </c>
      <c r="Y25" s="269">
        <f>IF(OR(COUNT(Y24)=0,COUNT(Y15)=0),"",ROUND(Y15-Y24,3))</f>
        <v>0</v>
      </c>
      <c r="Z25" s="269">
        <f>IF(OR(COUNT(Z24)=0,COUNT(Z15)=0),"",ROUND(Z15-Z24,3))</f>
        <v>0.001</v>
      </c>
      <c r="AA25" s="269">
        <f>IF(OR(COUNT(AA24)=0,COUNT(AA15)=0),"",ROUND(AA15-AA24,3))</f>
        <v>0</v>
      </c>
      <c r="AB25" s="270">
        <f>IF(OR(COUNT(AB24)=0,COUNT(AB15)=0),"",ROUND(AB15-AB24,3))</f>
        <v>0</v>
      </c>
      <c r="AC25" s="269">
        <f>IF(OR(COUNT(AC24)=0,COUNT(AC15)=0),"",ROUND(AC15-AC24,3))</f>
        <v>0.001</v>
      </c>
      <c r="AD25" s="269">
        <f>IF(OR(COUNT(AD24)=0,COUNT(AD15)=0),"",ROUND(AD15-AD24,3))</f>
        <v>0</v>
      </c>
      <c r="AE25" s="269">
        <f>IF(OR(COUNT(AE24)=0,COUNT(AE15)=0),"",ROUND(AE15-AE24,3))</f>
        <v>0.001</v>
      </c>
      <c r="AF25" s="269">
        <f>IF(OR(COUNT(AF24)=0,COUNT(AF15)=0),"",ROUND(AF15-AF24,3))</f>
        <v>0</v>
      </c>
      <c r="AG25" s="270">
        <f>IF(OR(COUNT(AG24)=0,COUNT(AG15)=0),"",ROUND(AG15-AG24,3))</f>
        <v>0.002</v>
      </c>
      <c r="AH25" s="270">
        <f>IF(OR(COUNT(AH24)=0,COUNT(AH15)=0),"",ROUND(AH15-AH24,3))</f>
        <v>0</v>
      </c>
      <c r="AI25" s="270">
        <f>IF(OR(COUNT(AI24)=0,COUNT(AI15)=0),"",ROUND(AI15-AI24,3))</f>
        <v>0</v>
      </c>
    </row>
    <row r="26">
      <c r="C26" s="268" t="inlineStr">
        <is>
          <t xml:space="preserve">   % YoY RAC Brasil</t>
        </is>
      </c>
      <c r="D26" s="272" t="str">
        <f>""</f>
        <v/>
      </c>
      <c r="E26" s="272" t="str">
        <f>""</f>
        <v/>
      </c>
      <c r="F26" s="272" t="str">
        <f>""</f>
        <v/>
      </c>
      <c r="G26" s="272" t="str">
        <f>""</f>
        <v/>
      </c>
      <c r="H26" s="273" t="str">
        <f>""</f>
        <v/>
      </c>
      <c r="I26" s="272" t="str">
        <f>IFERROR(I19/D19-1,"")</f>
        <v/>
      </c>
      <c r="J26" s="272" t="str">
        <f>IFERROR(J19/E19-1,"")</f>
        <v/>
      </c>
      <c r="K26" s="272" t="str">
        <f>IFERROR(K19/F19-1,"")</f>
        <v/>
      </c>
      <c r="L26" s="272" t="str">
        <f>IFERROR(L19/G19-1,"")</f>
        <v/>
      </c>
      <c r="M26" s="273" t="str">
        <f>IFERROR(M19/H19-1,"")</f>
        <v/>
      </c>
      <c r="N26" s="272">
        <f>IFERROR(N19/I19-1,"")</f>
        <v>0.679976169343563</v>
      </c>
      <c r="O26" s="272">
        <f>IFERROR(O19/J19-1,"")</f>
        <v>0.898154665559488</v>
      </c>
      <c r="P26" s="272">
        <f>IFERROR(P19/K19-1,"")</f>
        <v>0.672512809590911</v>
      </c>
      <c r="Q26" s="272">
        <f>IFERROR(Q19/L19-1,"")</f>
        <v>0.306758903113459</v>
      </c>
      <c r="R26" s="273">
        <f>IFERROR(R19/M19-1,"")</f>
        <v>0.596336259823183</v>
      </c>
      <c r="S26" s="272">
        <f>IFERROR(S19/N19-1,"")</f>
        <v>0.242351979040768</v>
      </c>
      <c r="T26" s="272">
        <f>IFERROR(T19/O19-1,"")</f>
        <v>0.104208249029365</v>
      </c>
      <c r="U26" s="272">
        <f>IFERROR(U19/P19-1,"")</f>
        <v>-0.0357646821912494</v>
      </c>
      <c r="V26" s="272">
        <f>IFERROR(V19/Q19-1,"")</f>
        <v>-0.011530694580105</v>
      </c>
      <c r="W26" s="273">
        <f>IFERROR(W19/R19-1,"")</f>
        <v>0.0652611986340335</v>
      </c>
      <c r="X26" s="272">
        <f>IFERROR(X19/S19-1,"")</f>
        <v>0.0948447362365612</v>
      </c>
      <c r="Y26" s="272">
        <f>IFERROR(Y19/T19-1,"")</f>
        <v>0.158448693445173</v>
      </c>
      <c r="Z26" s="272">
        <f>IFERROR(Z19/U19-1,"")</f>
        <v>0.174389017283344</v>
      </c>
      <c r="AA26" s="272">
        <f>IFERROR(AA19/V19-1,"")</f>
        <v>0.197818070841586</v>
      </c>
      <c r="AB26" s="273">
        <f>IFERROR(AB19/W19-1,"")</f>
        <v>0.155922116790215</v>
      </c>
      <c r="AC26" s="272">
        <f>IFERROR(AC19/X19-1,"")</f>
        <v>0.143154349381852</v>
      </c>
      <c r="AD26" s="272">
        <f>IFERROR(AD19/Y19-1,"")</f>
        <v>0.126583563667843</v>
      </c>
      <c r="AE26" s="272">
        <f>IFERROR(AE19/Z19-1,"")</f>
        <v>0.142890392903469</v>
      </c>
      <c r="AF26" s="272">
        <f>IFERROR(AF19/AA19-1,"")</f>
        <v>0.198317404998726</v>
      </c>
      <c r="AG26" s="273">
        <f>IFERROR(AG19/AB19-1,"")</f>
        <v>0.153563902386286</v>
      </c>
      <c r="AH26" s="273">
        <f>IFERROR(AH19/AC19-1,"")</f>
        <v>0.252205644345924</v>
      </c>
      <c r="AI26" s="273">
        <f>IFERROR(AI19/AD19-1,"")</f>
        <v>0.304053621598642</v>
      </c>
    </row>
    <row r="27">
      <c r="C27" s="268" t="inlineStr">
        <is>
          <t xml:space="preserve">   % YoY GTF</t>
        </is>
      </c>
      <c r="D27" s="272" t="str">
        <f>""</f>
        <v/>
      </c>
      <c r="E27" s="272" t="str">
        <f>""</f>
        <v/>
      </c>
      <c r="F27" s="272" t="str">
        <f>""</f>
        <v/>
      </c>
      <c r="G27" s="272" t="str">
        <f>""</f>
        <v/>
      </c>
      <c r="H27" s="273" t="str">
        <f>""</f>
        <v/>
      </c>
      <c r="I27" s="272" t="str">
        <f>IFERROR(I21/D21-1,"")</f>
        <v/>
      </c>
      <c r="J27" s="272" t="str">
        <f>IFERROR(J21/E21-1,"")</f>
        <v/>
      </c>
      <c r="K27" s="272" t="str">
        <f>IFERROR(K21/F21-1,"")</f>
        <v/>
      </c>
      <c r="L27" s="272" t="str">
        <f>IFERROR(L21/G21-1,"")</f>
        <v/>
      </c>
      <c r="M27" s="273" t="str">
        <f>IFERROR(M21/H21-1,"")</f>
        <v/>
      </c>
      <c r="N27" s="272">
        <f>IFERROR(N21/I21-1,"")</f>
        <v>1.46198944313512</v>
      </c>
      <c r="O27" s="272">
        <f>IFERROR(O21/J21-1,"")</f>
        <v>1.27251135781756</v>
      </c>
      <c r="P27" s="272">
        <f>IFERROR(P21/K21-1,"")</f>
        <v>0.654378944974822</v>
      </c>
      <c r="Q27" s="272">
        <f>IFERROR(Q21/L21-1,"")</f>
        <v>0.38654653310202</v>
      </c>
      <c r="R27" s="273">
        <f>IFERROR(R21/M21-1,"")</f>
        <v>0.801279202673738</v>
      </c>
      <c r="S27" s="272">
        <f>IFERROR(S21/N21-1,"")</f>
        <v>0.42063222073665</v>
      </c>
      <c r="T27" s="272">
        <f>IFERROR(T21/O21-1,"")</f>
        <v>0.337928538211873</v>
      </c>
      <c r="U27" s="272">
        <f>IFERROR(U21/P21-1,"")</f>
        <v>0.288298254403895</v>
      </c>
      <c r="V27" s="272">
        <f>IFERROR(V21/Q21-1,"")</f>
        <v>0.281947998482415</v>
      </c>
      <c r="W27" s="273">
        <f>IFERROR(W21/R21-1,"")</f>
        <v>0.32716228939075</v>
      </c>
      <c r="X27" s="272">
        <f>IFERROR(X21/S21-1,"")</f>
        <v>0.337255062111571</v>
      </c>
      <c r="Y27" s="272">
        <f>IFERROR(Y21/T21-1,"")</f>
        <v>0.46198595715481</v>
      </c>
      <c r="Z27" s="272">
        <f>IFERROR(Z21/U21-1,"")</f>
        <v>0.530531402130014</v>
      </c>
      <c r="AA27" s="272">
        <f>IFERROR(AA21/V21-1,"")</f>
        <v>0.485041779747999</v>
      </c>
      <c r="AB27" s="273">
        <f>IFERROR(AB21/W21-1,"")</f>
        <v>0.456489579874945</v>
      </c>
      <c r="AC27" s="272">
        <f>IFERROR(AC21/X21-1,"")</f>
        <v>0.378671275281445</v>
      </c>
      <c r="AD27" s="272">
        <f>IFERROR(AD21/Y21-1,"")</f>
        <v>0.220427300779651</v>
      </c>
      <c r="AE27" s="272">
        <f>IFERROR(AE21/Z21-1,"")</f>
        <v>0.161900864264296</v>
      </c>
      <c r="AF27" s="272">
        <f>IFERROR(AF21/AA21-1,"")</f>
        <v>0.148676787419754</v>
      </c>
      <c r="AG27" s="273">
        <f>IFERROR(AG21/AB21-1,"")</f>
        <v>0.218722549219319</v>
      </c>
      <c r="AH27" s="273">
        <f>IFERROR(AH21/AC21-1,"")</f>
        <v>0.109172019242213</v>
      </c>
      <c r="AI27" s="273">
        <f>IFERROR(AI21/AD21-1,"")</f>
        <v>0.154530330779133</v>
      </c>
    </row>
    <row r="28">
      <c r="C28" s="268" t="inlineStr">
        <is>
          <t xml:space="preserve">   % Seminovos na receita</t>
        </is>
      </c>
      <c r="D28" s="272" t="str">
        <f>IFERROR(D23/D24,"")</f>
        <v/>
      </c>
      <c r="E28" s="272" t="str">
        <f>IFERROR(E23/E24,"")</f>
        <v/>
      </c>
      <c r="F28" s="272" t="str">
        <f>IFERROR(F23/F24,"")</f>
        <v/>
      </c>
      <c r="G28" s="272" t="str">
        <f>IFERROR(G23/G24,"")</f>
        <v/>
      </c>
      <c r="H28" s="273" t="str">
        <f>IFERROR(H23/H24,"")</f>
        <v/>
      </c>
      <c r="I28" s="272">
        <f>IFERROR(I23/I24,"")</f>
        <v>0.362404643383746</v>
      </c>
      <c r="J28" s="272">
        <f>IFERROR(J23/J24,"")</f>
        <v>0.577923275939743</v>
      </c>
      <c r="K28" s="272">
        <f>IFERROR(K23/K24,"")</f>
        <v>0.555277974276105</v>
      </c>
      <c r="L28" s="272">
        <f>IFERROR(L23/L24,"")</f>
        <v>0.479031298381057</v>
      </c>
      <c r="M28" s="273">
        <f>IFERROR(M23/M24,"")</f>
        <v>0.506864649524249</v>
      </c>
      <c r="N28" s="272">
        <f>IFERROR(N23/N24,"")</f>
        <v>0.510984925408927</v>
      </c>
      <c r="O28" s="272">
        <f>IFERROR(O23/O24,"")</f>
        <v>0.550712171665263</v>
      </c>
      <c r="P28" s="272">
        <f>IFERROR(P23/P24,"")</f>
        <v>0.555972824726582</v>
      </c>
      <c r="Q28" s="272">
        <f>IFERROR(Q23/Q24,"")</f>
        <v>0.534679568862494</v>
      </c>
      <c r="R28" s="273">
        <f>IFERROR(R23/R24,"")</f>
        <v>0.539478726575104</v>
      </c>
      <c r="S28" s="272">
        <f>IFERROR(S23/S24,"")</f>
        <v>0.54138103371292</v>
      </c>
      <c r="T28" s="272">
        <f>IFERROR(T23/T24,"")</f>
        <v>0.502335886902899</v>
      </c>
      <c r="U28" s="272">
        <f>IFERROR(U23/U24,"")</f>
        <v>0.513424441128054</v>
      </c>
      <c r="V28" s="272">
        <f>IFERROR(V23/V24,"")</f>
        <v>0.462743097498881</v>
      </c>
      <c r="W28" s="273">
        <f>IFERROR(W23/W24,"")</f>
        <v>0.505854468965136</v>
      </c>
      <c r="X28" s="272">
        <f>IFERROR(X23/X24,"")</f>
        <v>0.505170855497019</v>
      </c>
      <c r="Y28" s="272">
        <f>IFERROR(Y23/Y24,"")</f>
        <v>0.531934413861435</v>
      </c>
      <c r="Z28" s="272">
        <f>IFERROR(Z23/Z24,"")</f>
        <v>0.537934241787904</v>
      </c>
      <c r="AA28" s="272">
        <f>IFERROR(AA23/AA24,"")</f>
        <v>0.448592848190528</v>
      </c>
      <c r="AB28" s="273">
        <f>IFERROR(AB23/AB24,"")</f>
        <v>0.507535973425651</v>
      </c>
      <c r="AC28" s="272">
        <f>IFERROR(AC23/AC24,"")</f>
        <v>0.47343528864451</v>
      </c>
      <c r="AD28" s="272">
        <f>IFERROR(AD23/AD24,"")</f>
        <v>0.48555887106463</v>
      </c>
      <c r="AE28" s="272">
        <f>IFERROR(AE23/AE24,"")</f>
        <v>0.466039467401978</v>
      </c>
      <c r="AF28" s="272">
        <f>IFERROR(AF23/AF24,"")</f>
        <v>0.42705429785061</v>
      </c>
      <c r="AG28" s="273">
        <f>IFERROR(AG23/AG24,"")</f>
        <v>0.463010322679897</v>
      </c>
      <c r="AH28" s="273">
        <f>IFERROR(AH23/AH24,"")</f>
        <v>0.416603112960339</v>
      </c>
      <c r="AI28" s="273">
        <f>IFERROR(AI23/AI24,"")</f>
        <v>0.390483768355795</v>
      </c>
    </row>
    <row r="29"/>
    <row r="30">
      <c r="C30" s="267" t="inlineStr">
        <is>
          <t>EBITDA por segmento (R$ milhoes; 1T20 e 4T20: soma dos segmentos difere do consolidado pro forma)</t>
        </is>
      </c>
      <c r="D30" s="267">
        <f>D7</f>
        <v>0</v>
      </c>
      <c r="E30" s="267">
        <f>E7</f>
        <v>0</v>
      </c>
      <c r="F30" s="267">
        <f>F7</f>
        <v>0</v>
      </c>
      <c r="G30" s="267">
        <f>G7</f>
        <v>0</v>
      </c>
      <c r="H30" s="267">
        <f>H7</f>
        <v>2020</v>
      </c>
      <c r="I30" s="267" t="str">
        <f>I7</f>
        <v>1Q21</v>
      </c>
      <c r="J30" s="267" t="str">
        <f>J7</f>
        <v>2Q21</v>
      </c>
      <c r="K30" s="267" t="str">
        <f>K7</f>
        <v>3Q21</v>
      </c>
      <c r="L30" s="267" t="str">
        <f>L7</f>
        <v>4Q21</v>
      </c>
      <c r="M30" s="267">
        <f>M7</f>
        <v>2021</v>
      </c>
      <c r="N30" s="267" t="str">
        <f>N7</f>
        <v>1Q22</v>
      </c>
      <c r="O30" s="267" t="str">
        <f>O7</f>
        <v>2Q22</v>
      </c>
      <c r="P30" s="267" t="str">
        <f>P7</f>
        <v>3Q22</v>
      </c>
      <c r="Q30" s="267" t="str">
        <f>Q7</f>
        <v>4Q22</v>
      </c>
      <c r="R30" s="267">
        <f>R7</f>
        <v>2022</v>
      </c>
      <c r="S30" s="267" t="str">
        <f>S7</f>
        <v>1Q23</v>
      </c>
      <c r="T30" s="267" t="str">
        <f>T7</f>
        <v>2Q23</v>
      </c>
      <c r="U30" s="267" t="str">
        <f>U7</f>
        <v>3Q23</v>
      </c>
      <c r="V30" s="267" t="str">
        <f>V7</f>
        <v>4Q23</v>
      </c>
      <c r="W30" s="267">
        <f>W7</f>
        <v>2023</v>
      </c>
      <c r="X30" s="267" t="str">
        <f>X7</f>
        <v>1Q24</v>
      </c>
      <c r="Y30" s="267" t="str">
        <f>Y7</f>
        <v>2Q24</v>
      </c>
      <c r="Z30" s="267" t="str">
        <f>Z7</f>
        <v>3Q24</v>
      </c>
      <c r="AA30" s="267" t="str">
        <f>AA7</f>
        <v>4Q24</v>
      </c>
      <c r="AB30" s="267">
        <f>AB7</f>
        <v>2024</v>
      </c>
      <c r="AC30" s="267" t="str">
        <f>AC7</f>
        <v>1Q25</v>
      </c>
      <c r="AD30" s="267" t="str">
        <f>AD7</f>
        <v>2Q25</v>
      </c>
      <c r="AE30" s="267" t="str">
        <f>AE7</f>
        <v>3Q25</v>
      </c>
      <c r="AF30" s="267" t="str">
        <f>AF7</f>
        <v>4Q25</v>
      </c>
      <c r="AG30" s="267">
        <f>AG7</f>
        <v>2025</v>
      </c>
      <c r="AH30" s="267" t="str">
        <f>AH7</f>
        <v>1Q26</v>
      </c>
      <c r="AI30" s="267" t="str">
        <f>AI7</f>
        <v>2Q26</v>
      </c>
    </row>
    <row r="31">
      <c r="C31" s="268" t="inlineStr">
        <is>
          <t xml:space="preserve">   EBITDA RAC (Brasil + Portugal)</t>
        </is>
      </c>
      <c r="D31" s="269" t="str">
        <f>IFERROR(INDEX('Inputs (2)'!$D$57:$AL$57,MATCH(D$7&amp;"",'Inputs (2)'!$D$2:$AL$2,0)),"")</f>
        <v/>
      </c>
      <c r="E31" s="269" t="str">
        <f>IFERROR(INDEX('Inputs (2)'!$D$57:$AL$57,MATCH(E$7&amp;"",'Inputs (2)'!$D$2:$AL$2,0)),"")</f>
        <v/>
      </c>
      <c r="F31" s="269" t="str">
        <f>IFERROR(INDEX('Inputs (2)'!$D$57:$AL$57,MATCH(F$7&amp;"",'Inputs (2)'!$D$2:$AL$2,0)),"")</f>
        <v/>
      </c>
      <c r="G31" s="269" t="str">
        <f>IFERROR(INDEX('Inputs (2)'!$D$57:$AL$57,MATCH(G$7&amp;"",'Inputs (2)'!$D$2:$AL$2,0)),"")</f>
        <v/>
      </c>
      <c r="H31" s="270" t="str">
        <f>IF(COUNT(D31:G31)=4,SUM(D31:G31),"")</f>
        <v/>
      </c>
      <c r="I31" s="269">
        <f>IFERROR(INDEX('Inputs (2)'!$D$57:$AL$57,MATCH(I$7&amp;"",'Inputs (2)'!$D$2:$AL$2,0)),"")</f>
        <v>168.74</v>
      </c>
      <c r="J31" s="269">
        <f>IFERROR(INDEX('Inputs (2)'!$D$57:$AL$57,MATCH(J$7&amp;"",'Inputs (2)'!$D$2:$AL$2,0)),"")</f>
        <v>140.676</v>
      </c>
      <c r="K31" s="269">
        <f>IFERROR(INDEX('Inputs (2)'!$D$57:$AL$57,MATCH(K$7&amp;"",'Inputs (2)'!$D$2:$AL$2,0)),"")</f>
        <v>233.091</v>
      </c>
      <c r="L31" s="269">
        <f>IFERROR(INDEX('Inputs (2)'!$D$57:$AL$57,MATCH(L$7&amp;"",'Inputs (2)'!$D$2:$AL$2,0)),"")</f>
        <v>333.123</v>
      </c>
      <c r="M31" s="270">
        <f>IF(COUNT(I31:L31)=4,SUM(I31:L31),"")</f>
        <v>875.63</v>
      </c>
      <c r="N31" s="269">
        <f>IFERROR(INDEX('Inputs (2)'!$D$57:$AL$57,MATCH(N$7&amp;"",'Inputs (2)'!$D$2:$AL$2,0)),"")</f>
        <v>373.325</v>
      </c>
      <c r="O31" s="269">
        <f>IFERROR(INDEX('Inputs (2)'!$D$57:$AL$57,MATCH(O$7&amp;"",'Inputs (2)'!$D$2:$AL$2,0)),"")</f>
        <v>384.781</v>
      </c>
      <c r="P31" s="269">
        <f>IFERROR(INDEX('Inputs (2)'!$D$57:$AL$57,MATCH(P$7&amp;"",'Inputs (2)'!$D$2:$AL$2,0)),"")</f>
        <v>457.844</v>
      </c>
      <c r="Q31" s="269">
        <f>IFERROR(INDEX('Inputs (2)'!$D$57:$AL$57,MATCH(Q$7&amp;"",'Inputs (2)'!$D$2:$AL$2,0)),"")</f>
        <v>416.559</v>
      </c>
      <c r="R31" s="270">
        <f>IF(COUNT(N31:Q31)=4,SUM(N31:Q31),"")</f>
        <v>1632.509</v>
      </c>
      <c r="S31" s="269">
        <f>IFERROR(INDEX('Inputs (2)'!$D$57:$AL$57,MATCH(S$7&amp;"",'Inputs (2)'!$D$2:$AL$2,0)),"")</f>
        <v>427.387</v>
      </c>
      <c r="T31" s="269">
        <f>IFERROR(INDEX('Inputs (2)'!$D$57:$AL$57,MATCH(T$7&amp;"",'Inputs (2)'!$D$2:$AL$2,0)),"")</f>
        <v>381.802</v>
      </c>
      <c r="U31" s="269">
        <f>IFERROR(INDEX('Inputs (2)'!$D$57:$AL$57,MATCH(U$7&amp;"",'Inputs (2)'!$D$2:$AL$2,0)),"")</f>
        <v>395.515</v>
      </c>
      <c r="V31" s="269">
        <f>IFERROR(INDEX('Inputs (2)'!$D$57:$AL$57,MATCH(V$7&amp;"",'Inputs (2)'!$D$2:$AL$2,0)),"")</f>
        <v>367.098</v>
      </c>
      <c r="W31" s="270">
        <f>IF(COUNT(S31:V31)=4,SUM(S31:V31),"")</f>
        <v>1571.802</v>
      </c>
      <c r="X31" s="269">
        <f>IFERROR(INDEX('Inputs (2)'!$D$57:$AL$57,MATCH(X$7&amp;"",'Inputs (2)'!$D$2:$AL$2,0)),"")</f>
        <v>485.485</v>
      </c>
      <c r="Y31" s="269">
        <f>IFERROR(INDEX('Inputs (2)'!$D$57:$AL$57,MATCH(Y$7&amp;"",'Inputs (2)'!$D$2:$AL$2,0)),"")</f>
        <v>504.709</v>
      </c>
      <c r="Z31" s="269">
        <f>IFERROR(INDEX('Inputs (2)'!$D$57:$AL$57,MATCH(Z$7&amp;"",'Inputs (2)'!$D$2:$AL$2,0)),"")</f>
        <v>550.01</v>
      </c>
      <c r="AA31" s="269">
        <f>IFERROR(INDEX('Inputs (2)'!$D$57:$AL$57,MATCH(AA$7&amp;"",'Inputs (2)'!$D$2:$AL$2,0)),"")</f>
        <v>543.336</v>
      </c>
      <c r="AB31" s="270">
        <f>IF(COUNT(X31:AA31)=4,SUM(X31:AA31),"")</f>
        <v>2083.54</v>
      </c>
      <c r="AC31" s="269">
        <f>IFERROR(INDEX('Inputs (2)'!$D$57:$AL$57,MATCH(AC$7&amp;"",'Inputs (2)'!$D$2:$AL$2,0)),"")</f>
        <v>563.843</v>
      </c>
      <c r="AD31" s="269">
        <f>IFERROR(INDEX('Inputs (2)'!$D$57:$AL$57,MATCH(AD$7&amp;"",'Inputs (2)'!$D$2:$AL$2,0)),"")</f>
        <v>602.06</v>
      </c>
      <c r="AE31" s="269">
        <f>IFERROR(INDEX('Inputs (2)'!$D$57:$AL$57,MATCH(AE$7&amp;"",'Inputs (2)'!$D$2:$AL$2,0)),"")</f>
        <v>669.054</v>
      </c>
      <c r="AF31" s="269">
        <f>IFERROR(INDEX('Inputs (2)'!$D$57:$AL$57,MATCH(AF$7&amp;"",'Inputs (2)'!$D$2:$AL$2,0)),"")</f>
        <v>663.047153385</v>
      </c>
      <c r="AG31" s="270">
        <f>IF(COUNT(AC31:AF31)=4,SUM(AC31:AF31),"")</f>
        <v>2498.004153385</v>
      </c>
      <c r="AH31" s="270">
        <f>IFERROR(INDEX('Inputs (2)'!$D$57:$AL$57,MATCH(AH$7&amp;"",'Inputs (2)'!$D$2:$AL$2,0)),"")</f>
        <v>717.757548914</v>
      </c>
      <c r="AI31" s="270">
        <f>IFERROR(INDEX('Inputs (2)'!$D$57:$AL$57,MATCH(AI$7&amp;"",'Inputs (2)'!$D$2:$AL$2,0)),"")</f>
        <v>775.951369392</v>
      </c>
    </row>
    <row r="32">
      <c r="C32" s="268" t="inlineStr">
        <is>
          <t xml:space="preserve">   EBITDA GTF</t>
        </is>
      </c>
      <c r="D32" s="269" t="str">
        <f>IFERROR(INDEX('Inputs (2)'!$D$58:$AL$58,MATCH(D$7&amp;"",'Inputs (2)'!$D$2:$AL$2,0)),"")</f>
        <v/>
      </c>
      <c r="E32" s="269" t="str">
        <f>IFERROR(INDEX('Inputs (2)'!$D$58:$AL$58,MATCH(E$7&amp;"",'Inputs (2)'!$D$2:$AL$2,0)),"")</f>
        <v/>
      </c>
      <c r="F32" s="269" t="str">
        <f>IFERROR(INDEX('Inputs (2)'!$D$58:$AL$58,MATCH(F$7&amp;"",'Inputs (2)'!$D$2:$AL$2,0)),"")</f>
        <v/>
      </c>
      <c r="G32" s="269" t="str">
        <f>IFERROR(INDEX('Inputs (2)'!$D$58:$AL$58,MATCH(G$7&amp;"",'Inputs (2)'!$D$2:$AL$2,0)),"")</f>
        <v/>
      </c>
      <c r="H32" s="270" t="str">
        <f>IF(COUNT(D32:G32)=4,SUM(D32:G32),"")</f>
        <v/>
      </c>
      <c r="I32" s="269">
        <f>IFERROR(INDEX('Inputs (2)'!$D$58:$AL$58,MATCH(I$7&amp;"",'Inputs (2)'!$D$2:$AL$2,0)),"")</f>
        <v>99.481</v>
      </c>
      <c r="J32" s="269">
        <f>IFERROR(INDEX('Inputs (2)'!$D$58:$AL$58,MATCH(J$7&amp;"",'Inputs (2)'!$D$2:$AL$2,0)),"")</f>
        <v>127.681</v>
      </c>
      <c r="K32" s="269">
        <f>IFERROR(INDEX('Inputs (2)'!$D$58:$AL$58,MATCH(K$7&amp;"",'Inputs (2)'!$D$2:$AL$2,0)),"")</f>
        <v>193.117</v>
      </c>
      <c r="L32" s="269">
        <f>IFERROR(INDEX('Inputs (2)'!$D$58:$AL$58,MATCH(L$7&amp;"",'Inputs (2)'!$D$2:$AL$2,0)),"")</f>
        <v>261.929</v>
      </c>
      <c r="M32" s="270">
        <f>IF(COUNT(I32:L32)=4,SUM(I32:L32),"")</f>
        <v>682.208</v>
      </c>
      <c r="N32" s="269">
        <f>IFERROR(INDEX('Inputs (2)'!$D$58:$AL$58,MATCH(N$7&amp;"",'Inputs (2)'!$D$2:$AL$2,0)),"")</f>
        <v>285.299</v>
      </c>
      <c r="O32" s="269">
        <f>IFERROR(INDEX('Inputs (2)'!$D$58:$AL$58,MATCH(O$7&amp;"",'Inputs (2)'!$D$2:$AL$2,0)),"")</f>
        <v>315.241</v>
      </c>
      <c r="P32" s="269">
        <f>IFERROR(INDEX('Inputs (2)'!$D$58:$AL$58,MATCH(P$7&amp;"",'Inputs (2)'!$D$2:$AL$2,0)),"")</f>
        <v>331.303</v>
      </c>
      <c r="Q32" s="269">
        <f>IFERROR(INDEX('Inputs (2)'!$D$58:$AL$58,MATCH(Q$7&amp;"",'Inputs (2)'!$D$2:$AL$2,0)),"")</f>
        <v>336.091</v>
      </c>
      <c r="R32" s="270">
        <f>IF(COUNT(N32:Q32)=4,SUM(N32:Q32),"")</f>
        <v>1267.934</v>
      </c>
      <c r="S32" s="269">
        <f>IFERROR(INDEX('Inputs (2)'!$D$58:$AL$58,MATCH(S$7&amp;"",'Inputs (2)'!$D$2:$AL$2,0)),"")</f>
        <v>361.568</v>
      </c>
      <c r="T32" s="269">
        <f>IFERROR(INDEX('Inputs (2)'!$D$58:$AL$58,MATCH(T$7&amp;"",'Inputs (2)'!$D$2:$AL$2,0)),"")</f>
        <v>411.732</v>
      </c>
      <c r="U32" s="269">
        <f>IFERROR(INDEX('Inputs (2)'!$D$58:$AL$58,MATCH(U$7&amp;"",'Inputs (2)'!$D$2:$AL$2,0)),"")</f>
        <v>430.96</v>
      </c>
      <c r="V32" s="269">
        <f>IFERROR(INDEX('Inputs (2)'!$D$58:$AL$58,MATCH(V$7&amp;"",'Inputs (2)'!$D$2:$AL$2,0)),"")</f>
        <v>462.355</v>
      </c>
      <c r="W32" s="270">
        <f>IF(COUNT(S32:V32)=4,SUM(S32:V32),"")</f>
        <v>1666.615</v>
      </c>
      <c r="X32" s="269">
        <f>IFERROR(INDEX('Inputs (2)'!$D$58:$AL$58,MATCH(X$7&amp;"",'Inputs (2)'!$D$2:$AL$2,0)),"")</f>
        <v>535.294</v>
      </c>
      <c r="Y32" s="269">
        <f>IFERROR(INDEX('Inputs (2)'!$D$58:$AL$58,MATCH(Y$7&amp;"",'Inputs (2)'!$D$2:$AL$2,0)),"")</f>
        <v>619.952</v>
      </c>
      <c r="Z32" s="269">
        <f>IFERROR(INDEX('Inputs (2)'!$D$58:$AL$58,MATCH(Z$7&amp;"",'Inputs (2)'!$D$2:$AL$2,0)),"")</f>
        <v>675.759</v>
      </c>
      <c r="AA32" s="269">
        <f>IFERROR(INDEX('Inputs (2)'!$D$58:$AL$58,MATCH(AA$7&amp;"",'Inputs (2)'!$D$2:$AL$2,0)),"")</f>
        <v>683.937</v>
      </c>
      <c r="AB32" s="270">
        <f>IF(COUNT(X32:AA32)=4,SUM(X32:AA32),"")</f>
        <v>2514.942</v>
      </c>
      <c r="AC32" s="269">
        <f>IFERROR(INDEX('Inputs (2)'!$D$58:$AL$58,MATCH(AC$7&amp;"",'Inputs (2)'!$D$2:$AL$2,0)),"")</f>
        <v>756.317</v>
      </c>
      <c r="AD32" s="269">
        <f>IFERROR(INDEX('Inputs (2)'!$D$58:$AL$58,MATCH(AD$7&amp;"",'Inputs (2)'!$D$2:$AL$2,0)),"")</f>
        <v>757.422</v>
      </c>
      <c r="AE32" s="269">
        <f>IFERROR(INDEX('Inputs (2)'!$D$58:$AL$58,MATCH(AE$7&amp;"",'Inputs (2)'!$D$2:$AL$2,0)),"")</f>
        <v>791.002</v>
      </c>
      <c r="AF32" s="269">
        <f>IFERROR(INDEX('Inputs (2)'!$D$58:$AL$58,MATCH(AF$7&amp;"",'Inputs (2)'!$D$2:$AL$2,0)),"")</f>
        <v>811.769076146</v>
      </c>
      <c r="AG32" s="270">
        <f>IF(COUNT(AC32:AF32)=4,SUM(AC32:AF32),"")</f>
        <v>3116.510076146</v>
      </c>
      <c r="AH32" s="270">
        <f>IFERROR(INDEX('Inputs (2)'!$D$58:$AL$58,MATCH(AH$7&amp;"",'Inputs (2)'!$D$2:$AL$2,0)),"")</f>
        <v>833.529633609</v>
      </c>
      <c r="AI32" s="270">
        <f>IFERROR(INDEX('Inputs (2)'!$D$58:$AL$58,MATCH(AI$7&amp;"",'Inputs (2)'!$D$2:$AL$2,0)),"")</f>
        <v>895.096737466</v>
      </c>
    </row>
    <row r="33">
      <c r="C33" s="268" t="inlineStr">
        <is>
          <t xml:space="preserve">   EBITDA Seminovos</t>
        </is>
      </c>
      <c r="D33" s="269" t="str">
        <f>IFERROR(INDEX('Inputs (2)'!$D$59:$AL$59,MATCH(D$7&amp;"",'Inputs (2)'!$D$2:$AL$2,0)),"")</f>
        <v/>
      </c>
      <c r="E33" s="269" t="str">
        <f>IFERROR(INDEX('Inputs (2)'!$D$59:$AL$59,MATCH(E$7&amp;"",'Inputs (2)'!$D$2:$AL$2,0)),"")</f>
        <v/>
      </c>
      <c r="F33" s="269" t="str">
        <f>IFERROR(INDEX('Inputs (2)'!$D$59:$AL$59,MATCH(F$7&amp;"",'Inputs (2)'!$D$2:$AL$2,0)),"")</f>
        <v/>
      </c>
      <c r="G33" s="269" t="str">
        <f>IFERROR(INDEX('Inputs (2)'!$D$59:$AL$59,MATCH(G$7&amp;"",'Inputs (2)'!$D$2:$AL$2,0)),"")</f>
        <v/>
      </c>
      <c r="H33" s="270" t="str">
        <f>IF(COUNT(D33:G33)=4,SUM(D33:G33),"")</f>
        <v/>
      </c>
      <c r="I33" s="269">
        <f>IFERROR(INDEX('Inputs (2)'!$D$59:$AL$59,MATCH(I$7&amp;"",'Inputs (2)'!$D$2:$AL$2,0)),"")</f>
        <v>36.282</v>
      </c>
      <c r="J33" s="269">
        <f>IFERROR(INDEX('Inputs (2)'!$D$59:$AL$59,MATCH(J$7&amp;"",'Inputs (2)'!$D$2:$AL$2,0)),"")</f>
        <v>120.108</v>
      </c>
      <c r="K33" s="269">
        <f>IFERROR(INDEX('Inputs (2)'!$D$59:$AL$59,MATCH(K$7&amp;"",'Inputs (2)'!$D$2:$AL$2,0)),"")</f>
        <v>187.2</v>
      </c>
      <c r="L33" s="269">
        <f>IFERROR(INDEX('Inputs (2)'!$D$59:$AL$59,MATCH(L$7&amp;"",'Inputs (2)'!$D$2:$AL$2,0)),"")</f>
        <v>181.561</v>
      </c>
      <c r="M33" s="270">
        <f>IF(COUNT(I33:L33)=4,SUM(I33:L33),"")</f>
        <v>525.151</v>
      </c>
      <c r="N33" s="269">
        <f>IFERROR(INDEX('Inputs (2)'!$D$59:$AL$59,MATCH(N$7&amp;"",'Inputs (2)'!$D$2:$AL$2,0)),"")</f>
        <v>204.472</v>
      </c>
      <c r="O33" s="269">
        <f>IFERROR(INDEX('Inputs (2)'!$D$59:$AL$59,MATCH(O$7&amp;"",'Inputs (2)'!$D$2:$AL$2,0)),"")</f>
        <v>205.234</v>
      </c>
      <c r="P33" s="269">
        <f>IFERROR(INDEX('Inputs (2)'!$D$59:$AL$59,MATCH(P$7&amp;"",'Inputs (2)'!$D$2:$AL$2,0)),"")</f>
        <v>136.19</v>
      </c>
      <c r="Q33" s="269">
        <f>IFERROR(INDEX('Inputs (2)'!$D$59:$AL$59,MATCH(Q$7&amp;"",'Inputs (2)'!$D$2:$AL$2,0)),"")</f>
        <v>105.593</v>
      </c>
      <c r="R33" s="270">
        <f>IF(COUNT(N33:Q33)=4,SUM(N33:Q33),"")</f>
        <v>651.489</v>
      </c>
      <c r="S33" s="269">
        <f>IFERROR(INDEX('Inputs (2)'!$D$59:$AL$59,MATCH(S$7&amp;"",'Inputs (2)'!$D$2:$AL$2,0)),"")</f>
        <v>86.387</v>
      </c>
      <c r="T33" s="269">
        <f>IFERROR(INDEX('Inputs (2)'!$D$59:$AL$59,MATCH(T$7&amp;"",'Inputs (2)'!$D$2:$AL$2,0)),"")</f>
        <v>96.458</v>
      </c>
      <c r="U33" s="269">
        <f>IFERROR(INDEX('Inputs (2)'!$D$59:$AL$59,MATCH(U$7&amp;"",'Inputs (2)'!$D$2:$AL$2,0)),"")</f>
        <v>41.451</v>
      </c>
      <c r="V33" s="269">
        <f>IFERROR(INDEX('Inputs (2)'!$D$59:$AL$59,MATCH(V$7&amp;"",'Inputs (2)'!$D$2:$AL$2,0)),"")</f>
        <v>36.566</v>
      </c>
      <c r="W33" s="270">
        <f>IF(COUNT(S33:V33)=4,SUM(S33:V33),"")</f>
        <v>260.862</v>
      </c>
      <c r="X33" s="269">
        <f>IFERROR(INDEX('Inputs (2)'!$D$59:$AL$59,MATCH(X$7&amp;"",'Inputs (2)'!$D$2:$AL$2,0)),"")</f>
        <v>38.64</v>
      </c>
      <c r="Y33" s="269">
        <f>IFERROR(INDEX('Inputs (2)'!$D$59:$AL$59,MATCH(Y$7&amp;"",'Inputs (2)'!$D$2:$AL$2,0)),"")</f>
        <v>24.699</v>
      </c>
      <c r="Z33" s="269">
        <f>IFERROR(INDEX('Inputs (2)'!$D$59:$AL$59,MATCH(Z$7&amp;"",'Inputs (2)'!$D$2:$AL$2,0)),"")</f>
        <v>21.709</v>
      </c>
      <c r="AA33" s="269">
        <f>IFERROR(INDEX('Inputs (2)'!$D$59:$AL$59,MATCH(AA$7&amp;"",'Inputs (2)'!$D$2:$AL$2,0)),"")</f>
        <v>17.006</v>
      </c>
      <c r="AB33" s="270">
        <f>IF(COUNT(X33:AA33)=4,SUM(X33:AA33),"")</f>
        <v>102.054</v>
      </c>
      <c r="AC33" s="269">
        <f>IFERROR(INDEX('Inputs (2)'!$D$59:$AL$59,MATCH(AC$7&amp;"",'Inputs (2)'!$D$2:$AL$2,0)),"")</f>
        <v>18.169</v>
      </c>
      <c r="AD33" s="269">
        <f>IFERROR(INDEX('Inputs (2)'!$D$59:$AL$59,MATCH(AD$7&amp;"",'Inputs (2)'!$D$2:$AL$2,0)),"")</f>
        <v>19.641</v>
      </c>
      <c r="AE33" s="269">
        <f>IFERROR(INDEX('Inputs (2)'!$D$59:$AL$59,MATCH(AE$7&amp;"",'Inputs (2)'!$D$2:$AL$2,0)),"")</f>
        <v>18.599</v>
      </c>
      <c r="AF33" s="269">
        <f>IFERROR(INDEX('Inputs (2)'!$D$59:$AL$59,MATCH(AF$7&amp;"",'Inputs (2)'!$D$2:$AL$2,0)),"")</f>
        <v>15.234030419</v>
      </c>
      <c r="AG33" s="270">
        <f>IF(COUNT(AC33:AF33)=4,SUM(AC33:AF33),"")</f>
        <v>71.643030419</v>
      </c>
      <c r="AH33" s="270">
        <f>IFERROR(INDEX('Inputs (2)'!$D$59:$AL$59,MATCH(AH$7&amp;"",'Inputs (2)'!$D$2:$AL$2,0)),"")</f>
        <v>17.377380877</v>
      </c>
      <c r="AI33" s="270">
        <f>IFERROR(INDEX('Inputs (2)'!$D$59:$AL$59,MATCH(AI$7&amp;"",'Inputs (2)'!$D$2:$AL$2,0)),"")</f>
        <v>15.695477142</v>
      </c>
    </row>
    <row r="34">
      <c r="C34" s="268" t="inlineStr">
        <is>
          <t xml:space="preserve">   Margem EBITDA RAC</t>
        </is>
      </c>
      <c r="D34" s="272" t="str">
        <f>IFERROR(D31/(D19+N(D20)),"")</f>
        <v/>
      </c>
      <c r="E34" s="272" t="str">
        <f>IFERROR(E31/(E19+N(E20)),"")</f>
        <v/>
      </c>
      <c r="F34" s="272" t="str">
        <f>IFERROR(F31/(F19+N(F20)),"")</f>
        <v/>
      </c>
      <c r="G34" s="272" t="str">
        <f>IFERROR(G31/(G19+N(G20)),"")</f>
        <v/>
      </c>
      <c r="H34" s="273" t="str">
        <f>IFERROR(H31/(H19+N(H20)),"")</f>
        <v/>
      </c>
      <c r="I34" s="272">
        <f>IFERROR(I31/(I19+N(I20)),"")</f>
        <v>0.512906245820516</v>
      </c>
      <c r="J34" s="272">
        <f>IFERROR(J31/(J19+N(J20)),"")</f>
        <v>0.45630913649766</v>
      </c>
      <c r="K34" s="272">
        <f>IFERROR(K31/(K19+N(K20)),"")</f>
        <v>0.577245114524801</v>
      </c>
      <c r="L34" s="272">
        <f>IFERROR(L31/(L19+N(L20)),"")</f>
        <v>0.637470578104369</v>
      </c>
      <c r="M34" s="273">
        <f>IFERROR(M31/(M19+N(M20)),"")</f>
        <v>0.559991762851997</v>
      </c>
      <c r="N34" s="272">
        <f>IFERROR(N31/(N19+N(N20)),"")</f>
        <v>0.675466625172791</v>
      </c>
      <c r="O34" s="272">
        <f>IFERROR(O31/(O19+N(O20)),"")</f>
        <v>0.657538483622245</v>
      </c>
      <c r="P34" s="272">
        <f>IFERROR(P31/(P19+N(P20)),"")</f>
        <v>0.677926850756413</v>
      </c>
      <c r="Q34" s="272">
        <f>IFERROR(Q31/(Q19+N(Q20)),"")</f>
        <v>0.573218458185061</v>
      </c>
      <c r="R34" s="273">
        <f>IFERROR(R31/(R19+N(R20)),"")</f>
        <v>0.642736020617834</v>
      </c>
      <c r="S34" s="272">
        <f>IFERROR(S31/(S19+N(S20)),"")</f>
        <v>0.609652313582508</v>
      </c>
      <c r="T34" s="272">
        <f>IFERROR(T31/(T19+N(T20)),"")</f>
        <v>0.565103488289483</v>
      </c>
      <c r="U34" s="272">
        <f>IFERROR(U31/(U19+N(U20)),"")</f>
        <v>0.552245620600005</v>
      </c>
      <c r="V34" s="272">
        <f>IFERROR(V31/(V19+N(V20)),"")</f>
        <v>0.521161752680356</v>
      </c>
      <c r="W34" s="273">
        <f>IFERROR(W31/(W19+N(W20)),"")</f>
        <v>0.561910938051882</v>
      </c>
      <c r="X34" s="272">
        <f>IFERROR(X31/(X19+N(X20)),"")</f>
        <v>0.626586681362762</v>
      </c>
      <c r="Y34" s="272">
        <f>IFERROR(Y31/(Y19+N(Y20)),"")</f>
        <v>0.637192866395146</v>
      </c>
      <c r="Z34" s="272">
        <f>IFERROR(Z31/(Z19+N(Z20)),"")</f>
        <v>0.64308347071685</v>
      </c>
      <c r="AA34" s="272">
        <f>IFERROR(AA31/(AA19+N(AA20)),"")</f>
        <v>0.640949386873972</v>
      </c>
      <c r="AB34" s="273">
        <f>IFERROR(AB31/(AB19+N(AB20)),"")</f>
        <v>0.637194307044998</v>
      </c>
      <c r="AC34" s="272">
        <f>IFERROR(AC31/(AC19+N(AC20)),"")</f>
        <v>0.636590672253063</v>
      </c>
      <c r="AD34" s="272">
        <f>IFERROR(AD31/(AD19+N(AD20)),"")</f>
        <v>0.671375491215002</v>
      </c>
      <c r="AE34" s="272">
        <f>IFERROR(AE31/(AE19+N(AE20)),"")</f>
        <v>0.684534753449255</v>
      </c>
      <c r="AF34" s="272">
        <f>IFERROR(AF31/(AF19+N(AF20)),"")</f>
        <v>0.654675461762396</v>
      </c>
      <c r="AG34" s="273">
        <f>IFERROR(AG31/(AG19+N(AG20)),"")</f>
        <v>0.662134873549143</v>
      </c>
      <c r="AH34" s="273">
        <f>IFERROR(AH31/(AH19+N(AH20)),"")</f>
        <v>0.650138038417471</v>
      </c>
      <c r="AI34" s="273">
        <f>IFERROR(AI31/(AI19+N(AI20)),"")</f>
        <v>0.67735219753639</v>
      </c>
    </row>
    <row r="35">
      <c r="C35" s="268" t="inlineStr">
        <is>
          <t xml:space="preserve">   Margem EBITDA GTF</t>
        </is>
      </c>
      <c r="D35" s="272" t="str">
        <f>IFERROR(D32/D21,"")</f>
        <v/>
      </c>
      <c r="E35" s="272" t="str">
        <f>IFERROR(E32/E21,"")</f>
        <v/>
      </c>
      <c r="F35" s="272" t="str">
        <f>IFERROR(F32/F21,"")</f>
        <v/>
      </c>
      <c r="G35" s="272" t="str">
        <f>IFERROR(G32/G21,"")</f>
        <v/>
      </c>
      <c r="H35" s="273" t="str">
        <f>IFERROR(H32/H21,"")</f>
        <v/>
      </c>
      <c r="I35" s="272">
        <f>IFERROR(I32/I21,"")</f>
        <v>0.645884056277309</v>
      </c>
      <c r="J35" s="272">
        <f>IFERROR(J32/J21,"")</f>
        <v>0.695528778585203</v>
      </c>
      <c r="K35" s="272">
        <f>IFERROR(K32/K21,"")</f>
        <v>0.708278166340861</v>
      </c>
      <c r="L35" s="272">
        <f>IFERROR(L32/L21,"")</f>
        <v>0.732914544742291</v>
      </c>
      <c r="M35" s="273">
        <f>IFERROR(M32/M21,"")</f>
        <v>0.705026900666988</v>
      </c>
      <c r="N35" s="272">
        <f>IFERROR(N32/N21,"")</f>
        <v>0.752364828337329</v>
      </c>
      <c r="O35" s="272">
        <f>IFERROR(O32/O21,"")</f>
        <v>0.755658310441207</v>
      </c>
      <c r="P35" s="272">
        <f>IFERROR(P32/P21,"")</f>
        <v>0.734469426573675</v>
      </c>
      <c r="Q35" s="272">
        <f>IFERROR(Q32/Q21,"")</f>
        <v>0.678253727367393</v>
      </c>
      <c r="R35" s="273">
        <f>IFERROR(R32/R21,"")</f>
        <v>0.727452252723642</v>
      </c>
      <c r="S35" s="272">
        <f>IFERROR(S32/S21,"")</f>
        <v>0.671176221626558</v>
      </c>
      <c r="T35" s="272">
        <f>IFERROR(T32/T21,"")</f>
        <v>0.737673990278582</v>
      </c>
      <c r="U35" s="272">
        <f>IFERROR(U32/U21,"")</f>
        <v>0.741598594445582</v>
      </c>
      <c r="V35" s="272">
        <f>IFERROR(V32/V21,"")</f>
        <v>0.727847603095543</v>
      </c>
      <c r="W35" s="273">
        <f>IFERROR(W32/W21,"")</f>
        <v>0.720475303646525</v>
      </c>
      <c r="X35" s="272">
        <f>IFERROR(X32/X21,"")</f>
        <v>0.743061397298686</v>
      </c>
      <c r="Y35" s="272">
        <f>IFERROR(Y32/Y21,"")</f>
        <v>0.759739511719277</v>
      </c>
      <c r="Z35" s="272">
        <f>IFERROR(Z32/Z21,"")</f>
        <v>0.759768929884071</v>
      </c>
      <c r="AA35" s="272">
        <f>IFERROR(AA32/AA21,"")</f>
        <v>0.725007208337927</v>
      </c>
      <c r="AB35" s="273">
        <f>IFERROR(AB32/AB21,"")</f>
        <v>0.746456328329636</v>
      </c>
      <c r="AC35" s="272">
        <f>IFERROR(AC32/AC21,"")</f>
        <v>0.761509734882161</v>
      </c>
      <c r="AD35" s="272">
        <f>IFERROR(AD32/AD21,"")</f>
        <v>0.760558543433118</v>
      </c>
      <c r="AE35" s="272">
        <f>IFERROR(AE32/AE21,"")</f>
        <v>0.765417165815453</v>
      </c>
      <c r="AF35" s="272">
        <f>IFERROR(AF32/AF21,"")</f>
        <v>0.749136372484072</v>
      </c>
      <c r="AG35" s="273">
        <f>IFERROR(AG32/AG21,"")</f>
        <v>0.758997104707225</v>
      </c>
      <c r="AH35" s="273">
        <f>IFERROR(AH32/AH21,"")</f>
        <v>0.756647735267615</v>
      </c>
      <c r="AI35" s="273">
        <f>IFERROR(AI32/AI21,"")</f>
        <v>0.778501334037862</v>
      </c>
    </row>
    <row r="36">
      <c r="C36" s="268" t="inlineStr">
        <is>
          <t xml:space="preserve">   Margem EBITDA Seminovos</t>
        </is>
      </c>
      <c r="D36" s="272" t="str">
        <f>IFERROR(D33/D23,"")</f>
        <v/>
      </c>
      <c r="E36" s="272" t="str">
        <f>IFERROR(E33/E23,"")</f>
        <v/>
      </c>
      <c r="F36" s="272" t="str">
        <f>IFERROR(F33/F23,"")</f>
        <v/>
      </c>
      <c r="G36" s="272" t="str">
        <f>IFERROR(G33/G23,"")</f>
        <v/>
      </c>
      <c r="H36" s="273" t="str">
        <f>IFERROR(H33/H23,"")</f>
        <v/>
      </c>
      <c r="I36" s="272">
        <f>IFERROR(I33/I23,"")</f>
        <v>0.132155605740511</v>
      </c>
      <c r="J36" s="272">
        <f>IFERROR(J33/J23,"")</f>
        <v>0.178339371622023</v>
      </c>
      <c r="K36" s="272">
        <f>IFERROR(K33/K23,"")</f>
        <v>0.221638133124956</v>
      </c>
      <c r="L36" s="272">
        <f>IFERROR(L33/L23,"")</f>
        <v>0.224394554544162</v>
      </c>
      <c r="M36" s="273">
        <f>IFERROR(M33/M23,"")</f>
        <v>0.201844908532894</v>
      </c>
      <c r="N36" s="272">
        <f>IFERROR(N33/N23,"")</f>
        <v>0.209981494451416</v>
      </c>
      <c r="O36" s="272">
        <f>IFERROR(O33/O23,"")</f>
        <v>0.167042286765394</v>
      </c>
      <c r="P36" s="272">
        <f>IFERROR(P33/P23,"")</f>
        <v>0.0965593422705732</v>
      </c>
      <c r="Q36" s="272">
        <f>IFERROR(Q33/Q23,"")</f>
        <v>0.0751868938277864</v>
      </c>
      <c r="R36" s="273">
        <f>IFERROR(R33/R23,"")</f>
        <v>0.129850283981287</v>
      </c>
      <c r="S36" s="272">
        <f>IFERROR(S33/S23,"")</f>
        <v>0.0590290850823218</v>
      </c>
      <c r="T36" s="272">
        <f>IFERROR(T33/T23,"")</f>
        <v>0.0774537223283492</v>
      </c>
      <c r="U36" s="272">
        <f>IFERROR(U33/U23,"")</f>
        <v>0.0302804729630025</v>
      </c>
      <c r="V36" s="272">
        <f>IFERROR(V33/V23,"")</f>
        <v>0.031691141803256</v>
      </c>
      <c r="W36" s="273">
        <f>IFERROR(W33/W23,"")</f>
        <v>0.0498631955246949</v>
      </c>
      <c r="X36" s="272">
        <f>IFERROR(X33/X23,"")</f>
        <v>0.025313669381466</v>
      </c>
      <c r="Y36" s="272">
        <f>IFERROR(Y33/Y23,"")</f>
        <v>0.0135150663523603</v>
      </c>
      <c r="Z36" s="272">
        <f>IFERROR(Z33/Z23,"")</f>
        <v>0.0106879496801345</v>
      </c>
      <c r="AA36" s="272">
        <f>IFERROR(AA33/AA23,"")</f>
        <v>0.0116711275821838</v>
      </c>
      <c r="AB36" s="273">
        <f>IFERROR(AB33/AB23,"")</f>
        <v>0.0149153126977608</v>
      </c>
      <c r="AC36" s="272">
        <f>IFERROR(AC33/AC23,"")</f>
        <v>0.0107551769167112</v>
      </c>
      <c r="AD36" s="272">
        <f>IFERROR(AD33/AD23,"")</f>
        <v>0.0109948980448663</v>
      </c>
      <c r="AE36" s="272">
        <f>IFERROR(AE33/AE23,"")</f>
        <v>0.0105975336048195</v>
      </c>
      <c r="AF36" s="272">
        <f>IFERROR(AF33/AF23,"")</f>
        <v>0.00974927365618818</v>
      </c>
      <c r="AG36" s="273">
        <f>IFERROR(AG33/AG23,"")</f>
        <v>0.0105461120770911</v>
      </c>
      <c r="AH36" s="273">
        <f>IFERROR(AH33/AH23,"")</f>
        <v>0.0110330583242557</v>
      </c>
      <c r="AI36" s="273">
        <f>IFERROR(AI33/AI23,"")</f>
        <v>0.0106735970225637</v>
      </c>
    </row>
    <row r="37"/>
    <row r="38">
      <c r="C38" s="267" t="inlineStr">
        <is>
          <t>RAC - frota, diarias, ocupacao e diaria media (Op Data)</t>
        </is>
      </c>
      <c r="D38" s="267">
        <f>D7</f>
        <v>0</v>
      </c>
      <c r="E38" s="267">
        <f>E7</f>
        <v>0</v>
      </c>
      <c r="F38" s="267">
        <f>F7</f>
        <v>0</v>
      </c>
      <c r="G38" s="267">
        <f>G7</f>
        <v>0</v>
      </c>
      <c r="H38" s="267">
        <f>H7</f>
        <v>2020</v>
      </c>
      <c r="I38" s="267" t="str">
        <f>I7</f>
        <v>1Q21</v>
      </c>
      <c r="J38" s="267" t="str">
        <f>J7</f>
        <v>2Q21</v>
      </c>
      <c r="K38" s="267" t="str">
        <f>K7</f>
        <v>3Q21</v>
      </c>
      <c r="L38" s="267" t="str">
        <f>L7</f>
        <v>4Q21</v>
      </c>
      <c r="M38" s="267">
        <f>M7</f>
        <v>2021</v>
      </c>
      <c r="N38" s="267" t="str">
        <f>N7</f>
        <v>1Q22</v>
      </c>
      <c r="O38" s="267" t="str">
        <f>O7</f>
        <v>2Q22</v>
      </c>
      <c r="P38" s="267" t="str">
        <f>P7</f>
        <v>3Q22</v>
      </c>
      <c r="Q38" s="267" t="str">
        <f>Q7</f>
        <v>4Q22</v>
      </c>
      <c r="R38" s="267">
        <f>R7</f>
        <v>2022</v>
      </c>
      <c r="S38" s="267" t="str">
        <f>S7</f>
        <v>1Q23</v>
      </c>
      <c r="T38" s="267" t="str">
        <f>T7</f>
        <v>2Q23</v>
      </c>
      <c r="U38" s="267" t="str">
        <f>U7</f>
        <v>3Q23</v>
      </c>
      <c r="V38" s="267" t="str">
        <f>V7</f>
        <v>4Q23</v>
      </c>
      <c r="W38" s="267">
        <f>W7</f>
        <v>2023</v>
      </c>
      <c r="X38" s="267" t="str">
        <f>X7</f>
        <v>1Q24</v>
      </c>
      <c r="Y38" s="267" t="str">
        <f>Y7</f>
        <v>2Q24</v>
      </c>
      <c r="Z38" s="267" t="str">
        <f>Z7</f>
        <v>3Q24</v>
      </c>
      <c r="AA38" s="267" t="str">
        <f>AA7</f>
        <v>4Q24</v>
      </c>
      <c r="AB38" s="267">
        <f>AB7</f>
        <v>2024</v>
      </c>
      <c r="AC38" s="267" t="str">
        <f>AC7</f>
        <v>1Q25</v>
      </c>
      <c r="AD38" s="267" t="str">
        <f>AD7</f>
        <v>2Q25</v>
      </c>
      <c r="AE38" s="267" t="str">
        <f>AE7</f>
        <v>3Q25</v>
      </c>
      <c r="AF38" s="267" t="str">
        <f>AF7</f>
        <v>4Q25</v>
      </c>
      <c r="AG38" s="267">
        <f>AG7</f>
        <v>2025</v>
      </c>
      <c r="AH38" s="267" t="str">
        <f>AH7</f>
        <v>1Q26</v>
      </c>
      <c r="AI38" s="267" t="str">
        <f>AI7</f>
        <v>2Q26</v>
      </c>
    </row>
    <row r="39">
      <c r="C39" s="268" t="inlineStr">
        <is>
          <t>Frota RAC fim do periodo (mil carros)</t>
        </is>
      </c>
      <c r="D39" s="269" t="str">
        <f>IFERROR(IFERROR(INDEX('Inputs (2)'!$D$60:$AL$60,MATCH(D$7&amp;"",'Inputs (2)'!$D$2:$AL$2,0)),"")/1000,"")</f>
        <v/>
      </c>
      <c r="E39" s="269" t="str">
        <f>IFERROR(IFERROR(INDEX('Inputs (2)'!$D$60:$AL$60,MATCH(E$7&amp;"",'Inputs (2)'!$D$2:$AL$2,0)),"")/1000,"")</f>
        <v/>
      </c>
      <c r="F39" s="269" t="str">
        <f>IFERROR(IFERROR(INDEX('Inputs (2)'!$D$60:$AL$60,MATCH(F$7&amp;"",'Inputs (2)'!$D$2:$AL$2,0)),"")/1000,"")</f>
        <v/>
      </c>
      <c r="G39" s="269" t="str">
        <f>IFERROR(IFERROR(INDEX('Inputs (2)'!$D$60:$AL$60,MATCH(G$7&amp;"",'Inputs (2)'!$D$2:$AL$2,0)),"")/1000,"")</f>
        <v/>
      </c>
      <c r="H39" s="270" t="str">
        <f>IF(COUNT(G39)=0,"",G39)</f>
        <v/>
      </c>
      <c r="I39" s="269">
        <f>IFERROR(IFERROR(INDEX('Inputs (2)'!$D$60:$AL$60,MATCH(I$7&amp;"",'Inputs (2)'!$D$2:$AL$2,0)),"")/1000,"")</f>
        <v>70.213</v>
      </c>
      <c r="J39" s="269">
        <f>IFERROR(IFERROR(INDEX('Inputs (2)'!$D$60:$AL$60,MATCH(J$7&amp;"",'Inputs (2)'!$D$2:$AL$2,0)),"")/1000,"")</f>
        <v>78.453</v>
      </c>
      <c r="K39" s="269">
        <f>IFERROR(IFERROR(INDEX('Inputs (2)'!$D$60:$AL$60,MATCH(K$7&amp;"",'Inputs (2)'!$D$2:$AL$2,0)),"")/1000,"")</f>
        <v>79.888</v>
      </c>
      <c r="L39" s="269">
        <f>IFERROR(IFERROR(INDEX('Inputs (2)'!$D$60:$AL$60,MATCH(L$7&amp;"",'Inputs (2)'!$D$2:$AL$2,0)),"")/1000,"")</f>
        <v>90.671</v>
      </c>
      <c r="M39" s="270">
        <f>IF(COUNT(L39)=0,"",L39)</f>
        <v>90.671</v>
      </c>
      <c r="N39" s="269">
        <f>IFERROR(IFERROR(INDEX('Inputs (2)'!$D$60:$AL$60,MATCH(N$7&amp;"",'Inputs (2)'!$D$2:$AL$2,0)),"")/1000,"")</f>
        <v>96.572</v>
      </c>
      <c r="O39" s="269">
        <f>IFERROR(IFERROR(INDEX('Inputs (2)'!$D$60:$AL$60,MATCH(O$7&amp;"",'Inputs (2)'!$D$2:$AL$2,0)),"")/1000,"")</f>
        <v>100.403</v>
      </c>
      <c r="P39" s="269">
        <f>IFERROR(IFERROR(INDEX('Inputs (2)'!$D$60:$AL$60,MATCH(P$7&amp;"",'Inputs (2)'!$D$2:$AL$2,0)),"")/1000,"")</f>
        <v>104.987</v>
      </c>
      <c r="Q39" s="269">
        <f>IFERROR(IFERROR(INDEX('Inputs (2)'!$D$60:$AL$60,MATCH(Q$7&amp;"",'Inputs (2)'!$D$2:$AL$2,0)),"")/1000,"")</f>
        <v>111.632</v>
      </c>
      <c r="R39" s="270">
        <f>IF(COUNT(Q39)=0,"",Q39)</f>
        <v>111.632</v>
      </c>
      <c r="S39" s="269">
        <f>IFERROR(IFERROR(INDEX('Inputs (2)'!$D$60:$AL$60,MATCH(S$7&amp;"",'Inputs (2)'!$D$2:$AL$2,0)),"")/1000,"")</f>
        <v>98.373</v>
      </c>
      <c r="T39" s="269">
        <f>IFERROR(IFERROR(INDEX('Inputs (2)'!$D$60:$AL$60,MATCH(T$7&amp;"",'Inputs (2)'!$D$2:$AL$2,0)),"")/1000,"")</f>
        <v>91.632</v>
      </c>
      <c r="U39" s="269">
        <f>IFERROR(IFERROR(INDEX('Inputs (2)'!$D$60:$AL$60,MATCH(U$7&amp;"",'Inputs (2)'!$D$2:$AL$2,0)),"")/1000,"")</f>
        <v>94.273</v>
      </c>
      <c r="V39" s="269">
        <f>IFERROR(IFERROR(INDEX('Inputs (2)'!$D$60:$AL$60,MATCH(V$7&amp;"",'Inputs (2)'!$D$2:$AL$2,0)),"")/1000,"")</f>
        <v>113.15</v>
      </c>
      <c r="W39" s="270">
        <f>IF(COUNT(V39)=0,"",V39)</f>
        <v>113.15</v>
      </c>
      <c r="X39" s="269">
        <f>IFERROR(IFERROR(INDEX('Inputs (2)'!$D$60:$AL$60,MATCH(X$7&amp;"",'Inputs (2)'!$D$2:$AL$2,0)),"")/1000,"")</f>
        <v>110.091</v>
      </c>
      <c r="Y39" s="269">
        <f>IFERROR(IFERROR(INDEX('Inputs (2)'!$D$60:$AL$60,MATCH(Y$7&amp;"",'Inputs (2)'!$D$2:$AL$2,0)),"")/1000,"")</f>
        <v>108.716</v>
      </c>
      <c r="Z39" s="269">
        <f>IFERROR(IFERROR(INDEX('Inputs (2)'!$D$60:$AL$60,MATCH(Z$7&amp;"",'Inputs (2)'!$D$2:$AL$2,0)),"")/1000,"")</f>
        <v>110.182</v>
      </c>
      <c r="AA39" s="269">
        <f>IFERROR(IFERROR(INDEX('Inputs (2)'!$D$60:$AL$60,MATCH(AA$7&amp;"",'Inputs (2)'!$D$2:$AL$2,0)),"")/1000,"")</f>
        <v>121.942</v>
      </c>
      <c r="AB39" s="270">
        <f>IF(COUNT(AA39)=0,"",AA39)</f>
        <v>121.942</v>
      </c>
      <c r="AC39" s="269">
        <f>IFERROR(IFERROR(INDEX('Inputs (2)'!$D$60:$AL$60,MATCH(AC$7&amp;"",'Inputs (2)'!$D$2:$AL$2,0)),"")/1000,"")</f>
        <v>113.257</v>
      </c>
      <c r="AD39" s="269">
        <f>IFERROR(IFERROR(INDEX('Inputs (2)'!$D$60:$AL$60,MATCH(AD$7&amp;"",'Inputs (2)'!$D$2:$AL$2,0)),"")/1000,"")</f>
        <v>120.133</v>
      </c>
      <c r="AE39" s="269">
        <f>IFERROR(IFERROR(INDEX('Inputs (2)'!$D$60:$AL$60,MATCH(AE$7&amp;"",'Inputs (2)'!$D$2:$AL$2,0)),"")/1000,"")</f>
        <v>115.498</v>
      </c>
      <c r="AF39" s="269">
        <f>IFERROR(IFERROR(INDEX('Inputs (2)'!$D$60:$AL$60,MATCH(AF$7&amp;"",'Inputs (2)'!$D$2:$AL$2,0)),"")/1000,"")</f>
        <v>130.634</v>
      </c>
      <c r="AG39" s="270">
        <f>IF(COUNT(AF39)=0,"",AF39)</f>
        <v>130.634</v>
      </c>
      <c r="AH39" s="270">
        <f>IFERROR(IFERROR(INDEX('Inputs (2)'!$D$60:$AL$60,MATCH(AH$7&amp;"",'Inputs (2)'!$D$2:$AL$2,0)),"")/1000,"")</f>
        <v>125.307</v>
      </c>
      <c r="AI39" s="270">
        <f>IFERROR(IFERROR(INDEX('Inputs (2)'!$D$60:$AL$60,MATCH(AI$7&amp;"",'Inputs (2)'!$D$2:$AL$2,0)),"")/1000,"")</f>
        <v>139.785</v>
      </c>
    </row>
    <row r="40">
      <c r="C40" s="268" t="inlineStr">
        <is>
          <t xml:space="preserve">   Frota media operacional Brasil (mil)</t>
        </is>
      </c>
      <c r="D40" s="269" t="str">
        <f>IFERROR(IFERROR(INDEX('Inputs (2)'!$D$61:$AL$61,MATCH(D$7&amp;"",'Inputs (2)'!$D$2:$AL$2,0)),"")/1000,"")</f>
        <v/>
      </c>
      <c r="E40" s="269" t="str">
        <f>IFERROR(IFERROR(INDEX('Inputs (2)'!$D$61:$AL$61,MATCH(E$7&amp;"",'Inputs (2)'!$D$2:$AL$2,0)),"")/1000,"")</f>
        <v/>
      </c>
      <c r="F40" s="269" t="str">
        <f>IFERROR(IFERROR(INDEX('Inputs (2)'!$D$61:$AL$61,MATCH(F$7&amp;"",'Inputs (2)'!$D$2:$AL$2,0)),"")/1000,"")</f>
        <v/>
      </c>
      <c r="G40" s="269" t="str">
        <f>IFERROR(IFERROR(INDEX('Inputs (2)'!$D$61:$AL$61,MATCH(G$7&amp;"",'Inputs (2)'!$D$2:$AL$2,0)),"")/1000,"")</f>
        <v/>
      </c>
      <c r="H40" s="270" t="n"/>
      <c r="I40" s="269">
        <f>IFERROR(IFERROR(INDEX('Inputs (2)'!$D$61:$AL$61,MATCH(I$7&amp;"",'Inputs (2)'!$D$2:$AL$2,0)),"")/1000,"")</f>
        <v>64.795778</v>
      </c>
      <c r="J40" s="269">
        <f>IFERROR(IFERROR(INDEX('Inputs (2)'!$D$61:$AL$61,MATCH(J$7&amp;"",'Inputs (2)'!$D$2:$AL$2,0)),"")/1000,"")</f>
        <v>63.654352</v>
      </c>
      <c r="K40" s="269">
        <f>IFERROR(IFERROR(INDEX('Inputs (2)'!$D$61:$AL$61,MATCH(K$7&amp;"",'Inputs (2)'!$D$2:$AL$2,0)),"")/1000,"")</f>
        <v>67.380652</v>
      </c>
      <c r="L40" s="269">
        <f>IFERROR(IFERROR(INDEX('Inputs (2)'!$D$61:$AL$61,MATCH(L$7&amp;"",'Inputs (2)'!$D$2:$AL$2,0)),"")/1000,"")</f>
        <v>70.538359</v>
      </c>
      <c r="M40" s="270" t="n"/>
      <c r="N40" s="269">
        <f>IFERROR(IFERROR(INDEX('Inputs (2)'!$D$61:$AL$61,MATCH(N$7&amp;"",'Inputs (2)'!$D$2:$AL$2,0)),"")/1000,"")</f>
        <v>75.286</v>
      </c>
      <c r="O40" s="269">
        <f>IFERROR(IFERROR(INDEX('Inputs (2)'!$D$61:$AL$61,MATCH(O$7&amp;"",'Inputs (2)'!$D$2:$AL$2,0)),"")/1000,"")</f>
        <v>80.205</v>
      </c>
      <c r="P40" s="269">
        <f>IFERROR(IFERROR(INDEX('Inputs (2)'!$D$61:$AL$61,MATCH(P$7&amp;"",'Inputs (2)'!$D$2:$AL$2,0)),"")/1000,"")</f>
        <v>85.151</v>
      </c>
      <c r="Q40" s="269">
        <f>IFERROR(IFERROR(INDEX('Inputs (2)'!$D$61:$AL$61,MATCH(Q$7&amp;"",'Inputs (2)'!$D$2:$AL$2,0)),"")/1000,"")</f>
        <v>90.852</v>
      </c>
      <c r="R40" s="270" t="n"/>
      <c r="S40" s="269">
        <f>IFERROR(IFERROR(INDEX('Inputs (2)'!$D$61:$AL$61,MATCH(S$7&amp;"",'Inputs (2)'!$D$2:$AL$2,0)),"")/1000,"")</f>
        <v>88.866199</v>
      </c>
      <c r="T40" s="269">
        <f>IFERROR(IFERROR(INDEX('Inputs (2)'!$D$61:$AL$61,MATCH(T$7&amp;"",'Inputs (2)'!$D$2:$AL$2,0)),"")/1000,"")</f>
        <v>82.491</v>
      </c>
      <c r="U40" s="269">
        <f>IFERROR(IFERROR(INDEX('Inputs (2)'!$D$61:$AL$61,MATCH(U$7&amp;"",'Inputs (2)'!$D$2:$AL$2,0)),"")/1000,"")</f>
        <v>79.085543</v>
      </c>
      <c r="V40" s="269">
        <f>IFERROR(IFERROR(INDEX('Inputs (2)'!$D$61:$AL$61,MATCH(V$7&amp;"",'Inputs (2)'!$D$2:$AL$2,0)),"")/1000,"")</f>
        <v>81.070652</v>
      </c>
      <c r="W40" s="270" t="n"/>
      <c r="X40" s="269">
        <f>IFERROR(IFERROR(INDEX('Inputs (2)'!$D$61:$AL$61,MATCH(X$7&amp;"",'Inputs (2)'!$D$2:$AL$2,0)),"")/1000,"")</f>
        <v>89.703462</v>
      </c>
      <c r="Y40" s="269">
        <f>IFERROR(IFERROR(INDEX('Inputs (2)'!$D$61:$AL$61,MATCH(Y$7&amp;"",'Inputs (2)'!$D$2:$AL$2,0)),"")/1000,"")</f>
        <v>90.071198</v>
      </c>
      <c r="Z40" s="269">
        <f>IFERROR(IFERROR(INDEX('Inputs (2)'!$D$61:$AL$61,MATCH(Z$7&amp;"",'Inputs (2)'!$D$2:$AL$2,0)),"")/1000,"")</f>
        <v>87.264217</v>
      </c>
      <c r="AA40" s="269">
        <f>IFERROR(IFERROR(INDEX('Inputs (2)'!$D$61:$AL$61,MATCH(AA$7&amp;"",'Inputs (2)'!$D$2:$AL$2,0)),"")/1000,"")</f>
        <v>88.526512</v>
      </c>
      <c r="AB40" s="270" t="n"/>
      <c r="AC40" s="269">
        <f>IFERROR(IFERROR(INDEX('Inputs (2)'!$D$61:$AL$61,MATCH(AC$7&amp;"",'Inputs (2)'!$D$2:$AL$2,0)),"")/1000,"")</f>
        <v>95.0972</v>
      </c>
      <c r="AD40" s="269">
        <f>IFERROR(IFERROR(INDEX('Inputs (2)'!$D$61:$AL$61,MATCH(AD$7&amp;"",'Inputs (2)'!$D$2:$AL$2,0)),"")/1000,"")</f>
        <v>91.009044</v>
      </c>
      <c r="AE40" s="269">
        <f>IFERROR(IFERROR(INDEX('Inputs (2)'!$D$61:$AL$61,MATCH(AE$7&amp;"",'Inputs (2)'!$D$2:$AL$2,0)),"")/1000,"")</f>
        <v>92.381456</v>
      </c>
      <c r="AF40" s="269">
        <f>IFERROR(IFERROR(INDEX('Inputs (2)'!$D$61:$AL$61,MATCH(AF$7&amp;"",'Inputs (2)'!$D$2:$AL$2,0)),"")/1000,"")</f>
        <v>96.659329201958</v>
      </c>
      <c r="AG40" s="270" t="n"/>
      <c r="AH40" s="270">
        <f>IFERROR(IFERROR(INDEX('Inputs (2)'!$D$61:$AL$61,MATCH(AH$7&amp;"",'Inputs (2)'!$D$2:$AL$2,0)),"")/1000,"")</f>
        <v>102.753805592588</v>
      </c>
      <c r="AI40" s="270">
        <f>IFERROR(IFERROR(INDEX('Inputs (2)'!$D$61:$AL$61,MATCH(AI$7&amp;"",'Inputs (2)'!$D$2:$AL$2,0)),"")/1000,"")</f>
        <v>108.816420562521</v>
      </c>
    </row>
    <row r="41">
      <c r="C41" s="268" t="inlineStr">
        <is>
          <t xml:space="preserve">   Frota media alugada (mil)</t>
        </is>
      </c>
      <c r="D41" s="269" t="str">
        <f>IFERROR(IFERROR(INDEX('Inputs (2)'!$D$62:$AL$62,MATCH(D$7&amp;"",'Inputs (2)'!$D$2:$AL$2,0)),"")/1000,"")</f>
        <v/>
      </c>
      <c r="E41" s="269" t="str">
        <f>IFERROR(IFERROR(INDEX('Inputs (2)'!$D$62:$AL$62,MATCH(E$7&amp;"",'Inputs (2)'!$D$2:$AL$2,0)),"")/1000,"")</f>
        <v/>
      </c>
      <c r="F41" s="269" t="str">
        <f>IFERROR(IFERROR(INDEX('Inputs (2)'!$D$62:$AL$62,MATCH(F$7&amp;"",'Inputs (2)'!$D$2:$AL$2,0)),"")/1000,"")</f>
        <v/>
      </c>
      <c r="G41" s="269" t="str">
        <f>IFERROR(IFERROR(INDEX('Inputs (2)'!$D$62:$AL$62,MATCH(G$7&amp;"",'Inputs (2)'!$D$2:$AL$2,0)),"")/1000,"")</f>
        <v/>
      </c>
      <c r="H41" s="270" t="n"/>
      <c r="I41" s="269">
        <f>IFERROR(IFERROR(INDEX('Inputs (2)'!$D$62:$AL$62,MATCH(I$7&amp;"",'Inputs (2)'!$D$2:$AL$2,0)),"")/1000,"")</f>
        <v>51.370093</v>
      </c>
      <c r="J41" s="269">
        <f>IFERROR(IFERROR(INDEX('Inputs (2)'!$D$62:$AL$62,MATCH(J$7&amp;"",'Inputs (2)'!$D$2:$AL$2,0)),"")/1000,"")</f>
        <v>50.671055</v>
      </c>
      <c r="K41" s="269">
        <f>IFERROR(IFERROR(INDEX('Inputs (2)'!$D$62:$AL$62,MATCH(K$7&amp;"",'Inputs (2)'!$D$2:$AL$2,0)),"")/1000,"")</f>
        <v>55.849469</v>
      </c>
      <c r="L41" s="269">
        <f>IFERROR(IFERROR(INDEX('Inputs (2)'!$D$62:$AL$62,MATCH(L$7&amp;"",'Inputs (2)'!$D$2:$AL$2,0)),"")/1000,"")</f>
        <v>57.025126</v>
      </c>
      <c r="M41" s="270" t="n"/>
      <c r="N41" s="269">
        <f>IFERROR(IFERROR(INDEX('Inputs (2)'!$D$62:$AL$62,MATCH(N$7&amp;"",'Inputs (2)'!$D$2:$AL$2,0)),"")/1000,"")</f>
        <v>57.280098</v>
      </c>
      <c r="O41" s="269">
        <f>IFERROR(IFERROR(INDEX('Inputs (2)'!$D$62:$AL$62,MATCH(O$7&amp;"",'Inputs (2)'!$D$2:$AL$2,0)),"")/1000,"")</f>
        <v>63.642042</v>
      </c>
      <c r="P41" s="269">
        <f>IFERROR(IFERROR(INDEX('Inputs (2)'!$D$62:$AL$62,MATCH(P$7&amp;"",'Inputs (2)'!$D$2:$AL$2,0)),"")/1000,"")</f>
        <v>65.726756</v>
      </c>
      <c r="Q41" s="269">
        <f>IFERROR(IFERROR(INDEX('Inputs (2)'!$D$62:$AL$62,MATCH(Q$7&amp;"",'Inputs (2)'!$D$2:$AL$2,0)),"")/1000,"")</f>
        <v>69.565355</v>
      </c>
      <c r="R41" s="270" t="n"/>
      <c r="S41" s="269">
        <f>IFERROR(IFERROR(INDEX('Inputs (2)'!$D$62:$AL$62,MATCH(S$7&amp;"",'Inputs (2)'!$D$2:$AL$2,0)),"")/1000,"")</f>
        <v>69.616243</v>
      </c>
      <c r="T41" s="269">
        <f>IFERROR(IFERROR(INDEX('Inputs (2)'!$D$62:$AL$62,MATCH(T$7&amp;"",'Inputs (2)'!$D$2:$AL$2,0)),"")/1000,"")</f>
        <v>64.568</v>
      </c>
      <c r="U41" s="269">
        <f>IFERROR(IFERROR(INDEX('Inputs (2)'!$D$62:$AL$62,MATCH(U$7&amp;"",'Inputs (2)'!$D$2:$AL$2,0)),"")/1000,"")</f>
        <v>64.181696</v>
      </c>
      <c r="V41" s="269">
        <f>IFERROR(IFERROR(INDEX('Inputs (2)'!$D$62:$AL$62,MATCH(V$7&amp;"",'Inputs (2)'!$D$2:$AL$2,0)),"")/1000,"")</f>
        <v>66.467207</v>
      </c>
      <c r="W41" s="270" t="n"/>
      <c r="X41" s="269">
        <f>IFERROR(IFERROR(INDEX('Inputs (2)'!$D$62:$AL$62,MATCH(X$7&amp;"",'Inputs (2)'!$D$2:$AL$2,0)),"")/1000,"")</f>
        <v>71.924826</v>
      </c>
      <c r="Y41" s="269">
        <f>IFERROR(IFERROR(INDEX('Inputs (2)'!$D$62:$AL$62,MATCH(Y$7&amp;"",'Inputs (2)'!$D$2:$AL$2,0)),"")/1000,"")</f>
        <v>70.369758</v>
      </c>
      <c r="Z41" s="269">
        <f>IFERROR(IFERROR(INDEX('Inputs (2)'!$D$62:$AL$62,MATCH(Z$7&amp;"",'Inputs (2)'!$D$2:$AL$2,0)),"")/1000,"")</f>
        <v>68.114141</v>
      </c>
      <c r="AA41" s="269">
        <f>IFERROR(IFERROR(INDEX('Inputs (2)'!$D$62:$AL$62,MATCH(AA$7&amp;"",'Inputs (2)'!$D$2:$AL$2,0)),"")/1000,"")</f>
        <v>66.296152</v>
      </c>
      <c r="AB41" s="270" t="n"/>
      <c r="AC41" s="269">
        <f>IFERROR(IFERROR(INDEX('Inputs (2)'!$D$62:$AL$62,MATCH(AC$7&amp;"",'Inputs (2)'!$D$2:$AL$2,0)),"")/1000,"")</f>
        <v>68.2299</v>
      </c>
      <c r="AD41" s="269">
        <f>IFERROR(IFERROR(INDEX('Inputs (2)'!$D$62:$AL$62,MATCH(AD$7&amp;"",'Inputs (2)'!$D$2:$AL$2,0)),"")/1000,"")</f>
        <v>67.397041</v>
      </c>
      <c r="AE41" s="269">
        <f>IFERROR(IFERROR(INDEX('Inputs (2)'!$D$62:$AL$62,MATCH(AE$7&amp;"",'Inputs (2)'!$D$2:$AL$2,0)),"")/1000,"")</f>
        <v>66.285398</v>
      </c>
      <c r="AF41" s="269">
        <f>IFERROR(IFERROR(INDEX('Inputs (2)'!$D$62:$AL$62,MATCH(AF$7&amp;"",'Inputs (2)'!$D$2:$AL$2,0)),"")/1000,"")</f>
        <v>73.313193024088</v>
      </c>
      <c r="AG41" s="270" t="n"/>
      <c r="AH41" s="270">
        <f>IFERROR(IFERROR(INDEX('Inputs (2)'!$D$62:$AL$62,MATCH(AH$7&amp;"",'Inputs (2)'!$D$2:$AL$2,0)),"")/1000,"")</f>
        <v>79.411651992173</v>
      </c>
      <c r="AI41" s="270">
        <f>IFERROR(IFERROR(INDEX('Inputs (2)'!$D$62:$AL$62,MATCH(AI$7&amp;"",'Inputs (2)'!$D$2:$AL$2,0)),"")/1000,"")</f>
        <v>82.926863270193</v>
      </c>
    </row>
    <row r="42">
      <c r="C42" s="268" t="inlineStr">
        <is>
          <t>Numero de diarias (mil)</t>
        </is>
      </c>
      <c r="D42" s="274" t="str">
        <f>IFERROR(INDEX('Inputs (2)'!$D$63:$AL$63,MATCH(D$7&amp;"",'Inputs (2)'!$D$2:$AL$2,0)),"")</f>
        <v/>
      </c>
      <c r="E42" s="274" t="str">
        <f>IFERROR(INDEX('Inputs (2)'!$D$63:$AL$63,MATCH(E$7&amp;"",'Inputs (2)'!$D$2:$AL$2,0)),"")</f>
        <v/>
      </c>
      <c r="F42" s="274" t="str">
        <f>IFERROR(INDEX('Inputs (2)'!$D$63:$AL$63,MATCH(F$7&amp;"",'Inputs (2)'!$D$2:$AL$2,0)),"")</f>
        <v/>
      </c>
      <c r="G42" s="274" t="str">
        <f>IFERROR(INDEX('Inputs (2)'!$D$63:$AL$63,MATCH(G$7&amp;"",'Inputs (2)'!$D$2:$AL$2,0)),"")</f>
        <v/>
      </c>
      <c r="H42" s="275" t="str">
        <f>IF(COUNT(D42:G42)=4,SUM(D42:G42),"")</f>
        <v/>
      </c>
      <c r="I42" s="274">
        <f>IFERROR(INDEX('Inputs (2)'!$D$63:$AL$63,MATCH(I$7&amp;"",'Inputs (2)'!$D$2:$AL$2,0)),"")</f>
        <v>5067.042</v>
      </c>
      <c r="J42" s="274">
        <f>IFERROR(INDEX('Inputs (2)'!$D$63:$AL$63,MATCH(J$7&amp;"",'Inputs (2)'!$D$2:$AL$2,0)),"")</f>
        <v>4618.39</v>
      </c>
      <c r="K42" s="274">
        <f>IFERROR(INDEX('Inputs (2)'!$D$63:$AL$63,MATCH(K$7&amp;"",'Inputs (2)'!$D$2:$AL$2,0)),"")</f>
        <v>5143.355</v>
      </c>
      <c r="L42" s="274">
        <f>IFERROR(INDEX('Inputs (2)'!$D$63:$AL$63,MATCH(L$7&amp;"",'Inputs (2)'!$D$2:$AL$2,0)),"")</f>
        <v>5281.203</v>
      </c>
      <c r="M42" s="275">
        <f>IF(COUNT(I42:L42)=4,SUM(I42:L42),"")</f>
        <v>20109.99</v>
      </c>
      <c r="N42" s="274">
        <f>IFERROR(INDEX('Inputs (2)'!$D$63:$AL$63,MATCH(N$7&amp;"",'Inputs (2)'!$D$2:$AL$2,0)),"")</f>
        <v>5224.573</v>
      </c>
      <c r="O42" s="274">
        <f>IFERROR(INDEX('Inputs (2)'!$D$63:$AL$63,MATCH(O$7&amp;"",'Inputs (2)'!$D$2:$AL$2,0)),"")</f>
        <v>5677.49</v>
      </c>
      <c r="P42" s="274">
        <f>IFERROR(INDEX('Inputs (2)'!$D$63:$AL$63,MATCH(P$7&amp;"",'Inputs (2)'!$D$2:$AL$2,0)),"")</f>
        <v>5888.846</v>
      </c>
      <c r="Q42" s="274">
        <f>IFERROR(INDEX('Inputs (2)'!$D$63:$AL$63,MATCH(Q$7&amp;"",'Inputs (2)'!$D$2:$AL$2,0)),"")</f>
        <v>6111.338</v>
      </c>
      <c r="R42" s="275">
        <f>IF(COUNT(N42:Q42)=4,SUM(N42:Q42),"")</f>
        <v>22902.247</v>
      </c>
      <c r="S42" s="274">
        <f>IFERROR(INDEX('Inputs (2)'!$D$63:$AL$63,MATCH(S$7&amp;"",'Inputs (2)'!$D$2:$AL$2,0)),"")</f>
        <v>6218.754</v>
      </c>
      <c r="T42" s="274">
        <f>IFERROR(INDEX('Inputs (2)'!$D$63:$AL$63,MATCH(T$7&amp;"",'Inputs (2)'!$D$2:$AL$2,0)),"")</f>
        <v>5837.236</v>
      </c>
      <c r="U42" s="274">
        <f>IFERROR(INDEX('Inputs (2)'!$D$63:$AL$63,MATCH(U$7&amp;"",'Inputs (2)'!$D$2:$AL$2,0)),"")</f>
        <v>5819.624</v>
      </c>
      <c r="V42" s="274">
        <f>IFERROR(INDEX('Inputs (2)'!$D$63:$AL$63,MATCH(V$7&amp;"",'Inputs (2)'!$D$2:$AL$2,0)),"")</f>
        <v>5945.636</v>
      </c>
      <c r="W42" s="275">
        <f>IF(COUNT(S42:V42)=4,SUM(S42:V42),"")</f>
        <v>23821.25</v>
      </c>
      <c r="X42" s="274">
        <f>IFERROR(INDEX('Inputs (2)'!$D$63:$AL$63,MATCH(X$7&amp;"",'Inputs (2)'!$D$2:$AL$2,0)),"")</f>
        <v>6414.484</v>
      </c>
      <c r="Y42" s="274">
        <f>IFERROR(INDEX('Inputs (2)'!$D$63:$AL$63,MATCH(Y$7&amp;"",'Inputs (2)'!$D$2:$AL$2,0)),"")</f>
        <v>6200.041</v>
      </c>
      <c r="Z42" s="274">
        <f>IFERROR(INDEX('Inputs (2)'!$D$63:$AL$63,MATCH(Z$7&amp;"",'Inputs (2)'!$D$2:$AL$2,0)),"")</f>
        <v>6004.671</v>
      </c>
      <c r="AA42" s="274">
        <f>IFERROR(INDEX('Inputs (2)'!$D$63:$AL$63,MATCH(AA$7&amp;"",'Inputs (2)'!$D$2:$AL$2,0)),"")</f>
        <v>5958.805</v>
      </c>
      <c r="AB42" s="275">
        <f>IF(COUNT(X42:AA42)=4,SUM(X42:AA42),"")</f>
        <v>24578.001</v>
      </c>
      <c r="AC42" s="274">
        <f>IFERROR(INDEX('Inputs (2)'!$D$63:$AL$63,MATCH(AC$7&amp;"",'Inputs (2)'!$D$2:$AL$2,0)),"")</f>
        <v>6026.629</v>
      </c>
      <c r="AD42" s="274">
        <f>IFERROR(INDEX('Inputs (2)'!$D$63:$AL$63,MATCH(AD$7&amp;"",'Inputs (2)'!$D$2:$AL$2,0)),"")</f>
        <v>6070.355</v>
      </c>
      <c r="AE42" s="274">
        <f>IFERROR(INDEX('Inputs (2)'!$D$63:$AL$63,MATCH(AE$7&amp;"",'Inputs (2)'!$D$2:$AL$2,0)),"")</f>
        <v>6084.784</v>
      </c>
      <c r="AF42" s="274">
        <f>IFERROR(INDEX('Inputs (2)'!$D$63:$AL$63,MATCH(AF$7&amp;"",'Inputs (2)'!$D$2:$AL$2,0)),"")</f>
        <v>6688.82</v>
      </c>
      <c r="AG42" s="275">
        <f>IF(COUNT(AC42:AF42)=4,SUM(AC42:AF42),"")</f>
        <v>24870.588</v>
      </c>
      <c r="AH42" s="275">
        <f>IFERROR(INDEX('Inputs (2)'!$D$63:$AL$63,MATCH(AH$7&amp;"",'Inputs (2)'!$D$2:$AL$2,0)),"")</f>
        <v>7085.315149551</v>
      </c>
      <c r="AI42" s="275">
        <f>IFERROR(INDEX('Inputs (2)'!$D$63:$AL$63,MATCH(AI$7&amp;"",'Inputs (2)'!$D$2:$AL$2,0)),"")</f>
        <v>7412.786999999</v>
      </c>
    </row>
    <row r="43">
      <c r="C43" s="268" t="inlineStr">
        <is>
          <t>Taxa de ocupacao</t>
        </is>
      </c>
      <c r="D43" s="272" t="str">
        <f>IFERROR(INDEX('Inputs (2)'!$D$64:$AL$64,MATCH(D$7&amp;"",'Inputs (2)'!$D$2:$AL$2,0)),"")</f>
        <v/>
      </c>
      <c r="E43" s="272" t="str">
        <f>IFERROR(INDEX('Inputs (2)'!$D$64:$AL$64,MATCH(E$7&amp;"",'Inputs (2)'!$D$2:$AL$2,0)),"")</f>
        <v/>
      </c>
      <c r="F43" s="272" t="str">
        <f>IFERROR(INDEX('Inputs (2)'!$D$64:$AL$64,MATCH(F$7&amp;"",'Inputs (2)'!$D$2:$AL$2,0)),"")</f>
        <v/>
      </c>
      <c r="G43" s="272" t="str">
        <f>IFERROR(INDEX('Inputs (2)'!$D$64:$AL$64,MATCH(G$7&amp;"",'Inputs (2)'!$D$2:$AL$2,0)),"")</f>
        <v/>
      </c>
      <c r="H43" s="273" t="n"/>
      <c r="I43" s="272">
        <f>IFERROR(INDEX('Inputs (2)'!$D$64:$AL$64,MATCH(I$7&amp;"",'Inputs (2)'!$D$2:$AL$2,0)),"")</f>
        <v>0.793</v>
      </c>
      <c r="J43" s="272">
        <f>IFERROR(INDEX('Inputs (2)'!$D$64:$AL$64,MATCH(J$7&amp;"",'Inputs (2)'!$D$2:$AL$2,0)),"")</f>
        <v>0.796</v>
      </c>
      <c r="K43" s="272">
        <f>IFERROR(INDEX('Inputs (2)'!$D$64:$AL$64,MATCH(K$7&amp;"",'Inputs (2)'!$D$2:$AL$2,0)),"")</f>
        <v>0.829</v>
      </c>
      <c r="L43" s="272">
        <f>IFERROR(INDEX('Inputs (2)'!$D$64:$AL$64,MATCH(L$7&amp;"",'Inputs (2)'!$D$2:$AL$2,0)),"")</f>
        <v>0.808</v>
      </c>
      <c r="M43" s="273" t="n"/>
      <c r="N43" s="272">
        <f>IFERROR(INDEX('Inputs (2)'!$D$64:$AL$64,MATCH(N$7&amp;"",'Inputs (2)'!$D$2:$AL$2,0)),"")</f>
        <v>0.761</v>
      </c>
      <c r="O43" s="272">
        <f>IFERROR(INDEX('Inputs (2)'!$D$64:$AL$64,MATCH(O$7&amp;"",'Inputs (2)'!$D$2:$AL$2,0)),"")</f>
        <v>0.793</v>
      </c>
      <c r="P43" s="272">
        <f>IFERROR(INDEX('Inputs (2)'!$D$64:$AL$64,MATCH(P$7&amp;"",'Inputs (2)'!$D$2:$AL$2,0)),"")</f>
        <v>0.772</v>
      </c>
      <c r="Q43" s="272">
        <f>IFERROR(INDEX('Inputs (2)'!$D$64:$AL$64,MATCH(Q$7&amp;"",'Inputs (2)'!$D$2:$AL$2,0)),"")</f>
        <v>0.766</v>
      </c>
      <c r="R43" s="273" t="n"/>
      <c r="S43" s="272">
        <f>IFERROR(INDEX('Inputs (2)'!$D$64:$AL$64,MATCH(S$7&amp;"",'Inputs (2)'!$D$2:$AL$2,0)),"")</f>
        <v>0.784</v>
      </c>
      <c r="T43" s="272">
        <f>IFERROR(INDEX('Inputs (2)'!$D$64:$AL$64,MATCH(T$7&amp;"",'Inputs (2)'!$D$2:$AL$2,0)),"")</f>
        <v>0.783</v>
      </c>
      <c r="U43" s="272">
        <f>IFERROR(INDEX('Inputs (2)'!$D$64:$AL$64,MATCH(U$7&amp;"",'Inputs (2)'!$D$2:$AL$2,0)),"")</f>
        <v>0.811</v>
      </c>
      <c r="V43" s="272">
        <f>IFERROR(INDEX('Inputs (2)'!$D$64:$AL$64,MATCH(V$7&amp;"",'Inputs (2)'!$D$2:$AL$2,0)),"")</f>
        <v>0.82</v>
      </c>
      <c r="W43" s="273" t="n"/>
      <c r="X43" s="272">
        <f>IFERROR(INDEX('Inputs (2)'!$D$64:$AL$64,MATCH(X$7&amp;"",'Inputs (2)'!$D$2:$AL$2,0)),"")</f>
        <v>0.802</v>
      </c>
      <c r="Y43" s="272">
        <f>IFERROR(INDEX('Inputs (2)'!$D$64:$AL$64,MATCH(Y$7&amp;"",'Inputs (2)'!$D$2:$AL$2,0)),"")</f>
        <v>0.781</v>
      </c>
      <c r="Z43" s="272">
        <f>IFERROR(INDEX('Inputs (2)'!$D$64:$AL$64,MATCH(Z$7&amp;"",'Inputs (2)'!$D$2:$AL$2,0)),"")</f>
        <v>0.781</v>
      </c>
      <c r="AA43" s="272">
        <f>IFERROR(INDEX('Inputs (2)'!$D$64:$AL$64,MATCH(AA$7&amp;"",'Inputs (2)'!$D$2:$AL$2,0)),"")</f>
        <v>0.749</v>
      </c>
      <c r="AB43" s="273" t="n"/>
      <c r="AC43" s="272">
        <f>IFERROR(INDEX('Inputs (2)'!$D$64:$AL$64,MATCH(AC$7&amp;"",'Inputs (2)'!$D$2:$AL$2,0)),"")</f>
        <v>0.717</v>
      </c>
      <c r="AD43" s="272">
        <f>IFERROR(INDEX('Inputs (2)'!$D$64:$AL$64,MATCH(AD$7&amp;"",'Inputs (2)'!$D$2:$AL$2,0)),"")</f>
        <v>0.741</v>
      </c>
      <c r="AE43" s="272">
        <f>IFERROR(INDEX('Inputs (2)'!$D$64:$AL$64,MATCH(AE$7&amp;"",'Inputs (2)'!$D$2:$AL$2,0)),"")</f>
        <v>0.718</v>
      </c>
      <c r="AF43" s="272">
        <f>IFERROR(INDEX('Inputs (2)'!$D$64:$AL$64,MATCH(AF$7&amp;"",'Inputs (2)'!$D$2:$AL$2,0)),"")</f>
        <v>0.758469913</v>
      </c>
      <c r="AG43" s="273" t="n"/>
      <c r="AH43" s="273">
        <f>IFERROR(INDEX('Inputs (2)'!$D$64:$AL$64,MATCH(AH$7&amp;"",'Inputs (2)'!$D$2:$AL$2,0)),"")</f>
        <v>0.772834169</v>
      </c>
      <c r="AI43" s="273">
        <f>IFERROR(INDEX('Inputs (2)'!$D$64:$AL$64,MATCH(AI$7&amp;"",'Inputs (2)'!$D$2:$AL$2,0)),"")</f>
        <v>0.762080418</v>
      </c>
    </row>
    <row r="44">
      <c r="C44" s="268" t="inlineStr">
        <is>
          <t>Diaria media (R$)</t>
        </is>
      </c>
      <c r="D44" s="276" t="str">
        <f>IFERROR(INDEX('Inputs (2)'!$D$65:$AL$65,MATCH(D$7&amp;"",'Inputs (2)'!$D$2:$AL$2,0)),"")</f>
        <v/>
      </c>
      <c r="E44" s="276" t="str">
        <f>IFERROR(INDEX('Inputs (2)'!$D$65:$AL$65,MATCH(E$7&amp;"",'Inputs (2)'!$D$2:$AL$2,0)),"")</f>
        <v/>
      </c>
      <c r="F44" s="276" t="str">
        <f>IFERROR(INDEX('Inputs (2)'!$D$65:$AL$65,MATCH(F$7&amp;"",'Inputs (2)'!$D$2:$AL$2,0)),"")</f>
        <v/>
      </c>
      <c r="G44" s="276" t="str">
        <f>IFERROR(INDEX('Inputs (2)'!$D$65:$AL$65,MATCH(G$7&amp;"",'Inputs (2)'!$D$2:$AL$2,0)),"")</f>
        <v/>
      </c>
      <c r="H44" s="277" t="n"/>
      <c r="I44" s="276">
        <f>IFERROR(INDEX('Inputs (2)'!$D$65:$AL$65,MATCH(I$7&amp;"",'Inputs (2)'!$D$2:$AL$2,0)),"")</f>
        <v>81.742</v>
      </c>
      <c r="J44" s="276">
        <f>IFERROR(INDEX('Inputs (2)'!$D$65:$AL$65,MATCH(J$7&amp;"",'Inputs (2)'!$D$2:$AL$2,0)),"")</f>
        <v>84.087</v>
      </c>
      <c r="K44" s="276">
        <f>IFERROR(INDEX('Inputs (2)'!$D$65:$AL$65,MATCH(K$7&amp;"",'Inputs (2)'!$D$2:$AL$2,0)),"")</f>
        <v>96.404</v>
      </c>
      <c r="L44" s="276">
        <f>IFERROR(INDEX('Inputs (2)'!$D$65:$AL$65,MATCH(L$7&amp;"",'Inputs (2)'!$D$2:$AL$2,0)),"")</f>
        <v>118.614</v>
      </c>
      <c r="M44" s="277" t="n"/>
      <c r="N44" s="276">
        <f>IFERROR(INDEX('Inputs (2)'!$D$65:$AL$65,MATCH(N$7&amp;"",'Inputs (2)'!$D$2:$AL$2,0)),"")</f>
        <v>118.61</v>
      </c>
      <c r="O44" s="276">
        <f>IFERROR(INDEX('Inputs (2)'!$D$65:$AL$65,MATCH(O$7&amp;"",'Inputs (2)'!$D$2:$AL$2,0)),"")</f>
        <v>115.745</v>
      </c>
      <c r="P44" s="276">
        <f>IFERROR(INDEX('Inputs (2)'!$D$65:$AL$65,MATCH(P$7&amp;"",'Inputs (2)'!$D$2:$AL$2,0)),"")</f>
        <v>128.557</v>
      </c>
      <c r="Q44" s="276">
        <f>IFERROR(INDEX('Inputs (2)'!$D$65:$AL$65,MATCH(Q$7&amp;"",'Inputs (2)'!$D$2:$AL$2,0)),"")</f>
        <v>127.297</v>
      </c>
      <c r="R44" s="277" t="n"/>
      <c r="S44" s="276">
        <f>IFERROR(INDEX('Inputs (2)'!$D$65:$AL$65,MATCH(S$7&amp;"",'Inputs (2)'!$D$2:$AL$2,0)),"")</f>
        <v>126.002</v>
      </c>
      <c r="T44" s="276">
        <f>IFERROR(INDEX('Inputs (2)'!$D$65:$AL$65,MATCH(T$7&amp;"",'Inputs (2)'!$D$2:$AL$2,0)),"")</f>
        <v>123.362</v>
      </c>
      <c r="U44" s="276">
        <f>IFERROR(INDEX('Inputs (2)'!$D$65:$AL$65,MATCH(U$7&amp;"",'Inputs (2)'!$D$2:$AL$2,0)),"")</f>
        <v>124.524</v>
      </c>
      <c r="V44" s="276">
        <f>IFERROR(INDEX('Inputs (2)'!$D$65:$AL$65,MATCH(V$7&amp;"",'Inputs (2)'!$D$2:$AL$2,0)),"")</f>
        <v>126.1</v>
      </c>
      <c r="W44" s="277" t="n"/>
      <c r="X44" s="276">
        <f>IFERROR(INDEX('Inputs (2)'!$D$65:$AL$65,MATCH(X$7&amp;"",'Inputs (2)'!$D$2:$AL$2,0)),"")</f>
        <v>130.299</v>
      </c>
      <c r="Y44" s="276">
        <f>IFERROR(INDEX('Inputs (2)'!$D$65:$AL$65,MATCH(Y$7&amp;"",'Inputs (2)'!$D$2:$AL$2,0)),"")</f>
        <v>134.541</v>
      </c>
      <c r="Z44" s="276">
        <f>IFERROR(INDEX('Inputs (2)'!$D$65:$AL$65,MATCH(Z$7&amp;"",'Inputs (2)'!$D$2:$AL$2,0)),"")</f>
        <v>142.036</v>
      </c>
      <c r="AA44" s="276">
        <f>IFERROR(INDEX('Inputs (2)'!$D$65:$AL$65,MATCH(AA$7&amp;"",'Inputs (2)'!$D$2:$AL$2,0)),"")</f>
        <v>150.723</v>
      </c>
      <c r="AB44" s="277" t="n"/>
      <c r="AC44" s="276">
        <f>IFERROR(INDEX('Inputs (2)'!$D$65:$AL$65,MATCH(AC$7&amp;"",'Inputs (2)'!$D$2:$AL$2,0)),"")</f>
        <v>158.045</v>
      </c>
      <c r="AD44" s="276">
        <f>IFERROR(INDEX('Inputs (2)'!$D$65:$AL$65,MATCH(AD$7&amp;"",'Inputs (2)'!$D$2:$AL$2,0)),"")</f>
        <v>154.171</v>
      </c>
      <c r="AE44" s="276">
        <f>IFERROR(INDEX('Inputs (2)'!$D$65:$AL$65,MATCH(AE$7&amp;"",'Inputs (2)'!$D$2:$AL$2,0)),"")</f>
        <v>159.266</v>
      </c>
      <c r="AF44" s="276">
        <f>IFERROR(INDEX('Inputs (2)'!$D$65:$AL$65,MATCH(AF$7&amp;"",'Inputs (2)'!$D$2:$AL$2,0)),"")</f>
        <v>160.58785571</v>
      </c>
      <c r="AG44" s="277" t="n"/>
      <c r="AH44" s="277">
        <f>IFERROR(INDEX('Inputs (2)'!$D$65:$AL$65,MATCH(AH$7&amp;"",'Inputs (2)'!$D$2:$AL$2,0)),"")</f>
        <v>168.451826808</v>
      </c>
      <c r="AI44" s="277">
        <f>IFERROR(INDEX('Inputs (2)'!$D$65:$AL$65,MATCH(AI$7&amp;"",'Inputs (2)'!$D$2:$AL$2,0)),"")</f>
        <v>164.725592339</v>
      </c>
    </row>
    <row r="45">
      <c r="C45" s="268" t="inlineStr">
        <is>
          <t>Receita media mensal por carro operacional (R$)</t>
        </is>
      </c>
      <c r="D45" s="274" t="str">
        <f>IFERROR(INDEX('Inputs (2)'!$D$66:$AL$66,MATCH(D$7&amp;"",'Inputs (2)'!$D$2:$AL$2,0)),"")</f>
        <v/>
      </c>
      <c r="E45" s="274" t="str">
        <f>IFERROR(INDEX('Inputs (2)'!$D$66:$AL$66,MATCH(E$7&amp;"",'Inputs (2)'!$D$2:$AL$2,0)),"")</f>
        <v/>
      </c>
      <c r="F45" s="274" t="str">
        <f>IFERROR(INDEX('Inputs (2)'!$D$66:$AL$66,MATCH(F$7&amp;"",'Inputs (2)'!$D$2:$AL$2,0)),"")</f>
        <v/>
      </c>
      <c r="G45" s="274" t="str">
        <f>IFERROR(INDEX('Inputs (2)'!$D$66:$AL$66,MATCH(G$7&amp;"",'Inputs (2)'!$D$2:$AL$2,0)),"")</f>
        <v/>
      </c>
      <c r="H45" s="275" t="n"/>
      <c r="I45" s="274">
        <f>IFERROR(INDEX('Inputs (2)'!$D$66:$AL$66,MATCH(I$7&amp;"",'Inputs (2)'!$D$2:$AL$2,0)),"")</f>
        <v>1926.167</v>
      </c>
      <c r="J45" s="274">
        <f>IFERROR(INDEX('Inputs (2)'!$D$66:$AL$66,MATCH(J$7&amp;"",'Inputs (2)'!$D$2:$AL$2,0)),"")</f>
        <v>1838.986</v>
      </c>
      <c r="K45" s="274">
        <f>IFERROR(INDEX('Inputs (2)'!$D$66:$AL$66,MATCH(K$7&amp;"",'Inputs (2)'!$D$2:$AL$2,0)),"")</f>
        <v>2237.514</v>
      </c>
      <c r="L45" s="274">
        <f>IFERROR(INDEX('Inputs (2)'!$D$66:$AL$66,MATCH(L$7&amp;"",'Inputs (2)'!$D$2:$AL$2,0)),"")</f>
        <v>2769.63</v>
      </c>
      <c r="M45" s="275" t="n"/>
      <c r="N45" s="274">
        <f>IFERROR(INDEX('Inputs (2)'!$D$66:$AL$66,MATCH(N$7&amp;"",'Inputs (2)'!$D$2:$AL$2,0)),"")</f>
        <v>2743.698</v>
      </c>
      <c r="O45" s="274">
        <f>IFERROR(INDEX('Inputs (2)'!$D$66:$AL$66,MATCH(O$7&amp;"",'Inputs (2)'!$D$2:$AL$2,0)),"")</f>
        <v>2731.097</v>
      </c>
      <c r="P45" s="274">
        <f>IFERROR(INDEX('Inputs (2)'!$D$66:$AL$66,MATCH(P$7&amp;"",'Inputs (2)'!$D$2:$AL$2,0)),"")</f>
        <v>2963.558</v>
      </c>
      <c r="Q45" s="274">
        <f>IFERROR(INDEX('Inputs (2)'!$D$66:$AL$66,MATCH(Q$7&amp;"",'Inputs (2)'!$D$2:$AL$2,0)),"")</f>
        <v>2854.288</v>
      </c>
      <c r="R45" s="275" t="n"/>
      <c r="S45" s="274">
        <f>IFERROR(INDEX('Inputs (2)'!$D$66:$AL$66,MATCH(S$7&amp;"",'Inputs (2)'!$D$2:$AL$2,0)),"")</f>
        <v>2939.168</v>
      </c>
      <c r="T45" s="274">
        <f>IFERROR(INDEX('Inputs (2)'!$D$66:$AL$66,MATCH(T$7&amp;"",'Inputs (2)'!$D$2:$AL$2,0)),"")</f>
        <v>2909.796</v>
      </c>
      <c r="U45" s="274">
        <f>IFERROR(INDEX('Inputs (2)'!$D$66:$AL$66,MATCH(U$7&amp;"",'Inputs (2)'!$D$2:$AL$2,0)),"")</f>
        <v>3054.435</v>
      </c>
      <c r="V45" s="274">
        <f>IFERROR(INDEX('Inputs (2)'!$D$66:$AL$66,MATCH(V$7&amp;"",'Inputs (2)'!$D$2:$AL$2,0)),"")</f>
        <v>3082.674</v>
      </c>
      <c r="W45" s="275" t="n"/>
      <c r="X45" s="274">
        <f>IFERROR(INDEX('Inputs (2)'!$D$66:$AL$66,MATCH(X$7&amp;"",'Inputs (2)'!$D$2:$AL$2,0)),"")</f>
        <v>3105.783</v>
      </c>
      <c r="Y45" s="274">
        <f>IFERROR(INDEX('Inputs (2)'!$D$66:$AL$66,MATCH(Y$7&amp;"",'Inputs (2)'!$D$2:$AL$2,0)),"")</f>
        <v>3087.035</v>
      </c>
      <c r="Z45" s="274">
        <f>IFERROR(INDEX('Inputs (2)'!$D$66:$AL$66,MATCH(Z$7&amp;"",'Inputs (2)'!$D$2:$AL$2,0)),"")</f>
        <v>3257.833</v>
      </c>
      <c r="AA45" s="274">
        <f>IFERROR(INDEX('Inputs (2)'!$D$66:$AL$66,MATCH(AA$7&amp;"",'Inputs (2)'!$D$2:$AL$2,0)),"")</f>
        <v>3381.404</v>
      </c>
      <c r="AB45" s="275" t="n"/>
      <c r="AC45" s="274">
        <f>IFERROR(INDEX('Inputs (2)'!$D$66:$AL$66,MATCH(AC$7&amp;"",'Inputs (2)'!$D$2:$AL$2,0)),"")</f>
        <v>3338.611</v>
      </c>
      <c r="AD45" s="274">
        <f>IFERROR(INDEX('Inputs (2)'!$D$66:$AL$66,MATCH(AD$7&amp;"",'Inputs (2)'!$D$2:$AL$2,0)),"")</f>
        <v>3427.762</v>
      </c>
      <c r="AE45" s="274">
        <f>IFERROR(INDEX('Inputs (2)'!$D$66:$AL$66,MATCH(AE$7&amp;"",'Inputs (2)'!$D$2:$AL$2,0)),"")</f>
        <v>3496.733</v>
      </c>
      <c r="AF45" s="274">
        <f>IFERROR(INDEX('Inputs (2)'!$D$66:$AL$66,MATCH(AF$7&amp;"",'Inputs (2)'!$D$2:$AL$2,0)),"")</f>
        <v>3704.223447775</v>
      </c>
      <c r="AG45" s="275" t="n"/>
      <c r="AH45" s="275">
        <f>IFERROR(INDEX('Inputs (2)'!$D$66:$AL$66,MATCH(AH$7&amp;"",'Inputs (2)'!$D$2:$AL$2,0)),"")</f>
        <v>3871.825066289</v>
      </c>
      <c r="AI45" s="275">
        <f>IFERROR(INDEX('Inputs (2)'!$D$66:$AL$66,MATCH(AI$7&amp;"",'Inputs (2)'!$D$2:$AL$2,0)),"")</f>
        <v>3740.476309076</v>
      </c>
    </row>
    <row r="46">
      <c r="C46" s="268" t="inlineStr">
        <is>
          <t xml:space="preserve">   Receita RAC Brasil / diarias (R$ por diaria, implicito)</t>
        </is>
      </c>
      <c r="D46" s="276" t="str">
        <f>IFERROR(D19/D42*1000,"")</f>
        <v/>
      </c>
      <c r="E46" s="276" t="str">
        <f>IFERROR(E19/E42*1000,"")</f>
        <v/>
      </c>
      <c r="F46" s="276" t="str">
        <f>IFERROR(F19/F42*1000,"")</f>
        <v/>
      </c>
      <c r="G46" s="276" t="str">
        <f>IFERROR(G19/G42*1000,"")</f>
        <v/>
      </c>
      <c r="H46" s="277" t="str">
        <f>IFERROR(H19/H42*1000,"")</f>
        <v/>
      </c>
      <c r="I46" s="276">
        <f>IFERROR(I19/I42*1000,"")</f>
        <v>64.9270323790488</v>
      </c>
      <c r="J46" s="276">
        <f>IFERROR(J19/J42*1000,"")</f>
        <v>66.7529160594926</v>
      </c>
      <c r="K46" s="276">
        <f>IFERROR(K19/K42*1000,"")</f>
        <v>78.5088721272399</v>
      </c>
      <c r="L46" s="276">
        <f>IFERROR(L19/L42*1000,"")</f>
        <v>98.9490462684354</v>
      </c>
      <c r="M46" s="277">
        <f>IFERROR(M19/M42*1000,"")</f>
        <v>77.7547875458914</v>
      </c>
      <c r="N46" s="276">
        <f>IFERROR(N19/N42*1000,"")</f>
        <v>105.787018384086</v>
      </c>
      <c r="O46" s="276">
        <f>IFERROR(O19/O42*1000,"")</f>
        <v>103.070899288242</v>
      </c>
      <c r="P46" s="276">
        <f>IFERROR(P19/P42*1000,"")</f>
        <v>114.684439022518</v>
      </c>
      <c r="Q46" s="276">
        <f>IFERROR(Q19/Q42*1000,"")</f>
        <v>111.738705992043</v>
      </c>
      <c r="R46" s="277">
        <f>IFERROR(R19/R42*1000,"")</f>
        <v>108.989655032539</v>
      </c>
      <c r="S46" s="276">
        <f>IFERROR(S19/S42*1000,"")</f>
        <v>110.414079733657</v>
      </c>
      <c r="T46" s="276">
        <f>IFERROR(T19/T42*1000,"")</f>
        <v>110.697083345611</v>
      </c>
      <c r="U46" s="276">
        <f>IFERROR(U19/U42*1000,"")</f>
        <v>111.898122627854</v>
      </c>
      <c r="V46" s="276">
        <f>IFERROR(V19/V42*1000,"")</f>
        <v>113.528477020793</v>
      </c>
      <c r="W46" s="277">
        <f>IFERROR(W19/W42*1000,"")</f>
        <v>111.623319515139</v>
      </c>
      <c r="X46" s="276">
        <f>IFERROR(X19/X42*1000,"")</f>
        <v>117.197579727379</v>
      </c>
      <c r="Y46" s="276">
        <f>IFERROR(Y19/Y42*1000,"")</f>
        <v>120.732911282361</v>
      </c>
      <c r="Z46" s="276">
        <f>IFERROR(Z19/Z42*1000,"")</f>
        <v>127.362181874744</v>
      </c>
      <c r="AA46" s="276">
        <f>IFERROR(AA19/AA42*1000,"")</f>
        <v>135.685930316565</v>
      </c>
      <c r="AB46" s="277">
        <f>IFERROR(AB19/AB42*1000,"")</f>
        <v>125.055125516514</v>
      </c>
      <c r="AC46" s="276">
        <f>IFERROR(AC19/AC42*1000,"")</f>
        <v>142.597130170117</v>
      </c>
      <c r="AD46" s="276">
        <f>IFERROR(AD19/AD42*1000,"")</f>
        <v>138.921529301005</v>
      </c>
      <c r="AE46" s="276">
        <f>IFERROR(AE19/AE42*1000,"")</f>
        <v>143.64454021704</v>
      </c>
      <c r="AF46" s="276">
        <f>IFERROR(AF19/AF42*1000,"")</f>
        <v>144.849282563143</v>
      </c>
      <c r="AG46" s="277">
        <f>IFERROR(AG19/AG42*1000,"")</f>
        <v>142.561960263827</v>
      </c>
      <c r="AH46" s="277">
        <f>IFERROR(AH19/AH42*1000,"")</f>
        <v>151.880398249638</v>
      </c>
      <c r="AI46" s="277">
        <f>IFERROR(AI19/AI42*1000,"")</f>
        <v>148.353423787187</v>
      </c>
    </row>
    <row r="47"/>
    <row r="48">
      <c r="C48" s="267" t="inlineStr">
        <is>
          <t>GTF - frota e ticket (Op Data)</t>
        </is>
      </c>
      <c r="D48" s="267">
        <f>D7</f>
        <v>0</v>
      </c>
      <c r="E48" s="267">
        <f>E7</f>
        <v>0</v>
      </c>
      <c r="F48" s="267">
        <f>F7</f>
        <v>0</v>
      </c>
      <c r="G48" s="267">
        <f>G7</f>
        <v>0</v>
      </c>
      <c r="H48" s="267">
        <f>H7</f>
        <v>2020</v>
      </c>
      <c r="I48" s="267" t="str">
        <f>I7</f>
        <v>1Q21</v>
      </c>
      <c r="J48" s="267" t="str">
        <f>J7</f>
        <v>2Q21</v>
      </c>
      <c r="K48" s="267" t="str">
        <f>K7</f>
        <v>3Q21</v>
      </c>
      <c r="L48" s="267" t="str">
        <f>L7</f>
        <v>4Q21</v>
      </c>
      <c r="M48" s="267">
        <f>M7</f>
        <v>2021</v>
      </c>
      <c r="N48" s="267" t="str">
        <f>N7</f>
        <v>1Q22</v>
      </c>
      <c r="O48" s="267" t="str">
        <f>O7</f>
        <v>2Q22</v>
      </c>
      <c r="P48" s="267" t="str">
        <f>P7</f>
        <v>3Q22</v>
      </c>
      <c r="Q48" s="267" t="str">
        <f>Q7</f>
        <v>4Q22</v>
      </c>
      <c r="R48" s="267">
        <f>R7</f>
        <v>2022</v>
      </c>
      <c r="S48" s="267" t="str">
        <f>S7</f>
        <v>1Q23</v>
      </c>
      <c r="T48" s="267" t="str">
        <f>T7</f>
        <v>2Q23</v>
      </c>
      <c r="U48" s="267" t="str">
        <f>U7</f>
        <v>3Q23</v>
      </c>
      <c r="V48" s="267" t="str">
        <f>V7</f>
        <v>4Q23</v>
      </c>
      <c r="W48" s="267">
        <f>W7</f>
        <v>2023</v>
      </c>
      <c r="X48" s="267" t="str">
        <f>X7</f>
        <v>1Q24</v>
      </c>
      <c r="Y48" s="267" t="str">
        <f>Y7</f>
        <v>2Q24</v>
      </c>
      <c r="Z48" s="267" t="str">
        <f>Z7</f>
        <v>3Q24</v>
      </c>
      <c r="AA48" s="267" t="str">
        <f>AA7</f>
        <v>4Q24</v>
      </c>
      <c r="AB48" s="267">
        <f>AB7</f>
        <v>2024</v>
      </c>
      <c r="AC48" s="267" t="str">
        <f>AC7</f>
        <v>1Q25</v>
      </c>
      <c r="AD48" s="267" t="str">
        <f>AD7</f>
        <v>2Q25</v>
      </c>
      <c r="AE48" s="267" t="str">
        <f>AE7</f>
        <v>3Q25</v>
      </c>
      <c r="AF48" s="267" t="str">
        <f>AF7</f>
        <v>4Q25</v>
      </c>
      <c r="AG48" s="267">
        <f>AG7</f>
        <v>2025</v>
      </c>
      <c r="AH48" s="267" t="str">
        <f>AH7</f>
        <v>1Q26</v>
      </c>
      <c r="AI48" s="267" t="str">
        <f>AI7</f>
        <v>2Q26</v>
      </c>
    </row>
    <row r="49">
      <c r="C49" s="268" t="inlineStr">
        <is>
          <t>Frota GTF fim do periodo (mil carros)</t>
        </is>
      </c>
      <c r="D49" s="269" t="str">
        <f>IFERROR(IFERROR(INDEX('Inputs (2)'!$D$67:$AL$67,MATCH(D$7&amp;"",'Inputs (2)'!$D$2:$AL$2,0)),"")/1000,"")</f>
        <v/>
      </c>
      <c r="E49" s="269" t="str">
        <f>IFERROR(IFERROR(INDEX('Inputs (2)'!$D$67:$AL$67,MATCH(E$7&amp;"",'Inputs (2)'!$D$2:$AL$2,0)),"")/1000,"")</f>
        <v/>
      </c>
      <c r="F49" s="269" t="str">
        <f>IFERROR(IFERROR(INDEX('Inputs (2)'!$D$67:$AL$67,MATCH(F$7&amp;"",'Inputs (2)'!$D$2:$AL$2,0)),"")/1000,"")</f>
        <v/>
      </c>
      <c r="G49" s="269" t="str">
        <f>IFERROR(IFERROR(INDEX('Inputs (2)'!$D$67:$AL$67,MATCH(G$7&amp;"",'Inputs (2)'!$D$2:$AL$2,0)),"")/1000,"")</f>
        <v/>
      </c>
      <c r="H49" s="270" t="str">
        <f>IF(COUNT(G49)=0,"",G49)</f>
        <v/>
      </c>
      <c r="I49" s="269">
        <f>IFERROR(IFERROR(INDEX('Inputs (2)'!$D$67:$AL$67,MATCH(I$7&amp;"",'Inputs (2)'!$D$2:$AL$2,0)),"")/1000,"")</f>
        <v>52.395</v>
      </c>
      <c r="J49" s="269">
        <f>IFERROR(IFERROR(INDEX('Inputs (2)'!$D$67:$AL$67,MATCH(J$7&amp;"",'Inputs (2)'!$D$2:$AL$2,0)),"")/1000,"")</f>
        <v>55.776</v>
      </c>
      <c r="K49" s="269">
        <f>IFERROR(IFERROR(INDEX('Inputs (2)'!$D$67:$AL$67,MATCH(K$7&amp;"",'Inputs (2)'!$D$2:$AL$2,0)),"")/1000,"")</f>
        <v>88.379</v>
      </c>
      <c r="L49" s="269">
        <f>IFERROR(IFERROR(INDEX('Inputs (2)'!$D$67:$AL$67,MATCH(L$7&amp;"",'Inputs (2)'!$D$2:$AL$2,0)),"")/1000,"")</f>
        <v>96.303</v>
      </c>
      <c r="M49" s="270">
        <f>IF(COUNT(L49)=0,"",L49)</f>
        <v>96.303</v>
      </c>
      <c r="N49" s="269">
        <f>IFERROR(IFERROR(INDEX('Inputs (2)'!$D$67:$AL$67,MATCH(N$7&amp;"",'Inputs (2)'!$D$2:$AL$2,0)),"")/1000,"")</f>
        <v>95.37</v>
      </c>
      <c r="O49" s="269">
        <f>IFERROR(IFERROR(INDEX('Inputs (2)'!$D$67:$AL$67,MATCH(O$7&amp;"",'Inputs (2)'!$D$2:$AL$2,0)),"")/1000,"")</f>
        <v>106.498</v>
      </c>
      <c r="P49" s="269">
        <f>IFERROR(IFERROR(INDEX('Inputs (2)'!$D$67:$AL$67,MATCH(P$7&amp;"",'Inputs (2)'!$D$2:$AL$2,0)),"")/1000,"")</f>
        <v>107.728</v>
      </c>
      <c r="Q49" s="269">
        <f>IFERROR(IFERROR(INDEX('Inputs (2)'!$D$67:$AL$67,MATCH(Q$7&amp;"",'Inputs (2)'!$D$2:$AL$2,0)),"")/1000,"")</f>
        <v>112.352</v>
      </c>
      <c r="R49" s="270">
        <f>IF(COUNT(Q49)=0,"",Q49)</f>
        <v>112.352</v>
      </c>
      <c r="S49" s="269">
        <f>IFERROR(IFERROR(INDEX('Inputs (2)'!$D$67:$AL$67,MATCH(S$7&amp;"",'Inputs (2)'!$D$2:$AL$2,0)),"")/1000,"")</f>
        <v>114.617</v>
      </c>
      <c r="T49" s="269">
        <f>IFERROR(IFERROR(INDEX('Inputs (2)'!$D$67:$AL$67,MATCH(T$7&amp;"",'Inputs (2)'!$D$2:$AL$2,0)),"")/1000,"")</f>
        <v>113.678</v>
      </c>
      <c r="U49" s="269">
        <f>IFERROR(IFERROR(INDEX('Inputs (2)'!$D$67:$AL$67,MATCH(U$7&amp;"",'Inputs (2)'!$D$2:$AL$2,0)),"")/1000,"")</f>
        <v>119.574</v>
      </c>
      <c r="V49" s="269">
        <f>IFERROR(IFERROR(INDEX('Inputs (2)'!$D$67:$AL$67,MATCH(V$7&amp;"",'Inputs (2)'!$D$2:$AL$2,0)),"")/1000,"")</f>
        <v>130.781</v>
      </c>
      <c r="W49" s="270">
        <f>IF(COUNT(V49)=0,"",V49)</f>
        <v>130.781</v>
      </c>
      <c r="X49" s="269">
        <f>IFERROR(IFERROR(INDEX('Inputs (2)'!$D$67:$AL$67,MATCH(X$7&amp;"",'Inputs (2)'!$D$2:$AL$2,0)),"")/1000,"")</f>
        <v>135.628</v>
      </c>
      <c r="Y49" s="269">
        <f>IFERROR(IFERROR(INDEX('Inputs (2)'!$D$67:$AL$67,MATCH(Y$7&amp;"",'Inputs (2)'!$D$2:$AL$2,0)),"")/1000,"")</f>
        <v>137.648</v>
      </c>
      <c r="Z49" s="269">
        <f>IFERROR(IFERROR(INDEX('Inputs (2)'!$D$67:$AL$67,MATCH(Z$7&amp;"",'Inputs (2)'!$D$2:$AL$2,0)),"")/1000,"")</f>
        <v>137.405</v>
      </c>
      <c r="AA49" s="269">
        <f>IFERROR(IFERROR(INDEX('Inputs (2)'!$D$67:$AL$67,MATCH(AA$7&amp;"",'Inputs (2)'!$D$2:$AL$2,0)),"")/1000,"")</f>
        <v>146.543</v>
      </c>
      <c r="AB49" s="270">
        <f>IF(COUNT(AA49)=0,"",AA49)</f>
        <v>146.543</v>
      </c>
      <c r="AC49" s="269">
        <f>IFERROR(IFERROR(INDEX('Inputs (2)'!$D$67:$AL$67,MATCH(AC$7&amp;"",'Inputs (2)'!$D$2:$AL$2,0)),"")/1000,"")</f>
        <v>143.794</v>
      </c>
      <c r="AD49" s="269">
        <f>IFERROR(IFERROR(INDEX('Inputs (2)'!$D$67:$AL$67,MATCH(AD$7&amp;"",'Inputs (2)'!$D$2:$AL$2,0)),"")/1000,"")</f>
        <v>142.296</v>
      </c>
      <c r="AE49" s="269">
        <f>IFERROR(IFERROR(INDEX('Inputs (2)'!$D$67:$AL$67,MATCH(AE$7&amp;"",'Inputs (2)'!$D$2:$AL$2,0)),"")/1000,"")</f>
        <v>143.449</v>
      </c>
      <c r="AF49" s="269">
        <f>IFERROR(IFERROR(INDEX('Inputs (2)'!$D$67:$AL$67,MATCH(AF$7&amp;"",'Inputs (2)'!$D$2:$AL$2,0)),"")/1000,"")</f>
        <v>144.207</v>
      </c>
      <c r="AG49" s="270">
        <f>IF(COUNT(AF49)=0,"",AF49)</f>
        <v>144.207</v>
      </c>
      <c r="AH49" s="270">
        <f>IFERROR(IFERROR(INDEX('Inputs (2)'!$D$67:$AL$67,MATCH(AH$7&amp;"",'Inputs (2)'!$D$2:$AL$2,0)),"")/1000,"")</f>
        <v>141.949</v>
      </c>
      <c r="AI49" s="270">
        <f>IFERROR(IFERROR(INDEX('Inputs (2)'!$D$67:$AL$67,MATCH(AI$7&amp;"",'Inputs (2)'!$D$2:$AL$2,0)),"")/1000,"")</f>
        <v>145.882</v>
      </c>
    </row>
    <row r="50">
      <c r="C50" s="268" t="inlineStr">
        <is>
          <t xml:space="preserve">   Frota media operacional (mil)</t>
        </is>
      </c>
      <c r="D50" s="269" t="str">
        <f>IFERROR(IFERROR(INDEX('Inputs (2)'!$D$68:$AL$68,MATCH(D$7&amp;"",'Inputs (2)'!$D$2:$AL$2,0)),"")/1000,"")</f>
        <v/>
      </c>
      <c r="E50" s="269" t="str">
        <f>IFERROR(IFERROR(INDEX('Inputs (2)'!$D$68:$AL$68,MATCH(E$7&amp;"",'Inputs (2)'!$D$2:$AL$2,0)),"")/1000,"")</f>
        <v/>
      </c>
      <c r="F50" s="269" t="str">
        <f>IFERROR(IFERROR(INDEX('Inputs (2)'!$D$68:$AL$68,MATCH(F$7&amp;"",'Inputs (2)'!$D$2:$AL$2,0)),"")/1000,"")</f>
        <v/>
      </c>
      <c r="G50" s="269" t="str">
        <f>IFERROR(IFERROR(INDEX('Inputs (2)'!$D$68:$AL$68,MATCH(G$7&amp;"",'Inputs (2)'!$D$2:$AL$2,0)),"")/1000,"")</f>
        <v/>
      </c>
      <c r="H50" s="270" t="n"/>
      <c r="I50" s="269">
        <f>IFERROR(IFERROR(INDEX('Inputs (2)'!$D$68:$AL$68,MATCH(I$7&amp;"",'Inputs (2)'!$D$2:$AL$2,0)),"")/1000,"")</f>
        <v>44.736039</v>
      </c>
      <c r="J50" s="269">
        <f>IFERROR(IFERROR(INDEX('Inputs (2)'!$D$68:$AL$68,MATCH(J$7&amp;"",'Inputs (2)'!$D$2:$AL$2,0)),"")/1000,"")</f>
        <v>49.928678</v>
      </c>
      <c r="K50" s="269">
        <f>IFERROR(IFERROR(INDEX('Inputs (2)'!$D$68:$AL$68,MATCH(K$7&amp;"",'Inputs (2)'!$D$2:$AL$2,0)),"")/1000,"")</f>
        <v>68.034931</v>
      </c>
      <c r="L50" s="269">
        <f>IFERROR(IFERROR(INDEX('Inputs (2)'!$D$68:$AL$68,MATCH(L$7&amp;"",'Inputs (2)'!$D$2:$AL$2,0)),"")/1000,"")</f>
        <v>79.897806</v>
      </c>
      <c r="M50" s="270" t="n"/>
      <c r="N50" s="269">
        <f>IFERROR(IFERROR(INDEX('Inputs (2)'!$D$68:$AL$68,MATCH(N$7&amp;"",'Inputs (2)'!$D$2:$AL$2,0)),"")/1000,"")</f>
        <v>85.083</v>
      </c>
      <c r="O50" s="269">
        <f>IFERROR(IFERROR(INDEX('Inputs (2)'!$D$68:$AL$68,MATCH(O$7&amp;"",'Inputs (2)'!$D$2:$AL$2,0)),"")/1000,"")</f>
        <v>87.101167</v>
      </c>
      <c r="P50" s="269">
        <f>IFERROR(IFERROR(INDEX('Inputs (2)'!$D$68:$AL$68,MATCH(P$7&amp;"",'Inputs (2)'!$D$2:$AL$2,0)),"")/1000,"")</f>
        <v>93.595199</v>
      </c>
      <c r="Q50" s="269">
        <f>IFERROR(IFERROR(INDEX('Inputs (2)'!$D$68:$AL$68,MATCH(Q$7&amp;"",'Inputs (2)'!$D$2:$AL$2,0)),"")/1000,"")</f>
        <v>95.705704</v>
      </c>
      <c r="R50" s="270" t="n"/>
      <c r="S50" s="269">
        <f>IFERROR(IFERROR(INDEX('Inputs (2)'!$D$68:$AL$68,MATCH(S$7&amp;"",'Inputs (2)'!$D$2:$AL$2,0)),"")/1000,"")</f>
        <v>98.028</v>
      </c>
      <c r="T50" s="269">
        <f>IFERROR(IFERROR(INDEX('Inputs (2)'!$D$68:$AL$68,MATCH(T$7&amp;"",'Inputs (2)'!$D$2:$AL$2,0)),"")/1000,"")</f>
        <v>100.69654</v>
      </c>
      <c r="U50" s="269">
        <f>IFERROR(IFERROR(INDEX('Inputs (2)'!$D$68:$AL$68,MATCH(U$7&amp;"",'Inputs (2)'!$D$2:$AL$2,0)),"")/1000,"")</f>
        <v>101.695065</v>
      </c>
      <c r="V50" s="269">
        <f>IFERROR(IFERROR(INDEX('Inputs (2)'!$D$68:$AL$68,MATCH(V$7&amp;"",'Inputs (2)'!$D$2:$AL$2,0)),"")/1000,"")</f>
        <v>107.000321</v>
      </c>
      <c r="W50" s="270" t="n"/>
      <c r="X50" s="269">
        <f>IFERROR(IFERROR(INDEX('Inputs (2)'!$D$68:$AL$68,MATCH(X$7&amp;"",'Inputs (2)'!$D$2:$AL$2,0)),"")/1000,"")</f>
        <v>112.709434</v>
      </c>
      <c r="Y50" s="269">
        <f>IFERROR(IFERROR(INDEX('Inputs (2)'!$D$68:$AL$68,MATCH(Y$7&amp;"",'Inputs (2)'!$D$2:$AL$2,0)),"")/1000,"")</f>
        <v>118.512363</v>
      </c>
      <c r="Z50" s="269">
        <f>IFERROR(IFERROR(INDEX('Inputs (2)'!$D$68:$AL$68,MATCH(Z$7&amp;"",'Inputs (2)'!$D$2:$AL$2,0)),"")/1000,"")</f>
        <v>123.986478</v>
      </c>
      <c r="AA50" s="269">
        <f>IFERROR(IFERROR(INDEX('Inputs (2)'!$D$68:$AL$68,MATCH(AA$7&amp;"",'Inputs (2)'!$D$2:$AL$2,0)),"")/1000,"")</f>
        <v>127.312332</v>
      </c>
      <c r="AB50" s="270" t="n"/>
      <c r="AC50" s="269">
        <f>IFERROR(IFERROR(INDEX('Inputs (2)'!$D$68:$AL$68,MATCH(AC$7&amp;"",'Inputs (2)'!$D$2:$AL$2,0)),"")/1000,"")</f>
        <v>128.6835</v>
      </c>
      <c r="AD50" s="269">
        <f>IFERROR(IFERROR(INDEX('Inputs (2)'!$D$68:$AL$68,MATCH(AD$7&amp;"",'Inputs (2)'!$D$2:$AL$2,0)),"")/1000,"")</f>
        <v>126.277209</v>
      </c>
      <c r="AE50" s="269">
        <f>IFERROR(IFERROR(INDEX('Inputs (2)'!$D$68:$AL$68,MATCH(AE$7&amp;"",'Inputs (2)'!$D$2:$AL$2,0)),"")/1000,"")</f>
        <v>128.188924</v>
      </c>
      <c r="AF50" s="269">
        <f>IFERROR(IFERROR(INDEX('Inputs (2)'!$D$68:$AL$68,MATCH(AF$7&amp;"",'Inputs (2)'!$D$2:$AL$2,0)),"")/1000,"")</f>
        <v>129.702559782609</v>
      </c>
      <c r="AG50" s="270" t="n"/>
      <c r="AH50" s="270">
        <f>IFERROR(IFERROR(INDEX('Inputs (2)'!$D$68:$AL$68,MATCH(AH$7&amp;"",'Inputs (2)'!$D$2:$AL$2,0)),"")/1000,"")</f>
        <v>131.043644444444</v>
      </c>
      <c r="AI50" s="270">
        <f>IFERROR(IFERROR(INDEX('Inputs (2)'!$D$68:$AL$68,MATCH(AI$7&amp;"",'Inputs (2)'!$D$2:$AL$2,0)),"")/1000,"")</f>
        <v>130.822857142857</v>
      </c>
    </row>
    <row r="51">
      <c r="C51" s="268" t="inlineStr">
        <is>
          <t>Ticket medio mensal (R$)</t>
        </is>
      </c>
      <c r="D51" s="274" t="str">
        <f>IFERROR(INDEX('Inputs (2)'!$D$69:$AL$69,MATCH(D$7&amp;"",'Inputs (2)'!$D$2:$AL$2,0)),"")</f>
        <v/>
      </c>
      <c r="E51" s="274" t="str">
        <f>IFERROR(INDEX('Inputs (2)'!$D$69:$AL$69,MATCH(E$7&amp;"",'Inputs (2)'!$D$2:$AL$2,0)),"")</f>
        <v/>
      </c>
      <c r="F51" s="274" t="str">
        <f>IFERROR(INDEX('Inputs (2)'!$D$69:$AL$69,MATCH(F$7&amp;"",'Inputs (2)'!$D$2:$AL$2,0)),"")</f>
        <v/>
      </c>
      <c r="G51" s="274" t="str">
        <f>IFERROR(INDEX('Inputs (2)'!$D$69:$AL$69,MATCH(G$7&amp;"",'Inputs (2)'!$D$2:$AL$2,0)),"")</f>
        <v/>
      </c>
      <c r="H51" s="275" t="n"/>
      <c r="I51" s="274">
        <f>IFERROR(INDEX('Inputs (2)'!$D$69:$AL$69,MATCH(I$7&amp;"",'Inputs (2)'!$D$2:$AL$2,0)),"")</f>
        <v>1372.319</v>
      </c>
      <c r="J51" s="274">
        <f>IFERROR(INDEX('Inputs (2)'!$D$69:$AL$69,MATCH(J$7&amp;"",'Inputs (2)'!$D$2:$AL$2,0)),"")</f>
        <v>1446.677</v>
      </c>
      <c r="K51" s="274">
        <f>IFERROR(INDEX('Inputs (2)'!$D$69:$AL$69,MATCH(K$7&amp;"",'Inputs (2)'!$D$2:$AL$2,0)),"")</f>
        <v>1556.347</v>
      </c>
      <c r="L51" s="274">
        <f>IFERROR(INDEX('Inputs (2)'!$D$69:$AL$69,MATCH(L$7&amp;"",'Inputs (2)'!$D$2:$AL$2,0)),"")</f>
        <v>1554.954</v>
      </c>
      <c r="M51" s="275" t="n"/>
      <c r="N51" s="274">
        <f>IFERROR(INDEX('Inputs (2)'!$D$69:$AL$69,MATCH(N$7&amp;"",'Inputs (2)'!$D$2:$AL$2,0)),"")</f>
        <v>1656.1</v>
      </c>
      <c r="O51" s="274">
        <f>IFERROR(INDEX('Inputs (2)'!$D$69:$AL$69,MATCH(O$7&amp;"",'Inputs (2)'!$D$2:$AL$2,0)),"")</f>
        <v>1785.39</v>
      </c>
      <c r="P51" s="274">
        <f>IFERROR(INDEX('Inputs (2)'!$D$69:$AL$69,MATCH(P$7&amp;"",'Inputs (2)'!$D$2:$AL$2,0)),"")</f>
        <v>1811.553</v>
      </c>
      <c r="Q51" s="274">
        <f>IFERROR(INDEX('Inputs (2)'!$D$69:$AL$69,MATCH(Q$7&amp;"",'Inputs (2)'!$D$2:$AL$2,0)),"")</f>
        <v>1924.074</v>
      </c>
      <c r="R51" s="275" t="n"/>
      <c r="S51" s="274">
        <f>IFERROR(INDEX('Inputs (2)'!$D$69:$AL$69,MATCH(S$7&amp;"",'Inputs (2)'!$D$2:$AL$2,0)),"")</f>
        <v>2040.898</v>
      </c>
      <c r="T51" s="274">
        <f>IFERROR(INDEX('Inputs (2)'!$D$69:$AL$69,MATCH(T$7&amp;"",'Inputs (2)'!$D$2:$AL$2,0)),"")</f>
        <v>2110.268</v>
      </c>
      <c r="U51" s="274">
        <f>IFERROR(INDEX('Inputs (2)'!$D$69:$AL$69,MATCH(U$7&amp;"",'Inputs (2)'!$D$2:$AL$2,0)),"")</f>
        <v>2191.255</v>
      </c>
      <c r="V51" s="274">
        <f>IFERROR(INDEX('Inputs (2)'!$D$69:$AL$69,MATCH(V$7&amp;"",'Inputs (2)'!$D$2:$AL$2,0)),"")</f>
        <v>2275.453</v>
      </c>
      <c r="W51" s="275" t="n"/>
      <c r="X51" s="274">
        <f>IFERROR(INDEX('Inputs (2)'!$D$69:$AL$69,MATCH(X$7&amp;"",'Inputs (2)'!$D$2:$AL$2,0)),"")</f>
        <v>2380.167</v>
      </c>
      <c r="Y51" s="274">
        <f>IFERROR(INDEX('Inputs (2)'!$D$69:$AL$69,MATCH(Y$7&amp;"",'Inputs (2)'!$D$2:$AL$2,0)),"")</f>
        <v>2582.26</v>
      </c>
      <c r="Z51" s="274">
        <f>IFERROR(INDEX('Inputs (2)'!$D$69:$AL$69,MATCH(Z$7&amp;"",'Inputs (2)'!$D$2:$AL$2,0)),"")</f>
        <v>2695.784</v>
      </c>
      <c r="AA51" s="274">
        <f>IFERROR(INDEX('Inputs (2)'!$D$69:$AL$69,MATCH(AA$7&amp;"",'Inputs (2)'!$D$2:$AL$2,0)),"")</f>
        <v>2780.174</v>
      </c>
      <c r="AB51" s="275" t="n"/>
      <c r="AC51" s="274">
        <f>IFERROR(INDEX('Inputs (2)'!$D$69:$AL$69,MATCH(AC$7&amp;"",'Inputs (2)'!$D$2:$AL$2,0)),"")</f>
        <v>2855.385</v>
      </c>
      <c r="AD51" s="274">
        <f>IFERROR(INDEX('Inputs (2)'!$D$69:$AL$69,MATCH(AD$7&amp;"",'Inputs (2)'!$D$2:$AL$2,0)),"")</f>
        <v>2948.728</v>
      </c>
      <c r="AE51" s="274">
        <f>IFERROR(INDEX('Inputs (2)'!$D$69:$AL$69,MATCH(AE$7&amp;"",'Inputs (2)'!$D$2:$AL$2,0)),"")</f>
        <v>3025.387</v>
      </c>
      <c r="AF51" s="274">
        <f>IFERROR(INDEX('Inputs (2)'!$D$69:$AL$69,MATCH(AF$7&amp;"",'Inputs (2)'!$D$2:$AL$2,0)),"")</f>
        <v>3123.287436343</v>
      </c>
      <c r="AG51" s="275" t="n"/>
      <c r="AH51" s="275">
        <f>IFERROR(INDEX('Inputs (2)'!$D$69:$AL$69,MATCH(AH$7&amp;"",'Inputs (2)'!$D$2:$AL$2,0)),"")</f>
        <v>3162.020318345</v>
      </c>
      <c r="AI51" s="275">
        <f>IFERROR(INDEX('Inputs (2)'!$D$69:$AL$69,MATCH(AI$7&amp;"",'Inputs (2)'!$D$2:$AL$2,0)),"")</f>
        <v>3288.956832502</v>
      </c>
    </row>
    <row r="52">
      <c r="C52" s="268" t="inlineStr">
        <is>
          <t xml:space="preserve">   Receita GTF / (frota media x 3) (R$/carro/mes, implicito)</t>
        </is>
      </c>
      <c r="D52" s="274" t="str">
        <f>IFERROR(D21*1000000/(D50*1000*3),"")</f>
        <v/>
      </c>
      <c r="E52" s="274" t="str">
        <f>IFERROR(E21*1000000/(E50*1000*3),"")</f>
        <v/>
      </c>
      <c r="F52" s="274" t="str">
        <f>IFERROR(F21*1000000/(F50*1000*3),"")</f>
        <v/>
      </c>
      <c r="G52" s="274" t="str">
        <f>IFERROR(G21*1000000/(G50*1000*3),"")</f>
        <v/>
      </c>
      <c r="H52" s="275" t="n"/>
      <c r="I52" s="274">
        <f>IFERROR(I21*1000000/(I50*1000*3),"")</f>
        <v>1147.64295515747</v>
      </c>
      <c r="J52" s="274">
        <f>IFERROR(J21*1000000/(J50*1000*3),"")</f>
        <v>1225.57487569235</v>
      </c>
      <c r="K52" s="274">
        <f>IFERROR(K21*1000000/(K50*1000*3),"")</f>
        <v>1335.86769811917</v>
      </c>
      <c r="L52" s="274">
        <f>IFERROR(L21*1000000/(L50*1000*3),"")</f>
        <v>1490.98795862638</v>
      </c>
      <c r="M52" s="275" t="n"/>
      <c r="N52" s="274">
        <f>IFERROR(N21*1000000/(N50*1000*3),"")</f>
        <v>1485.61992407414</v>
      </c>
      <c r="O52" s="274">
        <f>IFERROR(O21*1000000/(O50*1000*3),"")</f>
        <v>1596.51133032466</v>
      </c>
      <c r="P52" s="274">
        <f>IFERROR(P21*1000000/(P50*1000*3),"")</f>
        <v>1606.48553494003</v>
      </c>
      <c r="Q52" s="274">
        <f>IFERROR(Q21*1000000/(Q50*1000*3),"")</f>
        <v>1725.86021274831</v>
      </c>
      <c r="R52" s="275" t="n"/>
      <c r="S52" s="274">
        <f>IFERROR(S21*1000000/(S50*1000*3),"")</f>
        <v>1831.81675983733</v>
      </c>
      <c r="T52" s="274">
        <f>IFERROR(T21*1000000/(T50*1000*3),"")</f>
        <v>1847.62720413896</v>
      </c>
      <c r="U52" s="274">
        <f>IFERROR(U21*1000000/(U50*1000*3),"")</f>
        <v>1904.78925075338</v>
      </c>
      <c r="V52" s="274">
        <f>IFERROR(V21*1000000/(V50*1000*3),"")</f>
        <v>1978.92241214242</v>
      </c>
      <c r="W52" s="275" t="n"/>
      <c r="X52" s="274">
        <f>IFERROR(X21*1000000/(X50*1000*3),"")</f>
        <v>2130.52263220486</v>
      </c>
      <c r="Y52" s="274">
        <f>IFERROR(Y21*1000000/(Y50*1000*3),"")</f>
        <v>2295.13607791282</v>
      </c>
      <c r="Z52" s="274">
        <f>IFERROR(Z21*1000000/(Z50*1000*3),"")</f>
        <v>2391.19355149895</v>
      </c>
      <c r="AA52" s="274">
        <f>IFERROR(AA21*1000000/(AA50*1000*3),"")</f>
        <v>2469.91522130524</v>
      </c>
      <c r="AB52" s="275" t="n"/>
      <c r="AC52" s="274">
        <f>IFERROR(AC21*1000000/(AC50*1000*3),"")</f>
        <v>2572.67119198136</v>
      </c>
      <c r="AD52" s="274">
        <f>IFERROR(AD21*1000000/(AD50*1000*3),"")</f>
        <v>2628.8090249656</v>
      </c>
      <c r="AE52" s="274">
        <f>IFERROR(AE21*1000000/(AE50*1000*3),"")</f>
        <v>2687.24724870406</v>
      </c>
      <c r="AF52" s="274">
        <f>IFERROR(AF21*1000000/(AF50*1000*3),"")</f>
        <v>2784.85006151049</v>
      </c>
      <c r="AG52" s="275" t="n"/>
      <c r="AH52" s="275">
        <f>IFERROR(AH21*1000000/(AH50*1000*3),"")</f>
        <v>2802.14168318563</v>
      </c>
      <c r="AI52" s="275">
        <f>IFERROR(AI21*1000000/(AI50*1000*3),"")</f>
        <v>2929.58247206874</v>
      </c>
    </row>
    <row r="53"/>
    <row r="54">
      <c r="C54" s="267" t="inlineStr">
        <is>
          <t>Seminovos, compras e capex (Op Data e CAPEX)</t>
        </is>
      </c>
      <c r="D54" s="267">
        <f>D7</f>
        <v>0</v>
      </c>
      <c r="E54" s="267">
        <f>E7</f>
        <v>0</v>
      </c>
      <c r="F54" s="267">
        <f>F7</f>
        <v>0</v>
      </c>
      <c r="G54" s="267">
        <f>G7</f>
        <v>0</v>
      </c>
      <c r="H54" s="267">
        <f>H7</f>
        <v>2020</v>
      </c>
      <c r="I54" s="267" t="str">
        <f>I7</f>
        <v>1Q21</v>
      </c>
      <c r="J54" s="267" t="str">
        <f>J7</f>
        <v>2Q21</v>
      </c>
      <c r="K54" s="267" t="str">
        <f>K7</f>
        <v>3Q21</v>
      </c>
      <c r="L54" s="267" t="str">
        <f>L7</f>
        <v>4Q21</v>
      </c>
      <c r="M54" s="267">
        <f>M7</f>
        <v>2021</v>
      </c>
      <c r="N54" s="267" t="str">
        <f>N7</f>
        <v>1Q22</v>
      </c>
      <c r="O54" s="267" t="str">
        <f>O7</f>
        <v>2Q22</v>
      </c>
      <c r="P54" s="267" t="str">
        <f>P7</f>
        <v>3Q22</v>
      </c>
      <c r="Q54" s="267" t="str">
        <f>Q7</f>
        <v>4Q22</v>
      </c>
      <c r="R54" s="267">
        <f>R7</f>
        <v>2022</v>
      </c>
      <c r="S54" s="267" t="str">
        <f>S7</f>
        <v>1Q23</v>
      </c>
      <c r="T54" s="267" t="str">
        <f>T7</f>
        <v>2Q23</v>
      </c>
      <c r="U54" s="267" t="str">
        <f>U7</f>
        <v>3Q23</v>
      </c>
      <c r="V54" s="267" t="str">
        <f>V7</f>
        <v>4Q23</v>
      </c>
      <c r="W54" s="267">
        <f>W7</f>
        <v>2023</v>
      </c>
      <c r="X54" s="267" t="str">
        <f>X7</f>
        <v>1Q24</v>
      </c>
      <c r="Y54" s="267" t="str">
        <f>Y7</f>
        <v>2Q24</v>
      </c>
      <c r="Z54" s="267" t="str">
        <f>Z7</f>
        <v>3Q24</v>
      </c>
      <c r="AA54" s="267" t="str">
        <f>AA7</f>
        <v>4Q24</v>
      </c>
      <c r="AB54" s="267">
        <f>AB7</f>
        <v>2024</v>
      </c>
      <c r="AC54" s="267" t="str">
        <f>AC7</f>
        <v>1Q25</v>
      </c>
      <c r="AD54" s="267" t="str">
        <f>AD7</f>
        <v>2Q25</v>
      </c>
      <c r="AE54" s="267" t="str">
        <f>AE7</f>
        <v>3Q25</v>
      </c>
      <c r="AF54" s="267" t="str">
        <f>AF7</f>
        <v>4Q25</v>
      </c>
      <c r="AG54" s="267">
        <f>AG7</f>
        <v>2025</v>
      </c>
      <c r="AH54" s="267" t="str">
        <f>AH7</f>
        <v>1Q26</v>
      </c>
      <c r="AI54" s="267" t="str">
        <f>AI7</f>
        <v>2Q26</v>
      </c>
    </row>
    <row r="55">
      <c r="C55" s="268" t="inlineStr">
        <is>
          <t>Carros vendidos</t>
        </is>
      </c>
      <c r="D55" s="274" t="str">
        <f>IFERROR(INDEX('Inputs (2)'!$D$70:$AL$70,MATCH(D$7&amp;"",'Inputs (2)'!$D$2:$AL$2,0)),"")</f>
        <v/>
      </c>
      <c r="E55" s="274" t="str">
        <f>IFERROR(INDEX('Inputs (2)'!$D$70:$AL$70,MATCH(E$7&amp;"",'Inputs (2)'!$D$2:$AL$2,0)),"")</f>
        <v/>
      </c>
      <c r="F55" s="274" t="str">
        <f>IFERROR(INDEX('Inputs (2)'!$D$70:$AL$70,MATCH(F$7&amp;"",'Inputs (2)'!$D$2:$AL$2,0)),"")</f>
        <v/>
      </c>
      <c r="G55" s="274" t="str">
        <f>IFERROR(INDEX('Inputs (2)'!$D$70:$AL$70,MATCH(G$7&amp;"",'Inputs (2)'!$D$2:$AL$2,0)),"")</f>
        <v/>
      </c>
      <c r="H55" s="275" t="str">
        <f>IF(COUNT(D55:G55)=4,SUM(D55:G55),"")</f>
        <v/>
      </c>
      <c r="I55" s="274">
        <f>IFERROR(INDEX('Inputs (2)'!$D$70:$AL$70,MATCH(I$7&amp;"",'Inputs (2)'!$D$2:$AL$2,0)),"")</f>
        <v>5356</v>
      </c>
      <c r="J55" s="274">
        <f>IFERROR(INDEX('Inputs (2)'!$D$70:$AL$70,MATCH(J$7&amp;"",'Inputs (2)'!$D$2:$AL$2,0)),"")</f>
        <v>12462</v>
      </c>
      <c r="K55" s="274">
        <f>IFERROR(INDEX('Inputs (2)'!$D$70:$AL$70,MATCH(K$7&amp;"",'Inputs (2)'!$D$2:$AL$2,0)),"")</f>
        <v>14509</v>
      </c>
      <c r="L55" s="274">
        <f>IFERROR(INDEX('Inputs (2)'!$D$70:$AL$70,MATCH(L$7&amp;"",'Inputs (2)'!$D$2:$AL$2,0)),"")</f>
        <v>12472</v>
      </c>
      <c r="M55" s="275">
        <f>IF(COUNT(I55:L55)=4,SUM(I55:L55),"")</f>
        <v>44799</v>
      </c>
      <c r="N55" s="274">
        <f>IFERROR(INDEX('Inputs (2)'!$D$70:$AL$70,MATCH(N$7&amp;"",'Inputs (2)'!$D$2:$AL$2,0)),"")</f>
        <v>15225</v>
      </c>
      <c r="O55" s="274">
        <f>IFERROR(INDEX('Inputs (2)'!$D$70:$AL$70,MATCH(O$7&amp;"",'Inputs (2)'!$D$2:$AL$2,0)),"")</f>
        <v>18474</v>
      </c>
      <c r="P55" s="274">
        <f>IFERROR(INDEX('Inputs (2)'!$D$70:$AL$70,MATCH(P$7&amp;"",'Inputs (2)'!$D$2:$AL$2,0)),"")</f>
        <v>20023</v>
      </c>
      <c r="Q55" s="274">
        <f>IFERROR(INDEX('Inputs (2)'!$D$70:$AL$70,MATCH(Q$7&amp;"",'Inputs (2)'!$D$2:$AL$2,0)),"")</f>
        <v>18697</v>
      </c>
      <c r="R55" s="275">
        <f>IF(COUNT(N55:Q55)=4,SUM(N55:Q55),"")</f>
        <v>72419</v>
      </c>
      <c r="S55" s="274">
        <f>IFERROR(INDEX('Inputs (2)'!$D$70:$AL$70,MATCH(S$7&amp;"",'Inputs (2)'!$D$2:$AL$2,0)),"")</f>
        <v>19610</v>
      </c>
      <c r="T55" s="274">
        <f>IFERROR(INDEX('Inputs (2)'!$D$70:$AL$70,MATCH(T$7&amp;"",'Inputs (2)'!$D$2:$AL$2,0)),"")</f>
        <v>18806</v>
      </c>
      <c r="U55" s="274">
        <f>IFERROR(INDEX('Inputs (2)'!$D$70:$AL$70,MATCH(U$7&amp;"",'Inputs (2)'!$D$2:$AL$2,0)),"")</f>
        <v>20503</v>
      </c>
      <c r="V55" s="274">
        <f>IFERROR(INDEX('Inputs (2)'!$D$70:$AL$70,MATCH(V$7&amp;"",'Inputs (2)'!$D$2:$AL$2,0)),"")</f>
        <v>17253</v>
      </c>
      <c r="W55" s="275">
        <f>IF(COUNT(S55:V55)=4,SUM(S55:V55),"")</f>
        <v>76172</v>
      </c>
      <c r="X55" s="274">
        <f>IFERROR(INDEX('Inputs (2)'!$D$70:$AL$70,MATCH(X$7&amp;"",'Inputs (2)'!$D$2:$AL$2,0)),"")</f>
        <v>23249</v>
      </c>
      <c r="Y55" s="274">
        <f>IFERROR(INDEX('Inputs (2)'!$D$70:$AL$70,MATCH(Y$7&amp;"",'Inputs (2)'!$D$2:$AL$2,0)),"")</f>
        <v>27954</v>
      </c>
      <c r="Z55" s="274">
        <f>IFERROR(INDEX('Inputs (2)'!$D$70:$AL$70,MATCH(Z$7&amp;"",'Inputs (2)'!$D$2:$AL$2,0)),"")</f>
        <v>30572</v>
      </c>
      <c r="AA55" s="274">
        <f>IFERROR(INDEX('Inputs (2)'!$D$70:$AL$70,MATCH(AA$7&amp;"",'Inputs (2)'!$D$2:$AL$2,0)),"")</f>
        <v>21916</v>
      </c>
      <c r="AB55" s="275">
        <f>IF(COUNT(X55:AA55)=4,SUM(X55:AA55),"")</f>
        <v>103691</v>
      </c>
      <c r="AC55" s="274">
        <f>IFERROR(INDEX('Inputs (2)'!$D$70:$AL$70,MATCH(AC$7&amp;"",'Inputs (2)'!$D$2:$AL$2,0)),"")</f>
        <v>24784</v>
      </c>
      <c r="AD55" s="274">
        <f>IFERROR(INDEX('Inputs (2)'!$D$70:$AL$70,MATCH(AD$7&amp;"",'Inputs (2)'!$D$2:$AL$2,0)),"")</f>
        <v>25917</v>
      </c>
      <c r="AE55" s="274">
        <f>IFERROR(INDEX('Inputs (2)'!$D$70:$AL$70,MATCH(AE$7&amp;"",'Inputs (2)'!$D$2:$AL$2,0)),"")</f>
        <v>24472</v>
      </c>
      <c r="AF55" s="274">
        <f>IFERROR(INDEX('Inputs (2)'!$D$70:$AL$70,MATCH(AF$7&amp;"",'Inputs (2)'!$D$2:$AL$2,0)),"")</f>
        <v>22172</v>
      </c>
      <c r="AG55" s="275">
        <f>IF(COUNT(AC55:AF55)=4,SUM(AC55:AF55),"")</f>
        <v>97345</v>
      </c>
      <c r="AH55" s="275">
        <f>IFERROR(INDEX('Inputs (2)'!$D$70:$AL$70,MATCH(AH$7&amp;"",'Inputs (2)'!$D$2:$AL$2,0)),"")</f>
        <v>20620</v>
      </c>
      <c r="AI55" s="275">
        <f>IFERROR(INDEX('Inputs (2)'!$D$70:$AL$70,MATCH(AI$7&amp;"",'Inputs (2)'!$D$2:$AL$2,0)),"")</f>
        <v>19414</v>
      </c>
    </row>
    <row r="56">
      <c r="C56" s="268" t="inlineStr">
        <is>
          <t xml:space="preserve">   Preco medio do carro vendido (R$)</t>
        </is>
      </c>
      <c r="D56" s="274" t="str">
        <f>IFERROR(INDEX('Inputs (2)'!$D$71:$AL$71,MATCH(D$7&amp;"",'Inputs (2)'!$D$2:$AL$2,0)),"")</f>
        <v/>
      </c>
      <c r="E56" s="274" t="str">
        <f>IFERROR(INDEX('Inputs (2)'!$D$71:$AL$71,MATCH(E$7&amp;"",'Inputs (2)'!$D$2:$AL$2,0)),"")</f>
        <v/>
      </c>
      <c r="F56" s="274" t="str">
        <f>IFERROR(INDEX('Inputs (2)'!$D$71:$AL$71,MATCH(F$7&amp;"",'Inputs (2)'!$D$2:$AL$2,0)),"")</f>
        <v/>
      </c>
      <c r="G56" s="274" t="str">
        <f>IFERROR(INDEX('Inputs (2)'!$D$71:$AL$71,MATCH(G$7&amp;"",'Inputs (2)'!$D$2:$AL$2,0)),"")</f>
        <v/>
      </c>
      <c r="H56" s="275" t="n"/>
      <c r="I56" s="274">
        <f>IFERROR(INDEX('Inputs (2)'!$D$71:$AL$71,MATCH(I$7&amp;"",'Inputs (2)'!$D$2:$AL$2,0)),"")</f>
        <v>51893.918</v>
      </c>
      <c r="J56" s="274">
        <f>IFERROR(INDEX('Inputs (2)'!$D$71:$AL$71,MATCH(J$7&amp;"",'Inputs (2)'!$D$2:$AL$2,0)),"")</f>
        <v>54575.562</v>
      </c>
      <c r="K56" s="274">
        <f>IFERROR(INDEX('Inputs (2)'!$D$71:$AL$71,MATCH(K$7&amp;"",'Inputs (2)'!$D$2:$AL$2,0)),"")</f>
        <v>58732.576</v>
      </c>
      <c r="L56" s="274">
        <f>IFERROR(INDEX('Inputs (2)'!$D$71:$AL$71,MATCH(L$7&amp;"",'Inputs (2)'!$D$2:$AL$2,0)),"")</f>
        <v>65422.791</v>
      </c>
      <c r="M56" s="275" t="n"/>
      <c r="N56" s="274">
        <f>IFERROR(INDEX('Inputs (2)'!$D$71:$AL$71,MATCH(N$7&amp;"",'Inputs (2)'!$D$2:$AL$2,0)),"")</f>
        <v>64467.473</v>
      </c>
      <c r="O56" s="274">
        <f>IFERROR(INDEX('Inputs (2)'!$D$71:$AL$71,MATCH(O$7&amp;"",'Inputs (2)'!$D$2:$AL$2,0)),"")</f>
        <v>66619.727</v>
      </c>
      <c r="P56" s="274">
        <f>IFERROR(INDEX('Inputs (2)'!$D$71:$AL$71,MATCH(P$7&amp;"",'Inputs (2)'!$D$2:$AL$2,0)),"")</f>
        <v>70866.812</v>
      </c>
      <c r="Q56" s="274">
        <f>IFERROR(INDEX('Inputs (2)'!$D$71:$AL$71,MATCH(Q$7&amp;"",'Inputs (2)'!$D$2:$AL$2,0)),"")</f>
        <v>75437.883</v>
      </c>
      <c r="R56" s="275" t="n"/>
      <c r="S56" s="274">
        <f>IFERROR(INDEX('Inputs (2)'!$D$71:$AL$71,MATCH(S$7&amp;"",'Inputs (2)'!$D$2:$AL$2,0)),"")</f>
        <v>75131.641</v>
      </c>
      <c r="T56" s="274">
        <f>IFERROR(INDEX('Inputs (2)'!$D$71:$AL$71,MATCH(T$7&amp;"",'Inputs (2)'!$D$2:$AL$2,0)),"")</f>
        <v>67009.986</v>
      </c>
      <c r="U56" s="274">
        <f>IFERROR(INDEX('Inputs (2)'!$D$71:$AL$71,MATCH(U$7&amp;"",'Inputs (2)'!$D$2:$AL$2,0)),"")</f>
        <v>67718.251</v>
      </c>
      <c r="V56" s="274">
        <f>IFERROR(INDEX('Inputs (2)'!$D$71:$AL$71,MATCH(V$7&amp;"",'Inputs (2)'!$D$2:$AL$2,0)),"")</f>
        <v>68176.185</v>
      </c>
      <c r="W56" s="275" t="n"/>
      <c r="X56" s="274">
        <f>IFERROR(INDEX('Inputs (2)'!$D$71:$AL$71,MATCH(X$7&amp;"",'Inputs (2)'!$D$2:$AL$2,0)),"")</f>
        <v>66942.505</v>
      </c>
      <c r="Y56" s="274">
        <f>IFERROR(INDEX('Inputs (2)'!$D$71:$AL$71,MATCH(Y$7&amp;"",'Inputs (2)'!$D$2:$AL$2,0)),"")</f>
        <v>66598.725</v>
      </c>
      <c r="Z56" s="274">
        <f>IFERROR(INDEX('Inputs (2)'!$D$71:$AL$71,MATCH(Z$7&amp;"",'Inputs (2)'!$D$2:$AL$2,0)),"")</f>
        <v>67728.675</v>
      </c>
      <c r="AA56" s="274">
        <f>IFERROR(INDEX('Inputs (2)'!$D$71:$AL$71,MATCH(AA$7&amp;"",'Inputs (2)'!$D$2:$AL$2,0)),"")</f>
        <v>68181.225</v>
      </c>
      <c r="AB56" s="275" t="n"/>
      <c r="AC56" s="274">
        <f>IFERROR(INDEX('Inputs (2)'!$D$71:$AL$71,MATCH(AC$7&amp;"",'Inputs (2)'!$D$2:$AL$2,0)),"")</f>
        <v>69546.779</v>
      </c>
      <c r="AD56" s="274">
        <f>IFERROR(INDEX('Inputs (2)'!$D$71:$AL$71,MATCH(AD$7&amp;"",'Inputs (2)'!$D$2:$AL$2,0)),"")</f>
        <v>70398.095</v>
      </c>
      <c r="AE56" s="274">
        <f>IFERROR(INDEX('Inputs (2)'!$D$71:$AL$71,MATCH(AE$7&amp;"",'Inputs (2)'!$D$2:$AL$2,0)),"")</f>
        <v>73431.672</v>
      </c>
      <c r="AF56" s="274">
        <f>IFERROR(INDEX('Inputs (2)'!$D$71:$AL$71,MATCH(AF$7&amp;"",'Inputs (2)'!$D$2:$AL$2,0)),"")</f>
        <v>72269.744454723</v>
      </c>
      <c r="AG56" s="275" t="n"/>
      <c r="AH56" s="275">
        <f>IFERROR(INDEX('Inputs (2)'!$D$71:$AL$71,MATCH(AH$7&amp;"",'Inputs (2)'!$D$2:$AL$2,0)),"")</f>
        <v>77823.728680949</v>
      </c>
      <c r="AI56" s="275">
        <f>IFERROR(INDEX('Inputs (2)'!$D$71:$AL$71,MATCH(AI$7&amp;"",'Inputs (2)'!$D$2:$AL$2,0)),"")</f>
        <v>77252.184054344</v>
      </c>
    </row>
    <row r="57">
      <c r="C57" s="268" t="inlineStr">
        <is>
          <t xml:space="preserve">   Receita Seminovos / carro vendido (R$ mil, implicito)</t>
        </is>
      </c>
      <c r="D57" s="269" t="str">
        <f>IFERROR(D23/D55*1000,"")</f>
        <v/>
      </c>
      <c r="E57" s="269" t="str">
        <f>IFERROR(E23/E55*1000,"")</f>
        <v/>
      </c>
      <c r="F57" s="269" t="str">
        <f>IFERROR(F23/F55*1000,"")</f>
        <v/>
      </c>
      <c r="G57" s="269" t="str">
        <f>IFERROR(G23/G55*1000,"")</f>
        <v/>
      </c>
      <c r="H57" s="270" t="str">
        <f>IFERROR(H23/H55*1000,"")</f>
        <v/>
      </c>
      <c r="I57" s="269">
        <f>IFERROR(I23/I55*1000,"")</f>
        <v>51.2584017923824</v>
      </c>
      <c r="J57" s="269">
        <f>IFERROR(J23/J55*1000,"")</f>
        <v>54.0426897769219</v>
      </c>
      <c r="K57" s="269">
        <f>IFERROR(K23/K55*1000,"")</f>
        <v>58.2135226411193</v>
      </c>
      <c r="L57" s="269">
        <f>IFERROR(L23/L55*1000,"")</f>
        <v>64.8745189223861</v>
      </c>
      <c r="M57" s="270">
        <f>IFERROR(M23/M55*1000,"")</f>
        <v>58.0761847362664</v>
      </c>
      <c r="N57" s="269">
        <f>IFERROR(N23/N55*1000,"")</f>
        <v>63.9580952380952</v>
      </c>
      <c r="O57" s="269">
        <f>IFERROR(O23/O55*1000,"")</f>
        <v>66.5061708346866</v>
      </c>
      <c r="P57" s="269">
        <f>IFERROR(P23/P55*1000,"")</f>
        <v>70.4403935474205</v>
      </c>
      <c r="Q57" s="269">
        <f>IFERROR(Q23/Q55*1000,"")</f>
        <v>75.1140289886078</v>
      </c>
      <c r="R57" s="270">
        <f>IFERROR(R23/R55*1000,"")</f>
        <v>69.2806031566302</v>
      </c>
      <c r="S57" s="269">
        <f>IFERROR(S23/S55*1000,"")</f>
        <v>74.6285058643549</v>
      </c>
      <c r="T57" s="269">
        <f>IFERROR(T23/T55*1000,"")</f>
        <v>66.2215782197171</v>
      </c>
      <c r="U57" s="269">
        <f>IFERROR(U23/U55*1000,"")</f>
        <v>66.7659366921914</v>
      </c>
      <c r="V57" s="269">
        <f>IFERROR(V23/V55*1000,"")</f>
        <v>66.8767170926795</v>
      </c>
      <c r="W57" s="270">
        <f>IFERROR(W23/W55*1000,"")</f>
        <v>68.680801344326</v>
      </c>
      <c r="X57" s="269">
        <f>IFERROR(X23/X55*1000,"")</f>
        <v>65.656501354897</v>
      </c>
      <c r="Y57" s="269">
        <f>IFERROR(Y23/Y55*1000,"")</f>
        <v>65.3758317235458</v>
      </c>
      <c r="Z57" s="269">
        <f>IFERROR(Z23/Z55*1000,"")</f>
        <v>66.4387674996729</v>
      </c>
      <c r="AA57" s="269">
        <f>IFERROR(AA23/AA55*1000,"")</f>
        <v>66.4856725679869</v>
      </c>
      <c r="AB57" s="270">
        <f>IFERROR(AB23/AB55*1000,"")</f>
        <v>65.9867298029723</v>
      </c>
      <c r="AC57" s="269">
        <f>IFERROR(AC23/AC55*1000,"")</f>
        <v>68.1619593285991</v>
      </c>
      <c r="AD57" s="269">
        <f>IFERROR(AD23/AD55*1000,"")</f>
        <v>68.9267276305128</v>
      </c>
      <c r="AE57" s="269">
        <f>IFERROR(AE23/AE55*1000,"")</f>
        <v>71.7158793723439</v>
      </c>
      <c r="AF57" s="269">
        <f>IFERROR(AF23/AF55*1000,"")</f>
        <v>70.4754224088941</v>
      </c>
      <c r="AG57" s="270">
        <f>IFERROR(AG23/AG55*1000,"")</f>
        <v>69.7859372915918</v>
      </c>
      <c r="AH57" s="270">
        <f>IFERROR(AH23/AH55*1000,"")</f>
        <v>76.3835335306014</v>
      </c>
      <c r="AI57" s="270">
        <f>IFERROR(AI23/AI55*1000,"")</f>
        <v>75.7440800663439</v>
      </c>
    </row>
    <row r="58">
      <c r="C58" s="268" t="inlineStr">
        <is>
          <t>Carros comprados</t>
        </is>
      </c>
      <c r="D58" s="274" t="str">
        <f>IFERROR(INDEX('Inputs (2)'!$D$72:$AL$72,MATCH(D$7&amp;"",'Inputs (2)'!$D$2:$AL$2,0)),"")</f>
        <v/>
      </c>
      <c r="E58" s="274" t="str">
        <f>IFERROR(INDEX('Inputs (2)'!$D$72:$AL$72,MATCH(E$7&amp;"",'Inputs (2)'!$D$2:$AL$2,0)),"")</f>
        <v/>
      </c>
      <c r="F58" s="274" t="str">
        <f>IFERROR(INDEX('Inputs (2)'!$D$72:$AL$72,MATCH(F$7&amp;"",'Inputs (2)'!$D$2:$AL$2,0)),"")</f>
        <v/>
      </c>
      <c r="G58" s="274" t="str">
        <f>IFERROR(INDEX('Inputs (2)'!$D$72:$AL$72,MATCH(G$7&amp;"",'Inputs (2)'!$D$2:$AL$2,0)),"")</f>
        <v/>
      </c>
      <c r="H58" s="275" t="str">
        <f>IF(COUNT(D58:G58)=4,SUM(D58:G58),"")</f>
        <v/>
      </c>
      <c r="I58" s="274">
        <f>IFERROR(INDEX('Inputs (2)'!$D$72:$AL$72,MATCH(I$7&amp;"",'Inputs (2)'!$D$2:$AL$2,0)),"")</f>
        <v>10911</v>
      </c>
      <c r="J58" s="274">
        <f>IFERROR(INDEX('Inputs (2)'!$D$72:$AL$72,MATCH(J$7&amp;"",'Inputs (2)'!$D$2:$AL$2,0)),"")</f>
        <v>23273</v>
      </c>
      <c r="K58" s="274">
        <f>IFERROR(INDEX('Inputs (2)'!$D$72:$AL$72,MATCH(K$7&amp;"",'Inputs (2)'!$D$2:$AL$2,0)),"")</f>
        <v>25098</v>
      </c>
      <c r="L58" s="274">
        <f>IFERROR(INDEX('Inputs (2)'!$D$72:$AL$72,MATCH(L$7&amp;"",'Inputs (2)'!$D$2:$AL$2,0)),"")</f>
        <v>32177</v>
      </c>
      <c r="M58" s="275">
        <f>IF(COUNT(I58:L58)=4,SUM(I58:L58),"")</f>
        <v>91459</v>
      </c>
      <c r="N58" s="274">
        <f>IFERROR(INDEX('Inputs (2)'!$D$72:$AL$72,MATCH(N$7&amp;"",'Inputs (2)'!$D$2:$AL$2,0)),"")</f>
        <v>21202</v>
      </c>
      <c r="O58" s="274">
        <f>IFERROR(INDEX('Inputs (2)'!$D$72:$AL$72,MATCH(O$7&amp;"",'Inputs (2)'!$D$2:$AL$2,0)),"")</f>
        <v>32840</v>
      </c>
      <c r="P58" s="274">
        <f>IFERROR(INDEX('Inputs (2)'!$D$72:$AL$72,MATCH(P$7&amp;"",'Inputs (2)'!$D$2:$AL$2,0)),"")</f>
        <v>27096</v>
      </c>
      <c r="Q58" s="274">
        <f>IFERROR(INDEX('Inputs (2)'!$D$72:$AL$72,MATCH(Q$7&amp;"",'Inputs (2)'!$D$2:$AL$2,0)),"")</f>
        <v>27209</v>
      </c>
      <c r="R58" s="275">
        <f>IF(COUNT(N58:Q58)=4,SUM(N58:Q58),"")</f>
        <v>108347</v>
      </c>
      <c r="S58" s="274">
        <f>IFERROR(INDEX('Inputs (2)'!$D$72:$AL$72,MATCH(S$7&amp;"",'Inputs (2)'!$D$2:$AL$2,0)),"")</f>
        <v>8899</v>
      </c>
      <c r="T58" s="274">
        <f>IFERROR(INDEX('Inputs (2)'!$D$72:$AL$72,MATCH(T$7&amp;"",'Inputs (2)'!$D$2:$AL$2,0)),"")</f>
        <v>11971</v>
      </c>
      <c r="U58" s="274">
        <f>IFERROR(INDEX('Inputs (2)'!$D$72:$AL$72,MATCH(U$7&amp;"",'Inputs (2)'!$D$2:$AL$2,0)),"")</f>
        <v>29802</v>
      </c>
      <c r="V58" s="274">
        <f>IFERROR(INDEX('Inputs (2)'!$D$72:$AL$72,MATCH(V$7&amp;"",'Inputs (2)'!$D$2:$AL$2,0)),"")</f>
        <v>48289</v>
      </c>
      <c r="W58" s="275">
        <f>IF(COUNT(S58:V58)=4,SUM(S58:V58),"")</f>
        <v>98961</v>
      </c>
      <c r="X58" s="274">
        <f>IFERROR(INDEX('Inputs (2)'!$D$72:$AL$72,MATCH(X$7&amp;"",'Inputs (2)'!$D$2:$AL$2,0)),"")</f>
        <v>26141</v>
      </c>
      <c r="Y58" s="274">
        <f>IFERROR(INDEX('Inputs (2)'!$D$72:$AL$72,MATCH(Y$7&amp;"",'Inputs (2)'!$D$2:$AL$2,0)),"")</f>
        <v>29647</v>
      </c>
      <c r="Z58" s="274">
        <f>IFERROR(INDEX('Inputs (2)'!$D$72:$AL$72,MATCH(Z$7&amp;"",'Inputs (2)'!$D$2:$AL$2,0)),"")</f>
        <v>33081</v>
      </c>
      <c r="AA58" s="274">
        <f>IFERROR(INDEX('Inputs (2)'!$D$72:$AL$72,MATCH(AA$7&amp;"",'Inputs (2)'!$D$2:$AL$2,0)),"")</f>
        <v>45949</v>
      </c>
      <c r="AB58" s="275">
        <f>IF(COUNT(X58:AA58)=4,SUM(X58:AA58),"")</f>
        <v>134818</v>
      </c>
      <c r="AC58" s="274">
        <f>IFERROR(INDEX('Inputs (2)'!$D$72:$AL$72,MATCH(AC$7&amp;"",'Inputs (2)'!$D$2:$AL$2,0)),"")</f>
        <v>16643</v>
      </c>
      <c r="AD58" s="274">
        <f>IFERROR(INDEX('Inputs (2)'!$D$72:$AL$72,MATCH(AD$7&amp;"",'Inputs (2)'!$D$2:$AL$2,0)),"")</f>
        <v>28084</v>
      </c>
      <c r="AE58" s="274">
        <f>IFERROR(INDEX('Inputs (2)'!$D$72:$AL$72,MATCH(AE$7&amp;"",'Inputs (2)'!$D$2:$AL$2,0)),"")</f>
        <v>21947</v>
      </c>
      <c r="AF58" s="274">
        <f>IFERROR(INDEX('Inputs (2)'!$D$72:$AL$72,MATCH(AF$7&amp;"",'Inputs (2)'!$D$2:$AL$2,0)),"")</f>
        <v>40352</v>
      </c>
      <c r="AG58" s="275">
        <f>IF(COUNT(AC58:AF58)=4,SUM(AC58:AF58),"")</f>
        <v>107026</v>
      </c>
      <c r="AH58" s="275">
        <f>IFERROR(INDEX('Inputs (2)'!$D$72:$AL$72,MATCH(AH$7&amp;"",'Inputs (2)'!$D$2:$AL$2,0)),"")</f>
        <v>14588</v>
      </c>
      <c r="AI58" s="275">
        <f>IFERROR(INDEX('Inputs (2)'!$D$72:$AL$72,MATCH(AI$7&amp;"",'Inputs (2)'!$D$2:$AL$2,0)),"")</f>
        <v>38613</v>
      </c>
    </row>
    <row r="59">
      <c r="C59" s="268" t="inlineStr">
        <is>
          <t xml:space="preserve">   Preco medio do carro comprado (R$)</t>
        </is>
      </c>
      <c r="D59" s="274" t="str">
        <f>IFERROR(INDEX('Inputs (2)'!$D$73:$AL$73,MATCH(D$7&amp;"",'Inputs (2)'!$D$2:$AL$2,0)),"")</f>
        <v/>
      </c>
      <c r="E59" s="274" t="str">
        <f>IFERROR(INDEX('Inputs (2)'!$D$73:$AL$73,MATCH(E$7&amp;"",'Inputs (2)'!$D$2:$AL$2,0)),"")</f>
        <v/>
      </c>
      <c r="F59" s="274" t="str">
        <f>IFERROR(INDEX('Inputs (2)'!$D$73:$AL$73,MATCH(F$7&amp;"",'Inputs (2)'!$D$2:$AL$2,0)),"")</f>
        <v/>
      </c>
      <c r="G59" s="274" t="str">
        <f>IFERROR(INDEX('Inputs (2)'!$D$73:$AL$73,MATCH(G$7&amp;"",'Inputs (2)'!$D$2:$AL$2,0)),"")</f>
        <v/>
      </c>
      <c r="H59" s="275" t="n"/>
      <c r="I59" s="274">
        <f>IFERROR(INDEX('Inputs (2)'!$D$73:$AL$73,MATCH(I$7&amp;"",'Inputs (2)'!$D$2:$AL$2,0)),"")</f>
        <v>59451.895</v>
      </c>
      <c r="J59" s="274">
        <f>IFERROR(INDEX('Inputs (2)'!$D$73:$AL$73,MATCH(J$7&amp;"",'Inputs (2)'!$D$2:$AL$2,0)),"")</f>
        <v>65849.458</v>
      </c>
      <c r="K59" s="274">
        <f>IFERROR(INDEX('Inputs (2)'!$D$73:$AL$73,MATCH(K$7&amp;"",'Inputs (2)'!$D$2:$AL$2,0)),"")</f>
        <v>83151.073</v>
      </c>
      <c r="L59" s="274">
        <f>IFERROR(INDEX('Inputs (2)'!$D$73:$AL$73,MATCH(L$7&amp;"",'Inputs (2)'!$D$2:$AL$2,0)),"")</f>
        <v>90445.152</v>
      </c>
      <c r="M59" s="275" t="n"/>
      <c r="N59" s="274">
        <f>IFERROR(INDEX('Inputs (2)'!$D$73:$AL$73,MATCH(N$7&amp;"",'Inputs (2)'!$D$2:$AL$2,0)),"")</f>
        <v>90435.525</v>
      </c>
      <c r="O59" s="274">
        <f>IFERROR(INDEX('Inputs (2)'!$D$73:$AL$73,MATCH(O$7&amp;"",'Inputs (2)'!$D$2:$AL$2,0)),"")</f>
        <v>91843.12</v>
      </c>
      <c r="P59" s="274">
        <f>IFERROR(INDEX('Inputs (2)'!$D$73:$AL$73,MATCH(P$7&amp;"",'Inputs (2)'!$D$2:$AL$2,0)),"")</f>
        <v>82230.106</v>
      </c>
      <c r="Q59" s="274">
        <f>IFERROR(INDEX('Inputs (2)'!$D$73:$AL$73,MATCH(Q$7&amp;"",'Inputs (2)'!$D$2:$AL$2,0)),"")</f>
        <v>78693.278</v>
      </c>
      <c r="R59" s="275" t="n"/>
      <c r="S59" s="274">
        <f>IFERROR(INDEX('Inputs (2)'!$D$73:$AL$73,MATCH(S$7&amp;"",'Inputs (2)'!$D$2:$AL$2,0)),"")</f>
        <v>88893.811</v>
      </c>
      <c r="T59" s="274">
        <f>IFERROR(INDEX('Inputs (2)'!$D$73:$AL$73,MATCH(T$7&amp;"",'Inputs (2)'!$D$2:$AL$2,0)),"")</f>
        <v>95090.768</v>
      </c>
      <c r="U59" s="274">
        <f>IFERROR(INDEX('Inputs (2)'!$D$73:$AL$73,MATCH(U$7&amp;"",'Inputs (2)'!$D$2:$AL$2,0)),"")</f>
        <v>87377.337</v>
      </c>
      <c r="V59" s="274">
        <f>IFERROR(INDEX('Inputs (2)'!$D$73:$AL$73,MATCH(V$7&amp;"",'Inputs (2)'!$D$2:$AL$2,0)),"")</f>
        <v>90486.921</v>
      </c>
      <c r="W59" s="275" t="n"/>
      <c r="X59" s="274">
        <f>IFERROR(INDEX('Inputs (2)'!$D$73:$AL$73,MATCH(X$7&amp;"",'Inputs (2)'!$D$2:$AL$2,0)),"")</f>
        <v>87279.205</v>
      </c>
      <c r="Y59" s="274">
        <f>IFERROR(INDEX('Inputs (2)'!$D$73:$AL$73,MATCH(Y$7&amp;"",'Inputs (2)'!$D$2:$AL$2,0)),"")</f>
        <v>85989.828</v>
      </c>
      <c r="Z59" s="274">
        <f>IFERROR(INDEX('Inputs (2)'!$D$73:$AL$73,MATCH(Z$7&amp;"",'Inputs (2)'!$D$2:$AL$2,0)),"")</f>
        <v>89426.948</v>
      </c>
      <c r="AA59" s="274">
        <f>IFERROR(INDEX('Inputs (2)'!$D$73:$AL$73,MATCH(AA$7&amp;"",'Inputs (2)'!$D$2:$AL$2,0)),"")</f>
        <v>86193.12</v>
      </c>
      <c r="AB59" s="275" t="n"/>
      <c r="AC59" s="274">
        <f>IFERROR(INDEX('Inputs (2)'!$D$73:$AL$73,MATCH(AC$7&amp;"",'Inputs (2)'!$D$2:$AL$2,0)),"")</f>
        <v>90324.767543493</v>
      </c>
      <c r="AD59" s="274">
        <f>IFERROR(INDEX('Inputs (2)'!$D$73:$AL$73,MATCH(AD$7&amp;"",'Inputs (2)'!$D$2:$AL$2,0)),"")</f>
        <v>94322.621908812</v>
      </c>
      <c r="AE59" s="274">
        <f>IFERROR(INDEX('Inputs (2)'!$D$73:$AL$73,MATCH(AE$7&amp;"",'Inputs (2)'!$D$2:$AL$2,0)),"")</f>
        <v>101130.255</v>
      </c>
      <c r="AF59" s="274">
        <f>IFERROR(INDEX('Inputs (2)'!$D$73:$AL$73,MATCH(AF$7&amp;"",'Inputs (2)'!$D$2:$AL$2,0)),"")</f>
        <v>100334.850780086</v>
      </c>
      <c r="AG59" s="275" t="n"/>
      <c r="AH59" s="275">
        <f>IFERROR(INDEX('Inputs (2)'!$D$73:$AL$73,MATCH(AH$7&amp;"",'Inputs (2)'!$D$2:$AL$2,0)),"")</f>
        <v>102359.604469427</v>
      </c>
      <c r="AI59" s="275">
        <f>IFERROR(INDEX('Inputs (2)'!$D$73:$AL$73,MATCH(AI$7&amp;"",'Inputs (2)'!$D$2:$AL$2,0)),"")</f>
        <v>101231.423055191</v>
      </c>
    </row>
    <row r="60">
      <c r="C60" s="268" t="inlineStr">
        <is>
          <t>Capex RAC (R$ mi)</t>
        </is>
      </c>
      <c r="D60" s="269" t="str">
        <f>IFERROR(INDEX('Inputs (2)'!$D$74:$AL$74,MATCH(D$7&amp;"",'Inputs (2)'!$D$2:$AL$2,0)),"")</f>
        <v/>
      </c>
      <c r="E60" s="269" t="str">
        <f>IFERROR(INDEX('Inputs (2)'!$D$74:$AL$74,MATCH(E$7&amp;"",'Inputs (2)'!$D$2:$AL$2,0)),"")</f>
        <v/>
      </c>
      <c r="F60" s="269" t="str">
        <f>IFERROR(INDEX('Inputs (2)'!$D$74:$AL$74,MATCH(F$7&amp;"",'Inputs (2)'!$D$2:$AL$2,0)),"")</f>
        <v/>
      </c>
      <c r="G60" s="269" t="str">
        <f>IFERROR(INDEX('Inputs (2)'!$D$74:$AL$74,MATCH(G$7&amp;"",'Inputs (2)'!$D$2:$AL$2,0)),"")</f>
        <v/>
      </c>
      <c r="H60" s="270" t="str">
        <f>IF(COUNT(D60:G60)=4,SUM(D60:G60),"")</f>
        <v/>
      </c>
      <c r="I60" s="269">
        <f>IFERROR(INDEX('Inputs (2)'!$D$74:$AL$74,MATCH(I$7&amp;"",'Inputs (2)'!$D$2:$AL$2,0)),"")</f>
        <v>281.818</v>
      </c>
      <c r="J60" s="269">
        <f>IFERROR(INDEX('Inputs (2)'!$D$74:$AL$74,MATCH(J$7&amp;"",'Inputs (2)'!$D$2:$AL$2,0)),"")</f>
        <v>1318.926</v>
      </c>
      <c r="K60" s="269">
        <f>IFERROR(INDEX('Inputs (2)'!$D$74:$AL$74,MATCH(K$7&amp;"",'Inputs (2)'!$D$2:$AL$2,0)),"")</f>
        <v>1182.7</v>
      </c>
      <c r="L60" s="269">
        <f>IFERROR(INDEX('Inputs (2)'!$D$74:$AL$74,MATCH(L$7&amp;"",'Inputs (2)'!$D$2:$AL$2,0)),"")</f>
        <v>1996.188</v>
      </c>
      <c r="M60" s="270">
        <f>IF(COUNT(I60:L60)=4,SUM(I60:L60),"")</f>
        <v>4779.632</v>
      </c>
      <c r="N60" s="269">
        <f>IFERROR(INDEX('Inputs (2)'!$D$74:$AL$74,MATCH(N$7&amp;"",'Inputs (2)'!$D$2:$AL$2,0)),"")</f>
        <v>1808.921</v>
      </c>
      <c r="O60" s="269">
        <f>IFERROR(INDEX('Inputs (2)'!$D$74:$AL$74,MATCH(O$7&amp;"",'Inputs (2)'!$D$2:$AL$2,0)),"")</f>
        <v>1991.964</v>
      </c>
      <c r="P60" s="269">
        <f>IFERROR(INDEX('Inputs (2)'!$D$74:$AL$74,MATCH(P$7&amp;"",'Inputs (2)'!$D$2:$AL$2,0)),"")</f>
        <v>1772.167</v>
      </c>
      <c r="Q60" s="269">
        <f>IFERROR(INDEX('Inputs (2)'!$D$74:$AL$74,MATCH(Q$7&amp;"",'Inputs (2)'!$D$2:$AL$2,0)),"")</f>
        <v>1402.661</v>
      </c>
      <c r="R60" s="270">
        <f>IF(COUNT(N60:Q60)=4,SUM(N60:Q60),"")</f>
        <v>6975.713</v>
      </c>
      <c r="S60" s="269">
        <f>IFERROR(INDEX('Inputs (2)'!$D$74:$AL$74,MATCH(S$7&amp;"",'Inputs (2)'!$D$2:$AL$2,0)),"")</f>
        <v>76.924</v>
      </c>
      <c r="T60" s="269">
        <f>IFERROR(INDEX('Inputs (2)'!$D$74:$AL$74,MATCH(T$7&amp;"",'Inputs (2)'!$D$2:$AL$2,0)),"")</f>
        <v>261.923</v>
      </c>
      <c r="U60" s="269">
        <f>IFERROR(INDEX('Inputs (2)'!$D$74:$AL$74,MATCH(U$7&amp;"",'Inputs (2)'!$D$2:$AL$2,0)),"")</f>
        <v>1026.842</v>
      </c>
      <c r="V60" s="269">
        <f>IFERROR(INDEX('Inputs (2)'!$D$74:$AL$74,MATCH(V$7&amp;"",'Inputs (2)'!$D$2:$AL$2,0)),"")</f>
        <v>2266.734</v>
      </c>
      <c r="W60" s="270">
        <f>IF(COUNT(S60:V60)=4,SUM(S60:V60),"")</f>
        <v>3632.423</v>
      </c>
      <c r="X60" s="269">
        <f>IFERROR(INDEX('Inputs (2)'!$D$74:$AL$74,MATCH(X$7&amp;"",'Inputs (2)'!$D$2:$AL$2,0)),"")</f>
        <v>924.786</v>
      </c>
      <c r="Y60" s="269">
        <f>IFERROR(INDEX('Inputs (2)'!$D$74:$AL$74,MATCH(Y$7&amp;"",'Inputs (2)'!$D$2:$AL$2,0)),"")</f>
        <v>1095.802</v>
      </c>
      <c r="Z60" s="269">
        <f>IFERROR(INDEX('Inputs (2)'!$D$74:$AL$74,MATCH(Z$7&amp;"",'Inputs (2)'!$D$2:$AL$2,0)),"")</f>
        <v>1654.517</v>
      </c>
      <c r="AA60" s="269">
        <f>IFERROR(INDEX('Inputs (2)'!$D$74:$AL$74,MATCH(AA$7&amp;"",'Inputs (2)'!$D$2:$AL$2,0)),"")</f>
        <v>2135.623</v>
      </c>
      <c r="AB60" s="270">
        <f>IF(COUNT(X60:AA60)=4,SUM(X60:AA60),"")</f>
        <v>5810.728</v>
      </c>
      <c r="AC60" s="269">
        <f>IFERROR(INDEX('Inputs (2)'!$D$74:$AL$74,MATCH(AC$7&amp;"",'Inputs (2)'!$D$2:$AL$2,0)),"")</f>
        <v>663.022086704</v>
      </c>
      <c r="AD60" s="269">
        <f>IFERROR(INDEX('Inputs (2)'!$D$74:$AL$74,MATCH(AD$7&amp;"",'Inputs (2)'!$D$2:$AL$2,0)),"")</f>
        <v>1801.132913296</v>
      </c>
      <c r="AE60" s="269">
        <f>IFERROR(INDEX('Inputs (2)'!$D$74:$AL$74,MATCH(AE$7&amp;"",'Inputs (2)'!$D$2:$AL$2,0)),"")</f>
        <v>955.412</v>
      </c>
      <c r="AF60" s="269">
        <f>IFERROR(INDEX('Inputs (2)'!$D$74:$AL$74,MATCH(AF$7&amp;"",'Inputs (2)'!$D$2:$AL$2,0)),"")</f>
        <v>2618.418224114</v>
      </c>
      <c r="AG60" s="270">
        <f>IF(COUNT(AC60:AF60)=4,SUM(AC60:AF60),"")</f>
        <v>6037.985224114</v>
      </c>
      <c r="AH60" s="270">
        <f>IFERROR(INDEX('Inputs (2)'!$D$74:$AL$74,MATCH(AH$7&amp;"",'Inputs (2)'!$D$2:$AL$2,0)),"")</f>
        <v>570.416798428</v>
      </c>
      <c r="AI60" s="270">
        <f>IFERROR(INDEX('Inputs (2)'!$D$74:$AL$74,MATCH(AI$7&amp;"",'Inputs (2)'!$D$2:$AL$2,0)),"")</f>
        <v>2267.391201594</v>
      </c>
    </row>
    <row r="61">
      <c r="C61" s="268" t="inlineStr">
        <is>
          <t>Capex GTF (R$ mi)</t>
        </is>
      </c>
      <c r="D61" s="269" t="str">
        <f>IFERROR(INDEX('Inputs (2)'!$D$75:$AL$75,MATCH(D$7&amp;"",'Inputs (2)'!$D$2:$AL$2,0)),"")</f>
        <v/>
      </c>
      <c r="E61" s="269" t="str">
        <f>IFERROR(INDEX('Inputs (2)'!$D$75:$AL$75,MATCH(E$7&amp;"",'Inputs (2)'!$D$2:$AL$2,0)),"")</f>
        <v/>
      </c>
      <c r="F61" s="269" t="str">
        <f>IFERROR(INDEX('Inputs (2)'!$D$75:$AL$75,MATCH(F$7&amp;"",'Inputs (2)'!$D$2:$AL$2,0)),"")</f>
        <v/>
      </c>
      <c r="G61" s="269" t="str">
        <f>IFERROR(INDEX('Inputs (2)'!$D$75:$AL$75,MATCH(G$7&amp;"",'Inputs (2)'!$D$2:$AL$2,0)),"")</f>
        <v/>
      </c>
      <c r="H61" s="270" t="str">
        <f>IF(COUNT(D61:G61)=4,SUM(D61:G61),"")</f>
        <v/>
      </c>
      <c r="I61" s="269">
        <f>IFERROR(INDEX('Inputs (2)'!$D$75:$AL$75,MATCH(I$7&amp;"",'Inputs (2)'!$D$2:$AL$2,0)),"")</f>
        <v>400.141</v>
      </c>
      <c r="J61" s="269">
        <f>IFERROR(INDEX('Inputs (2)'!$D$75:$AL$75,MATCH(J$7&amp;"",'Inputs (2)'!$D$2:$AL$2,0)),"")</f>
        <v>268.452</v>
      </c>
      <c r="K61" s="269">
        <f>IFERROR(INDEX('Inputs (2)'!$D$75:$AL$75,MATCH(K$7&amp;"",'Inputs (2)'!$D$2:$AL$2,0)),"")</f>
        <v>945.323</v>
      </c>
      <c r="L61" s="269">
        <f>IFERROR(INDEX('Inputs (2)'!$D$75:$AL$75,MATCH(L$7&amp;"",'Inputs (2)'!$D$2:$AL$2,0)),"")</f>
        <v>961.226</v>
      </c>
      <c r="M61" s="270">
        <f>IF(COUNT(I61:L61)=4,SUM(I61:L61),"")</f>
        <v>2575.142</v>
      </c>
      <c r="N61" s="269">
        <f>IFERROR(INDEX('Inputs (2)'!$D$75:$AL$75,MATCH(N$7&amp;"",'Inputs (2)'!$D$2:$AL$2,0)),"")</f>
        <v>154.34</v>
      </c>
      <c r="O61" s="269">
        <f>IFERROR(INDEX('Inputs (2)'!$D$75:$AL$75,MATCH(O$7&amp;"",'Inputs (2)'!$D$2:$AL$2,0)),"")</f>
        <v>1080.363</v>
      </c>
      <c r="P61" s="269">
        <f>IFERROR(INDEX('Inputs (2)'!$D$75:$AL$75,MATCH(P$7&amp;"",'Inputs (2)'!$D$2:$AL$2,0)),"")</f>
        <v>512.801</v>
      </c>
      <c r="Q61" s="269">
        <f>IFERROR(INDEX('Inputs (2)'!$D$75:$AL$75,MATCH(Q$7&amp;"",'Inputs (2)'!$D$2:$AL$2,0)),"")</f>
        <v>791.89</v>
      </c>
      <c r="R61" s="270">
        <f>IF(COUNT(N61:Q61)=4,SUM(N61:Q61),"")</f>
        <v>2539.394</v>
      </c>
      <c r="S61" s="269">
        <f>IFERROR(INDEX('Inputs (2)'!$D$75:$AL$75,MATCH(S$7&amp;"",'Inputs (2)'!$D$2:$AL$2,0)),"")</f>
        <v>761.79</v>
      </c>
      <c r="T61" s="269">
        <f>IFERROR(INDEX('Inputs (2)'!$D$75:$AL$75,MATCH(T$7&amp;"",'Inputs (2)'!$D$2:$AL$2,0)),"")</f>
        <v>920.396</v>
      </c>
      <c r="U61" s="269">
        <f>IFERROR(INDEX('Inputs (2)'!$D$75:$AL$75,MATCH(U$7&amp;"",'Inputs (2)'!$D$2:$AL$2,0)),"")</f>
        <v>1620.787</v>
      </c>
      <c r="V61" s="269">
        <f>IFERROR(INDEX('Inputs (2)'!$D$75:$AL$75,MATCH(V$7&amp;"",'Inputs (2)'!$D$2:$AL$2,0)),"")</f>
        <v>2148.859</v>
      </c>
      <c r="W61" s="270">
        <f>IF(COUNT(S61:V61)=4,SUM(S61:V61),"")</f>
        <v>5451.832</v>
      </c>
      <c r="X61" s="269">
        <f>IFERROR(INDEX('Inputs (2)'!$D$75:$AL$75,MATCH(X$7&amp;"",'Inputs (2)'!$D$2:$AL$2,0)),"")</f>
        <v>1396.221</v>
      </c>
      <c r="Y61" s="269">
        <f>IFERROR(INDEX('Inputs (2)'!$D$75:$AL$75,MATCH(Y$7&amp;"",'Inputs (2)'!$D$2:$AL$2,0)),"")</f>
        <v>1503.655</v>
      </c>
      <c r="Z61" s="269">
        <f>IFERROR(INDEX('Inputs (2)'!$D$75:$AL$75,MATCH(Z$7&amp;"",'Inputs (2)'!$D$2:$AL$2,0)),"")</f>
        <v>1356.178</v>
      </c>
      <c r="AA61" s="269">
        <f>IFERROR(INDEX('Inputs (2)'!$D$75:$AL$75,MATCH(AA$7&amp;"",'Inputs (2)'!$D$2:$AL$2,0)),"")</f>
        <v>1870.277</v>
      </c>
      <c r="AB61" s="270">
        <f>IF(COUNT(X61:AA61)=4,SUM(X61:AA61),"")</f>
        <v>6126.331</v>
      </c>
      <c r="AC61" s="269">
        <f>IFERROR(INDEX('Inputs (2)'!$D$75:$AL$75,MATCH(AC$7&amp;"",'Inputs (2)'!$D$2:$AL$2,0)),"")</f>
        <v>815.738604756</v>
      </c>
      <c r="AD61" s="269">
        <f>IFERROR(INDEX('Inputs (2)'!$D$75:$AL$75,MATCH(AD$7&amp;"",'Inputs (2)'!$D$2:$AL$2,0)),"")</f>
        <v>1235.113590263</v>
      </c>
      <c r="AE61" s="269">
        <f>IFERROR(INDEX('Inputs (2)'!$D$75:$AL$75,MATCH(AE$7&amp;"",'Inputs (2)'!$D$2:$AL$2,0)),"")</f>
        <v>1335.992</v>
      </c>
      <c r="AF61" s="269">
        <f>IFERROR(INDEX('Inputs (2)'!$D$75:$AL$75,MATCH(AF$7&amp;"",'Inputs (2)'!$D$2:$AL$2,0)),"")</f>
        <v>1493.408446854</v>
      </c>
      <c r="AG61" s="270">
        <f>IF(COUNT(AC61:AF61)=4,SUM(AC61:AF61),"")</f>
        <v>4880.252641873</v>
      </c>
      <c r="AH61" s="270">
        <f>IFERROR(INDEX('Inputs (2)'!$D$75:$AL$75,MATCH(AH$7&amp;"",'Inputs (2)'!$D$2:$AL$2,0)),"")</f>
        <v>988.500251942</v>
      </c>
      <c r="AI61" s="270">
        <f>IFERROR(INDEX('Inputs (2)'!$D$75:$AL$75,MATCH(AI$7&amp;"",'Inputs (2)'!$D$2:$AL$2,0)),"")</f>
        <v>1707.599346693</v>
      </c>
    </row>
    <row r="62">
      <c r="C62" s="271" t="inlineStr">
        <is>
          <t>Capex total RAC + GTF (R$ mi)</t>
        </is>
      </c>
      <c r="D62" s="269" t="str">
        <f>IF(COUNT(D60,D61)=0,"",N(D60)+N(D61))</f>
        <v/>
      </c>
      <c r="E62" s="269" t="str">
        <f>IF(COUNT(E60,E61)=0,"",N(E60)+N(E61))</f>
        <v/>
      </c>
      <c r="F62" s="269" t="str">
        <f>IF(COUNT(F60,F61)=0,"",N(F60)+N(F61))</f>
        <v/>
      </c>
      <c r="G62" s="269" t="str">
        <f>IF(COUNT(G60,G61)=0,"",N(G60)+N(G61))</f>
        <v/>
      </c>
      <c r="H62" s="270" t="str">
        <f>IF(COUNT(H60,H61)=0,"",N(H60)+N(H61))</f>
        <v/>
      </c>
      <c r="I62" s="269">
        <f>IF(COUNT(I60,I61)=0,"",N(I60)+N(I61))</f>
        <v>681.959</v>
      </c>
      <c r="J62" s="269">
        <f>IF(COUNT(J60,J61)=0,"",N(J60)+N(J61))</f>
        <v>1587.378</v>
      </c>
      <c r="K62" s="269">
        <f>IF(COUNT(K60,K61)=0,"",N(K60)+N(K61))</f>
        <v>2128.023</v>
      </c>
      <c r="L62" s="269">
        <f>IF(COUNT(L60,L61)=0,"",N(L60)+N(L61))</f>
        <v>2957.414</v>
      </c>
      <c r="M62" s="270">
        <f>IF(COUNT(M60,M61)=0,"",N(M60)+N(M61))</f>
        <v>7354.774</v>
      </c>
      <c r="N62" s="269">
        <f>IF(COUNT(N60,N61)=0,"",N(N60)+N(N61))</f>
        <v>1963.261</v>
      </c>
      <c r="O62" s="269">
        <f>IF(COUNT(O60,O61)=0,"",N(O60)+N(O61))</f>
        <v>3072.327</v>
      </c>
      <c r="P62" s="269">
        <f>IF(COUNT(P60,P61)=0,"",N(P60)+N(P61))</f>
        <v>2284.968</v>
      </c>
      <c r="Q62" s="269">
        <f>IF(COUNT(Q60,Q61)=0,"",N(Q60)+N(Q61))</f>
        <v>2194.551</v>
      </c>
      <c r="R62" s="270">
        <f>IF(COUNT(R60,R61)=0,"",N(R60)+N(R61))</f>
        <v>9515.107</v>
      </c>
      <c r="S62" s="269">
        <f>IF(COUNT(S60,S61)=0,"",N(S60)+N(S61))</f>
        <v>838.714</v>
      </c>
      <c r="T62" s="269">
        <f>IF(COUNT(T60,T61)=0,"",N(T60)+N(T61))</f>
        <v>1182.319</v>
      </c>
      <c r="U62" s="269">
        <f>IF(COUNT(U60,U61)=0,"",N(U60)+N(U61))</f>
        <v>2647.629</v>
      </c>
      <c r="V62" s="269">
        <f>IF(COUNT(V60,V61)=0,"",N(V60)+N(V61))</f>
        <v>4415.593</v>
      </c>
      <c r="W62" s="270">
        <f>IF(COUNT(W60,W61)=0,"",N(W60)+N(W61))</f>
        <v>9084.255</v>
      </c>
      <c r="X62" s="269">
        <f>IF(COUNT(X60,X61)=0,"",N(X60)+N(X61))</f>
        <v>2321.007</v>
      </c>
      <c r="Y62" s="269">
        <f>IF(COUNT(Y60,Y61)=0,"",N(Y60)+N(Y61))</f>
        <v>2599.457</v>
      </c>
      <c r="Z62" s="269">
        <f>IF(COUNT(Z60,Z61)=0,"",N(Z60)+N(Z61))</f>
        <v>3010.695</v>
      </c>
      <c r="AA62" s="269">
        <f>IF(COUNT(AA60,AA61)=0,"",N(AA60)+N(AA61))</f>
        <v>4005.9</v>
      </c>
      <c r="AB62" s="270">
        <f>IF(COUNT(AB60,AB61)=0,"",N(AB60)+N(AB61))</f>
        <v>11937.059</v>
      </c>
      <c r="AC62" s="269">
        <f>IF(COUNT(AC60,AC61)=0,"",N(AC60)+N(AC61))</f>
        <v>1478.76069146</v>
      </c>
      <c r="AD62" s="269">
        <f>IF(COUNT(AD60,AD61)=0,"",N(AD60)+N(AD61))</f>
        <v>3036.246503559</v>
      </c>
      <c r="AE62" s="269">
        <f>IF(COUNT(AE60,AE61)=0,"",N(AE60)+N(AE61))</f>
        <v>2291.404</v>
      </c>
      <c r="AF62" s="269">
        <f>IF(COUNT(AF60,AF61)=0,"",N(AF60)+N(AF61))</f>
        <v>4111.826670968</v>
      </c>
      <c r="AG62" s="270">
        <f>IF(COUNT(AG60,AG61)=0,"",N(AG60)+N(AG61))</f>
        <v>10918.237865987</v>
      </c>
      <c r="AH62" s="270">
        <f>IF(COUNT(AH60,AH61)=0,"",N(AH60)+N(AH61))</f>
        <v>1558.91705037</v>
      </c>
      <c r="AI62" s="270">
        <f>IF(COUNT(AI60,AI61)=0,"",N(AI60)+N(AI61))</f>
        <v>3974.990548287</v>
      </c>
    </row>
    <row r="63"/>
    <row r="64" hidden="1" outlineLevel="1" customFormat="1" s="43">
      <c r="A64" s="36" t="n"/>
      <c r="B64" s="37" t="n"/>
      <c r="C64" s="45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  <c r="AA64" s="39" t="n"/>
      <c r="AB64" s="39" t="n"/>
      <c r="AC64" s="39" t="n"/>
      <c r="AD64" s="39" t="n"/>
      <c r="AE64" s="39" t="n"/>
      <c r="AF64" s="39" t="n"/>
      <c r="AG64" s="39" t="n"/>
      <c r="AH64" s="39" t="n"/>
      <c r="AI64" s="39" t="n"/>
      <c r="AJ64" s="39" t="n"/>
      <c r="AK64" s="39" t="n"/>
      <c r="AL64" s="39" t="n"/>
      <c r="AM64" s="39" t="n"/>
      <c r="AN64" s="39" t="n"/>
      <c r="AO64" s="39" t="n"/>
      <c r="AP64" s="39" t="n"/>
      <c r="AQ64" s="39" t="n"/>
      <c r="AR64" s="39" t="n"/>
      <c r="AS64" s="39" t="n"/>
      <c r="AT64" s="39" t="n"/>
      <c r="AU64" s="39" t="n"/>
      <c r="AV64" s="39" t="n"/>
      <c r="AW64" s="39" t="n"/>
      <c r="AX64" s="39" t="n"/>
      <c r="AY64" s="39" t="n"/>
      <c r="AZ64" s="39" t="n"/>
      <c r="BA64" s="39" t="n"/>
      <c r="BB64" s="39" t="n"/>
      <c r="BC64" s="39" t="n"/>
      <c r="BD64" s="39" t="n"/>
      <c r="BE64" s="39" t="n"/>
      <c r="BF64" s="39" t="n"/>
      <c r="BG64" s="39" t="n"/>
      <c r="BH64" s="39" t="n"/>
      <c r="BI64" s="39" t="n"/>
      <c r="BJ64" s="39" t="n"/>
      <c r="BK64" s="39" t="n"/>
      <c r="BL64" s="39" t="n"/>
      <c r="BM64" s="39" t="n"/>
      <c r="BN64" s="39" t="n"/>
      <c r="BO64" s="39" t="n"/>
      <c r="BP64" s="39" t="n"/>
      <c r="BQ64" s="39" t="n"/>
      <c r="BR64" s="39" t="n"/>
      <c r="BS64" s="39" t="n"/>
      <c r="BT64" s="39" t="n"/>
      <c r="BU64" s="39" t="n"/>
      <c r="BV64" s="39" t="n"/>
      <c r="BW64" s="39" t="n"/>
      <c r="BX64" s="39" t="n"/>
      <c r="BY64" s="39" t="n"/>
      <c r="BZ64" s="39" t="n"/>
      <c r="CA64" s="39" t="n"/>
      <c r="CB64" s="39" t="n"/>
      <c r="CC64" s="39" t="n"/>
      <c r="CD64" s="39" t="n"/>
      <c r="CE64" s="39" t="n"/>
      <c r="CF64" s="39" t="n"/>
      <c r="CG64" s="39" t="n"/>
      <c r="CH64" s="39" t="n"/>
      <c r="CI64" s="39" t="n"/>
      <c r="CJ64" s="39" t="n"/>
      <c r="CK64" s="39" t="n"/>
      <c r="CL64" s="39" t="n"/>
      <c r="CM64" s="39" t="n"/>
      <c r="CN64" s="39" t="n"/>
      <c r="CO64" s="39" t="n"/>
      <c r="CP64" s="39" t="n"/>
      <c r="CQ64" s="39" t="n"/>
      <c r="CR64" s="39" t="n"/>
      <c r="CS64" s="39" t="n"/>
      <c r="CT64" s="39" t="n"/>
      <c r="CU64" s="39" t="n"/>
      <c r="CV64" s="39" t="n"/>
      <c r="CW64" s="39" t="n"/>
      <c r="CX64" s="39" t="n"/>
      <c r="CY64" s="39" t="n"/>
    </row>
    <row r="65" hidden="1" outlineLevel="1" customFormat="1" s="43">
      <c r="A65" s="36" t="n"/>
      <c r="B65" s="37" t="n"/>
      <c r="C65" s="45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  <c r="AA65" s="39" t="n"/>
      <c r="AB65" s="39" t="n"/>
      <c r="AC65" s="39" t="n"/>
      <c r="AD65" s="39" t="n"/>
      <c r="AE65" s="39" t="n"/>
      <c r="AF65" s="39" t="n"/>
      <c r="AG65" s="39" t="n"/>
      <c r="AH65" s="39" t="n"/>
      <c r="AI65" s="39" t="n"/>
      <c r="AJ65" s="39" t="n"/>
      <c r="AK65" s="39" t="n"/>
      <c r="AL65" s="39" t="n"/>
      <c r="AM65" s="39" t="n"/>
      <c r="AN65" s="39" t="n"/>
      <c r="AO65" s="39" t="n"/>
      <c r="AP65" s="39" t="n"/>
      <c r="AQ65" s="39" t="n"/>
      <c r="AR65" s="39" t="n"/>
      <c r="AS65" s="39" t="n"/>
      <c r="AT65" s="39" t="n"/>
      <c r="AU65" s="39" t="n"/>
      <c r="AV65" s="39" t="n"/>
      <c r="AW65" s="39" t="n"/>
      <c r="AX65" s="39" t="n"/>
      <c r="AY65" s="39" t="n"/>
      <c r="AZ65" s="39" t="n"/>
      <c r="BA65" s="39" t="n"/>
      <c r="BB65" s="39" t="n"/>
      <c r="BC65" s="39" t="n"/>
      <c r="BD65" s="39" t="n"/>
      <c r="BE65" s="39" t="n"/>
      <c r="BF65" s="39" t="n"/>
      <c r="BG65" s="39" t="n"/>
      <c r="BH65" s="39" t="n"/>
      <c r="BI65" s="39" t="n"/>
      <c r="BJ65" s="39" t="n"/>
      <c r="BK65" s="39" t="n"/>
      <c r="BL65" s="39" t="n"/>
      <c r="BM65" s="39" t="n"/>
      <c r="BN65" s="39" t="n"/>
      <c r="BO65" s="39" t="n"/>
      <c r="BP65" s="39" t="n"/>
      <c r="BQ65" s="39" t="n"/>
      <c r="BR65" s="39" t="n"/>
      <c r="BS65" s="39" t="n"/>
      <c r="BT65" s="39" t="n"/>
      <c r="BU65" s="39" t="n"/>
      <c r="BV65" s="39" t="n"/>
      <c r="BW65" s="39" t="n"/>
      <c r="BX65" s="39" t="n"/>
      <c r="BY65" s="39" t="n"/>
      <c r="BZ65" s="39" t="n"/>
      <c r="CA65" s="39" t="n"/>
      <c r="CB65" s="39" t="n"/>
      <c r="CC65" s="39" t="n"/>
      <c r="CD65" s="39" t="n"/>
      <c r="CE65" s="39" t="n"/>
      <c r="CF65" s="39" t="n"/>
      <c r="CG65" s="39" t="n"/>
      <c r="CH65" s="39" t="n"/>
      <c r="CI65" s="39" t="n"/>
      <c r="CJ65" s="39" t="n"/>
      <c r="CK65" s="39" t="n"/>
      <c r="CL65" s="39" t="n"/>
      <c r="CM65" s="39" t="n"/>
      <c r="CN65" s="39" t="n"/>
      <c r="CO65" s="39" t="n"/>
      <c r="CP65" s="39" t="n"/>
      <c r="CQ65" s="39" t="n"/>
      <c r="CR65" s="39" t="n"/>
      <c r="CS65" s="39" t="n"/>
      <c r="CT65" s="39" t="n"/>
      <c r="CU65" s="39" t="n"/>
      <c r="CV65" s="39" t="n"/>
      <c r="CW65" s="39" t="n"/>
      <c r="CX65" s="39" t="n"/>
      <c r="CY65" s="39" t="n"/>
    </row>
    <row r="66" collapsed="1">
      <c r="C66" s="13" t="inlineStr">
        <is>
          <t>COGS (cash)</t>
        </is>
      </c>
      <c r="D66" s="46" t="n"/>
      <c r="E66" s="46" t="n"/>
      <c r="F66" s="46" t="n"/>
      <c r="G66" s="46" t="n"/>
      <c r="H66" s="12" t="n"/>
      <c r="I66" s="46">
        <f>'Inputs (2)'!D5</f>
        <v>-296.445</v>
      </c>
      <c r="J66" s="46">
        <f>'Inputs (2)'!E5</f>
        <v>-605.183</v>
      </c>
      <c r="K66" s="46">
        <f>'Inputs (2)'!F5</f>
        <v>-729.162</v>
      </c>
      <c r="L66" s="46">
        <f>'Inputs (2)'!G5</f>
        <v>-699.45</v>
      </c>
      <c r="M66" s="12">
        <f>'Inputs (2)'!H5</f>
        <v>-2330.24</v>
      </c>
      <c r="N66" s="46">
        <f>'Inputs (2)'!I5</f>
        <v>-807.931</v>
      </c>
      <c r="O66" s="46">
        <f>'Inputs (2)'!J5</f>
        <v>-1068.195</v>
      </c>
      <c r="P66" s="46">
        <f>'Inputs (2)'!K5</f>
        <v>-1319.005</v>
      </c>
      <c r="Q66" s="46">
        <f>'Inputs (2)'!L5</f>
        <v>-1423.846</v>
      </c>
      <c r="R66" s="12">
        <f>'Inputs (2)'!M5</f>
        <v>-4618.977</v>
      </c>
      <c r="S66" s="46">
        <f>'Inputs (2)'!N5</f>
        <v>-1495.089</v>
      </c>
      <c r="T66" s="46">
        <f>'Inputs (2)'!O5</f>
        <v>-1259.21</v>
      </c>
      <c r="U66" s="46">
        <f>'Inputs (2)'!P5</f>
        <v>-1459.743</v>
      </c>
      <c r="V66" s="46">
        <f>'Inputs (2)'!Q5</f>
        <v>-1121.686</v>
      </c>
      <c r="W66" s="12">
        <f>'Inputs (2)'!R5</f>
        <v>-5335.728</v>
      </c>
      <c r="X66" s="46">
        <f>'Inputs (2)'!S5</f>
        <v>-1641.713</v>
      </c>
      <c r="Y66" s="46">
        <f>'Inputs (2)'!T5</f>
        <v>-1943.53</v>
      </c>
      <c r="Z66" s="46">
        <f>'Inputs (2)'!U5</f>
        <v>-2167.358</v>
      </c>
      <c r="AA66" s="46">
        <f>'Inputs (2)'!V5</f>
        <v>-1632.258</v>
      </c>
      <c r="AB66" s="12">
        <f>'Inputs (2)'!W5</f>
        <v>-7384.859</v>
      </c>
      <c r="AC66" s="46">
        <f>'Inputs (2)'!X5</f>
        <v>-1850.292</v>
      </c>
      <c r="AD66" s="46">
        <f>'Inputs (2)'!Y5</f>
        <v>-1930.49</v>
      </c>
      <c r="AE66" s="46">
        <f>'Inputs (2)'!Z5</f>
        <v>-1923.127</v>
      </c>
      <c r="AF66" s="46">
        <f>'Inputs (2)'!AA5</f>
        <v>-1775.8778087</v>
      </c>
      <c r="AG66" s="12">
        <f>'Inputs (2)'!AB5</f>
        <v>-7479.7868087</v>
      </c>
      <c r="AH66" s="12">
        <f>'Inputs (2)'!AC5</f>
        <v>-1792.9548484</v>
      </c>
      <c r="AI66" s="12">
        <f>'Inputs (2)'!AD5</f>
        <v>-1658.1450488</v>
      </c>
      <c r="AJ66" s="12">
        <f>-(1-AJ67)*AJ15</f>
        <v>-1995.69508973002</v>
      </c>
      <c r="AK66" s="12">
        <f>-(1-AK67)*AK15</f>
        <v>-1939.06085574408</v>
      </c>
      <c r="AL66" s="12">
        <f>SUM(AH66:AK66)</f>
        <v>-7385.8558426741</v>
      </c>
      <c r="AM66" s="12">
        <f>-(1-AM67)*AM15</f>
        <v>-2003.53933835988</v>
      </c>
      <c r="AN66" s="12">
        <f>-(1-AN67)*AN15</f>
        <v>-1995.68831038383</v>
      </c>
      <c r="AO66" s="12">
        <f>-(1-AO67)*AO15</f>
        <v>-2148.26239182626</v>
      </c>
      <c r="AP66" s="12">
        <f>-(1-AP67)*AP15</f>
        <v>-2087.29857245928</v>
      </c>
      <c r="AQ66" s="12">
        <f>SUM(AM66:AP66)</f>
        <v>-8234.78861302925</v>
      </c>
      <c r="AR66" s="12">
        <f>-(1-AR67)*AR15</f>
        <v>-2146.68862247105</v>
      </c>
      <c r="AS66" s="12">
        <f>-(1-AS67)*AS15</f>
        <v>-2138.27665265933</v>
      </c>
      <c r="AT66" s="12">
        <f>-(1-AT67)*AT15</f>
        <v>-2301.75187794967</v>
      </c>
      <c r="AU66" s="12">
        <f>-(1-AU67)*AU15</f>
        <v>-2236.43230327906</v>
      </c>
      <c r="AV66" s="12">
        <f>SUM(AR66:AU66)</f>
        <v>-8823.14945635911</v>
      </c>
      <c r="AW66" s="12">
        <f>-(1-AW67)*AW15</f>
        <v>-2289.33222249072</v>
      </c>
      <c r="AX66" s="12">
        <f>-(1-AX67)*AX15</f>
        <v>-2280.36129240658</v>
      </c>
      <c r="AY66" s="12">
        <f>-(1-AY67)*AY15</f>
        <v>-2454.69915255013</v>
      </c>
      <c r="AZ66" s="12">
        <f>-(1-AZ67)*AZ15</f>
        <v>-2385.03920956284</v>
      </c>
      <c r="BA66" s="12">
        <f>SUM(AW66:AZ66)</f>
        <v>-9409.43187701026</v>
      </c>
      <c r="BB66" s="12">
        <f>-(1-BB67)*BB15</f>
        <v>-2430.00757219938</v>
      </c>
      <c r="BC66" s="12">
        <f>-(1-BC67)*BC15</f>
        <v>-2420.48539458795</v>
      </c>
      <c r="BD66" s="12">
        <f>-(1-BD67)*BD15</f>
        <v>-2605.53600284302</v>
      </c>
      <c r="BE66" s="12">
        <f>-(1-BE67)*BE15</f>
        <v>-2531.5955815817</v>
      </c>
      <c r="BF66" s="12">
        <f>SUM(BB66:BE66)</f>
        <v>-9987.62455121204</v>
      </c>
      <c r="BG66" s="12" t="n"/>
      <c r="BH66" s="12" t="n"/>
      <c r="BI66" s="12" t="n"/>
      <c r="BJ66" s="12" t="n"/>
      <c r="BK66" s="12" t="n"/>
      <c r="BL66" s="12" t="n"/>
      <c r="BM66" s="12" t="n"/>
      <c r="BN66" s="12" t="n"/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  <c r="CN66" s="12" t="n"/>
      <c r="CO66" s="12" t="n"/>
      <c r="CP66" s="12" t="n"/>
      <c r="CQ66" s="12" t="n"/>
      <c r="CR66" s="12" t="n"/>
      <c r="CS66" s="12" t="n"/>
      <c r="CT66" s="12" t="n"/>
      <c r="CU66" s="12" t="n"/>
      <c r="CV66" s="12" t="n"/>
      <c r="CW66" s="12" t="n"/>
      <c r="CX66" s="12" t="n"/>
      <c r="CY66" s="12" t="n"/>
    </row>
    <row r="67" hidden="1" outlineLevel="1" customFormat="1" s="3">
      <c r="C67" s="47" t="inlineStr">
        <is>
          <t>% Gross Margin</t>
        </is>
      </c>
      <c r="D67" s="48" t="n"/>
      <c r="E67" s="48" t="n"/>
      <c r="F67" s="48" t="n"/>
      <c r="G67" s="48" t="n"/>
      <c r="H67" s="48" t="n"/>
      <c r="I67" s="48">
        <f>IFERROR((I15+I66)/I$15,"")</f>
        <v>0.608680328215093</v>
      </c>
      <c r="J67" s="48">
        <f>IFERROR((J15+J66)/J$15,"")</f>
        <v>0.480683402769137</v>
      </c>
      <c r="K67" s="48">
        <f>IFERROR((K15+K66)/K$15,"")</f>
        <v>0.520627503162235</v>
      </c>
      <c r="L67" s="48">
        <f>IFERROR((L15+L66)/L$15,"")</f>
        <v>0.585895155011797</v>
      </c>
      <c r="M67" s="48">
        <f>IFERROR((M15+M66)/M$15,"")</f>
        <v>0.546031024901822</v>
      </c>
      <c r="N67" s="48">
        <f>IFERROR((N15+N66)/N$15,"")</f>
        <v>0.576035456538086</v>
      </c>
      <c r="O67" s="48">
        <f>IFERROR((O15+O66)/O$15,"")</f>
        <v>0.521201779298178</v>
      </c>
      <c r="P67" s="48">
        <f>IFERROR((P15+P66)/P$15,"")</f>
        <v>0.480064757117449</v>
      </c>
      <c r="Q67" s="48">
        <f>IFERROR((Q15+Q66)/Q$15,"")</f>
        <v>0.457919701762675</v>
      </c>
      <c r="R67" s="48">
        <f>IFERROR((R15+R66)/R$15,"")</f>
        <v>0.503343603423</v>
      </c>
      <c r="S67" s="48">
        <f>IFERROR((S15+S66)/S$15,"")</f>
        <v>0.44692006454558</v>
      </c>
      <c r="T67" s="48">
        <f>IFERROR((T15+T66)/T$15,"")</f>
        <v>0.492078717492812</v>
      </c>
      <c r="U67" s="48">
        <f>IFERROR((U15+U66)/U$15,"")</f>
        <v>0.452504669532147</v>
      </c>
      <c r="V67" s="48">
        <f>IFERROR((V15+V66)/V$15,"")</f>
        <v>0.550145902615018</v>
      </c>
      <c r="W67" s="48">
        <f>IFERROR((W15+W66)/W$15,"")</f>
        <v>0.484072638076104</v>
      </c>
      <c r="X67" s="48">
        <f>IFERROR((X15+X66)/X$15,"")</f>
        <v>0.45668254984204</v>
      </c>
      <c r="Y67" s="48">
        <f>IFERROR((Y15+Y66)/Y$15,"")</f>
        <v>0.43429743358082</v>
      </c>
      <c r="Z67" s="48">
        <f>IFERROR((Z15+Z66)/Z$15,"")</f>
        <v>0.42599680496967</v>
      </c>
      <c r="AA67" s="48">
        <f>IFERROR((AA15+AA66)/AA$15,"")</f>
        <v>0.497481802757687</v>
      </c>
      <c r="AB67" s="48">
        <f>IFERROR((AB15+AB66)/AB$15,"")</f>
        <v>0.45221344485991</v>
      </c>
      <c r="AC67" s="48">
        <f>IFERROR((AC15+AC66)/AC$15,"")</f>
        <v>0.481453975373231</v>
      </c>
      <c r="AD67" s="48">
        <f>IFERROR((AD15+AD66)/AD$15,"")</f>
        <v>0.475268591570658</v>
      </c>
      <c r="AE67" s="48">
        <f>IFERROR((AE15+AE66)/AE$15,"")</f>
        <v>0.48932363882403</v>
      </c>
      <c r="AF67" s="41">
        <f>IFERROR((AF15+AF66)/AF$15,"")</f>
        <v>0.51465158043024</v>
      </c>
      <c r="AG67" s="48">
        <f>IFERROR((AG15+AG66)/AG$15,"")</f>
        <v>0.490201834050733</v>
      </c>
      <c r="AH67" s="49">
        <f>IFERROR((AH15+AH66)/AH$15,"")</f>
        <v>0.525754239020955</v>
      </c>
      <c r="AI67" s="49">
        <f>IFERROR((AI15+AI66)/AI$15,"")</f>
        <v>0.559686720473235</v>
      </c>
      <c r="AJ67" s="49">
        <f>Control!$B$19</f>
        <v>0.507689790948725</v>
      </c>
      <c r="AK67" s="49">
        <f>Control!$B$19</f>
        <v>0.507689790948725</v>
      </c>
      <c r="AL67" s="48">
        <f>IFERROR((AL15+AL66)/AL$15,"")</f>
        <v>0.52468628027511</v>
      </c>
      <c r="AM67" s="49">
        <f>Control!$C$19</f>
        <v>0.507689790948725</v>
      </c>
      <c r="AN67" s="49">
        <f>Control!$C$19</f>
        <v>0.507689790948725</v>
      </c>
      <c r="AO67" s="49">
        <f>Control!$C$19</f>
        <v>0.507689790948725</v>
      </c>
      <c r="AP67" s="49">
        <f>Control!$C$19</f>
        <v>0.507689790948725</v>
      </c>
      <c r="AQ67" s="48">
        <f>IFERROR((AQ15+AQ66)/AQ$15,"")</f>
        <v>0.507689790948725</v>
      </c>
      <c r="AR67" s="49">
        <f>Control!$D$19</f>
        <v>0.507689790948725</v>
      </c>
      <c r="AS67" s="49">
        <f>Control!$D$19</f>
        <v>0.507689790948725</v>
      </c>
      <c r="AT67" s="49">
        <f>Control!$D$19</f>
        <v>0.507689790948725</v>
      </c>
      <c r="AU67" s="49">
        <f>Control!$D$19</f>
        <v>0.507689790948725</v>
      </c>
      <c r="AV67" s="48">
        <f>IFERROR((AV15+AV66)/AV$15,"")</f>
        <v>0.507689790948725</v>
      </c>
      <c r="AW67" s="49">
        <f>Control!$E$19</f>
        <v>0.507689790948725</v>
      </c>
      <c r="AX67" s="49">
        <f>Control!$E$19</f>
        <v>0.507689790948725</v>
      </c>
      <c r="AY67" s="49">
        <f>Control!$E$19</f>
        <v>0.507689790948725</v>
      </c>
      <c r="AZ67" s="49">
        <f>Control!$E$19</f>
        <v>0.507689790948725</v>
      </c>
      <c r="BA67" s="48">
        <f>IFERROR((BA15+BA66)/BA$15,"")</f>
        <v>0.507689790948725</v>
      </c>
      <c r="BB67" s="49">
        <f>Control!$F$19</f>
        <v>0.507689790948725</v>
      </c>
      <c r="BC67" s="49">
        <f>Control!$F$19</f>
        <v>0.507689790948725</v>
      </c>
      <c r="BD67" s="49">
        <f>Control!$F$19</f>
        <v>0.507689790948725</v>
      </c>
      <c r="BE67" s="49">
        <f>Control!$F$19</f>
        <v>0.507689790948725</v>
      </c>
      <c r="BF67" s="48">
        <f>IFERROR((BF15+BF66)/BF$15,"")</f>
        <v>0.507689790948725</v>
      </c>
      <c r="BG67" s="49" t="n"/>
      <c r="BH67" s="49" t="n"/>
      <c r="BI67" s="49" t="n"/>
      <c r="BJ67" s="49" t="n"/>
      <c r="BK67" s="48" t="n"/>
      <c r="BL67" s="49" t="n"/>
      <c r="BM67" s="49" t="n"/>
      <c r="BN67" s="49" t="n"/>
      <c r="BO67" s="49" t="n"/>
      <c r="BP67" s="48" t="n"/>
      <c r="BQ67" s="49" t="n"/>
      <c r="BR67" s="49" t="n"/>
      <c r="BS67" s="49" t="n"/>
      <c r="BT67" s="49" t="n"/>
      <c r="BU67" s="48" t="n"/>
      <c r="BV67" s="49" t="n"/>
      <c r="BW67" s="49" t="n"/>
      <c r="BX67" s="49" t="n"/>
      <c r="BY67" s="49" t="n"/>
      <c r="BZ67" s="48" t="n"/>
      <c r="CA67" s="49" t="n"/>
      <c r="CB67" s="49" t="n"/>
      <c r="CC67" s="49" t="n"/>
      <c r="CD67" s="49" t="n"/>
      <c r="CE67" s="48" t="n"/>
      <c r="CF67" s="49" t="n"/>
      <c r="CG67" s="49" t="n"/>
      <c r="CH67" s="49" t="n"/>
      <c r="CI67" s="49" t="n"/>
      <c r="CJ67" s="48" t="n"/>
      <c r="CK67" s="49" t="n"/>
      <c r="CL67" s="49" t="n"/>
      <c r="CM67" s="49" t="n"/>
      <c r="CN67" s="49" t="n"/>
      <c r="CO67" s="48" t="n"/>
      <c r="CP67" s="49" t="n"/>
      <c r="CQ67" s="49" t="n"/>
      <c r="CR67" s="49" t="n"/>
      <c r="CS67" s="49" t="n"/>
      <c r="CT67" s="48" t="n"/>
      <c r="CU67" s="49" t="n"/>
      <c r="CV67" s="49" t="n"/>
      <c r="CW67" s="49" t="n"/>
      <c r="CX67" s="49" t="n"/>
      <c r="CY67" s="48" t="n"/>
    </row>
    <row r="68" hidden="1" outlineLevel="1"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  <c r="AD68" s="50" t="n"/>
      <c r="AE68" s="50" t="n"/>
      <c r="AF68" s="50" t="n"/>
      <c r="AG68" s="50" t="n"/>
      <c r="AH68" s="50" t="n"/>
      <c r="AI68" s="50" t="n"/>
      <c r="AJ68" s="50" t="n"/>
      <c r="AK68" s="50" t="n"/>
      <c r="AL68" s="50" t="n"/>
      <c r="AM68" s="50" t="n"/>
      <c r="AN68" s="50" t="n"/>
      <c r="AO68" s="50" t="n"/>
      <c r="AP68" s="50" t="n"/>
      <c r="AQ68" s="50" t="n"/>
      <c r="AR68" s="50" t="n"/>
      <c r="AS68" s="50" t="n"/>
      <c r="AT68" s="50" t="n"/>
      <c r="AU68" s="50" t="n"/>
      <c r="AV68" s="50" t="n"/>
      <c r="AW68" s="50" t="n"/>
      <c r="AX68" s="50" t="n"/>
      <c r="AY68" s="50" t="n"/>
      <c r="AZ68" s="50" t="n"/>
      <c r="BA68" s="50" t="n"/>
      <c r="BB68" s="50" t="n"/>
      <c r="BC68" s="50" t="n"/>
      <c r="BD68" s="50" t="n"/>
      <c r="BE68" s="50" t="n"/>
      <c r="BF68" s="50" t="n"/>
      <c r="BG68" s="50" t="n"/>
      <c r="BH68" s="50" t="n"/>
      <c r="BI68" s="50" t="n"/>
      <c r="BJ68" s="50" t="n"/>
      <c r="BK68" s="50" t="n"/>
      <c r="BL68" s="50" t="n"/>
      <c r="BM68" s="50" t="n"/>
      <c r="BN68" s="50" t="n"/>
      <c r="BO68" s="50" t="n"/>
      <c r="BP68" s="50" t="n"/>
      <c r="BQ68" s="50" t="n"/>
      <c r="BR68" s="50" t="n"/>
      <c r="BS68" s="50" t="n"/>
      <c r="BT68" s="50" t="n"/>
      <c r="BU68" s="50" t="n"/>
      <c r="BV68" s="50" t="n"/>
      <c r="BW68" s="50" t="n"/>
      <c r="BX68" s="50" t="n"/>
      <c r="BY68" s="50" t="n"/>
      <c r="BZ68" s="50" t="n"/>
      <c r="CA68" s="50" t="n"/>
      <c r="CB68" s="50" t="n"/>
      <c r="CC68" s="50" t="n"/>
      <c r="CD68" s="50" t="n"/>
      <c r="CE68" s="50" t="n"/>
      <c r="CF68" s="50" t="n"/>
      <c r="CG68" s="50" t="n"/>
      <c r="CH68" s="50" t="n"/>
      <c r="CI68" s="50" t="n"/>
      <c r="CJ68" s="50" t="n"/>
      <c r="CK68" s="50" t="n"/>
      <c r="CL68" s="50" t="n"/>
      <c r="CM68" s="50" t="n"/>
      <c r="CN68" s="50" t="n"/>
      <c r="CO68" s="50" t="n"/>
      <c r="CP68" s="50" t="n"/>
      <c r="CQ68" s="50" t="n"/>
      <c r="CR68" s="50" t="n"/>
      <c r="CS68" s="50" t="n"/>
      <c r="CT68" s="50" t="n"/>
      <c r="CU68" s="50" t="n"/>
      <c r="CV68" s="50" t="n"/>
      <c r="CW68" s="50" t="n"/>
      <c r="CX68" s="50" t="n"/>
      <c r="CY68" s="50" t="n"/>
    </row>
    <row r="69" hidden="1" outlineLevel="1">
      <c r="C69" s="50" t="n"/>
      <c r="D69" s="50" t="n"/>
      <c r="E69" s="50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  <c r="AA69" s="50" t="n"/>
      <c r="AB69" s="50" t="n"/>
      <c r="AC69" s="50" t="n"/>
      <c r="AD69" s="50" t="n"/>
      <c r="AE69" s="50" t="n"/>
      <c r="AF69" s="50" t="n"/>
      <c r="AG69" s="50" t="n"/>
      <c r="AH69" s="50" t="n"/>
      <c r="AI69" s="50" t="n"/>
      <c r="AJ69" s="50" t="n"/>
      <c r="AK69" s="50" t="n"/>
      <c r="AL69" s="50" t="n"/>
      <c r="AM69" s="50" t="n"/>
      <c r="AN69" s="50" t="n"/>
      <c r="AO69" s="50" t="n"/>
      <c r="AP69" s="50" t="n"/>
      <c r="AQ69" s="50" t="n"/>
      <c r="AR69" s="50" t="n"/>
      <c r="AS69" s="50" t="n"/>
      <c r="AT69" s="50" t="n"/>
      <c r="AU69" s="50" t="n"/>
      <c r="AV69" s="50" t="n"/>
      <c r="AW69" s="50" t="n"/>
      <c r="AX69" s="50" t="n"/>
      <c r="AY69" s="50" t="n"/>
      <c r="AZ69" s="50" t="n"/>
      <c r="BA69" s="50" t="n"/>
      <c r="BB69" s="50" t="n"/>
      <c r="BC69" s="50" t="n"/>
      <c r="BD69" s="50" t="n"/>
      <c r="BE69" s="50" t="n"/>
      <c r="BF69" s="50" t="n"/>
      <c r="BG69" s="50" t="n"/>
      <c r="BH69" s="50" t="n"/>
      <c r="BI69" s="50" t="n"/>
      <c r="BJ69" s="50" t="n"/>
      <c r="BK69" s="50" t="n"/>
      <c r="BL69" s="50" t="n"/>
      <c r="BM69" s="50" t="n"/>
      <c r="BN69" s="50" t="n"/>
      <c r="BO69" s="50" t="n"/>
      <c r="BP69" s="50" t="n"/>
      <c r="BQ69" s="50" t="n"/>
      <c r="BR69" s="50" t="n"/>
      <c r="BS69" s="50" t="n"/>
      <c r="BT69" s="50" t="n"/>
      <c r="BU69" s="50" t="n"/>
      <c r="BV69" s="50" t="n"/>
      <c r="BW69" s="50" t="n"/>
      <c r="BX69" s="50" t="n"/>
      <c r="BY69" s="50" t="n"/>
      <c r="BZ69" s="50" t="n"/>
      <c r="CA69" s="50" t="n"/>
      <c r="CB69" s="50" t="n"/>
      <c r="CC69" s="50" t="n"/>
      <c r="CD69" s="50" t="n"/>
      <c r="CE69" s="50" t="n"/>
      <c r="CF69" s="50" t="n"/>
      <c r="CG69" s="50" t="n"/>
      <c r="CH69" s="50" t="n"/>
      <c r="CI69" s="50" t="n"/>
      <c r="CJ69" s="50" t="n"/>
      <c r="CK69" s="50" t="n"/>
      <c r="CL69" s="50" t="n"/>
      <c r="CM69" s="50" t="n"/>
      <c r="CN69" s="50" t="n"/>
      <c r="CO69" s="50" t="n"/>
      <c r="CP69" s="50" t="n"/>
      <c r="CQ69" s="50" t="n"/>
      <c r="CR69" s="50" t="n"/>
      <c r="CS69" s="50" t="n"/>
      <c r="CT69" s="50" t="n"/>
      <c r="CU69" s="50" t="n"/>
      <c r="CV69" s="50" t="n"/>
      <c r="CW69" s="50" t="n"/>
      <c r="CX69" s="50" t="n"/>
      <c r="CY69" s="50" t="n"/>
    </row>
    <row r="70" collapsed="1">
      <c r="C70" s="13" t="inlineStr">
        <is>
          <t>SG&amp;A and Other (cash)</t>
        </is>
      </c>
      <c r="D70" s="46" t="n"/>
      <c r="E70" s="46" t="n"/>
      <c r="F70" s="46" t="n"/>
      <c r="G70" s="46" t="n"/>
      <c r="H70" s="12" t="n"/>
      <c r="I70" s="46">
        <f>'Inputs (2)'!D6</f>
        <v>-156.605</v>
      </c>
      <c r="J70" s="46">
        <f>'Inputs (2)'!E6</f>
        <v>-171.698</v>
      </c>
      <c r="K70" s="46">
        <f>'Inputs (2)'!F6</f>
        <v>-178.506</v>
      </c>
      <c r="L70" s="46">
        <f>'Inputs (2)'!G6</f>
        <v>-213.003</v>
      </c>
      <c r="M70" s="12">
        <f>'Inputs (2)'!H6</f>
        <v>-719.812</v>
      </c>
      <c r="N70" s="46">
        <f>'Inputs (2)'!I6</f>
        <v>-234.631</v>
      </c>
      <c r="O70" s="46">
        <f>'Inputs (2)'!J6</f>
        <v>-257.54</v>
      </c>
      <c r="P70" s="46">
        <f>'Inputs (2)'!K6</f>
        <v>-292.522</v>
      </c>
      <c r="Q70" s="46">
        <f>'Inputs (2)'!L6</f>
        <v>-344.544</v>
      </c>
      <c r="R70" s="12">
        <f>'Inputs (2)'!M6</f>
        <v>-1129.237</v>
      </c>
      <c r="S70" s="46">
        <f>'Inputs (2)'!N6</f>
        <v>-332.775</v>
      </c>
      <c r="T70" s="46">
        <f>'Inputs (2)'!O6</f>
        <v>-329.942</v>
      </c>
      <c r="U70" s="46">
        <f>'Inputs (2)'!P6</f>
        <v>-338.551</v>
      </c>
      <c r="V70" s="46">
        <f>'Inputs (2)'!Q6</f>
        <v>-505.685</v>
      </c>
      <c r="W70" s="12">
        <f>'Inputs (2)'!R6</f>
        <v>-1506.953</v>
      </c>
      <c r="X70" s="46">
        <f>'Inputs (2)'!S6</f>
        <v>-320.432</v>
      </c>
      <c r="Y70" s="46">
        <f>'Inputs (2)'!T6</f>
        <v>-342.713</v>
      </c>
      <c r="Z70" s="46">
        <f>'Inputs (2)'!U6</f>
        <v>-361.03</v>
      </c>
      <c r="AA70" s="46">
        <f>'Inputs (2)'!V6</f>
        <v>-371.618</v>
      </c>
      <c r="AB70" s="12">
        <f>'Inputs (2)'!W6</f>
        <v>-1395.793</v>
      </c>
      <c r="AC70" s="46">
        <f>'Inputs (2)'!X6</f>
        <v>-379.61</v>
      </c>
      <c r="AD70" s="46">
        <f>'Inputs (2)'!Y6</f>
        <v>-369.393</v>
      </c>
      <c r="AE70" s="46">
        <f>'Inputs (2)'!Z6</f>
        <v>-364.059</v>
      </c>
      <c r="AF70" s="46">
        <f>'Inputs (2)'!AA6</f>
        <v>-393.0470863</v>
      </c>
      <c r="AG70" s="12">
        <f>'Inputs (2)'!AB6</f>
        <v>-1506.1090863</v>
      </c>
      <c r="AH70" s="12">
        <f>'Inputs (2)'!AC6</f>
        <v>-419.025553162</v>
      </c>
      <c r="AI70" s="12">
        <f>'Inputs (2)'!AD6</f>
        <v>-420.941574688</v>
      </c>
      <c r="AJ70" s="12">
        <f>-AJ15*AJ71</f>
        <v>-428.006373463805</v>
      </c>
      <c r="AK70" s="12">
        <f>-AK15*AK71</f>
        <v>-415.860323084184</v>
      </c>
      <c r="AL70" s="12">
        <f>SUM(AH70:AK70)</f>
        <v>-1683.83382439799</v>
      </c>
      <c r="AM70" s="12">
        <f>-AM15*AM71</f>
        <v>-429.688688776346</v>
      </c>
      <c r="AN70" s="12">
        <f>-AN15*AN71</f>
        <v>-428.004919532595</v>
      </c>
      <c r="AO70" s="12">
        <f>-AO15*AO71</f>
        <v>-460.726691319677</v>
      </c>
      <c r="AP70" s="12">
        <f>-AP15*AP71</f>
        <v>-447.652097222592</v>
      </c>
      <c r="AQ70" s="12">
        <f>SUM(AM70:AP70)</f>
        <v>-1766.07239685121</v>
      </c>
      <c r="AR70" s="12">
        <f>-AR15*AR71</f>
        <v>-460.389173169806</v>
      </c>
      <c r="AS70" s="12">
        <f>-AS15*AS71</f>
        <v>-458.585101640377</v>
      </c>
      <c r="AT70" s="12">
        <f>-AT15*AT71</f>
        <v>-493.644785200134</v>
      </c>
      <c r="AU70" s="12">
        <f>-AU15*AU71</f>
        <v>-479.636034858044</v>
      </c>
      <c r="AV70" s="12">
        <f>SUM(AR70:AU70)</f>
        <v>-1892.25509486836</v>
      </c>
      <c r="AW70" s="12">
        <f>-AW15*AW71</f>
        <v>-490.981206119337</v>
      </c>
      <c r="AX70" s="12">
        <f>-AX15*AX71</f>
        <v>-489.057257279824</v>
      </c>
      <c r="AY70" s="12">
        <f>-AY15*AY71</f>
        <v>-526.446593787924</v>
      </c>
      <c r="AZ70" s="12">
        <f>-AZ15*AZ71</f>
        <v>-511.506987168098</v>
      </c>
      <c r="BA70" s="12">
        <f>SUM(AW70:AZ70)</f>
        <v>-2017.99204435518</v>
      </c>
      <c r="BB70" s="12">
        <f>-BB15*BB71</f>
        <v>-521.151118634731</v>
      </c>
      <c r="BC70" s="12">
        <f>-BC15*BC71</f>
        <v>-519.10894659757</v>
      </c>
      <c r="BD70" s="12">
        <f>-BD15*BD71</f>
        <v>-558.795790622045</v>
      </c>
      <c r="BE70" s="12">
        <f>-BE15*BE71</f>
        <v>-542.938172031257</v>
      </c>
      <c r="BF70" s="12">
        <f>SUM(BB70:BE70)</f>
        <v>-2141.9940278856</v>
      </c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2" t="n"/>
      <c r="CY70" s="12" t="n"/>
    </row>
    <row r="71" hidden="1" outlineLevel="1">
      <c r="C71" s="38" t="inlineStr">
        <is>
          <t>% SG&amp;A and Other Margin</t>
        </is>
      </c>
      <c r="D71" s="51" t="n"/>
      <c r="E71" s="51" t="n"/>
      <c r="F71" s="51" t="n"/>
      <c r="G71" s="51" t="n"/>
      <c r="H71" s="51" t="n"/>
      <c r="I71" s="51">
        <f>IFERROR(-(I70/I$15),"")</f>
        <v>0.2067250828986</v>
      </c>
      <c r="J71" s="51">
        <f>IFERROR(-(J70/J$15),"")</f>
        <v>0.147336625634469</v>
      </c>
      <c r="K71" s="51">
        <f>IFERROR(-(K70/K$15),"")</f>
        <v>0.117355082849246</v>
      </c>
      <c r="L71" s="51">
        <f>IFERROR(-(L70/L$15),"")</f>
        <v>0.126107047390124</v>
      </c>
      <c r="M71" s="51">
        <f>IFERROR(-(M70/M$15),"")</f>
        <v>0.140231184729199</v>
      </c>
      <c r="N71" s="51">
        <f>IFERROR(-(N70/N$15),"")</f>
        <v>0.123123416228629</v>
      </c>
      <c r="O71" s="51">
        <f>IFERROR(-(O70/O$15),"")</f>
        <v>0.115437437695877</v>
      </c>
      <c r="P71" s="51">
        <f>IFERROR(-(P70/P$15),"")</f>
        <v>0.115308506880936</v>
      </c>
      <c r="Q71" s="51">
        <f>IFERROR(-(Q70/Q$15),"")</f>
        <v>0.131173254885627</v>
      </c>
      <c r="R71" s="51">
        <f>IFERROR(-(R70/R$15),"")</f>
        <v>0.121421427147488</v>
      </c>
      <c r="S71" s="51">
        <f>IFERROR(-(S70/S$15),"")</f>
        <v>0.123103825605596</v>
      </c>
      <c r="T71" s="51">
        <f>IFERROR(-(T70/T$15),"")</f>
        <v>0.133087065535524</v>
      </c>
      <c r="U71" s="51">
        <f>IFERROR(-(U70/U$15),"")</f>
        <v>0.126977893797211</v>
      </c>
      <c r="V71" s="51">
        <f>IFERROR(-(V70/V$15),"")</f>
        <v>0.202805838029649</v>
      </c>
      <c r="W71" s="51">
        <f>IFERROR(-(W70/W$15),"")</f>
        <v>0.145711754016191</v>
      </c>
      <c r="X71" s="51">
        <f>IFERROR(-(X70/X$15),"")</f>
        <v>0.106045512942284</v>
      </c>
      <c r="Y71" s="51">
        <f>IFERROR(-(Y70/Y$15),"")</f>
        <v>0.0997533475918645</v>
      </c>
      <c r="Z71" s="51">
        <f>IFERROR(-(Z70/Z$15),"")</f>
        <v>0.0956152022424536</v>
      </c>
      <c r="AA71" s="51">
        <f>IFERROR(-(AA70/AA$15),"")</f>
        <v>0.114408878634869</v>
      </c>
      <c r="AB71" s="51">
        <f>IFERROR(-(AB70/AB$15),"")</f>
        <v>0.103535712619381</v>
      </c>
      <c r="AC71" s="51">
        <f>IFERROR(-(AC70/AC$15),"")</f>
        <v>0.10638604955789</v>
      </c>
      <c r="AD71" s="51">
        <f>IFERROR(-(AD70/AD$15),"")</f>
        <v>0.100405653048677</v>
      </c>
      <c r="AE71" s="51">
        <f>IFERROR(-(AE70/AE$15),"")</f>
        <v>0.0966739718039228</v>
      </c>
      <c r="AF71" s="41">
        <f>IFERROR(-(AF70/AF$15),"")</f>
        <v>0.107419993209921</v>
      </c>
      <c r="AG71" s="51">
        <f>IFERROR(-(AG70/AG$15),"")</f>
        <v>0.102651542022855</v>
      </c>
      <c r="AH71" s="52">
        <f>IFERROR(-(AH70/AH$15),"")</f>
        <v>0.110834409748976</v>
      </c>
      <c r="AI71" s="52">
        <f>IFERROR(-(AI70/AI$15),"")</f>
        <v>0.111779223038521</v>
      </c>
      <c r="AJ71" s="52">
        <f>Control!$B$20</f>
        <v>0.105583216734651</v>
      </c>
      <c r="AK71" s="52">
        <f>Control!$B$20</f>
        <v>0.105583216734651</v>
      </c>
      <c r="AL71" s="51">
        <f>IFERROR(-(AL70/AL$15),"")</f>
        <v>0.10836243429623</v>
      </c>
      <c r="AM71" s="52">
        <f>Control!$C$20</f>
        <v>0.105583216734651</v>
      </c>
      <c r="AN71" s="52">
        <f>Control!$C$20</f>
        <v>0.105583216734651</v>
      </c>
      <c r="AO71" s="52">
        <f>Control!$C$20</f>
        <v>0.105583216734651</v>
      </c>
      <c r="AP71" s="52">
        <f>Control!$C$20</f>
        <v>0.105583216734651</v>
      </c>
      <c r="AQ71" s="51">
        <f>IFERROR(-(AQ70/AQ$15),"")</f>
        <v>0.105583216734651</v>
      </c>
      <c r="AR71" s="52">
        <f>Control!$D$20</f>
        <v>0.105583216734651</v>
      </c>
      <c r="AS71" s="52">
        <f>Control!$D$20</f>
        <v>0.105583216734651</v>
      </c>
      <c r="AT71" s="52">
        <f>Control!$D$20</f>
        <v>0.105583216734651</v>
      </c>
      <c r="AU71" s="52">
        <f>Control!$D$20</f>
        <v>0.105583216734651</v>
      </c>
      <c r="AV71" s="51">
        <f>IFERROR(-(AV70/AV$15),"")</f>
        <v>0.105583216734651</v>
      </c>
      <c r="AW71" s="52">
        <f>Control!$E$20</f>
        <v>0.105583216734651</v>
      </c>
      <c r="AX71" s="52">
        <f>Control!$E$20</f>
        <v>0.105583216734651</v>
      </c>
      <c r="AY71" s="52">
        <f>Control!$E$20</f>
        <v>0.105583216734651</v>
      </c>
      <c r="AZ71" s="52">
        <f>Control!$E$20</f>
        <v>0.105583216734651</v>
      </c>
      <c r="BA71" s="51">
        <f>IFERROR(-(BA70/BA$15),"")</f>
        <v>0.105583216734651</v>
      </c>
      <c r="BB71" s="52">
        <f>Control!$F$20</f>
        <v>0.105583216734651</v>
      </c>
      <c r="BC71" s="52">
        <f>Control!$F$20</f>
        <v>0.105583216734651</v>
      </c>
      <c r="BD71" s="52">
        <f>Control!$F$20</f>
        <v>0.105583216734651</v>
      </c>
      <c r="BE71" s="52">
        <f>Control!$F$20</f>
        <v>0.105583216734651</v>
      </c>
      <c r="BF71" s="51">
        <f>IFERROR(-(BF70/BF$15),"")</f>
        <v>0.105583216734651</v>
      </c>
      <c r="BG71" s="52" t="n"/>
      <c r="BH71" s="52" t="n"/>
      <c r="BI71" s="52" t="n"/>
      <c r="BJ71" s="52" t="n"/>
      <c r="BK71" s="51" t="n"/>
      <c r="BL71" s="52" t="n"/>
      <c r="BM71" s="52" t="n"/>
      <c r="BN71" s="52" t="n"/>
      <c r="BO71" s="52" t="n"/>
      <c r="BP71" s="51" t="n"/>
      <c r="BQ71" s="52" t="n"/>
      <c r="BR71" s="52" t="n"/>
      <c r="BS71" s="52" t="n"/>
      <c r="BT71" s="52" t="n"/>
      <c r="BU71" s="51" t="n"/>
      <c r="BV71" s="52" t="n"/>
      <c r="BW71" s="52" t="n"/>
      <c r="BX71" s="52" t="n"/>
      <c r="BY71" s="52" t="n"/>
      <c r="BZ71" s="51" t="n"/>
      <c r="CA71" s="52" t="n"/>
      <c r="CB71" s="52" t="n"/>
      <c r="CC71" s="52" t="n"/>
      <c r="CD71" s="52" t="n"/>
      <c r="CE71" s="51" t="n"/>
      <c r="CF71" s="52" t="n"/>
      <c r="CG71" s="52" t="n"/>
      <c r="CH71" s="52" t="n"/>
      <c r="CI71" s="52" t="n"/>
      <c r="CJ71" s="51" t="n"/>
      <c r="CK71" s="52" t="n"/>
      <c r="CL71" s="52" t="n"/>
      <c r="CM71" s="52" t="n"/>
      <c r="CN71" s="52" t="n"/>
      <c r="CO71" s="51" t="n"/>
      <c r="CP71" s="52" t="n"/>
      <c r="CQ71" s="52" t="n"/>
      <c r="CR71" s="52" t="n"/>
      <c r="CS71" s="52" t="n"/>
      <c r="CT71" s="51" t="n"/>
      <c r="CU71" s="52" t="n"/>
      <c r="CV71" s="52" t="n"/>
      <c r="CW71" s="52" t="n"/>
      <c r="CX71" s="52" t="n"/>
      <c r="CY71" s="51" t="n"/>
    </row>
    <row r="72" hidden="1" outlineLevel="1">
      <c r="C72" s="50" t="n"/>
      <c r="D72" s="50" t="n"/>
      <c r="E72" s="50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  <c r="AA72" s="50" t="n"/>
      <c r="AB72" s="50" t="n"/>
      <c r="AC72" s="50" t="n"/>
      <c r="AD72" s="50" t="n"/>
      <c r="AE72" s="50" t="n"/>
      <c r="AF72" s="50" t="n"/>
      <c r="AG72" s="50" t="n"/>
      <c r="AH72" s="50" t="n"/>
      <c r="AI72" s="50" t="n"/>
      <c r="AJ72" s="50" t="n"/>
      <c r="AK72" s="50" t="n"/>
      <c r="AL72" s="50" t="n"/>
      <c r="AM72" s="50" t="n"/>
      <c r="AN72" s="50" t="n"/>
      <c r="AO72" s="50" t="n"/>
      <c r="AP72" s="50" t="n"/>
      <c r="AQ72" s="50" t="n"/>
      <c r="AR72" s="50" t="n"/>
      <c r="AS72" s="50" t="n"/>
      <c r="AT72" s="50" t="n"/>
      <c r="AU72" s="50" t="n"/>
      <c r="AV72" s="50" t="n"/>
      <c r="AW72" s="50" t="n"/>
      <c r="AX72" s="50" t="n"/>
      <c r="AY72" s="50" t="n"/>
      <c r="AZ72" s="50" t="n"/>
      <c r="BA72" s="50" t="n"/>
      <c r="BB72" s="50" t="n"/>
      <c r="BC72" s="50" t="n"/>
      <c r="BD72" s="50" t="n"/>
      <c r="BE72" s="50" t="n"/>
      <c r="BF72" s="50" t="n"/>
      <c r="BG72" s="50" t="n"/>
      <c r="BH72" s="50" t="n"/>
      <c r="BI72" s="50" t="n"/>
      <c r="BJ72" s="50" t="n"/>
      <c r="BK72" s="50" t="n"/>
      <c r="BL72" s="50" t="n"/>
      <c r="BM72" s="50" t="n"/>
      <c r="BN72" s="50" t="n"/>
      <c r="BO72" s="50" t="n"/>
      <c r="BP72" s="50" t="n"/>
      <c r="BQ72" s="50" t="n"/>
      <c r="BR72" s="50" t="n"/>
      <c r="BS72" s="50" t="n"/>
      <c r="BT72" s="50" t="n"/>
      <c r="BU72" s="50" t="n"/>
      <c r="BV72" s="50" t="n"/>
      <c r="BW72" s="50" t="n"/>
      <c r="BX72" s="50" t="n"/>
      <c r="BY72" s="50" t="n"/>
      <c r="BZ72" s="50" t="n"/>
      <c r="CA72" s="50" t="n"/>
      <c r="CB72" s="50" t="n"/>
      <c r="CC72" s="50" t="n"/>
      <c r="CD72" s="50" t="n"/>
      <c r="CE72" s="50" t="n"/>
      <c r="CF72" s="50" t="n"/>
      <c r="CG72" s="50" t="n"/>
      <c r="CH72" s="50" t="n"/>
      <c r="CI72" s="50" t="n"/>
      <c r="CJ72" s="50" t="n"/>
      <c r="CK72" s="50" t="n"/>
      <c r="CL72" s="50" t="n"/>
      <c r="CM72" s="50" t="n"/>
      <c r="CN72" s="50" t="n"/>
      <c r="CO72" s="50" t="n"/>
      <c r="CP72" s="50" t="n"/>
      <c r="CQ72" s="50" t="n"/>
      <c r="CR72" s="50" t="n"/>
      <c r="CS72" s="50" t="n"/>
      <c r="CT72" s="50" t="n"/>
      <c r="CU72" s="50" t="n"/>
      <c r="CV72" s="50" t="n"/>
      <c r="CW72" s="50" t="n"/>
      <c r="CX72" s="50" t="n"/>
      <c r="CY72" s="50" t="n"/>
    </row>
    <row r="73" hidden="1" outlineLevel="1">
      <c r="C73" s="50" t="inlineStr">
        <is>
          <t>Com Vendas</t>
        </is>
      </c>
      <c r="D73" s="11" t="n"/>
      <c r="E73" s="11" t="n"/>
      <c r="F73" s="11" t="n"/>
      <c r="G73" s="11" t="n"/>
      <c r="H73" s="50" t="n"/>
      <c r="I73" s="11" t="n"/>
      <c r="J73" s="11" t="n"/>
      <c r="K73" s="11" t="n"/>
      <c r="L73" s="11" t="n"/>
      <c r="M73" s="50" t="n"/>
      <c r="N73" s="11" t="n"/>
      <c r="O73" s="11" t="n"/>
      <c r="P73" s="11" t="n"/>
      <c r="Q73" s="11" t="n"/>
      <c r="R73" s="50" t="n"/>
      <c r="S73" s="11" t="n"/>
      <c r="T73" s="11" t="n"/>
      <c r="U73" s="11" t="n"/>
      <c r="V73" s="11" t="n"/>
      <c r="W73" s="50" t="n"/>
      <c r="X73" s="11" t="n"/>
      <c r="Y73" s="11" t="n"/>
      <c r="Z73" s="11" t="n"/>
      <c r="AA73" s="11" t="n"/>
      <c r="AB73" s="50" t="n"/>
      <c r="AC73" s="11" t="n"/>
      <c r="AD73" s="11" t="n"/>
      <c r="AE73" s="11" t="n"/>
      <c r="AF73" s="11" t="n"/>
      <c r="AG73" s="50" t="n"/>
      <c r="AH73" s="50" t="n"/>
      <c r="AI73" s="50" t="n"/>
      <c r="AJ73" s="50" t="n"/>
      <c r="AK73" s="50" t="n"/>
      <c r="AL73" s="50" t="n"/>
      <c r="AM73" s="50" t="n"/>
      <c r="AN73" s="50" t="n"/>
      <c r="AO73" s="50" t="n"/>
      <c r="AP73" s="50" t="n"/>
      <c r="AQ73" s="50" t="n"/>
      <c r="AR73" s="50" t="n"/>
      <c r="AS73" s="50" t="n"/>
      <c r="AT73" s="50" t="n"/>
      <c r="AU73" s="50" t="n"/>
      <c r="AV73" s="50" t="n"/>
      <c r="AW73" s="50" t="n"/>
      <c r="AX73" s="50" t="n"/>
      <c r="AY73" s="50" t="n"/>
      <c r="AZ73" s="50" t="n"/>
      <c r="BA73" s="50" t="n"/>
      <c r="BB73" s="50" t="n"/>
      <c r="BC73" s="50" t="n"/>
      <c r="BD73" s="50" t="n"/>
      <c r="BE73" s="50" t="n"/>
      <c r="BF73" s="50" t="n"/>
      <c r="BG73" s="50" t="n"/>
      <c r="BH73" s="50" t="n"/>
      <c r="BI73" s="50" t="n"/>
      <c r="BJ73" s="50" t="n"/>
      <c r="BK73" s="50" t="n"/>
      <c r="BL73" s="50" t="n"/>
      <c r="BM73" s="50" t="n"/>
      <c r="BN73" s="50" t="n"/>
      <c r="BO73" s="50" t="n"/>
      <c r="BP73" s="50" t="n"/>
      <c r="BQ73" s="50" t="n"/>
      <c r="BR73" s="50" t="n"/>
      <c r="BS73" s="50" t="n"/>
      <c r="BT73" s="50" t="n"/>
      <c r="BU73" s="50" t="n"/>
      <c r="BV73" s="50" t="n"/>
      <c r="BW73" s="50" t="n"/>
      <c r="BX73" s="50" t="n"/>
      <c r="BY73" s="50" t="n"/>
      <c r="BZ73" s="50" t="n"/>
      <c r="CA73" s="50" t="n"/>
      <c r="CB73" s="50" t="n"/>
      <c r="CC73" s="50" t="n"/>
      <c r="CD73" s="50" t="n"/>
      <c r="CE73" s="50" t="n"/>
      <c r="CF73" s="50" t="n"/>
      <c r="CG73" s="50" t="n"/>
      <c r="CH73" s="50" t="n"/>
      <c r="CI73" s="50" t="n"/>
      <c r="CJ73" s="50" t="n"/>
      <c r="CK73" s="50" t="n"/>
      <c r="CL73" s="50" t="n"/>
      <c r="CM73" s="50" t="n"/>
      <c r="CN73" s="50" t="n"/>
      <c r="CO73" s="50" t="n"/>
      <c r="CP73" s="50" t="n"/>
      <c r="CQ73" s="50" t="n"/>
      <c r="CR73" s="50" t="n"/>
      <c r="CS73" s="50" t="n"/>
      <c r="CT73" s="50" t="n"/>
      <c r="CU73" s="50" t="n"/>
      <c r="CV73" s="50" t="n"/>
      <c r="CW73" s="50" t="n"/>
      <c r="CX73" s="50" t="n"/>
      <c r="CY73" s="50" t="n"/>
    </row>
    <row r="74" hidden="1" outlineLevel="1">
      <c r="C74" s="50" t="inlineStr">
        <is>
          <t>Gerais &amp; Administrativas</t>
        </is>
      </c>
      <c r="D74" s="11" t="n"/>
      <c r="E74" s="11" t="n"/>
      <c r="F74" s="11" t="n"/>
      <c r="G74" s="11" t="n"/>
      <c r="H74" s="50" t="n"/>
      <c r="I74" s="11" t="n"/>
      <c r="J74" s="11" t="n"/>
      <c r="K74" s="11" t="n"/>
      <c r="L74" s="11" t="n"/>
      <c r="M74" s="50" t="n"/>
      <c r="N74" s="11" t="n"/>
      <c r="O74" s="11" t="n"/>
      <c r="P74" s="11" t="n"/>
      <c r="Q74" s="11" t="n"/>
      <c r="R74" s="50" t="n"/>
      <c r="S74" s="11" t="n"/>
      <c r="T74" s="11" t="n"/>
      <c r="U74" s="11" t="n"/>
      <c r="V74" s="11" t="n"/>
      <c r="W74" s="50" t="n"/>
      <c r="X74" s="11" t="n"/>
      <c r="Y74" s="11" t="n"/>
      <c r="Z74" s="11" t="n"/>
      <c r="AA74" s="11" t="n"/>
      <c r="AB74" s="50" t="n"/>
      <c r="AC74" s="11" t="n"/>
      <c r="AD74" s="11" t="n"/>
      <c r="AE74" s="11" t="n"/>
      <c r="AF74" s="11" t="n"/>
      <c r="AG74" s="50" t="n"/>
      <c r="AH74" s="50" t="n"/>
      <c r="AI74" s="50" t="n"/>
      <c r="AJ74" s="50" t="n"/>
      <c r="AK74" s="50" t="n"/>
      <c r="AL74" s="50" t="n"/>
      <c r="AM74" s="50" t="n"/>
      <c r="AN74" s="50" t="n"/>
      <c r="AO74" s="50" t="n"/>
      <c r="AP74" s="50" t="n"/>
      <c r="AQ74" s="50" t="n"/>
      <c r="AR74" s="50" t="n"/>
      <c r="AS74" s="50" t="n"/>
      <c r="AT74" s="50" t="n"/>
      <c r="AU74" s="50" t="n"/>
      <c r="AV74" s="50" t="n"/>
      <c r="AW74" s="50" t="n"/>
      <c r="AX74" s="50" t="n"/>
      <c r="AY74" s="50" t="n"/>
      <c r="AZ74" s="50" t="n"/>
      <c r="BA74" s="50" t="n"/>
      <c r="BB74" s="50" t="n"/>
      <c r="BC74" s="50" t="n"/>
      <c r="BD74" s="50" t="n"/>
      <c r="BE74" s="50" t="n"/>
      <c r="BF74" s="50" t="n"/>
      <c r="BG74" s="50" t="n"/>
      <c r="BH74" s="50" t="n"/>
      <c r="BI74" s="50" t="n"/>
      <c r="BJ74" s="50" t="n"/>
      <c r="BK74" s="50" t="n"/>
      <c r="BL74" s="50" t="n"/>
      <c r="BM74" s="50" t="n"/>
      <c r="BN74" s="50" t="n"/>
      <c r="BO74" s="50" t="n"/>
      <c r="BP74" s="50" t="n"/>
      <c r="BQ74" s="50" t="n"/>
      <c r="BR74" s="50" t="n"/>
      <c r="BS74" s="50" t="n"/>
      <c r="BT74" s="50" t="n"/>
      <c r="BU74" s="50" t="n"/>
      <c r="BV74" s="50" t="n"/>
      <c r="BW74" s="50" t="n"/>
      <c r="BX74" s="50" t="n"/>
      <c r="BY74" s="50" t="n"/>
      <c r="BZ74" s="50" t="n"/>
      <c r="CA74" s="50" t="n"/>
      <c r="CB74" s="50" t="n"/>
      <c r="CC74" s="50" t="n"/>
      <c r="CD74" s="50" t="n"/>
      <c r="CE74" s="50" t="n"/>
      <c r="CF74" s="50" t="n"/>
      <c r="CG74" s="50" t="n"/>
      <c r="CH74" s="50" t="n"/>
      <c r="CI74" s="50" t="n"/>
      <c r="CJ74" s="50" t="n"/>
      <c r="CK74" s="50" t="n"/>
      <c r="CL74" s="50" t="n"/>
      <c r="CM74" s="50" t="n"/>
      <c r="CN74" s="50" t="n"/>
      <c r="CO74" s="50" t="n"/>
      <c r="CP74" s="50" t="n"/>
      <c r="CQ74" s="50" t="n"/>
      <c r="CR74" s="50" t="n"/>
      <c r="CS74" s="50" t="n"/>
      <c r="CT74" s="50" t="n"/>
      <c r="CU74" s="50" t="n"/>
      <c r="CV74" s="50" t="n"/>
      <c r="CW74" s="50" t="n"/>
      <c r="CX74" s="50" t="n"/>
      <c r="CY74" s="50" t="n"/>
    </row>
    <row r="75" hidden="1" outlineLevel="1">
      <c r="C75" s="50" t="inlineStr">
        <is>
          <t>Outras Receitas (Despesas) Operacionais, Líquidas</t>
        </is>
      </c>
      <c r="D75" s="11" t="n"/>
      <c r="E75" s="11" t="n"/>
      <c r="F75" s="11" t="n"/>
      <c r="G75" s="11" t="n"/>
      <c r="H75" s="50" t="n"/>
      <c r="I75" s="11" t="n"/>
      <c r="J75" s="11" t="n"/>
      <c r="K75" s="11" t="n"/>
      <c r="L75" s="11" t="n"/>
      <c r="M75" s="50" t="n"/>
      <c r="N75" s="11" t="n"/>
      <c r="O75" s="11" t="n"/>
      <c r="P75" s="11" t="n"/>
      <c r="Q75" s="11" t="n"/>
      <c r="R75" s="50" t="n"/>
      <c r="S75" s="11" t="n"/>
      <c r="T75" s="11" t="n"/>
      <c r="U75" s="11" t="n"/>
      <c r="V75" s="11" t="n"/>
      <c r="W75" s="50" t="n"/>
      <c r="X75" s="11" t="n"/>
      <c r="Y75" s="11" t="n"/>
      <c r="Z75" s="11" t="n"/>
      <c r="AA75" s="11" t="n"/>
      <c r="AB75" s="50" t="n"/>
      <c r="AC75" s="11" t="n"/>
      <c r="AD75" s="11" t="n"/>
      <c r="AE75" s="11" t="n"/>
      <c r="AF75" s="11" t="n"/>
      <c r="AG75" s="50" t="n"/>
      <c r="AH75" s="50" t="n"/>
      <c r="AI75" s="50" t="n"/>
      <c r="AJ75" s="50" t="n"/>
      <c r="AK75" s="50" t="n"/>
      <c r="AL75" s="50" t="n"/>
      <c r="AM75" s="50" t="n"/>
      <c r="AN75" s="50" t="n"/>
      <c r="AO75" s="50" t="n"/>
      <c r="AP75" s="50" t="n"/>
      <c r="AQ75" s="50" t="n"/>
      <c r="AR75" s="50" t="n"/>
      <c r="AS75" s="50" t="n"/>
      <c r="AT75" s="50" t="n"/>
      <c r="AU75" s="50" t="n"/>
      <c r="AV75" s="50" t="n"/>
      <c r="AW75" s="50" t="n"/>
      <c r="AX75" s="50" t="n"/>
      <c r="AY75" s="50" t="n"/>
      <c r="AZ75" s="50" t="n"/>
      <c r="BA75" s="50" t="n"/>
      <c r="BB75" s="50" t="n"/>
      <c r="BC75" s="50" t="n"/>
      <c r="BD75" s="50" t="n"/>
      <c r="BE75" s="50" t="n"/>
      <c r="BF75" s="50" t="n"/>
      <c r="BG75" s="50" t="n"/>
      <c r="BH75" s="50" t="n"/>
      <c r="BI75" s="50" t="n"/>
      <c r="BJ75" s="50" t="n"/>
      <c r="BK75" s="50" t="n"/>
      <c r="BL75" s="50" t="n"/>
      <c r="BM75" s="50" t="n"/>
      <c r="BN75" s="50" t="n"/>
      <c r="BO75" s="50" t="n"/>
      <c r="BP75" s="50" t="n"/>
      <c r="BQ75" s="50" t="n"/>
      <c r="BR75" s="50" t="n"/>
      <c r="BS75" s="50" t="n"/>
      <c r="BT75" s="50" t="n"/>
      <c r="BU75" s="50" t="n"/>
      <c r="BV75" s="50" t="n"/>
      <c r="BW75" s="50" t="n"/>
      <c r="BX75" s="50" t="n"/>
      <c r="BY75" s="50" t="n"/>
      <c r="BZ75" s="50" t="n"/>
      <c r="CA75" s="50" t="n"/>
      <c r="CB75" s="50" t="n"/>
      <c r="CC75" s="50" t="n"/>
      <c r="CD75" s="50" t="n"/>
      <c r="CE75" s="50" t="n"/>
      <c r="CF75" s="50" t="n"/>
      <c r="CG75" s="50" t="n"/>
      <c r="CH75" s="50" t="n"/>
      <c r="CI75" s="50" t="n"/>
      <c r="CJ75" s="50" t="n"/>
      <c r="CK75" s="50" t="n"/>
      <c r="CL75" s="50" t="n"/>
      <c r="CM75" s="50" t="n"/>
      <c r="CN75" s="50" t="n"/>
      <c r="CO75" s="50" t="n"/>
      <c r="CP75" s="50" t="n"/>
      <c r="CQ75" s="50" t="n"/>
      <c r="CR75" s="50" t="n"/>
      <c r="CS75" s="50" t="n"/>
      <c r="CT75" s="50" t="n"/>
      <c r="CU75" s="50" t="n"/>
      <c r="CV75" s="50" t="n"/>
      <c r="CW75" s="50" t="n"/>
      <c r="CX75" s="50" t="n"/>
      <c r="CY75" s="50" t="n"/>
    </row>
    <row r="76" hidden="1" outlineLevel="1">
      <c r="C76" s="50" t="n"/>
      <c r="D76" s="50" t="n"/>
      <c r="E76" s="50" t="n"/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  <c r="AA76" s="50" t="n"/>
      <c r="AB76" s="50" t="n"/>
      <c r="AC76" s="50" t="n"/>
      <c r="AD76" s="50" t="n"/>
      <c r="AE76" s="50" t="n"/>
      <c r="AF76" s="50" t="n"/>
      <c r="AG76" s="50" t="n"/>
      <c r="AH76" s="50" t="n"/>
      <c r="AI76" s="50" t="n"/>
      <c r="AJ76" s="50" t="n"/>
      <c r="AK76" s="50" t="n"/>
      <c r="AL76" s="50" t="n"/>
      <c r="AM76" s="50" t="n"/>
      <c r="AN76" s="50" t="n"/>
      <c r="AO76" s="50" t="n"/>
      <c r="AP76" s="50" t="n"/>
      <c r="AQ76" s="50" t="n"/>
      <c r="AR76" s="50" t="n"/>
      <c r="AS76" s="50" t="n"/>
      <c r="AT76" s="50" t="n"/>
      <c r="AU76" s="50" t="n"/>
      <c r="AV76" s="50" t="n"/>
      <c r="AW76" s="50" t="n"/>
      <c r="AX76" s="50" t="n"/>
      <c r="AY76" s="50" t="n"/>
      <c r="AZ76" s="50" t="n"/>
      <c r="BA76" s="50" t="n"/>
      <c r="BB76" s="50" t="n"/>
      <c r="BC76" s="50" t="n"/>
      <c r="BD76" s="50" t="n"/>
      <c r="BE76" s="50" t="n"/>
      <c r="BF76" s="50" t="n"/>
      <c r="BG76" s="50" t="n"/>
      <c r="BH76" s="50" t="n"/>
      <c r="BI76" s="50" t="n"/>
      <c r="BJ76" s="50" t="n"/>
      <c r="BK76" s="50" t="n"/>
      <c r="BL76" s="50" t="n"/>
      <c r="BM76" s="50" t="n"/>
      <c r="BN76" s="50" t="n"/>
      <c r="BO76" s="50" t="n"/>
      <c r="BP76" s="50" t="n"/>
      <c r="BQ76" s="50" t="n"/>
      <c r="BR76" s="50" t="n"/>
      <c r="BS76" s="50" t="n"/>
      <c r="BT76" s="50" t="n"/>
      <c r="BU76" s="50" t="n"/>
      <c r="BV76" s="50" t="n"/>
      <c r="BW76" s="50" t="n"/>
      <c r="BX76" s="50" t="n"/>
      <c r="BY76" s="50" t="n"/>
      <c r="BZ76" s="50" t="n"/>
      <c r="CA76" s="50" t="n"/>
      <c r="CB76" s="50" t="n"/>
      <c r="CC76" s="50" t="n"/>
      <c r="CD76" s="50" t="n"/>
      <c r="CE76" s="50" t="n"/>
      <c r="CF76" s="50" t="n"/>
      <c r="CG76" s="50" t="n"/>
      <c r="CH76" s="50" t="n"/>
      <c r="CI76" s="50" t="n"/>
      <c r="CJ76" s="50" t="n"/>
      <c r="CK76" s="50" t="n"/>
      <c r="CL76" s="50" t="n"/>
      <c r="CM76" s="50" t="n"/>
      <c r="CN76" s="50" t="n"/>
      <c r="CO76" s="50" t="n"/>
      <c r="CP76" s="50" t="n"/>
      <c r="CQ76" s="50" t="n"/>
      <c r="CR76" s="50" t="n"/>
      <c r="CS76" s="50" t="n"/>
      <c r="CT76" s="50" t="n"/>
      <c r="CU76" s="50" t="n"/>
      <c r="CV76" s="50" t="n"/>
      <c r="CW76" s="50" t="n"/>
      <c r="CX76" s="50" t="n"/>
      <c r="CY76" s="50" t="n"/>
    </row>
    <row r="77" hidden="1" outlineLevel="1">
      <c r="C77" s="50" t="inlineStr">
        <is>
          <t>Com Vendas (%)</t>
        </is>
      </c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  <c r="AA77" s="50" t="n"/>
      <c r="AB77" s="50" t="n"/>
      <c r="AC77" s="50" t="n"/>
      <c r="AD77" s="50" t="n"/>
      <c r="AE77" s="50" t="n"/>
      <c r="AF77" s="50" t="n"/>
      <c r="AG77" s="50" t="n"/>
      <c r="AH77" s="50" t="n"/>
      <c r="AI77" s="50" t="n"/>
      <c r="AJ77" s="50" t="n"/>
      <c r="AK77" s="50" t="n"/>
      <c r="AL77" s="50" t="n"/>
      <c r="AM77" s="50" t="n"/>
      <c r="AN77" s="50" t="n"/>
      <c r="AO77" s="50" t="n"/>
      <c r="AP77" s="50" t="n"/>
      <c r="AQ77" s="50" t="n"/>
      <c r="AR77" s="50" t="n"/>
      <c r="AS77" s="50" t="n"/>
      <c r="AT77" s="50" t="n"/>
      <c r="AU77" s="50" t="n"/>
      <c r="AV77" s="50" t="n"/>
      <c r="AW77" s="50" t="n"/>
      <c r="AX77" s="50" t="n"/>
      <c r="AY77" s="50" t="n"/>
      <c r="AZ77" s="50" t="n"/>
      <c r="BA77" s="50" t="n"/>
      <c r="BB77" s="50" t="n"/>
      <c r="BC77" s="50" t="n"/>
      <c r="BD77" s="50" t="n"/>
      <c r="BE77" s="50" t="n"/>
      <c r="BF77" s="50" t="n"/>
      <c r="BG77" s="50" t="n"/>
      <c r="BH77" s="50" t="n"/>
      <c r="BI77" s="50" t="n"/>
      <c r="BJ77" s="50" t="n"/>
      <c r="BK77" s="50" t="n"/>
      <c r="BL77" s="50" t="n"/>
      <c r="BM77" s="50" t="n"/>
      <c r="BN77" s="50" t="n"/>
      <c r="BO77" s="50" t="n"/>
      <c r="BP77" s="50" t="n"/>
      <c r="BQ77" s="50" t="n"/>
      <c r="BR77" s="50" t="n"/>
      <c r="BS77" s="50" t="n"/>
      <c r="BT77" s="50" t="n"/>
      <c r="BU77" s="50" t="n"/>
      <c r="BV77" s="50" t="n"/>
      <c r="BW77" s="50" t="n"/>
      <c r="BX77" s="50" t="n"/>
      <c r="BY77" s="50" t="n"/>
      <c r="BZ77" s="50" t="n"/>
      <c r="CA77" s="50" t="n"/>
      <c r="CB77" s="50" t="n"/>
      <c r="CC77" s="50" t="n"/>
      <c r="CD77" s="50" t="n"/>
      <c r="CE77" s="50" t="n"/>
      <c r="CF77" s="50" t="n"/>
      <c r="CG77" s="50" t="n"/>
      <c r="CH77" s="50" t="n"/>
      <c r="CI77" s="50" t="n"/>
      <c r="CJ77" s="50" t="n"/>
      <c r="CK77" s="50" t="n"/>
      <c r="CL77" s="50" t="n"/>
      <c r="CM77" s="50" t="n"/>
      <c r="CN77" s="50" t="n"/>
      <c r="CO77" s="50" t="n"/>
      <c r="CP77" s="50" t="n"/>
      <c r="CQ77" s="50" t="n"/>
      <c r="CR77" s="50" t="n"/>
      <c r="CS77" s="50" t="n"/>
      <c r="CT77" s="50" t="n"/>
      <c r="CU77" s="50" t="n"/>
      <c r="CV77" s="50" t="n"/>
      <c r="CW77" s="50" t="n"/>
      <c r="CX77" s="50" t="n"/>
      <c r="CY77" s="50" t="n"/>
    </row>
    <row r="78" hidden="1" outlineLevel="1">
      <c r="C78" s="50" t="inlineStr">
        <is>
          <t>Gerais &amp; Administrativas (%)</t>
        </is>
      </c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  <c r="AA78" s="50" t="n"/>
      <c r="AB78" s="50" t="n"/>
      <c r="AC78" s="50" t="n"/>
      <c r="AD78" s="50" t="n"/>
      <c r="AE78" s="50" t="n"/>
      <c r="AF78" s="50" t="n"/>
      <c r="AG78" s="50" t="n"/>
      <c r="AH78" s="50" t="n"/>
      <c r="AI78" s="50" t="n"/>
      <c r="AJ78" s="50" t="n"/>
      <c r="AK78" s="50" t="n"/>
      <c r="AL78" s="50" t="n"/>
      <c r="AM78" s="50" t="n"/>
      <c r="AN78" s="50" t="n"/>
      <c r="AO78" s="50" t="n"/>
      <c r="AP78" s="50" t="n"/>
      <c r="AQ78" s="50" t="n"/>
      <c r="AR78" s="50" t="n"/>
      <c r="AS78" s="50" t="n"/>
      <c r="AT78" s="50" t="n"/>
      <c r="AU78" s="50" t="n"/>
      <c r="AV78" s="50" t="n"/>
      <c r="AW78" s="50" t="n"/>
      <c r="AX78" s="50" t="n"/>
      <c r="AY78" s="50" t="n"/>
      <c r="AZ78" s="50" t="n"/>
      <c r="BA78" s="50" t="n"/>
      <c r="BB78" s="50" t="n"/>
      <c r="BC78" s="50" t="n"/>
      <c r="BD78" s="50" t="n"/>
      <c r="BE78" s="50" t="n"/>
      <c r="BF78" s="50" t="n"/>
      <c r="BG78" s="50" t="n"/>
      <c r="BH78" s="50" t="n"/>
      <c r="BI78" s="50" t="n"/>
      <c r="BJ78" s="50" t="n"/>
      <c r="BK78" s="50" t="n"/>
      <c r="BL78" s="50" t="n"/>
      <c r="BM78" s="50" t="n"/>
      <c r="BN78" s="50" t="n"/>
      <c r="BO78" s="50" t="n"/>
      <c r="BP78" s="50" t="n"/>
      <c r="BQ78" s="50" t="n"/>
      <c r="BR78" s="50" t="n"/>
      <c r="BS78" s="50" t="n"/>
      <c r="BT78" s="50" t="n"/>
      <c r="BU78" s="50" t="n"/>
      <c r="BV78" s="50" t="n"/>
      <c r="BW78" s="50" t="n"/>
      <c r="BX78" s="50" t="n"/>
      <c r="BY78" s="50" t="n"/>
      <c r="BZ78" s="50" t="n"/>
      <c r="CA78" s="50" t="n"/>
      <c r="CB78" s="50" t="n"/>
      <c r="CC78" s="50" t="n"/>
      <c r="CD78" s="50" t="n"/>
      <c r="CE78" s="50" t="n"/>
      <c r="CF78" s="50" t="n"/>
      <c r="CG78" s="50" t="n"/>
      <c r="CH78" s="50" t="n"/>
      <c r="CI78" s="50" t="n"/>
      <c r="CJ78" s="50" t="n"/>
      <c r="CK78" s="50" t="n"/>
      <c r="CL78" s="50" t="n"/>
      <c r="CM78" s="50" t="n"/>
      <c r="CN78" s="50" t="n"/>
      <c r="CO78" s="50" t="n"/>
      <c r="CP78" s="50" t="n"/>
      <c r="CQ78" s="50" t="n"/>
      <c r="CR78" s="50" t="n"/>
      <c r="CS78" s="50" t="n"/>
      <c r="CT78" s="50" t="n"/>
      <c r="CU78" s="50" t="n"/>
      <c r="CV78" s="50" t="n"/>
      <c r="CW78" s="50" t="n"/>
      <c r="CX78" s="50" t="n"/>
      <c r="CY78" s="50" t="n"/>
    </row>
    <row r="79" hidden="1" outlineLevel="1">
      <c r="C79" s="50" t="inlineStr">
        <is>
          <t>Outras Receitas (Despesas) Operacionais, Líquidas (%)</t>
        </is>
      </c>
      <c r="D79" s="50" t="n"/>
      <c r="E79" s="50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  <c r="AA79" s="50" t="n"/>
      <c r="AB79" s="50" t="n"/>
      <c r="AC79" s="50" t="n"/>
      <c r="AD79" s="50" t="n"/>
      <c r="AE79" s="50" t="n"/>
      <c r="AF79" s="50" t="n"/>
      <c r="AG79" s="50" t="n"/>
      <c r="AH79" s="50" t="n"/>
      <c r="AI79" s="50" t="n"/>
      <c r="AJ79" s="50" t="n"/>
      <c r="AK79" s="50" t="n"/>
      <c r="AL79" s="50" t="n"/>
      <c r="AM79" s="50" t="n"/>
      <c r="AN79" s="50" t="n"/>
      <c r="AO79" s="50" t="n"/>
      <c r="AP79" s="50" t="n"/>
      <c r="AQ79" s="50" t="n"/>
      <c r="AR79" s="50" t="n"/>
      <c r="AS79" s="50" t="n"/>
      <c r="AT79" s="50" t="n"/>
      <c r="AU79" s="50" t="n"/>
      <c r="AV79" s="50" t="n"/>
      <c r="AW79" s="50" t="n"/>
      <c r="AX79" s="50" t="n"/>
      <c r="AY79" s="50" t="n"/>
      <c r="AZ79" s="50" t="n"/>
      <c r="BA79" s="50" t="n"/>
      <c r="BB79" s="50" t="n"/>
      <c r="BC79" s="50" t="n"/>
      <c r="BD79" s="50" t="n"/>
      <c r="BE79" s="50" t="n"/>
      <c r="BF79" s="50" t="n"/>
      <c r="BG79" s="50" t="n"/>
      <c r="BH79" s="50" t="n"/>
      <c r="BI79" s="50" t="n"/>
      <c r="BJ79" s="50" t="n"/>
      <c r="BK79" s="50" t="n"/>
      <c r="BL79" s="50" t="n"/>
      <c r="BM79" s="50" t="n"/>
      <c r="BN79" s="50" t="n"/>
      <c r="BO79" s="50" t="n"/>
      <c r="BP79" s="50" t="n"/>
      <c r="BQ79" s="50" t="n"/>
      <c r="BR79" s="50" t="n"/>
      <c r="BS79" s="50" t="n"/>
      <c r="BT79" s="50" t="n"/>
      <c r="BU79" s="50" t="n"/>
      <c r="BV79" s="50" t="n"/>
      <c r="BW79" s="50" t="n"/>
      <c r="BX79" s="50" t="n"/>
      <c r="BY79" s="50" t="n"/>
      <c r="BZ79" s="50" t="n"/>
      <c r="CA79" s="50" t="n"/>
      <c r="CB79" s="50" t="n"/>
      <c r="CC79" s="50" t="n"/>
      <c r="CD79" s="50" t="n"/>
      <c r="CE79" s="50" t="n"/>
      <c r="CF79" s="50" t="n"/>
      <c r="CG79" s="50" t="n"/>
      <c r="CH79" s="50" t="n"/>
      <c r="CI79" s="50" t="n"/>
      <c r="CJ79" s="50" t="n"/>
      <c r="CK79" s="50" t="n"/>
      <c r="CL79" s="50" t="n"/>
      <c r="CM79" s="50" t="n"/>
      <c r="CN79" s="50" t="n"/>
      <c r="CO79" s="50" t="n"/>
      <c r="CP79" s="50" t="n"/>
      <c r="CQ79" s="50" t="n"/>
      <c r="CR79" s="50" t="n"/>
      <c r="CS79" s="50" t="n"/>
      <c r="CT79" s="50" t="n"/>
      <c r="CU79" s="50" t="n"/>
      <c r="CV79" s="50" t="n"/>
      <c r="CW79" s="50" t="n"/>
      <c r="CX79" s="50" t="n"/>
      <c r="CY79" s="50" t="n"/>
    </row>
    <row r="80" hidden="1" outlineLevel="1">
      <c r="C80" s="50" t="n"/>
      <c r="D80" s="50" t="n"/>
      <c r="E80" s="50" t="n"/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  <c r="AA80" s="50" t="n"/>
      <c r="AB80" s="50" t="n"/>
      <c r="AC80" s="50" t="n"/>
      <c r="AD80" s="50" t="n"/>
      <c r="AE80" s="50" t="n"/>
      <c r="AF80" s="50" t="n"/>
      <c r="AG80" s="50" t="n"/>
      <c r="AH80" s="50" t="n"/>
      <c r="AI80" s="50" t="n"/>
      <c r="AJ80" s="50" t="n"/>
      <c r="AK80" s="50" t="n"/>
      <c r="AL80" s="50" t="n"/>
      <c r="AM80" s="50" t="n"/>
      <c r="AN80" s="50" t="n"/>
      <c r="AO80" s="50" t="n"/>
      <c r="AP80" s="50" t="n"/>
      <c r="AQ80" s="50" t="n"/>
      <c r="AR80" s="50" t="n"/>
      <c r="AS80" s="50" t="n"/>
      <c r="AT80" s="50" t="n"/>
      <c r="AU80" s="50" t="n"/>
      <c r="AV80" s="50" t="n"/>
      <c r="AW80" s="50" t="n"/>
      <c r="AX80" s="50" t="n"/>
      <c r="AY80" s="50" t="n"/>
      <c r="AZ80" s="50" t="n"/>
      <c r="BA80" s="50" t="n"/>
      <c r="BB80" s="50" t="n"/>
      <c r="BC80" s="50" t="n"/>
      <c r="BD80" s="50" t="n"/>
      <c r="BE80" s="50" t="n"/>
      <c r="BF80" s="50" t="n"/>
      <c r="BG80" s="50" t="n"/>
      <c r="BH80" s="50" t="n"/>
      <c r="BI80" s="50" t="n"/>
      <c r="BJ80" s="50" t="n"/>
      <c r="BK80" s="50" t="n"/>
      <c r="BL80" s="50" t="n"/>
      <c r="BM80" s="50" t="n"/>
      <c r="BN80" s="50" t="n"/>
      <c r="BO80" s="50" t="n"/>
      <c r="BP80" s="50" t="n"/>
      <c r="BQ80" s="50" t="n"/>
      <c r="BR80" s="50" t="n"/>
      <c r="BS80" s="50" t="n"/>
      <c r="BT80" s="50" t="n"/>
      <c r="BU80" s="50" t="n"/>
      <c r="BV80" s="50" t="n"/>
      <c r="BW80" s="50" t="n"/>
      <c r="BX80" s="50" t="n"/>
      <c r="BY80" s="50" t="n"/>
      <c r="BZ80" s="50" t="n"/>
      <c r="CA80" s="50" t="n"/>
      <c r="CB80" s="50" t="n"/>
      <c r="CC80" s="50" t="n"/>
      <c r="CD80" s="50" t="n"/>
      <c r="CE80" s="50" t="n"/>
      <c r="CF80" s="50" t="n"/>
      <c r="CG80" s="50" t="n"/>
      <c r="CH80" s="50" t="n"/>
      <c r="CI80" s="50" t="n"/>
      <c r="CJ80" s="50" t="n"/>
      <c r="CK80" s="50" t="n"/>
      <c r="CL80" s="50" t="n"/>
      <c r="CM80" s="50" t="n"/>
      <c r="CN80" s="50" t="n"/>
      <c r="CO80" s="50" t="n"/>
      <c r="CP80" s="50" t="n"/>
      <c r="CQ80" s="50" t="n"/>
      <c r="CR80" s="50" t="n"/>
      <c r="CS80" s="50" t="n"/>
      <c r="CT80" s="50" t="n"/>
      <c r="CU80" s="50" t="n"/>
      <c r="CV80" s="50" t="n"/>
      <c r="CW80" s="50" t="n"/>
      <c r="CX80" s="50" t="n"/>
      <c r="CY80" s="50" t="n"/>
    </row>
    <row r="81" collapsed="1" customFormat="1" s="32">
      <c r="A81" s="30" t="n"/>
      <c r="B81" s="3" t="n"/>
      <c r="C81" s="33" t="inlineStr">
        <is>
          <t>EBITDA</t>
        </is>
      </c>
      <c r="D81" s="35" t="n"/>
      <c r="E81" s="35" t="n"/>
      <c r="F81" s="35" t="n"/>
      <c r="G81" s="35" t="n"/>
      <c r="H81" s="35" t="n"/>
      <c r="I81" s="35">
        <f>SUM(I15,I66,I70)</f>
        <v>304.502</v>
      </c>
      <c r="J81" s="35">
        <f>SUM(J15,J66,J70)</f>
        <v>388.464</v>
      </c>
      <c r="K81" s="35">
        <f>SUM(K15,K66,K70)</f>
        <v>613.408</v>
      </c>
      <c r="L81" s="35">
        <f>SUM(L15,L66,L70)</f>
        <v>776.612</v>
      </c>
      <c r="M81" s="35">
        <f>SUM(I81:L81)</f>
        <v>2082.986</v>
      </c>
      <c r="N81" s="35">
        <f>SUM(N15,N66,N70)</f>
        <v>863.095</v>
      </c>
      <c r="O81" s="35">
        <f>SUM(O15,O66,O70)</f>
        <v>905.257</v>
      </c>
      <c r="P81" s="35">
        <f>SUM(P15,P66,P70)</f>
        <v>925.337</v>
      </c>
      <c r="Q81" s="35">
        <f>SUM(Q15,Q66,Q70)</f>
        <v>858.243</v>
      </c>
      <c r="R81" s="35">
        <f>SUM(N81:Q81)</f>
        <v>3551.932</v>
      </c>
      <c r="S81" s="35">
        <f>SUM(S15,S66,S70)</f>
        <v>875.342</v>
      </c>
      <c r="T81" s="35">
        <f>SUM(T15,T66,T70)</f>
        <v>889.992</v>
      </c>
      <c r="U81" s="35">
        <f>SUM(U15,U66,U70)</f>
        <v>867.926</v>
      </c>
      <c r="V81" s="35">
        <f>SUM(V15,V66,V70)</f>
        <v>866.073</v>
      </c>
      <c r="W81" s="35">
        <f>SUM(S81:V81)</f>
        <v>3499.333</v>
      </c>
      <c r="X81" s="35">
        <f>SUM(X15,X66,X70)</f>
        <v>1059.501</v>
      </c>
      <c r="Y81" s="35">
        <f>SUM(Y15,Y66,Y70)</f>
        <v>1149.361</v>
      </c>
      <c r="Z81" s="35">
        <f>SUM(Z15,Z66,Z70)</f>
        <v>1247.476</v>
      </c>
      <c r="AA81" s="35">
        <f>SUM(AA15,AA66,AA70)</f>
        <v>1244.281</v>
      </c>
      <c r="AB81" s="35">
        <f>SUM(X81:AA81)</f>
        <v>4700.619</v>
      </c>
      <c r="AC81" s="35">
        <f>SUM(AC15,AC66,AC70)</f>
        <v>1338.329</v>
      </c>
      <c r="AD81" s="35">
        <f>SUM(AD15,AD66,AD70)</f>
        <v>1379.123</v>
      </c>
      <c r="AE81" s="35">
        <f>SUM(AE15,AE66,AE70)</f>
        <v>1478.657</v>
      </c>
      <c r="AF81" s="35">
        <f>SUM(AF15,AF66,AF70)</f>
        <v>1490.05025995</v>
      </c>
      <c r="AG81" s="35">
        <f>SUM(AC81:AF81)</f>
        <v>5686.15925995</v>
      </c>
      <c r="AH81" s="35">
        <f>SUM(AH15,AH66,AH70)</f>
        <v>1568.6645634</v>
      </c>
      <c r="AI81" s="35">
        <f>SUM(AI15,AI66,AI70)</f>
        <v>1686.743584</v>
      </c>
      <c r="AJ81" s="35">
        <f>SUM(AJ15,AJ66,AJ70)</f>
        <v>1630.03346457844</v>
      </c>
      <c r="AK81" s="35">
        <f>SUM(AK15,AK66,AK70)</f>
        <v>1583.77604924836</v>
      </c>
      <c r="AL81" s="35">
        <f>SUM(AH81:AK81)</f>
        <v>6469.2176612268</v>
      </c>
      <c r="AM81" s="35">
        <f>SUM(AM15,AM66,AM70)</f>
        <v>1636.44044921099</v>
      </c>
      <c r="AN81" s="35">
        <f>SUM(AN15,AN66,AN70)</f>
        <v>1630.02792737929</v>
      </c>
      <c r="AO81" s="35">
        <f>SUM(AO15,AO66,AO70)</f>
        <v>1754.64659275473</v>
      </c>
      <c r="AP81" s="35">
        <f>SUM(AP15,AP66,AP70)</f>
        <v>1704.8528811762</v>
      </c>
      <c r="AQ81" s="35">
        <f>SUM(AM81:AP81)</f>
        <v>6725.96785052121</v>
      </c>
      <c r="AR81" s="35">
        <f>SUM(AR15,AR66,AR70)</f>
        <v>1753.36117759902</v>
      </c>
      <c r="AS81" s="35">
        <f>SUM(AS15,AS66,AS70)</f>
        <v>1746.49049260977</v>
      </c>
      <c r="AT81" s="35">
        <f>SUM(AT15,AT66,AT70)</f>
        <v>1880.01293760851</v>
      </c>
      <c r="AU81" s="35">
        <f>SUM(AU15,AU66,AU70)</f>
        <v>1826.66155484818</v>
      </c>
      <c r="AV81" s="35">
        <f>SUM(AR81:AU81)</f>
        <v>7206.52616266548</v>
      </c>
      <c r="AW81" s="35">
        <f>SUM(AW15,AW66,AW70)</f>
        <v>1869.86887596263</v>
      </c>
      <c r="AX81" s="35">
        <f>SUM(AX15,AX66,AX70)</f>
        <v>1862.54164630676</v>
      </c>
      <c r="AY81" s="35">
        <f>SUM(AY15,AY66,AY70)</f>
        <v>2004.93641775224</v>
      </c>
      <c r="AZ81" s="35">
        <f>SUM(AZ15,AZ66,AZ70)</f>
        <v>1948.03993151332</v>
      </c>
      <c r="BA81" s="35">
        <f>SUM(AW81:AZ81)</f>
        <v>7685.38687153494</v>
      </c>
      <c r="BB81" s="35">
        <f>SUM(BB15,BB66,BB70)</f>
        <v>1984.7689570654</v>
      </c>
      <c r="BC81" s="35">
        <f>SUM(BC15,BC66,BC70)</f>
        <v>1976.9914823188</v>
      </c>
      <c r="BD81" s="35">
        <f>SUM(BD15,BD66,BD70)</f>
        <v>2128.13615649705</v>
      </c>
      <c r="BE81" s="35">
        <f>SUM(BE15,BE66,BE70)</f>
        <v>2067.74348345735</v>
      </c>
      <c r="BF81" s="35">
        <f>SUM(BB81:BE81)</f>
        <v>8157.6400793386</v>
      </c>
      <c r="BG81" s="35" t="n"/>
      <c r="BH81" s="35" t="n"/>
      <c r="BI81" s="35" t="n"/>
      <c r="BJ81" s="35" t="n"/>
      <c r="BK81" s="35" t="n"/>
      <c r="BL81" s="35" t="n"/>
      <c r="BM81" s="35" t="n"/>
      <c r="BN81" s="35" t="n"/>
      <c r="BO81" s="35" t="n"/>
      <c r="BP81" s="35" t="n"/>
      <c r="BQ81" s="35" t="n"/>
      <c r="BR81" s="35" t="n"/>
      <c r="BS81" s="35" t="n"/>
      <c r="BT81" s="35" t="n"/>
      <c r="BU81" s="35" t="n"/>
      <c r="BV81" s="35" t="n"/>
      <c r="BW81" s="35" t="n"/>
      <c r="BX81" s="35" t="n"/>
      <c r="BY81" s="35" t="n"/>
      <c r="BZ81" s="35" t="n"/>
      <c r="CA81" s="35" t="n"/>
      <c r="CB81" s="35" t="n"/>
      <c r="CC81" s="35" t="n"/>
      <c r="CD81" s="35" t="n"/>
      <c r="CE81" s="35" t="n"/>
      <c r="CF81" s="35" t="n"/>
      <c r="CG81" s="35" t="n"/>
      <c r="CH81" s="35" t="n"/>
      <c r="CI81" s="35" t="n"/>
      <c r="CJ81" s="35" t="n"/>
      <c r="CK81" s="35" t="n"/>
      <c r="CL81" s="35" t="n"/>
      <c r="CM81" s="35" t="n"/>
      <c r="CN81" s="35" t="n"/>
      <c r="CO81" s="35" t="n"/>
      <c r="CP81" s="35" t="n"/>
      <c r="CQ81" s="35" t="n"/>
      <c r="CR81" s="35" t="n"/>
      <c r="CS81" s="35" t="n"/>
      <c r="CT81" s="35" t="n"/>
      <c r="CU81" s="35" t="n"/>
      <c r="CV81" s="35" t="n"/>
      <c r="CW81" s="35" t="n"/>
      <c r="CX81" s="35" t="n"/>
      <c r="CY81" s="35" t="n"/>
    </row>
    <row r="82" ht="13.5" customHeight="1">
      <c r="C82" s="13" t="inlineStr">
        <is>
          <t>D&amp;A</t>
        </is>
      </c>
      <c r="D82" s="46" t="n"/>
      <c r="E82" s="46" t="n"/>
      <c r="F82" s="46" t="n"/>
      <c r="G82" s="46" t="n"/>
      <c r="H82" s="12" t="n"/>
      <c r="I82" s="46">
        <f>'Inputs (2)'!D7</f>
        <v>-62.178</v>
      </c>
      <c r="J82" s="46">
        <f>'Inputs (2)'!E7</f>
        <v>-72.936</v>
      </c>
      <c r="K82" s="46">
        <f>'Inputs (2)'!F7</f>
        <v>-110.706</v>
      </c>
      <c r="L82" s="46">
        <f>'Inputs (2)'!G7</f>
        <v>-170.431</v>
      </c>
      <c r="M82" s="12">
        <f>'Inputs (2)'!H7</f>
        <v>-416.251</v>
      </c>
      <c r="N82" s="46">
        <f>'Inputs (2)'!I7</f>
        <v>-212.836</v>
      </c>
      <c r="O82" s="46">
        <f>'Inputs (2)'!J7</f>
        <v>-240.909</v>
      </c>
      <c r="P82" s="46">
        <f>'Inputs (2)'!K7</f>
        <v>-300.524</v>
      </c>
      <c r="Q82" s="46">
        <f>'Inputs (2)'!L7</f>
        <v>-380.942</v>
      </c>
      <c r="R82" s="12">
        <f>'Inputs (2)'!M7</f>
        <v>-1135.211</v>
      </c>
      <c r="S82" s="46">
        <f>'Inputs (2)'!N7</f>
        <v>-390.033</v>
      </c>
      <c r="T82" s="46">
        <f>'Inputs (2)'!O7</f>
        <v>-388.955</v>
      </c>
      <c r="U82" s="46">
        <f>'Inputs (2)'!P7</f>
        <v>-412.766</v>
      </c>
      <c r="V82" s="46">
        <f>'Inputs (2)'!Q7</f>
        <v>-1046.012</v>
      </c>
      <c r="W82" s="12">
        <f>'Inputs (2)'!R7</f>
        <v>-2237.766</v>
      </c>
      <c r="X82" s="46">
        <f>'Inputs (2)'!S7</f>
        <v>-447.855</v>
      </c>
      <c r="Y82" s="46">
        <f>'Inputs (2)'!T7</f>
        <v>-522.034</v>
      </c>
      <c r="Z82" s="46">
        <f>'Inputs (2)'!U7</f>
        <v>-551.278</v>
      </c>
      <c r="AA82" s="46">
        <f>'Inputs (2)'!V7</f>
        <v>-559.351</v>
      </c>
      <c r="AB82" s="12">
        <f>'Inputs (2)'!W7</f>
        <v>-2080.518</v>
      </c>
      <c r="AC82" s="46">
        <f>'Inputs (2)'!X7</f>
        <v>-572.374</v>
      </c>
      <c r="AD82" s="46">
        <f>'Inputs (2)'!Y7</f>
        <v>-593.733</v>
      </c>
      <c r="AE82" s="46">
        <f>'Inputs (2)'!Z7</f>
        <v>-624.565</v>
      </c>
      <c r="AF82" s="46">
        <f>'Inputs (2)'!AA7</f>
        <v>-639.3592426</v>
      </c>
      <c r="AG82" s="12">
        <f>'Inputs (2)'!AB7</f>
        <v>-2430.0312426</v>
      </c>
      <c r="AH82" s="12">
        <f>'Inputs (2)'!AC7</f>
        <v>-650.5859214</v>
      </c>
      <c r="AI82" s="12">
        <f>'Inputs (2)'!AD7</f>
        <v>-671.5636214</v>
      </c>
      <c r="AJ82" s="12">
        <f>-AJ83*AJ15</f>
        <v>-684.266261190816</v>
      </c>
      <c r="AK82" s="12">
        <f>-AK83*AK15</f>
        <v>-664.848016517875</v>
      </c>
      <c r="AL82" s="12">
        <f>SUM(AH82:AK82)</f>
        <v>-2671.26382050869</v>
      </c>
      <c r="AM82" s="12">
        <f>-AM83*AM15</f>
        <v>-686.955827702969</v>
      </c>
      <c r="AN82" s="12">
        <f>-AN83*AN15</f>
        <v>-684.263936748624</v>
      </c>
      <c r="AO82" s="12">
        <f>-AO83*AO15</f>
        <v>-736.577186803951</v>
      </c>
      <c r="AP82" s="12">
        <f>-AP83*AP15</f>
        <v>-715.674452232507</v>
      </c>
      <c r="AQ82" s="12">
        <f>SUM(AM82:AP82)</f>
        <v>-2823.47140348805</v>
      </c>
      <c r="AR82" s="12">
        <f>-AR83*AR15</f>
        <v>-736.037586702608</v>
      </c>
      <c r="AS82" s="12">
        <f>-AS83*AS15</f>
        <v>-733.153364978589</v>
      </c>
      <c r="AT82" s="12">
        <f>-AT83*AT15</f>
        <v>-789.204302710704</v>
      </c>
      <c r="AU82" s="12">
        <f>-AU83*AU15</f>
        <v>-766.808105329432</v>
      </c>
      <c r="AV82" s="12">
        <f>SUM(AR82:AU82)</f>
        <v>-3025.20335972133</v>
      </c>
      <c r="AW82" s="12">
        <f>-AW83*AW15</f>
        <v>-784.945961218607</v>
      </c>
      <c r="AX82" s="12">
        <f>-AX83*AX15</f>
        <v>-781.870088145779</v>
      </c>
      <c r="AY82" s="12">
        <f>-AY83*AY15</f>
        <v>-841.645509931563</v>
      </c>
      <c r="AZ82" s="12">
        <f>-AZ83*AZ15</f>
        <v>-817.761125494295</v>
      </c>
      <c r="BA82" s="12">
        <f>SUM(AW82:AZ82)</f>
        <v>-3226.22268479024</v>
      </c>
      <c r="BB82" s="12">
        <f>-BB83*BB15</f>
        <v>-833.179479496129</v>
      </c>
      <c r="BC82" s="12">
        <f>-BC83*BC15</f>
        <v>-829.914599552245</v>
      </c>
      <c r="BD82" s="12">
        <f>-BD83*BD15</f>
        <v>-893.363113552907</v>
      </c>
      <c r="BE82" s="12">
        <f>-BE83*BE15</f>
        <v>-868.011076627162</v>
      </c>
      <c r="BF82" s="12">
        <f>SUM(BB82:BE82)</f>
        <v>-3424.46826922844</v>
      </c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</row>
    <row r="83" hidden="1" outlineLevel="1" customFormat="1" s="56">
      <c r="A83" s="53" t="n"/>
      <c r="B83" s="53" t="n"/>
      <c r="C83" s="54" t="inlineStr">
        <is>
          <t>% of Revenue</t>
        </is>
      </c>
      <c r="D83" s="53" t="n"/>
      <c r="E83" s="53" t="n"/>
      <c r="F83" s="53" t="n"/>
      <c r="G83" s="53" t="n"/>
      <c r="H83" s="53" t="n"/>
      <c r="I83" s="53">
        <f>IFERROR(-I82/I15,"")</f>
        <v>0.0820775339514647</v>
      </c>
      <c r="J83" s="53">
        <f>IFERROR(-J82/J15,"")</f>
        <v>0.0625874740956541</v>
      </c>
      <c r="K83" s="53">
        <f>IFERROR(-K82/K15,"")</f>
        <v>0.0727813731858237</v>
      </c>
      <c r="L83" s="53">
        <f>IFERROR(-L82/L15,"")</f>
        <v>0.100902570356973</v>
      </c>
      <c r="M83" s="53" t="n"/>
      <c r="N83" s="53">
        <f>IFERROR(-N82/N15,"")</f>
        <v>0.111686415761074</v>
      </c>
      <c r="O83" s="53">
        <f>IFERROR(-O82/O15,"")</f>
        <v>0.10798290625874</v>
      </c>
      <c r="P83" s="53">
        <f>IFERROR(-P82/P15,"")</f>
        <v>0.118462795009902</v>
      </c>
      <c r="Q83" s="53">
        <f>IFERROR(-Q82/Q15,"")</f>
        <v>0.145030539097011</v>
      </c>
      <c r="R83" s="53" t="n"/>
      <c r="S83" s="53">
        <f>IFERROR(-S82/S15,"")</f>
        <v>0.144285341183765</v>
      </c>
      <c r="T83" s="53">
        <f>IFERROR(-T82/T15,"")</f>
        <v>0.1568908461953</v>
      </c>
      <c r="U83" s="53">
        <f>IFERROR(-U82/U15,"")</f>
        <v>0.154813181207852</v>
      </c>
      <c r="V83" s="53">
        <f>IFERROR(-V82/V15,"")</f>
        <v>0.419504909675132</v>
      </c>
      <c r="W83" s="53" t="n"/>
      <c r="X83" s="53">
        <f>IFERROR(-X82/X15,"")</f>
        <v>0.148215575219599</v>
      </c>
      <c r="Y83" s="53">
        <f>IFERROR(-Y82/Y15,"")</f>
        <v>0.151948245490458</v>
      </c>
      <c r="Z83" s="53">
        <f>IFERROR(-Z82/Z15,"")</f>
        <v>0.146000491543128</v>
      </c>
      <c r="AA83" s="53">
        <f>IFERROR(-AA82/AA15,"")</f>
        <v>0.172205653852323</v>
      </c>
      <c r="AB83" s="53" t="n"/>
      <c r="AC83" s="53">
        <f>IFERROR(-AC82/AC15,"")</f>
        <v>0.160408336792097</v>
      </c>
      <c r="AD83" s="53">
        <f>IFERROR(-AD82/AD15,"")</f>
        <v>0.161384080373884</v>
      </c>
      <c r="AE83" s="53">
        <f>IFERROR(-AE82/AE15,"")</f>
        <v>0.165849983655718</v>
      </c>
      <c r="AF83" s="55">
        <f>IFERROR(-AF82/AF15,"")</f>
        <v>0.174737246230014</v>
      </c>
      <c r="AG83" s="53" t="n"/>
      <c r="AH83" s="55">
        <f>IFERROR(-AH82/AH15,"")</f>
        <v>0.172083315791209</v>
      </c>
      <c r="AI83" s="55">
        <f>IFERROR(-AI82/AI15,"")</f>
        <v>0.178330828634987</v>
      </c>
      <c r="AJ83" s="55">
        <f>Control!$B$21</f>
        <v>0.168798965246318</v>
      </c>
      <c r="AK83" s="55">
        <f>Control!$B$21</f>
        <v>0.168798965246318</v>
      </c>
      <c r="AL83" s="53" t="n"/>
      <c r="AM83" s="55">
        <f>Control!$C$21</f>
        <v>0.168798965246318</v>
      </c>
      <c r="AN83" s="55">
        <f>Control!$C$21</f>
        <v>0.168798965246318</v>
      </c>
      <c r="AO83" s="55">
        <f>Control!$C$21</f>
        <v>0.168798965246318</v>
      </c>
      <c r="AP83" s="55">
        <f>Control!$C$21</f>
        <v>0.168798965246318</v>
      </c>
      <c r="AQ83" s="53" t="n"/>
      <c r="AR83" s="55">
        <f>Control!$D$21</f>
        <v>0.168798965246318</v>
      </c>
      <c r="AS83" s="55">
        <f>Control!$D$21</f>
        <v>0.168798965246318</v>
      </c>
      <c r="AT83" s="55">
        <f>Control!$D$21</f>
        <v>0.168798965246318</v>
      </c>
      <c r="AU83" s="55">
        <f>Control!$D$21</f>
        <v>0.168798965246318</v>
      </c>
      <c r="AV83" s="53" t="n"/>
      <c r="AW83" s="55">
        <f>Control!$E$21</f>
        <v>0.168798965246318</v>
      </c>
      <c r="AX83" s="55">
        <f>Control!$E$21</f>
        <v>0.168798965246318</v>
      </c>
      <c r="AY83" s="55">
        <f>Control!$E$21</f>
        <v>0.168798965246318</v>
      </c>
      <c r="AZ83" s="55">
        <f>Control!$E$21</f>
        <v>0.168798965246318</v>
      </c>
      <c r="BA83" s="53" t="n"/>
      <c r="BB83" s="55">
        <f>Control!$F$21</f>
        <v>0.168798965246318</v>
      </c>
      <c r="BC83" s="55">
        <f>Control!$F$21</f>
        <v>0.168798965246318</v>
      </c>
      <c r="BD83" s="55">
        <f>Control!$F$21</f>
        <v>0.168798965246318</v>
      </c>
      <c r="BE83" s="55">
        <f>Control!$F$21</f>
        <v>0.168798965246318</v>
      </c>
      <c r="BF83" s="53" t="n"/>
      <c r="BG83" s="55" t="n"/>
      <c r="BH83" s="55" t="n"/>
      <c r="BI83" s="55" t="n"/>
      <c r="BJ83" s="55" t="n"/>
      <c r="BK83" s="53" t="n"/>
      <c r="BL83" s="55" t="n"/>
      <c r="BM83" s="55" t="n"/>
      <c r="BN83" s="55" t="n"/>
      <c r="BO83" s="55" t="n"/>
      <c r="BP83" s="53" t="n"/>
      <c r="BQ83" s="55" t="n"/>
      <c r="BR83" s="55" t="n"/>
      <c r="BS83" s="55" t="n"/>
      <c r="BT83" s="55" t="n"/>
      <c r="BU83" s="53" t="n"/>
      <c r="BV83" s="55" t="n"/>
      <c r="BW83" s="55" t="n"/>
      <c r="BX83" s="55" t="n"/>
      <c r="BY83" s="55" t="n"/>
      <c r="BZ83" s="53" t="n"/>
      <c r="CA83" s="55" t="n"/>
      <c r="CB83" s="55" t="n"/>
      <c r="CC83" s="55" t="n"/>
      <c r="CD83" s="55" t="n"/>
      <c r="CE83" s="53" t="n"/>
      <c r="CF83" s="55" t="n"/>
      <c r="CG83" s="55" t="n"/>
      <c r="CH83" s="55" t="n"/>
      <c r="CI83" s="55" t="n"/>
      <c r="CJ83" s="53" t="n"/>
      <c r="CK83" s="55" t="n"/>
      <c r="CL83" s="55" t="n"/>
      <c r="CM83" s="55" t="n"/>
      <c r="CN83" s="55" t="n"/>
      <c r="CO83" s="53" t="n"/>
      <c r="CP83" s="55" t="n"/>
      <c r="CQ83" s="55" t="n"/>
      <c r="CR83" s="55" t="n"/>
      <c r="CS83" s="55" t="n"/>
      <c r="CT83" s="53" t="n"/>
      <c r="CU83" s="55" t="n"/>
      <c r="CV83" s="55" t="n"/>
      <c r="CW83" s="55" t="n"/>
      <c r="CX83" s="55" t="n"/>
      <c r="CY83" s="53" t="n"/>
    </row>
    <row r="84" hidden="1" outlineLevel="1">
      <c r="C84" s="50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</row>
    <row r="85" collapsed="1" customFormat="1" s="32">
      <c r="A85" s="30" t="n"/>
      <c r="B85" s="3" t="n"/>
      <c r="C85" s="33" t="inlineStr">
        <is>
          <t>Operating Profit - EBIT</t>
        </is>
      </c>
      <c r="D85" s="35" t="n"/>
      <c r="E85" s="35" t="n"/>
      <c r="F85" s="35" t="n"/>
      <c r="G85" s="35" t="n"/>
      <c r="H85" s="35" t="n"/>
      <c r="I85" s="35">
        <f>SUM(I81,I82)</f>
        <v>242.324</v>
      </c>
      <c r="J85" s="35">
        <f>SUM(J81,J82)</f>
        <v>315.528</v>
      </c>
      <c r="K85" s="35">
        <f>SUM(K81,K82)</f>
        <v>502.702</v>
      </c>
      <c r="L85" s="35">
        <f>SUM(L81,L82)</f>
        <v>606.181</v>
      </c>
      <c r="M85" s="35">
        <f>SUM(I85:L85)</f>
        <v>1666.735</v>
      </c>
      <c r="N85" s="35">
        <f>SUM(N81,N82)</f>
        <v>650.259</v>
      </c>
      <c r="O85" s="35">
        <f>SUM(O81,O82)</f>
        <v>664.348</v>
      </c>
      <c r="P85" s="35">
        <f>SUM(P81,P82)</f>
        <v>624.813</v>
      </c>
      <c r="Q85" s="35">
        <f>SUM(Q81,Q82)</f>
        <v>477.301</v>
      </c>
      <c r="R85" s="35">
        <f>SUM(N85:Q85)</f>
        <v>2416.721</v>
      </c>
      <c r="S85" s="35">
        <f>SUM(S81,S82)</f>
        <v>485.309</v>
      </c>
      <c r="T85" s="35">
        <f>SUM(T81,T82)</f>
        <v>501.037</v>
      </c>
      <c r="U85" s="35">
        <f>SUM(U81,U82)</f>
        <v>455.16</v>
      </c>
      <c r="V85" s="35">
        <f>SUM(V81,V82)</f>
        <v>-179.939</v>
      </c>
      <c r="W85" s="35">
        <f>SUM(S85:V85)</f>
        <v>1261.567</v>
      </c>
      <c r="X85" s="35">
        <f>SUM(X81,X82)</f>
        <v>611.646</v>
      </c>
      <c r="Y85" s="35">
        <f>SUM(Y81,Y82)</f>
        <v>627.327</v>
      </c>
      <c r="Z85" s="35">
        <f>SUM(Z81,Z82)</f>
        <v>696.198</v>
      </c>
      <c r="AA85" s="35">
        <f>SUM(AA81,AA82)</f>
        <v>684.93</v>
      </c>
      <c r="AB85" s="35">
        <f>SUM(X85:AA85)</f>
        <v>2620.101</v>
      </c>
      <c r="AC85" s="35">
        <f>SUM(AC81,AC82)</f>
        <v>765.955</v>
      </c>
      <c r="AD85" s="35">
        <f>SUM(AD81,AD82)</f>
        <v>785.39</v>
      </c>
      <c r="AE85" s="35">
        <f>SUM(AE81,AE82)</f>
        <v>854.092</v>
      </c>
      <c r="AF85" s="35">
        <f>SUM(AF81,AF82)</f>
        <v>850.69101735</v>
      </c>
      <c r="AG85" s="35">
        <f>SUM(AC85:AF85)</f>
        <v>3256.12801735</v>
      </c>
      <c r="AH85" s="35">
        <f>SUM(AH81,AH82)</f>
        <v>918.078642</v>
      </c>
      <c r="AI85" s="35">
        <f>SUM(AI81,AI82)</f>
        <v>1015.1799626</v>
      </c>
      <c r="AJ85" s="35">
        <f>SUM(AJ81,AJ82)</f>
        <v>945.767203387624</v>
      </c>
      <c r="AK85" s="35">
        <f>SUM(AK81,AK82)</f>
        <v>918.928032730483</v>
      </c>
      <c r="AL85" s="35">
        <f>SUM(AL81,AL82)</f>
        <v>3797.95384071811</v>
      </c>
      <c r="AM85" s="35">
        <f>SUM(AM81,AM82)</f>
        <v>949.484621508016</v>
      </c>
      <c r="AN85" s="35">
        <f>SUM(AN81,AN82)</f>
        <v>945.763990630667</v>
      </c>
      <c r="AO85" s="35">
        <f>SUM(AO81,AO82)</f>
        <v>1018.06940595078</v>
      </c>
      <c r="AP85" s="35">
        <f>SUM(AP81,AP82)</f>
        <v>989.178428943696</v>
      </c>
      <c r="AQ85" s="35">
        <f>SUM(AQ81,AQ82)</f>
        <v>3902.49644703316</v>
      </c>
      <c r="AR85" s="35">
        <f>SUM(AR81,AR82)</f>
        <v>1017.32359089641</v>
      </c>
      <c r="AS85" s="35">
        <f>SUM(AS81,AS82)</f>
        <v>1013.33712763118</v>
      </c>
      <c r="AT85" s="35">
        <f>SUM(AT81,AT82)</f>
        <v>1090.80863489781</v>
      </c>
      <c r="AU85" s="35">
        <f>SUM(AU81,AU82)</f>
        <v>1059.85344951874</v>
      </c>
      <c r="AV85" s="35">
        <f>SUM(AV81,AV82)</f>
        <v>4181.32280294414</v>
      </c>
      <c r="AW85" s="35">
        <f>SUM(AW81,AW82)</f>
        <v>1084.92291474402</v>
      </c>
      <c r="AX85" s="35">
        <f>SUM(AX81,AX82)</f>
        <v>1080.67155816098</v>
      </c>
      <c r="AY85" s="35">
        <f>SUM(AY81,AY82)</f>
        <v>1163.29090782068</v>
      </c>
      <c r="AZ85" s="35">
        <f>SUM(AZ81,AZ82)</f>
        <v>1130.27880601902</v>
      </c>
      <c r="BA85" s="35">
        <f>SUM(BA81,BA82)</f>
        <v>4459.1641867447</v>
      </c>
      <c r="BB85" s="35">
        <f>SUM(BB81,BB82)</f>
        <v>1151.58947756927</v>
      </c>
      <c r="BC85" s="35">
        <f>SUM(BC81,BC82)</f>
        <v>1147.07688276656</v>
      </c>
      <c r="BD85" s="35">
        <f>SUM(BD81,BD82)</f>
        <v>1234.77304294414</v>
      </c>
      <c r="BE85" s="35">
        <f>SUM(BE81,BE82)</f>
        <v>1199.73240683019</v>
      </c>
      <c r="BF85" s="35">
        <f>SUM(BF81,BF82)</f>
        <v>4733.17181011015</v>
      </c>
      <c r="BG85" s="35" t="n"/>
      <c r="BH85" s="35" t="n"/>
      <c r="BI85" s="35" t="n"/>
      <c r="BJ85" s="35" t="n"/>
      <c r="BK85" s="35" t="n"/>
      <c r="BL85" s="35" t="n"/>
      <c r="BM85" s="35" t="n"/>
      <c r="BN85" s="35" t="n"/>
      <c r="BO85" s="35" t="n"/>
      <c r="BP85" s="35" t="n"/>
      <c r="BQ85" s="35" t="n"/>
      <c r="BR85" s="35" t="n"/>
      <c r="BS85" s="35" t="n"/>
      <c r="BT85" s="35" t="n"/>
      <c r="BU85" s="35" t="n"/>
      <c r="BV85" s="35" t="n"/>
      <c r="BW85" s="35" t="n"/>
      <c r="BX85" s="35" t="n"/>
      <c r="BY85" s="35" t="n"/>
      <c r="BZ85" s="35" t="n"/>
      <c r="CA85" s="35" t="n"/>
      <c r="CB85" s="35" t="n"/>
      <c r="CC85" s="35" t="n"/>
      <c r="CD85" s="35" t="n"/>
      <c r="CE85" s="35" t="n"/>
      <c r="CF85" s="35" t="n"/>
      <c r="CG85" s="35" t="n"/>
      <c r="CH85" s="35" t="n"/>
      <c r="CI85" s="35" t="n"/>
      <c r="CJ85" s="35" t="n"/>
      <c r="CK85" s="35" t="n"/>
      <c r="CL85" s="35" t="n"/>
      <c r="CM85" s="35" t="n"/>
      <c r="CN85" s="35" t="n"/>
      <c r="CO85" s="35" t="n"/>
      <c r="CP85" s="35" t="n"/>
      <c r="CQ85" s="35" t="n"/>
      <c r="CR85" s="35" t="n"/>
      <c r="CS85" s="35" t="n"/>
      <c r="CT85" s="35" t="n"/>
      <c r="CU85" s="35" t="n"/>
      <c r="CV85" s="35" t="n"/>
      <c r="CW85" s="35" t="n"/>
      <c r="CX85" s="35" t="n"/>
      <c r="CY85" s="35" t="n"/>
    </row>
    <row r="86">
      <c r="C86" s="14" t="inlineStr">
        <is>
          <t>Interest Expense</t>
        </is>
      </c>
      <c r="D86" s="46" t="n"/>
      <c r="E86" s="46" t="n"/>
      <c r="F86" s="46" t="n"/>
      <c r="G86" s="46" t="n"/>
      <c r="H86" s="12" t="n"/>
      <c r="I86" s="46">
        <f>'Inputs (2)'!D8</f>
        <v>-265.184</v>
      </c>
      <c r="J86" s="46">
        <f>'Inputs (2)'!E8</f>
        <v>239.899</v>
      </c>
      <c r="K86" s="46">
        <f>'Inputs (2)'!F8</f>
        <v>-342.257</v>
      </c>
      <c r="L86" s="46">
        <f>'Inputs (2)'!G8</f>
        <v>-591.177</v>
      </c>
      <c r="M86" s="12">
        <f>'Inputs (2)'!H8</f>
        <v>-958.719</v>
      </c>
      <c r="N86" s="46">
        <f>'Inputs (2)'!I8</f>
        <v>-394.958</v>
      </c>
      <c r="O86" s="46">
        <f>'Inputs (2)'!J8</f>
        <v>-515.803</v>
      </c>
      <c r="P86" s="46">
        <f>'Inputs (2)'!K8</f>
        <v>-637.391</v>
      </c>
      <c r="Q86" s="46">
        <f>'Inputs (2)'!L8</f>
        <v>-662.277</v>
      </c>
      <c r="R86" s="12">
        <f>'Inputs (2)'!M8</f>
        <v>-2210.429</v>
      </c>
      <c r="S86" s="46">
        <f>'Inputs (2)'!N8</f>
        <v>-615.278</v>
      </c>
      <c r="T86" s="46">
        <f>'Inputs (2)'!O8</f>
        <v>-551.559</v>
      </c>
      <c r="U86" s="46">
        <f>'Inputs (2)'!P8</f>
        <v>-590.177</v>
      </c>
      <c r="V86" s="46">
        <f>'Inputs (2)'!Q8</f>
        <v>-614.436</v>
      </c>
      <c r="W86" s="12">
        <f>'Inputs (2)'!R8</f>
        <v>-2371.45</v>
      </c>
      <c r="X86" s="46">
        <f>'Inputs (2)'!S8</f>
        <v>-627.625</v>
      </c>
      <c r="Y86" s="46">
        <f>'Inputs (2)'!T8</f>
        <v>-662.137</v>
      </c>
      <c r="Z86" s="46">
        <f>'Inputs (2)'!U8</f>
        <v>-707.297</v>
      </c>
      <c r="AA86" s="46">
        <f>'Inputs (2)'!V8</f>
        <v>-691.837</v>
      </c>
      <c r="AB86" s="12">
        <f>'Inputs (2)'!W8</f>
        <v>-2688.896</v>
      </c>
      <c r="AC86" s="46">
        <f>'Inputs (2)'!X8</f>
        <v>-745.217</v>
      </c>
      <c r="AD86" s="46">
        <f>'Inputs (2)'!Y8</f>
        <v>-792.778</v>
      </c>
      <c r="AE86" s="46">
        <f>'Inputs (2)'!Z8</f>
        <v>-895.889</v>
      </c>
      <c r="AF86" s="46">
        <f>'Inputs (2)'!AA8</f>
        <v>-1154.5136507</v>
      </c>
      <c r="AG86" s="12">
        <f>'Inputs (2)'!AB8</f>
        <v>-3588.3976507</v>
      </c>
      <c r="AH86" s="12">
        <f>'Inputs (2)'!AC8</f>
        <v>-902.5778591</v>
      </c>
      <c r="AI86" s="12">
        <f>'Inputs (2)'!AD8</f>
        <v>-1000.7705251</v>
      </c>
      <c r="AJ86" s="12" t="str">
        <f>IF(Control!$E$9="","",-AI104*Control!$E$9/4)</f>
        <v/>
      </c>
      <c r="AK86" s="12" t="str">
        <f>IF(Control!$E$9="","",-AJ104*Control!$E$9/4)</f>
        <v/>
      </c>
      <c r="AL86" s="12">
        <f>SUM(AH86:AK86)</f>
        <v>-1903.3483842</v>
      </c>
      <c r="AM86" s="12" t="str">
        <f>IF(Control!$E$9="","",-AL104*Control!$E$9/4)</f>
        <v/>
      </c>
      <c r="AN86" s="12" t="str">
        <f>IF(Control!$E$9="","",-AM104*Control!$E$9/4)</f>
        <v/>
      </c>
      <c r="AO86" s="12" t="str">
        <f>IF(Control!$E$9="","",-AN104*Control!$E$9/4)</f>
        <v/>
      </c>
      <c r="AP86" s="12" t="str">
        <f>IF(Control!$E$9="","",-AO104*Control!$E$9/4)</f>
        <v/>
      </c>
      <c r="AQ86" s="12">
        <f>SUM(AM86:AP86)</f>
        <v>0</v>
      </c>
      <c r="AR86" s="12" t="str">
        <f>IF(Control!$E$9="","",-AQ104*Control!$E$9/4)</f>
        <v/>
      </c>
      <c r="AS86" s="12" t="str">
        <f>IF(Control!$E$9="","",-AR104*Control!$E$9/4)</f>
        <v/>
      </c>
      <c r="AT86" s="12" t="str">
        <f>IF(Control!$E$9="","",-AS104*Control!$E$9/4)</f>
        <v/>
      </c>
      <c r="AU86" s="12" t="str">
        <f>IF(Control!$E$9="","",-AT104*Control!$E$9/4)</f>
        <v/>
      </c>
      <c r="AV86" s="12">
        <f>SUM(AR86:AU86)</f>
        <v>0</v>
      </c>
      <c r="AW86" s="12" t="str">
        <f>IF(Control!$E$9="","",-AV104*Control!$E$9/4)</f>
        <v/>
      </c>
      <c r="AX86" s="12" t="str">
        <f>IF(Control!$E$9="","",-AW104*Control!$E$9/4)</f>
        <v/>
      </c>
      <c r="AY86" s="12" t="str">
        <f>IF(Control!$E$9="","",-AX104*Control!$E$9/4)</f>
        <v/>
      </c>
      <c r="AZ86" s="12" t="str">
        <f>IF(Control!$E$9="","",-AY104*Control!$E$9/4)</f>
        <v/>
      </c>
      <c r="BA86" s="12">
        <f>SUM(AW86:AZ86)</f>
        <v>0</v>
      </c>
      <c r="BB86" s="12" t="str">
        <f>IF(Control!$E$9="","",-BA104*Control!$E$9/4)</f>
        <v/>
      </c>
      <c r="BC86" s="12" t="str">
        <f>IF(Control!$E$9="","",-BB104*Control!$E$9/4)</f>
        <v/>
      </c>
      <c r="BD86" s="12" t="str">
        <f>IF(Control!$E$9="","",-BC104*Control!$E$9/4)</f>
        <v/>
      </c>
      <c r="BE86" s="12" t="str">
        <f>IF(Control!$E$9="","",-BD104*Control!$E$9/4)</f>
        <v/>
      </c>
      <c r="BF86" s="12">
        <f>SUM(BB86:BE86)</f>
        <v>0</v>
      </c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</row>
    <row r="87" hidden="1" outlineLevel="1">
      <c r="C87" s="50" t="inlineStr">
        <is>
          <t>% of Debt</t>
        </is>
      </c>
      <c r="D87" s="53" t="n"/>
      <c r="E87" s="53" t="n"/>
      <c r="F87" s="53" t="n"/>
      <c r="G87" s="53" t="n"/>
      <c r="H87" s="12" t="n"/>
      <c r="I87" s="53">
        <f>IFERROR(-I86/SUM(I224+I229),"")</f>
        <v>0.0303298455337694</v>
      </c>
      <c r="J87" s="53">
        <f>IFERROR(-J86/SUM(J224+J229),"")</f>
        <v>-0.026780288196843</v>
      </c>
      <c r="K87" s="53">
        <f>IFERROR(-K86/SUM(K224+K229),"")</f>
        <v>0.0250653516701275</v>
      </c>
      <c r="L87" s="53">
        <f>IFERROR(-L86/SUM(L224+L229),"")</f>
        <v>0.0411750816986636</v>
      </c>
      <c r="M87" s="12" t="n"/>
      <c r="N87" s="53">
        <f>IFERROR(-N86/SUM(N224+N229),"")</f>
        <v>0.0293458268211486</v>
      </c>
      <c r="O87" s="53">
        <f>IFERROR(-O86/SUM(O224+O229),"")</f>
        <v>0.033527919370698</v>
      </c>
      <c r="P87" s="53">
        <f>IFERROR(-P86/SUM(P224+P229),"")</f>
        <v>0.0332577032534048</v>
      </c>
      <c r="Q87" s="53">
        <f>IFERROR(-Q86/SUM(Q224+Q229),"")</f>
        <v>0.0382995585190793</v>
      </c>
      <c r="R87" s="12" t="n"/>
      <c r="S87" s="53">
        <f>IFERROR(-S86/SUM(S224+S229),"")</f>
        <v>0.0413564208055037</v>
      </c>
      <c r="T87" s="53">
        <f>IFERROR(-T86/SUM(T224+T229),"")</f>
        <v>0.04068210582279</v>
      </c>
      <c r="U87" s="53">
        <f>IFERROR(-U86/SUM(U224+U229),"")</f>
        <v>0.044540540981121</v>
      </c>
      <c r="V87" s="53">
        <f>IFERROR(-V86/SUM(V224+V229),"")</f>
        <v>0.0413213336324651</v>
      </c>
      <c r="W87" s="12" t="n"/>
      <c r="X87" s="53">
        <f>IFERROR(-X86/SUM(X224+X229),"")</f>
        <v>0.0398502158880088</v>
      </c>
      <c r="Y87" s="53">
        <f>IFERROR(-Y86/SUM(Y224+Y229),"")</f>
        <v>0.0379345442528911</v>
      </c>
      <c r="Z87" s="53">
        <f>IFERROR(-Z86/SUM(Z224+Z229),"")</f>
        <v>0.038522670821374</v>
      </c>
      <c r="AA87" s="53">
        <f>IFERROR(-AA86/SUM(AA224+AA229),"")</f>
        <v>0.0346966146932355</v>
      </c>
      <c r="AB87" s="12" t="n"/>
      <c r="AC87" s="53">
        <f>IFERROR(-AC86/SUM(AC224+AC229),"")</f>
        <v>0.0385204733299363</v>
      </c>
      <c r="AD87" s="53">
        <f>IFERROR(-AD86/SUM(AD224+AD229),"")</f>
        <v>0.0420792347226589</v>
      </c>
      <c r="AE87" s="53">
        <f>IFERROR(-AE86/SUM(AE224+AE229),"")</f>
        <v>0.0496914753252366</v>
      </c>
      <c r="AF87" s="55">
        <f>IFERROR(-AF86/SUM(AF224+AF229),"")</f>
        <v>0.0543608287750666</v>
      </c>
      <c r="AG87" s="12" t="n"/>
      <c r="AH87" s="11">
        <f>IFERROR(-AH86/SUM(AH224+AH229),"")</f>
        <v>0.0392803630968082</v>
      </c>
      <c r="AI87" s="11">
        <f>IFERROR(-AI86/SUM(AI224+AI229),"")</f>
        <v>0.0433079303621897</v>
      </c>
      <c r="AJ87" s="11" t="str">
        <f>IFERROR(Control!$E$9,0)</f>
        <v/>
      </c>
      <c r="AK87" s="11" t="str">
        <f>IFERROR(Control!$E$9,0)</f>
        <v/>
      </c>
      <c r="AL87" s="12" t="n"/>
      <c r="AM87" s="11" t="str">
        <f>IFERROR(Control!$E$9,0)</f>
        <v/>
      </c>
      <c r="AN87" s="11" t="str">
        <f>IFERROR(Control!$E$9,0)</f>
        <v/>
      </c>
      <c r="AO87" s="11" t="str">
        <f>IFERROR(Control!$E$9,0)</f>
        <v/>
      </c>
      <c r="AP87" s="11" t="str">
        <f>IFERROR(Control!$E$9,0)</f>
        <v/>
      </c>
      <c r="AQ87" s="12" t="n"/>
      <c r="AR87" s="11" t="str">
        <f>IFERROR(Control!$E$9,0)</f>
        <v/>
      </c>
      <c r="AS87" s="11" t="str">
        <f>IFERROR(Control!$E$9,0)</f>
        <v/>
      </c>
      <c r="AT87" s="11" t="str">
        <f>IFERROR(Control!$E$9,0)</f>
        <v/>
      </c>
      <c r="AU87" s="11" t="str">
        <f>IFERROR(Control!$E$9,0)</f>
        <v/>
      </c>
      <c r="AV87" s="12" t="n"/>
      <c r="AW87" s="11" t="str">
        <f>IFERROR(Control!$E$9,0)</f>
        <v/>
      </c>
      <c r="AX87" s="11" t="str">
        <f>IFERROR(Control!$E$9,0)</f>
        <v/>
      </c>
      <c r="AY87" s="11" t="str">
        <f>IFERROR(Control!$E$9,0)</f>
        <v/>
      </c>
      <c r="AZ87" s="11" t="str">
        <f>IFERROR(Control!$E$9,0)</f>
        <v/>
      </c>
      <c r="BA87" s="12" t="n"/>
      <c r="BB87" s="11" t="str">
        <f>IFERROR(Control!$E$9,0)</f>
        <v/>
      </c>
      <c r="BC87" s="11" t="str">
        <f>IFERROR(Control!$E$9,0)</f>
        <v/>
      </c>
      <c r="BD87" s="11" t="str">
        <f>IFERROR(Control!$E$9,0)</f>
        <v/>
      </c>
      <c r="BE87" s="11" t="str">
        <f>IFERROR(Control!$E$9,0)</f>
        <v/>
      </c>
      <c r="BF87" s="12" t="n"/>
      <c r="BG87" s="11" t="n"/>
      <c r="BH87" s="11" t="n"/>
      <c r="BI87" s="11" t="n"/>
      <c r="BJ87" s="11" t="n"/>
      <c r="BK87" s="12" t="n"/>
      <c r="BL87" s="11" t="n"/>
      <c r="BM87" s="11" t="n"/>
      <c r="BN87" s="11" t="n"/>
      <c r="BO87" s="11" t="n"/>
      <c r="BP87" s="12" t="n"/>
      <c r="BQ87" s="11" t="n"/>
      <c r="BR87" s="11" t="n"/>
      <c r="BS87" s="11" t="n"/>
      <c r="BT87" s="11" t="n"/>
      <c r="BU87" s="12" t="n"/>
      <c r="BV87" s="11" t="n"/>
      <c r="BW87" s="11" t="n"/>
      <c r="BX87" s="11" t="n"/>
      <c r="BY87" s="11" t="n"/>
      <c r="BZ87" s="12" t="n"/>
      <c r="CA87" s="11" t="n"/>
      <c r="CB87" s="11" t="n"/>
      <c r="CC87" s="11" t="n"/>
      <c r="CD87" s="11" t="n"/>
      <c r="CE87" s="12" t="n"/>
      <c r="CF87" s="11" t="n"/>
      <c r="CG87" s="11" t="n"/>
      <c r="CH87" s="11" t="n"/>
      <c r="CI87" s="11" t="n"/>
      <c r="CJ87" s="12" t="n"/>
      <c r="CK87" s="11" t="n"/>
      <c r="CL87" s="11" t="n"/>
      <c r="CM87" s="11" t="n"/>
      <c r="CN87" s="11" t="n"/>
      <c r="CO87" s="12" t="n"/>
      <c r="CP87" s="11" t="n"/>
      <c r="CQ87" s="11" t="n"/>
      <c r="CR87" s="11" t="n"/>
      <c r="CS87" s="11" t="n"/>
      <c r="CT87" s="12" t="n"/>
      <c r="CU87" s="11" t="n"/>
      <c r="CV87" s="11" t="n"/>
      <c r="CW87" s="11" t="n"/>
      <c r="CX87" s="11" t="n"/>
      <c r="CY87" s="12" t="n"/>
    </row>
    <row r="88" hidden="1" outlineLevel="1">
      <c r="C88" s="50" t="inlineStr">
        <is>
          <t>%CDI</t>
        </is>
      </c>
      <c r="D88" s="11" t="n"/>
      <c r="E88" s="11" t="n"/>
      <c r="F88" s="11" t="n"/>
      <c r="G88" s="11" t="n"/>
      <c r="H88" s="12" t="n"/>
      <c r="I88" s="11" t="n"/>
      <c r="J88" s="11" t="n"/>
      <c r="K88" s="11" t="n"/>
      <c r="L88" s="11" t="n"/>
      <c r="M88" s="12" t="n"/>
      <c r="N88" s="11" t="n"/>
      <c r="O88" s="11" t="n"/>
      <c r="P88" s="11" t="n"/>
      <c r="Q88" s="11" t="n"/>
      <c r="R88" s="12" t="n"/>
      <c r="S88" s="11" t="n"/>
      <c r="T88" s="11" t="n"/>
      <c r="U88" s="11" t="n"/>
      <c r="V88" s="11" t="n"/>
      <c r="W88" s="12" t="n"/>
      <c r="X88" s="11" t="n"/>
      <c r="Y88" s="11" t="n"/>
      <c r="Z88" s="11" t="n"/>
      <c r="AA88" s="11" t="n"/>
      <c r="AB88" s="12" t="n"/>
      <c r="AC88" s="11" t="n"/>
      <c r="AD88" s="11" t="n"/>
      <c r="AE88" s="11" t="n"/>
      <c r="AF88" s="11" t="n"/>
      <c r="AG88" s="12" t="n"/>
      <c r="AH88" s="11" t="n"/>
      <c r="AI88" s="11" t="n"/>
      <c r="AJ88" s="11" t="n"/>
      <c r="AK88" s="11" t="n"/>
      <c r="AL88" s="12" t="n"/>
      <c r="AM88" s="11" t="n"/>
      <c r="AN88" s="11" t="n"/>
      <c r="AO88" s="11" t="n"/>
      <c r="AP88" s="11" t="n"/>
      <c r="AQ88" s="12" t="n"/>
      <c r="AR88" s="11" t="n"/>
      <c r="AS88" s="11" t="n"/>
      <c r="AT88" s="11" t="n"/>
      <c r="AU88" s="11" t="n"/>
      <c r="AV88" s="12" t="n"/>
      <c r="AW88" s="11" t="n"/>
      <c r="AX88" s="11" t="n"/>
      <c r="AY88" s="11" t="n"/>
      <c r="AZ88" s="11" t="n"/>
      <c r="BA88" s="12" t="n"/>
      <c r="BB88" s="11" t="n"/>
      <c r="BC88" s="11" t="n"/>
      <c r="BD88" s="11" t="n"/>
      <c r="BE88" s="11" t="n"/>
      <c r="BF88" s="12" t="n"/>
      <c r="BG88" s="11" t="n"/>
      <c r="BH88" s="11" t="n"/>
      <c r="BI88" s="11" t="n"/>
      <c r="BJ88" s="11" t="n"/>
      <c r="BK88" s="12" t="n"/>
      <c r="BL88" s="11" t="n"/>
      <c r="BM88" s="11" t="n"/>
      <c r="BN88" s="11" t="n"/>
      <c r="BO88" s="11" t="n"/>
      <c r="BP88" s="12" t="n"/>
      <c r="BQ88" s="11" t="n"/>
      <c r="BR88" s="11" t="n"/>
      <c r="BS88" s="11" t="n"/>
      <c r="BT88" s="11" t="n"/>
      <c r="BU88" s="12" t="n"/>
      <c r="BV88" s="11" t="n"/>
      <c r="BW88" s="11" t="n"/>
      <c r="BX88" s="11" t="n"/>
      <c r="BY88" s="11" t="n"/>
      <c r="BZ88" s="12" t="n"/>
      <c r="CA88" s="11" t="n"/>
      <c r="CB88" s="11" t="n"/>
      <c r="CC88" s="11" t="n"/>
      <c r="CD88" s="11" t="n"/>
      <c r="CE88" s="12" t="n"/>
      <c r="CF88" s="11" t="n"/>
      <c r="CG88" s="11" t="n"/>
      <c r="CH88" s="11" t="n"/>
      <c r="CI88" s="11" t="n"/>
      <c r="CJ88" s="12" t="n"/>
      <c r="CK88" s="11" t="n"/>
      <c r="CL88" s="11" t="n"/>
      <c r="CM88" s="11" t="n"/>
      <c r="CN88" s="11" t="n"/>
      <c r="CO88" s="12" t="n"/>
      <c r="CP88" s="11" t="n"/>
      <c r="CQ88" s="11" t="n"/>
      <c r="CR88" s="11" t="n"/>
      <c r="CS88" s="11" t="n"/>
      <c r="CT88" s="12" t="n"/>
      <c r="CU88" s="11" t="n"/>
      <c r="CV88" s="11" t="n"/>
      <c r="CW88" s="11" t="n"/>
      <c r="CX88" s="11" t="n"/>
      <c r="CY88" s="12" t="n"/>
    </row>
    <row r="89" hidden="1" outlineLevel="1">
      <c r="C89" s="57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</row>
    <row r="90" hidden="1" outlineLevel="1">
      <c r="C90" s="57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</row>
    <row r="91" hidden="1" outlineLevel="1">
      <c r="C91" s="57" t="inlineStr">
        <is>
          <t>RECEITA FINANCEIRA</t>
        </is>
      </c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</row>
    <row r="92" hidden="1" outlineLevel="1">
      <c r="C92" s="57" t="inlineStr">
        <is>
          <t>DESPESA FINANCEIRA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</row>
    <row r="93" hidden="1" outlineLevel="1">
      <c r="C93" s="57" t="inlineStr">
        <is>
          <t>OUTROS</t>
        </is>
      </c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</row>
    <row r="94" hidden="1" outlineLevel="1">
      <c r="C94" s="57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</row>
    <row r="95" hidden="1" outlineLevel="1">
      <c r="C95" s="57" t="inlineStr">
        <is>
          <t>Cash and equivalents (inc. investment securities)</t>
        </is>
      </c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</row>
    <row r="96" hidden="1" outlineLevel="1">
      <c r="C96" s="57" t="inlineStr">
        <is>
          <t>Interest on cash</t>
        </is>
      </c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</row>
    <row r="97" hidden="1" outlineLevel="1">
      <c r="C97" s="57" t="inlineStr">
        <is>
          <t>Average interest rate</t>
        </is>
      </c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</row>
    <row r="98" hidden="1" outlineLevel="1">
      <c r="C98" s="57" t="inlineStr">
        <is>
          <t>% CDI</t>
        </is>
      </c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</row>
    <row r="99" hidden="1" outlineLevel="1">
      <c r="C99" s="57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</row>
    <row r="100" hidden="1" outlineLevel="1">
      <c r="C100" s="57" t="inlineStr">
        <is>
          <t>Current portion of long-term debt</t>
        </is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</row>
    <row r="101" hidden="1" outlineLevel="1">
      <c r="C101" s="57" t="inlineStr">
        <is>
          <t>Short term debt (Revolving credit facility)</t>
        </is>
      </c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</row>
    <row r="102" hidden="1" outlineLevel="1">
      <c r="C102" s="57" t="inlineStr">
        <is>
          <t>Long term debt</t>
        </is>
      </c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</row>
    <row r="103" hidden="1" outlineLevel="1">
      <c r="C103" s="57" t="inlineStr">
        <is>
          <t>Convertible debt</t>
        </is>
      </c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</row>
    <row r="104" hidden="1" outlineLevel="1">
      <c r="C104" s="57" t="inlineStr">
        <is>
          <t>Total debt</t>
        </is>
      </c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2" t="n"/>
      <c r="CY104" s="12" t="n"/>
    </row>
    <row r="105" hidden="1" outlineLevel="1">
      <c r="C105" s="57" t="inlineStr">
        <is>
          <t>Interest expense</t>
        </is>
      </c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</row>
    <row r="106" hidden="1" outlineLevel="1">
      <c r="C106" s="57" t="inlineStr">
        <is>
          <t>Average interest rate</t>
        </is>
      </c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2" t="n"/>
      <c r="CY106" s="12" t="n"/>
    </row>
    <row r="107" hidden="1" outlineLevel="1">
      <c r="C107" s="57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</row>
    <row r="108" hidden="1" outlineLevel="1">
      <c r="C108" s="57" t="inlineStr">
        <is>
          <t>Stake</t>
        </is>
      </c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</row>
    <row r="109" hidden="1" outlineLevel="1">
      <c r="C109" s="57" t="inlineStr">
        <is>
          <t>PRE</t>
        </is>
      </c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</row>
    <row r="110" hidden="1" outlineLevel="1">
      <c r="C110" s="57" t="inlineStr">
        <is>
          <t>CDI+</t>
        </is>
      </c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</row>
    <row r="111" hidden="1" outlineLevel="1">
      <c r="C111" s="57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2" t="n"/>
      <c r="CY111" s="12" t="n"/>
    </row>
    <row r="112" hidden="1" outlineLevel="1">
      <c r="C112" s="57" t="inlineStr">
        <is>
          <t>Spread</t>
        </is>
      </c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</row>
    <row r="113" hidden="1" outlineLevel="1">
      <c r="C113" s="57" t="inlineStr">
        <is>
          <t>PRE</t>
        </is>
      </c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2" t="n"/>
      <c r="CY113" s="12" t="n"/>
    </row>
    <row r="114" hidden="1" outlineLevel="1">
      <c r="C114" s="57" t="inlineStr">
        <is>
          <t>CDI+</t>
        </is>
      </c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2" t="n"/>
      <c r="CY114" s="12" t="n"/>
    </row>
    <row r="115" hidden="1" outlineLevel="1">
      <c r="C115" s="57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2" t="n"/>
      <c r="CX115" s="12" t="n"/>
      <c r="CY115" s="12" t="n"/>
    </row>
    <row r="116" hidden="1" outlineLevel="1">
      <c r="C116" s="57" t="inlineStr">
        <is>
          <t>RECEITAS FINANCEIRAS - Rendimentos de aplicações financeiras</t>
        </is>
      </c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2" t="n"/>
      <c r="CY116" s="12" t="n"/>
    </row>
    <row r="117" hidden="1" outlineLevel="1">
      <c r="C117" s="57" t="inlineStr">
        <is>
          <t>RECEITAS FINANCEIRAS - Variação cambial ativa</t>
        </is>
      </c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2" t="n"/>
      <c r="CY117" s="12" t="n"/>
    </row>
    <row r="118" hidden="1" outlineLevel="1">
      <c r="C118" s="57" t="inlineStr">
        <is>
          <t>RECEITAS FINANCEIRAS - Atualização de contas a pagar por aquisição de empresas</t>
        </is>
      </c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2" t="n"/>
      <c r="CX118" s="12" t="n"/>
      <c r="CY118" s="12" t="n"/>
    </row>
    <row r="119" hidden="1" outlineLevel="1">
      <c r="C119" s="57" t="inlineStr">
        <is>
          <t>RECEITAS FINANCEIRAS - Resultado positivo com instrumentos derivativos</t>
        </is>
      </c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</row>
    <row r="120" hidden="1" outlineLevel="1">
      <c r="C120" s="57" t="inlineStr">
        <is>
          <t>RECEITAS FINANCEIRAS - Descontos obtidos de fornecedores por antecipação</t>
        </is>
      </c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2" t="n"/>
      <c r="CX120" s="12" t="n"/>
      <c r="CY120" s="12" t="n"/>
    </row>
    <row r="121" hidden="1" outlineLevel="1">
      <c r="C121" s="57" t="inlineStr">
        <is>
          <t>RECEITAS FINANCEIRAS - Atualização monetária sobre Exclusão ICMS da base de PIS/COFINS (nota explicativa nº 7)</t>
        </is>
      </c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</row>
    <row r="122" hidden="1" outlineLevel="1">
      <c r="C122" s="57" t="inlineStr">
        <is>
          <t>RECEITAS FINANCEIRAS - Outras</t>
        </is>
      </c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2" t="n"/>
      <c r="CY122" s="12" t="n"/>
    </row>
    <row r="123" hidden="1" outlineLevel="1">
      <c r="C123" s="57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  <c r="AL123" s="12" t="n"/>
      <c r="AM123" s="12" t="n"/>
      <c r="AN123" s="12" t="n"/>
      <c r="AO123" s="12" t="n"/>
      <c r="AP123" s="12" t="n"/>
      <c r="AQ123" s="12" t="n"/>
      <c r="AR123" s="12" t="n"/>
      <c r="AS123" s="12" t="n"/>
      <c r="AT123" s="12" t="n"/>
      <c r="AU123" s="12" t="n"/>
      <c r="AV123" s="12" t="n"/>
      <c r="AW123" s="12" t="n"/>
      <c r="AX123" s="12" t="n"/>
      <c r="AY123" s="12" t="n"/>
      <c r="AZ123" s="12" t="n"/>
      <c r="BA123" s="12" t="n"/>
      <c r="BB123" s="12" t="n"/>
      <c r="BC123" s="12" t="n"/>
      <c r="BD123" s="12" t="n"/>
      <c r="BE123" s="12" t="n"/>
      <c r="BF123" s="12" t="n"/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2" t="n"/>
      <c r="CY123" s="12" t="n"/>
    </row>
    <row r="124" hidden="1" outlineLevel="1">
      <c r="C124" s="57" t="inlineStr">
        <is>
          <t>DESPESAS FINANCEIRAS - Encargos sobre empréstimos, financiamentos e debêntures</t>
        </is>
      </c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2" t="n"/>
      <c r="AZ124" s="12" t="n"/>
      <c r="BA124" s="12" t="n"/>
      <c r="BB124" s="12" t="n"/>
      <c r="BC124" s="12" t="n"/>
      <c r="BD124" s="12" t="n"/>
      <c r="BE124" s="12" t="n"/>
      <c r="BF124" s="12" t="n"/>
      <c r="BG124" s="12" t="n"/>
      <c r="BH124" s="12" t="n"/>
      <c r="BI124" s="12" t="n"/>
      <c r="BJ124" s="12" t="n"/>
      <c r="BK124" s="12" t="n"/>
      <c r="BL124" s="12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2" t="n"/>
      <c r="CX124" s="12" t="n"/>
      <c r="CY124" s="12" t="n"/>
    </row>
    <row r="125" hidden="1" outlineLevel="1">
      <c r="C125" s="57" t="inlineStr">
        <is>
          <t>DESPESAS FINANCEIRAS - Variação cambial passiva</t>
        </is>
      </c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  <c r="BN125" s="12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2" t="n"/>
      <c r="CX125" s="12" t="n"/>
      <c r="CY125" s="12" t="n"/>
    </row>
    <row r="126" hidden="1" outlineLevel="1">
      <c r="C126" s="57" t="inlineStr">
        <is>
          <t>DESPESAS FINANCEIRAS - Resultado negativo com instrumentos derivativos</t>
        </is>
      </c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2" t="n"/>
      <c r="CX126" s="12" t="n"/>
      <c r="CY126" s="12" t="n"/>
    </row>
    <row r="127" hidden="1" outlineLevel="1">
      <c r="C127" s="57" t="inlineStr">
        <is>
          <t>DESPESAS FINANCEIRAS - Juros sobre arrendamento - IFRS16</t>
        </is>
      </c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2" t="n"/>
      <c r="CX127" s="12" t="n"/>
      <c r="CY127" s="12" t="n"/>
    </row>
    <row r="128" hidden="1" outlineLevel="1">
      <c r="C128" s="57" t="inlineStr">
        <is>
          <t>DESPESAS FINANCEIRAS - Despesas bancárias</t>
        </is>
      </c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2" t="n"/>
      <c r="CX128" s="12" t="n"/>
      <c r="CY128" s="12" t="n"/>
    </row>
    <row r="129" hidden="1" outlineLevel="1">
      <c r="C129" s="57" t="inlineStr">
        <is>
          <t>DESPESAS FINANCEIRAS - Despesas com obtenção de empréstimos e financiamentos</t>
        </is>
      </c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2" t="n"/>
      <c r="AZ129" s="12" t="n"/>
      <c r="BA129" s="12" t="n"/>
      <c r="BB129" s="12" t="n"/>
      <c r="BC129" s="12" t="n"/>
      <c r="BD129" s="12" t="n"/>
      <c r="BE129" s="12" t="n"/>
      <c r="BF129" s="12" t="n"/>
      <c r="BG129" s="12" t="n"/>
      <c r="BH129" s="12" t="n"/>
      <c r="BI129" s="12" t="n"/>
      <c r="BJ129" s="12" t="n"/>
      <c r="BK129" s="12" t="n"/>
      <c r="BL129" s="12" t="n"/>
      <c r="BM129" s="12" t="n"/>
      <c r="BN129" s="12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2" t="n"/>
      <c r="CX129" s="12" t="n"/>
      <c r="CY129" s="12" t="n"/>
    </row>
    <row r="130" hidden="1" outlineLevel="1">
      <c r="C130" s="57" t="inlineStr">
        <is>
          <t>DESPESAS FINANCEIRAS - Atualização de contas a pagar por aquisição de empresas</t>
        </is>
      </c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/>
      <c r="AU130" s="12" t="n"/>
      <c r="AV130" s="12" t="n"/>
      <c r="AW130" s="12" t="n"/>
      <c r="AX130" s="12" t="n"/>
      <c r="AY130" s="12" t="n"/>
      <c r="AZ130" s="12" t="n"/>
      <c r="BA130" s="12" t="n"/>
      <c r="BB130" s="12" t="n"/>
      <c r="BC130" s="12" t="n"/>
      <c r="BD130" s="12" t="n"/>
      <c r="BE130" s="12" t="n"/>
      <c r="BF130" s="12" t="n"/>
      <c r="BG130" s="12" t="n"/>
      <c r="BH130" s="12" t="n"/>
      <c r="BI130" s="12" t="n"/>
      <c r="BJ130" s="12" t="n"/>
      <c r="BK130" s="12" t="n"/>
      <c r="BL130" s="12" t="n"/>
      <c r="BM130" s="12" t="n"/>
      <c r="BN130" s="12" t="n"/>
      <c r="BO130" s="12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2" t="n"/>
      <c r="CF130" s="12" t="n"/>
      <c r="CG130" s="12" t="n"/>
      <c r="CH130" s="12" t="n"/>
      <c r="CI130" s="12" t="n"/>
      <c r="CJ130" s="12" t="n"/>
      <c r="CK130" s="12" t="n"/>
      <c r="CL130" s="12" t="n"/>
      <c r="CM130" s="12" t="n"/>
      <c r="CN130" s="12" t="n"/>
      <c r="CO130" s="12" t="n"/>
      <c r="CP130" s="12" t="n"/>
      <c r="CQ130" s="12" t="n"/>
      <c r="CR130" s="12" t="n"/>
      <c r="CS130" s="12" t="n"/>
      <c r="CT130" s="12" t="n"/>
      <c r="CU130" s="12" t="n"/>
      <c r="CV130" s="12" t="n"/>
      <c r="CW130" s="12" t="n"/>
      <c r="CX130" s="12" t="n"/>
      <c r="CY130" s="12" t="n"/>
    </row>
    <row r="131" hidden="1" outlineLevel="1">
      <c r="C131" s="57" t="inlineStr">
        <is>
          <t>DESPESAS FINANCEIRAS - Outras</t>
        </is>
      </c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  <c r="AK131" s="12" t="n"/>
      <c r="AL131" s="12" t="n"/>
      <c r="AM131" s="12" t="n"/>
      <c r="AN131" s="12" t="n"/>
      <c r="AO131" s="12" t="n"/>
      <c r="AP131" s="12" t="n"/>
      <c r="AQ131" s="12" t="n"/>
      <c r="AR131" s="12" t="n"/>
      <c r="AS131" s="12" t="n"/>
      <c r="AT131" s="12" t="n"/>
      <c r="AU131" s="12" t="n"/>
      <c r="AV131" s="12" t="n"/>
      <c r="AW131" s="12" t="n"/>
      <c r="AX131" s="12" t="n"/>
      <c r="AY131" s="12" t="n"/>
      <c r="AZ131" s="12" t="n"/>
      <c r="BA131" s="12" t="n"/>
      <c r="BB131" s="12" t="n"/>
      <c r="BC131" s="12" t="n"/>
      <c r="BD131" s="12" t="n"/>
      <c r="BE131" s="12" t="n"/>
      <c r="BF131" s="12" t="n"/>
      <c r="BG131" s="12" t="n"/>
      <c r="BH131" s="12" t="n"/>
      <c r="BI131" s="12" t="n"/>
      <c r="BJ131" s="12" t="n"/>
      <c r="BK131" s="12" t="n"/>
      <c r="BL131" s="12" t="n"/>
      <c r="BM131" s="12" t="n"/>
      <c r="BN131" s="12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2" t="n"/>
      <c r="CX131" s="12" t="n"/>
      <c r="CY131" s="12" t="n"/>
    </row>
    <row r="132" hidden="1" outlineLevel="1">
      <c r="C132" s="57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  <c r="AL132" s="12" t="n"/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  <c r="AW132" s="12" t="n"/>
      <c r="AX132" s="12" t="n"/>
      <c r="AY132" s="12" t="n"/>
      <c r="AZ132" s="12" t="n"/>
      <c r="BA132" s="12" t="n"/>
      <c r="BB132" s="12" t="n"/>
      <c r="BC132" s="12" t="n"/>
      <c r="BD132" s="12" t="n"/>
      <c r="BE132" s="12" t="n"/>
      <c r="BF132" s="12" t="n"/>
      <c r="BG132" s="12" t="n"/>
      <c r="BH132" s="12" t="n"/>
      <c r="BI132" s="12" t="n"/>
      <c r="BJ132" s="12" t="n"/>
      <c r="BK132" s="12" t="n"/>
      <c r="BL132" s="12" t="n"/>
      <c r="BM132" s="12" t="n"/>
      <c r="BN132" s="12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  <c r="CR132" s="12" t="n"/>
      <c r="CS132" s="12" t="n"/>
      <c r="CT132" s="12" t="n"/>
      <c r="CU132" s="12" t="n"/>
      <c r="CV132" s="12" t="n"/>
      <c r="CW132" s="12" t="n"/>
      <c r="CX132" s="12" t="n"/>
      <c r="CY132" s="12" t="n"/>
    </row>
    <row r="133" hidden="1" outlineLevel="1">
      <c r="C133" s="57" t="inlineStr">
        <is>
          <t>CHECK [EX IFRS-16]</t>
        </is>
      </c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2" t="n"/>
      <c r="CY133" s="12" t="n"/>
    </row>
    <row r="134" hidden="1" outlineLevel="1">
      <c r="C134" s="57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2" t="n"/>
      <c r="CX134" s="12" t="n"/>
      <c r="CY134" s="12" t="n"/>
    </row>
    <row r="135" collapsed="1">
      <c r="C135" s="14" t="inlineStr">
        <is>
          <t>Nonoperating Income / (Loss)</t>
        </is>
      </c>
      <c r="D135" s="46" t="n"/>
      <c r="E135" s="46" t="n"/>
      <c r="F135" s="46" t="n"/>
      <c r="G135" s="46" t="n"/>
      <c r="H135" s="12" t="n"/>
      <c r="I135" s="46">
        <f>'Inputs (2)'!D9</f>
        <v>188.526</v>
      </c>
      <c r="J135" s="46">
        <f>'Inputs (2)'!E9</f>
        <v>-307.323</v>
      </c>
      <c r="K135" s="46">
        <f>'Inputs (2)'!F9</f>
        <v>209.511</v>
      </c>
      <c r="L135" s="46">
        <f>'Inputs (2)'!G9</f>
        <v>383.039</v>
      </c>
      <c r="M135" s="12">
        <f>'Inputs (2)'!H9</f>
        <v>473.753</v>
      </c>
      <c r="N135" s="46">
        <f>'Inputs (2)'!I9</f>
        <v>107.671</v>
      </c>
      <c r="O135" s="46">
        <f>'Inputs (2)'!J9</f>
        <v>116.444</v>
      </c>
      <c r="P135" s="46">
        <f>'Inputs (2)'!K9</f>
        <v>123.724</v>
      </c>
      <c r="Q135" s="46">
        <f>'Inputs (2)'!L9</f>
        <v>161.251</v>
      </c>
      <c r="R135" s="12">
        <f>'Inputs (2)'!M9</f>
        <v>509.09</v>
      </c>
      <c r="S135" s="46">
        <f>'Inputs (2)'!N9</f>
        <v>140.596</v>
      </c>
      <c r="T135" s="46">
        <f>'Inputs (2)'!O9</f>
        <v>25.985</v>
      </c>
      <c r="U135" s="46">
        <f>'Inputs (2)'!P9</f>
        <v>47.438</v>
      </c>
      <c r="V135" s="46">
        <f>'Inputs (2)'!Q9</f>
        <v>59.055</v>
      </c>
      <c r="W135" s="12">
        <f>'Inputs (2)'!R9</f>
        <v>273.074</v>
      </c>
      <c r="X135" s="46">
        <f>'Inputs (2)'!S9</f>
        <v>88.865</v>
      </c>
      <c r="Y135" s="46">
        <f>'Inputs (2)'!T9</f>
        <v>91.414</v>
      </c>
      <c r="Z135" s="46">
        <f>'Inputs (2)'!U9</f>
        <v>112.895</v>
      </c>
      <c r="AA135" s="46">
        <f>'Inputs (2)'!V9</f>
        <v>85.172</v>
      </c>
      <c r="AB135" s="12">
        <f>'Inputs (2)'!W9</f>
        <v>378.346</v>
      </c>
      <c r="AC135" s="46">
        <f>'Inputs (2)'!X9</f>
        <v>90.007</v>
      </c>
      <c r="AD135" s="46">
        <f>'Inputs (2)'!Y9</f>
        <v>98.699</v>
      </c>
      <c r="AE135" s="46">
        <f>'Inputs (2)'!Z9</f>
        <v>100.571</v>
      </c>
      <c r="AF135" s="46">
        <f>'Inputs (2)'!AA9</f>
        <v>390.591907106</v>
      </c>
      <c r="AG135" s="12">
        <f>'Inputs (2)'!AB9</f>
        <v>679.868907106</v>
      </c>
      <c r="AH135" s="12">
        <f>'Inputs (2)'!AC9</f>
        <v>148.7954076</v>
      </c>
      <c r="AI135" s="12">
        <f>'Inputs (2)'!AD9</f>
        <v>155.1356947</v>
      </c>
      <c r="AJ135" s="12">
        <f>AJ15*Control!$B$23</f>
        <v>179.492720774321</v>
      </c>
      <c r="AK135" s="12">
        <f>AK15*Control!$B$23</f>
        <v>174.399040482468</v>
      </c>
      <c r="AL135" s="12">
        <f>SUM(AH135:AK135)</f>
        <v>657.822863556788</v>
      </c>
      <c r="AM135" s="12">
        <f>AM15*Control!$C$23</f>
        <v>180.198232120342</v>
      </c>
      <c r="AN135" s="12">
        <f>AN15*Control!$C$23</f>
        <v>179.492111040249</v>
      </c>
      <c r="AO135" s="12">
        <f>AO15*Control!$C$23</f>
        <v>193.214616616715</v>
      </c>
      <c r="AP135" s="12">
        <f>AP15*Control!$C$23</f>
        <v>187.731533623082</v>
      </c>
      <c r="AQ135" s="12">
        <f>SUM(AM135:AP135)</f>
        <v>740.636493400388</v>
      </c>
      <c r="AR135" s="12">
        <f>AR15*Control!$D$23</f>
        <v>193.073071876292</v>
      </c>
      <c r="AS135" s="12">
        <f>AS15*Control!$D$23</f>
        <v>192.316499714368</v>
      </c>
      <c r="AT135" s="12">
        <f>AT15*Control!$D$23</f>
        <v>207.019453646338</v>
      </c>
      <c r="AU135" s="12">
        <f>AU15*Control!$D$23</f>
        <v>201.144614229343</v>
      </c>
      <c r="AV135" s="12">
        <f>SUM(AR135:AU135)</f>
        <v>793.553639466342</v>
      </c>
      <c r="AW135" s="12">
        <f>AW15*Control!$E$23</f>
        <v>205.902430429275</v>
      </c>
      <c r="AX135" s="12">
        <f>AX15*Control!$E$23</f>
        <v>205.095585407225</v>
      </c>
      <c r="AY135" s="12">
        <f>AY15*Control!$E$23</f>
        <v>220.77552419756</v>
      </c>
      <c r="AZ135" s="12">
        <f>AZ15*Control!$E$23</f>
        <v>214.510312262071</v>
      </c>
      <c r="BA135" s="12">
        <f>SUM(AW135:AZ135)</f>
        <v>846.283852296131</v>
      </c>
      <c r="BB135" s="12">
        <f>BB15*Control!$F$23</f>
        <v>218.554764643567</v>
      </c>
      <c r="BC135" s="12">
        <f>BC15*Control!$F$23</f>
        <v>217.698340445318</v>
      </c>
      <c r="BD135" s="12">
        <f>BD15*Control!$F$23</f>
        <v>234.341783287651</v>
      </c>
      <c r="BE135" s="12">
        <f>BE15*Control!$F$23</f>
        <v>227.691585341235</v>
      </c>
      <c r="BF135" s="12">
        <f>SUM(BB135:BE135)</f>
        <v>898.286473717772</v>
      </c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2" t="n"/>
      <c r="CY135" s="12" t="n"/>
    </row>
    <row r="136" hidden="1" outlineLevel="1">
      <c r="C136" s="57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  <c r="AW136" s="12" t="n"/>
      <c r="AX136" s="12" t="n"/>
      <c r="AY136" s="12" t="n"/>
      <c r="AZ136" s="12" t="n"/>
      <c r="BA136" s="12" t="n"/>
      <c r="BB136" s="12" t="n"/>
      <c r="BC136" s="12" t="n"/>
      <c r="BD136" s="12" t="n"/>
      <c r="BE136" s="12" t="n"/>
      <c r="BF136" s="12" t="n"/>
      <c r="BG136" s="12" t="n"/>
      <c r="BH136" s="12" t="n"/>
      <c r="BI136" s="12" t="n"/>
      <c r="BJ136" s="12" t="n"/>
      <c r="BK136" s="12" t="n"/>
      <c r="BL136" s="12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2" t="n"/>
      <c r="CX136" s="12" t="n"/>
      <c r="CY136" s="12" t="n"/>
    </row>
    <row r="137" hidden="1" outlineLevel="1">
      <c r="C137" s="50" t="inlineStr">
        <is>
          <t>Resultado Não Recorrente</t>
        </is>
      </c>
      <c r="D137" s="11" t="n"/>
      <c r="E137" s="11" t="n"/>
      <c r="F137" s="11" t="n"/>
      <c r="G137" s="11" t="n"/>
      <c r="H137" s="12" t="n"/>
      <c r="I137" s="11" t="n"/>
      <c r="J137" s="11" t="n"/>
      <c r="K137" s="11" t="n"/>
      <c r="L137" s="11" t="n"/>
      <c r="M137" s="12" t="n"/>
      <c r="N137" s="11" t="n"/>
      <c r="O137" s="11" t="n"/>
      <c r="P137" s="11" t="n"/>
      <c r="Q137" s="11" t="n"/>
      <c r="R137" s="12" t="n"/>
      <c r="S137" s="11" t="n"/>
      <c r="T137" s="11" t="n"/>
      <c r="U137" s="11" t="n"/>
      <c r="V137" s="11" t="n"/>
      <c r="W137" s="12" t="n"/>
      <c r="X137" s="11" t="n"/>
      <c r="Y137" s="11" t="n"/>
      <c r="Z137" s="11" t="n"/>
      <c r="AA137" s="11" t="n"/>
      <c r="AB137" s="12" t="n"/>
      <c r="AC137" s="11" t="n"/>
      <c r="AD137" s="11" t="n"/>
      <c r="AE137" s="11" t="n"/>
      <c r="AF137" s="11" t="n"/>
      <c r="AG137" s="12" t="n"/>
      <c r="AH137" s="12" t="n"/>
      <c r="AI137" s="12" t="n"/>
      <c r="AJ137" s="12" t="n"/>
      <c r="AK137" s="12" t="n"/>
      <c r="AL137" s="12" t="n"/>
      <c r="AM137" s="12" t="n"/>
      <c r="AN137" s="12" t="n"/>
      <c r="AO137" s="12" t="n"/>
      <c r="AP137" s="12" t="n"/>
      <c r="AQ137" s="12" t="n"/>
      <c r="AR137" s="12" t="n"/>
      <c r="AS137" s="12" t="n"/>
      <c r="AT137" s="12" t="n"/>
      <c r="AU137" s="12" t="n"/>
      <c r="AV137" s="12" t="n"/>
      <c r="AW137" s="12" t="n"/>
      <c r="AX137" s="12" t="n"/>
      <c r="AY137" s="12" t="n"/>
      <c r="AZ137" s="12" t="n"/>
      <c r="BA137" s="12" t="n"/>
      <c r="BB137" s="12" t="n"/>
      <c r="BC137" s="12" t="n"/>
      <c r="BD137" s="12" t="n"/>
      <c r="BE137" s="12" t="n"/>
      <c r="BF137" s="12" t="n"/>
      <c r="BG137" s="12" t="n"/>
      <c r="BH137" s="12" t="n"/>
      <c r="BI137" s="12" t="n"/>
      <c r="BJ137" s="12" t="n"/>
      <c r="BK137" s="12" t="n"/>
      <c r="BL137" s="12" t="n"/>
      <c r="BM137" s="12" t="n"/>
      <c r="BN137" s="12" t="n"/>
      <c r="BO137" s="12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  <c r="CA137" s="12" t="n"/>
      <c r="CB137" s="12" t="n"/>
      <c r="CC137" s="12" t="n"/>
      <c r="CD137" s="12" t="n"/>
      <c r="CE137" s="12" t="n"/>
      <c r="CF137" s="12" t="n"/>
      <c r="CG137" s="12" t="n"/>
      <c r="CH137" s="12" t="n"/>
      <c r="CI137" s="12" t="n"/>
      <c r="CJ137" s="12" t="n"/>
      <c r="CK137" s="12" t="n"/>
      <c r="CL137" s="12" t="n"/>
      <c r="CM137" s="12" t="n"/>
      <c r="CN137" s="12" t="n"/>
      <c r="CO137" s="12" t="n"/>
      <c r="CP137" s="12" t="n"/>
      <c r="CQ137" s="12" t="n"/>
      <c r="CR137" s="12" t="n"/>
      <c r="CS137" s="12" t="n"/>
      <c r="CT137" s="12" t="n"/>
      <c r="CU137" s="12" t="n"/>
      <c r="CV137" s="12" t="n"/>
      <c r="CW137" s="12" t="n"/>
      <c r="CX137" s="12" t="n"/>
      <c r="CY137" s="12" t="n"/>
    </row>
    <row r="138" hidden="1" outlineLevel="1">
      <c r="C138" s="50" t="inlineStr">
        <is>
          <t>Plano de Opção de Compra de Ações</t>
        </is>
      </c>
      <c r="D138" s="11" t="n"/>
      <c r="E138" s="11" t="n"/>
      <c r="F138" s="11" t="n"/>
      <c r="G138" s="11" t="n"/>
      <c r="H138" s="12" t="n"/>
      <c r="I138" s="11" t="n"/>
      <c r="J138" s="11" t="n"/>
      <c r="K138" s="11" t="n"/>
      <c r="L138" s="11" t="n"/>
      <c r="M138" s="12" t="n"/>
      <c r="N138" s="11" t="n"/>
      <c r="O138" s="11" t="n"/>
      <c r="P138" s="11" t="n"/>
      <c r="Q138" s="11" t="n"/>
      <c r="R138" s="12" t="n"/>
      <c r="S138" s="11" t="n"/>
      <c r="T138" s="11" t="n"/>
      <c r="U138" s="11" t="n"/>
      <c r="V138" s="11" t="n"/>
      <c r="W138" s="12" t="n"/>
      <c r="X138" s="11" t="n"/>
      <c r="Y138" s="11" t="n"/>
      <c r="Z138" s="11" t="n"/>
      <c r="AA138" s="11" t="n"/>
      <c r="AB138" s="12" t="n"/>
      <c r="AC138" s="11" t="n"/>
      <c r="AD138" s="11" t="n"/>
      <c r="AE138" s="11" t="n"/>
      <c r="AF138" s="11" t="n"/>
      <c r="AG138" s="12" t="n"/>
      <c r="AH138" s="12" t="n"/>
      <c r="AI138" s="12" t="n"/>
      <c r="AJ138" s="12" t="n"/>
      <c r="AK138" s="12" t="n"/>
      <c r="AL138" s="12" t="n"/>
      <c r="AM138" s="12" t="n"/>
      <c r="AN138" s="12" t="n"/>
      <c r="AO138" s="12" t="n"/>
      <c r="AP138" s="12" t="n"/>
      <c r="AQ138" s="12" t="n"/>
      <c r="AR138" s="12" t="n"/>
      <c r="AS138" s="12" t="n"/>
      <c r="AT138" s="12" t="n"/>
      <c r="AU138" s="12" t="n"/>
      <c r="AV138" s="12" t="n"/>
      <c r="AW138" s="12" t="n"/>
      <c r="AX138" s="12" t="n"/>
      <c r="AY138" s="12" t="n"/>
      <c r="AZ138" s="12" t="n"/>
      <c r="BA138" s="12" t="n"/>
      <c r="BB138" s="12" t="n"/>
      <c r="BC138" s="12" t="n"/>
      <c r="BD138" s="12" t="n"/>
      <c r="BE138" s="12" t="n"/>
      <c r="BF138" s="12" t="n"/>
      <c r="BG138" s="12" t="n"/>
      <c r="BH138" s="12" t="n"/>
      <c r="BI138" s="12" t="n"/>
      <c r="BJ138" s="12" t="n"/>
      <c r="BK138" s="12" t="n"/>
      <c r="BL138" s="12" t="n"/>
      <c r="BM138" s="12" t="n"/>
      <c r="BN138" s="12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  <c r="CN138" s="12" t="n"/>
      <c r="CO138" s="12" t="n"/>
      <c r="CP138" s="12" t="n"/>
      <c r="CQ138" s="12" t="n"/>
      <c r="CR138" s="12" t="n"/>
      <c r="CS138" s="12" t="n"/>
      <c r="CT138" s="12" t="n"/>
      <c r="CU138" s="12" t="n"/>
      <c r="CV138" s="12" t="n"/>
      <c r="CW138" s="12" t="n"/>
      <c r="CX138" s="12" t="n"/>
      <c r="CY138" s="12" t="n"/>
    </row>
    <row r="139" hidden="1" outlineLevel="1">
      <c r="C139" s="50" t="inlineStr">
        <is>
          <t>Baixa Imobilizado</t>
        </is>
      </c>
      <c r="D139" s="11" t="n"/>
      <c r="E139" s="11" t="n"/>
      <c r="F139" s="11" t="n"/>
      <c r="G139" s="11" t="n"/>
      <c r="H139" s="12" t="n"/>
      <c r="I139" s="11" t="n"/>
      <c r="J139" s="11" t="n"/>
      <c r="K139" s="11" t="n"/>
      <c r="L139" s="11" t="n"/>
      <c r="M139" s="12" t="n"/>
      <c r="N139" s="11" t="n"/>
      <c r="O139" s="11" t="n"/>
      <c r="P139" s="11" t="n"/>
      <c r="Q139" s="11" t="n"/>
      <c r="R139" s="12" t="n"/>
      <c r="S139" s="11" t="n"/>
      <c r="T139" s="11" t="n"/>
      <c r="U139" s="11" t="n"/>
      <c r="V139" s="11" t="n"/>
      <c r="W139" s="12" t="n"/>
      <c r="X139" s="11" t="n"/>
      <c r="Y139" s="11" t="n"/>
      <c r="Z139" s="11" t="n"/>
      <c r="AA139" s="11" t="n"/>
      <c r="AB139" s="12" t="n"/>
      <c r="AC139" s="11" t="n"/>
      <c r="AD139" s="11" t="n"/>
      <c r="AE139" s="11" t="n"/>
      <c r="AF139" s="11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2" t="n"/>
      <c r="AZ139" s="12" t="n"/>
      <c r="BA139" s="12" t="n"/>
      <c r="BB139" s="12" t="n"/>
      <c r="BC139" s="12" t="n"/>
      <c r="BD139" s="12" t="n"/>
      <c r="BE139" s="12" t="n"/>
      <c r="BF139" s="12" t="n"/>
      <c r="BG139" s="12" t="n"/>
      <c r="BH139" s="12" t="n"/>
      <c r="BI139" s="12" t="n"/>
      <c r="BJ139" s="12" t="n"/>
      <c r="BK139" s="12" t="n"/>
      <c r="BL139" s="12" t="n"/>
      <c r="BM139" s="12" t="n"/>
      <c r="BN139" s="12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  <c r="CR139" s="12" t="n"/>
      <c r="CS139" s="12" t="n"/>
      <c r="CT139" s="12" t="n"/>
      <c r="CU139" s="12" t="n"/>
      <c r="CV139" s="12" t="n"/>
      <c r="CW139" s="12" t="n"/>
      <c r="CX139" s="12" t="n"/>
      <c r="CY139" s="12" t="n"/>
    </row>
    <row r="140" hidden="1" outlineLevel="1">
      <c r="C140" s="57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2" t="n"/>
      <c r="AZ140" s="12" t="n"/>
      <c r="BA140" s="12" t="n"/>
      <c r="BB140" s="12" t="n"/>
      <c r="BC140" s="12" t="n"/>
      <c r="BD140" s="12" t="n"/>
      <c r="BE140" s="12" t="n"/>
      <c r="BF140" s="12" t="n"/>
      <c r="BG140" s="12" t="n"/>
      <c r="BH140" s="12" t="n"/>
      <c r="BI140" s="12" t="n"/>
      <c r="BJ140" s="12" t="n"/>
      <c r="BK140" s="12" t="n"/>
      <c r="BL140" s="12" t="n"/>
      <c r="BM140" s="12" t="n"/>
      <c r="BN140" s="12" t="n"/>
      <c r="BO140" s="12" t="n"/>
      <c r="BP140" s="12" t="n"/>
      <c r="BQ140" s="12" t="n"/>
      <c r="BR140" s="12" t="n"/>
      <c r="BS140" s="12" t="n"/>
      <c r="BT140" s="12" t="n"/>
      <c r="BU140" s="12" t="n"/>
      <c r="BV140" s="12" t="n"/>
      <c r="BW140" s="12" t="n"/>
      <c r="BX140" s="12" t="n"/>
      <c r="BY140" s="12" t="n"/>
      <c r="BZ140" s="12" t="n"/>
      <c r="CA140" s="12" t="n"/>
      <c r="CB140" s="12" t="n"/>
      <c r="CC140" s="12" t="n"/>
      <c r="CD140" s="12" t="n"/>
      <c r="CE140" s="12" t="n"/>
      <c r="CF140" s="12" t="n"/>
      <c r="CG140" s="12" t="n"/>
      <c r="CH140" s="12" t="n"/>
      <c r="CI140" s="12" t="n"/>
      <c r="CJ140" s="12" t="n"/>
      <c r="CK140" s="12" t="n"/>
      <c r="CL140" s="12" t="n"/>
      <c r="CM140" s="12" t="n"/>
      <c r="CN140" s="12" t="n"/>
      <c r="CO140" s="12" t="n"/>
      <c r="CP140" s="12" t="n"/>
      <c r="CQ140" s="12" t="n"/>
      <c r="CR140" s="12" t="n"/>
      <c r="CS140" s="12" t="n"/>
      <c r="CT140" s="12" t="n"/>
      <c r="CU140" s="12" t="n"/>
      <c r="CV140" s="12" t="n"/>
      <c r="CW140" s="12" t="n"/>
      <c r="CX140" s="12" t="n"/>
      <c r="CY140" s="12" t="n"/>
    </row>
    <row r="141" hidden="1" outlineLevel="1">
      <c r="C141" s="57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  <c r="AK141" s="12" t="n"/>
      <c r="AL141" s="12" t="n"/>
      <c r="AM141" s="12" t="n"/>
      <c r="AN141" s="12" t="n"/>
      <c r="AO141" s="12" t="n"/>
      <c r="AP141" s="12" t="n"/>
      <c r="AQ141" s="12" t="n"/>
      <c r="AR141" s="12" t="n"/>
      <c r="AS141" s="12" t="n"/>
      <c r="AT141" s="12" t="n"/>
      <c r="AU141" s="12" t="n"/>
      <c r="AV141" s="12" t="n"/>
      <c r="AW141" s="12" t="n"/>
      <c r="AX141" s="12" t="n"/>
      <c r="AY141" s="12" t="n"/>
      <c r="AZ141" s="12" t="n"/>
      <c r="BA141" s="12" t="n"/>
      <c r="BB141" s="12" t="n"/>
      <c r="BC141" s="12" t="n"/>
      <c r="BD141" s="12" t="n"/>
      <c r="BE141" s="12" t="n"/>
      <c r="BF141" s="12" t="n"/>
      <c r="BG141" s="12" t="n"/>
      <c r="BH141" s="12" t="n"/>
      <c r="BI141" s="12" t="n"/>
      <c r="BJ141" s="12" t="n"/>
      <c r="BK141" s="12" t="n"/>
      <c r="BL141" s="12" t="n"/>
      <c r="BM141" s="12" t="n"/>
      <c r="BN141" s="12" t="n"/>
      <c r="BO141" s="12" t="n"/>
      <c r="BP141" s="12" t="n"/>
      <c r="BQ141" s="12" t="n"/>
      <c r="BR141" s="12" t="n"/>
      <c r="BS141" s="12" t="n"/>
      <c r="BT141" s="12" t="n"/>
      <c r="BU141" s="12" t="n"/>
      <c r="BV141" s="12" t="n"/>
      <c r="BW141" s="12" t="n"/>
      <c r="BX141" s="12" t="n"/>
      <c r="BY141" s="12" t="n"/>
      <c r="BZ141" s="12" t="n"/>
      <c r="CA141" s="12" t="n"/>
      <c r="CB141" s="12" t="n"/>
      <c r="CC141" s="12" t="n"/>
      <c r="CD141" s="12" t="n"/>
      <c r="CE141" s="12" t="n"/>
      <c r="CF141" s="12" t="n"/>
      <c r="CG141" s="12" t="n"/>
      <c r="CH141" s="12" t="n"/>
      <c r="CI141" s="12" t="n"/>
      <c r="CJ141" s="12" t="n"/>
      <c r="CK141" s="12" t="n"/>
      <c r="CL141" s="12" t="n"/>
      <c r="CM141" s="12" t="n"/>
      <c r="CN141" s="12" t="n"/>
      <c r="CO141" s="12" t="n"/>
      <c r="CP141" s="12" t="n"/>
      <c r="CQ141" s="12" t="n"/>
      <c r="CR141" s="12" t="n"/>
      <c r="CS141" s="12" t="n"/>
      <c r="CT141" s="12" t="n"/>
      <c r="CU141" s="12" t="n"/>
      <c r="CV141" s="12" t="n"/>
      <c r="CW141" s="12" t="n"/>
      <c r="CX141" s="12" t="n"/>
      <c r="CY141" s="12" t="n"/>
    </row>
    <row r="142" collapsed="1" customFormat="1" s="32">
      <c r="A142" s="30" t="n"/>
      <c r="B142" s="3" t="n"/>
      <c r="C142" s="33" t="inlineStr">
        <is>
          <t>Pretax Income - EBT</t>
        </is>
      </c>
      <c r="D142" s="35" t="n"/>
      <c r="E142" s="35" t="n"/>
      <c r="F142" s="35" t="n"/>
      <c r="G142" s="35" t="n"/>
      <c r="H142" s="35" t="n"/>
      <c r="I142" s="35">
        <f>SUM(I85,I86,I135)</f>
        <v>165.666</v>
      </c>
      <c r="J142" s="35">
        <f>SUM(J85,J86,J135)</f>
        <v>248.104</v>
      </c>
      <c r="K142" s="35">
        <f>SUM(K85,K86,K135)</f>
        <v>369.956</v>
      </c>
      <c r="L142" s="35">
        <f>SUM(L85,L86,L135)</f>
        <v>398.043</v>
      </c>
      <c r="M142" s="35">
        <f>SUM(I142:L142)</f>
        <v>1181.769</v>
      </c>
      <c r="N142" s="35">
        <f>SUM(N85,N86,N135)</f>
        <v>362.972</v>
      </c>
      <c r="O142" s="35">
        <f>SUM(O85,O86,O135)</f>
        <v>264.989</v>
      </c>
      <c r="P142" s="35">
        <f>SUM(P85,P86,P135)</f>
        <v>111.146</v>
      </c>
      <c r="Q142" s="35">
        <f>SUM(Q85,Q86,Q135)</f>
        <v>-23.7250000000002</v>
      </c>
      <c r="R142" s="35">
        <f>SUM(N142:Q142)</f>
        <v>715.382</v>
      </c>
      <c r="S142" s="35">
        <f>SUM(S85,S86,S135)</f>
        <v>10.6270000000002</v>
      </c>
      <c r="T142" s="35">
        <f>SUM(T85,T86,T135)</f>
        <v>-24.5370000000002</v>
      </c>
      <c r="U142" s="35">
        <f>SUM(U85,U86,U135)</f>
        <v>-87.5790000000001</v>
      </c>
      <c r="V142" s="35">
        <f>SUM(V85,V86,V135)</f>
        <v>-735.32</v>
      </c>
      <c r="W142" s="35">
        <f>SUM(S142:V142)</f>
        <v>-836.809</v>
      </c>
      <c r="X142" s="35">
        <f>SUM(X85,X86,X135)</f>
        <v>72.8860000000002</v>
      </c>
      <c r="Y142" s="35">
        <f>SUM(Y85,Y86,Y135)</f>
        <v>56.6039999999999</v>
      </c>
      <c r="Z142" s="35">
        <f>SUM(Z85,Z86,Z135)</f>
        <v>101.796</v>
      </c>
      <c r="AA142" s="35">
        <f>SUM(AA85,AA86,AA135)</f>
        <v>78.2650000000002</v>
      </c>
      <c r="AB142" s="35">
        <f>SUM(X142:AA142)</f>
        <v>309.551</v>
      </c>
      <c r="AC142" s="35">
        <f>SUM(AC85,AC86,AC135)</f>
        <v>110.745</v>
      </c>
      <c r="AD142" s="35">
        <f>SUM(AD85,AD86,AD135)</f>
        <v>91.3109999999999</v>
      </c>
      <c r="AE142" s="35">
        <f>SUM(AE85,AE86,AE135)</f>
        <v>58.7739999999999</v>
      </c>
      <c r="AF142" s="35">
        <f>SUM(AF85,AF86,AF135)</f>
        <v>86.7692737559995</v>
      </c>
      <c r="AG142" s="35">
        <f>SUM(AC142:AF142)</f>
        <v>347.599273755999</v>
      </c>
      <c r="AH142" s="35">
        <f>SUM(AH85,AH86,AH135)</f>
        <v>164.2961905</v>
      </c>
      <c r="AI142" s="35">
        <f>SUM(AI85,AI86,AI135)</f>
        <v>169.5451322</v>
      </c>
      <c r="AJ142" s="35">
        <f>SUM(AJ85,AJ86,AJ135:AJ140)</f>
        <v>1125.25992416194</v>
      </c>
      <c r="AK142" s="35">
        <f>SUM(AK85,AK86,AK135:AK140)</f>
        <v>1093.32707321295</v>
      </c>
      <c r="AL142" s="35">
        <f>SUM(AH142:AK142)</f>
        <v>2552.4283200749</v>
      </c>
      <c r="AM142" s="35">
        <f>SUM(AM85,AM86,AM135:AM140)</f>
        <v>1129.68285362836</v>
      </c>
      <c r="AN142" s="35">
        <f>SUM(AN85,AN86,AN135:AN140)</f>
        <v>1125.25610167092</v>
      </c>
      <c r="AO142" s="35">
        <f>SUM(AO85,AO86,AO135:AO140)</f>
        <v>1211.2840225675</v>
      </c>
      <c r="AP142" s="35">
        <f>SUM(AP85,AP86,AP135:AP140)</f>
        <v>1176.90996256678</v>
      </c>
      <c r="AQ142" s="35">
        <f>SUM(AM142:AP142)</f>
        <v>4643.13294043355</v>
      </c>
      <c r="AR142" s="35">
        <f>SUM(AR85,AR86,AR135:AR140)</f>
        <v>1210.3966627727</v>
      </c>
      <c r="AS142" s="35">
        <f>SUM(AS85,AS86,AS135:AS140)</f>
        <v>1205.65362734555</v>
      </c>
      <c r="AT142" s="35">
        <f>SUM(AT85,AT86,AT135:AT140)</f>
        <v>1297.82808854415</v>
      </c>
      <c r="AU142" s="35">
        <f>SUM(AU85,AU86,AU135:AU140)</f>
        <v>1260.99806374809</v>
      </c>
      <c r="AV142" s="35">
        <f>SUM(AR142:AU142)</f>
        <v>4974.87644241048</v>
      </c>
      <c r="AW142" s="35">
        <f>SUM(AW85,AW86,AW135:AW140)</f>
        <v>1290.82534517329</v>
      </c>
      <c r="AX142" s="35">
        <f>SUM(AX85,AX86,AX135:AX140)</f>
        <v>1285.76714356821</v>
      </c>
      <c r="AY142" s="35">
        <f>SUM(AY85,AY86,AY135:AY140)</f>
        <v>1384.06643201824</v>
      </c>
      <c r="AZ142" s="35">
        <f>SUM(AZ85,AZ86,AZ135:AZ140)</f>
        <v>1344.78911828109</v>
      </c>
      <c r="BA142" s="35">
        <f>SUM(AW142:AZ142)</f>
        <v>5305.44803904083</v>
      </c>
      <c r="BB142" s="35">
        <f>SUM(BB85,BB86,BB135:BB140)</f>
        <v>1370.14424221284</v>
      </c>
      <c r="BC142" s="35">
        <f>SUM(BC85,BC86,BC135:BC140)</f>
        <v>1364.77522321187</v>
      </c>
      <c r="BD142" s="35">
        <f>SUM(BD85,BD86,BD135:BD140)</f>
        <v>1469.11482623179</v>
      </c>
      <c r="BE142" s="35">
        <f>SUM(BE85,BE86,BE135:BE140)</f>
        <v>1427.42399217142</v>
      </c>
      <c r="BF142" s="35">
        <f>SUM(BB142:BE142)</f>
        <v>5631.45828382793</v>
      </c>
      <c r="BG142" s="35" t="n"/>
      <c r="BH142" s="35" t="n"/>
      <c r="BI142" s="35" t="n"/>
      <c r="BJ142" s="35" t="n"/>
      <c r="BK142" s="35" t="n"/>
      <c r="BL142" s="35" t="n"/>
      <c r="BM142" s="35" t="n"/>
      <c r="BN142" s="35" t="n"/>
      <c r="BO142" s="35" t="n"/>
      <c r="BP142" s="35" t="n"/>
      <c r="BQ142" s="35" t="n"/>
      <c r="BR142" s="35" t="n"/>
      <c r="BS142" s="35" t="n"/>
      <c r="BT142" s="35" t="n"/>
      <c r="BU142" s="35" t="n"/>
      <c r="BV142" s="35" t="n"/>
      <c r="BW142" s="35" t="n"/>
      <c r="BX142" s="35" t="n"/>
      <c r="BY142" s="35" t="n"/>
      <c r="BZ142" s="35" t="n"/>
      <c r="CA142" s="35" t="n"/>
      <c r="CB142" s="35" t="n"/>
      <c r="CC142" s="35" t="n"/>
      <c r="CD142" s="35" t="n"/>
      <c r="CE142" s="35" t="n"/>
      <c r="CF142" s="35" t="n"/>
      <c r="CG142" s="35" t="n"/>
      <c r="CH142" s="35" t="n"/>
      <c r="CI142" s="35" t="n"/>
      <c r="CJ142" s="35" t="n"/>
      <c r="CK142" s="35" t="n"/>
      <c r="CL142" s="35" t="n"/>
      <c r="CM142" s="35" t="n"/>
      <c r="CN142" s="35" t="n"/>
      <c r="CO142" s="35" t="n"/>
      <c r="CP142" s="35" t="n"/>
      <c r="CQ142" s="35" t="n"/>
      <c r="CR142" s="35" t="n"/>
      <c r="CS142" s="35" t="n"/>
      <c r="CT142" s="35" t="n"/>
      <c r="CU142" s="35" t="n"/>
      <c r="CV142" s="35" t="n"/>
      <c r="CW142" s="35" t="n"/>
      <c r="CX142" s="35" t="n"/>
      <c r="CY142" s="35" t="n"/>
    </row>
    <row r="143">
      <c r="C143" s="14" t="inlineStr">
        <is>
          <t>Taxes</t>
        </is>
      </c>
      <c r="D143" s="46" t="n"/>
      <c r="E143" s="46" t="n"/>
      <c r="F143" s="46" t="n"/>
      <c r="G143" s="46" t="n"/>
      <c r="H143" s="12" t="n"/>
      <c r="I143" s="46">
        <f>'Inputs (2)'!D10</f>
        <v>-56.185</v>
      </c>
      <c r="J143" s="46">
        <f>'Inputs (2)'!E10</f>
        <v>-74.183</v>
      </c>
      <c r="K143" s="46">
        <f>'Inputs (2)'!F10</f>
        <v>-110.575</v>
      </c>
      <c r="L143" s="46">
        <f>'Inputs (2)'!G10</f>
        <v>-121.387</v>
      </c>
      <c r="M143" s="12">
        <f>'Inputs (2)'!H10</f>
        <v>-362.33</v>
      </c>
      <c r="N143" s="46">
        <f>'Inputs (2)'!I10</f>
        <v>-104.904</v>
      </c>
      <c r="O143" s="46">
        <f>'Inputs (2)'!J10</f>
        <v>-78.228</v>
      </c>
      <c r="P143" s="46">
        <f>'Inputs (2)'!K10</f>
        <v>-17.428</v>
      </c>
      <c r="Q143" s="46">
        <f>'Inputs (2)'!L10</f>
        <v>41.556</v>
      </c>
      <c r="R143" s="12">
        <f>'Inputs (2)'!M10</f>
        <v>-159.004</v>
      </c>
      <c r="S143" s="46">
        <f>'Inputs (2)'!N10</f>
        <v>10.417</v>
      </c>
      <c r="T143" s="46">
        <f>'Inputs (2)'!O10</f>
        <v>6.673</v>
      </c>
      <c r="U143" s="46">
        <f>'Inputs (2)'!P10</f>
        <v>21.858</v>
      </c>
      <c r="V143" s="46">
        <f>'Inputs (2)'!Q10</f>
        <v>147.011</v>
      </c>
      <c r="W143" s="12">
        <f>'Inputs (2)'!R10</f>
        <v>185.959</v>
      </c>
      <c r="X143" s="46">
        <f>'Inputs (2)'!S10</f>
        <v>-24.287</v>
      </c>
      <c r="Y143" s="46">
        <f>'Inputs (2)'!T10</f>
        <v>-14.056</v>
      </c>
      <c r="Z143" s="46">
        <f>'Inputs (2)'!U10</f>
        <v>-23.602</v>
      </c>
      <c r="AA143" s="46">
        <f>'Inputs (2)'!V10</f>
        <v>-16.094</v>
      </c>
      <c r="AB143" s="12">
        <f>'Inputs (2)'!W10</f>
        <v>-78.039</v>
      </c>
      <c r="AC143" s="46">
        <f>'Inputs (2)'!X10</f>
        <v>-32.277</v>
      </c>
      <c r="AD143" s="46">
        <f>'Inputs (2)'!Y10</f>
        <v>-23.716</v>
      </c>
      <c r="AE143" s="46">
        <f>'Inputs (2)'!Z10</f>
        <v>11.181</v>
      </c>
      <c r="AF143" s="46">
        <f>'Inputs (2)'!AA10</f>
        <v>15.574833227</v>
      </c>
      <c r="AG143" s="12">
        <f>'Inputs (2)'!AB10</f>
        <v>-29.237166773</v>
      </c>
      <c r="AH143" s="12">
        <f>'Inputs (2)'!AC10</f>
        <v>-39.782999399</v>
      </c>
      <c r="AI143" s="12">
        <f>'Inputs (2)'!AD10</f>
        <v>-33.895472323</v>
      </c>
      <c r="AJ143" s="12">
        <f>-AJ142*AJ144</f>
        <v>-116.934911366431</v>
      </c>
      <c r="AK143" s="12">
        <f>-AK142*AK144</f>
        <v>-113.616509088683</v>
      </c>
      <c r="AL143" s="12">
        <f>SUM(AH143:AK143)</f>
        <v>-304.229892177114</v>
      </c>
      <c r="AM143" s="12">
        <f>-AM142*AM144</f>
        <v>-117.39453394254</v>
      </c>
      <c r="AN143" s="12">
        <f>-AN142*AN144</f>
        <v>-116.934514140297</v>
      </c>
      <c r="AO143" s="12">
        <f>-AO142*AO144</f>
        <v>-125.874375135144</v>
      </c>
      <c r="AP143" s="12">
        <f>-AP142*AP144</f>
        <v>-122.302286968509</v>
      </c>
      <c r="AQ143" s="12">
        <f>SUM(AM143:AP143)</f>
        <v>-482.50571018649</v>
      </c>
      <c r="AR143" s="12">
        <f>-AR142*AR144</f>
        <v>-125.782162361254</v>
      </c>
      <c r="AS143" s="12">
        <f>-AS142*AS144</f>
        <v>-125.289274971085</v>
      </c>
      <c r="AT143" s="12">
        <f>-AT142*AT144</f>
        <v>-134.867872963486</v>
      </c>
      <c r="AU143" s="12">
        <f>-AU142*AU144</f>
        <v>-131.040565518623</v>
      </c>
      <c r="AV143" s="12">
        <f>SUM(AR143:AU143)</f>
        <v>-516.979875814448</v>
      </c>
      <c r="AW143" s="12">
        <f>-AW142*AW144</f>
        <v>-134.140160940859</v>
      </c>
      <c r="AX143" s="12">
        <f>-AX142*AX144</f>
        <v>-133.61452206964</v>
      </c>
      <c r="AY143" s="12">
        <f>-AY142*AY144</f>
        <v>-143.829600679899</v>
      </c>
      <c r="AZ143" s="12">
        <f>-AZ142*AZ144</f>
        <v>-139.747975535392</v>
      </c>
      <c r="BA143" s="12">
        <f>SUM(AW143:AZ143)</f>
        <v>-551.332259225791</v>
      </c>
      <c r="BB143" s="12">
        <f>-BB142*BB144</f>
        <v>-142.382832696818</v>
      </c>
      <c r="BC143" s="12">
        <f>-BC142*BC144</f>
        <v>-141.824894261865</v>
      </c>
      <c r="BD143" s="12">
        <f>-BD142*BD144</f>
        <v>-152.667671089832</v>
      </c>
      <c r="BE143" s="12">
        <f>-BE142*BE144</f>
        <v>-148.335237417432</v>
      </c>
      <c r="BF143" s="12">
        <f>SUM(BB143:BE143)</f>
        <v>-585.210635465947</v>
      </c>
      <c r="BG143" s="12" t="n"/>
      <c r="BH143" s="12" t="n"/>
      <c r="BI143" s="12" t="n"/>
      <c r="BJ143" s="12" t="n"/>
      <c r="BK143" s="12" t="n"/>
      <c r="BL143" s="12" t="n"/>
      <c r="BM143" s="12" t="n"/>
      <c r="BN143" s="12" t="n"/>
      <c r="BO143" s="12" t="n"/>
      <c r="BP143" s="12" t="n"/>
      <c r="BQ143" s="12" t="n"/>
      <c r="BR143" s="12" t="n"/>
      <c r="BS143" s="12" t="n"/>
      <c r="BT143" s="12" t="n"/>
      <c r="BU143" s="12" t="n"/>
      <c r="BV143" s="12" t="n"/>
      <c r="BW143" s="12" t="n"/>
      <c r="BX143" s="12" t="n"/>
      <c r="BY143" s="12" t="n"/>
      <c r="BZ143" s="12" t="n"/>
      <c r="CA143" s="12" t="n"/>
      <c r="CB143" s="12" t="n"/>
      <c r="CC143" s="12" t="n"/>
      <c r="CD143" s="12" t="n"/>
      <c r="CE143" s="12" t="n"/>
      <c r="CF143" s="12" t="n"/>
      <c r="CG143" s="12" t="n"/>
      <c r="CH143" s="12" t="n"/>
      <c r="CI143" s="12" t="n"/>
      <c r="CJ143" s="12" t="n"/>
      <c r="CK143" s="12" t="n"/>
      <c r="CL143" s="12" t="n"/>
      <c r="CM143" s="12" t="n"/>
      <c r="CN143" s="12" t="n"/>
      <c r="CO143" s="12" t="n"/>
      <c r="CP143" s="12" t="n"/>
      <c r="CQ143" s="12" t="n"/>
      <c r="CR143" s="12" t="n"/>
      <c r="CS143" s="12" t="n"/>
      <c r="CT143" s="12" t="n"/>
      <c r="CU143" s="12" t="n"/>
      <c r="CV143" s="12" t="n"/>
      <c r="CW143" s="12" t="n"/>
      <c r="CX143" s="12" t="n"/>
      <c r="CY143" s="12" t="n"/>
    </row>
    <row r="144" hidden="1" outlineLevel="1">
      <c r="C144" s="57" t="inlineStr">
        <is>
          <t>% ETR</t>
        </is>
      </c>
      <c r="D144" s="53" t="n"/>
      <c r="E144" s="53" t="n"/>
      <c r="F144" s="53" t="n"/>
      <c r="G144" s="53" t="n"/>
      <c r="H144" s="53" t="n"/>
      <c r="I144" s="53">
        <f>IFERROR(-I143/I142,"")</f>
        <v>0.339146233988869</v>
      </c>
      <c r="J144" s="53">
        <f>IFERROR(-J143/J142,"")</f>
        <v>0.298999613065489</v>
      </c>
      <c r="K144" s="53">
        <f>IFERROR(-K143/K142,"")</f>
        <v>0.298886894657743</v>
      </c>
      <c r="L144" s="53">
        <f>IFERROR(-L143/L142,"")</f>
        <v>0.304959514424321</v>
      </c>
      <c r="M144" s="53">
        <f>IFERROR(-M143/M142,"")</f>
        <v>0.306599682340627</v>
      </c>
      <c r="N144" s="53">
        <f>IFERROR(-N143/N142,"")</f>
        <v>0.289014028630308</v>
      </c>
      <c r="O144" s="53">
        <f>IFERROR(-O143/O142,"")</f>
        <v>0.295212254093566</v>
      </c>
      <c r="P144" s="53">
        <f>IFERROR(-P143/P142,"")</f>
        <v>0.156802763932125</v>
      </c>
      <c r="Q144" s="53">
        <f>IFERROR(-Q143/Q142,"")</f>
        <v>1.75157007376184</v>
      </c>
      <c r="R144" s="53">
        <f>IFERROR(-R143/R142,"")</f>
        <v>0.222264468493756</v>
      </c>
      <c r="S144" s="53">
        <f>IFERROR(-S143/S142,"")</f>
        <v>-0.980239013832674</v>
      </c>
      <c r="T144" s="53">
        <f>IFERROR(-T143/T142,"")</f>
        <v>0.271956636915676</v>
      </c>
      <c r="U144" s="53">
        <f>IFERROR(-U143/U142,"")</f>
        <v>0.249580378857945</v>
      </c>
      <c r="V144" s="53">
        <f>IFERROR(-V143/V142,"")</f>
        <v>0.199927922537127</v>
      </c>
      <c r="W144" s="53">
        <f>IFERROR(-W143/W142,"")</f>
        <v>0.222223948356196</v>
      </c>
      <c r="X144" s="53">
        <f>IFERROR(-X143/X142,"")</f>
        <v>0.333218999533517</v>
      </c>
      <c r="Y144" s="53">
        <f>IFERROR(-Y143/Y142,"")</f>
        <v>0.248321673379973</v>
      </c>
      <c r="Z144" s="53">
        <f>IFERROR(-Z143/Z142,"")</f>
        <v>0.231855868599945</v>
      </c>
      <c r="AA144" s="53">
        <f>IFERROR(-AA143/AA142,"")</f>
        <v>0.205634702612917</v>
      </c>
      <c r="AB144" s="53">
        <f>IFERROR(-AB143/AB142,"")</f>
        <v>0.252103853646087</v>
      </c>
      <c r="AC144" s="53">
        <f>IFERROR(-AC143/AC142,"")</f>
        <v>0.291453338751185</v>
      </c>
      <c r="AD144" s="53">
        <f>IFERROR(-AD143/AD142,"")</f>
        <v>0.259727743645344</v>
      </c>
      <c r="AE144" s="53">
        <f>IFERROR(-AE143/AE142,"")</f>
        <v>-0.190237179705312</v>
      </c>
      <c r="AF144" s="41">
        <f>IFERROR(-AF143/AF142,"")</f>
        <v>-0.179497102520385</v>
      </c>
      <c r="AG144" s="53">
        <f>IFERROR(-AG143/AG142,"")</f>
        <v>0.0841117027002862</v>
      </c>
      <c r="AH144" s="41">
        <f>IFERROR(-AH143/AH142,"")</f>
        <v>0.242141946675264</v>
      </c>
      <c r="AI144" s="41">
        <f>IFERROR(-AI143/AI142,"")</f>
        <v>0.199920055994389</v>
      </c>
      <c r="AJ144" s="41">
        <f>Control!$B$22</f>
        <v>0.103918133806747</v>
      </c>
      <c r="AK144" s="41">
        <f>Control!$B$22</f>
        <v>0.103918133806747</v>
      </c>
      <c r="AL144" s="53">
        <f>IFERROR(-AL143/AL142,"")</f>
        <v>0.119192335308436</v>
      </c>
      <c r="AM144" s="41">
        <f>Control!$C$22</f>
        <v>0.103918133806747</v>
      </c>
      <c r="AN144" s="41">
        <f>Control!$C$22</f>
        <v>0.103918133806747</v>
      </c>
      <c r="AO144" s="41">
        <f>Control!$C$22</f>
        <v>0.103918133806747</v>
      </c>
      <c r="AP144" s="41">
        <f>Control!$C$22</f>
        <v>0.103918133806747</v>
      </c>
      <c r="AQ144" s="53">
        <f>IFERROR(-AQ143/AQ142,"")</f>
        <v>0.103918133806747</v>
      </c>
      <c r="AR144" s="41">
        <f>Control!$D$22</f>
        <v>0.103918133806747</v>
      </c>
      <c r="AS144" s="41">
        <f>Control!$D$22</f>
        <v>0.103918133806747</v>
      </c>
      <c r="AT144" s="41">
        <f>Control!$D$22</f>
        <v>0.103918133806747</v>
      </c>
      <c r="AU144" s="41">
        <f>Control!$D$22</f>
        <v>0.103918133806747</v>
      </c>
      <c r="AV144" s="53">
        <f>IFERROR(-AV143/AV142,"")</f>
        <v>0.103918133806747</v>
      </c>
      <c r="AW144" s="41">
        <f>Control!$E$22</f>
        <v>0.103918133806747</v>
      </c>
      <c r="AX144" s="41">
        <f>Control!$E$22</f>
        <v>0.103918133806747</v>
      </c>
      <c r="AY144" s="41">
        <f>Control!$E$22</f>
        <v>0.103918133806747</v>
      </c>
      <c r="AZ144" s="41">
        <f>Control!$E$22</f>
        <v>0.103918133806747</v>
      </c>
      <c r="BA144" s="53">
        <f>IFERROR(-BA143/BA142,"")</f>
        <v>0.103918133806747</v>
      </c>
      <c r="BB144" s="41">
        <f>Control!$F$22</f>
        <v>0.103918133806747</v>
      </c>
      <c r="BC144" s="41">
        <f>Control!$F$22</f>
        <v>0.103918133806747</v>
      </c>
      <c r="BD144" s="41">
        <f>Control!$F$22</f>
        <v>0.103918133806747</v>
      </c>
      <c r="BE144" s="41">
        <f>Control!$F$22</f>
        <v>0.103918133806747</v>
      </c>
      <c r="BF144" s="53">
        <f>IFERROR(-BF143/BF142,"")</f>
        <v>0.103918133806747</v>
      </c>
      <c r="BG144" s="41" t="n"/>
      <c r="BH144" s="41" t="n"/>
      <c r="BI144" s="41" t="n"/>
      <c r="BJ144" s="41" t="n"/>
      <c r="BK144" s="53" t="n"/>
      <c r="BL144" s="41" t="n"/>
      <c r="BM144" s="41" t="n"/>
      <c r="BN144" s="41" t="n"/>
      <c r="BO144" s="41" t="n"/>
      <c r="BP144" s="53" t="n"/>
      <c r="BQ144" s="41" t="n"/>
      <c r="BR144" s="41" t="n"/>
      <c r="BS144" s="41" t="n"/>
      <c r="BT144" s="41" t="n"/>
      <c r="BU144" s="53" t="n"/>
      <c r="BV144" s="41" t="n"/>
      <c r="BW144" s="41" t="n"/>
      <c r="BX144" s="41" t="n"/>
      <c r="BY144" s="41" t="n"/>
      <c r="BZ144" s="53" t="n"/>
      <c r="CA144" s="41" t="n"/>
      <c r="CB144" s="41" t="n"/>
      <c r="CC144" s="41" t="n"/>
      <c r="CD144" s="41" t="n"/>
      <c r="CE144" s="53" t="n"/>
      <c r="CF144" s="41" t="n"/>
      <c r="CG144" s="41" t="n"/>
      <c r="CH144" s="41" t="n"/>
      <c r="CI144" s="41" t="n"/>
      <c r="CJ144" s="53" t="n"/>
      <c r="CK144" s="41" t="n"/>
      <c r="CL144" s="41" t="n"/>
      <c r="CM144" s="41" t="n"/>
      <c r="CN144" s="41" t="n"/>
      <c r="CO144" s="53" t="n"/>
      <c r="CP144" s="41" t="n"/>
      <c r="CQ144" s="41" t="n"/>
      <c r="CR144" s="41" t="n"/>
      <c r="CS144" s="41" t="n"/>
      <c r="CT144" s="53" t="n"/>
      <c r="CU144" s="41" t="n"/>
      <c r="CV144" s="41" t="n"/>
      <c r="CW144" s="41" t="n"/>
      <c r="CX144" s="41" t="n"/>
      <c r="CY144" s="53" t="n"/>
    </row>
    <row r="145" hidden="1" outlineLevel="1">
      <c r="C145" s="57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2" t="n"/>
      <c r="AZ145" s="12" t="n"/>
      <c r="BA145" s="12" t="n"/>
      <c r="BB145" s="12" t="n"/>
      <c r="BC145" s="12" t="n"/>
      <c r="BD145" s="12" t="n"/>
      <c r="BE145" s="12" t="n"/>
      <c r="BF145" s="12" t="n"/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  <c r="CR145" s="12" t="n"/>
      <c r="CS145" s="12" t="n"/>
      <c r="CT145" s="12" t="n"/>
      <c r="CU145" s="12" t="n"/>
      <c r="CV145" s="12" t="n"/>
      <c r="CW145" s="12" t="n"/>
      <c r="CX145" s="12" t="n"/>
      <c r="CY145" s="12" t="n"/>
    </row>
    <row r="146" hidden="1" outlineLevel="1">
      <c r="C146" s="57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  <c r="AL146" s="12" t="n"/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  <c r="AW146" s="12" t="n"/>
      <c r="AX146" s="12" t="n"/>
      <c r="AY146" s="12" t="n"/>
      <c r="AZ146" s="12" t="n"/>
      <c r="BA146" s="12" t="n"/>
      <c r="BB146" s="12" t="n"/>
      <c r="BC146" s="12" t="n"/>
      <c r="BD146" s="12" t="n"/>
      <c r="BE146" s="12" t="n"/>
      <c r="BF146" s="12" t="n"/>
      <c r="BG146" s="12" t="n"/>
      <c r="BH146" s="12" t="n"/>
      <c r="BI146" s="12" t="n"/>
      <c r="BJ146" s="12" t="n"/>
      <c r="BK146" s="12" t="n"/>
      <c r="BL146" s="12" t="n"/>
      <c r="BM146" s="12" t="n"/>
      <c r="BN146" s="12" t="n"/>
      <c r="BO146" s="12" t="n"/>
      <c r="BP146" s="12" t="n"/>
      <c r="BQ146" s="12" t="n"/>
      <c r="BR146" s="12" t="n"/>
      <c r="BS146" s="12" t="n"/>
      <c r="BT146" s="12" t="n"/>
      <c r="BU146" s="12" t="n"/>
      <c r="BV146" s="12" t="n"/>
      <c r="BW146" s="12" t="n"/>
      <c r="BX146" s="12" t="n"/>
      <c r="BY146" s="12" t="n"/>
      <c r="BZ146" s="12" t="n"/>
      <c r="CA146" s="12" t="n"/>
      <c r="CB146" s="12" t="n"/>
      <c r="CC146" s="12" t="n"/>
      <c r="CD146" s="12" t="n"/>
      <c r="CE146" s="12" t="n"/>
      <c r="CF146" s="12" t="n"/>
      <c r="CG146" s="12" t="n"/>
      <c r="CH146" s="12" t="n"/>
      <c r="CI146" s="12" t="n"/>
      <c r="CJ146" s="12" t="n"/>
      <c r="CK146" s="12" t="n"/>
      <c r="CL146" s="12" t="n"/>
      <c r="CM146" s="12" t="n"/>
      <c r="CN146" s="12" t="n"/>
      <c r="CO146" s="12" t="n"/>
      <c r="CP146" s="12" t="n"/>
      <c r="CQ146" s="12" t="n"/>
      <c r="CR146" s="12" t="n"/>
      <c r="CS146" s="12" t="n"/>
      <c r="CT146" s="12" t="n"/>
      <c r="CU146" s="12" t="n"/>
      <c r="CV146" s="12" t="n"/>
      <c r="CW146" s="12" t="n"/>
      <c r="CX146" s="12" t="n"/>
      <c r="CY146" s="12" t="n"/>
    </row>
    <row r="147" collapsed="1">
      <c r="C147" s="14" t="inlineStr">
        <is>
          <t>Equity in Income of Affiliates, after tax (enter as +)</t>
        </is>
      </c>
      <c r="D147" s="46" t="n"/>
      <c r="E147" s="46" t="n"/>
      <c r="F147" s="46" t="n"/>
      <c r="G147" s="46" t="n"/>
      <c r="H147" s="12" t="n"/>
      <c r="I147" s="46">
        <f>'Inputs (2)'!D11</f>
        <v>0</v>
      </c>
      <c r="J147" s="46">
        <f>'Inputs (2)'!E11</f>
        <v>0</v>
      </c>
      <c r="K147" s="46">
        <f>'Inputs (2)'!F11</f>
        <v>0</v>
      </c>
      <c r="L147" s="46">
        <f>'Inputs (2)'!G11</f>
        <v>0</v>
      </c>
      <c r="M147" s="12">
        <f>'Inputs (2)'!H11</f>
        <v>0</v>
      </c>
      <c r="N147" s="46">
        <f>'Inputs (2)'!I11</f>
        <v>0</v>
      </c>
      <c r="O147" s="46">
        <f>'Inputs (2)'!J11</f>
        <v>0</v>
      </c>
      <c r="P147" s="46">
        <f>'Inputs (2)'!K11</f>
        <v>0</v>
      </c>
      <c r="Q147" s="46">
        <f>'Inputs (2)'!L11</f>
        <v>0</v>
      </c>
      <c r="R147" s="12">
        <f>'Inputs (2)'!M11</f>
        <v>0</v>
      </c>
      <c r="S147" s="46">
        <f>'Inputs (2)'!N11</f>
        <v>0</v>
      </c>
      <c r="T147" s="46">
        <f>'Inputs (2)'!O11</f>
        <v>0</v>
      </c>
      <c r="U147" s="46">
        <f>'Inputs (2)'!P11</f>
        <v>0</v>
      </c>
      <c r="V147" s="46">
        <f>'Inputs (2)'!Q11</f>
        <v>0</v>
      </c>
      <c r="W147" s="12">
        <f>'Inputs (2)'!R11</f>
        <v>0</v>
      </c>
      <c r="X147" s="46">
        <f>'Inputs (2)'!S11</f>
        <v>0</v>
      </c>
      <c r="Y147" s="46">
        <f>'Inputs (2)'!T11</f>
        <v>0</v>
      </c>
      <c r="Z147" s="46">
        <f>'Inputs (2)'!U11</f>
        <v>0</v>
      </c>
      <c r="AA147" s="46">
        <f>'Inputs (2)'!V11</f>
        <v>0</v>
      </c>
      <c r="AB147" s="12">
        <f>'Inputs (2)'!W11</f>
        <v>0</v>
      </c>
      <c r="AC147" s="46">
        <f>'Inputs (2)'!X11</f>
        <v>0</v>
      </c>
      <c r="AD147" s="46">
        <f>'Inputs (2)'!Y11</f>
        <v>0</v>
      </c>
      <c r="AE147" s="46">
        <f>'Inputs (2)'!Z11</f>
        <v>0</v>
      </c>
      <c r="AF147" s="46">
        <f>'Inputs (2)'!AA11</f>
        <v>0</v>
      </c>
      <c r="AG147" s="12">
        <f>'Inputs (2)'!AB11</f>
        <v>0</v>
      </c>
      <c r="AH147" s="12">
        <f>'Inputs (2)'!AC11</f>
        <v>0</v>
      </c>
      <c r="AI147" s="12">
        <f>'Inputs (2)'!AD11</f>
        <v>0</v>
      </c>
      <c r="AJ147" s="12">
        <f>0</f>
        <v>0</v>
      </c>
      <c r="AK147" s="12">
        <f>0</f>
        <v>0</v>
      </c>
      <c r="AL147" s="12">
        <f>SUM(AH147:AK147)</f>
        <v>0</v>
      </c>
      <c r="AM147" s="12">
        <f>0</f>
        <v>0</v>
      </c>
      <c r="AN147" s="12">
        <f>0</f>
        <v>0</v>
      </c>
      <c r="AO147" s="12">
        <f>0</f>
        <v>0</v>
      </c>
      <c r="AP147" s="12">
        <f>0</f>
        <v>0</v>
      </c>
      <c r="AQ147" s="12">
        <f>SUM(AM147:AP147)</f>
        <v>0</v>
      </c>
      <c r="AR147" s="12">
        <f>0</f>
        <v>0</v>
      </c>
      <c r="AS147" s="12">
        <f>0</f>
        <v>0</v>
      </c>
      <c r="AT147" s="12">
        <f>0</f>
        <v>0</v>
      </c>
      <c r="AU147" s="12">
        <f>0</f>
        <v>0</v>
      </c>
      <c r="AV147" s="12">
        <f>SUM(AR147:AU147)</f>
        <v>0</v>
      </c>
      <c r="AW147" s="12">
        <f>0</f>
        <v>0</v>
      </c>
      <c r="AX147" s="12">
        <f>0</f>
        <v>0</v>
      </c>
      <c r="AY147" s="12">
        <f>0</f>
        <v>0</v>
      </c>
      <c r="AZ147" s="12">
        <f>0</f>
        <v>0</v>
      </c>
      <c r="BA147" s="12">
        <f>SUM(AW147:AZ147)</f>
        <v>0</v>
      </c>
      <c r="BB147" s="12">
        <f>0</f>
        <v>0</v>
      </c>
      <c r="BC147" s="12">
        <f>0</f>
        <v>0</v>
      </c>
      <c r="BD147" s="12">
        <f>0</f>
        <v>0</v>
      </c>
      <c r="BE147" s="12">
        <f>0</f>
        <v>0</v>
      </c>
      <c r="BF147" s="12">
        <f>SUM(BB147:BE147)</f>
        <v>0</v>
      </c>
      <c r="BG147" s="12" t="n"/>
      <c r="BH147" s="12" t="n"/>
      <c r="BI147" s="12" t="n"/>
      <c r="BJ147" s="12" t="n"/>
      <c r="BK147" s="12" t="n"/>
      <c r="BL147" s="12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  <c r="CA147" s="12" t="n"/>
      <c r="CB147" s="12" t="n"/>
      <c r="CC147" s="12" t="n"/>
      <c r="CD147" s="12" t="n"/>
      <c r="CE147" s="12" t="n"/>
      <c r="CF147" s="12" t="n"/>
      <c r="CG147" s="12" t="n"/>
      <c r="CH147" s="12" t="n"/>
      <c r="CI147" s="12" t="n"/>
      <c r="CJ147" s="12" t="n"/>
      <c r="CK147" s="12" t="n"/>
      <c r="CL147" s="12" t="n"/>
      <c r="CM147" s="12" t="n"/>
      <c r="CN147" s="12" t="n"/>
      <c r="CO147" s="12" t="n"/>
      <c r="CP147" s="12" t="n"/>
      <c r="CQ147" s="12" t="n"/>
      <c r="CR147" s="12" t="n"/>
      <c r="CS147" s="12" t="n"/>
      <c r="CT147" s="12" t="n"/>
      <c r="CU147" s="12" t="n"/>
      <c r="CV147" s="12" t="n"/>
      <c r="CW147" s="12" t="n"/>
      <c r="CX147" s="12" t="n"/>
      <c r="CY147" s="12" t="n"/>
    </row>
    <row r="148">
      <c r="C148" s="14" t="inlineStr">
        <is>
          <t>Minority Interest Expense, after tax (enter as - )</t>
        </is>
      </c>
      <c r="D148" s="46" t="n"/>
      <c r="E148" s="46" t="n"/>
      <c r="F148" s="46" t="n"/>
      <c r="G148" s="46" t="n"/>
      <c r="H148" s="12" t="n"/>
      <c r="I148" s="46">
        <f>'Inputs (2)'!D12</f>
        <v>0</v>
      </c>
      <c r="J148" s="46">
        <f>'Inputs (2)'!E12</f>
        <v>0</v>
      </c>
      <c r="K148" s="46">
        <f>'Inputs (2)'!F12</f>
        <v>0</v>
      </c>
      <c r="L148" s="46">
        <f>'Inputs (2)'!G12</f>
        <v>0</v>
      </c>
      <c r="M148" s="12">
        <f>'Inputs (2)'!H12</f>
        <v>0</v>
      </c>
      <c r="N148" s="46">
        <f>'Inputs (2)'!I12</f>
        <v>0</v>
      </c>
      <c r="O148" s="46">
        <f>'Inputs (2)'!J12</f>
        <v>0</v>
      </c>
      <c r="P148" s="46">
        <f>'Inputs (2)'!K12</f>
        <v>0</v>
      </c>
      <c r="Q148" s="46">
        <f>'Inputs (2)'!L12</f>
        <v>0</v>
      </c>
      <c r="R148" s="12">
        <f>'Inputs (2)'!M12</f>
        <v>0</v>
      </c>
      <c r="S148" s="46">
        <f>'Inputs (2)'!N12</f>
        <v>0</v>
      </c>
      <c r="T148" s="46">
        <f>'Inputs (2)'!O12</f>
        <v>0</v>
      </c>
      <c r="U148" s="46">
        <f>'Inputs (2)'!P12</f>
        <v>0</v>
      </c>
      <c r="V148" s="46">
        <f>'Inputs (2)'!Q12</f>
        <v>0</v>
      </c>
      <c r="W148" s="12">
        <f>'Inputs (2)'!R12</f>
        <v>0</v>
      </c>
      <c r="X148" s="46">
        <f>'Inputs (2)'!S12</f>
        <v>0</v>
      </c>
      <c r="Y148" s="46">
        <f>'Inputs (2)'!T12</f>
        <v>0</v>
      </c>
      <c r="Z148" s="46">
        <f>'Inputs (2)'!U12</f>
        <v>0</v>
      </c>
      <c r="AA148" s="46">
        <f>'Inputs (2)'!V12</f>
        <v>0</v>
      </c>
      <c r="AB148" s="12">
        <f>'Inputs (2)'!W12</f>
        <v>0</v>
      </c>
      <c r="AC148" s="46">
        <f>'Inputs (2)'!X12</f>
        <v>0</v>
      </c>
      <c r="AD148" s="46">
        <f>'Inputs (2)'!Y12</f>
        <v>0</v>
      </c>
      <c r="AE148" s="46">
        <f>'Inputs (2)'!Z12</f>
        <v>0</v>
      </c>
      <c r="AF148" s="46">
        <f>'Inputs (2)'!AA12</f>
        <v>0</v>
      </c>
      <c r="AG148" s="12">
        <f>'Inputs (2)'!AB12</f>
        <v>0</v>
      </c>
      <c r="AH148" s="12">
        <f>'Inputs (2)'!AC12</f>
        <v>0</v>
      </c>
      <c r="AI148" s="12">
        <f>'Inputs (2)'!AD12</f>
        <v>0</v>
      </c>
      <c r="AJ148" s="12">
        <f>0</f>
        <v>0</v>
      </c>
      <c r="AK148" s="12">
        <f>0</f>
        <v>0</v>
      </c>
      <c r="AL148" s="12">
        <f>SUM(AH148:AK148)</f>
        <v>0</v>
      </c>
      <c r="AM148" s="12">
        <f>0</f>
        <v>0</v>
      </c>
      <c r="AN148" s="12">
        <f>0</f>
        <v>0</v>
      </c>
      <c r="AO148" s="12">
        <f>0</f>
        <v>0</v>
      </c>
      <c r="AP148" s="12">
        <f>0</f>
        <v>0</v>
      </c>
      <c r="AQ148" s="12">
        <f>SUM(AM148:AP148)</f>
        <v>0</v>
      </c>
      <c r="AR148" s="12">
        <f>0</f>
        <v>0</v>
      </c>
      <c r="AS148" s="12">
        <f>0</f>
        <v>0</v>
      </c>
      <c r="AT148" s="12">
        <f>0</f>
        <v>0</v>
      </c>
      <c r="AU148" s="12">
        <f>0</f>
        <v>0</v>
      </c>
      <c r="AV148" s="12">
        <f>SUM(AR148:AU148)</f>
        <v>0</v>
      </c>
      <c r="AW148" s="12">
        <f>0</f>
        <v>0</v>
      </c>
      <c r="AX148" s="12">
        <f>0</f>
        <v>0</v>
      </c>
      <c r="AY148" s="12">
        <f>0</f>
        <v>0</v>
      </c>
      <c r="AZ148" s="12">
        <f>0</f>
        <v>0</v>
      </c>
      <c r="BA148" s="12">
        <f>SUM(AW148:AZ148)</f>
        <v>0</v>
      </c>
      <c r="BB148" s="12">
        <f>0</f>
        <v>0</v>
      </c>
      <c r="BC148" s="12">
        <f>0</f>
        <v>0</v>
      </c>
      <c r="BD148" s="12">
        <f>0</f>
        <v>0</v>
      </c>
      <c r="BE148" s="12">
        <f>0</f>
        <v>0</v>
      </c>
      <c r="BF148" s="12">
        <f>SUM(BB148:BE148)</f>
        <v>0</v>
      </c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  <c r="CR148" s="12" t="n"/>
      <c r="CS148" s="12" t="n"/>
      <c r="CT148" s="12" t="n"/>
      <c r="CU148" s="12" t="n"/>
      <c r="CV148" s="12" t="n"/>
      <c r="CW148" s="12" t="n"/>
      <c r="CX148" s="12" t="n"/>
      <c r="CY148" s="12" t="n"/>
    </row>
    <row r="149" customFormat="1" s="32">
      <c r="A149" s="30" t="n"/>
      <c r="B149" s="3" t="n"/>
      <c r="C149" s="33" t="inlineStr">
        <is>
          <t>Net Income</t>
        </is>
      </c>
      <c r="D149" s="35" t="n"/>
      <c r="E149" s="35" t="n"/>
      <c r="F149" s="35" t="n"/>
      <c r="G149" s="35" t="n"/>
      <c r="H149" s="35" t="n"/>
      <c r="I149" s="35">
        <f>SUM(I142,I143,I147,I148)</f>
        <v>109.481</v>
      </c>
      <c r="J149" s="35">
        <f>SUM(J142,J143,J147,J148)</f>
        <v>173.921</v>
      </c>
      <c r="K149" s="35">
        <f>SUM(K142,K143,K147,K148)</f>
        <v>259.381</v>
      </c>
      <c r="L149" s="35">
        <f>SUM(L142,L143,L147,L148)</f>
        <v>276.656</v>
      </c>
      <c r="M149" s="35">
        <f>SUM(I149:L149)</f>
        <v>819.439</v>
      </c>
      <c r="N149" s="35">
        <f>SUM(N142,N143,N147,N148)</f>
        <v>258.068</v>
      </c>
      <c r="O149" s="35">
        <f>SUM(O142,O143,O147,O148)</f>
        <v>186.761</v>
      </c>
      <c r="P149" s="35">
        <f>SUM(P142,P143,P147,P148)</f>
        <v>93.718</v>
      </c>
      <c r="Q149" s="35">
        <f>SUM(Q142,Q143,Q147,Q148)</f>
        <v>17.8309999999998</v>
      </c>
      <c r="R149" s="35">
        <f>SUM(N149:Q149)</f>
        <v>556.378</v>
      </c>
      <c r="S149" s="35">
        <f>SUM(S142,S143,S147,S148)</f>
        <v>21.0440000000002</v>
      </c>
      <c r="T149" s="35">
        <f>SUM(T142,T143,T147,T148)</f>
        <v>-17.8640000000002</v>
      </c>
      <c r="U149" s="35">
        <f>SUM(U142,U143,U147,U148)</f>
        <v>-65.7210000000001</v>
      </c>
      <c r="V149" s="35">
        <f>SUM(V142,V143,V147,V148)</f>
        <v>-588.309</v>
      </c>
      <c r="W149" s="35">
        <f>SUM(S149:V149)</f>
        <v>-650.85</v>
      </c>
      <c r="X149" s="35">
        <f>SUM(X142,X143,X147,X148)</f>
        <v>48.5990000000002</v>
      </c>
      <c r="Y149" s="35">
        <f>SUM(Y142,Y143,Y147,Y148)</f>
        <v>42.5479999999999</v>
      </c>
      <c r="Z149" s="35">
        <f>SUM(Z142,Z143,Z147,Z148)</f>
        <v>78.1939999999998</v>
      </c>
      <c r="AA149" s="35">
        <f>SUM(AA142,AA143,AA147,AA148)</f>
        <v>62.1710000000002</v>
      </c>
      <c r="AB149" s="35">
        <f>SUM(X149:AA149)</f>
        <v>231.512</v>
      </c>
      <c r="AC149" s="35">
        <f>SUM(AC142,AC143,AC147,AC148)</f>
        <v>78.4680000000002</v>
      </c>
      <c r="AD149" s="35">
        <f>SUM(AD142,AD143,AD147,AD148)</f>
        <v>67.5949999999999</v>
      </c>
      <c r="AE149" s="35">
        <f>SUM(AE142,AE143,AE147,AE148)</f>
        <v>69.9549999999999</v>
      </c>
      <c r="AF149" s="35">
        <f>SUM(AF142,AF143,AF147,AF148)</f>
        <v>102.344106983</v>
      </c>
      <c r="AG149" s="35">
        <f>SUM(AC149:AF149)</f>
        <v>318.362106982999</v>
      </c>
      <c r="AH149" s="35">
        <f>SUM(AH142,AH143,AH147,AH148)</f>
        <v>124.513191101</v>
      </c>
      <c r="AI149" s="35">
        <f>SUM(AI142,AI143,AI147,AI148)</f>
        <v>135.649659877</v>
      </c>
      <c r="AJ149" s="35">
        <f>SUM(AJ142,AJ143,AJ147,AJ148)</f>
        <v>1008.32501279551</v>
      </c>
      <c r="AK149" s="35">
        <f>SUM(AK142,AK143,AK147,AK148)</f>
        <v>979.710564124268</v>
      </c>
      <c r="AL149" s="35">
        <f>SUM(AH149:AK149)</f>
        <v>2248.19842789778</v>
      </c>
      <c r="AM149" s="35">
        <f>SUM(AM142,AM143,AM147,AM148)</f>
        <v>1012.28831968582</v>
      </c>
      <c r="AN149" s="35">
        <f>SUM(AN142,AN143,AN147,AN148)</f>
        <v>1008.32158753062</v>
      </c>
      <c r="AO149" s="35">
        <f>SUM(AO142,AO143,AO147,AO148)</f>
        <v>1085.40964743235</v>
      </c>
      <c r="AP149" s="35">
        <f>SUM(AP142,AP143,AP147,AP148)</f>
        <v>1054.60767559827</v>
      </c>
      <c r="AQ149" s="35">
        <f>SUM(AM149:AP149)</f>
        <v>4160.62723024706</v>
      </c>
      <c r="AR149" s="35">
        <f>SUM(AR142,AR143,AR147,AR148)</f>
        <v>1084.61450041145</v>
      </c>
      <c r="AS149" s="35">
        <f>SUM(AS142,AS143,AS147,AS148)</f>
        <v>1080.36435237446</v>
      </c>
      <c r="AT149" s="35">
        <f>SUM(AT142,AT143,AT147,AT148)</f>
        <v>1162.96021558066</v>
      </c>
      <c r="AU149" s="35">
        <f>SUM(AU142,AU143,AU147,AU148)</f>
        <v>1129.95749822946</v>
      </c>
      <c r="AV149" s="35">
        <f>SUM(AR149:AU149)</f>
        <v>4457.89656659604</v>
      </c>
      <c r="AW149" s="35">
        <f>SUM(AW142,AW143,AW147,AW148)</f>
        <v>1156.68518423243</v>
      </c>
      <c r="AX149" s="35">
        <f>SUM(AX142,AX143,AX147,AX148)</f>
        <v>1152.15262149857</v>
      </c>
      <c r="AY149" s="35">
        <f>SUM(AY142,AY143,AY147,AY148)</f>
        <v>1240.23683133834</v>
      </c>
      <c r="AZ149" s="35">
        <f>SUM(AZ142,AZ143,AZ147,AZ148)</f>
        <v>1205.0411427457</v>
      </c>
      <c r="BA149" s="35">
        <f>SUM(AW149:AZ149)</f>
        <v>4754.11577981504</v>
      </c>
      <c r="BB149" s="35">
        <f>SUM(BB142,BB143,BB147,BB148)</f>
        <v>1227.76140951602</v>
      </c>
      <c r="BC149" s="35">
        <f>SUM(BC142,BC143,BC147,BC148)</f>
        <v>1222.95032895001</v>
      </c>
      <c r="BD149" s="35">
        <f>SUM(BD142,BD143,BD147,BD148)</f>
        <v>1316.44715514196</v>
      </c>
      <c r="BE149" s="35">
        <f>SUM(BE142,BE143,BE147,BE148)</f>
        <v>1279.08875475399</v>
      </c>
      <c r="BF149" s="35">
        <f>SUM(BB149:BE149)</f>
        <v>5046.24764836198</v>
      </c>
      <c r="BG149" s="35" t="n"/>
      <c r="BH149" s="35" t="n"/>
      <c r="BI149" s="35" t="n"/>
      <c r="BJ149" s="35" t="n"/>
      <c r="BK149" s="35" t="n"/>
      <c r="BL149" s="35" t="n"/>
      <c r="BM149" s="35" t="n"/>
      <c r="BN149" s="35" t="n"/>
      <c r="BO149" s="35" t="n"/>
      <c r="BP149" s="35" t="n"/>
      <c r="BQ149" s="35" t="n"/>
      <c r="BR149" s="35" t="n"/>
      <c r="BS149" s="35" t="n"/>
      <c r="BT149" s="35" t="n"/>
      <c r="BU149" s="35" t="n"/>
      <c r="BV149" s="35" t="n"/>
      <c r="BW149" s="35" t="n"/>
      <c r="BX149" s="35" t="n"/>
      <c r="BY149" s="35" t="n"/>
      <c r="BZ149" s="35" t="n"/>
      <c r="CA149" s="35" t="n"/>
      <c r="CB149" s="35" t="n"/>
      <c r="CC149" s="35" t="n"/>
      <c r="CD149" s="35" t="n"/>
      <c r="CE149" s="35" t="n"/>
      <c r="CF149" s="35" t="n"/>
      <c r="CG149" s="35" t="n"/>
      <c r="CH149" s="35" t="n"/>
      <c r="CI149" s="35" t="n"/>
      <c r="CJ149" s="35" t="n"/>
      <c r="CK149" s="35" t="n"/>
      <c r="CL149" s="35" t="n"/>
      <c r="CM149" s="35" t="n"/>
      <c r="CN149" s="35" t="n"/>
      <c r="CO149" s="35" t="n"/>
      <c r="CP149" s="35" t="n"/>
      <c r="CQ149" s="35" t="n"/>
      <c r="CR149" s="35" t="n"/>
      <c r="CS149" s="35" t="n"/>
      <c r="CT149" s="35" t="n"/>
      <c r="CU149" s="35" t="n"/>
      <c r="CV149" s="35" t="n"/>
      <c r="CW149" s="35" t="n"/>
      <c r="CX149" s="35" t="n"/>
      <c r="CY149" s="35" t="n"/>
    </row>
    <row r="150">
      <c r="C150" s="13" t="inlineStr">
        <is>
          <t>Common Dividends</t>
        </is>
      </c>
      <c r="D150" s="46" t="n"/>
      <c r="E150" s="46" t="n"/>
      <c r="F150" s="46" t="n"/>
      <c r="G150" s="46" t="n"/>
      <c r="H150" s="12" t="n"/>
      <c r="I150" s="46">
        <f>'Inputs (2)'!D13</f>
        <v>0</v>
      </c>
      <c r="J150" s="46">
        <f>'Inputs (2)'!E13</f>
        <v>0</v>
      </c>
      <c r="K150" s="46">
        <f>'Inputs (2)'!F13</f>
        <v>-64.133</v>
      </c>
      <c r="L150" s="46">
        <f>'Inputs (2)'!G13</f>
        <v>-42.481</v>
      </c>
      <c r="M150" s="12">
        <f>'Inputs (2)'!H13</f>
        <v>-106.614</v>
      </c>
      <c r="N150" s="46">
        <f>'Inputs (2)'!I13</f>
        <v>-39.311</v>
      </c>
      <c r="O150" s="46">
        <f>'Inputs (2)'!J13</f>
        <v>-309.347</v>
      </c>
      <c r="P150" s="46">
        <f>'Inputs (2)'!K13</f>
        <v>-46.849</v>
      </c>
      <c r="Q150" s="46">
        <f>'Inputs (2)'!L13</f>
        <v>-52.131</v>
      </c>
      <c r="R150" s="12">
        <f>'Inputs (2)'!M13</f>
        <v>-447.638</v>
      </c>
      <c r="S150" s="46">
        <f>'Inputs (2)'!N13</f>
        <v>-47.512</v>
      </c>
      <c r="T150" s="46">
        <f>'Inputs (2)'!O13</f>
        <v>-90.689</v>
      </c>
      <c r="U150" s="46">
        <f>'Inputs (2)'!P13</f>
        <v>0.001</v>
      </c>
      <c r="V150" s="46">
        <f>'Inputs (2)'!Q13</f>
        <v>0</v>
      </c>
      <c r="W150" s="12">
        <f>'Inputs (2)'!R13</f>
        <v>-138.2</v>
      </c>
      <c r="X150" s="46">
        <f>'Inputs (2)'!S13</f>
        <v>0</v>
      </c>
      <c r="Y150" s="46">
        <f>'Inputs (2)'!T13</f>
        <v>0</v>
      </c>
      <c r="Z150" s="46">
        <f>'Inputs (2)'!U13</f>
        <v>0</v>
      </c>
      <c r="AA150" s="46">
        <f>'Inputs (2)'!V13</f>
        <v>0</v>
      </c>
      <c r="AB150" s="12">
        <f>'Inputs (2)'!W13</f>
        <v>0</v>
      </c>
      <c r="AC150" s="46">
        <f>'Inputs (2)'!X13</f>
        <v>0</v>
      </c>
      <c r="AD150" s="46">
        <f>'Inputs (2)'!Y13</f>
        <v>-55.05</v>
      </c>
      <c r="AE150" s="46">
        <f>'Inputs (2)'!Z13</f>
        <v>0</v>
      </c>
      <c r="AF150" s="46">
        <f>'Inputs (2)'!AA13</f>
        <v>0</v>
      </c>
      <c r="AG150" s="12">
        <f>'Inputs (2)'!AB13</f>
        <v>-55.05</v>
      </c>
      <c r="AH150" s="12">
        <f>'Inputs (2)'!AC13</f>
        <v>0</v>
      </c>
      <c r="AI150" s="12">
        <f>'Inputs (2)'!AD13</f>
        <v>0</v>
      </c>
      <c r="AJ150" s="12">
        <f>-MAX(0,AJ149)*Control!$E$15</f>
        <v>0</v>
      </c>
      <c r="AK150" s="12">
        <f>-MAX(0,AK149)*Control!$E$15</f>
        <v>0</v>
      </c>
      <c r="AL150" s="12">
        <f>SUM(AH150:AK150)</f>
        <v>0</v>
      </c>
      <c r="AM150" s="12">
        <f>-MAX(0,AM149)*Control!$E$15</f>
        <v>0</v>
      </c>
      <c r="AN150" s="12">
        <f>-MAX(0,AN149)*Control!$E$15</f>
        <v>0</v>
      </c>
      <c r="AO150" s="12">
        <f>-MAX(0,AO149)*Control!$E$15</f>
        <v>0</v>
      </c>
      <c r="AP150" s="12">
        <f>-MAX(0,AP149)*Control!$E$15</f>
        <v>0</v>
      </c>
      <c r="AQ150" s="12">
        <f>SUM(AM150:AP150)</f>
        <v>0</v>
      </c>
      <c r="AR150" s="12">
        <f>-MAX(0,AR149)*Control!$E$15</f>
        <v>0</v>
      </c>
      <c r="AS150" s="12">
        <f>-MAX(0,AS149)*Control!$E$15</f>
        <v>0</v>
      </c>
      <c r="AT150" s="12">
        <f>-MAX(0,AT149)*Control!$E$15</f>
        <v>0</v>
      </c>
      <c r="AU150" s="12">
        <f>-MAX(0,AU149)*Control!$E$15</f>
        <v>0</v>
      </c>
      <c r="AV150" s="12">
        <f>SUM(AR150:AU150)</f>
        <v>0</v>
      </c>
      <c r="AW150" s="12">
        <f>-MAX(0,AW149)*Control!$E$15</f>
        <v>0</v>
      </c>
      <c r="AX150" s="12">
        <f>-MAX(0,AX149)*Control!$E$15</f>
        <v>0</v>
      </c>
      <c r="AY150" s="12">
        <f>-MAX(0,AY149)*Control!$E$15</f>
        <v>0</v>
      </c>
      <c r="AZ150" s="12">
        <f>-MAX(0,AZ149)*Control!$E$15</f>
        <v>0</v>
      </c>
      <c r="BA150" s="12">
        <f>SUM(AW150:AZ150)</f>
        <v>0</v>
      </c>
      <c r="BB150" s="12">
        <f>-MAX(0,BB149)*Control!$E$15</f>
        <v>0</v>
      </c>
      <c r="BC150" s="12">
        <f>-MAX(0,BC149)*Control!$E$15</f>
        <v>0</v>
      </c>
      <c r="BD150" s="12">
        <f>-MAX(0,BD149)*Control!$E$15</f>
        <v>0</v>
      </c>
      <c r="BE150" s="12">
        <f>-MAX(0,BE149)*Control!$E$15</f>
        <v>0</v>
      </c>
      <c r="BF150" s="12">
        <f>SUM(BB150:BE150)</f>
        <v>0</v>
      </c>
      <c r="BG150" s="12" t="n"/>
      <c r="BH150" s="12" t="n"/>
      <c r="BI150" s="12" t="n"/>
      <c r="BJ150" s="12" t="n"/>
      <c r="BK150" s="12" t="n"/>
      <c r="BL150" s="12" t="n"/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  <c r="CA150" s="12" t="n"/>
      <c r="CB150" s="12" t="n"/>
      <c r="CC150" s="12" t="n"/>
      <c r="CD150" s="12" t="n"/>
      <c r="CE150" s="12" t="n"/>
      <c r="CF150" s="12" t="n"/>
      <c r="CG150" s="12" t="n"/>
      <c r="CH150" s="12" t="n"/>
      <c r="CI150" s="12" t="n"/>
      <c r="CJ150" s="12" t="n"/>
      <c r="CK150" s="12" t="n"/>
      <c r="CL150" s="12" t="n"/>
      <c r="CM150" s="12" t="n"/>
      <c r="CN150" s="12" t="n"/>
      <c r="CO150" s="12" t="n"/>
      <c r="CP150" s="12" t="n"/>
      <c r="CQ150" s="12" t="n"/>
      <c r="CR150" s="12" t="n"/>
      <c r="CS150" s="12" t="n"/>
      <c r="CT150" s="12" t="n"/>
      <c r="CU150" s="12" t="n"/>
      <c r="CV150" s="12" t="n"/>
      <c r="CW150" s="12" t="n"/>
      <c r="CX150" s="12" t="n"/>
      <c r="CY150" s="12" t="n"/>
    </row>
    <row r="151" hidden="1" outlineLevel="1">
      <c r="C151" s="50" t="inlineStr">
        <is>
          <t>% DVD Payout</t>
        </is>
      </c>
      <c r="D151" s="58" t="n"/>
      <c r="E151" s="58" t="n"/>
      <c r="F151" s="58" t="n"/>
      <c r="G151" s="58" t="n"/>
      <c r="H151" s="58" t="n"/>
      <c r="I151" s="58">
        <f>IF(I149=0,"",-I150/I149)</f>
        <v>0</v>
      </c>
      <c r="J151" s="58">
        <f>IF(J149=0,"",-J150/J149)</f>
        <v>0</v>
      </c>
      <c r="K151" s="58">
        <f>IF(K149=0,"",-K150/K149)</f>
        <v>0.24725403942463</v>
      </c>
      <c r="L151" s="58">
        <f>IF(L149=0,"",-L150/L149)</f>
        <v>0.153551703198196</v>
      </c>
      <c r="M151" s="58">
        <f>IF(M149=0,"",-M150/M149)</f>
        <v>0.130106084772631</v>
      </c>
      <c r="N151" s="58">
        <f>IF(N149=0,"",-N150/N149)</f>
        <v>0.152328068571074</v>
      </c>
      <c r="O151" s="58">
        <f>IF(O149=0,"",-O150/O149)</f>
        <v>1.65637900846536</v>
      </c>
      <c r="P151" s="58">
        <f>IF(P149=0,"",-P150/P149)</f>
        <v>0.499893296912012</v>
      </c>
      <c r="Q151" s="58">
        <f>IF(Q149=0,"",-Q150/Q149)</f>
        <v>2.92361617407889</v>
      </c>
      <c r="R151" s="58">
        <f>IF(R149=0,"",-R150/R149)</f>
        <v>0.804557333323747</v>
      </c>
      <c r="S151" s="58">
        <f>IF(S149=0,"",-S150/S149)</f>
        <v>2.25774567572703</v>
      </c>
      <c r="T151" s="58">
        <f>IF(T149=0,"",-T150/T149)</f>
        <v>-5.07663457232417</v>
      </c>
      <c r="U151" s="58">
        <f>IF(U149=0,"",-U150/U149)</f>
        <v>1.52158366427778e-05</v>
      </c>
      <c r="V151" s="58">
        <f>IF(V149=0,"",-V150/V149)</f>
        <v>0</v>
      </c>
      <c r="W151" s="58">
        <f>IF(W149=0,"",-W150/W149)</f>
        <v>-0.212337712222478</v>
      </c>
      <c r="X151" s="58">
        <f>IF(X149=0,"",-X150/X149)</f>
        <v>0</v>
      </c>
      <c r="Y151" s="58">
        <f>IF(Y149=0,"",-Y150/Y149)</f>
        <v>0</v>
      </c>
      <c r="Z151" s="58">
        <f>IF(Z149=0,"",-Z150/Z149)</f>
        <v>0</v>
      </c>
      <c r="AA151" s="58">
        <f>IF(AA149=0,"",-AA150/AA149)</f>
        <v>0</v>
      </c>
      <c r="AB151" s="58">
        <f>IF(AB149=0,"",-AB150/AB149)</f>
        <v>0</v>
      </c>
      <c r="AC151" s="58">
        <f>IF(AC149=0,"",-AC150/AC149)</f>
        <v>0</v>
      </c>
      <c r="AD151" s="58">
        <f>IF(AD149=0,"",-AD150/AD149)</f>
        <v>0.814409349803981</v>
      </c>
      <c r="AE151" s="58">
        <f>IF(AE149=0,"",-AE150/AE149)</f>
        <v>0</v>
      </c>
      <c r="AF151" s="41">
        <f>IF(AF149=0,"",-AF150/AF149)</f>
        <v>0</v>
      </c>
      <c r="AG151" s="12">
        <f>IF(AG149=0,"",-AG150/AG149)</f>
        <v>0.172916307539514</v>
      </c>
      <c r="AH151" s="41">
        <f>IF(AH149=0,"",-AH150/AH149)</f>
        <v>0</v>
      </c>
      <c r="AI151" s="41">
        <f>IF(AI149=0,"",-AI150/AI149)</f>
        <v>0</v>
      </c>
      <c r="AJ151" s="41">
        <f>IF(AJ149=0,"",-AJ150/AJ149)</f>
        <v>0</v>
      </c>
      <c r="AK151" s="41">
        <f>IF(AK149=0,"",-AK150/AK149)</f>
        <v>0</v>
      </c>
      <c r="AL151" s="12">
        <f>IF(AL149=0,"",-AL150/AL149)</f>
        <v>0</v>
      </c>
      <c r="AM151" s="41">
        <f>IF(AM149=0,"",-AM150/AM149)</f>
        <v>0</v>
      </c>
      <c r="AN151" s="41">
        <f>IF(AN149=0,"",-AN150/AN149)</f>
        <v>0</v>
      </c>
      <c r="AO151" s="41">
        <f>IF(AO149=0,"",-AO150/AO149)</f>
        <v>0</v>
      </c>
      <c r="AP151" s="41">
        <f>IF(AP149=0,"",-AP150/AP149)</f>
        <v>0</v>
      </c>
      <c r="AQ151" s="12">
        <f>IF(AQ149=0,"",-AQ150/AQ149)</f>
        <v>0</v>
      </c>
      <c r="AR151" s="41">
        <f>IF(AR149=0,"",-AR150/AR149)</f>
        <v>0</v>
      </c>
      <c r="AS151" s="41">
        <f>IF(AS149=0,"",-AS150/AS149)</f>
        <v>0</v>
      </c>
      <c r="AT151" s="41">
        <f>IF(AT149=0,"",-AT150/AT149)</f>
        <v>0</v>
      </c>
      <c r="AU151" s="41">
        <f>IF(AU149=0,"",-AU150/AU149)</f>
        <v>0</v>
      </c>
      <c r="AV151" s="12">
        <f>IF(AV149=0,"",-AV150/AV149)</f>
        <v>0</v>
      </c>
      <c r="AW151" s="41">
        <f>IF(AW149=0,"",-AW150/AW149)</f>
        <v>0</v>
      </c>
      <c r="AX151" s="41">
        <f>IF(AX149=0,"",-AX150/AX149)</f>
        <v>0</v>
      </c>
      <c r="AY151" s="41">
        <f>IF(AY149=0,"",-AY150/AY149)</f>
        <v>0</v>
      </c>
      <c r="AZ151" s="41">
        <f>IF(AZ149=0,"",-AZ150/AZ149)</f>
        <v>0</v>
      </c>
      <c r="BA151" s="12">
        <f>IF(BA149=0,"",-BA150/BA149)</f>
        <v>0</v>
      </c>
      <c r="BB151" s="41">
        <f>IF(BB149=0,"",-BB150/BB149)</f>
        <v>0</v>
      </c>
      <c r="BC151" s="41">
        <f>IF(BC149=0,"",-BC150/BC149)</f>
        <v>0</v>
      </c>
      <c r="BD151" s="41">
        <f>IF(BD149=0,"",-BD150/BD149)</f>
        <v>0</v>
      </c>
      <c r="BE151" s="41">
        <f>IF(BE149=0,"",-BE150/BE149)</f>
        <v>0</v>
      </c>
      <c r="BF151" s="12">
        <f>IF(BF149=0,"",-BF150/BF149)</f>
        <v>0</v>
      </c>
      <c r="BG151" s="41" t="n"/>
      <c r="BH151" s="41" t="n"/>
      <c r="BI151" s="41" t="n"/>
      <c r="BJ151" s="41" t="n"/>
      <c r="BK151" s="12" t="n"/>
      <c r="BL151" s="41" t="n"/>
      <c r="BM151" s="41" t="n"/>
      <c r="BN151" s="41" t="n"/>
      <c r="BO151" s="41" t="n"/>
      <c r="BP151" s="12" t="n"/>
      <c r="BQ151" s="41" t="n"/>
      <c r="BR151" s="41" t="n"/>
      <c r="BS151" s="41" t="n"/>
      <c r="BT151" s="41" t="n"/>
      <c r="BU151" s="12" t="n"/>
      <c r="BV151" s="41" t="n"/>
      <c r="BW151" s="41" t="n"/>
      <c r="BX151" s="41" t="n"/>
      <c r="BY151" s="41" t="n"/>
      <c r="BZ151" s="12" t="n"/>
      <c r="CA151" s="41" t="n"/>
      <c r="CB151" s="41" t="n"/>
      <c r="CC151" s="41" t="n"/>
      <c r="CD151" s="41" t="n"/>
      <c r="CE151" s="12" t="n"/>
      <c r="CF151" s="41" t="n"/>
      <c r="CG151" s="41" t="n"/>
      <c r="CH151" s="41" t="n"/>
      <c r="CI151" s="41" t="n"/>
      <c r="CJ151" s="12" t="n"/>
      <c r="CK151" s="41" t="n"/>
      <c r="CL151" s="41" t="n"/>
      <c r="CM151" s="41" t="n"/>
      <c r="CN151" s="41" t="n"/>
      <c r="CO151" s="12" t="n"/>
      <c r="CP151" s="41" t="n"/>
      <c r="CQ151" s="41" t="n"/>
      <c r="CR151" s="41" t="n"/>
      <c r="CS151" s="41" t="n"/>
      <c r="CT151" s="12" t="n"/>
      <c r="CU151" s="41" t="n"/>
      <c r="CV151" s="41" t="n"/>
      <c r="CW151" s="41" t="n"/>
      <c r="CX151" s="41" t="n"/>
      <c r="CY151" s="12" t="n"/>
    </row>
    <row r="152" hidden="1" outlineLevel="1">
      <c r="C152" s="18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  <c r="CU152" s="3" t="n"/>
      <c r="CV152" s="3" t="n"/>
      <c r="CW152" s="3" t="n"/>
      <c r="CX152" s="3" t="n"/>
      <c r="CY152" s="3" t="n"/>
    </row>
    <row r="153" hidden="1" outlineLevel="1">
      <c r="C153" s="18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  <c r="CU153" s="3" t="n"/>
      <c r="CV153" s="3" t="n"/>
      <c r="CW153" s="3" t="n"/>
      <c r="CX153" s="3" t="n"/>
      <c r="CY153" s="3" t="n"/>
    </row>
    <row r="154" collapsed="1" ht="11.25" customHeight="1">
      <c r="C154" s="31" t="inlineStr">
        <is>
          <t>Balance Sheet</t>
        </is>
      </c>
      <c r="D154" s="31" t="n"/>
      <c r="E154" s="31" t="n"/>
      <c r="F154" s="31" t="n"/>
      <c r="G154" s="31" t="n"/>
      <c r="H154" s="31" t="n"/>
      <c r="I154" s="31" t="str">
        <f>I13</f>
        <v>1Q21</v>
      </c>
      <c r="J154" s="31" t="str">
        <f>J13</f>
        <v>2Q21</v>
      </c>
      <c r="K154" s="31" t="str">
        <f>K13</f>
        <v>3Q21</v>
      </c>
      <c r="L154" s="31" t="str">
        <f>L13</f>
        <v>4Q21</v>
      </c>
      <c r="M154" s="31">
        <f>M13</f>
        <v>2021</v>
      </c>
      <c r="N154" s="31" t="str">
        <f>N13</f>
        <v>1Q22</v>
      </c>
      <c r="O154" s="31" t="str">
        <f>O13</f>
        <v>2Q22</v>
      </c>
      <c r="P154" s="31" t="str">
        <f>P13</f>
        <v>3Q22</v>
      </c>
      <c r="Q154" s="31" t="str">
        <f>Q13</f>
        <v>4Q22</v>
      </c>
      <c r="R154" s="31">
        <f>R13</f>
        <v>2022</v>
      </c>
      <c r="S154" s="31" t="str">
        <f>S13</f>
        <v>1Q23</v>
      </c>
      <c r="T154" s="31" t="str">
        <f>T13</f>
        <v>2Q23</v>
      </c>
      <c r="U154" s="31" t="str">
        <f>U13</f>
        <v>3Q23</v>
      </c>
      <c r="V154" s="31" t="str">
        <f>V13</f>
        <v>4Q23</v>
      </c>
      <c r="W154" s="31">
        <f>W13</f>
        <v>2023</v>
      </c>
      <c r="X154" s="31" t="str">
        <f>X13</f>
        <v>1Q24</v>
      </c>
      <c r="Y154" s="31" t="str">
        <f>Y13</f>
        <v>2Q24</v>
      </c>
      <c r="Z154" s="31" t="str">
        <f>Z13</f>
        <v>3Q24</v>
      </c>
      <c r="AA154" s="31" t="str">
        <f>AA13</f>
        <v>4Q24</v>
      </c>
      <c r="AB154" s="31">
        <f>AB13</f>
        <v>2024</v>
      </c>
      <c r="AC154" s="31" t="str">
        <f>AC13</f>
        <v>1Q25</v>
      </c>
      <c r="AD154" s="31" t="str">
        <f>AD13</f>
        <v>2Q25</v>
      </c>
      <c r="AE154" s="31" t="str">
        <f>AE13</f>
        <v>3Q25</v>
      </c>
      <c r="AF154" s="31" t="str">
        <f>AF13</f>
        <v>4Q25</v>
      </c>
      <c r="AG154" s="31">
        <f>AG13</f>
        <v>2025</v>
      </c>
      <c r="AH154" s="31" t="str">
        <f>AH13</f>
        <v>1Q26</v>
      </c>
      <c r="AI154" s="31" t="str">
        <f>AI13</f>
        <v>2Q26</v>
      </c>
      <c r="AJ154" s="31" t="str">
        <f>AJ13</f>
        <v>3Q26</v>
      </c>
      <c r="AK154" s="31" t="str">
        <f>AK13</f>
        <v>4Q26</v>
      </c>
      <c r="AL154" s="31">
        <f>AL13</f>
        <v>2026</v>
      </c>
      <c r="AM154" s="31" t="str">
        <f>AM13</f>
        <v>1Q27</v>
      </c>
      <c r="AN154" s="31" t="str">
        <f>AN13</f>
        <v>2Q27</v>
      </c>
      <c r="AO154" s="31" t="str">
        <f>AO13</f>
        <v>3Q27</v>
      </c>
      <c r="AP154" s="31" t="str">
        <f>AP13</f>
        <v>4Q27</v>
      </c>
      <c r="AQ154" s="31">
        <f>AQ13</f>
        <v>2027</v>
      </c>
      <c r="AR154" s="31" t="str">
        <f>AR13</f>
        <v>1Q28</v>
      </c>
      <c r="AS154" s="31" t="str">
        <f>AS13</f>
        <v>2Q28</v>
      </c>
      <c r="AT154" s="31" t="str">
        <f>AT13</f>
        <v>3Q28</v>
      </c>
      <c r="AU154" s="31" t="str">
        <f>AU13</f>
        <v>4Q28</v>
      </c>
      <c r="AV154" s="31">
        <f>AV13</f>
        <v>2028</v>
      </c>
      <c r="AW154" s="31" t="str">
        <f>AW13</f>
        <v>1Q29</v>
      </c>
      <c r="AX154" s="31" t="str">
        <f>AX13</f>
        <v>2Q29</v>
      </c>
      <c r="AY154" s="31" t="str">
        <f>AY13</f>
        <v>3Q29</v>
      </c>
      <c r="AZ154" s="31" t="str">
        <f>AZ13</f>
        <v>4Q29</v>
      </c>
      <c r="BA154" s="31">
        <f>BA13</f>
        <v>2029</v>
      </c>
      <c r="BB154" s="31" t="str">
        <f>BB13</f>
        <v>1Q30</v>
      </c>
      <c r="BC154" s="31" t="str">
        <f>BC13</f>
        <v>2Q30</v>
      </c>
      <c r="BD154" s="31" t="str">
        <f>BD13</f>
        <v>3Q30</v>
      </c>
      <c r="BE154" s="31" t="str">
        <f>BE13</f>
        <v>4Q30</v>
      </c>
      <c r="BF154" s="31">
        <f>BF13</f>
        <v>2030</v>
      </c>
      <c r="BG154" s="31" t="n"/>
      <c r="BH154" s="31" t="n"/>
      <c r="BI154" s="31" t="n"/>
      <c r="BJ154" s="31" t="n"/>
      <c r="BK154" s="31" t="n"/>
      <c r="BL154" s="31" t="n"/>
      <c r="BM154" s="31" t="n"/>
      <c r="BN154" s="31" t="n"/>
      <c r="BO154" s="31" t="n"/>
      <c r="BP154" s="31" t="n"/>
      <c r="BQ154" s="31" t="n"/>
      <c r="BR154" s="31" t="n"/>
      <c r="BS154" s="31" t="n"/>
      <c r="BT154" s="31" t="n"/>
      <c r="BU154" s="31" t="n"/>
      <c r="BV154" s="31" t="n"/>
      <c r="BW154" s="31" t="n"/>
      <c r="BX154" s="31" t="n"/>
      <c r="BY154" s="31" t="n"/>
      <c r="BZ154" s="31" t="n"/>
      <c r="CA154" s="31" t="n"/>
      <c r="CB154" s="31" t="n"/>
      <c r="CC154" s="31" t="n"/>
      <c r="CD154" s="31" t="n"/>
      <c r="CE154" s="31" t="n"/>
      <c r="CF154" s="31" t="n"/>
      <c r="CG154" s="31" t="n"/>
      <c r="CH154" s="31" t="n"/>
      <c r="CI154" s="31" t="n"/>
      <c r="CJ154" s="31" t="n"/>
      <c r="CK154" s="31" t="n"/>
      <c r="CL154" s="31" t="n"/>
      <c r="CM154" s="31" t="n"/>
      <c r="CN154" s="31" t="n"/>
      <c r="CO154" s="31" t="n"/>
      <c r="CP154" s="31" t="n"/>
      <c r="CQ154" s="31" t="n"/>
      <c r="CR154" s="31" t="n"/>
      <c r="CS154" s="31" t="n"/>
      <c r="CT154" s="31" t="n"/>
      <c r="CU154" s="31" t="n"/>
      <c r="CV154" s="31" t="n"/>
      <c r="CW154" s="31" t="n"/>
      <c r="CX154" s="31" t="n"/>
      <c r="CY154" s="31" t="n"/>
    </row>
    <row r="155">
      <c r="C155" s="18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  <c r="CU155" s="3" t="n"/>
      <c r="CV155" s="3" t="n"/>
      <c r="CW155" s="3" t="n"/>
      <c r="CX155" s="3" t="n"/>
      <c r="CY155" s="3" t="n"/>
    </row>
    <row r="156">
      <c r="C156" s="13" t="inlineStr">
        <is>
          <t>Cash and equivalents (inc. investment securities)</t>
        </is>
      </c>
      <c r="D156" s="46" t="n"/>
      <c r="E156" s="46" t="n"/>
      <c r="F156" s="46" t="n"/>
      <c r="G156" s="46" t="n"/>
      <c r="H156" s="12" t="n"/>
      <c r="I156" s="46">
        <f>'Inputs (2)'!D15</f>
        <v>5511.88</v>
      </c>
      <c r="J156" s="46">
        <f>'Inputs (2)'!E15</f>
        <v>5556.755</v>
      </c>
      <c r="K156" s="46">
        <f>'Inputs (2)'!F15</f>
        <v>8274.313</v>
      </c>
      <c r="L156" s="46">
        <f>'Inputs (2)'!G15</f>
        <v>7786.453</v>
      </c>
      <c r="M156" s="12">
        <f>'Inputs (2)'!H15</f>
        <v>7786.453</v>
      </c>
      <c r="N156" s="46">
        <f>'Inputs (2)'!I15</f>
        <v>5650.584</v>
      </c>
      <c r="O156" s="46">
        <f>'Inputs (2)'!J15</f>
        <v>5722.697</v>
      </c>
      <c r="P156" s="46">
        <f>'Inputs (2)'!K15</f>
        <v>7795.457</v>
      </c>
      <c r="Q156" s="46">
        <f>'Inputs (2)'!L15</f>
        <v>6827.535</v>
      </c>
      <c r="R156" s="12">
        <f>'Inputs (2)'!M15</f>
        <v>6827.535</v>
      </c>
      <c r="S156" s="46">
        <f>'Inputs (2)'!N15</f>
        <v>3923.099</v>
      </c>
      <c r="T156" s="46">
        <f>'Inputs (2)'!O15</f>
        <v>2577.866</v>
      </c>
      <c r="U156" s="46">
        <f>'Inputs (2)'!P15</f>
        <v>2011.127</v>
      </c>
      <c r="V156" s="46">
        <f>'Inputs (2)'!Q15</f>
        <v>2998.752</v>
      </c>
      <c r="W156" s="12">
        <f>'Inputs (2)'!R15</f>
        <v>2998.752</v>
      </c>
      <c r="X156" s="46">
        <f>'Inputs (2)'!S15</f>
        <v>3211.286</v>
      </c>
      <c r="Y156" s="46">
        <f>'Inputs (2)'!T15</f>
        <v>3685.003</v>
      </c>
      <c r="Z156" s="46">
        <f>'Inputs (2)'!U15</f>
        <v>3975.719</v>
      </c>
      <c r="AA156" s="46">
        <f>'Inputs (2)'!V15</f>
        <v>4291.363</v>
      </c>
      <c r="AB156" s="12">
        <f>'Inputs (2)'!W15</f>
        <v>4291.363</v>
      </c>
      <c r="AC156" s="46">
        <f>'Inputs (2)'!X15</f>
        <v>3037.195</v>
      </c>
      <c r="AD156" s="46">
        <f>'Inputs (2)'!Y15</f>
        <v>3441.64</v>
      </c>
      <c r="AE156" s="46">
        <f>'Inputs (2)'!Z15</f>
        <v>3319.489</v>
      </c>
      <c r="AF156" s="46">
        <f>'Inputs (2)'!AA15</f>
        <v>6875.395</v>
      </c>
      <c r="AG156" s="12">
        <f>'Inputs (2)'!AB15</f>
        <v>6875.395</v>
      </c>
      <c r="AH156" s="12">
        <f>'Inputs (2)'!AC15</f>
        <v>8093.188</v>
      </c>
      <c r="AI156" s="12">
        <f>'Inputs (2)'!AD15</f>
        <v>7479.297</v>
      </c>
      <c r="AJ156" s="12">
        <f>AJ285-SUM(AJ157,AJ161,AJ165,AJ166,AJ167,AJ173,AJ178,AJ188,AJ191,AJ192,AJ201)</f>
        <v>7658.57517598317</v>
      </c>
      <c r="AK156" s="12">
        <f>AK285-SUM(AK157,AK161,AK165,AK166,AK167,AK173,AK178,AK188,AK191,AK192,AK201)</f>
        <v>8012.72666298334</v>
      </c>
      <c r="AL156" s="12">
        <f>AK156</f>
        <v>8012.72666298334</v>
      </c>
      <c r="AM156" s="12">
        <f>AM285-SUM(AM157,AM161,AM165,AM166,AM167,AM173,AM178,AM188,AM191,AM192,AM201)</f>
        <v>8620.69080046297</v>
      </c>
      <c r="AN156" s="12">
        <f>AN285-SUM(AN157,AN161,AN165,AN166,AN167,AN173,AN178,AN188,AN191,AN192,AN201)</f>
        <v>9027.55095871101</v>
      </c>
      <c r="AO156" s="12">
        <f>AO285-SUM(AO157,AO161,AO165,AO166,AO167,AO173,AO178,AO188,AO191,AO192,AO201)</f>
        <v>9700.8865959218</v>
      </c>
      <c r="AP156" s="12">
        <f>AP285-SUM(AP157,AP161,AP165,AP166,AP167,AP173,AP178,AP188,AP191,AP192,AP201)</f>
        <v>10086.7587002355</v>
      </c>
      <c r="AQ156" s="12">
        <f>AP156</f>
        <v>10086.7587002355</v>
      </c>
      <c r="AR156" s="12">
        <f>AR285-SUM(AR157,AR161,AR165,AR166,AR167,AR173,AR178,AR188,AR191,AR192,AR201)</f>
        <v>10692.909738522</v>
      </c>
      <c r="AS156" s="12">
        <f>AS285-SUM(AS157,AS161,AS165,AS166,AS167,AS173,AS178,AS188,AS191,AS192,AS201)</f>
        <v>11167.1629887132</v>
      </c>
      <c r="AT156" s="12">
        <f>AT285-SUM(AT157,AT161,AT165,AT166,AT167,AT173,AT178,AT188,AT191,AT192,AT201)</f>
        <v>11892.3467946466</v>
      </c>
      <c r="AU156" s="12">
        <f>AU285-SUM(AU157,AU161,AU165,AU166,AU167,AU173,AU178,AU188,AU191,AU192,AU201)</f>
        <v>12309.6788785662</v>
      </c>
      <c r="AV156" s="12">
        <f>AU156</f>
        <v>12309.6788785662</v>
      </c>
      <c r="AW156" s="12">
        <f>AW285-SUM(AW157,AW161,AW165,AW166,AW167,AW173,AW178,AW188,AW191,AW192,AW201)</f>
        <v>12981.8696541871</v>
      </c>
      <c r="AX156" s="12">
        <f>AX285-SUM(AX157,AX161,AX165,AX166,AX167,AX173,AX178,AX188,AX191,AX192,AX201)</f>
        <v>13454.4734242577</v>
      </c>
      <c r="AY156" s="12">
        <f>AY285-SUM(AY157,AY161,AY165,AY166,AY167,AY173,AY178,AY188,AY191,AY192,AY201)</f>
        <v>14231.8448759778</v>
      </c>
      <c r="AZ156" s="12">
        <f>AZ285-SUM(AZ157,AZ161,AZ165,AZ166,AZ167,AZ173,AZ178,AZ188,AZ191,AZ192,AZ201)</f>
        <v>14681.0299274263</v>
      </c>
      <c r="BA156" s="12">
        <f>AZ156</f>
        <v>14681.0299274263</v>
      </c>
      <c r="BB156" s="12">
        <f>BB285-SUM(BB157,BB161,BB165,BB166,BB167,BB173,BB178,BB188,BB191,BB192,BB201)</f>
        <v>15382.3117730253</v>
      </c>
      <c r="BC156" s="12">
        <f>BC285-SUM(BC157,BC161,BC165,BC166,BC167,BC173,BC178,BC188,BC191,BC192,BC201)</f>
        <v>15887.9341451864</v>
      </c>
      <c r="BD156" s="12">
        <f>BD285-SUM(BD157,BD161,BD165,BD166,BD167,BD173,BD178,BD188,BD191,BD192,BD201)</f>
        <v>16717.1325211935</v>
      </c>
      <c r="BE156" s="12">
        <f>BE285-SUM(BE157,BE161,BE165,BE166,BE167,BE173,BE178,BE188,BE191,BE192,BE201)</f>
        <v>17198.0530324587</v>
      </c>
      <c r="BF156" s="12">
        <f>BE156</f>
        <v>17198.0530324587</v>
      </c>
      <c r="BG156" s="12" t="n"/>
      <c r="BH156" s="12" t="n"/>
      <c r="BI156" s="12" t="n"/>
      <c r="BJ156" s="12" t="n"/>
      <c r="BK156" s="12" t="n"/>
      <c r="BL156" s="12" t="n"/>
      <c r="BM156" s="12" t="n"/>
      <c r="BN156" s="12" t="n"/>
      <c r="BO156" s="12" t="n"/>
      <c r="BP156" s="12" t="n"/>
      <c r="BQ156" s="12" t="n"/>
      <c r="BR156" s="12" t="n"/>
      <c r="BS156" s="12" t="n"/>
      <c r="BT156" s="12" t="n"/>
      <c r="BU156" s="12" t="n"/>
      <c r="BV156" s="12" t="n"/>
      <c r="BW156" s="12" t="n"/>
      <c r="BX156" s="12" t="n"/>
      <c r="BY156" s="12" t="n"/>
      <c r="BZ156" s="12" t="n"/>
      <c r="CA156" s="12" t="n"/>
      <c r="CB156" s="12" t="n"/>
      <c r="CC156" s="12" t="n"/>
      <c r="CD156" s="12" t="n"/>
      <c r="CE156" s="12" t="n"/>
      <c r="CF156" s="12" t="n"/>
      <c r="CG156" s="12" t="n"/>
      <c r="CH156" s="12" t="n"/>
      <c r="CI156" s="12" t="n"/>
      <c r="CJ156" s="12" t="n"/>
      <c r="CK156" s="12" t="n"/>
      <c r="CL156" s="12" t="n"/>
      <c r="CM156" s="12" t="n"/>
      <c r="CN156" s="12" t="n"/>
      <c r="CO156" s="12" t="n"/>
      <c r="CP156" s="12" t="n"/>
      <c r="CQ156" s="12" t="n"/>
      <c r="CR156" s="12" t="n"/>
      <c r="CS156" s="12" t="n"/>
      <c r="CT156" s="12" t="n"/>
      <c r="CU156" s="12" t="n"/>
      <c r="CV156" s="12" t="n"/>
      <c r="CW156" s="12" t="n"/>
      <c r="CX156" s="12" t="n"/>
      <c r="CY156" s="12" t="n"/>
    </row>
    <row r="157">
      <c r="C157" s="14" t="inlineStr">
        <is>
          <t>Accounts receivable</t>
        </is>
      </c>
      <c r="D157" s="46" t="n"/>
      <c r="E157" s="46" t="n"/>
      <c r="F157" s="46" t="n"/>
      <c r="G157" s="46" t="n"/>
      <c r="H157" s="12" t="n"/>
      <c r="I157" s="46">
        <f>'Inputs (2)'!D16</f>
        <v>450.38</v>
      </c>
      <c r="J157" s="46">
        <f>'Inputs (2)'!E16</f>
        <v>553.695</v>
      </c>
      <c r="K157" s="46">
        <f>'Inputs (2)'!F16</f>
        <v>634.363</v>
      </c>
      <c r="L157" s="46">
        <f>'Inputs (2)'!G16</f>
        <v>887.067</v>
      </c>
      <c r="M157" s="12">
        <f>'Inputs (2)'!H16</f>
        <v>887.067</v>
      </c>
      <c r="N157" s="46">
        <f>'Inputs (2)'!I16</f>
        <v>1077.835</v>
      </c>
      <c r="O157" s="46">
        <f>'Inputs (2)'!J16</f>
        <v>1285.905</v>
      </c>
      <c r="P157" s="46">
        <f>'Inputs (2)'!K16</f>
        <v>1046.048</v>
      </c>
      <c r="Q157" s="46">
        <f>'Inputs (2)'!L16</f>
        <v>1175.734</v>
      </c>
      <c r="R157" s="12">
        <f>'Inputs (2)'!M16</f>
        <v>1175.734</v>
      </c>
      <c r="S157" s="46">
        <f>'Inputs (2)'!N16</f>
        <v>1027.01</v>
      </c>
      <c r="T157" s="46">
        <f>'Inputs (2)'!O16</f>
        <v>1100.969</v>
      </c>
      <c r="U157" s="46">
        <f>'Inputs (2)'!P16</f>
        <v>1312.302</v>
      </c>
      <c r="V157" s="46">
        <f>'Inputs (2)'!Q16</f>
        <v>1345.413</v>
      </c>
      <c r="W157" s="12">
        <f>'Inputs (2)'!R16</f>
        <v>1345.413</v>
      </c>
      <c r="X157" s="46">
        <f>'Inputs (2)'!S16</f>
        <v>1542.65</v>
      </c>
      <c r="Y157" s="46">
        <f>'Inputs (2)'!T16</f>
        <v>1684.031</v>
      </c>
      <c r="Z157" s="46">
        <f>'Inputs (2)'!U16</f>
        <v>1736.984</v>
      </c>
      <c r="AA157" s="46">
        <f>'Inputs (2)'!V16</f>
        <v>1441.696</v>
      </c>
      <c r="AB157" s="12">
        <f>'Inputs (2)'!W16</f>
        <v>1441.696</v>
      </c>
      <c r="AC157" s="46">
        <f>'Inputs (2)'!X16</f>
        <v>2193.313</v>
      </c>
      <c r="AD157" s="46">
        <f>'Inputs (2)'!Y16</f>
        <v>2186.188</v>
      </c>
      <c r="AE157" s="46">
        <f>'Inputs (2)'!Z16</f>
        <v>2216.549</v>
      </c>
      <c r="AF157" s="46">
        <f>'Inputs (2)'!AA16</f>
        <v>1989.681</v>
      </c>
      <c r="AG157" s="12">
        <f>'Inputs (2)'!AB16</f>
        <v>1989.681</v>
      </c>
      <c r="AH157" s="12">
        <f>'Inputs (2)'!AC16</f>
        <v>2184.584</v>
      </c>
      <c r="AI157" s="12">
        <f>'Inputs (2)'!AD16</f>
        <v>2309.874</v>
      </c>
      <c r="AJ157" s="12">
        <f>(AJ158/(AJ$5-AI$5))*AJ$15</f>
        <v>2360.25048788548</v>
      </c>
      <c r="AK157" s="12">
        <f>(AK158/(AK$5-AJ$5))*AK$15</f>
        <v>2293.27082797439</v>
      </c>
      <c r="AL157" s="12">
        <f>AK157</f>
        <v>2293.27082797439</v>
      </c>
      <c r="AM157" s="12">
        <f>(AM158/(AM$5-AL$5))*AM$15</f>
        <v>2422.18382244692</v>
      </c>
      <c r="AN157" s="12">
        <f>(AN158/(AN$5-AM$5))*AN$15</f>
        <v>2386.1792005913</v>
      </c>
      <c r="AO157" s="12">
        <f>(AO158/(AO$5-AN$5))*AO$15</f>
        <v>2540.6873948364</v>
      </c>
      <c r="AP157" s="12">
        <f>(AP158/(AP$5-AO$5))*AP$15</f>
        <v>2468.5872603295</v>
      </c>
      <c r="AQ157" s="12">
        <f>AP157</f>
        <v>2468.5872603295</v>
      </c>
      <c r="AR157" s="12">
        <f>(AR158/(AR$5-AQ$5))*AR$15</f>
        <v>2566.72533202402</v>
      </c>
      <c r="AS157" s="12">
        <f>(AS158/(AS$5-AR$5))*AS$15</f>
        <v>2556.66741501549</v>
      </c>
      <c r="AT157" s="12">
        <f>(AT158/(AT$5-AS$5))*AT$15</f>
        <v>2722.21494199144</v>
      </c>
      <c r="AU157" s="12">
        <f>(AU158/(AU$5-AT$5))*AU$15</f>
        <v>2644.96338248311</v>
      </c>
      <c r="AV157" s="12">
        <f>AU157</f>
        <v>2644.96338248311</v>
      </c>
      <c r="AW157" s="12">
        <f>(AW158/(AW$5-AV$5))*AW$15</f>
        <v>2767.69383428369</v>
      </c>
      <c r="AX157" s="12">
        <f>(AX158/(AX$5-AW$5))*AX$15</f>
        <v>2726.55336881115</v>
      </c>
      <c r="AY157" s="12">
        <f>(AY158/(AY$5-AX$5))*AY$15</f>
        <v>2903.10123136209</v>
      </c>
      <c r="AZ157" s="12">
        <f>(AZ158/(AZ$5-AY$5))*AZ$15</f>
        <v>2820.71644459385</v>
      </c>
      <c r="BA157" s="12">
        <f>AZ157</f>
        <v>2820.71644459385</v>
      </c>
      <c r="BB157" s="12">
        <f>(BB158/(BB$5-BA$5))*BB$15</f>
        <v>2937.76364512169</v>
      </c>
      <c r="BC157" s="12">
        <f>(BC158/(BC$5-BB$5))*BC$15</f>
        <v>2894.09517200105</v>
      </c>
      <c r="BD157" s="12">
        <f>(BD158/(BD$5-BC$5))*BD$15</f>
        <v>3081.4915833387</v>
      </c>
      <c r="BE157" s="12">
        <f>(BE158/(BE$5-BD$5))*BE$15</f>
        <v>2994.04439952059</v>
      </c>
      <c r="BF157" s="12">
        <f>BE157</f>
        <v>2994.04439952059</v>
      </c>
      <c r="BG157" s="12" t="n"/>
      <c r="BH157" s="12" t="n"/>
      <c r="BI157" s="12" t="n"/>
      <c r="BJ157" s="12" t="n"/>
      <c r="BK157" s="12" t="n"/>
      <c r="BL157" s="12" t="n"/>
      <c r="BM157" s="12" t="n"/>
      <c r="BN157" s="12" t="n"/>
      <c r="BO157" s="12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  <c r="CA157" s="12" t="n"/>
      <c r="CB157" s="12" t="n"/>
      <c r="CC157" s="12" t="n"/>
      <c r="CD157" s="12" t="n"/>
      <c r="CE157" s="12" t="n"/>
      <c r="CF157" s="12" t="n"/>
      <c r="CG157" s="12" t="n"/>
      <c r="CH157" s="12" t="n"/>
      <c r="CI157" s="12" t="n"/>
      <c r="CJ157" s="12" t="n"/>
      <c r="CK157" s="12" t="n"/>
      <c r="CL157" s="12" t="n"/>
      <c r="CM157" s="12" t="n"/>
      <c r="CN157" s="12" t="n"/>
      <c r="CO157" s="12" t="n"/>
      <c r="CP157" s="12" t="n"/>
      <c r="CQ157" s="12" t="n"/>
      <c r="CR157" s="12" t="n"/>
      <c r="CS157" s="12" t="n"/>
      <c r="CT157" s="12" t="n"/>
      <c r="CU157" s="12" t="n"/>
      <c r="CV157" s="12" t="n"/>
      <c r="CW157" s="12" t="n"/>
      <c r="CX157" s="12" t="n"/>
      <c r="CY157" s="12" t="n"/>
    </row>
    <row r="158" hidden="1" outlineLevel="1">
      <c r="C158" s="57" t="inlineStr">
        <is>
          <t>DSO</t>
        </is>
      </c>
      <c r="D158" s="12" t="n"/>
      <c r="E158" s="12" t="n"/>
      <c r="F158" s="12" t="n"/>
      <c r="G158" s="12" t="n"/>
      <c r="H158" s="12" t="n"/>
      <c r="I158" s="12">
        <f>IFERROR((I157/I$15)*(I$5-H$5),"")</f>
        <v>53.5068219739371</v>
      </c>
      <c r="J158" s="12">
        <f>IFERROR((J157/J$15)*(J$5-I$5),"")</f>
        <v>43.2371915612973</v>
      </c>
      <c r="K158" s="12">
        <f>IFERROR((K157/K$15)*(K$5-J$5),"")</f>
        <v>38.368494407906</v>
      </c>
      <c r="L158" s="12">
        <f>IFERROR((L157/L$15)*(L$5-K$5),"")</f>
        <v>48.3167693368817</v>
      </c>
      <c r="M158" s="12" t="n"/>
      <c r="N158" s="12">
        <f>IFERROR((N157/N$15)*(N$5-M$5),"")</f>
        <v>50.9037827898725</v>
      </c>
      <c r="O158" s="12">
        <f>IFERROR((O157/O$15)*(O$5-N$5),"")</f>
        <v>52.4508178424665</v>
      </c>
      <c r="P158" s="12">
        <f>IFERROR((P157/P$15)*(P$5-O$5),"")</f>
        <v>37.9351892730552</v>
      </c>
      <c r="Q158" s="12">
        <f>IFERROR((Q157/Q$15)*(Q$5-P$5),"")</f>
        <v>41.1810587927586</v>
      </c>
      <c r="R158" s="12" t="n"/>
      <c r="S158" s="12">
        <f>IFERROR((S157/S$15)*(S$5-R$5),"")</f>
        <v>34.1930655673301</v>
      </c>
      <c r="T158" s="12">
        <f>IFERROR((T157/T$15)*(T$5-S$5),"")</f>
        <v>40.4124080731091</v>
      </c>
      <c r="U158" s="12">
        <f>IFERROR((U157/U$15)*(U$5-T$5),"")</f>
        <v>45.2820037356257</v>
      </c>
      <c r="V158" s="12">
        <f>IFERROR((V157/V$15)*(V$5-U$5),"")</f>
        <v>49.6413779495349</v>
      </c>
      <c r="W158" s="12" t="n"/>
      <c r="X158" s="12">
        <f>IFERROR((X157/X$15)*(X$5-W$5),"")</f>
        <v>46.4585030807712</v>
      </c>
      <c r="Y158" s="12">
        <f>IFERROR((Y157/Y$15)*(Y$5-X$5),"")</f>
        <v>44.6054961514773</v>
      </c>
      <c r="Z158" s="12">
        <f>IFERROR((Z157/Z$15)*(Z$5-Y$5),"")</f>
        <v>42.3221090590127</v>
      </c>
      <c r="AA158" s="12">
        <f>IFERROR((AA157/AA$15)*(AA$5-Z$5),"")</f>
        <v>40.8342429260655</v>
      </c>
      <c r="AB158" s="12" t="n"/>
      <c r="AC158" s="12">
        <f>IFERROR((AC157/AC$15)*(AC$5-AB$5),"")</f>
        <v>55.3210176134897</v>
      </c>
      <c r="AD158" s="12">
        <f>IFERROR((AD157/AD$15)*(AD$5-AC$5),"")</f>
        <v>54.0752333646643</v>
      </c>
      <c r="AE158" s="12">
        <f>IFERROR((AE157/AE$15)*(AE$5-AD$5),"")</f>
        <v>54.1505601800181</v>
      </c>
      <c r="AF158" s="11">
        <f>IFERROR((AF157/AF$15)*(AF$5-AE$5),"")</f>
        <v>50.0278477574143</v>
      </c>
      <c r="AG158" s="12" t="n"/>
      <c r="AH158" s="11">
        <f>IFERROR((AH157/AH$15)*(AH$5-AG$5),"")</f>
        <v>52.0050313695553</v>
      </c>
      <c r="AI158" s="11">
        <f>IFERROR((AI157/AI$15)*(AI$5-AH$5),"")</f>
        <v>55.8173158157901</v>
      </c>
      <c r="AJ158" s="11">
        <f>Control!$B$25</f>
        <v>53.5661676834886</v>
      </c>
      <c r="AK158" s="11">
        <f>Control!$B$25</f>
        <v>53.5661676834886</v>
      </c>
      <c r="AL158" s="12" t="n"/>
      <c r="AM158" s="11">
        <f>Control!$C$25</f>
        <v>53.5661676834886</v>
      </c>
      <c r="AN158" s="11">
        <f>Control!$C$25</f>
        <v>53.5661676834886</v>
      </c>
      <c r="AO158" s="11">
        <f>Control!$C$25</f>
        <v>53.5661676834886</v>
      </c>
      <c r="AP158" s="11">
        <f>Control!$C$25</f>
        <v>53.5661676834886</v>
      </c>
      <c r="AQ158" s="12" t="n"/>
      <c r="AR158" s="11">
        <f>Control!$D$25</f>
        <v>53.5661676834886</v>
      </c>
      <c r="AS158" s="11">
        <f>Control!$D$25</f>
        <v>53.5661676834886</v>
      </c>
      <c r="AT158" s="11">
        <f>Control!$D$25</f>
        <v>53.5661676834886</v>
      </c>
      <c r="AU158" s="11">
        <f>Control!$D$25</f>
        <v>53.5661676834886</v>
      </c>
      <c r="AV158" s="12" t="n"/>
      <c r="AW158" s="11">
        <f>Control!$E$25</f>
        <v>53.5661676834886</v>
      </c>
      <c r="AX158" s="11">
        <f>Control!$E$25</f>
        <v>53.5661676834886</v>
      </c>
      <c r="AY158" s="11">
        <f>Control!$E$25</f>
        <v>53.5661676834886</v>
      </c>
      <c r="AZ158" s="11">
        <f>Control!$E$25</f>
        <v>53.5661676834886</v>
      </c>
      <c r="BA158" s="12" t="n"/>
      <c r="BB158" s="11">
        <f>Control!$F$25</f>
        <v>53.5661676834886</v>
      </c>
      <c r="BC158" s="11">
        <f>Control!$F$25</f>
        <v>53.5661676834886</v>
      </c>
      <c r="BD158" s="11">
        <f>Control!$F$25</f>
        <v>53.5661676834886</v>
      </c>
      <c r="BE158" s="11">
        <f>Control!$F$25</f>
        <v>53.5661676834886</v>
      </c>
      <c r="BF158" s="12" t="n"/>
      <c r="BG158" s="11" t="n"/>
      <c r="BH158" s="11" t="n"/>
      <c r="BI158" s="11" t="n"/>
      <c r="BJ158" s="11" t="n"/>
      <c r="BK158" s="12" t="n"/>
      <c r="BL158" s="11" t="n"/>
      <c r="BM158" s="11" t="n"/>
      <c r="BN158" s="11" t="n"/>
      <c r="BO158" s="11" t="n"/>
      <c r="BP158" s="12" t="n"/>
      <c r="BQ158" s="11" t="n"/>
      <c r="BR158" s="11" t="n"/>
      <c r="BS158" s="11" t="n"/>
      <c r="BT158" s="11" t="n"/>
      <c r="BU158" s="12" t="n"/>
      <c r="BV158" s="11" t="n"/>
      <c r="BW158" s="11" t="n"/>
      <c r="BX158" s="11" t="n"/>
      <c r="BY158" s="11" t="n"/>
      <c r="BZ158" s="12" t="n"/>
      <c r="CA158" s="11" t="n"/>
      <c r="CB158" s="11" t="n"/>
      <c r="CC158" s="11" t="n"/>
      <c r="CD158" s="11" t="n"/>
      <c r="CE158" s="12" t="n"/>
      <c r="CF158" s="11" t="n"/>
      <c r="CG158" s="11" t="n"/>
      <c r="CH158" s="11" t="n"/>
      <c r="CI158" s="11" t="n"/>
      <c r="CJ158" s="12" t="n"/>
      <c r="CK158" s="11" t="n"/>
      <c r="CL158" s="11" t="n"/>
      <c r="CM158" s="11" t="n"/>
      <c r="CN158" s="11" t="n"/>
      <c r="CO158" s="12" t="n"/>
      <c r="CP158" s="11" t="n"/>
      <c r="CQ158" s="11" t="n"/>
      <c r="CR158" s="11" t="n"/>
      <c r="CS158" s="11" t="n"/>
      <c r="CT158" s="12" t="n"/>
      <c r="CU158" s="11" t="n"/>
      <c r="CV158" s="11" t="n"/>
      <c r="CW158" s="11" t="n"/>
      <c r="CX158" s="11" t="n"/>
      <c r="CY158" s="12" t="n"/>
    </row>
    <row r="159" hidden="1" outlineLevel="1">
      <c r="C159" s="57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2" t="n"/>
      <c r="CY159" s="12" t="n"/>
    </row>
    <row r="160" hidden="1" outlineLevel="1">
      <c r="C160" s="57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2" t="n"/>
      <c r="CY160" s="12" t="n"/>
    </row>
    <row r="161" collapsed="1">
      <c r="C161" s="14" t="inlineStr">
        <is>
          <t>Inventories</t>
        </is>
      </c>
      <c r="D161" s="46" t="n"/>
      <c r="E161" s="46" t="n"/>
      <c r="F161" s="46" t="n"/>
      <c r="G161" s="46" t="n"/>
      <c r="H161" s="12" t="n"/>
      <c r="I161" s="46">
        <f>'Inputs (2)'!D17</f>
        <v>0</v>
      </c>
      <c r="J161" s="46">
        <f>'Inputs (2)'!E17</f>
        <v>0</v>
      </c>
      <c r="K161" s="46">
        <f>'Inputs (2)'!F17</f>
        <v>0</v>
      </c>
      <c r="L161" s="46">
        <f>'Inputs (2)'!G17</f>
        <v>0</v>
      </c>
      <c r="M161" s="12">
        <f>'Inputs (2)'!H17</f>
        <v>0</v>
      </c>
      <c r="N161" s="46">
        <f>'Inputs (2)'!I17</f>
        <v>0</v>
      </c>
      <c r="O161" s="46">
        <f>'Inputs (2)'!J17</f>
        <v>0</v>
      </c>
      <c r="P161" s="46">
        <f>'Inputs (2)'!K17</f>
        <v>0</v>
      </c>
      <c r="Q161" s="46">
        <f>'Inputs (2)'!L17</f>
        <v>0</v>
      </c>
      <c r="R161" s="12">
        <f>'Inputs (2)'!M17</f>
        <v>0</v>
      </c>
      <c r="S161" s="46">
        <f>'Inputs (2)'!N17</f>
        <v>0</v>
      </c>
      <c r="T161" s="46">
        <f>'Inputs (2)'!O17</f>
        <v>0</v>
      </c>
      <c r="U161" s="46">
        <f>'Inputs (2)'!P17</f>
        <v>0</v>
      </c>
      <c r="V161" s="46">
        <f>'Inputs (2)'!Q17</f>
        <v>0</v>
      </c>
      <c r="W161" s="12">
        <f>'Inputs (2)'!R17</f>
        <v>0</v>
      </c>
      <c r="X161" s="46">
        <f>'Inputs (2)'!S17</f>
        <v>0</v>
      </c>
      <c r="Y161" s="46">
        <f>'Inputs (2)'!T17</f>
        <v>0</v>
      </c>
      <c r="Z161" s="46">
        <f>'Inputs (2)'!U17</f>
        <v>0</v>
      </c>
      <c r="AA161" s="46">
        <f>'Inputs (2)'!V17</f>
        <v>0</v>
      </c>
      <c r="AB161" s="12">
        <f>'Inputs (2)'!W17</f>
        <v>0</v>
      </c>
      <c r="AC161" s="46">
        <f>'Inputs (2)'!X17</f>
        <v>0</v>
      </c>
      <c r="AD161" s="46">
        <f>'Inputs (2)'!Y17</f>
        <v>0</v>
      </c>
      <c r="AE161" s="46">
        <f>'Inputs (2)'!Z17</f>
        <v>0</v>
      </c>
      <c r="AF161" s="46">
        <f>'Inputs (2)'!AA17</f>
        <v>0</v>
      </c>
      <c r="AG161" s="12">
        <f>'Inputs (2)'!AB17</f>
        <v>0</v>
      </c>
      <c r="AH161" s="12">
        <f>'Inputs (2)'!AC17</f>
        <v>0</v>
      </c>
      <c r="AI161" s="12">
        <f>'Inputs (2)'!AD17</f>
        <v>0</v>
      </c>
      <c r="AJ161" s="12">
        <f>(AJ162/(AJ$5-AI$5))*-AJ$66</f>
        <v>0</v>
      </c>
      <c r="AK161" s="12">
        <f>(AK162/(AK$5-AJ$5))*-AK$66</f>
        <v>0</v>
      </c>
      <c r="AL161" s="12">
        <f>AK161</f>
        <v>0</v>
      </c>
      <c r="AM161" s="12">
        <f>(AM162/(AM$5-AL$5))*-AM$66</f>
        <v>0</v>
      </c>
      <c r="AN161" s="12">
        <f>(AN162/(AN$5-AM$5))*-AN$66</f>
        <v>0</v>
      </c>
      <c r="AO161" s="12">
        <f>(AO162/(AO$5-AN$5))*-AO$66</f>
        <v>0</v>
      </c>
      <c r="AP161" s="12">
        <f>(AP162/(AP$5-AO$5))*-AP$66</f>
        <v>0</v>
      </c>
      <c r="AQ161" s="12">
        <f>AP161</f>
        <v>0</v>
      </c>
      <c r="AR161" s="12">
        <f>(AR162/(AR$5-AQ$5))*-AR$66</f>
        <v>0</v>
      </c>
      <c r="AS161" s="12">
        <f>(AS162/(AS$5-AR$5))*-AS$66</f>
        <v>0</v>
      </c>
      <c r="AT161" s="12">
        <f>(AT162/(AT$5-AS$5))*-AT$66</f>
        <v>0</v>
      </c>
      <c r="AU161" s="12">
        <f>(AU162/(AU$5-AT$5))*-AU$66</f>
        <v>0</v>
      </c>
      <c r="AV161" s="12">
        <f>AU161</f>
        <v>0</v>
      </c>
      <c r="AW161" s="12">
        <f>(AW162/(AW$5-AV$5))*-AW$66</f>
        <v>0</v>
      </c>
      <c r="AX161" s="12">
        <f>(AX162/(AX$5-AW$5))*-AX$66</f>
        <v>0</v>
      </c>
      <c r="AY161" s="12">
        <f>(AY162/(AY$5-AX$5))*-AY$66</f>
        <v>0</v>
      </c>
      <c r="AZ161" s="12">
        <f>(AZ162/(AZ$5-AY$5))*-AZ$66</f>
        <v>0</v>
      </c>
      <c r="BA161" s="12">
        <f>AZ161</f>
        <v>0</v>
      </c>
      <c r="BB161" s="12">
        <f>(BB162/(BB$5-BA$5))*-BB$66</f>
        <v>0</v>
      </c>
      <c r="BC161" s="12">
        <f>(BC162/(BC$5-BB$5))*-BC$66</f>
        <v>0</v>
      </c>
      <c r="BD161" s="12">
        <f>(BD162/(BD$5-BC$5))*-BD$66</f>
        <v>0</v>
      </c>
      <c r="BE161" s="12">
        <f>(BE162/(BE$5-BD$5))*-BE$66</f>
        <v>0</v>
      </c>
      <c r="BF161" s="12">
        <f>BE161</f>
        <v>0</v>
      </c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  <c r="CR161" s="12" t="n"/>
      <c r="CS161" s="12" t="n"/>
      <c r="CT161" s="12" t="n"/>
      <c r="CU161" s="12" t="n"/>
      <c r="CV161" s="12" t="n"/>
      <c r="CW161" s="12" t="n"/>
      <c r="CX161" s="12" t="n"/>
      <c r="CY161" s="12" t="n"/>
    </row>
    <row r="162" hidden="1" outlineLevel="1">
      <c r="C162" s="57" t="inlineStr">
        <is>
          <t>DIO</t>
        </is>
      </c>
      <c r="D162" s="12" t="n"/>
      <c r="E162" s="12" t="n"/>
      <c r="F162" s="12" t="n"/>
      <c r="G162" s="12" t="n"/>
      <c r="H162" s="12" t="n"/>
      <c r="I162" s="12">
        <f>IFERROR(((I161/I$66)*(I$5-H$5))*-1,"")</f>
        <v>0</v>
      </c>
      <c r="J162" s="12">
        <f>IFERROR(((J161/J$66)*(J$5-I$5))*-1,"")</f>
        <v>0</v>
      </c>
      <c r="K162" s="12">
        <f>IFERROR(((K161/K$66)*(K$5-J$5))*-1,"")</f>
        <v>0</v>
      </c>
      <c r="L162" s="12">
        <f>IFERROR(((L161/L$66)*(L$5-K$5))*-1,"")</f>
        <v>0</v>
      </c>
      <c r="M162" s="12" t="n"/>
      <c r="N162" s="12">
        <f>IFERROR(((N161/N$66)*(N$5-M$5))*-1,"")</f>
        <v>0</v>
      </c>
      <c r="O162" s="12">
        <f>IFERROR(((O161/O$66)*(O$5-N$5))*-1,"")</f>
        <v>0</v>
      </c>
      <c r="P162" s="12">
        <f>IFERROR(((P161/P$66)*(P$5-O$5))*-1,"")</f>
        <v>0</v>
      </c>
      <c r="Q162" s="12">
        <f>IFERROR(((Q161/Q$66)*(Q$5-P$5))*-1,"")</f>
        <v>0</v>
      </c>
      <c r="R162" s="12" t="n"/>
      <c r="S162" s="12">
        <f>IFERROR(((S161/S$66)*(S$5-R$5))*-1,"")</f>
        <v>0</v>
      </c>
      <c r="T162" s="12">
        <f>IFERROR(((T161/T$66)*(T$5-S$5))*-1,"")</f>
        <v>0</v>
      </c>
      <c r="U162" s="12">
        <f>IFERROR(((U161/U$66)*(U$5-T$5))*-1,"")</f>
        <v>0</v>
      </c>
      <c r="V162" s="12">
        <f>IFERROR(((V161/V$66)*(V$5-U$5))*-1,"")</f>
        <v>0</v>
      </c>
      <c r="W162" s="12" t="n"/>
      <c r="X162" s="12">
        <f>IFERROR(((X161/X$66)*(X$5-W$5))*-1,"")</f>
        <v>0</v>
      </c>
      <c r="Y162" s="12">
        <f>IFERROR(((Y161/Y$66)*(Y$5-X$5))*-1,"")</f>
        <v>0</v>
      </c>
      <c r="Z162" s="12">
        <f>IFERROR(((Z161/Z$66)*(Z$5-Y$5))*-1,"")</f>
        <v>0</v>
      </c>
      <c r="AA162" s="12">
        <f>IFERROR(((AA161/AA$66)*(AA$5-Z$5))*-1,"")</f>
        <v>0</v>
      </c>
      <c r="AB162" s="12" t="n"/>
      <c r="AC162" s="12">
        <f>IFERROR(((AC161/AC$66)*(AC$5-AB$5))*-1,"")</f>
        <v>0</v>
      </c>
      <c r="AD162" s="12">
        <f>IFERROR(((AD161/AD$66)*(AD$5-AC$5))*-1,"")</f>
        <v>0</v>
      </c>
      <c r="AE162" s="12">
        <f>IFERROR(((AE161/AE$66)*(AE$5-AD$5))*-1,"")</f>
        <v>0</v>
      </c>
      <c r="AF162" s="11">
        <f>IFERROR(((AF161/AF$66)*(AF$5-AE$5))*-1,"")</f>
        <v>0</v>
      </c>
      <c r="AG162" s="12" t="n"/>
      <c r="AH162" s="11">
        <f>IFERROR(((AH161/AH$66)*(AH$5-AG$5))*-1,"")</f>
        <v>0</v>
      </c>
      <c r="AI162" s="11">
        <f>IFERROR(((AI161/AI$66)*(AI$5-AH$5))*-1,"")</f>
        <v>0</v>
      </c>
      <c r="AJ162" s="11">
        <f>Control!$B$26</f>
        <v>0</v>
      </c>
      <c r="AK162" s="11">
        <f>Control!$B$26</f>
        <v>0</v>
      </c>
      <c r="AL162" s="12" t="n"/>
      <c r="AM162" s="11">
        <f>Control!$C$26</f>
        <v>0</v>
      </c>
      <c r="AN162" s="11">
        <f>Control!$C$26</f>
        <v>0</v>
      </c>
      <c r="AO162" s="11">
        <f>Control!$C$26</f>
        <v>0</v>
      </c>
      <c r="AP162" s="11">
        <f>Control!$C$26</f>
        <v>0</v>
      </c>
      <c r="AQ162" s="12" t="n"/>
      <c r="AR162" s="11">
        <f>Control!$D$26</f>
        <v>0</v>
      </c>
      <c r="AS162" s="11">
        <f>Control!$D$26</f>
        <v>0</v>
      </c>
      <c r="AT162" s="11">
        <f>Control!$D$26</f>
        <v>0</v>
      </c>
      <c r="AU162" s="11">
        <f>Control!$D$26</f>
        <v>0</v>
      </c>
      <c r="AV162" s="12" t="n"/>
      <c r="AW162" s="11">
        <f>Control!$E$26</f>
        <v>0</v>
      </c>
      <c r="AX162" s="11">
        <f>Control!$E$26</f>
        <v>0</v>
      </c>
      <c r="AY162" s="11">
        <f>Control!$E$26</f>
        <v>0</v>
      </c>
      <c r="AZ162" s="11">
        <f>Control!$E$26</f>
        <v>0</v>
      </c>
      <c r="BA162" s="12" t="n"/>
      <c r="BB162" s="11">
        <f>Control!$F$26</f>
        <v>0</v>
      </c>
      <c r="BC162" s="11">
        <f>Control!$F$26</f>
        <v>0</v>
      </c>
      <c r="BD162" s="11">
        <f>Control!$F$26</f>
        <v>0</v>
      </c>
      <c r="BE162" s="11">
        <f>Control!$F$26</f>
        <v>0</v>
      </c>
      <c r="BF162" s="12" t="n"/>
      <c r="BG162" s="11" t="n"/>
      <c r="BH162" s="11" t="n"/>
      <c r="BI162" s="11" t="n"/>
      <c r="BJ162" s="11" t="n"/>
      <c r="BK162" s="12" t="n"/>
      <c r="BL162" s="11" t="n"/>
      <c r="BM162" s="11" t="n"/>
      <c r="BN162" s="11" t="n"/>
      <c r="BO162" s="11" t="n"/>
      <c r="BP162" s="12" t="n"/>
      <c r="BQ162" s="11" t="n"/>
      <c r="BR162" s="11" t="n"/>
      <c r="BS162" s="11" t="n"/>
      <c r="BT162" s="11" t="n"/>
      <c r="BU162" s="12" t="n"/>
      <c r="BV162" s="11" t="n"/>
      <c r="BW162" s="11" t="n"/>
      <c r="BX162" s="11" t="n"/>
      <c r="BY162" s="11" t="n"/>
      <c r="BZ162" s="12" t="n"/>
      <c r="CA162" s="11" t="n"/>
      <c r="CB162" s="11" t="n"/>
      <c r="CC162" s="11" t="n"/>
      <c r="CD162" s="11" t="n"/>
      <c r="CE162" s="12" t="n"/>
      <c r="CF162" s="11" t="n"/>
      <c r="CG162" s="11" t="n"/>
      <c r="CH162" s="11" t="n"/>
      <c r="CI162" s="11" t="n"/>
      <c r="CJ162" s="12" t="n"/>
      <c r="CK162" s="11" t="n"/>
      <c r="CL162" s="11" t="n"/>
      <c r="CM162" s="11" t="n"/>
      <c r="CN162" s="11" t="n"/>
      <c r="CO162" s="12" t="n"/>
      <c r="CP162" s="11" t="n"/>
      <c r="CQ162" s="11" t="n"/>
      <c r="CR162" s="11" t="n"/>
      <c r="CS162" s="11" t="n"/>
      <c r="CT162" s="12" t="n"/>
      <c r="CU162" s="11" t="n"/>
      <c r="CV162" s="11" t="n"/>
      <c r="CW162" s="11" t="n"/>
      <c r="CX162" s="11" t="n"/>
      <c r="CY162" s="12" t="n"/>
    </row>
    <row r="163" hidden="1" outlineLevel="1">
      <c r="C163" s="57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  <c r="AP163" s="12" t="n"/>
      <c r="AQ163" s="12" t="n"/>
      <c r="AR163" s="12" t="n"/>
      <c r="AS163" s="12" t="n"/>
      <c r="AT163" s="12" t="n"/>
      <c r="AU163" s="12" t="n"/>
      <c r="AV163" s="12" t="n"/>
      <c r="AW163" s="12" t="n"/>
      <c r="AX163" s="12" t="n"/>
      <c r="AY163" s="12" t="n"/>
      <c r="AZ163" s="12" t="n"/>
      <c r="BA163" s="12" t="n"/>
      <c r="BB163" s="12" t="n"/>
      <c r="BC163" s="12" t="n"/>
      <c r="BD163" s="12" t="n"/>
      <c r="BE163" s="12" t="n"/>
      <c r="BF163" s="12" t="n"/>
      <c r="BG163" s="12" t="n"/>
      <c r="BH163" s="12" t="n"/>
      <c r="BI163" s="12" t="n"/>
      <c r="BJ163" s="12" t="n"/>
      <c r="BK163" s="12" t="n"/>
      <c r="BL163" s="12" t="n"/>
      <c r="BM163" s="12" t="n"/>
      <c r="BN163" s="12" t="n"/>
      <c r="BO163" s="12" t="n"/>
      <c r="BP163" s="12" t="n"/>
      <c r="BQ163" s="12" t="n"/>
      <c r="BR163" s="12" t="n"/>
      <c r="BS163" s="12" t="n"/>
      <c r="BT163" s="12" t="n"/>
      <c r="BU163" s="12" t="n"/>
      <c r="BV163" s="12" t="n"/>
      <c r="BW163" s="12" t="n"/>
      <c r="BX163" s="12" t="n"/>
      <c r="BY163" s="12" t="n"/>
      <c r="BZ163" s="12" t="n"/>
      <c r="CA163" s="12" t="n"/>
      <c r="CB163" s="12" t="n"/>
      <c r="CC163" s="12" t="n"/>
      <c r="CD163" s="12" t="n"/>
      <c r="CE163" s="12" t="n"/>
      <c r="CF163" s="12" t="n"/>
      <c r="CG163" s="12" t="n"/>
      <c r="CH163" s="12" t="n"/>
      <c r="CI163" s="12" t="n"/>
      <c r="CJ163" s="12" t="n"/>
      <c r="CK163" s="12" t="n"/>
      <c r="CL163" s="12" t="n"/>
      <c r="CM163" s="12" t="n"/>
      <c r="CN163" s="12" t="n"/>
      <c r="CO163" s="12" t="n"/>
      <c r="CP163" s="12" t="n"/>
      <c r="CQ163" s="12" t="n"/>
      <c r="CR163" s="12" t="n"/>
      <c r="CS163" s="12" t="n"/>
      <c r="CT163" s="12" t="n"/>
      <c r="CU163" s="12" t="n"/>
      <c r="CV163" s="12" t="n"/>
      <c r="CW163" s="12" t="n"/>
      <c r="CX163" s="12" t="n"/>
      <c r="CY163" s="12" t="n"/>
    </row>
    <row r="164" hidden="1" outlineLevel="1">
      <c r="C164" s="57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  <c r="AL164" s="12" t="n"/>
      <c r="AM164" s="12" t="n"/>
      <c r="AN164" s="12" t="n"/>
      <c r="AO164" s="12" t="n"/>
      <c r="AP164" s="12" t="n"/>
      <c r="AQ164" s="12" t="n"/>
      <c r="AR164" s="12" t="n"/>
      <c r="AS164" s="12" t="n"/>
      <c r="AT164" s="12" t="n"/>
      <c r="AU164" s="12" t="n"/>
      <c r="AV164" s="12" t="n"/>
      <c r="AW164" s="12" t="n"/>
      <c r="AX164" s="12" t="n"/>
      <c r="AY164" s="12" t="n"/>
      <c r="AZ164" s="12" t="n"/>
      <c r="BA164" s="12" t="n"/>
      <c r="BB164" s="12" t="n"/>
      <c r="BC164" s="12" t="n"/>
      <c r="BD164" s="12" t="n"/>
      <c r="BE164" s="12" t="n"/>
      <c r="BF164" s="12" t="n"/>
      <c r="BG164" s="12" t="n"/>
      <c r="BH164" s="12" t="n"/>
      <c r="BI164" s="12" t="n"/>
      <c r="BJ164" s="12" t="n"/>
      <c r="BK164" s="12" t="n"/>
      <c r="BL164" s="12" t="n"/>
      <c r="BM164" s="12" t="n"/>
      <c r="BN164" s="12" t="n"/>
      <c r="BO164" s="12" t="n"/>
      <c r="BP164" s="12" t="n"/>
      <c r="BQ164" s="12" t="n"/>
      <c r="BR164" s="12" t="n"/>
      <c r="BS164" s="12" t="n"/>
      <c r="BT164" s="12" t="n"/>
      <c r="BU164" s="12" t="n"/>
      <c r="BV164" s="12" t="n"/>
      <c r="BW164" s="12" t="n"/>
      <c r="BX164" s="12" t="n"/>
      <c r="BY164" s="12" t="n"/>
      <c r="BZ164" s="12" t="n"/>
      <c r="CA164" s="12" t="n"/>
      <c r="CB164" s="12" t="n"/>
      <c r="CC164" s="12" t="n"/>
      <c r="CD164" s="12" t="n"/>
      <c r="CE164" s="12" t="n"/>
      <c r="CF164" s="12" t="n"/>
      <c r="CG164" s="12" t="n"/>
      <c r="CH164" s="12" t="n"/>
      <c r="CI164" s="12" t="n"/>
      <c r="CJ164" s="12" t="n"/>
      <c r="CK164" s="12" t="n"/>
      <c r="CL164" s="12" t="n"/>
      <c r="CM164" s="12" t="n"/>
      <c r="CN164" s="12" t="n"/>
      <c r="CO164" s="12" t="n"/>
      <c r="CP164" s="12" t="n"/>
      <c r="CQ164" s="12" t="n"/>
      <c r="CR164" s="12" t="n"/>
      <c r="CS164" s="12" t="n"/>
      <c r="CT164" s="12" t="n"/>
      <c r="CU164" s="12" t="n"/>
      <c r="CV164" s="12" t="n"/>
      <c r="CW164" s="12" t="n"/>
      <c r="CX164" s="12" t="n"/>
      <c r="CY164" s="12" t="n"/>
    </row>
    <row r="165" collapsed="1">
      <c r="C165" s="14" t="inlineStr">
        <is>
          <t>Deferred income taxes</t>
        </is>
      </c>
      <c r="D165" s="46" t="n"/>
      <c r="E165" s="46" t="n"/>
      <c r="F165" s="46" t="n"/>
      <c r="G165" s="46" t="n"/>
      <c r="H165" s="12" t="n"/>
      <c r="I165" s="46">
        <f>'Inputs (2)'!D18</f>
        <v>0</v>
      </c>
      <c r="J165" s="46">
        <f>'Inputs (2)'!E18</f>
        <v>0</v>
      </c>
      <c r="K165" s="46">
        <f>'Inputs (2)'!F18</f>
        <v>0</v>
      </c>
      <c r="L165" s="46">
        <f>'Inputs (2)'!G18</f>
        <v>0</v>
      </c>
      <c r="M165" s="12">
        <f>'Inputs (2)'!H18</f>
        <v>0</v>
      </c>
      <c r="N165" s="46">
        <f>'Inputs (2)'!I18</f>
        <v>0</v>
      </c>
      <c r="O165" s="46">
        <f>'Inputs (2)'!J18</f>
        <v>0</v>
      </c>
      <c r="P165" s="46">
        <f>'Inputs (2)'!K18</f>
        <v>0</v>
      </c>
      <c r="Q165" s="46">
        <f>'Inputs (2)'!L18</f>
        <v>0</v>
      </c>
      <c r="R165" s="12">
        <f>'Inputs (2)'!M18</f>
        <v>0</v>
      </c>
      <c r="S165" s="46">
        <f>'Inputs (2)'!N18</f>
        <v>0</v>
      </c>
      <c r="T165" s="46">
        <f>'Inputs (2)'!O18</f>
        <v>0</v>
      </c>
      <c r="U165" s="46">
        <f>'Inputs (2)'!P18</f>
        <v>0</v>
      </c>
      <c r="V165" s="46">
        <f>'Inputs (2)'!Q18</f>
        <v>0</v>
      </c>
      <c r="W165" s="12">
        <f>'Inputs (2)'!R18</f>
        <v>0</v>
      </c>
      <c r="X165" s="46">
        <f>'Inputs (2)'!S18</f>
        <v>0</v>
      </c>
      <c r="Y165" s="46">
        <f>'Inputs (2)'!T18</f>
        <v>0</v>
      </c>
      <c r="Z165" s="46">
        <f>'Inputs (2)'!U18</f>
        <v>0</v>
      </c>
      <c r="AA165" s="46">
        <f>'Inputs (2)'!V18</f>
        <v>0</v>
      </c>
      <c r="AB165" s="12">
        <f>'Inputs (2)'!W18</f>
        <v>0</v>
      </c>
      <c r="AC165" s="46">
        <f>'Inputs (2)'!X18</f>
        <v>0</v>
      </c>
      <c r="AD165" s="46">
        <f>'Inputs (2)'!Y18</f>
        <v>0</v>
      </c>
      <c r="AE165" s="46">
        <f>'Inputs (2)'!Z18</f>
        <v>0</v>
      </c>
      <c r="AF165" s="46">
        <f>'Inputs (2)'!AA18</f>
        <v>0</v>
      </c>
      <c r="AG165" s="12">
        <f>'Inputs (2)'!AB18</f>
        <v>0</v>
      </c>
      <c r="AH165" s="12">
        <f>'Inputs (2)'!AC18</f>
        <v>0</v>
      </c>
      <c r="AI165" s="12">
        <f>'Inputs (2)'!AD18</f>
        <v>0</v>
      </c>
      <c r="AJ165" s="12">
        <f>AI165</f>
        <v>0</v>
      </c>
      <c r="AK165" s="12">
        <f>AJ165</f>
        <v>0</v>
      </c>
      <c r="AL165" s="12">
        <f>AK165</f>
        <v>0</v>
      </c>
      <c r="AM165" s="12">
        <f>AL165</f>
        <v>0</v>
      </c>
      <c r="AN165" s="12">
        <f>AM165</f>
        <v>0</v>
      </c>
      <c r="AO165" s="12">
        <f>AN165</f>
        <v>0</v>
      </c>
      <c r="AP165" s="12">
        <f>AO165</f>
        <v>0</v>
      </c>
      <c r="AQ165" s="12">
        <f>AP165</f>
        <v>0</v>
      </c>
      <c r="AR165" s="12">
        <f>AQ165</f>
        <v>0</v>
      </c>
      <c r="AS165" s="12">
        <f>AR165</f>
        <v>0</v>
      </c>
      <c r="AT165" s="12">
        <f>AS165</f>
        <v>0</v>
      </c>
      <c r="AU165" s="12">
        <f>AT165</f>
        <v>0</v>
      </c>
      <c r="AV165" s="12">
        <f>AU165</f>
        <v>0</v>
      </c>
      <c r="AW165" s="12">
        <f>AV165</f>
        <v>0</v>
      </c>
      <c r="AX165" s="12">
        <f>AW165</f>
        <v>0</v>
      </c>
      <c r="AY165" s="12">
        <f>AX165</f>
        <v>0</v>
      </c>
      <c r="AZ165" s="12">
        <f>AY165</f>
        <v>0</v>
      </c>
      <c r="BA165" s="12">
        <f>AZ165</f>
        <v>0</v>
      </c>
      <c r="BB165" s="12">
        <f>BA165</f>
        <v>0</v>
      </c>
      <c r="BC165" s="12">
        <f>BB165</f>
        <v>0</v>
      </c>
      <c r="BD165" s="12">
        <f>BC165</f>
        <v>0</v>
      </c>
      <c r="BE165" s="12">
        <f>BD165</f>
        <v>0</v>
      </c>
      <c r="BF165" s="12">
        <f>BE165</f>
        <v>0</v>
      </c>
      <c r="BG165" s="12" t="n"/>
      <c r="BH165" s="12" t="n"/>
      <c r="BI165" s="12" t="n"/>
      <c r="BJ165" s="12" t="n"/>
      <c r="BK165" s="12" t="n"/>
      <c r="BL165" s="12" t="n"/>
      <c r="BM165" s="12" t="n"/>
      <c r="BN165" s="12" t="n"/>
      <c r="BO165" s="12" t="n"/>
      <c r="BP165" s="12" t="n"/>
      <c r="BQ165" s="12" t="n"/>
      <c r="BR165" s="12" t="n"/>
      <c r="BS165" s="12" t="n"/>
      <c r="BT165" s="12" t="n"/>
      <c r="BU165" s="12" t="n"/>
      <c r="BV165" s="12" t="n"/>
      <c r="BW165" s="12" t="n"/>
      <c r="BX165" s="12" t="n"/>
      <c r="BY165" s="12" t="n"/>
      <c r="BZ165" s="12" t="n"/>
      <c r="CA165" s="12" t="n"/>
      <c r="CB165" s="12" t="n"/>
      <c r="CC165" s="12" t="n"/>
      <c r="CD165" s="12" t="n"/>
      <c r="CE165" s="12" t="n"/>
      <c r="CF165" s="12" t="n"/>
      <c r="CG165" s="12" t="n"/>
      <c r="CH165" s="12" t="n"/>
      <c r="CI165" s="12" t="n"/>
      <c r="CJ165" s="12" t="n"/>
      <c r="CK165" s="12" t="n"/>
      <c r="CL165" s="12" t="n"/>
      <c r="CM165" s="12" t="n"/>
      <c r="CN165" s="12" t="n"/>
      <c r="CO165" s="12" t="n"/>
      <c r="CP165" s="12" t="n"/>
      <c r="CQ165" s="12" t="n"/>
      <c r="CR165" s="12" t="n"/>
      <c r="CS165" s="12" t="n"/>
      <c r="CT165" s="12" t="n"/>
      <c r="CU165" s="12" t="n"/>
      <c r="CV165" s="12" t="n"/>
      <c r="CW165" s="12" t="n"/>
      <c r="CX165" s="12" t="n"/>
      <c r="CY165" s="12" t="n"/>
    </row>
    <row r="166">
      <c r="C166" s="14" t="inlineStr">
        <is>
          <t>Prepaid expenses</t>
        </is>
      </c>
      <c r="D166" s="46" t="n"/>
      <c r="E166" s="46" t="n"/>
      <c r="F166" s="46" t="n"/>
      <c r="G166" s="46" t="n"/>
      <c r="H166" s="12" t="n"/>
      <c r="I166" s="46">
        <f>'Inputs (2)'!D19</f>
        <v>0</v>
      </c>
      <c r="J166" s="46">
        <f>'Inputs (2)'!E19</f>
        <v>0</v>
      </c>
      <c r="K166" s="46">
        <f>'Inputs (2)'!F19</f>
        <v>0</v>
      </c>
      <c r="L166" s="46">
        <f>'Inputs (2)'!G19</f>
        <v>0</v>
      </c>
      <c r="M166" s="12">
        <f>'Inputs (2)'!H19</f>
        <v>0</v>
      </c>
      <c r="N166" s="46">
        <f>'Inputs (2)'!I19</f>
        <v>0</v>
      </c>
      <c r="O166" s="46">
        <f>'Inputs (2)'!J19</f>
        <v>0</v>
      </c>
      <c r="P166" s="46">
        <f>'Inputs (2)'!K19</f>
        <v>0</v>
      </c>
      <c r="Q166" s="46">
        <f>'Inputs (2)'!L19</f>
        <v>0</v>
      </c>
      <c r="R166" s="12">
        <f>'Inputs (2)'!M19</f>
        <v>0</v>
      </c>
      <c r="S166" s="46">
        <f>'Inputs (2)'!N19</f>
        <v>0</v>
      </c>
      <c r="T166" s="46">
        <f>'Inputs (2)'!O19</f>
        <v>0</v>
      </c>
      <c r="U166" s="46">
        <f>'Inputs (2)'!P19</f>
        <v>0</v>
      </c>
      <c r="V166" s="46">
        <f>'Inputs (2)'!Q19</f>
        <v>0</v>
      </c>
      <c r="W166" s="12">
        <f>'Inputs (2)'!R19</f>
        <v>0</v>
      </c>
      <c r="X166" s="46">
        <f>'Inputs (2)'!S19</f>
        <v>0</v>
      </c>
      <c r="Y166" s="46">
        <f>'Inputs (2)'!T19</f>
        <v>0</v>
      </c>
      <c r="Z166" s="46">
        <f>'Inputs (2)'!U19</f>
        <v>0</v>
      </c>
      <c r="AA166" s="46">
        <f>'Inputs (2)'!V19</f>
        <v>0</v>
      </c>
      <c r="AB166" s="12">
        <f>'Inputs (2)'!W19</f>
        <v>0</v>
      </c>
      <c r="AC166" s="46">
        <f>'Inputs (2)'!X19</f>
        <v>0</v>
      </c>
      <c r="AD166" s="46">
        <f>'Inputs (2)'!Y19</f>
        <v>0</v>
      </c>
      <c r="AE166" s="46">
        <f>'Inputs (2)'!Z19</f>
        <v>0</v>
      </c>
      <c r="AF166" s="46">
        <f>'Inputs (2)'!AA19</f>
        <v>0</v>
      </c>
      <c r="AG166" s="12">
        <f>'Inputs (2)'!AB19</f>
        <v>0</v>
      </c>
      <c r="AH166" s="12">
        <f>'Inputs (2)'!AC19</f>
        <v>0</v>
      </c>
      <c r="AI166" s="12">
        <f>'Inputs (2)'!AD19</f>
        <v>0</v>
      </c>
      <c r="AJ166" s="12">
        <f>AI166</f>
        <v>0</v>
      </c>
      <c r="AK166" s="12">
        <f>AJ166</f>
        <v>0</v>
      </c>
      <c r="AL166" s="12">
        <f>AK166</f>
        <v>0</v>
      </c>
      <c r="AM166" s="12">
        <f>AL166</f>
        <v>0</v>
      </c>
      <c r="AN166" s="12">
        <f>AM166</f>
        <v>0</v>
      </c>
      <c r="AO166" s="12">
        <f>AN166</f>
        <v>0</v>
      </c>
      <c r="AP166" s="12">
        <f>AO166</f>
        <v>0</v>
      </c>
      <c r="AQ166" s="12">
        <f>AP166</f>
        <v>0</v>
      </c>
      <c r="AR166" s="12">
        <f>AQ166</f>
        <v>0</v>
      </c>
      <c r="AS166" s="12">
        <f>AR166</f>
        <v>0</v>
      </c>
      <c r="AT166" s="12">
        <f>AS166</f>
        <v>0</v>
      </c>
      <c r="AU166" s="12">
        <f>AT166</f>
        <v>0</v>
      </c>
      <c r="AV166" s="12">
        <f>AU166</f>
        <v>0</v>
      </c>
      <c r="AW166" s="12">
        <f>AV166</f>
        <v>0</v>
      </c>
      <c r="AX166" s="12">
        <f>AW166</f>
        <v>0</v>
      </c>
      <c r="AY166" s="12">
        <f>AX166</f>
        <v>0</v>
      </c>
      <c r="AZ166" s="12">
        <f>AY166</f>
        <v>0</v>
      </c>
      <c r="BA166" s="12">
        <f>AZ166</f>
        <v>0</v>
      </c>
      <c r="BB166" s="12">
        <f>BA166</f>
        <v>0</v>
      </c>
      <c r="BC166" s="12">
        <f>BB166</f>
        <v>0</v>
      </c>
      <c r="BD166" s="12">
        <f>BC166</f>
        <v>0</v>
      </c>
      <c r="BE166" s="12">
        <f>BD166</f>
        <v>0</v>
      </c>
      <c r="BF166" s="12">
        <f>BE166</f>
        <v>0</v>
      </c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2" t="n"/>
      <c r="CY166" s="12" t="n"/>
    </row>
    <row r="167">
      <c r="C167" s="14" t="inlineStr">
        <is>
          <t>Other current assets</t>
        </is>
      </c>
      <c r="D167" s="46" t="n"/>
      <c r="E167" s="46" t="n"/>
      <c r="F167" s="46" t="n"/>
      <c r="G167" s="46" t="n"/>
      <c r="H167" s="12" t="n"/>
      <c r="I167" s="46">
        <f>'Inputs (2)'!D20</f>
        <v>337.505</v>
      </c>
      <c r="J167" s="46">
        <f>'Inputs (2)'!E20</f>
        <v>432.709</v>
      </c>
      <c r="K167" s="46">
        <f>'Inputs (2)'!F20</f>
        <v>509.809</v>
      </c>
      <c r="L167" s="46">
        <f>'Inputs (2)'!G20</f>
        <v>480.62</v>
      </c>
      <c r="M167" s="12">
        <f>'Inputs (2)'!H20</f>
        <v>480.62</v>
      </c>
      <c r="N167" s="46">
        <f>'Inputs (2)'!I20</f>
        <v>957.699</v>
      </c>
      <c r="O167" s="46">
        <f>'Inputs (2)'!J20</f>
        <v>1087.034</v>
      </c>
      <c r="P167" s="46">
        <f>'Inputs (2)'!K20</f>
        <v>1392.235</v>
      </c>
      <c r="Q167" s="46">
        <f>'Inputs (2)'!L20</f>
        <v>1438.875</v>
      </c>
      <c r="R167" s="12">
        <f>'Inputs (2)'!M20</f>
        <v>1438.875</v>
      </c>
      <c r="S167" s="46">
        <f>'Inputs (2)'!N20</f>
        <v>1373.543</v>
      </c>
      <c r="T167" s="46">
        <f>'Inputs (2)'!O20</f>
        <v>1300.157</v>
      </c>
      <c r="U167" s="46">
        <f>'Inputs (2)'!P20</f>
        <v>1425.439</v>
      </c>
      <c r="V167" s="46">
        <f>'Inputs (2)'!Q20</f>
        <v>1086.901</v>
      </c>
      <c r="W167" s="12">
        <f>'Inputs (2)'!R20</f>
        <v>1086.901</v>
      </c>
      <c r="X167" s="46">
        <f>'Inputs (2)'!S20</f>
        <v>1575.134</v>
      </c>
      <c r="Y167" s="46">
        <f>'Inputs (2)'!T20</f>
        <v>1497.843</v>
      </c>
      <c r="Z167" s="46">
        <f>'Inputs (2)'!U20</f>
        <v>1417.002</v>
      </c>
      <c r="AA167" s="46">
        <f>'Inputs (2)'!V20</f>
        <v>1217.861</v>
      </c>
      <c r="AB167" s="12">
        <f>'Inputs (2)'!W20</f>
        <v>1217.861</v>
      </c>
      <c r="AC167" s="46">
        <f>'Inputs (2)'!X20</f>
        <v>2032.503</v>
      </c>
      <c r="AD167" s="46">
        <f>'Inputs (2)'!Y20</f>
        <v>2000.533</v>
      </c>
      <c r="AE167" s="46">
        <f>'Inputs (2)'!Z20</f>
        <v>1727.128</v>
      </c>
      <c r="AF167" s="46">
        <f>'Inputs (2)'!AA20</f>
        <v>942.151</v>
      </c>
      <c r="AG167" s="12">
        <f>'Inputs (2)'!AB20</f>
        <v>942.151</v>
      </c>
      <c r="AH167" s="12">
        <f>'Inputs (2)'!AC20</f>
        <v>1404.787</v>
      </c>
      <c r="AI167" s="12">
        <f>'Inputs (2)'!AD20</f>
        <v>1394.588</v>
      </c>
      <c r="AJ167" s="12">
        <f>AI167</f>
        <v>1394.588</v>
      </c>
      <c r="AK167" s="12">
        <f>AJ167</f>
        <v>1394.588</v>
      </c>
      <c r="AL167" s="12">
        <f>AK167</f>
        <v>1394.588</v>
      </c>
      <c r="AM167" s="12">
        <f>AL167</f>
        <v>1394.588</v>
      </c>
      <c r="AN167" s="12">
        <f>AM167</f>
        <v>1394.588</v>
      </c>
      <c r="AO167" s="12">
        <f>AN167</f>
        <v>1394.588</v>
      </c>
      <c r="AP167" s="12">
        <f>AO167</f>
        <v>1394.588</v>
      </c>
      <c r="AQ167" s="12">
        <f>AP167</f>
        <v>1394.588</v>
      </c>
      <c r="AR167" s="12">
        <f>AQ167</f>
        <v>1394.588</v>
      </c>
      <c r="AS167" s="12">
        <f>AR167</f>
        <v>1394.588</v>
      </c>
      <c r="AT167" s="12">
        <f>AS167</f>
        <v>1394.588</v>
      </c>
      <c r="AU167" s="12">
        <f>AT167</f>
        <v>1394.588</v>
      </c>
      <c r="AV167" s="12">
        <f>AU167</f>
        <v>1394.588</v>
      </c>
      <c r="AW167" s="12">
        <f>AV167</f>
        <v>1394.588</v>
      </c>
      <c r="AX167" s="12">
        <f>AW167</f>
        <v>1394.588</v>
      </c>
      <c r="AY167" s="12">
        <f>AX167</f>
        <v>1394.588</v>
      </c>
      <c r="AZ167" s="12">
        <f>AY167</f>
        <v>1394.588</v>
      </c>
      <c r="BA167" s="12">
        <f>AZ167</f>
        <v>1394.588</v>
      </c>
      <c r="BB167" s="12">
        <f>BA167</f>
        <v>1394.588</v>
      </c>
      <c r="BC167" s="12">
        <f>BB167</f>
        <v>1394.588</v>
      </c>
      <c r="BD167" s="12">
        <f>BC167</f>
        <v>1394.588</v>
      </c>
      <c r="BE167" s="12">
        <f>BD167</f>
        <v>1394.588</v>
      </c>
      <c r="BF167" s="12">
        <f>BE167</f>
        <v>1394.588</v>
      </c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  <c r="CR167" s="12" t="n"/>
      <c r="CS167" s="12" t="n"/>
      <c r="CT167" s="12" t="n"/>
      <c r="CU167" s="12" t="n"/>
      <c r="CV167" s="12" t="n"/>
      <c r="CW167" s="12" t="n"/>
      <c r="CX167" s="12" t="n"/>
      <c r="CY167" s="12" t="n"/>
    </row>
    <row r="168" hidden="1" outlineLevel="1">
      <c r="C168" s="59" t="inlineStr">
        <is>
          <t>%(Var.)</t>
        </is>
      </c>
      <c r="D168" s="12" t="n"/>
      <c r="E168" s="40" t="n"/>
      <c r="F168" s="40" t="n"/>
      <c r="G168" s="40" t="n"/>
      <c r="H168" s="12" t="n"/>
      <c r="I168" s="40" t="str">
        <f>""</f>
        <v/>
      </c>
      <c r="J168" s="40">
        <f>IFERROR(IF(I167=0,"",J167/I167-1),"")</f>
        <v>0.282081746937082</v>
      </c>
      <c r="K168" s="40">
        <f>IFERROR(IF(J167=0,"",K167/J167-1),"")</f>
        <v>0.178179792886212</v>
      </c>
      <c r="L168" s="40">
        <f>IFERROR(IF(K167=0,"",L167/K167-1),"")</f>
        <v>-0.0572547758081948</v>
      </c>
      <c r="M168" s="12">
        <f>IFERROR(IF(L167=0,"",M167/L167-1),"")</f>
        <v>0</v>
      </c>
      <c r="N168" s="40">
        <f>IFERROR(IF(M167=0,"",N167/M167-1),"")</f>
        <v>0.992632433107237</v>
      </c>
      <c r="O168" s="40">
        <f>IFERROR(IF(N167=0,"",O167/N167-1),"")</f>
        <v>0.135047650671036</v>
      </c>
      <c r="P168" s="40">
        <f>IFERROR(IF(O167=0,"",P167/O167-1),"")</f>
        <v>0.280764907077423</v>
      </c>
      <c r="Q168" s="40">
        <f>IFERROR(IF(P167=0,"",Q167/P167-1),"")</f>
        <v>0.0335000915793671</v>
      </c>
      <c r="R168" s="12">
        <f>IFERROR(IF(Q167=0,"",R167/Q167-1),"")</f>
        <v>0</v>
      </c>
      <c r="S168" s="40">
        <f>IFERROR(IF(R167=0,"",S167/R167-1),"")</f>
        <v>-0.0454049170358788</v>
      </c>
      <c r="T168" s="40">
        <f>IFERROR(IF(S167=0,"",T167/S167-1),"")</f>
        <v>-0.0534282508811155</v>
      </c>
      <c r="U168" s="40">
        <f>IFERROR(IF(T167=0,"",U167/T167-1),"")</f>
        <v>0.0963591320125186</v>
      </c>
      <c r="V168" s="40">
        <f>IFERROR(IF(U167=0,"",V167/U167-1),"")</f>
        <v>-0.237497360462286</v>
      </c>
      <c r="W168" s="12">
        <f>IFERROR(IF(V167=0,"",W167/V167-1),"")</f>
        <v>0</v>
      </c>
      <c r="X168" s="40">
        <f>IFERROR(IF(W167=0,"",X167/W167-1),"")</f>
        <v>0.449197304998339</v>
      </c>
      <c r="Y168" s="40">
        <f>IFERROR(IF(X167=0,"",Y167/X167-1),"")</f>
        <v>-0.0490694759937884</v>
      </c>
      <c r="Z168" s="40">
        <f>IFERROR(IF(Y167=0,"",Z167/Y167-1),"")</f>
        <v>-0.0539716111768724</v>
      </c>
      <c r="AA168" s="40">
        <f>IFERROR(IF(Z167=0,"",AA167/Z167-1),"")</f>
        <v>-0.140536851747563</v>
      </c>
      <c r="AB168" s="12">
        <f>IFERROR(IF(AA167=0,"",AB167/AA167-1),"")</f>
        <v>0</v>
      </c>
      <c r="AC168" s="40">
        <f>IFERROR(IF(AB167=0,"",AC167/AB167-1),"")</f>
        <v>0.66891213365072</v>
      </c>
      <c r="AD168" s="40">
        <f>IFERROR(IF(AC167=0,"",AD167/AC167-1),"")</f>
        <v>-0.0157293740771847</v>
      </c>
      <c r="AE168" s="40">
        <f>IFERROR(IF(AD167=0,"",AE167/AD167-1),"")</f>
        <v>-0.136666078490082</v>
      </c>
      <c r="AF168" s="55">
        <f>IFERROR(IF(AE167=0,"",AF167/AE167-1),"")</f>
        <v>-0.454498450607019</v>
      </c>
      <c r="AG168" s="12">
        <f>IFERROR(IF(AF167=0,"",AG167/AF167-1),"")</f>
        <v>0</v>
      </c>
      <c r="AH168" s="12">
        <f>IFERROR(IF(AG167=0,"",AH167/AG167-1),"")</f>
        <v>0.491042306381886</v>
      </c>
      <c r="AI168" s="12">
        <f>IFERROR(IF(AH167=0,"",AI167/AH167-1),"")</f>
        <v>-0.00726017538601942</v>
      </c>
      <c r="AJ168" s="12">
        <f>IFERROR(IF(AI167=0,"",AJ167/AI167-1),"")</f>
        <v>0</v>
      </c>
      <c r="AK168" s="12">
        <f>IFERROR(IF(AJ167=0,"",AK167/AJ167-1),"")</f>
        <v>0</v>
      </c>
      <c r="AL168" s="12">
        <f>IFERROR(IF(AK167=0,"",AL167/AK167-1),"")</f>
        <v>0</v>
      </c>
      <c r="AM168" s="12">
        <f>IFERROR(IF(AL167=0,"",AM167/AL167-1),"")</f>
        <v>0</v>
      </c>
      <c r="AN168" s="12">
        <f>IFERROR(IF(AM167=0,"",AN167/AM167-1),"")</f>
        <v>0</v>
      </c>
      <c r="AO168" s="12">
        <f>IFERROR(IF(AN167=0,"",AO167/AN167-1),"")</f>
        <v>0</v>
      </c>
      <c r="AP168" s="12">
        <f>IFERROR(IF(AO167=0,"",AP167/AO167-1),"")</f>
        <v>0</v>
      </c>
      <c r="AQ168" s="12">
        <f>IFERROR(IF(AP167=0,"",AQ167/AP167-1),"")</f>
        <v>0</v>
      </c>
      <c r="AR168" s="12">
        <f>IFERROR(IF(AQ167=0,"",AR167/AQ167-1),"")</f>
        <v>0</v>
      </c>
      <c r="AS168" s="12">
        <f>IFERROR(IF(AR167=0,"",AS167/AR167-1),"")</f>
        <v>0</v>
      </c>
      <c r="AT168" s="12">
        <f>IFERROR(IF(AS167=0,"",AT167/AS167-1),"")</f>
        <v>0</v>
      </c>
      <c r="AU168" s="12">
        <f>IFERROR(IF(AT167=0,"",AU167/AT167-1),"")</f>
        <v>0</v>
      </c>
      <c r="AV168" s="12">
        <f>IFERROR(IF(AU167=0,"",AV167/AU167-1),"")</f>
        <v>0</v>
      </c>
      <c r="AW168" s="12">
        <f>IFERROR(IF(AV167=0,"",AW167/AV167-1),"")</f>
        <v>0</v>
      </c>
      <c r="AX168" s="12">
        <f>IFERROR(IF(AW167=0,"",AX167/AW167-1),"")</f>
        <v>0</v>
      </c>
      <c r="AY168" s="12">
        <f>IFERROR(IF(AX167=0,"",AY167/AX167-1),"")</f>
        <v>0</v>
      </c>
      <c r="AZ168" s="12">
        <f>IFERROR(IF(AY167=0,"",AZ167/AY167-1),"")</f>
        <v>0</v>
      </c>
      <c r="BA168" s="12">
        <f>IFERROR(IF(AZ167=0,"",BA167/AZ167-1),"")</f>
        <v>0</v>
      </c>
      <c r="BB168" s="12">
        <f>IFERROR(IF(BA167=0,"",BB167/BA167-1),"")</f>
        <v>0</v>
      </c>
      <c r="BC168" s="12">
        <f>IFERROR(IF(BB167=0,"",BC167/BB167-1),"")</f>
        <v>0</v>
      </c>
      <c r="BD168" s="12">
        <f>IFERROR(IF(BC167=0,"",BD167/BC167-1),"")</f>
        <v>0</v>
      </c>
      <c r="BE168" s="12">
        <f>IFERROR(IF(BD167=0,"",BE167/BD167-1),"")</f>
        <v>0</v>
      </c>
      <c r="BF168" s="12">
        <f>IFERROR(IF(BE167=0,"",BF167/BE167-1),"")</f>
        <v>0</v>
      </c>
      <c r="BG168" s="12" t="n"/>
      <c r="BH168" s="12" t="n"/>
      <c r="BI168" s="12" t="n"/>
      <c r="BJ168" s="12" t="n"/>
      <c r="BK168" s="12" t="n"/>
      <c r="BL168" s="12" t="n"/>
      <c r="BM168" s="12" t="n"/>
      <c r="BN168" s="12" t="n"/>
      <c r="BO168" s="12" t="n"/>
      <c r="BP168" s="12" t="n"/>
      <c r="BQ168" s="12" t="n"/>
      <c r="BR168" s="12" t="n"/>
      <c r="BS168" s="12" t="n"/>
      <c r="BT168" s="12" t="n"/>
      <c r="BU168" s="12" t="n"/>
      <c r="BV168" s="12" t="n"/>
      <c r="BW168" s="12" t="n"/>
      <c r="BX168" s="12" t="n"/>
      <c r="BY168" s="12" t="n"/>
      <c r="BZ168" s="12" t="n"/>
      <c r="CA168" s="12" t="n"/>
      <c r="CB168" s="12" t="n"/>
      <c r="CC168" s="12" t="n"/>
      <c r="CD168" s="12" t="n"/>
      <c r="CE168" s="12" t="n"/>
      <c r="CF168" s="12" t="n"/>
      <c r="CG168" s="12" t="n"/>
      <c r="CH168" s="12" t="n"/>
      <c r="CI168" s="12" t="n"/>
      <c r="CJ168" s="12" t="n"/>
      <c r="CK168" s="12" t="n"/>
      <c r="CL168" s="12" t="n"/>
      <c r="CM168" s="12" t="n"/>
      <c r="CN168" s="12" t="n"/>
      <c r="CO168" s="12" t="n"/>
      <c r="CP168" s="12" t="n"/>
      <c r="CQ168" s="12" t="n"/>
      <c r="CR168" s="12" t="n"/>
      <c r="CS168" s="12" t="n"/>
      <c r="CT168" s="12" t="n"/>
      <c r="CU168" s="12" t="n"/>
      <c r="CV168" s="12" t="n"/>
      <c r="CW168" s="12" t="n"/>
      <c r="CX168" s="12" t="n"/>
      <c r="CY168" s="12" t="n"/>
    </row>
    <row r="169" hidden="1" outlineLevel="1">
      <c r="C169" s="57" t="n"/>
      <c r="D169" s="12" t="n"/>
      <c r="E169" s="40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12" t="n"/>
      <c r="AY169" s="12" t="n"/>
      <c r="AZ169" s="12" t="n"/>
      <c r="BA169" s="12" t="n"/>
      <c r="BB169" s="12" t="n"/>
      <c r="BC169" s="12" t="n"/>
      <c r="BD169" s="12" t="n"/>
      <c r="BE169" s="12" t="n"/>
      <c r="BF169" s="12" t="n"/>
      <c r="BG169" s="12" t="n"/>
      <c r="BH169" s="12" t="n"/>
      <c r="BI169" s="12" t="n"/>
      <c r="BJ169" s="12" t="n"/>
      <c r="BK169" s="12" t="n"/>
      <c r="BL169" s="12" t="n"/>
      <c r="BM169" s="12" t="n"/>
      <c r="BN169" s="12" t="n"/>
      <c r="BO169" s="12" t="n"/>
      <c r="BP169" s="12" t="n"/>
      <c r="BQ169" s="12" t="n"/>
      <c r="BR169" s="12" t="n"/>
      <c r="BS169" s="12" t="n"/>
      <c r="BT169" s="12" t="n"/>
      <c r="BU169" s="12" t="n"/>
      <c r="BV169" s="12" t="n"/>
      <c r="BW169" s="12" t="n"/>
      <c r="BX169" s="12" t="n"/>
      <c r="BY169" s="12" t="n"/>
      <c r="BZ169" s="12" t="n"/>
      <c r="CA169" s="12" t="n"/>
      <c r="CB169" s="12" t="n"/>
      <c r="CC169" s="12" t="n"/>
      <c r="CD169" s="12" t="n"/>
      <c r="CE169" s="12" t="n"/>
      <c r="CF169" s="12" t="n"/>
      <c r="CG169" s="12" t="n"/>
      <c r="CH169" s="12" t="n"/>
      <c r="CI169" s="12" t="n"/>
      <c r="CJ169" s="12" t="n"/>
      <c r="CK169" s="12" t="n"/>
      <c r="CL169" s="12" t="n"/>
      <c r="CM169" s="12" t="n"/>
      <c r="CN169" s="12" t="n"/>
      <c r="CO169" s="12" t="n"/>
      <c r="CP169" s="12" t="n"/>
      <c r="CQ169" s="12" t="n"/>
      <c r="CR169" s="12" t="n"/>
      <c r="CS169" s="12" t="n"/>
      <c r="CT169" s="12" t="n"/>
      <c r="CU169" s="12" t="n"/>
      <c r="CV169" s="12" t="n"/>
      <c r="CW169" s="12" t="n"/>
      <c r="CX169" s="12" t="n"/>
      <c r="CY169" s="12" t="n"/>
    </row>
    <row r="170" hidden="1" outlineLevel="1">
      <c r="C170" s="60" t="inlineStr">
        <is>
          <t xml:space="preserve">Impostos e Contribuições a Recuperar </t>
        </is>
      </c>
      <c r="D170" s="11" t="n"/>
      <c r="E170" s="11" t="n"/>
      <c r="F170" s="11" t="n"/>
      <c r="G170" s="11" t="n"/>
      <c r="H170" s="12" t="n"/>
      <c r="I170" s="11" t="n"/>
      <c r="J170" s="11" t="n"/>
      <c r="K170" s="11" t="n"/>
      <c r="L170" s="11" t="n"/>
      <c r="M170" s="12" t="n"/>
      <c r="N170" s="11" t="n"/>
      <c r="O170" s="11" t="n"/>
      <c r="P170" s="11" t="n"/>
      <c r="Q170" s="11" t="n"/>
      <c r="R170" s="12" t="n"/>
      <c r="S170" s="11" t="n"/>
      <c r="T170" s="11" t="n"/>
      <c r="U170" s="11" t="n"/>
      <c r="V170" s="11" t="n"/>
      <c r="W170" s="12" t="n"/>
      <c r="X170" s="11" t="n"/>
      <c r="Y170" s="11" t="n"/>
      <c r="Z170" s="11" t="n"/>
      <c r="AA170" s="11" t="n"/>
      <c r="AB170" s="12" t="n"/>
      <c r="AC170" s="11" t="n"/>
      <c r="AD170" s="11" t="n"/>
      <c r="AE170" s="11" t="n"/>
      <c r="AF170" s="11" t="n"/>
      <c r="AG170" s="12">
        <f>AF170</f>
        <v>0</v>
      </c>
      <c r="AH170" s="61">
        <f>IFERROR(AG170*AH15/AG15,"")</f>
        <v>0</v>
      </c>
      <c r="AI170" s="61">
        <f>IFERROR(AH170*AI15/AH15,"")</f>
        <v>0</v>
      </c>
      <c r="AJ170" s="61">
        <f>IFERROR(AI170*AJ15/AI15,"")</f>
        <v>0</v>
      </c>
      <c r="AK170" s="61">
        <f>IFERROR(AJ170*AK15/AJ15,"")</f>
        <v>0</v>
      </c>
      <c r="AL170" s="12">
        <f>IFERROR(AK170,"")</f>
        <v>0</v>
      </c>
      <c r="AM170" s="12" t="n"/>
      <c r="AN170" s="12" t="n"/>
      <c r="AO170" s="12" t="n"/>
      <c r="AP170" s="12" t="n"/>
      <c r="AQ170" s="12" t="n"/>
      <c r="AR170" s="12" t="n"/>
      <c r="AS170" s="12" t="n"/>
      <c r="AT170" s="12" t="n"/>
      <c r="AU170" s="12" t="n"/>
      <c r="AV170" s="12" t="n"/>
      <c r="AW170" s="12" t="n"/>
      <c r="AX170" s="12" t="n"/>
      <c r="AY170" s="12" t="n"/>
      <c r="AZ170" s="12" t="n"/>
      <c r="BA170" s="12" t="n"/>
      <c r="BB170" s="12" t="n"/>
      <c r="BC170" s="12" t="n"/>
      <c r="BD170" s="12" t="n"/>
      <c r="BE170" s="12" t="n"/>
      <c r="BF170" s="12" t="n"/>
      <c r="BG170" s="12" t="n"/>
      <c r="BH170" s="12" t="n"/>
      <c r="BI170" s="12" t="n"/>
      <c r="BJ170" s="12" t="n"/>
      <c r="BK170" s="12" t="n"/>
      <c r="BL170" s="12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  <c r="CA170" s="12" t="n"/>
      <c r="CB170" s="12" t="n"/>
      <c r="CC170" s="12" t="n"/>
      <c r="CD170" s="12" t="n"/>
      <c r="CE170" s="12" t="n"/>
      <c r="CF170" s="12" t="n"/>
      <c r="CG170" s="12" t="n"/>
      <c r="CH170" s="12" t="n"/>
      <c r="CI170" s="12" t="n"/>
      <c r="CJ170" s="12" t="n"/>
      <c r="CK170" s="12" t="n"/>
      <c r="CL170" s="12" t="n"/>
      <c r="CM170" s="12" t="n"/>
      <c r="CN170" s="12" t="n"/>
      <c r="CO170" s="12" t="n"/>
      <c r="CP170" s="12" t="n"/>
      <c r="CQ170" s="12" t="n"/>
      <c r="CR170" s="12" t="n"/>
      <c r="CS170" s="12" t="n"/>
      <c r="CT170" s="12" t="n"/>
      <c r="CU170" s="12" t="n"/>
      <c r="CV170" s="12" t="n"/>
      <c r="CW170" s="12" t="n"/>
      <c r="CX170" s="12" t="n"/>
      <c r="CY170" s="12" t="n"/>
    </row>
    <row r="171" hidden="1" outlineLevel="1">
      <c r="C171" s="60" t="inlineStr">
        <is>
          <t>Outros Créditos</t>
        </is>
      </c>
      <c r="D171" s="11" t="n"/>
      <c r="E171" s="11" t="n"/>
      <c r="F171" s="11" t="n"/>
      <c r="G171" s="11" t="n"/>
      <c r="H171" s="12" t="n"/>
      <c r="I171" s="11" t="n"/>
      <c r="J171" s="11" t="n"/>
      <c r="K171" s="11" t="n"/>
      <c r="L171" s="11" t="n"/>
      <c r="M171" s="12" t="n"/>
      <c r="N171" s="11" t="n"/>
      <c r="O171" s="11" t="n"/>
      <c r="P171" s="11" t="n"/>
      <c r="Q171" s="11" t="n"/>
      <c r="R171" s="12" t="n"/>
      <c r="S171" s="11" t="n"/>
      <c r="T171" s="11" t="n"/>
      <c r="U171" s="11" t="n"/>
      <c r="V171" s="11" t="n"/>
      <c r="W171" s="12" t="n"/>
      <c r="X171" s="11" t="n"/>
      <c r="Y171" s="11" t="n"/>
      <c r="Z171" s="11" t="n"/>
      <c r="AA171" s="11" t="n"/>
      <c r="AB171" s="12" t="n"/>
      <c r="AC171" s="11" t="n"/>
      <c r="AD171" s="11" t="n"/>
      <c r="AE171" s="11" t="n"/>
      <c r="AF171" s="11" t="n"/>
      <c r="AG171" s="12">
        <f>AF171</f>
        <v>0</v>
      </c>
      <c r="AH171" s="12">
        <f>AG171</f>
        <v>0</v>
      </c>
      <c r="AI171" s="12">
        <f>AH171</f>
        <v>0</v>
      </c>
      <c r="AJ171" s="12">
        <f>AI171</f>
        <v>0</v>
      </c>
      <c r="AK171" s="12">
        <f>AJ171</f>
        <v>0</v>
      </c>
      <c r="AL171" s="12">
        <f>AK171</f>
        <v>0</v>
      </c>
      <c r="AM171" s="12" t="n"/>
      <c r="AN171" s="12" t="n"/>
      <c r="AO171" s="12" t="n"/>
      <c r="AP171" s="12" t="n"/>
      <c r="AQ171" s="12" t="n"/>
      <c r="AR171" s="12" t="n"/>
      <c r="AS171" s="12" t="n"/>
      <c r="AT171" s="12" t="n"/>
      <c r="AU171" s="12" t="n"/>
      <c r="AV171" s="12" t="n"/>
      <c r="AW171" s="12" t="n"/>
      <c r="AX171" s="12" t="n"/>
      <c r="AY171" s="12" t="n"/>
      <c r="AZ171" s="12" t="n"/>
      <c r="BA171" s="12" t="n"/>
      <c r="BB171" s="12" t="n"/>
      <c r="BC171" s="12" t="n"/>
      <c r="BD171" s="12" t="n"/>
      <c r="BE171" s="12" t="n"/>
      <c r="BF171" s="12" t="n"/>
      <c r="BG171" s="12" t="n"/>
      <c r="BH171" s="12" t="n"/>
      <c r="BI171" s="12" t="n"/>
      <c r="BJ171" s="12" t="n"/>
      <c r="BK171" s="12" t="n"/>
      <c r="BL171" s="12" t="n"/>
      <c r="BM171" s="12" t="n"/>
      <c r="BN171" s="12" t="n"/>
      <c r="BO171" s="12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  <c r="CA171" s="12" t="n"/>
      <c r="CB171" s="12" t="n"/>
      <c r="CC171" s="12" t="n"/>
      <c r="CD171" s="12" t="n"/>
      <c r="CE171" s="12" t="n"/>
      <c r="CF171" s="12" t="n"/>
      <c r="CG171" s="12" t="n"/>
      <c r="CH171" s="12" t="n"/>
      <c r="CI171" s="12" t="n"/>
      <c r="CJ171" s="12" t="n"/>
      <c r="CK171" s="12" t="n"/>
      <c r="CL171" s="12" t="n"/>
      <c r="CM171" s="12" t="n"/>
      <c r="CN171" s="12" t="n"/>
      <c r="CO171" s="12" t="n"/>
      <c r="CP171" s="12" t="n"/>
      <c r="CQ171" s="12" t="n"/>
      <c r="CR171" s="12" t="n"/>
      <c r="CS171" s="12" t="n"/>
      <c r="CT171" s="12" t="n"/>
      <c r="CU171" s="12" t="n"/>
      <c r="CV171" s="12" t="n"/>
      <c r="CW171" s="12" t="n"/>
      <c r="CX171" s="12" t="n"/>
      <c r="CY171" s="12" t="n"/>
    </row>
    <row r="172" hidden="1" outlineLevel="1">
      <c r="C172" s="57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  <c r="AP172" s="12" t="n"/>
      <c r="AQ172" s="12" t="n"/>
      <c r="AR172" s="12" t="n"/>
      <c r="AS172" s="12" t="n"/>
      <c r="AT172" s="12" t="n"/>
      <c r="AU172" s="12" t="n"/>
      <c r="AV172" s="12" t="n"/>
      <c r="AW172" s="12" t="n"/>
      <c r="AX172" s="12" t="n"/>
      <c r="AY172" s="12" t="n"/>
      <c r="AZ172" s="12" t="n"/>
      <c r="BA172" s="12" t="n"/>
      <c r="BB172" s="12" t="n"/>
      <c r="BC172" s="12" t="n"/>
      <c r="BD172" s="12" t="n"/>
      <c r="BE172" s="12" t="n"/>
      <c r="BF172" s="12" t="n"/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2" t="n"/>
      <c r="CY172" s="12" t="n"/>
    </row>
    <row r="173" collapsed="1">
      <c r="C173" s="14" t="inlineStr">
        <is>
          <t>Equity in affiliates</t>
        </is>
      </c>
      <c r="D173" s="46" t="n"/>
      <c r="E173" s="46" t="n"/>
      <c r="F173" s="46" t="n"/>
      <c r="G173" s="46" t="n"/>
      <c r="H173" s="12" t="n"/>
      <c r="I173" s="46">
        <f>'Inputs (2)'!D21</f>
        <v>1.985</v>
      </c>
      <c r="J173" s="46">
        <f>'Inputs (2)'!E21</f>
        <v>2.141</v>
      </c>
      <c r="K173" s="46">
        <f>'Inputs (2)'!F21</f>
        <v>1.202</v>
      </c>
      <c r="L173" s="46">
        <f>'Inputs (2)'!G21</f>
        <v>1.191</v>
      </c>
      <c r="M173" s="12">
        <f>'Inputs (2)'!H21</f>
        <v>1.191</v>
      </c>
      <c r="N173" s="46">
        <f>'Inputs (2)'!I21</f>
        <v>1.188</v>
      </c>
      <c r="O173" s="46">
        <f>'Inputs (2)'!J21</f>
        <v>1.139</v>
      </c>
      <c r="P173" s="46">
        <f>'Inputs (2)'!K21</f>
        <v>1.107</v>
      </c>
      <c r="Q173" s="46">
        <f>'Inputs (2)'!L21</f>
        <v>1.102</v>
      </c>
      <c r="R173" s="12">
        <f>'Inputs (2)'!M21</f>
        <v>1.102</v>
      </c>
      <c r="S173" s="46">
        <f>'Inputs (2)'!N21</f>
        <v>1.094</v>
      </c>
      <c r="T173" s="46">
        <f>'Inputs (2)'!O21</f>
        <v>1.113</v>
      </c>
      <c r="U173" s="46">
        <f>'Inputs (2)'!P21</f>
        <v>0.676</v>
      </c>
      <c r="V173" s="46">
        <f>'Inputs (2)'!Q21</f>
        <v>1.142</v>
      </c>
      <c r="W173" s="12">
        <f>'Inputs (2)'!R21</f>
        <v>1.142</v>
      </c>
      <c r="X173" s="46">
        <f>'Inputs (2)'!S21</f>
        <v>0.612</v>
      </c>
      <c r="Y173" s="46">
        <f>'Inputs (2)'!T21</f>
        <v>0.589</v>
      </c>
      <c r="Z173" s="46">
        <f>'Inputs (2)'!U21</f>
        <v>0.562</v>
      </c>
      <c r="AA173" s="46">
        <f>'Inputs (2)'!V21</f>
        <v>0.562</v>
      </c>
      <c r="AB173" s="12">
        <f>'Inputs (2)'!W21</f>
        <v>0.562</v>
      </c>
      <c r="AC173" s="46">
        <f>'Inputs (2)'!X21</f>
        <v>0.562</v>
      </c>
      <c r="AD173" s="46">
        <f>'Inputs (2)'!Y21</f>
        <v>0</v>
      </c>
      <c r="AE173" s="46">
        <f>'Inputs (2)'!Z21</f>
        <v>18.175</v>
      </c>
      <c r="AF173" s="46">
        <f>'Inputs (2)'!AA21</f>
        <v>19.697</v>
      </c>
      <c r="AG173" s="12">
        <f>'Inputs (2)'!AB21</f>
        <v>19.697</v>
      </c>
      <c r="AH173" s="12">
        <f>'Inputs (2)'!AC21</f>
        <v>20.087</v>
      </c>
      <c r="AI173" s="12">
        <f>'Inputs (2)'!AD21</f>
        <v>38.7</v>
      </c>
      <c r="AJ173" s="12">
        <f>AI173+AJ147</f>
        <v>38.7</v>
      </c>
      <c r="AK173" s="12">
        <f>AJ173+AK147</f>
        <v>38.7</v>
      </c>
      <c r="AL173" s="12">
        <f>AK173</f>
        <v>38.7</v>
      </c>
      <c r="AM173" s="12">
        <f>AL173+AM147</f>
        <v>38.7</v>
      </c>
      <c r="AN173" s="12">
        <f>AM173+AN147</f>
        <v>38.7</v>
      </c>
      <c r="AO173" s="12">
        <f>AN173+AO147</f>
        <v>38.7</v>
      </c>
      <c r="AP173" s="12">
        <f>AO173+AP147</f>
        <v>38.7</v>
      </c>
      <c r="AQ173" s="12">
        <f>AP173</f>
        <v>38.7</v>
      </c>
      <c r="AR173" s="12">
        <f>AQ173+AR147</f>
        <v>38.7</v>
      </c>
      <c r="AS173" s="12">
        <f>AR173+AS147</f>
        <v>38.7</v>
      </c>
      <c r="AT173" s="12">
        <f>AS173+AT147</f>
        <v>38.7</v>
      </c>
      <c r="AU173" s="12">
        <f>AT173+AU147</f>
        <v>38.7</v>
      </c>
      <c r="AV173" s="12">
        <f>AU173</f>
        <v>38.7</v>
      </c>
      <c r="AW173" s="12">
        <f>AV173+AW147</f>
        <v>38.7</v>
      </c>
      <c r="AX173" s="12">
        <f>AW173+AX147</f>
        <v>38.7</v>
      </c>
      <c r="AY173" s="12">
        <f>AX173+AY147</f>
        <v>38.7</v>
      </c>
      <c r="AZ173" s="12">
        <f>AY173+AZ147</f>
        <v>38.7</v>
      </c>
      <c r="BA173" s="12">
        <f>AZ173</f>
        <v>38.7</v>
      </c>
      <c r="BB173" s="12">
        <f>BA173+BB147</f>
        <v>38.7</v>
      </c>
      <c r="BC173" s="12">
        <f>BB173+BC147</f>
        <v>38.7</v>
      </c>
      <c r="BD173" s="12">
        <f>BC173+BD147</f>
        <v>38.7</v>
      </c>
      <c r="BE173" s="12">
        <f>BD173+BE147</f>
        <v>38.7</v>
      </c>
      <c r="BF173" s="12">
        <f>BE173</f>
        <v>38.7</v>
      </c>
      <c r="BG173" s="12" t="n"/>
      <c r="BH173" s="12" t="n"/>
      <c r="BI173" s="12" t="n"/>
      <c r="BJ173" s="12" t="n"/>
      <c r="BK173" s="12" t="n"/>
      <c r="BL173" s="12" t="n"/>
      <c r="BM173" s="12" t="n"/>
      <c r="BN173" s="12" t="n"/>
      <c r="BO173" s="12" t="n"/>
      <c r="BP173" s="12" t="n"/>
      <c r="BQ173" s="12" t="n"/>
      <c r="BR173" s="12" t="n"/>
      <c r="BS173" s="12" t="n"/>
      <c r="BT173" s="12" t="n"/>
      <c r="BU173" s="12" t="n"/>
      <c r="BV173" s="12" t="n"/>
      <c r="BW173" s="12" t="n"/>
      <c r="BX173" s="12" t="n"/>
      <c r="BY173" s="12" t="n"/>
      <c r="BZ173" s="12" t="n"/>
      <c r="CA173" s="12" t="n"/>
      <c r="CB173" s="12" t="n"/>
      <c r="CC173" s="12" t="n"/>
      <c r="CD173" s="12" t="n"/>
      <c r="CE173" s="12" t="n"/>
      <c r="CF173" s="12" t="n"/>
      <c r="CG173" s="12" t="n"/>
      <c r="CH173" s="12" t="n"/>
      <c r="CI173" s="12" t="n"/>
      <c r="CJ173" s="12" t="n"/>
      <c r="CK173" s="12" t="n"/>
      <c r="CL173" s="12" t="n"/>
      <c r="CM173" s="12" t="n"/>
      <c r="CN173" s="12" t="n"/>
      <c r="CO173" s="12" t="n"/>
      <c r="CP173" s="12" t="n"/>
      <c r="CQ173" s="12" t="n"/>
      <c r="CR173" s="12" t="n"/>
      <c r="CS173" s="12" t="n"/>
      <c r="CT173" s="12" t="n"/>
      <c r="CU173" s="12" t="n"/>
      <c r="CV173" s="12" t="n"/>
      <c r="CW173" s="12" t="n"/>
      <c r="CX173" s="12" t="n"/>
      <c r="CY173" s="12" t="n"/>
    </row>
    <row r="174" hidden="1" outlineLevel="1">
      <c r="C174" s="57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  <c r="CR174" s="12" t="n"/>
      <c r="CS174" s="12" t="n"/>
      <c r="CT174" s="12" t="n"/>
      <c r="CU174" s="12" t="n"/>
      <c r="CV174" s="12" t="n"/>
      <c r="CW174" s="12" t="n"/>
      <c r="CX174" s="12" t="n"/>
      <c r="CY174" s="12" t="n"/>
    </row>
    <row r="175" hidden="1" outlineLevel="1">
      <c r="C175" s="57" t="inlineStr">
        <is>
          <t>Equity in Income - % YoY</t>
        </is>
      </c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>
        <f>IF(I147=0,0,N147/I147-1)</f>
        <v>0</v>
      </c>
      <c r="O175" s="12">
        <f>IF(J147=0,0,O147/J147-1)</f>
        <v>0</v>
      </c>
      <c r="P175" s="12">
        <f>IF(K147=0,0,P147/K147-1)</f>
        <v>0</v>
      </c>
      <c r="Q175" s="12">
        <f>IF(L147=0,0,Q147/L147-1)</f>
        <v>0</v>
      </c>
      <c r="R175" s="12" t="n"/>
      <c r="S175" s="12">
        <f>IF(N147=0,0,S147/N147-1)</f>
        <v>0</v>
      </c>
      <c r="T175" s="12">
        <f>IF(O147=0,0,T147/O147-1)</f>
        <v>0</v>
      </c>
      <c r="U175" s="12">
        <f>IF(P147=0,0,U147/P147-1)</f>
        <v>0</v>
      </c>
      <c r="V175" s="12">
        <f>IF(Q147=0,0,V147/Q147-1)</f>
        <v>0</v>
      </c>
      <c r="W175" s="12" t="n"/>
      <c r="X175" s="12">
        <f>IF(S147=0,0,X147/S147-1)</f>
        <v>0</v>
      </c>
      <c r="Y175" s="12">
        <f>IF(T147=0,0,Y147/T147-1)</f>
        <v>0</v>
      </c>
      <c r="Z175" s="12">
        <f>IF(U147=0,0,Z147/U147-1)</f>
        <v>0</v>
      </c>
      <c r="AA175" s="12">
        <f>IF(V147=0,0,AA147/V147-1)</f>
        <v>0</v>
      </c>
      <c r="AB175" s="12" t="n"/>
      <c r="AC175" s="12">
        <f>IF(X147=0,0,AC147/X147-1)</f>
        <v>0</v>
      </c>
      <c r="AD175" s="12">
        <f>IF(Y147=0,0,AD147/Y147-1)</f>
        <v>0</v>
      </c>
      <c r="AE175" s="12">
        <f>IF(Z147=0,0,AE147/Z147-1)</f>
        <v>0</v>
      </c>
      <c r="AF175" s="12">
        <f>IF(AA147=0,0,AF147/AA147-1)</f>
        <v>0</v>
      </c>
      <c r="AG175" s="12" t="n"/>
      <c r="AH175" s="11">
        <f>IF(AC147=0,0,AH147/AC147-1)</f>
        <v>0</v>
      </c>
      <c r="AI175" s="11">
        <f>IF(AD147=0,0,AI147/AD147-1)</f>
        <v>0</v>
      </c>
      <c r="AJ175" s="11" t="n"/>
      <c r="AK175" s="11" t="n"/>
      <c r="AL175" s="12" t="n"/>
      <c r="AM175" s="11" t="n"/>
      <c r="AN175" s="11" t="n"/>
      <c r="AO175" s="11" t="n"/>
      <c r="AP175" s="11" t="n"/>
      <c r="AQ175" s="12" t="n"/>
      <c r="AR175" s="11" t="n"/>
      <c r="AS175" s="11" t="n"/>
      <c r="AT175" s="11" t="n"/>
      <c r="AU175" s="11" t="n"/>
      <c r="AV175" s="12" t="n"/>
      <c r="AW175" s="11" t="n"/>
      <c r="AX175" s="11" t="n"/>
      <c r="AY175" s="11" t="n"/>
      <c r="AZ175" s="11" t="n"/>
      <c r="BA175" s="12" t="n"/>
      <c r="BB175" s="11" t="n"/>
      <c r="BC175" s="11" t="n"/>
      <c r="BD175" s="11" t="n"/>
      <c r="BE175" s="11" t="n"/>
      <c r="BF175" s="12" t="n"/>
      <c r="BG175" s="11" t="n"/>
      <c r="BH175" s="11" t="n"/>
      <c r="BI175" s="11" t="n"/>
      <c r="BJ175" s="11" t="n"/>
      <c r="BK175" s="12" t="n"/>
      <c r="BL175" s="11" t="n"/>
      <c r="BM175" s="11" t="n"/>
      <c r="BN175" s="11" t="n"/>
      <c r="BO175" s="11" t="n"/>
      <c r="BP175" s="12" t="n"/>
      <c r="BQ175" s="11" t="n"/>
      <c r="BR175" s="11" t="n"/>
      <c r="BS175" s="11" t="n"/>
      <c r="BT175" s="11" t="n"/>
      <c r="BU175" s="12" t="n"/>
      <c r="BV175" s="11" t="n"/>
      <c r="BW175" s="11" t="n"/>
      <c r="BX175" s="11" t="n"/>
      <c r="BY175" s="11" t="n"/>
      <c r="BZ175" s="12" t="n"/>
      <c r="CA175" s="11" t="n"/>
      <c r="CB175" s="11" t="n"/>
      <c r="CC175" s="11" t="n"/>
      <c r="CD175" s="11" t="n"/>
      <c r="CE175" s="12" t="n"/>
      <c r="CF175" s="11" t="n"/>
      <c r="CG175" s="11" t="n"/>
      <c r="CH175" s="11" t="n"/>
      <c r="CI175" s="11" t="n"/>
      <c r="CJ175" s="12" t="n"/>
      <c r="CK175" s="11" t="n"/>
      <c r="CL175" s="11" t="n"/>
      <c r="CM175" s="11" t="n"/>
      <c r="CN175" s="11" t="n"/>
      <c r="CO175" s="12" t="n"/>
      <c r="CP175" s="11" t="n"/>
      <c r="CQ175" s="11" t="n"/>
      <c r="CR175" s="11" t="n"/>
      <c r="CS175" s="11" t="n"/>
      <c r="CT175" s="12" t="n"/>
      <c r="CU175" s="11" t="n"/>
      <c r="CV175" s="11" t="n"/>
      <c r="CW175" s="11" t="n"/>
      <c r="CX175" s="11" t="n"/>
      <c r="CY175" s="12" t="n"/>
    </row>
    <row r="176" hidden="1" outlineLevel="1">
      <c r="C176" s="57" t="inlineStr">
        <is>
          <t>Dividends (enter as -)</t>
        </is>
      </c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1" t="n"/>
      <c r="AI176" s="11" t="n"/>
      <c r="AJ176" s="11" t="n"/>
      <c r="AK176" s="11" t="n"/>
      <c r="AL176" s="12" t="n"/>
      <c r="AM176" s="11" t="n"/>
      <c r="AN176" s="11" t="n"/>
      <c r="AO176" s="11" t="n"/>
      <c r="AP176" s="11" t="n"/>
      <c r="AQ176" s="12" t="n"/>
      <c r="AR176" s="11" t="n"/>
      <c r="AS176" s="11" t="n"/>
      <c r="AT176" s="11" t="n"/>
      <c r="AU176" s="11" t="n"/>
      <c r="AV176" s="12" t="n"/>
      <c r="AW176" s="11" t="n"/>
      <c r="AX176" s="11" t="n"/>
      <c r="AY176" s="11" t="n"/>
      <c r="AZ176" s="11" t="n"/>
      <c r="BA176" s="12" t="n"/>
      <c r="BB176" s="11" t="n"/>
      <c r="BC176" s="11" t="n"/>
      <c r="BD176" s="11" t="n"/>
      <c r="BE176" s="11" t="n"/>
      <c r="BF176" s="12" t="n"/>
      <c r="BG176" s="11" t="n"/>
      <c r="BH176" s="11" t="n"/>
      <c r="BI176" s="11" t="n"/>
      <c r="BJ176" s="11" t="n"/>
      <c r="BK176" s="12" t="n"/>
      <c r="BL176" s="11" t="n"/>
      <c r="BM176" s="11" t="n"/>
      <c r="BN176" s="11" t="n"/>
      <c r="BO176" s="11" t="n"/>
      <c r="BP176" s="12" t="n"/>
      <c r="BQ176" s="11" t="n"/>
      <c r="BR176" s="11" t="n"/>
      <c r="BS176" s="11" t="n"/>
      <c r="BT176" s="11" t="n"/>
      <c r="BU176" s="12" t="n"/>
      <c r="BV176" s="11" t="n"/>
      <c r="BW176" s="11" t="n"/>
      <c r="BX176" s="11" t="n"/>
      <c r="BY176" s="11" t="n"/>
      <c r="BZ176" s="12" t="n"/>
      <c r="CA176" s="11" t="n"/>
      <c r="CB176" s="11" t="n"/>
      <c r="CC176" s="11" t="n"/>
      <c r="CD176" s="11" t="n"/>
      <c r="CE176" s="12" t="n"/>
      <c r="CF176" s="11" t="n"/>
      <c r="CG176" s="11" t="n"/>
      <c r="CH176" s="11" t="n"/>
      <c r="CI176" s="11" t="n"/>
      <c r="CJ176" s="12" t="n"/>
      <c r="CK176" s="11" t="n"/>
      <c r="CL176" s="11" t="n"/>
      <c r="CM176" s="11" t="n"/>
      <c r="CN176" s="11" t="n"/>
      <c r="CO176" s="12" t="n"/>
      <c r="CP176" s="11" t="n"/>
      <c r="CQ176" s="11" t="n"/>
      <c r="CR176" s="11" t="n"/>
      <c r="CS176" s="11" t="n"/>
      <c r="CT176" s="12" t="n"/>
      <c r="CU176" s="11" t="n"/>
      <c r="CV176" s="11" t="n"/>
      <c r="CW176" s="11" t="n"/>
      <c r="CX176" s="11" t="n"/>
      <c r="CY176" s="12" t="n"/>
    </row>
    <row r="177" hidden="1" outlineLevel="1">
      <c r="C177" s="57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  <c r="AL177" s="12" t="n"/>
      <c r="AM177" s="12" t="n"/>
      <c r="AN177" s="12" t="n"/>
      <c r="AO177" s="12" t="n"/>
      <c r="AP177" s="12" t="n"/>
      <c r="AQ177" s="12" t="n"/>
      <c r="AR177" s="12" t="n"/>
      <c r="AS177" s="12" t="n"/>
      <c r="AT177" s="12" t="n"/>
      <c r="AU177" s="12" t="n"/>
      <c r="AV177" s="12" t="n"/>
      <c r="AW177" s="12" t="n"/>
      <c r="AX177" s="12" t="n"/>
      <c r="AY177" s="12" t="n"/>
      <c r="AZ177" s="12" t="n"/>
      <c r="BA177" s="12" t="n"/>
      <c r="BB177" s="12" t="n"/>
      <c r="BC177" s="12" t="n"/>
      <c r="BD177" s="12" t="n"/>
      <c r="BE177" s="12" t="n"/>
      <c r="BF177" s="12" t="n"/>
      <c r="BG177" s="12" t="n"/>
      <c r="BH177" s="12" t="n"/>
      <c r="BI177" s="12" t="n"/>
      <c r="BJ177" s="12" t="n"/>
      <c r="BK177" s="12" t="n"/>
      <c r="BL177" s="12" t="n"/>
      <c r="BM177" s="12" t="n"/>
      <c r="BN177" s="12" t="n"/>
      <c r="BO177" s="12" t="n"/>
      <c r="BP177" s="12" t="n"/>
      <c r="BQ177" s="12" t="n"/>
      <c r="BR177" s="12" t="n"/>
      <c r="BS177" s="12" t="n"/>
      <c r="BT177" s="12" t="n"/>
      <c r="BU177" s="12" t="n"/>
      <c r="BV177" s="12" t="n"/>
      <c r="BW177" s="12" t="n"/>
      <c r="BX177" s="12" t="n"/>
      <c r="BY177" s="12" t="n"/>
      <c r="BZ177" s="12" t="n"/>
      <c r="CA177" s="12" t="n"/>
      <c r="CB177" s="12" t="n"/>
      <c r="CC177" s="12" t="n"/>
      <c r="CD177" s="12" t="n"/>
      <c r="CE177" s="12" t="n"/>
      <c r="CF177" s="12" t="n"/>
      <c r="CG177" s="12" t="n"/>
      <c r="CH177" s="12" t="n"/>
      <c r="CI177" s="12" t="n"/>
      <c r="CJ177" s="12" t="n"/>
      <c r="CK177" s="12" t="n"/>
      <c r="CL177" s="12" t="n"/>
      <c r="CM177" s="12" t="n"/>
      <c r="CN177" s="12" t="n"/>
      <c r="CO177" s="12" t="n"/>
      <c r="CP177" s="12" t="n"/>
      <c r="CQ177" s="12" t="n"/>
      <c r="CR177" s="12" t="n"/>
      <c r="CS177" s="12" t="n"/>
      <c r="CT177" s="12" t="n"/>
      <c r="CU177" s="12" t="n"/>
      <c r="CV177" s="12" t="n"/>
      <c r="CW177" s="12" t="n"/>
      <c r="CX177" s="12" t="n"/>
      <c r="CY177" s="12" t="n"/>
    </row>
    <row r="178" collapsed="1">
      <c r="C178" s="14" t="inlineStr">
        <is>
          <t>PP&amp;E</t>
        </is>
      </c>
      <c r="D178" s="46" t="n"/>
      <c r="E178" s="46" t="n"/>
      <c r="F178" s="46" t="n"/>
      <c r="G178" s="46" t="n"/>
      <c r="H178" s="12" t="n"/>
      <c r="I178" s="46">
        <f>'Inputs (2)'!D22</f>
        <v>6358.238</v>
      </c>
      <c r="J178" s="46">
        <f>'Inputs (2)'!E22</f>
        <v>7287.437</v>
      </c>
      <c r="K178" s="46">
        <f>'Inputs (2)'!F22</f>
        <v>9856.908</v>
      </c>
      <c r="L178" s="46">
        <f>'Inputs (2)'!G22</f>
        <v>12140.029</v>
      </c>
      <c r="M178" s="12">
        <f>'Inputs (2)'!H22</f>
        <v>12140.029</v>
      </c>
      <c r="N178" s="46">
        <f>'Inputs (2)'!I22</f>
        <v>12833.83</v>
      </c>
      <c r="O178" s="46">
        <f>'Inputs (2)'!J22</f>
        <v>14798.069</v>
      </c>
      <c r="P178" s="46">
        <f>'Inputs (2)'!K22</f>
        <v>15290.954</v>
      </c>
      <c r="Q178" s="46">
        <f>'Inputs (2)'!L22</f>
        <v>15842.199</v>
      </c>
      <c r="R178" s="12">
        <f>'Inputs (2)'!M22</f>
        <v>15842.199</v>
      </c>
      <c r="S178" s="46">
        <f>'Inputs (2)'!N22</f>
        <v>15303.402</v>
      </c>
      <c r="T178" s="46">
        <f>'Inputs (2)'!O22</f>
        <v>15083.106</v>
      </c>
      <c r="U178" s="46">
        <f>'Inputs (2)'!P22</f>
        <v>16021.303</v>
      </c>
      <c r="V178" s="46">
        <f>'Inputs (2)'!Q22</f>
        <v>18637.281</v>
      </c>
      <c r="W178" s="12">
        <f>'Inputs (2)'!R22</f>
        <v>18637.281</v>
      </c>
      <c r="X178" s="46">
        <f>'Inputs (2)'!S22</f>
        <v>18762.548</v>
      </c>
      <c r="Y178" s="46">
        <f>'Inputs (2)'!T22</f>
        <v>19168.4</v>
      </c>
      <c r="Z178" s="46">
        <f>'Inputs (2)'!U22</f>
        <v>19724.886</v>
      </c>
      <c r="AA178" s="46">
        <f>'Inputs (2)'!V22</f>
        <v>21912.952</v>
      </c>
      <c r="AB178" s="12">
        <f>'Inputs (2)'!W22</f>
        <v>21912.952</v>
      </c>
      <c r="AC178" s="46">
        <f>'Inputs (2)'!X22</f>
        <v>20671.846</v>
      </c>
      <c r="AD178" s="46">
        <f>'Inputs (2)'!Y22</f>
        <v>21464.854</v>
      </c>
      <c r="AE178" s="46">
        <f>'Inputs (2)'!Z22</f>
        <v>21621.948</v>
      </c>
      <c r="AF178" s="46">
        <f>'Inputs (2)'!AA22</f>
        <v>24160.768</v>
      </c>
      <c r="AG178" s="12">
        <f>'Inputs (2)'!AB22</f>
        <v>24160.768</v>
      </c>
      <c r="AH178" s="12">
        <f>'Inputs (2)'!AC22</f>
        <v>23242.795</v>
      </c>
      <c r="AI178" s="12">
        <f>'Inputs (2)'!AD22</f>
        <v>25078.365</v>
      </c>
      <c r="AJ178" s="12">
        <f>AJ183</f>
        <v>25656.2025382416</v>
      </c>
      <c r="AK178" s="12">
        <f>AK183</f>
        <v>26217.6420873741</v>
      </c>
      <c r="AL178" s="12">
        <f>AK178</f>
        <v>26217.6420873741</v>
      </c>
      <c r="AM178" s="12">
        <f>AM183</f>
        <v>26797.7508650154</v>
      </c>
      <c r="AN178" s="12">
        <f>AN183</f>
        <v>27375.5864403516</v>
      </c>
      <c r="AO178" s="12">
        <f>AO183</f>
        <v>27997.5986196559</v>
      </c>
      <c r="AP178" s="12">
        <f>AP183</f>
        <v>28601.9592130612</v>
      </c>
      <c r="AQ178" s="12">
        <f>AP178</f>
        <v>28601.9592130612</v>
      </c>
      <c r="AR178" s="12">
        <f>AR183</f>
        <v>29223.5157200463</v>
      </c>
      <c r="AS178" s="12">
        <f>AS183</f>
        <v>29842.6366085079</v>
      </c>
      <c r="AT178" s="12">
        <f>AT183</f>
        <v>30509.0904398782</v>
      </c>
      <c r="AU178" s="12">
        <f>AU183</f>
        <v>31156.6315112679</v>
      </c>
      <c r="AV178" s="12">
        <f>AU178</f>
        <v>31156.6315112679</v>
      </c>
      <c r="AW178" s="12">
        <f>AW183</f>
        <v>31819.4893308159</v>
      </c>
      <c r="AX178" s="12">
        <f>AX183</f>
        <v>32479.749689368</v>
      </c>
      <c r="AY178" s="12">
        <f>AY183</f>
        <v>33190.488179798</v>
      </c>
      <c r="AZ178" s="12">
        <f>AZ183</f>
        <v>33881.0571913448</v>
      </c>
      <c r="BA178" s="12">
        <f>AZ178</f>
        <v>33881.0571913448</v>
      </c>
      <c r="BB178" s="12">
        <f>BB183</f>
        <v>34584.6464323335</v>
      </c>
      <c r="BC178" s="12">
        <f>BC183</f>
        <v>35285.4786030174</v>
      </c>
      <c r="BD178" s="12">
        <f>BD183</f>
        <v>36039.8906960422</v>
      </c>
      <c r="BE178" s="12">
        <f>BE183</f>
        <v>36772.8939319636</v>
      </c>
      <c r="BF178" s="12">
        <f>BE178</f>
        <v>36772.8939319636</v>
      </c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  <c r="CU178" s="12" t="n"/>
      <c r="CV178" s="12" t="n"/>
      <c r="CW178" s="12" t="n"/>
      <c r="CX178" s="12" t="n"/>
      <c r="CY178" s="12" t="n"/>
    </row>
    <row r="179" hidden="1" outlineLevel="1">
      <c r="C179" s="57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  <c r="AP179" s="12" t="n"/>
      <c r="AQ179" s="12" t="n"/>
      <c r="AR179" s="12" t="n"/>
      <c r="AS179" s="12" t="n"/>
      <c r="AT179" s="12" t="n"/>
      <c r="AU179" s="12" t="n"/>
      <c r="AV179" s="12" t="n"/>
      <c r="AW179" s="12" t="n"/>
      <c r="AX179" s="12" t="n"/>
      <c r="AY179" s="12" t="n"/>
      <c r="AZ179" s="12" t="n"/>
      <c r="BA179" s="12" t="n"/>
      <c r="BB179" s="12" t="n"/>
      <c r="BC179" s="12" t="n"/>
      <c r="BD179" s="12" t="n"/>
      <c r="BE179" s="12" t="n"/>
      <c r="BF179" s="12" t="n"/>
      <c r="BG179" s="12" t="n"/>
      <c r="BH179" s="12" t="n"/>
      <c r="BI179" s="12" t="n"/>
      <c r="BJ179" s="12" t="n"/>
      <c r="BK179" s="12" t="n"/>
      <c r="BL179" s="12" t="n"/>
      <c r="BM179" s="12" t="n"/>
      <c r="BN179" s="12" t="n"/>
      <c r="BO179" s="12" t="n"/>
      <c r="BP179" s="12" t="n"/>
      <c r="BQ179" s="12" t="n"/>
      <c r="BR179" s="12" t="n"/>
      <c r="BS179" s="12" t="n"/>
      <c r="BT179" s="12" t="n"/>
      <c r="BU179" s="12" t="n"/>
      <c r="BV179" s="12" t="n"/>
      <c r="BW179" s="12" t="n"/>
      <c r="BX179" s="12" t="n"/>
      <c r="BY179" s="12" t="n"/>
      <c r="BZ179" s="12" t="n"/>
      <c r="CA179" s="12" t="n"/>
      <c r="CB179" s="12" t="n"/>
      <c r="CC179" s="12" t="n"/>
      <c r="CD179" s="12" t="n"/>
      <c r="CE179" s="12" t="n"/>
      <c r="CF179" s="12" t="n"/>
      <c r="CG179" s="12" t="n"/>
      <c r="CH179" s="12" t="n"/>
      <c r="CI179" s="12" t="n"/>
      <c r="CJ179" s="12" t="n"/>
      <c r="CK179" s="12" t="n"/>
      <c r="CL179" s="12" t="n"/>
      <c r="CM179" s="12" t="n"/>
      <c r="CN179" s="12" t="n"/>
      <c r="CO179" s="12" t="n"/>
      <c r="CP179" s="12" t="n"/>
      <c r="CQ179" s="12" t="n"/>
      <c r="CR179" s="12" t="n"/>
      <c r="CS179" s="12" t="n"/>
      <c r="CT179" s="12" t="n"/>
      <c r="CU179" s="12" t="n"/>
      <c r="CV179" s="12" t="n"/>
      <c r="CW179" s="12" t="n"/>
      <c r="CX179" s="12" t="n"/>
      <c r="CY179" s="12" t="n"/>
    </row>
    <row r="180" hidden="1" outlineLevel="1">
      <c r="C180" s="57" t="inlineStr">
        <is>
          <t>Capital expenditures</t>
        </is>
      </c>
      <c r="D180" s="12" t="n"/>
      <c r="E180" s="12" t="n"/>
      <c r="F180" s="12" t="n"/>
      <c r="G180" s="12" t="n"/>
      <c r="H180" s="12" t="n"/>
      <c r="I180" s="12" t="n"/>
      <c r="J180" s="12">
        <f>J178-I178-J82</f>
        <v>1002.135</v>
      </c>
      <c r="K180" s="12">
        <f>K178-J178-K82</f>
        <v>2680.177</v>
      </c>
      <c r="L180" s="12">
        <f>L178-K178-L82</f>
        <v>2453.552</v>
      </c>
      <c r="M180" s="12" t="n"/>
      <c r="N180" s="12">
        <f>N178-M178-N82</f>
        <v>906.637</v>
      </c>
      <c r="O180" s="12">
        <f>O178-N178-O82</f>
        <v>2205.148</v>
      </c>
      <c r="P180" s="12">
        <f>P178-O178-P82</f>
        <v>793.409</v>
      </c>
      <c r="Q180" s="12">
        <f>Q178-P178-Q82</f>
        <v>932.187000000001</v>
      </c>
      <c r="R180" s="12" t="n"/>
      <c r="S180" s="12">
        <f>S178-R178-S82</f>
        <v>-148.764</v>
      </c>
      <c r="T180" s="12">
        <f>T178-S178-T82</f>
        <v>168.659</v>
      </c>
      <c r="U180" s="12">
        <f>U178-T178-U82</f>
        <v>1350.963</v>
      </c>
      <c r="V180" s="12">
        <f>V178-U178-V82</f>
        <v>3661.99</v>
      </c>
      <c r="W180" s="12" t="n"/>
      <c r="X180" s="12">
        <f>X178-W178-X82</f>
        <v>573.122</v>
      </c>
      <c r="Y180" s="12">
        <f>Y178-X178-Y82</f>
        <v>927.886000000003</v>
      </c>
      <c r="Z180" s="12">
        <f>Z178-Y178-Z82</f>
        <v>1107.764</v>
      </c>
      <c r="AA180" s="12">
        <f>AA178-Z178-AA82</f>
        <v>2747.417</v>
      </c>
      <c r="AB180" s="12" t="n"/>
      <c r="AC180" s="12">
        <f>AC178-AB178-AC82</f>
        <v>-668.732</v>
      </c>
      <c r="AD180" s="12">
        <f>AD178-AC178-AD82</f>
        <v>1386.741</v>
      </c>
      <c r="AE180" s="12">
        <f>AE178-AD178-AE82</f>
        <v>781.659000000001</v>
      </c>
      <c r="AF180" s="11">
        <f>AF178-AE178-AF82</f>
        <v>3178.1792426</v>
      </c>
      <c r="AG180" s="12">
        <f>SUM(AC180:AF180)</f>
        <v>4677.8472426</v>
      </c>
      <c r="AH180" s="11">
        <f>AH178-AG178-AH82</f>
        <v>-267.387078600002</v>
      </c>
      <c r="AI180" s="11">
        <f>AI178-AH178-AI82</f>
        <v>2507.1336214</v>
      </c>
      <c r="AJ180" s="11">
        <f>AJ15*Control!$B$24</f>
        <v>1262.10379943244</v>
      </c>
      <c r="AK180" s="11">
        <f>AK15*Control!$B$24</f>
        <v>1226.28756565032</v>
      </c>
      <c r="AL180" s="12" t="n"/>
      <c r="AM180" s="11">
        <f>AM15*Control!$C$24</f>
        <v>1267.06460534431</v>
      </c>
      <c r="AN180" s="11">
        <f>AN15*Control!$C$24</f>
        <v>1262.09951208482</v>
      </c>
      <c r="AO180" s="11">
        <f>AO15*Control!$C$24</f>
        <v>1358.58936610829</v>
      </c>
      <c r="AP180" s="11">
        <f>AP15*Control!$C$24</f>
        <v>1320.03504563773</v>
      </c>
      <c r="AQ180" s="12" t="n"/>
      <c r="AR180" s="11">
        <f>AR15*Control!$D$24</f>
        <v>1357.59409368774</v>
      </c>
      <c r="AS180" s="11">
        <f>AS15*Control!$D$24</f>
        <v>1352.27425344024</v>
      </c>
      <c r="AT180" s="11">
        <f>AT15*Control!$D$24</f>
        <v>1455.658134081</v>
      </c>
      <c r="AU180" s="11">
        <f>AU15*Control!$D$24</f>
        <v>1414.34917671907</v>
      </c>
      <c r="AV180" s="12" t="n"/>
      <c r="AW180" s="11">
        <f>AW15*Control!$E$24</f>
        <v>1447.80378076669</v>
      </c>
      <c r="AX180" s="11">
        <f>AX15*Control!$E$24</f>
        <v>1442.13044669782</v>
      </c>
      <c r="AY180" s="11">
        <f>AY15*Control!$E$24</f>
        <v>1552.3840003616</v>
      </c>
      <c r="AZ180" s="11">
        <f>AZ15*Control!$E$24</f>
        <v>1508.33013704103</v>
      </c>
      <c r="BA180" s="12" t="n"/>
      <c r="BB180" s="11">
        <f>BB15*Control!$F$24</f>
        <v>1536.76872048491</v>
      </c>
      <c r="BC180" s="11">
        <f>BC15*Control!$F$24</f>
        <v>1530.74677023605</v>
      </c>
      <c r="BD180" s="11">
        <f>BD15*Control!$F$24</f>
        <v>1647.7752065778</v>
      </c>
      <c r="BE180" s="11">
        <f>BE15*Control!$F$24</f>
        <v>1601.01431254855</v>
      </c>
      <c r="BF180" s="12" t="n"/>
      <c r="BG180" s="11" t="n"/>
      <c r="BH180" s="11" t="n"/>
      <c r="BI180" s="11" t="n"/>
      <c r="BJ180" s="11" t="n"/>
      <c r="BK180" s="12" t="n"/>
      <c r="BL180" s="11" t="n"/>
      <c r="BM180" s="11" t="n"/>
      <c r="BN180" s="11" t="n"/>
      <c r="BO180" s="11" t="n"/>
      <c r="BP180" s="12" t="n"/>
      <c r="BQ180" s="11" t="n"/>
      <c r="BR180" s="11" t="n"/>
      <c r="BS180" s="11" t="n"/>
      <c r="BT180" s="11" t="n"/>
      <c r="BU180" s="12" t="n"/>
      <c r="BV180" s="11" t="n"/>
      <c r="BW180" s="11" t="n"/>
      <c r="BX180" s="11" t="n"/>
      <c r="BY180" s="11" t="n"/>
      <c r="BZ180" s="12" t="n"/>
      <c r="CA180" s="11" t="n"/>
      <c r="CB180" s="11" t="n"/>
      <c r="CC180" s="11" t="n"/>
      <c r="CD180" s="11" t="n"/>
      <c r="CE180" s="12" t="n"/>
      <c r="CF180" s="11" t="n"/>
      <c r="CG180" s="11" t="n"/>
      <c r="CH180" s="11" t="n"/>
      <c r="CI180" s="11" t="n"/>
      <c r="CJ180" s="12" t="n"/>
      <c r="CK180" s="11" t="n"/>
      <c r="CL180" s="11" t="n"/>
      <c r="CM180" s="11" t="n"/>
      <c r="CN180" s="11" t="n"/>
      <c r="CO180" s="12" t="n"/>
      <c r="CP180" s="11" t="n"/>
      <c r="CQ180" s="11" t="n"/>
      <c r="CR180" s="11" t="n"/>
      <c r="CS180" s="11" t="n"/>
      <c r="CT180" s="12" t="n"/>
      <c r="CU180" s="11" t="n"/>
      <c r="CV180" s="11" t="n"/>
      <c r="CW180" s="11" t="n"/>
      <c r="CX180" s="11" t="n"/>
      <c r="CY180" s="12" t="n"/>
    </row>
    <row r="181" hidden="1" outlineLevel="1">
      <c r="C181" s="57" t="inlineStr">
        <is>
          <t>Recurring asset sales (enter as -)</t>
        </is>
      </c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>
        <f>SUM(I181:L181)</f>
        <v>0</v>
      </c>
      <c r="N181" s="12" t="n"/>
      <c r="O181" s="12" t="n"/>
      <c r="P181" s="12" t="n"/>
      <c r="Q181" s="12" t="n"/>
      <c r="R181" s="12">
        <f>SUM(N181:Q181)</f>
        <v>0</v>
      </c>
      <c r="S181" s="12" t="n"/>
      <c r="T181" s="12" t="n"/>
      <c r="U181" s="12" t="n"/>
      <c r="V181" s="12" t="n"/>
      <c r="W181" s="12">
        <f>SUM(S181:V181)</f>
        <v>0</v>
      </c>
      <c r="X181" s="12" t="n"/>
      <c r="Y181" s="12" t="n"/>
      <c r="Z181" s="12" t="n"/>
      <c r="AA181" s="12" t="n"/>
      <c r="AB181" s="12">
        <f>SUM(X181:AA181)</f>
        <v>0</v>
      </c>
      <c r="AC181" s="12" t="n"/>
      <c r="AD181" s="12" t="n"/>
      <c r="AE181" s="12" t="n"/>
      <c r="AF181" s="11" t="n"/>
      <c r="AG181" s="12">
        <f>SUM(AC181:AF181)</f>
        <v>0</v>
      </c>
      <c r="AH181" s="11" t="n"/>
      <c r="AI181" s="11" t="n"/>
      <c r="AJ181" s="11">
        <f>0</f>
        <v>0</v>
      </c>
      <c r="AK181" s="11">
        <f>0</f>
        <v>0</v>
      </c>
      <c r="AL181" s="12" t="n"/>
      <c r="AM181" s="11">
        <f>0</f>
        <v>0</v>
      </c>
      <c r="AN181" s="11">
        <f>0</f>
        <v>0</v>
      </c>
      <c r="AO181" s="11">
        <f>0</f>
        <v>0</v>
      </c>
      <c r="AP181" s="11">
        <f>0</f>
        <v>0</v>
      </c>
      <c r="AQ181" s="12" t="n"/>
      <c r="AR181" s="11">
        <f>0</f>
        <v>0</v>
      </c>
      <c r="AS181" s="11">
        <f>0</f>
        <v>0</v>
      </c>
      <c r="AT181" s="11">
        <f>0</f>
        <v>0</v>
      </c>
      <c r="AU181" s="11">
        <f>0</f>
        <v>0</v>
      </c>
      <c r="AV181" s="12" t="n"/>
      <c r="AW181" s="11">
        <f>0</f>
        <v>0</v>
      </c>
      <c r="AX181" s="11">
        <f>0</f>
        <v>0</v>
      </c>
      <c r="AY181" s="11">
        <f>0</f>
        <v>0</v>
      </c>
      <c r="AZ181" s="11">
        <f>0</f>
        <v>0</v>
      </c>
      <c r="BA181" s="12" t="n"/>
      <c r="BB181" s="11">
        <f>0</f>
        <v>0</v>
      </c>
      <c r="BC181" s="11">
        <f>0</f>
        <v>0</v>
      </c>
      <c r="BD181" s="11">
        <f>0</f>
        <v>0</v>
      </c>
      <c r="BE181" s="11">
        <f>0</f>
        <v>0</v>
      </c>
      <c r="BF181" s="12" t="n"/>
      <c r="BG181" s="11" t="n"/>
      <c r="BH181" s="11" t="n"/>
      <c r="BI181" s="11" t="n"/>
      <c r="BJ181" s="11" t="n"/>
      <c r="BK181" s="12" t="n"/>
      <c r="BL181" s="11" t="n"/>
      <c r="BM181" s="11" t="n"/>
      <c r="BN181" s="11" t="n"/>
      <c r="BO181" s="11" t="n"/>
      <c r="BP181" s="12" t="n"/>
      <c r="BQ181" s="11" t="n"/>
      <c r="BR181" s="11" t="n"/>
      <c r="BS181" s="11" t="n"/>
      <c r="BT181" s="11" t="n"/>
      <c r="BU181" s="12" t="n"/>
      <c r="BV181" s="11" t="n"/>
      <c r="BW181" s="11" t="n"/>
      <c r="BX181" s="11" t="n"/>
      <c r="BY181" s="11" t="n"/>
      <c r="BZ181" s="12" t="n"/>
      <c r="CA181" s="11" t="n"/>
      <c r="CB181" s="11" t="n"/>
      <c r="CC181" s="11" t="n"/>
      <c r="CD181" s="11" t="n"/>
      <c r="CE181" s="12" t="n"/>
      <c r="CF181" s="11" t="n"/>
      <c r="CG181" s="11" t="n"/>
      <c r="CH181" s="11" t="n"/>
      <c r="CI181" s="11" t="n"/>
      <c r="CJ181" s="12" t="n"/>
      <c r="CK181" s="11" t="n"/>
      <c r="CL181" s="11" t="n"/>
      <c r="CM181" s="11" t="n"/>
      <c r="CN181" s="11" t="n"/>
      <c r="CO181" s="12" t="n"/>
      <c r="CP181" s="11" t="n"/>
      <c r="CQ181" s="11" t="n"/>
      <c r="CR181" s="11" t="n"/>
      <c r="CS181" s="11" t="n"/>
      <c r="CT181" s="12" t="n"/>
      <c r="CU181" s="11" t="n"/>
      <c r="CV181" s="11" t="n"/>
      <c r="CW181" s="11" t="n"/>
      <c r="CX181" s="11" t="n"/>
      <c r="CY181" s="12" t="n"/>
    </row>
    <row r="182" hidden="1" outlineLevel="1">
      <c r="C182" s="57" t="inlineStr">
        <is>
          <t>Depreciation</t>
        </is>
      </c>
      <c r="D182" s="12" t="n"/>
      <c r="E182" s="12" t="n"/>
      <c r="F182" s="12" t="n"/>
      <c r="G182" s="12" t="n"/>
      <c r="H182" s="12" t="n"/>
      <c r="I182" s="12">
        <f>I82</f>
        <v>-62.178</v>
      </c>
      <c r="J182" s="12">
        <f>J82</f>
        <v>-72.936</v>
      </c>
      <c r="K182" s="12">
        <f>K82</f>
        <v>-110.706</v>
      </c>
      <c r="L182" s="12">
        <f>L82</f>
        <v>-170.431</v>
      </c>
      <c r="M182" s="12" t="n"/>
      <c r="N182" s="12">
        <f>N82</f>
        <v>-212.836</v>
      </c>
      <c r="O182" s="12">
        <f>O82</f>
        <v>-240.909</v>
      </c>
      <c r="P182" s="12">
        <f>P82</f>
        <v>-300.524</v>
      </c>
      <c r="Q182" s="12">
        <f>Q82</f>
        <v>-380.942</v>
      </c>
      <c r="R182" s="12" t="n"/>
      <c r="S182" s="12">
        <f>S82</f>
        <v>-390.033</v>
      </c>
      <c r="T182" s="12">
        <f>T82</f>
        <v>-388.955</v>
      </c>
      <c r="U182" s="12">
        <f>U82</f>
        <v>-412.766</v>
      </c>
      <c r="V182" s="12">
        <f>V82</f>
        <v>-1046.012</v>
      </c>
      <c r="W182" s="12" t="n"/>
      <c r="X182" s="12">
        <f>X82</f>
        <v>-447.855</v>
      </c>
      <c r="Y182" s="12">
        <f>Y82</f>
        <v>-522.034</v>
      </c>
      <c r="Z182" s="12">
        <f>Z82</f>
        <v>-551.278</v>
      </c>
      <c r="AA182" s="12">
        <f>AA82</f>
        <v>-559.351</v>
      </c>
      <c r="AB182" s="12" t="n"/>
      <c r="AC182" s="12">
        <f>AC82</f>
        <v>-572.374</v>
      </c>
      <c r="AD182" s="12">
        <f>AD82</f>
        <v>-593.733</v>
      </c>
      <c r="AE182" s="12">
        <f>AE82</f>
        <v>-624.565</v>
      </c>
      <c r="AF182" s="12">
        <f>AF82</f>
        <v>-639.3592426</v>
      </c>
      <c r="AG182" s="12" t="n"/>
      <c r="AH182" s="12">
        <f>AH82</f>
        <v>-650.5859214</v>
      </c>
      <c r="AI182" s="12">
        <f>AI82</f>
        <v>-671.5636214</v>
      </c>
      <c r="AJ182" s="12">
        <f>AJ82</f>
        <v>-684.266261190816</v>
      </c>
      <c r="AK182" s="12">
        <f>AK82</f>
        <v>-664.848016517875</v>
      </c>
      <c r="AL182" s="12" t="n"/>
      <c r="AM182" s="12">
        <f>AM82</f>
        <v>-686.955827702969</v>
      </c>
      <c r="AN182" s="12">
        <f>AN82</f>
        <v>-684.263936748624</v>
      </c>
      <c r="AO182" s="12">
        <f>AO82</f>
        <v>-736.577186803951</v>
      </c>
      <c r="AP182" s="12">
        <f>AP82</f>
        <v>-715.674452232507</v>
      </c>
      <c r="AQ182" s="12" t="n"/>
      <c r="AR182" s="12">
        <f>AR82</f>
        <v>-736.037586702608</v>
      </c>
      <c r="AS182" s="12">
        <f>AS82</f>
        <v>-733.153364978589</v>
      </c>
      <c r="AT182" s="12">
        <f>AT82</f>
        <v>-789.204302710704</v>
      </c>
      <c r="AU182" s="12">
        <f>AU82</f>
        <v>-766.808105329432</v>
      </c>
      <c r="AV182" s="12" t="n"/>
      <c r="AW182" s="12">
        <f>AW82</f>
        <v>-784.945961218607</v>
      </c>
      <c r="AX182" s="12">
        <f>AX82</f>
        <v>-781.870088145779</v>
      </c>
      <c r="AY182" s="12">
        <f>AY82</f>
        <v>-841.645509931563</v>
      </c>
      <c r="AZ182" s="12">
        <f>AZ82</f>
        <v>-817.761125494295</v>
      </c>
      <c r="BA182" s="12" t="n"/>
      <c r="BB182" s="12">
        <f>BB82</f>
        <v>-833.179479496129</v>
      </c>
      <c r="BC182" s="12">
        <f>BC82</f>
        <v>-829.914599552245</v>
      </c>
      <c r="BD182" s="12">
        <f>BD82</f>
        <v>-893.363113552907</v>
      </c>
      <c r="BE182" s="12">
        <f>BE82</f>
        <v>-868.011076627162</v>
      </c>
      <c r="BF182" s="12" t="n"/>
      <c r="BG182" s="12" t="n"/>
      <c r="BH182" s="12" t="n"/>
      <c r="BI182" s="12" t="n"/>
      <c r="BJ182" s="12" t="n"/>
      <c r="BK182" s="12" t="n"/>
      <c r="BL182" s="12" t="n"/>
      <c r="BM182" s="12" t="n"/>
      <c r="BN182" s="12" t="n"/>
      <c r="BO182" s="12" t="n"/>
      <c r="BP182" s="12" t="n"/>
      <c r="BQ182" s="12" t="n"/>
      <c r="BR182" s="12" t="n"/>
      <c r="BS182" s="12" t="n"/>
      <c r="BT182" s="12" t="n"/>
      <c r="BU182" s="12" t="n"/>
      <c r="BV182" s="12" t="n"/>
      <c r="BW182" s="12" t="n"/>
      <c r="BX182" s="12" t="n"/>
      <c r="BY182" s="12" t="n"/>
      <c r="BZ182" s="12" t="n"/>
      <c r="CA182" s="12" t="n"/>
      <c r="CB182" s="12" t="n"/>
      <c r="CC182" s="12" t="n"/>
      <c r="CD182" s="12" t="n"/>
      <c r="CE182" s="12" t="n"/>
      <c r="CF182" s="12" t="n"/>
      <c r="CG182" s="12" t="n"/>
      <c r="CH182" s="12" t="n"/>
      <c r="CI182" s="12" t="n"/>
      <c r="CJ182" s="12" t="n"/>
      <c r="CK182" s="12" t="n"/>
      <c r="CL182" s="12" t="n"/>
      <c r="CM182" s="12" t="n"/>
      <c r="CN182" s="12" t="n"/>
      <c r="CO182" s="12" t="n"/>
      <c r="CP182" s="12" t="n"/>
      <c r="CQ182" s="12" t="n"/>
      <c r="CR182" s="12" t="n"/>
      <c r="CS182" s="12" t="n"/>
      <c r="CT182" s="12" t="n"/>
      <c r="CU182" s="12" t="n"/>
      <c r="CV182" s="12" t="n"/>
      <c r="CW182" s="12" t="n"/>
      <c r="CX182" s="12" t="n"/>
      <c r="CY182" s="12" t="n"/>
    </row>
    <row r="183" hidden="1" outlineLevel="1">
      <c r="C183" s="57" t="inlineStr">
        <is>
          <t>PP&amp;E</t>
        </is>
      </c>
      <c r="D183" s="12" t="n"/>
      <c r="E183" s="12" t="n"/>
      <c r="F183" s="12" t="n"/>
      <c r="G183" s="12" t="n"/>
      <c r="H183" s="12" t="n"/>
      <c r="I183" s="12">
        <f>I178</f>
        <v>6358.238</v>
      </c>
      <c r="J183" s="12">
        <f>J178</f>
        <v>7287.437</v>
      </c>
      <c r="K183" s="12">
        <f>K178</f>
        <v>9856.908</v>
      </c>
      <c r="L183" s="12">
        <f>L178</f>
        <v>12140.029</v>
      </c>
      <c r="M183" s="12" t="n"/>
      <c r="N183" s="12">
        <f>N178</f>
        <v>12833.83</v>
      </c>
      <c r="O183" s="12">
        <f>O178</f>
        <v>14798.069</v>
      </c>
      <c r="P183" s="12">
        <f>P178</f>
        <v>15290.954</v>
      </c>
      <c r="Q183" s="12">
        <f>Q178</f>
        <v>15842.199</v>
      </c>
      <c r="R183" s="12" t="n"/>
      <c r="S183" s="12">
        <f>S178</f>
        <v>15303.402</v>
      </c>
      <c r="T183" s="12">
        <f>T178</f>
        <v>15083.106</v>
      </c>
      <c r="U183" s="12">
        <f>U178</f>
        <v>16021.303</v>
      </c>
      <c r="V183" s="12">
        <f>V178</f>
        <v>18637.281</v>
      </c>
      <c r="W183" s="12" t="n"/>
      <c r="X183" s="12">
        <f>X178</f>
        <v>18762.548</v>
      </c>
      <c r="Y183" s="12">
        <f>Y178</f>
        <v>19168.4</v>
      </c>
      <c r="Z183" s="12">
        <f>Z178</f>
        <v>19724.886</v>
      </c>
      <c r="AA183" s="12">
        <f>Y183+SUM(AA180:AA182)</f>
        <v>21356.466</v>
      </c>
      <c r="AB183" s="12" t="n"/>
      <c r="AC183" s="12">
        <f>AC178</f>
        <v>20671.846</v>
      </c>
      <c r="AD183" s="12">
        <f>AD178</f>
        <v>21464.854</v>
      </c>
      <c r="AE183" s="12">
        <f>AE178</f>
        <v>21621.948</v>
      </c>
      <c r="AF183" s="12">
        <f>AF178</f>
        <v>24160.768</v>
      </c>
      <c r="AG183" s="12" t="n"/>
      <c r="AH183" s="12">
        <f>AH178</f>
        <v>23242.795</v>
      </c>
      <c r="AI183" s="12">
        <f>AI178</f>
        <v>25078.365</v>
      </c>
      <c r="AJ183" s="12">
        <f>AI183+SUM(AJ180:AJ182)</f>
        <v>25656.2025382416</v>
      </c>
      <c r="AK183" s="12">
        <f>AJ183+SUM(AK180:AK182)</f>
        <v>26217.6420873741</v>
      </c>
      <c r="AL183" s="12" t="n"/>
      <c r="AM183" s="12">
        <f>AK183+SUM(AM180:AM182)</f>
        <v>26797.7508650154</v>
      </c>
      <c r="AN183" s="12">
        <f>AM183+SUM(AN180:AN182)</f>
        <v>27375.5864403516</v>
      </c>
      <c r="AO183" s="12">
        <f>AN183+SUM(AO180:AO182)</f>
        <v>27997.5986196559</v>
      </c>
      <c r="AP183" s="12">
        <f>AO183+SUM(AP180:AP182)</f>
        <v>28601.9592130612</v>
      </c>
      <c r="AQ183" s="12" t="n"/>
      <c r="AR183" s="12">
        <f>AP183+SUM(AR180:AR182)</f>
        <v>29223.5157200463</v>
      </c>
      <c r="AS183" s="12">
        <f>AR183+SUM(AS180:AS182)</f>
        <v>29842.6366085079</v>
      </c>
      <c r="AT183" s="12">
        <f>AS183+SUM(AT180:AT182)</f>
        <v>30509.0904398782</v>
      </c>
      <c r="AU183" s="12">
        <f>AT183+SUM(AU180:AU182)</f>
        <v>31156.6315112679</v>
      </c>
      <c r="AV183" s="12" t="n"/>
      <c r="AW183" s="12">
        <f>AU183+SUM(AW180:AW182)</f>
        <v>31819.4893308159</v>
      </c>
      <c r="AX183" s="12">
        <f>AW183+SUM(AX180:AX182)</f>
        <v>32479.749689368</v>
      </c>
      <c r="AY183" s="12">
        <f>AX183+SUM(AY180:AY182)</f>
        <v>33190.488179798</v>
      </c>
      <c r="AZ183" s="12">
        <f>AY183+SUM(AZ180:AZ182)</f>
        <v>33881.0571913448</v>
      </c>
      <c r="BA183" s="12" t="n"/>
      <c r="BB183" s="12">
        <f>AZ183+SUM(BB180:BB182)</f>
        <v>34584.6464323335</v>
      </c>
      <c r="BC183" s="12">
        <f>BB183+SUM(BC180:BC182)</f>
        <v>35285.4786030174</v>
      </c>
      <c r="BD183" s="12">
        <f>BC183+SUM(BD180:BD182)</f>
        <v>36039.8906960422</v>
      </c>
      <c r="BE183" s="12">
        <f>BD183+SUM(BE180:BE182)</f>
        <v>36772.8939319636</v>
      </c>
      <c r="BF183" s="12" t="n"/>
      <c r="BG183" s="12" t="n"/>
      <c r="BH183" s="12" t="n"/>
      <c r="BI183" s="12" t="n"/>
      <c r="BJ183" s="12" t="n"/>
      <c r="BK183" s="12" t="n"/>
      <c r="BL183" s="12" t="n"/>
      <c r="BM183" s="12" t="n"/>
      <c r="BN183" s="12" t="n"/>
      <c r="BO183" s="12" t="n"/>
      <c r="BP183" s="12" t="n"/>
      <c r="BQ183" s="12" t="n"/>
      <c r="BR183" s="12" t="n"/>
      <c r="BS183" s="12" t="n"/>
      <c r="BT183" s="12" t="n"/>
      <c r="BU183" s="12" t="n"/>
      <c r="BV183" s="12" t="n"/>
      <c r="BW183" s="12" t="n"/>
      <c r="BX183" s="12" t="n"/>
      <c r="BY183" s="12" t="n"/>
      <c r="BZ183" s="12" t="n"/>
      <c r="CA183" s="12" t="n"/>
      <c r="CB183" s="12" t="n"/>
      <c r="CC183" s="12" t="n"/>
      <c r="CD183" s="12" t="n"/>
      <c r="CE183" s="12" t="n"/>
      <c r="CF183" s="12" t="n"/>
      <c r="CG183" s="12" t="n"/>
      <c r="CH183" s="12" t="n"/>
      <c r="CI183" s="12" t="n"/>
      <c r="CJ183" s="12" t="n"/>
      <c r="CK183" s="12" t="n"/>
      <c r="CL183" s="12" t="n"/>
      <c r="CM183" s="12" t="n"/>
      <c r="CN183" s="12" t="n"/>
      <c r="CO183" s="12" t="n"/>
      <c r="CP183" s="12" t="n"/>
      <c r="CQ183" s="12" t="n"/>
      <c r="CR183" s="12" t="n"/>
      <c r="CS183" s="12" t="n"/>
      <c r="CT183" s="12" t="n"/>
      <c r="CU183" s="12" t="n"/>
      <c r="CV183" s="12" t="n"/>
      <c r="CW183" s="12" t="n"/>
      <c r="CX183" s="12" t="n"/>
      <c r="CY183" s="12" t="n"/>
    </row>
    <row r="184" hidden="1" outlineLevel="1">
      <c r="C184" s="57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>
        <f>IF(AJ15=0,"",AJ180/AJ15)</f>
        <v>0.311343445469442</v>
      </c>
      <c r="AK184" s="12">
        <f>IF(AK15=0,"",AK180/AK15)</f>
        <v>0.311343445469442</v>
      </c>
      <c r="AL184" s="12" t="n"/>
      <c r="AM184" s="12">
        <f>IF(AM15=0,"",AM180/AM15)</f>
        <v>0.311343445469442</v>
      </c>
      <c r="AN184" s="12">
        <f>IF(AN15=0,"",AN180/AN15)</f>
        <v>0.311343445469442</v>
      </c>
      <c r="AO184" s="12">
        <f>IF(AO15=0,"",AO180/AO15)</f>
        <v>0.311343445469442</v>
      </c>
      <c r="AP184" s="12">
        <f>IF(AP15=0,"",AP180/AP15)</f>
        <v>0.311343445469442</v>
      </c>
      <c r="AQ184" s="12" t="n"/>
      <c r="AR184" s="12">
        <f>IF(AR15=0,"",AR180/AR15)</f>
        <v>0.311343445469442</v>
      </c>
      <c r="AS184" s="12">
        <f>IF(AS15=0,"",AS180/AS15)</f>
        <v>0.311343445469442</v>
      </c>
      <c r="AT184" s="12">
        <f>IF(AT15=0,"",AT180/AT15)</f>
        <v>0.311343445469442</v>
      </c>
      <c r="AU184" s="12">
        <f>IF(AU15=0,"",AU180/AU15)</f>
        <v>0.311343445469442</v>
      </c>
      <c r="AV184" s="12" t="n"/>
      <c r="AW184" s="12">
        <f>IF(AW15=0,"",AW180/AW15)</f>
        <v>0.311343445469442</v>
      </c>
      <c r="AX184" s="12">
        <f>IF(AX15=0,"",AX180/AX15)</f>
        <v>0.311343445469442</v>
      </c>
      <c r="AY184" s="12">
        <f>IF(AY15=0,"",AY180/AY15)</f>
        <v>0.311343445469442</v>
      </c>
      <c r="AZ184" s="12">
        <f>IF(AZ15=0,"",AZ180/AZ15)</f>
        <v>0.311343445469442</v>
      </c>
      <c r="BA184" s="12" t="n"/>
      <c r="BB184" s="12">
        <f>IF(BB15=0,"",BB180/BB15)</f>
        <v>0.311343445469442</v>
      </c>
      <c r="BC184" s="12">
        <f>IF(BC15=0,"",BC180/BC15)</f>
        <v>0.311343445469442</v>
      </c>
      <c r="BD184" s="12">
        <f>IF(BD15=0,"",BD180/BD15)</f>
        <v>0.311343445469442</v>
      </c>
      <c r="BE184" s="12">
        <f>IF(BE15=0,"",BE180/BE15)</f>
        <v>0.311343445469442</v>
      </c>
      <c r="BF184" s="12" t="n"/>
      <c r="BG184" s="12" t="n"/>
      <c r="BH184" s="12" t="n"/>
      <c r="BI184" s="12" t="n"/>
      <c r="BJ184" s="12" t="n"/>
      <c r="BK184" s="12" t="n"/>
      <c r="BL184" s="12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  <c r="CA184" s="12" t="n"/>
      <c r="CB184" s="12" t="n"/>
      <c r="CC184" s="12" t="n"/>
      <c r="CD184" s="12" t="n"/>
      <c r="CE184" s="12" t="n"/>
      <c r="CF184" s="12" t="n"/>
      <c r="CG184" s="12" t="n"/>
      <c r="CH184" s="12" t="n"/>
      <c r="CI184" s="12" t="n"/>
      <c r="CJ184" s="12" t="n"/>
      <c r="CK184" s="12" t="n"/>
      <c r="CL184" s="12" t="n"/>
      <c r="CM184" s="12" t="n"/>
      <c r="CN184" s="12" t="n"/>
      <c r="CO184" s="12" t="n"/>
      <c r="CP184" s="12" t="n"/>
      <c r="CQ184" s="12" t="n"/>
      <c r="CR184" s="12" t="n"/>
      <c r="CS184" s="12" t="n"/>
      <c r="CT184" s="12" t="n"/>
      <c r="CU184" s="12" t="n"/>
      <c r="CV184" s="12" t="n"/>
      <c r="CW184" s="12" t="n"/>
      <c r="CX184" s="12" t="n"/>
      <c r="CY184" s="12" t="n"/>
    </row>
    <row r="185" hidden="1" outlineLevel="1">
      <c r="C185" s="57" t="inlineStr">
        <is>
          <t>Capital expenditures (% Net Revenues)</t>
        </is>
      </c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58">
        <f>IFERROR(AF180/AF15,"")</f>
        <v>0.868598202504993</v>
      </c>
      <c r="AG185" s="58">
        <f>IFERROR(AG180/AG15,"")</f>
        <v>0.318826994118939</v>
      </c>
      <c r="AH185" s="58">
        <f>IFERROR(AH180/AH15,"")</f>
        <v>-0.0707252548382811</v>
      </c>
      <c r="AI185" s="58">
        <f>IFERROR(AI180/AI15,"")</f>
        <v>0.665758540152661</v>
      </c>
      <c r="AJ185" s="58">
        <f>IFERROR(AJ180/AJ15,"")</f>
        <v>0.311343445469442</v>
      </c>
      <c r="AK185" s="58">
        <f>IFERROR(AK180/AK15,"")</f>
        <v>0.311343445469442</v>
      </c>
      <c r="AL185" s="58">
        <f>IFERROR(AL180/AL15,"")</f>
        <v>0</v>
      </c>
      <c r="AM185" s="58">
        <f>IFERROR(AM180/AM15,"")</f>
        <v>0.311343445469442</v>
      </c>
      <c r="AN185" s="58">
        <f>IFERROR(AN180/AN15,"")</f>
        <v>0.311343445469442</v>
      </c>
      <c r="AO185" s="58">
        <f>IFERROR(AO180/AO15,"")</f>
        <v>0.311343445469442</v>
      </c>
      <c r="AP185" s="58">
        <f>IFERROR(AP180/AP15,"")</f>
        <v>0.311343445469442</v>
      </c>
      <c r="AQ185" s="58">
        <f>IFERROR(AQ180/AQ15,"")</f>
        <v>0</v>
      </c>
      <c r="AR185" s="58">
        <f>IFERROR(AR180/AR15,"")</f>
        <v>0.311343445469442</v>
      </c>
      <c r="AS185" s="58">
        <f>IFERROR(AS180/AS15,"")</f>
        <v>0.311343445469442</v>
      </c>
      <c r="AT185" s="58">
        <f>IFERROR(AT180/AT15,"")</f>
        <v>0.311343445469442</v>
      </c>
      <c r="AU185" s="58">
        <f>IFERROR(AU180/AU15,"")</f>
        <v>0.311343445469442</v>
      </c>
      <c r="AV185" s="58">
        <f>IFERROR(AV180/AV15,"")</f>
        <v>0</v>
      </c>
      <c r="AW185" s="58">
        <f>IFERROR(AW180/AW15,"")</f>
        <v>0.311343445469442</v>
      </c>
      <c r="AX185" s="58">
        <f>IFERROR(AX180/AX15,"")</f>
        <v>0.311343445469442</v>
      </c>
      <c r="AY185" s="58">
        <f>IFERROR(AY180/AY15,"")</f>
        <v>0.311343445469442</v>
      </c>
      <c r="AZ185" s="58">
        <f>IFERROR(AZ180/AZ15,"")</f>
        <v>0.311343445469442</v>
      </c>
      <c r="BA185" s="58">
        <f>IFERROR(BA180/BA15,"")</f>
        <v>0</v>
      </c>
      <c r="BB185" s="58">
        <f>IFERROR(BB180/BB15,"")</f>
        <v>0.311343445469442</v>
      </c>
      <c r="BC185" s="58">
        <f>IFERROR(BC180/BC15,"")</f>
        <v>0.311343445469442</v>
      </c>
      <c r="BD185" s="58">
        <f>IFERROR(BD180/BD15,"")</f>
        <v>0.311343445469442</v>
      </c>
      <c r="BE185" s="58">
        <f>IFERROR(BE180/BE15,"")</f>
        <v>0.311343445469442</v>
      </c>
      <c r="BF185" s="58">
        <f>IFERROR(BF180/BF15,"")</f>
        <v>0</v>
      </c>
      <c r="BG185" s="58" t="n"/>
      <c r="BH185" s="58" t="n"/>
      <c r="BI185" s="58" t="n"/>
      <c r="BJ185" s="58" t="n"/>
      <c r="BK185" s="58" t="n"/>
      <c r="BL185" s="58" t="n"/>
      <c r="BM185" s="58" t="n"/>
      <c r="BN185" s="58" t="n"/>
      <c r="BO185" s="58" t="n"/>
      <c r="BP185" s="58" t="n"/>
      <c r="BQ185" s="58" t="n"/>
      <c r="BR185" s="58" t="n"/>
      <c r="BS185" s="58" t="n"/>
      <c r="BT185" s="58" t="n"/>
      <c r="BU185" s="58" t="n"/>
      <c r="BV185" s="58" t="n"/>
      <c r="BW185" s="58" t="n"/>
      <c r="BX185" s="58" t="n"/>
      <c r="BY185" s="58" t="n"/>
      <c r="BZ185" s="58" t="n"/>
      <c r="CA185" s="58" t="n"/>
      <c r="CB185" s="58" t="n"/>
      <c r="CC185" s="58" t="n"/>
      <c r="CD185" s="58" t="n"/>
      <c r="CE185" s="58" t="n"/>
      <c r="CF185" s="58" t="n"/>
      <c r="CG185" s="58" t="n"/>
      <c r="CH185" s="58" t="n"/>
      <c r="CI185" s="58" t="n"/>
      <c r="CJ185" s="58" t="n"/>
      <c r="CK185" s="58" t="n"/>
      <c r="CL185" s="58" t="n"/>
      <c r="CM185" s="58" t="n"/>
      <c r="CN185" s="58" t="n"/>
      <c r="CO185" s="58" t="n"/>
      <c r="CP185" s="58" t="n"/>
      <c r="CQ185" s="58" t="n"/>
      <c r="CR185" s="58" t="n"/>
      <c r="CS185" s="58" t="n"/>
      <c r="CT185" s="58" t="n"/>
      <c r="CU185" s="58" t="n"/>
      <c r="CV185" s="58" t="n"/>
      <c r="CW185" s="58" t="n"/>
      <c r="CX185" s="58" t="n"/>
      <c r="CY185" s="58" t="n"/>
    </row>
    <row r="186" hidden="1" outlineLevel="1">
      <c r="C186" s="57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2" t="n"/>
      <c r="AZ186" s="12" t="n"/>
      <c r="BA186" s="12" t="n"/>
      <c r="BB186" s="12" t="n"/>
      <c r="BC186" s="12" t="n"/>
      <c r="BD186" s="12" t="n"/>
      <c r="BE186" s="12" t="n"/>
      <c r="BF186" s="12" t="n"/>
      <c r="BG186" s="12" t="n"/>
      <c r="BH186" s="12" t="n"/>
      <c r="BI186" s="12" t="n"/>
      <c r="BJ186" s="12" t="n"/>
      <c r="BK186" s="12" t="n"/>
      <c r="BL186" s="12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  <c r="CR186" s="12" t="n"/>
      <c r="CS186" s="12" t="n"/>
      <c r="CT186" s="12" t="n"/>
      <c r="CU186" s="12" t="n"/>
      <c r="CV186" s="12" t="n"/>
      <c r="CW186" s="12" t="n"/>
      <c r="CX186" s="12" t="n"/>
      <c r="CY186" s="12" t="n"/>
    </row>
    <row r="187" hidden="1" outlineLevel="1">
      <c r="C187" s="57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  <c r="BG187" s="12" t="n"/>
      <c r="BH187" s="12" t="n"/>
      <c r="BI187" s="12" t="n"/>
      <c r="BJ187" s="12" t="n"/>
      <c r="BK187" s="12" t="n"/>
      <c r="BL187" s="12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2" t="n"/>
      <c r="CF187" s="12" t="n"/>
      <c r="CG187" s="12" t="n"/>
      <c r="CH187" s="12" t="n"/>
      <c r="CI187" s="12" t="n"/>
      <c r="CJ187" s="12" t="n"/>
      <c r="CK187" s="12" t="n"/>
      <c r="CL187" s="12" t="n"/>
      <c r="CM187" s="12" t="n"/>
      <c r="CN187" s="12" t="n"/>
      <c r="CO187" s="12" t="n"/>
      <c r="CP187" s="12" t="n"/>
      <c r="CQ187" s="12" t="n"/>
      <c r="CR187" s="12" t="n"/>
      <c r="CS187" s="12" t="n"/>
      <c r="CT187" s="12" t="n"/>
      <c r="CU187" s="12" t="n"/>
      <c r="CV187" s="12" t="n"/>
      <c r="CW187" s="12" t="n"/>
      <c r="CX187" s="12" t="n"/>
      <c r="CY187" s="12" t="n"/>
    </row>
    <row r="188" collapsed="1">
      <c r="C188" s="14" t="inlineStr">
        <is>
          <t>Right-of-use-assets</t>
        </is>
      </c>
      <c r="D188" s="46" t="n"/>
      <c r="E188" s="46" t="n"/>
      <c r="F188" s="46" t="n"/>
      <c r="G188" s="46" t="n"/>
      <c r="H188" s="12" t="n"/>
      <c r="I188" s="46">
        <f>'Inputs (2)'!D23</f>
        <v>0</v>
      </c>
      <c r="J188" s="46">
        <f>'Inputs (2)'!E23</f>
        <v>0</v>
      </c>
      <c r="K188" s="46">
        <f>'Inputs (2)'!F23</f>
        <v>0</v>
      </c>
      <c r="L188" s="46">
        <f>'Inputs (2)'!G23</f>
        <v>0</v>
      </c>
      <c r="M188" s="12">
        <f>'Inputs (2)'!H23</f>
        <v>0</v>
      </c>
      <c r="N188" s="46">
        <f>'Inputs (2)'!I23</f>
        <v>0</v>
      </c>
      <c r="O188" s="46">
        <f>'Inputs (2)'!J23</f>
        <v>0</v>
      </c>
      <c r="P188" s="46">
        <f>'Inputs (2)'!K23</f>
        <v>0</v>
      </c>
      <c r="Q188" s="46">
        <f>'Inputs (2)'!L23</f>
        <v>0</v>
      </c>
      <c r="R188" s="12">
        <f>'Inputs (2)'!M23</f>
        <v>0</v>
      </c>
      <c r="S188" s="46">
        <f>'Inputs (2)'!N23</f>
        <v>0</v>
      </c>
      <c r="T188" s="46">
        <f>'Inputs (2)'!O23</f>
        <v>0</v>
      </c>
      <c r="U188" s="46">
        <f>'Inputs (2)'!P23</f>
        <v>0</v>
      </c>
      <c r="V188" s="46">
        <f>'Inputs (2)'!Q23</f>
        <v>0</v>
      </c>
      <c r="W188" s="12">
        <f>'Inputs (2)'!R23</f>
        <v>0</v>
      </c>
      <c r="X188" s="46">
        <f>'Inputs (2)'!S23</f>
        <v>0</v>
      </c>
      <c r="Y188" s="46">
        <f>'Inputs (2)'!T23</f>
        <v>0</v>
      </c>
      <c r="Z188" s="46">
        <f>'Inputs (2)'!U23</f>
        <v>0</v>
      </c>
      <c r="AA188" s="46">
        <f>'Inputs (2)'!V23</f>
        <v>0</v>
      </c>
      <c r="AB188" s="12">
        <f>'Inputs (2)'!W23</f>
        <v>0</v>
      </c>
      <c r="AC188" s="46">
        <f>'Inputs (2)'!X23</f>
        <v>0</v>
      </c>
      <c r="AD188" s="46">
        <f>'Inputs (2)'!Y23</f>
        <v>0</v>
      </c>
      <c r="AE188" s="46">
        <f>'Inputs (2)'!Z23</f>
        <v>0</v>
      </c>
      <c r="AF188" s="46">
        <f>'Inputs (2)'!AA23</f>
        <v>0</v>
      </c>
      <c r="AG188" s="12">
        <f>'Inputs (2)'!AB23</f>
        <v>0</v>
      </c>
      <c r="AH188" s="12">
        <f>'Inputs (2)'!AC23</f>
        <v>0</v>
      </c>
      <c r="AI188" s="12">
        <f>'Inputs (2)'!AD23</f>
        <v>0</v>
      </c>
      <c r="AJ188" s="12">
        <f>AI188</f>
        <v>0</v>
      </c>
      <c r="AK188" s="12">
        <f>AJ188</f>
        <v>0</v>
      </c>
      <c r="AL188" s="12">
        <f>AK188</f>
        <v>0</v>
      </c>
      <c r="AM188" s="12">
        <f>AL188</f>
        <v>0</v>
      </c>
      <c r="AN188" s="12">
        <f>AM188</f>
        <v>0</v>
      </c>
      <c r="AO188" s="12">
        <f>AN188</f>
        <v>0</v>
      </c>
      <c r="AP188" s="12">
        <f>AO188</f>
        <v>0</v>
      </c>
      <c r="AQ188" s="12">
        <f>AP188</f>
        <v>0</v>
      </c>
      <c r="AR188" s="12">
        <f>AQ188</f>
        <v>0</v>
      </c>
      <c r="AS188" s="12">
        <f>AR188</f>
        <v>0</v>
      </c>
      <c r="AT188" s="12">
        <f>AS188</f>
        <v>0</v>
      </c>
      <c r="AU188" s="12">
        <f>AT188</f>
        <v>0</v>
      </c>
      <c r="AV188" s="12">
        <f>AU188</f>
        <v>0</v>
      </c>
      <c r="AW188" s="12">
        <f>AV188</f>
        <v>0</v>
      </c>
      <c r="AX188" s="12">
        <f>AW188</f>
        <v>0</v>
      </c>
      <c r="AY188" s="12">
        <f>AX188</f>
        <v>0</v>
      </c>
      <c r="AZ188" s="12">
        <f>AY188</f>
        <v>0</v>
      </c>
      <c r="BA188" s="12">
        <f>AZ188</f>
        <v>0</v>
      </c>
      <c r="BB188" s="12">
        <f>BA188</f>
        <v>0</v>
      </c>
      <c r="BC188" s="12">
        <f>BB188</f>
        <v>0</v>
      </c>
      <c r="BD188" s="12">
        <f>BC188</f>
        <v>0</v>
      </c>
      <c r="BE188" s="12">
        <f>BD188</f>
        <v>0</v>
      </c>
      <c r="BF188" s="12">
        <f>BE188</f>
        <v>0</v>
      </c>
      <c r="BG188" s="12" t="n"/>
      <c r="BH188" s="12" t="n"/>
      <c r="BI188" s="12" t="n"/>
      <c r="BJ188" s="12" t="n"/>
      <c r="BK188" s="12" t="n"/>
      <c r="BL188" s="12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  <c r="CR188" s="12" t="n"/>
      <c r="CS188" s="12" t="n"/>
      <c r="CT188" s="12" t="n"/>
      <c r="CU188" s="12" t="n"/>
      <c r="CV188" s="12" t="n"/>
      <c r="CW188" s="12" t="n"/>
      <c r="CX188" s="12" t="n"/>
      <c r="CY188" s="12" t="n"/>
    </row>
    <row r="189" hidden="1" outlineLevel="1">
      <c r="C189" s="59" t="inlineStr">
        <is>
          <t>%(Var.)</t>
        </is>
      </c>
      <c r="D189" s="12" t="n"/>
      <c r="E189" s="40" t="n"/>
      <c r="F189" s="40" t="n"/>
      <c r="G189" s="40" t="n"/>
      <c r="H189" s="12" t="n"/>
      <c r="I189" s="40" t="str">
        <f>""</f>
        <v/>
      </c>
      <c r="J189" s="40" t="str">
        <f>IFERROR(IF(I188=0,"",J188/I188-1),"")</f>
        <v/>
      </c>
      <c r="K189" s="40" t="str">
        <f>IFERROR(IF(J188=0,"",K188/J188-1),"")</f>
        <v/>
      </c>
      <c r="L189" s="40" t="str">
        <f>IFERROR(IF(K188=0,"",L188/K188-1),"")</f>
        <v/>
      </c>
      <c r="M189" s="12" t="str">
        <f>IFERROR(IF(L188=0,"",M188/L188-1),"")</f>
        <v/>
      </c>
      <c r="N189" s="40" t="str">
        <f>IFERROR(IF(M188=0,"",N188/M188-1),"")</f>
        <v/>
      </c>
      <c r="O189" s="40" t="str">
        <f>IFERROR(IF(N188=0,"",O188/N188-1),"")</f>
        <v/>
      </c>
      <c r="P189" s="40" t="str">
        <f>IFERROR(IF(O188=0,"",P188/O188-1),"")</f>
        <v/>
      </c>
      <c r="Q189" s="40" t="str">
        <f>IFERROR(IF(P188=0,"",Q188/P188-1),"")</f>
        <v/>
      </c>
      <c r="R189" s="12" t="str">
        <f>IFERROR(IF(Q188=0,"",R188/Q188-1),"")</f>
        <v/>
      </c>
      <c r="S189" s="40" t="str">
        <f>IFERROR(IF(R188=0,"",S188/R188-1),"")</f>
        <v/>
      </c>
      <c r="T189" s="40" t="str">
        <f>IFERROR(IF(S188=0,"",T188/S188-1),"")</f>
        <v/>
      </c>
      <c r="U189" s="40" t="str">
        <f>IFERROR(IF(T188=0,"",U188/T188-1),"")</f>
        <v/>
      </c>
      <c r="V189" s="40" t="str">
        <f>IFERROR(IF(U188=0,"",V188/U188-1),"")</f>
        <v/>
      </c>
      <c r="W189" s="12" t="str">
        <f>IFERROR(IF(V188=0,"",W188/V188-1),"")</f>
        <v/>
      </c>
      <c r="X189" s="40" t="str">
        <f>IFERROR(IF(W188=0,"",X188/W188-1),"")</f>
        <v/>
      </c>
      <c r="Y189" s="40" t="str">
        <f>IFERROR(IF(X188=0,"",Y188/X188-1),"")</f>
        <v/>
      </c>
      <c r="Z189" s="40" t="str">
        <f>IFERROR(IF(Y188=0,"",Z188/Y188-1),"")</f>
        <v/>
      </c>
      <c r="AA189" s="40" t="str">
        <f>IFERROR(IF(Z188=0,"",AA188/Z188-1),"")</f>
        <v/>
      </c>
      <c r="AB189" s="12" t="str">
        <f>IFERROR(IF(AA188=0,"",AB188/AA188-1),"")</f>
        <v/>
      </c>
      <c r="AC189" s="40" t="str">
        <f>IFERROR(IF(AB188=0,"",AC188/AB188-1),"")</f>
        <v/>
      </c>
      <c r="AD189" s="40" t="str">
        <f>IFERROR(IF(AC188=0,"",AD188/AC188-1),"")</f>
        <v/>
      </c>
      <c r="AE189" s="40" t="str">
        <f>IFERROR(IF(AD188=0,"",AE188/AD188-1),"")</f>
        <v/>
      </c>
      <c r="AF189" s="55" t="str">
        <f>IFERROR(IF(AE188=0,"",AF188/AE188-1),"")</f>
        <v/>
      </c>
      <c r="AG189" s="12" t="str">
        <f>IFERROR(IF(AF188=0,"",AG188/AF188-1),"")</f>
        <v/>
      </c>
      <c r="AH189" s="55" t="str">
        <f>IFERROR(IF(AG188=0,"",AH188/AG188-1),"")</f>
        <v/>
      </c>
      <c r="AI189" s="55" t="str">
        <f>IFERROR(IF(AH188=0,"",AI188/AH188-1),"")</f>
        <v/>
      </c>
      <c r="AJ189" s="55" t="str">
        <f>IFERROR(IF(AI188=0,"",AJ188/AI188-1),"")</f>
        <v/>
      </c>
      <c r="AK189" s="55" t="str">
        <f>IFERROR(IF(AJ188=0,"",AK188/AJ188-1),"")</f>
        <v/>
      </c>
      <c r="AL189" s="12" t="str">
        <f>IFERROR(IF(AK188=0,"",AL188/AK188-1),"")</f>
        <v/>
      </c>
      <c r="AM189" s="55" t="str">
        <f>IFERROR(IF(AL188=0,"",AM188/AL188-1),"")</f>
        <v/>
      </c>
      <c r="AN189" s="55" t="str">
        <f>IFERROR(IF(AM188=0,"",AN188/AM188-1),"")</f>
        <v/>
      </c>
      <c r="AO189" s="55" t="str">
        <f>IFERROR(IF(AN188=0,"",AO188/AN188-1),"")</f>
        <v/>
      </c>
      <c r="AP189" s="55" t="str">
        <f>IFERROR(IF(AO188=0,"",AP188/AO188-1),"")</f>
        <v/>
      </c>
      <c r="AQ189" s="12" t="str">
        <f>IFERROR(IF(AP188=0,"",AQ188/AP188-1),"")</f>
        <v/>
      </c>
      <c r="AR189" s="55" t="str">
        <f>IFERROR(IF(AQ188=0,"",AR188/AQ188-1),"")</f>
        <v/>
      </c>
      <c r="AS189" s="55" t="str">
        <f>IFERROR(IF(AR188=0,"",AS188/AR188-1),"")</f>
        <v/>
      </c>
      <c r="AT189" s="55" t="str">
        <f>IFERROR(IF(AS188=0,"",AT188/AS188-1),"")</f>
        <v/>
      </c>
      <c r="AU189" s="55" t="str">
        <f>IFERROR(IF(AT188=0,"",AU188/AT188-1),"")</f>
        <v/>
      </c>
      <c r="AV189" s="12" t="str">
        <f>IFERROR(IF(AU188=0,"",AV188/AU188-1),"")</f>
        <v/>
      </c>
      <c r="AW189" s="55" t="str">
        <f>IFERROR(IF(AV188=0,"",AW188/AV188-1),"")</f>
        <v/>
      </c>
      <c r="AX189" s="55" t="str">
        <f>IFERROR(IF(AW188=0,"",AX188/AW188-1),"")</f>
        <v/>
      </c>
      <c r="AY189" s="55" t="str">
        <f>IFERROR(IF(AX188=0,"",AY188/AX188-1),"")</f>
        <v/>
      </c>
      <c r="AZ189" s="55" t="str">
        <f>IFERROR(IF(AY188=0,"",AZ188/AY188-1),"")</f>
        <v/>
      </c>
      <c r="BA189" s="12" t="str">
        <f>IFERROR(IF(AZ188=0,"",BA188/AZ188-1),"")</f>
        <v/>
      </c>
      <c r="BB189" s="55" t="str">
        <f>IFERROR(IF(BA188=0,"",BB188/BA188-1),"")</f>
        <v/>
      </c>
      <c r="BC189" s="55" t="str">
        <f>IFERROR(IF(BB188=0,"",BC188/BB188-1),"")</f>
        <v/>
      </c>
      <c r="BD189" s="55" t="str">
        <f>IFERROR(IF(BC188=0,"",BD188/BC188-1),"")</f>
        <v/>
      </c>
      <c r="BE189" s="55" t="str">
        <f>IFERROR(IF(BD188=0,"",BE188/BD188-1),"")</f>
        <v/>
      </c>
      <c r="BF189" s="12" t="str">
        <f>IFERROR(IF(BE188=0,"",BF188/BE188-1),"")</f>
        <v/>
      </c>
      <c r="BG189" s="55" t="n"/>
      <c r="BH189" s="55" t="n"/>
      <c r="BI189" s="55" t="n"/>
      <c r="BJ189" s="55" t="n"/>
      <c r="BK189" s="12" t="n"/>
      <c r="BL189" s="55" t="n"/>
      <c r="BM189" s="55" t="n"/>
      <c r="BN189" s="55" t="n"/>
      <c r="BO189" s="55" t="n"/>
      <c r="BP189" s="12" t="n"/>
      <c r="BQ189" s="55" t="n"/>
      <c r="BR189" s="55" t="n"/>
      <c r="BS189" s="55" t="n"/>
      <c r="BT189" s="55" t="n"/>
      <c r="BU189" s="12" t="n"/>
      <c r="BV189" s="55" t="n"/>
      <c r="BW189" s="55" t="n"/>
      <c r="BX189" s="55" t="n"/>
      <c r="BY189" s="55" t="n"/>
      <c r="BZ189" s="12" t="n"/>
      <c r="CA189" s="55" t="n"/>
      <c r="CB189" s="55" t="n"/>
      <c r="CC189" s="55" t="n"/>
      <c r="CD189" s="55" t="n"/>
      <c r="CE189" s="12" t="n"/>
      <c r="CF189" s="55" t="n"/>
      <c r="CG189" s="55" t="n"/>
      <c r="CH189" s="55" t="n"/>
      <c r="CI189" s="55" t="n"/>
      <c r="CJ189" s="12" t="n"/>
      <c r="CK189" s="55" t="n"/>
      <c r="CL189" s="55" t="n"/>
      <c r="CM189" s="55" t="n"/>
      <c r="CN189" s="55" t="n"/>
      <c r="CO189" s="12" t="n"/>
      <c r="CP189" s="55" t="n"/>
      <c r="CQ189" s="55" t="n"/>
      <c r="CR189" s="55" t="n"/>
      <c r="CS189" s="55" t="n"/>
      <c r="CT189" s="12" t="n"/>
      <c r="CU189" s="55" t="n"/>
      <c r="CV189" s="55" t="n"/>
      <c r="CW189" s="55" t="n"/>
      <c r="CX189" s="55" t="n"/>
      <c r="CY189" s="12" t="n"/>
    </row>
    <row r="190" hidden="1" outlineLevel="1">
      <c r="C190" s="57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12" t="n"/>
      <c r="AP190" s="12" t="n"/>
      <c r="AQ190" s="12" t="n"/>
      <c r="AR190" s="12" t="n"/>
      <c r="AS190" s="12" t="n"/>
      <c r="AT190" s="12" t="n"/>
      <c r="AU190" s="12" t="n"/>
      <c r="AV190" s="12" t="n"/>
      <c r="AW190" s="12" t="n"/>
      <c r="AX190" s="12" t="n"/>
      <c r="AY190" s="12" t="n"/>
      <c r="AZ190" s="12" t="n"/>
      <c r="BA190" s="12" t="n"/>
      <c r="BB190" s="12" t="n"/>
      <c r="BC190" s="12" t="n"/>
      <c r="BD190" s="12" t="n"/>
      <c r="BE190" s="12" t="n"/>
      <c r="BF190" s="12" t="n"/>
      <c r="BG190" s="12" t="n"/>
      <c r="BH190" s="12" t="n"/>
      <c r="BI190" s="12" t="n"/>
      <c r="BJ190" s="12" t="n"/>
      <c r="BK190" s="12" t="n"/>
      <c r="BL190" s="12" t="n"/>
      <c r="BM190" s="12" t="n"/>
      <c r="BN190" s="12" t="n"/>
      <c r="BO190" s="12" t="n"/>
      <c r="BP190" s="12" t="n"/>
      <c r="BQ190" s="12" t="n"/>
      <c r="BR190" s="12" t="n"/>
      <c r="BS190" s="12" t="n"/>
      <c r="BT190" s="12" t="n"/>
      <c r="BU190" s="12" t="n"/>
      <c r="BV190" s="12" t="n"/>
      <c r="BW190" s="12" t="n"/>
      <c r="BX190" s="12" t="n"/>
      <c r="BY190" s="12" t="n"/>
      <c r="BZ190" s="12" t="n"/>
      <c r="CA190" s="12" t="n"/>
      <c r="CB190" s="12" t="n"/>
      <c r="CC190" s="12" t="n"/>
      <c r="CD190" s="12" t="n"/>
      <c r="CE190" s="12" t="n"/>
      <c r="CF190" s="12" t="n"/>
      <c r="CG190" s="12" t="n"/>
      <c r="CH190" s="12" t="n"/>
      <c r="CI190" s="12" t="n"/>
      <c r="CJ190" s="12" t="n"/>
      <c r="CK190" s="12" t="n"/>
      <c r="CL190" s="12" t="n"/>
      <c r="CM190" s="12" t="n"/>
      <c r="CN190" s="12" t="n"/>
      <c r="CO190" s="12" t="n"/>
      <c r="CP190" s="12" t="n"/>
      <c r="CQ190" s="12" t="n"/>
      <c r="CR190" s="12" t="n"/>
      <c r="CS190" s="12" t="n"/>
      <c r="CT190" s="12" t="n"/>
      <c r="CU190" s="12" t="n"/>
      <c r="CV190" s="12" t="n"/>
      <c r="CW190" s="12" t="n"/>
      <c r="CX190" s="12" t="n"/>
      <c r="CY190" s="12" t="n"/>
    </row>
    <row r="191" collapsed="1">
      <c r="C191" s="14" t="inlineStr">
        <is>
          <t>Goodwill</t>
        </is>
      </c>
      <c r="D191" s="46" t="n"/>
      <c r="E191" s="46" t="n"/>
      <c r="F191" s="46" t="n"/>
      <c r="G191" s="46" t="n"/>
      <c r="H191" s="12" t="n"/>
      <c r="I191" s="46">
        <f>'Inputs (2)'!D24</f>
        <v>0</v>
      </c>
      <c r="J191" s="46">
        <f>'Inputs (2)'!E24</f>
        <v>0</v>
      </c>
      <c r="K191" s="46">
        <f>'Inputs (2)'!F24</f>
        <v>0</v>
      </c>
      <c r="L191" s="46">
        <f>'Inputs (2)'!G24</f>
        <v>0</v>
      </c>
      <c r="M191" s="12">
        <f>'Inputs (2)'!H24</f>
        <v>0</v>
      </c>
      <c r="N191" s="46">
        <f>'Inputs (2)'!I24</f>
        <v>0</v>
      </c>
      <c r="O191" s="46">
        <f>'Inputs (2)'!J24</f>
        <v>0</v>
      </c>
      <c r="P191" s="46">
        <f>'Inputs (2)'!K24</f>
        <v>0</v>
      </c>
      <c r="Q191" s="46">
        <f>'Inputs (2)'!L24</f>
        <v>0</v>
      </c>
      <c r="R191" s="12">
        <f>'Inputs (2)'!M24</f>
        <v>0</v>
      </c>
      <c r="S191" s="46">
        <f>'Inputs (2)'!N24</f>
        <v>0</v>
      </c>
      <c r="T191" s="46">
        <f>'Inputs (2)'!O24</f>
        <v>0</v>
      </c>
      <c r="U191" s="46">
        <f>'Inputs (2)'!P24</f>
        <v>0</v>
      </c>
      <c r="V191" s="46">
        <f>'Inputs (2)'!Q24</f>
        <v>0</v>
      </c>
      <c r="W191" s="12">
        <f>'Inputs (2)'!R24</f>
        <v>0</v>
      </c>
      <c r="X191" s="46">
        <f>'Inputs (2)'!S24</f>
        <v>0</v>
      </c>
      <c r="Y191" s="46">
        <f>'Inputs (2)'!T24</f>
        <v>0</v>
      </c>
      <c r="Z191" s="46">
        <f>'Inputs (2)'!U24</f>
        <v>0</v>
      </c>
      <c r="AA191" s="46">
        <f>'Inputs (2)'!V24</f>
        <v>0</v>
      </c>
      <c r="AB191" s="12">
        <f>'Inputs (2)'!W24</f>
        <v>0</v>
      </c>
      <c r="AC191" s="46">
        <f>'Inputs (2)'!X24</f>
        <v>0</v>
      </c>
      <c r="AD191" s="46">
        <f>'Inputs (2)'!Y24</f>
        <v>0</v>
      </c>
      <c r="AE191" s="46">
        <f>'Inputs (2)'!Z24</f>
        <v>0</v>
      </c>
      <c r="AF191" s="46">
        <f>'Inputs (2)'!AA24</f>
        <v>0</v>
      </c>
      <c r="AG191" s="12">
        <f>'Inputs (2)'!AB24</f>
        <v>0</v>
      </c>
      <c r="AH191" s="12">
        <f>'Inputs (2)'!AC24</f>
        <v>0</v>
      </c>
      <c r="AI191" s="12">
        <f>'Inputs (2)'!AD24</f>
        <v>0</v>
      </c>
      <c r="AJ191" s="12">
        <f>AI191</f>
        <v>0</v>
      </c>
      <c r="AK191" s="12">
        <f>AJ191</f>
        <v>0</v>
      </c>
      <c r="AL191" s="12">
        <f>AK191</f>
        <v>0</v>
      </c>
      <c r="AM191" s="12">
        <f>AL191</f>
        <v>0</v>
      </c>
      <c r="AN191" s="12">
        <f>AM191</f>
        <v>0</v>
      </c>
      <c r="AO191" s="12">
        <f>AN191</f>
        <v>0</v>
      </c>
      <c r="AP191" s="12">
        <f>AO191</f>
        <v>0</v>
      </c>
      <c r="AQ191" s="12">
        <f>AP191</f>
        <v>0</v>
      </c>
      <c r="AR191" s="12">
        <f>AQ191</f>
        <v>0</v>
      </c>
      <c r="AS191" s="12">
        <f>AR191</f>
        <v>0</v>
      </c>
      <c r="AT191" s="12">
        <f>AS191</f>
        <v>0</v>
      </c>
      <c r="AU191" s="12">
        <f>AT191</f>
        <v>0</v>
      </c>
      <c r="AV191" s="12">
        <f>AU191</f>
        <v>0</v>
      </c>
      <c r="AW191" s="12">
        <f>AV191</f>
        <v>0</v>
      </c>
      <c r="AX191" s="12">
        <f>AW191</f>
        <v>0</v>
      </c>
      <c r="AY191" s="12">
        <f>AX191</f>
        <v>0</v>
      </c>
      <c r="AZ191" s="12">
        <f>AY191</f>
        <v>0</v>
      </c>
      <c r="BA191" s="12">
        <f>AZ191</f>
        <v>0</v>
      </c>
      <c r="BB191" s="12">
        <f>BA191</f>
        <v>0</v>
      </c>
      <c r="BC191" s="12">
        <f>BB191</f>
        <v>0</v>
      </c>
      <c r="BD191" s="12">
        <f>BC191</f>
        <v>0</v>
      </c>
      <c r="BE191" s="12">
        <f>BD191</f>
        <v>0</v>
      </c>
      <c r="BF191" s="12">
        <f>BE191</f>
        <v>0</v>
      </c>
      <c r="BG191" s="12" t="n"/>
      <c r="BH191" s="12" t="n"/>
      <c r="BI191" s="12" t="n"/>
      <c r="BJ191" s="12" t="n"/>
      <c r="BK191" s="12" t="n"/>
      <c r="BL191" s="12" t="n"/>
      <c r="BM191" s="12" t="n"/>
      <c r="BN191" s="12" t="n"/>
      <c r="BO191" s="12" t="n"/>
      <c r="BP191" s="12" t="n"/>
      <c r="BQ191" s="12" t="n"/>
      <c r="BR191" s="12" t="n"/>
      <c r="BS191" s="12" t="n"/>
      <c r="BT191" s="12" t="n"/>
      <c r="BU191" s="12" t="n"/>
      <c r="BV191" s="12" t="n"/>
      <c r="BW191" s="12" t="n"/>
      <c r="BX191" s="12" t="n"/>
      <c r="BY191" s="12" t="n"/>
      <c r="BZ191" s="12" t="n"/>
      <c r="CA191" s="12" t="n"/>
      <c r="CB191" s="12" t="n"/>
      <c r="CC191" s="12" t="n"/>
      <c r="CD191" s="12" t="n"/>
      <c r="CE191" s="12" t="n"/>
      <c r="CF191" s="12" t="n"/>
      <c r="CG191" s="12" t="n"/>
      <c r="CH191" s="12" t="n"/>
      <c r="CI191" s="12" t="n"/>
      <c r="CJ191" s="12" t="n"/>
      <c r="CK191" s="12" t="n"/>
      <c r="CL191" s="12" t="n"/>
      <c r="CM191" s="12" t="n"/>
      <c r="CN191" s="12" t="n"/>
      <c r="CO191" s="12" t="n"/>
      <c r="CP191" s="12" t="n"/>
      <c r="CQ191" s="12" t="n"/>
      <c r="CR191" s="12" t="n"/>
      <c r="CS191" s="12" t="n"/>
      <c r="CT191" s="12" t="n"/>
      <c r="CU191" s="12" t="n"/>
      <c r="CV191" s="12" t="n"/>
      <c r="CW191" s="12" t="n"/>
      <c r="CX191" s="12" t="n"/>
      <c r="CY191" s="12" t="n"/>
    </row>
    <row r="192">
      <c r="C192" s="14" t="inlineStr">
        <is>
          <t>Intangibles</t>
        </is>
      </c>
      <c r="D192" s="46" t="n"/>
      <c r="E192" s="46" t="n"/>
      <c r="F192" s="46" t="n"/>
      <c r="G192" s="46" t="n"/>
      <c r="H192" s="12" t="n"/>
      <c r="I192" s="46">
        <f>'Inputs (2)'!D25</f>
        <v>156.288</v>
      </c>
      <c r="J192" s="46">
        <f>'Inputs (2)'!E25</f>
        <v>157.252</v>
      </c>
      <c r="K192" s="46">
        <f>'Inputs (2)'!F25</f>
        <v>168.4</v>
      </c>
      <c r="L192" s="46">
        <f>'Inputs (2)'!G25</f>
        <v>175.044</v>
      </c>
      <c r="M192" s="12">
        <f>'Inputs (2)'!H25</f>
        <v>175.044</v>
      </c>
      <c r="N192" s="46">
        <f>'Inputs (2)'!I25</f>
        <v>181.788</v>
      </c>
      <c r="O192" s="46">
        <f>'Inputs (2)'!J25</f>
        <v>200.519</v>
      </c>
      <c r="P192" s="46">
        <f>'Inputs (2)'!K25</f>
        <v>210.136</v>
      </c>
      <c r="Q192" s="46">
        <f>'Inputs (2)'!L25</f>
        <v>287.792</v>
      </c>
      <c r="R192" s="12">
        <f>'Inputs (2)'!M25</f>
        <v>287.792</v>
      </c>
      <c r="S192" s="46">
        <f>'Inputs (2)'!N25</f>
        <v>298.068</v>
      </c>
      <c r="T192" s="46">
        <f>'Inputs (2)'!O25</f>
        <v>299.325</v>
      </c>
      <c r="U192" s="46">
        <f>'Inputs (2)'!P25</f>
        <v>304.534</v>
      </c>
      <c r="V192" s="46">
        <f>'Inputs (2)'!Q25</f>
        <v>336.311</v>
      </c>
      <c r="W192" s="12">
        <f>'Inputs (2)'!R25</f>
        <v>336.311</v>
      </c>
      <c r="X192" s="46">
        <f>'Inputs (2)'!S25</f>
        <v>329.214</v>
      </c>
      <c r="Y192" s="46">
        <f>'Inputs (2)'!T25</f>
        <v>335.703</v>
      </c>
      <c r="Z192" s="46">
        <f>'Inputs (2)'!U25</f>
        <v>339.4</v>
      </c>
      <c r="AA192" s="46">
        <f>'Inputs (2)'!V25</f>
        <v>342.163</v>
      </c>
      <c r="AB192" s="12">
        <f>'Inputs (2)'!W25</f>
        <v>342.163</v>
      </c>
      <c r="AC192" s="46">
        <f>'Inputs (2)'!X25</f>
        <v>348.058</v>
      </c>
      <c r="AD192" s="46">
        <f>'Inputs (2)'!Y25</f>
        <v>353.536</v>
      </c>
      <c r="AE192" s="46">
        <f>'Inputs (2)'!Z25</f>
        <v>347.501</v>
      </c>
      <c r="AF192" s="46">
        <f>'Inputs (2)'!AA25</f>
        <v>350.075</v>
      </c>
      <c r="AG192" s="12">
        <f>'Inputs (2)'!AB25</f>
        <v>350.075</v>
      </c>
      <c r="AH192" s="12">
        <f>'Inputs (2)'!AC25</f>
        <v>357.283</v>
      </c>
      <c r="AI192" s="12">
        <f>'Inputs (2)'!AD25</f>
        <v>384.741</v>
      </c>
      <c r="AJ192" s="12">
        <f>AI192</f>
        <v>384.741</v>
      </c>
      <c r="AK192" s="12">
        <f>AJ192</f>
        <v>384.741</v>
      </c>
      <c r="AL192" s="12">
        <f>AK192</f>
        <v>384.741</v>
      </c>
      <c r="AM192" s="16">
        <f>AL192</f>
        <v>384.741</v>
      </c>
      <c r="AN192" s="12">
        <f>AM192</f>
        <v>384.741</v>
      </c>
      <c r="AO192" s="12">
        <f>AN192</f>
        <v>384.741</v>
      </c>
      <c r="AP192" s="12">
        <f>AO192</f>
        <v>384.741</v>
      </c>
      <c r="AQ192" s="12">
        <f>AP192</f>
        <v>384.741</v>
      </c>
      <c r="AR192" s="16">
        <f>AQ192</f>
        <v>384.741</v>
      </c>
      <c r="AS192" s="12">
        <f>AR192</f>
        <v>384.741</v>
      </c>
      <c r="AT192" s="12">
        <f>AS192</f>
        <v>384.741</v>
      </c>
      <c r="AU192" s="12">
        <f>AT192</f>
        <v>384.741</v>
      </c>
      <c r="AV192" s="12">
        <f>AU192</f>
        <v>384.741</v>
      </c>
      <c r="AW192" s="16">
        <f>AV192</f>
        <v>384.741</v>
      </c>
      <c r="AX192" s="12">
        <f>AW192</f>
        <v>384.741</v>
      </c>
      <c r="AY192" s="12">
        <f>AX192</f>
        <v>384.741</v>
      </c>
      <c r="AZ192" s="12">
        <f>AY192</f>
        <v>384.741</v>
      </c>
      <c r="BA192" s="12">
        <f>AZ192</f>
        <v>384.741</v>
      </c>
      <c r="BB192" s="16">
        <f>BA192</f>
        <v>384.741</v>
      </c>
      <c r="BC192" s="12">
        <f>BB192</f>
        <v>384.741</v>
      </c>
      <c r="BD192" s="12">
        <f>BC192</f>
        <v>384.741</v>
      </c>
      <c r="BE192" s="12">
        <f>BD192</f>
        <v>384.741</v>
      </c>
      <c r="BF192" s="12">
        <f>BE192</f>
        <v>384.741</v>
      </c>
      <c r="BH192" s="12" t="n"/>
      <c r="BI192" s="12" t="n"/>
      <c r="BJ192" s="12" t="n"/>
      <c r="BK192" s="12" t="n"/>
      <c r="BM192" s="12" t="n"/>
      <c r="BN192" s="12" t="n"/>
      <c r="BO192" s="12" t="n"/>
      <c r="BP192" s="12" t="n"/>
      <c r="BR192" s="12" t="n"/>
      <c r="BS192" s="12" t="n"/>
      <c r="BT192" s="12" t="n"/>
      <c r="BU192" s="12" t="n"/>
      <c r="BW192" s="12" t="n"/>
      <c r="BX192" s="12" t="n"/>
      <c r="BY192" s="12" t="n"/>
      <c r="BZ192" s="12" t="n"/>
      <c r="CB192" s="12" t="n"/>
      <c r="CC192" s="12" t="n"/>
      <c r="CD192" s="12" t="n"/>
      <c r="CE192" s="12" t="n"/>
      <c r="CG192" s="12" t="n"/>
      <c r="CH192" s="12" t="n"/>
      <c r="CI192" s="12" t="n"/>
      <c r="CJ192" s="12" t="n"/>
      <c r="CL192" s="12" t="n"/>
      <c r="CM192" s="12" t="n"/>
      <c r="CN192" s="12" t="n"/>
      <c r="CO192" s="12" t="n"/>
      <c r="CQ192" s="12" t="n"/>
      <c r="CR192" s="12" t="n"/>
      <c r="CS192" s="12" t="n"/>
      <c r="CT192" s="12" t="n"/>
      <c r="CV192" s="12" t="n"/>
      <c r="CW192" s="12" t="n"/>
      <c r="CX192" s="12" t="n"/>
      <c r="CY192" s="12" t="n"/>
    </row>
    <row r="193" hidden="1" outlineLevel="1">
      <c r="C193" s="57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  <c r="BJ193" s="12" t="n"/>
      <c r="BK193" s="12" t="n"/>
      <c r="BL193" s="12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  <c r="CA193" s="12" t="n"/>
      <c r="CB193" s="12" t="n"/>
      <c r="CC193" s="12" t="n"/>
      <c r="CD193" s="12" t="n"/>
      <c r="CE193" s="12" t="n"/>
      <c r="CF193" s="12" t="n"/>
      <c r="CG193" s="12" t="n"/>
      <c r="CH193" s="12" t="n"/>
      <c r="CI193" s="12" t="n"/>
      <c r="CJ193" s="12" t="n"/>
      <c r="CK193" s="12" t="n"/>
      <c r="CL193" s="12" t="n"/>
      <c r="CM193" s="12" t="n"/>
      <c r="CN193" s="12" t="n"/>
      <c r="CO193" s="12" t="n"/>
      <c r="CP193" s="12" t="n"/>
      <c r="CQ193" s="12" t="n"/>
      <c r="CR193" s="12" t="n"/>
      <c r="CS193" s="12" t="n"/>
      <c r="CT193" s="12" t="n"/>
      <c r="CU193" s="12" t="n"/>
      <c r="CV193" s="12" t="n"/>
      <c r="CW193" s="12" t="n"/>
      <c r="CX193" s="12" t="n"/>
      <c r="CY193" s="12" t="n"/>
    </row>
    <row r="194" hidden="1" outlineLevel="1">
      <c r="C194" s="57" t="inlineStr">
        <is>
          <t>Purchase of intangible assets</t>
        </is>
      </c>
      <c r="D194" s="12" t="n"/>
      <c r="E194" s="12" t="n"/>
      <c r="F194" s="12" t="n"/>
      <c r="G194" s="12" t="n"/>
      <c r="H194" s="12" t="n"/>
      <c r="I194" s="12" t="str">
        <f>IF(COUNT(H192)=0,"",I192-H192-I96)</f>
        <v/>
      </c>
      <c r="J194" s="12">
        <f>J192-I192-J96</f>
        <v>0.963999999999999</v>
      </c>
      <c r="K194" s="12">
        <f>K192-J192-K96</f>
        <v>11.148</v>
      </c>
      <c r="L194" s="12">
        <f>L192-K192-L96</f>
        <v>6.64400000000001</v>
      </c>
      <c r="M194" s="12" t="n"/>
      <c r="N194" s="12">
        <f>N192-M192-N96</f>
        <v>6.744</v>
      </c>
      <c r="O194" s="12">
        <f>O192-N192-O96</f>
        <v>18.731</v>
      </c>
      <c r="P194" s="12">
        <f>P192-O192-P96</f>
        <v>9.61699999999999</v>
      </c>
      <c r="Q194" s="12">
        <f>Q192-P192-Q96</f>
        <v>77.656</v>
      </c>
      <c r="R194" s="12" t="n"/>
      <c r="S194" s="12">
        <f>S192-R192-S96</f>
        <v>10.276</v>
      </c>
      <c r="T194" s="12">
        <f>T192-S192-T96</f>
        <v>1.25700000000001</v>
      </c>
      <c r="U194" s="12">
        <f>U192-T192-U96</f>
        <v>5.209</v>
      </c>
      <c r="V194" s="12">
        <f>V192-U192-V96</f>
        <v>31.777</v>
      </c>
      <c r="W194" s="12" t="n"/>
      <c r="X194" s="12">
        <f>X192-W192-X96</f>
        <v>-7.09699999999998</v>
      </c>
      <c r="Y194" s="12">
        <f>Y192-X192-Y96</f>
        <v>6.48899999999998</v>
      </c>
      <c r="Z194" s="12">
        <f>Z192-Y192-Z96</f>
        <v>3.697</v>
      </c>
      <c r="AA194" s="12">
        <f>AA192-Z192-AA96</f>
        <v>2.76300000000003</v>
      </c>
      <c r="AB194" s="12" t="n"/>
      <c r="AC194" s="12">
        <f>AC192-AB192-AC96</f>
        <v>5.89499999999998</v>
      </c>
      <c r="AD194" s="12">
        <f>AD192-AC192-AD96</f>
        <v>5.47800000000001</v>
      </c>
      <c r="AE194" s="12">
        <f>AE192-AD192-AE96</f>
        <v>-6.03500000000003</v>
      </c>
      <c r="AF194" s="12">
        <f>AF192-AE192-AF96</f>
        <v>2.57400000000001</v>
      </c>
      <c r="AG194" s="12" t="n"/>
      <c r="AH194" s="11">
        <f>AH192-AG192-AH96</f>
        <v>7.20800000000003</v>
      </c>
      <c r="AI194" s="11">
        <f>AI192-AH192-AI96</f>
        <v>27.458</v>
      </c>
      <c r="AJ194" s="11" t="n"/>
      <c r="AK194" s="11" t="n"/>
      <c r="AL194" s="12" t="n"/>
      <c r="AM194" s="11" t="n"/>
      <c r="AN194" s="11" t="n"/>
      <c r="AO194" s="11" t="n"/>
      <c r="AP194" s="11" t="n"/>
      <c r="AQ194" s="12" t="n"/>
      <c r="AR194" s="11" t="n"/>
      <c r="AS194" s="11" t="n"/>
      <c r="AT194" s="11" t="n"/>
      <c r="AU194" s="11" t="n"/>
      <c r="AV194" s="12" t="n"/>
      <c r="AW194" s="11" t="n"/>
      <c r="AX194" s="11" t="n"/>
      <c r="AY194" s="11" t="n"/>
      <c r="AZ194" s="11" t="n"/>
      <c r="BA194" s="12" t="n"/>
      <c r="BB194" s="11" t="n"/>
      <c r="BC194" s="11" t="n"/>
      <c r="BD194" s="11" t="n"/>
      <c r="BE194" s="11" t="n"/>
      <c r="BF194" s="12" t="n"/>
      <c r="BG194" s="11" t="n"/>
      <c r="BH194" s="11" t="n"/>
      <c r="BI194" s="11" t="n"/>
      <c r="BJ194" s="11" t="n"/>
      <c r="BK194" s="12" t="n"/>
      <c r="BL194" s="11" t="n"/>
      <c r="BM194" s="11" t="n"/>
      <c r="BN194" s="11" t="n"/>
      <c r="BO194" s="11" t="n"/>
      <c r="BP194" s="12" t="n"/>
      <c r="BQ194" s="11" t="n"/>
      <c r="BR194" s="11" t="n"/>
      <c r="BS194" s="11" t="n"/>
      <c r="BT194" s="11" t="n"/>
      <c r="BU194" s="12" t="n"/>
      <c r="BV194" s="11" t="n"/>
      <c r="BW194" s="11" t="n"/>
      <c r="BX194" s="11" t="n"/>
      <c r="BY194" s="11" t="n"/>
      <c r="BZ194" s="12" t="n"/>
      <c r="CA194" s="11" t="n"/>
      <c r="CB194" s="11" t="n"/>
      <c r="CC194" s="11" t="n"/>
      <c r="CD194" s="11" t="n"/>
      <c r="CE194" s="12" t="n"/>
      <c r="CF194" s="11" t="n"/>
      <c r="CG194" s="11" t="n"/>
      <c r="CH194" s="11" t="n"/>
      <c r="CI194" s="11" t="n"/>
      <c r="CJ194" s="12" t="n"/>
      <c r="CK194" s="11" t="n"/>
      <c r="CL194" s="11" t="n"/>
      <c r="CM194" s="11" t="n"/>
      <c r="CN194" s="11" t="n"/>
      <c r="CO194" s="12" t="n"/>
      <c r="CP194" s="11" t="n"/>
      <c r="CQ194" s="11" t="n"/>
      <c r="CR194" s="11" t="n"/>
      <c r="CS194" s="11" t="n"/>
      <c r="CT194" s="12" t="n"/>
      <c r="CU194" s="11" t="n"/>
      <c r="CV194" s="11" t="n"/>
      <c r="CW194" s="11" t="n"/>
      <c r="CX194" s="11" t="n"/>
      <c r="CY194" s="12" t="n"/>
    </row>
    <row r="195" hidden="1" outlineLevel="1">
      <c r="C195" s="57" t="inlineStr">
        <is>
          <t>Amortization (enter as -)</t>
        </is>
      </c>
      <c r="D195" s="12" t="n"/>
      <c r="E195" s="12" t="n"/>
      <c r="F195" s="12" t="n"/>
      <c r="G195" s="12" t="n"/>
      <c r="H195" s="12" t="n"/>
      <c r="I195" s="12">
        <f>I95</f>
        <v>0</v>
      </c>
      <c r="J195" s="12">
        <f>J95</f>
        <v>0</v>
      </c>
      <c r="K195" s="12">
        <f>K95</f>
        <v>0</v>
      </c>
      <c r="L195" s="12">
        <f>L95</f>
        <v>0</v>
      </c>
      <c r="M195" s="12" t="n"/>
      <c r="N195" s="12">
        <f>N95</f>
        <v>0</v>
      </c>
      <c r="O195" s="12">
        <f>O95</f>
        <v>0</v>
      </c>
      <c r="P195" s="12">
        <f>P95</f>
        <v>0</v>
      </c>
      <c r="Q195" s="12">
        <f>Q95</f>
        <v>0</v>
      </c>
      <c r="R195" s="12" t="n"/>
      <c r="S195" s="12">
        <f>S95</f>
        <v>0</v>
      </c>
      <c r="T195" s="12">
        <f>T95</f>
        <v>0</v>
      </c>
      <c r="U195" s="12">
        <f>U95</f>
        <v>0</v>
      </c>
      <c r="V195" s="12">
        <f>V95</f>
        <v>0</v>
      </c>
      <c r="W195" s="12" t="n"/>
      <c r="X195" s="12">
        <f>X95</f>
        <v>0</v>
      </c>
      <c r="Y195" s="12">
        <f>Y95</f>
        <v>0</v>
      </c>
      <c r="Z195" s="12">
        <f>Z95</f>
        <v>0</v>
      </c>
      <c r="AA195" s="12">
        <f>AA95</f>
        <v>0</v>
      </c>
      <c r="AB195" s="12" t="n"/>
      <c r="AC195" s="12">
        <f>AC95</f>
        <v>0</v>
      </c>
      <c r="AD195" s="12">
        <f>AD95</f>
        <v>0</v>
      </c>
      <c r="AE195" s="12">
        <f>AE95</f>
        <v>0</v>
      </c>
      <c r="AF195" s="12">
        <f>AF95</f>
        <v>0</v>
      </c>
      <c r="AG195" s="12" t="n"/>
      <c r="AH195" s="12">
        <f>AH95</f>
        <v>0</v>
      </c>
      <c r="AI195" s="11">
        <f>AI95</f>
        <v>0</v>
      </c>
      <c r="AJ195" s="11" t="n"/>
      <c r="AK195" s="11" t="n"/>
      <c r="AL195" s="12" t="n"/>
      <c r="AM195" s="11" t="n"/>
      <c r="AN195" s="11" t="n"/>
      <c r="AO195" s="11" t="n"/>
      <c r="AP195" s="11" t="n"/>
      <c r="AQ195" s="12" t="n"/>
      <c r="AR195" s="11" t="n"/>
      <c r="AS195" s="11" t="n"/>
      <c r="AT195" s="11" t="n"/>
      <c r="AU195" s="11" t="n"/>
      <c r="AV195" s="12" t="n"/>
      <c r="AW195" s="11" t="n"/>
      <c r="AX195" s="11" t="n"/>
      <c r="AY195" s="11" t="n"/>
      <c r="AZ195" s="11" t="n"/>
      <c r="BA195" s="12" t="n"/>
      <c r="BB195" s="11" t="n"/>
      <c r="BC195" s="11" t="n"/>
      <c r="BD195" s="11" t="n"/>
      <c r="BE195" s="11" t="n"/>
      <c r="BF195" s="12" t="n"/>
      <c r="BG195" s="11" t="n"/>
      <c r="BH195" s="11" t="n"/>
      <c r="BI195" s="11" t="n"/>
      <c r="BJ195" s="11" t="n"/>
      <c r="BK195" s="12" t="n"/>
      <c r="BL195" s="11" t="n"/>
      <c r="BM195" s="11" t="n"/>
      <c r="BN195" s="11" t="n"/>
      <c r="BO195" s="11" t="n"/>
      <c r="BP195" s="12" t="n"/>
      <c r="BQ195" s="11" t="n"/>
      <c r="BR195" s="11" t="n"/>
      <c r="BS195" s="11" t="n"/>
      <c r="BT195" s="11" t="n"/>
      <c r="BU195" s="12" t="n"/>
      <c r="BV195" s="11" t="n"/>
      <c r="BW195" s="11" t="n"/>
      <c r="BX195" s="11" t="n"/>
      <c r="BY195" s="11" t="n"/>
      <c r="BZ195" s="12" t="n"/>
      <c r="CA195" s="11" t="n"/>
      <c r="CB195" s="11" t="n"/>
      <c r="CC195" s="11" t="n"/>
      <c r="CD195" s="11" t="n"/>
      <c r="CE195" s="12" t="n"/>
      <c r="CF195" s="11" t="n"/>
      <c r="CG195" s="11" t="n"/>
      <c r="CH195" s="11" t="n"/>
      <c r="CI195" s="11" t="n"/>
      <c r="CJ195" s="12" t="n"/>
      <c r="CK195" s="11" t="n"/>
      <c r="CL195" s="11" t="n"/>
      <c r="CM195" s="11" t="n"/>
      <c r="CN195" s="11" t="n"/>
      <c r="CO195" s="12" t="n"/>
      <c r="CP195" s="11" t="n"/>
      <c r="CQ195" s="11" t="n"/>
      <c r="CR195" s="11" t="n"/>
      <c r="CS195" s="11" t="n"/>
      <c r="CT195" s="12" t="n"/>
      <c r="CU195" s="11" t="n"/>
      <c r="CV195" s="11" t="n"/>
      <c r="CW195" s="11" t="n"/>
      <c r="CX195" s="11" t="n"/>
      <c r="CY195" s="12" t="n"/>
    </row>
    <row r="196" hidden="1" outlineLevel="1">
      <c r="C196" s="57" t="inlineStr">
        <is>
          <t>Intangibles</t>
        </is>
      </c>
      <c r="D196" s="12" t="n"/>
      <c r="E196" s="12" t="n"/>
      <c r="F196" s="12" t="n"/>
      <c r="G196" s="12" t="n"/>
      <c r="H196" s="12" t="n"/>
      <c r="I196" s="12">
        <f>I192</f>
        <v>156.288</v>
      </c>
      <c r="J196" s="12">
        <f>J192</f>
        <v>157.252</v>
      </c>
      <c r="K196" s="12">
        <f>K192</f>
        <v>168.4</v>
      </c>
      <c r="L196" s="12">
        <f>L192</f>
        <v>175.044</v>
      </c>
      <c r="M196" s="12">
        <f>M192</f>
        <v>175.044</v>
      </c>
      <c r="N196" s="12">
        <f>N192</f>
        <v>181.788</v>
      </c>
      <c r="O196" s="12">
        <f>O192</f>
        <v>200.519</v>
      </c>
      <c r="P196" s="12">
        <f>P192</f>
        <v>210.136</v>
      </c>
      <c r="Q196" s="12">
        <f>Q192</f>
        <v>287.792</v>
      </c>
      <c r="R196" s="12">
        <f>R192</f>
        <v>287.792</v>
      </c>
      <c r="S196" s="12">
        <f>S192</f>
        <v>298.068</v>
      </c>
      <c r="T196" s="12">
        <f>T192</f>
        <v>299.325</v>
      </c>
      <c r="U196" s="12">
        <f>U192</f>
        <v>304.534</v>
      </c>
      <c r="V196" s="12">
        <f>V192</f>
        <v>336.311</v>
      </c>
      <c r="W196" s="12">
        <f>W192</f>
        <v>336.311</v>
      </c>
      <c r="X196" s="12">
        <f>X192</f>
        <v>329.214</v>
      </c>
      <c r="Y196" s="12">
        <f>Y192</f>
        <v>335.703</v>
      </c>
      <c r="Z196" s="12">
        <f>Z192</f>
        <v>339.4</v>
      </c>
      <c r="AA196" s="12">
        <f>AA192</f>
        <v>342.163</v>
      </c>
      <c r="AB196" s="12">
        <f>AB192</f>
        <v>342.163</v>
      </c>
      <c r="AC196" s="12">
        <f>AC192</f>
        <v>348.058</v>
      </c>
      <c r="AD196" s="12">
        <f>AD192</f>
        <v>353.536</v>
      </c>
      <c r="AE196" s="12">
        <f>AE192</f>
        <v>347.501</v>
      </c>
      <c r="AF196" s="12">
        <f>AF192</f>
        <v>350.075</v>
      </c>
      <c r="AG196" s="12">
        <f>AG192</f>
        <v>350.075</v>
      </c>
      <c r="AH196" s="12">
        <f>AH192</f>
        <v>357.283</v>
      </c>
      <c r="AI196" s="12">
        <f>AI192</f>
        <v>384.741</v>
      </c>
      <c r="AJ196" s="12">
        <f>AJ192</f>
        <v>384.741</v>
      </c>
      <c r="AK196" s="12">
        <f>AK192</f>
        <v>384.741</v>
      </c>
      <c r="AL196" s="12" t="n"/>
      <c r="AM196" s="12">
        <f>AM192</f>
        <v>384.741</v>
      </c>
      <c r="AN196" s="12">
        <f>AN192</f>
        <v>384.741</v>
      </c>
      <c r="AO196" s="12">
        <f>AO192</f>
        <v>384.741</v>
      </c>
      <c r="AP196" s="12">
        <f>AP192</f>
        <v>384.741</v>
      </c>
      <c r="AQ196" s="12" t="n"/>
      <c r="AR196" s="12">
        <f>AR192</f>
        <v>384.741</v>
      </c>
      <c r="AS196" s="12">
        <f>AS192</f>
        <v>384.741</v>
      </c>
      <c r="AT196" s="12">
        <f>AT192</f>
        <v>384.741</v>
      </c>
      <c r="AU196" s="12">
        <f>AU192</f>
        <v>384.741</v>
      </c>
      <c r="AV196" s="12" t="n"/>
      <c r="AW196" s="12">
        <f>AW192</f>
        <v>384.741</v>
      </c>
      <c r="AX196" s="12">
        <f>AX192</f>
        <v>384.741</v>
      </c>
      <c r="AY196" s="12">
        <f>AY192</f>
        <v>384.741</v>
      </c>
      <c r="AZ196" s="12">
        <f>AZ192</f>
        <v>384.741</v>
      </c>
      <c r="BA196" s="12" t="n"/>
      <c r="BB196" s="12">
        <f>BB192</f>
        <v>384.741</v>
      </c>
      <c r="BC196" s="12">
        <f>BC192</f>
        <v>384.741</v>
      </c>
      <c r="BD196" s="12">
        <f>BD192</f>
        <v>384.741</v>
      </c>
      <c r="BE196" s="12">
        <f>BE192</f>
        <v>384.741</v>
      </c>
      <c r="BF196" s="12" t="n"/>
      <c r="BG196" s="12" t="n"/>
      <c r="BH196" s="12" t="n"/>
      <c r="BI196" s="12" t="n"/>
      <c r="BJ196" s="12" t="n"/>
      <c r="BK196" s="12" t="n"/>
      <c r="BL196" s="12" t="n"/>
      <c r="BM196" s="12" t="n"/>
      <c r="BN196" s="12" t="n"/>
      <c r="BO196" s="12" t="n"/>
      <c r="BP196" s="12" t="n"/>
      <c r="BQ196" s="12" t="n"/>
      <c r="BR196" s="12" t="n"/>
      <c r="BS196" s="12" t="n"/>
      <c r="BT196" s="12" t="n"/>
      <c r="BU196" s="12" t="n"/>
      <c r="BV196" s="12" t="n"/>
      <c r="BW196" s="12" t="n"/>
      <c r="BX196" s="12" t="n"/>
      <c r="BY196" s="12" t="n"/>
      <c r="BZ196" s="12" t="n"/>
      <c r="CA196" s="12" t="n"/>
      <c r="CB196" s="12" t="n"/>
      <c r="CC196" s="12" t="n"/>
      <c r="CD196" s="12" t="n"/>
      <c r="CE196" s="12" t="n"/>
      <c r="CF196" s="12" t="n"/>
      <c r="CG196" s="12" t="n"/>
      <c r="CH196" s="12" t="n"/>
      <c r="CI196" s="12" t="n"/>
      <c r="CJ196" s="12" t="n"/>
      <c r="CK196" s="12" t="n"/>
      <c r="CL196" s="12" t="n"/>
      <c r="CM196" s="12" t="n"/>
      <c r="CN196" s="12" t="n"/>
      <c r="CO196" s="12" t="n"/>
      <c r="CP196" s="12" t="n"/>
      <c r="CQ196" s="12" t="n"/>
      <c r="CR196" s="12" t="n"/>
      <c r="CS196" s="12" t="n"/>
      <c r="CT196" s="12" t="n"/>
      <c r="CU196" s="12" t="n"/>
      <c r="CV196" s="12" t="n"/>
      <c r="CW196" s="12" t="n"/>
      <c r="CX196" s="12" t="n"/>
      <c r="CY196" s="12" t="n"/>
    </row>
    <row r="197" hidden="1" outlineLevel="1">
      <c r="C197" s="57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2" t="n"/>
      <c r="CF197" s="12" t="n"/>
      <c r="CG197" s="12" t="n"/>
      <c r="CH197" s="12" t="n"/>
      <c r="CI197" s="12" t="n"/>
      <c r="CJ197" s="12" t="n"/>
      <c r="CK197" s="12" t="n"/>
      <c r="CL197" s="12" t="n"/>
      <c r="CM197" s="12" t="n"/>
      <c r="CN197" s="12" t="n"/>
      <c r="CO197" s="12" t="n"/>
      <c r="CP197" s="12" t="n"/>
      <c r="CQ197" s="12" t="n"/>
      <c r="CR197" s="12" t="n"/>
      <c r="CS197" s="12" t="n"/>
      <c r="CT197" s="12" t="n"/>
      <c r="CU197" s="12" t="n"/>
      <c r="CV197" s="12" t="n"/>
      <c r="CW197" s="12" t="n"/>
      <c r="CX197" s="12" t="n"/>
      <c r="CY197" s="12" t="n"/>
    </row>
    <row r="198" hidden="1" outlineLevel="1">
      <c r="C198" s="57" t="inlineStr">
        <is>
          <t>Definir % do D&amp;A No PPE and Intagibles</t>
        </is>
      </c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12" t="n"/>
      <c r="AP198" s="12" t="n"/>
      <c r="AQ198" s="12" t="n"/>
      <c r="AR198" s="12" t="n"/>
      <c r="AS198" s="12" t="n"/>
      <c r="AT198" s="12" t="n"/>
      <c r="AU198" s="12" t="n"/>
      <c r="AV198" s="12" t="n"/>
      <c r="AW198" s="12" t="n"/>
      <c r="AX198" s="12" t="n"/>
      <c r="AY198" s="12" t="n"/>
      <c r="AZ198" s="12" t="n"/>
      <c r="BA198" s="12" t="n"/>
      <c r="BB198" s="12" t="n"/>
      <c r="BC198" s="12" t="n"/>
      <c r="BD198" s="12" t="n"/>
      <c r="BE198" s="12" t="n"/>
      <c r="BF198" s="12" t="n"/>
      <c r="BG198" s="12" t="n"/>
      <c r="BH198" s="12" t="n"/>
      <c r="BI198" s="12" t="n"/>
      <c r="BJ198" s="12" t="n"/>
      <c r="BK198" s="12" t="n"/>
      <c r="BL198" s="12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2" t="n"/>
      <c r="BW198" s="12" t="n"/>
      <c r="BX198" s="12" t="n"/>
      <c r="BY198" s="12" t="n"/>
      <c r="BZ198" s="12" t="n"/>
      <c r="CA198" s="12" t="n"/>
      <c r="CB198" s="12" t="n"/>
      <c r="CC198" s="12" t="n"/>
      <c r="CD198" s="12" t="n"/>
      <c r="CE198" s="12" t="n"/>
      <c r="CF198" s="12" t="n"/>
      <c r="CG198" s="12" t="n"/>
      <c r="CH198" s="12" t="n"/>
      <c r="CI198" s="12" t="n"/>
      <c r="CJ198" s="12" t="n"/>
      <c r="CK198" s="12" t="n"/>
      <c r="CL198" s="12" t="n"/>
      <c r="CM198" s="12" t="n"/>
      <c r="CN198" s="12" t="n"/>
      <c r="CO198" s="12" t="n"/>
      <c r="CP198" s="12" t="n"/>
      <c r="CQ198" s="12" t="n"/>
      <c r="CR198" s="12" t="n"/>
      <c r="CS198" s="12" t="n"/>
      <c r="CT198" s="12" t="n"/>
      <c r="CU198" s="12" t="n"/>
      <c r="CV198" s="12" t="n"/>
      <c r="CW198" s="12" t="n"/>
      <c r="CX198" s="12" t="n"/>
      <c r="CY198" s="12" t="n"/>
    </row>
    <row r="199" hidden="1" outlineLevel="1">
      <c r="C199" s="57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12" t="n"/>
      <c r="AY199" s="12" t="n"/>
      <c r="AZ199" s="12" t="n"/>
      <c r="BA199" s="12" t="n"/>
      <c r="BB199" s="12" t="n"/>
      <c r="BC199" s="12" t="n"/>
      <c r="BD199" s="12" t="n"/>
      <c r="BE199" s="12" t="n"/>
      <c r="BF199" s="12" t="n"/>
      <c r="BG199" s="12" t="n"/>
      <c r="BH199" s="12" t="n"/>
      <c r="BI199" s="12" t="n"/>
      <c r="BJ199" s="12" t="n"/>
      <c r="BK199" s="12" t="n"/>
      <c r="BL199" s="12" t="n"/>
      <c r="BM199" s="12" t="n"/>
      <c r="BN199" s="12" t="n"/>
      <c r="BO199" s="12" t="n"/>
      <c r="BP199" s="12" t="n"/>
      <c r="BQ199" s="12" t="n"/>
      <c r="BR199" s="12" t="n"/>
      <c r="BS199" s="12" t="n"/>
      <c r="BT199" s="12" t="n"/>
      <c r="BU199" s="12" t="n"/>
      <c r="BV199" s="12" t="n"/>
      <c r="BW199" s="12" t="n"/>
      <c r="BX199" s="12" t="n"/>
      <c r="BY199" s="12" t="n"/>
      <c r="BZ199" s="12" t="n"/>
      <c r="CA199" s="12" t="n"/>
      <c r="CB199" s="12" t="n"/>
      <c r="CC199" s="12" t="n"/>
      <c r="CD199" s="12" t="n"/>
      <c r="CE199" s="12" t="n"/>
      <c r="CF199" s="12" t="n"/>
      <c r="CG199" s="12" t="n"/>
      <c r="CH199" s="12" t="n"/>
      <c r="CI199" s="12" t="n"/>
      <c r="CJ199" s="12" t="n"/>
      <c r="CK199" s="12" t="n"/>
      <c r="CL199" s="12" t="n"/>
      <c r="CM199" s="12" t="n"/>
      <c r="CN199" s="12" t="n"/>
      <c r="CO199" s="12" t="n"/>
      <c r="CP199" s="12" t="n"/>
      <c r="CQ199" s="12" t="n"/>
      <c r="CR199" s="12" t="n"/>
      <c r="CS199" s="12" t="n"/>
      <c r="CT199" s="12" t="n"/>
      <c r="CU199" s="12" t="n"/>
      <c r="CV199" s="12" t="n"/>
      <c r="CW199" s="12" t="n"/>
      <c r="CX199" s="12" t="n"/>
      <c r="CY199" s="12" t="n"/>
    </row>
    <row r="200" hidden="1" outlineLevel="1">
      <c r="C200" s="57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2" t="n"/>
      <c r="AZ200" s="12" t="n"/>
      <c r="BA200" s="12" t="n"/>
      <c r="BB200" s="12" t="n"/>
      <c r="BC200" s="12" t="n"/>
      <c r="BD200" s="12" t="n"/>
      <c r="BE200" s="12" t="n"/>
      <c r="BF200" s="12" t="n"/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  <c r="CR200" s="12" t="n"/>
      <c r="CS200" s="12" t="n"/>
      <c r="CT200" s="12" t="n"/>
      <c r="CU200" s="12" t="n"/>
      <c r="CV200" s="12" t="n"/>
      <c r="CW200" s="12" t="n"/>
      <c r="CX200" s="12" t="n"/>
      <c r="CY200" s="12" t="n"/>
    </row>
    <row r="201" collapsed="1">
      <c r="C201" s="14" t="inlineStr">
        <is>
          <t>Other non-current assets</t>
        </is>
      </c>
      <c r="D201" s="46" t="n"/>
      <c r="E201" s="46" t="n"/>
      <c r="F201" s="46" t="n"/>
      <c r="G201" s="46" t="n"/>
      <c r="H201" s="12" t="n"/>
      <c r="I201" s="46">
        <f>'Inputs (2)'!D26</f>
        <v>225.68</v>
      </c>
      <c r="J201" s="46">
        <f>'Inputs (2)'!E26</f>
        <v>214.682</v>
      </c>
      <c r="K201" s="46">
        <f>'Inputs (2)'!F26</f>
        <v>290.818</v>
      </c>
      <c r="L201" s="46">
        <f>'Inputs (2)'!G26</f>
        <v>245.449</v>
      </c>
      <c r="M201" s="12">
        <f>'Inputs (2)'!H26</f>
        <v>245.449</v>
      </c>
      <c r="N201" s="46">
        <f>'Inputs (2)'!I26</f>
        <v>252.512</v>
      </c>
      <c r="O201" s="46">
        <f>'Inputs (2)'!J26</f>
        <v>277.495</v>
      </c>
      <c r="P201" s="46">
        <f>'Inputs (2)'!K26</f>
        <v>674.305</v>
      </c>
      <c r="Q201" s="46">
        <f>'Inputs (2)'!L26</f>
        <v>675.656</v>
      </c>
      <c r="R201" s="12">
        <f>'Inputs (2)'!M26</f>
        <v>675.656</v>
      </c>
      <c r="S201" s="46">
        <f>'Inputs (2)'!N26</f>
        <v>755.835</v>
      </c>
      <c r="T201" s="46">
        <f>'Inputs (2)'!O26</f>
        <v>707.422</v>
      </c>
      <c r="U201" s="46">
        <f>'Inputs (2)'!P26</f>
        <v>659.186</v>
      </c>
      <c r="V201" s="46">
        <f>'Inputs (2)'!Q26</f>
        <v>713.693</v>
      </c>
      <c r="W201" s="12">
        <f>'Inputs (2)'!R26</f>
        <v>713.693</v>
      </c>
      <c r="X201" s="46">
        <f>'Inputs (2)'!S26</f>
        <v>764.144</v>
      </c>
      <c r="Y201" s="46">
        <f>'Inputs (2)'!T26</f>
        <v>1312.67</v>
      </c>
      <c r="Z201" s="46">
        <f>'Inputs (2)'!U26</f>
        <v>1379.633</v>
      </c>
      <c r="AA201" s="46">
        <f>'Inputs (2)'!V26</f>
        <v>1367.26</v>
      </c>
      <c r="AB201" s="12">
        <f>'Inputs (2)'!W26</f>
        <v>1367.26</v>
      </c>
      <c r="AC201" s="46">
        <f>'Inputs (2)'!X26</f>
        <v>927.891</v>
      </c>
      <c r="AD201" s="46">
        <f>'Inputs (2)'!Y26</f>
        <v>328.817</v>
      </c>
      <c r="AE201" s="46">
        <f>'Inputs (2)'!Z26</f>
        <v>390.774</v>
      </c>
      <c r="AF201" s="46">
        <f>'Inputs (2)'!AA26</f>
        <v>587.492</v>
      </c>
      <c r="AG201" s="12">
        <f>'Inputs (2)'!AB26</f>
        <v>587.492</v>
      </c>
      <c r="AH201" s="12">
        <f>'Inputs (2)'!AC26</f>
        <v>633.65</v>
      </c>
      <c r="AI201" s="12">
        <f>'Inputs (2)'!AD26</f>
        <v>655.395</v>
      </c>
      <c r="AJ201" s="12">
        <f>AI201</f>
        <v>655.395</v>
      </c>
      <c r="AK201" s="12">
        <f>AJ201</f>
        <v>655.395</v>
      </c>
      <c r="AL201" s="12">
        <f>AK201</f>
        <v>655.395</v>
      </c>
      <c r="AM201" s="12">
        <f>AL201</f>
        <v>655.395</v>
      </c>
      <c r="AN201" s="12">
        <f>AM201</f>
        <v>655.395</v>
      </c>
      <c r="AO201" s="12">
        <f>AN201</f>
        <v>655.395</v>
      </c>
      <c r="AP201" s="12">
        <f>AO201</f>
        <v>655.395</v>
      </c>
      <c r="AQ201" s="12">
        <f>AP201</f>
        <v>655.395</v>
      </c>
      <c r="AR201" s="12">
        <f>AQ201</f>
        <v>655.395</v>
      </c>
      <c r="AS201" s="12">
        <f>AR201</f>
        <v>655.395</v>
      </c>
      <c r="AT201" s="12">
        <f>AS201</f>
        <v>655.395</v>
      </c>
      <c r="AU201" s="12">
        <f>AT201</f>
        <v>655.395</v>
      </c>
      <c r="AV201" s="12">
        <f>AU201</f>
        <v>655.395</v>
      </c>
      <c r="AW201" s="12">
        <f>AV201</f>
        <v>655.395</v>
      </c>
      <c r="AX201" s="12">
        <f>AW201</f>
        <v>655.395</v>
      </c>
      <c r="AY201" s="12">
        <f>AX201</f>
        <v>655.395</v>
      </c>
      <c r="AZ201" s="12">
        <f>AY201</f>
        <v>655.395</v>
      </c>
      <c r="BA201" s="12">
        <f>AZ201</f>
        <v>655.395</v>
      </c>
      <c r="BB201" s="12">
        <f>BA201</f>
        <v>655.395</v>
      </c>
      <c r="BC201" s="12">
        <f>BB201</f>
        <v>655.395</v>
      </c>
      <c r="BD201" s="12">
        <f>BC201</f>
        <v>655.395</v>
      </c>
      <c r="BE201" s="12">
        <f>BD201</f>
        <v>655.395</v>
      </c>
      <c r="BF201" s="12">
        <f>BE201</f>
        <v>655.395</v>
      </c>
      <c r="BG201" s="12" t="n"/>
      <c r="BH201" s="12" t="n"/>
      <c r="BI201" s="12" t="n"/>
      <c r="BJ201" s="12" t="n"/>
      <c r="BK201" s="12" t="n"/>
      <c r="BL201" s="12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  <c r="CA201" s="12" t="n"/>
      <c r="CB201" s="12" t="n"/>
      <c r="CC201" s="12" t="n"/>
      <c r="CD201" s="12" t="n"/>
      <c r="CE201" s="12" t="n"/>
      <c r="CF201" s="12" t="n"/>
      <c r="CG201" s="12" t="n"/>
      <c r="CH201" s="12" t="n"/>
      <c r="CI201" s="12" t="n"/>
      <c r="CJ201" s="12" t="n"/>
      <c r="CK201" s="12" t="n"/>
      <c r="CL201" s="12" t="n"/>
      <c r="CM201" s="12" t="n"/>
      <c r="CN201" s="12" t="n"/>
      <c r="CO201" s="12" t="n"/>
      <c r="CP201" s="12" t="n"/>
      <c r="CQ201" s="12" t="n"/>
      <c r="CR201" s="12" t="n"/>
      <c r="CS201" s="12" t="n"/>
      <c r="CT201" s="12" t="n"/>
      <c r="CU201" s="12" t="n"/>
      <c r="CV201" s="12" t="n"/>
      <c r="CW201" s="12" t="n"/>
      <c r="CX201" s="12" t="n"/>
      <c r="CY201" s="12" t="n"/>
    </row>
    <row r="202" hidden="1" outlineLevel="1">
      <c r="C202" s="59" t="inlineStr">
        <is>
          <t>%(Var.)</t>
        </is>
      </c>
      <c r="D202" s="12" t="n"/>
      <c r="E202" s="40" t="n"/>
      <c r="F202" s="40" t="n"/>
      <c r="G202" s="40" t="n"/>
      <c r="H202" s="12" t="n"/>
      <c r="I202" s="40" t="str">
        <f>""</f>
        <v/>
      </c>
      <c r="J202" s="40">
        <f>IF(I201=0,"",J201/I201-1)</f>
        <v>-0.0487327188940093</v>
      </c>
      <c r="K202" s="40">
        <f>IF(J201=0,"",K201/J201-1)</f>
        <v>0.354645475633728</v>
      </c>
      <c r="L202" s="40">
        <f>IF(K201=0,"",L201/K201-1)</f>
        <v>-0.156004786498772</v>
      </c>
      <c r="M202" s="12">
        <f>IF(L201=0,"",M201/L201-1)</f>
        <v>0</v>
      </c>
      <c r="N202" s="40">
        <f>IF(M201=0,"",N201/M201-1)</f>
        <v>0.0287758353059087</v>
      </c>
      <c r="O202" s="40">
        <f>IF(N201=0,"",O201/N201-1)</f>
        <v>0.0989378722595362</v>
      </c>
      <c r="P202" s="40">
        <f>IF(O201=0,"",P201/O201-1)</f>
        <v>1.429971711202</v>
      </c>
      <c r="Q202" s="40">
        <f>IF(P201=0,"",Q201/P201-1)</f>
        <v>0.00200354439014983</v>
      </c>
      <c r="R202" s="12">
        <f>IF(Q201=0,"",R201/Q201-1)</f>
        <v>0</v>
      </c>
      <c r="S202" s="40">
        <f>IF(R201=0,"",S201/R201-1)</f>
        <v>0.118668375623098</v>
      </c>
      <c r="T202" s="40">
        <f>IF(S201=0,"",T201/S201-1)</f>
        <v>-0.0640523394656242</v>
      </c>
      <c r="U202" s="40">
        <f>IF(T201=0,"",U201/T201-1)</f>
        <v>-0.068185609155497</v>
      </c>
      <c r="V202" s="40">
        <f>IF(U201=0,"",V201/U201-1)</f>
        <v>0.0826883459296768</v>
      </c>
      <c r="W202" s="12">
        <f>IF(V201=0,"",W201/V201-1)</f>
        <v>0</v>
      </c>
      <c r="X202" s="40">
        <f>IF(W201=0,"",X201/W201-1)</f>
        <v>0.0706900586106352</v>
      </c>
      <c r="Y202" s="40">
        <f>IF(X201=0,"",Y201/X201-1)</f>
        <v>0.717830670658934</v>
      </c>
      <c r="Z202" s="40">
        <f>IF(Y201=0,"",Z201/Y201-1)</f>
        <v>0.0510128211964926</v>
      </c>
      <c r="AA202" s="40">
        <f>IF(Z201=0,"",AA201/Z201-1)</f>
        <v>-0.0089683270840869</v>
      </c>
      <c r="AB202" s="12">
        <f>IF(AA201=0,"",AB201/AA201-1)</f>
        <v>0</v>
      </c>
      <c r="AC202" s="40">
        <f>IF(AB201=0,"",AC201/AB201-1)</f>
        <v>-0.32134999926861</v>
      </c>
      <c r="AD202" s="40">
        <f>IF(AC201=0,"",AD201/AC201-1)</f>
        <v>-0.645629712972752</v>
      </c>
      <c r="AE202" s="40">
        <f>IF(AD201=0,"",AE201/AD201-1)</f>
        <v>0.188423956182314</v>
      </c>
      <c r="AF202" s="55">
        <f>IF(AE201=0,"",AF201/AE201-1)</f>
        <v>0.503406060792171</v>
      </c>
      <c r="AG202" s="12">
        <f>IF(AF201=0,"",AG201/AF201-1)</f>
        <v>0</v>
      </c>
      <c r="AH202" s="55">
        <f>IF(AG201=0,"",AH201/AG201-1)</f>
        <v>0.0785678783711097</v>
      </c>
      <c r="AI202" s="55">
        <f>IF(AH201=0,"",AI201/AH201-1)</f>
        <v>0.0343170520003155</v>
      </c>
      <c r="AJ202" s="55">
        <f>IF(AI201=0,"",AJ201/AI201-1)</f>
        <v>0</v>
      </c>
      <c r="AK202" s="55">
        <f>IF(AJ201=0,"",AK201/AJ201-1)</f>
        <v>0</v>
      </c>
      <c r="AL202" s="12">
        <f>IF(AK201=0,"",AL201/AK201-1)</f>
        <v>0</v>
      </c>
      <c r="AM202" s="55">
        <f>IF(AL201=0,"",AM201/AL201-1)</f>
        <v>0</v>
      </c>
      <c r="AN202" s="55">
        <f>IF(AM201=0,"",AN201/AM201-1)</f>
        <v>0</v>
      </c>
      <c r="AO202" s="55">
        <f>IF(AN201=0,"",AO201/AN201-1)</f>
        <v>0</v>
      </c>
      <c r="AP202" s="55">
        <f>IF(AO201=0,"",AP201/AO201-1)</f>
        <v>0</v>
      </c>
      <c r="AQ202" s="12">
        <f>IF(AP201=0,"",AQ201/AP201-1)</f>
        <v>0</v>
      </c>
      <c r="AR202" s="55">
        <f>IF(AQ201=0,"",AR201/AQ201-1)</f>
        <v>0</v>
      </c>
      <c r="AS202" s="55">
        <f>IF(AR201=0,"",AS201/AR201-1)</f>
        <v>0</v>
      </c>
      <c r="AT202" s="55">
        <f>IF(AS201=0,"",AT201/AS201-1)</f>
        <v>0</v>
      </c>
      <c r="AU202" s="55">
        <f>IF(AT201=0,"",AU201/AT201-1)</f>
        <v>0</v>
      </c>
      <c r="AV202" s="12">
        <f>IF(AU201=0,"",AV201/AU201-1)</f>
        <v>0</v>
      </c>
      <c r="AW202" s="55">
        <f>IF(AV201=0,"",AW201/AV201-1)</f>
        <v>0</v>
      </c>
      <c r="AX202" s="55">
        <f>IF(AW201=0,"",AX201/AW201-1)</f>
        <v>0</v>
      </c>
      <c r="AY202" s="55">
        <f>IF(AX201=0,"",AY201/AX201-1)</f>
        <v>0</v>
      </c>
      <c r="AZ202" s="55">
        <f>IF(AY201=0,"",AZ201/AY201-1)</f>
        <v>0</v>
      </c>
      <c r="BA202" s="12">
        <f>IF(AZ201=0,"",BA201/AZ201-1)</f>
        <v>0</v>
      </c>
      <c r="BB202" s="55">
        <f>IF(BA201=0,"",BB201/BA201-1)</f>
        <v>0</v>
      </c>
      <c r="BC202" s="55">
        <f>IF(BB201=0,"",BC201/BB201-1)</f>
        <v>0</v>
      </c>
      <c r="BD202" s="55">
        <f>IF(BC201=0,"",BD201/BC201-1)</f>
        <v>0</v>
      </c>
      <c r="BE202" s="55">
        <f>IF(BD201=0,"",BE201/BD201-1)</f>
        <v>0</v>
      </c>
      <c r="BF202" s="12">
        <f>IF(BE201=0,"",BF201/BE201-1)</f>
        <v>0</v>
      </c>
      <c r="BG202" s="55" t="n"/>
      <c r="BH202" s="55" t="n"/>
      <c r="BI202" s="55" t="n"/>
      <c r="BJ202" s="55" t="n"/>
      <c r="BK202" s="12" t="n"/>
      <c r="BL202" s="55" t="n"/>
      <c r="BM202" s="55" t="n"/>
      <c r="BN202" s="55" t="n"/>
      <c r="BO202" s="55" t="n"/>
      <c r="BP202" s="12" t="n"/>
      <c r="BQ202" s="55" t="n"/>
      <c r="BR202" s="55" t="n"/>
      <c r="BS202" s="55" t="n"/>
      <c r="BT202" s="55" t="n"/>
      <c r="BU202" s="12" t="n"/>
      <c r="BV202" s="55" t="n"/>
      <c r="BW202" s="55" t="n"/>
      <c r="BX202" s="55" t="n"/>
      <c r="BY202" s="55" t="n"/>
      <c r="BZ202" s="12" t="n"/>
      <c r="CA202" s="55" t="n"/>
      <c r="CB202" s="55" t="n"/>
      <c r="CC202" s="55" t="n"/>
      <c r="CD202" s="55" t="n"/>
      <c r="CE202" s="12" t="n"/>
      <c r="CF202" s="55" t="n"/>
      <c r="CG202" s="55" t="n"/>
      <c r="CH202" s="55" t="n"/>
      <c r="CI202" s="55" t="n"/>
      <c r="CJ202" s="12" t="n"/>
      <c r="CK202" s="55" t="n"/>
      <c r="CL202" s="55" t="n"/>
      <c r="CM202" s="55" t="n"/>
      <c r="CN202" s="55" t="n"/>
      <c r="CO202" s="12" t="n"/>
      <c r="CP202" s="55" t="n"/>
      <c r="CQ202" s="55" t="n"/>
      <c r="CR202" s="55" t="n"/>
      <c r="CS202" s="55" t="n"/>
      <c r="CT202" s="12" t="n"/>
      <c r="CU202" s="55" t="n"/>
      <c r="CV202" s="55" t="n"/>
      <c r="CW202" s="55" t="n"/>
      <c r="CX202" s="55" t="n"/>
      <c r="CY202" s="12" t="n"/>
    </row>
    <row r="203" hidden="1" outlineLevel="1">
      <c r="C203" s="57" t="n"/>
      <c r="D203" s="12" t="n"/>
      <c r="E203" s="40" t="n"/>
      <c r="F203" s="40" t="n"/>
      <c r="G203" s="40" t="n"/>
      <c r="H203" s="12" t="n"/>
      <c r="I203" s="40" t="n"/>
      <c r="J203" s="40" t="n"/>
      <c r="K203" s="40" t="n"/>
      <c r="L203" s="40" t="n"/>
      <c r="M203" s="12" t="n"/>
      <c r="N203" s="40" t="n"/>
      <c r="O203" s="40" t="n"/>
      <c r="P203" s="40" t="n"/>
      <c r="Q203" s="40" t="n"/>
      <c r="R203" s="12" t="n"/>
      <c r="S203" s="40" t="n"/>
      <c r="T203" s="40" t="n"/>
      <c r="U203" s="40" t="n"/>
      <c r="V203" s="40" t="n"/>
      <c r="W203" s="12" t="n"/>
      <c r="X203" s="40" t="n"/>
      <c r="Y203" s="40" t="n"/>
      <c r="Z203" s="40" t="n"/>
      <c r="AA203" s="40" t="n"/>
      <c r="AB203" s="12" t="n"/>
      <c r="AC203" s="40" t="n"/>
      <c r="AD203" s="40" t="n"/>
      <c r="AE203" s="40" t="n"/>
      <c r="AF203" s="55" t="n"/>
      <c r="AG203" s="12" t="n"/>
      <c r="AH203" s="55" t="n"/>
      <c r="AI203" s="55" t="n"/>
      <c r="AJ203" s="55" t="n"/>
      <c r="AK203" s="55" t="n"/>
      <c r="AL203" s="12" t="n"/>
      <c r="AM203" s="55" t="n"/>
      <c r="AN203" s="55" t="n"/>
      <c r="AO203" s="55" t="n"/>
      <c r="AP203" s="55" t="n"/>
      <c r="AQ203" s="12" t="n"/>
      <c r="AR203" s="55" t="n"/>
      <c r="AS203" s="55" t="n"/>
      <c r="AT203" s="55" t="n"/>
      <c r="AU203" s="55" t="n"/>
      <c r="AV203" s="12" t="n"/>
      <c r="AW203" s="55" t="n"/>
      <c r="AX203" s="55" t="n"/>
      <c r="AY203" s="55" t="n"/>
      <c r="AZ203" s="55" t="n"/>
      <c r="BA203" s="12" t="n"/>
      <c r="BB203" s="55" t="n"/>
      <c r="BC203" s="55" t="n"/>
      <c r="BD203" s="55" t="n"/>
      <c r="BE203" s="55" t="n"/>
      <c r="BF203" s="12" t="n"/>
      <c r="BG203" s="55" t="n"/>
      <c r="BH203" s="55" t="n"/>
      <c r="BI203" s="55" t="n"/>
      <c r="BJ203" s="55" t="n"/>
      <c r="BK203" s="12" t="n"/>
      <c r="BL203" s="55" t="n"/>
      <c r="BM203" s="55" t="n"/>
      <c r="BN203" s="55" t="n"/>
      <c r="BO203" s="55" t="n"/>
      <c r="BP203" s="12" t="n"/>
      <c r="BQ203" s="55" t="n"/>
      <c r="BR203" s="55" t="n"/>
      <c r="BS203" s="55" t="n"/>
      <c r="BT203" s="55" t="n"/>
      <c r="BU203" s="12" t="n"/>
      <c r="BV203" s="55" t="n"/>
      <c r="BW203" s="55" t="n"/>
      <c r="BX203" s="55" t="n"/>
      <c r="BY203" s="55" t="n"/>
      <c r="BZ203" s="12" t="n"/>
      <c r="CA203" s="55" t="n"/>
      <c r="CB203" s="55" t="n"/>
      <c r="CC203" s="55" t="n"/>
      <c r="CD203" s="55" t="n"/>
      <c r="CE203" s="12" t="n"/>
      <c r="CF203" s="55" t="n"/>
      <c r="CG203" s="55" t="n"/>
      <c r="CH203" s="55" t="n"/>
      <c r="CI203" s="55" t="n"/>
      <c r="CJ203" s="12" t="n"/>
      <c r="CK203" s="55" t="n"/>
      <c r="CL203" s="55" t="n"/>
      <c r="CM203" s="55" t="n"/>
      <c r="CN203" s="55" t="n"/>
      <c r="CO203" s="12" t="n"/>
      <c r="CP203" s="55" t="n"/>
      <c r="CQ203" s="55" t="n"/>
      <c r="CR203" s="55" t="n"/>
      <c r="CS203" s="55" t="n"/>
      <c r="CT203" s="12" t="n"/>
      <c r="CU203" s="55" t="n"/>
      <c r="CV203" s="55" t="n"/>
      <c r="CW203" s="55" t="n"/>
      <c r="CX203" s="55" t="n"/>
      <c r="CY203" s="12" t="n"/>
    </row>
    <row r="204" hidden="1" outlineLevel="1">
      <c r="C204" s="60" t="inlineStr">
        <is>
          <t>Outros Créditos - LP</t>
        </is>
      </c>
      <c r="D204" s="11" t="n"/>
      <c r="E204" s="11" t="n"/>
      <c r="F204" s="11" t="n"/>
      <c r="G204" s="11" t="n"/>
      <c r="H204" s="12" t="n"/>
      <c r="I204" s="11" t="n"/>
      <c r="J204" s="11" t="n"/>
      <c r="K204" s="11" t="n"/>
      <c r="L204" s="11" t="n"/>
      <c r="M204" s="12" t="n"/>
      <c r="N204" s="11" t="n"/>
      <c r="O204" s="11" t="n"/>
      <c r="P204" s="11" t="n"/>
      <c r="Q204" s="11" t="n"/>
      <c r="R204" s="12" t="n"/>
      <c r="S204" s="11" t="n"/>
      <c r="T204" s="11" t="n"/>
      <c r="U204" s="11" t="n"/>
      <c r="V204" s="11" t="n"/>
      <c r="W204" s="12" t="n"/>
      <c r="X204" s="11" t="n"/>
      <c r="Y204" s="11" t="n"/>
      <c r="Z204" s="11" t="n"/>
      <c r="AA204" s="11" t="n"/>
      <c r="AB204" s="12" t="n"/>
      <c r="AC204" s="11" t="n"/>
      <c r="AD204" s="11" t="n"/>
      <c r="AE204" s="11" t="n"/>
      <c r="AF204" s="11" t="n"/>
      <c r="AG204" s="12" t="n"/>
      <c r="AH204" s="12" t="n"/>
      <c r="AI204" s="12" t="n"/>
      <c r="AJ204" s="12" t="n"/>
      <c r="AK204" s="12" t="n"/>
      <c r="AL204" s="12" t="n"/>
      <c r="AM204" s="12" t="n"/>
      <c r="AN204" s="12" t="n"/>
      <c r="AO204" s="12" t="n"/>
      <c r="AP204" s="12" t="n"/>
      <c r="AQ204" s="12" t="n"/>
      <c r="AR204" s="12" t="n"/>
      <c r="AS204" s="12" t="n"/>
      <c r="AT204" s="12" t="n"/>
      <c r="AU204" s="12" t="n"/>
      <c r="AV204" s="12" t="n"/>
      <c r="AW204" s="12" t="n"/>
      <c r="AX204" s="12" t="n"/>
      <c r="AY204" s="12" t="n"/>
      <c r="AZ204" s="12" t="n"/>
      <c r="BA204" s="12" t="n"/>
      <c r="BB204" s="12" t="n"/>
      <c r="BC204" s="12" t="n"/>
      <c r="BD204" s="12" t="n"/>
      <c r="BE204" s="12" t="n"/>
      <c r="BF204" s="12" t="n"/>
      <c r="BG204" s="12" t="n"/>
      <c r="BH204" s="12" t="n"/>
      <c r="BI204" s="12" t="n"/>
      <c r="BJ204" s="12" t="n"/>
      <c r="BK204" s="12" t="n"/>
      <c r="BL204" s="12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  <c r="CA204" s="12" t="n"/>
      <c r="CB204" s="12" t="n"/>
      <c r="CC204" s="12" t="n"/>
      <c r="CD204" s="12" t="n"/>
      <c r="CE204" s="12" t="n"/>
      <c r="CF204" s="12" t="n"/>
      <c r="CG204" s="12" t="n"/>
      <c r="CH204" s="12" t="n"/>
      <c r="CI204" s="12" t="n"/>
      <c r="CJ204" s="12" t="n"/>
      <c r="CK204" s="12" t="n"/>
      <c r="CL204" s="12" t="n"/>
      <c r="CM204" s="12" t="n"/>
      <c r="CN204" s="12" t="n"/>
      <c r="CO204" s="12" t="n"/>
      <c r="CP204" s="12" t="n"/>
      <c r="CQ204" s="12" t="n"/>
      <c r="CR204" s="12" t="n"/>
      <c r="CS204" s="12" t="n"/>
      <c r="CT204" s="12" t="n"/>
      <c r="CU204" s="12" t="n"/>
      <c r="CV204" s="12" t="n"/>
      <c r="CW204" s="12" t="n"/>
      <c r="CX204" s="12" t="n"/>
      <c r="CY204" s="12" t="n"/>
    </row>
    <row r="205" hidden="1" outlineLevel="1">
      <c r="C205" s="60" t="inlineStr">
        <is>
          <t xml:space="preserve">Impostos e Contribuições a Recuperar </t>
        </is>
      </c>
      <c r="D205" s="11" t="n"/>
      <c r="E205" s="11" t="n"/>
      <c r="F205" s="11" t="n"/>
      <c r="G205" s="11" t="n"/>
      <c r="H205" s="12" t="n"/>
      <c r="I205" s="11" t="n"/>
      <c r="J205" s="11" t="n"/>
      <c r="K205" s="11" t="n"/>
      <c r="L205" s="11" t="n"/>
      <c r="M205" s="12" t="n"/>
      <c r="N205" s="11" t="n"/>
      <c r="O205" s="11" t="n"/>
      <c r="P205" s="11" t="n"/>
      <c r="Q205" s="11" t="n"/>
      <c r="R205" s="12" t="n"/>
      <c r="S205" s="11" t="n"/>
      <c r="T205" s="11" t="n"/>
      <c r="U205" s="11" t="n"/>
      <c r="V205" s="11" t="n"/>
      <c r="W205" s="12" t="n"/>
      <c r="X205" s="11" t="n"/>
      <c r="Y205" s="11" t="n"/>
      <c r="Z205" s="11" t="n"/>
      <c r="AA205" s="11" t="n"/>
      <c r="AB205" s="12" t="n"/>
      <c r="AC205" s="11" t="n"/>
      <c r="AD205" s="11" t="n"/>
      <c r="AE205" s="11" t="n"/>
      <c r="AF205" s="11" t="n"/>
      <c r="AG205" s="12" t="n"/>
      <c r="AH205" s="12" t="n"/>
      <c r="AI205" s="12" t="n"/>
      <c r="AJ205" s="12" t="n"/>
      <c r="AK205" s="12" t="n"/>
      <c r="AL205" s="12" t="n"/>
      <c r="AM205" s="12" t="n"/>
      <c r="AN205" s="12" t="n"/>
      <c r="AO205" s="12" t="n"/>
      <c r="AP205" s="12" t="n"/>
      <c r="AQ205" s="12" t="n"/>
      <c r="AR205" s="12" t="n"/>
      <c r="AS205" s="12" t="n"/>
      <c r="AT205" s="12" t="n"/>
      <c r="AU205" s="12" t="n"/>
      <c r="AV205" s="12" t="n"/>
      <c r="AW205" s="12" t="n"/>
      <c r="AX205" s="12" t="n"/>
      <c r="AY205" s="12" t="n"/>
      <c r="AZ205" s="12" t="n"/>
      <c r="BA205" s="12" t="n"/>
      <c r="BB205" s="12" t="n"/>
      <c r="BC205" s="12" t="n"/>
      <c r="BD205" s="12" t="n"/>
      <c r="BE205" s="12" t="n"/>
      <c r="BF205" s="12" t="n"/>
      <c r="BG205" s="12" t="n"/>
      <c r="BH205" s="12" t="n"/>
      <c r="BI205" s="12" t="n"/>
      <c r="BJ205" s="12" t="n"/>
      <c r="BK205" s="12" t="n"/>
      <c r="BL205" s="12" t="n"/>
      <c r="BM205" s="12" t="n"/>
      <c r="BN205" s="12" t="n"/>
      <c r="BO205" s="12" t="n"/>
      <c r="BP205" s="12" t="n"/>
      <c r="BQ205" s="12" t="n"/>
      <c r="BR205" s="12" t="n"/>
      <c r="BS205" s="12" t="n"/>
      <c r="BT205" s="12" t="n"/>
      <c r="BU205" s="12" t="n"/>
      <c r="BV205" s="12" t="n"/>
      <c r="BW205" s="12" t="n"/>
      <c r="BX205" s="12" t="n"/>
      <c r="BY205" s="12" t="n"/>
      <c r="BZ205" s="12" t="n"/>
      <c r="CA205" s="12" t="n"/>
      <c r="CB205" s="12" t="n"/>
      <c r="CC205" s="12" t="n"/>
      <c r="CD205" s="12" t="n"/>
      <c r="CE205" s="12" t="n"/>
      <c r="CF205" s="12" t="n"/>
      <c r="CG205" s="12" t="n"/>
      <c r="CH205" s="12" t="n"/>
      <c r="CI205" s="12" t="n"/>
      <c r="CJ205" s="12" t="n"/>
      <c r="CK205" s="12" t="n"/>
      <c r="CL205" s="12" t="n"/>
      <c r="CM205" s="12" t="n"/>
      <c r="CN205" s="12" t="n"/>
      <c r="CO205" s="12" t="n"/>
      <c r="CP205" s="12" t="n"/>
      <c r="CQ205" s="12" t="n"/>
      <c r="CR205" s="12" t="n"/>
      <c r="CS205" s="12" t="n"/>
      <c r="CT205" s="12" t="n"/>
      <c r="CU205" s="12" t="n"/>
      <c r="CV205" s="12" t="n"/>
      <c r="CW205" s="12" t="n"/>
      <c r="CX205" s="12" t="n"/>
      <c r="CY205" s="12" t="n"/>
    </row>
    <row r="206" hidden="1" outlineLevel="1">
      <c r="C206" s="60" t="inlineStr">
        <is>
          <t xml:space="preserve">Imposto de Renda e Contribuição Social Diferidos </t>
        </is>
      </c>
      <c r="D206" s="11" t="n"/>
      <c r="E206" s="11" t="n"/>
      <c r="F206" s="11" t="n"/>
      <c r="G206" s="11" t="n"/>
      <c r="H206" s="12" t="n"/>
      <c r="I206" s="11" t="n"/>
      <c r="J206" s="11" t="n"/>
      <c r="K206" s="11" t="n"/>
      <c r="L206" s="11" t="n"/>
      <c r="M206" s="12" t="n"/>
      <c r="N206" s="11" t="n"/>
      <c r="O206" s="11" t="n"/>
      <c r="P206" s="11" t="n"/>
      <c r="Q206" s="11" t="n"/>
      <c r="R206" s="12" t="n"/>
      <c r="S206" s="11" t="n"/>
      <c r="T206" s="11" t="n"/>
      <c r="U206" s="11" t="n"/>
      <c r="V206" s="11" t="n"/>
      <c r="W206" s="12" t="n"/>
      <c r="X206" s="11" t="n"/>
      <c r="Y206" s="11" t="n"/>
      <c r="Z206" s="11" t="n"/>
      <c r="AA206" s="11" t="n"/>
      <c r="AB206" s="12" t="n"/>
      <c r="AC206" s="11" t="n"/>
      <c r="AD206" s="11" t="n"/>
      <c r="AE206" s="11" t="n"/>
      <c r="AF206" s="11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  <c r="AP206" s="12" t="n"/>
      <c r="AQ206" s="12" t="n"/>
      <c r="AR206" s="12" t="n"/>
      <c r="AS206" s="12" t="n"/>
      <c r="AT206" s="12" t="n"/>
      <c r="AU206" s="12" t="n"/>
      <c r="AV206" s="12" t="n"/>
      <c r="AW206" s="12" t="n"/>
      <c r="AX206" s="12" t="n"/>
      <c r="AY206" s="12" t="n"/>
      <c r="AZ206" s="12" t="n"/>
      <c r="BA206" s="12" t="n"/>
      <c r="BB206" s="12" t="n"/>
      <c r="BC206" s="12" t="n"/>
      <c r="BD206" s="12" t="n"/>
      <c r="BE206" s="12" t="n"/>
      <c r="BF206" s="12" t="n"/>
      <c r="BG206" s="12" t="n"/>
      <c r="BH206" s="12" t="n"/>
      <c r="BI206" s="12" t="n"/>
      <c r="BJ206" s="12" t="n"/>
      <c r="BK206" s="12" t="n"/>
      <c r="BL206" s="12" t="n"/>
      <c r="BM206" s="12" t="n"/>
      <c r="BN206" s="12" t="n"/>
      <c r="BO206" s="12" t="n"/>
      <c r="BP206" s="12" t="n"/>
      <c r="BQ206" s="12" t="n"/>
      <c r="BR206" s="12" t="n"/>
      <c r="BS206" s="12" t="n"/>
      <c r="BT206" s="12" t="n"/>
      <c r="BU206" s="12" t="n"/>
      <c r="BV206" s="12" t="n"/>
      <c r="BW206" s="12" t="n"/>
      <c r="BX206" s="12" t="n"/>
      <c r="BY206" s="12" t="n"/>
      <c r="BZ206" s="12" t="n"/>
      <c r="CA206" s="12" t="n"/>
      <c r="CB206" s="12" t="n"/>
      <c r="CC206" s="12" t="n"/>
      <c r="CD206" s="12" t="n"/>
      <c r="CE206" s="12" t="n"/>
      <c r="CF206" s="12" t="n"/>
      <c r="CG206" s="12" t="n"/>
      <c r="CH206" s="12" t="n"/>
      <c r="CI206" s="12" t="n"/>
      <c r="CJ206" s="12" t="n"/>
      <c r="CK206" s="12" t="n"/>
      <c r="CL206" s="12" t="n"/>
      <c r="CM206" s="12" t="n"/>
      <c r="CN206" s="12" t="n"/>
      <c r="CO206" s="12" t="n"/>
      <c r="CP206" s="12" t="n"/>
      <c r="CQ206" s="12" t="n"/>
      <c r="CR206" s="12" t="n"/>
      <c r="CS206" s="12" t="n"/>
      <c r="CT206" s="12" t="n"/>
      <c r="CU206" s="12" t="n"/>
      <c r="CV206" s="12" t="n"/>
      <c r="CW206" s="12" t="n"/>
      <c r="CX206" s="12" t="n"/>
      <c r="CY206" s="12" t="n"/>
    </row>
    <row r="207" hidden="1" outlineLevel="1">
      <c r="C207" s="60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2" t="n"/>
      <c r="AZ207" s="12" t="n"/>
      <c r="BA207" s="12" t="n"/>
      <c r="BB207" s="12" t="n"/>
      <c r="BC207" s="12" t="n"/>
      <c r="BD207" s="12" t="n"/>
      <c r="BE207" s="12" t="n"/>
      <c r="BF207" s="12" t="n"/>
      <c r="BG207" s="12" t="n"/>
      <c r="BH207" s="12" t="n"/>
      <c r="BI207" s="12" t="n"/>
      <c r="BJ207" s="12" t="n"/>
      <c r="BK207" s="12" t="n"/>
      <c r="BL207" s="12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12" t="n"/>
      <c r="BV207" s="12" t="n"/>
      <c r="BW207" s="12" t="n"/>
      <c r="BX207" s="12" t="n"/>
      <c r="BY207" s="12" t="n"/>
      <c r="BZ207" s="12" t="n"/>
      <c r="CA207" s="12" t="n"/>
      <c r="CB207" s="12" t="n"/>
      <c r="CC207" s="12" t="n"/>
      <c r="CD207" s="12" t="n"/>
      <c r="CE207" s="12" t="n"/>
      <c r="CF207" s="12" t="n"/>
      <c r="CG207" s="12" t="n"/>
      <c r="CH207" s="12" t="n"/>
      <c r="CI207" s="12" t="n"/>
      <c r="CJ207" s="12" t="n"/>
      <c r="CK207" s="12" t="n"/>
      <c r="CL207" s="12" t="n"/>
      <c r="CM207" s="12" t="n"/>
      <c r="CN207" s="12" t="n"/>
      <c r="CO207" s="12" t="n"/>
      <c r="CP207" s="12" t="n"/>
      <c r="CQ207" s="12" t="n"/>
      <c r="CR207" s="12" t="n"/>
      <c r="CS207" s="12" t="n"/>
      <c r="CT207" s="12" t="n"/>
      <c r="CU207" s="12" t="n"/>
      <c r="CV207" s="12" t="n"/>
      <c r="CW207" s="12" t="n"/>
      <c r="CX207" s="12" t="n"/>
      <c r="CY207" s="12" t="n"/>
    </row>
    <row r="208" hidden="1" outlineLevel="1">
      <c r="C208" s="57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  <c r="AL208" s="12" t="n"/>
      <c r="AM208" s="12" t="n"/>
      <c r="AN208" s="12" t="n"/>
      <c r="AO208" s="12" t="n"/>
      <c r="AP208" s="12" t="n"/>
      <c r="AQ208" s="12" t="n"/>
      <c r="AR208" s="12" t="n"/>
      <c r="AS208" s="12" t="n"/>
      <c r="AT208" s="12" t="n"/>
      <c r="AU208" s="12" t="n"/>
      <c r="AV208" s="12" t="n"/>
      <c r="AW208" s="12" t="n"/>
      <c r="AX208" s="12" t="n"/>
      <c r="AY208" s="12" t="n"/>
      <c r="AZ208" s="12" t="n"/>
      <c r="BA208" s="12" t="n"/>
      <c r="BB208" s="12" t="n"/>
      <c r="BC208" s="12" t="n"/>
      <c r="BD208" s="12" t="n"/>
      <c r="BE208" s="12" t="n"/>
      <c r="BF208" s="12" t="n"/>
      <c r="BG208" s="12" t="n"/>
      <c r="BH208" s="12" t="n"/>
      <c r="BI208" s="12" t="n"/>
      <c r="BJ208" s="12" t="n"/>
      <c r="BK208" s="12" t="n"/>
      <c r="BL208" s="12" t="n"/>
      <c r="BM208" s="12" t="n"/>
      <c r="BN208" s="12" t="n"/>
      <c r="BO208" s="12" t="n"/>
      <c r="BP208" s="12" t="n"/>
      <c r="BQ208" s="12" t="n"/>
      <c r="BR208" s="12" t="n"/>
      <c r="BS208" s="12" t="n"/>
      <c r="BT208" s="12" t="n"/>
      <c r="BU208" s="12" t="n"/>
      <c r="BV208" s="12" t="n"/>
      <c r="BW208" s="12" t="n"/>
      <c r="BX208" s="12" t="n"/>
      <c r="BY208" s="12" t="n"/>
      <c r="BZ208" s="12" t="n"/>
      <c r="CA208" s="12" t="n"/>
      <c r="CB208" s="12" t="n"/>
      <c r="CC208" s="12" t="n"/>
      <c r="CD208" s="12" t="n"/>
      <c r="CE208" s="12" t="n"/>
      <c r="CF208" s="12" t="n"/>
      <c r="CG208" s="12" t="n"/>
      <c r="CH208" s="12" t="n"/>
      <c r="CI208" s="12" t="n"/>
      <c r="CJ208" s="12" t="n"/>
      <c r="CK208" s="12" t="n"/>
      <c r="CL208" s="12" t="n"/>
      <c r="CM208" s="12" t="n"/>
      <c r="CN208" s="12" t="n"/>
      <c r="CO208" s="12" t="n"/>
      <c r="CP208" s="12" t="n"/>
      <c r="CQ208" s="12" t="n"/>
      <c r="CR208" s="12" t="n"/>
      <c r="CS208" s="12" t="n"/>
      <c r="CT208" s="12" t="n"/>
      <c r="CU208" s="12" t="n"/>
      <c r="CV208" s="12" t="n"/>
      <c r="CW208" s="12" t="n"/>
      <c r="CX208" s="12" t="n"/>
      <c r="CY208" s="12" t="n"/>
    </row>
    <row r="209" collapsed="1" customFormat="1" s="32">
      <c r="A209" s="30" t="n"/>
      <c r="B209" s="3" t="n"/>
      <c r="C209" s="33" t="inlineStr">
        <is>
          <t>Total Assets</t>
        </is>
      </c>
      <c r="D209" s="35" t="n"/>
      <c r="E209" s="35" t="n"/>
      <c r="F209" s="35" t="n"/>
      <c r="G209" s="35" t="n"/>
      <c r="H209" s="35" t="n"/>
      <c r="I209" s="35">
        <f>SUM(I156,I157,I161,I165,I166,I167,I173,I178,I188,I191,I192,I201)</f>
        <v>13041.956</v>
      </c>
      <c r="J209" s="35">
        <f>SUM(J156,J157,J161,J165,J166,J167,J173,J178,J188,J191,J192,J201)</f>
        <v>14204.671</v>
      </c>
      <c r="K209" s="35">
        <f>SUM(K156,K157,K161,K165,K166,K167,K173,K178,K188,K191,K192,K201)</f>
        <v>19735.813</v>
      </c>
      <c r="L209" s="35">
        <f>SUM(L156,L157,L161,L165,L166,L167,L173,L178,L188,L191,L192,L201)</f>
        <v>21715.853</v>
      </c>
      <c r="M209" s="35">
        <f>SUM(M156,M157,M161,M165,M166,M167,M173,M178,M188,M191,M192,M201)</f>
        <v>21715.853</v>
      </c>
      <c r="N209" s="35">
        <f>SUM(N156,N157,N161,N165,N166,N167,N173,N178,N188,N191,N192,N201)</f>
        <v>20955.436</v>
      </c>
      <c r="O209" s="35">
        <f>SUM(O156,O157,O161,O165,O166,O167,O173,O178,O188,O191,O192,O201)</f>
        <v>23372.858</v>
      </c>
      <c r="P209" s="35">
        <f>SUM(P156,P157,P161,P165,P166,P167,P173,P178,P188,P191,P192,P201)</f>
        <v>26410.242</v>
      </c>
      <c r="Q209" s="35">
        <f>SUM(Q156,Q157,Q161,Q165,Q166,Q167,Q173,Q178,Q188,Q191,Q192,Q201)</f>
        <v>26248.893</v>
      </c>
      <c r="R209" s="35">
        <f>SUM(R156,R157,R161,R165,R166,R167,R173,R178,R188,R191,R192,R201)</f>
        <v>26248.893</v>
      </c>
      <c r="S209" s="35">
        <f>SUM(S156,S157,S161,S165,S166,S167,S173,S178,S188,S191,S192,S201)</f>
        <v>22682.051</v>
      </c>
      <c r="T209" s="35">
        <f>SUM(T156,T157,T161,T165,T166,T167,T173,T178,T188,T191,T192,T201)</f>
        <v>21069.958</v>
      </c>
      <c r="U209" s="35">
        <f>SUM(U156,U157,U161,U165,U166,U167,U173,U178,U188,U191,U192,U201)</f>
        <v>21734.567</v>
      </c>
      <c r="V209" s="35">
        <f>SUM(V156,V157,V161,V165,V166,V167,V173,V178,V188,V191,V192,V201)</f>
        <v>25119.493</v>
      </c>
      <c r="W209" s="35">
        <f>SUM(W156,W157,W161,W165,W166,W167,W173,W178,W188,W191,W192,W201)</f>
        <v>25119.493</v>
      </c>
      <c r="X209" s="35">
        <f>SUM(X156,X157,X161,X165,X166,X167,X173,X178,X188,X191,X192,X201)</f>
        <v>26185.588</v>
      </c>
      <c r="Y209" s="35">
        <f>SUM(Y156,Y157,Y161,Y165,Y166,Y167,Y173,Y178,Y188,Y191,Y192,Y201)</f>
        <v>27684.239</v>
      </c>
      <c r="Z209" s="35">
        <f>SUM(Z156,Z157,Z161,Z165,Z166,Z167,Z173,Z178,Z188,Z191,Z192,Z201)</f>
        <v>28574.186</v>
      </c>
      <c r="AA209" s="35">
        <f>SUM(AA156,AA157,AA161,AA165,AA166,AA167,AA173,AA178,AA188,AA191,AA192,AA201)</f>
        <v>30573.857</v>
      </c>
      <c r="AB209" s="35">
        <f>SUM(AB156,AB157,AB161,AB165,AB166,AB167,AB173,AB178,AB188,AB191,AB192,AB201)</f>
        <v>30573.857</v>
      </c>
      <c r="AC209" s="35">
        <f>SUM(AC156,AC157,AC161,AC165,AC166,AC167,AC173,AC178,AC188,AC191,AC192,AC201)</f>
        <v>29211.368</v>
      </c>
      <c r="AD209" s="35">
        <f>SUM(AD156,AD157,AD161,AD165,AD166,AD167,AD173,AD178,AD188,AD191,AD192,AD201)</f>
        <v>29775.568</v>
      </c>
      <c r="AE209" s="35">
        <f>SUM(AE156,AE157,AE161,AE165,AE166,AE167,AE173,AE178,AE188,AE191,AE192,AE201)</f>
        <v>29641.564</v>
      </c>
      <c r="AF209" s="35">
        <f>SUM(AF156,AF157,AF161,AF165,AF166,AF167,AF173,AF178,AF188,AF191,AF192,AF201)</f>
        <v>34925.259</v>
      </c>
      <c r="AG209" s="35">
        <f>SUM(AG156,AG157,AG161,AG165,AG166,AG167,AG173,AG178,AG188,AG191,AG192,AG201)</f>
        <v>34925.259</v>
      </c>
      <c r="AH209" s="35">
        <f>SUM(AH156,AH157,AH161,AH165,AH166,AH167,AH173,AH178,AH188,AH191,AH192,AH201)</f>
        <v>35936.374</v>
      </c>
      <c r="AI209" s="35">
        <f>SUM(AI156,AI157,AI161,AI165,AI166,AI167,AI173,AI178,AI188,AI191,AI192,AI201)</f>
        <v>37340.96</v>
      </c>
      <c r="AJ209" s="35">
        <f>SUM(AJ156,AJ157,AJ161,AJ165,AJ166,AJ167,AJ173,AJ178,AJ188,AJ191,AJ192,AJ201)</f>
        <v>38148.4522021103</v>
      </c>
      <c r="AK209" s="35">
        <f>SUM(AK156,AK157,AK161,AK165,AK166,AK167,AK173,AK178,AK188,AK191,AK192,AK201)</f>
        <v>38997.0635783318</v>
      </c>
      <c r="AL209" s="35">
        <f>SUM(AL156,AL157,AL161,AL165,AL166,AL167,AL173,AL178,AL188,AL191,AL192,AL201)</f>
        <v>38997.0635783318</v>
      </c>
      <c r="AM209" s="35">
        <f>SUM(AM156,AM157,AM161,AM165,AM166,AM167,AM173,AM178,AM188,AM191,AM192,AM201)</f>
        <v>40314.0494879253</v>
      </c>
      <c r="AN209" s="35">
        <f>SUM(AN156,AN157,AN161,AN165,AN166,AN167,AN173,AN178,AN188,AN191,AN192,AN201)</f>
        <v>41262.7405996539</v>
      </c>
      <c r="AO209" s="35">
        <f>SUM(AO156,AO157,AO161,AO165,AO166,AO167,AO173,AO178,AO188,AO191,AO192,AO201)</f>
        <v>42712.5966104141</v>
      </c>
      <c r="AP209" s="35">
        <f>SUM(AP156,AP157,AP161,AP165,AP166,AP167,AP173,AP178,AP188,AP191,AP192,AP201)</f>
        <v>43630.7291736261</v>
      </c>
      <c r="AQ209" s="35">
        <f>SUM(AQ156,AQ157,AQ161,AQ165,AQ166,AQ167,AQ173,AQ178,AQ188,AQ191,AQ192,AQ201)</f>
        <v>43630.7291736261</v>
      </c>
      <c r="AR209" s="35">
        <f>SUM(AR156,AR157,AR161,AR165,AR166,AR167,AR173,AR178,AR188,AR191,AR192,AR201)</f>
        <v>44956.5747905924</v>
      </c>
      <c r="AS209" s="35">
        <f>SUM(AS156,AS157,AS161,AS165,AS166,AS167,AS173,AS178,AS188,AS191,AS192,AS201)</f>
        <v>46039.8910122366</v>
      </c>
      <c r="AT209" s="35">
        <f>SUM(AT156,AT157,AT161,AT165,AT166,AT167,AT173,AT178,AT188,AT191,AT192,AT201)</f>
        <v>47597.0761765162</v>
      </c>
      <c r="AU209" s="35">
        <f>SUM(AU156,AU157,AU161,AU165,AU166,AU167,AU173,AU178,AU188,AU191,AU192,AU201)</f>
        <v>48584.6977723172</v>
      </c>
      <c r="AV209" s="35">
        <f>SUM(AV156,AV157,AV161,AV165,AV166,AV167,AV173,AV178,AV188,AV191,AV192,AV201)</f>
        <v>48584.6977723172</v>
      </c>
      <c r="AW209" s="35">
        <f>SUM(AW156,AW157,AW161,AW165,AW166,AW167,AW173,AW178,AW188,AW191,AW192,AW201)</f>
        <v>50042.4768192867</v>
      </c>
      <c r="AX209" s="35">
        <f>SUM(AX156,AX157,AX161,AX165,AX166,AX167,AX173,AX178,AX188,AX191,AX192,AX201)</f>
        <v>51134.2004824368</v>
      </c>
      <c r="AY209" s="35">
        <f>SUM(AY156,AY157,AY161,AY165,AY166,AY167,AY173,AY178,AY188,AY191,AY192,AY201)</f>
        <v>52798.8582871379</v>
      </c>
      <c r="AZ209" s="35">
        <f>SUM(AZ156,AZ157,AZ161,AZ165,AZ166,AZ167,AZ173,AZ178,AZ188,AZ191,AZ192,AZ201)</f>
        <v>53856.2275633649</v>
      </c>
      <c r="BA209" s="35">
        <f>SUM(BA156,BA157,BA161,BA165,BA166,BA167,BA173,BA178,BA188,BA191,BA192,BA201)</f>
        <v>53856.2275633649</v>
      </c>
      <c r="BB209" s="35">
        <f>SUM(BB156,BB157,BB161,BB165,BB166,BB167,BB173,BB178,BB188,BB191,BB192,BB201)</f>
        <v>55378.1458504806</v>
      </c>
      <c r="BC209" s="35">
        <f>SUM(BC156,BC157,BC161,BC165,BC166,BC167,BC173,BC178,BC188,BC191,BC192,BC201)</f>
        <v>56540.9319202048</v>
      </c>
      <c r="BD209" s="35">
        <f>SUM(BD156,BD157,BD161,BD165,BD166,BD167,BD173,BD178,BD188,BD191,BD192,BD201)</f>
        <v>58311.9388005745</v>
      </c>
      <c r="BE209" s="35">
        <f>SUM(BE156,BE157,BE161,BE165,BE166,BE167,BE173,BE178,BE188,BE191,BE192,BE201)</f>
        <v>59438.4153639429</v>
      </c>
      <c r="BF209" s="35">
        <f>SUM(BF156,BF157,BF161,BF165,BF166,BF167,BF173,BF178,BF188,BF191,BF192,BF201)</f>
        <v>59438.4153639429</v>
      </c>
      <c r="BG209" s="35" t="n"/>
      <c r="BH209" s="35" t="n"/>
      <c r="BI209" s="35" t="n"/>
      <c r="BJ209" s="35" t="n"/>
      <c r="BK209" s="35" t="n"/>
      <c r="BL209" s="35" t="n"/>
      <c r="BM209" s="35" t="n"/>
      <c r="BN209" s="35" t="n"/>
      <c r="BO209" s="35" t="n"/>
      <c r="BP209" s="35" t="n"/>
      <c r="BQ209" s="35" t="n"/>
      <c r="BR209" s="35" t="n"/>
      <c r="BS209" s="35" t="n"/>
      <c r="BT209" s="35" t="n"/>
      <c r="BU209" s="35" t="n"/>
      <c r="BV209" s="35" t="n"/>
      <c r="BW209" s="35" t="n"/>
      <c r="BX209" s="35" t="n"/>
      <c r="BY209" s="35" t="n"/>
      <c r="BZ209" s="35" t="n"/>
      <c r="CA209" s="35" t="n"/>
      <c r="CB209" s="35" t="n"/>
      <c r="CC209" s="35" t="n"/>
      <c r="CD209" s="35" t="n"/>
      <c r="CE209" s="35" t="n"/>
      <c r="CF209" s="35" t="n"/>
      <c r="CG209" s="35" t="n"/>
      <c r="CH209" s="35" t="n"/>
      <c r="CI209" s="35" t="n"/>
      <c r="CJ209" s="35" t="n"/>
      <c r="CK209" s="35" t="n"/>
      <c r="CL209" s="35" t="n"/>
      <c r="CM209" s="35" t="n"/>
      <c r="CN209" s="35" t="n"/>
      <c r="CO209" s="35" t="n"/>
      <c r="CP209" s="35" t="n"/>
      <c r="CQ209" s="35" t="n"/>
      <c r="CR209" s="35" t="n"/>
      <c r="CS209" s="35" t="n"/>
      <c r="CT209" s="35" t="n"/>
      <c r="CU209" s="35" t="n"/>
      <c r="CV209" s="35" t="n"/>
      <c r="CW209" s="35" t="n"/>
      <c r="CX209" s="35" t="n"/>
      <c r="CY209" s="35" t="n"/>
    </row>
    <row r="210">
      <c r="C210" s="14" t="inlineStr">
        <is>
          <t>Accounts payable</t>
        </is>
      </c>
      <c r="D210" s="46" t="n"/>
      <c r="E210" s="46" t="n"/>
      <c r="F210" s="46" t="n"/>
      <c r="G210" s="46" t="n"/>
      <c r="H210" s="12" t="n"/>
      <c r="I210" s="46">
        <f>'Inputs (2)'!D28</f>
        <v>945.486</v>
      </c>
      <c r="J210" s="46">
        <f>'Inputs (2)'!E28</f>
        <v>1343.416</v>
      </c>
      <c r="K210" s="46">
        <f>'Inputs (2)'!F28</f>
        <v>1360.476</v>
      </c>
      <c r="L210" s="46">
        <f>'Inputs (2)'!G28</f>
        <v>2316.752</v>
      </c>
      <c r="M210" s="12">
        <f>'Inputs (2)'!H28</f>
        <v>2316.752</v>
      </c>
      <c r="N210" s="46">
        <f>'Inputs (2)'!I28</f>
        <v>1725.608</v>
      </c>
      <c r="O210" s="46">
        <f>'Inputs (2)'!J28</f>
        <v>2454.363</v>
      </c>
      <c r="P210" s="46">
        <f>'Inputs (2)'!K28</f>
        <v>1654.353</v>
      </c>
      <c r="Q210" s="46">
        <f>'Inputs (2)'!L28</f>
        <v>2264.908</v>
      </c>
      <c r="R210" s="12">
        <f>'Inputs (2)'!M28</f>
        <v>2264.908</v>
      </c>
      <c r="S210" s="46">
        <f>'Inputs (2)'!N28</f>
        <v>1063.365</v>
      </c>
      <c r="T210" s="46">
        <f>'Inputs (2)'!O28</f>
        <v>928.577</v>
      </c>
      <c r="U210" s="46">
        <f>'Inputs (2)'!P28</f>
        <v>2091.418</v>
      </c>
      <c r="V210" s="46">
        <f>'Inputs (2)'!Q28</f>
        <v>4751.328</v>
      </c>
      <c r="W210" s="12">
        <f>'Inputs (2)'!R28</f>
        <v>4751.328</v>
      </c>
      <c r="X210" s="46">
        <f>'Inputs (2)'!S28</f>
        <v>4072.857</v>
      </c>
      <c r="Y210" s="46">
        <f>'Inputs (2)'!T28</f>
        <v>3641.977</v>
      </c>
      <c r="Z210" s="46">
        <f>'Inputs (2)'!U28</f>
        <v>3717.829</v>
      </c>
      <c r="AA210" s="46">
        <f>'Inputs (2)'!V28</f>
        <v>5318.16</v>
      </c>
      <c r="AB210" s="12">
        <f>'Inputs (2)'!W28</f>
        <v>5318.16</v>
      </c>
      <c r="AC210" s="46">
        <f>'Inputs (2)'!X28</f>
        <v>3497.195</v>
      </c>
      <c r="AD210" s="46">
        <f>'Inputs (2)'!Y28</f>
        <v>4481.643</v>
      </c>
      <c r="AE210" s="46">
        <f>'Inputs (2)'!Z28</f>
        <v>4425.851</v>
      </c>
      <c r="AF210" s="46">
        <f>'Inputs (2)'!AA28</f>
        <v>5854.754</v>
      </c>
      <c r="AG210" s="12">
        <f>'Inputs (2)'!AB28</f>
        <v>5854.754</v>
      </c>
      <c r="AH210" s="12">
        <f>'Inputs (2)'!AC28</f>
        <v>5026.274</v>
      </c>
      <c r="AI210" s="12">
        <f>'Inputs (2)'!AD28</f>
        <v>5451.752</v>
      </c>
      <c r="AJ210" s="12">
        <f>(AJ211/(AJ$5-AI$5))*-AJ$66</f>
        <v>5234.70628389991</v>
      </c>
      <c r="AK210" s="12">
        <f>(AK211/(AK$5-AJ$5))*-AK$66</f>
        <v>5086.15474310809</v>
      </c>
      <c r="AL210" s="12">
        <f>AK210</f>
        <v>5086.15474310809</v>
      </c>
      <c r="AM210" s="12">
        <f>(AM211/(AM$5-AL$5))*-AM$66</f>
        <v>5372.06577912115</v>
      </c>
      <c r="AN210" s="12">
        <f>(AN211/(AN$5-AM$5))*-AN$66</f>
        <v>5292.21255115047</v>
      </c>
      <c r="AO210" s="12">
        <f>(AO211/(AO$5-AN$5))*-AO$66</f>
        <v>5634.89016925932</v>
      </c>
      <c r="AP210" s="12">
        <f>(AP211/(AP$5-AO$5))*-AP$66</f>
        <v>5474.9821302141</v>
      </c>
      <c r="AQ210" s="12">
        <f>AP210</f>
        <v>5474.9821302141</v>
      </c>
      <c r="AR210" s="12">
        <f>(AR211/(AR$5-AQ$5))*-AR$66</f>
        <v>5692.6386811717</v>
      </c>
      <c r="AS210" s="12">
        <f>(AS211/(AS$5-AR$5))*-AS$66</f>
        <v>5670.33162451066</v>
      </c>
      <c r="AT210" s="12">
        <f>(AT211/(AT$5-AS$5))*-AT$66</f>
        <v>6037.49294242716</v>
      </c>
      <c r="AU210" s="12">
        <f>(AU211/(AU$5-AT$5))*-AU$66</f>
        <v>5866.15976144702</v>
      </c>
      <c r="AV210" s="12">
        <f>AU210</f>
        <v>5866.15976144702</v>
      </c>
      <c r="AW210" s="12">
        <f>(AW211/(AW$5-AV$5))*-AW$66</f>
        <v>6138.3587803918</v>
      </c>
      <c r="AX210" s="12">
        <f>(AX211/(AX$5-AW$5))*-AX$66</f>
        <v>6047.11496782317</v>
      </c>
      <c r="AY210" s="12">
        <f>(AY211/(AY$5-AX$5))*-AY$66</f>
        <v>6438.67349529644</v>
      </c>
      <c r="AZ210" s="12">
        <f>(AZ211/(AZ$5-AY$5))*-AZ$66</f>
        <v>6255.95553243318</v>
      </c>
      <c r="BA210" s="12">
        <f>AZ210</f>
        <v>6255.95553243318</v>
      </c>
      <c r="BB210" s="12">
        <f>(BB211/(BB$5-BA$5))*-BB$66</f>
        <v>6515.54989297281</v>
      </c>
      <c r="BC210" s="12">
        <f>(BC211/(BC$5-BB$5))*-BC$66</f>
        <v>6418.6993121441</v>
      </c>
      <c r="BD210" s="12">
        <f>(BD211/(BD$5-BC$5))*-BD$66</f>
        <v>6834.31840725477</v>
      </c>
      <c r="BE210" s="12">
        <f>(BE211/(BE$5-BD$5))*-BE$66</f>
        <v>6640.37275403214</v>
      </c>
      <c r="BF210" s="12">
        <f>BE210</f>
        <v>6640.37275403214</v>
      </c>
      <c r="BG210" s="12" t="n"/>
      <c r="BH210" s="12" t="n"/>
      <c r="BI210" s="12" t="n"/>
      <c r="BJ210" s="12" t="n"/>
      <c r="BK210" s="12" t="n"/>
      <c r="BL210" s="12" t="n"/>
      <c r="BM210" s="12" t="n"/>
      <c r="BN210" s="12" t="n"/>
      <c r="BO210" s="12" t="n"/>
      <c r="BP210" s="12" t="n"/>
      <c r="BQ210" s="12" t="n"/>
      <c r="BR210" s="12" t="n"/>
      <c r="BS210" s="12" t="n"/>
      <c r="BT210" s="12" t="n"/>
      <c r="BU210" s="12" t="n"/>
      <c r="BV210" s="12" t="n"/>
      <c r="BW210" s="12" t="n"/>
      <c r="BX210" s="12" t="n"/>
      <c r="BY210" s="12" t="n"/>
      <c r="BZ210" s="12" t="n"/>
      <c r="CA210" s="12" t="n"/>
      <c r="CB210" s="12" t="n"/>
      <c r="CC210" s="12" t="n"/>
      <c r="CD210" s="12" t="n"/>
      <c r="CE210" s="12" t="n"/>
      <c r="CF210" s="12" t="n"/>
      <c r="CG210" s="12" t="n"/>
      <c r="CH210" s="12" t="n"/>
      <c r="CI210" s="12" t="n"/>
      <c r="CJ210" s="12" t="n"/>
      <c r="CK210" s="12" t="n"/>
      <c r="CL210" s="12" t="n"/>
      <c r="CM210" s="12" t="n"/>
      <c r="CN210" s="12" t="n"/>
      <c r="CO210" s="12" t="n"/>
      <c r="CP210" s="12" t="n"/>
      <c r="CQ210" s="12" t="n"/>
      <c r="CR210" s="12" t="n"/>
      <c r="CS210" s="12" t="n"/>
      <c r="CT210" s="12" t="n"/>
      <c r="CU210" s="12" t="n"/>
      <c r="CV210" s="12" t="n"/>
      <c r="CW210" s="12" t="n"/>
      <c r="CX210" s="12" t="n"/>
      <c r="CY210" s="12" t="n"/>
    </row>
    <row r="211" hidden="1" outlineLevel="1">
      <c r="C211" s="57" t="inlineStr">
        <is>
          <t>DPO</t>
        </is>
      </c>
      <c r="D211" s="12" t="n"/>
      <c r="E211" s="12" t="n"/>
      <c r="F211" s="12" t="n"/>
      <c r="G211" s="12" t="n"/>
      <c r="H211" s="12" t="n"/>
      <c r="I211" s="12">
        <f>IFERROR(-(I210/I$66)*(I$5-H$5),"")</f>
        <v>287.047310630977</v>
      </c>
      <c r="J211" s="12">
        <f>IFERROR(-(J210/J$66)*(J$5-I$5),"")</f>
        <v>202.006427807787</v>
      </c>
      <c r="K211" s="12">
        <f>IFERROR(-(K210/K$66)*(K$5-J$5),"")</f>
        <v>171.654299044657</v>
      </c>
      <c r="L211" s="12">
        <f>IFERROR(-(L210/L$66)*(L$5-K$5),"")</f>
        <v>304.726833940954</v>
      </c>
      <c r="M211" s="12" t="n"/>
      <c r="N211" s="12">
        <f>IFERROR(-(N210/N$66)*(N$5-M$5),"")</f>
        <v>192.225227154299</v>
      </c>
      <c r="O211" s="12">
        <f>IFERROR(-(O210/O$66)*(O$5-N$5),"")</f>
        <v>209.088259166163</v>
      </c>
      <c r="P211" s="12">
        <f>IFERROR(-(P210/P$66)*(P$5-O$5),"")</f>
        <v>115.390370771908</v>
      </c>
      <c r="Q211" s="12">
        <f>IFERROR(-(Q210/Q$66)*(Q$5-P$5),"")</f>
        <v>146.344152387267</v>
      </c>
      <c r="R211" s="12" t="n"/>
      <c r="S211" s="12">
        <f>IFERROR(-(S210/S$66)*(S$5-R$5),"")</f>
        <v>64.01147356445</v>
      </c>
      <c r="T211" s="12">
        <f>IFERROR(-(T210/T$66)*(T$5-S$5),"")</f>
        <v>67.1059688217216</v>
      </c>
      <c r="U211" s="12">
        <f>IFERROR(-(U210/U$66)*(U$5-T$5),"")</f>
        <v>131.811185941635</v>
      </c>
      <c r="V211" s="12">
        <f>IFERROR(-(V210/V$66)*(V$5-U$5),"")</f>
        <v>389.701017931935</v>
      </c>
      <c r="W211" s="12" t="n"/>
      <c r="X211" s="12">
        <f>IFERROR(-(X210/X$66)*(X$5-W$5),"")</f>
        <v>225.75808743672</v>
      </c>
      <c r="Y211" s="12">
        <f>IFERROR(-(Y210/Y$66)*(Y$5-X$5),"")</f>
        <v>170.52471893925</v>
      </c>
      <c r="Z211" s="12">
        <f>IFERROR(-(Z210/Z$66)*(Z$5-Y$5),"")</f>
        <v>157.814384148812</v>
      </c>
      <c r="AA211" s="12">
        <f>IFERROR(-(AA210/AA$66)*(AA$5-Z$5),"")</f>
        <v>299.750848211496</v>
      </c>
      <c r="AB211" s="12" t="n"/>
      <c r="AC211" s="12">
        <f>IFERROR(-(AC210/AC$66)*(AC$5-AB$5),"")</f>
        <v>170.106961495807</v>
      </c>
      <c r="AD211" s="12">
        <f>IFERROR(-(AD210/AD$66)*(AD$5-AC$5),"")</f>
        <v>211.256993302219</v>
      </c>
      <c r="AE211" s="12">
        <f>IFERROR(-(AE210/AE$66)*(AE$5-AD$5),"")</f>
        <v>211.727198463752</v>
      </c>
      <c r="AF211" s="11">
        <f>IFERROR(-(AF210/AF$66)*(AF$5-AE$5),"")</f>
        <v>303.307674301252</v>
      </c>
      <c r="AG211" s="12" t="n"/>
      <c r="AH211" s="11">
        <f>IFERROR(-(AH210/AH$66)*(AH$5-AG$5),"")</f>
        <v>252.301200113144</v>
      </c>
      <c r="AI211" s="11">
        <f>IFERROR(-(AI210/AI$66)*(AI$5-AH$5),"")</f>
        <v>299.195436707443</v>
      </c>
      <c r="AJ211" s="11">
        <f>Control!$B$27</f>
        <v>241.315910730603</v>
      </c>
      <c r="AK211" s="11">
        <f>Control!$B$27</f>
        <v>241.315910730603</v>
      </c>
      <c r="AL211" s="12" t="n"/>
      <c r="AM211" s="11">
        <f>Control!$C$27</f>
        <v>241.315910730603</v>
      </c>
      <c r="AN211" s="11">
        <f>Control!$C$27</f>
        <v>241.315910730603</v>
      </c>
      <c r="AO211" s="11">
        <f>Control!$C$27</f>
        <v>241.315910730603</v>
      </c>
      <c r="AP211" s="11">
        <f>Control!$C$27</f>
        <v>241.315910730603</v>
      </c>
      <c r="AQ211" s="12" t="n"/>
      <c r="AR211" s="11">
        <f>Control!$D$27</f>
        <v>241.315910730603</v>
      </c>
      <c r="AS211" s="11">
        <f>Control!$D$27</f>
        <v>241.315910730603</v>
      </c>
      <c r="AT211" s="11">
        <f>Control!$D$27</f>
        <v>241.315910730603</v>
      </c>
      <c r="AU211" s="11">
        <f>Control!$D$27</f>
        <v>241.315910730603</v>
      </c>
      <c r="AV211" s="12" t="n"/>
      <c r="AW211" s="11">
        <f>Control!$E$27</f>
        <v>241.315910730603</v>
      </c>
      <c r="AX211" s="11">
        <f>Control!$E$27</f>
        <v>241.315910730603</v>
      </c>
      <c r="AY211" s="11">
        <f>Control!$E$27</f>
        <v>241.315910730603</v>
      </c>
      <c r="AZ211" s="11">
        <f>Control!$E$27</f>
        <v>241.315910730603</v>
      </c>
      <c r="BA211" s="12" t="n"/>
      <c r="BB211" s="11">
        <f>Control!$F$27</f>
        <v>241.315910730603</v>
      </c>
      <c r="BC211" s="11">
        <f>Control!$F$27</f>
        <v>241.315910730603</v>
      </c>
      <c r="BD211" s="11">
        <f>Control!$F$27</f>
        <v>241.315910730603</v>
      </c>
      <c r="BE211" s="11">
        <f>Control!$F$27</f>
        <v>241.315910730603</v>
      </c>
      <c r="BF211" s="12" t="n"/>
      <c r="BG211" s="11" t="n"/>
      <c r="BH211" s="11" t="n"/>
      <c r="BI211" s="11" t="n"/>
      <c r="BJ211" s="11" t="n"/>
      <c r="BK211" s="12" t="n"/>
      <c r="BL211" s="11" t="n"/>
      <c r="BM211" s="11" t="n"/>
      <c r="BN211" s="11" t="n"/>
      <c r="BO211" s="11" t="n"/>
      <c r="BP211" s="12" t="n"/>
      <c r="BQ211" s="11" t="n"/>
      <c r="BR211" s="11" t="n"/>
      <c r="BS211" s="11" t="n"/>
      <c r="BT211" s="11" t="n"/>
      <c r="BU211" s="12" t="n"/>
      <c r="BV211" s="11" t="n"/>
      <c r="BW211" s="11" t="n"/>
      <c r="BX211" s="11" t="n"/>
      <c r="BY211" s="11" t="n"/>
      <c r="BZ211" s="12" t="n"/>
      <c r="CA211" s="11" t="n"/>
      <c r="CB211" s="11" t="n"/>
      <c r="CC211" s="11" t="n"/>
      <c r="CD211" s="11" t="n"/>
      <c r="CE211" s="12" t="n"/>
      <c r="CF211" s="11" t="n"/>
      <c r="CG211" s="11" t="n"/>
      <c r="CH211" s="11" t="n"/>
      <c r="CI211" s="11" t="n"/>
      <c r="CJ211" s="12" t="n"/>
      <c r="CK211" s="11" t="n"/>
      <c r="CL211" s="11" t="n"/>
      <c r="CM211" s="11" t="n"/>
      <c r="CN211" s="11" t="n"/>
      <c r="CO211" s="12" t="n"/>
      <c r="CP211" s="11" t="n"/>
      <c r="CQ211" s="11" t="n"/>
      <c r="CR211" s="11" t="n"/>
      <c r="CS211" s="11" t="n"/>
      <c r="CT211" s="12" t="n"/>
      <c r="CU211" s="11" t="n"/>
      <c r="CV211" s="11" t="n"/>
      <c r="CW211" s="11" t="n"/>
      <c r="CX211" s="11" t="n"/>
      <c r="CY211" s="12" t="n"/>
    </row>
    <row r="212" hidden="1" outlineLevel="1">
      <c r="C212" s="57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  <c r="AL212" s="12" t="n"/>
      <c r="AM212" s="12" t="n"/>
      <c r="AN212" s="12" t="n"/>
      <c r="AO212" s="12" t="n"/>
      <c r="AP212" s="12" t="n"/>
      <c r="AQ212" s="12" t="n"/>
      <c r="AR212" s="12" t="n"/>
      <c r="AS212" s="12" t="n"/>
      <c r="AT212" s="12" t="n"/>
      <c r="AU212" s="12" t="n"/>
      <c r="AV212" s="12" t="n"/>
      <c r="AW212" s="12" t="n"/>
      <c r="AX212" s="12" t="n"/>
      <c r="AY212" s="12" t="n"/>
      <c r="AZ212" s="12" t="n"/>
      <c r="BA212" s="12" t="n"/>
      <c r="BB212" s="12" t="n"/>
      <c r="BC212" s="12" t="n"/>
      <c r="BD212" s="12" t="n"/>
      <c r="BE212" s="12" t="n"/>
      <c r="BF212" s="12" t="n"/>
      <c r="BG212" s="12" t="n"/>
      <c r="BH212" s="12" t="n"/>
      <c r="BI212" s="12" t="n"/>
      <c r="BJ212" s="12" t="n"/>
      <c r="BK212" s="12" t="n"/>
      <c r="BL212" s="12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  <c r="CA212" s="12" t="n"/>
      <c r="CB212" s="12" t="n"/>
      <c r="CC212" s="12" t="n"/>
      <c r="CD212" s="12" t="n"/>
      <c r="CE212" s="12" t="n"/>
      <c r="CF212" s="12" t="n"/>
      <c r="CG212" s="12" t="n"/>
      <c r="CH212" s="12" t="n"/>
      <c r="CI212" s="12" t="n"/>
      <c r="CJ212" s="12" t="n"/>
      <c r="CK212" s="12" t="n"/>
      <c r="CL212" s="12" t="n"/>
      <c r="CM212" s="12" t="n"/>
      <c r="CN212" s="12" t="n"/>
      <c r="CO212" s="12" t="n"/>
      <c r="CP212" s="12" t="n"/>
      <c r="CQ212" s="12" t="n"/>
      <c r="CR212" s="12" t="n"/>
      <c r="CS212" s="12" t="n"/>
      <c r="CT212" s="12" t="n"/>
      <c r="CU212" s="12" t="n"/>
      <c r="CV212" s="12" t="n"/>
      <c r="CW212" s="12" t="n"/>
      <c r="CX212" s="12" t="n"/>
      <c r="CY212" s="12" t="n"/>
    </row>
    <row r="213" hidden="1" outlineLevel="1">
      <c r="C213" s="57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2" t="n"/>
      <c r="AK213" s="12" t="n"/>
      <c r="AL213" s="12" t="n"/>
      <c r="AM213" s="12" t="n"/>
      <c r="AN213" s="12" t="n"/>
      <c r="AO213" s="12" t="n"/>
      <c r="AP213" s="12" t="n"/>
      <c r="AQ213" s="12" t="n"/>
      <c r="AR213" s="12" t="n"/>
      <c r="AS213" s="12" t="n"/>
      <c r="AT213" s="12" t="n"/>
      <c r="AU213" s="12" t="n"/>
      <c r="AV213" s="12" t="n"/>
      <c r="AW213" s="12" t="n"/>
      <c r="AX213" s="12" t="n"/>
      <c r="AY213" s="12" t="n"/>
      <c r="AZ213" s="12" t="n"/>
      <c r="BA213" s="12" t="n"/>
      <c r="BB213" s="12" t="n"/>
      <c r="BC213" s="12" t="n"/>
      <c r="BD213" s="12" t="n"/>
      <c r="BE213" s="12" t="n"/>
      <c r="BF213" s="12" t="n"/>
      <c r="BG213" s="12" t="n"/>
      <c r="BH213" s="12" t="n"/>
      <c r="BI213" s="12" t="n"/>
      <c r="BJ213" s="12" t="n"/>
      <c r="BK213" s="12" t="n"/>
      <c r="BL213" s="12" t="n"/>
      <c r="BM213" s="12" t="n"/>
      <c r="BN213" s="12" t="n"/>
      <c r="BO213" s="12" t="n"/>
      <c r="BP213" s="12" t="n"/>
      <c r="BQ213" s="12" t="n"/>
      <c r="BR213" s="12" t="n"/>
      <c r="BS213" s="12" t="n"/>
      <c r="BT213" s="12" t="n"/>
      <c r="BU213" s="12" t="n"/>
      <c r="BV213" s="12" t="n"/>
      <c r="BW213" s="12" t="n"/>
      <c r="BX213" s="12" t="n"/>
      <c r="BY213" s="12" t="n"/>
      <c r="BZ213" s="12" t="n"/>
      <c r="CA213" s="12" t="n"/>
      <c r="CB213" s="12" t="n"/>
      <c r="CC213" s="12" t="n"/>
      <c r="CD213" s="12" t="n"/>
      <c r="CE213" s="12" t="n"/>
      <c r="CF213" s="12" t="n"/>
      <c r="CG213" s="12" t="n"/>
      <c r="CH213" s="12" t="n"/>
      <c r="CI213" s="12" t="n"/>
      <c r="CJ213" s="12" t="n"/>
      <c r="CK213" s="12" t="n"/>
      <c r="CL213" s="12" t="n"/>
      <c r="CM213" s="12" t="n"/>
      <c r="CN213" s="12" t="n"/>
      <c r="CO213" s="12" t="n"/>
      <c r="CP213" s="12" t="n"/>
      <c r="CQ213" s="12" t="n"/>
      <c r="CR213" s="12" t="n"/>
      <c r="CS213" s="12" t="n"/>
      <c r="CT213" s="12" t="n"/>
      <c r="CU213" s="12" t="n"/>
      <c r="CV213" s="12" t="n"/>
      <c r="CW213" s="12" t="n"/>
      <c r="CX213" s="12" t="n"/>
      <c r="CY213" s="12" t="n"/>
    </row>
    <row r="214" collapsed="1">
      <c r="C214" s="14" t="inlineStr">
        <is>
          <t>Accrued expenses</t>
        </is>
      </c>
      <c r="D214" s="46" t="n"/>
      <c r="E214" s="46" t="n"/>
      <c r="F214" s="46" t="n"/>
      <c r="G214" s="46" t="n"/>
      <c r="H214" s="12" t="n"/>
      <c r="I214" s="46">
        <f>'Inputs (2)'!D29</f>
        <v>60.032</v>
      </c>
      <c r="J214" s="46">
        <f>'Inputs (2)'!E29</f>
        <v>70.925</v>
      </c>
      <c r="K214" s="46">
        <f>'Inputs (2)'!F29</f>
        <v>73.609</v>
      </c>
      <c r="L214" s="46">
        <f>'Inputs (2)'!G29</f>
        <v>66.977</v>
      </c>
      <c r="M214" s="12">
        <f>'Inputs (2)'!H29</f>
        <v>66.977</v>
      </c>
      <c r="N214" s="46">
        <f>'Inputs (2)'!I29</f>
        <v>80.682</v>
      </c>
      <c r="O214" s="46">
        <f>'Inputs (2)'!J29</f>
        <v>75.787</v>
      </c>
      <c r="P214" s="46">
        <f>'Inputs (2)'!K29</f>
        <v>92.79</v>
      </c>
      <c r="Q214" s="46">
        <f>'Inputs (2)'!L29</f>
        <v>106.456</v>
      </c>
      <c r="R214" s="12">
        <f>'Inputs (2)'!M29</f>
        <v>106.456</v>
      </c>
      <c r="S214" s="46">
        <f>'Inputs (2)'!N29</f>
        <v>129.605</v>
      </c>
      <c r="T214" s="46">
        <f>'Inputs (2)'!O29</f>
        <v>136.441</v>
      </c>
      <c r="U214" s="46">
        <f>'Inputs (2)'!P29</f>
        <v>151.666</v>
      </c>
      <c r="V214" s="46">
        <f>'Inputs (2)'!Q29</f>
        <v>155.655</v>
      </c>
      <c r="W214" s="12">
        <f>'Inputs (2)'!R29</f>
        <v>155.655</v>
      </c>
      <c r="X214" s="46">
        <f>'Inputs (2)'!S29</f>
        <v>142.042</v>
      </c>
      <c r="Y214" s="46">
        <f>'Inputs (2)'!T29</f>
        <v>120.107</v>
      </c>
      <c r="Z214" s="46">
        <f>'Inputs (2)'!U29</f>
        <v>116.491</v>
      </c>
      <c r="AA214" s="46">
        <f>'Inputs (2)'!V29</f>
        <v>97.953</v>
      </c>
      <c r="AB214" s="12">
        <f>'Inputs (2)'!W29</f>
        <v>97.953</v>
      </c>
      <c r="AC214" s="46">
        <f>'Inputs (2)'!X29</f>
        <v>95.866</v>
      </c>
      <c r="AD214" s="46">
        <f>'Inputs (2)'!Y29</f>
        <v>111.777</v>
      </c>
      <c r="AE214" s="46">
        <f>'Inputs (2)'!Z29</f>
        <v>124.925</v>
      </c>
      <c r="AF214" s="46">
        <f>'Inputs (2)'!AA29</f>
        <v>114.327</v>
      </c>
      <c r="AG214" s="12">
        <f>'Inputs (2)'!AB29</f>
        <v>114.327</v>
      </c>
      <c r="AH214" s="12">
        <f>'Inputs (2)'!AC29</f>
        <v>127.308</v>
      </c>
      <c r="AI214" s="12">
        <f>'Inputs (2)'!AD29</f>
        <v>126.412</v>
      </c>
      <c r="AJ214" s="12">
        <f>AI214*(1+AJ16)</f>
        <v>136.075970158487</v>
      </c>
      <c r="AK214" s="12">
        <f>AJ214*(1+AK16)</f>
        <v>146.478733463385</v>
      </c>
      <c r="AL214" s="12">
        <f>AK214</f>
        <v>146.478733463385</v>
      </c>
      <c r="AM214" s="12">
        <f>AL214*(1+AM16)</f>
        <v>157.676769322664</v>
      </c>
      <c r="AN214" s="12">
        <f>AM214*(1+AN16)</f>
        <v>169.730874893503</v>
      </c>
      <c r="AO214" s="12">
        <f>AN214*(1+AO16)</f>
        <v>182.706495166458</v>
      </c>
      <c r="AP214" s="12">
        <f>AO214*(1+AP16)</f>
        <v>196.674078283966</v>
      </c>
      <c r="AQ214" s="12">
        <f>AP214</f>
        <v>196.674078283966</v>
      </c>
      <c r="AR214" s="12">
        <f>AQ214*(1+AR16)</f>
        <v>210.726087630895</v>
      </c>
      <c r="AS214" s="12">
        <f>AR214*(1+AS16)</f>
        <v>225.782087785404</v>
      </c>
      <c r="AT214" s="12">
        <f>AS214*(1+AT16)</f>
        <v>241.913812085893</v>
      </c>
      <c r="AU214" s="12">
        <f>AT214*(1+AU16)</f>
        <v>259.198119088843</v>
      </c>
      <c r="AV214" s="12">
        <f>AU214</f>
        <v>259.198119088843</v>
      </c>
      <c r="AW214" s="12">
        <f>AV214*(1+AW16)</f>
        <v>276.421368160988</v>
      </c>
      <c r="AX214" s="12">
        <f>AW214*(1+AX16)</f>
        <v>294.789071173014</v>
      </c>
      <c r="AY214" s="12">
        <f>AX214*(1+AY16)</f>
        <v>314.377275031927</v>
      </c>
      <c r="AZ214" s="12">
        <f>AY214*(1+AZ16)</f>
        <v>335.267079824998</v>
      </c>
      <c r="BA214" s="12">
        <f>AZ214</f>
        <v>335.267079824998</v>
      </c>
      <c r="BB214" s="12">
        <f>BA214*(1+BB16)</f>
        <v>355.868639195385</v>
      </c>
      <c r="BC214" s="12">
        <f>BB214*(1+BC16)</f>
        <v>377.736127355181</v>
      </c>
      <c r="BD214" s="12">
        <f>BC214*(1+BD16)</f>
        <v>400.947333352829</v>
      </c>
      <c r="BE214" s="12">
        <f>BD214*(1+BE16)</f>
        <v>425.584826233962</v>
      </c>
      <c r="BF214" s="12">
        <f>BE214</f>
        <v>425.584826233962</v>
      </c>
      <c r="BG214" s="12" t="n"/>
      <c r="BH214" s="12" t="n"/>
      <c r="BI214" s="12" t="n"/>
      <c r="BJ214" s="12" t="n"/>
      <c r="BK214" s="12" t="n"/>
      <c r="BL214" s="12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12" t="n"/>
      <c r="BV214" s="12" t="n"/>
      <c r="BW214" s="12" t="n"/>
      <c r="BX214" s="12" t="n"/>
      <c r="BY214" s="12" t="n"/>
      <c r="BZ214" s="12" t="n"/>
      <c r="CA214" s="12" t="n"/>
      <c r="CB214" s="12" t="n"/>
      <c r="CC214" s="12" t="n"/>
      <c r="CD214" s="12" t="n"/>
      <c r="CE214" s="12" t="n"/>
      <c r="CF214" s="12" t="n"/>
      <c r="CG214" s="12" t="n"/>
      <c r="CH214" s="12" t="n"/>
      <c r="CI214" s="12" t="n"/>
      <c r="CJ214" s="12" t="n"/>
      <c r="CK214" s="12" t="n"/>
      <c r="CL214" s="12" t="n"/>
      <c r="CM214" s="12" t="n"/>
      <c r="CN214" s="12" t="n"/>
      <c r="CO214" s="12" t="n"/>
      <c r="CP214" s="12" t="n"/>
      <c r="CQ214" s="12" t="n"/>
      <c r="CR214" s="12" t="n"/>
      <c r="CS214" s="12" t="n"/>
      <c r="CT214" s="12" t="n"/>
      <c r="CU214" s="12" t="n"/>
      <c r="CV214" s="12" t="n"/>
      <c r="CW214" s="12" t="n"/>
      <c r="CX214" s="12" t="n"/>
      <c r="CY214" s="12" t="n"/>
    </row>
    <row r="215" hidden="1" outlineLevel="1">
      <c r="C215" s="59" t="inlineStr">
        <is>
          <t>%(Var.)</t>
        </is>
      </c>
      <c r="D215" s="12" t="n"/>
      <c r="E215" s="40" t="n"/>
      <c r="F215" s="40" t="n"/>
      <c r="G215" s="40" t="n"/>
      <c r="H215" s="12" t="n"/>
      <c r="I215" s="40" t="str">
        <f>""</f>
        <v/>
      </c>
      <c r="J215" s="40">
        <f>IFERROR(IF(I214=0,"",J214/I214-1),"")</f>
        <v>0.181453224946695</v>
      </c>
      <c r="K215" s="40">
        <f>IFERROR(IF(J214=0,"",K214/J214-1),"")</f>
        <v>0.0378427916813535</v>
      </c>
      <c r="L215" s="40">
        <f>IFERROR(IF(K214=0,"",L214/K214-1),"")</f>
        <v>-0.0900976782730372</v>
      </c>
      <c r="M215" s="12">
        <f>IF(L214=0,"",M214/L214-1)</f>
        <v>0</v>
      </c>
      <c r="N215" s="40">
        <f>IFERROR(IF(M214=0,"",N214/M214-1),"")</f>
        <v>0.204622482344685</v>
      </c>
      <c r="O215" s="40">
        <f>IFERROR(IF(N214=0,"",O214/N214-1),"")</f>
        <v>-0.0606702858134404</v>
      </c>
      <c r="P215" s="40">
        <f>IFERROR(IF(O214=0,"",P214/O214-1),"")</f>
        <v>0.224352461503952</v>
      </c>
      <c r="Q215" s="40">
        <f>IFERROR(IF(P214=0,"",Q214/P214-1),"")</f>
        <v>0.147278801595</v>
      </c>
      <c r="R215" s="12">
        <f>IF(Q214=0,"",R214/Q214-1)</f>
        <v>0</v>
      </c>
      <c r="S215" s="40">
        <f>IFERROR(IF(R214=0,"",S214/R214-1),"")</f>
        <v>0.217451341399263</v>
      </c>
      <c r="T215" s="40">
        <f>IFERROR(IF(S214=0,"",T214/S214-1),"")</f>
        <v>0.0527448786698046</v>
      </c>
      <c r="U215" s="40">
        <f>IFERROR(IF(T214=0,"",U214/T214-1),"")</f>
        <v>0.11158669314942</v>
      </c>
      <c r="V215" s="40">
        <f>IFERROR(IF(U214=0,"",V214/U214-1),"")</f>
        <v>0.026301214510833</v>
      </c>
      <c r="W215" s="12">
        <f>IF(V214=0,"",W214/V214-1)</f>
        <v>0</v>
      </c>
      <c r="X215" s="40">
        <f>IFERROR(IF(W214=0,"",X214/W214-1),"")</f>
        <v>-0.0874562333365455</v>
      </c>
      <c r="Y215" s="40">
        <f>IFERROR(IF(X214=0,"",Y214/X214-1),"")</f>
        <v>-0.154426155644105</v>
      </c>
      <c r="Z215" s="40">
        <f>IFERROR(IF(Y214=0,"",Z214/Y214-1),"")</f>
        <v>-0.0301064883811935</v>
      </c>
      <c r="AA215" s="40">
        <f>IFERROR(IF(Z214=0,"",AA214/Z214-1),"")</f>
        <v>-0.159136757346061</v>
      </c>
      <c r="AB215" s="12">
        <f>IF(AA214=0,"",AB214/AA214-1)</f>
        <v>0</v>
      </c>
      <c r="AC215" s="40">
        <f>IFERROR(IF(AB214=0,"",AC214/AB214-1),"")</f>
        <v>-0.0213061366165406</v>
      </c>
      <c r="AD215" s="40">
        <f>IFERROR(IF(AC214=0,"",AD214/AC214-1),"")</f>
        <v>0.165971251538606</v>
      </c>
      <c r="AE215" s="40">
        <f>IFERROR(IF(AD214=0,"",AE214/AD214-1),"")</f>
        <v>0.117627061023287</v>
      </c>
      <c r="AF215" s="55">
        <f>IFERROR(IF(AE214=0,"",AF214/AE214-1),"")</f>
        <v>-0.0848349009405643</v>
      </c>
      <c r="AG215" s="12">
        <f>IF(AF214=0,"",AG214/AF214-1)</f>
        <v>0</v>
      </c>
      <c r="AH215" s="55">
        <f>IFERROR(IF(AG214=0,"",AH214/AG214-1),"")</f>
        <v>0.113542732687817</v>
      </c>
      <c r="AI215" s="55">
        <f>IFERROR(IF(AH214=0,"",AI214/AH214-1),"")</f>
        <v>-0.00703804945486541</v>
      </c>
      <c r="AJ215" s="55">
        <f>IFERROR(IF(AI214=0,"",AJ214/AI214-1),"")</f>
        <v>0.0764482023738817</v>
      </c>
      <c r="AK215" s="55">
        <f>IF(AJ214=0,"",AK214/AJ214-1)</f>
        <v>0.0764482023738817</v>
      </c>
      <c r="AL215" s="12">
        <f>IF(AK214=0,"",AL214/AK214-1)</f>
        <v>0</v>
      </c>
      <c r="AM215" s="55">
        <f>IF(AL214=0,"",AM214/AL214-1)</f>
        <v>0.0764482023738817</v>
      </c>
      <c r="AN215" s="55">
        <f>IF(AM214=0,"",AN214/AM214-1)</f>
        <v>0.0764482023738817</v>
      </c>
      <c r="AO215" s="55">
        <f>IF(AN214=0,"",AO214/AN214-1)</f>
        <v>0.0764482023738817</v>
      </c>
      <c r="AP215" s="55">
        <f>IF(AO214=0,"",AP214/AO214-1)</f>
        <v>0.0764482023738817</v>
      </c>
      <c r="AQ215" s="12">
        <f>IF(AP214=0,"",AQ214/AP214-1)</f>
        <v>0</v>
      </c>
      <c r="AR215" s="55">
        <f>IF(AQ214=0,"",AR214/AQ214-1)</f>
        <v>0.0714482023738818</v>
      </c>
      <c r="AS215" s="55">
        <f>IF(AR214=0,"",AS214/AR214-1)</f>
        <v>0.0714482023738818</v>
      </c>
      <c r="AT215" s="55">
        <f>IF(AS214=0,"",AT214/AS214-1)</f>
        <v>0.0714482023738818</v>
      </c>
      <c r="AU215" s="55">
        <f>IF(AT214=0,"",AU214/AT214-1)</f>
        <v>0.0714482023738818</v>
      </c>
      <c r="AV215" s="12">
        <f>IF(AU214=0,"",AV214/AU214-1)</f>
        <v>0</v>
      </c>
      <c r="AW215" s="55">
        <f>IF(AV214=0,"",AW214/AV214-1)</f>
        <v>0.0664482023738817</v>
      </c>
      <c r="AX215" s="55">
        <f>IF(AW214=0,"",AX214/AW214-1)</f>
        <v>0.0664482023738817</v>
      </c>
      <c r="AY215" s="55">
        <f>IF(AX214=0,"",AY214/AX214-1)</f>
        <v>0.0664482023738817</v>
      </c>
      <c r="AZ215" s="55">
        <f>IF(AY214=0,"",AZ214/AY214-1)</f>
        <v>0.0664482023738817</v>
      </c>
      <c r="BA215" s="12">
        <f>IF(AZ214=0,"",BA214/AZ214-1)</f>
        <v>0</v>
      </c>
      <c r="BB215" s="55">
        <f>IF(BA214=0,"",BB214/BA214-1)</f>
        <v>0.0614482023738818</v>
      </c>
      <c r="BC215" s="55">
        <f>IF(BB214=0,"",BC214/BB214-1)</f>
        <v>0.0614482023738818</v>
      </c>
      <c r="BD215" s="55">
        <f>IF(BC214=0,"",BD214/BC214-1)</f>
        <v>0.0614482023738818</v>
      </c>
      <c r="BE215" s="55">
        <f>IF(BD214=0,"",BE214/BD214-1)</f>
        <v>0.0614482023738818</v>
      </c>
      <c r="BF215" s="12">
        <f>IF(BE214=0,"",BF214/BE214-1)</f>
        <v>0</v>
      </c>
      <c r="BG215" s="55" t="n"/>
      <c r="BH215" s="55" t="n"/>
      <c r="BI215" s="55" t="n"/>
      <c r="BJ215" s="55" t="n"/>
      <c r="BK215" s="12" t="n"/>
      <c r="BL215" s="55" t="n"/>
      <c r="BM215" s="55" t="n"/>
      <c r="BN215" s="55" t="n"/>
      <c r="BO215" s="55" t="n"/>
      <c r="BP215" s="12" t="n"/>
      <c r="BQ215" s="55" t="n"/>
      <c r="BR215" s="55" t="n"/>
      <c r="BS215" s="55" t="n"/>
      <c r="BT215" s="55" t="n"/>
      <c r="BU215" s="12" t="n"/>
      <c r="BV215" s="55" t="n"/>
      <c r="BW215" s="55" t="n"/>
      <c r="BX215" s="55" t="n"/>
      <c r="BY215" s="55" t="n"/>
      <c r="BZ215" s="12" t="n"/>
      <c r="CA215" s="55" t="n"/>
      <c r="CB215" s="55" t="n"/>
      <c r="CC215" s="55" t="n"/>
      <c r="CD215" s="55" t="n"/>
      <c r="CE215" s="12" t="n"/>
      <c r="CF215" s="55" t="n"/>
      <c r="CG215" s="55" t="n"/>
      <c r="CH215" s="55" t="n"/>
      <c r="CI215" s="55" t="n"/>
      <c r="CJ215" s="12" t="n"/>
      <c r="CK215" s="55" t="n"/>
      <c r="CL215" s="55" t="n"/>
      <c r="CM215" s="55" t="n"/>
      <c r="CN215" s="55" t="n"/>
      <c r="CO215" s="12" t="n"/>
      <c r="CP215" s="55" t="n"/>
      <c r="CQ215" s="55" t="n"/>
      <c r="CR215" s="55" t="n"/>
      <c r="CS215" s="55" t="n"/>
      <c r="CT215" s="12" t="n"/>
      <c r="CU215" s="55" t="n"/>
      <c r="CV215" s="55" t="n"/>
      <c r="CW215" s="55" t="n"/>
      <c r="CX215" s="55" t="n"/>
      <c r="CY215" s="12" t="n"/>
    </row>
    <row r="216" collapsed="1">
      <c r="C216" s="14" t="inlineStr">
        <is>
          <t>Taxes payable</t>
        </is>
      </c>
      <c r="D216" s="46" t="n"/>
      <c r="E216" s="46" t="n"/>
      <c r="F216" s="46" t="n"/>
      <c r="G216" s="46" t="n"/>
      <c r="H216" s="12" t="n"/>
      <c r="I216" s="46">
        <f>'Inputs (2)'!D30</f>
        <v>14.888</v>
      </c>
      <c r="J216" s="46">
        <f>'Inputs (2)'!E30</f>
        <v>20.693</v>
      </c>
      <c r="K216" s="46">
        <f>'Inputs (2)'!F30</f>
        <v>22.33</v>
      </c>
      <c r="L216" s="46">
        <f>'Inputs (2)'!G30</f>
        <v>24.832</v>
      </c>
      <c r="M216" s="12">
        <f>'Inputs (2)'!H30</f>
        <v>24.832</v>
      </c>
      <c r="N216" s="46">
        <f>'Inputs (2)'!I30</f>
        <v>25.379</v>
      </c>
      <c r="O216" s="46">
        <f>'Inputs (2)'!J30</f>
        <v>41.63</v>
      </c>
      <c r="P216" s="46">
        <f>'Inputs (2)'!K30</f>
        <v>25.26</v>
      </c>
      <c r="Q216" s="46">
        <f>'Inputs (2)'!L30</f>
        <v>64.331</v>
      </c>
      <c r="R216" s="12">
        <f>'Inputs (2)'!M30</f>
        <v>64.331</v>
      </c>
      <c r="S216" s="46">
        <f>'Inputs (2)'!N30</f>
        <v>38.35</v>
      </c>
      <c r="T216" s="46">
        <f>'Inputs (2)'!O30</f>
        <v>34.271</v>
      </c>
      <c r="U216" s="46">
        <f>'Inputs (2)'!P30</f>
        <v>54.344</v>
      </c>
      <c r="V216" s="46">
        <f>'Inputs (2)'!Q30</f>
        <v>71.372</v>
      </c>
      <c r="W216" s="12">
        <f>'Inputs (2)'!R30</f>
        <v>71.372</v>
      </c>
      <c r="X216" s="46">
        <f>'Inputs (2)'!S30</f>
        <v>103.155</v>
      </c>
      <c r="Y216" s="46">
        <f>'Inputs (2)'!T30</f>
        <v>71.063</v>
      </c>
      <c r="Z216" s="46">
        <f>'Inputs (2)'!U30</f>
        <v>119.799</v>
      </c>
      <c r="AA216" s="46">
        <f>'Inputs (2)'!V30</f>
        <v>132.506</v>
      </c>
      <c r="AB216" s="12">
        <f>'Inputs (2)'!W30</f>
        <v>132.506</v>
      </c>
      <c r="AC216" s="46">
        <f>'Inputs (2)'!X30</f>
        <v>130.947</v>
      </c>
      <c r="AD216" s="46">
        <f>'Inputs (2)'!Y30</f>
        <v>119.656</v>
      </c>
      <c r="AE216" s="46">
        <f>'Inputs (2)'!Z30</f>
        <v>108.833</v>
      </c>
      <c r="AF216" s="46">
        <f>'Inputs (2)'!AA30</f>
        <v>163.739</v>
      </c>
      <c r="AG216" s="12">
        <f>'Inputs (2)'!AB30</f>
        <v>163.739</v>
      </c>
      <c r="AH216" s="12">
        <f>'Inputs (2)'!AC30</f>
        <v>116.802</v>
      </c>
      <c r="AI216" s="12">
        <f>'Inputs (2)'!AD30</f>
        <v>85.665</v>
      </c>
      <c r="AJ216" s="12">
        <f>AI216*(1+AJ16)</f>
        <v>92.2139352563586</v>
      </c>
      <c r="AK216" s="12">
        <f>AJ216*(1+AK16)</f>
        <v>99.2635248405287</v>
      </c>
      <c r="AL216" s="12">
        <f>AK216</f>
        <v>99.2635248405287</v>
      </c>
      <c r="AM216" s="12">
        <f>AL216*(1+AM16)</f>
        <v>106.852042875882</v>
      </c>
      <c r="AN216" s="12">
        <f>AM216*(1+AN16)</f>
        <v>115.02068947372</v>
      </c>
      <c r="AO216" s="12">
        <f>AN216*(1+AO16)</f>
        <v>123.813814419791</v>
      </c>
      <c r="AP216" s="12">
        <f>AO216*(1+AP16)</f>
        <v>133.279157961237</v>
      </c>
      <c r="AQ216" s="12">
        <f>AP216</f>
        <v>133.279157961237</v>
      </c>
      <c r="AR216" s="12">
        <f>AQ216*(1+AR16)</f>
        <v>142.801714211472</v>
      </c>
      <c r="AS216" s="12">
        <f>AR216*(1+AS16)</f>
        <v>153.004639987791</v>
      </c>
      <c r="AT216" s="12">
        <f>AS216*(1+AT16)</f>
        <v>163.936546469781</v>
      </c>
      <c r="AU216" s="12">
        <f>AT216*(1+AU16)</f>
        <v>175.64951801843</v>
      </c>
      <c r="AV216" s="12">
        <f>AU216</f>
        <v>175.64951801843</v>
      </c>
      <c r="AW216" s="12">
        <f>AV216*(1+AW16)</f>
        <v>187.321112738593</v>
      </c>
      <c r="AX216" s="12">
        <f>AW216*(1+AX16)</f>
        <v>199.768263946748</v>
      </c>
      <c r="AY216" s="12">
        <f>AX216*(1+AY16)</f>
        <v>213.04250597736</v>
      </c>
      <c r="AZ216" s="12">
        <f>AY216*(1+AZ16)</f>
        <v>227.198797528783</v>
      </c>
      <c r="BA216" s="12">
        <f>AZ216</f>
        <v>227.198797528783</v>
      </c>
      <c r="BB216" s="12">
        <f>BA216*(1+BB16)</f>
        <v>241.159755218434</v>
      </c>
      <c r="BC216" s="12">
        <f>BB216*(1+BC16)</f>
        <v>255.978588661532</v>
      </c>
      <c r="BD216" s="12">
        <f>BC216*(1+BD16)</f>
        <v>271.708012780987</v>
      </c>
      <c r="BE216" s="12">
        <f>BD216*(1+BE16)</f>
        <v>288.403981736958</v>
      </c>
      <c r="BF216" s="12">
        <f>BE216</f>
        <v>288.403981736958</v>
      </c>
      <c r="BG216" s="12" t="n"/>
      <c r="BH216" s="12" t="n"/>
      <c r="BI216" s="12" t="n"/>
      <c r="BJ216" s="12" t="n"/>
      <c r="BK216" s="12" t="n"/>
      <c r="BL216" s="12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12" t="n"/>
      <c r="BV216" s="12" t="n"/>
      <c r="BW216" s="12" t="n"/>
      <c r="BX216" s="12" t="n"/>
      <c r="BY216" s="12" t="n"/>
      <c r="BZ216" s="12" t="n"/>
      <c r="CA216" s="12" t="n"/>
      <c r="CB216" s="12" t="n"/>
      <c r="CC216" s="12" t="n"/>
      <c r="CD216" s="12" t="n"/>
      <c r="CE216" s="12" t="n"/>
      <c r="CF216" s="12" t="n"/>
      <c r="CG216" s="12" t="n"/>
      <c r="CH216" s="12" t="n"/>
      <c r="CI216" s="12" t="n"/>
      <c r="CJ216" s="12" t="n"/>
      <c r="CK216" s="12" t="n"/>
      <c r="CL216" s="12" t="n"/>
      <c r="CM216" s="12" t="n"/>
      <c r="CN216" s="12" t="n"/>
      <c r="CO216" s="12" t="n"/>
      <c r="CP216" s="12" t="n"/>
      <c r="CQ216" s="12" t="n"/>
      <c r="CR216" s="12" t="n"/>
      <c r="CS216" s="12" t="n"/>
      <c r="CT216" s="12" t="n"/>
      <c r="CU216" s="12" t="n"/>
      <c r="CV216" s="12" t="n"/>
      <c r="CW216" s="12" t="n"/>
      <c r="CX216" s="12" t="n"/>
      <c r="CY216" s="12" t="n"/>
    </row>
    <row r="217">
      <c r="C217" s="14" t="inlineStr">
        <is>
          <t>Other current liabilities (non-debt)</t>
        </is>
      </c>
      <c r="D217" s="46" t="n"/>
      <c r="E217" s="46" t="n"/>
      <c r="F217" s="46" t="n"/>
      <c r="G217" s="46" t="n"/>
      <c r="H217" s="12" t="n"/>
      <c r="I217" s="46">
        <f>'Inputs (2)'!D31</f>
        <v>184.627</v>
      </c>
      <c r="J217" s="46">
        <f>'Inputs (2)'!E31</f>
        <v>219.97</v>
      </c>
      <c r="K217" s="46">
        <f>'Inputs (2)'!F31</f>
        <v>232.285</v>
      </c>
      <c r="L217" s="46">
        <f>'Inputs (2)'!G31</f>
        <v>584.538</v>
      </c>
      <c r="M217" s="12">
        <f>'Inputs (2)'!H31</f>
        <v>584.538</v>
      </c>
      <c r="N217" s="46">
        <f>'Inputs (2)'!I31</f>
        <v>751.159</v>
      </c>
      <c r="O217" s="46">
        <f>'Inputs (2)'!J31</f>
        <v>778.005</v>
      </c>
      <c r="P217" s="46">
        <f>'Inputs (2)'!K31</f>
        <v>852.112</v>
      </c>
      <c r="Q217" s="46">
        <f>'Inputs (2)'!L31</f>
        <v>1375.419</v>
      </c>
      <c r="R217" s="12">
        <f>'Inputs (2)'!M31</f>
        <v>1375.419</v>
      </c>
      <c r="S217" s="46">
        <f>'Inputs (2)'!N31</f>
        <v>1319.397</v>
      </c>
      <c r="T217" s="46">
        <f>'Inputs (2)'!O31</f>
        <v>930.606</v>
      </c>
      <c r="U217" s="46">
        <f>'Inputs (2)'!P31</f>
        <v>738.962</v>
      </c>
      <c r="V217" s="46">
        <f>'Inputs (2)'!Q31</f>
        <v>1132.918</v>
      </c>
      <c r="W217" s="12">
        <f>'Inputs (2)'!R31</f>
        <v>1132.918</v>
      </c>
      <c r="X217" s="46">
        <f>'Inputs (2)'!S31</f>
        <v>1898.452</v>
      </c>
      <c r="Y217" s="46">
        <f>'Inputs (2)'!T31</f>
        <v>2004.9</v>
      </c>
      <c r="Z217" s="46">
        <f>'Inputs (2)'!U31</f>
        <v>1499.404</v>
      </c>
      <c r="AA217" s="46">
        <f>'Inputs (2)'!V31</f>
        <v>1297.016</v>
      </c>
      <c r="AB217" s="12">
        <f>'Inputs (2)'!W31</f>
        <v>1297.016</v>
      </c>
      <c r="AC217" s="46">
        <f>'Inputs (2)'!X31</f>
        <v>1956.479</v>
      </c>
      <c r="AD217" s="46">
        <f>'Inputs (2)'!Y31</f>
        <v>1719.466</v>
      </c>
      <c r="AE217" s="46">
        <f>'Inputs (2)'!Z31</f>
        <v>2126.293</v>
      </c>
      <c r="AF217" s="46">
        <f>'Inputs (2)'!AA31</f>
        <v>2233.918</v>
      </c>
      <c r="AG217" s="12">
        <f>'Inputs (2)'!AB31</f>
        <v>2233.918</v>
      </c>
      <c r="AH217" s="12">
        <f>'Inputs (2)'!AC31</f>
        <v>2007.831</v>
      </c>
      <c r="AI217" s="12">
        <f>'Inputs (2)'!AD31</f>
        <v>1832.988</v>
      </c>
      <c r="AJ217" s="12">
        <f>AI217</f>
        <v>1832.988</v>
      </c>
      <c r="AK217" s="12">
        <f>AJ217</f>
        <v>1832.988</v>
      </c>
      <c r="AL217" s="12">
        <f>AK217</f>
        <v>1832.988</v>
      </c>
      <c r="AM217" s="12">
        <f>AL217</f>
        <v>1832.988</v>
      </c>
      <c r="AN217" s="12">
        <f>AM217</f>
        <v>1832.988</v>
      </c>
      <c r="AO217" s="12">
        <f>AN217</f>
        <v>1832.988</v>
      </c>
      <c r="AP217" s="12">
        <f>AO217</f>
        <v>1832.988</v>
      </c>
      <c r="AQ217" s="12">
        <f>AP217</f>
        <v>1832.988</v>
      </c>
      <c r="AR217" s="12">
        <f>AQ217</f>
        <v>1832.988</v>
      </c>
      <c r="AS217" s="12">
        <f>AR217</f>
        <v>1832.988</v>
      </c>
      <c r="AT217" s="12">
        <f>AS217</f>
        <v>1832.988</v>
      </c>
      <c r="AU217" s="12">
        <f>AT217</f>
        <v>1832.988</v>
      </c>
      <c r="AV217" s="12">
        <f>AU217</f>
        <v>1832.988</v>
      </c>
      <c r="AW217" s="12">
        <f>AV217</f>
        <v>1832.988</v>
      </c>
      <c r="AX217" s="12">
        <f>AW217</f>
        <v>1832.988</v>
      </c>
      <c r="AY217" s="12">
        <f>AX217</f>
        <v>1832.988</v>
      </c>
      <c r="AZ217" s="12">
        <f>AY217</f>
        <v>1832.988</v>
      </c>
      <c r="BA217" s="12">
        <f>AZ217</f>
        <v>1832.988</v>
      </c>
      <c r="BB217" s="12">
        <f>BA217</f>
        <v>1832.988</v>
      </c>
      <c r="BC217" s="12">
        <f>BB217</f>
        <v>1832.988</v>
      </c>
      <c r="BD217" s="12">
        <f>BC217</f>
        <v>1832.988</v>
      </c>
      <c r="BE217" s="12">
        <f>BD217</f>
        <v>1832.988</v>
      </c>
      <c r="BF217" s="12">
        <f>BE217</f>
        <v>1832.988</v>
      </c>
      <c r="BG217" s="12" t="n"/>
      <c r="BH217" s="12" t="n"/>
      <c r="BI217" s="12" t="n"/>
      <c r="BJ217" s="12" t="n"/>
      <c r="BK217" s="12" t="n"/>
      <c r="BL217" s="12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12" t="n"/>
      <c r="BV217" s="12" t="n"/>
      <c r="BW217" s="12" t="n"/>
      <c r="BX217" s="12" t="n"/>
      <c r="BY217" s="12" t="n"/>
      <c r="BZ217" s="12" t="n"/>
      <c r="CA217" s="12" t="n"/>
      <c r="CB217" s="12" t="n"/>
      <c r="CC217" s="12" t="n"/>
      <c r="CD217" s="12" t="n"/>
      <c r="CE217" s="12" t="n"/>
      <c r="CF217" s="12" t="n"/>
      <c r="CG217" s="12" t="n"/>
      <c r="CH217" s="12" t="n"/>
      <c r="CI217" s="12" t="n"/>
      <c r="CJ217" s="12" t="n"/>
      <c r="CK217" s="12" t="n"/>
      <c r="CL217" s="12" t="n"/>
      <c r="CM217" s="12" t="n"/>
      <c r="CN217" s="12" t="n"/>
      <c r="CO217" s="12" t="n"/>
      <c r="CP217" s="12" t="n"/>
      <c r="CQ217" s="12" t="n"/>
      <c r="CR217" s="12" t="n"/>
      <c r="CS217" s="12" t="n"/>
      <c r="CT217" s="12" t="n"/>
      <c r="CU217" s="12" t="n"/>
      <c r="CV217" s="12" t="n"/>
      <c r="CW217" s="12" t="n"/>
      <c r="CX217" s="12" t="n"/>
      <c r="CY217" s="12" t="n"/>
    </row>
    <row r="218" hidden="1" outlineLevel="1">
      <c r="C218" s="59" t="inlineStr">
        <is>
          <t>%(Var.)</t>
        </is>
      </c>
      <c r="D218" s="12" t="n"/>
      <c r="E218" s="40" t="n"/>
      <c r="F218" s="40" t="n"/>
      <c r="G218" s="40" t="n"/>
      <c r="H218" s="12" t="n"/>
      <c r="I218" s="40" t="str">
        <f>""</f>
        <v/>
      </c>
      <c r="J218" s="40">
        <f>IFERROR(IF(I217=0,"",J217/I217-1),"")</f>
        <v>0.191429205912461</v>
      </c>
      <c r="K218" s="40">
        <f>IFERROR(IF(J217=0,"",K217/J217-1),"")</f>
        <v>0.0559849070327771</v>
      </c>
      <c r="L218" s="40">
        <f>IFERROR(IF(K217=0,"",L217/K217-1),"")</f>
        <v>1.51646899283208</v>
      </c>
      <c r="M218" s="12">
        <f>IF(L217=0,"",M217/L217-1)</f>
        <v>0</v>
      </c>
      <c r="N218" s="40">
        <f>IFERROR(IF(M217=0,"",N217/M217-1),"")</f>
        <v>0.285047336529019</v>
      </c>
      <c r="O218" s="40">
        <f>IFERROR(IF(N217=0,"",O217/N217-1),"")</f>
        <v>0.035739437322857</v>
      </c>
      <c r="P218" s="40">
        <f>IFERROR(IF(O217=0,"",P217/O217-1),"")</f>
        <v>0.0952526012043624</v>
      </c>
      <c r="Q218" s="40">
        <f>IFERROR(IF(P217=0,"",Q217/P217-1),"")</f>
        <v>0.614129363276189</v>
      </c>
      <c r="R218" s="12">
        <f>IF(Q217=0,"",R217/Q217-1)</f>
        <v>0</v>
      </c>
      <c r="S218" s="40">
        <f>IFERROR(IF(R217=0,"",S217/R217-1),"")</f>
        <v>-0.040730860923108</v>
      </c>
      <c r="T218" s="40">
        <f>IFERROR(IF(S217=0,"",T217/S217-1),"")</f>
        <v>-0.294673248461229</v>
      </c>
      <c r="U218" s="40">
        <f>IFERROR(IF(T217=0,"",U217/T217-1),"")</f>
        <v>-0.205934627543773</v>
      </c>
      <c r="V218" s="40">
        <f>IFERROR(IF(U217=0,"",V217/U217-1),"")</f>
        <v>0.533120782936064</v>
      </c>
      <c r="W218" s="12">
        <f>IF(V217=0,"",W217/V217-1)</f>
        <v>0</v>
      </c>
      <c r="X218" s="40">
        <f>IFERROR(IF(W217=0,"",X217/W217-1),"")</f>
        <v>0.675718807539469</v>
      </c>
      <c r="Y218" s="40">
        <f>IFERROR(IF(X217=0,"",Y217/X217-1),"")</f>
        <v>0.0560709462235549</v>
      </c>
      <c r="Z218" s="40">
        <f>IFERROR(IF(Y217=0,"",Z217/Y217-1),"")</f>
        <v>-0.252130280812011</v>
      </c>
      <c r="AA218" s="40">
        <f>IFERROR(IF(Z217=0,"",AA217/Z217-1),"")</f>
        <v>-0.134978964975417</v>
      </c>
      <c r="AB218" s="12">
        <f>IF(AA217=0,"",AB217/AA217-1)</f>
        <v>0</v>
      </c>
      <c r="AC218" s="40">
        <f>IFERROR(IF(AB217=0,"",AC217/AB217-1),"")</f>
        <v>0.50844631060835</v>
      </c>
      <c r="AD218" s="40">
        <f>IFERROR(IF(AC217=0,"",AD217/AC217-1),"")</f>
        <v>-0.121142624071099</v>
      </c>
      <c r="AE218" s="40">
        <f>IFERROR(IF(AD217=0,"",AE217/AD217-1),"")</f>
        <v>0.236600781870651</v>
      </c>
      <c r="AF218" s="55">
        <f>IFERROR(IF(AE217=0,"",AF217/AE217-1),"")</f>
        <v>0.0506162603178395</v>
      </c>
      <c r="AG218" s="12">
        <f>IF(AF217=0,"",AG217/AF217-1)</f>
        <v>0</v>
      </c>
      <c r="AH218" s="55">
        <f>IFERROR(IF(AG217=0,"",AH217/AG217-1),"")</f>
        <v>-0.10120649012184</v>
      </c>
      <c r="AI218" s="55">
        <f>IFERROR(IF(AH217=0,"",AI217/AH217-1),"")</f>
        <v>-0.0870805361606628</v>
      </c>
      <c r="AJ218" s="55">
        <f>IFERROR(IF(AI217=0,"",AJ217/AI217-1),"")</f>
        <v>0</v>
      </c>
      <c r="AK218" s="55">
        <f>IFERROR(IF(AJ217=0,"",AK217/AJ217-1),"")</f>
        <v>0</v>
      </c>
      <c r="AL218" s="12">
        <f>IFERROR(IF(AK217=0,"",AL217/AK217-1),"")</f>
        <v>0</v>
      </c>
      <c r="AM218" s="55">
        <f>IFERROR(IF(AL217=0,"",AM217/AL217-1),"")</f>
        <v>0</v>
      </c>
      <c r="AN218" s="55">
        <f>IFERROR(IF(AM217=0,"",AN217/AM217-1),"")</f>
        <v>0</v>
      </c>
      <c r="AO218" s="55">
        <f>IFERROR(IF(AN217=0,"",AO217/AN217-1),"")</f>
        <v>0</v>
      </c>
      <c r="AP218" s="55">
        <f>IFERROR(IF(AO217=0,"",AP217/AO217-1),"")</f>
        <v>0</v>
      </c>
      <c r="AQ218" s="12">
        <f>IFERROR(IF(AP217=0,"",AQ217/AP217-1),"")</f>
        <v>0</v>
      </c>
      <c r="AR218" s="55">
        <f>IFERROR(IF(AQ217=0,"",AR217/AQ217-1),"")</f>
        <v>0</v>
      </c>
      <c r="AS218" s="55">
        <f>IFERROR(IF(AR217=0,"",AS217/AR217-1),"")</f>
        <v>0</v>
      </c>
      <c r="AT218" s="55">
        <f>IFERROR(IF(AS217=0,"",AT217/AS217-1),"")</f>
        <v>0</v>
      </c>
      <c r="AU218" s="55">
        <f>IFERROR(IF(AT217=0,"",AU217/AT217-1),"")</f>
        <v>0</v>
      </c>
      <c r="AV218" s="12">
        <f>IFERROR(IF(AU217=0,"",AV217/AU217-1),"")</f>
        <v>0</v>
      </c>
      <c r="AW218" s="55">
        <f>IFERROR(IF(AV217=0,"",AW217/AV217-1),"")</f>
        <v>0</v>
      </c>
      <c r="AX218" s="55">
        <f>IFERROR(IF(AW217=0,"",AX217/AW217-1),"")</f>
        <v>0</v>
      </c>
      <c r="AY218" s="55">
        <f>IFERROR(IF(AX217=0,"",AY217/AX217-1),"")</f>
        <v>0</v>
      </c>
      <c r="AZ218" s="55">
        <f>IFERROR(IF(AY217=0,"",AZ217/AY217-1),"")</f>
        <v>0</v>
      </c>
      <c r="BA218" s="12">
        <f>IFERROR(IF(AZ217=0,"",BA217/AZ217-1),"")</f>
        <v>0</v>
      </c>
      <c r="BB218" s="55">
        <f>IFERROR(IF(BA217=0,"",BB217/BA217-1),"")</f>
        <v>0</v>
      </c>
      <c r="BC218" s="55">
        <f>IFERROR(IF(BB217=0,"",BC217/BB217-1),"")</f>
        <v>0</v>
      </c>
      <c r="BD218" s="55">
        <f>IFERROR(IF(BC217=0,"",BD217/BC217-1),"")</f>
        <v>0</v>
      </c>
      <c r="BE218" s="55">
        <f>IFERROR(IF(BD217=0,"",BE217/BD217-1),"")</f>
        <v>0</v>
      </c>
      <c r="BF218" s="12">
        <f>IFERROR(IF(BE217=0,"",BF217/BE217-1),"")</f>
        <v>0</v>
      </c>
      <c r="BG218" s="55" t="n"/>
      <c r="BH218" s="55" t="n"/>
      <c r="BI218" s="55" t="n"/>
      <c r="BJ218" s="55" t="n"/>
      <c r="BK218" s="12" t="n"/>
      <c r="BL218" s="55" t="n"/>
      <c r="BM218" s="55" t="n"/>
      <c r="BN218" s="55" t="n"/>
      <c r="BO218" s="55" t="n"/>
      <c r="BP218" s="12" t="n"/>
      <c r="BQ218" s="55" t="n"/>
      <c r="BR218" s="55" t="n"/>
      <c r="BS218" s="55" t="n"/>
      <c r="BT218" s="55" t="n"/>
      <c r="BU218" s="12" t="n"/>
      <c r="BV218" s="55" t="n"/>
      <c r="BW218" s="55" t="n"/>
      <c r="BX218" s="55" t="n"/>
      <c r="BY218" s="55" t="n"/>
      <c r="BZ218" s="12" t="n"/>
      <c r="CA218" s="55" t="n"/>
      <c r="CB218" s="55" t="n"/>
      <c r="CC218" s="55" t="n"/>
      <c r="CD218" s="55" t="n"/>
      <c r="CE218" s="12" t="n"/>
      <c r="CF218" s="55" t="n"/>
      <c r="CG218" s="55" t="n"/>
      <c r="CH218" s="55" t="n"/>
      <c r="CI218" s="55" t="n"/>
      <c r="CJ218" s="12" t="n"/>
      <c r="CK218" s="55" t="n"/>
      <c r="CL218" s="55" t="n"/>
      <c r="CM218" s="55" t="n"/>
      <c r="CN218" s="55" t="n"/>
      <c r="CO218" s="12" t="n"/>
      <c r="CP218" s="55" t="n"/>
      <c r="CQ218" s="55" t="n"/>
      <c r="CR218" s="55" t="n"/>
      <c r="CS218" s="55" t="n"/>
      <c r="CT218" s="12" t="n"/>
      <c r="CU218" s="55" t="n"/>
      <c r="CV218" s="55" t="n"/>
      <c r="CW218" s="55" t="n"/>
      <c r="CX218" s="55" t="n"/>
      <c r="CY218" s="12" t="n"/>
    </row>
    <row r="219" hidden="1" outlineLevel="1">
      <c r="C219" s="57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  <c r="AJ219" s="12" t="n"/>
      <c r="AK219" s="12" t="n"/>
      <c r="AL219" s="12" t="n"/>
      <c r="AM219" s="12" t="n"/>
      <c r="AN219" s="12" t="n"/>
      <c r="AO219" s="12" t="n"/>
      <c r="AP219" s="12" t="n"/>
      <c r="AQ219" s="12" t="n"/>
      <c r="AR219" s="12" t="n"/>
      <c r="AS219" s="12" t="n"/>
      <c r="AT219" s="12" t="n"/>
      <c r="AU219" s="12" t="n"/>
      <c r="AV219" s="12" t="n"/>
      <c r="AW219" s="12" t="n"/>
      <c r="AX219" s="12" t="n"/>
      <c r="AY219" s="12" t="n"/>
      <c r="AZ219" s="12" t="n"/>
      <c r="BA219" s="12" t="n"/>
      <c r="BB219" s="12" t="n"/>
      <c r="BC219" s="12" t="n"/>
      <c r="BD219" s="12" t="n"/>
      <c r="BE219" s="12" t="n"/>
      <c r="BF219" s="12" t="n"/>
      <c r="BG219" s="12" t="n"/>
      <c r="BH219" s="12" t="n"/>
      <c r="BI219" s="12" t="n"/>
      <c r="BJ219" s="12" t="n"/>
      <c r="BK219" s="12" t="n"/>
      <c r="BL219" s="12" t="n"/>
      <c r="BM219" s="12" t="n"/>
      <c r="BN219" s="12" t="n"/>
      <c r="BO219" s="12" t="n"/>
      <c r="BP219" s="12" t="n"/>
      <c r="BQ219" s="12" t="n"/>
      <c r="BR219" s="12" t="n"/>
      <c r="BS219" s="12" t="n"/>
      <c r="BT219" s="12" t="n"/>
      <c r="BU219" s="12" t="n"/>
      <c r="BV219" s="12" t="n"/>
      <c r="BW219" s="12" t="n"/>
      <c r="BX219" s="12" t="n"/>
      <c r="BY219" s="12" t="n"/>
      <c r="BZ219" s="12" t="n"/>
      <c r="CA219" s="12" t="n"/>
      <c r="CB219" s="12" t="n"/>
      <c r="CC219" s="12" t="n"/>
      <c r="CD219" s="12" t="n"/>
      <c r="CE219" s="12" t="n"/>
      <c r="CF219" s="12" t="n"/>
      <c r="CG219" s="12" t="n"/>
      <c r="CH219" s="12" t="n"/>
      <c r="CI219" s="12" t="n"/>
      <c r="CJ219" s="12" t="n"/>
      <c r="CK219" s="12" t="n"/>
      <c r="CL219" s="12" t="n"/>
      <c r="CM219" s="12" t="n"/>
      <c r="CN219" s="12" t="n"/>
      <c r="CO219" s="12" t="n"/>
      <c r="CP219" s="12" t="n"/>
      <c r="CQ219" s="12" t="n"/>
      <c r="CR219" s="12" t="n"/>
      <c r="CS219" s="12" t="n"/>
      <c r="CT219" s="12" t="n"/>
      <c r="CU219" s="12" t="n"/>
      <c r="CV219" s="12" t="n"/>
      <c r="CW219" s="12" t="n"/>
      <c r="CX219" s="12" t="n"/>
      <c r="CY219" s="12" t="n"/>
    </row>
    <row r="220" hidden="1" outlineLevel="1">
      <c r="C220" s="57" t="inlineStr">
        <is>
          <t xml:space="preserve">Dividendos a Pagar </t>
        </is>
      </c>
      <c r="D220" s="11" t="n"/>
      <c r="E220" s="11" t="n"/>
      <c r="F220" s="11" t="n"/>
      <c r="G220" s="11" t="n"/>
      <c r="H220" s="12" t="n"/>
      <c r="I220" s="11" t="n"/>
      <c r="J220" s="11" t="n"/>
      <c r="K220" s="11" t="n"/>
      <c r="L220" s="11" t="n"/>
      <c r="M220" s="12" t="n"/>
      <c r="N220" s="11" t="n"/>
      <c r="O220" s="11" t="n"/>
      <c r="P220" s="11" t="n"/>
      <c r="Q220" s="11" t="n"/>
      <c r="R220" s="12" t="n"/>
      <c r="S220" s="11" t="n"/>
      <c r="T220" s="11" t="n"/>
      <c r="U220" s="11" t="n"/>
      <c r="V220" s="11" t="n"/>
      <c r="W220" s="12" t="n"/>
      <c r="X220" s="11" t="n"/>
      <c r="Y220" s="11" t="n"/>
      <c r="Z220" s="11" t="n"/>
      <c r="AA220" s="11" t="n"/>
      <c r="AB220" s="12" t="n"/>
      <c r="AC220" s="11" t="n"/>
      <c r="AD220" s="11" t="n"/>
      <c r="AE220" s="11" t="n"/>
      <c r="AF220" s="11" t="n"/>
      <c r="AG220" s="12" t="n"/>
      <c r="AH220" s="11" t="n"/>
      <c r="AI220" s="11" t="n"/>
      <c r="AJ220" s="11" t="n"/>
      <c r="AK220" s="11" t="n"/>
      <c r="AL220" s="12" t="n"/>
      <c r="AM220" s="11" t="n"/>
      <c r="AN220" s="11" t="n"/>
      <c r="AO220" s="11" t="n"/>
      <c r="AP220" s="11" t="n"/>
      <c r="AQ220" s="12" t="n"/>
      <c r="AR220" s="11" t="n"/>
      <c r="AS220" s="11" t="n"/>
      <c r="AT220" s="11" t="n"/>
      <c r="AU220" s="11" t="n"/>
      <c r="AV220" s="12" t="n"/>
      <c r="AW220" s="11" t="n"/>
      <c r="AX220" s="11" t="n"/>
      <c r="AY220" s="11" t="n"/>
      <c r="AZ220" s="11" t="n"/>
      <c r="BA220" s="12" t="n"/>
      <c r="BB220" s="11" t="n"/>
      <c r="BC220" s="11" t="n"/>
      <c r="BD220" s="11" t="n"/>
      <c r="BE220" s="11" t="n"/>
      <c r="BF220" s="12" t="n"/>
      <c r="BG220" s="11" t="n"/>
      <c r="BH220" s="11" t="n"/>
      <c r="BI220" s="11" t="n"/>
      <c r="BJ220" s="11" t="n"/>
      <c r="BK220" s="12" t="n"/>
      <c r="BL220" s="11" t="n"/>
      <c r="BM220" s="11" t="n"/>
      <c r="BN220" s="11" t="n"/>
      <c r="BO220" s="11" t="n"/>
      <c r="BP220" s="12" t="n"/>
      <c r="BQ220" s="11" t="n"/>
      <c r="BR220" s="11" t="n"/>
      <c r="BS220" s="11" t="n"/>
      <c r="BT220" s="11" t="n"/>
      <c r="BU220" s="12" t="n"/>
      <c r="BV220" s="11" t="n"/>
      <c r="BW220" s="11" t="n"/>
      <c r="BX220" s="11" t="n"/>
      <c r="BY220" s="11" t="n"/>
      <c r="BZ220" s="12" t="n"/>
      <c r="CA220" s="11" t="n"/>
      <c r="CB220" s="11" t="n"/>
      <c r="CC220" s="11" t="n"/>
      <c r="CD220" s="11" t="n"/>
      <c r="CE220" s="12" t="n"/>
      <c r="CF220" s="11" t="n"/>
      <c r="CG220" s="11" t="n"/>
      <c r="CH220" s="11" t="n"/>
      <c r="CI220" s="11" t="n"/>
      <c r="CJ220" s="12" t="n"/>
      <c r="CK220" s="11" t="n"/>
      <c r="CL220" s="11" t="n"/>
      <c r="CM220" s="11" t="n"/>
      <c r="CN220" s="11" t="n"/>
      <c r="CO220" s="12" t="n"/>
      <c r="CP220" s="11" t="n"/>
      <c r="CQ220" s="11" t="n"/>
      <c r="CR220" s="11" t="n"/>
      <c r="CS220" s="11" t="n"/>
      <c r="CT220" s="12" t="n"/>
      <c r="CU220" s="11" t="n"/>
      <c r="CV220" s="11" t="n"/>
      <c r="CW220" s="11" t="n"/>
      <c r="CX220" s="11" t="n"/>
      <c r="CY220" s="12" t="n"/>
    </row>
    <row r="221" hidden="1" outlineLevel="1">
      <c r="C221" s="57" t="inlineStr">
        <is>
          <t>Contas a pagar pela aquisição de controladas</t>
        </is>
      </c>
      <c r="D221" s="11" t="n"/>
      <c r="E221" s="11" t="n"/>
      <c r="F221" s="11" t="n"/>
      <c r="G221" s="11" t="n"/>
      <c r="H221" s="12" t="n"/>
      <c r="I221" s="11" t="n"/>
      <c r="J221" s="11" t="n"/>
      <c r="K221" s="11" t="n"/>
      <c r="L221" s="11" t="n"/>
      <c r="M221" s="12" t="n"/>
      <c r="N221" s="11" t="n"/>
      <c r="O221" s="11" t="n"/>
      <c r="P221" s="11" t="n"/>
      <c r="Q221" s="11" t="n"/>
      <c r="R221" s="12" t="n"/>
      <c r="S221" s="11" t="n"/>
      <c r="T221" s="11" t="n"/>
      <c r="U221" s="11" t="n"/>
      <c r="V221" s="11" t="n"/>
      <c r="W221" s="12" t="n"/>
      <c r="X221" s="11" t="n"/>
      <c r="Y221" s="11" t="n"/>
      <c r="Z221" s="11" t="n"/>
      <c r="AA221" s="11" t="n"/>
      <c r="AB221" s="12" t="n"/>
      <c r="AC221" s="11" t="n"/>
      <c r="AD221" s="11" t="n"/>
      <c r="AE221" s="11" t="n"/>
      <c r="AF221" s="11" t="n"/>
      <c r="AG221" s="12" t="n"/>
      <c r="AH221" s="11" t="n"/>
      <c r="AI221" s="11" t="n"/>
      <c r="AJ221" s="11" t="n"/>
      <c r="AK221" s="11" t="n"/>
      <c r="AL221" s="12" t="n"/>
      <c r="AM221" s="11" t="n"/>
      <c r="AN221" s="11" t="n"/>
      <c r="AO221" s="11" t="n"/>
      <c r="AP221" s="11" t="n"/>
      <c r="AQ221" s="12" t="n"/>
      <c r="AR221" s="11" t="n"/>
      <c r="AS221" s="11" t="n"/>
      <c r="AT221" s="11" t="n"/>
      <c r="AU221" s="11" t="n"/>
      <c r="AV221" s="12" t="n"/>
      <c r="AW221" s="11" t="n"/>
      <c r="AX221" s="11" t="n"/>
      <c r="AY221" s="11" t="n"/>
      <c r="AZ221" s="11" t="n"/>
      <c r="BA221" s="12" t="n"/>
      <c r="BB221" s="11" t="n"/>
      <c r="BC221" s="11" t="n"/>
      <c r="BD221" s="11" t="n"/>
      <c r="BE221" s="11" t="n"/>
      <c r="BF221" s="12" t="n"/>
      <c r="BG221" s="11" t="n"/>
      <c r="BH221" s="11" t="n"/>
      <c r="BI221" s="11" t="n"/>
      <c r="BJ221" s="11" t="n"/>
      <c r="BK221" s="12" t="n"/>
      <c r="BL221" s="11" t="n"/>
      <c r="BM221" s="11" t="n"/>
      <c r="BN221" s="11" t="n"/>
      <c r="BO221" s="11" t="n"/>
      <c r="BP221" s="12" t="n"/>
      <c r="BQ221" s="11" t="n"/>
      <c r="BR221" s="11" t="n"/>
      <c r="BS221" s="11" t="n"/>
      <c r="BT221" s="11" t="n"/>
      <c r="BU221" s="12" t="n"/>
      <c r="BV221" s="11" t="n"/>
      <c r="BW221" s="11" t="n"/>
      <c r="BX221" s="11" t="n"/>
      <c r="BY221" s="11" t="n"/>
      <c r="BZ221" s="12" t="n"/>
      <c r="CA221" s="11" t="n"/>
      <c r="CB221" s="11" t="n"/>
      <c r="CC221" s="11" t="n"/>
      <c r="CD221" s="11" t="n"/>
      <c r="CE221" s="12" t="n"/>
      <c r="CF221" s="11" t="n"/>
      <c r="CG221" s="11" t="n"/>
      <c r="CH221" s="11" t="n"/>
      <c r="CI221" s="11" t="n"/>
      <c r="CJ221" s="12" t="n"/>
      <c r="CK221" s="11" t="n"/>
      <c r="CL221" s="11" t="n"/>
      <c r="CM221" s="11" t="n"/>
      <c r="CN221" s="11" t="n"/>
      <c r="CO221" s="12" t="n"/>
      <c r="CP221" s="11" t="n"/>
      <c r="CQ221" s="11" t="n"/>
      <c r="CR221" s="11" t="n"/>
      <c r="CS221" s="11" t="n"/>
      <c r="CT221" s="12" t="n"/>
      <c r="CU221" s="11" t="n"/>
      <c r="CV221" s="11" t="n"/>
      <c r="CW221" s="11" t="n"/>
      <c r="CX221" s="11" t="n"/>
      <c r="CY221" s="12" t="n"/>
    </row>
    <row r="222" hidden="1" outlineLevel="1">
      <c r="C222" s="57" t="inlineStr">
        <is>
          <t>Outros</t>
        </is>
      </c>
      <c r="D222" s="11" t="n"/>
      <c r="E222" s="11" t="n"/>
      <c r="F222" s="11" t="n"/>
      <c r="G222" s="11" t="n"/>
      <c r="H222" s="12" t="n"/>
      <c r="I222" s="11" t="n"/>
      <c r="J222" s="11" t="n"/>
      <c r="K222" s="11" t="n"/>
      <c r="L222" s="11" t="n"/>
      <c r="M222" s="12" t="n"/>
      <c r="N222" s="11" t="n"/>
      <c r="O222" s="11" t="n"/>
      <c r="P222" s="11" t="n"/>
      <c r="Q222" s="11" t="n"/>
      <c r="R222" s="12" t="n"/>
      <c r="S222" s="11" t="n"/>
      <c r="T222" s="11" t="n"/>
      <c r="U222" s="11" t="n"/>
      <c r="V222" s="11" t="n"/>
      <c r="W222" s="12" t="n"/>
      <c r="X222" s="11" t="n"/>
      <c r="Y222" s="11" t="n"/>
      <c r="Z222" s="11" t="n"/>
      <c r="AA222" s="11" t="n"/>
      <c r="AB222" s="12" t="n"/>
      <c r="AC222" s="11" t="n"/>
      <c r="AD222" s="11" t="n"/>
      <c r="AE222" s="11" t="n"/>
      <c r="AF222" s="11" t="n"/>
      <c r="AG222" s="12" t="n"/>
      <c r="AH222" s="11" t="n"/>
      <c r="AI222" s="11" t="n"/>
      <c r="AJ222" s="11" t="n"/>
      <c r="AK222" s="11" t="n"/>
      <c r="AL222" s="12" t="n"/>
      <c r="AM222" s="11" t="n"/>
      <c r="AN222" s="11" t="n"/>
      <c r="AO222" s="11" t="n"/>
      <c r="AP222" s="11" t="n"/>
      <c r="AQ222" s="12" t="n"/>
      <c r="AR222" s="11" t="n"/>
      <c r="AS222" s="11" t="n"/>
      <c r="AT222" s="11" t="n"/>
      <c r="AU222" s="11" t="n"/>
      <c r="AV222" s="12" t="n"/>
      <c r="AW222" s="11" t="n"/>
      <c r="AX222" s="11" t="n"/>
      <c r="AY222" s="11" t="n"/>
      <c r="AZ222" s="11" t="n"/>
      <c r="BA222" s="12" t="n"/>
      <c r="BB222" s="11" t="n"/>
      <c r="BC222" s="11" t="n"/>
      <c r="BD222" s="11" t="n"/>
      <c r="BE222" s="11" t="n"/>
      <c r="BF222" s="12" t="n"/>
      <c r="BG222" s="11" t="n"/>
      <c r="BH222" s="11" t="n"/>
      <c r="BI222" s="11" t="n"/>
      <c r="BJ222" s="11" t="n"/>
      <c r="BK222" s="12" t="n"/>
      <c r="BL222" s="11" t="n"/>
      <c r="BM222" s="11" t="n"/>
      <c r="BN222" s="11" t="n"/>
      <c r="BO222" s="11" t="n"/>
      <c r="BP222" s="12" t="n"/>
      <c r="BQ222" s="11" t="n"/>
      <c r="BR222" s="11" t="n"/>
      <c r="BS222" s="11" t="n"/>
      <c r="BT222" s="11" t="n"/>
      <c r="BU222" s="12" t="n"/>
      <c r="BV222" s="11" t="n"/>
      <c r="BW222" s="11" t="n"/>
      <c r="BX222" s="11" t="n"/>
      <c r="BY222" s="11" t="n"/>
      <c r="BZ222" s="12" t="n"/>
      <c r="CA222" s="11" t="n"/>
      <c r="CB222" s="11" t="n"/>
      <c r="CC222" s="11" t="n"/>
      <c r="CD222" s="11" t="n"/>
      <c r="CE222" s="12" t="n"/>
      <c r="CF222" s="11" t="n"/>
      <c r="CG222" s="11" t="n"/>
      <c r="CH222" s="11" t="n"/>
      <c r="CI222" s="11" t="n"/>
      <c r="CJ222" s="12" t="n"/>
      <c r="CK222" s="11" t="n"/>
      <c r="CL222" s="11" t="n"/>
      <c r="CM222" s="11" t="n"/>
      <c r="CN222" s="11" t="n"/>
      <c r="CO222" s="12" t="n"/>
      <c r="CP222" s="11" t="n"/>
      <c r="CQ222" s="11" t="n"/>
      <c r="CR222" s="11" t="n"/>
      <c r="CS222" s="11" t="n"/>
      <c r="CT222" s="12" t="n"/>
      <c r="CU222" s="11" t="n"/>
      <c r="CV222" s="11" t="n"/>
      <c r="CW222" s="11" t="n"/>
      <c r="CX222" s="11" t="n"/>
      <c r="CY222" s="12" t="n"/>
    </row>
    <row r="223" hidden="1" outlineLevel="1">
      <c r="C223" s="57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  <c r="AL223" s="12" t="n"/>
      <c r="AM223" s="12" t="n"/>
      <c r="AN223" s="12" t="n"/>
      <c r="AO223" s="12" t="n"/>
      <c r="AP223" s="12" t="n"/>
      <c r="AQ223" s="12" t="n"/>
      <c r="AR223" s="12" t="n"/>
      <c r="AS223" s="12" t="n"/>
      <c r="AT223" s="12" t="n"/>
      <c r="AU223" s="12" t="n"/>
      <c r="AV223" s="12" t="n"/>
      <c r="AW223" s="12" t="n"/>
      <c r="AX223" s="12" t="n"/>
      <c r="AY223" s="12" t="n"/>
      <c r="AZ223" s="12" t="n"/>
      <c r="BA223" s="12" t="n"/>
      <c r="BB223" s="12" t="n"/>
      <c r="BC223" s="12" t="n"/>
      <c r="BD223" s="12" t="n"/>
      <c r="BE223" s="12" t="n"/>
      <c r="BF223" s="12" t="n"/>
      <c r="BG223" s="12" t="n"/>
      <c r="BH223" s="12" t="n"/>
      <c r="BI223" s="12" t="n"/>
      <c r="BJ223" s="12" t="n"/>
      <c r="BK223" s="12" t="n"/>
      <c r="BL223" s="12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  <c r="CA223" s="12" t="n"/>
      <c r="CB223" s="12" t="n"/>
      <c r="CC223" s="12" t="n"/>
      <c r="CD223" s="12" t="n"/>
      <c r="CE223" s="12" t="n"/>
      <c r="CF223" s="12" t="n"/>
      <c r="CG223" s="12" t="n"/>
      <c r="CH223" s="12" t="n"/>
      <c r="CI223" s="12" t="n"/>
      <c r="CJ223" s="12" t="n"/>
      <c r="CK223" s="12" t="n"/>
      <c r="CL223" s="12" t="n"/>
      <c r="CM223" s="12" t="n"/>
      <c r="CN223" s="12" t="n"/>
      <c r="CO223" s="12" t="n"/>
      <c r="CP223" s="12" t="n"/>
      <c r="CQ223" s="12" t="n"/>
      <c r="CR223" s="12" t="n"/>
      <c r="CS223" s="12" t="n"/>
      <c r="CT223" s="12" t="n"/>
      <c r="CU223" s="12" t="n"/>
      <c r="CV223" s="12" t="n"/>
      <c r="CW223" s="12" t="n"/>
      <c r="CX223" s="12" t="n"/>
      <c r="CY223" s="12" t="n"/>
    </row>
    <row r="224" collapsed="1">
      <c r="C224" s="14" t="inlineStr">
        <is>
          <t>Current portion of long-term debt</t>
        </is>
      </c>
      <c r="D224" s="46" t="n"/>
      <c r="E224" s="46" t="n"/>
      <c r="F224" s="46" t="n"/>
      <c r="G224" s="46" t="n"/>
      <c r="H224" s="12" t="n"/>
      <c r="I224" s="46">
        <f>'Inputs (2)'!D32</f>
        <v>539.847</v>
      </c>
      <c r="J224" s="46">
        <f>'Inputs (2)'!E32</f>
        <v>493.626</v>
      </c>
      <c r="K224" s="46">
        <f>'Inputs (2)'!F32</f>
        <v>522.966</v>
      </c>
      <c r="L224" s="46">
        <f>'Inputs (2)'!G32</f>
        <v>655.05</v>
      </c>
      <c r="M224" s="12">
        <f>'Inputs (2)'!H32</f>
        <v>655.05</v>
      </c>
      <c r="N224" s="46">
        <f>'Inputs (2)'!I32</f>
        <v>721.818</v>
      </c>
      <c r="O224" s="46">
        <f>'Inputs (2)'!J32</f>
        <v>1025.43</v>
      </c>
      <c r="P224" s="46">
        <f>'Inputs (2)'!K32</f>
        <v>1141.627</v>
      </c>
      <c r="Q224" s="46">
        <f>'Inputs (2)'!L32</f>
        <v>1947.436</v>
      </c>
      <c r="R224" s="12">
        <f>'Inputs (2)'!M32</f>
        <v>1947.436</v>
      </c>
      <c r="S224" s="46">
        <f>'Inputs (2)'!N32</f>
        <v>1042.744</v>
      </c>
      <c r="T224" s="46">
        <f>'Inputs (2)'!O32</f>
        <v>889.948</v>
      </c>
      <c r="U224" s="46">
        <f>'Inputs (2)'!P32</f>
        <v>737.185</v>
      </c>
      <c r="V224" s="46">
        <f>'Inputs (2)'!Q32</f>
        <v>1188.117</v>
      </c>
      <c r="W224" s="12">
        <f>'Inputs (2)'!R32</f>
        <v>1188.117</v>
      </c>
      <c r="X224" s="46">
        <f>'Inputs (2)'!S32</f>
        <v>1384.079</v>
      </c>
      <c r="Y224" s="46">
        <f>'Inputs (2)'!T32</f>
        <v>1189.082</v>
      </c>
      <c r="Z224" s="46">
        <f>'Inputs (2)'!U32</f>
        <v>1640.161</v>
      </c>
      <c r="AA224" s="46">
        <f>'Inputs (2)'!V32</f>
        <v>2239.598</v>
      </c>
      <c r="AB224" s="12">
        <f>'Inputs (2)'!W32</f>
        <v>2239.598</v>
      </c>
      <c r="AC224" s="46">
        <f>'Inputs (2)'!X32</f>
        <v>2542.303</v>
      </c>
      <c r="AD224" s="46">
        <f>'Inputs (2)'!Y32</f>
        <v>3232.289</v>
      </c>
      <c r="AE224" s="46">
        <f>'Inputs (2)'!Z32</f>
        <v>3627.942</v>
      </c>
      <c r="AF224" s="46">
        <f>'Inputs (2)'!AA32</f>
        <v>4142.338</v>
      </c>
      <c r="AG224" s="12">
        <f>'Inputs (2)'!AB32</f>
        <v>4142.338</v>
      </c>
      <c r="AH224" s="12">
        <f>'Inputs (2)'!AC32</f>
        <v>3249.109</v>
      </c>
      <c r="AI224" s="12">
        <f>'Inputs (2)'!AD32</f>
        <v>2782.282</v>
      </c>
      <c r="AJ224" s="12">
        <f>AI224</f>
        <v>2782.282</v>
      </c>
      <c r="AK224" s="12">
        <f>AJ224</f>
        <v>2782.282</v>
      </c>
      <c r="AL224" s="12">
        <f>AK224</f>
        <v>2782.282</v>
      </c>
      <c r="AM224" s="12">
        <f>AL224</f>
        <v>2782.282</v>
      </c>
      <c r="AN224" s="12">
        <f>AM224</f>
        <v>2782.282</v>
      </c>
      <c r="AO224" s="12">
        <f>AN224</f>
        <v>2782.282</v>
      </c>
      <c r="AP224" s="12">
        <f>AO224</f>
        <v>2782.282</v>
      </c>
      <c r="AQ224" s="12">
        <f>AP224</f>
        <v>2782.282</v>
      </c>
      <c r="AR224" s="12">
        <f>AQ224</f>
        <v>2782.282</v>
      </c>
      <c r="AS224" s="12">
        <f>AR224</f>
        <v>2782.282</v>
      </c>
      <c r="AT224" s="12">
        <f>AS224</f>
        <v>2782.282</v>
      </c>
      <c r="AU224" s="12">
        <f>AT224</f>
        <v>2782.282</v>
      </c>
      <c r="AV224" s="12">
        <f>AU224</f>
        <v>2782.282</v>
      </c>
      <c r="AW224" s="12">
        <f>AV224</f>
        <v>2782.282</v>
      </c>
      <c r="AX224" s="12">
        <f>AW224</f>
        <v>2782.282</v>
      </c>
      <c r="AY224" s="12">
        <f>AX224</f>
        <v>2782.282</v>
      </c>
      <c r="AZ224" s="12">
        <f>AY224</f>
        <v>2782.282</v>
      </c>
      <c r="BA224" s="12">
        <f>AZ224</f>
        <v>2782.282</v>
      </c>
      <c r="BB224" s="12">
        <f>BA224</f>
        <v>2782.282</v>
      </c>
      <c r="BC224" s="12">
        <f>BB224</f>
        <v>2782.282</v>
      </c>
      <c r="BD224" s="12">
        <f>BC224</f>
        <v>2782.282</v>
      </c>
      <c r="BE224" s="12">
        <f>BD224</f>
        <v>2782.282</v>
      </c>
      <c r="BF224" s="12">
        <f>BE224</f>
        <v>2782.282</v>
      </c>
      <c r="BG224" s="12" t="n"/>
      <c r="BH224" s="12" t="n"/>
      <c r="BI224" s="12" t="n"/>
      <c r="BJ224" s="12" t="n"/>
      <c r="BK224" s="12" t="n"/>
      <c r="BL224" s="12" t="n"/>
      <c r="BM224" s="12" t="n"/>
      <c r="BN224" s="12" t="n"/>
      <c r="BO224" s="12" t="n"/>
      <c r="BP224" s="12" t="n"/>
      <c r="BQ224" s="12" t="n"/>
      <c r="BR224" s="12" t="n"/>
      <c r="BS224" s="12" t="n"/>
      <c r="BT224" s="12" t="n"/>
      <c r="BU224" s="12" t="n"/>
      <c r="BV224" s="12" t="n"/>
      <c r="BW224" s="12" t="n"/>
      <c r="BX224" s="12" t="n"/>
      <c r="BY224" s="12" t="n"/>
      <c r="BZ224" s="12" t="n"/>
      <c r="CA224" s="12" t="n"/>
      <c r="CB224" s="12" t="n"/>
      <c r="CC224" s="12" t="n"/>
      <c r="CD224" s="12" t="n"/>
      <c r="CE224" s="12" t="n"/>
      <c r="CF224" s="12" t="n"/>
      <c r="CG224" s="12" t="n"/>
      <c r="CH224" s="12" t="n"/>
      <c r="CI224" s="12" t="n"/>
      <c r="CJ224" s="12" t="n"/>
      <c r="CK224" s="12" t="n"/>
      <c r="CL224" s="12" t="n"/>
      <c r="CM224" s="12" t="n"/>
      <c r="CN224" s="12" t="n"/>
      <c r="CO224" s="12" t="n"/>
      <c r="CP224" s="12" t="n"/>
      <c r="CQ224" s="12" t="n"/>
      <c r="CR224" s="12" t="n"/>
      <c r="CS224" s="12" t="n"/>
      <c r="CT224" s="12" t="n"/>
      <c r="CU224" s="12" t="n"/>
      <c r="CV224" s="12" t="n"/>
      <c r="CW224" s="12" t="n"/>
      <c r="CX224" s="12" t="n"/>
      <c r="CY224" s="12" t="n"/>
    </row>
    <row r="225">
      <c r="C225" s="14" t="inlineStr">
        <is>
          <t>Short term debt (Revolving credit facility)</t>
        </is>
      </c>
      <c r="D225" s="46" t="n"/>
      <c r="E225" s="46" t="n"/>
      <c r="F225" s="46" t="n"/>
      <c r="G225" s="46" t="n"/>
      <c r="H225" s="12" t="n"/>
      <c r="I225" s="46">
        <f>'Inputs (2)'!D33</f>
        <v>0</v>
      </c>
      <c r="J225" s="46">
        <f>'Inputs (2)'!E33</f>
        <v>0</v>
      </c>
      <c r="K225" s="46">
        <f>'Inputs (2)'!F33</f>
        <v>0</v>
      </c>
      <c r="L225" s="46">
        <f>'Inputs (2)'!G33</f>
        <v>0</v>
      </c>
      <c r="M225" s="12">
        <f>'Inputs (2)'!H33</f>
        <v>0</v>
      </c>
      <c r="N225" s="46">
        <f>'Inputs (2)'!I33</f>
        <v>0</v>
      </c>
      <c r="O225" s="46">
        <f>'Inputs (2)'!J33</f>
        <v>0</v>
      </c>
      <c r="P225" s="46">
        <f>'Inputs (2)'!K33</f>
        <v>0</v>
      </c>
      <c r="Q225" s="46">
        <f>'Inputs (2)'!L33</f>
        <v>0</v>
      </c>
      <c r="R225" s="12">
        <f>'Inputs (2)'!M33</f>
        <v>0</v>
      </c>
      <c r="S225" s="46">
        <f>'Inputs (2)'!N33</f>
        <v>0</v>
      </c>
      <c r="T225" s="46">
        <f>'Inputs (2)'!O33</f>
        <v>0</v>
      </c>
      <c r="U225" s="46">
        <f>'Inputs (2)'!P33</f>
        <v>0</v>
      </c>
      <c r="V225" s="46">
        <f>'Inputs (2)'!Q33</f>
        <v>0</v>
      </c>
      <c r="W225" s="12">
        <f>'Inputs (2)'!R33</f>
        <v>0</v>
      </c>
      <c r="X225" s="46">
        <f>'Inputs (2)'!S33</f>
        <v>0</v>
      </c>
      <c r="Y225" s="46">
        <f>'Inputs (2)'!T33</f>
        <v>0</v>
      </c>
      <c r="Z225" s="46">
        <f>'Inputs (2)'!U33</f>
        <v>0</v>
      </c>
      <c r="AA225" s="46">
        <f>'Inputs (2)'!V33</f>
        <v>0</v>
      </c>
      <c r="AB225" s="12">
        <f>'Inputs (2)'!W33</f>
        <v>0</v>
      </c>
      <c r="AC225" s="46">
        <f>'Inputs (2)'!X33</f>
        <v>0</v>
      </c>
      <c r="AD225" s="46">
        <f>'Inputs (2)'!Y33</f>
        <v>0</v>
      </c>
      <c r="AE225" s="46">
        <f>'Inputs (2)'!Z33</f>
        <v>0</v>
      </c>
      <c r="AF225" s="46">
        <f>'Inputs (2)'!AA33</f>
        <v>0</v>
      </c>
      <c r="AG225" s="12">
        <f>'Inputs (2)'!AB33</f>
        <v>0</v>
      </c>
      <c r="AH225" s="12">
        <f>'Inputs (2)'!AC33</f>
        <v>0</v>
      </c>
      <c r="AI225" s="12">
        <f>'Inputs (2)'!AD33</f>
        <v>0</v>
      </c>
      <c r="AJ225" s="12">
        <f>AI225</f>
        <v>0</v>
      </c>
      <c r="AK225" s="12">
        <f>AJ225</f>
        <v>0</v>
      </c>
      <c r="AL225" s="12">
        <f>AK225</f>
        <v>0</v>
      </c>
      <c r="AM225" s="12">
        <f>AL225</f>
        <v>0</v>
      </c>
      <c r="AN225" s="12">
        <f>AM225</f>
        <v>0</v>
      </c>
      <c r="AO225" s="12">
        <f>AN225</f>
        <v>0</v>
      </c>
      <c r="AP225" s="12">
        <f>AO225</f>
        <v>0</v>
      </c>
      <c r="AQ225" s="12">
        <f>AP225</f>
        <v>0</v>
      </c>
      <c r="AR225" s="12">
        <f>AQ225</f>
        <v>0</v>
      </c>
      <c r="AS225" s="12">
        <f>AR225</f>
        <v>0</v>
      </c>
      <c r="AT225" s="12">
        <f>AS225</f>
        <v>0</v>
      </c>
      <c r="AU225" s="12">
        <f>AT225</f>
        <v>0</v>
      </c>
      <c r="AV225" s="12">
        <f>AU225</f>
        <v>0</v>
      </c>
      <c r="AW225" s="12">
        <f>AV225</f>
        <v>0</v>
      </c>
      <c r="AX225" s="12">
        <f>AW225</f>
        <v>0</v>
      </c>
      <c r="AY225" s="12">
        <f>AX225</f>
        <v>0</v>
      </c>
      <c r="AZ225" s="12">
        <f>AY225</f>
        <v>0</v>
      </c>
      <c r="BA225" s="12">
        <f>AZ225</f>
        <v>0</v>
      </c>
      <c r="BB225" s="12">
        <f>BA225</f>
        <v>0</v>
      </c>
      <c r="BC225" s="12">
        <f>BB225</f>
        <v>0</v>
      </c>
      <c r="BD225" s="12">
        <f>BC225</f>
        <v>0</v>
      </c>
      <c r="BE225" s="12">
        <f>BD225</f>
        <v>0</v>
      </c>
      <c r="BF225" s="12">
        <f>BE225</f>
        <v>0</v>
      </c>
      <c r="BG225" s="12" t="n"/>
      <c r="BH225" s="12" t="n"/>
      <c r="BI225" s="12" t="n"/>
      <c r="BJ225" s="12" t="n"/>
      <c r="BK225" s="12" t="n"/>
      <c r="BL225" s="12" t="n"/>
      <c r="BM225" s="12" t="n"/>
      <c r="BN225" s="12" t="n"/>
      <c r="BO225" s="12" t="n"/>
      <c r="BP225" s="12" t="n"/>
      <c r="BQ225" s="12" t="n"/>
      <c r="BR225" s="12" t="n"/>
      <c r="BS225" s="12" t="n"/>
      <c r="BT225" s="12" t="n"/>
      <c r="BU225" s="12" t="n"/>
      <c r="BV225" s="12" t="n"/>
      <c r="BW225" s="12" t="n"/>
      <c r="BX225" s="12" t="n"/>
      <c r="BY225" s="12" t="n"/>
      <c r="BZ225" s="12" t="n"/>
      <c r="CA225" s="12" t="n"/>
      <c r="CB225" s="12" t="n"/>
      <c r="CC225" s="12" t="n"/>
      <c r="CD225" s="12" t="n"/>
      <c r="CE225" s="12" t="n"/>
      <c r="CF225" s="12" t="n"/>
      <c r="CG225" s="12" t="n"/>
      <c r="CH225" s="12" t="n"/>
      <c r="CI225" s="12" t="n"/>
      <c r="CJ225" s="12" t="n"/>
      <c r="CK225" s="12" t="n"/>
      <c r="CL225" s="12" t="n"/>
      <c r="CM225" s="12" t="n"/>
      <c r="CN225" s="12" t="n"/>
      <c r="CO225" s="12" t="n"/>
      <c r="CP225" s="12" t="n"/>
      <c r="CQ225" s="12" t="n"/>
      <c r="CR225" s="12" t="n"/>
      <c r="CS225" s="12" t="n"/>
      <c r="CT225" s="12" t="n"/>
      <c r="CU225" s="12" t="n"/>
      <c r="CV225" s="12" t="n"/>
      <c r="CW225" s="12" t="n"/>
      <c r="CX225" s="12" t="n"/>
      <c r="CY225" s="12" t="n"/>
    </row>
    <row r="226">
      <c r="C226" s="14" t="inlineStr">
        <is>
          <t>Short term operating leases</t>
        </is>
      </c>
      <c r="D226" s="46" t="n"/>
      <c r="E226" s="46" t="n"/>
      <c r="F226" s="46" t="n"/>
      <c r="G226" s="46" t="n"/>
      <c r="H226" s="12" t="n"/>
      <c r="I226" s="46">
        <f>'Inputs (2)'!D34</f>
        <v>61.994</v>
      </c>
      <c r="J226" s="46">
        <f>'Inputs (2)'!E34</f>
        <v>67.678</v>
      </c>
      <c r="K226" s="46">
        <f>'Inputs (2)'!F34</f>
        <v>84.414</v>
      </c>
      <c r="L226" s="46">
        <f>'Inputs (2)'!G34</f>
        <v>103.044</v>
      </c>
      <c r="M226" s="12">
        <f>'Inputs (2)'!H34</f>
        <v>103.044</v>
      </c>
      <c r="N226" s="46">
        <f>'Inputs (2)'!I34</f>
        <v>108.267</v>
      </c>
      <c r="O226" s="46">
        <f>'Inputs (2)'!J34</f>
        <v>119.982</v>
      </c>
      <c r="P226" s="46">
        <f>'Inputs (2)'!K34</f>
        <v>134.853</v>
      </c>
      <c r="Q226" s="46">
        <f>'Inputs (2)'!L34</f>
        <v>137.485</v>
      </c>
      <c r="R226" s="12">
        <f>'Inputs (2)'!M34</f>
        <v>137.485</v>
      </c>
      <c r="S226" s="46">
        <f>'Inputs (2)'!N34</f>
        <v>133.72</v>
      </c>
      <c r="T226" s="46">
        <f>'Inputs (2)'!O34</f>
        <v>132.466</v>
      </c>
      <c r="U226" s="46">
        <f>'Inputs (2)'!P34</f>
        <v>140.545</v>
      </c>
      <c r="V226" s="46">
        <f>'Inputs (2)'!Q34</f>
        <v>155.635</v>
      </c>
      <c r="W226" s="12">
        <f>'Inputs (2)'!R34</f>
        <v>155.635</v>
      </c>
      <c r="X226" s="46">
        <f>'Inputs (2)'!S34</f>
        <v>159.147</v>
      </c>
      <c r="Y226" s="46">
        <f>'Inputs (2)'!T34</f>
        <v>171.944</v>
      </c>
      <c r="Z226" s="46">
        <f>'Inputs (2)'!U34</f>
        <v>180.835</v>
      </c>
      <c r="AA226" s="46">
        <f>'Inputs (2)'!V34</f>
        <v>167.348</v>
      </c>
      <c r="AB226" s="12">
        <f>'Inputs (2)'!W34</f>
        <v>167.348</v>
      </c>
      <c r="AC226" s="46">
        <f>'Inputs (2)'!X34</f>
        <v>153.154</v>
      </c>
      <c r="AD226" s="46">
        <f>'Inputs (2)'!Y34</f>
        <v>174.068</v>
      </c>
      <c r="AE226" s="46">
        <f>'Inputs (2)'!Z34</f>
        <v>180.979</v>
      </c>
      <c r="AF226" s="46">
        <f>'Inputs (2)'!AA34</f>
        <v>177.918</v>
      </c>
      <c r="AG226" s="12">
        <f>'Inputs (2)'!AB34</f>
        <v>177.918</v>
      </c>
      <c r="AH226" s="12">
        <f>'Inputs (2)'!AC34</f>
        <v>177.143</v>
      </c>
      <c r="AI226" s="12">
        <f>'Inputs (2)'!AD34</f>
        <v>200.687</v>
      </c>
      <c r="AJ226" s="12">
        <f>AI226</f>
        <v>200.687</v>
      </c>
      <c r="AK226" s="12">
        <f>AJ226</f>
        <v>200.687</v>
      </c>
      <c r="AL226" s="12">
        <f>AK226</f>
        <v>200.687</v>
      </c>
      <c r="AM226" s="12">
        <f>AL226</f>
        <v>200.687</v>
      </c>
      <c r="AN226" s="12">
        <f>AM226</f>
        <v>200.687</v>
      </c>
      <c r="AO226" s="12">
        <f>AN226</f>
        <v>200.687</v>
      </c>
      <c r="AP226" s="12">
        <f>AO226</f>
        <v>200.687</v>
      </c>
      <c r="AQ226" s="12">
        <f>AP226</f>
        <v>200.687</v>
      </c>
      <c r="AR226" s="12">
        <f>AQ226</f>
        <v>200.687</v>
      </c>
      <c r="AS226" s="12">
        <f>AR226</f>
        <v>200.687</v>
      </c>
      <c r="AT226" s="12">
        <f>AS226</f>
        <v>200.687</v>
      </c>
      <c r="AU226" s="12">
        <f>AT226</f>
        <v>200.687</v>
      </c>
      <c r="AV226" s="12">
        <f>AU226</f>
        <v>200.687</v>
      </c>
      <c r="AW226" s="12">
        <f>AV226</f>
        <v>200.687</v>
      </c>
      <c r="AX226" s="12">
        <f>AW226</f>
        <v>200.687</v>
      </c>
      <c r="AY226" s="12">
        <f>AX226</f>
        <v>200.687</v>
      </c>
      <c r="AZ226" s="12">
        <f>AY226</f>
        <v>200.687</v>
      </c>
      <c r="BA226" s="12">
        <f>AZ226</f>
        <v>200.687</v>
      </c>
      <c r="BB226" s="12">
        <f>BA226</f>
        <v>200.687</v>
      </c>
      <c r="BC226" s="12">
        <f>BB226</f>
        <v>200.687</v>
      </c>
      <c r="BD226" s="12">
        <f>BC226</f>
        <v>200.687</v>
      </c>
      <c r="BE226" s="12">
        <f>BD226</f>
        <v>200.687</v>
      </c>
      <c r="BF226" s="12">
        <f>BE226</f>
        <v>200.687</v>
      </c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  <c r="CU226" s="12" t="n"/>
      <c r="CV226" s="12" t="n"/>
      <c r="CW226" s="12" t="n"/>
      <c r="CX226" s="12" t="n"/>
      <c r="CY226" s="12" t="n"/>
    </row>
    <row r="227" hidden="1" outlineLevel="1">
      <c r="C227" s="59" t="inlineStr">
        <is>
          <t>%(Var.)</t>
        </is>
      </c>
      <c r="D227" s="12" t="n"/>
      <c r="E227" s="40" t="n"/>
      <c r="F227" s="40" t="n"/>
      <c r="G227" s="40" t="n"/>
      <c r="H227" s="12" t="n"/>
      <c r="I227" s="40" t="str">
        <f>""</f>
        <v/>
      </c>
      <c r="J227" s="40">
        <f>IFERROR(IF(I226=0,"",J226/I226-1),"")</f>
        <v>0.0916862922218278</v>
      </c>
      <c r="K227" s="40">
        <f>IFERROR(IF(J226=0,"",K226/J226-1),"")</f>
        <v>0.247288631460741</v>
      </c>
      <c r="L227" s="40">
        <f>IFERROR(IF(K226=0,"",L226/K226-1),"")</f>
        <v>0.220697988485322</v>
      </c>
      <c r="M227" s="12">
        <f>IF(L226=0,"",M226/L226-1)</f>
        <v>0</v>
      </c>
      <c r="N227" s="40">
        <f>IFERROR(IF(M226=0,"",N226/M226-1),"")</f>
        <v>0.0506870851286829</v>
      </c>
      <c r="O227" s="40">
        <f>IFERROR(IF(N226=0,"",O226/N226-1),"")</f>
        <v>0.108204716118485</v>
      </c>
      <c r="P227" s="40">
        <f>IFERROR(IF(O226=0,"",P226/O226-1),"")</f>
        <v>0.123943591538731</v>
      </c>
      <c r="Q227" s="40">
        <f>IFERROR(IF(P226=0,"",Q226/P226-1),"")</f>
        <v>0.0195175487382557</v>
      </c>
      <c r="R227" s="12">
        <f>IF(Q226=0,"",R226/Q226-1)</f>
        <v>0</v>
      </c>
      <c r="S227" s="40">
        <f>IFERROR(IF(R226=0,"",S226/R226-1),"")</f>
        <v>-0.0273848056151581</v>
      </c>
      <c r="T227" s="40">
        <f>IFERROR(IF(S226=0,"",T226/S226-1),"")</f>
        <v>-0.00937780436733471</v>
      </c>
      <c r="U227" s="40">
        <f>IFERROR(IF(T226=0,"",U226/T226-1),"")</f>
        <v>0.0609892349735024</v>
      </c>
      <c r="V227" s="40">
        <f>IFERROR(IF(U226=0,"",V226/U226-1),"")</f>
        <v>0.107367746984951</v>
      </c>
      <c r="W227" s="12">
        <f>IF(V226=0,"",W226/V226-1)</f>
        <v>0</v>
      </c>
      <c r="X227" s="40">
        <f>IFERROR(IF(W226=0,"",X226/W226-1),"")</f>
        <v>0.0225656182735245</v>
      </c>
      <c r="Y227" s="40">
        <f>IFERROR(IF(X226=0,"",Y226/X226-1),"")</f>
        <v>0.0804099354684662</v>
      </c>
      <c r="Z227" s="40">
        <f>IFERROR(IF(Y226=0,"",Z226/Y226-1),"")</f>
        <v>0.0517086958544644</v>
      </c>
      <c r="AA227" s="40">
        <f>IFERROR(IF(Z226=0,"",AA226/Z226-1),"")</f>
        <v>-0.0745818010893908</v>
      </c>
      <c r="AB227" s="12">
        <f>IF(AA226=0,"",AB226/AA226-1)</f>
        <v>0</v>
      </c>
      <c r="AC227" s="40">
        <f>IFERROR(IF(AB226=0,"",AC226/AB226-1),"")</f>
        <v>-0.0848172670124532</v>
      </c>
      <c r="AD227" s="40">
        <f>IFERROR(IF(AC226=0,"",AD226/AC226-1),"")</f>
        <v>0.136555362576231</v>
      </c>
      <c r="AE227" s="40">
        <f>IFERROR(IF(AD226=0,"",AE226/AD226-1),"")</f>
        <v>0.0397028747386079</v>
      </c>
      <c r="AF227" s="11">
        <f>IFERROR(IF(AE226=0,"",AF226/AE226-1),"")</f>
        <v>-0.0169135645572138</v>
      </c>
      <c r="AG227" s="12">
        <f>IF(AF226=0,"",AG226/AF226-1)</f>
        <v>0</v>
      </c>
      <c r="AH227" s="11">
        <f>IFERROR(IF(AG226=0,"",AH226/AG226-1),"")</f>
        <v>-0.00435593925291433</v>
      </c>
      <c r="AI227" s="11">
        <f>IFERROR(IF(AH226=0,"",AI226/AH226-1),"")</f>
        <v>0.132909570234218</v>
      </c>
      <c r="AJ227" s="11">
        <f>IFERROR(IF(AI226=0,"",AJ226/AI226-1),"")</f>
        <v>0</v>
      </c>
      <c r="AK227" s="11">
        <f>IFERROR(IF(AJ226=0,"",AK226/AJ226-1),"")</f>
        <v>0</v>
      </c>
      <c r="AL227" s="12">
        <f>IFERROR(IF(AK226=0,"",AL226/AK226-1),"")</f>
        <v>0</v>
      </c>
      <c r="AM227" s="11">
        <f>IFERROR(IF(AL226=0,"",AM226/AL226-1),"")</f>
        <v>0</v>
      </c>
      <c r="AN227" s="11">
        <f>IFERROR(IF(AM226=0,"",AN226/AM226-1),"")</f>
        <v>0</v>
      </c>
      <c r="AO227" s="11">
        <f>IFERROR(IF(AN226=0,"",AO226/AN226-1),"")</f>
        <v>0</v>
      </c>
      <c r="AP227" s="11">
        <f>IFERROR(IF(AO226=0,"",AP226/AO226-1),"")</f>
        <v>0</v>
      </c>
      <c r="AQ227" s="12">
        <f>IFERROR(IF(AP226=0,"",AQ226/AP226-1),"")</f>
        <v>0</v>
      </c>
      <c r="AR227" s="11">
        <f>IFERROR(IF(AQ226=0,"",AR226/AQ226-1),"")</f>
        <v>0</v>
      </c>
      <c r="AS227" s="11">
        <f>IFERROR(IF(AR226=0,"",AS226/AR226-1),"")</f>
        <v>0</v>
      </c>
      <c r="AT227" s="11">
        <f>IFERROR(IF(AS226=0,"",AT226/AS226-1),"")</f>
        <v>0</v>
      </c>
      <c r="AU227" s="11">
        <f>IFERROR(IF(AT226=0,"",AU226/AT226-1),"")</f>
        <v>0</v>
      </c>
      <c r="AV227" s="12">
        <f>IFERROR(IF(AU226=0,"",AV226/AU226-1),"")</f>
        <v>0</v>
      </c>
      <c r="AW227" s="11">
        <f>IFERROR(IF(AV226=0,"",AW226/AV226-1),"")</f>
        <v>0</v>
      </c>
      <c r="AX227" s="11">
        <f>IFERROR(IF(AW226=0,"",AX226/AW226-1),"")</f>
        <v>0</v>
      </c>
      <c r="AY227" s="11">
        <f>IFERROR(IF(AX226=0,"",AY226/AX226-1),"")</f>
        <v>0</v>
      </c>
      <c r="AZ227" s="11">
        <f>IFERROR(IF(AY226=0,"",AZ226/AY226-1),"")</f>
        <v>0</v>
      </c>
      <c r="BA227" s="12">
        <f>IFERROR(IF(AZ226=0,"",BA226/AZ226-1),"")</f>
        <v>0</v>
      </c>
      <c r="BB227" s="11">
        <f>IFERROR(IF(BA226=0,"",BB226/BA226-1),"")</f>
        <v>0</v>
      </c>
      <c r="BC227" s="11">
        <f>IFERROR(IF(BB226=0,"",BC226/BB226-1),"")</f>
        <v>0</v>
      </c>
      <c r="BD227" s="11">
        <f>IFERROR(IF(BC226=0,"",BD226/BC226-1),"")</f>
        <v>0</v>
      </c>
      <c r="BE227" s="11">
        <f>IFERROR(IF(BD226=0,"",BE226/BD226-1),"")</f>
        <v>0</v>
      </c>
      <c r="BF227" s="12">
        <f>IFERROR(IF(BE226=0,"",BF226/BE226-1),"")</f>
        <v>0</v>
      </c>
      <c r="BG227" s="11" t="n"/>
      <c r="BH227" s="11" t="n"/>
      <c r="BI227" s="11" t="n"/>
      <c r="BJ227" s="11" t="n"/>
      <c r="BK227" s="12" t="n"/>
      <c r="BL227" s="11" t="n"/>
      <c r="BM227" s="11" t="n"/>
      <c r="BN227" s="11" t="n"/>
      <c r="BO227" s="11" t="n"/>
      <c r="BP227" s="12" t="n"/>
      <c r="BQ227" s="11" t="n"/>
      <c r="BR227" s="11" t="n"/>
      <c r="BS227" s="11" t="n"/>
      <c r="BT227" s="11" t="n"/>
      <c r="BU227" s="12" t="n"/>
      <c r="BV227" s="11" t="n"/>
      <c r="BW227" s="11" t="n"/>
      <c r="BX227" s="11" t="n"/>
      <c r="BY227" s="11" t="n"/>
      <c r="BZ227" s="12" t="n"/>
      <c r="CA227" s="11" t="n"/>
      <c r="CB227" s="11" t="n"/>
      <c r="CC227" s="11" t="n"/>
      <c r="CD227" s="11" t="n"/>
      <c r="CE227" s="12" t="n"/>
      <c r="CF227" s="11" t="n"/>
      <c r="CG227" s="11" t="n"/>
      <c r="CH227" s="11" t="n"/>
      <c r="CI227" s="11" t="n"/>
      <c r="CJ227" s="12" t="n"/>
      <c r="CK227" s="11" t="n"/>
      <c r="CL227" s="11" t="n"/>
      <c r="CM227" s="11" t="n"/>
      <c r="CN227" s="11" t="n"/>
      <c r="CO227" s="12" t="n"/>
      <c r="CP227" s="11" t="n"/>
      <c r="CQ227" s="11" t="n"/>
      <c r="CR227" s="11" t="n"/>
      <c r="CS227" s="11" t="n"/>
      <c r="CT227" s="12" t="n"/>
      <c r="CU227" s="11" t="n"/>
      <c r="CV227" s="11" t="n"/>
      <c r="CW227" s="11" t="n"/>
      <c r="CX227" s="11" t="n"/>
      <c r="CY227" s="12" t="n"/>
    </row>
    <row r="228" hidden="1" outlineLevel="1">
      <c r="C228" s="57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  <c r="AL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12" t="n"/>
      <c r="AY228" s="12" t="n"/>
      <c r="AZ228" s="12" t="n"/>
      <c r="BA228" s="12" t="n"/>
      <c r="BB228" s="12" t="n"/>
      <c r="BC228" s="12" t="n"/>
      <c r="BD228" s="12" t="n"/>
      <c r="BE228" s="12" t="n"/>
      <c r="BF228" s="12" t="n"/>
      <c r="BG228" s="12" t="n"/>
      <c r="BH228" s="12" t="n"/>
      <c r="BI228" s="12" t="n"/>
      <c r="BJ228" s="12" t="n"/>
      <c r="BK228" s="12" t="n"/>
      <c r="BL228" s="12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  <c r="CA228" s="12" t="n"/>
      <c r="CB228" s="12" t="n"/>
      <c r="CC228" s="12" t="n"/>
      <c r="CD228" s="12" t="n"/>
      <c r="CE228" s="12" t="n"/>
      <c r="CF228" s="12" t="n"/>
      <c r="CG228" s="12" t="n"/>
      <c r="CH228" s="12" t="n"/>
      <c r="CI228" s="12" t="n"/>
      <c r="CJ228" s="12" t="n"/>
      <c r="CK228" s="12" t="n"/>
      <c r="CL228" s="12" t="n"/>
      <c r="CM228" s="12" t="n"/>
      <c r="CN228" s="12" t="n"/>
      <c r="CO228" s="12" t="n"/>
      <c r="CP228" s="12" t="n"/>
      <c r="CQ228" s="12" t="n"/>
      <c r="CR228" s="12" t="n"/>
      <c r="CS228" s="12" t="n"/>
      <c r="CT228" s="12" t="n"/>
      <c r="CU228" s="12" t="n"/>
      <c r="CV228" s="12" t="n"/>
      <c r="CW228" s="12" t="n"/>
      <c r="CX228" s="12" t="n"/>
      <c r="CY228" s="12" t="n"/>
    </row>
    <row r="229" collapsed="1">
      <c r="C229" s="14" t="inlineStr">
        <is>
          <t>Long term debt</t>
        </is>
      </c>
      <c r="D229" s="46" t="n"/>
      <c r="E229" s="46" t="n"/>
      <c r="F229" s="46" t="n"/>
      <c r="G229" s="46" t="n"/>
      <c r="H229" s="12" t="n"/>
      <c r="I229" s="46">
        <f>'Inputs (2)'!D35</f>
        <v>8203.488</v>
      </c>
      <c r="J229" s="46">
        <f>'Inputs (2)'!E35</f>
        <v>8464.418</v>
      </c>
      <c r="K229" s="46">
        <f>'Inputs (2)'!F35</f>
        <v>13131.62</v>
      </c>
      <c r="L229" s="46">
        <f>'Inputs (2)'!G35</f>
        <v>13702.59</v>
      </c>
      <c r="M229" s="12">
        <f>'Inputs (2)'!H35</f>
        <v>13702.59</v>
      </c>
      <c r="N229" s="46">
        <f>'Inputs (2)'!I35</f>
        <v>12736.927</v>
      </c>
      <c r="O229" s="46">
        <f>'Inputs (2)'!J35</f>
        <v>14358.853</v>
      </c>
      <c r="P229" s="46">
        <f>'Inputs (2)'!K35</f>
        <v>18023.587</v>
      </c>
      <c r="Q229" s="46">
        <f>'Inputs (2)'!L35</f>
        <v>15344.591</v>
      </c>
      <c r="R229" s="12">
        <f>'Inputs (2)'!M35</f>
        <v>15344.591</v>
      </c>
      <c r="S229" s="46">
        <f>'Inputs (2)'!N35</f>
        <v>13834.704</v>
      </c>
      <c r="T229" s="46">
        <f>'Inputs (2)'!O35</f>
        <v>12667.831</v>
      </c>
      <c r="U229" s="46">
        <f>'Inputs (2)'!P35</f>
        <v>12513.148</v>
      </c>
      <c r="V229" s="46">
        <f>'Inputs (2)'!Q35</f>
        <v>13681.587</v>
      </c>
      <c r="W229" s="12">
        <f>'Inputs (2)'!R35</f>
        <v>13681.587</v>
      </c>
      <c r="X229" s="46">
        <f>'Inputs (2)'!S35</f>
        <v>14365.522</v>
      </c>
      <c r="Y229" s="46">
        <f>'Inputs (2)'!T35</f>
        <v>16265.642</v>
      </c>
      <c r="Z229" s="46">
        <f>'Inputs (2)'!U35</f>
        <v>16720.378</v>
      </c>
      <c r="AA229" s="46">
        <f>'Inputs (2)'!V35</f>
        <v>17700.013</v>
      </c>
      <c r="AB229" s="12">
        <f>'Inputs (2)'!W35</f>
        <v>17700.013</v>
      </c>
      <c r="AC229" s="46">
        <f>'Inputs (2)'!X35</f>
        <v>16803.695</v>
      </c>
      <c r="AD229" s="46">
        <f>'Inputs (2)'!Y35</f>
        <v>15607.835</v>
      </c>
      <c r="AE229" s="46">
        <f>'Inputs (2)'!Z35</f>
        <v>14401.086</v>
      </c>
      <c r="AF229" s="46">
        <f>'Inputs (2)'!AA35</f>
        <v>17095.632</v>
      </c>
      <c r="AG229" s="12">
        <f>'Inputs (2)'!AB35</f>
        <v>17095.632</v>
      </c>
      <c r="AH229" s="12">
        <f>'Inputs (2)'!AC35</f>
        <v>19728.73</v>
      </c>
      <c r="AI229" s="12">
        <f>'Inputs (2)'!AD35</f>
        <v>20325.969</v>
      </c>
      <c r="AJ229" s="12">
        <f>AJ235</f>
        <v>20325.969</v>
      </c>
      <c r="AK229" s="12">
        <f>AK235</f>
        <v>20325.969</v>
      </c>
      <c r="AL229" s="12">
        <f>AK229</f>
        <v>20325.969</v>
      </c>
      <c r="AM229" s="12">
        <f>AM235</f>
        <v>20325.969</v>
      </c>
      <c r="AN229" s="12">
        <f>AN235</f>
        <v>20325.969</v>
      </c>
      <c r="AO229" s="12">
        <f>AO235</f>
        <v>20325.969</v>
      </c>
      <c r="AP229" s="12">
        <f>AP235</f>
        <v>20325.969</v>
      </c>
      <c r="AQ229" s="12">
        <f>AP229</f>
        <v>20325.969</v>
      </c>
      <c r="AR229" s="12">
        <f>AR235</f>
        <v>20325.969</v>
      </c>
      <c r="AS229" s="12">
        <f>AS235</f>
        <v>20325.969</v>
      </c>
      <c r="AT229" s="12">
        <f>AT235</f>
        <v>20325.969</v>
      </c>
      <c r="AU229" s="12">
        <f>AU235</f>
        <v>20325.969</v>
      </c>
      <c r="AV229" s="12">
        <f>AU229</f>
        <v>20325.969</v>
      </c>
      <c r="AW229" s="12">
        <f>AW235</f>
        <v>20325.969</v>
      </c>
      <c r="AX229" s="12">
        <f>AX235</f>
        <v>20325.969</v>
      </c>
      <c r="AY229" s="12">
        <f>AY235</f>
        <v>20325.969</v>
      </c>
      <c r="AZ229" s="12">
        <f>AZ235</f>
        <v>20325.969</v>
      </c>
      <c r="BA229" s="12">
        <f>AZ229</f>
        <v>20325.969</v>
      </c>
      <c r="BB229" s="12">
        <f>BB235</f>
        <v>20325.969</v>
      </c>
      <c r="BC229" s="12">
        <f>BC235</f>
        <v>20325.969</v>
      </c>
      <c r="BD229" s="12">
        <f>BD235</f>
        <v>20325.969</v>
      </c>
      <c r="BE229" s="12">
        <f>BE235</f>
        <v>20325.969</v>
      </c>
      <c r="BF229" s="12">
        <f>BE229</f>
        <v>20325.969</v>
      </c>
      <c r="BG229" s="12" t="n"/>
      <c r="BH229" s="12" t="n"/>
      <c r="BI229" s="12" t="n"/>
      <c r="BJ229" s="12" t="n"/>
      <c r="BK229" s="12" t="n"/>
      <c r="BL229" s="12" t="n"/>
      <c r="BM229" s="12" t="n"/>
      <c r="BN229" s="12" t="n"/>
      <c r="BO229" s="12" t="n"/>
      <c r="BP229" s="12" t="n"/>
      <c r="BQ229" s="12" t="n"/>
      <c r="BR229" s="12" t="n"/>
      <c r="BS229" s="12" t="n"/>
      <c r="BT229" s="12" t="n"/>
      <c r="BU229" s="12" t="n"/>
      <c r="BV229" s="12" t="n"/>
      <c r="BW229" s="12" t="n"/>
      <c r="BX229" s="12" t="n"/>
      <c r="BY229" s="12" t="n"/>
      <c r="BZ229" s="12" t="n"/>
      <c r="CA229" s="12" t="n"/>
      <c r="CB229" s="12" t="n"/>
      <c r="CC229" s="12" t="n"/>
      <c r="CD229" s="12" t="n"/>
      <c r="CE229" s="12" t="n"/>
      <c r="CF229" s="12" t="n"/>
      <c r="CG229" s="12" t="n"/>
      <c r="CH229" s="12" t="n"/>
      <c r="CI229" s="12" t="n"/>
      <c r="CJ229" s="12" t="n"/>
      <c r="CK229" s="12" t="n"/>
      <c r="CL229" s="12" t="n"/>
      <c r="CM229" s="12" t="n"/>
      <c r="CN229" s="12" t="n"/>
      <c r="CO229" s="12" t="n"/>
      <c r="CP229" s="12" t="n"/>
      <c r="CQ229" s="12" t="n"/>
      <c r="CR229" s="12" t="n"/>
      <c r="CS229" s="12" t="n"/>
      <c r="CT229" s="12" t="n"/>
      <c r="CU229" s="12" t="n"/>
      <c r="CV229" s="12" t="n"/>
      <c r="CW229" s="12" t="n"/>
      <c r="CX229" s="12" t="n"/>
      <c r="CY229" s="12" t="n"/>
    </row>
    <row r="230" hidden="1" outlineLevel="1">
      <c r="C230" s="57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2" t="n"/>
      <c r="AK230" s="12" t="n"/>
      <c r="AL230" s="12" t="n"/>
      <c r="AM230" s="12" t="n"/>
      <c r="AN230" s="12" t="n"/>
      <c r="AO230" s="12" t="n"/>
      <c r="AP230" s="12" t="n"/>
      <c r="AQ230" s="12" t="n"/>
      <c r="AR230" s="12" t="n"/>
      <c r="AS230" s="12" t="n"/>
      <c r="AT230" s="12" t="n"/>
      <c r="AU230" s="12" t="n"/>
      <c r="AV230" s="12" t="n"/>
      <c r="AW230" s="12" t="n"/>
      <c r="AX230" s="12" t="n"/>
      <c r="AY230" s="12" t="n"/>
      <c r="AZ230" s="12" t="n"/>
      <c r="BA230" s="12" t="n"/>
      <c r="BB230" s="12" t="n"/>
      <c r="BC230" s="12" t="n"/>
      <c r="BD230" s="12" t="n"/>
      <c r="BE230" s="12" t="n"/>
      <c r="BF230" s="12" t="n"/>
      <c r="BG230" s="12" t="n"/>
      <c r="BH230" s="12" t="n"/>
      <c r="BI230" s="12" t="n"/>
      <c r="BJ230" s="12" t="n"/>
      <c r="BK230" s="12" t="n"/>
      <c r="BL230" s="12" t="n"/>
      <c r="BM230" s="12" t="n"/>
      <c r="BN230" s="12" t="n"/>
      <c r="BO230" s="12" t="n"/>
      <c r="BP230" s="12" t="n"/>
      <c r="BQ230" s="12" t="n"/>
      <c r="BR230" s="12" t="n"/>
      <c r="BS230" s="12" t="n"/>
      <c r="BT230" s="12" t="n"/>
      <c r="BU230" s="12" t="n"/>
      <c r="BV230" s="12" t="n"/>
      <c r="BW230" s="12" t="n"/>
      <c r="BX230" s="12" t="n"/>
      <c r="BY230" s="12" t="n"/>
      <c r="BZ230" s="12" t="n"/>
      <c r="CA230" s="12" t="n"/>
      <c r="CB230" s="12" t="n"/>
      <c r="CC230" s="12" t="n"/>
      <c r="CD230" s="12" t="n"/>
      <c r="CE230" s="12" t="n"/>
      <c r="CF230" s="12" t="n"/>
      <c r="CG230" s="12" t="n"/>
      <c r="CH230" s="12" t="n"/>
      <c r="CI230" s="12" t="n"/>
      <c r="CJ230" s="12" t="n"/>
      <c r="CK230" s="12" t="n"/>
      <c r="CL230" s="12" t="n"/>
      <c r="CM230" s="12" t="n"/>
      <c r="CN230" s="12" t="n"/>
      <c r="CO230" s="12" t="n"/>
      <c r="CP230" s="12" t="n"/>
      <c r="CQ230" s="12" t="n"/>
      <c r="CR230" s="12" t="n"/>
      <c r="CS230" s="12" t="n"/>
      <c r="CT230" s="12" t="n"/>
      <c r="CU230" s="12" t="n"/>
      <c r="CV230" s="12" t="n"/>
      <c r="CW230" s="12" t="n"/>
      <c r="CX230" s="12" t="n"/>
      <c r="CY230" s="12" t="n"/>
    </row>
    <row r="231" hidden="1" outlineLevel="1">
      <c r="C231" s="57" t="inlineStr">
        <is>
          <t>Current portion of LTD</t>
        </is>
      </c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>
        <f>AF224</f>
        <v>4142.338</v>
      </c>
      <c r="AI231" s="62" t="n"/>
      <c r="AJ231" s="62" t="n"/>
      <c r="AK231" s="62" t="n"/>
      <c r="AL231" s="12" t="n"/>
      <c r="AM231" s="12">
        <f>AK224</f>
        <v>2782.282</v>
      </c>
      <c r="AN231" s="62" t="n"/>
      <c r="AO231" s="62" t="n"/>
      <c r="AP231" s="62" t="n"/>
      <c r="AQ231" s="12" t="n"/>
      <c r="AR231" s="12">
        <f>AP224</f>
        <v>2782.282</v>
      </c>
      <c r="AS231" s="62" t="n"/>
      <c r="AT231" s="62" t="n"/>
      <c r="AU231" s="62" t="n"/>
      <c r="AV231" s="12" t="n"/>
      <c r="AW231" s="12">
        <f>AU224</f>
        <v>2782.282</v>
      </c>
      <c r="AX231" s="62" t="n"/>
      <c r="AY231" s="62" t="n"/>
      <c r="AZ231" s="62" t="n"/>
      <c r="BA231" s="12" t="n"/>
      <c r="BB231" s="12">
        <f>AZ224</f>
        <v>2782.282</v>
      </c>
      <c r="BC231" s="62" t="n"/>
      <c r="BD231" s="62" t="n"/>
      <c r="BE231" s="62" t="n"/>
      <c r="BF231" s="12" t="n"/>
      <c r="BG231" s="12" t="n"/>
      <c r="BH231" s="62" t="n"/>
      <c r="BI231" s="62" t="n"/>
      <c r="BJ231" s="62" t="n"/>
      <c r="BK231" s="12" t="n"/>
      <c r="BL231" s="12" t="n"/>
      <c r="BM231" s="62" t="n"/>
      <c r="BN231" s="62" t="n"/>
      <c r="BO231" s="62" t="n"/>
      <c r="BP231" s="12" t="n"/>
      <c r="BQ231" s="12" t="n"/>
      <c r="BR231" s="62" t="n"/>
      <c r="BS231" s="62" t="n"/>
      <c r="BT231" s="62" t="n"/>
      <c r="BU231" s="12" t="n"/>
      <c r="BV231" s="12" t="n"/>
      <c r="BW231" s="62" t="n"/>
      <c r="BX231" s="62" t="n"/>
      <c r="BY231" s="62" t="n"/>
      <c r="BZ231" s="12" t="n"/>
      <c r="CA231" s="12" t="n"/>
      <c r="CB231" s="62" t="n"/>
      <c r="CC231" s="62" t="n"/>
      <c r="CD231" s="62" t="n"/>
      <c r="CE231" s="12" t="n"/>
      <c r="CF231" s="12" t="n"/>
      <c r="CG231" s="62" t="n"/>
      <c r="CH231" s="62" t="n"/>
      <c r="CI231" s="62" t="n"/>
      <c r="CJ231" s="12" t="n"/>
      <c r="CK231" s="12" t="n"/>
      <c r="CL231" s="62" t="n"/>
      <c r="CM231" s="62" t="n"/>
      <c r="CN231" s="62" t="n"/>
      <c r="CO231" s="12" t="n"/>
      <c r="CP231" s="12" t="n"/>
      <c r="CQ231" s="62" t="n"/>
      <c r="CR231" s="62" t="n"/>
      <c r="CS231" s="62" t="n"/>
      <c r="CT231" s="12" t="n"/>
      <c r="CU231" s="12" t="n"/>
      <c r="CV231" s="62" t="n"/>
      <c r="CW231" s="62" t="n"/>
      <c r="CX231" s="62" t="n"/>
      <c r="CY231" s="12" t="n"/>
    </row>
    <row r="232" hidden="1" outlineLevel="1">
      <c r="C232" s="57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12" t="n"/>
      <c r="AJ232" s="12" t="n"/>
      <c r="AK232" s="12" t="n"/>
      <c r="AL232" s="12" t="n"/>
      <c r="AM232" s="12" t="n"/>
      <c r="AN232" s="12" t="n"/>
      <c r="AO232" s="12" t="n"/>
      <c r="AP232" s="12" t="n"/>
      <c r="AQ232" s="12" t="n"/>
      <c r="AR232" s="12" t="n"/>
      <c r="AS232" s="12" t="n"/>
      <c r="AT232" s="12" t="n"/>
      <c r="AU232" s="12" t="n"/>
      <c r="AV232" s="12" t="n"/>
      <c r="AW232" s="12" t="n"/>
      <c r="AX232" s="12" t="n"/>
      <c r="AY232" s="12" t="n"/>
      <c r="AZ232" s="12" t="n"/>
      <c r="BA232" s="12" t="n"/>
      <c r="BB232" s="12" t="n"/>
      <c r="BC232" s="12" t="n"/>
      <c r="BD232" s="12" t="n"/>
      <c r="BE232" s="12" t="n"/>
      <c r="BF232" s="12" t="n"/>
      <c r="BG232" s="12" t="n"/>
      <c r="BH232" s="12" t="n"/>
      <c r="BI232" s="12" t="n"/>
      <c r="BJ232" s="12" t="n"/>
      <c r="BK232" s="12" t="n"/>
      <c r="BL232" s="12" t="n"/>
      <c r="BM232" s="12" t="n"/>
      <c r="BN232" s="12" t="n"/>
      <c r="BO232" s="12" t="n"/>
      <c r="BP232" s="12" t="n"/>
      <c r="BQ232" s="12" t="n"/>
      <c r="BR232" s="12" t="n"/>
      <c r="BS232" s="12" t="n"/>
      <c r="BT232" s="12" t="n"/>
      <c r="BU232" s="12" t="n"/>
      <c r="BV232" s="12" t="n"/>
      <c r="BW232" s="12" t="n"/>
      <c r="BX232" s="12" t="n"/>
      <c r="BY232" s="12" t="n"/>
      <c r="BZ232" s="12" t="n"/>
      <c r="CA232" s="12" t="n"/>
      <c r="CB232" s="12" t="n"/>
      <c r="CC232" s="12" t="n"/>
      <c r="CD232" s="12" t="n"/>
      <c r="CE232" s="12" t="n"/>
      <c r="CF232" s="12" t="n"/>
      <c r="CG232" s="12" t="n"/>
      <c r="CH232" s="12" t="n"/>
      <c r="CI232" s="12" t="n"/>
      <c r="CJ232" s="12" t="n"/>
      <c r="CK232" s="12" t="n"/>
      <c r="CL232" s="12" t="n"/>
      <c r="CM232" s="12" t="n"/>
      <c r="CN232" s="12" t="n"/>
      <c r="CO232" s="12" t="n"/>
      <c r="CP232" s="12" t="n"/>
      <c r="CQ232" s="12" t="n"/>
      <c r="CR232" s="12" t="n"/>
      <c r="CS232" s="12" t="n"/>
      <c r="CT232" s="12" t="n"/>
      <c r="CU232" s="12" t="n"/>
      <c r="CV232" s="12" t="n"/>
      <c r="CW232" s="12" t="n"/>
      <c r="CX232" s="12" t="n"/>
      <c r="CY232" s="12" t="n"/>
    </row>
    <row r="233" hidden="1" outlineLevel="1">
      <c r="C233" s="57" t="inlineStr">
        <is>
          <t>Reclassification of LTD to CP of LTD</t>
        </is>
      </c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 t="n"/>
      <c r="AI233" s="12">
        <f>-AI231</f>
        <v>0</v>
      </c>
      <c r="AJ233" s="12">
        <f>-AJ231</f>
        <v>0</v>
      </c>
      <c r="AK233" s="12">
        <f>-AK231</f>
        <v>0</v>
      </c>
      <c r="AL233" s="12" t="n"/>
      <c r="AM233" s="12" t="n"/>
      <c r="AN233" s="12">
        <f>-AN231</f>
        <v>0</v>
      </c>
      <c r="AO233" s="12">
        <f>-AO231</f>
        <v>0</v>
      </c>
      <c r="AP233" s="12">
        <f>-AP231</f>
        <v>0</v>
      </c>
      <c r="AQ233" s="12" t="n"/>
      <c r="AR233" s="12" t="n"/>
      <c r="AS233" s="12">
        <f>-AS231</f>
        <v>0</v>
      </c>
      <c r="AT233" s="12">
        <f>-AT231</f>
        <v>0</v>
      </c>
      <c r="AU233" s="12">
        <f>-AU231</f>
        <v>0</v>
      </c>
      <c r="AV233" s="12" t="n"/>
      <c r="AW233" s="12" t="n"/>
      <c r="AX233" s="12">
        <f>-AX231</f>
        <v>0</v>
      </c>
      <c r="AY233" s="12">
        <f>-AY231</f>
        <v>0</v>
      </c>
      <c r="AZ233" s="12">
        <f>-AZ231</f>
        <v>0</v>
      </c>
      <c r="BA233" s="12" t="n"/>
      <c r="BB233" s="12" t="n"/>
      <c r="BC233" s="12">
        <f>-BC231</f>
        <v>0</v>
      </c>
      <c r="BD233" s="12">
        <f>-BD231</f>
        <v>0</v>
      </c>
      <c r="BE233" s="12">
        <f>-BE231</f>
        <v>0</v>
      </c>
      <c r="BF233" s="12" t="n"/>
      <c r="BG233" s="12" t="n"/>
      <c r="BH233" s="12" t="n"/>
      <c r="BI233" s="12" t="n"/>
      <c r="BJ233" s="12" t="n"/>
      <c r="BK233" s="12" t="n"/>
      <c r="BL233" s="12" t="n"/>
      <c r="BM233" s="12" t="n"/>
      <c r="BN233" s="12" t="n"/>
      <c r="BO233" s="12" t="n"/>
      <c r="BP233" s="12" t="n"/>
      <c r="BQ233" s="12" t="n"/>
      <c r="BR233" s="12" t="n"/>
      <c r="BS233" s="12" t="n"/>
      <c r="BT233" s="12" t="n"/>
      <c r="BU233" s="12" t="n"/>
      <c r="BV233" s="12" t="n"/>
      <c r="BW233" s="12" t="n"/>
      <c r="BX233" s="12" t="n"/>
      <c r="BY233" s="12" t="n"/>
      <c r="BZ233" s="12" t="n"/>
      <c r="CA233" s="12" t="n"/>
      <c r="CB233" s="12" t="n"/>
      <c r="CC233" s="12" t="n"/>
      <c r="CD233" s="12" t="n"/>
      <c r="CE233" s="12" t="n"/>
      <c r="CF233" s="12" t="n"/>
      <c r="CG233" s="12" t="n"/>
      <c r="CH233" s="12" t="n"/>
      <c r="CI233" s="12" t="n"/>
      <c r="CJ233" s="12" t="n"/>
      <c r="CK233" s="12" t="n"/>
      <c r="CL233" s="12" t="n"/>
      <c r="CM233" s="12" t="n"/>
      <c r="CN233" s="12" t="n"/>
      <c r="CO233" s="12" t="n"/>
      <c r="CP233" s="12" t="n"/>
      <c r="CQ233" s="12" t="n"/>
      <c r="CR233" s="12" t="n"/>
      <c r="CS233" s="12" t="n"/>
      <c r="CT233" s="12" t="n"/>
      <c r="CU233" s="12" t="n"/>
      <c r="CV233" s="12" t="n"/>
      <c r="CW233" s="12" t="n"/>
      <c r="CX233" s="12" t="n"/>
      <c r="CY233" s="12" t="n"/>
    </row>
    <row r="234" hidden="1" outlineLevel="1">
      <c r="C234" s="57" t="inlineStr">
        <is>
          <t>Discretionary (paydown)/borrowing of long term debt</t>
        </is>
      </c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62" t="n"/>
      <c r="AI234" s="62" t="n"/>
      <c r="AJ234" s="62" t="n"/>
      <c r="AK234" s="62" t="n"/>
      <c r="AL234" s="12" t="n"/>
      <c r="AM234" s="62" t="n"/>
      <c r="AN234" s="62" t="n"/>
      <c r="AO234" s="62" t="n"/>
      <c r="AP234" s="62" t="n"/>
      <c r="AQ234" s="12" t="n"/>
      <c r="AR234" s="62" t="n"/>
      <c r="AS234" s="62" t="n"/>
      <c r="AT234" s="62" t="n"/>
      <c r="AU234" s="62" t="n"/>
      <c r="AV234" s="12" t="n"/>
      <c r="AW234" s="62" t="n"/>
      <c r="AX234" s="62" t="n"/>
      <c r="AY234" s="62" t="n"/>
      <c r="AZ234" s="62" t="n"/>
      <c r="BA234" s="12" t="n"/>
      <c r="BB234" s="62" t="n"/>
      <c r="BC234" s="62" t="n"/>
      <c r="BD234" s="62" t="n"/>
      <c r="BE234" s="62" t="n"/>
      <c r="BF234" s="12" t="n"/>
      <c r="BG234" s="62" t="n"/>
      <c r="BH234" s="62" t="n"/>
      <c r="BI234" s="62" t="n"/>
      <c r="BJ234" s="62" t="n"/>
      <c r="BK234" s="12" t="n"/>
      <c r="BL234" s="62" t="n"/>
      <c r="BM234" s="62" t="n"/>
      <c r="BN234" s="62" t="n"/>
      <c r="BO234" s="62" t="n"/>
      <c r="BP234" s="12" t="n"/>
      <c r="BQ234" s="62" t="n"/>
      <c r="BR234" s="62" t="n"/>
      <c r="BS234" s="62" t="n"/>
      <c r="BT234" s="62" t="n"/>
      <c r="BU234" s="12" t="n"/>
      <c r="BV234" s="62" t="n"/>
      <c r="BW234" s="62" t="n"/>
      <c r="BX234" s="62" t="n"/>
      <c r="BY234" s="62" t="n"/>
      <c r="BZ234" s="12" t="n"/>
      <c r="CA234" s="62" t="n"/>
      <c r="CB234" s="62" t="n"/>
      <c r="CC234" s="62" t="n"/>
      <c r="CD234" s="62" t="n"/>
      <c r="CE234" s="12" t="n"/>
      <c r="CF234" s="62" t="n"/>
      <c r="CG234" s="62" t="n"/>
      <c r="CH234" s="62" t="n"/>
      <c r="CI234" s="62" t="n"/>
      <c r="CJ234" s="12" t="n"/>
      <c r="CK234" s="62" t="n"/>
      <c r="CL234" s="62" t="n"/>
      <c r="CM234" s="62" t="n"/>
      <c r="CN234" s="62" t="n"/>
      <c r="CO234" s="12" t="n"/>
      <c r="CP234" s="62" t="n"/>
      <c r="CQ234" s="62" t="n"/>
      <c r="CR234" s="62" t="n"/>
      <c r="CS234" s="62" t="n"/>
      <c r="CT234" s="12" t="n"/>
      <c r="CU234" s="62" t="n"/>
      <c r="CV234" s="62" t="n"/>
      <c r="CW234" s="62" t="n"/>
      <c r="CX234" s="62" t="n"/>
      <c r="CY234" s="12" t="n"/>
    </row>
    <row r="235" hidden="1" outlineLevel="1">
      <c r="C235" s="57" t="inlineStr">
        <is>
          <t>Long term debt</t>
        </is>
      </c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  <c r="AH235" s="12">
        <f>AH229</f>
        <v>19728.73</v>
      </c>
      <c r="AI235" s="12">
        <f>AI229</f>
        <v>20325.969</v>
      </c>
      <c r="AJ235" s="12">
        <f>AI235+SUM(AJ233:AJ234)</f>
        <v>20325.969</v>
      </c>
      <c r="AK235" s="12">
        <f>AJ235+SUM(AK233:AK234)</f>
        <v>20325.969</v>
      </c>
      <c r="AL235" s="12" t="n"/>
      <c r="AM235" s="12">
        <f>AK235+SUM(AM233:AM234)</f>
        <v>20325.969</v>
      </c>
      <c r="AN235" s="12">
        <f>AM235+SUM(AN233:AN234)</f>
        <v>20325.969</v>
      </c>
      <c r="AO235" s="12">
        <f>AN235+SUM(AO233:AO234)</f>
        <v>20325.969</v>
      </c>
      <c r="AP235" s="12">
        <f>AO235+SUM(AP233:AP234)</f>
        <v>20325.969</v>
      </c>
      <c r="AQ235" s="12" t="n"/>
      <c r="AR235" s="12">
        <f>AP235+SUM(AR233:AR234)</f>
        <v>20325.969</v>
      </c>
      <c r="AS235" s="12">
        <f>AR235+SUM(AS233:AS234)</f>
        <v>20325.969</v>
      </c>
      <c r="AT235" s="12">
        <f>AS235+SUM(AT233:AT234)</f>
        <v>20325.969</v>
      </c>
      <c r="AU235" s="12">
        <f>AT235+SUM(AU233:AU234)</f>
        <v>20325.969</v>
      </c>
      <c r="AV235" s="12" t="n"/>
      <c r="AW235" s="12">
        <f>AU235+SUM(AW233:AW234)</f>
        <v>20325.969</v>
      </c>
      <c r="AX235" s="12">
        <f>AW235+SUM(AX233:AX234)</f>
        <v>20325.969</v>
      </c>
      <c r="AY235" s="12">
        <f>AX235+SUM(AY233:AY234)</f>
        <v>20325.969</v>
      </c>
      <c r="AZ235" s="12">
        <f>AY235+SUM(AZ233:AZ234)</f>
        <v>20325.969</v>
      </c>
      <c r="BA235" s="12" t="n"/>
      <c r="BB235" s="12">
        <f>AZ235+SUM(BB233:BB234)</f>
        <v>20325.969</v>
      </c>
      <c r="BC235" s="12">
        <f>BB235+SUM(BC233:BC234)</f>
        <v>20325.969</v>
      </c>
      <c r="BD235" s="12">
        <f>BC235+SUM(BD233:BD234)</f>
        <v>20325.969</v>
      </c>
      <c r="BE235" s="12">
        <f>BD235+SUM(BE233:BE234)</f>
        <v>20325.969</v>
      </c>
      <c r="BF235" s="12" t="n"/>
      <c r="BG235" s="12" t="n"/>
      <c r="BH235" s="12" t="n"/>
      <c r="BI235" s="12" t="n"/>
      <c r="BJ235" s="12" t="n"/>
      <c r="BK235" s="12" t="n"/>
      <c r="BL235" s="12" t="n"/>
      <c r="BM235" s="12" t="n"/>
      <c r="BN235" s="12" t="n"/>
      <c r="BO235" s="12" t="n"/>
      <c r="BP235" s="12" t="n"/>
      <c r="BQ235" s="12" t="n"/>
      <c r="BR235" s="12" t="n"/>
      <c r="BS235" s="12" t="n"/>
      <c r="BT235" s="12" t="n"/>
      <c r="BU235" s="12" t="n"/>
      <c r="BV235" s="12" t="n"/>
      <c r="BW235" s="12" t="n"/>
      <c r="BX235" s="12" t="n"/>
      <c r="BY235" s="12" t="n"/>
      <c r="BZ235" s="12" t="n"/>
      <c r="CA235" s="12" t="n"/>
      <c r="CB235" s="12" t="n"/>
      <c r="CC235" s="12" t="n"/>
      <c r="CD235" s="12" t="n"/>
      <c r="CE235" s="12" t="n"/>
      <c r="CF235" s="12" t="n"/>
      <c r="CG235" s="12" t="n"/>
      <c r="CH235" s="12" t="n"/>
      <c r="CI235" s="12" t="n"/>
      <c r="CJ235" s="12" t="n"/>
      <c r="CK235" s="12" t="n"/>
      <c r="CL235" s="12" t="n"/>
      <c r="CM235" s="12" t="n"/>
      <c r="CN235" s="12" t="n"/>
      <c r="CO235" s="12" t="n"/>
      <c r="CP235" s="12" t="n"/>
      <c r="CQ235" s="12" t="n"/>
      <c r="CR235" s="12" t="n"/>
      <c r="CS235" s="12" t="n"/>
      <c r="CT235" s="12" t="n"/>
      <c r="CU235" s="12" t="n"/>
      <c r="CV235" s="12" t="n"/>
      <c r="CW235" s="12" t="n"/>
      <c r="CX235" s="12" t="n"/>
      <c r="CY235" s="12" t="n"/>
    </row>
    <row r="236" hidden="1" outlineLevel="1">
      <c r="C236" s="57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12" t="n"/>
      <c r="AJ236" s="12" t="n"/>
      <c r="AK236" s="12" t="n"/>
      <c r="AL236" s="12" t="n"/>
      <c r="AM236" s="12" t="n"/>
      <c r="AN236" s="12" t="n"/>
      <c r="AO236" s="12" t="n"/>
      <c r="AP236" s="12" t="n"/>
      <c r="AQ236" s="12" t="n"/>
      <c r="AR236" s="12" t="n"/>
      <c r="AS236" s="12" t="n"/>
      <c r="AT236" s="12" t="n"/>
      <c r="AU236" s="12" t="n"/>
      <c r="AV236" s="12" t="n"/>
      <c r="AW236" s="12" t="n"/>
      <c r="AX236" s="12" t="n"/>
      <c r="AY236" s="12" t="n"/>
      <c r="AZ236" s="12" t="n"/>
      <c r="BA236" s="12" t="n"/>
      <c r="BB236" s="12" t="n"/>
      <c r="BC236" s="12" t="n"/>
      <c r="BD236" s="12" t="n"/>
      <c r="BE236" s="12" t="n"/>
      <c r="BF236" s="12" t="n"/>
      <c r="BG236" s="12" t="n"/>
      <c r="BH236" s="12" t="n"/>
      <c r="BI236" s="12" t="n"/>
      <c r="BJ236" s="12" t="n"/>
      <c r="BK236" s="12" t="n"/>
      <c r="BL236" s="12" t="n"/>
      <c r="BM236" s="12" t="n"/>
      <c r="BN236" s="12" t="n"/>
      <c r="BO236" s="12" t="n"/>
      <c r="BP236" s="12" t="n"/>
      <c r="BQ236" s="12" t="n"/>
      <c r="BR236" s="12" t="n"/>
      <c r="BS236" s="12" t="n"/>
      <c r="BT236" s="12" t="n"/>
      <c r="BU236" s="12" t="n"/>
      <c r="BV236" s="12" t="n"/>
      <c r="BW236" s="12" t="n"/>
      <c r="BX236" s="12" t="n"/>
      <c r="BY236" s="12" t="n"/>
      <c r="BZ236" s="12" t="n"/>
      <c r="CA236" s="12" t="n"/>
      <c r="CB236" s="12" t="n"/>
      <c r="CC236" s="12" t="n"/>
      <c r="CD236" s="12" t="n"/>
      <c r="CE236" s="12" t="n"/>
      <c r="CF236" s="12" t="n"/>
      <c r="CG236" s="12" t="n"/>
      <c r="CH236" s="12" t="n"/>
      <c r="CI236" s="12" t="n"/>
      <c r="CJ236" s="12" t="n"/>
      <c r="CK236" s="12" t="n"/>
      <c r="CL236" s="12" t="n"/>
      <c r="CM236" s="12" t="n"/>
      <c r="CN236" s="12" t="n"/>
      <c r="CO236" s="12" t="n"/>
      <c r="CP236" s="12" t="n"/>
      <c r="CQ236" s="12" t="n"/>
      <c r="CR236" s="12" t="n"/>
      <c r="CS236" s="12" t="n"/>
      <c r="CT236" s="12" t="n"/>
      <c r="CU236" s="12" t="n"/>
      <c r="CV236" s="12" t="n"/>
      <c r="CW236" s="12" t="n"/>
      <c r="CX236" s="12" t="n"/>
      <c r="CY236" s="12" t="n"/>
    </row>
    <row r="237" hidden="1" outlineLevel="1">
      <c r="C237" s="57" t="inlineStr">
        <is>
          <t>Discretionary (paydown)/borrowing of convertible debt</t>
        </is>
      </c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62" t="n"/>
      <c r="AI237" s="62" t="n"/>
      <c r="AJ237" s="62" t="n"/>
      <c r="AK237" s="62" t="n"/>
      <c r="AL237" s="12" t="n"/>
      <c r="AM237" s="62" t="n"/>
      <c r="AN237" s="62" t="n"/>
      <c r="AO237" s="62" t="n"/>
      <c r="AP237" s="62" t="n"/>
      <c r="AQ237" s="12" t="n"/>
      <c r="AR237" s="62" t="n"/>
      <c r="AS237" s="62" t="n"/>
      <c r="AT237" s="62" t="n"/>
      <c r="AU237" s="62" t="n"/>
      <c r="AV237" s="12" t="n"/>
      <c r="AW237" s="62" t="n"/>
      <c r="AX237" s="62" t="n"/>
      <c r="AY237" s="62" t="n"/>
      <c r="AZ237" s="62" t="n"/>
      <c r="BA237" s="12" t="n"/>
      <c r="BB237" s="62" t="n"/>
      <c r="BC237" s="62" t="n"/>
      <c r="BD237" s="62" t="n"/>
      <c r="BE237" s="62" t="n"/>
      <c r="BF237" s="12" t="n"/>
      <c r="BG237" s="62" t="n"/>
      <c r="BH237" s="62" t="n"/>
      <c r="BI237" s="62" t="n"/>
      <c r="BJ237" s="62" t="n"/>
      <c r="BK237" s="12" t="n"/>
      <c r="BL237" s="62" t="n"/>
      <c r="BM237" s="62" t="n"/>
      <c r="BN237" s="62" t="n"/>
      <c r="BO237" s="62" t="n"/>
      <c r="BP237" s="12" t="n"/>
      <c r="BQ237" s="62" t="n"/>
      <c r="BR237" s="62" t="n"/>
      <c r="BS237" s="62" t="n"/>
      <c r="BT237" s="62" t="n"/>
      <c r="BU237" s="12" t="n"/>
      <c r="BV237" s="62" t="n"/>
      <c r="BW237" s="62" t="n"/>
      <c r="BX237" s="62" t="n"/>
      <c r="BY237" s="62" t="n"/>
      <c r="BZ237" s="12" t="n"/>
      <c r="CA237" s="62" t="n"/>
      <c r="CB237" s="62" t="n"/>
      <c r="CC237" s="62" t="n"/>
      <c r="CD237" s="62" t="n"/>
      <c r="CE237" s="12" t="n"/>
      <c r="CF237" s="62" t="n"/>
      <c r="CG237" s="62" t="n"/>
      <c r="CH237" s="62" t="n"/>
      <c r="CI237" s="62" t="n"/>
      <c r="CJ237" s="12" t="n"/>
      <c r="CK237" s="62" t="n"/>
      <c r="CL237" s="62" t="n"/>
      <c r="CM237" s="62" t="n"/>
      <c r="CN237" s="62" t="n"/>
      <c r="CO237" s="12" t="n"/>
      <c r="CP237" s="62" t="n"/>
      <c r="CQ237" s="62" t="n"/>
      <c r="CR237" s="62" t="n"/>
      <c r="CS237" s="62" t="n"/>
      <c r="CT237" s="12" t="n"/>
      <c r="CU237" s="62" t="n"/>
      <c r="CV237" s="62" t="n"/>
      <c r="CW237" s="62" t="n"/>
      <c r="CX237" s="62" t="n"/>
      <c r="CY237" s="12" t="n"/>
    </row>
    <row r="238" hidden="1" outlineLevel="1">
      <c r="C238" s="57" t="inlineStr">
        <is>
          <t>Convertible debt</t>
        </is>
      </c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  <c r="AH238" s="12">
        <f>AH250</f>
        <v>0</v>
      </c>
      <c r="AI238" s="12">
        <f>AH238+SUM(AI237)</f>
        <v>0</v>
      </c>
      <c r="AJ238" s="12">
        <f>AI238+SUM(AJ237)</f>
        <v>0</v>
      </c>
      <c r="AK238" s="12">
        <f>AJ238+SUM(AK237)</f>
        <v>0</v>
      </c>
      <c r="AL238" s="12" t="n"/>
      <c r="AM238" s="12">
        <f>AM250</f>
        <v>0</v>
      </c>
      <c r="AN238" s="12">
        <f>AM238+SUM(AN237)</f>
        <v>0</v>
      </c>
      <c r="AO238" s="12">
        <f>AN238+SUM(AO237)</f>
        <v>0</v>
      </c>
      <c r="AP238" s="12">
        <f>AO238+SUM(AP237)</f>
        <v>0</v>
      </c>
      <c r="AQ238" s="12" t="n"/>
      <c r="AR238" s="12">
        <f>AR250</f>
        <v>0</v>
      </c>
      <c r="AS238" s="12">
        <f>AR238+SUM(AS237)</f>
        <v>0</v>
      </c>
      <c r="AT238" s="12">
        <f>AS238+SUM(AT237)</f>
        <v>0</v>
      </c>
      <c r="AU238" s="12">
        <f>AT238+SUM(AU237)</f>
        <v>0</v>
      </c>
      <c r="AV238" s="12" t="n"/>
      <c r="AW238" s="12">
        <f>AW250</f>
        <v>0</v>
      </c>
      <c r="AX238" s="12">
        <f>AW238+SUM(AX237)</f>
        <v>0</v>
      </c>
      <c r="AY238" s="12">
        <f>AX238+SUM(AY237)</f>
        <v>0</v>
      </c>
      <c r="AZ238" s="12">
        <f>AY238+SUM(AZ237)</f>
        <v>0</v>
      </c>
      <c r="BA238" s="12" t="n"/>
      <c r="BB238" s="12">
        <f>BB250</f>
        <v>0</v>
      </c>
      <c r="BC238" s="12">
        <f>BB238+SUM(BC237)</f>
        <v>0</v>
      </c>
      <c r="BD238" s="12">
        <f>BC238+SUM(BD237)</f>
        <v>0</v>
      </c>
      <c r="BE238" s="12">
        <f>BD238+SUM(BE237)</f>
        <v>0</v>
      </c>
      <c r="BF238" s="12" t="n"/>
      <c r="BG238" s="12" t="n"/>
      <c r="BH238" s="12" t="n"/>
      <c r="BI238" s="12" t="n"/>
      <c r="BJ238" s="12" t="n"/>
      <c r="BK238" s="12" t="n"/>
      <c r="BL238" s="12" t="n"/>
      <c r="BM238" s="12" t="n"/>
      <c r="BN238" s="12" t="n"/>
      <c r="BO238" s="12" t="n"/>
      <c r="BP238" s="12" t="n"/>
      <c r="BQ238" s="12" t="n"/>
      <c r="BR238" s="12" t="n"/>
      <c r="BS238" s="12" t="n"/>
      <c r="BT238" s="12" t="n"/>
      <c r="BU238" s="12" t="n"/>
      <c r="BV238" s="12" t="n"/>
      <c r="BW238" s="12" t="n"/>
      <c r="BX238" s="12" t="n"/>
      <c r="BY238" s="12" t="n"/>
      <c r="BZ238" s="12" t="n"/>
      <c r="CA238" s="12" t="n"/>
      <c r="CB238" s="12" t="n"/>
      <c r="CC238" s="12" t="n"/>
      <c r="CD238" s="12" t="n"/>
      <c r="CE238" s="12" t="n"/>
      <c r="CF238" s="12" t="n"/>
      <c r="CG238" s="12" t="n"/>
      <c r="CH238" s="12" t="n"/>
      <c r="CI238" s="12" t="n"/>
      <c r="CJ238" s="12" t="n"/>
      <c r="CK238" s="12" t="n"/>
      <c r="CL238" s="12" t="n"/>
      <c r="CM238" s="12" t="n"/>
      <c r="CN238" s="12" t="n"/>
      <c r="CO238" s="12" t="n"/>
      <c r="CP238" s="12" t="n"/>
      <c r="CQ238" s="12" t="n"/>
      <c r="CR238" s="12" t="n"/>
      <c r="CS238" s="12" t="n"/>
      <c r="CT238" s="12" t="n"/>
      <c r="CU238" s="12" t="n"/>
      <c r="CV238" s="12" t="n"/>
      <c r="CW238" s="12" t="n"/>
      <c r="CX238" s="12" t="n"/>
      <c r="CY238" s="12" t="n"/>
    </row>
    <row r="239" hidden="1" outlineLevel="1">
      <c r="C239" s="57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  <c r="AF239" s="12" t="n"/>
      <c r="AG239" s="12" t="n"/>
      <c r="AI239" s="12" t="n"/>
      <c r="AJ239" s="12" t="n"/>
      <c r="AK239" s="12" t="n"/>
      <c r="AL239" s="12" t="n"/>
      <c r="AN239" s="12" t="n"/>
      <c r="AO239" s="12" t="n"/>
      <c r="AP239" s="12" t="n"/>
      <c r="AQ239" s="12" t="n"/>
      <c r="AS239" s="12" t="n"/>
      <c r="AT239" s="12" t="n"/>
      <c r="AU239" s="12" t="n"/>
      <c r="AV239" s="12" t="n"/>
      <c r="AX239" s="12" t="n"/>
      <c r="AY239" s="12" t="n"/>
      <c r="AZ239" s="12" t="n"/>
      <c r="BA239" s="12" t="n"/>
      <c r="BC239" s="12" t="n"/>
      <c r="BD239" s="12" t="n"/>
      <c r="BE239" s="12" t="n"/>
      <c r="BF239" s="12" t="n"/>
      <c r="BH239" s="12" t="n"/>
      <c r="BI239" s="12" t="n"/>
      <c r="BJ239" s="12" t="n"/>
      <c r="BK239" s="12" t="n"/>
      <c r="BM239" s="12" t="n"/>
      <c r="BN239" s="12" t="n"/>
      <c r="BO239" s="12" t="n"/>
      <c r="BP239" s="12" t="n"/>
      <c r="BR239" s="12" t="n"/>
      <c r="BS239" s="12" t="n"/>
      <c r="BT239" s="12" t="n"/>
      <c r="BU239" s="12" t="n"/>
      <c r="BW239" s="12" t="n"/>
      <c r="BX239" s="12" t="n"/>
      <c r="BY239" s="12" t="n"/>
      <c r="BZ239" s="12" t="n"/>
      <c r="CB239" s="12" t="n"/>
      <c r="CC239" s="12" t="n"/>
      <c r="CD239" s="12" t="n"/>
      <c r="CE239" s="12" t="n"/>
      <c r="CG239" s="12" t="n"/>
      <c r="CH239" s="12" t="n"/>
      <c r="CI239" s="12" t="n"/>
      <c r="CJ239" s="12" t="n"/>
      <c r="CL239" s="12" t="n"/>
      <c r="CM239" s="12" t="n"/>
      <c r="CN239" s="12" t="n"/>
      <c r="CO239" s="12" t="n"/>
      <c r="CQ239" s="12" t="n"/>
      <c r="CR239" s="12" t="n"/>
      <c r="CS239" s="12" t="n"/>
      <c r="CT239" s="12" t="n"/>
      <c r="CV239" s="12" t="n"/>
      <c r="CW239" s="12" t="n"/>
      <c r="CX239" s="12" t="n"/>
      <c r="CY239" s="12" t="n"/>
    </row>
    <row r="240" hidden="1" outlineLevel="1">
      <c r="C240" s="57" t="inlineStr">
        <is>
          <t>Calculation of short term debt</t>
        </is>
      </c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  <c r="AJ240" s="12" t="n"/>
      <c r="AK240" s="12" t="n"/>
      <c r="AL240" s="12" t="n"/>
      <c r="AM240" s="12" t="n"/>
      <c r="AN240" s="12" t="n"/>
      <c r="AO240" s="12" t="n"/>
      <c r="AP240" s="12" t="n"/>
      <c r="AQ240" s="12" t="n"/>
      <c r="AR240" s="12" t="n"/>
      <c r="AS240" s="12" t="n"/>
      <c r="AT240" s="12" t="n"/>
      <c r="AU240" s="12" t="n"/>
      <c r="AV240" s="12" t="n"/>
      <c r="AW240" s="12" t="n"/>
      <c r="AX240" s="12" t="n"/>
      <c r="AY240" s="12" t="n"/>
      <c r="AZ240" s="12" t="n"/>
      <c r="BA240" s="12" t="n"/>
      <c r="BB240" s="12" t="n"/>
      <c r="BC240" s="12" t="n"/>
      <c r="BD240" s="12" t="n"/>
      <c r="BE240" s="12" t="n"/>
      <c r="BF240" s="12" t="n"/>
      <c r="BG240" s="12" t="n"/>
      <c r="BH240" s="12" t="n"/>
      <c r="BI240" s="12" t="n"/>
      <c r="BJ240" s="12" t="n"/>
      <c r="BK240" s="12" t="n"/>
      <c r="BL240" s="12" t="n"/>
      <c r="BM240" s="12" t="n"/>
      <c r="BN240" s="12" t="n"/>
      <c r="BO240" s="12" t="n"/>
      <c r="BP240" s="12" t="n"/>
      <c r="BQ240" s="12" t="n"/>
      <c r="BR240" s="12" t="n"/>
      <c r="BS240" s="12" t="n"/>
      <c r="BT240" s="12" t="n"/>
      <c r="BU240" s="12" t="n"/>
      <c r="BV240" s="12" t="n"/>
      <c r="BW240" s="12" t="n"/>
      <c r="BX240" s="12" t="n"/>
      <c r="BY240" s="12" t="n"/>
      <c r="BZ240" s="12" t="n"/>
      <c r="CA240" s="12" t="n"/>
      <c r="CB240" s="12" t="n"/>
      <c r="CC240" s="12" t="n"/>
      <c r="CD240" s="12" t="n"/>
      <c r="CE240" s="12" t="n"/>
      <c r="CF240" s="12" t="n"/>
      <c r="CG240" s="12" t="n"/>
      <c r="CH240" s="12" t="n"/>
      <c r="CI240" s="12" t="n"/>
      <c r="CJ240" s="12" t="n"/>
      <c r="CK240" s="12" t="n"/>
      <c r="CL240" s="12" t="n"/>
      <c r="CM240" s="12" t="n"/>
      <c r="CN240" s="12" t="n"/>
      <c r="CO240" s="12" t="n"/>
      <c r="CP240" s="12" t="n"/>
      <c r="CQ240" s="12" t="n"/>
      <c r="CR240" s="12" t="n"/>
      <c r="CS240" s="12" t="n"/>
      <c r="CT240" s="12" t="n"/>
      <c r="CU240" s="12" t="n"/>
      <c r="CV240" s="12" t="n"/>
      <c r="CW240" s="12" t="n"/>
      <c r="CX240" s="12" t="n"/>
      <c r="CY240" s="12" t="n"/>
    </row>
    <row r="241" hidden="1" outlineLevel="1">
      <c r="C241" s="57" t="inlineStr">
        <is>
          <t>Cash @ beginning of the period (end of last period)</t>
        </is>
      </c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  <c r="AE241" s="12" t="n"/>
      <c r="AF241" s="12" t="n"/>
      <c r="AG241" s="12" t="n"/>
      <c r="AH241" s="63">
        <f>AG156</f>
        <v>6875.395</v>
      </c>
      <c r="AI241" s="12" t="n"/>
      <c r="AJ241" s="12" t="n"/>
      <c r="AK241" s="12" t="n"/>
      <c r="AL241" s="12" t="n"/>
      <c r="AM241" s="63">
        <f>AL156</f>
        <v>8012.72666298334</v>
      </c>
      <c r="AN241" s="12" t="n"/>
      <c r="AO241" s="12" t="n"/>
      <c r="AP241" s="12" t="n"/>
      <c r="AQ241" s="12" t="n"/>
      <c r="AR241" s="63">
        <f>AQ156</f>
        <v>10086.7587002355</v>
      </c>
      <c r="AS241" s="12" t="n"/>
      <c r="AT241" s="12" t="n"/>
      <c r="AU241" s="12" t="n"/>
      <c r="AV241" s="12" t="n"/>
      <c r="AW241" s="63">
        <f>AV156</f>
        <v>12309.6788785662</v>
      </c>
      <c r="AX241" s="12" t="n"/>
      <c r="AY241" s="12" t="n"/>
      <c r="AZ241" s="12" t="n"/>
      <c r="BA241" s="12" t="n"/>
      <c r="BB241" s="63">
        <f>BA156</f>
        <v>14681.0299274263</v>
      </c>
      <c r="BC241" s="12" t="n"/>
      <c r="BD241" s="12" t="n"/>
      <c r="BE241" s="12" t="n"/>
      <c r="BF241" s="12" t="n"/>
      <c r="BG241" s="63" t="n"/>
      <c r="BH241" s="12" t="n"/>
      <c r="BI241" s="12" t="n"/>
      <c r="BJ241" s="12" t="n"/>
      <c r="BK241" s="12" t="n"/>
      <c r="BL241" s="63" t="n"/>
      <c r="BM241" s="12" t="n"/>
      <c r="BN241" s="12" t="n"/>
      <c r="BO241" s="12" t="n"/>
      <c r="BP241" s="12" t="n"/>
      <c r="BQ241" s="63" t="n"/>
      <c r="BR241" s="12" t="n"/>
      <c r="BS241" s="12" t="n"/>
      <c r="BT241" s="12" t="n"/>
      <c r="BU241" s="12" t="n"/>
      <c r="BV241" s="63" t="n"/>
      <c r="BW241" s="12" t="n"/>
      <c r="BX241" s="12" t="n"/>
      <c r="BY241" s="12" t="n"/>
      <c r="BZ241" s="12" t="n"/>
      <c r="CA241" s="63" t="n"/>
      <c r="CB241" s="12" t="n"/>
      <c r="CC241" s="12" t="n"/>
      <c r="CD241" s="12" t="n"/>
      <c r="CE241" s="12" t="n"/>
      <c r="CF241" s="63" t="n"/>
      <c r="CG241" s="12" t="n"/>
      <c r="CH241" s="12" t="n"/>
      <c r="CI241" s="12" t="n"/>
      <c r="CJ241" s="12" t="n"/>
      <c r="CK241" s="63" t="n"/>
      <c r="CL241" s="12" t="n"/>
      <c r="CM241" s="12" t="n"/>
      <c r="CN241" s="12" t="n"/>
      <c r="CO241" s="12" t="n"/>
      <c r="CP241" s="63" t="n"/>
      <c r="CQ241" s="12" t="n"/>
      <c r="CR241" s="12" t="n"/>
      <c r="CS241" s="12" t="n"/>
      <c r="CT241" s="12" t="n"/>
      <c r="CU241" s="63" t="n"/>
      <c r="CV241" s="12" t="n"/>
      <c r="CW241" s="12" t="n"/>
      <c r="CX241" s="12" t="n"/>
      <c r="CY241" s="12" t="n"/>
    </row>
    <row r="242" hidden="1" outlineLevel="1">
      <c r="C242" s="57" t="inlineStr">
        <is>
          <t>Plus: Free cash flows prior to debt during period</t>
        </is>
      </c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inlineStr">
        <is>
          <t>% of sales</t>
        </is>
      </c>
      <c r="AH242" s="64">
        <f>(AH304+AH311)+SUM(AH314:AH320)</f>
        <v>178.278808899</v>
      </c>
      <c r="AI242" s="64">
        <f>(AI304+AI311)+SUM(AI314:AI320)</f>
        <v>840.627340123</v>
      </c>
      <c r="AJ242" s="64">
        <f>(AJ304+AJ311)+SUM(AJ314:AJ320)</f>
        <v>0</v>
      </c>
      <c r="AK242" s="64">
        <f>(AK304+AK311)+SUM(AK314:AK320)</f>
        <v>0</v>
      </c>
      <c r="AL242" s="12" t="n"/>
      <c r="AM242" s="64">
        <f>(AM304+AM311)+SUM(AM314:AM320)</f>
        <v>0</v>
      </c>
      <c r="AN242" s="64">
        <f>(AN304+AN311)+SUM(AN314:AN320)</f>
        <v>0</v>
      </c>
      <c r="AO242" s="64">
        <f>(AO304+AO311)+SUM(AO314:AO320)</f>
        <v>0</v>
      </c>
      <c r="AP242" s="64">
        <f>(AP304+AP311)+SUM(AP314:AP320)</f>
        <v>0</v>
      </c>
      <c r="AQ242" s="12" t="n"/>
      <c r="AR242" s="64">
        <f>(AR304+AR311)+SUM(AR314:AR320)</f>
        <v>0</v>
      </c>
      <c r="AS242" s="64">
        <f>(AS304+AS311)+SUM(AS314:AS320)</f>
        <v>0</v>
      </c>
      <c r="AT242" s="64">
        <f>(AT304+AT311)+SUM(AT314:AT320)</f>
        <v>0</v>
      </c>
      <c r="AU242" s="64">
        <f>(AU304+AU311)+SUM(AU314:AU320)</f>
        <v>0</v>
      </c>
      <c r="AV242" s="12" t="n"/>
      <c r="AW242" s="64">
        <f>(AW304+AW311)+SUM(AW314:AW320)</f>
        <v>0</v>
      </c>
      <c r="AX242" s="64">
        <f>(AX304+AX311)+SUM(AX314:AX320)</f>
        <v>0</v>
      </c>
      <c r="AY242" s="64">
        <f>(AY304+AY311)+SUM(AY314:AY320)</f>
        <v>0</v>
      </c>
      <c r="AZ242" s="64">
        <f>(AZ304+AZ311)+SUM(AZ314:AZ320)</f>
        <v>0</v>
      </c>
      <c r="BA242" s="12" t="n"/>
      <c r="BB242" s="64">
        <f>(BB304+BB311)+SUM(BB314:BB320)</f>
        <v>0</v>
      </c>
      <c r="BC242" s="64">
        <f>(BC304+BC311)+SUM(BC314:BC320)</f>
        <v>0</v>
      </c>
      <c r="BD242" s="64">
        <f>(BD304+BD311)+SUM(BD314:BD320)</f>
        <v>0</v>
      </c>
      <c r="BE242" s="64">
        <f>(BE304+BE311)+SUM(BE314:BE320)</f>
        <v>0</v>
      </c>
      <c r="BF242" s="12" t="n"/>
      <c r="BG242" s="64" t="n"/>
      <c r="BH242" s="64" t="n"/>
      <c r="BI242" s="64" t="n"/>
      <c r="BJ242" s="64" t="n"/>
      <c r="BK242" s="12" t="n"/>
      <c r="BL242" s="64" t="n"/>
      <c r="BM242" s="64" t="n"/>
      <c r="BN242" s="64" t="n"/>
      <c r="BO242" s="64" t="n"/>
      <c r="BP242" s="12" t="n"/>
      <c r="BQ242" s="64" t="n"/>
      <c r="BR242" s="64" t="n"/>
      <c r="BS242" s="64" t="n"/>
      <c r="BT242" s="64" t="n"/>
      <c r="BU242" s="12" t="n"/>
      <c r="BV242" s="64" t="n"/>
      <c r="BW242" s="64" t="n"/>
      <c r="BX242" s="64" t="n"/>
      <c r="BY242" s="64" t="n"/>
      <c r="BZ242" s="12" t="n"/>
      <c r="CA242" s="64" t="n"/>
      <c r="CB242" s="64" t="n"/>
      <c r="CC242" s="64" t="n"/>
      <c r="CD242" s="64" t="n"/>
      <c r="CE242" s="12" t="n"/>
      <c r="CF242" s="64" t="n"/>
      <c r="CG242" s="64" t="n"/>
      <c r="CH242" s="64" t="n"/>
      <c r="CI242" s="64" t="n"/>
      <c r="CJ242" s="12" t="n"/>
      <c r="CK242" s="64" t="n"/>
      <c r="CL242" s="64" t="n"/>
      <c r="CM242" s="64" t="n"/>
      <c r="CN242" s="64" t="n"/>
      <c r="CO242" s="12" t="n"/>
      <c r="CP242" s="64" t="n"/>
      <c r="CQ242" s="64" t="n"/>
      <c r="CR242" s="64" t="n"/>
      <c r="CS242" s="64" t="n"/>
      <c r="CT242" s="12" t="n"/>
      <c r="CU242" s="64" t="n"/>
      <c r="CV242" s="64" t="n"/>
      <c r="CW242" s="64" t="n"/>
      <c r="CX242" s="64" t="n"/>
      <c r="CY242" s="12" t="n"/>
    </row>
    <row r="243" hidden="1" outlineLevel="1">
      <c r="C243" s="57" t="inlineStr">
        <is>
          <t>Less: Minimum cash balance</t>
        </is>
      </c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52" t="n"/>
      <c r="AH243" s="12">
        <f>($AG$243*AH15)</f>
        <v>0</v>
      </c>
      <c r="AI243" s="12">
        <f>($AG$243*AI15)</f>
        <v>0</v>
      </c>
      <c r="AJ243" s="12">
        <f>($AG$243*AJ15)</f>
        <v>0</v>
      </c>
      <c r="AK243" s="12">
        <f>($AG$243*AK15)</f>
        <v>0</v>
      </c>
      <c r="AL243" s="12" t="n"/>
      <c r="AM243" s="12">
        <f>($AG$243*AM15)</f>
        <v>0</v>
      </c>
      <c r="AN243" s="12">
        <f>($AG$243*AN15)</f>
        <v>0</v>
      </c>
      <c r="AO243" s="12">
        <f>($AG$243*AO15)</f>
        <v>0</v>
      </c>
      <c r="AP243" s="12">
        <f>($AG$243*AP15)</f>
        <v>0</v>
      </c>
      <c r="AQ243" s="12" t="n"/>
      <c r="AR243" s="12">
        <f>($AG$243*AR15)</f>
        <v>0</v>
      </c>
      <c r="AS243" s="12">
        <f>($AG$243*AS15)</f>
        <v>0</v>
      </c>
      <c r="AT243" s="12">
        <f>($AG$243*AT15)</f>
        <v>0</v>
      </c>
      <c r="AU243" s="12">
        <f>($AG$243*AU15)</f>
        <v>0</v>
      </c>
      <c r="AV243" s="12" t="n"/>
      <c r="AW243" s="12">
        <f>($AG$243*AW15)</f>
        <v>0</v>
      </c>
      <c r="AX243" s="12">
        <f>($AG$243*AX15)</f>
        <v>0</v>
      </c>
      <c r="AY243" s="12">
        <f>($AG$243*AY15)</f>
        <v>0</v>
      </c>
      <c r="AZ243" s="12">
        <f>($AG$243*AZ15)</f>
        <v>0</v>
      </c>
      <c r="BA243" s="12" t="n"/>
      <c r="BB243" s="12">
        <f>($AG$243*BB15)</f>
        <v>0</v>
      </c>
      <c r="BC243" s="12">
        <f>($AG$243*BC15)</f>
        <v>0</v>
      </c>
      <c r="BD243" s="12">
        <f>($AG$243*BD15)</f>
        <v>0</v>
      </c>
      <c r="BE243" s="12">
        <f>($AG$243*BE15)</f>
        <v>0</v>
      </c>
      <c r="BF243" s="12" t="n"/>
      <c r="BG243" s="12" t="n"/>
      <c r="BH243" s="12" t="n"/>
      <c r="BI243" s="12" t="n"/>
      <c r="BJ243" s="12" t="n"/>
      <c r="BK243" s="12" t="n"/>
      <c r="BL243" s="12" t="n"/>
      <c r="BM243" s="12" t="n"/>
      <c r="BN243" s="12" t="n"/>
      <c r="BO243" s="12" t="n"/>
      <c r="BP243" s="12" t="n"/>
      <c r="BQ243" s="12" t="n"/>
      <c r="BR243" s="12" t="n"/>
      <c r="BS243" s="12" t="n"/>
      <c r="BT243" s="12" t="n"/>
      <c r="BU243" s="12" t="n"/>
      <c r="BV243" s="12" t="n"/>
      <c r="BW243" s="12" t="n"/>
      <c r="BX243" s="12" t="n"/>
      <c r="BY243" s="12" t="n"/>
      <c r="BZ243" s="12" t="n"/>
      <c r="CA243" s="12" t="n"/>
      <c r="CB243" s="12" t="n"/>
      <c r="CC243" s="12" t="n"/>
      <c r="CD243" s="12" t="n"/>
      <c r="CE243" s="12" t="n"/>
      <c r="CF243" s="12" t="n"/>
      <c r="CG243" s="12" t="n"/>
      <c r="CH243" s="12" t="n"/>
      <c r="CI243" s="12" t="n"/>
      <c r="CJ243" s="12" t="n"/>
      <c r="CK243" s="12" t="n"/>
      <c r="CL243" s="12" t="n"/>
      <c r="CM243" s="12" t="n"/>
      <c r="CN243" s="12" t="n"/>
      <c r="CO243" s="12" t="n"/>
      <c r="CP243" s="12" t="n"/>
      <c r="CQ243" s="12" t="n"/>
      <c r="CR243" s="12" t="n"/>
      <c r="CS243" s="12" t="n"/>
      <c r="CT243" s="12" t="n"/>
      <c r="CU243" s="12" t="n"/>
      <c r="CV243" s="12" t="n"/>
      <c r="CW243" s="12" t="n"/>
      <c r="CX243" s="12" t="n"/>
      <c r="CY243" s="12" t="n"/>
    </row>
    <row r="244" hidden="1" outlineLevel="1">
      <c r="C244" s="57" t="inlineStr">
        <is>
          <t>Total cash available / (debt required) for short term debt paydown</t>
        </is>
      </c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  <c r="AG244" s="12" t="n"/>
      <c r="AH244" s="3">
        <f>AH241+AH242-AH243-AF231+AH233+AH237</f>
        <v>7053.673808899</v>
      </c>
      <c r="AI244" s="3">
        <f>AI241+AI242-AI243-AG231+AI233+AI237</f>
        <v>840.627340123</v>
      </c>
      <c r="AJ244" s="3">
        <f>AJ241+AJ242-AJ243-AH231+AJ233+AJ237</f>
        <v>-4142.338</v>
      </c>
      <c r="AK244" s="3">
        <f>AK241+AK242-AK243-AI231+AK233+AK237</f>
        <v>0</v>
      </c>
      <c r="AL244" s="12" t="n"/>
      <c r="AM244" s="3">
        <f>AM241+AM242-AM243-AK231+AM233+AM237</f>
        <v>8012.72666298334</v>
      </c>
      <c r="AN244" s="3">
        <f>AN241+AN242-AN243-AL231+AN233+AN237</f>
        <v>0</v>
      </c>
      <c r="AO244" s="3">
        <f>AO241+AO242-AO243-AM231+AO233+AO237</f>
        <v>-2782.282</v>
      </c>
      <c r="AP244" s="3">
        <f>AP241+AP242-AP243-AN231+AP233+AP237</f>
        <v>0</v>
      </c>
      <c r="AQ244" s="12" t="n"/>
      <c r="AR244" s="3">
        <f>AR241+AR242-AR243-AP231+AR233+AR237</f>
        <v>10086.7587002355</v>
      </c>
      <c r="AS244" s="3">
        <f>AS241+AS242-AS243-AQ231+AS233+AS237</f>
        <v>0</v>
      </c>
      <c r="AT244" s="3">
        <f>AT241+AT242-AT243-AR231+AT233+AT237</f>
        <v>-2782.282</v>
      </c>
      <c r="AU244" s="3">
        <f>AU241+AU242-AU243-AS231+AU233+AU237</f>
        <v>0</v>
      </c>
      <c r="AV244" s="12" t="n"/>
      <c r="AW244" s="3">
        <f>AW241+AW242-AW243-AU231+AW233+AW237</f>
        <v>12309.6788785662</v>
      </c>
      <c r="AX244" s="3">
        <f>AX241+AX242-AX243-AV231+AX233+AX237</f>
        <v>0</v>
      </c>
      <c r="AY244" s="3">
        <f>AY241+AY242-AY243-AW231+AY233+AY237</f>
        <v>-2782.282</v>
      </c>
      <c r="AZ244" s="3">
        <f>AZ241+AZ242-AZ243-AX231+AZ233+AZ237</f>
        <v>0</v>
      </c>
      <c r="BA244" s="12" t="n"/>
      <c r="BB244" s="3">
        <f>BB241+BB242-BB243-AZ231+BB233+BB237</f>
        <v>14681.0299274263</v>
      </c>
      <c r="BC244" s="3">
        <f>BC241+BC242-BC243-BA231+BC233+BC237</f>
        <v>0</v>
      </c>
      <c r="BD244" s="3">
        <f>BD241+BD242-BD243-BB231+BD233+BD237</f>
        <v>-2782.282</v>
      </c>
      <c r="BE244" s="3">
        <f>BE241+BE242-BE243-BC231+BE233+BE237</f>
        <v>0</v>
      </c>
      <c r="BF244" s="12" t="n"/>
      <c r="BG244" s="3" t="n"/>
      <c r="BH244" s="3" t="n"/>
      <c r="BI244" s="3" t="n"/>
      <c r="BJ244" s="3" t="n"/>
      <c r="BK244" s="12" t="n"/>
      <c r="BL244" s="3" t="n"/>
      <c r="BM244" s="3" t="n"/>
      <c r="BN244" s="3" t="n"/>
      <c r="BO244" s="3" t="n"/>
      <c r="BP244" s="12" t="n"/>
      <c r="BQ244" s="3" t="n"/>
      <c r="BR244" s="3" t="n"/>
      <c r="BS244" s="3" t="n"/>
      <c r="BT244" s="3" t="n"/>
      <c r="BU244" s="12" t="n"/>
      <c r="BV244" s="3" t="n"/>
      <c r="BW244" s="3" t="n"/>
      <c r="BX244" s="3" t="n"/>
      <c r="BY244" s="3" t="n"/>
      <c r="BZ244" s="12" t="n"/>
      <c r="CA244" s="3" t="n"/>
      <c r="CB244" s="3" t="n"/>
      <c r="CC244" s="3" t="n"/>
      <c r="CD244" s="3" t="n"/>
      <c r="CE244" s="12" t="n"/>
      <c r="CF244" s="3" t="n"/>
      <c r="CG244" s="3" t="n"/>
      <c r="CH244" s="3" t="n"/>
      <c r="CI244" s="3" t="n"/>
      <c r="CJ244" s="12" t="n"/>
      <c r="CK244" s="3" t="n"/>
      <c r="CL244" s="3" t="n"/>
      <c r="CM244" s="3" t="n"/>
      <c r="CN244" s="3" t="n"/>
      <c r="CO244" s="12" t="n"/>
      <c r="CP244" s="3" t="n"/>
      <c r="CQ244" s="3" t="n"/>
      <c r="CR244" s="3" t="n"/>
      <c r="CS244" s="3" t="n"/>
      <c r="CT244" s="12" t="n"/>
      <c r="CU244" s="3" t="n"/>
      <c r="CV244" s="3" t="n"/>
      <c r="CW244" s="3" t="n"/>
      <c r="CX244" s="3" t="n"/>
      <c r="CY244" s="12" t="n"/>
    </row>
    <row r="245" hidden="1" outlineLevel="1">
      <c r="C245" s="57" t="inlineStr">
        <is>
          <t>Short term debt</t>
        </is>
      </c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  <c r="AE245" s="12" t="n"/>
      <c r="AF245" s="12" t="n"/>
      <c r="AG245" s="12" t="n"/>
      <c r="AH245" s="12">
        <f>AH225</f>
        <v>0</v>
      </c>
      <c r="AI245" s="12">
        <f>MAX(0,AH245-AI244)</f>
        <v>0</v>
      </c>
      <c r="AJ245" s="12">
        <f>MAX(0,AI245-AJ244)</f>
        <v>4142.338</v>
      </c>
      <c r="AK245" s="12">
        <f>MAX(0,AJ245-AK244)</f>
        <v>4142.338</v>
      </c>
      <c r="AL245" s="12" t="n"/>
      <c r="AM245" s="12">
        <f>AM225</f>
        <v>0</v>
      </c>
      <c r="AN245" s="12">
        <f>MAX(0,AM245-AN244)</f>
        <v>0</v>
      </c>
      <c r="AO245" s="12">
        <f>MAX(0,AN245-AO244)</f>
        <v>2782.282</v>
      </c>
      <c r="AP245" s="12">
        <f>MAX(0,AO245-AP244)</f>
        <v>2782.282</v>
      </c>
      <c r="AQ245" s="12" t="n"/>
      <c r="AR245" s="12">
        <f>AR225</f>
        <v>0</v>
      </c>
      <c r="AS245" s="12">
        <f>MAX(0,AR245-AS244)</f>
        <v>0</v>
      </c>
      <c r="AT245" s="12">
        <f>MAX(0,AS245-AT244)</f>
        <v>2782.282</v>
      </c>
      <c r="AU245" s="12">
        <f>MAX(0,AT245-AU244)</f>
        <v>2782.282</v>
      </c>
      <c r="AV245" s="12" t="n"/>
      <c r="AW245" s="12">
        <f>AW225</f>
        <v>0</v>
      </c>
      <c r="AX245" s="12">
        <f>MAX(0,AW245-AX244)</f>
        <v>0</v>
      </c>
      <c r="AY245" s="12">
        <f>MAX(0,AX245-AY244)</f>
        <v>2782.282</v>
      </c>
      <c r="AZ245" s="12">
        <f>MAX(0,AY245-AZ244)</f>
        <v>2782.282</v>
      </c>
      <c r="BA245" s="12" t="n"/>
      <c r="BB245" s="12">
        <f>BB225</f>
        <v>0</v>
      </c>
      <c r="BC245" s="12">
        <f>MAX(0,BB245-BC244)</f>
        <v>0</v>
      </c>
      <c r="BD245" s="12">
        <f>MAX(0,BC245-BD244)</f>
        <v>2782.282</v>
      </c>
      <c r="BE245" s="12">
        <f>MAX(0,BD245-BE244)</f>
        <v>2782.282</v>
      </c>
      <c r="BF245" s="12" t="n"/>
      <c r="BG245" s="12" t="n"/>
      <c r="BH245" s="12" t="n"/>
      <c r="BI245" s="12" t="n"/>
      <c r="BJ245" s="12" t="n"/>
      <c r="BK245" s="12" t="n"/>
      <c r="BL245" s="12" t="n"/>
      <c r="BM245" s="12" t="n"/>
      <c r="BN245" s="12" t="n"/>
      <c r="BO245" s="12" t="n"/>
      <c r="BP245" s="12" t="n"/>
      <c r="BQ245" s="12" t="n"/>
      <c r="BR245" s="12" t="n"/>
      <c r="BS245" s="12" t="n"/>
      <c r="BT245" s="12" t="n"/>
      <c r="BU245" s="12" t="n"/>
      <c r="BV245" s="12" t="n"/>
      <c r="BW245" s="12" t="n"/>
      <c r="BX245" s="12" t="n"/>
      <c r="BY245" s="12" t="n"/>
      <c r="BZ245" s="12" t="n"/>
      <c r="CA245" s="12" t="n"/>
      <c r="CB245" s="12" t="n"/>
      <c r="CC245" s="12" t="n"/>
      <c r="CD245" s="12" t="n"/>
      <c r="CE245" s="12" t="n"/>
      <c r="CF245" s="12" t="n"/>
      <c r="CG245" s="12" t="n"/>
      <c r="CH245" s="12" t="n"/>
      <c r="CI245" s="12" t="n"/>
      <c r="CJ245" s="12" t="n"/>
      <c r="CK245" s="12" t="n"/>
      <c r="CL245" s="12" t="n"/>
      <c r="CM245" s="12" t="n"/>
      <c r="CN245" s="12" t="n"/>
      <c r="CO245" s="12" t="n"/>
      <c r="CP245" s="12" t="n"/>
      <c r="CQ245" s="12" t="n"/>
      <c r="CR245" s="12" t="n"/>
      <c r="CS245" s="12" t="n"/>
      <c r="CT245" s="12" t="n"/>
      <c r="CU245" s="12" t="n"/>
      <c r="CV245" s="12" t="n"/>
      <c r="CW245" s="12" t="n"/>
      <c r="CX245" s="12" t="n"/>
      <c r="CY245" s="12" t="n"/>
    </row>
    <row r="246" hidden="1" outlineLevel="1">
      <c r="C246" s="57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  <c r="AL246" s="12" t="n"/>
      <c r="AM246" s="12" t="n"/>
      <c r="AN246" s="12" t="n"/>
      <c r="AO246" s="12" t="n"/>
      <c r="AP246" s="12" t="n"/>
      <c r="AQ246" s="12" t="n"/>
      <c r="AR246" s="12" t="n"/>
      <c r="AS246" s="12" t="n"/>
      <c r="AT246" s="12" t="n"/>
      <c r="AU246" s="12" t="n"/>
      <c r="AV246" s="12" t="n"/>
      <c r="AW246" s="12" t="n"/>
      <c r="AX246" s="12" t="n"/>
      <c r="AY246" s="12" t="n"/>
      <c r="AZ246" s="12" t="n"/>
      <c r="BA246" s="12" t="n"/>
      <c r="BB246" s="12" t="n"/>
      <c r="BC246" s="12" t="n"/>
      <c r="BD246" s="12" t="n"/>
      <c r="BE246" s="12" t="n"/>
      <c r="BF246" s="12" t="n"/>
      <c r="BG246" s="12" t="n"/>
      <c r="BH246" s="12" t="n"/>
      <c r="BI246" s="12" t="n"/>
      <c r="BJ246" s="12" t="n"/>
      <c r="BK246" s="12" t="n"/>
      <c r="BL246" s="12" t="n"/>
      <c r="BM246" s="12" t="n"/>
      <c r="BN246" s="12" t="n"/>
      <c r="BO246" s="12" t="n"/>
      <c r="BP246" s="12" t="n"/>
      <c r="BQ246" s="12" t="n"/>
      <c r="BR246" s="12" t="n"/>
      <c r="BS246" s="12" t="n"/>
      <c r="BT246" s="12" t="n"/>
      <c r="BU246" s="12" t="n"/>
      <c r="BV246" s="12" t="n"/>
      <c r="BW246" s="12" t="n"/>
      <c r="BX246" s="12" t="n"/>
      <c r="BY246" s="12" t="n"/>
      <c r="BZ246" s="12" t="n"/>
      <c r="CA246" s="12" t="n"/>
      <c r="CB246" s="12" t="n"/>
      <c r="CC246" s="12" t="n"/>
      <c r="CD246" s="12" t="n"/>
      <c r="CE246" s="12" t="n"/>
      <c r="CF246" s="12" t="n"/>
      <c r="CG246" s="12" t="n"/>
      <c r="CH246" s="12" t="n"/>
      <c r="CI246" s="12" t="n"/>
      <c r="CJ246" s="12" t="n"/>
      <c r="CK246" s="12" t="n"/>
      <c r="CL246" s="12" t="n"/>
      <c r="CM246" s="12" t="n"/>
      <c r="CN246" s="12" t="n"/>
      <c r="CO246" s="12" t="n"/>
      <c r="CP246" s="12" t="n"/>
      <c r="CQ246" s="12" t="n"/>
      <c r="CR246" s="12" t="n"/>
      <c r="CS246" s="12" t="n"/>
      <c r="CT246" s="12" t="n"/>
      <c r="CU246" s="12" t="n"/>
      <c r="CV246" s="12" t="n"/>
      <c r="CW246" s="12" t="n"/>
      <c r="CX246" s="12" t="n"/>
      <c r="CY246" s="12" t="n"/>
    </row>
    <row r="247" collapsed="1">
      <c r="C247" s="14" t="inlineStr">
        <is>
          <t>Long term operating leases</t>
        </is>
      </c>
      <c r="D247" s="46" t="n"/>
      <c r="E247" s="46" t="n"/>
      <c r="F247" s="46" t="n"/>
      <c r="G247" s="46" t="n"/>
      <c r="H247" s="12" t="n"/>
      <c r="I247" s="46">
        <f>'Inputs (2)'!D36</f>
        <v>253.437</v>
      </c>
      <c r="J247" s="46">
        <f>'Inputs (2)'!E36</f>
        <v>241.255</v>
      </c>
      <c r="K247" s="46">
        <f>'Inputs (2)'!F36</f>
        <v>252.27</v>
      </c>
      <c r="L247" s="46">
        <f>'Inputs (2)'!G36</f>
        <v>304.983</v>
      </c>
      <c r="M247" s="12">
        <f>'Inputs (2)'!H36</f>
        <v>304.983</v>
      </c>
      <c r="N247" s="46">
        <f>'Inputs (2)'!I36</f>
        <v>311.744</v>
      </c>
      <c r="O247" s="46">
        <f>'Inputs (2)'!J36</f>
        <v>330.194</v>
      </c>
      <c r="P247" s="46">
        <f>'Inputs (2)'!K36</f>
        <v>340.876</v>
      </c>
      <c r="Q247" s="46">
        <f>'Inputs (2)'!L36</f>
        <v>336.068</v>
      </c>
      <c r="R247" s="12">
        <f>'Inputs (2)'!M36</f>
        <v>336.068</v>
      </c>
      <c r="S247" s="46">
        <f>'Inputs (2)'!N36</f>
        <v>310.644</v>
      </c>
      <c r="T247" s="46">
        <f>'Inputs (2)'!O36</f>
        <v>306.138</v>
      </c>
      <c r="U247" s="46">
        <f>'Inputs (2)'!P36</f>
        <v>341.102</v>
      </c>
      <c r="V247" s="46">
        <f>'Inputs (2)'!Q36</f>
        <v>336.4</v>
      </c>
      <c r="W247" s="12">
        <f>'Inputs (2)'!R36</f>
        <v>336.4</v>
      </c>
      <c r="X247" s="46">
        <f>'Inputs (2)'!S36</f>
        <v>328.396</v>
      </c>
      <c r="Y247" s="46">
        <f>'Inputs (2)'!T36</f>
        <v>325.94</v>
      </c>
      <c r="Z247" s="46">
        <f>'Inputs (2)'!U36</f>
        <v>388.496</v>
      </c>
      <c r="AA247" s="46">
        <f>'Inputs (2)'!V36</f>
        <v>414.895</v>
      </c>
      <c r="AB247" s="12">
        <f>'Inputs (2)'!W36</f>
        <v>414.895</v>
      </c>
      <c r="AC247" s="46">
        <f>'Inputs (2)'!X36</f>
        <v>479.603</v>
      </c>
      <c r="AD247" s="46">
        <f>'Inputs (2)'!Y36</f>
        <v>500.576</v>
      </c>
      <c r="AE247" s="46">
        <f>'Inputs (2)'!Z36</f>
        <v>510.209</v>
      </c>
      <c r="AF247" s="46">
        <f>'Inputs (2)'!AA36</f>
        <v>511.61</v>
      </c>
      <c r="AG247" s="12">
        <f>'Inputs (2)'!AB36</f>
        <v>511.61</v>
      </c>
      <c r="AH247" s="12">
        <f>'Inputs (2)'!AC36</f>
        <v>494.532</v>
      </c>
      <c r="AI247" s="12">
        <f>'Inputs (2)'!AD36</f>
        <v>501.706</v>
      </c>
      <c r="AJ247" s="12">
        <f>AI247</f>
        <v>501.706</v>
      </c>
      <c r="AK247" s="12">
        <f>AJ247</f>
        <v>501.706</v>
      </c>
      <c r="AL247" s="12">
        <f>AK247</f>
        <v>501.706</v>
      </c>
      <c r="AM247" s="12">
        <f>AL247</f>
        <v>501.706</v>
      </c>
      <c r="AN247" s="12">
        <f>AM247</f>
        <v>501.706</v>
      </c>
      <c r="AO247" s="12">
        <f>AN247</f>
        <v>501.706</v>
      </c>
      <c r="AP247" s="12">
        <f>AO247</f>
        <v>501.706</v>
      </c>
      <c r="AQ247" s="12">
        <f>AP247</f>
        <v>501.706</v>
      </c>
      <c r="AR247" s="12">
        <f>AQ247</f>
        <v>501.706</v>
      </c>
      <c r="AS247" s="12">
        <f>AR247</f>
        <v>501.706</v>
      </c>
      <c r="AT247" s="12">
        <f>AS247</f>
        <v>501.706</v>
      </c>
      <c r="AU247" s="12">
        <f>AT247</f>
        <v>501.706</v>
      </c>
      <c r="AV247" s="12">
        <f>AU247</f>
        <v>501.706</v>
      </c>
      <c r="AW247" s="12">
        <f>AV247</f>
        <v>501.706</v>
      </c>
      <c r="AX247" s="12">
        <f>AW247</f>
        <v>501.706</v>
      </c>
      <c r="AY247" s="12">
        <f>AX247</f>
        <v>501.706</v>
      </c>
      <c r="AZ247" s="12">
        <f>AY247</f>
        <v>501.706</v>
      </c>
      <c r="BA247" s="12">
        <f>AZ247</f>
        <v>501.706</v>
      </c>
      <c r="BB247" s="12">
        <f>BA247</f>
        <v>501.706</v>
      </c>
      <c r="BC247" s="12">
        <f>BB247</f>
        <v>501.706</v>
      </c>
      <c r="BD247" s="12">
        <f>BC247</f>
        <v>501.706</v>
      </c>
      <c r="BE247" s="12">
        <f>BD247</f>
        <v>501.706</v>
      </c>
      <c r="BF247" s="12">
        <f>BE247</f>
        <v>501.706</v>
      </c>
      <c r="BG247" s="12" t="n"/>
      <c r="BH247" s="12" t="n"/>
      <c r="BI247" s="12" t="n"/>
      <c r="BJ247" s="12" t="n"/>
      <c r="BK247" s="12" t="n"/>
      <c r="BL247" s="12" t="n"/>
      <c r="BM247" s="12" t="n"/>
      <c r="BN247" s="12" t="n"/>
      <c r="BO247" s="12" t="n"/>
      <c r="BP247" s="12" t="n"/>
      <c r="BQ247" s="12" t="n"/>
      <c r="BR247" s="12" t="n"/>
      <c r="BS247" s="12" t="n"/>
      <c r="BT247" s="12" t="n"/>
      <c r="BU247" s="12" t="n"/>
      <c r="BV247" s="12" t="n"/>
      <c r="BW247" s="12" t="n"/>
      <c r="BX247" s="12" t="n"/>
      <c r="BY247" s="12" t="n"/>
      <c r="BZ247" s="12" t="n"/>
      <c r="CA247" s="12" t="n"/>
      <c r="CB247" s="12" t="n"/>
      <c r="CC247" s="12" t="n"/>
      <c r="CD247" s="12" t="n"/>
      <c r="CE247" s="12" t="n"/>
      <c r="CF247" s="12" t="n"/>
      <c r="CG247" s="12" t="n"/>
      <c r="CH247" s="12" t="n"/>
      <c r="CI247" s="12" t="n"/>
      <c r="CJ247" s="12" t="n"/>
      <c r="CK247" s="12" t="n"/>
      <c r="CL247" s="12" t="n"/>
      <c r="CM247" s="12" t="n"/>
      <c r="CN247" s="12" t="n"/>
      <c r="CO247" s="12" t="n"/>
      <c r="CP247" s="12" t="n"/>
      <c r="CQ247" s="12" t="n"/>
      <c r="CR247" s="12" t="n"/>
      <c r="CS247" s="12" t="n"/>
      <c r="CT247" s="12" t="n"/>
      <c r="CU247" s="12" t="n"/>
      <c r="CV247" s="12" t="n"/>
      <c r="CW247" s="12" t="n"/>
      <c r="CX247" s="12" t="n"/>
      <c r="CY247" s="12" t="n"/>
    </row>
    <row r="248" hidden="1" outlineLevel="1">
      <c r="C248" s="59" t="inlineStr">
        <is>
          <t>%(Var.)</t>
        </is>
      </c>
      <c r="D248" s="12" t="n"/>
      <c r="E248" s="40" t="n"/>
      <c r="F248" s="40" t="n"/>
      <c r="G248" s="40" t="n"/>
      <c r="H248" s="12" t="n"/>
      <c r="I248" s="40" t="str">
        <f>""</f>
        <v/>
      </c>
      <c r="J248" s="40">
        <f>IFERROR(IF(I247=0,"",J247/I247-1),"")</f>
        <v>-0.048067172512301</v>
      </c>
      <c r="K248" s="40">
        <f>IFERROR(IF(J247=0,"",K247/J247-1),"")</f>
        <v>0.0456570848272575</v>
      </c>
      <c r="L248" s="40">
        <f>IFERROR(IF(K247=0,"",L247/K247-1),"")</f>
        <v>0.208954691402069</v>
      </c>
      <c r="M248" s="12">
        <f>IF(L247=0,"",M247/L247-1)</f>
        <v>0</v>
      </c>
      <c r="N248" s="40">
        <f>IFERROR(IF(M247=0,"",N247/M247-1),"")</f>
        <v>0.0221684487332081</v>
      </c>
      <c r="O248" s="40">
        <f>IFERROR(IF(N247=0,"",O247/N247-1),"")</f>
        <v>0.0591831759392321</v>
      </c>
      <c r="P248" s="40">
        <f>IFERROR(IF(O247=0,"",P247/O247-1),"")</f>
        <v>0.0323506786919203</v>
      </c>
      <c r="Q248" s="40">
        <f>IFERROR(IF(P247=0,"",Q247/P247-1),"")</f>
        <v>-0.0141048357760593</v>
      </c>
      <c r="R248" s="12">
        <f>IF(Q247=0,"",R247/Q247-1)</f>
        <v>0</v>
      </c>
      <c r="S248" s="40">
        <f>IFERROR(IF(R247=0,"",S247/R247-1),"")</f>
        <v>-0.0756513562731351</v>
      </c>
      <c r="T248" s="40">
        <f>IFERROR(IF(S247=0,"",T247/S247-1),"")</f>
        <v>-0.014505350175764</v>
      </c>
      <c r="U248" s="40">
        <f>IFERROR(IF(T247=0,"",U247/T247-1),"")</f>
        <v>0.114209931468815</v>
      </c>
      <c r="V248" s="40">
        <f>IFERROR(IF(U247=0,"",V247/U247-1),"")</f>
        <v>-0.0137847330124127</v>
      </c>
      <c r="W248" s="12">
        <f>IF(V247=0,"",W247/V247-1)</f>
        <v>0</v>
      </c>
      <c r="X248" s="40">
        <f>IFERROR(IF(W247=0,"",X247/W247-1),"")</f>
        <v>-0.0237931034482758</v>
      </c>
      <c r="Y248" s="40">
        <f>IFERROR(IF(X247=0,"",Y247/X247-1),"")</f>
        <v>-0.0074787756245509</v>
      </c>
      <c r="Z248" s="40">
        <f>IFERROR(IF(Y247=0,"",Z247/Y247-1),"")</f>
        <v>0.191924894152298</v>
      </c>
      <c r="AA248" s="40">
        <f>IFERROR(IF(Z247=0,"",AA247/Z247-1),"")</f>
        <v>0.0679517935834604</v>
      </c>
      <c r="AB248" s="12">
        <f>IF(AA247=0,"",AB247/AA247-1)</f>
        <v>0</v>
      </c>
      <c r="AC248" s="40">
        <f>IFERROR(IF(AB247=0,"",AC247/AB247-1),"")</f>
        <v>0.155962351920365</v>
      </c>
      <c r="AD248" s="40">
        <f>IFERROR(IF(AC247=0,"",AD247/AC247-1),"")</f>
        <v>0.0437299182865829</v>
      </c>
      <c r="AE248" s="40">
        <f>IFERROR(IF(AD247=0,"",AE247/AD247-1),"")</f>
        <v>0.0192438311065652</v>
      </c>
      <c r="AF248" s="41">
        <f>IFERROR(IF(AE247=0,"",AF247/AE247-1),"")</f>
        <v>0.00274593352920083</v>
      </c>
      <c r="AG248" s="12">
        <f>IF(AF247=0,"",AG247/AF247-1)</f>
        <v>0</v>
      </c>
      <c r="AH248" s="11">
        <f>IFERROR(IF(AG247=0,"",AH247/AG247-1),"")</f>
        <v>-0.0333808956040734</v>
      </c>
      <c r="AI248" s="11">
        <f>IFERROR(IF(AH247=0,"",AI247/AH247-1),"")</f>
        <v>0.0145066446660682</v>
      </c>
      <c r="AJ248" s="11">
        <f>IFERROR(IF(AI247=0,"",AJ247/AI247-1),"")</f>
        <v>0</v>
      </c>
      <c r="AK248" s="11">
        <f>IFERROR(IF(AJ247=0,"",AK247/AJ247-1),"")</f>
        <v>0</v>
      </c>
      <c r="AL248" s="12">
        <f>IFERROR(IF(AK247=0,"",AL247/AK247-1),"")</f>
        <v>0</v>
      </c>
      <c r="AM248" s="11">
        <f>IFERROR(IF(AL247=0,"",AM247/AL247-1),"")</f>
        <v>0</v>
      </c>
      <c r="AN248" s="11">
        <f>IFERROR(IF(AM247=0,"",AN247/AM247-1),"")</f>
        <v>0</v>
      </c>
      <c r="AO248" s="11">
        <f>IFERROR(IF(AN247=0,"",AO247/AN247-1),"")</f>
        <v>0</v>
      </c>
      <c r="AP248" s="11">
        <f>IFERROR(IF(AO247=0,"",AP247/AO247-1),"")</f>
        <v>0</v>
      </c>
      <c r="AQ248" s="12">
        <f>IFERROR(IF(AP247=0,"",AQ247/AP247-1),"")</f>
        <v>0</v>
      </c>
      <c r="AR248" s="11">
        <f>IFERROR(IF(AQ247=0,"",AR247/AQ247-1),"")</f>
        <v>0</v>
      </c>
      <c r="AS248" s="11">
        <f>IFERROR(IF(AR247=0,"",AS247/AR247-1),"")</f>
        <v>0</v>
      </c>
      <c r="AT248" s="11">
        <f>IFERROR(IF(AS247=0,"",AT247/AS247-1),"")</f>
        <v>0</v>
      </c>
      <c r="AU248" s="11">
        <f>IFERROR(IF(AT247=0,"",AU247/AT247-1),"")</f>
        <v>0</v>
      </c>
      <c r="AV248" s="12">
        <f>IFERROR(IF(AU247=0,"",AV247/AU247-1),"")</f>
        <v>0</v>
      </c>
      <c r="AW248" s="11">
        <f>IFERROR(IF(AV247=0,"",AW247/AV247-1),"")</f>
        <v>0</v>
      </c>
      <c r="AX248" s="11">
        <f>IFERROR(IF(AW247=0,"",AX247/AW247-1),"")</f>
        <v>0</v>
      </c>
      <c r="AY248" s="11">
        <f>IFERROR(IF(AX247=0,"",AY247/AX247-1),"")</f>
        <v>0</v>
      </c>
      <c r="AZ248" s="11">
        <f>IFERROR(IF(AY247=0,"",AZ247/AY247-1),"")</f>
        <v>0</v>
      </c>
      <c r="BA248" s="12">
        <f>IFERROR(IF(AZ247=0,"",BA247/AZ247-1),"")</f>
        <v>0</v>
      </c>
      <c r="BB248" s="11">
        <f>IFERROR(IF(BA247=0,"",BB247/BA247-1),"")</f>
        <v>0</v>
      </c>
      <c r="BC248" s="11">
        <f>IFERROR(IF(BB247=0,"",BC247/BB247-1),"")</f>
        <v>0</v>
      </c>
      <c r="BD248" s="11">
        <f>IFERROR(IF(BC247=0,"",BD247/BC247-1),"")</f>
        <v>0</v>
      </c>
      <c r="BE248" s="11">
        <f>IFERROR(IF(BD247=0,"",BE247/BD247-1),"")</f>
        <v>0</v>
      </c>
      <c r="BF248" s="12">
        <f>IFERROR(IF(BE247=0,"",BF247/BE247-1),"")</f>
        <v>0</v>
      </c>
      <c r="BG248" s="11" t="n"/>
      <c r="BH248" s="11" t="n"/>
      <c r="BI248" s="11" t="n"/>
      <c r="BJ248" s="11" t="n"/>
      <c r="BK248" s="12" t="n"/>
      <c r="BL248" s="11" t="n"/>
      <c r="BM248" s="11" t="n"/>
      <c r="BN248" s="11" t="n"/>
      <c r="BO248" s="11" t="n"/>
      <c r="BP248" s="12" t="n"/>
      <c r="BQ248" s="11" t="n"/>
      <c r="BR248" s="11" t="n"/>
      <c r="BS248" s="11" t="n"/>
      <c r="BT248" s="11" t="n"/>
      <c r="BU248" s="12" t="n"/>
      <c r="BV248" s="11" t="n"/>
      <c r="BW248" s="11" t="n"/>
      <c r="BX248" s="11" t="n"/>
      <c r="BY248" s="11" t="n"/>
      <c r="BZ248" s="12" t="n"/>
      <c r="CA248" s="11" t="n"/>
      <c r="CB248" s="11" t="n"/>
      <c r="CC248" s="11" t="n"/>
      <c r="CD248" s="11" t="n"/>
      <c r="CE248" s="12" t="n"/>
      <c r="CF248" s="11" t="n"/>
      <c r="CG248" s="11" t="n"/>
      <c r="CH248" s="11" t="n"/>
      <c r="CI248" s="11" t="n"/>
      <c r="CJ248" s="12" t="n"/>
      <c r="CK248" s="11" t="n"/>
      <c r="CL248" s="11" t="n"/>
      <c r="CM248" s="11" t="n"/>
      <c r="CN248" s="11" t="n"/>
      <c r="CO248" s="12" t="n"/>
      <c r="CP248" s="11" t="n"/>
      <c r="CQ248" s="11" t="n"/>
      <c r="CR248" s="11" t="n"/>
      <c r="CS248" s="11" t="n"/>
      <c r="CT248" s="12" t="n"/>
      <c r="CU248" s="11" t="n"/>
      <c r="CV248" s="11" t="n"/>
      <c r="CW248" s="11" t="n"/>
      <c r="CX248" s="11" t="n"/>
      <c r="CY248" s="12" t="n"/>
    </row>
    <row r="249" hidden="1" outlineLevel="1">
      <c r="C249" s="57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12" t="n"/>
      <c r="AJ249" s="12" t="n"/>
      <c r="AK249" s="12" t="n"/>
      <c r="AL249" s="12" t="n"/>
      <c r="AM249" s="12" t="n"/>
      <c r="AN249" s="12" t="n"/>
      <c r="AO249" s="12" t="n"/>
      <c r="AP249" s="12" t="n"/>
      <c r="AQ249" s="12" t="n"/>
      <c r="AR249" s="12" t="n"/>
      <c r="AS249" s="12" t="n"/>
      <c r="AT249" s="12" t="n"/>
      <c r="AU249" s="12" t="n"/>
      <c r="AV249" s="12" t="n"/>
      <c r="AW249" s="12" t="n"/>
      <c r="AX249" s="12" t="n"/>
      <c r="AY249" s="12" t="n"/>
      <c r="AZ249" s="12" t="n"/>
      <c r="BA249" s="12" t="n"/>
      <c r="BB249" s="12" t="n"/>
      <c r="BC249" s="12" t="n"/>
      <c r="BD249" s="12" t="n"/>
      <c r="BE249" s="12" t="n"/>
      <c r="BF249" s="12" t="n"/>
      <c r="BG249" s="12" t="n"/>
      <c r="BH249" s="12" t="n"/>
      <c r="BI249" s="12" t="n"/>
      <c r="BJ249" s="12" t="n"/>
      <c r="BK249" s="12" t="n"/>
      <c r="BL249" s="12" t="n"/>
      <c r="BM249" s="12" t="n"/>
      <c r="BN249" s="12" t="n"/>
      <c r="BO249" s="12" t="n"/>
      <c r="BP249" s="12" t="n"/>
      <c r="BQ249" s="12" t="n"/>
      <c r="BR249" s="12" t="n"/>
      <c r="BS249" s="12" t="n"/>
      <c r="BT249" s="12" t="n"/>
      <c r="BU249" s="12" t="n"/>
      <c r="BV249" s="12" t="n"/>
      <c r="BW249" s="12" t="n"/>
      <c r="BX249" s="12" t="n"/>
      <c r="BY249" s="12" t="n"/>
      <c r="BZ249" s="12" t="n"/>
      <c r="CA249" s="12" t="n"/>
      <c r="CB249" s="12" t="n"/>
      <c r="CC249" s="12" t="n"/>
      <c r="CD249" s="12" t="n"/>
      <c r="CE249" s="12" t="n"/>
      <c r="CF249" s="12" t="n"/>
      <c r="CG249" s="12" t="n"/>
      <c r="CH249" s="12" t="n"/>
      <c r="CI249" s="12" t="n"/>
      <c r="CJ249" s="12" t="n"/>
      <c r="CK249" s="12" t="n"/>
      <c r="CL249" s="12" t="n"/>
      <c r="CM249" s="12" t="n"/>
      <c r="CN249" s="12" t="n"/>
      <c r="CO249" s="12" t="n"/>
      <c r="CP249" s="12" t="n"/>
      <c r="CQ249" s="12" t="n"/>
      <c r="CR249" s="12" t="n"/>
      <c r="CS249" s="12" t="n"/>
      <c r="CT249" s="12" t="n"/>
      <c r="CU249" s="12" t="n"/>
      <c r="CV249" s="12" t="n"/>
      <c r="CW249" s="12" t="n"/>
      <c r="CX249" s="12" t="n"/>
      <c r="CY249" s="12" t="n"/>
    </row>
    <row r="250" collapsed="1">
      <c r="C250" s="14" t="inlineStr">
        <is>
          <t>Convertible debt</t>
        </is>
      </c>
      <c r="D250" s="46" t="n"/>
      <c r="E250" s="46" t="n"/>
      <c r="F250" s="46" t="n"/>
      <c r="G250" s="46" t="n"/>
      <c r="H250" s="12" t="n"/>
      <c r="I250" s="46">
        <f>'Inputs (2)'!D37</f>
        <v>0</v>
      </c>
      <c r="J250" s="46">
        <f>'Inputs (2)'!E37</f>
        <v>0</v>
      </c>
      <c r="K250" s="46">
        <f>'Inputs (2)'!F37</f>
        <v>0</v>
      </c>
      <c r="L250" s="46">
        <f>'Inputs (2)'!G37</f>
        <v>0</v>
      </c>
      <c r="M250" s="12">
        <f>'Inputs (2)'!H37</f>
        <v>0</v>
      </c>
      <c r="N250" s="46">
        <f>'Inputs (2)'!I37</f>
        <v>0</v>
      </c>
      <c r="O250" s="46">
        <f>'Inputs (2)'!J37</f>
        <v>0</v>
      </c>
      <c r="P250" s="46">
        <f>'Inputs (2)'!K37</f>
        <v>0</v>
      </c>
      <c r="Q250" s="46">
        <f>'Inputs (2)'!L37</f>
        <v>0</v>
      </c>
      <c r="R250" s="12">
        <f>'Inputs (2)'!M37</f>
        <v>0</v>
      </c>
      <c r="S250" s="46">
        <f>'Inputs (2)'!N37</f>
        <v>0</v>
      </c>
      <c r="T250" s="46">
        <f>'Inputs (2)'!O37</f>
        <v>0</v>
      </c>
      <c r="U250" s="46">
        <f>'Inputs (2)'!P37</f>
        <v>0</v>
      </c>
      <c r="V250" s="46">
        <f>'Inputs (2)'!Q37</f>
        <v>0</v>
      </c>
      <c r="W250" s="12">
        <f>'Inputs (2)'!R37</f>
        <v>0</v>
      </c>
      <c r="X250" s="46">
        <f>'Inputs (2)'!S37</f>
        <v>0</v>
      </c>
      <c r="Y250" s="46">
        <f>'Inputs (2)'!T37</f>
        <v>0</v>
      </c>
      <c r="Z250" s="46">
        <f>'Inputs (2)'!U37</f>
        <v>0</v>
      </c>
      <c r="AA250" s="46">
        <f>'Inputs (2)'!V37</f>
        <v>0</v>
      </c>
      <c r="AB250" s="12">
        <f>'Inputs (2)'!W37</f>
        <v>0</v>
      </c>
      <c r="AC250" s="46">
        <f>'Inputs (2)'!X37</f>
        <v>0</v>
      </c>
      <c r="AD250" s="46">
        <f>'Inputs (2)'!Y37</f>
        <v>0</v>
      </c>
      <c r="AE250" s="46">
        <f>'Inputs (2)'!Z37</f>
        <v>0</v>
      </c>
      <c r="AF250" s="46">
        <f>'Inputs (2)'!AA37</f>
        <v>0</v>
      </c>
      <c r="AG250" s="12">
        <f>'Inputs (2)'!AB37</f>
        <v>0</v>
      </c>
      <c r="AH250" s="12">
        <f>'Inputs (2)'!AC37</f>
        <v>0</v>
      </c>
      <c r="AI250" s="12">
        <f>'Inputs (2)'!AD37</f>
        <v>0</v>
      </c>
      <c r="AJ250" s="12">
        <f>AI250</f>
        <v>0</v>
      </c>
      <c r="AK250" s="12">
        <f>AJ250</f>
        <v>0</v>
      </c>
      <c r="AL250" s="12">
        <f>AK250</f>
        <v>0</v>
      </c>
      <c r="AM250" s="12">
        <f>AL250</f>
        <v>0</v>
      </c>
      <c r="AN250" s="12">
        <f>AM250</f>
        <v>0</v>
      </c>
      <c r="AO250" s="12">
        <f>AN250</f>
        <v>0</v>
      </c>
      <c r="AP250" s="12">
        <f>AO250</f>
        <v>0</v>
      </c>
      <c r="AQ250" s="12">
        <f>AP250</f>
        <v>0</v>
      </c>
      <c r="AR250" s="12">
        <f>AQ250</f>
        <v>0</v>
      </c>
      <c r="AS250" s="12">
        <f>AR250</f>
        <v>0</v>
      </c>
      <c r="AT250" s="12">
        <f>AS250</f>
        <v>0</v>
      </c>
      <c r="AU250" s="12">
        <f>AT250</f>
        <v>0</v>
      </c>
      <c r="AV250" s="12">
        <f>AU250</f>
        <v>0</v>
      </c>
      <c r="AW250" s="12">
        <f>AV250</f>
        <v>0</v>
      </c>
      <c r="AX250" s="12">
        <f>AW250</f>
        <v>0</v>
      </c>
      <c r="AY250" s="12">
        <f>AX250</f>
        <v>0</v>
      </c>
      <c r="AZ250" s="12">
        <f>AY250</f>
        <v>0</v>
      </c>
      <c r="BA250" s="12">
        <f>AZ250</f>
        <v>0</v>
      </c>
      <c r="BB250" s="12">
        <f>BA250</f>
        <v>0</v>
      </c>
      <c r="BC250" s="12">
        <f>BB250</f>
        <v>0</v>
      </c>
      <c r="BD250" s="12">
        <f>BC250</f>
        <v>0</v>
      </c>
      <c r="BE250" s="12">
        <f>BD250</f>
        <v>0</v>
      </c>
      <c r="BF250" s="12">
        <f>BE250</f>
        <v>0</v>
      </c>
      <c r="BG250" s="12" t="n"/>
      <c r="BH250" s="12" t="n"/>
      <c r="BI250" s="12" t="n"/>
      <c r="BJ250" s="12" t="n"/>
      <c r="BK250" s="12" t="n"/>
      <c r="BL250" s="12" t="n"/>
      <c r="BM250" s="12" t="n"/>
      <c r="BN250" s="12" t="n"/>
      <c r="BO250" s="12" t="n"/>
      <c r="BP250" s="12" t="n"/>
      <c r="BQ250" s="12" t="n"/>
      <c r="BR250" s="12" t="n"/>
      <c r="BS250" s="12" t="n"/>
      <c r="BT250" s="12" t="n"/>
      <c r="BU250" s="12" t="n"/>
      <c r="BV250" s="12" t="n"/>
      <c r="BW250" s="12" t="n"/>
      <c r="BX250" s="12" t="n"/>
      <c r="BY250" s="12" t="n"/>
      <c r="BZ250" s="12" t="n"/>
      <c r="CA250" s="12" t="n"/>
      <c r="CB250" s="12" t="n"/>
      <c r="CC250" s="12" t="n"/>
      <c r="CD250" s="12" t="n"/>
      <c r="CE250" s="12" t="n"/>
      <c r="CF250" s="12" t="n"/>
      <c r="CG250" s="12" t="n"/>
      <c r="CH250" s="12" t="n"/>
      <c r="CI250" s="12" t="n"/>
      <c r="CJ250" s="12" t="n"/>
      <c r="CK250" s="12" t="n"/>
      <c r="CL250" s="12" t="n"/>
      <c r="CM250" s="12" t="n"/>
      <c r="CN250" s="12" t="n"/>
      <c r="CO250" s="12" t="n"/>
      <c r="CP250" s="12" t="n"/>
      <c r="CQ250" s="12" t="n"/>
      <c r="CR250" s="12" t="n"/>
      <c r="CS250" s="12" t="n"/>
      <c r="CT250" s="12" t="n"/>
      <c r="CU250" s="12" t="n"/>
      <c r="CV250" s="12" t="n"/>
      <c r="CW250" s="12" t="n"/>
      <c r="CX250" s="12" t="n"/>
      <c r="CY250" s="12" t="n"/>
    </row>
    <row r="251">
      <c r="C251" s="14" t="inlineStr">
        <is>
          <t>Deferred income taxes</t>
        </is>
      </c>
      <c r="D251" s="46" t="n"/>
      <c r="E251" s="46" t="n"/>
      <c r="F251" s="46" t="n"/>
      <c r="G251" s="46" t="n"/>
      <c r="H251" s="12" t="n"/>
      <c r="I251" s="46">
        <f>'Inputs (2)'!D38</f>
        <v>253.092</v>
      </c>
      <c r="J251" s="46">
        <f>'Inputs (2)'!E38</f>
        <v>354.903</v>
      </c>
      <c r="K251" s="46">
        <f>'Inputs (2)'!F38</f>
        <v>488.512</v>
      </c>
      <c r="L251" s="46">
        <f>'Inputs (2)'!G38</f>
        <v>550.758</v>
      </c>
      <c r="M251" s="12">
        <f>'Inputs (2)'!H38</f>
        <v>550.758</v>
      </c>
      <c r="N251" s="46">
        <f>'Inputs (2)'!I38</f>
        <v>551.177</v>
      </c>
      <c r="O251" s="46">
        <f>'Inputs (2)'!J38</f>
        <v>577.658</v>
      </c>
      <c r="P251" s="46">
        <f>'Inputs (2)'!K38</f>
        <v>589.252</v>
      </c>
      <c r="Q251" s="46">
        <f>'Inputs (2)'!L38</f>
        <v>611.603</v>
      </c>
      <c r="R251" s="12">
        <f>'Inputs (2)'!M38</f>
        <v>611.603</v>
      </c>
      <c r="S251" s="46">
        <f>'Inputs (2)'!N38</f>
        <v>764.597</v>
      </c>
      <c r="T251" s="46">
        <f>'Inputs (2)'!O38</f>
        <v>829.712</v>
      </c>
      <c r="U251" s="46">
        <f>'Inputs (2)'!P38</f>
        <v>814.36</v>
      </c>
      <c r="V251" s="46">
        <f>'Inputs (2)'!Q38</f>
        <v>780.22</v>
      </c>
      <c r="W251" s="12">
        <f>'Inputs (2)'!R38</f>
        <v>780.22</v>
      </c>
      <c r="X251" s="46">
        <f>'Inputs (2)'!S38</f>
        <v>780.929</v>
      </c>
      <c r="Y251" s="46">
        <f>'Inputs (2)'!T38</f>
        <v>861.486</v>
      </c>
      <c r="Z251" s="46">
        <f>'Inputs (2)'!U38</f>
        <v>937.03</v>
      </c>
      <c r="AA251" s="46">
        <f>'Inputs (2)'!V38</f>
        <v>319.118</v>
      </c>
      <c r="AB251" s="12">
        <f>'Inputs (2)'!W38</f>
        <v>319.118</v>
      </c>
      <c r="AC251" s="46">
        <f>'Inputs (2)'!X38</f>
        <v>331.116</v>
      </c>
      <c r="AD251" s="46">
        <f>'Inputs (2)'!Y38</f>
        <v>356.854</v>
      </c>
      <c r="AE251" s="46">
        <f>'Inputs (2)'!Z38</f>
        <v>393.331</v>
      </c>
      <c r="AF251" s="46">
        <f>'Inputs (2)'!AA38</f>
        <v>554.65</v>
      </c>
      <c r="AG251" s="12">
        <f>'Inputs (2)'!AB38</f>
        <v>554.65</v>
      </c>
      <c r="AH251" s="12">
        <f>'Inputs (2)'!AC38</f>
        <v>583.321</v>
      </c>
      <c r="AI251" s="12">
        <f>'Inputs (2)'!AD38</f>
        <v>610.153</v>
      </c>
      <c r="AJ251" s="12">
        <f>AI251</f>
        <v>610.153</v>
      </c>
      <c r="AK251" s="12">
        <f>AJ251</f>
        <v>610.153</v>
      </c>
      <c r="AL251" s="12">
        <f>AK251</f>
        <v>610.153</v>
      </c>
      <c r="AM251" s="12">
        <f>AL251</f>
        <v>610.153</v>
      </c>
      <c r="AN251" s="12">
        <f>AM251</f>
        <v>610.153</v>
      </c>
      <c r="AO251" s="12">
        <f>AN251</f>
        <v>610.153</v>
      </c>
      <c r="AP251" s="12">
        <f>AO251</f>
        <v>610.153</v>
      </c>
      <c r="AQ251" s="12">
        <f>AP251</f>
        <v>610.153</v>
      </c>
      <c r="AR251" s="12">
        <f>AQ251</f>
        <v>610.153</v>
      </c>
      <c r="AS251" s="12">
        <f>AR251</f>
        <v>610.153</v>
      </c>
      <c r="AT251" s="12">
        <f>AS251</f>
        <v>610.153</v>
      </c>
      <c r="AU251" s="12">
        <f>AT251</f>
        <v>610.153</v>
      </c>
      <c r="AV251" s="12">
        <f>AU251</f>
        <v>610.153</v>
      </c>
      <c r="AW251" s="12">
        <f>AV251</f>
        <v>610.153</v>
      </c>
      <c r="AX251" s="12">
        <f>AW251</f>
        <v>610.153</v>
      </c>
      <c r="AY251" s="12">
        <f>AX251</f>
        <v>610.153</v>
      </c>
      <c r="AZ251" s="12">
        <f>AY251</f>
        <v>610.153</v>
      </c>
      <c r="BA251" s="12">
        <f>AZ251</f>
        <v>610.153</v>
      </c>
      <c r="BB251" s="12">
        <f>BA251</f>
        <v>610.153</v>
      </c>
      <c r="BC251" s="12">
        <f>BB251</f>
        <v>610.153</v>
      </c>
      <c r="BD251" s="12">
        <f>BC251</f>
        <v>610.153</v>
      </c>
      <c r="BE251" s="12">
        <f>BD251</f>
        <v>610.153</v>
      </c>
      <c r="BF251" s="12">
        <f>BE251</f>
        <v>610.153</v>
      </c>
      <c r="BG251" s="12" t="n"/>
      <c r="BH251" s="12" t="n"/>
      <c r="BI251" s="12" t="n"/>
      <c r="BJ251" s="12" t="n"/>
      <c r="BK251" s="12" t="n"/>
      <c r="BL251" s="12" t="n"/>
      <c r="BM251" s="12" t="n"/>
      <c r="BN251" s="12" t="n"/>
      <c r="BO251" s="12" t="n"/>
      <c r="BP251" s="12" t="n"/>
      <c r="BQ251" s="12" t="n"/>
      <c r="BR251" s="12" t="n"/>
      <c r="BS251" s="12" t="n"/>
      <c r="BT251" s="12" t="n"/>
      <c r="BU251" s="12" t="n"/>
      <c r="BV251" s="12" t="n"/>
      <c r="BW251" s="12" t="n"/>
      <c r="BX251" s="12" t="n"/>
      <c r="BY251" s="12" t="n"/>
      <c r="BZ251" s="12" t="n"/>
      <c r="CA251" s="12" t="n"/>
      <c r="CB251" s="12" t="n"/>
      <c r="CC251" s="12" t="n"/>
      <c r="CD251" s="12" t="n"/>
      <c r="CE251" s="12" t="n"/>
      <c r="CF251" s="12" t="n"/>
      <c r="CG251" s="12" t="n"/>
      <c r="CH251" s="12" t="n"/>
      <c r="CI251" s="12" t="n"/>
      <c r="CJ251" s="12" t="n"/>
      <c r="CK251" s="12" t="n"/>
      <c r="CL251" s="12" t="n"/>
      <c r="CM251" s="12" t="n"/>
      <c r="CN251" s="12" t="n"/>
      <c r="CO251" s="12" t="n"/>
      <c r="CP251" s="12" t="n"/>
      <c r="CQ251" s="12" t="n"/>
      <c r="CR251" s="12" t="n"/>
      <c r="CS251" s="12" t="n"/>
      <c r="CT251" s="12" t="n"/>
      <c r="CU251" s="12" t="n"/>
      <c r="CV251" s="12" t="n"/>
      <c r="CW251" s="12" t="n"/>
      <c r="CX251" s="12" t="n"/>
      <c r="CY251" s="12" t="n"/>
    </row>
    <row r="252">
      <c r="C252" s="14" t="inlineStr">
        <is>
          <t>Other non-current liabilities</t>
        </is>
      </c>
      <c r="D252" s="46" t="n"/>
      <c r="E252" s="46" t="n"/>
      <c r="F252" s="46" t="n"/>
      <c r="G252" s="46" t="n"/>
      <c r="H252" s="12" t="n"/>
      <c r="I252" s="46">
        <f>'Inputs (2)'!D39</f>
        <v>175.514</v>
      </c>
      <c r="J252" s="46">
        <f>'Inputs (2)'!E39</f>
        <v>368.941</v>
      </c>
      <c r="K252" s="46">
        <f>'Inputs (2)'!F39</f>
        <v>389.206</v>
      </c>
      <c r="L252" s="46">
        <f>'Inputs (2)'!G39</f>
        <v>121.857</v>
      </c>
      <c r="M252" s="12">
        <f>'Inputs (2)'!H39</f>
        <v>121.857</v>
      </c>
      <c r="N252" s="46">
        <f>'Inputs (2)'!I39</f>
        <v>701.389</v>
      </c>
      <c r="O252" s="46">
        <f>'Inputs (2)'!J39</f>
        <v>756.418</v>
      </c>
      <c r="P252" s="46">
        <f>'Inputs (2)'!K39</f>
        <v>778.453</v>
      </c>
      <c r="Q252" s="46">
        <f>'Inputs (2)'!L39</f>
        <v>1291.909</v>
      </c>
      <c r="R252" s="12">
        <f>'Inputs (2)'!M39</f>
        <v>1291.909</v>
      </c>
      <c r="S252" s="46">
        <f>'Inputs (2)'!N39</f>
        <v>1214.05</v>
      </c>
      <c r="T252" s="46">
        <f>'Inputs (2)'!O39</f>
        <v>1141.869</v>
      </c>
      <c r="U252" s="46">
        <f>'Inputs (2)'!P39</f>
        <v>1124.146</v>
      </c>
      <c r="V252" s="46">
        <f>'Inputs (2)'!Q39</f>
        <v>344.124</v>
      </c>
      <c r="W252" s="12">
        <f>'Inputs (2)'!R39</f>
        <v>344.124</v>
      </c>
      <c r="X252" s="46">
        <f>'Inputs (2)'!S39</f>
        <v>437.191</v>
      </c>
      <c r="Y252" s="46">
        <f>'Inputs (2)'!T39</f>
        <v>528.912</v>
      </c>
      <c r="Z252" s="46">
        <f>'Inputs (2)'!U39</f>
        <v>595.543</v>
      </c>
      <c r="AA252" s="46">
        <f>'Inputs (2)'!V39</f>
        <v>394.754</v>
      </c>
      <c r="AB252" s="12">
        <f>'Inputs (2)'!W39</f>
        <v>394.754</v>
      </c>
      <c r="AC252" s="46">
        <f>'Inputs (2)'!X39</f>
        <v>613.334</v>
      </c>
      <c r="AD252" s="46">
        <f>'Inputs (2)'!Y39</f>
        <v>822.429</v>
      </c>
      <c r="AE252" s="46">
        <f>'Inputs (2)'!Z39</f>
        <v>953.481</v>
      </c>
      <c r="AF252" s="46">
        <f>'Inputs (2)'!AA39</f>
        <v>1108.57</v>
      </c>
      <c r="AG252" s="12">
        <f>'Inputs (2)'!AB39</f>
        <v>1108.57</v>
      </c>
      <c r="AH252" s="12">
        <f>'Inputs (2)'!AC39</f>
        <v>1368.663</v>
      </c>
      <c r="AI252" s="12">
        <f>'Inputs (2)'!AD39</f>
        <v>1521.839</v>
      </c>
      <c r="AJ252" s="12">
        <f>AI252</f>
        <v>1521.839</v>
      </c>
      <c r="AK252" s="12">
        <f>AJ252</f>
        <v>1521.839</v>
      </c>
      <c r="AL252" s="12">
        <f>AK252</f>
        <v>1521.839</v>
      </c>
      <c r="AM252" s="12">
        <f>AL252</f>
        <v>1521.839</v>
      </c>
      <c r="AN252" s="12">
        <f>AM252</f>
        <v>1521.839</v>
      </c>
      <c r="AO252" s="12">
        <f>AN252</f>
        <v>1521.839</v>
      </c>
      <c r="AP252" s="12">
        <f>AO252</f>
        <v>1521.839</v>
      </c>
      <c r="AQ252" s="12">
        <f>AP252</f>
        <v>1521.839</v>
      </c>
      <c r="AR252" s="12">
        <f>AQ252</f>
        <v>1521.839</v>
      </c>
      <c r="AS252" s="12">
        <f>AR252</f>
        <v>1521.839</v>
      </c>
      <c r="AT252" s="12">
        <f>AS252</f>
        <v>1521.839</v>
      </c>
      <c r="AU252" s="12">
        <f>AT252</f>
        <v>1521.839</v>
      </c>
      <c r="AV252" s="12">
        <f>AU252</f>
        <v>1521.839</v>
      </c>
      <c r="AW252" s="12">
        <f>AV252</f>
        <v>1521.839</v>
      </c>
      <c r="AX252" s="12">
        <f>AW252</f>
        <v>1521.839</v>
      </c>
      <c r="AY252" s="12">
        <f>AX252</f>
        <v>1521.839</v>
      </c>
      <c r="AZ252" s="12">
        <f>AY252</f>
        <v>1521.839</v>
      </c>
      <c r="BA252" s="12">
        <f>AZ252</f>
        <v>1521.839</v>
      </c>
      <c r="BB252" s="12">
        <f>BA252</f>
        <v>1521.839</v>
      </c>
      <c r="BC252" s="12">
        <f>BB252</f>
        <v>1521.839</v>
      </c>
      <c r="BD252" s="12">
        <f>BC252</f>
        <v>1521.839</v>
      </c>
      <c r="BE252" s="12">
        <f>BD252</f>
        <v>1521.839</v>
      </c>
      <c r="BF252" s="12">
        <f>BE252</f>
        <v>1521.839</v>
      </c>
      <c r="BG252" s="12" t="n"/>
      <c r="BH252" s="12" t="n"/>
      <c r="BI252" s="12" t="n"/>
      <c r="BJ252" s="12" t="n"/>
      <c r="BK252" s="12" t="n"/>
      <c r="BL252" s="12" t="n"/>
      <c r="BM252" s="12" t="n"/>
      <c r="BN252" s="12" t="n"/>
      <c r="BO252" s="12" t="n"/>
      <c r="BP252" s="12" t="n"/>
      <c r="BQ252" s="12" t="n"/>
      <c r="BR252" s="12" t="n"/>
      <c r="BS252" s="12" t="n"/>
      <c r="BT252" s="12" t="n"/>
      <c r="BU252" s="12" t="n"/>
      <c r="BV252" s="12" t="n"/>
      <c r="BW252" s="12" t="n"/>
      <c r="BX252" s="12" t="n"/>
      <c r="BY252" s="12" t="n"/>
      <c r="BZ252" s="12" t="n"/>
      <c r="CA252" s="12" t="n"/>
      <c r="CB252" s="12" t="n"/>
      <c r="CC252" s="12" t="n"/>
      <c r="CD252" s="12" t="n"/>
      <c r="CE252" s="12" t="n"/>
      <c r="CF252" s="12" t="n"/>
      <c r="CG252" s="12" t="n"/>
      <c r="CH252" s="12" t="n"/>
      <c r="CI252" s="12" t="n"/>
      <c r="CJ252" s="12" t="n"/>
      <c r="CK252" s="12" t="n"/>
      <c r="CL252" s="12" t="n"/>
      <c r="CM252" s="12" t="n"/>
      <c r="CN252" s="12" t="n"/>
      <c r="CO252" s="12" t="n"/>
      <c r="CP252" s="12" t="n"/>
      <c r="CQ252" s="12" t="n"/>
      <c r="CR252" s="12" t="n"/>
      <c r="CS252" s="12" t="n"/>
      <c r="CT252" s="12" t="n"/>
      <c r="CU252" s="12" t="n"/>
      <c r="CV252" s="12" t="n"/>
      <c r="CW252" s="12" t="n"/>
      <c r="CX252" s="12" t="n"/>
      <c r="CY252" s="12" t="n"/>
    </row>
    <row r="253" hidden="1" outlineLevel="1" ht="12" customHeight="1">
      <c r="C253" s="59" t="inlineStr">
        <is>
          <t>%(Var.)</t>
        </is>
      </c>
      <c r="D253" s="12" t="n"/>
      <c r="E253" s="40" t="n"/>
      <c r="F253" s="40" t="n"/>
      <c r="G253" s="40" t="n"/>
      <c r="H253" s="12" t="n"/>
      <c r="I253" s="40" t="str">
        <f>""</f>
        <v/>
      </c>
      <c r="J253" s="40">
        <f>IF(I252=0,"",J252/I252-1)</f>
        <v>1.10206023451121</v>
      </c>
      <c r="K253" s="40">
        <f>IF(J252=0,"",K252/J252-1)</f>
        <v>0.0549274816298542</v>
      </c>
      <c r="L253" s="40">
        <f>IF(K252=0,"",L252/K252-1)</f>
        <v>-0.686908732136709</v>
      </c>
      <c r="M253" s="12">
        <f>IF(L252=0,"",M252/L252-1)</f>
        <v>0</v>
      </c>
      <c r="N253" s="40">
        <f>IF(M252=0,"",N252/M252-1)</f>
        <v>4.75583675948038</v>
      </c>
      <c r="O253" s="40">
        <f>IF(N252=0,"",O252/N252-1)</f>
        <v>0.0784571756899524</v>
      </c>
      <c r="P253" s="40">
        <f>IF(O252=0,"",P252/O252-1)</f>
        <v>0.0291307187295913</v>
      </c>
      <c r="Q253" s="40">
        <f>IF(P252=0,"",Q252/P252-1)</f>
        <v>0.659585100192305</v>
      </c>
      <c r="R253" s="12">
        <f>IF(Q252=0,"",R252/Q252-1)</f>
        <v>0</v>
      </c>
      <c r="S253" s="40">
        <f>IF(R252=0,"",S252/R252-1)</f>
        <v>-0.0602666286866955</v>
      </c>
      <c r="T253" s="40">
        <f>IF(S252=0,"",T252/S252-1)</f>
        <v>-0.0594547176804909</v>
      </c>
      <c r="U253" s="40">
        <f>IF(T252=0,"",U252/T252-1)</f>
        <v>-0.0155210448834323</v>
      </c>
      <c r="V253" s="40">
        <f>IF(U252=0,"",V252/U252-1)</f>
        <v>-0.693879620618674</v>
      </c>
      <c r="W253" s="12">
        <f>IF(V252=0,"",W252/V252-1)</f>
        <v>0</v>
      </c>
      <c r="X253" s="40">
        <f>IF(W252=0,"",X252/W252-1)</f>
        <v>0.270446118259697</v>
      </c>
      <c r="Y253" s="40">
        <f>IF(X252=0,"",Y252/X252-1)</f>
        <v>0.20979617604205</v>
      </c>
      <c r="Z253" s="40">
        <f>IF(Y252=0,"",Z252/Y252-1)</f>
        <v>0.125977478295066</v>
      </c>
      <c r="AA253" s="40">
        <f>IF(Z252=0,"",AA252/Z252-1)</f>
        <v>-0.337152816841101</v>
      </c>
      <c r="AB253" s="12">
        <f>IF(AA252=0,"",AB252/AA252-1)</f>
        <v>0</v>
      </c>
      <c r="AC253" s="40">
        <f>IF(AB252=0,"",AC252/AB252-1)</f>
        <v>0.553711931988023</v>
      </c>
      <c r="AD253" s="40">
        <f>IF(AC252=0,"",AD252/AC252-1)</f>
        <v>0.340915390309358</v>
      </c>
      <c r="AE253" s="40">
        <f>IF(AD252=0,"",AE252/AD252-1)</f>
        <v>0.159347493826215</v>
      </c>
      <c r="AF253" s="41">
        <f>IF(AE252=0,"",AF252/AE252-1)</f>
        <v>0.162655574678467</v>
      </c>
      <c r="AG253" s="12">
        <f>IF(AF252=0,"",AG252/AF252-1)</f>
        <v>0</v>
      </c>
      <c r="AH253" s="41">
        <f>IF(AG252=0,"",AH252/AG252-1)</f>
        <v>0.234620276572521</v>
      </c>
      <c r="AI253" s="41">
        <f>IF(AH252=0,"",AI252/AH252-1)</f>
        <v>0.111916519990677</v>
      </c>
      <c r="AJ253" s="41">
        <f>IF(AI252=0,"",AJ252/AI252-1)</f>
        <v>0</v>
      </c>
      <c r="AK253" s="41">
        <f>IF(AJ252=0,"",AK252/AJ252-1)</f>
        <v>0</v>
      </c>
      <c r="AL253" s="12">
        <f>IF(AK252=0,"",AL252/AK252-1)</f>
        <v>0</v>
      </c>
      <c r="AM253" s="41">
        <f>IF(AL252=0,"",AM252/AL252-1)</f>
        <v>0</v>
      </c>
      <c r="AN253" s="41">
        <f>IF(AM252=0,"",AN252/AM252-1)</f>
        <v>0</v>
      </c>
      <c r="AO253" s="41">
        <f>IF(AN252=0,"",AO252/AN252-1)</f>
        <v>0</v>
      </c>
      <c r="AP253" s="41">
        <f>IF(AO252=0,"",AP252/AO252-1)</f>
        <v>0</v>
      </c>
      <c r="AQ253" s="12">
        <f>IF(AP252=0,"",AQ252/AP252-1)</f>
        <v>0</v>
      </c>
      <c r="AR253" s="41">
        <f>IF(AQ252=0,"",AR252/AQ252-1)</f>
        <v>0</v>
      </c>
      <c r="AS253" s="41">
        <f>IF(AR252=0,"",AS252/AR252-1)</f>
        <v>0</v>
      </c>
      <c r="AT253" s="41">
        <f>IF(AS252=0,"",AT252/AS252-1)</f>
        <v>0</v>
      </c>
      <c r="AU253" s="41">
        <f>IF(AT252=0,"",AU252/AT252-1)</f>
        <v>0</v>
      </c>
      <c r="AV253" s="12">
        <f>IF(AU252=0,"",AV252/AU252-1)</f>
        <v>0</v>
      </c>
      <c r="AW253" s="41">
        <f>IF(AV252=0,"",AW252/AV252-1)</f>
        <v>0</v>
      </c>
      <c r="AX253" s="41">
        <f>IF(AW252=0,"",AX252/AW252-1)</f>
        <v>0</v>
      </c>
      <c r="AY253" s="41">
        <f>IF(AX252=0,"",AY252/AX252-1)</f>
        <v>0</v>
      </c>
      <c r="AZ253" s="41">
        <f>IF(AY252=0,"",AZ252/AY252-1)</f>
        <v>0</v>
      </c>
      <c r="BA253" s="12">
        <f>IF(AZ252=0,"",BA252/AZ252-1)</f>
        <v>0</v>
      </c>
      <c r="BB253" s="41">
        <f>IF(BA252=0,"",BB252/BA252-1)</f>
        <v>0</v>
      </c>
      <c r="BC253" s="41">
        <f>IF(BB252=0,"",BC252/BB252-1)</f>
        <v>0</v>
      </c>
      <c r="BD253" s="41">
        <f>IF(BC252=0,"",BD252/BC252-1)</f>
        <v>0</v>
      </c>
      <c r="BE253" s="41">
        <f>IF(BD252=0,"",BE252/BD252-1)</f>
        <v>0</v>
      </c>
      <c r="BF253" s="12">
        <f>IF(BE252=0,"",BF252/BE252-1)</f>
        <v>0</v>
      </c>
      <c r="BG253" s="41" t="n"/>
      <c r="BH253" s="41" t="n"/>
      <c r="BI253" s="41" t="n"/>
      <c r="BJ253" s="41" t="n"/>
      <c r="BK253" s="12" t="n"/>
      <c r="BL253" s="41" t="n"/>
      <c r="BM253" s="41" t="n"/>
      <c r="BN253" s="41" t="n"/>
      <c r="BO253" s="41" t="n"/>
      <c r="BP253" s="12" t="n"/>
      <c r="BQ253" s="41" t="n"/>
      <c r="BR253" s="41" t="n"/>
      <c r="BS253" s="41" t="n"/>
      <c r="BT253" s="41" t="n"/>
      <c r="BU253" s="12" t="n"/>
      <c r="BV253" s="41" t="n"/>
      <c r="BW253" s="41" t="n"/>
      <c r="BX253" s="41" t="n"/>
      <c r="BY253" s="41" t="n"/>
      <c r="BZ253" s="12" t="n"/>
      <c r="CA253" s="41" t="n"/>
      <c r="CB253" s="41" t="n"/>
      <c r="CC253" s="41" t="n"/>
      <c r="CD253" s="41" t="n"/>
      <c r="CE253" s="12" t="n"/>
      <c r="CF253" s="41" t="n"/>
      <c r="CG253" s="41" t="n"/>
      <c r="CH253" s="41" t="n"/>
      <c r="CI253" s="41" t="n"/>
      <c r="CJ253" s="12" t="n"/>
      <c r="CK253" s="41" t="n"/>
      <c r="CL253" s="41" t="n"/>
      <c r="CM253" s="41" t="n"/>
      <c r="CN253" s="41" t="n"/>
      <c r="CO253" s="12" t="n"/>
      <c r="CP253" s="41" t="n"/>
      <c r="CQ253" s="41" t="n"/>
      <c r="CR253" s="41" t="n"/>
      <c r="CS253" s="41" t="n"/>
      <c r="CT253" s="12" t="n"/>
      <c r="CU253" s="41" t="n"/>
      <c r="CV253" s="41" t="n"/>
      <c r="CW253" s="41" t="n"/>
      <c r="CX253" s="41" t="n"/>
      <c r="CY253" s="12" t="n"/>
    </row>
    <row r="254" hidden="1" outlineLevel="1" ht="12" customHeight="1">
      <c r="C254" s="59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  <c r="AG254" s="12" t="n"/>
      <c r="AH254" s="12" t="n"/>
      <c r="AI254" s="12" t="n"/>
      <c r="AJ254" s="12" t="n"/>
      <c r="AK254" s="12" t="n"/>
      <c r="AL254" s="12" t="n"/>
      <c r="AM254" s="12" t="n"/>
      <c r="AN254" s="12" t="n"/>
      <c r="AO254" s="12" t="n"/>
      <c r="AP254" s="12" t="n"/>
      <c r="AQ254" s="12" t="n"/>
      <c r="AR254" s="12" t="n"/>
      <c r="AS254" s="12" t="n"/>
      <c r="AT254" s="12" t="n"/>
      <c r="AU254" s="12" t="n"/>
      <c r="AV254" s="12" t="n"/>
      <c r="AW254" s="12" t="n"/>
      <c r="AX254" s="12" t="n"/>
      <c r="AY254" s="12" t="n"/>
      <c r="AZ254" s="12" t="n"/>
      <c r="BA254" s="12" t="n"/>
      <c r="BB254" s="12" t="n"/>
      <c r="BC254" s="12" t="n"/>
      <c r="BD254" s="12" t="n"/>
      <c r="BE254" s="12" t="n"/>
      <c r="BF254" s="12" t="n"/>
      <c r="BG254" s="12" t="n"/>
      <c r="BH254" s="12" t="n"/>
      <c r="BI254" s="12" t="n"/>
      <c r="BJ254" s="12" t="n"/>
      <c r="BK254" s="12" t="n"/>
      <c r="BL254" s="12" t="n"/>
      <c r="BM254" s="12" t="n"/>
      <c r="BN254" s="12" t="n"/>
      <c r="BO254" s="12" t="n"/>
      <c r="BP254" s="12" t="n"/>
      <c r="BQ254" s="12" t="n"/>
      <c r="BR254" s="12" t="n"/>
      <c r="BS254" s="12" t="n"/>
      <c r="BT254" s="12" t="n"/>
      <c r="BU254" s="12" t="n"/>
      <c r="BV254" s="12" t="n"/>
      <c r="BW254" s="12" t="n"/>
      <c r="BX254" s="12" t="n"/>
      <c r="BY254" s="12" t="n"/>
      <c r="BZ254" s="12" t="n"/>
      <c r="CA254" s="12" t="n"/>
      <c r="CB254" s="12" t="n"/>
      <c r="CC254" s="12" t="n"/>
      <c r="CD254" s="12" t="n"/>
      <c r="CE254" s="12" t="n"/>
      <c r="CF254" s="12" t="n"/>
      <c r="CG254" s="12" t="n"/>
      <c r="CH254" s="12" t="n"/>
      <c r="CI254" s="12" t="n"/>
      <c r="CJ254" s="12" t="n"/>
      <c r="CK254" s="12" t="n"/>
      <c r="CL254" s="12" t="n"/>
      <c r="CM254" s="12" t="n"/>
      <c r="CN254" s="12" t="n"/>
      <c r="CO254" s="12" t="n"/>
      <c r="CP254" s="12" t="n"/>
      <c r="CQ254" s="12" t="n"/>
      <c r="CR254" s="12" t="n"/>
      <c r="CS254" s="12" t="n"/>
      <c r="CT254" s="12" t="n"/>
      <c r="CU254" s="12" t="n"/>
      <c r="CV254" s="12" t="n"/>
      <c r="CW254" s="12" t="n"/>
      <c r="CX254" s="12" t="n"/>
      <c r="CY254" s="12" t="n"/>
    </row>
    <row r="255" hidden="1" outlineLevel="1">
      <c r="C255" s="57" t="inlineStr">
        <is>
          <t>Contas a pagar pela aquisição de controladas</t>
        </is>
      </c>
      <c r="D255" s="11" t="n"/>
      <c r="E255" s="11" t="n"/>
      <c r="F255" s="11" t="n"/>
      <c r="G255" s="11" t="n"/>
      <c r="H255" s="12" t="n"/>
      <c r="I255" s="11" t="n"/>
      <c r="J255" s="11" t="n"/>
      <c r="K255" s="11" t="n"/>
      <c r="L255" s="11" t="n"/>
      <c r="M255" s="12" t="n"/>
      <c r="N255" s="11" t="n"/>
      <c r="O255" s="11" t="n"/>
      <c r="P255" s="11" t="n"/>
      <c r="Q255" s="11" t="n"/>
      <c r="R255" s="12" t="n"/>
      <c r="S255" s="11" t="n"/>
      <c r="T255" s="11" t="n"/>
      <c r="U255" s="11" t="n"/>
      <c r="V255" s="11" t="n"/>
      <c r="W255" s="12" t="n"/>
      <c r="X255" s="11" t="n"/>
      <c r="Y255" s="11" t="n"/>
      <c r="Z255" s="11" t="n"/>
      <c r="AA255" s="11" t="n"/>
      <c r="AB255" s="12" t="n"/>
      <c r="AC255" s="11" t="n"/>
      <c r="AD255" s="11" t="n"/>
      <c r="AE255" s="11" t="n"/>
      <c r="AF255" s="11" t="n"/>
      <c r="AG255" s="12" t="n"/>
      <c r="AH255" s="12" t="n"/>
      <c r="AI255" s="12" t="n"/>
      <c r="AJ255" s="12" t="n"/>
      <c r="AK255" s="12" t="n"/>
      <c r="AL255" s="12" t="n"/>
      <c r="AM255" s="12" t="n"/>
      <c r="AN255" s="12" t="n"/>
      <c r="AO255" s="12" t="n"/>
      <c r="AP255" s="12" t="n"/>
      <c r="AQ255" s="12" t="n"/>
      <c r="AR255" s="12" t="n"/>
      <c r="AS255" s="12" t="n"/>
      <c r="AT255" s="12" t="n"/>
      <c r="AU255" s="12" t="n"/>
      <c r="AV255" s="12" t="n"/>
      <c r="AW255" s="12" t="n"/>
      <c r="AX255" s="12" t="n"/>
      <c r="AY255" s="12" t="n"/>
      <c r="AZ255" s="12" t="n"/>
      <c r="BA255" s="12" t="n"/>
      <c r="BB255" s="12" t="n"/>
      <c r="BC255" s="12" t="n"/>
      <c r="BD255" s="12" t="n"/>
      <c r="BE255" s="12" t="n"/>
      <c r="BF255" s="12" t="n"/>
      <c r="BG255" s="12" t="n"/>
      <c r="BH255" s="12" t="n"/>
      <c r="BI255" s="12" t="n"/>
      <c r="BJ255" s="12" t="n"/>
      <c r="BK255" s="12" t="n"/>
      <c r="BL255" s="12" t="n"/>
      <c r="BM255" s="12" t="n"/>
      <c r="BN255" s="12" t="n"/>
      <c r="BO255" s="12" t="n"/>
      <c r="BP255" s="12" t="n"/>
      <c r="BQ255" s="12" t="n"/>
      <c r="BR255" s="12" t="n"/>
      <c r="BS255" s="12" t="n"/>
      <c r="BT255" s="12" t="n"/>
      <c r="BU255" s="12" t="n"/>
      <c r="BV255" s="12" t="n"/>
      <c r="BW255" s="12" t="n"/>
      <c r="BX255" s="12" t="n"/>
      <c r="BY255" s="12" t="n"/>
      <c r="BZ255" s="12" t="n"/>
      <c r="CA255" s="12" t="n"/>
      <c r="CB255" s="12" t="n"/>
      <c r="CC255" s="12" t="n"/>
      <c r="CD255" s="12" t="n"/>
      <c r="CE255" s="12" t="n"/>
      <c r="CF255" s="12" t="n"/>
      <c r="CG255" s="12" t="n"/>
      <c r="CH255" s="12" t="n"/>
      <c r="CI255" s="12" t="n"/>
      <c r="CJ255" s="12" t="n"/>
      <c r="CK255" s="12" t="n"/>
      <c r="CL255" s="12" t="n"/>
      <c r="CM255" s="12" t="n"/>
      <c r="CN255" s="12" t="n"/>
      <c r="CO255" s="12" t="n"/>
      <c r="CP255" s="12" t="n"/>
      <c r="CQ255" s="12" t="n"/>
      <c r="CR255" s="12" t="n"/>
      <c r="CS255" s="12" t="n"/>
      <c r="CT255" s="12" t="n"/>
      <c r="CU255" s="12" t="n"/>
      <c r="CV255" s="12" t="n"/>
      <c r="CW255" s="12" t="n"/>
      <c r="CX255" s="12" t="n"/>
      <c r="CY255" s="12" t="n"/>
    </row>
    <row r="256" hidden="1" outlineLevel="1">
      <c r="C256" s="57" t="inlineStr">
        <is>
          <t xml:space="preserve">Outras Obrigações </t>
        </is>
      </c>
      <c r="D256" s="11" t="n"/>
      <c r="E256" s="11" t="n"/>
      <c r="F256" s="11" t="n"/>
      <c r="G256" s="11" t="n"/>
      <c r="H256" s="12" t="n"/>
      <c r="I256" s="11" t="n"/>
      <c r="J256" s="11" t="n"/>
      <c r="K256" s="11" t="n"/>
      <c r="L256" s="11" t="n"/>
      <c r="M256" s="12" t="n"/>
      <c r="N256" s="11" t="n"/>
      <c r="O256" s="11" t="n"/>
      <c r="P256" s="11" t="n"/>
      <c r="Q256" s="11" t="n"/>
      <c r="R256" s="12" t="n"/>
      <c r="S256" s="11" t="n"/>
      <c r="T256" s="11" t="n"/>
      <c r="U256" s="11" t="n"/>
      <c r="V256" s="11" t="n"/>
      <c r="W256" s="12" t="n"/>
      <c r="X256" s="11" t="n"/>
      <c r="Y256" s="11" t="n"/>
      <c r="Z256" s="11" t="n"/>
      <c r="AA256" s="11" t="n"/>
      <c r="AB256" s="12" t="n"/>
      <c r="AC256" s="11" t="n"/>
      <c r="AD256" s="11" t="n"/>
      <c r="AE256" s="11" t="n"/>
      <c r="AF256" s="11" t="n"/>
      <c r="AG256" s="12" t="n"/>
      <c r="AH256" s="12" t="n"/>
      <c r="AI256" s="12" t="n"/>
      <c r="AJ256" s="12" t="n"/>
      <c r="AK256" s="12" t="n"/>
      <c r="AL256" s="12" t="n"/>
      <c r="AM256" s="12" t="n"/>
      <c r="AN256" s="12" t="n"/>
      <c r="AO256" s="12" t="n"/>
      <c r="AP256" s="12" t="n"/>
      <c r="AQ256" s="12" t="n"/>
      <c r="AR256" s="12" t="n"/>
      <c r="AS256" s="12" t="n"/>
      <c r="AT256" s="12" t="n"/>
      <c r="AU256" s="12" t="n"/>
      <c r="AV256" s="12" t="n"/>
      <c r="AW256" s="12" t="n"/>
      <c r="AX256" s="12" t="n"/>
      <c r="AY256" s="12" t="n"/>
      <c r="AZ256" s="12" t="n"/>
      <c r="BA256" s="12" t="n"/>
      <c r="BB256" s="12" t="n"/>
      <c r="BC256" s="12" t="n"/>
      <c r="BD256" s="12" t="n"/>
      <c r="BE256" s="12" t="n"/>
      <c r="BF256" s="12" t="n"/>
      <c r="BG256" s="12" t="n"/>
      <c r="BH256" s="12" t="n"/>
      <c r="BI256" s="12" t="n"/>
      <c r="BJ256" s="12" t="n"/>
      <c r="BK256" s="12" t="n"/>
      <c r="BL256" s="12" t="n"/>
      <c r="BM256" s="12" t="n"/>
      <c r="BN256" s="12" t="n"/>
      <c r="BO256" s="12" t="n"/>
      <c r="BP256" s="12" t="n"/>
      <c r="BQ256" s="12" t="n"/>
      <c r="BR256" s="12" t="n"/>
      <c r="BS256" s="12" t="n"/>
      <c r="BT256" s="12" t="n"/>
      <c r="BU256" s="12" t="n"/>
      <c r="BV256" s="12" t="n"/>
      <c r="BW256" s="12" t="n"/>
      <c r="BX256" s="12" t="n"/>
      <c r="BY256" s="12" t="n"/>
      <c r="BZ256" s="12" t="n"/>
      <c r="CA256" s="12" t="n"/>
      <c r="CB256" s="12" t="n"/>
      <c r="CC256" s="12" t="n"/>
      <c r="CD256" s="12" t="n"/>
      <c r="CE256" s="12" t="n"/>
      <c r="CF256" s="12" t="n"/>
      <c r="CG256" s="12" t="n"/>
      <c r="CH256" s="12" t="n"/>
      <c r="CI256" s="12" t="n"/>
      <c r="CJ256" s="12" t="n"/>
      <c r="CK256" s="12" t="n"/>
      <c r="CL256" s="12" t="n"/>
      <c r="CM256" s="12" t="n"/>
      <c r="CN256" s="12" t="n"/>
      <c r="CO256" s="12" t="n"/>
      <c r="CP256" s="12" t="n"/>
      <c r="CQ256" s="12" t="n"/>
      <c r="CR256" s="12" t="n"/>
      <c r="CS256" s="12" t="n"/>
      <c r="CT256" s="12" t="n"/>
      <c r="CU256" s="12" t="n"/>
      <c r="CV256" s="12" t="n"/>
      <c r="CW256" s="12" t="n"/>
      <c r="CX256" s="12" t="n"/>
      <c r="CY256" s="12" t="n"/>
    </row>
    <row r="257" hidden="1" outlineLevel="1">
      <c r="C257" s="57" t="inlineStr">
        <is>
          <t xml:space="preserve">Provisão de Risco Cíveis, Trabalhistas e Tributários </t>
        </is>
      </c>
      <c r="D257" s="11" t="n"/>
      <c r="E257" s="11" t="n"/>
      <c r="F257" s="11" t="n"/>
      <c r="G257" s="11" t="n"/>
      <c r="H257" s="12" t="n"/>
      <c r="I257" s="11" t="n"/>
      <c r="J257" s="11" t="n"/>
      <c r="K257" s="11" t="n"/>
      <c r="L257" s="11" t="n"/>
      <c r="M257" s="12" t="n"/>
      <c r="N257" s="11" t="n"/>
      <c r="O257" s="11" t="n"/>
      <c r="P257" s="11" t="n"/>
      <c r="Q257" s="11" t="n"/>
      <c r="R257" s="12" t="n"/>
      <c r="S257" s="11" t="n"/>
      <c r="T257" s="11" t="n"/>
      <c r="U257" s="11" t="n"/>
      <c r="V257" s="11" t="n"/>
      <c r="W257" s="12" t="n"/>
      <c r="X257" s="11" t="n"/>
      <c r="Y257" s="11" t="n"/>
      <c r="Z257" s="11" t="n"/>
      <c r="AA257" s="11" t="n"/>
      <c r="AB257" s="12" t="n"/>
      <c r="AC257" s="11" t="n"/>
      <c r="AD257" s="11" t="n"/>
      <c r="AE257" s="11" t="n"/>
      <c r="AF257" s="11" t="n"/>
      <c r="AG257" s="12" t="n"/>
      <c r="AH257" s="12" t="n"/>
      <c r="AI257" s="12" t="n"/>
      <c r="AJ257" s="12" t="n"/>
      <c r="AK257" s="12" t="n"/>
      <c r="AL257" s="12" t="n"/>
      <c r="AM257" s="12" t="n"/>
      <c r="AN257" s="12" t="n"/>
      <c r="AO257" s="12" t="n"/>
      <c r="AP257" s="12" t="n"/>
      <c r="AQ257" s="12" t="n"/>
      <c r="AR257" s="12" t="n"/>
      <c r="AS257" s="12" t="n"/>
      <c r="AT257" s="12" t="n"/>
      <c r="AU257" s="12" t="n"/>
      <c r="AV257" s="12" t="n"/>
      <c r="AW257" s="12" t="n"/>
      <c r="AX257" s="12" t="n"/>
      <c r="AY257" s="12" t="n"/>
      <c r="AZ257" s="12" t="n"/>
      <c r="BA257" s="12" t="n"/>
      <c r="BB257" s="12" t="n"/>
      <c r="BC257" s="12" t="n"/>
      <c r="BD257" s="12" t="n"/>
      <c r="BE257" s="12" t="n"/>
      <c r="BF257" s="12" t="n"/>
      <c r="BG257" s="12" t="n"/>
      <c r="BH257" s="12" t="n"/>
      <c r="BI257" s="12" t="n"/>
      <c r="BJ257" s="12" t="n"/>
      <c r="BK257" s="12" t="n"/>
      <c r="BL257" s="12" t="n"/>
      <c r="BM257" s="12" t="n"/>
      <c r="BN257" s="12" t="n"/>
      <c r="BO257" s="12" t="n"/>
      <c r="BP257" s="12" t="n"/>
      <c r="BQ257" s="12" t="n"/>
      <c r="BR257" s="12" t="n"/>
      <c r="BS257" s="12" t="n"/>
      <c r="BT257" s="12" t="n"/>
      <c r="BU257" s="12" t="n"/>
      <c r="BV257" s="12" t="n"/>
      <c r="BW257" s="12" t="n"/>
      <c r="BX257" s="12" t="n"/>
      <c r="BY257" s="12" t="n"/>
      <c r="BZ257" s="12" t="n"/>
      <c r="CA257" s="12" t="n"/>
      <c r="CB257" s="12" t="n"/>
      <c r="CC257" s="12" t="n"/>
      <c r="CD257" s="12" t="n"/>
      <c r="CE257" s="12" t="n"/>
      <c r="CF257" s="12" t="n"/>
      <c r="CG257" s="12" t="n"/>
      <c r="CH257" s="12" t="n"/>
      <c r="CI257" s="12" t="n"/>
      <c r="CJ257" s="12" t="n"/>
      <c r="CK257" s="12" t="n"/>
      <c r="CL257" s="12" t="n"/>
      <c r="CM257" s="12" t="n"/>
      <c r="CN257" s="12" t="n"/>
      <c r="CO257" s="12" t="n"/>
      <c r="CP257" s="12" t="n"/>
      <c r="CQ257" s="12" t="n"/>
      <c r="CR257" s="12" t="n"/>
      <c r="CS257" s="12" t="n"/>
      <c r="CT257" s="12" t="n"/>
      <c r="CU257" s="12" t="n"/>
      <c r="CV257" s="12" t="n"/>
      <c r="CW257" s="12" t="n"/>
      <c r="CX257" s="12" t="n"/>
      <c r="CY257" s="12" t="n"/>
    </row>
    <row r="258" hidden="1" outlineLevel="1">
      <c r="C258" s="57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  <c r="AJ258" s="12" t="n"/>
      <c r="AK258" s="12" t="n"/>
      <c r="AL258" s="12" t="n"/>
      <c r="AM258" s="12" t="n"/>
      <c r="AN258" s="12" t="n"/>
      <c r="AO258" s="12" t="n"/>
      <c r="AP258" s="12" t="n"/>
      <c r="AQ258" s="12" t="n"/>
      <c r="AR258" s="12" t="n"/>
      <c r="AS258" s="12" t="n"/>
      <c r="AT258" s="12" t="n"/>
      <c r="AU258" s="12" t="n"/>
      <c r="AV258" s="12" t="n"/>
      <c r="AW258" s="12" t="n"/>
      <c r="AX258" s="12" t="n"/>
      <c r="AY258" s="12" t="n"/>
      <c r="AZ258" s="12" t="n"/>
      <c r="BA258" s="12" t="n"/>
      <c r="BB258" s="12" t="n"/>
      <c r="BC258" s="12" t="n"/>
      <c r="BD258" s="12" t="n"/>
      <c r="BE258" s="12" t="n"/>
      <c r="BF258" s="12" t="n"/>
      <c r="BG258" s="12" t="n"/>
      <c r="BH258" s="12" t="n"/>
      <c r="BI258" s="12" t="n"/>
      <c r="BJ258" s="12" t="n"/>
      <c r="BK258" s="12" t="n"/>
      <c r="BL258" s="12" t="n"/>
      <c r="BM258" s="12" t="n"/>
      <c r="BN258" s="12" t="n"/>
      <c r="BO258" s="12" t="n"/>
      <c r="BP258" s="12" t="n"/>
      <c r="BQ258" s="12" t="n"/>
      <c r="BR258" s="12" t="n"/>
      <c r="BS258" s="12" t="n"/>
      <c r="BT258" s="12" t="n"/>
      <c r="BU258" s="12" t="n"/>
      <c r="BV258" s="12" t="n"/>
      <c r="BW258" s="12" t="n"/>
      <c r="BX258" s="12" t="n"/>
      <c r="BY258" s="12" t="n"/>
      <c r="BZ258" s="12" t="n"/>
      <c r="CA258" s="12" t="n"/>
      <c r="CB258" s="12" t="n"/>
      <c r="CC258" s="12" t="n"/>
      <c r="CD258" s="12" t="n"/>
      <c r="CE258" s="12" t="n"/>
      <c r="CF258" s="12" t="n"/>
      <c r="CG258" s="12" t="n"/>
      <c r="CH258" s="12" t="n"/>
      <c r="CI258" s="12" t="n"/>
      <c r="CJ258" s="12" t="n"/>
      <c r="CK258" s="12" t="n"/>
      <c r="CL258" s="12" t="n"/>
      <c r="CM258" s="12" t="n"/>
      <c r="CN258" s="12" t="n"/>
      <c r="CO258" s="12" t="n"/>
      <c r="CP258" s="12" t="n"/>
      <c r="CQ258" s="12" t="n"/>
      <c r="CR258" s="12" t="n"/>
      <c r="CS258" s="12" t="n"/>
      <c r="CT258" s="12" t="n"/>
      <c r="CU258" s="12" t="n"/>
      <c r="CV258" s="12" t="n"/>
      <c r="CW258" s="12" t="n"/>
      <c r="CX258" s="12" t="n"/>
      <c r="CY258" s="12" t="n"/>
    </row>
    <row r="259" collapsed="1" customFormat="1" s="32">
      <c r="A259" s="30" t="n"/>
      <c r="B259" s="30" t="n"/>
      <c r="C259" s="65" t="inlineStr">
        <is>
          <t>Total Liabilities</t>
        </is>
      </c>
      <c r="D259" s="35" t="n"/>
      <c r="E259" s="35" t="n"/>
      <c r="F259" s="35" t="n"/>
      <c r="G259" s="35" t="n"/>
      <c r="H259" s="35" t="n"/>
      <c r="I259" s="35">
        <f>SUM(I210+I214+I216+I217+I224+I225+I226+I229+I247+I250+I251+I252)</f>
        <v>10692.405</v>
      </c>
      <c r="J259" s="35">
        <f>SUM(J210+J214+J216+J217+J224+J225+J226+J229+J247+J250+J251+J252)</f>
        <v>11645.825</v>
      </c>
      <c r="K259" s="35">
        <f>SUM(K210+K214+K216+K217+K224+K225+K226+K229+K247+K250+K251+K252)</f>
        <v>16557.688</v>
      </c>
      <c r="L259" s="35">
        <f>SUM(L210+L214+L216+L217+L224+L225+L226+L229+L247+L250+L251+L252)</f>
        <v>18431.381</v>
      </c>
      <c r="M259" s="35">
        <f>SUM(M210,M214,M216,M217,M224,M225,M229,M226,M247,M250,M251,M252)</f>
        <v>18431.381</v>
      </c>
      <c r="N259" s="35">
        <f>SUM(N210+N214+N216+N217+N224+N225+N226+N229+N247+N250+N251+N252)</f>
        <v>17714.15</v>
      </c>
      <c r="O259" s="35">
        <f>SUM(O210+O214+O216+O217+O224+O225+O226+O229+O247+O250+O251+O252)</f>
        <v>20518.32</v>
      </c>
      <c r="P259" s="35">
        <f>SUM(P210+P214+P216+P217+P224+P225+P226+P229+P247+P250+P251+P252)</f>
        <v>23633.163</v>
      </c>
      <c r="Q259" s="35">
        <f>SUM(Q210+Q214+Q216+Q217+Q224+Q225+Q226+Q229+Q247+Q250+Q251+Q252)</f>
        <v>23480.206</v>
      </c>
      <c r="R259" s="35">
        <f>SUM(R210,R214,R216,R217,R224,R225,R229,R226,R247,R250,R251,R252)</f>
        <v>23480.206</v>
      </c>
      <c r="S259" s="35">
        <f>SUM(S210+S214+S216+S217+S224+S225+S226+S229+S247+S250+S251+S252)</f>
        <v>19851.176</v>
      </c>
      <c r="T259" s="35">
        <f>SUM(T210+T214+T216+T217+T224+T225+T226+T229+T247+T250+T251+T252)</f>
        <v>17997.859</v>
      </c>
      <c r="U259" s="35">
        <f>SUM(U210+U214+U216+U217+U224+U225+U226+U229+U247+U250+U251+U252)</f>
        <v>18706.876</v>
      </c>
      <c r="V259" s="35">
        <f>SUM(V210+V214+V216+V217+V224+V225+V226+V229+V247+V250+V251+V252)</f>
        <v>22597.356</v>
      </c>
      <c r="W259" s="35">
        <f>SUM(W210,W214,W216,W217,W224,W225,W229,W226,W247,W250,W251,W252)</f>
        <v>22597.356</v>
      </c>
      <c r="X259" s="35">
        <f>SUM(X210+X214+X216+X217+X224+X225+X226+X229+X247+X250+X251+X252)</f>
        <v>23671.77</v>
      </c>
      <c r="Y259" s="35">
        <f>SUM(Y210+Y214+Y216+Y217+Y224+Y225+Y226+Y229+Y247+Y250+Y251+Y252)</f>
        <v>25181.053</v>
      </c>
      <c r="Z259" s="35">
        <f>SUM(Z210+Z214+Z216+Z217+Z224+Z225+Z226+Z229+Z247+Z250+Z251+Z252)</f>
        <v>25915.966</v>
      </c>
      <c r="AA259" s="35">
        <f>SUM(AA210+AA214+AA216+AA217+AA224+AA225+AA226+AA229+AA247+AA250+AA251+AA252)</f>
        <v>28081.361</v>
      </c>
      <c r="AB259" s="35">
        <f>SUM(AB210,AB214,AB216,AB217,AB224,AB225,AB229,AB226,AB247,AB250,AB251,AB252)</f>
        <v>28081.361</v>
      </c>
      <c r="AC259" s="35">
        <f>SUM(AC210+AC214+AC216+AC217+AC224+AC225+AC226+AC229+AC247+AC250+AC251+AC252)</f>
        <v>26603.692</v>
      </c>
      <c r="AD259" s="35">
        <f>SUM(AD210+AD214+AD216+AD217+AD224+AD225+AD226+AD229+AD247+AD250+AD251+AD252)</f>
        <v>27126.593</v>
      </c>
      <c r="AE259" s="35">
        <f>SUM(AE210+AE214+AE216+AE217+AE224+AE225+AE226+AE229+AE247+AE250+AE251+AE252)</f>
        <v>26852.93</v>
      </c>
      <c r="AF259" s="35">
        <f>SUM(AF210+AF214+AF216+AF217+AF224+AF225+AF226+AF229+AF247+AF250+AF251+AF252)</f>
        <v>31957.456</v>
      </c>
      <c r="AG259" s="35">
        <f>SUM(AG210,AG214,AG216,AG217,AG224,AG225,AG229,AG226,AG247,AG250,AG251,AG252)</f>
        <v>31957.456</v>
      </c>
      <c r="AH259" s="35">
        <f>SUM(AH210+AH214+AH216+AH217+AH224+AH225+AH226+AH229+AH247+AH250+AH251+AH252)</f>
        <v>32879.713</v>
      </c>
      <c r="AI259" s="35">
        <f>SUM(AI210+AI214+AI216+AI217+AI224+AI225+AI226+AI229+AI247+AI250+AI251+AI252)</f>
        <v>33439.453</v>
      </c>
      <c r="AJ259" s="35">
        <f>SUM(AJ210+AJ214+AJ216+AJ217+AJ224+AJ225+AJ226+AJ229+AJ247+AJ250+AJ251+AJ252)</f>
        <v>33238.6201893148</v>
      </c>
      <c r="AK259" s="35">
        <f>SUM(AK210+AK214+AK216+AK217+AK224+AK225+AK226+AK229+AK247+AK250+AK251+AK252)</f>
        <v>33107.521001412</v>
      </c>
      <c r="AL259" s="35">
        <f>SUM(AL210,AL214,AL216,AL217,AL224,AL225,AL229,AL226,AL247,AL250,AL251,AL252)</f>
        <v>33107.521001412</v>
      </c>
      <c r="AM259" s="35">
        <f>SUM(AM210+AM214+AM216+AM217+AM224+AM225+AM226+AM229+AM247+AM250+AM251+AM252)</f>
        <v>33412.2185913197</v>
      </c>
      <c r="AN259" s="35">
        <f>SUM(AN210+AN214+AN216+AN217+AN224+AN225+AN226+AN229+AN247+AN250+AN251+AN252)</f>
        <v>33352.5881155177</v>
      </c>
      <c r="AO259" s="35">
        <f>SUM(AO210+AO214+AO216+AO217+AO224+AO225+AO226+AO229+AO247+AO250+AO251+AO252)</f>
        <v>33717.0344788456</v>
      </c>
      <c r="AP259" s="35">
        <f>SUM(AP210+AP214+AP216+AP217+AP224+AP225+AP226+AP229+AP247+AP250+AP251+AP252)</f>
        <v>33580.5593664593</v>
      </c>
      <c r="AQ259" s="35">
        <f>SUM(AQ210,AQ214,AQ216,AQ217,AQ224,AQ225,AQ229,AQ226,AQ247,AQ250,AQ251,AQ252)</f>
        <v>33580.5593664593</v>
      </c>
      <c r="AR259" s="35">
        <f>SUM(AR210+AR214+AR216+AR217+AR224+AR225+AR226+AR229+AR247+AR250+AR251+AR252)</f>
        <v>33821.7904830141</v>
      </c>
      <c r="AS259" s="35">
        <f>SUM(AS210+AS214+AS216+AS217+AS224+AS225+AS226+AS229+AS247+AS250+AS251+AS252)</f>
        <v>33824.7423522839</v>
      </c>
      <c r="AT259" s="35">
        <f>SUM(AT210+AT214+AT216+AT217+AT224+AT225+AT226+AT229+AT247+AT250+AT251+AT252)</f>
        <v>34218.9673009828</v>
      </c>
      <c r="AU259" s="35">
        <f>SUM(AU210+AU214+AU216+AU217+AU224+AU225+AU226+AU229+AU247+AU250+AU251+AU252)</f>
        <v>34076.6313985543</v>
      </c>
      <c r="AV259" s="35">
        <f>SUM(AV210,AV214,AV216,AV217,AV224,AV225,AV229,AV226,AV247,AV250,AV251,AV252)</f>
        <v>34076.6313985543</v>
      </c>
      <c r="AW259" s="35">
        <f>SUM(AW210+AW214+AW216+AW217+AW224+AW225+AW226+AW229+AW247+AW250+AW251+AW252)</f>
        <v>34377.7252612914</v>
      </c>
      <c r="AX259" s="35">
        <f>SUM(AX210+AX214+AX216+AX217+AX224+AX225+AX226+AX229+AX247+AX250+AX251+AX252)</f>
        <v>34317.2963029429</v>
      </c>
      <c r="AY259" s="35">
        <f>SUM(AY210+AY214+AY216+AY217+AY224+AY225+AY226+AY229+AY247+AY250+AY251+AY252)</f>
        <v>34741.7172763057</v>
      </c>
      <c r="AZ259" s="35">
        <f>SUM(AZ210+AZ214+AZ216+AZ217+AZ224+AZ225+AZ226+AZ229+AZ247+AZ250+AZ251+AZ252)</f>
        <v>34594.045409787</v>
      </c>
      <c r="BA259" s="35">
        <f>SUM(BA210,BA214,BA216,BA217,BA224,BA225,BA229,BA226,BA247,BA250,BA251,BA252)</f>
        <v>34594.045409787</v>
      </c>
      <c r="BB259" s="35">
        <f>SUM(BB210+BB214+BB216+BB217+BB224+BB225+BB226+BB229+BB247+BB250+BB251+BB252)</f>
        <v>34888.2022873866</v>
      </c>
      <c r="BC259" s="35">
        <f>SUM(BC210+BC214+BC216+BC217+BC224+BC225+BC226+BC229+BC247+BC250+BC251+BC252)</f>
        <v>34828.0380281608</v>
      </c>
      <c r="BD259" s="35">
        <f>SUM(BD210+BD214+BD216+BD217+BD224+BD225+BD226+BD229+BD247+BD250+BD251+BD252)</f>
        <v>35282.5977533886</v>
      </c>
      <c r="BE259" s="35">
        <f>SUM(BE210+BE214+BE216+BE217+BE224+BE225+BE226+BE229+BE247+BE250+BE251+BE252)</f>
        <v>35129.9855620031</v>
      </c>
      <c r="BF259" s="35">
        <f>SUM(BF210,BF214,BF216,BF217,BF224,BF225,BF229,BF226,BF247,BF250,BF251,BF252)</f>
        <v>35129.9855620031</v>
      </c>
      <c r="BG259" s="35" t="n"/>
      <c r="BH259" s="35" t="n"/>
      <c r="BI259" s="35" t="n"/>
      <c r="BJ259" s="35" t="n"/>
      <c r="BK259" s="35" t="n"/>
      <c r="BL259" s="35" t="n"/>
      <c r="BM259" s="35" t="n"/>
      <c r="BN259" s="35" t="n"/>
      <c r="BO259" s="35" t="n"/>
      <c r="BP259" s="35" t="n"/>
      <c r="BQ259" s="35" t="n"/>
      <c r="BR259" s="35" t="n"/>
      <c r="BS259" s="35" t="n"/>
      <c r="BT259" s="35" t="n"/>
      <c r="BU259" s="35" t="n"/>
      <c r="BV259" s="35" t="n"/>
      <c r="BW259" s="35" t="n"/>
      <c r="BX259" s="35" t="n"/>
      <c r="BY259" s="35" t="n"/>
      <c r="BZ259" s="35" t="n"/>
      <c r="CA259" s="35" t="n"/>
      <c r="CB259" s="35" t="n"/>
      <c r="CC259" s="35" t="n"/>
      <c r="CD259" s="35" t="n"/>
      <c r="CE259" s="35" t="n"/>
      <c r="CF259" s="35" t="n"/>
      <c r="CG259" s="35" t="n"/>
      <c r="CH259" s="35" t="n"/>
      <c r="CI259" s="35" t="n"/>
      <c r="CJ259" s="35" t="n"/>
      <c r="CK259" s="35" t="n"/>
      <c r="CL259" s="35" t="n"/>
      <c r="CM259" s="35" t="n"/>
      <c r="CN259" s="35" t="n"/>
      <c r="CO259" s="35" t="n"/>
      <c r="CP259" s="35" t="n"/>
      <c r="CQ259" s="35" t="n"/>
      <c r="CR259" s="35" t="n"/>
      <c r="CS259" s="35" t="n"/>
      <c r="CT259" s="35" t="n"/>
      <c r="CU259" s="35" t="n"/>
      <c r="CV259" s="35" t="n"/>
      <c r="CW259" s="35" t="n"/>
      <c r="CX259" s="35" t="n"/>
      <c r="CY259" s="35" t="n"/>
    </row>
    <row r="260">
      <c r="C260" s="14" t="inlineStr">
        <is>
          <t>Minority interest</t>
        </is>
      </c>
      <c r="D260" s="46" t="n"/>
      <c r="E260" s="46" t="n"/>
      <c r="F260" s="46" t="n"/>
      <c r="G260" s="46" t="n"/>
      <c r="H260" s="12" t="n"/>
      <c r="I260" s="46">
        <f>'Inputs (2)'!D41</f>
        <v>0</v>
      </c>
      <c r="J260" s="46">
        <f>'Inputs (2)'!E41</f>
        <v>0</v>
      </c>
      <c r="K260" s="46">
        <f>'Inputs (2)'!F41</f>
        <v>0</v>
      </c>
      <c r="L260" s="46">
        <f>'Inputs (2)'!G41</f>
        <v>0</v>
      </c>
      <c r="M260" s="12">
        <f>'Inputs (2)'!H41</f>
        <v>0</v>
      </c>
      <c r="N260" s="46">
        <f>'Inputs (2)'!I41</f>
        <v>0</v>
      </c>
      <c r="O260" s="46">
        <f>'Inputs (2)'!J41</f>
        <v>0</v>
      </c>
      <c r="P260" s="46">
        <f>'Inputs (2)'!K41</f>
        <v>0</v>
      </c>
      <c r="Q260" s="46">
        <f>'Inputs (2)'!L41</f>
        <v>0</v>
      </c>
      <c r="R260" s="12">
        <f>'Inputs (2)'!M41</f>
        <v>0</v>
      </c>
      <c r="S260" s="46">
        <f>'Inputs (2)'!N41</f>
        <v>0</v>
      </c>
      <c r="T260" s="46">
        <f>'Inputs (2)'!O41</f>
        <v>0</v>
      </c>
      <c r="U260" s="46">
        <f>'Inputs (2)'!P41</f>
        <v>0</v>
      </c>
      <c r="V260" s="46">
        <f>'Inputs (2)'!Q41</f>
        <v>0</v>
      </c>
      <c r="W260" s="12">
        <f>'Inputs (2)'!R41</f>
        <v>0</v>
      </c>
      <c r="X260" s="46">
        <f>'Inputs (2)'!S41</f>
        <v>0</v>
      </c>
      <c r="Y260" s="46">
        <f>'Inputs (2)'!T41</f>
        <v>0</v>
      </c>
      <c r="Z260" s="46">
        <f>'Inputs (2)'!U41</f>
        <v>0</v>
      </c>
      <c r="AA260" s="46">
        <f>'Inputs (2)'!V41</f>
        <v>0</v>
      </c>
      <c r="AB260" s="12">
        <f>'Inputs (2)'!W41</f>
        <v>0</v>
      </c>
      <c r="AC260" s="46">
        <f>'Inputs (2)'!X41</f>
        <v>0</v>
      </c>
      <c r="AD260" s="46">
        <f>'Inputs (2)'!Y41</f>
        <v>0</v>
      </c>
      <c r="AE260" s="46">
        <f>'Inputs (2)'!Z41</f>
        <v>0</v>
      </c>
      <c r="AF260" s="46">
        <f>'Inputs (2)'!AA41</f>
        <v>0</v>
      </c>
      <c r="AG260" s="12">
        <f>'Inputs (2)'!AB41</f>
        <v>0</v>
      </c>
      <c r="AH260" s="12">
        <f>'Inputs (2)'!AC41</f>
        <v>0</v>
      </c>
      <c r="AI260" s="12">
        <f>'Inputs (2)'!AD41</f>
        <v>0</v>
      </c>
      <c r="AJ260" s="12">
        <f>AI260</f>
        <v>0</v>
      </c>
      <c r="AK260" s="12">
        <f>AJ260</f>
        <v>0</v>
      </c>
      <c r="AL260" s="12">
        <f>AK260</f>
        <v>0</v>
      </c>
      <c r="AM260" s="12">
        <f>AL260</f>
        <v>0</v>
      </c>
      <c r="AN260" s="12">
        <f>AM260</f>
        <v>0</v>
      </c>
      <c r="AO260" s="12">
        <f>AN260</f>
        <v>0</v>
      </c>
      <c r="AP260" s="12">
        <f>AO260</f>
        <v>0</v>
      </c>
      <c r="AQ260" s="12">
        <f>AP260</f>
        <v>0</v>
      </c>
      <c r="AR260" s="12">
        <f>AQ260</f>
        <v>0</v>
      </c>
      <c r="AS260" s="12">
        <f>AR260</f>
        <v>0</v>
      </c>
      <c r="AT260" s="12">
        <f>AS260</f>
        <v>0</v>
      </c>
      <c r="AU260" s="12">
        <f>AT260</f>
        <v>0</v>
      </c>
      <c r="AV260" s="12">
        <f>AU260</f>
        <v>0</v>
      </c>
      <c r="AW260" s="12">
        <f>AV260</f>
        <v>0</v>
      </c>
      <c r="AX260" s="12">
        <f>AW260</f>
        <v>0</v>
      </c>
      <c r="AY260" s="12">
        <f>AX260</f>
        <v>0</v>
      </c>
      <c r="AZ260" s="12">
        <f>AY260</f>
        <v>0</v>
      </c>
      <c r="BA260" s="12">
        <f>AZ260</f>
        <v>0</v>
      </c>
      <c r="BB260" s="12">
        <f>BA260</f>
        <v>0</v>
      </c>
      <c r="BC260" s="12">
        <f>BB260</f>
        <v>0</v>
      </c>
      <c r="BD260" s="12">
        <f>BC260</f>
        <v>0</v>
      </c>
      <c r="BE260" s="12">
        <f>BD260</f>
        <v>0</v>
      </c>
      <c r="BF260" s="12">
        <f>BE260</f>
        <v>0</v>
      </c>
      <c r="BG260" s="12" t="n"/>
      <c r="BH260" s="12" t="n"/>
      <c r="BI260" s="12" t="n"/>
      <c r="BJ260" s="12" t="n"/>
      <c r="BK260" s="12" t="n"/>
      <c r="BL260" s="12" t="n"/>
      <c r="BM260" s="12" t="n"/>
      <c r="BN260" s="12" t="n"/>
      <c r="BO260" s="12" t="n"/>
      <c r="BP260" s="12" t="n"/>
      <c r="BQ260" s="12" t="n"/>
      <c r="BR260" s="12" t="n"/>
      <c r="BS260" s="12" t="n"/>
      <c r="BT260" s="12" t="n"/>
      <c r="BU260" s="12" t="n"/>
      <c r="BV260" s="12" t="n"/>
      <c r="BW260" s="12" t="n"/>
      <c r="BX260" s="12" t="n"/>
      <c r="BY260" s="12" t="n"/>
      <c r="BZ260" s="12" t="n"/>
      <c r="CA260" s="12" t="n"/>
      <c r="CB260" s="12" t="n"/>
      <c r="CC260" s="12" t="n"/>
      <c r="CD260" s="12" t="n"/>
      <c r="CE260" s="12" t="n"/>
      <c r="CF260" s="12" t="n"/>
      <c r="CG260" s="12" t="n"/>
      <c r="CH260" s="12" t="n"/>
      <c r="CI260" s="12" t="n"/>
      <c r="CJ260" s="12" t="n"/>
      <c r="CK260" s="12" t="n"/>
      <c r="CL260" s="12" t="n"/>
      <c r="CM260" s="12" t="n"/>
      <c r="CN260" s="12" t="n"/>
      <c r="CO260" s="12" t="n"/>
      <c r="CP260" s="12" t="n"/>
      <c r="CQ260" s="12" t="n"/>
      <c r="CR260" s="12" t="n"/>
      <c r="CS260" s="12" t="n"/>
      <c r="CT260" s="12" t="n"/>
      <c r="CU260" s="12" t="n"/>
      <c r="CV260" s="12" t="n"/>
      <c r="CW260" s="12" t="n"/>
      <c r="CX260" s="12" t="n"/>
      <c r="CY260" s="12" t="n"/>
    </row>
    <row r="261" hidden="1" outlineLevel="1" customFormat="1" s="66">
      <c r="A261" s="37" t="n"/>
      <c r="B261" s="37" t="n"/>
      <c r="C261" s="59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  <c r="CX261" s="42" t="n"/>
      <c r="CY261" s="42" t="n"/>
    </row>
    <row r="262" hidden="1" outlineLevel="1" customFormat="1" s="66">
      <c r="A262" s="37" t="n"/>
      <c r="B262" s="37" t="n"/>
      <c r="C262" s="57" t="inlineStr">
        <is>
          <t>Minority Interest Expense - % YoY</t>
        </is>
      </c>
      <c r="D262" s="42" t="n"/>
      <c r="E262" s="58" t="n"/>
      <c r="F262" s="42" t="n"/>
      <c r="G262" s="42" t="n"/>
      <c r="H262" s="58" t="n"/>
      <c r="I262" s="42" t="n"/>
      <c r="J262" s="58">
        <f>IF(I147=0,0,J147/I147-1)</f>
        <v>0</v>
      </c>
      <c r="K262" s="42" t="n"/>
      <c r="L262" s="42" t="n"/>
      <c r="M262" s="58" t="n"/>
      <c r="N262" s="58">
        <f>IF(I147=0,0,N147/I147-1)</f>
        <v>0</v>
      </c>
      <c r="O262" s="58">
        <f>IF(J147=0,0,O147/J147-1)</f>
        <v>0</v>
      </c>
      <c r="P262" s="58">
        <f>IF(K147=0,0,P147/K147-1)</f>
        <v>0</v>
      </c>
      <c r="Q262" s="58">
        <f>IF(L147=0,0,Q147/L147-1)</f>
        <v>0</v>
      </c>
      <c r="R262" s="58" t="n"/>
      <c r="S262" s="58">
        <f>IF(N147=0,0,S147/N147-1)</f>
        <v>0</v>
      </c>
      <c r="T262" s="58">
        <f>IF(O147=0,0,T147/O147-1)</f>
        <v>0</v>
      </c>
      <c r="U262" s="58">
        <f>IF(P147=0,0,U147/P147-1)</f>
        <v>0</v>
      </c>
      <c r="V262" s="58">
        <f>IF(Q147=0,0,V147/Q147-1)</f>
        <v>0</v>
      </c>
      <c r="W262" s="58">
        <f>IF(R148=0,0,W148/R148-1)</f>
        <v>0</v>
      </c>
      <c r="X262" s="58">
        <f>IF(S147=0,0,X147/S147-1)</f>
        <v>0</v>
      </c>
      <c r="Y262" s="58">
        <f>IF(T147=0,0,Y147/T147-1)</f>
        <v>0</v>
      </c>
      <c r="Z262" s="58">
        <f>IF(U147=0,0,Z147/U147-1)</f>
        <v>0</v>
      </c>
      <c r="AA262" s="58">
        <f>IF(V147=0,0,AA147/V147-1)</f>
        <v>0</v>
      </c>
      <c r="AB262" s="58">
        <f>IF(W148=0,0,AB148/W148-1)</f>
        <v>0</v>
      </c>
      <c r="AC262" s="58">
        <f>IF(X147=0,0,AC147/X147-1)</f>
        <v>0</v>
      </c>
      <c r="AD262" s="58">
        <f>IF(Y147=0,0,AD147/Y147-1)</f>
        <v>0</v>
      </c>
      <c r="AE262" s="58">
        <f>IF(Z147=0,0,AE147/Z147-1)</f>
        <v>0</v>
      </c>
      <c r="AF262" s="58">
        <f>IF(AA147=0,0,AF147/AA147-1)</f>
        <v>0</v>
      </c>
      <c r="AG262" s="58">
        <f>IF(AB148=0,0,AG148/AB148-1)</f>
        <v>0</v>
      </c>
      <c r="AH262" s="62">
        <f>IF(AC147=0,0,AH147/AC147-1)</f>
        <v>0</v>
      </c>
      <c r="AI262" s="62">
        <f>IF(AD147=0,0,AI147/AD147-1)</f>
        <v>0</v>
      </c>
      <c r="AJ262" s="62" t="n"/>
      <c r="AK262" s="62" t="n"/>
      <c r="AL262" s="58">
        <f>IF(AG148=0,0,AL148/AG148-1)</f>
        <v>0</v>
      </c>
      <c r="AM262" s="62" t="n"/>
      <c r="AN262" s="62" t="n"/>
      <c r="AO262" s="62" t="n"/>
      <c r="AP262" s="62" t="n"/>
      <c r="AQ262" s="58">
        <f>IF(AL148=0,0,AQ148/AL148-1)</f>
        <v>0</v>
      </c>
      <c r="AR262" s="62" t="n"/>
      <c r="AS262" s="62" t="n"/>
      <c r="AT262" s="62" t="n"/>
      <c r="AU262" s="62" t="n"/>
      <c r="AV262" s="58">
        <f>IF(AQ148=0,0,AV148/AQ148-1)</f>
        <v>0</v>
      </c>
      <c r="AW262" s="62" t="n"/>
      <c r="AX262" s="62" t="n"/>
      <c r="AY262" s="62" t="n"/>
      <c r="AZ262" s="62" t="n"/>
      <c r="BA262" s="58">
        <f>IF(AV148=0,0,BA148/AV148-1)</f>
        <v>0</v>
      </c>
      <c r="BB262" s="62" t="n"/>
      <c r="BC262" s="62" t="n"/>
      <c r="BD262" s="62" t="n"/>
      <c r="BE262" s="62" t="n"/>
      <c r="BF262" s="58">
        <f>IF(BA148=0,0,BF148/BA148-1)</f>
        <v>0</v>
      </c>
      <c r="BG262" s="62" t="n"/>
      <c r="BH262" s="62" t="n"/>
      <c r="BI262" s="62" t="n"/>
      <c r="BJ262" s="62" t="n"/>
      <c r="BK262" s="58" t="n"/>
      <c r="BL262" s="62" t="n"/>
      <c r="BM262" s="62" t="n"/>
      <c r="BN262" s="62" t="n"/>
      <c r="BO262" s="62" t="n"/>
      <c r="BP262" s="58" t="n"/>
      <c r="BQ262" s="62" t="n"/>
      <c r="BR262" s="62" t="n"/>
      <c r="BS262" s="62" t="n"/>
      <c r="BT262" s="62" t="n"/>
      <c r="BU262" s="58" t="n"/>
      <c r="BV262" s="62" t="n"/>
      <c r="BW262" s="62" t="n"/>
      <c r="BX262" s="62" t="n"/>
      <c r="BY262" s="62" t="n"/>
      <c r="BZ262" s="58" t="n"/>
      <c r="CA262" s="62" t="n"/>
      <c r="CB262" s="62" t="n"/>
      <c r="CC262" s="62" t="n"/>
      <c r="CD262" s="62" t="n"/>
      <c r="CE262" s="58" t="n"/>
      <c r="CF262" s="62" t="n"/>
      <c r="CG262" s="62" t="n"/>
      <c r="CH262" s="62" t="n"/>
      <c r="CI262" s="62" t="n"/>
      <c r="CJ262" s="58" t="n"/>
      <c r="CK262" s="62" t="n"/>
      <c r="CL262" s="62" t="n"/>
      <c r="CM262" s="62" t="n"/>
      <c r="CN262" s="62" t="n"/>
      <c r="CO262" s="58" t="n"/>
      <c r="CP262" s="62" t="n"/>
      <c r="CQ262" s="62" t="n"/>
      <c r="CR262" s="62" t="n"/>
      <c r="CS262" s="62" t="n"/>
      <c r="CT262" s="58" t="n"/>
      <c r="CU262" s="62" t="n"/>
      <c r="CV262" s="62" t="n"/>
      <c r="CW262" s="62" t="n"/>
      <c r="CX262" s="62" t="n"/>
      <c r="CY262" s="58" t="n"/>
    </row>
    <row r="263" hidden="1" outlineLevel="1" customFormat="1" s="66">
      <c r="A263" s="37" t="n"/>
      <c r="B263" s="37" t="n"/>
      <c r="C263" s="57" t="inlineStr">
        <is>
          <t>Dividends (enter as -)</t>
        </is>
      </c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62" t="n"/>
      <c r="AI263" s="62" t="n"/>
      <c r="AJ263" s="62" t="n"/>
      <c r="AK263" s="62" t="n"/>
      <c r="AL263" s="42" t="n"/>
      <c r="AM263" s="62" t="n"/>
      <c r="AN263" s="62" t="n"/>
      <c r="AO263" s="62" t="n"/>
      <c r="AP263" s="62" t="n"/>
      <c r="AQ263" s="42" t="n"/>
      <c r="AR263" s="62" t="n"/>
      <c r="AS263" s="62" t="n"/>
      <c r="AT263" s="62" t="n"/>
      <c r="AU263" s="62" t="n"/>
      <c r="AV263" s="42" t="n"/>
      <c r="AW263" s="62" t="n"/>
      <c r="AX263" s="62" t="n"/>
      <c r="AY263" s="62" t="n"/>
      <c r="AZ263" s="62" t="n"/>
      <c r="BA263" s="42" t="n"/>
      <c r="BB263" s="62" t="n"/>
      <c r="BC263" s="62" t="n"/>
      <c r="BD263" s="62" t="n"/>
      <c r="BE263" s="62" t="n"/>
      <c r="BF263" s="42" t="n"/>
      <c r="BG263" s="62" t="n"/>
      <c r="BH263" s="62" t="n"/>
      <c r="BI263" s="62" t="n"/>
      <c r="BJ263" s="62" t="n"/>
      <c r="BK263" s="42" t="n"/>
      <c r="BL263" s="62" t="n"/>
      <c r="BM263" s="62" t="n"/>
      <c r="BN263" s="62" t="n"/>
      <c r="BO263" s="62" t="n"/>
      <c r="BP263" s="42" t="n"/>
      <c r="BQ263" s="62" t="n"/>
      <c r="BR263" s="62" t="n"/>
      <c r="BS263" s="62" t="n"/>
      <c r="BT263" s="62" t="n"/>
      <c r="BU263" s="42" t="n"/>
      <c r="BV263" s="62" t="n"/>
      <c r="BW263" s="62" t="n"/>
      <c r="BX263" s="62" t="n"/>
      <c r="BY263" s="62" t="n"/>
      <c r="BZ263" s="42" t="n"/>
      <c r="CA263" s="62" t="n"/>
      <c r="CB263" s="62" t="n"/>
      <c r="CC263" s="62" t="n"/>
      <c r="CD263" s="62" t="n"/>
      <c r="CE263" s="42" t="n"/>
      <c r="CF263" s="62" t="n"/>
      <c r="CG263" s="62" t="n"/>
      <c r="CH263" s="62" t="n"/>
      <c r="CI263" s="62" t="n"/>
      <c r="CJ263" s="42" t="n"/>
      <c r="CK263" s="62" t="n"/>
      <c r="CL263" s="62" t="n"/>
      <c r="CM263" s="62" t="n"/>
      <c r="CN263" s="62" t="n"/>
      <c r="CO263" s="42" t="n"/>
      <c r="CP263" s="62" t="n"/>
      <c r="CQ263" s="62" t="n"/>
      <c r="CR263" s="62" t="n"/>
      <c r="CS263" s="62" t="n"/>
      <c r="CT263" s="42" t="n"/>
      <c r="CU263" s="62" t="n"/>
      <c r="CV263" s="62" t="n"/>
      <c r="CW263" s="62" t="n"/>
      <c r="CX263" s="62" t="n"/>
      <c r="CY263" s="42" t="n"/>
    </row>
    <row r="264" hidden="1" outlineLevel="1" customFormat="1" s="66">
      <c r="A264" s="37" t="n"/>
      <c r="B264" s="37" t="n"/>
      <c r="C264" s="59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42" t="n"/>
      <c r="AI264" s="42" t="n"/>
      <c r="AJ264" s="42" t="n"/>
      <c r="AK264" s="42" t="n"/>
      <c r="AL264" s="42" t="n"/>
      <c r="AM264" s="42" t="n"/>
      <c r="AN264" s="42" t="n"/>
      <c r="AO264" s="42" t="n"/>
      <c r="AP264" s="42" t="n"/>
      <c r="AQ264" s="42" t="n"/>
      <c r="AR264" s="42" t="n"/>
      <c r="AS264" s="42" t="n"/>
      <c r="AT264" s="42" t="n"/>
      <c r="AU264" s="42" t="n"/>
      <c r="AV264" s="42" t="n"/>
      <c r="AW264" s="42" t="n"/>
      <c r="AX264" s="42" t="n"/>
      <c r="AY264" s="42" t="n"/>
      <c r="AZ264" s="42" t="n"/>
      <c r="BA264" s="42" t="n"/>
      <c r="BB264" s="42" t="n"/>
      <c r="BC264" s="42" t="n"/>
      <c r="BD264" s="42" t="n"/>
      <c r="BE264" s="42" t="n"/>
      <c r="BF264" s="42" t="n"/>
      <c r="BG264" s="42" t="n"/>
      <c r="BH264" s="42" t="n"/>
      <c r="BI264" s="42" t="n"/>
      <c r="BJ264" s="42" t="n"/>
      <c r="BK264" s="42" t="n"/>
      <c r="BL264" s="42" t="n"/>
      <c r="BM264" s="42" t="n"/>
      <c r="BN264" s="42" t="n"/>
      <c r="BO264" s="42" t="n"/>
      <c r="BP264" s="42" t="n"/>
      <c r="BQ264" s="42" t="n"/>
      <c r="BR264" s="42" t="n"/>
      <c r="BS264" s="42" t="n"/>
      <c r="BT264" s="42" t="n"/>
      <c r="BU264" s="42" t="n"/>
      <c r="BV264" s="42" t="n"/>
      <c r="BW264" s="42" t="n"/>
      <c r="BX264" s="42" t="n"/>
      <c r="BY264" s="42" t="n"/>
      <c r="BZ264" s="42" t="n"/>
      <c r="CA264" s="42" t="n"/>
      <c r="CB264" s="42" t="n"/>
      <c r="CC264" s="42" t="n"/>
      <c r="CD264" s="42" t="n"/>
      <c r="CE264" s="42" t="n"/>
      <c r="CF264" s="42" t="n"/>
      <c r="CG264" s="42" t="n"/>
      <c r="CH264" s="42" t="n"/>
      <c r="CI264" s="42" t="n"/>
      <c r="CJ264" s="42" t="n"/>
      <c r="CK264" s="42" t="n"/>
      <c r="CL264" s="42" t="n"/>
      <c r="CM264" s="42" t="n"/>
      <c r="CN264" s="42" t="n"/>
      <c r="CO264" s="42" t="n"/>
      <c r="CP264" s="42" t="n"/>
      <c r="CQ264" s="42" t="n"/>
      <c r="CR264" s="42" t="n"/>
      <c r="CS264" s="42" t="n"/>
      <c r="CT264" s="42" t="n"/>
      <c r="CU264" s="42" t="n"/>
      <c r="CV264" s="42" t="n"/>
      <c r="CW264" s="42" t="n"/>
      <c r="CX264" s="42" t="n"/>
      <c r="CY264" s="42" t="n"/>
    </row>
    <row r="265" collapsed="1">
      <c r="C265" s="14" t="inlineStr">
        <is>
          <t>Convertible Preferred Stock</t>
        </is>
      </c>
      <c r="D265" s="46" t="n"/>
      <c r="E265" s="46" t="n"/>
      <c r="F265" s="46" t="n"/>
      <c r="G265" s="46" t="n"/>
      <c r="H265" s="12" t="n"/>
      <c r="I265" s="46">
        <f>'Inputs (2)'!D42</f>
        <v>0</v>
      </c>
      <c r="J265" s="46">
        <f>'Inputs (2)'!E42</f>
        <v>0</v>
      </c>
      <c r="K265" s="46">
        <f>'Inputs (2)'!F42</f>
        <v>0</v>
      </c>
      <c r="L265" s="46">
        <f>'Inputs (2)'!G42</f>
        <v>0</v>
      </c>
      <c r="M265" s="12">
        <f>'Inputs (2)'!H42</f>
        <v>0</v>
      </c>
      <c r="N265" s="46">
        <f>'Inputs (2)'!I42</f>
        <v>0</v>
      </c>
      <c r="O265" s="46">
        <f>'Inputs (2)'!J42</f>
        <v>0</v>
      </c>
      <c r="P265" s="46">
        <f>'Inputs (2)'!K42</f>
        <v>0</v>
      </c>
      <c r="Q265" s="46">
        <f>'Inputs (2)'!L42</f>
        <v>0</v>
      </c>
      <c r="R265" s="12">
        <f>'Inputs (2)'!M42</f>
        <v>0</v>
      </c>
      <c r="S265" s="46">
        <f>'Inputs (2)'!N42</f>
        <v>0</v>
      </c>
      <c r="T265" s="46">
        <f>'Inputs (2)'!O42</f>
        <v>0</v>
      </c>
      <c r="U265" s="46">
        <f>'Inputs (2)'!P42</f>
        <v>0</v>
      </c>
      <c r="V265" s="46">
        <f>'Inputs (2)'!Q42</f>
        <v>0</v>
      </c>
      <c r="W265" s="12">
        <f>'Inputs (2)'!R42</f>
        <v>0</v>
      </c>
      <c r="X265" s="46">
        <f>'Inputs (2)'!S42</f>
        <v>0</v>
      </c>
      <c r="Y265" s="46">
        <f>'Inputs (2)'!T42</f>
        <v>0</v>
      </c>
      <c r="Z265" s="46">
        <f>'Inputs (2)'!U42</f>
        <v>0</v>
      </c>
      <c r="AA265" s="46">
        <f>'Inputs (2)'!V42</f>
        <v>0</v>
      </c>
      <c r="AB265" s="12">
        <f>'Inputs (2)'!W42</f>
        <v>0</v>
      </c>
      <c r="AC265" s="46">
        <f>'Inputs (2)'!X42</f>
        <v>0</v>
      </c>
      <c r="AD265" s="46">
        <f>'Inputs (2)'!Y42</f>
        <v>0</v>
      </c>
      <c r="AE265" s="46">
        <f>'Inputs (2)'!Z42</f>
        <v>0</v>
      </c>
      <c r="AF265" s="46">
        <f>'Inputs (2)'!AA42</f>
        <v>0</v>
      </c>
      <c r="AG265" s="12">
        <f>'Inputs (2)'!AB42</f>
        <v>0</v>
      </c>
      <c r="AH265" s="12">
        <f>'Inputs (2)'!AC42</f>
        <v>0</v>
      </c>
      <c r="AI265" s="12">
        <f>'Inputs (2)'!AD42</f>
        <v>0</v>
      </c>
      <c r="AJ265" s="12">
        <f>AI265</f>
        <v>0</v>
      </c>
      <c r="AK265" s="12">
        <f>AJ265</f>
        <v>0</v>
      </c>
      <c r="AL265" s="12">
        <f>AK265</f>
        <v>0</v>
      </c>
      <c r="AM265" s="12">
        <f>AL265</f>
        <v>0</v>
      </c>
      <c r="AN265" s="12">
        <f>AM265</f>
        <v>0</v>
      </c>
      <c r="AO265" s="12">
        <f>AN265</f>
        <v>0</v>
      </c>
      <c r="AP265" s="12">
        <f>AO265</f>
        <v>0</v>
      </c>
      <c r="AQ265" s="12">
        <f>AP265</f>
        <v>0</v>
      </c>
      <c r="AR265" s="12">
        <f>AQ265</f>
        <v>0</v>
      </c>
      <c r="AS265" s="12">
        <f>AR265</f>
        <v>0</v>
      </c>
      <c r="AT265" s="12">
        <f>AS265</f>
        <v>0</v>
      </c>
      <c r="AU265" s="12">
        <f>AT265</f>
        <v>0</v>
      </c>
      <c r="AV265" s="12">
        <f>AU265</f>
        <v>0</v>
      </c>
      <c r="AW265" s="12">
        <f>AV265</f>
        <v>0</v>
      </c>
      <c r="AX265" s="12">
        <f>AW265</f>
        <v>0</v>
      </c>
      <c r="AY265" s="12">
        <f>AX265</f>
        <v>0</v>
      </c>
      <c r="AZ265" s="12">
        <f>AY265</f>
        <v>0</v>
      </c>
      <c r="BA265" s="12">
        <f>AZ265</f>
        <v>0</v>
      </c>
      <c r="BB265" s="12">
        <f>BA265</f>
        <v>0</v>
      </c>
      <c r="BC265" s="12">
        <f>BB265</f>
        <v>0</v>
      </c>
      <c r="BD265" s="12">
        <f>BC265</f>
        <v>0</v>
      </c>
      <c r="BE265" s="12">
        <f>BD265</f>
        <v>0</v>
      </c>
      <c r="BF265" s="12">
        <f>BE265</f>
        <v>0</v>
      </c>
      <c r="BG265" s="12" t="n"/>
      <c r="BH265" s="12" t="n"/>
      <c r="BI265" s="12" t="n"/>
      <c r="BJ265" s="12" t="n"/>
      <c r="BK265" s="12" t="n"/>
      <c r="BL265" s="12" t="n"/>
      <c r="BM265" s="12" t="n"/>
      <c r="BN265" s="12" t="n"/>
      <c r="BO265" s="12" t="n"/>
      <c r="BP265" s="12" t="n"/>
      <c r="BQ265" s="12" t="n"/>
      <c r="BR265" s="12" t="n"/>
      <c r="BS265" s="12" t="n"/>
      <c r="BT265" s="12" t="n"/>
      <c r="BU265" s="12" t="n"/>
      <c r="BV265" s="12" t="n"/>
      <c r="BW265" s="12" t="n"/>
      <c r="BX265" s="12" t="n"/>
      <c r="BY265" s="12" t="n"/>
      <c r="BZ265" s="12" t="n"/>
      <c r="CA265" s="12" t="n"/>
      <c r="CB265" s="12" t="n"/>
      <c r="CC265" s="12" t="n"/>
      <c r="CD265" s="12" t="n"/>
      <c r="CE265" s="12" t="n"/>
      <c r="CF265" s="12" t="n"/>
      <c r="CG265" s="12" t="n"/>
      <c r="CH265" s="12" t="n"/>
      <c r="CI265" s="12" t="n"/>
      <c r="CJ265" s="12" t="n"/>
      <c r="CK265" s="12" t="n"/>
      <c r="CL265" s="12" t="n"/>
      <c r="CM265" s="12" t="n"/>
      <c r="CN265" s="12" t="n"/>
      <c r="CO265" s="12" t="n"/>
      <c r="CP265" s="12" t="n"/>
      <c r="CQ265" s="12" t="n"/>
      <c r="CR265" s="12" t="n"/>
      <c r="CS265" s="12" t="n"/>
      <c r="CT265" s="12" t="n"/>
      <c r="CU265" s="12" t="n"/>
      <c r="CV265" s="12" t="n"/>
      <c r="CW265" s="12" t="n"/>
      <c r="CX265" s="12" t="n"/>
      <c r="CY265" s="12" t="n"/>
    </row>
    <row r="266">
      <c r="C266" s="13" t="inlineStr">
        <is>
          <t>Common Stock and APIC</t>
        </is>
      </c>
      <c r="D266" s="46" t="n"/>
      <c r="E266" s="46" t="n"/>
      <c r="F266" s="46" t="n"/>
      <c r="G266" s="46" t="n"/>
      <c r="H266" s="12" t="n"/>
      <c r="I266" s="46">
        <f>'Inputs (2)'!D43</f>
        <v>2070.813</v>
      </c>
      <c r="J266" s="46">
        <f>'Inputs (2)'!E43</f>
        <v>2070.959</v>
      </c>
      <c r="K266" s="46">
        <f>'Inputs (2)'!F43</f>
        <v>2653.829</v>
      </c>
      <c r="L266" s="46">
        <f>'Inputs (2)'!G43</f>
        <v>2652.335</v>
      </c>
      <c r="M266" s="12">
        <f>'Inputs (2)'!H43</f>
        <v>2652.335</v>
      </c>
      <c r="N266" s="46">
        <f>'Inputs (2)'!I43</f>
        <v>2652.409</v>
      </c>
      <c r="O266" s="46">
        <f>'Inputs (2)'!J43</f>
        <v>2652.409</v>
      </c>
      <c r="P266" s="46">
        <f>'Inputs (2)'!K43</f>
        <v>2652.409</v>
      </c>
      <c r="Q266" s="46">
        <f>'Inputs (2)'!L43</f>
        <v>2652.409</v>
      </c>
      <c r="R266" s="12">
        <f>'Inputs (2)'!M43</f>
        <v>2652.409</v>
      </c>
      <c r="S266" s="46">
        <f>'Inputs (2)'!N43</f>
        <v>2652.409</v>
      </c>
      <c r="T266" s="46">
        <f>'Inputs (2)'!O43</f>
        <v>2652.408</v>
      </c>
      <c r="U266" s="46">
        <f>'Inputs (2)'!P43</f>
        <v>2652.409</v>
      </c>
      <c r="V266" s="46">
        <f>'Inputs (2)'!Q43</f>
        <v>2652.409</v>
      </c>
      <c r="W266" s="12">
        <f>'Inputs (2)'!R43</f>
        <v>2652.409</v>
      </c>
      <c r="X266" s="46">
        <f>'Inputs (2)'!S43</f>
        <v>2652.409</v>
      </c>
      <c r="Y266" s="46">
        <f>'Inputs (2)'!T43</f>
        <v>2652.409</v>
      </c>
      <c r="Z266" s="46">
        <f>'Inputs (2)'!U43</f>
        <v>2652.409</v>
      </c>
      <c r="AA266" s="46">
        <f>'Inputs (2)'!V43</f>
        <v>2652.409</v>
      </c>
      <c r="AB266" s="12">
        <f>'Inputs (2)'!W43</f>
        <v>2652.409</v>
      </c>
      <c r="AC266" s="46">
        <f>'Inputs (2)'!X43</f>
        <v>2652.409</v>
      </c>
      <c r="AD266" s="46">
        <f>'Inputs (2)'!Y43</f>
        <v>2652.409</v>
      </c>
      <c r="AE266" s="46">
        <f>'Inputs (2)'!Z43</f>
        <v>2652.409</v>
      </c>
      <c r="AF266" s="46">
        <f>'Inputs (2)'!AA43</f>
        <v>2652.409</v>
      </c>
      <c r="AG266" s="12">
        <f>'Inputs (2)'!AB43</f>
        <v>2652.409</v>
      </c>
      <c r="AH266" s="12">
        <f>'Inputs (2)'!AC43</f>
        <v>2590.776</v>
      </c>
      <c r="AI266" s="12">
        <f>'Inputs (2)'!AD43</f>
        <v>3335.708</v>
      </c>
      <c r="AJ266" s="12">
        <f>AI266+AJ270</f>
        <v>3335.708</v>
      </c>
      <c r="AK266" s="12">
        <f>AJ266+AK270</f>
        <v>3335.708</v>
      </c>
      <c r="AL266" s="12">
        <f>AK266</f>
        <v>3335.708</v>
      </c>
      <c r="AM266" s="12">
        <f>AL266+AM270</f>
        <v>3335.708</v>
      </c>
      <c r="AN266" s="12">
        <f>AM266+AN270</f>
        <v>3335.708</v>
      </c>
      <c r="AO266" s="12">
        <f>AN266+AO270</f>
        <v>3335.708</v>
      </c>
      <c r="AP266" s="12">
        <f>AO266+AP270</f>
        <v>3335.708</v>
      </c>
      <c r="AQ266" s="12">
        <f>AP266</f>
        <v>3335.708</v>
      </c>
      <c r="AR266" s="12">
        <f>AQ266+AR270</f>
        <v>3335.708</v>
      </c>
      <c r="AS266" s="12">
        <f>AR266+AS270</f>
        <v>3335.708</v>
      </c>
      <c r="AT266" s="12">
        <f>AS266+AT270</f>
        <v>3335.708</v>
      </c>
      <c r="AU266" s="12">
        <f>AT266+AU270</f>
        <v>3335.708</v>
      </c>
      <c r="AV266" s="12">
        <f>AU266</f>
        <v>3335.708</v>
      </c>
      <c r="AW266" s="12">
        <f>AV266+AW270</f>
        <v>3335.708</v>
      </c>
      <c r="AX266" s="12">
        <f>AW266+AX270</f>
        <v>3335.708</v>
      </c>
      <c r="AY266" s="12">
        <f>AX266+AY270</f>
        <v>3335.708</v>
      </c>
      <c r="AZ266" s="12">
        <f>AY266+AZ270</f>
        <v>3335.708</v>
      </c>
      <c r="BA266" s="12">
        <f>AZ266</f>
        <v>3335.708</v>
      </c>
      <c r="BB266" s="12">
        <f>BA266+BB270</f>
        <v>3335.708</v>
      </c>
      <c r="BC266" s="12">
        <f>BB266+BC270</f>
        <v>3335.708</v>
      </c>
      <c r="BD266" s="12">
        <f>BC266+BD270</f>
        <v>3335.708</v>
      </c>
      <c r="BE266" s="12">
        <f>BD266+BE270</f>
        <v>3335.708</v>
      </c>
      <c r="BF266" s="12">
        <f>BE266</f>
        <v>3335.708</v>
      </c>
      <c r="BG266" s="12" t="n"/>
      <c r="BH266" s="12" t="n"/>
      <c r="BI266" s="12" t="n"/>
      <c r="BJ266" s="12" t="n"/>
      <c r="BK266" s="12" t="n"/>
      <c r="BL266" s="12" t="n"/>
      <c r="BM266" s="12" t="n"/>
      <c r="BN266" s="12" t="n"/>
      <c r="BO266" s="12" t="n"/>
      <c r="BP266" s="12" t="n"/>
      <c r="BQ266" s="12" t="n"/>
      <c r="BR266" s="12" t="n"/>
      <c r="BS266" s="12" t="n"/>
      <c r="BT266" s="12" t="n"/>
      <c r="BU266" s="12" t="n"/>
      <c r="BV266" s="12" t="n"/>
      <c r="BW266" s="12" t="n"/>
      <c r="BX266" s="12" t="n"/>
      <c r="BY266" s="12" t="n"/>
      <c r="BZ266" s="12" t="n"/>
      <c r="CA266" s="12" t="n"/>
      <c r="CB266" s="12" t="n"/>
      <c r="CC266" s="12" t="n"/>
      <c r="CD266" s="12" t="n"/>
      <c r="CE266" s="12" t="n"/>
      <c r="CF266" s="12" t="n"/>
      <c r="CG266" s="12" t="n"/>
      <c r="CH266" s="12" t="n"/>
      <c r="CI266" s="12" t="n"/>
      <c r="CJ266" s="12" t="n"/>
      <c r="CK266" s="12" t="n"/>
      <c r="CL266" s="12" t="n"/>
      <c r="CM266" s="12" t="n"/>
      <c r="CN266" s="12" t="n"/>
      <c r="CO266" s="12" t="n"/>
      <c r="CP266" s="12" t="n"/>
      <c r="CQ266" s="12" t="n"/>
      <c r="CR266" s="12" t="n"/>
      <c r="CS266" s="12" t="n"/>
      <c r="CT266" s="12" t="n"/>
      <c r="CU266" s="12" t="n"/>
      <c r="CV266" s="12" t="n"/>
      <c r="CW266" s="12" t="n"/>
      <c r="CX266" s="12" t="n"/>
      <c r="CY266" s="12" t="n"/>
    </row>
    <row r="267" hidden="1" outlineLevel="1" customFormat="1" s="66">
      <c r="A267" s="37" t="n"/>
      <c r="B267" s="37" t="n"/>
      <c r="C267" s="67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  <c r="AA267" s="42" t="n"/>
      <c r="AB267" s="42" t="n"/>
      <c r="AC267" s="42" t="n"/>
      <c r="AD267" s="42" t="n"/>
      <c r="AE267" s="42" t="n"/>
      <c r="AF267" s="42" t="n"/>
      <c r="AG267" s="42" t="n"/>
      <c r="AH267" s="42" t="n"/>
      <c r="AI267" s="42" t="n"/>
      <c r="AJ267" s="42" t="n"/>
      <c r="AK267" s="42" t="n"/>
      <c r="AL267" s="42" t="n"/>
      <c r="AM267" s="42" t="n"/>
      <c r="AN267" s="42" t="n"/>
      <c r="AO267" s="42" t="n"/>
      <c r="AP267" s="42" t="n"/>
      <c r="AQ267" s="42" t="n"/>
      <c r="AR267" s="42" t="n"/>
      <c r="AS267" s="42" t="n"/>
      <c r="AT267" s="42" t="n"/>
      <c r="AU267" s="42" t="n"/>
      <c r="AV267" s="42" t="n"/>
      <c r="AW267" s="42" t="n"/>
      <c r="AX267" s="42" t="n"/>
      <c r="AY267" s="42" t="n"/>
      <c r="AZ267" s="42" t="n"/>
      <c r="BA267" s="42" t="n"/>
      <c r="BB267" s="42" t="n"/>
      <c r="BC267" s="42" t="n"/>
      <c r="BD267" s="42" t="n"/>
      <c r="BE267" s="42" t="n"/>
      <c r="BF267" s="42" t="n"/>
      <c r="BG267" s="42" t="n"/>
      <c r="BH267" s="42" t="n"/>
      <c r="BI267" s="42" t="n"/>
      <c r="BJ267" s="42" t="n"/>
      <c r="BK267" s="42" t="n"/>
      <c r="BL267" s="42" t="n"/>
      <c r="BM267" s="42" t="n"/>
      <c r="BN267" s="42" t="n"/>
      <c r="BO267" s="42" t="n"/>
      <c r="BP267" s="42" t="n"/>
      <c r="BQ267" s="42" t="n"/>
      <c r="BR267" s="42" t="n"/>
      <c r="BS267" s="42" t="n"/>
      <c r="BT267" s="42" t="n"/>
      <c r="BU267" s="42" t="n"/>
      <c r="BV267" s="42" t="n"/>
      <c r="BW267" s="42" t="n"/>
      <c r="BX267" s="42" t="n"/>
      <c r="BY267" s="42" t="n"/>
      <c r="BZ267" s="42" t="n"/>
      <c r="CA267" s="42" t="n"/>
      <c r="CB267" s="42" t="n"/>
      <c r="CC267" s="42" t="n"/>
      <c r="CD267" s="42" t="n"/>
      <c r="CE267" s="42" t="n"/>
      <c r="CF267" s="42" t="n"/>
      <c r="CG267" s="42" t="n"/>
      <c r="CH267" s="42" t="n"/>
      <c r="CI267" s="42" t="n"/>
      <c r="CJ267" s="42" t="n"/>
      <c r="CK267" s="42" t="n"/>
      <c r="CL267" s="42" t="n"/>
      <c r="CM267" s="42" t="n"/>
      <c r="CN267" s="42" t="n"/>
      <c r="CO267" s="42" t="n"/>
      <c r="CP267" s="42" t="n"/>
      <c r="CQ267" s="42" t="n"/>
      <c r="CR267" s="42" t="n"/>
      <c r="CS267" s="42" t="n"/>
      <c r="CT267" s="42" t="n"/>
      <c r="CU267" s="42" t="n"/>
      <c r="CV267" s="42" t="n"/>
      <c r="CW267" s="42" t="n"/>
      <c r="CX267" s="42" t="n"/>
      <c r="CY267" s="42" t="n"/>
    </row>
    <row r="268" hidden="1" outlineLevel="1" customFormat="1" s="66">
      <c r="A268" s="37" t="n"/>
      <c r="B268" s="37" t="n"/>
      <c r="C268" s="67" t="inlineStr">
        <is>
          <t>Diluted Shares outstanding</t>
        </is>
      </c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  <c r="AA268" s="42" t="n"/>
      <c r="AB268" s="42" t="n"/>
      <c r="AC268" s="42" t="n"/>
      <c r="AD268" s="42" t="n"/>
      <c r="AE268" s="42" t="n"/>
      <c r="AF268" s="42" t="n"/>
      <c r="AG268" s="42" t="n"/>
      <c r="AH268" s="42" t="n"/>
      <c r="AI268" s="42" t="n"/>
      <c r="AJ268" s="42" t="n"/>
      <c r="AK268" s="42" t="n"/>
      <c r="AL268" s="42" t="n"/>
      <c r="AM268" s="42" t="n"/>
      <c r="AN268" s="42" t="n"/>
      <c r="AO268" s="42" t="n"/>
      <c r="AP268" s="42" t="n"/>
      <c r="AQ268" s="42" t="n"/>
      <c r="AR268" s="42" t="n"/>
      <c r="AS268" s="42" t="n"/>
      <c r="AT268" s="42" t="n"/>
      <c r="AU268" s="42" t="n"/>
      <c r="AV268" s="42" t="n"/>
      <c r="AW268" s="42" t="n"/>
      <c r="AX268" s="42" t="n"/>
      <c r="AY268" s="42" t="n"/>
      <c r="AZ268" s="42" t="n"/>
      <c r="BA268" s="42" t="n"/>
      <c r="BB268" s="42" t="n"/>
      <c r="BC268" s="42" t="n"/>
      <c r="BD268" s="42" t="n"/>
      <c r="BE268" s="42" t="n"/>
      <c r="BF268" s="42" t="n"/>
      <c r="BG268" s="42" t="n"/>
      <c r="BH268" s="42" t="n"/>
      <c r="BI268" s="42" t="n"/>
      <c r="BJ268" s="42" t="n"/>
      <c r="BK268" s="42" t="n"/>
      <c r="BL268" s="42" t="n"/>
      <c r="BM268" s="42" t="n"/>
      <c r="BN268" s="42" t="n"/>
      <c r="BO268" s="42" t="n"/>
      <c r="BP268" s="42" t="n"/>
      <c r="BQ268" s="42" t="n"/>
      <c r="BR268" s="42" t="n"/>
      <c r="BS268" s="42" t="n"/>
      <c r="BT268" s="42" t="n"/>
      <c r="BU268" s="42" t="n"/>
      <c r="BV268" s="42" t="n"/>
      <c r="BW268" s="42" t="n"/>
      <c r="BX268" s="42" t="n"/>
      <c r="BY268" s="42" t="n"/>
      <c r="BZ268" s="42" t="n"/>
      <c r="CA268" s="42" t="n"/>
      <c r="CB268" s="42" t="n"/>
      <c r="CC268" s="42" t="n"/>
      <c r="CD268" s="42" t="n"/>
      <c r="CE268" s="42" t="n"/>
      <c r="CF268" s="42" t="n"/>
      <c r="CG268" s="42" t="n"/>
      <c r="CH268" s="42" t="n"/>
      <c r="CI268" s="42" t="n"/>
      <c r="CJ268" s="42" t="n"/>
      <c r="CK268" s="42" t="n"/>
      <c r="CL268" s="42" t="n"/>
      <c r="CM268" s="42" t="n"/>
      <c r="CN268" s="42" t="n"/>
      <c r="CO268" s="42" t="n"/>
      <c r="CP268" s="42" t="n"/>
      <c r="CQ268" s="42" t="n"/>
      <c r="CR268" s="42" t="n"/>
      <c r="CS268" s="42" t="n"/>
      <c r="CT268" s="42" t="n"/>
      <c r="CU268" s="42" t="n"/>
      <c r="CV268" s="42" t="n"/>
      <c r="CW268" s="42" t="n"/>
      <c r="CX268" s="42" t="n"/>
      <c r="CY268" s="42" t="n"/>
    </row>
    <row r="269" hidden="1" outlineLevel="1" customFormat="1" s="66">
      <c r="A269" s="37" t="n"/>
      <c r="B269" s="37" t="n"/>
      <c r="C269" s="67" t="inlineStr">
        <is>
          <t>Treasury share $ repurchases</t>
        </is>
      </c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  <c r="AA269" s="42" t="n"/>
      <c r="AB269" s="42" t="n"/>
      <c r="AC269" s="42" t="n"/>
      <c r="AD269" s="42" t="n"/>
      <c r="AE269" s="42" t="n"/>
      <c r="AF269" s="42" t="n"/>
      <c r="AG269" s="42" t="n"/>
      <c r="AH269" s="11" t="n"/>
      <c r="AI269" s="11" t="n"/>
      <c r="AJ269" s="11" t="n"/>
      <c r="AK269" s="11" t="n"/>
      <c r="AL269" s="42" t="n"/>
      <c r="AM269" s="11" t="n"/>
      <c r="AN269" s="11" t="n"/>
      <c r="AO269" s="11" t="n"/>
      <c r="AP269" s="11" t="n"/>
      <c r="AQ269" s="42" t="n"/>
      <c r="AR269" s="11" t="n"/>
      <c r="AS269" s="11" t="n"/>
      <c r="AT269" s="11" t="n"/>
      <c r="AU269" s="11" t="n"/>
      <c r="AV269" s="42" t="n"/>
      <c r="AW269" s="11" t="n"/>
      <c r="AX269" s="11" t="n"/>
      <c r="AY269" s="11" t="n"/>
      <c r="AZ269" s="11" t="n"/>
      <c r="BA269" s="42" t="n"/>
      <c r="BB269" s="11" t="n"/>
      <c r="BC269" s="11" t="n"/>
      <c r="BD269" s="11" t="n"/>
      <c r="BE269" s="11" t="n"/>
      <c r="BF269" s="42" t="n"/>
      <c r="BG269" s="11" t="n"/>
      <c r="BH269" s="11" t="n"/>
      <c r="BI269" s="11" t="n"/>
      <c r="BJ269" s="11" t="n"/>
      <c r="BK269" s="42" t="n"/>
      <c r="BL269" s="11" t="n"/>
      <c r="BM269" s="11" t="n"/>
      <c r="BN269" s="11" t="n"/>
      <c r="BO269" s="11" t="n"/>
      <c r="BP269" s="42" t="n"/>
      <c r="BQ269" s="11" t="n"/>
      <c r="BR269" s="11" t="n"/>
      <c r="BS269" s="11" t="n"/>
      <c r="BT269" s="11" t="n"/>
      <c r="BU269" s="42" t="n"/>
      <c r="BV269" s="11" t="n"/>
      <c r="BW269" s="11" t="n"/>
      <c r="BX269" s="11" t="n"/>
      <c r="BY269" s="11" t="n"/>
      <c r="BZ269" s="42" t="n"/>
      <c r="CA269" s="11" t="n"/>
      <c r="CB269" s="11" t="n"/>
      <c r="CC269" s="11" t="n"/>
      <c r="CD269" s="11" t="n"/>
      <c r="CE269" s="42" t="n"/>
      <c r="CF269" s="11" t="n"/>
      <c r="CG269" s="11" t="n"/>
      <c r="CH269" s="11" t="n"/>
      <c r="CI269" s="11" t="n"/>
      <c r="CJ269" s="42" t="n"/>
      <c r="CK269" s="11" t="n"/>
      <c r="CL269" s="11" t="n"/>
      <c r="CM269" s="11" t="n"/>
      <c r="CN269" s="11" t="n"/>
      <c r="CO269" s="42" t="n"/>
      <c r="CP269" s="11" t="n"/>
      <c r="CQ269" s="11" t="n"/>
      <c r="CR269" s="11" t="n"/>
      <c r="CS269" s="11" t="n"/>
      <c r="CT269" s="42" t="n"/>
      <c r="CU269" s="11" t="n"/>
      <c r="CV269" s="11" t="n"/>
      <c r="CW269" s="11" t="n"/>
      <c r="CX269" s="11" t="n"/>
      <c r="CY269" s="42" t="n"/>
    </row>
    <row r="270" hidden="1" outlineLevel="1" customFormat="1" s="66">
      <c r="A270" s="37" t="n"/>
      <c r="B270" s="37" t="n"/>
      <c r="C270" s="67" t="inlineStr">
        <is>
          <t>Value of shares issued</t>
        </is>
      </c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  <c r="AA270" s="42" t="n"/>
      <c r="AB270" s="42" t="n"/>
      <c r="AC270" s="42" t="n"/>
      <c r="AD270" s="42" t="n"/>
      <c r="AE270" s="42" t="n"/>
      <c r="AF270" s="42" t="n"/>
      <c r="AG270" s="42" t="n"/>
      <c r="AH270" s="11" t="n"/>
      <c r="AI270" s="11" t="n"/>
      <c r="AJ270" s="11" t="n"/>
      <c r="AK270" s="11" t="n"/>
      <c r="AL270" s="42" t="n"/>
      <c r="AM270" s="11" t="n"/>
      <c r="AN270" s="11" t="n"/>
      <c r="AO270" s="11" t="n"/>
      <c r="AP270" s="11" t="n"/>
      <c r="AQ270" s="42" t="n"/>
      <c r="AR270" s="11" t="n"/>
      <c r="AS270" s="11" t="n"/>
      <c r="AT270" s="11" t="n"/>
      <c r="AU270" s="11" t="n"/>
      <c r="AV270" s="42" t="n"/>
      <c r="AW270" s="11" t="n"/>
      <c r="AX270" s="11" t="n"/>
      <c r="AY270" s="11" t="n"/>
      <c r="AZ270" s="11" t="n"/>
      <c r="BA270" s="42" t="n"/>
      <c r="BB270" s="11" t="n"/>
      <c r="BC270" s="11" t="n"/>
      <c r="BD270" s="11" t="n"/>
      <c r="BE270" s="11" t="n"/>
      <c r="BF270" s="42" t="n"/>
      <c r="BG270" s="11" t="n"/>
      <c r="BH270" s="11" t="n"/>
      <c r="BI270" s="11" t="n"/>
      <c r="BJ270" s="11" t="n"/>
      <c r="BK270" s="42" t="n"/>
      <c r="BL270" s="11" t="n"/>
      <c r="BM270" s="11" t="n"/>
      <c r="BN270" s="11" t="n"/>
      <c r="BO270" s="11" t="n"/>
      <c r="BP270" s="42" t="n"/>
      <c r="BQ270" s="11" t="n"/>
      <c r="BR270" s="11" t="n"/>
      <c r="BS270" s="11" t="n"/>
      <c r="BT270" s="11" t="n"/>
      <c r="BU270" s="42" t="n"/>
      <c r="BV270" s="11" t="n"/>
      <c r="BW270" s="11" t="n"/>
      <c r="BX270" s="11" t="n"/>
      <c r="BY270" s="11" t="n"/>
      <c r="BZ270" s="42" t="n"/>
      <c r="CA270" s="11" t="n"/>
      <c r="CB270" s="11" t="n"/>
      <c r="CC270" s="11" t="n"/>
      <c r="CD270" s="11" t="n"/>
      <c r="CE270" s="42" t="n"/>
      <c r="CF270" s="11" t="n"/>
      <c r="CG270" s="11" t="n"/>
      <c r="CH270" s="11" t="n"/>
      <c r="CI270" s="11" t="n"/>
      <c r="CJ270" s="42" t="n"/>
      <c r="CK270" s="11" t="n"/>
      <c r="CL270" s="11" t="n"/>
      <c r="CM270" s="11" t="n"/>
      <c r="CN270" s="11" t="n"/>
      <c r="CO270" s="42" t="n"/>
      <c r="CP270" s="11" t="n"/>
      <c r="CQ270" s="11" t="n"/>
      <c r="CR270" s="11" t="n"/>
      <c r="CS270" s="11" t="n"/>
      <c r="CT270" s="42" t="n"/>
      <c r="CU270" s="11" t="n"/>
      <c r="CV270" s="11" t="n"/>
      <c r="CW270" s="11" t="n"/>
      <c r="CX270" s="11" t="n"/>
      <c r="CY270" s="42" t="n"/>
    </row>
    <row r="271" hidden="1" outlineLevel="1" customFormat="1" s="66">
      <c r="A271" s="37" t="n"/>
      <c r="B271" s="37" t="n"/>
      <c r="C271" s="67" t="inlineStr">
        <is>
          <t>Expected average share price</t>
        </is>
      </c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  <c r="AA271" s="42" t="n"/>
      <c r="AB271" s="42" t="n"/>
      <c r="AC271" s="42" t="n"/>
      <c r="AD271" s="42" t="n"/>
      <c r="AE271" s="42" t="n"/>
      <c r="AF271" s="42" t="n"/>
      <c r="AG271" s="42" t="n"/>
      <c r="AH271" s="68">
        <f>AF271*(1+AH272)</f>
        <v>0</v>
      </c>
      <c r="AI271" s="68">
        <f>AH271*(1+AI272)</f>
        <v>0</v>
      </c>
      <c r="AJ271" s="68">
        <f>AH271*(1+AJ272)</f>
        <v>0</v>
      </c>
      <c r="AK271" s="68">
        <f>AJ271*(1+AK272)</f>
        <v>0</v>
      </c>
      <c r="AL271" s="42" t="n"/>
      <c r="AM271" s="68">
        <f>AK271*(1+AM272)</f>
        <v>0</v>
      </c>
      <c r="AN271" s="68">
        <f>AM271*(1+AN272)</f>
        <v>0</v>
      </c>
      <c r="AO271" s="68">
        <f>AM271*(1+AO272)</f>
        <v>0</v>
      </c>
      <c r="AP271" s="68">
        <f>AO271*(1+AP272)</f>
        <v>0</v>
      </c>
      <c r="AQ271" s="42" t="n"/>
      <c r="AR271" s="68">
        <f>AP271*(1+AR272)</f>
        <v>0</v>
      </c>
      <c r="AS271" s="68">
        <f>AR271*(1+AS272)</f>
        <v>0</v>
      </c>
      <c r="AT271" s="68">
        <f>AR271*(1+AT272)</f>
        <v>0</v>
      </c>
      <c r="AU271" s="68">
        <f>AT271*(1+AU272)</f>
        <v>0</v>
      </c>
      <c r="AV271" s="42" t="n"/>
      <c r="AW271" s="68">
        <f>AU271*(1+AW272)</f>
        <v>0</v>
      </c>
      <c r="AX271" s="68">
        <f>AW271*(1+AX272)</f>
        <v>0</v>
      </c>
      <c r="AY271" s="68">
        <f>AW271*(1+AY272)</f>
        <v>0</v>
      </c>
      <c r="AZ271" s="68">
        <f>AY271*(1+AZ272)</f>
        <v>0</v>
      </c>
      <c r="BA271" s="42" t="n"/>
      <c r="BB271" s="68">
        <f>AZ271*(1+BB272)</f>
        <v>0</v>
      </c>
      <c r="BC271" s="68">
        <f>BB271*(1+BC272)</f>
        <v>0</v>
      </c>
      <c r="BD271" s="68">
        <f>BB271*(1+BD272)</f>
        <v>0</v>
      </c>
      <c r="BE271" s="68">
        <f>BD271*(1+BE272)</f>
        <v>0</v>
      </c>
      <c r="BF271" s="42" t="n"/>
      <c r="BG271" s="68" t="n"/>
      <c r="BH271" s="68" t="n"/>
      <c r="BI271" s="68" t="n"/>
      <c r="BJ271" s="68" t="n"/>
      <c r="BK271" s="42" t="n"/>
      <c r="BL271" s="68" t="n"/>
      <c r="BM271" s="68" t="n"/>
      <c r="BN271" s="68" t="n"/>
      <c r="BO271" s="68" t="n"/>
      <c r="BP271" s="42" t="n"/>
      <c r="BQ271" s="68" t="n"/>
      <c r="BR271" s="68" t="n"/>
      <c r="BS271" s="68" t="n"/>
      <c r="BT271" s="68" t="n"/>
      <c r="BU271" s="42" t="n"/>
      <c r="BV271" s="68" t="n"/>
      <c r="BW271" s="68" t="n"/>
      <c r="BX271" s="68" t="n"/>
      <c r="BY271" s="68" t="n"/>
      <c r="BZ271" s="42" t="n"/>
      <c r="CA271" s="68" t="n"/>
      <c r="CB271" s="68" t="n"/>
      <c r="CC271" s="68" t="n"/>
      <c r="CD271" s="68" t="n"/>
      <c r="CE271" s="42" t="n"/>
      <c r="CF271" s="68" t="n"/>
      <c r="CG271" s="68" t="n"/>
      <c r="CH271" s="68" t="n"/>
      <c r="CI271" s="68" t="n"/>
      <c r="CJ271" s="42" t="n"/>
      <c r="CK271" s="68" t="n"/>
      <c r="CL271" s="68" t="n"/>
      <c r="CM271" s="68" t="n"/>
      <c r="CN271" s="68" t="n"/>
      <c r="CO271" s="42" t="n"/>
      <c r="CP271" s="68" t="n"/>
      <c r="CQ271" s="68" t="n"/>
      <c r="CR271" s="68" t="n"/>
      <c r="CS271" s="68" t="n"/>
      <c r="CT271" s="42" t="n"/>
      <c r="CU271" s="68" t="n"/>
      <c r="CV271" s="68" t="n"/>
      <c r="CW271" s="68" t="n"/>
      <c r="CX271" s="68" t="n"/>
      <c r="CY271" s="42" t="n"/>
    </row>
    <row r="272" hidden="1" outlineLevel="1" customFormat="1" s="66">
      <c r="A272" s="37" t="n"/>
      <c r="B272" s="37" t="n"/>
      <c r="C272" s="67" t="inlineStr">
        <is>
          <t>Consensus EPS growth</t>
        </is>
      </c>
      <c r="D272" s="42" t="n"/>
      <c r="E272" s="42" t="n"/>
      <c r="F272" s="42" t="n"/>
      <c r="G272" s="42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  <c r="AA272" s="42" t="n"/>
      <c r="AB272" s="42" t="n"/>
      <c r="AC272" s="42" t="n"/>
      <c r="AD272" s="42" t="n"/>
      <c r="AE272" s="42" t="n"/>
      <c r="AF272" s="42" t="n"/>
      <c r="AG272" s="42" t="n"/>
      <c r="AH272" s="58">
        <f>$AL$277</f>
        <v>0</v>
      </c>
      <c r="AI272" s="58">
        <f>$AL$277</f>
        <v>0</v>
      </c>
      <c r="AJ272" s="58">
        <f>$AL$277</f>
        <v>0</v>
      </c>
      <c r="AK272" s="58">
        <f>$AL$277</f>
        <v>0</v>
      </c>
      <c r="AL272" s="42" t="n"/>
      <c r="AM272" s="58">
        <f>$AL$277</f>
        <v>0</v>
      </c>
      <c r="AN272" s="58">
        <f>$AL$277</f>
        <v>0</v>
      </c>
      <c r="AO272" s="58">
        <f>$AL$277</f>
        <v>0</v>
      </c>
      <c r="AP272" s="58">
        <f>$AL$277</f>
        <v>0</v>
      </c>
      <c r="AQ272" s="42" t="n"/>
      <c r="AR272" s="58">
        <f>$AL$277</f>
        <v>0</v>
      </c>
      <c r="AS272" s="58">
        <f>$AL$277</f>
        <v>0</v>
      </c>
      <c r="AT272" s="58">
        <f>$AL$277</f>
        <v>0</v>
      </c>
      <c r="AU272" s="58">
        <f>$AL$277</f>
        <v>0</v>
      </c>
      <c r="AV272" s="42" t="n"/>
      <c r="AW272" s="58">
        <f>$AL$277</f>
        <v>0</v>
      </c>
      <c r="AX272" s="58">
        <f>$AL$277</f>
        <v>0</v>
      </c>
      <c r="AY272" s="58">
        <f>$AL$277</f>
        <v>0</v>
      </c>
      <c r="AZ272" s="58">
        <f>$AL$277</f>
        <v>0</v>
      </c>
      <c r="BA272" s="42" t="n"/>
      <c r="BB272" s="58">
        <f>$AL$277</f>
        <v>0</v>
      </c>
      <c r="BC272" s="58">
        <f>$AL$277</f>
        <v>0</v>
      </c>
      <c r="BD272" s="58">
        <f>$AL$277</f>
        <v>0</v>
      </c>
      <c r="BE272" s="58">
        <f>$AL$277</f>
        <v>0</v>
      </c>
      <c r="BF272" s="42" t="n"/>
      <c r="BG272" s="58" t="n"/>
      <c r="BH272" s="58" t="n"/>
      <c r="BI272" s="58" t="n"/>
      <c r="BJ272" s="58" t="n"/>
      <c r="BK272" s="42" t="n"/>
      <c r="BL272" s="58" t="n"/>
      <c r="BM272" s="58" t="n"/>
      <c r="BN272" s="58" t="n"/>
      <c r="BO272" s="58" t="n"/>
      <c r="BP272" s="42" t="n"/>
      <c r="BQ272" s="58" t="n"/>
      <c r="BR272" s="58" t="n"/>
      <c r="BS272" s="58" t="n"/>
      <c r="BT272" s="58" t="n"/>
      <c r="BU272" s="42" t="n"/>
      <c r="BV272" s="58" t="n"/>
      <c r="BW272" s="58" t="n"/>
      <c r="BX272" s="58" t="n"/>
      <c r="BY272" s="58" t="n"/>
      <c r="BZ272" s="42" t="n"/>
      <c r="CA272" s="58" t="n"/>
      <c r="CB272" s="58" t="n"/>
      <c r="CC272" s="58" t="n"/>
      <c r="CD272" s="58" t="n"/>
      <c r="CE272" s="42" t="n"/>
      <c r="CF272" s="58" t="n"/>
      <c r="CG272" s="58" t="n"/>
      <c r="CH272" s="58" t="n"/>
      <c r="CI272" s="58" t="n"/>
      <c r="CJ272" s="42" t="n"/>
      <c r="CK272" s="58" t="n"/>
      <c r="CL272" s="58" t="n"/>
      <c r="CM272" s="58" t="n"/>
      <c r="CN272" s="58" t="n"/>
      <c r="CO272" s="42" t="n"/>
      <c r="CP272" s="58" t="n"/>
      <c r="CQ272" s="58" t="n"/>
      <c r="CR272" s="58" t="n"/>
      <c r="CS272" s="58" t="n"/>
      <c r="CT272" s="42" t="n"/>
      <c r="CU272" s="58" t="n"/>
      <c r="CV272" s="58" t="n"/>
      <c r="CW272" s="58" t="n"/>
      <c r="CX272" s="58" t="n"/>
      <c r="CY272" s="42" t="n"/>
    </row>
    <row r="273" hidden="1" outlineLevel="1" customFormat="1" s="66">
      <c r="A273" s="37" t="n"/>
      <c r="B273" s="37" t="n"/>
      <c r="C273" s="67" t="n"/>
      <c r="D273" s="42" t="n"/>
      <c r="E273" s="42" t="n"/>
      <c r="F273" s="42" t="n"/>
      <c r="G273" s="42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  <c r="AA273" s="42" t="n"/>
      <c r="AB273" s="42" t="n"/>
      <c r="AC273" s="42" t="n"/>
      <c r="AD273" s="42" t="n"/>
      <c r="AE273" s="42" t="n"/>
      <c r="AF273" s="42" t="n"/>
      <c r="AG273" s="42" t="n"/>
      <c r="AH273" s="12" t="n"/>
      <c r="AI273" s="12" t="n"/>
      <c r="AJ273" s="12" t="n"/>
      <c r="AK273" s="12" t="n"/>
      <c r="AL273" s="42" t="n"/>
      <c r="AM273" s="12" t="n"/>
      <c r="AN273" s="12" t="n"/>
      <c r="AO273" s="12" t="n"/>
      <c r="AP273" s="12" t="n"/>
      <c r="AQ273" s="42" t="n"/>
      <c r="AR273" s="12" t="n"/>
      <c r="AS273" s="12" t="n"/>
      <c r="AT273" s="12" t="n"/>
      <c r="AU273" s="12" t="n"/>
      <c r="AV273" s="42" t="n"/>
      <c r="AW273" s="12" t="n"/>
      <c r="AX273" s="12" t="n"/>
      <c r="AY273" s="12" t="n"/>
      <c r="AZ273" s="12" t="n"/>
      <c r="BA273" s="42" t="n"/>
      <c r="BB273" s="12" t="n"/>
      <c r="BC273" s="12" t="n"/>
      <c r="BD273" s="12" t="n"/>
      <c r="BE273" s="12" t="n"/>
      <c r="BF273" s="42" t="n"/>
      <c r="BG273" s="12" t="n"/>
      <c r="BH273" s="12" t="n"/>
      <c r="BI273" s="12" t="n"/>
      <c r="BJ273" s="12" t="n"/>
      <c r="BK273" s="42" t="n"/>
      <c r="BL273" s="12" t="n"/>
      <c r="BM273" s="12" t="n"/>
      <c r="BN273" s="12" t="n"/>
      <c r="BO273" s="12" t="n"/>
      <c r="BP273" s="42" t="n"/>
      <c r="BQ273" s="12" t="n"/>
      <c r="BR273" s="12" t="n"/>
      <c r="BS273" s="12" t="n"/>
      <c r="BT273" s="12" t="n"/>
      <c r="BU273" s="42" t="n"/>
      <c r="BV273" s="12" t="n"/>
      <c r="BW273" s="12" t="n"/>
      <c r="BX273" s="12" t="n"/>
      <c r="BY273" s="12" t="n"/>
      <c r="BZ273" s="42" t="n"/>
      <c r="CA273" s="12" t="n"/>
      <c r="CB273" s="12" t="n"/>
      <c r="CC273" s="12" t="n"/>
      <c r="CD273" s="12" t="n"/>
      <c r="CE273" s="42" t="n"/>
      <c r="CF273" s="12" t="n"/>
      <c r="CG273" s="12" t="n"/>
      <c r="CH273" s="12" t="n"/>
      <c r="CI273" s="12" t="n"/>
      <c r="CJ273" s="42" t="n"/>
      <c r="CK273" s="12" t="n"/>
      <c r="CL273" s="12" t="n"/>
      <c r="CM273" s="12" t="n"/>
      <c r="CN273" s="12" t="n"/>
      <c r="CO273" s="42" t="n"/>
      <c r="CP273" s="12" t="n"/>
      <c r="CQ273" s="12" t="n"/>
      <c r="CR273" s="12" t="n"/>
      <c r="CS273" s="12" t="n"/>
      <c r="CT273" s="42" t="n"/>
      <c r="CU273" s="12" t="n"/>
      <c r="CV273" s="12" t="n"/>
      <c r="CW273" s="12" t="n"/>
      <c r="CX273" s="12" t="n"/>
      <c r="CY273" s="42" t="n"/>
    </row>
    <row r="274" hidden="1" outlineLevel="1" customFormat="1" s="66">
      <c r="A274" s="37" t="n"/>
      <c r="B274" s="37" t="n"/>
      <c r="C274" s="67" t="inlineStr">
        <is>
          <t>Shares repurchased</t>
        </is>
      </c>
      <c r="D274" s="42" t="n"/>
      <c r="E274" s="42" t="n"/>
      <c r="F274" s="42" t="n"/>
      <c r="G274" s="42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  <c r="AA274" s="42" t="n"/>
      <c r="AB274" s="42" t="n"/>
      <c r="AC274" s="42" t="n"/>
      <c r="AD274" s="42" t="n"/>
      <c r="AE274" s="42" t="n"/>
      <c r="AF274" s="42" t="n"/>
      <c r="AG274" s="42" t="n"/>
      <c r="AH274" s="69" t="str">
        <f>IFERROR(-AH269/AH271,"")</f>
        <v/>
      </c>
      <c r="AI274" s="69" t="str">
        <f>IFERROR(-AI269/AI271,"")</f>
        <v/>
      </c>
      <c r="AJ274" s="69" t="str">
        <f>IFERROR(-AJ269/AJ271,"")</f>
        <v/>
      </c>
      <c r="AK274" s="69" t="str">
        <f>IFERROR(-AK269/AK271,"")</f>
        <v/>
      </c>
      <c r="AL274" s="42" t="n"/>
      <c r="AM274" s="69" t="str">
        <f>IFERROR(-AM269/AM271,"")</f>
        <v/>
      </c>
      <c r="AN274" s="69" t="str">
        <f>IFERROR(-AN269/AN271,"")</f>
        <v/>
      </c>
      <c r="AO274" s="69" t="str">
        <f>IFERROR(-AO269/AO271,"")</f>
        <v/>
      </c>
      <c r="AP274" s="69" t="str">
        <f>IFERROR(-AP269/AP271,"")</f>
        <v/>
      </c>
      <c r="AQ274" s="42" t="n"/>
      <c r="AR274" s="69" t="str">
        <f>IFERROR(-AR269/AR271,"")</f>
        <v/>
      </c>
      <c r="AS274" s="69" t="str">
        <f>IFERROR(-AS269/AS271,"")</f>
        <v/>
      </c>
      <c r="AT274" s="69" t="str">
        <f>IFERROR(-AT269/AT271,"")</f>
        <v/>
      </c>
      <c r="AU274" s="69" t="str">
        <f>IFERROR(-AU269/AU271,"")</f>
        <v/>
      </c>
      <c r="AV274" s="42" t="n"/>
      <c r="AW274" s="69" t="str">
        <f>IFERROR(-AW269/AW271,"")</f>
        <v/>
      </c>
      <c r="AX274" s="69" t="str">
        <f>IFERROR(-AX269/AX271,"")</f>
        <v/>
      </c>
      <c r="AY274" s="69" t="str">
        <f>IFERROR(-AY269/AY271,"")</f>
        <v/>
      </c>
      <c r="AZ274" s="69" t="str">
        <f>IFERROR(-AZ269/AZ271,"")</f>
        <v/>
      </c>
      <c r="BA274" s="42" t="n"/>
      <c r="BB274" s="69" t="str">
        <f>IFERROR(-BB269/BB271,"")</f>
        <v/>
      </c>
      <c r="BC274" s="69" t="str">
        <f>IFERROR(-BC269/BC271,"")</f>
        <v/>
      </c>
      <c r="BD274" s="69" t="str">
        <f>IFERROR(-BD269/BD271,"")</f>
        <v/>
      </c>
      <c r="BE274" s="69" t="str">
        <f>IFERROR(-BE269/BE271,"")</f>
        <v/>
      </c>
      <c r="BF274" s="42" t="n"/>
      <c r="BG274" s="69" t="n"/>
      <c r="BH274" s="69" t="n"/>
      <c r="BI274" s="69" t="n"/>
      <c r="BJ274" s="69" t="n"/>
      <c r="BK274" s="42" t="n"/>
      <c r="BL274" s="69" t="n"/>
      <c r="BM274" s="69" t="n"/>
      <c r="BN274" s="69" t="n"/>
      <c r="BO274" s="69" t="n"/>
      <c r="BP274" s="42" t="n"/>
      <c r="BQ274" s="69" t="n"/>
      <c r="BR274" s="69" t="n"/>
      <c r="BS274" s="69" t="n"/>
      <c r="BT274" s="69" t="n"/>
      <c r="BU274" s="42" t="n"/>
      <c r="BV274" s="69" t="n"/>
      <c r="BW274" s="69" t="n"/>
      <c r="BX274" s="69" t="n"/>
      <c r="BY274" s="69" t="n"/>
      <c r="BZ274" s="42" t="n"/>
      <c r="CA274" s="69" t="n"/>
      <c r="CB274" s="69" t="n"/>
      <c r="CC274" s="69" t="n"/>
      <c r="CD274" s="69" t="n"/>
      <c r="CE274" s="42" t="n"/>
      <c r="CF274" s="69" t="n"/>
      <c r="CG274" s="69" t="n"/>
      <c r="CH274" s="69" t="n"/>
      <c r="CI274" s="69" t="n"/>
      <c r="CJ274" s="42" t="n"/>
      <c r="CK274" s="69" t="n"/>
      <c r="CL274" s="69" t="n"/>
      <c r="CM274" s="69" t="n"/>
      <c r="CN274" s="69" t="n"/>
      <c r="CO274" s="42" t="n"/>
      <c r="CP274" s="69" t="n"/>
      <c r="CQ274" s="69" t="n"/>
      <c r="CR274" s="69" t="n"/>
      <c r="CS274" s="69" t="n"/>
      <c r="CT274" s="42" t="n"/>
      <c r="CU274" s="69" t="n"/>
      <c r="CV274" s="69" t="n"/>
      <c r="CW274" s="69" t="n"/>
      <c r="CX274" s="69" t="n"/>
      <c r="CY274" s="42" t="n"/>
    </row>
    <row r="275" hidden="1" outlineLevel="1" customFormat="1" s="66">
      <c r="A275" s="37" t="n"/>
      <c r="B275" s="37" t="n"/>
      <c r="C275" s="67" t="inlineStr">
        <is>
          <t>Shares issued</t>
        </is>
      </c>
      <c r="D275" s="42" t="n"/>
      <c r="E275" s="42" t="n"/>
      <c r="F275" s="42" t="n"/>
      <c r="G275" s="42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  <c r="AA275" s="42" t="n"/>
      <c r="AB275" s="42" t="n"/>
      <c r="AC275" s="42" t="n"/>
      <c r="AD275" s="42" t="n"/>
      <c r="AE275" s="42" t="n"/>
      <c r="AF275" s="9" t="n"/>
      <c r="AG275" s="42" t="n"/>
      <c r="AH275" s="69" t="str">
        <f>IFERROR(AH270/AH271,"")</f>
        <v/>
      </c>
      <c r="AI275" s="69" t="str">
        <f>IFERROR(AI270/AI271,"")</f>
        <v/>
      </c>
      <c r="AJ275" s="69" t="str">
        <f>IFERROR(AJ270/AJ271,"")</f>
        <v/>
      </c>
      <c r="AK275" s="69" t="str">
        <f>IFERROR(AK270/AK271,"")</f>
        <v/>
      </c>
      <c r="AL275" s="42" t="n"/>
      <c r="AM275" s="69" t="str">
        <f>IFERROR(AM270/AM271,"")</f>
        <v/>
      </c>
      <c r="AN275" s="69" t="str">
        <f>IFERROR(AN270/AN271,"")</f>
        <v/>
      </c>
      <c r="AO275" s="69" t="str">
        <f>IFERROR(AO270/AO271,"")</f>
        <v/>
      </c>
      <c r="AP275" s="69" t="str">
        <f>IFERROR(AP270/AP271,"")</f>
        <v/>
      </c>
      <c r="AQ275" s="42" t="n"/>
      <c r="AR275" s="69" t="str">
        <f>IFERROR(AR270/AR271,"")</f>
        <v/>
      </c>
      <c r="AS275" s="69" t="str">
        <f>IFERROR(AS270/AS271,"")</f>
        <v/>
      </c>
      <c r="AT275" s="69" t="str">
        <f>IFERROR(AT270/AT271,"")</f>
        <v/>
      </c>
      <c r="AU275" s="69" t="str">
        <f>IFERROR(AU270/AU271,"")</f>
        <v/>
      </c>
      <c r="AV275" s="42" t="n"/>
      <c r="AW275" s="69" t="str">
        <f>IFERROR(AW270/AW271,"")</f>
        <v/>
      </c>
      <c r="AX275" s="69" t="str">
        <f>IFERROR(AX270/AX271,"")</f>
        <v/>
      </c>
      <c r="AY275" s="69" t="str">
        <f>IFERROR(AY270/AY271,"")</f>
        <v/>
      </c>
      <c r="AZ275" s="69" t="str">
        <f>IFERROR(AZ270/AZ271,"")</f>
        <v/>
      </c>
      <c r="BA275" s="42" t="n"/>
      <c r="BB275" s="69" t="str">
        <f>IFERROR(BB270/BB271,"")</f>
        <v/>
      </c>
      <c r="BC275" s="69" t="str">
        <f>IFERROR(BC270/BC271,"")</f>
        <v/>
      </c>
      <c r="BD275" s="69" t="str">
        <f>IFERROR(BD270/BD271,"")</f>
        <v/>
      </c>
      <c r="BE275" s="69" t="str">
        <f>IFERROR(BE270/BE271,"")</f>
        <v/>
      </c>
      <c r="BF275" s="42" t="n"/>
      <c r="BG275" s="69" t="n"/>
      <c r="BH275" s="69" t="n"/>
      <c r="BI275" s="69" t="n"/>
      <c r="BJ275" s="69" t="n"/>
      <c r="BK275" s="42" t="n"/>
      <c r="BL275" s="69" t="n"/>
      <c r="BM275" s="69" t="n"/>
      <c r="BN275" s="69" t="n"/>
      <c r="BO275" s="69" t="n"/>
      <c r="BP275" s="42" t="n"/>
      <c r="BQ275" s="69" t="n"/>
      <c r="BR275" s="69" t="n"/>
      <c r="BS275" s="69" t="n"/>
      <c r="BT275" s="69" t="n"/>
      <c r="BU275" s="42" t="n"/>
      <c r="BV275" s="69" t="n"/>
      <c r="BW275" s="69" t="n"/>
      <c r="BX275" s="69" t="n"/>
      <c r="BY275" s="69" t="n"/>
      <c r="BZ275" s="42" t="n"/>
      <c r="CA275" s="69" t="n"/>
      <c r="CB275" s="69" t="n"/>
      <c r="CC275" s="69" t="n"/>
      <c r="CD275" s="69" t="n"/>
      <c r="CE275" s="42" t="n"/>
      <c r="CF275" s="69" t="n"/>
      <c r="CG275" s="69" t="n"/>
      <c r="CH275" s="69" t="n"/>
      <c r="CI275" s="69" t="n"/>
      <c r="CJ275" s="42" t="n"/>
      <c r="CK275" s="69" t="n"/>
      <c r="CL275" s="69" t="n"/>
      <c r="CM275" s="69" t="n"/>
      <c r="CN275" s="69" t="n"/>
      <c r="CO275" s="42" t="n"/>
      <c r="CP275" s="69" t="n"/>
      <c r="CQ275" s="69" t="n"/>
      <c r="CR275" s="69" t="n"/>
      <c r="CS275" s="69" t="n"/>
      <c r="CT275" s="42" t="n"/>
      <c r="CU275" s="69" t="n"/>
      <c r="CV275" s="69" t="n"/>
      <c r="CW275" s="69" t="n"/>
      <c r="CX275" s="69" t="n"/>
      <c r="CY275" s="42" t="n"/>
    </row>
    <row r="276" hidden="1" outlineLevel="1" customFormat="1" s="66">
      <c r="A276" s="37" t="n"/>
      <c r="B276" s="37" t="n"/>
      <c r="C276" s="67" t="inlineStr">
        <is>
          <t>End of period basic shares outstanding</t>
        </is>
      </c>
      <c r="D276" s="42" t="n"/>
      <c r="E276" s="42" t="n"/>
      <c r="F276" s="42" t="n"/>
      <c r="G276" s="42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  <c r="AA276" s="42" t="n"/>
      <c r="AB276" s="42" t="n"/>
      <c r="AC276" s="42" t="n"/>
      <c r="AD276" s="42" t="n"/>
      <c r="AE276" s="42" t="n"/>
      <c r="AF276" s="42" t="n"/>
      <c r="AG276" s="42" t="n"/>
      <c r="AH276" s="3" t="str">
        <f>IFERROR(AG276+AH275-AH274,"")</f>
        <v/>
      </c>
      <c r="AI276" s="3" t="str">
        <f>IFERROR(AH276+AI275-AI274,"")</f>
        <v/>
      </c>
      <c r="AJ276" s="69" t="str">
        <f>IFERROR(AH276+AJ275-AJ274,"")</f>
        <v/>
      </c>
      <c r="AK276" s="69" t="str">
        <f>IFERROR(AJ276+AK275-AK274,"")</f>
        <v/>
      </c>
      <c r="AL276" s="42" t="n"/>
      <c r="AM276" s="3" t="str">
        <f>IFERROR(AK276+AM275-AM274,"")</f>
        <v/>
      </c>
      <c r="AN276" s="3" t="str">
        <f>IFERROR(AM276+AN275-AN274,"")</f>
        <v/>
      </c>
      <c r="AO276" s="69" t="str">
        <f>IFERROR(AM276+AO275-AO274,"")</f>
        <v/>
      </c>
      <c r="AP276" s="69" t="str">
        <f>IFERROR(AO276+AP275-AP274,"")</f>
        <v/>
      </c>
      <c r="AQ276" s="42" t="n"/>
      <c r="AR276" s="3" t="str">
        <f>IFERROR(AP276+AR275-AR274,"")</f>
        <v/>
      </c>
      <c r="AS276" s="3" t="str">
        <f>IFERROR(AR276+AS275-AS274,"")</f>
        <v/>
      </c>
      <c r="AT276" s="69" t="str">
        <f>IFERROR(AR276+AT275-AT274,"")</f>
        <v/>
      </c>
      <c r="AU276" s="69" t="str">
        <f>IFERROR(AT276+AU275-AU274,"")</f>
        <v/>
      </c>
      <c r="AV276" s="42" t="n"/>
      <c r="AW276" s="3" t="str">
        <f>IFERROR(AU276+AW275-AW274,"")</f>
        <v/>
      </c>
      <c r="AX276" s="3" t="str">
        <f>IFERROR(AW276+AX275-AX274,"")</f>
        <v/>
      </c>
      <c r="AY276" s="69" t="str">
        <f>IFERROR(AW276+AY275-AY274,"")</f>
        <v/>
      </c>
      <c r="AZ276" s="69" t="str">
        <f>IFERROR(AY276+AZ275-AZ274,"")</f>
        <v/>
      </c>
      <c r="BA276" s="42" t="n"/>
      <c r="BB276" s="3" t="str">
        <f>IFERROR(AZ276+BB275-BB274,"")</f>
        <v/>
      </c>
      <c r="BC276" s="3" t="str">
        <f>IFERROR(BB276+BC275-BC274,"")</f>
        <v/>
      </c>
      <c r="BD276" s="69" t="str">
        <f>IFERROR(BB276+BD275-BD274,"")</f>
        <v/>
      </c>
      <c r="BE276" s="69" t="str">
        <f>IFERROR(BD276+BE275-BE274,"")</f>
        <v/>
      </c>
      <c r="BF276" s="42" t="n"/>
      <c r="BG276" s="3" t="n"/>
      <c r="BH276" s="3" t="n"/>
      <c r="BI276" s="69" t="n"/>
      <c r="BJ276" s="69" t="n"/>
      <c r="BK276" s="42" t="n"/>
      <c r="BL276" s="3" t="n"/>
      <c r="BM276" s="3" t="n"/>
      <c r="BN276" s="69" t="n"/>
      <c r="BO276" s="69" t="n"/>
      <c r="BP276" s="42" t="n"/>
      <c r="BQ276" s="3" t="n"/>
      <c r="BR276" s="3" t="n"/>
      <c r="BS276" s="69" t="n"/>
      <c r="BT276" s="69" t="n"/>
      <c r="BU276" s="42" t="n"/>
      <c r="BV276" s="3" t="n"/>
      <c r="BW276" s="3" t="n"/>
      <c r="BX276" s="69" t="n"/>
      <c r="BY276" s="69" t="n"/>
      <c r="BZ276" s="42" t="n"/>
      <c r="CA276" s="3" t="n"/>
      <c r="CB276" s="3" t="n"/>
      <c r="CC276" s="69" t="n"/>
      <c r="CD276" s="69" t="n"/>
      <c r="CE276" s="42" t="n"/>
      <c r="CF276" s="3" t="n"/>
      <c r="CG276" s="3" t="n"/>
      <c r="CH276" s="69" t="n"/>
      <c r="CI276" s="69" t="n"/>
      <c r="CJ276" s="42" t="n"/>
      <c r="CK276" s="3" t="n"/>
      <c r="CL276" s="3" t="n"/>
      <c r="CM276" s="69" t="n"/>
      <c r="CN276" s="69" t="n"/>
      <c r="CO276" s="42" t="n"/>
      <c r="CP276" s="3" t="n"/>
      <c r="CQ276" s="3" t="n"/>
      <c r="CR276" s="69" t="n"/>
      <c r="CS276" s="69" t="n"/>
      <c r="CT276" s="42" t="n"/>
      <c r="CU276" s="3" t="n"/>
      <c r="CV276" s="3" t="n"/>
      <c r="CW276" s="69" t="n"/>
      <c r="CX276" s="69" t="n"/>
      <c r="CY276" s="42" t="n"/>
    </row>
    <row r="277" hidden="1" outlineLevel="1" customFormat="1" s="66">
      <c r="A277" s="37" t="n"/>
      <c r="B277" s="37" t="n"/>
      <c r="C277" s="67" t="inlineStr">
        <is>
          <t>Weighted average basic shares outstanding</t>
        </is>
      </c>
      <c r="D277" s="42" t="n"/>
      <c r="E277" s="42" t="n"/>
      <c r="F277" s="42" t="n"/>
      <c r="G277" s="42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  <c r="AA277" s="42" t="n"/>
      <c r="AB277" s="42" t="n"/>
      <c r="AC277" s="42" t="n"/>
      <c r="AD277" s="42" t="n"/>
      <c r="AE277" s="42" t="n"/>
      <c r="AF277" s="42" t="n"/>
      <c r="AG277" s="42" t="n"/>
      <c r="AH277" s="69" t="str">
        <f>IFERROR(AVERAGE(AG276,AH276),"")</f>
        <v/>
      </c>
      <c r="AI277" s="69" t="str">
        <f>IFERROR(AVERAGE(AH276,AI276),"")</f>
        <v/>
      </c>
      <c r="AJ277" s="69" t="str">
        <f>IFERROR(AVERAGE(AH276,AJ276),"")</f>
        <v/>
      </c>
      <c r="AK277" s="69" t="str">
        <f>IFERROR(AVERAGE(AJ276,AK276),"")</f>
        <v/>
      </c>
      <c r="AL277" s="42" t="n"/>
      <c r="AM277" s="69" t="str">
        <f>IFERROR(AVERAGE(AL276,AM276),"")</f>
        <v/>
      </c>
      <c r="AN277" s="69" t="str">
        <f>IFERROR(AVERAGE(AM276,AN276),"")</f>
        <v/>
      </c>
      <c r="AO277" s="69" t="str">
        <f>IFERROR(AVERAGE(AM276,AO276),"")</f>
        <v/>
      </c>
      <c r="AP277" s="69" t="str">
        <f>IFERROR(AVERAGE(AO276,AP276),"")</f>
        <v/>
      </c>
      <c r="AQ277" s="42" t="n"/>
      <c r="AR277" s="69" t="str">
        <f>IFERROR(AVERAGE(AQ276,AR276),"")</f>
        <v/>
      </c>
      <c r="AS277" s="69" t="str">
        <f>IFERROR(AVERAGE(AR276,AS276),"")</f>
        <v/>
      </c>
      <c r="AT277" s="69" t="str">
        <f>IFERROR(AVERAGE(AR276,AT276),"")</f>
        <v/>
      </c>
      <c r="AU277" s="69" t="str">
        <f>IFERROR(AVERAGE(AT276,AU276),"")</f>
        <v/>
      </c>
      <c r="AV277" s="42" t="n"/>
      <c r="AW277" s="69" t="str">
        <f>IFERROR(AVERAGE(AV276,AW276),"")</f>
        <v/>
      </c>
      <c r="AX277" s="69" t="str">
        <f>IFERROR(AVERAGE(AW276,AX276),"")</f>
        <v/>
      </c>
      <c r="AY277" s="69" t="str">
        <f>IFERROR(AVERAGE(AW276,AY276),"")</f>
        <v/>
      </c>
      <c r="AZ277" s="69" t="str">
        <f>IFERROR(AVERAGE(AY276,AZ276),"")</f>
        <v/>
      </c>
      <c r="BA277" s="42" t="n"/>
      <c r="BB277" s="69" t="str">
        <f>IFERROR(AVERAGE(BA276,BB276),"")</f>
        <v/>
      </c>
      <c r="BC277" s="69" t="str">
        <f>IFERROR(AVERAGE(BB276,BC276),"")</f>
        <v/>
      </c>
      <c r="BD277" s="69" t="str">
        <f>IFERROR(AVERAGE(BB276,BD276),"")</f>
        <v/>
      </c>
      <c r="BE277" s="69" t="str">
        <f>IFERROR(AVERAGE(BD276,BE276),"")</f>
        <v/>
      </c>
      <c r="BF277" s="42" t="n"/>
      <c r="BG277" s="69" t="n"/>
      <c r="BH277" s="69" t="n"/>
      <c r="BI277" s="69" t="n"/>
      <c r="BJ277" s="69" t="n"/>
      <c r="BK277" s="42" t="n"/>
      <c r="BL277" s="69" t="n"/>
      <c r="BM277" s="69" t="n"/>
      <c r="BN277" s="69" t="n"/>
      <c r="BO277" s="69" t="n"/>
      <c r="BP277" s="42" t="n"/>
      <c r="BQ277" s="69" t="n"/>
      <c r="BR277" s="69" t="n"/>
      <c r="BS277" s="69" t="n"/>
      <c r="BT277" s="69" t="n"/>
      <c r="BU277" s="42" t="n"/>
      <c r="BV277" s="69" t="n"/>
      <c r="BW277" s="69" t="n"/>
      <c r="BX277" s="69" t="n"/>
      <c r="BY277" s="69" t="n"/>
      <c r="BZ277" s="42" t="n"/>
      <c r="CA277" s="69" t="n"/>
      <c r="CB277" s="69" t="n"/>
      <c r="CC277" s="69" t="n"/>
      <c r="CD277" s="69" t="n"/>
      <c r="CE277" s="42" t="n"/>
      <c r="CF277" s="69" t="n"/>
      <c r="CG277" s="69" t="n"/>
      <c r="CH277" s="69" t="n"/>
      <c r="CI277" s="69" t="n"/>
      <c r="CJ277" s="42" t="n"/>
      <c r="CK277" s="69" t="n"/>
      <c r="CL277" s="69" t="n"/>
      <c r="CM277" s="69" t="n"/>
      <c r="CN277" s="69" t="n"/>
      <c r="CO277" s="42" t="n"/>
      <c r="CP277" s="69" t="n"/>
      <c r="CQ277" s="69" t="n"/>
      <c r="CR277" s="69" t="n"/>
      <c r="CS277" s="69" t="n"/>
      <c r="CT277" s="42" t="n"/>
      <c r="CU277" s="69" t="n"/>
      <c r="CV277" s="69" t="n"/>
      <c r="CW277" s="69" t="n"/>
      <c r="CX277" s="69" t="n"/>
      <c r="CY277" s="42" t="n"/>
    </row>
    <row r="278" hidden="1" outlineLevel="1" customFormat="1" s="66">
      <c r="A278" s="37" t="n"/>
      <c r="B278" s="37" t="n"/>
      <c r="C278" s="67" t="n"/>
      <c r="D278" s="42" t="n"/>
      <c r="E278" s="42" t="n"/>
      <c r="F278" s="42" t="n"/>
      <c r="G278" s="42" t="n"/>
      <c r="H278" s="12" t="n"/>
      <c r="I278" s="42" t="n"/>
      <c r="J278" s="42" t="n"/>
      <c r="K278" s="42" t="n"/>
      <c r="L278" s="42" t="n"/>
      <c r="M278" s="12" t="n"/>
      <c r="N278" s="42" t="n"/>
      <c r="O278" s="42" t="n"/>
      <c r="P278" s="42" t="n"/>
      <c r="Q278" s="42" t="n"/>
      <c r="R278" s="12" t="n"/>
      <c r="S278" s="42" t="n"/>
      <c r="T278" s="42" t="n"/>
      <c r="U278" s="42" t="n"/>
      <c r="V278" s="42" t="n"/>
      <c r="W278" s="12" t="n"/>
      <c r="X278" s="42" t="n"/>
      <c r="Y278" s="42" t="n"/>
      <c r="Z278" s="42" t="n"/>
      <c r="AA278" s="42" t="n"/>
      <c r="AB278" s="12" t="n"/>
      <c r="AC278" s="42" t="n"/>
      <c r="AD278" s="42" t="n"/>
      <c r="AE278" s="42" t="n"/>
      <c r="AF278" s="42" t="n"/>
      <c r="AG278" s="12" t="n"/>
      <c r="AH278" s="42" t="n"/>
      <c r="AI278" s="42" t="n"/>
      <c r="AJ278" s="42" t="n"/>
      <c r="AK278" s="42" t="n"/>
      <c r="AL278" s="12" t="n"/>
      <c r="AM278" s="42" t="n"/>
      <c r="AN278" s="42" t="n"/>
      <c r="AO278" s="42" t="n"/>
      <c r="AP278" s="42" t="n"/>
      <c r="AQ278" s="12" t="n"/>
      <c r="AR278" s="42" t="n"/>
      <c r="AS278" s="42" t="n"/>
      <c r="AT278" s="42" t="n"/>
      <c r="AU278" s="42" t="n"/>
      <c r="AV278" s="12" t="n"/>
      <c r="AW278" s="42" t="n"/>
      <c r="AX278" s="42" t="n"/>
      <c r="AY278" s="42" t="n"/>
      <c r="AZ278" s="42" t="n"/>
      <c r="BA278" s="12" t="n"/>
      <c r="BB278" s="42" t="n"/>
      <c r="BC278" s="42" t="n"/>
      <c r="BD278" s="42" t="n"/>
      <c r="BE278" s="42" t="n"/>
      <c r="BF278" s="12" t="n"/>
      <c r="BG278" s="42" t="n"/>
      <c r="BH278" s="42" t="n"/>
      <c r="BI278" s="42" t="n"/>
      <c r="BJ278" s="42" t="n"/>
      <c r="BK278" s="12" t="n"/>
      <c r="BL278" s="42" t="n"/>
      <c r="BM278" s="42" t="n"/>
      <c r="BN278" s="42" t="n"/>
      <c r="BO278" s="42" t="n"/>
      <c r="BP278" s="12" t="n"/>
      <c r="BQ278" s="42" t="n"/>
      <c r="BR278" s="42" t="n"/>
      <c r="BS278" s="42" t="n"/>
      <c r="BT278" s="42" t="n"/>
      <c r="BU278" s="12" t="n"/>
      <c r="BV278" s="42" t="n"/>
      <c r="BW278" s="42" t="n"/>
      <c r="BX278" s="42" t="n"/>
      <c r="BY278" s="42" t="n"/>
      <c r="BZ278" s="12" t="n"/>
      <c r="CA278" s="42" t="n"/>
      <c r="CB278" s="42" t="n"/>
      <c r="CC278" s="42" t="n"/>
      <c r="CD278" s="42" t="n"/>
      <c r="CE278" s="12" t="n"/>
      <c r="CF278" s="42" t="n"/>
      <c r="CG278" s="42" t="n"/>
      <c r="CH278" s="42" t="n"/>
      <c r="CI278" s="42" t="n"/>
      <c r="CJ278" s="12" t="n"/>
      <c r="CK278" s="42" t="n"/>
      <c r="CL278" s="42" t="n"/>
      <c r="CM278" s="42" t="n"/>
      <c r="CN278" s="42" t="n"/>
      <c r="CO278" s="12" t="n"/>
      <c r="CP278" s="42" t="n"/>
      <c r="CQ278" s="42" t="n"/>
      <c r="CR278" s="42" t="n"/>
      <c r="CS278" s="42" t="n"/>
      <c r="CT278" s="12" t="n"/>
      <c r="CU278" s="42" t="n"/>
      <c r="CV278" s="42" t="n"/>
      <c r="CW278" s="42" t="n"/>
      <c r="CX278" s="42" t="n"/>
      <c r="CY278" s="12" t="n"/>
    </row>
    <row r="279" collapsed="1">
      <c r="C279" s="14" t="inlineStr">
        <is>
          <t>Treasury stock (contra account)</t>
        </is>
      </c>
      <c r="D279" s="46" t="n"/>
      <c r="E279" s="46" t="n"/>
      <c r="F279" s="46" t="n"/>
      <c r="G279" s="46" t="n"/>
      <c r="H279" s="12" t="n"/>
      <c r="I279" s="46">
        <f>'Inputs (2)'!D44</f>
        <v>-23.377</v>
      </c>
      <c r="J279" s="46">
        <f>'Inputs (2)'!E44</f>
        <v>-27.166</v>
      </c>
      <c r="K279" s="46">
        <f>'Inputs (2)'!F44</f>
        <v>-12.509</v>
      </c>
      <c r="L279" s="46">
        <f>'Inputs (2)'!G44</f>
        <v>-12.639</v>
      </c>
      <c r="M279" s="12">
        <f>'Inputs (2)'!H44</f>
        <v>-12.639</v>
      </c>
      <c r="N279" s="46">
        <f>'Inputs (2)'!I44</f>
        <v>-12.649</v>
      </c>
      <c r="O279" s="46">
        <f>'Inputs (2)'!J44</f>
        <v>-13.53</v>
      </c>
      <c r="P279" s="46">
        <f>'Inputs (2)'!K44</f>
        <v>-14.41</v>
      </c>
      <c r="Q279" s="46">
        <f>'Inputs (2)'!L44</f>
        <v>-14.419</v>
      </c>
      <c r="R279" s="12">
        <f>'Inputs (2)'!M44</f>
        <v>-14.419</v>
      </c>
      <c r="S279" s="46">
        <f>'Inputs (2)'!N44</f>
        <v>-29.946</v>
      </c>
      <c r="T279" s="46">
        <f>'Inputs (2)'!O44</f>
        <v>-29.97</v>
      </c>
      <c r="U279" s="46">
        <f>'Inputs (2)'!P44</f>
        <v>-30.106</v>
      </c>
      <c r="V279" s="46">
        <f>'Inputs (2)'!Q44</f>
        <v>-50.667</v>
      </c>
      <c r="W279" s="12">
        <f>'Inputs (2)'!R44</f>
        <v>-50.667</v>
      </c>
      <c r="X279" s="46">
        <f>'Inputs (2)'!S44</f>
        <v>-50.76</v>
      </c>
      <c r="Y279" s="46">
        <f>'Inputs (2)'!T44</f>
        <v>-50.763</v>
      </c>
      <c r="Z279" s="46">
        <f>'Inputs (2)'!U44</f>
        <v>-50.78</v>
      </c>
      <c r="AA279" s="46">
        <f>'Inputs (2)'!V44</f>
        <v>-50.803</v>
      </c>
      <c r="AB279" s="12">
        <f>'Inputs (2)'!W44</f>
        <v>-50.803</v>
      </c>
      <c r="AC279" s="46">
        <f>'Inputs (2)'!X44</f>
        <v>-82.243</v>
      </c>
      <c r="AD279" s="46">
        <f>'Inputs (2)'!Y44</f>
        <v>-124.687</v>
      </c>
      <c r="AE279" s="46">
        <f>'Inputs (2)'!Z44</f>
        <v>-145.608</v>
      </c>
      <c r="AF279" s="46">
        <f>'Inputs (2)'!AA44</f>
        <v>-153.531</v>
      </c>
      <c r="AG279" s="12">
        <f>'Inputs (2)'!AB44</f>
        <v>-153.531</v>
      </c>
      <c r="AH279" s="12">
        <f>'Inputs (2)'!AC44</f>
        <v>-2.564</v>
      </c>
      <c r="AI279" s="12">
        <f>'Inputs (2)'!AD44</f>
        <v>-13.542</v>
      </c>
      <c r="AJ279" s="12">
        <f>AI279</f>
        <v>-13.542</v>
      </c>
      <c r="AK279" s="12">
        <f>AJ279</f>
        <v>-13.542</v>
      </c>
      <c r="AL279" s="12">
        <f>AK279</f>
        <v>-13.542</v>
      </c>
      <c r="AM279" s="12">
        <f>AL279</f>
        <v>-13.542</v>
      </c>
      <c r="AN279" s="12">
        <f>AM279</f>
        <v>-13.542</v>
      </c>
      <c r="AO279" s="12">
        <f>AN279</f>
        <v>-13.542</v>
      </c>
      <c r="AP279" s="12">
        <f>AO279</f>
        <v>-13.542</v>
      </c>
      <c r="AQ279" s="12">
        <f>AP279</f>
        <v>-13.542</v>
      </c>
      <c r="AR279" s="12">
        <f>AQ279</f>
        <v>-13.542</v>
      </c>
      <c r="AS279" s="12">
        <f>AR279</f>
        <v>-13.542</v>
      </c>
      <c r="AT279" s="12">
        <f>AS279</f>
        <v>-13.542</v>
      </c>
      <c r="AU279" s="12">
        <f>AT279</f>
        <v>-13.542</v>
      </c>
      <c r="AV279" s="12">
        <f>AU279</f>
        <v>-13.542</v>
      </c>
      <c r="AW279" s="12">
        <f>AV279</f>
        <v>-13.542</v>
      </c>
      <c r="AX279" s="12">
        <f>AW279</f>
        <v>-13.542</v>
      </c>
      <c r="AY279" s="12">
        <f>AX279</f>
        <v>-13.542</v>
      </c>
      <c r="AZ279" s="12">
        <f>AY279</f>
        <v>-13.542</v>
      </c>
      <c r="BA279" s="12">
        <f>AZ279</f>
        <v>-13.542</v>
      </c>
      <c r="BB279" s="12">
        <f>BA279</f>
        <v>-13.542</v>
      </c>
      <c r="BC279" s="12">
        <f>BB279</f>
        <v>-13.542</v>
      </c>
      <c r="BD279" s="12">
        <f>BC279</f>
        <v>-13.542</v>
      </c>
      <c r="BE279" s="12">
        <f>BD279</f>
        <v>-13.542</v>
      </c>
      <c r="BF279" s="12">
        <f>BE279</f>
        <v>-13.542</v>
      </c>
      <c r="BG279" s="12" t="n"/>
      <c r="BH279" s="12" t="n"/>
      <c r="BI279" s="12" t="n"/>
      <c r="BJ279" s="12" t="n"/>
      <c r="BK279" s="12" t="n"/>
      <c r="BL279" s="12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  <c r="CA279" s="12" t="n"/>
      <c r="CB279" s="12" t="n"/>
      <c r="CC279" s="12" t="n"/>
      <c r="CD279" s="12" t="n"/>
      <c r="CE279" s="12" t="n"/>
      <c r="CF279" s="12" t="n"/>
      <c r="CG279" s="12" t="n"/>
      <c r="CH279" s="12" t="n"/>
      <c r="CI279" s="12" t="n"/>
      <c r="CJ279" s="12" t="n"/>
      <c r="CK279" s="12" t="n"/>
      <c r="CL279" s="12" t="n"/>
      <c r="CM279" s="12" t="n"/>
      <c r="CN279" s="12" t="n"/>
      <c r="CO279" s="12" t="n"/>
      <c r="CP279" s="12" t="n"/>
      <c r="CQ279" s="12" t="n"/>
      <c r="CR279" s="12" t="n"/>
      <c r="CS279" s="12" t="n"/>
      <c r="CT279" s="12" t="n"/>
      <c r="CU279" s="12" t="n"/>
      <c r="CV279" s="12" t="n"/>
      <c r="CW279" s="12" t="n"/>
      <c r="CX279" s="12" t="n"/>
      <c r="CY279" s="12" t="n"/>
    </row>
    <row r="280">
      <c r="C280" s="14" t="inlineStr">
        <is>
          <t>Comprehensive (accumulated) loss</t>
        </is>
      </c>
      <c r="D280" s="46" t="n"/>
      <c r="E280" s="46" t="n"/>
      <c r="F280" s="46" t="n"/>
      <c r="G280" s="46" t="n"/>
      <c r="H280" s="12" t="n"/>
      <c r="I280" s="46">
        <f>'Inputs (2)'!D45</f>
        <v>-91.954</v>
      </c>
      <c r="J280" s="46">
        <f>'Inputs (2)'!E45</f>
        <v>-29.036</v>
      </c>
      <c r="K280" s="46">
        <f>'Inputs (2)'!F45</f>
        <v>-235.068</v>
      </c>
      <c r="L280" s="46">
        <f>'Inputs (2)'!G45</f>
        <v>-269.184</v>
      </c>
      <c r="M280" s="12">
        <f>'Inputs (2)'!H45</f>
        <v>-269.184</v>
      </c>
      <c r="N280" s="46">
        <f>'Inputs (2)'!I45</f>
        <v>-516.528</v>
      </c>
      <c r="O280" s="46">
        <f>'Inputs (2)'!J45</f>
        <v>-818.601</v>
      </c>
      <c r="P280" s="46">
        <f>'Inputs (2)'!K45</f>
        <v>-933.9</v>
      </c>
      <c r="Q280" s="46">
        <f>'Inputs (2)'!L45</f>
        <v>-861.809</v>
      </c>
      <c r="R280" s="12">
        <f>'Inputs (2)'!M45</f>
        <v>-861.809</v>
      </c>
      <c r="S280" s="46">
        <f>'Inputs (2)'!N45</f>
        <v>-805.138</v>
      </c>
      <c r="T280" s="46">
        <f>'Inputs (2)'!O45</f>
        <v>-546.023</v>
      </c>
      <c r="U280" s="46">
        <f>'Inputs (2)'!P45</f>
        <v>-524.573</v>
      </c>
      <c r="V280" s="46">
        <f>'Inputs (2)'!Q45</f>
        <v>-421.258</v>
      </c>
      <c r="W280" s="12">
        <f>'Inputs (2)'!R45</f>
        <v>-421.258</v>
      </c>
      <c r="X280" s="46">
        <f>'Inputs (2)'!S45</f>
        <v>-478.032</v>
      </c>
      <c r="Y280" s="46">
        <f>'Inputs (2)'!T45</f>
        <v>-531.21</v>
      </c>
      <c r="Z280" s="46">
        <f>'Inputs (2)'!U45</f>
        <v>-454.383</v>
      </c>
      <c r="AA280" s="46">
        <f>'Inputs (2)'!V45</f>
        <v>-618.961</v>
      </c>
      <c r="AB280" s="12">
        <f>'Inputs (2)'!W45</f>
        <v>-618.961</v>
      </c>
      <c r="AC280" s="46">
        <f>'Inputs (2)'!X45</f>
        <v>-550.804</v>
      </c>
      <c r="AD280" s="46">
        <f>'Inputs (2)'!Y45</f>
        <v>-534.657</v>
      </c>
      <c r="AE280" s="46">
        <f>'Inputs (2)'!Z45</f>
        <v>-444.032</v>
      </c>
      <c r="AF280" s="46">
        <f>'Inputs (2)'!AA45</f>
        <v>-104.285</v>
      </c>
      <c r="AG280" s="12">
        <f>'Inputs (2)'!AB45</f>
        <v>-104.285</v>
      </c>
      <c r="AH280" s="12">
        <f>'Inputs (2)'!AC45</f>
        <v>-126.946</v>
      </c>
      <c r="AI280" s="12">
        <f>'Inputs (2)'!AD45</f>
        <v>-151.704</v>
      </c>
      <c r="AJ280" s="12">
        <f>AI280</f>
        <v>-151.704</v>
      </c>
      <c r="AK280" s="12">
        <f>AJ280</f>
        <v>-151.704</v>
      </c>
      <c r="AL280" s="12">
        <f>AK280</f>
        <v>-151.704</v>
      </c>
      <c r="AM280" s="12">
        <f>AL280</f>
        <v>-151.704</v>
      </c>
      <c r="AN280" s="12">
        <f>AM280</f>
        <v>-151.704</v>
      </c>
      <c r="AO280" s="12">
        <f>AN280</f>
        <v>-151.704</v>
      </c>
      <c r="AP280" s="12">
        <f>AO280</f>
        <v>-151.704</v>
      </c>
      <c r="AQ280" s="12">
        <f>AP280</f>
        <v>-151.704</v>
      </c>
      <c r="AR280" s="12">
        <f>AQ280</f>
        <v>-151.704</v>
      </c>
      <c r="AS280" s="12">
        <f>AR280</f>
        <v>-151.704</v>
      </c>
      <c r="AT280" s="12">
        <f>AS280</f>
        <v>-151.704</v>
      </c>
      <c r="AU280" s="12">
        <f>AT280</f>
        <v>-151.704</v>
      </c>
      <c r="AV280" s="12">
        <f>AU280</f>
        <v>-151.704</v>
      </c>
      <c r="AW280" s="12">
        <f>AV280</f>
        <v>-151.704</v>
      </c>
      <c r="AX280" s="12">
        <f>AW280</f>
        <v>-151.704</v>
      </c>
      <c r="AY280" s="12">
        <f>AX280</f>
        <v>-151.704</v>
      </c>
      <c r="AZ280" s="12">
        <f>AY280</f>
        <v>-151.704</v>
      </c>
      <c r="BA280" s="12">
        <f>AZ280</f>
        <v>-151.704</v>
      </c>
      <c r="BB280" s="12">
        <f>BA280</f>
        <v>-151.704</v>
      </c>
      <c r="BC280" s="12">
        <f>BB280</f>
        <v>-151.704</v>
      </c>
      <c r="BD280" s="12">
        <f>BC280</f>
        <v>-151.704</v>
      </c>
      <c r="BE280" s="12">
        <f>BD280</f>
        <v>-151.704</v>
      </c>
      <c r="BF280" s="12">
        <f>BE280</f>
        <v>-151.704</v>
      </c>
      <c r="BG280" s="12" t="n"/>
      <c r="BH280" s="12" t="n"/>
      <c r="BI280" s="12" t="n"/>
      <c r="BJ280" s="12" t="n"/>
      <c r="BK280" s="12" t="n"/>
      <c r="BL280" s="12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  <c r="CA280" s="12" t="n"/>
      <c r="CB280" s="12" t="n"/>
      <c r="CC280" s="12" t="n"/>
      <c r="CD280" s="12" t="n"/>
      <c r="CE280" s="12" t="n"/>
      <c r="CF280" s="12" t="n"/>
      <c r="CG280" s="12" t="n"/>
      <c r="CH280" s="12" t="n"/>
      <c r="CI280" s="12" t="n"/>
      <c r="CJ280" s="12" t="n"/>
      <c r="CK280" s="12" t="n"/>
      <c r="CL280" s="12" t="n"/>
      <c r="CM280" s="12" t="n"/>
      <c r="CN280" s="12" t="n"/>
      <c r="CO280" s="12" t="n"/>
      <c r="CP280" s="12" t="n"/>
      <c r="CQ280" s="12" t="n"/>
      <c r="CR280" s="12" t="n"/>
      <c r="CS280" s="12" t="n"/>
      <c r="CT280" s="12" t="n"/>
      <c r="CU280" s="12" t="n"/>
      <c r="CV280" s="12" t="n"/>
      <c r="CW280" s="12" t="n"/>
      <c r="CX280" s="12" t="n"/>
      <c r="CY280" s="12" t="n"/>
    </row>
    <row r="281">
      <c r="C281" s="14" t="inlineStr">
        <is>
          <t>Other equity account</t>
        </is>
      </c>
      <c r="D281" s="46" t="n"/>
      <c r="E281" s="46" t="n"/>
      <c r="F281" s="46" t="n"/>
      <c r="G281" s="46" t="n"/>
      <c r="H281" s="12" t="n"/>
      <c r="I281" s="46">
        <f>'Inputs (2)'!D46</f>
        <v>0</v>
      </c>
      <c r="J281" s="46">
        <f>'Inputs (2)'!E46</f>
        <v>0</v>
      </c>
      <c r="K281" s="46">
        <f>'Inputs (2)'!F46</f>
        <v>0</v>
      </c>
      <c r="L281" s="46">
        <f>'Inputs (2)'!G46</f>
        <v>0</v>
      </c>
      <c r="M281" s="12">
        <f>'Inputs (2)'!H46</f>
        <v>0</v>
      </c>
      <c r="N281" s="46">
        <f>'Inputs (2)'!I46</f>
        <v>0</v>
      </c>
      <c r="O281" s="46">
        <f>'Inputs (2)'!J46</f>
        <v>0</v>
      </c>
      <c r="P281" s="46">
        <f>'Inputs (2)'!K46</f>
        <v>0</v>
      </c>
      <c r="Q281" s="46">
        <f>'Inputs (2)'!L46</f>
        <v>0</v>
      </c>
      <c r="R281" s="12">
        <f>'Inputs (2)'!M46</f>
        <v>0</v>
      </c>
      <c r="S281" s="46">
        <f>'Inputs (2)'!N46</f>
        <v>0</v>
      </c>
      <c r="T281" s="46">
        <f>'Inputs (2)'!O46</f>
        <v>0</v>
      </c>
      <c r="U281" s="46">
        <f>'Inputs (2)'!P46</f>
        <v>0</v>
      </c>
      <c r="V281" s="46">
        <f>'Inputs (2)'!Q46</f>
        <v>0</v>
      </c>
      <c r="W281" s="12">
        <f>'Inputs (2)'!R46</f>
        <v>0</v>
      </c>
      <c r="X281" s="46">
        <f>'Inputs (2)'!S46</f>
        <v>0</v>
      </c>
      <c r="Y281" s="46">
        <f>'Inputs (2)'!T46</f>
        <v>0</v>
      </c>
      <c r="Z281" s="46">
        <f>'Inputs (2)'!U46</f>
        <v>0</v>
      </c>
      <c r="AA281" s="46">
        <f>'Inputs (2)'!V46</f>
        <v>0</v>
      </c>
      <c r="AB281" s="12">
        <f>'Inputs (2)'!W46</f>
        <v>0</v>
      </c>
      <c r="AC281" s="46">
        <f>'Inputs (2)'!X46</f>
        <v>0</v>
      </c>
      <c r="AD281" s="46">
        <f>'Inputs (2)'!Y46</f>
        <v>0</v>
      </c>
      <c r="AE281" s="46">
        <f>'Inputs (2)'!Z46</f>
        <v>0</v>
      </c>
      <c r="AF281" s="46">
        <f>'Inputs (2)'!AA46</f>
        <v>0</v>
      </c>
      <c r="AG281" s="12">
        <f>'Inputs (2)'!AB46</f>
        <v>0</v>
      </c>
      <c r="AH281" s="12">
        <f>'Inputs (2)'!AC46</f>
        <v>0</v>
      </c>
      <c r="AI281" s="12">
        <f>'Inputs (2)'!AD46</f>
        <v>0</v>
      </c>
      <c r="AJ281" s="12">
        <f>AI281</f>
        <v>0</v>
      </c>
      <c r="AK281" s="12">
        <f>AJ281</f>
        <v>0</v>
      </c>
      <c r="AL281" s="12">
        <f>AK281</f>
        <v>0</v>
      </c>
      <c r="AM281" s="12">
        <f>AL281</f>
        <v>0</v>
      </c>
      <c r="AN281" s="12">
        <f>AM281</f>
        <v>0</v>
      </c>
      <c r="AO281" s="12">
        <f>AN281</f>
        <v>0</v>
      </c>
      <c r="AP281" s="12">
        <f>AO281</f>
        <v>0</v>
      </c>
      <c r="AQ281" s="12">
        <f>AP281</f>
        <v>0</v>
      </c>
      <c r="AR281" s="12">
        <f>AQ281</f>
        <v>0</v>
      </c>
      <c r="AS281" s="12">
        <f>AR281</f>
        <v>0</v>
      </c>
      <c r="AT281" s="12">
        <f>AS281</f>
        <v>0</v>
      </c>
      <c r="AU281" s="12">
        <f>AT281</f>
        <v>0</v>
      </c>
      <c r="AV281" s="12">
        <f>AU281</f>
        <v>0</v>
      </c>
      <c r="AW281" s="12">
        <f>AV281</f>
        <v>0</v>
      </c>
      <c r="AX281" s="12">
        <f>AW281</f>
        <v>0</v>
      </c>
      <c r="AY281" s="12">
        <f>AX281</f>
        <v>0</v>
      </c>
      <c r="AZ281" s="12">
        <f>AY281</f>
        <v>0</v>
      </c>
      <c r="BA281" s="12">
        <f>AZ281</f>
        <v>0</v>
      </c>
      <c r="BB281" s="12">
        <f>BA281</f>
        <v>0</v>
      </c>
      <c r="BC281" s="12">
        <f>BB281</f>
        <v>0</v>
      </c>
      <c r="BD281" s="12">
        <f>BC281</f>
        <v>0</v>
      </c>
      <c r="BE281" s="12">
        <f>BD281</f>
        <v>0</v>
      </c>
      <c r="BF281" s="12">
        <f>BE281</f>
        <v>0</v>
      </c>
      <c r="BG281" s="12" t="n"/>
      <c r="BH281" s="12" t="n"/>
      <c r="BI281" s="12" t="n"/>
      <c r="BJ281" s="12" t="n"/>
      <c r="BK281" s="12" t="n"/>
      <c r="BL281" s="12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  <c r="CA281" s="12" t="n"/>
      <c r="CB281" s="12" t="n"/>
      <c r="CC281" s="12" t="n"/>
      <c r="CD281" s="12" t="n"/>
      <c r="CE281" s="12" t="n"/>
      <c r="CF281" s="12" t="n"/>
      <c r="CG281" s="12" t="n"/>
      <c r="CH281" s="12" t="n"/>
      <c r="CI281" s="12" t="n"/>
      <c r="CJ281" s="12" t="n"/>
      <c r="CK281" s="12" t="n"/>
      <c r="CL281" s="12" t="n"/>
      <c r="CM281" s="12" t="n"/>
      <c r="CN281" s="12" t="n"/>
      <c r="CO281" s="12" t="n"/>
      <c r="CP281" s="12" t="n"/>
      <c r="CQ281" s="12" t="n"/>
      <c r="CR281" s="12" t="n"/>
      <c r="CS281" s="12" t="n"/>
      <c r="CT281" s="12" t="n"/>
      <c r="CU281" s="12" t="n"/>
      <c r="CV281" s="12" t="n"/>
      <c r="CW281" s="12" t="n"/>
      <c r="CX281" s="12" t="n"/>
      <c r="CY281" s="12" t="n"/>
    </row>
    <row r="282">
      <c r="C282" s="15" t="inlineStr">
        <is>
          <t>Retained earnings</t>
        </is>
      </c>
      <c r="D282" s="46" t="n"/>
      <c r="E282" s="46" t="n"/>
      <c r="F282" s="46" t="n"/>
      <c r="G282" s="46" t="n"/>
      <c r="H282" s="12" t="n"/>
      <c r="I282" s="46">
        <f>'Inputs (2)'!D47</f>
        <v>394.069</v>
      </c>
      <c r="J282" s="46">
        <f>'Inputs (2)'!E47</f>
        <v>544.089</v>
      </c>
      <c r="K282" s="46">
        <f>'Inputs (2)'!F47</f>
        <v>771.873</v>
      </c>
      <c r="L282" s="46">
        <f>'Inputs (2)'!G47</f>
        <v>913.96</v>
      </c>
      <c r="M282" s="12">
        <f>'Inputs (2)'!H47</f>
        <v>913.96</v>
      </c>
      <c r="N282" s="46">
        <f>'Inputs (2)'!I47</f>
        <v>1118.054</v>
      </c>
      <c r="O282" s="46">
        <f>'Inputs (2)'!J47</f>
        <v>1034.26</v>
      </c>
      <c r="P282" s="46">
        <f>'Inputs (2)'!K47</f>
        <v>1072.979</v>
      </c>
      <c r="Q282" s="46">
        <f>'Inputs (2)'!L47</f>
        <v>992.503</v>
      </c>
      <c r="R282" s="12">
        <f>'Inputs (2)'!M47</f>
        <v>992.503</v>
      </c>
      <c r="S282" s="46">
        <f>'Inputs (2)'!N47</f>
        <v>1013.55</v>
      </c>
      <c r="T282" s="46">
        <f>'Inputs (2)'!O47</f>
        <v>995.684</v>
      </c>
      <c r="U282" s="46">
        <f>'Inputs (2)'!P47</f>
        <v>929.958</v>
      </c>
      <c r="V282" s="46">
        <f>'Inputs (2)'!Q47</f>
        <v>341.65</v>
      </c>
      <c r="W282" s="12">
        <f>'Inputs (2)'!R47</f>
        <v>341.65</v>
      </c>
      <c r="X282" s="46">
        <f>'Inputs (2)'!S47</f>
        <v>390.201</v>
      </c>
      <c r="Y282" s="46">
        <f>'Inputs (2)'!T47</f>
        <v>432.75</v>
      </c>
      <c r="Z282" s="46">
        <f>'Inputs (2)'!U47</f>
        <v>510.974</v>
      </c>
      <c r="AA282" s="46">
        <f>'Inputs (2)'!V47</f>
        <v>509.847</v>
      </c>
      <c r="AB282" s="12">
        <f>'Inputs (2)'!W47</f>
        <v>509.847</v>
      </c>
      <c r="AC282" s="46">
        <f>'Inputs (2)'!X47</f>
        <v>588.314</v>
      </c>
      <c r="AD282" s="46">
        <f>'Inputs (2)'!Y47</f>
        <v>655.91</v>
      </c>
      <c r="AE282" s="46">
        <f>'Inputs (2)'!Z47</f>
        <v>725.865</v>
      </c>
      <c r="AF282" s="46">
        <f>'Inputs (2)'!AA47</f>
        <v>573.211</v>
      </c>
      <c r="AG282" s="12">
        <f>'Inputs (2)'!AB47</f>
        <v>573.211</v>
      </c>
      <c r="AH282" s="12">
        <f>'Inputs (2)'!AC47</f>
        <v>595.395</v>
      </c>
      <c r="AI282" s="12">
        <f>'Inputs (2)'!AD47</f>
        <v>731.045</v>
      </c>
      <c r="AJ282" s="12">
        <f>AI282+AJ149+AJ150</f>
        <v>1739.37001279551</v>
      </c>
      <c r="AK282" s="12">
        <f>AJ282+AK149+AK150</f>
        <v>2719.08057691978</v>
      </c>
      <c r="AL282" s="12">
        <f>AK282</f>
        <v>2719.08057691978</v>
      </c>
      <c r="AM282" s="12">
        <f>AL282+AM149+AM150</f>
        <v>3731.3688966056</v>
      </c>
      <c r="AN282" s="12">
        <f>AM282+AN149+AN150</f>
        <v>4739.69048413622</v>
      </c>
      <c r="AO282" s="12">
        <f>AN282+AO149+AO150</f>
        <v>5825.10013156857</v>
      </c>
      <c r="AP282" s="12">
        <f>AO282+AP149+AP150</f>
        <v>6879.70780716684</v>
      </c>
      <c r="AQ282" s="12">
        <f>AP282</f>
        <v>6879.70780716684</v>
      </c>
      <c r="AR282" s="12">
        <f>AQ282+AR149+AR150</f>
        <v>7964.32230757829</v>
      </c>
      <c r="AS282" s="12">
        <f>AR282+AS149+AS150</f>
        <v>9044.68665995275</v>
      </c>
      <c r="AT282" s="12">
        <f>AS282+AT149+AT150</f>
        <v>10207.6468755334</v>
      </c>
      <c r="AU282" s="12">
        <f>AT282+AU149+AU150</f>
        <v>11337.6043737629</v>
      </c>
      <c r="AV282" s="12">
        <f>AU282</f>
        <v>11337.6043737629</v>
      </c>
      <c r="AW282" s="12">
        <f>AV282+AW149+AW150</f>
        <v>12494.2895579953</v>
      </c>
      <c r="AX282" s="12">
        <f>AW282+AX149+AX150</f>
        <v>13646.4421794939</v>
      </c>
      <c r="AY282" s="12">
        <f>AX282+AY149+AY150</f>
        <v>14886.6790108322</v>
      </c>
      <c r="AZ282" s="12">
        <f>AY282+AZ149+AZ150</f>
        <v>16091.7201535779</v>
      </c>
      <c r="BA282" s="12">
        <f>AZ282</f>
        <v>16091.7201535779</v>
      </c>
      <c r="BB282" s="12">
        <f>BA282+BB149+BB150</f>
        <v>17319.4815630939</v>
      </c>
      <c r="BC282" s="12">
        <f>BB282+BC149+BC150</f>
        <v>18542.4318920439</v>
      </c>
      <c r="BD282" s="12">
        <f>BC282+BD149+BD150</f>
        <v>19858.8790471859</v>
      </c>
      <c r="BE282" s="12">
        <f>BD282+BE149+BE150</f>
        <v>21137.9678019399</v>
      </c>
      <c r="BF282" s="12">
        <f>BE282</f>
        <v>21137.9678019399</v>
      </c>
      <c r="BG282" s="12" t="n"/>
      <c r="BH282" s="12" t="n"/>
      <c r="BI282" s="12" t="n"/>
      <c r="BJ282" s="12" t="n"/>
      <c r="BK282" s="12" t="n"/>
      <c r="BL282" s="12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  <c r="CA282" s="12" t="n"/>
      <c r="CB282" s="12" t="n"/>
      <c r="CC282" s="12" t="n"/>
      <c r="CD282" s="12" t="n"/>
      <c r="CE282" s="12" t="n"/>
      <c r="CF282" s="12" t="n"/>
      <c r="CG282" s="12" t="n"/>
      <c r="CH282" s="12" t="n"/>
      <c r="CI282" s="12" t="n"/>
      <c r="CJ282" s="12" t="n"/>
      <c r="CK282" s="12" t="n"/>
      <c r="CL282" s="12" t="n"/>
      <c r="CM282" s="12" t="n"/>
      <c r="CN282" s="12" t="n"/>
      <c r="CO282" s="12" t="n"/>
      <c r="CP282" s="12" t="n"/>
      <c r="CQ282" s="12" t="n"/>
      <c r="CR282" s="12" t="n"/>
      <c r="CS282" s="12" t="n"/>
      <c r="CT282" s="12" t="n"/>
      <c r="CU282" s="12" t="n"/>
      <c r="CV282" s="12" t="n"/>
      <c r="CW282" s="12" t="n"/>
      <c r="CX282" s="12" t="n"/>
      <c r="CY282" s="12" t="n"/>
    </row>
    <row r="283" customFormat="1" s="32">
      <c r="A283" s="30" t="inlineStr">
        <is>
          <t xml:space="preserve"> </t>
        </is>
      </c>
      <c r="B283" s="30" t="n"/>
      <c r="C283" s="65" t="inlineStr">
        <is>
          <t>Total Shareholders' Equity</t>
        </is>
      </c>
      <c r="D283" s="35" t="n"/>
      <c r="E283" s="35" t="n"/>
      <c r="F283" s="35" t="n"/>
      <c r="G283" s="35" t="n"/>
      <c r="H283" s="35" t="n"/>
      <c r="I283" s="35">
        <f>SUM(I260+I265+I266+I279+I280+I281+I282)</f>
        <v>2349.551</v>
      </c>
      <c r="J283" s="35">
        <f>SUM(J260+J265+J266+J279+J280+J281+J282)</f>
        <v>2558.846</v>
      </c>
      <c r="K283" s="35">
        <f>SUM(K260+K265+K266+K279+K280+K281+K282)</f>
        <v>3178.125</v>
      </c>
      <c r="L283" s="35">
        <f>SUM(L260+L265+L266+L279+L280+L281+L282)</f>
        <v>3284.472</v>
      </c>
      <c r="M283" s="35">
        <f>SUM(M260,M265,M266,M279,M280,M281,M282)</f>
        <v>3284.472</v>
      </c>
      <c r="N283" s="35">
        <f>SUM(N260+N265+N266+N279+N280+N281+N282)</f>
        <v>3241.286</v>
      </c>
      <c r="O283" s="35">
        <f>SUM(O260+O265+O266+O279+O280+O281+O282)</f>
        <v>2854.538</v>
      </c>
      <c r="P283" s="35">
        <f>SUM(P260+P265+P266+P279+P280+P281+P282)</f>
        <v>2777.078</v>
      </c>
      <c r="Q283" s="35">
        <f>SUM(Q260+Q265+Q266+Q279+Q280+Q281+Q282)</f>
        <v>2768.684</v>
      </c>
      <c r="R283" s="35">
        <f>SUM(R260,R265,R266,R279,R280,R281,R282)</f>
        <v>2768.684</v>
      </c>
      <c r="S283" s="35">
        <f>SUM(S260+S265+S266+S279+S280+S281+S282)</f>
        <v>2830.875</v>
      </c>
      <c r="T283" s="35">
        <f>SUM(T260+T265+T266+T279+T280+T281+T282)</f>
        <v>3072.099</v>
      </c>
      <c r="U283" s="35">
        <f>SUM(U260+U265+U266+U279+U280+U281+U282)</f>
        <v>3027.688</v>
      </c>
      <c r="V283" s="35">
        <f>SUM(V260+V265+V266+V279+V280+V281+V282)</f>
        <v>2522.134</v>
      </c>
      <c r="W283" s="35">
        <f>SUM(W260,W265,W266,W279,W280,W281,W282)</f>
        <v>2522.134</v>
      </c>
      <c r="X283" s="35">
        <f>SUM(X260+X265+X266+X279+X280+X281+X282)</f>
        <v>2513.818</v>
      </c>
      <c r="Y283" s="35">
        <f>SUM(Y260+Y265+Y266+Y279+Y280+Y281+Y282)</f>
        <v>2503.186</v>
      </c>
      <c r="Z283" s="35">
        <f>SUM(Z260+Z265+Z266+Z279+Z280+Z281+Z282)</f>
        <v>2658.22</v>
      </c>
      <c r="AA283" s="35">
        <f>SUM(AA260+AA265+AA266+AA279+AA280+AA281+AA282)</f>
        <v>2492.492</v>
      </c>
      <c r="AB283" s="35">
        <f>SUM(AB260,AB265,AB266,AB279,AB280,AB281,AB282)</f>
        <v>2492.492</v>
      </c>
      <c r="AC283" s="35">
        <f>SUM(AC260+AC265+AC266+AC279+AC280+AC281+AC282)</f>
        <v>2607.676</v>
      </c>
      <c r="AD283" s="35">
        <f>SUM(AD260+AD265+AD266+AD279+AD280+AD281+AD282)</f>
        <v>2648.975</v>
      </c>
      <c r="AE283" s="35">
        <f>SUM(AE260+AE265+AE266+AE279+AE280+AE281+AE282)</f>
        <v>2788.634</v>
      </c>
      <c r="AF283" s="35">
        <f>SUM(AF260+AF265+AF266+AF279+AF280+AF281+AF282)</f>
        <v>2967.804</v>
      </c>
      <c r="AG283" s="35">
        <f>SUM(AG260,AG265,AG266,AG279,AG280,AG281,AG282)</f>
        <v>2967.804</v>
      </c>
      <c r="AH283" s="35">
        <f>SUM(AH260+AH265+AH266+AH279+AH280+AH281+AH282)</f>
        <v>3056.661</v>
      </c>
      <c r="AI283" s="35">
        <f>SUM(AI260+AI265+AI266+AI279+AI280+AI281+AI282)</f>
        <v>3901.507</v>
      </c>
      <c r="AJ283" s="35">
        <f>SUM(AJ260+AJ265+AJ266+AJ279+AJ280+AJ281+AJ282)</f>
        <v>4909.83201279551</v>
      </c>
      <c r="AK283" s="35">
        <f>SUM(AK260+AK265+AK266+AK279+AK280+AK281+AK282)</f>
        <v>5889.54257691978</v>
      </c>
      <c r="AL283" s="35">
        <f>SUM(AL260,AL265,AL266,AL279,AL280,AL281,AL282)</f>
        <v>5889.54257691978</v>
      </c>
      <c r="AM283" s="35">
        <f>SUM(AM260+AM265+AM266+AM279+AM280+AM281+AM282)</f>
        <v>6901.8308966056</v>
      </c>
      <c r="AN283" s="35">
        <f>SUM(AN260+AN265+AN266+AN279+AN280+AN281+AN282)</f>
        <v>7910.15248413622</v>
      </c>
      <c r="AO283" s="35">
        <f>SUM(AO260+AO265+AO266+AO279+AO280+AO281+AO282)</f>
        <v>8995.56213156857</v>
      </c>
      <c r="AP283" s="35">
        <f>SUM(AP260+AP265+AP266+AP279+AP280+AP281+AP282)</f>
        <v>10050.1698071668</v>
      </c>
      <c r="AQ283" s="35">
        <f>SUM(AQ260,AQ265,AQ266,AQ279,AQ280,AQ281,AQ282)</f>
        <v>10050.1698071668</v>
      </c>
      <c r="AR283" s="35">
        <f>SUM(AR260+AR265+AR266+AR279+AR280+AR281+AR282)</f>
        <v>11134.7843075783</v>
      </c>
      <c r="AS283" s="35">
        <f>SUM(AS260+AS265+AS266+AS279+AS280+AS281+AS282)</f>
        <v>12215.1486599527</v>
      </c>
      <c r="AT283" s="35">
        <f>SUM(AT260+AT265+AT266+AT279+AT280+AT281+AT282)</f>
        <v>13378.1088755334</v>
      </c>
      <c r="AU283" s="35">
        <f>SUM(AU260+AU265+AU266+AU279+AU280+AU281+AU282)</f>
        <v>14508.0663737629</v>
      </c>
      <c r="AV283" s="35">
        <f>SUM(AV260,AV265,AV266,AV279,AV280,AV281,AV282)</f>
        <v>14508.0663737629</v>
      </c>
      <c r="AW283" s="35">
        <f>SUM(AW260+AW265+AW266+AW279+AW280+AW281+AW282)</f>
        <v>15664.7515579953</v>
      </c>
      <c r="AX283" s="35">
        <f>SUM(AX260+AX265+AX266+AX279+AX280+AX281+AX282)</f>
        <v>16816.9041794939</v>
      </c>
      <c r="AY283" s="35">
        <f>SUM(AY260+AY265+AY266+AY279+AY280+AY281+AY282)</f>
        <v>18057.1410108322</v>
      </c>
      <c r="AZ283" s="35">
        <f>SUM(AZ260+AZ265+AZ266+AZ279+AZ280+AZ281+AZ282)</f>
        <v>19262.1821535779</v>
      </c>
      <c r="BA283" s="35">
        <f>SUM(BA260,BA265,BA266,BA279,BA280,BA281,BA282)</f>
        <v>19262.1821535779</v>
      </c>
      <c r="BB283" s="35">
        <f>SUM(BB260+BB265+BB266+BB279+BB280+BB281+BB282)</f>
        <v>20489.9435630939</v>
      </c>
      <c r="BC283" s="35">
        <f>SUM(BC260+BC265+BC266+BC279+BC280+BC281+BC282)</f>
        <v>21712.8938920439</v>
      </c>
      <c r="BD283" s="35">
        <f>SUM(BD260+BD265+BD266+BD279+BD280+BD281+BD282)</f>
        <v>23029.3410471859</v>
      </c>
      <c r="BE283" s="35">
        <f>SUM(BE260+BE265+BE266+BE279+BE280+BE281+BE282)</f>
        <v>24308.4298019399</v>
      </c>
      <c r="BF283" s="35">
        <f>SUM(BF260,BF265,BF266,BF279,BF280,BF281,BF282)</f>
        <v>24308.4298019399</v>
      </c>
      <c r="BG283" s="35" t="n"/>
      <c r="BH283" s="35" t="n"/>
      <c r="BI283" s="35" t="n"/>
      <c r="BJ283" s="35" t="n"/>
      <c r="BK283" s="35" t="n"/>
      <c r="BL283" s="35" t="n"/>
      <c r="BM283" s="35" t="n"/>
      <c r="BN283" s="35" t="n"/>
      <c r="BO283" s="35" t="n"/>
      <c r="BP283" s="35" t="n"/>
      <c r="BQ283" s="35" t="n"/>
      <c r="BR283" s="35" t="n"/>
      <c r="BS283" s="35" t="n"/>
      <c r="BT283" s="35" t="n"/>
      <c r="BU283" s="35" t="n"/>
      <c r="BV283" s="35" t="n"/>
      <c r="BW283" s="35" t="n"/>
      <c r="BX283" s="35" t="n"/>
      <c r="BY283" s="35" t="n"/>
      <c r="BZ283" s="35" t="n"/>
      <c r="CA283" s="35" t="n"/>
      <c r="CB283" s="35" t="n"/>
      <c r="CC283" s="35" t="n"/>
      <c r="CD283" s="35" t="n"/>
      <c r="CE283" s="35" t="n"/>
      <c r="CF283" s="35" t="n"/>
      <c r="CG283" s="35" t="n"/>
      <c r="CH283" s="35" t="n"/>
      <c r="CI283" s="35" t="n"/>
      <c r="CJ283" s="35" t="n"/>
      <c r="CK283" s="35" t="n"/>
      <c r="CL283" s="35" t="n"/>
      <c r="CM283" s="35" t="n"/>
      <c r="CN283" s="35" t="n"/>
      <c r="CO283" s="35" t="n"/>
      <c r="CP283" s="35" t="n"/>
      <c r="CQ283" s="35" t="n"/>
      <c r="CR283" s="35" t="n"/>
      <c r="CS283" s="35" t="n"/>
      <c r="CT283" s="35" t="n"/>
      <c r="CU283" s="35" t="n"/>
      <c r="CV283" s="35" t="n"/>
      <c r="CW283" s="35" t="n"/>
      <c r="CX283" s="35" t="n"/>
      <c r="CY283" s="35" t="n"/>
    </row>
    <row r="284">
      <c r="C284" s="10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/>
      <c r="AH284" s="12" t="n"/>
      <c r="AI284" s="12" t="n"/>
      <c r="AJ284" s="12" t="n"/>
      <c r="AK284" s="12" t="n"/>
      <c r="AL284" s="12" t="n"/>
      <c r="AM284" s="12" t="n"/>
      <c r="AN284" s="12" t="n"/>
      <c r="AO284" s="12" t="n"/>
      <c r="AP284" s="12" t="n"/>
      <c r="AQ284" s="12" t="n"/>
      <c r="AR284" s="12" t="n"/>
      <c r="AS284" s="12" t="n"/>
      <c r="AT284" s="12" t="n"/>
      <c r="AU284" s="12" t="n"/>
      <c r="AV284" s="12" t="n"/>
      <c r="AW284" s="12" t="n"/>
      <c r="AX284" s="12" t="n"/>
      <c r="AY284" s="12" t="n"/>
      <c r="AZ284" s="12" t="n"/>
      <c r="BA284" s="12" t="n"/>
      <c r="BB284" s="12" t="n"/>
      <c r="BC284" s="12" t="n"/>
      <c r="BD284" s="12" t="n"/>
      <c r="BE284" s="12" t="n"/>
      <c r="BF284" s="12" t="n"/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  <c r="CU284" s="12" t="n"/>
      <c r="CV284" s="12" t="n"/>
      <c r="CW284" s="12" t="n"/>
      <c r="CX284" s="12" t="n"/>
      <c r="CY284" s="12" t="n"/>
    </row>
    <row r="285" customFormat="1" s="32">
      <c r="A285" s="30" t="n"/>
      <c r="B285" s="3" t="n"/>
      <c r="C285" s="33" t="inlineStr">
        <is>
          <t>Total Liabilities + Shareholders' Equity</t>
        </is>
      </c>
      <c r="D285" s="35" t="n"/>
      <c r="E285" s="35" t="n"/>
      <c r="F285" s="35" t="n"/>
      <c r="G285" s="35" t="n"/>
      <c r="H285" s="35" t="n"/>
      <c r="I285" s="35">
        <f>I283+I259</f>
        <v>13041.956</v>
      </c>
      <c r="J285" s="35">
        <f>J283+J259</f>
        <v>14204.671</v>
      </c>
      <c r="K285" s="35">
        <f>K283+K259</f>
        <v>19735.813</v>
      </c>
      <c r="L285" s="35">
        <f>L283+L259</f>
        <v>21715.853</v>
      </c>
      <c r="M285" s="35">
        <f>M283+M259</f>
        <v>21715.853</v>
      </c>
      <c r="N285" s="35">
        <f>N283+N259</f>
        <v>20955.436</v>
      </c>
      <c r="O285" s="35">
        <f>O283+O259</f>
        <v>23372.858</v>
      </c>
      <c r="P285" s="35">
        <f>P283+P259</f>
        <v>26410.241</v>
      </c>
      <c r="Q285" s="35">
        <f>Q283+Q259</f>
        <v>26248.89</v>
      </c>
      <c r="R285" s="35">
        <f>R283+R259</f>
        <v>26248.89</v>
      </c>
      <c r="S285" s="35">
        <f>S283+S259</f>
        <v>22682.051</v>
      </c>
      <c r="T285" s="35">
        <f>T283+T259</f>
        <v>21069.958</v>
      </c>
      <c r="U285" s="35">
        <f>U283+U259</f>
        <v>21734.564</v>
      </c>
      <c r="V285" s="35">
        <f>V283+V259</f>
        <v>25119.49</v>
      </c>
      <c r="W285" s="35">
        <f>W283+W259</f>
        <v>25119.49</v>
      </c>
      <c r="X285" s="35">
        <f>X283+X259</f>
        <v>26185.588</v>
      </c>
      <c r="Y285" s="35">
        <f>Y283+Y259</f>
        <v>27684.239</v>
      </c>
      <c r="Z285" s="35">
        <f>Z283+Z259</f>
        <v>28574.186</v>
      </c>
      <c r="AA285" s="35">
        <f>AA283+AA259</f>
        <v>30573.853</v>
      </c>
      <c r="AB285" s="35">
        <f>AB283+AB259</f>
        <v>30573.853</v>
      </c>
      <c r="AC285" s="35">
        <f>AC283+AC259</f>
        <v>29211.368</v>
      </c>
      <c r="AD285" s="35">
        <f>AD283+AD259</f>
        <v>29775.568</v>
      </c>
      <c r="AE285" s="35">
        <f>AE283+AE259</f>
        <v>29641.564</v>
      </c>
      <c r="AF285" s="35">
        <f>AF283+AF259</f>
        <v>34925.26</v>
      </c>
      <c r="AG285" s="35">
        <f>AG283+AG259</f>
        <v>34925.26</v>
      </c>
      <c r="AH285" s="35">
        <f>AH283+AH259</f>
        <v>35936.374</v>
      </c>
      <c r="AI285" s="35">
        <f>AI283+AI259</f>
        <v>37340.96</v>
      </c>
      <c r="AJ285" s="35">
        <f>AJ283+AJ259</f>
        <v>38148.4522021103</v>
      </c>
      <c r="AK285" s="35">
        <f>AK283+AK259</f>
        <v>38997.0635783318</v>
      </c>
      <c r="AL285" s="35">
        <f>AL283+AL259</f>
        <v>38997.0635783318</v>
      </c>
      <c r="AM285" s="35">
        <f>AM283+AM259</f>
        <v>40314.0494879253</v>
      </c>
      <c r="AN285" s="35">
        <f>AN283+AN259</f>
        <v>41262.7405996539</v>
      </c>
      <c r="AO285" s="35">
        <f>AO283+AO259</f>
        <v>42712.5966104141</v>
      </c>
      <c r="AP285" s="35">
        <f>AP283+AP259</f>
        <v>43630.7291736261</v>
      </c>
      <c r="AQ285" s="35">
        <f>AQ283+AQ259</f>
        <v>43630.7291736261</v>
      </c>
      <c r="AR285" s="35">
        <f>AR283+AR259</f>
        <v>44956.5747905924</v>
      </c>
      <c r="AS285" s="35">
        <f>AS283+AS259</f>
        <v>46039.8910122366</v>
      </c>
      <c r="AT285" s="35">
        <f>AT283+AT259</f>
        <v>47597.0761765162</v>
      </c>
      <c r="AU285" s="35">
        <f>AU283+AU259</f>
        <v>48584.6977723172</v>
      </c>
      <c r="AV285" s="35">
        <f>AV283+AV259</f>
        <v>48584.6977723172</v>
      </c>
      <c r="AW285" s="35">
        <f>AW283+AW259</f>
        <v>50042.4768192867</v>
      </c>
      <c r="AX285" s="35">
        <f>AX283+AX259</f>
        <v>51134.2004824368</v>
      </c>
      <c r="AY285" s="35">
        <f>AY283+AY259</f>
        <v>52798.8582871379</v>
      </c>
      <c r="AZ285" s="35">
        <f>AZ283+AZ259</f>
        <v>53856.2275633649</v>
      </c>
      <c r="BA285" s="35">
        <f>BA283+BA259</f>
        <v>53856.2275633649</v>
      </c>
      <c r="BB285" s="35">
        <f>BB283+BB259</f>
        <v>55378.1458504806</v>
      </c>
      <c r="BC285" s="35">
        <f>BC283+BC259</f>
        <v>56540.9319202048</v>
      </c>
      <c r="BD285" s="35">
        <f>BD283+BD259</f>
        <v>58311.9388005745</v>
      </c>
      <c r="BE285" s="35">
        <f>BE283+BE259</f>
        <v>59438.4153639429</v>
      </c>
      <c r="BF285" s="35">
        <f>BF283+BF259</f>
        <v>59438.415363943</v>
      </c>
      <c r="BG285" s="35" t="n"/>
      <c r="BH285" s="35" t="n"/>
      <c r="BI285" s="35" t="n"/>
      <c r="BJ285" s="35" t="n"/>
      <c r="BK285" s="35" t="n"/>
      <c r="BL285" s="35" t="n"/>
      <c r="BM285" s="35" t="n"/>
      <c r="BN285" s="35" t="n"/>
      <c r="BO285" s="35" t="n"/>
      <c r="BP285" s="35" t="n"/>
      <c r="BQ285" s="35" t="n"/>
      <c r="BR285" s="35" t="n"/>
      <c r="BS285" s="35" t="n"/>
      <c r="BT285" s="35" t="n"/>
      <c r="BU285" s="35" t="n"/>
      <c r="BV285" s="35" t="n"/>
      <c r="BW285" s="35" t="n"/>
      <c r="BX285" s="35" t="n"/>
      <c r="BY285" s="35" t="n"/>
      <c r="BZ285" s="35" t="n"/>
      <c r="CA285" s="35" t="n"/>
      <c r="CB285" s="35" t="n"/>
      <c r="CC285" s="35" t="n"/>
      <c r="CD285" s="35" t="n"/>
      <c r="CE285" s="35" t="n"/>
      <c r="CF285" s="35" t="n"/>
      <c r="CG285" s="35" t="n"/>
      <c r="CH285" s="35" t="n"/>
      <c r="CI285" s="35" t="n"/>
      <c r="CJ285" s="35" t="n"/>
      <c r="CK285" s="35" t="n"/>
      <c r="CL285" s="35" t="n"/>
      <c r="CM285" s="35" t="n"/>
      <c r="CN285" s="35" t="n"/>
      <c r="CO285" s="35" t="n"/>
      <c r="CP285" s="35" t="n"/>
      <c r="CQ285" s="35" t="n"/>
      <c r="CR285" s="35" t="n"/>
      <c r="CS285" s="35" t="n"/>
      <c r="CT285" s="35" t="n"/>
      <c r="CU285" s="35" t="n"/>
      <c r="CV285" s="35" t="n"/>
      <c r="CW285" s="35" t="n"/>
      <c r="CX285" s="35" t="n"/>
      <c r="CY285" s="35" t="n"/>
    </row>
    <row r="286">
      <c r="C286" s="18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  <c r="BD286" s="3" t="n"/>
      <c r="BE286" s="3" t="n"/>
      <c r="BF286" s="3" t="n"/>
      <c r="BG286" s="3" t="n"/>
      <c r="BH286" s="3" t="n"/>
      <c r="BI286" s="3" t="n"/>
      <c r="BJ286" s="3" t="n"/>
      <c r="BK286" s="3" t="n"/>
      <c r="BL286" s="3" t="n"/>
      <c r="BM286" s="3" t="n"/>
      <c r="BN286" s="3" t="n"/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/>
      <c r="CB286" s="3" t="n"/>
      <c r="CC286" s="3" t="n"/>
      <c r="CD286" s="3" t="n"/>
      <c r="CE286" s="3" t="n"/>
      <c r="CF286" s="3" t="n"/>
      <c r="CG286" s="3" t="n"/>
      <c r="CH286" s="3" t="n"/>
      <c r="CI286" s="3" t="n"/>
      <c r="CJ286" s="3" t="n"/>
      <c r="CK286" s="3" t="n"/>
      <c r="CL286" s="3" t="n"/>
      <c r="CM286" s="3" t="n"/>
      <c r="CN286" s="3" t="n"/>
      <c r="CO286" s="3" t="n"/>
      <c r="CP286" s="3" t="n"/>
      <c r="CQ286" s="3" t="n"/>
      <c r="CR286" s="3" t="n"/>
      <c r="CS286" s="3" t="n"/>
      <c r="CT286" s="3" t="n"/>
      <c r="CU286" s="3" t="n"/>
      <c r="CV286" s="3" t="n"/>
      <c r="CW286" s="3" t="n"/>
      <c r="CX286" s="3" t="n"/>
      <c r="CY286" s="3" t="n"/>
    </row>
    <row r="287" customFormat="1" s="32">
      <c r="A287" s="30" t="n"/>
      <c r="B287" s="30" t="n"/>
      <c r="C287" s="31" t="inlineStr">
        <is>
          <t>Cash Flow Statement</t>
        </is>
      </c>
      <c r="D287" s="70" t="n"/>
      <c r="E287" s="70" t="n"/>
      <c r="F287" s="70" t="n"/>
      <c r="G287" s="70" t="n"/>
      <c r="H287" s="70" t="n"/>
      <c r="I287" s="70" t="str">
        <f>I154</f>
        <v>1Q21</v>
      </c>
      <c r="J287" s="70" t="str">
        <f>J154</f>
        <v>2Q21</v>
      </c>
      <c r="K287" s="70" t="str">
        <f>K154</f>
        <v>3Q21</v>
      </c>
      <c r="L287" s="70" t="str">
        <f>L154</f>
        <v>4Q21</v>
      </c>
      <c r="M287" s="70">
        <f>M154</f>
        <v>2021</v>
      </c>
      <c r="N287" s="70" t="str">
        <f>N154</f>
        <v>1Q22</v>
      </c>
      <c r="O287" s="70" t="str">
        <f>O154</f>
        <v>2Q22</v>
      </c>
      <c r="P287" s="70" t="str">
        <f>P154</f>
        <v>3Q22</v>
      </c>
      <c r="Q287" s="70" t="str">
        <f>Q154</f>
        <v>4Q22</v>
      </c>
      <c r="R287" s="70">
        <f>R154</f>
        <v>2022</v>
      </c>
      <c r="S287" s="70" t="str">
        <f>S154</f>
        <v>1Q23</v>
      </c>
      <c r="T287" s="70" t="str">
        <f>T154</f>
        <v>2Q23</v>
      </c>
      <c r="U287" s="70" t="str">
        <f>U154</f>
        <v>3Q23</v>
      </c>
      <c r="V287" s="70" t="str">
        <f>V154</f>
        <v>4Q23</v>
      </c>
      <c r="W287" s="70">
        <f>W154</f>
        <v>2023</v>
      </c>
      <c r="X287" s="70" t="str">
        <f>X154</f>
        <v>1Q24</v>
      </c>
      <c r="Y287" s="70" t="str">
        <f>Y154</f>
        <v>2Q24</v>
      </c>
      <c r="Z287" s="70" t="str">
        <f>Z154</f>
        <v>3Q24</v>
      </c>
      <c r="AA287" s="70" t="str">
        <f>AA154</f>
        <v>4Q24</v>
      </c>
      <c r="AB287" s="70">
        <f>AB154</f>
        <v>2024</v>
      </c>
      <c r="AC287" s="70" t="str">
        <f>AC154</f>
        <v>1Q25</v>
      </c>
      <c r="AD287" s="70" t="str">
        <f>AD154</f>
        <v>2Q25</v>
      </c>
      <c r="AE287" s="70" t="str">
        <f>AE154</f>
        <v>3Q25</v>
      </c>
      <c r="AF287" s="70" t="str">
        <f>AF154</f>
        <v>4Q25</v>
      </c>
      <c r="AG287" s="70">
        <f>AG154</f>
        <v>2025</v>
      </c>
      <c r="AH287" s="70" t="str">
        <f>AH154</f>
        <v>1Q26</v>
      </c>
      <c r="AI287" s="70" t="str">
        <f>AI154</f>
        <v>2Q26</v>
      </c>
      <c r="AJ287" s="70" t="str">
        <f>AJ154</f>
        <v>3Q26</v>
      </c>
      <c r="AK287" s="70" t="str">
        <f>AK154</f>
        <v>4Q26</v>
      </c>
      <c r="AL287" s="70">
        <f>AL154</f>
        <v>2026</v>
      </c>
      <c r="AM287" s="70" t="str">
        <f>AM154</f>
        <v>1Q27</v>
      </c>
      <c r="AN287" s="70" t="str">
        <f>AN154</f>
        <v>2Q27</v>
      </c>
      <c r="AO287" s="70" t="str">
        <f>AO154</f>
        <v>3Q27</v>
      </c>
      <c r="AP287" s="70" t="str">
        <f>AP154</f>
        <v>4Q27</v>
      </c>
      <c r="AQ287" s="70">
        <f>AQ154</f>
        <v>2027</v>
      </c>
      <c r="AR287" s="70" t="str">
        <f>AR154</f>
        <v>1Q28</v>
      </c>
      <c r="AS287" s="70" t="str">
        <f>AS154</f>
        <v>2Q28</v>
      </c>
      <c r="AT287" s="70" t="str">
        <f>AT154</f>
        <v>3Q28</v>
      </c>
      <c r="AU287" s="70" t="str">
        <f>AU154</f>
        <v>4Q28</v>
      </c>
      <c r="AV287" s="70">
        <f>AV154</f>
        <v>2028</v>
      </c>
      <c r="AW287" s="70" t="str">
        <f>AW154</f>
        <v>1Q29</v>
      </c>
      <c r="AX287" s="70" t="str">
        <f>AX154</f>
        <v>2Q29</v>
      </c>
      <c r="AY287" s="70" t="str">
        <f>AY154</f>
        <v>3Q29</v>
      </c>
      <c r="AZ287" s="70" t="str">
        <f>AZ154</f>
        <v>4Q29</v>
      </c>
      <c r="BA287" s="70">
        <f>BA154</f>
        <v>2029</v>
      </c>
      <c r="BB287" s="70" t="str">
        <f>BB154</f>
        <v>1Q30</v>
      </c>
      <c r="BC287" s="70" t="str">
        <f>BC154</f>
        <v>2Q30</v>
      </c>
      <c r="BD287" s="70" t="str">
        <f>BD154</f>
        <v>3Q30</v>
      </c>
      <c r="BE287" s="70" t="str">
        <f>BE154</f>
        <v>4Q30</v>
      </c>
      <c r="BF287" s="70">
        <f>BF154</f>
        <v>2030</v>
      </c>
      <c r="BG287" s="70" t="n"/>
      <c r="BH287" s="70" t="n"/>
      <c r="BI287" s="70" t="n"/>
      <c r="BJ287" s="70" t="n"/>
      <c r="BK287" s="70" t="n"/>
      <c r="BL287" s="70" t="n"/>
      <c r="BM287" s="70" t="n"/>
      <c r="BN287" s="70" t="n"/>
      <c r="BO287" s="70" t="n"/>
      <c r="BP287" s="70" t="n"/>
      <c r="BQ287" s="70" t="n"/>
      <c r="BR287" s="70" t="n"/>
      <c r="BS287" s="70" t="n"/>
      <c r="BT287" s="70" t="n"/>
      <c r="BU287" s="70" t="n"/>
      <c r="BV287" s="70" t="n"/>
      <c r="BW287" s="70" t="n"/>
      <c r="BX287" s="70" t="n"/>
      <c r="BY287" s="70" t="n"/>
      <c r="BZ287" s="70" t="n"/>
      <c r="CA287" s="70" t="n"/>
      <c r="CB287" s="70" t="n"/>
      <c r="CC287" s="70" t="n"/>
      <c r="CD287" s="70" t="n"/>
      <c r="CE287" s="70" t="n"/>
      <c r="CF287" s="70" t="n"/>
      <c r="CG287" s="70" t="n"/>
      <c r="CH287" s="70" t="n"/>
      <c r="CI287" s="70" t="n"/>
      <c r="CJ287" s="70" t="n"/>
      <c r="CK287" s="70" t="n"/>
      <c r="CL287" s="70" t="n"/>
      <c r="CM287" s="70" t="n"/>
      <c r="CN287" s="70" t="n"/>
      <c r="CO287" s="70" t="n"/>
      <c r="CP287" s="70" t="n"/>
      <c r="CQ287" s="70" t="n"/>
      <c r="CR287" s="70" t="n"/>
      <c r="CS287" s="70" t="n"/>
      <c r="CT287" s="70" t="n"/>
      <c r="CU287" s="70" t="n"/>
      <c r="CV287" s="70" t="n"/>
      <c r="CW287" s="70" t="n"/>
      <c r="CX287" s="70" t="n"/>
      <c r="CY287" s="70" t="n"/>
    </row>
    <row r="288">
      <c r="C288" s="18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/>
      <c r="BE288" s="3" t="n"/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  <c r="CF288" s="3" t="n"/>
      <c r="CG288" s="3" t="n"/>
      <c r="CH288" s="3" t="n"/>
      <c r="CI288" s="3" t="n"/>
      <c r="CJ288" s="3" t="n"/>
      <c r="CK288" s="3" t="n"/>
      <c r="CL288" s="3" t="n"/>
      <c r="CM288" s="3" t="n"/>
      <c r="CN288" s="3" t="n"/>
      <c r="CO288" s="3" t="n"/>
      <c r="CP288" s="3" t="n"/>
      <c r="CQ288" s="3" t="n"/>
      <c r="CR288" s="3" t="n"/>
      <c r="CS288" s="3" t="n"/>
      <c r="CT288" s="3" t="n"/>
      <c r="CU288" s="3" t="n"/>
      <c r="CV288" s="3" t="n"/>
      <c r="CW288" s="3" t="n"/>
      <c r="CX288" s="3" t="n"/>
      <c r="CY288" s="3" t="n"/>
    </row>
    <row r="289">
      <c r="C289" s="10" t="inlineStr">
        <is>
          <t>Net Income</t>
        </is>
      </c>
      <c r="D289" s="12" t="n"/>
      <c r="E289" s="12" t="n"/>
      <c r="F289" s="12" t="n"/>
      <c r="G289" s="12" t="n"/>
      <c r="H289" s="12" t="n"/>
      <c r="I289" s="12" t="n"/>
      <c r="J289" s="12">
        <f>J149</f>
        <v>173.921</v>
      </c>
      <c r="K289" s="12">
        <f>K149</f>
        <v>259.381</v>
      </c>
      <c r="L289" s="12">
        <f>L149</f>
        <v>276.656</v>
      </c>
      <c r="M289" s="12" t="n"/>
      <c r="N289" s="12">
        <f>N149</f>
        <v>258.068</v>
      </c>
      <c r="O289" s="12">
        <f>O149</f>
        <v>186.761</v>
      </c>
      <c r="P289" s="12">
        <f>P149</f>
        <v>93.718</v>
      </c>
      <c r="Q289" s="12">
        <f>Q149</f>
        <v>17.8309999999998</v>
      </c>
      <c r="R289" s="12">
        <f>SUM(N289:Q289)</f>
        <v>556.378</v>
      </c>
      <c r="S289" s="12">
        <f>S149</f>
        <v>21.0440000000002</v>
      </c>
      <c r="T289" s="12">
        <f>T149</f>
        <v>-17.8640000000002</v>
      </c>
      <c r="U289" s="12">
        <f>U149</f>
        <v>-65.7210000000001</v>
      </c>
      <c r="V289" s="12">
        <f>V149</f>
        <v>-588.309</v>
      </c>
      <c r="W289" s="12">
        <f>SUM(S289:V289)</f>
        <v>-650.85</v>
      </c>
      <c r="X289" s="12">
        <f>X149</f>
        <v>48.5990000000002</v>
      </c>
      <c r="Y289" s="12">
        <f>Y149</f>
        <v>42.5479999999999</v>
      </c>
      <c r="Z289" s="12">
        <f>Z149</f>
        <v>78.1939999999998</v>
      </c>
      <c r="AA289" s="12">
        <f>AA149</f>
        <v>62.1710000000002</v>
      </c>
      <c r="AB289" s="12">
        <f>SUM(X289:AA289)</f>
        <v>231.512</v>
      </c>
      <c r="AC289" s="12">
        <f>AC149</f>
        <v>78.4680000000002</v>
      </c>
      <c r="AD289" s="12">
        <f>AD149</f>
        <v>67.5949999999999</v>
      </c>
      <c r="AE289" s="12">
        <f>AE149</f>
        <v>69.9549999999999</v>
      </c>
      <c r="AF289" s="12">
        <f>AF149</f>
        <v>102.344106983</v>
      </c>
      <c r="AG289" s="12">
        <f>SUM(AC289:AF289)</f>
        <v>318.362106982999</v>
      </c>
      <c r="AH289" s="12">
        <f>AH149</f>
        <v>124.513191101</v>
      </c>
      <c r="AI289" s="12">
        <f>AI149</f>
        <v>135.649659877</v>
      </c>
      <c r="AJ289" s="12">
        <f>AJ149</f>
        <v>1008.32501279551</v>
      </c>
      <c r="AK289" s="12">
        <f>AK149</f>
        <v>979.710564124268</v>
      </c>
      <c r="AL289" s="12">
        <f>SUM(AH289:AK289)</f>
        <v>2248.19842789778</v>
      </c>
      <c r="AM289" s="12">
        <f>AM149</f>
        <v>1012.28831968582</v>
      </c>
      <c r="AN289" s="12">
        <f>AN149</f>
        <v>1008.32158753062</v>
      </c>
      <c r="AO289" s="12">
        <f>AO149</f>
        <v>1085.40964743235</v>
      </c>
      <c r="AP289" s="12">
        <f>AP149</f>
        <v>1054.60767559827</v>
      </c>
      <c r="AQ289" s="12">
        <f>SUM(AM289:AP289)</f>
        <v>4160.62723024706</v>
      </c>
      <c r="AR289" s="12">
        <f>AR149</f>
        <v>1084.61450041145</v>
      </c>
      <c r="AS289" s="12">
        <f>AS149</f>
        <v>1080.36435237446</v>
      </c>
      <c r="AT289" s="12">
        <f>AT149</f>
        <v>1162.96021558066</v>
      </c>
      <c r="AU289" s="12">
        <f>AU149</f>
        <v>1129.95749822946</v>
      </c>
      <c r="AV289" s="12">
        <f>SUM(AR289:AU289)</f>
        <v>4457.89656659604</v>
      </c>
      <c r="AW289" s="12">
        <f>AW149</f>
        <v>1156.68518423243</v>
      </c>
      <c r="AX289" s="12">
        <f>AX149</f>
        <v>1152.15262149857</v>
      </c>
      <c r="AY289" s="12">
        <f>AY149</f>
        <v>1240.23683133834</v>
      </c>
      <c r="AZ289" s="12">
        <f>AZ149</f>
        <v>1205.0411427457</v>
      </c>
      <c r="BA289" s="12">
        <f>SUM(AW289:AZ289)</f>
        <v>4754.11577981504</v>
      </c>
      <c r="BB289" s="12">
        <f>BB149</f>
        <v>1227.76140951602</v>
      </c>
      <c r="BC289" s="12">
        <f>BC149</f>
        <v>1222.95032895001</v>
      </c>
      <c r="BD289" s="12">
        <f>BD149</f>
        <v>1316.44715514196</v>
      </c>
      <c r="BE289" s="12">
        <f>BE149</f>
        <v>1279.08875475399</v>
      </c>
      <c r="BF289" s="12">
        <f>SUM(BB289:BE289)</f>
        <v>5046.24764836198</v>
      </c>
      <c r="BG289" s="12" t="n"/>
      <c r="BH289" s="12" t="n"/>
      <c r="BI289" s="12" t="n"/>
      <c r="BJ289" s="12" t="n"/>
      <c r="BK289" s="12" t="n"/>
      <c r="BL289" s="12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  <c r="CA289" s="12" t="n"/>
      <c r="CB289" s="12" t="n"/>
      <c r="CC289" s="12" t="n"/>
      <c r="CD289" s="12" t="n"/>
      <c r="CE289" s="12" t="n"/>
      <c r="CF289" s="12" t="n"/>
      <c r="CG289" s="12" t="n"/>
      <c r="CH289" s="12" t="n"/>
      <c r="CI289" s="12" t="n"/>
      <c r="CJ289" s="12" t="n"/>
      <c r="CK289" s="12" t="n"/>
      <c r="CL289" s="12" t="n"/>
      <c r="CM289" s="12" t="n"/>
      <c r="CN289" s="12" t="n"/>
      <c r="CO289" s="12" t="n"/>
      <c r="CP289" s="12" t="n"/>
      <c r="CQ289" s="12" t="n"/>
      <c r="CR289" s="12" t="n"/>
      <c r="CS289" s="12" t="n"/>
      <c r="CT289" s="12" t="n"/>
      <c r="CU289" s="12" t="n"/>
      <c r="CV289" s="12" t="n"/>
      <c r="CW289" s="12" t="n"/>
      <c r="CX289" s="12" t="n"/>
      <c r="CY289" s="12" t="n"/>
    </row>
    <row r="290">
      <c r="C290" s="10" t="inlineStr">
        <is>
          <t>Depreciation &amp; amortization</t>
        </is>
      </c>
      <c r="D290" s="12" t="n"/>
      <c r="E290" s="12" t="n"/>
      <c r="F290" s="12" t="n"/>
      <c r="G290" s="12" t="n"/>
      <c r="H290" s="12" t="n"/>
      <c r="I290" s="12" t="n"/>
      <c r="J290" s="12">
        <f>-J82</f>
        <v>72.936</v>
      </c>
      <c r="K290" s="12">
        <f>-K82</f>
        <v>110.706</v>
      </c>
      <c r="L290" s="12">
        <f>-L82</f>
        <v>170.431</v>
      </c>
      <c r="M290" s="12" t="n"/>
      <c r="N290" s="12">
        <f>-N82</f>
        <v>212.836</v>
      </c>
      <c r="O290" s="12">
        <f>-O82</f>
        <v>240.909</v>
      </c>
      <c r="P290" s="12">
        <f>-P82</f>
        <v>300.524</v>
      </c>
      <c r="Q290" s="12">
        <f>-Q82</f>
        <v>380.942</v>
      </c>
      <c r="R290" s="12">
        <f>SUM(N290:Q290)</f>
        <v>1135.211</v>
      </c>
      <c r="S290" s="12">
        <f>-S82</f>
        <v>390.033</v>
      </c>
      <c r="T290" s="12">
        <f>-T82</f>
        <v>388.955</v>
      </c>
      <c r="U290" s="12">
        <f>-U82</f>
        <v>412.766</v>
      </c>
      <c r="V290" s="12">
        <f>-V82</f>
        <v>1046.012</v>
      </c>
      <c r="W290" s="12">
        <f>SUM(S290:V290)</f>
        <v>2237.766</v>
      </c>
      <c r="X290" s="12">
        <f>-X82</f>
        <v>447.855</v>
      </c>
      <c r="Y290" s="12">
        <f>-Y82</f>
        <v>522.034</v>
      </c>
      <c r="Z290" s="12">
        <f>-Z82</f>
        <v>551.278</v>
      </c>
      <c r="AA290" s="12">
        <f>-AA82</f>
        <v>559.351</v>
      </c>
      <c r="AB290" s="12">
        <f>SUM(X290:AA290)</f>
        <v>2080.518</v>
      </c>
      <c r="AC290" s="12">
        <f>-AC82</f>
        <v>572.374</v>
      </c>
      <c r="AD290" s="12">
        <f>-AD82</f>
        <v>593.733</v>
      </c>
      <c r="AE290" s="12">
        <f>-AE82</f>
        <v>624.565</v>
      </c>
      <c r="AF290" s="12">
        <f>-AF82</f>
        <v>639.3592426</v>
      </c>
      <c r="AG290" s="12">
        <f>SUM(AC290:AF290)</f>
        <v>2430.0312426</v>
      </c>
      <c r="AH290" s="12">
        <f>-AH82</f>
        <v>650.5859214</v>
      </c>
      <c r="AI290" s="12">
        <f>-AI82</f>
        <v>671.5636214</v>
      </c>
      <c r="AJ290" s="12">
        <f>-AJ82</f>
        <v>684.266261190816</v>
      </c>
      <c r="AK290" s="12">
        <f>-AK82</f>
        <v>664.848016517875</v>
      </c>
      <c r="AL290" s="12">
        <f>SUM(AH290:AK290)</f>
        <v>2671.26382050869</v>
      </c>
      <c r="AM290" s="12">
        <f>-AM82</f>
        <v>686.955827702969</v>
      </c>
      <c r="AN290" s="12">
        <f>-AN82</f>
        <v>684.263936748624</v>
      </c>
      <c r="AO290" s="12">
        <f>-AO82</f>
        <v>736.577186803951</v>
      </c>
      <c r="AP290" s="12">
        <f>-AP82</f>
        <v>715.674452232507</v>
      </c>
      <c r="AQ290" s="12">
        <f>SUM(AM290:AP290)</f>
        <v>2823.47140348805</v>
      </c>
      <c r="AR290" s="12">
        <f>-AR82</f>
        <v>736.037586702608</v>
      </c>
      <c r="AS290" s="12">
        <f>-AS82</f>
        <v>733.153364978589</v>
      </c>
      <c r="AT290" s="12">
        <f>-AT82</f>
        <v>789.204302710704</v>
      </c>
      <c r="AU290" s="12">
        <f>-AU82</f>
        <v>766.808105329432</v>
      </c>
      <c r="AV290" s="12">
        <f>SUM(AR290:AU290)</f>
        <v>3025.20335972133</v>
      </c>
      <c r="AW290" s="12">
        <f>-AW82</f>
        <v>784.945961218607</v>
      </c>
      <c r="AX290" s="12">
        <f>-AX82</f>
        <v>781.870088145779</v>
      </c>
      <c r="AY290" s="12">
        <f>-AY82</f>
        <v>841.645509931563</v>
      </c>
      <c r="AZ290" s="12">
        <f>-AZ82</f>
        <v>817.761125494295</v>
      </c>
      <c r="BA290" s="12">
        <f>SUM(AW290:AZ290)</f>
        <v>3226.22268479024</v>
      </c>
      <c r="BB290" s="12">
        <f>-BB82</f>
        <v>833.179479496129</v>
      </c>
      <c r="BC290" s="12">
        <f>-BC82</f>
        <v>829.914599552245</v>
      </c>
      <c r="BD290" s="12">
        <f>-BD82</f>
        <v>893.363113552907</v>
      </c>
      <c r="BE290" s="12">
        <f>-BE82</f>
        <v>868.011076627162</v>
      </c>
      <c r="BF290" s="12">
        <f>SUM(BB290:BE290)</f>
        <v>3424.46826922844</v>
      </c>
      <c r="BG290" s="12" t="n"/>
      <c r="BH290" s="12" t="n"/>
      <c r="BI290" s="12" t="n"/>
      <c r="BJ290" s="12" t="n"/>
      <c r="BK290" s="12" t="n"/>
      <c r="BL290" s="12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  <c r="CA290" s="12" t="n"/>
      <c r="CB290" s="12" t="n"/>
      <c r="CC290" s="12" t="n"/>
      <c r="CD290" s="12" t="n"/>
      <c r="CE290" s="12" t="n"/>
      <c r="CF290" s="12" t="n"/>
      <c r="CG290" s="12" t="n"/>
      <c r="CH290" s="12" t="n"/>
      <c r="CI290" s="12" t="n"/>
      <c r="CJ290" s="12" t="n"/>
      <c r="CK290" s="12" t="n"/>
      <c r="CL290" s="12" t="n"/>
      <c r="CM290" s="12" t="n"/>
      <c r="CN290" s="12" t="n"/>
      <c r="CO290" s="12" t="n"/>
      <c r="CP290" s="12" t="n"/>
      <c r="CQ290" s="12" t="n"/>
      <c r="CR290" s="12" t="n"/>
      <c r="CS290" s="12" t="n"/>
      <c r="CT290" s="12" t="n"/>
      <c r="CU290" s="12" t="n"/>
      <c r="CV290" s="12" t="n"/>
      <c r="CW290" s="12" t="n"/>
      <c r="CX290" s="12" t="n"/>
      <c r="CY290" s="12" t="n"/>
    </row>
    <row r="291">
      <c r="C291" s="10" t="inlineStr">
        <is>
          <t xml:space="preserve">Changes in working capital </t>
        </is>
      </c>
      <c r="D291" s="12" t="n"/>
      <c r="E291" s="12" t="n"/>
      <c r="F291" s="12" t="n"/>
      <c r="G291" s="12" t="n"/>
      <c r="H291" s="12" t="n"/>
      <c r="I291" s="12" t="n"/>
      <c r="J291" s="12">
        <f>SUM(J292:J301)</f>
        <v>353.263</v>
      </c>
      <c r="K291" s="12">
        <f>SUM(K292:K301)</f>
        <v>9.53700000000012</v>
      </c>
      <c r="L291" s="12">
        <f>SUM(L292:L301)</f>
        <v>1143.13</v>
      </c>
      <c r="M291" s="12" t="n"/>
      <c r="N291" s="12">
        <f>SUM(N292:N301)</f>
        <v>-1077.699</v>
      </c>
      <c r="O291" s="12">
        <f>SUM(O292:O301)</f>
        <v>456.033</v>
      </c>
      <c r="P291" s="12">
        <f>SUM(P292:P301)</f>
        <v>-779.02</v>
      </c>
      <c r="Q291" s="12">
        <f>SUM(Q292:Q301)</f>
        <v>1032.624</v>
      </c>
      <c r="R291" s="12">
        <f>SUM(N291:Q291)</f>
        <v>-368.062</v>
      </c>
      <c r="S291" s="12">
        <f>SUM(S292:S301)</f>
        <v>-893.347</v>
      </c>
      <c r="T291" s="12">
        <f>SUM(T292:T301)</f>
        <v>-456.28</v>
      </c>
      <c r="U291" s="12">
        <f>SUM(U292:U301)</f>
        <v>654.528</v>
      </c>
      <c r="V291" s="12">
        <f>SUM(V292:V301)</f>
        <v>3346.17</v>
      </c>
      <c r="W291" s="12">
        <f>SUM(S291:V291)</f>
        <v>2651.071</v>
      </c>
      <c r="X291" s="12">
        <f>SUM(X292:X301)</f>
        <v>-579.528000000001</v>
      </c>
      <c r="Y291" s="12">
        <f>SUM(Y292:Y301)</f>
        <v>-361.992</v>
      </c>
      <c r="Z291" s="12">
        <f>SUM(Z292:Z301)</f>
        <v>-281.092</v>
      </c>
      <c r="AA291" s="12">
        <f>SUM(AA292:AA301)</f>
        <v>1268.629</v>
      </c>
      <c r="AB291" s="12">
        <f>SUM(X291:AA291)</f>
        <v>46.0169999999996</v>
      </c>
      <c r="AC291" s="12">
        <f>SUM(AC292:AC301)</f>
        <v>-2719.409</v>
      </c>
      <c r="AD291" s="12">
        <f>SUM(AD292:AD301)</f>
        <v>816.888</v>
      </c>
      <c r="AE291" s="12">
        <f>SUM(AE292:AE301)</f>
        <v>632.881</v>
      </c>
      <c r="AF291" s="12">
        <f>SUM(AF292:AF301)</f>
        <v>2754</v>
      </c>
      <c r="AG291" s="12">
        <f>SUM(AC291:AF291)</f>
        <v>1484.36</v>
      </c>
      <c r="AH291" s="12">
        <f>SUM(AH292:AH301)</f>
        <v>-1717.391</v>
      </c>
      <c r="AI291" s="12">
        <f>SUM(AI292:AI301)</f>
        <v>130.343</v>
      </c>
      <c r="AJ291" s="12">
        <f>SUM(AJ292:AJ301)</f>
        <v>-251.209298570722</v>
      </c>
      <c r="AK291" s="12">
        <f>SUM(AK292:AK301)</f>
        <v>-64.1195279916653</v>
      </c>
      <c r="AL291" s="12">
        <f>SUM(AH291:AK291)</f>
        <v>-1902.37682656239</v>
      </c>
      <c r="AM291" s="12">
        <f>SUM(AM292:AM301)</f>
        <v>175.78459543517</v>
      </c>
      <c r="AN291" s="12">
        <f>SUM(AN292:AN301)</f>
        <v>-23.6258539463922</v>
      </c>
      <c r="AO291" s="12">
        <f>SUM(AO292:AO301)</f>
        <v>209.938169082778</v>
      </c>
      <c r="AP291" s="12">
        <f>SUM(AP292:AP301)</f>
        <v>-64.3749778793662</v>
      </c>
      <c r="AQ291" s="12">
        <f>SUM(AM291:AP291)</f>
        <v>297.72193269219</v>
      </c>
      <c r="AR291" s="12">
        <f>SUM(AR292:AR301)</f>
        <v>143.093044860239</v>
      </c>
      <c r="AS291" s="12">
        <f>SUM(AS292:AS301)</f>
        <v>13.0097862783214</v>
      </c>
      <c r="AT291" s="12">
        <f>SUM(AT292:AT301)</f>
        <v>228.677421723027</v>
      </c>
      <c r="AU291" s="12">
        <f>SUM(AU292:AU301)</f>
        <v>-65.0843429202037</v>
      </c>
      <c r="AV291" s="12">
        <f>SUM(AR291:AU291)</f>
        <v>319.695909941383</v>
      </c>
      <c r="AW291" s="12">
        <f>SUM(AW292:AW301)</f>
        <v>178.363410936508</v>
      </c>
      <c r="AX291" s="12">
        <f>SUM(AX292:AX301)</f>
        <v>-19.2884928759147</v>
      </c>
      <c r="AY291" s="12">
        <f>SUM(AY292:AY301)</f>
        <v>247.873110811856</v>
      </c>
      <c r="AZ291" s="12">
        <f>SUM(AZ292:AZ301)</f>
        <v>-65.2870797505306</v>
      </c>
      <c r="BA291" s="12">
        <f>SUM(AW291:AZ291)</f>
        <v>341.660949121919</v>
      </c>
      <c r="BB291" s="12">
        <f>SUM(BB292:BB301)</f>
        <v>177.109677071829</v>
      </c>
      <c r="BC291" s="12">
        <f>SUM(BC292:BC301)</f>
        <v>-16.4957861051726</v>
      </c>
      <c r="BD291" s="12">
        <f>SUM(BD292:BD301)</f>
        <v>267.163313890123</v>
      </c>
      <c r="BE291" s="12">
        <f>SUM(BE292:BE301)</f>
        <v>-65.1650075674214</v>
      </c>
      <c r="BF291" s="12">
        <f>SUM(BB291:BE291)</f>
        <v>362.612197289358</v>
      </c>
      <c r="BG291" s="12" t="n"/>
      <c r="BH291" s="12" t="n"/>
      <c r="BI291" s="12" t="n"/>
      <c r="BJ291" s="12" t="n"/>
      <c r="BK291" s="12" t="n"/>
      <c r="BL291" s="12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  <c r="CA291" s="12" t="n"/>
      <c r="CB291" s="12" t="n"/>
      <c r="CC291" s="12" t="n"/>
      <c r="CD291" s="12" t="n"/>
      <c r="CE291" s="12" t="n"/>
      <c r="CF291" s="12" t="n"/>
      <c r="CG291" s="12" t="n"/>
      <c r="CH291" s="12" t="n"/>
      <c r="CI291" s="12" t="n"/>
      <c r="CJ291" s="12" t="n"/>
      <c r="CK291" s="12" t="n"/>
      <c r="CL291" s="12" t="n"/>
      <c r="CM291" s="12" t="n"/>
      <c r="CN291" s="12" t="n"/>
      <c r="CO291" s="12" t="n"/>
      <c r="CP291" s="12" t="n"/>
      <c r="CQ291" s="12" t="n"/>
      <c r="CR291" s="12" t="n"/>
      <c r="CS291" s="12" t="n"/>
      <c r="CT291" s="12" t="n"/>
      <c r="CU291" s="12" t="n"/>
      <c r="CV291" s="12" t="n"/>
      <c r="CW291" s="12" t="n"/>
      <c r="CX291" s="12" t="n"/>
      <c r="CY291" s="12" t="n"/>
    </row>
    <row r="292" hidden="1" outlineLevel="1">
      <c r="C292" s="10" t="inlineStr">
        <is>
          <t>Accounts receivable</t>
        </is>
      </c>
      <c r="D292" s="12" t="n"/>
      <c r="E292" s="12" t="n"/>
      <c r="F292" s="12" t="n"/>
      <c r="G292" s="12" t="n"/>
      <c r="H292" s="12" t="n"/>
      <c r="I292" s="12" t="n"/>
      <c r="J292" s="12">
        <f>(J157-I157)*-1</f>
        <v>-103.315</v>
      </c>
      <c r="K292" s="12">
        <f>(K157-J157)*-1</f>
        <v>-80.668</v>
      </c>
      <c r="L292" s="12">
        <f>(L157-K157)*-1</f>
        <v>-252.704</v>
      </c>
      <c r="M292" s="12" t="n"/>
      <c r="N292" s="12">
        <f>(N157-M157)*-1</f>
        <v>-190.768</v>
      </c>
      <c r="O292" s="12">
        <f>(O157-N157)*-1</f>
        <v>-208.07</v>
      </c>
      <c r="P292" s="12">
        <f>(P157-O157)*-1</f>
        <v>239.857</v>
      </c>
      <c r="Q292" s="12">
        <f>(Q157-P157)*-1</f>
        <v>-129.686</v>
      </c>
      <c r="R292" s="12">
        <f>SUM(N292:Q292)</f>
        <v>-288.667</v>
      </c>
      <c r="S292" s="12">
        <f>(S157-R157)*-1</f>
        <v>148.724</v>
      </c>
      <c r="T292" s="12">
        <f>(T157-S157)*-1</f>
        <v>-73.9590000000001</v>
      </c>
      <c r="U292" s="12">
        <f>(U157-T157)*-1</f>
        <v>-211.333</v>
      </c>
      <c r="V292" s="12">
        <f>(V157-U157)*-1</f>
        <v>-33.1110000000001</v>
      </c>
      <c r="W292" s="12">
        <f>SUM(S292:V292)</f>
        <v>-169.679</v>
      </c>
      <c r="X292" s="12">
        <f>(X157-W157)*-1</f>
        <v>-197.237</v>
      </c>
      <c r="Y292" s="12">
        <f>(Y157-X157)*-1</f>
        <v>-141.381</v>
      </c>
      <c r="Z292" s="12">
        <f>(Z157-Y157)*-1</f>
        <v>-52.953</v>
      </c>
      <c r="AA292" s="12">
        <f>(AA157-Z157)*-1</f>
        <v>295.288</v>
      </c>
      <c r="AB292" s="12">
        <f>SUM(X292:AA292)</f>
        <v>-96.2829999999999</v>
      </c>
      <c r="AC292" s="12">
        <f>(AC157-AB157)*-1</f>
        <v>-751.617</v>
      </c>
      <c r="AD292" s="12">
        <f>(AD157-AC157)*-1</f>
        <v>7.125</v>
      </c>
      <c r="AE292" s="12">
        <f>(AE157-AD157)*-1</f>
        <v>-30.3609999999999</v>
      </c>
      <c r="AF292" s="12">
        <f>(AF157-AE157)*-1</f>
        <v>226.868</v>
      </c>
      <c r="AG292" s="12">
        <f>SUM(AC292:AF292)</f>
        <v>-547.985</v>
      </c>
      <c r="AH292" s="12">
        <f>(AH157-AG157)*-1</f>
        <v>-194.903</v>
      </c>
      <c r="AI292" s="12">
        <f>(AI157-AH157)*-1</f>
        <v>-125.29</v>
      </c>
      <c r="AJ292" s="12">
        <f>(AJ157-AI157)*-1</f>
        <v>-50.3764878854768</v>
      </c>
      <c r="AK292" s="12">
        <f>(AK157-AJ157)*-1</f>
        <v>66.9796599110828</v>
      </c>
      <c r="AL292" s="12">
        <f>SUM(AH292:AK292)</f>
        <v>-303.589827974394</v>
      </c>
      <c r="AM292" s="12">
        <f>(AM157-AL157)*-1</f>
        <v>-128.912994472522</v>
      </c>
      <c r="AN292" s="12">
        <f>(AN157-AM157)*-1</f>
        <v>36.0046218556176</v>
      </c>
      <c r="AO292" s="12">
        <f>(AO157-AN157)*-1</f>
        <v>-154.5081942451</v>
      </c>
      <c r="AP292" s="12">
        <f>(AP157-AO157)*-1</f>
        <v>72.1001345068985</v>
      </c>
      <c r="AQ292" s="12">
        <f>SUM(AM292:AP292)</f>
        <v>-175.316432355106</v>
      </c>
      <c r="AR292" s="12">
        <f>(AR157-AQ157)*-1</f>
        <v>-98.1380716945241</v>
      </c>
      <c r="AS292" s="12">
        <f>(AS157-AR157)*-1</f>
        <v>10.0579170085311</v>
      </c>
      <c r="AT292" s="12">
        <f>(AT157-AS157)*-1</f>
        <v>-165.547526975947</v>
      </c>
      <c r="AU292" s="12">
        <f>(AU157-AT157)*-1</f>
        <v>77.2515595083319</v>
      </c>
      <c r="AV292" s="12">
        <f>SUM(AR292:AU292)</f>
        <v>-176.376122153608</v>
      </c>
      <c r="AW292" s="12">
        <f>(AW157-AV157)*-1</f>
        <v>-122.730451800578</v>
      </c>
      <c r="AX292" s="12">
        <f>(AX157-AW157)*-1</f>
        <v>41.1404654725343</v>
      </c>
      <c r="AY292" s="12">
        <f>(AY157-AX157)*-1</f>
        <v>-176.54786255094</v>
      </c>
      <c r="AZ292" s="12">
        <f>(AZ157-AY157)*-1</f>
        <v>82.3847867682398</v>
      </c>
      <c r="BA292" s="12">
        <f>SUM(AW292:AZ292)</f>
        <v>-175.753062110744</v>
      </c>
      <c r="BB292" s="12">
        <f>(BB157-BA157)*-1</f>
        <v>-117.047200527843</v>
      </c>
      <c r="BC292" s="12">
        <f>(BC157-BB157)*-1</f>
        <v>43.668473120646</v>
      </c>
      <c r="BD292" s="12">
        <f>(BD157-BC157)*-1</f>
        <v>-187.396411337647</v>
      </c>
      <c r="BE292" s="12">
        <f>(BE157-BD157)*-1</f>
        <v>87.4471838181039</v>
      </c>
      <c r="BF292" s="12">
        <f>SUM(BB292:BE292)</f>
        <v>-173.32795492674</v>
      </c>
      <c r="BG292" s="12" t="n"/>
      <c r="BH292" s="12" t="n"/>
      <c r="BI292" s="12" t="n"/>
      <c r="BJ292" s="12" t="n"/>
      <c r="BK292" s="12" t="n"/>
      <c r="BL292" s="12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  <c r="CA292" s="12" t="n"/>
      <c r="CB292" s="12" t="n"/>
      <c r="CC292" s="12" t="n"/>
      <c r="CD292" s="12" t="n"/>
      <c r="CE292" s="12" t="n"/>
      <c r="CF292" s="12" t="n"/>
      <c r="CG292" s="12" t="n"/>
      <c r="CH292" s="12" t="n"/>
      <c r="CI292" s="12" t="n"/>
      <c r="CJ292" s="12" t="n"/>
      <c r="CK292" s="12" t="n"/>
      <c r="CL292" s="12" t="n"/>
      <c r="CM292" s="12" t="n"/>
      <c r="CN292" s="12" t="n"/>
      <c r="CO292" s="12" t="n"/>
      <c r="CP292" s="12" t="n"/>
      <c r="CQ292" s="12" t="n"/>
      <c r="CR292" s="12" t="n"/>
      <c r="CS292" s="12" t="n"/>
      <c r="CT292" s="12" t="n"/>
      <c r="CU292" s="12" t="n"/>
      <c r="CV292" s="12" t="n"/>
      <c r="CW292" s="12" t="n"/>
      <c r="CX292" s="12" t="n"/>
      <c r="CY292" s="12" t="n"/>
    </row>
    <row r="293" hidden="1" outlineLevel="1">
      <c r="C293" s="10" t="inlineStr">
        <is>
          <t>Inventories</t>
        </is>
      </c>
      <c r="D293" s="12" t="n"/>
      <c r="E293" s="12" t="n"/>
      <c r="F293" s="12" t="n"/>
      <c r="G293" s="12" t="n"/>
      <c r="H293" s="12" t="n"/>
      <c r="I293" s="12" t="n"/>
      <c r="J293" s="12">
        <f>(J161-I161)*-1</f>
        <v>0</v>
      </c>
      <c r="K293" s="12">
        <f>(K161-J161)*-1</f>
        <v>0</v>
      </c>
      <c r="L293" s="12">
        <f>(L161-K161)*-1</f>
        <v>0</v>
      </c>
      <c r="M293" s="12" t="n"/>
      <c r="N293" s="12">
        <f>(N161-M161)*-1</f>
        <v>0</v>
      </c>
      <c r="O293" s="12">
        <f>(O161-N161)*-1</f>
        <v>0</v>
      </c>
      <c r="P293" s="12">
        <f>(P161-O161)*-1</f>
        <v>0</v>
      </c>
      <c r="Q293" s="12">
        <f>(Q161-P161)*-1</f>
        <v>0</v>
      </c>
      <c r="R293" s="12">
        <f>SUM(N293:Q293)</f>
        <v>0</v>
      </c>
      <c r="S293" s="12">
        <f>(S161-R161)*-1</f>
        <v>0</v>
      </c>
      <c r="T293" s="12">
        <f>(T161-S161)*-1</f>
        <v>0</v>
      </c>
      <c r="U293" s="12">
        <f>(U161-T161)*-1</f>
        <v>0</v>
      </c>
      <c r="V293" s="12">
        <f>(V161-U161)*-1</f>
        <v>0</v>
      </c>
      <c r="W293" s="12">
        <f>SUM(S293:V293)</f>
        <v>0</v>
      </c>
      <c r="X293" s="12">
        <f>(X161-W161)*-1</f>
        <v>0</v>
      </c>
      <c r="Y293" s="12">
        <f>(Y161-X161)*-1</f>
        <v>0</v>
      </c>
      <c r="Z293" s="12">
        <f>(Z161-Y161)*-1</f>
        <v>0</v>
      </c>
      <c r="AA293" s="12">
        <f>(AA161-Z161)*-1</f>
        <v>0</v>
      </c>
      <c r="AB293" s="12">
        <f>SUM(X293:AA293)</f>
        <v>0</v>
      </c>
      <c r="AC293" s="12">
        <f>(AC161-AB161)*-1</f>
        <v>0</v>
      </c>
      <c r="AD293" s="12">
        <f>(AD161-AC161)*-1</f>
        <v>0</v>
      </c>
      <c r="AE293" s="12">
        <f>(AE161-AD161)*-1</f>
        <v>0</v>
      </c>
      <c r="AF293" s="12">
        <f>(AF161-AE161)*-1</f>
        <v>0</v>
      </c>
      <c r="AG293" s="12">
        <f>SUM(AC293:AF293)</f>
        <v>0</v>
      </c>
      <c r="AH293" s="12">
        <f>(AH161-AG161)*-1</f>
        <v>0</v>
      </c>
      <c r="AI293" s="12">
        <f>(AI161-AH161)*-1</f>
        <v>0</v>
      </c>
      <c r="AJ293" s="12">
        <f>(AJ161-AI161)*-1</f>
        <v>0</v>
      </c>
      <c r="AK293" s="12">
        <f>(AK161-AJ161)*-1</f>
        <v>0</v>
      </c>
      <c r="AL293" s="12">
        <f>SUM(AH293:AK293)</f>
        <v>0</v>
      </c>
      <c r="AM293" s="12">
        <f>(AM161-AL161)*-1</f>
        <v>0</v>
      </c>
      <c r="AN293" s="12">
        <f>(AN161-AM161)*-1</f>
        <v>0</v>
      </c>
      <c r="AO293" s="12">
        <f>(AO161-AN161)*-1</f>
        <v>0</v>
      </c>
      <c r="AP293" s="12">
        <f>(AP161-AO161)*-1</f>
        <v>0</v>
      </c>
      <c r="AQ293" s="12">
        <f>SUM(AM293:AP293)</f>
        <v>0</v>
      </c>
      <c r="AR293" s="12">
        <f>(AR161-AQ161)*-1</f>
        <v>0</v>
      </c>
      <c r="AS293" s="12">
        <f>(AS161-AR161)*-1</f>
        <v>0</v>
      </c>
      <c r="AT293" s="12">
        <f>(AT161-AS161)*-1</f>
        <v>0</v>
      </c>
      <c r="AU293" s="12">
        <f>(AU161-AT161)*-1</f>
        <v>0</v>
      </c>
      <c r="AV293" s="12">
        <f>SUM(AR293:AU293)</f>
        <v>0</v>
      </c>
      <c r="AW293" s="12">
        <f>(AW161-AV161)*-1</f>
        <v>0</v>
      </c>
      <c r="AX293" s="12">
        <f>(AX161-AW161)*-1</f>
        <v>0</v>
      </c>
      <c r="AY293" s="12">
        <f>(AY161-AX161)*-1</f>
        <v>0</v>
      </c>
      <c r="AZ293" s="12">
        <f>(AZ161-AY161)*-1</f>
        <v>0</v>
      </c>
      <c r="BA293" s="12">
        <f>SUM(AW293:AZ293)</f>
        <v>0</v>
      </c>
      <c r="BB293" s="12">
        <f>(BB161-BA161)*-1</f>
        <v>0</v>
      </c>
      <c r="BC293" s="12">
        <f>(BC161-BB161)*-1</f>
        <v>0</v>
      </c>
      <c r="BD293" s="12">
        <f>(BD161-BC161)*-1</f>
        <v>0</v>
      </c>
      <c r="BE293" s="12">
        <f>(BE161-BD161)*-1</f>
        <v>0</v>
      </c>
      <c r="BF293" s="12">
        <f>SUM(BB293:BE293)</f>
        <v>0</v>
      </c>
      <c r="BG293" s="12" t="n"/>
      <c r="BH293" s="12" t="n"/>
      <c r="BI293" s="12" t="n"/>
      <c r="BJ293" s="12" t="n"/>
      <c r="BK293" s="12" t="n"/>
      <c r="BL293" s="12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  <c r="CA293" s="12" t="n"/>
      <c r="CB293" s="12" t="n"/>
      <c r="CC293" s="12" t="n"/>
      <c r="CD293" s="12" t="n"/>
      <c r="CE293" s="12" t="n"/>
      <c r="CF293" s="12" t="n"/>
      <c r="CG293" s="12" t="n"/>
      <c r="CH293" s="12" t="n"/>
      <c r="CI293" s="12" t="n"/>
      <c r="CJ293" s="12" t="n"/>
      <c r="CK293" s="12" t="n"/>
      <c r="CL293" s="12" t="n"/>
      <c r="CM293" s="12" t="n"/>
      <c r="CN293" s="12" t="n"/>
      <c r="CO293" s="12" t="n"/>
      <c r="CP293" s="12" t="n"/>
      <c r="CQ293" s="12" t="n"/>
      <c r="CR293" s="12" t="n"/>
      <c r="CS293" s="12" t="n"/>
      <c r="CT293" s="12" t="n"/>
      <c r="CU293" s="12" t="n"/>
      <c r="CV293" s="12" t="n"/>
      <c r="CW293" s="12" t="n"/>
      <c r="CX293" s="12" t="n"/>
      <c r="CY293" s="12" t="n"/>
    </row>
    <row r="294" hidden="1" outlineLevel="1">
      <c r="C294" s="10" t="inlineStr">
        <is>
          <t>Deferred income taxes</t>
        </is>
      </c>
      <c r="D294" s="12" t="n"/>
      <c r="E294" s="12" t="n"/>
      <c r="F294" s="12" t="n"/>
      <c r="G294" s="12" t="n"/>
      <c r="H294" s="12" t="n"/>
      <c r="I294" s="12" t="n"/>
      <c r="J294" s="12">
        <f>(J165-I165)*-1</f>
        <v>0</v>
      </c>
      <c r="K294" s="12">
        <f>(K165-J165)*-1</f>
        <v>0</v>
      </c>
      <c r="L294" s="12">
        <f>(L165-K165)*-1</f>
        <v>0</v>
      </c>
      <c r="M294" s="12" t="n"/>
      <c r="N294" s="12">
        <f>(N165-M165)*-1</f>
        <v>0</v>
      </c>
      <c r="O294" s="12">
        <f>(O165-N165)*-1</f>
        <v>0</v>
      </c>
      <c r="P294" s="12">
        <f>(P165-O165)*-1</f>
        <v>0</v>
      </c>
      <c r="Q294" s="12">
        <f>(Q165-P165)*-1</f>
        <v>0</v>
      </c>
      <c r="R294" s="12">
        <f>SUM(N294:Q294)</f>
        <v>0</v>
      </c>
      <c r="S294" s="12">
        <f>(S165-R165)*-1</f>
        <v>0</v>
      </c>
      <c r="T294" s="12">
        <f>(T165-S165)*-1</f>
        <v>0</v>
      </c>
      <c r="U294" s="12">
        <f>(U165-T165)*-1</f>
        <v>0</v>
      </c>
      <c r="V294" s="12">
        <f>(V165-U165)*-1</f>
        <v>0</v>
      </c>
      <c r="W294" s="12">
        <f>SUM(S294:V294)</f>
        <v>0</v>
      </c>
      <c r="X294" s="12">
        <f>(X165-W165)*-1</f>
        <v>0</v>
      </c>
      <c r="Y294" s="12">
        <f>(Y165-X165)*-1</f>
        <v>0</v>
      </c>
      <c r="Z294" s="12">
        <f>(Z165-Y165)*-1</f>
        <v>0</v>
      </c>
      <c r="AA294" s="12">
        <f>(AA165-Z165)*-1</f>
        <v>0</v>
      </c>
      <c r="AB294" s="12">
        <f>SUM(X294:AA294)</f>
        <v>0</v>
      </c>
      <c r="AC294" s="12">
        <f>(AC165-AB165)*-1</f>
        <v>0</v>
      </c>
      <c r="AD294" s="12">
        <f>(AD165-AC165)*-1</f>
        <v>0</v>
      </c>
      <c r="AE294" s="12">
        <f>(AE165-AD165)*-1</f>
        <v>0</v>
      </c>
      <c r="AF294" s="12">
        <f>(AF165-AE165)*-1</f>
        <v>0</v>
      </c>
      <c r="AG294" s="12">
        <f>SUM(AC294:AF294)</f>
        <v>0</v>
      </c>
      <c r="AH294" s="12">
        <f>(AH165-AG165)*-1</f>
        <v>0</v>
      </c>
      <c r="AI294" s="12">
        <f>(AI165-AH165)*-1</f>
        <v>0</v>
      </c>
      <c r="AJ294" s="12">
        <f>(AJ165-AI165)*-1</f>
        <v>0</v>
      </c>
      <c r="AK294" s="12">
        <f>(AK165-AJ165)*-1</f>
        <v>0</v>
      </c>
      <c r="AL294" s="12">
        <f>SUM(AH294:AK294)</f>
        <v>0</v>
      </c>
      <c r="AM294" s="12">
        <f>(AM165-AL165)*-1</f>
        <v>0</v>
      </c>
      <c r="AN294" s="12">
        <f>(AN165-AM165)*-1</f>
        <v>0</v>
      </c>
      <c r="AO294" s="12">
        <f>(AO165-AN165)*-1</f>
        <v>0</v>
      </c>
      <c r="AP294" s="12">
        <f>(AP165-AO165)*-1</f>
        <v>0</v>
      </c>
      <c r="AQ294" s="12">
        <f>SUM(AM294:AP294)</f>
        <v>0</v>
      </c>
      <c r="AR294" s="12">
        <f>(AR165-AQ165)*-1</f>
        <v>0</v>
      </c>
      <c r="AS294" s="12">
        <f>(AS165-AR165)*-1</f>
        <v>0</v>
      </c>
      <c r="AT294" s="12">
        <f>(AT165-AS165)*-1</f>
        <v>0</v>
      </c>
      <c r="AU294" s="12">
        <f>(AU165-AT165)*-1</f>
        <v>0</v>
      </c>
      <c r="AV294" s="12">
        <f>SUM(AR294:AU294)</f>
        <v>0</v>
      </c>
      <c r="AW294" s="12">
        <f>(AW165-AV165)*-1</f>
        <v>0</v>
      </c>
      <c r="AX294" s="12">
        <f>(AX165-AW165)*-1</f>
        <v>0</v>
      </c>
      <c r="AY294" s="12">
        <f>(AY165-AX165)*-1</f>
        <v>0</v>
      </c>
      <c r="AZ294" s="12">
        <f>(AZ165-AY165)*-1</f>
        <v>0</v>
      </c>
      <c r="BA294" s="12">
        <f>SUM(AW294:AZ294)</f>
        <v>0</v>
      </c>
      <c r="BB294" s="12">
        <f>(BB165-BA165)*-1</f>
        <v>0</v>
      </c>
      <c r="BC294" s="12">
        <f>(BC165-BB165)*-1</f>
        <v>0</v>
      </c>
      <c r="BD294" s="12">
        <f>(BD165-BC165)*-1</f>
        <v>0</v>
      </c>
      <c r="BE294" s="12">
        <f>(BE165-BD165)*-1</f>
        <v>0</v>
      </c>
      <c r="BF294" s="12">
        <f>SUM(BB294:BE294)</f>
        <v>0</v>
      </c>
      <c r="BG294" s="12" t="n"/>
      <c r="BH294" s="12" t="n"/>
      <c r="BI294" s="12" t="n"/>
      <c r="BJ294" s="12" t="n"/>
      <c r="BK294" s="12" t="n"/>
      <c r="BL294" s="12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  <c r="CA294" s="12" t="n"/>
      <c r="CB294" s="12" t="n"/>
      <c r="CC294" s="12" t="n"/>
      <c r="CD294" s="12" t="n"/>
      <c r="CE294" s="12" t="n"/>
      <c r="CF294" s="12" t="n"/>
      <c r="CG294" s="12" t="n"/>
      <c r="CH294" s="12" t="n"/>
      <c r="CI294" s="12" t="n"/>
      <c r="CJ294" s="12" t="n"/>
      <c r="CK294" s="12" t="n"/>
      <c r="CL294" s="12" t="n"/>
      <c r="CM294" s="12" t="n"/>
      <c r="CN294" s="12" t="n"/>
      <c r="CO294" s="12" t="n"/>
      <c r="CP294" s="12" t="n"/>
      <c r="CQ294" s="12" t="n"/>
      <c r="CR294" s="12" t="n"/>
      <c r="CS294" s="12" t="n"/>
      <c r="CT294" s="12" t="n"/>
      <c r="CU294" s="12" t="n"/>
      <c r="CV294" s="12" t="n"/>
      <c r="CW294" s="12" t="n"/>
      <c r="CX294" s="12" t="n"/>
      <c r="CY294" s="12" t="n"/>
    </row>
    <row r="295" hidden="1" outlineLevel="1">
      <c r="C295" s="10" t="inlineStr">
        <is>
          <t>Prepaid expenses</t>
        </is>
      </c>
      <c r="D295" s="12" t="n"/>
      <c r="E295" s="12" t="n"/>
      <c r="F295" s="12" t="n"/>
      <c r="G295" s="12" t="n"/>
      <c r="H295" s="12" t="n"/>
      <c r="I295" s="12" t="n"/>
      <c r="J295" s="12">
        <f>(J166-I166)*-1</f>
        <v>0</v>
      </c>
      <c r="K295" s="12">
        <f>(K166-J166)*-1</f>
        <v>0</v>
      </c>
      <c r="L295" s="12">
        <f>(L166-K166)*-1</f>
        <v>0</v>
      </c>
      <c r="M295" s="12" t="n"/>
      <c r="N295" s="12">
        <f>(N166-M166)*-1</f>
        <v>0</v>
      </c>
      <c r="O295" s="12">
        <f>(O166-N166)*-1</f>
        <v>0</v>
      </c>
      <c r="P295" s="12">
        <f>(P166-O166)*-1</f>
        <v>0</v>
      </c>
      <c r="Q295" s="12">
        <f>(Q166-P166)*-1</f>
        <v>0</v>
      </c>
      <c r="R295" s="12">
        <f>SUM(N295:Q295)</f>
        <v>0</v>
      </c>
      <c r="S295" s="12">
        <f>(S166-R166)*-1</f>
        <v>0</v>
      </c>
      <c r="T295" s="12">
        <f>(T166-S166)*-1</f>
        <v>0</v>
      </c>
      <c r="U295" s="12">
        <f>(U166-T166)*-1</f>
        <v>0</v>
      </c>
      <c r="V295" s="12">
        <f>(V166-U166)*-1</f>
        <v>0</v>
      </c>
      <c r="W295" s="12">
        <f>SUM(S295:V295)</f>
        <v>0</v>
      </c>
      <c r="X295" s="12">
        <f>(X166-W166)*-1</f>
        <v>0</v>
      </c>
      <c r="Y295" s="12">
        <f>(Y166-X166)*-1</f>
        <v>0</v>
      </c>
      <c r="Z295" s="12">
        <f>(Z166-Y166)*-1</f>
        <v>0</v>
      </c>
      <c r="AA295" s="12">
        <f>(AA166-Z166)*-1</f>
        <v>0</v>
      </c>
      <c r="AB295" s="12">
        <f>SUM(X295:AA295)</f>
        <v>0</v>
      </c>
      <c r="AC295" s="12">
        <f>(AC166-AB166)*-1</f>
        <v>0</v>
      </c>
      <c r="AD295" s="12">
        <f>(AD166-AC166)*-1</f>
        <v>0</v>
      </c>
      <c r="AE295" s="12">
        <f>(AE166-AD166)*-1</f>
        <v>0</v>
      </c>
      <c r="AF295" s="12">
        <f>(AF166-AE166)*-1</f>
        <v>0</v>
      </c>
      <c r="AG295" s="12">
        <f>SUM(AC295:AF295)</f>
        <v>0</v>
      </c>
      <c r="AH295" s="12">
        <f>(AH166-AG166)*-1</f>
        <v>0</v>
      </c>
      <c r="AI295" s="12">
        <f>(AI166-AH166)*-1</f>
        <v>0</v>
      </c>
      <c r="AJ295" s="12">
        <f>(AJ166-AI166)*-1</f>
        <v>0</v>
      </c>
      <c r="AK295" s="12">
        <f>(AK166-AJ166)*-1</f>
        <v>0</v>
      </c>
      <c r="AL295" s="12">
        <f>SUM(AH295:AK295)</f>
        <v>0</v>
      </c>
      <c r="AM295" s="12">
        <f>(AM166-AL166)*-1</f>
        <v>0</v>
      </c>
      <c r="AN295" s="12">
        <f>(AN166-AM166)*-1</f>
        <v>0</v>
      </c>
      <c r="AO295" s="12">
        <f>(AO166-AN166)*-1</f>
        <v>0</v>
      </c>
      <c r="AP295" s="12">
        <f>(AP166-AO166)*-1</f>
        <v>0</v>
      </c>
      <c r="AQ295" s="12">
        <f>SUM(AM295:AP295)</f>
        <v>0</v>
      </c>
      <c r="AR295" s="12">
        <f>(AR166-AQ166)*-1</f>
        <v>0</v>
      </c>
      <c r="AS295" s="12">
        <f>(AS166-AR166)*-1</f>
        <v>0</v>
      </c>
      <c r="AT295" s="12">
        <f>(AT166-AS166)*-1</f>
        <v>0</v>
      </c>
      <c r="AU295" s="12">
        <f>(AU166-AT166)*-1</f>
        <v>0</v>
      </c>
      <c r="AV295" s="12">
        <f>SUM(AR295:AU295)</f>
        <v>0</v>
      </c>
      <c r="AW295" s="12">
        <f>(AW166-AV166)*-1</f>
        <v>0</v>
      </c>
      <c r="AX295" s="12">
        <f>(AX166-AW166)*-1</f>
        <v>0</v>
      </c>
      <c r="AY295" s="12">
        <f>(AY166-AX166)*-1</f>
        <v>0</v>
      </c>
      <c r="AZ295" s="12">
        <f>(AZ166-AY166)*-1</f>
        <v>0</v>
      </c>
      <c r="BA295" s="12">
        <f>SUM(AW295:AZ295)</f>
        <v>0</v>
      </c>
      <c r="BB295" s="12">
        <f>(BB166-BA166)*-1</f>
        <v>0</v>
      </c>
      <c r="BC295" s="12">
        <f>(BC166-BB166)*-1</f>
        <v>0</v>
      </c>
      <c r="BD295" s="12">
        <f>(BD166-BC166)*-1</f>
        <v>0</v>
      </c>
      <c r="BE295" s="12">
        <f>(BE166-BD166)*-1</f>
        <v>0</v>
      </c>
      <c r="BF295" s="12">
        <f>SUM(BB295:BE295)</f>
        <v>0</v>
      </c>
      <c r="BG295" s="12" t="n"/>
      <c r="BH295" s="12" t="n"/>
      <c r="BI295" s="12" t="n"/>
      <c r="BJ295" s="12" t="n"/>
      <c r="BK295" s="12" t="n"/>
      <c r="BL295" s="12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  <c r="CA295" s="12" t="n"/>
      <c r="CB295" s="12" t="n"/>
      <c r="CC295" s="12" t="n"/>
      <c r="CD295" s="12" t="n"/>
      <c r="CE295" s="12" t="n"/>
      <c r="CF295" s="12" t="n"/>
      <c r="CG295" s="12" t="n"/>
      <c r="CH295" s="12" t="n"/>
      <c r="CI295" s="12" t="n"/>
      <c r="CJ295" s="12" t="n"/>
      <c r="CK295" s="12" t="n"/>
      <c r="CL295" s="12" t="n"/>
      <c r="CM295" s="12" t="n"/>
      <c r="CN295" s="12" t="n"/>
      <c r="CO295" s="12" t="n"/>
      <c r="CP295" s="12" t="n"/>
      <c r="CQ295" s="12" t="n"/>
      <c r="CR295" s="12" t="n"/>
      <c r="CS295" s="12" t="n"/>
      <c r="CT295" s="12" t="n"/>
      <c r="CU295" s="12" t="n"/>
      <c r="CV295" s="12" t="n"/>
      <c r="CW295" s="12" t="n"/>
      <c r="CX295" s="12" t="n"/>
      <c r="CY295" s="12" t="n"/>
    </row>
    <row r="296" hidden="1" outlineLevel="1">
      <c r="C296" s="10" t="inlineStr">
        <is>
          <t>Other current assets</t>
        </is>
      </c>
      <c r="D296" s="12" t="n"/>
      <c r="E296" s="12" t="n"/>
      <c r="F296" s="12" t="n"/>
      <c r="G296" s="12" t="n"/>
      <c r="H296" s="12" t="n"/>
      <c r="I296" s="12" t="n"/>
      <c r="J296" s="12">
        <f>(J167-I167)*-1</f>
        <v>-95.204</v>
      </c>
      <c r="K296" s="12">
        <f>(K167-J167)*-1</f>
        <v>-77.1</v>
      </c>
      <c r="L296" s="12">
        <f>(L167-K167)*-1</f>
        <v>29.189</v>
      </c>
      <c r="M296" s="12" t="n"/>
      <c r="N296" s="12">
        <f>(N167-M167)*-1</f>
        <v>-477.079</v>
      </c>
      <c r="O296" s="12">
        <f>(O167-N167)*-1</f>
        <v>-129.335</v>
      </c>
      <c r="P296" s="12">
        <f>(P167-O167)*-1</f>
        <v>-305.201</v>
      </c>
      <c r="Q296" s="12">
        <f>(Q167-P167)*-1</f>
        <v>-46.6400000000001</v>
      </c>
      <c r="R296" s="12">
        <f>SUM(N296:Q296)</f>
        <v>-958.255</v>
      </c>
      <c r="S296" s="12">
        <f>(S167-R167)*-1</f>
        <v>65.3320000000001</v>
      </c>
      <c r="T296" s="12">
        <f>(T167-S167)*-1</f>
        <v>73.386</v>
      </c>
      <c r="U296" s="12">
        <f>(U167-T167)*-1</f>
        <v>-125.282</v>
      </c>
      <c r="V296" s="12">
        <f>(V167-U167)*-1</f>
        <v>338.538</v>
      </c>
      <c r="W296" s="12">
        <f>SUM(S296:V296)</f>
        <v>351.974</v>
      </c>
      <c r="X296" s="12">
        <f>(X167-W167)*-1</f>
        <v>-488.233</v>
      </c>
      <c r="Y296" s="12">
        <f>(Y167-X167)*-1</f>
        <v>77.2909999999999</v>
      </c>
      <c r="Z296" s="12">
        <f>(Z167-Y167)*-1</f>
        <v>80.8410000000001</v>
      </c>
      <c r="AA296" s="12">
        <f>(AA167-Z167)*-1</f>
        <v>199.141</v>
      </c>
      <c r="AB296" s="12">
        <f>SUM(X296:AA296)</f>
        <v>-130.96</v>
      </c>
      <c r="AC296" s="12">
        <f>(AC167-AB167)*-1</f>
        <v>-814.642</v>
      </c>
      <c r="AD296" s="12">
        <f>(AD167-AC167)*-1</f>
        <v>31.97</v>
      </c>
      <c r="AE296" s="12">
        <f>(AE167-AD167)*-1</f>
        <v>273.405</v>
      </c>
      <c r="AF296" s="12">
        <f>(AF167-AE167)*-1</f>
        <v>784.977</v>
      </c>
      <c r="AG296" s="12">
        <f>SUM(AC296:AF296)</f>
        <v>275.71</v>
      </c>
      <c r="AH296" s="12">
        <f>(AH167-AG167)*-1</f>
        <v>-462.636</v>
      </c>
      <c r="AI296" s="12">
        <f>(AI167-AH167)*-1</f>
        <v>10.1990000000001</v>
      </c>
      <c r="AJ296" s="12">
        <f>(AJ167-AI167)*-1</f>
        <v>0</v>
      </c>
      <c r="AK296" s="12">
        <f>(AK167-AJ167)*-1</f>
        <v>0</v>
      </c>
      <c r="AL296" s="12">
        <f>SUM(AH296:AK296)</f>
        <v>-452.437</v>
      </c>
      <c r="AM296" s="12">
        <f>(AM167-AL167)*-1</f>
        <v>0</v>
      </c>
      <c r="AN296" s="12">
        <f>(AN167-AM167)*-1</f>
        <v>0</v>
      </c>
      <c r="AO296" s="12">
        <f>(AO167-AN167)*-1</f>
        <v>0</v>
      </c>
      <c r="AP296" s="12">
        <f>(AP167-AO167)*-1</f>
        <v>0</v>
      </c>
      <c r="AQ296" s="12">
        <f>SUM(AM296:AP296)</f>
        <v>0</v>
      </c>
      <c r="AR296" s="12">
        <f>(AR167-AQ167)*-1</f>
        <v>0</v>
      </c>
      <c r="AS296" s="12">
        <f>(AS167-AR167)*-1</f>
        <v>0</v>
      </c>
      <c r="AT296" s="12">
        <f>(AT167-AS167)*-1</f>
        <v>0</v>
      </c>
      <c r="AU296" s="12">
        <f>(AU167-AT167)*-1</f>
        <v>0</v>
      </c>
      <c r="AV296" s="12">
        <f>SUM(AR296:AU296)</f>
        <v>0</v>
      </c>
      <c r="AW296" s="12">
        <f>(AW167-AV167)*-1</f>
        <v>0</v>
      </c>
      <c r="AX296" s="12">
        <f>(AX167-AW167)*-1</f>
        <v>0</v>
      </c>
      <c r="AY296" s="12">
        <f>(AY167-AX167)*-1</f>
        <v>0</v>
      </c>
      <c r="AZ296" s="12">
        <f>(AZ167-AY167)*-1</f>
        <v>0</v>
      </c>
      <c r="BA296" s="12">
        <f>SUM(AW296:AZ296)</f>
        <v>0</v>
      </c>
      <c r="BB296" s="12">
        <f>(BB167-BA167)*-1</f>
        <v>0</v>
      </c>
      <c r="BC296" s="12">
        <f>(BC167-BB167)*-1</f>
        <v>0</v>
      </c>
      <c r="BD296" s="12">
        <f>(BD167-BC167)*-1</f>
        <v>0</v>
      </c>
      <c r="BE296" s="12">
        <f>(BE167-BD167)*-1</f>
        <v>0</v>
      </c>
      <c r="BF296" s="12">
        <f>SUM(BB296:BE296)</f>
        <v>0</v>
      </c>
      <c r="BG296" s="12" t="n"/>
      <c r="BH296" s="12" t="n"/>
      <c r="BI296" s="12" t="n"/>
      <c r="BJ296" s="12" t="n"/>
      <c r="BK296" s="12" t="n"/>
      <c r="BL296" s="12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  <c r="CA296" s="12" t="n"/>
      <c r="CB296" s="12" t="n"/>
      <c r="CC296" s="12" t="n"/>
      <c r="CD296" s="12" t="n"/>
      <c r="CE296" s="12" t="n"/>
      <c r="CF296" s="12" t="n"/>
      <c r="CG296" s="12" t="n"/>
      <c r="CH296" s="12" t="n"/>
      <c r="CI296" s="12" t="n"/>
      <c r="CJ296" s="12" t="n"/>
      <c r="CK296" s="12" t="n"/>
      <c r="CL296" s="12" t="n"/>
      <c r="CM296" s="12" t="n"/>
      <c r="CN296" s="12" t="n"/>
      <c r="CO296" s="12" t="n"/>
      <c r="CP296" s="12" t="n"/>
      <c r="CQ296" s="12" t="n"/>
      <c r="CR296" s="12" t="n"/>
      <c r="CS296" s="12" t="n"/>
      <c r="CT296" s="12" t="n"/>
      <c r="CU296" s="12" t="n"/>
      <c r="CV296" s="12" t="n"/>
      <c r="CW296" s="12" t="n"/>
      <c r="CX296" s="12" t="n"/>
      <c r="CY296" s="12" t="n"/>
    </row>
    <row r="297" hidden="1" outlineLevel="1">
      <c r="C297" s="10" t="inlineStr">
        <is>
          <t>Accounts payable</t>
        </is>
      </c>
      <c r="D297" s="12" t="n"/>
      <c r="E297" s="12" t="n"/>
      <c r="F297" s="12" t="n"/>
      <c r="G297" s="12" t="n"/>
      <c r="H297" s="12" t="n"/>
      <c r="I297" s="12" t="n"/>
      <c r="J297" s="12">
        <f>J210-I210</f>
        <v>397.93</v>
      </c>
      <c r="K297" s="12">
        <f>K210-J210</f>
        <v>17.0600000000002</v>
      </c>
      <c r="L297" s="12">
        <f>L210-K210</f>
        <v>956.276</v>
      </c>
      <c r="M297" s="12" t="n"/>
      <c r="N297" s="12">
        <f>N210-M210</f>
        <v>-591.144</v>
      </c>
      <c r="O297" s="12">
        <f>O210-N210</f>
        <v>728.755</v>
      </c>
      <c r="P297" s="12">
        <f>P210-O210</f>
        <v>-800.01</v>
      </c>
      <c r="Q297" s="12">
        <f>Q210-P210</f>
        <v>610.555</v>
      </c>
      <c r="R297" s="12">
        <f>SUM(N297:Q297)</f>
        <v>-51.8440000000001</v>
      </c>
      <c r="S297" s="12">
        <f>S210-R210</f>
        <v>-1201.543</v>
      </c>
      <c r="T297" s="12">
        <f>T210-S210</f>
        <v>-134.788</v>
      </c>
      <c r="U297" s="12">
        <f>U210-T210</f>
        <v>1162.841</v>
      </c>
      <c r="V297" s="12">
        <f>V210-U210</f>
        <v>2659.91</v>
      </c>
      <c r="W297" s="12">
        <f>SUM(S297:V297)</f>
        <v>2486.42</v>
      </c>
      <c r="X297" s="12">
        <f>X210-W210</f>
        <v>-678.471000000001</v>
      </c>
      <c r="Y297" s="12">
        <f>Y210-X210</f>
        <v>-430.88</v>
      </c>
      <c r="Z297" s="12">
        <f>Z210-Y210</f>
        <v>75.8520000000003</v>
      </c>
      <c r="AA297" s="12">
        <f>AA210-Z210</f>
        <v>1600.331</v>
      </c>
      <c r="AB297" s="12">
        <f>SUM(X297:AA297)</f>
        <v>566.831999999999</v>
      </c>
      <c r="AC297" s="12">
        <f>AC210-AB210</f>
        <v>-1820.965</v>
      </c>
      <c r="AD297" s="12">
        <f>AD210-AC210</f>
        <v>984.448</v>
      </c>
      <c r="AE297" s="12">
        <f>AE210-AD210</f>
        <v>-55.7920000000004</v>
      </c>
      <c r="AF297" s="12">
        <f>AF210-AE210</f>
        <v>1428.903</v>
      </c>
      <c r="AG297" s="12">
        <f>SUM(AC297:AF297)</f>
        <v>536.594</v>
      </c>
      <c r="AH297" s="12">
        <f>AH210-AG210</f>
        <v>-828.48</v>
      </c>
      <c r="AI297" s="12">
        <f>AI210-AH210</f>
        <v>425.478</v>
      </c>
      <c r="AJ297" s="12">
        <f>AJ210-AI210</f>
        <v>-217.04571610009</v>
      </c>
      <c r="AK297" s="12">
        <f>AK210-AJ210</f>
        <v>-148.551540791816</v>
      </c>
      <c r="AL297" s="12">
        <f>SUM(AH297:AK297)</f>
        <v>-768.599256891906</v>
      </c>
      <c r="AM297" s="12">
        <f>AM210-AL210</f>
        <v>285.91103601306</v>
      </c>
      <c r="AN297" s="12">
        <f>AN210-AM210</f>
        <v>-79.8532279706869</v>
      </c>
      <c r="AO297" s="12">
        <f>AO210-AN210</f>
        <v>342.677618108854</v>
      </c>
      <c r="AP297" s="12">
        <f>AP210-AO210</f>
        <v>-159.908039045219</v>
      </c>
      <c r="AQ297" s="12">
        <f>SUM(AM297:AP297)</f>
        <v>388.827387106007</v>
      </c>
      <c r="AR297" s="12">
        <f>AR210-AQ210</f>
        <v>217.656550957598</v>
      </c>
      <c r="AS297" s="12">
        <f>AS210-AR210</f>
        <v>-22.3070566610368</v>
      </c>
      <c r="AT297" s="12">
        <f>AT210-AS210</f>
        <v>367.161317916494</v>
      </c>
      <c r="AU297" s="12">
        <f>AU210-AT210</f>
        <v>-171.333180980134</v>
      </c>
      <c r="AV297" s="12">
        <f>SUM(AR297:AU297)</f>
        <v>391.177631232922</v>
      </c>
      <c r="AW297" s="12">
        <f>AW210-AV210</f>
        <v>272.199018944777</v>
      </c>
      <c r="AX297" s="12">
        <f>AX210-AW210</f>
        <v>-91.2438125686304</v>
      </c>
      <c r="AY297" s="12">
        <f>AY210-AX210</f>
        <v>391.558527473271</v>
      </c>
      <c r="AZ297" s="12">
        <f>AZ210-AY210</f>
        <v>-182.717962863264</v>
      </c>
      <c r="BA297" s="12">
        <f>SUM(AW297:AZ297)</f>
        <v>389.795770986154</v>
      </c>
      <c r="BB297" s="12">
        <f>BB210-BA210</f>
        <v>259.594360539633</v>
      </c>
      <c r="BC297" s="12">
        <f>BC210-BB210</f>
        <v>-96.8505808287127</v>
      </c>
      <c r="BD297" s="12">
        <f>BD210-BC210</f>
        <v>415.619095110668</v>
      </c>
      <c r="BE297" s="12">
        <f>BE210-BD210</f>
        <v>-193.94565322263</v>
      </c>
      <c r="BF297" s="12">
        <f>SUM(BB297:BE297)</f>
        <v>384.417221598959</v>
      </c>
      <c r="BG297" s="12" t="n"/>
      <c r="BH297" s="12" t="n"/>
      <c r="BI297" s="12" t="n"/>
      <c r="BJ297" s="12" t="n"/>
      <c r="BK297" s="12" t="n"/>
      <c r="BL297" s="12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  <c r="CA297" s="12" t="n"/>
      <c r="CB297" s="12" t="n"/>
      <c r="CC297" s="12" t="n"/>
      <c r="CD297" s="12" t="n"/>
      <c r="CE297" s="12" t="n"/>
      <c r="CF297" s="12" t="n"/>
      <c r="CG297" s="12" t="n"/>
      <c r="CH297" s="12" t="n"/>
      <c r="CI297" s="12" t="n"/>
      <c r="CJ297" s="12" t="n"/>
      <c r="CK297" s="12" t="n"/>
      <c r="CL297" s="12" t="n"/>
      <c r="CM297" s="12" t="n"/>
      <c r="CN297" s="12" t="n"/>
      <c r="CO297" s="12" t="n"/>
      <c r="CP297" s="12" t="n"/>
      <c r="CQ297" s="12" t="n"/>
      <c r="CR297" s="12" t="n"/>
      <c r="CS297" s="12" t="n"/>
      <c r="CT297" s="12" t="n"/>
      <c r="CU297" s="12" t="n"/>
      <c r="CV297" s="12" t="n"/>
      <c r="CW297" s="12" t="n"/>
      <c r="CX297" s="12" t="n"/>
      <c r="CY297" s="12" t="n"/>
    </row>
    <row r="298" hidden="1" outlineLevel="1">
      <c r="C298" s="10" t="inlineStr">
        <is>
          <t>Accrued expenses</t>
        </is>
      </c>
      <c r="D298" s="12" t="n"/>
      <c r="E298" s="12" t="n"/>
      <c r="F298" s="12" t="n"/>
      <c r="G298" s="12" t="n"/>
      <c r="H298" s="12" t="n"/>
      <c r="I298" s="12" t="n"/>
      <c r="J298" s="12">
        <f>J214-I214</f>
        <v>10.893</v>
      </c>
      <c r="K298" s="12">
        <f>K214-J214</f>
        <v>2.684</v>
      </c>
      <c r="L298" s="12">
        <f>L214-K214</f>
        <v>-6.63199999999999</v>
      </c>
      <c r="M298" s="12" t="n"/>
      <c r="N298" s="12">
        <f>N214-M214</f>
        <v>13.705</v>
      </c>
      <c r="O298" s="12">
        <f>O214-N214</f>
        <v>-4.895</v>
      </c>
      <c r="P298" s="12">
        <f>P214-O214</f>
        <v>17.003</v>
      </c>
      <c r="Q298" s="12">
        <f>Q214-P214</f>
        <v>13.666</v>
      </c>
      <c r="R298" s="12">
        <f>SUM(N298:Q298)</f>
        <v>39.479</v>
      </c>
      <c r="S298" s="12">
        <f>S214-R214</f>
        <v>23.149</v>
      </c>
      <c r="T298" s="12">
        <f>T214-S214</f>
        <v>6.83600000000001</v>
      </c>
      <c r="U298" s="12">
        <f>U214-T214</f>
        <v>15.225</v>
      </c>
      <c r="V298" s="12">
        <f>V214-U214</f>
        <v>3.989</v>
      </c>
      <c r="W298" s="12">
        <f>SUM(S298:V298)</f>
        <v>49.199</v>
      </c>
      <c r="X298" s="12">
        <f>X214-W214</f>
        <v>-13.613</v>
      </c>
      <c r="Y298" s="12">
        <f>Y214-X214</f>
        <v>-21.935</v>
      </c>
      <c r="Z298" s="12">
        <f>Z214-Y214</f>
        <v>-3.616</v>
      </c>
      <c r="AA298" s="12">
        <f>AA214-Z214</f>
        <v>-18.538</v>
      </c>
      <c r="AB298" s="12">
        <f>SUM(X298:AA298)</f>
        <v>-57.702</v>
      </c>
      <c r="AC298" s="12">
        <f>AC214-AB214</f>
        <v>-2.087</v>
      </c>
      <c r="AD298" s="12">
        <f>AD214-AC214</f>
        <v>15.911</v>
      </c>
      <c r="AE298" s="12">
        <f>AE214-AD214</f>
        <v>13.148</v>
      </c>
      <c r="AF298" s="12">
        <f>AF214-AE214</f>
        <v>-10.598</v>
      </c>
      <c r="AG298" s="12">
        <f>SUM(AC298:AF298)</f>
        <v>16.374</v>
      </c>
      <c r="AH298" s="12">
        <f>AH214-AG214</f>
        <v>12.981</v>
      </c>
      <c r="AI298" s="12">
        <f>AI214-AH214</f>
        <v>-0.896000000000001</v>
      </c>
      <c r="AJ298" s="12">
        <f>AJ214-AI214</f>
        <v>9.66397015848713</v>
      </c>
      <c r="AK298" s="12">
        <f>AK214-AJ214</f>
        <v>10.4027633048983</v>
      </c>
      <c r="AL298" s="12">
        <f>SUM(AH298:AK298)</f>
        <v>32.1517334633855</v>
      </c>
      <c r="AM298" s="12">
        <f>AM214-AL214</f>
        <v>11.1980358592788</v>
      </c>
      <c r="AN298" s="12">
        <f>AN214-AM214</f>
        <v>12.0541055708389</v>
      </c>
      <c r="AO298" s="12">
        <f>AO214-AN214</f>
        <v>12.9756202729545</v>
      </c>
      <c r="AP298" s="12">
        <f>AP214-AO214</f>
        <v>13.967583117508</v>
      </c>
      <c r="AQ298" s="12">
        <f>SUM(AM298:AP298)</f>
        <v>50.1953448205802</v>
      </c>
      <c r="AR298" s="12">
        <f>AR214-AQ214</f>
        <v>14.0520093469295</v>
      </c>
      <c r="AS298" s="12">
        <f>AS214-AR214</f>
        <v>15.0560001545086</v>
      </c>
      <c r="AT298" s="12">
        <f>AT214-AS214</f>
        <v>16.1317243004891</v>
      </c>
      <c r="AU298" s="12">
        <f>AU214-AT214</f>
        <v>17.2843070029501</v>
      </c>
      <c r="AV298" s="12">
        <f>SUM(AR298:AU298)</f>
        <v>62.5240408048772</v>
      </c>
      <c r="AW298" s="12">
        <f>AW214-AV214</f>
        <v>17.2232490721449</v>
      </c>
      <c r="AX298" s="12">
        <f>AX214-AW214</f>
        <v>18.3677030120266</v>
      </c>
      <c r="AY298" s="12">
        <f>AY214-AX214</f>
        <v>19.5882038589131</v>
      </c>
      <c r="AZ298" s="12">
        <f>AZ214-AY214</f>
        <v>20.889804793071</v>
      </c>
      <c r="BA298" s="12">
        <f>SUM(AW298:AZ298)</f>
        <v>76.0689607361556</v>
      </c>
      <c r="BB298" s="12">
        <f>BB214-BA214</f>
        <v>20.6015593703869</v>
      </c>
      <c r="BC298" s="12">
        <f>BC214-BB214</f>
        <v>21.867488159796</v>
      </c>
      <c r="BD298" s="12">
        <f>BD214-BC214</f>
        <v>23.2112059976476</v>
      </c>
      <c r="BE298" s="12">
        <f>BE214-BD214</f>
        <v>24.6374928811329</v>
      </c>
      <c r="BF298" s="12">
        <f>SUM(BB298:BE298)</f>
        <v>90.3177464089633</v>
      </c>
      <c r="BG298" s="12" t="n"/>
      <c r="BH298" s="12" t="n"/>
      <c r="BI298" s="12" t="n"/>
      <c r="BJ298" s="12" t="n"/>
      <c r="BK298" s="12" t="n"/>
      <c r="BL298" s="12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  <c r="CA298" s="12" t="n"/>
      <c r="CB298" s="12" t="n"/>
      <c r="CC298" s="12" t="n"/>
      <c r="CD298" s="12" t="n"/>
      <c r="CE298" s="12" t="n"/>
      <c r="CF298" s="12" t="n"/>
      <c r="CG298" s="12" t="n"/>
      <c r="CH298" s="12" t="n"/>
      <c r="CI298" s="12" t="n"/>
      <c r="CJ298" s="12" t="n"/>
      <c r="CK298" s="12" t="n"/>
      <c r="CL298" s="12" t="n"/>
      <c r="CM298" s="12" t="n"/>
      <c r="CN298" s="12" t="n"/>
      <c r="CO298" s="12" t="n"/>
      <c r="CP298" s="12" t="n"/>
      <c r="CQ298" s="12" t="n"/>
      <c r="CR298" s="12" t="n"/>
      <c r="CS298" s="12" t="n"/>
      <c r="CT298" s="12" t="n"/>
      <c r="CU298" s="12" t="n"/>
      <c r="CV298" s="12" t="n"/>
      <c r="CW298" s="12" t="n"/>
      <c r="CX298" s="12" t="n"/>
      <c r="CY298" s="12" t="n"/>
    </row>
    <row r="299" hidden="1" outlineLevel="1">
      <c r="C299" s="10" t="inlineStr">
        <is>
          <t>Taxes payable</t>
        </is>
      </c>
      <c r="D299" s="12" t="n"/>
      <c r="E299" s="12" t="n"/>
      <c r="F299" s="12" t="n"/>
      <c r="G299" s="12" t="n"/>
      <c r="H299" s="12" t="n"/>
      <c r="I299" s="12" t="n"/>
      <c r="J299" s="12">
        <f>J216-I216</f>
        <v>5.805</v>
      </c>
      <c r="K299" s="12">
        <f>K216-J216</f>
        <v>1.637</v>
      </c>
      <c r="L299" s="12">
        <f>L216-K216</f>
        <v>2.502</v>
      </c>
      <c r="M299" s="12" t="n"/>
      <c r="N299" s="12">
        <f>N216-M216</f>
        <v>0.547000000000001</v>
      </c>
      <c r="O299" s="12">
        <f>O216-N216</f>
        <v>16.251</v>
      </c>
      <c r="P299" s="12">
        <f>P216-O216</f>
        <v>-16.37</v>
      </c>
      <c r="Q299" s="12">
        <f>Q216-P216</f>
        <v>39.071</v>
      </c>
      <c r="R299" s="12">
        <f>SUM(N299:Q299)</f>
        <v>39.499</v>
      </c>
      <c r="S299" s="12">
        <f>S216-R216</f>
        <v>-25.981</v>
      </c>
      <c r="T299" s="12">
        <f>T216-S216</f>
        <v>-4.079</v>
      </c>
      <c r="U299" s="12">
        <f>U216-T216</f>
        <v>20.073</v>
      </c>
      <c r="V299" s="12">
        <f>V216-U216</f>
        <v>17.028</v>
      </c>
      <c r="W299" s="12">
        <f>SUM(S299:V299)</f>
        <v>7.041</v>
      </c>
      <c r="X299" s="12">
        <f>X216-W216</f>
        <v>31.783</v>
      </c>
      <c r="Y299" s="12">
        <f>Y216-X216</f>
        <v>-32.092</v>
      </c>
      <c r="Z299" s="12">
        <f>Z216-Y216</f>
        <v>48.736</v>
      </c>
      <c r="AA299" s="12">
        <f>AA216-Z216</f>
        <v>12.707</v>
      </c>
      <c r="AB299" s="12">
        <f>SUM(X299:AA299)</f>
        <v>61.134</v>
      </c>
      <c r="AC299" s="12">
        <f>AC216-AB216</f>
        <v>-1.559</v>
      </c>
      <c r="AD299" s="12">
        <f>AD216-AC216</f>
        <v>-11.291</v>
      </c>
      <c r="AE299" s="12">
        <f>AE216-AD216</f>
        <v>-10.823</v>
      </c>
      <c r="AF299" s="12">
        <f>AF216-AE216</f>
        <v>54.906</v>
      </c>
      <c r="AG299" s="12">
        <f>SUM(AC299:AF299)</f>
        <v>31.233</v>
      </c>
      <c r="AH299" s="12">
        <f>AH216-AG216</f>
        <v>-46.937</v>
      </c>
      <c r="AI299" s="12">
        <f>AI216-AH216</f>
        <v>-31.137</v>
      </c>
      <c r="AJ299" s="12">
        <f>AJ216-AI216</f>
        <v>6.54893525635858</v>
      </c>
      <c r="AK299" s="12">
        <f>AK216-AJ216</f>
        <v>7.04958958417012</v>
      </c>
      <c r="AL299" s="12">
        <f>SUM(AH299:AK299)</f>
        <v>-64.4754751594713</v>
      </c>
      <c r="AM299" s="12">
        <f>AM216-AL216</f>
        <v>7.58851803535357</v>
      </c>
      <c r="AN299" s="12">
        <f>AN216-AM216</f>
        <v>8.16864659783813</v>
      </c>
      <c r="AO299" s="12">
        <f>AO216-AN216</f>
        <v>8.79312494607038</v>
      </c>
      <c r="AP299" s="12">
        <f>AP216-AO216</f>
        <v>9.4653435414464</v>
      </c>
      <c r="AQ299" s="12">
        <f>SUM(AM299:AP299)</f>
        <v>34.0156331207085</v>
      </c>
      <c r="AR299" s="12">
        <f>AR216-AQ216</f>
        <v>9.52255625023503</v>
      </c>
      <c r="AS299" s="12">
        <f>AS216-AR216</f>
        <v>10.2029257763185</v>
      </c>
      <c r="AT299" s="12">
        <f>AT216-AS216</f>
        <v>10.9319064819906</v>
      </c>
      <c r="AU299" s="12">
        <f>AU216-AT216</f>
        <v>11.7129715486482</v>
      </c>
      <c r="AV299" s="12">
        <f>SUM(AR299:AU299)</f>
        <v>42.3703600571924</v>
      </c>
      <c r="AW299" s="12">
        <f>AW216-AV216</f>
        <v>11.6715947201634</v>
      </c>
      <c r="AX299" s="12">
        <f>AX216-AW216</f>
        <v>12.4471512081547</v>
      </c>
      <c r="AY299" s="12">
        <f>AY216-AX216</f>
        <v>13.2742420306125</v>
      </c>
      <c r="AZ299" s="12">
        <f>AZ216-AY216</f>
        <v>14.1562915514225</v>
      </c>
      <c r="BA299" s="12">
        <f>SUM(AW299:AZ299)</f>
        <v>51.5492795103532</v>
      </c>
      <c r="BB299" s="12">
        <f>BB216-BA216</f>
        <v>13.9609576896513</v>
      </c>
      <c r="BC299" s="12">
        <f>BC216-BB216</f>
        <v>14.8188334430981</v>
      </c>
      <c r="BD299" s="12">
        <f>BD216-BC216</f>
        <v>15.7294241194545</v>
      </c>
      <c r="BE299" s="12">
        <f>BE216-BD216</f>
        <v>16.6959689559714</v>
      </c>
      <c r="BF299" s="12">
        <f>SUM(BB299:BE299)</f>
        <v>61.2051842081752</v>
      </c>
      <c r="BG299" s="12" t="n"/>
      <c r="BH299" s="12" t="n"/>
      <c r="BI299" s="12" t="n"/>
      <c r="BJ299" s="12" t="n"/>
      <c r="BK299" s="12" t="n"/>
      <c r="BL299" s="12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  <c r="CA299" s="12" t="n"/>
      <c r="CB299" s="12" t="n"/>
      <c r="CC299" s="12" t="n"/>
      <c r="CD299" s="12" t="n"/>
      <c r="CE299" s="12" t="n"/>
      <c r="CF299" s="12" t="n"/>
      <c r="CG299" s="12" t="n"/>
      <c r="CH299" s="12" t="n"/>
      <c r="CI299" s="12" t="n"/>
      <c r="CJ299" s="12" t="n"/>
      <c r="CK299" s="12" t="n"/>
      <c r="CL299" s="12" t="n"/>
      <c r="CM299" s="12" t="n"/>
      <c r="CN299" s="12" t="n"/>
      <c r="CO299" s="12" t="n"/>
      <c r="CP299" s="12" t="n"/>
      <c r="CQ299" s="12" t="n"/>
      <c r="CR299" s="12" t="n"/>
      <c r="CS299" s="12" t="n"/>
      <c r="CT299" s="12" t="n"/>
      <c r="CU299" s="12" t="n"/>
      <c r="CV299" s="12" t="n"/>
      <c r="CW299" s="12" t="n"/>
      <c r="CX299" s="12" t="n"/>
      <c r="CY299" s="12" t="n"/>
    </row>
    <row r="300" hidden="1" outlineLevel="1">
      <c r="C300" s="10" t="inlineStr">
        <is>
          <t>Other current liabilities (non-debt)</t>
        </is>
      </c>
      <c r="D300" s="12" t="n"/>
      <c r="E300" s="12" t="n"/>
      <c r="F300" s="12" t="n"/>
      <c r="G300" s="12" t="n"/>
      <c r="H300" s="12" t="n"/>
      <c r="I300" s="12" t="n"/>
      <c r="J300" s="12">
        <f>J217-I217</f>
        <v>35.343</v>
      </c>
      <c r="K300" s="12">
        <f>K217-J217</f>
        <v>12.315</v>
      </c>
      <c r="L300" s="12">
        <f>L217-K217</f>
        <v>352.253</v>
      </c>
      <c r="M300" s="12" t="n"/>
      <c r="N300" s="12">
        <f>N217-M217</f>
        <v>166.621</v>
      </c>
      <c r="O300" s="12">
        <f>O217-N217</f>
        <v>26.846</v>
      </c>
      <c r="P300" s="12">
        <f>P217-O217</f>
        <v>74.107</v>
      </c>
      <c r="Q300" s="12">
        <f>Q217-P217</f>
        <v>523.307</v>
      </c>
      <c r="R300" s="12">
        <f>SUM(N300:Q300)</f>
        <v>790.881</v>
      </c>
      <c r="S300" s="12">
        <f>S217-R217</f>
        <v>-56.0220000000002</v>
      </c>
      <c r="T300" s="12">
        <f>T217-S217</f>
        <v>-388.791</v>
      </c>
      <c r="U300" s="12">
        <f>U217-T217</f>
        <v>-191.644</v>
      </c>
      <c r="V300" s="12">
        <f>V217-U217</f>
        <v>393.956</v>
      </c>
      <c r="W300" s="12">
        <f>SUM(S300:V300)</f>
        <v>-242.501</v>
      </c>
      <c r="X300" s="12">
        <f>X217-W217</f>
        <v>765.534</v>
      </c>
      <c r="Y300" s="12">
        <f>Y217-X217</f>
        <v>106.448</v>
      </c>
      <c r="Z300" s="12">
        <f>Z217-Y217</f>
        <v>-505.496</v>
      </c>
      <c r="AA300" s="12">
        <f>AA217-Z217</f>
        <v>-202.388</v>
      </c>
      <c r="AB300" s="12">
        <f>SUM(X300:AA300)</f>
        <v>164.098</v>
      </c>
      <c r="AC300" s="12">
        <f>AC217-AB217</f>
        <v>659.463</v>
      </c>
      <c r="AD300" s="12">
        <f>AD217-AC217</f>
        <v>-237.013</v>
      </c>
      <c r="AE300" s="12">
        <f>AE217-AD217</f>
        <v>406.827</v>
      </c>
      <c r="AF300" s="12">
        <f>AF217-AE217</f>
        <v>107.625</v>
      </c>
      <c r="AG300" s="12">
        <f>SUM(AC300:AF300)</f>
        <v>936.902</v>
      </c>
      <c r="AH300" s="12">
        <f>AH217-AG217</f>
        <v>-226.087</v>
      </c>
      <c r="AI300" s="12">
        <f>AI217-AH217</f>
        <v>-174.843</v>
      </c>
      <c r="AJ300" s="12">
        <f>AJ217-AI217</f>
        <v>0</v>
      </c>
      <c r="AK300" s="12">
        <f>AK217-AJ217</f>
        <v>0</v>
      </c>
      <c r="AL300" s="12">
        <f>SUM(AH300:AK300)</f>
        <v>-400.93</v>
      </c>
      <c r="AM300" s="12">
        <f>AM217-AL217</f>
        <v>0</v>
      </c>
      <c r="AN300" s="12">
        <f>AN217-AM217</f>
        <v>0</v>
      </c>
      <c r="AO300" s="12">
        <f>AO217-AN217</f>
        <v>0</v>
      </c>
      <c r="AP300" s="12">
        <f>AP217-AO217</f>
        <v>0</v>
      </c>
      <c r="AQ300" s="12">
        <f>SUM(AM300:AP300)</f>
        <v>0</v>
      </c>
      <c r="AR300" s="12">
        <f>AR217-AQ217</f>
        <v>0</v>
      </c>
      <c r="AS300" s="12">
        <f>AS217-AR217</f>
        <v>0</v>
      </c>
      <c r="AT300" s="12">
        <f>AT217-AS217</f>
        <v>0</v>
      </c>
      <c r="AU300" s="12">
        <f>AU217-AT217</f>
        <v>0</v>
      </c>
      <c r="AV300" s="12">
        <f>SUM(AR300:AU300)</f>
        <v>0</v>
      </c>
      <c r="AW300" s="12">
        <f>AW217-AV217</f>
        <v>0</v>
      </c>
      <c r="AX300" s="12">
        <f>AX217-AW217</f>
        <v>0</v>
      </c>
      <c r="AY300" s="12">
        <f>AY217-AX217</f>
        <v>0</v>
      </c>
      <c r="AZ300" s="12">
        <f>AZ217-AY217</f>
        <v>0</v>
      </c>
      <c r="BA300" s="12">
        <f>SUM(AW300:AZ300)</f>
        <v>0</v>
      </c>
      <c r="BB300" s="12">
        <f>BB217-BA217</f>
        <v>0</v>
      </c>
      <c r="BC300" s="12">
        <f>BC217-BB217</f>
        <v>0</v>
      </c>
      <c r="BD300" s="12">
        <f>BD217-BC217</f>
        <v>0</v>
      </c>
      <c r="BE300" s="12">
        <f>BE217-BD217</f>
        <v>0</v>
      </c>
      <c r="BF300" s="12">
        <f>SUM(BB300:BE300)</f>
        <v>0</v>
      </c>
      <c r="BG300" s="12" t="n"/>
      <c r="BH300" s="12" t="n"/>
      <c r="BI300" s="12" t="n"/>
      <c r="BJ300" s="12" t="n"/>
      <c r="BK300" s="12" t="n"/>
      <c r="BL300" s="12" t="n"/>
      <c r="BM300" s="12" t="n"/>
      <c r="BN300" s="12" t="n"/>
      <c r="BO300" s="12" t="n"/>
      <c r="BP300" s="12" t="n"/>
      <c r="BQ300" s="12" t="n"/>
      <c r="BR300" s="12" t="n"/>
      <c r="BS300" s="12" t="n"/>
      <c r="BT300" s="12" t="n"/>
      <c r="BU300" s="12" t="n"/>
      <c r="BV300" s="12" t="n"/>
      <c r="BW300" s="12" t="n"/>
      <c r="BX300" s="12" t="n"/>
      <c r="BY300" s="12" t="n"/>
      <c r="BZ300" s="12" t="n"/>
      <c r="CA300" s="12" t="n"/>
      <c r="CB300" s="12" t="n"/>
      <c r="CC300" s="12" t="n"/>
      <c r="CD300" s="12" t="n"/>
      <c r="CE300" s="12" t="n"/>
      <c r="CF300" s="12" t="n"/>
      <c r="CG300" s="12" t="n"/>
      <c r="CH300" s="12" t="n"/>
      <c r="CI300" s="12" t="n"/>
      <c r="CJ300" s="12" t="n"/>
      <c r="CK300" s="12" t="n"/>
      <c r="CL300" s="12" t="n"/>
      <c r="CM300" s="12" t="n"/>
      <c r="CN300" s="12" t="n"/>
      <c r="CO300" s="12" t="n"/>
      <c r="CP300" s="12" t="n"/>
      <c r="CQ300" s="12" t="n"/>
      <c r="CR300" s="12" t="n"/>
      <c r="CS300" s="12" t="n"/>
      <c r="CT300" s="12" t="n"/>
      <c r="CU300" s="12" t="n"/>
      <c r="CV300" s="12" t="n"/>
      <c r="CW300" s="12" t="n"/>
      <c r="CX300" s="12" t="n"/>
      <c r="CY300" s="12" t="n"/>
    </row>
    <row r="301" hidden="1" outlineLevel="1">
      <c r="C301" s="10" t="inlineStr">
        <is>
          <t>Deferred income taxes</t>
        </is>
      </c>
      <c r="D301" s="12" t="n"/>
      <c r="E301" s="12" t="n"/>
      <c r="F301" s="12" t="n"/>
      <c r="G301" s="12" t="n"/>
      <c r="H301" s="12" t="n"/>
      <c r="I301" s="12" t="n"/>
      <c r="J301" s="12">
        <f>J251-I251</f>
        <v>101.811</v>
      </c>
      <c r="K301" s="12">
        <f>K251-J251</f>
        <v>133.609</v>
      </c>
      <c r="L301" s="12">
        <f>L251-K251</f>
        <v>62.246</v>
      </c>
      <c r="M301" s="12" t="n"/>
      <c r="N301" s="12">
        <f>N251-M251</f>
        <v>0.418999999999983</v>
      </c>
      <c r="O301" s="12">
        <f>O251-N251</f>
        <v>26.481</v>
      </c>
      <c r="P301" s="12">
        <f>P251-O251</f>
        <v>11.5939999999999</v>
      </c>
      <c r="Q301" s="12">
        <f>Q251-P251</f>
        <v>22.351</v>
      </c>
      <c r="R301" s="12">
        <f>SUM(N301:Q301)</f>
        <v>60.8449999999999</v>
      </c>
      <c r="S301" s="12">
        <f>S251-R251</f>
        <v>152.994</v>
      </c>
      <c r="T301" s="12">
        <f>T251-S251</f>
        <v>65.115</v>
      </c>
      <c r="U301" s="12">
        <f>U251-T251</f>
        <v>-15.352</v>
      </c>
      <c r="V301" s="12">
        <f>V251-U251</f>
        <v>-34.14</v>
      </c>
      <c r="W301" s="12">
        <f>SUM(S301:V301)</f>
        <v>168.617</v>
      </c>
      <c r="X301" s="12">
        <f>X251-W251</f>
        <v>0.708999999999946</v>
      </c>
      <c r="Y301" s="12">
        <f>Y251-X251</f>
        <v>80.557</v>
      </c>
      <c r="Z301" s="12">
        <f>Z251-Y251</f>
        <v>75.544</v>
      </c>
      <c r="AA301" s="12">
        <f>AA251-Z251</f>
        <v>-617.912</v>
      </c>
      <c r="AB301" s="12">
        <f>SUM(X301:AA301)</f>
        <v>-461.102</v>
      </c>
      <c r="AC301" s="12">
        <f>AC251-AB251</f>
        <v>11.998</v>
      </c>
      <c r="AD301" s="12">
        <f>AD251-AC251</f>
        <v>25.738</v>
      </c>
      <c r="AE301" s="12">
        <f>AE251-AD251</f>
        <v>36.477</v>
      </c>
      <c r="AF301" s="12">
        <f>AF251-AE251</f>
        <v>161.319</v>
      </c>
      <c r="AG301" s="12">
        <f>SUM(AC301:AF301)</f>
        <v>235.532</v>
      </c>
      <c r="AH301" s="12">
        <f>AH251-AG251</f>
        <v>28.6710000000001</v>
      </c>
      <c r="AI301" s="12">
        <f>AI251-AH251</f>
        <v>26.832</v>
      </c>
      <c r="AJ301" s="12">
        <f>AJ251-AI251</f>
        <v>0</v>
      </c>
      <c r="AK301" s="12">
        <f>AK251-AJ251</f>
        <v>0</v>
      </c>
      <c r="AL301" s="12">
        <f>SUM(AH301:AK301)</f>
        <v>55.503</v>
      </c>
      <c r="AM301" s="12">
        <f>AM251-AL251</f>
        <v>0</v>
      </c>
      <c r="AN301" s="12">
        <f>AN251-AM251</f>
        <v>0</v>
      </c>
      <c r="AO301" s="12">
        <f>AO251-AN251</f>
        <v>0</v>
      </c>
      <c r="AP301" s="12">
        <f>AP251-AO251</f>
        <v>0</v>
      </c>
      <c r="AQ301" s="12">
        <f>SUM(AM301:AP301)</f>
        <v>0</v>
      </c>
      <c r="AR301" s="12">
        <f>AR251-AQ251</f>
        <v>0</v>
      </c>
      <c r="AS301" s="12">
        <f>AS251-AR251</f>
        <v>0</v>
      </c>
      <c r="AT301" s="12">
        <f>AT251-AS251</f>
        <v>0</v>
      </c>
      <c r="AU301" s="12">
        <f>AU251-AT251</f>
        <v>0</v>
      </c>
      <c r="AV301" s="12">
        <f>SUM(AR301:AU301)</f>
        <v>0</v>
      </c>
      <c r="AW301" s="12">
        <f>AW251-AV251</f>
        <v>0</v>
      </c>
      <c r="AX301" s="12">
        <f>AX251-AW251</f>
        <v>0</v>
      </c>
      <c r="AY301" s="12">
        <f>AY251-AX251</f>
        <v>0</v>
      </c>
      <c r="AZ301" s="12">
        <f>AZ251-AY251</f>
        <v>0</v>
      </c>
      <c r="BA301" s="12">
        <f>SUM(AW301:AZ301)</f>
        <v>0</v>
      </c>
      <c r="BB301" s="12">
        <f>BB251-BA251</f>
        <v>0</v>
      </c>
      <c r="BC301" s="12">
        <f>BC251-BB251</f>
        <v>0</v>
      </c>
      <c r="BD301" s="12">
        <f>BD251-BC251</f>
        <v>0</v>
      </c>
      <c r="BE301" s="12">
        <f>BE251-BD251</f>
        <v>0</v>
      </c>
      <c r="BF301" s="12">
        <f>SUM(BB301:BE301)</f>
        <v>0</v>
      </c>
      <c r="BG301" s="12" t="n"/>
      <c r="BH301" s="12" t="n"/>
      <c r="BI301" s="12" t="n"/>
      <c r="BJ301" s="12" t="n"/>
      <c r="BK301" s="12" t="n"/>
      <c r="BL301" s="12" t="n"/>
      <c r="BM301" s="12" t="n"/>
      <c r="BN301" s="12" t="n"/>
      <c r="BO301" s="12" t="n"/>
      <c r="BP301" s="12" t="n"/>
      <c r="BQ301" s="12" t="n"/>
      <c r="BR301" s="12" t="n"/>
      <c r="BS301" s="12" t="n"/>
      <c r="BT301" s="12" t="n"/>
      <c r="BU301" s="12" t="n"/>
      <c r="BV301" s="12" t="n"/>
      <c r="BW301" s="12" t="n"/>
      <c r="BX301" s="12" t="n"/>
      <c r="BY301" s="12" t="n"/>
      <c r="BZ301" s="12" t="n"/>
      <c r="CA301" s="12" t="n"/>
      <c r="CB301" s="12" t="n"/>
      <c r="CC301" s="12" t="n"/>
      <c r="CD301" s="12" t="n"/>
      <c r="CE301" s="12" t="n"/>
      <c r="CF301" s="12" t="n"/>
      <c r="CG301" s="12" t="n"/>
      <c r="CH301" s="12" t="n"/>
      <c r="CI301" s="12" t="n"/>
      <c r="CJ301" s="12" t="n"/>
      <c r="CK301" s="12" t="n"/>
      <c r="CL301" s="12" t="n"/>
      <c r="CM301" s="12" t="n"/>
      <c r="CN301" s="12" t="n"/>
      <c r="CO301" s="12" t="n"/>
      <c r="CP301" s="12" t="n"/>
      <c r="CQ301" s="12" t="n"/>
      <c r="CR301" s="12" t="n"/>
      <c r="CS301" s="12" t="n"/>
      <c r="CT301" s="12" t="n"/>
      <c r="CU301" s="12" t="n"/>
      <c r="CV301" s="12" t="n"/>
      <c r="CW301" s="12" t="n"/>
      <c r="CX301" s="12" t="n"/>
      <c r="CY301" s="12" t="n"/>
    </row>
    <row r="302" collapsed="1">
      <c r="C302" s="10" t="inlineStr">
        <is>
          <t>Equity income in affiliates</t>
        </is>
      </c>
      <c r="D302" s="12" t="n"/>
      <c r="E302" s="12" t="n"/>
      <c r="F302" s="12" t="n"/>
      <c r="G302" s="12" t="n"/>
      <c r="H302" s="12" t="n"/>
      <c r="I302" s="12" t="n"/>
      <c r="J302" s="12">
        <f>(J173-I173)*-1</f>
        <v>-0.156</v>
      </c>
      <c r="K302" s="12">
        <f>(K173-J173)*-1</f>
        <v>0.939</v>
      </c>
      <c r="L302" s="12">
        <f>(L173-K173)*-1</f>
        <v>0.0109999999999999</v>
      </c>
      <c r="M302" s="12" t="n"/>
      <c r="N302" s="12">
        <f>(N173-M173)*-1</f>
        <v>0.00300000000000011</v>
      </c>
      <c r="O302" s="12">
        <f>(O173-N173)*-1</f>
        <v>0.0489999999999999</v>
      </c>
      <c r="P302" s="12">
        <f>(P173-O173)*-1</f>
        <v>0.032</v>
      </c>
      <c r="Q302" s="12">
        <f>(Q173-P173)*-1</f>
        <v>0.00499999999999989</v>
      </c>
      <c r="R302" s="12">
        <f>SUM(N302:Q302)</f>
        <v>0.089</v>
      </c>
      <c r="S302" s="12">
        <f>(S173-R173)*-1</f>
        <v>0.00800000000000001</v>
      </c>
      <c r="T302" s="12">
        <f>(T173-S173)*-1</f>
        <v>-0.0189999999999999</v>
      </c>
      <c r="U302" s="12">
        <f>(U173-T173)*-1</f>
        <v>0.437</v>
      </c>
      <c r="V302" s="12">
        <f>(V173-U173)*-1</f>
        <v>-0.466</v>
      </c>
      <c r="W302" s="12">
        <f>SUM(S302:V302)</f>
        <v>-0.0399999999999998</v>
      </c>
      <c r="X302" s="12">
        <f>(X173-W173)*-1</f>
        <v>0.53</v>
      </c>
      <c r="Y302" s="12">
        <f>(Y173-X173)*-1</f>
        <v>0.023</v>
      </c>
      <c r="Z302" s="12">
        <f>(Z173-Y173)*-1</f>
        <v>0.0269999999999999</v>
      </c>
      <c r="AA302" s="12">
        <f>(AA173-Z173)*-1</f>
        <v>0</v>
      </c>
      <c r="AB302" s="12">
        <f>SUM(X302:AA302)</f>
        <v>0.58</v>
      </c>
      <c r="AC302" s="12">
        <f>(AC173-AB173)*-1</f>
        <v>0</v>
      </c>
      <c r="AD302" s="12">
        <f>(AD173-AC173)*-1</f>
        <v>0.562</v>
      </c>
      <c r="AE302" s="12">
        <f>(AE173-AD173)*-1</f>
        <v>-18.175</v>
      </c>
      <c r="AF302" s="12">
        <f>(AF173-AE173)*-1</f>
        <v>-1.522</v>
      </c>
      <c r="AG302" s="12">
        <f>SUM(AC302:AF302)</f>
        <v>-19.135</v>
      </c>
      <c r="AH302" s="12">
        <f>(AH173-AG173)*-1</f>
        <v>-0.390000000000001</v>
      </c>
      <c r="AI302" s="12">
        <f>(AI173-AH173)*-1</f>
        <v>-18.613</v>
      </c>
      <c r="AJ302" s="12">
        <f>(AJ173-AI173)*-1</f>
        <v>0</v>
      </c>
      <c r="AK302" s="12">
        <f>(AK173-AJ173)*-1</f>
        <v>0</v>
      </c>
      <c r="AL302" s="12">
        <f>SUM(AH302:AK302)</f>
        <v>-19.003</v>
      </c>
      <c r="AM302" s="12">
        <f>(AM173-AL173)*-1</f>
        <v>0</v>
      </c>
      <c r="AN302" s="12">
        <f>(AN173-AM173)*-1</f>
        <v>0</v>
      </c>
      <c r="AO302" s="12">
        <f>(AO173-AN173)*-1</f>
        <v>0</v>
      </c>
      <c r="AP302" s="12">
        <f>(AP173-AO173)*-1</f>
        <v>0</v>
      </c>
      <c r="AQ302" s="12">
        <f>SUM(AM302:AP302)</f>
        <v>0</v>
      </c>
      <c r="AR302" s="12">
        <f>(AR173-AQ173)*-1</f>
        <v>0</v>
      </c>
      <c r="AS302" s="12">
        <f>(AS173-AR173)*-1</f>
        <v>0</v>
      </c>
      <c r="AT302" s="12">
        <f>(AT173-AS173)*-1</f>
        <v>0</v>
      </c>
      <c r="AU302" s="12">
        <f>(AU173-AT173)*-1</f>
        <v>0</v>
      </c>
      <c r="AV302" s="12">
        <f>SUM(AR302:AU302)</f>
        <v>0</v>
      </c>
      <c r="AW302" s="12">
        <f>(AW173-AV173)*-1</f>
        <v>0</v>
      </c>
      <c r="AX302" s="12">
        <f>(AX173-AW173)*-1</f>
        <v>0</v>
      </c>
      <c r="AY302" s="12">
        <f>(AY173-AX173)*-1</f>
        <v>0</v>
      </c>
      <c r="AZ302" s="12">
        <f>(AZ173-AY173)*-1</f>
        <v>0</v>
      </c>
      <c r="BA302" s="12">
        <f>SUM(AW302:AZ302)</f>
        <v>0</v>
      </c>
      <c r="BB302" s="12">
        <f>(BB173-BA173)*-1</f>
        <v>0</v>
      </c>
      <c r="BC302" s="12">
        <f>(BC173-BB173)*-1</f>
        <v>0</v>
      </c>
      <c r="BD302" s="12">
        <f>(BD173-BC173)*-1</f>
        <v>0</v>
      </c>
      <c r="BE302" s="12">
        <f>(BE173-BD173)*-1</f>
        <v>0</v>
      </c>
      <c r="BF302" s="12">
        <f>SUM(BB302:BE302)</f>
        <v>0</v>
      </c>
      <c r="BG302" s="12" t="n"/>
      <c r="BH302" s="12" t="n"/>
      <c r="BI302" s="12" t="n"/>
      <c r="BJ302" s="12" t="n"/>
      <c r="BK302" s="12" t="n"/>
      <c r="BL302" s="12" t="n"/>
      <c r="BM302" s="12" t="n"/>
      <c r="BN302" s="12" t="n"/>
      <c r="BO302" s="12" t="n"/>
      <c r="BP302" s="12" t="n"/>
      <c r="BQ302" s="12" t="n"/>
      <c r="BR302" s="12" t="n"/>
      <c r="BS302" s="12" t="n"/>
      <c r="BT302" s="12" t="n"/>
      <c r="BU302" s="12" t="n"/>
      <c r="BV302" s="12" t="n"/>
      <c r="BW302" s="12" t="n"/>
      <c r="BX302" s="12" t="n"/>
      <c r="BY302" s="12" t="n"/>
      <c r="BZ302" s="12" t="n"/>
      <c r="CA302" s="12" t="n"/>
      <c r="CB302" s="12" t="n"/>
      <c r="CC302" s="12" t="n"/>
      <c r="CD302" s="12" t="n"/>
      <c r="CE302" s="12" t="n"/>
      <c r="CF302" s="12" t="n"/>
      <c r="CG302" s="12" t="n"/>
      <c r="CH302" s="12" t="n"/>
      <c r="CI302" s="12" t="n"/>
      <c r="CJ302" s="12" t="n"/>
      <c r="CK302" s="12" t="n"/>
      <c r="CL302" s="12" t="n"/>
      <c r="CM302" s="12" t="n"/>
      <c r="CN302" s="12" t="n"/>
      <c r="CO302" s="12" t="n"/>
      <c r="CP302" s="12" t="n"/>
      <c r="CQ302" s="12" t="n"/>
      <c r="CR302" s="12" t="n"/>
      <c r="CS302" s="12" t="n"/>
      <c r="CT302" s="12" t="n"/>
      <c r="CU302" s="12" t="n"/>
      <c r="CV302" s="12" t="n"/>
      <c r="CW302" s="12" t="n"/>
      <c r="CX302" s="12" t="n"/>
      <c r="CY302" s="12" t="n"/>
    </row>
    <row r="303">
      <c r="C303" s="10" t="inlineStr">
        <is>
          <t>Dividends received from affiliates</t>
        </is>
      </c>
      <c r="D303" s="12" t="n"/>
      <c r="E303" s="12" t="n"/>
      <c r="F303" s="12" t="n"/>
      <c r="G303" s="12" t="n"/>
      <c r="H303" s="12" t="n"/>
      <c r="I303" s="12" t="n"/>
      <c r="J303" s="12">
        <f>-J176</f>
        <v>0</v>
      </c>
      <c r="K303" s="12">
        <f>-K176</f>
        <v>0</v>
      </c>
      <c r="L303" s="12">
        <f>-L176</f>
        <v>0</v>
      </c>
      <c r="M303" s="12" t="n"/>
      <c r="N303" s="12">
        <f>-N176</f>
        <v>0</v>
      </c>
      <c r="O303" s="12">
        <f>-O176</f>
        <v>0</v>
      </c>
      <c r="P303" s="12">
        <f>-P176</f>
        <v>0</v>
      </c>
      <c r="Q303" s="12">
        <f>-Q176</f>
        <v>0</v>
      </c>
      <c r="R303" s="12">
        <f>SUM(N303:Q303)</f>
        <v>0</v>
      </c>
      <c r="S303" s="12">
        <f>-S176</f>
        <v>0</v>
      </c>
      <c r="T303" s="12">
        <f>-T176</f>
        <v>0</v>
      </c>
      <c r="U303" s="12">
        <f>-U176</f>
        <v>0</v>
      </c>
      <c r="V303" s="12">
        <f>-V176</f>
        <v>0</v>
      </c>
      <c r="W303" s="12">
        <f>SUM(S303:V303)</f>
        <v>0</v>
      </c>
      <c r="X303" s="12">
        <f>-X176</f>
        <v>0</v>
      </c>
      <c r="Y303" s="12">
        <f>-Y176</f>
        <v>0</v>
      </c>
      <c r="Z303" s="12">
        <f>-Z176</f>
        <v>0</v>
      </c>
      <c r="AA303" s="12">
        <f>-AA176</f>
        <v>0</v>
      </c>
      <c r="AB303" s="12">
        <f>SUM(X303:AA303)</f>
        <v>0</v>
      </c>
      <c r="AC303" s="12">
        <f>-AC176</f>
        <v>0</v>
      </c>
      <c r="AD303" s="12">
        <f>-AD176</f>
        <v>0</v>
      </c>
      <c r="AE303" s="12">
        <f>-AE176</f>
        <v>0</v>
      </c>
      <c r="AF303" s="12">
        <f>-AF176</f>
        <v>0</v>
      </c>
      <c r="AG303" s="12">
        <f>SUM(AC303:AF303)</f>
        <v>0</v>
      </c>
      <c r="AH303" s="12">
        <f>-AH176</f>
        <v>0</v>
      </c>
      <c r="AI303" s="12">
        <f>-AI176</f>
        <v>0</v>
      </c>
      <c r="AJ303" s="12">
        <f>-AJ176</f>
        <v>0</v>
      </c>
      <c r="AK303" s="12">
        <f>-AK176</f>
        <v>0</v>
      </c>
      <c r="AL303" s="12">
        <f>SUM(AH303:AK303)</f>
        <v>0</v>
      </c>
      <c r="AM303" s="12">
        <f>-AM176</f>
        <v>0</v>
      </c>
      <c r="AN303" s="12">
        <f>-AN176</f>
        <v>0</v>
      </c>
      <c r="AO303" s="12">
        <f>-AO176</f>
        <v>0</v>
      </c>
      <c r="AP303" s="12">
        <f>-AP176</f>
        <v>0</v>
      </c>
      <c r="AQ303" s="12">
        <f>SUM(AM303:AP303)</f>
        <v>0</v>
      </c>
      <c r="AR303" s="12">
        <f>-AR176</f>
        <v>0</v>
      </c>
      <c r="AS303" s="12">
        <f>-AS176</f>
        <v>0</v>
      </c>
      <c r="AT303" s="12">
        <f>-AT176</f>
        <v>0</v>
      </c>
      <c r="AU303" s="12">
        <f>-AU176</f>
        <v>0</v>
      </c>
      <c r="AV303" s="12">
        <f>SUM(AR303:AU303)</f>
        <v>0</v>
      </c>
      <c r="AW303" s="12">
        <f>-AW176</f>
        <v>0</v>
      </c>
      <c r="AX303" s="12">
        <f>-AX176</f>
        <v>0</v>
      </c>
      <c r="AY303" s="12">
        <f>-AY176</f>
        <v>0</v>
      </c>
      <c r="AZ303" s="12">
        <f>-AZ176</f>
        <v>0</v>
      </c>
      <c r="BA303" s="12">
        <f>SUM(AW303:AZ303)</f>
        <v>0</v>
      </c>
      <c r="BB303" s="12">
        <f>-BB176</f>
        <v>0</v>
      </c>
      <c r="BC303" s="12">
        <f>-BC176</f>
        <v>0</v>
      </c>
      <c r="BD303" s="12">
        <f>-BD176</f>
        <v>0</v>
      </c>
      <c r="BE303" s="12">
        <f>-BE176</f>
        <v>0</v>
      </c>
      <c r="BF303" s="12">
        <f>SUM(BB303:BE303)</f>
        <v>0</v>
      </c>
      <c r="BG303" s="12" t="n"/>
      <c r="BH303" s="12" t="n"/>
      <c r="BI303" s="12" t="n"/>
      <c r="BJ303" s="12" t="n"/>
      <c r="BK303" s="12" t="n"/>
      <c r="BL303" s="12" t="n"/>
      <c r="BM303" s="12" t="n"/>
      <c r="BN303" s="12" t="n"/>
      <c r="BO303" s="12" t="n"/>
      <c r="BP303" s="12" t="n"/>
      <c r="BQ303" s="12" t="n"/>
      <c r="BR303" s="12" t="n"/>
      <c r="BS303" s="12" t="n"/>
      <c r="BT303" s="12" t="n"/>
      <c r="BU303" s="12" t="n"/>
      <c r="BV303" s="12" t="n"/>
      <c r="BW303" s="12" t="n"/>
      <c r="BX303" s="12" t="n"/>
      <c r="BY303" s="12" t="n"/>
      <c r="BZ303" s="12" t="n"/>
      <c r="CA303" s="12" t="n"/>
      <c r="CB303" s="12" t="n"/>
      <c r="CC303" s="12" t="n"/>
      <c r="CD303" s="12" t="n"/>
      <c r="CE303" s="12" t="n"/>
      <c r="CF303" s="12" t="n"/>
      <c r="CG303" s="12" t="n"/>
      <c r="CH303" s="12" t="n"/>
      <c r="CI303" s="12" t="n"/>
      <c r="CJ303" s="12" t="n"/>
      <c r="CK303" s="12" t="n"/>
      <c r="CL303" s="12" t="n"/>
      <c r="CM303" s="12" t="n"/>
      <c r="CN303" s="12" t="n"/>
      <c r="CO303" s="12" t="n"/>
      <c r="CP303" s="12" t="n"/>
      <c r="CQ303" s="12" t="n"/>
      <c r="CR303" s="12" t="n"/>
      <c r="CS303" s="12" t="n"/>
      <c r="CT303" s="12" t="n"/>
      <c r="CU303" s="12" t="n"/>
      <c r="CV303" s="12" t="n"/>
      <c r="CW303" s="12" t="n"/>
      <c r="CX303" s="12" t="n"/>
      <c r="CY303" s="12" t="n"/>
    </row>
    <row r="304">
      <c r="C304" s="71" t="inlineStr">
        <is>
          <t>Minority interest expense</t>
        </is>
      </c>
      <c r="D304" s="12" t="n"/>
      <c r="E304" s="12" t="n"/>
      <c r="F304" s="12" t="n"/>
      <c r="G304" s="12" t="n"/>
      <c r="H304" s="12" t="n"/>
      <c r="I304" s="12" t="n"/>
      <c r="J304" s="12">
        <f>-J148</f>
        <v>0</v>
      </c>
      <c r="K304" s="12">
        <f>-K148</f>
        <v>0</v>
      </c>
      <c r="L304" s="12">
        <f>-L148</f>
        <v>0</v>
      </c>
      <c r="M304" s="12" t="n"/>
      <c r="N304" s="12">
        <f>-N148</f>
        <v>0</v>
      </c>
      <c r="O304" s="12">
        <f>-O148</f>
        <v>0</v>
      </c>
      <c r="P304" s="12">
        <f>-P148</f>
        <v>0</v>
      </c>
      <c r="Q304" s="12">
        <f>-Q148</f>
        <v>0</v>
      </c>
      <c r="R304" s="12">
        <f>SUM(N304:Q304)</f>
        <v>0</v>
      </c>
      <c r="S304" s="12">
        <f>-S148</f>
        <v>0</v>
      </c>
      <c r="T304" s="12">
        <f>-T148</f>
        <v>0</v>
      </c>
      <c r="U304" s="12">
        <f>-U148</f>
        <v>0</v>
      </c>
      <c r="V304" s="12">
        <f>-V148</f>
        <v>0</v>
      </c>
      <c r="W304" s="12">
        <f>SUM(S304:V304)</f>
        <v>0</v>
      </c>
      <c r="X304" s="12">
        <f>-X148</f>
        <v>0</v>
      </c>
      <c r="Y304" s="12">
        <f>-Y148</f>
        <v>0</v>
      </c>
      <c r="Z304" s="12">
        <f>-Z148</f>
        <v>0</v>
      </c>
      <c r="AA304" s="12">
        <f>-AA148</f>
        <v>0</v>
      </c>
      <c r="AB304" s="12">
        <f>SUM(X304:AA304)</f>
        <v>0</v>
      </c>
      <c r="AC304" s="12">
        <f>-AC148</f>
        <v>0</v>
      </c>
      <c r="AD304" s="12">
        <f>-AD148</f>
        <v>0</v>
      </c>
      <c r="AE304" s="12">
        <f>-AE148</f>
        <v>0</v>
      </c>
      <c r="AF304" s="12">
        <f>-AF148</f>
        <v>0</v>
      </c>
      <c r="AG304" s="12">
        <f>SUM(AC304:AF304)</f>
        <v>0</v>
      </c>
      <c r="AH304" s="12">
        <f>-AH148</f>
        <v>0</v>
      </c>
      <c r="AI304" s="12">
        <f>-AI148</f>
        <v>0</v>
      </c>
      <c r="AJ304" s="12">
        <f>-AJ148</f>
        <v>0</v>
      </c>
      <c r="AK304" s="12">
        <f>-AK148</f>
        <v>0</v>
      </c>
      <c r="AL304" s="12">
        <f>SUM(AH304:AK304)</f>
        <v>0</v>
      </c>
      <c r="AM304" s="12">
        <f>-AM148</f>
        <v>0</v>
      </c>
      <c r="AN304" s="12">
        <f>-AN148</f>
        <v>0</v>
      </c>
      <c r="AO304" s="12">
        <f>-AO148</f>
        <v>0</v>
      </c>
      <c r="AP304" s="12">
        <f>-AP148</f>
        <v>0</v>
      </c>
      <c r="AQ304" s="12">
        <f>SUM(AM304:AP304)</f>
        <v>0</v>
      </c>
      <c r="AR304" s="12">
        <f>-AR148</f>
        <v>0</v>
      </c>
      <c r="AS304" s="12">
        <f>-AS148</f>
        <v>0</v>
      </c>
      <c r="AT304" s="12">
        <f>-AT148</f>
        <v>0</v>
      </c>
      <c r="AU304" s="12">
        <f>-AU148</f>
        <v>0</v>
      </c>
      <c r="AV304" s="12">
        <f>SUM(AR304:AU304)</f>
        <v>0</v>
      </c>
      <c r="AW304" s="12">
        <f>-AW148</f>
        <v>0</v>
      </c>
      <c r="AX304" s="12">
        <f>-AX148</f>
        <v>0</v>
      </c>
      <c r="AY304" s="12">
        <f>-AY148</f>
        <v>0</v>
      </c>
      <c r="AZ304" s="12">
        <f>-AZ148</f>
        <v>0</v>
      </c>
      <c r="BA304" s="12">
        <f>SUM(AW304:AZ304)</f>
        <v>0</v>
      </c>
      <c r="BB304" s="12">
        <f>-BB148</f>
        <v>0</v>
      </c>
      <c r="BC304" s="12">
        <f>-BC148</f>
        <v>0</v>
      </c>
      <c r="BD304" s="12">
        <f>-BD148</f>
        <v>0</v>
      </c>
      <c r="BE304" s="12">
        <f>-BE148</f>
        <v>0</v>
      </c>
      <c r="BF304" s="12">
        <f>SUM(BB304:BE304)</f>
        <v>0</v>
      </c>
      <c r="BG304" s="12" t="n"/>
      <c r="BH304" s="12" t="n"/>
      <c r="BI304" s="12" t="n"/>
      <c r="BJ304" s="12" t="n"/>
      <c r="BK304" s="12" t="n"/>
      <c r="BL304" s="12" t="n"/>
      <c r="BM304" s="12" t="n"/>
      <c r="BN304" s="12" t="n"/>
      <c r="BO304" s="12" t="n"/>
      <c r="BP304" s="12" t="n"/>
      <c r="BQ304" s="12" t="n"/>
      <c r="BR304" s="12" t="n"/>
      <c r="BS304" s="12" t="n"/>
      <c r="BT304" s="12" t="n"/>
      <c r="BU304" s="12" t="n"/>
      <c r="BV304" s="12" t="n"/>
      <c r="BW304" s="12" t="n"/>
      <c r="BX304" s="12" t="n"/>
      <c r="BY304" s="12" t="n"/>
      <c r="BZ304" s="12" t="n"/>
      <c r="CA304" s="12" t="n"/>
      <c r="CB304" s="12" t="n"/>
      <c r="CC304" s="12" t="n"/>
      <c r="CD304" s="12" t="n"/>
      <c r="CE304" s="12" t="n"/>
      <c r="CF304" s="12" t="n"/>
      <c r="CG304" s="12" t="n"/>
      <c r="CH304" s="12" t="n"/>
      <c r="CI304" s="12" t="n"/>
      <c r="CJ304" s="12" t="n"/>
      <c r="CK304" s="12" t="n"/>
      <c r="CL304" s="12" t="n"/>
      <c r="CM304" s="12" t="n"/>
      <c r="CN304" s="12" t="n"/>
      <c r="CO304" s="12" t="n"/>
      <c r="CP304" s="12" t="n"/>
      <c r="CQ304" s="12" t="n"/>
      <c r="CR304" s="12" t="n"/>
      <c r="CS304" s="12" t="n"/>
      <c r="CT304" s="12" t="n"/>
      <c r="CU304" s="12" t="n"/>
      <c r="CV304" s="12" t="n"/>
      <c r="CW304" s="12" t="n"/>
      <c r="CX304" s="12" t="n"/>
      <c r="CY304" s="12" t="n"/>
    </row>
    <row r="305">
      <c r="C305" s="14" t="inlineStr">
        <is>
          <t>Cash from operations</t>
        </is>
      </c>
      <c r="D305" s="12" t="n"/>
      <c r="E305" s="12" t="n"/>
      <c r="F305" s="12" t="n"/>
      <c r="G305" s="12" t="n"/>
      <c r="H305" s="12" t="n"/>
      <c r="I305" s="12" t="n"/>
      <c r="J305" s="12">
        <f>SUM(J289,J290,J291,J302,J303,J304)</f>
        <v>599.964</v>
      </c>
      <c r="K305" s="12">
        <f>SUM(K289,K290,K291,K302,K303,K304)</f>
        <v>380.563</v>
      </c>
      <c r="L305" s="12">
        <f>SUM(L289,L290,L291,L302,L303,L304)</f>
        <v>1590.228</v>
      </c>
      <c r="M305" s="12" t="n"/>
      <c r="N305" s="12">
        <f>SUM(N289,N290,N291,N302,N303,N304)</f>
        <v>-606.792</v>
      </c>
      <c r="O305" s="12">
        <f>SUM(O289,O290,O291,O302,O303,O304)</f>
        <v>883.752</v>
      </c>
      <c r="P305" s="12">
        <f>SUM(P289,P290,P291,P302,P303,P304)</f>
        <v>-384.746</v>
      </c>
      <c r="Q305" s="12">
        <f>SUM(Q289,Q290,Q291,Q302,Q303,Q304)</f>
        <v>1431.402</v>
      </c>
      <c r="R305" s="12">
        <f>SUM(R289,R290,R291,R302,R303,R304)</f>
        <v>1323.616</v>
      </c>
      <c r="S305" s="12">
        <f>SUM(S289,S290,S291,S302,S303,S304)</f>
        <v>-482.262</v>
      </c>
      <c r="T305" s="12">
        <f>SUM(T289,T290,T291,T302,T303,T304)</f>
        <v>-85.2080000000002</v>
      </c>
      <c r="U305" s="12">
        <f>SUM(U289,U290,U291,U302,U303,U304)</f>
        <v>1002.01</v>
      </c>
      <c r="V305" s="12">
        <f>SUM(V289,V290,V291,V302,V303,V304)</f>
        <v>3803.407</v>
      </c>
      <c r="W305" s="12">
        <f>SUM(W289,W290,W291,W302,W303,W304)</f>
        <v>4237.947</v>
      </c>
      <c r="X305" s="12">
        <f>SUM(X289,X290,X291,X302,X303,X304)</f>
        <v>-82.5440000000003</v>
      </c>
      <c r="Y305" s="12">
        <f>SUM(Y289,Y290,Y291,Y302,Y303,Y304)</f>
        <v>202.613</v>
      </c>
      <c r="Z305" s="12">
        <f>SUM(Z289,Z290,Z291,Z302,Z303,Z304)</f>
        <v>348.407</v>
      </c>
      <c r="AA305" s="12">
        <f>SUM(AA289,AA290,AA291,AA302,AA303,AA304)</f>
        <v>1890.151</v>
      </c>
      <c r="AB305" s="12">
        <f>SUM(AB289,AB290,AB291,AB302,AB303,AB304)</f>
        <v>2358.627</v>
      </c>
      <c r="AC305" s="12">
        <f>SUM(AC289,AC290,AC291,AC302,AC303,AC304)</f>
        <v>-2068.567</v>
      </c>
      <c r="AD305" s="12">
        <f>SUM(AD289,AD290,AD291,AD302,AD303,AD304)</f>
        <v>1478.778</v>
      </c>
      <c r="AE305" s="12">
        <f>SUM(AE289,AE290,AE291,AE302,AE303,AE304)</f>
        <v>1309.226</v>
      </c>
      <c r="AF305" s="12">
        <f>SUM(AF289,AF290,AF291,AF302,AF303,AF304)</f>
        <v>3494.181349583</v>
      </c>
      <c r="AG305" s="12">
        <f>SUM(AG289,AG290,AG291,AG302,AG303,AG304)</f>
        <v>4213.618349583</v>
      </c>
      <c r="AH305" s="12">
        <f>SUM(AH289,AH290,AH291,AH302,AH303,AH304)</f>
        <v>-942.681887499</v>
      </c>
      <c r="AI305" s="12">
        <f>SUM(AI289,AI290,AI291,AI302,AI303,AI304)</f>
        <v>918.943281277</v>
      </c>
      <c r="AJ305" s="12">
        <f>SUM(AJ289,AJ290,AJ291,AJ302,AJ303,AJ304)</f>
        <v>1441.38197541561</v>
      </c>
      <c r="AK305" s="12">
        <f>SUM(AK289,AK290,AK291,AK302,AK303,AK304)</f>
        <v>1580.43905265048</v>
      </c>
      <c r="AL305" s="12">
        <f>SUM(AL289,AL290,AL291,AL302,AL303,AL304)</f>
        <v>2998.08242184409</v>
      </c>
      <c r="AM305" s="12">
        <f>SUM(AM289,AM290,AM291,AM302,AM303,AM304)</f>
        <v>1875.02874282396</v>
      </c>
      <c r="AN305" s="12">
        <f>SUM(AN289,AN290,AN291,AN302,AN303,AN304)</f>
        <v>1668.95967033285</v>
      </c>
      <c r="AO305" s="12">
        <f>SUM(AO289,AO290,AO291,AO302,AO303,AO304)</f>
        <v>2031.92500331908</v>
      </c>
      <c r="AP305" s="12">
        <f>SUM(AP289,AP290,AP291,AP302,AP303,AP304)</f>
        <v>1705.90714995141</v>
      </c>
      <c r="AQ305" s="12">
        <f>SUM(AQ289,AQ290,AQ291,AQ302,AQ303,AQ304)</f>
        <v>7281.8205664273</v>
      </c>
      <c r="AR305" s="12">
        <f>SUM(AR289,AR290,AR291,AR302,AR303,AR304)</f>
        <v>1963.74513197429</v>
      </c>
      <c r="AS305" s="12">
        <f>SUM(AS289,AS290,AS291,AS302,AS303,AS304)</f>
        <v>1826.52750363137</v>
      </c>
      <c r="AT305" s="12">
        <f>SUM(AT289,AT290,AT291,AT302,AT303,AT304)</f>
        <v>2180.84194001439</v>
      </c>
      <c r="AU305" s="12">
        <f>SUM(AU289,AU290,AU291,AU302,AU303,AU304)</f>
        <v>1831.68126063869</v>
      </c>
      <c r="AV305" s="12">
        <f>SUM(AV289,AV290,AV291,AV302,AV303,AV304)</f>
        <v>7802.79583625875</v>
      </c>
      <c r="AW305" s="12">
        <f>SUM(AW289,AW290,AW291,AW302,AW303,AW304)</f>
        <v>2119.99455638755</v>
      </c>
      <c r="AX305" s="12">
        <f>SUM(AX289,AX290,AX291,AX302,AX303,AX304)</f>
        <v>1914.73421676843</v>
      </c>
      <c r="AY305" s="12">
        <f>SUM(AY289,AY290,AY291,AY302,AY303,AY304)</f>
        <v>2329.75545208176</v>
      </c>
      <c r="AZ305" s="12">
        <f>SUM(AZ289,AZ290,AZ291,AZ302,AZ303,AZ304)</f>
        <v>1957.51518848946</v>
      </c>
      <c r="BA305" s="12">
        <f>SUM(BA289,BA290,BA291,BA302,BA303,BA304)</f>
        <v>8321.9994137272</v>
      </c>
      <c r="BB305" s="12">
        <f>SUM(BB289,BB290,BB291,BB302,BB303,BB304)</f>
        <v>2238.05056608398</v>
      </c>
      <c r="BC305" s="12">
        <f>SUM(BC289,BC290,BC291,BC302,BC303,BC304)</f>
        <v>2036.36914239708</v>
      </c>
      <c r="BD305" s="12">
        <f>SUM(BD289,BD290,BD291,BD302,BD303,BD304)</f>
        <v>2476.97358258499</v>
      </c>
      <c r="BE305" s="12">
        <f>SUM(BE289,BE290,BE291,BE302,BE303,BE304)</f>
        <v>2081.93482381373</v>
      </c>
      <c r="BF305" s="12">
        <f>SUM(BF289,BF290,BF291,BF302,BF303,BF304)</f>
        <v>8833.32811487978</v>
      </c>
      <c r="BG305" s="12" t="n"/>
      <c r="BH305" s="12" t="n"/>
      <c r="BI305" s="12" t="n"/>
      <c r="BJ305" s="12" t="n"/>
      <c r="BK305" s="12" t="n"/>
      <c r="BL305" s="12" t="n"/>
      <c r="BM305" s="12" t="n"/>
      <c r="BN305" s="12" t="n"/>
      <c r="BO305" s="12" t="n"/>
      <c r="BP305" s="12" t="n"/>
      <c r="BQ305" s="12" t="n"/>
      <c r="BR305" s="12" t="n"/>
      <c r="BS305" s="12" t="n"/>
      <c r="BT305" s="12" t="n"/>
      <c r="BU305" s="12" t="n"/>
      <c r="BV305" s="12" t="n"/>
      <c r="BW305" s="12" t="n"/>
      <c r="BX305" s="12" t="n"/>
      <c r="BY305" s="12" t="n"/>
      <c r="BZ305" s="12" t="n"/>
      <c r="CA305" s="12" t="n"/>
      <c r="CB305" s="12" t="n"/>
      <c r="CC305" s="12" t="n"/>
      <c r="CD305" s="12" t="n"/>
      <c r="CE305" s="12" t="n"/>
      <c r="CF305" s="12" t="n"/>
      <c r="CG305" s="12" t="n"/>
      <c r="CH305" s="12" t="n"/>
      <c r="CI305" s="12" t="n"/>
      <c r="CJ305" s="12" t="n"/>
      <c r="CK305" s="12" t="n"/>
      <c r="CL305" s="12" t="n"/>
      <c r="CM305" s="12" t="n"/>
      <c r="CN305" s="12" t="n"/>
      <c r="CO305" s="12" t="n"/>
      <c r="CP305" s="12" t="n"/>
      <c r="CQ305" s="12" t="n"/>
      <c r="CR305" s="12" t="n"/>
      <c r="CS305" s="12" t="n"/>
      <c r="CT305" s="12" t="n"/>
      <c r="CU305" s="12" t="n"/>
      <c r="CV305" s="12" t="n"/>
      <c r="CW305" s="12" t="n"/>
      <c r="CX305" s="12" t="n"/>
      <c r="CY305" s="12" t="n"/>
    </row>
    <row r="306">
      <c r="C306" s="14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  <c r="AJ306" s="12" t="n"/>
      <c r="AK306" s="12" t="n"/>
      <c r="AL306" s="12" t="n"/>
      <c r="AM306" s="12" t="n"/>
      <c r="AN306" s="12" t="n"/>
      <c r="AO306" s="12" t="n"/>
      <c r="AP306" s="12" t="n"/>
      <c r="AQ306" s="12" t="n"/>
      <c r="AR306" s="12" t="n"/>
      <c r="AS306" s="12" t="n"/>
      <c r="AT306" s="12" t="n"/>
      <c r="AU306" s="12" t="n"/>
      <c r="AV306" s="12" t="n"/>
      <c r="AW306" s="12" t="n"/>
      <c r="AX306" s="12" t="n"/>
      <c r="AY306" s="12" t="n"/>
      <c r="AZ306" s="12" t="n"/>
      <c r="BA306" s="12" t="n"/>
      <c r="BB306" s="12" t="n"/>
      <c r="BC306" s="12" t="n"/>
      <c r="BD306" s="12" t="n"/>
      <c r="BE306" s="12" t="n"/>
      <c r="BF306" s="12" t="n"/>
      <c r="BG306" s="12" t="n"/>
      <c r="BH306" s="12" t="n"/>
      <c r="BI306" s="12" t="n"/>
      <c r="BJ306" s="12" t="n"/>
      <c r="BK306" s="12" t="n"/>
      <c r="BL306" s="12" t="n"/>
      <c r="BM306" s="12" t="n"/>
      <c r="BN306" s="12" t="n"/>
      <c r="BO306" s="12" t="n"/>
      <c r="BP306" s="12" t="n"/>
      <c r="BQ306" s="12" t="n"/>
      <c r="BR306" s="12" t="n"/>
      <c r="BS306" s="12" t="n"/>
      <c r="BT306" s="12" t="n"/>
      <c r="BU306" s="12" t="n"/>
      <c r="BV306" s="12" t="n"/>
      <c r="BW306" s="12" t="n"/>
      <c r="BX306" s="12" t="n"/>
      <c r="BY306" s="12" t="n"/>
      <c r="BZ306" s="12" t="n"/>
      <c r="CA306" s="12" t="n"/>
      <c r="CB306" s="12" t="n"/>
      <c r="CC306" s="12" t="n"/>
      <c r="CD306" s="12" t="n"/>
      <c r="CE306" s="12" t="n"/>
      <c r="CF306" s="12" t="n"/>
      <c r="CG306" s="12" t="n"/>
      <c r="CH306" s="12" t="n"/>
      <c r="CI306" s="12" t="n"/>
      <c r="CJ306" s="12" t="n"/>
      <c r="CK306" s="12" t="n"/>
      <c r="CL306" s="12" t="n"/>
      <c r="CM306" s="12" t="n"/>
      <c r="CN306" s="12" t="n"/>
      <c r="CO306" s="12" t="n"/>
      <c r="CP306" s="12" t="n"/>
      <c r="CQ306" s="12" t="n"/>
      <c r="CR306" s="12" t="n"/>
      <c r="CS306" s="12" t="n"/>
      <c r="CT306" s="12" t="n"/>
      <c r="CU306" s="12" t="n"/>
      <c r="CV306" s="12" t="n"/>
      <c r="CW306" s="12" t="n"/>
      <c r="CX306" s="12" t="n"/>
      <c r="CY306" s="12" t="n"/>
    </row>
    <row r="307">
      <c r="C307" s="10" t="inlineStr">
        <is>
          <t>Purchase of fixed assets (capital expenditures)</t>
        </is>
      </c>
      <c r="D307" s="12" t="n"/>
      <c r="E307" s="12" t="n"/>
      <c r="F307" s="12" t="n"/>
      <c r="G307" s="12" t="n"/>
      <c r="H307" s="12" t="n"/>
      <c r="I307" s="12" t="n"/>
      <c r="J307" s="12">
        <f>-J180</f>
        <v>-1002.135</v>
      </c>
      <c r="K307" s="12">
        <f>-K180</f>
        <v>-2680.177</v>
      </c>
      <c r="L307" s="12">
        <f>-L180</f>
        <v>-2453.552</v>
      </c>
      <c r="M307" s="12" t="n"/>
      <c r="N307" s="12">
        <f>-N180</f>
        <v>-906.637</v>
      </c>
      <c r="O307" s="12">
        <f>-O180</f>
        <v>-2205.148</v>
      </c>
      <c r="P307" s="12">
        <f>-P180</f>
        <v>-793.409</v>
      </c>
      <c r="Q307" s="12">
        <f>-Q180</f>
        <v>-932.187000000001</v>
      </c>
      <c r="R307" s="12">
        <f>SUM(N307:Q307)</f>
        <v>-4837.381</v>
      </c>
      <c r="S307" s="12">
        <f>-S180</f>
        <v>148.764</v>
      </c>
      <c r="T307" s="12">
        <f>-T180</f>
        <v>-168.659</v>
      </c>
      <c r="U307" s="12">
        <f>-U180</f>
        <v>-1350.963</v>
      </c>
      <c r="V307" s="12">
        <f>-V180</f>
        <v>-3661.99</v>
      </c>
      <c r="W307" s="12">
        <f>SUM(S307:V307)</f>
        <v>-5032.848</v>
      </c>
      <c r="X307" s="12">
        <f>-X180</f>
        <v>-573.122</v>
      </c>
      <c r="Y307" s="12">
        <f>-Y180</f>
        <v>-927.886000000003</v>
      </c>
      <c r="Z307" s="12">
        <f>-Z180</f>
        <v>-1107.764</v>
      </c>
      <c r="AA307" s="12">
        <f>-AA180</f>
        <v>-2747.417</v>
      </c>
      <c r="AB307" s="12">
        <f>SUM(X307:AA307)</f>
        <v>-5356.189</v>
      </c>
      <c r="AC307" s="12">
        <f>-AC180</f>
        <v>668.732</v>
      </c>
      <c r="AD307" s="12">
        <f>-AD180</f>
        <v>-1386.741</v>
      </c>
      <c r="AE307" s="12">
        <f>-AE180</f>
        <v>-781.659000000001</v>
      </c>
      <c r="AF307" s="12">
        <f>-AF180</f>
        <v>-3178.1792426</v>
      </c>
      <c r="AG307" s="12">
        <f>SUM(AC307:AF307)</f>
        <v>-4677.8472426</v>
      </c>
      <c r="AH307" s="12">
        <f>-AH180</f>
        <v>267.387078600002</v>
      </c>
      <c r="AI307" s="12">
        <f>-AI180</f>
        <v>-2507.1336214</v>
      </c>
      <c r="AJ307" s="12">
        <f>-AJ180</f>
        <v>-1262.10379943244</v>
      </c>
      <c r="AK307" s="12">
        <f>-AK180</f>
        <v>-1226.28756565032</v>
      </c>
      <c r="AL307" s="12">
        <f>SUM(AH307:AK307)</f>
        <v>-4728.13790788275</v>
      </c>
      <c r="AM307" s="12">
        <f>-AM180</f>
        <v>-1267.06460534431</v>
      </c>
      <c r="AN307" s="12">
        <f>-AN180</f>
        <v>-1262.09951208482</v>
      </c>
      <c r="AO307" s="12">
        <f>-AO180</f>
        <v>-1358.58936610829</v>
      </c>
      <c r="AP307" s="12">
        <f>-AP180</f>
        <v>-1320.03504563773</v>
      </c>
      <c r="AQ307" s="12">
        <f>SUM(AM307:AP307)</f>
        <v>-5207.78852917515</v>
      </c>
      <c r="AR307" s="12">
        <f>-AR180</f>
        <v>-1357.59409368774</v>
      </c>
      <c r="AS307" s="12">
        <f>-AS180</f>
        <v>-1352.27425344024</v>
      </c>
      <c r="AT307" s="12">
        <f>-AT180</f>
        <v>-1455.658134081</v>
      </c>
      <c r="AU307" s="12">
        <f>-AU180</f>
        <v>-1414.34917671907</v>
      </c>
      <c r="AV307" s="12">
        <f>SUM(AR307:AU307)</f>
        <v>-5579.87565792804</v>
      </c>
      <c r="AW307" s="12">
        <f>-AW180</f>
        <v>-1447.80378076669</v>
      </c>
      <c r="AX307" s="12">
        <f>-AX180</f>
        <v>-1442.13044669782</v>
      </c>
      <c r="AY307" s="12">
        <f>-AY180</f>
        <v>-1552.3840003616</v>
      </c>
      <c r="AZ307" s="12">
        <f>-AZ180</f>
        <v>-1508.33013704103</v>
      </c>
      <c r="BA307" s="12">
        <f>SUM(AW307:AZ307)</f>
        <v>-5950.64836486714</v>
      </c>
      <c r="BB307" s="12">
        <f>-BB180</f>
        <v>-1536.76872048491</v>
      </c>
      <c r="BC307" s="12">
        <f>-BC180</f>
        <v>-1530.74677023605</v>
      </c>
      <c r="BD307" s="12">
        <f>-BD180</f>
        <v>-1647.7752065778</v>
      </c>
      <c r="BE307" s="12">
        <f>-BE180</f>
        <v>-1601.01431254855</v>
      </c>
      <c r="BF307" s="12">
        <f>SUM(BB307:BE307)</f>
        <v>-6316.3050098473</v>
      </c>
      <c r="BG307" s="12" t="n"/>
      <c r="BH307" s="12" t="n"/>
      <c r="BI307" s="12" t="n"/>
      <c r="BJ307" s="12" t="n"/>
      <c r="BK307" s="12" t="n"/>
      <c r="BL307" s="12" t="n"/>
      <c r="BM307" s="12" t="n"/>
      <c r="BN307" s="12" t="n"/>
      <c r="BO307" s="12" t="n"/>
      <c r="BP307" s="12" t="n"/>
      <c r="BQ307" s="12" t="n"/>
      <c r="BR307" s="12" t="n"/>
      <c r="BS307" s="12" t="n"/>
      <c r="BT307" s="12" t="n"/>
      <c r="BU307" s="12" t="n"/>
      <c r="BV307" s="12" t="n"/>
      <c r="BW307" s="12" t="n"/>
      <c r="BX307" s="12" t="n"/>
      <c r="BY307" s="12" t="n"/>
      <c r="BZ307" s="12" t="n"/>
      <c r="CA307" s="12" t="n"/>
      <c r="CB307" s="12" t="n"/>
      <c r="CC307" s="12" t="n"/>
      <c r="CD307" s="12" t="n"/>
      <c r="CE307" s="12" t="n"/>
      <c r="CF307" s="12" t="n"/>
      <c r="CG307" s="12" t="n"/>
      <c r="CH307" s="12" t="n"/>
      <c r="CI307" s="12" t="n"/>
      <c r="CJ307" s="12" t="n"/>
      <c r="CK307" s="12" t="n"/>
      <c r="CL307" s="12" t="n"/>
      <c r="CM307" s="12" t="n"/>
      <c r="CN307" s="12" t="n"/>
      <c r="CO307" s="12" t="n"/>
      <c r="CP307" s="12" t="n"/>
      <c r="CQ307" s="12" t="n"/>
      <c r="CR307" s="12" t="n"/>
      <c r="CS307" s="12" t="n"/>
      <c r="CT307" s="12" t="n"/>
      <c r="CU307" s="12" t="n"/>
      <c r="CV307" s="12" t="n"/>
      <c r="CW307" s="12" t="n"/>
      <c r="CX307" s="12" t="n"/>
      <c r="CY307" s="12" t="n"/>
    </row>
    <row r="308">
      <c r="C308" s="10" t="inlineStr">
        <is>
          <t>Proceeds from sale of fixed assets</t>
        </is>
      </c>
      <c r="D308" s="12" t="n"/>
      <c r="E308" s="12" t="n"/>
      <c r="F308" s="12" t="n"/>
      <c r="G308" s="12" t="n"/>
      <c r="H308" s="12" t="n"/>
      <c r="I308" s="12" t="n"/>
      <c r="J308" s="12">
        <f>-J181</f>
        <v>0</v>
      </c>
      <c r="K308" s="12">
        <f>-K181</f>
        <v>0</v>
      </c>
      <c r="L308" s="12">
        <f>-L181</f>
        <v>0</v>
      </c>
      <c r="M308" s="12" t="n"/>
      <c r="N308" s="12">
        <f>-N181</f>
        <v>0</v>
      </c>
      <c r="O308" s="12">
        <f>-O181</f>
        <v>0</v>
      </c>
      <c r="P308" s="12">
        <f>-P181</f>
        <v>0</v>
      </c>
      <c r="Q308" s="12">
        <f>-Q181</f>
        <v>0</v>
      </c>
      <c r="R308" s="12">
        <f>SUM(N308:Q308)</f>
        <v>0</v>
      </c>
      <c r="S308" s="12">
        <f>-S181</f>
        <v>0</v>
      </c>
      <c r="T308" s="12">
        <f>-T181</f>
        <v>0</v>
      </c>
      <c r="U308" s="12">
        <f>-U181</f>
        <v>0</v>
      </c>
      <c r="V308" s="12">
        <f>-V181</f>
        <v>0</v>
      </c>
      <c r="W308" s="12">
        <f>SUM(S308:V308)</f>
        <v>0</v>
      </c>
      <c r="X308" s="12">
        <f>-X181</f>
        <v>0</v>
      </c>
      <c r="Y308" s="12">
        <f>-Y181</f>
        <v>0</v>
      </c>
      <c r="Z308" s="12">
        <f>-Z181</f>
        <v>0</v>
      </c>
      <c r="AA308" s="12">
        <f>-AA181</f>
        <v>0</v>
      </c>
      <c r="AB308" s="12">
        <f>SUM(X308:AA308)</f>
        <v>0</v>
      </c>
      <c r="AC308" s="12">
        <f>-AC181</f>
        <v>0</v>
      </c>
      <c r="AD308" s="12">
        <f>-AD181</f>
        <v>0</v>
      </c>
      <c r="AE308" s="12">
        <f>-AE181</f>
        <v>0</v>
      </c>
      <c r="AF308" s="12">
        <f>-AF181</f>
        <v>0</v>
      </c>
      <c r="AG308" s="12">
        <f>SUM(AC308:AF308)</f>
        <v>0</v>
      </c>
      <c r="AH308" s="12">
        <f>-AH181</f>
        <v>0</v>
      </c>
      <c r="AI308" s="12">
        <f>-AI181</f>
        <v>0</v>
      </c>
      <c r="AJ308" s="12">
        <f>-AJ181</f>
        <v>0</v>
      </c>
      <c r="AK308" s="12">
        <f>-AK181</f>
        <v>0</v>
      </c>
      <c r="AL308" s="12">
        <f>SUM(AH308:AK308)</f>
        <v>0</v>
      </c>
      <c r="AM308" s="12">
        <f>-AM181</f>
        <v>0</v>
      </c>
      <c r="AN308" s="12">
        <f>-AN181</f>
        <v>0</v>
      </c>
      <c r="AO308" s="12">
        <f>-AO181</f>
        <v>0</v>
      </c>
      <c r="AP308" s="12">
        <f>-AP181</f>
        <v>0</v>
      </c>
      <c r="AQ308" s="12">
        <f>SUM(AM308:AP308)</f>
        <v>0</v>
      </c>
      <c r="AR308" s="12">
        <f>-AR181</f>
        <v>0</v>
      </c>
      <c r="AS308" s="12">
        <f>-AS181</f>
        <v>0</v>
      </c>
      <c r="AT308" s="12">
        <f>-AT181</f>
        <v>0</v>
      </c>
      <c r="AU308" s="12">
        <f>-AU181</f>
        <v>0</v>
      </c>
      <c r="AV308" s="12">
        <f>SUM(AR308:AU308)</f>
        <v>0</v>
      </c>
      <c r="AW308" s="12">
        <f>-AW181</f>
        <v>0</v>
      </c>
      <c r="AX308" s="12">
        <f>-AX181</f>
        <v>0</v>
      </c>
      <c r="AY308" s="12">
        <f>-AY181</f>
        <v>0</v>
      </c>
      <c r="AZ308" s="12">
        <f>-AZ181</f>
        <v>0</v>
      </c>
      <c r="BA308" s="12">
        <f>SUM(AW308:AZ308)</f>
        <v>0</v>
      </c>
      <c r="BB308" s="12">
        <f>-BB181</f>
        <v>0</v>
      </c>
      <c r="BC308" s="12">
        <f>-BC181</f>
        <v>0</v>
      </c>
      <c r="BD308" s="12">
        <f>-BD181</f>
        <v>0</v>
      </c>
      <c r="BE308" s="12">
        <f>-BE181</f>
        <v>0</v>
      </c>
      <c r="BF308" s="12">
        <f>SUM(BB308:BE308)</f>
        <v>0</v>
      </c>
      <c r="BG308" s="12" t="n"/>
      <c r="BH308" s="12" t="n"/>
      <c r="BI308" s="12" t="n"/>
      <c r="BJ308" s="12" t="n"/>
      <c r="BK308" s="12" t="n"/>
      <c r="BL308" s="12" t="n"/>
      <c r="BM308" s="12" t="n"/>
      <c r="BN308" s="12" t="n"/>
      <c r="BO308" s="12" t="n"/>
      <c r="BP308" s="12" t="n"/>
      <c r="BQ308" s="12" t="n"/>
      <c r="BR308" s="12" t="n"/>
      <c r="BS308" s="12" t="n"/>
      <c r="BT308" s="12" t="n"/>
      <c r="BU308" s="12" t="n"/>
      <c r="BV308" s="12" t="n"/>
      <c r="BW308" s="12" t="n"/>
      <c r="BX308" s="12" t="n"/>
      <c r="BY308" s="12" t="n"/>
      <c r="BZ308" s="12" t="n"/>
      <c r="CA308" s="12" t="n"/>
      <c r="CB308" s="12" t="n"/>
      <c r="CC308" s="12" t="n"/>
      <c r="CD308" s="12" t="n"/>
      <c r="CE308" s="12" t="n"/>
      <c r="CF308" s="12" t="n"/>
      <c r="CG308" s="12" t="n"/>
      <c r="CH308" s="12" t="n"/>
      <c r="CI308" s="12" t="n"/>
      <c r="CJ308" s="12" t="n"/>
      <c r="CK308" s="12" t="n"/>
      <c r="CL308" s="12" t="n"/>
      <c r="CM308" s="12" t="n"/>
      <c r="CN308" s="12" t="n"/>
      <c r="CO308" s="12" t="n"/>
      <c r="CP308" s="12" t="n"/>
      <c r="CQ308" s="12" t="n"/>
      <c r="CR308" s="12" t="n"/>
      <c r="CS308" s="12" t="n"/>
      <c r="CT308" s="12" t="n"/>
      <c r="CU308" s="12" t="n"/>
      <c r="CV308" s="12" t="n"/>
      <c r="CW308" s="12" t="n"/>
      <c r="CX308" s="12" t="n"/>
      <c r="CY308" s="12" t="n"/>
    </row>
    <row r="309">
      <c r="C309" s="10" t="inlineStr">
        <is>
          <t>Var.Right-of-use-assets</t>
        </is>
      </c>
      <c r="D309" s="12" t="n"/>
      <c r="E309" s="12" t="n"/>
      <c r="F309" s="12" t="n"/>
      <c r="G309" s="12" t="n"/>
      <c r="H309" s="12" t="n"/>
      <c r="I309" s="12" t="n"/>
      <c r="J309" s="12">
        <f>(J188-I188)*-1</f>
        <v>0</v>
      </c>
      <c r="K309" s="12">
        <f>(K188-J188)*-1</f>
        <v>0</v>
      </c>
      <c r="L309" s="12">
        <f>(L188-K188)*-1</f>
        <v>0</v>
      </c>
      <c r="M309" s="12" t="n"/>
      <c r="N309" s="12">
        <f>(N188-M188)*-1</f>
        <v>0</v>
      </c>
      <c r="O309" s="12">
        <f>(O188-N188)*-1</f>
        <v>0</v>
      </c>
      <c r="P309" s="12">
        <f>(P188-O188)*-1</f>
        <v>0</v>
      </c>
      <c r="Q309" s="12">
        <f>(Q188-P188)*-1</f>
        <v>0</v>
      </c>
      <c r="R309" s="12">
        <f>SUM(N309:Q309)</f>
        <v>0</v>
      </c>
      <c r="S309" s="12">
        <f>(S188-R188)*-1</f>
        <v>0</v>
      </c>
      <c r="T309" s="12">
        <f>(T188-S188)*-1</f>
        <v>0</v>
      </c>
      <c r="U309" s="12">
        <f>(U188-T188)*-1</f>
        <v>0</v>
      </c>
      <c r="V309" s="12">
        <f>(V188-U188)*-1</f>
        <v>0</v>
      </c>
      <c r="W309" s="12">
        <f>SUM(S309:V309)</f>
        <v>0</v>
      </c>
      <c r="X309" s="12">
        <f>(X188-W188)*-1</f>
        <v>0</v>
      </c>
      <c r="Y309" s="12">
        <f>(Y188-X188)*-1</f>
        <v>0</v>
      </c>
      <c r="Z309" s="12">
        <f>(Z188-Y188)*-1</f>
        <v>0</v>
      </c>
      <c r="AA309" s="12">
        <f>(AA188-Z188)*-1</f>
        <v>0</v>
      </c>
      <c r="AB309" s="12">
        <f>SUM(X309:AA309)</f>
        <v>0</v>
      </c>
      <c r="AC309" s="12">
        <f>(AC188-AB188)*-1</f>
        <v>0</v>
      </c>
      <c r="AD309" s="12">
        <f>(AD188-AC188)*-1</f>
        <v>0</v>
      </c>
      <c r="AE309" s="12">
        <f>(AE188-AD188)*-1</f>
        <v>0</v>
      </c>
      <c r="AF309" s="12">
        <f>(AF188-AE188)*-1</f>
        <v>0</v>
      </c>
      <c r="AG309" s="12">
        <f>SUM(AC309:AF309)</f>
        <v>0</v>
      </c>
      <c r="AH309" s="12">
        <f>(AH188-AG188)*-1</f>
        <v>0</v>
      </c>
      <c r="AI309" s="12">
        <f>(AI188-AH188)*-1</f>
        <v>0</v>
      </c>
      <c r="AJ309" s="12">
        <f>(AJ188-AI188)*-1</f>
        <v>0</v>
      </c>
      <c r="AK309" s="12">
        <f>(AK188-AJ188)*-1</f>
        <v>0</v>
      </c>
      <c r="AL309" s="12">
        <f>SUM(AH309:AK309)</f>
        <v>0</v>
      </c>
      <c r="AM309" s="12">
        <f>(AM188-AL188)*-1</f>
        <v>0</v>
      </c>
      <c r="AN309" s="12">
        <f>(AN188-AM188)*-1</f>
        <v>0</v>
      </c>
      <c r="AO309" s="12">
        <f>(AO188-AN188)*-1</f>
        <v>0</v>
      </c>
      <c r="AP309" s="12">
        <f>(AP188-AO188)*-1</f>
        <v>0</v>
      </c>
      <c r="AQ309" s="12">
        <f>SUM(AM309:AP309)</f>
        <v>0</v>
      </c>
      <c r="AR309" s="12">
        <f>(AR188-AQ188)*-1</f>
        <v>0</v>
      </c>
      <c r="AS309" s="12">
        <f>(AS188-AR188)*-1</f>
        <v>0</v>
      </c>
      <c r="AT309" s="12">
        <f>(AT188-AS188)*-1</f>
        <v>0</v>
      </c>
      <c r="AU309" s="12">
        <f>(AU188-AT188)*-1</f>
        <v>0</v>
      </c>
      <c r="AV309" s="12">
        <f>SUM(AR309:AU309)</f>
        <v>0</v>
      </c>
      <c r="AW309" s="12">
        <f>(AW188-AV188)*-1</f>
        <v>0</v>
      </c>
      <c r="AX309" s="12">
        <f>(AX188-AW188)*-1</f>
        <v>0</v>
      </c>
      <c r="AY309" s="12">
        <f>(AY188-AX188)*-1</f>
        <v>0</v>
      </c>
      <c r="AZ309" s="12">
        <f>(AZ188-AY188)*-1</f>
        <v>0</v>
      </c>
      <c r="BA309" s="12">
        <f>SUM(AW309:AZ309)</f>
        <v>0</v>
      </c>
      <c r="BB309" s="12">
        <f>(BB188-BA188)*-1</f>
        <v>0</v>
      </c>
      <c r="BC309" s="12">
        <f>(BC188-BB188)*-1</f>
        <v>0</v>
      </c>
      <c r="BD309" s="12">
        <f>(BD188-BC188)*-1</f>
        <v>0</v>
      </c>
      <c r="BE309" s="12">
        <f>(BE188-BD188)*-1</f>
        <v>0</v>
      </c>
      <c r="BF309" s="12">
        <f>SUM(BB309:BE309)</f>
        <v>0</v>
      </c>
      <c r="BG309" s="12" t="n"/>
      <c r="BH309" s="12" t="n"/>
      <c r="BI309" s="12" t="n"/>
      <c r="BJ309" s="12" t="n"/>
      <c r="BK309" s="12" t="n"/>
      <c r="BL309" s="12" t="n"/>
      <c r="BM309" s="12" t="n"/>
      <c r="BN309" s="12" t="n"/>
      <c r="BO309" s="12" t="n"/>
      <c r="BP309" s="12" t="n"/>
      <c r="BQ309" s="12" t="n"/>
      <c r="BR309" s="12" t="n"/>
      <c r="BS309" s="12" t="n"/>
      <c r="BT309" s="12" t="n"/>
      <c r="BU309" s="12" t="n"/>
      <c r="BV309" s="12" t="n"/>
      <c r="BW309" s="12" t="n"/>
      <c r="BX309" s="12" t="n"/>
      <c r="BY309" s="12" t="n"/>
      <c r="BZ309" s="12" t="n"/>
      <c r="CA309" s="12" t="n"/>
      <c r="CB309" s="12" t="n"/>
      <c r="CC309" s="12" t="n"/>
      <c r="CD309" s="12" t="n"/>
      <c r="CE309" s="12" t="n"/>
      <c r="CF309" s="12" t="n"/>
      <c r="CG309" s="12" t="n"/>
      <c r="CH309" s="12" t="n"/>
      <c r="CI309" s="12" t="n"/>
      <c r="CJ309" s="12" t="n"/>
      <c r="CK309" s="12" t="n"/>
      <c r="CL309" s="12" t="n"/>
      <c r="CM309" s="12" t="n"/>
      <c r="CN309" s="12" t="n"/>
      <c r="CO309" s="12" t="n"/>
      <c r="CP309" s="12" t="n"/>
      <c r="CQ309" s="12" t="n"/>
      <c r="CR309" s="12" t="n"/>
      <c r="CS309" s="12" t="n"/>
      <c r="CT309" s="12" t="n"/>
      <c r="CU309" s="12" t="n"/>
      <c r="CV309" s="12" t="n"/>
      <c r="CW309" s="12" t="n"/>
      <c r="CX309" s="12" t="n"/>
      <c r="CY309" s="12" t="n"/>
      <c r="CZ309" s="12" t="n"/>
      <c r="DA309" s="12" t="n"/>
      <c r="DB309" s="12" t="n"/>
      <c r="DC309" s="12" t="n"/>
    </row>
    <row r="310">
      <c r="C310" s="10" t="inlineStr">
        <is>
          <t>Purchases of intangible assets</t>
        </is>
      </c>
      <c r="D310" s="12" t="n"/>
      <c r="E310" s="12" t="n"/>
      <c r="F310" s="12" t="n"/>
      <c r="G310" s="12" t="n"/>
      <c r="H310" s="12" t="n"/>
      <c r="I310" s="12" t="n"/>
      <c r="J310" s="12">
        <f>((J192-I192)*-1)+((J191-I191)*-1)</f>
        <v>-0.963999999999999</v>
      </c>
      <c r="K310" s="12">
        <f>((K192-J192)*-1)+((K191-J191)*-1)</f>
        <v>-11.148</v>
      </c>
      <c r="L310" s="12">
        <f>((L192-K192)*-1)+((L191-K191)*-1)</f>
        <v>-6.64400000000001</v>
      </c>
      <c r="M310" s="12" t="n"/>
      <c r="N310" s="12">
        <f>((N192-M192)*-1)+((N191-M191)*-1)</f>
        <v>-6.744</v>
      </c>
      <c r="O310" s="12">
        <f>((O192-N192)*-1)+((O191-N191)*-1)</f>
        <v>-18.731</v>
      </c>
      <c r="P310" s="12">
        <f>((P192-O192)*-1)+((P191-O191)*-1)</f>
        <v>-9.61699999999999</v>
      </c>
      <c r="Q310" s="12">
        <f>((Q192-P192)*-1)+((Q191-P191)*-1)</f>
        <v>-77.656</v>
      </c>
      <c r="R310" s="12">
        <f>SUM(N310:Q310)</f>
        <v>-112.748</v>
      </c>
      <c r="S310" s="12">
        <f>((S192-R192)*-1)+((S191-R191)*-1)</f>
        <v>-10.276</v>
      </c>
      <c r="T310" s="12">
        <f>((T192-S192)*-1)+((T191-S191)*-1)</f>
        <v>-1.25700000000001</v>
      </c>
      <c r="U310" s="12">
        <f>((U192-T192)*-1)+((U191-T191)*-1)</f>
        <v>-5.209</v>
      </c>
      <c r="V310" s="12">
        <f>((V192-U192)*-1)+((V191-U191)*-1)</f>
        <v>-31.777</v>
      </c>
      <c r="W310" s="12">
        <f>SUM(S310:V310)</f>
        <v>-48.519</v>
      </c>
      <c r="X310" s="12">
        <f>((X192-W192)*-1)+((X191-W191)*-1)</f>
        <v>7.09699999999998</v>
      </c>
      <c r="Y310" s="12">
        <f>((Y192-X192)*-1)+((Y191-X191)*-1)</f>
        <v>-6.48899999999998</v>
      </c>
      <c r="Z310" s="12">
        <f>((Z192-Y192)*-1)+((Z191-Y191)*-1)</f>
        <v>-3.697</v>
      </c>
      <c r="AA310" s="12">
        <f>((AA192-Z192)*-1)+((AA191-Z191)*-1)</f>
        <v>-2.76300000000003</v>
      </c>
      <c r="AB310" s="12">
        <f>SUM(X310:AA310)</f>
        <v>-5.85200000000003</v>
      </c>
      <c r="AC310" s="12">
        <f>((AC192-AB192)*-1)+((AC191-AB191)*-1)</f>
        <v>-5.89499999999998</v>
      </c>
      <c r="AD310" s="12">
        <f>((AD192-AC192)*-1)+((AD191-AC191)*-1)</f>
        <v>-5.47800000000001</v>
      </c>
      <c r="AE310" s="12">
        <f>((AE192-AD192)*-1)+((AE191-AD191)*-1)</f>
        <v>6.03500000000003</v>
      </c>
      <c r="AF310" s="12">
        <f>((AF192-AE192)*-1)+((AF191-AE191)*-1)</f>
        <v>-2.57400000000001</v>
      </c>
      <c r="AG310" s="12">
        <f>SUM(AC310:AF310)</f>
        <v>-7.91199999999998</v>
      </c>
      <c r="AH310" s="12">
        <f>((AH192-AG192)*-1)+((AH191-AG191)*-1)</f>
        <v>-7.20800000000003</v>
      </c>
      <c r="AI310" s="12">
        <f>((AI192-AH192)*-1)+((AI191-AH191)*-1)</f>
        <v>-27.458</v>
      </c>
      <c r="AJ310" s="12">
        <f>((AJ192-AI192)*-1)+((AJ191-AI191)*-1)</f>
        <v>0</v>
      </c>
      <c r="AK310" s="12">
        <f>((AK192-AJ192)*-1)+((AK191-AJ191)*-1)</f>
        <v>0</v>
      </c>
      <c r="AL310" s="12">
        <f>SUM(AH310:AK310)</f>
        <v>-34.666</v>
      </c>
      <c r="AM310" s="12">
        <f>((AM192-AL192)*-1)+((AM191-AL191)*-1)</f>
        <v>0</v>
      </c>
      <c r="AN310" s="12">
        <f>((AN192-AM192)*-1)+((AN191-AM191)*-1)</f>
        <v>0</v>
      </c>
      <c r="AO310" s="12">
        <f>((AO192-AN192)*-1)+((AO191-AN191)*-1)</f>
        <v>0</v>
      </c>
      <c r="AP310" s="12">
        <f>((AP192-AO192)*-1)+((AP191-AO191)*-1)</f>
        <v>0</v>
      </c>
      <c r="AQ310" s="12">
        <f>SUM(AM310:AP310)</f>
        <v>0</v>
      </c>
      <c r="AR310" s="12">
        <f>((AR192-AQ192)*-1)+((AR191-AQ191)*-1)</f>
        <v>0</v>
      </c>
      <c r="AS310" s="12">
        <f>((AS192-AR192)*-1)+((AS191-AR191)*-1)</f>
        <v>0</v>
      </c>
      <c r="AT310" s="12">
        <f>((AT192-AS192)*-1)+((AT191-AS191)*-1)</f>
        <v>0</v>
      </c>
      <c r="AU310" s="12">
        <f>((AU192-AT192)*-1)+((AU191-AT191)*-1)</f>
        <v>0</v>
      </c>
      <c r="AV310" s="12">
        <f>SUM(AR310:AU310)</f>
        <v>0</v>
      </c>
      <c r="AW310" s="12">
        <f>((AW192-AV192)*-1)+((AW191-AV191)*-1)</f>
        <v>0</v>
      </c>
      <c r="AX310" s="12">
        <f>((AX192-AW192)*-1)+((AX191-AW191)*-1)</f>
        <v>0</v>
      </c>
      <c r="AY310" s="12">
        <f>((AY192-AX192)*-1)+((AY191-AX191)*-1)</f>
        <v>0</v>
      </c>
      <c r="AZ310" s="12">
        <f>((AZ192-AY192)*-1)+((AZ191-AY191)*-1)</f>
        <v>0</v>
      </c>
      <c r="BA310" s="12">
        <f>SUM(AW310:AZ310)</f>
        <v>0</v>
      </c>
      <c r="BB310" s="12">
        <f>((BB192-BA192)*-1)+((BB191-BA191)*-1)</f>
        <v>0</v>
      </c>
      <c r="BC310" s="12">
        <f>((BC192-BB192)*-1)+((BC191-BB191)*-1)</f>
        <v>0</v>
      </c>
      <c r="BD310" s="12">
        <f>((BD192-BC192)*-1)+((BD191-BC191)*-1)</f>
        <v>0</v>
      </c>
      <c r="BE310" s="12">
        <f>((BE192-BD192)*-1)+((BE191-BD191)*-1)</f>
        <v>0</v>
      </c>
      <c r="BF310" s="12">
        <f>SUM(BB310:BE310)</f>
        <v>0</v>
      </c>
      <c r="BG310" s="12" t="n"/>
      <c r="BH310" s="12" t="n"/>
      <c r="BI310" s="12" t="n"/>
      <c r="BJ310" s="12" t="n"/>
      <c r="BK310" s="12" t="n"/>
      <c r="BL310" s="12" t="n"/>
      <c r="BM310" s="12" t="n"/>
      <c r="BN310" s="12" t="n"/>
      <c r="BO310" s="12" t="n"/>
      <c r="BP310" s="12" t="n"/>
      <c r="BQ310" s="12" t="n"/>
      <c r="BR310" s="12" t="n"/>
      <c r="BS310" s="12" t="n"/>
      <c r="BT310" s="12" t="n"/>
      <c r="BU310" s="12" t="n"/>
      <c r="BV310" s="12" t="n"/>
      <c r="BW310" s="12" t="n"/>
      <c r="BX310" s="12" t="n"/>
      <c r="BY310" s="12" t="n"/>
      <c r="BZ310" s="12" t="n"/>
      <c r="CA310" s="12" t="n"/>
      <c r="CB310" s="12" t="n"/>
      <c r="CC310" s="12" t="n"/>
      <c r="CD310" s="12" t="n"/>
      <c r="CE310" s="12" t="n"/>
      <c r="CF310" s="12" t="n"/>
      <c r="CG310" s="12" t="n"/>
      <c r="CH310" s="12" t="n"/>
      <c r="CI310" s="12" t="n"/>
      <c r="CJ310" s="12" t="n"/>
      <c r="CK310" s="12" t="n"/>
      <c r="CL310" s="12" t="n"/>
      <c r="CM310" s="12" t="n"/>
      <c r="CN310" s="12" t="n"/>
      <c r="CO310" s="12" t="n"/>
      <c r="CP310" s="12" t="n"/>
      <c r="CQ310" s="12" t="n"/>
      <c r="CR310" s="12" t="n"/>
      <c r="CS310" s="12" t="n"/>
      <c r="CT310" s="12" t="n"/>
      <c r="CU310" s="12" t="n"/>
      <c r="CV310" s="12" t="n"/>
      <c r="CW310" s="12" t="n"/>
      <c r="CX310" s="12" t="n"/>
      <c r="CY310" s="12" t="n"/>
      <c r="CZ310" s="12" t="n"/>
      <c r="DA310" s="12" t="n"/>
      <c r="DB310" s="12" t="n"/>
      <c r="DC310" s="12" t="n"/>
    </row>
    <row r="311">
      <c r="C311" s="71" t="inlineStr">
        <is>
          <t>Purchases/Proceeds from other long-term assets</t>
        </is>
      </c>
      <c r="D311" s="12" t="n"/>
      <c r="E311" s="12" t="n"/>
      <c r="F311" s="12" t="n"/>
      <c r="G311" s="12" t="n"/>
      <c r="H311" s="12" t="n"/>
      <c r="I311" s="12" t="n"/>
      <c r="J311" s="12">
        <f>((J201-I201)*-1)+(J252-I252)</f>
        <v>204.425</v>
      </c>
      <c r="K311" s="12">
        <f>((K201-J201)*-1)+(K252-J252)</f>
        <v>-55.871</v>
      </c>
      <c r="L311" s="12">
        <f>((L201-K201)*-1)+(L252-K252)</f>
        <v>-221.98</v>
      </c>
      <c r="M311" s="12" t="n"/>
      <c r="N311" s="12">
        <f>((N201-M201)*-1)+(N252-M252)</f>
        <v>572.469</v>
      </c>
      <c r="O311" s="12">
        <f>((O201-N201)*-1)+(O252-N252)</f>
        <v>30.046</v>
      </c>
      <c r="P311" s="12">
        <f>((P201-O201)*-1)+(P252-O252)</f>
        <v>-374.775</v>
      </c>
      <c r="Q311" s="12">
        <f>((Q201-P201)*-1)+(Q252-P252)</f>
        <v>512.105</v>
      </c>
      <c r="R311" s="12">
        <f>SUM(N311:Q311)</f>
        <v>739.845</v>
      </c>
      <c r="S311" s="12">
        <f>((S201-R201)*-1)+(S252-R252)</f>
        <v>-158.038</v>
      </c>
      <c r="T311" s="12">
        <f>((T201-S201)*-1)+(T252-S252)</f>
        <v>-23.768</v>
      </c>
      <c r="U311" s="12">
        <f>((U201-T201)*-1)+(U252-T252)</f>
        <v>30.513</v>
      </c>
      <c r="V311" s="12">
        <f>((V201-U201)*-1)+(V252-U252)</f>
        <v>-834.529</v>
      </c>
      <c r="W311" s="12">
        <f>SUM(S311:V311)</f>
        <v>-985.822</v>
      </c>
      <c r="X311" s="12">
        <f>((X201-W201)*-1)+(X252-W252)</f>
        <v>42.6159999999999</v>
      </c>
      <c r="Y311" s="12">
        <f>((Y201-X201)*-1)+(Y252-X252)</f>
        <v>-456.805</v>
      </c>
      <c r="Z311" s="12">
        <f>((Z201-Y201)*-1)+(Z252-Y252)</f>
        <v>-0.331999999999994</v>
      </c>
      <c r="AA311" s="12">
        <f>((AA201-Z201)*-1)+(AA252-Z252)</f>
        <v>-188.416</v>
      </c>
      <c r="AB311" s="12">
        <f>SUM(X311:AA311)</f>
        <v>-602.937</v>
      </c>
      <c r="AC311" s="12">
        <f>((AC201-AB201)*-1)+(AC252-AB252)</f>
        <v>657.949</v>
      </c>
      <c r="AD311" s="12">
        <f>((AD201-AC201)*-1)+(AD252-AC252)</f>
        <v>808.169</v>
      </c>
      <c r="AE311" s="12">
        <f>((AE201-AD201)*-1)+(AE252-AD252)</f>
        <v>69.095</v>
      </c>
      <c r="AF311" s="12">
        <f>((AF201-AE201)*-1)+(AF252-AE252)</f>
        <v>-41.629</v>
      </c>
      <c r="AG311" s="12">
        <f>SUM(AC311:AF311)</f>
        <v>1493.584</v>
      </c>
      <c r="AH311" s="12">
        <f>((AH201-AG201)*-1)+(AH252-AG252)</f>
        <v>213.935</v>
      </c>
      <c r="AI311" s="12">
        <f>((AI201-AH201)*-1)+(AI252-AH252)</f>
        <v>131.431</v>
      </c>
      <c r="AJ311" s="12">
        <f>((AJ201-AI201)*-1)+(AJ252-AI252)</f>
        <v>0</v>
      </c>
      <c r="AK311" s="12">
        <f>((AK201-AJ201)*-1)+(AK252-AJ252)</f>
        <v>0</v>
      </c>
      <c r="AL311" s="12">
        <f>SUM(AH311:AK311)</f>
        <v>345.366</v>
      </c>
      <c r="AM311" s="12">
        <f>((AM201-AL201)*-1)+(AM252-AL252)</f>
        <v>0</v>
      </c>
      <c r="AN311" s="12">
        <f>((AN201-AM201)*-1)+(AN252-AM252)</f>
        <v>0</v>
      </c>
      <c r="AO311" s="12">
        <f>((AO201-AN201)*-1)+(AO252-AN252)</f>
        <v>0</v>
      </c>
      <c r="AP311" s="12">
        <f>((AP201-AO201)*-1)+(AP252-AO252)</f>
        <v>0</v>
      </c>
      <c r="AQ311" s="12">
        <f>SUM(AM311:AP311)</f>
        <v>0</v>
      </c>
      <c r="AR311" s="12">
        <f>((AR201-AQ201)*-1)+(AR252-AQ252)</f>
        <v>0</v>
      </c>
      <c r="AS311" s="12">
        <f>((AS201-AR201)*-1)+(AS252-AR252)</f>
        <v>0</v>
      </c>
      <c r="AT311" s="12">
        <f>((AT201-AS201)*-1)+(AT252-AS252)</f>
        <v>0</v>
      </c>
      <c r="AU311" s="12">
        <f>((AU201-AT201)*-1)+(AU252-AT252)</f>
        <v>0</v>
      </c>
      <c r="AV311" s="12">
        <f>SUM(AR311:AU311)</f>
        <v>0</v>
      </c>
      <c r="AW311" s="12">
        <f>((AW201-AV201)*-1)+(AW252-AV252)</f>
        <v>0</v>
      </c>
      <c r="AX311" s="12">
        <f>((AX201-AW201)*-1)+(AX252-AW252)</f>
        <v>0</v>
      </c>
      <c r="AY311" s="12">
        <f>((AY201-AX201)*-1)+(AY252-AX252)</f>
        <v>0</v>
      </c>
      <c r="AZ311" s="12">
        <f>((AZ201-AY201)*-1)+(AZ252-AY252)</f>
        <v>0</v>
      </c>
      <c r="BA311" s="12">
        <f>SUM(AW311:AZ311)</f>
        <v>0</v>
      </c>
      <c r="BB311" s="12">
        <f>((BB201-BA201)*-1)+(BB252-BA252)</f>
        <v>0</v>
      </c>
      <c r="BC311" s="12">
        <f>((BC201-BB201)*-1)+(BC252-BB252)</f>
        <v>0</v>
      </c>
      <c r="BD311" s="12">
        <f>((BD201-BC201)*-1)+(BD252-BC252)</f>
        <v>0</v>
      </c>
      <c r="BE311" s="12">
        <f>((BE201-BD201)*-1)+(BE252-BD252)</f>
        <v>0</v>
      </c>
      <c r="BF311" s="12">
        <f>SUM(BB311:BE311)</f>
        <v>0</v>
      </c>
      <c r="BG311" s="12" t="n"/>
      <c r="BH311" s="12" t="n"/>
      <c r="BI311" s="12" t="n"/>
      <c r="BJ311" s="12" t="n"/>
      <c r="BK311" s="12" t="n"/>
      <c r="BL311" s="12" t="n"/>
      <c r="BM311" s="12" t="n"/>
      <c r="BN311" s="12" t="n"/>
      <c r="BO311" s="12" t="n"/>
      <c r="BP311" s="12" t="n"/>
      <c r="BQ311" s="12" t="n"/>
      <c r="BR311" s="12" t="n"/>
      <c r="BS311" s="12" t="n"/>
      <c r="BT311" s="12" t="n"/>
      <c r="BU311" s="12" t="n"/>
      <c r="BV311" s="12" t="n"/>
      <c r="BW311" s="12" t="n"/>
      <c r="BX311" s="12" t="n"/>
      <c r="BY311" s="12" t="n"/>
      <c r="BZ311" s="12" t="n"/>
      <c r="CA311" s="12" t="n"/>
      <c r="CB311" s="12" t="n"/>
      <c r="CC311" s="12" t="n"/>
      <c r="CD311" s="12" t="n"/>
      <c r="CE311" s="12" t="n"/>
      <c r="CF311" s="12" t="n"/>
      <c r="CG311" s="12" t="n"/>
      <c r="CH311" s="12" t="n"/>
      <c r="CI311" s="12" t="n"/>
      <c r="CJ311" s="12" t="n"/>
      <c r="CK311" s="12" t="n"/>
      <c r="CL311" s="12" t="n"/>
      <c r="CM311" s="12" t="n"/>
      <c r="CN311" s="12" t="n"/>
      <c r="CO311" s="12" t="n"/>
      <c r="CP311" s="12" t="n"/>
      <c r="CQ311" s="12" t="n"/>
      <c r="CR311" s="12" t="n"/>
      <c r="CS311" s="12" t="n"/>
      <c r="CT311" s="12" t="n"/>
      <c r="CU311" s="12" t="n"/>
      <c r="CV311" s="12" t="n"/>
      <c r="CW311" s="12" t="n"/>
      <c r="CX311" s="12" t="n"/>
      <c r="CY311" s="12" t="n"/>
    </row>
    <row r="312">
      <c r="C312" s="14" t="inlineStr">
        <is>
          <t>Cash from investing</t>
        </is>
      </c>
      <c r="D312" s="12" t="n"/>
      <c r="E312" s="12" t="n"/>
      <c r="F312" s="12" t="n"/>
      <c r="G312" s="12" t="n"/>
      <c r="H312" s="12" t="n"/>
      <c r="I312" s="12" t="n"/>
      <c r="J312" s="12">
        <f>SUM(J307,J308,J310,J311,J309)</f>
        <v>-798.674</v>
      </c>
      <c r="K312" s="12">
        <f>SUM(K307,K308,K310,K311,K309)</f>
        <v>-2747.196</v>
      </c>
      <c r="L312" s="12">
        <f>SUM(L307,L308,L310,L311,L309)</f>
        <v>-2682.176</v>
      </c>
      <c r="M312" s="12" t="n"/>
      <c r="N312" s="12">
        <f>SUM(N307,N308,N310,N311,N309)</f>
        <v>-340.911999999999</v>
      </c>
      <c r="O312" s="12">
        <f>SUM(O307,O308,O310,O311,O309)</f>
        <v>-2193.833</v>
      </c>
      <c r="P312" s="12">
        <f>SUM(P307,P308,P310,P311,P309)</f>
        <v>-1177.801</v>
      </c>
      <c r="Q312" s="12">
        <f>SUM(Q307,Q308,Q310,Q311,Q309)</f>
        <v>-497.738000000001</v>
      </c>
      <c r="R312" s="12">
        <f>SUM(R307,R308,R310,R311)</f>
        <v>-4210.284</v>
      </c>
      <c r="S312" s="12">
        <f>SUM(S307,S308,S310,S311,S309)</f>
        <v>-19.5499999999998</v>
      </c>
      <c r="T312" s="12">
        <f>SUM(T307,T308,T310,T311,T309)</f>
        <v>-193.684</v>
      </c>
      <c r="U312" s="12">
        <f>SUM(U307,U308,U310,U311,U309)</f>
        <v>-1325.659</v>
      </c>
      <c r="V312" s="12">
        <f>SUM(V307,V308,V310,V311,V309)</f>
        <v>-4528.296</v>
      </c>
      <c r="W312" s="12">
        <f>SUM(W307,W308,W310,W311)</f>
        <v>-6067.189</v>
      </c>
      <c r="X312" s="12">
        <f>SUM(X307,X308,X310,X311,X309)</f>
        <v>-523.409</v>
      </c>
      <c r="Y312" s="12">
        <f>SUM(Y307,Y308,Y310,Y311,Y309)</f>
        <v>-1391.18</v>
      </c>
      <c r="Z312" s="12">
        <f>SUM(Z307,Z308,Z310,Z311,Z309)</f>
        <v>-1111.793</v>
      </c>
      <c r="AA312" s="12">
        <f>SUM(AA307,AA308,AA310,AA311,AA309)</f>
        <v>-2938.596</v>
      </c>
      <c r="AB312" s="12">
        <f>SUM(AB307,AB308,AB310,AB311)</f>
        <v>-5964.978</v>
      </c>
      <c r="AC312" s="12">
        <f>SUM(AC307,AC308,AC310,AC311,AC309)</f>
        <v>1320.786</v>
      </c>
      <c r="AD312" s="12">
        <f>SUM(AD307,AD308,AD310,AD311,AD309)</f>
        <v>-584.049999999998</v>
      </c>
      <c r="AE312" s="12">
        <f>SUM(AE307,AE308,AE310,AE311,AE309)</f>
        <v>-706.529000000001</v>
      </c>
      <c r="AF312" s="12">
        <f>SUM(AF307,AF308,AF310,AF311,AF309)</f>
        <v>-3222.3822426</v>
      </c>
      <c r="AG312" s="12">
        <f>SUM(AG307,AG308,AG310,AG311)</f>
        <v>-3192.1752426</v>
      </c>
      <c r="AH312" s="12">
        <f>SUM(AH307,AH308,AH310,AH311,AH309)</f>
        <v>474.114078600002</v>
      </c>
      <c r="AI312" s="12">
        <f>SUM(AI307,AI308,AI310,AI311,AI309)</f>
        <v>-2403.1606214</v>
      </c>
      <c r="AJ312" s="12">
        <f>SUM(AJ307,AJ308,AJ310,AJ311,AJ309)</f>
        <v>-1262.10379943244</v>
      </c>
      <c r="AK312" s="12">
        <f>SUM(AK307,AK308,AK310,AK311,AK309)</f>
        <v>-1226.28756565032</v>
      </c>
      <c r="AL312" s="12">
        <f>SUM(AL307,AL308,AL310,AL311)</f>
        <v>-4417.43790788275</v>
      </c>
      <c r="AM312" s="12">
        <f>SUM(AM307,AM308,AM310,AM311,AM309)</f>
        <v>-1267.06460534431</v>
      </c>
      <c r="AN312" s="12">
        <f>SUM(AN307,AN308,AN310,AN311,AN309)</f>
        <v>-1262.09951208482</v>
      </c>
      <c r="AO312" s="12">
        <f>SUM(AO307,AO308,AO310,AO311,AO309)</f>
        <v>-1358.58936610829</v>
      </c>
      <c r="AP312" s="12">
        <f>SUM(AP307,AP308,AP310,AP311,AP309)</f>
        <v>-1320.03504563773</v>
      </c>
      <c r="AQ312" s="12">
        <f>SUM(AQ307,AQ308,AQ310,AQ311)</f>
        <v>-5207.78852917515</v>
      </c>
      <c r="AR312" s="12">
        <f>SUM(AR307,AR308,AR310,AR311,AR309)</f>
        <v>-1357.59409368774</v>
      </c>
      <c r="AS312" s="12">
        <f>SUM(AS307,AS308,AS310,AS311,AS309)</f>
        <v>-1352.27425344024</v>
      </c>
      <c r="AT312" s="12">
        <f>SUM(AT307,AT308,AT310,AT311,AT309)</f>
        <v>-1455.658134081</v>
      </c>
      <c r="AU312" s="12">
        <f>SUM(AU307,AU308,AU310,AU311,AU309)</f>
        <v>-1414.34917671907</v>
      </c>
      <c r="AV312" s="12">
        <f>SUM(AV307,AV308,AV310,AV311)</f>
        <v>-5579.87565792804</v>
      </c>
      <c r="AW312" s="12">
        <f>SUM(AW307,AW308,AW310,AW311,AW309)</f>
        <v>-1447.80378076669</v>
      </c>
      <c r="AX312" s="12">
        <f>SUM(AX307,AX308,AX310,AX311,AX309)</f>
        <v>-1442.13044669782</v>
      </c>
      <c r="AY312" s="12">
        <f>SUM(AY307,AY308,AY310,AY311,AY309)</f>
        <v>-1552.3840003616</v>
      </c>
      <c r="AZ312" s="12">
        <f>SUM(AZ307,AZ308,AZ310,AZ311,AZ309)</f>
        <v>-1508.33013704103</v>
      </c>
      <c r="BA312" s="12">
        <f>SUM(BA307,BA308,BA310,BA311)</f>
        <v>-5950.64836486714</v>
      </c>
      <c r="BB312" s="12">
        <f>SUM(BB307,BB308,BB310,BB311,BB309)</f>
        <v>-1536.76872048491</v>
      </c>
      <c r="BC312" s="12">
        <f>SUM(BC307,BC308,BC310,BC311,BC309)</f>
        <v>-1530.74677023605</v>
      </c>
      <c r="BD312" s="12">
        <f>SUM(BD307,BD308,BD310,BD311,BD309)</f>
        <v>-1647.7752065778</v>
      </c>
      <c r="BE312" s="12">
        <f>SUM(BE307,BE308,BE310,BE311,BE309)</f>
        <v>-1601.01431254855</v>
      </c>
      <c r="BF312" s="12">
        <f>SUM(BF307,BF308,BF310,BF311)</f>
        <v>-6316.3050098473</v>
      </c>
      <c r="BG312" s="12" t="n"/>
      <c r="BH312" s="12" t="n"/>
      <c r="BI312" s="12" t="n"/>
      <c r="BJ312" s="12" t="n"/>
      <c r="BK312" s="12" t="n"/>
      <c r="BL312" s="12" t="n"/>
      <c r="BM312" s="12" t="n"/>
      <c r="BN312" s="12" t="n"/>
      <c r="BO312" s="12" t="n"/>
      <c r="BP312" s="12" t="n"/>
      <c r="BQ312" s="12" t="n"/>
      <c r="BR312" s="12" t="n"/>
      <c r="BS312" s="12" t="n"/>
      <c r="BT312" s="12" t="n"/>
      <c r="BU312" s="12" t="n"/>
      <c r="BV312" s="12" t="n"/>
      <c r="BW312" s="12" t="n"/>
      <c r="BX312" s="12" t="n"/>
      <c r="BY312" s="12" t="n"/>
      <c r="BZ312" s="12" t="n"/>
      <c r="CA312" s="12" t="n"/>
      <c r="CB312" s="12" t="n"/>
      <c r="CC312" s="12" t="n"/>
      <c r="CD312" s="12" t="n"/>
      <c r="CE312" s="12" t="n"/>
      <c r="CF312" s="12" t="n"/>
      <c r="CG312" s="12" t="n"/>
      <c r="CH312" s="12" t="n"/>
      <c r="CI312" s="12" t="n"/>
      <c r="CJ312" s="12" t="n"/>
      <c r="CK312" s="12" t="n"/>
      <c r="CL312" s="12" t="n"/>
      <c r="CM312" s="12" t="n"/>
      <c r="CN312" s="12" t="n"/>
      <c r="CO312" s="12" t="n"/>
      <c r="CP312" s="12" t="n"/>
      <c r="CQ312" s="12" t="n"/>
      <c r="CR312" s="12" t="n"/>
      <c r="CS312" s="12" t="n"/>
      <c r="CT312" s="12" t="n"/>
      <c r="CU312" s="12" t="n"/>
      <c r="CV312" s="12" t="n"/>
      <c r="CW312" s="12" t="n"/>
      <c r="CX312" s="12" t="n"/>
      <c r="CY312" s="12" t="n"/>
    </row>
    <row r="313">
      <c r="C313" s="14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  <c r="AJ313" s="12" t="n"/>
      <c r="AK313" s="12" t="n"/>
      <c r="AL313" s="12" t="n"/>
      <c r="AM313" s="12" t="n"/>
      <c r="AN313" s="12" t="n"/>
      <c r="AO313" s="12" t="n"/>
      <c r="AP313" s="12" t="n"/>
      <c r="AQ313" s="12" t="n"/>
      <c r="AR313" s="12" t="n"/>
      <c r="AS313" s="12" t="n"/>
      <c r="AT313" s="12" t="n"/>
      <c r="AU313" s="12" t="n"/>
      <c r="AV313" s="12" t="n"/>
      <c r="AW313" s="12" t="n"/>
      <c r="AX313" s="12" t="n"/>
      <c r="AY313" s="12" t="n"/>
      <c r="AZ313" s="12" t="n"/>
      <c r="BA313" s="12" t="n"/>
      <c r="BB313" s="12" t="n"/>
      <c r="BC313" s="12" t="n"/>
      <c r="BD313" s="12" t="n"/>
      <c r="BE313" s="12" t="n"/>
      <c r="BF313" s="12" t="n"/>
      <c r="BG313" s="12" t="n"/>
      <c r="BH313" s="12" t="n"/>
      <c r="BI313" s="12" t="n"/>
      <c r="BJ313" s="12" t="n"/>
      <c r="BK313" s="12" t="n"/>
      <c r="BL313" s="12" t="n"/>
      <c r="BM313" s="12" t="n"/>
      <c r="BN313" s="12" t="n"/>
      <c r="BO313" s="12" t="n"/>
      <c r="BP313" s="12" t="n"/>
      <c r="BQ313" s="12" t="n"/>
      <c r="BR313" s="12" t="n"/>
      <c r="BS313" s="12" t="n"/>
      <c r="BT313" s="12" t="n"/>
      <c r="BU313" s="12" t="n"/>
      <c r="BV313" s="12" t="n"/>
      <c r="BW313" s="12" t="n"/>
      <c r="BX313" s="12" t="n"/>
      <c r="BY313" s="12" t="n"/>
      <c r="BZ313" s="12" t="n"/>
      <c r="CA313" s="12" t="n"/>
      <c r="CB313" s="12" t="n"/>
      <c r="CC313" s="12" t="n"/>
      <c r="CD313" s="12" t="n"/>
      <c r="CE313" s="12" t="n"/>
      <c r="CF313" s="12" t="n"/>
      <c r="CG313" s="12" t="n"/>
      <c r="CH313" s="12" t="n"/>
      <c r="CI313" s="12" t="n"/>
      <c r="CJ313" s="12" t="n"/>
      <c r="CK313" s="12" t="n"/>
      <c r="CL313" s="12" t="n"/>
      <c r="CM313" s="12" t="n"/>
      <c r="CN313" s="12" t="n"/>
      <c r="CO313" s="12" t="n"/>
      <c r="CP313" s="12" t="n"/>
      <c r="CQ313" s="12" t="n"/>
      <c r="CR313" s="12" t="n"/>
      <c r="CS313" s="12" t="n"/>
      <c r="CT313" s="12" t="n"/>
      <c r="CU313" s="12" t="n"/>
      <c r="CV313" s="12" t="n"/>
      <c r="CW313" s="12" t="n"/>
      <c r="CX313" s="12" t="n"/>
      <c r="CY313" s="12" t="n"/>
    </row>
    <row r="314">
      <c r="C314" s="14" t="inlineStr">
        <is>
          <t>Convertible preferred stock</t>
        </is>
      </c>
      <c r="D314" s="12" t="n"/>
      <c r="E314" s="12" t="n"/>
      <c r="F314" s="12" t="n"/>
      <c r="G314" s="12" t="n"/>
      <c r="H314" s="12" t="n"/>
      <c r="I314" s="12" t="n"/>
      <c r="J314" s="12">
        <f>J265-I265</f>
        <v>0</v>
      </c>
      <c r="K314" s="12">
        <f>K265-J265</f>
        <v>0</v>
      </c>
      <c r="L314" s="12">
        <f>L265-K265</f>
        <v>0</v>
      </c>
      <c r="M314" s="12" t="n"/>
      <c r="N314" s="12">
        <f>N265-M265</f>
        <v>0</v>
      </c>
      <c r="O314" s="12">
        <f>O265-N265</f>
        <v>0</v>
      </c>
      <c r="P314" s="12">
        <f>P265-O265</f>
        <v>0</v>
      </c>
      <c r="Q314" s="12">
        <f>Q265-P265</f>
        <v>0</v>
      </c>
      <c r="R314" s="12">
        <f>SUM(N314:Q314)</f>
        <v>0</v>
      </c>
      <c r="S314" s="12">
        <f>S265-R265</f>
        <v>0</v>
      </c>
      <c r="T314" s="12">
        <f>T265-S265</f>
        <v>0</v>
      </c>
      <c r="U314" s="12">
        <f>U265-T265</f>
        <v>0</v>
      </c>
      <c r="V314" s="12">
        <f>V265-U265</f>
        <v>0</v>
      </c>
      <c r="W314" s="12">
        <f>SUM(S314:V314)</f>
        <v>0</v>
      </c>
      <c r="X314" s="12">
        <f>X265-W265</f>
        <v>0</v>
      </c>
      <c r="Y314" s="12">
        <f>Y265-X265</f>
        <v>0</v>
      </c>
      <c r="Z314" s="12">
        <f>Z265-Y265</f>
        <v>0</v>
      </c>
      <c r="AA314" s="12">
        <f>AA265-Z265</f>
        <v>0</v>
      </c>
      <c r="AB314" s="12">
        <f>SUM(X314:AA314)</f>
        <v>0</v>
      </c>
      <c r="AC314" s="12">
        <f>AC265-AB265</f>
        <v>0</v>
      </c>
      <c r="AD314" s="12">
        <f>AD265-AC265</f>
        <v>0</v>
      </c>
      <c r="AE314" s="12">
        <f>AE265-AD265</f>
        <v>0</v>
      </c>
      <c r="AF314" s="12">
        <f>AF265-AE265</f>
        <v>0</v>
      </c>
      <c r="AG314" s="12">
        <f>SUM(AC314:AF314)</f>
        <v>0</v>
      </c>
      <c r="AH314" s="12">
        <f>AH265-AG265</f>
        <v>0</v>
      </c>
      <c r="AI314" s="12">
        <f>AI265-AH265</f>
        <v>0</v>
      </c>
      <c r="AJ314" s="12">
        <f>AJ265-AI265</f>
        <v>0</v>
      </c>
      <c r="AK314" s="12">
        <f>AK265-AJ265</f>
        <v>0</v>
      </c>
      <c r="AL314" s="12">
        <f>SUM(AH314:AK314)</f>
        <v>0</v>
      </c>
      <c r="AM314" s="12">
        <f>AM265-AL265</f>
        <v>0</v>
      </c>
      <c r="AN314" s="12">
        <f>AN265-AM265</f>
        <v>0</v>
      </c>
      <c r="AO314" s="12">
        <f>AO265-AN265</f>
        <v>0</v>
      </c>
      <c r="AP314" s="12">
        <f>AP265-AO265</f>
        <v>0</v>
      </c>
      <c r="AQ314" s="12">
        <f>SUM(AM314:AP314)</f>
        <v>0</v>
      </c>
      <c r="AR314" s="12">
        <f>AR265-AQ265</f>
        <v>0</v>
      </c>
      <c r="AS314" s="12">
        <f>AS265-AR265</f>
        <v>0</v>
      </c>
      <c r="AT314" s="12">
        <f>AT265-AS265</f>
        <v>0</v>
      </c>
      <c r="AU314" s="12">
        <f>AU265-AT265</f>
        <v>0</v>
      </c>
      <c r="AV314" s="12">
        <f>SUM(AR314:AU314)</f>
        <v>0</v>
      </c>
      <c r="AW314" s="12">
        <f>AW265-AV265</f>
        <v>0</v>
      </c>
      <c r="AX314" s="12">
        <f>AX265-AW265</f>
        <v>0</v>
      </c>
      <c r="AY314" s="12">
        <f>AY265-AX265</f>
        <v>0</v>
      </c>
      <c r="AZ314" s="12">
        <f>AZ265-AY265</f>
        <v>0</v>
      </c>
      <c r="BA314" s="12">
        <f>SUM(AW314:AZ314)</f>
        <v>0</v>
      </c>
      <c r="BB314" s="12">
        <f>BB265-BA265</f>
        <v>0</v>
      </c>
      <c r="BC314" s="12">
        <f>BC265-BB265</f>
        <v>0</v>
      </c>
      <c r="BD314" s="12">
        <f>BD265-BC265</f>
        <v>0</v>
      </c>
      <c r="BE314" s="12">
        <f>BE265-BD265</f>
        <v>0</v>
      </c>
      <c r="BF314" s="12">
        <f>SUM(BB314:BE314)</f>
        <v>0</v>
      </c>
      <c r="BG314" s="12" t="n"/>
      <c r="BH314" s="12" t="n"/>
      <c r="BI314" s="12" t="n"/>
      <c r="BJ314" s="12" t="n"/>
      <c r="BK314" s="12" t="n"/>
      <c r="BL314" s="12" t="n"/>
      <c r="BM314" s="12" t="n"/>
      <c r="BN314" s="12" t="n"/>
      <c r="BO314" s="12" t="n"/>
      <c r="BP314" s="12" t="n"/>
      <c r="BQ314" s="12" t="n"/>
      <c r="BR314" s="12" t="n"/>
      <c r="BS314" s="12" t="n"/>
      <c r="BT314" s="12" t="n"/>
      <c r="BU314" s="12" t="n"/>
      <c r="BV314" s="12" t="n"/>
      <c r="BW314" s="12" t="n"/>
      <c r="BX314" s="12" t="n"/>
      <c r="BY314" s="12" t="n"/>
      <c r="BZ314" s="12" t="n"/>
      <c r="CA314" s="12" t="n"/>
      <c r="CB314" s="12" t="n"/>
      <c r="CC314" s="12" t="n"/>
      <c r="CD314" s="12" t="n"/>
      <c r="CE314" s="12" t="n"/>
      <c r="CF314" s="12" t="n"/>
      <c r="CG314" s="12" t="n"/>
      <c r="CH314" s="12" t="n"/>
      <c r="CI314" s="12" t="n"/>
      <c r="CJ314" s="12" t="n"/>
      <c r="CK314" s="12" t="n"/>
      <c r="CL314" s="12" t="n"/>
      <c r="CM314" s="12" t="n"/>
      <c r="CN314" s="12" t="n"/>
      <c r="CO314" s="12" t="n"/>
      <c r="CP314" s="12" t="n"/>
      <c r="CQ314" s="12" t="n"/>
      <c r="CR314" s="12" t="n"/>
      <c r="CS314" s="12" t="n"/>
      <c r="CT314" s="12" t="n"/>
      <c r="CU314" s="12" t="n"/>
      <c r="CV314" s="12" t="n"/>
      <c r="CW314" s="12" t="n"/>
      <c r="CX314" s="12" t="n"/>
      <c r="CY314" s="12" t="n"/>
    </row>
    <row r="315">
      <c r="C315" s="14" t="inlineStr">
        <is>
          <t>Common stock and APIC</t>
        </is>
      </c>
      <c r="D315" s="12" t="n"/>
      <c r="E315" s="12" t="n"/>
      <c r="F315" s="12" t="n"/>
      <c r="G315" s="12" t="n"/>
      <c r="H315" s="12" t="n"/>
      <c r="I315" s="12" t="n"/>
      <c r="J315" s="12">
        <f>J266-I266</f>
        <v>0.145999999999731</v>
      </c>
      <c r="K315" s="12">
        <f>K266-J266</f>
        <v>582.87</v>
      </c>
      <c r="L315" s="12">
        <f>L266-K266</f>
        <v>-1.49400000000014</v>
      </c>
      <c r="M315" s="12" t="n"/>
      <c r="N315" s="12">
        <f>N266-M266</f>
        <v>0.0740000000000691</v>
      </c>
      <c r="O315" s="12">
        <f>O266-N266</f>
        <v>0</v>
      </c>
      <c r="P315" s="12">
        <f>P266-O266</f>
        <v>0</v>
      </c>
      <c r="Q315" s="12">
        <f>Q266-P266</f>
        <v>0</v>
      </c>
      <c r="R315" s="12">
        <f>SUM(N315:Q315)</f>
        <v>0.0740000000000691</v>
      </c>
      <c r="S315" s="12">
        <f>S266-R266</f>
        <v>0</v>
      </c>
      <c r="T315" s="12">
        <f>T266-S266</f>
        <v>-0.00100000000020373</v>
      </c>
      <c r="U315" s="12">
        <f>U266-T266</f>
        <v>0.00100000000020373</v>
      </c>
      <c r="V315" s="12">
        <f>V266-U266</f>
        <v>0</v>
      </c>
      <c r="W315" s="12">
        <f>SUM(S315:V315)</f>
        <v>0</v>
      </c>
      <c r="X315" s="12">
        <f>X266-W266</f>
        <v>0</v>
      </c>
      <c r="Y315" s="12">
        <f>Y266-X266</f>
        <v>0</v>
      </c>
      <c r="Z315" s="12">
        <f>Z266-Y266</f>
        <v>0</v>
      </c>
      <c r="AA315" s="12">
        <f>AA266-Z266</f>
        <v>0</v>
      </c>
      <c r="AB315" s="12">
        <f>SUM(X315:AA315)</f>
        <v>0</v>
      </c>
      <c r="AC315" s="12">
        <f>AC266-AB266</f>
        <v>0</v>
      </c>
      <c r="AD315" s="12">
        <f>AD266-AC266</f>
        <v>0</v>
      </c>
      <c r="AE315" s="12">
        <f>AE266-AD266</f>
        <v>0</v>
      </c>
      <c r="AF315" s="12">
        <f>AF266-AE266</f>
        <v>0</v>
      </c>
      <c r="AG315" s="12">
        <f>SUM(AC315:AF315)</f>
        <v>0</v>
      </c>
      <c r="AH315" s="12">
        <f>AH266-AG266</f>
        <v>-61.6330000000003</v>
      </c>
      <c r="AI315" s="12">
        <f>AI266-AH266</f>
        <v>744.932</v>
      </c>
      <c r="AJ315" s="12">
        <f>AJ266-AI266</f>
        <v>0</v>
      </c>
      <c r="AK315" s="12">
        <f>AK266-AJ266</f>
        <v>0</v>
      </c>
      <c r="AL315" s="12">
        <f>SUM(AH315:AK315)</f>
        <v>683.299</v>
      </c>
      <c r="AM315" s="12">
        <f>AM266-AL266</f>
        <v>0</v>
      </c>
      <c r="AN315" s="12">
        <f>AN266-AM266</f>
        <v>0</v>
      </c>
      <c r="AO315" s="12">
        <f>AO266-AN266</f>
        <v>0</v>
      </c>
      <c r="AP315" s="12">
        <f>AP266-AO266</f>
        <v>0</v>
      </c>
      <c r="AQ315" s="12">
        <f>SUM(AM315:AP315)</f>
        <v>0</v>
      </c>
      <c r="AR315" s="12">
        <f>AR266-AQ266</f>
        <v>0</v>
      </c>
      <c r="AS315" s="12">
        <f>AS266-AR266</f>
        <v>0</v>
      </c>
      <c r="AT315" s="12">
        <f>AT266-AS266</f>
        <v>0</v>
      </c>
      <c r="AU315" s="12">
        <f>AU266-AT266</f>
        <v>0</v>
      </c>
      <c r="AV315" s="12">
        <f>SUM(AR315:AU315)</f>
        <v>0</v>
      </c>
      <c r="AW315" s="12">
        <f>AW266-AV266</f>
        <v>0</v>
      </c>
      <c r="AX315" s="12">
        <f>AX266-AW266</f>
        <v>0</v>
      </c>
      <c r="AY315" s="12">
        <f>AY266-AX266</f>
        <v>0</v>
      </c>
      <c r="AZ315" s="12">
        <f>AZ266-AY266</f>
        <v>0</v>
      </c>
      <c r="BA315" s="12">
        <f>SUM(AW315:AZ315)</f>
        <v>0</v>
      </c>
      <c r="BB315" s="12">
        <f>BB266-BA266</f>
        <v>0</v>
      </c>
      <c r="BC315" s="12">
        <f>BC266-BB266</f>
        <v>0</v>
      </c>
      <c r="BD315" s="12">
        <f>BD266-BC266</f>
        <v>0</v>
      </c>
      <c r="BE315" s="12">
        <f>BE266-BD266</f>
        <v>0</v>
      </c>
      <c r="BF315" s="12">
        <f>SUM(BB315:BE315)</f>
        <v>0</v>
      </c>
      <c r="BG315" s="12" t="n"/>
      <c r="BH315" s="12" t="n"/>
      <c r="BI315" s="12" t="n"/>
      <c r="BJ315" s="12" t="n"/>
      <c r="BK315" s="12" t="n"/>
      <c r="BL315" s="12" t="n"/>
      <c r="BM315" s="12" t="n"/>
      <c r="BN315" s="12" t="n"/>
      <c r="BO315" s="12" t="n"/>
      <c r="BP315" s="12" t="n"/>
      <c r="BQ315" s="12" t="n"/>
      <c r="BR315" s="12" t="n"/>
      <c r="BS315" s="12" t="n"/>
      <c r="BT315" s="12" t="n"/>
      <c r="BU315" s="12" t="n"/>
      <c r="BV315" s="12" t="n"/>
      <c r="BW315" s="12" t="n"/>
      <c r="BX315" s="12" t="n"/>
      <c r="BY315" s="12" t="n"/>
      <c r="BZ315" s="12" t="n"/>
      <c r="CA315" s="12" t="n"/>
      <c r="CB315" s="12" t="n"/>
      <c r="CC315" s="12" t="n"/>
      <c r="CD315" s="12" t="n"/>
      <c r="CE315" s="12" t="n"/>
      <c r="CF315" s="12" t="n"/>
      <c r="CG315" s="12" t="n"/>
      <c r="CH315" s="12" t="n"/>
      <c r="CI315" s="12" t="n"/>
      <c r="CJ315" s="12" t="n"/>
      <c r="CK315" s="12" t="n"/>
      <c r="CL315" s="12" t="n"/>
      <c r="CM315" s="12" t="n"/>
      <c r="CN315" s="12" t="n"/>
      <c r="CO315" s="12" t="n"/>
      <c r="CP315" s="12" t="n"/>
      <c r="CQ315" s="12" t="n"/>
      <c r="CR315" s="12" t="n"/>
      <c r="CS315" s="12" t="n"/>
      <c r="CT315" s="12" t="n"/>
      <c r="CU315" s="12" t="n"/>
      <c r="CV315" s="12" t="n"/>
      <c r="CW315" s="12" t="n"/>
      <c r="CX315" s="12" t="n"/>
      <c r="CY315" s="12" t="n"/>
    </row>
    <row r="316">
      <c r="C316" s="14" t="inlineStr">
        <is>
          <t>Treasury stock repurchases</t>
        </is>
      </c>
      <c r="D316" s="12" t="n"/>
      <c r="E316" s="12" t="n"/>
      <c r="F316" s="12" t="n"/>
      <c r="G316" s="12" t="n"/>
      <c r="H316" s="12" t="n"/>
      <c r="I316" s="12" t="n"/>
      <c r="J316" s="12">
        <f>J279-I279</f>
        <v>-3.789</v>
      </c>
      <c r="K316" s="12">
        <f>K279-J279</f>
        <v>14.657</v>
      </c>
      <c r="L316" s="12">
        <f>L279-K279</f>
        <v>-0.129999999999999</v>
      </c>
      <c r="M316" s="12" t="n"/>
      <c r="N316" s="12">
        <f>N279-M279</f>
        <v>-0.00999999999999979</v>
      </c>
      <c r="O316" s="12">
        <f>O279-N279</f>
        <v>-0.881</v>
      </c>
      <c r="P316" s="12">
        <f>P279-O279</f>
        <v>-0.880000000000001</v>
      </c>
      <c r="Q316" s="12">
        <f>Q279-P279</f>
        <v>-0.00900000000000034</v>
      </c>
      <c r="R316" s="12">
        <f>SUM(N316:Q316)</f>
        <v>-1.78</v>
      </c>
      <c r="S316" s="12">
        <f>S279-R279</f>
        <v>-15.527</v>
      </c>
      <c r="T316" s="12">
        <f>T279-S279</f>
        <v>-0.0239999999999974</v>
      </c>
      <c r="U316" s="12">
        <f>U279-T279</f>
        <v>-0.136000000000003</v>
      </c>
      <c r="V316" s="12">
        <f>V279-U279</f>
        <v>-20.561</v>
      </c>
      <c r="W316" s="12">
        <f>SUM(S316:V316)</f>
        <v>-36.248</v>
      </c>
      <c r="X316" s="12">
        <f>X279-W279</f>
        <v>-0.0929999999999964</v>
      </c>
      <c r="Y316" s="12">
        <f>Y279-X279</f>
        <v>-0.00300000000000011</v>
      </c>
      <c r="Z316" s="12">
        <f>Z279-Y279</f>
        <v>-0.017000000000003</v>
      </c>
      <c r="AA316" s="12">
        <f>AA279-Z279</f>
        <v>-0.0229999999999961</v>
      </c>
      <c r="AB316" s="12">
        <f>SUM(X316:AA316)</f>
        <v>-0.135999999999996</v>
      </c>
      <c r="AC316" s="12">
        <f>AC279-AB279</f>
        <v>-31.44</v>
      </c>
      <c r="AD316" s="12">
        <f>AD279-AC279</f>
        <v>-42.444</v>
      </c>
      <c r="AE316" s="12">
        <f>AE279-AD279</f>
        <v>-20.921</v>
      </c>
      <c r="AF316" s="12">
        <f>AF279-AE279</f>
        <v>-7.923</v>
      </c>
      <c r="AG316" s="12">
        <f>SUM(AC316:AF316)</f>
        <v>-102.728</v>
      </c>
      <c r="AH316" s="12">
        <f>AH279-AG279</f>
        <v>150.967</v>
      </c>
      <c r="AI316" s="12">
        <f>AI279-AH279</f>
        <v>-10.978</v>
      </c>
      <c r="AJ316" s="12">
        <f>AJ279-AI279</f>
        <v>0</v>
      </c>
      <c r="AK316" s="12">
        <f>AK279-AJ279</f>
        <v>0</v>
      </c>
      <c r="AL316" s="12">
        <f>SUM(AH316:AK316)</f>
        <v>139.989</v>
      </c>
      <c r="AM316" s="12">
        <f>AM279-AL279</f>
        <v>0</v>
      </c>
      <c r="AN316" s="12">
        <f>AN279-AM279</f>
        <v>0</v>
      </c>
      <c r="AO316" s="12">
        <f>AO279-AN279</f>
        <v>0</v>
      </c>
      <c r="AP316" s="12">
        <f>AP279-AO279</f>
        <v>0</v>
      </c>
      <c r="AQ316" s="12">
        <f>SUM(AM316:AP316)</f>
        <v>0</v>
      </c>
      <c r="AR316" s="12">
        <f>AR279-AQ279</f>
        <v>0</v>
      </c>
      <c r="AS316" s="12">
        <f>AS279-AR279</f>
        <v>0</v>
      </c>
      <c r="AT316" s="12">
        <f>AT279-AS279</f>
        <v>0</v>
      </c>
      <c r="AU316" s="12">
        <f>AU279-AT279</f>
        <v>0</v>
      </c>
      <c r="AV316" s="12">
        <f>SUM(AR316:AU316)</f>
        <v>0</v>
      </c>
      <c r="AW316" s="12">
        <f>AW279-AV279</f>
        <v>0</v>
      </c>
      <c r="AX316" s="12">
        <f>AX279-AW279</f>
        <v>0</v>
      </c>
      <c r="AY316" s="12">
        <f>AY279-AX279</f>
        <v>0</v>
      </c>
      <c r="AZ316" s="12">
        <f>AZ279-AY279</f>
        <v>0</v>
      </c>
      <c r="BA316" s="12">
        <f>SUM(AW316:AZ316)</f>
        <v>0</v>
      </c>
      <c r="BB316" s="12">
        <f>BB279-BA279</f>
        <v>0</v>
      </c>
      <c r="BC316" s="12">
        <f>BC279-BB279</f>
        <v>0</v>
      </c>
      <c r="BD316" s="12">
        <f>BD279-BC279</f>
        <v>0</v>
      </c>
      <c r="BE316" s="12">
        <f>BE279-BD279</f>
        <v>0</v>
      </c>
      <c r="BF316" s="12">
        <f>SUM(BB316:BE316)</f>
        <v>0</v>
      </c>
      <c r="BG316" s="12" t="n"/>
      <c r="BH316" s="12" t="n"/>
      <c r="BI316" s="12" t="n"/>
      <c r="BJ316" s="12" t="n"/>
      <c r="BK316" s="12" t="n"/>
      <c r="BL316" s="12" t="n"/>
      <c r="BM316" s="12" t="n"/>
      <c r="BN316" s="12" t="n"/>
      <c r="BO316" s="12" t="n"/>
      <c r="BP316" s="12" t="n"/>
      <c r="BQ316" s="12" t="n"/>
      <c r="BR316" s="12" t="n"/>
      <c r="BS316" s="12" t="n"/>
      <c r="BT316" s="12" t="n"/>
      <c r="BU316" s="12" t="n"/>
      <c r="BV316" s="12" t="n"/>
      <c r="BW316" s="12" t="n"/>
      <c r="BX316" s="12" t="n"/>
      <c r="BY316" s="12" t="n"/>
      <c r="BZ316" s="12" t="n"/>
      <c r="CA316" s="12" t="n"/>
      <c r="CB316" s="12" t="n"/>
      <c r="CC316" s="12" t="n"/>
      <c r="CD316" s="12" t="n"/>
      <c r="CE316" s="12" t="n"/>
      <c r="CF316" s="12" t="n"/>
      <c r="CG316" s="12" t="n"/>
      <c r="CH316" s="12" t="n"/>
      <c r="CI316" s="12" t="n"/>
      <c r="CJ316" s="12" t="n"/>
      <c r="CK316" s="12" t="n"/>
      <c r="CL316" s="12" t="n"/>
      <c r="CM316" s="12" t="n"/>
      <c r="CN316" s="12" t="n"/>
      <c r="CO316" s="12" t="n"/>
      <c r="CP316" s="12" t="n"/>
      <c r="CQ316" s="12" t="n"/>
      <c r="CR316" s="12" t="n"/>
      <c r="CS316" s="12" t="n"/>
      <c r="CT316" s="12" t="n"/>
      <c r="CU316" s="12" t="n"/>
      <c r="CV316" s="12" t="n"/>
      <c r="CW316" s="12" t="n"/>
      <c r="CX316" s="12" t="n"/>
      <c r="CY316" s="12" t="n"/>
    </row>
    <row r="317">
      <c r="C317" s="14" t="inlineStr">
        <is>
          <t>Comprehensive accumulated loss</t>
        </is>
      </c>
      <c r="D317" s="12" t="n"/>
      <c r="E317" s="12" t="n"/>
      <c r="F317" s="12" t="n"/>
      <c r="G317" s="12" t="n"/>
      <c r="H317" s="12" t="n"/>
      <c r="I317" s="12" t="n"/>
      <c r="J317" s="12">
        <f>J280-I280</f>
        <v>62.918</v>
      </c>
      <c r="K317" s="12">
        <f>K280-J280</f>
        <v>-206.032</v>
      </c>
      <c r="L317" s="12">
        <f>L280-K280</f>
        <v>-34.116</v>
      </c>
      <c r="M317" s="12" t="n"/>
      <c r="N317" s="12">
        <f>N280-M280</f>
        <v>-247.344</v>
      </c>
      <c r="O317" s="12">
        <f>O280-N280</f>
        <v>-302.073</v>
      </c>
      <c r="P317" s="12">
        <f>P280-O280</f>
        <v>-115.299</v>
      </c>
      <c r="Q317" s="12">
        <f>Q280-P280</f>
        <v>72.091</v>
      </c>
      <c r="R317" s="12">
        <f>SUM(N317:Q317)</f>
        <v>-592.625</v>
      </c>
      <c r="S317" s="12">
        <f>S280-R280</f>
        <v>56.6709999999999</v>
      </c>
      <c r="T317" s="12">
        <f>T280-S280</f>
        <v>259.115</v>
      </c>
      <c r="U317" s="12">
        <f>U280-T280</f>
        <v>21.45</v>
      </c>
      <c r="V317" s="12">
        <f>V280-U280</f>
        <v>103.315</v>
      </c>
      <c r="W317" s="12">
        <f>SUM(S317:V317)</f>
        <v>440.551</v>
      </c>
      <c r="X317" s="12">
        <f>X280-W280</f>
        <v>-56.774</v>
      </c>
      <c r="Y317" s="12">
        <f>Y280-X280</f>
        <v>-53.1780000000001</v>
      </c>
      <c r="Z317" s="12">
        <f>Z280-Y280</f>
        <v>76.8270000000001</v>
      </c>
      <c r="AA317" s="12">
        <f>AA280-Z280</f>
        <v>-164.578</v>
      </c>
      <c r="AB317" s="12">
        <f>SUM(X317:AA317)</f>
        <v>-197.703</v>
      </c>
      <c r="AC317" s="12">
        <f>AC280-AB280</f>
        <v>68.157</v>
      </c>
      <c r="AD317" s="12">
        <f>AD280-AC280</f>
        <v>16.1469999999999</v>
      </c>
      <c r="AE317" s="12">
        <f>AE280-AD280</f>
        <v>90.6250000000001</v>
      </c>
      <c r="AF317" s="12">
        <f>AF280-AE280</f>
        <v>339.747</v>
      </c>
      <c r="AG317" s="12">
        <f>SUM(AC317:AF317)</f>
        <v>514.676</v>
      </c>
      <c r="AH317" s="12">
        <f>AH280-AG280</f>
        <v>-22.661</v>
      </c>
      <c r="AI317" s="12">
        <f>AI280-AH280</f>
        <v>-24.758</v>
      </c>
      <c r="AJ317" s="12">
        <f>AJ280-AI280</f>
        <v>0</v>
      </c>
      <c r="AK317" s="12">
        <f>AK280-AJ280</f>
        <v>0</v>
      </c>
      <c r="AL317" s="12">
        <f>SUM(AH317:AK317)</f>
        <v>-47.419</v>
      </c>
      <c r="AM317" s="12">
        <f>AM280-AL280</f>
        <v>0</v>
      </c>
      <c r="AN317" s="12">
        <f>AN280-AM280</f>
        <v>0</v>
      </c>
      <c r="AO317" s="12">
        <f>AO280-AN280</f>
        <v>0</v>
      </c>
      <c r="AP317" s="12">
        <f>AP280-AO280</f>
        <v>0</v>
      </c>
      <c r="AQ317" s="12">
        <f>SUM(AM317:AP317)</f>
        <v>0</v>
      </c>
      <c r="AR317" s="12">
        <f>AR280-AQ280</f>
        <v>0</v>
      </c>
      <c r="AS317" s="12">
        <f>AS280-AR280</f>
        <v>0</v>
      </c>
      <c r="AT317" s="12">
        <f>AT280-AS280</f>
        <v>0</v>
      </c>
      <c r="AU317" s="12">
        <f>AU280-AT280</f>
        <v>0</v>
      </c>
      <c r="AV317" s="12">
        <f>SUM(AR317:AU317)</f>
        <v>0</v>
      </c>
      <c r="AW317" s="12">
        <f>AW280-AV280</f>
        <v>0</v>
      </c>
      <c r="AX317" s="12">
        <f>AX280-AW280</f>
        <v>0</v>
      </c>
      <c r="AY317" s="12">
        <f>AY280-AX280</f>
        <v>0</v>
      </c>
      <c r="AZ317" s="12">
        <f>AZ280-AY280</f>
        <v>0</v>
      </c>
      <c r="BA317" s="12">
        <f>SUM(AW317:AZ317)</f>
        <v>0</v>
      </c>
      <c r="BB317" s="12">
        <f>BB280-BA280</f>
        <v>0</v>
      </c>
      <c r="BC317" s="12">
        <f>BC280-BB280</f>
        <v>0</v>
      </c>
      <c r="BD317" s="12">
        <f>BD280-BC280</f>
        <v>0</v>
      </c>
      <c r="BE317" s="12">
        <f>BE280-BD280</f>
        <v>0</v>
      </c>
      <c r="BF317" s="12">
        <f>SUM(BB317:BE317)</f>
        <v>0</v>
      </c>
      <c r="BG317" s="12" t="n"/>
      <c r="BH317" s="12" t="n"/>
      <c r="BI317" s="12" t="n"/>
      <c r="BJ317" s="12" t="n"/>
      <c r="BK317" s="12" t="n"/>
      <c r="BL317" s="12" t="n"/>
      <c r="BM317" s="12" t="n"/>
      <c r="BN317" s="12" t="n"/>
      <c r="BO317" s="12" t="n"/>
      <c r="BP317" s="12" t="n"/>
      <c r="BQ317" s="12" t="n"/>
      <c r="BR317" s="12" t="n"/>
      <c r="BS317" s="12" t="n"/>
      <c r="BT317" s="12" t="n"/>
      <c r="BU317" s="12" t="n"/>
      <c r="BV317" s="12" t="n"/>
      <c r="BW317" s="12" t="n"/>
      <c r="BX317" s="12" t="n"/>
      <c r="BY317" s="12" t="n"/>
      <c r="BZ317" s="12" t="n"/>
      <c r="CA317" s="12" t="n"/>
      <c r="CB317" s="12" t="n"/>
      <c r="CC317" s="12" t="n"/>
      <c r="CD317" s="12" t="n"/>
      <c r="CE317" s="12" t="n"/>
      <c r="CF317" s="12" t="n"/>
      <c r="CG317" s="12" t="n"/>
      <c r="CH317" s="12" t="n"/>
      <c r="CI317" s="12" t="n"/>
      <c r="CJ317" s="12" t="n"/>
      <c r="CK317" s="12" t="n"/>
      <c r="CL317" s="12" t="n"/>
      <c r="CM317" s="12" t="n"/>
      <c r="CN317" s="12" t="n"/>
      <c r="CO317" s="12" t="n"/>
      <c r="CP317" s="12" t="n"/>
      <c r="CQ317" s="12" t="n"/>
      <c r="CR317" s="12" t="n"/>
      <c r="CS317" s="12" t="n"/>
      <c r="CT317" s="12" t="n"/>
      <c r="CU317" s="12" t="n"/>
      <c r="CV317" s="12" t="n"/>
      <c r="CW317" s="12" t="n"/>
      <c r="CX317" s="12" t="n"/>
      <c r="CY317" s="12" t="n"/>
    </row>
    <row r="318">
      <c r="C318" s="14" t="inlineStr">
        <is>
          <t>Other equity account</t>
        </is>
      </c>
      <c r="D318" s="12" t="n"/>
      <c r="E318" s="12" t="n"/>
      <c r="F318" s="12" t="n"/>
      <c r="G318" s="12" t="n"/>
      <c r="H318" s="12" t="n"/>
      <c r="I318" s="12" t="n"/>
      <c r="J318" s="12">
        <f>J281-I281</f>
        <v>0</v>
      </c>
      <c r="K318" s="12">
        <f>K281-J281</f>
        <v>0</v>
      </c>
      <c r="L318" s="12">
        <f>L281-K281</f>
        <v>0</v>
      </c>
      <c r="M318" s="12" t="n"/>
      <c r="N318" s="12">
        <f>N281-M281</f>
        <v>0</v>
      </c>
      <c r="O318" s="12">
        <f>O281-N281</f>
        <v>0</v>
      </c>
      <c r="P318" s="12">
        <f>P281-O281</f>
        <v>0</v>
      </c>
      <c r="Q318" s="12">
        <f>Q281-P281</f>
        <v>0</v>
      </c>
      <c r="R318" s="12">
        <f>SUM(N318:Q318)</f>
        <v>0</v>
      </c>
      <c r="S318" s="12">
        <f>S281-R281</f>
        <v>0</v>
      </c>
      <c r="T318" s="12">
        <f>T281-S281</f>
        <v>0</v>
      </c>
      <c r="U318" s="12">
        <f>U281-T281</f>
        <v>0</v>
      </c>
      <c r="V318" s="12">
        <f>V281-U281</f>
        <v>0</v>
      </c>
      <c r="W318" s="12">
        <f>SUM(S318:V318)</f>
        <v>0</v>
      </c>
      <c r="X318" s="12">
        <f>X281-W281</f>
        <v>0</v>
      </c>
      <c r="Y318" s="12">
        <f>Y281-X281</f>
        <v>0</v>
      </c>
      <c r="Z318" s="12">
        <f>Z281-Y281</f>
        <v>0</v>
      </c>
      <c r="AA318" s="12">
        <f>AA281-Z281</f>
        <v>0</v>
      </c>
      <c r="AB318" s="12">
        <f>SUM(X318:AA318)</f>
        <v>0</v>
      </c>
      <c r="AC318" s="12">
        <f>AC281-AB281</f>
        <v>0</v>
      </c>
      <c r="AD318" s="12">
        <f>AD281-AC281</f>
        <v>0</v>
      </c>
      <c r="AE318" s="12">
        <f>AE281-AD281</f>
        <v>0</v>
      </c>
      <c r="AF318" s="12">
        <f>AF281-AE281</f>
        <v>0</v>
      </c>
      <c r="AG318" s="12">
        <f>SUM(AC318:AF318)</f>
        <v>0</v>
      </c>
      <c r="AH318" s="12">
        <f>AH281-AG281</f>
        <v>0</v>
      </c>
      <c r="AI318" s="12">
        <f>AI281-AH281</f>
        <v>0</v>
      </c>
      <c r="AJ318" s="12">
        <f>AJ281-AI281</f>
        <v>0</v>
      </c>
      <c r="AK318" s="12">
        <f>AK281-AJ281</f>
        <v>0</v>
      </c>
      <c r="AL318" s="12">
        <f>SUM(AH318:AK318)</f>
        <v>0</v>
      </c>
      <c r="AM318" s="12">
        <f>AM281-AL281</f>
        <v>0</v>
      </c>
      <c r="AN318" s="12">
        <f>AN281-AM281</f>
        <v>0</v>
      </c>
      <c r="AO318" s="12">
        <f>AO281-AN281</f>
        <v>0</v>
      </c>
      <c r="AP318" s="12">
        <f>AP281-AO281</f>
        <v>0</v>
      </c>
      <c r="AQ318" s="12">
        <f>SUM(AM318:AP318)</f>
        <v>0</v>
      </c>
      <c r="AR318" s="12">
        <f>AR281-AQ281</f>
        <v>0</v>
      </c>
      <c r="AS318" s="12">
        <f>AS281-AR281</f>
        <v>0</v>
      </c>
      <c r="AT318" s="12">
        <f>AT281-AS281</f>
        <v>0</v>
      </c>
      <c r="AU318" s="12">
        <f>AU281-AT281</f>
        <v>0</v>
      </c>
      <c r="AV318" s="12">
        <f>SUM(AR318:AU318)</f>
        <v>0</v>
      </c>
      <c r="AW318" s="12">
        <f>AW281-AV281</f>
        <v>0</v>
      </c>
      <c r="AX318" s="12">
        <f>AX281-AW281</f>
        <v>0</v>
      </c>
      <c r="AY318" s="12">
        <f>AY281-AX281</f>
        <v>0</v>
      </c>
      <c r="AZ318" s="12">
        <f>AZ281-AY281</f>
        <v>0</v>
      </c>
      <c r="BA318" s="12">
        <f>SUM(AW318:AZ318)</f>
        <v>0</v>
      </c>
      <c r="BB318" s="12">
        <f>BB281-BA281</f>
        <v>0</v>
      </c>
      <c r="BC318" s="12">
        <f>BC281-BB281</f>
        <v>0</v>
      </c>
      <c r="BD318" s="12">
        <f>BD281-BC281</f>
        <v>0</v>
      </c>
      <c r="BE318" s="12">
        <f>BE281-BD281</f>
        <v>0</v>
      </c>
      <c r="BF318" s="12">
        <f>SUM(BB318:BE318)</f>
        <v>0</v>
      </c>
      <c r="BG318" s="12" t="n"/>
      <c r="BH318" s="12" t="n"/>
      <c r="BI318" s="12" t="n"/>
      <c r="BJ318" s="12" t="n"/>
      <c r="BK318" s="12" t="n"/>
      <c r="BL318" s="12" t="n"/>
      <c r="BM318" s="12" t="n"/>
      <c r="BN318" s="12" t="n"/>
      <c r="BO318" s="12" t="n"/>
      <c r="BP318" s="12" t="n"/>
      <c r="BQ318" s="12" t="n"/>
      <c r="BR318" s="12" t="n"/>
      <c r="BS318" s="12" t="n"/>
      <c r="BT318" s="12" t="n"/>
      <c r="BU318" s="12" t="n"/>
      <c r="BV318" s="12" t="n"/>
      <c r="BW318" s="12" t="n"/>
      <c r="BX318" s="12" t="n"/>
      <c r="BY318" s="12" t="n"/>
      <c r="BZ318" s="12" t="n"/>
      <c r="CA318" s="12" t="n"/>
      <c r="CB318" s="12" t="n"/>
      <c r="CC318" s="12" t="n"/>
      <c r="CD318" s="12" t="n"/>
      <c r="CE318" s="12" t="n"/>
      <c r="CF318" s="12" t="n"/>
      <c r="CG318" s="12" t="n"/>
      <c r="CH318" s="12" t="n"/>
      <c r="CI318" s="12" t="n"/>
      <c r="CJ318" s="12" t="n"/>
      <c r="CK318" s="12" t="n"/>
      <c r="CL318" s="12" t="n"/>
      <c r="CM318" s="12" t="n"/>
      <c r="CN318" s="12" t="n"/>
      <c r="CO318" s="12" t="n"/>
      <c r="CP318" s="12" t="n"/>
      <c r="CQ318" s="12" t="n"/>
      <c r="CR318" s="12" t="n"/>
      <c r="CS318" s="12" t="n"/>
      <c r="CT318" s="12" t="n"/>
      <c r="CU318" s="12" t="n"/>
      <c r="CV318" s="12" t="n"/>
      <c r="CW318" s="12" t="n"/>
      <c r="CX318" s="12" t="n"/>
      <c r="CY318" s="12" t="n"/>
    </row>
    <row r="319">
      <c r="C319" s="10" t="inlineStr">
        <is>
          <t>Common and preferred dividends</t>
        </is>
      </c>
      <c r="D319" s="12" t="n"/>
      <c r="E319" s="12" t="n"/>
      <c r="F319" s="12" t="n"/>
      <c r="G319" s="12" t="n"/>
      <c r="H319" s="12" t="n"/>
      <c r="I319" s="12" t="n"/>
      <c r="J319" s="12">
        <f>(J282-I282)-J289</f>
        <v>-23.901</v>
      </c>
      <c r="K319" s="12">
        <f>(K282-J282)-K289</f>
        <v>-31.597</v>
      </c>
      <c r="L319" s="12">
        <f>(L282-K282)-L289</f>
        <v>-134.569</v>
      </c>
      <c r="M319" s="12" t="n"/>
      <c r="N319" s="12">
        <f>(N282-M282)-N289</f>
        <v>-53.9739999999998</v>
      </c>
      <c r="O319" s="12">
        <f>(O282-N282)-O289</f>
        <v>-270.555</v>
      </c>
      <c r="P319" s="12">
        <f>(P282-O282)-P289</f>
        <v>-54.999</v>
      </c>
      <c r="Q319" s="12">
        <f>(Q282-P282)-Q289</f>
        <v>-98.3069999999998</v>
      </c>
      <c r="R319" s="12">
        <f>SUM(N319:Q319)</f>
        <v>-477.835</v>
      </c>
      <c r="S319" s="12">
        <f>(S282-R282)-S289</f>
        <v>0.00299999999973011</v>
      </c>
      <c r="T319" s="12">
        <f>(T282-S282)-T289</f>
        <v>-0.00199999999976797</v>
      </c>
      <c r="U319" s="12">
        <f>(U282-T282)-U289</f>
        <v>-0.00499999999989598</v>
      </c>
      <c r="V319" s="12">
        <f>(V282-U282)-V289</f>
        <v>0.000999999999976353</v>
      </c>
      <c r="W319" s="12">
        <f>SUM(S319:V319)</f>
        <v>-0.00299999999995748</v>
      </c>
      <c r="X319" s="12">
        <f>(X282-W282)-X289</f>
        <v>-0.0480000000001368</v>
      </c>
      <c r="Y319" s="12">
        <f>(Y282-X282)-Y289</f>
        <v>0.0010000000000332</v>
      </c>
      <c r="Z319" s="12">
        <f>(Z282-Y282)-Z289</f>
        <v>0.0300000000001575</v>
      </c>
      <c r="AA319" s="12">
        <f>(AA282-Z282)-AA289</f>
        <v>-63.2980000000002</v>
      </c>
      <c r="AB319" s="12">
        <f>SUM(X319:AA319)</f>
        <v>-63.3150000000001</v>
      </c>
      <c r="AC319" s="12">
        <f>(AC282-AB282)-AC289</f>
        <v>-0.00100000000018952</v>
      </c>
      <c r="AD319" s="12">
        <f>(AD282-AC282)-AD289</f>
        <v>0.00100000000014688</v>
      </c>
      <c r="AE319" s="12">
        <f>(AE282-AD282)-AE289</f>
        <v>0</v>
      </c>
      <c r="AF319" s="12">
        <f>(AF282-AE282)-AF289</f>
        <v>-254.998106983</v>
      </c>
      <c r="AG319" s="12">
        <f>SUM(AC319:AF319)</f>
        <v>-254.998106983</v>
      </c>
      <c r="AH319" s="12">
        <f>(AH282-AG282)-AH289</f>
        <v>-102.329191101</v>
      </c>
      <c r="AI319" s="12">
        <f>(AI282-AH282)-AI289</f>
        <v>0.000340123000228232</v>
      </c>
      <c r="AJ319" s="12">
        <f>(AJ282-AI282)-AJ289</f>
        <v>0</v>
      </c>
      <c r="AK319" s="12">
        <f>(AK282-AJ282)-AK289</f>
        <v>0</v>
      </c>
      <c r="AL319" s="12">
        <f>SUM(AH319:AK319)</f>
        <v>-102.328850978</v>
      </c>
      <c r="AM319" s="12">
        <f>(AM282-AL282)-AM289</f>
        <v>0</v>
      </c>
      <c r="AN319" s="12">
        <f>(AN282-AM282)-AN289</f>
        <v>0</v>
      </c>
      <c r="AO319" s="12">
        <f>(AO282-AN282)-AO289</f>
        <v>0</v>
      </c>
      <c r="AP319" s="12">
        <f>(AP282-AO282)-AP289</f>
        <v>0</v>
      </c>
      <c r="AQ319" s="12">
        <f>SUM(AM319:AP319)</f>
        <v>0</v>
      </c>
      <c r="AR319" s="12">
        <f>(AR282-AQ282)-AR289</f>
        <v>0</v>
      </c>
      <c r="AS319" s="12">
        <f>(AS282-AR282)-AS289</f>
        <v>0</v>
      </c>
      <c r="AT319" s="12">
        <f>(AT282-AS282)-AT289</f>
        <v>0</v>
      </c>
      <c r="AU319" s="12">
        <f>(AU282-AT282)-AU289</f>
        <v>0</v>
      </c>
      <c r="AV319" s="12">
        <f>SUM(AR319:AU319)</f>
        <v>0</v>
      </c>
      <c r="AW319" s="12">
        <f>(AW282-AV282)-AW289</f>
        <v>0</v>
      </c>
      <c r="AX319" s="12">
        <f>(AX282-AW282)-AX289</f>
        <v>0</v>
      </c>
      <c r="AY319" s="12">
        <f>(AY282-AX282)-AY289</f>
        <v>0</v>
      </c>
      <c r="AZ319" s="12">
        <f>(AZ282-AY282)-AZ289</f>
        <v>0</v>
      </c>
      <c r="BA319" s="12">
        <f>SUM(AW319:AZ319)</f>
        <v>0</v>
      </c>
      <c r="BB319" s="12">
        <f>(BB282-BA282)-BB289</f>
        <v>0</v>
      </c>
      <c r="BC319" s="12">
        <f>(BC282-BB282)-BC289</f>
        <v>0</v>
      </c>
      <c r="BD319" s="12">
        <f>(BD282-BC282)-BD289</f>
        <v>0</v>
      </c>
      <c r="BE319" s="12">
        <f>(BE282-BD282)-BE289</f>
        <v>0</v>
      </c>
      <c r="BF319" s="12">
        <f>SUM(BB319:BE319)</f>
        <v>0</v>
      </c>
      <c r="BG319" s="12" t="n"/>
      <c r="BH319" s="12" t="n"/>
      <c r="BI319" s="12" t="n"/>
      <c r="BJ319" s="12" t="n"/>
      <c r="BK319" s="12" t="n"/>
      <c r="BL319" s="12" t="n"/>
      <c r="BM319" s="12" t="n"/>
      <c r="BN319" s="12" t="n"/>
      <c r="BO319" s="12" t="n"/>
      <c r="BP319" s="12" t="n"/>
      <c r="BQ319" s="12" t="n"/>
      <c r="BR319" s="12" t="n"/>
      <c r="BS319" s="12" t="n"/>
      <c r="BT319" s="12" t="n"/>
      <c r="BU319" s="12" t="n"/>
      <c r="BV319" s="12" t="n"/>
      <c r="BW319" s="12" t="n"/>
      <c r="BX319" s="12" t="n"/>
      <c r="BY319" s="12" t="n"/>
      <c r="BZ319" s="12" t="n"/>
      <c r="CA319" s="12" t="n"/>
      <c r="CB319" s="12" t="n"/>
      <c r="CC319" s="12" t="n"/>
      <c r="CD319" s="12" t="n"/>
      <c r="CE319" s="12" t="n"/>
      <c r="CF319" s="12" t="n"/>
      <c r="CG319" s="12" t="n"/>
      <c r="CH319" s="12" t="n"/>
      <c r="CI319" s="12" t="n"/>
      <c r="CJ319" s="12" t="n"/>
      <c r="CK319" s="12" t="n"/>
      <c r="CL319" s="12" t="n"/>
      <c r="CM319" s="12" t="n"/>
      <c r="CN319" s="12" t="n"/>
      <c r="CO319" s="12" t="n"/>
      <c r="CP319" s="12" t="n"/>
      <c r="CQ319" s="12" t="n"/>
      <c r="CR319" s="12" t="n"/>
      <c r="CS319" s="12" t="n"/>
      <c r="CT319" s="12" t="n"/>
      <c r="CU319" s="12" t="n"/>
      <c r="CV319" s="12" t="n"/>
      <c r="CW319" s="12" t="n"/>
      <c r="CX319" s="12" t="n"/>
      <c r="CY319" s="12" t="n"/>
    </row>
    <row r="320">
      <c r="C320" s="14" t="inlineStr">
        <is>
          <t>Dividends to minority interests</t>
        </is>
      </c>
      <c r="D320" s="12" t="n"/>
      <c r="E320" s="12" t="n"/>
      <c r="F320" s="12" t="n"/>
      <c r="G320" s="12" t="n"/>
      <c r="H320" s="12" t="n"/>
      <c r="I320" s="12" t="n"/>
      <c r="J320" s="12">
        <f>(J260-I260)+J148</f>
        <v>0</v>
      </c>
      <c r="K320" s="12">
        <f>(K260-J260)+K148</f>
        <v>0</v>
      </c>
      <c r="L320" s="12">
        <f>(L260-K260)+L148</f>
        <v>0</v>
      </c>
      <c r="M320" s="12" t="n"/>
      <c r="N320" s="12">
        <f>(N260-M260)+N148</f>
        <v>0</v>
      </c>
      <c r="O320" s="12">
        <f>(O260-N260)+O148</f>
        <v>0</v>
      </c>
      <c r="P320" s="12">
        <f>(P260-O260)+P148</f>
        <v>0</v>
      </c>
      <c r="Q320" s="12">
        <f>(Q260-P260)+Q148</f>
        <v>0</v>
      </c>
      <c r="R320" s="12">
        <f>SUM(N320:Q320)</f>
        <v>0</v>
      </c>
      <c r="S320" s="12">
        <f>(S260-R260)+S148</f>
        <v>0</v>
      </c>
      <c r="T320" s="12">
        <f>(T260-S260)+T148</f>
        <v>0</v>
      </c>
      <c r="U320" s="12">
        <f>(U260-T260)+U148</f>
        <v>0</v>
      </c>
      <c r="V320" s="12">
        <f>(V260-U260)+V148</f>
        <v>0</v>
      </c>
      <c r="W320" s="12">
        <f>SUM(S320:V320)</f>
        <v>0</v>
      </c>
      <c r="X320" s="12">
        <f>(X260-W260)+X148</f>
        <v>0</v>
      </c>
      <c r="Y320" s="12">
        <f>(Y260-X260)+Y148</f>
        <v>0</v>
      </c>
      <c r="Z320" s="12">
        <f>(Z260-Y260)+Z148</f>
        <v>0</v>
      </c>
      <c r="AA320" s="12">
        <f>(AA260-Z260)+AA148</f>
        <v>0</v>
      </c>
      <c r="AB320" s="12">
        <f>SUM(X320:AA320)</f>
        <v>0</v>
      </c>
      <c r="AC320" s="12">
        <f>(AC260-AB260)+AC148</f>
        <v>0</v>
      </c>
      <c r="AD320" s="12">
        <f>(AD260-AC260)+AD148</f>
        <v>0</v>
      </c>
      <c r="AE320" s="12">
        <f>(AE260-AD260)+AE148</f>
        <v>0</v>
      </c>
      <c r="AF320" s="12">
        <f>(AF260-AE260)+AF148</f>
        <v>0</v>
      </c>
      <c r="AG320" s="12">
        <f>SUM(AC320:AF320)</f>
        <v>0</v>
      </c>
      <c r="AH320" s="12">
        <f>(AH260-AG260)+AH148</f>
        <v>0</v>
      </c>
      <c r="AI320" s="12">
        <f>(AI260-AH260)+AI148</f>
        <v>0</v>
      </c>
      <c r="AJ320" s="12">
        <f>(AJ260-AI260)+AJ148</f>
        <v>0</v>
      </c>
      <c r="AK320" s="12">
        <f>(AK260-AJ260)+AK148</f>
        <v>0</v>
      </c>
      <c r="AL320" s="12">
        <f>SUM(AH320:AK320)</f>
        <v>0</v>
      </c>
      <c r="AM320" s="12">
        <f>(AM260-AL260)+AM148</f>
        <v>0</v>
      </c>
      <c r="AN320" s="12">
        <f>(AN260-AM260)+AN148</f>
        <v>0</v>
      </c>
      <c r="AO320" s="12">
        <f>(AO260-AN260)+AO148</f>
        <v>0</v>
      </c>
      <c r="AP320" s="12">
        <f>(AP260-AO260)+AP148</f>
        <v>0</v>
      </c>
      <c r="AQ320" s="12">
        <f>SUM(AM320:AP320)</f>
        <v>0</v>
      </c>
      <c r="AR320" s="12">
        <f>(AR260-AQ260)+AR148</f>
        <v>0</v>
      </c>
      <c r="AS320" s="12">
        <f>(AS260-AR260)+AS148</f>
        <v>0</v>
      </c>
      <c r="AT320" s="12">
        <f>(AT260-AS260)+AT148</f>
        <v>0</v>
      </c>
      <c r="AU320" s="12">
        <f>(AU260-AT260)+AU148</f>
        <v>0</v>
      </c>
      <c r="AV320" s="12">
        <f>SUM(AR320:AU320)</f>
        <v>0</v>
      </c>
      <c r="AW320" s="12">
        <f>(AW260-AV260)+AW148</f>
        <v>0</v>
      </c>
      <c r="AX320" s="12">
        <f>(AX260-AW260)+AX148</f>
        <v>0</v>
      </c>
      <c r="AY320" s="12">
        <f>(AY260-AX260)+AY148</f>
        <v>0</v>
      </c>
      <c r="AZ320" s="12">
        <f>(AZ260-AY260)+AZ148</f>
        <v>0</v>
      </c>
      <c r="BA320" s="12">
        <f>SUM(AW320:AZ320)</f>
        <v>0</v>
      </c>
      <c r="BB320" s="12">
        <f>(BB260-BA260)+BB148</f>
        <v>0</v>
      </c>
      <c r="BC320" s="12">
        <f>(BC260-BB260)+BC148</f>
        <v>0</v>
      </c>
      <c r="BD320" s="12">
        <f>(BD260-BC260)+BD148</f>
        <v>0</v>
      </c>
      <c r="BE320" s="12">
        <f>(BE260-BD260)+BE148</f>
        <v>0</v>
      </c>
      <c r="BF320" s="12">
        <f>SUM(BB320:BE320)</f>
        <v>0</v>
      </c>
      <c r="BG320" s="12" t="n"/>
      <c r="BH320" s="12" t="n"/>
      <c r="BI320" s="12" t="n"/>
      <c r="BJ320" s="12" t="n"/>
      <c r="BK320" s="12" t="n"/>
      <c r="BL320" s="12" t="n"/>
      <c r="BM320" s="12" t="n"/>
      <c r="BN320" s="12" t="n"/>
      <c r="BO320" s="12" t="n"/>
      <c r="BP320" s="12" t="n"/>
      <c r="BQ320" s="12" t="n"/>
      <c r="BR320" s="12" t="n"/>
      <c r="BS320" s="12" t="n"/>
      <c r="BT320" s="12" t="n"/>
      <c r="BU320" s="12" t="n"/>
      <c r="BV320" s="12" t="n"/>
      <c r="BW320" s="12" t="n"/>
      <c r="BX320" s="12" t="n"/>
      <c r="BY320" s="12" t="n"/>
      <c r="BZ320" s="12" t="n"/>
      <c r="CA320" s="12" t="n"/>
      <c r="CB320" s="12" t="n"/>
      <c r="CC320" s="12" t="n"/>
      <c r="CD320" s="12" t="n"/>
      <c r="CE320" s="12" t="n"/>
      <c r="CF320" s="12" t="n"/>
      <c r="CG320" s="12" t="n"/>
      <c r="CH320" s="12" t="n"/>
      <c r="CI320" s="12" t="n"/>
      <c r="CJ320" s="12" t="n"/>
      <c r="CK320" s="12" t="n"/>
      <c r="CL320" s="12" t="n"/>
      <c r="CM320" s="12" t="n"/>
      <c r="CN320" s="12" t="n"/>
      <c r="CO320" s="12" t="n"/>
      <c r="CP320" s="12" t="n"/>
      <c r="CQ320" s="12" t="n"/>
      <c r="CR320" s="12" t="n"/>
      <c r="CS320" s="12" t="n"/>
      <c r="CT320" s="12" t="n"/>
      <c r="CU320" s="12" t="n"/>
      <c r="CV320" s="12" t="n"/>
      <c r="CW320" s="12" t="n"/>
      <c r="CX320" s="12" t="n"/>
      <c r="CY320" s="12" t="n"/>
    </row>
    <row r="321">
      <c r="C321" s="15" t="inlineStr">
        <is>
          <t>Increases / (decreases) in debt</t>
        </is>
      </c>
      <c r="D321" s="12" t="n"/>
      <c r="E321" s="12" t="n"/>
      <c r="F321" s="12" t="n"/>
      <c r="G321" s="12" t="n"/>
      <c r="H321" s="12" t="n"/>
      <c r="I321" s="12" t="n"/>
      <c r="J321" s="12">
        <f>SUM(J224:J226,J229,J250,J247)-SUM(I224:I226,I229,I250,I247)</f>
        <v>208.210999999999</v>
      </c>
      <c r="K321" s="12">
        <f>SUM(K224:K226,K229,K250,K247)-SUM(J224:J226,J229,J250,J247)</f>
        <v>4724.293</v>
      </c>
      <c r="L321" s="12">
        <f>SUM(L224:L226,L229,L250,L247)-SUM(K224:K226,K229,K250,K247)</f>
        <v>774.396999999999</v>
      </c>
      <c r="M321" s="12" t="n"/>
      <c r="N321" s="12">
        <f>SUM(N224:N226,N229,N250,N247)-SUM(M224:M226,M229,M250,M247)</f>
        <v>-886.911</v>
      </c>
      <c r="O321" s="12">
        <f>SUM(O224:O226,O229,O250,O247)-SUM(N224:N226,N229,N250,N247)</f>
        <v>1955.703</v>
      </c>
      <c r="P321" s="12">
        <f>SUM(P224:P226,P229,P250,P247)-SUM(O224:O226,O229,O250,O247)</f>
        <v>3806.484</v>
      </c>
      <c r="Q321" s="12">
        <f>SUM(Q224:Q226,Q229,Q250,Q247)-SUM(P224:P226,P229,P250,P247)</f>
        <v>-1875.363</v>
      </c>
      <c r="R321" s="12">
        <f>SUM(N321:Q321)</f>
        <v>2999.913</v>
      </c>
      <c r="S321" s="12">
        <f>SUM(S224:S226,S229,S250,S247)-SUM(R224:R226,R229,R250,R247)</f>
        <v>-2443.768</v>
      </c>
      <c r="T321" s="12">
        <f>SUM(T224:T226,T229,T250,T247)-SUM(S224:S226,S229,S250,S247)</f>
        <v>-1325.429</v>
      </c>
      <c r="U321" s="12">
        <f>SUM(U224:U226,U229,U250,U247)-SUM(T224:T226,T229,T250,T247)</f>
        <v>-264.403</v>
      </c>
      <c r="V321" s="12">
        <f>SUM(V224:V226,V229,V250,V247)-SUM(U224:U226,U229,U250,U247)</f>
        <v>1629.759</v>
      </c>
      <c r="W321" s="12">
        <f>SUM(S321:V321)</f>
        <v>-2403.841</v>
      </c>
      <c r="X321" s="12">
        <f>SUM(X224:X226,X229,X250,X247)-SUM(W224:W226,W229,W250,W247)</f>
        <v>875.405000000001</v>
      </c>
      <c r="Y321" s="12">
        <f>SUM(Y224:Y226,Y229,Y250,Y247)-SUM(X224:X226,X229,X250,X247)</f>
        <v>1715.464</v>
      </c>
      <c r="Z321" s="12">
        <f>SUM(Z224:Z226,Z229,Z250,Z247)-SUM(Y224:Y226,Y229,Y250,Y247)</f>
        <v>977.261999999999</v>
      </c>
      <c r="AA321" s="12">
        <f>SUM(AA224:AA226,AA229,AA250,AA247)-SUM(Z224:Z226,Z229,Z250,Z247)</f>
        <v>1591.984</v>
      </c>
      <c r="AB321" s="12">
        <f>SUM(X321:AA321)</f>
        <v>5160.115</v>
      </c>
      <c r="AC321" s="12">
        <f>SUM(AC224:AC226,AC229,AC250,AC247)-SUM(AB224:AB226,AB229,AB250,AB247)</f>
        <v>-543.098999999998</v>
      </c>
      <c r="AD321" s="12">
        <f>SUM(AD224:AD226,AD229,AD250,AD247)-SUM(AC224:AC226,AC229,AC250,AC247)</f>
        <v>-463.987000000001</v>
      </c>
      <c r="AE321" s="12">
        <f>SUM(AE224:AE226,AE229,AE250,AE247)-SUM(AD224:AD226,AD229,AD250,AD247)</f>
        <v>-794.552</v>
      </c>
      <c r="AF321" s="12">
        <f>SUM(AF224:AF226,AF229,AF250,AF247)-SUM(AE224:AE226,AE229,AE250,AE247)</f>
        <v>3207.282</v>
      </c>
      <c r="AG321" s="12">
        <f>SUM(AC321:AF321)</f>
        <v>1405.644</v>
      </c>
      <c r="AH321" s="12">
        <f>SUM(AH224:AH226,AH229,AH250,AH247)-SUM(AG224:AG226,AG229,AG250,AG247)</f>
        <v>1722.016</v>
      </c>
      <c r="AI321" s="12">
        <f>SUM(AI224:AI226,AI229,AI250,AI247)-SUM(AH224:AH226,AH229,AH250,AH247)</f>
        <v>161.130000000001</v>
      </c>
      <c r="AJ321" s="12">
        <f>SUM(AJ224:AJ226,AJ229,AJ250,AJ247)-SUM(AI224:AI226,AI229,AI250,AI247)</f>
        <v>0</v>
      </c>
      <c r="AK321" s="12">
        <f>SUM(AK224:AK226,AK229,AK250,AK247)-SUM(AJ224:AJ226,AJ229,AJ250,AJ247)</f>
        <v>0</v>
      </c>
      <c r="AL321" s="12">
        <f>SUM(AH321:AK321)</f>
        <v>1883.146</v>
      </c>
      <c r="AM321" s="12">
        <f>SUM(AM224:AM226,AM229,AM250,AM247)-SUM(AL224:AL226,AL229,AL250,AL247)</f>
        <v>0</v>
      </c>
      <c r="AN321" s="12">
        <f>SUM(AN224:AN226,AN229,AN250,AN247)-SUM(AM224:AM226,AM229,AM250,AM247)</f>
        <v>0</v>
      </c>
      <c r="AO321" s="12">
        <f>SUM(AO224:AO226,AO229,AO250,AO247)-SUM(AN224:AN226,AN229,AN250,AN247)</f>
        <v>0</v>
      </c>
      <c r="AP321" s="12">
        <f>SUM(AP224:AP226,AP229,AP250,AP247)-SUM(AO224:AO226,AO229,AO250,AO247)</f>
        <v>0</v>
      </c>
      <c r="AQ321" s="12">
        <f>SUM(AM321:AP321)</f>
        <v>0</v>
      </c>
      <c r="AR321" s="12">
        <f>SUM(AR224:AR226,AR229,AR250,AR247)-SUM(AQ224:AQ226,AQ229,AQ250,AQ247)</f>
        <v>0</v>
      </c>
      <c r="AS321" s="12">
        <f>SUM(AS224:AS226,AS229,AS250,AS247)-SUM(AR224:AR226,AR229,AR250,AR247)</f>
        <v>0</v>
      </c>
      <c r="AT321" s="12">
        <f>SUM(AT224:AT226,AT229,AT250,AT247)-SUM(AS224:AS226,AS229,AS250,AS247)</f>
        <v>0</v>
      </c>
      <c r="AU321" s="12">
        <f>SUM(AU224:AU226,AU229,AU250,AU247)-SUM(AT224:AT226,AT229,AT250,AT247)</f>
        <v>0</v>
      </c>
      <c r="AV321" s="12">
        <f>SUM(AR321:AU321)</f>
        <v>0</v>
      </c>
      <c r="AW321" s="12">
        <f>SUM(AW224:AW226,AW229,AW250,AW247)-SUM(AV224:AV226,AV229,AV250,AV247)</f>
        <v>0</v>
      </c>
      <c r="AX321" s="12">
        <f>SUM(AX224:AX226,AX229,AX250,AX247)-SUM(AW224:AW226,AW229,AW250,AW247)</f>
        <v>0</v>
      </c>
      <c r="AY321" s="12">
        <f>SUM(AY224:AY226,AY229,AY250,AY247)-SUM(AX224:AX226,AX229,AX250,AX247)</f>
        <v>0</v>
      </c>
      <c r="AZ321" s="12">
        <f>SUM(AZ224:AZ226,AZ229,AZ250,AZ247)-SUM(AY224:AY226,AY229,AY250,AY247)</f>
        <v>0</v>
      </c>
      <c r="BA321" s="12">
        <f>SUM(AW321:AZ321)</f>
        <v>0</v>
      </c>
      <c r="BB321" s="12">
        <f>SUM(BB224:BB226,BB229,BB250,BB247)-SUM(BA224:BA226,BA229,BA250,BA247)</f>
        <v>0</v>
      </c>
      <c r="BC321" s="12">
        <f>SUM(BC224:BC226,BC229,BC250,BC247)-SUM(BB224:BB226,BB229,BB250,BB247)</f>
        <v>0</v>
      </c>
      <c r="BD321" s="12">
        <f>SUM(BD224:BD226,BD229,BD250,BD247)-SUM(BC224:BC226,BC229,BC250,BC247)</f>
        <v>0</v>
      </c>
      <c r="BE321" s="12">
        <f>SUM(BE224:BE226,BE229,BE250,BE247)-SUM(BD224:BD226,BD229,BD250,BD247)</f>
        <v>0</v>
      </c>
      <c r="BF321" s="12">
        <f>SUM(BB321:BE321)</f>
        <v>0</v>
      </c>
      <c r="BG321" s="12" t="n"/>
      <c r="BH321" s="12" t="n"/>
      <c r="BI321" s="12" t="n"/>
      <c r="BJ321" s="12" t="n"/>
      <c r="BK321" s="12" t="n"/>
      <c r="BL321" s="12" t="n"/>
      <c r="BM321" s="12" t="n"/>
      <c r="BN321" s="12" t="n"/>
      <c r="BO321" s="12" t="n"/>
      <c r="BP321" s="12" t="n"/>
      <c r="BQ321" s="12" t="n"/>
      <c r="BR321" s="12" t="n"/>
      <c r="BS321" s="12" t="n"/>
      <c r="BT321" s="12" t="n"/>
      <c r="BU321" s="12" t="n"/>
      <c r="BV321" s="12" t="n"/>
      <c r="BW321" s="12" t="n"/>
      <c r="BX321" s="12" t="n"/>
      <c r="BY321" s="12" t="n"/>
      <c r="BZ321" s="12" t="n"/>
      <c r="CA321" s="12" t="n"/>
      <c r="CB321" s="12" t="n"/>
      <c r="CC321" s="12" t="n"/>
      <c r="CD321" s="12" t="n"/>
      <c r="CE321" s="12" t="n"/>
      <c r="CF321" s="12" t="n"/>
      <c r="CG321" s="12" t="n"/>
      <c r="CH321" s="12" t="n"/>
      <c r="CI321" s="12" t="n"/>
      <c r="CJ321" s="12" t="n"/>
      <c r="CK321" s="12" t="n"/>
      <c r="CL321" s="12" t="n"/>
      <c r="CM321" s="12" t="n"/>
      <c r="CN321" s="12" t="n"/>
      <c r="CO321" s="12" t="n"/>
      <c r="CP321" s="12" t="n"/>
      <c r="CQ321" s="12" t="n"/>
      <c r="CR321" s="12" t="n"/>
      <c r="CS321" s="12" t="n"/>
      <c r="CT321" s="12" t="n"/>
      <c r="CU321" s="12" t="n"/>
      <c r="CV321" s="12" t="n"/>
      <c r="CW321" s="12" t="n"/>
      <c r="CX321" s="12" t="n"/>
      <c r="CY321" s="12" t="n"/>
      <c r="CZ321" s="12" t="n"/>
      <c r="DA321" s="12" t="n"/>
      <c r="DB321" s="12" t="n"/>
      <c r="DC321" s="12" t="n"/>
    </row>
    <row r="322">
      <c r="C322" s="14" t="inlineStr">
        <is>
          <t>Cash from financing</t>
        </is>
      </c>
      <c r="D322" s="12" t="n"/>
      <c r="E322" s="12" t="n"/>
      <c r="F322" s="12" t="n"/>
      <c r="G322" s="12" t="n"/>
      <c r="H322" s="12" t="n"/>
      <c r="I322" s="12" t="n"/>
      <c r="J322" s="12">
        <f>SUM(J314,J315,J316,J317,J318,J319,J320,J321)</f>
        <v>243.584999999999</v>
      </c>
      <c r="K322" s="12">
        <f>SUM(K314,K315,K316,K317,K318,K319,K320,K321)</f>
        <v>5084.191</v>
      </c>
      <c r="L322" s="12">
        <f>SUM(L314,L315,L316,L317,L318,L319,L320,L321)</f>
        <v>604.087999999999</v>
      </c>
      <c r="M322" s="12" t="n"/>
      <c r="N322" s="12">
        <f>SUM(N314,N315,N316,N317,N318,N319,N320,N321)</f>
        <v>-1188.165</v>
      </c>
      <c r="O322" s="12">
        <f>SUM(O314,O315,O316,O317,O318,O319,O320,O321)</f>
        <v>1382.194</v>
      </c>
      <c r="P322" s="12">
        <f>SUM(P314,P315,P316,P317,P318,P319,P320,P321)</f>
        <v>3635.306</v>
      </c>
      <c r="Q322" s="12">
        <f>SUM(Q314,Q315,Q316,Q317,Q318,Q319,Q320,Q321)</f>
        <v>-1901.588</v>
      </c>
      <c r="R322" s="12">
        <f>SUM(R314,R315,R316,R317,R318,R319,R320,R321)</f>
        <v>1927.747</v>
      </c>
      <c r="S322" s="12">
        <f>SUM(S314,S315,S316,S317,S318,S319,S320,S321)</f>
        <v>-2402.621</v>
      </c>
      <c r="T322" s="12">
        <f>SUM(T314,T315,T316,T317,T318,T319,T320,T321)</f>
        <v>-1066.341</v>
      </c>
      <c r="U322" s="12">
        <f>SUM(U314,U315,U316,U317,U318,U319,U320,U321)</f>
        <v>-243.093</v>
      </c>
      <c r="V322" s="12">
        <f>SUM(V314,V315,V316,V317,V318,V319,V320,V321)</f>
        <v>1712.514</v>
      </c>
      <c r="W322" s="12">
        <f>SUM(W314,W315,W316,W317,W318,W319,W320,W321)</f>
        <v>-1999.541</v>
      </c>
      <c r="X322" s="12">
        <f>SUM(X314,X315,X316,X317,X318,X319,X320,X321)</f>
        <v>818.490000000001</v>
      </c>
      <c r="Y322" s="12">
        <f>SUM(Y314,Y315,Y316,Y317,Y318,Y319,Y320,Y321)</f>
        <v>1662.284</v>
      </c>
      <c r="Z322" s="12">
        <f>SUM(Z314,Z315,Z316,Z317,Z318,Z319,Z320,Z321)</f>
        <v>1054.102</v>
      </c>
      <c r="AA322" s="12">
        <f>SUM(AA314,AA315,AA316,AA317,AA318,AA319,AA320,AA321)</f>
        <v>1364.085</v>
      </c>
      <c r="AB322" s="12">
        <f>SUM(AB314,AB315,AB316,AB317,AB318,AB319,AB320,AB321)</f>
        <v>4898.961</v>
      </c>
      <c r="AC322" s="12">
        <f>SUM(AC314,AC315,AC316,AC317,AC318,AC319,AC320,AC321)</f>
        <v>-506.382999999999</v>
      </c>
      <c r="AD322" s="12">
        <f>SUM(AD314,AD315,AD316,AD317,AD318,AD319,AD320,AD321)</f>
        <v>-490.283000000001</v>
      </c>
      <c r="AE322" s="12">
        <f>SUM(AE314,AE315,AE316,AE317,AE318,AE319,AE320,AE321)</f>
        <v>-724.848</v>
      </c>
      <c r="AF322" s="12">
        <f>SUM(AF314,AF315,AF316,AF317,AF318,AF319,AF320,AF321)</f>
        <v>3284.107893017</v>
      </c>
      <c r="AG322" s="12">
        <f>SUM(AG314,AG315,AG316,AG317,AG318,AG319,AG320,AG321)</f>
        <v>1562.593893017</v>
      </c>
      <c r="AH322" s="12">
        <f>SUM(AH314,AH315,AH316,AH317,AH318,AH319,AH320,AH321)</f>
        <v>1686.359808899</v>
      </c>
      <c r="AI322" s="12">
        <f>SUM(AI314,AI315,AI316,AI317,AI318,AI319,AI320,AI321)</f>
        <v>870.326340123002</v>
      </c>
      <c r="AJ322" s="12">
        <f>SUM(AJ314,AJ315,AJ316,AJ317,AJ318,AJ319,AJ320,AJ321)</f>
        <v>0</v>
      </c>
      <c r="AK322" s="12">
        <f>SUM(AK314,AK315,AK316,AK317,AK318,AK319,AK320,AK321)</f>
        <v>0</v>
      </c>
      <c r="AL322" s="12">
        <f>SUM(AL314,AL315,AL316,AL317,AL318,AL319,AL320,AL321)</f>
        <v>2556.686149022</v>
      </c>
      <c r="AM322" s="12">
        <f>SUM(AM314,AM315,AM316,AM317,AM318,AM319,AM320,AM321)</f>
        <v>0</v>
      </c>
      <c r="AN322" s="12">
        <f>SUM(AN314,AN315,AN316,AN317,AN318,AN319,AN320,AN321)</f>
        <v>0</v>
      </c>
      <c r="AO322" s="12">
        <f>SUM(AO314,AO315,AO316,AO317,AO318,AO319,AO320,AO321)</f>
        <v>0</v>
      </c>
      <c r="AP322" s="12">
        <f>SUM(AP314,AP315,AP316,AP317,AP318,AP319,AP320,AP321)</f>
        <v>0</v>
      </c>
      <c r="AQ322" s="12">
        <f>SUM(AQ314,AQ315,AQ316,AQ317,AQ318,AQ319,AQ320,AQ321)</f>
        <v>0</v>
      </c>
      <c r="AR322" s="12">
        <f>SUM(AR314,AR315,AR316,AR317,AR318,AR319,AR320,AR321)</f>
        <v>0</v>
      </c>
      <c r="AS322" s="12">
        <f>SUM(AS314,AS315,AS316,AS317,AS318,AS319,AS320,AS321)</f>
        <v>0</v>
      </c>
      <c r="AT322" s="12">
        <f>SUM(AT314,AT315,AT316,AT317,AT318,AT319,AT320,AT321)</f>
        <v>0</v>
      </c>
      <c r="AU322" s="12">
        <f>SUM(AU314,AU315,AU316,AU317,AU318,AU319,AU320,AU321)</f>
        <v>0</v>
      </c>
      <c r="AV322" s="12">
        <f>SUM(AV314,AV315,AV316,AV317,AV318,AV319,AV320,AV321)</f>
        <v>0</v>
      </c>
      <c r="AW322" s="12">
        <f>SUM(AW314,AW315,AW316,AW317,AW318,AW319,AW320,AW321)</f>
        <v>0</v>
      </c>
      <c r="AX322" s="12">
        <f>SUM(AX314,AX315,AX316,AX317,AX318,AX319,AX320,AX321)</f>
        <v>0</v>
      </c>
      <c r="AY322" s="12">
        <f>SUM(AY314,AY315,AY316,AY317,AY318,AY319,AY320,AY321)</f>
        <v>0</v>
      </c>
      <c r="AZ322" s="12">
        <f>SUM(AZ314,AZ315,AZ316,AZ317,AZ318,AZ319,AZ320,AZ321)</f>
        <v>0</v>
      </c>
      <c r="BA322" s="12">
        <f>SUM(BA314,BA315,BA316,BA317,BA318,BA319,BA320,BA321)</f>
        <v>0</v>
      </c>
      <c r="BB322" s="12">
        <f>SUM(BB314,BB315,BB316,BB317,BB318,BB319,BB320,BB321)</f>
        <v>0</v>
      </c>
      <c r="BC322" s="12">
        <f>SUM(BC314,BC315,BC316,BC317,BC318,BC319,BC320,BC321)</f>
        <v>0</v>
      </c>
      <c r="BD322" s="12">
        <f>SUM(BD314,BD315,BD316,BD317,BD318,BD319,BD320,BD321)</f>
        <v>0</v>
      </c>
      <c r="BE322" s="12">
        <f>SUM(BE314,BE315,BE316,BE317,BE318,BE319,BE320,BE321)</f>
        <v>0</v>
      </c>
      <c r="BF322" s="12">
        <f>SUM(BF314,BF315,BF316,BF317,BF318,BF319,BF320,BF321)</f>
        <v>0</v>
      </c>
      <c r="BG322" s="12" t="n"/>
      <c r="BH322" s="12" t="n"/>
      <c r="BI322" s="12" t="n"/>
      <c r="BJ322" s="12" t="n"/>
      <c r="BK322" s="12" t="n"/>
      <c r="BL322" s="12" t="n"/>
      <c r="BM322" s="12" t="n"/>
      <c r="BN322" s="12" t="n"/>
      <c r="BO322" s="12" t="n"/>
      <c r="BP322" s="12" t="n"/>
      <c r="BQ322" s="12" t="n"/>
      <c r="BR322" s="12" t="n"/>
      <c r="BS322" s="12" t="n"/>
      <c r="BT322" s="12" t="n"/>
      <c r="BU322" s="12" t="n"/>
      <c r="BV322" s="12" t="n"/>
      <c r="BW322" s="12" t="n"/>
      <c r="BX322" s="12" t="n"/>
      <c r="BY322" s="12" t="n"/>
      <c r="BZ322" s="12" t="n"/>
      <c r="CA322" s="12" t="n"/>
      <c r="CB322" s="12" t="n"/>
      <c r="CC322" s="12" t="n"/>
      <c r="CD322" s="12" t="n"/>
      <c r="CE322" s="12" t="n"/>
      <c r="CF322" s="12" t="n"/>
      <c r="CG322" s="12" t="n"/>
      <c r="CH322" s="12" t="n"/>
      <c r="CI322" s="12" t="n"/>
      <c r="CJ322" s="12" t="n"/>
      <c r="CK322" s="12" t="n"/>
      <c r="CL322" s="12" t="n"/>
      <c r="CM322" s="12" t="n"/>
      <c r="CN322" s="12" t="n"/>
      <c r="CO322" s="12" t="n"/>
      <c r="CP322" s="12" t="n"/>
      <c r="CQ322" s="12" t="n"/>
      <c r="CR322" s="12" t="n"/>
      <c r="CS322" s="12" t="n"/>
      <c r="CT322" s="12" t="n"/>
      <c r="CU322" s="12" t="n"/>
      <c r="CV322" s="12" t="n"/>
      <c r="CW322" s="12" t="n"/>
      <c r="CX322" s="12" t="n"/>
      <c r="CY322" s="12" t="n"/>
    </row>
    <row r="323">
      <c r="C323" s="14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2" t="n"/>
      <c r="AC323" s="12" t="n"/>
      <c r="AD323" s="12" t="n"/>
      <c r="AE323" s="12" t="n"/>
      <c r="AF323" s="12" t="n"/>
      <c r="AG323" s="12" t="n"/>
      <c r="AH323" s="12" t="n"/>
      <c r="AI323" s="12" t="n"/>
      <c r="AJ323" s="12" t="n"/>
      <c r="AK323" s="12" t="n"/>
      <c r="AL323" s="12" t="n"/>
      <c r="AM323" s="12" t="n"/>
      <c r="AN323" s="12" t="n"/>
      <c r="AO323" s="12" t="n"/>
      <c r="AP323" s="12" t="n"/>
      <c r="AQ323" s="12" t="n"/>
      <c r="AR323" s="12" t="n"/>
      <c r="AS323" s="12" t="n"/>
      <c r="AT323" s="12" t="n"/>
      <c r="AU323" s="12" t="n"/>
      <c r="AV323" s="12" t="n"/>
      <c r="AW323" s="12" t="n"/>
      <c r="AX323" s="12" t="n"/>
      <c r="AY323" s="12" t="n"/>
      <c r="AZ323" s="12" t="n"/>
      <c r="BA323" s="12" t="n"/>
      <c r="BB323" s="12" t="n"/>
      <c r="BC323" s="12" t="n"/>
      <c r="BD323" s="12" t="n"/>
      <c r="BE323" s="12" t="n"/>
      <c r="BF323" s="12" t="n"/>
      <c r="BG323" s="12" t="n"/>
      <c r="BH323" s="12" t="n"/>
      <c r="BI323" s="12" t="n"/>
      <c r="BJ323" s="12" t="n"/>
      <c r="BK323" s="12" t="n"/>
      <c r="BL323" s="12" t="n"/>
      <c r="BM323" s="12" t="n"/>
      <c r="BN323" s="12" t="n"/>
      <c r="BO323" s="12" t="n"/>
      <c r="BP323" s="12" t="n"/>
      <c r="BQ323" s="12" t="n"/>
      <c r="BR323" s="12" t="n"/>
      <c r="BS323" s="12" t="n"/>
      <c r="BT323" s="12" t="n"/>
      <c r="BU323" s="12" t="n"/>
      <c r="BV323" s="12" t="n"/>
      <c r="BW323" s="12" t="n"/>
      <c r="BX323" s="12" t="n"/>
      <c r="BY323" s="12" t="n"/>
      <c r="BZ323" s="12" t="n"/>
      <c r="CA323" s="12" t="n"/>
      <c r="CB323" s="12" t="n"/>
      <c r="CC323" s="12" t="n"/>
      <c r="CD323" s="12" t="n"/>
      <c r="CE323" s="12" t="n"/>
      <c r="CF323" s="12" t="n"/>
      <c r="CG323" s="12" t="n"/>
      <c r="CH323" s="12" t="n"/>
      <c r="CI323" s="12" t="n"/>
      <c r="CJ323" s="12" t="n"/>
      <c r="CK323" s="12" t="n"/>
      <c r="CL323" s="12" t="n"/>
      <c r="CM323" s="12" t="n"/>
      <c r="CN323" s="12" t="n"/>
      <c r="CO323" s="12" t="n"/>
      <c r="CP323" s="12" t="n"/>
      <c r="CQ323" s="12" t="n"/>
      <c r="CR323" s="12" t="n"/>
      <c r="CS323" s="12" t="n"/>
      <c r="CT323" s="12" t="n"/>
      <c r="CU323" s="12" t="n"/>
      <c r="CV323" s="12" t="n"/>
      <c r="CW323" s="12" t="n"/>
      <c r="CX323" s="12" t="n"/>
      <c r="CY323" s="12" t="n"/>
    </row>
    <row r="324">
      <c r="C324" s="14" t="inlineStr">
        <is>
          <t>Others / cash reconciliation plug</t>
        </is>
      </c>
      <c r="D324" s="12" t="n"/>
      <c r="E324" s="12" t="n"/>
      <c r="F324" s="12" t="n"/>
      <c r="G324" s="12" t="n"/>
      <c r="H324" s="12" t="n"/>
      <c r="I324" s="12" t="n"/>
      <c r="J324" s="12">
        <f>J156-I156-SUM(J305,J312,J322)</f>
        <v>6.53699316899292e-13</v>
      </c>
      <c r="K324" s="12">
        <f>K156-J156-SUM(K305,K312,K322)</f>
        <v>0</v>
      </c>
      <c r="L324" s="12">
        <f>L156-K156-SUM(L305,L312,L322)</f>
        <v>2.72848410531878e-12</v>
      </c>
      <c r="M324" s="12" t="n"/>
      <c r="N324" s="12">
        <f>N156-M156-SUM(N305,N312,N322)</f>
        <v>0</v>
      </c>
      <c r="O324" s="12">
        <f>O156-N156-SUM(O305,O312,O322)</f>
        <v>7.95807864051312e-13</v>
      </c>
      <c r="P324" s="12">
        <f>P156-O156-SUM(P305,P312,P322)</f>
        <v>0.000999999999294232</v>
      </c>
      <c r="Q324" s="12">
        <f>Q156-P156-SUM(Q305,Q312,Q322)</f>
        <v>0.00199999999779266</v>
      </c>
      <c r="R324" s="12">
        <f>SUM(N324:Q324)</f>
        <v>0.0029999999978827</v>
      </c>
      <c r="S324" s="12">
        <f>S156-R156-SUM(S305,S312,S322)</f>
        <v>-0.0029999999978827</v>
      </c>
      <c r="T324" s="12">
        <f>T156-S156-SUM(T305,T312,T322)</f>
        <v>0</v>
      </c>
      <c r="U324" s="12">
        <f>U156-T156-SUM(U305,U312,U322)</f>
        <v>0.00299999999992906</v>
      </c>
      <c r="V324" s="12">
        <f>V156-U156-SUM(V305,V312,V322)</f>
        <v>0</v>
      </c>
      <c r="W324" s="12">
        <f>SUM(S324:V324)</f>
        <v>2.04636307898909e-12</v>
      </c>
      <c r="X324" s="12">
        <f>X156-W156-SUM(X305,X312,X322)</f>
        <v>-0.00300000000021328</v>
      </c>
      <c r="Y324" s="12">
        <f>Y156-X156-SUM(Y305,Y312,Y322)</f>
        <v>2.72848410531878e-12</v>
      </c>
      <c r="Z324" s="12">
        <f>Z156-Y156-SUM(Z305,Z312,Z322)</f>
        <v>-2.1032064978499e-12</v>
      </c>
      <c r="AA324" s="12">
        <f>AA156-Z156-SUM(AA305,AA312,AA322)</f>
        <v>0.00400000000286127</v>
      </c>
      <c r="AB324" s="12">
        <f>SUM(X324:AA324)</f>
        <v>0.00100000000327327</v>
      </c>
      <c r="AC324" s="12">
        <f>AC156-AB156-SUM(AC305,AC312,AC322)</f>
        <v>-0.0040000000017244</v>
      </c>
      <c r="AD324" s="12">
        <f>AD156-AC156-SUM(AD305,AD312,AD322)</f>
        <v>0</v>
      </c>
      <c r="AE324" s="12">
        <f>AE156-AD156-SUM(AE305,AE312,AE322)</f>
        <v>7.95807864051312e-13</v>
      </c>
      <c r="AF324" s="12">
        <f>AF156-AE156-SUM(AF305,AF312,AF322)</f>
        <v>-0.000999999999294232</v>
      </c>
      <c r="AG324" s="12">
        <f>SUM(AC324:AF324)</f>
        <v>-0.00500000000022283</v>
      </c>
      <c r="AH324" s="12">
        <f>AH156-AG156-SUM(AH305,AH312,AH322)</f>
        <v>0.000999999998157364</v>
      </c>
      <c r="AI324" s="12">
        <f>AI156-AH156-SUM(AI305,AI312,AI322)</f>
        <v>0</v>
      </c>
      <c r="AJ324" s="12">
        <f>AJ156-AI156-SUM(AJ305,AJ312,AJ322)</f>
        <v>-2.50111042987555e-12</v>
      </c>
      <c r="AK324" s="12">
        <f>AK156-AJ156-SUM(AK305,AK312,AK322)</f>
        <v>8.41282599139959e-12</v>
      </c>
      <c r="AL324" s="12">
        <f>SUM(AH324:AK324)</f>
        <v>0.00100000000406908</v>
      </c>
      <c r="AM324" s="12">
        <f>AM156-AL156-SUM(AM305,AM312,AM322)</f>
        <v>-9.77706804405898e-12</v>
      </c>
      <c r="AN324" s="12">
        <f>AN156-AM156-SUM(AN305,AN312,AN322)</f>
        <v>8.41282599139959e-12</v>
      </c>
      <c r="AO324" s="12">
        <f>AO156-AN156-SUM(AO305,AO312,AO322)</f>
        <v>2.72848410531878e-12</v>
      </c>
      <c r="AP324" s="12">
        <f>AP156-AO156-SUM(AP305,AP312,AP322)</f>
        <v>-9.32232069317251e-12</v>
      </c>
      <c r="AQ324" s="12">
        <f>SUM(AM324:AP324)</f>
        <v>-7.95807864051312e-12</v>
      </c>
      <c r="AR324" s="12">
        <f>AR156-AQ156-SUM(AR305,AR312,AR322)</f>
        <v>2.72848410531878e-12</v>
      </c>
      <c r="AS324" s="12">
        <f>AS156-AR156-SUM(AS305,AS312,AS322)</f>
        <v>6.3664629124105e-12</v>
      </c>
      <c r="AT324" s="12">
        <f>AT156-AS156-SUM(AT305,AT312,AT322)</f>
        <v>-1.02318153949454e-11</v>
      </c>
      <c r="AU324" s="12">
        <f>AU156-AT156-SUM(AU305,AU312,AU322)</f>
        <v>4.77484718430787e-12</v>
      </c>
      <c r="AV324" s="12">
        <f>SUM(AR324:AU324)</f>
        <v>3.63797880709171e-12</v>
      </c>
      <c r="AW324" s="12">
        <f>AW156-AV156-SUM(AW305,AW312,AW322)</f>
        <v>5.6843418860808e-12</v>
      </c>
      <c r="AX324" s="12">
        <f>AX156-AW156-SUM(AX305,AX312,AX322)</f>
        <v>-6.82121026329696e-12</v>
      </c>
      <c r="AY324" s="12">
        <f>AY156-AX156-SUM(AY305,AY312,AY322)</f>
        <v>-1.20508047984913e-11</v>
      </c>
      <c r="AZ324" s="12">
        <f>AZ156-AY156-SUM(AZ305,AZ312,AZ322)</f>
        <v>9.54969436861575e-12</v>
      </c>
      <c r="BA324" s="12">
        <f>SUM(AW324:AZ324)</f>
        <v>-3.63797880709171e-12</v>
      </c>
      <c r="BB324" s="12">
        <f>BB156-BA156-SUM(BB305,BB312,BB322)</f>
        <v>2.95585778076202e-12</v>
      </c>
      <c r="BC324" s="12">
        <f>BC156-BB156-SUM(BC305,BC312,BC322)</f>
        <v>-4.77484718430787e-12</v>
      </c>
      <c r="BD324" s="12">
        <f>BD156-BC156-SUM(BD305,BD312,BD322)</f>
        <v>5.00222085975111e-12</v>
      </c>
      <c r="BE324" s="12">
        <f>BE156-BD156-SUM(BE305,BE312,BE322)</f>
        <v>-7.27595761418343e-12</v>
      </c>
      <c r="BF324" s="12">
        <f>SUM(BB324:BE324)</f>
        <v>-4.09272615797818e-12</v>
      </c>
      <c r="BG324" s="12" t="n"/>
      <c r="BH324" s="12" t="n"/>
      <c r="BI324" s="12" t="n"/>
      <c r="BJ324" s="12" t="n"/>
      <c r="BK324" s="12" t="n"/>
      <c r="BL324" s="12" t="n"/>
      <c r="BM324" s="12" t="n"/>
      <c r="BN324" s="12" t="n"/>
      <c r="BO324" s="12" t="n"/>
      <c r="BP324" s="12" t="n"/>
      <c r="BQ324" s="12" t="n"/>
      <c r="BR324" s="12" t="n"/>
      <c r="BS324" s="12" t="n"/>
      <c r="BT324" s="12" t="n"/>
      <c r="BU324" s="12" t="n"/>
      <c r="BV324" s="12" t="n"/>
      <c r="BW324" s="12" t="n"/>
      <c r="BX324" s="12" t="n"/>
      <c r="BY324" s="12" t="n"/>
      <c r="BZ324" s="12" t="n"/>
      <c r="CA324" s="12" t="n"/>
      <c r="CB324" s="12" t="n"/>
      <c r="CC324" s="12" t="n"/>
      <c r="CD324" s="12" t="n"/>
      <c r="CE324" s="12" t="n"/>
      <c r="CF324" s="12" t="n"/>
      <c r="CG324" s="12" t="n"/>
      <c r="CH324" s="12" t="n"/>
      <c r="CI324" s="12" t="n"/>
      <c r="CJ324" s="12" t="n"/>
      <c r="CK324" s="12" t="n"/>
      <c r="CL324" s="12" t="n"/>
      <c r="CM324" s="12" t="n"/>
      <c r="CN324" s="12" t="n"/>
      <c r="CO324" s="12" t="n"/>
      <c r="CP324" s="12" t="n"/>
      <c r="CQ324" s="12" t="n"/>
      <c r="CR324" s="12" t="n"/>
      <c r="CS324" s="12" t="n"/>
      <c r="CT324" s="12" t="n"/>
      <c r="CU324" s="12" t="n"/>
      <c r="CV324" s="12" t="n"/>
      <c r="CW324" s="12" t="n"/>
      <c r="CX324" s="12" t="n"/>
      <c r="CY324" s="12" t="n"/>
    </row>
    <row r="325">
      <c r="C325" s="14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12" t="n"/>
      <c r="AH325" s="12" t="n"/>
      <c r="AI325" s="12" t="n"/>
      <c r="AJ325" s="12" t="n"/>
      <c r="AK325" s="12" t="n"/>
      <c r="AL325" s="12" t="n"/>
      <c r="AM325" s="12" t="n"/>
      <c r="AN325" s="12" t="n"/>
      <c r="AO325" s="12" t="n"/>
      <c r="AP325" s="12" t="n"/>
      <c r="AQ325" s="12" t="n"/>
      <c r="AR325" s="12" t="n"/>
      <c r="AS325" s="12" t="n"/>
      <c r="AT325" s="12" t="n"/>
      <c r="AU325" s="12" t="n"/>
      <c r="AV325" s="12" t="n"/>
      <c r="AW325" s="12" t="n"/>
      <c r="AX325" s="12" t="n"/>
      <c r="AY325" s="12" t="n"/>
      <c r="AZ325" s="12" t="n"/>
      <c r="BA325" s="12" t="n"/>
      <c r="BB325" s="12" t="n"/>
      <c r="BC325" s="12" t="n"/>
      <c r="BD325" s="12" t="n"/>
      <c r="BE325" s="12" t="n"/>
      <c r="BF325" s="12" t="n"/>
      <c r="BG325" s="12" t="n"/>
      <c r="BH325" s="12" t="n"/>
      <c r="BI325" s="12" t="n"/>
      <c r="BJ325" s="12" t="n"/>
      <c r="BK325" s="12" t="n"/>
      <c r="BL325" s="12" t="n"/>
      <c r="BM325" s="12" t="n"/>
      <c r="BN325" s="12" t="n"/>
      <c r="BO325" s="12" t="n"/>
      <c r="BP325" s="12" t="n"/>
      <c r="BQ325" s="12" t="n"/>
      <c r="BR325" s="12" t="n"/>
      <c r="BS325" s="12" t="n"/>
      <c r="BT325" s="12" t="n"/>
      <c r="BU325" s="12" t="n"/>
      <c r="BV325" s="12" t="n"/>
      <c r="BW325" s="12" t="n"/>
      <c r="BX325" s="12" t="n"/>
      <c r="BY325" s="12" t="n"/>
      <c r="BZ325" s="12" t="n"/>
      <c r="CA325" s="12" t="n"/>
      <c r="CB325" s="12" t="n"/>
      <c r="CC325" s="12" t="n"/>
      <c r="CD325" s="12" t="n"/>
      <c r="CE325" s="12" t="n"/>
      <c r="CF325" s="12" t="n"/>
      <c r="CG325" s="12" t="n"/>
      <c r="CH325" s="12" t="n"/>
      <c r="CI325" s="12" t="n"/>
      <c r="CJ325" s="12" t="n"/>
      <c r="CK325" s="12" t="n"/>
      <c r="CL325" s="12" t="n"/>
      <c r="CM325" s="12" t="n"/>
      <c r="CN325" s="12" t="n"/>
      <c r="CO325" s="12" t="n"/>
      <c r="CP325" s="12" t="n"/>
      <c r="CQ325" s="12" t="n"/>
      <c r="CR325" s="12" t="n"/>
      <c r="CS325" s="12" t="n"/>
      <c r="CT325" s="12" t="n"/>
      <c r="CU325" s="12" t="n"/>
      <c r="CV325" s="12" t="n"/>
      <c r="CW325" s="12" t="n"/>
      <c r="CX325" s="12" t="n"/>
      <c r="CY325" s="12" t="n"/>
    </row>
    <row r="326">
      <c r="C326" s="14" t="inlineStr">
        <is>
          <t>Total increase/decrease of cash</t>
        </is>
      </c>
      <c r="D326" s="12" t="n"/>
      <c r="E326" s="12" t="n"/>
      <c r="F326" s="12" t="n"/>
      <c r="G326" s="12" t="n"/>
      <c r="H326" s="12" t="n"/>
      <c r="I326" s="12" t="n"/>
      <c r="J326" s="12">
        <f>SUM(J305,J312,J322,J324)</f>
        <v>44.875</v>
      </c>
      <c r="K326" s="12">
        <f>SUM(K305,K312,K322,K324)</f>
        <v>2717.558</v>
      </c>
      <c r="L326" s="12">
        <f>SUM(L305,L312,L322,L324)</f>
        <v>-487.86</v>
      </c>
      <c r="M326" s="12" t="n"/>
      <c r="N326" s="12">
        <f>SUM(N305,N312,N322,N324)</f>
        <v>-2135.869</v>
      </c>
      <c r="O326" s="12">
        <f>SUM(O305,O312,O322,O324)</f>
        <v>72.1130000000003</v>
      </c>
      <c r="P326" s="12">
        <f>SUM(P305,P312,P322,P324)</f>
        <v>2072.76</v>
      </c>
      <c r="Q326" s="12">
        <f>SUM(Q305,Q312,Q322,Q324)</f>
        <v>-967.922000000001</v>
      </c>
      <c r="R326" s="12">
        <f>SUM(N326:Q326)</f>
        <v>-958.917999999999</v>
      </c>
      <c r="S326" s="12">
        <f>SUM(S305,S312,S322,S324)</f>
        <v>-2904.436</v>
      </c>
      <c r="T326" s="12">
        <f>SUM(T305,T312,T322,T324)</f>
        <v>-1345.233</v>
      </c>
      <c r="U326" s="12">
        <f>SUM(U305,U312,U322,U324)</f>
        <v>-566.739</v>
      </c>
      <c r="V326" s="12">
        <f>SUM(V305,V312,V322,V324)</f>
        <v>987.625000000002</v>
      </c>
      <c r="W326" s="12">
        <f>SUM(S326:V326)</f>
        <v>-3828.783</v>
      </c>
      <c r="X326" s="12">
        <f>SUM(X305,X312,X322,X324)</f>
        <v>212.534</v>
      </c>
      <c r="Y326" s="12">
        <f>SUM(Y305,Y312,Y322,Y324)</f>
        <v>473.717</v>
      </c>
      <c r="Z326" s="12">
        <f>SUM(Z305,Z312,Z322,Z324)</f>
        <v>290.716</v>
      </c>
      <c r="AA326" s="12">
        <f>SUM(AA305,AA312,AA322,AA324)</f>
        <v>315.644</v>
      </c>
      <c r="AB326" s="12">
        <f>SUM(X326:AA326)</f>
        <v>1292.611</v>
      </c>
      <c r="AC326" s="12">
        <f>SUM(AC305,AC312,AC322,AC324)</f>
        <v>-1254.168</v>
      </c>
      <c r="AD326" s="12">
        <f>SUM(AD305,AD312,AD322,AD324)</f>
        <v>404.445000000001</v>
      </c>
      <c r="AE326" s="12">
        <f>SUM(AE305,AE312,AE322,AE324)</f>
        <v>-122.151</v>
      </c>
      <c r="AF326" s="12">
        <f>SUM(AF305,AF312,AF322,AF324)</f>
        <v>3555.906</v>
      </c>
      <c r="AG326" s="12">
        <f>SUM(AC326:AF326)</f>
        <v>2584.032</v>
      </c>
      <c r="AH326" s="12">
        <f>SUM(AH305,AH312,AH322,AH324)</f>
        <v>1217.793</v>
      </c>
      <c r="AI326" s="12">
        <f>SUM(AI305,AI312,AI322,AI324)</f>
        <v>-613.891000000002</v>
      </c>
      <c r="AJ326" s="12">
        <f>SUM(AJ305,AJ312,AJ322,AJ324)</f>
        <v>179.27817598317</v>
      </c>
      <c r="AK326" s="12">
        <f>SUM(AK305,AK312,AK322,AK324)</f>
        <v>354.15148700017</v>
      </c>
      <c r="AL326" s="12">
        <f>SUM(AH326:AK326)</f>
        <v>1137.33166298334</v>
      </c>
      <c r="AM326" s="12">
        <f>SUM(AM305,AM312,AM322,AM324)</f>
        <v>607.964137479634</v>
      </c>
      <c r="AN326" s="12">
        <f>SUM(AN305,AN312,AN322,AN324)</f>
        <v>406.860158248037</v>
      </c>
      <c r="AO326" s="12">
        <f>SUM(AO305,AO312,AO322,AO324)</f>
        <v>673.335637210792</v>
      </c>
      <c r="AP326" s="12">
        <f>SUM(AP305,AP312,AP322,AP324)</f>
        <v>385.872104313676</v>
      </c>
      <c r="AQ326" s="12">
        <f>SUM(AM326:AP326)</f>
        <v>2074.03203725214</v>
      </c>
      <c r="AR326" s="12">
        <f>SUM(AR305,AR312,AR322,AR324)</f>
        <v>606.15103828656</v>
      </c>
      <c r="AS326" s="12">
        <f>SUM(AS305,AS312,AS322,AS324)</f>
        <v>474.253250191141</v>
      </c>
      <c r="AT326" s="12">
        <f>SUM(AT305,AT312,AT322,AT324)</f>
        <v>725.183805933382</v>
      </c>
      <c r="AU326" s="12">
        <f>SUM(AU305,AU312,AU322,AU324)</f>
        <v>417.332083919631</v>
      </c>
      <c r="AV326" s="12">
        <f>SUM(AR326:AU326)</f>
        <v>2222.92017833071</v>
      </c>
      <c r="AW326" s="12">
        <f>SUM(AW305,AW312,AW322,AW324)</f>
        <v>672.190775620868</v>
      </c>
      <c r="AX326" s="12">
        <f>SUM(AX305,AX312,AX322,AX324)</f>
        <v>472.6037700706</v>
      </c>
      <c r="AY326" s="12">
        <f>SUM(AY305,AY312,AY322,AY324)</f>
        <v>777.371451720144</v>
      </c>
      <c r="AZ326" s="12">
        <f>SUM(AZ305,AZ312,AZ322,AZ324)</f>
        <v>449.185051448447</v>
      </c>
      <c r="BA326" s="12">
        <f>SUM(AW326:AZ326)</f>
        <v>2371.35104886006</v>
      </c>
      <c r="BB326" s="12">
        <f>SUM(BB305,BB312,BB322,BB324)</f>
        <v>701.281845599071</v>
      </c>
      <c r="BC326" s="12">
        <f>SUM(BC305,BC312,BC322,BC324)</f>
        <v>505.62237216103</v>
      </c>
      <c r="BD326" s="12">
        <f>SUM(BD305,BD312,BD322,BD324)</f>
        <v>829.198376007196</v>
      </c>
      <c r="BE326" s="12">
        <f>SUM(BE305,BE312,BE322,BE324)</f>
        <v>480.920511265176</v>
      </c>
      <c r="BF326" s="12">
        <f>SUM(BB326:BE326)</f>
        <v>2517.02310503247</v>
      </c>
      <c r="BG326" s="12" t="n"/>
      <c r="BH326" s="12" t="n"/>
      <c r="BI326" s="12" t="n"/>
      <c r="BJ326" s="12" t="n"/>
      <c r="BK326" s="12" t="n"/>
      <c r="BL326" s="12" t="n"/>
      <c r="BM326" s="12" t="n"/>
      <c r="BN326" s="12" t="n"/>
      <c r="BO326" s="12" t="n"/>
      <c r="BP326" s="12" t="n"/>
      <c r="BQ326" s="12" t="n"/>
      <c r="BR326" s="12" t="n"/>
      <c r="BS326" s="12" t="n"/>
      <c r="BT326" s="12" t="n"/>
      <c r="BU326" s="12" t="n"/>
      <c r="BV326" s="12" t="n"/>
      <c r="BW326" s="12" t="n"/>
      <c r="BX326" s="12" t="n"/>
      <c r="BY326" s="12" t="n"/>
      <c r="BZ326" s="12" t="n"/>
      <c r="CA326" s="12" t="n"/>
      <c r="CB326" s="12" t="n"/>
      <c r="CC326" s="12" t="n"/>
      <c r="CD326" s="12" t="n"/>
      <c r="CE326" s="12" t="n"/>
      <c r="CF326" s="12" t="n"/>
      <c r="CG326" s="12" t="n"/>
      <c r="CH326" s="12" t="n"/>
      <c r="CI326" s="12" t="n"/>
      <c r="CJ326" s="12" t="n"/>
      <c r="CK326" s="12" t="n"/>
      <c r="CL326" s="12" t="n"/>
      <c r="CM326" s="12" t="n"/>
      <c r="CN326" s="12" t="n"/>
      <c r="CO326" s="12" t="n"/>
      <c r="CP326" s="12" t="n"/>
      <c r="CQ326" s="12" t="n"/>
      <c r="CR326" s="12" t="n"/>
      <c r="CS326" s="12" t="n"/>
      <c r="CT326" s="12" t="n"/>
      <c r="CU326" s="12" t="n"/>
      <c r="CV326" s="12" t="n"/>
      <c r="CW326" s="12" t="n"/>
      <c r="CX326" s="12" t="n"/>
      <c r="CY326" s="12" t="n"/>
    </row>
    <row r="327">
      <c r="C327" s="4" t="inlineStr">
        <is>
          <t>Check</t>
        </is>
      </c>
      <c r="E327" s="72" t="n"/>
      <c r="F327" s="72" t="n"/>
      <c r="G327" s="72" t="n"/>
      <c r="I327" s="72" t="str">
        <f>""</f>
        <v/>
      </c>
      <c r="J327" s="72">
        <f>J156-I156-J326</f>
        <v>0</v>
      </c>
      <c r="K327" s="72">
        <f>K156-J156-K326</f>
        <v>0</v>
      </c>
      <c r="L327" s="72">
        <f>L156-K156-L326</f>
        <v>0</v>
      </c>
      <c r="M327" s="4" t="str">
        <f>""</f>
        <v/>
      </c>
      <c r="N327" s="72">
        <f>N156-M156-N326</f>
        <v>0</v>
      </c>
      <c r="O327" s="72">
        <f>O156-N156-O326</f>
        <v>0</v>
      </c>
      <c r="P327" s="72">
        <f>P156-O156-P326</f>
        <v>0</v>
      </c>
      <c r="Q327" s="72">
        <f>Q156-P156-Q326</f>
        <v>0</v>
      </c>
      <c r="R327" s="4">
        <f>R156-M156-R326</f>
        <v>0</v>
      </c>
      <c r="S327" s="72">
        <f>S156-R156-S326</f>
        <v>0</v>
      </c>
      <c r="T327" s="72">
        <f>T156-S156-T326</f>
        <v>0</v>
      </c>
      <c r="U327" s="72">
        <f>U156-T156-U326</f>
        <v>0</v>
      </c>
      <c r="V327" s="72">
        <f>V156-U156-V326</f>
        <v>0</v>
      </c>
      <c r="W327" s="4">
        <f>W156-R156-W326</f>
        <v>0</v>
      </c>
      <c r="X327" s="72">
        <f>X156-W156-X326</f>
        <v>0</v>
      </c>
      <c r="Y327" s="72">
        <f>Y156-X156-Y326</f>
        <v>0</v>
      </c>
      <c r="Z327" s="72">
        <f>Z156-Y156-Z326</f>
        <v>0</v>
      </c>
      <c r="AA327" s="72">
        <f>AA156-Z156-AA326</f>
        <v>0</v>
      </c>
      <c r="AB327" s="4">
        <f>AB156-W156-AB326</f>
        <v>0</v>
      </c>
      <c r="AC327" s="72">
        <f>AC156-AB156-AC326</f>
        <v>0</v>
      </c>
      <c r="AD327" s="72">
        <f>AD156-AC156-AD326</f>
        <v>0</v>
      </c>
      <c r="AE327" s="72">
        <f>AE156-AD156-AE326</f>
        <v>0</v>
      </c>
      <c r="AF327" s="72">
        <f>AF156-AE156-AF326</f>
        <v>0</v>
      </c>
      <c r="AG327" s="4">
        <f>AG156-AB156-AG326</f>
        <v>0</v>
      </c>
      <c r="AH327" s="72">
        <f>AH156-AG156-AH326</f>
        <v>0</v>
      </c>
      <c r="AI327" s="72">
        <f>AI156-AH156-AI326</f>
        <v>0</v>
      </c>
      <c r="AJ327" s="72">
        <f>AJ156-AI156-AJ326</f>
        <v>0</v>
      </c>
      <c r="AK327" s="72">
        <f>AK156-AJ156-AK326</f>
        <v>0</v>
      </c>
      <c r="AL327" s="4">
        <f>AL156-AG156-AL326</f>
        <v>0</v>
      </c>
      <c r="AM327" s="72">
        <f>AM156-AL156-AM326</f>
        <v>0</v>
      </c>
      <c r="AN327" s="72">
        <f>AN156-AM156-AN326</f>
        <v>0</v>
      </c>
      <c r="AO327" s="72">
        <f>AO156-AN156-AO326</f>
        <v>0</v>
      </c>
      <c r="AP327" s="72">
        <f>AP156-AO156-AP326</f>
        <v>0</v>
      </c>
      <c r="AQ327" s="4">
        <f>AQ156-AL156-AQ326</f>
        <v>0</v>
      </c>
      <c r="AR327" s="72">
        <f>AR156-AQ156-AR326</f>
        <v>0</v>
      </c>
      <c r="AS327" s="72">
        <f>AS156-AR156-AS326</f>
        <v>0</v>
      </c>
      <c r="AT327" s="72">
        <f>AT156-AS156-AT326</f>
        <v>0</v>
      </c>
      <c r="AU327" s="72">
        <f>AU156-AT156-AU326</f>
        <v>0</v>
      </c>
      <c r="AV327" s="4">
        <f>AV156-AQ156-AV326</f>
        <v>0</v>
      </c>
      <c r="AW327" s="72">
        <f>AW156-AV156-AW326</f>
        <v>0</v>
      </c>
      <c r="AX327" s="72">
        <f>AX156-AW156-AX326</f>
        <v>0</v>
      </c>
      <c r="AY327" s="72">
        <f>AY156-AX156-AY326</f>
        <v>0</v>
      </c>
      <c r="AZ327" s="72">
        <f>AZ156-AY156-AZ326</f>
        <v>0</v>
      </c>
      <c r="BA327" s="4">
        <f>BA156-AV156-BA326</f>
        <v>0</v>
      </c>
      <c r="BB327" s="72">
        <f>BB156-BA156-BB326</f>
        <v>0</v>
      </c>
      <c r="BC327" s="72">
        <f>BC156-BB156-BC326</f>
        <v>0</v>
      </c>
      <c r="BD327" s="72">
        <f>BD156-BC156-BD326</f>
        <v>0</v>
      </c>
      <c r="BE327" s="72">
        <f>BE156-BD156-BE326</f>
        <v>0</v>
      </c>
      <c r="BF327" s="4">
        <f>BF156-BA156-BF326</f>
        <v>0</v>
      </c>
      <c r="BG327" s="72" t="n"/>
      <c r="BH327" s="72" t="n"/>
      <c r="BI327" s="72" t="n"/>
      <c r="BJ327" s="72" t="n"/>
      <c r="BL327" s="72" t="n"/>
      <c r="BM327" s="72" t="n"/>
      <c r="BN327" s="72" t="n"/>
      <c r="BO327" s="72" t="n"/>
      <c r="BQ327" s="72" t="n"/>
      <c r="BR327" s="72" t="n"/>
      <c r="BS327" s="72" t="n"/>
      <c r="BT327" s="72" t="n"/>
      <c r="BV327" s="72" t="n"/>
      <c r="BW327" s="72" t="n"/>
      <c r="BX327" s="72" t="n"/>
      <c r="BY327" s="72" t="n"/>
      <c r="CA327" s="72" t="n"/>
      <c r="CB327" s="72" t="n"/>
      <c r="CC327" s="72" t="n"/>
      <c r="CD327" s="72" t="n"/>
      <c r="CF327" s="72" t="n"/>
      <c r="CG327" s="72" t="n"/>
      <c r="CH327" s="72" t="n"/>
      <c r="CI327" s="72" t="n"/>
      <c r="CK327" s="72" t="n"/>
      <c r="CL327" s="72" t="n"/>
      <c r="CM327" s="72" t="n"/>
      <c r="CN327" s="72" t="n"/>
      <c r="CP327" s="72" t="n"/>
      <c r="CQ327" s="72" t="n"/>
      <c r="CR327" s="72" t="n"/>
      <c r="CS327" s="72" t="n"/>
      <c r="CU327" s="72" t="n"/>
      <c r="CV327" s="72" t="n"/>
      <c r="CW327" s="72" t="n"/>
      <c r="CX327" s="72" t="n"/>
    </row>
    <row r="328"/>
    <row r="329">
      <c r="C329" s="73" t="inlineStr">
        <is>
          <t>Ratio Analysis</t>
        </is>
      </c>
      <c r="D329" s="73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  <c r="AA329" s="73" t="n"/>
      <c r="AB329" s="73" t="n"/>
      <c r="AC329" s="73" t="n"/>
      <c r="AD329" s="73" t="n"/>
      <c r="AE329" s="73" t="n"/>
      <c r="AF329" s="73" t="n"/>
      <c r="AG329" s="73" t="n"/>
      <c r="AH329" s="73" t="n"/>
      <c r="AI329" s="73" t="n"/>
      <c r="AJ329" s="73" t="n"/>
      <c r="AK329" s="73" t="n"/>
      <c r="AL329" s="73" t="n"/>
      <c r="AM329" s="73" t="n"/>
      <c r="AN329" s="73" t="n"/>
      <c r="AO329" s="73" t="n"/>
      <c r="AP329" s="73" t="n"/>
      <c r="AQ329" s="73" t="n"/>
      <c r="AR329" s="73" t="n"/>
      <c r="AS329" s="73" t="n"/>
      <c r="AT329" s="73" t="n"/>
      <c r="AU329" s="73" t="n"/>
      <c r="AV329" s="73" t="n"/>
      <c r="AW329" s="73" t="n"/>
      <c r="AX329" s="73" t="n"/>
      <c r="AY329" s="73" t="n"/>
      <c r="AZ329" s="73" t="n"/>
      <c r="BA329" s="73" t="n"/>
      <c r="BB329" s="73" t="n"/>
      <c r="BC329" s="73" t="n"/>
      <c r="BD329" s="73" t="n"/>
      <c r="BE329" s="73" t="n"/>
      <c r="BF329" s="73" t="n"/>
      <c r="BG329" s="73" t="n"/>
      <c r="BH329" s="73" t="n"/>
      <c r="BI329" s="73" t="n"/>
      <c r="BJ329" s="73" t="n"/>
      <c r="BK329" s="73" t="n"/>
      <c r="BL329" s="73" t="n"/>
      <c r="BM329" s="73" t="n"/>
      <c r="BN329" s="73" t="n"/>
      <c r="BO329" s="73" t="n"/>
      <c r="BP329" s="73" t="n"/>
      <c r="BQ329" s="73" t="n"/>
      <c r="BR329" s="73" t="n"/>
      <c r="BS329" s="73" t="n"/>
      <c r="BT329" s="73" t="n"/>
      <c r="BU329" s="73" t="n"/>
      <c r="BV329" s="73" t="n"/>
      <c r="BW329" s="73" t="n"/>
      <c r="BX329" s="73" t="n"/>
      <c r="BY329" s="73" t="n"/>
      <c r="BZ329" s="73" t="n"/>
      <c r="CA329" s="73" t="n"/>
      <c r="CB329" s="73" t="n"/>
      <c r="CC329" s="73" t="n"/>
      <c r="CD329" s="73" t="n"/>
      <c r="CE329" s="73" t="n"/>
      <c r="CF329" s="73" t="n"/>
      <c r="CG329" s="73" t="n"/>
      <c r="CH329" s="73" t="n"/>
      <c r="CI329" s="73" t="n"/>
      <c r="CJ329" s="73" t="n"/>
      <c r="CK329" s="73" t="n"/>
      <c r="CL329" s="73" t="n"/>
      <c r="CM329" s="73" t="n"/>
      <c r="CN329" s="73" t="n"/>
      <c r="CO329" s="73" t="n"/>
      <c r="CP329" s="73" t="n"/>
      <c r="CQ329" s="73" t="n"/>
      <c r="CR329" s="73" t="n"/>
      <c r="CS329" s="73" t="n"/>
      <c r="CT329" s="73" t="n"/>
      <c r="CU329" s="73" t="n"/>
      <c r="CV329" s="73" t="n"/>
      <c r="CW329" s="73" t="n"/>
      <c r="CX329" s="73" t="n"/>
      <c r="CY329" s="73" t="n"/>
    </row>
    <row r="330"/>
    <row r="331" customFormat="1" s="74">
      <c r="C331" s="74" t="inlineStr">
        <is>
          <t>YEAR</t>
        </is>
      </c>
      <c r="D331">
        <f>IFERROR(D287,"")</f>
        <v>0</v>
      </c>
      <c r="E331" s="75">
        <f>IFERROR(E287,"")</f>
        <v>0</v>
      </c>
      <c r="F331" s="75">
        <f>IFERROR(F287,"")</f>
        <v>0</v>
      </c>
      <c r="G331" s="75">
        <f>IFERROR(G287,"")</f>
        <v>0</v>
      </c>
      <c r="H331" s="75">
        <f>IFERROR(H287,"")</f>
        <v>0</v>
      </c>
      <c r="I331" s="75" t="str">
        <f>IFERROR(I287,"")</f>
        <v>1Q21</v>
      </c>
      <c r="J331" s="75" t="str">
        <f>IFERROR(J287,"")</f>
        <v>2Q21</v>
      </c>
      <c r="K331" s="75" t="str">
        <f>IFERROR(K287,"")</f>
        <v>3Q21</v>
      </c>
      <c r="L331" s="75" t="str">
        <f>IFERROR(L287,"")</f>
        <v>4Q21</v>
      </c>
      <c r="M331" s="75">
        <f>IFERROR(M287,"")</f>
        <v>2021</v>
      </c>
      <c r="N331" s="75" t="str">
        <f>IFERROR(N287,"")</f>
        <v>1Q22</v>
      </c>
      <c r="O331" s="75" t="str">
        <f>IFERROR(O287,"")</f>
        <v>2Q22</v>
      </c>
      <c r="P331" s="75" t="str">
        <f>IFERROR(P287,"")</f>
        <v>3Q22</v>
      </c>
      <c r="Q331" s="75" t="str">
        <f>IFERROR(Q287,"")</f>
        <v>4Q22</v>
      </c>
      <c r="R331" s="75">
        <f>IFERROR(R287,"")</f>
        <v>2022</v>
      </c>
      <c r="S331" s="75" t="str">
        <f>IFERROR(S287,"")</f>
        <v>1Q23</v>
      </c>
      <c r="T331" s="75" t="str">
        <f>IFERROR(T287,"")</f>
        <v>2Q23</v>
      </c>
      <c r="U331" s="75" t="str">
        <f>IFERROR(U287,"")</f>
        <v>3Q23</v>
      </c>
      <c r="V331" s="75" t="str">
        <f>IFERROR(V287,"")</f>
        <v>4Q23</v>
      </c>
      <c r="W331" s="75">
        <f>IFERROR(W287,"")</f>
        <v>2023</v>
      </c>
      <c r="X331" s="75" t="str">
        <f>IFERROR(X287,"")</f>
        <v>1Q24</v>
      </c>
      <c r="Y331" s="75" t="str">
        <f>IFERROR(Y287,"")</f>
        <v>2Q24</v>
      </c>
      <c r="Z331" s="75" t="str">
        <f>IFERROR(Z287,"")</f>
        <v>3Q24</v>
      </c>
      <c r="AA331" s="75" t="str">
        <f>IFERROR(AA287,"")</f>
        <v>4Q24</v>
      </c>
      <c r="AB331" s="75">
        <f>IFERROR(AB287,"")</f>
        <v>2024</v>
      </c>
      <c r="AC331" s="75" t="str">
        <f>IFERROR(AC287,"")</f>
        <v>1Q25</v>
      </c>
      <c r="AD331" s="75" t="str">
        <f>IFERROR(AD287,"")</f>
        <v>2Q25</v>
      </c>
      <c r="AE331" s="75" t="str">
        <f>IFERROR(AE287,"")</f>
        <v>3Q25</v>
      </c>
      <c r="AF331" s="75" t="str">
        <f>IFERROR(AF287,"")</f>
        <v>4Q25</v>
      </c>
      <c r="AG331" s="75">
        <f>IFERROR(AG287,"")</f>
        <v>2025</v>
      </c>
      <c r="AH331" s="75" t="str">
        <f>IFERROR(AH287,"")</f>
        <v>1Q26</v>
      </c>
      <c r="AI331" s="75" t="str">
        <f>IFERROR(AI287,"")</f>
        <v>2Q26</v>
      </c>
      <c r="AJ331" s="75" t="str">
        <f>IFERROR(AJ287,"")</f>
        <v>3Q26</v>
      </c>
      <c r="AK331" s="75" t="str">
        <f>IFERROR(AK287,"")</f>
        <v>4Q26</v>
      </c>
      <c r="AL331" s="75">
        <f>IFERROR(AL287,"")</f>
        <v>2026</v>
      </c>
      <c r="AM331" s="75" t="str">
        <f>IFERROR(AM287,"")</f>
        <v>1Q27</v>
      </c>
      <c r="AN331" s="75" t="str">
        <f>IFERROR(AN287,"")</f>
        <v>2Q27</v>
      </c>
      <c r="AO331" s="75" t="str">
        <f>IFERROR(AO287,"")</f>
        <v>3Q27</v>
      </c>
      <c r="AP331" s="75" t="str">
        <f>IFERROR(AP287,"")</f>
        <v>4Q27</v>
      </c>
      <c r="AQ331" s="75">
        <f>IFERROR(AQ287,"")</f>
        <v>2027</v>
      </c>
      <c r="AR331" s="75" t="str">
        <f>IFERROR(AR287,"")</f>
        <v>1Q28</v>
      </c>
      <c r="AS331" s="75" t="str">
        <f>IFERROR(AS287,"")</f>
        <v>2Q28</v>
      </c>
      <c r="AT331" s="75" t="str">
        <f>IFERROR(AT287,"")</f>
        <v>3Q28</v>
      </c>
      <c r="AU331" s="75" t="str">
        <f>IFERROR(AU287,"")</f>
        <v>4Q28</v>
      </c>
      <c r="AV331" s="75">
        <f>IFERROR(AV287,"")</f>
        <v>2028</v>
      </c>
      <c r="AW331" s="75" t="str">
        <f>IFERROR(AW287,"")</f>
        <v>1Q29</v>
      </c>
      <c r="AX331" s="75" t="str">
        <f>IFERROR(AX287,"")</f>
        <v>2Q29</v>
      </c>
      <c r="AY331" s="75" t="str">
        <f>IFERROR(AY287,"")</f>
        <v>3Q29</v>
      </c>
      <c r="AZ331" s="75" t="str">
        <f>IFERROR(AZ287,"")</f>
        <v>4Q29</v>
      </c>
      <c r="BA331" s="75">
        <f>IFERROR(BA287,"")</f>
        <v>2029</v>
      </c>
      <c r="BB331" s="75" t="str">
        <f>IFERROR(BB287,"")</f>
        <v>1Q30</v>
      </c>
      <c r="BC331" s="75" t="str">
        <f>IFERROR(BC287,"")</f>
        <v>2Q30</v>
      </c>
      <c r="BD331" s="75" t="str">
        <f>IFERROR(BD287,"")</f>
        <v>3Q30</v>
      </c>
      <c r="BE331" s="75" t="str">
        <f>IFERROR(BE287,"")</f>
        <v>4Q30</v>
      </c>
      <c r="BF331" s="75">
        <f>IFERROR(BF287,"")</f>
        <v>2030</v>
      </c>
      <c r="BG331" s="75" t="n"/>
      <c r="BH331" s="75" t="n"/>
      <c r="BI331" s="75" t="n"/>
      <c r="BJ331" s="75" t="n"/>
      <c r="BK331" s="75" t="n"/>
      <c r="BL331" s="75" t="n"/>
      <c r="BM331" s="75" t="n"/>
      <c r="BN331" s="75" t="n"/>
      <c r="BO331" s="75" t="n"/>
      <c r="BP331" s="75" t="n"/>
      <c r="BQ331" s="75" t="n"/>
      <c r="BR331" s="75" t="n"/>
      <c r="BS331" s="75" t="n"/>
      <c r="BT331" s="75" t="n"/>
      <c r="BU331" s="75" t="n"/>
      <c r="BV331" s="75" t="n"/>
      <c r="BW331" s="75" t="n"/>
      <c r="BX331" s="75" t="n"/>
      <c r="BY331" s="75" t="n"/>
      <c r="BZ331" s="75" t="n"/>
      <c r="CA331" s="75" t="n"/>
      <c r="CB331" s="75" t="n"/>
      <c r="CC331" s="75" t="n"/>
      <c r="CD331" s="75" t="n"/>
      <c r="CE331" s="75" t="n"/>
      <c r="CF331" s="75" t="n"/>
      <c r="CG331" s="75" t="n"/>
      <c r="CH331" s="75" t="n"/>
      <c r="CI331" s="75" t="n"/>
      <c r="CJ331" s="75" t="n"/>
      <c r="CK331" s="75" t="n"/>
      <c r="CL331" s="75" t="n"/>
      <c r="CM331" s="75" t="n"/>
      <c r="CN331" s="75" t="n"/>
      <c r="CO331" s="75" t="n"/>
      <c r="CP331" s="75" t="n"/>
      <c r="CQ331" s="75" t="n"/>
      <c r="CR331" s="75" t="n"/>
      <c r="CS331" s="75" t="n"/>
      <c r="CT331" s="75" t="n"/>
      <c r="CU331" s="75" t="n"/>
      <c r="CV331" s="75" t="n"/>
      <c r="CW331" s="75" t="n"/>
      <c r="CX331" s="75" t="n"/>
      <c r="CY331" s="75" t="n"/>
    </row>
    <row r="332" customFormat="1" s="77">
      <c r="A332" s="76" t="n"/>
      <c r="B332" s="76" t="n"/>
      <c r="C332" s="74" t="inlineStr">
        <is>
          <t>GROWTH &amp; MARGINS</t>
        </is>
      </c>
    </row>
    <row r="333" customFormat="1" s="77">
      <c r="A333" s="76" t="n"/>
      <c r="B333" s="76" t="n"/>
      <c r="C333" s="77" t="inlineStr">
        <is>
          <t>NET REVENUE GROWTH (YoY)</t>
        </is>
      </c>
      <c r="E333" s="78" t="str">
        <f>IFERROR(E15/D15-1,"")</f>
        <v/>
      </c>
      <c r="F333" s="78" t="str">
        <f>IFERROR(F15/E15-1,"")</f>
        <v/>
      </c>
      <c r="G333" s="78" t="str">
        <f>IFERROR(G15/F15-1,"")</f>
        <v/>
      </c>
      <c r="H333" s="257" t="str">
        <f>""</f>
        <v/>
      </c>
      <c r="I333" s="257" t="str">
        <f>""</f>
        <v/>
      </c>
      <c r="J333" s="257" t="str">
        <f>""</f>
        <v/>
      </c>
      <c r="K333" s="257" t="str">
        <f>""</f>
        <v/>
      </c>
      <c r="L333" s="257" t="str">
        <f>""</f>
        <v/>
      </c>
      <c r="M333" s="257" t="str">
        <f>IFERROR(IF(AND(ISNUMBER(M15),ISNUMBER(H15),H15&lt;&gt;0),M15/H15-1,""),"")</f>
        <v/>
      </c>
      <c r="N333" s="257">
        <f>IFERROR(IF(AND(ISNUMBER(N15),ISNUMBER(I15),I15&lt;&gt;0),N15/I15-1,""),"")</f>
        <v>1.51554612752656</v>
      </c>
      <c r="O333" s="257">
        <f>IFERROR(IF(AND(ISNUMBER(O15),ISNUMBER(J15),J15&lt;&gt;0),O15/J15-1,""),"")</f>
        <v>0.914447652841004</v>
      </c>
      <c r="P333" s="257">
        <f>IFERROR(IF(AND(ISNUMBER(P15),ISNUMBER(K15),K15&lt;&gt;0),P15/K15-1,""),"")</f>
        <v>0.667808840583902</v>
      </c>
      <c r="Q333" s="257">
        <f>IFERROR(IF(AND(ISNUMBER(Q15),ISNUMBER(L15),L15&lt;&gt;0),Q15/L15-1,""),"")</f>
        <v>0.55508106555994</v>
      </c>
      <c r="R333" s="257">
        <f>IFERROR(IF(AND(ISNUMBER(R15),ISNUMBER(M15),M15&lt;&gt;0),R15/M15-1,""),"")</f>
        <v>0.811820991779138</v>
      </c>
      <c r="S333" s="257">
        <f>IFERROR(IF(AND(ISNUMBER(S15),ISNUMBER(N15),N15&lt;&gt;0),S15/N15-1,""),"")</f>
        <v>0.418516553608546</v>
      </c>
      <c r="T333" s="257">
        <f>IFERROR(IF(AND(ISNUMBER(T15),ISNUMBER(O15),O15&lt;&gt;0),T15/O15-1,""),"")</f>
        <v>0.111229444121718</v>
      </c>
      <c r="U333" s="257">
        <f>IFERROR(IF(AND(ISNUMBER(U15),ISNUMBER(P15),P15&lt;&gt;0),U15/P15-1,""),"")</f>
        <v>0.0509905142727398</v>
      </c>
      <c r="V333" s="257">
        <f>IFERROR(IF(AND(ISNUMBER(V15),ISNUMBER(Q15),Q15&lt;&gt;0),V15/Q15-1,""),"")</f>
        <v>-0.0507071220075283</v>
      </c>
      <c r="W333" s="257">
        <f>IFERROR(IF(AND(ISNUMBER(W15),ISNUMBER(R15),R15&lt;&gt;0),W15/R15-1,""),"")</f>
        <v>0.112027058499942</v>
      </c>
      <c r="X333" s="257">
        <f>IFERROR(IF(AND(ISNUMBER(X15),ISNUMBER(S15),S15&lt;&gt;0),X15/S15-1,""),"")</f>
        <v>0.117800863123269</v>
      </c>
      <c r="Y333" s="257">
        <f>IFERROR(IF(AND(ISNUMBER(Y15),ISNUMBER(T15),T15&lt;&gt;0),Y15/T15-1,""),"")</f>
        <v>0.385802518933955</v>
      </c>
      <c r="Z333" s="257">
        <f>IFERROR(IF(AND(ISNUMBER(Z15),ISNUMBER(U15),U15&lt;&gt;0),Z15/U15-1,""),"")</f>
        <v>0.416186211190374</v>
      </c>
      <c r="AA333" s="257">
        <f>IFERROR(IF(AND(ISNUMBER(AA15),ISNUMBER(V15),V15&lt;&gt;0),AA15/V15-1,""),"")</f>
        <v>0.302678945266066</v>
      </c>
      <c r="AB333" s="257">
        <f>IFERROR(IF(AND(ISNUMBER(AB15),ISNUMBER(W15),W15&lt;&gt;0),AB15/W15-1,""),"")</f>
        <v>0.303544067915592</v>
      </c>
      <c r="AC333" s="257">
        <f>IFERROR(IF(AND(ISNUMBER(AC15),ISNUMBER(X15),X15&lt;&gt;0),AC15/X15-1,""),"")</f>
        <v>0.180889819654586</v>
      </c>
      <c r="AD333" s="257">
        <f>IFERROR(IF(AND(ISNUMBER(AD15),ISNUMBER(Y15),Y15&lt;&gt;0),AD15/Y15-1,""),"")</f>
        <v>0.0708469311364173</v>
      </c>
      <c r="AE333" s="257">
        <f>IFERROR(IF(AND(ISNUMBER(AE15),ISNUMBER(Z15),Z15&lt;&gt;0),AE15/Z15-1,""),"")</f>
        <v>-0.00265396211304225</v>
      </c>
      <c r="AF333" s="257">
        <f>IFERROR(IF(AND(ISNUMBER(AF15),ISNUMBER(AA15),AA15&lt;&gt;0),AF15/AA15-1,""),"")</f>
        <v>0.126477308501405</v>
      </c>
      <c r="AG333" s="257">
        <f>IFERROR(IF(AND(ISNUMBER(AG15),ISNUMBER(AB15),AB15&lt;&gt;0),AG15/AB15-1,""),"")</f>
        <v>0.0883287751540636</v>
      </c>
      <c r="AH333" s="257">
        <f>IFERROR(IF(AND(ISNUMBER(AH15),ISNUMBER(AC15),AC15&lt;&gt;0),AH15/AC15-1,""),"")</f>
        <v>0.0595292078797589</v>
      </c>
      <c r="AI333" s="257">
        <f>IFERROR(IF(AND(ISNUMBER(AI15),ISNUMBER(AD15),AD15&lt;&gt;0),AI15/AD15-1,""),"")</f>
        <v>0.0235999091841654</v>
      </c>
      <c r="AJ333" s="257">
        <f>IFERROR(IF(AND(ISNUMBER(AJ15),ISNUMBER(AE15),AE15&lt;&gt;0),AJ15/AE15-1,""),"")</f>
        <v>0.0764482023738817</v>
      </c>
      <c r="AK333" s="257">
        <f>IFERROR(IF(AND(ISNUMBER(AK15),ISNUMBER(AF15),AF15&lt;&gt;0),AK15/AF15-1,""),"")</f>
        <v>0.0764482023738817</v>
      </c>
      <c r="AL333" s="257">
        <f>IFERROR(IF(AND(ISNUMBER(AL15),ISNUMBER(AG15),AG15&lt;&gt;0),AL15/AG15-1,""),"")</f>
        <v>0.0590818507832853</v>
      </c>
      <c r="AM333" s="257">
        <f>IFERROR(IF(AND(ISNUMBER(AM15),ISNUMBER(AH15),AH15&lt;&gt;0),AM15/AH15-1,""),"")</f>
        <v>0.0764482023738817</v>
      </c>
      <c r="AN333" s="257">
        <f>IFERROR(IF(AND(ISNUMBER(AN15),ISNUMBER(AI15),AI15&lt;&gt;0),AN15/AI15-1,""),"")</f>
        <v>0.0764482023738817</v>
      </c>
      <c r="AO333" s="257">
        <f>IFERROR(IF(AND(ISNUMBER(AO15),ISNUMBER(AJ15),AJ15&lt;&gt;0),AO15/AJ15-1,""),"")</f>
        <v>0.0764482023738817</v>
      </c>
      <c r="AP333" s="257">
        <f>IFERROR(IF(AND(ISNUMBER(AP15),ISNUMBER(AK15),AK15&lt;&gt;0),AP15/AK15-1,""),"")</f>
        <v>0.0764482023738817</v>
      </c>
      <c r="AQ333" s="257">
        <f>IFERROR(IF(AND(ISNUMBER(AQ15),ISNUMBER(AL15),AL15&lt;&gt;0),AQ15/AL15-1,""),"")</f>
        <v>0.0764482023738817</v>
      </c>
      <c r="AR333" s="257">
        <f>IFERROR(IF(AND(ISNUMBER(AR15),ISNUMBER(AM15),AM15&lt;&gt;0),AR15/AM15-1,""),"")</f>
        <v>0.0714482023738818</v>
      </c>
      <c r="AS333" s="257">
        <f>IFERROR(IF(AND(ISNUMBER(AS15),ISNUMBER(AN15),AN15&lt;&gt;0),AS15/AN15-1,""),"")</f>
        <v>0.0714482023738818</v>
      </c>
      <c r="AT333" s="257">
        <f>IFERROR(IF(AND(ISNUMBER(AT15),ISNUMBER(AO15),AO15&lt;&gt;0),AT15/AO15-1,""),"")</f>
        <v>0.0714482023738818</v>
      </c>
      <c r="AU333" s="257">
        <f>IFERROR(IF(AND(ISNUMBER(AU15),ISNUMBER(AP15),AP15&lt;&gt;0),AU15/AP15-1,""),"")</f>
        <v>0.0714482023738818</v>
      </c>
      <c r="AV333" s="257">
        <f>IFERROR(IF(AND(ISNUMBER(AV15),ISNUMBER(AQ15),AQ15&lt;&gt;0),AV15/AQ15-1,""),"")</f>
        <v>0.0714482023738818</v>
      </c>
      <c r="AW333" s="257">
        <f>IFERROR(IF(AND(ISNUMBER(AW15),ISNUMBER(AR15),AR15&lt;&gt;0),AW15/AR15-1,""),"")</f>
        <v>0.0664482023738817</v>
      </c>
      <c r="AX333" s="257">
        <f>IFERROR(IF(AND(ISNUMBER(AX15),ISNUMBER(AS15),AS15&lt;&gt;0),AX15/AS15-1,""),"")</f>
        <v>0.0664482023738817</v>
      </c>
      <c r="AY333" s="257">
        <f>IFERROR(IF(AND(ISNUMBER(AY15),ISNUMBER(AT15),AT15&lt;&gt;0),AY15/AT15-1,""),"")</f>
        <v>0.0664482023738817</v>
      </c>
      <c r="AZ333" s="257">
        <f>IFERROR(IF(AND(ISNUMBER(AZ15),ISNUMBER(AU15),AU15&lt;&gt;0),AZ15/AU15-1,""),"")</f>
        <v>0.0664482023738817</v>
      </c>
      <c r="BA333" s="257">
        <f>IFERROR(IF(AND(ISNUMBER(BA15),ISNUMBER(AV15),AV15&lt;&gt;0),BA15/AV15-1,""),"")</f>
        <v>0.0664482023738817</v>
      </c>
      <c r="BB333" s="257">
        <f>IFERROR(IF(AND(ISNUMBER(BB15),ISNUMBER(AW15),AW15&lt;&gt;0),BB15/AW15-1,""),"")</f>
        <v>0.0614482023738818</v>
      </c>
      <c r="BC333" s="257">
        <f>IFERROR(IF(AND(ISNUMBER(BC15),ISNUMBER(AX15),AX15&lt;&gt;0),BC15/AX15-1,""),"")</f>
        <v>0.0614482023738818</v>
      </c>
      <c r="BD333" s="257">
        <f>IFERROR(IF(AND(ISNUMBER(BD15),ISNUMBER(AY15),AY15&lt;&gt;0),BD15/AY15-1,""),"")</f>
        <v>0.0614482023738818</v>
      </c>
      <c r="BE333" s="257">
        <f>IFERROR(IF(AND(ISNUMBER(BE15),ISNUMBER(AZ15),AZ15&lt;&gt;0),BE15/AZ15-1,""),"")</f>
        <v>0.0614482023738818</v>
      </c>
      <c r="BF333" s="257">
        <f>IFERROR(IF(AND(ISNUMBER(BF15),ISNUMBER(BA15),BA15&lt;&gt;0),BF15/BA15-1,""),"")</f>
        <v>0.061448202373882</v>
      </c>
      <c r="BG333" s="79" t="n"/>
      <c r="BH333" s="79" t="n"/>
      <c r="BI333" s="79" t="n"/>
      <c r="BJ333" s="79" t="n"/>
      <c r="BK333" s="78" t="n"/>
      <c r="BL333" s="79" t="n"/>
      <c r="BM333" s="79" t="n"/>
      <c r="BN333" s="79" t="n"/>
      <c r="BO333" s="79" t="n"/>
      <c r="BP333" s="78" t="n"/>
      <c r="BQ333" s="79" t="n"/>
      <c r="BR333" s="79" t="n"/>
      <c r="BS333" s="79" t="n"/>
      <c r="BT333" s="79" t="n"/>
      <c r="BU333" s="78" t="n"/>
      <c r="BV333" s="79" t="n"/>
      <c r="BW333" s="79" t="n"/>
      <c r="BX333" s="79" t="n"/>
      <c r="BY333" s="79" t="n"/>
      <c r="BZ333" s="78" t="n"/>
      <c r="CA333" s="79" t="n"/>
      <c r="CB333" s="79" t="n"/>
      <c r="CC333" s="79" t="n"/>
      <c r="CD333" s="79" t="n"/>
      <c r="CE333" s="78" t="n"/>
      <c r="CF333" s="79" t="n"/>
      <c r="CG333" s="79" t="n"/>
      <c r="CH333" s="79" t="n"/>
      <c r="CI333" s="79" t="n"/>
      <c r="CJ333" s="78" t="n"/>
      <c r="CK333" s="79" t="n"/>
      <c r="CL333" s="79" t="n"/>
      <c r="CM333" s="79" t="n"/>
      <c r="CN333" s="79" t="n"/>
      <c r="CO333" s="78" t="n"/>
      <c r="CP333" s="79" t="n"/>
      <c r="CQ333" s="79" t="n"/>
      <c r="CR333" s="79" t="n"/>
      <c r="CS333" s="79" t="n"/>
      <c r="CT333" s="78" t="n"/>
      <c r="CU333" s="79" t="n"/>
      <c r="CV333" s="79" t="n"/>
      <c r="CW333" s="79" t="n"/>
      <c r="CX333" s="79" t="n"/>
      <c r="CY333" s="78" t="n"/>
    </row>
    <row r="334" customFormat="1" s="77">
      <c r="A334" s="76" t="n"/>
      <c r="B334" s="76" t="n"/>
      <c r="C334" s="77" t="inlineStr">
        <is>
          <t>GROSS MARGIN</t>
        </is>
      </c>
      <c r="D334" s="79" t="str">
        <f>IFERROR(SUM(D15,D66)/D15,"")</f>
        <v/>
      </c>
      <c r="E334" s="79" t="str">
        <f>IFERROR(SUM(E15,E66)/E15,"")</f>
        <v/>
      </c>
      <c r="F334" s="79" t="str">
        <f>IFERROR(SUM(F15,F66)/F15,"")</f>
        <v/>
      </c>
      <c r="G334" s="79" t="str">
        <f>IFERROR(SUM(G15,G66)/G15,"")</f>
        <v/>
      </c>
      <c r="H334" s="258" t="str">
        <f>IFERROR(IF(N(H15)&lt;&gt;0,(H15+H66)/H15,""),"")</f>
        <v/>
      </c>
      <c r="I334" s="258">
        <f>IFERROR(IF(N(I15)&lt;&gt;0,(I15+I66)/I15,""),"")</f>
        <v>0.608680328215093</v>
      </c>
      <c r="J334" s="258">
        <f>IFERROR(IF(N(J15)&lt;&gt;0,(J15+J66)/J15,""),"")</f>
        <v>0.480683402769137</v>
      </c>
      <c r="K334" s="258">
        <f>IFERROR(IF(N(K15)&lt;&gt;0,(K15+K66)/K15,""),"")</f>
        <v>0.520627503162235</v>
      </c>
      <c r="L334" s="258">
        <f>IFERROR(IF(N(L15)&lt;&gt;0,(L15+L66)/L15,""),"")</f>
        <v>0.585895155011797</v>
      </c>
      <c r="M334" s="258">
        <f>IFERROR(IF(N(M15)&lt;&gt;0,(M15+M66)/M15,""),"")</f>
        <v>0.546031024901822</v>
      </c>
      <c r="N334" s="258">
        <f>IFERROR(IF(N(N15)&lt;&gt;0,(N15+N66)/N15,""),"")</f>
        <v>0.576035456538086</v>
      </c>
      <c r="O334" s="258">
        <f>IFERROR(IF(N(O15)&lt;&gt;0,(O15+O66)/O15,""),"")</f>
        <v>0.521201779298178</v>
      </c>
      <c r="P334" s="258">
        <f>IFERROR(IF(N(P15)&lt;&gt;0,(P15+P66)/P15,""),"")</f>
        <v>0.480064757117449</v>
      </c>
      <c r="Q334" s="258">
        <f>IFERROR(IF(N(Q15)&lt;&gt;0,(Q15+Q66)/Q15,""),"")</f>
        <v>0.457919701762675</v>
      </c>
      <c r="R334" s="258">
        <f>IFERROR(IF(N(R15)&lt;&gt;0,(R15+R66)/R15,""),"")</f>
        <v>0.503343603423</v>
      </c>
      <c r="S334" s="258">
        <f>IFERROR(IF(N(S15)&lt;&gt;0,(S15+S66)/S15,""),"")</f>
        <v>0.44692006454558</v>
      </c>
      <c r="T334" s="258">
        <f>IFERROR(IF(N(T15)&lt;&gt;0,(T15+T66)/T15,""),"")</f>
        <v>0.492078717492812</v>
      </c>
      <c r="U334" s="258">
        <f>IFERROR(IF(N(U15)&lt;&gt;0,(U15+U66)/U15,""),"")</f>
        <v>0.452504669532147</v>
      </c>
      <c r="V334" s="258">
        <f>IFERROR(IF(N(V15)&lt;&gt;0,(V15+V66)/V15,""),"")</f>
        <v>0.550145902615018</v>
      </c>
      <c r="W334" s="258">
        <f>IFERROR(IF(N(W15)&lt;&gt;0,(W15+W66)/W15,""),"")</f>
        <v>0.484072638076104</v>
      </c>
      <c r="X334" s="258">
        <f>IFERROR(IF(N(X15)&lt;&gt;0,(X15+X66)/X15,""),"")</f>
        <v>0.45668254984204</v>
      </c>
      <c r="Y334" s="258">
        <f>IFERROR(IF(N(Y15)&lt;&gt;0,(Y15+Y66)/Y15,""),"")</f>
        <v>0.43429743358082</v>
      </c>
      <c r="Z334" s="258">
        <f>IFERROR(IF(N(Z15)&lt;&gt;0,(Z15+Z66)/Z15,""),"")</f>
        <v>0.42599680496967</v>
      </c>
      <c r="AA334" s="258">
        <f>IFERROR(IF(N(AA15)&lt;&gt;0,(AA15+AA66)/AA15,""),"")</f>
        <v>0.497481802757687</v>
      </c>
      <c r="AB334" s="258">
        <f>IFERROR(IF(N(AB15)&lt;&gt;0,(AB15+AB66)/AB15,""),"")</f>
        <v>0.45221344485991</v>
      </c>
      <c r="AC334" s="258">
        <f>IFERROR(IF(N(AC15)&lt;&gt;0,(AC15+AC66)/AC15,""),"")</f>
        <v>0.481453975373231</v>
      </c>
      <c r="AD334" s="258">
        <f>IFERROR(IF(N(AD15)&lt;&gt;0,(AD15+AD66)/AD15,""),"")</f>
        <v>0.475268591570658</v>
      </c>
      <c r="AE334" s="258">
        <f>IFERROR(IF(N(AE15)&lt;&gt;0,(AE15+AE66)/AE15,""),"")</f>
        <v>0.48932363882403</v>
      </c>
      <c r="AF334" s="258">
        <f>IFERROR(IF(N(AF15)&lt;&gt;0,(AF15+AF66)/AF15,""),"")</f>
        <v>0.51465158043024</v>
      </c>
      <c r="AG334" s="258">
        <f>IFERROR(IF(N(AG15)&lt;&gt;0,(AG15+AG66)/AG15,""),"")</f>
        <v>0.490201834050733</v>
      </c>
      <c r="AH334" s="258">
        <f>IFERROR(IF(N(AH15)&lt;&gt;0,(AH15+AH66)/AH15,""),"")</f>
        <v>0.525754239020955</v>
      </c>
      <c r="AI334" s="258">
        <f>IFERROR(IF(N(AI15)&lt;&gt;0,(AI15+AI66)/AI15,""),"")</f>
        <v>0.559686720473235</v>
      </c>
      <c r="AJ334" s="258">
        <f>IFERROR(IF(N(AJ15)&lt;&gt;0,(AJ15+AJ66)/AJ15,""),"")</f>
        <v>0.507689790948725</v>
      </c>
      <c r="AK334" s="258">
        <f>IFERROR(IF(N(AK15)&lt;&gt;0,(AK15+AK66)/AK15,""),"")</f>
        <v>0.507689790948725</v>
      </c>
      <c r="AL334" s="258">
        <f>IFERROR(IF(N(AL15)&lt;&gt;0,(AL15+AL66)/AL15,""),"")</f>
        <v>0.52468628027511</v>
      </c>
      <c r="AM334" s="258">
        <f>IFERROR(IF(N(AM15)&lt;&gt;0,(AM15+AM66)/AM15,""),"")</f>
        <v>0.507689790948725</v>
      </c>
      <c r="AN334" s="258">
        <f>IFERROR(IF(N(AN15)&lt;&gt;0,(AN15+AN66)/AN15,""),"")</f>
        <v>0.507689790948725</v>
      </c>
      <c r="AO334" s="258">
        <f>IFERROR(IF(N(AO15)&lt;&gt;0,(AO15+AO66)/AO15,""),"")</f>
        <v>0.507689790948725</v>
      </c>
      <c r="AP334" s="258">
        <f>IFERROR(IF(N(AP15)&lt;&gt;0,(AP15+AP66)/AP15,""),"")</f>
        <v>0.507689790948725</v>
      </c>
      <c r="AQ334" s="258">
        <f>IFERROR(IF(N(AQ15)&lt;&gt;0,(AQ15+AQ66)/AQ15,""),"")</f>
        <v>0.507689790948725</v>
      </c>
      <c r="AR334" s="258">
        <f>IFERROR(IF(N(AR15)&lt;&gt;0,(AR15+AR66)/AR15,""),"")</f>
        <v>0.507689790948725</v>
      </c>
      <c r="AS334" s="258">
        <f>IFERROR(IF(N(AS15)&lt;&gt;0,(AS15+AS66)/AS15,""),"")</f>
        <v>0.507689790948725</v>
      </c>
      <c r="AT334" s="258">
        <f>IFERROR(IF(N(AT15)&lt;&gt;0,(AT15+AT66)/AT15,""),"")</f>
        <v>0.507689790948725</v>
      </c>
      <c r="AU334" s="258">
        <f>IFERROR(IF(N(AU15)&lt;&gt;0,(AU15+AU66)/AU15,""),"")</f>
        <v>0.507689790948725</v>
      </c>
      <c r="AV334" s="258">
        <f>IFERROR(IF(N(AV15)&lt;&gt;0,(AV15+AV66)/AV15,""),"")</f>
        <v>0.507689790948725</v>
      </c>
      <c r="AW334" s="258">
        <f>IFERROR(IF(N(AW15)&lt;&gt;0,(AW15+AW66)/AW15,""),"")</f>
        <v>0.507689790948725</v>
      </c>
      <c r="AX334" s="258">
        <f>IFERROR(IF(N(AX15)&lt;&gt;0,(AX15+AX66)/AX15,""),"")</f>
        <v>0.507689790948725</v>
      </c>
      <c r="AY334" s="258">
        <f>IFERROR(IF(N(AY15)&lt;&gt;0,(AY15+AY66)/AY15,""),"")</f>
        <v>0.507689790948725</v>
      </c>
      <c r="AZ334" s="258">
        <f>IFERROR(IF(N(AZ15)&lt;&gt;0,(AZ15+AZ66)/AZ15,""),"")</f>
        <v>0.507689790948725</v>
      </c>
      <c r="BA334" s="258">
        <f>IFERROR(IF(N(BA15)&lt;&gt;0,(BA15+BA66)/BA15,""),"")</f>
        <v>0.507689790948725</v>
      </c>
      <c r="BB334" s="258">
        <f>IFERROR(IF(N(BB15)&lt;&gt;0,(BB15+BB66)/BB15,""),"")</f>
        <v>0.507689790948725</v>
      </c>
      <c r="BC334" s="258">
        <f>IFERROR(IF(N(BC15)&lt;&gt;0,(BC15+BC66)/BC15,""),"")</f>
        <v>0.507689790948725</v>
      </c>
      <c r="BD334" s="258">
        <f>IFERROR(IF(N(BD15)&lt;&gt;0,(BD15+BD66)/BD15,""),"")</f>
        <v>0.507689790948725</v>
      </c>
      <c r="BE334" s="258">
        <f>IFERROR(IF(N(BE15)&lt;&gt;0,(BE15+BE66)/BE15,""),"")</f>
        <v>0.507689790948725</v>
      </c>
      <c r="BF334" s="258">
        <f>IFERROR(IF(N(BF15)&lt;&gt;0,(BF15+BF66)/BF15,""),"")</f>
        <v>0.507689790948725</v>
      </c>
      <c r="BG334" s="80" t="n"/>
      <c r="BH334" s="80" t="n"/>
      <c r="BI334" s="80" t="n"/>
      <c r="BJ334" s="80" t="n"/>
      <c r="BL334" s="80" t="n"/>
      <c r="BM334" s="80" t="n"/>
      <c r="BN334" s="80" t="n"/>
      <c r="BO334" s="80" t="n"/>
      <c r="BQ334" s="80" t="n"/>
      <c r="BR334" s="80" t="n"/>
      <c r="BS334" s="80" t="n"/>
      <c r="BT334" s="80" t="n"/>
      <c r="BV334" s="80" t="n"/>
      <c r="BW334" s="80" t="n"/>
      <c r="BX334" s="80" t="n"/>
      <c r="BY334" s="80" t="n"/>
      <c r="CA334" s="80" t="n"/>
      <c r="CB334" s="80" t="n"/>
      <c r="CC334" s="80" t="n"/>
      <c r="CD334" s="80" t="n"/>
      <c r="CF334" s="80" t="n"/>
      <c r="CG334" s="80" t="n"/>
      <c r="CH334" s="80" t="n"/>
      <c r="CI334" s="80" t="n"/>
      <c r="CK334" s="80" t="n"/>
      <c r="CL334" s="80" t="n"/>
      <c r="CM334" s="80" t="n"/>
      <c r="CN334" s="80" t="n"/>
      <c r="CP334" s="80" t="n"/>
      <c r="CQ334" s="80" t="n"/>
      <c r="CR334" s="80" t="n"/>
      <c r="CS334" s="80" t="n"/>
      <c r="CU334" s="80" t="n"/>
      <c r="CV334" s="80" t="n"/>
      <c r="CW334" s="80" t="n"/>
      <c r="CX334" s="80" t="n"/>
    </row>
    <row r="335" customFormat="1" s="77">
      <c r="A335" s="76" t="n"/>
      <c r="B335" s="76" t="n"/>
      <c r="C335" s="77" t="inlineStr">
        <is>
          <t>EBIT MARGIN</t>
        </is>
      </c>
      <c r="D335" s="78" t="str">
        <f>IFERROR((D85/D15),"")</f>
        <v/>
      </c>
      <c r="E335" s="78" t="str">
        <f>IFERROR((E85/E15),"")</f>
        <v/>
      </c>
      <c r="F335" s="78" t="str">
        <f>IFERROR((F85/F15),"")</f>
        <v/>
      </c>
      <c r="G335" s="78" t="str">
        <f>IFERROR((G85/G15),"")</f>
        <v/>
      </c>
      <c r="H335" s="258" t="str">
        <f>IFERROR(IF(N(H15)&lt;&gt;0,H85/H15,""),"")</f>
        <v/>
      </c>
      <c r="I335" s="257">
        <f>IFERROR(IF(N(I15)&lt;&gt;0,I85/I15,""),"")</f>
        <v>0.319877711365029</v>
      </c>
      <c r="J335" s="257">
        <f>IFERROR(IF(N(J15)&lt;&gt;0,J85/J15,""),"")</f>
        <v>0.270759303039014</v>
      </c>
      <c r="K335" s="257">
        <f>IFERROR(IF(N(K15)&lt;&gt;0,K85/K15,""),"")</f>
        <v>0.330491047127165</v>
      </c>
      <c r="L335" s="257">
        <f>IFERROR(IF(N(L15)&lt;&gt;0,L85/L15,""),"")</f>
        <v>0.3588855372647</v>
      </c>
      <c r="M335" s="258">
        <f>IFERROR(IF(N(M15)&lt;&gt;0,M85/M15,""),"")</f>
        <v>0.324707317576842</v>
      </c>
      <c r="N335" s="257">
        <f>IFERROR(IF(N(N15)&lt;&gt;0,N85/N15,""),"")</f>
        <v>0.341225624548384</v>
      </c>
      <c r="O335" s="257">
        <f>IFERROR(IF(N(O15)&lt;&gt;0,O85/O15,""),"")</f>
        <v>0.29778143534356</v>
      </c>
      <c r="P335" s="257">
        <f>IFERROR(IF(N(P15)&lt;&gt;0,P85/P15,""),"")</f>
        <v>0.24629345522661</v>
      </c>
      <c r="Q335" s="257">
        <f>IFERROR(IF(N(Q15)&lt;&gt;0,Q85/Q15,""),"")</f>
        <v>0.181715907780036</v>
      </c>
      <c r="R335" s="258">
        <f>IFERROR(IF(N(R15)&lt;&gt;0,R85/R15,""),"")</f>
        <v>0.259858393620917</v>
      </c>
      <c r="S335" s="257">
        <f>IFERROR(IF(N(S15)&lt;&gt;0,S85/S15,""),"")</f>
        <v>0.17953089775622</v>
      </c>
      <c r="T335" s="257">
        <f>IFERROR(IF(N(T15)&lt;&gt;0,T85/T15,""),"")</f>
        <v>0.202100805761989</v>
      </c>
      <c r="U335" s="257">
        <f>IFERROR(IF(N(U15)&lt;&gt;0,U85/U15,""),"")</f>
        <v>0.170713594527083</v>
      </c>
      <c r="V335" s="257">
        <f>IFERROR(IF(N(V15)&lt;&gt;0,V85/V15,""),"")</f>
        <v>-0.0721648450897633</v>
      </c>
      <c r="W335" s="258">
        <f>IFERROR(IF(N(W15)&lt;&gt;0,W85/W15,""),"")</f>
        <v>0.121984654052876</v>
      </c>
      <c r="X335" s="257">
        <f>IFERROR(IF(N(X15)&lt;&gt;0,X85/X15,""),"")</f>
        <v>0.202421461680157</v>
      </c>
      <c r="Y335" s="257">
        <f>IFERROR(IF(N(Y15)&lt;&gt;0,Y85/Y15,""),"")</f>
        <v>0.182595840498497</v>
      </c>
      <c r="Z335" s="257">
        <f>IFERROR(IF(N(Z15)&lt;&gt;0,Z85/Z15,""),"")</f>
        <v>0.184381111184089</v>
      </c>
      <c r="AA335" s="257">
        <f>IFERROR(IF(N(AA15)&lt;&gt;0,AA85/AA15,""),"")</f>
        <v>0.210867270270495</v>
      </c>
      <c r="AB335" s="258">
        <f>IFERROR(IF(N(AB15)&lt;&gt;0,AB85/AB15,""),"")</f>
        <v>0.19435118543348</v>
      </c>
      <c r="AC335" s="257">
        <f>IFERROR(IF(N(AC15)&lt;&gt;0,AC85/AC15,""),"")</f>
        <v>0.214659589023244</v>
      </c>
      <c r="AD335" s="257">
        <f>IFERROR(IF(N(AD15)&lt;&gt;0,AD85/AD15,""),"")</f>
        <v>0.213478858148098</v>
      </c>
      <c r="AE335" s="257">
        <f>IFERROR(IF(N(AE15)&lt;&gt;0,AE85/AE15,""),"")</f>
        <v>0.226799683364389</v>
      </c>
      <c r="AF335" s="257">
        <f>IFERROR(IF(N(AF15)&lt;&gt;0,AF85/AF15,""),"")</f>
        <v>0.232494340990305</v>
      </c>
      <c r="AG335" s="258">
        <f>IFERROR(IF(N(AG15)&lt;&gt;0,AG85/AG15,""),"")</f>
        <v>0.221927193086611</v>
      </c>
      <c r="AH335" s="257">
        <f>IFERROR(IF(N(AH15)&lt;&gt;0,AH85/AH15,""),"")</f>
        <v>0.24283651348077</v>
      </c>
      <c r="AI335" s="257">
        <f>IFERROR(IF(N(AI15)&lt;&gt;0,AI85/AI15,""),"")</f>
        <v>0.269576668799727</v>
      </c>
      <c r="AJ335" s="257">
        <f>IFERROR(IF(N(AJ15)&lt;&gt;0,AJ85/AJ15,""),"")</f>
        <v>0.233307608967755</v>
      </c>
      <c r="AK335" s="257">
        <f>IFERROR(IF(N(AK15)&lt;&gt;0,AK85/AK15,""),"")</f>
        <v>0.233307608967755</v>
      </c>
      <c r="AL335" s="258">
        <f>IFERROR(IF(N(AL15)&lt;&gt;0,AL85/AL15,""),"")</f>
        <v>0.244415759774911</v>
      </c>
      <c r="AM335" s="257">
        <f>IFERROR(IF(N(AM15)&lt;&gt;0,AM85/AM15,""),"")</f>
        <v>0.233307608967755</v>
      </c>
      <c r="AN335" s="257">
        <f>IFERROR(IF(N(AN15)&lt;&gt;0,AN85/AN15,""),"")</f>
        <v>0.233307608967755</v>
      </c>
      <c r="AO335" s="257">
        <f>IFERROR(IF(N(AO15)&lt;&gt;0,AO85/AO15,""),"")</f>
        <v>0.233307608967755</v>
      </c>
      <c r="AP335" s="257">
        <f>IFERROR(IF(N(AP15)&lt;&gt;0,AP85/AP15,""),"")</f>
        <v>0.233307608967755</v>
      </c>
      <c r="AQ335" s="258">
        <f>IFERROR(IF(N(AQ15)&lt;&gt;0,AQ85/AQ15,""),"")</f>
        <v>0.233307608967755</v>
      </c>
      <c r="AR335" s="257">
        <f>IFERROR(IF(N(AR15)&lt;&gt;0,AR85/AR15,""),"")</f>
        <v>0.233307608967755</v>
      </c>
      <c r="AS335" s="257">
        <f>IFERROR(IF(N(AS15)&lt;&gt;0,AS85/AS15,""),"")</f>
        <v>0.233307608967755</v>
      </c>
      <c r="AT335" s="257">
        <f>IFERROR(IF(N(AT15)&lt;&gt;0,AT85/AT15,""),"")</f>
        <v>0.233307608967756</v>
      </c>
      <c r="AU335" s="257">
        <f>IFERROR(IF(N(AU15)&lt;&gt;0,AU85/AU15,""),"")</f>
        <v>0.233307608967755</v>
      </c>
      <c r="AV335" s="258">
        <f>IFERROR(IF(N(AV15)&lt;&gt;0,AV85/AV15,""),"")</f>
        <v>0.233307608967756</v>
      </c>
      <c r="AW335" s="257">
        <f>IFERROR(IF(N(AW15)&lt;&gt;0,AW85/AW15,""),"")</f>
        <v>0.233307608967755</v>
      </c>
      <c r="AX335" s="257">
        <f>IFERROR(IF(N(AX15)&lt;&gt;0,AX85/AX15,""),"")</f>
        <v>0.233307608967755</v>
      </c>
      <c r="AY335" s="257">
        <f>IFERROR(IF(N(AY15)&lt;&gt;0,AY85/AY15,""),"")</f>
        <v>0.233307608967755</v>
      </c>
      <c r="AZ335" s="257">
        <f>IFERROR(IF(N(AZ15)&lt;&gt;0,AZ85/AZ15,""),"")</f>
        <v>0.233307608967755</v>
      </c>
      <c r="BA335" s="258">
        <f>IFERROR(IF(N(BA15)&lt;&gt;0,BA85/BA15,""),"")</f>
        <v>0.233307608967755</v>
      </c>
      <c r="BB335" s="257">
        <f>IFERROR(IF(N(BB15)&lt;&gt;0,BB85/BB15,""),"")</f>
        <v>0.233307608967756</v>
      </c>
      <c r="BC335" s="257">
        <f>IFERROR(IF(N(BC15)&lt;&gt;0,BC85/BC15,""),"")</f>
        <v>0.233307608967755</v>
      </c>
      <c r="BD335" s="257">
        <f>IFERROR(IF(N(BD15)&lt;&gt;0,BD85/BD15,""),"")</f>
        <v>0.233307608967755</v>
      </c>
      <c r="BE335" s="257">
        <f>IFERROR(IF(N(BE15)&lt;&gt;0,BE85/BE15,""),"")</f>
        <v>0.233307608967755</v>
      </c>
      <c r="BF335" s="258">
        <f>IFERROR(IF(N(BF15)&lt;&gt;0,BF85/BF15,""),"")</f>
        <v>0.233307608967755</v>
      </c>
      <c r="BG335" s="81" t="n"/>
      <c r="BH335" s="81" t="n"/>
      <c r="BI335" s="81" t="n"/>
      <c r="BJ335" s="81" t="n"/>
      <c r="BL335" s="81" t="n"/>
      <c r="BM335" s="81" t="n"/>
      <c r="BN335" s="81" t="n"/>
      <c r="BO335" s="81" t="n"/>
      <c r="BQ335" s="81" t="n"/>
      <c r="BR335" s="81" t="n"/>
      <c r="BS335" s="81" t="n"/>
      <c r="BT335" s="81" t="n"/>
      <c r="BV335" s="81" t="n"/>
      <c r="BW335" s="81" t="n"/>
      <c r="BX335" s="81" t="n"/>
      <c r="BY335" s="81" t="n"/>
      <c r="CA335" s="81" t="n"/>
      <c r="CB335" s="81" t="n"/>
      <c r="CC335" s="81" t="n"/>
      <c r="CD335" s="81" t="n"/>
      <c r="CF335" s="81" t="n"/>
      <c r="CG335" s="81" t="n"/>
      <c r="CH335" s="81" t="n"/>
      <c r="CI335" s="81" t="n"/>
      <c r="CK335" s="81" t="n"/>
      <c r="CL335" s="81" t="n"/>
      <c r="CM335" s="81" t="n"/>
      <c r="CN335" s="81" t="n"/>
      <c r="CP335" s="81" t="n"/>
      <c r="CQ335" s="81" t="n"/>
      <c r="CR335" s="81" t="n"/>
      <c r="CS335" s="81" t="n"/>
      <c r="CU335" s="81" t="n"/>
      <c r="CV335" s="81" t="n"/>
      <c r="CW335" s="81" t="n"/>
      <c r="CX335" s="81" t="n"/>
    </row>
    <row r="336" customFormat="1" s="77">
      <c r="A336" s="76" t="n"/>
      <c r="B336" s="76" t="n"/>
      <c r="C336" s="77" t="inlineStr">
        <is>
          <t>EBITDA MARGIN</t>
        </is>
      </c>
      <c r="D336" s="78" t="str">
        <f>IFERROR(D81/D15,"")</f>
        <v/>
      </c>
      <c r="E336" s="78" t="str">
        <f>IFERROR(E81/E15,"")</f>
        <v/>
      </c>
      <c r="F336" s="78" t="str">
        <f>IFERROR(F81/F15,"")</f>
        <v/>
      </c>
      <c r="G336" s="78" t="str">
        <f>IFERROR(G81/G15,"")</f>
        <v/>
      </c>
      <c r="H336" s="258" t="str">
        <f>IFERROR(IF(N(H15)&lt;&gt;0,H81/H15,""),"")</f>
        <v/>
      </c>
      <c r="I336" s="257">
        <f>IFERROR(IF(N(I15)&lt;&gt;0,I81/I15,""),"")</f>
        <v>0.401955245316493</v>
      </c>
      <c r="J336" s="257">
        <f>IFERROR(IF(N(J15)&lt;&gt;0,J81/J15,""),"")</f>
        <v>0.333346777134668</v>
      </c>
      <c r="K336" s="257">
        <f>IFERROR(IF(N(K15)&lt;&gt;0,K81/K15,""),"")</f>
        <v>0.403272420312989</v>
      </c>
      <c r="L336" s="257">
        <f>IFERROR(IF(N(L15)&lt;&gt;0,L81/L15,""),"")</f>
        <v>0.459788107621672</v>
      </c>
      <c r="M336" s="258">
        <f>IFERROR(IF(N(M15)&lt;&gt;0,M81/M15,""),"")</f>
        <v>0.405799840172623</v>
      </c>
      <c r="N336" s="257">
        <f>IFERROR(IF(N(N15)&lt;&gt;0,N81/N15,""),"")</f>
        <v>0.452912040309458</v>
      </c>
      <c r="O336" s="257">
        <f>IFERROR(IF(N(O15)&lt;&gt;0,O81/O15,""),"")</f>
        <v>0.405764341602301</v>
      </c>
      <c r="P336" s="257">
        <f>IFERROR(IF(N(P15)&lt;&gt;0,P81/P15,""),"")</f>
        <v>0.364756250236513</v>
      </c>
      <c r="Q336" s="257">
        <f>IFERROR(IF(N(Q15)&lt;&gt;0,Q81/Q15,""),"")</f>
        <v>0.326746446877048</v>
      </c>
      <c r="R336" s="258">
        <f>IFERROR(IF(N(R15)&lt;&gt;0,R81/R15,""),"")</f>
        <v>0.381922176275512</v>
      </c>
      <c r="S336" s="257">
        <f>IFERROR(IF(N(S15)&lt;&gt;0,S81/S15,""),"")</f>
        <v>0.323816238939985</v>
      </c>
      <c r="T336" s="257">
        <f>IFERROR(IF(N(T15)&lt;&gt;0,T81/T15,""),"")</f>
        <v>0.358991651957288</v>
      </c>
      <c r="U336" s="257">
        <f>IFERROR(IF(N(U15)&lt;&gt;0,U81/U15,""),"")</f>
        <v>0.325526775734936</v>
      </c>
      <c r="V336" s="257">
        <f>IFERROR(IF(N(V15)&lt;&gt;0,V81/V15,""),"")</f>
        <v>0.347340064585369</v>
      </c>
      <c r="W336" s="258">
        <f>IFERROR(IF(N(W15)&lt;&gt;0,W81/W15,""),"")</f>
        <v>0.338360884059913</v>
      </c>
      <c r="X336" s="257">
        <f>IFERROR(IF(N(X15)&lt;&gt;0,X81/X15,""),"")</f>
        <v>0.350637036899756</v>
      </c>
      <c r="Y336" s="257">
        <f>IFERROR(IF(N(Y15)&lt;&gt;0,Y81/Y15,""),"")</f>
        <v>0.334544085988956</v>
      </c>
      <c r="Z336" s="257">
        <f>IFERROR(IF(N(Z15)&lt;&gt;0,Z81/Z15,""),"")</f>
        <v>0.330381602727217</v>
      </c>
      <c r="AA336" s="257">
        <f>IFERROR(IF(N(AA15)&lt;&gt;0,AA81/AA15,""),"")</f>
        <v>0.383072924122818</v>
      </c>
      <c r="AB336" s="258">
        <f>IFERROR(IF(N(AB15)&lt;&gt;0,AB81/AB15,""),"")</f>
        <v>0.348677732240528</v>
      </c>
      <c r="AC336" s="257">
        <f>IFERROR(IF(N(AC15)&lt;&gt;0,AC81/AC15,""),"")</f>
        <v>0.375067925815341</v>
      </c>
      <c r="AD336" s="257">
        <f>IFERROR(IF(N(AD15)&lt;&gt;0,AD81/AD15,""),"")</f>
        <v>0.374862938521981</v>
      </c>
      <c r="AE336" s="257">
        <f>IFERROR(IF(N(AE15)&lt;&gt;0,AE81/AE15,""),"")</f>
        <v>0.392649667020107</v>
      </c>
      <c r="AF336" s="257">
        <f>IFERROR(IF(N(AF15)&lt;&gt;0,AF81/AF15,""),"")</f>
        <v>0.407231587220319</v>
      </c>
      <c r="AG336" s="258">
        <f>IFERROR(IF(N(AG15)&lt;&gt;0,AG81/AG15,""),"")</f>
        <v>0.387550292027878</v>
      </c>
      <c r="AH336" s="257">
        <f>IFERROR(IF(N(AH15)&lt;&gt;0,AH81/AH15,""),"")</f>
        <v>0.414919829271979</v>
      </c>
      <c r="AI336" s="257">
        <f>IFERROR(IF(N(AI15)&lt;&gt;0,AI81/AI15,""),"")</f>
        <v>0.447907497434714</v>
      </c>
      <c r="AJ336" s="257">
        <f>IFERROR(IF(N(AJ15)&lt;&gt;0,AJ81/AJ15,""),"")</f>
        <v>0.402106574214073</v>
      </c>
      <c r="AK336" s="257">
        <f>IFERROR(IF(N(AK15)&lt;&gt;0,AK81/AK15,""),"")</f>
        <v>0.402106574214073</v>
      </c>
      <c r="AL336" s="258">
        <f>IFERROR(IF(N(AL15)&lt;&gt;0,AL81/AL15,""),"")</f>
        <v>0.41632384597888</v>
      </c>
      <c r="AM336" s="257">
        <f>IFERROR(IF(N(AM15)&lt;&gt;0,AM81/AM15,""),"")</f>
        <v>0.402106574214073</v>
      </c>
      <c r="AN336" s="257">
        <f>IFERROR(IF(N(AN15)&lt;&gt;0,AN81/AN15,""),"")</f>
        <v>0.402106574214073</v>
      </c>
      <c r="AO336" s="257">
        <f>IFERROR(IF(N(AO15)&lt;&gt;0,AO81/AO15,""),"")</f>
        <v>0.402106574214074</v>
      </c>
      <c r="AP336" s="257">
        <f>IFERROR(IF(N(AP15)&lt;&gt;0,AP81/AP15,""),"")</f>
        <v>0.402106574214073</v>
      </c>
      <c r="AQ336" s="258">
        <f>IFERROR(IF(N(AQ15)&lt;&gt;0,AQ81/AQ15,""),"")</f>
        <v>0.402106574214073</v>
      </c>
      <c r="AR336" s="257">
        <f>IFERROR(IF(N(AR15)&lt;&gt;0,AR81/AR15,""),"")</f>
        <v>0.402106574214073</v>
      </c>
      <c r="AS336" s="257">
        <f>IFERROR(IF(N(AS15)&lt;&gt;0,AS81/AS15,""),"")</f>
        <v>0.402106574214073</v>
      </c>
      <c r="AT336" s="257">
        <f>IFERROR(IF(N(AT15)&lt;&gt;0,AT81/AT15,""),"")</f>
        <v>0.402106574214074</v>
      </c>
      <c r="AU336" s="257">
        <f>IFERROR(IF(N(AU15)&lt;&gt;0,AU81/AU15,""),"")</f>
        <v>0.402106574214074</v>
      </c>
      <c r="AV336" s="258">
        <f>IFERROR(IF(N(AV15)&lt;&gt;0,AV81/AV15,""),"")</f>
        <v>0.402106574214074</v>
      </c>
      <c r="AW336" s="257">
        <f>IFERROR(IF(N(AW15)&lt;&gt;0,AW81/AW15,""),"")</f>
        <v>0.402106574214074</v>
      </c>
      <c r="AX336" s="257">
        <f>IFERROR(IF(N(AX15)&lt;&gt;0,AX81/AX15,""),"")</f>
        <v>0.402106574214073</v>
      </c>
      <c r="AY336" s="257">
        <f>IFERROR(IF(N(AY15)&lt;&gt;0,AY81/AY15,""),"")</f>
        <v>0.402106574214073</v>
      </c>
      <c r="AZ336" s="257">
        <f>IFERROR(IF(N(AZ15)&lt;&gt;0,AZ81/AZ15,""),"")</f>
        <v>0.402106574214073</v>
      </c>
      <c r="BA336" s="258">
        <f>IFERROR(IF(N(BA15)&lt;&gt;0,BA81/BA15,""),"")</f>
        <v>0.402106574214073</v>
      </c>
      <c r="BB336" s="257">
        <f>IFERROR(IF(N(BB15)&lt;&gt;0,BB81/BB15,""),"")</f>
        <v>0.402106574214074</v>
      </c>
      <c r="BC336" s="257">
        <f>IFERROR(IF(N(BC15)&lt;&gt;0,BC81/BC15,""),"")</f>
        <v>0.402106574214074</v>
      </c>
      <c r="BD336" s="257">
        <f>IFERROR(IF(N(BD15)&lt;&gt;0,BD81/BD15,""),"")</f>
        <v>0.402106574214073</v>
      </c>
      <c r="BE336" s="257">
        <f>IFERROR(IF(N(BE15)&lt;&gt;0,BE81/BE15,""),"")</f>
        <v>0.402106574214073</v>
      </c>
      <c r="BF336" s="258">
        <f>IFERROR(IF(N(BF15)&lt;&gt;0,BF81/BF15,""),"")</f>
        <v>0.402106574214073</v>
      </c>
      <c r="BG336" s="81" t="n"/>
      <c r="BH336" s="81" t="n"/>
      <c r="BI336" s="81" t="n"/>
      <c r="BJ336" s="81" t="n"/>
      <c r="BL336" s="81" t="n"/>
      <c r="BM336" s="81" t="n"/>
      <c r="BN336" s="81" t="n"/>
      <c r="BO336" s="81" t="n"/>
      <c r="BQ336" s="81" t="n"/>
      <c r="BR336" s="81" t="n"/>
      <c r="BS336" s="81" t="n"/>
      <c r="BT336" s="81" t="n"/>
      <c r="BV336" s="81" t="n"/>
      <c r="BW336" s="81" t="n"/>
      <c r="BX336" s="81" t="n"/>
      <c r="BY336" s="81" t="n"/>
      <c r="CA336" s="81" t="n"/>
      <c r="CB336" s="81" t="n"/>
      <c r="CC336" s="81" t="n"/>
      <c r="CD336" s="81" t="n"/>
      <c r="CF336" s="81" t="n"/>
      <c r="CG336" s="81" t="n"/>
      <c r="CH336" s="81" t="n"/>
      <c r="CI336" s="81" t="n"/>
      <c r="CK336" s="81" t="n"/>
      <c r="CL336" s="81" t="n"/>
      <c r="CM336" s="81" t="n"/>
      <c r="CN336" s="81" t="n"/>
      <c r="CP336" s="81" t="n"/>
      <c r="CQ336" s="81" t="n"/>
      <c r="CR336" s="81" t="n"/>
      <c r="CS336" s="81" t="n"/>
      <c r="CU336" s="81" t="n"/>
      <c r="CV336" s="81" t="n"/>
      <c r="CW336" s="81" t="n"/>
      <c r="CX336" s="81" t="n"/>
    </row>
    <row r="337" customFormat="1" s="77">
      <c r="A337" s="76" t="n"/>
      <c r="B337" s="76" t="n"/>
      <c r="C337" s="77" t="inlineStr">
        <is>
          <t>ETR</t>
        </is>
      </c>
      <c r="D337" s="78" t="str">
        <f>IFERROR(-D143/D142,"")</f>
        <v/>
      </c>
      <c r="E337" s="78" t="str">
        <f>IFERROR(-E143/E142,"")</f>
        <v/>
      </c>
      <c r="F337" s="78" t="str">
        <f>IFERROR(-F143/F142,"")</f>
        <v/>
      </c>
      <c r="G337" s="78" t="str">
        <f>IFERROR(-G143/G142,"")</f>
        <v/>
      </c>
      <c r="H337" s="258" t="str">
        <f>IFERROR(IF(N(H142)&lt;&gt;0,-H143/H142,""),"")</f>
        <v/>
      </c>
      <c r="I337" s="257">
        <f>IFERROR(IF(N(I142)&lt;&gt;0,-I143/I142,""),"")</f>
        <v>0.339146233988869</v>
      </c>
      <c r="J337" s="257">
        <f>IFERROR(IF(N(J142)&lt;&gt;0,-J143/J142,""),"")</f>
        <v>0.298999613065489</v>
      </c>
      <c r="K337" s="257">
        <f>IFERROR(IF(N(K142)&lt;&gt;0,-K143/K142,""),"")</f>
        <v>0.298886894657743</v>
      </c>
      <c r="L337" s="257">
        <f>IFERROR(IF(N(L142)&lt;&gt;0,-L143/L142,""),"")</f>
        <v>0.304959514424321</v>
      </c>
      <c r="M337" s="258">
        <f>IFERROR(IF(N(M142)&lt;&gt;0,-M143/M142,""),"")</f>
        <v>0.306599682340627</v>
      </c>
      <c r="N337" s="257">
        <f>IFERROR(IF(N(N142)&lt;&gt;0,-N143/N142,""),"")</f>
        <v>0.289014028630308</v>
      </c>
      <c r="O337" s="257">
        <f>IFERROR(IF(N(O142)&lt;&gt;0,-O143/O142,""),"")</f>
        <v>0.295212254093566</v>
      </c>
      <c r="P337" s="257">
        <f>IFERROR(IF(N(P142)&lt;&gt;0,-P143/P142,""),"")</f>
        <v>0.156802763932125</v>
      </c>
      <c r="Q337" s="257">
        <f>IFERROR(IF(N(Q142)&lt;&gt;0,-Q143/Q142,""),"")</f>
        <v>1.75157007376184</v>
      </c>
      <c r="R337" s="258">
        <f>IFERROR(IF(N(R142)&lt;&gt;0,-R143/R142,""),"")</f>
        <v>0.222264468493756</v>
      </c>
      <c r="S337" s="257">
        <f>IFERROR(IF(N(S142)&lt;&gt;0,-S143/S142,""),"")</f>
        <v>-0.980239013832674</v>
      </c>
      <c r="T337" s="257">
        <f>IFERROR(IF(N(T142)&lt;&gt;0,-T143/T142,""),"")</f>
        <v>0.271956636915676</v>
      </c>
      <c r="U337" s="257">
        <f>IFERROR(IF(N(U142)&lt;&gt;0,-U143/U142,""),"")</f>
        <v>0.249580378857945</v>
      </c>
      <c r="V337" s="257">
        <f>IFERROR(IF(N(V142)&lt;&gt;0,-V143/V142,""),"")</f>
        <v>0.199927922537127</v>
      </c>
      <c r="W337" s="258">
        <f>IFERROR(IF(N(W142)&lt;&gt;0,-W143/W142,""),"")</f>
        <v>0.222223948356196</v>
      </c>
      <c r="X337" s="257">
        <f>IFERROR(IF(N(X142)&lt;&gt;0,-X143/X142,""),"")</f>
        <v>0.333218999533517</v>
      </c>
      <c r="Y337" s="257">
        <f>IFERROR(IF(N(Y142)&lt;&gt;0,-Y143/Y142,""),"")</f>
        <v>0.248321673379973</v>
      </c>
      <c r="Z337" s="257">
        <f>IFERROR(IF(N(Z142)&lt;&gt;0,-Z143/Z142,""),"")</f>
        <v>0.231855868599945</v>
      </c>
      <c r="AA337" s="257">
        <f>IFERROR(IF(N(AA142)&lt;&gt;0,-AA143/AA142,""),"")</f>
        <v>0.205634702612917</v>
      </c>
      <c r="AB337" s="258">
        <f>IFERROR(IF(N(AB142)&lt;&gt;0,-AB143/AB142,""),"")</f>
        <v>0.252103853646087</v>
      </c>
      <c r="AC337" s="257">
        <f>IFERROR(IF(N(AC142)&lt;&gt;0,-AC143/AC142,""),"")</f>
        <v>0.291453338751185</v>
      </c>
      <c r="AD337" s="257">
        <f>IFERROR(IF(N(AD142)&lt;&gt;0,-AD143/AD142,""),"")</f>
        <v>0.259727743645344</v>
      </c>
      <c r="AE337" s="257">
        <f>IFERROR(IF(N(AE142)&lt;&gt;0,-AE143/AE142,""),"")</f>
        <v>-0.190237179705312</v>
      </c>
      <c r="AF337" s="257">
        <f>IFERROR(IF(N(AF142)&lt;&gt;0,-AF143/AF142,""),"")</f>
        <v>-0.179497102520385</v>
      </c>
      <c r="AG337" s="258">
        <f>IFERROR(IF(N(AG142)&lt;&gt;0,-AG143/AG142,""),"")</f>
        <v>0.0841117027002862</v>
      </c>
      <c r="AH337" s="257">
        <f>IFERROR(IF(N(AH142)&lt;&gt;0,-AH143/AH142,""),"")</f>
        <v>0.242141946675264</v>
      </c>
      <c r="AI337" s="257">
        <f>IFERROR(IF(N(AI142)&lt;&gt;0,-AI143/AI142,""),"")</f>
        <v>0.199920055994389</v>
      </c>
      <c r="AJ337" s="257">
        <f>IFERROR(IF(N(AJ142)&lt;&gt;0,-AJ143/AJ142,""),"")</f>
        <v>0.103918133806747</v>
      </c>
      <c r="AK337" s="257">
        <f>IFERROR(IF(N(AK142)&lt;&gt;0,-AK143/AK142,""),"")</f>
        <v>0.103918133806747</v>
      </c>
      <c r="AL337" s="258">
        <f>IFERROR(IF(N(AL142)&lt;&gt;0,-AL143/AL142,""),"")</f>
        <v>0.119192335308436</v>
      </c>
      <c r="AM337" s="257">
        <f>IFERROR(IF(N(AM142)&lt;&gt;0,-AM143/AM142,""),"")</f>
        <v>0.103918133806747</v>
      </c>
      <c r="AN337" s="257">
        <f>IFERROR(IF(N(AN142)&lt;&gt;0,-AN143/AN142,""),"")</f>
        <v>0.103918133806747</v>
      </c>
      <c r="AO337" s="257">
        <f>IFERROR(IF(N(AO142)&lt;&gt;0,-AO143/AO142,""),"")</f>
        <v>0.103918133806747</v>
      </c>
      <c r="AP337" s="257">
        <f>IFERROR(IF(N(AP142)&lt;&gt;0,-AP143/AP142,""),"")</f>
        <v>0.103918133806747</v>
      </c>
      <c r="AQ337" s="258">
        <f>IFERROR(IF(N(AQ142)&lt;&gt;0,-AQ143/AQ142,""),"")</f>
        <v>0.103918133806747</v>
      </c>
      <c r="AR337" s="257">
        <f>IFERROR(IF(N(AR142)&lt;&gt;0,-AR143/AR142,""),"")</f>
        <v>0.103918133806747</v>
      </c>
      <c r="AS337" s="257">
        <f>IFERROR(IF(N(AS142)&lt;&gt;0,-AS143/AS142,""),"")</f>
        <v>0.103918133806747</v>
      </c>
      <c r="AT337" s="257">
        <f>IFERROR(IF(N(AT142)&lt;&gt;0,-AT143/AT142,""),"")</f>
        <v>0.103918133806747</v>
      </c>
      <c r="AU337" s="257">
        <f>IFERROR(IF(N(AU142)&lt;&gt;0,-AU143/AU142,""),"")</f>
        <v>0.103918133806747</v>
      </c>
      <c r="AV337" s="258">
        <f>IFERROR(IF(N(AV142)&lt;&gt;0,-AV143/AV142,""),"")</f>
        <v>0.103918133806747</v>
      </c>
      <c r="AW337" s="257">
        <f>IFERROR(IF(N(AW142)&lt;&gt;0,-AW143/AW142,""),"")</f>
        <v>0.103918133806747</v>
      </c>
      <c r="AX337" s="257">
        <f>IFERROR(IF(N(AX142)&lt;&gt;0,-AX143/AX142,""),"")</f>
        <v>0.103918133806747</v>
      </c>
      <c r="AY337" s="257">
        <f>IFERROR(IF(N(AY142)&lt;&gt;0,-AY143/AY142,""),"")</f>
        <v>0.103918133806747</v>
      </c>
      <c r="AZ337" s="257">
        <f>IFERROR(IF(N(AZ142)&lt;&gt;0,-AZ143/AZ142,""),"")</f>
        <v>0.103918133806747</v>
      </c>
      <c r="BA337" s="258">
        <f>IFERROR(IF(N(BA142)&lt;&gt;0,-BA143/BA142,""),"")</f>
        <v>0.103918133806747</v>
      </c>
      <c r="BB337" s="257">
        <f>IFERROR(IF(N(BB142)&lt;&gt;0,-BB143/BB142,""),"")</f>
        <v>0.103918133806747</v>
      </c>
      <c r="BC337" s="257">
        <f>IFERROR(IF(N(BC142)&lt;&gt;0,-BC143/BC142,""),"")</f>
        <v>0.103918133806747</v>
      </c>
      <c r="BD337" s="257">
        <f>IFERROR(IF(N(BD142)&lt;&gt;0,-BD143/BD142,""),"")</f>
        <v>0.103918133806747</v>
      </c>
      <c r="BE337" s="257">
        <f>IFERROR(IF(N(BE142)&lt;&gt;0,-BE143/BE142,""),"")</f>
        <v>0.103918133806747</v>
      </c>
      <c r="BF337" s="258">
        <f>IFERROR(IF(N(BF142)&lt;&gt;0,-BF143/BF142,""),"")</f>
        <v>0.103918133806747</v>
      </c>
      <c r="BG337" s="81" t="n"/>
      <c r="BH337" s="81" t="n"/>
      <c r="BI337" s="81" t="n"/>
      <c r="BJ337" s="81" t="n"/>
      <c r="BL337" s="81" t="n"/>
      <c r="BM337" s="81" t="n"/>
      <c r="BN337" s="81" t="n"/>
      <c r="BO337" s="81" t="n"/>
      <c r="BQ337" s="81" t="n"/>
      <c r="BR337" s="81" t="n"/>
      <c r="BS337" s="81" t="n"/>
      <c r="BT337" s="81" t="n"/>
      <c r="BV337" s="81" t="n"/>
      <c r="BW337" s="81" t="n"/>
      <c r="BX337" s="81" t="n"/>
      <c r="BY337" s="81" t="n"/>
      <c r="CA337" s="81" t="n"/>
      <c r="CB337" s="81" t="n"/>
      <c r="CC337" s="81" t="n"/>
      <c r="CD337" s="81" t="n"/>
      <c r="CF337" s="81" t="n"/>
      <c r="CG337" s="81" t="n"/>
      <c r="CH337" s="81" t="n"/>
      <c r="CI337" s="81" t="n"/>
      <c r="CK337" s="81" t="n"/>
      <c r="CL337" s="81" t="n"/>
      <c r="CM337" s="81" t="n"/>
      <c r="CN337" s="81" t="n"/>
      <c r="CP337" s="81" t="n"/>
      <c r="CQ337" s="81" t="n"/>
      <c r="CR337" s="81" t="n"/>
      <c r="CS337" s="81" t="n"/>
      <c r="CU337" s="81" t="n"/>
      <c r="CV337" s="81" t="n"/>
      <c r="CW337" s="81" t="n"/>
      <c r="CX337" s="81" t="n"/>
    </row>
    <row r="338" customFormat="1" s="77">
      <c r="A338" s="76" t="n"/>
      <c r="B338" s="76" t="n"/>
    </row>
    <row r="339" customFormat="1" s="77">
      <c r="A339" s="76" t="n"/>
      <c r="B339" s="76" t="n"/>
      <c r="C339" s="74" t="inlineStr">
        <is>
          <t>CAPITAL STRUCTURE</t>
        </is>
      </c>
    </row>
    <row r="340" customFormat="1" s="77">
      <c r="A340" s="76" t="n"/>
      <c r="B340" s="76" t="n"/>
      <c r="C340" s="77" t="inlineStr">
        <is>
          <t>TOTAL DEBT / EQUITY (BOOK VALUE)</t>
        </is>
      </c>
      <c r="H340" s="262" t="str">
        <f>IFERROR(IF(N(H283)&lt;&gt;0,(N(H224)+N(H225)+N(H226)+N(H229)+N(H247)+N(H250))/H283,""),"")</f>
        <v/>
      </c>
      <c r="I340" s="262">
        <f>IFERROR(IF(N(I283)&lt;&gt;0,(N(I224)+N(I225)+N(I226)+N(I229)+N(I247)+N(I250))/I283,""),"")</f>
        <v>3.85553069501364</v>
      </c>
      <c r="J340" s="262">
        <f>IFERROR(IF(N(J283)&lt;&gt;0,(N(J224)+N(J225)+N(J226)+N(J229)+N(J247)+N(J250))/J283,""),"")</f>
        <v>3.62154541539428</v>
      </c>
      <c r="K340" s="262">
        <f>IFERROR(IF(N(K283)&lt;&gt;0,(N(K224)+N(K225)+N(K226)+N(K229)+N(K247)+N(K250))/K283,""),"")</f>
        <v>4.40236617502458</v>
      </c>
      <c r="L340" s="262">
        <f>IFERROR(IF(N(L283)&lt;&gt;0,(N(L224)+N(L225)+N(L226)+N(L229)+N(L247)+N(L250))/L283,""),"")</f>
        <v>4.49559837928288</v>
      </c>
      <c r="M340" s="262">
        <f>IFERROR(IF(N(M283)&lt;&gt;0,(N(M224)+N(M225)+N(M226)+N(M229)+N(M247)+N(M250))/M283,""),"")</f>
        <v>4.49559837928288</v>
      </c>
      <c r="N340" s="262">
        <f>IFERROR(IF(N(N283)&lt;&gt;0,(N(N224)+N(N225)+N(N226)+N(N229)+N(N247)+N(N250))/N283,""),"")</f>
        <v>4.28186713545179</v>
      </c>
      <c r="O340" s="262">
        <f>IFERROR(IF(N(O283)&lt;&gt;0,(N(O224)+N(O225)+N(O226)+N(O229)+N(O247)+N(O250))/O283,""),"")</f>
        <v>5.5471179574418</v>
      </c>
      <c r="P340" s="262">
        <f>IFERROR(IF(N(P283)&lt;&gt;0,(N(P224)+N(P225)+N(P226)+N(P229)+N(P247)+N(P250))/P283,""),"")</f>
        <v>7.07252118953807</v>
      </c>
      <c r="Q340" s="262">
        <f>IFERROR(IF(N(Q283)&lt;&gt;0,(N(Q224)+N(Q225)+N(Q226)+N(Q229)+N(Q247)+N(Q250))/Q283,""),"")</f>
        <v>6.41661525836823</v>
      </c>
      <c r="R340" s="262">
        <f>IFERROR(IF(N(R283)&lt;&gt;0,(N(R224)+N(R225)+N(R226)+N(R229)+N(R247)+N(R250))/R283,""),"")</f>
        <v>6.41661525836823</v>
      </c>
      <c r="S340" s="262">
        <f>IFERROR(IF(N(S283)&lt;&gt;0,(N(S224)+N(S225)+N(S226)+N(S229)+N(S247)+N(S250))/S283,""),"")</f>
        <v>5.41239440102442</v>
      </c>
      <c r="T340" s="262">
        <f>IFERROR(IF(N(T283)&lt;&gt;0,(N(T224)+N(T225)+N(T226)+N(T229)+N(T247)+N(T250))/T283,""),"")</f>
        <v>4.55596743464322</v>
      </c>
      <c r="U340" s="262">
        <f>IFERROR(IF(N(U283)&lt;&gt;0,(N(U224)+N(U225)+N(U226)+N(U229)+N(U247)+N(U250))/U283,""),"")</f>
        <v>4.53546732688441</v>
      </c>
      <c r="V340" s="262">
        <f>IFERROR(IF(N(V283)&lt;&gt;0,(N(V224)+N(V225)+N(V226)+N(V229)+N(V247)+N(V250))/V283,""),"")</f>
        <v>6.09077035557984</v>
      </c>
      <c r="W340" s="262">
        <f>IFERROR(IF(N(W283)&lt;&gt;0,(N(W224)+N(W225)+N(W226)+N(W229)+N(W247)+N(W250))/W283,""),"")</f>
        <v>6.09077035557984</v>
      </c>
      <c r="X340" s="262">
        <f>IFERROR(IF(N(X283)&lt;&gt;0,(N(X224)+N(X225)+N(X226)+N(X229)+N(X247)+N(X250))/X283,""),"")</f>
        <v>6.4591565499173</v>
      </c>
      <c r="Y340" s="262">
        <f>IFERROR(IF(N(Y283)&lt;&gt;0,(N(Y224)+N(Y225)+N(Y226)+N(Y229)+N(Y247)+N(Y250))/Y283,""),"")</f>
        <v>7.17190332640084</v>
      </c>
      <c r="Z340" s="262">
        <f>IFERROR(IF(N(Z283)&lt;&gt;0,(N(Z224)+N(Z225)+N(Z226)+N(Z229)+N(Z247)+N(Z250))/Z283,""),"")</f>
        <v>7.1212578341898</v>
      </c>
      <c r="AA340" s="262">
        <f>IFERROR(IF(N(AA283)&lt;&gt;0,(N(AA224)+N(AA225)+N(AA226)+N(AA229)+N(AA247)+N(AA250))/AA283,""),"")</f>
        <v>8.23346835215519</v>
      </c>
      <c r="AB340" s="262">
        <f>IFERROR(IF(N(AB283)&lt;&gt;0,(N(AB224)+N(AB225)+N(AB226)+N(AB229)+N(AB247)+N(AB250))/AB283,""),"")</f>
        <v>8.23346835215519</v>
      </c>
      <c r="AC340" s="262">
        <f>IFERROR(IF(N(AC283)&lt;&gt;0,(N(AC224)+N(AC225)+N(AC226)+N(AC229)+N(AC247)+N(AC250))/AC283,""),"")</f>
        <v>7.66151738176062</v>
      </c>
      <c r="AD340" s="262">
        <f>IFERROR(IF(N(AD283)&lt;&gt;0,(N(AD224)+N(AD225)+N(AD226)+N(AD229)+N(AD247)+N(AD250))/AD283,""),"")</f>
        <v>7.3669128625223</v>
      </c>
      <c r="AE340" s="262">
        <f>IFERROR(IF(N(AE283)&lt;&gt;0,(N(AE224)+N(AE225)+N(AE226)+N(AE229)+N(AE247)+N(AE250))/AE283,""),"")</f>
        <v>6.71304158236613</v>
      </c>
      <c r="AF340" s="262">
        <f>IFERROR(IF(N(AF283)&lt;&gt;0,(N(AF224)+N(AF225)+N(AF226)+N(AF229)+N(AF247)+N(AF250))/AF283,""),"")</f>
        <v>7.38845894135866</v>
      </c>
      <c r="AG340" s="262">
        <f>IFERROR(IF(N(AG283)&lt;&gt;0,(N(AG224)+N(AG225)+N(AG226)+N(AG229)+N(AG247)+N(AG250))/AG283,""),"")</f>
        <v>7.38845894135866</v>
      </c>
      <c r="AH340" s="262">
        <f>IFERROR(IF(N(AH283)&lt;&gt;0,(N(AH224)+N(AH225)+N(AH226)+N(AH229)+N(AH247)+N(AH250))/AH283,""),"")</f>
        <v>7.73704182439597</v>
      </c>
      <c r="AI340" s="262">
        <f>IFERROR(IF(N(AI283)&lt;&gt;0,(N(AI224)+N(AI225)+N(AI226)+N(AI229)+N(AI247)+N(AI250))/AI283,""),"")</f>
        <v>6.10293509661779</v>
      </c>
      <c r="AJ340" s="262">
        <f>IFERROR(IF(N(AJ283)&lt;&gt;0,(N(AJ224)+N(AJ225)+N(AJ226)+N(AJ229)+N(AJ247)+N(AJ250))/AJ283,""),"")</f>
        <v>4.84958425012242</v>
      </c>
      <c r="AK340" s="262">
        <f>IFERROR(IF(N(AK283)&lt;&gt;0,(N(AK224)+N(AK225)+N(AK226)+N(AK229)+N(AK247)+N(AK250))/AK283,""),"")</f>
        <v>4.04286813263059</v>
      </c>
      <c r="AL340" s="262">
        <f>IFERROR(IF(N(AL283)&lt;&gt;0,(N(AL224)+N(AL225)+N(AL226)+N(AL229)+N(AL247)+N(AL250))/AL283,""),"")</f>
        <v>4.04286813263059</v>
      </c>
      <c r="AM340" s="262">
        <f>IFERROR(IF(N(AM283)&lt;&gt;0,(N(AM224)+N(AM225)+N(AM226)+N(AM229)+N(AM247)+N(AM250))/AM283,""),"")</f>
        <v>3.44990254857017</v>
      </c>
      <c r="AN340" s="262">
        <f>IFERROR(IF(N(AN283)&lt;&gt;0,(N(AN224)+N(AN225)+N(AN226)+N(AN229)+N(AN247)+N(AN250))/AN283,""),"")</f>
        <v>3.01013716837345</v>
      </c>
      <c r="AO340" s="262">
        <f>IFERROR(IF(N(AO283)&lt;&gt;0,(N(AO224)+N(AO225)+N(AO226)+N(AO229)+N(AO247)+N(AO250))/AO283,""),"")</f>
        <v>2.64693230414586</v>
      </c>
      <c r="AP340" s="262">
        <f>IFERROR(IF(N(AP283)&lt;&gt;0,(N(AP224)+N(AP225)+N(AP226)+N(AP229)+N(AP247)+N(AP250))/AP283,""),"")</f>
        <v>2.36917827826357</v>
      </c>
      <c r="AQ340" s="262">
        <f>IFERROR(IF(N(AQ283)&lt;&gt;0,(N(AQ224)+N(AQ225)+N(AQ226)+N(AQ229)+N(AQ247)+N(AQ250))/AQ283,""),"")</f>
        <v>2.36917827826357</v>
      </c>
      <c r="AR340" s="262">
        <f>IFERROR(IF(N(AR283)&lt;&gt;0,(N(AR224)+N(AR225)+N(AR226)+N(AR229)+N(AR247)+N(AR250))/AR283,""),"")</f>
        <v>2.13840190723718</v>
      </c>
      <c r="AS340" s="262">
        <f>IFERROR(IF(N(AS283)&lt;&gt;0,(N(AS224)+N(AS225)+N(AS226)+N(AS229)+N(AS247)+N(AS250))/AS283,""),"")</f>
        <v>1.94927173322605</v>
      </c>
      <c r="AT340" s="262">
        <f>IFERROR(IF(N(AT283)&lt;&gt;0,(N(AT224)+N(AT225)+N(AT226)+N(AT229)+N(AT247)+N(AT250))/AT283,""),"")</f>
        <v>1.77982136500221</v>
      </c>
      <c r="AU340" s="262">
        <f>IFERROR(IF(N(AU283)&lt;&gt;0,(N(AU224)+N(AU225)+N(AU226)+N(AU229)+N(AU247)+N(AU250))/AU283,""),"")</f>
        <v>1.64120037685107</v>
      </c>
      <c r="AV340" s="262">
        <f>IFERROR(IF(N(AV283)&lt;&gt;0,(N(AV224)+N(AV225)+N(AV226)+N(AV229)+N(AV247)+N(AV250))/AV283,""),"")</f>
        <v>1.64120037685107</v>
      </c>
      <c r="AW340" s="262">
        <f>IFERROR(IF(N(AW283)&lt;&gt;0,(N(AW224)+N(AW225)+N(AW226)+N(AW229)+N(AW247)+N(AW250))/AW283,""),"")</f>
        <v>1.52001414844317</v>
      </c>
      <c r="AX340" s="262">
        <f>IFERROR(IF(N(AX283)&lt;&gt;0,(N(AX224)+N(AX225)+N(AX226)+N(AX229)+N(AX247)+N(AX250))/AX283,""),"")</f>
        <v>1.41587558244128</v>
      </c>
      <c r="AY340" s="262">
        <f>IFERROR(IF(N(AY283)&lt;&gt;0,(N(AY224)+N(AY225)+N(AY226)+N(AY229)+N(AY247)+N(AY250))/AY283,""),"")</f>
        <v>1.31862757153618</v>
      </c>
      <c r="AZ340" s="262">
        <f>IFERROR(IF(N(AZ283)&lt;&gt;0,(N(AZ224)+N(AZ225)+N(AZ226)+N(AZ229)+N(AZ247)+N(AZ250))/AZ283,""),"")</f>
        <v>1.23613429725444</v>
      </c>
      <c r="BA340" s="262">
        <f>IFERROR(IF(N(BA283)&lt;&gt;0,(N(BA224)+N(BA225)+N(BA226)+N(BA229)+N(BA247)+N(BA250))/BA283,""),"")</f>
        <v>1.23613429725444</v>
      </c>
      <c r="BB340" s="262">
        <f>IFERROR(IF(N(BB283)&lt;&gt;0,(N(BB224)+N(BB225)+N(BB226)+N(BB229)+N(BB247)+N(BB250))/BB283,""),"")</f>
        <v>1.1620648893776</v>
      </c>
      <c r="BC340" s="262">
        <f>IFERROR(IF(N(BC283)&lt;&gt;0,(N(BC224)+N(BC225)+N(BC226)+N(BC229)+N(BC247)+N(BC250))/BC283,""),"")</f>
        <v>1.09661310548405</v>
      </c>
      <c r="BD340" s="262">
        <f>IFERROR(IF(N(BD283)&lt;&gt;0,(N(BD224)+N(BD225)+N(BD226)+N(BD229)+N(BD247)+N(BD250))/BD283,""),"")</f>
        <v>1.03392641375249</v>
      </c>
      <c r="BE340" s="262">
        <f>IFERROR(IF(N(BE283)&lt;&gt;0,(N(BE224)+N(BE225)+N(BE226)+N(BE229)+N(BE247)+N(BE250))/BE283,""),"")</f>
        <v>0.979522091472146</v>
      </c>
      <c r="BF340" s="262">
        <f>IFERROR(IF(N(BF283)&lt;&gt;0,(N(BF224)+N(BF225)+N(BF226)+N(BF229)+N(BF247)+N(BF250))/BF283,""),"")</f>
        <v>0.979522091472146</v>
      </c>
    </row>
    <row r="341" customFormat="1" s="77">
      <c r="A341" s="76" t="n"/>
      <c r="B341" s="76" t="n"/>
      <c r="C341" s="77" t="inlineStr">
        <is>
          <t>NET DEBT / (NET DEBT + EQUITY) (BOOK VALUE)</t>
        </is>
      </c>
      <c r="H341" s="258" t="str">
        <f>IFERROR(IF(((N(H224)+N(H225)+N(H226)+N(H229)+N(H247)+N(H250))-N(H156)+N(H283))&lt;&gt;0,((N(H224)+N(H225)+N(H226)+N(H229)+N(H247)+N(H250))-N(H156))/((N(H224)+N(H225)+N(H226)+N(H229)+N(H247)+N(H250))-N(H156)+H283),""),"")</f>
        <v/>
      </c>
      <c r="I341" s="258">
        <f>IFERROR(IF(((N(I224)+N(I225)+N(I226)+N(I229)+N(I247)+N(I250))-N(I156)+N(I283))&lt;&gt;0,((N(I224)+N(I225)+N(I226)+N(I229)+N(I247)+N(I250))-N(I156))/((N(I224)+N(I225)+N(I226)+N(I229)+N(I247)+N(I250))-N(I156)+I283),""),"")</f>
        <v>0.601530381822107</v>
      </c>
      <c r="J341" s="258">
        <f>IFERROR(IF(((N(J224)+N(J225)+N(J226)+N(J229)+N(J247)+N(J250))-N(J156)+N(J283))&lt;&gt;0,((N(J224)+N(J225)+N(J226)+N(J229)+N(J247)+N(J250))-N(J156))/((N(J224)+N(J225)+N(J226)+N(J229)+N(J247)+N(J250))-N(J156)+J283),""),"")</f>
        <v>0.591829917939955</v>
      </c>
      <c r="K341" s="258">
        <f>IFERROR(IF(((N(K224)+N(K225)+N(K226)+N(K229)+N(K247)+N(K250))-N(K156)+N(K283))&lt;&gt;0,((N(K224)+N(K225)+N(K226)+N(K229)+N(K247)+N(K250))-N(K156))/((N(K224)+N(K225)+N(K226)+N(K229)+N(K247)+N(K250))-N(K156)+K283),""),"")</f>
        <v>0.6427098704655</v>
      </c>
      <c r="L341" s="258">
        <f>IFERROR(IF(((N(L224)+N(L225)+N(L226)+N(L229)+N(L247)+N(L250))-N(L156)+N(L283))&lt;&gt;0,((N(L224)+N(L225)+N(L226)+N(L229)+N(L247)+N(L250))-N(L156))/((N(L224)+N(L225)+N(L226)+N(L229)+N(L247)+N(L250))-N(L156)+L283),""),"")</f>
        <v>0.679990989591848</v>
      </c>
      <c r="M341" s="258">
        <f>IFERROR(IF(((N(M224)+N(M225)+N(M226)+N(M229)+N(M247)+N(M250))-N(M156)+N(M283))&lt;&gt;0,((N(M224)+N(M225)+N(M226)+N(M229)+N(M247)+N(M250))-N(M156))/((N(M224)+N(M225)+N(M226)+N(M229)+N(M247)+N(M250))-N(M156)+M283),""),"")</f>
        <v>0.679990989591848</v>
      </c>
      <c r="N341" s="258">
        <f>IFERROR(IF(((N(N224)+N(N225)+N(N226)+N(N229)+N(N247)+N(N250))-N(N156)+N(N283))&lt;&gt;0,((N(N224)+N(N225)+N(N226)+N(N229)+N(N247)+N(N250))-N(N156))/((N(N224)+N(N225)+N(N226)+N(N229)+N(N247)+N(N250))-N(N156)+N283),""),"")</f>
        <v>0.717398503050449</v>
      </c>
      <c r="O341" s="258">
        <f>IFERROR(IF(((N(O224)+N(O225)+N(O226)+N(O229)+N(O247)+N(O250))-N(O156)+N(O283))&lt;&gt;0,((N(O224)+N(O225)+N(O226)+N(O229)+N(O247)+N(O250))-N(O156))/((N(O224)+N(O225)+N(O226)+N(O229)+N(O247)+N(O250))-N(O156)+O283),""),"")</f>
        <v>0.77984945589721</v>
      </c>
      <c r="P341" s="258">
        <f>IFERROR(IF(((N(P224)+N(P225)+N(P226)+N(P229)+N(P247)+N(P250))-N(P156)+N(P283))&lt;&gt;0,((N(P224)+N(P225)+N(P226)+N(P229)+N(P247)+N(P250))-N(P156))/((N(P224)+N(P225)+N(P226)+N(P229)+N(P247)+N(P250))-N(P156)+P283),""),"")</f>
        <v>0.810082691380253</v>
      </c>
      <c r="Q341" s="258">
        <f>IFERROR(IF(((N(Q224)+N(Q225)+N(Q226)+N(Q229)+N(Q247)+N(Q250))-N(Q156)+N(Q283))&lt;&gt;0,((N(Q224)+N(Q225)+N(Q226)+N(Q229)+N(Q247)+N(Q250))-N(Q156))/((N(Q224)+N(Q225)+N(Q226)+N(Q229)+N(Q247)+N(Q250))-N(Q156)+Q283),""),"")</f>
        <v>0.798005490587871</v>
      </c>
      <c r="R341" s="258">
        <f>IFERROR(IF(((N(R224)+N(R225)+N(R226)+N(R229)+N(R247)+N(R250))-N(R156)+N(R283))&lt;&gt;0,((N(R224)+N(R225)+N(R226)+N(R229)+N(R247)+N(R250))-N(R156))/((N(R224)+N(R225)+N(R226)+N(R229)+N(R247)+N(R250))-N(R156)+R283),""),"")</f>
        <v>0.798005490587871</v>
      </c>
      <c r="S341" s="258">
        <f>IFERROR(IF(((N(S224)+N(S225)+N(S226)+N(S229)+N(S247)+N(S250))-N(S156)+N(S283))&lt;&gt;0,((N(S224)+N(S225)+N(S226)+N(S229)+N(S247)+N(S250))-N(S156))/((N(S224)+N(S225)+N(S226)+N(S229)+N(S247)+N(S250))-N(S156)+S283),""),"")</f>
        <v>0.801057135315513</v>
      </c>
      <c r="T341" s="258">
        <f>IFERROR(IF(((N(T224)+N(T225)+N(T226)+N(T229)+N(T247)+N(T250))-N(T156)+N(T283))&lt;&gt;0,((N(T224)+N(T225)+N(T226)+N(T229)+N(T247)+N(T250))-N(T156))/((N(T224)+N(T225)+N(T226)+N(T229)+N(T247)+N(T250))-N(T156)+T283),""),"")</f>
        <v>0.787993898948119</v>
      </c>
      <c r="U341" s="258">
        <f>IFERROR(IF(((N(U224)+N(U225)+N(U226)+N(U229)+N(U247)+N(U250))-N(U156)+N(U283))&lt;&gt;0,((N(U224)+N(U225)+N(U226)+N(U229)+N(U247)+N(U250))-N(U156))/((N(U224)+N(U225)+N(U226)+N(U229)+N(U247)+N(U250))-N(U156)+U283),""),"")</f>
        <v>0.79471271090476</v>
      </c>
      <c r="V341" s="258">
        <f>IFERROR(IF(((N(V224)+N(V225)+N(V226)+N(V229)+N(V247)+N(V250))-N(V156)+N(V283))&lt;&gt;0,((N(V224)+N(V225)+N(V226)+N(V229)+N(V247)+N(V250))-N(V156))/((N(V224)+N(V225)+N(V226)+N(V229)+N(V247)+N(V250))-N(V156)+V283),""),"")</f>
        <v>0.830560060613548</v>
      </c>
      <c r="W341" s="258">
        <f>IFERROR(IF(((N(W224)+N(W225)+N(W226)+N(W229)+N(W247)+N(W250))-N(W156)+N(W283))&lt;&gt;0,((N(W224)+N(W225)+N(W226)+N(W229)+N(W247)+N(W250))-N(W156))/((N(W224)+N(W225)+N(W226)+N(W229)+N(W247)+N(W250))-N(W156)+W283),""),"")</f>
        <v>0.830560060613548</v>
      </c>
      <c r="X341" s="258">
        <f>IFERROR(IF(((N(X224)+N(X225)+N(X226)+N(X229)+N(X247)+N(X250))-N(X156)+N(X283))&lt;&gt;0,((N(X224)+N(X225)+N(X226)+N(X229)+N(X247)+N(X250))-N(X156))/((N(X224)+N(X225)+N(X226)+N(X229)+N(X247)+N(X250))-N(X156)+X283),""),"")</f>
        <v>0.838232277172317</v>
      </c>
      <c r="Y341" s="258">
        <f>IFERROR(IF(((N(Y224)+N(Y225)+N(Y226)+N(Y229)+N(Y247)+N(Y250))-N(Y156)+N(Y283))&lt;&gt;0,((N(Y224)+N(Y225)+N(Y226)+N(Y229)+N(Y247)+N(Y250))-N(Y156))/((N(Y224)+N(Y225)+N(Y226)+N(Y229)+N(Y247)+N(Y250))-N(Y156)+Y283),""),"")</f>
        <v>0.850741327585562</v>
      </c>
      <c r="Z341" s="258">
        <f>IFERROR(IF(((N(Z224)+N(Z225)+N(Z226)+N(Z229)+N(Z247)+N(Z250))-N(Z156)+N(Z283))&lt;&gt;0,((N(Z224)+N(Z225)+N(Z226)+N(Z229)+N(Z247)+N(Z250))-N(Z156))/((N(Z224)+N(Z225)+N(Z226)+N(Z229)+N(Z247)+N(Z250))-N(Z156)+Z283),""),"")</f>
        <v>0.849070860476423</v>
      </c>
      <c r="AA341" s="258">
        <f>IFERROR(IF(((N(AA224)+N(AA225)+N(AA226)+N(AA229)+N(AA247)+N(AA250))-N(AA156)+N(AA283))&lt;&gt;0,((N(AA224)+N(AA225)+N(AA226)+N(AA229)+N(AA247)+N(AA250))-N(AA156))/((N(AA224)+N(AA225)+N(AA226)+N(AA229)+N(AA247)+N(AA250))-N(AA156)+AA283),""),"")</f>
        <v>0.866875273026739</v>
      </c>
      <c r="AB341" s="258">
        <f>IFERROR(IF(((N(AB224)+N(AB225)+N(AB226)+N(AB229)+N(AB247)+N(AB250))-N(AB156)+N(AB283))&lt;&gt;0,((N(AB224)+N(AB225)+N(AB226)+N(AB229)+N(AB247)+N(AB250))-N(AB156))/((N(AB224)+N(AB225)+N(AB226)+N(AB229)+N(AB247)+N(AB250))-N(AB156)+AB283),""),"")</f>
        <v>0.866875273026739</v>
      </c>
      <c r="AC341" s="258">
        <f>IFERROR(IF(((N(AC224)+N(AC225)+N(AC226)+N(AC229)+N(AC247)+N(AC250))-N(AC156)+N(AC283))&lt;&gt;0,((N(AC224)+N(AC225)+N(AC226)+N(AC229)+N(AC247)+N(AC250))-N(AC156))/((N(AC224)+N(AC225)+N(AC226)+N(AC229)+N(AC247)+N(AC250))-N(AC156)+AC283),""),"")</f>
        <v>0.866609825570677</v>
      </c>
      <c r="AD341" s="258">
        <f>IFERROR(IF(((N(AD224)+N(AD225)+N(AD226)+N(AD229)+N(AD247)+N(AD250))-N(AD156)+N(AD283))&lt;&gt;0,((N(AD224)+N(AD225)+N(AD226)+N(AD229)+N(AD247)+N(AD250))-N(AD156))/((N(AD224)+N(AD225)+N(AD226)+N(AD229)+N(AD247)+N(AD250))-N(AD156)+AD283),""),"")</f>
        <v>0.858510820071869</v>
      </c>
      <c r="AE341" s="258">
        <f>IFERROR(IF(((N(AE224)+N(AE225)+N(AE226)+N(AE229)+N(AE247)+N(AE250))-N(AE156)+N(AE283))&lt;&gt;0,((N(AE224)+N(AE225)+N(AE226)+N(AE229)+N(AE247)+N(AE250))-N(AE156))/((N(AE224)+N(AE225)+N(AE226)+N(AE229)+N(AE247)+N(AE250))-N(AE156)+AE283),""),"")</f>
        <v>0.846688731946109</v>
      </c>
      <c r="AF341" s="258">
        <f>IFERROR(IF(((N(AF224)+N(AF225)+N(AF226)+N(AF229)+N(AF247)+N(AF250))-N(AF156)+N(AF283))&lt;&gt;0,((N(AF224)+N(AF225)+N(AF226)+N(AF229)+N(AF247)+N(AF250))-N(AF156))/((N(AF224)+N(AF225)+N(AF226)+N(AF229)+N(AF247)+N(AF250))-N(AF156)+AF283),""),"")</f>
        <v>0.83530414446645</v>
      </c>
      <c r="AG341" s="258">
        <f>IFERROR(IF(((N(AG224)+N(AG225)+N(AG226)+N(AG229)+N(AG247)+N(AG250))-N(AG156)+N(AG283))&lt;&gt;0,((N(AG224)+N(AG225)+N(AG226)+N(AG229)+N(AG247)+N(AG250))-N(AG156))/((N(AG224)+N(AG225)+N(AG226)+N(AG229)+N(AG247)+N(AG250))-N(AG156)+AG283),""),"")</f>
        <v>0.83530414446645</v>
      </c>
      <c r="AH341" s="258">
        <f>IFERROR(IF(((N(AH224)+N(AH225)+N(AH226)+N(AH229)+N(AH247)+N(AH250))-N(AH156)+N(AH283))&lt;&gt;0,((N(AH224)+N(AH225)+N(AH226)+N(AH229)+N(AH247)+N(AH250))-N(AH156))/((N(AH224)+N(AH225)+N(AH226)+N(AH229)+N(AH247)+N(AH250))-N(AH156)+AH283),""),"")</f>
        <v>0.835778051099482</v>
      </c>
      <c r="AI341" s="258">
        <f>IFERROR(IF(((N(AI224)+N(AI225)+N(AI226)+N(AI229)+N(AI247)+N(AI250))-N(AI156)+N(AI283))&lt;&gt;0,((N(AI224)+N(AI225)+N(AI226)+N(AI229)+N(AI247)+N(AI250))-N(AI156))/((N(AI224)+N(AI225)+N(AI226)+N(AI229)+N(AI247)+N(AI250))-N(AI156)+AI283),""),"")</f>
        <v>0.807169715157338</v>
      </c>
      <c r="AJ341" s="258">
        <f>IFERROR(IF(((N(AJ224)+N(AJ225)+N(AJ226)+N(AJ229)+N(AJ247)+N(AJ250))-N(AJ156)+N(AJ283))&lt;&gt;0,((N(AJ224)+N(AJ225)+N(AJ226)+N(AJ229)+N(AJ247)+N(AJ250))-N(AJ156))/((N(AJ224)+N(AJ225)+N(AJ226)+N(AJ229)+N(AJ247)+N(AJ250))-N(AJ156)+AJ283),""),"")</f>
        <v>0.766885617265179</v>
      </c>
      <c r="AK341" s="258">
        <f>IFERROR(IF(((N(AK224)+N(AK225)+N(AK226)+N(AK229)+N(AK247)+N(AK250))-N(AK156)+N(AK283))&lt;&gt;0,((N(AK224)+N(AK225)+N(AK226)+N(AK229)+N(AK247)+N(AK250))-N(AK156))/((N(AK224)+N(AK225)+N(AK226)+N(AK229)+N(AK247)+N(AK250))-N(AK156)+AK283),""),"")</f>
        <v>0.728435575199144</v>
      </c>
      <c r="AL341" s="258">
        <f>IFERROR(IF(((N(AL224)+N(AL225)+N(AL226)+N(AL229)+N(AL247)+N(AL250))-N(AL156)+N(AL283))&lt;&gt;0,((N(AL224)+N(AL225)+N(AL226)+N(AL229)+N(AL247)+N(AL250))-N(AL156))/((N(AL224)+N(AL225)+N(AL226)+N(AL229)+N(AL247)+N(AL250))-N(AL156)+AL283),""),"")</f>
        <v>0.728435575199144</v>
      </c>
      <c r="AM341" s="258">
        <f>IFERROR(IF(((N(AM224)+N(AM225)+N(AM226)+N(AM229)+N(AM247)+N(AM250))-N(AM156)+N(AM283))&lt;&gt;0,((N(AM224)+N(AM225)+N(AM226)+N(AM229)+N(AM247)+N(AM250))-N(AM156))/((N(AM224)+N(AM225)+N(AM226)+N(AM229)+N(AM247)+N(AM250))-N(AM156)+AM283),""),"")</f>
        <v>0.687583815477777</v>
      </c>
      <c r="AN341" s="258">
        <f>IFERROR(IF(((N(AN224)+N(AN225)+N(AN226)+N(AN229)+N(AN247)+N(AN250))-N(AN156)+N(AN283))&lt;&gt;0,((N(AN224)+N(AN225)+N(AN226)+N(AN229)+N(AN247)+N(AN250))-N(AN156))/((N(AN224)+N(AN225)+N(AN226)+N(AN229)+N(AN247)+N(AN250))-N(AN156)+AN283),""),"")</f>
        <v>0.651431414899478</v>
      </c>
      <c r="AO341" s="258">
        <f>IFERROR(IF(((N(AO224)+N(AO225)+N(AO226)+N(AO229)+N(AO247)+N(AO250))-N(AO156)+N(AO283))&lt;&gt;0,((N(AO224)+N(AO225)+N(AO226)+N(AO229)+N(AO247)+N(AO250))-N(AO156))/((N(AO224)+N(AO225)+N(AO226)+N(AO229)+N(AO247)+N(AO250))-N(AO156)+AO283),""),"")</f>
        <v>0.610671381640481</v>
      </c>
      <c r="AP341" s="258">
        <f>IFERROR(IF(((N(AP224)+N(AP225)+N(AP226)+N(AP229)+N(AP247)+N(AP250))-N(AP156)+N(AP283))&lt;&gt;0,((N(AP224)+N(AP225)+N(AP226)+N(AP229)+N(AP247)+N(AP250))-N(AP156))/((N(AP224)+N(AP225)+N(AP226)+N(AP229)+N(AP247)+N(AP250))-N(AP156)+AP283),""),"")</f>
        <v>0.577263123099404</v>
      </c>
      <c r="AQ341" s="258">
        <f>IFERROR(IF(((N(AQ224)+N(AQ225)+N(AQ226)+N(AQ229)+N(AQ247)+N(AQ250))-N(AQ156)+N(AQ283))&lt;&gt;0,((N(AQ224)+N(AQ225)+N(AQ226)+N(AQ229)+N(AQ247)+N(AQ250))-N(AQ156))/((N(AQ224)+N(AQ225)+N(AQ226)+N(AQ229)+N(AQ247)+N(AQ250))-N(AQ156)+AQ283),""),"")</f>
        <v>0.577263123099404</v>
      </c>
      <c r="AR341" s="258">
        <f>IFERROR(IF(((N(AR224)+N(AR225)+N(AR226)+N(AR229)+N(AR247)+N(AR250))-N(AR156)+N(AR283))&lt;&gt;0,((N(AR224)+N(AR225)+N(AR226)+N(AR229)+N(AR247)+N(AR250))-N(AR156))/((N(AR224)+N(AR225)+N(AR226)+N(AR229)+N(AR247)+N(AR250))-N(AR156)+AR283),""),"")</f>
        <v>0.540881320186468</v>
      </c>
      <c r="AS341" s="258">
        <f>IFERROR(IF(((N(AS224)+N(AS225)+N(AS226)+N(AS229)+N(AS247)+N(AS250))-N(AS156)+N(AS283))&lt;&gt;0,((N(AS224)+N(AS225)+N(AS226)+N(AS229)+N(AS247)+N(AS250))-N(AS156))/((N(AS224)+N(AS225)+N(AS226)+N(AS229)+N(AS247)+N(AS250))-N(AS156)+AS283),""),"")</f>
        <v>0.508615365307719</v>
      </c>
      <c r="AT341" s="258">
        <f>IFERROR(IF(((N(AT224)+N(AT225)+N(AT226)+N(AT229)+N(AT247)+N(AT250))-N(AT156)+N(AT283))&lt;&gt;0,((N(AT224)+N(AT225)+N(AT226)+N(AT229)+N(AT247)+N(AT250))-N(AT156))/((N(AT224)+N(AT225)+N(AT226)+N(AT229)+N(AT247)+N(AT250))-N(AT156)+AT283),""),"")</f>
        <v>0.471145868201354</v>
      </c>
      <c r="AU341" s="258">
        <f>IFERROR(IF(((N(AU224)+N(AU225)+N(AU226)+N(AU229)+N(AU247)+N(AU250))-N(AU156)+N(AU283))&lt;&gt;0,((N(AU224)+N(AU225)+N(AU226)+N(AU229)+N(AU247)+N(AU250))-N(AU156))/((N(AU224)+N(AU225)+N(AU226)+N(AU229)+N(AU247)+N(AU250))-N(AU156)+AU283),""),"")</f>
        <v>0.442191210524613</v>
      </c>
      <c r="AV341" s="258">
        <f>IFERROR(IF(((N(AV224)+N(AV225)+N(AV226)+N(AV229)+N(AV247)+N(AV250))-N(AV156)+N(AV283))&lt;&gt;0,((N(AV224)+N(AV225)+N(AV226)+N(AV229)+N(AV247)+N(AV250))-N(AV156))/((N(AV224)+N(AV225)+N(AV226)+N(AV229)+N(AV247)+N(AV250))-N(AV156)+AV283),""),"")</f>
        <v>0.442191210524613</v>
      </c>
      <c r="AW341" s="258">
        <f>IFERROR(IF(((N(AW224)+N(AW225)+N(AW226)+N(AW229)+N(AW247)+N(AW250))-N(AW156)+N(AW283))&lt;&gt;0,((N(AW224)+N(AW225)+N(AW226)+N(AW229)+N(AW247)+N(AW250))-N(AW156))/((N(AW224)+N(AW225)+N(AW226)+N(AW229)+N(AW247)+N(AW250))-N(AW156)+AW283),""),"")</f>
        <v>0.408732849871688</v>
      </c>
      <c r="AX341" s="258">
        <f>IFERROR(IF(((N(AX224)+N(AX225)+N(AX226)+N(AX229)+N(AX247)+N(AX250))-N(AX156)+N(AX283))&lt;&gt;0,((N(AX224)+N(AX225)+N(AX226)+N(AX229)+N(AX247)+N(AX250))-N(AX156))/((N(AX224)+N(AX225)+N(AX226)+N(AX229)+N(AX247)+N(AX250))-N(AX156)+AX283),""),"")</f>
        <v>0.381118834325023</v>
      </c>
      <c r="AY341" s="258">
        <f>IFERROR(IF(((N(AY224)+N(AY225)+N(AY226)+N(AY229)+N(AY247)+N(AY250))-N(AY156)+N(AY283))&lt;&gt;0,((N(AY224)+N(AY225)+N(AY226)+N(AY229)+N(AY247)+N(AY250))-N(AY156))/((N(AY224)+N(AY225)+N(AY226)+N(AY229)+N(AY247)+N(AY250))-N(AY156)+AY283),""),"")</f>
        <v>0.346606595515867</v>
      </c>
      <c r="AZ341" s="258">
        <f>IFERROR(IF(((N(AZ224)+N(AZ225)+N(AZ226)+N(AZ229)+N(AZ247)+N(AZ250))-N(AZ156)+N(AZ283))&lt;&gt;0,((N(AZ224)+N(AZ225)+N(AZ226)+N(AZ229)+N(AZ247)+N(AZ250))-N(AZ156))/((N(AZ224)+N(AZ225)+N(AZ226)+N(AZ229)+N(AZ247)+N(AZ250))-N(AZ156)+AZ283),""),"")</f>
        <v>0.321558171235551</v>
      </c>
      <c r="BA341" s="258">
        <f>IFERROR(IF(((N(BA224)+N(BA225)+N(BA226)+N(BA229)+N(BA247)+N(BA250))-N(BA156)+N(BA283))&lt;&gt;0,((N(BA224)+N(BA225)+N(BA226)+N(BA229)+N(BA247)+N(BA250))-N(BA156))/((N(BA224)+N(BA225)+N(BA226)+N(BA229)+N(BA247)+N(BA250))-N(BA156)+BA283),""),"")</f>
        <v>0.321558171235551</v>
      </c>
      <c r="BB341" s="258">
        <f>IFERROR(IF(((N(BB224)+N(BB225)+N(BB226)+N(BB229)+N(BB247)+N(BB250))-N(BB156)+N(BB283))&lt;&gt;0,((N(BB224)+N(BB225)+N(BB226)+N(BB229)+N(BB247)+N(BB250))-N(BB156))/((N(BB224)+N(BB225)+N(BB226)+N(BB229)+N(BB247)+N(BB250))-N(BB156)+BB283),""),"")</f>
        <v>0.291453483885413</v>
      </c>
      <c r="BC341" s="258">
        <f>IFERROR(IF(((N(BC224)+N(BC225)+N(BC226)+N(BC229)+N(BC247)+N(BC250))-N(BC156)+N(BC283))&lt;&gt;0,((N(BC224)+N(BC225)+N(BC226)+N(BC229)+N(BC247)+N(BC250))-N(BC156))/((N(BC224)+N(BC225)+N(BC226)+N(BC229)+N(BC247)+N(BC250))-N(BC156)+BC283),""),"")</f>
        <v>0.267337555276016</v>
      </c>
      <c r="BD341" s="258">
        <f>IFERROR(IF(((N(BD224)+N(BD225)+N(BD226)+N(BD229)+N(BD247)+N(BD250))-N(BD156)+N(BD283))&lt;&gt;0,((N(BD224)+N(BD225)+N(BD226)+N(BD229)+N(BD247)+N(BD250))-N(BD156))/((N(BD224)+N(BD225)+N(BD226)+N(BD229)+N(BD247)+N(BD250))-N(BD156)+BD283),""),"")</f>
        <v>0.235486047434771</v>
      </c>
      <c r="BE341" s="258">
        <f>IFERROR(IF(((N(BE224)+N(BE225)+N(BE226)+N(BE229)+N(BE247)+N(BE250))-N(BE156)+N(BE283))&lt;&gt;0,((N(BE224)+N(BE225)+N(BE226)+N(BE229)+N(BE247)+N(BE250))-N(BE156))/((N(BE224)+N(BE225)+N(BE226)+N(BE229)+N(BE247)+N(BE250))-N(BE156)+BE283),""),"")</f>
        <v>0.213854226121405</v>
      </c>
      <c r="BF341" s="258">
        <f>IFERROR(IF(((N(BF224)+N(BF225)+N(BF226)+N(BF229)+N(BF247)+N(BF250))-N(BF156)+N(BF283))&lt;&gt;0,((N(BF224)+N(BF225)+N(BF226)+N(BF229)+N(BF247)+N(BF250))-N(BF156))/((N(BF224)+N(BF225)+N(BF226)+N(BF229)+N(BF247)+N(BF250))-N(BF156)+BF283),""),"")</f>
        <v>0.213854226121405</v>
      </c>
    </row>
    <row r="342" customFormat="1" s="77">
      <c r="A342" s="76" t="n"/>
      <c r="B342" s="76" t="n"/>
    </row>
    <row r="343" customFormat="1" s="77">
      <c r="A343" s="76" t="n"/>
      <c r="B343" s="76" t="n"/>
      <c r="C343" s="74" t="inlineStr">
        <is>
          <t>FINANCIAL RISK RATIOS</t>
        </is>
      </c>
    </row>
    <row r="344" customFormat="1" s="77">
      <c r="A344" s="76" t="n"/>
      <c r="B344" s="76" t="n"/>
      <c r="C344" s="77" t="inlineStr">
        <is>
          <t>EBITDA / TOTAL INTEREST (LTM)</t>
        </is>
      </c>
      <c r="D344" s="82" t="str">
        <f>IFERROR(D81/-D86,"")</f>
        <v/>
      </c>
      <c r="E344" s="82" t="str">
        <f>IFERROR(E81/-E86,"")</f>
        <v/>
      </c>
      <c r="F344" s="82" t="str">
        <f>IFERROR(F81/-F86,"")</f>
        <v/>
      </c>
      <c r="G344" s="82" t="str">
        <f>IFERROR(G81/-G86,"")</f>
        <v/>
      </c>
      <c r="H344" s="262" t="str">
        <f>IFERROR(IF(AND(COUNT(H81)=1,(H86)&lt;&gt;0),(H81)/-(H86),""),"")</f>
        <v/>
      </c>
      <c r="I344" s="262" t="str">
        <f>""</f>
        <v/>
      </c>
      <c r="J344" s="262" t="str">
        <f>""</f>
        <v/>
      </c>
      <c r="K344" s="262" t="str">
        <f>""</f>
        <v/>
      </c>
      <c r="L344" s="262">
        <f>IFERROR(IF(AND(COUNT(I81,J81,K81,L81)=4,(I86+J86+K86+L86)&lt;&gt;0),(I81+J81+K81+L81)/-(I86+J86+K86+L86),""),"")</f>
        <v>2.17267624820203</v>
      </c>
      <c r="M344" s="262">
        <f>IFERROR(IF(AND(COUNT(I81,J81,K81,L81)=4,(I86+J86+K86+L86)&lt;&gt;0),(I81+J81+K81+L81)/-(I86+J86+K86+L86),""),"")</f>
        <v>2.17267624820203</v>
      </c>
      <c r="N344" s="262">
        <f>IFERROR(IF(AND(COUNT(J81,K81,L81,N81)=4,(J86+K86+L86+N86)&lt;&gt;0),(J81+K81+L81+N81)/-(J86+K86+L86+N86),""),"")</f>
        <v>2.42682222118103</v>
      </c>
      <c r="O344" s="262">
        <f>IFERROR(IF(AND(COUNT(K81,L81,N81,O81)=4,(K86+L86+N86+O86)&lt;&gt;0),(K81+L81+N81+O81)/-(K86+L86+N86+O86),""),"")</f>
        <v>1.71260197538764</v>
      </c>
      <c r="P344" s="262">
        <f>IFERROR(IF(AND(COUNT(L81,N81,O81,P81)=4,(L86+N86+O86+P86)&lt;&gt;0),(L81+N81+O81+P81)/-(L86+N86+O86+P86),""),"")</f>
        <v>1.62214460702398</v>
      </c>
      <c r="Q344" s="262">
        <f>IFERROR(IF(AND(COUNT(N81,O81,P81,Q81)=4,(N86+O86+P86+Q86)&lt;&gt;0),(N81+O81+P81+Q81)/-(N86+O86+P86+Q86),""),"")</f>
        <v>1.60689712268523</v>
      </c>
      <c r="R344" s="262">
        <f>IFERROR(IF(AND(COUNT(N81,O81,P81,Q81)=4,(N86+O86+P86+Q86)&lt;&gt;0),(N81+O81+P81+Q81)/-(N86+O86+P86+Q86),""),"")</f>
        <v>1.60689712268523</v>
      </c>
      <c r="S344" s="262">
        <f>IFERROR(IF(AND(COUNT(O81,P81,Q81,S81)=4,(O86+P86+Q86+S86)&lt;&gt;0),(O81+P81+Q81+S81)/-(O86+P86+Q86+S86),""),"")</f>
        <v>1.46628837448869</v>
      </c>
      <c r="T344" s="262">
        <f>IFERROR(IF(AND(COUNT(P81,Q81,S81,T81)=4,(P86+Q86+S86+T86)&lt;&gt;0),(P81+Q81+S81+T81)/-(P86+Q86+S86+T86),""),"")</f>
        <v>1.43884322148141</v>
      </c>
      <c r="U344" s="262">
        <f>IFERROR(IF(AND(COUNT(Q81,S81,T81,U81)=4,(Q86+S86+T86+U86)&lt;&gt;0),(Q81+S81+T81+U81)/-(Q86+S86+T86+U86),""),"")</f>
        <v>1.44319265437684</v>
      </c>
      <c r="V344" s="262">
        <f>IFERROR(IF(AND(COUNT(S81,T81,U81,V81)=4,(S86+T86+U86+V86)&lt;&gt;0),(S81+T81+U81+V81)/-(S86+T86+U86+V86),""),"")</f>
        <v>1.47560901558118</v>
      </c>
      <c r="W344" s="262">
        <f>IFERROR(IF(AND(COUNT(S81,T81,U81,V81)=4,(S86+T86+U86+V86)&lt;&gt;0),(S81+T81+U81+V81)/-(S86+T86+U86+V86),""),"")</f>
        <v>1.47560901558118</v>
      </c>
      <c r="X344" s="262">
        <f>IFERROR(IF(AND(COUNT(T81,U81,V81,X81)=4,(T86+U86+V86+X86)&lt;&gt;0),(T81+U81+V81+X81)/-(T86+U86+V86+X86),""),"")</f>
        <v>1.54522050325594</v>
      </c>
      <c r="Y344" s="262">
        <f>IFERROR(IF(AND(COUNT(U81,V81,X81,Y81)=4,(U86+V86+X86+Y86)&lt;&gt;0),(U81+V81+X81+Y81)/-(U86+V86+X86+Y86),""),"")</f>
        <v>1.5807009771987</v>
      </c>
      <c r="Z344" s="262">
        <f>IFERROR(IF(AND(COUNT(V81,X81,Y81,Z81)=4,(V86+X86+Y86+Z86)&lt;&gt;0),(V81+X81+Y81+Z81)/-(V86+X86+Y86+Z86),""),"")</f>
        <v>1.65514810482119</v>
      </c>
      <c r="AA344" s="262">
        <f>IFERROR(IF(AND(COUNT(X81,Y81,Z81,AA81)=4,(X86+Y86+Z86+AA86)&lt;&gt;0),(X81+Y81+Z81+AA81)/-(X86+Y86+Z86+AA86),""),"")</f>
        <v>1.74815946767744</v>
      </c>
      <c r="AB344" s="262">
        <f>IFERROR(IF(AND(COUNT(X81,Y81,Z81,AA81)=4,(X86+Y86+Z86+AA86)&lt;&gt;0),(X81+Y81+Z81+AA81)/-(X86+Y86+Z86+AA86),""),"")</f>
        <v>1.74815946767744</v>
      </c>
      <c r="AC344" s="262">
        <f>IFERROR(IF(AND(COUNT(Y81,Z81,AA81,AC81)=4,(Y86+Z86+AA86+AC86)&lt;&gt;0),(Y81+Z81+AA81+AC81)/-(Y86+Z86+AA86+AC86),""),"")</f>
        <v>1.77426270840994</v>
      </c>
      <c r="AD344" s="262">
        <f>IFERROR(IF(AND(COUNT(Z81,AA81,AC81,AD81)=4,(Z86+AA86+AC86+AD86)&lt;&gt;0),(Z81+AA81+AC81+AD81)/-(Z86+AA86+AC86+AD86),""),"")</f>
        <v>1.77357174301844</v>
      </c>
      <c r="AE344" s="262">
        <f>IFERROR(IF(AND(COUNT(AA81,AC81,AD81,AE81)=4,(AA86+AC86+AD86+AE86)&lt;&gt;0),(AA81+AC81+AD81+AE81)/-(AA86+AC86+AD86+AE86),""),"")</f>
        <v>1.74052322648119</v>
      </c>
      <c r="AF344" s="262">
        <f>IFERROR(IF(AND(COUNT(AB81,AD81,AE81,AF81)=4,(AB86+AD86+AE86+AF86)&lt;&gt;0),(AB81+AD81+AE81+AF81)/-(AB86+AD86+AE86+AF86),""),"")</f>
        <v>1.63563338530479</v>
      </c>
      <c r="AG344" s="262">
        <f>IFERROR(IF(AND(COUNT(AC81,AD81,AE81,AF81)=4,(AC86+AD86+AE86+AF86)&lt;&gt;0),(AC81+AD81+AE81+AF81)/-(AC86+AD86+AE86+AF86),""),"")</f>
        <v>1.58459563667387</v>
      </c>
      <c r="AH344" s="262">
        <f>IFERROR(IF(AND(COUNT(AD81,AF81,AG81,AH81)=4,(AD86+AF86+AG86+AH86)&lt;&gt;0),(AD81+AF81+AG81+AH81)/-(AD86+AF86+AG86+AH86),""),"")</f>
        <v>1.57247234867988</v>
      </c>
      <c r="AI344" s="262">
        <f>IFERROR(IF(AND(COUNT(AE81,AG81,AH81,AI81)=4,(AE86+AG86+AH86+AI86)&lt;&gt;0),(AE81+AG81+AH81+AI81)/-(AE86+AG86+AH86+AI86),""),"")</f>
        <v>1.63131180012903</v>
      </c>
      <c r="AJ344" s="262" t="str">
        <f>IFERROR(IF(AND(COUNT(AF81,AH81,AI81,AJ81)=4,(AF86+AH86+AI86+AJ86)&lt;&gt;0),(AF81+AH81+AI81+AJ81)/-(AF86+AH86+AI86+AJ86),""),"")</f>
        <v/>
      </c>
      <c r="AK344" s="262" t="str">
        <f>IFERROR(IF(AND(COUNT(AH81,AI81,AJ81,AK81)=4,(AH86+AI86+AJ86+AK86)&lt;&gt;0),(AH81+AI81+AJ81+AK81)/-(AH86+AI86+AJ86+AK86),""),"")</f>
        <v/>
      </c>
      <c r="AL344" s="262" t="str">
        <f>IFERROR(IF(AND(COUNT(AH81,AI81,AJ81,AK81)=4,(AH86+AI86+AJ86+AK86)&lt;&gt;0),(AH81+AI81+AJ81+AK81)/-(AH86+AI86+AJ86+AK86),""),"")</f>
        <v/>
      </c>
      <c r="AM344" s="262" t="str">
        <f>IFERROR(IF(AND(COUNT(AI81,AJ81,AK81,AM81)=4,(AI86+AJ86+AK86+AM86)&lt;&gt;0),(AI81+AJ81+AK81+AM81)/-(AI86+AJ86+AK86+AM86),""),"")</f>
        <v/>
      </c>
      <c r="AN344" s="262" t="str">
        <f>IFERROR(IF(AND(COUNT(AJ81,AK81,AM81,AN81)=4,(AJ86+AK86+AM86+AN86)&lt;&gt;0),(AJ81+AK81+AM81+AN81)/-(AJ86+AK86+AM86+AN86),""),"")</f>
        <v/>
      </c>
      <c r="AO344" s="262" t="str">
        <f>IFERROR(IF(AND(COUNT(AK81,AM81,AN81,AO81)=4,(AK86+AM86+AN86+AO86)&lt;&gt;0),(AK81+AM81+AN81+AO81)/-(AK86+AM86+AN86+AO86),""),"")</f>
        <v/>
      </c>
      <c r="AP344" s="262" t="str">
        <f>IFERROR(IF(AND(COUNT(AM81,AN81,AO81,AP81)=4,(AM86+AN86+AO86+AP86)&lt;&gt;0),(AM81+AN81+AO81+AP81)/-(AM86+AN86+AO86+AP86),""),"")</f>
        <v/>
      </c>
      <c r="AQ344" s="262" t="str">
        <f>IFERROR(IF(AND(COUNT(AM81,AN81,AO81,AP81)=4,(AM86+AN86+AO86+AP86)&lt;&gt;0),(AM81+AN81+AO81+AP81)/-(AM86+AN86+AO86+AP86),""),"")</f>
        <v/>
      </c>
      <c r="AR344" s="262" t="str">
        <f>IFERROR(IF(AND(COUNT(AN81,AO81,AP81,AR81)=4,(AN86+AO86+AP86+AR86)&lt;&gt;0),(AN81+AO81+AP81+AR81)/-(AN86+AO86+AP86+AR86),""),"")</f>
        <v/>
      </c>
      <c r="AS344" s="262" t="str">
        <f>IFERROR(IF(AND(COUNT(AO81,AP81,AR81,AS81)=4,(AO86+AP86+AR86+AS86)&lt;&gt;0),(AO81+AP81+AR81+AS81)/-(AO86+AP86+AR86+AS86),""),"")</f>
        <v/>
      </c>
      <c r="AT344" s="262" t="str">
        <f>IFERROR(IF(AND(COUNT(AP81,AR81,AS81,AT81)=4,(AP86+AR86+AS86+AT86)&lt;&gt;0),(AP81+AR81+AS81+AT81)/-(AP86+AR86+AS86+AT86),""),"")</f>
        <v/>
      </c>
      <c r="AU344" s="262" t="str">
        <f>IFERROR(IF(AND(COUNT(AR81,AS81,AT81,AU81)=4,(AR86+AS86+AT86+AU86)&lt;&gt;0),(AR81+AS81+AT81+AU81)/-(AR86+AS86+AT86+AU86),""),"")</f>
        <v/>
      </c>
      <c r="AV344" s="262" t="str">
        <f>IFERROR(IF(AND(COUNT(AR81,AS81,AT81,AU81)=4,(AR86+AS86+AT86+AU86)&lt;&gt;0),(AR81+AS81+AT81+AU81)/-(AR86+AS86+AT86+AU86),""),"")</f>
        <v/>
      </c>
      <c r="AW344" s="262" t="str">
        <f>IFERROR(IF(AND(COUNT(AS81,AT81,AU81,AW81)=4,(AS86+AT86+AU86+AW86)&lt;&gt;0),(AS81+AT81+AU81+AW81)/-(AS86+AT86+AU86+AW86),""),"")</f>
        <v/>
      </c>
      <c r="AX344" s="262" t="str">
        <f>IFERROR(IF(AND(COUNT(AT81,AU81,AW81,AX81)=4,(AT86+AU86+AW86+AX86)&lt;&gt;0),(AT81+AU81+AW81+AX81)/-(AT86+AU86+AW86+AX86),""),"")</f>
        <v/>
      </c>
      <c r="AY344" s="262" t="str">
        <f>IFERROR(IF(AND(COUNT(AU81,AW81,AX81,AY81)=4,(AU86+AW86+AX86+AY86)&lt;&gt;0),(AU81+AW81+AX81+AY81)/-(AU86+AW86+AX86+AY86),""),"")</f>
        <v/>
      </c>
      <c r="AZ344" s="262" t="str">
        <f>IFERROR(IF(AND(COUNT(AW81,AX81,AY81,AZ81)=4,(AW86+AX86+AY86+AZ86)&lt;&gt;0),(AW81+AX81+AY81+AZ81)/-(AW86+AX86+AY86+AZ86),""),"")</f>
        <v/>
      </c>
      <c r="BA344" s="262" t="str">
        <f>IFERROR(IF(AND(COUNT(AW81,AX81,AY81,AZ81)=4,(AW86+AX86+AY86+AZ86)&lt;&gt;0),(AW81+AX81+AY81+AZ81)/-(AW86+AX86+AY86+AZ86),""),"")</f>
        <v/>
      </c>
      <c r="BB344" s="262" t="str">
        <f>IFERROR(IF(AND(COUNT(AX81,AY81,AZ81,BB81)=4,(AX86+AY86+AZ86+BB86)&lt;&gt;0),(AX81+AY81+AZ81+BB81)/-(AX86+AY86+AZ86+BB86),""),"")</f>
        <v/>
      </c>
      <c r="BC344" s="262" t="str">
        <f>IFERROR(IF(AND(COUNT(AY81,AZ81,BB81,BC81)=4,(AY86+AZ86+BB86+BC86)&lt;&gt;0),(AY81+AZ81+BB81+BC81)/-(AY86+AZ86+BB86+BC86),""),"")</f>
        <v/>
      </c>
      <c r="BD344" s="262" t="str">
        <f>IFERROR(IF(AND(COUNT(AZ81,BB81,BC81,BD81)=4,(AZ86+BB86+BC86+BD86)&lt;&gt;0),(AZ81+BB81+BC81+BD81)/-(AZ86+BB86+BC86+BD86),""),"")</f>
        <v/>
      </c>
      <c r="BE344" s="262" t="str">
        <f>IFERROR(IF(AND(COUNT(BB81,BC81,BD81,BE81)=4,(BB86+BC86+BD86+BE86)&lt;&gt;0),(BB81+BC81+BD81+BE81)/-(BB86+BC86+BD86+BE86),""),"")</f>
        <v/>
      </c>
      <c r="BF344" s="262" t="str">
        <f>IFERROR(IF(AND(COUNT(BB81,BC81,BD81,BE81)=4,(BB86+BC86+BD86+BE86)&lt;&gt;0),(BB81+BC81+BD81+BE81)/-(BB86+BC86+BD86+BE86),""),"")</f>
        <v/>
      </c>
      <c r="BG344" s="82" t="n"/>
      <c r="BH344" s="82" t="n"/>
      <c r="BI344" s="82" t="n"/>
      <c r="BJ344" s="82" t="n"/>
      <c r="BL344" s="82" t="n"/>
      <c r="BM344" s="82" t="n"/>
      <c r="BN344" s="82" t="n"/>
      <c r="BO344" s="82" t="n"/>
      <c r="BQ344" s="82" t="n"/>
      <c r="BR344" s="82" t="n"/>
      <c r="BS344" s="82" t="n"/>
      <c r="BT344" s="82" t="n"/>
      <c r="BV344" s="82" t="n"/>
      <c r="BW344" s="82" t="n"/>
      <c r="BX344" s="82" t="n"/>
      <c r="BY344" s="82" t="n"/>
      <c r="CA344" s="82" t="n"/>
      <c r="CB344" s="82" t="n"/>
      <c r="CC344" s="82" t="n"/>
      <c r="CD344" s="82" t="n"/>
      <c r="CF344" s="82" t="n"/>
      <c r="CG344" s="82" t="n"/>
      <c r="CH344" s="82" t="n"/>
      <c r="CI344" s="82" t="n"/>
      <c r="CK344" s="82" t="n"/>
      <c r="CL344" s="82" t="n"/>
      <c r="CM344" s="82" t="n"/>
      <c r="CN344" s="82" t="n"/>
      <c r="CP344" s="82" t="n"/>
      <c r="CQ344" s="82" t="n"/>
      <c r="CR344" s="82" t="n"/>
      <c r="CS344" s="82" t="n"/>
      <c r="CU344" s="82" t="n"/>
      <c r="CV344" s="82" t="n"/>
      <c r="CW344" s="82" t="n"/>
      <c r="CX344" s="82" t="n"/>
    </row>
    <row r="345" customFormat="1" s="77">
      <c r="A345" s="76" t="n"/>
      <c r="B345" s="76" t="n"/>
      <c r="C345" s="77" t="inlineStr">
        <is>
          <t>(EBITDA - CAPEX) / TOTAL INTEREST (LTM)</t>
        </is>
      </c>
      <c r="D345" s="82" t="str">
        <f>IFERROR((D81-D180)/-D86,"")</f>
        <v/>
      </c>
      <c r="E345" s="82" t="str">
        <f>IFERROR((E81-E180)/-E86,"")</f>
        <v/>
      </c>
      <c r="F345" s="82" t="str">
        <f>IFERROR((F81-F180)/-F86,"")</f>
        <v/>
      </c>
      <c r="G345" s="82" t="str">
        <f>IFERROR((G81-G180)/-G86,"")</f>
        <v/>
      </c>
      <c r="H345" s="262" t="str">
        <f>IFERROR(IF(AND(COUNT(H81)=1,(H86)&lt;&gt;0),((H81)-(H180))/-(H86),""),"")</f>
        <v/>
      </c>
      <c r="I345" s="262" t="str">
        <f>""</f>
        <v/>
      </c>
      <c r="J345" s="262" t="str">
        <f>""</f>
        <v/>
      </c>
      <c r="K345" s="262" t="str">
        <f>""</f>
        <v/>
      </c>
      <c r="L345" s="262">
        <f>IFERROR(IF(AND(COUNT(I81,J81,K81,L81)=4,(I86+J86+K86+L86)&lt;&gt;0),((I81+J81+K81+L81)-(I180+J180+K180+L180))/-(I86+J86+K86+L86),""),"")</f>
        <v>-4.22738883864824</v>
      </c>
      <c r="M345" s="262">
        <f>IFERROR(IF(AND(COUNT(I81,J81,K81,L81)=4,(I86+J86+K86+L86)&lt;&gt;0),((I81+J81+K81+L81)-(I180+J180+K180+L180))/-(I86+J86+K86+L86),""),"")</f>
        <v>-4.22738883864824</v>
      </c>
      <c r="N345" s="262">
        <f>IFERROR(IF(AND(COUNT(J81,K81,L81,N81)=4,(J86+K86+L86+N86)&lt;&gt;0),((J81+K81+L81+N81)-(J180+K180+L180+N180))/-(J86+K86+L86+N86),""),"")</f>
        <v>-4.0431330288757</v>
      </c>
      <c r="O345" s="262">
        <f>IFERROR(IF(AND(COUNT(K81,L81,N81,O81)=4,(K86+L86+N86+O86)&lt;&gt;0),((K81+L81+N81+O81)-(K180+L180+N180+O180))/-(K86+L86+N86+O86),""),"")</f>
        <v>-2.75846209321682</v>
      </c>
      <c r="P345" s="262">
        <f>IFERROR(IF(AND(COUNT(L81,N81,O81,P81)=4,(L86+N86+O86+P86)&lt;&gt;0),((L81+N81+O81+P81)-(L180+N180+O180+P180))/-(L86+N86+O86+P86),""),"")</f>
        <v>-1.35016400002057</v>
      </c>
      <c r="Q345" s="262">
        <f>IFERROR(IF(AND(COUNT(N81,O81,P81,Q81)=4,(N86+O86+P86+Q86)&lt;&gt;0),((N81+O81+P81+Q81)-(N180+O180+P180+Q180))/-(N86+O86+P86+Q86),""),"")</f>
        <v>-0.581538244386044</v>
      </c>
      <c r="R345" s="262">
        <f>IFERROR(IF(AND(COUNT(N81,O81,P81,Q81)=4,(N86+O86+P86+Q86)&lt;&gt;0),((N81+O81+P81+Q81)-(N180+O180+P180+Q180))/-(N86+O86+P86+Q86),""),"")</f>
        <v>-0.581538244386044</v>
      </c>
      <c r="S345" s="262">
        <f>IFERROR(IF(AND(COUNT(O81,P81,Q81,S81)=4,(O86+P86+Q86+S86)&lt;&gt;0),((O81+P81+Q81+S81)-(O180+P180+Q180+S180))/-(O86+P86+Q86+S86),""),"")</f>
        <v>-0.0896024229568746</v>
      </c>
      <c r="T345" s="262">
        <f>IFERROR(IF(AND(COUNT(P81,Q81,S81,T81)=4,(P86+Q86+S86+T86)&lt;&gt;0),((P81+Q81+S81+T81)-(P180+Q180+S180+T180))/-(P86+Q86+S86+T86),""),"")</f>
        <v>0.731165353404919</v>
      </c>
      <c r="U345" s="262">
        <f>IFERROR(IF(AND(COUNT(Q81,S81,T81,U81)=4,(Q86+S86+T86+U86)&lt;&gt;0),((Q81+S81+T81+U81)-(Q180+S180+T180+U180))/-(Q86+S86+T86+U86),""),"")</f>
        <v>0.491242268912669</v>
      </c>
      <c r="V345" s="262">
        <f>IFERROR(IF(AND(COUNT(S81,T81,U81,V81)=4,(S86+T86+U86+V86)&lt;&gt;0),((S81+T81+U81+V81)-(S180+T180+U180+V180))/-(S86+T86+U86+V86),""),"")</f>
        <v>-0.646657108520103</v>
      </c>
      <c r="W345" s="262">
        <f>IFERROR(IF(AND(COUNT(S81,T81,U81,V81)=4,(S86+T86+U86+V86)&lt;&gt;0),((S81+T81+U81+V81)-(S180+T180+U180+V180))/-(S86+T86+U86+V86),""),"")</f>
        <v>-0.646657108520103</v>
      </c>
      <c r="X345" s="262">
        <f>IFERROR(IF(AND(COUNT(T81,U81,V81,X81)=4,(T86+U86+V86+X86)&lt;&gt;0),((T81+U81+V81+X81)-(T180+U180+V180+X180))/-(T86+U86+V86+X86),""),"")</f>
        <v>-0.868883550067392</v>
      </c>
      <c r="Y345" s="262">
        <f>IFERROR(IF(AND(COUNT(U81,V81,X81,Y81)=4,(U86+V86+X86+Y86)&lt;&gt;0),((U81+V81+X81+Y81)-(U180+V180+X180+Y180))/-(U86+V86+X86+Y86),""),"")</f>
        <v>-1.03075920821849</v>
      </c>
      <c r="Z345" s="262">
        <f>IFERROR(IF(AND(COUNT(V81,X81,Y81,Z81)=4,(V86+X86+Y86+Z86)&lt;&gt;0),((V81+X81+Y81+Z81)-(V180+X180+Y180+Z180))/-(V86+X86+Y86+Z86),""),"")</f>
        <v>-0.746067290957861</v>
      </c>
      <c r="AA345" s="262">
        <f>IFERROR(IF(AND(COUNT(X81,Y81,Z81,AA81)=4,(X86+Y86+Z86+AA86)&lt;&gt;0),((X81+Y81+Z81+AA81)-(X180+Y180+Z180+AA180))/-(X86+Y86+Z86+AA86),""),"")</f>
        <v>-0.243806380016186</v>
      </c>
      <c r="AB345" s="262">
        <f>IFERROR(IF(AND(COUNT(X81,Y81,Z81,AA81)=4,(X86+Y86+Z86+AA86)&lt;&gt;0),((X81+Y81+Z81+AA81)-(X180+Y180+Z180+AA180))/-(X86+Y86+Z86+AA86),""),"")</f>
        <v>-0.243806380016186</v>
      </c>
      <c r="AC345" s="262">
        <f>IFERROR(IF(AND(COUNT(Y81,Z81,AA81,AC81)=4,(Y86+Z86+AA86+AC86)&lt;&gt;0),((Y81+Z81+AA81+AC81)-(Y180+Z180+AA180+AC180))/-(Y86+Z86+AA86+AC86),""),"")</f>
        <v>0.308254302174104</v>
      </c>
      <c r="AD345" s="262">
        <f>IFERROR(IF(AND(COUNT(Z81,AA81,AC81,AD81)=4,(Z86+AA86+AC86+AD86)&lt;&gt;0),((Z81+AA81+AC81+AD81)-(Z180+AA180+AC180+AD180))/-(Z86+AA86+AC86+AD86),""),"")</f>
        <v>0.216544455486975</v>
      </c>
      <c r="AE345" s="262">
        <f>IFERROR(IF(AND(COUNT(AA81,AC81,AD81,AE81)=4,(AA86+AC86+AD86+AE86)&lt;&gt;0),((AA81+AC81+AD81+AE81)-(AA180+AC180+AD180+AE180))/-(AA86+AC86+AD86+AE86),""),"")</f>
        <v>0.381769518136775</v>
      </c>
      <c r="AF345" s="262">
        <f>IFERROR(IF(AND(COUNT(AB81,AD81,AE81,AF81)=4,(AB86+AD86+AE86+AF86)&lt;&gt;0),((AB81+AD81+AE81+AF81)-(AB180+AD180+AE180+AF180))/-(AB86+AD86+AE86+AF86),""),"")</f>
        <v>0.669164628599567</v>
      </c>
      <c r="AG345" s="262">
        <f>IFERROR(IF(AND(COUNT(AC81,AD81,AE81,AF81)=4,(AC86+AD86+AE86+AF86)&lt;&gt;0),((AC81+AD81+AE81+AF81)-(AC180+AD180+AE180+AF180))/-(AC86+AD86+AE86+AF86),""),"")</f>
        <v>0.280992274407856</v>
      </c>
      <c r="AH345" s="262">
        <f>IFERROR(IF(AND(COUNT(AD81,AF81,AG81,AH81)=4,(AD86+AF86+AG86+AH86)&lt;&gt;0),((AD81+AF81+AG81+AH81)-(AD180+AF180+AG180+AH180))/-(AD86+AF86+AG86+AH86),""),"")</f>
        <v>0.178404630945884</v>
      </c>
      <c r="AI345" s="262">
        <f>IFERROR(IF(AND(COUNT(AE81,AG81,AH81,AI81)=4,(AE86+AG86+AH86+AI86)&lt;&gt;0),((AE81+AG81+AH81+AI81)-(AE180+AG180+AH180+AI180))/-(AE86+AG86+AH86+AI86),""),"")</f>
        <v>0.425974810251913</v>
      </c>
      <c r="AJ345" s="262" t="str">
        <f>IFERROR(IF(AND(COUNT(AF81,AH81,AI81,AJ81)=4,(AF86+AH86+AI86+AJ86)&lt;&gt;0),((AF81+AH81+AI81+AJ81)-(AF180+AH180+AI180+AJ180))/-(AF86+AH86+AI86+AJ86),""),"")</f>
        <v/>
      </c>
      <c r="AK345" s="262" t="str">
        <f>IFERROR(IF(AND(COUNT(AH81,AI81,AJ81,AK81)=4,(AH86+AI86+AJ86+AK86)&lt;&gt;0),((AH81+AI81+AJ81+AK81)-(AH180+AI180+AJ180+AK180))/-(AH86+AI86+AJ86+AK86),""),"")</f>
        <v/>
      </c>
      <c r="AL345" s="262" t="str">
        <f>IFERROR(IF(AND(COUNT(AH81,AI81,AJ81,AK81)=4,(AH86+AI86+AJ86+AK86)&lt;&gt;0),((AH81+AI81+AJ81+AK81)-(AH180+AI180+AJ180+AK180))/-(AH86+AI86+AJ86+AK86),""),"")</f>
        <v/>
      </c>
      <c r="AM345" s="262" t="str">
        <f>IFERROR(IF(AND(COUNT(AI81,AJ81,AK81,AM81)=4,(AI86+AJ86+AK86+AM86)&lt;&gt;0),((AI81+AJ81+AK81+AM81)-(AI180+AJ180+AK180+AM180))/-(AI86+AJ86+AK86+AM86),""),"")</f>
        <v/>
      </c>
      <c r="AN345" s="262" t="str">
        <f>IFERROR(IF(AND(COUNT(AJ81,AK81,AM81,AN81)=4,(AJ86+AK86+AM86+AN86)&lt;&gt;0),((AJ81+AK81+AM81+AN81)-(AJ180+AK180+AM180+AN180))/-(AJ86+AK86+AM86+AN86),""),"")</f>
        <v/>
      </c>
      <c r="AO345" s="262" t="str">
        <f>IFERROR(IF(AND(COUNT(AK81,AM81,AN81,AO81)=4,(AK86+AM86+AN86+AO86)&lt;&gt;0),((AK81+AM81+AN81+AO81)-(AK180+AM180+AN180+AO180))/-(AK86+AM86+AN86+AO86),""),"")</f>
        <v/>
      </c>
      <c r="AP345" s="262" t="str">
        <f>IFERROR(IF(AND(COUNT(AM81,AN81,AO81,AP81)=4,(AM86+AN86+AO86+AP86)&lt;&gt;0),((AM81+AN81+AO81+AP81)-(AM180+AN180+AO180+AP180))/-(AM86+AN86+AO86+AP86),""),"")</f>
        <v/>
      </c>
      <c r="AQ345" s="262" t="str">
        <f>IFERROR(IF(AND(COUNT(AM81,AN81,AO81,AP81)=4,(AM86+AN86+AO86+AP86)&lt;&gt;0),((AM81+AN81+AO81+AP81)-(AM180+AN180+AO180+AP180))/-(AM86+AN86+AO86+AP86),""),"")</f>
        <v/>
      </c>
      <c r="AR345" s="262" t="str">
        <f>IFERROR(IF(AND(COUNT(AN81,AO81,AP81,AR81)=4,(AN86+AO86+AP86+AR86)&lt;&gt;0),((AN81+AO81+AP81+AR81)-(AN180+AO180+AP180+AR180))/-(AN86+AO86+AP86+AR86),""),"")</f>
        <v/>
      </c>
      <c r="AS345" s="262" t="str">
        <f>IFERROR(IF(AND(COUNT(AO81,AP81,AR81,AS81)=4,(AO86+AP86+AR86+AS86)&lt;&gt;0),((AO81+AP81+AR81+AS81)-(AO180+AP180+AR180+AS180))/-(AO86+AP86+AR86+AS86),""),"")</f>
        <v/>
      </c>
      <c r="AT345" s="262" t="str">
        <f>IFERROR(IF(AND(COUNT(AP81,AR81,AS81,AT81)=4,(AP86+AR86+AS86+AT86)&lt;&gt;0),((AP81+AR81+AS81+AT81)-(AP180+AR180+AS180+AT180))/-(AP86+AR86+AS86+AT86),""),"")</f>
        <v/>
      </c>
      <c r="AU345" s="262" t="str">
        <f>IFERROR(IF(AND(COUNT(AR81,AS81,AT81,AU81)=4,(AR86+AS86+AT86+AU86)&lt;&gt;0),((AR81+AS81+AT81+AU81)-(AR180+AS180+AT180+AU180))/-(AR86+AS86+AT86+AU86),""),"")</f>
        <v/>
      </c>
      <c r="AV345" s="262" t="str">
        <f>IFERROR(IF(AND(COUNT(AR81,AS81,AT81,AU81)=4,(AR86+AS86+AT86+AU86)&lt;&gt;0),((AR81+AS81+AT81+AU81)-(AR180+AS180+AT180+AU180))/-(AR86+AS86+AT86+AU86),""),"")</f>
        <v/>
      </c>
      <c r="AW345" s="262" t="str">
        <f>IFERROR(IF(AND(COUNT(AS81,AT81,AU81,AW81)=4,(AS86+AT86+AU86+AW86)&lt;&gt;0),((AS81+AT81+AU81+AW81)-(AS180+AT180+AU180+AW180))/-(AS86+AT86+AU86+AW86),""),"")</f>
        <v/>
      </c>
      <c r="AX345" s="262" t="str">
        <f>IFERROR(IF(AND(COUNT(AT81,AU81,AW81,AX81)=4,(AT86+AU86+AW86+AX86)&lt;&gt;0),((AT81+AU81+AW81+AX81)-(AT180+AU180+AW180+AX180))/-(AT86+AU86+AW86+AX86),""),"")</f>
        <v/>
      </c>
      <c r="AY345" s="262" t="str">
        <f>IFERROR(IF(AND(COUNT(AU81,AW81,AX81,AY81)=4,(AU86+AW86+AX86+AY86)&lt;&gt;0),((AU81+AW81+AX81+AY81)-(AU180+AW180+AX180+AY180))/-(AU86+AW86+AX86+AY86),""),"")</f>
        <v/>
      </c>
      <c r="AZ345" s="262" t="str">
        <f>IFERROR(IF(AND(COUNT(AW81,AX81,AY81,AZ81)=4,(AW86+AX86+AY86+AZ86)&lt;&gt;0),((AW81+AX81+AY81+AZ81)-(AW180+AX180+AY180+AZ180))/-(AW86+AX86+AY86+AZ86),""),"")</f>
        <v/>
      </c>
      <c r="BA345" s="262" t="str">
        <f>IFERROR(IF(AND(COUNT(AW81,AX81,AY81,AZ81)=4,(AW86+AX86+AY86+AZ86)&lt;&gt;0),((AW81+AX81+AY81+AZ81)-(AW180+AX180+AY180+AZ180))/-(AW86+AX86+AY86+AZ86),""),"")</f>
        <v/>
      </c>
      <c r="BB345" s="262" t="str">
        <f>IFERROR(IF(AND(COUNT(AX81,AY81,AZ81,BB81)=4,(AX86+AY86+AZ86+BB86)&lt;&gt;0),((AX81+AY81+AZ81+BB81)-(AX180+AY180+AZ180+BB180))/-(AX86+AY86+AZ86+BB86),""),"")</f>
        <v/>
      </c>
      <c r="BC345" s="262" t="str">
        <f>IFERROR(IF(AND(COUNT(AY81,AZ81,BB81,BC81)=4,(AY86+AZ86+BB86+BC86)&lt;&gt;0),((AY81+AZ81+BB81+BC81)-(AY180+AZ180+BB180+BC180))/-(AY86+AZ86+BB86+BC86),""),"")</f>
        <v/>
      </c>
      <c r="BD345" s="262" t="str">
        <f>IFERROR(IF(AND(COUNT(AZ81,BB81,BC81,BD81)=4,(AZ86+BB86+BC86+BD86)&lt;&gt;0),((AZ81+BB81+BC81+BD81)-(AZ180+BB180+BC180+BD180))/-(AZ86+BB86+BC86+BD86),""),"")</f>
        <v/>
      </c>
      <c r="BE345" s="262" t="str">
        <f>IFERROR(IF(AND(COUNT(BB81,BC81,BD81,BE81)=4,(BB86+BC86+BD86+BE86)&lt;&gt;0),((BB81+BC81+BD81+BE81)-(BB180+BC180+BD180+BE180))/-(BB86+BC86+BD86+BE86),""),"")</f>
        <v/>
      </c>
      <c r="BF345" s="262" t="str">
        <f>IFERROR(IF(AND(COUNT(BB81,BC81,BD81,BE81)=4,(BB86+BC86+BD86+BE86)&lt;&gt;0),((BB81+BC81+BD81+BE81)-(BB180+BC180+BD180+BE180))/-(BB86+BC86+BD86+BE86),""),"")</f>
        <v/>
      </c>
      <c r="BG345" s="82" t="n"/>
      <c r="BH345" s="82" t="n"/>
      <c r="BI345" s="82" t="n"/>
      <c r="BJ345" s="82" t="n"/>
      <c r="BL345" s="82" t="n"/>
      <c r="BM345" s="82" t="n"/>
      <c r="BN345" s="82" t="n"/>
      <c r="BO345" s="82" t="n"/>
      <c r="BQ345" s="82" t="n"/>
      <c r="BR345" s="82" t="n"/>
      <c r="BS345" s="82" t="n"/>
      <c r="BT345" s="82" t="n"/>
      <c r="BV345" s="82" t="n"/>
      <c r="BW345" s="82" t="n"/>
      <c r="BX345" s="82" t="n"/>
      <c r="BY345" s="82" t="n"/>
      <c r="CA345" s="82" t="n"/>
      <c r="CB345" s="82" t="n"/>
      <c r="CC345" s="82" t="n"/>
      <c r="CD345" s="82" t="n"/>
      <c r="CF345" s="82" t="n"/>
      <c r="CG345" s="82" t="n"/>
      <c r="CH345" s="82" t="n"/>
      <c r="CI345" s="82" t="n"/>
      <c r="CK345" s="82" t="n"/>
      <c r="CL345" s="82" t="n"/>
      <c r="CM345" s="82" t="n"/>
      <c r="CN345" s="82" t="n"/>
      <c r="CP345" s="82" t="n"/>
      <c r="CQ345" s="82" t="n"/>
      <c r="CR345" s="82" t="n"/>
      <c r="CS345" s="82" t="n"/>
      <c r="CU345" s="82" t="n"/>
      <c r="CV345" s="82" t="n"/>
      <c r="CW345" s="82" t="n"/>
      <c r="CX345" s="82" t="n"/>
    </row>
    <row r="346" customFormat="1" s="77">
      <c r="A346" s="76" t="n"/>
      <c r="B346" s="76" t="n"/>
      <c r="C346" s="77" t="inlineStr">
        <is>
          <t>TOTAL DEBT / EBITDA (LTM)</t>
        </is>
      </c>
      <c r="D346" s="82" t="str">
        <f>IFERROR(SUM(D224,D225,D226,D229,D247,D250)/D81,"")</f>
        <v/>
      </c>
      <c r="E346" s="82" t="str">
        <f>IFERROR(SUM(E224,E225,E226,E229,E247,E250)/E81,"")</f>
        <v/>
      </c>
      <c r="F346" s="82" t="str">
        <f>IFERROR(SUM(F224,F225,F226,F229,F247,F250)/F81,"")</f>
        <v/>
      </c>
      <c r="G346" s="82" t="str">
        <f>IFERROR(SUM(G224,G225,G226,G229,G247,G250)/G81,"")</f>
        <v/>
      </c>
      <c r="H346" s="262" t="str">
        <f>IFERROR(IF(AND(COUNT(H81)=1,(H81)&lt;&gt;0),(N(H224)+N(H225)+N(H226)+N(H229)+N(H247)+N(H250))/(H81),""),"")</f>
        <v/>
      </c>
      <c r="I346" s="262" t="str">
        <f>""</f>
        <v/>
      </c>
      <c r="J346" s="262" t="str">
        <f>""</f>
        <v/>
      </c>
      <c r="K346" s="262" t="str">
        <f>""</f>
        <v/>
      </c>
      <c r="L346" s="262">
        <f>IFERROR(IF(AND(COUNT(I81,J81,K81,L81)=4,(I81+J81+K81+L81)&lt;&gt;0),(N(L224)+N(L225)+N(L226)+N(L229)+N(L247)+N(L250))/(I81+J81+K81+L81),""),"")</f>
        <v>7.0887019883955</v>
      </c>
      <c r="M346" s="262">
        <f>IFERROR(IF(AND(COUNT(I81,J81,K81,L81)=4,(I81+J81+K81+L81)&lt;&gt;0),(N(M224)+N(M225)+N(M226)+N(M229)+N(M247)+N(M250))/(I81+J81+K81+L81),""),"")</f>
        <v>7.0887019883955</v>
      </c>
      <c r="N346" s="262">
        <f>IFERROR(IF(AND(COUNT(J81,K81,L81,N81)=4,(J81+K81+L81+N81)&lt;&gt;0),(N(N224)+N(N225)+N(N226)+N(N229)+N(N247)+N(N250))/(J81+K81+L81+N81),""),"")</f>
        <v>5.25396211886906</v>
      </c>
      <c r="O346" s="262">
        <f>IFERROR(IF(AND(COUNT(K81,L81,N81,O81)=4,(K81+L81+N81+O81)&lt;&gt;0),(N(O224)+N(O225)+N(O226)+N(O229)+N(O247)+N(O250))/(K81+L81+N81+O81),""),"")</f>
        <v>5.0134876449006</v>
      </c>
      <c r="P346" s="262">
        <f>IFERROR(IF(AND(COUNT(L81,N81,O81,P81)=4,(L81+N81+O81+P81)&lt;&gt;0),(N(P224)+N(P225)+N(P226)+N(P229)+N(P247)+N(P250))/(L81+N81+O81+P81),""),"")</f>
        <v>5.65972317675037</v>
      </c>
      <c r="Q346" s="262">
        <f>IFERROR(IF(AND(COUNT(N81,O81,P81,Q81)=4,(N81+O81+P81+Q81)&lt;&gt;0),(N(Q224)+N(Q225)+N(Q226)+N(Q229)+N(Q247)+N(Q250))/(N81+O81+P81+Q81),""),"")</f>
        <v>5.00166669857418</v>
      </c>
      <c r="R346" s="262">
        <f>IFERROR(IF(AND(COUNT(N81,O81,P81,Q81)=4,(N81+O81+P81+Q81)&lt;&gt;0),(N(R224)+N(R225)+N(R226)+N(R229)+N(R247)+N(R250))/(N81+O81+P81+Q81),""),"")</f>
        <v>5.00166669857418</v>
      </c>
      <c r="S346" s="262">
        <f>IFERROR(IF(AND(COUNT(O81,P81,Q81,S81)=4,(O81+P81+Q81+S81)&lt;&gt;0),(N(S224)+N(S225)+N(S226)+N(S229)+N(S247)+N(S250))/(O81+P81+Q81+S81),""),"")</f>
        <v>4.29883347609646</v>
      </c>
      <c r="T346" s="262">
        <f>IFERROR(IF(AND(COUNT(P81,Q81,S81,T81)=4,(P81+Q81+S81+T81)&lt;&gt;0),(N(T224)+N(T225)+N(T226)+N(T229)+N(T247)+N(T250))/(P81+Q81+S81+T81),""),"")</f>
        <v>3.94384958328097</v>
      </c>
      <c r="U346" s="262">
        <f>IFERROR(IF(AND(COUNT(Q81,S81,T81,U81)=4,(Q81+S81+T81+U81)&lt;&gt;0),(N(U224)+N(U225)+N(U226)+N(U229)+N(U247)+N(U250))/(Q81+S81+T81+U81),""),"")</f>
        <v>3.93297098699328</v>
      </c>
      <c r="V346" s="262">
        <f>IFERROR(IF(AND(COUNT(S81,T81,U81,V81)=4,(S81+T81+U81+V81)&lt;&gt;0),(N(V224)+N(V225)+N(V226)+N(V229)+N(V247)+N(V250))/(S81+T81+U81+V81),""),"")</f>
        <v>4.38990487615783</v>
      </c>
      <c r="W346" s="262">
        <f>IFERROR(IF(AND(COUNT(S81,T81,U81,V81)=4,(S81+T81+U81+V81)&lt;&gt;0),(N(W224)+N(W225)+N(W226)+N(W229)+N(W247)+N(W250))/(S81+T81+U81+V81),""),"")</f>
        <v>4.38990487615783</v>
      </c>
      <c r="X346" s="262">
        <f>IFERROR(IF(AND(COUNT(T81,U81,V81,X81)=4,(T81+U81+V81+X81)&lt;&gt;0),(N(X224)+N(X225)+N(X226)+N(X229)+N(X247)+N(X250))/(T81+U81+V81+X81),""),"")</f>
        <v>4.40808450242324</v>
      </c>
      <c r="Y346" s="262">
        <f>IFERROR(IF(AND(COUNT(U81,V81,X81,Y81)=4,(U81+V81+X81+Y81)&lt;&gt;0),(N(Y224)+N(Y225)+N(Y226)+N(Y229)+N(Y247)+N(Y250))/(U81+V81+X81+Y81),""),"")</f>
        <v>4.55319322694866</v>
      </c>
      <c r="Z346" s="262">
        <f>IFERROR(IF(AND(COUNT(V81,X81,Y81,Z81)=4,(V81+X81+Y81+Z81)&lt;&gt;0),(N(Z224)+N(Z225)+N(Z226)+N(Z229)+N(Z247)+N(Z250))/(V81+X81+Y81+Z81),""),"")</f>
        <v>4.37947016144462</v>
      </c>
      <c r="AA346" s="262">
        <f>IFERROR(IF(AND(COUNT(X81,Y81,Z81,AA81)=4,(X81+Y81+Z81+AA81)&lt;&gt;0),(N(AA224)+N(AA225)+N(AA226)+N(AA229)+N(AA247)+N(AA250))/(X81+Y81+Z81+AA81),""),"")</f>
        <v>4.36577693278268</v>
      </c>
      <c r="AB346" s="262">
        <f>IFERROR(IF(AND(COUNT(X81,Y81,Z81,AA81)=4,(X81+Y81+Z81+AA81)&lt;&gt;0),(N(AB224)+N(AB225)+N(AB226)+N(AB229)+N(AB247)+N(AB250))/(X81+Y81+Z81+AA81),""),"")</f>
        <v>4.36577693278268</v>
      </c>
      <c r="AC346" s="262">
        <f>IFERROR(IF(AND(COUNT(Y81,Z81,AA81,AC81)=4,(Y81+Z81+AA81+AC81)&lt;&gt;0),(N(AC224)+N(AC225)+N(AC226)+N(AC229)+N(AC247)+N(AC250))/(Y81+Z81+AA81+AC81),""),"")</f>
        <v>4.01224372907273</v>
      </c>
      <c r="AD346" s="262">
        <f>IFERROR(IF(AND(COUNT(Z81,AA81,AC81,AD81)=4,(Z81+AA81+AC81+AD81)&lt;&gt;0),(N(AD224)+N(AD225)+N(AD226)+N(AD229)+N(AD247)+N(AD250))/(Z81+AA81+AC81+AD81),""),"")</f>
        <v>3.74620561394254</v>
      </c>
      <c r="AE346" s="262">
        <f>IFERROR(IF(AND(COUNT(AA81,AC81,AD81,AE81)=4,(AA81+AC81+AD81+AE81)&lt;&gt;0),(N(AE224)+N(AE225)+N(AE226)+N(AE229)+N(AE247)+N(AE250))/(AA81+AC81+AD81+AE81),""),"")</f>
        <v>3.4409694893197</v>
      </c>
      <c r="AF346" s="262">
        <f>IFERROR(IF(AND(COUNT(AB81,AD81,AE81,AF81)=4,(AB81+AD81+AE81+AF81)&lt;&gt;0),(N(AF224)+N(AF225)+N(AF226)+N(AF229)+N(AF247)+N(AF250))/(AB81+AD81+AE81+AF81),""),"")</f>
        <v>2.42334320169699</v>
      </c>
      <c r="AG346" s="262">
        <f>IFERROR(IF(AND(COUNT(AC81,AD81,AE81,AF81)=4,(AC81+AD81+AE81+AF81)&lt;&gt;0),(N(AG224)+N(AG225)+N(AG226)+N(AG229)+N(AG247)+N(AG250))/(AC81+AD81+AE81+AF81),""),"")</f>
        <v>3.85629332517022</v>
      </c>
      <c r="AH346" s="262">
        <f>IFERROR(IF(AND(COUNT(AD81,AF81,AG81,AH81)=4,(AD81+AF81+AG81+AH81)&lt;&gt;0),(N(AH224)+N(AH225)+N(AH226)+N(AH229)+N(AH247)+N(AH250))/(AD81+AF81+AG81+AH81),""),"")</f>
        <v>2.33598585671374</v>
      </c>
      <c r="AI346" s="262">
        <f>IFERROR(IF(AND(COUNT(AE81,AG81,AH81,AI81)=4,(AE81+AG81+AH81+AI81)&lt;&gt;0),(N(AI224)+N(AI225)+N(AI226)+N(AI229)+N(AI247)+N(AI250))/(AE81+AG81+AH81+AI81),""),"")</f>
        <v>2.28504138386933</v>
      </c>
      <c r="AJ346" s="262">
        <f>IFERROR(IF(AND(COUNT(AF81,AH81,AI81,AJ81)=4,(AF81+AH81+AI81+AJ81)&lt;&gt;0),(N(AJ224)+N(AJ225)+N(AJ226)+N(AJ229)+N(AJ247)+N(AJ250))/(AF81+AH81+AI81+AJ81),""),"")</f>
        <v>3.73471482331258</v>
      </c>
      <c r="AK346" s="262">
        <f>IFERROR(IF(AND(COUNT(AH81,AI81,AJ81,AK81)=4,(AH81+AI81+AJ81+AK81)&lt;&gt;0),(N(AK224)+N(AK225)+N(AK226)+N(AK229)+N(AK247)+N(AK250))/(AH81+AI81+AJ81+AK81),""),"")</f>
        <v>3.68060641129899</v>
      </c>
      <c r="AL346" s="262">
        <f>IFERROR(IF(AND(COUNT(AH81,AI81,AJ81,AK81)=4,(AH81+AI81+AJ81+AK81)&lt;&gt;0),(N(AL224)+N(AL225)+N(AL226)+N(AL229)+N(AL247)+N(AL250))/(AH81+AI81+AJ81+AK81),""),"")</f>
        <v>3.68060641129899</v>
      </c>
      <c r="AM346" s="262">
        <f>IFERROR(IF(AND(COUNT(AI81,AJ81,AK81,AM81)=4,(AI81+AJ81+AK81+AM81)&lt;&gt;0),(N(AM224)+N(AM225)+N(AM226)+N(AM229)+N(AM247)+N(AM250))/(AI81+AJ81+AK81+AM81),""),"")</f>
        <v>3.64244569444156</v>
      </c>
      <c r="AN346" s="262">
        <f>IFERROR(IF(AND(COUNT(AJ81,AK81,AM81,AN81)=4,(AJ81+AK81+AM81+AN81)&lt;&gt;0),(N(AN224)+N(AN225)+N(AN226)+N(AN229)+N(AN247)+N(AN250))/(AJ81+AK81+AM81+AN81),""),"")</f>
        <v>3.67432452784329</v>
      </c>
      <c r="AO346" s="262">
        <f>IFERROR(IF(AND(COUNT(AK81,AM81,AN81,AO81)=4,(AK81+AM81+AN81+AO81)&lt;&gt;0),(N(AO224)+N(AO225)+N(AO226)+N(AO229)+N(AO247)+N(AO250))/(AK81+AM81+AN81+AO81),""),"")</f>
        <v>3.60500179835986</v>
      </c>
      <c r="AP346" s="262">
        <f>IFERROR(IF(AND(COUNT(AM81,AN81,AO81,AP81)=4,(AM81+AN81+AO81+AP81)&lt;&gt;0),(N(AP224)+N(AP225)+N(AP226)+N(AP229)+N(AP247)+N(AP250))/(AM81+AN81+AO81+AP81),""),"")</f>
        <v>3.54010672206155</v>
      </c>
      <c r="AQ346" s="262">
        <f>IFERROR(IF(AND(COUNT(AM81,AN81,AO81,AP81)=4,(AM81+AN81+AO81+AP81)&lt;&gt;0),(N(AQ224)+N(AQ225)+N(AQ226)+N(AQ229)+N(AQ247)+N(AQ250))/(AM81+AN81+AO81+AP81),""),"")</f>
        <v>3.54010672206155</v>
      </c>
      <c r="AR346" s="262">
        <f>IFERROR(IF(AND(COUNT(AN81,AO81,AP81,AR81)=4,(AN81+AO81+AP81+AR81)&lt;&gt;0),(N(AR224)+N(AR225)+N(AR226)+N(AR229)+N(AR247)+N(AR250))/(AN81+AO81+AP81+AR81),""),"")</f>
        <v>3.47961883719513</v>
      </c>
      <c r="AS346" s="262">
        <f>IFERROR(IF(AND(COUNT(AO81,AP81,AR81,AS81)=4,(AO81+AP81+AR81+AS81)&lt;&gt;0),(N(AS224)+N(AS225)+N(AS226)+N(AS229)+N(AS247)+N(AS250))/(AO81+AP81+AR81+AS81),""),"")</f>
        <v>3.42138850402028</v>
      </c>
      <c r="AT346" s="262">
        <f>IFERROR(IF(AND(COUNT(AP81,AR81,AS81,AT81)=4,(AP81+AR81+AS81+AT81)&lt;&gt;0),(N(AT224)+N(AT225)+N(AT226)+N(AT229)+N(AT247)+N(AT250))/(AP81+AR81+AS81+AT81),""),"")</f>
        <v>3.36084593873943</v>
      </c>
      <c r="AU346" s="262">
        <f>IFERROR(IF(AND(COUNT(AR81,AS81,AT81,AU81)=4,(AR81+AS81+AT81+AU81)&lt;&gt;0),(N(AU224)+N(AU225)+N(AU226)+N(AU229)+N(AU247)+N(AU250))/(AR81+AS81+AT81+AU81),""),"")</f>
        <v>3.30403906994118</v>
      </c>
      <c r="AV346" s="262">
        <f>IFERROR(IF(AND(COUNT(AR81,AS81,AT81,AU81)=4,(AR81+AS81+AT81+AU81)&lt;&gt;0),(N(AV224)+N(AV225)+N(AV226)+N(AV229)+N(AV247)+N(AV250))/(AR81+AS81+AT81+AU81),""),"")</f>
        <v>3.30403906994118</v>
      </c>
      <c r="AW346" s="262">
        <f>IFERROR(IF(AND(COUNT(AS81,AT81,AU81,AW81)=4,(AS81+AT81+AU81+AW81)&lt;&gt;0),(N(AW224)+N(AW225)+N(AW226)+N(AW229)+N(AW247)+N(AW250))/(AS81+AT81+AU81+AW81),""),"")</f>
        <v>3.25147260709975</v>
      </c>
      <c r="AX346" s="262">
        <f>IFERROR(IF(AND(COUNT(AT81,AU81,AW81,AX81)=4,(AT81+AU81+AW81+AX81)&lt;&gt;0),(N(AX224)+N(AX225)+N(AX226)+N(AX229)+N(AX247)+N(AX250))/(AT81+AU81+AW81+AX81),""),"")</f>
        <v>3.20074901051212</v>
      </c>
      <c r="AY346" s="262">
        <f>IFERROR(IF(AND(COUNT(AU81,AW81,AX81,AY81)=4,(AU81+AW81+AX81+AY81)&lt;&gt;0),(N(AY224)+N(AY225)+N(AY226)+N(AY229)+N(AY247)+N(AY250))/(AU81+AW81+AX81+AY81),""),"")</f>
        <v>3.14788699882467</v>
      </c>
      <c r="AZ346" s="262">
        <f>IFERROR(IF(AND(COUNT(AW81,AX81,AY81,AZ81)=4,(AW81+AX81+AY81+AZ81)&lt;&gt;0),(N(AZ224)+N(AZ225)+N(AZ226)+N(AZ229)+N(AZ247)+N(AZ250))/(AW81+AX81+AY81+AZ81),""),"")</f>
        <v>3.09817116535664</v>
      </c>
      <c r="BA346" s="262">
        <f>IFERROR(IF(AND(COUNT(AW81,AX81,AY81,AZ81)=4,(AW81+AX81+AY81+AZ81)&lt;&gt;0),(N(BA224)+N(BA225)+N(BA226)+N(BA229)+N(BA247)+N(BA250))/(AW81+AX81+AY81+AZ81),""),"")</f>
        <v>3.09817116535664</v>
      </c>
      <c r="BB346" s="262">
        <f>IFERROR(IF(AND(COUNT(AX81,AY81,AZ81,BB81)=4,(AX81+AY81+AZ81+BB81)&lt;&gt;0),(N(BB224)+N(BB225)+N(BB226)+N(BB229)+N(BB247)+N(BB250))/(AX81+AY81+AZ81+BB81),""),"")</f>
        <v>3.05253436759122</v>
      </c>
      <c r="BC346" s="262">
        <f>IFERROR(IF(AND(COUNT(AY81,AZ81,BB81,BC81)=4,(AY81+AZ81+BB81+BC81)&lt;&gt;0),(N(BC224)+N(BC225)+N(BC226)+N(BC229)+N(BC247)+N(BC250))/(AY81+AZ81+BB81+BC81),""),"")</f>
        <v>3.0083936630901</v>
      </c>
      <c r="BD346" s="262">
        <f>IFERROR(IF(AND(COUNT(AZ81,BB81,BC81,BD81)=4,(AZ81+BB81+BC81+BD81)&lt;&gt;0),(N(BD224)+N(BD225)+N(BD226)+N(BD229)+N(BD247)+N(BD250))/(AZ81+BB81+BC81+BD81),""),"")</f>
        <v>2.96228315797836</v>
      </c>
      <c r="BE346" s="262">
        <f>IFERROR(IF(AND(COUNT(BB81,BC81,BD81,BE81)=4,(BB81+BC81+BD81+BE81)&lt;&gt;0),(N(BE224)+N(BE225)+N(BE226)+N(BE229)+N(BE247)+N(BE250))/(BB81+BC81+BD81+BE81),""),"")</f>
        <v>2.91881521719827</v>
      </c>
      <c r="BF346" s="262">
        <f>IFERROR(IF(AND(COUNT(BB81,BC81,BD81,BE81)=4,(BB81+BC81+BD81+BE81)&lt;&gt;0),(N(BF224)+N(BF225)+N(BF226)+N(BF229)+N(BF247)+N(BF250))/(BB81+BC81+BD81+BE81),""),"")</f>
        <v>2.91881521719827</v>
      </c>
      <c r="BG346" s="82" t="n"/>
      <c r="BH346" s="82" t="n"/>
      <c r="BI346" s="82" t="n"/>
      <c r="BJ346" s="82" t="n"/>
      <c r="BL346" s="82" t="n"/>
      <c r="BM346" s="82" t="n"/>
      <c r="BN346" s="82" t="n"/>
      <c r="BO346" s="82" t="n"/>
      <c r="BQ346" s="82" t="n"/>
      <c r="BR346" s="82" t="n"/>
      <c r="BS346" s="82" t="n"/>
      <c r="BT346" s="82" t="n"/>
      <c r="BV346" s="82" t="n"/>
      <c r="BW346" s="82" t="n"/>
      <c r="BX346" s="82" t="n"/>
      <c r="BY346" s="82" t="n"/>
      <c r="CA346" s="82" t="n"/>
      <c r="CB346" s="82" t="n"/>
      <c r="CC346" s="82" t="n"/>
      <c r="CD346" s="82" t="n"/>
      <c r="CF346" s="82" t="n"/>
      <c r="CG346" s="82" t="n"/>
      <c r="CH346" s="82" t="n"/>
      <c r="CI346" s="82" t="n"/>
      <c r="CK346" s="82" t="n"/>
      <c r="CL346" s="82" t="n"/>
      <c r="CM346" s="82" t="n"/>
      <c r="CN346" s="82" t="n"/>
      <c r="CP346" s="82" t="n"/>
      <c r="CQ346" s="82" t="n"/>
      <c r="CR346" s="82" t="n"/>
      <c r="CS346" s="82" t="n"/>
      <c r="CU346" s="82" t="n"/>
      <c r="CV346" s="82" t="n"/>
      <c r="CW346" s="82" t="n"/>
      <c r="CX346" s="82" t="n"/>
    </row>
    <row r="347" customFormat="1" s="77">
      <c r="A347" s="76" t="n"/>
      <c r="B347" s="76" t="n"/>
      <c r="C347" s="77" t="inlineStr">
        <is>
          <t>TOTAL DEBT / TOTAL CAPITALIZATION</t>
        </is>
      </c>
      <c r="D347" s="80" t="str">
        <f>IFERROR(SUM(D224+D225+D226+D229+D247+D250)/(SUM(D224+D225+D226+D229+D247+D250)+D283),"")</f>
        <v/>
      </c>
      <c r="E347" s="80" t="str">
        <f>IFERROR(SUM(E224+E225+E226+E229+E247+E250)/(SUM(E224+E225+E226+E229+E247+E250)+E283),"")</f>
        <v/>
      </c>
      <c r="F347" s="80" t="str">
        <f>IFERROR(SUM(F224+F225+F226+F229+F247+F250)/(SUM(F224+F225+F226+F229+F247+F250)+F283),"")</f>
        <v/>
      </c>
      <c r="G347" s="80" t="str">
        <f>IFERROR(SUM(G224+G225+G226+G229+G247+G250)/(SUM(G224+G225+G226+G229+G247+G250)+G283),"")</f>
        <v/>
      </c>
      <c r="H347" s="258" t="str">
        <f>IFERROR(IF(((N(H224)+N(H225)+N(H226)+N(H229)+N(H247)+N(H250))+N(H283))&lt;&gt;0,(N(H224)+N(H225)+N(H226)+N(H229)+N(H247)+N(H250))/((N(H224)+N(H225)+N(H226)+N(H229)+N(H247)+N(H250))+H283),""),"")</f>
        <v/>
      </c>
      <c r="I347" s="258">
        <f>IFERROR(IF(((N(I224)+N(I225)+N(I226)+N(I229)+N(I247)+N(I250))+N(I283))&lt;&gt;0,(N(I224)+N(I225)+N(I226)+N(I229)+N(I247)+N(I250))/((N(I224)+N(I225)+N(I226)+N(I229)+N(I247)+N(I250))+I283),""),"")</f>
        <v>0.794049288777652</v>
      </c>
      <c r="J347" s="258">
        <f>IFERROR(IF(((N(J224)+N(J225)+N(J226)+N(J229)+N(J247)+N(J250))+N(J283))&lt;&gt;0,(N(J224)+N(J225)+N(J226)+N(J229)+N(J247)+N(J250))/((N(J224)+N(J225)+N(J226)+N(J229)+N(J247)+N(J250))+J283),""),"")</f>
        <v>0.78362216312556</v>
      </c>
      <c r="K347" s="258">
        <f>IFERROR(IF(((N(K224)+N(K225)+N(K226)+N(K229)+N(K247)+N(K250))+N(K283))&lt;&gt;0,(N(K224)+N(K225)+N(K226)+N(K229)+N(K247)+N(K250))/((N(K224)+N(K225)+N(K226)+N(K229)+N(K247)+N(K250))+K283),""),"")</f>
        <v>0.814895923822593</v>
      </c>
      <c r="L347" s="258">
        <f>IFERROR(IF(((N(L224)+N(L225)+N(L226)+N(L229)+N(L247)+N(L250))+N(L283))&lt;&gt;0,(N(L224)+N(L225)+N(L226)+N(L229)+N(L247)+N(L250))/((N(L224)+N(L225)+N(L226)+N(L229)+N(L247)+N(L250))+L283),""),"")</f>
        <v>0.818036193516294</v>
      </c>
      <c r="M347" s="258">
        <f>IFERROR(IF(((N(M224)+N(M225)+N(M226)+N(M229)+N(M247)+N(M250))+N(M283))&lt;&gt;0,(N(M224)+N(M225)+N(M226)+N(M229)+N(M247)+N(M250))/((N(M224)+N(M225)+N(M226)+N(M229)+N(M247)+N(M250))+M283),""),"")</f>
        <v>0.818036193516294</v>
      </c>
      <c r="N347" s="258">
        <f>IFERROR(IF(((N(N224)+N(N225)+N(N226)+N(N229)+N(N247)+N(N250))+N(N283))&lt;&gt;0,(N(N224)+N(N225)+N(N226)+N(N229)+N(N247)+N(N250))/((N(N224)+N(N225)+N(N226)+N(N229)+N(N247)+N(N250))+N283),""),"")</f>
        <v>0.810673011199388</v>
      </c>
      <c r="O347" s="258">
        <f>IFERROR(IF(((N(O224)+N(O225)+N(O226)+N(O229)+N(O247)+N(O250))+N(O283))&lt;&gt;0,(N(O224)+N(O225)+N(O226)+N(O229)+N(O247)+N(O250))/((N(O224)+N(O225)+N(O226)+N(O229)+N(O247)+N(O250))+O283),""),"")</f>
        <v>0.847261038139179</v>
      </c>
      <c r="P347" s="258">
        <f>IFERROR(IF(((N(P224)+N(P225)+N(P226)+N(P229)+N(P247)+N(P250))+N(P283))&lt;&gt;0,(N(P224)+N(P225)+N(P226)+N(P229)+N(P247)+N(P250))/((N(P224)+N(P225)+N(P226)+N(P229)+N(P247)+N(P250))+P283),""),"")</f>
        <v>0.876122963753134</v>
      </c>
      <c r="Q347" s="258">
        <f>IFERROR(IF(((N(Q224)+N(Q225)+N(Q226)+N(Q229)+N(Q247)+N(Q250))+N(Q283))&lt;&gt;0,(N(Q224)+N(Q225)+N(Q226)+N(Q229)+N(Q247)+N(Q250))/((N(Q224)+N(Q225)+N(Q226)+N(Q229)+N(Q247)+N(Q250))+Q283),""),"")</f>
        <v>0.865167604741032</v>
      </c>
      <c r="R347" s="258">
        <f>IFERROR(IF(((N(R224)+N(R225)+N(R226)+N(R229)+N(R247)+N(R250))+N(R283))&lt;&gt;0,(N(R224)+N(R225)+N(R226)+N(R229)+N(R247)+N(R250))/((N(R224)+N(R225)+N(R226)+N(R229)+N(R247)+N(R250))+R283),""),"")</f>
        <v>0.865167604741032</v>
      </c>
      <c r="S347" s="258">
        <f>IFERROR(IF(((N(S224)+N(S225)+N(S226)+N(S229)+N(S247)+N(S250))+N(S283))&lt;&gt;0,(N(S224)+N(S225)+N(S226)+N(S229)+N(S247)+N(S250))/((N(S224)+N(S225)+N(S226)+N(S229)+N(S247)+N(S250))+S283),""),"")</f>
        <v>0.844052012795682</v>
      </c>
      <c r="T347" s="258">
        <f>IFERROR(IF(((N(T224)+N(T225)+N(T226)+N(T229)+N(T247)+N(T250))+N(T283))&lt;&gt;0,(N(T224)+N(T225)+N(T226)+N(T229)+N(T247)+N(T250))/((N(T224)+N(T225)+N(T226)+N(T229)+N(T247)+N(T250))+T283),""),"")</f>
        <v>0.820013343893148</v>
      </c>
      <c r="U347" s="258">
        <f>IFERROR(IF(((N(U224)+N(U225)+N(U226)+N(U229)+N(U247)+N(U250))+N(U283))&lt;&gt;0,(N(U224)+N(U225)+N(U226)+N(U229)+N(U247)+N(U250))/((N(U224)+N(U225)+N(U226)+N(U229)+N(U247)+N(U250))+U283),""),"")</f>
        <v>0.819346779423077</v>
      </c>
      <c r="V347" s="258">
        <f>IFERROR(IF(((N(V224)+N(V225)+N(V226)+N(V229)+N(V247)+N(V250))+N(V283))&lt;&gt;0,(N(V224)+N(V225)+N(V226)+N(V229)+N(V247)+N(V250))/((N(V224)+N(V225)+N(V226)+N(V229)+N(V247)+N(V250))+V283),""),"")</f>
        <v>0.858971599720038</v>
      </c>
      <c r="W347" s="258">
        <f>IFERROR(IF(((N(W224)+N(W225)+N(W226)+N(W229)+N(W247)+N(W250))+N(W283))&lt;&gt;0,(N(W224)+N(W225)+N(W226)+N(W229)+N(W247)+N(W250))/((N(W224)+N(W225)+N(W226)+N(W229)+N(W247)+N(W250))+W283),""),"")</f>
        <v>0.858971599720038</v>
      </c>
      <c r="X347" s="258">
        <f>IFERROR(IF(((N(X224)+N(X225)+N(X226)+N(X229)+N(X247)+N(X250))+N(X283))&lt;&gt;0,(N(X224)+N(X225)+N(X226)+N(X229)+N(X247)+N(X250))/((N(X224)+N(X225)+N(X226)+N(X229)+N(X247)+N(X250))+X283),""),"")</f>
        <v>0.865936585013612</v>
      </c>
      <c r="Y347" s="258">
        <f>IFERROR(IF(((N(Y224)+N(Y225)+N(Y226)+N(Y229)+N(Y247)+N(Y250))+N(Y283))&lt;&gt;0,(N(Y224)+N(Y225)+N(Y226)+N(Y229)+N(Y247)+N(Y250))/((N(Y224)+N(Y225)+N(Y226)+N(Y229)+N(Y247)+N(Y250))+Y283),""),"")</f>
        <v>0.877629487273875</v>
      </c>
      <c r="Z347" s="258">
        <f>IFERROR(IF(((N(Z224)+N(Z225)+N(Z226)+N(Z229)+N(Z247)+N(Z250))+N(Z283))&lt;&gt;0,(N(Z224)+N(Z225)+N(Z226)+N(Z229)+N(Z247)+N(Z250))/((N(Z224)+N(Z225)+N(Z226)+N(Z229)+N(Z247)+N(Z250))+Z283),""),"")</f>
        <v>0.876866364740929</v>
      </c>
      <c r="AA347" s="258">
        <f>IFERROR(IF(((N(AA224)+N(AA225)+N(AA226)+N(AA229)+N(AA247)+N(AA250))+N(AA283))&lt;&gt;0,(N(AA224)+N(AA225)+N(AA226)+N(AA229)+N(AA247)+N(AA250))/((N(AA224)+N(AA225)+N(AA226)+N(AA229)+N(AA247)+N(AA250))+AA283),""),"")</f>
        <v>0.8916983345953</v>
      </c>
      <c r="AB347" s="258">
        <f>IFERROR(IF(((N(AB224)+N(AB225)+N(AB226)+N(AB229)+N(AB247)+N(AB250))+N(AB283))&lt;&gt;0,(N(AB224)+N(AB225)+N(AB226)+N(AB229)+N(AB247)+N(AB250))/((N(AB224)+N(AB225)+N(AB226)+N(AB229)+N(AB247)+N(AB250))+AB283),""),"")</f>
        <v>0.8916983345953</v>
      </c>
      <c r="AC347" s="258">
        <f>IFERROR(IF(((N(AC224)+N(AC225)+N(AC226)+N(AC229)+N(AC247)+N(AC250))+N(AC283))&lt;&gt;0,(N(AC224)+N(AC225)+N(AC226)+N(AC229)+N(AC247)+N(AC250))/((N(AC224)+N(AC225)+N(AC226)+N(AC229)+N(AC247)+N(AC250))+AC283),""),"")</f>
        <v>0.884546788290722</v>
      </c>
      <c r="AD347" s="258">
        <f>IFERROR(IF(((N(AD224)+N(AD225)+N(AD226)+N(AD229)+N(AD247)+N(AD250))+N(AD283))&lt;&gt;0,(N(AD224)+N(AD225)+N(AD226)+N(AD229)+N(AD247)+N(AD250))/((N(AD224)+N(AD225)+N(AD226)+N(AD229)+N(AD247)+N(AD250))+AD283),""),"")</f>
        <v>0.88048160457374</v>
      </c>
      <c r="AE347" s="258">
        <f>IFERROR(IF(((N(AE224)+N(AE225)+N(AE226)+N(AE229)+N(AE247)+N(AE250))+N(AE283))&lt;&gt;0,(N(AE224)+N(AE225)+N(AE226)+N(AE229)+N(AE247)+N(AE250))/((N(AE224)+N(AE225)+N(AE226)+N(AE229)+N(AE247)+N(AE250))+AE283),""),"")</f>
        <v>0.870349460803344</v>
      </c>
      <c r="AF347" s="258">
        <f>IFERROR(IF(((N(AF224)+N(AF225)+N(AF226)+N(AF229)+N(AF247)+N(AF250))+N(AF283))&lt;&gt;0,(N(AF224)+N(AF225)+N(AF226)+N(AF229)+N(AF247)+N(AF250))/((N(AF224)+N(AF225)+N(AF226)+N(AF229)+N(AF247)+N(AF250))+AF283),""),"")</f>
        <v>0.880788592160882</v>
      </c>
      <c r="AG347" s="258">
        <f>IFERROR(IF(((N(AG224)+N(AG225)+N(AG226)+N(AG229)+N(AG247)+N(AG250))+N(AG283))&lt;&gt;0,(N(AG224)+N(AG225)+N(AG226)+N(AG229)+N(AG247)+N(AG250))/((N(AG224)+N(AG225)+N(AG226)+N(AG229)+N(AG247)+N(AG250))+AG283),""),"")</f>
        <v>0.880788592160882</v>
      </c>
      <c r="AH347" s="258">
        <f>IFERROR(IF(((N(AH224)+N(AH225)+N(AH226)+N(AH229)+N(AH247)+N(AH250))+N(AH283))&lt;&gt;0,(N(AH224)+N(AH225)+N(AH226)+N(AH229)+N(AH247)+N(AH250))/((N(AH224)+N(AH225)+N(AH226)+N(AH229)+N(AH247)+N(AH250))+AH283),""),"")</f>
        <v>0.885544785054393</v>
      </c>
      <c r="AI347" s="258">
        <f>IFERROR(IF(((N(AI224)+N(AI225)+N(AI226)+N(AI229)+N(AI247)+N(AI250))+N(AI283))&lt;&gt;0,(N(AI224)+N(AI225)+N(AI226)+N(AI229)+N(AI247)+N(AI250))/((N(AI224)+N(AI225)+N(AI226)+N(AI229)+N(AI247)+N(AI250))+AI283),""),"")</f>
        <v>0.859213130009287</v>
      </c>
      <c r="AJ347" s="258">
        <f>IFERROR(IF(((N(AJ224)+N(AJ225)+N(AJ226)+N(AJ229)+N(AJ247)+N(AJ250))+N(AJ283))&lt;&gt;0,(N(AJ224)+N(AJ225)+N(AJ226)+N(AJ229)+N(AJ247)+N(AJ250))/((N(AJ224)+N(AJ225)+N(AJ226)+N(AJ229)+N(AJ247)+N(AJ250))+AJ283),""),"")</f>
        <v>0.829047679759622</v>
      </c>
      <c r="AK347" s="258">
        <f>IFERROR(IF(((N(AK224)+N(AK225)+N(AK226)+N(AK229)+N(AK247)+N(AK250))+N(AK283))&lt;&gt;0,(N(AK224)+N(AK225)+N(AK226)+N(AK229)+N(AK247)+N(AK250))/((N(AK224)+N(AK225)+N(AK226)+N(AK229)+N(AK247)+N(AK250))+AK283),""),"")</f>
        <v>0.801700148863826</v>
      </c>
      <c r="AL347" s="258">
        <f>IFERROR(IF(((N(AL224)+N(AL225)+N(AL226)+N(AL229)+N(AL247)+N(AL250))+N(AL283))&lt;&gt;0,(N(AL224)+N(AL225)+N(AL226)+N(AL229)+N(AL247)+N(AL250))/((N(AL224)+N(AL225)+N(AL226)+N(AL229)+N(AL247)+N(AL250))+AL283),""),"")</f>
        <v>0.801700148863826</v>
      </c>
      <c r="AM347" s="258">
        <f>IFERROR(IF(((N(AM224)+N(AM225)+N(AM226)+N(AM229)+N(AM247)+N(AM250))+N(AM283))&lt;&gt;0,(N(AM224)+N(AM225)+N(AM226)+N(AM229)+N(AM247)+N(AM250))/((N(AM224)+N(AM225)+N(AM226)+N(AM229)+N(AM247)+N(AM250))+AM283),""),"")</f>
        <v>0.775275977600607</v>
      </c>
      <c r="AN347" s="258">
        <f>IFERROR(IF(((N(AN224)+N(AN225)+N(AN226)+N(AN229)+N(AN247)+N(AN250))+N(AN283))&lt;&gt;0,(N(AN224)+N(AN225)+N(AN226)+N(AN229)+N(AN247)+N(AN250))/((N(AN224)+N(AN225)+N(AN226)+N(AN229)+N(AN247)+N(AN250))+AN283),""),"")</f>
        <v>0.75063197142316</v>
      </c>
      <c r="AO347" s="258">
        <f>IFERROR(IF(((N(AO224)+N(AO225)+N(AO226)+N(AO229)+N(AO247)+N(AO250))+N(AO283))&lt;&gt;0,(N(AO224)+N(AO225)+N(AO226)+N(AO229)+N(AO247)+N(AO250))/((N(AO224)+N(AO225)+N(AO226)+N(AO229)+N(AO247)+N(AO250))+AO283),""),"")</f>
        <v>0.725796939289717</v>
      </c>
      <c r="AP347" s="258">
        <f>IFERROR(IF(((N(AP224)+N(AP225)+N(AP226)+N(AP229)+N(AP247)+N(AP250))+N(AP283))&lt;&gt;0,(N(AP224)+N(AP225)+N(AP226)+N(AP229)+N(AP247)+N(AP250))/((N(AP224)+N(AP225)+N(AP226)+N(AP229)+N(AP247)+N(AP250))+AP283),""),"")</f>
        <v>0.703191722904201</v>
      </c>
      <c r="AQ347" s="258">
        <f>IFERROR(IF(((N(AQ224)+N(AQ225)+N(AQ226)+N(AQ229)+N(AQ247)+N(AQ250))+N(AQ283))&lt;&gt;0,(N(AQ224)+N(AQ225)+N(AQ226)+N(AQ229)+N(AQ247)+N(AQ250))/((N(AQ224)+N(AQ225)+N(AQ226)+N(AQ229)+N(AQ247)+N(AQ250))+AQ283),""),"")</f>
        <v>0.703191722904201</v>
      </c>
      <c r="AR347" s="258">
        <f>IFERROR(IF(((N(AR224)+N(AR225)+N(AR226)+N(AR229)+N(AR247)+N(AR250))+N(AR283))&lt;&gt;0,(N(AR224)+N(AR225)+N(AR226)+N(AR229)+N(AR247)+N(AR250))/((N(AR224)+N(AR225)+N(AR226)+N(AR229)+N(AR247)+N(AR250))+AR283),""),"")</f>
        <v>0.681366494936804</v>
      </c>
      <c r="AS347" s="258">
        <f>IFERROR(IF(((N(AS224)+N(AS225)+N(AS226)+N(AS229)+N(AS247)+N(AS250))+N(AS283))&lt;&gt;0,(N(AS224)+N(AS225)+N(AS226)+N(AS229)+N(AS247)+N(AS250))/((N(AS224)+N(AS225)+N(AS226)+N(AS229)+N(AS247)+N(AS250))+AS283),""),"")</f>
        <v>0.66093324371093</v>
      </c>
      <c r="AT347" s="258">
        <f>IFERROR(IF(((N(AT224)+N(AT225)+N(AT226)+N(AT229)+N(AT247)+N(AT250))+N(AT283))&lt;&gt;0,(N(AT224)+N(AT225)+N(AT226)+N(AT229)+N(AT247)+N(AT250))/((N(AT224)+N(AT225)+N(AT226)+N(AT229)+N(AT247)+N(AT250))+AT283),""),"")</f>
        <v>0.640264654200467</v>
      </c>
      <c r="AU347" s="258">
        <f>IFERROR(IF(((N(AU224)+N(AU225)+N(AU226)+N(AU229)+N(AU247)+N(AU250))+N(AU283))&lt;&gt;0,(N(AU224)+N(AU225)+N(AU226)+N(AU229)+N(AU247)+N(AU250))/((N(AU224)+N(AU225)+N(AU226)+N(AU229)+N(AU247)+N(AU250))+AU283),""),"")</f>
        <v>0.62138427331582</v>
      </c>
      <c r="AV347" s="258">
        <f>IFERROR(IF(((N(AV224)+N(AV225)+N(AV226)+N(AV229)+N(AV247)+N(AV250))+N(AV283))&lt;&gt;0,(N(AV224)+N(AV225)+N(AV226)+N(AV229)+N(AV247)+N(AV250))/((N(AV224)+N(AV225)+N(AV226)+N(AV229)+N(AV247)+N(AV250))+AV283),""),"")</f>
        <v>0.62138427331582</v>
      </c>
      <c r="AW347" s="258">
        <f>IFERROR(IF(((N(AW224)+N(AW225)+N(AW226)+N(AW229)+N(AW247)+N(AW250))+N(AW283))&lt;&gt;0,(N(AW224)+N(AW225)+N(AW226)+N(AW229)+N(AW247)+N(AW250))/((N(AW224)+N(AW225)+N(AW226)+N(AW229)+N(AW247)+N(AW250))+AW283),""),"")</f>
        <v>0.603176831123037</v>
      </c>
      <c r="AX347" s="258">
        <f>IFERROR(IF(((N(AX224)+N(AX225)+N(AX226)+N(AX229)+N(AX247)+N(AX250))+N(AX283))&lt;&gt;0,(N(AX224)+N(AX225)+N(AX226)+N(AX229)+N(AX247)+N(AX250))/((N(AX224)+N(AX225)+N(AX226)+N(AX229)+N(AX247)+N(AX250))+AX283),""),"")</f>
        <v>0.586071399012408</v>
      </c>
      <c r="AY347" s="258">
        <f>IFERROR(IF(((N(AY224)+N(AY225)+N(AY226)+N(AY229)+N(AY247)+N(AY250))+N(AY283))&lt;&gt;0,(N(AY224)+N(AY225)+N(AY226)+N(AY229)+N(AY247)+N(AY250))/((N(AY224)+N(AY225)+N(AY226)+N(AY229)+N(AY247)+N(AY250))+AY283),""),"")</f>
        <v>0.568710381832705</v>
      </c>
      <c r="AZ347" s="258">
        <f>IFERROR(IF(((N(AZ224)+N(AZ225)+N(AZ226)+N(AZ229)+N(AZ247)+N(AZ250))+N(AZ283))&lt;&gt;0,(N(AZ224)+N(AZ225)+N(AZ226)+N(AZ229)+N(AZ247)+N(AZ250))/((N(AZ224)+N(AZ225)+N(AZ226)+N(AZ229)+N(AZ247)+N(AZ250))+AZ283),""),"")</f>
        <v>0.552799668057586</v>
      </c>
      <c r="BA347" s="258">
        <f>IFERROR(IF(((N(BA224)+N(BA225)+N(BA226)+N(BA229)+N(BA247)+N(BA250))+N(BA283))&lt;&gt;0,(N(BA224)+N(BA225)+N(BA226)+N(BA229)+N(BA247)+N(BA250))/((N(BA224)+N(BA225)+N(BA226)+N(BA229)+N(BA247)+N(BA250))+BA283),""),"")</f>
        <v>0.552799668057586</v>
      </c>
      <c r="BB347" s="258">
        <f>IFERROR(IF(((N(BB224)+N(BB225)+N(BB226)+N(BB229)+N(BB247)+N(BB250))+N(BB283))&lt;&gt;0,(N(BB224)+N(BB225)+N(BB226)+N(BB229)+N(BB247)+N(BB250))/((N(BB224)+N(BB225)+N(BB226)+N(BB229)+N(BB247)+N(BB250))+BB283),""),"")</f>
        <v>0.537479191807294</v>
      </c>
      <c r="BC347" s="258">
        <f>IFERROR(IF(((N(BC224)+N(BC225)+N(BC226)+N(BC229)+N(BC247)+N(BC250))+N(BC283))&lt;&gt;0,(N(BC224)+N(BC225)+N(BC226)+N(BC229)+N(BC247)+N(BC250))/((N(BC224)+N(BC225)+N(BC226)+N(BC229)+N(BC247)+N(BC250))+BC283),""),"")</f>
        <v>0.523040279875992</v>
      </c>
      <c r="BD347" s="258">
        <f>IFERROR(IF(((N(BD224)+N(BD225)+N(BD226)+N(BD229)+N(BD247)+N(BD250))+N(BD283))&lt;&gt;0,(N(BD224)+N(BD225)+N(BD226)+N(BD229)+N(BD247)+N(BD250))/((N(BD224)+N(BD225)+N(BD226)+N(BD229)+N(BD247)+N(BD250))+BD283),""),"")</f>
        <v>0.508340128119459</v>
      </c>
      <c r="BE347" s="258">
        <f>IFERROR(IF(((N(BE224)+N(BE225)+N(BE226)+N(BE229)+N(BE247)+N(BE250))+N(BE283))&lt;&gt;0,(N(BE224)+N(BE225)+N(BE226)+N(BE229)+N(BE247)+N(BE250))/((N(BE224)+N(BE225)+N(BE226)+N(BE229)+N(BE247)+N(BE250))+BE283),""),"")</f>
        <v>0.494827562517217</v>
      </c>
      <c r="BF347" s="258">
        <f>IFERROR(IF(((N(BF224)+N(BF225)+N(BF226)+N(BF229)+N(BF247)+N(BF250))+N(BF283))&lt;&gt;0,(N(BF224)+N(BF225)+N(BF226)+N(BF229)+N(BF247)+N(BF250))/((N(BF224)+N(BF225)+N(BF226)+N(BF229)+N(BF247)+N(BF250))+BF283),""),"")</f>
        <v>0.494827562517217</v>
      </c>
      <c r="BG347" s="80" t="n"/>
      <c r="BH347" s="80" t="n"/>
      <c r="BI347" s="80" t="n"/>
      <c r="BJ347" s="80" t="n"/>
      <c r="BL347" s="80" t="n"/>
      <c r="BM347" s="80" t="n"/>
      <c r="BN347" s="80" t="n"/>
      <c r="BO347" s="80" t="n"/>
      <c r="BQ347" s="80" t="n"/>
      <c r="BR347" s="80" t="n"/>
      <c r="BS347" s="80" t="n"/>
      <c r="BT347" s="80" t="n"/>
      <c r="BV347" s="80" t="n"/>
      <c r="BW347" s="80" t="n"/>
      <c r="BX347" s="80" t="n"/>
      <c r="BY347" s="80" t="n"/>
      <c r="CA347" s="80" t="n"/>
      <c r="CB347" s="80" t="n"/>
      <c r="CC347" s="80" t="n"/>
      <c r="CD347" s="80" t="n"/>
      <c r="CF347" s="80" t="n"/>
      <c r="CG347" s="80" t="n"/>
      <c r="CH347" s="80" t="n"/>
      <c r="CI347" s="80" t="n"/>
      <c r="CK347" s="80" t="n"/>
      <c r="CL347" s="80" t="n"/>
      <c r="CM347" s="80" t="n"/>
      <c r="CN347" s="80" t="n"/>
      <c r="CP347" s="80" t="n"/>
      <c r="CQ347" s="80" t="n"/>
      <c r="CR347" s="80" t="n"/>
      <c r="CS347" s="80" t="n"/>
      <c r="CU347" s="80" t="n"/>
      <c r="CV347" s="80" t="n"/>
      <c r="CW347" s="80" t="n"/>
      <c r="CX347" s="80" t="n"/>
    </row>
    <row r="348" customFormat="1" s="77">
      <c r="A348" s="76" t="n"/>
      <c r="B348" s="76" t="n"/>
      <c r="C348" s="77" t="inlineStr">
        <is>
          <t>NET DEBT / EBITDA (LTM)</t>
        </is>
      </c>
      <c r="D348" s="82" t="str">
        <f>IFERROR(SUM((D224+D225+D226+D229+D247)-D156)/(D81*4),"")</f>
        <v/>
      </c>
      <c r="E348" s="82" t="str">
        <f>IFERROR(SUM((E224+E225+E226+E229+E247)-E156)/(E81*4),"")</f>
        <v/>
      </c>
      <c r="F348" s="82" t="str">
        <f>IFERROR(SUM((F224+F225+F226+F229+F247)-F156)/(F81*4),"")</f>
        <v/>
      </c>
      <c r="G348" s="82" t="str">
        <f>IFERROR(SUM((G224+G225+G226+G229+G247)-G156)/(G81*4),"")</f>
        <v/>
      </c>
      <c r="H348" s="262" t="str">
        <f>IFERROR(IF(AND(COUNT(H81)=1,(H81)&lt;&gt;0),((N(H224)+N(H225)+N(H226)+N(H229)+N(H247)+N(H250))-N(H156))/(H81),""),"")</f>
        <v/>
      </c>
      <c r="I348" s="262" t="str">
        <f>""</f>
        <v/>
      </c>
      <c r="J348" s="262" t="str">
        <f>""</f>
        <v/>
      </c>
      <c r="K348" s="262" t="str">
        <f>""</f>
        <v/>
      </c>
      <c r="L348" s="262">
        <f>IFERROR(IF(AND(COUNT(I81,J81,K81,L81)=4,(I81+J81+K81+L81)&lt;&gt;0),((N(L224)+N(L225)+N(L226)+N(L229)+N(L247)+N(L250))-N(L156))/(I81+J81+K81+L81),""),"")</f>
        <v>3.35058132891916</v>
      </c>
      <c r="M348" s="262">
        <f>IFERROR(IF(AND(COUNT(I81,J81,K81,L81)=4,(I81+J81+K81+L81)&lt;&gt;0),((N(M224)+N(M225)+N(M226)+N(M229)+N(M247)+N(M250))-N(M156))/(I81+J81+K81+L81),""),"")</f>
        <v>3.35058132891916</v>
      </c>
      <c r="N348" s="262">
        <f>IFERROR(IF(AND(COUNT(J81,K81,L81,N81)=4,(J81+K81+L81+N81)&lt;&gt;0),((N(N224)+N(N225)+N(N226)+N(N229)+N(N247)+N(N250))-N(N156))/(J81+K81+L81+N81),""),"")</f>
        <v>3.11486879627677</v>
      </c>
      <c r="O348" s="262">
        <f>IFERROR(IF(AND(COUNT(K81,L81,N81,O81)=4,(K81+L81+N81+O81)&lt;&gt;0),((N(O224)+N(O225)+N(O226)+N(O229)+N(O247)+N(O250))-N(O156))/(K81+L81+N81+O81),""),"")</f>
        <v>3.2015741021007</v>
      </c>
      <c r="P348" s="262">
        <f>IFERROR(IF(AND(COUNT(L81,N81,O81,P81)=4,(L81+N81+O81+P81)&lt;&gt;0),((N(P224)+N(P225)+N(P226)+N(P229)+N(P247)+N(P250))-N(P156))/(L81+N81+O81+P81),""),"")</f>
        <v>3.41338863689346</v>
      </c>
      <c r="Q348" s="262">
        <f>IFERROR(IF(AND(COUNT(N81,O81,P81,Q81)=4,(N81+O81+P81+Q81)&lt;&gt;0),((N(Q224)+N(Q225)+N(Q226)+N(Q229)+N(Q247)+N(Q250))-N(Q156))/(N81+O81+P81+Q81),""),"")</f>
        <v>3.07946351450422</v>
      </c>
      <c r="R348" s="262">
        <f>IFERROR(IF(AND(COUNT(N81,O81,P81,Q81)=4,(N81+O81+P81+Q81)&lt;&gt;0),((N(R224)+N(R225)+N(R226)+N(R229)+N(R247)+N(R250))-N(R156))/(N81+O81+P81+Q81),""),"")</f>
        <v>3.07946351450422</v>
      </c>
      <c r="S348" s="262">
        <f>IFERROR(IF(AND(COUNT(O81,P81,Q81,S81)=4,(O81+P81+Q81+S81)&lt;&gt;0),((N(S224)+N(S225)+N(S226)+N(S229)+N(S247)+N(S250))-N(S156))/(O81+P81+Q81+S81),""),"")</f>
        <v>3.19813146309431</v>
      </c>
      <c r="T348" s="262">
        <f>IFERROR(IF(AND(COUNT(P81,Q81,S81,T81)=4,(P81+Q81+S81+T81)&lt;&gt;0),((N(T224)+N(T225)+N(T226)+N(T229)+N(T247)+N(T250))-N(T156))/(P81+Q81+S81+T81),""),"")</f>
        <v>3.21746793526132</v>
      </c>
      <c r="U348" s="262">
        <f>IFERROR(IF(AND(COUNT(Q81,S81,T81,U81)=4,(Q81+S81+T81+U81)&lt;&gt;0),((N(U224)+N(U225)+N(U226)+N(U229)+N(U247)+N(U250))-N(U156))/(Q81+S81+T81+U81),""),"")</f>
        <v>3.35696489448813</v>
      </c>
      <c r="V348" s="262">
        <f>IFERROR(IF(AND(COUNT(S81,T81,U81,V81)=4,(S81+T81+U81+V81)&lt;&gt;0),((N(V224)+N(V225)+N(V226)+N(V229)+N(V247)+N(V250))-N(V156))/(S81+T81+U81+V81),""),"")</f>
        <v>3.53295528033485</v>
      </c>
      <c r="W348" s="262">
        <f>IFERROR(IF(AND(COUNT(S81,T81,U81,V81)=4,(S81+T81+U81+V81)&lt;&gt;0),((N(W224)+N(W225)+N(W226)+N(W229)+N(W247)+N(W250))-N(W156))/(S81+T81+U81+V81),""),"")</f>
        <v>3.53295528033485</v>
      </c>
      <c r="X348" s="262">
        <f>IFERROR(IF(AND(COUNT(T81,U81,V81,X81)=4,(T81+U81+V81+X81)&lt;&gt;0),((N(X224)+N(X225)+N(X226)+N(X229)+N(X247)+N(X250))-N(X156))/(T81+U81+V81+X81),""),"")</f>
        <v>3.5362797041503</v>
      </c>
      <c r="Y348" s="262">
        <f>IFERROR(IF(AND(COUNT(U81,V81,X81,Y81)=4,(U81+V81+X81+Y81)&lt;&gt;0),((N(Y224)+N(Y225)+N(Y226)+N(Y229)+N(Y247)+N(Y250))-N(Y156))/(U81+V81+X81+Y81),""),"")</f>
        <v>3.6185919310876</v>
      </c>
      <c r="Z348" s="262">
        <f>IFERROR(IF(AND(COUNT(V81,X81,Y81,Z81)=4,(V81+X81+Y81+Z81)&lt;&gt;0),((N(Z224)+N(Z225)+N(Z226)+N(Z229)+N(Z247)+N(Z250))-N(Z156))/(V81+X81+Y81+Z81),""),"")</f>
        <v>3.45967817498151</v>
      </c>
      <c r="AA348" s="262">
        <f>IFERROR(IF(AND(COUNT(X81,Y81,Z81,AA81)=4,(X81+Y81+Z81+AA81)&lt;&gt;0),((N(AA224)+N(AA225)+N(AA226)+N(AA229)+N(AA247)+N(AA250))-N(AA156))/(X81+Y81+Z81+AA81),""),"")</f>
        <v>3.45284121091286</v>
      </c>
      <c r="AB348" s="262">
        <f>IFERROR(IF(AND(COUNT(X81,Y81,Z81,AA81)=4,(X81+Y81+Z81+AA81)&lt;&gt;0),((N(AB224)+N(AB225)+N(AB226)+N(AB229)+N(AB247)+N(AB250))-N(AB156))/(X81+Y81+Z81+AA81),""),"")</f>
        <v>3.45284121091286</v>
      </c>
      <c r="AC348" s="262">
        <f>IFERROR(IF(AND(COUNT(Y81,Z81,AA81,AC81)=4,(Y81+Z81+AA81+AC81)&lt;&gt;0),((N(AC224)+N(AC225)+N(AC226)+N(AC229)+N(AC247)+N(AC250))-N(AC156))/(Y81+Z81+AA81+AC81),""),"")</f>
        <v>3.40229748403789</v>
      </c>
      <c r="AD348" s="262">
        <f>IFERROR(IF(AND(COUNT(Z81,AA81,AC81,AD81)=4,(Z81+AA81+AC81+AD81)&lt;&gt;0),((N(AD224)+N(AD225)+N(AD226)+N(AD229)+N(AD247)+N(AD250))-N(AD156))/(Z81+AA81+AC81+AD81),""),"")</f>
        <v>3.08552181338856</v>
      </c>
      <c r="AE348" s="262">
        <f>IFERROR(IF(AND(COUNT(AA81,AC81,AD81,AE81)=4,(AA81+AC81+AD81+AE81)&lt;&gt;0),((N(AE224)+N(AE225)+N(AE226)+N(AE229)+N(AE247)+N(AE250))-N(AE156))/(AA81+AC81+AD81+AE81),""),"")</f>
        <v>2.83081304832926</v>
      </c>
      <c r="AF348" s="262">
        <f>IFERROR(IF(AND(COUNT(AB81,AD81,AE81,AF81)=4,(AB81+AD81+AE81+AF81)&lt;&gt;0),((N(AF224)+N(AF225)+N(AF226)+N(AF229)+N(AF247)+N(AF250))-N(AF156))/(AB81+AD81+AE81+AF81),""),"")</f>
        <v>1.66350084611992</v>
      </c>
      <c r="AG348" s="262">
        <f>IFERROR(IF(AND(COUNT(AC81,AD81,AE81,AF81)=4,(AC81+AD81+AE81+AF81)&lt;&gt;0),((N(AG224)+N(AG225)+N(AG226)+N(AG229)+N(AG247)+N(AG250))-N(AG156))/(AC81+AD81+AE81+AF81),""),"")</f>
        <v>2.64714762845604</v>
      </c>
      <c r="AH348" s="262">
        <f>IFERROR(IF(AND(COUNT(AD81,AF81,AG81,AH81)=4,(AD81+AF81+AG81+AH81)&lt;&gt;0),((N(AH224)+N(AH225)+N(AH226)+N(AH229)+N(AH247)+N(AH250))-N(AH156))/(AD81+AF81+AG81+AH81),""),"")</f>
        <v>1.53657946283498</v>
      </c>
      <c r="AI348" s="262">
        <f>IFERROR(IF(AND(COUNT(AE81,AG81,AH81,AI81)=4,(AE81+AG81+AH81+AI81)&lt;&gt;0),((N(AI224)+N(AI225)+N(AI226)+N(AI229)+N(AI247)+N(AI250))-N(AI156))/(AE81+AG81+AH81+AI81),""),"")</f>
        <v>1.56727402036376</v>
      </c>
      <c r="AJ348" s="262">
        <f>IFERROR(IF(AND(COUNT(AF81,AH81,AI81,AJ81)=4,(AF81+AH81+AI81+AJ81)&lt;&gt;0),((N(AJ224)+N(AJ225)+N(AJ226)+N(AJ229)+N(AJ247)+N(AJ250))-N(AJ156))/(AF81+AH81+AI81+AJ81),""),"")</f>
        <v>2.53346238195912</v>
      </c>
      <c r="AK348" s="262">
        <f>IFERROR(IF(AND(COUNT(AH81,AI81,AJ81,AK81)=4,(AH81+AI81+AJ81+AK81)&lt;&gt;0),((N(AK224)+N(AK225)+N(AK226)+N(AK229)+N(AK247)+N(AK250))-N(AK156))/(AH81+AI81+AJ81+AK81),""),"")</f>
        <v>2.44201357324879</v>
      </c>
      <c r="AL348" s="262">
        <f>IFERROR(IF(AND(COUNT(AH81,AI81,AJ81,AK81)=4,(AH81+AI81+AJ81+AK81)&lt;&gt;0),((N(AL224)+N(AL225)+N(AL226)+N(AL229)+N(AL247)+N(AL250))-N(AL156))/(AH81+AI81+AJ81+AK81),""),"")</f>
        <v>2.44201357324879</v>
      </c>
      <c r="AM348" s="262">
        <f>IFERROR(IF(AND(COUNT(AI81,AJ81,AK81,AM81)=4,(AI81+AJ81+AK81+AM81)&lt;&gt;0),((N(AM224)+N(AM225)+N(AM226)+N(AM229)+N(AM247)+N(AM250))-N(AM156))/(AI81+AJ81+AK81+AM81),""),"")</f>
        <v>2.32369101946266</v>
      </c>
      <c r="AN348" s="262">
        <f>IFERROR(IF(AND(COUNT(AJ81,AK81,AM81,AN81)=4,(AJ81+AK81+AM81+AN81)&lt;&gt;0),((N(AN224)+N(AN225)+N(AN226)+N(AN229)+N(AN247)+N(AN250))-N(AN156))/(AJ81+AK81+AM81+AN81),""),"")</f>
        <v>2.28124368912481</v>
      </c>
      <c r="AO348" s="262">
        <f>IFERROR(IF(AND(COUNT(AK81,AM81,AN81,AO81)=4,(AK81+AM81+AN81+AO81)&lt;&gt;0),((N(AO224)+N(AO225)+N(AO226)+N(AO229)+N(AO247)+N(AO250))-N(AO156))/(AK81+AM81+AN81+AO81),""),"")</f>
        <v>2.13625892756716</v>
      </c>
      <c r="AP348" s="262">
        <f>IFERROR(IF(AND(COUNT(AM81,AN81,AO81,AP81)=4,(AM81+AN81+AO81+AP81)&lt;&gt;0),((N(AP224)+N(AP225)+N(AP226)+N(AP229)+N(AP247)+N(AP250))-N(AP156))/(AM81+AN81+AO81+AP81),""),"")</f>
        <v>2.04043278302334</v>
      </c>
      <c r="AQ348" s="262">
        <f>IFERROR(IF(AND(COUNT(AM81,AN81,AO81,AP81)=4,(AM81+AN81+AO81+AP81)&lt;&gt;0),((N(AQ224)+N(AQ225)+N(AQ226)+N(AQ229)+N(AQ247)+N(AQ250))-N(AQ156))/(AM81+AN81+AO81+AP81),""),"")</f>
        <v>2.04043278302334</v>
      </c>
      <c r="AR348" s="262">
        <f>IFERROR(IF(AND(COUNT(AN81,AO81,AP81,AR81)=4,(AN81+AO81+AP81+AR81)&lt;&gt;0),((N(AR224)+N(AR225)+N(AR226)+N(AR229)+N(AR247)+N(AR250))-N(AR156))/(AN81+AO81+AP81+AR81),""),"")</f>
        <v>1.91698784953312</v>
      </c>
      <c r="AS348" s="262">
        <f>IFERROR(IF(AND(COUNT(AO81,AP81,AR81,AS81)=4,(AO81+AP81+AR81+AS81)&lt;&gt;0),((N(AS224)+N(AS225)+N(AS226)+N(AS229)+N(AS247)+N(AS250))-N(AS156))/(AO81+AP81+AR81+AS81),""),"")</f>
        <v>1.81676146948463</v>
      </c>
      <c r="AT348" s="262">
        <f>IFERROR(IF(AND(COUNT(AP81,AR81,AS81,AT81)=4,(AP81+AR81+AS81+AT81)&lt;&gt;0),((N(AT224)+N(AT225)+N(AT226)+N(AT229)+N(AT247)+N(AT250))-N(AT156))/(AP81+AR81+AS81+AT81),""),"")</f>
        <v>1.68225440518541</v>
      </c>
      <c r="AU348" s="262">
        <f>IFERROR(IF(AND(COUNT(AR81,AS81,AT81,AU81)=4,(AR81+AS81+AT81+AU81)&lt;&gt;0),((N(AU224)+N(AU225)+N(AU226)+N(AU229)+N(AU247)+N(AU250))-N(AU156))/(AR81+AS81+AT81+AU81),""),"")</f>
        <v>1.5959097159761</v>
      </c>
      <c r="AV348" s="262">
        <f>IFERROR(IF(AND(COUNT(AR81,AS81,AT81,AU81)=4,(AR81+AS81+AT81+AU81)&lt;&gt;0),((N(AV224)+N(AV225)+N(AV226)+N(AV229)+N(AV247)+N(AV250))-N(AV156))/(AR81+AS81+AT81+AU81),""),"")</f>
        <v>1.5959097159761</v>
      </c>
      <c r="AW348" s="262">
        <f>IFERROR(IF(AND(COUNT(AS81,AT81,AU81,AW81)=4,(AS81+AT81+AU81+AW81)&lt;&gt;0),((N(AW224)+N(AW225)+N(AW226)+N(AW229)+N(AW247)+N(AW250))-N(AW156))/(AS81+AT81+AU81+AW81),""),"")</f>
        <v>1.47872788127341</v>
      </c>
      <c r="AX348" s="262">
        <f>IFERROR(IF(AND(COUNT(AT81,AU81,AW81,AX81)=4,(AT81+AU81+AW81+AX81)&lt;&gt;0),((N(AX224)+N(AX225)+N(AX226)+N(AX229)+N(AX247)+N(AX250))-N(AX156))/(AT81+AU81+AW81+AX81),""),"")</f>
        <v>1.39212961745184</v>
      </c>
      <c r="AY348" s="262">
        <f>IFERROR(IF(AND(COUNT(AU81,AW81,AX81,AY81)=4,(AU81+AW81+AX81+AY81)&lt;&gt;0),((N(AY224)+N(AY225)+N(AY226)+N(AY229)+N(AY247)+N(AY250))-N(AY156))/(AU81+AW81+AX81+AY81),""),"")</f>
        <v>1.2663654635659</v>
      </c>
      <c r="AZ348" s="262">
        <f>IFERROR(IF(AND(COUNT(AW81,AX81,AY81,AZ81)=4,(AW81+AX81+AY81+AZ81)&lt;&gt;0),((N(AZ224)+N(AZ225)+N(AZ226)+N(AZ229)+N(AZ247)+N(AZ250))-N(AZ156))/(AW81+AX81+AY81+AZ81),""),"")</f>
        <v>1.18791860776559</v>
      </c>
      <c r="BA348" s="262">
        <f>IFERROR(IF(AND(COUNT(AW81,AX81,AY81,AZ81)=4,(AW81+AX81+AY81+AZ81)&lt;&gt;0),((N(BA224)+N(BA225)+N(BA226)+N(BA229)+N(BA247)+N(BA250))-N(BA156))/(AW81+AX81+AY81+AZ81),""),"")</f>
        <v>1.18791860776559</v>
      </c>
      <c r="BB348" s="262">
        <f>IFERROR(IF(AND(COUNT(AX81,AY81,AZ81,BB81)=4,(AX81+AY81+AZ81+BB81)&lt;&gt;0),((N(BB224)+N(BB225)+N(BB226)+N(BB229)+N(BB247)+N(BB250))-N(BB156))/(AX81+AY81+AZ81+BB81),""),"")</f>
        <v>1.0805156628404</v>
      </c>
      <c r="BC348" s="262">
        <f>IFERROR(IF(AND(COUNT(AY81,AZ81,BB81,BC81)=4,(AY81+AZ81+BB81+BC81)&lt;&gt;0),((N(BC224)+N(BC225)+N(BC226)+N(BC229)+N(BC247)+N(BC250))-N(BC156))/(AY81+AZ81+BB81+BC81),""),"")</f>
        <v>1.00100736971763</v>
      </c>
      <c r="BD348" s="262">
        <f>IFERROR(IF(AND(COUNT(AZ81,BB81,BC81,BD81)=4,(AZ81+BB81+BC81+BD81)&lt;&gt;0),((N(BD224)+N(BD225)+N(BD226)+N(BD229)+N(BD247)+N(BD250))-N(BD156))/(AZ81+BB81+BC81+BD81),""),"")</f>
        <v>0.882504042502779</v>
      </c>
      <c r="BE348" s="262">
        <f>IFERROR(IF(AND(COUNT(BB81,BC81,BD81,BE81)=4,(BB81+BC81+BD81+BE81)&lt;&gt;0),((N(BE224)+N(BE225)+N(BE226)+N(BE229)+N(BE247)+N(BE250))-N(BE156))/(BB81+BC81+BD81+BE81),""),"")</f>
        <v>0.810600970774554</v>
      </c>
      <c r="BF348" s="262">
        <f>IFERROR(IF(AND(COUNT(BB81,BC81,BD81,BE81)=4,(BB81+BC81+BD81+BE81)&lt;&gt;0),((N(BF224)+N(BF225)+N(BF226)+N(BF229)+N(BF247)+N(BF250))-N(BF156))/(BB81+BC81+BD81+BE81),""),"")</f>
        <v>0.810600970774554</v>
      </c>
      <c r="BG348" s="82" t="n"/>
      <c r="BH348" s="82" t="n"/>
      <c r="BI348" s="82" t="n"/>
      <c r="BJ348" s="82" t="n"/>
      <c r="BL348" s="82" t="n"/>
      <c r="BM348" s="82" t="n"/>
      <c r="BN348" s="82" t="n"/>
      <c r="BO348" s="82" t="n"/>
      <c r="BQ348" s="82" t="n"/>
      <c r="BR348" s="82" t="n"/>
      <c r="BS348" s="82" t="n"/>
      <c r="BT348" s="82" t="n"/>
      <c r="BV348" s="82" t="n"/>
      <c r="BW348" s="82" t="n"/>
      <c r="BX348" s="82" t="n"/>
      <c r="BY348" s="82" t="n"/>
      <c r="CA348" s="82" t="n"/>
      <c r="CB348" s="82" t="n"/>
      <c r="CC348" s="82" t="n"/>
      <c r="CD348" s="82" t="n"/>
      <c r="CF348" s="82" t="n"/>
      <c r="CG348" s="82" t="n"/>
      <c r="CH348" s="82" t="n"/>
      <c r="CI348" s="82" t="n"/>
      <c r="CK348" s="82" t="n"/>
      <c r="CL348" s="82" t="n"/>
      <c r="CM348" s="82" t="n"/>
      <c r="CN348" s="82" t="n"/>
      <c r="CP348" s="82" t="n"/>
      <c r="CQ348" s="82" t="n"/>
      <c r="CR348" s="82" t="n"/>
      <c r="CS348" s="82" t="n"/>
      <c r="CU348" s="82" t="n"/>
      <c r="CV348" s="82" t="n"/>
      <c r="CW348" s="82" t="n"/>
      <c r="CX348" s="82" t="n"/>
    </row>
    <row r="349" customFormat="1" s="77">
      <c r="A349" s="76" t="n"/>
      <c r="B349" s="76" t="n"/>
      <c r="C349" s="83" t="inlineStr">
        <is>
          <t>NET DEBT (EX IFRS 16.) / EBITDA (LTM)</t>
        </is>
      </c>
      <c r="D349" s="82" t="str">
        <f>IFERROR(SUM((D224+D225+D229)-D156)/(D81*4),"")</f>
        <v/>
      </c>
      <c r="E349" s="82" t="str">
        <f>IFERROR(SUM((E224+E225+E229)-E156)/(E81*4),"")</f>
        <v/>
      </c>
      <c r="F349" s="82" t="str">
        <f>IFERROR(SUM((F224+F225+F229)-F156)/(F81*4),"")</f>
        <v/>
      </c>
      <c r="G349" s="82" t="str">
        <f>IFERROR(SUM((G224+G225+G229)-G156)/(G81*4),"")</f>
        <v/>
      </c>
      <c r="H349" s="262" t="str">
        <f>IFERROR(IF(AND(COUNT(H81)=1,(H81)&lt;&gt;0),((N(H224)+N(H225)+N(H229)+N(H250))-N(H156))/(H81),""),"")</f>
        <v/>
      </c>
      <c r="I349" s="262" t="str">
        <f>""</f>
        <v/>
      </c>
      <c r="J349" s="262" t="str">
        <f>""</f>
        <v/>
      </c>
      <c r="K349" s="262" t="str">
        <f>""</f>
        <v/>
      </c>
      <c r="L349" s="262">
        <f>IFERROR(IF(AND(COUNT(I81,J81,K81,L81)=4,(I81+J81+K81+L81)&lt;&gt;0),((N(L224)+N(L225)+N(L229)+N(L250))-N(L156))/(I81+J81+K81+L81),""),"")</f>
        <v>3.15469571086892</v>
      </c>
      <c r="M349" s="262">
        <f>IFERROR(IF(AND(COUNT(I81,J81,K81,L81)=4,(I81+J81+K81+L81)&lt;&gt;0),((N(M224)+N(M225)+N(M229)+N(M250))-N(M156))/(I81+J81+K81+L81),""),"")</f>
        <v>3.15469571086892</v>
      </c>
      <c r="N349" s="262">
        <f>IFERROR(IF(AND(COUNT(J81,K81,L81,N81)=4,(J81+K81+L81+N81)&lt;&gt;0),((N(N224)+N(N225)+N(N229)+N(N250))-N(N156))/(J81+K81+L81+N81),""),"")</f>
        <v>2.95586881936902</v>
      </c>
      <c r="O349" s="262">
        <f>IFERROR(IF(AND(COUNT(K81,L81,N81,O81)=4,(K81+L81+N81+O81)&lt;&gt;0),((N(O224)+N(O225)+N(O229)+N(O250))-N(O156))/(K81+L81+N81+O81),""),"")</f>
        <v>3.05903991043487</v>
      </c>
      <c r="P349" s="262">
        <f>IFERROR(IF(AND(COUNT(L81,N81,O81,P81)=4,(L81+N81+O81+P81)&lt;&gt;0),((N(P224)+N(P225)+N(P229)+N(P250))-N(P156))/(L81+N81+O81+P81),""),"")</f>
        <v>3.27630283367351</v>
      </c>
      <c r="Q349" s="262">
        <f>IFERROR(IF(AND(COUNT(N81,O81,P81,Q81)=4,(N81+O81+P81+Q81)&lt;&gt;0),((N(Q224)+N(Q225)+N(Q229)+N(Q250))-N(Q156))/(N81+O81+P81+Q81),""),"")</f>
        <v>2.94614086080477</v>
      </c>
      <c r="R349" s="262">
        <f>IFERROR(IF(AND(COUNT(N81,O81,P81,Q81)=4,(N81+O81+P81+Q81)&lt;&gt;0),((N(R224)+N(R225)+N(R229)+N(R250))-N(R156))/(N81+O81+P81+Q81),""),"")</f>
        <v>2.94614086080477</v>
      </c>
      <c r="S349" s="262">
        <f>IFERROR(IF(AND(COUNT(O81,P81,Q81,S81)=4,(O81+P81+Q81+S81)&lt;&gt;0),((N(S224)+N(S225)+N(S229)+N(S250))-N(S156))/(O81+P81+Q81+S81),""),"")</f>
        <v>3.07345646781489</v>
      </c>
      <c r="T349" s="262">
        <f>IFERROR(IF(AND(COUNT(P81,Q81,S81,T81)=4,(P81+Q81+S81+T81)&lt;&gt;0),((N(T224)+N(T225)+N(T229)+N(T250))-N(T156))/(P81+Q81+S81+T81),""),"")</f>
        <v>3.09387970517178</v>
      </c>
      <c r="U349" s="262">
        <f>IFERROR(IF(AND(COUNT(Q81,S81,T81,U81)=4,(Q81+S81+T81+U81)&lt;&gt;0),((N(U224)+N(U225)+N(U229)+N(U250))-N(U156))/(Q81+S81+T81+U81),""),"")</f>
        <v>3.21901656679086</v>
      </c>
      <c r="V349" s="262">
        <f>IFERROR(IF(AND(COUNT(S81,T81,U81,V81)=4,(S81+T81+U81+V81)&lt;&gt;0),((N(V224)+N(V225)+N(V229)+N(V250))-N(V156))/(S81+T81+U81+V81),""),"")</f>
        <v>3.39234705585322</v>
      </c>
      <c r="W349" s="262">
        <f>IFERROR(IF(AND(COUNT(S81,T81,U81,V81)=4,(S81+T81+U81+V81)&lt;&gt;0),((N(W224)+N(W225)+N(W229)+N(W250))-N(W156))/(S81+T81+U81+V81),""),"")</f>
        <v>3.39234705585322</v>
      </c>
      <c r="X349" s="262">
        <f>IFERROR(IF(AND(COUNT(T81,U81,V81,X81)=4,(T81+U81+V81+X81)&lt;&gt;0),((N(X224)+N(X225)+N(X229)+N(X250))-N(X156))/(T81+U81+V81+X81),""),"")</f>
        <v>3.40392079038043</v>
      </c>
      <c r="Y349" s="262">
        <f>IFERROR(IF(AND(COUNT(U81,V81,X81,Y81)=4,(U81+V81+X81+Y81)&lt;&gt;0),((N(Y224)+N(Y225)+N(Y229)+N(Y250))-N(Y156))/(U81+V81+X81+Y81),""),"")</f>
        <v>3.49231712708107</v>
      </c>
      <c r="Z349" s="262">
        <f>IFERROR(IF(AND(COUNT(V81,X81,Y81,Z81)=4,(V81+X81+Y81+Z81)&lt;&gt;0),((N(Z224)+N(Z225)+N(Z229)+N(Z250))-N(Z156))/(V81+X81+Y81+Z81),""),"")</f>
        <v>3.32796210263207</v>
      </c>
      <c r="AA349" s="262">
        <f>IFERROR(IF(AND(COUNT(X81,Y81,Z81,AA81)=4,(X81+Y81+Z81+AA81)&lt;&gt;0),((N(AA224)+N(AA225)+N(AA229)+N(AA250))-N(AA156))/(X81+Y81+Z81+AA81),""),"")</f>
        <v>3.32897603485839</v>
      </c>
      <c r="AB349" s="262">
        <f>IFERROR(IF(AND(COUNT(X81,Y81,Z81,AA81)=4,(X81+Y81+Z81+AA81)&lt;&gt;0),((N(AB224)+N(AB225)+N(AB229)+N(AB250))-N(AB156))/(X81+Y81+Z81+AA81),""),"")</f>
        <v>3.32897603485839</v>
      </c>
      <c r="AC349" s="262">
        <f>IFERROR(IF(AND(COUNT(Y81,Z81,AA81,AC81)=4,(Y81+Z81+AA81+AC81)&lt;&gt;0),((N(AC224)+N(AC225)+N(AC229)+N(AC250))-N(AC156))/(Y81+Z81+AA81+AC81),""),"")</f>
        <v>3.27522373468379</v>
      </c>
      <c r="AD349" s="262">
        <f>IFERROR(IF(AND(COUNT(Z81,AA81,AC81,AD81)=4,(Z81+AA81+AC81+AD81)&lt;&gt;0),((N(AD224)+N(AD225)+N(AD229)+N(AD250))-N(AD156))/(Z81+AA81+AC81+AD81),""),"")</f>
        <v>2.95601193962462</v>
      </c>
      <c r="AE349" s="262">
        <f>IFERROR(IF(AND(COUNT(AA81,AC81,AD81,AE81)=4,(AA81+AC81+AD81+AE81)&lt;&gt;0),((N(AE224)+N(AE225)+N(AE229)+N(AE250))-N(AE156))/(AA81+AC81+AD81+AE81),""),"")</f>
        <v>2.70376553886762</v>
      </c>
      <c r="AF349" s="262">
        <f>IFERROR(IF(AND(COUNT(AB81,AD81,AE81,AF81)=4,(AB81+AD81+AE81+AF81)&lt;&gt;0),((N(AF224)+N(AF225)+N(AF229)+N(AF250))-N(AF156))/(AB81+AD81+AE81+AF81),""),"")</f>
        <v>1.58729684914864</v>
      </c>
      <c r="AG349" s="262">
        <f>IFERROR(IF(AND(COUNT(AC81,AD81,AE81,AF81)=4,(AC81+AD81+AE81+AF81)&lt;&gt;0),((N(AG224)+N(AG225)+N(AG229)+N(AG250))-N(AG156))/(AC81+AD81+AE81+AF81),""),"")</f>
        <v>2.52588334997256</v>
      </c>
      <c r="AH349" s="262">
        <f>IFERROR(IF(AND(COUNT(AD81,AF81,AG81,AH81)=4,(AD81+AF81+AG81+AH81)&lt;&gt;0),((N(AH224)+N(AH225)+N(AH229)+N(AH250))-N(AH156))/(AD81+AF81+AG81+AH81),""),"")</f>
        <v>1.47023461954102</v>
      </c>
      <c r="AI349" s="262">
        <f>IFERROR(IF(AND(COUNT(AE81,AG81,AH81,AI81)=4,(AE81+AG81+AH81+AI81)&lt;&gt;0),((N(AI224)+N(AI225)+N(AI229)+N(AI250))-N(AI156))/(AE81+AG81+AH81+AI81),""),"")</f>
        <v>1.49986731465936</v>
      </c>
      <c r="AJ349" s="262">
        <f>IFERROR(IF(AND(COUNT(AF81,AH81,AI81,AJ81)=4,(AF81+AH81+AI81+AJ81)&lt;&gt;0),((N(AJ224)+N(AJ225)+N(AJ229)+N(AJ250))-N(AJ156))/(AF81+AH81+AI81+AJ81),""),"")</f>
        <v>2.4232915882212</v>
      </c>
      <c r="AK349" s="262">
        <f>IFERROR(IF(AND(COUNT(AH81,AI81,AJ81,AK81)=4,(AH81+AI81+AJ81+AK81)&lt;&gt;0),((N(AK224)+N(AK225)+N(AK229)+N(AK250))-N(AK156))/(AH81+AI81+AJ81+AK81),""),"")</f>
        <v>2.33343892994845</v>
      </c>
      <c r="AL349" s="262">
        <f>IFERROR(IF(AND(COUNT(AH81,AI81,AJ81,AK81)=4,(AH81+AI81+AJ81+AK81)&lt;&gt;0),((N(AL224)+N(AL225)+N(AL229)+N(AL250))-N(AL156))/(AH81+AI81+AJ81+AK81),""),"")</f>
        <v>2.33343892994845</v>
      </c>
      <c r="AM349" s="262">
        <f>IFERROR(IF(AND(COUNT(AI81,AJ81,AK81,AM81)=4,(AI81+AJ81+AK81+AM81)&lt;&gt;0),((N(AM224)+N(AM225)+N(AM229)+N(AM250))-N(AM156))/(AI81+AJ81+AK81+AM81),""),"")</f>
        <v>2.21624208365664</v>
      </c>
      <c r="AN349" s="262">
        <f>IFERROR(IF(AND(COUNT(AJ81,AK81,AM81,AN81)=4,(AJ81+AK81+AM81+AN81)&lt;&gt;0),((N(AN224)+N(AN225)+N(AN229)+N(AN250))-N(AN156))/(AJ81+AK81+AM81+AN81),""),"")</f>
        <v>2.17285435584657</v>
      </c>
      <c r="AO349" s="262">
        <f>IFERROR(IF(AND(COUNT(AK81,AM81,AN81,AO81)=4,(AK81+AM81+AN81+AO81)&lt;&gt;0),((N(AO224)+N(AO225)+N(AO229)+N(AO250))-N(AO156))/(AK81+AM81+AN81+AO81),""),"")</f>
        <v>2.02991455367473</v>
      </c>
      <c r="AP349" s="262">
        <f>IFERROR(IF(AND(COUNT(AM81,AN81,AO81,AP81)=4,(AM81+AN81+AO81+AP81)&lt;&gt;0),((N(AP224)+N(AP225)+N(AP229)+N(AP250))-N(AP156))/(AM81+AN81+AO81+AP81),""),"")</f>
        <v>1.93600275665241</v>
      </c>
      <c r="AQ349" s="262">
        <f>IFERROR(IF(AND(COUNT(AM81,AN81,AO81,AP81)=4,(AM81+AN81+AO81+AP81)&lt;&gt;0),((N(AQ224)+N(AQ225)+N(AQ229)+N(AQ250))-N(AQ156))/(AM81+AN81+AO81+AP81),""),"")</f>
        <v>1.93600275665241</v>
      </c>
      <c r="AR349" s="262">
        <f>IFERROR(IF(AND(COUNT(AN81,AO81,AP81,AR81)=4,(AN81+AO81+AP81+AR81)&lt;&gt;0),((N(AR224)+N(AR225)+N(AR229)+N(AR250))-N(AR156))/(AN81+AO81+AP81+AR81),""),"")</f>
        <v>1.81434216242302</v>
      </c>
      <c r="AS349" s="262">
        <f>IFERROR(IF(AND(COUNT(AO81,AP81,AR81,AS81)=4,(AO81+AP81+AR81+AS81)&lt;&gt;0),((N(AS224)+N(AS225)+N(AS229)+N(AS250))-N(AS156))/(AO81+AP81+AR81+AS81),""),"")</f>
        <v>1.71583352585134</v>
      </c>
      <c r="AT349" s="262">
        <f>IFERROR(IF(AND(COUNT(AP81,AR81,AS81,AT81)=4,(AP81+AR81+AS81+AT81)&lt;&gt;0),((N(AT224)+N(AT225)+N(AT229)+N(AT250))-N(AT156))/(AP81+AR81+AS81+AT81),""),"")</f>
        <v>1.58311241383696</v>
      </c>
      <c r="AU349" s="262">
        <f>IFERROR(IF(AND(COUNT(AR81,AS81,AT81,AU81)=4,(AR81+AS81+AT81+AU81)&lt;&gt;0),((N(AU224)+N(AU225)+N(AU229)+N(AU250))-N(AU156))/(AR81+AS81+AT81+AU81),""),"")</f>
        <v>1.49844347716067</v>
      </c>
      <c r="AV349" s="262">
        <f>IFERROR(IF(AND(COUNT(AR81,AS81,AT81,AU81)=4,(AR81+AS81+AT81+AU81)&lt;&gt;0),((N(AV224)+N(AV225)+N(AV229)+N(AV250))-N(AV156))/(AR81+AS81+AT81+AU81),""),"")</f>
        <v>1.49844347716067</v>
      </c>
      <c r="AW349" s="262">
        <f>IFERROR(IF(AND(COUNT(AS81,AT81,AU81,AW81)=4,(AS81+AT81+AU81+AW81)&lt;&gt;0),((N(AW224)+N(AW225)+N(AW229)+N(AW250))-N(AW156))/(AS81+AT81+AU81+AW81),""),"")</f>
        <v>1.38281230675477</v>
      </c>
      <c r="AX349" s="262">
        <f>IFERROR(IF(AND(COUNT(AT81,AU81,AW81,AX81)=4,(AT81+AU81+AW81+AX81)&lt;&gt;0),((N(AX224)+N(AX225)+N(AX229)+N(AX250))-N(AX156))/(AT81+AU81+AW81+AX81),""),"")</f>
        <v>1.2977103443007</v>
      </c>
      <c r="AY349" s="262">
        <f>IFERROR(IF(AND(COUNT(AU81,AW81,AX81,AY81)=4,(AU81+AW81+AX81+AY81)&lt;&gt;0),((N(AY224)+N(AY225)+N(AY229)+N(AY250))-N(AY156))/(AU81+AW81+AX81+AY81),""),"")</f>
        <v>1.17350557314187</v>
      </c>
      <c r="AZ349" s="262">
        <f>IFERROR(IF(AND(COUNT(AW81,AX81,AY81,AZ81)=4,(AW81+AX81+AY81+AZ81)&lt;&gt;0),((N(AZ224)+N(AZ225)+N(AZ229)+N(AZ250))-N(AZ156))/(AW81+AX81+AY81+AZ81),""),"")</f>
        <v>1.09652529058575</v>
      </c>
      <c r="BA349" s="262">
        <f>IFERROR(IF(AND(COUNT(AW81,AX81,AY81,AZ81)=4,(AW81+AX81+AY81+AZ81)&lt;&gt;0),((N(BA224)+N(BA225)+N(BA229)+N(BA250))-N(BA156))/(AW81+AX81+AY81+AZ81),""),"")</f>
        <v>1.09652529058575</v>
      </c>
      <c r="BB349" s="262">
        <f>IFERROR(IF(AND(COUNT(AX81,AY81,AZ81,BB81)=4,(AX81+AY81+AZ81+BB81)&lt;&gt;0),((N(BB224)+N(BB225)+N(BB229)+N(BB250))-N(BB156))/(AX81+AY81+AZ81+BB81),""),"")</f>
        <v>0.990468590948709</v>
      </c>
      <c r="BC349" s="262">
        <f>IFERROR(IF(AND(COUNT(AY81,AZ81,BB81,BC81)=4,(AY81+AZ81+BB81+BC81)&lt;&gt;0),((N(BC224)+N(BC225)+N(BC229)+N(BC250))-N(BC156))/(AY81+AZ81+BB81+BC81),""),"")</f>
        <v>0.912262409682158</v>
      </c>
      <c r="BD349" s="262">
        <f>IFERROR(IF(AND(COUNT(AZ81,BB81,BC81,BD81)=4,(AZ81+BB81+BC81+BD81)&lt;&gt;0),((N(BD224)+N(BD225)+N(BD229)+N(BD250))-N(BD156))/(AZ81+BB81+BC81+BD81),""),"")</f>
        <v>0.795119301704425</v>
      </c>
      <c r="BE349" s="262">
        <f>IFERROR(IF(AND(COUNT(BB81,BC81,BD81,BE81)=4,(BB81+BC81+BD81+BE81)&lt;&gt;0),((N(BE224)+N(BE225)+N(BE229)+N(BE250))-N(BE156))/(BB81+BC81+BD81+BE81),""),"")</f>
        <v>0.724498495895943</v>
      </c>
      <c r="BF349" s="262">
        <f>IFERROR(IF(AND(COUNT(BB81,BC81,BD81,BE81)=4,(BB81+BC81+BD81+BE81)&lt;&gt;0),((N(BF224)+N(BF225)+N(BF229)+N(BF250))-N(BF156))/(BB81+BC81+BD81+BE81),""),"")</f>
        <v>0.724498495895943</v>
      </c>
      <c r="BG349" s="82" t="n"/>
      <c r="BH349" s="82" t="n"/>
      <c r="BI349" s="82" t="n"/>
      <c r="BJ349" s="82" t="n"/>
      <c r="BL349" s="82" t="n"/>
      <c r="BM349" s="82" t="n"/>
      <c r="BN349" s="82" t="n"/>
      <c r="BO349" s="82" t="n"/>
      <c r="BQ349" s="82" t="n"/>
      <c r="BR349" s="82" t="n"/>
      <c r="BS349" s="82" t="n"/>
      <c r="BT349" s="82" t="n"/>
      <c r="BV349" s="82" t="n"/>
      <c r="BW349" s="82" t="n"/>
      <c r="BX349" s="82" t="n"/>
      <c r="BY349" s="82" t="n"/>
      <c r="CA349" s="82" t="n"/>
      <c r="CB349" s="82" t="n"/>
      <c r="CC349" s="82" t="n"/>
      <c r="CD349" s="82" t="n"/>
      <c r="CF349" s="82" t="n"/>
      <c r="CG349" s="82" t="n"/>
      <c r="CH349" s="82" t="n"/>
      <c r="CI349" s="82" t="n"/>
      <c r="CK349" s="82" t="n"/>
      <c r="CL349" s="82" t="n"/>
      <c r="CM349" s="82" t="n"/>
      <c r="CN349" s="82" t="n"/>
      <c r="CP349" s="82" t="n"/>
      <c r="CQ349" s="82" t="n"/>
      <c r="CR349" s="82" t="n"/>
      <c r="CS349" s="82" t="n"/>
      <c r="CU349" s="82" t="n"/>
      <c r="CV349" s="82" t="n"/>
      <c r="CW349" s="82" t="n"/>
      <c r="CX349" s="82" t="n"/>
    </row>
    <row r="350" customFormat="1" s="77">
      <c r="A350" s="76" t="n"/>
      <c r="B350" s="76" t="n"/>
      <c r="C350" s="77" t="inlineStr">
        <is>
          <t>INTEREST COVERAGE (EBIT / INTEREST, LTM)</t>
        </is>
      </c>
      <c r="D350" s="82" t="str">
        <f>IFERROR(D85/-D86,"")</f>
        <v/>
      </c>
      <c r="E350" s="82" t="str">
        <f>IFERROR(E85/-E86,"")</f>
        <v/>
      </c>
      <c r="F350" s="82" t="str">
        <f>IFERROR(F85/-F86,"")</f>
        <v/>
      </c>
      <c r="G350" s="82" t="str">
        <f>IFERROR(G85/-G86,"")</f>
        <v/>
      </c>
      <c r="H350" s="262" t="str">
        <f>IFERROR(IF(AND(COUNT(H85)=1,(H86)&lt;&gt;0),(H85)/-(H86),""),"")</f>
        <v/>
      </c>
      <c r="I350" s="262" t="str">
        <f>""</f>
        <v/>
      </c>
      <c r="J350" s="262" t="str">
        <f>""</f>
        <v/>
      </c>
      <c r="K350" s="262" t="str">
        <f>""</f>
        <v/>
      </c>
      <c r="L350" s="262">
        <f>IFERROR(IF(AND(COUNT(I85,J85,K85,L85)=4,(I86+J86+K86+L86)&lt;&gt;0),(I85+J85+K85+L85)/-(I86+J86+K86+L86),""),"")</f>
        <v>1.73850210541358</v>
      </c>
      <c r="M350" s="262">
        <f>IFERROR(IF(AND(COUNT(I85,J85,K85,L85)=4,(I86+J86+K86+L86)&lt;&gt;0),(I85+J85+K85+L85)/-(I86+J86+K86+L86),""),"")</f>
        <v>1.73850210541358</v>
      </c>
      <c r="N350" s="262">
        <f>IFERROR(IF(AND(COUNT(J85,K85,L85,N85)=4,(J86+K86+L86+N86)&lt;&gt;0),(J85+K85+L85+N85)/-(J86+K86+L86+N86),""),"")</f>
        <v>1.90600215159859</v>
      </c>
      <c r="O350" s="262">
        <f>IFERROR(IF(AND(COUNT(K85,L85,N85,O85)=4,(K86+L86+N86+O86)&lt;&gt;0),(K85+L85+N85+O85)/-(K86+L86+N86+O86),""),"")</f>
        <v>1.31411808404209</v>
      </c>
      <c r="P350" s="262">
        <f>IFERROR(IF(AND(COUNT(L85,N85,O85,P85)=4,(L86+N86+O86+P86)&lt;&gt;0),(L85+N85+O85+P85)/-(L86+N86+O86+P86),""),"")</f>
        <v>1.18990627435051</v>
      </c>
      <c r="Q350" s="262">
        <f>IFERROR(IF(AND(COUNT(N85,O85,P85,Q85)=4,(N86+O86+P86+Q86)&lt;&gt;0),(N85+O85+P85+Q85)/-(N86+O86+P86+Q86),""),"")</f>
        <v>1.09332668002456</v>
      </c>
      <c r="R350" s="262">
        <f>IFERROR(IF(AND(COUNT(N85,O85,P85,Q85)=4,(N86+O86+P86+Q86)&lt;&gt;0),(N85+O85+P85+Q85)/-(N86+O86+P86+Q86),""),"")</f>
        <v>1.09332668002456</v>
      </c>
      <c r="S350" s="262">
        <f>IFERROR(IF(AND(COUNT(O85,P85,Q85,S85)=4,(O86+P86+Q86+S86)&lt;&gt;0),(O85+P85+Q85+S85)/-(O86+P86+Q86+S86),""),"")</f>
        <v>0.926369197313256</v>
      </c>
      <c r="T350" s="262">
        <f>IFERROR(IF(AND(COUNT(P85,Q85,S85,T85)=4,(P86+Q86+S86+T86)&lt;&gt;0),(P85+Q85+S85+T85)/-(P86+Q86+S86+T86),""),"")</f>
        <v>0.846728468014457</v>
      </c>
      <c r="U350" s="262">
        <f>IFERROR(IF(AND(COUNT(Q85,S85,T85,U85)=4,(Q86+S86+T86+U86)&lt;&gt;0),(Q85+S85+T85+U85)/-(Q86+S86+T86+U86),""),"")</f>
        <v>0.793127821332779</v>
      </c>
      <c r="V350" s="262">
        <f>IFERROR(IF(AND(COUNT(S85,T85,U85,V85)=4,(S86+T86+U86+V86)&lt;&gt;0),(S85+T85+U85+V85)/-(S86+T86+U86+V86),""),"")</f>
        <v>0.531981277277615</v>
      </c>
      <c r="W350" s="262">
        <f>IFERROR(IF(AND(COUNT(S85,T85,U85,V85)=4,(S86+T86+U86+V86)&lt;&gt;0),(S85+T85+U85+V85)/-(S86+T86+U86+V86),""),"")</f>
        <v>0.531981277277615</v>
      </c>
      <c r="X350" s="262">
        <f>IFERROR(IF(AND(COUNT(T85,U85,V85,X85)=4,(T86+U86+V86+X86)&lt;&gt;0),(T85+U85+V85+X85)/-(T86+U86+V86+X86),""),"")</f>
        <v>0.582224073610295</v>
      </c>
      <c r="Y350" s="262">
        <f>IFERROR(IF(AND(COUNT(U85,V85,X85,Y85)=4,(U86+V86+X86+Y86)&lt;&gt;0),(U85+V85+X85+Y85)/-(U86+V86+X86+Y86),""),"")</f>
        <v>0.607043447757454</v>
      </c>
      <c r="Z350" s="262">
        <f>IFERROR(IF(AND(COUNT(V85,X85,Y85,Z85)=4,(V86+X86+Y86+Z86)&lt;&gt;0),(V85+X85+Y85+Z85)/-(V86+X86+Y86+Z86),""),"")</f>
        <v>0.672117695036751</v>
      </c>
      <c r="AA350" s="262">
        <f>IFERROR(IF(AND(COUNT(X85,Y85,Z85,AA85)=4,(X86+Y86+Z86+AA86)&lt;&gt;0),(X85+Y85+Z85+AA85)/-(X86+Y86+Z86+AA86),""),"")</f>
        <v>0.974415150307041</v>
      </c>
      <c r="AB350" s="262">
        <f>IFERROR(IF(AND(COUNT(X85,Y85,Z85,AA85)=4,(X86+Y86+Z86+AA86)&lt;&gt;0),(X85+Y85+Z85+AA85)/-(X86+Y86+Z86+AA86),""),"")</f>
        <v>0.974415150307041</v>
      </c>
      <c r="AC350" s="262">
        <f>IFERROR(IF(AND(COUNT(Y85,Z85,AA85,AC85)=4,(Y86+Z86+AA86+AC86)&lt;&gt;0),(Y85+Z85+AA85+AC85)/-(Y86+Z86+AA86+AC86),""),"")</f>
        <v>0.98857005624111</v>
      </c>
      <c r="AD350" s="262">
        <f>IFERROR(IF(AND(COUNT(Z85,AA85,AC85,AD85)=4,(Z86+AA86+AC86+AD86)&lt;&gt;0),(Z85+AA85+AC85+AD85)/-(Z86+AA86+AC86+AD86),""),"")</f>
        <v>0.998414778513304</v>
      </c>
      <c r="AE350" s="262">
        <f>IFERROR(IF(AND(COUNT(AA85,AC85,AD85,AE85)=4,(AA86+AC86+AD86+AE86)&lt;&gt;0),(AA85+AC85+AD85+AE85)/-(AA86+AC86+AD86+AE86),""),"")</f>
        <v>0.988689329597875</v>
      </c>
      <c r="AF350" s="262">
        <f>IFERROR(IF(AND(COUNT(AB85,AD85,AE85,AF85)=4,(AB86+AD86+AE86+AF86)&lt;&gt;0),(AB85+AD85+AE85+AF85)/-(AB86+AD86+AE86+AF86),""),"")</f>
        <v>0.923753291940265</v>
      </c>
      <c r="AG350" s="262">
        <f>IFERROR(IF(AND(COUNT(AC85,AD85,AE85,AF85)=4,(AC86+AD86+AE86+AF86)&lt;&gt;0),(AC85+AD85+AE85+AF85)/-(AC86+AD86+AE86+AF86),""),"")</f>
        <v>0.907404455778421</v>
      </c>
      <c r="AH350" s="262">
        <f>IFERROR(IF(AND(COUNT(AD85,AF85,AG85,AH85)=4,(AD86+AF86+AG86+AH86)&lt;&gt;0),(AD85+AF85+AG85+AH85)/-(AD86+AF86+AG86+AH86),""),"")</f>
        <v>0.902461412652651</v>
      </c>
      <c r="AI350" s="262">
        <f>IFERROR(IF(AND(COUNT(AE85,AG85,AH85,AI85)=4,(AE86+AG86+AH86+AI86)&lt;&gt;0),(AE85+AG85+AH85+AI85)/-(AE86+AG86+AH86+AI86),""),"")</f>
        <v>0.94612146575851</v>
      </c>
      <c r="AJ350" s="262" t="str">
        <f>IFERROR(IF(AND(COUNT(AF85,AH85,AI85,AJ85)=4,(AF86+AH86+AI86+AJ86)&lt;&gt;0),(AF85+AH85+AI85+AJ85)/-(AF86+AH86+AI86+AJ86),""),"")</f>
        <v/>
      </c>
      <c r="AK350" s="262" t="str">
        <f>IFERROR(IF(AND(COUNT(AH85,AI85,AJ85,AK85)=4,(AH86+AI86+AJ86+AK86)&lt;&gt;0),(AH85+AI85+AJ85+AK85)/-(AH86+AI86+AJ86+AK86),""),"")</f>
        <v/>
      </c>
      <c r="AL350" s="262" t="str">
        <f>IFERROR(IF(AND(COUNT(AH85,AI85,AJ85,AK85)=4,(AH86+AI86+AJ86+AK86)&lt;&gt;0),(AH85+AI85+AJ85+AK85)/-(AH86+AI86+AJ86+AK86),""),"")</f>
        <v/>
      </c>
      <c r="AM350" s="262" t="str">
        <f>IFERROR(IF(AND(COUNT(AI85,AJ85,AK85,AM85)=4,(AI86+AJ86+AK86+AM86)&lt;&gt;0),(AI85+AJ85+AK85+AM85)/-(AI86+AJ86+AK86+AM86),""),"")</f>
        <v/>
      </c>
      <c r="AN350" s="262" t="str">
        <f>IFERROR(IF(AND(COUNT(AJ85,AK85,AM85,AN85)=4,(AJ86+AK86+AM86+AN86)&lt;&gt;0),(AJ85+AK85+AM85+AN85)/-(AJ86+AK86+AM86+AN86),""),"")</f>
        <v/>
      </c>
      <c r="AO350" s="262" t="str">
        <f>IFERROR(IF(AND(COUNT(AK85,AM85,AN85,AO85)=4,(AK86+AM86+AN86+AO86)&lt;&gt;0),(AK85+AM85+AN85+AO85)/-(AK86+AM86+AN86+AO86),""),"")</f>
        <v/>
      </c>
      <c r="AP350" s="262" t="str">
        <f>IFERROR(IF(AND(COUNT(AM85,AN85,AO85,AP85)=4,(AM86+AN86+AO86+AP86)&lt;&gt;0),(AM85+AN85+AO85+AP85)/-(AM86+AN86+AO86+AP86),""),"")</f>
        <v/>
      </c>
      <c r="AQ350" s="262" t="str">
        <f>IFERROR(IF(AND(COUNT(AM85,AN85,AO85,AP85)=4,(AM86+AN86+AO86+AP86)&lt;&gt;0),(AM85+AN85+AO85+AP85)/-(AM86+AN86+AO86+AP86),""),"")</f>
        <v/>
      </c>
      <c r="AR350" s="262" t="str">
        <f>IFERROR(IF(AND(COUNT(AN85,AO85,AP85,AR85)=4,(AN86+AO86+AP86+AR86)&lt;&gt;0),(AN85+AO85+AP85+AR85)/-(AN86+AO86+AP86+AR86),""),"")</f>
        <v/>
      </c>
      <c r="AS350" s="262" t="str">
        <f>IFERROR(IF(AND(COUNT(AO85,AP85,AR85,AS85)=4,(AO86+AP86+AR86+AS86)&lt;&gt;0),(AO85+AP85+AR85+AS85)/-(AO86+AP86+AR86+AS86),""),"")</f>
        <v/>
      </c>
      <c r="AT350" s="262" t="str">
        <f>IFERROR(IF(AND(COUNT(AP85,AR85,AS85,AT85)=4,(AP86+AR86+AS86+AT86)&lt;&gt;0),(AP85+AR85+AS85+AT85)/-(AP86+AR86+AS86+AT86),""),"")</f>
        <v/>
      </c>
      <c r="AU350" s="262" t="str">
        <f>IFERROR(IF(AND(COUNT(AR85,AS85,AT85,AU85)=4,(AR86+AS86+AT86+AU86)&lt;&gt;0),(AR85+AS85+AT85+AU85)/-(AR86+AS86+AT86+AU86),""),"")</f>
        <v/>
      </c>
      <c r="AV350" s="262" t="str">
        <f>IFERROR(IF(AND(COUNT(AR85,AS85,AT85,AU85)=4,(AR86+AS86+AT86+AU86)&lt;&gt;0),(AR85+AS85+AT85+AU85)/-(AR86+AS86+AT86+AU86),""),"")</f>
        <v/>
      </c>
      <c r="AW350" s="262" t="str">
        <f>IFERROR(IF(AND(COUNT(AS85,AT85,AU85,AW85)=4,(AS86+AT86+AU86+AW86)&lt;&gt;0),(AS85+AT85+AU85+AW85)/-(AS86+AT86+AU86+AW86),""),"")</f>
        <v/>
      </c>
      <c r="AX350" s="262" t="str">
        <f>IFERROR(IF(AND(COUNT(AT85,AU85,AW85,AX85)=4,(AT86+AU86+AW86+AX86)&lt;&gt;0),(AT85+AU85+AW85+AX85)/-(AT86+AU86+AW86+AX86),""),"")</f>
        <v/>
      </c>
      <c r="AY350" s="262" t="str">
        <f>IFERROR(IF(AND(COUNT(AU85,AW85,AX85,AY85)=4,(AU86+AW86+AX86+AY86)&lt;&gt;0),(AU85+AW85+AX85+AY85)/-(AU86+AW86+AX86+AY86),""),"")</f>
        <v/>
      </c>
      <c r="AZ350" s="262" t="str">
        <f>IFERROR(IF(AND(COUNT(AW85,AX85,AY85,AZ85)=4,(AW86+AX86+AY86+AZ86)&lt;&gt;0),(AW85+AX85+AY85+AZ85)/-(AW86+AX86+AY86+AZ86),""),"")</f>
        <v/>
      </c>
      <c r="BA350" s="262" t="str">
        <f>IFERROR(IF(AND(COUNT(AW85,AX85,AY85,AZ85)=4,(AW86+AX86+AY86+AZ86)&lt;&gt;0),(AW85+AX85+AY85+AZ85)/-(AW86+AX86+AY86+AZ86),""),"")</f>
        <v/>
      </c>
      <c r="BB350" s="262" t="str">
        <f>IFERROR(IF(AND(COUNT(AX85,AY85,AZ85,BB85)=4,(AX86+AY86+AZ86+BB86)&lt;&gt;0),(AX85+AY85+AZ85+BB85)/-(AX86+AY86+AZ86+BB86),""),"")</f>
        <v/>
      </c>
      <c r="BC350" s="262" t="str">
        <f>IFERROR(IF(AND(COUNT(AY85,AZ85,BB85,BC85)=4,(AY86+AZ86+BB86+BC86)&lt;&gt;0),(AY85+AZ85+BB85+BC85)/-(AY86+AZ86+BB86+BC86),""),"")</f>
        <v/>
      </c>
      <c r="BD350" s="262" t="str">
        <f>IFERROR(IF(AND(COUNT(AZ85,BB85,BC85,BD85)=4,(AZ86+BB86+BC86+BD86)&lt;&gt;0),(AZ85+BB85+BC85+BD85)/-(AZ86+BB86+BC86+BD86),""),"")</f>
        <v/>
      </c>
      <c r="BE350" s="262" t="str">
        <f>IFERROR(IF(AND(COUNT(BB85,BC85,BD85,BE85)=4,(BB86+BC86+BD86+BE86)&lt;&gt;0),(BB85+BC85+BD85+BE85)/-(BB86+BC86+BD86+BE86),""),"")</f>
        <v/>
      </c>
      <c r="BF350" s="262" t="str">
        <f>IFERROR(IF(AND(COUNT(BB85,BC85,BD85,BE85)=4,(BB86+BC86+BD86+BE86)&lt;&gt;0),(BB85+BC85+BD85+BE85)/-(BB86+BC86+BD86+BE86),""),"")</f>
        <v/>
      </c>
      <c r="BG350" s="82" t="n"/>
      <c r="BH350" s="82" t="n"/>
      <c r="BI350" s="82" t="n"/>
      <c r="BJ350" s="82" t="n"/>
      <c r="BL350" s="82" t="n"/>
      <c r="BM350" s="82" t="n"/>
      <c r="BN350" s="82" t="n"/>
      <c r="BO350" s="82" t="n"/>
      <c r="BQ350" s="82" t="n"/>
      <c r="BR350" s="82" t="n"/>
      <c r="BS350" s="82" t="n"/>
      <c r="BT350" s="82" t="n"/>
      <c r="BV350" s="82" t="n"/>
      <c r="BW350" s="82" t="n"/>
      <c r="BX350" s="82" t="n"/>
      <c r="BY350" s="82" t="n"/>
      <c r="CA350" s="82" t="n"/>
      <c r="CB350" s="82" t="n"/>
      <c r="CC350" s="82" t="n"/>
      <c r="CD350" s="82" t="n"/>
      <c r="CF350" s="82" t="n"/>
      <c r="CG350" s="82" t="n"/>
      <c r="CH350" s="82" t="n"/>
      <c r="CI350" s="82" t="n"/>
      <c r="CK350" s="82" t="n"/>
      <c r="CL350" s="82" t="n"/>
      <c r="CM350" s="82" t="n"/>
      <c r="CN350" s="82" t="n"/>
      <c r="CP350" s="82" t="n"/>
      <c r="CQ350" s="82" t="n"/>
      <c r="CR350" s="82" t="n"/>
      <c r="CS350" s="82" t="n"/>
      <c r="CU350" s="82" t="n"/>
      <c r="CV350" s="82" t="n"/>
      <c r="CW350" s="82" t="n"/>
      <c r="CX350" s="82" t="n"/>
    </row>
    <row r="351" customFormat="1" s="77">
      <c r="A351" s="76" t="n"/>
      <c r="B351" s="76" t="n"/>
    </row>
    <row r="352" customFormat="1" s="77">
      <c r="A352" s="76" t="n"/>
      <c r="B352" s="76" t="n"/>
      <c r="C352" s="74" t="inlineStr">
        <is>
          <t>INTERNAL LIQUIDITY</t>
        </is>
      </c>
    </row>
    <row r="353" customFormat="1" s="77">
      <c r="A353" s="76" t="n"/>
      <c r="B353" s="76" t="n"/>
      <c r="C353" s="77" t="inlineStr">
        <is>
          <t>CURRENT RATIO</t>
        </is>
      </c>
      <c r="D353" s="82" t="str">
        <f>IFERROR(SUM(D156,D157,D161,D165,D166,D167)/SUM(D210,D214,D216,D217),"")</f>
        <v/>
      </c>
      <c r="E353" s="82" t="str">
        <f>IFERROR(SUM(E156,E157,E161,E165,E166,E167)/SUM(E210,E214,E216,E217),"")</f>
        <v/>
      </c>
      <c r="F353" s="82" t="str">
        <f>IFERROR(SUM(F156,F157,F161,F165,F166,F167)/SUM(F210,F214,F216,F217),"")</f>
        <v/>
      </c>
      <c r="G353" s="82" t="str">
        <f>IFERROR(SUM(G156,G157,G161,G165,G166,G167)/SUM(G210,G214,G216,G217),"")</f>
        <v/>
      </c>
      <c r="H353" s="262" t="str">
        <f>IFERROR(IF((N(H210)+N(H214)+N(H216)+N(H217)+N(H224)+N(H225)+N(H226))&lt;&gt;0,(N(H156)+(N(H157)+N(H161)+N(H165)+N(H166)+N(H167)))/(N(H210)+N(H214)+N(H216)+N(H217)+N(H224)+N(H225)+N(H226)),""),"")</f>
        <v/>
      </c>
      <c r="I353" s="262">
        <f>IFERROR(IF((N(I210)+N(I214)+N(I216)+N(I217)+N(I224)+N(I225)+N(I226))&lt;&gt;0,(N(I156)+(N(I157)+N(I161)+N(I165)+N(I166)+N(I167)))/(N(I210)+N(I214)+N(I216)+N(I217)+N(I224)+N(I225)+N(I226)),""),"")</f>
        <v>3.48655467951833</v>
      </c>
      <c r="J353" s="262">
        <f>IFERROR(IF((N(J210)+N(J214)+N(J216)+N(J217)+N(J224)+N(J225)+N(J226))&lt;&gt;0,(N(J156)+(N(J157)+N(J161)+N(J165)+N(J166)+N(J167)))/(N(J210)+N(J214)+N(J216)+N(J217)+N(J224)+N(J225)+N(J226)),""),"")</f>
        <v>2.95227874465101</v>
      </c>
      <c r="K353" s="262">
        <f>IFERROR(IF((N(K210)+N(K214)+N(K216)+N(K217)+N(K224)+N(K225)+N(K226))&lt;&gt;0,(N(K156)+(N(K157)+N(K161)+N(K165)+N(K166)+N(K167)))/(N(K210)+N(K214)+N(K216)+N(K217)+N(K224)+N(K225)+N(K226)),""),"")</f>
        <v>4.10198468694471</v>
      </c>
      <c r="L353" s="262">
        <f>IFERROR(IF((N(L210)+N(L214)+N(L216)+N(L217)+N(L224)+N(L225)+N(L226))&lt;&gt;0,(N(L156)+(N(L157)+N(L161)+N(L165)+N(L166)+N(L167)))/(N(L210)+N(L214)+N(L216)+N(L217)+N(L224)+N(L225)+N(L226)),""),"")</f>
        <v>2.44032765043014</v>
      </c>
      <c r="M353" s="262">
        <f>IFERROR(IF((N(M210)+N(M214)+N(M216)+N(M217)+N(M224)+N(M225)+N(M226))&lt;&gt;0,(N(M156)+(N(M157)+N(M161)+N(M165)+N(M166)+N(M167)))/(N(M210)+N(M214)+N(M216)+N(M217)+N(M224)+N(M225)+N(M226)),""),"")</f>
        <v>2.44032765043014</v>
      </c>
      <c r="N353" s="262">
        <f>IFERROR(IF((N(N210)+N(N214)+N(N216)+N(N217)+N(N224)+N(N225)+N(N226))&lt;&gt;0,(N(N156)+(N(N157)+N(N161)+N(N165)+N(N166)+N(N167)))/(N(N210)+N(N214)+N(N216)+N(N217)+N(N224)+N(N225)+N(N226)),""),"")</f>
        <v>2.25206971288164</v>
      </c>
      <c r="O353" s="262">
        <f>IFERROR(IF((N(O210)+N(O214)+N(O216)+N(O217)+N(O224)+N(O225)+N(O226))&lt;&gt;0,(N(O156)+(N(O157)+N(O161)+N(O165)+N(O166)+N(O167)))/(N(O210)+N(O214)+N(O216)+N(O217)+N(O224)+N(O225)+N(O226)),""),"")</f>
        <v>1.80095243879189</v>
      </c>
      <c r="P353" s="262">
        <f>IFERROR(IF((N(P210)+N(P214)+N(P216)+N(P217)+N(P224)+N(P225)+N(P226))&lt;&gt;0,(N(P156)+(N(P157)+N(P161)+N(P165)+N(P166)+N(P167)))/(N(P210)+N(P214)+N(P216)+N(P217)+N(P224)+N(P225)+N(P226)),""),"")</f>
        <v>2.62336660262318</v>
      </c>
      <c r="Q353" s="262">
        <f>IFERROR(IF((N(Q210)+N(Q214)+N(Q216)+N(Q217)+N(Q224)+N(Q225)+N(Q226))&lt;&gt;0,(N(Q156)+(N(Q157)+N(Q161)+N(Q165)+N(Q166)+N(Q167)))/(N(Q210)+N(Q214)+N(Q216)+N(Q217)+N(Q224)+N(Q225)+N(Q226)),""),"")</f>
        <v>1.60143961153555</v>
      </c>
      <c r="R353" s="262">
        <f>IFERROR(IF((N(R210)+N(R214)+N(R216)+N(R217)+N(R224)+N(R225)+N(R226))&lt;&gt;0,(N(R156)+(N(R157)+N(R161)+N(R165)+N(R166)+N(R167)))/(N(R210)+N(R214)+N(R216)+N(R217)+N(R224)+N(R225)+N(R226)),""),"")</f>
        <v>1.60143961153555</v>
      </c>
      <c r="S353" s="262">
        <f>IFERROR(IF((N(S210)+N(S214)+N(S216)+N(S217)+N(S224)+N(S225)+N(S226))&lt;&gt;0,(N(S156)+(N(S157)+N(S161)+N(S165)+N(S166)+N(S167)))/(N(S210)+N(S214)+N(S216)+N(S217)+N(S224)+N(S225)+N(S226)),""),"")</f>
        <v>1.69663131465845</v>
      </c>
      <c r="T353" s="262">
        <f>IFERROR(IF((N(T210)+N(T214)+N(T216)+N(T217)+N(T224)+N(T225)+N(T226))&lt;&gt;0,(N(T156)+(N(T157)+N(T161)+N(T165)+N(T166)+N(T167)))/(N(T210)+N(T214)+N(T216)+N(T217)+N(T224)+N(T225)+N(T226)),""),"")</f>
        <v>1.63122147855935</v>
      </c>
      <c r="U353" s="262">
        <f>IFERROR(IF((N(U210)+N(U214)+N(U216)+N(U217)+N(U224)+N(U225)+N(U226))&lt;&gt;0,(N(U156)+(N(U157)+N(U161)+N(U165)+N(U166)+N(U167)))/(N(U210)+N(U214)+N(U216)+N(U217)+N(U224)+N(U225)+N(U226)),""),"")</f>
        <v>1.21326581709299</v>
      </c>
      <c r="V353" s="262">
        <f>IFERROR(IF((N(V210)+N(V214)+N(V216)+N(V217)+N(V224)+N(V225)+N(V226))&lt;&gt;0,(N(V156)+(N(V157)+N(V161)+N(V165)+N(V166)+N(V167)))/(N(V210)+N(V214)+N(V216)+N(V217)+N(V224)+N(V225)+N(V226)),""),"")</f>
        <v>0.728510769581591</v>
      </c>
      <c r="W353" s="262">
        <f>IFERROR(IF((N(W210)+N(W214)+N(W216)+N(W217)+N(W224)+N(W225)+N(W226))&lt;&gt;0,(N(W156)+(N(W157)+N(W161)+N(W165)+N(W166)+N(W167)))/(N(W210)+N(W214)+N(W216)+N(W217)+N(W224)+N(W225)+N(W226)),""),"")</f>
        <v>0.728510769581591</v>
      </c>
      <c r="X353" s="262">
        <f>IFERROR(IF((N(X210)+N(X214)+N(X216)+N(X217)+N(X224)+N(X225)+N(X226))&lt;&gt;0,(N(X156)+(N(X157)+N(X161)+N(X165)+N(X166)+N(X167)))/(N(X210)+N(X214)+N(X216)+N(X217)+N(X224)+N(X225)+N(X226)),""),"")</f>
        <v>0.81562997278772</v>
      </c>
      <c r="Y353" s="262">
        <f>IFERROR(IF((N(Y210)+N(Y214)+N(Y216)+N(Y217)+N(Y224)+N(Y225)+N(Y226))&lt;&gt;0,(N(Y156)+(N(Y157)+N(Y161)+N(Y165)+N(Y166)+N(Y167)))/(N(Y210)+N(Y214)+N(Y216)+N(Y217)+N(Y224)+N(Y225)+N(Y226)),""),"")</f>
        <v>0.953855725591337</v>
      </c>
      <c r="Z353" s="262">
        <f>IFERROR(IF((N(Z210)+N(Z214)+N(Z216)+N(Z217)+N(Z224)+N(Z225)+N(Z226))&lt;&gt;0,(N(Z156)+(N(Z157)+N(Z161)+N(Z165)+N(Z166)+N(Z167)))/(N(Z210)+N(Z214)+N(Z216)+N(Z217)+N(Z224)+N(Z225)+N(Z226)),""),"")</f>
        <v>0.980092979343377</v>
      </c>
      <c r="AA353" s="262">
        <f>IFERROR(IF((N(AA210)+N(AA214)+N(AA216)+N(AA217)+N(AA224)+N(AA225)+N(AA226))&lt;&gt;0,(N(AA156)+(N(AA157)+N(AA161)+N(AA165)+N(AA166)+N(AA167)))/(N(AA210)+N(AA214)+N(AA216)+N(AA217)+N(AA224)+N(AA225)+N(AA226)),""),"")</f>
        <v>0.751241194213809</v>
      </c>
      <c r="AB353" s="262">
        <f>IFERROR(IF((N(AB210)+N(AB214)+N(AB216)+N(AB217)+N(AB224)+N(AB225)+N(AB226))&lt;&gt;0,(N(AB156)+(N(AB157)+N(AB161)+N(AB165)+N(AB166)+N(AB167)))/(N(AB210)+N(AB214)+N(AB216)+N(AB217)+N(AB224)+N(AB225)+N(AB226)),""),"")</f>
        <v>0.751241194213809</v>
      </c>
      <c r="AC353" s="262">
        <f>IFERROR(IF((N(AC210)+N(AC214)+N(AC216)+N(AC217)+N(AC224)+N(AC225)+N(AC226))&lt;&gt;0,(N(AC156)+(N(AC157)+N(AC161)+N(AC165)+N(AC166)+N(AC167)))/(N(AC210)+N(AC214)+N(AC216)+N(AC217)+N(AC224)+N(AC225)+N(AC226)),""),"")</f>
        <v>0.867127454529304</v>
      </c>
      <c r="AD353" s="262">
        <f>IFERROR(IF((N(AD210)+N(AD214)+N(AD216)+N(AD217)+N(AD224)+N(AD225)+N(AD226))&lt;&gt;0,(N(AD156)+(N(AD157)+N(AD161)+N(AD165)+N(AD166)+N(AD167)))/(N(AD210)+N(AD214)+N(AD216)+N(AD217)+N(AD224)+N(AD225)+N(AD226)),""),"")</f>
        <v>0.775326690516896</v>
      </c>
      <c r="AE353" s="262">
        <f>IFERROR(IF((N(AE210)+N(AE214)+N(AE216)+N(AE217)+N(AE224)+N(AE225)+N(AE226))&lt;&gt;0,(N(AE156)+(N(AE157)+N(AE161)+N(AE165)+N(AE166)+N(AE167)))/(N(AE210)+N(AE214)+N(AE216)+N(AE217)+N(AE224)+N(AE225)+N(AE226)),""),"")</f>
        <v>0.68553915435869</v>
      </c>
      <c r="AF353" s="262">
        <f>IFERROR(IF((N(AF210)+N(AF214)+N(AF216)+N(AF217)+N(AF224)+N(AF225)+N(AF226))&lt;&gt;0,(N(AF156)+(N(AF157)+N(AF161)+N(AF165)+N(AF166)+N(AF167)))/(N(AF210)+N(AF214)+N(AF216)+N(AF217)+N(AF224)+N(AF225)+N(AF226)),""),"")</f>
        <v>0.773014238045671</v>
      </c>
      <c r="AG353" s="262">
        <f>IFERROR(IF((N(AG210)+N(AG214)+N(AG216)+N(AG217)+N(AG224)+N(AG225)+N(AG226))&lt;&gt;0,(N(AG156)+(N(AG157)+N(AG161)+N(AG165)+N(AG166)+N(AG167)))/(N(AG210)+N(AG214)+N(AG216)+N(AG217)+N(AG224)+N(AG225)+N(AG226)),""),"")</f>
        <v>0.773014238045671</v>
      </c>
      <c r="AH353" s="262">
        <f>IFERROR(IF((N(AH210)+N(AH214)+N(AH216)+N(AH217)+N(AH224)+N(AH225)+N(AH226))&lt;&gt;0,(N(AH156)+(N(AH157)+N(AH161)+N(AH165)+N(AH166)+N(AH167)))/(N(AH210)+N(AH214)+N(AH216)+N(AH217)+N(AH224)+N(AH225)+N(AH226)),""),"")</f>
        <v>1.09137232148037</v>
      </c>
      <c r="AI353" s="262">
        <f>IFERROR(IF((N(AI210)+N(AI214)+N(AI216)+N(AI217)+N(AI224)+N(AI225)+N(AI226))&lt;&gt;0,(N(AI156)+(N(AI157)+N(AI161)+N(AI165)+N(AI166)+N(AI167)))/(N(AI210)+N(AI214)+N(AI216)+N(AI217)+N(AI224)+N(AI225)+N(AI226)),""),"")</f>
        <v>1.06717436787354</v>
      </c>
      <c r="AJ353" s="262">
        <f>IFERROR(IF((N(AJ210)+N(AJ214)+N(AJ216)+N(AJ217)+N(AJ224)+N(AJ225)+N(AJ226))&lt;&gt;0,(N(AJ156)+(N(AJ157)+N(AJ161)+N(AJ165)+N(AJ166)+N(AJ167)))/(N(AJ210)+N(AJ214)+N(AJ216)+N(AJ217)+N(AJ224)+N(AJ225)+N(AJ226)),""),"")</f>
        <v>1.11036731597661</v>
      </c>
      <c r="AK353" s="262">
        <f>IFERROR(IF((N(AK210)+N(AK214)+N(AK216)+N(AK217)+N(AK224)+N(AK225)+N(AK226))&lt;&gt;0,(N(AK156)+(N(AK157)+N(AK161)+N(AK165)+N(AK166)+N(AK167)))/(N(AK210)+N(AK214)+N(AK216)+N(AK217)+N(AK224)+N(AK225)+N(AK226)),""),"")</f>
        <v>1.1530108227148</v>
      </c>
      <c r="AL353" s="262">
        <f>IFERROR(IF((N(AL210)+N(AL214)+N(AL216)+N(AL217)+N(AL224)+N(AL225)+N(AL226))&lt;&gt;0,(N(AL156)+(N(AL157)+N(AL161)+N(AL165)+N(AL166)+N(AL167)))/(N(AL210)+N(AL214)+N(AL216)+N(AL217)+N(AL224)+N(AL225)+N(AL226)),""),"")</f>
        <v>1.1530108227148</v>
      </c>
      <c r="AM353" s="262">
        <f>IFERROR(IF((N(AM210)+N(AM214)+N(AM216)+N(AM217)+N(AM224)+N(AM225)+N(AM226))&lt;&gt;0,(N(AM156)+(N(AM157)+N(AM161)+N(AM165)+N(AM166)+N(AM167)))/(N(AM210)+N(AM214)+N(AM216)+N(AM217)+N(AM224)+N(AM225)+N(AM226)),""),"")</f>
        <v>1.18989727190044</v>
      </c>
      <c r="AN353" s="262">
        <f>IFERROR(IF((N(AN210)+N(AN214)+N(AN216)+N(AN217)+N(AN224)+N(AN225)+N(AN226))&lt;&gt;0,(N(AN156)+(N(AN157)+N(AN161)+N(AN165)+N(AN166)+N(AN167)))/(N(AN210)+N(AN214)+N(AN216)+N(AN217)+N(AN224)+N(AN225)+N(AN226)),""),"")</f>
        <v>1.2324079069722</v>
      </c>
      <c r="AO353" s="262">
        <f>IFERROR(IF((N(AO210)+N(AO214)+N(AO216)+N(AO217)+N(AO224)+N(AO225)+N(AO226))&lt;&gt;0,(N(AO156)+(N(AO157)+N(AO161)+N(AO165)+N(AO166)+N(AO167)))/(N(AO210)+N(AO214)+N(AO216)+N(AO217)+N(AO224)+N(AO225)+N(AO226)),""),"")</f>
        <v>1.26761143166056</v>
      </c>
      <c r="AP353" s="262">
        <f>IFERROR(IF((N(AP210)+N(AP214)+N(AP216)+N(AP217)+N(AP224)+N(AP225)+N(AP226))&lt;&gt;0,(N(AP156)+(N(AP157)+N(AP161)+N(AP165)+N(AP166)+N(AP167)))/(N(AP210)+N(AP214)+N(AP216)+N(AP217)+N(AP224)+N(AP225)+N(AP226)),""),"")</f>
        <v>1.31344273901304</v>
      </c>
      <c r="AQ353" s="262">
        <f>IFERROR(IF((N(AQ210)+N(AQ214)+N(AQ216)+N(AQ217)+N(AQ224)+N(AQ225)+N(AQ226))&lt;&gt;0,(N(AQ156)+(N(AQ157)+N(AQ161)+N(AQ165)+N(AQ166)+N(AQ167)))/(N(AQ210)+N(AQ214)+N(AQ216)+N(AQ217)+N(AQ224)+N(AQ225)+N(AQ226)),""),"")</f>
        <v>1.31344273901304</v>
      </c>
      <c r="AR353" s="262">
        <f>IFERROR(IF((N(AR210)+N(AR214)+N(AR216)+N(AR217)+N(AR224)+N(AR225)+N(AR226))&lt;&gt;0,(N(AR156)+(N(AR157)+N(AR161)+N(AR165)+N(AR166)+N(AR167)))/(N(AR210)+N(AR214)+N(AR216)+N(AR217)+N(AR224)+N(AR225)+N(AR226)),""),"")</f>
        <v>1.34911217806187</v>
      </c>
      <c r="AS353" s="262">
        <f>IFERROR(IF((N(AS210)+N(AS214)+N(AS216)+N(AS217)+N(AS224)+N(AS225)+N(AS226))&lt;&gt;0,(N(AS156)+(N(AS157)+N(AS161)+N(AS165)+N(AS166)+N(AS167)))/(N(AS210)+N(AS214)+N(AS216)+N(AS217)+N(AS224)+N(AS225)+N(AS226)),""),"")</f>
        <v>1.39146926399832</v>
      </c>
      <c r="AT353" s="262">
        <f>IFERROR(IF((N(AT210)+N(AT214)+N(AT216)+N(AT217)+N(AT224)+N(AT225)+N(AT226))&lt;&gt;0,(N(AT156)+(N(AT157)+N(AT161)+N(AT165)+N(AT166)+N(AT167)))/(N(AT210)+N(AT214)+N(AT216)+N(AT217)+N(AT224)+N(AT225)+N(AT226)),""),"")</f>
        <v>1.42186008976424</v>
      </c>
      <c r="AU353" s="262">
        <f>IFERROR(IF((N(AU210)+N(AU214)+N(AU216)+N(AU217)+N(AU224)+N(AU225)+N(AU226))&lt;&gt;0,(N(AU156)+(N(AU157)+N(AU161)+N(AU165)+N(AU166)+N(AU167)))/(N(AU210)+N(AU214)+N(AU216)+N(AU217)+N(AU224)+N(AU225)+N(AU226)),""),"")</f>
        <v>1.47065598799394</v>
      </c>
      <c r="AV353" s="262">
        <f>IFERROR(IF((N(AV210)+N(AV214)+N(AV216)+N(AV217)+N(AV224)+N(AV225)+N(AV226))&lt;&gt;0,(N(AV156)+(N(AV157)+N(AV161)+N(AV165)+N(AV166)+N(AV167)))/(N(AV210)+N(AV214)+N(AV216)+N(AV217)+N(AV224)+N(AV225)+N(AV226)),""),"")</f>
        <v>1.47065598799394</v>
      </c>
      <c r="AW353" s="262">
        <f>IFERROR(IF((N(AW210)+N(AW214)+N(AW216)+N(AW217)+N(AW224)+N(AW225)+N(AW226))&lt;&gt;0,(N(AW156)+(N(AW157)+N(AW161)+N(AW165)+N(AW166)+N(AW167)))/(N(AW210)+N(AW214)+N(AW216)+N(AW217)+N(AW224)+N(AW225)+N(AW226)),""),"")</f>
        <v>1.50149448322501</v>
      </c>
      <c r="AX353" s="262">
        <f>IFERROR(IF((N(AX210)+N(AX214)+N(AX216)+N(AX217)+N(AX224)+N(AX225)+N(AX226))&lt;&gt;0,(N(AX156)+(N(AX157)+N(AX161)+N(AX165)+N(AX166)+N(AX167)))/(N(AX210)+N(AX214)+N(AX216)+N(AX217)+N(AX224)+N(AX225)+N(AX226)),""),"")</f>
        <v>1.54747212858186</v>
      </c>
      <c r="AY353" s="262">
        <f>IFERROR(IF((N(AY210)+N(AY214)+N(AY216)+N(AY217)+N(AY224)+N(AY225)+N(AY226))&lt;&gt;0,(N(AY156)+(N(AY157)+N(AY161)+N(AY165)+N(AY166)+N(AY167)))/(N(AY210)+N(AY214)+N(AY216)+N(AY217)+N(AY224)+N(AY225)+N(AY226)),""),"")</f>
        <v>1.57269182127016</v>
      </c>
      <c r="AZ353" s="262">
        <f>IFERROR(IF((N(AZ210)+N(AZ214)+N(AZ216)+N(AZ217)+N(AZ224)+N(AZ225)+N(AZ226))&lt;&gt;0,(N(AZ156)+(N(AZ157)+N(AZ161)+N(AZ165)+N(AZ166)+N(AZ167)))/(N(AZ210)+N(AZ214)+N(AZ216)+N(AZ217)+N(AZ224)+N(AZ225)+N(AZ226)),""),"")</f>
        <v>1.62418082913001</v>
      </c>
      <c r="BA353" s="262">
        <f>IFERROR(IF((N(BA210)+N(BA214)+N(BA216)+N(BA217)+N(BA224)+N(BA225)+N(BA226))&lt;&gt;0,(N(BA156)+(N(BA157)+N(BA161)+N(BA165)+N(BA166)+N(BA167)))/(N(BA210)+N(BA214)+N(BA216)+N(BA217)+N(BA224)+N(BA225)+N(BA226)),""),"")</f>
        <v>1.62418082913001</v>
      </c>
      <c r="BB353" s="262">
        <f>IFERROR(IF((N(BB210)+N(BB214)+N(BB216)+N(BB217)+N(BB224)+N(BB225)+N(BB226))&lt;&gt;0,(N(BB156)+(N(BB157)+N(BB161)+N(BB165)+N(BB166)+N(BB167)))/(N(BB210)+N(BB214)+N(BB216)+N(BB217)+N(BB224)+N(BB225)+N(BB226)),""),"")</f>
        <v>1.65273128202031</v>
      </c>
      <c r="BC353" s="262">
        <f>IFERROR(IF((N(BC210)+N(BC214)+N(BC216)+N(BC217)+N(BC224)+N(BC225)+N(BC226))&lt;&gt;0,(N(BC156)+(N(BC157)+N(BC161)+N(BC165)+N(BC166)+N(BC167)))/(N(BC210)+N(BC214)+N(BC216)+N(BC217)+N(BC224)+N(BC225)+N(BC226)),""),"")</f>
        <v>1.70003257138769</v>
      </c>
      <c r="BD353" s="262">
        <f>IFERROR(IF((N(BD210)+N(BD214)+N(BD216)+N(BD217)+N(BD224)+N(BD225)+N(BD226))&lt;&gt;0,(N(BD156)+(N(BD157)+N(BD161)+N(BD165)+N(BD166)+N(BD167)))/(N(BD210)+N(BD214)+N(BD216)+N(BD217)+N(BD224)+N(BD225)+N(BD226)),""),"")</f>
        <v>1.71981913464088</v>
      </c>
      <c r="BE353" s="262">
        <f>IFERROR(IF((N(BE210)+N(BE214)+N(BE216)+N(BE217)+N(BE224)+N(BE225)+N(BE226))&lt;&gt;0,(N(BE156)+(N(BE157)+N(BE161)+N(BE165)+N(BE166)+N(BE167)))/(N(BE210)+N(BE214)+N(BE216)+N(BE217)+N(BE224)+N(BE225)+N(BE226)),""),"")</f>
        <v>1.77371572666759</v>
      </c>
      <c r="BF353" s="262">
        <f>IFERROR(IF((N(BF210)+N(BF214)+N(BF216)+N(BF217)+N(BF224)+N(BF225)+N(BF226))&lt;&gt;0,(N(BF156)+(N(BF157)+N(BF161)+N(BF165)+N(BF166)+N(BF167)))/(N(BF210)+N(BF214)+N(BF216)+N(BF217)+N(BF224)+N(BF225)+N(BF226)),""),"")</f>
        <v>1.77371572666759</v>
      </c>
      <c r="BG353" s="82" t="n"/>
      <c r="BH353" s="82" t="n"/>
      <c r="BI353" s="82" t="n"/>
      <c r="BJ353" s="82" t="n"/>
      <c r="BL353" s="82" t="n"/>
      <c r="BM353" s="82" t="n"/>
      <c r="BN353" s="82" t="n"/>
      <c r="BO353" s="82" t="n"/>
      <c r="BQ353" s="82" t="n"/>
      <c r="BR353" s="82" t="n"/>
      <c r="BS353" s="82" t="n"/>
      <c r="BT353" s="82" t="n"/>
      <c r="BV353" s="82" t="n"/>
      <c r="BW353" s="82" t="n"/>
      <c r="BX353" s="82" t="n"/>
      <c r="BY353" s="82" t="n"/>
      <c r="CA353" s="82" t="n"/>
      <c r="CB353" s="82" t="n"/>
      <c r="CC353" s="82" t="n"/>
      <c r="CD353" s="82" t="n"/>
      <c r="CF353" s="82" t="n"/>
      <c r="CG353" s="82" t="n"/>
      <c r="CH353" s="82" t="n"/>
      <c r="CI353" s="82" t="n"/>
      <c r="CK353" s="82" t="n"/>
      <c r="CL353" s="82" t="n"/>
      <c r="CM353" s="82" t="n"/>
      <c r="CN353" s="82" t="n"/>
      <c r="CP353" s="82" t="n"/>
      <c r="CQ353" s="82" t="n"/>
      <c r="CR353" s="82" t="n"/>
      <c r="CS353" s="82" t="n"/>
      <c r="CU353" s="82" t="n"/>
      <c r="CV353" s="82" t="n"/>
      <c r="CW353" s="82" t="n"/>
      <c r="CX353" s="82" t="n"/>
    </row>
    <row r="354" customFormat="1" s="77">
      <c r="A354" s="76" t="n"/>
      <c r="B354" s="76" t="n"/>
      <c r="C354" s="77" t="inlineStr">
        <is>
          <t>CASH RATIO</t>
        </is>
      </c>
      <c r="D354" s="82" t="str">
        <f>IFERROR(SUM(D156)/SUM(D210,D214,D216,D217),"")</f>
        <v/>
      </c>
      <c r="E354" s="82" t="str">
        <f>IFERROR(SUM(E156)/SUM(E210,E214,E216,E217),"")</f>
        <v/>
      </c>
      <c r="F354" s="82" t="str">
        <f>IFERROR(SUM(F156)/SUM(F210,F214,F216,F217),"")</f>
        <v/>
      </c>
      <c r="G354" s="82" t="str">
        <f>IFERROR(SUM(G156)/SUM(G210,G214,G216,G217),"")</f>
        <v/>
      </c>
      <c r="H354" s="262" t="str">
        <f>IFERROR(IF((N(H210)+N(H214)+N(H216)+N(H217)+N(H224)+N(H225)+N(H226))&lt;&gt;0,N(H156)/(N(H210)+N(H214)+N(H216)+N(H217)+N(H224)+N(H225)+N(H226)),""),"")</f>
        <v/>
      </c>
      <c r="I354" s="262">
        <f>IFERROR(IF((N(I210)+N(I214)+N(I216)+N(I217)+N(I224)+N(I225)+N(I226))&lt;&gt;0,N(I156)/(N(I210)+N(I214)+N(I216)+N(I217)+N(I224)+N(I225)+N(I226)),""),"")</f>
        <v>3.05050601204069</v>
      </c>
      <c r="J354" s="262">
        <f>IFERROR(IF((N(J210)+N(J214)+N(J216)+N(J217)+N(J224)+N(J225)+N(J226))&lt;&gt;0,N(J156)/(N(J210)+N(J214)+N(J216)+N(J217)+N(J224)+N(J225)+N(J226)),""),"")</f>
        <v>2.50721244520166</v>
      </c>
      <c r="K354" s="262">
        <f>IFERROR(IF((N(K210)+N(K214)+N(K216)+N(K217)+N(K224)+N(K225)+N(K226))&lt;&gt;0,N(K156)/(N(K210)+N(K214)+N(K216)+N(K217)+N(K224)+N(K225)+N(K226)),""),"")</f>
        <v>3.60366929723703</v>
      </c>
      <c r="L354" s="262">
        <f>IFERROR(IF((N(L210)+N(L214)+N(L216)+N(L217)+N(L224)+N(L225)+N(L226))&lt;&gt;0,N(L156)/(N(L210)+N(L214)+N(L216)+N(L217)+N(L224)+N(L225)+N(L226)),""),"")</f>
        <v>2.07572710868249</v>
      </c>
      <c r="M354" s="262">
        <f>IFERROR(IF((N(M210)+N(M214)+N(M216)+N(M217)+N(M224)+N(M225)+N(M226))&lt;&gt;0,N(M156)/(N(M210)+N(M214)+N(M216)+N(M217)+N(M224)+N(M225)+N(M226)),""),"")</f>
        <v>2.07572710868249</v>
      </c>
      <c r="N354" s="262">
        <f>IFERROR(IF((N(N210)+N(N214)+N(N216)+N(N217)+N(N224)+N(N225)+N(N226))&lt;&gt;0,N(N156)/(N(N210)+N(N214)+N(N216)+N(N217)+N(N224)+N(N225)+N(N226)),""),"")</f>
        <v>1.65564841529802</v>
      </c>
      <c r="O354" s="262">
        <f>IFERROR(IF((N(O210)+N(O214)+N(O216)+N(O217)+N(O224)+N(O225)+N(O226))&lt;&gt;0,N(O156)/(N(O210)+N(O214)+N(O216)+N(O217)+N(O224)+N(O225)+N(O226)),""),"")</f>
        <v>1.27306923367319</v>
      </c>
      <c r="P354" s="262">
        <f>IFERROR(IF((N(P210)+N(P214)+N(P216)+N(P217)+N(P224)+N(P225)+N(P226))&lt;&gt;0,N(P156)/(N(P210)+N(P214)+N(P216)+N(P217)+N(P224)+N(P225)+N(P226)),""),"")</f>
        <v>1.99832529905832</v>
      </c>
      <c r="Q354" s="262">
        <f>IFERROR(IF((N(Q210)+N(Q214)+N(Q216)+N(Q217)+N(Q224)+N(Q225)+N(Q226))&lt;&gt;0,N(Q156)/(N(Q210)+N(Q214)+N(Q216)+N(Q217)+N(Q224)+N(Q225)+N(Q226)),""),"")</f>
        <v>1.15798752890714</v>
      </c>
      <c r="R354" s="262">
        <f>IFERROR(IF((N(R210)+N(R214)+N(R216)+N(R217)+N(R224)+N(R225)+N(R226))&lt;&gt;0,N(R156)/(N(R210)+N(R214)+N(R216)+N(R217)+N(R224)+N(R225)+N(R226)),""),"")</f>
        <v>1.15798752890714</v>
      </c>
      <c r="S354" s="262">
        <f>IFERROR(IF((N(S210)+N(S214)+N(S216)+N(S217)+N(S224)+N(S225)+N(S226))&lt;&gt;0,N(S156)/(N(S210)+N(S214)+N(S216)+N(S217)+N(S224)+N(S225)+N(S226)),""),"")</f>
        <v>1.05256465945711</v>
      </c>
      <c r="T354" s="262">
        <f>IFERROR(IF((N(T210)+N(T214)+N(T216)+N(T217)+N(T224)+N(T225)+N(T226))&lt;&gt;0,N(T156)/(N(T210)+N(T214)+N(T216)+N(T217)+N(T224)+N(T225)+N(T226)),""),"")</f>
        <v>0.844562591795261</v>
      </c>
      <c r="U354" s="262">
        <f>IFERROR(IF((N(U210)+N(U214)+N(U216)+N(U217)+N(U224)+N(U225)+N(U226))&lt;&gt;0,N(U156)/(N(U210)+N(U214)+N(U216)+N(U217)+N(U224)+N(U225)+N(U226)),""),"")</f>
        <v>0.513813322023852</v>
      </c>
      <c r="V354" s="262">
        <f>IFERROR(IF((N(V210)+N(V214)+N(V216)+N(V217)+N(V224)+N(V225)+N(V226))&lt;&gt;0,N(V156)/(N(V210)+N(V214)+N(V216)+N(V217)+N(V224)+N(V225)+N(V226)),""),"")</f>
        <v>0.402245733582382</v>
      </c>
      <c r="W354" s="262">
        <f>IFERROR(IF((N(W210)+N(W214)+N(W216)+N(W217)+N(W224)+N(W225)+N(W226))&lt;&gt;0,N(W156)/(N(W210)+N(W214)+N(W216)+N(W217)+N(W224)+N(W225)+N(W226)),""),"")</f>
        <v>0.402245733582382</v>
      </c>
      <c r="X354" s="262">
        <f>IFERROR(IF((N(X210)+N(X214)+N(X216)+N(X217)+N(X224)+N(X225)+N(X226))&lt;&gt;0,N(X156)/(N(X210)+N(X214)+N(X216)+N(X217)+N(X224)+N(X225)+N(X226)),""),"")</f>
        <v>0.413839807869653</v>
      </c>
      <c r="Y354" s="262">
        <f>IFERROR(IF((N(Y210)+N(Y214)+N(Y216)+N(Y217)+N(Y224)+N(Y225)+N(Y226))&lt;&gt;0,N(Y156)/(N(Y210)+N(Y214)+N(Y216)+N(Y217)+N(Y224)+N(Y225)+N(Y226)),""),"")</f>
        <v>0.511871875726222</v>
      </c>
      <c r="Z354" s="262">
        <f>IFERROR(IF((N(Z210)+N(Z214)+N(Z216)+N(Z217)+N(Z224)+N(Z225)+N(Z226))&lt;&gt;0,N(Z156)/(N(Z210)+N(Z214)+N(Z216)+N(Z217)+N(Z224)+N(Z225)+N(Z226)),""),"")</f>
        <v>0.546526718811237</v>
      </c>
      <c r="AA354" s="262">
        <f>IFERROR(IF((N(AA210)+N(AA214)+N(AA216)+N(AA217)+N(AA224)+N(AA225)+N(AA226))&lt;&gt;0,N(AA156)/(N(AA210)+N(AA214)+N(AA216)+N(AA217)+N(AA224)+N(AA225)+N(AA226)),""),"")</f>
        <v>0.463801721919538</v>
      </c>
      <c r="AB354" s="262">
        <f>IFERROR(IF((N(AB210)+N(AB214)+N(AB216)+N(AB217)+N(AB224)+N(AB225)+N(AB226))&lt;&gt;0,N(AB156)/(N(AB210)+N(AB214)+N(AB216)+N(AB217)+N(AB224)+N(AB225)+N(AB226)),""),"")</f>
        <v>0.463801721919538</v>
      </c>
      <c r="AC354" s="262">
        <f>IFERROR(IF((N(AC210)+N(AC214)+N(AC216)+N(AC217)+N(AC224)+N(AC225)+N(AC226))&lt;&gt;0,N(AC156)/(N(AC210)+N(AC214)+N(AC216)+N(AC217)+N(AC224)+N(AC225)+N(AC226)),""),"")</f>
        <v>0.3626092772349</v>
      </c>
      <c r="AD354" s="262">
        <f>IFERROR(IF((N(AD210)+N(AD214)+N(AD216)+N(AD217)+N(AD224)+N(AD225)+N(AD226))&lt;&gt;0,N(AD156)/(N(AD210)+N(AD214)+N(AD216)+N(AD217)+N(AD224)+N(AD225)+N(AD226)),""),"")</f>
        <v>0.349799301730814</v>
      </c>
      <c r="AE354" s="262">
        <f>IFERROR(IF((N(AE210)+N(AE214)+N(AE216)+N(AE217)+N(AE224)+N(AE225)+N(AE226))&lt;&gt;0,N(AE156)/(N(AE210)+N(AE214)+N(AE216)+N(AE217)+N(AE224)+N(AE225)+N(AE226)),""),"")</f>
        <v>0.313312360197051</v>
      </c>
      <c r="AF354" s="262">
        <f>IFERROR(IF((N(AF210)+N(AF214)+N(AF216)+N(AF217)+N(AF224)+N(AF225)+N(AF226))&lt;&gt;0,N(AF156)/(N(AF210)+N(AF214)+N(AF216)+N(AF217)+N(AF224)+N(AF225)+N(AF226)),""),"")</f>
        <v>0.541924667103965</v>
      </c>
      <c r="AG354" s="262">
        <f>IFERROR(IF((N(AG210)+N(AG214)+N(AG216)+N(AG217)+N(AG224)+N(AG225)+N(AG226))&lt;&gt;0,N(AG156)/(N(AG210)+N(AG214)+N(AG216)+N(AG217)+N(AG224)+N(AG225)+N(AG226)),""),"")</f>
        <v>0.541924667103965</v>
      </c>
      <c r="AH354" s="262">
        <f>IFERROR(IF((N(AH210)+N(AH214)+N(AH216)+N(AH217)+N(AH224)+N(AH225)+N(AH226))&lt;&gt;0,N(AH156)/(N(AH210)+N(AH214)+N(AH216)+N(AH217)+N(AH224)+N(AH225)+N(AH226)),""),"")</f>
        <v>0.756057074116815</v>
      </c>
      <c r="AI354" s="262">
        <f>IFERROR(IF((N(AI210)+N(AI214)+N(AI216)+N(AI217)+N(AI224)+N(AI225)+N(AI226))&lt;&gt;0,N(AI156)/(N(AI210)+N(AI214)+N(AI216)+N(AI217)+N(AI224)+N(AI225)+N(AI226)),""),"")</f>
        <v>0.7136879512616</v>
      </c>
      <c r="AJ354" s="262">
        <f>IFERROR(IF((N(AJ210)+N(AJ214)+N(AJ216)+N(AJ217)+N(AJ224)+N(AJ225)+N(AJ226))&lt;&gt;0,N(AJ156)/(N(AJ210)+N(AJ214)+N(AJ216)+N(AJ217)+N(AJ224)+N(AJ225)+N(AJ226)),""),"")</f>
        <v>0.745073455918105</v>
      </c>
      <c r="AK354" s="262">
        <f>IFERROR(IF((N(AK210)+N(AK214)+N(AK216)+N(AK217)+N(AK224)+N(AK225)+N(AK226))&lt;&gt;0,N(AK156)/(N(AK210)+N(AK214)+N(AK216)+N(AK217)+N(AK224)+N(AK225)+N(AK226)),""),"")</f>
        <v>0.789598141820765</v>
      </c>
      <c r="AL354" s="262">
        <f>IFERROR(IF((N(AL210)+N(AL214)+N(AL216)+N(AL217)+N(AL224)+N(AL225)+N(AL226))&lt;&gt;0,N(AL156)/(N(AL210)+N(AL214)+N(AL216)+N(AL217)+N(AL224)+N(AL225)+N(AL226)),""),"")</f>
        <v>0.789598141820765</v>
      </c>
      <c r="AM354" s="262">
        <f>IFERROR(IF((N(AM210)+N(AM214)+N(AM216)+N(AM217)+N(AM224)+N(AM225)+N(AM226))&lt;&gt;0,N(AM156)/(N(AM210)+N(AM214)+N(AM216)+N(AM217)+N(AM224)+N(AM225)+N(AM226)),""),"")</f>
        <v>0.824745108899726</v>
      </c>
      <c r="AN354" s="262">
        <f>IFERROR(IF((N(AN210)+N(AN214)+N(AN216)+N(AN217)+N(AN224)+N(AN225)+N(AN226))&lt;&gt;0,N(AN156)/(N(AN210)+N(AN214)+N(AN216)+N(AN217)+N(AN224)+N(AN225)+N(AN226)),""),"")</f>
        <v>0.868624986023608</v>
      </c>
      <c r="AO354" s="262">
        <f>IFERROR(IF((N(AO210)+N(AO214)+N(AO216)+N(AO217)+N(AO224)+N(AO225)+N(AO226))&lt;&gt;0,N(AO156)/(N(AO210)+N(AO214)+N(AO216)+N(AO217)+N(AO224)+N(AO225)+N(AO226)),""),"")</f>
        <v>0.901790016469983</v>
      </c>
      <c r="AP354" s="262">
        <f>IFERROR(IF((N(AP210)+N(AP214)+N(AP216)+N(AP217)+N(AP224)+N(AP225)+N(AP226))&lt;&gt;0,N(AP156)/(N(AP210)+N(AP214)+N(AP216)+N(AP217)+N(AP224)+N(AP225)+N(AP226)),""),"")</f>
        <v>0.949709153638482</v>
      </c>
      <c r="AQ354" s="262">
        <f>IFERROR(IF((N(AQ210)+N(AQ214)+N(AQ216)+N(AQ217)+N(AQ224)+N(AQ225)+N(AQ226))&lt;&gt;0,N(AQ156)/(N(AQ210)+N(AQ214)+N(AQ216)+N(AQ217)+N(AQ224)+N(AQ225)+N(AQ226)),""),"")</f>
        <v>0.949709153638482</v>
      </c>
      <c r="AR354" s="262">
        <f>IFERROR(IF((N(AR210)+N(AR214)+N(AR216)+N(AR217)+N(AR224)+N(AR225)+N(AR226))&lt;&gt;0,N(AR156)/(N(AR210)+N(AR214)+N(AR216)+N(AR217)+N(AR224)+N(AR225)+N(AR226)),""),"")</f>
        <v>0.984421669965671</v>
      </c>
      <c r="AS354" s="262">
        <f>IFERROR(IF((N(AS210)+N(AS214)+N(AS216)+N(AS217)+N(AS224)+N(AS225)+N(AS226))&lt;&gt;0,N(AS156)/(N(AS210)+N(AS214)+N(AS216)+N(AS217)+N(AS224)+N(AS225)+N(AS226)),""),"")</f>
        <v>1.02780354729577</v>
      </c>
      <c r="AT354" s="262">
        <f>IFERROR(IF((N(AT210)+N(AT214)+N(AT216)+N(AT217)+N(AT224)+N(AT225)+N(AT226))&lt;&gt;0,N(AT156)/(N(AT210)+N(AT214)+N(AT216)+N(AT217)+N(AT224)+N(AT225)+N(AT226)),""),"")</f>
        <v>1.05622431916204</v>
      </c>
      <c r="AU354" s="262">
        <f>IFERROR(IF((N(AU210)+N(AU214)+N(AU216)+N(AU217)+N(AU224)+N(AU225)+N(AU226))&lt;&gt;0,N(AU156)/(N(AU210)+N(AU214)+N(AU216)+N(AU217)+N(AU224)+N(AU225)+N(AU226)),""),"")</f>
        <v>1.10728778443934</v>
      </c>
      <c r="AV354" s="262">
        <f>IFERROR(IF((N(AV210)+N(AV214)+N(AV216)+N(AV217)+N(AV224)+N(AV225)+N(AV226))&lt;&gt;0,N(AV156)/(N(AV210)+N(AV214)+N(AV216)+N(AV217)+N(AV224)+N(AV225)+N(AV226)),""),"")</f>
        <v>1.10728778443934</v>
      </c>
      <c r="AW354" s="262">
        <f>IFERROR(IF((N(AW210)+N(AW214)+N(AW216)+N(AW217)+N(AW224)+N(AW225)+N(AW226))&lt;&gt;0,N(AW156)/(N(AW210)+N(AW214)+N(AW216)+N(AW217)+N(AW224)+N(AW225)+N(AW226)),""),"")</f>
        <v>1.13695948620241</v>
      </c>
      <c r="AX354" s="262">
        <f>IFERROR(IF((N(AX210)+N(AX214)+N(AX216)+N(AX217)+N(AX224)+N(AX225)+N(AX226))&lt;&gt;0,N(AX156)/(N(AX210)+N(AX214)+N(AX216)+N(AX217)+N(AX224)+N(AX225)+N(AX226)),""),"")</f>
        <v>1.18461987668249</v>
      </c>
      <c r="AY354" s="262">
        <f>IFERROR(IF((N(AY210)+N(AY214)+N(AY216)+N(AY217)+N(AY224)+N(AY225)+N(AY226))&lt;&gt;0,N(AY156)/(N(AY210)+N(AY214)+N(AY216)+N(AY217)+N(AY224)+N(AY225)+N(AY226)),""),"")</f>
        <v>1.20792600118154</v>
      </c>
      <c r="AZ354" s="262">
        <f>IFERROR(IF((N(AZ210)+N(AZ214)+N(AZ216)+N(AZ217)+N(AZ224)+N(AZ225)+N(AZ226))&lt;&gt;0,N(AZ156)/(N(AZ210)+N(AZ214)+N(AZ216)+N(AZ217)+N(AZ224)+N(AZ225)+N(AZ226)),""),"")</f>
        <v>1.26186629060272</v>
      </c>
      <c r="BA354" s="262">
        <f>IFERROR(IF((N(BA210)+N(BA214)+N(BA216)+N(BA217)+N(BA224)+N(BA225)+N(BA226))&lt;&gt;0,N(BA156)/(N(BA210)+N(BA214)+N(BA216)+N(BA217)+N(BA224)+N(BA225)+N(BA226)),""),"")</f>
        <v>1.26186629060272</v>
      </c>
      <c r="BB354" s="262">
        <f>IFERROR(IF((N(BB210)+N(BB214)+N(BB216)+N(BB217)+N(BB224)+N(BB225)+N(BB226))&lt;&gt;0,N(BB156)/(N(BB210)+N(BB214)+N(BB216)+N(BB217)+N(BB224)+N(BB225)+N(BB226)),""),"")</f>
        <v>1.28953902574197</v>
      </c>
      <c r="BC354" s="262">
        <f>IFERROR(IF((N(BC210)+N(BC214)+N(BC216)+N(BC217)+N(BC224)+N(BC225)+N(BC226))&lt;&gt;0,N(BC156)/(N(BC210)+N(BC214)+N(BC216)+N(BC217)+N(BC224)+N(BC225)+N(BC226)),""),"")</f>
        <v>1.33867858592288</v>
      </c>
      <c r="BD354" s="262">
        <f>IFERROR(IF((N(BD210)+N(BD214)+N(BD216)+N(BD217)+N(BD224)+N(BD225)+N(BD226))&lt;&gt;0,N(BD156)/(N(BD210)+N(BD214)+N(BD216)+N(BD217)+N(BD224)+N(BD225)+N(BD226)),""),"")</f>
        <v>1.35658739432555</v>
      </c>
      <c r="BE354" s="262">
        <f>IFERROR(IF((N(BE210)+N(BE214)+N(BE216)+N(BE217)+N(BE224)+N(BE225)+N(BE226))&lt;&gt;0,N(BE156)/(N(BE210)+N(BE214)+N(BE216)+N(BE217)+N(BE224)+N(BE225)+N(BE226)),""),"")</f>
        <v>1.4131144509358</v>
      </c>
      <c r="BF354" s="262">
        <f>IFERROR(IF((N(BF210)+N(BF214)+N(BF216)+N(BF217)+N(BF224)+N(BF225)+N(BF226))&lt;&gt;0,N(BF156)/(N(BF210)+N(BF214)+N(BF216)+N(BF217)+N(BF224)+N(BF225)+N(BF226)),""),"")</f>
        <v>1.4131144509358</v>
      </c>
      <c r="BG354" s="82" t="n"/>
      <c r="BH354" s="82" t="n"/>
      <c r="BI354" s="82" t="n"/>
      <c r="BJ354" s="82" t="n"/>
      <c r="BL354" s="82" t="n"/>
      <c r="BM354" s="82" t="n"/>
      <c r="BN354" s="82" t="n"/>
      <c r="BO354" s="82" t="n"/>
      <c r="BQ354" s="82" t="n"/>
      <c r="BR354" s="82" t="n"/>
      <c r="BS354" s="82" t="n"/>
      <c r="BT354" s="82" t="n"/>
      <c r="BV354" s="82" t="n"/>
      <c r="BW354" s="82" t="n"/>
      <c r="BX354" s="82" t="n"/>
      <c r="BY354" s="82" t="n"/>
      <c r="CA354" s="82" t="n"/>
      <c r="CB354" s="82" t="n"/>
      <c r="CC354" s="82" t="n"/>
      <c r="CD354" s="82" t="n"/>
      <c r="CF354" s="82" t="n"/>
      <c r="CG354" s="82" t="n"/>
      <c r="CH354" s="82" t="n"/>
      <c r="CI354" s="82" t="n"/>
      <c r="CK354" s="82" t="n"/>
      <c r="CL354" s="82" t="n"/>
      <c r="CM354" s="82" t="n"/>
      <c r="CN354" s="82" t="n"/>
      <c r="CP354" s="82" t="n"/>
      <c r="CQ354" s="82" t="n"/>
      <c r="CR354" s="82" t="n"/>
      <c r="CS354" s="82" t="n"/>
      <c r="CU354" s="82" t="n"/>
      <c r="CV354" s="82" t="n"/>
      <c r="CW354" s="82" t="n"/>
      <c r="CX354" s="82" t="n"/>
    </row>
    <row r="355" customFormat="1" s="77">
      <c r="A355" s="76" t="n"/>
      <c r="B355" s="76" t="n"/>
    </row>
    <row r="356" customFormat="1" s="77">
      <c r="A356" s="76" t="n"/>
      <c r="B356" s="76" t="n"/>
      <c r="C356" s="74" t="inlineStr">
        <is>
          <t>OPERATING EFFICIENCY</t>
        </is>
      </c>
    </row>
    <row r="357" customFormat="1" s="84">
      <c r="A357" s="81" t="n"/>
      <c r="B357" s="81" t="n"/>
      <c r="C357" s="84" t="inlineStr">
        <is>
          <t>RETURN ON CAPITAL (ROIC) - LTM</t>
        </is>
      </c>
      <c r="D357" t="str">
        <f>IFERROR(D359/D362,"")</f>
        <v/>
      </c>
      <c r="E357" t="str">
        <f>IFERROR(E359/E362,"")</f>
        <v/>
      </c>
      <c r="F357" t="str">
        <f>IFERROR(F359/F362,"")</f>
        <v/>
      </c>
      <c r="G357" t="str">
        <f>IFERROR(G359/G362,"")</f>
        <v/>
      </c>
      <c r="H357" s="257" t="str">
        <f>IFERROR(IF(AND(COUNT(H359)=1,N(H362)&lt;&gt;0),(H359)/H362,""),"")</f>
        <v/>
      </c>
      <c r="I357" s="257" t="str">
        <f>""</f>
        <v/>
      </c>
      <c r="J357" s="257" t="str">
        <f>""</f>
        <v/>
      </c>
      <c r="K357" s="257" t="str">
        <f>""</f>
        <v/>
      </c>
      <c r="L357" s="257">
        <f>IFERROR(IF(AND(COUNT(I359,J359,K359,L359)=4,N(L362)&lt;&gt;0),(I359+J359+K359+L359)/L362,""),"")</f>
        <v>0.106822366493419</v>
      </c>
      <c r="M357" s="257">
        <f>IFERROR(IF(AND(COUNT(I359,J359,K359,L359)=4,N(M362)&lt;&gt;0),(I359+J359+K359+L359)/M362,""),"")</f>
        <v>0.106822366493419</v>
      </c>
      <c r="N357" s="257">
        <f>IFERROR(IF(AND(COUNT(J359,K359,L359,N359)=4,N(N362)&lt;&gt;0),(J359+K359+L359+N359)/N362,""),"")</f>
        <v>0.121243645711327</v>
      </c>
      <c r="O357" s="257">
        <f>IFERROR(IF(AND(COUNT(K359,L359,N359,O359)=4,N(O362)&lt;&gt;0),(K359+L359+N359+O359)/O362,""),"")</f>
        <v>0.125846816164555</v>
      </c>
      <c r="P357" s="257">
        <f>IFERROR(IF(AND(COUNT(L359,N359,O359,P359)=4,N(P362)&lt;&gt;0),(L359+N359+O359+P359)/P362,""),"")</f>
        <v>0.123512333574196</v>
      </c>
      <c r="Q357" s="257">
        <f>IFERROR(IF(AND(COUNT(N359,O359,P359,Q359)=4,N(Q362)&lt;&gt;0),(N359+O359+P359+Q359)/Q362,""),"")</f>
        <v>0.101792710283727</v>
      </c>
      <c r="R357" s="257">
        <f>IFERROR(IF(AND(COUNT(N359,O359,P359,Q359)=4,N(R362)&lt;&gt;0),(N359+O359+P359+Q359)/R362,""),"")</f>
        <v>0.101792710283727</v>
      </c>
      <c r="S357" s="257">
        <f>IFERROR(IF(AND(COUNT(O359,P359,Q359,S359)=4,N(S362)&lt;&gt;0),(O359+P359+Q359+S359)/S362,""),"")</f>
        <v>0.0987370732343801</v>
      </c>
      <c r="T357" s="257">
        <f>IFERROR(IF(AND(COUNT(P359,Q359,S359,T359)=4,N(T362)&lt;&gt;0),(P359+Q359+S359+T359)/T362,""),"")</f>
        <v>0.0898822986144497</v>
      </c>
      <c r="U357" s="257">
        <f>IFERROR(IF(AND(COUNT(Q359,S359,T359,U359)=4,N(U362)&lt;&gt;0),(Q359+S359+T359+U359)/U362,""),"")</f>
        <v>0.076573011092544</v>
      </c>
      <c r="V357" s="257">
        <f>IFERROR(IF(AND(COUNT(S359,T359,U359,V359)=4,N(V362)&lt;&gt;0),(S359+T359+U359+V359)/V362,""),"")</f>
        <v>0.066883872394017</v>
      </c>
      <c r="W357" s="257">
        <f>IFERROR(IF(AND(COUNT(S359,T359,U359,V359)=4,N(W362)&lt;&gt;0),(S359+T359+U359+V359)/W362,""),"")</f>
        <v>0.066883872394017</v>
      </c>
      <c r="X357" s="257">
        <f>IFERROR(IF(AND(COUNT(T359,U359,V359,X359)=4,N(X362)&lt;&gt;0),(T359+U359+V359+X359)/X362,""),"")</f>
        <v>0.0594490095390009</v>
      </c>
      <c r="Y357" s="257">
        <f>IFERROR(IF(AND(COUNT(U359,V359,X359,Y359)=4,N(Y362)&lt;&gt;0),(U359+V359+X359+Y359)/Y362,""),"")</f>
        <v>0.0610820056835914</v>
      </c>
      <c r="Z357" s="257">
        <f>IFERROR(IF(AND(COUNT(V359,X359,Y359,Z359)=4,N(Z362)&lt;&gt;0),(V359+X359+Y359+Z359)/Z362,""),"")</f>
        <v>0.068478586711586</v>
      </c>
      <c r="AA357" s="257">
        <f>IFERROR(IF(AND(COUNT(X359,Y359,Z359,AA359)=4,N(AA362)&lt;&gt;0),(X359+Y359+Z359+AA359)/AA362,""),"")</f>
        <v>0.102840776745176</v>
      </c>
      <c r="AB357" s="257">
        <f>IFERROR(IF(AND(COUNT(X359,Y359,Z359,AA359)=4,N(AB362)&lt;&gt;0),(X359+Y359+Z359+AA359)/AB362,""),"")</f>
        <v>0.102840776745176</v>
      </c>
      <c r="AC357" s="257">
        <f>IFERROR(IF(AND(COUNT(Y359,Z359,AA359,AC359)=4,N(AC362)&lt;&gt;0),(Y359+Z359+AA359+AC359)/AC362,""),"")</f>
        <v>0.10528924091513</v>
      </c>
      <c r="AD357" s="257">
        <f>IFERROR(IF(AND(COUNT(Z359,AA359,AC359,AD359)=4,N(AD362)&lt;&gt;0),(Z359+AA359+AC359+AD359)/AD362,""),"")</f>
        <v>0.115466601055132</v>
      </c>
      <c r="AE357" s="257">
        <f>IFERROR(IF(AND(COUNT(AA359,AC359,AD359,AE359)=4,N(AE362)&lt;&gt;0),(AA359+AC359+AD359+AE359)/AE362,""),"")</f>
        <v>0.135866390085697</v>
      </c>
      <c r="AF357" s="257">
        <f>IFERROR(IF(AND(COUNT(AB359,AD359,AE359,AF359)=4,N(AF362)&lt;&gt;0),(AB359+AD359+AE359+AF359)/AF362,""),"")</f>
        <v>0.228821403909694</v>
      </c>
      <c r="AG357" s="257">
        <f>IFERROR(IF(AND(COUNT(AC359,AD359,AE359,AF359)=4,N(AG362)&lt;&gt;0),(AC359+AD359+AE359+AF359)/AG362,""),"")</f>
        <v>0.152461428172816</v>
      </c>
      <c r="AH357" s="257">
        <f>IFERROR(IF(AND(COUNT(AD359,AF359,AG359,AH359)=4,N(AH362)&lt;&gt;0),(AD359+AF359+AG359+AH359)/AH362,""),"")</f>
        <v>0.266481924816892</v>
      </c>
      <c r="AI357" s="257">
        <f>IFERROR(IF(AND(COUNT(AE359,AG359,AH359,AI359)=4,N(AI362)&lt;&gt;0),(AE359+AG359+AH359+AI359)/AI362,""),"")</f>
        <v>0.256886228686125</v>
      </c>
      <c r="AJ357" s="257">
        <f>IFERROR(IF(AND(COUNT(AF359,AH359,AI359,AJ359)=4,N(AJ362)&lt;&gt;0),(AF359+AH359+AI359+AJ359)/AJ362,""),"")</f>
        <v>0.148205142031558</v>
      </c>
      <c r="AK357" s="257">
        <f>IFERROR(IF(AND(COUNT(AH359,AI359,AJ359,AK359)=4,N(AK362)&lt;&gt;0),(AH359+AI359+AJ359+AK359)/AK362,""),"")</f>
        <v>0.142815510326643</v>
      </c>
      <c r="AL357" s="257">
        <f>IFERROR(IF(AND(COUNT(AH359,AI359,AJ359,AK359)=4,N(AL362)&lt;&gt;0),(AH359+AI359+AJ359+AK359)/AL362,""),"")</f>
        <v>0.142815510326643</v>
      </c>
      <c r="AM357" s="257">
        <f>IFERROR(IF(AND(COUNT(AI359,AJ359,AK359,AM359)=4,N(AM362)&lt;&gt;0),(AI359+AJ359+AK359+AM359)/AM362,""),"")</f>
        <v>0.147108758211119</v>
      </c>
      <c r="AN357" s="257">
        <f>IFERROR(IF(AND(COUNT(AJ359,AK359,AM359,AN359)=4,N(AN362)&lt;&gt;0),(AJ359+AK359+AM359+AN359)/AN362,""),"")</f>
        <v>0.144821025582845</v>
      </c>
      <c r="AO357" s="257">
        <f>IFERROR(IF(AND(COUNT(AK359,AM359,AN359,AO359)=4,N(AO362)&lt;&gt;0),(AK359+AM359+AN359+AO359)/AO362,""),"")</f>
        <v>0.145036921217212</v>
      </c>
      <c r="AP357" s="257">
        <f>IFERROR(IF(AND(COUNT(AM359,AN359,AO359,AP359)=4,N(AP362)&lt;&gt;0),(AM359+AN359+AO359+AP359)/AP362,""),"")</f>
        <v>0.143638665650786</v>
      </c>
      <c r="AQ357" s="257">
        <f>IFERROR(IF(AND(COUNT(AM359,AN359,AO359,AP359)=4,N(AQ362)&lt;&gt;0),(AM359+AN359+AO359+AP359)/AQ362,""),"")</f>
        <v>0.143638665650786</v>
      </c>
      <c r="AR357" s="257">
        <f>IFERROR(IF(AND(COUNT(AN359,AO359,AP359,AR359)=4,N(AR362)&lt;&gt;0),(AN359+AO359+AP359+AR359)/AR362,""),"")</f>
        <v>0.143318951178425</v>
      </c>
      <c r="AS357" s="257">
        <f>IFERROR(IF(AND(COUNT(AO359,AP359,AR359,AS359)=4,N(AS362)&lt;&gt;0),(AO359+AP359+AR359+AS359)/AS362,""),"")</f>
        <v>0.142284108111072</v>
      </c>
      <c r="AT357" s="257">
        <f>IFERROR(IF(AND(COUNT(AP359,AR359,AS359,AT359)=4,N(AT362)&lt;&gt;0),(AP359+AR359+AS359+AT359)/AT362,""),"")</f>
        <v>0.142395894633974</v>
      </c>
      <c r="AU357" s="257">
        <f>IFERROR(IF(AND(COUNT(AR359,AS359,AT359,AU359)=4,N(AU362)&lt;&gt;0),(AR359+AS359+AT359+AU359)/AU362,""),"")</f>
        <v>0.140960844453218</v>
      </c>
      <c r="AV357" s="257">
        <f>IFERROR(IF(AND(COUNT(AR359,AS359,AT359,AU359)=4,N(AV362)&lt;&gt;0),(AR359+AS359+AT359+AU359)/AV362,""),"")</f>
        <v>0.140960844453218</v>
      </c>
      <c r="AW357" s="257">
        <f>IFERROR(IF(AND(COUNT(AS359,AT359,AU359,AW359)=4,N(AW362)&lt;&gt;0),(AS359+AT359+AU359+AW359)/AW362,""),"")</f>
        <v>0.140675597133003</v>
      </c>
      <c r="AX357" s="257">
        <f>IFERROR(IF(AND(COUNT(AT359,AU359,AW359,AX359)=4,N(AX362)&lt;&gt;0),(AT359+AU359+AW359+AX359)/AX362,""),"")</f>
        <v>0.139404759921481</v>
      </c>
      <c r="AY357" s="257">
        <f>IFERROR(IF(AND(COUNT(AU359,AW359,AX359,AY359)=4,N(AY362)&lt;&gt;0),(AU359+AW359+AX359+AY359)/AY362,""),"")</f>
        <v>0.139419806092638</v>
      </c>
      <c r="AZ357" s="257">
        <f>IFERROR(IF(AND(COUNT(AW359,AX359,AY359,AZ359)=4,N(AZ362)&lt;&gt;0),(AW359+AX359+AY359+AZ359)/AZ362,""),"")</f>
        <v>0.137960217616483</v>
      </c>
      <c r="BA357" s="257">
        <f>IFERROR(IF(AND(COUNT(AW359,AX359,AY359,AZ359)=4,N(BA362)&lt;&gt;0),(AW359+AX359+AY359+AZ359)/BA362,""),"")</f>
        <v>0.137960217616483</v>
      </c>
      <c r="BB357" s="257">
        <f>IFERROR(IF(AND(COUNT(AX359,AY359,AZ359,BB359)=4,N(BB362)&lt;&gt;0),(AX359+AY359+AZ359+BB359)/BB362,""),"")</f>
        <v>0.137522962419215</v>
      </c>
      <c r="BC357" s="257">
        <f>IFERROR(IF(AND(COUNT(AY359,AZ359,BB359,BC359)=4,N(BC362)&lt;&gt;0),(AY359+AZ359+BB359+BC359)/BC362,""),"")</f>
        <v>0.136227091100998</v>
      </c>
      <c r="BD357" s="257">
        <f>IFERROR(IF(AND(COUNT(AZ359,BB359,BC359,BD359)=4,N(BD362)&lt;&gt;0),(AZ359+BB359+BC359+BD359)/BD362,""),"")</f>
        <v>0.136151421078714</v>
      </c>
      <c r="BE357" s="257">
        <f>IFERROR(IF(AND(COUNT(BB359,BC359,BD359,BE359)=4,N(BE362)&lt;&gt;0),(BB359+BC359+BD359+BE359)/BE362,""),"")</f>
        <v>0.134676921846863</v>
      </c>
      <c r="BF357" s="257">
        <f>IFERROR(IF(AND(COUNT(BB359,BC359,BD359,BE359)=4,N(BF362)&lt;&gt;0),(BB359+BC359+BD359+BE359)/BF362,""),"")</f>
        <v>0.134676921846863</v>
      </c>
      <c r="BG357" s="81" t="n"/>
      <c r="BH357" s="81" t="n"/>
      <c r="BI357" s="81" t="n"/>
      <c r="BJ357" s="81" t="n"/>
      <c r="BL357" s="81" t="n"/>
      <c r="BM357" s="81" t="n"/>
      <c r="BN357" s="81" t="n"/>
      <c r="BO357" s="81" t="n"/>
      <c r="BQ357" s="81" t="n"/>
      <c r="BR357" s="81" t="n"/>
      <c r="BS357" s="81" t="n"/>
      <c r="BT357" s="81" t="n"/>
      <c r="BV357" s="81" t="n"/>
      <c r="BW357" s="81" t="n"/>
      <c r="BX357" s="81" t="n"/>
      <c r="BY357" s="81" t="n"/>
      <c r="CA357" s="81" t="n"/>
      <c r="CB357" s="81" t="n"/>
      <c r="CC357" s="81" t="n"/>
      <c r="CD357" s="81" t="n"/>
      <c r="CF357" s="81" t="n"/>
      <c r="CG357" s="81" t="n"/>
      <c r="CH357" s="81" t="n"/>
      <c r="CI357" s="81" t="n"/>
      <c r="CK357" s="81" t="n"/>
      <c r="CL357" s="81" t="n"/>
      <c r="CM357" s="81" t="n"/>
      <c r="CN357" s="81" t="n"/>
      <c r="CP357" s="81" t="n"/>
      <c r="CQ357" s="81" t="n"/>
      <c r="CR357" s="81" t="n"/>
      <c r="CS357" s="81" t="n"/>
      <c r="CU357" s="81" t="n"/>
      <c r="CV357" s="81" t="n"/>
      <c r="CW357" s="81" t="n"/>
      <c r="CX357" s="81" t="n"/>
    </row>
    <row r="358" customFormat="1" s="84">
      <c r="A358" s="81" t="n"/>
      <c r="B358" s="81" t="n"/>
      <c r="C358" s="84" t="inlineStr">
        <is>
          <t>RETURN ON CAPITAL (ROIC) - EX GOODWILL - LTM</t>
        </is>
      </c>
      <c r="D358" t="str">
        <f>IFERROR(D359/D363,"")</f>
        <v/>
      </c>
      <c r="E358" t="str">
        <f>IFERROR(E359/E363,"")</f>
        <v/>
      </c>
      <c r="F358" t="str">
        <f>IFERROR(F359/F363,"")</f>
        <v/>
      </c>
      <c r="G358" t="str">
        <f>IFERROR(G359/G363,"")</f>
        <v/>
      </c>
      <c r="H358" s="257" t="str">
        <f>IFERROR(IF(AND(COUNT(H359)=1,N(H363)&lt;&gt;0),(H359)/H363,""),"")</f>
        <v/>
      </c>
      <c r="I358" s="257" t="str">
        <f>""</f>
        <v/>
      </c>
      <c r="J358" s="257" t="str">
        <f>""</f>
        <v/>
      </c>
      <c r="K358" s="257" t="str">
        <f>""</f>
        <v/>
      </c>
      <c r="L358" s="257">
        <f>IFERROR(IF(AND(COUNT(I359,J359,K359,L359)=4,N(L363)&lt;&gt;0),(I359+J359+K359+L359)/L363,""),"")</f>
        <v>0.106822366493419</v>
      </c>
      <c r="M358" s="257">
        <f>IFERROR(IF(AND(COUNT(I359,J359,K359,L359)=4,N(M363)&lt;&gt;0),(I359+J359+K359+L359)/M363,""),"")</f>
        <v>0.106822366493419</v>
      </c>
      <c r="N358" s="257">
        <f>IFERROR(IF(AND(COUNT(J359,K359,L359,N359)=4,N(N363)&lt;&gt;0),(J359+K359+L359+N359)/N363,""),"")</f>
        <v>0.121243645711327</v>
      </c>
      <c r="O358" s="257">
        <f>IFERROR(IF(AND(COUNT(K359,L359,N359,O359)=4,N(O363)&lt;&gt;0),(K359+L359+N359+O359)/O363,""),"")</f>
        <v>0.125846816164555</v>
      </c>
      <c r="P358" s="257">
        <f>IFERROR(IF(AND(COUNT(L359,N359,O359,P359)=4,N(P363)&lt;&gt;0),(L359+N359+O359+P359)/P363,""),"")</f>
        <v>0.123512333574196</v>
      </c>
      <c r="Q358" s="257">
        <f>IFERROR(IF(AND(COUNT(N359,O359,P359,Q359)=4,N(Q363)&lt;&gt;0),(N359+O359+P359+Q359)/Q363,""),"")</f>
        <v>0.101792710283727</v>
      </c>
      <c r="R358" s="257">
        <f>IFERROR(IF(AND(COUNT(N359,O359,P359,Q359)=4,N(R363)&lt;&gt;0),(N359+O359+P359+Q359)/R363,""),"")</f>
        <v>0.101792710283727</v>
      </c>
      <c r="S358" s="257">
        <f>IFERROR(IF(AND(COUNT(O359,P359,Q359,S359)=4,N(S363)&lt;&gt;0),(O359+P359+Q359+S359)/S363,""),"")</f>
        <v>0.0987370732343801</v>
      </c>
      <c r="T358" s="257">
        <f>IFERROR(IF(AND(COUNT(P359,Q359,S359,T359)=4,N(T363)&lt;&gt;0),(P359+Q359+S359+T359)/T363,""),"")</f>
        <v>0.0898822986144497</v>
      </c>
      <c r="U358" s="257">
        <f>IFERROR(IF(AND(COUNT(Q359,S359,T359,U359)=4,N(U363)&lt;&gt;0),(Q359+S359+T359+U359)/U363,""),"")</f>
        <v>0.076573011092544</v>
      </c>
      <c r="V358" s="257">
        <f>IFERROR(IF(AND(COUNT(S359,T359,U359,V359)=4,N(V363)&lt;&gt;0),(S359+T359+U359+V359)/V363,""),"")</f>
        <v>0.066883872394017</v>
      </c>
      <c r="W358" s="257">
        <f>IFERROR(IF(AND(COUNT(S359,T359,U359,V359)=4,N(W363)&lt;&gt;0),(S359+T359+U359+V359)/W363,""),"")</f>
        <v>0.066883872394017</v>
      </c>
      <c r="X358" s="257">
        <f>IFERROR(IF(AND(COUNT(T359,U359,V359,X359)=4,N(X363)&lt;&gt;0),(T359+U359+V359+X359)/X363,""),"")</f>
        <v>0.0594490095390009</v>
      </c>
      <c r="Y358" s="257">
        <f>IFERROR(IF(AND(COUNT(U359,V359,X359,Y359)=4,N(Y363)&lt;&gt;0),(U359+V359+X359+Y359)/Y363,""),"")</f>
        <v>0.0610820056835914</v>
      </c>
      <c r="Z358" s="257">
        <f>IFERROR(IF(AND(COUNT(V359,X359,Y359,Z359)=4,N(Z363)&lt;&gt;0),(V359+X359+Y359+Z359)/Z363,""),"")</f>
        <v>0.068478586711586</v>
      </c>
      <c r="AA358" s="257">
        <f>IFERROR(IF(AND(COUNT(X359,Y359,Z359,AA359)=4,N(AA363)&lt;&gt;0),(X359+Y359+Z359+AA359)/AA363,""),"")</f>
        <v>0.102840776745176</v>
      </c>
      <c r="AB358" s="257">
        <f>IFERROR(IF(AND(COUNT(X359,Y359,Z359,AA359)=4,N(AB363)&lt;&gt;0),(X359+Y359+Z359+AA359)/AB363,""),"")</f>
        <v>0.102840776745176</v>
      </c>
      <c r="AC358" s="257">
        <f>IFERROR(IF(AND(COUNT(Y359,Z359,AA359,AC359)=4,N(AC363)&lt;&gt;0),(Y359+Z359+AA359+AC359)/AC363,""),"")</f>
        <v>0.10528924091513</v>
      </c>
      <c r="AD358" s="257">
        <f>IFERROR(IF(AND(COUNT(Z359,AA359,AC359,AD359)=4,N(AD363)&lt;&gt;0),(Z359+AA359+AC359+AD359)/AD363,""),"")</f>
        <v>0.115466601055132</v>
      </c>
      <c r="AE358" s="257">
        <f>IFERROR(IF(AND(COUNT(AA359,AC359,AD359,AE359)=4,N(AE363)&lt;&gt;0),(AA359+AC359+AD359+AE359)/AE363,""),"")</f>
        <v>0.135866390085697</v>
      </c>
      <c r="AF358" s="257">
        <f>IFERROR(IF(AND(COUNT(AB359,AD359,AE359,AF359)=4,N(AF363)&lt;&gt;0),(AB359+AD359+AE359+AF359)/AF363,""),"")</f>
        <v>0.228821403909694</v>
      </c>
      <c r="AG358" s="257">
        <f>IFERROR(IF(AND(COUNT(AC359,AD359,AE359,AF359)=4,N(AG363)&lt;&gt;0),(AC359+AD359+AE359+AF359)/AG363,""),"")</f>
        <v>0.152461428172816</v>
      </c>
      <c r="AH358" s="257">
        <f>IFERROR(IF(AND(COUNT(AD359,AF359,AG359,AH359)=4,N(AH363)&lt;&gt;0),(AD359+AF359+AG359+AH359)/AH363,""),"")</f>
        <v>0.266481924816892</v>
      </c>
      <c r="AI358" s="257">
        <f>IFERROR(IF(AND(COUNT(AE359,AG359,AH359,AI359)=4,N(AI363)&lt;&gt;0),(AE359+AG359+AH359+AI359)/AI363,""),"")</f>
        <v>0.256886228686125</v>
      </c>
      <c r="AJ358" s="257">
        <f>IFERROR(IF(AND(COUNT(AF359,AH359,AI359,AJ359)=4,N(AJ363)&lt;&gt;0),(AF359+AH359+AI359+AJ359)/AJ363,""),"")</f>
        <v>0.148205142031558</v>
      </c>
      <c r="AK358" s="257">
        <f>IFERROR(IF(AND(COUNT(AH359,AI359,AJ359,AK359)=4,N(AK363)&lt;&gt;0),(AH359+AI359+AJ359+AK359)/AK363,""),"")</f>
        <v>0.142815510326643</v>
      </c>
      <c r="AL358" s="257">
        <f>IFERROR(IF(AND(COUNT(AH359,AI359,AJ359,AK359)=4,N(AL363)&lt;&gt;0),(AH359+AI359+AJ359+AK359)/AL363,""),"")</f>
        <v>0.142815510326643</v>
      </c>
      <c r="AM358" s="257">
        <f>IFERROR(IF(AND(COUNT(AI359,AJ359,AK359,AM359)=4,N(AM363)&lt;&gt;0),(AI359+AJ359+AK359+AM359)/AM363,""),"")</f>
        <v>0.147108758211119</v>
      </c>
      <c r="AN358" s="257">
        <f>IFERROR(IF(AND(COUNT(AJ359,AK359,AM359,AN359)=4,N(AN363)&lt;&gt;0),(AJ359+AK359+AM359+AN359)/AN363,""),"")</f>
        <v>0.144821025582845</v>
      </c>
      <c r="AO358" s="257">
        <f>IFERROR(IF(AND(COUNT(AK359,AM359,AN359,AO359)=4,N(AO363)&lt;&gt;0),(AK359+AM359+AN359+AO359)/AO363,""),"")</f>
        <v>0.145036921217212</v>
      </c>
      <c r="AP358" s="257">
        <f>IFERROR(IF(AND(COUNT(AM359,AN359,AO359,AP359)=4,N(AP363)&lt;&gt;0),(AM359+AN359+AO359+AP359)/AP363,""),"")</f>
        <v>0.143638665650786</v>
      </c>
      <c r="AQ358" s="257">
        <f>IFERROR(IF(AND(COUNT(AM359,AN359,AO359,AP359)=4,N(AQ363)&lt;&gt;0),(AM359+AN359+AO359+AP359)/AQ363,""),"")</f>
        <v>0.143638665650786</v>
      </c>
      <c r="AR358" s="257">
        <f>IFERROR(IF(AND(COUNT(AN359,AO359,AP359,AR359)=4,N(AR363)&lt;&gt;0),(AN359+AO359+AP359+AR359)/AR363,""),"")</f>
        <v>0.143318951178425</v>
      </c>
      <c r="AS358" s="257">
        <f>IFERROR(IF(AND(COUNT(AO359,AP359,AR359,AS359)=4,N(AS363)&lt;&gt;0),(AO359+AP359+AR359+AS359)/AS363,""),"")</f>
        <v>0.142284108111072</v>
      </c>
      <c r="AT358" s="257">
        <f>IFERROR(IF(AND(COUNT(AP359,AR359,AS359,AT359)=4,N(AT363)&lt;&gt;0),(AP359+AR359+AS359+AT359)/AT363,""),"")</f>
        <v>0.142395894633974</v>
      </c>
      <c r="AU358" s="257">
        <f>IFERROR(IF(AND(COUNT(AR359,AS359,AT359,AU359)=4,N(AU363)&lt;&gt;0),(AR359+AS359+AT359+AU359)/AU363,""),"")</f>
        <v>0.140960844453218</v>
      </c>
      <c r="AV358" s="257">
        <f>IFERROR(IF(AND(COUNT(AR359,AS359,AT359,AU359)=4,N(AV363)&lt;&gt;0),(AR359+AS359+AT359+AU359)/AV363,""),"")</f>
        <v>0.140960844453218</v>
      </c>
      <c r="AW358" s="257">
        <f>IFERROR(IF(AND(COUNT(AS359,AT359,AU359,AW359)=4,N(AW363)&lt;&gt;0),(AS359+AT359+AU359+AW359)/AW363,""),"")</f>
        <v>0.140675597133003</v>
      </c>
      <c r="AX358" s="257">
        <f>IFERROR(IF(AND(COUNT(AT359,AU359,AW359,AX359)=4,N(AX363)&lt;&gt;0),(AT359+AU359+AW359+AX359)/AX363,""),"")</f>
        <v>0.139404759921481</v>
      </c>
      <c r="AY358" s="257">
        <f>IFERROR(IF(AND(COUNT(AU359,AW359,AX359,AY359)=4,N(AY363)&lt;&gt;0),(AU359+AW359+AX359+AY359)/AY363,""),"")</f>
        <v>0.139419806092638</v>
      </c>
      <c r="AZ358" s="257">
        <f>IFERROR(IF(AND(COUNT(AW359,AX359,AY359,AZ359)=4,N(AZ363)&lt;&gt;0),(AW359+AX359+AY359+AZ359)/AZ363,""),"")</f>
        <v>0.137960217616483</v>
      </c>
      <c r="BA358" s="257">
        <f>IFERROR(IF(AND(COUNT(AW359,AX359,AY359,AZ359)=4,N(BA363)&lt;&gt;0),(AW359+AX359+AY359+AZ359)/BA363,""),"")</f>
        <v>0.137960217616483</v>
      </c>
      <c r="BB358" s="257">
        <f>IFERROR(IF(AND(COUNT(AX359,AY359,AZ359,BB359)=4,N(BB363)&lt;&gt;0),(AX359+AY359+AZ359+BB359)/BB363,""),"")</f>
        <v>0.137522962419215</v>
      </c>
      <c r="BC358" s="257">
        <f>IFERROR(IF(AND(COUNT(AY359,AZ359,BB359,BC359)=4,N(BC363)&lt;&gt;0),(AY359+AZ359+BB359+BC359)/BC363,""),"")</f>
        <v>0.136227091100998</v>
      </c>
      <c r="BD358" s="257">
        <f>IFERROR(IF(AND(COUNT(AZ359,BB359,BC359,BD359)=4,N(BD363)&lt;&gt;0),(AZ359+BB359+BC359+BD359)/BD363,""),"")</f>
        <v>0.136151421078714</v>
      </c>
      <c r="BE358" s="257">
        <f>IFERROR(IF(AND(COUNT(BB359,BC359,BD359,BE359)=4,N(BE363)&lt;&gt;0),(BB359+BC359+BD359+BE359)/BE363,""),"")</f>
        <v>0.134676921846863</v>
      </c>
      <c r="BF358" s="257">
        <f>IFERROR(IF(AND(COUNT(BB359,BC359,BD359,BE359)=4,N(BF363)&lt;&gt;0),(BB359+BC359+BD359+BE359)/BF363,""),"")</f>
        <v>0.134676921846863</v>
      </c>
      <c r="BG358" s="81" t="n"/>
      <c r="BH358" s="81" t="n"/>
      <c r="BI358" s="81" t="n"/>
      <c r="BJ358" s="81" t="n"/>
      <c r="BL358" s="81" t="n"/>
      <c r="BM358" s="81" t="n"/>
      <c r="BN358" s="81" t="n"/>
      <c r="BO358" s="81" t="n"/>
      <c r="BQ358" s="81" t="n"/>
      <c r="BR358" s="81" t="n"/>
      <c r="BS358" s="81" t="n"/>
      <c r="BT358" s="81" t="n"/>
      <c r="BV358" s="81" t="n"/>
      <c r="BW358" s="81" t="n"/>
      <c r="BX358" s="81" t="n"/>
      <c r="BY358" s="81" t="n"/>
      <c r="CA358" s="81" t="n"/>
      <c r="CB358" s="81" t="n"/>
      <c r="CC358" s="81" t="n"/>
      <c r="CD358" s="81" t="n"/>
      <c r="CF358" s="81" t="n"/>
      <c r="CG358" s="81" t="n"/>
      <c r="CH358" s="81" t="n"/>
      <c r="CI358" s="81" t="n"/>
      <c r="CK358" s="81" t="n"/>
      <c r="CL358" s="81" t="n"/>
      <c r="CM358" s="81" t="n"/>
      <c r="CN358" s="81" t="n"/>
      <c r="CP358" s="81" t="n"/>
      <c r="CQ358" s="81" t="n"/>
      <c r="CR358" s="81" t="n"/>
      <c r="CS358" s="81" t="n"/>
      <c r="CU358" s="81" t="n"/>
      <c r="CV358" s="81" t="n"/>
      <c r="CW358" s="81" t="n"/>
      <c r="CX358" s="81" t="n"/>
    </row>
    <row r="359" customFormat="1" s="77">
      <c r="A359" s="76" t="n"/>
      <c r="B359" s="76" t="n"/>
      <c r="C359" s="77" t="inlineStr">
        <is>
          <t>NOPLAT</t>
        </is>
      </c>
      <c r="D359">
        <f>IFERROR(D360*(1-D361),"")</f>
        <v>0</v>
      </c>
      <c r="E359">
        <f>IFERROR(E360*(1-E361),"")</f>
        <v>0</v>
      </c>
      <c r="F359">
        <f>IFERROR(F360*(1-F361),"")</f>
        <v>0</v>
      </c>
      <c r="G359">
        <f>IFERROR(G360*(1-G361),"")</f>
        <v>0</v>
      </c>
      <c r="H359" s="263">
        <f>IFERROR(H360*(1-N(H361)),0)</f>
        <v>0</v>
      </c>
      <c r="I359" s="263">
        <f>IFERROR(I360*(1-N(I361)),0)</f>
        <v>160.140727994881</v>
      </c>
      <c r="J359" s="263">
        <f>IFERROR(J360*(1-N(J361)),0)</f>
        <v>221.185250088673</v>
      </c>
      <c r="K359" s="263">
        <f>IFERROR(K360*(1-N(K361)),0)</f>
        <v>352.450960281763</v>
      </c>
      <c r="L359" s="263">
        <f>IFERROR(L360*(1-N(L361)),0)</f>
        <v>421.320336586751</v>
      </c>
      <c r="M359" s="263">
        <f>IFERROR(M360*(1-N(M361)),0)</f>
        <v>1155.714578454</v>
      </c>
      <c r="N359" s="263">
        <f>IFERROR(N360*(1-N(N361)),0)</f>
        <v>462.325026756885</v>
      </c>
      <c r="O359" s="263">
        <f>IFERROR(O360*(1-N(O361)),0)</f>
        <v>468.224329417448</v>
      </c>
      <c r="P359" s="263">
        <f>IFERROR(P360*(1-N(P361)),0)</f>
        <v>526.840594659277</v>
      </c>
      <c r="Q359" s="263">
        <f>IFERROR(Q360*(1-N(Q361)),0)</f>
        <v>0</v>
      </c>
      <c r="R359" s="263">
        <f>IFERROR(R360*(1-N(R361)),0)</f>
        <v>1879.5697914373</v>
      </c>
      <c r="S359" s="263">
        <f>IFERROR(S360*(1-N(S361)),0)</f>
        <v>485.309</v>
      </c>
      <c r="T359" s="263">
        <f>IFERROR(T360*(1-N(T361)),0)</f>
        <v>364.77666250968</v>
      </c>
      <c r="U359" s="263">
        <f>IFERROR(U360*(1-N(U361)),0)</f>
        <v>341.560994759018</v>
      </c>
      <c r="V359" s="263">
        <f>IFERROR(V360*(1-N(V361)),0)</f>
        <v>-143.964169546592</v>
      </c>
      <c r="W359" s="263">
        <f>IFERROR(W360*(1-N(W361)),0)</f>
        <v>981.216600144119</v>
      </c>
      <c r="X359" s="263">
        <f>IFERROR(X360*(1-N(X361)),0)</f>
        <v>407.833931811322</v>
      </c>
      <c r="Y359" s="263">
        <f>IFERROR(Y360*(1-N(Y361)),0)</f>
        <v>471.548109603561</v>
      </c>
      <c r="Z359" s="263">
        <f>IFERROR(Z360*(1-N(Z361)),0)</f>
        <v>534.780407992455</v>
      </c>
      <c r="AA359" s="263">
        <f>IFERROR(AA360*(1-N(AA361)),0)</f>
        <v>544.084623139335</v>
      </c>
      <c r="AB359" s="263">
        <f>IFERROR(AB360*(1-N(AB361)),0)</f>
        <v>1959.56344095803</v>
      </c>
      <c r="AC359" s="263">
        <f>IFERROR(AC360*(1-N(AC361)),0)</f>
        <v>542.714857916837</v>
      </c>
      <c r="AD359" s="263">
        <f>IFERROR(AD360*(1-N(AD361)),0)</f>
        <v>581.402427418383</v>
      </c>
      <c r="AE359" s="263">
        <f>IFERROR(AE360*(1-N(AE361)),0)</f>
        <v>854.092</v>
      </c>
      <c r="AF359" s="263">
        <f>IFERROR(AF360*(1-N(AF361)),0)</f>
        <v>850.69101735</v>
      </c>
      <c r="AG359" s="263">
        <f>IFERROR(AG360*(1-N(AG361)),0)</f>
        <v>2982.24954560058</v>
      </c>
      <c r="AH359" s="263">
        <f>IFERROR(AH360*(1-N(AH361)),0)</f>
        <v>695.773292425137</v>
      </c>
      <c r="AI359" s="263">
        <f>IFERROR(AI360*(1-N(AI361)),0)</f>
        <v>812.225127632626</v>
      </c>
      <c r="AJ359" s="263">
        <f>IFERROR(AJ360*(1-N(AJ361)),0)</f>
        <v>847.484840595956</v>
      </c>
      <c r="AK359" s="263">
        <f>IFERROR(AK360*(1-N(AK361)),0)</f>
        <v>823.434746466426</v>
      </c>
      <c r="AL359" s="263">
        <f>IFERROR(AL360*(1-N(AL361)),0)</f>
        <v>3345.26685304927</v>
      </c>
      <c r="AM359" s="263">
        <f>IFERROR(AM360*(1-N(AM361)),0)</f>
        <v>850.815951562697</v>
      </c>
      <c r="AN359" s="263">
        <f>IFERROR(AN360*(1-N(AN361)),0)</f>
        <v>847.481961702706</v>
      </c>
      <c r="AO359" s="263">
        <f>IFERROR(AO360*(1-N(AO361)),0)</f>
        <v>912.273533198632</v>
      </c>
      <c r="AP359" s="263">
        <f>IFERROR(AP360*(1-N(AP361)),0)</f>
        <v>886.384852605977</v>
      </c>
      <c r="AQ359" s="263">
        <f>IFERROR(AQ360*(1-N(AQ361)),0)</f>
        <v>3496.95629907001</v>
      </c>
      <c r="AR359" s="263">
        <f>IFERROR(AR360*(1-N(AR361)),0)</f>
        <v>911.605221852876</v>
      </c>
      <c r="AS359" s="263">
        <f>IFERROR(AS360*(1-N(AS361)),0)</f>
        <v>908.033024410655</v>
      </c>
      <c r="AT359" s="263">
        <f>IFERROR(AT360*(1-N(AT361)),0)</f>
        <v>977.453837218945</v>
      </c>
      <c r="AU359" s="263">
        <f>IFERROR(AU360*(1-N(AU361)),0)</f>
        <v>949.715456936112</v>
      </c>
      <c r="AV359" s="263">
        <f>IFERROR(AV360*(1-N(AV361)),0)</f>
        <v>3746.80754041859</v>
      </c>
      <c r="AW359" s="263">
        <f>IFERROR(AW360*(1-N(AW361)),0)</f>
        <v>972.179750119643</v>
      </c>
      <c r="AX359" s="263">
        <f>IFERROR(AX360*(1-N(AX361)),0)</f>
        <v>968.370186578862</v>
      </c>
      <c r="AY359" s="263">
        <f>IFERROR(AY360*(1-N(AY361)),0)</f>
        <v>1042.4038876056</v>
      </c>
      <c r="AZ359" s="263">
        <f>IFERROR(AZ360*(1-N(AZ361)),0)</f>
        <v>1012.82234181621</v>
      </c>
      <c r="BA359" s="263">
        <f>IFERROR(BA360*(1-N(BA361)),0)</f>
        <v>3995.77616612031</v>
      </c>
      <c r="BB359" s="263">
        <f>IFERROR(BB360*(1-N(BB361)),0)</f>
        <v>1031.91844814879</v>
      </c>
      <c r="BC359" s="263">
        <f>IFERROR(BC360*(1-N(BC361)),0)</f>
        <v>1027.87479377659</v>
      </c>
      <c r="BD359" s="263">
        <f>IFERROR(BD360*(1-N(BD361)),0)</f>
        <v>1106.45773264651</v>
      </c>
      <c r="BE359" s="263">
        <f>IFERROR(BE360*(1-N(BE361)),0)</f>
        <v>1075.05845404492</v>
      </c>
      <c r="BF359" s="263">
        <f>IFERROR(BF360*(1-N(BF361)),0)</f>
        <v>4241.3094286168</v>
      </c>
      <c r="BG359" s="85" t="n"/>
      <c r="BH359" s="76" t="n"/>
      <c r="BI359" s="76" t="n"/>
      <c r="BJ359" s="76" t="n"/>
      <c r="BL359" s="85" t="n"/>
      <c r="BM359" s="76" t="n"/>
      <c r="BN359" s="76" t="n"/>
      <c r="BO359" s="76" t="n"/>
      <c r="BQ359" s="85" t="n"/>
      <c r="BR359" s="76" t="n"/>
      <c r="BS359" s="76" t="n"/>
      <c r="BT359" s="76" t="n"/>
      <c r="BV359" s="85" t="n"/>
      <c r="BW359" s="76" t="n"/>
      <c r="BX359" s="76" t="n"/>
      <c r="BY359" s="76" t="n"/>
      <c r="CA359" s="85" t="n"/>
      <c r="CB359" s="76" t="n"/>
      <c r="CC359" s="76" t="n"/>
      <c r="CD359" s="76" t="n"/>
      <c r="CF359" s="85" t="n"/>
      <c r="CG359" s="76" t="n"/>
      <c r="CH359" s="76" t="n"/>
      <c r="CI359" s="76" t="n"/>
      <c r="CK359" s="85" t="n"/>
      <c r="CL359" s="76" t="n"/>
      <c r="CM359" s="76" t="n"/>
      <c r="CN359" s="76" t="n"/>
      <c r="CP359" s="85" t="n"/>
      <c r="CQ359" s="76" t="n"/>
      <c r="CR359" s="76" t="n"/>
      <c r="CS359" s="76" t="n"/>
      <c r="CU359" s="85" t="n"/>
      <c r="CV359" s="76" t="n"/>
      <c r="CW359" s="76" t="n"/>
      <c r="CX359" s="76" t="n"/>
    </row>
    <row r="360" customFormat="1" s="77">
      <c r="A360" s="76" t="n"/>
      <c r="B360" s="76" t="n"/>
      <c r="C360" s="77" t="inlineStr">
        <is>
          <t>EBIT</t>
        </is>
      </c>
      <c r="D360" s="86">
        <f>IFERROR(D142,"")</f>
        <v>0</v>
      </c>
      <c r="E360" s="86">
        <f>IFERROR(E142,"")</f>
        <v>0</v>
      </c>
      <c r="F360" s="86">
        <f>IFERROR(F142,"")</f>
        <v>0</v>
      </c>
      <c r="G360" s="86">
        <f>IFERROR(G142,"")</f>
        <v>0</v>
      </c>
      <c r="H360" s="263">
        <f>IFERROR(H85,0)</f>
        <v>0</v>
      </c>
      <c r="I360" s="263">
        <f>IFERROR(I85,0)</f>
        <v>242.324</v>
      </c>
      <c r="J360" s="263">
        <f>IFERROR(J85,0)</f>
        <v>315.528</v>
      </c>
      <c r="K360" s="263">
        <f>IFERROR(K85,0)</f>
        <v>502.702</v>
      </c>
      <c r="L360" s="263">
        <f>IFERROR(L85,0)</f>
        <v>606.181</v>
      </c>
      <c r="M360" s="263">
        <f>IFERROR(M85,0)</f>
        <v>1666.735</v>
      </c>
      <c r="N360" s="263">
        <f>IFERROR(N85,0)</f>
        <v>650.259</v>
      </c>
      <c r="O360" s="263">
        <f>IFERROR(O85,0)</f>
        <v>664.348</v>
      </c>
      <c r="P360" s="263">
        <f>IFERROR(P85,0)</f>
        <v>624.813</v>
      </c>
      <c r="Q360" s="263">
        <f>IFERROR(Q85,0)</f>
        <v>477.301</v>
      </c>
      <c r="R360" s="263">
        <f>IFERROR(R85,0)</f>
        <v>2416.721</v>
      </c>
      <c r="S360" s="263">
        <f>IFERROR(S85,0)</f>
        <v>485.309</v>
      </c>
      <c r="T360" s="263">
        <f>IFERROR(T85,0)</f>
        <v>501.037</v>
      </c>
      <c r="U360" s="263">
        <f>IFERROR(U85,0)</f>
        <v>455.16</v>
      </c>
      <c r="V360" s="263">
        <f>IFERROR(V85,0)</f>
        <v>-179.939</v>
      </c>
      <c r="W360" s="263">
        <f>IFERROR(W85,0)</f>
        <v>1261.567</v>
      </c>
      <c r="X360" s="263">
        <f>IFERROR(X85,0)</f>
        <v>611.646</v>
      </c>
      <c r="Y360" s="263">
        <f>IFERROR(Y85,0)</f>
        <v>627.327</v>
      </c>
      <c r="Z360" s="263">
        <f>IFERROR(Z85,0)</f>
        <v>696.198</v>
      </c>
      <c r="AA360" s="263">
        <f>IFERROR(AA85,0)</f>
        <v>684.93</v>
      </c>
      <c r="AB360" s="263">
        <f>IFERROR(AB85,0)</f>
        <v>2620.101</v>
      </c>
      <c r="AC360" s="263">
        <f>IFERROR(AC85,0)</f>
        <v>765.955</v>
      </c>
      <c r="AD360" s="263">
        <f>IFERROR(AD85,0)</f>
        <v>785.39</v>
      </c>
      <c r="AE360" s="263">
        <f>IFERROR(AE85,0)</f>
        <v>854.092</v>
      </c>
      <c r="AF360" s="263">
        <f>IFERROR(AF85,0)</f>
        <v>850.69101735</v>
      </c>
      <c r="AG360" s="263">
        <f>IFERROR(AG85,0)</f>
        <v>3256.12801735</v>
      </c>
      <c r="AH360" s="263">
        <f>IFERROR(AH85,0)</f>
        <v>918.078642</v>
      </c>
      <c r="AI360" s="263">
        <f>IFERROR(AI85,0)</f>
        <v>1015.1799626</v>
      </c>
      <c r="AJ360" s="263">
        <f>IFERROR(AJ85,0)</f>
        <v>945.767203387624</v>
      </c>
      <c r="AK360" s="263">
        <f>IFERROR(AK85,0)</f>
        <v>918.928032730483</v>
      </c>
      <c r="AL360" s="263">
        <f>IFERROR(AL85,0)</f>
        <v>3797.95384071811</v>
      </c>
      <c r="AM360" s="263">
        <f>IFERROR(AM85,0)</f>
        <v>949.484621508016</v>
      </c>
      <c r="AN360" s="263">
        <f>IFERROR(AN85,0)</f>
        <v>945.763990630667</v>
      </c>
      <c r="AO360" s="263">
        <f>IFERROR(AO85,0)</f>
        <v>1018.06940595078</v>
      </c>
      <c r="AP360" s="263">
        <f>IFERROR(AP85,0)</f>
        <v>989.178428943696</v>
      </c>
      <c r="AQ360" s="263">
        <f>IFERROR(AQ85,0)</f>
        <v>3902.49644703316</v>
      </c>
      <c r="AR360" s="263">
        <f>IFERROR(AR85,0)</f>
        <v>1017.32359089641</v>
      </c>
      <c r="AS360" s="263">
        <f>IFERROR(AS85,0)</f>
        <v>1013.33712763118</v>
      </c>
      <c r="AT360" s="263">
        <f>IFERROR(AT85,0)</f>
        <v>1090.80863489781</v>
      </c>
      <c r="AU360" s="263">
        <f>IFERROR(AU85,0)</f>
        <v>1059.85344951874</v>
      </c>
      <c r="AV360" s="263">
        <f>IFERROR(AV85,0)</f>
        <v>4181.32280294414</v>
      </c>
      <c r="AW360" s="263">
        <f>IFERROR(AW85,0)</f>
        <v>1084.92291474402</v>
      </c>
      <c r="AX360" s="263">
        <f>IFERROR(AX85,0)</f>
        <v>1080.67155816098</v>
      </c>
      <c r="AY360" s="263">
        <f>IFERROR(AY85,0)</f>
        <v>1163.29090782068</v>
      </c>
      <c r="AZ360" s="263">
        <f>IFERROR(AZ85,0)</f>
        <v>1130.27880601902</v>
      </c>
      <c r="BA360" s="263">
        <f>IFERROR(BA85,0)</f>
        <v>4459.1641867447</v>
      </c>
      <c r="BB360" s="263">
        <f>IFERROR(BB85,0)</f>
        <v>1151.58947756927</v>
      </c>
      <c r="BC360" s="263">
        <f>IFERROR(BC85,0)</f>
        <v>1147.07688276656</v>
      </c>
      <c r="BD360" s="263">
        <f>IFERROR(BD85,0)</f>
        <v>1234.77304294414</v>
      </c>
      <c r="BE360" s="263">
        <f>IFERROR(BE85,0)</f>
        <v>1199.73240683019</v>
      </c>
      <c r="BF360" s="263">
        <f>IFERROR(BF85,0)</f>
        <v>4733.17181011015</v>
      </c>
      <c r="BG360" s="63" t="n"/>
      <c r="BH360" s="63" t="n"/>
      <c r="BI360" s="63" t="n"/>
      <c r="BJ360" s="63" t="n"/>
      <c r="BL360" s="63" t="n"/>
      <c r="BM360" s="63" t="n"/>
      <c r="BN360" s="63" t="n"/>
      <c r="BO360" s="63" t="n"/>
      <c r="BQ360" s="63" t="n"/>
      <c r="BR360" s="63" t="n"/>
      <c r="BS360" s="63" t="n"/>
      <c r="BT360" s="63" t="n"/>
      <c r="BV360" s="63" t="n"/>
      <c r="BW360" s="63" t="n"/>
      <c r="BX360" s="63" t="n"/>
      <c r="BY360" s="63" t="n"/>
      <c r="CA360" s="63" t="n"/>
      <c r="CB360" s="63" t="n"/>
      <c r="CC360" s="63" t="n"/>
      <c r="CD360" s="63" t="n"/>
      <c r="CF360" s="63" t="n"/>
      <c r="CG360" s="63" t="n"/>
      <c r="CH360" s="63" t="n"/>
      <c r="CI360" s="63" t="n"/>
      <c r="CK360" s="63" t="n"/>
      <c r="CL360" s="63" t="n"/>
      <c r="CM360" s="63" t="n"/>
      <c r="CN360" s="63" t="n"/>
      <c r="CP360" s="63" t="n"/>
      <c r="CQ360" s="63" t="n"/>
      <c r="CR360" s="63" t="n"/>
      <c r="CS360" s="63" t="n"/>
      <c r="CU360" s="63" t="n"/>
      <c r="CV360" s="63" t="n"/>
      <c r="CW360" s="63" t="n"/>
      <c r="CX360" s="63" t="n"/>
    </row>
    <row r="361" customFormat="1" s="77">
      <c r="A361" s="76" t="n"/>
      <c r="B361" s="76" t="n"/>
      <c r="C361" s="77" t="inlineStr">
        <is>
          <t>ETR (LIMITED TO 0%-100%)</t>
        </is>
      </c>
      <c r="D361" s="87">
        <f>IFERROR(D144,"")</f>
        <v>0</v>
      </c>
      <c r="E361" s="87">
        <f>IFERROR(E144,"")</f>
        <v>0</v>
      </c>
      <c r="F361" s="87">
        <f>IFERROR(F144,"")</f>
        <v>0</v>
      </c>
      <c r="G361" s="87">
        <f>IFERROR(G144,"")</f>
        <v>0</v>
      </c>
      <c r="H361" s="258" t="str">
        <f>IFERROR(IF(N(H142)&lt;&gt;0,MAX(0,MIN(1,-H143/H142)),""),"")</f>
        <v/>
      </c>
      <c r="I361" s="258">
        <f>IFERROR(IF(N(I142)&lt;&gt;0,MAX(0,MIN(1,-I143/I142)),""),"")</f>
        <v>0.339146233988869</v>
      </c>
      <c r="J361" s="258">
        <f>IFERROR(IF(N(J142)&lt;&gt;0,MAX(0,MIN(1,-J143/J142)),""),"")</f>
        <v>0.298999613065489</v>
      </c>
      <c r="K361" s="258">
        <f>IFERROR(IF(N(K142)&lt;&gt;0,MAX(0,MIN(1,-K143/K142)),""),"")</f>
        <v>0.298886894657743</v>
      </c>
      <c r="L361" s="258">
        <f>IFERROR(IF(N(L142)&lt;&gt;0,MAX(0,MIN(1,-L143/L142)),""),"")</f>
        <v>0.304959514424321</v>
      </c>
      <c r="M361" s="258">
        <f>IFERROR(IF(N(M142)&lt;&gt;0,MAX(0,MIN(1,-M143/M142)),""),"")</f>
        <v>0.306599682340627</v>
      </c>
      <c r="N361" s="258">
        <f>IFERROR(IF(N(N142)&lt;&gt;0,MAX(0,MIN(1,-N143/N142)),""),"")</f>
        <v>0.289014028630308</v>
      </c>
      <c r="O361" s="258">
        <f>IFERROR(IF(N(O142)&lt;&gt;0,MAX(0,MIN(1,-O143/O142)),""),"")</f>
        <v>0.295212254093566</v>
      </c>
      <c r="P361" s="258">
        <f>IFERROR(IF(N(P142)&lt;&gt;0,MAX(0,MIN(1,-P143/P142)),""),"")</f>
        <v>0.156802763932125</v>
      </c>
      <c r="Q361" s="258">
        <f>IFERROR(IF(N(Q142)&lt;&gt;0,MAX(0,MIN(1,-Q143/Q142)),""),"")</f>
        <v>1</v>
      </c>
      <c r="R361" s="258">
        <f>IFERROR(IF(N(R142)&lt;&gt;0,MAX(0,MIN(1,-R143/R142)),""),"")</f>
        <v>0.222264468493756</v>
      </c>
      <c r="S361" s="258">
        <f>IFERROR(IF(N(S142)&lt;&gt;0,MAX(0,MIN(1,-S143/S142)),""),"")</f>
        <v>0</v>
      </c>
      <c r="T361" s="258">
        <f>IFERROR(IF(N(T142)&lt;&gt;0,MAX(0,MIN(1,-T143/T142)),""),"")</f>
        <v>0.271956636915676</v>
      </c>
      <c r="U361" s="258">
        <f>IFERROR(IF(N(U142)&lt;&gt;0,MAX(0,MIN(1,-U143/U142)),""),"")</f>
        <v>0.249580378857945</v>
      </c>
      <c r="V361" s="258">
        <f>IFERROR(IF(N(V142)&lt;&gt;0,MAX(0,MIN(1,-V143/V142)),""),"")</f>
        <v>0.199927922537127</v>
      </c>
      <c r="W361" s="258">
        <f>IFERROR(IF(N(W142)&lt;&gt;0,MAX(0,MIN(1,-W143/W142)),""),"")</f>
        <v>0.222223948356196</v>
      </c>
      <c r="X361" s="258">
        <f>IFERROR(IF(N(X142)&lt;&gt;0,MAX(0,MIN(1,-X143/X142)),""),"")</f>
        <v>0.333218999533517</v>
      </c>
      <c r="Y361" s="258">
        <f>IFERROR(IF(N(Y142)&lt;&gt;0,MAX(0,MIN(1,-Y143/Y142)),""),"")</f>
        <v>0.248321673379973</v>
      </c>
      <c r="Z361" s="258">
        <f>IFERROR(IF(N(Z142)&lt;&gt;0,MAX(0,MIN(1,-Z143/Z142)),""),"")</f>
        <v>0.231855868599945</v>
      </c>
      <c r="AA361" s="258">
        <f>IFERROR(IF(N(AA142)&lt;&gt;0,MAX(0,MIN(1,-AA143/AA142)),""),"")</f>
        <v>0.205634702612917</v>
      </c>
      <c r="AB361" s="258">
        <f>IFERROR(IF(N(AB142)&lt;&gt;0,MAX(0,MIN(1,-AB143/AB142)),""),"")</f>
        <v>0.252103853646087</v>
      </c>
      <c r="AC361" s="258">
        <f>IFERROR(IF(N(AC142)&lt;&gt;0,MAX(0,MIN(1,-AC143/AC142)),""),"")</f>
        <v>0.291453338751185</v>
      </c>
      <c r="AD361" s="258">
        <f>IFERROR(IF(N(AD142)&lt;&gt;0,MAX(0,MIN(1,-AD143/AD142)),""),"")</f>
        <v>0.259727743645344</v>
      </c>
      <c r="AE361" s="258">
        <f>IFERROR(IF(N(AE142)&lt;&gt;0,MAX(0,MIN(1,-AE143/AE142)),""),"")</f>
        <v>0</v>
      </c>
      <c r="AF361" s="258">
        <f>IFERROR(IF(N(AF142)&lt;&gt;0,MAX(0,MIN(1,-AF143/AF142)),""),"")</f>
        <v>0</v>
      </c>
      <c r="AG361" s="258">
        <f>IFERROR(IF(N(AG142)&lt;&gt;0,MAX(0,MIN(1,-AG143/AG142)),""),"")</f>
        <v>0.0841117027002862</v>
      </c>
      <c r="AH361" s="258">
        <f>IFERROR(IF(N(AH142)&lt;&gt;0,MAX(0,MIN(1,-AH143/AH142)),""),"")</f>
        <v>0.242141946675264</v>
      </c>
      <c r="AI361" s="258">
        <f>IFERROR(IF(N(AI142)&lt;&gt;0,MAX(0,MIN(1,-AI143/AI142)),""),"")</f>
        <v>0.199920055994389</v>
      </c>
      <c r="AJ361" s="258">
        <f>IFERROR(IF(N(AJ142)&lt;&gt;0,MAX(0,MIN(1,-AJ143/AJ142)),""),"")</f>
        <v>0.103918133806747</v>
      </c>
      <c r="AK361" s="258">
        <f>IFERROR(IF(N(AK142)&lt;&gt;0,MAX(0,MIN(1,-AK143/AK142)),""),"")</f>
        <v>0.103918133806747</v>
      </c>
      <c r="AL361" s="258">
        <f>IFERROR(IF(N(AL142)&lt;&gt;0,MAX(0,MIN(1,-AL143/AL142)),""),"")</f>
        <v>0.119192335308436</v>
      </c>
      <c r="AM361" s="258">
        <f>IFERROR(IF(N(AM142)&lt;&gt;0,MAX(0,MIN(1,-AM143/AM142)),""),"")</f>
        <v>0.103918133806747</v>
      </c>
      <c r="AN361" s="258">
        <f>IFERROR(IF(N(AN142)&lt;&gt;0,MAX(0,MIN(1,-AN143/AN142)),""),"")</f>
        <v>0.103918133806747</v>
      </c>
      <c r="AO361" s="258">
        <f>IFERROR(IF(N(AO142)&lt;&gt;0,MAX(0,MIN(1,-AO143/AO142)),""),"")</f>
        <v>0.103918133806747</v>
      </c>
      <c r="AP361" s="258">
        <f>IFERROR(IF(N(AP142)&lt;&gt;0,MAX(0,MIN(1,-AP143/AP142)),""),"")</f>
        <v>0.103918133806747</v>
      </c>
      <c r="AQ361" s="258">
        <f>IFERROR(IF(N(AQ142)&lt;&gt;0,MAX(0,MIN(1,-AQ143/AQ142)),""),"")</f>
        <v>0.103918133806747</v>
      </c>
      <c r="AR361" s="258">
        <f>IFERROR(IF(N(AR142)&lt;&gt;0,MAX(0,MIN(1,-AR143/AR142)),""),"")</f>
        <v>0.103918133806747</v>
      </c>
      <c r="AS361" s="258">
        <f>IFERROR(IF(N(AS142)&lt;&gt;0,MAX(0,MIN(1,-AS143/AS142)),""),"")</f>
        <v>0.103918133806747</v>
      </c>
      <c r="AT361" s="258">
        <f>IFERROR(IF(N(AT142)&lt;&gt;0,MAX(0,MIN(1,-AT143/AT142)),""),"")</f>
        <v>0.103918133806747</v>
      </c>
      <c r="AU361" s="258">
        <f>IFERROR(IF(N(AU142)&lt;&gt;0,MAX(0,MIN(1,-AU143/AU142)),""),"")</f>
        <v>0.103918133806747</v>
      </c>
      <c r="AV361" s="258">
        <f>IFERROR(IF(N(AV142)&lt;&gt;0,MAX(0,MIN(1,-AV143/AV142)),""),"")</f>
        <v>0.103918133806747</v>
      </c>
      <c r="AW361" s="258">
        <f>IFERROR(IF(N(AW142)&lt;&gt;0,MAX(0,MIN(1,-AW143/AW142)),""),"")</f>
        <v>0.103918133806747</v>
      </c>
      <c r="AX361" s="258">
        <f>IFERROR(IF(N(AX142)&lt;&gt;0,MAX(0,MIN(1,-AX143/AX142)),""),"")</f>
        <v>0.103918133806747</v>
      </c>
      <c r="AY361" s="258">
        <f>IFERROR(IF(N(AY142)&lt;&gt;0,MAX(0,MIN(1,-AY143/AY142)),""),"")</f>
        <v>0.103918133806747</v>
      </c>
      <c r="AZ361" s="258">
        <f>IFERROR(IF(N(AZ142)&lt;&gt;0,MAX(0,MIN(1,-AZ143/AZ142)),""),"")</f>
        <v>0.103918133806747</v>
      </c>
      <c r="BA361" s="258">
        <f>IFERROR(IF(N(BA142)&lt;&gt;0,MAX(0,MIN(1,-BA143/BA142)),""),"")</f>
        <v>0.103918133806747</v>
      </c>
      <c r="BB361" s="258">
        <f>IFERROR(IF(N(BB142)&lt;&gt;0,MAX(0,MIN(1,-BB143/BB142)),""),"")</f>
        <v>0.103918133806747</v>
      </c>
      <c r="BC361" s="258">
        <f>IFERROR(IF(N(BC142)&lt;&gt;0,MAX(0,MIN(1,-BC143/BC142)),""),"")</f>
        <v>0.103918133806747</v>
      </c>
      <c r="BD361" s="258">
        <f>IFERROR(IF(N(BD142)&lt;&gt;0,MAX(0,MIN(1,-BD143/BD142)),""),"")</f>
        <v>0.103918133806747</v>
      </c>
      <c r="BE361" s="258">
        <f>IFERROR(IF(N(BE142)&lt;&gt;0,MAX(0,MIN(1,-BE143/BE142)),""),"")</f>
        <v>0.103918133806747</v>
      </c>
      <c r="BF361" s="258">
        <f>IFERROR(IF(N(BF142)&lt;&gt;0,MAX(0,MIN(1,-BF143/BF142)),""),"")</f>
        <v>0.103918133806747</v>
      </c>
      <c r="BG361" s="88" t="n"/>
      <c r="BH361" s="88" t="n"/>
      <c r="BI361" s="88" t="n"/>
      <c r="BJ361" s="88" t="n"/>
      <c r="BL361" s="88" t="n"/>
      <c r="BM361" s="88" t="n"/>
      <c r="BN361" s="88" t="n"/>
      <c r="BO361" s="88" t="n"/>
      <c r="BQ361" s="88" t="n"/>
      <c r="BR361" s="88" t="n"/>
      <c r="BS361" s="88" t="n"/>
      <c r="BT361" s="88" t="n"/>
      <c r="BV361" s="88" t="n"/>
      <c r="BW361" s="88" t="n"/>
      <c r="BX361" s="88" t="n"/>
      <c r="BY361" s="88" t="n"/>
      <c r="CA361" s="88" t="n"/>
      <c r="CB361" s="88" t="n"/>
      <c r="CC361" s="88" t="n"/>
      <c r="CD361" s="88" t="n"/>
      <c r="CF361" s="88" t="n"/>
      <c r="CG361" s="88" t="n"/>
      <c r="CH361" s="88" t="n"/>
      <c r="CI361" s="88" t="n"/>
      <c r="CK361" s="88" t="n"/>
      <c r="CL361" s="88" t="n"/>
      <c r="CM361" s="88" t="n"/>
      <c r="CN361" s="88" t="n"/>
      <c r="CP361" s="88" t="n"/>
      <c r="CQ361" s="88" t="n"/>
      <c r="CR361" s="88" t="n"/>
      <c r="CS361" s="88" t="n"/>
      <c r="CU361" s="88" t="n"/>
      <c r="CV361" s="88" t="n"/>
      <c r="CW361" s="88" t="n"/>
      <c r="CX361" s="88" t="n"/>
    </row>
    <row r="362" customFormat="1" s="77">
      <c r="A362" s="76" t="n"/>
      <c r="B362" s="76" t="n"/>
      <c r="C362" s="77" t="inlineStr">
        <is>
          <t>INVESTED CAPITAL</t>
        </is>
      </c>
      <c r="D362" s="86">
        <f>IFERROR(D365-D366+D367,"")</f>
        <v>0</v>
      </c>
      <c r="E362" s="86">
        <f>IFERROR(E365-E366+E367,"")</f>
        <v>0</v>
      </c>
      <c r="F362" s="86">
        <f>IFERROR(F365-F366+F367,"")</f>
        <v>0</v>
      </c>
      <c r="G362" s="86">
        <f>IFERROR(G365-G366+G367,"")</f>
        <v>0</v>
      </c>
      <c r="H362" s="263">
        <f>IFERROR(H364+H367,0)</f>
        <v>0</v>
      </c>
      <c r="I362" s="263">
        <f>IFERROR(I364+I367,0)</f>
        <v>6147.544</v>
      </c>
      <c r="J362" s="263">
        <f>IFERROR(J364+J367,0)</f>
        <v>6621.83</v>
      </c>
      <c r="K362" s="263">
        <f>IFERROR(K364+K367,0)</f>
        <v>9382.392</v>
      </c>
      <c r="L362" s="263">
        <f>IFERROR(L364+L367,0)</f>
        <v>10813.253</v>
      </c>
      <c r="M362" s="263">
        <f>IFERROR(M364+M367,0)</f>
        <v>10813.253</v>
      </c>
      <c r="N362" s="263">
        <f>IFERROR(N364+N367,0)</f>
        <v>12019.447</v>
      </c>
      <c r="O362" s="263">
        <f>IFERROR(O364+O367,0)</f>
        <v>13542.819</v>
      </c>
      <c r="P362" s="263">
        <f>IFERROR(P364+P367,0)</f>
        <v>15210.71</v>
      </c>
      <c r="Q362" s="263">
        <f>IFERROR(Q364+Q367,0)</f>
        <v>14317.233</v>
      </c>
      <c r="R362" s="263">
        <f>IFERROR(R364+R367,0)</f>
        <v>14317.233</v>
      </c>
      <c r="S362" s="263">
        <f>IFERROR(S364+S367,0)</f>
        <v>14993.091</v>
      </c>
      <c r="T362" s="263">
        <f>IFERROR(T364+T367,0)</f>
        <v>15319.215</v>
      </c>
      <c r="U362" s="263">
        <f>IFERROR(U364+U367,0)</f>
        <v>15562.228</v>
      </c>
      <c r="V362" s="263">
        <f>IFERROR(V364+V367,0)</f>
        <v>15664.202</v>
      </c>
      <c r="W362" s="263">
        <f>IFERROR(W364+W367,0)</f>
        <v>15664.202</v>
      </c>
      <c r="X362" s="263">
        <f>IFERROR(X364+X367,0)</f>
        <v>16319.993</v>
      </c>
      <c r="Y362" s="263">
        <f>IFERROR(Y364+Y367,0)</f>
        <v>17631.688</v>
      </c>
      <c r="Z362" s="263">
        <f>IFERROR(Z364+Z367,0)</f>
        <v>18548.839</v>
      </c>
      <c r="AA362" s="263">
        <f>IFERROR(AA364+AA367,0)</f>
        <v>19041.543</v>
      </c>
      <c r="AB362" s="263">
        <f>IFERROR(AB364+AB367,0)</f>
        <v>19041.543</v>
      </c>
      <c r="AC362" s="263">
        <f>IFERROR(AC364+AC367,0)</f>
        <v>19879.79</v>
      </c>
      <c r="AD362" s="263">
        <f>IFERROR(AD364+AD367,0)</f>
        <v>19078.957</v>
      </c>
      <c r="AE362" s="263">
        <f>IFERROR(AE364+AE367,0)</f>
        <v>18564.517</v>
      </c>
      <c r="AF362" s="263">
        <f>IFERROR(AF364+AF367,0)</f>
        <v>18554.859</v>
      </c>
      <c r="AG362" s="263">
        <f>IFERROR(AG364+AG367,0)</f>
        <v>18554.859</v>
      </c>
      <c r="AH362" s="263">
        <f>IFERROR(AH364+AH367,0)</f>
        <v>19176.221</v>
      </c>
      <c r="AI362" s="263">
        <f>IFERROR(AI364+AI367,0)</f>
        <v>20804.307</v>
      </c>
      <c r="AJ362" s="263">
        <f>IFERROR(AJ364+AJ367,0)</f>
        <v>21633.3538368123</v>
      </c>
      <c r="AK362" s="263">
        <f>IFERROR(AK364+AK367,0)</f>
        <v>22258.9129139364</v>
      </c>
      <c r="AL362" s="263">
        <f>IFERROR(AL364+AL367,0)</f>
        <v>22258.9129139364</v>
      </c>
      <c r="AM362" s="263">
        <f>IFERROR(AM364+AM367,0)</f>
        <v>22663.2370961426</v>
      </c>
      <c r="AN362" s="263">
        <f>IFERROR(AN364+AN367,0)</f>
        <v>23264.6985254252</v>
      </c>
      <c r="AO362" s="263">
        <f>IFERROR(AO364+AO367,0)</f>
        <v>23676.7725356468</v>
      </c>
      <c r="AP362" s="263">
        <f>IFERROR(AP364+AP367,0)</f>
        <v>24345.5081069314</v>
      </c>
      <c r="AQ362" s="263">
        <f>IFERROR(AQ364+AQ367,0)</f>
        <v>24345.5081069314</v>
      </c>
      <c r="AR362" s="263">
        <f>IFERROR(AR364+AR367,0)</f>
        <v>24823.9715690562</v>
      </c>
      <c r="AS362" s="263">
        <f>IFERROR(AS364+AS367,0)</f>
        <v>25430.0826712396</v>
      </c>
      <c r="AT362" s="263">
        <f>IFERROR(AT364+AT367,0)</f>
        <v>25867.8590808868</v>
      </c>
      <c r="AU362" s="263">
        <f>IFERROR(AU364+AU367,0)</f>
        <v>26580.4844951967</v>
      </c>
      <c r="AV362" s="263">
        <f>IFERROR(AV364+AV367,0)</f>
        <v>26580.4844951967</v>
      </c>
      <c r="AW362" s="263">
        <f>IFERROR(AW364+AW367,0)</f>
        <v>27064.9789038082</v>
      </c>
      <c r="AX362" s="263">
        <f>IFERROR(AX364+AX367,0)</f>
        <v>27744.5277552362</v>
      </c>
      <c r="AY362" s="263">
        <f>IFERROR(AY364+AY367,0)</f>
        <v>28207.3931348544</v>
      </c>
      <c r="AZ362" s="263">
        <f>IFERROR(AZ364+AZ367,0)</f>
        <v>28963.2492261517</v>
      </c>
      <c r="BA362" s="263">
        <f>IFERROR(BA364+BA367,0)</f>
        <v>28963.2492261517</v>
      </c>
      <c r="BB362" s="263">
        <f>IFERROR(BB364+BB367,0)</f>
        <v>29489.7287900686</v>
      </c>
      <c r="BC362" s="263">
        <f>IFERROR(BC364+BC367,0)</f>
        <v>30207.0567468576</v>
      </c>
      <c r="BD362" s="263">
        <f>IFERROR(BD364+BD367,0)</f>
        <v>30694.3055259924</v>
      </c>
      <c r="BE362" s="263">
        <f>IFERROR(BE364+BE367,0)</f>
        <v>31492.4737694812</v>
      </c>
      <c r="BF362" s="263">
        <f>IFERROR(BF364+BF367,0)</f>
        <v>31492.4737694812</v>
      </c>
      <c r="BG362" s="63" t="n"/>
      <c r="BH362" s="63" t="n"/>
      <c r="BI362" s="63" t="n"/>
      <c r="BJ362" s="63" t="n"/>
      <c r="BL362" s="63" t="n"/>
      <c r="BM362" s="63" t="n"/>
      <c r="BN362" s="63" t="n"/>
      <c r="BO362" s="63" t="n"/>
      <c r="BQ362" s="63" t="n"/>
      <c r="BR362" s="63" t="n"/>
      <c r="BS362" s="63" t="n"/>
      <c r="BT362" s="63" t="n"/>
      <c r="BV362" s="63" t="n"/>
      <c r="BW362" s="63" t="n"/>
      <c r="BX362" s="63" t="n"/>
      <c r="BY362" s="63" t="n"/>
      <c r="CA362" s="63" t="n"/>
      <c r="CB362" s="63" t="n"/>
      <c r="CC362" s="63" t="n"/>
      <c r="CD362" s="63" t="n"/>
      <c r="CF362" s="63" t="n"/>
      <c r="CG362" s="63" t="n"/>
      <c r="CH362" s="63" t="n"/>
      <c r="CI362" s="63" t="n"/>
      <c r="CK362" s="63" t="n"/>
      <c r="CL362" s="63" t="n"/>
      <c r="CM362" s="63" t="n"/>
      <c r="CN362" s="63" t="n"/>
      <c r="CP362" s="63" t="n"/>
      <c r="CQ362" s="63" t="n"/>
      <c r="CR362" s="63" t="n"/>
      <c r="CS362" s="63" t="n"/>
      <c r="CU362" s="63" t="n"/>
      <c r="CV362" s="63" t="n"/>
      <c r="CW362" s="63" t="n"/>
      <c r="CX362" s="63" t="n"/>
    </row>
    <row r="363" customFormat="1" s="77">
      <c r="A363" s="76" t="n"/>
      <c r="B363" s="76" t="n"/>
      <c r="C363" s="77" t="inlineStr">
        <is>
          <t>INVESTED CAPITAL - EX GOODWILL</t>
        </is>
      </c>
      <c r="D363" s="89">
        <f>IFERROR(D362-D191,"")</f>
        <v>0</v>
      </c>
      <c r="E363" s="89">
        <f>IFERROR(E362-E191,"")</f>
        <v>0</v>
      </c>
      <c r="F363" s="89">
        <f>IFERROR(F362-F191,"")</f>
        <v>0</v>
      </c>
      <c r="G363" s="89">
        <f>IFERROR(G362-G191,"")</f>
        <v>0</v>
      </c>
      <c r="H363" s="263">
        <f>IFERROR(H362-N(H191),0)</f>
        <v>0</v>
      </c>
      <c r="I363" s="263">
        <f>IFERROR(I362-N(I191),0)</f>
        <v>6147.544</v>
      </c>
      <c r="J363" s="263">
        <f>IFERROR(J362-N(J191),0)</f>
        <v>6621.83</v>
      </c>
      <c r="K363" s="263">
        <f>IFERROR(K362-N(K191),0)</f>
        <v>9382.392</v>
      </c>
      <c r="L363" s="263">
        <f>IFERROR(L362-N(L191),0)</f>
        <v>10813.253</v>
      </c>
      <c r="M363" s="263">
        <f>IFERROR(M362-N(M191),0)</f>
        <v>10813.253</v>
      </c>
      <c r="N363" s="263">
        <f>IFERROR(N362-N(N191),0)</f>
        <v>12019.447</v>
      </c>
      <c r="O363" s="263">
        <f>IFERROR(O362-N(O191),0)</f>
        <v>13542.819</v>
      </c>
      <c r="P363" s="263">
        <f>IFERROR(P362-N(P191),0)</f>
        <v>15210.71</v>
      </c>
      <c r="Q363" s="263">
        <f>IFERROR(Q362-N(Q191),0)</f>
        <v>14317.233</v>
      </c>
      <c r="R363" s="263">
        <f>IFERROR(R362-N(R191),0)</f>
        <v>14317.233</v>
      </c>
      <c r="S363" s="263">
        <f>IFERROR(S362-N(S191),0)</f>
        <v>14993.091</v>
      </c>
      <c r="T363" s="263">
        <f>IFERROR(T362-N(T191),0)</f>
        <v>15319.215</v>
      </c>
      <c r="U363" s="263">
        <f>IFERROR(U362-N(U191),0)</f>
        <v>15562.228</v>
      </c>
      <c r="V363" s="263">
        <f>IFERROR(V362-N(V191),0)</f>
        <v>15664.202</v>
      </c>
      <c r="W363" s="263">
        <f>IFERROR(W362-N(W191),0)</f>
        <v>15664.202</v>
      </c>
      <c r="X363" s="263">
        <f>IFERROR(X362-N(X191),0)</f>
        <v>16319.993</v>
      </c>
      <c r="Y363" s="263">
        <f>IFERROR(Y362-N(Y191),0)</f>
        <v>17631.688</v>
      </c>
      <c r="Z363" s="263">
        <f>IFERROR(Z362-N(Z191),0)</f>
        <v>18548.839</v>
      </c>
      <c r="AA363" s="263">
        <f>IFERROR(AA362-N(AA191),0)</f>
        <v>19041.543</v>
      </c>
      <c r="AB363" s="263">
        <f>IFERROR(AB362-N(AB191),0)</f>
        <v>19041.543</v>
      </c>
      <c r="AC363" s="263">
        <f>IFERROR(AC362-N(AC191),0)</f>
        <v>19879.79</v>
      </c>
      <c r="AD363" s="263">
        <f>IFERROR(AD362-N(AD191),0)</f>
        <v>19078.957</v>
      </c>
      <c r="AE363" s="263">
        <f>IFERROR(AE362-N(AE191),0)</f>
        <v>18564.517</v>
      </c>
      <c r="AF363" s="263">
        <f>IFERROR(AF362-N(AF191),0)</f>
        <v>18554.859</v>
      </c>
      <c r="AG363" s="263">
        <f>IFERROR(AG362-N(AG191),0)</f>
        <v>18554.859</v>
      </c>
      <c r="AH363" s="263">
        <f>IFERROR(AH362-N(AH191),0)</f>
        <v>19176.221</v>
      </c>
      <c r="AI363" s="263">
        <f>IFERROR(AI362-N(AI191),0)</f>
        <v>20804.307</v>
      </c>
      <c r="AJ363" s="263">
        <f>IFERROR(AJ362-N(AJ191),0)</f>
        <v>21633.3538368123</v>
      </c>
      <c r="AK363" s="263">
        <f>IFERROR(AK362-N(AK191),0)</f>
        <v>22258.9129139364</v>
      </c>
      <c r="AL363" s="263">
        <f>IFERROR(AL362-N(AL191),0)</f>
        <v>22258.9129139364</v>
      </c>
      <c r="AM363" s="263">
        <f>IFERROR(AM362-N(AM191),0)</f>
        <v>22663.2370961426</v>
      </c>
      <c r="AN363" s="263">
        <f>IFERROR(AN362-N(AN191),0)</f>
        <v>23264.6985254252</v>
      </c>
      <c r="AO363" s="263">
        <f>IFERROR(AO362-N(AO191),0)</f>
        <v>23676.7725356468</v>
      </c>
      <c r="AP363" s="263">
        <f>IFERROR(AP362-N(AP191),0)</f>
        <v>24345.5081069314</v>
      </c>
      <c r="AQ363" s="263">
        <f>IFERROR(AQ362-N(AQ191),0)</f>
        <v>24345.5081069314</v>
      </c>
      <c r="AR363" s="263">
        <f>IFERROR(AR362-N(AR191),0)</f>
        <v>24823.9715690562</v>
      </c>
      <c r="AS363" s="263">
        <f>IFERROR(AS362-N(AS191),0)</f>
        <v>25430.0826712396</v>
      </c>
      <c r="AT363" s="263">
        <f>IFERROR(AT362-N(AT191),0)</f>
        <v>25867.8590808868</v>
      </c>
      <c r="AU363" s="263">
        <f>IFERROR(AU362-N(AU191),0)</f>
        <v>26580.4844951967</v>
      </c>
      <c r="AV363" s="263">
        <f>IFERROR(AV362-N(AV191),0)</f>
        <v>26580.4844951967</v>
      </c>
      <c r="AW363" s="263">
        <f>IFERROR(AW362-N(AW191),0)</f>
        <v>27064.9789038082</v>
      </c>
      <c r="AX363" s="263">
        <f>IFERROR(AX362-N(AX191),0)</f>
        <v>27744.5277552362</v>
      </c>
      <c r="AY363" s="263">
        <f>IFERROR(AY362-N(AY191),0)</f>
        <v>28207.3931348544</v>
      </c>
      <c r="AZ363" s="263">
        <f>IFERROR(AZ362-N(AZ191),0)</f>
        <v>28963.2492261517</v>
      </c>
      <c r="BA363" s="263">
        <f>IFERROR(BA362-N(BA191),0)</f>
        <v>28963.2492261517</v>
      </c>
      <c r="BB363" s="263">
        <f>IFERROR(BB362-N(BB191),0)</f>
        <v>29489.7287900686</v>
      </c>
      <c r="BC363" s="263">
        <f>IFERROR(BC362-N(BC191),0)</f>
        <v>30207.0567468576</v>
      </c>
      <c r="BD363" s="263">
        <f>IFERROR(BD362-N(BD191),0)</f>
        <v>30694.3055259924</v>
      </c>
      <c r="BE363" s="263">
        <f>IFERROR(BE362-N(BE191),0)</f>
        <v>31492.4737694812</v>
      </c>
      <c r="BF363" s="263">
        <f>IFERROR(BF362-N(BF191),0)</f>
        <v>31492.4737694812</v>
      </c>
      <c r="BG363" s="90" t="n"/>
      <c r="BH363" s="90" t="n"/>
      <c r="BI363" s="90" t="n"/>
      <c r="BJ363" s="90" t="n"/>
      <c r="BL363" s="90" t="n"/>
      <c r="BM363" s="90" t="n"/>
      <c r="BN363" s="90" t="n"/>
      <c r="BO363" s="90" t="n"/>
      <c r="BQ363" s="90" t="n"/>
      <c r="BR363" s="90" t="n"/>
      <c r="BS363" s="90" t="n"/>
      <c r="BT363" s="90" t="n"/>
      <c r="BV363" s="90" t="n"/>
      <c r="BW363" s="90" t="n"/>
      <c r="BX363" s="90" t="n"/>
      <c r="BY363" s="90" t="n"/>
      <c r="CA363" s="90" t="n"/>
      <c r="CB363" s="90" t="n"/>
      <c r="CC363" s="90" t="n"/>
      <c r="CD363" s="90" t="n"/>
      <c r="CF363" s="90" t="n"/>
      <c r="CG363" s="90" t="n"/>
      <c r="CH363" s="90" t="n"/>
      <c r="CI363" s="90" t="n"/>
      <c r="CK363" s="90" t="n"/>
      <c r="CL363" s="90" t="n"/>
      <c r="CM363" s="90" t="n"/>
      <c r="CN363" s="90" t="n"/>
      <c r="CP363" s="90" t="n"/>
      <c r="CQ363" s="90" t="n"/>
      <c r="CR363" s="90" t="n"/>
      <c r="CS363" s="90" t="n"/>
      <c r="CU363" s="90" t="n"/>
      <c r="CV363" s="90" t="n"/>
      <c r="CW363" s="90" t="n"/>
      <c r="CX363" s="90" t="n"/>
    </row>
    <row r="364" customFormat="1" s="77">
      <c r="A364" s="76" t="n"/>
      <c r="B364" s="76" t="n"/>
      <c r="C364" s="77" t="inlineStr">
        <is>
          <t>OPERATING WORKING CAPITAL</t>
        </is>
      </c>
      <c r="D364" s="91">
        <f>IFERROR(D365-D366,"")</f>
        <v>0</v>
      </c>
      <c r="E364" s="91">
        <f>IFERROR(E365-E366,"")</f>
        <v>0</v>
      </c>
      <c r="F364" s="91">
        <f>IFERROR(F365-F366,"")</f>
        <v>0</v>
      </c>
      <c r="G364" s="91">
        <f>IFERROR(G365-G366,"")</f>
        <v>0</v>
      </c>
      <c r="H364" s="263">
        <f>IFERROR(H365-H366,0)</f>
        <v>0</v>
      </c>
      <c r="I364" s="263">
        <f>IFERROR(I365-I366,0)</f>
        <v>-417.148</v>
      </c>
      <c r="J364" s="263">
        <f>IFERROR(J365-J366,0)</f>
        <v>-668.6</v>
      </c>
      <c r="K364" s="263">
        <f>IFERROR(K365-K366,0)</f>
        <v>-544.528</v>
      </c>
      <c r="L364" s="263">
        <f>IFERROR(L365-L366,0)</f>
        <v>-1625.412</v>
      </c>
      <c r="M364" s="263">
        <f>IFERROR(M365-M366,0)</f>
        <v>-1625.412</v>
      </c>
      <c r="N364" s="263">
        <f>IFERROR(N365-N366,0)</f>
        <v>-547.294</v>
      </c>
      <c r="O364" s="263">
        <f>IFERROR(O365-O366,0)</f>
        <v>-976.846</v>
      </c>
      <c r="P364" s="263">
        <f>IFERROR(P365-P366,0)</f>
        <v>-186.232</v>
      </c>
      <c r="Q364" s="263">
        <f>IFERROR(Q365-Q366,0)</f>
        <v>-1196.505</v>
      </c>
      <c r="R364" s="263">
        <f>IFERROR(R365-R366,0)</f>
        <v>-1196.505</v>
      </c>
      <c r="S364" s="263">
        <f>IFERROR(S365-S366,0)</f>
        <v>-150.164</v>
      </c>
      <c r="T364" s="263">
        <f>IFERROR(T365-T366,0)</f>
        <v>371.231</v>
      </c>
      <c r="U364" s="263">
        <f>IFERROR(U365-U366,0)</f>
        <v>-298.649</v>
      </c>
      <c r="V364" s="263">
        <f>IFERROR(V365-V366,0)</f>
        <v>-3678.959</v>
      </c>
      <c r="W364" s="263">
        <f>IFERROR(W365-W366,0)</f>
        <v>-3678.959</v>
      </c>
      <c r="X364" s="263">
        <f>IFERROR(X365-X366,0)</f>
        <v>-3098.722</v>
      </c>
      <c r="Y364" s="263">
        <f>IFERROR(Y365-Y366,0)</f>
        <v>-2656.173</v>
      </c>
      <c r="Z364" s="263">
        <f>IFERROR(Z365-Z366,0)</f>
        <v>-2299.537</v>
      </c>
      <c r="AA364" s="263">
        <f>IFERROR(AA365-AA366,0)</f>
        <v>-4186.078</v>
      </c>
      <c r="AB364" s="263">
        <f>IFERROR(AB365-AB366,0)</f>
        <v>-4186.078</v>
      </c>
      <c r="AC364" s="263">
        <f>IFERROR(AC365-AC366,0)</f>
        <v>-1454.671</v>
      </c>
      <c r="AD364" s="263">
        <f>IFERROR(AD365-AD366,0)</f>
        <v>-2245.821</v>
      </c>
      <c r="AE364" s="263">
        <f>IFERROR(AE365-AE366,0)</f>
        <v>-2842.225</v>
      </c>
      <c r="AF364" s="263">
        <f>IFERROR(AF365-AF366,0)</f>
        <v>-5434.906</v>
      </c>
      <c r="AG364" s="263">
        <f>IFERROR(AG365-AG366,0)</f>
        <v>-5434.906</v>
      </c>
      <c r="AH364" s="263">
        <f>IFERROR(AH365-AH366,0)</f>
        <v>-3688.844</v>
      </c>
      <c r="AI364" s="263">
        <f>IFERROR(AI365-AI366,0)</f>
        <v>-3792.355</v>
      </c>
      <c r="AJ364" s="263">
        <f>IFERROR(AJ365-AJ366,0)</f>
        <v>-3541.14570142928</v>
      </c>
      <c r="AK364" s="263">
        <f>IFERROR(AK365-AK366,0)</f>
        <v>-3477.02617343761</v>
      </c>
      <c r="AL364" s="263">
        <f>IFERROR(AL365-AL366,0)</f>
        <v>-3477.02617343761</v>
      </c>
      <c r="AM364" s="263">
        <f>IFERROR(AM365-AM366,0)</f>
        <v>-3652.81076887278</v>
      </c>
      <c r="AN364" s="263">
        <f>IFERROR(AN365-AN366,0)</f>
        <v>-3629.18491492639</v>
      </c>
      <c r="AO364" s="263">
        <f>IFERROR(AO365-AO366,0)</f>
        <v>-3839.12308400917</v>
      </c>
      <c r="AP364" s="263">
        <f>IFERROR(AP365-AP366,0)</f>
        <v>-3774.74810612981</v>
      </c>
      <c r="AQ364" s="263">
        <f>IFERROR(AQ365-AQ366,0)</f>
        <v>-3774.74810612981</v>
      </c>
      <c r="AR364" s="263">
        <f>IFERROR(AR365-AR366,0)</f>
        <v>-3917.84115099004</v>
      </c>
      <c r="AS364" s="263">
        <f>IFERROR(AS365-AS366,0)</f>
        <v>-3930.85093726836</v>
      </c>
      <c r="AT364" s="263">
        <f>IFERROR(AT365-AT366,0)</f>
        <v>-4159.52835899139</v>
      </c>
      <c r="AU364" s="263">
        <f>IFERROR(AU365-AU366,0)</f>
        <v>-4094.44401607119</v>
      </c>
      <c r="AV364" s="263">
        <f>IFERROR(AV365-AV366,0)</f>
        <v>-4094.44401607119</v>
      </c>
      <c r="AW364" s="263">
        <f>IFERROR(AW365-AW366,0)</f>
        <v>-4272.8074270077</v>
      </c>
      <c r="AX364" s="263">
        <f>IFERROR(AX365-AX366,0)</f>
        <v>-4253.51893413178</v>
      </c>
      <c r="AY364" s="263">
        <f>IFERROR(AY365-AY366,0)</f>
        <v>-4501.39204494364</v>
      </c>
      <c r="AZ364" s="263">
        <f>IFERROR(AZ365-AZ366,0)</f>
        <v>-4436.10496519311</v>
      </c>
      <c r="BA364" s="263">
        <f>IFERROR(BA365-BA366,0)</f>
        <v>-4436.10496519311</v>
      </c>
      <c r="BB364" s="263">
        <f>IFERROR(BB365-BB366,0)</f>
        <v>-4613.21464226494</v>
      </c>
      <c r="BC364" s="263">
        <f>IFERROR(BC365-BC366,0)</f>
        <v>-4596.71885615976</v>
      </c>
      <c r="BD364" s="263">
        <f>IFERROR(BD365-BD366,0)</f>
        <v>-4863.88217004989</v>
      </c>
      <c r="BE364" s="263">
        <f>IFERROR(BE365-BE366,0)</f>
        <v>-4798.71716248246</v>
      </c>
      <c r="BF364" s="263">
        <f>IFERROR(BF365-BF366,0)</f>
        <v>-4798.71716248246</v>
      </c>
      <c r="BG364" s="63" t="n"/>
      <c r="BH364" s="63" t="n"/>
      <c r="BI364" s="63" t="n"/>
      <c r="BJ364" s="63" t="n"/>
      <c r="BL364" s="63" t="n"/>
      <c r="BM364" s="63" t="n"/>
      <c r="BN364" s="63" t="n"/>
      <c r="BO364" s="63" t="n"/>
      <c r="BQ364" s="63" t="n"/>
      <c r="BR364" s="63" t="n"/>
      <c r="BS364" s="63" t="n"/>
      <c r="BT364" s="63" t="n"/>
      <c r="BV364" s="63" t="n"/>
      <c r="BW364" s="63" t="n"/>
      <c r="BX364" s="63" t="n"/>
      <c r="BY364" s="63" t="n"/>
      <c r="CA364" s="63" t="n"/>
      <c r="CB364" s="63" t="n"/>
      <c r="CC364" s="63" t="n"/>
      <c r="CD364" s="63" t="n"/>
      <c r="CF364" s="63" t="n"/>
      <c r="CG364" s="63" t="n"/>
      <c r="CH364" s="63" t="n"/>
      <c r="CI364" s="63" t="n"/>
      <c r="CK364" s="63" t="n"/>
      <c r="CL364" s="63" t="n"/>
      <c r="CM364" s="63" t="n"/>
      <c r="CN364" s="63" t="n"/>
      <c r="CP364" s="63" t="n"/>
      <c r="CQ364" s="63" t="n"/>
      <c r="CR364" s="63" t="n"/>
      <c r="CS364" s="63" t="n"/>
      <c r="CU364" s="63" t="n"/>
      <c r="CV364" s="63" t="n"/>
      <c r="CW364" s="63" t="n"/>
      <c r="CX364" s="63" t="n"/>
    </row>
    <row r="365" customFormat="1" s="77">
      <c r="A365" s="76" t="n"/>
      <c r="B365" s="76" t="n"/>
      <c r="C365" s="77" t="inlineStr">
        <is>
          <t>CURRENT ASSETS (OPERATING, EX CASH)</t>
        </is>
      </c>
      <c r="D365" s="89">
        <f>IFERROR(D157+D161+D165+D166+D167,"")</f>
        <v>0</v>
      </c>
      <c r="E365" s="89">
        <f>IFERROR(E157+E161+E165+E166+E167,"")</f>
        <v>0</v>
      </c>
      <c r="F365" s="89">
        <f>IFERROR(F157+F161+F165+F166+F167,"")</f>
        <v>0</v>
      </c>
      <c r="G365" s="89">
        <f>IFERROR(G157+G161+G165+G166+G167,"")</f>
        <v>0</v>
      </c>
      <c r="H365" s="263">
        <f>IFERROR((N(H157)+N(H161)+N(H165)+N(H166)+N(H167)),0)</f>
        <v>0</v>
      </c>
      <c r="I365" s="263">
        <f>IFERROR((N(I157)+N(I161)+N(I165)+N(I166)+N(I167)),0)</f>
        <v>787.885</v>
      </c>
      <c r="J365" s="263">
        <f>IFERROR((N(J157)+N(J161)+N(J165)+N(J166)+N(J167)),0)</f>
        <v>986.404</v>
      </c>
      <c r="K365" s="263">
        <f>IFERROR((N(K157)+N(K161)+N(K165)+N(K166)+N(K167)),0)</f>
        <v>1144.172</v>
      </c>
      <c r="L365" s="263">
        <f>IFERROR((N(L157)+N(L161)+N(L165)+N(L166)+N(L167)),0)</f>
        <v>1367.687</v>
      </c>
      <c r="M365" s="263">
        <f>IFERROR((N(M157)+N(M161)+N(M165)+N(M166)+N(M167)),0)</f>
        <v>1367.687</v>
      </c>
      <c r="N365" s="263">
        <f>IFERROR((N(N157)+N(N161)+N(N165)+N(N166)+N(N167)),0)</f>
        <v>2035.534</v>
      </c>
      <c r="O365" s="263">
        <f>IFERROR((N(O157)+N(O161)+N(O165)+N(O166)+N(O167)),0)</f>
        <v>2372.939</v>
      </c>
      <c r="P365" s="263">
        <f>IFERROR((N(P157)+N(P161)+N(P165)+N(P166)+N(P167)),0)</f>
        <v>2438.283</v>
      </c>
      <c r="Q365" s="263">
        <f>IFERROR((N(Q157)+N(Q161)+N(Q165)+N(Q166)+N(Q167)),0)</f>
        <v>2614.609</v>
      </c>
      <c r="R365" s="263">
        <f>IFERROR((N(R157)+N(R161)+N(R165)+N(R166)+N(R167)),0)</f>
        <v>2614.609</v>
      </c>
      <c r="S365" s="263">
        <f>IFERROR((N(S157)+N(S161)+N(S165)+N(S166)+N(S167)),0)</f>
        <v>2400.553</v>
      </c>
      <c r="T365" s="263">
        <f>IFERROR((N(T157)+N(T161)+N(T165)+N(T166)+N(T167)),0)</f>
        <v>2401.126</v>
      </c>
      <c r="U365" s="263">
        <f>IFERROR((N(U157)+N(U161)+N(U165)+N(U166)+N(U167)),0)</f>
        <v>2737.741</v>
      </c>
      <c r="V365" s="263">
        <f>IFERROR((N(V157)+N(V161)+N(V165)+N(V166)+N(V167)),0)</f>
        <v>2432.314</v>
      </c>
      <c r="W365" s="263">
        <f>IFERROR((N(W157)+N(W161)+N(W165)+N(W166)+N(W167)),0)</f>
        <v>2432.314</v>
      </c>
      <c r="X365" s="263">
        <f>IFERROR((N(X157)+N(X161)+N(X165)+N(X166)+N(X167)),0)</f>
        <v>3117.784</v>
      </c>
      <c r="Y365" s="263">
        <f>IFERROR((N(Y157)+N(Y161)+N(Y165)+N(Y166)+N(Y167)),0)</f>
        <v>3181.874</v>
      </c>
      <c r="Z365" s="263">
        <f>IFERROR((N(Z157)+N(Z161)+N(Z165)+N(Z166)+N(Z167)),0)</f>
        <v>3153.986</v>
      </c>
      <c r="AA365" s="263">
        <f>IFERROR((N(AA157)+N(AA161)+N(AA165)+N(AA166)+N(AA167)),0)</f>
        <v>2659.557</v>
      </c>
      <c r="AB365" s="263">
        <f>IFERROR((N(AB157)+N(AB161)+N(AB165)+N(AB166)+N(AB167)),0)</f>
        <v>2659.557</v>
      </c>
      <c r="AC365" s="263">
        <f>IFERROR((N(AC157)+N(AC161)+N(AC165)+N(AC166)+N(AC167)),0)</f>
        <v>4225.816</v>
      </c>
      <c r="AD365" s="263">
        <f>IFERROR((N(AD157)+N(AD161)+N(AD165)+N(AD166)+N(AD167)),0)</f>
        <v>4186.721</v>
      </c>
      <c r="AE365" s="263">
        <f>IFERROR((N(AE157)+N(AE161)+N(AE165)+N(AE166)+N(AE167)),0)</f>
        <v>3943.677</v>
      </c>
      <c r="AF365" s="263">
        <f>IFERROR((N(AF157)+N(AF161)+N(AF165)+N(AF166)+N(AF167)),0)</f>
        <v>2931.832</v>
      </c>
      <c r="AG365" s="263">
        <f>IFERROR((N(AG157)+N(AG161)+N(AG165)+N(AG166)+N(AG167)),0)</f>
        <v>2931.832</v>
      </c>
      <c r="AH365" s="263">
        <f>IFERROR((N(AH157)+N(AH161)+N(AH165)+N(AH166)+N(AH167)),0)</f>
        <v>3589.371</v>
      </c>
      <c r="AI365" s="263">
        <f>IFERROR((N(AI157)+N(AI161)+N(AI165)+N(AI166)+N(AI167)),0)</f>
        <v>3704.462</v>
      </c>
      <c r="AJ365" s="263">
        <f>IFERROR((N(AJ157)+N(AJ161)+N(AJ165)+N(AJ166)+N(AJ167)),0)</f>
        <v>3754.83848788548</v>
      </c>
      <c r="AK365" s="263">
        <f>IFERROR((N(AK157)+N(AK161)+N(AK165)+N(AK166)+N(AK167)),0)</f>
        <v>3687.85882797439</v>
      </c>
      <c r="AL365" s="263">
        <f>IFERROR((N(AL157)+N(AL161)+N(AL165)+N(AL166)+N(AL167)),0)</f>
        <v>3687.85882797439</v>
      </c>
      <c r="AM365" s="263">
        <f>IFERROR((N(AM157)+N(AM161)+N(AM165)+N(AM166)+N(AM167)),0)</f>
        <v>3816.77182244692</v>
      </c>
      <c r="AN365" s="263">
        <f>IFERROR((N(AN157)+N(AN161)+N(AN165)+N(AN166)+N(AN167)),0)</f>
        <v>3780.7672005913</v>
      </c>
      <c r="AO365" s="263">
        <f>IFERROR((N(AO157)+N(AO161)+N(AO165)+N(AO166)+N(AO167)),0)</f>
        <v>3935.2753948364</v>
      </c>
      <c r="AP365" s="263">
        <f>IFERROR((N(AP157)+N(AP161)+N(AP165)+N(AP166)+N(AP167)),0)</f>
        <v>3863.1752603295</v>
      </c>
      <c r="AQ365" s="263">
        <f>IFERROR((N(AQ157)+N(AQ161)+N(AQ165)+N(AQ166)+N(AQ167)),0)</f>
        <v>3863.1752603295</v>
      </c>
      <c r="AR365" s="263">
        <f>IFERROR((N(AR157)+N(AR161)+N(AR165)+N(AR166)+N(AR167)),0)</f>
        <v>3961.31333202402</v>
      </c>
      <c r="AS365" s="263">
        <f>IFERROR((N(AS157)+N(AS161)+N(AS165)+N(AS166)+N(AS167)),0)</f>
        <v>3951.25541501549</v>
      </c>
      <c r="AT365" s="263">
        <f>IFERROR((N(AT157)+N(AT161)+N(AT165)+N(AT166)+N(AT167)),0)</f>
        <v>4116.80294199144</v>
      </c>
      <c r="AU365" s="263">
        <f>IFERROR((N(AU157)+N(AU161)+N(AU165)+N(AU166)+N(AU167)),0)</f>
        <v>4039.55138248311</v>
      </c>
      <c r="AV365" s="263">
        <f>IFERROR((N(AV157)+N(AV161)+N(AV165)+N(AV166)+N(AV167)),0)</f>
        <v>4039.55138248311</v>
      </c>
      <c r="AW365" s="263">
        <f>IFERROR((N(AW157)+N(AW161)+N(AW165)+N(AW166)+N(AW167)),0)</f>
        <v>4162.28183428369</v>
      </c>
      <c r="AX365" s="263">
        <f>IFERROR((N(AX157)+N(AX161)+N(AX165)+N(AX166)+N(AX167)),0)</f>
        <v>4121.14136881115</v>
      </c>
      <c r="AY365" s="263">
        <f>IFERROR((N(AY157)+N(AY161)+N(AY165)+N(AY166)+N(AY167)),0)</f>
        <v>4297.68923136209</v>
      </c>
      <c r="AZ365" s="263">
        <f>IFERROR((N(AZ157)+N(AZ161)+N(AZ165)+N(AZ166)+N(AZ167)),0)</f>
        <v>4215.30444459385</v>
      </c>
      <c r="BA365" s="263">
        <f>IFERROR((N(BA157)+N(BA161)+N(BA165)+N(BA166)+N(BA167)),0)</f>
        <v>4215.30444459385</v>
      </c>
      <c r="BB365" s="263">
        <f>IFERROR((N(BB157)+N(BB161)+N(BB165)+N(BB166)+N(BB167)),0)</f>
        <v>4332.3516451217</v>
      </c>
      <c r="BC365" s="263">
        <f>IFERROR((N(BC157)+N(BC161)+N(BC165)+N(BC166)+N(BC167)),0)</f>
        <v>4288.68317200105</v>
      </c>
      <c r="BD365" s="263">
        <f>IFERROR((N(BD157)+N(BD161)+N(BD165)+N(BD166)+N(BD167)),0)</f>
        <v>4476.0795833387</v>
      </c>
      <c r="BE365" s="263">
        <f>IFERROR((N(BE157)+N(BE161)+N(BE165)+N(BE166)+N(BE167)),0)</f>
        <v>4388.63239952059</v>
      </c>
      <c r="BF365" s="263">
        <f>IFERROR((N(BF157)+N(BF161)+N(BF165)+N(BF166)+N(BF167)),0)</f>
        <v>4388.63239952059</v>
      </c>
      <c r="BG365" s="90" t="n"/>
      <c r="BH365" s="90" t="n"/>
      <c r="BI365" s="90" t="n"/>
      <c r="BJ365" s="90" t="n"/>
      <c r="BL365" s="90" t="n"/>
      <c r="BM365" s="90" t="n"/>
      <c r="BN365" s="90" t="n"/>
      <c r="BO365" s="90" t="n"/>
      <c r="BQ365" s="90" t="n"/>
      <c r="BR365" s="90" t="n"/>
      <c r="BS365" s="90" t="n"/>
      <c r="BT365" s="90" t="n"/>
      <c r="BV365" s="90" t="n"/>
      <c r="BW365" s="90" t="n"/>
      <c r="BX365" s="90" t="n"/>
      <c r="BY365" s="90" t="n"/>
      <c r="CA365" s="90" t="n"/>
      <c r="CB365" s="90" t="n"/>
      <c r="CC365" s="90" t="n"/>
      <c r="CD365" s="90" t="n"/>
      <c r="CF365" s="90" t="n"/>
      <c r="CG365" s="90" t="n"/>
      <c r="CH365" s="90" t="n"/>
      <c r="CI365" s="90" t="n"/>
      <c r="CK365" s="90" t="n"/>
      <c r="CL365" s="90" t="n"/>
      <c r="CM365" s="90" t="n"/>
      <c r="CN365" s="90" t="n"/>
      <c r="CP365" s="90" t="n"/>
      <c r="CQ365" s="90" t="n"/>
      <c r="CR365" s="90" t="n"/>
      <c r="CS365" s="90" t="n"/>
      <c r="CU365" s="90" t="n"/>
      <c r="CV365" s="90" t="n"/>
      <c r="CW365" s="90" t="n"/>
      <c r="CX365" s="90" t="n"/>
    </row>
    <row r="366" customFormat="1" s="77">
      <c r="A366" s="76" t="n"/>
      <c r="B366" s="76" t="n"/>
      <c r="C366" s="77" t="inlineStr">
        <is>
          <t>CURRENT LIABILITIES (OPERATING, EX DEBT)</t>
        </is>
      </c>
      <c r="D366" s="89">
        <f>IFERROR(D210+D214+D216+D217,"")</f>
        <v>0</v>
      </c>
      <c r="E366" s="89">
        <f>IFERROR(E210+E214+E216+E217,"")</f>
        <v>0</v>
      </c>
      <c r="F366" s="89">
        <f>IFERROR(F210+F214+F216+F217,"")</f>
        <v>0</v>
      </c>
      <c r="G366" s="89">
        <f>IFERROR(G210+G214+G216+G217,"")</f>
        <v>0</v>
      </c>
      <c r="H366" s="263">
        <f>IFERROR((N(H210)+N(H214)+N(H216)+N(H217)),0)</f>
        <v>0</v>
      </c>
      <c r="I366" s="263">
        <f>IFERROR((N(I210)+N(I214)+N(I216)+N(I217)),0)</f>
        <v>1205.033</v>
      </c>
      <c r="J366" s="263">
        <f>IFERROR((N(J210)+N(J214)+N(J216)+N(J217)),0)</f>
        <v>1655.004</v>
      </c>
      <c r="K366" s="263">
        <f>IFERROR((N(K210)+N(K214)+N(K216)+N(K217)),0)</f>
        <v>1688.7</v>
      </c>
      <c r="L366" s="263">
        <f>IFERROR((N(L210)+N(L214)+N(L216)+N(L217)),0)</f>
        <v>2993.099</v>
      </c>
      <c r="M366" s="263">
        <f>IFERROR((N(M210)+N(M214)+N(M216)+N(M217)),0)</f>
        <v>2993.099</v>
      </c>
      <c r="N366" s="263">
        <f>IFERROR((N(N210)+N(N214)+N(N216)+N(N217)),0)</f>
        <v>2582.828</v>
      </c>
      <c r="O366" s="263">
        <f>IFERROR((N(O210)+N(O214)+N(O216)+N(O217)),0)</f>
        <v>3349.785</v>
      </c>
      <c r="P366" s="263">
        <f>IFERROR((N(P210)+N(P214)+N(P216)+N(P217)),0)</f>
        <v>2624.515</v>
      </c>
      <c r="Q366" s="263">
        <f>IFERROR((N(Q210)+N(Q214)+N(Q216)+N(Q217)),0)</f>
        <v>3811.114</v>
      </c>
      <c r="R366" s="263">
        <f>IFERROR((N(R210)+N(R214)+N(R216)+N(R217)),0)</f>
        <v>3811.114</v>
      </c>
      <c r="S366" s="263">
        <f>IFERROR((N(S210)+N(S214)+N(S216)+N(S217)),0)</f>
        <v>2550.717</v>
      </c>
      <c r="T366" s="263">
        <f>IFERROR((N(T210)+N(T214)+N(T216)+N(T217)),0)</f>
        <v>2029.895</v>
      </c>
      <c r="U366" s="263">
        <f>IFERROR((N(U210)+N(U214)+N(U216)+N(U217)),0)</f>
        <v>3036.39</v>
      </c>
      <c r="V366" s="263">
        <f>IFERROR((N(V210)+N(V214)+N(V216)+N(V217)),0)</f>
        <v>6111.273</v>
      </c>
      <c r="W366" s="263">
        <f>IFERROR((N(W210)+N(W214)+N(W216)+N(W217)),0)</f>
        <v>6111.273</v>
      </c>
      <c r="X366" s="263">
        <f>IFERROR((N(X210)+N(X214)+N(X216)+N(X217)),0)</f>
        <v>6216.506</v>
      </c>
      <c r="Y366" s="263">
        <f>IFERROR((N(Y210)+N(Y214)+N(Y216)+N(Y217)),0)</f>
        <v>5838.047</v>
      </c>
      <c r="Z366" s="263">
        <f>IFERROR((N(Z210)+N(Z214)+N(Z216)+N(Z217)),0)</f>
        <v>5453.523</v>
      </c>
      <c r="AA366" s="263">
        <f>IFERROR((N(AA210)+N(AA214)+N(AA216)+N(AA217)),0)</f>
        <v>6845.635</v>
      </c>
      <c r="AB366" s="263">
        <f>IFERROR((N(AB210)+N(AB214)+N(AB216)+N(AB217)),0)</f>
        <v>6845.635</v>
      </c>
      <c r="AC366" s="263">
        <f>IFERROR((N(AC210)+N(AC214)+N(AC216)+N(AC217)),0)</f>
        <v>5680.487</v>
      </c>
      <c r="AD366" s="263">
        <f>IFERROR((N(AD210)+N(AD214)+N(AD216)+N(AD217)),0)</f>
        <v>6432.542</v>
      </c>
      <c r="AE366" s="263">
        <f>IFERROR((N(AE210)+N(AE214)+N(AE216)+N(AE217)),0)</f>
        <v>6785.902</v>
      </c>
      <c r="AF366" s="263">
        <f>IFERROR((N(AF210)+N(AF214)+N(AF216)+N(AF217)),0)</f>
        <v>8366.738</v>
      </c>
      <c r="AG366" s="263">
        <f>IFERROR((N(AG210)+N(AG214)+N(AG216)+N(AG217)),0)</f>
        <v>8366.738</v>
      </c>
      <c r="AH366" s="263">
        <f>IFERROR((N(AH210)+N(AH214)+N(AH216)+N(AH217)),0)</f>
        <v>7278.215</v>
      </c>
      <c r="AI366" s="263">
        <f>IFERROR((N(AI210)+N(AI214)+N(AI216)+N(AI217)),0)</f>
        <v>7496.817</v>
      </c>
      <c r="AJ366" s="263">
        <f>IFERROR((N(AJ210)+N(AJ214)+N(AJ216)+N(AJ217)),0)</f>
        <v>7295.98418931476</v>
      </c>
      <c r="AK366" s="263">
        <f>IFERROR((N(AK210)+N(AK214)+N(AK216)+N(AK217)),0)</f>
        <v>7164.88500141201</v>
      </c>
      <c r="AL366" s="263">
        <f>IFERROR((N(AL210)+N(AL214)+N(AL216)+N(AL217)),0)</f>
        <v>7164.88500141201</v>
      </c>
      <c r="AM366" s="263">
        <f>IFERROR((N(AM210)+N(AM214)+N(AM216)+N(AM217)),0)</f>
        <v>7469.5825913197</v>
      </c>
      <c r="AN366" s="263">
        <f>IFERROR((N(AN210)+N(AN214)+N(AN216)+N(AN217)),0)</f>
        <v>7409.95211551769</v>
      </c>
      <c r="AO366" s="263">
        <f>IFERROR((N(AO210)+N(AO214)+N(AO216)+N(AO217)),0)</f>
        <v>7774.39847884557</v>
      </c>
      <c r="AP366" s="263">
        <f>IFERROR((N(AP210)+N(AP214)+N(AP216)+N(AP217)),0)</f>
        <v>7637.92336645931</v>
      </c>
      <c r="AQ366" s="263">
        <f>IFERROR((N(AQ210)+N(AQ214)+N(AQ216)+N(AQ217)),0)</f>
        <v>7637.92336645931</v>
      </c>
      <c r="AR366" s="263">
        <f>IFERROR((N(AR210)+N(AR214)+N(AR216)+N(AR217)),0)</f>
        <v>7879.15448301407</v>
      </c>
      <c r="AS366" s="263">
        <f>IFERROR((N(AS210)+N(AS214)+N(AS216)+N(AS217)),0)</f>
        <v>7882.10635228386</v>
      </c>
      <c r="AT366" s="263">
        <f>IFERROR((N(AT210)+N(AT214)+N(AT216)+N(AT217)),0)</f>
        <v>8276.33130098283</v>
      </c>
      <c r="AU366" s="263">
        <f>IFERROR((N(AU210)+N(AU214)+N(AU216)+N(AU217)),0)</f>
        <v>8133.9953985543</v>
      </c>
      <c r="AV366" s="263">
        <f>IFERROR((N(AV210)+N(AV214)+N(AV216)+N(AV217)),0)</f>
        <v>8133.9953985543</v>
      </c>
      <c r="AW366" s="263">
        <f>IFERROR((N(AW210)+N(AW214)+N(AW216)+N(AW217)),0)</f>
        <v>8435.08926129138</v>
      </c>
      <c r="AX366" s="263">
        <f>IFERROR((N(AX210)+N(AX214)+N(AX216)+N(AX217)),0)</f>
        <v>8374.66030294293</v>
      </c>
      <c r="AY366" s="263">
        <f>IFERROR((N(AY210)+N(AY214)+N(AY216)+N(AY217)),0)</f>
        <v>8799.08127630573</v>
      </c>
      <c r="AZ366" s="263">
        <f>IFERROR((N(AZ210)+N(AZ214)+N(AZ216)+N(AZ217)),0)</f>
        <v>8651.40940978696</v>
      </c>
      <c r="BA366" s="263">
        <f>IFERROR((N(BA210)+N(BA214)+N(BA216)+N(BA217)),0)</f>
        <v>8651.40940978696</v>
      </c>
      <c r="BB366" s="263">
        <f>IFERROR((N(BB210)+N(BB214)+N(BB216)+N(BB217)),0)</f>
        <v>8945.56628738663</v>
      </c>
      <c r="BC366" s="263">
        <f>IFERROR((N(BC210)+N(BC214)+N(BC216)+N(BC217)),0)</f>
        <v>8885.40202816081</v>
      </c>
      <c r="BD366" s="263">
        <f>IFERROR((N(BD210)+N(BD214)+N(BD216)+N(BD217)),0)</f>
        <v>9339.96175338858</v>
      </c>
      <c r="BE366" s="263">
        <f>IFERROR((N(BE210)+N(BE214)+N(BE216)+N(BE217)),0)</f>
        <v>9187.34956200306</v>
      </c>
      <c r="BF366" s="263">
        <f>IFERROR((N(BF210)+N(BF214)+N(BF216)+N(BF217)),0)</f>
        <v>9187.34956200306</v>
      </c>
      <c r="BG366" s="90" t="n"/>
      <c r="BH366" s="90" t="n"/>
      <c r="BI366" s="90" t="n"/>
      <c r="BJ366" s="90" t="n"/>
      <c r="BL366" s="90" t="n"/>
      <c r="BM366" s="90" t="n"/>
      <c r="BN366" s="90" t="n"/>
      <c r="BO366" s="90" t="n"/>
      <c r="BQ366" s="90" t="n"/>
      <c r="BR366" s="90" t="n"/>
      <c r="BS366" s="90" t="n"/>
      <c r="BT366" s="90" t="n"/>
      <c r="BV366" s="90" t="n"/>
      <c r="BW366" s="90" t="n"/>
      <c r="BX366" s="90" t="n"/>
      <c r="BY366" s="90" t="n"/>
      <c r="CA366" s="90" t="n"/>
      <c r="CB366" s="90" t="n"/>
      <c r="CC366" s="90" t="n"/>
      <c r="CD366" s="90" t="n"/>
      <c r="CF366" s="90" t="n"/>
      <c r="CG366" s="90" t="n"/>
      <c r="CH366" s="90" t="n"/>
      <c r="CI366" s="90" t="n"/>
      <c r="CK366" s="90" t="n"/>
      <c r="CL366" s="90" t="n"/>
      <c r="CM366" s="90" t="n"/>
      <c r="CN366" s="90" t="n"/>
      <c r="CP366" s="90" t="n"/>
      <c r="CQ366" s="90" t="n"/>
      <c r="CR366" s="90" t="n"/>
      <c r="CS366" s="90" t="n"/>
      <c r="CU366" s="90" t="n"/>
      <c r="CV366" s="90" t="n"/>
      <c r="CW366" s="90" t="n"/>
      <c r="CX366" s="90" t="n"/>
    </row>
    <row r="367" customFormat="1" s="77">
      <c r="A367" s="76" t="n"/>
      <c r="B367" s="76" t="n"/>
      <c r="C367" s="77" t="inlineStr">
        <is>
          <t>FIXED ASSETS</t>
        </is>
      </c>
      <c r="D367" s="89">
        <f>IFERROR(D178+D188+D191+D192+D201-D252,"")</f>
        <v>0</v>
      </c>
      <c r="E367" s="89">
        <f>IFERROR(E178+E188+E191+E192+E201-E252,"")</f>
        <v>0</v>
      </c>
      <c r="F367" s="89">
        <f>IFERROR(F178+F188+F191+F192+F201-F252,"")</f>
        <v>0</v>
      </c>
      <c r="G367" s="89">
        <f>IFERROR(G178+G188+G191+G192+G201-G252,"")</f>
        <v>0</v>
      </c>
      <c r="H367" s="263">
        <f>IFERROR((N(H178)+N(H188)+N(H191)+N(H192)+N(H201))-N(H252),0)</f>
        <v>0</v>
      </c>
      <c r="I367" s="263">
        <f>IFERROR((N(I178)+N(I188)+N(I191)+N(I192)+N(I201))-N(I252),0)</f>
        <v>6564.692</v>
      </c>
      <c r="J367" s="263">
        <f>IFERROR((N(J178)+N(J188)+N(J191)+N(J192)+N(J201))-N(J252),0)</f>
        <v>7290.43</v>
      </c>
      <c r="K367" s="263">
        <f>IFERROR((N(K178)+N(K188)+N(K191)+N(K192)+N(K201))-N(K252),0)</f>
        <v>9926.92</v>
      </c>
      <c r="L367" s="263">
        <f>IFERROR((N(L178)+N(L188)+N(L191)+N(L192)+N(L201))-N(L252),0)</f>
        <v>12438.665</v>
      </c>
      <c r="M367" s="263">
        <f>IFERROR((N(M178)+N(M188)+N(M191)+N(M192)+N(M201))-N(M252),0)</f>
        <v>12438.665</v>
      </c>
      <c r="N367" s="263">
        <f>IFERROR((N(N178)+N(N188)+N(N191)+N(N192)+N(N201))-N(N252),0)</f>
        <v>12566.741</v>
      </c>
      <c r="O367" s="263">
        <f>IFERROR((N(O178)+N(O188)+N(O191)+N(O192)+N(O201))-N(O252),0)</f>
        <v>14519.665</v>
      </c>
      <c r="P367" s="263">
        <f>IFERROR((N(P178)+N(P188)+N(P191)+N(P192)+N(P201))-N(P252),0)</f>
        <v>15396.942</v>
      </c>
      <c r="Q367" s="263">
        <f>IFERROR((N(Q178)+N(Q188)+N(Q191)+N(Q192)+N(Q201))-N(Q252),0)</f>
        <v>15513.738</v>
      </c>
      <c r="R367" s="263">
        <f>IFERROR((N(R178)+N(R188)+N(R191)+N(R192)+N(R201))-N(R252),0)</f>
        <v>15513.738</v>
      </c>
      <c r="S367" s="263">
        <f>IFERROR((N(S178)+N(S188)+N(S191)+N(S192)+N(S201))-N(S252),0)</f>
        <v>15143.255</v>
      </c>
      <c r="T367" s="263">
        <f>IFERROR((N(T178)+N(T188)+N(T191)+N(T192)+N(T201))-N(T252),0)</f>
        <v>14947.984</v>
      </c>
      <c r="U367" s="263">
        <f>IFERROR((N(U178)+N(U188)+N(U191)+N(U192)+N(U201))-N(U252),0)</f>
        <v>15860.877</v>
      </c>
      <c r="V367" s="263">
        <f>IFERROR((N(V178)+N(V188)+N(V191)+N(V192)+N(V201))-N(V252),0)</f>
        <v>19343.161</v>
      </c>
      <c r="W367" s="263">
        <f>IFERROR((N(W178)+N(W188)+N(W191)+N(W192)+N(W201))-N(W252),0)</f>
        <v>19343.161</v>
      </c>
      <c r="X367" s="263">
        <f>IFERROR((N(X178)+N(X188)+N(X191)+N(X192)+N(X201))-N(X252),0)</f>
        <v>19418.715</v>
      </c>
      <c r="Y367" s="263">
        <f>IFERROR((N(Y178)+N(Y188)+N(Y191)+N(Y192)+N(Y201))-N(Y252),0)</f>
        <v>20287.861</v>
      </c>
      <c r="Z367" s="263">
        <f>IFERROR((N(Z178)+N(Z188)+N(Z191)+N(Z192)+N(Z201))-N(Z252),0)</f>
        <v>20848.376</v>
      </c>
      <c r="AA367" s="263">
        <f>IFERROR((N(AA178)+N(AA188)+N(AA191)+N(AA192)+N(AA201))-N(AA252),0)</f>
        <v>23227.621</v>
      </c>
      <c r="AB367" s="263">
        <f>IFERROR((N(AB178)+N(AB188)+N(AB191)+N(AB192)+N(AB201))-N(AB252),0)</f>
        <v>23227.621</v>
      </c>
      <c r="AC367" s="263">
        <f>IFERROR((N(AC178)+N(AC188)+N(AC191)+N(AC192)+N(AC201))-N(AC252),0)</f>
        <v>21334.461</v>
      </c>
      <c r="AD367" s="263">
        <f>IFERROR((N(AD178)+N(AD188)+N(AD191)+N(AD192)+N(AD201))-N(AD252),0)</f>
        <v>21324.778</v>
      </c>
      <c r="AE367" s="263">
        <f>IFERROR((N(AE178)+N(AE188)+N(AE191)+N(AE192)+N(AE201))-N(AE252),0)</f>
        <v>21406.742</v>
      </c>
      <c r="AF367" s="263">
        <f>IFERROR((N(AF178)+N(AF188)+N(AF191)+N(AF192)+N(AF201))-N(AF252),0)</f>
        <v>23989.765</v>
      </c>
      <c r="AG367" s="263">
        <f>IFERROR((N(AG178)+N(AG188)+N(AG191)+N(AG192)+N(AG201))-N(AG252),0)</f>
        <v>23989.765</v>
      </c>
      <c r="AH367" s="263">
        <f>IFERROR((N(AH178)+N(AH188)+N(AH191)+N(AH192)+N(AH201))-N(AH252),0)</f>
        <v>22865.065</v>
      </c>
      <c r="AI367" s="263">
        <f>IFERROR((N(AI178)+N(AI188)+N(AI191)+N(AI192)+N(AI201))-N(AI252),0)</f>
        <v>24596.662</v>
      </c>
      <c r="AJ367" s="263">
        <f>IFERROR((N(AJ178)+N(AJ188)+N(AJ191)+N(AJ192)+N(AJ201))-N(AJ252),0)</f>
        <v>25174.4995382416</v>
      </c>
      <c r="AK367" s="263">
        <f>IFERROR((N(AK178)+N(AK188)+N(AK191)+N(AK192)+N(AK201))-N(AK252),0)</f>
        <v>25735.9390873741</v>
      </c>
      <c r="AL367" s="263">
        <f>IFERROR((N(AL178)+N(AL188)+N(AL191)+N(AL192)+N(AL201))-N(AL252),0)</f>
        <v>25735.9390873741</v>
      </c>
      <c r="AM367" s="263">
        <f>IFERROR((N(AM178)+N(AM188)+N(AM191)+N(AM192)+N(AM201))-N(AM252),0)</f>
        <v>26316.0478650154</v>
      </c>
      <c r="AN367" s="263">
        <f>IFERROR((N(AN178)+N(AN188)+N(AN191)+N(AN192)+N(AN201))-N(AN252),0)</f>
        <v>26893.8834403516</v>
      </c>
      <c r="AO367" s="263">
        <f>IFERROR((N(AO178)+N(AO188)+N(AO191)+N(AO192)+N(AO201))-N(AO252),0)</f>
        <v>27515.8956196559</v>
      </c>
      <c r="AP367" s="263">
        <f>IFERROR((N(AP178)+N(AP188)+N(AP191)+N(AP192)+N(AP201))-N(AP252),0)</f>
        <v>28120.2562130612</v>
      </c>
      <c r="AQ367" s="263">
        <f>IFERROR((N(AQ178)+N(AQ188)+N(AQ191)+N(AQ192)+N(AQ201))-N(AQ252),0)</f>
        <v>28120.2562130612</v>
      </c>
      <c r="AR367" s="263">
        <f>IFERROR((N(AR178)+N(AR188)+N(AR191)+N(AR192)+N(AR201))-N(AR252),0)</f>
        <v>28741.8127200463</v>
      </c>
      <c r="AS367" s="263">
        <f>IFERROR((N(AS178)+N(AS188)+N(AS191)+N(AS192)+N(AS201))-N(AS252),0)</f>
        <v>29360.9336085079</v>
      </c>
      <c r="AT367" s="263">
        <f>IFERROR((N(AT178)+N(AT188)+N(AT191)+N(AT192)+N(AT201))-N(AT252),0)</f>
        <v>30027.3874398782</v>
      </c>
      <c r="AU367" s="263">
        <f>IFERROR((N(AU178)+N(AU188)+N(AU191)+N(AU192)+N(AU201))-N(AU252),0)</f>
        <v>30674.9285112679</v>
      </c>
      <c r="AV367" s="263">
        <f>IFERROR((N(AV178)+N(AV188)+N(AV191)+N(AV192)+N(AV201))-N(AV252),0)</f>
        <v>30674.9285112679</v>
      </c>
      <c r="AW367" s="263">
        <f>IFERROR((N(AW178)+N(AW188)+N(AW191)+N(AW192)+N(AW201))-N(AW252),0)</f>
        <v>31337.7863308159</v>
      </c>
      <c r="AX367" s="263">
        <f>IFERROR((N(AX178)+N(AX188)+N(AX191)+N(AX192)+N(AX201))-N(AX252),0)</f>
        <v>31998.046689368</v>
      </c>
      <c r="AY367" s="263">
        <f>IFERROR((N(AY178)+N(AY188)+N(AY191)+N(AY192)+N(AY201))-N(AY252),0)</f>
        <v>32708.785179798</v>
      </c>
      <c r="AZ367" s="263">
        <f>IFERROR((N(AZ178)+N(AZ188)+N(AZ191)+N(AZ192)+N(AZ201))-N(AZ252),0)</f>
        <v>33399.3541913448</v>
      </c>
      <c r="BA367" s="263">
        <f>IFERROR((N(BA178)+N(BA188)+N(BA191)+N(BA192)+N(BA201))-N(BA252),0)</f>
        <v>33399.3541913448</v>
      </c>
      <c r="BB367" s="263">
        <f>IFERROR((N(BB178)+N(BB188)+N(BB191)+N(BB192)+N(BB201))-N(BB252),0)</f>
        <v>34102.9434323335</v>
      </c>
      <c r="BC367" s="263">
        <f>IFERROR((N(BC178)+N(BC188)+N(BC191)+N(BC192)+N(BC201))-N(BC252),0)</f>
        <v>34803.7756030174</v>
      </c>
      <c r="BD367" s="263">
        <f>IFERROR((N(BD178)+N(BD188)+N(BD191)+N(BD192)+N(BD201))-N(BD252),0)</f>
        <v>35558.1876960422</v>
      </c>
      <c r="BE367" s="263">
        <f>IFERROR((N(BE178)+N(BE188)+N(BE191)+N(BE192)+N(BE201))-N(BE252),0)</f>
        <v>36291.1909319636</v>
      </c>
      <c r="BF367" s="263">
        <f>IFERROR((N(BF178)+N(BF188)+N(BF191)+N(BF192)+N(BF201))-N(BF252),0)</f>
        <v>36291.1909319636</v>
      </c>
      <c r="BG367" s="90" t="n"/>
      <c r="BH367" s="90" t="n"/>
      <c r="BI367" s="90" t="n"/>
      <c r="BJ367" s="90" t="n"/>
      <c r="BL367" s="90" t="n"/>
      <c r="BM367" s="90" t="n"/>
      <c r="BN367" s="90" t="n"/>
      <c r="BO367" s="90" t="n"/>
      <c r="BQ367" s="90" t="n"/>
      <c r="BR367" s="90" t="n"/>
      <c r="BS367" s="90" t="n"/>
      <c r="BT367" s="90" t="n"/>
      <c r="BV367" s="90" t="n"/>
      <c r="BW367" s="90" t="n"/>
      <c r="BX367" s="90" t="n"/>
      <c r="BY367" s="90" t="n"/>
      <c r="CA367" s="90" t="n"/>
      <c r="CB367" s="90" t="n"/>
      <c r="CC367" s="90" t="n"/>
      <c r="CD367" s="90" t="n"/>
      <c r="CF367" s="90" t="n"/>
      <c r="CG367" s="90" t="n"/>
      <c r="CH367" s="90" t="n"/>
      <c r="CI367" s="90" t="n"/>
      <c r="CK367" s="90" t="n"/>
      <c r="CL367" s="90" t="n"/>
      <c r="CM367" s="90" t="n"/>
      <c r="CN367" s="90" t="n"/>
      <c r="CP367" s="90" t="n"/>
      <c r="CQ367" s="90" t="n"/>
      <c r="CR367" s="90" t="n"/>
      <c r="CS367" s="90" t="n"/>
      <c r="CU367" s="90" t="n"/>
      <c r="CV367" s="90" t="n"/>
      <c r="CW367" s="90" t="n"/>
      <c r="CX367" s="90" t="n"/>
    </row>
    <row r="368" customFormat="1" s="77">
      <c r="A368" s="76" t="n"/>
      <c r="B368" s="76" t="n"/>
    </row>
    <row r="369" customFormat="1" s="77">
      <c r="A369" s="76" t="n"/>
      <c r="B369" s="76" t="n"/>
    </row>
    <row r="370" customFormat="1" s="77">
      <c r="A370" s="76" t="n"/>
      <c r="B370" s="76" t="n"/>
    </row>
    <row r="371" customFormat="1" s="77">
      <c r="A371" s="76" t="n"/>
      <c r="B371" s="76" t="n"/>
    </row>
    <row r="372" customFormat="1" s="77">
      <c r="A372" s="76" t="n"/>
      <c r="B372" s="76" t="n"/>
    </row>
    <row r="373" customFormat="1" s="77">
      <c r="A373" s="76" t="n"/>
      <c r="B373" s="76" t="n"/>
    </row>
    <row r="374" customFormat="1" s="77">
      <c r="A374" s="76" t="n"/>
      <c r="B374" s="76" t="n"/>
    </row>
    <row r="375" customFormat="1" s="77">
      <c r="A375" s="76" t="n"/>
      <c r="B375" s="76" t="n"/>
      <c r="C375" s="74" t="inlineStr">
        <is>
          <t>DUPONT ANALYSIS</t>
        </is>
      </c>
    </row>
    <row r="376" customFormat="1" s="77">
      <c r="A376" s="76" t="n"/>
      <c r="B376" s="76" t="n"/>
      <c r="C376" s="77" t="inlineStr">
        <is>
          <t>NET PROFIT MARGIN (LTM)</t>
        </is>
      </c>
      <c r="D376" s="84" t="str">
        <f>IFERROR(D149/D15,"")</f>
        <v/>
      </c>
      <c r="E376" s="84" t="str">
        <f>IFERROR(E149/E15,"")</f>
        <v/>
      </c>
      <c r="F376" s="84" t="str">
        <f>IFERROR(F149/F15,"")</f>
        <v/>
      </c>
      <c r="G376" s="84" t="str">
        <f>IFERROR(G149/G15,"")</f>
        <v/>
      </c>
      <c r="H376" s="258" t="str">
        <f>IFERROR(IF(AND(COUNT(H149)=1,(H15)&lt;&gt;0),(H149)/(H15),""),"")</f>
        <v/>
      </c>
      <c r="I376" s="257" t="str">
        <f>""</f>
        <v/>
      </c>
      <c r="J376" s="257" t="str">
        <f>""</f>
        <v/>
      </c>
      <c r="K376" s="257" t="str">
        <f>""</f>
        <v/>
      </c>
      <c r="L376" s="257">
        <f>IFERROR(IF(AND(COUNT(I149,J149,K149,L149)=4,(I15+J15+K15+L15)&lt;&gt;0),(I149+J149+K149+L149)/(I15+J15+K15+L15),""),"")</f>
        <v>0.159640158518211</v>
      </c>
      <c r="M376" s="258">
        <f>IFERROR(IF(AND(COUNT(I149,J149,K149,L149)=4,(I15+J15+K15+L15)&lt;&gt;0),(I149+J149+K149+L149)/(I15+J15+K15+L15),""),"")</f>
        <v>0.159640158518211</v>
      </c>
      <c r="N376" s="257">
        <f>IFERROR(IF(AND(COUNT(J149,K149,L149,N149)=4,(J15+K15+L15+N15)&lt;&gt;0),(J149+K149+L149+N149)/(J15+K15+L15+N15),""),"")</f>
        <v>0.154116217382728</v>
      </c>
      <c r="O376" s="257">
        <f>IFERROR(IF(AND(COUNT(K149,L149,N149,O149)=4,(K15+L15+N15+O15)&lt;&gt;0),(K149+L149+N149+O149)/(K15+L15+N15+O15),""),"")</f>
        <v>0.133509464677771</v>
      </c>
      <c r="P376" s="257">
        <f>IFERROR(IF(AND(COUNT(L149,N149,O149,P149)=4,(L15+N15+O15+P15)&lt;&gt;0),(L149+N149+O149+P149)/(L15+N15+O15+P15),""),"")</f>
        <v>0.0974822596572493</v>
      </c>
      <c r="Q376" s="257">
        <f>IFERROR(IF(AND(COUNT(N149,O149,P149,Q149)=4,(N15+O15+P15+Q15)&lt;&gt;0),(N149+O149+P149+Q149)/(N15+O15+P15+Q15),""),"")</f>
        <v>0.0598246522151373</v>
      </c>
      <c r="R376" s="258">
        <f>IFERROR(IF(AND(COUNT(N149,O149,P149,Q149)=4,(N15+O15+P15+Q15)&lt;&gt;0),(N149+O149+P149+Q149)/(N15+O15+P15+Q15),""),"")</f>
        <v>0.0598246522151373</v>
      </c>
      <c r="S376" s="257">
        <f>IFERROR(IF(AND(COUNT(O149,P149,Q149,S149)=4,(O15+P15+Q15+S15)&lt;&gt;0),(O149+P149+Q149+S149)/(O15+P15+Q15+S15),""),"")</f>
        <v>0.0316264256347612</v>
      </c>
      <c r="T376" s="257">
        <f>IFERROR(IF(AND(COUNT(P149,Q149,S149,T149)=4,(P15+Q15+S15+T15)&lt;&gt;0),(P149+Q149+S149+T149)/(P15+Q15+S15+T15),""),"")</f>
        <v>0.0110893772158045</v>
      </c>
      <c r="U376" s="257">
        <f>IFERROR(IF(AND(COUNT(Q149,S149,T149,U149)=4,(Q15+S15+T15+U15)&lt;&gt;0),(Q149+S149+T149+U149)/(Q15+S15+T15+U15),""),"")</f>
        <v>-0.00426817504157202</v>
      </c>
      <c r="V376" s="257">
        <f>IFERROR(IF(AND(COUNT(S149,T149,U149,V149)=4,(S15+T15+U15+V15)&lt;&gt;0),(S149+T149+U149+V149)/(S15+T15+U15+V15),""),"")</f>
        <v>-0.062932616413012</v>
      </c>
      <c r="W376" s="258">
        <f>IFERROR(IF(AND(COUNT(S149,T149,U149,V149)=4,(S15+T15+U15+V15)&lt;&gt;0),(S149+T149+U149+V149)/(S15+T15+U15+V15),""),"")</f>
        <v>-0.062932616413012</v>
      </c>
      <c r="X376" s="257">
        <f>IFERROR(IF(AND(COUNT(T149,U149,V149,X149)=4,(T15+U15+V15+X15)&lt;&gt;0),(T149+U149+V149+X149)/(T15+U15+V15+X15),""),"")</f>
        <v>-0.0584679601825588</v>
      </c>
      <c r="Y376" s="257">
        <f>IFERROR(IF(AND(COUNT(U149,V149,X149,Y149)=4,(U15+V15+X15+Y15)&lt;&gt;0),(U149+V149+X149+Y149)/(U15+V15+X15+Y15),""),"")</f>
        <v>-0.0484537459776323</v>
      </c>
      <c r="Z376" s="257">
        <f>IFERROR(IF(AND(COUNT(V149,X149,Y149,Z149)=4,(V15+X15+Y15+Z15)&lt;&gt;0),(V149+X149+Y149+Z149)/(V15+X15+Y15+Z15),""),"")</f>
        <v>-0.0329207630217063</v>
      </c>
      <c r="AA376" s="257">
        <f>IFERROR(IF(AND(COUNT(X149,Y149,Z149,AA149)=4,(X15+Y15+Z15+AA15)&lt;&gt;0),(X149+Y149+Z149+AA149)/(X15+Y15+Z15+AA15),""),"")</f>
        <v>0.0171728615202528</v>
      </c>
      <c r="AB376" s="258">
        <f>IFERROR(IF(AND(COUNT(X149,Y149,Z149,AA149)=4,(X15+Y15+Z15+AA15)&lt;&gt;0),(X149+Y149+Z149+AA149)/(X15+Y15+Z15+AA15),""),"")</f>
        <v>0.0171728615202528</v>
      </c>
      <c r="AC376" s="257">
        <f>IFERROR(IF(AND(COUNT(Y149,Z149,AA149,AC149)=4,(Y15+Z15+AA15+AC15)&lt;&gt;0),(Y149+Z149+AA149+AC149)/(Y15+Z15+AA15+AC15),""),"")</f>
        <v>0.0186329970880796</v>
      </c>
      <c r="AD376" s="257">
        <f>IFERROR(IF(AND(COUNT(Z149,AA149,AC149,AD149)=4,(Z15+AA15+AC15+AD15)&lt;&gt;0),(Z149+AA149+AC149+AD149)/(Z15+AA15+AC15+AD15),""),"")</f>
        <v>0.0200702699089316</v>
      </c>
      <c r="AE376" s="257">
        <f>IFERROR(IF(AND(COUNT(AA149,AC149,AD149,AE149)=4,(AA15+AC15+AD15+AE15)&lt;&gt;0),(AA149+AC149+AD149+AE149)/(AA15+AC15+AD15+AE15),""),"")</f>
        <v>0.0195066528941353</v>
      </c>
      <c r="AF376" s="257">
        <f>IFERROR(IF(AND(COUNT(AB149,AD149,AE149,AF149)=4,(AB15+AD15+AE15+AF15)&lt;&gt;0),(AB149+AD149+AE149+AF149)/(AB15+AD15+AE15+AF15),""),"")</f>
        <v>0.0191744674572913</v>
      </c>
      <c r="AG376" s="258">
        <f>IFERROR(IF(AND(COUNT(AC149,AD149,AE149,AF149)=4,(AC15+AD15+AE15+AF15)&lt;&gt;0),(AC149+AD149+AE149+AF149)/(AC15+AD15+AE15+AF15),""),"")</f>
        <v>0.0216985353190682</v>
      </c>
      <c r="AH376" s="257">
        <f>IFERROR(IF(AND(COUNT(AD149,AF149,AG149,AH149)=4,(AD15+AF15+AG15+AH15)&lt;&gt;0),(AD149+AF149+AG149+AH149)/(AD15+AF15+AG15+AH15),""),"")</f>
        <v>0.0237610786057174</v>
      </c>
      <c r="AI376" s="257">
        <f>IFERROR(IF(AND(COUNT(AE149,AG149,AH149,AI149)=4,(AE15+AG15+AH15+AI15)&lt;&gt;0),(AE149+AG149+AH149+AI149)/(AE15+AG15+AH15+AI15),""),"")</f>
        <v>0.0249565363686177</v>
      </c>
      <c r="AJ376" s="257">
        <f>IFERROR(IF(AND(COUNT(AF149,AH149,AI149,AJ149)=4,(AF15+AH15+AI15+AJ15)&lt;&gt;0),(AF149+AH149+AI149+AJ149)/(AF15+AH15+AI15+AJ15),""),"")</f>
        <v>0.0898365114409929</v>
      </c>
      <c r="AK376" s="257">
        <f>IFERROR(IF(AND(COUNT(AH149,AI149,AJ149,AK149)=4,(AH15+AI15+AJ15+AK15)&lt;&gt;0),(AH149+AI149+AJ149+AK149)/(AH15+AI15+AJ15+AK15),""),"")</f>
        <v>0.144681886595941</v>
      </c>
      <c r="AL376" s="258">
        <f>IFERROR(IF(AND(COUNT(AH149,AI149,AJ149,AK149)=4,(AH15+AI15+AJ15+AK15)&lt;&gt;0),(AH149+AI149+AJ149+AK149)/(AH15+AI15+AJ15+AK15),""),"")</f>
        <v>0.144681886595941</v>
      </c>
      <c r="AM376" s="257">
        <f>IFERROR(IF(AND(COUNT(AI149,AJ149,AK149,AM149)=4,(AI15+AJ15+AK15+AM15)&lt;&gt;0),(AI149+AJ149+AK149+AM149)/(AI15+AJ15+AK15+AM15),""),"")</f>
        <v>0.198129091429944</v>
      </c>
      <c r="AN376" s="257">
        <f>IFERROR(IF(AND(COUNT(AJ149,AK149,AM149,AN149)=4,(AJ15+AK15+AM15+AN15)&lt;&gt;0),(AJ149+AK149+AM149+AN149)/(AJ15+AK15+AM15+AN15),""),"")</f>
        <v>0.248739750072815</v>
      </c>
      <c r="AO376" s="257">
        <f>IFERROR(IF(AND(COUNT(AK149,AM149,AN149,AO149)=4,(AK15+AM15+AN15+AO15)&lt;&gt;0),(AK149+AM149+AN149+AO149)/(AK15+AM15+AN15+AO15),""),"")</f>
        <v>0.248739750072815</v>
      </c>
      <c r="AP376" s="257">
        <f>IFERROR(IF(AND(COUNT(AM149,AN149,AO149,AP149)=4,(AM15+AN15+AO15+AP15)&lt;&gt;0),(AM149+AN149+AO149+AP149)/(AM15+AN15+AO15+AP15),""),"")</f>
        <v>0.248739750072815</v>
      </c>
      <c r="AQ376" s="258">
        <f>IFERROR(IF(AND(COUNT(AM149,AN149,AO149,AP149)=4,(AM15+AN15+AO15+AP15)&lt;&gt;0),(AM149+AN149+AO149+AP149)/(AM15+AN15+AO15+AP15),""),"")</f>
        <v>0.248739750072815</v>
      </c>
      <c r="AR376" s="257">
        <f>IFERROR(IF(AND(COUNT(AN149,AO149,AP149,AR149)=4,(AN15+AO15+AP15+AR15)&lt;&gt;0),(AN149+AO149+AP149+AR149)/(AN15+AO15+AP15+AR15),""),"")</f>
        <v>0.248739750072815</v>
      </c>
      <c r="AS376" s="257">
        <f>IFERROR(IF(AND(COUNT(AO149,AP149,AR149,AS149)=4,(AO15+AP15+AR15+AS15)&lt;&gt;0),(AO149+AP149+AR149+AS149)/(AO15+AP15+AR15+AS15),""),"")</f>
        <v>0.248739750072815</v>
      </c>
      <c r="AT376" s="257">
        <f>IFERROR(IF(AND(COUNT(AP149,AR149,AS149,AT149)=4,(AP15+AR15+AS15+AT15)&lt;&gt;0),(AP149+AR149+AS149+AT149)/(AP15+AR15+AS15+AT15),""),"")</f>
        <v>0.248739750072815</v>
      </c>
      <c r="AU376" s="257">
        <f>IFERROR(IF(AND(COUNT(AR149,AS149,AT149,AU149)=4,(AR15+AS15+AT15+AU15)&lt;&gt;0),(AR149+AS149+AT149+AU149)/(AR15+AS15+AT15+AU15),""),"")</f>
        <v>0.248739750072815</v>
      </c>
      <c r="AV376" s="258">
        <f>IFERROR(IF(AND(COUNT(AR149,AS149,AT149,AU149)=4,(AR15+AS15+AT15+AU15)&lt;&gt;0),(AR149+AS149+AT149+AU149)/(AR15+AS15+AT15+AU15),""),"")</f>
        <v>0.248739750072815</v>
      </c>
      <c r="AW376" s="257">
        <f>IFERROR(IF(AND(COUNT(AS149,AT149,AU149,AW149)=4,(AS15+AT15+AU15+AW15)&lt;&gt;0),(AS149+AT149+AU149+AW149)/(AS15+AT15+AU15+AW15),""),"")</f>
        <v>0.248739750072815</v>
      </c>
      <c r="AX376" s="257">
        <f>IFERROR(IF(AND(COUNT(AT149,AU149,AW149,AX149)=4,(AT15+AU15+AW15+AX15)&lt;&gt;0),(AT149+AU149+AW149+AX149)/(AT15+AU15+AW15+AX15),""),"")</f>
        <v>0.248739750072815</v>
      </c>
      <c r="AY376" s="257">
        <f>IFERROR(IF(AND(COUNT(AU149,AW149,AX149,AY149)=4,(AU15+AW15+AX15+AY15)&lt;&gt;0),(AU149+AW149+AX149+AY149)/(AU15+AW15+AX15+AY15),""),"")</f>
        <v>0.248739750072815</v>
      </c>
      <c r="AZ376" s="257">
        <f>IFERROR(IF(AND(COUNT(AW149,AX149,AY149,AZ149)=4,(AW15+AX15+AY15+AZ15)&lt;&gt;0),(AW149+AX149+AY149+AZ149)/(AW15+AX15+AY15+AZ15),""),"")</f>
        <v>0.248739750072815</v>
      </c>
      <c r="BA376" s="258">
        <f>IFERROR(IF(AND(COUNT(AW149,AX149,AY149,AZ149)=4,(AW15+AX15+AY15+AZ15)&lt;&gt;0),(AW149+AX149+AY149+AZ149)/(AW15+AX15+AY15+AZ15),""),"")</f>
        <v>0.248739750072815</v>
      </c>
      <c r="BB376" s="257">
        <f>IFERROR(IF(AND(COUNT(AX149,AY149,AZ149,BB149)=4,(AX15+AY15+AZ15+BB15)&lt;&gt;0),(AX149+AY149+AZ149+BB149)/(AX15+AY15+AZ15+BB15),""),"")</f>
        <v>0.248739750072815</v>
      </c>
      <c r="BC376" s="257">
        <f>IFERROR(IF(AND(COUNT(AY149,AZ149,BB149,BC149)=4,(AY15+AZ15+BB15+BC15)&lt;&gt;0),(AY149+AZ149+BB149+BC149)/(AY15+AZ15+BB15+BC15),""),"")</f>
        <v>0.248739750072815</v>
      </c>
      <c r="BD376" s="257">
        <f>IFERROR(IF(AND(COUNT(AZ149,BB149,BC149,BD149)=4,(AZ15+BB15+BC15+BD15)&lt;&gt;0),(AZ149+BB149+BC149+BD149)/(AZ15+BB15+BC15+BD15),""),"")</f>
        <v>0.248739750072815</v>
      </c>
      <c r="BE376" s="257">
        <f>IFERROR(IF(AND(COUNT(BB149,BC149,BD149,BE149)=4,(BB15+BC15+BD15+BE15)&lt;&gt;0),(BB149+BC149+BD149+BE149)/(BB15+BC15+BD15+BE15),""),"")</f>
        <v>0.248739750072815</v>
      </c>
      <c r="BF376" s="258">
        <f>IFERROR(IF(AND(COUNT(BB149,BC149,BD149,BE149)=4,(BB15+BC15+BD15+BE15)&lt;&gt;0),(BB149+BC149+BD149+BE149)/(BB15+BC15+BD15+BE15),""),"")</f>
        <v>0.248739750072815</v>
      </c>
      <c r="BG376" s="81" t="n"/>
      <c r="BH376" s="81" t="n"/>
      <c r="BI376" s="81" t="n"/>
      <c r="BJ376" s="81" t="n"/>
      <c r="BL376" s="81" t="n"/>
      <c r="BM376" s="81" t="n"/>
      <c r="BN376" s="81" t="n"/>
      <c r="BO376" s="81" t="n"/>
      <c r="BQ376" s="81" t="n"/>
      <c r="BR376" s="81" t="n"/>
      <c r="BS376" s="81" t="n"/>
      <c r="BT376" s="81" t="n"/>
      <c r="BV376" s="81" t="n"/>
      <c r="BW376" s="81" t="n"/>
      <c r="BX376" s="81" t="n"/>
      <c r="BY376" s="81" t="n"/>
      <c r="CA376" s="81" t="n"/>
      <c r="CB376" s="81" t="n"/>
      <c r="CC376" s="81" t="n"/>
      <c r="CD376" s="81" t="n"/>
      <c r="CF376" s="81" t="n"/>
      <c r="CG376" s="81" t="n"/>
      <c r="CH376" s="81" t="n"/>
      <c r="CI376" s="81" t="n"/>
      <c r="CK376" s="81" t="n"/>
      <c r="CL376" s="81" t="n"/>
      <c r="CM376" s="81" t="n"/>
      <c r="CN376" s="81" t="n"/>
      <c r="CP376" s="81" t="n"/>
      <c r="CQ376" s="81" t="n"/>
      <c r="CR376" s="81" t="n"/>
      <c r="CS376" s="81" t="n"/>
      <c r="CU376" s="81" t="n"/>
      <c r="CV376" s="81" t="n"/>
      <c r="CW376" s="81" t="n"/>
      <c r="CX376" s="81" t="n"/>
    </row>
    <row r="377" customFormat="1" s="77">
      <c r="A377" s="76" t="n"/>
      <c r="B377" s="76" t="n"/>
      <c r="C377" s="77" t="inlineStr">
        <is>
          <t>ASSET TURNOVER (LTM REVENUE / ASSETS)</t>
        </is>
      </c>
      <c r="D377" s="84" t="str">
        <f>IFERROR(D15/D209,"")</f>
        <v/>
      </c>
      <c r="E377" s="84" t="str">
        <f>IFERROR(E15/E209,"")</f>
        <v/>
      </c>
      <c r="F377" s="84" t="str">
        <f>IFERROR(F15/F209,"")</f>
        <v/>
      </c>
      <c r="G377" s="84" t="str">
        <f>IFERROR(G15/G209,"")</f>
        <v/>
      </c>
      <c r="H377" s="262" t="str">
        <f>IFERROR(IF(AND(COUNT(H15)=1,N(H209)&lt;&gt;0),(H15)/H209,""),"")</f>
        <v/>
      </c>
      <c r="I377" s="264" t="str">
        <f>""</f>
        <v/>
      </c>
      <c r="J377" s="264" t="str">
        <f>""</f>
        <v/>
      </c>
      <c r="K377" s="264" t="str">
        <f>""</f>
        <v/>
      </c>
      <c r="L377" s="264">
        <f>IFERROR(IF(AND(COUNT(I15,J15,K15,L15)=4,N(L209)&lt;&gt;0),(I15+J15+K15+L15)/L209,""),"")</f>
        <v>0.236372847062466</v>
      </c>
      <c r="M377" s="262">
        <f>IFERROR(IF(AND(COUNT(I15,J15,K15,L15)=4,N(M209)&lt;&gt;0),(I15+J15+K15+L15)/M209,""),"")</f>
        <v>0.236372847062466</v>
      </c>
      <c r="N377" s="264">
        <f>IFERROR(IF(AND(COUNT(J15,K15,L15,N15)=4,N(N209)&lt;&gt;0),(J15+K15+L15+N15)/N209,""),"")</f>
        <v>0.299738120457145</v>
      </c>
      <c r="O377" s="264">
        <f>IFERROR(IF(AND(COUNT(K15,L15,N15,O15)=4,N(O209)&lt;&gt;0),(K15+L15+N15+O15)/O209,""),"")</f>
        <v>0.314329980526986</v>
      </c>
      <c r="P377" s="264">
        <f>IFERROR(IF(AND(COUNT(L15,N15,O15,P15)=4,N(P209)&lt;&gt;0),(L15+N15+O15+P15)/P209,""),"")</f>
        <v>0.316641475682048</v>
      </c>
      <c r="Q377" s="264">
        <f>IFERROR(IF(AND(COUNT(N15,O15,P15,Q15)=4,N(Q209)&lt;&gt;0),(N15+O15+P15+Q15)/Q209,""),"")</f>
        <v>0.354306217789832</v>
      </c>
      <c r="R377" s="262">
        <f>IFERROR(IF(AND(COUNT(N15,O15,P15,Q15)=4,N(R209)&lt;&gt;0),(N15+O15+P15+Q15)/R209,""),"")</f>
        <v>0.354306217789832</v>
      </c>
      <c r="S377" s="264">
        <f>IFERROR(IF(AND(COUNT(O15,P15,Q15,S15)=4,N(S209)&lt;&gt;0),(O15+P15+Q15+S15)/S209,""),"")</f>
        <v>0.445184388307742</v>
      </c>
      <c r="T377" s="264">
        <f>IFERROR(IF(AND(COUNT(P15,Q15,S15,T15)=4,N(T209)&lt;&gt;0),(P15+Q15+S15+T15)/T209,""),"")</f>
        <v>0.491023617607591</v>
      </c>
      <c r="U377" s="264">
        <f>IFERROR(IF(AND(COUNT(Q15,S15,T15,U15)=4,N(U209)&lt;&gt;0),(Q15+S15+T15+U15)/U209,""),"")</f>
        <v>0.481960510186377</v>
      </c>
      <c r="V377" s="264">
        <f>IFERROR(IF(AND(COUNT(S15,T15,U15,V15)=4,N(V209)&lt;&gt;0),(S15+T15+U15+V15)/V209,""),"")</f>
        <v>0.411712688627911</v>
      </c>
      <c r="W377" s="262">
        <f>IFERROR(IF(AND(COUNT(S15,T15,U15,V15)=4,N(W209)&lt;&gt;0),(S15+T15+U15+V15)/W209,""),"")</f>
        <v>0.411712688627911</v>
      </c>
      <c r="X377" s="264">
        <f>IFERROR(IF(AND(COUNT(T15,U15,V15,X15)=4,N(X209)&lt;&gt;0),(T15+U15+V15+X15)/X209,""),"")</f>
        <v>0.407111499653932</v>
      </c>
      <c r="Y377" s="264">
        <f>IFERROR(IF(AND(COUNT(U15,V15,X15,Y15)=4,N(Y209)&lt;&gt;0),(U15+V15+X15+Y15)/Y209,""),"")</f>
        <v>0.41962193723295</v>
      </c>
      <c r="Z377" s="264">
        <f>IFERROR(IF(AND(COUNT(V15,X15,Y15,Z15)=4,N(Z209)&lt;&gt;0),(V15+X15+Y15+Z15)/Z209,""),"")</f>
        <v>0.44538654574447</v>
      </c>
      <c r="AA377" s="264">
        <f>IFERROR(IF(AND(COUNT(X15,Y15,Z15,AA15)=4,N(AA209)&lt;&gt;0),(X15+Y15+Z15+AA15)/AA209,""),"")</f>
        <v>0.440941128232529</v>
      </c>
      <c r="AB377" s="262">
        <f>IFERROR(IF(AND(COUNT(X15,Y15,Z15,AA15)=4,N(AB209)&lt;&gt;0),(X15+Y15+Z15+AA15)/AB209,""),"")</f>
        <v>0.440941128232529</v>
      </c>
      <c r="AC377" s="264">
        <f>IFERROR(IF(AND(COUNT(Y15,Z15,AA15,AC15)=4,N(AC209)&lt;&gt;0),(Y15+Z15+AA15+AC15)/AC209,""),"")</f>
        <v>0.48021907087679</v>
      </c>
      <c r="AD377" s="264">
        <f>IFERROR(IF(AND(COUNT(Z15,AA15,AC15,AD15)=4,N(AD209)&lt;&gt;0),(Z15+AA15+AC15+AD15)/AD209,""),"")</f>
        <v>0.479294232103314</v>
      </c>
      <c r="AE377" s="264">
        <f>IFERROR(IF(AND(COUNT(AA15,AC15,AD15,AE15)=4,N(AE209)&lt;&gt;0),(AA15+AC15+AD15+AE15)/AE209,""),"")</f>
        <v>0.481122959638702</v>
      </c>
      <c r="AF377" s="264">
        <f>IFERROR(IF(AND(COUNT(AB15,AD15,AE15,AF15)=4,N(AF209)&lt;&gt;0),(AB15+AD15+AE15+AF15)/AF209,""),"")</f>
        <v>0.703934512123446</v>
      </c>
      <c r="AG377" s="262">
        <f>IFERROR(IF(AND(COUNT(AC15,AD15,AE15,AF15)=4,N(AG209)&lt;&gt;0),(AC15+AD15+AE15+AF15)/AG209,""),"")</f>
        <v>0.420098678579592</v>
      </c>
      <c r="AH377" s="264">
        <f>IFERROR(IF(AND(COUNT(AD15,AF15,AG15,AH15)=4,N(AH209)&lt;&gt;0),(AD15+AF15+AG15+AH15)/AH209,""),"")</f>
        <v>0.717676226178579</v>
      </c>
      <c r="AI377" s="264">
        <f>IFERROR(IF(AND(COUNT(AE15,AG15,AH15,AI15)=4,N(AI209)&lt;&gt;0),(AE15+AG15+AH15+AI15)/AI209,""),"")</f>
        <v>0.695867843981515</v>
      </c>
      <c r="AJ377" s="264">
        <f>IFERROR(IF(AND(COUNT(AF15,AH15,AI15,AJ15)=4,N(AJ209)&lt;&gt;0),(AF15+AH15+AI15+AJ15)/AJ209,""),"")</f>
        <v>0.39999487198928</v>
      </c>
      <c r="AK377" s="264">
        <f>IFERROR(IF(AND(COUNT(AH15,AI15,AJ15,AK15)=4,N(AK209)&lt;&gt;0),(AH15+AI15+AJ15+AK15)/AK209,""),"")</f>
        <v>0.398463522697973</v>
      </c>
      <c r="AL377" s="262">
        <f>IFERROR(IF(AND(COUNT(AH15,AI15,AJ15,AK15)=4,N(AL209)&lt;&gt;0),(AH15+AI15+AJ15+AK15)/AL209,""),"")</f>
        <v>0.398463522697973</v>
      </c>
      <c r="AM377" s="264">
        <f>IFERROR(IF(AND(COUNT(AI15,AJ15,AK15,AM15)=4,N(AM209)&lt;&gt;0),(AI15+AJ15+AK15+AM15)/AM209,""),"")</f>
        <v>0.392615751598579</v>
      </c>
      <c r="AN377" s="264">
        <f>IFERROR(IF(AND(COUNT(AJ15,AK15,AM15,AN15)=4,N(AN209)&lt;&gt;0),(AJ15+AK15+AM15+AN15)/AN209,""),"")</f>
        <v>0.39056595745429</v>
      </c>
      <c r="AO377" s="264">
        <f>IFERROR(IF(AND(COUNT(AK15,AM15,AN15,AO15)=4,N(AO209)&lt;&gt;0),(AK15+AM15+AN15+AO15)/AO209,""),"")</f>
        <v>0.384563895457841</v>
      </c>
      <c r="AP377" s="264">
        <f>IFERROR(IF(AND(COUNT(AM15,AN15,AO15,AP15)=4,N(AP209)&lt;&gt;0),(AM15+AN15+AO15+AP15)/AP209,""),"")</f>
        <v>0.383372663652678</v>
      </c>
      <c r="AQ377" s="262">
        <f>IFERROR(IF(AND(COUNT(AM15,AN15,AO15,AP15)=4,N(AQ209)&lt;&gt;0),(AM15+AN15+AO15+AP15)/AQ209,""),"")</f>
        <v>0.383372663652678</v>
      </c>
      <c r="AR377" s="264">
        <f>IFERROR(IF(AND(COUNT(AN15,AO15,AP15,AR15)=4,N(AR209)&lt;&gt;0),(AN15+AO15+AP15+AR15)/AR209,""),"")</f>
        <v>0.378534161834221</v>
      </c>
      <c r="AS377" s="264">
        <f>IFERROR(IF(AND(COUNT(AO15,AP15,AR15,AS15)=4,N(AS209)&lt;&gt;0),(AO15+AP15+AR15+AS15)/AS209,""),"")</f>
        <v>0.375918145468853</v>
      </c>
      <c r="AT377" s="264">
        <f>IFERROR(IF(AND(COUNT(AP15,AR15,AS15,AT15)=4,N(AT209)&lt;&gt;0),(AP15+AR15+AS15+AT15)/AT209,""),"")</f>
        <v>0.370169888302062</v>
      </c>
      <c r="AU377" s="264">
        <f>IFERROR(IF(AND(COUNT(AR15,AS15,AT15,AU15)=4,N(AU209)&lt;&gt;0),(AR15+AS15+AT15+AU15)/AU209,""),"")</f>
        <v>0.368880152303934</v>
      </c>
      <c r="AV377" s="262">
        <f>IFERROR(IF(AND(COUNT(AR15,AS15,AT15,AU15)=4,N(AV209)&lt;&gt;0),(AR15+AS15+AT15+AU15)/AV209,""),"")</f>
        <v>0.368880152303934</v>
      </c>
      <c r="AW377" s="264">
        <f>IFERROR(IF(AND(COUNT(AS15,AT15,AU15,AW15)=4,N(AW209)&lt;&gt;0),(AS15+AT15+AU15+AW15)/AW209,""),"")</f>
        <v>0.363924313958154</v>
      </c>
      <c r="AX377" s="264">
        <f>IFERROR(IF(AND(COUNT(AT15,AU15,AW15,AX15)=4,N(AX209)&lt;&gt;0),(AT15+AU15+AW15+AX15)/AX209,""),"")</f>
        <v>0.361798597020477</v>
      </c>
      <c r="AY377" s="264">
        <f>IFERROR(IF(AND(COUNT(AU15,AW15,AX15,AY15)=4,N(AY209)&lt;&gt;0),(AU15+AW15+AX15+AY15)/AY209,""),"")</f>
        <v>0.356275782619032</v>
      </c>
      <c r="AZ377" s="264">
        <f>IFERROR(IF(AND(COUNT(AW15,AX15,AY15,AZ15)=4,N(AZ209)&lt;&gt;0),(AW15+AX15+AY15+AZ15)/AZ209,""),"")</f>
        <v>0.354885807224672</v>
      </c>
      <c r="BA377" s="262">
        <f>IFERROR(IF(AND(COUNT(AW15,AX15,AY15,AZ15)=4,N(BA209)&lt;&gt;0),(AW15+AX15+AY15+AZ15)/BA209,""),"")</f>
        <v>0.354885807224672</v>
      </c>
      <c r="BB377" s="264">
        <f>IFERROR(IF(AND(COUNT(AX15,AY15,AZ15,BB15)=4,N(BB209)&lt;&gt;0),(AX15+AY15+AZ15+BB15)/BB209,""),"")</f>
        <v>0.350292626058712</v>
      </c>
      <c r="BC377" s="264">
        <f>IFERROR(IF(AND(COUNT(AY15,AZ15,BB15,BC15)=4,N(BC209)&lt;&gt;0),(AY15+AZ15+BB15+BC15)/BC209,""),"")</f>
        <v>0.348122697933541</v>
      </c>
      <c r="BD377" s="264">
        <f>IFERROR(IF(AND(COUNT(AZ15,BB15,BC15,BD15)=4,N(BD209)&lt;&gt;0),(AZ15+BB15+BC15+BD15)/BD209,""),"")</f>
        <v>0.342804028828025</v>
      </c>
      <c r="BE377" s="264">
        <f>IFERROR(IF(AND(COUNT(BB15,BC15,BD15,BE15)=4,N(BE209)&lt;&gt;0),(BB15+BC15+BD15+BE15)/BE209,""),"")</f>
        <v>0.341315604297605</v>
      </c>
      <c r="BF377" s="262">
        <f>IFERROR(IF(AND(COUNT(BB15,BC15,BD15,BE15)=4,N(BF209)&lt;&gt;0),(BB15+BC15+BD15+BE15)/BF209,""),"")</f>
        <v>0.341315604297605</v>
      </c>
      <c r="BG377" s="81" t="n"/>
      <c r="BH377" s="81" t="n"/>
      <c r="BI377" s="81" t="n"/>
      <c r="BJ377" s="81" t="n"/>
      <c r="BL377" s="81" t="n"/>
      <c r="BM377" s="81" t="n"/>
      <c r="BN377" s="81" t="n"/>
      <c r="BO377" s="81" t="n"/>
      <c r="BQ377" s="81" t="n"/>
      <c r="BR377" s="81" t="n"/>
      <c r="BS377" s="81" t="n"/>
      <c r="BT377" s="81" t="n"/>
      <c r="BV377" s="81" t="n"/>
      <c r="BW377" s="81" t="n"/>
      <c r="BX377" s="81" t="n"/>
      <c r="BY377" s="81" t="n"/>
      <c r="CA377" s="81" t="n"/>
      <c r="CB377" s="81" t="n"/>
      <c r="CC377" s="81" t="n"/>
      <c r="CD377" s="81" t="n"/>
      <c r="CF377" s="81" t="n"/>
      <c r="CG377" s="81" t="n"/>
      <c r="CH377" s="81" t="n"/>
      <c r="CI377" s="81" t="n"/>
      <c r="CK377" s="81" t="n"/>
      <c r="CL377" s="81" t="n"/>
      <c r="CM377" s="81" t="n"/>
      <c r="CN377" s="81" t="n"/>
      <c r="CP377" s="81" t="n"/>
      <c r="CQ377" s="81" t="n"/>
      <c r="CR377" s="81" t="n"/>
      <c r="CS377" s="81" t="n"/>
      <c r="CU377" s="81" t="n"/>
      <c r="CV377" s="81" t="n"/>
      <c r="CW377" s="81" t="n"/>
      <c r="CX377" s="81" t="n"/>
    </row>
    <row r="378" customFormat="1" s="77">
      <c r="A378" s="76" t="n"/>
      <c r="B378" s="76" t="n"/>
      <c r="C378" s="77" t="inlineStr">
        <is>
          <t>EQUITY MULTIPLIER (ASSETS / EQUITY)</t>
        </is>
      </c>
      <c r="D378" s="84" t="str">
        <f>IFERROR(D209/D283,"")</f>
        <v/>
      </c>
      <c r="E378" s="84" t="str">
        <f>IFERROR(E209/E283,"")</f>
        <v/>
      </c>
      <c r="F378" s="84" t="str">
        <f>IFERROR(F209/F283,"")</f>
        <v/>
      </c>
      <c r="G378" s="84" t="str">
        <f>IFERROR(G209/G283,"")</f>
        <v/>
      </c>
      <c r="H378" s="262" t="str">
        <f>IFERROR(IF(N(H283)&lt;&gt;0,H209/H283,""),"")</f>
        <v/>
      </c>
      <c r="I378" s="264">
        <f>IFERROR(IF(N(I283)&lt;&gt;0,I209/I283,""),"")</f>
        <v>5.55082907329954</v>
      </c>
      <c r="J378" s="264">
        <f>IFERROR(IF(N(J283)&lt;&gt;0,J209/J283,""),"")</f>
        <v>5.55120198714577</v>
      </c>
      <c r="K378" s="264">
        <f>IFERROR(IF(N(K283)&lt;&gt;0,K209/K283,""),"")</f>
        <v>6.20989199606686</v>
      </c>
      <c r="L378" s="264">
        <f>IFERROR(IF(N(L283)&lt;&gt;0,L209/L283,""),"")</f>
        <v>6.611672439284</v>
      </c>
      <c r="M378" s="262">
        <f>IFERROR(IF(N(M283)&lt;&gt;0,M209/M283,""),"")</f>
        <v>6.611672439284</v>
      </c>
      <c r="N378" s="264">
        <f>IFERROR(IF(N(N283)&lt;&gt;0,N209/N283,""),"")</f>
        <v>6.46516105027449</v>
      </c>
      <c r="O378" s="264">
        <f>IFERROR(IF(N(O283)&lt;&gt;0,O209/O283,""),"")</f>
        <v>8.18796526793478</v>
      </c>
      <c r="P378" s="264">
        <f>IFERROR(IF(N(P283)&lt;&gt;0,P209/P283,""),"")</f>
        <v>9.51008290008419</v>
      </c>
      <c r="Q378" s="264">
        <f>IFERROR(IF(N(Q283)&lt;&gt;0,Q209/Q283,""),"")</f>
        <v>9.48063881613069</v>
      </c>
      <c r="R378" s="262">
        <f>IFERROR(IF(N(R283)&lt;&gt;0,R209/R283,""),"")</f>
        <v>9.48063881613069</v>
      </c>
      <c r="S378" s="264">
        <f>IFERROR(IF(N(S283)&lt;&gt;0,S209/S283,""),"")</f>
        <v>8.01238168410827</v>
      </c>
      <c r="T378" s="264">
        <f>IFERROR(IF(N(T283)&lt;&gt;0,T209/T283,""),"")</f>
        <v>6.85848926092551</v>
      </c>
      <c r="U378" s="264">
        <f>IFERROR(IF(N(U283)&lt;&gt;0,U209/U283,""),"")</f>
        <v>7.17860195634425</v>
      </c>
      <c r="V378" s="264">
        <f>IFERROR(IF(N(V283)&lt;&gt;0,V209/V283,""),"")</f>
        <v>9.95961871970323</v>
      </c>
      <c r="W378" s="262">
        <f>IFERROR(IF(N(W283)&lt;&gt;0,W209/W283,""),"")</f>
        <v>9.95961871970324</v>
      </c>
      <c r="X378" s="264">
        <f>IFERROR(IF(N(X283)&lt;&gt;0,X209/X283,""),"")</f>
        <v>10.4166602355461</v>
      </c>
      <c r="Y378" s="264">
        <f>IFERROR(IF(N(Y283)&lt;&gt;0,Y209/Y283,""),"")</f>
        <v>11.0596012441744</v>
      </c>
      <c r="Z378" s="264">
        <f>IFERROR(IF(N(Z283)&lt;&gt;0,Z209/Z283,""),"")</f>
        <v>10.7493683743257</v>
      </c>
      <c r="AA378" s="264">
        <f>IFERROR(IF(N(AA283)&lt;&gt;0,AA209/AA283,""),"")</f>
        <v>12.2663811960078</v>
      </c>
      <c r="AB378" s="262">
        <f>IFERROR(IF(N(AB283)&lt;&gt;0,AB209/AB283,""),"")</f>
        <v>12.2663811960078</v>
      </c>
      <c r="AC378" s="264">
        <f>IFERROR(IF(N(AC283)&lt;&gt;0,AC209/AC283,""),"")</f>
        <v>11.2020695822641</v>
      </c>
      <c r="AD378" s="264">
        <f>IFERROR(IF(N(AD283)&lt;&gt;0,AD209/AD283,""),"")</f>
        <v>11.2404111024075</v>
      </c>
      <c r="AE378" s="264">
        <f>IFERROR(IF(N(AE283)&lt;&gt;0,AE209/AE283,""),"")</f>
        <v>10.6294207127934</v>
      </c>
      <c r="AF378" s="264">
        <f>IFERROR(IF(N(AF283)&lt;&gt;0,AF209/AF283,""),"")</f>
        <v>11.7680476877853</v>
      </c>
      <c r="AG378" s="262">
        <f>IFERROR(IF(N(AG283)&lt;&gt;0,AG209/AG283,""),"")</f>
        <v>11.7680476877853</v>
      </c>
      <c r="AH378" s="264">
        <f>IFERROR(IF(N(AH283)&lt;&gt;0,AH209/AH283,""),"")</f>
        <v>11.7567417518658</v>
      </c>
      <c r="AI378" s="264">
        <f>IFERROR(IF(N(AI283)&lt;&gt;0,AI209/AI283,""),"")</f>
        <v>9.57090683164224</v>
      </c>
      <c r="AJ378" s="264">
        <f>IFERROR(IF(N(AJ283)&lt;&gt;0,AJ209/AJ283,""),"")</f>
        <v>7.76980803063966</v>
      </c>
      <c r="AK378" s="264">
        <f>IFERROR(IF(N(AK283)&lt;&gt;0,AK209/AK283,""),"")</f>
        <v>6.62140787149673</v>
      </c>
      <c r="AL378" s="262">
        <f>IFERROR(IF(N(AL283)&lt;&gt;0,AL209/AL283,""),"")</f>
        <v>6.62140787149673</v>
      </c>
      <c r="AM378" s="264">
        <f>IFERROR(IF(N(AM283)&lt;&gt;0,AM209/AM283,""),"")</f>
        <v>5.84106595653513</v>
      </c>
      <c r="AN378" s="264">
        <f>IFERROR(IF(N(AN283)&lt;&gt;0,AN209/AN283,""),"")</f>
        <v>5.21642796171201</v>
      </c>
      <c r="AO378" s="264">
        <f>IFERROR(IF(N(AO283)&lt;&gt;0,AO209/AO283,""),"")</f>
        <v>4.74818538138053</v>
      </c>
      <c r="AP378" s="264">
        <f>IFERROR(IF(N(AP283)&lt;&gt;0,AP209/AP283,""),"")</f>
        <v>4.34129273542351</v>
      </c>
      <c r="AQ378" s="262">
        <f>IFERROR(IF(N(AQ283)&lt;&gt;0,AQ209/AQ283,""),"")</f>
        <v>4.34129273542351</v>
      </c>
      <c r="AR378" s="264">
        <f>IFERROR(IF(N(AR283)&lt;&gt;0,AR209/AR283,""),"")</f>
        <v>4.03748950574598</v>
      </c>
      <c r="AS378" s="264">
        <f>IFERROR(IF(N(AS283)&lt;&gt;0,AS209/AS283,""),"")</f>
        <v>3.76908151459327</v>
      </c>
      <c r="AT378" s="264">
        <f>IFERROR(IF(N(AT283)&lt;&gt;0,AT209/AT283,""),"")</f>
        <v>3.55783292088198</v>
      </c>
      <c r="AU378" s="264">
        <f>IFERROR(IF(N(AU283)&lt;&gt;0,AU209/AU283,""),"")</f>
        <v>3.34880586569277</v>
      </c>
      <c r="AV378" s="262">
        <f>IFERROR(IF(N(AV283)&lt;&gt;0,AV209/AV283,""),"")</f>
        <v>3.34880586569277</v>
      </c>
      <c r="AW378" s="264">
        <f>IFERROR(IF(N(AW283)&lt;&gt;0,AW209/AW283,""),"")</f>
        <v>3.19459115799031</v>
      </c>
      <c r="AX378" s="264">
        <f>IFERROR(IF(N(AX283)&lt;&gt;0,AX209/AX283,""),"")</f>
        <v>3.04064291124336</v>
      </c>
      <c r="AY378" s="264">
        <f>IFERROR(IF(N(AY283)&lt;&gt;0,AY209/AY283,""),"")</f>
        <v>2.92398770411466</v>
      </c>
      <c r="AZ378" s="264">
        <f>IFERROR(IF(N(AZ283)&lt;&gt;0,AZ209/AZ283,""),"")</f>
        <v>2.79595671632464</v>
      </c>
      <c r="BA378" s="262">
        <f>IFERROR(IF(N(BA283)&lt;&gt;0,BA209/BA283,""),"")</f>
        <v>2.79595671632464</v>
      </c>
      <c r="BB378" s="264">
        <f>IFERROR(IF(N(BB283)&lt;&gt;0,BB209/BB283,""),"")</f>
        <v>2.70269879855729</v>
      </c>
      <c r="BC378" s="264">
        <f>IFERROR(IF(N(BC283)&lt;&gt;0,BC209/BC283,""),"")</f>
        <v>2.60402561728184</v>
      </c>
      <c r="BD378" s="264">
        <f>IFERROR(IF(N(BD283)&lt;&gt;0,BD209/BD283,""),"")</f>
        <v>2.53207152914608</v>
      </c>
      <c r="BE378" s="264">
        <f>IFERROR(IF(N(BE283)&lt;&gt;0,BE209/BE283,""),"")</f>
        <v>2.44517707841415</v>
      </c>
      <c r="BF378" s="262">
        <f>IFERROR(IF(N(BF283)&lt;&gt;0,BF209/BF283,""),"")</f>
        <v>2.44517707841415</v>
      </c>
      <c r="BG378" s="81" t="n"/>
      <c r="BH378" s="81" t="n"/>
      <c r="BI378" s="81" t="n"/>
      <c r="BJ378" s="81" t="n"/>
      <c r="BL378" s="81" t="n"/>
      <c r="BM378" s="81" t="n"/>
      <c r="BN378" s="81" t="n"/>
      <c r="BO378" s="81" t="n"/>
      <c r="BQ378" s="81" t="n"/>
      <c r="BR378" s="81" t="n"/>
      <c r="BS378" s="81" t="n"/>
      <c r="BT378" s="81" t="n"/>
      <c r="BV378" s="81" t="n"/>
      <c r="BW378" s="81" t="n"/>
      <c r="BX378" s="81" t="n"/>
      <c r="BY378" s="81" t="n"/>
      <c r="CA378" s="81" t="n"/>
      <c r="CB378" s="81" t="n"/>
      <c r="CC378" s="81" t="n"/>
      <c r="CD378" s="81" t="n"/>
      <c r="CF378" s="81" t="n"/>
      <c r="CG378" s="81" t="n"/>
      <c r="CH378" s="81" t="n"/>
      <c r="CI378" s="81" t="n"/>
      <c r="CK378" s="81" t="n"/>
      <c r="CL378" s="81" t="n"/>
      <c r="CM378" s="81" t="n"/>
      <c r="CN378" s="81" t="n"/>
      <c r="CP378" s="81" t="n"/>
      <c r="CQ378" s="81" t="n"/>
      <c r="CR378" s="81" t="n"/>
      <c r="CS378" s="81" t="n"/>
      <c r="CU378" s="81" t="n"/>
      <c r="CV378" s="81" t="n"/>
      <c r="CW378" s="81" t="n"/>
      <c r="CX378" s="81" t="n"/>
    </row>
    <row r="379" customFormat="1" s="77">
      <c r="A379" s="76" t="n"/>
      <c r="B379" s="76" t="n"/>
      <c r="C379" s="77" t="inlineStr">
        <is>
          <t>ROE - DUPONT</t>
        </is>
      </c>
      <c r="D379" s="84">
        <f>IFERROR(PRODUCT(D376:D378),"")</f>
        <v>0</v>
      </c>
      <c r="E379" s="84">
        <f>IFERROR(PRODUCT(E376:E378),"")</f>
        <v>0</v>
      </c>
      <c r="F379" s="84">
        <f>IFERROR(PRODUCT(F376:F378),"")</f>
        <v>0</v>
      </c>
      <c r="G379" s="84">
        <f>IFERROR(PRODUCT(G376:G378),"")</f>
        <v>0</v>
      </c>
      <c r="H379" s="258" t="str">
        <f>IFERROR(IF(COUNT(H376,H377,H378)=3,H376*H377*H378,""),"")</f>
        <v/>
      </c>
      <c r="I379" s="257" t="str">
        <f>IFERROR(IF(COUNT(I376,I377,I378)=3,I376*I377*I378,""),"")</f>
        <v/>
      </c>
      <c r="J379" s="257" t="str">
        <f>IFERROR(IF(COUNT(J376,J377,J378)=3,J376*J377*J378,""),"")</f>
        <v/>
      </c>
      <c r="K379" s="257" t="str">
        <f>IFERROR(IF(COUNT(K376,K377,K378)=3,K376*K377*K378,""),"")</f>
        <v/>
      </c>
      <c r="L379" s="257">
        <f>IFERROR(IF(COUNT(L376,L377,L378)=3,L376*L377*L378,""),"")</f>
        <v>0.24948880672449</v>
      </c>
      <c r="M379" s="258">
        <f>IFERROR(IF(COUNT(M376,M377,M378)=3,M376*M377*M378,""),"")</f>
        <v>0.24948880672449</v>
      </c>
      <c r="N379" s="257">
        <f>IFERROR(IF(COUNT(N376,N377,N378)=3,N376*N377*N378,""),"")</f>
        <v>0.298654916597918</v>
      </c>
      <c r="O379" s="257">
        <f>IFERROR(IF(COUNT(O376,O377,O378)=3,O376*O377*O378,""),"")</f>
        <v>0.343616375049132</v>
      </c>
      <c r="P379" s="257">
        <f>IFERROR(IF(COUNT(P376,P377,P378)=3,P376*P377*P378,""),"")</f>
        <v>0.29354703036789</v>
      </c>
      <c r="Q379" s="257">
        <f>IFERROR(IF(COUNT(Q376,Q377,Q378)=3,Q376*Q377*Q378,""),"")</f>
        <v>0.200953955019786</v>
      </c>
      <c r="R379" s="258">
        <f>IFERROR(IF(COUNT(R376,R377,R378)=3,R376*R377*R378,""),"")</f>
        <v>0.200953955019786</v>
      </c>
      <c r="S379" s="257">
        <f>IFERROR(IF(COUNT(S376,S377,S378)=3,S376*S377*S378,""),"")</f>
        <v>0.112811056652095</v>
      </c>
      <c r="T379" s="257">
        <f>IFERROR(IF(COUNT(T376,T377,T378)=3,T376*T377*T378,""),"")</f>
        <v>0.037345476171178</v>
      </c>
      <c r="U379" s="257">
        <f>IFERROR(IF(COUNT(U376,U377,U378)=3,U376*U377*U378,""),"")</f>
        <v>-0.0147670433677448</v>
      </c>
      <c r="V379" s="257">
        <f>IFERROR(IF(COUNT(V376,V377,V378)=3,V376*V377*V378,""),"")</f>
        <v>-0.258055281757432</v>
      </c>
      <c r="W379" s="258">
        <f>IFERROR(IF(COUNT(W376,W377,W378)=3,W376*W377*W378,""),"")</f>
        <v>-0.258055281757432</v>
      </c>
      <c r="X379" s="257">
        <f>IFERROR(IF(COUNT(X376,X377,X378)=3,X376*X377*X378,""),"")</f>
        <v>-0.247947544332963</v>
      </c>
      <c r="Y379" s="257">
        <f>IFERROR(IF(COUNT(Y376,Y377,Y378)=3,Y376*Y377*Y378,""),"")</f>
        <v>-0.22486662996677</v>
      </c>
      <c r="Z379" s="257">
        <f>IFERROR(IF(COUNT(Z376,Z377,Z378)=3,Z376*Z377*Z378,""),"")</f>
        <v>-0.157612236759937</v>
      </c>
      <c r="AA379" s="257">
        <f>IFERROR(IF(COUNT(AA376,AA377,AA378)=3,AA376*AA377*AA378,""),"")</f>
        <v>0.0928837484734154</v>
      </c>
      <c r="AB379" s="258">
        <f>IFERROR(IF(COUNT(AB376,AB377,AB378)=3,AB376*AB377*AB378,""),"")</f>
        <v>0.0928837484734154</v>
      </c>
      <c r="AC379" s="257">
        <f>IFERROR(IF(COUNT(AC376,AC377,AC378)=3,AC376*AC377*AC378,""),"")</f>
        <v>0.100235228609689</v>
      </c>
      <c r="AD379" s="257">
        <f>IFERROR(IF(COUNT(AD376,AD377,AD378)=3,AD376*AD377*AD378,""),"")</f>
        <v>0.108127860776338</v>
      </c>
      <c r="AE379" s="257">
        <f>IFERROR(IF(COUNT(AE376,AE377,AE378)=3,AE376*AE377*AE378,""),"")</f>
        <v>0.0997581611642116</v>
      </c>
      <c r="AF379" s="257">
        <f>IFERROR(IF(COUNT(AF376,AF377,AF378)=3,AF376*AF377*AF378,""),"")</f>
        <v>0.158840040306907</v>
      </c>
      <c r="AG379" s="258">
        <f>IFERROR(IF(COUNT(AG376,AG377,AG378)=3,AG376*AG377*AG378,""),"")</f>
        <v>0.107271944839686</v>
      </c>
      <c r="AH379" s="257">
        <f>IFERROR(IF(COUNT(AH376,AH377,AH378)=3,AH376*AH377*AH378,""),"")</f>
        <v>0.200484909863082</v>
      </c>
      <c r="AI379" s="257">
        <f>IFERROR(IF(COUNT(AI376,AI377,AI378)=3,AI376*AI377*AI378,""),"")</f>
        <v>0.166212686011072</v>
      </c>
      <c r="AJ379" s="257">
        <f>IFERROR(IF(COUNT(AJ376,AJ377,AJ378)=3,AJ376*AJ377*AJ378,""),"")</f>
        <v>0.279201399800235</v>
      </c>
      <c r="AK379" s="257">
        <f>IFERROR(IF(COUNT(AK376,AK377,AK378)=3,AK376*AK377*AK378,""),"")</f>
        <v>0.381727171259128</v>
      </c>
      <c r="AL379" s="258">
        <f>IFERROR(IF(COUNT(AL376,AL377,AL378)=3,AL376*AL377*AL378,""),"")</f>
        <v>0.381727171259128</v>
      </c>
      <c r="AM379" s="257">
        <f>IFERROR(IF(COUNT(AM376,AM377,AM378)=3,AM376*AM377*AM378,""),"")</f>
        <v>0.454368355797432</v>
      </c>
      <c r="AN379" s="257">
        <f>IFERROR(IF(COUNT(AN376,AN377,AN378)=3,AN376*AN377*AN378,""),"")</f>
        <v>0.50677221357939</v>
      </c>
      <c r="AO379" s="257">
        <f>IFERROR(IF(COUNT(AO376,AO377,AO378)=3,AO376*AO377*AO378,""),"")</f>
        <v>0.454193974652768</v>
      </c>
      <c r="AP379" s="257">
        <f>IFERROR(IF(COUNT(AP376,AP377,AP378)=3,AP376*AP377*AP378,""),"")</f>
        <v>0.413985764427591</v>
      </c>
      <c r="AQ379" s="258">
        <f>IFERROR(IF(COUNT(AQ376,AQ377,AQ378)=3,AQ376*AQ377*AQ378,""),"")</f>
        <v>0.413985764427591</v>
      </c>
      <c r="AR379" s="257">
        <f>IFERROR(IF(COUNT(AR376,AR377,AR378)=3,AR376*AR377*AR378,""),"")</f>
        <v>0.380155851612838</v>
      </c>
      <c r="AS379" s="257">
        <f>IFERROR(IF(COUNT(AS376,AS377,AS378)=3,AS376*AS377*AS378,""),"")</f>
        <v>0.352430927830655</v>
      </c>
      <c r="AT379" s="257">
        <f>IFERROR(IF(COUNT(AT376,AT377,AT378)=3,AT376*AT377*AT378,""),"")</f>
        <v>0.327590901280515</v>
      </c>
      <c r="AU379" s="257">
        <f>IFERROR(IF(COUNT(AU376,AU377,AU378)=3,AU376*AU377*AU378,""),"")</f>
        <v>0.307270207603814</v>
      </c>
      <c r="AV379" s="258">
        <f>IFERROR(IF(COUNT(AV376,AV377,AV378)=3,AV376*AV377*AV378,""),"")</f>
        <v>0.307270207603814</v>
      </c>
      <c r="AW379" s="257">
        <f>IFERROR(IF(COUNT(AW376,AW377,AW378)=3,AW376*AW377*AW378,""),"")</f>
        <v>0.289182195686016</v>
      </c>
      <c r="AX379" s="257">
        <f>IFERROR(IF(COUNT(AX376,AX377,AX378)=3,AX376*AX377*AX378,""),"")</f>
        <v>0.273638683459492</v>
      </c>
      <c r="AY379" s="257">
        <f>IFERROR(IF(COUNT(AY376,AY377,AY378)=3,AY376*AY377*AY378,""),"")</f>
        <v>0.25912364158268</v>
      </c>
      <c r="AZ379" s="257">
        <f>IFERROR(IF(COUNT(AZ376,AZ377,AZ378)=3,AZ376*AZ377*AZ378,""),"")</f>
        <v>0.24681086192158</v>
      </c>
      <c r="BA379" s="258">
        <f>IFERROR(IF(COUNT(BA376,BA377,BA378)=3,BA376*BA377*BA378,""),"")</f>
        <v>0.24681086192158</v>
      </c>
      <c r="BB379" s="257">
        <f>IFERROR(IF(COUNT(BB376,BB377,BB378)=3,BB376*BB377*BB378,""),"")</f>
        <v>0.235490741604075</v>
      </c>
      <c r="BC379" s="257">
        <f>IFERROR(IF(COUNT(BC376,BC377,BC378)=3,BC376*BC377*BC378,""),"")</f>
        <v>0.2254876635465</v>
      </c>
      <c r="BD379" s="257">
        <f>IFERROR(IF(COUNT(BD376,BD377,BD378)=3,BD376*BD377*BD378,""),"")</f>
        <v>0.215907177985072</v>
      </c>
      <c r="BE379" s="257">
        <f>IFERROR(IF(COUNT(BE376,BE377,BE378)=3,BE376*BE377*BE378,""),"")</f>
        <v>0.207592497313803</v>
      </c>
      <c r="BF379" s="258">
        <f>IFERROR(IF(COUNT(BF376,BF377,BF378)=3,BF376*BF377*BF378,""),"")</f>
        <v>0.207592497313803</v>
      </c>
      <c r="BG379" s="81" t="n"/>
      <c r="BH379" s="81" t="n"/>
      <c r="BI379" s="81" t="n"/>
      <c r="BJ379" s="81" t="n"/>
      <c r="BL379" s="81" t="n"/>
      <c r="BM379" s="81" t="n"/>
      <c r="BN379" s="81" t="n"/>
      <c r="BO379" s="81" t="n"/>
      <c r="BQ379" s="81" t="n"/>
      <c r="BR379" s="81" t="n"/>
      <c r="BS379" s="81" t="n"/>
      <c r="BT379" s="81" t="n"/>
      <c r="BV379" s="81" t="n"/>
      <c r="BW379" s="81" t="n"/>
      <c r="BX379" s="81" t="n"/>
      <c r="BY379" s="81" t="n"/>
      <c r="CA379" s="81" t="n"/>
      <c r="CB379" s="81" t="n"/>
      <c r="CC379" s="81" t="n"/>
      <c r="CD379" s="81" t="n"/>
      <c r="CF379" s="81" t="n"/>
      <c r="CG379" s="81" t="n"/>
      <c r="CH379" s="81" t="n"/>
      <c r="CI379" s="81" t="n"/>
      <c r="CK379" s="81" t="n"/>
      <c r="CL379" s="81" t="n"/>
      <c r="CM379" s="81" t="n"/>
      <c r="CN379" s="81" t="n"/>
      <c r="CP379" s="81" t="n"/>
      <c r="CQ379" s="81" t="n"/>
      <c r="CR379" s="81" t="n"/>
      <c r="CS379" s="81" t="n"/>
      <c r="CU379" s="81" t="n"/>
      <c r="CV379" s="81" t="n"/>
      <c r="CW379" s="81" t="n"/>
      <c r="CX379" s="81" t="n"/>
    </row>
    <row r="380" customFormat="1" s="77">
      <c r="A380" s="76" t="n"/>
      <c r="B380" s="76" t="n"/>
      <c r="C380" s="77" t="inlineStr">
        <is>
          <t>ROE (LTM)</t>
        </is>
      </c>
      <c r="D380" s="84" t="str">
        <f>IFERROR(D149/D283,"")</f>
        <v/>
      </c>
      <c r="E380" s="84" t="str">
        <f>IFERROR(E149/E283,"")</f>
        <v/>
      </c>
      <c r="F380" s="84" t="str">
        <f>IFERROR(F149/F283,"")</f>
        <v/>
      </c>
      <c r="G380" s="84" t="str">
        <f>IFERROR(G149/G283,"")</f>
        <v/>
      </c>
      <c r="H380" s="258" t="str">
        <f>IFERROR(IF(AND(COUNT(H149)=1,N(H283)&lt;&gt;0),(H149)/H283,""),"")</f>
        <v/>
      </c>
      <c r="I380" s="257" t="str">
        <f>""</f>
        <v/>
      </c>
      <c r="J380" s="257" t="str">
        <f>""</f>
        <v/>
      </c>
      <c r="K380" s="257" t="str">
        <f>""</f>
        <v/>
      </c>
      <c r="L380" s="257">
        <f>IFERROR(IF(AND(COUNT(I149,J149,K149,L149)=4,N(L283)&lt;&gt;0),(I149+J149+K149+L149)/L283,""),"")</f>
        <v>0.24948880672449</v>
      </c>
      <c r="M380" s="258">
        <f>IFERROR(IF(AND(COUNT(I149,J149,K149,L149)=4,N(M283)&lt;&gt;0),(I149+J149+K149+L149)/M283,""),"")</f>
        <v>0.24948880672449</v>
      </c>
      <c r="N380" s="257">
        <f>IFERROR(IF(AND(COUNT(J149,K149,L149,N149)=4,N(N283)&lt;&gt;0),(J149+K149+L149+N149)/N283,""),"")</f>
        <v>0.298654916597918</v>
      </c>
      <c r="O380" s="257">
        <f>IFERROR(IF(AND(COUNT(K149,L149,N149,O149)=4,N(O283)&lt;&gt;0),(K149+L149+N149+O149)/O283,""),"")</f>
        <v>0.343616375049132</v>
      </c>
      <c r="P380" s="257">
        <f>IFERROR(IF(AND(COUNT(L149,N149,O149,P149)=4,N(P283)&lt;&gt;0),(L149+N149+O149+P149)/P283,""),"")</f>
        <v>0.29354703036789</v>
      </c>
      <c r="Q380" s="257">
        <f>IFERROR(IF(AND(COUNT(N149,O149,P149,Q149)=4,N(Q283)&lt;&gt;0),(N149+O149+P149+Q149)/Q283,""),"")</f>
        <v>0.200953955019786</v>
      </c>
      <c r="R380" s="258">
        <f>IFERROR(IF(AND(COUNT(N149,O149,P149,Q149)=4,N(R283)&lt;&gt;0),(N149+O149+P149+Q149)/R283,""),"")</f>
        <v>0.200953955019786</v>
      </c>
      <c r="S380" s="257">
        <f>IFERROR(IF(AND(COUNT(O149,P149,Q149,S149)=4,N(S283)&lt;&gt;0),(O149+P149+Q149+S149)/S283,""),"")</f>
        <v>0.112811056652095</v>
      </c>
      <c r="T380" s="257">
        <f>IFERROR(IF(AND(COUNT(P149,Q149,S149,T149)=4,N(T283)&lt;&gt;0),(P149+Q149+S149+T149)/T283,""),"")</f>
        <v>0.037345476171178</v>
      </c>
      <c r="U380" s="257">
        <f>IFERROR(IF(AND(COUNT(Q149,S149,T149,U149)=4,N(U283)&lt;&gt;0),(Q149+S149+T149+U149)/U283,""),"")</f>
        <v>-0.0147670433677447</v>
      </c>
      <c r="V380" s="257">
        <f>IFERROR(IF(AND(COUNT(S149,T149,U149,V149)=4,N(V283)&lt;&gt;0),(S149+T149+U149+V149)/V283,""),"")</f>
        <v>-0.258055281757432</v>
      </c>
      <c r="W380" s="258">
        <f>IFERROR(IF(AND(COUNT(S149,T149,U149,V149)=4,N(W283)&lt;&gt;0),(S149+T149+U149+V149)/W283,""),"")</f>
        <v>-0.258055281757433</v>
      </c>
      <c r="X380" s="257">
        <f>IFERROR(IF(AND(COUNT(T149,U149,V149,X149)=4,N(X283)&lt;&gt;0),(T149+U149+V149+X149)/X283,""),"")</f>
        <v>-0.247947544332963</v>
      </c>
      <c r="Y380" s="257">
        <f>IFERROR(IF(AND(COUNT(U149,V149,X149,Y149)=4,N(Y283)&lt;&gt;0),(U149+V149+X149+Y149)/Y283,""),"")</f>
        <v>-0.22486662996677</v>
      </c>
      <c r="Z380" s="257">
        <f>IFERROR(IF(AND(COUNT(V149,X149,Y149,Z149)=4,N(Z283)&lt;&gt;0),(V149+X149+Y149+Z149)/Z283,""),"")</f>
        <v>-0.157612236759937</v>
      </c>
      <c r="AA380" s="257">
        <f>IFERROR(IF(AND(COUNT(X149,Y149,Z149,AA149)=4,N(AA283)&lt;&gt;0),(X149+Y149+Z149+AA149)/AA283,""),"")</f>
        <v>0.0928837484734154</v>
      </c>
      <c r="AB380" s="258">
        <f>IFERROR(IF(AND(COUNT(X149,Y149,Z149,AA149)=4,N(AB283)&lt;&gt;0),(X149+Y149+Z149+AA149)/AB283,""),"")</f>
        <v>0.0928837484734154</v>
      </c>
      <c r="AC380" s="257">
        <f>IFERROR(IF(AND(COUNT(Y149,Z149,AA149,AC149)=4,N(AC283)&lt;&gt;0),(Y149+Z149+AA149+AC149)/AC283,""),"")</f>
        <v>0.100235228609689</v>
      </c>
      <c r="AD380" s="257">
        <f>IFERROR(IF(AND(COUNT(Z149,AA149,AC149,AD149)=4,N(AD283)&lt;&gt;0),(Z149+AA149+AC149+AD149)/AD283,""),"")</f>
        <v>0.108127860776338</v>
      </c>
      <c r="AE380" s="257">
        <f>IFERROR(IF(AND(COUNT(AA149,AC149,AD149,AE149)=4,N(AE283)&lt;&gt;0),(AA149+AC149+AD149+AE149)/AE283,""),"")</f>
        <v>0.0997581611642116</v>
      </c>
      <c r="AF380" s="257">
        <f>IFERROR(IF(AND(COUNT(AB149,AD149,AE149,AF149)=4,N(AF283)&lt;&gt;0),(AB149+AD149+AE149+AF149)/AF283,""),"")</f>
        <v>0.158840040306907</v>
      </c>
      <c r="AG380" s="258">
        <f>IFERROR(IF(AND(COUNT(AC149,AD149,AE149,AF149)=4,N(AG283)&lt;&gt;0),(AC149+AD149+AE149+AF149)/AG283,""),"")</f>
        <v>0.107271944839686</v>
      </c>
      <c r="AH380" s="257">
        <f>IFERROR(IF(AND(COUNT(AD149,AF149,AG149,AH149)=4,N(AH283)&lt;&gt;0),(AD149+AF149+AG149+AH149)/AH283,""),"")</f>
        <v>0.200484909863082</v>
      </c>
      <c r="AI380" s="257">
        <f>IFERROR(IF(AND(COUNT(AE149,AG149,AH149,AI149)=4,N(AI283)&lt;&gt;0),(AE149+AG149+AH149+AI149)/AI283,""),"")</f>
        <v>0.166212686011072</v>
      </c>
      <c r="AJ380" s="257">
        <f>IFERROR(IF(AND(COUNT(AF149,AH149,AI149,AJ149)=4,N(AJ283)&lt;&gt;0),(AF149+AH149+AI149+AJ149)/AJ283,""),"")</f>
        <v>0.279201399800235</v>
      </c>
      <c r="AK380" s="257">
        <f>IFERROR(IF(AND(COUNT(AH149,AI149,AJ149,AK149)=4,N(AK283)&lt;&gt;0),(AH149+AI149+AJ149+AK149)/AK283,""),"")</f>
        <v>0.381727171259128</v>
      </c>
      <c r="AL380" s="258">
        <f>IFERROR(IF(AND(COUNT(AH149,AI149,AJ149,AK149)=4,N(AL283)&lt;&gt;0),(AH149+AI149+AJ149+AK149)/AL283,""),"")</f>
        <v>0.381727171259128</v>
      </c>
      <c r="AM380" s="257">
        <f>IFERROR(IF(AND(COUNT(AI149,AJ149,AK149,AM149)=4,N(AM283)&lt;&gt;0),(AI149+AJ149+AK149+AM149)/AM283,""),"")</f>
        <v>0.454368355797432</v>
      </c>
      <c r="AN380" s="257">
        <f>IFERROR(IF(AND(COUNT(AJ149,AK149,AM149,AN149)=4,N(AN283)&lt;&gt;0),(AJ149+AK149+AM149+AN149)/AN283,""),"")</f>
        <v>0.50677221357939</v>
      </c>
      <c r="AO380" s="257">
        <f>IFERROR(IF(AND(COUNT(AK149,AM149,AN149,AO149)=4,N(AO283)&lt;&gt;0),(AK149+AM149+AN149+AO149)/AO283,""),"")</f>
        <v>0.454193974652768</v>
      </c>
      <c r="AP380" s="257">
        <f>IFERROR(IF(AND(COUNT(AM149,AN149,AO149,AP149)=4,N(AP283)&lt;&gt;0),(AM149+AN149+AO149+AP149)/AP283,""),"")</f>
        <v>0.413985764427591</v>
      </c>
      <c r="AQ380" s="258">
        <f>IFERROR(IF(AND(COUNT(AM149,AN149,AO149,AP149)=4,N(AQ283)&lt;&gt;0),(AM149+AN149+AO149+AP149)/AQ283,""),"")</f>
        <v>0.413985764427591</v>
      </c>
      <c r="AR380" s="257">
        <f>IFERROR(IF(AND(COUNT(AN149,AO149,AP149,AR149)=4,N(AR283)&lt;&gt;0),(AN149+AO149+AP149+AR149)/AR283,""),"")</f>
        <v>0.380155851612838</v>
      </c>
      <c r="AS380" s="257">
        <f>IFERROR(IF(AND(COUNT(AO149,AP149,AR149,AS149)=4,N(AS283)&lt;&gt;0),(AO149+AP149+AR149+AS149)/AS283,""),"")</f>
        <v>0.352430927830655</v>
      </c>
      <c r="AT380" s="257">
        <f>IFERROR(IF(AND(COUNT(AP149,AR149,AS149,AT149)=4,N(AT283)&lt;&gt;0),(AP149+AR149+AS149+AT149)/AT283,""),"")</f>
        <v>0.327590901280515</v>
      </c>
      <c r="AU380" s="257">
        <f>IFERROR(IF(AND(COUNT(AR149,AS149,AT149,AU149)=4,N(AU283)&lt;&gt;0),(AR149+AS149+AT149+AU149)/AU283,""),"")</f>
        <v>0.307270207603814</v>
      </c>
      <c r="AV380" s="258">
        <f>IFERROR(IF(AND(COUNT(AR149,AS149,AT149,AU149)=4,N(AV283)&lt;&gt;0),(AR149+AS149+AT149+AU149)/AV283,""),"")</f>
        <v>0.307270207603814</v>
      </c>
      <c r="AW380" s="257">
        <f>IFERROR(IF(AND(COUNT(AS149,AT149,AU149,AW149)=4,N(AW283)&lt;&gt;0),(AS149+AT149+AU149+AW149)/AW283,""),"")</f>
        <v>0.289182195686016</v>
      </c>
      <c r="AX380" s="257">
        <f>IFERROR(IF(AND(COUNT(AT149,AU149,AW149,AX149)=4,N(AX283)&lt;&gt;0),(AT149+AU149+AW149+AX149)/AX283,""),"")</f>
        <v>0.273638683459492</v>
      </c>
      <c r="AY380" s="257">
        <f>IFERROR(IF(AND(COUNT(AU149,AW149,AX149,AY149)=4,N(AY283)&lt;&gt;0),(AU149+AW149+AX149+AY149)/AY283,""),"")</f>
        <v>0.25912364158268</v>
      </c>
      <c r="AZ380" s="257">
        <f>IFERROR(IF(AND(COUNT(AW149,AX149,AY149,AZ149)=4,N(AZ283)&lt;&gt;0),(AW149+AX149+AY149+AZ149)/AZ283,""),"")</f>
        <v>0.24681086192158</v>
      </c>
      <c r="BA380" s="258">
        <f>IFERROR(IF(AND(COUNT(AW149,AX149,AY149,AZ149)=4,N(BA283)&lt;&gt;0),(AW149+AX149+AY149+AZ149)/BA283,""),"")</f>
        <v>0.24681086192158</v>
      </c>
      <c r="BB380" s="257">
        <f>IFERROR(IF(AND(COUNT(AX149,AY149,AZ149,BB149)=4,N(BB283)&lt;&gt;0),(AX149+AY149+AZ149+BB149)/BB283,""),"")</f>
        <v>0.235490741604075</v>
      </c>
      <c r="BC380" s="257">
        <f>IFERROR(IF(AND(COUNT(AY149,AZ149,BB149,BC149)=4,N(BC283)&lt;&gt;0),(AY149+AZ149+BB149+BC149)/BC283,""),"")</f>
        <v>0.2254876635465</v>
      </c>
      <c r="BD380" s="257">
        <f>IFERROR(IF(AND(COUNT(AZ149,BB149,BC149,BD149)=4,N(BD283)&lt;&gt;0),(AZ149+BB149+BC149+BD149)/BD283,""),"")</f>
        <v>0.215907177985072</v>
      </c>
      <c r="BE380" s="257">
        <f>IFERROR(IF(AND(COUNT(BB149,BC149,BD149,BE149)=4,N(BE283)&lt;&gt;0),(BB149+BC149+BD149+BE149)/BE283,""),"")</f>
        <v>0.207592497313803</v>
      </c>
      <c r="BF380" s="258">
        <f>IFERROR(IF(AND(COUNT(BB149,BC149,BD149,BE149)=4,N(BF283)&lt;&gt;0),(BB149+BC149+BD149+BE149)/BF283,""),"")</f>
        <v>0.207592497313803</v>
      </c>
      <c r="BG380" s="81" t="n"/>
      <c r="BH380" s="81" t="n"/>
      <c r="BI380" s="81" t="n"/>
      <c r="BJ380" s="81" t="n"/>
      <c r="BL380" s="81" t="n"/>
      <c r="BM380" s="81" t="n"/>
      <c r="BN380" s="81" t="n"/>
      <c r="BO380" s="81" t="n"/>
      <c r="BQ380" s="81" t="n"/>
      <c r="BR380" s="81" t="n"/>
      <c r="BS380" s="81" t="n"/>
      <c r="BT380" s="81" t="n"/>
      <c r="BV380" s="81" t="n"/>
      <c r="BW380" s="81" t="n"/>
      <c r="BX380" s="81" t="n"/>
      <c r="BY380" s="81" t="n"/>
      <c r="CA380" s="81" t="n"/>
      <c r="CB380" s="81" t="n"/>
      <c r="CC380" s="81" t="n"/>
      <c r="CD380" s="81" t="n"/>
      <c r="CF380" s="81" t="n"/>
      <c r="CG380" s="81" t="n"/>
      <c r="CH380" s="81" t="n"/>
      <c r="CI380" s="81" t="n"/>
      <c r="CK380" s="81" t="n"/>
      <c r="CL380" s="81" t="n"/>
      <c r="CM380" s="81" t="n"/>
      <c r="CN380" s="81" t="n"/>
      <c r="CP380" s="81" t="n"/>
      <c r="CQ380" s="81" t="n"/>
      <c r="CR380" s="81" t="n"/>
      <c r="CS380" s="81" t="n"/>
      <c r="CU380" s="81" t="n"/>
      <c r="CV380" s="81" t="n"/>
      <c r="CW380" s="81" t="n"/>
      <c r="CX380" s="81" t="n"/>
    </row>
    <row r="381"/>
    <row r="382">
      <c r="C382" s="73" t="inlineStr">
        <is>
          <t>Scenario Analysis</t>
        </is>
      </c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  <c r="S382" s="73" t="n"/>
      <c r="T382" s="73" t="n"/>
      <c r="U382" s="73" t="n"/>
      <c r="V382" s="73" t="n"/>
      <c r="W382" s="73" t="n"/>
      <c r="X382" s="73" t="n"/>
      <c r="Y382" s="73" t="n"/>
      <c r="Z382" s="73" t="n"/>
      <c r="AA382" s="73" t="n"/>
      <c r="AB382" s="73" t="n"/>
      <c r="AC382" s="73" t="n"/>
      <c r="AD382" s="73" t="n"/>
      <c r="AE382" s="73" t="n"/>
      <c r="AF382" s="73" t="n"/>
      <c r="AG382" s="73" t="n"/>
      <c r="AH382" s="73" t="n"/>
      <c r="AI382" s="73" t="n"/>
      <c r="AJ382" s="73" t="n"/>
      <c r="AK382" s="73" t="n"/>
      <c r="AL382" s="73" t="n"/>
      <c r="AM382" s="73" t="n"/>
      <c r="AN382" s="73" t="n"/>
      <c r="AO382" s="73" t="n"/>
      <c r="AP382" s="73" t="n"/>
      <c r="AQ382" s="73" t="n"/>
      <c r="AR382" s="73" t="n"/>
      <c r="AS382" s="73" t="n"/>
      <c r="AT382" s="73" t="n"/>
      <c r="AU382" s="73" t="n"/>
      <c r="AV382" s="73" t="n"/>
      <c r="AW382" s="73" t="n"/>
      <c r="AX382" s="73" t="n"/>
      <c r="AY382" s="73" t="n"/>
      <c r="AZ382" s="73" t="n"/>
      <c r="BA382" s="73" t="n"/>
      <c r="BB382" s="73" t="n"/>
      <c r="BC382" s="73" t="n"/>
      <c r="BD382" s="73" t="n"/>
      <c r="BE382" s="73" t="n"/>
      <c r="BF382" s="73" t="n"/>
      <c r="BG382" s="73" t="n"/>
      <c r="BH382" s="73" t="n"/>
      <c r="BI382" s="73" t="n"/>
      <c r="BJ382" s="73" t="n"/>
      <c r="BK382" s="73" t="n"/>
      <c r="BL382" s="73" t="n"/>
      <c r="BM382" s="73" t="n"/>
      <c r="BN382" s="73" t="n"/>
      <c r="BO382" s="73" t="n"/>
      <c r="BP382" s="73" t="n"/>
      <c r="BQ382" s="73" t="n"/>
      <c r="BR382" s="73" t="n"/>
      <c r="BS382" s="73" t="n"/>
      <c r="BT382" s="73" t="n"/>
      <c r="BU382" s="73" t="n"/>
      <c r="BV382" s="73" t="n"/>
      <c r="BW382" s="73" t="n"/>
      <c r="BX382" s="73" t="n"/>
      <c r="BY382" s="73" t="n"/>
      <c r="BZ382" s="73" t="n"/>
      <c r="CA382" s="73" t="n"/>
      <c r="CB382" s="73" t="n"/>
      <c r="CC382" s="73" t="n"/>
      <c r="CD382" s="73" t="n"/>
      <c r="CE382" s="73" t="n"/>
      <c r="CF382" s="73" t="n"/>
      <c r="CG382" s="73" t="n"/>
      <c r="CH382" s="73" t="n"/>
      <c r="CI382" s="73" t="n"/>
      <c r="CJ382" s="73" t="n"/>
      <c r="CK382" s="73" t="n"/>
      <c r="CL382" s="73" t="n"/>
      <c r="CM382" s="73" t="n"/>
      <c r="CN382" s="73" t="n"/>
      <c r="CO382" s="73" t="n"/>
      <c r="CP382" s="73" t="n"/>
      <c r="CQ382" s="73" t="n"/>
      <c r="CR382" s="73" t="n"/>
      <c r="CS382" s="73" t="n"/>
      <c r="CT382" s="73" t="n"/>
      <c r="CU382" s="73" t="n"/>
      <c r="CV382" s="73" t="n"/>
      <c r="CW382" s="73" t="n"/>
      <c r="CX382" s="73" t="n"/>
      <c r="CY382" s="73" t="n"/>
    </row>
    <row r="383"/>
    <row r="384"/>
    <row r="385">
      <c r="C385" s="4" t="inlineStr">
        <is>
          <t>Bull case</t>
        </is>
      </c>
    </row>
    <row r="386">
      <c r="C386" s="4" t="inlineStr">
        <is>
          <t>Base case</t>
        </is>
      </c>
    </row>
    <row r="387">
      <c r="C387" s="4" t="inlineStr">
        <is>
          <t>Bear case</t>
        </is>
      </c>
    </row>
    <row r="388"/>
    <row r="389"/>
    <row r="390">
      <c r="C390" s="4" t="inlineStr">
        <is>
          <t>Bull case</t>
        </is>
      </c>
    </row>
    <row r="391">
      <c r="C391" s="4" t="inlineStr">
        <is>
          <t>Base case</t>
        </is>
      </c>
    </row>
    <row r="392">
      <c r="C392" s="4" t="inlineStr">
        <is>
          <t>Bear case</t>
        </is>
      </c>
    </row>
    <row r="393"/>
    <row r="394"/>
    <row r="395">
      <c r="C395" s="4" t="inlineStr">
        <is>
          <t>% Gross Margin</t>
        </is>
      </c>
    </row>
    <row r="396">
      <c r="C396" s="4" t="inlineStr">
        <is>
          <t>Bull case</t>
        </is>
      </c>
    </row>
    <row r="397">
      <c r="C397" s="4" t="inlineStr">
        <is>
          <t>Base case</t>
        </is>
      </c>
    </row>
    <row r="398">
      <c r="C398" s="4" t="inlineStr">
        <is>
          <t>Bear case</t>
        </is>
      </c>
    </row>
    <row r="399"/>
    <row r="400"/>
    <row r="401">
      <c r="C401" s="4" t="inlineStr">
        <is>
          <t>Capital expenditures</t>
        </is>
      </c>
    </row>
    <row r="402">
      <c r="C402" s="4" t="inlineStr">
        <is>
          <t>Bull case</t>
        </is>
      </c>
    </row>
    <row r="403">
      <c r="C403" s="4" t="inlineStr">
        <is>
          <t>Base case</t>
        </is>
      </c>
    </row>
    <row r="404">
      <c r="C404" s="4" t="inlineStr">
        <is>
          <t>Bear case</t>
        </is>
      </c>
    </row>
  </sheetData>
  <conditionalFormatting sqref="B1:B4 B13:B1048576">
    <cfRule type="expression" priority="25" dxfId="23">
      <formula>B1&lt;&gt;""</formula>
    </cfRule>
  </conditionalFormatting>
  <conditionalFormatting sqref="D1:CY3">
    <cfRule type="cellIs" priority="18" operator="greaterThan" dxfId="22">
      <formula>1</formula>
    </cfRule>
  </conditionalFormatting>
  <conditionalFormatting sqref="E327:G327">
    <cfRule type="cellIs" priority="16" operator="notEqual" dxfId="0">
      <formula>0</formula>
    </cfRule>
  </conditionalFormatting>
  <conditionalFormatting sqref="E5:H5">
    <cfRule type="cellIs" priority="17" operator="greaterThan" dxfId="18">
      <formula>$B$5</formula>
    </cfRule>
  </conditionalFormatting>
  <conditionalFormatting sqref="I327:L327">
    <cfRule type="cellIs" priority="23" operator="notEqual" dxfId="0">
      <formula>0</formula>
    </cfRule>
  </conditionalFormatting>
  <conditionalFormatting sqref="J5:CY5">
    <cfRule type="cellIs" priority="24" operator="greaterThan" dxfId="18">
      <formula>$B$5</formula>
    </cfRule>
  </conditionalFormatting>
  <conditionalFormatting sqref="N327:Q327">
    <cfRule type="cellIs" priority="22" operator="notEqual" dxfId="0">
      <formula>0</formula>
    </cfRule>
  </conditionalFormatting>
  <conditionalFormatting sqref="S327:V327">
    <cfRule type="cellIs" priority="21" operator="notEqual" dxfId="0">
      <formula>0</formula>
    </cfRule>
  </conditionalFormatting>
  <conditionalFormatting sqref="X327:AA327">
    <cfRule type="cellIs" priority="20" operator="notEqual" dxfId="0">
      <formula>0</formula>
    </cfRule>
  </conditionalFormatting>
  <conditionalFormatting sqref="AC327:AF327">
    <cfRule type="cellIs" priority="19" operator="notEqual" dxfId="0">
      <formula>0</formula>
    </cfRule>
  </conditionalFormatting>
  <conditionalFormatting sqref="AH327:AK327">
    <cfRule type="cellIs" priority="15" operator="notEqual" dxfId="0">
      <formula>0</formula>
    </cfRule>
  </conditionalFormatting>
  <conditionalFormatting sqref="AM327:AP327">
    <cfRule type="cellIs" priority="14" operator="notEqual" dxfId="0">
      <formula>0</formula>
    </cfRule>
  </conditionalFormatting>
  <conditionalFormatting sqref="AR327:AU327">
    <cfRule type="cellIs" priority="13" operator="notEqual" dxfId="0">
      <formula>0</formula>
    </cfRule>
  </conditionalFormatting>
  <conditionalFormatting sqref="AW327:AZ327">
    <cfRule type="cellIs" priority="12" operator="notEqual" dxfId="0">
      <formula>0</formula>
    </cfRule>
  </conditionalFormatting>
  <conditionalFormatting sqref="BB327:BE327">
    <cfRule type="cellIs" priority="11" operator="notEqual" dxfId="0">
      <formula>0</formula>
    </cfRule>
  </conditionalFormatting>
  <conditionalFormatting sqref="BG327:BJ327">
    <cfRule type="cellIs" priority="10" operator="notEqual" dxfId="0">
      <formula>0</formula>
    </cfRule>
  </conditionalFormatting>
  <conditionalFormatting sqref="BL327:BO327">
    <cfRule type="cellIs" priority="9" operator="notEqual" dxfId="0">
      <formula>0</formula>
    </cfRule>
  </conditionalFormatting>
  <conditionalFormatting sqref="BQ327:BT327">
    <cfRule type="cellIs" priority="8" operator="notEqual" dxfId="0">
      <formula>0</formula>
    </cfRule>
  </conditionalFormatting>
  <conditionalFormatting sqref="BV327:BY327">
    <cfRule type="cellIs" priority="7" operator="notEqual" dxfId="0">
      <formula>0</formula>
    </cfRule>
  </conditionalFormatting>
  <conditionalFormatting sqref="CA327:CD327">
    <cfRule type="cellIs" priority="6" operator="notEqual" dxfId="0">
      <formula>0</formula>
    </cfRule>
  </conditionalFormatting>
  <conditionalFormatting sqref="CF327:CI327">
    <cfRule type="cellIs" priority="5" operator="notEqual" dxfId="0">
      <formula>0</formula>
    </cfRule>
  </conditionalFormatting>
  <conditionalFormatting sqref="CK327:CN327">
    <cfRule type="cellIs" priority="4" operator="notEqual" dxfId="0">
      <formula>0</formula>
    </cfRule>
  </conditionalFormatting>
  <conditionalFormatting sqref="CP327:CS327">
    <cfRule type="cellIs" priority="3" operator="notEqual" dxfId="0">
      <formula>0</formula>
    </cfRule>
  </conditionalFormatting>
  <conditionalFormatting sqref="CU327:CX327">
    <cfRule type="cellIs" priority="2" operator="notEqual" dxfId="0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selection activeCell="A1" sqref="A1"/>
    </sheetView>
  </sheetViews>
  <sheetFormatPr baseColWidth="8" defaultColWidth="10.42578125" defaultRowHeight="12.75"/>
  <cols>
    <col width="2.28515625" customWidth="1" style="251" min="1" max="1"/>
    <col width="4.85546875" customWidth="1" style="251" min="2" max="2"/>
    <col width="62" customWidth="1" style="251" min="3" max="3"/>
    <col width="14.5703125" customWidth="1" style="251" min="4" max="4"/>
    <col width="12.85546875" customWidth="1" style="251" min="5" max="6"/>
    <col width="13.42578125" customWidth="1" style="251" min="7" max="7"/>
    <col width="16" customWidth="1" style="251" min="8" max="8"/>
    <col width="15.5703125" customWidth="1" style="251" min="9" max="9"/>
    <col width="12.85546875" customWidth="1" style="251" min="10" max="12"/>
    <col width="13.28515625" customWidth="1" style="251" min="13" max="13"/>
    <col width="13.140625" customWidth="1" style="251" min="14" max="14"/>
    <col width="13.28515625" customWidth="1" style="251" min="15" max="15"/>
    <col width="12.28515625" customWidth="1" style="251" min="16" max="20"/>
    <col width="13.28515625" customWidth="1" style="251" min="21" max="22"/>
    <col width="10.5703125" customWidth="1" style="251" min="23" max="23"/>
    <col width="13" customWidth="1" style="251" min="24" max="25"/>
    <col width="11.28515625" customWidth="1" style="251" min="26" max="26"/>
    <col width="10.42578125" customWidth="1" style="251" min="27" max="27"/>
    <col width="21.5703125" customWidth="1" style="251" min="28" max="28"/>
    <col width="10.42578125" customWidth="1" style="251" min="29" max="31"/>
    <col width="9.140625" customWidth="1" style="251" min="32" max="32"/>
    <col width="10.42578125" customWidth="1" style="251" min="33" max="261"/>
    <col width="2.28515625" customWidth="1" style="251" min="262" max="263"/>
    <col width="35.42578125" customWidth="1" style="251" min="264" max="264"/>
    <col width="14.7109375" customWidth="1" style="251" min="265" max="265"/>
    <col width="12.85546875" customWidth="1" style="251" min="266" max="268"/>
    <col width="15.5703125" customWidth="1" style="251" min="269" max="269"/>
    <col width="12.85546875" customWidth="1" style="251" min="270" max="273"/>
    <col width="10.42578125" customWidth="1" style="251" min="274" max="275"/>
    <col width="12.28515625" customWidth="1" style="251" min="276" max="276"/>
    <col width="10.42578125" customWidth="1" style="251" min="277" max="517"/>
    <col width="2.28515625" customWidth="1" style="251" min="518" max="519"/>
    <col width="35.42578125" customWidth="1" style="251" min="520" max="520"/>
    <col width="14.7109375" customWidth="1" style="251" min="521" max="521"/>
    <col width="12.85546875" customWidth="1" style="251" min="522" max="524"/>
    <col width="15.5703125" customWidth="1" style="251" min="525" max="525"/>
    <col width="12.85546875" customWidth="1" style="251" min="526" max="529"/>
    <col width="10.42578125" customWidth="1" style="251" min="530" max="531"/>
    <col width="12.28515625" customWidth="1" style="251" min="532" max="532"/>
    <col width="10.42578125" customWidth="1" style="251" min="533" max="773"/>
    <col width="2.28515625" customWidth="1" style="251" min="774" max="775"/>
    <col width="35.42578125" customWidth="1" style="251" min="776" max="776"/>
    <col width="14.7109375" customWidth="1" style="251" min="777" max="777"/>
    <col width="12.85546875" customWidth="1" style="251" min="778" max="780"/>
    <col width="15.5703125" customWidth="1" style="251" min="781" max="781"/>
    <col width="12.85546875" customWidth="1" style="251" min="782" max="785"/>
    <col width="10.42578125" customWidth="1" style="251" min="786" max="787"/>
    <col width="12.28515625" customWidth="1" style="251" min="788" max="788"/>
    <col width="10.42578125" customWidth="1" style="251" min="789" max="1029"/>
    <col width="2.28515625" customWidth="1" style="251" min="1030" max="1031"/>
    <col width="35.42578125" customWidth="1" style="251" min="1032" max="1032"/>
    <col width="14.7109375" customWidth="1" style="251" min="1033" max="1033"/>
    <col width="12.85546875" customWidth="1" style="251" min="1034" max="1036"/>
    <col width="15.5703125" customWidth="1" style="251" min="1037" max="1037"/>
    <col width="12.85546875" customWidth="1" style="251" min="1038" max="1041"/>
    <col width="10.42578125" customWidth="1" style="251" min="1042" max="1043"/>
    <col width="12.28515625" customWidth="1" style="251" min="1044" max="1044"/>
    <col width="10.42578125" customWidth="1" style="251" min="1045" max="1285"/>
    <col width="2.28515625" customWidth="1" style="251" min="1286" max="1287"/>
    <col width="35.42578125" customWidth="1" style="251" min="1288" max="1288"/>
    <col width="14.7109375" customWidth="1" style="251" min="1289" max="1289"/>
    <col width="12.85546875" customWidth="1" style="251" min="1290" max="1292"/>
    <col width="15.5703125" customWidth="1" style="251" min="1293" max="1293"/>
    <col width="12.85546875" customWidth="1" style="251" min="1294" max="1297"/>
    <col width="10.42578125" customWidth="1" style="251" min="1298" max="1299"/>
    <col width="12.28515625" customWidth="1" style="251" min="1300" max="1300"/>
    <col width="10.42578125" customWidth="1" style="251" min="1301" max="1541"/>
    <col width="2.28515625" customWidth="1" style="251" min="1542" max="1543"/>
    <col width="35.42578125" customWidth="1" style="251" min="1544" max="1544"/>
    <col width="14.7109375" customWidth="1" style="251" min="1545" max="1545"/>
    <col width="12.85546875" customWidth="1" style="251" min="1546" max="1548"/>
    <col width="15.5703125" customWidth="1" style="251" min="1549" max="1549"/>
    <col width="12.85546875" customWidth="1" style="251" min="1550" max="1553"/>
    <col width="10.42578125" customWidth="1" style="251" min="1554" max="1555"/>
    <col width="12.28515625" customWidth="1" style="251" min="1556" max="1556"/>
    <col width="10.42578125" customWidth="1" style="251" min="1557" max="1797"/>
    <col width="2.28515625" customWidth="1" style="251" min="1798" max="1799"/>
    <col width="35.42578125" customWidth="1" style="251" min="1800" max="1800"/>
    <col width="14.7109375" customWidth="1" style="251" min="1801" max="1801"/>
    <col width="12.85546875" customWidth="1" style="251" min="1802" max="1804"/>
    <col width="15.5703125" customWidth="1" style="251" min="1805" max="1805"/>
    <col width="12.85546875" customWidth="1" style="251" min="1806" max="1809"/>
    <col width="10.42578125" customWidth="1" style="251" min="1810" max="1811"/>
    <col width="12.28515625" customWidth="1" style="251" min="1812" max="1812"/>
    <col width="10.42578125" customWidth="1" style="251" min="1813" max="2053"/>
    <col width="2.28515625" customWidth="1" style="251" min="2054" max="2055"/>
    <col width="35.42578125" customWidth="1" style="251" min="2056" max="2056"/>
    <col width="14.7109375" customWidth="1" style="251" min="2057" max="2057"/>
    <col width="12.85546875" customWidth="1" style="251" min="2058" max="2060"/>
    <col width="15.5703125" customWidth="1" style="251" min="2061" max="2061"/>
    <col width="12.85546875" customWidth="1" style="251" min="2062" max="2065"/>
    <col width="10.42578125" customWidth="1" style="251" min="2066" max="2067"/>
    <col width="12.28515625" customWidth="1" style="251" min="2068" max="2068"/>
    <col width="10.42578125" customWidth="1" style="251" min="2069" max="2309"/>
    <col width="2.28515625" customWidth="1" style="251" min="2310" max="2311"/>
    <col width="35.42578125" customWidth="1" style="251" min="2312" max="2312"/>
    <col width="14.7109375" customWidth="1" style="251" min="2313" max="2313"/>
    <col width="12.85546875" customWidth="1" style="251" min="2314" max="2316"/>
    <col width="15.5703125" customWidth="1" style="251" min="2317" max="2317"/>
    <col width="12.85546875" customWidth="1" style="251" min="2318" max="2321"/>
    <col width="10.42578125" customWidth="1" style="251" min="2322" max="2323"/>
    <col width="12.28515625" customWidth="1" style="251" min="2324" max="2324"/>
    <col width="10.42578125" customWidth="1" style="251" min="2325" max="2565"/>
    <col width="2.28515625" customWidth="1" style="251" min="2566" max="2567"/>
    <col width="35.42578125" customWidth="1" style="251" min="2568" max="2568"/>
    <col width="14.7109375" customWidth="1" style="251" min="2569" max="2569"/>
    <col width="12.85546875" customWidth="1" style="251" min="2570" max="2572"/>
    <col width="15.5703125" customWidth="1" style="251" min="2573" max="2573"/>
    <col width="12.85546875" customWidth="1" style="251" min="2574" max="2577"/>
    <col width="10.42578125" customWidth="1" style="251" min="2578" max="2579"/>
    <col width="12.28515625" customWidth="1" style="251" min="2580" max="2580"/>
    <col width="10.42578125" customWidth="1" style="251" min="2581" max="2821"/>
    <col width="2.28515625" customWidth="1" style="251" min="2822" max="2823"/>
    <col width="35.42578125" customWidth="1" style="251" min="2824" max="2824"/>
    <col width="14.7109375" customWidth="1" style="251" min="2825" max="2825"/>
    <col width="12.85546875" customWidth="1" style="251" min="2826" max="2828"/>
    <col width="15.5703125" customWidth="1" style="251" min="2829" max="2829"/>
    <col width="12.85546875" customWidth="1" style="251" min="2830" max="2833"/>
    <col width="10.42578125" customWidth="1" style="251" min="2834" max="2835"/>
    <col width="12.28515625" customWidth="1" style="251" min="2836" max="2836"/>
    <col width="10.42578125" customWidth="1" style="251" min="2837" max="3077"/>
    <col width="2.28515625" customWidth="1" style="251" min="3078" max="3079"/>
    <col width="35.42578125" customWidth="1" style="251" min="3080" max="3080"/>
    <col width="14.7109375" customWidth="1" style="251" min="3081" max="3081"/>
    <col width="12.85546875" customWidth="1" style="251" min="3082" max="3084"/>
    <col width="15.5703125" customWidth="1" style="251" min="3085" max="3085"/>
    <col width="12.85546875" customWidth="1" style="251" min="3086" max="3089"/>
    <col width="10.42578125" customWidth="1" style="251" min="3090" max="3091"/>
    <col width="12.28515625" customWidth="1" style="251" min="3092" max="3092"/>
    <col width="10.42578125" customWidth="1" style="251" min="3093" max="3333"/>
    <col width="2.28515625" customWidth="1" style="251" min="3334" max="3335"/>
    <col width="35.42578125" customWidth="1" style="251" min="3336" max="3336"/>
    <col width="14.7109375" customWidth="1" style="251" min="3337" max="3337"/>
    <col width="12.85546875" customWidth="1" style="251" min="3338" max="3340"/>
    <col width="15.5703125" customWidth="1" style="251" min="3341" max="3341"/>
    <col width="12.85546875" customWidth="1" style="251" min="3342" max="3345"/>
    <col width="10.42578125" customWidth="1" style="251" min="3346" max="3347"/>
    <col width="12.28515625" customWidth="1" style="251" min="3348" max="3348"/>
    <col width="10.42578125" customWidth="1" style="251" min="3349" max="3589"/>
    <col width="2.28515625" customWidth="1" style="251" min="3590" max="3591"/>
    <col width="35.42578125" customWidth="1" style="251" min="3592" max="3592"/>
    <col width="14.7109375" customWidth="1" style="251" min="3593" max="3593"/>
    <col width="12.85546875" customWidth="1" style="251" min="3594" max="3596"/>
    <col width="15.5703125" customWidth="1" style="251" min="3597" max="3597"/>
    <col width="12.85546875" customWidth="1" style="251" min="3598" max="3601"/>
    <col width="10.42578125" customWidth="1" style="251" min="3602" max="3603"/>
    <col width="12.28515625" customWidth="1" style="251" min="3604" max="3604"/>
    <col width="10.42578125" customWidth="1" style="251" min="3605" max="3845"/>
    <col width="2.28515625" customWidth="1" style="251" min="3846" max="3847"/>
    <col width="35.42578125" customWidth="1" style="251" min="3848" max="3848"/>
    <col width="14.7109375" customWidth="1" style="251" min="3849" max="3849"/>
    <col width="12.85546875" customWidth="1" style="251" min="3850" max="3852"/>
    <col width="15.5703125" customWidth="1" style="251" min="3853" max="3853"/>
    <col width="12.85546875" customWidth="1" style="251" min="3854" max="3857"/>
    <col width="10.42578125" customWidth="1" style="251" min="3858" max="3859"/>
    <col width="12.28515625" customWidth="1" style="251" min="3860" max="3860"/>
    <col width="10.42578125" customWidth="1" style="251" min="3861" max="4101"/>
    <col width="2.28515625" customWidth="1" style="251" min="4102" max="4103"/>
    <col width="35.42578125" customWidth="1" style="251" min="4104" max="4104"/>
    <col width="14.7109375" customWidth="1" style="251" min="4105" max="4105"/>
    <col width="12.85546875" customWidth="1" style="251" min="4106" max="4108"/>
    <col width="15.5703125" customWidth="1" style="251" min="4109" max="4109"/>
    <col width="12.85546875" customWidth="1" style="251" min="4110" max="4113"/>
    <col width="10.42578125" customWidth="1" style="251" min="4114" max="4115"/>
    <col width="12.28515625" customWidth="1" style="251" min="4116" max="4116"/>
    <col width="10.42578125" customWidth="1" style="251" min="4117" max="4357"/>
    <col width="2.28515625" customWidth="1" style="251" min="4358" max="4359"/>
    <col width="35.42578125" customWidth="1" style="251" min="4360" max="4360"/>
    <col width="14.7109375" customWidth="1" style="251" min="4361" max="4361"/>
    <col width="12.85546875" customWidth="1" style="251" min="4362" max="4364"/>
    <col width="15.5703125" customWidth="1" style="251" min="4365" max="4365"/>
    <col width="12.85546875" customWidth="1" style="251" min="4366" max="4369"/>
    <col width="10.42578125" customWidth="1" style="251" min="4370" max="4371"/>
    <col width="12.28515625" customWidth="1" style="251" min="4372" max="4372"/>
    <col width="10.42578125" customWidth="1" style="251" min="4373" max="4613"/>
    <col width="2.28515625" customWidth="1" style="251" min="4614" max="4615"/>
    <col width="35.42578125" customWidth="1" style="251" min="4616" max="4616"/>
    <col width="14.7109375" customWidth="1" style="251" min="4617" max="4617"/>
    <col width="12.85546875" customWidth="1" style="251" min="4618" max="4620"/>
    <col width="15.5703125" customWidth="1" style="251" min="4621" max="4621"/>
    <col width="12.85546875" customWidth="1" style="251" min="4622" max="4625"/>
    <col width="10.42578125" customWidth="1" style="251" min="4626" max="4627"/>
    <col width="12.28515625" customWidth="1" style="251" min="4628" max="4628"/>
    <col width="10.42578125" customWidth="1" style="251" min="4629" max="4869"/>
    <col width="2.28515625" customWidth="1" style="251" min="4870" max="4871"/>
    <col width="35.42578125" customWidth="1" style="251" min="4872" max="4872"/>
    <col width="14.7109375" customWidth="1" style="251" min="4873" max="4873"/>
    <col width="12.85546875" customWidth="1" style="251" min="4874" max="4876"/>
    <col width="15.5703125" customWidth="1" style="251" min="4877" max="4877"/>
    <col width="12.85546875" customWidth="1" style="251" min="4878" max="4881"/>
    <col width="10.42578125" customWidth="1" style="251" min="4882" max="4883"/>
    <col width="12.28515625" customWidth="1" style="251" min="4884" max="4884"/>
    <col width="10.42578125" customWidth="1" style="251" min="4885" max="5125"/>
    <col width="2.28515625" customWidth="1" style="251" min="5126" max="5127"/>
    <col width="35.42578125" customWidth="1" style="251" min="5128" max="5128"/>
    <col width="14.7109375" customWidth="1" style="251" min="5129" max="5129"/>
    <col width="12.85546875" customWidth="1" style="251" min="5130" max="5132"/>
    <col width="15.5703125" customWidth="1" style="251" min="5133" max="5133"/>
    <col width="12.85546875" customWidth="1" style="251" min="5134" max="5137"/>
    <col width="10.42578125" customWidth="1" style="251" min="5138" max="5139"/>
    <col width="12.28515625" customWidth="1" style="251" min="5140" max="5140"/>
    <col width="10.42578125" customWidth="1" style="251" min="5141" max="5381"/>
    <col width="2.28515625" customWidth="1" style="251" min="5382" max="5383"/>
    <col width="35.42578125" customWidth="1" style="251" min="5384" max="5384"/>
    <col width="14.7109375" customWidth="1" style="251" min="5385" max="5385"/>
    <col width="12.85546875" customWidth="1" style="251" min="5386" max="5388"/>
    <col width="15.5703125" customWidth="1" style="251" min="5389" max="5389"/>
    <col width="12.85546875" customWidth="1" style="251" min="5390" max="5393"/>
    <col width="10.42578125" customWidth="1" style="251" min="5394" max="5395"/>
    <col width="12.28515625" customWidth="1" style="251" min="5396" max="5396"/>
    <col width="10.42578125" customWidth="1" style="251" min="5397" max="5637"/>
    <col width="2.28515625" customWidth="1" style="251" min="5638" max="5639"/>
    <col width="35.42578125" customWidth="1" style="251" min="5640" max="5640"/>
    <col width="14.7109375" customWidth="1" style="251" min="5641" max="5641"/>
    <col width="12.85546875" customWidth="1" style="251" min="5642" max="5644"/>
    <col width="15.5703125" customWidth="1" style="251" min="5645" max="5645"/>
    <col width="12.85546875" customWidth="1" style="251" min="5646" max="5649"/>
    <col width="10.42578125" customWidth="1" style="251" min="5650" max="5651"/>
    <col width="12.28515625" customWidth="1" style="251" min="5652" max="5652"/>
    <col width="10.42578125" customWidth="1" style="251" min="5653" max="5893"/>
    <col width="2.28515625" customWidth="1" style="251" min="5894" max="5895"/>
    <col width="35.42578125" customWidth="1" style="251" min="5896" max="5896"/>
    <col width="14.7109375" customWidth="1" style="251" min="5897" max="5897"/>
    <col width="12.85546875" customWidth="1" style="251" min="5898" max="5900"/>
    <col width="15.5703125" customWidth="1" style="251" min="5901" max="5901"/>
    <col width="12.85546875" customWidth="1" style="251" min="5902" max="5905"/>
    <col width="10.42578125" customWidth="1" style="251" min="5906" max="5907"/>
    <col width="12.28515625" customWidth="1" style="251" min="5908" max="5908"/>
    <col width="10.42578125" customWidth="1" style="251" min="5909" max="6149"/>
    <col width="2.28515625" customWidth="1" style="251" min="6150" max="6151"/>
    <col width="35.42578125" customWidth="1" style="251" min="6152" max="6152"/>
    <col width="14.7109375" customWidth="1" style="251" min="6153" max="6153"/>
    <col width="12.85546875" customWidth="1" style="251" min="6154" max="6156"/>
    <col width="15.5703125" customWidth="1" style="251" min="6157" max="6157"/>
    <col width="12.85546875" customWidth="1" style="251" min="6158" max="6161"/>
    <col width="10.42578125" customWidth="1" style="251" min="6162" max="6163"/>
    <col width="12.28515625" customWidth="1" style="251" min="6164" max="6164"/>
    <col width="10.42578125" customWidth="1" style="251" min="6165" max="6405"/>
    <col width="2.28515625" customWidth="1" style="251" min="6406" max="6407"/>
    <col width="35.42578125" customWidth="1" style="251" min="6408" max="6408"/>
    <col width="14.7109375" customWidth="1" style="251" min="6409" max="6409"/>
    <col width="12.85546875" customWidth="1" style="251" min="6410" max="6412"/>
    <col width="15.5703125" customWidth="1" style="251" min="6413" max="6413"/>
    <col width="12.85546875" customWidth="1" style="251" min="6414" max="6417"/>
    <col width="10.42578125" customWidth="1" style="251" min="6418" max="6419"/>
    <col width="12.28515625" customWidth="1" style="251" min="6420" max="6420"/>
    <col width="10.42578125" customWidth="1" style="251" min="6421" max="6661"/>
    <col width="2.28515625" customWidth="1" style="251" min="6662" max="6663"/>
    <col width="35.42578125" customWidth="1" style="251" min="6664" max="6664"/>
    <col width="14.7109375" customWidth="1" style="251" min="6665" max="6665"/>
    <col width="12.85546875" customWidth="1" style="251" min="6666" max="6668"/>
    <col width="15.5703125" customWidth="1" style="251" min="6669" max="6669"/>
    <col width="12.85546875" customWidth="1" style="251" min="6670" max="6673"/>
    <col width="10.42578125" customWidth="1" style="251" min="6674" max="6675"/>
    <col width="12.28515625" customWidth="1" style="251" min="6676" max="6676"/>
    <col width="10.42578125" customWidth="1" style="251" min="6677" max="6917"/>
    <col width="2.28515625" customWidth="1" style="251" min="6918" max="6919"/>
    <col width="35.42578125" customWidth="1" style="251" min="6920" max="6920"/>
    <col width="14.7109375" customWidth="1" style="251" min="6921" max="6921"/>
    <col width="12.85546875" customWidth="1" style="251" min="6922" max="6924"/>
    <col width="15.5703125" customWidth="1" style="251" min="6925" max="6925"/>
    <col width="12.85546875" customWidth="1" style="251" min="6926" max="6929"/>
    <col width="10.42578125" customWidth="1" style="251" min="6930" max="6931"/>
    <col width="12.28515625" customWidth="1" style="251" min="6932" max="6932"/>
    <col width="10.42578125" customWidth="1" style="251" min="6933" max="7173"/>
    <col width="2.28515625" customWidth="1" style="251" min="7174" max="7175"/>
    <col width="35.42578125" customWidth="1" style="251" min="7176" max="7176"/>
    <col width="14.7109375" customWidth="1" style="251" min="7177" max="7177"/>
    <col width="12.85546875" customWidth="1" style="251" min="7178" max="7180"/>
    <col width="15.5703125" customWidth="1" style="251" min="7181" max="7181"/>
    <col width="12.85546875" customWidth="1" style="251" min="7182" max="7185"/>
    <col width="10.42578125" customWidth="1" style="251" min="7186" max="7187"/>
    <col width="12.28515625" customWidth="1" style="251" min="7188" max="7188"/>
    <col width="10.42578125" customWidth="1" style="251" min="7189" max="7429"/>
    <col width="2.28515625" customWidth="1" style="251" min="7430" max="7431"/>
    <col width="35.42578125" customWidth="1" style="251" min="7432" max="7432"/>
    <col width="14.7109375" customWidth="1" style="251" min="7433" max="7433"/>
    <col width="12.85546875" customWidth="1" style="251" min="7434" max="7436"/>
    <col width="15.5703125" customWidth="1" style="251" min="7437" max="7437"/>
    <col width="12.85546875" customWidth="1" style="251" min="7438" max="7441"/>
    <col width="10.42578125" customWidth="1" style="251" min="7442" max="7443"/>
    <col width="12.28515625" customWidth="1" style="251" min="7444" max="7444"/>
    <col width="10.42578125" customWidth="1" style="251" min="7445" max="7685"/>
    <col width="2.28515625" customWidth="1" style="251" min="7686" max="7687"/>
    <col width="35.42578125" customWidth="1" style="251" min="7688" max="7688"/>
    <col width="14.7109375" customWidth="1" style="251" min="7689" max="7689"/>
    <col width="12.85546875" customWidth="1" style="251" min="7690" max="7692"/>
    <col width="15.5703125" customWidth="1" style="251" min="7693" max="7693"/>
    <col width="12.85546875" customWidth="1" style="251" min="7694" max="7697"/>
    <col width="10.42578125" customWidth="1" style="251" min="7698" max="7699"/>
    <col width="12.28515625" customWidth="1" style="251" min="7700" max="7700"/>
    <col width="10.42578125" customWidth="1" style="251" min="7701" max="7941"/>
    <col width="2.28515625" customWidth="1" style="251" min="7942" max="7943"/>
    <col width="35.42578125" customWidth="1" style="251" min="7944" max="7944"/>
    <col width="14.7109375" customWidth="1" style="251" min="7945" max="7945"/>
    <col width="12.85546875" customWidth="1" style="251" min="7946" max="7948"/>
    <col width="15.5703125" customWidth="1" style="251" min="7949" max="7949"/>
    <col width="12.85546875" customWidth="1" style="251" min="7950" max="7953"/>
    <col width="10.42578125" customWidth="1" style="251" min="7954" max="7955"/>
    <col width="12.28515625" customWidth="1" style="251" min="7956" max="7956"/>
    <col width="10.42578125" customWidth="1" style="251" min="7957" max="8197"/>
    <col width="2.28515625" customWidth="1" style="251" min="8198" max="8199"/>
    <col width="35.42578125" customWidth="1" style="251" min="8200" max="8200"/>
    <col width="14.7109375" customWidth="1" style="251" min="8201" max="8201"/>
    <col width="12.85546875" customWidth="1" style="251" min="8202" max="8204"/>
    <col width="15.5703125" customWidth="1" style="251" min="8205" max="8205"/>
    <col width="12.85546875" customWidth="1" style="251" min="8206" max="8209"/>
    <col width="10.42578125" customWidth="1" style="251" min="8210" max="8211"/>
    <col width="12.28515625" customWidth="1" style="251" min="8212" max="8212"/>
    <col width="10.42578125" customWidth="1" style="251" min="8213" max="8453"/>
    <col width="2.28515625" customWidth="1" style="251" min="8454" max="8455"/>
    <col width="35.42578125" customWidth="1" style="251" min="8456" max="8456"/>
    <col width="14.7109375" customWidth="1" style="251" min="8457" max="8457"/>
    <col width="12.85546875" customWidth="1" style="251" min="8458" max="8460"/>
    <col width="15.5703125" customWidth="1" style="251" min="8461" max="8461"/>
    <col width="12.85546875" customWidth="1" style="251" min="8462" max="8465"/>
    <col width="10.42578125" customWidth="1" style="251" min="8466" max="8467"/>
    <col width="12.28515625" customWidth="1" style="251" min="8468" max="8468"/>
    <col width="10.42578125" customWidth="1" style="251" min="8469" max="8709"/>
    <col width="2.28515625" customWidth="1" style="251" min="8710" max="8711"/>
    <col width="35.42578125" customWidth="1" style="251" min="8712" max="8712"/>
    <col width="14.7109375" customWidth="1" style="251" min="8713" max="8713"/>
    <col width="12.85546875" customWidth="1" style="251" min="8714" max="8716"/>
    <col width="15.5703125" customWidth="1" style="251" min="8717" max="8717"/>
    <col width="12.85546875" customWidth="1" style="251" min="8718" max="8721"/>
    <col width="10.42578125" customWidth="1" style="251" min="8722" max="8723"/>
    <col width="12.28515625" customWidth="1" style="251" min="8724" max="8724"/>
    <col width="10.42578125" customWidth="1" style="251" min="8725" max="8965"/>
    <col width="2.28515625" customWidth="1" style="251" min="8966" max="8967"/>
    <col width="35.42578125" customWidth="1" style="251" min="8968" max="8968"/>
    <col width="14.7109375" customWidth="1" style="251" min="8969" max="8969"/>
    <col width="12.85546875" customWidth="1" style="251" min="8970" max="8972"/>
    <col width="15.5703125" customWidth="1" style="251" min="8973" max="8973"/>
    <col width="12.85546875" customWidth="1" style="251" min="8974" max="8977"/>
    <col width="10.42578125" customWidth="1" style="251" min="8978" max="8979"/>
    <col width="12.28515625" customWidth="1" style="251" min="8980" max="8980"/>
    <col width="10.42578125" customWidth="1" style="251" min="8981" max="9221"/>
    <col width="2.28515625" customWidth="1" style="251" min="9222" max="9223"/>
    <col width="35.42578125" customWidth="1" style="251" min="9224" max="9224"/>
    <col width="14.7109375" customWidth="1" style="251" min="9225" max="9225"/>
    <col width="12.85546875" customWidth="1" style="251" min="9226" max="9228"/>
    <col width="15.5703125" customWidth="1" style="251" min="9229" max="9229"/>
    <col width="12.85546875" customWidth="1" style="251" min="9230" max="9233"/>
    <col width="10.42578125" customWidth="1" style="251" min="9234" max="9235"/>
    <col width="12.28515625" customWidth="1" style="251" min="9236" max="9236"/>
    <col width="10.42578125" customWidth="1" style="251" min="9237" max="9477"/>
    <col width="2.28515625" customWidth="1" style="251" min="9478" max="9479"/>
    <col width="35.42578125" customWidth="1" style="251" min="9480" max="9480"/>
    <col width="14.7109375" customWidth="1" style="251" min="9481" max="9481"/>
    <col width="12.85546875" customWidth="1" style="251" min="9482" max="9484"/>
    <col width="15.5703125" customWidth="1" style="251" min="9485" max="9485"/>
    <col width="12.85546875" customWidth="1" style="251" min="9486" max="9489"/>
    <col width="10.42578125" customWidth="1" style="251" min="9490" max="9491"/>
    <col width="12.28515625" customWidth="1" style="251" min="9492" max="9492"/>
    <col width="10.42578125" customWidth="1" style="251" min="9493" max="9733"/>
    <col width="2.28515625" customWidth="1" style="251" min="9734" max="9735"/>
    <col width="35.42578125" customWidth="1" style="251" min="9736" max="9736"/>
    <col width="14.7109375" customWidth="1" style="251" min="9737" max="9737"/>
    <col width="12.85546875" customWidth="1" style="251" min="9738" max="9740"/>
    <col width="15.5703125" customWidth="1" style="251" min="9741" max="9741"/>
    <col width="12.85546875" customWidth="1" style="251" min="9742" max="9745"/>
    <col width="10.42578125" customWidth="1" style="251" min="9746" max="9747"/>
    <col width="12.28515625" customWidth="1" style="251" min="9748" max="9748"/>
    <col width="10.42578125" customWidth="1" style="251" min="9749" max="9989"/>
    <col width="2.28515625" customWidth="1" style="251" min="9990" max="9991"/>
    <col width="35.42578125" customWidth="1" style="251" min="9992" max="9992"/>
    <col width="14.7109375" customWidth="1" style="251" min="9993" max="9993"/>
    <col width="12.85546875" customWidth="1" style="251" min="9994" max="9996"/>
    <col width="15.5703125" customWidth="1" style="251" min="9997" max="9997"/>
    <col width="12.85546875" customWidth="1" style="251" min="9998" max="10001"/>
    <col width="10.42578125" customWidth="1" style="251" min="10002" max="10003"/>
    <col width="12.28515625" customWidth="1" style="251" min="10004" max="10004"/>
    <col width="10.42578125" customWidth="1" style="251" min="10005" max="10245"/>
    <col width="2.28515625" customWidth="1" style="251" min="10246" max="10247"/>
    <col width="35.42578125" customWidth="1" style="251" min="10248" max="10248"/>
    <col width="14.7109375" customWidth="1" style="251" min="10249" max="10249"/>
    <col width="12.85546875" customWidth="1" style="251" min="10250" max="10252"/>
    <col width="15.5703125" customWidth="1" style="251" min="10253" max="10253"/>
    <col width="12.85546875" customWidth="1" style="251" min="10254" max="10257"/>
    <col width="10.42578125" customWidth="1" style="251" min="10258" max="10259"/>
    <col width="12.28515625" customWidth="1" style="251" min="10260" max="10260"/>
    <col width="10.42578125" customWidth="1" style="251" min="10261" max="10501"/>
    <col width="2.28515625" customWidth="1" style="251" min="10502" max="10503"/>
    <col width="35.42578125" customWidth="1" style="251" min="10504" max="10504"/>
    <col width="14.7109375" customWidth="1" style="251" min="10505" max="10505"/>
    <col width="12.85546875" customWidth="1" style="251" min="10506" max="10508"/>
    <col width="15.5703125" customWidth="1" style="251" min="10509" max="10509"/>
    <col width="12.85546875" customWidth="1" style="251" min="10510" max="10513"/>
    <col width="10.42578125" customWidth="1" style="251" min="10514" max="10515"/>
    <col width="12.28515625" customWidth="1" style="251" min="10516" max="10516"/>
    <col width="10.42578125" customWidth="1" style="251" min="10517" max="10757"/>
    <col width="2.28515625" customWidth="1" style="251" min="10758" max="10759"/>
    <col width="35.42578125" customWidth="1" style="251" min="10760" max="10760"/>
    <col width="14.7109375" customWidth="1" style="251" min="10761" max="10761"/>
    <col width="12.85546875" customWidth="1" style="251" min="10762" max="10764"/>
    <col width="15.5703125" customWidth="1" style="251" min="10765" max="10765"/>
    <col width="12.85546875" customWidth="1" style="251" min="10766" max="10769"/>
    <col width="10.42578125" customWidth="1" style="251" min="10770" max="10771"/>
    <col width="12.28515625" customWidth="1" style="251" min="10772" max="10772"/>
    <col width="10.42578125" customWidth="1" style="251" min="10773" max="11013"/>
    <col width="2.28515625" customWidth="1" style="251" min="11014" max="11015"/>
    <col width="35.42578125" customWidth="1" style="251" min="11016" max="11016"/>
    <col width="14.7109375" customWidth="1" style="251" min="11017" max="11017"/>
    <col width="12.85546875" customWidth="1" style="251" min="11018" max="11020"/>
    <col width="15.5703125" customWidth="1" style="251" min="11021" max="11021"/>
    <col width="12.85546875" customWidth="1" style="251" min="11022" max="11025"/>
    <col width="10.42578125" customWidth="1" style="251" min="11026" max="11027"/>
    <col width="12.28515625" customWidth="1" style="251" min="11028" max="11028"/>
    <col width="10.42578125" customWidth="1" style="251" min="11029" max="11269"/>
    <col width="2.28515625" customWidth="1" style="251" min="11270" max="11271"/>
    <col width="35.42578125" customWidth="1" style="251" min="11272" max="11272"/>
    <col width="14.7109375" customWidth="1" style="251" min="11273" max="11273"/>
    <col width="12.85546875" customWidth="1" style="251" min="11274" max="11276"/>
    <col width="15.5703125" customWidth="1" style="251" min="11277" max="11277"/>
    <col width="12.85546875" customWidth="1" style="251" min="11278" max="11281"/>
    <col width="10.42578125" customWidth="1" style="251" min="11282" max="11283"/>
    <col width="12.28515625" customWidth="1" style="251" min="11284" max="11284"/>
    <col width="10.42578125" customWidth="1" style="251" min="11285" max="11525"/>
    <col width="2.28515625" customWidth="1" style="251" min="11526" max="11527"/>
    <col width="35.42578125" customWidth="1" style="251" min="11528" max="11528"/>
    <col width="14.7109375" customWidth="1" style="251" min="11529" max="11529"/>
    <col width="12.85546875" customWidth="1" style="251" min="11530" max="11532"/>
    <col width="15.5703125" customWidth="1" style="251" min="11533" max="11533"/>
    <col width="12.85546875" customWidth="1" style="251" min="11534" max="11537"/>
    <col width="10.42578125" customWidth="1" style="251" min="11538" max="11539"/>
    <col width="12.28515625" customWidth="1" style="251" min="11540" max="11540"/>
    <col width="10.42578125" customWidth="1" style="251" min="11541" max="11781"/>
    <col width="2.28515625" customWidth="1" style="251" min="11782" max="11783"/>
    <col width="35.42578125" customWidth="1" style="251" min="11784" max="11784"/>
    <col width="14.7109375" customWidth="1" style="251" min="11785" max="11785"/>
    <col width="12.85546875" customWidth="1" style="251" min="11786" max="11788"/>
    <col width="15.5703125" customWidth="1" style="251" min="11789" max="11789"/>
    <col width="12.85546875" customWidth="1" style="251" min="11790" max="11793"/>
    <col width="10.42578125" customWidth="1" style="251" min="11794" max="11795"/>
    <col width="12.28515625" customWidth="1" style="251" min="11796" max="11796"/>
    <col width="10.42578125" customWidth="1" style="251" min="11797" max="12037"/>
    <col width="2.28515625" customWidth="1" style="251" min="12038" max="12039"/>
    <col width="35.42578125" customWidth="1" style="251" min="12040" max="12040"/>
    <col width="14.7109375" customWidth="1" style="251" min="12041" max="12041"/>
    <col width="12.85546875" customWidth="1" style="251" min="12042" max="12044"/>
    <col width="15.5703125" customWidth="1" style="251" min="12045" max="12045"/>
    <col width="12.85546875" customWidth="1" style="251" min="12046" max="12049"/>
    <col width="10.42578125" customWidth="1" style="251" min="12050" max="12051"/>
    <col width="12.28515625" customWidth="1" style="251" min="12052" max="12052"/>
    <col width="10.42578125" customWidth="1" style="251" min="12053" max="12293"/>
    <col width="2.28515625" customWidth="1" style="251" min="12294" max="12295"/>
    <col width="35.42578125" customWidth="1" style="251" min="12296" max="12296"/>
    <col width="14.7109375" customWidth="1" style="251" min="12297" max="12297"/>
    <col width="12.85546875" customWidth="1" style="251" min="12298" max="12300"/>
    <col width="15.5703125" customWidth="1" style="251" min="12301" max="12301"/>
    <col width="12.85546875" customWidth="1" style="251" min="12302" max="12305"/>
    <col width="10.42578125" customWidth="1" style="251" min="12306" max="12307"/>
    <col width="12.28515625" customWidth="1" style="251" min="12308" max="12308"/>
    <col width="10.42578125" customWidth="1" style="251" min="12309" max="12549"/>
    <col width="2.28515625" customWidth="1" style="251" min="12550" max="12551"/>
    <col width="35.42578125" customWidth="1" style="251" min="12552" max="12552"/>
    <col width="14.7109375" customWidth="1" style="251" min="12553" max="12553"/>
    <col width="12.85546875" customWidth="1" style="251" min="12554" max="12556"/>
    <col width="15.5703125" customWidth="1" style="251" min="12557" max="12557"/>
    <col width="12.85546875" customWidth="1" style="251" min="12558" max="12561"/>
    <col width="10.42578125" customWidth="1" style="251" min="12562" max="12563"/>
    <col width="12.28515625" customWidth="1" style="251" min="12564" max="12564"/>
    <col width="10.42578125" customWidth="1" style="251" min="12565" max="12805"/>
    <col width="2.28515625" customWidth="1" style="251" min="12806" max="12807"/>
    <col width="35.42578125" customWidth="1" style="251" min="12808" max="12808"/>
    <col width="14.7109375" customWidth="1" style="251" min="12809" max="12809"/>
    <col width="12.85546875" customWidth="1" style="251" min="12810" max="12812"/>
    <col width="15.5703125" customWidth="1" style="251" min="12813" max="12813"/>
    <col width="12.85546875" customWidth="1" style="251" min="12814" max="12817"/>
    <col width="10.42578125" customWidth="1" style="251" min="12818" max="12819"/>
    <col width="12.28515625" customWidth="1" style="251" min="12820" max="12820"/>
    <col width="10.42578125" customWidth="1" style="251" min="12821" max="13061"/>
    <col width="2.28515625" customWidth="1" style="251" min="13062" max="13063"/>
    <col width="35.42578125" customWidth="1" style="251" min="13064" max="13064"/>
    <col width="14.7109375" customWidth="1" style="251" min="13065" max="13065"/>
    <col width="12.85546875" customWidth="1" style="251" min="13066" max="13068"/>
    <col width="15.5703125" customWidth="1" style="251" min="13069" max="13069"/>
    <col width="12.85546875" customWidth="1" style="251" min="13070" max="13073"/>
    <col width="10.42578125" customWidth="1" style="251" min="13074" max="13075"/>
    <col width="12.28515625" customWidth="1" style="251" min="13076" max="13076"/>
    <col width="10.42578125" customWidth="1" style="251" min="13077" max="13317"/>
    <col width="2.28515625" customWidth="1" style="251" min="13318" max="13319"/>
    <col width="35.42578125" customWidth="1" style="251" min="13320" max="13320"/>
    <col width="14.7109375" customWidth="1" style="251" min="13321" max="13321"/>
    <col width="12.85546875" customWidth="1" style="251" min="13322" max="13324"/>
    <col width="15.5703125" customWidth="1" style="251" min="13325" max="13325"/>
    <col width="12.85546875" customWidth="1" style="251" min="13326" max="13329"/>
    <col width="10.42578125" customWidth="1" style="251" min="13330" max="13331"/>
    <col width="12.28515625" customWidth="1" style="251" min="13332" max="13332"/>
    <col width="10.42578125" customWidth="1" style="251" min="13333" max="13573"/>
    <col width="2.28515625" customWidth="1" style="251" min="13574" max="13575"/>
    <col width="35.42578125" customWidth="1" style="251" min="13576" max="13576"/>
    <col width="14.7109375" customWidth="1" style="251" min="13577" max="13577"/>
    <col width="12.85546875" customWidth="1" style="251" min="13578" max="13580"/>
    <col width="15.5703125" customWidth="1" style="251" min="13581" max="13581"/>
    <col width="12.85546875" customWidth="1" style="251" min="13582" max="13585"/>
    <col width="10.42578125" customWidth="1" style="251" min="13586" max="13587"/>
    <col width="12.28515625" customWidth="1" style="251" min="13588" max="13588"/>
    <col width="10.42578125" customWidth="1" style="251" min="13589" max="13829"/>
    <col width="2.28515625" customWidth="1" style="251" min="13830" max="13831"/>
    <col width="35.42578125" customWidth="1" style="251" min="13832" max="13832"/>
    <col width="14.7109375" customWidth="1" style="251" min="13833" max="13833"/>
    <col width="12.85546875" customWidth="1" style="251" min="13834" max="13836"/>
    <col width="15.5703125" customWidth="1" style="251" min="13837" max="13837"/>
    <col width="12.85546875" customWidth="1" style="251" min="13838" max="13841"/>
    <col width="10.42578125" customWidth="1" style="251" min="13842" max="13843"/>
    <col width="12.28515625" customWidth="1" style="251" min="13844" max="13844"/>
    <col width="10.42578125" customWidth="1" style="251" min="13845" max="14085"/>
    <col width="2.28515625" customWidth="1" style="251" min="14086" max="14087"/>
    <col width="35.42578125" customWidth="1" style="251" min="14088" max="14088"/>
    <col width="14.7109375" customWidth="1" style="251" min="14089" max="14089"/>
    <col width="12.85546875" customWidth="1" style="251" min="14090" max="14092"/>
    <col width="15.5703125" customWidth="1" style="251" min="14093" max="14093"/>
    <col width="12.85546875" customWidth="1" style="251" min="14094" max="14097"/>
    <col width="10.42578125" customWidth="1" style="251" min="14098" max="14099"/>
    <col width="12.28515625" customWidth="1" style="251" min="14100" max="14100"/>
    <col width="10.42578125" customWidth="1" style="251" min="14101" max="14341"/>
    <col width="2.28515625" customWidth="1" style="251" min="14342" max="14343"/>
    <col width="35.42578125" customWidth="1" style="251" min="14344" max="14344"/>
    <col width="14.7109375" customWidth="1" style="251" min="14345" max="14345"/>
    <col width="12.85546875" customWidth="1" style="251" min="14346" max="14348"/>
    <col width="15.5703125" customWidth="1" style="251" min="14349" max="14349"/>
    <col width="12.85546875" customWidth="1" style="251" min="14350" max="14353"/>
    <col width="10.42578125" customWidth="1" style="251" min="14354" max="14355"/>
    <col width="12.28515625" customWidth="1" style="251" min="14356" max="14356"/>
    <col width="10.42578125" customWidth="1" style="251" min="14357" max="14597"/>
    <col width="2.28515625" customWidth="1" style="251" min="14598" max="14599"/>
    <col width="35.42578125" customWidth="1" style="251" min="14600" max="14600"/>
    <col width="14.7109375" customWidth="1" style="251" min="14601" max="14601"/>
    <col width="12.85546875" customWidth="1" style="251" min="14602" max="14604"/>
    <col width="15.5703125" customWidth="1" style="251" min="14605" max="14605"/>
    <col width="12.85546875" customWidth="1" style="251" min="14606" max="14609"/>
    <col width="10.42578125" customWidth="1" style="251" min="14610" max="14611"/>
    <col width="12.28515625" customWidth="1" style="251" min="14612" max="14612"/>
    <col width="10.42578125" customWidth="1" style="251" min="14613" max="14853"/>
    <col width="2.28515625" customWidth="1" style="251" min="14854" max="14855"/>
    <col width="35.42578125" customWidth="1" style="251" min="14856" max="14856"/>
    <col width="14.7109375" customWidth="1" style="251" min="14857" max="14857"/>
    <col width="12.85546875" customWidth="1" style="251" min="14858" max="14860"/>
    <col width="15.5703125" customWidth="1" style="251" min="14861" max="14861"/>
    <col width="12.85546875" customWidth="1" style="251" min="14862" max="14865"/>
    <col width="10.42578125" customWidth="1" style="251" min="14866" max="14867"/>
    <col width="12.28515625" customWidth="1" style="251" min="14868" max="14868"/>
    <col width="10.42578125" customWidth="1" style="251" min="14869" max="15109"/>
    <col width="2.28515625" customWidth="1" style="251" min="15110" max="15111"/>
    <col width="35.42578125" customWidth="1" style="251" min="15112" max="15112"/>
    <col width="14.7109375" customWidth="1" style="251" min="15113" max="15113"/>
    <col width="12.85546875" customWidth="1" style="251" min="15114" max="15116"/>
    <col width="15.5703125" customWidth="1" style="251" min="15117" max="15117"/>
    <col width="12.85546875" customWidth="1" style="251" min="15118" max="15121"/>
    <col width="10.42578125" customWidth="1" style="251" min="15122" max="15123"/>
    <col width="12.28515625" customWidth="1" style="251" min="15124" max="15124"/>
    <col width="10.42578125" customWidth="1" style="251" min="15125" max="15365"/>
    <col width="2.28515625" customWidth="1" style="251" min="15366" max="15367"/>
    <col width="35.42578125" customWidth="1" style="251" min="15368" max="15368"/>
    <col width="14.7109375" customWidth="1" style="251" min="15369" max="15369"/>
    <col width="12.85546875" customWidth="1" style="251" min="15370" max="15372"/>
    <col width="15.5703125" customWidth="1" style="251" min="15373" max="15373"/>
    <col width="12.85546875" customWidth="1" style="251" min="15374" max="15377"/>
    <col width="10.42578125" customWidth="1" style="251" min="15378" max="15379"/>
    <col width="12.28515625" customWidth="1" style="251" min="15380" max="15380"/>
    <col width="10.42578125" customWidth="1" style="251" min="15381" max="15621"/>
    <col width="2.28515625" customWidth="1" style="251" min="15622" max="15623"/>
    <col width="35.42578125" customWidth="1" style="251" min="15624" max="15624"/>
    <col width="14.7109375" customWidth="1" style="251" min="15625" max="15625"/>
    <col width="12.85546875" customWidth="1" style="251" min="15626" max="15628"/>
    <col width="15.5703125" customWidth="1" style="251" min="15629" max="15629"/>
    <col width="12.85546875" customWidth="1" style="251" min="15630" max="15633"/>
    <col width="10.42578125" customWidth="1" style="251" min="15634" max="15635"/>
    <col width="12.28515625" customWidth="1" style="251" min="15636" max="15636"/>
    <col width="10.42578125" customWidth="1" style="251" min="15637" max="15877"/>
    <col width="2.28515625" customWidth="1" style="251" min="15878" max="15879"/>
    <col width="35.42578125" customWidth="1" style="251" min="15880" max="15880"/>
    <col width="14.7109375" customWidth="1" style="251" min="15881" max="15881"/>
    <col width="12.85546875" customWidth="1" style="251" min="15882" max="15884"/>
    <col width="15.5703125" customWidth="1" style="251" min="15885" max="15885"/>
    <col width="12.85546875" customWidth="1" style="251" min="15886" max="15889"/>
    <col width="10.42578125" customWidth="1" style="251" min="15890" max="15891"/>
    <col width="12.28515625" customWidth="1" style="251" min="15892" max="15892"/>
    <col width="10.42578125" customWidth="1" style="251" min="15893" max="16133"/>
    <col width="2.28515625" customWidth="1" style="251" min="16134" max="16135"/>
    <col width="35.42578125" customWidth="1" style="251" min="16136" max="16136"/>
    <col width="14.7109375" customWidth="1" style="251" min="16137" max="16137"/>
    <col width="12.85546875" customWidth="1" style="251" min="16138" max="16140"/>
    <col width="15.5703125" customWidth="1" style="251" min="16141" max="16141"/>
    <col width="12.85546875" customWidth="1" style="251" min="16142" max="16145"/>
    <col width="10.42578125" customWidth="1" style="251" min="16146" max="16147"/>
    <col width="12.28515625" customWidth="1" style="251" min="16148" max="16148"/>
    <col width="10.42578125" customWidth="1" style="251" min="16149" max="16384"/>
  </cols>
  <sheetData>
    <row r="1" ht="6.75" customFormat="1" customHeight="1" s="93"/>
    <row r="2" ht="6.75" customFormat="1" customHeight="1" s="93"/>
    <row r="3">
      <c r="C3" s="251" t="inlineStr">
        <is>
          <t>Discounted Cash Flow Model</t>
        </is>
      </c>
    </row>
    <row r="4" ht="13.5" customHeight="1">
      <c r="C4" s="94" t="inlineStr">
        <is>
          <t>All figures in millions, except per share data</t>
        </is>
      </c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5"/>
    <row r="6"/>
    <row r="7">
      <c r="C7" s="251" t="inlineStr">
        <is>
          <t>Ticker</t>
        </is>
      </c>
      <c r="D7" s="95" t="str">
        <f>IFERROR(IF(Control!B4="","",Control!B4),"")</f>
        <v>MOVI3) - fonte: Planilha de Fundamentos 2T26 do RI (ri.movida.com.br &gt; Fundamentos e Planilhas): abas IS | DRE (com IFRS16</v>
      </c>
      <c r="F7" s="251" t="inlineStr">
        <is>
          <t>Last close</t>
        </is>
      </c>
      <c r="G7" s="96" t="str">
        <f>IFERROR(IF(Control!E4="","",Control!E4),"")</f>
        <v/>
      </c>
    </row>
    <row r="8">
      <c r="C8" s="251" t="inlineStr">
        <is>
          <t>Operating scenario:</t>
        </is>
      </c>
      <c r="D8" s="97" t="str">
        <f>IFERROR(IF(Control!B10=1,"Bull Case",IF(Control!B10=2,"Base Case","Bear Case")),"")</f>
        <v>Base Case</v>
      </c>
    </row>
    <row r="9">
      <c r="C9" s="251" t="inlineStr">
        <is>
          <t>Last fiscal year end date:</t>
        </is>
      </c>
      <c r="D9" s="98" t="str">
        <f>IFERROR(IF(Control!B12="","",DATE(YEAR(Control!B12)-1,12,31)),"")</f>
        <v/>
      </c>
    </row>
    <row r="10">
      <c r="C10" s="251" t="inlineStr">
        <is>
          <t>Valuation / deal date:</t>
        </is>
      </c>
      <c r="D10" s="98" t="str">
        <f>IFERROR(IF(Control!B12="","",Control!B12),"")</f>
        <v/>
      </c>
    </row>
    <row r="11">
      <c r="C11" s="251" t="inlineStr">
        <is>
          <t>Stub year fraction:</t>
        </is>
      </c>
      <c r="D11" s="99" t="str">
        <f>IFERROR(IF(Control!B12="","",Control!B13),"")</f>
        <v/>
      </c>
      <c r="E11" s="100" t="n"/>
      <c r="I11" s="101" t="n"/>
      <c r="O11" s="102" t="n"/>
      <c r="Z11" s="103" t="n"/>
    </row>
    <row r="12">
      <c r="C12" s="251" t="inlineStr">
        <is>
          <t>Weighted average cost of capital:</t>
        </is>
      </c>
      <c r="D12" s="99" t="str">
        <f>IFERROR(IF(Control!E12="","",Control!E12),"")</f>
        <v/>
      </c>
      <c r="I12" s="101" t="n"/>
    </row>
    <row r="13">
      <c r="D13" s="99" t="n"/>
      <c r="E13" s="99" t="n"/>
    </row>
    <row r="14" ht="14.85" customHeight="1">
      <c r="C14" s="104" t="inlineStr">
        <is>
          <t>Historicals</t>
        </is>
      </c>
      <c r="D14" s="104" t="n"/>
      <c r="E14" s="104" t="n"/>
      <c r="F14" s="104" t="n"/>
      <c r="G14" s="250" t="inlineStr">
        <is>
          <t>Projected Annual Forecast</t>
        </is>
      </c>
    </row>
    <row r="15">
      <c r="C15" s="105" t="n"/>
      <c r="D15" s="105" t="n"/>
      <c r="E15" s="105" t="n"/>
      <c r="F15" s="105" t="n"/>
      <c r="G15" s="256" t="inlineStr">
        <is>
          <t>Granular</t>
        </is>
      </c>
      <c r="H15" s="253" t="n"/>
      <c r="I15" s="253" t="n"/>
      <c r="J15" s="253" t="n"/>
      <c r="K15" s="253" t="n"/>
      <c r="L15" s="253" t="n"/>
      <c r="M15" s="253" t="n"/>
      <c r="N15" s="253" t="n"/>
      <c r="O15" s="253" t="n"/>
      <c r="P15" s="253" t="n"/>
      <c r="Q15" s="253" t="n"/>
      <c r="R15" s="253" t="n"/>
      <c r="S15" s="253" t="n"/>
      <c r="T15" s="253" t="n"/>
      <c r="U15" s="253" t="n"/>
      <c r="V15" s="253" t="n"/>
      <c r="X15" s="106" t="n"/>
      <c r="Y15" s="107" t="n"/>
      <c r="Z15" s="107" t="n"/>
    </row>
    <row r="16">
      <c r="D16" s="108" t="n">
        <v>2023</v>
      </c>
      <c r="E16" s="108" t="n">
        <v>2024</v>
      </c>
      <c r="F16" s="108" t="n">
        <v>2025</v>
      </c>
      <c r="G16" s="108" t="n">
        <v>2026</v>
      </c>
      <c r="H16" s="108" t="n">
        <v>2027</v>
      </c>
      <c r="I16" s="108" t="n">
        <v>2028</v>
      </c>
      <c r="J16" s="108" t="n">
        <v>2029</v>
      </c>
      <c r="K16" s="108" t="n">
        <v>2030</v>
      </c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7" t="n"/>
      <c r="Y16" s="107" t="n"/>
      <c r="Z16" s="107" t="n"/>
    </row>
    <row r="17">
      <c r="C17" s="109" t="n"/>
      <c r="D17" s="110" t="n">
        <v>45291</v>
      </c>
      <c r="E17" s="110" t="n">
        <v>45657</v>
      </c>
      <c r="F17" s="110" t="n">
        <v>46022</v>
      </c>
      <c r="G17" s="110" t="n">
        <v>46387</v>
      </c>
      <c r="H17" s="110" t="n">
        <v>46752</v>
      </c>
      <c r="I17" s="110" t="n">
        <v>47118</v>
      </c>
      <c r="J17" s="110" t="n">
        <v>47483</v>
      </c>
      <c r="K17" s="110" t="n">
        <v>47848</v>
      </c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1" t="n"/>
      <c r="X17" s="107" t="n"/>
      <c r="Y17" s="107" t="n"/>
      <c r="Z17" s="107" t="n"/>
    </row>
    <row r="18">
      <c r="C18" s="112" t="inlineStr">
        <is>
          <t>Net Revenues</t>
        </is>
      </c>
      <c r="D18" s="113">
        <f>IFERROR(Model!W15,"")</f>
        <v>10342.014</v>
      </c>
      <c r="E18" s="113">
        <f>IFERROR(Model!AB15,"")</f>
        <v>13481.271</v>
      </c>
      <c r="F18" s="113">
        <f>IFERROR(Model!AG15,"")</f>
        <v>14672.05515495</v>
      </c>
      <c r="G18" s="113">
        <f>IFERROR(Model!AL15,"")</f>
        <v>15538.9073282989</v>
      </c>
      <c r="H18" s="113">
        <f>IFERROR(Model!AQ15,"")</f>
        <v>16726.8288604017</v>
      </c>
      <c r="I18" s="113">
        <f>IFERROR(Model!AV15,"")</f>
        <v>17921.9307138929</v>
      </c>
      <c r="J18" s="113">
        <f>IFERROR(Model!BA15,"")</f>
        <v>19112.8107929004</v>
      </c>
      <c r="K18" s="113">
        <f>IFERROR(Model!BF15,"")</f>
        <v>20287.2586584362</v>
      </c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4" t="n"/>
      <c r="X18" s="115" t="n"/>
      <c r="Y18" s="115" t="n"/>
      <c r="Z18" s="107" t="n"/>
    </row>
    <row r="19">
      <c r="C19" s="116" t="n"/>
      <c r="D19" s="109" t="str">
        <f>IFERROR("","")</f>
        <v/>
      </c>
      <c r="E19" s="117">
        <f>IFERROR(IF(D18=0,"",E18/D18-1),"")</f>
        <v>0.303544067915592</v>
      </c>
      <c r="F19" s="117">
        <f>IFERROR(IF(E18=0,"",F18/E18-1),"")</f>
        <v>0.0883287751540636</v>
      </c>
      <c r="G19" s="117">
        <f>IFERROR(IF(F18=0,"",G18/F18-1),"")</f>
        <v>0.0590818507832853</v>
      </c>
      <c r="H19" s="117">
        <f>IFERROR(IF(G18=0,"",H18/G18-1),"")</f>
        <v>0.0764482023738817</v>
      </c>
      <c r="I19" s="117">
        <f>IFERROR(IF(H18=0,"",I18/H18-1),"")</f>
        <v>0.0714482023738818</v>
      </c>
      <c r="J19" s="117">
        <f>IFERROR(IF(I18=0,"",J18/I18-1),"")</f>
        <v>0.0664482023738817</v>
      </c>
      <c r="K19" s="117">
        <f>IFERROR(IF(J18=0,"",K18/J18-1),"")</f>
        <v>0.061448202373882</v>
      </c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  <c r="X19" s="107" t="n"/>
      <c r="Y19" s="107" t="n"/>
      <c r="Z19" s="107" t="n"/>
    </row>
    <row r="20">
      <c r="C20" s="119" t="inlineStr">
        <is>
          <t>EBITDA</t>
        </is>
      </c>
      <c r="D20" s="113">
        <f>IFERROR(Model!W81,"")</f>
        <v>3499.333</v>
      </c>
      <c r="E20" s="113">
        <f>IFERROR(Model!AB81,"")</f>
        <v>4700.619</v>
      </c>
      <c r="F20" s="113">
        <f>IFERROR(Model!AG81,"")</f>
        <v>5686.15925995</v>
      </c>
      <c r="G20" s="113">
        <f>IFERROR(Model!AL81,"")</f>
        <v>6469.2176612268</v>
      </c>
      <c r="H20" s="113">
        <f>IFERROR(Model!AQ81,"")</f>
        <v>6725.96785052121</v>
      </c>
      <c r="I20" s="113">
        <f>IFERROR(Model!AV81,"")</f>
        <v>7206.52616266548</v>
      </c>
      <c r="J20" s="113">
        <f>IFERROR(Model!BA81,"")</f>
        <v>7685.38687153494</v>
      </c>
      <c r="K20" s="113">
        <f>IFERROR(Model!BF81,"")</f>
        <v>8157.6400793386</v>
      </c>
      <c r="L20" s="113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1" t="n"/>
      <c r="X20" s="107" t="n"/>
      <c r="Y20" s="107" t="n"/>
      <c r="Z20" s="107" t="n"/>
    </row>
    <row r="21">
      <c r="C21" s="116" t="n"/>
      <c r="D21" s="122">
        <f>IFERROR(IF(D18=0,"",D20/D18),"")</f>
        <v>0.338360884059913</v>
      </c>
      <c r="E21" s="122">
        <f>IFERROR(IF(E18=0,"",E20/E18),"")</f>
        <v>0.348677732240528</v>
      </c>
      <c r="F21" s="122">
        <f>IFERROR(IF(F18=0,"",F20/F18),"")</f>
        <v>0.387550292027878</v>
      </c>
      <c r="G21" s="122">
        <f>IFERROR(IF(G18=0,"",G20/G18),"")</f>
        <v>0.41632384597888</v>
      </c>
      <c r="H21" s="122">
        <f>IFERROR(IF(H18=0,"",H20/H18),"")</f>
        <v>0.402106574214073</v>
      </c>
      <c r="I21" s="122">
        <f>IFERROR(IF(I18=0,"",I20/I18),"")</f>
        <v>0.402106574214074</v>
      </c>
      <c r="J21" s="122">
        <f>IFERROR(IF(J18=0,"",J20/J18),"")</f>
        <v>0.402106574214073</v>
      </c>
      <c r="K21" s="122">
        <f>IFERROR(IF(K18=0,"",K20/K18),"")</f>
        <v>0.402106574214073</v>
      </c>
      <c r="L21" s="122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23" t="n"/>
      <c r="X21" s="115" t="n"/>
      <c r="Y21" s="115" t="n"/>
      <c r="Z21" s="107" t="n"/>
    </row>
    <row r="22">
      <c r="C22" s="112" t="inlineStr">
        <is>
          <t>EBIT</t>
        </is>
      </c>
      <c r="D22" s="113">
        <f>IFERROR(Model!W85,"")</f>
        <v>1261.567</v>
      </c>
      <c r="E22" s="113">
        <f>IFERROR(Model!AB85,"")</f>
        <v>2620.101</v>
      </c>
      <c r="F22" s="113">
        <f>IFERROR(Model!AG85,"")</f>
        <v>3256.12801735</v>
      </c>
      <c r="G22" s="113">
        <f>IFERROR(Model!AL85,"")</f>
        <v>3797.95384071811</v>
      </c>
      <c r="H22" s="113">
        <f>IFERROR(Model!AQ85,"")</f>
        <v>3902.49644703316</v>
      </c>
      <c r="I22" s="113">
        <f>IFERROR(Model!AV85,"")</f>
        <v>4181.32280294414</v>
      </c>
      <c r="J22" s="113">
        <f>IFERROR(Model!BA85,"")</f>
        <v>4459.1641867447</v>
      </c>
      <c r="K22" s="113">
        <f>IFERROR(Model!BF85,"")</f>
        <v>4733.17181011015</v>
      </c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4" t="n"/>
      <c r="X22" s="115" t="n"/>
      <c r="Y22" s="115" t="n"/>
      <c r="Z22" s="107" t="n"/>
    </row>
    <row r="23">
      <c r="C23" s="116" t="n"/>
      <c r="D23" s="122">
        <f>IFERROR(IF(D18=0,"",D22/D18),"")</f>
        <v>0.121984654052876</v>
      </c>
      <c r="E23" s="122">
        <f>IFERROR(IF(E18=0,"",E22/E18),"")</f>
        <v>0.19435118543348</v>
      </c>
      <c r="F23" s="122">
        <f>IFERROR(IF(F18=0,"",F22/F18),"")</f>
        <v>0.221927193086611</v>
      </c>
      <c r="G23" s="122">
        <f>IFERROR(IF(G18=0,"",G22/G18),"")</f>
        <v>0.244415759774911</v>
      </c>
      <c r="H23" s="122">
        <f>IFERROR(IF(H18=0,"",H22/H18),"")</f>
        <v>0.233307608967755</v>
      </c>
      <c r="I23" s="122">
        <f>IFERROR(IF(I18=0,"",I22/I18),"")</f>
        <v>0.233307608967756</v>
      </c>
      <c r="J23" s="122">
        <f>IFERROR(IF(J18=0,"",J22/J18),"")</f>
        <v>0.233307608967755</v>
      </c>
      <c r="K23" s="122">
        <f>IFERROR(IF(K18=0,"",K22/K18),"")</f>
        <v>0.233307608967755</v>
      </c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4" t="n"/>
      <c r="X23" s="107" t="n"/>
      <c r="Y23" s="107" t="n"/>
      <c r="Z23" s="107" t="n"/>
    </row>
    <row r="24">
      <c r="C24" s="112" t="inlineStr">
        <is>
          <t>Tax rate</t>
        </is>
      </c>
      <c r="D24" s="125">
        <f>IFERROR(Model!W144,"")</f>
        <v>0.222223948356196</v>
      </c>
      <c r="E24" s="125">
        <f>IFERROR(Model!AB144,"")</f>
        <v>0.252103853646087</v>
      </c>
      <c r="F24" s="125">
        <f>IFERROR(Model!AG144,"")</f>
        <v>0.0841117027002862</v>
      </c>
      <c r="G24" s="125">
        <f>IFERROR(Model!AL144,"")</f>
        <v>0.119192335308436</v>
      </c>
      <c r="H24" s="125">
        <f>IFERROR(Model!AQ144,"")</f>
        <v>0.103918133806747</v>
      </c>
      <c r="I24" s="125">
        <f>IFERROR(Model!AV144,"")</f>
        <v>0.103918133806747</v>
      </c>
      <c r="J24" s="125">
        <f>IFERROR(Model!BA144,"")</f>
        <v>0.103918133806747</v>
      </c>
      <c r="K24" s="125">
        <f>IFERROR(Model!BF144,"")</f>
        <v>0.103918133806747</v>
      </c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6" t="n"/>
      <c r="X24" s="107" t="n"/>
      <c r="Y24" s="107" t="n"/>
      <c r="Z24" s="107" t="n"/>
    </row>
    <row r="25">
      <c r="C25" s="116" t="inlineStr">
        <is>
          <t>NOPLAT</t>
        </is>
      </c>
      <c r="D25" s="127">
        <f>IFERROR(D22*(1-D24),"")</f>
        <v>981.216600144119</v>
      </c>
      <c r="E25" s="127">
        <f>IFERROR(E22*(1-E24),"")</f>
        <v>1959.56344095803</v>
      </c>
      <c r="F25" s="127">
        <f>IFERROR(F22*(1-F24),"")</f>
        <v>2982.24954560058</v>
      </c>
      <c r="G25" s="127">
        <f>IFERROR(G22*(1-G24),"")</f>
        <v>3345.26685304927</v>
      </c>
      <c r="H25" s="127">
        <f>IFERROR(H22*(1-H24),"")</f>
        <v>3496.95629907001</v>
      </c>
      <c r="I25" s="127">
        <f>IFERROR(I22*(1-I24),"")</f>
        <v>3746.80754041859</v>
      </c>
      <c r="J25" s="127">
        <f>IFERROR(J22*(1-J24),"")</f>
        <v>3995.77616612031</v>
      </c>
      <c r="K25" s="127">
        <f>IFERROR(K22*(1-K24),"")</f>
        <v>4241.3094286168</v>
      </c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8" t="n"/>
      <c r="X25" s="115" t="n"/>
      <c r="Y25" s="115" t="n"/>
      <c r="Z25" s="107" t="n"/>
    </row>
    <row r="26">
      <c r="C26" s="129" t="inlineStr">
        <is>
          <t>Depreciation &amp; Amortization</t>
        </is>
      </c>
      <c r="D26" s="130">
        <f>IFERROR(-Model!W82,"")</f>
        <v>2237.766</v>
      </c>
      <c r="E26" s="130">
        <f>IFERROR(-Model!AB82,"")</f>
        <v>2080.518</v>
      </c>
      <c r="F26" s="130">
        <f>IFERROR(-Model!AG82,"")</f>
        <v>2430.0312426</v>
      </c>
      <c r="G26" s="130">
        <f>IFERROR(-Model!AL82,"")</f>
        <v>2671.26382050869</v>
      </c>
      <c r="H26" s="130">
        <f>IFERROR(-Model!AQ82,"")</f>
        <v>2823.47140348805</v>
      </c>
      <c r="I26" s="130">
        <f>IFERROR(-Model!AV82,"")</f>
        <v>3025.20335972133</v>
      </c>
      <c r="J26" s="130">
        <f>IFERROR(-Model!BA82,"")</f>
        <v>3226.22268479024</v>
      </c>
      <c r="K26" s="130">
        <f>IFERROR(-Model!BF82,"")</f>
        <v>3424.46826922844</v>
      </c>
      <c r="L26" s="131" t="n"/>
      <c r="X26" s="107" t="n"/>
      <c r="Y26" s="107" t="n"/>
      <c r="Z26" s="107" t="n"/>
    </row>
    <row r="27">
      <c r="C27" s="132" t="inlineStr">
        <is>
          <t>Cash from working capital</t>
        </is>
      </c>
      <c r="D27" s="133">
        <f>IFERROR(Model!W291,"")</f>
        <v>2651.071</v>
      </c>
      <c r="E27" s="133">
        <f>IFERROR(Model!AB291,"")</f>
        <v>46.0169999999996</v>
      </c>
      <c r="F27" s="133">
        <f>IFERROR(Model!AG291,"")</f>
        <v>1484.36</v>
      </c>
      <c r="G27" s="133">
        <f>IFERROR(Model!AL291,"")</f>
        <v>-1902.37682656239</v>
      </c>
      <c r="H27" s="133">
        <f>IFERROR(Model!AQ291,"")</f>
        <v>297.72193269219</v>
      </c>
      <c r="I27" s="133">
        <f>IFERROR(Model!AV291,"")</f>
        <v>319.695909941383</v>
      </c>
      <c r="J27" s="133">
        <f>IFERROR(Model!BA291,"")</f>
        <v>341.660949121919</v>
      </c>
      <c r="K27" s="133">
        <f>IFERROR(Model!BF291,"")</f>
        <v>362.612197289358</v>
      </c>
      <c r="L27" s="134" t="n"/>
      <c r="X27" s="107" t="n"/>
      <c r="Y27" s="107" t="n"/>
      <c r="Z27" s="107" t="n"/>
    </row>
    <row r="28">
      <c r="C28" s="135" t="inlineStr">
        <is>
          <t>Accounts receivable</t>
        </is>
      </c>
      <c r="D28" s="136">
        <f>IFERROR(Model!W292,"")</f>
        <v>-169.679</v>
      </c>
      <c r="E28" s="136">
        <f>IFERROR(Model!AB292,"")</f>
        <v>-96.2829999999999</v>
      </c>
      <c r="F28" s="136">
        <f>IFERROR(Model!AG292,"")</f>
        <v>-547.985</v>
      </c>
      <c r="G28" s="136">
        <f>IFERROR(Model!AL292,"")</f>
        <v>-303.589827974394</v>
      </c>
      <c r="H28" s="136">
        <f>IFERROR(Model!AQ292,"")</f>
        <v>-175.316432355106</v>
      </c>
      <c r="I28" s="136">
        <f>IFERROR(Model!AV292,"")</f>
        <v>-176.376122153608</v>
      </c>
      <c r="J28" s="136">
        <f>IFERROR(Model!BA292,"")</f>
        <v>-175.753062110744</v>
      </c>
      <c r="K28" s="136">
        <f>IFERROR(Model!BF292,"")</f>
        <v>-173.32795492674</v>
      </c>
      <c r="L28" s="137" t="n"/>
      <c r="X28" s="107" t="n"/>
      <c r="Y28" s="107" t="n"/>
      <c r="Z28" s="107" t="n"/>
    </row>
    <row r="29">
      <c r="C29" s="135" t="inlineStr">
        <is>
          <t>Inventories</t>
        </is>
      </c>
      <c r="D29" s="136">
        <f>IFERROR(Model!W293,"")</f>
        <v>0</v>
      </c>
      <c r="E29" s="136">
        <f>IFERROR(Model!AB293,"")</f>
        <v>0</v>
      </c>
      <c r="F29" s="136">
        <f>IFERROR(Model!AG293,"")</f>
        <v>0</v>
      </c>
      <c r="G29" s="136">
        <f>IFERROR(Model!AL293,"")</f>
        <v>0</v>
      </c>
      <c r="H29" s="136">
        <f>IFERROR(Model!AQ293,"")</f>
        <v>0</v>
      </c>
      <c r="I29" s="136">
        <f>IFERROR(Model!AV293,"")</f>
        <v>0</v>
      </c>
      <c r="J29" s="136">
        <f>IFERROR(Model!BA293,"")</f>
        <v>0</v>
      </c>
      <c r="K29" s="136">
        <f>IFERROR(Model!BF293,"")</f>
        <v>0</v>
      </c>
      <c r="L29" s="137" t="n"/>
      <c r="X29" s="107" t="n"/>
      <c r="Y29" s="107" t="n"/>
      <c r="Z29" s="107" t="n"/>
    </row>
    <row r="30">
      <c r="C30" s="135" t="inlineStr">
        <is>
          <t>Deferred income taxes (assets)</t>
        </is>
      </c>
      <c r="D30" s="136">
        <f>IFERROR(Model!W294,"")</f>
        <v>0</v>
      </c>
      <c r="E30" s="136">
        <f>IFERROR(Model!AB294,"")</f>
        <v>0</v>
      </c>
      <c r="F30" s="136">
        <f>IFERROR(Model!AG294,"")</f>
        <v>0</v>
      </c>
      <c r="G30" s="136">
        <f>IFERROR(Model!AL294,"")</f>
        <v>0</v>
      </c>
      <c r="H30" s="136">
        <f>IFERROR(Model!AQ294,"")</f>
        <v>0</v>
      </c>
      <c r="I30" s="136">
        <f>IFERROR(Model!AV294,"")</f>
        <v>0</v>
      </c>
      <c r="J30" s="136">
        <f>IFERROR(Model!BA294,"")</f>
        <v>0</v>
      </c>
      <c r="K30" s="136">
        <f>IFERROR(Model!BF294,"")</f>
        <v>0</v>
      </c>
      <c r="L30" s="137" t="n"/>
      <c r="X30" s="107" t="n"/>
      <c r="Y30" s="107" t="n"/>
      <c r="Z30" s="107" t="n"/>
    </row>
    <row r="31">
      <c r="C31" s="135" t="inlineStr">
        <is>
          <t>Prepaid expenses</t>
        </is>
      </c>
      <c r="D31" s="136">
        <f>IFERROR(Model!W295,"")</f>
        <v>0</v>
      </c>
      <c r="E31" s="136">
        <f>IFERROR(Model!AB295,"")</f>
        <v>0</v>
      </c>
      <c r="F31" s="136">
        <f>IFERROR(Model!AG295,"")</f>
        <v>0</v>
      </c>
      <c r="G31" s="136">
        <f>IFERROR(Model!AL295,"")</f>
        <v>0</v>
      </c>
      <c r="H31" s="136">
        <f>IFERROR(Model!AQ295,"")</f>
        <v>0</v>
      </c>
      <c r="I31" s="136">
        <f>IFERROR(Model!AV295,"")</f>
        <v>0</v>
      </c>
      <c r="J31" s="136">
        <f>IFERROR(Model!BA295,"")</f>
        <v>0</v>
      </c>
      <c r="K31" s="136">
        <f>IFERROR(Model!BF295,"")</f>
        <v>0</v>
      </c>
      <c r="L31" s="137" t="n"/>
      <c r="X31" s="107" t="n"/>
      <c r="Y31" s="107" t="n"/>
      <c r="Z31" s="107" t="n"/>
    </row>
    <row r="32">
      <c r="C32" s="135" t="inlineStr">
        <is>
          <t>Other current assets</t>
        </is>
      </c>
      <c r="D32" s="136">
        <f>IFERROR(Model!W296,"")</f>
        <v>351.974</v>
      </c>
      <c r="E32" s="136">
        <f>IFERROR(Model!AB296,"")</f>
        <v>-130.96</v>
      </c>
      <c r="F32" s="136">
        <f>IFERROR(Model!AG296,"")</f>
        <v>275.71</v>
      </c>
      <c r="G32" s="136">
        <f>IFERROR(Model!AL296,"")</f>
        <v>-452.437</v>
      </c>
      <c r="H32" s="136">
        <f>IFERROR(Model!AQ296,"")</f>
        <v>0</v>
      </c>
      <c r="I32" s="136">
        <f>IFERROR(Model!AV296,"")</f>
        <v>0</v>
      </c>
      <c r="J32" s="136">
        <f>IFERROR(Model!BA296,"")</f>
        <v>0</v>
      </c>
      <c r="K32" s="136">
        <f>IFERROR(Model!BF296,"")</f>
        <v>0</v>
      </c>
      <c r="L32" s="137" t="n"/>
      <c r="X32" s="107" t="n"/>
      <c r="Y32" s="107" t="n"/>
      <c r="Z32" s="107" t="n"/>
    </row>
    <row r="33">
      <c r="C33" s="135" t="inlineStr">
        <is>
          <t>Accounts payable</t>
        </is>
      </c>
      <c r="D33" s="136">
        <f>IFERROR(Model!W297,"")</f>
        <v>2486.42</v>
      </c>
      <c r="E33" s="136">
        <f>IFERROR(Model!AB297,"")</f>
        <v>566.831999999999</v>
      </c>
      <c r="F33" s="136">
        <f>IFERROR(Model!AG297,"")</f>
        <v>536.594</v>
      </c>
      <c r="G33" s="136">
        <f>IFERROR(Model!AL297,"")</f>
        <v>-768.599256891906</v>
      </c>
      <c r="H33" s="136">
        <f>IFERROR(Model!AQ297,"")</f>
        <v>388.827387106007</v>
      </c>
      <c r="I33" s="136">
        <f>IFERROR(Model!AV297,"")</f>
        <v>391.177631232922</v>
      </c>
      <c r="J33" s="136">
        <f>IFERROR(Model!BA297,"")</f>
        <v>389.795770986154</v>
      </c>
      <c r="K33" s="136">
        <f>IFERROR(Model!BF297,"")</f>
        <v>384.417221598959</v>
      </c>
      <c r="L33" s="137" t="n"/>
      <c r="X33" s="107" t="n"/>
      <c r="Y33" s="107" t="n"/>
      <c r="Z33" s="107" t="n"/>
    </row>
    <row r="34">
      <c r="C34" s="135" t="inlineStr">
        <is>
          <t>Accrued expenses</t>
        </is>
      </c>
      <c r="D34" s="136">
        <f>IFERROR(Model!W298,"")</f>
        <v>49.199</v>
      </c>
      <c r="E34" s="136">
        <f>IFERROR(Model!AB298,"")</f>
        <v>-57.702</v>
      </c>
      <c r="F34" s="136">
        <f>IFERROR(Model!AG298,"")</f>
        <v>16.374</v>
      </c>
      <c r="G34" s="136">
        <f>IFERROR(Model!AL298,"")</f>
        <v>32.1517334633855</v>
      </c>
      <c r="H34" s="136">
        <f>IFERROR(Model!AQ298,"")</f>
        <v>50.1953448205802</v>
      </c>
      <c r="I34" s="136">
        <f>IFERROR(Model!AV298,"")</f>
        <v>62.5240408048772</v>
      </c>
      <c r="J34" s="136">
        <f>IFERROR(Model!BA298,"")</f>
        <v>76.0689607361556</v>
      </c>
      <c r="K34" s="136">
        <f>IFERROR(Model!BF298,"")</f>
        <v>90.3177464089633</v>
      </c>
      <c r="L34" s="137" t="n"/>
      <c r="X34" s="107" t="n"/>
      <c r="Y34" s="107" t="n"/>
      <c r="Z34" s="107" t="n"/>
    </row>
    <row r="35">
      <c r="C35" s="135" t="inlineStr">
        <is>
          <t>Taxes payable</t>
        </is>
      </c>
      <c r="D35" s="136">
        <f>IFERROR(Model!W299,"")</f>
        <v>7.041</v>
      </c>
      <c r="E35" s="136">
        <f>IFERROR(Model!AB299,"")</f>
        <v>61.134</v>
      </c>
      <c r="F35" s="136">
        <f>IFERROR(Model!AG299,"")</f>
        <v>31.233</v>
      </c>
      <c r="G35" s="136">
        <f>IFERROR(Model!AL299,"")</f>
        <v>-64.4754751594713</v>
      </c>
      <c r="H35" s="136">
        <f>IFERROR(Model!AQ299,"")</f>
        <v>34.0156331207085</v>
      </c>
      <c r="I35" s="136">
        <f>IFERROR(Model!AV299,"")</f>
        <v>42.3703600571924</v>
      </c>
      <c r="J35" s="136">
        <f>IFERROR(Model!BA299,"")</f>
        <v>51.5492795103532</v>
      </c>
      <c r="K35" s="136">
        <f>IFERROR(Model!BF299,"")</f>
        <v>61.2051842081752</v>
      </c>
      <c r="L35" s="137" t="n"/>
      <c r="X35" s="107" t="n"/>
      <c r="Y35" s="107" t="n"/>
      <c r="Z35" s="107" t="n"/>
    </row>
    <row r="36">
      <c r="C36" s="135" t="inlineStr">
        <is>
          <t>Other current liabilities</t>
        </is>
      </c>
      <c r="D36" s="136">
        <f>IFERROR(Model!W300,"")</f>
        <v>-242.501</v>
      </c>
      <c r="E36" s="136">
        <f>IFERROR(Model!AB300,"")</f>
        <v>164.098</v>
      </c>
      <c r="F36" s="136">
        <f>IFERROR(Model!AG300,"")</f>
        <v>936.902</v>
      </c>
      <c r="G36" s="136">
        <f>IFERROR(Model!AL300,"")</f>
        <v>-400.93</v>
      </c>
      <c r="H36" s="136">
        <f>IFERROR(Model!AQ300,"")</f>
        <v>0</v>
      </c>
      <c r="I36" s="136">
        <f>IFERROR(Model!AV300,"")</f>
        <v>0</v>
      </c>
      <c r="J36" s="136">
        <f>IFERROR(Model!BA300,"")</f>
        <v>0</v>
      </c>
      <c r="K36" s="136">
        <f>IFERROR(Model!BF300,"")</f>
        <v>0</v>
      </c>
      <c r="L36" s="137" t="n"/>
      <c r="X36" s="107" t="n"/>
      <c r="Y36" s="107" t="n"/>
      <c r="Z36" s="107" t="n"/>
    </row>
    <row r="37">
      <c r="C37" s="135" t="inlineStr">
        <is>
          <t>Deferred tax (liabilities)</t>
        </is>
      </c>
      <c r="D37" s="136">
        <f>IFERROR(Model!W301,"")</f>
        <v>168.617</v>
      </c>
      <c r="E37" s="136">
        <f>IFERROR(Model!AB301,"")</f>
        <v>-461.102</v>
      </c>
      <c r="F37" s="136">
        <f>IFERROR(Model!AG301,"")</f>
        <v>235.532</v>
      </c>
      <c r="G37" s="136">
        <f>IFERROR(Model!AL301,"")</f>
        <v>55.503</v>
      </c>
      <c r="H37" s="136">
        <f>IFERROR(Model!AQ301,"")</f>
        <v>0</v>
      </c>
      <c r="I37" s="136">
        <f>IFERROR(Model!AV301,"")</f>
        <v>0</v>
      </c>
      <c r="J37" s="136">
        <f>IFERROR(Model!BA301,"")</f>
        <v>0</v>
      </c>
      <c r="K37" s="136">
        <f>IFERROR(Model!BF301,"")</f>
        <v>0</v>
      </c>
      <c r="L37" s="137" t="n"/>
      <c r="X37" s="107" t="n"/>
      <c r="Y37" s="107" t="n"/>
      <c r="Z37" s="107" t="n"/>
    </row>
    <row r="38">
      <c r="C38" s="135" t="inlineStr">
        <is>
          <t>Other non-current assets</t>
        </is>
      </c>
      <c r="D38" s="136">
        <f>IFERROR((Model!W201-Model!R201)*-1,"")</f>
        <v>-38.037</v>
      </c>
      <c r="E38" s="136">
        <f>IFERROR((Model!AB201-Model!W201)*-1,"")</f>
        <v>-653.567</v>
      </c>
      <c r="F38" s="136">
        <f>IFERROR((Model!AG201-Model!AB201)*-1,"")</f>
        <v>779.768</v>
      </c>
      <c r="G38" s="136">
        <f>IFERROR((Model!AL201-Model!AG201)*-1,"")</f>
        <v>-67.903</v>
      </c>
      <c r="H38" s="136">
        <f>IFERROR((Model!AQ201-Model!AL201)*-1,"")</f>
        <v>0</v>
      </c>
      <c r="I38" s="136">
        <f>IFERROR((Model!AV201-Model!AQ201)*-1,"")</f>
        <v>0</v>
      </c>
      <c r="J38" s="136">
        <f>IFERROR((Model!BA201-Model!AV201)*-1,"")</f>
        <v>0</v>
      </c>
      <c r="K38" s="136">
        <f>IFERROR((Model!BF201-Model!BA201)*-1,"")</f>
        <v>0</v>
      </c>
      <c r="L38" s="137" t="n"/>
      <c r="X38" s="107" t="n"/>
      <c r="Y38" s="107" t="n"/>
      <c r="Z38" s="107" t="n"/>
    </row>
    <row r="39">
      <c r="C39" s="135" t="inlineStr">
        <is>
          <t>Other non-current liabilities</t>
        </is>
      </c>
      <c r="D39" s="136">
        <f>IFERROR(Model!W252-Model!R252,"")</f>
        <v>-947.785</v>
      </c>
      <c r="E39" s="136">
        <f>IFERROR(Model!AB252-Model!W252,"")</f>
        <v>50.63</v>
      </c>
      <c r="F39" s="136">
        <f>IFERROR(Model!AG252-Model!AB252,"")</f>
        <v>713.816</v>
      </c>
      <c r="G39" s="136">
        <f>IFERROR(Model!AL252-Model!AG252,"")</f>
        <v>413.269</v>
      </c>
      <c r="H39" s="136">
        <f>IFERROR(Model!AQ252-Model!AL252,"")</f>
        <v>0</v>
      </c>
      <c r="I39" s="136">
        <f>IFERROR(Model!AV252-Model!AQ252,"")</f>
        <v>0</v>
      </c>
      <c r="J39" s="136">
        <f>IFERROR(Model!BA252-Model!AV252,"")</f>
        <v>0</v>
      </c>
      <c r="K39" s="136">
        <f>IFERROR(Model!BF252-Model!BA252,"")</f>
        <v>0</v>
      </c>
      <c r="L39" s="137" t="n"/>
      <c r="X39" s="107" t="n"/>
      <c r="Y39" s="107" t="n"/>
      <c r="Z39" s="107" t="n"/>
    </row>
    <row r="40">
      <c r="C40" s="135" t="inlineStr">
        <is>
          <t>Capital expenditures</t>
        </is>
      </c>
      <c r="D40" s="136">
        <f>IFERROR(Model!W307,"")</f>
        <v>-5032.848</v>
      </c>
      <c r="E40" s="136">
        <f>IFERROR(Model!AB307,"")</f>
        <v>-5356.189</v>
      </c>
      <c r="F40" s="136">
        <f>IFERROR(Model!AG307,"")</f>
        <v>-4677.8472426</v>
      </c>
      <c r="G40" s="136">
        <f>IFERROR(Model!AL307,"")</f>
        <v>-4728.13790788275</v>
      </c>
      <c r="H40" s="136">
        <f>IFERROR(Model!AQ307,"")</f>
        <v>-5207.78852917515</v>
      </c>
      <c r="I40" s="136">
        <f>IFERROR(Model!AV307,"")</f>
        <v>-5579.87565792804</v>
      </c>
      <c r="J40" s="136">
        <f>IFERROR(Model!BA307,"")</f>
        <v>-5950.64836486714</v>
      </c>
      <c r="K40" s="136">
        <f>IFERROR(Model!BF307,"")</f>
        <v>-6316.3050098473</v>
      </c>
      <c r="L40" s="137" t="n"/>
      <c r="X40" s="107" t="n"/>
      <c r="Y40" s="107" t="n"/>
      <c r="Z40" s="107" t="n"/>
    </row>
    <row r="41">
      <c r="C41" s="135" t="inlineStr">
        <is>
          <t>Capital expenditures [IFRS16 - implied lease payments]</t>
        </is>
      </c>
      <c r="D41" s="251">
        <f>IFERROR(0,"")</f>
        <v>0</v>
      </c>
      <c r="E41" s="251">
        <f>IFERROR(0,"")</f>
        <v>0</v>
      </c>
      <c r="F41" s="136">
        <f>IFERROR(0,"")</f>
        <v>0</v>
      </c>
      <c r="G41" s="136">
        <f>IFERROR(0,"")</f>
        <v>0</v>
      </c>
      <c r="H41" s="136">
        <f>IFERROR(0,"")</f>
        <v>0</v>
      </c>
      <c r="I41" s="136">
        <f>IFERROR(0,"")</f>
        <v>0</v>
      </c>
      <c r="J41" s="136">
        <f>IFERROR(0,"")</f>
        <v>0</v>
      </c>
      <c r="K41" s="136">
        <f>IFERROR(0,"")</f>
        <v>0</v>
      </c>
      <c r="L41" s="137" t="n"/>
      <c r="X41" s="107" t="n"/>
      <c r="Y41" s="107" t="n"/>
      <c r="Z41" s="107" t="n"/>
    </row>
    <row r="42">
      <c r="C42" s="138" t="inlineStr">
        <is>
          <t>Purchase of intangible assets</t>
        </is>
      </c>
      <c r="D42" s="139">
        <f>IFERROR(0,"")</f>
        <v>0</v>
      </c>
      <c r="E42" s="139">
        <f>IFERROR(0,"")</f>
        <v>0</v>
      </c>
      <c r="F42" s="139">
        <f>IFERROR(0,"")</f>
        <v>0</v>
      </c>
      <c r="G42" s="139">
        <f>IFERROR(0,"")</f>
        <v>0</v>
      </c>
      <c r="H42" s="139">
        <f>IFERROR(0,"")</f>
        <v>0</v>
      </c>
      <c r="I42" s="139">
        <f>IFERROR(0,"")</f>
        <v>0</v>
      </c>
      <c r="J42" s="139">
        <f>IFERROR(0,"")</f>
        <v>0</v>
      </c>
      <c r="K42" s="139">
        <f>IFERROR(0,"")</f>
        <v>0</v>
      </c>
      <c r="L42" s="140" t="n"/>
      <c r="M42" s="141" t="n"/>
      <c r="X42" s="107" t="n"/>
      <c r="Y42" s="107" t="n"/>
      <c r="Z42" s="107" t="n"/>
      <c r="AB42" s="102" t="n"/>
    </row>
    <row r="43">
      <c r="X43" s="107" t="n"/>
      <c r="Y43" s="107" t="n"/>
      <c r="Z43" s="107" t="n"/>
    </row>
    <row r="44">
      <c r="C44" s="112" t="inlineStr">
        <is>
          <t>Net Investments</t>
        </is>
      </c>
      <c r="D44" s="133">
        <f>IFERROR(SUM(D27,D40:D42,D26),"")</f>
        <v>-144.010999999999</v>
      </c>
      <c r="E44" s="133">
        <f>IFERROR(SUM(E27,E40:E42,E26),"")</f>
        <v>-3229.654</v>
      </c>
      <c r="F44" s="133">
        <f>IFERROR(SUM(F27,F40:F42,F26),"")</f>
        <v>-763.455999999999</v>
      </c>
      <c r="G44" s="133">
        <f>IFERROR(SUM(G27,G40:G42,G26),"")</f>
        <v>-3959.25091393645</v>
      </c>
      <c r="H44" s="133">
        <f>IFERROR(SUM(H27,H40:H42,H26),"")</f>
        <v>-2086.59519299491</v>
      </c>
      <c r="I44" s="133">
        <f>IFERROR(SUM(I27,I40:I42,I26),"")</f>
        <v>-2234.97638826532</v>
      </c>
      <c r="J44" s="133">
        <f>IFERROR(SUM(J27,J40:J42,J26),"")</f>
        <v>-2382.76473095498</v>
      </c>
      <c r="K44" s="133">
        <f>IFERROR(SUM(K27,K40:K42,K26),"")</f>
        <v>-2529.2245433295</v>
      </c>
      <c r="L44" s="133" t="n"/>
      <c r="M44" s="142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4" t="n"/>
      <c r="X44" s="107" t="n"/>
      <c r="Y44" s="141" t="n"/>
      <c r="Z44" s="107" t="n"/>
    </row>
    <row r="45">
      <c r="C45" s="143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V45" s="144" t="n"/>
      <c r="X45" s="107" t="n"/>
      <c r="Y45" s="107" t="n"/>
      <c r="Z45" s="107" t="n"/>
    </row>
    <row r="46">
      <c r="C46" s="143" t="inlineStr">
        <is>
          <t>Invested Capital</t>
        </is>
      </c>
      <c r="D46" s="136">
        <f>IFERROR(Model!W362,"")</f>
        <v>15664.202</v>
      </c>
      <c r="E46" s="136">
        <f>IFERROR(Model!AB362,"")</f>
        <v>19041.543</v>
      </c>
      <c r="F46" s="136">
        <f>IFERROR(Model!AG362,"")</f>
        <v>18554.859</v>
      </c>
      <c r="G46" s="136">
        <f>IFERROR(Model!AL362,"")</f>
        <v>22258.9129139364</v>
      </c>
      <c r="H46" s="136">
        <f>IFERROR(Model!AQ362,"")</f>
        <v>24345.5081069314</v>
      </c>
      <c r="I46" s="136">
        <f>IFERROR(Model!AV362,"")</f>
        <v>26580.4844951967</v>
      </c>
      <c r="J46" s="136">
        <f>IFERROR(Model!BA362,"")</f>
        <v>28963.2492261517</v>
      </c>
      <c r="K46" s="136">
        <f>IFERROR(Model!BF362,"")</f>
        <v>31492.4737694812</v>
      </c>
      <c r="L46" s="136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6" t="n"/>
      <c r="X46" s="141" t="n"/>
      <c r="Y46" s="141" t="n"/>
      <c r="Z46" s="107" t="n"/>
    </row>
    <row r="47">
      <c r="C47" s="143" t="inlineStr">
        <is>
          <t>Invested Capital (ex Goodwill)</t>
        </is>
      </c>
      <c r="D47" s="136">
        <f>IFERROR(Model!W363,"")</f>
        <v>15664.202</v>
      </c>
      <c r="E47" s="136">
        <f>IFERROR(Model!AB363,"")</f>
        <v>19041.543</v>
      </c>
      <c r="F47" s="136">
        <f>IFERROR(Model!AG363,"")</f>
        <v>18554.859</v>
      </c>
      <c r="G47" s="136">
        <f>IFERROR(Model!AL363,"")</f>
        <v>22258.9129139364</v>
      </c>
      <c r="H47" s="136">
        <f>IFERROR(Model!AQ363,"")</f>
        <v>24345.5081069314</v>
      </c>
      <c r="I47" s="136">
        <f>IFERROR(Model!AV363,"")</f>
        <v>26580.4844951967</v>
      </c>
      <c r="J47" s="136">
        <f>IFERROR(Model!BA363,"")</f>
        <v>28963.2492261517</v>
      </c>
      <c r="K47" s="136">
        <f>IFERROR(Model!BF363,"")</f>
        <v>31492.4737694812</v>
      </c>
      <c r="L47" s="136" t="n"/>
      <c r="V47" s="144" t="n"/>
      <c r="X47" s="107" t="n"/>
      <c r="Y47" s="107" t="n"/>
      <c r="Z47" s="107" t="n"/>
    </row>
    <row r="48">
      <c r="C48" s="116" t="inlineStr">
        <is>
          <t>Invested Capital / Net Revenues</t>
        </is>
      </c>
      <c r="D48" s="122">
        <f>IFERROR(IF(D18=0,"",D46/D18),"")</f>
        <v>1.51461813917483</v>
      </c>
      <c r="E48" s="122">
        <f>IFERROR(IF(E18=0,"",E46/E18),"")</f>
        <v>1.41244419758345</v>
      </c>
      <c r="F48" s="122">
        <f>IFERROR(IF(F18=0,"",F46/F18),"")</f>
        <v>1.26463939809687</v>
      </c>
      <c r="G48" s="122">
        <f>IFERROR(IF(G18=0,"",G46/G18),"")</f>
        <v>1.4324631998673</v>
      </c>
      <c r="H48" s="122">
        <f>IFERROR(IF(H18=0,"",H46/H18),"")</f>
        <v>1.45547660648133</v>
      </c>
      <c r="I48" s="122">
        <f>IFERROR(IF(I18=0,"",I46/I18),"")</f>
        <v>1.48312617203635</v>
      </c>
      <c r="J48" s="122">
        <f>IFERROR(IF(J18=0,"",J46/J18),"")</f>
        <v>1.51538408138851</v>
      </c>
      <c r="K48" s="122">
        <f>IFERROR(IF(K18=0,"",K46/K18),"")</f>
        <v>1.55232770970687</v>
      </c>
      <c r="L48" s="122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8" t="n"/>
      <c r="X48" s="106" t="n"/>
      <c r="Y48" s="107" t="n"/>
      <c r="Z48" s="107" t="n"/>
    </row>
    <row r="49">
      <c r="X49" s="107" t="n"/>
      <c r="Y49" s="107" t="n"/>
      <c r="Z49" s="107" t="n"/>
    </row>
    <row r="50">
      <c r="C50" s="149" t="inlineStr">
        <is>
          <t>ROIC</t>
        </is>
      </c>
      <c r="D50" s="150">
        <f>IFERROR(IF(D46=0,"",D25/D46),"")</f>
        <v>0.0626407013995427</v>
      </c>
      <c r="E50" s="150">
        <f>IFERROR(IF(E46=0,"",E25/E46),"")</f>
        <v>0.102909908139169</v>
      </c>
      <c r="F50" s="150">
        <f>IFERROR(IF(F46=0,"",F25/F46),"")</f>
        <v>0.160726068875036</v>
      </c>
      <c r="G50" s="150">
        <f>IFERROR(IF(G46=0,"",G25/G46),"")</f>
        <v>0.150288869271544</v>
      </c>
      <c r="H50" s="150">
        <f>IFERROR(IF(H46=0,"",H25/H46),"")</f>
        <v>0.143638665650786</v>
      </c>
      <c r="I50" s="150">
        <f>IFERROR(IF(I46=0,"",I25/I46),"")</f>
        <v>0.140960844453218</v>
      </c>
      <c r="J50" s="150">
        <f>IFERROR(IF(J46=0,"",J25/J46),"")</f>
        <v>0.137960217616483</v>
      </c>
      <c r="K50" s="150">
        <f>IFERROR(IF(K46=0,"",K25/K46),"")</f>
        <v>0.134676921846863</v>
      </c>
      <c r="L50" s="150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2" t="n"/>
      <c r="X50" s="115" t="n"/>
      <c r="Y50" s="115" t="n"/>
      <c r="Z50" s="153" t="n"/>
    </row>
    <row r="51">
      <c r="C51" s="102" t="inlineStr">
        <is>
          <t>Capital Turnover</t>
        </is>
      </c>
      <c r="D51" s="154">
        <f>IFERROR(IF(D46=0,"",D18/D46),"")</f>
        <v>0.660232420393966</v>
      </c>
      <c r="E51" s="154">
        <f>IFERROR(IF(E46=0,"",E18/E46),"")</f>
        <v>0.707992571820467</v>
      </c>
      <c r="F51" s="154">
        <f>IFERROR(IF(F46=0,"",F18/F46),"")</f>
        <v>0.790739242747681</v>
      </c>
      <c r="G51" s="154">
        <f>IFERROR(IF(G46=0,"",G18/G46),"")</f>
        <v>0.698098212989094</v>
      </c>
      <c r="H51" s="154">
        <f>IFERROR(IF(H46=0,"",H18/H46),"")</f>
        <v>0.687060166784501</v>
      </c>
      <c r="I51" s="154">
        <f>IFERROR(IF(I46=0,"",I18/I46),"")</f>
        <v>0.674251468859854</v>
      </c>
      <c r="J51" s="154">
        <f>IFERROR(IF(J46=0,"",J18/J46),"")</f>
        <v>0.659898709694593</v>
      </c>
      <c r="K51" s="154">
        <f>IFERROR(IF(K46=0,"",K18/K46),"")</f>
        <v>0.644193873334152</v>
      </c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</row>
    <row r="52"/>
    <row r="53" customFormat="1" s="102">
      <c r="A53" s="251" t="n"/>
      <c r="B53" s="251" t="n"/>
      <c r="C53" s="102" t="inlineStr">
        <is>
          <t>Unlevered free cash flows = FCFF</t>
        </is>
      </c>
      <c r="D53" s="155">
        <f>IFERROR(D25+D44,"")</f>
        <v>837.20560014412</v>
      </c>
      <c r="E53" s="155">
        <f>IFERROR(E25+E44,"")</f>
        <v>-1270.09055904197</v>
      </c>
      <c r="F53" s="155">
        <f>IFERROR(F25+F44,"")</f>
        <v>2218.79354560059</v>
      </c>
      <c r="G53" s="156">
        <f>IFERROR(G25+G44,"")</f>
        <v>-613.984060887176</v>
      </c>
      <c r="H53" s="155">
        <f>IFERROR(H25+H44,"")</f>
        <v>1410.3611060751</v>
      </c>
      <c r="I53" s="155">
        <f>IFERROR(I25+I44,"")</f>
        <v>1511.83115215326</v>
      </c>
      <c r="J53" s="155">
        <f>IFERROR(J25+J44,"")</f>
        <v>1613.01143516533</v>
      </c>
      <c r="K53" s="155">
        <f>IFERROR(K25+K44,"")</f>
        <v>1712.0848852873</v>
      </c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</row>
    <row r="54">
      <c r="C54" s="157" t="inlineStr">
        <is>
          <t>Discount factor</t>
        </is>
      </c>
      <c r="G54" s="158" t="str">
        <f>IFERROR(IF(Control!E12="","",1/(1+Control!E12)^Control!B13),"")</f>
        <v/>
      </c>
      <c r="H54" s="158" t="str">
        <f>IFERROR(IF(G54="","",G54/(1+Control!E12)),"")</f>
        <v/>
      </c>
      <c r="I54" s="158" t="str">
        <f>IFERROR(IF(H54="","",H54/(1+Control!E12)),"")</f>
        <v/>
      </c>
      <c r="J54" s="158" t="str">
        <f>IFERROR(IF(I54="","",I54/(1+Control!E12)),"")</f>
        <v/>
      </c>
      <c r="K54" s="158" t="str">
        <f>IFERROR(IF(J54="","",J54/(1+Control!E12)),"")</f>
        <v/>
      </c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</row>
    <row r="55">
      <c r="C55" s="157" t="inlineStr">
        <is>
          <t>Midyear adjustment factor</t>
        </is>
      </c>
      <c r="G55" s="159" t="str">
        <f>IFERROR(IF(Control!E12="","",(1+Control!E12)^0.5),"")</f>
        <v/>
      </c>
      <c r="H55" s="158" t="str">
        <f>IFERROR(G55,"")</f>
        <v/>
      </c>
      <c r="I55" s="158" t="str">
        <f>IFERROR(H55,"")</f>
        <v/>
      </c>
      <c r="J55" s="158" t="str">
        <f>IFERROR(I55,"")</f>
        <v/>
      </c>
      <c r="K55" s="158" t="str">
        <f>IFERROR(J55,"")</f>
        <v/>
      </c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</row>
    <row r="56">
      <c r="C56" s="157" t="inlineStr">
        <is>
          <t>Present value of free cash flows</t>
        </is>
      </c>
      <c r="G56" s="141" t="str">
        <f>IFERROR(IF(G54="","",G53*G54*G55),"")</f>
        <v/>
      </c>
      <c r="H56" s="141" t="str">
        <f>IFERROR(IF(H54="","",H53*H54*H55),"")</f>
        <v/>
      </c>
      <c r="I56" s="141" t="str">
        <f>IFERROR(IF(I54="","",I53*I54*I55),"")</f>
        <v/>
      </c>
      <c r="J56" s="141" t="str">
        <f>IFERROR(IF(J54="","",J53*J54*J55),"")</f>
        <v/>
      </c>
      <c r="K56" s="141" t="str">
        <f>IFERROR(IF(K54="","",K53*K54*K55),"")</f>
        <v/>
      </c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</row>
    <row r="57">
      <c r="C57" s="102" t="inlineStr">
        <is>
          <t>Sum of present values of FCFs</t>
        </is>
      </c>
      <c r="G57" s="155" t="str">
        <f>IFERROR(IF(COUNT(G56:K56)=0,"",SUM(G56:K56)),"")</f>
        <v/>
      </c>
      <c r="H57" s="141" t="n"/>
      <c r="N57" s="160" t="n"/>
    </row>
    <row r="58"/>
    <row r="59">
      <c r="C59" s="102" t="n"/>
      <c r="D59" s="95">
        <f>IFERROR(IF(Control!B9="","",Control!B9),"")</f>
        <v>47848.0</v>
      </c>
      <c r="E59" s="161" t="n"/>
      <c r="F59" s="162" t="n"/>
      <c r="G59" s="162" t="n"/>
      <c r="H59" s="95">
        <f>IFERROR(IF(Control!B7="","",Control!B7),"")</f>
        <v>46203.0</v>
      </c>
      <c r="I59" s="162" t="n"/>
      <c r="J59" s="162" t="n"/>
      <c r="K59" s="162" t="n"/>
      <c r="L59" s="162" t="n"/>
    </row>
    <row r="60" ht="13.5" customHeight="1">
      <c r="C60" s="163" t="inlineStr">
        <is>
          <t>Terminal value</t>
        </is>
      </c>
      <c r="D60" s="164" t="n"/>
      <c r="E60" s="165" t="inlineStr">
        <is>
          <t>Equity value calculations</t>
        </is>
      </c>
      <c r="F60" s="166" t="n"/>
      <c r="G60" s="166" t="n"/>
      <c r="H60" s="166" t="n"/>
      <c r="I60" s="167" t="inlineStr">
        <is>
          <t xml:space="preserve"> Shares Outstanding Worksheet</t>
        </is>
      </c>
      <c r="J60" s="168" t="n"/>
      <c r="K60" s="169" t="n"/>
      <c r="L60" s="170" t="n"/>
    </row>
    <row r="61">
      <c r="C61" s="143" t="n"/>
      <c r="D61" s="144" t="n"/>
      <c r="I61" s="143" t="n"/>
      <c r="L61" s="144" t="n"/>
    </row>
    <row r="62">
      <c r="C62" s="171" t="inlineStr">
        <is>
          <t>Key value driver method</t>
        </is>
      </c>
      <c r="D62" s="172" t="n"/>
      <c r="E62" s="173" t="inlineStr">
        <is>
          <t>Enterprise value</t>
        </is>
      </c>
      <c r="H62" s="155" t="str">
        <f>IFERROR(D80,"")</f>
        <v/>
      </c>
      <c r="I62" s="174" t="inlineStr">
        <is>
          <t>Basic Shares Outanding :</t>
        </is>
      </c>
      <c r="J62" s="97" t="n"/>
      <c r="L62" s="175" t="n"/>
    </row>
    <row r="63" ht="13.5" customHeight="1">
      <c r="C63" s="171" t="inlineStr">
        <is>
          <t>g</t>
        </is>
      </c>
      <c r="D63" s="176" t="str">
        <f>IFERROR(IF(Control!E13="","",Control!E13),"")</f>
        <v/>
      </c>
      <c r="E63" s="157" t="inlineStr">
        <is>
          <t>Calculation of net debt:</t>
        </is>
      </c>
      <c r="H63" s="141" t="n"/>
      <c r="I63" s="174" t="inlineStr">
        <is>
          <t>Current Share Price:</t>
        </is>
      </c>
      <c r="L63" s="177" t="n"/>
    </row>
    <row r="64" ht="13.5" customHeight="1">
      <c r="C64" s="171" t="inlineStr">
        <is>
          <t>RONIC</t>
        </is>
      </c>
      <c r="D64" s="178">
        <f>IFERROR(K50,"")</f>
        <v>0.134676921846863</v>
      </c>
      <c r="E64" s="157" t="inlineStr">
        <is>
          <t>Current portion of long-term debt</t>
        </is>
      </c>
      <c r="H64" s="137">
        <f>IFERROR(INDEX(Model!$I$224:$BF$224,1,MATCH(Control!$B$7,Model!$I$5:$BF$5,0)),"")</f>
        <v>2782.282</v>
      </c>
      <c r="I64" s="179" t="inlineStr">
        <is>
          <t>Options / Warrants Data</t>
        </is>
      </c>
      <c r="J64" s="109" t="n"/>
      <c r="K64" s="109" t="n"/>
      <c r="L64" s="180" t="n"/>
    </row>
    <row r="65">
      <c r="C65" s="171" t="inlineStr">
        <is>
          <t>NOPLAT (t+1)</t>
        </is>
      </c>
      <c r="D65" s="181" t="str">
        <f>IFERROR(K25*(1+D63),"")</f>
        <v/>
      </c>
      <c r="E65" s="157" t="inlineStr">
        <is>
          <t>Short term debt</t>
        </is>
      </c>
      <c r="H65" s="137">
        <f>IFERROR(INDEX(Model!$I$225:$BF$225,1,MATCH(Control!$B$7,Model!$I$5:$BF$5,0)),"")</f>
        <v>0</v>
      </c>
      <c r="I65" s="179" t="n"/>
      <c r="J65" s="182" t="inlineStr">
        <is>
          <t># of options</t>
        </is>
      </c>
      <c r="K65" s="182" t="inlineStr">
        <is>
          <t xml:space="preserve">$ strike </t>
        </is>
      </c>
      <c r="L65" s="180" t="n"/>
    </row>
    <row r="66">
      <c r="C66" s="171" t="inlineStr">
        <is>
          <t>Terminal value</t>
        </is>
      </c>
      <c r="D66" s="181" t="str">
        <f>IFERROR(IF(OR(Control!E12="",D64="",D64&lt;=D63,Control!E12&lt;=D63),"",(D65*(1-D63/D64))/(Control!E12-D63)),"")</f>
        <v/>
      </c>
      <c r="E66" s="157" t="inlineStr">
        <is>
          <t>Long term debt</t>
        </is>
      </c>
      <c r="H66" s="137">
        <f>IFERROR(INDEX(Model!$I$229:$BF$229,1,MATCH(Control!$B$7,Model!$I$5:$BF$5,0)),"")</f>
        <v>20325.969</v>
      </c>
      <c r="I66" s="157" t="inlineStr">
        <is>
          <t>Batch 1</t>
        </is>
      </c>
      <c r="J66" s="183" t="n"/>
      <c r="K66" s="184" t="n"/>
      <c r="L66" s="185" t="n"/>
    </row>
    <row r="67">
      <c r="C67" s="171" t="inlineStr">
        <is>
          <t>Midyear adjusted terminal value</t>
        </is>
      </c>
      <c r="D67" s="181" t="str">
        <f>IFERROR(IF(D66="","",D66*K55),"")</f>
        <v/>
      </c>
      <c r="E67" s="157" t="inlineStr">
        <is>
          <t>Convertible debt</t>
        </is>
      </c>
      <c r="H67" s="137">
        <f>IFERROR(INDEX(Model!$I$250:$BF$250,1,MATCH(Control!$B$7,Model!$I$5:$BF$5,0)),"")</f>
        <v>0</v>
      </c>
      <c r="I67" s="157" t="inlineStr">
        <is>
          <t>Batch 2</t>
        </is>
      </c>
      <c r="J67" s="186" t="n"/>
      <c r="K67" s="187" t="n"/>
      <c r="L67" s="185" t="n"/>
    </row>
    <row r="68">
      <c r="C68" s="171" t="inlineStr">
        <is>
          <t>Present value of terminal value</t>
        </is>
      </c>
      <c r="D68" s="181" t="str">
        <f>IFERROR(IF(D67="","",D67*K54),"")</f>
        <v/>
      </c>
      <c r="E68" s="157" t="inlineStr">
        <is>
          <t>Minority interest</t>
        </is>
      </c>
      <c r="H68" s="137">
        <f>IFERROR(INDEX(Model!$I$260:$BF$260,1,MATCH(Control!$B$7,Model!$I$5:$BF$5,0)),"")</f>
        <v>0</v>
      </c>
      <c r="I68" s="157" t="inlineStr">
        <is>
          <t>Batch 3</t>
        </is>
      </c>
      <c r="J68" s="186" t="n"/>
      <c r="K68" s="187" t="n"/>
      <c r="L68" s="185" t="n"/>
    </row>
    <row r="69">
      <c r="C69" s="174" t="inlineStr">
        <is>
          <t>Enterprise value</t>
        </is>
      </c>
      <c r="D69" s="188" t="str">
        <f>IFERROR(IF(OR(D68="",G57=""),"",D68+G57),"")</f>
        <v/>
      </c>
      <c r="E69" s="157" t="inlineStr">
        <is>
          <t>Convertible preferred stock</t>
        </is>
      </c>
      <c r="H69" s="137">
        <f>IFERROR(INDEX(Model!$I$265:$BF$265,1,MATCH(Control!$B$7,Model!$I$5:$BF$5,0)),"")</f>
        <v>0</v>
      </c>
      <c r="I69" s="157" t="inlineStr">
        <is>
          <t>Batch 4</t>
        </is>
      </c>
      <c r="J69" s="186" t="n"/>
      <c r="K69" s="187" t="n"/>
      <c r="L69" s="185" t="n"/>
    </row>
    <row r="70">
      <c r="C70" s="143" t="n"/>
      <c r="D70" s="144" t="n"/>
      <c r="E70" s="157" t="inlineStr">
        <is>
          <t>Short term operating leases</t>
        </is>
      </c>
      <c r="H70" s="137">
        <f>IFERROR(INDEX(Model!$I$226:$BF$226,1,MATCH(Control!$B$7,Model!$I$5:$BF$5,0)),"")</f>
        <v>200.687</v>
      </c>
      <c r="I70" s="157" t="inlineStr">
        <is>
          <t>Batch 5</t>
        </is>
      </c>
      <c r="J70" s="186" t="n"/>
      <c r="K70" s="187" t="n"/>
      <c r="L70" s="185" t="n"/>
    </row>
    <row r="71">
      <c r="C71" s="171" t="inlineStr">
        <is>
          <t>Exit multiple method</t>
        </is>
      </c>
      <c r="D71" s="172" t="n"/>
      <c r="E71" s="157" t="inlineStr">
        <is>
          <t>Long term operating leases</t>
        </is>
      </c>
      <c r="H71" s="137">
        <f>IFERROR(INDEX(Model!$I$247:$BF$247,1,MATCH(Control!$B$7,Model!$I$5:$BF$5,0)),"")</f>
        <v>501.706</v>
      </c>
      <c r="I71" s="179" t="inlineStr">
        <is>
          <t>Batch 6</t>
        </is>
      </c>
      <c r="J71" s="189" t="n"/>
      <c r="K71" s="190" t="n"/>
      <c r="L71" s="191" t="n"/>
    </row>
    <row r="72">
      <c r="C72" s="174" t="inlineStr">
        <is>
          <t>Exit EV / EBITDA multiple</t>
        </is>
      </c>
      <c r="D72" s="192" t="str">
        <f>IFERROR(IF(Control!E14="","",Control!E14),"")</f>
        <v/>
      </c>
      <c r="E72" s="157" t="inlineStr">
        <is>
          <t>Less: Excess cash</t>
        </is>
      </c>
      <c r="H72" s="137">
        <f>IFERROR(-INDEX(Model!$I$156:$BF$156,1,MATCH(Control!$B$7,Model!$I$5:$BF$5,0)),"")</f>
        <v>-7479.297</v>
      </c>
      <c r="J72" s="162" t="n"/>
      <c r="K72" s="193" t="inlineStr">
        <is>
          <t>Total in-the-$ options:</t>
        </is>
      </c>
      <c r="L72" s="185" t="n"/>
    </row>
    <row r="73">
      <c r="C73" s="174" t="inlineStr">
        <is>
          <t>LTM EBITDA at end of projection</t>
        </is>
      </c>
      <c r="D73" s="188">
        <f>IFERROR(K20,"")</f>
        <v>8157.6400793386</v>
      </c>
      <c r="E73" s="157" t="inlineStr">
        <is>
          <t>Less: Equity investments</t>
        </is>
      </c>
      <c r="H73" s="137">
        <f>IFERROR(-INDEX(Model!$I$173:$BF$173,1,MATCH(Control!$B$7,Model!$I$5:$BF$5,0)),"")</f>
        <v>-38.7</v>
      </c>
      <c r="J73" s="162" t="n"/>
      <c r="K73" s="193" t="inlineStr">
        <is>
          <t>Total $ proceeds:</t>
        </is>
      </c>
      <c r="L73" s="194" t="n"/>
    </row>
    <row r="74">
      <c r="C74" s="174" t="inlineStr">
        <is>
          <t>Terminal value</t>
        </is>
      </c>
      <c r="D74" s="188" t="str">
        <f>IFERROR(IF(OR(D72="",D73=""),"",D73*D72),"")</f>
        <v/>
      </c>
      <c r="E74" s="157" t="inlineStr">
        <is>
          <t>Net debt</t>
        </is>
      </c>
      <c r="H74" s="188">
        <f>IFERROR(SUM(H64:H73),"")</f>
        <v>16292.647</v>
      </c>
      <c r="J74" s="162" t="n"/>
      <c r="K74" s="193" t="inlineStr">
        <is>
          <t>Total shares repurchased:</t>
        </is>
      </c>
      <c r="L74" s="185" t="n"/>
    </row>
    <row r="75">
      <c r="C75" s="174" t="inlineStr">
        <is>
          <t>Present value of terminal value</t>
        </is>
      </c>
      <c r="D75" s="188" t="str">
        <f>IFERROR(IF(OR(D74="",K54="",K55=""),"",D74*K54*K55),"")</f>
        <v/>
      </c>
      <c r="E75" s="173" t="inlineStr">
        <is>
          <t>Equity value</t>
        </is>
      </c>
      <c r="H75" s="181" t="str">
        <f>IFERROR(IF(H62="","",H62-H74),"")</f>
        <v/>
      </c>
      <c r="J75" s="162" t="n"/>
      <c r="K75" s="195" t="inlineStr">
        <is>
          <t>Basic shares outstanding</t>
        </is>
      </c>
      <c r="L75" s="172" t="n"/>
    </row>
    <row r="76" ht="13.5" customHeight="1">
      <c r="C76" s="174" t="inlineStr">
        <is>
          <t>Enterprise value</t>
        </is>
      </c>
      <c r="D76" s="188" t="str">
        <f>IFERROR(IF(OR(D75="",G57=""),"",G57+D75),"")</f>
        <v/>
      </c>
      <c r="E76" s="157" t="inlineStr">
        <is>
          <t>Shares outstanding</t>
        </is>
      </c>
      <c r="H76" s="188" t="str">
        <f>IFERROR(IF(Control!E5="","",Control!E5),"")</f>
        <v/>
      </c>
      <c r="J76" s="196" t="n"/>
      <c r="K76" s="195" t="inlineStr">
        <is>
          <t>New shares from options:</t>
        </is>
      </c>
      <c r="L76" s="172" t="n"/>
    </row>
    <row r="77" ht="13.5" customHeight="1">
      <c r="C77" s="143" t="n"/>
      <c r="D77" s="197" t="n"/>
      <c r="E77" s="173" t="inlineStr">
        <is>
          <t>Equity value / share</t>
        </is>
      </c>
      <c r="H77" s="198" t="str">
        <f>IFERROR(IF(OR(H75="",H76="",H76=0),"",H75/H76),"")</f>
        <v/>
      </c>
      <c r="K77" s="195" t="inlineStr">
        <is>
          <t>New shares from convert. pref. stock:</t>
        </is>
      </c>
      <c r="L77" s="199" t="n"/>
    </row>
    <row r="78">
      <c r="C78" s="171" t="inlineStr">
        <is>
          <t>Select a terminal value method</t>
        </is>
      </c>
      <c r="D78" s="200" t="n"/>
      <c r="F78" s="160" t="n"/>
      <c r="H78" s="201" t="n"/>
      <c r="K78" s="195" t="inlineStr">
        <is>
          <t>New shares from convertible debt:</t>
        </is>
      </c>
      <c r="L78" s="202" t="n"/>
    </row>
    <row r="79">
      <c r="C79" s="174" t="inlineStr">
        <is>
          <t>Perpetual growth = 1 / Exit multiple = 2</t>
        </is>
      </c>
      <c r="D79" s="203">
        <f>IFERROR(Control!B11,"")</f>
        <v>1</v>
      </c>
      <c r="H79" s="201" t="n"/>
      <c r="K79" s="204" t="inlineStr">
        <is>
          <t>Total Shares Outstanding:</t>
        </is>
      </c>
      <c r="L79" s="205" t="n"/>
    </row>
    <row r="80">
      <c r="C80" s="174" t="inlineStr">
        <is>
          <t>Enterprise value</t>
        </is>
      </c>
      <c r="D80" s="172" t="str">
        <f>IFERROR(IF(D79=1,D69,D76),"")</f>
        <v/>
      </c>
      <c r="H80" s="144" t="n"/>
      <c r="K80" s="204" t="n"/>
      <c r="L80" s="205" t="n"/>
    </row>
    <row r="81">
      <c r="C81" s="206" t="inlineStr">
        <is>
          <t>Terminal value as percent of total value</t>
        </is>
      </c>
      <c r="D81" s="207" t="str">
        <f>IFERROR(IF(D79=1,D68/D69,D75/D76),"")</f>
        <v/>
      </c>
      <c r="E81" s="109" t="n"/>
      <c r="F81" s="109" t="n"/>
      <c r="G81" s="109" t="n"/>
      <c r="H81" s="123" t="n"/>
      <c r="I81" s="109" t="n"/>
      <c r="J81" s="109" t="n"/>
      <c r="K81" s="109" t="n"/>
      <c r="L81" s="123" t="n"/>
    </row>
    <row r="82"/>
    <row r="83" ht="13.5" customHeight="1">
      <c r="C83" s="208" t="inlineStr">
        <is>
          <t>Analysis of WACC</t>
        </is>
      </c>
      <c r="D83" s="209" t="n"/>
      <c r="E83" s="210" t="n"/>
      <c r="F83" s="210" t="n"/>
      <c r="G83" s="208" t="n"/>
      <c r="H83" s="209" t="n"/>
      <c r="I83" s="210" t="n"/>
      <c r="J83" s="210" t="n"/>
      <c r="K83" s="210" t="n"/>
      <c r="L83" s="210" t="n"/>
    </row>
    <row r="84"/>
    <row r="85">
      <c r="C85" s="211" t="inlineStr">
        <is>
          <t>Cost of debt</t>
        </is>
      </c>
      <c r="D85" s="109" t="n"/>
      <c r="F85" s="211" t="inlineStr">
        <is>
          <t>Capital structure</t>
        </is>
      </c>
      <c r="G85" s="211" t="n"/>
      <c r="H85" s="211" t="n"/>
      <c r="I85" s="211" t="n"/>
      <c r="J85" s="211" t="n"/>
    </row>
    <row r="86">
      <c r="C86" s="157" t="inlineStr">
        <is>
          <t>Cost of debt</t>
        </is>
      </c>
      <c r="D86" s="212" t="str">
        <f>IFERROR(IF(Control!E9="","",Control!E9),"")</f>
        <v/>
      </c>
      <c r="G86" s="252" t="inlineStr">
        <is>
          <t>Current capital structure</t>
        </is>
      </c>
      <c r="H86" s="253" t="n"/>
      <c r="I86" s="254" t="inlineStr">
        <is>
          <t>Target capital structure</t>
        </is>
      </c>
      <c r="J86" s="255" t="n"/>
    </row>
    <row r="87">
      <c r="C87" s="157" t="inlineStr">
        <is>
          <t>Marginal tax rate</t>
        </is>
      </c>
      <c r="D87" s="212" t="str">
        <f>IFERROR(IF(Control!E10="","",Control!E10),"")</f>
        <v/>
      </c>
      <c r="F87" s="109" t="n"/>
      <c r="G87" s="182" t="inlineStr">
        <is>
          <t>Market value</t>
        </is>
      </c>
      <c r="H87" s="182" t="inlineStr">
        <is>
          <t>% Weight</t>
        </is>
      </c>
      <c r="I87" s="182" t="inlineStr">
        <is>
          <t>override</t>
        </is>
      </c>
      <c r="J87" s="213" t="inlineStr">
        <is>
          <t>% Weight</t>
        </is>
      </c>
      <c r="K87" s="214" t="n"/>
      <c r="L87" s="215" t="n"/>
    </row>
    <row r="88">
      <c r="C88" s="251" t="inlineStr">
        <is>
          <t>Cost of debt after tax shield</t>
        </is>
      </c>
      <c r="D88" s="216" t="str">
        <f>IFERROR(IF(D86="","",D86*(1-D87)),"")</f>
        <v/>
      </c>
      <c r="F88" s="251" t="inlineStr">
        <is>
          <t>Net debt</t>
        </is>
      </c>
      <c r="G88" s="217">
        <f>IFERROR(H74,"")</f>
        <v>16292.647</v>
      </c>
      <c r="H88" s="97">
        <f>IFERROR(debt/totalcap,"")</f>
        <v>1</v>
      </c>
      <c r="I88" s="212" t="n"/>
      <c r="J88" s="97">
        <f>IFERROR(IF(I88,I88,H88),"")</f>
        <v>1</v>
      </c>
      <c r="L88" s="218" t="n"/>
    </row>
    <row r="89">
      <c r="F89" s="251" t="inlineStr">
        <is>
          <t>Equity</t>
        </is>
      </c>
      <c r="G89" s="217">
        <f>IFERROR(L63*L79,"")</f>
        <v>0</v>
      </c>
      <c r="H89" s="97">
        <f>IFERROR(1-H88,"")</f>
        <v>0</v>
      </c>
      <c r="J89" s="97">
        <f>IFERROR(1-debt_weight,"")</f>
        <v>0</v>
      </c>
    </row>
    <row r="90">
      <c r="C90" s="211" t="inlineStr">
        <is>
          <t>Cost of equity</t>
        </is>
      </c>
      <c r="D90" s="109" t="n"/>
      <c r="F90" s="251" t="inlineStr">
        <is>
          <t>Total</t>
        </is>
      </c>
      <c r="G90" s="214">
        <f>IFERROR(SUM(G88:G89),"")</f>
        <v>16292.647</v>
      </c>
    </row>
    <row r="91">
      <c r="C91" s="157" t="inlineStr">
        <is>
          <t>Risk-Free Rate (rf)</t>
        </is>
      </c>
      <c r="D91" s="212" t="str">
        <f>IFERROR(IF(Control!E6="","",Control!E6),"")</f>
        <v/>
      </c>
      <c r="E91" s="195" t="n"/>
    </row>
    <row r="92">
      <c r="C92" s="157" t="inlineStr">
        <is>
          <t>Market Risk Premium (rm-rf)</t>
        </is>
      </c>
      <c r="D92" s="212" t="str">
        <f>IFERROR(IF(Control!E7="","",Control!E7),"")</f>
        <v/>
      </c>
      <c r="F92" s="211" t="inlineStr">
        <is>
          <t>Weighted average cost of capital</t>
        </is>
      </c>
      <c r="G92" s="109" t="n"/>
      <c r="H92" s="109" t="n"/>
      <c r="I92" s="109" t="n"/>
      <c r="J92" s="109" t="n"/>
    </row>
    <row r="93">
      <c r="C93" s="157" t="inlineStr">
        <is>
          <t>Raw (observed) beta</t>
        </is>
      </c>
      <c r="D93" s="219" t="str">
        <f>IFERROR(IF(Control!E8="","",Control!E8),"")</f>
        <v/>
      </c>
      <c r="F93" s="251" t="inlineStr">
        <is>
          <t>Weighted average cost of capital:</t>
        </is>
      </c>
      <c r="J93" s="97" t="str">
        <f>IFERROR(IF(Control!E12="","",Control!E12),"")</f>
        <v/>
      </c>
    </row>
    <row r="94">
      <c r="C94" s="157" t="inlineStr">
        <is>
          <t>Cost of equity using relevered industry beta</t>
        </is>
      </c>
      <c r="D94" s="216" t="str">
        <f>IFERROR(IF(COUNT(D91:D93)&lt;3,"",D91+D93*D92),"")</f>
        <v/>
      </c>
      <c r="E94" s="102" t="n"/>
    </row>
    <row r="95">
      <c r="C95" s="157" t="n"/>
      <c r="D95" s="216" t="n"/>
      <c r="E95" s="102" t="n"/>
      <c r="G95" s="214" t="n"/>
    </row>
    <row r="96">
      <c r="C96" s="211" t="inlineStr">
        <is>
          <t>Industry beta calculation</t>
        </is>
      </c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</row>
    <row r="97" ht="25.5" customHeight="1">
      <c r="C97" s="220" t="inlineStr">
        <is>
          <t xml:space="preserve">Comps </t>
        </is>
      </c>
      <c r="D97" s="221" t="inlineStr">
        <is>
          <t>Raw beta</t>
        </is>
      </c>
      <c r="E97" s="221" t="inlineStr">
        <is>
          <t>Share price</t>
        </is>
      </c>
      <c r="F97" s="221" t="inlineStr">
        <is>
          <t>Shares</t>
        </is>
      </c>
      <c r="G97" s="221" t="inlineStr">
        <is>
          <t>Market cap.</t>
        </is>
      </c>
      <c r="H97" s="221" t="inlineStr">
        <is>
          <t>Debt</t>
        </is>
      </c>
      <c r="I97" s="221" t="inlineStr">
        <is>
          <t>D / E</t>
        </is>
      </c>
      <c r="J97" s="221" t="inlineStr">
        <is>
          <t>Tax rate</t>
        </is>
      </c>
      <c r="K97" s="221" t="inlineStr">
        <is>
          <t>Unl. Beta</t>
        </is>
      </c>
      <c r="L97" s="221" t="n"/>
      <c r="M97" s="221" t="n"/>
    </row>
    <row r="98">
      <c r="C98" s="251" t="str">
        <f>IFERROR(ticker,"")</f>
        <v>MOVI3) - fonte: Planilha de Fundamentos 2T26 do RI (ri.movida.com.br &gt; Fundamentos e Planilhas): abas IS | DRE (com IFRS16</v>
      </c>
      <c r="D98" s="222" t="n"/>
      <c r="E98" s="223" t="n"/>
      <c r="F98" s="141" t="n"/>
      <c r="G98" s="141" t="n"/>
      <c r="H98" s="141" t="n"/>
      <c r="I98" s="224" t="n"/>
      <c r="J98" s="224" t="n"/>
      <c r="K98" s="222" t="n"/>
      <c r="L98" s="225" t="n"/>
    </row>
    <row r="99">
      <c r="C99" s="226" t="inlineStr">
        <is>
          <t>TICKER 2</t>
        </is>
      </c>
      <c r="D99" s="219" t="n"/>
      <c r="E99" s="227" t="n"/>
      <c r="F99" s="228" t="n"/>
      <c r="G99" s="141" t="n"/>
      <c r="H99" s="228" t="n"/>
      <c r="I99" s="224" t="n"/>
      <c r="J99" s="229" t="n"/>
      <c r="K99" s="222" t="n"/>
      <c r="L99" s="225" t="n"/>
    </row>
    <row r="100">
      <c r="C100" s="226" t="inlineStr">
        <is>
          <t>TICKER 3</t>
        </is>
      </c>
      <c r="D100" s="219" t="n"/>
      <c r="E100" s="227" t="n"/>
      <c r="F100" s="228" t="n"/>
      <c r="G100" s="141" t="n"/>
      <c r="H100" s="228" t="n"/>
      <c r="I100" s="224" t="n"/>
      <c r="J100" s="229" t="n"/>
      <c r="K100" s="222" t="n"/>
      <c r="L100" s="225" t="n"/>
    </row>
    <row r="101">
      <c r="C101" s="230" t="inlineStr">
        <is>
          <t>TICKER 4</t>
        </is>
      </c>
      <c r="D101" s="231" t="n"/>
      <c r="E101" s="232" t="n"/>
      <c r="F101" s="233" t="n"/>
      <c r="G101" s="127" t="n"/>
      <c r="H101" s="233" t="n"/>
      <c r="I101" s="234" t="n"/>
      <c r="J101" s="235" t="n"/>
      <c r="K101" s="236" t="n"/>
      <c r="L101" s="225" t="n"/>
      <c r="M101" s="237" t="n"/>
    </row>
    <row r="102">
      <c r="D102" s="222" t="n"/>
      <c r="E102" s="204" t="n"/>
      <c r="F102" s="161" t="n"/>
      <c r="G102" s="141" t="n"/>
      <c r="I102" s="222" t="n"/>
      <c r="J102" s="237" t="n"/>
      <c r="K102" s="238" t="n"/>
      <c r="L102" s="238" t="n"/>
      <c r="M102" s="238" t="n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baseColWidth="8" defaultColWidth="9.7109375" defaultRowHeight="12.75"/>
  <cols>
    <col width="43.140625" customWidth="1" min="1" max="1"/>
    <col width="27.28515625" customWidth="1" min="2" max="2"/>
    <col width="18.140625" customWidth="1" min="3" max="3"/>
    <col width="34" customWidth="1" min="4" max="4"/>
    <col width="18.140625" customWidth="1" min="5" max="6"/>
  </cols>
  <sheetData>
    <row r="1" ht="18" customHeight="1">
      <c r="A1" s="239" t="inlineStr">
        <is>
          <t>CONTROL &amp; ASSUMPTIONS – BASE MODEL</t>
        </is>
      </c>
      <c r="B1" s="239" t="n"/>
      <c r="C1" s="239" t="n"/>
      <c r="D1" s="239" t="n"/>
      <c r="E1" s="239" t="n"/>
      <c r="F1" s="239" t="n"/>
    </row>
    <row r="3" ht="14.25" customHeight="1">
      <c r="A3" t="inlineStr">
        <is>
          <t>Company</t>
        </is>
      </c>
      <c r="B3" s="240" t="inlineStr">
        <is>
          <t>Movida</t>
        </is>
      </c>
      <c r="D3" s="241" t="inlineStr">
        <is>
          <t>Valuation assumptions</t>
        </is>
      </c>
      <c r="E3" s="241" t="n"/>
      <c r="F3" s="241" t="n"/>
    </row>
    <row r="4" ht="14.25" customHeight="1">
      <c r="A4" t="inlineStr">
        <is>
          <t>Ticker</t>
        </is>
      </c>
      <c r="B4" s="240" t="inlineStr">
        <is>
          <t>MOVI3) - fonte: Planilha de Fundamentos 2T26 do RI (ri.movida.com.br &gt; Fundamentos e Planilhas): abas IS | DRE (com IFRS16</t>
        </is>
      </c>
      <c r="D4" t="inlineStr">
        <is>
          <t>Last close (R$/share)</t>
        </is>
      </c>
      <c r="E4" s="242" t="n"/>
    </row>
    <row r="5" ht="14.25" customHeight="1">
      <c r="A5" t="inlineStr">
        <is>
          <t>Currency</t>
        </is>
      </c>
      <c r="B5" s="240" t="inlineStr">
        <is>
          <t>BRL</t>
        </is>
      </c>
      <c r="D5" t="inlineStr">
        <is>
          <t>Shares outstanding (mm)</t>
        </is>
      </c>
      <c r="E5" s="243" t="n"/>
    </row>
    <row r="6" ht="14.25" customHeight="1">
      <c r="A6" t="inlineStr">
        <is>
          <t>Model unit</t>
        </is>
      </c>
      <c r="B6" s="240" t="inlineStr">
        <is>
          <t>R$ milhões</t>
        </is>
      </c>
      <c r="D6" t="inlineStr">
        <is>
          <t>Risk-free rate</t>
        </is>
      </c>
      <c r="E6" s="244" t="n"/>
    </row>
    <row r="7" ht="14.25" customHeight="1">
      <c r="A7" t="inlineStr">
        <is>
          <t>Last actual period</t>
        </is>
      </c>
      <c r="B7" s="278" t="n">
        <v>46203</v>
      </c>
      <c r="D7" t="inlineStr">
        <is>
          <t>Market risk premium</t>
        </is>
      </c>
      <c r="E7" s="244" t="n"/>
    </row>
    <row r="8" ht="14.25" customHeight="1">
      <c r="A8" t="inlineStr">
        <is>
          <t>Quarterly forecast through</t>
        </is>
      </c>
      <c r="B8" s="245" t="n">
        <v>47118</v>
      </c>
      <c r="D8" t="inlineStr">
        <is>
          <t>Beta</t>
        </is>
      </c>
      <c r="E8" s="246" t="n"/>
    </row>
    <row r="9" ht="15" customHeight="1">
      <c r="A9" t="inlineStr">
        <is>
          <t>Forecast end</t>
        </is>
      </c>
      <c r="B9" s="245" t="n">
        <v>47848</v>
      </c>
      <c r="D9" t="inlineStr">
        <is>
          <t>Pre-tax cost of debt</t>
        </is>
      </c>
      <c r="E9" s="247" t="str">
        <f>IFERROR(-Model!AG86/AVERAGE(Model!AB104,Model!AG104),"")</f>
        <v/>
      </c>
    </row>
    <row r="10" ht="14.25" customHeight="1">
      <c r="A10" t="inlineStr">
        <is>
          <t>Scenario (1 Bull / 2 Base / 3 Bear)</t>
        </is>
      </c>
      <c r="B10" s="240" t="n">
        <v>2</v>
      </c>
      <c r="D10" t="inlineStr">
        <is>
          <t>Marginal tax rate</t>
        </is>
      </c>
      <c r="E10" s="244" t="n"/>
    </row>
    <row r="11" ht="14.25" customHeight="1">
      <c r="A11" t="inlineStr">
        <is>
          <t>Terminal method (1 Perpetuity / 2 Exit)</t>
        </is>
      </c>
      <c r="B11" s="240" t="n">
        <v>1</v>
      </c>
      <c r="D11" t="inlineStr">
        <is>
          <t>Target debt weight</t>
        </is>
      </c>
      <c r="E11" s="244" t="n"/>
    </row>
    <row r="12" ht="15" customHeight="1">
      <c r="A12" t="inlineStr">
        <is>
          <t>Valuation date</t>
        </is>
      </c>
      <c r="B12" s="245" t="n"/>
      <c r="D12" t="inlineStr">
        <is>
          <t>WACC</t>
        </is>
      </c>
      <c r="E12" s="247" t="str">
        <f>IF(COUNT(E6:E11)&lt;6,"",E11*E9*(1-E10)+(1-E11)*(E6+E8*E7))</f>
        <v/>
      </c>
    </row>
    <row r="13" ht="15" customHeight="1">
      <c r="A13" t="inlineStr">
        <is>
          <t>Stub year fraction</t>
        </is>
      </c>
      <c r="B13" s="247">
        <f>IFERROR((DATE(YEAR(B12),12,31)-B12)/365,"")</f>
        <v>0.00273972602739726</v>
      </c>
      <c r="D13" t="inlineStr">
        <is>
          <t>Terminal growth</t>
        </is>
      </c>
      <c r="E13" s="244" t="n"/>
    </row>
    <row r="14" ht="14.25" customHeight="1">
      <c r="D14" t="inlineStr">
        <is>
          <t>Exit EV/EBITDA</t>
        </is>
      </c>
      <c r="E14" s="248" t="n"/>
    </row>
    <row r="15" ht="14.25" customHeight="1">
      <c r="D15" t="inlineStr">
        <is>
          <t>Dividend payout</t>
        </is>
      </c>
      <c r="E15" s="244" t="n"/>
    </row>
    <row r="17" ht="14.25" customHeight="1">
      <c r="A17" s="241" t="inlineStr">
        <is>
          <t>Forecast drivers</t>
        </is>
      </c>
      <c r="B17" s="241" t="inlineStr">
        <is>
          <t>2026E</t>
        </is>
      </c>
      <c r="C17" s="241" t="inlineStr">
        <is>
          <t>2027E</t>
        </is>
      </c>
      <c r="D17" s="241" t="inlineStr">
        <is>
          <t>2028E</t>
        </is>
      </c>
      <c r="E17" s="241" t="inlineStr">
        <is>
          <t>2029E</t>
        </is>
      </c>
      <c r="F17" s="241" t="inlineStr">
        <is>
          <t>2030E</t>
        </is>
      </c>
    </row>
    <row r="18" ht="15" customHeight="1">
      <c r="A18" t="inlineStr">
        <is>
          <t>Revenue growth</t>
        </is>
      </c>
      <c r="B18" s="247">
        <f>IFERROR(AVERAGE(Model!AC16:AF16,Model!AH16:AI16),"")</f>
        <v>0.0764482023738817</v>
      </c>
      <c r="C18" s="247">
        <f>IF(B18="","",B18)</f>
        <v>0.0764482023738817</v>
      </c>
      <c r="D18" s="247">
        <f>IF(C18="","",MAX(0,C18-0.5%))</f>
        <v>0.0714482023738817</v>
      </c>
      <c r="E18" s="247">
        <f>IF(D18="","",MAX(0,D18-0.5%))</f>
        <v>0.0664482023738817</v>
      </c>
      <c r="F18" s="247">
        <f>IF(E18="","",MAX(0,E18-0.5%))</f>
        <v>0.0614482023738817</v>
      </c>
    </row>
    <row r="19" ht="15" customHeight="1">
      <c r="A19" t="inlineStr">
        <is>
          <t>Gross margin</t>
        </is>
      </c>
      <c r="B19" s="247">
        <f>IFERROR(AVERAGE(Model!AC67:AF67,Model!AH67:AI67),"")</f>
        <v>0.507689790948725</v>
      </c>
      <c r="C19" s="247">
        <f>IF(B19="","",B19)</f>
        <v>0.507689790948725</v>
      </c>
      <c r="D19" s="247">
        <f>IF(C19="","",C19)</f>
        <v>0.507689790948725</v>
      </c>
      <c r="E19" s="247">
        <f>IF(D19="","",D19)</f>
        <v>0.507689790948725</v>
      </c>
      <c r="F19" s="247">
        <f>IF(E19="","",E19)</f>
        <v>0.507689790948725</v>
      </c>
    </row>
    <row r="20" ht="15" customHeight="1">
      <c r="A20" t="inlineStr">
        <is>
          <t>SG&amp;A / Revenue</t>
        </is>
      </c>
      <c r="B20" s="247">
        <f>IFERROR(AVERAGE(Model!AC71:AF71,Model!AH71:AI71),"")</f>
        <v>0.105583216734651</v>
      </c>
      <c r="C20" s="247">
        <f>IF(B20="","",B20)</f>
        <v>0.105583216734651</v>
      </c>
      <c r="D20" s="247">
        <f>IF(C20="","",C20)</f>
        <v>0.105583216734651</v>
      </c>
      <c r="E20" s="247">
        <f>IF(D20="","",D20)</f>
        <v>0.105583216734651</v>
      </c>
      <c r="F20" s="247">
        <f>IF(E20="","",E20)</f>
        <v>0.105583216734651</v>
      </c>
    </row>
    <row r="21" ht="15" customHeight="1">
      <c r="A21" t="inlineStr">
        <is>
          <t>D&amp;A / Revenue</t>
        </is>
      </c>
      <c r="B21" s="247">
        <f>IFERROR(AVERAGE(Model!AC83:AF83,Model!AH83:AI83),"")</f>
        <v>0.168798965246318</v>
      </c>
      <c r="C21" s="247">
        <f>IF(B21="","",B21)</f>
        <v>0.168798965246318</v>
      </c>
      <c r="D21" s="247">
        <f>IF(C21="","",C21)</f>
        <v>0.168798965246318</v>
      </c>
      <c r="E21" s="247">
        <f>IF(D21="","",D21)</f>
        <v>0.168798965246318</v>
      </c>
      <c r="F21" s="247">
        <f>IF(E21="","",E21)</f>
        <v>0.168798965246318</v>
      </c>
    </row>
    <row r="22" ht="15" customHeight="1">
      <c r="A22" t="inlineStr">
        <is>
          <t>Effective tax rate</t>
        </is>
      </c>
      <c r="B22" s="247">
        <f>IFERROR(AVERAGE(Model!AC144:AF144,Model!AH144:AI144),"")</f>
        <v>0.103918133806747</v>
      </c>
      <c r="C22" s="247">
        <f>IF(B22="","",B22)</f>
        <v>0.103918133806747</v>
      </c>
      <c r="D22" s="247">
        <f>IF(C22="","",C22)</f>
        <v>0.103918133806747</v>
      </c>
      <c r="E22" s="247">
        <f>IF(D22="","",D22)</f>
        <v>0.103918133806747</v>
      </c>
      <c r="F22" s="247">
        <f>IF(E22="","",E22)</f>
        <v>0.103918133806747</v>
      </c>
    </row>
    <row r="23" ht="15" customHeight="1">
      <c r="A23" t="inlineStr">
        <is>
          <t>Financial income / Revenue</t>
        </is>
      </c>
      <c r="B23" s="247">
        <f>IFERROR(AVERAGE(Model!AC135:AF135,Model!AH135:AI135)/AVERAGE(Model!AC15:AF15,Model!AH15:AI15),"")</f>
        <v>0.0442783566198694</v>
      </c>
      <c r="C23" s="247">
        <f>IF(B23="","",B23)</f>
        <v>0.0442783566198694</v>
      </c>
      <c r="D23" s="247">
        <f>IF(C23="","",C23)</f>
        <v>0.0442783566198694</v>
      </c>
      <c r="E23" s="247">
        <f>IF(D23="","",D23)</f>
        <v>0.0442783566198694</v>
      </c>
      <c r="F23" s="247">
        <f>IF(E23="","",E23)</f>
        <v>0.0442783566198694</v>
      </c>
    </row>
    <row r="24" ht="15" customHeight="1">
      <c r="A24" t="inlineStr">
        <is>
          <t>Capex / Revenue</t>
        </is>
      </c>
      <c r="B24" s="247">
        <f>IFERROR(-AVERAGE(Model!AC307:AF307,Model!AH307:AI307)/AVERAGE(Model!AC15:AF15,Model!AH15:AI15),"")</f>
        <v>0.311343445469442</v>
      </c>
      <c r="C24" s="247">
        <f>IF(B24="","",B24)</f>
        <v>0.311343445469442</v>
      </c>
      <c r="D24" s="247">
        <f>IF(C24="","",C24)</f>
        <v>0.311343445469442</v>
      </c>
      <c r="E24" s="247">
        <f>IF(D24="","",D24)</f>
        <v>0.311343445469442</v>
      </c>
      <c r="F24" s="247">
        <f>IF(E24="","",E24)</f>
        <v>0.311343445469442</v>
      </c>
    </row>
    <row r="25" ht="15" customHeight="1">
      <c r="A25" t="inlineStr">
        <is>
          <t>DSO</t>
        </is>
      </c>
      <c r="B25" s="249">
        <f>IFERROR(AVERAGE(Model!AC158:AF158,Model!AH158:AI158),0)</f>
        <v>53.5661676834886</v>
      </c>
      <c r="C25" s="249">
        <f>IF(B25="","",B25)</f>
        <v>53.5661676834886</v>
      </c>
      <c r="D25" s="249">
        <f>IF(C25="","",C25)</f>
        <v>53.5661676834886</v>
      </c>
      <c r="E25" s="249">
        <f>IF(D25="","",D25)</f>
        <v>53.5661676834886</v>
      </c>
      <c r="F25" s="249">
        <f>IF(E25="","",E25)</f>
        <v>53.5661676834886</v>
      </c>
    </row>
    <row r="26" ht="15" customHeight="1">
      <c r="A26" t="inlineStr">
        <is>
          <t>DIO</t>
        </is>
      </c>
      <c r="B26" s="249">
        <f>IFERROR(AVERAGE(Model!AC162:AF162,Model!AH162:AI162),0)</f>
        <v>0</v>
      </c>
      <c r="C26" s="249">
        <f>IF(B26="","",B26)</f>
        <v>0</v>
      </c>
      <c r="D26" s="249">
        <f>IF(C26="","",C26)</f>
        <v>0</v>
      </c>
      <c r="E26" s="249">
        <f>IF(D26="","",D26)</f>
        <v>0</v>
      </c>
      <c r="F26" s="249">
        <f>IF(E26="","",E26)</f>
        <v>0</v>
      </c>
    </row>
    <row r="27" ht="15" customHeight="1">
      <c r="A27" t="inlineStr">
        <is>
          <t>DPO</t>
        </is>
      </c>
      <c r="B27" s="249">
        <f>IFERROR(AVERAGE(Model!AC211:AF211,Model!AH211:AI211),0)</f>
        <v>241.315910730603</v>
      </c>
      <c r="C27" s="249">
        <f>IF(B27="","",B27)</f>
        <v>241.315910730603</v>
      </c>
      <c r="D27" s="249">
        <f>IF(C27="","",C27)</f>
        <v>241.315910730603</v>
      </c>
      <c r="E27" s="249">
        <f>IF(D27="","",D27)</f>
        <v>241.315910730603</v>
      </c>
      <c r="F27" s="249">
        <f>IF(E27="","",E27)</f>
        <v>241.315910730603</v>
      </c>
    </row>
    <row r="29">
      <c r="A29" t="inlineStr">
        <is>
          <t>Model status</t>
        </is>
      </c>
    </row>
    <row r="30">
      <c r="A30" t="inlineStr">
        <is>
          <t>Source</t>
        </is>
      </c>
      <c r="B30" t="inlineStr">
        <is>
          <t>Movida (MOVI3) - fonte: Planilha de Fundamentos 2T26 do RI (ri.movida.com.br &gt; Fundamentos e Planilhas): abas IS | DRE (com IFRS16, bloco REPORTADO), BS | BP (Proforma), CAPEX e Op Data. Moeda: BRL. Brutos JA EM R$ MILHOES (fator 1). Dividendos pagos</t>
        </is>
      </c>
    </row>
    <row r="31">
      <c r="A31" t="inlineStr">
        <is>
          <t>Unit flow</t>
        </is>
      </c>
      <c r="B31" t="inlineStr">
        <is>
          <t>R$ mil na Inputs → R$ milhões via Inputs (2)</t>
        </is>
      </c>
    </row>
    <row r="32">
      <c r="A32" t="inlineStr">
        <is>
          <t>Historical coverage</t>
        </is>
      </c>
      <c r="B32" t="str">
        <f>IF(B7="","","1Q21–"&amp;ROUNDUP(MONTH(B7)/3,0)&amp;"Q"&amp;RIGHT(YEAR(B7),2))</f>
        <v>1Q21–2Q26</v>
      </c>
    </row>
    <row r="33">
      <c r="A33" t="inlineStr">
        <is>
          <t>Valuation readiness</t>
        </is>
      </c>
      <c r="B33" t="str">
        <f>IF(OR(B3="",B4=""),"PENDING COMPANY SETUP",IF(OR(E4="",E5="",E12=""),"PENDING MARKET INPUTS","READY"))</f>
        <v>PENDING MARKET INPUTS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2026-09-23T00:39:42Z</dcterms:created>
  <dcterms:modified xmlns:dcterms="http://purl.org/dc/terms/" xmlns:xsi="http://www.w3.org/2001/XMLSchema-instance" xsi:type="dcterms:W3CDTF">2026-10-16T15:39:48Z</dcterms:modified>
  <cp:lastModifiedBy>Lucas Nascimento</cp:lastModifiedBy>
  <cp:revision>0</cp:revision>
</cp:coreProperties>
</file>