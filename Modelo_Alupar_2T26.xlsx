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6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66" fontId="24" fillId="17" borderId="0" applyAlignment="1" pivotButton="0" quotePrefix="0" xfId="0">
      <alignment horizontal="center"/>
    </xf>
    <xf numFmtId="166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190" fontId="24" fillId="17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94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(R$ mil, trimestre isolado; aba Consolidado IFRS). Receita = componentes da receita bruta + deducoes (subtotal); custos e despesas negativos na fonte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de transmissão de energia (RAP) / Energy Transmission System (l.104) · fonte · unid. moeda</t>
        </is>
      </c>
      <c r="B5" t="n">
        <v>1</v>
      </c>
      <c r="C5" t="inlineStr">
        <is>
          <t>Net Revenues</t>
        </is>
      </c>
      <c r="D5" s="265" t="n">
        <v>94801</v>
      </c>
      <c r="E5" s="265" t="n">
        <v>101892</v>
      </c>
      <c r="F5" s="265" t="n">
        <v>121340</v>
      </c>
      <c r="G5" s="265" t="n">
        <v>113606</v>
      </c>
      <c r="I5" s="265" t="n">
        <v>132054</v>
      </c>
      <c r="J5" s="265" t="n">
        <v>133093</v>
      </c>
      <c r="K5" s="265" t="n">
        <v>151165</v>
      </c>
      <c r="L5" s="265" t="n">
        <v>150308</v>
      </c>
      <c r="N5" s="265" t="n">
        <v>151077</v>
      </c>
      <c r="O5" s="265" t="n">
        <v>158369</v>
      </c>
      <c r="P5" s="265" t="n">
        <v>147167</v>
      </c>
      <c r="Q5" s="265" t="n">
        <v>149544</v>
      </c>
      <c r="S5" s="265" t="n">
        <v>153460</v>
      </c>
      <c r="T5" s="265" t="n">
        <v>154759</v>
      </c>
      <c r="U5" s="265" t="n">
        <v>162723</v>
      </c>
      <c r="V5" s="265" t="n">
        <v>151746</v>
      </c>
      <c r="X5" s="265" t="n">
        <v>159716</v>
      </c>
      <c r="Y5" s="265" t="n">
        <v>161370</v>
      </c>
      <c r="Z5" s="265" t="n">
        <v>172356</v>
      </c>
      <c r="AA5" s="265" t="n">
        <v>203391</v>
      </c>
      <c r="AC5" s="265" t="n">
        <v>221177</v>
      </c>
      <c r="AD5" s="265" t="n">
        <v>213113</v>
      </c>
    </row>
    <row r="6">
      <c r="A6" t="inlineStr">
        <is>
          <t>Suprimento de energia / Energy Supply (l.105) · fonte · unid. moeda</t>
        </is>
      </c>
      <c r="B6" t="n">
        <v>1</v>
      </c>
      <c r="C6" t="inlineStr">
        <is>
          <t>Net Revenues</t>
        </is>
      </c>
      <c r="D6" s="265" t="n">
        <v>181526</v>
      </c>
      <c r="E6" s="265" t="n">
        <v>171678</v>
      </c>
      <c r="F6" s="265" t="n">
        <v>237412</v>
      </c>
      <c r="G6" s="265" t="n">
        <v>207020</v>
      </c>
      <c r="I6" s="265" t="n">
        <v>185262</v>
      </c>
      <c r="J6" s="265" t="n">
        <v>160392</v>
      </c>
      <c r="K6" s="265" t="n">
        <v>167156</v>
      </c>
      <c r="L6" s="265" t="n">
        <v>182548</v>
      </c>
      <c r="N6" s="265" t="n">
        <v>199097</v>
      </c>
      <c r="O6" s="265" t="n">
        <v>199602</v>
      </c>
      <c r="P6" s="265" t="n">
        <v>210009</v>
      </c>
      <c r="Q6" s="265" t="n">
        <v>207475</v>
      </c>
      <c r="S6" s="265" t="n">
        <v>200808</v>
      </c>
      <c r="T6" s="265" t="n">
        <v>193980</v>
      </c>
      <c r="U6" s="265" t="n">
        <v>203699</v>
      </c>
      <c r="V6" s="265" t="n">
        <v>257183</v>
      </c>
      <c r="X6" s="265" t="n">
        <v>231888</v>
      </c>
      <c r="Y6" s="265" t="n">
        <v>242027</v>
      </c>
      <c r="Z6" s="265" t="n">
        <v>232259</v>
      </c>
      <c r="AA6" s="265" t="n">
        <v>237413</v>
      </c>
      <c r="AC6" s="265" t="n">
        <v>283621</v>
      </c>
      <c r="AD6" s="265" t="n">
        <v>240198</v>
      </c>
    </row>
    <row r="7">
      <c r="A7" t="inlineStr">
        <is>
          <t>Remuneração do ativo contratual da concessão / Remuneration of Contractual Assets (l.106) · fonte · unid. moeda</t>
        </is>
      </c>
      <c r="B7" t="n">
        <v>1</v>
      </c>
      <c r="C7" t="inlineStr">
        <is>
          <t>Net Revenues</t>
        </is>
      </c>
      <c r="D7" s="265" t="n">
        <v>976410</v>
      </c>
      <c r="E7" s="265" t="n">
        <v>1008846</v>
      </c>
      <c r="F7" s="265" t="n">
        <v>674156</v>
      </c>
      <c r="G7" s="265" t="n">
        <v>881589</v>
      </c>
      <c r="I7" s="265" t="n">
        <v>985322</v>
      </c>
      <c r="J7" s="265" t="n">
        <v>610789</v>
      </c>
      <c r="K7" s="265" t="n">
        <v>401708</v>
      </c>
      <c r="L7" s="265" t="n">
        <v>354639</v>
      </c>
      <c r="N7" s="265" t="n">
        <v>483941</v>
      </c>
      <c r="O7" s="265" t="n">
        <v>397997</v>
      </c>
      <c r="P7" s="265" t="n">
        <v>395714</v>
      </c>
      <c r="Q7" s="265" t="n">
        <v>395798</v>
      </c>
      <c r="S7" s="265" t="n">
        <v>398299</v>
      </c>
      <c r="T7" s="265" t="n">
        <v>401372</v>
      </c>
      <c r="U7" s="265" t="n">
        <v>428451</v>
      </c>
      <c r="V7" s="265" t="n">
        <v>407848</v>
      </c>
      <c r="X7" s="265" t="n">
        <v>417301</v>
      </c>
      <c r="Y7" s="265" t="n">
        <v>418833</v>
      </c>
      <c r="Z7" s="265" t="n">
        <v>442498</v>
      </c>
      <c r="AA7" s="265" t="n">
        <v>468947</v>
      </c>
      <c r="AC7" s="265" t="n">
        <v>426713</v>
      </c>
      <c r="AD7" s="265" t="n">
        <v>436556</v>
      </c>
    </row>
    <row r="8">
      <c r="A8" t="inlineStr">
        <is>
          <t>Remuneração do ativo financeiro da concessão / Remuneration of Financial Assets (l.107) · fonte · unid. moeda</t>
        </is>
      </c>
      <c r="B8" t="n">
        <v>1</v>
      </c>
      <c r="C8" t="inlineStr">
        <is>
          <t>Net Revenues</t>
        </is>
      </c>
      <c r="D8" s="265" t="n">
        <v>0</v>
      </c>
      <c r="E8" s="265" t="n">
        <v>0</v>
      </c>
      <c r="F8" s="265" t="n">
        <v>0</v>
      </c>
      <c r="G8" s="265" t="n">
        <v>0</v>
      </c>
      <c r="I8" s="265" t="n">
        <v>0</v>
      </c>
      <c r="J8" s="265" t="n">
        <v>0</v>
      </c>
      <c r="K8" s="265" t="n">
        <v>0</v>
      </c>
      <c r="L8" s="265" t="n">
        <v>0</v>
      </c>
      <c r="N8" s="265" t="n">
        <v>0</v>
      </c>
      <c r="O8" s="265" t="n">
        <v>0</v>
      </c>
      <c r="P8" s="265" t="n">
        <v>0</v>
      </c>
      <c r="Q8" s="265" t="n">
        <v>0</v>
      </c>
      <c r="S8" s="265" t="n">
        <v>0</v>
      </c>
      <c r="T8" s="265" t="n">
        <v>0</v>
      </c>
      <c r="U8" s="265" t="n">
        <v>0</v>
      </c>
      <c r="V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C8" s="265" t="n">
        <v>0</v>
      </c>
      <c r="AD8" s="265" t="n">
        <v>0</v>
      </c>
    </row>
    <row r="9">
      <c r="A9" t="inlineStr">
        <is>
          <t>Correção monetária do ativo contratual / Monetary Update of Contractual Assets (l.108) · fonte · unid. moeda</t>
        </is>
      </c>
      <c r="B9" t="n">
        <v>1</v>
      </c>
      <c r="C9" t="inlineStr">
        <is>
          <t>Net Revenues</t>
        </is>
      </c>
      <c r="D9" s="265" t="n">
        <v>0</v>
      </c>
      <c r="E9" s="265" t="n">
        <v>0</v>
      </c>
      <c r="F9" s="265" t="n">
        <v>0</v>
      </c>
      <c r="G9" s="265" t="n">
        <v>0</v>
      </c>
      <c r="I9" s="265" t="n">
        <v>0</v>
      </c>
      <c r="J9" s="265" t="n">
        <v>334986</v>
      </c>
      <c r="K9" s="265" t="n">
        <v>-25281</v>
      </c>
      <c r="L9" s="265" t="n">
        <v>75383</v>
      </c>
      <c r="N9" s="265" t="n">
        <v>191723</v>
      </c>
      <c r="O9" s="265" t="n">
        <v>39452</v>
      </c>
      <c r="P9" s="265" t="n">
        <v>-61721</v>
      </c>
      <c r="Q9" s="265" t="n">
        <v>154100</v>
      </c>
      <c r="S9" s="265" t="n">
        <v>243913</v>
      </c>
      <c r="T9" s="265" t="n">
        <v>168422</v>
      </c>
      <c r="U9" s="265" t="n">
        <v>128826</v>
      </c>
      <c r="V9" s="265" t="n">
        <v>310931</v>
      </c>
      <c r="X9" s="265" t="n">
        <v>359799</v>
      </c>
      <c r="Y9" s="265" t="n">
        <v>160033</v>
      </c>
      <c r="Z9" s="265" t="n">
        <v>-5485</v>
      </c>
      <c r="AA9" s="265" t="n">
        <v>136574</v>
      </c>
      <c r="AC9" s="265" t="n">
        <v>187379</v>
      </c>
      <c r="AD9" s="265" t="n">
        <v>482966</v>
      </c>
    </row>
    <row r="10">
      <c r="A10" t="inlineStr">
        <is>
          <t>Receita de infraestrutura / Infrastructure Revenue (l.109) · fonte · unid. moeda</t>
        </is>
      </c>
      <c r="B10" t="n">
        <v>1</v>
      </c>
      <c r="C10" t="inlineStr">
        <is>
          <t>Net Revenues</t>
        </is>
      </c>
      <c r="D10" s="265" t="n">
        <v>505633</v>
      </c>
      <c r="E10" s="265" t="n">
        <v>190968</v>
      </c>
      <c r="F10" s="265" t="n">
        <v>245421</v>
      </c>
      <c r="G10" s="265" t="n">
        <v>90901</v>
      </c>
      <c r="I10" s="265" t="n">
        <v>109284</v>
      </c>
      <c r="J10" s="265" t="n">
        <v>48345</v>
      </c>
      <c r="K10" s="265" t="n">
        <v>28371</v>
      </c>
      <c r="L10" s="265" t="n">
        <v>64481</v>
      </c>
      <c r="N10" s="265" t="n">
        <v>77474</v>
      </c>
      <c r="O10" s="265" t="n">
        <v>46838</v>
      </c>
      <c r="P10" s="265" t="n">
        <v>33037</v>
      </c>
      <c r="Q10" s="265" t="n">
        <v>50753</v>
      </c>
      <c r="S10" s="265" t="n">
        <v>103932</v>
      </c>
      <c r="T10" s="265" t="n">
        <v>134115</v>
      </c>
      <c r="U10" s="265" t="n">
        <v>102852</v>
      </c>
      <c r="V10" s="265" t="n">
        <v>99966</v>
      </c>
      <c r="X10" s="265" t="n">
        <v>168103</v>
      </c>
      <c r="Y10" s="265" t="n">
        <v>176178</v>
      </c>
      <c r="Z10" s="265" t="n">
        <v>228238</v>
      </c>
      <c r="AA10" s="265" t="n">
        <v>237882</v>
      </c>
      <c r="AC10" s="265" t="n">
        <v>266965</v>
      </c>
      <c r="AD10" s="265" t="n">
        <v>419162</v>
      </c>
    </row>
    <row r="11">
      <c r="A11" t="inlineStr">
        <is>
          <t>Prestação de serviços de garantia / Consultancy and advisory services in the regulatory area (l.110) · fonte · unid. moeda</t>
        </is>
      </c>
      <c r="B11" t="n">
        <v>1</v>
      </c>
      <c r="C11" t="inlineStr">
        <is>
          <t>Net Revenues</t>
        </is>
      </c>
      <c r="D11" s="265" t="n">
        <v>0</v>
      </c>
      <c r="E11" s="265" t="n">
        <v>0</v>
      </c>
      <c r="F11" s="265" t="n">
        <v>0</v>
      </c>
      <c r="G11" s="265" t="n">
        <v>0</v>
      </c>
      <c r="I11" s="265" t="n">
        <v>0</v>
      </c>
      <c r="J11" s="265" t="n">
        <v>0</v>
      </c>
      <c r="K11" s="265" t="n">
        <v>0</v>
      </c>
      <c r="L11" s="265" t="n">
        <v>0</v>
      </c>
      <c r="N11" s="265" t="n">
        <v>0</v>
      </c>
      <c r="O11" s="265" t="n">
        <v>0</v>
      </c>
      <c r="P11" s="265" t="n">
        <v>0</v>
      </c>
      <c r="Q11" s="265" t="n">
        <v>0</v>
      </c>
      <c r="S11" s="265" t="n">
        <v>0</v>
      </c>
      <c r="T11" s="265" t="n">
        <v>0</v>
      </c>
      <c r="U11" s="265" t="n">
        <v>0</v>
      </c>
      <c r="V11" s="265" t="n">
        <v>0</v>
      </c>
      <c r="X11" s="265" t="n">
        <v>0</v>
      </c>
      <c r="Y11" s="265" t="n">
        <v>0</v>
      </c>
      <c r="Z11" s="265" t="n">
        <v>0</v>
      </c>
      <c r="AA11" s="265" t="n">
        <v>0</v>
      </c>
      <c r="AC11" s="265" t="n">
        <v>0</v>
      </c>
      <c r="AD11" s="265" t="n">
        <v>0</v>
      </c>
    </row>
    <row r="12">
      <c r="A12" t="inlineStr">
        <is>
          <t>Outras receitas operacionais / O&amp;M Services (l.111) · fonte · unid. moeda</t>
        </is>
      </c>
      <c r="B12" t="n">
        <v>1</v>
      </c>
      <c r="C12" t="inlineStr">
        <is>
          <t>Net Revenues</t>
        </is>
      </c>
      <c r="D12" s="265" t="n">
        <v>0</v>
      </c>
      <c r="E12" s="265" t="n">
        <v>0</v>
      </c>
      <c r="F12" s="265" t="n">
        <v>0</v>
      </c>
      <c r="G12" s="265" t="n">
        <v>0</v>
      </c>
      <c r="I12" s="265" t="n">
        <v>0</v>
      </c>
      <c r="J12" s="265" t="n">
        <v>0</v>
      </c>
      <c r="K12" s="265" t="n">
        <v>0</v>
      </c>
      <c r="L12" s="265" t="n">
        <v>0</v>
      </c>
      <c r="N12" s="265" t="n">
        <v>8251</v>
      </c>
      <c r="O12" s="265" t="n">
        <v>-4736</v>
      </c>
      <c r="P12" s="265" t="n">
        <v>1442</v>
      </c>
      <c r="Q12" s="265" t="n">
        <v>1502</v>
      </c>
      <c r="S12" s="265" t="n">
        <v>1350</v>
      </c>
      <c r="T12" s="265" t="n">
        <v>1437</v>
      </c>
      <c r="U12" s="265" t="n">
        <v>1132</v>
      </c>
      <c r="V12" s="265" t="n">
        <v>997</v>
      </c>
      <c r="X12" s="265" t="n">
        <v>12156</v>
      </c>
      <c r="Y12" s="265" t="n">
        <v>135</v>
      </c>
      <c r="Z12" s="265" t="n">
        <v>132</v>
      </c>
      <c r="AA12" s="265" t="n">
        <v>133</v>
      </c>
      <c r="AC12" s="265" t="n">
        <v>4187</v>
      </c>
      <c r="AD12" s="265" t="n">
        <v>124</v>
      </c>
    </row>
    <row r="13">
      <c r="A13" t="inlineStr">
        <is>
          <t>Deduções da receita operacional / Deductions from operating revenues (l.113) · fonte · unid. moeda</t>
        </is>
      </c>
      <c r="B13" t="n">
        <v>1</v>
      </c>
      <c r="C13" t="inlineStr">
        <is>
          <t>Net Revenues</t>
        </is>
      </c>
      <c r="D13" s="265" t="n">
        <v>-156896</v>
      </c>
      <c r="E13" s="265" t="n">
        <v>-136243</v>
      </c>
      <c r="F13" s="265" t="n">
        <v>-110677</v>
      </c>
      <c r="G13" s="265" t="n">
        <v>-165175</v>
      </c>
      <c r="I13" s="265" t="n">
        <v>-131402</v>
      </c>
      <c r="J13" s="265" t="n">
        <v>-119362</v>
      </c>
      <c r="K13" s="265" t="n">
        <v>-70460</v>
      </c>
      <c r="L13" s="265" t="n">
        <v>-95073</v>
      </c>
      <c r="N13" s="265" t="n">
        <v>-107566</v>
      </c>
      <c r="O13" s="265" t="n">
        <v>-57366</v>
      </c>
      <c r="P13" s="265" t="n">
        <v>-76691</v>
      </c>
      <c r="Q13" s="265" t="n">
        <v>-80901</v>
      </c>
      <c r="S13" s="265" t="n">
        <v>-105227</v>
      </c>
      <c r="T13" s="265" t="n">
        <v>-100393</v>
      </c>
      <c r="U13" s="265" t="n">
        <v>-99116</v>
      </c>
      <c r="V13" s="265" t="n">
        <v>-105361</v>
      </c>
      <c r="X13" s="265" t="n">
        <v>-125232</v>
      </c>
      <c r="Y13" s="265" t="n">
        <v>-111436</v>
      </c>
      <c r="Z13" s="265" t="n">
        <v>-106645</v>
      </c>
      <c r="AA13" s="265" t="n">
        <v>-120681</v>
      </c>
      <c r="AC13" s="265" t="n">
        <v>-134407</v>
      </c>
      <c r="AD13" s="265" t="n">
        <v>-164834</v>
      </c>
    </row>
    <row r="14">
      <c r="A14" t="inlineStr">
        <is>
          <t>Compra de Energia / Energy purchase (l.130) · fonte · unid. moeda</t>
        </is>
      </c>
      <c r="B14" t="n">
        <v>2</v>
      </c>
      <c r="C14" t="inlineStr">
        <is>
          <t>COGS (cash)</t>
        </is>
      </c>
      <c r="D14" s="265" t="n">
        <v>-26695</v>
      </c>
      <c r="E14" s="265" t="n">
        <v>-33948</v>
      </c>
      <c r="F14" s="265" t="n">
        <v>-50791</v>
      </c>
      <c r="G14" s="265" t="n">
        <v>-34731</v>
      </c>
      <c r="I14" s="265" t="n">
        <v>-12662</v>
      </c>
      <c r="J14" s="265" t="n">
        <v>-6806</v>
      </c>
      <c r="K14" s="265" t="n">
        <v>-14184</v>
      </c>
      <c r="L14" s="265" t="n">
        <v>-8829</v>
      </c>
      <c r="N14" s="265" t="n">
        <v>-12730</v>
      </c>
      <c r="O14" s="265" t="n">
        <v>-9126</v>
      </c>
      <c r="P14" s="265" t="n">
        <v>-12693</v>
      </c>
      <c r="Q14" s="265" t="n">
        <v>-28433</v>
      </c>
      <c r="S14" s="265" t="n">
        <v>-11597</v>
      </c>
      <c r="T14" s="265" t="n">
        <v>-10327</v>
      </c>
      <c r="U14" s="265" t="n">
        <v>-35334</v>
      </c>
      <c r="V14" s="265" t="n">
        <v>-62038</v>
      </c>
      <c r="X14" s="265" t="n">
        <v>-31340</v>
      </c>
      <c r="Y14" s="265" t="n">
        <v>-25294</v>
      </c>
      <c r="Z14" s="265" t="n">
        <v>-43664</v>
      </c>
      <c r="AA14" s="265" t="n">
        <v>-50722</v>
      </c>
      <c r="AC14" s="265" t="n">
        <v>-44591</v>
      </c>
      <c r="AD14" s="265" t="n">
        <v>-38203</v>
      </c>
    </row>
    <row r="15">
      <c r="A15" t="inlineStr">
        <is>
          <t>Custo dos serviços prestados / Cost of Rendered Services (l.131) · fonte · unid. moeda</t>
        </is>
      </c>
      <c r="B15" t="n">
        <v>2</v>
      </c>
      <c r="C15" t="inlineStr">
        <is>
          <t>COGS (cash)</t>
        </is>
      </c>
      <c r="D15" s="265" t="n">
        <v>-51089</v>
      </c>
      <c r="E15" s="265" t="n">
        <v>-56671</v>
      </c>
      <c r="F15" s="265" t="n">
        <v>-72341</v>
      </c>
      <c r="G15" s="265" t="n">
        <v>-5524</v>
      </c>
      <c r="I15" s="265" t="n">
        <v>-62463</v>
      </c>
      <c r="J15" s="265" t="n">
        <v>-72183</v>
      </c>
      <c r="K15" s="265" t="n">
        <v>-79556</v>
      </c>
      <c r="L15" s="265" t="n">
        <v>-91088</v>
      </c>
      <c r="N15" s="265" t="n">
        <v>-78523</v>
      </c>
      <c r="O15" s="265" t="n">
        <v>-70345</v>
      </c>
      <c r="P15" s="265" t="n">
        <v>-85709</v>
      </c>
      <c r="Q15" s="265" t="n">
        <v>-82765</v>
      </c>
      <c r="S15" s="265" t="n">
        <v>-81490</v>
      </c>
      <c r="T15" s="265" t="n">
        <v>-89146</v>
      </c>
      <c r="U15" s="265" t="n">
        <v>-89797</v>
      </c>
      <c r="V15" s="265" t="n">
        <v>-109700</v>
      </c>
      <c r="X15" s="265" t="n">
        <v>-99565</v>
      </c>
      <c r="Y15" s="265" t="n">
        <v>-95678</v>
      </c>
      <c r="Z15" s="265" t="n">
        <v>-95957</v>
      </c>
      <c r="AA15" s="265" t="n">
        <v>-114899</v>
      </c>
      <c r="AC15" s="265" t="n">
        <v>-94540</v>
      </c>
      <c r="AD15" s="265" t="n">
        <v>-106727</v>
      </c>
    </row>
    <row r="16">
      <c r="A16" t="inlineStr">
        <is>
          <t>Custo de construção / Construction Costs (l.132) · fonte · unid. moeda</t>
        </is>
      </c>
      <c r="B16" t="n">
        <v>2</v>
      </c>
      <c r="C16" t="inlineStr">
        <is>
          <t>COGS (cash)</t>
        </is>
      </c>
      <c r="D16" s="265" t="n">
        <v>-393249</v>
      </c>
      <c r="E16" s="265" t="n">
        <v>-110635</v>
      </c>
      <c r="F16" s="265" t="n">
        <v>-163915</v>
      </c>
      <c r="G16" s="265" t="n">
        <v>-265541</v>
      </c>
      <c r="I16" s="265" t="n">
        <v>-59664</v>
      </c>
      <c r="J16" s="265" t="n">
        <v>-44643</v>
      </c>
      <c r="K16" s="265" t="n">
        <v>-37678</v>
      </c>
      <c r="L16" s="265" t="n">
        <v>-61157</v>
      </c>
      <c r="N16" s="265" t="n">
        <v>-70465</v>
      </c>
      <c r="O16" s="265" t="n">
        <v>-57267</v>
      </c>
      <c r="P16" s="265" t="n">
        <v>-63336</v>
      </c>
      <c r="Q16" s="265" t="n">
        <v>-78497</v>
      </c>
      <c r="S16" s="265" t="n">
        <v>-75083</v>
      </c>
      <c r="T16" s="265" t="n">
        <v>-80965</v>
      </c>
      <c r="U16" s="265" t="n">
        <v>-121828</v>
      </c>
      <c r="V16" s="265" t="n">
        <v>-155612</v>
      </c>
      <c r="X16" s="265" t="n">
        <v>-164293</v>
      </c>
      <c r="Y16" s="265" t="n">
        <v>-161634</v>
      </c>
      <c r="Z16" s="265" t="n">
        <v>-106197</v>
      </c>
      <c r="AA16" s="265" t="n">
        <v>-170320</v>
      </c>
      <c r="AC16" s="265" t="n">
        <v>-269988</v>
      </c>
      <c r="AD16" s="265" t="n">
        <v>-379246</v>
      </c>
    </row>
    <row r="17">
      <c r="A17" t="inlineStr">
        <is>
          <t>Depreciação / Amortização Custos / Depreciation / Amortization (l.133) · fonte · unid. moeda</t>
        </is>
      </c>
      <c r="B17" t="n">
        <v>4</v>
      </c>
      <c r="C17" t="inlineStr">
        <is>
          <t>D&amp;A</t>
        </is>
      </c>
      <c r="D17" s="265" t="n">
        <v>-27883</v>
      </c>
      <c r="E17" s="265" t="n">
        <v>-28297</v>
      </c>
      <c r="F17" s="265" t="n">
        <v>-43536</v>
      </c>
      <c r="G17" s="265" t="n">
        <v>-34780</v>
      </c>
      <c r="I17" s="265" t="n">
        <v>-35500</v>
      </c>
      <c r="J17" s="265" t="n">
        <v>-34571</v>
      </c>
      <c r="K17" s="265" t="n">
        <v>-35262</v>
      </c>
      <c r="L17" s="265" t="n">
        <v>-36407</v>
      </c>
      <c r="N17" s="265" t="n">
        <v>-33198</v>
      </c>
      <c r="O17" s="265" t="n">
        <v>-34862</v>
      </c>
      <c r="P17" s="265" t="n">
        <v>-39421</v>
      </c>
      <c r="Q17" s="265" t="n">
        <v>-40397</v>
      </c>
      <c r="S17" s="265" t="n">
        <v>-41359</v>
      </c>
      <c r="T17" s="265" t="n">
        <v>-42489</v>
      </c>
      <c r="U17" s="265" t="n">
        <v>-44348</v>
      </c>
      <c r="V17" s="265" t="n">
        <v>-43860</v>
      </c>
      <c r="X17" s="265" t="n">
        <v>-39578</v>
      </c>
      <c r="Y17" s="265" t="n">
        <v>-43922</v>
      </c>
      <c r="Z17" s="265" t="n">
        <v>-45786</v>
      </c>
      <c r="AA17" s="265" t="n">
        <v>-49259</v>
      </c>
      <c r="AC17" s="265" t="n">
        <v>-51243</v>
      </c>
      <c r="AD17" s="265" t="n">
        <v>-49480</v>
      </c>
    </row>
    <row r="18">
      <c r="A18" t="inlineStr">
        <is>
          <t>Administrativas e gerais / General and Administrative (l.136) · fonte · unid. moeda</t>
        </is>
      </c>
      <c r="B18" t="n">
        <v>3</v>
      </c>
      <c r="C18" t="inlineStr">
        <is>
          <t>SG&amp;A and Other (cash)</t>
        </is>
      </c>
      <c r="D18" s="265" t="n">
        <v>-9712</v>
      </c>
      <c r="E18" s="265" t="n">
        <v>-9273</v>
      </c>
      <c r="F18" s="265" t="n">
        <v>-14756</v>
      </c>
      <c r="G18" s="265" t="n">
        <v>-23595</v>
      </c>
      <c r="I18" s="265" t="n">
        <v>-16230</v>
      </c>
      <c r="J18" s="265" t="n">
        <v>-5823</v>
      </c>
      <c r="K18" s="265" t="n">
        <v>-19617</v>
      </c>
      <c r="L18" s="265" t="n">
        <v>-17390</v>
      </c>
      <c r="N18" s="265" t="n">
        <v>-10934</v>
      </c>
      <c r="O18" s="265" t="n">
        <v>-13063</v>
      </c>
      <c r="P18" s="265" t="n">
        <v>-16234</v>
      </c>
      <c r="Q18" s="265" t="n">
        <v>-40698</v>
      </c>
      <c r="S18" s="265" t="n">
        <v>-9061</v>
      </c>
      <c r="T18" s="265" t="n">
        <v>-14988</v>
      </c>
      <c r="U18" s="265" t="n">
        <v>-13968</v>
      </c>
      <c r="V18" s="265" t="n">
        <v>-26082</v>
      </c>
      <c r="X18" s="265" t="n">
        <v>-10265</v>
      </c>
      <c r="Y18" s="265" t="n">
        <v>-18838</v>
      </c>
      <c r="Z18" s="265" t="n">
        <v>-23699</v>
      </c>
      <c r="AA18" s="265" t="n">
        <v>-36013</v>
      </c>
      <c r="AC18" s="265" t="n">
        <v>-27713</v>
      </c>
      <c r="AD18" s="265" t="n">
        <v>-26123</v>
      </c>
    </row>
    <row r="19">
      <c r="A19" t="inlineStr">
        <is>
          <t>Depreciação / Amortização Despesas / Depreciation and Amortization (l.137) · fonte · unid. moeda</t>
        </is>
      </c>
      <c r="B19" t="n">
        <v>4</v>
      </c>
      <c r="C19" t="inlineStr">
        <is>
          <t>D&amp;A</t>
        </is>
      </c>
      <c r="D19" s="265" t="n">
        <v>-1553</v>
      </c>
      <c r="E19" s="265" t="n">
        <v>-1560</v>
      </c>
      <c r="F19" s="265" t="n">
        <v>-865</v>
      </c>
      <c r="G19" s="265" t="n">
        <v>-1089</v>
      </c>
      <c r="I19" s="265" t="n">
        <v>-3007</v>
      </c>
      <c r="J19" s="265" t="n">
        <v>-1885</v>
      </c>
      <c r="K19" s="265" t="n">
        <v>-1478</v>
      </c>
      <c r="L19" s="265" t="n">
        <v>-1472</v>
      </c>
      <c r="N19" s="265" t="n">
        <v>-1588</v>
      </c>
      <c r="O19" s="265" t="n">
        <v>-1484</v>
      </c>
      <c r="P19" s="265" t="n">
        <v>-1492</v>
      </c>
      <c r="Q19" s="265" t="n">
        <v>-1470</v>
      </c>
      <c r="S19" s="265" t="n">
        <v>-1529</v>
      </c>
      <c r="T19" s="265" t="n">
        <v>-1496</v>
      </c>
      <c r="U19" s="265" t="n">
        <v>-1511</v>
      </c>
      <c r="V19" s="265" t="n">
        <v>-1563</v>
      </c>
      <c r="X19" s="265" t="n">
        <v>-1685</v>
      </c>
      <c r="Y19" s="265" t="n">
        <v>-1496</v>
      </c>
      <c r="Z19" s="265" t="n">
        <v>-1865</v>
      </c>
      <c r="AA19" s="265" t="n">
        <v>-2201</v>
      </c>
      <c r="AC19" s="265" t="n">
        <v>-4871</v>
      </c>
      <c r="AD19" s="265" t="n">
        <v>-2109</v>
      </c>
    </row>
    <row r="20">
      <c r="A20" t="inlineStr">
        <is>
          <t>Pessoal / Honorários da diretoria e conselho de administração / Personnel and Management (l.138) · fonte · unid. moeda</t>
        </is>
      </c>
      <c r="B20" t="n">
        <v>3</v>
      </c>
      <c r="C20" t="inlineStr">
        <is>
          <t>SG&amp;A and Other (cash)</t>
        </is>
      </c>
      <c r="D20" s="265" t="n">
        <v>-14672</v>
      </c>
      <c r="E20" s="265" t="n">
        <v>-24285</v>
      </c>
      <c r="F20" s="265" t="n">
        <v>-11032</v>
      </c>
      <c r="G20" s="265" t="n">
        <v>-21502</v>
      </c>
      <c r="I20" s="265" t="n">
        <v>-16610</v>
      </c>
      <c r="J20" s="265" t="n">
        <v>-24375</v>
      </c>
      <c r="K20" s="265" t="n">
        <v>-20006</v>
      </c>
      <c r="L20" s="265" t="n">
        <v>-26069</v>
      </c>
      <c r="N20" s="265" t="n">
        <v>-21402</v>
      </c>
      <c r="O20" s="265" t="n">
        <v>-27614</v>
      </c>
      <c r="P20" s="265" t="n">
        <v>-23860</v>
      </c>
      <c r="Q20" s="265" t="n">
        <v>-24826</v>
      </c>
      <c r="S20" s="265" t="n">
        <v>-24056</v>
      </c>
      <c r="T20" s="265" t="n">
        <v>-32427</v>
      </c>
      <c r="U20" s="265" t="n">
        <v>-25216</v>
      </c>
      <c r="V20" s="265" t="n">
        <v>-26673</v>
      </c>
      <c r="X20" s="265" t="n">
        <v>-26856</v>
      </c>
      <c r="Y20" s="265" t="n">
        <v>-39825</v>
      </c>
      <c r="Z20" s="265" t="n">
        <v>-30566</v>
      </c>
      <c r="AA20" s="265" t="n">
        <v>-20813</v>
      </c>
      <c r="AC20" s="265" t="n">
        <v>-32612</v>
      </c>
      <c r="AD20" s="265" t="n">
        <v>-50314</v>
      </c>
    </row>
    <row r="21">
      <c r="A21" t="inlineStr">
        <is>
          <t>Resultado de Equivalência Patrimonial / Equity Equivalence (l.139) · fonte · unid. moeda</t>
        </is>
      </c>
      <c r="B21" t="n">
        <v>8</v>
      </c>
      <c r="C21" t="inlineStr">
        <is>
          <t>Equity in Income of Affiliates, after tax (enter as +)</t>
        </is>
      </c>
      <c r="D21" s="265" t="n">
        <v>1466</v>
      </c>
      <c r="E21" s="265" t="n">
        <v>2109</v>
      </c>
      <c r="F21" s="265" t="n">
        <v>1143</v>
      </c>
      <c r="G21" s="265" t="n">
        <v>537</v>
      </c>
      <c r="I21" s="265" t="n">
        <v>-114</v>
      </c>
      <c r="J21" s="265" t="n">
        <v>2533</v>
      </c>
      <c r="K21" s="265" t="n">
        <v>1949</v>
      </c>
      <c r="L21" s="265" t="n">
        <v>1598</v>
      </c>
      <c r="N21" s="265" t="n">
        <v>859</v>
      </c>
      <c r="O21" s="265" t="n">
        <v>20152</v>
      </c>
      <c r="P21" s="265" t="n">
        <v>6246</v>
      </c>
      <c r="Q21" s="265" t="n">
        <v>13911</v>
      </c>
      <c r="S21" s="265" t="n">
        <v>16182</v>
      </c>
      <c r="T21" s="265" t="n">
        <v>30808</v>
      </c>
      <c r="U21" s="265" t="n">
        <v>48416</v>
      </c>
      <c r="V21" s="265" t="n">
        <v>53597</v>
      </c>
      <c r="X21" s="265" t="n">
        <v>49547</v>
      </c>
      <c r="Y21" s="265" t="n">
        <v>-79856</v>
      </c>
      <c r="Z21" s="265" t="n">
        <v>321289</v>
      </c>
      <c r="AA21" s="265" t="n">
        <v>10213</v>
      </c>
      <c r="AC21" s="265" t="n">
        <v>24985</v>
      </c>
      <c r="AD21" s="265" t="n">
        <v>29861</v>
      </c>
    </row>
    <row r="22">
      <c r="A22" t="inlineStr">
        <is>
          <t>Outras receitas / Other Revenues (l.140) · fonte · unid. moeda</t>
        </is>
      </c>
      <c r="B22" t="n">
        <v>3</v>
      </c>
      <c r="C22" t="inlineStr">
        <is>
          <t>SG&amp;A and Other (cash)</t>
        </is>
      </c>
      <c r="D22" s="265" t="n">
        <v>1306</v>
      </c>
      <c r="E22" s="265" t="n">
        <v>25999</v>
      </c>
      <c r="F22" s="265" t="n">
        <v>57276</v>
      </c>
      <c r="G22" s="265" t="n">
        <v>1323</v>
      </c>
      <c r="I22" s="265" t="n">
        <v>19113</v>
      </c>
      <c r="J22" s="265" t="n">
        <v>12932</v>
      </c>
      <c r="K22" s="265" t="n">
        <v>49271</v>
      </c>
      <c r="L22" s="265" t="n">
        <v>-5858</v>
      </c>
      <c r="N22" s="265" t="n">
        <v>939</v>
      </c>
      <c r="O22" s="265" t="n">
        <v>46975</v>
      </c>
      <c r="P22" s="265" t="n">
        <v>1993</v>
      </c>
      <c r="Q22" s="265" t="n">
        <v>1705</v>
      </c>
      <c r="S22" s="265" t="n">
        <v>707</v>
      </c>
      <c r="T22" s="265" t="n">
        <v>29361</v>
      </c>
      <c r="U22" s="265" t="n">
        <v>3425</v>
      </c>
      <c r="V22" s="265" t="n">
        <v>-11435</v>
      </c>
      <c r="X22" s="265" t="n">
        <v>1162</v>
      </c>
      <c r="Y22" s="265" t="n">
        <v>2453</v>
      </c>
      <c r="Z22" s="265" t="n">
        <v>689</v>
      </c>
      <c r="AA22" s="265" t="n">
        <v>2148</v>
      </c>
      <c r="AC22" s="265" t="n">
        <v>1557</v>
      </c>
      <c r="AD22" s="265" t="n">
        <v>1167</v>
      </c>
    </row>
    <row r="23">
      <c r="A23" t="inlineStr">
        <is>
          <t>Outras despesas / Other expenses (l.141) · fonte · unid. moeda</t>
        </is>
      </c>
      <c r="B23" t="n">
        <v>3</v>
      </c>
      <c r="C23" t="inlineStr">
        <is>
          <t>SG&amp;A and Other (cash)</t>
        </is>
      </c>
      <c r="D23" s="265" t="n">
        <v>-708</v>
      </c>
      <c r="E23" s="265" t="n">
        <v>-447</v>
      </c>
      <c r="F23" s="265" t="n">
        <v>-10457</v>
      </c>
      <c r="G23" s="265" t="n">
        <v>-223</v>
      </c>
      <c r="I23" s="265" t="n">
        <v>-347</v>
      </c>
      <c r="J23" s="265" t="n">
        <v>-156749</v>
      </c>
      <c r="K23" s="265" t="n">
        <v>-45673</v>
      </c>
      <c r="L23" s="265" t="n">
        <v>207</v>
      </c>
      <c r="N23" s="265" t="n">
        <v>-181</v>
      </c>
      <c r="O23" s="265" t="n">
        <v>-33758</v>
      </c>
      <c r="P23" s="265" t="n">
        <v>-288</v>
      </c>
      <c r="Q23" s="265" t="n">
        <v>-29807</v>
      </c>
      <c r="S23" s="265" t="n">
        <v>-320</v>
      </c>
      <c r="T23" s="265" t="n">
        <v>-333</v>
      </c>
      <c r="U23" s="265" t="n">
        <v>-1468</v>
      </c>
      <c r="V23" s="265" t="n">
        <v>-4865</v>
      </c>
      <c r="X23" s="265" t="n">
        <v>-9584</v>
      </c>
      <c r="Y23" s="265" t="n">
        <v>-27948</v>
      </c>
      <c r="Z23" s="265" t="n">
        <v>-608</v>
      </c>
      <c r="AA23" s="265" t="n">
        <v>-639</v>
      </c>
      <c r="AC23" s="265" t="n">
        <v>-632</v>
      </c>
      <c r="AD23" s="265" t="n">
        <v>-693</v>
      </c>
    </row>
    <row r="24">
      <c r="A24" t="inlineStr">
        <is>
          <t>Encargos sobre dívidas / Charges and monetary variations from financing and loans (l.146) · fonte · unid. moeda</t>
        </is>
      </c>
      <c r="B24" t="n">
        <v>5</v>
      </c>
      <c r="C24" t="inlineStr">
        <is>
          <t>Interest Expense</t>
        </is>
      </c>
      <c r="D24" s="265" t="n">
        <v>-181976</v>
      </c>
      <c r="E24" s="265" t="n">
        <v>-186631</v>
      </c>
      <c r="F24" s="265" t="n">
        <v>-237760</v>
      </c>
      <c r="G24" s="265" t="n">
        <v>-278357</v>
      </c>
      <c r="I24" s="265" t="n">
        <v>-330641</v>
      </c>
      <c r="J24" s="265" t="n">
        <v>-370837</v>
      </c>
      <c r="K24" s="265" t="n">
        <v>-191864</v>
      </c>
      <c r="L24" s="265" t="n">
        <v>-287488</v>
      </c>
      <c r="N24" s="265" t="n">
        <v>-356946</v>
      </c>
      <c r="O24" s="265" t="n">
        <v>-285361</v>
      </c>
      <c r="P24" s="265" t="n">
        <v>-260613</v>
      </c>
      <c r="Q24" s="265" t="n">
        <v>-263293</v>
      </c>
      <c r="S24" s="265" t="n">
        <v>-322739</v>
      </c>
      <c r="T24" s="265" t="n">
        <v>-285754</v>
      </c>
      <c r="U24" s="265" t="n">
        <v>-282534</v>
      </c>
      <c r="V24" s="265" t="n">
        <v>-331378</v>
      </c>
      <c r="X24" s="265" t="n">
        <v>-385908</v>
      </c>
      <c r="Y24" s="265" t="n">
        <v>-306645</v>
      </c>
      <c r="Z24" s="265" t="n">
        <v>-311413</v>
      </c>
      <c r="AA24" s="265" t="n">
        <v>-320395</v>
      </c>
      <c r="AC24" s="265" t="n">
        <v>-362798</v>
      </c>
      <c r="AD24" s="265" t="n">
        <v>-389195</v>
      </c>
    </row>
    <row r="25">
      <c r="A25" t="inlineStr">
        <is>
          <t>Variações Cambiais / Currency Variations (l.147) · fonte · unid. moeda</t>
        </is>
      </c>
      <c r="B25" t="n">
        <v>6</v>
      </c>
      <c r="C25" t="inlineStr">
        <is>
          <t>Nonoperating Income / (Loss)</t>
        </is>
      </c>
      <c r="D25" s="265" t="n">
        <v>-34291</v>
      </c>
      <c r="E25" s="265" t="n">
        <v>-20845</v>
      </c>
      <c r="F25" s="265" t="n">
        <v>-57402</v>
      </c>
      <c r="G25" s="265" t="n">
        <v>16307</v>
      </c>
      <c r="I25" s="265" t="n">
        <v>59371</v>
      </c>
      <c r="J25" s="265" t="n">
        <v>-31390</v>
      </c>
      <c r="K25" s="265" t="n">
        <v>-51103</v>
      </c>
      <c r="L25" s="265" t="n">
        <v>15581</v>
      </c>
      <c r="N25" s="265" t="n">
        <v>8347</v>
      </c>
      <c r="O25" s="265" t="n">
        <v>26765</v>
      </c>
      <c r="P25" s="265" t="n">
        <v>-20075</v>
      </c>
      <c r="Q25" s="265" t="n">
        <v>17624</v>
      </c>
      <c r="S25" s="265" t="n">
        <v>1023</v>
      </c>
      <c r="T25" s="265" t="n">
        <v>-22894</v>
      </c>
      <c r="U25" s="265" t="n">
        <v>17483</v>
      </c>
      <c r="V25" s="265" t="n">
        <v>-11427</v>
      </c>
      <c r="X25" s="265" t="n">
        <v>17639</v>
      </c>
      <c r="Y25" s="265" t="n">
        <v>20954</v>
      </c>
      <c r="Z25" s="265" t="n">
        <v>11241</v>
      </c>
      <c r="AA25" s="265" t="n">
        <v>44210</v>
      </c>
      <c r="AC25" s="265" t="n">
        <v>-19853</v>
      </c>
      <c r="AD25" s="265" t="n">
        <v>58014</v>
      </c>
    </row>
    <row r="26">
      <c r="A26" t="inlineStr">
        <is>
          <t>Outras despesas financeiras / Other (l.148) · fonte · unid. moeda</t>
        </is>
      </c>
      <c r="B26" t="n">
        <v>6</v>
      </c>
      <c r="C26" t="inlineStr">
        <is>
          <t>Nonoperating Income / (Loss)</t>
        </is>
      </c>
      <c r="D26" s="265" t="n">
        <v>-4658</v>
      </c>
      <c r="E26" s="265" t="n">
        <v>-13140</v>
      </c>
      <c r="F26" s="265" t="n">
        <v>-16889</v>
      </c>
      <c r="G26" s="265" t="n">
        <v>-7726</v>
      </c>
      <c r="I26" s="265" t="n">
        <v>-3850</v>
      </c>
      <c r="J26" s="265" t="n">
        <v>-7521</v>
      </c>
      <c r="K26" s="265" t="n">
        <v>-12904</v>
      </c>
      <c r="L26" s="265" t="n">
        <v>-7380</v>
      </c>
      <c r="N26" s="265" t="n">
        <v>-5900</v>
      </c>
      <c r="O26" s="265" t="n">
        <v>-5601</v>
      </c>
      <c r="P26" s="265" t="n">
        <v>-5567</v>
      </c>
      <c r="Q26" s="265" t="n">
        <v>-8763</v>
      </c>
      <c r="S26" s="265" t="n">
        <v>-5139</v>
      </c>
      <c r="T26" s="265" t="n">
        <v>-5503</v>
      </c>
      <c r="U26" s="265" t="n">
        <v>-10423</v>
      </c>
      <c r="V26" s="265" t="n">
        <v>-10522</v>
      </c>
      <c r="X26" s="265" t="n">
        <v>-10789</v>
      </c>
      <c r="Y26" s="265" t="n">
        <v>-34740</v>
      </c>
      <c r="Z26" s="265" t="n">
        <v>-11133</v>
      </c>
      <c r="AA26" s="265" t="n">
        <v>-43264</v>
      </c>
      <c r="AC26" s="265" t="n">
        <v>-15610</v>
      </c>
      <c r="AD26" s="265" t="n">
        <v>-36264</v>
      </c>
    </row>
    <row r="27">
      <c r="A27" t="inlineStr">
        <is>
          <t>Receitas de aplicações financeiras / Revenue from Investments (l.150) · fonte · unid. moeda</t>
        </is>
      </c>
      <c r="B27" t="n">
        <v>6</v>
      </c>
      <c r="C27" t="inlineStr">
        <is>
          <t>Nonoperating Income / (Loss)</t>
        </is>
      </c>
      <c r="D27" s="265" t="n">
        <v>6965</v>
      </c>
      <c r="E27" s="265" t="n">
        <v>11667</v>
      </c>
      <c r="F27" s="265" t="n">
        <v>18905</v>
      </c>
      <c r="G27" s="265" t="n">
        <v>33419</v>
      </c>
      <c r="I27" s="265" t="n">
        <v>43957</v>
      </c>
      <c r="J27" s="265" t="n">
        <v>55910</v>
      </c>
      <c r="K27" s="265" t="n">
        <v>66541</v>
      </c>
      <c r="L27" s="265" t="n">
        <v>59117</v>
      </c>
      <c r="N27" s="265" t="n">
        <v>66976</v>
      </c>
      <c r="O27" s="265" t="n">
        <v>63131</v>
      </c>
      <c r="P27" s="265" t="n">
        <v>68177</v>
      </c>
      <c r="Q27" s="265" t="n">
        <v>64033</v>
      </c>
      <c r="S27" s="265" t="n">
        <v>68604</v>
      </c>
      <c r="T27" s="265" t="n">
        <v>72093</v>
      </c>
      <c r="U27" s="265" t="n">
        <v>80129</v>
      </c>
      <c r="V27" s="265" t="n">
        <v>76316</v>
      </c>
      <c r="X27" s="265" t="n">
        <v>93560</v>
      </c>
      <c r="Y27" s="265" t="n">
        <v>94541</v>
      </c>
      <c r="Z27" s="265" t="n">
        <v>104995</v>
      </c>
      <c r="AA27" s="265" t="n">
        <v>97989</v>
      </c>
      <c r="AC27" s="265" t="n">
        <v>91812</v>
      </c>
      <c r="AD27" s="265" t="n">
        <v>85367</v>
      </c>
    </row>
    <row r="28">
      <c r="A28" t="inlineStr">
        <is>
          <t>Outras receitas financeiras / Other (l.151) · fonte · unid. moeda</t>
        </is>
      </c>
      <c r="B28" t="n">
        <v>6</v>
      </c>
      <c r="C28" t="inlineStr">
        <is>
          <t>Nonoperating Income / (Loss)</t>
        </is>
      </c>
      <c r="D28" s="265" t="n">
        <v>3850</v>
      </c>
      <c r="E28" s="265" t="n">
        <v>7814</v>
      </c>
      <c r="F28" s="265" t="n">
        <v>5399</v>
      </c>
      <c r="G28" s="265" t="n">
        <v>19804</v>
      </c>
      <c r="I28" s="265" t="n">
        <v>5855</v>
      </c>
      <c r="J28" s="265" t="n">
        <v>12886</v>
      </c>
      <c r="K28" s="265" t="n">
        <v>6612</v>
      </c>
      <c r="L28" s="265" t="n">
        <v>3022</v>
      </c>
      <c r="N28" s="265" t="n">
        <v>2874</v>
      </c>
      <c r="O28" s="265" t="n">
        <v>6320</v>
      </c>
      <c r="P28" s="265" t="n">
        <v>3891</v>
      </c>
      <c r="Q28" s="265" t="n">
        <v>6549</v>
      </c>
      <c r="S28" s="265" t="n">
        <v>4370</v>
      </c>
      <c r="T28" s="265" t="n">
        <v>7976</v>
      </c>
      <c r="U28" s="265" t="n">
        <v>3904</v>
      </c>
      <c r="V28" s="265" t="n">
        <v>5296</v>
      </c>
      <c r="X28" s="265" t="n">
        <v>10761</v>
      </c>
      <c r="Y28" s="265" t="n">
        <v>19898</v>
      </c>
      <c r="Z28" s="265" t="n">
        <v>-6258</v>
      </c>
      <c r="AA28" s="265" t="n">
        <v>42920</v>
      </c>
      <c r="AC28" s="265" t="n">
        <v>4335</v>
      </c>
      <c r="AD28" s="265" t="n">
        <v>44053</v>
      </c>
    </row>
    <row r="29">
      <c r="A29" t="inlineStr">
        <is>
          <t>Imposto de Renda / Contribuição social / Social Contribution / Income Tax (l.155) · fonte · unid. moeda</t>
        </is>
      </c>
      <c r="B29" t="n">
        <v>7</v>
      </c>
      <c r="C29" t="inlineStr">
        <is>
          <t>Taxes</t>
        </is>
      </c>
      <c r="D29" s="265" t="n">
        <v>-207688</v>
      </c>
      <c r="E29" s="265" t="n">
        <v>-222510</v>
      </c>
      <c r="F29" s="265" t="n">
        <v>-141599</v>
      </c>
      <c r="G29" s="265" t="n">
        <v>-169854</v>
      </c>
      <c r="I29" s="265" t="n">
        <v>-128849</v>
      </c>
      <c r="J29" s="265" t="n">
        <v>-127790</v>
      </c>
      <c r="K29" s="265" t="n">
        <v>-17437</v>
      </c>
      <c r="L29" s="265" t="n">
        <v>38120</v>
      </c>
      <c r="N29" s="265" t="n">
        <v>-104797</v>
      </c>
      <c r="O29" s="265" t="n">
        <v>-65437</v>
      </c>
      <c r="P29" s="265" t="n">
        <v>-32784</v>
      </c>
      <c r="Q29" s="265" t="n">
        <v>-126259</v>
      </c>
      <c r="S29" s="265" t="n">
        <v>-112210</v>
      </c>
      <c r="T29" s="265" t="n">
        <v>-114191</v>
      </c>
      <c r="U29" s="265" t="n">
        <v>189882</v>
      </c>
      <c r="V29" s="265" t="n">
        <v>-45092</v>
      </c>
      <c r="X29" s="265" t="n">
        <v>-131237</v>
      </c>
      <c r="Y29" s="265" t="n">
        <v>-65277</v>
      </c>
      <c r="Z29" s="265" t="n">
        <v>-191825</v>
      </c>
      <c r="AA29" s="265" t="n">
        <v>-121150</v>
      </c>
      <c r="AC29" s="265" t="n">
        <v>-116027</v>
      </c>
      <c r="AD29" s="265" t="n">
        <v>-54921</v>
      </c>
    </row>
    <row r="30">
      <c r="A30" t="inlineStr">
        <is>
          <t>Participação de acionistas não controladores / Non-controlling interest (l.163) · fonte · unid. moeda</t>
        </is>
      </c>
      <c r="B30" t="n">
        <v>9</v>
      </c>
      <c r="C30" t="inlineStr">
        <is>
          <t>Minority Interest Expense, after tax (enter as - )</t>
        </is>
      </c>
      <c r="D30" s="265" t="n">
        <v>-337471</v>
      </c>
      <c r="E30" s="265" t="n">
        <v>-344143</v>
      </c>
      <c r="F30" s="265" t="n">
        <v>-188716</v>
      </c>
      <c r="G30" s="265" t="n">
        <v>-137085</v>
      </c>
      <c r="I30" s="265" t="n">
        <v>-307900</v>
      </c>
      <c r="J30" s="265" t="n">
        <v>-187923</v>
      </c>
      <c r="K30" s="265" t="n">
        <v>-134594</v>
      </c>
      <c r="L30" s="265" t="n">
        <v>-114990</v>
      </c>
      <c r="N30" s="265" t="n">
        <v>-156618</v>
      </c>
      <c r="O30" s="265" t="n">
        <v>-117395</v>
      </c>
      <c r="P30" s="265" t="n">
        <v>-67187</v>
      </c>
      <c r="Q30" s="265" t="n">
        <v>-115723</v>
      </c>
      <c r="S30" s="265" t="n">
        <v>-147894</v>
      </c>
      <c r="T30" s="265" t="n">
        <v>-156347</v>
      </c>
      <c r="U30" s="265" t="n">
        <v>-281625</v>
      </c>
      <c r="V30" s="265" t="n">
        <v>-187950</v>
      </c>
      <c r="X30" s="265" t="n">
        <v>-186523</v>
      </c>
      <c r="Y30" s="265" t="n">
        <v>-138966</v>
      </c>
      <c r="Z30" s="265" t="n">
        <v>-43206</v>
      </c>
      <c r="AA30" s="265" t="n">
        <v>-148939</v>
      </c>
      <c r="AC30" s="265" t="n">
        <v>-139779</v>
      </c>
      <c r="AD30" s="265" t="n">
        <v>-295846</v>
      </c>
    </row>
    <row r="31">
      <c r="A31" t="inlineStr">
        <is>
          <t>DRE - subtotais divulgados (memoria)</t>
        </is>
      </c>
      <c r="C31" t="inlineStr">
        <is>
          <t>[linha bruta, sem código; lançada nas linhas abaixo]</t>
        </is>
      </c>
      <c r="D31" s="265" t="n"/>
      <c r="E31" s="265" t="n"/>
      <c r="F31" s="265" t="n"/>
      <c r="G31" s="265" t="n"/>
      <c r="I31" s="265" t="n"/>
      <c r="J31" s="265" t="n"/>
      <c r="K31" s="265" t="n"/>
      <c r="L31" s="265" t="n"/>
      <c r="N31" s="265" t="n"/>
      <c r="O31" s="265" t="n"/>
      <c r="P31" s="265" t="n"/>
      <c r="Q31" s="265" t="n"/>
      <c r="S31" s="265" t="n"/>
      <c r="T31" s="265" t="n"/>
      <c r="U31" s="265" t="n"/>
      <c r="V31" s="265" t="n"/>
      <c r="X31" s="265" t="n"/>
      <c r="Y31" s="265" t="n"/>
      <c r="Z31" s="265" t="n"/>
      <c r="AA31" s="265" t="n"/>
      <c r="AC31" s="265" t="n"/>
      <c r="AD31" s="265" t="n"/>
    </row>
    <row r="32">
      <c r="A32" t="inlineStr">
        <is>
          <t>Receita operacional bruta / Gross Operating Revenue (l.103) · memoria · unid. moeda</t>
        </is>
      </c>
      <c r="C32" t="inlineStr">
        <is>
          <t>[linha bruta, sem código; lançada nas linhas abaixo]</t>
        </is>
      </c>
      <c r="D32" s="265" t="n">
        <v>1758370</v>
      </c>
      <c r="E32" s="265" t="n">
        <v>1473384</v>
      </c>
      <c r="F32" s="265" t="n">
        <v>1278329</v>
      </c>
      <c r="G32" s="265" t="n">
        <v>1293116</v>
      </c>
      <c r="I32" s="265" t="n">
        <v>1411922</v>
      </c>
      <c r="J32" s="265" t="n">
        <v>1287605</v>
      </c>
      <c r="K32" s="265" t="n">
        <v>723119</v>
      </c>
      <c r="L32" s="265" t="n">
        <v>827359</v>
      </c>
      <c r="N32" s="265" t="n">
        <v>1111563</v>
      </c>
      <c r="O32" s="265" t="n">
        <v>837522</v>
      </c>
      <c r="P32" s="265" t="n">
        <v>725648</v>
      </c>
      <c r="Q32" s="265" t="n">
        <v>959172</v>
      </c>
      <c r="S32" s="265" t="n">
        <v>1101762</v>
      </c>
      <c r="T32" s="265" t="n">
        <v>1054085</v>
      </c>
      <c r="U32" s="265" t="n">
        <v>1027683</v>
      </c>
      <c r="V32" s="265" t="n">
        <v>1228671</v>
      </c>
      <c r="X32" s="265" t="n">
        <v>1348963</v>
      </c>
      <c r="Y32" s="265" t="n">
        <v>1158576</v>
      </c>
      <c r="Z32" s="265" t="n">
        <v>1069998</v>
      </c>
      <c r="AA32" s="265" t="n">
        <v>1284340</v>
      </c>
      <c r="AC32" s="265" t="n">
        <v>1390042</v>
      </c>
      <c r="AD32" s="265" t="n">
        <v>1792119</v>
      </c>
    </row>
    <row r="33">
      <c r="A33" t="inlineStr">
        <is>
          <t>Custos / Costs (l.129) · memoria · unid. moeda</t>
        </is>
      </c>
      <c r="C33" t="inlineStr">
        <is>
          <t>[linha bruta, sem código; lançada nas linhas abaixo]</t>
        </is>
      </c>
      <c r="D33" s="265" t="n">
        <v>-498916</v>
      </c>
      <c r="E33" s="265" t="n">
        <v>-229551</v>
      </c>
      <c r="F33" s="265" t="n">
        <v>-330583</v>
      </c>
      <c r="G33" s="265" t="n">
        <v>-340576</v>
      </c>
      <c r="I33" s="265" t="n">
        <v>-170289</v>
      </c>
      <c r="J33" s="265" t="n">
        <v>-158203</v>
      </c>
      <c r="K33" s="265" t="n">
        <v>-166680</v>
      </c>
      <c r="L33" s="265" t="n">
        <v>-197481</v>
      </c>
      <c r="N33" s="265" t="n">
        <v>-194916</v>
      </c>
      <c r="O33" s="265" t="n">
        <v>-171600</v>
      </c>
      <c r="P33" s="265" t="n">
        <v>-201159</v>
      </c>
      <c r="Q33" s="265" t="n">
        <v>-230092</v>
      </c>
      <c r="S33" s="265" t="n">
        <v>-209529</v>
      </c>
      <c r="T33" s="265" t="n">
        <v>-222927</v>
      </c>
      <c r="U33" s="265" t="n">
        <v>-291307</v>
      </c>
      <c r="V33" s="265" t="n">
        <v>-371210</v>
      </c>
      <c r="X33" s="265" t="n">
        <v>-334776</v>
      </c>
      <c r="Y33" s="265" t="n">
        <v>-326528</v>
      </c>
      <c r="Z33" s="265" t="n">
        <v>-291604</v>
      </c>
      <c r="AA33" s="265" t="n">
        <v>-385200</v>
      </c>
      <c r="AC33" s="265" t="n">
        <v>-460362</v>
      </c>
      <c r="AD33" s="265" t="n">
        <v>-573656</v>
      </c>
    </row>
    <row r="34">
      <c r="A34" t="inlineStr">
        <is>
          <t>Lucro antes do resultado financeiro / Income before financial result (l.143) · memoria · unid. moeda</t>
        </is>
      </c>
      <c r="C34" t="inlineStr">
        <is>
          <t>[linha bruta, sem código; lançada nas linhas abaixo]</t>
        </is>
      </c>
      <c r="D34" s="265" t="n">
        <v>1078685</v>
      </c>
      <c r="E34" s="265" t="n">
        <v>1100133</v>
      </c>
      <c r="F34" s="265" t="n">
        <v>858378</v>
      </c>
      <c r="G34" s="265" t="n">
        <v>742816</v>
      </c>
      <c r="I34" s="265" t="n">
        <v>1093036</v>
      </c>
      <c r="J34" s="265" t="n">
        <v>836673</v>
      </c>
      <c r="K34" s="265" t="n">
        <v>450425</v>
      </c>
      <c r="L34" s="265" t="n">
        <v>485821</v>
      </c>
      <c r="N34" s="265" t="n">
        <v>776774</v>
      </c>
      <c r="O34" s="265" t="n">
        <v>599764</v>
      </c>
      <c r="P34" s="265" t="n">
        <v>414163</v>
      </c>
      <c r="Q34" s="265" t="n">
        <v>566994</v>
      </c>
      <c r="S34" s="265" t="n">
        <v>768929</v>
      </c>
      <c r="T34" s="265" t="n">
        <v>741690</v>
      </c>
      <c r="U34" s="265" t="n">
        <v>646938</v>
      </c>
      <c r="V34" s="265" t="n">
        <v>735079</v>
      </c>
      <c r="X34" s="265" t="n">
        <v>891274</v>
      </c>
      <c r="Y34" s="265" t="n">
        <v>555102</v>
      </c>
      <c r="Z34" s="265" t="n">
        <v>936989</v>
      </c>
      <c r="AA34" s="265" t="n">
        <v>731154</v>
      </c>
      <c r="AC34" s="265" t="n">
        <v>755987</v>
      </c>
      <c r="AD34" s="265" t="n">
        <v>1005418</v>
      </c>
    </row>
    <row r="35">
      <c r="A35" t="inlineStr">
        <is>
          <t>Despesas financeiras / Financial Expenses (l.145) · memoria · unid. moeda</t>
        </is>
      </c>
      <c r="C35" t="inlineStr">
        <is>
          <t>[linha bruta, sem código; lançada nas linhas abaixo]</t>
        </is>
      </c>
      <c r="D35" s="265" t="n">
        <v>-220925</v>
      </c>
      <c r="E35" s="265" t="n">
        <v>-220616</v>
      </c>
      <c r="F35" s="265" t="n">
        <v>-312051</v>
      </c>
      <c r="G35" s="265" t="n">
        <v>-269776</v>
      </c>
      <c r="I35" s="265" t="n">
        <v>-275120</v>
      </c>
      <c r="J35" s="265" t="n">
        <v>-409748</v>
      </c>
      <c r="K35" s="265" t="n">
        <v>-255871</v>
      </c>
      <c r="L35" s="265" t="n">
        <v>-279287</v>
      </c>
      <c r="N35" s="265" t="n">
        <v>-354499</v>
      </c>
      <c r="O35" s="265" t="n">
        <v>-264197</v>
      </c>
      <c r="P35" s="265" t="n">
        <v>-286255</v>
      </c>
      <c r="Q35" s="265" t="n">
        <v>-254432</v>
      </c>
      <c r="S35" s="265" t="n">
        <v>-326855</v>
      </c>
      <c r="T35" s="265" t="n">
        <v>-314151</v>
      </c>
      <c r="U35" s="265" t="n">
        <v>-275474</v>
      </c>
      <c r="V35" s="265" t="n">
        <v>-353327</v>
      </c>
      <c r="X35" s="265" t="n">
        <v>-379058</v>
      </c>
      <c r="Y35" s="265" t="n">
        <v>-320431</v>
      </c>
      <c r="Z35" s="265" t="n">
        <v>-311305</v>
      </c>
      <c r="AA35" s="265" t="n">
        <v>-319449</v>
      </c>
      <c r="AC35" s="265" t="n">
        <v>-398261</v>
      </c>
      <c r="AD35" s="265" t="n">
        <v>-367445</v>
      </c>
    </row>
    <row r="36">
      <c r="A36" t="inlineStr">
        <is>
          <t>Receitas financeiras / Financial Revenue (l.149) · memoria · unid. moeda</t>
        </is>
      </c>
      <c r="C36" t="inlineStr">
        <is>
          <t>[linha bruta, sem código; lançada nas linhas abaixo]</t>
        </is>
      </c>
      <c r="D36" s="265" t="n">
        <v>10815</v>
      </c>
      <c r="E36" s="265" t="n">
        <v>19481</v>
      </c>
      <c r="F36" s="265" t="n">
        <v>24304</v>
      </c>
      <c r="G36" s="265" t="n">
        <v>53223</v>
      </c>
      <c r="I36" s="265" t="n">
        <v>49812</v>
      </c>
      <c r="J36" s="265" t="n">
        <v>68796</v>
      </c>
      <c r="K36" s="265" t="n">
        <v>73153</v>
      </c>
      <c r="L36" s="265" t="n">
        <v>62139</v>
      </c>
      <c r="N36" s="265" t="n">
        <v>69850</v>
      </c>
      <c r="O36" s="265" t="n">
        <v>69451</v>
      </c>
      <c r="P36" s="265" t="n">
        <v>72068</v>
      </c>
      <c r="Q36" s="265" t="n">
        <v>70582</v>
      </c>
      <c r="S36" s="265" t="n">
        <v>72974</v>
      </c>
      <c r="T36" s="265" t="n">
        <v>80069</v>
      </c>
      <c r="U36" s="265" t="n">
        <v>84033</v>
      </c>
      <c r="V36" s="265" t="n">
        <v>81612</v>
      </c>
      <c r="X36" s="265" t="n">
        <v>104321</v>
      </c>
      <c r="Y36" s="265" t="n">
        <v>114439</v>
      </c>
      <c r="Z36" s="265" t="n">
        <v>98737</v>
      </c>
      <c r="AA36" s="265" t="n">
        <v>140909</v>
      </c>
      <c r="AC36" s="265" t="n">
        <v>96147</v>
      </c>
      <c r="AD36" s="265" t="n">
        <v>129420</v>
      </c>
    </row>
    <row r="37">
      <c r="A37" t="inlineStr">
        <is>
          <t>Lucro antes da Contribuição social e Imposto de Renda / Income before social contribution and income tax (l.153) · memoria · unid. moeda</t>
        </is>
      </c>
      <c r="C37" t="inlineStr">
        <is>
          <t>[linha bruta, sem código; lançada nas linhas abaixo]</t>
        </is>
      </c>
      <c r="D37" s="265" t="n">
        <v>868575</v>
      </c>
      <c r="E37" s="265" t="n">
        <v>898998</v>
      </c>
      <c r="F37" s="265" t="n">
        <v>570631</v>
      </c>
      <c r="G37" s="265" t="n">
        <v>526263</v>
      </c>
      <c r="I37" s="265" t="n">
        <v>867728</v>
      </c>
      <c r="J37" s="265" t="n">
        <v>495721</v>
      </c>
      <c r="K37" s="265" t="n">
        <v>267707</v>
      </c>
      <c r="L37" s="265" t="n">
        <v>268673</v>
      </c>
      <c r="N37" s="265" t="n">
        <v>492125</v>
      </c>
      <c r="O37" s="265" t="n">
        <v>405018</v>
      </c>
      <c r="P37" s="265" t="n">
        <v>199976</v>
      </c>
      <c r="Q37" s="265" t="n">
        <v>383144</v>
      </c>
      <c r="S37" s="265" t="n">
        <v>515048</v>
      </c>
      <c r="T37" s="265" t="n">
        <v>507608</v>
      </c>
      <c r="U37" s="265" t="n">
        <v>455497</v>
      </c>
      <c r="V37" s="265" t="n">
        <v>463364</v>
      </c>
      <c r="X37" s="265" t="n">
        <v>616537</v>
      </c>
      <c r="Y37" s="265" t="n">
        <v>349110</v>
      </c>
      <c r="Z37" s="265" t="n">
        <v>724421</v>
      </c>
      <c r="AA37" s="265" t="n">
        <v>552614</v>
      </c>
      <c r="AC37" s="265" t="n">
        <v>453873</v>
      </c>
      <c r="AD37" s="265" t="n">
        <v>767393</v>
      </c>
    </row>
    <row r="38">
      <c r="A38" t="inlineStr">
        <is>
          <t>Lucro antes da participação de não controladores / Net Income before the non-controlling interest (l.161) · memoria · unid. moeda</t>
        </is>
      </c>
      <c r="C38" t="inlineStr">
        <is>
          <t>[linha bruta, sem código; lançada nas linhas abaixo]</t>
        </is>
      </c>
      <c r="D38" s="265" t="n">
        <v>660887</v>
      </c>
      <c r="E38" s="265" t="n">
        <v>676488</v>
      </c>
      <c r="F38" s="265" t="n">
        <v>429032</v>
      </c>
      <c r="G38" s="265" t="n">
        <v>356409</v>
      </c>
      <c r="I38" s="265" t="n">
        <v>738879</v>
      </c>
      <c r="J38" s="265" t="n">
        <v>367931</v>
      </c>
      <c r="K38" s="265" t="n">
        <v>250270</v>
      </c>
      <c r="L38" s="265" t="n">
        <v>306793</v>
      </c>
      <c r="N38" s="265" t="n">
        <v>387328</v>
      </c>
      <c r="O38" s="265" t="n">
        <v>339581</v>
      </c>
      <c r="P38" s="265" t="n">
        <v>167192</v>
      </c>
      <c r="Q38" s="265" t="n">
        <v>256885</v>
      </c>
      <c r="S38" s="265" t="n">
        <v>402838</v>
      </c>
      <c r="T38" s="265" t="n">
        <v>393417</v>
      </c>
      <c r="U38" s="265" t="n">
        <v>645379</v>
      </c>
      <c r="V38" s="265" t="n">
        <v>418272</v>
      </c>
      <c r="X38" s="265" t="n">
        <v>485300</v>
      </c>
      <c r="Y38" s="265" t="n">
        <v>283833</v>
      </c>
      <c r="Z38" s="265" t="n">
        <v>532596</v>
      </c>
      <c r="AA38" s="265" t="n">
        <v>431464</v>
      </c>
      <c r="AC38" s="265" t="n">
        <v>337846</v>
      </c>
      <c r="AD38" s="265" t="n">
        <v>712472</v>
      </c>
    </row>
    <row r="39">
      <c r="A39" t="inlineStr">
        <is>
          <t>Lucro Líquido do Exercício / Net Income (l.165) - COD 44 alimenta o check IS do Model (linha 4) · memoria · unid. moeda</t>
        </is>
      </c>
      <c r="B39" t="n">
        <v>44</v>
      </c>
      <c r="C39" t="inlineStr">
        <is>
          <t>Lucro Líquido do Exercício / Net Income (l.165) - COD 44 ali</t>
        </is>
      </c>
      <c r="D39" s="265" t="n">
        <v>323416</v>
      </c>
      <c r="E39" s="265" t="n">
        <v>332345</v>
      </c>
      <c r="F39" s="265" t="n">
        <v>240316</v>
      </c>
      <c r="G39" s="265" t="n">
        <v>219324</v>
      </c>
      <c r="I39" s="265" t="n">
        <v>430979</v>
      </c>
      <c r="J39" s="265" t="n">
        <v>180008</v>
      </c>
      <c r="K39" s="265" t="n">
        <v>115676</v>
      </c>
      <c r="L39" s="265" t="n">
        <v>191803</v>
      </c>
      <c r="N39" s="265" t="n">
        <v>230710</v>
      </c>
      <c r="O39" s="265" t="n">
        <v>222186</v>
      </c>
      <c r="P39" s="265" t="n">
        <v>100005</v>
      </c>
      <c r="Q39" s="265" t="n">
        <v>141162</v>
      </c>
      <c r="S39" s="265" t="n">
        <v>254944</v>
      </c>
      <c r="T39" s="265" t="n">
        <v>237070</v>
      </c>
      <c r="U39" s="265" t="n">
        <v>363754</v>
      </c>
      <c r="V39" s="265" t="n">
        <v>230322</v>
      </c>
      <c r="X39" s="265" t="n">
        <v>298777</v>
      </c>
      <c r="Y39" s="265" t="n">
        <v>144867</v>
      </c>
      <c r="Z39" s="265" t="n">
        <v>489390</v>
      </c>
      <c r="AA39" s="265" t="n">
        <v>282525</v>
      </c>
      <c r="AC39" s="265" t="n">
        <v>198067</v>
      </c>
      <c r="AD39" s="265" t="n">
        <v>416626</v>
      </c>
    </row>
    <row r="40">
      <c r="A40" t="inlineStr">
        <is>
          <t>BALANCO (R$ mil, saldo de fim de trimestre). 3T23: bloco do PL realinhado (ver nota na linha do capital social)</t>
        </is>
      </c>
      <c r="C40" t="inlineStr">
        <is>
          <t>[linha bruta, sem código; lançada nas linhas abaixo]</t>
        </is>
      </c>
      <c r="D40" s="265" t="n"/>
      <c r="E40" s="265" t="n"/>
      <c r="F40" s="265" t="n"/>
      <c r="G40" s="265" t="n"/>
      <c r="I40" s="265" t="n"/>
      <c r="J40" s="265" t="n"/>
      <c r="K40" s="265" t="n"/>
      <c r="L40" s="265" t="n"/>
      <c r="N40" s="265" t="n"/>
      <c r="O40" s="265" t="n"/>
      <c r="P40" s="265" t="n"/>
      <c r="Q40" s="265" t="n"/>
      <c r="S40" s="265" t="n"/>
      <c r="T40" s="265" t="n"/>
      <c r="U40" s="265" t="n"/>
      <c r="V40" s="265" t="n"/>
      <c r="X40" s="265" t="n"/>
      <c r="Y40" s="265" t="n"/>
      <c r="Z40" s="265" t="n"/>
      <c r="AA40" s="265" t="n"/>
      <c r="AC40" s="265" t="n"/>
      <c r="AD40" s="265" t="n"/>
    </row>
    <row r="41">
      <c r="A41" t="inlineStr">
        <is>
          <t>Caixa equivalentes de caixa / Cash and Cash Equivalents (l.10) · fonte · unid. moeda</t>
        </is>
      </c>
      <c r="B41" t="n">
        <v>11</v>
      </c>
      <c r="C41" t="inlineStr">
        <is>
          <t>Cash and equivalents (inc. investment securities)</t>
        </is>
      </c>
      <c r="D41" s="265" t="n">
        <v>523159</v>
      </c>
      <c r="E41" s="265" t="n">
        <v>438465</v>
      </c>
      <c r="F41" s="265" t="n">
        <v>409127</v>
      </c>
      <c r="G41" s="265" t="n">
        <v>377119</v>
      </c>
      <c r="I41" s="265" t="n">
        <v>449213</v>
      </c>
      <c r="J41" s="265" t="n">
        <v>545253</v>
      </c>
      <c r="K41" s="265" t="n">
        <v>864019</v>
      </c>
      <c r="L41" s="265" t="n">
        <v>850481</v>
      </c>
      <c r="N41" s="265" t="n">
        <v>1073717</v>
      </c>
      <c r="O41" s="265" t="n">
        <v>812592</v>
      </c>
      <c r="P41" s="265" t="n">
        <v>935306</v>
      </c>
      <c r="Q41" s="265" t="n">
        <v>823209</v>
      </c>
      <c r="S41" s="265" t="n">
        <v>949533</v>
      </c>
      <c r="T41" s="265" t="n">
        <v>1172596</v>
      </c>
      <c r="U41" s="265" t="n">
        <v>1193159</v>
      </c>
      <c r="V41" s="265" t="n">
        <v>807229</v>
      </c>
      <c r="X41" s="265" t="n">
        <v>957628</v>
      </c>
      <c r="Y41" s="265" t="n">
        <v>754650</v>
      </c>
      <c r="Z41" s="265" t="n">
        <v>569032</v>
      </c>
      <c r="AA41" s="265" t="n">
        <v>685881</v>
      </c>
      <c r="AC41" s="265" t="n">
        <v>792531</v>
      </c>
      <c r="AD41" s="265" t="n">
        <v>759240</v>
      </c>
    </row>
    <row r="42">
      <c r="A42" t="inlineStr">
        <is>
          <t>Investimento de curto prazo / Short-Term Investments (l.11) · fonte · unid. moeda</t>
        </is>
      </c>
      <c r="B42" t="n">
        <v>11</v>
      </c>
      <c r="C42" t="inlineStr">
        <is>
          <t>Cash and equivalents (inc. investment securities)</t>
        </is>
      </c>
      <c r="D42" s="265" t="n">
        <v>1365101</v>
      </c>
      <c r="E42" s="265" t="n">
        <v>1247469</v>
      </c>
      <c r="F42" s="265" t="n">
        <v>1082196</v>
      </c>
      <c r="G42" s="265" t="n">
        <v>1553503</v>
      </c>
      <c r="I42" s="265" t="n">
        <v>1547125</v>
      </c>
      <c r="J42" s="265" t="n">
        <v>1759164</v>
      </c>
      <c r="K42" s="265" t="n">
        <v>1557031</v>
      </c>
      <c r="L42" s="265" t="n">
        <v>1836607</v>
      </c>
      <c r="N42" s="265" t="n">
        <v>1764906</v>
      </c>
      <c r="O42" s="265" t="n">
        <v>1638665</v>
      </c>
      <c r="P42" s="265" t="n">
        <v>1621571</v>
      </c>
      <c r="Q42" s="265" t="n">
        <v>1852958</v>
      </c>
      <c r="S42" s="265" t="n">
        <v>1864486</v>
      </c>
      <c r="T42" s="265" t="n">
        <v>2427255</v>
      </c>
      <c r="U42" s="265" t="n">
        <v>2142870</v>
      </c>
      <c r="V42" s="265" t="n">
        <v>2571896</v>
      </c>
      <c r="X42" s="265" t="n">
        <v>2537074</v>
      </c>
      <c r="Y42" s="265" t="n">
        <v>2789111</v>
      </c>
      <c r="Z42" s="265" t="n">
        <v>2470434</v>
      </c>
      <c r="AA42" s="265" t="n">
        <v>2387700</v>
      </c>
      <c r="AC42" s="265" t="n">
        <v>4262531</v>
      </c>
      <c r="AD42" s="265" t="n">
        <v>4456479</v>
      </c>
    </row>
    <row r="43">
      <c r="A43" t="inlineStr">
        <is>
          <t>Títulos e valores mobiliários / Marketable Securities (l.12) · fonte · unid. moeda</t>
        </is>
      </c>
      <c r="B43" t="n">
        <v>11</v>
      </c>
      <c r="C43" t="inlineStr">
        <is>
          <t>Cash and equivalents (inc. investment securities)</t>
        </is>
      </c>
      <c r="D43" s="265" t="n">
        <v>3118</v>
      </c>
      <c r="E43" s="265" t="n">
        <v>1390</v>
      </c>
      <c r="F43" s="265" t="n">
        <v>3292</v>
      </c>
      <c r="G43" s="265" t="n">
        <v>971</v>
      </c>
      <c r="I43" s="265" t="n">
        <v>3843</v>
      </c>
      <c r="J43" s="265" t="n">
        <v>1000</v>
      </c>
      <c r="K43" s="265" t="n">
        <v>3919</v>
      </c>
      <c r="L43" s="265" t="n">
        <v>1304</v>
      </c>
      <c r="N43" s="265" t="n">
        <v>4726</v>
      </c>
      <c r="O43" s="265" t="n">
        <v>144573</v>
      </c>
      <c r="P43" s="265" t="n">
        <v>159321</v>
      </c>
      <c r="Q43" s="265" t="n">
        <v>155384</v>
      </c>
      <c r="S43" s="265" t="n">
        <v>176368</v>
      </c>
      <c r="T43" s="265" t="n">
        <v>157159</v>
      </c>
      <c r="U43" s="265" t="n">
        <v>173071</v>
      </c>
      <c r="V43" s="265" t="n">
        <v>165134</v>
      </c>
      <c r="X43" s="265" t="n">
        <v>183496</v>
      </c>
      <c r="Y43" s="265" t="n">
        <v>152659</v>
      </c>
      <c r="Z43" s="265" t="n">
        <v>184721</v>
      </c>
      <c r="AA43" s="265" t="n">
        <v>155040</v>
      </c>
      <c r="AC43" s="265" t="n">
        <v>191095</v>
      </c>
      <c r="AD43" s="265" t="n">
        <v>156202</v>
      </c>
    </row>
    <row r="44">
      <c r="A44" t="inlineStr">
        <is>
          <t>Contas a receber de clientes / Trade Accounts Receivable (l.13) · fonte · unid. moeda</t>
        </is>
      </c>
      <c r="B44" t="n">
        <v>12</v>
      </c>
      <c r="C44" t="inlineStr">
        <is>
          <t>Accounts receivable</t>
        </is>
      </c>
      <c r="D44" s="265" t="n">
        <v>338682</v>
      </c>
      <c r="E44" s="265" t="n">
        <v>345885</v>
      </c>
      <c r="F44" s="265" t="n">
        <v>378626</v>
      </c>
      <c r="G44" s="265" t="n">
        <v>391698</v>
      </c>
      <c r="I44" s="265" t="n">
        <v>363277</v>
      </c>
      <c r="J44" s="265" t="n">
        <v>377686</v>
      </c>
      <c r="K44" s="265" t="n">
        <v>412736</v>
      </c>
      <c r="L44" s="265" t="n">
        <v>448279</v>
      </c>
      <c r="N44" s="265" t="n">
        <v>476539</v>
      </c>
      <c r="O44" s="265" t="n">
        <v>292699</v>
      </c>
      <c r="P44" s="265" t="n">
        <v>338637</v>
      </c>
      <c r="Q44" s="265" t="n">
        <v>288702</v>
      </c>
      <c r="S44" s="265" t="n">
        <v>262889</v>
      </c>
      <c r="T44" s="265" t="n">
        <v>270403</v>
      </c>
      <c r="U44" s="265" t="n">
        <v>274293</v>
      </c>
      <c r="V44" s="265" t="n">
        <v>283923</v>
      </c>
      <c r="X44" s="265" t="n">
        <v>259685</v>
      </c>
      <c r="Y44" s="265" t="n">
        <v>247846</v>
      </c>
      <c r="Z44" s="265" t="n">
        <v>212361</v>
      </c>
      <c r="AA44" s="265" t="n">
        <v>186798</v>
      </c>
      <c r="AC44" s="265" t="n">
        <v>191285</v>
      </c>
      <c r="AD44" s="265" t="n">
        <v>349127</v>
      </c>
    </row>
    <row r="45">
      <c r="A45" t="inlineStr">
        <is>
          <t>Partes relacionadas / Related Parties (l.14) · fonte · unid. moeda</t>
        </is>
      </c>
      <c r="B45" t="n">
        <v>16</v>
      </c>
      <c r="C45" t="inlineStr">
        <is>
          <t>Other current assets</t>
        </is>
      </c>
      <c r="D45" s="265" t="n">
        <v>75</v>
      </c>
      <c r="E45" s="265" t="n">
        <v>75</v>
      </c>
      <c r="F45" s="265" t="n">
        <v>75</v>
      </c>
      <c r="G45" s="265" t="n">
        <v>75</v>
      </c>
      <c r="I45" s="265" t="n">
        <v>75</v>
      </c>
      <c r="J45" s="265" t="n">
        <v>75</v>
      </c>
      <c r="K45" s="265" t="n">
        <v>75</v>
      </c>
      <c r="L45" s="265" t="n">
        <v>75</v>
      </c>
      <c r="N45" s="265" t="n">
        <v>75</v>
      </c>
      <c r="O45" s="265" t="n">
        <v>75</v>
      </c>
      <c r="P45" s="265" t="n">
        <v>75</v>
      </c>
      <c r="Q45" s="265" t="n">
        <v>75</v>
      </c>
      <c r="S45" s="265" t="n">
        <v>75</v>
      </c>
      <c r="T45" s="265" t="n">
        <v>75</v>
      </c>
      <c r="U45" s="265" t="n">
        <v>75</v>
      </c>
      <c r="V45" s="265" t="n">
        <v>75</v>
      </c>
      <c r="X45" s="265" t="n">
        <v>75</v>
      </c>
      <c r="Y45" s="265" t="n">
        <v>75</v>
      </c>
      <c r="Z45" s="265" t="n">
        <v>75</v>
      </c>
      <c r="AA45" s="265" t="n">
        <v>75</v>
      </c>
      <c r="AC45" s="265" t="n">
        <v>75</v>
      </c>
      <c r="AD45" s="265" t="n">
        <v>75</v>
      </c>
    </row>
    <row r="46">
      <c r="A46" t="inlineStr">
        <is>
          <t>Impostos a recuperar / Taxes Recoverable (l.15) · fonte · unid. moeda</t>
        </is>
      </c>
      <c r="B46" t="n">
        <v>16</v>
      </c>
      <c r="C46" t="inlineStr">
        <is>
          <t>Other current assets</t>
        </is>
      </c>
      <c r="D46" s="265" t="n">
        <v>139170</v>
      </c>
      <c r="E46" s="265" t="n">
        <v>81235</v>
      </c>
      <c r="F46" s="265" t="n">
        <v>85561</v>
      </c>
      <c r="G46" s="265" t="n">
        <v>98802</v>
      </c>
      <c r="I46" s="265" t="n">
        <v>105997</v>
      </c>
      <c r="J46" s="265" t="n">
        <v>117108</v>
      </c>
      <c r="K46" s="265" t="n">
        <v>121285</v>
      </c>
      <c r="L46" s="265" t="n">
        <v>173299</v>
      </c>
      <c r="N46" s="265" t="n">
        <v>171089</v>
      </c>
      <c r="O46" s="265" t="n">
        <v>189566</v>
      </c>
      <c r="P46" s="265" t="n">
        <v>194828</v>
      </c>
      <c r="Q46" s="265" t="n">
        <v>178974</v>
      </c>
      <c r="S46" s="265" t="n">
        <v>181205</v>
      </c>
      <c r="T46" s="265" t="n">
        <v>207146</v>
      </c>
      <c r="U46" s="265" t="n">
        <v>213207</v>
      </c>
      <c r="V46" s="265" t="n">
        <v>208344</v>
      </c>
      <c r="X46" s="265" t="n">
        <v>220975</v>
      </c>
      <c r="Y46" s="265" t="n">
        <v>239885</v>
      </c>
      <c r="Z46" s="265" t="n">
        <v>254571</v>
      </c>
      <c r="AA46" s="265" t="n">
        <v>251346</v>
      </c>
      <c r="AC46" s="265" t="n">
        <v>270761</v>
      </c>
      <c r="AD46" s="265" t="n">
        <v>345598</v>
      </c>
    </row>
    <row r="47">
      <c r="A47" t="inlineStr">
        <is>
          <t>Adiantamento a fornecedores / Advance for Suppliers (l.16) · fonte · unid. moeda</t>
        </is>
      </c>
      <c r="B47" t="n">
        <v>16</v>
      </c>
      <c r="C47" t="inlineStr">
        <is>
          <t>Other current assets</t>
        </is>
      </c>
      <c r="D47" s="265" t="n">
        <v>80879</v>
      </c>
      <c r="E47" s="265" t="n">
        <v>133118</v>
      </c>
      <c r="F47" s="265" t="n">
        <v>137094</v>
      </c>
      <c r="G47" s="265" t="n">
        <v>171482</v>
      </c>
      <c r="I47" s="265" t="n">
        <v>86932</v>
      </c>
      <c r="J47" s="265" t="n">
        <v>92680</v>
      </c>
      <c r="K47" s="265" t="n">
        <v>86795</v>
      </c>
      <c r="L47" s="265" t="n">
        <v>87668</v>
      </c>
      <c r="N47" s="265" t="n">
        <v>64542</v>
      </c>
      <c r="O47" s="265" t="n">
        <v>64631</v>
      </c>
      <c r="P47" s="265" t="n">
        <v>65819</v>
      </c>
      <c r="Q47" s="265" t="n">
        <v>50802</v>
      </c>
      <c r="S47" s="265" t="n">
        <v>51187</v>
      </c>
      <c r="T47" s="265" t="n">
        <v>42193</v>
      </c>
      <c r="U47" s="265" t="n">
        <v>41413</v>
      </c>
      <c r="V47" s="265" t="n">
        <v>44304</v>
      </c>
      <c r="X47" s="265" t="n">
        <v>35956</v>
      </c>
      <c r="Y47" s="265" t="n">
        <v>47139</v>
      </c>
      <c r="Z47" s="265" t="n">
        <v>85990</v>
      </c>
      <c r="AA47" s="265" t="n">
        <v>135800</v>
      </c>
      <c r="AC47" s="265" t="n">
        <v>172192</v>
      </c>
      <c r="AD47" s="265" t="n">
        <v>176510</v>
      </c>
    </row>
    <row r="48">
      <c r="A48" t="inlineStr">
        <is>
          <t>Estoques / Inventories (l.17) · fonte · unid. moeda</t>
        </is>
      </c>
      <c r="B48" t="n">
        <v>13</v>
      </c>
      <c r="C48" t="inlineStr">
        <is>
          <t>Inventories</t>
        </is>
      </c>
      <c r="D48" s="265" t="n">
        <v>7969</v>
      </c>
      <c r="E48" s="265" t="n">
        <v>8386</v>
      </c>
      <c r="F48" s="265" t="n">
        <v>8389</v>
      </c>
      <c r="G48" s="265" t="n">
        <v>8245</v>
      </c>
      <c r="I48" s="265" t="n">
        <v>8368</v>
      </c>
      <c r="J48" s="265" t="n">
        <v>8455</v>
      </c>
      <c r="K48" s="265" t="n">
        <v>8952</v>
      </c>
      <c r="L48" s="265" t="n">
        <v>9201</v>
      </c>
      <c r="N48" s="265" t="n">
        <v>9061</v>
      </c>
      <c r="O48" s="265" t="n">
        <v>9397</v>
      </c>
      <c r="P48" s="265" t="n">
        <v>17446</v>
      </c>
      <c r="Q48" s="265" t="n">
        <v>10278</v>
      </c>
      <c r="S48" s="265" t="n">
        <v>9874</v>
      </c>
      <c r="T48" s="265" t="n">
        <v>9229</v>
      </c>
      <c r="U48" s="265" t="n">
        <v>9486</v>
      </c>
      <c r="V48" s="265" t="n">
        <v>9766</v>
      </c>
      <c r="X48" s="265" t="n">
        <v>10107</v>
      </c>
      <c r="Y48" s="265" t="n">
        <v>9833</v>
      </c>
      <c r="Z48" s="265" t="n">
        <v>9692</v>
      </c>
      <c r="AA48" s="265" t="n">
        <v>10472</v>
      </c>
      <c r="AC48" s="265" t="n">
        <v>10780</v>
      </c>
      <c r="AD48" s="265" t="n">
        <v>11141</v>
      </c>
    </row>
    <row r="49">
      <c r="A49" t="inlineStr">
        <is>
          <t>Cauções e depósitos judiciais / Judicial Deposits (l.18) · fonte · unid. moeda</t>
        </is>
      </c>
      <c r="B49" t="n">
        <v>16</v>
      </c>
      <c r="C49" t="inlineStr">
        <is>
          <t>Other current assets</t>
        </is>
      </c>
      <c r="D49" s="265" t="n">
        <v>384</v>
      </c>
      <c r="E49" s="265" t="n">
        <v>384</v>
      </c>
      <c r="F49" s="265" t="n">
        <v>384</v>
      </c>
      <c r="G49" s="265" t="n">
        <v>384</v>
      </c>
      <c r="I49" s="265" t="n">
        <v>384</v>
      </c>
      <c r="J49" s="265" t="n">
        <v>384</v>
      </c>
      <c r="K49" s="265" t="n">
        <v>384</v>
      </c>
      <c r="L49" s="265" t="n">
        <v>384</v>
      </c>
      <c r="N49" s="265" t="n">
        <v>384</v>
      </c>
      <c r="O49" s="265" t="n">
        <v>384</v>
      </c>
      <c r="P49" s="265" t="n">
        <v>384</v>
      </c>
      <c r="Q49" s="265" t="n">
        <v>384</v>
      </c>
      <c r="S49" s="265" t="n">
        <v>384</v>
      </c>
      <c r="T49" s="265" t="n">
        <v>384</v>
      </c>
      <c r="U49" s="265" t="n">
        <v>384</v>
      </c>
      <c r="V49" s="265" t="n">
        <v>120</v>
      </c>
      <c r="X49" s="265" t="n">
        <v>120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Despesas pagas antecipadamente / Prepaid Expenses (l.19) · fonte · unid. moeda</t>
        </is>
      </c>
      <c r="B50" t="n">
        <v>15</v>
      </c>
      <c r="C50" t="inlineStr">
        <is>
          <t>Prepaid expenses</t>
        </is>
      </c>
      <c r="D50" s="265" t="n">
        <v>4979</v>
      </c>
      <c r="E50" s="265" t="n">
        <v>10437</v>
      </c>
      <c r="F50" s="265" t="n">
        <v>9944</v>
      </c>
      <c r="G50" s="265" t="n">
        <v>8251</v>
      </c>
      <c r="I50" s="265" t="n">
        <v>7110</v>
      </c>
      <c r="J50" s="265" t="n">
        <v>11678</v>
      </c>
      <c r="K50" s="265" t="n">
        <v>13120</v>
      </c>
      <c r="L50" s="265" t="n">
        <v>13602</v>
      </c>
      <c r="N50" s="265" t="n">
        <v>7204</v>
      </c>
      <c r="O50" s="265" t="n">
        <v>9983</v>
      </c>
      <c r="P50" s="265" t="n">
        <v>9189</v>
      </c>
      <c r="Q50" s="265" t="n">
        <v>12141</v>
      </c>
      <c r="S50" s="265" t="n">
        <v>7964</v>
      </c>
      <c r="T50" s="265" t="n">
        <v>11090</v>
      </c>
      <c r="U50" s="265" t="n">
        <v>10329</v>
      </c>
      <c r="V50" s="265" t="n">
        <v>9961</v>
      </c>
      <c r="X50" s="265" t="n">
        <v>8499</v>
      </c>
      <c r="Y50" s="265" t="n">
        <v>9341</v>
      </c>
      <c r="Z50" s="265" t="n">
        <v>12455</v>
      </c>
      <c r="AA50" s="265" t="n">
        <v>10900</v>
      </c>
      <c r="AC50" s="265" t="n">
        <v>11131</v>
      </c>
      <c r="AD50" s="265" t="n">
        <v>12761</v>
      </c>
    </row>
    <row r="51">
      <c r="A51" t="inlineStr">
        <is>
          <t>Ativo financeiro da concessão / Accounts Receivable - Concession Assets (l.20) · fonte · unid. moeda</t>
        </is>
      </c>
      <c r="B51" t="n">
        <v>16</v>
      </c>
      <c r="C51" t="inlineStr">
        <is>
          <t>Other current assets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Contas a receber ativo contratual / Accounts Receivable - Contractual Assets (l.21) · fonte · unid. moeda</t>
        </is>
      </c>
      <c r="B52" t="n">
        <v>16</v>
      </c>
      <c r="C52" t="inlineStr">
        <is>
          <t>Other current assets</t>
        </is>
      </c>
      <c r="D52" s="265" t="n">
        <v>1499674</v>
      </c>
      <c r="E52" s="265" t="n">
        <v>1581795</v>
      </c>
      <c r="F52" s="265" t="n">
        <v>1596466</v>
      </c>
      <c r="G52" s="265" t="n">
        <v>1701139</v>
      </c>
      <c r="I52" s="265" t="n">
        <v>1869931</v>
      </c>
      <c r="J52" s="265" t="n">
        <v>1911593</v>
      </c>
      <c r="K52" s="265" t="n">
        <v>1897690</v>
      </c>
      <c r="L52" s="265" t="n">
        <v>1909364</v>
      </c>
      <c r="N52" s="265" t="n">
        <v>1980098</v>
      </c>
      <c r="O52" s="265" t="n">
        <v>1969683</v>
      </c>
      <c r="P52" s="265" t="n">
        <v>1976654</v>
      </c>
      <c r="Q52" s="265" t="n">
        <v>1984827</v>
      </c>
      <c r="S52" s="265" t="n">
        <v>2034340</v>
      </c>
      <c r="T52" s="265" t="n">
        <v>2062113</v>
      </c>
      <c r="U52" s="265" t="n">
        <v>2065735</v>
      </c>
      <c r="V52" s="265" t="n">
        <v>2098105</v>
      </c>
      <c r="X52" s="265" t="n">
        <v>2148936</v>
      </c>
      <c r="Y52" s="265" t="n">
        <v>2231278</v>
      </c>
      <c r="Z52" s="265" t="n">
        <v>2246629</v>
      </c>
      <c r="AA52" s="265" t="n">
        <v>2254400</v>
      </c>
      <c r="AC52" s="265" t="n">
        <v>2274328</v>
      </c>
      <c r="AD52" s="265" t="n">
        <v>2359837</v>
      </c>
    </row>
    <row r="53">
      <c r="A53" t="inlineStr">
        <is>
          <t>Ativos mantidos para venda / Assets for sale (l.22) · fonte · unid. moeda</t>
        </is>
      </c>
      <c r="B53" t="n">
        <v>16</v>
      </c>
      <c r="C53" t="inlineStr">
        <is>
          <t>Other current assets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330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Instrumentos financeiros derIvativos / Financial instruments derivatives (l.23) [0 em 9 per. (1Q20..1Q22): celula vazia ou "-" na fonte; total divulgado confirma] · fonte · unid. moeda</t>
        </is>
      </c>
      <c r="B54" t="n">
        <v>16</v>
      </c>
      <c r="C54" t="inlineStr">
        <is>
          <t>Other current assets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8199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2016</v>
      </c>
      <c r="V54" s="265" t="n">
        <v>0</v>
      </c>
      <c r="X54" s="265" t="n">
        <v>1283</v>
      </c>
      <c r="Y54" s="265" t="n">
        <v>29270</v>
      </c>
      <c r="Z54" s="265" t="n">
        <v>3001</v>
      </c>
      <c r="AA54" s="265" t="n">
        <v>64631</v>
      </c>
      <c r="AC54" s="265" t="n">
        <v>45871</v>
      </c>
      <c r="AD54" s="265" t="n">
        <v>99615</v>
      </c>
    </row>
    <row r="55">
      <c r="A55" t="inlineStr">
        <is>
          <t>Outros ativos / Other Assets (l.24) · fonte · unid. moeda</t>
        </is>
      </c>
      <c r="B55" t="n">
        <v>16</v>
      </c>
      <c r="C55" t="inlineStr">
        <is>
          <t>Other current assets</t>
        </is>
      </c>
      <c r="D55" s="265" t="n">
        <v>61106</v>
      </c>
      <c r="E55" s="265" t="n">
        <v>61058</v>
      </c>
      <c r="F55" s="265" t="n">
        <v>62685</v>
      </c>
      <c r="G55" s="265" t="n">
        <v>89008</v>
      </c>
      <c r="I55" s="265" t="n">
        <v>58272</v>
      </c>
      <c r="J55" s="265" t="n">
        <v>73339</v>
      </c>
      <c r="K55" s="265" t="n">
        <v>58290</v>
      </c>
      <c r="L55" s="265" t="n">
        <v>43181</v>
      </c>
      <c r="N55" s="265" t="n">
        <v>47607</v>
      </c>
      <c r="O55" s="265" t="n">
        <v>97702</v>
      </c>
      <c r="P55" s="265" t="n">
        <v>63052</v>
      </c>
      <c r="Q55" s="265" t="n">
        <v>61907</v>
      </c>
      <c r="S55" s="265" t="n">
        <v>50850</v>
      </c>
      <c r="T55" s="265" t="n">
        <v>41297</v>
      </c>
      <c r="U55" s="265" t="n">
        <v>49620</v>
      </c>
      <c r="V55" s="265" t="n">
        <v>45282</v>
      </c>
      <c r="X55" s="265" t="n">
        <v>49651</v>
      </c>
      <c r="Y55" s="265" t="n">
        <v>45461</v>
      </c>
      <c r="Z55" s="265" t="n">
        <v>38207</v>
      </c>
      <c r="AA55" s="265" t="n">
        <v>82791</v>
      </c>
      <c r="AC55" s="265" t="n">
        <v>75339</v>
      </c>
      <c r="AD55" s="265" t="n">
        <v>80790</v>
      </c>
    </row>
    <row r="56">
      <c r="A56" t="inlineStr">
        <is>
          <t>Contas a receber de clientes / Trade Accounts Receivable (l.27) · fonte · unid. moeda</t>
        </is>
      </c>
      <c r="B56" t="n">
        <v>22</v>
      </c>
      <c r="C56" t="inlineStr">
        <is>
          <t>Other non-current assets</t>
        </is>
      </c>
      <c r="D56" s="265" t="n">
        <v>25705</v>
      </c>
      <c r="E56" s="265" t="n">
        <v>25346</v>
      </c>
      <c r="F56" s="265" t="n">
        <v>26014</v>
      </c>
      <c r="G56" s="265" t="n">
        <v>24533</v>
      </c>
      <c r="I56" s="265" t="n">
        <v>32922</v>
      </c>
      <c r="J56" s="265" t="n">
        <v>26438</v>
      </c>
      <c r="K56" s="265" t="n">
        <v>35217</v>
      </c>
      <c r="L56" s="265" t="n">
        <v>52922</v>
      </c>
      <c r="N56" s="265" t="n">
        <v>65440</v>
      </c>
      <c r="O56" s="265" t="n">
        <v>35995</v>
      </c>
      <c r="P56" s="265" t="n">
        <v>46143</v>
      </c>
      <c r="Q56" s="265" t="n">
        <v>52449</v>
      </c>
      <c r="S56" s="265" t="n">
        <v>69185</v>
      </c>
      <c r="T56" s="265" t="n">
        <v>59992</v>
      </c>
      <c r="U56" s="265" t="n">
        <v>98059</v>
      </c>
      <c r="V56" s="265" t="n">
        <v>121676</v>
      </c>
      <c r="X56" s="265" t="n">
        <v>159688</v>
      </c>
      <c r="Y56" s="265" t="n">
        <v>124393</v>
      </c>
      <c r="Z56" s="265" t="n">
        <v>161128</v>
      </c>
      <c r="AA56" s="265" t="n">
        <v>188110</v>
      </c>
      <c r="AC56" s="265" t="n">
        <v>216366</v>
      </c>
      <c r="AD56" s="265" t="n">
        <v>29156</v>
      </c>
    </row>
    <row r="57">
      <c r="A57" t="inlineStr">
        <is>
          <t>Partes relacionadas / Related Parties (l.28) · fonte · unid. moeda</t>
        </is>
      </c>
      <c r="B57" t="n">
        <v>22</v>
      </c>
      <c r="C57" t="inlineStr">
        <is>
          <t>Other non-current assets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Adiantamento para futuro aumento de capital / Advance for future capital increase (l.29) · fonte · unid. moeda</t>
        </is>
      </c>
      <c r="B58" t="n">
        <v>22</v>
      </c>
      <c r="C58" t="inlineStr">
        <is>
          <t>Other non-current assets</t>
        </is>
      </c>
      <c r="D58" s="265" t="n">
        <v>0</v>
      </c>
      <c r="E58" s="265" t="n">
        <v>0</v>
      </c>
      <c r="F58" s="265" t="n">
        <v>0</v>
      </c>
      <c r="G58" s="265" t="n">
        <v>26520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45653</v>
      </c>
      <c r="AC58" s="265" t="n">
        <v>45653</v>
      </c>
      <c r="AD58" s="265" t="n">
        <v>45653</v>
      </c>
    </row>
    <row r="59">
      <c r="A59" t="inlineStr">
        <is>
          <t>Instrumentos financeiros derivativos / Financial instruments derivatives (l.30) · fonte · unid. moeda</t>
        </is>
      </c>
      <c r="B59" t="n">
        <v>22</v>
      </c>
      <c r="C59" t="inlineStr">
        <is>
          <t>Other non-current assets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7302</v>
      </c>
      <c r="AC59" s="265" t="n">
        <v>7885</v>
      </c>
      <c r="AD59" s="265" t="n">
        <v>12060</v>
      </c>
    </row>
    <row r="60">
      <c r="A60" t="inlineStr">
        <is>
          <t>Títulos e valores mobiliários / Marketable Securities (l.31) · fonte · unid. moeda</t>
        </is>
      </c>
      <c r="B60" t="n">
        <v>22</v>
      </c>
      <c r="C60" t="inlineStr">
        <is>
          <t>Other non-current assets</t>
        </is>
      </c>
      <c r="D60" s="265" t="n">
        <v>104802</v>
      </c>
      <c r="E60" s="265" t="n">
        <v>103312</v>
      </c>
      <c r="F60" s="265" t="n">
        <v>117664</v>
      </c>
      <c r="G60" s="265" t="n">
        <v>120695</v>
      </c>
      <c r="I60" s="265" t="n">
        <v>127867</v>
      </c>
      <c r="J60" s="265" t="n">
        <v>127975</v>
      </c>
      <c r="K60" s="265" t="n">
        <v>135433</v>
      </c>
      <c r="L60" s="265" t="n">
        <v>136790</v>
      </c>
      <c r="N60" s="265" t="n">
        <v>160181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Impostos a recuperar / Taxes Recoverable (l.32) · fonte · unid. moeda</t>
        </is>
      </c>
      <c r="B61" t="n">
        <v>22</v>
      </c>
      <c r="C61" t="inlineStr">
        <is>
          <t>Other non-current assets</t>
        </is>
      </c>
      <c r="D61" s="265" t="n">
        <v>6827</v>
      </c>
      <c r="E61" s="265" t="n">
        <v>53535</v>
      </c>
      <c r="F61" s="265" t="n">
        <v>52386</v>
      </c>
      <c r="G61" s="265" t="n">
        <v>28356</v>
      </c>
      <c r="I61" s="265" t="n">
        <v>25045</v>
      </c>
      <c r="J61" s="265" t="n">
        <v>24708</v>
      </c>
      <c r="K61" s="265" t="n">
        <v>10430</v>
      </c>
      <c r="L61" s="265" t="n">
        <v>21609</v>
      </c>
      <c r="N61" s="265" t="n">
        <v>7008</v>
      </c>
      <c r="O61" s="265" t="n">
        <v>8271</v>
      </c>
      <c r="P61" s="265" t="n">
        <v>9549</v>
      </c>
      <c r="Q61" s="265" t="n">
        <v>9164</v>
      </c>
      <c r="S61" s="265" t="n">
        <v>6650</v>
      </c>
      <c r="T61" s="265" t="n">
        <v>12615</v>
      </c>
      <c r="U61" s="265" t="n">
        <v>14152</v>
      </c>
      <c r="V61" s="265" t="n">
        <v>16362</v>
      </c>
      <c r="X61" s="265" t="n">
        <v>11378</v>
      </c>
      <c r="Y61" s="265" t="n">
        <v>24949</v>
      </c>
      <c r="Z61" s="265" t="n">
        <v>21495</v>
      </c>
      <c r="AA61" s="265" t="n">
        <v>23020</v>
      </c>
      <c r="AC61" s="265" t="n">
        <v>16570</v>
      </c>
      <c r="AD61" s="265" t="n">
        <v>17827</v>
      </c>
    </row>
    <row r="62">
      <c r="A62" t="inlineStr">
        <is>
          <t>Imposto de Renda e Contribuição social diferidos / Deferred Income and Social Contribution Taxes (l.33) · fonte · unid. moeda</t>
        </is>
      </c>
      <c r="B62" t="n">
        <v>14</v>
      </c>
      <c r="C62" t="inlineStr">
        <is>
          <t>Deferred income taxes</t>
        </is>
      </c>
      <c r="D62" s="265" t="n">
        <v>10135</v>
      </c>
      <c r="E62" s="265" t="n">
        <v>12177</v>
      </c>
      <c r="F62" s="265" t="n">
        <v>15428</v>
      </c>
      <c r="G62" s="265" t="n">
        <v>20207</v>
      </c>
      <c r="I62" s="265" t="n">
        <v>19288</v>
      </c>
      <c r="J62" s="265" t="n">
        <v>27136</v>
      </c>
      <c r="K62" s="265" t="n">
        <v>34574</v>
      </c>
      <c r="L62" s="265" t="n">
        <v>53272</v>
      </c>
      <c r="N62" s="265" t="n">
        <v>61005</v>
      </c>
      <c r="O62" s="265" t="n">
        <v>58623</v>
      </c>
      <c r="P62" s="265" t="n">
        <v>56088</v>
      </c>
      <c r="Q62" s="265" t="n">
        <v>58800</v>
      </c>
      <c r="S62" s="265" t="n">
        <v>68294</v>
      </c>
      <c r="T62" s="265" t="n">
        <v>78767</v>
      </c>
      <c r="U62" s="265" t="n">
        <v>86458</v>
      </c>
      <c r="V62" s="265" t="n">
        <v>110608</v>
      </c>
      <c r="X62" s="265" t="n">
        <v>180122</v>
      </c>
      <c r="Y62" s="265" t="n">
        <v>174995</v>
      </c>
      <c r="Z62" s="265" t="n">
        <v>177276</v>
      </c>
      <c r="AA62" s="265" t="n">
        <v>173786</v>
      </c>
      <c r="AC62" s="265" t="n">
        <v>175309</v>
      </c>
      <c r="AD62" s="265" t="n">
        <v>173589</v>
      </c>
    </row>
    <row r="63">
      <c r="A63" t="inlineStr">
        <is>
          <t>Adiantamento a fornecedores / Advance for Suppliers (l.34) · fonte · unid. moeda</t>
        </is>
      </c>
      <c r="B63" t="n">
        <v>22</v>
      </c>
      <c r="C63" t="inlineStr">
        <is>
          <t>Other non-current assets</t>
        </is>
      </c>
      <c r="D63" s="265" t="n">
        <v>8886</v>
      </c>
      <c r="E63" s="265" t="n">
        <v>8567</v>
      </c>
      <c r="F63" s="265" t="n">
        <v>8363</v>
      </c>
      <c r="G63" s="265" t="n">
        <v>11303</v>
      </c>
      <c r="I63" s="265" t="n">
        <v>9592</v>
      </c>
      <c r="J63" s="265" t="n">
        <v>8116</v>
      </c>
      <c r="K63" s="265" t="n">
        <v>10696</v>
      </c>
      <c r="L63" s="265" t="n">
        <v>6723</v>
      </c>
      <c r="N63" s="265" t="n">
        <v>8357</v>
      </c>
      <c r="O63" s="265" t="n">
        <v>7041</v>
      </c>
      <c r="P63" s="265" t="n">
        <v>6060</v>
      </c>
      <c r="Q63" s="265" t="n">
        <v>8201</v>
      </c>
      <c r="S63" s="265" t="n">
        <v>7084</v>
      </c>
      <c r="T63" s="265" t="n">
        <v>6009</v>
      </c>
      <c r="U63" s="265" t="n">
        <v>4762</v>
      </c>
      <c r="V63" s="265" t="n">
        <v>7215</v>
      </c>
      <c r="X63" s="265" t="n">
        <v>5911</v>
      </c>
      <c r="Y63" s="265" t="n">
        <v>4756</v>
      </c>
      <c r="Z63" s="265" t="n">
        <v>3599</v>
      </c>
      <c r="AA63" s="265" t="n">
        <v>5661</v>
      </c>
      <c r="AC63" s="265" t="n">
        <v>4475</v>
      </c>
      <c r="AD63" s="265" t="n">
        <v>3520</v>
      </c>
    </row>
    <row r="64">
      <c r="A64" t="inlineStr">
        <is>
          <t>Estoques / Inventories (l.35) · fonte · unid. moeda</t>
        </is>
      </c>
      <c r="B64" t="n">
        <v>22</v>
      </c>
      <c r="C64" t="inlineStr">
        <is>
          <t>Other non-current assets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6728</v>
      </c>
      <c r="L64" s="265" t="n">
        <v>7088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Cauções e depósitos judiciais / Collaterals and Judicial Deposits (l.36) · fonte · unid. moeda</t>
        </is>
      </c>
      <c r="B65" t="n">
        <v>22</v>
      </c>
      <c r="C65" t="inlineStr">
        <is>
          <t>Other non-current assets</t>
        </is>
      </c>
      <c r="D65" s="265" t="n">
        <v>15298</v>
      </c>
      <c r="E65" s="265" t="n">
        <v>15936</v>
      </c>
      <c r="F65" s="265" t="n">
        <v>15198</v>
      </c>
      <c r="G65" s="265" t="n">
        <v>15478</v>
      </c>
      <c r="I65" s="265" t="n">
        <v>15719</v>
      </c>
      <c r="J65" s="265" t="n">
        <v>15449</v>
      </c>
      <c r="K65" s="265" t="n">
        <v>15849</v>
      </c>
      <c r="L65" s="265" t="n">
        <v>15854</v>
      </c>
      <c r="N65" s="265" t="n">
        <v>14245</v>
      </c>
      <c r="O65" s="265" t="n">
        <v>14387</v>
      </c>
      <c r="P65" s="265" t="n">
        <v>14187</v>
      </c>
      <c r="Q65" s="265" t="n">
        <v>14877</v>
      </c>
      <c r="S65" s="265" t="n">
        <v>15827</v>
      </c>
      <c r="T65" s="265" t="n">
        <v>15822</v>
      </c>
      <c r="U65" s="265" t="n">
        <v>16222</v>
      </c>
      <c r="V65" s="265" t="n">
        <v>15536</v>
      </c>
      <c r="X65" s="265" t="n">
        <v>16040</v>
      </c>
      <c r="Y65" s="265" t="n">
        <v>16564</v>
      </c>
      <c r="Z65" s="265" t="n">
        <v>40670</v>
      </c>
      <c r="AA65" s="265" t="n">
        <v>39846</v>
      </c>
      <c r="AC65" s="265" t="n">
        <v>39628</v>
      </c>
      <c r="AD65" s="265" t="n">
        <v>40290</v>
      </c>
    </row>
    <row r="66">
      <c r="A66" t="inlineStr">
        <is>
          <t>Ativo financeiro da concessão / Accounts Receivable - Concession Assets (l.37) · fonte · unid. moeda</t>
        </is>
      </c>
      <c r="B66" t="n">
        <v>22</v>
      </c>
      <c r="C66" t="inlineStr">
        <is>
          <t>Other non-current assets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Contas a receber ativo contratual / Accounts Receivable - Contractual Assets (l.38) · fonte · unid. moeda</t>
        </is>
      </c>
      <c r="B67" t="n">
        <v>22</v>
      </c>
      <c r="C67" t="inlineStr">
        <is>
          <t>Other non-current assets</t>
        </is>
      </c>
      <c r="D67" s="265" t="n">
        <v>14229758</v>
      </c>
      <c r="E67" s="265" t="n">
        <v>14964383</v>
      </c>
      <c r="F67" s="265" t="n">
        <v>15475890</v>
      </c>
      <c r="G67" s="265" t="n">
        <v>15902984</v>
      </c>
      <c r="I67" s="265" t="n">
        <v>16338099</v>
      </c>
      <c r="J67" s="265" t="n">
        <v>16632958</v>
      </c>
      <c r="K67" s="265" t="n">
        <v>16507086</v>
      </c>
      <c r="L67" s="265" t="n">
        <v>16448446</v>
      </c>
      <c r="N67" s="265" t="n">
        <v>16792508</v>
      </c>
      <c r="O67" s="265" t="n">
        <v>16787094</v>
      </c>
      <c r="P67" s="265" t="n">
        <v>16626838</v>
      </c>
      <c r="Q67" s="265" t="n">
        <v>16688963</v>
      </c>
      <c r="S67" s="265" t="n">
        <v>16866885</v>
      </c>
      <c r="T67" s="265" t="n">
        <v>17050027</v>
      </c>
      <c r="U67" s="265" t="n">
        <v>17164621</v>
      </c>
      <c r="V67" s="265" t="n">
        <v>17336317</v>
      </c>
      <c r="X67" s="265" t="n">
        <v>17686956</v>
      </c>
      <c r="Y67" s="265" t="n">
        <v>17776919</v>
      </c>
      <c r="Z67" s="265" t="n">
        <v>17998971</v>
      </c>
      <c r="AA67" s="265" t="n">
        <v>18185775</v>
      </c>
      <c r="AC67" s="265" t="n">
        <v>18428478</v>
      </c>
      <c r="AD67" s="265" t="n">
        <v>18976628</v>
      </c>
    </row>
    <row r="68">
      <c r="A68" t="inlineStr">
        <is>
          <t>Outros ativos / Other Assets (l.39) · fonte · unid. moeda</t>
        </is>
      </c>
      <c r="B68" t="n">
        <v>22</v>
      </c>
      <c r="C68" t="inlineStr">
        <is>
          <t>Other non-current assets</t>
        </is>
      </c>
      <c r="D68" s="265" t="n">
        <v>13972</v>
      </c>
      <c r="E68" s="265" t="n">
        <v>48402</v>
      </c>
      <c r="F68" s="265" t="n">
        <v>52446</v>
      </c>
      <c r="G68" s="265" t="n">
        <v>52977</v>
      </c>
      <c r="I68" s="265" t="n">
        <v>50350</v>
      </c>
      <c r="J68" s="265" t="n">
        <v>46923</v>
      </c>
      <c r="K68" s="265" t="n">
        <v>47900</v>
      </c>
      <c r="L68" s="265" t="n">
        <v>47439</v>
      </c>
      <c r="N68" s="265" t="n">
        <v>78486</v>
      </c>
      <c r="O68" s="265" t="n">
        <v>83059</v>
      </c>
      <c r="P68" s="265" t="n">
        <v>108799</v>
      </c>
      <c r="Q68" s="265" t="n">
        <v>93789</v>
      </c>
      <c r="S68" s="265" t="n">
        <v>104532</v>
      </c>
      <c r="T68" s="265" t="n">
        <v>113410</v>
      </c>
      <c r="U68" s="265" t="n">
        <v>68976</v>
      </c>
      <c r="V68" s="265" t="n">
        <v>94478</v>
      </c>
      <c r="X68" s="265" t="n">
        <v>82697</v>
      </c>
      <c r="Y68" s="265" t="n">
        <v>90136</v>
      </c>
      <c r="Z68" s="265" t="n">
        <v>75145</v>
      </c>
      <c r="AA68" s="265" t="n">
        <v>76673</v>
      </c>
      <c r="AC68" s="265" t="n">
        <v>79628</v>
      </c>
      <c r="AD68" s="265" t="n">
        <v>81680</v>
      </c>
    </row>
    <row r="69">
      <c r="A69" t="inlineStr">
        <is>
          <t>Investimentos / Investments (l.40) · fonte · unid. moeda</t>
        </is>
      </c>
      <c r="B69" t="n">
        <v>17</v>
      </c>
      <c r="C69" t="inlineStr">
        <is>
          <t>Equity in affiliates</t>
        </is>
      </c>
      <c r="D69" s="265" t="n">
        <v>136930</v>
      </c>
      <c r="E69" s="265" t="n">
        <v>139039</v>
      </c>
      <c r="F69" s="265" t="n">
        <v>140182</v>
      </c>
      <c r="G69" s="265" t="n">
        <v>150920</v>
      </c>
      <c r="I69" s="265" t="n">
        <v>150555</v>
      </c>
      <c r="J69" s="265" t="n">
        <v>153088</v>
      </c>
      <c r="K69" s="265" t="n">
        <v>168252</v>
      </c>
      <c r="L69" s="265" t="n">
        <v>176062</v>
      </c>
      <c r="N69" s="265" t="n">
        <v>186664</v>
      </c>
      <c r="O69" s="265" t="n">
        <v>212488</v>
      </c>
      <c r="P69" s="265" t="n">
        <v>218734</v>
      </c>
      <c r="Q69" s="265" t="n">
        <v>232644</v>
      </c>
      <c r="S69" s="265" t="n">
        <v>248826</v>
      </c>
      <c r="T69" s="265" t="n">
        <v>279634</v>
      </c>
      <c r="U69" s="265" t="n">
        <v>328050</v>
      </c>
      <c r="V69" s="265" t="n">
        <v>381647</v>
      </c>
      <c r="X69" s="265" t="n">
        <v>431194</v>
      </c>
      <c r="Y69" s="265" t="n">
        <v>324079</v>
      </c>
      <c r="Z69" s="265" t="n">
        <v>807382</v>
      </c>
      <c r="AA69" s="265" t="n">
        <v>817595</v>
      </c>
      <c r="AC69" s="265" t="n">
        <v>842580</v>
      </c>
      <c r="AD69" s="265" t="n">
        <v>872439</v>
      </c>
    </row>
    <row r="70">
      <c r="A70" t="inlineStr">
        <is>
          <t>Imobilizado / Property, plant and Equipment (l.41) · fonte · unid. moeda</t>
        </is>
      </c>
      <c r="B70" t="n">
        <v>18</v>
      </c>
      <c r="C70" t="inlineStr">
        <is>
          <t>PP&amp;E</t>
        </is>
      </c>
      <c r="D70" s="265" t="n">
        <v>4756788</v>
      </c>
      <c r="E70" s="265" t="n">
        <v>4610024</v>
      </c>
      <c r="F70" s="265" t="n">
        <v>4624455</v>
      </c>
      <c r="G70" s="265" t="n">
        <v>4710238</v>
      </c>
      <c r="I70" s="265" t="n">
        <v>5013953</v>
      </c>
      <c r="J70" s="265" t="n">
        <v>4946807</v>
      </c>
      <c r="K70" s="265" t="n">
        <v>5109731</v>
      </c>
      <c r="L70" s="265" t="n">
        <v>5324416</v>
      </c>
      <c r="N70" s="265" t="n">
        <v>5372552</v>
      </c>
      <c r="O70" s="265" t="n">
        <v>5408683</v>
      </c>
      <c r="P70" s="265" t="n">
        <v>5530079</v>
      </c>
      <c r="Q70" s="265" t="n">
        <v>5589542</v>
      </c>
      <c r="S70" s="265" t="n">
        <v>5635290</v>
      </c>
      <c r="T70" s="265" t="n">
        <v>5779312</v>
      </c>
      <c r="U70" s="265" t="n">
        <v>5746537</v>
      </c>
      <c r="V70" s="265" t="n">
        <v>5996226</v>
      </c>
      <c r="X70" s="265" t="n">
        <v>5831673</v>
      </c>
      <c r="Y70" s="265" t="n">
        <v>5764356</v>
      </c>
      <c r="Z70" s="265" t="n">
        <v>5730090</v>
      </c>
      <c r="AA70" s="265" t="n">
        <v>5878065</v>
      </c>
      <c r="AC70" s="265" t="n">
        <v>5718153</v>
      </c>
      <c r="AD70" s="265" t="n">
        <v>5795449</v>
      </c>
    </row>
    <row r="71">
      <c r="A71" t="inlineStr">
        <is>
          <t>Intangível / Intangibles Assets (l.42) · fonte · unid. moeda</t>
        </is>
      </c>
      <c r="B71" t="n">
        <v>21</v>
      </c>
      <c r="C71" t="inlineStr">
        <is>
          <t>Intangibles</t>
        </is>
      </c>
      <c r="D71" s="265" t="n">
        <v>200570</v>
      </c>
      <c r="E71" s="265" t="n">
        <v>197429</v>
      </c>
      <c r="F71" s="265" t="n">
        <v>200395</v>
      </c>
      <c r="G71" s="265" t="n">
        <v>281564</v>
      </c>
      <c r="I71" s="265" t="n">
        <v>277134</v>
      </c>
      <c r="J71" s="265" t="n">
        <v>280249</v>
      </c>
      <c r="K71" s="265" t="n">
        <v>277968</v>
      </c>
      <c r="L71" s="265" t="n">
        <v>269693</v>
      </c>
      <c r="N71" s="265" t="n">
        <v>268323</v>
      </c>
      <c r="O71" s="265" t="n">
        <v>266404</v>
      </c>
      <c r="P71" s="265" t="n">
        <v>273890</v>
      </c>
      <c r="Q71" s="265" t="n">
        <v>268011</v>
      </c>
      <c r="S71" s="265" t="n">
        <v>284175</v>
      </c>
      <c r="T71" s="265" t="n">
        <v>291913</v>
      </c>
      <c r="U71" s="265" t="n">
        <v>299502</v>
      </c>
      <c r="V71" s="265" t="n">
        <v>364832</v>
      </c>
      <c r="X71" s="265" t="n">
        <v>354539</v>
      </c>
      <c r="Y71" s="265" t="n">
        <v>350904</v>
      </c>
      <c r="Z71" s="265" t="n">
        <v>374853</v>
      </c>
      <c r="AA71" s="265" t="n">
        <v>446996</v>
      </c>
      <c r="AC71" s="265" t="n">
        <v>469158</v>
      </c>
      <c r="AD71" s="265" t="n">
        <v>593425</v>
      </c>
    </row>
    <row r="72">
      <c r="A72" t="inlineStr">
        <is>
          <t>Empréstimos e financiamentos / Loans and Financing (l.48) · fonte · unid. moeda</t>
        </is>
      </c>
      <c r="B72" t="n">
        <v>27</v>
      </c>
      <c r="C72" t="inlineStr">
        <is>
          <t>Current portion of long-term debt</t>
        </is>
      </c>
      <c r="D72" s="265" t="n">
        <v>576435</v>
      </c>
      <c r="E72" s="265" t="n">
        <v>788247</v>
      </c>
      <c r="F72" s="265" t="n">
        <v>845714</v>
      </c>
      <c r="G72" s="265" t="n">
        <v>634414</v>
      </c>
      <c r="I72" s="265" t="n">
        <v>602627</v>
      </c>
      <c r="J72" s="265" t="n">
        <v>403227</v>
      </c>
      <c r="K72" s="265" t="n">
        <v>174118</v>
      </c>
      <c r="L72" s="265" t="n">
        <v>653418</v>
      </c>
      <c r="N72" s="265" t="n">
        <v>691510</v>
      </c>
      <c r="O72" s="265" t="n">
        <v>702884</v>
      </c>
      <c r="P72" s="265" t="n">
        <v>722950</v>
      </c>
      <c r="Q72" s="265" t="n">
        <v>472270</v>
      </c>
      <c r="S72" s="265" t="n">
        <v>569445</v>
      </c>
      <c r="T72" s="265" t="n">
        <v>759466</v>
      </c>
      <c r="U72" s="265" t="n">
        <v>678862</v>
      </c>
      <c r="V72" s="265" t="n">
        <v>549204</v>
      </c>
      <c r="X72" s="265" t="n">
        <v>509000</v>
      </c>
      <c r="Y72" s="265" t="n">
        <v>500117</v>
      </c>
      <c r="Z72" s="265" t="n">
        <v>414771</v>
      </c>
      <c r="AA72" s="265" t="n">
        <v>428606</v>
      </c>
      <c r="AC72" s="265" t="n">
        <v>465936</v>
      </c>
      <c r="AD72" s="265" t="n">
        <v>581375</v>
      </c>
    </row>
    <row r="73">
      <c r="A73" t="inlineStr">
        <is>
          <t>Debêntures / Debentures (l.49) · fonte · unid. moeda</t>
        </is>
      </c>
      <c r="B73" t="n">
        <v>27</v>
      </c>
      <c r="C73" t="inlineStr">
        <is>
          <t>Current portion of long-term debt</t>
        </is>
      </c>
      <c r="D73" s="265" t="n">
        <v>433723</v>
      </c>
      <c r="E73" s="265" t="n">
        <v>337230</v>
      </c>
      <c r="F73" s="265" t="n">
        <v>268103</v>
      </c>
      <c r="G73" s="265" t="n">
        <v>316779</v>
      </c>
      <c r="I73" s="265" t="n">
        <v>339002</v>
      </c>
      <c r="J73" s="265" t="n">
        <v>363812</v>
      </c>
      <c r="K73" s="265" t="n">
        <v>443940</v>
      </c>
      <c r="L73" s="265" t="n">
        <v>497611</v>
      </c>
      <c r="N73" s="265" t="n">
        <v>576010</v>
      </c>
      <c r="O73" s="265" t="n">
        <v>571994</v>
      </c>
      <c r="P73" s="265" t="n">
        <v>1095084</v>
      </c>
      <c r="Q73" s="265" t="n">
        <v>1663287</v>
      </c>
      <c r="S73" s="265" t="n">
        <v>1703871</v>
      </c>
      <c r="T73" s="265" t="n">
        <v>2082167</v>
      </c>
      <c r="U73" s="265" t="n">
        <v>1699979</v>
      </c>
      <c r="V73" s="265" t="n">
        <v>1419847</v>
      </c>
      <c r="X73" s="265" t="n">
        <v>1453814</v>
      </c>
      <c r="Y73" s="265" t="n">
        <v>1488668</v>
      </c>
      <c r="Z73" s="265" t="n">
        <v>1004834</v>
      </c>
      <c r="AA73" s="265" t="n">
        <v>1016041</v>
      </c>
      <c r="AC73" s="265" t="n">
        <v>1027042</v>
      </c>
      <c r="AD73" s="265" t="n">
        <v>1028765</v>
      </c>
    </row>
    <row r="74">
      <c r="A74" t="inlineStr">
        <is>
          <t>Arrendamento Mercantil / Leasing (l.50) · fonte · unid. moeda</t>
        </is>
      </c>
      <c r="B74" t="n">
        <v>29</v>
      </c>
      <c r="C74" t="inlineStr">
        <is>
          <t>Short term operating leases</t>
        </is>
      </c>
      <c r="D74" s="265" t="n">
        <v>9107</v>
      </c>
      <c r="E74" s="265" t="n">
        <v>11232</v>
      </c>
      <c r="F74" s="265" t="n">
        <v>9893</v>
      </c>
      <c r="G74" s="265" t="n">
        <v>9706</v>
      </c>
      <c r="I74" s="265" t="n">
        <v>10058</v>
      </c>
      <c r="J74" s="265" t="n">
        <v>8535</v>
      </c>
      <c r="K74" s="265" t="n">
        <v>8529</v>
      </c>
      <c r="L74" s="265" t="n">
        <v>8531</v>
      </c>
      <c r="N74" s="265" t="n">
        <v>8453</v>
      </c>
      <c r="O74" s="265" t="n">
        <v>7480</v>
      </c>
      <c r="P74" s="265" t="n">
        <v>7380</v>
      </c>
      <c r="Q74" s="265" t="n">
        <v>8075</v>
      </c>
      <c r="S74" s="265" t="n">
        <v>9028</v>
      </c>
      <c r="T74" s="265" t="n">
        <v>9055</v>
      </c>
      <c r="U74" s="265" t="n">
        <v>9088</v>
      </c>
      <c r="V74" s="265" t="n">
        <v>9413</v>
      </c>
      <c r="X74" s="265" t="n">
        <v>9545</v>
      </c>
      <c r="Y74" s="265" t="n">
        <v>9268</v>
      </c>
      <c r="Z74" s="265" t="n">
        <v>9962</v>
      </c>
      <c r="AA74" s="265" t="n">
        <v>5995</v>
      </c>
      <c r="AC74" s="265" t="n">
        <v>5772</v>
      </c>
      <c r="AD74" s="265" t="n">
        <v>6263</v>
      </c>
    </row>
    <row r="75">
      <c r="A75" t="inlineStr">
        <is>
          <t>Fornecedores / Suppliers (l.51) · fonte · unid. moeda</t>
        </is>
      </c>
      <c r="B75" t="n">
        <v>23</v>
      </c>
      <c r="C75" t="inlineStr">
        <is>
          <t>Accounts payable</t>
        </is>
      </c>
      <c r="D75" s="265" t="n">
        <v>196576</v>
      </c>
      <c r="E75" s="265" t="n">
        <v>245687</v>
      </c>
      <c r="F75" s="265" t="n">
        <v>217738</v>
      </c>
      <c r="G75" s="265" t="n">
        <v>203987</v>
      </c>
      <c r="I75" s="265" t="n">
        <v>460822</v>
      </c>
      <c r="J75" s="265" t="n">
        <v>195507</v>
      </c>
      <c r="K75" s="265" t="n">
        <v>299810</v>
      </c>
      <c r="L75" s="265" t="n">
        <v>239119</v>
      </c>
      <c r="N75" s="265" t="n">
        <v>193047</v>
      </c>
      <c r="O75" s="265" t="n">
        <v>183047</v>
      </c>
      <c r="P75" s="265" t="n">
        <v>173733</v>
      </c>
      <c r="Q75" s="265" t="n">
        <v>191620</v>
      </c>
      <c r="S75" s="265" t="n">
        <v>189720</v>
      </c>
      <c r="T75" s="265" t="n">
        <v>185821</v>
      </c>
      <c r="U75" s="265" t="n">
        <v>182751</v>
      </c>
      <c r="V75" s="265" t="n">
        <v>195371</v>
      </c>
      <c r="X75" s="265" t="n">
        <v>219347</v>
      </c>
      <c r="Y75" s="265" t="n">
        <v>211938</v>
      </c>
      <c r="Z75" s="265" t="n">
        <v>157703</v>
      </c>
      <c r="AA75" s="265" t="n">
        <v>190734</v>
      </c>
      <c r="AC75" s="265" t="n">
        <v>290279</v>
      </c>
      <c r="AD75" s="265" t="n">
        <v>306514</v>
      </c>
    </row>
    <row r="76">
      <c r="A76" t="inlineStr">
        <is>
          <t>Salários, férias e encargos sociais / Salaries, vacation pay and social charges (l.52) · fonte · unid. moeda</t>
        </is>
      </c>
      <c r="B76" t="n">
        <v>24</v>
      </c>
      <c r="C76" t="inlineStr">
        <is>
          <t>Accrued expenses</t>
        </is>
      </c>
      <c r="D76" s="265" t="n">
        <v>57887</v>
      </c>
      <c r="E76" s="265" t="n">
        <v>33676</v>
      </c>
      <c r="F76" s="265" t="n">
        <v>38093</v>
      </c>
      <c r="G76" s="265" t="n">
        <v>44866</v>
      </c>
      <c r="I76" s="265" t="n">
        <v>49435</v>
      </c>
      <c r="J76" s="265" t="n">
        <v>37285</v>
      </c>
      <c r="K76" s="265" t="n">
        <v>40193</v>
      </c>
      <c r="L76" s="265" t="n">
        <v>45325</v>
      </c>
      <c r="N76" s="265" t="n">
        <v>51044</v>
      </c>
      <c r="O76" s="265" t="n">
        <v>38889</v>
      </c>
      <c r="P76" s="265" t="n">
        <v>46145</v>
      </c>
      <c r="Q76" s="265" t="n">
        <v>45654</v>
      </c>
      <c r="S76" s="265" t="n">
        <v>51718</v>
      </c>
      <c r="T76" s="265" t="n">
        <v>40977</v>
      </c>
      <c r="U76" s="265" t="n">
        <v>48767</v>
      </c>
      <c r="V76" s="265" t="n">
        <v>47338</v>
      </c>
      <c r="X76" s="265" t="n">
        <v>53835</v>
      </c>
      <c r="Y76" s="265" t="n">
        <v>47121</v>
      </c>
      <c r="Z76" s="265" t="n">
        <v>51610</v>
      </c>
      <c r="AA76" s="265" t="n">
        <v>47332</v>
      </c>
      <c r="AC76" s="265" t="n">
        <v>54256</v>
      </c>
      <c r="AD76" s="265" t="n">
        <v>47161</v>
      </c>
    </row>
    <row r="77">
      <c r="A77" t="inlineStr">
        <is>
          <t>Tributos e contribuições sociais a recolher / Taxes payable (l.53) · fonte · unid. moeda</t>
        </is>
      </c>
      <c r="B77" t="n">
        <v>25</v>
      </c>
      <c r="C77" t="inlineStr">
        <is>
          <t>Taxes payable</t>
        </is>
      </c>
      <c r="D77" s="265" t="n">
        <v>68110</v>
      </c>
      <c r="E77" s="265" t="n">
        <v>87520</v>
      </c>
      <c r="F77" s="265" t="n">
        <v>104389</v>
      </c>
      <c r="G77" s="265" t="n">
        <v>115952</v>
      </c>
      <c r="I77" s="265" t="n">
        <v>89648</v>
      </c>
      <c r="J77" s="265" t="n">
        <v>103913</v>
      </c>
      <c r="K77" s="265" t="n">
        <v>147667</v>
      </c>
      <c r="L77" s="265" t="n">
        <v>197448</v>
      </c>
      <c r="N77" s="265" t="n">
        <v>122435</v>
      </c>
      <c r="O77" s="265" t="n">
        <v>155508</v>
      </c>
      <c r="P77" s="265" t="n">
        <v>184291</v>
      </c>
      <c r="Q77" s="265" t="n">
        <v>161876</v>
      </c>
      <c r="S77" s="265" t="n">
        <v>140937</v>
      </c>
      <c r="T77" s="265" t="n">
        <v>166263</v>
      </c>
      <c r="U77" s="265" t="n">
        <v>177287</v>
      </c>
      <c r="V77" s="265" t="n">
        <v>158950</v>
      </c>
      <c r="X77" s="265" t="n">
        <v>128376</v>
      </c>
      <c r="Y77" s="265" t="n">
        <v>157779</v>
      </c>
      <c r="Z77" s="265" t="n">
        <v>185597</v>
      </c>
      <c r="AA77" s="265" t="n">
        <v>160407</v>
      </c>
      <c r="AC77" s="265" t="n">
        <v>176219</v>
      </c>
      <c r="AD77" s="265" t="n">
        <v>208403</v>
      </c>
    </row>
    <row r="78">
      <c r="A78" t="inlineStr">
        <is>
          <t>Provisões de constituição dos ativos / Other levies payable (l.54) · fonte · unid. moeda</t>
        </is>
      </c>
      <c r="B78" t="n">
        <v>26</v>
      </c>
      <c r="C78" t="inlineStr">
        <is>
          <t>Other current liabilities (non-debt)</t>
        </is>
      </c>
      <c r="D78" s="265" t="n">
        <v>296479</v>
      </c>
      <c r="E78" s="265" t="n">
        <v>200313</v>
      </c>
      <c r="F78" s="265" t="n">
        <v>178837</v>
      </c>
      <c r="G78" s="265" t="n">
        <v>324502</v>
      </c>
      <c r="I78" s="265" t="n">
        <v>191890</v>
      </c>
      <c r="J78" s="265" t="n">
        <v>97516</v>
      </c>
      <c r="K78" s="265" t="n">
        <v>86033</v>
      </c>
      <c r="L78" s="265" t="n">
        <v>83170</v>
      </c>
      <c r="N78" s="265" t="n">
        <v>73491</v>
      </c>
      <c r="O78" s="265" t="n">
        <v>72201</v>
      </c>
      <c r="P78" s="265" t="n">
        <v>93903</v>
      </c>
      <c r="Q78" s="265" t="n">
        <v>102347</v>
      </c>
      <c r="S78" s="265" t="n">
        <v>83959</v>
      </c>
      <c r="T78" s="265" t="n">
        <v>79609</v>
      </c>
      <c r="U78" s="265" t="n">
        <v>76945</v>
      </c>
      <c r="V78" s="265" t="n">
        <v>68749</v>
      </c>
      <c r="X78" s="265" t="n">
        <v>72982</v>
      </c>
      <c r="Y78" s="265" t="n">
        <v>125638</v>
      </c>
      <c r="Z78" s="265" t="n">
        <v>59940</v>
      </c>
      <c r="AA78" s="265" t="n">
        <v>57785</v>
      </c>
      <c r="AC78" s="265" t="n">
        <v>54217</v>
      </c>
      <c r="AD78" s="265" t="n">
        <v>42128</v>
      </c>
    </row>
    <row r="79">
      <c r="A79" t="inlineStr">
        <is>
          <t>Instrumentos financeiros derIvativos / Financial instruments derivatives (l.55) [0 em 9 per. (1Q20..1Q22): celula vazia ou "-" na fonte; total divulgado confirma] · fonte · unid. moeda</t>
        </is>
      </c>
      <c r="B79" t="n">
        <v>26</v>
      </c>
      <c r="C79" t="inlineStr">
        <is>
          <t>Other current liabilities (non-debt)</t>
        </is>
      </c>
      <c r="D79" s="265" t="n">
        <v>0</v>
      </c>
      <c r="E79" s="265" t="n">
        <v>0</v>
      </c>
      <c r="F79" s="265" t="n">
        <v>0</v>
      </c>
      <c r="G79" s="265" t="n">
        <v>0</v>
      </c>
      <c r="I79" s="265" t="n">
        <v>0</v>
      </c>
      <c r="J79" s="265" t="n">
        <v>1284</v>
      </c>
      <c r="K79" s="265" t="n">
        <v>1872</v>
      </c>
      <c r="L79" s="265" t="n">
        <v>0</v>
      </c>
      <c r="N79" s="265" t="n">
        <v>0</v>
      </c>
      <c r="O79" s="265" t="n">
        <v>0</v>
      </c>
      <c r="P79" s="265" t="n">
        <v>0</v>
      </c>
      <c r="Q79" s="265" t="n">
        <v>0</v>
      </c>
      <c r="S79" s="265" t="n">
        <v>0</v>
      </c>
      <c r="T79" s="265" t="n">
        <v>0</v>
      </c>
      <c r="U79" s="265" t="n">
        <v>1684</v>
      </c>
      <c r="V79" s="265" t="n">
        <v>72734</v>
      </c>
      <c r="X79" s="265" t="n">
        <v>58274</v>
      </c>
      <c r="Y79" s="265" t="n">
        <v>21632</v>
      </c>
      <c r="Z79" s="265" t="n">
        <v>45161</v>
      </c>
      <c r="AA79" s="265" t="n">
        <v>4516</v>
      </c>
      <c r="AC79" s="265" t="n">
        <v>33901</v>
      </c>
      <c r="AD79" s="265" t="n">
        <v>44454</v>
      </c>
    </row>
    <row r="80">
      <c r="A80" t="inlineStr">
        <is>
          <t>Dividendos a pagar / Dividends payable (l.56) · fonte · unid. moeda</t>
        </is>
      </c>
      <c r="B80" t="n">
        <v>26</v>
      </c>
      <c r="C80" t="inlineStr">
        <is>
          <t>Other current liabilities (non-debt)</t>
        </is>
      </c>
      <c r="D80" s="265" t="n">
        <v>493831</v>
      </c>
      <c r="E80" s="265" t="n">
        <v>295943</v>
      </c>
      <c r="F80" s="265" t="n">
        <v>150565</v>
      </c>
      <c r="G80" s="265" t="n">
        <v>202377</v>
      </c>
      <c r="I80" s="265" t="n">
        <v>528103</v>
      </c>
      <c r="J80" s="265" t="n">
        <v>325971</v>
      </c>
      <c r="K80" s="265" t="n">
        <v>298560</v>
      </c>
      <c r="L80" s="265" t="n">
        <v>552380</v>
      </c>
      <c r="N80" s="265" t="n">
        <v>553344</v>
      </c>
      <c r="O80" s="265" t="n">
        <v>145897</v>
      </c>
      <c r="P80" s="265" t="n">
        <v>249876</v>
      </c>
      <c r="Q80" s="265" t="n">
        <v>331379</v>
      </c>
      <c r="S80" s="265" t="n">
        <v>296094</v>
      </c>
      <c r="T80" s="265" t="n">
        <v>394956</v>
      </c>
      <c r="U80" s="265" t="n">
        <v>65435</v>
      </c>
      <c r="V80" s="265" t="n">
        <v>212516</v>
      </c>
      <c r="X80" s="265" t="n">
        <v>139530</v>
      </c>
      <c r="Y80" s="265" t="n">
        <v>110022</v>
      </c>
      <c r="Z80" s="265" t="n">
        <v>126500</v>
      </c>
      <c r="AA80" s="265" t="n">
        <v>286810</v>
      </c>
      <c r="AC80" s="265" t="n">
        <v>73629</v>
      </c>
      <c r="AD80" s="265" t="n">
        <v>141938</v>
      </c>
    </row>
    <row r="81">
      <c r="A81" t="inlineStr">
        <is>
          <t>Provisão para gastos ambientais / Environmental liability accrual (l.57) · fonte · unid. moeda</t>
        </is>
      </c>
      <c r="B81" t="n">
        <v>26</v>
      </c>
      <c r="C81" t="inlineStr">
        <is>
          <t>Other current liabilities (non-debt)</t>
        </is>
      </c>
      <c r="D81" s="265" t="n">
        <v>13619</v>
      </c>
      <c r="E81" s="265" t="n">
        <v>8145</v>
      </c>
      <c r="F81" s="265" t="n">
        <v>7883</v>
      </c>
      <c r="G81" s="265" t="n">
        <v>7475</v>
      </c>
      <c r="I81" s="265" t="n">
        <v>7560</v>
      </c>
      <c r="J81" s="265" t="n">
        <v>7630</v>
      </c>
      <c r="K81" s="265" t="n">
        <v>7602</v>
      </c>
      <c r="L81" s="265" t="n">
        <v>8697</v>
      </c>
      <c r="N81" s="265" t="n">
        <v>8834</v>
      </c>
      <c r="O81" s="265" t="n">
        <v>8892</v>
      </c>
      <c r="P81" s="265" t="n">
        <v>9594</v>
      </c>
      <c r="Q81" s="265" t="n">
        <v>7104</v>
      </c>
      <c r="S81" s="265" t="n">
        <v>7055</v>
      </c>
      <c r="T81" s="265" t="n">
        <v>6944</v>
      </c>
      <c r="U81" s="265" t="n">
        <v>6919</v>
      </c>
      <c r="V81" s="265" t="n">
        <v>6294</v>
      </c>
      <c r="X81" s="265" t="n">
        <v>6470</v>
      </c>
      <c r="Y81" s="265" t="n">
        <v>6340</v>
      </c>
      <c r="Z81" s="265" t="n">
        <v>7084</v>
      </c>
      <c r="AA81" s="265" t="n">
        <v>5743</v>
      </c>
      <c r="AC81" s="265" t="n">
        <v>8610</v>
      </c>
      <c r="AD81" s="265" t="n">
        <v>7954</v>
      </c>
    </row>
    <row r="82">
      <c r="A82" t="inlineStr">
        <is>
          <t>Taxas regulamentares e setoriais diferidas / Deferred Regulatory charges payable (l.58) · fonte · unid. moeda</t>
        </is>
      </c>
      <c r="B82" t="n">
        <v>26</v>
      </c>
      <c r="C82" t="inlineStr">
        <is>
          <t>Other current liabilities (non-debt)</t>
        </is>
      </c>
      <c r="D82" s="265" t="n">
        <v>63146</v>
      </c>
      <c r="E82" s="265" t="n">
        <v>56544</v>
      </c>
      <c r="F82" s="265" t="n">
        <v>60398</v>
      </c>
      <c r="G82" s="265" t="n">
        <v>54596</v>
      </c>
      <c r="I82" s="265" t="n">
        <v>58394</v>
      </c>
      <c r="J82" s="265" t="n">
        <v>57160</v>
      </c>
      <c r="K82" s="265" t="n">
        <v>56153</v>
      </c>
      <c r="L82" s="265" t="n">
        <v>170347</v>
      </c>
      <c r="N82" s="265" t="n">
        <v>170981</v>
      </c>
      <c r="O82" s="265" t="n">
        <v>170307</v>
      </c>
      <c r="P82" s="265" t="n">
        <v>172008</v>
      </c>
      <c r="Q82" s="265" t="n">
        <v>172507</v>
      </c>
      <c r="S82" s="265" t="n">
        <v>190567</v>
      </c>
      <c r="T82" s="265" t="n">
        <v>179850</v>
      </c>
      <c r="U82" s="265" t="n">
        <v>178916</v>
      </c>
      <c r="V82" s="265" t="n">
        <v>182459</v>
      </c>
      <c r="X82" s="265" t="n">
        <v>186819</v>
      </c>
      <c r="Y82" s="265" t="n">
        <v>194324</v>
      </c>
      <c r="Z82" s="265" t="n">
        <v>194848</v>
      </c>
      <c r="AA82" s="265" t="n">
        <v>195594</v>
      </c>
      <c r="AC82" s="265" t="n">
        <v>197533</v>
      </c>
      <c r="AD82" s="265" t="n">
        <v>205273</v>
      </c>
    </row>
    <row r="83">
      <c r="A83" t="inlineStr">
        <is>
          <t>Taxas regulamentares e setoriais correntes / Currente Regulatory charges payable (l.59) · fonte · unid. moeda</t>
        </is>
      </c>
      <c r="B83" t="n">
        <v>26</v>
      </c>
      <c r="C83" t="inlineStr">
        <is>
          <t>Other current liabilities (non-debt)</t>
        </is>
      </c>
      <c r="D83" s="265" t="n">
        <v>118567</v>
      </c>
      <c r="E83" s="265" t="n">
        <v>126666</v>
      </c>
      <c r="F83" s="265" t="n">
        <v>127243</v>
      </c>
      <c r="G83" s="265" t="n">
        <v>138539</v>
      </c>
      <c r="I83" s="265" t="n">
        <v>153276</v>
      </c>
      <c r="J83" s="265" t="n">
        <v>159191</v>
      </c>
      <c r="K83" s="265" t="n">
        <v>158614</v>
      </c>
      <c r="L83" s="265" t="n">
        <v>53767</v>
      </c>
      <c r="N83" s="265" t="n">
        <v>56946</v>
      </c>
      <c r="O83" s="265" t="n">
        <v>62628</v>
      </c>
      <c r="P83" s="265" t="n">
        <v>52592</v>
      </c>
      <c r="Q83" s="265" t="n">
        <v>41978</v>
      </c>
      <c r="S83" s="265" t="n">
        <v>44791</v>
      </c>
      <c r="T83" s="265" t="n">
        <v>44501</v>
      </c>
      <c r="U83" s="265" t="n">
        <v>47858</v>
      </c>
      <c r="V83" s="265" t="n">
        <v>45336</v>
      </c>
      <c r="X83" s="265" t="n">
        <v>46560</v>
      </c>
      <c r="Y83" s="265" t="n">
        <v>49463</v>
      </c>
      <c r="Z83" s="265" t="n">
        <v>47108</v>
      </c>
      <c r="AA83" s="265" t="n">
        <v>47956</v>
      </c>
      <c r="AC83" s="265" t="n">
        <v>53008</v>
      </c>
      <c r="AD83" s="265" t="n">
        <v>58261</v>
      </c>
    </row>
    <row r="84">
      <c r="A84" t="inlineStr">
        <is>
          <t>Provisões para contingências / Provision for litigation (l.60) · fonte · unid. moeda</t>
        </is>
      </c>
      <c r="B84" t="n">
        <v>26</v>
      </c>
      <c r="C84" t="inlineStr">
        <is>
          <t>Other current liabilities (non-debt)</t>
        </is>
      </c>
      <c r="D84" s="265" t="n">
        <v>0</v>
      </c>
      <c r="E84" s="265" t="n">
        <v>0</v>
      </c>
      <c r="F84" s="265" t="n">
        <v>0</v>
      </c>
      <c r="G84" s="265" t="n">
        <v>0</v>
      </c>
      <c r="I84" s="265" t="n">
        <v>0</v>
      </c>
      <c r="J84" s="265" t="n">
        <v>0</v>
      </c>
      <c r="K84" s="265" t="n">
        <v>0</v>
      </c>
      <c r="L84" s="265" t="n">
        <v>0</v>
      </c>
      <c r="N84" s="265" t="n">
        <v>0</v>
      </c>
      <c r="O84" s="265" t="n">
        <v>0</v>
      </c>
      <c r="P84" s="265" t="n">
        <v>0</v>
      </c>
      <c r="Q84" s="265" t="n">
        <v>0</v>
      </c>
      <c r="S84" s="265" t="n">
        <v>0</v>
      </c>
      <c r="T84" s="265" t="n">
        <v>0</v>
      </c>
      <c r="U84" s="265" t="n">
        <v>0</v>
      </c>
      <c r="V84" s="265" t="n">
        <v>0</v>
      </c>
      <c r="X84" s="265" t="n">
        <v>527</v>
      </c>
      <c r="Y84" s="265" t="n">
        <v>322</v>
      </c>
      <c r="Z84" s="265" t="n">
        <v>54</v>
      </c>
      <c r="AA84" s="265" t="n">
        <v>54</v>
      </c>
      <c r="AC84" s="265" t="n">
        <v>54</v>
      </c>
      <c r="AD84" s="265" t="n">
        <v>54</v>
      </c>
    </row>
    <row r="85">
      <c r="A85" t="inlineStr">
        <is>
          <t>Adiantamentos de clientes / Advances from customers (l.61) · fonte · unid. moeda</t>
        </is>
      </c>
      <c r="B85" t="n">
        <v>26</v>
      </c>
      <c r="C85" t="inlineStr">
        <is>
          <t>Other current liabilities (non-debt)</t>
        </is>
      </c>
      <c r="D85" s="265" t="n">
        <v>2064</v>
      </c>
      <c r="E85" s="265" t="n">
        <v>2091</v>
      </c>
      <c r="F85" s="265" t="n">
        <v>2444</v>
      </c>
      <c r="G85" s="265" t="n">
        <v>2444</v>
      </c>
      <c r="I85" s="265" t="n">
        <v>2543</v>
      </c>
      <c r="J85" s="265" t="n">
        <v>6632</v>
      </c>
      <c r="K85" s="265" t="n">
        <v>6730</v>
      </c>
      <c r="L85" s="265" t="n">
        <v>6779</v>
      </c>
      <c r="N85" s="265" t="n">
        <v>62680</v>
      </c>
      <c r="O85" s="265" t="n">
        <v>7609</v>
      </c>
      <c r="P85" s="265" t="n">
        <v>21409</v>
      </c>
      <c r="Q85" s="265" t="n">
        <v>21296</v>
      </c>
      <c r="S85" s="265" t="n">
        <v>24331</v>
      </c>
      <c r="T85" s="265" t="n">
        <v>34978</v>
      </c>
      <c r="U85" s="265" t="n">
        <v>34791</v>
      </c>
      <c r="V85" s="265" t="n">
        <v>35871</v>
      </c>
      <c r="X85" s="265" t="n">
        <v>55575</v>
      </c>
      <c r="Y85" s="265" t="n">
        <v>29197</v>
      </c>
      <c r="Z85" s="265" t="n">
        <v>29964</v>
      </c>
      <c r="AA85" s="265" t="n">
        <v>34775</v>
      </c>
      <c r="AC85" s="265" t="n">
        <v>32309</v>
      </c>
      <c r="AD85" s="265" t="n">
        <v>33681</v>
      </c>
    </row>
    <row r="86">
      <c r="A86" t="inlineStr">
        <is>
          <t>Opções de compra de ações outorgadas / Stock options granted (l.62) [0 em 14 per. (1Q20..2Q23): celula vazia ou "-" na fonte; total divulgado confirma] · fonte · unid. moeda</t>
        </is>
      </c>
      <c r="B86" t="n">
        <v>26</v>
      </c>
      <c r="C86" t="inlineStr">
        <is>
          <t>Other current liabilities (non-debt)</t>
        </is>
      </c>
      <c r="D86" s="265" t="n">
        <v>0</v>
      </c>
      <c r="E86" s="265" t="n">
        <v>0</v>
      </c>
      <c r="F86" s="265" t="n">
        <v>0</v>
      </c>
      <c r="G86" s="265" t="n">
        <v>0</v>
      </c>
      <c r="I86" s="265" t="n">
        <v>0</v>
      </c>
      <c r="J86" s="265" t="n">
        <v>0</v>
      </c>
      <c r="K86" s="265" t="n">
        <v>0</v>
      </c>
      <c r="L86" s="265" t="n">
        <v>0</v>
      </c>
      <c r="N86" s="265" t="n">
        <v>0</v>
      </c>
      <c r="O86" s="265" t="n">
        <v>0</v>
      </c>
      <c r="P86" s="265" t="n">
        <v>13236</v>
      </c>
      <c r="Q86" s="265" t="n">
        <v>10734</v>
      </c>
      <c r="S86" s="265" t="n">
        <v>10978</v>
      </c>
      <c r="T86" s="265" t="n">
        <v>11061</v>
      </c>
      <c r="U86" s="265" t="n">
        <v>11088</v>
      </c>
      <c r="V86" s="265" t="n">
        <v>11274</v>
      </c>
      <c r="X86" s="265" t="n">
        <v>11571</v>
      </c>
      <c r="Y86" s="265" t="n">
        <v>11634</v>
      </c>
      <c r="Z86" s="265" t="n">
        <v>11725</v>
      </c>
      <c r="AA86" s="265" t="n">
        <v>11817</v>
      </c>
      <c r="AC86" s="265" t="n">
        <v>11974</v>
      </c>
      <c r="AD86" s="265" t="n">
        <v>12220</v>
      </c>
    </row>
    <row r="87">
      <c r="A87" t="inlineStr">
        <is>
          <t>Outras obrigações / Other liabilities (l.63) [0 em 1 per. (3Q23..3Q23): celula vazia ou "-" na fonte; total divulgado confirma] · fonte · unid. moeda</t>
        </is>
      </c>
      <c r="B87" t="n">
        <v>26</v>
      </c>
      <c r="C87" t="inlineStr">
        <is>
          <t>Other current liabilities (non-debt)</t>
        </is>
      </c>
      <c r="D87" s="265" t="n">
        <v>29815</v>
      </c>
      <c r="E87" s="265" t="n">
        <v>26558</v>
      </c>
      <c r="F87" s="265" t="n">
        <v>25951</v>
      </c>
      <c r="G87" s="265" t="n">
        <v>58002</v>
      </c>
      <c r="I87" s="265" t="n">
        <v>28970</v>
      </c>
      <c r="J87" s="265" t="n">
        <v>28772</v>
      </c>
      <c r="K87" s="265" t="n">
        <v>29650</v>
      </c>
      <c r="L87" s="265" t="n">
        <v>41603</v>
      </c>
      <c r="N87" s="265" t="n">
        <v>41769</v>
      </c>
      <c r="O87" s="265" t="n">
        <v>14616</v>
      </c>
      <c r="P87" s="265" t="n">
        <v>0</v>
      </c>
      <c r="Q87" s="265" t="n">
        <v>18591</v>
      </c>
      <c r="S87" s="265" t="n">
        <v>17923</v>
      </c>
      <c r="T87" s="265" t="n">
        <v>21991</v>
      </c>
      <c r="U87" s="265" t="n">
        <v>41607</v>
      </c>
      <c r="V87" s="265" t="n">
        <v>38633</v>
      </c>
      <c r="X87" s="265" t="n">
        <v>33096</v>
      </c>
      <c r="Y87" s="265" t="n">
        <v>111579</v>
      </c>
      <c r="Z87" s="265" t="n">
        <v>43212</v>
      </c>
      <c r="AA87" s="265" t="n">
        <v>50198</v>
      </c>
      <c r="AC87" s="265" t="n">
        <v>32869</v>
      </c>
      <c r="AD87" s="265" t="n">
        <v>50120</v>
      </c>
    </row>
    <row r="88">
      <c r="A88" t="inlineStr">
        <is>
          <t>Empréstimos e financiamentos / Loans and Financing (l.66) [3T23 lido da linha de cima na fonte (deslocamento de uma linha no 3T23)] · fonte · unid. moeda</t>
        </is>
      </c>
      <c r="B88" t="n">
        <v>30</v>
      </c>
      <c r="C88" t="inlineStr">
        <is>
          <t>Long term debt</t>
        </is>
      </c>
      <c r="D88" s="265" t="n">
        <v>2021324</v>
      </c>
      <c r="E88" s="265" t="n">
        <v>1649919</v>
      </c>
      <c r="F88" s="265" t="n">
        <v>1671089</v>
      </c>
      <c r="G88" s="265" t="n">
        <v>1753179</v>
      </c>
      <c r="I88" s="265" t="n">
        <v>1584319</v>
      </c>
      <c r="J88" s="265" t="n">
        <v>1891161</v>
      </c>
      <c r="K88" s="265" t="n">
        <v>2291563</v>
      </c>
      <c r="L88" s="265" t="n">
        <v>1866200</v>
      </c>
      <c r="N88" s="265" t="n">
        <v>1866314</v>
      </c>
      <c r="O88" s="265" t="n">
        <v>1768280</v>
      </c>
      <c r="P88" s="265" t="n">
        <v>1777277</v>
      </c>
      <c r="Q88" s="265" t="n">
        <v>1867508</v>
      </c>
      <c r="S88" s="265" t="n">
        <v>1687963</v>
      </c>
      <c r="T88" s="265" t="n">
        <v>1674398</v>
      </c>
      <c r="U88" s="265" t="n">
        <v>1711790</v>
      </c>
      <c r="V88" s="265" t="n">
        <v>2068616</v>
      </c>
      <c r="X88" s="265" t="n">
        <v>1933844</v>
      </c>
      <c r="Y88" s="265" t="n">
        <v>1856302</v>
      </c>
      <c r="Z88" s="265" t="n">
        <v>2013354</v>
      </c>
      <c r="AA88" s="265" t="n">
        <v>2182247</v>
      </c>
      <c r="AC88" s="265" t="n">
        <v>2082128</v>
      </c>
      <c r="AD88" s="265" t="n">
        <v>2215470</v>
      </c>
    </row>
    <row r="89">
      <c r="A89" t="inlineStr">
        <is>
          <t>Debêntures / Debentures (l.67) [3T23 lido da linha de cima na fonte (deslocamento de uma linha no 3T23)] · fonte · unid. moeda</t>
        </is>
      </c>
      <c r="B89" t="n">
        <v>30</v>
      </c>
      <c r="C89" t="inlineStr">
        <is>
          <t>Long term debt</t>
        </is>
      </c>
      <c r="D89" s="265" t="n">
        <v>6083986</v>
      </c>
      <c r="E89" s="265" t="n">
        <v>6505175</v>
      </c>
      <c r="F89" s="265" t="n">
        <v>6609688</v>
      </c>
      <c r="G89" s="265" t="n">
        <v>7343384</v>
      </c>
      <c r="I89" s="265" t="n">
        <v>7411791</v>
      </c>
      <c r="J89" s="265" t="n">
        <v>8076329</v>
      </c>
      <c r="K89" s="265" t="n">
        <v>8105459</v>
      </c>
      <c r="L89" s="265" t="n">
        <v>8618877</v>
      </c>
      <c r="N89" s="265" t="n">
        <v>8594539</v>
      </c>
      <c r="O89" s="265" t="n">
        <v>8605883</v>
      </c>
      <c r="P89" s="265" t="n">
        <v>7983163</v>
      </c>
      <c r="Q89" s="265" t="n">
        <v>7771366</v>
      </c>
      <c r="S89" s="265" t="n">
        <v>7763773</v>
      </c>
      <c r="T89" s="265" t="n">
        <v>7917412</v>
      </c>
      <c r="U89" s="265" t="n">
        <v>8180184</v>
      </c>
      <c r="V89" s="265" t="n">
        <v>8645404</v>
      </c>
      <c r="X89" s="265" t="n">
        <v>8690944</v>
      </c>
      <c r="Y89" s="265" t="n">
        <v>8887472</v>
      </c>
      <c r="Z89" s="265" t="n">
        <v>9002298</v>
      </c>
      <c r="AA89" s="265" t="n">
        <v>8960457</v>
      </c>
      <c r="AC89" s="265" t="n">
        <v>10974811</v>
      </c>
      <c r="AD89" s="265" t="n">
        <v>11045819</v>
      </c>
    </row>
    <row r="90">
      <c r="A90" t="inlineStr">
        <is>
          <t>Arrendamento Mercantil / Leasing (l.68) [3T23 lido da linha de cima na fonte (deslocamento de uma linha no 3T23)] · fonte · unid. moeda</t>
        </is>
      </c>
      <c r="B90" t="n">
        <v>31</v>
      </c>
      <c r="C90" t="inlineStr">
        <is>
          <t>Long term operating leases</t>
        </is>
      </c>
      <c r="D90" s="265" t="n">
        <v>29628</v>
      </c>
      <c r="E90" s="265" t="n">
        <v>31829</v>
      </c>
      <c r="F90" s="265" t="n">
        <v>42853</v>
      </c>
      <c r="G90" s="265" t="n">
        <v>38707</v>
      </c>
      <c r="I90" s="265" t="n">
        <v>34871</v>
      </c>
      <c r="J90" s="265" t="n">
        <v>38958</v>
      </c>
      <c r="K90" s="265" t="n">
        <v>37657</v>
      </c>
      <c r="L90" s="265" t="n">
        <v>36263</v>
      </c>
      <c r="N90" s="265" t="n">
        <v>35228</v>
      </c>
      <c r="O90" s="265" t="n">
        <v>30830</v>
      </c>
      <c r="P90" s="265" t="n">
        <v>34263</v>
      </c>
      <c r="Q90" s="265" t="n">
        <v>38010</v>
      </c>
      <c r="S90" s="265" t="n">
        <v>38520</v>
      </c>
      <c r="T90" s="265" t="n">
        <v>37493</v>
      </c>
      <c r="U90" s="265" t="n">
        <v>36726</v>
      </c>
      <c r="V90" s="265" t="n">
        <v>37142</v>
      </c>
      <c r="X90" s="265" t="n">
        <v>32379</v>
      </c>
      <c r="Y90" s="265" t="n">
        <v>33248</v>
      </c>
      <c r="Z90" s="265" t="n">
        <v>32320</v>
      </c>
      <c r="AA90" s="265" t="n">
        <v>18089</v>
      </c>
      <c r="AC90" s="265" t="n">
        <v>15954</v>
      </c>
      <c r="AD90" s="265" t="n">
        <v>16910</v>
      </c>
    </row>
    <row r="91">
      <c r="A91" t="inlineStr">
        <is>
          <t>Fornecedores / Suppliers (l.69) [3T23 lido da linha de cima na fonte (deslocamento de uma linha no 3T23)] · fonte · unid. moeda</t>
        </is>
      </c>
      <c r="B91" t="n">
        <v>34</v>
      </c>
      <c r="C91" t="inlineStr">
        <is>
          <t>Other non-current liabilities</t>
        </is>
      </c>
      <c r="D91" s="265" t="n">
        <v>850</v>
      </c>
      <c r="E91" s="265" t="n">
        <v>850</v>
      </c>
      <c r="F91" s="265" t="n">
        <v>850</v>
      </c>
      <c r="G91" s="265" t="n">
        <v>850</v>
      </c>
      <c r="I91" s="265" t="n">
        <v>850</v>
      </c>
      <c r="J91" s="265" t="n">
        <v>850</v>
      </c>
      <c r="K91" s="265" t="n">
        <v>850</v>
      </c>
      <c r="L91" s="265" t="n">
        <v>850</v>
      </c>
      <c r="N91" s="265" t="n">
        <v>850</v>
      </c>
      <c r="O91" s="265" t="n">
        <v>850</v>
      </c>
      <c r="P91" s="265" t="n">
        <v>850</v>
      </c>
      <c r="Q91" s="265" t="n">
        <v>850</v>
      </c>
      <c r="S91" s="265" t="n">
        <v>850</v>
      </c>
      <c r="T91" s="265" t="n">
        <v>850</v>
      </c>
      <c r="U91" s="265" t="n">
        <v>850</v>
      </c>
      <c r="V91" s="265" t="n">
        <v>850</v>
      </c>
      <c r="X91" s="265" t="n">
        <v>850</v>
      </c>
      <c r="Y91" s="265" t="n">
        <v>850</v>
      </c>
      <c r="Z91" s="265" t="n">
        <v>850</v>
      </c>
      <c r="AA91" s="265" t="n">
        <v>850</v>
      </c>
      <c r="AC91" s="265" t="n">
        <v>850</v>
      </c>
      <c r="AD91" s="265" t="n">
        <v>850</v>
      </c>
    </row>
    <row r="92">
      <c r="A92" t="inlineStr">
        <is>
          <t>Adiantamento para futuro aumento de capital / Advance for future capital increase (l.70) [3T23 lido da linha de cima na fonte (deslocamento de uma linha no 3T23)] · fonte · unid. moeda</t>
        </is>
      </c>
      <c r="B92" t="n">
        <v>34</v>
      </c>
      <c r="C92" t="inlineStr">
        <is>
          <t>Other non-current liabilities</t>
        </is>
      </c>
      <c r="D92" s="265" t="n">
        <v>293</v>
      </c>
      <c r="E92" s="265" t="n">
        <v>258</v>
      </c>
      <c r="F92" s="265" t="n">
        <v>257</v>
      </c>
      <c r="G92" s="265" t="n">
        <v>36941</v>
      </c>
      <c r="I92" s="265" t="n">
        <v>293</v>
      </c>
      <c r="J92" s="265" t="n">
        <v>292</v>
      </c>
      <c r="K92" s="265" t="n">
        <v>280</v>
      </c>
      <c r="L92" s="265" t="n">
        <v>293</v>
      </c>
      <c r="N92" s="265" t="n">
        <v>293</v>
      </c>
      <c r="O92" s="265" t="n">
        <v>293</v>
      </c>
      <c r="P92" s="265" t="n">
        <v>293</v>
      </c>
      <c r="Q92" s="265" t="n">
        <v>293</v>
      </c>
      <c r="S92" s="265" t="n">
        <v>294</v>
      </c>
      <c r="T92" s="265" t="n">
        <v>295</v>
      </c>
      <c r="U92" s="265" t="n">
        <v>298</v>
      </c>
      <c r="V92" s="265" t="n">
        <v>1991</v>
      </c>
      <c r="X92" s="265" t="n">
        <v>1991</v>
      </c>
      <c r="Y92" s="265" t="n">
        <v>1991</v>
      </c>
      <c r="Z92" s="265" t="n">
        <v>1991</v>
      </c>
      <c r="AA92" s="265" t="n">
        <v>1991</v>
      </c>
      <c r="AC92" s="265" t="n">
        <v>17017</v>
      </c>
      <c r="AD92" s="265" t="n">
        <v>17142</v>
      </c>
    </row>
    <row r="93">
      <c r="A93" t="inlineStr">
        <is>
          <t>Tributos e contribuições sociais a recolher / Taxes payable (l.71) [3T23 lido da linha de cima na fonte (deslocamento de uma linha no 3T23)] · fonte · unid. moeda</t>
        </is>
      </c>
      <c r="B93" t="n">
        <v>34</v>
      </c>
      <c r="C93" t="inlineStr">
        <is>
          <t>Other non-current liabilities</t>
        </is>
      </c>
      <c r="D93" s="265" t="n">
        <v>0</v>
      </c>
      <c r="E93" s="265" t="n">
        <v>0</v>
      </c>
      <c r="F93" s="265" t="n">
        <v>0</v>
      </c>
      <c r="G93" s="265" t="n">
        <v>0</v>
      </c>
      <c r="I93" s="265" t="n">
        <v>0</v>
      </c>
      <c r="J93" s="265" t="n">
        <v>0</v>
      </c>
      <c r="K93" s="265" t="n">
        <v>0</v>
      </c>
      <c r="L93" s="265" t="n">
        <v>0</v>
      </c>
      <c r="N93" s="265" t="n">
        <v>0</v>
      </c>
      <c r="O93" s="265" t="n">
        <v>0</v>
      </c>
      <c r="P93" s="265" t="n">
        <v>0</v>
      </c>
      <c r="Q93" s="265" t="n">
        <v>0</v>
      </c>
      <c r="S93" s="265" t="n">
        <v>0</v>
      </c>
      <c r="T93" s="265" t="n">
        <v>0</v>
      </c>
      <c r="U93" s="265" t="n">
        <v>0</v>
      </c>
      <c r="V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C93" s="265" t="n">
        <v>0</v>
      </c>
      <c r="AD93" s="265" t="n">
        <v>0</v>
      </c>
    </row>
    <row r="94">
      <c r="A94" t="inlineStr">
        <is>
          <t>Imposto de Renda e Contribuição social diferidos / Deferred income and social contribution taxes (l.72) [3T23 lido da linha de cima na fonte (deslocamento de uma linha no 3T23)] · fonte · unid. moeda</t>
        </is>
      </c>
      <c r="B94" t="n">
        <v>33</v>
      </c>
      <c r="C94" t="inlineStr">
        <is>
          <t>Deferred income taxes</t>
        </is>
      </c>
      <c r="D94" s="265" t="n">
        <v>2111989</v>
      </c>
      <c r="E94" s="265" t="n">
        <v>2309438</v>
      </c>
      <c r="F94" s="265" t="n">
        <v>2427741</v>
      </c>
      <c r="G94" s="265" t="n">
        <v>2571980</v>
      </c>
      <c r="I94" s="265" t="n">
        <v>2669434</v>
      </c>
      <c r="J94" s="265" t="n">
        <v>2780910</v>
      </c>
      <c r="K94" s="265" t="n">
        <v>2759057</v>
      </c>
      <c r="L94" s="265" t="n">
        <v>2700528</v>
      </c>
      <c r="N94" s="265" t="n">
        <v>2779092</v>
      </c>
      <c r="O94" s="265" t="n">
        <v>2808619</v>
      </c>
      <c r="P94" s="265" t="n">
        <v>2795307</v>
      </c>
      <c r="Q94" s="265" t="n">
        <v>2890782</v>
      </c>
      <c r="S94" s="265" t="n">
        <v>2970165</v>
      </c>
      <c r="T94" s="265" t="n">
        <v>3046672</v>
      </c>
      <c r="U94" s="265" t="n">
        <v>2835961</v>
      </c>
      <c r="V94" s="265" t="n">
        <v>2881281</v>
      </c>
      <c r="X94" s="265" t="n">
        <v>3038628</v>
      </c>
      <c r="Y94" s="265" t="n">
        <v>3081852</v>
      </c>
      <c r="Z94" s="265" t="n">
        <v>3236041</v>
      </c>
      <c r="AA94" s="265" t="n">
        <v>3333016</v>
      </c>
      <c r="AC94" s="265" t="n">
        <v>3376715</v>
      </c>
      <c r="AD94" s="265" t="n">
        <v>3390710</v>
      </c>
    </row>
    <row r="95">
      <c r="A95" t="inlineStr">
        <is>
          <t>PIS/COFINS Diferidos / Deferred PIS/COFINS taxes (l.73) [3T23 lido da linha de cima na fonte (deslocamento de uma linha no 3T23)] · fonte · unid. moeda</t>
        </is>
      </c>
      <c r="B95" t="n">
        <v>34</v>
      </c>
      <c r="C95" t="inlineStr">
        <is>
          <t>Other non-current liabilities</t>
        </is>
      </c>
      <c r="D95" s="265" t="n">
        <v>1059732</v>
      </c>
      <c r="E95" s="265" t="n">
        <v>1113108</v>
      </c>
      <c r="F95" s="265" t="n">
        <v>1150704</v>
      </c>
      <c r="G95" s="265" t="n">
        <v>1234120</v>
      </c>
      <c r="I95" s="265" t="n">
        <v>1270698</v>
      </c>
      <c r="J95" s="265" t="n">
        <v>1292527</v>
      </c>
      <c r="K95" s="265" t="n">
        <v>1282893</v>
      </c>
      <c r="L95" s="265" t="n">
        <v>1280762</v>
      </c>
      <c r="N95" s="265" t="n">
        <v>1302887</v>
      </c>
      <c r="O95" s="265" t="n">
        <v>1310435</v>
      </c>
      <c r="P95" s="265" t="n">
        <v>1304573</v>
      </c>
      <c r="Q95" s="265" t="n">
        <v>1311963</v>
      </c>
      <c r="S95" s="265" t="n">
        <v>1331485</v>
      </c>
      <c r="T95" s="265" t="n">
        <v>1349454</v>
      </c>
      <c r="U95" s="265" t="n">
        <v>1362137</v>
      </c>
      <c r="V95" s="265" t="n">
        <v>1377334</v>
      </c>
      <c r="X95" s="265" t="n">
        <v>1410095</v>
      </c>
      <c r="Y95" s="265" t="n">
        <v>1423843</v>
      </c>
      <c r="Z95" s="265" t="n">
        <v>1444208</v>
      </c>
      <c r="AA95" s="265" t="n">
        <v>1464323</v>
      </c>
      <c r="AC95" s="265" t="n">
        <v>1491910</v>
      </c>
      <c r="AD95" s="265" t="n">
        <v>1541577</v>
      </c>
    </row>
    <row r="96">
      <c r="A96" t="inlineStr">
        <is>
          <t>Taxas setoriais Diferidas - RGR / TFSEE / Sectorial Taxes - RGR / TFSEE (l.74) [3T23 lido da linha de cima na fonte (deslocamento de uma linha no 3T23)] · fonte · unid. moeda</t>
        </is>
      </c>
      <c r="B96" t="n">
        <v>34</v>
      </c>
      <c r="C96" t="inlineStr">
        <is>
          <t>Other non-current liabilities</t>
        </is>
      </c>
      <c r="D96" s="265" t="n">
        <v>178356</v>
      </c>
      <c r="E96" s="265" t="n">
        <v>184986</v>
      </c>
      <c r="F96" s="265" t="n">
        <v>192084</v>
      </c>
      <c r="G96" s="265" t="n">
        <v>191960</v>
      </c>
      <c r="I96" s="265" t="n">
        <v>196936</v>
      </c>
      <c r="J96" s="265" t="n">
        <v>200967</v>
      </c>
      <c r="K96" s="265" t="n">
        <v>200045</v>
      </c>
      <c r="L96" s="265" t="n">
        <v>193224</v>
      </c>
      <c r="N96" s="265" t="n">
        <v>195856</v>
      </c>
      <c r="O96" s="265" t="n">
        <v>188991</v>
      </c>
      <c r="P96" s="265" t="n">
        <v>188344</v>
      </c>
      <c r="Q96" s="265" t="n">
        <v>187096</v>
      </c>
      <c r="S96" s="265" t="n">
        <v>171840</v>
      </c>
      <c r="T96" s="265" t="n">
        <v>184933</v>
      </c>
      <c r="U96" s="265" t="n">
        <v>184219</v>
      </c>
      <c r="V96" s="265" t="n">
        <v>184773</v>
      </c>
      <c r="X96" s="265" t="n">
        <v>185131</v>
      </c>
      <c r="Y96" s="265" t="n">
        <v>181284</v>
      </c>
      <c r="Z96" s="265" t="n">
        <v>177794</v>
      </c>
      <c r="AA96" s="265" t="n">
        <v>176910</v>
      </c>
      <c r="AC96" s="265" t="n">
        <v>177158</v>
      </c>
      <c r="AD96" s="265" t="n">
        <v>182410</v>
      </c>
    </row>
    <row r="97">
      <c r="A97" t="inlineStr">
        <is>
          <t>Instrumentos financeiros derivativos / Derivative Financial Instruments (l.75) [3T23 lido da linha de cima na fonte (deslocamento de uma linha no 3T23)] [0 em 10 per. (1Q20..2Q22): celula vazia ou "-" na fonte; total divulgado confirma] · fonte · unid. moeda</t>
        </is>
      </c>
      <c r="B97" t="n">
        <v>34</v>
      </c>
      <c r="C97" t="inlineStr">
        <is>
          <t>Other non-current liabilities</t>
        </is>
      </c>
      <c r="D97" s="265" t="n">
        <v>0</v>
      </c>
      <c r="E97" s="265" t="n">
        <v>0</v>
      </c>
      <c r="F97" s="265" t="n">
        <v>0</v>
      </c>
      <c r="G97" s="265" t="n">
        <v>0</v>
      </c>
      <c r="I97" s="265" t="n">
        <v>0</v>
      </c>
      <c r="J97" s="265" t="n">
        <v>0</v>
      </c>
      <c r="K97" s="265" t="n">
        <v>8854</v>
      </c>
      <c r="L97" s="265" t="n">
        <v>8860</v>
      </c>
      <c r="N97" s="265" t="n">
        <v>0</v>
      </c>
      <c r="O97" s="265" t="n">
        <v>0</v>
      </c>
      <c r="P97" s="265" t="n">
        <v>0</v>
      </c>
      <c r="Q97" s="265" t="n">
        <v>0</v>
      </c>
      <c r="S97" s="265" t="n">
        <v>0</v>
      </c>
      <c r="T97" s="265" t="n">
        <v>0</v>
      </c>
      <c r="U97" s="265" t="n">
        <v>0</v>
      </c>
      <c r="V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C97" s="265" t="n">
        <v>0</v>
      </c>
      <c r="AD97" s="265" t="n">
        <v>0</v>
      </c>
    </row>
    <row r="98">
      <c r="A98" t="inlineStr">
        <is>
          <t>Provisões para contingências / Provision for litigation (l.76) [3T23 lido da linha de cima na fonte (deslocamento de uma linha no 3T23)] · fonte · unid. moeda</t>
        </is>
      </c>
      <c r="B98" t="n">
        <v>34</v>
      </c>
      <c r="C98" t="inlineStr">
        <is>
          <t>Other non-current liabilities</t>
        </is>
      </c>
      <c r="D98" s="265" t="n">
        <v>15055</v>
      </c>
      <c r="E98" s="265" t="n">
        <v>11968</v>
      </c>
      <c r="F98" s="265" t="n">
        <v>8200</v>
      </c>
      <c r="G98" s="265" t="n">
        <v>6152</v>
      </c>
      <c r="I98" s="265" t="n">
        <v>8193</v>
      </c>
      <c r="J98" s="265" t="n">
        <v>12382</v>
      </c>
      <c r="K98" s="265" t="n">
        <v>14797</v>
      </c>
      <c r="L98" s="265" t="n">
        <v>10432</v>
      </c>
      <c r="N98" s="265" t="n">
        <v>10968</v>
      </c>
      <c r="O98" s="265" t="n">
        <v>33756</v>
      </c>
      <c r="P98" s="265" t="n">
        <v>35758</v>
      </c>
      <c r="Q98" s="265" t="n">
        <v>36341</v>
      </c>
      <c r="S98" s="265" t="n">
        <v>38536</v>
      </c>
      <c r="T98" s="265" t="n">
        <v>38601</v>
      </c>
      <c r="U98" s="265" t="n">
        <v>36541</v>
      </c>
      <c r="V98" s="265" t="n">
        <v>41633</v>
      </c>
      <c r="X98" s="265" t="n">
        <v>37056</v>
      </c>
      <c r="Y98" s="265" t="n">
        <v>37443</v>
      </c>
      <c r="Z98" s="265" t="n">
        <v>37370</v>
      </c>
      <c r="AA98" s="265" t="n">
        <v>36384</v>
      </c>
      <c r="AC98" s="265" t="n">
        <v>35657</v>
      </c>
      <c r="AD98" s="265" t="n">
        <v>35582</v>
      </c>
    </row>
    <row r="99">
      <c r="A99" t="inlineStr">
        <is>
          <t>Adiantamentos de clientes / Advances from customers (l.77) [3T23 lido da linha de cima na fonte (deslocamento de uma linha no 3T23)] · fonte · unid. moeda</t>
        </is>
      </c>
      <c r="B99" t="n">
        <v>34</v>
      </c>
      <c r="C99" t="inlineStr">
        <is>
          <t>Other non-current liabilities</t>
        </is>
      </c>
      <c r="D99" s="265" t="n">
        <v>0</v>
      </c>
      <c r="E99" s="265" t="n">
        <v>0</v>
      </c>
      <c r="F99" s="265" t="n">
        <v>0</v>
      </c>
      <c r="G99" s="265" t="n">
        <v>12645</v>
      </c>
      <c r="I99" s="265" t="n">
        <v>0</v>
      </c>
      <c r="J99" s="265" t="n">
        <v>0</v>
      </c>
      <c r="K99" s="265" t="n">
        <v>0</v>
      </c>
      <c r="L99" s="265" t="n">
        <v>0</v>
      </c>
      <c r="N99" s="265" t="n">
        <v>155241</v>
      </c>
      <c r="O99" s="265" t="n">
        <v>6469</v>
      </c>
      <c r="P99" s="265" t="n">
        <v>25208</v>
      </c>
      <c r="Q99" s="265" t="n">
        <v>6143</v>
      </c>
      <c r="S99" s="265" t="n">
        <v>6262</v>
      </c>
      <c r="T99" s="265" t="n">
        <v>6749</v>
      </c>
      <c r="U99" s="265" t="n">
        <v>6841</v>
      </c>
      <c r="V99" s="265" t="n">
        <v>27884</v>
      </c>
      <c r="X99" s="265" t="n">
        <v>35763</v>
      </c>
      <c r="Y99" s="265" t="n">
        <v>35199</v>
      </c>
      <c r="Z99" s="265" t="n">
        <v>34980</v>
      </c>
      <c r="AA99" s="265" t="n">
        <v>37263</v>
      </c>
      <c r="AC99" s="265" t="n">
        <v>34016</v>
      </c>
      <c r="AD99" s="265" t="n">
        <v>34474</v>
      </c>
    </row>
    <row r="100">
      <c r="A100" t="inlineStr">
        <is>
          <t>Provisão para gastos ambientais / Environmental liability accrual (l.78) [3T23 lido da linha de cima na fonte (deslocamento de uma linha no 3T23)] · fonte · unid. moeda</t>
        </is>
      </c>
      <c r="B100" t="n">
        <v>34</v>
      </c>
      <c r="C100" t="inlineStr">
        <is>
          <t>Other non-current liabilities</t>
        </is>
      </c>
      <c r="D100" s="265" t="n">
        <v>19180</v>
      </c>
      <c r="E100" s="265" t="n">
        <v>24823</v>
      </c>
      <c r="F100" s="265" t="n">
        <v>24741</v>
      </c>
      <c r="G100" s="265" t="n">
        <v>23116</v>
      </c>
      <c r="I100" s="265" t="n">
        <v>21840</v>
      </c>
      <c r="J100" s="265" t="n">
        <v>21137</v>
      </c>
      <c r="K100" s="265" t="n">
        <v>20855</v>
      </c>
      <c r="L100" s="265" t="n">
        <v>17302</v>
      </c>
      <c r="N100" s="265" t="n">
        <v>17038</v>
      </c>
      <c r="O100" s="265" t="n">
        <v>23044</v>
      </c>
      <c r="P100" s="265" t="n">
        <v>16032</v>
      </c>
      <c r="Q100" s="265" t="n">
        <v>16832</v>
      </c>
      <c r="S100" s="265" t="n">
        <v>16387</v>
      </c>
      <c r="T100" s="265" t="n">
        <v>16756</v>
      </c>
      <c r="U100" s="265" t="n">
        <v>19547</v>
      </c>
      <c r="V100" s="265" t="n">
        <v>18621</v>
      </c>
      <c r="X100" s="265" t="n">
        <v>16723</v>
      </c>
      <c r="Y100" s="265" t="n">
        <v>16353</v>
      </c>
      <c r="Z100" s="265" t="n">
        <v>16300</v>
      </c>
      <c r="AA100" s="265" t="n">
        <v>16691</v>
      </c>
      <c r="AC100" s="265" t="n">
        <v>33090</v>
      </c>
      <c r="AD100" s="265" t="n">
        <v>32785</v>
      </c>
    </row>
    <row r="101">
      <c r="A101" t="inlineStr">
        <is>
          <t>Taxas regulamentares e setoriais / Regulatory charges payable (l.79) [3T23 lido da linha de cima na fonte (deslocamento de uma linha no 3T23)] · fonte · unid. moeda</t>
        </is>
      </c>
      <c r="B101" t="n">
        <v>34</v>
      </c>
      <c r="C101" t="inlineStr">
        <is>
          <t>Other non-current liabilities</t>
        </is>
      </c>
      <c r="D101" s="265" t="n">
        <v>0</v>
      </c>
      <c r="E101" s="265" t="n">
        <v>0</v>
      </c>
      <c r="F101" s="265" t="n">
        <v>0</v>
      </c>
      <c r="G101" s="265" t="n">
        <v>0</v>
      </c>
      <c r="I101" s="265" t="n">
        <v>39576</v>
      </c>
      <c r="J101" s="265" t="n">
        <v>69932</v>
      </c>
      <c r="K101" s="265" t="n">
        <v>95126</v>
      </c>
      <c r="L101" s="265" t="n">
        <v>116330</v>
      </c>
      <c r="N101" s="265" t="n">
        <v>149698</v>
      </c>
      <c r="O101" s="265" t="n">
        <v>205117</v>
      </c>
      <c r="P101" s="265" t="n">
        <v>250097</v>
      </c>
      <c r="Q101" s="265" t="n">
        <v>287163</v>
      </c>
      <c r="S101" s="265" t="n">
        <v>333450</v>
      </c>
      <c r="T101" s="265" t="n">
        <v>383968</v>
      </c>
      <c r="U101" s="265" t="n">
        <v>412670</v>
      </c>
      <c r="V101" s="265" t="n">
        <v>483142</v>
      </c>
      <c r="X101" s="265" t="n">
        <v>495170</v>
      </c>
      <c r="Y101" s="265" t="n">
        <v>519454</v>
      </c>
      <c r="Z101" s="265" t="n">
        <v>551571</v>
      </c>
      <c r="AA101" s="265" t="n">
        <v>592072</v>
      </c>
      <c r="AC101" s="265" t="n">
        <v>575605</v>
      </c>
      <c r="AD101" s="265" t="n">
        <v>602679</v>
      </c>
    </row>
    <row r="102">
      <c r="A102" t="inlineStr">
        <is>
          <t>Provisões de constituição dos ativos / Provision for assets built up (l.80) [3T23 lido da linha de cima na fonte (deslocamento de uma linha no 3T23)] · fonte · unid. moeda</t>
        </is>
      </c>
      <c r="B102" t="n">
        <v>34</v>
      </c>
      <c r="C102" t="inlineStr">
        <is>
          <t>Other non-current liabilities</t>
        </is>
      </c>
      <c r="D102" s="265" t="n">
        <v>9227</v>
      </c>
      <c r="E102" s="265" t="n">
        <v>15475</v>
      </c>
      <c r="F102" s="265" t="n">
        <v>17094</v>
      </c>
      <c r="G102" s="265" t="n">
        <v>17094</v>
      </c>
      <c r="I102" s="265" t="n">
        <v>24168</v>
      </c>
      <c r="J102" s="265" t="n">
        <v>95379</v>
      </c>
      <c r="K102" s="265" t="n">
        <v>94811</v>
      </c>
      <c r="L102" s="265" t="n">
        <v>92719</v>
      </c>
      <c r="N102" s="265" t="n">
        <v>87655</v>
      </c>
      <c r="O102" s="265" t="n">
        <v>87035</v>
      </c>
      <c r="P102" s="265" t="n">
        <v>90909</v>
      </c>
      <c r="Q102" s="265" t="n">
        <v>90891</v>
      </c>
      <c r="S102" s="265" t="n">
        <v>91399</v>
      </c>
      <c r="T102" s="265" t="n">
        <v>90331</v>
      </c>
      <c r="U102" s="265" t="n">
        <v>89529</v>
      </c>
      <c r="V102" s="265" t="n">
        <v>85325</v>
      </c>
      <c r="X102" s="265" t="n">
        <v>62592</v>
      </c>
      <c r="Y102" s="265" t="n">
        <v>63477</v>
      </c>
      <c r="Z102" s="265" t="n">
        <v>106918</v>
      </c>
      <c r="AA102" s="265" t="n">
        <v>101080</v>
      </c>
      <c r="AC102" s="265" t="n">
        <v>99574</v>
      </c>
      <c r="AD102" s="265" t="n">
        <v>98292</v>
      </c>
    </row>
    <row r="103">
      <c r="A103" t="inlineStr">
        <is>
          <t>Outras obrigações / Other liabilities (l.81) [3T23 lido da linha de cima na fonte (deslocamento de uma linha no 3T23)] · fonte · unid. moeda</t>
        </is>
      </c>
      <c r="B103" t="n">
        <v>34</v>
      </c>
      <c r="C103" t="inlineStr">
        <is>
          <t>Other non-current liabilities</t>
        </is>
      </c>
      <c r="D103" s="265" t="n">
        <v>34457</v>
      </c>
      <c r="E103" s="265" t="n">
        <v>34397</v>
      </c>
      <c r="F103" s="265" t="n">
        <v>34543</v>
      </c>
      <c r="G103" s="265" t="n">
        <v>40526</v>
      </c>
      <c r="I103" s="265" t="n">
        <v>42212</v>
      </c>
      <c r="J103" s="265" t="n">
        <v>41785</v>
      </c>
      <c r="K103" s="265" t="n">
        <v>47502</v>
      </c>
      <c r="L103" s="265" t="n">
        <v>61305</v>
      </c>
      <c r="N103" s="265" t="n">
        <v>65363</v>
      </c>
      <c r="O103" s="265" t="n">
        <v>51142</v>
      </c>
      <c r="P103" s="265" t="n">
        <v>66396</v>
      </c>
      <c r="Q103" s="265" t="n">
        <v>53335</v>
      </c>
      <c r="S103" s="265" t="n">
        <v>53517</v>
      </c>
      <c r="T103" s="265" t="n">
        <v>46634</v>
      </c>
      <c r="U103" s="265" t="n">
        <v>46638</v>
      </c>
      <c r="V103" s="265" t="n">
        <v>49877</v>
      </c>
      <c r="X103" s="265" t="n">
        <v>50179</v>
      </c>
      <c r="Y103" s="265" t="n">
        <v>51570</v>
      </c>
      <c r="Z103" s="265" t="n">
        <v>55525</v>
      </c>
      <c r="AA103" s="265" t="n">
        <v>56454</v>
      </c>
      <c r="AC103" s="265" t="n">
        <v>55591</v>
      </c>
      <c r="AD103" s="265" t="n">
        <v>56003</v>
      </c>
    </row>
    <row r="104">
      <c r="A104" t="inlineStr">
        <is>
          <t>Provisão para passivo a descoberto / Provision to uncovered liability (l.82) [3T23 lido da linha de cima na fonte (deslocamento de uma linha no 3T23)] · fonte · unid. moeda</t>
        </is>
      </c>
      <c r="B104" t="n">
        <v>34</v>
      </c>
      <c r="C104" t="inlineStr">
        <is>
          <t>Other non-current liabilities</t>
        </is>
      </c>
      <c r="D104" s="265" t="n">
        <v>0</v>
      </c>
      <c r="E104" s="265" t="n">
        <v>0</v>
      </c>
      <c r="F104" s="265" t="n">
        <v>0</v>
      </c>
      <c r="G104" s="265" t="n">
        <v>0</v>
      </c>
      <c r="I104" s="265" t="n">
        <v>0</v>
      </c>
      <c r="J104" s="265" t="n">
        <v>0</v>
      </c>
      <c r="K104" s="265" t="n">
        <v>0</v>
      </c>
      <c r="L104" s="265" t="n">
        <v>0</v>
      </c>
      <c r="N104" s="265" t="n">
        <v>0</v>
      </c>
      <c r="O104" s="265" t="n">
        <v>0</v>
      </c>
      <c r="P104" s="265" t="n">
        <v>0</v>
      </c>
      <c r="Q104" s="265" t="n">
        <v>0</v>
      </c>
      <c r="S104" s="265" t="n">
        <v>0</v>
      </c>
      <c r="T104" s="265" t="n">
        <v>0</v>
      </c>
      <c r="U104" s="265" t="n">
        <v>0</v>
      </c>
      <c r="V104" s="265" t="n">
        <v>0</v>
      </c>
      <c r="X104" s="265" t="n">
        <v>0</v>
      </c>
      <c r="Y104" s="265" t="n">
        <v>0</v>
      </c>
      <c r="Z104" s="265" t="n">
        <v>0</v>
      </c>
      <c r="AA104" s="265" t="n">
        <v>0</v>
      </c>
      <c r="AC104" s="265" t="n">
        <v>0</v>
      </c>
      <c r="AD104" s="265" t="n">
        <v>0</v>
      </c>
    </row>
    <row r="105">
      <c r="A105" t="inlineStr">
        <is>
          <t>Provisão para ressarcimento / Provision for reimbursement (l.83) [3T23 lido da linha de cima na fonte (deslocamento de uma linha no 3T23)] · fonte · unid. moeda</t>
        </is>
      </c>
      <c r="B105" t="n">
        <v>34</v>
      </c>
      <c r="C105" t="inlineStr">
        <is>
          <t>Other non-current liabilities</t>
        </is>
      </c>
      <c r="D105" s="265" t="n">
        <v>0</v>
      </c>
      <c r="E105" s="265" t="n">
        <v>0</v>
      </c>
      <c r="F105" s="265" t="n">
        <v>0</v>
      </c>
      <c r="G105" s="265" t="n">
        <v>0</v>
      </c>
      <c r="I105" s="265" t="n">
        <v>0</v>
      </c>
      <c r="J105" s="265" t="n">
        <v>0</v>
      </c>
      <c r="K105" s="265" t="n">
        <v>0</v>
      </c>
      <c r="L105" s="265" t="n">
        <v>0</v>
      </c>
      <c r="N105" s="265" t="n">
        <v>0</v>
      </c>
      <c r="O105" s="265" t="n">
        <v>0</v>
      </c>
      <c r="P105" s="265" t="n">
        <v>0</v>
      </c>
      <c r="Q105" s="265" t="n">
        <v>0</v>
      </c>
      <c r="S105" s="265" t="n">
        <v>5393</v>
      </c>
      <c r="T105" s="265" t="n">
        <v>13818</v>
      </c>
      <c r="U105" s="265" t="n">
        <v>7671</v>
      </c>
      <c r="V105" s="265" t="n">
        <v>7671</v>
      </c>
      <c r="X105" s="265" t="n">
        <v>13769</v>
      </c>
      <c r="Y105" s="265" t="n">
        <v>15909</v>
      </c>
      <c r="Z105" s="265" t="n">
        <v>15912</v>
      </c>
      <c r="AA105" s="265" t="n">
        <v>15612</v>
      </c>
      <c r="AC105" s="265" t="n">
        <v>24260</v>
      </c>
      <c r="AD105" s="265" t="n">
        <v>24942</v>
      </c>
    </row>
    <row r="106">
      <c r="A106" t="inlineStr">
        <is>
          <t>Capital social subscrito e integralizado / Capital Subscribed and Paid (l.86) [3T23 = PL total - minoritarios - demais contas, porque a fonte desloca o PL do 3T23 uma linha para cima] · fonte · unid. moeda</t>
        </is>
      </c>
      <c r="B106" t="n">
        <v>37</v>
      </c>
      <c r="C106" t="inlineStr">
        <is>
          <t>Common Stock and APIC</t>
        </is>
      </c>
      <c r="D106" s="265" t="n">
        <v>2981996</v>
      </c>
      <c r="E106" s="265" t="n">
        <v>2981996</v>
      </c>
      <c r="F106" s="265" t="n">
        <v>2981996</v>
      </c>
      <c r="G106" s="265" t="n">
        <v>2981996</v>
      </c>
      <c r="I106" s="265" t="n">
        <v>2981996</v>
      </c>
      <c r="J106" s="265" t="n">
        <v>2981996</v>
      </c>
      <c r="K106" s="265" t="n">
        <v>2981996</v>
      </c>
      <c r="L106" s="265" t="n">
        <v>2981996</v>
      </c>
      <c r="N106" s="265" t="n">
        <v>2981996</v>
      </c>
      <c r="O106" s="265" t="n">
        <v>3310783</v>
      </c>
      <c r="P106" s="265" t="n">
        <v>3310783</v>
      </c>
      <c r="Q106" s="265" t="n">
        <v>3310783</v>
      </c>
      <c r="S106" s="265" t="n">
        <v>3310783</v>
      </c>
      <c r="T106" s="265" t="n">
        <v>3673568</v>
      </c>
      <c r="U106" s="265" t="n">
        <v>3673568</v>
      </c>
      <c r="V106" s="265" t="n">
        <v>3673568</v>
      </c>
      <c r="X106" s="265" t="n">
        <v>3673568</v>
      </c>
      <c r="Y106" s="265" t="n">
        <v>4023099</v>
      </c>
      <c r="Z106" s="265" t="n">
        <v>4023099</v>
      </c>
      <c r="AA106" s="265" t="n">
        <v>4023099</v>
      </c>
      <c r="AC106" s="265" t="n">
        <v>4023099</v>
      </c>
      <c r="AD106" s="265" t="n">
        <v>4023099</v>
      </c>
    </row>
    <row r="107">
      <c r="A107" t="inlineStr">
        <is>
          <t>(-) Gastos com emissão de ações / (-) Expenses on Issue of Shares (l.87) [3T23 lido da linha de cima na fonte (deslocamento de uma linha no 3T23)] · fonte · unid. moeda</t>
        </is>
      </c>
      <c r="B107" t="n">
        <v>37</v>
      </c>
      <c r="C107" t="inlineStr">
        <is>
          <t>Common Stock and APIC</t>
        </is>
      </c>
      <c r="D107" s="265" t="n">
        <v>-65225</v>
      </c>
      <c r="E107" s="265" t="n">
        <v>-65225</v>
      </c>
      <c r="F107" s="265" t="n">
        <v>-65225</v>
      </c>
      <c r="G107" s="265" t="n">
        <v>-65225</v>
      </c>
      <c r="I107" s="265" t="n">
        <v>-65225</v>
      </c>
      <c r="J107" s="265" t="n">
        <v>-65225</v>
      </c>
      <c r="K107" s="265" t="n">
        <v>-65225</v>
      </c>
      <c r="L107" s="265" t="n">
        <v>-65225</v>
      </c>
      <c r="N107" s="265" t="n">
        <v>-65225</v>
      </c>
      <c r="O107" s="265" t="n">
        <v>-65225</v>
      </c>
      <c r="P107" s="265" t="n">
        <v>-65225</v>
      </c>
      <c r="Q107" s="265" t="n">
        <v>-65225</v>
      </c>
      <c r="S107" s="265" t="n">
        <v>-65225</v>
      </c>
      <c r="T107" s="265" t="n">
        <v>-65225</v>
      </c>
      <c r="U107" s="265" t="n">
        <v>-65225</v>
      </c>
      <c r="V107" s="265" t="n">
        <v>-65225</v>
      </c>
      <c r="X107" s="265" t="n">
        <v>-65225</v>
      </c>
      <c r="Y107" s="265" t="n">
        <v>-65225</v>
      </c>
      <c r="Z107" s="265" t="n">
        <v>-65225</v>
      </c>
      <c r="AA107" s="265" t="n">
        <v>-65225</v>
      </c>
      <c r="AC107" s="265" t="n">
        <v>-65225</v>
      </c>
      <c r="AD107" s="265" t="n">
        <v>-65225</v>
      </c>
    </row>
    <row r="108">
      <c r="A108" t="inlineStr">
        <is>
          <t>Adiantamento para futuro aumento de capital / Advance for capital increase (l.88) [3T23 lido da linha de cima na fonte (deslocamento de uma linha no 3T23)] · fonte · unid. moeda</t>
        </is>
      </c>
      <c r="B108" t="n">
        <v>37</v>
      </c>
      <c r="C108" t="inlineStr">
        <is>
          <t>Common Stock and APIC</t>
        </is>
      </c>
      <c r="D108" s="265" t="n">
        <v>0</v>
      </c>
      <c r="E108" s="265" t="n">
        <v>0</v>
      </c>
      <c r="F108" s="265" t="n">
        <v>0</v>
      </c>
      <c r="G108" s="265" t="n">
        <v>0</v>
      </c>
      <c r="I108" s="265" t="n">
        <v>0</v>
      </c>
      <c r="J108" s="265" t="n">
        <v>0</v>
      </c>
      <c r="K108" s="265" t="n">
        <v>0</v>
      </c>
      <c r="L108" s="265" t="n">
        <v>0</v>
      </c>
      <c r="N108" s="265" t="n">
        <v>0</v>
      </c>
      <c r="O108" s="265" t="n">
        <v>0</v>
      </c>
      <c r="P108" s="265" t="n">
        <v>0</v>
      </c>
      <c r="Q108" s="265" t="n">
        <v>0</v>
      </c>
      <c r="S108" s="265" t="n">
        <v>0</v>
      </c>
      <c r="T108" s="265" t="n">
        <v>0</v>
      </c>
      <c r="U108" s="265" t="n">
        <v>0</v>
      </c>
      <c r="V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C108" s="265" t="n">
        <v>0</v>
      </c>
      <c r="AD108" s="265" t="n">
        <v>0</v>
      </c>
    </row>
    <row r="109">
      <c r="A109" t="inlineStr">
        <is>
          <t>Reserva de capital / Capital Reserve (l.89) [3T23 lido da linha de cima na fonte (deslocamento de uma linha no 3T23)] · fonte · unid. moeda</t>
        </is>
      </c>
      <c r="B109" t="n">
        <v>37</v>
      </c>
      <c r="C109" t="inlineStr">
        <is>
          <t>Common Stock and APIC</t>
        </is>
      </c>
      <c r="D109" s="265" t="n">
        <v>20515</v>
      </c>
      <c r="E109" s="265" t="n">
        <v>20515</v>
      </c>
      <c r="F109" s="265" t="n">
        <v>1649</v>
      </c>
      <c r="G109" s="265" t="n">
        <v>81259</v>
      </c>
      <c r="I109" s="265" t="n">
        <v>218541</v>
      </c>
      <c r="J109" s="265" t="n">
        <v>218541</v>
      </c>
      <c r="K109" s="265" t="n">
        <v>16966</v>
      </c>
      <c r="L109" s="265" t="n">
        <v>16966</v>
      </c>
      <c r="N109" s="265" t="n">
        <v>16966</v>
      </c>
      <c r="O109" s="265" t="n">
        <v>67360</v>
      </c>
      <c r="P109" s="265" t="n">
        <v>67360</v>
      </c>
      <c r="Q109" s="265" t="n">
        <v>67360</v>
      </c>
      <c r="S109" s="265" t="n">
        <v>67360</v>
      </c>
      <c r="T109" s="265" t="n">
        <v>67360</v>
      </c>
      <c r="U109" s="265" t="n">
        <v>67360</v>
      </c>
      <c r="V109" s="265" t="n">
        <v>67360</v>
      </c>
      <c r="X109" s="265" t="n">
        <v>67360</v>
      </c>
      <c r="Y109" s="265" t="n">
        <v>67360</v>
      </c>
      <c r="Z109" s="265" t="n">
        <v>67360</v>
      </c>
      <c r="AA109" s="265" t="n">
        <v>67360</v>
      </c>
      <c r="AC109" s="265" t="n">
        <v>67360</v>
      </c>
      <c r="AD109" s="265" t="n">
        <v>67360</v>
      </c>
    </row>
    <row r="110">
      <c r="A110" t="inlineStr">
        <is>
          <t>Reservas de lucros / Income Reserves (l.90) [3T23 lido da linha de cima na fonte (deslocamento de uma linha no 3T23)] · fonte · unid. moeda</t>
        </is>
      </c>
      <c r="B110" t="n">
        <v>40</v>
      </c>
      <c r="C110" t="inlineStr">
        <is>
          <t>Other equity account</t>
        </is>
      </c>
      <c r="D110" s="265" t="n">
        <v>2727377</v>
      </c>
      <c r="E110" s="265" t="n">
        <v>2727377</v>
      </c>
      <c r="F110" s="265" t="n">
        <v>2727377</v>
      </c>
      <c r="G110" s="265" t="n">
        <v>2727377</v>
      </c>
      <c r="I110" s="265" t="n">
        <v>3482342</v>
      </c>
      <c r="J110" s="265" t="n">
        <v>3482342</v>
      </c>
      <c r="K110" s="265" t="n">
        <v>3482342</v>
      </c>
      <c r="L110" s="265" t="n">
        <v>3978834</v>
      </c>
      <c r="N110" s="265" t="n">
        <v>3978834</v>
      </c>
      <c r="O110" s="265" t="n">
        <v>3650047</v>
      </c>
      <c r="P110" s="265" t="n">
        <v>3650047</v>
      </c>
      <c r="Q110" s="265" t="n">
        <v>3996686</v>
      </c>
      <c r="S110" s="265" t="n">
        <v>3996686</v>
      </c>
      <c r="T110" s="265" t="n">
        <v>3633902</v>
      </c>
      <c r="U110" s="265" t="n">
        <v>3633902</v>
      </c>
      <c r="V110" s="265" t="n">
        <v>4460056</v>
      </c>
      <c r="X110" s="265" t="n">
        <v>4460056</v>
      </c>
      <c r="Y110" s="265" t="n">
        <v>4094715</v>
      </c>
      <c r="Z110" s="265" t="n">
        <v>4094715</v>
      </c>
      <c r="AA110" s="265" t="n">
        <v>4964166</v>
      </c>
      <c r="AC110" s="265" t="n">
        <v>4964166</v>
      </c>
      <c r="AD110" s="265" t="n">
        <v>4954277</v>
      </c>
    </row>
    <row r="111">
      <c r="A111" t="inlineStr">
        <is>
          <t>Lucros acumulados / Retained Earnings (l.91) [3T23 lido da linha de cima na fonte (deslocamento de uma linha no 3T23)] · fonte · unid. moeda</t>
        </is>
      </c>
      <c r="B111" t="n">
        <v>41</v>
      </c>
      <c r="C111" t="inlineStr">
        <is>
          <t>Retained earnings</t>
        </is>
      </c>
      <c r="D111" s="265" t="n">
        <v>323416</v>
      </c>
      <c r="E111" s="265" t="n">
        <v>655761</v>
      </c>
      <c r="F111" s="265" t="n">
        <v>896077</v>
      </c>
      <c r="G111" s="265" t="n">
        <v>1115401</v>
      </c>
      <c r="I111" s="265" t="n">
        <v>430979</v>
      </c>
      <c r="J111" s="265" t="n">
        <v>610987</v>
      </c>
      <c r="K111" s="265" t="n">
        <v>726663</v>
      </c>
      <c r="L111" s="265" t="n">
        <v>0</v>
      </c>
      <c r="N111" s="265" t="n">
        <v>230710</v>
      </c>
      <c r="O111" s="265" t="n">
        <v>452896</v>
      </c>
      <c r="P111" s="265" t="n">
        <v>516330</v>
      </c>
      <c r="Q111" s="265" t="n">
        <v>0</v>
      </c>
      <c r="S111" s="265" t="n">
        <v>254944</v>
      </c>
      <c r="T111" s="265" t="n">
        <v>425455</v>
      </c>
      <c r="U111" s="265" t="n">
        <v>732158</v>
      </c>
      <c r="V111" s="265" t="n">
        <v>0</v>
      </c>
      <c r="X111" s="265" t="n">
        <v>298777</v>
      </c>
      <c r="Y111" s="265" t="n">
        <v>374422</v>
      </c>
      <c r="Z111" s="265" t="n">
        <v>794591</v>
      </c>
      <c r="AA111" s="265" t="n">
        <v>0</v>
      </c>
      <c r="AC111" s="265" t="n">
        <v>198067</v>
      </c>
      <c r="AD111" s="265" t="n">
        <v>545471</v>
      </c>
    </row>
    <row r="112">
      <c r="A112" t="inlineStr">
        <is>
          <t>Outros resultados abrangentes / Other Comprehensive Income (l.92) [3T23 lido da linha de cima na fonte (deslocamento de uma linha no 3T23)] · fonte · unid. moeda</t>
        </is>
      </c>
      <c r="B112" t="n">
        <v>39</v>
      </c>
      <c r="C112" t="inlineStr">
        <is>
          <t>Comprehensive (accumulated) loss</t>
        </is>
      </c>
      <c r="D112" s="265" t="n">
        <v>103694</v>
      </c>
      <c r="E112" s="265" t="n">
        <v>51922</v>
      </c>
      <c r="F112" s="265" t="n">
        <v>62016</v>
      </c>
      <c r="G112" s="265" t="n">
        <v>70865</v>
      </c>
      <c r="I112" s="265" t="n">
        <v>35501</v>
      </c>
      <c r="J112" s="265" t="n">
        <v>54159</v>
      </c>
      <c r="K112" s="265" t="n">
        <v>45860</v>
      </c>
      <c r="L112" s="265" t="n">
        <v>45492</v>
      </c>
      <c r="N112" s="265" t="n">
        <v>39811</v>
      </c>
      <c r="O112" s="265" t="n">
        <v>48546</v>
      </c>
      <c r="P112" s="265" t="n">
        <v>62164</v>
      </c>
      <c r="Q112" s="265" t="n">
        <v>45937</v>
      </c>
      <c r="S112" s="265" t="n">
        <v>57650</v>
      </c>
      <c r="T112" s="265" t="n">
        <v>79027</v>
      </c>
      <c r="U112" s="265" t="n">
        <v>72596</v>
      </c>
      <c r="V112" s="265" t="n">
        <v>104372</v>
      </c>
      <c r="X112" s="265" t="n">
        <v>84440</v>
      </c>
      <c r="Y112" s="265" t="n">
        <v>-50354</v>
      </c>
      <c r="Z112" s="265" t="n">
        <v>85109</v>
      </c>
      <c r="AA112" s="265" t="n">
        <v>174494</v>
      </c>
      <c r="AC112" s="265" t="n">
        <v>99329</v>
      </c>
      <c r="AD112" s="265" t="n">
        <v>115567</v>
      </c>
    </row>
    <row r="113">
      <c r="A113" t="inlineStr">
        <is>
          <t>Participação de acionistas não controladores / Non-controlling interest (l.94) · fonte · unid. moeda</t>
        </is>
      </c>
      <c r="B113" t="n">
        <v>35</v>
      </c>
      <c r="C113" t="inlineStr">
        <is>
          <t>Minority interest</t>
        </is>
      </c>
      <c r="D113" s="265" t="n">
        <v>3518758</v>
      </c>
      <c r="E113" s="265" t="n">
        <v>3613423</v>
      </c>
      <c r="F113" s="265" t="n">
        <v>3681275</v>
      </c>
      <c r="G113" s="265" t="n">
        <v>3450486</v>
      </c>
      <c r="I113" s="265" t="n">
        <v>3649408</v>
      </c>
      <c r="J113" s="265" t="n">
        <v>3594617</v>
      </c>
      <c r="K113" s="265" t="n">
        <v>3476338</v>
      </c>
      <c r="L113" s="265" t="n">
        <v>3413556</v>
      </c>
      <c r="N113" s="265" t="n">
        <v>3560059</v>
      </c>
      <c r="O113" s="265" t="n">
        <v>3384892</v>
      </c>
      <c r="P113" s="265" t="n">
        <v>3320519</v>
      </c>
      <c r="Q113" s="265" t="n">
        <v>3273249</v>
      </c>
      <c r="S113" s="265" t="n">
        <v>3423454</v>
      </c>
      <c r="T113" s="265" t="n">
        <v>3448681</v>
      </c>
      <c r="U113" s="265" t="n">
        <v>3695059</v>
      </c>
      <c r="V113" s="265" t="n">
        <v>3483372</v>
      </c>
      <c r="X113" s="265" t="n">
        <v>3664272</v>
      </c>
      <c r="Y113" s="265" t="n">
        <v>3483293</v>
      </c>
      <c r="Z113" s="265" t="n">
        <v>3360623</v>
      </c>
      <c r="AA113" s="265" t="n">
        <v>3412620</v>
      </c>
      <c r="AC113" s="265" t="n">
        <v>3543062</v>
      </c>
      <c r="AD113" s="265" t="n">
        <v>3738333</v>
      </c>
    </row>
    <row r="114">
      <c r="A114" t="inlineStr">
        <is>
          <t>BALANCO - totais divulgados (memoria)</t>
        </is>
      </c>
      <c r="C114" t="inlineStr">
        <is>
          <t>[linha bruta, sem código; lançada nas linhas abaixo]</t>
        </is>
      </c>
      <c r="D114" s="265" t="n"/>
      <c r="E114" s="265" t="n"/>
      <c r="F114" s="265" t="n"/>
      <c r="G114" s="265" t="n"/>
      <c r="I114" s="265" t="n"/>
      <c r="J114" s="265" t="n"/>
      <c r="K114" s="265" t="n"/>
      <c r="L114" s="265" t="n"/>
      <c r="N114" s="265" t="n"/>
      <c r="O114" s="265" t="n"/>
      <c r="P114" s="265" t="n"/>
      <c r="Q114" s="265" t="n"/>
      <c r="S114" s="265" t="n"/>
      <c r="T114" s="265" t="n"/>
      <c r="U114" s="265" t="n"/>
      <c r="V114" s="265" t="n"/>
      <c r="X114" s="265" t="n"/>
      <c r="Y114" s="265" t="n"/>
      <c r="Z114" s="265" t="n"/>
      <c r="AA114" s="265" t="n"/>
      <c r="AC114" s="265" t="n"/>
      <c r="AD114" s="265" t="n"/>
    </row>
    <row r="115">
      <c r="A115" t="inlineStr">
        <is>
          <t>CIRCULANTE / CURRENT (l.9) · memoria · unid. moeda</t>
        </is>
      </c>
      <c r="C115" t="inlineStr">
        <is>
          <t>[linha bruta, sem código; lançada nas linhas abaixo]</t>
        </is>
      </c>
      <c r="D115" s="265" t="n">
        <v>4024296</v>
      </c>
      <c r="E115" s="265" t="n">
        <v>3909697</v>
      </c>
      <c r="F115" s="265" t="n">
        <v>3773839</v>
      </c>
      <c r="G115" s="265" t="n">
        <v>4400677</v>
      </c>
      <c r="I115" s="265" t="n">
        <v>4500527</v>
      </c>
      <c r="J115" s="265" t="n">
        <v>4906614</v>
      </c>
      <c r="K115" s="265" t="n">
        <v>5024296</v>
      </c>
      <c r="L115" s="265" t="n">
        <v>5373445</v>
      </c>
      <c r="N115" s="265" t="n">
        <v>5599948</v>
      </c>
      <c r="O115" s="265" t="n">
        <v>5229950</v>
      </c>
      <c r="P115" s="265" t="n">
        <v>5382282</v>
      </c>
      <c r="Q115" s="265" t="n">
        <v>5419641</v>
      </c>
      <c r="S115" s="265" t="n">
        <v>5589155</v>
      </c>
      <c r="T115" s="265" t="n">
        <v>6401270</v>
      </c>
      <c r="U115" s="265" t="n">
        <v>6175658</v>
      </c>
      <c r="V115" s="265" t="n">
        <v>6244139</v>
      </c>
      <c r="X115" s="265" t="n">
        <v>6413485</v>
      </c>
      <c r="Y115" s="265" t="n">
        <v>6556548</v>
      </c>
      <c r="Z115" s="265" t="n">
        <v>6087168</v>
      </c>
      <c r="AA115" s="265" t="n">
        <v>6225834</v>
      </c>
      <c r="AC115" s="265" t="n">
        <v>8297919</v>
      </c>
      <c r="AD115" s="265" t="n">
        <v>8807375</v>
      </c>
    </row>
    <row r="116">
      <c r="A116" t="inlineStr">
        <is>
          <t>NÃO CIRCULANTE / NON CURRENT (l.26) · memoria · unid. moeda</t>
        </is>
      </c>
      <c r="C116" t="inlineStr">
        <is>
          <t>[linha bruta, sem código; lançada nas linhas abaixo]</t>
        </is>
      </c>
      <c r="D116" s="265" t="n">
        <v>19509671</v>
      </c>
      <c r="E116" s="265" t="n">
        <v>20178150</v>
      </c>
      <c r="F116" s="265" t="n">
        <v>20728421</v>
      </c>
      <c r="G116" s="265" t="n">
        <v>21345775</v>
      </c>
      <c r="I116" s="265" t="n">
        <v>22060524</v>
      </c>
      <c r="J116" s="265" t="n">
        <v>22289847</v>
      </c>
      <c r="K116" s="265" t="n">
        <v>22359864</v>
      </c>
      <c r="L116" s="265" t="n">
        <v>22560314</v>
      </c>
      <c r="N116" s="265" t="n">
        <v>23014769</v>
      </c>
      <c r="O116" s="265" t="n">
        <v>22882045</v>
      </c>
      <c r="P116" s="265" t="n">
        <v>22890367</v>
      </c>
      <c r="Q116" s="265" t="n">
        <v>23016440</v>
      </c>
      <c r="S116" s="265" t="n">
        <v>23306748</v>
      </c>
      <c r="T116" s="265" t="n">
        <v>23687501</v>
      </c>
      <c r="U116" s="265" t="n">
        <v>23827339</v>
      </c>
      <c r="V116" s="265" t="n">
        <v>24444897</v>
      </c>
      <c r="X116" s="265" t="n">
        <v>24760198</v>
      </c>
      <c r="Y116" s="265" t="n">
        <v>24652051</v>
      </c>
      <c r="Z116" s="265" t="n">
        <v>25390609</v>
      </c>
      <c r="AA116" s="265" t="n">
        <v>25888482</v>
      </c>
      <c r="AC116" s="265" t="n">
        <v>26043883</v>
      </c>
      <c r="AD116" s="265" t="n">
        <v>26641716</v>
      </c>
    </row>
    <row r="117">
      <c r="A117" t="inlineStr">
        <is>
          <t>ATIVO TOTAL / TOTAL ASSETS (l.44) · memoria · unid. moeda</t>
        </is>
      </c>
      <c r="C117" t="inlineStr">
        <is>
          <t>[linha bruta, sem código; lançada nas linhas abaixo]</t>
        </is>
      </c>
      <c r="D117" s="265" t="n">
        <v>23533967</v>
      </c>
      <c r="E117" s="265" t="n">
        <v>24087847</v>
      </c>
      <c r="F117" s="265" t="n">
        <v>24502260</v>
      </c>
      <c r="G117" s="265" t="n">
        <v>25746452</v>
      </c>
      <c r="I117" s="265" t="n">
        <v>26561051</v>
      </c>
      <c r="J117" s="265" t="n">
        <v>27196461</v>
      </c>
      <c r="K117" s="265" t="n">
        <v>27384160</v>
      </c>
      <c r="L117" s="265" t="n">
        <v>27933759</v>
      </c>
      <c r="N117" s="265" t="n">
        <v>28614717</v>
      </c>
      <c r="O117" s="265" t="n">
        <v>28111995</v>
      </c>
      <c r="P117" s="265" t="n">
        <v>28272649</v>
      </c>
      <c r="Q117" s="265" t="n">
        <v>28436081</v>
      </c>
      <c r="S117" s="265" t="n">
        <v>28895903</v>
      </c>
      <c r="T117" s="265" t="n">
        <v>30088771</v>
      </c>
      <c r="U117" s="265" t="n">
        <v>30002997</v>
      </c>
      <c r="V117" s="265" t="n">
        <v>30689036</v>
      </c>
      <c r="X117" s="265" t="n">
        <v>31173683</v>
      </c>
      <c r="Y117" s="265" t="n">
        <v>31208599</v>
      </c>
      <c r="Z117" s="265" t="n">
        <v>31477777</v>
      </c>
      <c r="AA117" s="265" t="n">
        <v>32114316</v>
      </c>
      <c r="AC117" s="265" t="n">
        <v>34341802</v>
      </c>
      <c r="AD117" s="265" t="n">
        <v>35449091</v>
      </c>
    </row>
    <row r="118">
      <c r="A118" t="inlineStr">
        <is>
          <t>CIRCULANTE / CURRENT (l.47) · memoria · unid. moeda</t>
        </is>
      </c>
      <c r="C118" t="inlineStr">
        <is>
          <t>[linha bruta, sem código; lançada nas linhas abaixo]</t>
        </is>
      </c>
      <c r="D118" s="265" t="n">
        <v>2359359</v>
      </c>
      <c r="E118" s="265" t="n">
        <v>2219852</v>
      </c>
      <c r="F118" s="265" t="n">
        <v>2037251</v>
      </c>
      <c r="G118" s="265" t="n">
        <v>2113639</v>
      </c>
      <c r="I118" s="265" t="n">
        <v>2522328</v>
      </c>
      <c r="J118" s="265" t="n">
        <v>1796435</v>
      </c>
      <c r="K118" s="265" t="n">
        <v>1759471</v>
      </c>
      <c r="L118" s="265" t="n">
        <v>2558195</v>
      </c>
      <c r="N118" s="265" t="n">
        <v>2610544</v>
      </c>
      <c r="O118" s="265" t="n">
        <v>2141952</v>
      </c>
      <c r="P118" s="265" t="n">
        <v>2842201</v>
      </c>
      <c r="Q118" s="265" t="n">
        <v>3248718</v>
      </c>
      <c r="S118" s="265" t="n">
        <v>3340417</v>
      </c>
      <c r="T118" s="265" t="n">
        <v>4017639</v>
      </c>
      <c r="U118" s="265" t="n">
        <v>3261977</v>
      </c>
      <c r="V118" s="265" t="n">
        <v>3053989</v>
      </c>
      <c r="X118" s="265" t="n">
        <v>2985321</v>
      </c>
      <c r="Y118" s="265" t="n">
        <v>3075042</v>
      </c>
      <c r="Z118" s="265" t="n">
        <v>2390073</v>
      </c>
      <c r="AA118" s="265" t="n">
        <v>2544363</v>
      </c>
      <c r="AC118" s="265" t="n">
        <v>2517608</v>
      </c>
      <c r="AD118" s="265" t="n">
        <v>2774564</v>
      </c>
    </row>
    <row r="119">
      <c r="A119" t="inlineStr">
        <is>
          <t>NÃO CIRCULANTE / NON CURRENT (l.65) · memoria · unid. moeda</t>
        </is>
      </c>
      <c r="C119" t="inlineStr">
        <is>
          <t>[linha bruta, sem código; lançada nas linhas abaixo]</t>
        </is>
      </c>
      <c r="D119" s="265" t="n">
        <v>11564077</v>
      </c>
      <c r="E119" s="265" t="n">
        <v>11882226</v>
      </c>
      <c r="F119" s="265" t="n">
        <v>12179844</v>
      </c>
      <c r="G119" s="265" t="n">
        <v>13270654</v>
      </c>
      <c r="I119" s="265" t="n">
        <v>13305181</v>
      </c>
      <c r="J119" s="265" t="n">
        <v>14522609</v>
      </c>
      <c r="K119" s="265" t="n">
        <v>14959749</v>
      </c>
      <c r="L119" s="265" t="n">
        <v>15003945</v>
      </c>
      <c r="N119" s="265" t="n">
        <v>15261022</v>
      </c>
      <c r="O119" s="265" t="n">
        <v>15120744</v>
      </c>
      <c r="P119" s="265" t="n">
        <v>1777277</v>
      </c>
      <c r="Q119" s="265" t="n">
        <v>14558573</v>
      </c>
      <c r="S119" s="265" t="n">
        <v>14509834</v>
      </c>
      <c r="T119" s="265" t="n">
        <v>14808364</v>
      </c>
      <c r="U119" s="265" t="n">
        <v>14931602</v>
      </c>
      <c r="V119" s="265" t="n">
        <v>15911544</v>
      </c>
      <c r="X119" s="265" t="n">
        <v>16005114</v>
      </c>
      <c r="Y119" s="265" t="n">
        <v>16206247</v>
      </c>
      <c r="Z119" s="265" t="n">
        <v>16727432</v>
      </c>
      <c r="AA119" s="265" t="n">
        <v>16993439</v>
      </c>
      <c r="AC119" s="265" t="n">
        <v>18994336</v>
      </c>
      <c r="AD119" s="265" t="n">
        <v>19295645</v>
      </c>
    </row>
    <row r="120">
      <c r="A120" t="inlineStr">
        <is>
          <t>Patrimônio líquido + participação de acionistas Não-Controladores / Equity + non-controlling interest (l.96) · memoria · unid. moeda</t>
        </is>
      </c>
      <c r="C120" t="inlineStr">
        <is>
          <t>[linha bruta, sem código; lançada nas linhas abaixo]</t>
        </is>
      </c>
      <c r="D120" s="265" t="n">
        <v>9610531</v>
      </c>
      <c r="E120" s="265" t="n">
        <v>9985769</v>
      </c>
      <c r="F120" s="265" t="n">
        <v>10285165</v>
      </c>
      <c r="G120" s="265" t="n">
        <v>10362159</v>
      </c>
      <c r="I120" s="265" t="n">
        <v>10733542</v>
      </c>
      <c r="J120" s="265" t="n">
        <v>10877417</v>
      </c>
      <c r="K120" s="265" t="n">
        <v>10664940</v>
      </c>
      <c r="L120" s="265" t="n">
        <v>10371619</v>
      </c>
      <c r="N120" s="265" t="n">
        <v>10743151</v>
      </c>
      <c r="O120" s="265" t="n">
        <v>10849299</v>
      </c>
      <c r="P120" s="265" t="n">
        <v>10861978</v>
      </c>
      <c r="Q120" s="265" t="n">
        <v>10628790</v>
      </c>
      <c r="S120" s="265" t="n">
        <v>11045652</v>
      </c>
      <c r="T120" s="265" t="n">
        <v>11262768</v>
      </c>
      <c r="U120" s="265" t="n">
        <v>11809418</v>
      </c>
      <c r="V120" s="265" t="n">
        <v>11723503</v>
      </c>
      <c r="X120" s="265" t="n">
        <v>12183248</v>
      </c>
      <c r="Y120" s="265" t="n">
        <v>11927310</v>
      </c>
      <c r="Z120" s="265" t="n">
        <v>12360272</v>
      </c>
      <c r="AA120" s="265" t="n">
        <v>12576514</v>
      </c>
      <c r="AC120" s="265" t="n">
        <v>12829858</v>
      </c>
      <c r="AD120" s="265" t="n">
        <v>13378882</v>
      </c>
    </row>
    <row r="121">
      <c r="A121" t="inlineStr">
        <is>
          <t>PASSIVO TOTAL / TOTAL LIABILITIES AND EQUITY (l.98) · memoria · unid. moeda</t>
        </is>
      </c>
      <c r="C121" t="inlineStr">
        <is>
          <t>[linha bruta, sem código; lançada nas linhas abaixo]</t>
        </is>
      </c>
      <c r="D121" s="265" t="n">
        <v>23533967</v>
      </c>
      <c r="E121" s="265" t="n">
        <v>24087847</v>
      </c>
      <c r="F121" s="265" t="n">
        <v>24502260</v>
      </c>
      <c r="G121" s="265" t="n">
        <v>25746452</v>
      </c>
      <c r="I121" s="265" t="n">
        <v>26561051</v>
      </c>
      <c r="J121" s="265" t="n">
        <v>27196461</v>
      </c>
      <c r="K121" s="265" t="n">
        <v>27384160</v>
      </c>
      <c r="L121" s="265" t="n">
        <v>27933759</v>
      </c>
      <c r="N121" s="265" t="n">
        <v>28614717</v>
      </c>
      <c r="O121" s="265" t="n">
        <v>28111995</v>
      </c>
      <c r="P121" s="265" t="n">
        <v>28272649</v>
      </c>
      <c r="Q121" s="265" t="n">
        <v>28436081</v>
      </c>
      <c r="S121" s="265" t="n">
        <v>28895903</v>
      </c>
      <c r="T121" s="265" t="n">
        <v>30088771</v>
      </c>
      <c r="U121" s="265" t="n">
        <v>30002997</v>
      </c>
      <c r="V121" s="265" t="n">
        <v>30689036</v>
      </c>
      <c r="X121" s="265" t="n">
        <v>31173683</v>
      </c>
      <c r="Y121" s="265" t="n">
        <v>31208599</v>
      </c>
      <c r="Z121" s="265" t="n">
        <v>31477777</v>
      </c>
      <c r="AA121" s="265" t="n">
        <v>32114316</v>
      </c>
      <c r="AC121" s="265" t="n">
        <v>34341802</v>
      </c>
      <c r="AD121" s="265" t="n">
        <v>35449091</v>
      </c>
    </row>
    <row r="122">
      <c r="A122" t="inlineStr">
        <is>
          <t>CHECKS (devem ser 0)</t>
        </is>
      </c>
      <c r="C122" t="inlineStr">
        <is>
          <t>[linha bruta, sem código; lançada nas linhas abaixo]</t>
        </is>
      </c>
      <c r="D122" s="265" t="n"/>
      <c r="E122" s="265" t="n"/>
      <c r="F122" s="265" t="n"/>
      <c r="G122" s="265" t="n"/>
      <c r="I122" s="265" t="n"/>
      <c r="J122" s="265" t="n"/>
      <c r="K122" s="265" t="n"/>
      <c r="L122" s="265" t="n"/>
      <c r="N122" s="265" t="n"/>
      <c r="O122" s="265" t="n"/>
      <c r="P122" s="265" t="n"/>
      <c r="Q122" s="265" t="n"/>
      <c r="S122" s="265" t="n"/>
      <c r="T122" s="265" t="n"/>
      <c r="U122" s="265" t="n"/>
      <c r="V122" s="265" t="n"/>
      <c r="X122" s="265" t="n"/>
      <c r="Y122" s="265" t="n"/>
      <c r="Z122" s="265" t="n"/>
      <c r="AA122" s="265" t="n"/>
      <c r="AC122" s="265" t="n"/>
      <c r="AD122" s="265" t="n"/>
    </row>
    <row r="123">
      <c r="A123" t="inlineStr">
        <is>
          <t>CHECK: linhas codificadas 1-9 da DRE - lucro liquido Alupar (atribuivel) · derivada · unid. moeda</t>
        </is>
      </c>
      <c r="C123" t="inlineStr">
        <is>
          <t>[linha bruta, sem código; lançada nas linhas abaixo]</t>
        </is>
      </c>
      <c r="D123" s="265">
        <f>D5+D6+D7+D8+D9+D10+D11+D12+D13+D14+D15+D16+D17+D18+D19+D20+D21+D22+D23+D24+D25+D26+D27+D28+D29+D30-D39</f>
        <v>0</v>
      </c>
      <c r="E123" s="265">
        <f>E5+E6+E7+E8+E9+E10+E11+E12+E13+E14+E15+E16+E17+E18+E19+E20+E21+E22+E23+E24+E25+E26+E27+E28+E29+E30-E39</f>
        <v>0</v>
      </c>
      <c r="F123" s="265">
        <f>F5+F6+F7+F8+F9+F10+F11+F12+F13+F14+F15+F16+F17+F18+F19+F20+F21+F22+F23+F24+F25+F26+F27+F28+F29+F30-F39</f>
        <v>0</v>
      </c>
      <c r="G123" s="265">
        <f>G5+G6+G7+G8+G9+G10+G11+G12+G13+G14+G15+G16+G17+G18+G19+G20+G21+G22+G23+G24+G25+G26+G27+G28+G29+G30-G39</f>
        <v>0</v>
      </c>
      <c r="I123" s="265">
        <f>I5+I6+I7+I8+I9+I10+I11+I12+I13+I14+I15+I16+I17+I18+I19+I20+I21+I22+I23+I24+I25+I26+I27+I28+I29+I30-I39</f>
        <v>0</v>
      </c>
      <c r="J123" s="265">
        <f>J5+J6+J7+J8+J9+J10+J11+J12+J13+J14+J15+J16+J17+J18+J19+J20+J21+J22+J23+J24+J25+J26+J27+J28+J29+J30-J39</f>
        <v>0</v>
      </c>
      <c r="K123" s="265">
        <f>K5+K6+K7+K8+K9+K10+K11+K12+K13+K14+K15+K16+K17+K18+K19+K20+K21+K22+K23+K24+K25+K26+K27+K28+K29+K30-K39</f>
        <v>0</v>
      </c>
      <c r="L123" s="265">
        <f>L5+L6+L7+L8+L9+L10+L11+L12+L13+L14+L15+L16+L17+L18+L19+L20+L21+L22+L23+L24+L25+L26+L27+L28+L29+L30-L39</f>
        <v>0</v>
      </c>
      <c r="N123" s="265">
        <f>N5+N6+N7+N8+N9+N10+N11+N12+N13+N14+N15+N16+N17+N18+N19+N20+N21+N22+N23+N24+N25+N26+N27+N28+N29+N30-N39</f>
        <v>0</v>
      </c>
      <c r="O123" s="265">
        <f>O5+O6+O7+O8+O9+O10+O11+O12+O13+O14+O15+O16+O17+O18+O19+O20+O21+O22+O23+O24+O25+O26+O27+O28+O29+O30-O39</f>
        <v>0</v>
      </c>
      <c r="P123" s="265">
        <f>P5+P6+P7+P8+P9+P10+P11+P12+P13+P14+P15+P16+P17+P18+P19+P20+P21+P22+P23+P24+P25+P26+P27+P28+P29+P30-P39</f>
        <v>0</v>
      </c>
      <c r="Q123" s="265">
        <f>Q5+Q6+Q7+Q8+Q9+Q10+Q11+Q12+Q13+Q14+Q15+Q16+Q17+Q18+Q19+Q20+Q21+Q22+Q23+Q24+Q25+Q26+Q27+Q28+Q29+Q30-Q39</f>
        <v>0</v>
      </c>
      <c r="S123" s="265">
        <f>S5+S6+S7+S8+S9+S10+S11+S12+S13+S14+S15+S16+S17+S18+S19+S20+S21+S22+S23+S24+S25+S26+S27+S28+S29+S30-S39</f>
        <v>0</v>
      </c>
      <c r="T123" s="265">
        <f>T5+T6+T7+T8+T9+T10+T11+T12+T13+T14+T15+T16+T17+T18+T19+T20+T21+T22+T23+T24+T25+T26+T27+T28+T29+T30-T39</f>
        <v>0</v>
      </c>
      <c r="U123" s="265">
        <f>U5+U6+U7+U8+U9+U10+U11+U12+U13+U14+U15+U16+U17+U18+U19+U20+U21+U22+U23+U24+U25+U26+U27+U28+U29+U30-U39</f>
        <v>0</v>
      </c>
      <c r="V123" s="265">
        <f>V5+V6+V7+V8+V9+V10+V11+V12+V13+V14+V15+V16+V17+V18+V19+V20+V21+V22+V23+V24+V25+V26+V27+V28+V29+V30-V39</f>
        <v>0</v>
      </c>
      <c r="X123" s="265">
        <f>X5+X6+X7+X8+X9+X10+X11+X12+X13+X14+X15+X16+X17+X18+X19+X20+X21+X22+X23+X24+X25+X26+X27+X28+X29+X30-X39</f>
        <v>0</v>
      </c>
      <c r="Y123" s="265">
        <f>Y5+Y6+Y7+Y8+Y9+Y10+Y11+Y12+Y13+Y14+Y15+Y16+Y17+Y18+Y19+Y20+Y21+Y22+Y23+Y24+Y25+Y26+Y27+Y28+Y29+Y30-Y39</f>
        <v>0</v>
      </c>
      <c r="Z123" s="265">
        <f>Z5+Z6+Z7+Z8+Z9+Z10+Z11+Z12+Z13+Z14+Z15+Z16+Z17+Z18+Z19+Z20+Z21+Z22+Z23+Z24+Z25+Z26+Z27+Z28+Z29+Z30-Z39</f>
        <v>0</v>
      </c>
      <c r="AA123" s="265">
        <f>AA5+AA6+AA7+AA8+AA9+AA10+AA11+AA12+AA13+AA14+AA15+AA16+AA17+AA18+AA19+AA20+AA21+AA22+AA23+AA24+AA25+AA26+AA27+AA28+AA29+AA30-AA39</f>
        <v>0</v>
      </c>
      <c r="AC123" s="265">
        <f>AC5+AC6+AC7+AC8+AC9+AC10+AC11+AC12+AC13+AC14+AC15+AC16+AC17+AC18+AC19+AC20+AC21+AC22+AC23+AC24+AC25+AC26+AC27+AC28+AC29+AC30-AC39</f>
        <v>0</v>
      </c>
      <c r="AD123" s="265">
        <f>AD5+AD6+AD7+AD8+AD9+AD10+AD11+AD12+AD13+AD14+AD15+AD16+AD17+AD18+AD19+AD20+AD21+AD22+AD23+AD24+AD25+AD26+AD27+AD28+AD29+AD30-AD39</f>
        <v>0</v>
      </c>
    </row>
    <row r="124">
      <c r="A124" t="inlineStr">
        <is>
          <t>CHECK: ativo (cod 11-22) - ativo total · derivada · unid. moeda</t>
        </is>
      </c>
      <c r="C124" t="inlineStr">
        <is>
          <t>[linha bruta, sem código; lançada nas linhas abaixo]</t>
        </is>
      </c>
      <c r="D124" s="265">
        <f>D41+D42+D43+D44+D45+D46+D47+D48+D49+D50+D51+D52+D53+D54+D55+D56+D57+D58+D59+D60+D61+D62+D63+D64+D65+D66+D67+D68+D69+D70+D71-D117</f>
        <v>0</v>
      </c>
      <c r="E124" s="265">
        <f>E41+E42+E43+E44+E45+E46+E47+E48+E49+E50+E51+E52+E53+E54+E55+E56+E57+E58+E59+E60+E61+E62+E63+E64+E65+E66+E67+E68+E69+E70+E71-E117</f>
        <v>0</v>
      </c>
      <c r="F124" s="265">
        <f>F41+F42+F43+F44+F45+F46+F47+F48+F49+F50+F51+F52+F53+F54+F55+F56+F57+F58+F59+F60+F61+F62+F63+F64+F65+F66+F67+F68+F69+F70+F71-F117</f>
        <v>0</v>
      </c>
      <c r="G124" s="265">
        <f>G41+G42+G43+G44+G45+G46+G47+G48+G49+G50+G51+G52+G53+G54+G55+G56+G57+G58+G59+G60+G61+G62+G63+G64+G65+G66+G67+G68+G69+G70+G71-G117</f>
        <v>0</v>
      </c>
      <c r="I124" s="265">
        <f>I41+I42+I43+I44+I45+I46+I47+I48+I49+I50+I51+I52+I53+I54+I55+I56+I57+I58+I59+I60+I61+I62+I63+I64+I65+I66+I67+I68+I69+I70+I71-I117</f>
        <v>0</v>
      </c>
      <c r="J124" s="265">
        <f>J41+J42+J43+J44+J45+J46+J47+J48+J49+J50+J51+J52+J53+J54+J55+J56+J57+J58+J59+J60+J61+J62+J63+J64+J65+J66+J67+J68+J69+J70+J71-J117</f>
        <v>0</v>
      </c>
      <c r="K124" s="265">
        <f>K41+K42+K43+K44+K45+K46+K47+K48+K49+K50+K51+K52+K53+K54+K55+K56+K57+K58+K59+K60+K61+K62+K63+K64+K65+K66+K67+K68+K69+K70+K71-K117</f>
        <v>0</v>
      </c>
      <c r="L124" s="265">
        <f>L41+L42+L43+L44+L45+L46+L47+L48+L49+L50+L51+L52+L53+L54+L55+L56+L57+L58+L59+L60+L61+L62+L63+L64+L65+L66+L67+L68+L69+L70+L71-L117</f>
        <v>0</v>
      </c>
      <c r="N124" s="265">
        <f>N41+N42+N43+N44+N45+N46+N47+N48+N49+N50+N51+N52+N53+N54+N55+N56+N57+N58+N59+N60+N61+N62+N63+N64+N65+N66+N67+N68+N69+N70+N71-N117</f>
        <v>0</v>
      </c>
      <c r="O124" s="265">
        <f>O41+O42+O43+O44+O45+O46+O47+O48+O49+O50+O51+O52+O53+O54+O55+O56+O57+O58+O59+O60+O61+O62+O63+O64+O65+O66+O67+O68+O69+O70+O71-O117</f>
        <v>0</v>
      </c>
      <c r="P124" s="265">
        <f>P41+P42+P43+P44+P45+P46+P47+P48+P49+P50+P51+P52+P53+P54+P55+P56+P57+P58+P59+P60+P61+P62+P63+P64+P65+P66+P67+P68+P69+P70+P71-P117</f>
        <v>0</v>
      </c>
      <c r="Q124" s="265">
        <f>Q41+Q42+Q43+Q44+Q45+Q46+Q47+Q48+Q49+Q50+Q51+Q52+Q53+Q54+Q55+Q56+Q57+Q58+Q59+Q60+Q61+Q62+Q63+Q64+Q65+Q66+Q67+Q68+Q69+Q70+Q71-Q117</f>
        <v>0</v>
      </c>
      <c r="S124" s="265">
        <f>S41+S42+S43+S44+S45+S46+S47+S48+S49+S50+S51+S52+S53+S54+S55+S56+S57+S58+S59+S60+S61+S62+S63+S64+S65+S66+S67+S68+S69+S70+S71-S117</f>
        <v>0</v>
      </c>
      <c r="T124" s="265">
        <f>T41+T42+T43+T44+T45+T46+T47+T48+T49+T50+T51+T52+T53+T54+T55+T56+T57+T58+T59+T60+T61+T62+T63+T64+T65+T66+T67+T68+T69+T70+T71-T117</f>
        <v>0</v>
      </c>
      <c r="U124" s="265">
        <f>U41+U42+U43+U44+U45+U46+U47+U48+U49+U50+U51+U52+U53+U54+U55+U56+U57+U58+U59+U60+U61+U62+U63+U64+U65+U66+U67+U68+U69+U70+U71-U117</f>
        <v>0</v>
      </c>
      <c r="V124" s="265">
        <f>V41+V42+V43+V44+V45+V46+V47+V48+V49+V50+V51+V52+V53+V54+V55+V56+V57+V58+V59+V60+V61+V62+V63+V64+V65+V66+V67+V68+V69+V70+V71-V117</f>
        <v>0</v>
      </c>
      <c r="X124" s="265">
        <f>X41+X42+X43+X44+X45+X46+X47+X48+X49+X50+X51+X52+X53+X54+X55+X56+X57+X58+X59+X60+X61+X62+X63+X64+X65+X66+X67+X68+X69+X70+X71-X117</f>
        <v>0</v>
      </c>
      <c r="Y124" s="265">
        <f>Y41+Y42+Y43+Y44+Y45+Y46+Y47+Y48+Y49+Y50+Y51+Y52+Y53+Y54+Y55+Y56+Y57+Y58+Y59+Y60+Y61+Y62+Y63+Y64+Y65+Y66+Y67+Y68+Y69+Y70+Y71-Y117</f>
        <v>0</v>
      </c>
      <c r="Z124" s="265">
        <f>Z41+Z42+Z43+Z44+Z45+Z46+Z47+Z48+Z49+Z50+Z51+Z52+Z53+Z54+Z55+Z56+Z57+Z58+Z59+Z60+Z61+Z62+Z63+Z64+Z65+Z66+Z67+Z68+Z69+Z70+Z71-Z117</f>
        <v>0</v>
      </c>
      <c r="AA124" s="265">
        <f>AA41+AA42+AA43+AA44+AA45+AA46+AA47+AA48+AA49+AA50+AA51+AA52+AA53+AA54+AA55+AA56+AA57+AA58+AA59+AA60+AA61+AA62+AA63+AA64+AA65+AA66+AA67+AA68+AA69+AA70+AA71-AA117</f>
        <v>0</v>
      </c>
      <c r="AC124" s="265">
        <f>AC41+AC42+AC43+AC44+AC45+AC46+AC47+AC48+AC49+AC50+AC51+AC52+AC53+AC54+AC55+AC56+AC57+AC58+AC59+AC60+AC61+AC62+AC63+AC64+AC65+AC66+AC67+AC68+AC69+AC70+AC71-AC117</f>
        <v>0</v>
      </c>
      <c r="AD124" s="265">
        <f>AD41+AD42+AD43+AD44+AD45+AD46+AD47+AD48+AD49+AD50+AD51+AD52+AD53+AD54+AD55+AD56+AD57+AD58+AD59+AD60+AD61+AD62+AD63+AD64+AD65+AD66+AD67+AD68+AD69+AD70+AD71-AD117</f>
        <v>0</v>
      </c>
    </row>
    <row r="125">
      <c r="A125" t="inlineStr">
        <is>
          <t>CHECK: passivo (cod 23-34) + PL (cod 35-41) - passivo total · derivada · unid. moeda</t>
        </is>
      </c>
      <c r="C125" t="inlineStr">
        <is>
          <t>[linha bruta, sem código; lançada nas linhas abaixo]</t>
        </is>
      </c>
      <c r="D125" s="265">
        <f>D72+D73+D74+D75+D76+D77+D78+D79+D80+D81+D82+D83+D84+D85+D86+D87+D88+D89+D90+D91+D92+D93+D94+D95+D96+D97+D98+D99+D100+D101+D102+D103+D104+D105+D106+D107+D108+D109+D110+D111+D112+D113-D121</f>
        <v>0</v>
      </c>
      <c r="E125" s="265">
        <f>E72+E73+E74+E75+E76+E77+E78+E79+E80+E81+E82+E83+E84+E85+E86+E87+E88+E89+E90+E91+E92+E93+E94+E95+E96+E97+E98+E99+E100+E101+E102+E103+E104+E105+E106+E107+E108+E109+E110+E111+E112+E113-E121</f>
        <v>0</v>
      </c>
      <c r="F125" s="265">
        <f>F72+F73+F74+F75+F76+F77+F78+F79+F80+F81+F82+F83+F84+F85+F86+F87+F88+F89+F90+F91+F92+F93+F94+F95+F96+F97+F98+F99+F100+F101+F102+F103+F104+F105+F106+F107+F108+F109+F110+F111+F112+F113-F121</f>
        <v>0</v>
      </c>
      <c r="G125" s="265">
        <f>G72+G73+G74+G75+G76+G77+G78+G79+G80+G81+G82+G83+G84+G85+G86+G87+G88+G89+G90+G91+G92+G93+G94+G95+G96+G97+G98+G99+G100+G101+G102+G103+G104+G105+G106+G107+G108+G109+G110+G111+G112+G113-G121</f>
        <v>0</v>
      </c>
      <c r="I125" s="265">
        <f>I72+I73+I74+I75+I76+I77+I78+I79+I80+I81+I82+I83+I84+I85+I86+I87+I88+I89+I90+I91+I92+I93+I94+I95+I96+I97+I98+I99+I100+I101+I102+I103+I104+I105+I106+I107+I108+I109+I110+I111+I112+I113-I121</f>
        <v>0</v>
      </c>
      <c r="J125" s="265">
        <f>J72+J73+J74+J75+J76+J77+J78+J79+J80+J81+J82+J83+J84+J85+J86+J87+J88+J89+J90+J91+J92+J93+J94+J95+J96+J97+J98+J99+J100+J101+J102+J103+J104+J105+J106+J107+J108+J109+J110+J111+J112+J113-J121</f>
        <v>0</v>
      </c>
      <c r="K125" s="265">
        <f>K72+K73+K74+K75+K76+K77+K78+K79+K80+K81+K82+K83+K84+K85+K86+K87+K88+K89+K90+K91+K92+K93+K94+K95+K96+K97+K98+K99+K100+K101+K102+K103+K104+K105+K106+K107+K108+K109+K110+K111+K112+K113-K121</f>
        <v>0</v>
      </c>
      <c r="L125" s="265">
        <f>L72+L73+L74+L75+L76+L77+L78+L79+L80+L81+L82+L83+L84+L85+L86+L87+L88+L89+L90+L91+L92+L93+L94+L95+L96+L97+L98+L99+L100+L101+L102+L103+L104+L105+L106+L107+L108+L109+L110+L111+L112+L113-L121</f>
        <v>0</v>
      </c>
      <c r="N125" s="265">
        <f>N72+N73+N74+N75+N76+N77+N78+N79+N80+N81+N82+N83+N84+N85+N86+N87+N88+N89+N90+N91+N92+N93+N94+N95+N96+N97+N98+N99+N100+N101+N102+N103+N104+N105+N106+N107+N108+N109+N110+N111+N112+N113-N121</f>
        <v>0</v>
      </c>
      <c r="O125" s="265">
        <f>O72+O73+O74+O75+O76+O77+O78+O79+O80+O81+O82+O83+O84+O85+O86+O87+O88+O89+O90+O91+O92+O93+O94+O95+O96+O97+O98+O99+O100+O101+O102+O103+O104+O105+O106+O107+O108+O109+O110+O111+O112+O113-O121</f>
        <v>0</v>
      </c>
      <c r="P125" s="265">
        <f>P72+P73+P74+P75+P76+P77+P78+P79+P80+P81+P82+P83+P84+P85+P86+P87+P88+P89+P90+P91+P92+P93+P94+P95+P96+P97+P98+P99+P100+P101+P102+P103+P104+P105+P106+P107+P108+P109+P110+P111+P112+P113-P121</f>
        <v>0</v>
      </c>
      <c r="Q125" s="265">
        <f>Q72+Q73+Q74+Q75+Q76+Q77+Q78+Q79+Q80+Q81+Q82+Q83+Q84+Q85+Q86+Q87+Q88+Q89+Q90+Q91+Q92+Q93+Q94+Q95+Q96+Q97+Q98+Q99+Q100+Q101+Q102+Q103+Q104+Q105+Q106+Q107+Q108+Q109+Q110+Q111+Q112+Q113-Q121</f>
        <v>0</v>
      </c>
      <c r="S125" s="265">
        <f>S72+S73+S74+S75+S76+S77+S78+S79+S80+S81+S82+S83+S84+S85+S86+S87+S88+S89+S90+S91+S92+S93+S94+S95+S96+S97+S98+S99+S100+S101+S102+S103+S104+S105+S106+S107+S108+S109+S110+S111+S112+S113-S121</f>
        <v>0</v>
      </c>
      <c r="T125" s="265">
        <f>T72+T73+T74+T75+T76+T77+T78+T79+T80+T81+T82+T83+T84+T85+T86+T87+T88+T89+T90+T91+T92+T93+T94+T95+T96+T97+T98+T99+T100+T101+T102+T103+T104+T105+T106+T107+T108+T109+T110+T111+T112+T113-T121</f>
        <v>0</v>
      </c>
      <c r="U125" s="265">
        <f>U72+U73+U74+U75+U76+U77+U78+U79+U80+U81+U82+U83+U84+U85+U86+U87+U88+U89+U90+U91+U92+U93+U94+U95+U96+U97+U98+U99+U100+U101+U102+U103+U104+U105+U106+U107+U108+U109+U110+U111+U112+U113-U121</f>
        <v>0</v>
      </c>
      <c r="V125" s="265">
        <f>V72+V73+V74+V75+V76+V77+V78+V79+V80+V81+V82+V83+V84+V85+V86+V87+V88+V89+V90+V91+V92+V93+V94+V95+V96+V97+V98+V99+V100+V101+V102+V103+V104+V105+V106+V107+V108+V109+V110+V111+V112+V113-V121</f>
        <v>0</v>
      </c>
      <c r="X125" s="265">
        <f>X72+X73+X74+X75+X76+X77+X78+X79+X80+X81+X82+X83+X84+X85+X86+X87+X88+X89+X90+X91+X92+X93+X94+X95+X96+X97+X98+X99+X100+X101+X102+X103+X104+X105+X106+X107+X108+X109+X110+X111+X112+X113-X121</f>
        <v>0</v>
      </c>
      <c r="Y125" s="265">
        <f>Y72+Y73+Y74+Y75+Y76+Y77+Y78+Y79+Y80+Y81+Y82+Y83+Y84+Y85+Y86+Y87+Y88+Y89+Y90+Y91+Y92+Y93+Y94+Y95+Y96+Y97+Y98+Y99+Y100+Y101+Y102+Y103+Y104+Y105+Y106+Y107+Y108+Y109+Y110+Y111+Y112+Y113-Y121</f>
        <v>0</v>
      </c>
      <c r="Z125" s="265">
        <f>Z72+Z73+Z74+Z75+Z76+Z77+Z78+Z79+Z80+Z81+Z82+Z83+Z84+Z85+Z86+Z87+Z88+Z89+Z90+Z91+Z92+Z93+Z94+Z95+Z96+Z97+Z98+Z99+Z100+Z101+Z102+Z103+Z104+Z105+Z106+Z107+Z108+Z109+Z110+Z111+Z112+Z113-Z121</f>
        <v>0</v>
      </c>
      <c r="AA125" s="265">
        <f>AA72+AA73+AA74+AA75+AA76+AA77+AA78+AA79+AA80+AA81+AA82+AA83+AA84+AA85+AA86+AA87+AA88+AA89+AA90+AA91+AA92+AA93+AA94+AA95+AA96+AA97+AA98+AA99+AA100+AA101+AA102+AA103+AA104+AA105+AA106+AA107+AA108+AA109+AA110+AA111+AA112+AA113-AA121</f>
        <v>0</v>
      </c>
      <c r="AC125" s="265">
        <f>AC72+AC73+AC74+AC75+AC76+AC77+AC78+AC79+AC80+AC81+AC82+AC83+AC84+AC85+AC86+AC87+AC88+AC89+AC90+AC91+AC92+AC93+AC94+AC95+AC96+AC97+AC98+AC99+AC100+AC101+AC102+AC103+AC104+AC105+AC106+AC107+AC108+AC109+AC110+AC111+AC112+AC113-AC121</f>
        <v>0</v>
      </c>
      <c r="AD125" s="265">
        <f>AD72+AD73+AD74+AD75+AD76+AD77+AD78+AD79+AD80+AD81+AD82+AD83+AD84+AD85+AD86+AD87+AD88+AD89+AD90+AD91+AD92+AD93+AD94+AD95+AD96+AD97+AD98+AD99+AD100+AD101+AD102+AD103+AD104+AD105+AD106+AD107+AD108+AD109+AD110+AD111+AD112+AD113-AD121</f>
        <v>0</v>
      </c>
    </row>
    <row r="126">
      <c r="A126" t="inlineStr">
        <is>
          <t>CHECK: PL (cod 35-41) - PL + minoritarios · derivada · unid. moeda</t>
        </is>
      </c>
      <c r="C126" t="inlineStr">
        <is>
          <t>[linha bruta, sem código; lançada nas linhas abaixo]</t>
        </is>
      </c>
      <c r="D126" s="265">
        <f>D106+D107+D108+D109+D110+D111+D112+D113-D120</f>
        <v>0</v>
      </c>
      <c r="E126" s="265">
        <f>E106+E107+E108+E109+E110+E111+E112+E113-E120</f>
        <v>0</v>
      </c>
      <c r="F126" s="265">
        <f>F106+F107+F108+F109+F110+F111+F112+F113-F120</f>
        <v>0</v>
      </c>
      <c r="G126" s="265">
        <f>G106+G107+G108+G109+G110+G111+G112+G113-G120</f>
        <v>0</v>
      </c>
      <c r="I126" s="265">
        <f>I106+I107+I108+I109+I110+I111+I112+I113-I120</f>
        <v>0</v>
      </c>
      <c r="J126" s="265">
        <f>J106+J107+J108+J109+J110+J111+J112+J113-J120</f>
        <v>0</v>
      </c>
      <c r="K126" s="265">
        <f>K106+K107+K108+K109+K110+K111+K112+K113-K120</f>
        <v>0</v>
      </c>
      <c r="L126" s="265">
        <f>L106+L107+L108+L109+L110+L111+L112+L113-L120</f>
        <v>0</v>
      </c>
      <c r="N126" s="265">
        <f>N106+N107+N108+N109+N110+N111+N112+N113-N120</f>
        <v>0</v>
      </c>
      <c r="O126" s="265">
        <f>O106+O107+O108+O109+O110+O111+O112+O113-O120</f>
        <v>0</v>
      </c>
      <c r="P126" s="265">
        <f>P106+P107+P108+P109+P110+P111+P112+P113-P120</f>
        <v>0</v>
      </c>
      <c r="Q126" s="265">
        <f>Q106+Q107+Q108+Q109+Q110+Q111+Q112+Q113-Q120</f>
        <v>0</v>
      </c>
      <c r="S126" s="265">
        <f>S106+S107+S108+S109+S110+S111+S112+S113-S120</f>
        <v>0</v>
      </c>
      <c r="T126" s="265">
        <f>T106+T107+T108+T109+T110+T111+T112+T113-T120</f>
        <v>0</v>
      </c>
      <c r="U126" s="265">
        <f>U106+U107+U108+U109+U110+U111+U112+U113-U120</f>
        <v>0</v>
      </c>
      <c r="V126" s="265">
        <f>V106+V107+V108+V109+V110+V111+V112+V113-V120</f>
        <v>0</v>
      </c>
      <c r="X126" s="265">
        <f>X106+X107+X108+X109+X110+X111+X112+X113-X120</f>
        <v>0</v>
      </c>
      <c r="Y126" s="265">
        <f>Y106+Y107+Y108+Y109+Y110+Y111+Y112+Y113-Y120</f>
        <v>0</v>
      </c>
      <c r="Z126" s="265">
        <f>Z106+Z107+Z108+Z109+Z110+Z111+Z112+Z113-Z120</f>
        <v>0</v>
      </c>
      <c r="AA126" s="265">
        <f>AA106+AA107+AA108+AA109+AA110+AA111+AA112+AA113-AA120</f>
        <v>0</v>
      </c>
      <c r="AC126" s="265">
        <f>AC106+AC107+AC108+AC109+AC110+AC111+AC112+AC113-AC120</f>
        <v>0</v>
      </c>
      <c r="AD126" s="265">
        <f>AD106+AD107+AD108+AD109+AD110+AD111+AD112+AD113-AD120</f>
        <v>0</v>
      </c>
    </row>
    <row r="127">
      <c r="A127" t="inlineStr">
        <is>
          <t>[vazio] cod 10 Common Dividends: a aba Consolidado nao traz DFC; dividendos pagos nao preenchidos</t>
        </is>
      </c>
      <c r="C127" t="inlineStr">
        <is>
          <t>[linha bruta, sem código; lançada nas linhas abaixo]</t>
        </is>
      </c>
      <c r="D127" s="265" t="n"/>
      <c r="E127" s="265" t="n"/>
      <c r="F127" s="265" t="n"/>
      <c r="G127" s="265" t="n"/>
      <c r="I127" s="265" t="n"/>
      <c r="J127" s="265" t="n"/>
      <c r="K127" s="265" t="n"/>
      <c r="L127" s="265" t="n"/>
      <c r="N127" s="265" t="n"/>
      <c r="O127" s="265" t="n"/>
      <c r="P127" s="265" t="n"/>
      <c r="Q127" s="265" t="n"/>
      <c r="S127" s="265" t="n"/>
      <c r="T127" s="265" t="n"/>
      <c r="U127" s="265" t="n"/>
      <c r="V127" s="265" t="n"/>
      <c r="X127" s="265" t="n"/>
      <c r="Y127" s="265" t="n"/>
      <c r="Z127" s="265" t="n"/>
      <c r="AA127" s="265" t="n"/>
      <c r="AC127" s="265" t="n"/>
      <c r="AD127" s="265" t="n"/>
    </row>
    <row r="128">
      <c r="A128" t="inlineStr">
        <is>
          <t>[vazio] cod 20 Goodwill: nao aberto (dentro do intangivel, cod 21)</t>
        </is>
      </c>
      <c r="C128" t="inlineStr">
        <is>
          <t>[linha bruta, sem código; lançada nas linhas abaixo]</t>
        </is>
      </c>
      <c r="D128" s="265" t="n"/>
      <c r="E128" s="265" t="n"/>
      <c r="F128" s="265" t="n"/>
      <c r="G128" s="265" t="n"/>
      <c r="I128" s="265" t="n"/>
      <c r="J128" s="265" t="n"/>
      <c r="K128" s="265" t="n"/>
      <c r="L128" s="265" t="n"/>
      <c r="N128" s="265" t="n"/>
      <c r="O128" s="265" t="n"/>
      <c r="P128" s="265" t="n"/>
      <c r="Q128" s="265" t="n"/>
      <c r="S128" s="265" t="n"/>
      <c r="T128" s="265" t="n"/>
      <c r="U128" s="265" t="n"/>
      <c r="V128" s="265" t="n"/>
      <c r="X128" s="265" t="n"/>
      <c r="Y128" s="265" t="n"/>
      <c r="Z128" s="265" t="n"/>
      <c r="AA128" s="265" t="n"/>
      <c r="AC128" s="265" t="n"/>
      <c r="AD128" s="265" t="n"/>
    </row>
    <row r="129">
      <c r="A129" t="inlineStr">
        <is>
          <t>[vazio] cod 28 Short term debt (revolving): sem linha propria</t>
        </is>
      </c>
      <c r="C129" t="inlineStr">
        <is>
          <t>[linha bruta, sem código; lançada nas linhas abaixo]</t>
        </is>
      </c>
      <c r="D129" s="265" t="n"/>
      <c r="E129" s="265" t="n"/>
      <c r="F129" s="265" t="n"/>
      <c r="G129" s="265" t="n"/>
      <c r="I129" s="265" t="n"/>
      <c r="J129" s="265" t="n"/>
      <c r="K129" s="265" t="n"/>
      <c r="L129" s="265" t="n"/>
      <c r="N129" s="265" t="n"/>
      <c r="O129" s="265" t="n"/>
      <c r="P129" s="265" t="n"/>
      <c r="Q129" s="265" t="n"/>
      <c r="S129" s="265" t="n"/>
      <c r="T129" s="265" t="n"/>
      <c r="U129" s="265" t="n"/>
      <c r="V129" s="265" t="n"/>
      <c r="X129" s="265" t="n"/>
      <c r="Y129" s="265" t="n"/>
      <c r="Z129" s="265" t="n"/>
      <c r="AA129" s="265" t="n"/>
      <c r="AC129" s="265" t="n"/>
      <c r="AD129" s="265" t="n"/>
    </row>
    <row r="130">
      <c r="A130" t="inlineStr">
        <is>
          <t>[vazio] cod 32 Convertible debt: inexistente</t>
        </is>
      </c>
      <c r="C130" t="inlineStr">
        <is>
          <t>[linha bruta, sem código; lançada nas linhas abaixo]</t>
        </is>
      </c>
      <c r="D130" s="265" t="n"/>
      <c r="E130" s="265" t="n"/>
      <c r="F130" s="265" t="n"/>
      <c r="G130" s="265" t="n"/>
      <c r="I130" s="265" t="n"/>
      <c r="J130" s="265" t="n"/>
      <c r="K130" s="265" t="n"/>
      <c r="L130" s="265" t="n"/>
      <c r="N130" s="265" t="n"/>
      <c r="O130" s="265" t="n"/>
      <c r="P130" s="265" t="n"/>
      <c r="Q130" s="265" t="n"/>
      <c r="S130" s="265" t="n"/>
      <c r="T130" s="265" t="n"/>
      <c r="U130" s="265" t="n"/>
      <c r="V130" s="265" t="n"/>
      <c r="X130" s="265" t="n"/>
      <c r="Y130" s="265" t="n"/>
      <c r="Z130" s="265" t="n"/>
      <c r="AA130" s="265" t="n"/>
      <c r="AC130" s="265" t="n"/>
      <c r="AD130" s="265" t="n"/>
    </row>
    <row r="131">
      <c r="A131" t="inlineStr">
        <is>
          <t>[vazio] cod 36 Convertible Preferred Stock: inexistente</t>
        </is>
      </c>
      <c r="C131" t="inlineStr">
        <is>
          <t>[linha bruta, sem código; lançada nas linhas abaixo]</t>
        </is>
      </c>
      <c r="D131" s="265" t="n"/>
      <c r="E131" s="265" t="n"/>
      <c r="F131" s="265" t="n"/>
      <c r="G131" s="265" t="n"/>
      <c r="I131" s="265" t="n"/>
      <c r="J131" s="265" t="n"/>
      <c r="K131" s="265" t="n"/>
      <c r="L131" s="265" t="n"/>
      <c r="N131" s="265" t="n"/>
      <c r="O131" s="265" t="n"/>
      <c r="P131" s="265" t="n"/>
      <c r="Q131" s="265" t="n"/>
      <c r="S131" s="265" t="n"/>
      <c r="T131" s="265" t="n"/>
      <c r="U131" s="265" t="n"/>
      <c r="V131" s="265" t="n"/>
      <c r="X131" s="265" t="n"/>
      <c r="Y131" s="265" t="n"/>
      <c r="Z131" s="265" t="n"/>
      <c r="AA131" s="265" t="n"/>
      <c r="AC131" s="265" t="n"/>
      <c r="AD131" s="265" t="n"/>
    </row>
    <row r="132">
      <c r="A132" t="inlineStr">
        <is>
          <t>Nota: ativo contratual da concessao (CP e LP) mapeado em outros ativos (16/22); a variacao entra no fluxo de investimento do Model (linha 265). Para tratar como imobilizado, trocar o codigo para 18.</t>
        </is>
      </c>
      <c r="C132" t="inlineStr">
        <is>
          <t>[linha bruta, sem código; lançada nas linhas abaixo]</t>
        </is>
      </c>
      <c r="D132" s="265" t="n"/>
      <c r="E132" s="265" t="n"/>
      <c r="F132" s="265" t="n"/>
      <c r="G132" s="265" t="n"/>
      <c r="I132" s="265" t="n"/>
      <c r="J132" s="265" t="n"/>
      <c r="K132" s="265" t="n"/>
      <c r="L132" s="265" t="n"/>
      <c r="N132" s="265" t="n"/>
      <c r="O132" s="265" t="n"/>
      <c r="P132" s="265" t="n"/>
      <c r="Q132" s="265" t="n"/>
      <c r="S132" s="265" t="n"/>
      <c r="T132" s="265" t="n"/>
      <c r="U132" s="265" t="n"/>
      <c r="V132" s="265" t="n"/>
      <c r="X132" s="265" t="n"/>
      <c r="Y132" s="265" t="n"/>
      <c r="Z132" s="265" t="n"/>
      <c r="AA132" s="265" t="n"/>
      <c r="AC132" s="265" t="n"/>
      <c r="AD132" s="265" t="n"/>
    </row>
    <row r="133">
      <c r="D133" s="265" t="n"/>
      <c r="E133" s="265" t="n"/>
      <c r="F133" s="265" t="n"/>
      <c r="G133" s="265" t="n"/>
      <c r="I133" s="265" t="n"/>
      <c r="J133" s="265" t="n"/>
      <c r="K133" s="265" t="n"/>
      <c r="L133" s="265" t="n"/>
      <c r="N133" s="265" t="n"/>
      <c r="O133" s="265" t="n"/>
      <c r="P133" s="265" t="n"/>
      <c r="Q133" s="265" t="n"/>
      <c r="S133" s="265" t="n"/>
      <c r="T133" s="265" t="n"/>
      <c r="U133" s="265" t="n"/>
      <c r="V133" s="265" t="n"/>
      <c r="X133" s="265" t="n"/>
      <c r="Y133" s="265" t="n"/>
      <c r="Z133" s="265" t="n"/>
      <c r="AA133" s="265" t="n"/>
      <c r="AC133" s="265" t="n"/>
      <c r="AD133" s="265" t="n"/>
    </row>
    <row r="134">
      <c r="A134" t="inlineStr">
        <is>
          <t>RECEITA LIQUIDA POR SEGMENTO E POR SPE (R$ mil; receita bruta + deducoes de cada aba, a 100%). Codigos 45+ = memoria, nao entram nos codigos 1-41</t>
        </is>
      </c>
      <c r="C134" t="inlineStr">
        <is>
          <t>[linha bruta, sem código; lançada nas linhas abaixo]</t>
        </is>
      </c>
      <c r="D134" s="265" t="n"/>
      <c r="E134" s="265" t="n"/>
      <c r="F134" s="265" t="n"/>
      <c r="G134" s="265" t="n"/>
      <c r="I134" s="265" t="n"/>
      <c r="J134" s="265" t="n"/>
      <c r="K134" s="265" t="n"/>
      <c r="L134" s="265" t="n"/>
      <c r="N134" s="265" t="n"/>
      <c r="O134" s="265" t="n"/>
      <c r="P134" s="265" t="n"/>
      <c r="Q134" s="265" t="n"/>
      <c r="S134" s="265" t="n"/>
      <c r="T134" s="265" t="n"/>
      <c r="U134" s="265" t="n"/>
      <c r="V134" s="265" t="n"/>
      <c r="X134" s="265" t="n"/>
      <c r="Y134" s="265" t="n"/>
      <c r="Z134" s="265" t="n"/>
      <c r="AA134" s="265" t="n"/>
      <c r="AC134" s="265" t="n"/>
      <c r="AD134" s="265" t="n"/>
    </row>
    <row r="135">
      <c r="A135" t="inlineStr">
        <is>
          <t>Transmissao - consolidado do segmento | aba "Consolidado - Transmissao" (so a partir do 1T23) · fonte · unid. moeda</t>
        </is>
      </c>
      <c r="B135" t="n">
        <v>45</v>
      </c>
      <c r="C135" t="inlineStr">
        <is>
          <t>Transmissao - consolidado do segmento | aba "Consolidado - T</t>
        </is>
      </c>
      <c r="D135" s="265" t="n"/>
      <c r="E135" s="265" t="n"/>
      <c r="F135" s="265" t="n"/>
      <c r="G135" s="265" t="n"/>
      <c r="I135" s="265" t="n"/>
      <c r="J135" s="265" t="n"/>
      <c r="K135" s="265" t="n"/>
      <c r="L135" s="265" t="n"/>
      <c r="N135" s="265" t="n">
        <v>813298</v>
      </c>
      <c r="O135" s="265" t="n">
        <v>601252</v>
      </c>
      <c r="P135" s="265" t="n">
        <v>454094</v>
      </c>
      <c r="Q135" s="265" t="n">
        <v>686745</v>
      </c>
      <c r="S135" s="265" t="n">
        <v>811934</v>
      </c>
      <c r="T135" s="265" t="n">
        <v>774963</v>
      </c>
      <c r="U135" s="265" t="n">
        <v>743020</v>
      </c>
      <c r="V135" s="265" t="n">
        <v>890039</v>
      </c>
      <c r="X135" s="265" t="n">
        <v>1001038</v>
      </c>
      <c r="Y135" s="265" t="n">
        <v>828487</v>
      </c>
      <c r="Z135" s="265" t="n">
        <v>756195</v>
      </c>
      <c r="AA135" s="265" t="n">
        <v>953586</v>
      </c>
      <c r="AC135" s="265" t="n">
        <v>997764</v>
      </c>
      <c r="AD135" s="265" t="n">
        <v>1414665</v>
      </c>
    </row>
    <row r="136">
      <c r="A136" t="inlineStr">
        <is>
          <t>Geracao - consolidado do segmento | aba "Consolidado - Geracao" (so a partir do 1T23) · fonte · unid. moeda</t>
        </is>
      </c>
      <c r="B136" t="n">
        <v>46</v>
      </c>
      <c r="C136" t="inlineStr">
        <is>
          <t>Geracao - consolidado do segmento | aba "Consolidado - Gerac</t>
        </is>
      </c>
      <c r="D136" s="265" t="n"/>
      <c r="E136" s="265" t="n"/>
      <c r="F136" s="265" t="n"/>
      <c r="G136" s="265" t="n"/>
      <c r="I136" s="265" t="n"/>
      <c r="J136" s="265" t="n"/>
      <c r="K136" s="265" t="n"/>
      <c r="L136" s="265" t="n"/>
      <c r="N136" s="265" t="n">
        <v>191900</v>
      </c>
      <c r="O136" s="265" t="n">
        <v>180105</v>
      </c>
      <c r="P136" s="265" t="n">
        <v>196063</v>
      </c>
      <c r="Q136" s="265" t="n">
        <v>192716</v>
      </c>
      <c r="S136" s="265" t="n">
        <v>186343</v>
      </c>
      <c r="T136" s="265" t="n">
        <v>179835</v>
      </c>
      <c r="U136" s="265" t="n">
        <v>187835</v>
      </c>
      <c r="V136" s="265" t="n">
        <v>234921</v>
      </c>
      <c r="X136" s="265" t="n">
        <v>224332</v>
      </c>
      <c r="Y136" s="265" t="n">
        <v>220415</v>
      </c>
      <c r="Z136" s="265" t="n">
        <v>208737</v>
      </c>
      <c r="AA136" s="265" t="n">
        <v>211600</v>
      </c>
      <c r="AC136" s="265" t="n">
        <v>258765</v>
      </c>
      <c r="AD136" s="265" t="n">
        <v>212619</v>
      </c>
    </row>
    <row r="137">
      <c r="A137" t="inlineStr">
        <is>
          <t>Transmissao por SPE (aba de cada SPE)</t>
        </is>
      </c>
      <c r="C137" t="inlineStr">
        <is>
          <t>[linha bruta, sem código; lançada nas linhas abaixo]</t>
        </is>
      </c>
      <c r="D137" s="265" t="n"/>
      <c r="E137" s="265" t="n"/>
      <c r="F137" s="265" t="n"/>
      <c r="G137" s="265" t="n"/>
      <c r="I137" s="265" t="n"/>
      <c r="J137" s="265" t="n"/>
      <c r="K137" s="265" t="n"/>
      <c r="L137" s="265" t="n"/>
      <c r="N137" s="265" t="n"/>
      <c r="O137" s="265" t="n"/>
      <c r="P137" s="265" t="n"/>
      <c r="Q137" s="265" t="n"/>
      <c r="S137" s="265" t="n"/>
      <c r="T137" s="265" t="n"/>
      <c r="U137" s="265" t="n"/>
      <c r="V137" s="265" t="n"/>
      <c r="X137" s="265" t="n"/>
      <c r="Y137" s="265" t="n"/>
      <c r="Z137" s="265" t="n"/>
      <c r="AA137" s="265" t="n"/>
      <c r="AC137" s="265" t="n"/>
      <c r="AD137" s="265" t="n"/>
    </row>
    <row r="138">
      <c r="A138" t="inlineStr">
        <is>
          <t>Transmissao | Transudeste | aba "Transudeste" · fonte · unid. moeda</t>
        </is>
      </c>
      <c r="B138" t="n">
        <v>47</v>
      </c>
      <c r="C138" t="inlineStr">
        <is>
          <t>Transmissao | Transudeste | aba "Transudeste"</t>
        </is>
      </c>
      <c r="D138" s="265" t="n">
        <v>8888</v>
      </c>
      <c r="E138" s="265" t="n">
        <v>11760</v>
      </c>
      <c r="F138" s="265" t="n">
        <v>5991</v>
      </c>
      <c r="G138" s="265" t="n">
        <v>4276</v>
      </c>
      <c r="I138" s="265" t="n">
        <v>8090</v>
      </c>
      <c r="J138" s="265" t="n">
        <v>7591</v>
      </c>
      <c r="K138" s="265" t="n">
        <v>4552</v>
      </c>
      <c r="L138" s="265" t="n">
        <v>2359</v>
      </c>
      <c r="N138" s="265" t="n">
        <v>4895</v>
      </c>
      <c r="O138" s="265" t="n">
        <v>2117</v>
      </c>
      <c r="P138" s="265" t="n">
        <v>2107</v>
      </c>
      <c r="Q138" s="265" t="n">
        <v>5225</v>
      </c>
      <c r="S138" s="265" t="n">
        <v>4328</v>
      </c>
      <c r="T138" s="265" t="n">
        <v>4699</v>
      </c>
      <c r="U138" s="265" t="n">
        <v>5314</v>
      </c>
      <c r="V138" s="265" t="n">
        <v>6680</v>
      </c>
      <c r="X138" s="265" t="n">
        <v>5935</v>
      </c>
      <c r="Y138" s="265" t="n">
        <v>3672</v>
      </c>
      <c r="Z138" s="265" t="n">
        <v>2776</v>
      </c>
      <c r="AA138" s="265" t="n">
        <v>4435</v>
      </c>
      <c r="AC138" s="265" t="n">
        <v>3928</v>
      </c>
      <c r="AD138" s="265" t="n">
        <v>7235</v>
      </c>
    </row>
    <row r="139">
      <c r="A139" t="inlineStr">
        <is>
          <t>Transmissao | Transleste | aba "Transleste" · fonte · unid. moeda</t>
        </is>
      </c>
      <c r="B139" t="n">
        <v>48</v>
      </c>
      <c r="C139" t="inlineStr">
        <is>
          <t>Transmissao | Transleste | aba "Transleste"</t>
        </is>
      </c>
      <c r="D139" s="265" t="n">
        <v>12214</v>
      </c>
      <c r="E139" s="265" t="n">
        <v>16259</v>
      </c>
      <c r="F139" s="265" t="n">
        <v>8977</v>
      </c>
      <c r="G139" s="265" t="n">
        <v>6607</v>
      </c>
      <c r="I139" s="265" t="n">
        <v>12373</v>
      </c>
      <c r="J139" s="265" t="n">
        <v>11720</v>
      </c>
      <c r="K139" s="265" t="n">
        <v>7207</v>
      </c>
      <c r="L139" s="265" t="n">
        <v>3912</v>
      </c>
      <c r="N139" s="265" t="n">
        <v>7709</v>
      </c>
      <c r="O139" s="265" t="n">
        <v>3530</v>
      </c>
      <c r="P139" s="265" t="n">
        <v>3519</v>
      </c>
      <c r="Q139" s="265" t="n">
        <v>8162</v>
      </c>
      <c r="S139" s="265" t="n">
        <v>6857</v>
      </c>
      <c r="T139" s="265" t="n">
        <v>7362</v>
      </c>
      <c r="U139" s="265" t="n">
        <v>8284</v>
      </c>
      <c r="V139" s="265" t="n">
        <v>10303</v>
      </c>
      <c r="X139" s="265" t="n">
        <v>9195</v>
      </c>
      <c r="Y139" s="265" t="n">
        <v>5859</v>
      </c>
      <c r="Z139" s="265" t="n">
        <v>4573</v>
      </c>
      <c r="AA139" s="265" t="n">
        <v>6627</v>
      </c>
      <c r="AC139" s="265" t="n">
        <v>6118</v>
      </c>
      <c r="AD139" s="265" t="n">
        <v>11048</v>
      </c>
    </row>
    <row r="140">
      <c r="A140" t="inlineStr">
        <is>
          <t>Transmissao | Transirapé | aba "Transirapé" · fonte · unid. moeda</t>
        </is>
      </c>
      <c r="B140" t="n">
        <v>49</v>
      </c>
      <c r="C140" t="inlineStr">
        <is>
          <t>Transmissao | Transirapé | aba "Transirapé"</t>
        </is>
      </c>
      <c r="D140" s="265" t="n">
        <v>26869</v>
      </c>
      <c r="E140" s="265" t="n">
        <v>26737</v>
      </c>
      <c r="F140" s="265" t="n">
        <v>11462</v>
      </c>
      <c r="G140" s="265" t="n">
        <v>7568</v>
      </c>
      <c r="I140" s="265" t="n">
        <v>16523</v>
      </c>
      <c r="J140" s="265" t="n">
        <v>16033</v>
      </c>
      <c r="K140" s="265" t="n">
        <v>9113</v>
      </c>
      <c r="L140" s="265" t="n">
        <v>1196</v>
      </c>
      <c r="N140" s="265" t="n">
        <v>7905</v>
      </c>
      <c r="O140" s="265" t="n">
        <v>551</v>
      </c>
      <c r="P140" s="265" t="n">
        <v>2447</v>
      </c>
      <c r="Q140" s="265" t="n">
        <v>9014</v>
      </c>
      <c r="S140" s="265" t="n">
        <v>6608</v>
      </c>
      <c r="T140" s="265" t="n">
        <v>7553</v>
      </c>
      <c r="U140" s="265" t="n">
        <v>13378</v>
      </c>
      <c r="V140" s="265" t="n">
        <v>13906</v>
      </c>
      <c r="X140" s="265" t="n">
        <v>12179</v>
      </c>
      <c r="Y140" s="265" t="n">
        <v>5952</v>
      </c>
      <c r="Z140" s="265" t="n">
        <v>2723</v>
      </c>
      <c r="AA140" s="265" t="n">
        <v>21417</v>
      </c>
      <c r="AC140" s="265" t="n">
        <v>6358</v>
      </c>
      <c r="AD140" s="265" t="n">
        <v>15274</v>
      </c>
    </row>
    <row r="141">
      <c r="A141" t="inlineStr">
        <is>
          <t>Transmissao | EATE | aba "EATE" · fonte · unid. moeda</t>
        </is>
      </c>
      <c r="B141" t="n">
        <v>50</v>
      </c>
      <c r="C141" t="inlineStr">
        <is>
          <t>Transmissao | EATE | aba "EATE"</t>
        </is>
      </c>
      <c r="D141" s="265" t="n">
        <v>134791</v>
      </c>
      <c r="E141" s="265" t="n">
        <v>182840</v>
      </c>
      <c r="F141" s="265" t="n">
        <v>89435</v>
      </c>
      <c r="G141" s="265" t="n">
        <v>60356</v>
      </c>
      <c r="I141" s="265" t="n">
        <v>129129</v>
      </c>
      <c r="J141" s="265" t="n">
        <v>121287</v>
      </c>
      <c r="K141" s="265" t="n">
        <v>64751</v>
      </c>
      <c r="L141" s="265" t="n">
        <v>26032</v>
      </c>
      <c r="N141" s="265" t="n">
        <v>70348</v>
      </c>
      <c r="O141" s="265" t="n">
        <v>19009</v>
      </c>
      <c r="P141" s="265" t="n">
        <v>18724</v>
      </c>
      <c r="Q141" s="265" t="n">
        <v>79422</v>
      </c>
      <c r="S141" s="265" t="n">
        <v>60003</v>
      </c>
      <c r="T141" s="265" t="n">
        <v>64939</v>
      </c>
      <c r="U141" s="265" t="n">
        <v>73684</v>
      </c>
      <c r="V141" s="265" t="n">
        <v>99562</v>
      </c>
      <c r="X141" s="265" t="n">
        <v>84531</v>
      </c>
      <c r="Y141" s="265" t="n">
        <v>48536</v>
      </c>
      <c r="Z141" s="265" t="n">
        <v>72832</v>
      </c>
      <c r="AA141" s="265" t="n">
        <v>84444</v>
      </c>
      <c r="AC141" s="265" t="n">
        <v>125373</v>
      </c>
      <c r="AD141" s="265" t="n">
        <v>194523</v>
      </c>
    </row>
    <row r="142">
      <c r="A142" t="inlineStr">
        <is>
          <t>Transmissao | ETEP | aba "ETEP" · fonte · unid. moeda</t>
        </is>
      </c>
      <c r="B142" t="n">
        <v>51</v>
      </c>
      <c r="C142" t="inlineStr">
        <is>
          <t>Transmissao | ETEP | aba "ETEP"</t>
        </is>
      </c>
      <c r="D142" s="265" t="n">
        <v>30299</v>
      </c>
      <c r="E142" s="265" t="n">
        <v>41039</v>
      </c>
      <c r="F142" s="265" t="n">
        <v>20165</v>
      </c>
      <c r="G142" s="265" t="n">
        <v>5949</v>
      </c>
      <c r="I142" s="265" t="n">
        <v>29092</v>
      </c>
      <c r="J142" s="265" t="n">
        <v>26372</v>
      </c>
      <c r="K142" s="265" t="n">
        <v>14811</v>
      </c>
      <c r="L142" s="265" t="n">
        <v>6241</v>
      </c>
      <c r="N142" s="265" t="n">
        <v>16005</v>
      </c>
      <c r="O142" s="265" t="n">
        <v>4288</v>
      </c>
      <c r="P142" s="265" t="n">
        <v>5467</v>
      </c>
      <c r="Q142" s="265" t="n">
        <v>17654</v>
      </c>
      <c r="S142" s="265" t="n">
        <v>13681</v>
      </c>
      <c r="T142" s="265" t="n">
        <v>14856</v>
      </c>
      <c r="U142" s="265" t="n">
        <v>16837</v>
      </c>
      <c r="V142" s="265" t="n">
        <v>22467</v>
      </c>
      <c r="X142" s="265" t="n">
        <v>19090</v>
      </c>
      <c r="Y142" s="265" t="n">
        <v>10980</v>
      </c>
      <c r="Z142" s="265" t="n">
        <v>10236</v>
      </c>
      <c r="AA142" s="265" t="n">
        <v>15541</v>
      </c>
      <c r="AC142" s="265" t="n">
        <v>12463</v>
      </c>
      <c r="AD142" s="265" t="n">
        <v>21406</v>
      </c>
    </row>
    <row r="143">
      <c r="A143" t="inlineStr">
        <is>
          <t>Transmissao | ECTE | aba "ECTE" · fonte · unid. moeda</t>
        </is>
      </c>
      <c r="B143" t="n">
        <v>52</v>
      </c>
      <c r="C143" t="inlineStr">
        <is>
          <t>Transmissao | ECTE | aba "ECTE"</t>
        </is>
      </c>
      <c r="D143" s="265" t="n">
        <v>28355</v>
      </c>
      <c r="E143" s="265" t="n">
        <v>42125</v>
      </c>
      <c r="F143" s="265" t="n">
        <v>18911</v>
      </c>
      <c r="G143" s="265" t="n">
        <v>12897</v>
      </c>
      <c r="I143" s="265" t="n">
        <v>26960</v>
      </c>
      <c r="J143" s="265" t="n">
        <v>25592</v>
      </c>
      <c r="K143" s="265" t="n">
        <v>13855</v>
      </c>
      <c r="L143" s="265" t="n">
        <v>5870</v>
      </c>
      <c r="N143" s="265" t="n">
        <v>14905</v>
      </c>
      <c r="O143" s="265" t="n">
        <v>4709</v>
      </c>
      <c r="P143" s="265" t="n">
        <v>4923</v>
      </c>
      <c r="Q143" s="265" t="n">
        <v>16666</v>
      </c>
      <c r="S143" s="265" t="n">
        <v>12165</v>
      </c>
      <c r="T143" s="265" t="n">
        <v>13732</v>
      </c>
      <c r="U143" s="265" t="n">
        <v>15451</v>
      </c>
      <c r="V143" s="265" t="n">
        <v>20559</v>
      </c>
      <c r="X143" s="265" t="n">
        <v>17456</v>
      </c>
      <c r="Y143" s="265" t="n">
        <v>10101</v>
      </c>
      <c r="Z143" s="265" t="n">
        <v>7390</v>
      </c>
      <c r="AA143" s="265" t="n">
        <v>11758</v>
      </c>
      <c r="AC143" s="265" t="n">
        <v>10154</v>
      </c>
      <c r="AD143" s="265" t="n">
        <v>19672</v>
      </c>
    </row>
    <row r="144">
      <c r="A144" t="inlineStr">
        <is>
          <t>Transmissao | ENTE | aba "ENTE" · fonte · unid. moeda</t>
        </is>
      </c>
      <c r="B144" t="n">
        <v>53</v>
      </c>
      <c r="C144" t="inlineStr">
        <is>
          <t>Transmissao | ENTE | aba "ENTE"</t>
        </is>
      </c>
      <c r="D144" s="265" t="n">
        <v>65089</v>
      </c>
      <c r="E144" s="265" t="n">
        <v>85880</v>
      </c>
      <c r="F144" s="265" t="n">
        <v>47993</v>
      </c>
      <c r="G144" s="265" t="n">
        <v>35666</v>
      </c>
      <c r="I144" s="265" t="n">
        <v>65698</v>
      </c>
      <c r="J144" s="265" t="n">
        <v>62298</v>
      </c>
      <c r="K144" s="265" t="n">
        <v>38456</v>
      </c>
      <c r="L144" s="265" t="n">
        <v>21491</v>
      </c>
      <c r="N144" s="265" t="n">
        <v>41141</v>
      </c>
      <c r="O144" s="265" t="n">
        <v>19332</v>
      </c>
      <c r="P144" s="265" t="n">
        <v>19405</v>
      </c>
      <c r="Q144" s="265" t="n">
        <v>42473</v>
      </c>
      <c r="S144" s="265" t="n">
        <v>36470</v>
      </c>
      <c r="T144" s="265" t="n">
        <v>31858</v>
      </c>
      <c r="U144" s="265" t="n">
        <v>43194</v>
      </c>
      <c r="V144" s="265" t="n">
        <v>54036</v>
      </c>
      <c r="X144" s="265" t="n">
        <v>48236</v>
      </c>
      <c r="Y144" s="265" t="n">
        <v>31218</v>
      </c>
      <c r="Z144" s="265" t="n">
        <v>31858</v>
      </c>
      <c r="AA144" s="265" t="n">
        <v>37352</v>
      </c>
      <c r="AC144" s="265" t="n">
        <v>54445</v>
      </c>
      <c r="AD144" s="265" t="n">
        <v>87224</v>
      </c>
    </row>
    <row r="145">
      <c r="A145" t="inlineStr">
        <is>
          <t>Transmissao | ERTE | aba "ERTE" · fonte · unid. moeda</t>
        </is>
      </c>
      <c r="B145" t="n">
        <v>54</v>
      </c>
      <c r="C145" t="inlineStr">
        <is>
          <t>Transmissao | ERTE | aba "ERTE"</t>
        </is>
      </c>
      <c r="D145" s="265" t="n">
        <v>14836</v>
      </c>
      <c r="E145" s="265" t="n">
        <v>17116</v>
      </c>
      <c r="F145" s="265" t="n">
        <v>9208</v>
      </c>
      <c r="G145" s="265" t="n">
        <v>7682</v>
      </c>
      <c r="I145" s="265" t="n">
        <v>13059</v>
      </c>
      <c r="J145" s="265" t="n">
        <v>1859</v>
      </c>
      <c r="K145" s="265" t="n">
        <v>12350</v>
      </c>
      <c r="L145" s="265" t="n">
        <v>2303</v>
      </c>
      <c r="N145" s="265" t="n">
        <v>7839</v>
      </c>
      <c r="O145" s="265" t="n">
        <v>4685</v>
      </c>
      <c r="P145" s="265" t="n">
        <v>3546</v>
      </c>
      <c r="Q145" s="265" t="n">
        <v>10455</v>
      </c>
      <c r="S145" s="265" t="n">
        <v>7970</v>
      </c>
      <c r="T145" s="265" t="n">
        <v>8700</v>
      </c>
      <c r="U145" s="265" t="n">
        <v>9877</v>
      </c>
      <c r="V145" s="265" t="n">
        <v>12384</v>
      </c>
      <c r="X145" s="265" t="n">
        <v>10964</v>
      </c>
      <c r="Y145" s="265" t="n">
        <v>6711</v>
      </c>
      <c r="Z145" s="265" t="n">
        <v>4977</v>
      </c>
      <c r="AA145" s="265" t="n">
        <v>17054</v>
      </c>
      <c r="AC145" s="265" t="n">
        <v>7243</v>
      </c>
      <c r="AD145" s="265" t="n">
        <v>13286</v>
      </c>
    </row>
    <row r="146">
      <c r="A146" t="inlineStr">
        <is>
          <t>Transmissao | EBTE | aba "EBTE" · fonte · unid. moeda</t>
        </is>
      </c>
      <c r="B146" t="n">
        <v>55</v>
      </c>
      <c r="C146" t="inlineStr">
        <is>
          <t>Transmissao | EBTE | aba "EBTE"</t>
        </is>
      </c>
      <c r="D146" s="265" t="n">
        <v>19255</v>
      </c>
      <c r="E146" s="265" t="n">
        <v>18390</v>
      </c>
      <c r="F146" s="265" t="n">
        <v>19595</v>
      </c>
      <c r="G146" s="265" t="n">
        <v>22928</v>
      </c>
      <c r="I146" s="265" t="n">
        <v>20260</v>
      </c>
      <c r="J146" s="265" t="n">
        <v>25002</v>
      </c>
      <c r="K146" s="265" t="n">
        <v>8490</v>
      </c>
      <c r="L146" s="265" t="n">
        <v>17525</v>
      </c>
      <c r="N146" s="265" t="n">
        <v>22924</v>
      </c>
      <c r="O146" s="265" t="n">
        <v>21243</v>
      </c>
      <c r="P146" s="265" t="n">
        <v>12336</v>
      </c>
      <c r="Q146" s="265" t="n">
        <v>14833</v>
      </c>
      <c r="S146" s="265" t="n">
        <v>19503</v>
      </c>
      <c r="T146" s="265" t="n">
        <v>16120</v>
      </c>
      <c r="U146" s="265" t="n">
        <v>15327</v>
      </c>
      <c r="V146" s="265" t="n">
        <v>17970</v>
      </c>
      <c r="X146" s="265" t="n">
        <v>22331</v>
      </c>
      <c r="Y146" s="265" t="n">
        <v>19450</v>
      </c>
      <c r="Z146" s="265" t="n">
        <v>15263</v>
      </c>
      <c r="AA146" s="265" t="n">
        <v>20256</v>
      </c>
      <c r="AC146" s="265" t="n">
        <v>19948</v>
      </c>
      <c r="AD146" s="265" t="n">
        <v>23762</v>
      </c>
    </row>
    <row r="147">
      <c r="A147" t="inlineStr">
        <is>
          <t>Transmissao | Lumitrans | aba "Lumitrans" · fonte · unid. moeda</t>
        </is>
      </c>
      <c r="B147" t="n">
        <v>56</v>
      </c>
      <c r="C147" t="inlineStr">
        <is>
          <t>Transmissao | Lumitrans | aba "Lumitrans"</t>
        </is>
      </c>
      <c r="D147" s="265" t="n">
        <v>9915</v>
      </c>
      <c r="E147" s="265" t="n">
        <v>13118</v>
      </c>
      <c r="F147" s="265" t="n">
        <v>6583</v>
      </c>
      <c r="G147" s="265" t="n">
        <v>4921</v>
      </c>
      <c r="I147" s="265" t="n">
        <v>8686</v>
      </c>
      <c r="J147" s="265" t="n">
        <v>8125</v>
      </c>
      <c r="K147" s="265" t="n">
        <v>4914</v>
      </c>
      <c r="L147" s="265" t="n">
        <v>2741</v>
      </c>
      <c r="N147" s="265" t="n">
        <v>5175</v>
      </c>
      <c r="O147" s="265" t="n">
        <v>2442</v>
      </c>
      <c r="P147" s="265" t="n">
        <v>2394</v>
      </c>
      <c r="Q147" s="265" t="n">
        <v>5415</v>
      </c>
      <c r="S147" s="265" t="n">
        <v>4568</v>
      </c>
      <c r="T147" s="265" t="n">
        <v>4898</v>
      </c>
      <c r="U147" s="265" t="n">
        <v>5485</v>
      </c>
      <c r="V147" s="265" t="n">
        <v>6781</v>
      </c>
      <c r="X147" s="265" t="n">
        <v>6045</v>
      </c>
      <c r="Y147" s="265" t="n">
        <v>3906</v>
      </c>
      <c r="Z147" s="265" t="n">
        <v>3082</v>
      </c>
      <c r="AA147" s="265" t="n">
        <v>4630</v>
      </c>
      <c r="AC147" s="265" t="n">
        <v>4147</v>
      </c>
      <c r="AD147" s="265" t="n">
        <v>7297</v>
      </c>
    </row>
    <row r="148">
      <c r="A148" t="inlineStr">
        <is>
          <t>Transmissao | STC | aba "STC" · fonte · unid. moeda</t>
        </is>
      </c>
      <c r="B148" t="n">
        <v>57</v>
      </c>
      <c r="C148" t="inlineStr">
        <is>
          <t>Transmissao | STC | aba "STC"</t>
        </is>
      </c>
      <c r="D148" s="265" t="n">
        <v>11471</v>
      </c>
      <c r="E148" s="265" t="n">
        <v>10373</v>
      </c>
      <c r="F148" s="265" t="n">
        <v>14172</v>
      </c>
      <c r="G148" s="265" t="n">
        <v>12477</v>
      </c>
      <c r="I148" s="265" t="n">
        <v>10893</v>
      </c>
      <c r="J148" s="265" t="n">
        <v>12575</v>
      </c>
      <c r="K148" s="265" t="n">
        <v>6558</v>
      </c>
      <c r="L148" s="265" t="n">
        <v>8208</v>
      </c>
      <c r="N148" s="265" t="n">
        <v>10325</v>
      </c>
      <c r="O148" s="265" t="n">
        <v>9862</v>
      </c>
      <c r="P148" s="265" t="n">
        <v>7353</v>
      </c>
      <c r="Q148" s="265" t="n">
        <v>8229</v>
      </c>
      <c r="S148" s="265" t="n">
        <v>9967</v>
      </c>
      <c r="T148" s="265" t="n">
        <v>8716</v>
      </c>
      <c r="U148" s="265" t="n">
        <v>8539</v>
      </c>
      <c r="V148" s="265" t="n">
        <v>9259</v>
      </c>
      <c r="X148" s="265" t="n">
        <v>10511</v>
      </c>
      <c r="Y148" s="265" t="n">
        <v>9413</v>
      </c>
      <c r="Z148" s="265" t="n">
        <v>178</v>
      </c>
      <c r="AA148" s="265" t="n">
        <v>10703</v>
      </c>
      <c r="AC148" s="265" t="n">
        <v>9069</v>
      </c>
      <c r="AD148" s="265" t="n">
        <v>10393</v>
      </c>
    </row>
    <row r="149">
      <c r="A149" t="inlineStr">
        <is>
          <t>Transmissao | ESDE | aba "ESDE" · fonte · unid. moeda</t>
        </is>
      </c>
      <c r="B149" t="n">
        <v>58</v>
      </c>
      <c r="C149" t="inlineStr">
        <is>
          <t>Transmissao | ESDE | aba "ESDE"</t>
        </is>
      </c>
      <c r="D149" s="265" t="n">
        <v>5646</v>
      </c>
      <c r="E149" s="265" t="n">
        <v>5312</v>
      </c>
      <c r="F149" s="265" t="n">
        <v>7027</v>
      </c>
      <c r="G149" s="265" t="n">
        <v>7005</v>
      </c>
      <c r="I149" s="265" t="n">
        <v>5945</v>
      </c>
      <c r="J149" s="265" t="n">
        <v>7231</v>
      </c>
      <c r="K149" s="265" t="n">
        <v>2941</v>
      </c>
      <c r="L149" s="265" t="n">
        <v>4212</v>
      </c>
      <c r="N149" s="265" t="n">
        <v>5775</v>
      </c>
      <c r="O149" s="265" t="n">
        <v>5427</v>
      </c>
      <c r="P149" s="265" t="n">
        <v>3741</v>
      </c>
      <c r="Q149" s="265" t="n">
        <v>4647</v>
      </c>
      <c r="S149" s="265" t="n">
        <v>5700</v>
      </c>
      <c r="T149" s="265" t="n">
        <v>4591</v>
      </c>
      <c r="U149" s="265" t="n">
        <v>4193</v>
      </c>
      <c r="V149" s="265" t="n">
        <v>5173</v>
      </c>
      <c r="X149" s="265" t="n">
        <v>6013</v>
      </c>
      <c r="Y149" s="265" t="n">
        <v>5120</v>
      </c>
      <c r="Z149" s="265" t="n">
        <v>-1746</v>
      </c>
      <c r="AA149" s="265" t="n">
        <v>4334</v>
      </c>
      <c r="AC149" s="265" t="n">
        <v>5106</v>
      </c>
      <c r="AD149" s="265" t="n">
        <v>6157</v>
      </c>
    </row>
    <row r="150">
      <c r="A150" t="inlineStr">
        <is>
          <t>Transmissao | ETSE | aba "ETSE" · fonte · unid. moeda</t>
        </is>
      </c>
      <c r="B150" t="n">
        <v>59</v>
      </c>
      <c r="C150" t="inlineStr">
        <is>
          <t>Transmissao | ETSE | aba "ETSE"</t>
        </is>
      </c>
      <c r="D150" s="265" t="n">
        <v>10139</v>
      </c>
      <c r="E150" s="265" t="n">
        <v>9398</v>
      </c>
      <c r="F150" s="265" t="n">
        <v>9871</v>
      </c>
      <c r="G150" s="265" t="n">
        <v>12252</v>
      </c>
      <c r="I150" s="265" t="n">
        <v>10269</v>
      </c>
      <c r="J150" s="265" t="n">
        <v>12582</v>
      </c>
      <c r="K150" s="265" t="n">
        <v>7951</v>
      </c>
      <c r="L150" s="265" t="n">
        <v>8247</v>
      </c>
      <c r="N150" s="265" t="n">
        <v>11985</v>
      </c>
      <c r="O150" s="265" t="n">
        <v>13339</v>
      </c>
      <c r="P150" s="265" t="n">
        <v>7257</v>
      </c>
      <c r="Q150" s="265" t="n">
        <v>8679</v>
      </c>
      <c r="S150" s="265" t="n">
        <v>11689</v>
      </c>
      <c r="T150" s="265" t="n">
        <v>9515</v>
      </c>
      <c r="U150" s="265" t="n">
        <v>10254</v>
      </c>
      <c r="V150" s="265" t="n">
        <v>10317</v>
      </c>
      <c r="X150" s="265" t="n">
        <v>12241</v>
      </c>
      <c r="Y150" s="265" t="n">
        <v>10285</v>
      </c>
      <c r="Z150" s="265" t="n">
        <v>7704</v>
      </c>
      <c r="AA150" s="265" t="n">
        <v>9766</v>
      </c>
      <c r="AC150" s="265" t="n">
        <v>10570</v>
      </c>
      <c r="AD150" s="265" t="n">
        <v>13047</v>
      </c>
    </row>
    <row r="151">
      <c r="A151" t="inlineStr">
        <is>
          <t>Transmissao | TME | aba "TME" · fonte · unid. moeda</t>
        </is>
      </c>
      <c r="B151" t="n">
        <v>60</v>
      </c>
      <c r="C151" t="inlineStr">
        <is>
          <t>Transmissao | TME | aba "TME"</t>
        </is>
      </c>
      <c r="D151" s="265" t="n">
        <v>21826</v>
      </c>
      <c r="E151" s="265" t="n">
        <v>21496</v>
      </c>
      <c r="F151" s="265" t="n">
        <v>15078</v>
      </c>
      <c r="G151" s="265" t="n">
        <v>26395</v>
      </c>
      <c r="I151" s="265" t="n">
        <v>22250</v>
      </c>
      <c r="J151" s="265" t="n">
        <v>27242</v>
      </c>
      <c r="K151" s="265" t="n">
        <v>10115</v>
      </c>
      <c r="L151" s="265" t="n">
        <v>15251</v>
      </c>
      <c r="N151" s="265" t="n">
        <v>21712</v>
      </c>
      <c r="O151" s="265" t="n">
        <v>19897</v>
      </c>
      <c r="P151" s="265" t="n">
        <v>13567</v>
      </c>
      <c r="Q151" s="265" t="n">
        <v>15870</v>
      </c>
      <c r="S151" s="265" t="n">
        <v>21147</v>
      </c>
      <c r="T151" s="265" t="n">
        <v>17322</v>
      </c>
      <c r="U151" s="265" t="n">
        <v>15020</v>
      </c>
      <c r="V151" s="265" t="n">
        <v>19115</v>
      </c>
      <c r="X151" s="265" t="n">
        <v>22414</v>
      </c>
      <c r="Y151" s="265" t="n">
        <v>18934</v>
      </c>
      <c r="Z151" s="265" t="n">
        <v>14236</v>
      </c>
      <c r="AA151" s="265" t="n">
        <v>15908</v>
      </c>
      <c r="AC151" s="265" t="n">
        <v>19029</v>
      </c>
      <c r="AD151" s="265" t="n">
        <v>22668</v>
      </c>
    </row>
    <row r="152">
      <c r="A152" t="inlineStr">
        <is>
          <t>Transmissao | TPE | aba "TPE" · fonte · unid. moeda</t>
        </is>
      </c>
      <c r="B152" t="n">
        <v>61</v>
      </c>
      <c r="C152" t="inlineStr">
        <is>
          <t>Transmissao | TPE | aba "TPE"</t>
        </is>
      </c>
      <c r="D152" s="265" t="n">
        <v>112342</v>
      </c>
      <c r="E152" s="265" t="n">
        <v>137284</v>
      </c>
      <c r="F152" s="265" t="n">
        <v>112088</v>
      </c>
      <c r="G152" s="265" t="n">
        <v>139417</v>
      </c>
      <c r="I152" s="265" t="n">
        <v>117661</v>
      </c>
      <c r="J152" s="265" t="n">
        <v>140164</v>
      </c>
      <c r="K152" s="265" t="n">
        <v>54032</v>
      </c>
      <c r="L152" s="265" t="n">
        <v>80276</v>
      </c>
      <c r="N152" s="265" t="n">
        <v>113180</v>
      </c>
      <c r="O152" s="265" t="n">
        <v>104836</v>
      </c>
      <c r="P152" s="265" t="n">
        <v>71205</v>
      </c>
      <c r="Q152" s="265" t="n">
        <v>84746</v>
      </c>
      <c r="S152" s="265" t="n">
        <v>112650</v>
      </c>
      <c r="T152" s="265" t="n">
        <v>92954</v>
      </c>
      <c r="U152" s="265" t="n">
        <v>81169</v>
      </c>
      <c r="V152" s="265" t="n">
        <v>103139</v>
      </c>
      <c r="X152" s="265" t="n">
        <v>120293</v>
      </c>
      <c r="Y152" s="265" t="n">
        <v>102759</v>
      </c>
      <c r="Z152" s="265" t="n">
        <v>79546</v>
      </c>
      <c r="AA152" s="265" t="n">
        <v>90018</v>
      </c>
      <c r="AC152" s="265" t="n">
        <v>107153</v>
      </c>
      <c r="AD152" s="265" t="n">
        <v>130903</v>
      </c>
    </row>
    <row r="153">
      <c r="A153" t="inlineStr">
        <is>
          <t>Transmissao | ETEM | aba "ETEM" · fonte · unid. moeda</t>
        </is>
      </c>
      <c r="B153" t="n">
        <v>62</v>
      </c>
      <c r="C153" t="inlineStr">
        <is>
          <t>Transmissao | ETEM | aba "ETEM"</t>
        </is>
      </c>
      <c r="D153" s="265" t="n">
        <v>5496</v>
      </c>
      <c r="E153" s="265" t="n">
        <v>6175</v>
      </c>
      <c r="F153" s="265" t="n">
        <v>6029</v>
      </c>
      <c r="G153" s="265" t="n">
        <v>6203</v>
      </c>
      <c r="I153" s="265" t="n">
        <v>6269</v>
      </c>
      <c r="J153" s="265" t="n">
        <v>7684</v>
      </c>
      <c r="K153" s="265" t="n">
        <v>2836</v>
      </c>
      <c r="L153" s="265" t="n">
        <v>4282</v>
      </c>
      <c r="N153" s="265" t="n">
        <v>6113</v>
      </c>
      <c r="O153" s="265" t="n">
        <v>5599</v>
      </c>
      <c r="P153" s="265" t="n">
        <v>3804</v>
      </c>
      <c r="Q153" s="265" t="n">
        <v>4467</v>
      </c>
      <c r="S153" s="265" t="n">
        <v>5959</v>
      </c>
      <c r="T153" s="265" t="n">
        <v>4746</v>
      </c>
      <c r="U153" s="265" t="n">
        <v>4228</v>
      </c>
      <c r="V153" s="265" t="n">
        <v>5344</v>
      </c>
      <c r="X153" s="265" t="n">
        <v>6593</v>
      </c>
      <c r="Y153" s="265" t="n">
        <v>5347</v>
      </c>
      <c r="Z153" s="265" t="n">
        <v>4082</v>
      </c>
      <c r="AA153" s="265" t="n">
        <v>4583</v>
      </c>
      <c r="AC153" s="265" t="n">
        <v>5446</v>
      </c>
      <c r="AD153" s="265" t="n">
        <v>6696</v>
      </c>
    </row>
    <row r="154">
      <c r="A154" t="inlineStr">
        <is>
          <t>Transmissao | TNE | aba "TNE" [controle compartilhado: entra no consolidado por equivalencia] · fonte · unid. moeda</t>
        </is>
      </c>
      <c r="B154" t="n">
        <v>63</v>
      </c>
      <c r="C154" t="inlineStr">
        <is>
          <t>Transmissao | TNE | aba "TNE" [controle compartilhado: entra</t>
        </is>
      </c>
      <c r="D154" s="265" t="n">
        <v>5440</v>
      </c>
      <c r="E154" s="265" t="n">
        <v>6195</v>
      </c>
      <c r="F154" s="265" t="n">
        <v>5376</v>
      </c>
      <c r="G154" s="265" t="n">
        <v>5206</v>
      </c>
      <c r="I154" s="265" t="n">
        <v>3634</v>
      </c>
      <c r="J154" s="265" t="n">
        <v>6398</v>
      </c>
      <c r="K154" s="265" t="n">
        <v>14105</v>
      </c>
      <c r="L154" s="265" t="n">
        <v>33618</v>
      </c>
      <c r="N154" s="265" t="n">
        <v>15185</v>
      </c>
      <c r="O154" s="265" t="n">
        <v>23083</v>
      </c>
      <c r="P154" s="265" t="n">
        <v>66286</v>
      </c>
      <c r="Q154" s="265" t="n">
        <v>242892</v>
      </c>
      <c r="S154" s="265" t="n">
        <v>288075</v>
      </c>
      <c r="T154" s="265" t="n">
        <v>562531</v>
      </c>
      <c r="U154" s="265" t="n">
        <v>749807</v>
      </c>
      <c r="V154" s="265" t="n">
        <v>717261</v>
      </c>
      <c r="X154" s="265" t="n">
        <v>623738</v>
      </c>
      <c r="Y154" s="265" t="n">
        <v>172372</v>
      </c>
      <c r="Z154" s="265" t="n">
        <v>2279208</v>
      </c>
      <c r="AA154" s="265" t="n">
        <v>133091</v>
      </c>
      <c r="AC154" s="265" t="n">
        <v>168521</v>
      </c>
      <c r="AD154" s="265" t="n">
        <v>215897</v>
      </c>
    </row>
    <row r="155">
      <c r="A155" t="inlineStr">
        <is>
          <t>Transmissao | ETES | aba "ETES" · fonte · unid. moeda</t>
        </is>
      </c>
      <c r="B155" t="n">
        <v>64</v>
      </c>
      <c r="C155" t="inlineStr">
        <is>
          <t>Transmissao | ETES | aba "ETES"</t>
        </is>
      </c>
      <c r="D155" s="265" t="n">
        <v>608</v>
      </c>
      <c r="E155" s="265" t="n">
        <v>6208</v>
      </c>
      <c r="F155" s="265" t="n">
        <v>5469</v>
      </c>
      <c r="G155" s="265" t="n">
        <v>6627</v>
      </c>
      <c r="I155" s="265" t="n">
        <v>5685</v>
      </c>
      <c r="J155" s="265" t="n">
        <v>6785</v>
      </c>
      <c r="K155" s="265" t="n">
        <v>3505</v>
      </c>
      <c r="L155" s="265" t="n">
        <v>4304</v>
      </c>
      <c r="N155" s="265" t="n">
        <v>5727</v>
      </c>
      <c r="O155" s="265" t="n">
        <v>5305</v>
      </c>
      <c r="P155" s="265" t="n">
        <v>3946</v>
      </c>
      <c r="Q155" s="265" t="n">
        <v>4320</v>
      </c>
      <c r="S155" s="265" t="n">
        <v>5458</v>
      </c>
      <c r="T155" s="265" t="n">
        <v>4687</v>
      </c>
      <c r="U155" s="265" t="n">
        <v>3916</v>
      </c>
      <c r="V155" s="265" t="n">
        <v>5028</v>
      </c>
      <c r="X155" s="265" t="n">
        <v>5747</v>
      </c>
      <c r="Y155" s="265" t="n">
        <v>4996</v>
      </c>
      <c r="Z155" s="265" t="n">
        <v>4014</v>
      </c>
      <c r="AA155" s="265" t="n">
        <v>4430</v>
      </c>
      <c r="AC155" s="265" t="n">
        <v>5108</v>
      </c>
      <c r="AD155" s="265" t="n">
        <v>6034</v>
      </c>
    </row>
    <row r="156">
      <c r="A156" t="inlineStr">
        <is>
          <t>Transmissao | STN | aba "STN" · fonte · unid. moeda</t>
        </is>
      </c>
      <c r="B156" t="n">
        <v>65</v>
      </c>
      <c r="C156" t="inlineStr">
        <is>
          <t>Transmissao | STN | aba "STN"</t>
        </is>
      </c>
      <c r="D156" s="265" t="n">
        <v>52242</v>
      </c>
      <c r="E156" s="265" t="n">
        <v>64313</v>
      </c>
      <c r="F156" s="265" t="n">
        <v>44134</v>
      </c>
      <c r="G156" s="265" t="n">
        <v>-14633</v>
      </c>
      <c r="I156" s="265" t="n">
        <v>51216</v>
      </c>
      <c r="J156" s="265" t="n">
        <v>48566</v>
      </c>
      <c r="K156" s="265" t="n">
        <v>38625</v>
      </c>
      <c r="L156" s="265" t="n">
        <v>45021</v>
      </c>
      <c r="N156" s="265" t="n">
        <v>31126</v>
      </c>
      <c r="O156" s="265" t="n">
        <v>3203</v>
      </c>
      <c r="P156" s="265" t="n">
        <v>25143</v>
      </c>
      <c r="Q156" s="265" t="n">
        <v>37711</v>
      </c>
      <c r="S156" s="265" t="n">
        <v>31247</v>
      </c>
      <c r="T156" s="265" t="n">
        <v>33645</v>
      </c>
      <c r="U156" s="265" t="n">
        <v>36961</v>
      </c>
      <c r="V156" s="265" t="n">
        <v>40674</v>
      </c>
      <c r="X156" s="265" t="n">
        <v>41117</v>
      </c>
      <c r="Y156" s="265" t="n">
        <v>26135</v>
      </c>
      <c r="Z156" s="265" t="n">
        <v>41617</v>
      </c>
      <c r="AA156" s="265" t="n">
        <v>30621</v>
      </c>
      <c r="AC156" s="265" t="n">
        <v>29273</v>
      </c>
      <c r="AD156" s="265" t="n">
        <v>56666</v>
      </c>
    </row>
    <row r="157">
      <c r="A157" t="inlineStr">
        <is>
          <t>Transmissao | EDTE | aba "EDTE" · fonte · unid. moeda</t>
        </is>
      </c>
      <c r="B157" t="n">
        <v>66</v>
      </c>
      <c r="C157" t="inlineStr">
        <is>
          <t>Transmissao | EDTE | aba "EDTE"</t>
        </is>
      </c>
      <c r="D157" s="265" t="n">
        <v>31420</v>
      </c>
      <c r="E157" s="265" t="n">
        <v>29895</v>
      </c>
      <c r="F157" s="265" t="n">
        <v>31519</v>
      </c>
      <c r="G157" s="265" t="n">
        <v>39299</v>
      </c>
      <c r="I157" s="265" t="n">
        <v>33219</v>
      </c>
      <c r="J157" s="265" t="n">
        <v>40373</v>
      </c>
      <c r="K157" s="265" t="n">
        <v>16304</v>
      </c>
      <c r="L157" s="265" t="n">
        <v>23357</v>
      </c>
      <c r="N157" s="265" t="n">
        <v>32372</v>
      </c>
      <c r="O157" s="265" t="n">
        <v>30045</v>
      </c>
      <c r="P157" s="265" t="n">
        <v>21100</v>
      </c>
      <c r="Q157" s="265" t="n">
        <v>24643</v>
      </c>
      <c r="S157" s="265" t="n">
        <v>31622</v>
      </c>
      <c r="T157" s="265" t="n">
        <v>26947</v>
      </c>
      <c r="U157" s="265" t="n">
        <v>23746</v>
      </c>
      <c r="V157" s="265" t="n">
        <v>29671</v>
      </c>
      <c r="X157" s="265" t="n">
        <v>34592</v>
      </c>
      <c r="Y157" s="265" t="n">
        <v>29827</v>
      </c>
      <c r="Z157" s="265" t="n">
        <v>23412</v>
      </c>
      <c r="AA157" s="265" t="n">
        <v>26109</v>
      </c>
      <c r="AC157" s="265" t="n">
        <v>30917</v>
      </c>
      <c r="AD157" s="265" t="n">
        <v>37483</v>
      </c>
    </row>
    <row r="158">
      <c r="A158" t="inlineStr">
        <is>
          <t>Transmissao | ETVG | aba "ETVG" · fonte · unid. moeda</t>
        </is>
      </c>
      <c r="B158" t="n">
        <v>67</v>
      </c>
      <c r="C158" t="inlineStr">
        <is>
          <t>Transmissao | ETVG | aba "ETVG"</t>
        </is>
      </c>
      <c r="D158" s="265" t="n">
        <v>4836</v>
      </c>
      <c r="E158" s="265" t="n">
        <v>4762</v>
      </c>
      <c r="F158" s="265" t="n">
        <v>20215</v>
      </c>
      <c r="G158" s="265" t="n">
        <v>7364</v>
      </c>
      <c r="I158" s="265" t="n">
        <v>7061</v>
      </c>
      <c r="J158" s="265" t="n">
        <v>8602</v>
      </c>
      <c r="K158" s="265" t="n">
        <v>2400</v>
      </c>
      <c r="L158" s="265" t="n">
        <v>4478</v>
      </c>
      <c r="N158" s="265" t="n">
        <v>6604</v>
      </c>
      <c r="O158" s="265" t="n">
        <v>5994</v>
      </c>
      <c r="P158" s="265" t="n">
        <v>3694</v>
      </c>
      <c r="Q158" s="265" t="n">
        <v>4537</v>
      </c>
      <c r="S158" s="265" t="n">
        <v>6310</v>
      </c>
      <c r="T158" s="265" t="n">
        <v>5071</v>
      </c>
      <c r="U158" s="265" t="n">
        <v>-1538</v>
      </c>
      <c r="V158" s="265" t="n">
        <v>5211</v>
      </c>
      <c r="X158" s="265" t="n">
        <v>9771</v>
      </c>
      <c r="Y158" s="265" t="n">
        <v>5181</v>
      </c>
      <c r="Z158" s="265" t="n">
        <v>4090</v>
      </c>
      <c r="AA158" s="265" t="n">
        <v>4676</v>
      </c>
      <c r="AC158" s="265" t="n">
        <v>5438</v>
      </c>
      <c r="AD158" s="265" t="n">
        <v>7030</v>
      </c>
    </row>
    <row r="159">
      <c r="A159" t="inlineStr">
        <is>
          <t>Transmissao | ELTE | aba "ELTE" · fonte · unid. moeda</t>
        </is>
      </c>
      <c r="B159" t="n">
        <v>68</v>
      </c>
      <c r="C159" t="inlineStr">
        <is>
          <t>Transmissao | ELTE | aba "ELTE"</t>
        </is>
      </c>
      <c r="D159" s="265" t="n">
        <v>201</v>
      </c>
      <c r="E159" s="265" t="n">
        <v>4371</v>
      </c>
      <c r="F159" s="265" t="n">
        <v>-6612</v>
      </c>
      <c r="G159" s="265" t="n">
        <v>5020</v>
      </c>
      <c r="I159" s="265" t="n">
        <v>1445</v>
      </c>
      <c r="J159" s="265" t="n">
        <v>43586</v>
      </c>
      <c r="K159" s="265" t="n">
        <v>26580</v>
      </c>
      <c r="L159" s="265" t="n">
        <v>52728</v>
      </c>
      <c r="N159" s="265" t="n">
        <v>69339</v>
      </c>
      <c r="O159" s="265" t="n">
        <v>43353</v>
      </c>
      <c r="P159" s="265" t="n">
        <v>34344</v>
      </c>
      <c r="Q159" s="265" t="n">
        <v>51113</v>
      </c>
      <c r="S159" s="265" t="n">
        <v>99704</v>
      </c>
      <c r="T159" s="265" t="n">
        <v>131108</v>
      </c>
      <c r="U159" s="265" t="n">
        <v>124479</v>
      </c>
      <c r="V159" s="265" t="n">
        <v>40369</v>
      </c>
      <c r="X159" s="265" t="n">
        <v>85557</v>
      </c>
      <c r="Y159" s="265" t="n">
        <v>114844</v>
      </c>
      <c r="Z159" s="265" t="n">
        <v>19725</v>
      </c>
      <c r="AA159" s="265" t="n">
        <v>21780</v>
      </c>
      <c r="AC159" s="265" t="n">
        <v>29720</v>
      </c>
      <c r="AD159" s="265" t="n">
        <v>33323</v>
      </c>
    </row>
    <row r="160">
      <c r="A160" t="inlineStr">
        <is>
          <t>Transmissao | ETAP | aba "ETAP" · fonte · unid. moeda</t>
        </is>
      </c>
      <c r="B160" t="n">
        <v>69</v>
      </c>
      <c r="C160" t="inlineStr">
        <is>
          <t>Transmissao | ETAP | aba "ETAP"</t>
        </is>
      </c>
      <c r="D160" s="265" t="n">
        <v>25157</v>
      </c>
      <c r="E160" s="265" t="n">
        <v>23853</v>
      </c>
      <c r="F160" s="265" t="n">
        <v>25245</v>
      </c>
      <c r="G160" s="265" t="n">
        <v>30539</v>
      </c>
      <c r="I160" s="265" t="n">
        <v>26693</v>
      </c>
      <c r="J160" s="265" t="n">
        <v>32379</v>
      </c>
      <c r="K160" s="265" t="n">
        <v>13329</v>
      </c>
      <c r="L160" s="265" t="n">
        <v>18901</v>
      </c>
      <c r="N160" s="265" t="n">
        <v>26047</v>
      </c>
      <c r="O160" s="265" t="n">
        <v>24218</v>
      </c>
      <c r="P160" s="265" t="n">
        <v>17130</v>
      </c>
      <c r="Q160" s="265" t="n">
        <v>19922</v>
      </c>
      <c r="S160" s="265" t="n">
        <v>25911</v>
      </c>
      <c r="T160" s="265" t="n">
        <v>21778</v>
      </c>
      <c r="U160" s="265" t="n">
        <v>19232</v>
      </c>
      <c r="V160" s="265" t="n">
        <v>23929</v>
      </c>
      <c r="X160" s="265" t="n">
        <v>27775</v>
      </c>
      <c r="Y160" s="265" t="n">
        <v>24054</v>
      </c>
      <c r="Z160" s="265" t="n">
        <v>18985</v>
      </c>
      <c r="AA160" s="265" t="n">
        <v>21118</v>
      </c>
      <c r="AC160" s="265" t="n">
        <v>24881</v>
      </c>
      <c r="AD160" s="265" t="n">
        <v>30147</v>
      </c>
    </row>
    <row r="161">
      <c r="A161" t="inlineStr">
        <is>
          <t>Transmissao | ETC | aba "ETC" · fonte · unid. moeda</t>
        </is>
      </c>
      <c r="B161" t="n">
        <v>70</v>
      </c>
      <c r="C161" t="inlineStr">
        <is>
          <t>Transmissao | ETC | aba "ETC"</t>
        </is>
      </c>
      <c r="D161" s="265" t="n">
        <v>15148</v>
      </c>
      <c r="E161" s="265" t="n">
        <v>16216</v>
      </c>
      <c r="F161" s="265" t="n">
        <v>14508</v>
      </c>
      <c r="G161" s="265" t="n">
        <v>17295</v>
      </c>
      <c r="I161" s="265" t="n">
        <v>15181</v>
      </c>
      <c r="J161" s="265" t="n">
        <v>18328</v>
      </c>
      <c r="K161" s="265" t="n">
        <v>8040</v>
      </c>
      <c r="L161" s="265" t="n">
        <v>11115</v>
      </c>
      <c r="N161" s="265" t="n">
        <v>15039</v>
      </c>
      <c r="O161" s="265" t="n">
        <v>14066</v>
      </c>
      <c r="P161" s="265" t="n">
        <v>10166</v>
      </c>
      <c r="Q161" s="265" t="n">
        <v>11719</v>
      </c>
      <c r="S161" s="265" t="n">
        <v>15015</v>
      </c>
      <c r="T161" s="265" t="n">
        <v>12771</v>
      </c>
      <c r="U161" s="265" t="n">
        <v>11358</v>
      </c>
      <c r="V161" s="265" t="n">
        <v>13967</v>
      </c>
      <c r="X161" s="265" t="n">
        <v>16087</v>
      </c>
      <c r="Y161" s="265" t="n">
        <v>14092</v>
      </c>
      <c r="Z161" s="265" t="n">
        <v>11270</v>
      </c>
      <c r="AA161" s="265" t="n">
        <v>12478</v>
      </c>
      <c r="AC161" s="265" t="n">
        <v>14591</v>
      </c>
      <c r="AD161" s="265" t="n">
        <v>17419</v>
      </c>
    </row>
    <row r="162">
      <c r="A162" t="inlineStr">
        <is>
          <t>Transmissao | TCC | aba "TCC" · fonte · unid. moeda</t>
        </is>
      </c>
      <c r="B162" t="n">
        <v>71</v>
      </c>
      <c r="C162" t="inlineStr">
        <is>
          <t>Transmissao | TCC | aba "TCC"</t>
        </is>
      </c>
      <c r="D162" s="265" t="n">
        <v>402043</v>
      </c>
      <c r="E162" s="265" t="n">
        <v>90586</v>
      </c>
      <c r="F162" s="265" t="n">
        <v>76026</v>
      </c>
      <c r="G162" s="265" t="n">
        <v>94017</v>
      </c>
      <c r="I162" s="265" t="n">
        <v>79901</v>
      </c>
      <c r="J162" s="265" t="n">
        <v>97828</v>
      </c>
      <c r="K162" s="265" t="n">
        <v>36629</v>
      </c>
      <c r="L162" s="265" t="n">
        <v>54471</v>
      </c>
      <c r="N162" s="265" t="n">
        <v>76929</v>
      </c>
      <c r="O162" s="265" t="n">
        <v>71150</v>
      </c>
      <c r="P162" s="265" t="n">
        <v>48567</v>
      </c>
      <c r="Q162" s="265" t="n">
        <v>57240</v>
      </c>
      <c r="S162" s="265" t="n">
        <v>76335</v>
      </c>
      <c r="T162" s="265" t="n">
        <v>62868</v>
      </c>
      <c r="U162" s="265" t="n">
        <v>54841</v>
      </c>
      <c r="V162" s="265" t="n">
        <v>69307</v>
      </c>
      <c r="X162" s="265" t="n">
        <v>82130</v>
      </c>
      <c r="Y162" s="265" t="n">
        <v>69951</v>
      </c>
      <c r="Z162" s="265" t="n">
        <v>54000</v>
      </c>
      <c r="AA162" s="265" t="n">
        <v>60687</v>
      </c>
      <c r="AC162" s="265" t="n">
        <v>72656</v>
      </c>
      <c r="AD162" s="265" t="n">
        <v>88941</v>
      </c>
    </row>
    <row r="163">
      <c r="A163" t="inlineStr">
        <is>
          <t>Transmissao | ESTE | aba "ESTE" · fonte · unid. moeda</t>
        </is>
      </c>
      <c r="B163" t="n">
        <v>72</v>
      </c>
      <c r="C163" t="inlineStr">
        <is>
          <t>Transmissao | ESTE | aba "ESTE"</t>
        </is>
      </c>
      <c r="D163" s="265" t="n">
        <v>146612</v>
      </c>
      <c r="E163" s="265" t="n">
        <v>163481</v>
      </c>
      <c r="F163" s="265" t="n">
        <v>145105</v>
      </c>
      <c r="G163" s="265" t="n">
        <v>21244</v>
      </c>
      <c r="I163" s="265" t="n">
        <v>250784</v>
      </c>
      <c r="J163" s="265" t="n">
        <v>67122</v>
      </c>
      <c r="K163" s="265" t="n">
        <v>24899</v>
      </c>
      <c r="L163" s="265" t="n">
        <v>63860</v>
      </c>
      <c r="N163" s="265" t="n">
        <v>53342</v>
      </c>
      <c r="O163" s="265" t="n">
        <v>49181</v>
      </c>
      <c r="P163" s="265" t="n">
        <v>33948</v>
      </c>
      <c r="Q163" s="265" t="n">
        <v>40030</v>
      </c>
      <c r="S163" s="265" t="n">
        <v>52969</v>
      </c>
      <c r="T163" s="265" t="n">
        <v>43964</v>
      </c>
      <c r="U163" s="265" t="n">
        <v>37722</v>
      </c>
      <c r="V163" s="265" t="n">
        <v>48386</v>
      </c>
      <c r="X163" s="265" t="n">
        <v>56800</v>
      </c>
      <c r="Y163" s="265" t="n">
        <v>48453</v>
      </c>
      <c r="Z163" s="265" t="n">
        <v>37351</v>
      </c>
      <c r="AA163" s="265" t="n">
        <v>41421</v>
      </c>
      <c r="AC163" s="265" t="n">
        <v>50266</v>
      </c>
      <c r="AD163" s="265" t="n">
        <v>61497</v>
      </c>
    </row>
    <row r="164">
      <c r="A164" t="inlineStr">
        <is>
          <t>Transmissao | TCE | aba "TCE" · fonte · unid. moeda</t>
        </is>
      </c>
      <c r="B164" t="n">
        <v>73</v>
      </c>
      <c r="C164" t="inlineStr">
        <is>
          <t>Transmissao | TCE | aba "TCE"</t>
        </is>
      </c>
      <c r="D164" s="265" t="n">
        <v>0</v>
      </c>
      <c r="E164" s="265" t="n">
        <v>0</v>
      </c>
      <c r="F164" s="265" t="n">
        <v>0</v>
      </c>
      <c r="G164" s="265" t="n">
        <v>0</v>
      </c>
      <c r="I164" s="265" t="n">
        <v>0</v>
      </c>
      <c r="J164" s="265" t="n">
        <v>0</v>
      </c>
      <c r="K164" s="265" t="n">
        <v>0</v>
      </c>
      <c r="L164" s="265" t="n">
        <v>0</v>
      </c>
      <c r="N164" s="265" t="n">
        <v>0</v>
      </c>
      <c r="O164" s="265" t="n">
        <v>0</v>
      </c>
      <c r="P164" s="265" t="n">
        <v>0</v>
      </c>
      <c r="Q164" s="265" t="n">
        <v>0</v>
      </c>
      <c r="S164" s="265" t="n">
        <v>0</v>
      </c>
      <c r="T164" s="265" t="n">
        <v>0</v>
      </c>
      <c r="U164" s="265" t="n">
        <v>0</v>
      </c>
      <c r="V164" s="265" t="n">
        <v>0</v>
      </c>
      <c r="X164" s="265" t="n">
        <v>0</v>
      </c>
      <c r="Y164" s="265" t="n">
        <v>0</v>
      </c>
      <c r="Z164" s="265" t="n">
        <v>0</v>
      </c>
      <c r="AA164" s="265" t="n">
        <v>34587</v>
      </c>
      <c r="AC164" s="265" t="n">
        <v>45445</v>
      </c>
      <c r="AD164" s="265" t="n">
        <v>43448</v>
      </c>
    </row>
    <row r="165">
      <c r="A165" t="inlineStr">
        <is>
          <t>Transmissao | TSM | aba "TSM" · fonte · unid. moeda</t>
        </is>
      </c>
      <c r="B165" t="n">
        <v>74</v>
      </c>
      <c r="C165" t="inlineStr">
        <is>
          <t>Transmissao | TSM | aba "TSM"</t>
        </is>
      </c>
      <c r="D165" s="265" t="n">
        <v>159770</v>
      </c>
      <c r="E165" s="265" t="n">
        <v>32080</v>
      </c>
      <c r="F165" s="265" t="n">
        <v>117475</v>
      </c>
      <c r="G165" s="265" t="n">
        <v>275684</v>
      </c>
      <c r="I165" s="265" t="n">
        <v>54936</v>
      </c>
      <c r="J165" s="265" t="n">
        <v>45102</v>
      </c>
      <c r="K165" s="265" t="n">
        <v>25421</v>
      </c>
      <c r="L165" s="265" t="n">
        <v>37953</v>
      </c>
      <c r="N165" s="265" t="n">
        <v>53831</v>
      </c>
      <c r="O165" s="265" t="n">
        <v>49666</v>
      </c>
      <c r="P165" s="265" t="n">
        <v>33104</v>
      </c>
      <c r="Q165" s="265" t="n">
        <v>39112</v>
      </c>
      <c r="S165" s="265" t="n">
        <v>52096</v>
      </c>
      <c r="T165" s="265" t="n">
        <v>43057</v>
      </c>
      <c r="U165" s="265" t="n">
        <v>37548</v>
      </c>
      <c r="V165" s="265" t="n">
        <v>47726</v>
      </c>
      <c r="X165" s="265" t="n">
        <v>56082</v>
      </c>
      <c r="Y165" s="265" t="n">
        <v>47693</v>
      </c>
      <c r="Z165" s="265" t="n">
        <v>36830</v>
      </c>
      <c r="AA165" s="265" t="n">
        <v>41429</v>
      </c>
      <c r="AC165" s="265" t="n">
        <v>49574</v>
      </c>
      <c r="AD165" s="265" t="n">
        <v>60770</v>
      </c>
    </row>
    <row r="166">
      <c r="A166" t="inlineStr">
        <is>
          <t>Transmissao | ETB | aba "ETB" · fonte · unid. moeda</t>
        </is>
      </c>
      <c r="B166" t="n">
        <v>75</v>
      </c>
      <c r="C166" t="inlineStr">
        <is>
          <t>Transmissao | ETB | aba "ETB"</t>
        </is>
      </c>
      <c r="D166" s="265" t="n">
        <v>63236</v>
      </c>
      <c r="E166" s="265" t="n">
        <v>76974</v>
      </c>
      <c r="F166" s="265" t="n">
        <v>63720</v>
      </c>
      <c r="G166" s="265" t="n">
        <v>78343</v>
      </c>
      <c r="I166" s="265" t="n">
        <v>67153</v>
      </c>
      <c r="J166" s="265" t="n">
        <v>85085</v>
      </c>
      <c r="K166" s="265" t="n">
        <v>34234</v>
      </c>
      <c r="L166" s="265" t="n">
        <v>48279</v>
      </c>
      <c r="N166" s="265" t="n">
        <v>66291</v>
      </c>
      <c r="O166" s="265" t="n">
        <v>61707</v>
      </c>
      <c r="P166" s="265" t="n">
        <v>43673</v>
      </c>
      <c r="Q166" s="265" t="n">
        <v>50732</v>
      </c>
      <c r="S166" s="265" t="n">
        <v>65824</v>
      </c>
      <c r="T166" s="265" t="n">
        <v>55423</v>
      </c>
      <c r="U166" s="265" t="n">
        <v>48921</v>
      </c>
      <c r="V166" s="265" t="n">
        <v>60884</v>
      </c>
      <c r="X166" s="265" t="n">
        <v>70733</v>
      </c>
      <c r="Y166" s="265" t="n">
        <v>61248</v>
      </c>
      <c r="Z166" s="265" t="n">
        <v>48419</v>
      </c>
      <c r="AA166" s="265" t="n">
        <v>51914</v>
      </c>
      <c r="AC166" s="265" t="n">
        <v>63510</v>
      </c>
      <c r="AD166" s="265" t="n">
        <v>76682</v>
      </c>
    </row>
    <row r="167">
      <c r="A167" t="inlineStr">
        <is>
          <t>Transmissao | AETE | aba "AETE" · fonte · unid. moeda</t>
        </is>
      </c>
      <c r="B167" t="n">
        <v>76</v>
      </c>
      <c r="C167" t="inlineStr">
        <is>
          <t>Transmissao | AETE | aba "AETE"</t>
        </is>
      </c>
      <c r="D167" s="265" t="n">
        <v>15388</v>
      </c>
      <c r="E167" s="265" t="n">
        <v>21904</v>
      </c>
      <c r="F167" s="265" t="n">
        <v>9839</v>
      </c>
      <c r="G167" s="265" t="n">
        <v>5896</v>
      </c>
      <c r="I167" s="265" t="n">
        <v>15353</v>
      </c>
      <c r="J167" s="265" t="n">
        <v>14603</v>
      </c>
      <c r="K167" s="265" t="n">
        <v>8005</v>
      </c>
      <c r="L167" s="265" t="n">
        <v>2927</v>
      </c>
      <c r="N167" s="265" t="n">
        <v>8715</v>
      </c>
      <c r="O167" s="265" t="n">
        <v>2498</v>
      </c>
      <c r="P167" s="265" t="n">
        <v>-2516</v>
      </c>
      <c r="Q167" s="265" t="n">
        <v>9491</v>
      </c>
      <c r="S167" s="265" t="n">
        <v>7656</v>
      </c>
      <c r="T167" s="265" t="n">
        <v>8310</v>
      </c>
      <c r="U167" s="265" t="n">
        <v>9232</v>
      </c>
      <c r="V167" s="265" t="n">
        <v>12312</v>
      </c>
      <c r="X167" s="265" t="n">
        <v>10785</v>
      </c>
      <c r="Y167" s="265" t="n">
        <v>6367</v>
      </c>
      <c r="Z167" s="265" t="n">
        <v>4348</v>
      </c>
      <c r="AA167" s="265" t="n">
        <v>7635</v>
      </c>
      <c r="AC167" s="265" t="n">
        <v>6489</v>
      </c>
      <c r="AD167" s="265" t="n">
        <v>13194</v>
      </c>
    </row>
    <row r="168">
      <c r="A168" t="inlineStr">
        <is>
          <t>Transmissao | TECP | aba "TECP" · fonte · unid. moeda</t>
        </is>
      </c>
      <c r="B168" t="n">
        <v>77</v>
      </c>
      <c r="C168" t="inlineStr">
        <is>
          <t>Transmissao | TECP | aba "TECP"</t>
        </is>
      </c>
      <c r="D168" s="265" t="n"/>
      <c r="E168" s="265" t="n"/>
      <c r="F168" s="265" t="n"/>
      <c r="G168" s="265" t="n"/>
      <c r="I168" s="265" t="n"/>
      <c r="J168" s="265" t="n"/>
      <c r="K168" s="265" t="n"/>
      <c r="L168" s="265" t="n"/>
      <c r="N168" s="265" t="n"/>
      <c r="O168" s="265" t="n"/>
      <c r="P168" s="265" t="n"/>
      <c r="Q168" s="265" t="n">
        <v>218</v>
      </c>
      <c r="S168" s="265" t="n">
        <v>2522</v>
      </c>
      <c r="T168" s="265" t="n">
        <v>2347</v>
      </c>
      <c r="U168" s="265" t="n">
        <v>3360</v>
      </c>
      <c r="V168" s="265" t="n">
        <v>11719</v>
      </c>
      <c r="X168" s="265" t="n">
        <v>82577</v>
      </c>
      <c r="Y168" s="265" t="n">
        <v>67999</v>
      </c>
      <c r="Z168" s="265" t="n">
        <v>165995</v>
      </c>
      <c r="AA168" s="265" t="n">
        <v>165338</v>
      </c>
      <c r="AC168" s="265" t="n">
        <v>120196</v>
      </c>
      <c r="AD168" s="265" t="n">
        <v>161951</v>
      </c>
    </row>
    <row r="169">
      <c r="A169" t="inlineStr">
        <is>
          <t>Transmissao | TAP | aba "TAP" · fonte · unid. moeda</t>
        </is>
      </c>
      <c r="B169" t="n">
        <v>78</v>
      </c>
      <c r="C169" t="inlineStr">
        <is>
          <t>Transmissao | TAP | aba "TAP"</t>
        </is>
      </c>
      <c r="D169" s="265" t="n"/>
      <c r="E169" s="265" t="n"/>
      <c r="F169" s="265" t="n"/>
      <c r="G169" s="265" t="n"/>
      <c r="I169" s="265" t="n"/>
      <c r="J169" s="265" t="n"/>
      <c r="K169" s="265" t="n"/>
      <c r="L169" s="265" t="n"/>
      <c r="N169" s="265" t="n"/>
      <c r="O169" s="265" t="n"/>
      <c r="P169" s="265" t="n"/>
      <c r="Q169" s="265" t="n">
        <v>0</v>
      </c>
      <c r="S169" s="265" t="n">
        <v>0</v>
      </c>
      <c r="T169" s="265" t="n">
        <v>3696</v>
      </c>
      <c r="U169" s="265" t="n">
        <v>-365</v>
      </c>
      <c r="V169" s="265" t="n">
        <v>8606</v>
      </c>
      <c r="X169" s="265" t="n">
        <v>2215</v>
      </c>
      <c r="Y169" s="265" t="n">
        <v>0</v>
      </c>
      <c r="Z169" s="265" t="n">
        <v>0</v>
      </c>
      <c r="AA169" s="265" t="n">
        <v>0</v>
      </c>
      <c r="AC169" s="265" t="n">
        <v>0</v>
      </c>
      <c r="AD169" s="265" t="n">
        <v>0</v>
      </c>
    </row>
    <row r="170">
      <c r="A170" t="inlineStr">
        <is>
          <t>Transmissao | TCN | aba "TCN" · fonte · unid. moeda</t>
        </is>
      </c>
      <c r="B170" t="n">
        <v>79</v>
      </c>
      <c r="C170" t="inlineStr">
        <is>
          <t>Transmissao | TCN | aba "TCN"</t>
        </is>
      </c>
      <c r="D170" s="265" t="n"/>
      <c r="E170" s="265" t="n"/>
      <c r="F170" s="265" t="n"/>
      <c r="G170" s="265" t="n"/>
      <c r="I170" s="265" t="n"/>
      <c r="J170" s="265" t="n"/>
      <c r="K170" s="265" t="n"/>
      <c r="L170" s="265" t="n"/>
      <c r="N170" s="265" t="n"/>
      <c r="O170" s="265" t="n"/>
      <c r="P170" s="265" t="n"/>
      <c r="Q170" s="265" t="n"/>
      <c r="S170" s="265" t="n">
        <v>0</v>
      </c>
      <c r="T170" s="265" t="n">
        <v>0</v>
      </c>
      <c r="U170" s="265" t="n">
        <v>2322</v>
      </c>
      <c r="V170" s="265" t="n">
        <v>2299</v>
      </c>
      <c r="X170" s="265" t="n">
        <v>1786</v>
      </c>
      <c r="Y170" s="265" t="n">
        <v>3813</v>
      </c>
      <c r="Z170" s="265" t="n">
        <v>7605</v>
      </c>
      <c r="AA170" s="265" t="n">
        <v>16646</v>
      </c>
      <c r="AC170" s="265" t="n">
        <v>0</v>
      </c>
      <c r="AD170" s="265" t="n"/>
    </row>
    <row r="171">
      <c r="A171" t="inlineStr">
        <is>
          <t>Transmissao | TPC | aba "TPC" · fonte · unid. moeda</t>
        </is>
      </c>
      <c r="B171" t="n">
        <v>80</v>
      </c>
      <c r="C171" t="inlineStr">
        <is>
          <t>Transmissao | TPC | aba "TPC"</t>
        </is>
      </c>
      <c r="D171" s="265" t="n"/>
      <c r="E171" s="265" t="n"/>
      <c r="F171" s="265" t="n"/>
      <c r="G171" s="265" t="n"/>
      <c r="I171" s="265" t="n"/>
      <c r="J171" s="265" t="n"/>
      <c r="K171" s="265" t="n"/>
      <c r="L171" s="265" t="n"/>
      <c r="N171" s="265" t="n"/>
      <c r="O171" s="265" t="n"/>
      <c r="P171" s="265" t="n"/>
      <c r="Q171" s="265" t="n"/>
      <c r="S171" s="265" t="n">
        <v>0</v>
      </c>
      <c r="T171" s="265" t="n">
        <v>0</v>
      </c>
      <c r="U171" s="265" t="n">
        <v>1051</v>
      </c>
      <c r="V171" s="265" t="n">
        <v>1163</v>
      </c>
      <c r="X171" s="265" t="n">
        <v>2755</v>
      </c>
      <c r="Y171" s="265" t="n">
        <v>2785</v>
      </c>
      <c r="Z171" s="265" t="n">
        <v>3856</v>
      </c>
      <c r="AA171" s="265" t="n">
        <v>7902</v>
      </c>
      <c r="AC171" s="265" t="n">
        <v>10130</v>
      </c>
      <c r="AD171" s="265" t="n">
        <v>10703</v>
      </c>
    </row>
    <row r="172">
      <c r="A172" t="inlineStr">
        <is>
          <t>Transmissao | TSA | aba "TSA" · fonte · unid. moeda</t>
        </is>
      </c>
      <c r="B172" t="n">
        <v>81</v>
      </c>
      <c r="C172" t="inlineStr">
        <is>
          <t>Transmissao | TSA | aba "TSA"</t>
        </is>
      </c>
      <c r="D172" s="265" t="n"/>
      <c r="E172" s="265" t="n"/>
      <c r="F172" s="265" t="n"/>
      <c r="G172" s="265" t="n"/>
      <c r="I172" s="265" t="n"/>
      <c r="J172" s="265" t="n"/>
      <c r="K172" s="265" t="n"/>
      <c r="L172" s="265" t="n"/>
      <c r="N172" s="265" t="n"/>
      <c r="O172" s="265" t="n"/>
      <c r="P172" s="265" t="n"/>
      <c r="Q172" s="265" t="n"/>
      <c r="S172" s="265" t="n"/>
      <c r="T172" s="265" t="n"/>
      <c r="U172" s="265" t="n">
        <v>0</v>
      </c>
      <c r="V172" s="265" t="n">
        <v>51793</v>
      </c>
      <c r="X172" s="265" t="n">
        <v>502</v>
      </c>
      <c r="Y172" s="265" t="n">
        <v>2806</v>
      </c>
      <c r="Z172" s="265" t="n">
        <v>8948</v>
      </c>
      <c r="AA172" s="265" t="n">
        <v>12498</v>
      </c>
      <c r="AC172" s="265" t="n">
        <v>10483</v>
      </c>
      <c r="AD172" s="265" t="n">
        <v>7295</v>
      </c>
    </row>
    <row r="173">
      <c r="A173" t="inlineStr">
        <is>
          <t>Transmissao | TBO | aba "TBO" · fonte · unid. moeda</t>
        </is>
      </c>
      <c r="B173" t="n">
        <v>82</v>
      </c>
      <c r="C173" t="inlineStr">
        <is>
          <t>Transmissao | TBO | aba "TBO"</t>
        </is>
      </c>
      <c r="D173" s="265" t="n"/>
      <c r="E173" s="265" t="n"/>
      <c r="F173" s="265" t="n"/>
      <c r="G173" s="265" t="n"/>
      <c r="I173" s="265" t="n"/>
      <c r="J173" s="265" t="n"/>
      <c r="K173" s="265" t="n"/>
      <c r="L173" s="265" t="n"/>
      <c r="N173" s="265" t="n"/>
      <c r="O173" s="265" t="n"/>
      <c r="P173" s="265" t="n"/>
      <c r="Q173" s="265" t="n"/>
      <c r="S173" s="265" t="n"/>
      <c r="T173" s="265" t="n"/>
      <c r="U173" s="265" t="n"/>
      <c r="V173" s="265" t="n"/>
      <c r="X173" s="265" t="n"/>
      <c r="Y173" s="265" t="n"/>
      <c r="Z173" s="265" t="n">
        <v>3286</v>
      </c>
      <c r="AA173" s="265" t="n">
        <v>5897</v>
      </c>
      <c r="AC173" s="265" t="n">
        <v>7089</v>
      </c>
      <c r="AD173" s="265" t="n">
        <v>8584</v>
      </c>
    </row>
    <row r="174">
      <c r="A174" t="inlineStr">
        <is>
          <t>Transmissao | PALCA | aba "PALCA" · fonte · unid. moeda</t>
        </is>
      </c>
      <c r="B174" t="n">
        <v>83</v>
      </c>
      <c r="C174" t="inlineStr">
        <is>
          <t>Transmissao | PALCA | aba "PALCA"</t>
        </is>
      </c>
      <c r="D174" s="265" t="n"/>
      <c r="E174" s="265" t="n"/>
      <c r="F174" s="265" t="n"/>
      <c r="G174" s="265" t="n"/>
      <c r="I174" s="265" t="n"/>
      <c r="J174" s="265" t="n"/>
      <c r="K174" s="265" t="n"/>
      <c r="L174" s="265" t="n"/>
      <c r="N174" s="265" t="n"/>
      <c r="O174" s="265" t="n"/>
      <c r="P174" s="265" t="n"/>
      <c r="Q174" s="265" t="n"/>
      <c r="S174" s="265" t="n"/>
      <c r="T174" s="265" t="n"/>
      <c r="U174" s="265" t="n"/>
      <c r="V174" s="265" t="n"/>
      <c r="X174" s="265" t="n"/>
      <c r="Y174" s="265" t="n"/>
      <c r="Z174" s="265" t="n"/>
      <c r="AA174" s="265" t="n">
        <v>26482</v>
      </c>
      <c r="AC174" s="265" t="n">
        <v>2603</v>
      </c>
      <c r="AD174" s="265" t="n">
        <v>1533</v>
      </c>
    </row>
    <row r="175">
      <c r="A175" t="inlineStr">
        <is>
          <t>Geracao por usina (aba de cada empresa)</t>
        </is>
      </c>
      <c r="C175" t="inlineStr">
        <is>
          <t>[linha bruta, sem código; lançada nas linhas abaixo]</t>
        </is>
      </c>
      <c r="D175" s="265" t="n"/>
      <c r="E175" s="265" t="n"/>
      <c r="F175" s="265" t="n"/>
      <c r="G175" s="265" t="n"/>
      <c r="I175" s="265" t="n"/>
      <c r="J175" s="265" t="n"/>
      <c r="K175" s="265" t="n"/>
      <c r="L175" s="265" t="n"/>
      <c r="N175" s="265" t="n"/>
      <c r="O175" s="265" t="n"/>
      <c r="P175" s="265" t="n"/>
      <c r="Q175" s="265" t="n"/>
      <c r="S175" s="265" t="n"/>
      <c r="T175" s="265" t="n"/>
      <c r="U175" s="265" t="n"/>
      <c r="V175" s="265" t="n"/>
      <c r="X175" s="265" t="n"/>
      <c r="Y175" s="265" t="n"/>
      <c r="Z175" s="265" t="n"/>
      <c r="AA175" s="265" t="n"/>
      <c r="AC175" s="265" t="n"/>
      <c r="AD175" s="265" t="n"/>
    </row>
    <row r="176">
      <c r="A176" t="inlineStr">
        <is>
          <t>Geracao | Foz do Rio Claro | aba "Foz" · fonte · unid. moeda</t>
        </is>
      </c>
      <c r="B176" t="n">
        <v>84</v>
      </c>
      <c r="C176" t="inlineStr">
        <is>
          <t>Geracao | Foz do Rio Claro | aba "Foz"</t>
        </is>
      </c>
      <c r="D176" s="265" t="n">
        <v>19478</v>
      </c>
      <c r="E176" s="265" t="n">
        <v>18977</v>
      </c>
      <c r="F176" s="265" t="n">
        <v>21625</v>
      </c>
      <c r="G176" s="265" t="n">
        <v>21873</v>
      </c>
      <c r="I176" s="265" t="n">
        <v>20272</v>
      </c>
      <c r="J176" s="265" t="n">
        <v>19010</v>
      </c>
      <c r="K176" s="265" t="n">
        <v>20065</v>
      </c>
      <c r="L176" s="265" t="n">
        <v>21489</v>
      </c>
      <c r="N176" s="265" t="n">
        <v>22153</v>
      </c>
      <c r="O176" s="265" t="n">
        <v>21002</v>
      </c>
      <c r="P176" s="265" t="n">
        <v>20809</v>
      </c>
      <c r="Q176" s="265" t="n">
        <v>22945</v>
      </c>
      <c r="S176" s="265" t="n">
        <v>21921</v>
      </c>
      <c r="T176" s="265" t="n">
        <v>21734</v>
      </c>
      <c r="U176" s="265" t="n">
        <v>22454</v>
      </c>
      <c r="V176" s="265" t="n">
        <v>24077</v>
      </c>
      <c r="X176" s="265" t="n">
        <v>24522</v>
      </c>
      <c r="Y176" s="265" t="n">
        <v>23434</v>
      </c>
      <c r="Z176" s="265" t="n">
        <v>23334</v>
      </c>
      <c r="AA176" s="265" t="n">
        <v>25125</v>
      </c>
      <c r="AC176" s="265" t="n">
        <v>25411</v>
      </c>
      <c r="AD176" s="265" t="n">
        <v>24407</v>
      </c>
    </row>
    <row r="177">
      <c r="A177" t="inlineStr">
        <is>
          <t>Geracao | Ijuí | aba "IJUÍ" · fonte · unid. moeda</t>
        </is>
      </c>
      <c r="B177" t="n">
        <v>85</v>
      </c>
      <c r="C177" t="inlineStr">
        <is>
          <t>Geracao | Ijuí | aba "IJUÍ"</t>
        </is>
      </c>
      <c r="D177" s="265" t="n">
        <v>16055</v>
      </c>
      <c r="E177" s="265" t="n">
        <v>15930</v>
      </c>
      <c r="F177" s="265" t="n">
        <v>18366</v>
      </c>
      <c r="G177" s="265" t="n">
        <v>18442</v>
      </c>
      <c r="I177" s="265" t="n">
        <v>17022</v>
      </c>
      <c r="J177" s="265" t="n">
        <v>17258</v>
      </c>
      <c r="K177" s="265" t="n">
        <v>17228</v>
      </c>
      <c r="L177" s="265" t="n">
        <v>19507</v>
      </c>
      <c r="N177" s="265" t="n">
        <v>18983</v>
      </c>
      <c r="O177" s="265" t="n">
        <v>17558</v>
      </c>
      <c r="P177" s="265" t="n">
        <v>18995</v>
      </c>
      <c r="Q177" s="265" t="n">
        <v>20571</v>
      </c>
      <c r="S177" s="265" t="n">
        <v>19658</v>
      </c>
      <c r="T177" s="265" t="n">
        <v>19203</v>
      </c>
      <c r="U177" s="265" t="n">
        <v>20228</v>
      </c>
      <c r="V177" s="265" t="n">
        <v>21490</v>
      </c>
      <c r="X177" s="265" t="n">
        <v>19773</v>
      </c>
      <c r="Y177" s="265" t="n">
        <v>19770</v>
      </c>
      <c r="Z177" s="265" t="n">
        <v>19852</v>
      </c>
      <c r="AA177" s="265" t="n">
        <v>20841</v>
      </c>
      <c r="AC177" s="265" t="n">
        <v>21108</v>
      </c>
      <c r="AD177" s="265" t="n">
        <v>20774</v>
      </c>
    </row>
    <row r="178">
      <c r="A178" t="inlineStr">
        <is>
          <t>Geracao | Ferreira Gomes | aba "Ferreira Gomes" · fonte · unid. moeda</t>
        </is>
      </c>
      <c r="B178" t="n">
        <v>86</v>
      </c>
      <c r="C178" t="inlineStr">
        <is>
          <t>Geracao | Ferreira Gomes | aba "Ferreira Gomes"</t>
        </is>
      </c>
      <c r="D178" s="265" t="n">
        <v>49370</v>
      </c>
      <c r="E178" s="265" t="n">
        <v>47813</v>
      </c>
      <c r="F178" s="265" t="n">
        <v>66452</v>
      </c>
      <c r="G178" s="265" t="n">
        <v>78369</v>
      </c>
      <c r="I178" s="265" t="n">
        <v>44559</v>
      </c>
      <c r="J178" s="265" t="n">
        <v>46677</v>
      </c>
      <c r="K178" s="265" t="n">
        <v>47879</v>
      </c>
      <c r="L178" s="265" t="n">
        <v>49725</v>
      </c>
      <c r="N178" s="265" t="n">
        <v>54377</v>
      </c>
      <c r="O178" s="265" t="n">
        <v>55041</v>
      </c>
      <c r="P178" s="265" t="n">
        <v>54993</v>
      </c>
      <c r="Q178" s="265" t="n">
        <v>54948</v>
      </c>
      <c r="S178" s="265" t="n">
        <v>55747</v>
      </c>
      <c r="T178" s="265" t="n">
        <v>57104</v>
      </c>
      <c r="U178" s="265" t="n">
        <v>58381</v>
      </c>
      <c r="V178" s="265" t="n">
        <v>77114</v>
      </c>
      <c r="X178" s="265" t="n">
        <v>70106</v>
      </c>
      <c r="Y178" s="265" t="n">
        <v>58146</v>
      </c>
      <c r="Z178" s="265" t="n">
        <v>62463</v>
      </c>
      <c r="AA178" s="265" t="n">
        <v>65805</v>
      </c>
      <c r="AC178" s="265" t="n">
        <v>66509</v>
      </c>
      <c r="AD178" s="265" t="n">
        <v>67061</v>
      </c>
    </row>
    <row r="179">
      <c r="A179" t="inlineStr">
        <is>
          <t>Geracao | La Virgen | aba "La Virgen" · fonte · unid. moeda</t>
        </is>
      </c>
      <c r="B179" t="n">
        <v>87</v>
      </c>
      <c r="C179" t="inlineStr">
        <is>
          <t>Geracao | La Virgen | aba "La Virgen"</t>
        </is>
      </c>
      <c r="D179" s="265" t="n">
        <v>0</v>
      </c>
      <c r="E179" s="265" t="n">
        <v>2558</v>
      </c>
      <c r="F179" s="265" t="n">
        <v>12707</v>
      </c>
      <c r="G179" s="265" t="n">
        <v>14192</v>
      </c>
      <c r="I179" s="265" t="n">
        <v>18251</v>
      </c>
      <c r="J179" s="265" t="n">
        <v>17015</v>
      </c>
      <c r="K179" s="265" t="n">
        <v>12220</v>
      </c>
      <c r="L179" s="265" t="n">
        <v>19527</v>
      </c>
      <c r="N179" s="265" t="n">
        <v>31933</v>
      </c>
      <c r="O179" s="265" t="n">
        <v>22109</v>
      </c>
      <c r="P179" s="265" t="n">
        <v>34221</v>
      </c>
      <c r="Q179" s="265" t="n">
        <v>23946</v>
      </c>
      <c r="S179" s="265" t="n">
        <v>29812</v>
      </c>
      <c r="T179" s="265" t="n">
        <v>23599</v>
      </c>
      <c r="U179" s="265" t="n">
        <v>16436</v>
      </c>
      <c r="V179" s="265" t="n">
        <v>26498</v>
      </c>
      <c r="X179" s="265" t="n">
        <v>35092</v>
      </c>
      <c r="Y179" s="265" t="n">
        <v>34145</v>
      </c>
      <c r="Z179" s="265" t="n">
        <v>22968</v>
      </c>
      <c r="AA179" s="265" t="n">
        <v>27932</v>
      </c>
      <c r="AC179" s="265" t="n">
        <v>52247</v>
      </c>
      <c r="AD179" s="265" t="n">
        <v>33452</v>
      </c>
    </row>
    <row r="180">
      <c r="A180" t="inlineStr">
        <is>
          <t>Geracao | Risaralda (Morro Azul) | aba "Risaralda (Morro Azul)" · fonte · unid. moeda</t>
        </is>
      </c>
      <c r="B180" t="n">
        <v>88</v>
      </c>
      <c r="C180" t="inlineStr">
        <is>
          <t>Geracao | Risaralda (Morro Azul) | aba "Risaralda (Morro Azu</t>
        </is>
      </c>
      <c r="D180" s="265" t="n">
        <v>8783</v>
      </c>
      <c r="E180" s="265" t="n">
        <v>11277</v>
      </c>
      <c r="F180" s="265" t="n">
        <v>8401</v>
      </c>
      <c r="G180" s="265" t="n">
        <v>9626</v>
      </c>
      <c r="I180" s="265" t="n">
        <v>8544</v>
      </c>
      <c r="J180" s="265" t="n">
        <v>9497</v>
      </c>
      <c r="K180" s="265" t="n">
        <v>11611</v>
      </c>
      <c r="L180" s="265" t="n">
        <v>10985</v>
      </c>
      <c r="N180" s="265" t="n">
        <v>9016</v>
      </c>
      <c r="O180" s="265" t="n">
        <v>10217</v>
      </c>
      <c r="P180" s="265" t="n">
        <v>3542</v>
      </c>
      <c r="Q180" s="265" t="n">
        <v>6746</v>
      </c>
      <c r="S180" s="265" t="n">
        <v>3406</v>
      </c>
      <c r="T180" s="265" t="n">
        <v>10491</v>
      </c>
      <c r="U180" s="265" t="n">
        <v>9284</v>
      </c>
      <c r="V180" s="265" t="n">
        <v>10102</v>
      </c>
      <c r="X180" s="265" t="n">
        <v>13431</v>
      </c>
      <c r="Y180" s="265" t="n">
        <v>15171</v>
      </c>
      <c r="Z180" s="265" t="n">
        <v>9725</v>
      </c>
      <c r="AA180" s="265" t="n">
        <v>11063</v>
      </c>
      <c r="AC180" s="265" t="n">
        <v>13188</v>
      </c>
      <c r="AD180" s="265" t="n">
        <v>9945</v>
      </c>
    </row>
    <row r="181">
      <c r="A181" t="inlineStr">
        <is>
          <t>Geracao | Queluz | aba "Queluz" · fonte · unid. moeda</t>
        </is>
      </c>
      <c r="B181" t="n">
        <v>89</v>
      </c>
      <c r="C181" t="inlineStr">
        <is>
          <t>Geracao | Queluz | aba "Queluz"</t>
        </is>
      </c>
      <c r="D181" s="265" t="n">
        <v>19738</v>
      </c>
      <c r="E181" s="265" t="n">
        <v>21879</v>
      </c>
      <c r="F181" s="265" t="n">
        <v>18624</v>
      </c>
      <c r="G181" s="265" t="n">
        <v>22284</v>
      </c>
      <c r="I181" s="265" t="n">
        <v>15772</v>
      </c>
      <c r="J181" s="265" t="n">
        <v>13252</v>
      </c>
      <c r="K181" s="265" t="n">
        <v>15018</v>
      </c>
      <c r="L181" s="265" t="n">
        <v>15462</v>
      </c>
      <c r="N181" s="265" t="n">
        <v>14097</v>
      </c>
      <c r="O181" s="265" t="n">
        <v>13945</v>
      </c>
      <c r="P181" s="265" t="n">
        <v>13940</v>
      </c>
      <c r="Q181" s="265" t="n">
        <v>14586</v>
      </c>
      <c r="S181" s="265" t="n">
        <v>13997</v>
      </c>
      <c r="T181" s="265" t="n">
        <v>12995</v>
      </c>
      <c r="U181" s="265" t="n">
        <v>15648</v>
      </c>
      <c r="V181" s="265" t="n">
        <v>21937</v>
      </c>
      <c r="X181" s="265" t="n">
        <v>15292</v>
      </c>
      <c r="Y181" s="265" t="n">
        <v>14334</v>
      </c>
      <c r="Z181" s="265" t="n">
        <v>11443</v>
      </c>
      <c r="AA181" s="265" t="n">
        <v>12037</v>
      </c>
      <c r="AC181" s="265" t="n">
        <v>19264</v>
      </c>
      <c r="AD181" s="265" t="n">
        <v>12909</v>
      </c>
    </row>
    <row r="182">
      <c r="A182" t="inlineStr">
        <is>
          <t>Geracao | Lavrinhas | aba "Lavrinhas" · fonte · unid. moeda</t>
        </is>
      </c>
      <c r="B182" t="n">
        <v>90</v>
      </c>
      <c r="C182" t="inlineStr">
        <is>
          <t>Geracao | Lavrinhas | aba "Lavrinhas"</t>
        </is>
      </c>
      <c r="D182" s="265" t="n">
        <v>19635</v>
      </c>
      <c r="E182" s="265" t="n">
        <v>21937</v>
      </c>
      <c r="F182" s="265" t="n">
        <v>18735</v>
      </c>
      <c r="G182" s="265" t="n">
        <v>22265</v>
      </c>
      <c r="I182" s="265" t="n">
        <v>15738</v>
      </c>
      <c r="J182" s="265" t="n">
        <v>13163</v>
      </c>
      <c r="K182" s="265" t="n">
        <v>14995</v>
      </c>
      <c r="L182" s="265" t="n">
        <v>15477</v>
      </c>
      <c r="N182" s="265" t="n">
        <v>13581</v>
      </c>
      <c r="O182" s="265" t="n">
        <v>13546</v>
      </c>
      <c r="P182" s="265" t="n">
        <v>13672</v>
      </c>
      <c r="Q182" s="265" t="n">
        <v>14144</v>
      </c>
      <c r="S182" s="265" t="n">
        <v>13953</v>
      </c>
      <c r="T182" s="265" t="n">
        <v>12234</v>
      </c>
      <c r="U182" s="265" t="n">
        <v>13531</v>
      </c>
      <c r="V182" s="265" t="n">
        <v>21894</v>
      </c>
      <c r="X182" s="265" t="n">
        <v>15335</v>
      </c>
      <c r="Y182" s="265" t="n">
        <v>16888</v>
      </c>
      <c r="Z182" s="265" t="n">
        <v>18261</v>
      </c>
      <c r="AA182" s="265" t="n">
        <v>13379</v>
      </c>
      <c r="AC182" s="265" t="n">
        <v>18625</v>
      </c>
      <c r="AD182" s="265" t="n">
        <v>13067</v>
      </c>
    </row>
    <row r="183">
      <c r="A183" t="inlineStr">
        <is>
          <t>Geracao | Verde 08 | aba "Verde 08" · fonte · unid. moeda</t>
        </is>
      </c>
      <c r="B183" t="n">
        <v>91</v>
      </c>
      <c r="C183" t="inlineStr">
        <is>
          <t>Geracao | Verde 08 | aba "Verde 08"</t>
        </is>
      </c>
      <c r="D183" s="265" t="n">
        <v>22614</v>
      </c>
      <c r="E183" s="265" t="n">
        <v>18136</v>
      </c>
      <c r="F183" s="265" t="n">
        <v>16571</v>
      </c>
      <c r="G183" s="265" t="n">
        <v>14689</v>
      </c>
      <c r="I183" s="265" t="n">
        <v>8603</v>
      </c>
      <c r="J183" s="265" t="n">
        <v>4374</v>
      </c>
      <c r="K183" s="265" t="n">
        <v>6817</v>
      </c>
      <c r="L183" s="265" t="n">
        <v>8063</v>
      </c>
      <c r="N183" s="265" t="n">
        <v>11516</v>
      </c>
      <c r="O183" s="265" t="n">
        <v>10734</v>
      </c>
      <c r="P183" s="265" t="n">
        <v>10983</v>
      </c>
      <c r="Q183" s="265" t="n">
        <v>11809</v>
      </c>
      <c r="S183" s="265" t="n">
        <v>12324</v>
      </c>
      <c r="T183" s="265" t="n">
        <v>11292</v>
      </c>
      <c r="U183" s="265" t="n">
        <v>11624</v>
      </c>
      <c r="V183" s="265" t="n">
        <v>12227</v>
      </c>
      <c r="X183" s="265" t="n">
        <v>13293</v>
      </c>
      <c r="Y183" s="265" t="n">
        <v>11798</v>
      </c>
      <c r="Z183" s="265" t="n">
        <v>11951</v>
      </c>
      <c r="AA183" s="265" t="n">
        <v>12879</v>
      </c>
      <c r="AC183" s="265" t="n">
        <v>16181</v>
      </c>
      <c r="AD183" s="265" t="n">
        <v>12579</v>
      </c>
    </row>
    <row r="184">
      <c r="A184" t="inlineStr">
        <is>
          <t>Geracao | EDV I | aba "EDV I" · fonte · unid. moeda</t>
        </is>
      </c>
      <c r="B184" t="n">
        <v>92</v>
      </c>
      <c r="C184" t="inlineStr">
        <is>
          <t>Geracao | EDV I | aba "EDV I"</t>
        </is>
      </c>
      <c r="D184" s="265" t="n">
        <v>3233</v>
      </c>
      <c r="E184" s="265" t="n">
        <v>3359</v>
      </c>
      <c r="F184" s="265" t="n">
        <v>7146</v>
      </c>
      <c r="G184" s="265" t="n">
        <v>3934</v>
      </c>
      <c r="I184" s="265" t="n">
        <v>3559</v>
      </c>
      <c r="J184" s="265" t="n">
        <v>3605</v>
      </c>
      <c r="K184" s="265" t="n">
        <v>3667</v>
      </c>
      <c r="L184" s="265" t="n">
        <v>3671</v>
      </c>
      <c r="N184" s="265" t="n">
        <v>3774</v>
      </c>
      <c r="O184" s="265" t="n">
        <v>3461</v>
      </c>
      <c r="P184" s="265" t="n">
        <v>4190</v>
      </c>
      <c r="Q184" s="265" t="n">
        <v>4087</v>
      </c>
      <c r="S184" s="265" t="n">
        <v>2918</v>
      </c>
      <c r="T184" s="265" t="n">
        <v>1988</v>
      </c>
      <c r="U184" s="265" t="n">
        <v>2443</v>
      </c>
      <c r="V184" s="265" t="n">
        <v>5512</v>
      </c>
      <c r="X184" s="265" t="n">
        <v>2620</v>
      </c>
      <c r="Y184" s="265" t="n">
        <v>3445</v>
      </c>
      <c r="Z184" s="265" t="n">
        <v>4265</v>
      </c>
      <c r="AA184" s="265" t="n">
        <v>4443</v>
      </c>
      <c r="AC184" s="265" t="n">
        <v>3461</v>
      </c>
      <c r="AD184" s="265" t="n">
        <v>1656</v>
      </c>
    </row>
    <row r="185">
      <c r="A185" t="inlineStr">
        <is>
          <t>Geracao | EDV II | aba "EDV II" · fonte · unid. moeda</t>
        </is>
      </c>
      <c r="B185" t="n">
        <v>93</v>
      </c>
      <c r="C185" t="inlineStr">
        <is>
          <t>Geracao | EDV II | aba "EDV II"</t>
        </is>
      </c>
      <c r="D185" s="265" t="n">
        <v>1869</v>
      </c>
      <c r="E185" s="265" t="n">
        <v>1969</v>
      </c>
      <c r="F185" s="265" t="n">
        <v>3030</v>
      </c>
      <c r="G185" s="265" t="n">
        <v>2112</v>
      </c>
      <c r="I185" s="265" t="n">
        <v>2059</v>
      </c>
      <c r="J185" s="265" t="n">
        <v>2094</v>
      </c>
      <c r="K185" s="265" t="n">
        <v>2126</v>
      </c>
      <c r="L185" s="265" t="n">
        <v>2127</v>
      </c>
      <c r="N185" s="265" t="n">
        <v>2220</v>
      </c>
      <c r="O185" s="265" t="n">
        <v>1664</v>
      </c>
      <c r="P185" s="265" t="n">
        <v>2365</v>
      </c>
      <c r="Q185" s="265" t="n">
        <v>2429</v>
      </c>
      <c r="S185" s="265" t="n">
        <v>1704</v>
      </c>
      <c r="T185" s="265" t="n">
        <v>998</v>
      </c>
      <c r="U185" s="265" t="n">
        <v>1282</v>
      </c>
      <c r="V185" s="265" t="n">
        <v>2940</v>
      </c>
      <c r="X185" s="265" t="n">
        <v>1529</v>
      </c>
      <c r="Y185" s="265" t="n">
        <v>1975</v>
      </c>
      <c r="Z185" s="265" t="n">
        <v>2102</v>
      </c>
      <c r="AA185" s="265" t="n">
        <v>2305</v>
      </c>
      <c r="AC185" s="265" t="n">
        <v>1873</v>
      </c>
      <c r="AD185" s="265" t="n">
        <v>996</v>
      </c>
    </row>
    <row r="186">
      <c r="A186" t="inlineStr">
        <is>
          <t>Geracao | EDV III | aba "EDV III" · fonte · unid. moeda</t>
        </is>
      </c>
      <c r="B186" t="n">
        <v>94</v>
      </c>
      <c r="C186" t="inlineStr">
        <is>
          <t>Geracao | EDV III | aba "EDV III"</t>
        </is>
      </c>
      <c r="D186" s="265" t="n">
        <v>2841</v>
      </c>
      <c r="E186" s="265" t="n">
        <v>2895</v>
      </c>
      <c r="F186" s="265" t="n">
        <v>5581</v>
      </c>
      <c r="G186" s="265" t="n">
        <v>3284</v>
      </c>
      <c r="I186" s="265" t="n">
        <v>3078</v>
      </c>
      <c r="J186" s="265" t="n">
        <v>3114</v>
      </c>
      <c r="K186" s="265" t="n">
        <v>3173</v>
      </c>
      <c r="L186" s="265" t="n">
        <v>3162</v>
      </c>
      <c r="N186" s="265" t="n">
        <v>3257</v>
      </c>
      <c r="O186" s="265" t="n">
        <v>3563</v>
      </c>
      <c r="P186" s="265" t="n">
        <v>3734</v>
      </c>
      <c r="Q186" s="265" t="n">
        <v>3147</v>
      </c>
      <c r="S186" s="265" t="n">
        <v>2391</v>
      </c>
      <c r="T186" s="265" t="n">
        <v>1558</v>
      </c>
      <c r="U186" s="265" t="n">
        <v>1996</v>
      </c>
      <c r="V186" s="265" t="n">
        <v>4753</v>
      </c>
      <c r="X186" s="265" t="n">
        <v>2356</v>
      </c>
      <c r="Y186" s="265" t="n">
        <v>3034</v>
      </c>
      <c r="Z186" s="265" t="n">
        <v>3547</v>
      </c>
      <c r="AA186" s="265" t="n">
        <v>3724</v>
      </c>
      <c r="AC186" s="265" t="n">
        <v>2647</v>
      </c>
      <c r="AD186" s="265" t="n">
        <v>1287</v>
      </c>
    </row>
    <row r="187">
      <c r="A187" t="inlineStr">
        <is>
          <t>Geracao | EDV IV | aba "EDV IV" · fonte · unid. moeda</t>
        </is>
      </c>
      <c r="B187" t="n">
        <v>95</v>
      </c>
      <c r="C187" t="inlineStr">
        <is>
          <t>Geracao | EDV IV | aba "EDV IV"</t>
        </is>
      </c>
      <c r="D187" s="265" t="n">
        <v>4413</v>
      </c>
      <c r="E187" s="265" t="n">
        <v>4772</v>
      </c>
      <c r="F187" s="265" t="n">
        <v>7850</v>
      </c>
      <c r="G187" s="265" t="n">
        <v>5176</v>
      </c>
      <c r="I187" s="265" t="n">
        <v>4988</v>
      </c>
      <c r="J187" s="265" t="n">
        <v>5050</v>
      </c>
      <c r="K187" s="265" t="n">
        <v>5131</v>
      </c>
      <c r="L187" s="265" t="n">
        <v>5148</v>
      </c>
      <c r="N187" s="265" t="n">
        <v>4821</v>
      </c>
      <c r="O187" s="265" t="n">
        <v>4312</v>
      </c>
      <c r="P187" s="265" t="n">
        <v>5660</v>
      </c>
      <c r="Q187" s="265" t="n">
        <v>4395</v>
      </c>
      <c r="S187" s="265" t="n">
        <v>4192</v>
      </c>
      <c r="T187" s="265" t="n">
        <v>2880</v>
      </c>
      <c r="U187" s="265" t="n">
        <v>3121</v>
      </c>
      <c r="V187" s="265" t="n">
        <v>7305</v>
      </c>
      <c r="X187" s="265" t="n">
        <v>3696</v>
      </c>
      <c r="Y187" s="265" t="n">
        <v>4920</v>
      </c>
      <c r="Z187" s="265" t="n">
        <v>5502</v>
      </c>
      <c r="AA187" s="265" t="n">
        <v>5818</v>
      </c>
      <c r="AC187" s="265" t="n">
        <v>6551</v>
      </c>
      <c r="AD187" s="265" t="n">
        <v>2577</v>
      </c>
    </row>
    <row r="188">
      <c r="A188" t="inlineStr">
        <is>
          <t>Geracao | EDV X | aba "EDV X" · fonte · unid. moeda</t>
        </is>
      </c>
      <c r="B188" t="n">
        <v>96</v>
      </c>
      <c r="C188" t="inlineStr">
        <is>
          <t>Geracao | EDV X | aba "EDV X"</t>
        </is>
      </c>
      <c r="D188" s="265" t="n">
        <v>2421</v>
      </c>
      <c r="E188" s="265" t="n">
        <v>2423</v>
      </c>
      <c r="F188" s="265" t="n">
        <v>5215</v>
      </c>
      <c r="G188" s="265" t="n">
        <v>2799</v>
      </c>
      <c r="I188" s="265" t="n">
        <v>2618</v>
      </c>
      <c r="J188" s="265" t="n">
        <v>2636</v>
      </c>
      <c r="K188" s="265" t="n">
        <v>2686</v>
      </c>
      <c r="L188" s="265" t="n">
        <v>2684</v>
      </c>
      <c r="N188" s="265" t="n">
        <v>2563</v>
      </c>
      <c r="O188" s="265" t="n">
        <v>3274</v>
      </c>
      <c r="P188" s="265" t="n">
        <v>3070</v>
      </c>
      <c r="Q188" s="265" t="n">
        <v>2094</v>
      </c>
      <c r="S188" s="265" t="n">
        <v>2378</v>
      </c>
      <c r="T188" s="265" t="n">
        <v>1613</v>
      </c>
      <c r="U188" s="265" t="n">
        <v>1885</v>
      </c>
      <c r="V188" s="265" t="n">
        <v>4222</v>
      </c>
      <c r="X188" s="265" t="n">
        <v>2059</v>
      </c>
      <c r="Y188" s="265" t="n">
        <v>2792</v>
      </c>
      <c r="Z188" s="265" t="n">
        <v>3245</v>
      </c>
      <c r="AA188" s="265" t="n">
        <v>3295</v>
      </c>
      <c r="AC188" s="265" t="n">
        <v>2349</v>
      </c>
      <c r="AD188" s="265" t="n">
        <v>1510</v>
      </c>
    </row>
    <row r="189">
      <c r="A189" t="inlineStr">
        <is>
          <t>Geracao | EAP I | aba "EAP I" · fonte · unid. moeda</t>
        </is>
      </c>
      <c r="B189" t="n">
        <v>97</v>
      </c>
      <c r="C189" t="inlineStr">
        <is>
          <t>Geracao | EAP I | aba "EAP I"</t>
        </is>
      </c>
      <c r="D189" s="265" t="n">
        <v>0</v>
      </c>
      <c r="E189" s="265" t="n">
        <v>0</v>
      </c>
      <c r="F189" s="265" t="n">
        <v>0</v>
      </c>
      <c r="G189" s="265" t="n">
        <v>0</v>
      </c>
      <c r="I189" s="265" t="n">
        <v>0</v>
      </c>
      <c r="J189" s="265" t="n">
        <v>0</v>
      </c>
      <c r="K189" s="265" t="n">
        <v>0</v>
      </c>
      <c r="L189" s="265" t="n">
        <v>0</v>
      </c>
      <c r="N189" s="265" t="n">
        <v>0</v>
      </c>
      <c r="O189" s="265" t="n">
        <v>0</v>
      </c>
      <c r="P189" s="265" t="n">
        <v>2631</v>
      </c>
      <c r="Q189" s="265" t="n">
        <v>2721</v>
      </c>
      <c r="S189" s="265" t="n">
        <v>4040</v>
      </c>
      <c r="T189" s="265" t="n">
        <v>4359</v>
      </c>
      <c r="U189" s="265" t="n">
        <v>6748</v>
      </c>
      <c r="V189" s="265" t="n">
        <v>5317</v>
      </c>
      <c r="X189" s="265" t="n">
        <v>4107</v>
      </c>
      <c r="Y189" s="265" t="n">
        <v>4524</v>
      </c>
      <c r="Z189" s="265" t="n">
        <v>7945</v>
      </c>
      <c r="AA189" s="265" t="n">
        <v>8206</v>
      </c>
      <c r="AC189" s="265" t="n">
        <v>5473</v>
      </c>
      <c r="AD189" s="265" t="n">
        <v>5461</v>
      </c>
    </row>
    <row r="190">
      <c r="A190" t="inlineStr">
        <is>
          <t>Geracao | EAP II | aba "EAP II" · fonte · unid. moeda</t>
        </is>
      </c>
      <c r="B190" t="n">
        <v>98</v>
      </c>
      <c r="C190" t="inlineStr">
        <is>
          <t>Geracao | EAP II | aba "EAP II"</t>
        </is>
      </c>
      <c r="D190" s="265" t="n">
        <v>0</v>
      </c>
      <c r="E190" s="265" t="n">
        <v>0</v>
      </c>
      <c r="F190" s="265" t="n">
        <v>0</v>
      </c>
      <c r="G190" s="265" t="n">
        <v>0</v>
      </c>
      <c r="I190" s="265" t="n">
        <v>0</v>
      </c>
      <c r="J190" s="265" t="n">
        <v>0</v>
      </c>
      <c r="K190" s="265" t="n">
        <v>0</v>
      </c>
      <c r="L190" s="265" t="n">
        <v>0</v>
      </c>
      <c r="N190" s="265" t="n">
        <v>0</v>
      </c>
      <c r="O190" s="265" t="n">
        <v>0</v>
      </c>
      <c r="P190" s="265" t="n">
        <v>1492</v>
      </c>
      <c r="Q190" s="265" t="n">
        <v>5126</v>
      </c>
      <c r="S190" s="265" t="n">
        <v>7639</v>
      </c>
      <c r="T190" s="265" t="n">
        <v>8083</v>
      </c>
      <c r="U190" s="265" t="n">
        <v>10526</v>
      </c>
      <c r="V190" s="265" t="n">
        <v>7265</v>
      </c>
      <c r="X190" s="265" t="n">
        <v>8644</v>
      </c>
      <c r="Y190" s="265" t="n">
        <v>8718</v>
      </c>
      <c r="Z190" s="265" t="n">
        <v>9766</v>
      </c>
      <c r="AA190" s="265" t="n">
        <v>9349</v>
      </c>
      <c r="AC190" s="265" t="n">
        <v>15151</v>
      </c>
      <c r="AD190" s="265" t="n">
        <v>15028</v>
      </c>
    </row>
    <row r="191">
      <c r="A191" t="inlineStr">
        <is>
          <t>Geracao | EAP IV | aba "EAP IV" · fonte · unid. moeda</t>
        </is>
      </c>
      <c r="B191" t="n">
        <v>99</v>
      </c>
      <c r="C191" t="inlineStr">
        <is>
          <t>Geracao | EAP IV | aba "EAP IV"</t>
        </is>
      </c>
      <c r="D191" s="265" t="n">
        <v>0</v>
      </c>
      <c r="E191" s="265" t="n">
        <v>0</v>
      </c>
      <c r="F191" s="265" t="n">
        <v>0</v>
      </c>
      <c r="G191" s="265" t="n">
        <v>0</v>
      </c>
      <c r="I191" s="265" t="n">
        <v>0</v>
      </c>
      <c r="J191" s="265" t="n">
        <v>0</v>
      </c>
      <c r="K191" s="265" t="n">
        <v>0</v>
      </c>
      <c r="L191" s="265" t="n">
        <v>0</v>
      </c>
      <c r="N191" s="265" t="n">
        <v>0</v>
      </c>
      <c r="O191" s="265" t="n">
        <v>0</v>
      </c>
      <c r="P191" s="265" t="n">
        <v>0</v>
      </c>
      <c r="Q191" s="265" t="n">
        <v>0</v>
      </c>
      <c r="S191" s="265" t="n">
        <v>0</v>
      </c>
      <c r="T191" s="265" t="n">
        <v>0</v>
      </c>
      <c r="U191" s="265" t="n">
        <v>0</v>
      </c>
      <c r="V191" s="265" t="n">
        <v>0</v>
      </c>
      <c r="X191" s="265" t="n">
        <v>0</v>
      </c>
      <c r="Y191" s="265" t="n">
        <v>0</v>
      </c>
      <c r="Z191" s="265" t="n">
        <v>0</v>
      </c>
      <c r="AA191" s="265" t="n">
        <v>13379</v>
      </c>
      <c r="AC191" s="265" t="n">
        <v>0</v>
      </c>
      <c r="AD191" s="265" t="n">
        <v>0</v>
      </c>
    </row>
    <row r="192">
      <c r="A192" t="inlineStr">
        <is>
          <t>Geracao | UFV Pitombeira | aba "UFV Pitombeira" · fonte · unid. moeda</t>
        </is>
      </c>
      <c r="B192" t="n">
        <v>100</v>
      </c>
      <c r="C192" t="inlineStr">
        <is>
          <t>Geracao | UFV Pitombeira | aba "UFV Pitombeira"</t>
        </is>
      </c>
      <c r="D192" s="265" t="n"/>
      <c r="E192" s="265" t="n"/>
      <c r="F192" s="265" t="n"/>
      <c r="G192" s="265" t="n">
        <v>0</v>
      </c>
      <c r="I192" s="265" t="n">
        <v>0</v>
      </c>
      <c r="J192" s="265" t="n">
        <v>0</v>
      </c>
      <c r="K192" s="265" t="n">
        <v>0</v>
      </c>
      <c r="L192" s="265" t="n">
        <v>0</v>
      </c>
      <c r="N192" s="265" t="n">
        <v>0</v>
      </c>
      <c r="O192" s="265" t="n">
        <v>0</v>
      </c>
      <c r="P192" s="265" t="n">
        <v>0</v>
      </c>
      <c r="Q192" s="265" t="n">
        <v>46</v>
      </c>
      <c r="S192" s="265" t="n">
        <v>1680</v>
      </c>
      <c r="T192" s="265" t="n">
        <v>1922</v>
      </c>
      <c r="U192" s="265" t="n">
        <v>5140</v>
      </c>
      <c r="V192" s="265" t="n">
        <v>6823</v>
      </c>
      <c r="X192" s="265" t="n">
        <v>5728</v>
      </c>
      <c r="Y192" s="265" t="n">
        <v>6613</v>
      </c>
      <c r="Z192" s="265" t="n">
        <v>9452</v>
      </c>
      <c r="AA192" s="265" t="n">
        <v>12013</v>
      </c>
      <c r="AC192" s="265" t="n">
        <v>12872</v>
      </c>
      <c r="AD192" s="265" t="n">
        <v>9481</v>
      </c>
    </row>
    <row r="194">
      <c r="A194" t="inlineStr">
        <is>
          <t>Linhas de origem: 4 a 192. A Inputs (2) varre as linhas 4 a 250; as linhas 193 a 250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08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Alupar Investimento S.A.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IF(D$3=0,"",SUMIFS(INDEX(Inputs!$D$4:$AG$250,0,MATCH(D$2,Inputs!$D$2:$AG$2,0)),Inputs!$B$4:$B$250,$B4)/1000)</f>
        <v>1601.474</v>
      </c>
      <c r="E4" s="11">
        <f>IF(E$3=0,"",SUMIFS(INDEX(Inputs!$D$4:$AG$250,0,MATCH(E$2,Inputs!$D$2:$AG$2,0)),Inputs!$B$4:$B$250,$B4)/1000)</f>
        <v>1337.141</v>
      </c>
      <c r="F4" s="11">
        <f>IF(F$3=0,"",SUMIFS(INDEX(Inputs!$D$4:$AG$250,0,MATCH(F$2,Inputs!$D$2:$AG$2,0)),Inputs!$B$4:$B$250,$B4)/1000)</f>
        <v>1167.652</v>
      </c>
      <c r="G4" s="11">
        <f>IF(G$3=0,"",SUMIFS(INDEX(Inputs!$D$4:$AG$250,0,MATCH(G$2,Inputs!$D$2:$AG$2,0)),Inputs!$B$4:$B$250,$B4)/1000)</f>
        <v>1127.941</v>
      </c>
      <c r="H4" s="12">
        <f>IF(COUNT(D4:G4)=4,SUM(D4:G4),"")</f>
        <v>5234.208</v>
      </c>
      <c r="I4" s="11">
        <f>IF(I$3=0,"",SUMIFS(INDEX(Inputs!$D$4:$AG$250,0,MATCH(I$2,Inputs!$D$2:$AG$2,0)),Inputs!$B$4:$B$250,$B4)/1000)</f>
        <v>1280.52</v>
      </c>
      <c r="J4" s="11">
        <f>IF(J$3=0,"",SUMIFS(INDEX(Inputs!$D$4:$AG$250,0,MATCH(J$2,Inputs!$D$2:$AG$2,0)),Inputs!$B$4:$B$250,$B4)/1000)</f>
        <v>1168.243</v>
      </c>
      <c r="K4" s="11">
        <f>IF(K$3=0,"",SUMIFS(INDEX(Inputs!$D$4:$AG$250,0,MATCH(K$2,Inputs!$D$2:$AG$2,0)),Inputs!$B$4:$B$250,$B4)/1000)</f>
        <v>652.659</v>
      </c>
      <c r="L4" s="11">
        <f>IF(L$3=0,"",SUMIFS(INDEX(Inputs!$D$4:$AG$250,0,MATCH(L$2,Inputs!$D$2:$AG$2,0)),Inputs!$B$4:$B$250,$B4)/1000)</f>
        <v>732.286</v>
      </c>
      <c r="M4" s="12">
        <f>IF(COUNT(I4:L4)=4,SUM(I4:L4),"")</f>
        <v>3833.708</v>
      </c>
      <c r="N4" s="11">
        <f>IF(N$3=0,"",SUMIFS(INDEX(Inputs!$D$4:$AG$250,0,MATCH(N$2,Inputs!$D$2:$AG$2,0)),Inputs!$B$4:$B$250,$B4)/1000)</f>
        <v>1003.997</v>
      </c>
      <c r="O4" s="11">
        <f>IF(O$3=0,"",SUMIFS(INDEX(Inputs!$D$4:$AG$250,0,MATCH(O$2,Inputs!$D$2:$AG$2,0)),Inputs!$B$4:$B$250,$B4)/1000)</f>
        <v>780.156</v>
      </c>
      <c r="P4" s="11">
        <f>IF(P$3=0,"",SUMIFS(INDEX(Inputs!$D$4:$AG$250,0,MATCH(P$2,Inputs!$D$2:$AG$2,0)),Inputs!$B$4:$B$250,$B4)/1000)</f>
        <v>648.957</v>
      </c>
      <c r="Q4" s="11">
        <f>IF(Q$3=0,"",SUMIFS(INDEX(Inputs!$D$4:$AG$250,0,MATCH(Q$2,Inputs!$D$2:$AG$2,0)),Inputs!$B$4:$B$250,$B4)/1000)</f>
        <v>878.271</v>
      </c>
      <c r="R4" s="12">
        <f>IF(COUNT(N4:Q4)=4,SUM(N4:Q4),"")</f>
        <v>3311.381</v>
      </c>
      <c r="S4" s="11">
        <f>IF(S$3=0,"",SUMIFS(INDEX(Inputs!$D$4:$AG$250,0,MATCH(S$2,Inputs!$D$2:$AG$2,0)),Inputs!$B$4:$B$250,$B4)/1000)</f>
        <v>996.535</v>
      </c>
      <c r="T4" s="11">
        <f>IF(T$3=0,"",SUMIFS(INDEX(Inputs!$D$4:$AG$250,0,MATCH(T$2,Inputs!$D$2:$AG$2,0)),Inputs!$B$4:$B$250,$B4)/1000)</f>
        <v>953.692</v>
      </c>
      <c r="U4" s="11">
        <f>IF(U$3=0,"",SUMIFS(INDEX(Inputs!$D$4:$AG$250,0,MATCH(U$2,Inputs!$D$2:$AG$2,0)),Inputs!$B$4:$B$250,$B4)/1000)</f>
        <v>928.567</v>
      </c>
      <c r="V4" s="11">
        <f>IF(V$3=0,"",SUMIFS(INDEX(Inputs!$D$4:$AG$250,0,MATCH(V$2,Inputs!$D$2:$AG$2,0)),Inputs!$B$4:$B$250,$B4)/1000)</f>
        <v>1123.31</v>
      </c>
      <c r="W4" s="12">
        <f>IF(COUNT(S4:V4)=4,SUM(S4:V4),"")</f>
        <v>4002.104</v>
      </c>
      <c r="X4" s="11">
        <f>IF(X$3=0,"",SUMIFS(INDEX(Inputs!$D$4:$AG$250,0,MATCH(X$2,Inputs!$D$2:$AG$2,0)),Inputs!$B$4:$B$250,$B4)/1000)</f>
        <v>1223.731</v>
      </c>
      <c r="Y4" s="11">
        <f>IF(Y$3=0,"",SUMIFS(INDEX(Inputs!$D$4:$AG$250,0,MATCH(Y$2,Inputs!$D$2:$AG$2,0)),Inputs!$B$4:$B$250,$B4)/1000)</f>
        <v>1047.14</v>
      </c>
      <c r="Z4" s="11">
        <f>IF(Z$3=0,"",SUMIFS(INDEX(Inputs!$D$4:$AG$250,0,MATCH(Z$2,Inputs!$D$2:$AG$2,0)),Inputs!$B$4:$B$250,$B4)/1000)</f>
        <v>963.353</v>
      </c>
      <c r="AA4" s="11">
        <f>IF(AA$3=0,"",SUMIFS(INDEX(Inputs!$D$4:$AG$250,0,MATCH(AA$2,Inputs!$D$2:$AG$2,0)),Inputs!$B$4:$B$250,$B4)/1000)</f>
        <v>1163.659</v>
      </c>
      <c r="AB4" s="12">
        <f>IF(COUNT(X4:AA4)=4,SUM(X4:AA4),"")</f>
        <v>4397.883</v>
      </c>
      <c r="AC4" s="11">
        <f>IF(AC$3=0,"",SUMIFS(INDEX(Inputs!$D$4:$AG$250,0,MATCH(AC$2,Inputs!$D$2:$AG$2,0)),Inputs!$B$4:$B$250,$B4)/1000)</f>
        <v>1255.635</v>
      </c>
      <c r="AD4" s="11">
        <f>IF(AD$3=0,"",SUMIFS(INDEX(Inputs!$D$4:$AG$250,0,MATCH(AD$2,Inputs!$D$2:$AG$2,0)),Inputs!$B$4:$B$250,$B4)/1000)</f>
        <v>1627.285</v>
      </c>
      <c r="AE4" s="11" t="str">
        <f>IF(AE$3=0,"",SUMIFS(INDEX(Inputs!$D$4:$AG$250,0,MATCH(AE$2,Inputs!$D$2:$AG$2,0)),Inputs!$B$4:$B$250,$B4)/1000)</f>
        <v/>
      </c>
      <c r="AF4" s="11" t="str">
        <f>IF(AF$3=0,"",SUMIFS(INDEX(Inputs!$D$4:$AG$250,0,MATCH(AF$2,Inputs!$D$2:$AG$2,0)),Inputs!$B$4:$B$250,$B4)/1000)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IF(D$3=0,"",SUMIFS(INDEX(Inputs!$D$4:$AG$250,0,MATCH(D$2,Inputs!$D$2:$AG$2,0)),Inputs!$B$4:$B$250,$B5)/1000)</f>
        <v>-471.033</v>
      </c>
      <c r="E5" s="11">
        <f>IF(E$3=0,"",SUMIFS(INDEX(Inputs!$D$4:$AG$250,0,MATCH(E$2,Inputs!$D$2:$AG$2,0)),Inputs!$B$4:$B$250,$B5)/1000)</f>
        <v>-201.254</v>
      </c>
      <c r="F5" s="11">
        <f>IF(F$3=0,"",SUMIFS(INDEX(Inputs!$D$4:$AG$250,0,MATCH(F$2,Inputs!$D$2:$AG$2,0)),Inputs!$B$4:$B$250,$B5)/1000)</f>
        <v>-287.047</v>
      </c>
      <c r="G5" s="11">
        <f>IF(G$3=0,"",SUMIFS(INDEX(Inputs!$D$4:$AG$250,0,MATCH(G$2,Inputs!$D$2:$AG$2,0)),Inputs!$B$4:$B$250,$B5)/1000)</f>
        <v>-305.796</v>
      </c>
      <c r="H5" s="12">
        <f>IF(COUNT(D5:G5)=4,SUM(D5:G5),"")</f>
        <v>-1265.13</v>
      </c>
      <c r="I5" s="11">
        <f>IF(I$3=0,"",SUMIFS(INDEX(Inputs!$D$4:$AG$250,0,MATCH(I$2,Inputs!$D$2:$AG$2,0)),Inputs!$B$4:$B$250,$B5)/1000)</f>
        <v>-134.789</v>
      </c>
      <c r="J5" s="11">
        <f>IF(J$3=0,"",SUMIFS(INDEX(Inputs!$D$4:$AG$250,0,MATCH(J$2,Inputs!$D$2:$AG$2,0)),Inputs!$B$4:$B$250,$B5)/1000)</f>
        <v>-123.632</v>
      </c>
      <c r="K5" s="11">
        <f>IF(K$3=0,"",SUMIFS(INDEX(Inputs!$D$4:$AG$250,0,MATCH(K$2,Inputs!$D$2:$AG$2,0)),Inputs!$B$4:$B$250,$B5)/1000)</f>
        <v>-131.418</v>
      </c>
      <c r="L5" s="11">
        <f>IF(L$3=0,"",SUMIFS(INDEX(Inputs!$D$4:$AG$250,0,MATCH(L$2,Inputs!$D$2:$AG$2,0)),Inputs!$B$4:$B$250,$B5)/1000)</f>
        <v>-161.074</v>
      </c>
      <c r="M5" s="12">
        <f>IF(COUNT(I5:L5)=4,SUM(I5:L5),"")</f>
        <v>-550.913</v>
      </c>
      <c r="N5" s="11">
        <f>IF(N$3=0,"",SUMIFS(INDEX(Inputs!$D$4:$AG$250,0,MATCH(N$2,Inputs!$D$2:$AG$2,0)),Inputs!$B$4:$B$250,$B5)/1000)</f>
        <v>-161.718</v>
      </c>
      <c r="O5" s="11">
        <f>IF(O$3=0,"",SUMIFS(INDEX(Inputs!$D$4:$AG$250,0,MATCH(O$2,Inputs!$D$2:$AG$2,0)),Inputs!$B$4:$B$250,$B5)/1000)</f>
        <v>-136.738</v>
      </c>
      <c r="P5" s="11">
        <f>IF(P$3=0,"",SUMIFS(INDEX(Inputs!$D$4:$AG$250,0,MATCH(P$2,Inputs!$D$2:$AG$2,0)),Inputs!$B$4:$B$250,$B5)/1000)</f>
        <v>-161.738</v>
      </c>
      <c r="Q5" s="11">
        <f>IF(Q$3=0,"",SUMIFS(INDEX(Inputs!$D$4:$AG$250,0,MATCH(Q$2,Inputs!$D$2:$AG$2,0)),Inputs!$B$4:$B$250,$B5)/1000)</f>
        <v>-189.695</v>
      </c>
      <c r="R5" s="12">
        <f>IF(COUNT(N5:Q5)=4,SUM(N5:Q5),"")</f>
        <v>-649.889</v>
      </c>
      <c r="S5" s="11">
        <f>IF(S$3=0,"",SUMIFS(INDEX(Inputs!$D$4:$AG$250,0,MATCH(S$2,Inputs!$D$2:$AG$2,0)),Inputs!$B$4:$B$250,$B5)/1000)</f>
        <v>-168.17</v>
      </c>
      <c r="T5" s="11">
        <f>IF(T$3=0,"",SUMIFS(INDEX(Inputs!$D$4:$AG$250,0,MATCH(T$2,Inputs!$D$2:$AG$2,0)),Inputs!$B$4:$B$250,$B5)/1000)</f>
        <v>-180.438</v>
      </c>
      <c r="U5" s="11">
        <f>IF(U$3=0,"",SUMIFS(INDEX(Inputs!$D$4:$AG$250,0,MATCH(U$2,Inputs!$D$2:$AG$2,0)),Inputs!$B$4:$B$250,$B5)/1000)</f>
        <v>-246.959</v>
      </c>
      <c r="V5" s="11">
        <f>IF(V$3=0,"",SUMIFS(INDEX(Inputs!$D$4:$AG$250,0,MATCH(V$2,Inputs!$D$2:$AG$2,0)),Inputs!$B$4:$B$250,$B5)/1000)</f>
        <v>-327.35</v>
      </c>
      <c r="W5" s="12">
        <f>IF(COUNT(S5:V5)=4,SUM(S5:V5),"")</f>
        <v>-922.917</v>
      </c>
      <c r="X5" s="11">
        <f>IF(X$3=0,"",SUMIFS(INDEX(Inputs!$D$4:$AG$250,0,MATCH(X$2,Inputs!$D$2:$AG$2,0)),Inputs!$B$4:$B$250,$B5)/1000)</f>
        <v>-295.198</v>
      </c>
      <c r="Y5" s="11">
        <f>IF(Y$3=0,"",SUMIFS(INDEX(Inputs!$D$4:$AG$250,0,MATCH(Y$2,Inputs!$D$2:$AG$2,0)),Inputs!$B$4:$B$250,$B5)/1000)</f>
        <v>-282.606</v>
      </c>
      <c r="Z5" s="11">
        <f>IF(Z$3=0,"",SUMIFS(INDEX(Inputs!$D$4:$AG$250,0,MATCH(Z$2,Inputs!$D$2:$AG$2,0)),Inputs!$B$4:$B$250,$B5)/1000)</f>
        <v>-245.818</v>
      </c>
      <c r="AA5" s="11">
        <f>IF(AA$3=0,"",SUMIFS(INDEX(Inputs!$D$4:$AG$250,0,MATCH(AA$2,Inputs!$D$2:$AG$2,0)),Inputs!$B$4:$B$250,$B5)/1000)</f>
        <v>-335.941</v>
      </c>
      <c r="AB5" s="12">
        <f>IF(COUNT(X5:AA5)=4,SUM(X5:AA5),"")</f>
        <v>-1159.563</v>
      </c>
      <c r="AC5" s="11">
        <f>IF(AC$3=0,"",SUMIFS(INDEX(Inputs!$D$4:$AG$250,0,MATCH(AC$2,Inputs!$D$2:$AG$2,0)),Inputs!$B$4:$B$250,$B5)/1000)</f>
        <v>-409.119</v>
      </c>
      <c r="AD5" s="11">
        <f>IF(AD$3=0,"",SUMIFS(INDEX(Inputs!$D$4:$AG$250,0,MATCH(AD$2,Inputs!$D$2:$AG$2,0)),Inputs!$B$4:$B$250,$B5)/1000)</f>
        <v>-524.176</v>
      </c>
      <c r="AE5" s="11" t="str">
        <f>IF(AE$3=0,"",SUMIFS(INDEX(Inputs!$D$4:$AG$250,0,MATCH(AE$2,Inputs!$D$2:$AG$2,0)),Inputs!$B$4:$B$250,$B5)/1000)</f>
        <v/>
      </c>
      <c r="AF5" s="11" t="str">
        <f>IF(AF$3=0,"",SUMIFS(INDEX(Inputs!$D$4:$AG$250,0,MATCH(AF$2,Inputs!$D$2:$AG$2,0)),Inputs!$B$4:$B$250,$B5)/1000)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IF(D$3=0,"",SUMIFS(INDEX(Inputs!$D$4:$AG$250,0,MATCH(D$2,Inputs!$D$2:$AG$2,0)),Inputs!$B$4:$B$250,$B6)/1000)</f>
        <v>-23.786</v>
      </c>
      <c r="E6" s="11">
        <f>IF(E$3=0,"",SUMIFS(INDEX(Inputs!$D$4:$AG$250,0,MATCH(E$2,Inputs!$D$2:$AG$2,0)),Inputs!$B$4:$B$250,$B6)/1000)</f>
        <v>-8.006</v>
      </c>
      <c r="F6" s="11">
        <f>IF(F$3=0,"",SUMIFS(INDEX(Inputs!$D$4:$AG$250,0,MATCH(F$2,Inputs!$D$2:$AG$2,0)),Inputs!$B$4:$B$250,$B6)/1000)</f>
        <v>21.031</v>
      </c>
      <c r="G6" s="11">
        <f>IF(G$3=0,"",SUMIFS(INDEX(Inputs!$D$4:$AG$250,0,MATCH(G$2,Inputs!$D$2:$AG$2,0)),Inputs!$B$4:$B$250,$B6)/1000)</f>
        <v>-43.997</v>
      </c>
      <c r="H6" s="12">
        <f>IF(COUNT(D6:G6)=4,SUM(D6:G6),"")</f>
        <v>-54.758</v>
      </c>
      <c r="I6" s="11">
        <f>IF(I$3=0,"",SUMIFS(INDEX(Inputs!$D$4:$AG$250,0,MATCH(I$2,Inputs!$D$2:$AG$2,0)),Inputs!$B$4:$B$250,$B6)/1000)</f>
        <v>-14.074</v>
      </c>
      <c r="J6" s="11">
        <f>IF(J$3=0,"",SUMIFS(INDEX(Inputs!$D$4:$AG$250,0,MATCH(J$2,Inputs!$D$2:$AG$2,0)),Inputs!$B$4:$B$250,$B6)/1000)</f>
        <v>-174.015</v>
      </c>
      <c r="K6" s="11">
        <f>IF(K$3=0,"",SUMIFS(INDEX(Inputs!$D$4:$AG$250,0,MATCH(K$2,Inputs!$D$2:$AG$2,0)),Inputs!$B$4:$B$250,$B6)/1000)</f>
        <v>-36.025</v>
      </c>
      <c r="L6" s="11">
        <f>IF(L$3=0,"",SUMIFS(INDEX(Inputs!$D$4:$AG$250,0,MATCH(L$2,Inputs!$D$2:$AG$2,0)),Inputs!$B$4:$B$250,$B6)/1000)</f>
        <v>-49.11</v>
      </c>
      <c r="M6" s="12">
        <f>IF(COUNT(I6:L6)=4,SUM(I6:L6),"")</f>
        <v>-273.224</v>
      </c>
      <c r="N6" s="11">
        <f>IF(N$3=0,"",SUMIFS(INDEX(Inputs!$D$4:$AG$250,0,MATCH(N$2,Inputs!$D$2:$AG$2,0)),Inputs!$B$4:$B$250,$B6)/1000)</f>
        <v>-31.578</v>
      </c>
      <c r="O6" s="11">
        <f>IF(O$3=0,"",SUMIFS(INDEX(Inputs!$D$4:$AG$250,0,MATCH(O$2,Inputs!$D$2:$AG$2,0)),Inputs!$B$4:$B$250,$B6)/1000)</f>
        <v>-27.46</v>
      </c>
      <c r="P6" s="11">
        <f>IF(P$3=0,"",SUMIFS(INDEX(Inputs!$D$4:$AG$250,0,MATCH(P$2,Inputs!$D$2:$AG$2,0)),Inputs!$B$4:$B$250,$B6)/1000)</f>
        <v>-38.389</v>
      </c>
      <c r="Q6" s="11">
        <f>IF(Q$3=0,"",SUMIFS(INDEX(Inputs!$D$4:$AG$250,0,MATCH(Q$2,Inputs!$D$2:$AG$2,0)),Inputs!$B$4:$B$250,$B6)/1000)</f>
        <v>-93.626</v>
      </c>
      <c r="R6" s="12">
        <f>IF(COUNT(N6:Q6)=4,SUM(N6:Q6),"")</f>
        <v>-191.053</v>
      </c>
      <c r="S6" s="11">
        <f>IF(S$3=0,"",SUMIFS(INDEX(Inputs!$D$4:$AG$250,0,MATCH(S$2,Inputs!$D$2:$AG$2,0)),Inputs!$B$4:$B$250,$B6)/1000)</f>
        <v>-32.73</v>
      </c>
      <c r="T6" s="11">
        <f>IF(T$3=0,"",SUMIFS(INDEX(Inputs!$D$4:$AG$250,0,MATCH(T$2,Inputs!$D$2:$AG$2,0)),Inputs!$B$4:$B$250,$B6)/1000)</f>
        <v>-18.387</v>
      </c>
      <c r="U6" s="11">
        <f>IF(U$3=0,"",SUMIFS(INDEX(Inputs!$D$4:$AG$250,0,MATCH(U$2,Inputs!$D$2:$AG$2,0)),Inputs!$B$4:$B$250,$B6)/1000)</f>
        <v>-37.227</v>
      </c>
      <c r="V6" s="11">
        <f>IF(V$3=0,"",SUMIFS(INDEX(Inputs!$D$4:$AG$250,0,MATCH(V$2,Inputs!$D$2:$AG$2,0)),Inputs!$B$4:$B$250,$B6)/1000)</f>
        <v>-69.055</v>
      </c>
      <c r="W6" s="12">
        <f>IF(COUNT(S6:V6)=4,SUM(S6:V6),"")</f>
        <v>-157.399</v>
      </c>
      <c r="X6" s="11">
        <f>IF(X$3=0,"",SUMIFS(INDEX(Inputs!$D$4:$AG$250,0,MATCH(X$2,Inputs!$D$2:$AG$2,0)),Inputs!$B$4:$B$250,$B6)/1000)</f>
        <v>-45.543</v>
      </c>
      <c r="Y6" s="11">
        <f>IF(Y$3=0,"",SUMIFS(INDEX(Inputs!$D$4:$AG$250,0,MATCH(Y$2,Inputs!$D$2:$AG$2,0)),Inputs!$B$4:$B$250,$B6)/1000)</f>
        <v>-84.158</v>
      </c>
      <c r="Z6" s="11">
        <f>IF(Z$3=0,"",SUMIFS(INDEX(Inputs!$D$4:$AG$250,0,MATCH(Z$2,Inputs!$D$2:$AG$2,0)),Inputs!$B$4:$B$250,$B6)/1000)</f>
        <v>-54.184</v>
      </c>
      <c r="AA6" s="11">
        <f>IF(AA$3=0,"",SUMIFS(INDEX(Inputs!$D$4:$AG$250,0,MATCH(AA$2,Inputs!$D$2:$AG$2,0)),Inputs!$B$4:$B$250,$B6)/1000)</f>
        <v>-55.317</v>
      </c>
      <c r="AB6" s="12">
        <f>IF(COUNT(X6:AA6)=4,SUM(X6:AA6),"")</f>
        <v>-239.202</v>
      </c>
      <c r="AC6" s="11">
        <f>IF(AC$3=0,"",SUMIFS(INDEX(Inputs!$D$4:$AG$250,0,MATCH(AC$2,Inputs!$D$2:$AG$2,0)),Inputs!$B$4:$B$250,$B6)/1000)</f>
        <v>-59.4</v>
      </c>
      <c r="AD6" s="11">
        <f>IF(AD$3=0,"",SUMIFS(INDEX(Inputs!$D$4:$AG$250,0,MATCH(AD$2,Inputs!$D$2:$AG$2,0)),Inputs!$B$4:$B$250,$B6)/1000)</f>
        <v>-75.963</v>
      </c>
      <c r="AE6" s="11" t="str">
        <f>IF(AE$3=0,"",SUMIFS(INDEX(Inputs!$D$4:$AG$250,0,MATCH(AE$2,Inputs!$D$2:$AG$2,0)),Inputs!$B$4:$B$250,$B6)/1000)</f>
        <v/>
      </c>
      <c r="AF6" s="11" t="str">
        <f>IF(AF$3=0,"",SUMIFS(INDEX(Inputs!$D$4:$AG$250,0,MATCH(AF$2,Inputs!$D$2:$AG$2,0)),Inputs!$B$4:$B$250,$B6)/1000)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IF(D$3=0,"",SUMIFS(INDEX(Inputs!$D$4:$AG$250,0,MATCH(D$2,Inputs!$D$2:$AG$2,0)),Inputs!$B$4:$B$250,$B7)/1000)</f>
        <v>-29.436</v>
      </c>
      <c r="E7" s="11">
        <f>IF(E$3=0,"",SUMIFS(INDEX(Inputs!$D$4:$AG$250,0,MATCH(E$2,Inputs!$D$2:$AG$2,0)),Inputs!$B$4:$B$250,$B7)/1000)</f>
        <v>-29.857</v>
      </c>
      <c r="F7" s="11">
        <f>IF(F$3=0,"",SUMIFS(INDEX(Inputs!$D$4:$AG$250,0,MATCH(F$2,Inputs!$D$2:$AG$2,0)),Inputs!$B$4:$B$250,$B7)/1000)</f>
        <v>-44.401</v>
      </c>
      <c r="G7" s="11">
        <f>IF(G$3=0,"",SUMIFS(INDEX(Inputs!$D$4:$AG$250,0,MATCH(G$2,Inputs!$D$2:$AG$2,0)),Inputs!$B$4:$B$250,$B7)/1000)</f>
        <v>-35.869</v>
      </c>
      <c r="H7" s="12">
        <f>IF(COUNT(D7:G7)=4,SUM(D7:G7),"")</f>
        <v>-139.563</v>
      </c>
      <c r="I7" s="11">
        <f>IF(I$3=0,"",SUMIFS(INDEX(Inputs!$D$4:$AG$250,0,MATCH(I$2,Inputs!$D$2:$AG$2,0)),Inputs!$B$4:$B$250,$B7)/1000)</f>
        <v>-38.507</v>
      </c>
      <c r="J7" s="11">
        <f>IF(J$3=0,"",SUMIFS(INDEX(Inputs!$D$4:$AG$250,0,MATCH(J$2,Inputs!$D$2:$AG$2,0)),Inputs!$B$4:$B$250,$B7)/1000)</f>
        <v>-36.456</v>
      </c>
      <c r="K7" s="11">
        <f>IF(K$3=0,"",SUMIFS(INDEX(Inputs!$D$4:$AG$250,0,MATCH(K$2,Inputs!$D$2:$AG$2,0)),Inputs!$B$4:$B$250,$B7)/1000)</f>
        <v>-36.74</v>
      </c>
      <c r="L7" s="11">
        <f>IF(L$3=0,"",SUMIFS(INDEX(Inputs!$D$4:$AG$250,0,MATCH(L$2,Inputs!$D$2:$AG$2,0)),Inputs!$B$4:$B$250,$B7)/1000)</f>
        <v>-37.879</v>
      </c>
      <c r="M7" s="12">
        <f>IF(COUNT(I7:L7)=4,SUM(I7:L7),"")</f>
        <v>-149.582</v>
      </c>
      <c r="N7" s="11">
        <f>IF(N$3=0,"",SUMIFS(INDEX(Inputs!$D$4:$AG$250,0,MATCH(N$2,Inputs!$D$2:$AG$2,0)),Inputs!$B$4:$B$250,$B7)/1000)</f>
        <v>-34.786</v>
      </c>
      <c r="O7" s="11">
        <f>IF(O$3=0,"",SUMIFS(INDEX(Inputs!$D$4:$AG$250,0,MATCH(O$2,Inputs!$D$2:$AG$2,0)),Inputs!$B$4:$B$250,$B7)/1000)</f>
        <v>-36.346</v>
      </c>
      <c r="P7" s="11">
        <f>IF(P$3=0,"",SUMIFS(INDEX(Inputs!$D$4:$AG$250,0,MATCH(P$2,Inputs!$D$2:$AG$2,0)),Inputs!$B$4:$B$250,$B7)/1000)</f>
        <v>-40.913</v>
      </c>
      <c r="Q7" s="11">
        <f>IF(Q$3=0,"",SUMIFS(INDEX(Inputs!$D$4:$AG$250,0,MATCH(Q$2,Inputs!$D$2:$AG$2,0)),Inputs!$B$4:$B$250,$B7)/1000)</f>
        <v>-41.867</v>
      </c>
      <c r="R7" s="12">
        <f>IF(COUNT(N7:Q7)=4,SUM(N7:Q7),"")</f>
        <v>-153.912</v>
      </c>
      <c r="S7" s="11">
        <f>IF(S$3=0,"",SUMIFS(INDEX(Inputs!$D$4:$AG$250,0,MATCH(S$2,Inputs!$D$2:$AG$2,0)),Inputs!$B$4:$B$250,$B7)/1000)</f>
        <v>-42.888</v>
      </c>
      <c r="T7" s="11">
        <f>IF(T$3=0,"",SUMIFS(INDEX(Inputs!$D$4:$AG$250,0,MATCH(T$2,Inputs!$D$2:$AG$2,0)),Inputs!$B$4:$B$250,$B7)/1000)</f>
        <v>-43.985</v>
      </c>
      <c r="U7" s="11">
        <f>IF(U$3=0,"",SUMIFS(INDEX(Inputs!$D$4:$AG$250,0,MATCH(U$2,Inputs!$D$2:$AG$2,0)),Inputs!$B$4:$B$250,$B7)/1000)</f>
        <v>-45.859</v>
      </c>
      <c r="V7" s="11">
        <f>IF(V$3=0,"",SUMIFS(INDEX(Inputs!$D$4:$AG$250,0,MATCH(V$2,Inputs!$D$2:$AG$2,0)),Inputs!$B$4:$B$250,$B7)/1000)</f>
        <v>-45.423</v>
      </c>
      <c r="W7" s="12">
        <f>IF(COUNT(S7:V7)=4,SUM(S7:V7),"")</f>
        <v>-178.155</v>
      </c>
      <c r="X7" s="11">
        <f>IF(X$3=0,"",SUMIFS(INDEX(Inputs!$D$4:$AG$250,0,MATCH(X$2,Inputs!$D$2:$AG$2,0)),Inputs!$B$4:$B$250,$B7)/1000)</f>
        <v>-41.263</v>
      </c>
      <c r="Y7" s="11">
        <f>IF(Y$3=0,"",SUMIFS(INDEX(Inputs!$D$4:$AG$250,0,MATCH(Y$2,Inputs!$D$2:$AG$2,0)),Inputs!$B$4:$B$250,$B7)/1000)</f>
        <v>-45.418</v>
      </c>
      <c r="Z7" s="11">
        <f>IF(Z$3=0,"",SUMIFS(INDEX(Inputs!$D$4:$AG$250,0,MATCH(Z$2,Inputs!$D$2:$AG$2,0)),Inputs!$B$4:$B$250,$B7)/1000)</f>
        <v>-47.651</v>
      </c>
      <c r="AA7" s="11">
        <f>IF(AA$3=0,"",SUMIFS(INDEX(Inputs!$D$4:$AG$250,0,MATCH(AA$2,Inputs!$D$2:$AG$2,0)),Inputs!$B$4:$B$250,$B7)/1000)</f>
        <v>-51.46</v>
      </c>
      <c r="AB7" s="12">
        <f>IF(COUNT(X7:AA7)=4,SUM(X7:AA7),"")</f>
        <v>-185.792</v>
      </c>
      <c r="AC7" s="11">
        <f>IF(AC$3=0,"",SUMIFS(INDEX(Inputs!$D$4:$AG$250,0,MATCH(AC$2,Inputs!$D$2:$AG$2,0)),Inputs!$B$4:$B$250,$B7)/1000)</f>
        <v>-56.114</v>
      </c>
      <c r="AD7" s="11">
        <f>IF(AD$3=0,"",SUMIFS(INDEX(Inputs!$D$4:$AG$250,0,MATCH(AD$2,Inputs!$D$2:$AG$2,0)),Inputs!$B$4:$B$250,$B7)/1000)</f>
        <v>-51.589</v>
      </c>
      <c r="AE7" s="11" t="str">
        <f>IF(AE$3=0,"",SUMIFS(INDEX(Inputs!$D$4:$AG$250,0,MATCH(AE$2,Inputs!$D$2:$AG$2,0)),Inputs!$B$4:$B$250,$B7)/1000)</f>
        <v/>
      </c>
      <c r="AF7" s="11" t="str">
        <f>IF(AF$3=0,"",SUMIFS(INDEX(Inputs!$D$4:$AG$250,0,MATCH(AF$2,Inputs!$D$2:$AG$2,0)),Inputs!$B$4:$B$250,$B7)/1000)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IF(D$3=0,"",SUMIFS(INDEX(Inputs!$D$4:$AG$250,0,MATCH(D$2,Inputs!$D$2:$AG$2,0)),Inputs!$B$4:$B$250,$B8)/1000)</f>
        <v>-181.976</v>
      </c>
      <c r="E8" s="11">
        <f>IF(E$3=0,"",SUMIFS(INDEX(Inputs!$D$4:$AG$250,0,MATCH(E$2,Inputs!$D$2:$AG$2,0)),Inputs!$B$4:$B$250,$B8)/1000)</f>
        <v>-186.631</v>
      </c>
      <c r="F8" s="11">
        <f>IF(F$3=0,"",SUMIFS(INDEX(Inputs!$D$4:$AG$250,0,MATCH(F$2,Inputs!$D$2:$AG$2,0)),Inputs!$B$4:$B$250,$B8)/1000)</f>
        <v>-237.76</v>
      </c>
      <c r="G8" s="11">
        <f>IF(G$3=0,"",SUMIFS(INDEX(Inputs!$D$4:$AG$250,0,MATCH(G$2,Inputs!$D$2:$AG$2,0)),Inputs!$B$4:$B$250,$B8)/1000)</f>
        <v>-278.357</v>
      </c>
      <c r="H8" s="12">
        <f>IF(COUNT(D8:G8)=4,SUM(D8:G8),"")</f>
        <v>-884.724</v>
      </c>
      <c r="I8" s="11">
        <f>IF(I$3=0,"",SUMIFS(INDEX(Inputs!$D$4:$AG$250,0,MATCH(I$2,Inputs!$D$2:$AG$2,0)),Inputs!$B$4:$B$250,$B8)/1000)</f>
        <v>-330.641</v>
      </c>
      <c r="J8" s="11">
        <f>IF(J$3=0,"",SUMIFS(INDEX(Inputs!$D$4:$AG$250,0,MATCH(J$2,Inputs!$D$2:$AG$2,0)),Inputs!$B$4:$B$250,$B8)/1000)</f>
        <v>-370.837</v>
      </c>
      <c r="K8" s="11">
        <f>IF(K$3=0,"",SUMIFS(INDEX(Inputs!$D$4:$AG$250,0,MATCH(K$2,Inputs!$D$2:$AG$2,0)),Inputs!$B$4:$B$250,$B8)/1000)</f>
        <v>-191.864</v>
      </c>
      <c r="L8" s="11">
        <f>IF(L$3=0,"",SUMIFS(INDEX(Inputs!$D$4:$AG$250,0,MATCH(L$2,Inputs!$D$2:$AG$2,0)),Inputs!$B$4:$B$250,$B8)/1000)</f>
        <v>-287.488</v>
      </c>
      <c r="M8" s="12">
        <f>IF(COUNT(I8:L8)=4,SUM(I8:L8),"")</f>
        <v>-1180.83</v>
      </c>
      <c r="N8" s="11">
        <f>IF(N$3=0,"",SUMIFS(INDEX(Inputs!$D$4:$AG$250,0,MATCH(N$2,Inputs!$D$2:$AG$2,0)),Inputs!$B$4:$B$250,$B8)/1000)</f>
        <v>-356.946</v>
      </c>
      <c r="O8" s="11">
        <f>IF(O$3=0,"",SUMIFS(INDEX(Inputs!$D$4:$AG$250,0,MATCH(O$2,Inputs!$D$2:$AG$2,0)),Inputs!$B$4:$B$250,$B8)/1000)</f>
        <v>-285.361</v>
      </c>
      <c r="P8" s="11">
        <f>IF(P$3=0,"",SUMIFS(INDEX(Inputs!$D$4:$AG$250,0,MATCH(P$2,Inputs!$D$2:$AG$2,0)),Inputs!$B$4:$B$250,$B8)/1000)</f>
        <v>-260.613</v>
      </c>
      <c r="Q8" s="11">
        <f>IF(Q$3=0,"",SUMIFS(INDEX(Inputs!$D$4:$AG$250,0,MATCH(Q$2,Inputs!$D$2:$AG$2,0)),Inputs!$B$4:$B$250,$B8)/1000)</f>
        <v>-263.293</v>
      </c>
      <c r="R8" s="12">
        <f>IF(COUNT(N8:Q8)=4,SUM(N8:Q8),"")</f>
        <v>-1166.213</v>
      </c>
      <c r="S8" s="11">
        <f>IF(S$3=0,"",SUMIFS(INDEX(Inputs!$D$4:$AG$250,0,MATCH(S$2,Inputs!$D$2:$AG$2,0)),Inputs!$B$4:$B$250,$B8)/1000)</f>
        <v>-322.739</v>
      </c>
      <c r="T8" s="11">
        <f>IF(T$3=0,"",SUMIFS(INDEX(Inputs!$D$4:$AG$250,0,MATCH(T$2,Inputs!$D$2:$AG$2,0)),Inputs!$B$4:$B$250,$B8)/1000)</f>
        <v>-285.754</v>
      </c>
      <c r="U8" s="11">
        <f>IF(U$3=0,"",SUMIFS(INDEX(Inputs!$D$4:$AG$250,0,MATCH(U$2,Inputs!$D$2:$AG$2,0)),Inputs!$B$4:$B$250,$B8)/1000)</f>
        <v>-282.534</v>
      </c>
      <c r="V8" s="11">
        <f>IF(V$3=0,"",SUMIFS(INDEX(Inputs!$D$4:$AG$250,0,MATCH(V$2,Inputs!$D$2:$AG$2,0)),Inputs!$B$4:$B$250,$B8)/1000)</f>
        <v>-331.378</v>
      </c>
      <c r="W8" s="12">
        <f>IF(COUNT(S8:V8)=4,SUM(S8:V8),"")</f>
        <v>-1222.405</v>
      </c>
      <c r="X8" s="11">
        <f>IF(X$3=0,"",SUMIFS(INDEX(Inputs!$D$4:$AG$250,0,MATCH(X$2,Inputs!$D$2:$AG$2,0)),Inputs!$B$4:$B$250,$B8)/1000)</f>
        <v>-385.908</v>
      </c>
      <c r="Y8" s="11">
        <f>IF(Y$3=0,"",SUMIFS(INDEX(Inputs!$D$4:$AG$250,0,MATCH(Y$2,Inputs!$D$2:$AG$2,0)),Inputs!$B$4:$B$250,$B8)/1000)</f>
        <v>-306.645</v>
      </c>
      <c r="Z8" s="11">
        <f>IF(Z$3=0,"",SUMIFS(INDEX(Inputs!$D$4:$AG$250,0,MATCH(Z$2,Inputs!$D$2:$AG$2,0)),Inputs!$B$4:$B$250,$B8)/1000)</f>
        <v>-311.413</v>
      </c>
      <c r="AA8" s="11">
        <f>IF(AA$3=0,"",SUMIFS(INDEX(Inputs!$D$4:$AG$250,0,MATCH(AA$2,Inputs!$D$2:$AG$2,0)),Inputs!$B$4:$B$250,$B8)/1000)</f>
        <v>-320.395</v>
      </c>
      <c r="AB8" s="12">
        <f>IF(COUNT(X8:AA8)=4,SUM(X8:AA8),"")</f>
        <v>-1324.361</v>
      </c>
      <c r="AC8" s="11">
        <f>IF(AC$3=0,"",SUMIFS(INDEX(Inputs!$D$4:$AG$250,0,MATCH(AC$2,Inputs!$D$2:$AG$2,0)),Inputs!$B$4:$B$250,$B8)/1000)</f>
        <v>-362.798</v>
      </c>
      <c r="AD8" s="11">
        <f>IF(AD$3=0,"",SUMIFS(INDEX(Inputs!$D$4:$AG$250,0,MATCH(AD$2,Inputs!$D$2:$AG$2,0)),Inputs!$B$4:$B$250,$B8)/1000)</f>
        <v>-389.195</v>
      </c>
      <c r="AE8" s="11" t="str">
        <f>IF(AE$3=0,"",SUMIFS(INDEX(Inputs!$D$4:$AG$250,0,MATCH(AE$2,Inputs!$D$2:$AG$2,0)),Inputs!$B$4:$B$250,$B8)/1000)</f>
        <v/>
      </c>
      <c r="AF8" s="11" t="str">
        <f>IF(AF$3=0,"",SUMIFS(INDEX(Inputs!$D$4:$AG$250,0,MATCH(AF$2,Inputs!$D$2:$AG$2,0)),Inputs!$B$4:$B$250,$B8)/1000)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IF(D$3=0,"",SUMIFS(INDEX(Inputs!$D$4:$AG$250,0,MATCH(D$2,Inputs!$D$2:$AG$2,0)),Inputs!$B$4:$B$250,$B9)/1000)</f>
        <v>-28.134</v>
      </c>
      <c r="E9" s="11">
        <f>IF(E$3=0,"",SUMIFS(INDEX(Inputs!$D$4:$AG$250,0,MATCH(E$2,Inputs!$D$2:$AG$2,0)),Inputs!$B$4:$B$250,$B9)/1000)</f>
        <v>-14.504</v>
      </c>
      <c r="F9" s="11">
        <f>IF(F$3=0,"",SUMIFS(INDEX(Inputs!$D$4:$AG$250,0,MATCH(F$2,Inputs!$D$2:$AG$2,0)),Inputs!$B$4:$B$250,$B9)/1000)</f>
        <v>-49.987</v>
      </c>
      <c r="G9" s="11">
        <f>IF(G$3=0,"",SUMIFS(INDEX(Inputs!$D$4:$AG$250,0,MATCH(G$2,Inputs!$D$2:$AG$2,0)),Inputs!$B$4:$B$250,$B9)/1000)</f>
        <v>61.804</v>
      </c>
      <c r="H9" s="12">
        <f>IF(COUNT(D9:G9)=4,SUM(D9:G9),"")</f>
        <v>-30.821</v>
      </c>
      <c r="I9" s="11">
        <f>IF(I$3=0,"",SUMIFS(INDEX(Inputs!$D$4:$AG$250,0,MATCH(I$2,Inputs!$D$2:$AG$2,0)),Inputs!$B$4:$B$250,$B9)/1000)</f>
        <v>105.333</v>
      </c>
      <c r="J9" s="11">
        <f>IF(J$3=0,"",SUMIFS(INDEX(Inputs!$D$4:$AG$250,0,MATCH(J$2,Inputs!$D$2:$AG$2,0)),Inputs!$B$4:$B$250,$B9)/1000)</f>
        <v>29.885</v>
      </c>
      <c r="K9" s="11">
        <f>IF(K$3=0,"",SUMIFS(INDEX(Inputs!$D$4:$AG$250,0,MATCH(K$2,Inputs!$D$2:$AG$2,0)),Inputs!$B$4:$B$250,$B9)/1000)</f>
        <v>9.146</v>
      </c>
      <c r="L9" s="11">
        <f>IF(L$3=0,"",SUMIFS(INDEX(Inputs!$D$4:$AG$250,0,MATCH(L$2,Inputs!$D$2:$AG$2,0)),Inputs!$B$4:$B$250,$B9)/1000)</f>
        <v>70.34</v>
      </c>
      <c r="M9" s="12">
        <f>IF(COUNT(I9:L9)=4,SUM(I9:L9),"")</f>
        <v>214.704</v>
      </c>
      <c r="N9" s="11">
        <f>IF(N$3=0,"",SUMIFS(INDEX(Inputs!$D$4:$AG$250,0,MATCH(N$2,Inputs!$D$2:$AG$2,0)),Inputs!$B$4:$B$250,$B9)/1000)</f>
        <v>72.297</v>
      </c>
      <c r="O9" s="11">
        <f>IF(O$3=0,"",SUMIFS(INDEX(Inputs!$D$4:$AG$250,0,MATCH(O$2,Inputs!$D$2:$AG$2,0)),Inputs!$B$4:$B$250,$B9)/1000)</f>
        <v>90.615</v>
      </c>
      <c r="P9" s="11">
        <f>IF(P$3=0,"",SUMIFS(INDEX(Inputs!$D$4:$AG$250,0,MATCH(P$2,Inputs!$D$2:$AG$2,0)),Inputs!$B$4:$B$250,$B9)/1000)</f>
        <v>46.426</v>
      </c>
      <c r="Q9" s="11">
        <f>IF(Q$3=0,"",SUMIFS(INDEX(Inputs!$D$4:$AG$250,0,MATCH(Q$2,Inputs!$D$2:$AG$2,0)),Inputs!$B$4:$B$250,$B9)/1000)</f>
        <v>79.443</v>
      </c>
      <c r="R9" s="12">
        <f>IF(COUNT(N9:Q9)=4,SUM(N9:Q9),"")</f>
        <v>288.781</v>
      </c>
      <c r="S9" s="11">
        <f>IF(S$3=0,"",SUMIFS(INDEX(Inputs!$D$4:$AG$250,0,MATCH(S$2,Inputs!$D$2:$AG$2,0)),Inputs!$B$4:$B$250,$B9)/1000)</f>
        <v>68.858</v>
      </c>
      <c r="T9" s="11">
        <f>IF(T$3=0,"",SUMIFS(INDEX(Inputs!$D$4:$AG$250,0,MATCH(T$2,Inputs!$D$2:$AG$2,0)),Inputs!$B$4:$B$250,$B9)/1000)</f>
        <v>51.672</v>
      </c>
      <c r="U9" s="11">
        <f>IF(U$3=0,"",SUMIFS(INDEX(Inputs!$D$4:$AG$250,0,MATCH(U$2,Inputs!$D$2:$AG$2,0)),Inputs!$B$4:$B$250,$B9)/1000)</f>
        <v>91.093</v>
      </c>
      <c r="V9" s="11">
        <f>IF(V$3=0,"",SUMIFS(INDEX(Inputs!$D$4:$AG$250,0,MATCH(V$2,Inputs!$D$2:$AG$2,0)),Inputs!$B$4:$B$250,$B9)/1000)</f>
        <v>59.663</v>
      </c>
      <c r="W9" s="12">
        <f>IF(COUNT(S9:V9)=4,SUM(S9:V9),"")</f>
        <v>271.286</v>
      </c>
      <c r="X9" s="11">
        <f>IF(X$3=0,"",SUMIFS(INDEX(Inputs!$D$4:$AG$250,0,MATCH(X$2,Inputs!$D$2:$AG$2,0)),Inputs!$B$4:$B$250,$B9)/1000)</f>
        <v>111.171</v>
      </c>
      <c r="Y9" s="11">
        <f>IF(Y$3=0,"",SUMIFS(INDEX(Inputs!$D$4:$AG$250,0,MATCH(Y$2,Inputs!$D$2:$AG$2,0)),Inputs!$B$4:$B$250,$B9)/1000)</f>
        <v>100.653</v>
      </c>
      <c r="Z9" s="11">
        <f>IF(Z$3=0,"",SUMIFS(INDEX(Inputs!$D$4:$AG$250,0,MATCH(Z$2,Inputs!$D$2:$AG$2,0)),Inputs!$B$4:$B$250,$B9)/1000)</f>
        <v>98.845</v>
      </c>
      <c r="AA9" s="11">
        <f>IF(AA$3=0,"",SUMIFS(INDEX(Inputs!$D$4:$AG$250,0,MATCH(AA$2,Inputs!$D$2:$AG$2,0)),Inputs!$B$4:$B$250,$B9)/1000)</f>
        <v>141.855</v>
      </c>
      <c r="AB9" s="12">
        <f>IF(COUNT(X9:AA9)=4,SUM(X9:AA9),"")</f>
        <v>452.524</v>
      </c>
      <c r="AC9" s="11">
        <f>IF(AC$3=0,"",SUMIFS(INDEX(Inputs!$D$4:$AG$250,0,MATCH(AC$2,Inputs!$D$2:$AG$2,0)),Inputs!$B$4:$B$250,$B9)/1000)</f>
        <v>60.684</v>
      </c>
      <c r="AD9" s="11">
        <f>IF(AD$3=0,"",SUMIFS(INDEX(Inputs!$D$4:$AG$250,0,MATCH(AD$2,Inputs!$D$2:$AG$2,0)),Inputs!$B$4:$B$250,$B9)/1000)</f>
        <v>151.17</v>
      </c>
      <c r="AE9" s="11" t="str">
        <f>IF(AE$3=0,"",SUMIFS(INDEX(Inputs!$D$4:$AG$250,0,MATCH(AE$2,Inputs!$D$2:$AG$2,0)),Inputs!$B$4:$B$250,$B9)/1000)</f>
        <v/>
      </c>
      <c r="AF9" s="11" t="str">
        <f>IF(AF$3=0,"",SUMIFS(INDEX(Inputs!$D$4:$AG$250,0,MATCH(AF$2,Inputs!$D$2:$AG$2,0)),Inputs!$B$4:$B$250,$B9)/1000)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IF(D$3=0,"",SUMIFS(INDEX(Inputs!$D$4:$AG$250,0,MATCH(D$2,Inputs!$D$2:$AG$2,0)),Inputs!$B$4:$B$250,$B10)/1000)</f>
        <v>-207.688</v>
      </c>
      <c r="E10" s="11">
        <f>IF(E$3=0,"",SUMIFS(INDEX(Inputs!$D$4:$AG$250,0,MATCH(E$2,Inputs!$D$2:$AG$2,0)),Inputs!$B$4:$B$250,$B10)/1000)</f>
        <v>-222.51</v>
      </c>
      <c r="F10" s="11">
        <f>IF(F$3=0,"",SUMIFS(INDEX(Inputs!$D$4:$AG$250,0,MATCH(F$2,Inputs!$D$2:$AG$2,0)),Inputs!$B$4:$B$250,$B10)/1000)</f>
        <v>-141.599</v>
      </c>
      <c r="G10" s="11">
        <f>IF(G$3=0,"",SUMIFS(INDEX(Inputs!$D$4:$AG$250,0,MATCH(G$2,Inputs!$D$2:$AG$2,0)),Inputs!$B$4:$B$250,$B10)/1000)</f>
        <v>-169.854</v>
      </c>
      <c r="H10" s="12">
        <f>IF(COUNT(D10:G10)=4,SUM(D10:G10),"")</f>
        <v>-741.651</v>
      </c>
      <c r="I10" s="11">
        <f>IF(I$3=0,"",SUMIFS(INDEX(Inputs!$D$4:$AG$250,0,MATCH(I$2,Inputs!$D$2:$AG$2,0)),Inputs!$B$4:$B$250,$B10)/1000)</f>
        <v>-128.849</v>
      </c>
      <c r="J10" s="11">
        <f>IF(J$3=0,"",SUMIFS(INDEX(Inputs!$D$4:$AG$250,0,MATCH(J$2,Inputs!$D$2:$AG$2,0)),Inputs!$B$4:$B$250,$B10)/1000)</f>
        <v>-127.79</v>
      </c>
      <c r="K10" s="11">
        <f>IF(K$3=0,"",SUMIFS(INDEX(Inputs!$D$4:$AG$250,0,MATCH(K$2,Inputs!$D$2:$AG$2,0)),Inputs!$B$4:$B$250,$B10)/1000)</f>
        <v>-17.437</v>
      </c>
      <c r="L10" s="11">
        <f>IF(L$3=0,"",SUMIFS(INDEX(Inputs!$D$4:$AG$250,0,MATCH(L$2,Inputs!$D$2:$AG$2,0)),Inputs!$B$4:$B$250,$B10)/1000)</f>
        <v>38.12</v>
      </c>
      <c r="M10" s="12">
        <f>IF(COUNT(I10:L10)=4,SUM(I10:L10),"")</f>
        <v>-235.956</v>
      </c>
      <c r="N10" s="11">
        <f>IF(N$3=0,"",SUMIFS(INDEX(Inputs!$D$4:$AG$250,0,MATCH(N$2,Inputs!$D$2:$AG$2,0)),Inputs!$B$4:$B$250,$B10)/1000)</f>
        <v>-104.797</v>
      </c>
      <c r="O10" s="11">
        <f>IF(O$3=0,"",SUMIFS(INDEX(Inputs!$D$4:$AG$250,0,MATCH(O$2,Inputs!$D$2:$AG$2,0)),Inputs!$B$4:$B$250,$B10)/1000)</f>
        <v>-65.437</v>
      </c>
      <c r="P10" s="11">
        <f>IF(P$3=0,"",SUMIFS(INDEX(Inputs!$D$4:$AG$250,0,MATCH(P$2,Inputs!$D$2:$AG$2,0)),Inputs!$B$4:$B$250,$B10)/1000)</f>
        <v>-32.784</v>
      </c>
      <c r="Q10" s="11">
        <f>IF(Q$3=0,"",SUMIFS(INDEX(Inputs!$D$4:$AG$250,0,MATCH(Q$2,Inputs!$D$2:$AG$2,0)),Inputs!$B$4:$B$250,$B10)/1000)</f>
        <v>-126.259</v>
      </c>
      <c r="R10" s="12">
        <f>IF(COUNT(N10:Q10)=4,SUM(N10:Q10),"")</f>
        <v>-329.277</v>
      </c>
      <c r="S10" s="11">
        <f>IF(S$3=0,"",SUMIFS(INDEX(Inputs!$D$4:$AG$250,0,MATCH(S$2,Inputs!$D$2:$AG$2,0)),Inputs!$B$4:$B$250,$B10)/1000)</f>
        <v>-112.21</v>
      </c>
      <c r="T10" s="11">
        <f>IF(T$3=0,"",SUMIFS(INDEX(Inputs!$D$4:$AG$250,0,MATCH(T$2,Inputs!$D$2:$AG$2,0)),Inputs!$B$4:$B$250,$B10)/1000)</f>
        <v>-114.191</v>
      </c>
      <c r="U10" s="11">
        <f>IF(U$3=0,"",SUMIFS(INDEX(Inputs!$D$4:$AG$250,0,MATCH(U$2,Inputs!$D$2:$AG$2,0)),Inputs!$B$4:$B$250,$B10)/1000)</f>
        <v>189.882</v>
      </c>
      <c r="V10" s="11">
        <f>IF(V$3=0,"",SUMIFS(INDEX(Inputs!$D$4:$AG$250,0,MATCH(V$2,Inputs!$D$2:$AG$2,0)),Inputs!$B$4:$B$250,$B10)/1000)</f>
        <v>-45.092</v>
      </c>
      <c r="W10" s="12">
        <f>IF(COUNT(S10:V10)=4,SUM(S10:V10),"")</f>
        <v>-81.611</v>
      </c>
      <c r="X10" s="11">
        <f>IF(X$3=0,"",SUMIFS(INDEX(Inputs!$D$4:$AG$250,0,MATCH(X$2,Inputs!$D$2:$AG$2,0)),Inputs!$B$4:$B$250,$B10)/1000)</f>
        <v>-131.237</v>
      </c>
      <c r="Y10" s="11">
        <f>IF(Y$3=0,"",SUMIFS(INDEX(Inputs!$D$4:$AG$250,0,MATCH(Y$2,Inputs!$D$2:$AG$2,0)),Inputs!$B$4:$B$250,$B10)/1000)</f>
        <v>-65.277</v>
      </c>
      <c r="Z10" s="11">
        <f>IF(Z$3=0,"",SUMIFS(INDEX(Inputs!$D$4:$AG$250,0,MATCH(Z$2,Inputs!$D$2:$AG$2,0)),Inputs!$B$4:$B$250,$B10)/1000)</f>
        <v>-191.825</v>
      </c>
      <c r="AA10" s="11">
        <f>IF(AA$3=0,"",SUMIFS(INDEX(Inputs!$D$4:$AG$250,0,MATCH(AA$2,Inputs!$D$2:$AG$2,0)),Inputs!$B$4:$B$250,$B10)/1000)</f>
        <v>-121.15</v>
      </c>
      <c r="AB10" s="12">
        <f>IF(COUNT(X10:AA10)=4,SUM(X10:AA10),"")</f>
        <v>-509.489</v>
      </c>
      <c r="AC10" s="11">
        <f>IF(AC$3=0,"",SUMIFS(INDEX(Inputs!$D$4:$AG$250,0,MATCH(AC$2,Inputs!$D$2:$AG$2,0)),Inputs!$B$4:$B$250,$B10)/1000)</f>
        <v>-116.027</v>
      </c>
      <c r="AD10" s="11">
        <f>IF(AD$3=0,"",SUMIFS(INDEX(Inputs!$D$4:$AG$250,0,MATCH(AD$2,Inputs!$D$2:$AG$2,0)),Inputs!$B$4:$B$250,$B10)/1000)</f>
        <v>-54.921</v>
      </c>
      <c r="AE10" s="11" t="str">
        <f>IF(AE$3=0,"",SUMIFS(INDEX(Inputs!$D$4:$AG$250,0,MATCH(AE$2,Inputs!$D$2:$AG$2,0)),Inputs!$B$4:$B$250,$B10)/1000)</f>
        <v/>
      </c>
      <c r="AF10" s="11" t="str">
        <f>IF(AF$3=0,"",SUMIFS(INDEX(Inputs!$D$4:$AG$250,0,MATCH(AF$2,Inputs!$D$2:$AG$2,0)),Inputs!$B$4:$B$250,$B10)/1000)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IF(D$3=0,"",SUMIFS(INDEX(Inputs!$D$4:$AG$250,0,MATCH(D$2,Inputs!$D$2:$AG$2,0)),Inputs!$B$4:$B$250,$B11)/1000)</f>
        <v>1.466</v>
      </c>
      <c r="E11" s="11">
        <f>IF(E$3=0,"",SUMIFS(INDEX(Inputs!$D$4:$AG$250,0,MATCH(E$2,Inputs!$D$2:$AG$2,0)),Inputs!$B$4:$B$250,$B11)/1000)</f>
        <v>2.109</v>
      </c>
      <c r="F11" s="11">
        <f>IF(F$3=0,"",SUMIFS(INDEX(Inputs!$D$4:$AG$250,0,MATCH(F$2,Inputs!$D$2:$AG$2,0)),Inputs!$B$4:$B$250,$B11)/1000)</f>
        <v>1.143</v>
      </c>
      <c r="G11" s="11">
        <f>IF(G$3=0,"",SUMIFS(INDEX(Inputs!$D$4:$AG$250,0,MATCH(G$2,Inputs!$D$2:$AG$2,0)),Inputs!$B$4:$B$250,$B11)/1000)</f>
        <v>0.537</v>
      </c>
      <c r="H11" s="12">
        <f>IF(COUNT(D11:G11)=4,SUM(D11:G11),"")</f>
        <v>5.255</v>
      </c>
      <c r="I11" s="11">
        <f>IF(I$3=0,"",SUMIFS(INDEX(Inputs!$D$4:$AG$250,0,MATCH(I$2,Inputs!$D$2:$AG$2,0)),Inputs!$B$4:$B$250,$B11)/1000)</f>
        <v>-0.114</v>
      </c>
      <c r="J11" s="11">
        <f>IF(J$3=0,"",SUMIFS(INDEX(Inputs!$D$4:$AG$250,0,MATCH(J$2,Inputs!$D$2:$AG$2,0)),Inputs!$B$4:$B$250,$B11)/1000)</f>
        <v>2.533</v>
      </c>
      <c r="K11" s="11">
        <f>IF(K$3=0,"",SUMIFS(INDEX(Inputs!$D$4:$AG$250,0,MATCH(K$2,Inputs!$D$2:$AG$2,0)),Inputs!$B$4:$B$250,$B11)/1000)</f>
        <v>1.949</v>
      </c>
      <c r="L11" s="11">
        <f>IF(L$3=0,"",SUMIFS(INDEX(Inputs!$D$4:$AG$250,0,MATCH(L$2,Inputs!$D$2:$AG$2,0)),Inputs!$B$4:$B$250,$B11)/1000)</f>
        <v>1.598</v>
      </c>
      <c r="M11" s="12">
        <f>IF(COUNT(I11:L11)=4,SUM(I11:L11),"")</f>
        <v>5.966</v>
      </c>
      <c r="N11" s="11">
        <f>IF(N$3=0,"",SUMIFS(INDEX(Inputs!$D$4:$AG$250,0,MATCH(N$2,Inputs!$D$2:$AG$2,0)),Inputs!$B$4:$B$250,$B11)/1000)</f>
        <v>0.859</v>
      </c>
      <c r="O11" s="11">
        <f>IF(O$3=0,"",SUMIFS(INDEX(Inputs!$D$4:$AG$250,0,MATCH(O$2,Inputs!$D$2:$AG$2,0)),Inputs!$B$4:$B$250,$B11)/1000)</f>
        <v>20.152</v>
      </c>
      <c r="P11" s="11">
        <f>IF(P$3=0,"",SUMIFS(INDEX(Inputs!$D$4:$AG$250,0,MATCH(P$2,Inputs!$D$2:$AG$2,0)),Inputs!$B$4:$B$250,$B11)/1000)</f>
        <v>6.246</v>
      </c>
      <c r="Q11" s="11">
        <f>IF(Q$3=0,"",SUMIFS(INDEX(Inputs!$D$4:$AG$250,0,MATCH(Q$2,Inputs!$D$2:$AG$2,0)),Inputs!$B$4:$B$250,$B11)/1000)</f>
        <v>13.911</v>
      </c>
      <c r="R11" s="12">
        <f>IF(COUNT(N11:Q11)=4,SUM(N11:Q11),"")</f>
        <v>41.168</v>
      </c>
      <c r="S11" s="11">
        <f>IF(S$3=0,"",SUMIFS(INDEX(Inputs!$D$4:$AG$250,0,MATCH(S$2,Inputs!$D$2:$AG$2,0)),Inputs!$B$4:$B$250,$B11)/1000)</f>
        <v>16.182</v>
      </c>
      <c r="T11" s="11">
        <f>IF(T$3=0,"",SUMIFS(INDEX(Inputs!$D$4:$AG$250,0,MATCH(T$2,Inputs!$D$2:$AG$2,0)),Inputs!$B$4:$B$250,$B11)/1000)</f>
        <v>30.808</v>
      </c>
      <c r="U11" s="11">
        <f>IF(U$3=0,"",SUMIFS(INDEX(Inputs!$D$4:$AG$250,0,MATCH(U$2,Inputs!$D$2:$AG$2,0)),Inputs!$B$4:$B$250,$B11)/1000)</f>
        <v>48.416</v>
      </c>
      <c r="V11" s="11">
        <f>IF(V$3=0,"",SUMIFS(INDEX(Inputs!$D$4:$AG$250,0,MATCH(V$2,Inputs!$D$2:$AG$2,0)),Inputs!$B$4:$B$250,$B11)/1000)</f>
        <v>53.597</v>
      </c>
      <c r="W11" s="12">
        <f>IF(COUNT(S11:V11)=4,SUM(S11:V11),"")</f>
        <v>149.003</v>
      </c>
      <c r="X11" s="11">
        <f>IF(X$3=0,"",SUMIFS(INDEX(Inputs!$D$4:$AG$250,0,MATCH(X$2,Inputs!$D$2:$AG$2,0)),Inputs!$B$4:$B$250,$B11)/1000)</f>
        <v>49.547</v>
      </c>
      <c r="Y11" s="11">
        <f>IF(Y$3=0,"",SUMIFS(INDEX(Inputs!$D$4:$AG$250,0,MATCH(Y$2,Inputs!$D$2:$AG$2,0)),Inputs!$B$4:$B$250,$B11)/1000)</f>
        <v>-79.856</v>
      </c>
      <c r="Z11" s="11">
        <f>IF(Z$3=0,"",SUMIFS(INDEX(Inputs!$D$4:$AG$250,0,MATCH(Z$2,Inputs!$D$2:$AG$2,0)),Inputs!$B$4:$B$250,$B11)/1000)</f>
        <v>321.289</v>
      </c>
      <c r="AA11" s="11">
        <f>IF(AA$3=0,"",SUMIFS(INDEX(Inputs!$D$4:$AG$250,0,MATCH(AA$2,Inputs!$D$2:$AG$2,0)),Inputs!$B$4:$B$250,$B11)/1000)</f>
        <v>10.213</v>
      </c>
      <c r="AB11" s="12">
        <f>IF(COUNT(X11:AA11)=4,SUM(X11:AA11),"")</f>
        <v>301.193</v>
      </c>
      <c r="AC11" s="11">
        <f>IF(AC$3=0,"",SUMIFS(INDEX(Inputs!$D$4:$AG$250,0,MATCH(AC$2,Inputs!$D$2:$AG$2,0)),Inputs!$B$4:$B$250,$B11)/1000)</f>
        <v>24.985</v>
      </c>
      <c r="AD11" s="11">
        <f>IF(AD$3=0,"",SUMIFS(INDEX(Inputs!$D$4:$AG$250,0,MATCH(AD$2,Inputs!$D$2:$AG$2,0)),Inputs!$B$4:$B$250,$B11)/1000)</f>
        <v>29.861</v>
      </c>
      <c r="AE11" s="11" t="str">
        <f>IF(AE$3=0,"",SUMIFS(INDEX(Inputs!$D$4:$AG$250,0,MATCH(AE$2,Inputs!$D$2:$AG$2,0)),Inputs!$B$4:$B$250,$B11)/1000)</f>
        <v/>
      </c>
      <c r="AF11" s="11" t="str">
        <f>IF(AF$3=0,"",SUMIFS(INDEX(Inputs!$D$4:$AG$250,0,MATCH(AF$2,Inputs!$D$2:$AG$2,0)),Inputs!$B$4:$B$250,$B11)/1000)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IF(D$3=0,"",SUMIFS(INDEX(Inputs!$D$4:$AG$250,0,MATCH(D$2,Inputs!$D$2:$AG$2,0)),Inputs!$B$4:$B$250,$B12)/1000)</f>
        <v>-337.471</v>
      </c>
      <c r="E12" s="11">
        <f>IF(E$3=0,"",SUMIFS(INDEX(Inputs!$D$4:$AG$250,0,MATCH(E$2,Inputs!$D$2:$AG$2,0)),Inputs!$B$4:$B$250,$B12)/1000)</f>
        <v>-344.143</v>
      </c>
      <c r="F12" s="11">
        <f>IF(F$3=0,"",SUMIFS(INDEX(Inputs!$D$4:$AG$250,0,MATCH(F$2,Inputs!$D$2:$AG$2,0)),Inputs!$B$4:$B$250,$B12)/1000)</f>
        <v>-188.716</v>
      </c>
      <c r="G12" s="11">
        <f>IF(G$3=0,"",SUMIFS(INDEX(Inputs!$D$4:$AG$250,0,MATCH(G$2,Inputs!$D$2:$AG$2,0)),Inputs!$B$4:$B$250,$B12)/1000)</f>
        <v>-137.085</v>
      </c>
      <c r="H12" s="12">
        <f>IF(COUNT(D12:G12)=4,SUM(D12:G12),"")</f>
        <v>-1007.415</v>
      </c>
      <c r="I12" s="11">
        <f>IF(I$3=0,"",SUMIFS(INDEX(Inputs!$D$4:$AG$250,0,MATCH(I$2,Inputs!$D$2:$AG$2,0)),Inputs!$B$4:$B$250,$B12)/1000)</f>
        <v>-307.9</v>
      </c>
      <c r="J12" s="11">
        <f>IF(J$3=0,"",SUMIFS(INDEX(Inputs!$D$4:$AG$250,0,MATCH(J$2,Inputs!$D$2:$AG$2,0)),Inputs!$B$4:$B$250,$B12)/1000)</f>
        <v>-187.923</v>
      </c>
      <c r="K12" s="11">
        <f>IF(K$3=0,"",SUMIFS(INDEX(Inputs!$D$4:$AG$250,0,MATCH(K$2,Inputs!$D$2:$AG$2,0)),Inputs!$B$4:$B$250,$B12)/1000)</f>
        <v>-134.594</v>
      </c>
      <c r="L12" s="11">
        <f>IF(L$3=0,"",SUMIFS(INDEX(Inputs!$D$4:$AG$250,0,MATCH(L$2,Inputs!$D$2:$AG$2,0)),Inputs!$B$4:$B$250,$B12)/1000)</f>
        <v>-114.99</v>
      </c>
      <c r="M12" s="12">
        <f>IF(COUNT(I12:L12)=4,SUM(I12:L12),"")</f>
        <v>-745.407</v>
      </c>
      <c r="N12" s="11">
        <f>IF(N$3=0,"",SUMIFS(INDEX(Inputs!$D$4:$AG$250,0,MATCH(N$2,Inputs!$D$2:$AG$2,0)),Inputs!$B$4:$B$250,$B12)/1000)</f>
        <v>-156.618</v>
      </c>
      <c r="O12" s="11">
        <f>IF(O$3=0,"",SUMIFS(INDEX(Inputs!$D$4:$AG$250,0,MATCH(O$2,Inputs!$D$2:$AG$2,0)),Inputs!$B$4:$B$250,$B12)/1000)</f>
        <v>-117.395</v>
      </c>
      <c r="P12" s="11">
        <f>IF(P$3=0,"",SUMIFS(INDEX(Inputs!$D$4:$AG$250,0,MATCH(P$2,Inputs!$D$2:$AG$2,0)),Inputs!$B$4:$B$250,$B12)/1000)</f>
        <v>-67.187</v>
      </c>
      <c r="Q12" s="11">
        <f>IF(Q$3=0,"",SUMIFS(INDEX(Inputs!$D$4:$AG$250,0,MATCH(Q$2,Inputs!$D$2:$AG$2,0)),Inputs!$B$4:$B$250,$B12)/1000)</f>
        <v>-115.723</v>
      </c>
      <c r="R12" s="12">
        <f>IF(COUNT(N12:Q12)=4,SUM(N12:Q12),"")</f>
        <v>-456.923</v>
      </c>
      <c r="S12" s="11">
        <f>IF(S$3=0,"",SUMIFS(INDEX(Inputs!$D$4:$AG$250,0,MATCH(S$2,Inputs!$D$2:$AG$2,0)),Inputs!$B$4:$B$250,$B12)/1000)</f>
        <v>-147.894</v>
      </c>
      <c r="T12" s="11">
        <f>IF(T$3=0,"",SUMIFS(INDEX(Inputs!$D$4:$AG$250,0,MATCH(T$2,Inputs!$D$2:$AG$2,0)),Inputs!$B$4:$B$250,$B12)/1000)</f>
        <v>-156.347</v>
      </c>
      <c r="U12" s="11">
        <f>IF(U$3=0,"",SUMIFS(INDEX(Inputs!$D$4:$AG$250,0,MATCH(U$2,Inputs!$D$2:$AG$2,0)),Inputs!$B$4:$B$250,$B12)/1000)</f>
        <v>-281.625</v>
      </c>
      <c r="V12" s="11">
        <f>IF(V$3=0,"",SUMIFS(INDEX(Inputs!$D$4:$AG$250,0,MATCH(V$2,Inputs!$D$2:$AG$2,0)),Inputs!$B$4:$B$250,$B12)/1000)</f>
        <v>-187.95</v>
      </c>
      <c r="W12" s="12">
        <f>IF(COUNT(S12:V12)=4,SUM(S12:V12),"")</f>
        <v>-773.816</v>
      </c>
      <c r="X12" s="11">
        <f>IF(X$3=0,"",SUMIFS(INDEX(Inputs!$D$4:$AG$250,0,MATCH(X$2,Inputs!$D$2:$AG$2,0)),Inputs!$B$4:$B$250,$B12)/1000)</f>
        <v>-186.523</v>
      </c>
      <c r="Y12" s="11">
        <f>IF(Y$3=0,"",SUMIFS(INDEX(Inputs!$D$4:$AG$250,0,MATCH(Y$2,Inputs!$D$2:$AG$2,0)),Inputs!$B$4:$B$250,$B12)/1000)</f>
        <v>-138.966</v>
      </c>
      <c r="Z12" s="11">
        <f>IF(Z$3=0,"",SUMIFS(INDEX(Inputs!$D$4:$AG$250,0,MATCH(Z$2,Inputs!$D$2:$AG$2,0)),Inputs!$B$4:$B$250,$B12)/1000)</f>
        <v>-43.206</v>
      </c>
      <c r="AA12" s="11">
        <f>IF(AA$3=0,"",SUMIFS(INDEX(Inputs!$D$4:$AG$250,0,MATCH(AA$2,Inputs!$D$2:$AG$2,0)),Inputs!$B$4:$B$250,$B12)/1000)</f>
        <v>-148.939</v>
      </c>
      <c r="AB12" s="12">
        <f>IF(COUNT(X12:AA12)=4,SUM(X12:AA12),"")</f>
        <v>-517.634</v>
      </c>
      <c r="AC12" s="11">
        <f>IF(AC$3=0,"",SUMIFS(INDEX(Inputs!$D$4:$AG$250,0,MATCH(AC$2,Inputs!$D$2:$AG$2,0)),Inputs!$B$4:$B$250,$B12)/1000)</f>
        <v>-139.779</v>
      </c>
      <c r="AD12" s="11">
        <f>IF(AD$3=0,"",SUMIFS(INDEX(Inputs!$D$4:$AG$250,0,MATCH(AD$2,Inputs!$D$2:$AG$2,0)),Inputs!$B$4:$B$250,$B12)/1000)</f>
        <v>-295.846</v>
      </c>
      <c r="AE12" s="11" t="str">
        <f>IF(AE$3=0,"",SUMIFS(INDEX(Inputs!$D$4:$AG$250,0,MATCH(AE$2,Inputs!$D$2:$AG$2,0)),Inputs!$B$4:$B$250,$B12)/1000)</f>
        <v/>
      </c>
      <c r="AF12" s="11" t="str">
        <f>IF(AF$3=0,"",SUMIFS(INDEX(Inputs!$D$4:$AG$250,0,MATCH(AF$2,Inputs!$D$2:$AG$2,0)),Inputs!$B$4:$B$250,$B12)/1000)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IF(D$3=0,"",SUMIFS(INDEX(Inputs!$D$4:$AG$250,0,MATCH(D$2,Inputs!$D$2:$AG$2,0)),Inputs!$B$4:$B$250,$B13)/1000)</f>
        <v>0</v>
      </c>
      <c r="E13" s="11">
        <f>IF(E$3=0,"",SUMIFS(INDEX(Inputs!$D$4:$AG$250,0,MATCH(E$2,Inputs!$D$2:$AG$2,0)),Inputs!$B$4:$B$250,$B13)/1000)</f>
        <v>0</v>
      </c>
      <c r="F13" s="11">
        <f>IF(F$3=0,"",SUMIFS(INDEX(Inputs!$D$4:$AG$250,0,MATCH(F$2,Inputs!$D$2:$AG$2,0)),Inputs!$B$4:$B$250,$B13)/1000)</f>
        <v>0</v>
      </c>
      <c r="G13" s="11">
        <f>IF(G$3=0,"",SUMIFS(INDEX(Inputs!$D$4:$AG$250,0,MATCH(G$2,Inputs!$D$2:$AG$2,0)),Inputs!$B$4:$B$250,$B13)/1000)</f>
        <v>0</v>
      </c>
      <c r="H13" s="12">
        <f>IF(COUNT(D13:G13)=4,SUM(D13:G13),"")</f>
        <v>0</v>
      </c>
      <c r="I13" s="11">
        <f>IF(I$3=0,"",SUMIFS(INDEX(Inputs!$D$4:$AG$250,0,MATCH(I$2,Inputs!$D$2:$AG$2,0)),Inputs!$B$4:$B$250,$B13)/1000)</f>
        <v>0</v>
      </c>
      <c r="J13" s="11">
        <f>IF(J$3=0,"",SUMIFS(INDEX(Inputs!$D$4:$AG$250,0,MATCH(J$2,Inputs!$D$2:$AG$2,0)),Inputs!$B$4:$B$250,$B13)/1000)</f>
        <v>0</v>
      </c>
      <c r="K13" s="11">
        <f>IF(K$3=0,"",SUMIFS(INDEX(Inputs!$D$4:$AG$250,0,MATCH(K$2,Inputs!$D$2:$AG$2,0)),Inputs!$B$4:$B$250,$B13)/1000)</f>
        <v>0</v>
      </c>
      <c r="L13" s="11">
        <f>IF(L$3=0,"",SUMIFS(INDEX(Inputs!$D$4:$AG$250,0,MATCH(L$2,Inputs!$D$2:$AG$2,0)),Inputs!$B$4:$B$250,$B13)/1000)</f>
        <v>0</v>
      </c>
      <c r="M13" s="12">
        <f>IF(COUNT(I13:L13)=4,SUM(I13:L13),"")</f>
        <v>0</v>
      </c>
      <c r="N13" s="11">
        <f>IF(N$3=0,"",SUMIFS(INDEX(Inputs!$D$4:$AG$250,0,MATCH(N$2,Inputs!$D$2:$AG$2,0)),Inputs!$B$4:$B$250,$B13)/1000)</f>
        <v>0</v>
      </c>
      <c r="O13" s="11">
        <f>IF(O$3=0,"",SUMIFS(INDEX(Inputs!$D$4:$AG$250,0,MATCH(O$2,Inputs!$D$2:$AG$2,0)),Inputs!$B$4:$B$250,$B13)/1000)</f>
        <v>0</v>
      </c>
      <c r="P13" s="11">
        <f>IF(P$3=0,"",SUMIFS(INDEX(Inputs!$D$4:$AG$250,0,MATCH(P$2,Inputs!$D$2:$AG$2,0)),Inputs!$B$4:$B$250,$B13)/1000)</f>
        <v>0</v>
      </c>
      <c r="Q13" s="11">
        <f>IF(Q$3=0,"",SUMIFS(INDEX(Inputs!$D$4:$AG$250,0,MATCH(Q$2,Inputs!$D$2:$AG$2,0)),Inputs!$B$4:$B$250,$B13)/1000)</f>
        <v>0</v>
      </c>
      <c r="R13" s="12">
        <f>IF(COUNT(N13:Q13)=4,SUM(N13:Q13),"")</f>
        <v>0</v>
      </c>
      <c r="S13" s="11">
        <f>IF(S$3=0,"",SUMIFS(INDEX(Inputs!$D$4:$AG$250,0,MATCH(S$2,Inputs!$D$2:$AG$2,0)),Inputs!$B$4:$B$250,$B13)/1000)</f>
        <v>0</v>
      </c>
      <c r="T13" s="11">
        <f>IF(T$3=0,"",SUMIFS(INDEX(Inputs!$D$4:$AG$250,0,MATCH(T$2,Inputs!$D$2:$AG$2,0)),Inputs!$B$4:$B$250,$B13)/1000)</f>
        <v>0</v>
      </c>
      <c r="U13" s="11">
        <f>IF(U$3=0,"",SUMIFS(INDEX(Inputs!$D$4:$AG$250,0,MATCH(U$2,Inputs!$D$2:$AG$2,0)),Inputs!$B$4:$B$250,$B13)/1000)</f>
        <v>0</v>
      </c>
      <c r="V13" s="11">
        <f>IF(V$3=0,"",SUMIFS(INDEX(Inputs!$D$4:$AG$250,0,MATCH(V$2,Inputs!$D$2:$AG$2,0)),Inputs!$B$4:$B$250,$B13)/1000)</f>
        <v>0</v>
      </c>
      <c r="W13" s="12">
        <f>IF(COUNT(S13:V13)=4,SUM(S13:V13),"")</f>
        <v>0</v>
      </c>
      <c r="X13" s="11">
        <f>IF(X$3=0,"",SUMIFS(INDEX(Inputs!$D$4:$AG$250,0,MATCH(X$2,Inputs!$D$2:$AG$2,0)),Inputs!$B$4:$B$250,$B13)/1000)</f>
        <v>0</v>
      </c>
      <c r="Y13" s="11">
        <f>IF(Y$3=0,"",SUMIFS(INDEX(Inputs!$D$4:$AG$250,0,MATCH(Y$2,Inputs!$D$2:$AG$2,0)),Inputs!$B$4:$B$250,$B13)/1000)</f>
        <v>0</v>
      </c>
      <c r="Z13" s="11">
        <f>IF(Z$3=0,"",SUMIFS(INDEX(Inputs!$D$4:$AG$250,0,MATCH(Z$2,Inputs!$D$2:$AG$2,0)),Inputs!$B$4:$B$250,$B13)/1000)</f>
        <v>0</v>
      </c>
      <c r="AA13" s="11">
        <f>IF(AA$3=0,"",SUMIFS(INDEX(Inputs!$D$4:$AG$250,0,MATCH(AA$2,Inputs!$D$2:$AG$2,0)),Inputs!$B$4:$B$250,$B13)/1000)</f>
        <v>0</v>
      </c>
      <c r="AB13" s="12">
        <f>IF(COUNT(X13:AA13)=4,SUM(X13:AA13),"")</f>
        <v>0</v>
      </c>
      <c r="AC13" s="11">
        <f>IF(AC$3=0,"",SUMIFS(INDEX(Inputs!$D$4:$AG$250,0,MATCH(AC$2,Inputs!$D$2:$AG$2,0)),Inputs!$B$4:$B$250,$B13)/1000)</f>
        <v>0</v>
      </c>
      <c r="AD13" s="11">
        <f>IF(AD$3=0,"",SUMIFS(INDEX(Inputs!$D$4:$AG$250,0,MATCH(AD$2,Inputs!$D$2:$AG$2,0)),Inputs!$B$4:$B$250,$B13)/1000)</f>
        <v>0</v>
      </c>
      <c r="AE13" s="11" t="str">
        <f>IF(AE$3=0,"",SUMIFS(INDEX(Inputs!$D$4:$AG$250,0,MATCH(AE$2,Inputs!$D$2:$AG$2,0)),Inputs!$B$4:$B$250,$B13)/1000)</f>
        <v/>
      </c>
      <c r="AF13" s="11" t="str">
        <f>IF(AF$3=0,"",SUMIFS(INDEX(Inputs!$D$4:$AG$250,0,MATCH(AF$2,Inputs!$D$2:$AG$2,0)),Inputs!$B$4:$B$250,$B13)/1000)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IF(D$3=0,"",SUMIFS(INDEX(Inputs!$D$4:$AG$250,0,MATCH(D$2,Inputs!$D$2:$AG$2,0)),Inputs!$B$4:$B$250,$B15)/1000)</f>
        <v>1891.378</v>
      </c>
      <c r="E15" s="11">
        <f>IF(E$3=0,"",SUMIFS(INDEX(Inputs!$D$4:$AG$250,0,MATCH(E$2,Inputs!$D$2:$AG$2,0)),Inputs!$B$4:$B$250,$B15)/1000)</f>
        <v>1687.324</v>
      </c>
      <c r="F15" s="11">
        <f>IF(F$3=0,"",SUMIFS(INDEX(Inputs!$D$4:$AG$250,0,MATCH(F$2,Inputs!$D$2:$AG$2,0)),Inputs!$B$4:$B$250,$B15)/1000)</f>
        <v>1494.615</v>
      </c>
      <c r="G15" s="11">
        <f>IF(G$3=0,"",SUMIFS(INDEX(Inputs!$D$4:$AG$250,0,MATCH(G$2,Inputs!$D$2:$AG$2,0)),Inputs!$B$4:$B$250,$B15)/1000)</f>
        <v>1931.593</v>
      </c>
      <c r="H15" s="12">
        <f>IF(G15="","",G15)</f>
        <v>1931.593</v>
      </c>
      <c r="I15" s="11">
        <f>IF(I$3=0,"",SUMIFS(INDEX(Inputs!$D$4:$AG$250,0,MATCH(I$2,Inputs!$D$2:$AG$2,0)),Inputs!$B$4:$B$250,$B15)/1000)</f>
        <v>2000.181</v>
      </c>
      <c r="J15" s="11">
        <f>IF(J$3=0,"",SUMIFS(INDEX(Inputs!$D$4:$AG$250,0,MATCH(J$2,Inputs!$D$2:$AG$2,0)),Inputs!$B$4:$B$250,$B15)/1000)</f>
        <v>2305.417</v>
      </c>
      <c r="K15" s="11">
        <f>IF(K$3=0,"",SUMIFS(INDEX(Inputs!$D$4:$AG$250,0,MATCH(K$2,Inputs!$D$2:$AG$2,0)),Inputs!$B$4:$B$250,$B15)/1000)</f>
        <v>2424.969</v>
      </c>
      <c r="L15" s="11">
        <f>IF(L$3=0,"",SUMIFS(INDEX(Inputs!$D$4:$AG$250,0,MATCH(L$2,Inputs!$D$2:$AG$2,0)),Inputs!$B$4:$B$250,$B15)/1000)</f>
        <v>2688.392</v>
      </c>
      <c r="M15" s="12">
        <f>IF(L15="","",L15)</f>
        <v>2688.392</v>
      </c>
      <c r="N15" s="11">
        <f>IF(N$3=0,"",SUMIFS(INDEX(Inputs!$D$4:$AG$250,0,MATCH(N$2,Inputs!$D$2:$AG$2,0)),Inputs!$B$4:$B$250,$B15)/1000)</f>
        <v>2843.349</v>
      </c>
      <c r="O15" s="11">
        <f>IF(O$3=0,"",SUMIFS(INDEX(Inputs!$D$4:$AG$250,0,MATCH(O$2,Inputs!$D$2:$AG$2,0)),Inputs!$B$4:$B$250,$B15)/1000)</f>
        <v>2595.83</v>
      </c>
      <c r="P15" s="11">
        <f>IF(P$3=0,"",SUMIFS(INDEX(Inputs!$D$4:$AG$250,0,MATCH(P$2,Inputs!$D$2:$AG$2,0)),Inputs!$B$4:$B$250,$B15)/1000)</f>
        <v>2716.198</v>
      </c>
      <c r="Q15" s="11">
        <f>IF(Q$3=0,"",SUMIFS(INDEX(Inputs!$D$4:$AG$250,0,MATCH(Q$2,Inputs!$D$2:$AG$2,0)),Inputs!$B$4:$B$250,$B15)/1000)</f>
        <v>2831.551</v>
      </c>
      <c r="R15" s="12">
        <f>IF(Q15="","",Q15)</f>
        <v>2831.551</v>
      </c>
      <c r="S15" s="11">
        <f>IF(S$3=0,"",SUMIFS(INDEX(Inputs!$D$4:$AG$250,0,MATCH(S$2,Inputs!$D$2:$AG$2,0)),Inputs!$B$4:$B$250,$B15)/1000)</f>
        <v>2990.387</v>
      </c>
      <c r="T15" s="11">
        <f>IF(T$3=0,"",SUMIFS(INDEX(Inputs!$D$4:$AG$250,0,MATCH(T$2,Inputs!$D$2:$AG$2,0)),Inputs!$B$4:$B$250,$B15)/1000)</f>
        <v>3757.01</v>
      </c>
      <c r="U15" s="11">
        <f>IF(U$3=0,"",SUMIFS(INDEX(Inputs!$D$4:$AG$250,0,MATCH(U$2,Inputs!$D$2:$AG$2,0)),Inputs!$B$4:$B$250,$B15)/1000)</f>
        <v>3509.1</v>
      </c>
      <c r="V15" s="11">
        <f>IF(V$3=0,"",SUMIFS(INDEX(Inputs!$D$4:$AG$250,0,MATCH(V$2,Inputs!$D$2:$AG$2,0)),Inputs!$B$4:$B$250,$B15)/1000)</f>
        <v>3544.259</v>
      </c>
      <c r="W15" s="12">
        <f>IF(V15="","",V15)</f>
        <v>3544.259</v>
      </c>
      <c r="X15" s="11">
        <f>IF(X$3=0,"",SUMIFS(INDEX(Inputs!$D$4:$AG$250,0,MATCH(X$2,Inputs!$D$2:$AG$2,0)),Inputs!$B$4:$B$250,$B15)/1000)</f>
        <v>3678.198</v>
      </c>
      <c r="Y15" s="11">
        <f>IF(Y$3=0,"",SUMIFS(INDEX(Inputs!$D$4:$AG$250,0,MATCH(Y$2,Inputs!$D$2:$AG$2,0)),Inputs!$B$4:$B$250,$B15)/1000)</f>
        <v>3696.42</v>
      </c>
      <c r="Z15" s="11">
        <f>IF(Z$3=0,"",SUMIFS(INDEX(Inputs!$D$4:$AG$250,0,MATCH(Z$2,Inputs!$D$2:$AG$2,0)),Inputs!$B$4:$B$250,$B15)/1000)</f>
        <v>3224.187</v>
      </c>
      <c r="AA15" s="11">
        <f>IF(AA$3=0,"",SUMIFS(INDEX(Inputs!$D$4:$AG$250,0,MATCH(AA$2,Inputs!$D$2:$AG$2,0)),Inputs!$B$4:$B$250,$B15)/1000)</f>
        <v>3228.621</v>
      </c>
      <c r="AB15" s="12">
        <f>IF(AA15="","",AA15)</f>
        <v>3228.621</v>
      </c>
      <c r="AC15" s="11">
        <f>IF(AC$3=0,"",SUMIFS(INDEX(Inputs!$D$4:$AG$250,0,MATCH(AC$2,Inputs!$D$2:$AG$2,0)),Inputs!$B$4:$B$250,$B15)/1000)</f>
        <v>5246.157</v>
      </c>
      <c r="AD15" s="11">
        <f>IF(AD$3=0,"",SUMIFS(INDEX(Inputs!$D$4:$AG$250,0,MATCH(AD$2,Inputs!$D$2:$AG$2,0)),Inputs!$B$4:$B$250,$B15)/1000)</f>
        <v>5371.921</v>
      </c>
      <c r="AE15" s="11" t="str">
        <f>IF(AE$3=0,"",SUMIFS(INDEX(Inputs!$D$4:$AG$250,0,MATCH(AE$2,Inputs!$D$2:$AG$2,0)),Inputs!$B$4:$B$250,$B15)/1000)</f>
        <v/>
      </c>
      <c r="AF15" s="11" t="str">
        <f>IF(AF$3=0,"",SUMIFS(INDEX(Inputs!$D$4:$AG$250,0,MATCH(AF$2,Inputs!$D$2:$AG$2,0)),Inputs!$B$4:$B$250,$B15)/1000)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IF(D$3=0,"",SUMIFS(INDEX(Inputs!$D$4:$AG$250,0,MATCH(D$2,Inputs!$D$2:$AG$2,0)),Inputs!$B$4:$B$250,$B16)/1000)</f>
        <v>338.682</v>
      </c>
      <c r="E16" s="11">
        <f>IF(E$3=0,"",SUMIFS(INDEX(Inputs!$D$4:$AG$250,0,MATCH(E$2,Inputs!$D$2:$AG$2,0)),Inputs!$B$4:$B$250,$B16)/1000)</f>
        <v>345.885</v>
      </c>
      <c r="F16" s="11">
        <f>IF(F$3=0,"",SUMIFS(INDEX(Inputs!$D$4:$AG$250,0,MATCH(F$2,Inputs!$D$2:$AG$2,0)),Inputs!$B$4:$B$250,$B16)/1000)</f>
        <v>378.626</v>
      </c>
      <c r="G16" s="11">
        <f>IF(G$3=0,"",SUMIFS(INDEX(Inputs!$D$4:$AG$250,0,MATCH(G$2,Inputs!$D$2:$AG$2,0)),Inputs!$B$4:$B$250,$B16)/1000)</f>
        <v>391.698</v>
      </c>
      <c r="H16" s="12">
        <f>IF(G16="","",G16)</f>
        <v>391.698</v>
      </c>
      <c r="I16" s="11">
        <f>IF(I$3=0,"",SUMIFS(INDEX(Inputs!$D$4:$AG$250,0,MATCH(I$2,Inputs!$D$2:$AG$2,0)),Inputs!$B$4:$B$250,$B16)/1000)</f>
        <v>363.277</v>
      </c>
      <c r="J16" s="11">
        <f>IF(J$3=0,"",SUMIFS(INDEX(Inputs!$D$4:$AG$250,0,MATCH(J$2,Inputs!$D$2:$AG$2,0)),Inputs!$B$4:$B$250,$B16)/1000)</f>
        <v>377.686</v>
      </c>
      <c r="K16" s="11">
        <f>IF(K$3=0,"",SUMIFS(INDEX(Inputs!$D$4:$AG$250,0,MATCH(K$2,Inputs!$D$2:$AG$2,0)),Inputs!$B$4:$B$250,$B16)/1000)</f>
        <v>412.736</v>
      </c>
      <c r="L16" s="11">
        <f>IF(L$3=0,"",SUMIFS(INDEX(Inputs!$D$4:$AG$250,0,MATCH(L$2,Inputs!$D$2:$AG$2,0)),Inputs!$B$4:$B$250,$B16)/1000)</f>
        <v>448.279</v>
      </c>
      <c r="M16" s="12">
        <f>IF(L16="","",L16)</f>
        <v>448.279</v>
      </c>
      <c r="N16" s="11">
        <f>IF(N$3=0,"",SUMIFS(INDEX(Inputs!$D$4:$AG$250,0,MATCH(N$2,Inputs!$D$2:$AG$2,0)),Inputs!$B$4:$B$250,$B16)/1000)</f>
        <v>476.539</v>
      </c>
      <c r="O16" s="11">
        <f>IF(O$3=0,"",SUMIFS(INDEX(Inputs!$D$4:$AG$250,0,MATCH(O$2,Inputs!$D$2:$AG$2,0)),Inputs!$B$4:$B$250,$B16)/1000)</f>
        <v>292.699</v>
      </c>
      <c r="P16" s="11">
        <f>IF(P$3=0,"",SUMIFS(INDEX(Inputs!$D$4:$AG$250,0,MATCH(P$2,Inputs!$D$2:$AG$2,0)),Inputs!$B$4:$B$250,$B16)/1000)</f>
        <v>338.637</v>
      </c>
      <c r="Q16" s="11">
        <f>IF(Q$3=0,"",SUMIFS(INDEX(Inputs!$D$4:$AG$250,0,MATCH(Q$2,Inputs!$D$2:$AG$2,0)),Inputs!$B$4:$B$250,$B16)/1000)</f>
        <v>288.702</v>
      </c>
      <c r="R16" s="12">
        <f>IF(Q16="","",Q16)</f>
        <v>288.702</v>
      </c>
      <c r="S16" s="11">
        <f>IF(S$3=0,"",SUMIFS(INDEX(Inputs!$D$4:$AG$250,0,MATCH(S$2,Inputs!$D$2:$AG$2,0)),Inputs!$B$4:$B$250,$B16)/1000)</f>
        <v>262.889</v>
      </c>
      <c r="T16" s="11">
        <f>IF(T$3=0,"",SUMIFS(INDEX(Inputs!$D$4:$AG$250,0,MATCH(T$2,Inputs!$D$2:$AG$2,0)),Inputs!$B$4:$B$250,$B16)/1000)</f>
        <v>270.403</v>
      </c>
      <c r="U16" s="11">
        <f>IF(U$3=0,"",SUMIFS(INDEX(Inputs!$D$4:$AG$250,0,MATCH(U$2,Inputs!$D$2:$AG$2,0)),Inputs!$B$4:$B$250,$B16)/1000)</f>
        <v>274.293</v>
      </c>
      <c r="V16" s="11">
        <f>IF(V$3=0,"",SUMIFS(INDEX(Inputs!$D$4:$AG$250,0,MATCH(V$2,Inputs!$D$2:$AG$2,0)),Inputs!$B$4:$B$250,$B16)/1000)</f>
        <v>283.923</v>
      </c>
      <c r="W16" s="12">
        <f>IF(V16="","",V16)</f>
        <v>283.923</v>
      </c>
      <c r="X16" s="11">
        <f>IF(X$3=0,"",SUMIFS(INDEX(Inputs!$D$4:$AG$250,0,MATCH(X$2,Inputs!$D$2:$AG$2,0)),Inputs!$B$4:$B$250,$B16)/1000)</f>
        <v>259.685</v>
      </c>
      <c r="Y16" s="11">
        <f>IF(Y$3=0,"",SUMIFS(INDEX(Inputs!$D$4:$AG$250,0,MATCH(Y$2,Inputs!$D$2:$AG$2,0)),Inputs!$B$4:$B$250,$B16)/1000)</f>
        <v>247.846</v>
      </c>
      <c r="Z16" s="11">
        <f>IF(Z$3=0,"",SUMIFS(INDEX(Inputs!$D$4:$AG$250,0,MATCH(Z$2,Inputs!$D$2:$AG$2,0)),Inputs!$B$4:$B$250,$B16)/1000)</f>
        <v>212.361</v>
      </c>
      <c r="AA16" s="11">
        <f>IF(AA$3=0,"",SUMIFS(INDEX(Inputs!$D$4:$AG$250,0,MATCH(AA$2,Inputs!$D$2:$AG$2,0)),Inputs!$B$4:$B$250,$B16)/1000)</f>
        <v>186.798</v>
      </c>
      <c r="AB16" s="12">
        <f>IF(AA16="","",AA16)</f>
        <v>186.798</v>
      </c>
      <c r="AC16" s="11">
        <f>IF(AC$3=0,"",SUMIFS(INDEX(Inputs!$D$4:$AG$250,0,MATCH(AC$2,Inputs!$D$2:$AG$2,0)),Inputs!$B$4:$B$250,$B16)/1000)</f>
        <v>191.285</v>
      </c>
      <c r="AD16" s="11">
        <f>IF(AD$3=0,"",SUMIFS(INDEX(Inputs!$D$4:$AG$250,0,MATCH(AD$2,Inputs!$D$2:$AG$2,0)),Inputs!$B$4:$B$250,$B16)/1000)</f>
        <v>349.127</v>
      </c>
      <c r="AE16" s="11" t="str">
        <f>IF(AE$3=0,"",SUMIFS(INDEX(Inputs!$D$4:$AG$250,0,MATCH(AE$2,Inputs!$D$2:$AG$2,0)),Inputs!$B$4:$B$250,$B16)/1000)</f>
        <v/>
      </c>
      <c r="AF16" s="11" t="str">
        <f>IF(AF$3=0,"",SUMIFS(INDEX(Inputs!$D$4:$AG$250,0,MATCH(AF$2,Inputs!$D$2:$AG$2,0)),Inputs!$B$4:$B$250,$B16)/1000)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IF(D$3=0,"",SUMIFS(INDEX(Inputs!$D$4:$AG$250,0,MATCH(D$2,Inputs!$D$2:$AG$2,0)),Inputs!$B$4:$B$250,$B17)/1000)</f>
        <v>7.969</v>
      </c>
      <c r="E17" s="11">
        <f>IF(E$3=0,"",SUMIFS(INDEX(Inputs!$D$4:$AG$250,0,MATCH(E$2,Inputs!$D$2:$AG$2,0)),Inputs!$B$4:$B$250,$B17)/1000)</f>
        <v>8.386</v>
      </c>
      <c r="F17" s="11">
        <f>IF(F$3=0,"",SUMIFS(INDEX(Inputs!$D$4:$AG$250,0,MATCH(F$2,Inputs!$D$2:$AG$2,0)),Inputs!$B$4:$B$250,$B17)/1000)</f>
        <v>8.389</v>
      </c>
      <c r="G17" s="11">
        <f>IF(G$3=0,"",SUMIFS(INDEX(Inputs!$D$4:$AG$250,0,MATCH(G$2,Inputs!$D$2:$AG$2,0)),Inputs!$B$4:$B$250,$B17)/1000)</f>
        <v>8.245</v>
      </c>
      <c r="H17" s="12">
        <f>IF(G17="","",G17)</f>
        <v>8.245</v>
      </c>
      <c r="I17" s="11">
        <f>IF(I$3=0,"",SUMIFS(INDEX(Inputs!$D$4:$AG$250,0,MATCH(I$2,Inputs!$D$2:$AG$2,0)),Inputs!$B$4:$B$250,$B17)/1000)</f>
        <v>8.368</v>
      </c>
      <c r="J17" s="11">
        <f>IF(J$3=0,"",SUMIFS(INDEX(Inputs!$D$4:$AG$250,0,MATCH(J$2,Inputs!$D$2:$AG$2,0)),Inputs!$B$4:$B$250,$B17)/1000)</f>
        <v>8.455</v>
      </c>
      <c r="K17" s="11">
        <f>IF(K$3=0,"",SUMIFS(INDEX(Inputs!$D$4:$AG$250,0,MATCH(K$2,Inputs!$D$2:$AG$2,0)),Inputs!$B$4:$B$250,$B17)/1000)</f>
        <v>8.952</v>
      </c>
      <c r="L17" s="11">
        <f>IF(L$3=0,"",SUMIFS(INDEX(Inputs!$D$4:$AG$250,0,MATCH(L$2,Inputs!$D$2:$AG$2,0)),Inputs!$B$4:$B$250,$B17)/1000)</f>
        <v>9.201</v>
      </c>
      <c r="M17" s="12">
        <f>IF(L17="","",L17)</f>
        <v>9.201</v>
      </c>
      <c r="N17" s="11">
        <f>IF(N$3=0,"",SUMIFS(INDEX(Inputs!$D$4:$AG$250,0,MATCH(N$2,Inputs!$D$2:$AG$2,0)),Inputs!$B$4:$B$250,$B17)/1000)</f>
        <v>9.061</v>
      </c>
      <c r="O17" s="11">
        <f>IF(O$3=0,"",SUMIFS(INDEX(Inputs!$D$4:$AG$250,0,MATCH(O$2,Inputs!$D$2:$AG$2,0)),Inputs!$B$4:$B$250,$B17)/1000)</f>
        <v>9.397</v>
      </c>
      <c r="P17" s="11">
        <f>IF(P$3=0,"",SUMIFS(INDEX(Inputs!$D$4:$AG$250,0,MATCH(P$2,Inputs!$D$2:$AG$2,0)),Inputs!$B$4:$B$250,$B17)/1000)</f>
        <v>17.446</v>
      </c>
      <c r="Q17" s="11">
        <f>IF(Q$3=0,"",SUMIFS(INDEX(Inputs!$D$4:$AG$250,0,MATCH(Q$2,Inputs!$D$2:$AG$2,0)),Inputs!$B$4:$B$250,$B17)/1000)</f>
        <v>10.278</v>
      </c>
      <c r="R17" s="12">
        <f>IF(Q17="","",Q17)</f>
        <v>10.278</v>
      </c>
      <c r="S17" s="11">
        <f>IF(S$3=0,"",SUMIFS(INDEX(Inputs!$D$4:$AG$250,0,MATCH(S$2,Inputs!$D$2:$AG$2,0)),Inputs!$B$4:$B$250,$B17)/1000)</f>
        <v>9.874</v>
      </c>
      <c r="T17" s="11">
        <f>IF(T$3=0,"",SUMIFS(INDEX(Inputs!$D$4:$AG$250,0,MATCH(T$2,Inputs!$D$2:$AG$2,0)),Inputs!$B$4:$B$250,$B17)/1000)</f>
        <v>9.229</v>
      </c>
      <c r="U17" s="11">
        <f>IF(U$3=0,"",SUMIFS(INDEX(Inputs!$D$4:$AG$250,0,MATCH(U$2,Inputs!$D$2:$AG$2,0)),Inputs!$B$4:$B$250,$B17)/1000)</f>
        <v>9.486</v>
      </c>
      <c r="V17" s="11">
        <f>IF(V$3=0,"",SUMIFS(INDEX(Inputs!$D$4:$AG$250,0,MATCH(V$2,Inputs!$D$2:$AG$2,0)),Inputs!$B$4:$B$250,$B17)/1000)</f>
        <v>9.766</v>
      </c>
      <c r="W17" s="12">
        <f>IF(V17="","",V17)</f>
        <v>9.766</v>
      </c>
      <c r="X17" s="11">
        <f>IF(X$3=0,"",SUMIFS(INDEX(Inputs!$D$4:$AG$250,0,MATCH(X$2,Inputs!$D$2:$AG$2,0)),Inputs!$B$4:$B$250,$B17)/1000)</f>
        <v>10.107</v>
      </c>
      <c r="Y17" s="11">
        <f>IF(Y$3=0,"",SUMIFS(INDEX(Inputs!$D$4:$AG$250,0,MATCH(Y$2,Inputs!$D$2:$AG$2,0)),Inputs!$B$4:$B$250,$B17)/1000)</f>
        <v>9.833</v>
      </c>
      <c r="Z17" s="11">
        <f>IF(Z$3=0,"",SUMIFS(INDEX(Inputs!$D$4:$AG$250,0,MATCH(Z$2,Inputs!$D$2:$AG$2,0)),Inputs!$B$4:$B$250,$B17)/1000)</f>
        <v>9.692</v>
      </c>
      <c r="AA17" s="11">
        <f>IF(AA$3=0,"",SUMIFS(INDEX(Inputs!$D$4:$AG$250,0,MATCH(AA$2,Inputs!$D$2:$AG$2,0)),Inputs!$B$4:$B$250,$B17)/1000)</f>
        <v>10.472</v>
      </c>
      <c r="AB17" s="12">
        <f>IF(AA17="","",AA17)</f>
        <v>10.472</v>
      </c>
      <c r="AC17" s="11">
        <f>IF(AC$3=0,"",SUMIFS(INDEX(Inputs!$D$4:$AG$250,0,MATCH(AC$2,Inputs!$D$2:$AG$2,0)),Inputs!$B$4:$B$250,$B17)/1000)</f>
        <v>10.78</v>
      </c>
      <c r="AD17" s="11">
        <f>IF(AD$3=0,"",SUMIFS(INDEX(Inputs!$D$4:$AG$250,0,MATCH(AD$2,Inputs!$D$2:$AG$2,0)),Inputs!$B$4:$B$250,$B17)/1000)</f>
        <v>11.141</v>
      </c>
      <c r="AE17" s="11" t="str">
        <f>IF(AE$3=0,"",SUMIFS(INDEX(Inputs!$D$4:$AG$250,0,MATCH(AE$2,Inputs!$D$2:$AG$2,0)),Inputs!$B$4:$B$250,$B17)/1000)</f>
        <v/>
      </c>
      <c r="AF17" s="11" t="str">
        <f>IF(AF$3=0,"",SUMIFS(INDEX(Inputs!$D$4:$AG$250,0,MATCH(AF$2,Inputs!$D$2:$AG$2,0)),Inputs!$B$4:$B$250,$B17)/1000)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IF(D$3=0,"",SUMIFS(INDEX(Inputs!$D$4:$AG$250,0,MATCH(D$2,Inputs!$D$2:$AG$2,0)),Inputs!$B$4:$B$250,$B18)/1000)</f>
        <v>10.135</v>
      </c>
      <c r="E18" s="11">
        <f>IF(E$3=0,"",SUMIFS(INDEX(Inputs!$D$4:$AG$250,0,MATCH(E$2,Inputs!$D$2:$AG$2,0)),Inputs!$B$4:$B$250,$B18)/1000)</f>
        <v>12.177</v>
      </c>
      <c r="F18" s="11">
        <f>IF(F$3=0,"",SUMIFS(INDEX(Inputs!$D$4:$AG$250,0,MATCH(F$2,Inputs!$D$2:$AG$2,0)),Inputs!$B$4:$B$250,$B18)/1000)</f>
        <v>15.428</v>
      </c>
      <c r="G18" s="11">
        <f>IF(G$3=0,"",SUMIFS(INDEX(Inputs!$D$4:$AG$250,0,MATCH(G$2,Inputs!$D$2:$AG$2,0)),Inputs!$B$4:$B$250,$B18)/1000)</f>
        <v>20.207</v>
      </c>
      <c r="H18" s="12">
        <f>IF(G18="","",G18)</f>
        <v>20.207</v>
      </c>
      <c r="I18" s="11">
        <f>IF(I$3=0,"",SUMIFS(INDEX(Inputs!$D$4:$AG$250,0,MATCH(I$2,Inputs!$D$2:$AG$2,0)),Inputs!$B$4:$B$250,$B18)/1000)</f>
        <v>19.288</v>
      </c>
      <c r="J18" s="11">
        <f>IF(J$3=0,"",SUMIFS(INDEX(Inputs!$D$4:$AG$250,0,MATCH(J$2,Inputs!$D$2:$AG$2,0)),Inputs!$B$4:$B$250,$B18)/1000)</f>
        <v>27.136</v>
      </c>
      <c r="K18" s="11">
        <f>IF(K$3=0,"",SUMIFS(INDEX(Inputs!$D$4:$AG$250,0,MATCH(K$2,Inputs!$D$2:$AG$2,0)),Inputs!$B$4:$B$250,$B18)/1000)</f>
        <v>34.574</v>
      </c>
      <c r="L18" s="11">
        <f>IF(L$3=0,"",SUMIFS(INDEX(Inputs!$D$4:$AG$250,0,MATCH(L$2,Inputs!$D$2:$AG$2,0)),Inputs!$B$4:$B$250,$B18)/1000)</f>
        <v>53.272</v>
      </c>
      <c r="M18" s="12">
        <f>IF(L18="","",L18)</f>
        <v>53.272</v>
      </c>
      <c r="N18" s="11">
        <f>IF(N$3=0,"",SUMIFS(INDEX(Inputs!$D$4:$AG$250,0,MATCH(N$2,Inputs!$D$2:$AG$2,0)),Inputs!$B$4:$B$250,$B18)/1000)</f>
        <v>61.005</v>
      </c>
      <c r="O18" s="11">
        <f>IF(O$3=0,"",SUMIFS(INDEX(Inputs!$D$4:$AG$250,0,MATCH(O$2,Inputs!$D$2:$AG$2,0)),Inputs!$B$4:$B$250,$B18)/1000)</f>
        <v>58.623</v>
      </c>
      <c r="P18" s="11">
        <f>IF(P$3=0,"",SUMIFS(INDEX(Inputs!$D$4:$AG$250,0,MATCH(P$2,Inputs!$D$2:$AG$2,0)),Inputs!$B$4:$B$250,$B18)/1000)</f>
        <v>56.088</v>
      </c>
      <c r="Q18" s="11">
        <f>IF(Q$3=0,"",SUMIFS(INDEX(Inputs!$D$4:$AG$250,0,MATCH(Q$2,Inputs!$D$2:$AG$2,0)),Inputs!$B$4:$B$250,$B18)/1000)</f>
        <v>58.8</v>
      </c>
      <c r="R18" s="12">
        <f>IF(Q18="","",Q18)</f>
        <v>58.8</v>
      </c>
      <c r="S18" s="11">
        <f>IF(S$3=0,"",SUMIFS(INDEX(Inputs!$D$4:$AG$250,0,MATCH(S$2,Inputs!$D$2:$AG$2,0)),Inputs!$B$4:$B$250,$B18)/1000)</f>
        <v>68.294</v>
      </c>
      <c r="T18" s="11">
        <f>IF(T$3=0,"",SUMIFS(INDEX(Inputs!$D$4:$AG$250,0,MATCH(T$2,Inputs!$D$2:$AG$2,0)),Inputs!$B$4:$B$250,$B18)/1000)</f>
        <v>78.767</v>
      </c>
      <c r="U18" s="11">
        <f>IF(U$3=0,"",SUMIFS(INDEX(Inputs!$D$4:$AG$250,0,MATCH(U$2,Inputs!$D$2:$AG$2,0)),Inputs!$B$4:$B$250,$B18)/1000)</f>
        <v>86.458</v>
      </c>
      <c r="V18" s="11">
        <f>IF(V$3=0,"",SUMIFS(INDEX(Inputs!$D$4:$AG$250,0,MATCH(V$2,Inputs!$D$2:$AG$2,0)),Inputs!$B$4:$B$250,$B18)/1000)</f>
        <v>110.608</v>
      </c>
      <c r="W18" s="12">
        <f>IF(V18="","",V18)</f>
        <v>110.608</v>
      </c>
      <c r="X18" s="11">
        <f>IF(X$3=0,"",SUMIFS(INDEX(Inputs!$D$4:$AG$250,0,MATCH(X$2,Inputs!$D$2:$AG$2,0)),Inputs!$B$4:$B$250,$B18)/1000)</f>
        <v>180.122</v>
      </c>
      <c r="Y18" s="11">
        <f>IF(Y$3=0,"",SUMIFS(INDEX(Inputs!$D$4:$AG$250,0,MATCH(Y$2,Inputs!$D$2:$AG$2,0)),Inputs!$B$4:$B$250,$B18)/1000)</f>
        <v>174.995</v>
      </c>
      <c r="Z18" s="11">
        <f>IF(Z$3=0,"",SUMIFS(INDEX(Inputs!$D$4:$AG$250,0,MATCH(Z$2,Inputs!$D$2:$AG$2,0)),Inputs!$B$4:$B$250,$B18)/1000)</f>
        <v>177.276</v>
      </c>
      <c r="AA18" s="11">
        <f>IF(AA$3=0,"",SUMIFS(INDEX(Inputs!$D$4:$AG$250,0,MATCH(AA$2,Inputs!$D$2:$AG$2,0)),Inputs!$B$4:$B$250,$B18)/1000)</f>
        <v>173.786</v>
      </c>
      <c r="AB18" s="12">
        <f>IF(AA18="","",AA18)</f>
        <v>173.786</v>
      </c>
      <c r="AC18" s="11">
        <f>IF(AC$3=0,"",SUMIFS(INDEX(Inputs!$D$4:$AG$250,0,MATCH(AC$2,Inputs!$D$2:$AG$2,0)),Inputs!$B$4:$B$250,$B18)/1000)</f>
        <v>175.309</v>
      </c>
      <c r="AD18" s="11">
        <f>IF(AD$3=0,"",SUMIFS(INDEX(Inputs!$D$4:$AG$250,0,MATCH(AD$2,Inputs!$D$2:$AG$2,0)),Inputs!$B$4:$B$250,$B18)/1000)</f>
        <v>173.589</v>
      </c>
      <c r="AE18" s="11" t="str">
        <f>IF(AE$3=0,"",SUMIFS(INDEX(Inputs!$D$4:$AG$250,0,MATCH(AE$2,Inputs!$D$2:$AG$2,0)),Inputs!$B$4:$B$250,$B18)/1000)</f>
        <v/>
      </c>
      <c r="AF18" s="11" t="str">
        <f>IF(AF$3=0,"",SUMIFS(INDEX(Inputs!$D$4:$AG$250,0,MATCH(AF$2,Inputs!$D$2:$AG$2,0)),Inputs!$B$4:$B$250,$B18)/1000)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IF(D$3=0,"",SUMIFS(INDEX(Inputs!$D$4:$AG$250,0,MATCH(D$2,Inputs!$D$2:$AG$2,0)),Inputs!$B$4:$B$250,$B19)/1000)</f>
        <v>4.979</v>
      </c>
      <c r="E19" s="11">
        <f>IF(E$3=0,"",SUMIFS(INDEX(Inputs!$D$4:$AG$250,0,MATCH(E$2,Inputs!$D$2:$AG$2,0)),Inputs!$B$4:$B$250,$B19)/1000)</f>
        <v>10.437</v>
      </c>
      <c r="F19" s="11">
        <f>IF(F$3=0,"",SUMIFS(INDEX(Inputs!$D$4:$AG$250,0,MATCH(F$2,Inputs!$D$2:$AG$2,0)),Inputs!$B$4:$B$250,$B19)/1000)</f>
        <v>9.944</v>
      </c>
      <c r="G19" s="11">
        <f>IF(G$3=0,"",SUMIFS(INDEX(Inputs!$D$4:$AG$250,0,MATCH(G$2,Inputs!$D$2:$AG$2,0)),Inputs!$B$4:$B$250,$B19)/1000)</f>
        <v>8.251</v>
      </c>
      <c r="H19" s="12">
        <f>IF(G19="","",G19)</f>
        <v>8.251</v>
      </c>
      <c r="I19" s="11">
        <f>IF(I$3=0,"",SUMIFS(INDEX(Inputs!$D$4:$AG$250,0,MATCH(I$2,Inputs!$D$2:$AG$2,0)),Inputs!$B$4:$B$250,$B19)/1000)</f>
        <v>7.11</v>
      </c>
      <c r="J19" s="11">
        <f>IF(J$3=0,"",SUMIFS(INDEX(Inputs!$D$4:$AG$250,0,MATCH(J$2,Inputs!$D$2:$AG$2,0)),Inputs!$B$4:$B$250,$B19)/1000)</f>
        <v>11.678</v>
      </c>
      <c r="K19" s="11">
        <f>IF(K$3=0,"",SUMIFS(INDEX(Inputs!$D$4:$AG$250,0,MATCH(K$2,Inputs!$D$2:$AG$2,0)),Inputs!$B$4:$B$250,$B19)/1000)</f>
        <v>13.12</v>
      </c>
      <c r="L19" s="11">
        <f>IF(L$3=0,"",SUMIFS(INDEX(Inputs!$D$4:$AG$250,0,MATCH(L$2,Inputs!$D$2:$AG$2,0)),Inputs!$B$4:$B$250,$B19)/1000)</f>
        <v>13.602</v>
      </c>
      <c r="M19" s="12">
        <f>IF(L19="","",L19)</f>
        <v>13.602</v>
      </c>
      <c r="N19" s="11">
        <f>IF(N$3=0,"",SUMIFS(INDEX(Inputs!$D$4:$AG$250,0,MATCH(N$2,Inputs!$D$2:$AG$2,0)),Inputs!$B$4:$B$250,$B19)/1000)</f>
        <v>7.204</v>
      </c>
      <c r="O19" s="11">
        <f>IF(O$3=0,"",SUMIFS(INDEX(Inputs!$D$4:$AG$250,0,MATCH(O$2,Inputs!$D$2:$AG$2,0)),Inputs!$B$4:$B$250,$B19)/1000)</f>
        <v>9.983</v>
      </c>
      <c r="P19" s="11">
        <f>IF(P$3=0,"",SUMIFS(INDEX(Inputs!$D$4:$AG$250,0,MATCH(P$2,Inputs!$D$2:$AG$2,0)),Inputs!$B$4:$B$250,$B19)/1000)</f>
        <v>9.189</v>
      </c>
      <c r="Q19" s="11">
        <f>IF(Q$3=0,"",SUMIFS(INDEX(Inputs!$D$4:$AG$250,0,MATCH(Q$2,Inputs!$D$2:$AG$2,0)),Inputs!$B$4:$B$250,$B19)/1000)</f>
        <v>12.141</v>
      </c>
      <c r="R19" s="12">
        <f>IF(Q19="","",Q19)</f>
        <v>12.141</v>
      </c>
      <c r="S19" s="11">
        <f>IF(S$3=0,"",SUMIFS(INDEX(Inputs!$D$4:$AG$250,0,MATCH(S$2,Inputs!$D$2:$AG$2,0)),Inputs!$B$4:$B$250,$B19)/1000)</f>
        <v>7.964</v>
      </c>
      <c r="T19" s="11">
        <f>IF(T$3=0,"",SUMIFS(INDEX(Inputs!$D$4:$AG$250,0,MATCH(T$2,Inputs!$D$2:$AG$2,0)),Inputs!$B$4:$B$250,$B19)/1000)</f>
        <v>11.09</v>
      </c>
      <c r="U19" s="11">
        <f>IF(U$3=0,"",SUMIFS(INDEX(Inputs!$D$4:$AG$250,0,MATCH(U$2,Inputs!$D$2:$AG$2,0)),Inputs!$B$4:$B$250,$B19)/1000)</f>
        <v>10.329</v>
      </c>
      <c r="V19" s="11">
        <f>IF(V$3=0,"",SUMIFS(INDEX(Inputs!$D$4:$AG$250,0,MATCH(V$2,Inputs!$D$2:$AG$2,0)),Inputs!$B$4:$B$250,$B19)/1000)</f>
        <v>9.961</v>
      </c>
      <c r="W19" s="12">
        <f>IF(V19="","",V19)</f>
        <v>9.961</v>
      </c>
      <c r="X19" s="11">
        <f>IF(X$3=0,"",SUMIFS(INDEX(Inputs!$D$4:$AG$250,0,MATCH(X$2,Inputs!$D$2:$AG$2,0)),Inputs!$B$4:$B$250,$B19)/1000)</f>
        <v>8.499</v>
      </c>
      <c r="Y19" s="11">
        <f>IF(Y$3=0,"",SUMIFS(INDEX(Inputs!$D$4:$AG$250,0,MATCH(Y$2,Inputs!$D$2:$AG$2,0)),Inputs!$B$4:$B$250,$B19)/1000)</f>
        <v>9.341</v>
      </c>
      <c r="Z19" s="11">
        <f>IF(Z$3=0,"",SUMIFS(INDEX(Inputs!$D$4:$AG$250,0,MATCH(Z$2,Inputs!$D$2:$AG$2,0)),Inputs!$B$4:$B$250,$B19)/1000)</f>
        <v>12.455</v>
      </c>
      <c r="AA19" s="11">
        <f>IF(AA$3=0,"",SUMIFS(INDEX(Inputs!$D$4:$AG$250,0,MATCH(AA$2,Inputs!$D$2:$AG$2,0)),Inputs!$B$4:$B$250,$B19)/1000)</f>
        <v>10.9</v>
      </c>
      <c r="AB19" s="12">
        <f>IF(AA19="","",AA19)</f>
        <v>10.9</v>
      </c>
      <c r="AC19" s="11">
        <f>IF(AC$3=0,"",SUMIFS(INDEX(Inputs!$D$4:$AG$250,0,MATCH(AC$2,Inputs!$D$2:$AG$2,0)),Inputs!$B$4:$B$250,$B19)/1000)</f>
        <v>11.131</v>
      </c>
      <c r="AD19" s="11">
        <f>IF(AD$3=0,"",SUMIFS(INDEX(Inputs!$D$4:$AG$250,0,MATCH(AD$2,Inputs!$D$2:$AG$2,0)),Inputs!$B$4:$B$250,$B19)/1000)</f>
        <v>12.761</v>
      </c>
      <c r="AE19" s="11" t="str">
        <f>IF(AE$3=0,"",SUMIFS(INDEX(Inputs!$D$4:$AG$250,0,MATCH(AE$2,Inputs!$D$2:$AG$2,0)),Inputs!$B$4:$B$250,$B19)/1000)</f>
        <v/>
      </c>
      <c r="AF19" s="11" t="str">
        <f>IF(AF$3=0,"",SUMIFS(INDEX(Inputs!$D$4:$AG$250,0,MATCH(AF$2,Inputs!$D$2:$AG$2,0)),Inputs!$B$4:$B$250,$B19)/1000)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IF(D$3=0,"",SUMIFS(INDEX(Inputs!$D$4:$AG$250,0,MATCH(D$2,Inputs!$D$2:$AG$2,0)),Inputs!$B$4:$B$250,$B20)/1000)</f>
        <v>1781.288</v>
      </c>
      <c r="E20" s="11">
        <f>IF(E$3=0,"",SUMIFS(INDEX(Inputs!$D$4:$AG$250,0,MATCH(E$2,Inputs!$D$2:$AG$2,0)),Inputs!$B$4:$B$250,$B20)/1000)</f>
        <v>1857.665</v>
      </c>
      <c r="F20" s="11">
        <f>IF(F$3=0,"",SUMIFS(INDEX(Inputs!$D$4:$AG$250,0,MATCH(F$2,Inputs!$D$2:$AG$2,0)),Inputs!$B$4:$B$250,$B20)/1000)</f>
        <v>1882.265</v>
      </c>
      <c r="G20" s="11">
        <f>IF(G$3=0,"",SUMIFS(INDEX(Inputs!$D$4:$AG$250,0,MATCH(G$2,Inputs!$D$2:$AG$2,0)),Inputs!$B$4:$B$250,$B20)/1000)</f>
        <v>2060.89</v>
      </c>
      <c r="H20" s="12">
        <f>IF(G20="","",G20)</f>
        <v>2060.89</v>
      </c>
      <c r="I20" s="11">
        <f>IF(I$3=0,"",SUMIFS(INDEX(Inputs!$D$4:$AG$250,0,MATCH(I$2,Inputs!$D$2:$AG$2,0)),Inputs!$B$4:$B$250,$B20)/1000)</f>
        <v>2121.591</v>
      </c>
      <c r="J20" s="11">
        <f>IF(J$3=0,"",SUMIFS(INDEX(Inputs!$D$4:$AG$250,0,MATCH(J$2,Inputs!$D$2:$AG$2,0)),Inputs!$B$4:$B$250,$B20)/1000)</f>
        <v>2203.378</v>
      </c>
      <c r="K20" s="11">
        <f>IF(K$3=0,"",SUMIFS(INDEX(Inputs!$D$4:$AG$250,0,MATCH(K$2,Inputs!$D$2:$AG$2,0)),Inputs!$B$4:$B$250,$B20)/1000)</f>
        <v>2164.519</v>
      </c>
      <c r="L20" s="11">
        <f>IF(L$3=0,"",SUMIFS(INDEX(Inputs!$D$4:$AG$250,0,MATCH(L$2,Inputs!$D$2:$AG$2,0)),Inputs!$B$4:$B$250,$B20)/1000)</f>
        <v>2213.971</v>
      </c>
      <c r="M20" s="12">
        <f>IF(L20="","",L20)</f>
        <v>2213.971</v>
      </c>
      <c r="N20" s="11">
        <f>IF(N$3=0,"",SUMIFS(INDEX(Inputs!$D$4:$AG$250,0,MATCH(N$2,Inputs!$D$2:$AG$2,0)),Inputs!$B$4:$B$250,$B20)/1000)</f>
        <v>2263.795</v>
      </c>
      <c r="O20" s="11">
        <f>IF(O$3=0,"",SUMIFS(INDEX(Inputs!$D$4:$AG$250,0,MATCH(O$2,Inputs!$D$2:$AG$2,0)),Inputs!$B$4:$B$250,$B20)/1000)</f>
        <v>2322.041</v>
      </c>
      <c r="P20" s="11">
        <f>IF(P$3=0,"",SUMIFS(INDEX(Inputs!$D$4:$AG$250,0,MATCH(P$2,Inputs!$D$2:$AG$2,0)),Inputs!$B$4:$B$250,$B20)/1000)</f>
        <v>2300.812</v>
      </c>
      <c r="Q20" s="11">
        <f>IF(Q$3=0,"",SUMIFS(INDEX(Inputs!$D$4:$AG$250,0,MATCH(Q$2,Inputs!$D$2:$AG$2,0)),Inputs!$B$4:$B$250,$B20)/1000)</f>
        <v>2276.969</v>
      </c>
      <c r="R20" s="12">
        <f>IF(Q20="","",Q20)</f>
        <v>2276.969</v>
      </c>
      <c r="S20" s="11">
        <f>IF(S$3=0,"",SUMIFS(INDEX(Inputs!$D$4:$AG$250,0,MATCH(S$2,Inputs!$D$2:$AG$2,0)),Inputs!$B$4:$B$250,$B20)/1000)</f>
        <v>2318.041</v>
      </c>
      <c r="T20" s="11">
        <f>IF(T$3=0,"",SUMIFS(INDEX(Inputs!$D$4:$AG$250,0,MATCH(T$2,Inputs!$D$2:$AG$2,0)),Inputs!$B$4:$B$250,$B20)/1000)</f>
        <v>2353.538</v>
      </c>
      <c r="U20" s="11">
        <f>IF(U$3=0,"",SUMIFS(INDEX(Inputs!$D$4:$AG$250,0,MATCH(U$2,Inputs!$D$2:$AG$2,0)),Inputs!$B$4:$B$250,$B20)/1000)</f>
        <v>2372.45</v>
      </c>
      <c r="V20" s="11">
        <f>IF(V$3=0,"",SUMIFS(INDEX(Inputs!$D$4:$AG$250,0,MATCH(V$2,Inputs!$D$2:$AG$2,0)),Inputs!$B$4:$B$250,$B20)/1000)</f>
        <v>2396.23</v>
      </c>
      <c r="W20" s="12">
        <f>IF(V20="","",V20)</f>
        <v>2396.23</v>
      </c>
      <c r="X20" s="11">
        <f>IF(X$3=0,"",SUMIFS(INDEX(Inputs!$D$4:$AG$250,0,MATCH(X$2,Inputs!$D$2:$AG$2,0)),Inputs!$B$4:$B$250,$B20)/1000)</f>
        <v>2456.996</v>
      </c>
      <c r="Y20" s="11">
        <f>IF(Y$3=0,"",SUMIFS(INDEX(Inputs!$D$4:$AG$250,0,MATCH(Y$2,Inputs!$D$2:$AG$2,0)),Inputs!$B$4:$B$250,$B20)/1000)</f>
        <v>2593.108</v>
      </c>
      <c r="Z20" s="11">
        <f>IF(Z$3=0,"",SUMIFS(INDEX(Inputs!$D$4:$AG$250,0,MATCH(Z$2,Inputs!$D$2:$AG$2,0)),Inputs!$B$4:$B$250,$B20)/1000)</f>
        <v>2628.473</v>
      </c>
      <c r="AA20" s="11">
        <f>IF(AA$3=0,"",SUMIFS(INDEX(Inputs!$D$4:$AG$250,0,MATCH(AA$2,Inputs!$D$2:$AG$2,0)),Inputs!$B$4:$B$250,$B20)/1000)</f>
        <v>2789.043</v>
      </c>
      <c r="AB20" s="12">
        <f>IF(AA20="","",AA20)</f>
        <v>2789.043</v>
      </c>
      <c r="AC20" s="11">
        <f>IF(AC$3=0,"",SUMIFS(INDEX(Inputs!$D$4:$AG$250,0,MATCH(AC$2,Inputs!$D$2:$AG$2,0)),Inputs!$B$4:$B$250,$B20)/1000)</f>
        <v>2838.566</v>
      </c>
      <c r="AD20" s="11">
        <f>IF(AD$3=0,"",SUMIFS(INDEX(Inputs!$D$4:$AG$250,0,MATCH(AD$2,Inputs!$D$2:$AG$2,0)),Inputs!$B$4:$B$250,$B20)/1000)</f>
        <v>3062.425</v>
      </c>
      <c r="AE20" s="11" t="str">
        <f>IF(AE$3=0,"",SUMIFS(INDEX(Inputs!$D$4:$AG$250,0,MATCH(AE$2,Inputs!$D$2:$AG$2,0)),Inputs!$B$4:$B$250,$B20)/1000)</f>
        <v/>
      </c>
      <c r="AF20" s="11" t="str">
        <f>IF(AF$3=0,"",SUMIFS(INDEX(Inputs!$D$4:$AG$250,0,MATCH(AF$2,Inputs!$D$2:$AG$2,0)),Inputs!$B$4:$B$250,$B20)/1000)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IF(D$3=0,"",SUMIFS(INDEX(Inputs!$D$4:$AG$250,0,MATCH(D$2,Inputs!$D$2:$AG$2,0)),Inputs!$B$4:$B$250,$B21)/1000)</f>
        <v>136.93</v>
      </c>
      <c r="E21" s="11">
        <f>IF(E$3=0,"",SUMIFS(INDEX(Inputs!$D$4:$AG$250,0,MATCH(E$2,Inputs!$D$2:$AG$2,0)),Inputs!$B$4:$B$250,$B21)/1000)</f>
        <v>139.039</v>
      </c>
      <c r="F21" s="11">
        <f>IF(F$3=0,"",SUMIFS(INDEX(Inputs!$D$4:$AG$250,0,MATCH(F$2,Inputs!$D$2:$AG$2,0)),Inputs!$B$4:$B$250,$B21)/1000)</f>
        <v>140.182</v>
      </c>
      <c r="G21" s="11">
        <f>IF(G$3=0,"",SUMIFS(INDEX(Inputs!$D$4:$AG$250,0,MATCH(G$2,Inputs!$D$2:$AG$2,0)),Inputs!$B$4:$B$250,$B21)/1000)</f>
        <v>150.92</v>
      </c>
      <c r="H21" s="12">
        <f>IF(G21="","",G21)</f>
        <v>150.92</v>
      </c>
      <c r="I21" s="11">
        <f>IF(I$3=0,"",SUMIFS(INDEX(Inputs!$D$4:$AG$250,0,MATCH(I$2,Inputs!$D$2:$AG$2,0)),Inputs!$B$4:$B$250,$B21)/1000)</f>
        <v>150.555</v>
      </c>
      <c r="J21" s="11">
        <f>IF(J$3=0,"",SUMIFS(INDEX(Inputs!$D$4:$AG$250,0,MATCH(J$2,Inputs!$D$2:$AG$2,0)),Inputs!$B$4:$B$250,$B21)/1000)</f>
        <v>153.088</v>
      </c>
      <c r="K21" s="11">
        <f>IF(K$3=0,"",SUMIFS(INDEX(Inputs!$D$4:$AG$250,0,MATCH(K$2,Inputs!$D$2:$AG$2,0)),Inputs!$B$4:$B$250,$B21)/1000)</f>
        <v>168.252</v>
      </c>
      <c r="L21" s="11">
        <f>IF(L$3=0,"",SUMIFS(INDEX(Inputs!$D$4:$AG$250,0,MATCH(L$2,Inputs!$D$2:$AG$2,0)),Inputs!$B$4:$B$250,$B21)/1000)</f>
        <v>176.062</v>
      </c>
      <c r="M21" s="12">
        <f>IF(L21="","",L21)</f>
        <v>176.062</v>
      </c>
      <c r="N21" s="11">
        <f>IF(N$3=0,"",SUMIFS(INDEX(Inputs!$D$4:$AG$250,0,MATCH(N$2,Inputs!$D$2:$AG$2,0)),Inputs!$B$4:$B$250,$B21)/1000)</f>
        <v>186.664</v>
      </c>
      <c r="O21" s="11">
        <f>IF(O$3=0,"",SUMIFS(INDEX(Inputs!$D$4:$AG$250,0,MATCH(O$2,Inputs!$D$2:$AG$2,0)),Inputs!$B$4:$B$250,$B21)/1000)</f>
        <v>212.488</v>
      </c>
      <c r="P21" s="11">
        <f>IF(P$3=0,"",SUMIFS(INDEX(Inputs!$D$4:$AG$250,0,MATCH(P$2,Inputs!$D$2:$AG$2,0)),Inputs!$B$4:$B$250,$B21)/1000)</f>
        <v>218.734</v>
      </c>
      <c r="Q21" s="11">
        <f>IF(Q$3=0,"",SUMIFS(INDEX(Inputs!$D$4:$AG$250,0,MATCH(Q$2,Inputs!$D$2:$AG$2,0)),Inputs!$B$4:$B$250,$B21)/1000)</f>
        <v>232.644</v>
      </c>
      <c r="R21" s="12">
        <f>IF(Q21="","",Q21)</f>
        <v>232.644</v>
      </c>
      <c r="S21" s="11">
        <f>IF(S$3=0,"",SUMIFS(INDEX(Inputs!$D$4:$AG$250,0,MATCH(S$2,Inputs!$D$2:$AG$2,0)),Inputs!$B$4:$B$250,$B21)/1000)</f>
        <v>248.826</v>
      </c>
      <c r="T21" s="11">
        <f>IF(T$3=0,"",SUMIFS(INDEX(Inputs!$D$4:$AG$250,0,MATCH(T$2,Inputs!$D$2:$AG$2,0)),Inputs!$B$4:$B$250,$B21)/1000)</f>
        <v>279.634</v>
      </c>
      <c r="U21" s="11">
        <f>IF(U$3=0,"",SUMIFS(INDEX(Inputs!$D$4:$AG$250,0,MATCH(U$2,Inputs!$D$2:$AG$2,0)),Inputs!$B$4:$B$250,$B21)/1000)</f>
        <v>328.05</v>
      </c>
      <c r="V21" s="11">
        <f>IF(V$3=0,"",SUMIFS(INDEX(Inputs!$D$4:$AG$250,0,MATCH(V$2,Inputs!$D$2:$AG$2,0)),Inputs!$B$4:$B$250,$B21)/1000)</f>
        <v>381.647</v>
      </c>
      <c r="W21" s="12">
        <f>IF(V21="","",V21)</f>
        <v>381.647</v>
      </c>
      <c r="X21" s="11">
        <f>IF(X$3=0,"",SUMIFS(INDEX(Inputs!$D$4:$AG$250,0,MATCH(X$2,Inputs!$D$2:$AG$2,0)),Inputs!$B$4:$B$250,$B21)/1000)</f>
        <v>431.194</v>
      </c>
      <c r="Y21" s="11">
        <f>IF(Y$3=0,"",SUMIFS(INDEX(Inputs!$D$4:$AG$250,0,MATCH(Y$2,Inputs!$D$2:$AG$2,0)),Inputs!$B$4:$B$250,$B21)/1000)</f>
        <v>324.079</v>
      </c>
      <c r="Z21" s="11">
        <f>IF(Z$3=0,"",SUMIFS(INDEX(Inputs!$D$4:$AG$250,0,MATCH(Z$2,Inputs!$D$2:$AG$2,0)),Inputs!$B$4:$B$250,$B21)/1000)</f>
        <v>807.382</v>
      </c>
      <c r="AA21" s="11">
        <f>IF(AA$3=0,"",SUMIFS(INDEX(Inputs!$D$4:$AG$250,0,MATCH(AA$2,Inputs!$D$2:$AG$2,0)),Inputs!$B$4:$B$250,$B21)/1000)</f>
        <v>817.595</v>
      </c>
      <c r="AB21" s="12">
        <f>IF(AA21="","",AA21)</f>
        <v>817.595</v>
      </c>
      <c r="AC21" s="11">
        <f>IF(AC$3=0,"",SUMIFS(INDEX(Inputs!$D$4:$AG$250,0,MATCH(AC$2,Inputs!$D$2:$AG$2,0)),Inputs!$B$4:$B$250,$B21)/1000)</f>
        <v>842.58</v>
      </c>
      <c r="AD21" s="11">
        <f>IF(AD$3=0,"",SUMIFS(INDEX(Inputs!$D$4:$AG$250,0,MATCH(AD$2,Inputs!$D$2:$AG$2,0)),Inputs!$B$4:$B$250,$B21)/1000)</f>
        <v>872.439</v>
      </c>
      <c r="AE21" s="11" t="str">
        <f>IF(AE$3=0,"",SUMIFS(INDEX(Inputs!$D$4:$AG$250,0,MATCH(AE$2,Inputs!$D$2:$AG$2,0)),Inputs!$B$4:$B$250,$B21)/1000)</f>
        <v/>
      </c>
      <c r="AF21" s="11" t="str">
        <f>IF(AF$3=0,"",SUMIFS(INDEX(Inputs!$D$4:$AG$250,0,MATCH(AF$2,Inputs!$D$2:$AG$2,0)),Inputs!$B$4:$B$250,$B21)/1000)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IF(D$3=0,"",SUMIFS(INDEX(Inputs!$D$4:$AG$250,0,MATCH(D$2,Inputs!$D$2:$AG$2,0)),Inputs!$B$4:$B$250,$B22)/1000)</f>
        <v>4756.788</v>
      </c>
      <c r="E22" s="11">
        <f>IF(E$3=0,"",SUMIFS(INDEX(Inputs!$D$4:$AG$250,0,MATCH(E$2,Inputs!$D$2:$AG$2,0)),Inputs!$B$4:$B$250,$B22)/1000)</f>
        <v>4610.024</v>
      </c>
      <c r="F22" s="11">
        <f>IF(F$3=0,"",SUMIFS(INDEX(Inputs!$D$4:$AG$250,0,MATCH(F$2,Inputs!$D$2:$AG$2,0)),Inputs!$B$4:$B$250,$B22)/1000)</f>
        <v>4624.455</v>
      </c>
      <c r="G22" s="11">
        <f>IF(G$3=0,"",SUMIFS(INDEX(Inputs!$D$4:$AG$250,0,MATCH(G$2,Inputs!$D$2:$AG$2,0)),Inputs!$B$4:$B$250,$B22)/1000)</f>
        <v>4710.238</v>
      </c>
      <c r="H22" s="12">
        <f>IF(G22="","",G22)</f>
        <v>4710.238</v>
      </c>
      <c r="I22" s="11">
        <f>IF(I$3=0,"",SUMIFS(INDEX(Inputs!$D$4:$AG$250,0,MATCH(I$2,Inputs!$D$2:$AG$2,0)),Inputs!$B$4:$B$250,$B22)/1000)</f>
        <v>5013.953</v>
      </c>
      <c r="J22" s="11">
        <f>IF(J$3=0,"",SUMIFS(INDEX(Inputs!$D$4:$AG$250,0,MATCH(J$2,Inputs!$D$2:$AG$2,0)),Inputs!$B$4:$B$250,$B22)/1000)</f>
        <v>4946.807</v>
      </c>
      <c r="K22" s="11">
        <f>IF(K$3=0,"",SUMIFS(INDEX(Inputs!$D$4:$AG$250,0,MATCH(K$2,Inputs!$D$2:$AG$2,0)),Inputs!$B$4:$B$250,$B22)/1000)</f>
        <v>5109.731</v>
      </c>
      <c r="L22" s="11">
        <f>IF(L$3=0,"",SUMIFS(INDEX(Inputs!$D$4:$AG$250,0,MATCH(L$2,Inputs!$D$2:$AG$2,0)),Inputs!$B$4:$B$250,$B22)/1000)</f>
        <v>5324.416</v>
      </c>
      <c r="M22" s="12">
        <f>IF(L22="","",L22)</f>
        <v>5324.416</v>
      </c>
      <c r="N22" s="11">
        <f>IF(N$3=0,"",SUMIFS(INDEX(Inputs!$D$4:$AG$250,0,MATCH(N$2,Inputs!$D$2:$AG$2,0)),Inputs!$B$4:$B$250,$B22)/1000)</f>
        <v>5372.552</v>
      </c>
      <c r="O22" s="11">
        <f>IF(O$3=0,"",SUMIFS(INDEX(Inputs!$D$4:$AG$250,0,MATCH(O$2,Inputs!$D$2:$AG$2,0)),Inputs!$B$4:$B$250,$B22)/1000)</f>
        <v>5408.683</v>
      </c>
      <c r="P22" s="11">
        <f>IF(P$3=0,"",SUMIFS(INDEX(Inputs!$D$4:$AG$250,0,MATCH(P$2,Inputs!$D$2:$AG$2,0)),Inputs!$B$4:$B$250,$B22)/1000)</f>
        <v>5530.079</v>
      </c>
      <c r="Q22" s="11">
        <f>IF(Q$3=0,"",SUMIFS(INDEX(Inputs!$D$4:$AG$250,0,MATCH(Q$2,Inputs!$D$2:$AG$2,0)),Inputs!$B$4:$B$250,$B22)/1000)</f>
        <v>5589.542</v>
      </c>
      <c r="R22" s="12">
        <f>IF(Q22="","",Q22)</f>
        <v>5589.542</v>
      </c>
      <c r="S22" s="11">
        <f>IF(S$3=0,"",SUMIFS(INDEX(Inputs!$D$4:$AG$250,0,MATCH(S$2,Inputs!$D$2:$AG$2,0)),Inputs!$B$4:$B$250,$B22)/1000)</f>
        <v>5635.29</v>
      </c>
      <c r="T22" s="11">
        <f>IF(T$3=0,"",SUMIFS(INDEX(Inputs!$D$4:$AG$250,0,MATCH(T$2,Inputs!$D$2:$AG$2,0)),Inputs!$B$4:$B$250,$B22)/1000)</f>
        <v>5779.312</v>
      </c>
      <c r="U22" s="11">
        <f>IF(U$3=0,"",SUMIFS(INDEX(Inputs!$D$4:$AG$250,0,MATCH(U$2,Inputs!$D$2:$AG$2,0)),Inputs!$B$4:$B$250,$B22)/1000)</f>
        <v>5746.537</v>
      </c>
      <c r="V22" s="11">
        <f>IF(V$3=0,"",SUMIFS(INDEX(Inputs!$D$4:$AG$250,0,MATCH(V$2,Inputs!$D$2:$AG$2,0)),Inputs!$B$4:$B$250,$B22)/1000)</f>
        <v>5996.226</v>
      </c>
      <c r="W22" s="12">
        <f>IF(V22="","",V22)</f>
        <v>5996.226</v>
      </c>
      <c r="X22" s="11">
        <f>IF(X$3=0,"",SUMIFS(INDEX(Inputs!$D$4:$AG$250,0,MATCH(X$2,Inputs!$D$2:$AG$2,0)),Inputs!$B$4:$B$250,$B22)/1000)</f>
        <v>5831.673</v>
      </c>
      <c r="Y22" s="11">
        <f>IF(Y$3=0,"",SUMIFS(INDEX(Inputs!$D$4:$AG$250,0,MATCH(Y$2,Inputs!$D$2:$AG$2,0)),Inputs!$B$4:$B$250,$B22)/1000)</f>
        <v>5764.356</v>
      </c>
      <c r="Z22" s="11">
        <f>IF(Z$3=0,"",SUMIFS(INDEX(Inputs!$D$4:$AG$250,0,MATCH(Z$2,Inputs!$D$2:$AG$2,0)),Inputs!$B$4:$B$250,$B22)/1000)</f>
        <v>5730.09</v>
      </c>
      <c r="AA22" s="11">
        <f>IF(AA$3=0,"",SUMIFS(INDEX(Inputs!$D$4:$AG$250,0,MATCH(AA$2,Inputs!$D$2:$AG$2,0)),Inputs!$B$4:$B$250,$B22)/1000)</f>
        <v>5878.065</v>
      </c>
      <c r="AB22" s="12">
        <f>IF(AA22="","",AA22)</f>
        <v>5878.065</v>
      </c>
      <c r="AC22" s="11">
        <f>IF(AC$3=0,"",SUMIFS(INDEX(Inputs!$D$4:$AG$250,0,MATCH(AC$2,Inputs!$D$2:$AG$2,0)),Inputs!$B$4:$B$250,$B22)/1000)</f>
        <v>5718.153</v>
      </c>
      <c r="AD22" s="11">
        <f>IF(AD$3=0,"",SUMIFS(INDEX(Inputs!$D$4:$AG$250,0,MATCH(AD$2,Inputs!$D$2:$AG$2,0)),Inputs!$B$4:$B$250,$B22)/1000)</f>
        <v>5795.449</v>
      </c>
      <c r="AE22" s="11" t="str">
        <f>IF(AE$3=0,"",SUMIFS(INDEX(Inputs!$D$4:$AG$250,0,MATCH(AE$2,Inputs!$D$2:$AG$2,0)),Inputs!$B$4:$B$250,$B22)/1000)</f>
        <v/>
      </c>
      <c r="AF22" s="11" t="str">
        <f>IF(AF$3=0,"",SUMIFS(INDEX(Inputs!$D$4:$AG$250,0,MATCH(AF$2,Inputs!$D$2:$AG$2,0)),Inputs!$B$4:$B$250,$B22)/1000)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IF(D$3=0,"",SUMIFS(INDEX(Inputs!$D$4:$AG$250,0,MATCH(D$2,Inputs!$D$2:$AG$2,0)),Inputs!$B$4:$B$250,$B23)/1000)</f>
        <v>0</v>
      </c>
      <c r="E23" s="11">
        <f>IF(E$3=0,"",SUMIFS(INDEX(Inputs!$D$4:$AG$250,0,MATCH(E$2,Inputs!$D$2:$AG$2,0)),Inputs!$B$4:$B$250,$B23)/1000)</f>
        <v>0</v>
      </c>
      <c r="F23" s="11">
        <f>IF(F$3=0,"",SUMIFS(INDEX(Inputs!$D$4:$AG$250,0,MATCH(F$2,Inputs!$D$2:$AG$2,0)),Inputs!$B$4:$B$250,$B23)/1000)</f>
        <v>0</v>
      </c>
      <c r="G23" s="11">
        <f>IF(G$3=0,"",SUMIFS(INDEX(Inputs!$D$4:$AG$250,0,MATCH(G$2,Inputs!$D$2:$AG$2,0)),Inputs!$B$4:$B$250,$B23)/1000)</f>
        <v>0</v>
      </c>
      <c r="H23" s="12">
        <f>IF(G23="","",G23)</f>
        <v>0</v>
      </c>
      <c r="I23" s="11">
        <f>IF(I$3=0,"",SUMIFS(INDEX(Inputs!$D$4:$AG$250,0,MATCH(I$2,Inputs!$D$2:$AG$2,0)),Inputs!$B$4:$B$250,$B23)/1000)</f>
        <v>0</v>
      </c>
      <c r="J23" s="11">
        <f>IF(J$3=0,"",SUMIFS(INDEX(Inputs!$D$4:$AG$250,0,MATCH(J$2,Inputs!$D$2:$AG$2,0)),Inputs!$B$4:$B$250,$B23)/1000)</f>
        <v>0</v>
      </c>
      <c r="K23" s="11">
        <f>IF(K$3=0,"",SUMIFS(INDEX(Inputs!$D$4:$AG$250,0,MATCH(K$2,Inputs!$D$2:$AG$2,0)),Inputs!$B$4:$B$250,$B23)/1000)</f>
        <v>0</v>
      </c>
      <c r="L23" s="11">
        <f>IF(L$3=0,"",SUMIFS(INDEX(Inputs!$D$4:$AG$250,0,MATCH(L$2,Inputs!$D$2:$AG$2,0)),Inputs!$B$4:$B$250,$B23)/1000)</f>
        <v>0</v>
      </c>
      <c r="M23" s="12">
        <f>IF(L23="","",L23)</f>
        <v>0</v>
      </c>
      <c r="N23" s="11">
        <f>IF(N$3=0,"",SUMIFS(INDEX(Inputs!$D$4:$AG$250,0,MATCH(N$2,Inputs!$D$2:$AG$2,0)),Inputs!$B$4:$B$250,$B23)/1000)</f>
        <v>0</v>
      </c>
      <c r="O23" s="11">
        <f>IF(O$3=0,"",SUMIFS(INDEX(Inputs!$D$4:$AG$250,0,MATCH(O$2,Inputs!$D$2:$AG$2,0)),Inputs!$B$4:$B$250,$B23)/1000)</f>
        <v>0</v>
      </c>
      <c r="P23" s="11">
        <f>IF(P$3=0,"",SUMIFS(INDEX(Inputs!$D$4:$AG$250,0,MATCH(P$2,Inputs!$D$2:$AG$2,0)),Inputs!$B$4:$B$250,$B23)/1000)</f>
        <v>0</v>
      </c>
      <c r="Q23" s="11">
        <f>IF(Q$3=0,"",SUMIFS(INDEX(Inputs!$D$4:$AG$250,0,MATCH(Q$2,Inputs!$D$2:$AG$2,0)),Inputs!$B$4:$B$250,$B23)/1000)</f>
        <v>0</v>
      </c>
      <c r="R23" s="12">
        <f>IF(Q23="","",Q23)</f>
        <v>0</v>
      </c>
      <c r="S23" s="11">
        <f>IF(S$3=0,"",SUMIFS(INDEX(Inputs!$D$4:$AG$250,0,MATCH(S$2,Inputs!$D$2:$AG$2,0)),Inputs!$B$4:$B$250,$B23)/1000)</f>
        <v>0</v>
      </c>
      <c r="T23" s="11">
        <f>IF(T$3=0,"",SUMIFS(INDEX(Inputs!$D$4:$AG$250,0,MATCH(T$2,Inputs!$D$2:$AG$2,0)),Inputs!$B$4:$B$250,$B23)/1000)</f>
        <v>0</v>
      </c>
      <c r="U23" s="11">
        <f>IF(U$3=0,"",SUMIFS(INDEX(Inputs!$D$4:$AG$250,0,MATCH(U$2,Inputs!$D$2:$AG$2,0)),Inputs!$B$4:$B$250,$B23)/1000)</f>
        <v>0</v>
      </c>
      <c r="V23" s="11">
        <f>IF(V$3=0,"",SUMIFS(INDEX(Inputs!$D$4:$AG$250,0,MATCH(V$2,Inputs!$D$2:$AG$2,0)),Inputs!$B$4:$B$250,$B23)/1000)</f>
        <v>0</v>
      </c>
      <c r="W23" s="12">
        <f>IF(V23="","",V23)</f>
        <v>0</v>
      </c>
      <c r="X23" s="11">
        <f>IF(X$3=0,"",SUMIFS(INDEX(Inputs!$D$4:$AG$250,0,MATCH(X$2,Inputs!$D$2:$AG$2,0)),Inputs!$B$4:$B$250,$B23)/1000)</f>
        <v>0</v>
      </c>
      <c r="Y23" s="11">
        <f>IF(Y$3=0,"",SUMIFS(INDEX(Inputs!$D$4:$AG$250,0,MATCH(Y$2,Inputs!$D$2:$AG$2,0)),Inputs!$B$4:$B$250,$B23)/1000)</f>
        <v>0</v>
      </c>
      <c r="Z23" s="11">
        <f>IF(Z$3=0,"",SUMIFS(INDEX(Inputs!$D$4:$AG$250,0,MATCH(Z$2,Inputs!$D$2:$AG$2,0)),Inputs!$B$4:$B$250,$B23)/1000)</f>
        <v>0</v>
      </c>
      <c r="AA23" s="11">
        <f>IF(AA$3=0,"",SUMIFS(INDEX(Inputs!$D$4:$AG$250,0,MATCH(AA$2,Inputs!$D$2:$AG$2,0)),Inputs!$B$4:$B$250,$B23)/1000)</f>
        <v>0</v>
      </c>
      <c r="AB23" s="12">
        <f>IF(AA23="","",AA23)</f>
        <v>0</v>
      </c>
      <c r="AC23" s="11">
        <f>IF(AC$3=0,"",SUMIFS(INDEX(Inputs!$D$4:$AG$250,0,MATCH(AC$2,Inputs!$D$2:$AG$2,0)),Inputs!$B$4:$B$250,$B23)/1000)</f>
        <v>0</v>
      </c>
      <c r="AD23" s="11">
        <f>IF(AD$3=0,"",SUMIFS(INDEX(Inputs!$D$4:$AG$250,0,MATCH(AD$2,Inputs!$D$2:$AG$2,0)),Inputs!$B$4:$B$250,$B23)/1000)</f>
        <v>0</v>
      </c>
      <c r="AE23" s="11" t="str">
        <f>IF(AE$3=0,"",SUMIFS(INDEX(Inputs!$D$4:$AG$250,0,MATCH(AE$2,Inputs!$D$2:$AG$2,0)),Inputs!$B$4:$B$250,$B23)/1000)</f>
        <v/>
      </c>
      <c r="AF23" s="11" t="str">
        <f>IF(AF$3=0,"",SUMIFS(INDEX(Inputs!$D$4:$AG$250,0,MATCH(AF$2,Inputs!$D$2:$AG$2,0)),Inputs!$B$4:$B$250,$B23)/1000)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IF(D$3=0,"",SUMIFS(INDEX(Inputs!$D$4:$AG$250,0,MATCH(D$2,Inputs!$D$2:$AG$2,0)),Inputs!$B$4:$B$250,$B24)/1000)</f>
        <v>0</v>
      </c>
      <c r="E24" s="11">
        <f>IF(E$3=0,"",SUMIFS(INDEX(Inputs!$D$4:$AG$250,0,MATCH(E$2,Inputs!$D$2:$AG$2,0)),Inputs!$B$4:$B$250,$B24)/1000)</f>
        <v>0</v>
      </c>
      <c r="F24" s="11">
        <f>IF(F$3=0,"",SUMIFS(INDEX(Inputs!$D$4:$AG$250,0,MATCH(F$2,Inputs!$D$2:$AG$2,0)),Inputs!$B$4:$B$250,$B24)/1000)</f>
        <v>0</v>
      </c>
      <c r="G24" s="11">
        <f>IF(G$3=0,"",SUMIFS(INDEX(Inputs!$D$4:$AG$250,0,MATCH(G$2,Inputs!$D$2:$AG$2,0)),Inputs!$B$4:$B$250,$B24)/1000)</f>
        <v>0</v>
      </c>
      <c r="H24" s="12">
        <f>IF(G24="","",G24)</f>
        <v>0</v>
      </c>
      <c r="I24" s="11">
        <f>IF(I$3=0,"",SUMIFS(INDEX(Inputs!$D$4:$AG$250,0,MATCH(I$2,Inputs!$D$2:$AG$2,0)),Inputs!$B$4:$B$250,$B24)/1000)</f>
        <v>0</v>
      </c>
      <c r="J24" s="11">
        <f>IF(J$3=0,"",SUMIFS(INDEX(Inputs!$D$4:$AG$250,0,MATCH(J$2,Inputs!$D$2:$AG$2,0)),Inputs!$B$4:$B$250,$B24)/1000)</f>
        <v>0</v>
      </c>
      <c r="K24" s="11">
        <f>IF(K$3=0,"",SUMIFS(INDEX(Inputs!$D$4:$AG$250,0,MATCH(K$2,Inputs!$D$2:$AG$2,0)),Inputs!$B$4:$B$250,$B24)/1000)</f>
        <v>0</v>
      </c>
      <c r="L24" s="11">
        <f>IF(L$3=0,"",SUMIFS(INDEX(Inputs!$D$4:$AG$250,0,MATCH(L$2,Inputs!$D$2:$AG$2,0)),Inputs!$B$4:$B$250,$B24)/1000)</f>
        <v>0</v>
      </c>
      <c r="M24" s="12">
        <f>IF(L24="","",L24)</f>
        <v>0</v>
      </c>
      <c r="N24" s="11">
        <f>IF(N$3=0,"",SUMIFS(INDEX(Inputs!$D$4:$AG$250,0,MATCH(N$2,Inputs!$D$2:$AG$2,0)),Inputs!$B$4:$B$250,$B24)/1000)</f>
        <v>0</v>
      </c>
      <c r="O24" s="11">
        <f>IF(O$3=0,"",SUMIFS(INDEX(Inputs!$D$4:$AG$250,0,MATCH(O$2,Inputs!$D$2:$AG$2,0)),Inputs!$B$4:$B$250,$B24)/1000)</f>
        <v>0</v>
      </c>
      <c r="P24" s="11">
        <f>IF(P$3=0,"",SUMIFS(INDEX(Inputs!$D$4:$AG$250,0,MATCH(P$2,Inputs!$D$2:$AG$2,0)),Inputs!$B$4:$B$250,$B24)/1000)</f>
        <v>0</v>
      </c>
      <c r="Q24" s="11">
        <f>IF(Q$3=0,"",SUMIFS(INDEX(Inputs!$D$4:$AG$250,0,MATCH(Q$2,Inputs!$D$2:$AG$2,0)),Inputs!$B$4:$B$250,$B24)/1000)</f>
        <v>0</v>
      </c>
      <c r="R24" s="12">
        <f>IF(Q24="","",Q24)</f>
        <v>0</v>
      </c>
      <c r="S24" s="11">
        <f>IF(S$3=0,"",SUMIFS(INDEX(Inputs!$D$4:$AG$250,0,MATCH(S$2,Inputs!$D$2:$AG$2,0)),Inputs!$B$4:$B$250,$B24)/1000)</f>
        <v>0</v>
      </c>
      <c r="T24" s="11">
        <f>IF(T$3=0,"",SUMIFS(INDEX(Inputs!$D$4:$AG$250,0,MATCH(T$2,Inputs!$D$2:$AG$2,0)),Inputs!$B$4:$B$250,$B24)/1000)</f>
        <v>0</v>
      </c>
      <c r="U24" s="11">
        <f>IF(U$3=0,"",SUMIFS(INDEX(Inputs!$D$4:$AG$250,0,MATCH(U$2,Inputs!$D$2:$AG$2,0)),Inputs!$B$4:$B$250,$B24)/1000)</f>
        <v>0</v>
      </c>
      <c r="V24" s="11">
        <f>IF(V$3=0,"",SUMIFS(INDEX(Inputs!$D$4:$AG$250,0,MATCH(V$2,Inputs!$D$2:$AG$2,0)),Inputs!$B$4:$B$250,$B24)/1000)</f>
        <v>0</v>
      </c>
      <c r="W24" s="12">
        <f>IF(V24="","",V24)</f>
        <v>0</v>
      </c>
      <c r="X24" s="11">
        <f>IF(X$3=0,"",SUMIFS(INDEX(Inputs!$D$4:$AG$250,0,MATCH(X$2,Inputs!$D$2:$AG$2,0)),Inputs!$B$4:$B$250,$B24)/1000)</f>
        <v>0</v>
      </c>
      <c r="Y24" s="11">
        <f>IF(Y$3=0,"",SUMIFS(INDEX(Inputs!$D$4:$AG$250,0,MATCH(Y$2,Inputs!$D$2:$AG$2,0)),Inputs!$B$4:$B$250,$B24)/1000)</f>
        <v>0</v>
      </c>
      <c r="Z24" s="11">
        <f>IF(Z$3=0,"",SUMIFS(INDEX(Inputs!$D$4:$AG$250,0,MATCH(Z$2,Inputs!$D$2:$AG$2,0)),Inputs!$B$4:$B$250,$B24)/1000)</f>
        <v>0</v>
      </c>
      <c r="AA24" s="11">
        <f>IF(AA$3=0,"",SUMIFS(INDEX(Inputs!$D$4:$AG$250,0,MATCH(AA$2,Inputs!$D$2:$AG$2,0)),Inputs!$B$4:$B$250,$B24)/1000)</f>
        <v>0</v>
      </c>
      <c r="AB24" s="12">
        <f>IF(AA24="","",AA24)</f>
        <v>0</v>
      </c>
      <c r="AC24" s="11">
        <f>IF(AC$3=0,"",SUMIFS(INDEX(Inputs!$D$4:$AG$250,0,MATCH(AC$2,Inputs!$D$2:$AG$2,0)),Inputs!$B$4:$B$250,$B24)/1000)</f>
        <v>0</v>
      </c>
      <c r="AD24" s="11">
        <f>IF(AD$3=0,"",SUMIFS(INDEX(Inputs!$D$4:$AG$250,0,MATCH(AD$2,Inputs!$D$2:$AG$2,0)),Inputs!$B$4:$B$250,$B24)/1000)</f>
        <v>0</v>
      </c>
      <c r="AE24" s="11" t="str">
        <f>IF(AE$3=0,"",SUMIFS(INDEX(Inputs!$D$4:$AG$250,0,MATCH(AE$2,Inputs!$D$2:$AG$2,0)),Inputs!$B$4:$B$250,$B24)/1000)</f>
        <v/>
      </c>
      <c r="AF24" s="11" t="str">
        <f>IF(AF$3=0,"",SUMIFS(INDEX(Inputs!$D$4:$AG$250,0,MATCH(AF$2,Inputs!$D$2:$AG$2,0)),Inputs!$B$4:$B$250,$B24)/1000)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IF(D$3=0,"",SUMIFS(INDEX(Inputs!$D$4:$AG$250,0,MATCH(D$2,Inputs!$D$2:$AG$2,0)),Inputs!$B$4:$B$250,$B25)/1000)</f>
        <v>200.57</v>
      </c>
      <c r="E25" s="11">
        <f>IF(E$3=0,"",SUMIFS(INDEX(Inputs!$D$4:$AG$250,0,MATCH(E$2,Inputs!$D$2:$AG$2,0)),Inputs!$B$4:$B$250,$B25)/1000)</f>
        <v>197.429</v>
      </c>
      <c r="F25" s="11">
        <f>IF(F$3=0,"",SUMIFS(INDEX(Inputs!$D$4:$AG$250,0,MATCH(F$2,Inputs!$D$2:$AG$2,0)),Inputs!$B$4:$B$250,$B25)/1000)</f>
        <v>200.395</v>
      </c>
      <c r="G25" s="11">
        <f>IF(G$3=0,"",SUMIFS(INDEX(Inputs!$D$4:$AG$250,0,MATCH(G$2,Inputs!$D$2:$AG$2,0)),Inputs!$B$4:$B$250,$B25)/1000)</f>
        <v>281.564</v>
      </c>
      <c r="H25" s="12">
        <f>IF(G25="","",G25)</f>
        <v>281.564</v>
      </c>
      <c r="I25" s="11">
        <f>IF(I$3=0,"",SUMIFS(INDEX(Inputs!$D$4:$AG$250,0,MATCH(I$2,Inputs!$D$2:$AG$2,0)),Inputs!$B$4:$B$250,$B25)/1000)</f>
        <v>277.134</v>
      </c>
      <c r="J25" s="11">
        <f>IF(J$3=0,"",SUMIFS(INDEX(Inputs!$D$4:$AG$250,0,MATCH(J$2,Inputs!$D$2:$AG$2,0)),Inputs!$B$4:$B$250,$B25)/1000)</f>
        <v>280.249</v>
      </c>
      <c r="K25" s="11">
        <f>IF(K$3=0,"",SUMIFS(INDEX(Inputs!$D$4:$AG$250,0,MATCH(K$2,Inputs!$D$2:$AG$2,0)),Inputs!$B$4:$B$250,$B25)/1000)</f>
        <v>277.968</v>
      </c>
      <c r="L25" s="11">
        <f>IF(L$3=0,"",SUMIFS(INDEX(Inputs!$D$4:$AG$250,0,MATCH(L$2,Inputs!$D$2:$AG$2,0)),Inputs!$B$4:$B$250,$B25)/1000)</f>
        <v>269.693</v>
      </c>
      <c r="M25" s="12">
        <f>IF(L25="","",L25)</f>
        <v>269.693</v>
      </c>
      <c r="N25" s="11">
        <f>IF(N$3=0,"",SUMIFS(INDEX(Inputs!$D$4:$AG$250,0,MATCH(N$2,Inputs!$D$2:$AG$2,0)),Inputs!$B$4:$B$250,$B25)/1000)</f>
        <v>268.323</v>
      </c>
      <c r="O25" s="11">
        <f>IF(O$3=0,"",SUMIFS(INDEX(Inputs!$D$4:$AG$250,0,MATCH(O$2,Inputs!$D$2:$AG$2,0)),Inputs!$B$4:$B$250,$B25)/1000)</f>
        <v>266.404</v>
      </c>
      <c r="P25" s="11">
        <f>IF(P$3=0,"",SUMIFS(INDEX(Inputs!$D$4:$AG$250,0,MATCH(P$2,Inputs!$D$2:$AG$2,0)),Inputs!$B$4:$B$250,$B25)/1000)</f>
        <v>273.89</v>
      </c>
      <c r="Q25" s="11">
        <f>IF(Q$3=0,"",SUMIFS(INDEX(Inputs!$D$4:$AG$250,0,MATCH(Q$2,Inputs!$D$2:$AG$2,0)),Inputs!$B$4:$B$250,$B25)/1000)</f>
        <v>268.011</v>
      </c>
      <c r="R25" s="12">
        <f>IF(Q25="","",Q25)</f>
        <v>268.011</v>
      </c>
      <c r="S25" s="11">
        <f>IF(S$3=0,"",SUMIFS(INDEX(Inputs!$D$4:$AG$250,0,MATCH(S$2,Inputs!$D$2:$AG$2,0)),Inputs!$B$4:$B$250,$B25)/1000)</f>
        <v>284.175</v>
      </c>
      <c r="T25" s="11">
        <f>IF(T$3=0,"",SUMIFS(INDEX(Inputs!$D$4:$AG$250,0,MATCH(T$2,Inputs!$D$2:$AG$2,0)),Inputs!$B$4:$B$250,$B25)/1000)</f>
        <v>291.913</v>
      </c>
      <c r="U25" s="11">
        <f>IF(U$3=0,"",SUMIFS(INDEX(Inputs!$D$4:$AG$250,0,MATCH(U$2,Inputs!$D$2:$AG$2,0)),Inputs!$B$4:$B$250,$B25)/1000)</f>
        <v>299.502</v>
      </c>
      <c r="V25" s="11">
        <f>IF(V$3=0,"",SUMIFS(INDEX(Inputs!$D$4:$AG$250,0,MATCH(V$2,Inputs!$D$2:$AG$2,0)),Inputs!$B$4:$B$250,$B25)/1000)</f>
        <v>364.832</v>
      </c>
      <c r="W25" s="12">
        <f>IF(V25="","",V25)</f>
        <v>364.832</v>
      </c>
      <c r="X25" s="11">
        <f>IF(X$3=0,"",SUMIFS(INDEX(Inputs!$D$4:$AG$250,0,MATCH(X$2,Inputs!$D$2:$AG$2,0)),Inputs!$B$4:$B$250,$B25)/1000)</f>
        <v>354.539</v>
      </c>
      <c r="Y25" s="11">
        <f>IF(Y$3=0,"",SUMIFS(INDEX(Inputs!$D$4:$AG$250,0,MATCH(Y$2,Inputs!$D$2:$AG$2,0)),Inputs!$B$4:$B$250,$B25)/1000)</f>
        <v>350.904</v>
      </c>
      <c r="Z25" s="11">
        <f>IF(Z$3=0,"",SUMIFS(INDEX(Inputs!$D$4:$AG$250,0,MATCH(Z$2,Inputs!$D$2:$AG$2,0)),Inputs!$B$4:$B$250,$B25)/1000)</f>
        <v>374.853</v>
      </c>
      <c r="AA25" s="11">
        <f>IF(AA$3=0,"",SUMIFS(INDEX(Inputs!$D$4:$AG$250,0,MATCH(AA$2,Inputs!$D$2:$AG$2,0)),Inputs!$B$4:$B$250,$B25)/1000)</f>
        <v>446.996</v>
      </c>
      <c r="AB25" s="12">
        <f>IF(AA25="","",AA25)</f>
        <v>446.996</v>
      </c>
      <c r="AC25" s="11">
        <f>IF(AC$3=0,"",SUMIFS(INDEX(Inputs!$D$4:$AG$250,0,MATCH(AC$2,Inputs!$D$2:$AG$2,0)),Inputs!$B$4:$B$250,$B25)/1000)</f>
        <v>469.158</v>
      </c>
      <c r="AD25" s="11">
        <f>IF(AD$3=0,"",SUMIFS(INDEX(Inputs!$D$4:$AG$250,0,MATCH(AD$2,Inputs!$D$2:$AG$2,0)),Inputs!$B$4:$B$250,$B25)/1000)</f>
        <v>593.425</v>
      </c>
      <c r="AE25" s="11" t="str">
        <f>IF(AE$3=0,"",SUMIFS(INDEX(Inputs!$D$4:$AG$250,0,MATCH(AE$2,Inputs!$D$2:$AG$2,0)),Inputs!$B$4:$B$250,$B25)/1000)</f>
        <v/>
      </c>
      <c r="AF25" s="11" t="str">
        <f>IF(AF$3=0,"",SUMIFS(INDEX(Inputs!$D$4:$AG$250,0,MATCH(AF$2,Inputs!$D$2:$AG$2,0)),Inputs!$B$4:$B$250,$B25)/1000)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IF(D$3=0,"",SUMIFS(INDEX(Inputs!$D$4:$AG$250,0,MATCH(D$2,Inputs!$D$2:$AG$2,0)),Inputs!$B$4:$B$250,$B26)/1000)</f>
        <v>14405.248</v>
      </c>
      <c r="E26" s="11">
        <f>IF(E$3=0,"",SUMIFS(INDEX(Inputs!$D$4:$AG$250,0,MATCH(E$2,Inputs!$D$2:$AG$2,0)),Inputs!$B$4:$B$250,$B26)/1000)</f>
        <v>15219.481</v>
      </c>
      <c r="F26" s="11">
        <f>IF(F$3=0,"",SUMIFS(INDEX(Inputs!$D$4:$AG$250,0,MATCH(F$2,Inputs!$D$2:$AG$2,0)),Inputs!$B$4:$B$250,$B26)/1000)</f>
        <v>15747.961</v>
      </c>
      <c r="G26" s="11">
        <f>IF(G$3=0,"",SUMIFS(INDEX(Inputs!$D$4:$AG$250,0,MATCH(G$2,Inputs!$D$2:$AG$2,0)),Inputs!$B$4:$B$250,$B26)/1000)</f>
        <v>16182.846</v>
      </c>
      <c r="H26" s="12">
        <f>IF(G26="","",G26)</f>
        <v>16182.846</v>
      </c>
      <c r="I26" s="11">
        <f>IF(I$3=0,"",SUMIFS(INDEX(Inputs!$D$4:$AG$250,0,MATCH(I$2,Inputs!$D$2:$AG$2,0)),Inputs!$B$4:$B$250,$B26)/1000)</f>
        <v>16599.594</v>
      </c>
      <c r="J26" s="11">
        <f>IF(J$3=0,"",SUMIFS(INDEX(Inputs!$D$4:$AG$250,0,MATCH(J$2,Inputs!$D$2:$AG$2,0)),Inputs!$B$4:$B$250,$B26)/1000)</f>
        <v>16882.567</v>
      </c>
      <c r="K26" s="11">
        <f>IF(K$3=0,"",SUMIFS(INDEX(Inputs!$D$4:$AG$250,0,MATCH(K$2,Inputs!$D$2:$AG$2,0)),Inputs!$B$4:$B$250,$B26)/1000)</f>
        <v>16769.339</v>
      </c>
      <c r="L26" s="11">
        <f>IF(L$3=0,"",SUMIFS(INDEX(Inputs!$D$4:$AG$250,0,MATCH(L$2,Inputs!$D$2:$AG$2,0)),Inputs!$B$4:$B$250,$B26)/1000)</f>
        <v>16736.871</v>
      </c>
      <c r="M26" s="12">
        <f>IF(L26="","",L26)</f>
        <v>16736.871</v>
      </c>
      <c r="N26" s="11">
        <f>IF(N$3=0,"",SUMIFS(INDEX(Inputs!$D$4:$AG$250,0,MATCH(N$2,Inputs!$D$2:$AG$2,0)),Inputs!$B$4:$B$250,$B26)/1000)</f>
        <v>17126.225</v>
      </c>
      <c r="O26" s="11">
        <f>IF(O$3=0,"",SUMIFS(INDEX(Inputs!$D$4:$AG$250,0,MATCH(O$2,Inputs!$D$2:$AG$2,0)),Inputs!$B$4:$B$250,$B26)/1000)</f>
        <v>16935.847</v>
      </c>
      <c r="P26" s="11">
        <f>IF(P$3=0,"",SUMIFS(INDEX(Inputs!$D$4:$AG$250,0,MATCH(P$2,Inputs!$D$2:$AG$2,0)),Inputs!$B$4:$B$250,$B26)/1000)</f>
        <v>16811.576</v>
      </c>
      <c r="Q26" s="11">
        <f>IF(Q$3=0,"",SUMIFS(INDEX(Inputs!$D$4:$AG$250,0,MATCH(Q$2,Inputs!$D$2:$AG$2,0)),Inputs!$B$4:$B$250,$B26)/1000)</f>
        <v>16867.443</v>
      </c>
      <c r="R26" s="12">
        <f>IF(Q26="","",Q26)</f>
        <v>16867.443</v>
      </c>
      <c r="S26" s="11">
        <f>IF(S$3=0,"",SUMIFS(INDEX(Inputs!$D$4:$AG$250,0,MATCH(S$2,Inputs!$D$2:$AG$2,0)),Inputs!$B$4:$B$250,$B26)/1000)</f>
        <v>17070.163</v>
      </c>
      <c r="T26" s="11">
        <f>IF(T$3=0,"",SUMIFS(INDEX(Inputs!$D$4:$AG$250,0,MATCH(T$2,Inputs!$D$2:$AG$2,0)),Inputs!$B$4:$B$250,$B26)/1000)</f>
        <v>17257.875</v>
      </c>
      <c r="U26" s="11">
        <f>IF(U$3=0,"",SUMIFS(INDEX(Inputs!$D$4:$AG$250,0,MATCH(U$2,Inputs!$D$2:$AG$2,0)),Inputs!$B$4:$B$250,$B26)/1000)</f>
        <v>17366.792</v>
      </c>
      <c r="V26" s="11">
        <f>IF(V$3=0,"",SUMIFS(INDEX(Inputs!$D$4:$AG$250,0,MATCH(V$2,Inputs!$D$2:$AG$2,0)),Inputs!$B$4:$B$250,$B26)/1000)</f>
        <v>17591.584</v>
      </c>
      <c r="W26" s="12">
        <f>IF(V26="","",V26)</f>
        <v>17591.584</v>
      </c>
      <c r="X26" s="11">
        <f>IF(X$3=0,"",SUMIFS(INDEX(Inputs!$D$4:$AG$250,0,MATCH(X$2,Inputs!$D$2:$AG$2,0)),Inputs!$B$4:$B$250,$B26)/1000)</f>
        <v>17962.67</v>
      </c>
      <c r="Y26" s="11">
        <f>IF(Y$3=0,"",SUMIFS(INDEX(Inputs!$D$4:$AG$250,0,MATCH(Y$2,Inputs!$D$2:$AG$2,0)),Inputs!$B$4:$B$250,$B26)/1000)</f>
        <v>18037.717</v>
      </c>
      <c r="Z26" s="11">
        <f>IF(Z$3=0,"",SUMIFS(INDEX(Inputs!$D$4:$AG$250,0,MATCH(Z$2,Inputs!$D$2:$AG$2,0)),Inputs!$B$4:$B$250,$B26)/1000)</f>
        <v>18301.008</v>
      </c>
      <c r="AA26" s="11">
        <f>IF(AA$3=0,"",SUMIFS(INDEX(Inputs!$D$4:$AG$250,0,MATCH(AA$2,Inputs!$D$2:$AG$2,0)),Inputs!$B$4:$B$250,$B26)/1000)</f>
        <v>18572.04</v>
      </c>
      <c r="AB26" s="12">
        <f>IF(AA26="","",AA26)</f>
        <v>18572.04</v>
      </c>
      <c r="AC26" s="11">
        <f>IF(AC$3=0,"",SUMIFS(INDEX(Inputs!$D$4:$AG$250,0,MATCH(AC$2,Inputs!$D$2:$AG$2,0)),Inputs!$B$4:$B$250,$B26)/1000)</f>
        <v>18838.683</v>
      </c>
      <c r="AD26" s="11">
        <f>IF(AD$3=0,"",SUMIFS(INDEX(Inputs!$D$4:$AG$250,0,MATCH(AD$2,Inputs!$D$2:$AG$2,0)),Inputs!$B$4:$B$250,$B26)/1000)</f>
        <v>19206.814</v>
      </c>
      <c r="AE26" s="11" t="str">
        <f>IF(AE$3=0,"",SUMIFS(INDEX(Inputs!$D$4:$AG$250,0,MATCH(AE$2,Inputs!$D$2:$AG$2,0)),Inputs!$B$4:$B$250,$B26)/1000)</f>
        <v/>
      </c>
      <c r="AF26" s="11" t="str">
        <f>IF(AF$3=0,"",SUMIFS(INDEX(Inputs!$D$4:$AG$250,0,MATCH(AF$2,Inputs!$D$2:$AG$2,0)),Inputs!$B$4:$B$250,$B26)/1000)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IF(D$3=0,"",SUMIFS(INDEX(Inputs!$D$4:$AG$250,0,MATCH(D$2,Inputs!$D$2:$AG$2,0)),Inputs!$B$4:$B$250,$B28)/1000)</f>
        <v>196.576</v>
      </c>
      <c r="E28" s="11">
        <f>IF(E$3=0,"",SUMIFS(INDEX(Inputs!$D$4:$AG$250,0,MATCH(E$2,Inputs!$D$2:$AG$2,0)),Inputs!$B$4:$B$250,$B28)/1000)</f>
        <v>245.687</v>
      </c>
      <c r="F28" s="11">
        <f>IF(F$3=0,"",SUMIFS(INDEX(Inputs!$D$4:$AG$250,0,MATCH(F$2,Inputs!$D$2:$AG$2,0)),Inputs!$B$4:$B$250,$B28)/1000)</f>
        <v>217.738</v>
      </c>
      <c r="G28" s="11">
        <f>IF(G$3=0,"",SUMIFS(INDEX(Inputs!$D$4:$AG$250,0,MATCH(G$2,Inputs!$D$2:$AG$2,0)),Inputs!$B$4:$B$250,$B28)/1000)</f>
        <v>203.987</v>
      </c>
      <c r="H28" s="12">
        <f>IF(G28="","",G28)</f>
        <v>203.987</v>
      </c>
      <c r="I28" s="11">
        <f>IF(I$3=0,"",SUMIFS(INDEX(Inputs!$D$4:$AG$250,0,MATCH(I$2,Inputs!$D$2:$AG$2,0)),Inputs!$B$4:$B$250,$B28)/1000)</f>
        <v>460.822</v>
      </c>
      <c r="J28" s="11">
        <f>IF(J$3=0,"",SUMIFS(INDEX(Inputs!$D$4:$AG$250,0,MATCH(J$2,Inputs!$D$2:$AG$2,0)),Inputs!$B$4:$B$250,$B28)/1000)</f>
        <v>195.507</v>
      </c>
      <c r="K28" s="11">
        <f>IF(K$3=0,"",SUMIFS(INDEX(Inputs!$D$4:$AG$250,0,MATCH(K$2,Inputs!$D$2:$AG$2,0)),Inputs!$B$4:$B$250,$B28)/1000)</f>
        <v>299.81</v>
      </c>
      <c r="L28" s="11">
        <f>IF(L$3=0,"",SUMIFS(INDEX(Inputs!$D$4:$AG$250,0,MATCH(L$2,Inputs!$D$2:$AG$2,0)),Inputs!$B$4:$B$250,$B28)/1000)</f>
        <v>239.119</v>
      </c>
      <c r="M28" s="12">
        <f>IF(L28="","",L28)</f>
        <v>239.119</v>
      </c>
      <c r="N28" s="11">
        <f>IF(N$3=0,"",SUMIFS(INDEX(Inputs!$D$4:$AG$250,0,MATCH(N$2,Inputs!$D$2:$AG$2,0)),Inputs!$B$4:$B$250,$B28)/1000)</f>
        <v>193.047</v>
      </c>
      <c r="O28" s="11">
        <f>IF(O$3=0,"",SUMIFS(INDEX(Inputs!$D$4:$AG$250,0,MATCH(O$2,Inputs!$D$2:$AG$2,0)),Inputs!$B$4:$B$250,$B28)/1000)</f>
        <v>183.047</v>
      </c>
      <c r="P28" s="11">
        <f>IF(P$3=0,"",SUMIFS(INDEX(Inputs!$D$4:$AG$250,0,MATCH(P$2,Inputs!$D$2:$AG$2,0)),Inputs!$B$4:$B$250,$B28)/1000)</f>
        <v>173.733</v>
      </c>
      <c r="Q28" s="11">
        <f>IF(Q$3=0,"",SUMIFS(INDEX(Inputs!$D$4:$AG$250,0,MATCH(Q$2,Inputs!$D$2:$AG$2,0)),Inputs!$B$4:$B$250,$B28)/1000)</f>
        <v>191.62</v>
      </c>
      <c r="R28" s="12">
        <f>IF(Q28="","",Q28)</f>
        <v>191.62</v>
      </c>
      <c r="S28" s="11">
        <f>IF(S$3=0,"",SUMIFS(INDEX(Inputs!$D$4:$AG$250,0,MATCH(S$2,Inputs!$D$2:$AG$2,0)),Inputs!$B$4:$B$250,$B28)/1000)</f>
        <v>189.72</v>
      </c>
      <c r="T28" s="11">
        <f>IF(T$3=0,"",SUMIFS(INDEX(Inputs!$D$4:$AG$250,0,MATCH(T$2,Inputs!$D$2:$AG$2,0)),Inputs!$B$4:$B$250,$B28)/1000)</f>
        <v>185.821</v>
      </c>
      <c r="U28" s="11">
        <f>IF(U$3=0,"",SUMIFS(INDEX(Inputs!$D$4:$AG$250,0,MATCH(U$2,Inputs!$D$2:$AG$2,0)),Inputs!$B$4:$B$250,$B28)/1000)</f>
        <v>182.751</v>
      </c>
      <c r="V28" s="11">
        <f>IF(V$3=0,"",SUMIFS(INDEX(Inputs!$D$4:$AG$250,0,MATCH(V$2,Inputs!$D$2:$AG$2,0)),Inputs!$B$4:$B$250,$B28)/1000)</f>
        <v>195.371</v>
      </c>
      <c r="W28" s="12">
        <f>IF(V28="","",V28)</f>
        <v>195.371</v>
      </c>
      <c r="X28" s="11">
        <f>IF(X$3=0,"",SUMIFS(INDEX(Inputs!$D$4:$AG$250,0,MATCH(X$2,Inputs!$D$2:$AG$2,0)),Inputs!$B$4:$B$250,$B28)/1000)</f>
        <v>219.347</v>
      </c>
      <c r="Y28" s="11">
        <f>IF(Y$3=0,"",SUMIFS(INDEX(Inputs!$D$4:$AG$250,0,MATCH(Y$2,Inputs!$D$2:$AG$2,0)),Inputs!$B$4:$B$250,$B28)/1000)</f>
        <v>211.938</v>
      </c>
      <c r="Z28" s="11">
        <f>IF(Z$3=0,"",SUMIFS(INDEX(Inputs!$D$4:$AG$250,0,MATCH(Z$2,Inputs!$D$2:$AG$2,0)),Inputs!$B$4:$B$250,$B28)/1000)</f>
        <v>157.703</v>
      </c>
      <c r="AA28" s="11">
        <f>IF(AA$3=0,"",SUMIFS(INDEX(Inputs!$D$4:$AG$250,0,MATCH(AA$2,Inputs!$D$2:$AG$2,0)),Inputs!$B$4:$B$250,$B28)/1000)</f>
        <v>190.734</v>
      </c>
      <c r="AB28" s="12">
        <f>IF(AA28="","",AA28)</f>
        <v>190.734</v>
      </c>
      <c r="AC28" s="11">
        <f>IF(AC$3=0,"",SUMIFS(INDEX(Inputs!$D$4:$AG$250,0,MATCH(AC$2,Inputs!$D$2:$AG$2,0)),Inputs!$B$4:$B$250,$B28)/1000)</f>
        <v>290.279</v>
      </c>
      <c r="AD28" s="11">
        <f>IF(AD$3=0,"",SUMIFS(INDEX(Inputs!$D$4:$AG$250,0,MATCH(AD$2,Inputs!$D$2:$AG$2,0)),Inputs!$B$4:$B$250,$B28)/1000)</f>
        <v>306.514</v>
      </c>
      <c r="AE28" s="11" t="str">
        <f>IF(AE$3=0,"",SUMIFS(INDEX(Inputs!$D$4:$AG$250,0,MATCH(AE$2,Inputs!$D$2:$AG$2,0)),Inputs!$B$4:$B$250,$B28)/1000)</f>
        <v/>
      </c>
      <c r="AF28" s="11" t="str">
        <f>IF(AF$3=0,"",SUMIFS(INDEX(Inputs!$D$4:$AG$250,0,MATCH(AF$2,Inputs!$D$2:$AG$2,0)),Inputs!$B$4:$B$250,$B28)/1000)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IF(D$3=0,"",SUMIFS(INDEX(Inputs!$D$4:$AG$250,0,MATCH(D$2,Inputs!$D$2:$AG$2,0)),Inputs!$B$4:$B$250,$B29)/1000)</f>
        <v>57.887</v>
      </c>
      <c r="E29" s="11">
        <f>IF(E$3=0,"",SUMIFS(INDEX(Inputs!$D$4:$AG$250,0,MATCH(E$2,Inputs!$D$2:$AG$2,0)),Inputs!$B$4:$B$250,$B29)/1000)</f>
        <v>33.676</v>
      </c>
      <c r="F29" s="11">
        <f>IF(F$3=0,"",SUMIFS(INDEX(Inputs!$D$4:$AG$250,0,MATCH(F$2,Inputs!$D$2:$AG$2,0)),Inputs!$B$4:$B$250,$B29)/1000)</f>
        <v>38.093</v>
      </c>
      <c r="G29" s="11">
        <f>IF(G$3=0,"",SUMIFS(INDEX(Inputs!$D$4:$AG$250,0,MATCH(G$2,Inputs!$D$2:$AG$2,0)),Inputs!$B$4:$B$250,$B29)/1000)</f>
        <v>44.866</v>
      </c>
      <c r="H29" s="12">
        <f>IF(G29="","",G29)</f>
        <v>44.866</v>
      </c>
      <c r="I29" s="11">
        <f>IF(I$3=0,"",SUMIFS(INDEX(Inputs!$D$4:$AG$250,0,MATCH(I$2,Inputs!$D$2:$AG$2,0)),Inputs!$B$4:$B$250,$B29)/1000)</f>
        <v>49.435</v>
      </c>
      <c r="J29" s="11">
        <f>IF(J$3=0,"",SUMIFS(INDEX(Inputs!$D$4:$AG$250,0,MATCH(J$2,Inputs!$D$2:$AG$2,0)),Inputs!$B$4:$B$250,$B29)/1000)</f>
        <v>37.285</v>
      </c>
      <c r="K29" s="11">
        <f>IF(K$3=0,"",SUMIFS(INDEX(Inputs!$D$4:$AG$250,0,MATCH(K$2,Inputs!$D$2:$AG$2,0)),Inputs!$B$4:$B$250,$B29)/1000)</f>
        <v>40.193</v>
      </c>
      <c r="L29" s="11">
        <f>IF(L$3=0,"",SUMIFS(INDEX(Inputs!$D$4:$AG$250,0,MATCH(L$2,Inputs!$D$2:$AG$2,0)),Inputs!$B$4:$B$250,$B29)/1000)</f>
        <v>45.325</v>
      </c>
      <c r="M29" s="12">
        <f>IF(L29="","",L29)</f>
        <v>45.325</v>
      </c>
      <c r="N29" s="11">
        <f>IF(N$3=0,"",SUMIFS(INDEX(Inputs!$D$4:$AG$250,0,MATCH(N$2,Inputs!$D$2:$AG$2,0)),Inputs!$B$4:$B$250,$B29)/1000)</f>
        <v>51.044</v>
      </c>
      <c r="O29" s="11">
        <f>IF(O$3=0,"",SUMIFS(INDEX(Inputs!$D$4:$AG$250,0,MATCH(O$2,Inputs!$D$2:$AG$2,0)),Inputs!$B$4:$B$250,$B29)/1000)</f>
        <v>38.889</v>
      </c>
      <c r="P29" s="11">
        <f>IF(P$3=0,"",SUMIFS(INDEX(Inputs!$D$4:$AG$250,0,MATCH(P$2,Inputs!$D$2:$AG$2,0)),Inputs!$B$4:$B$250,$B29)/1000)</f>
        <v>46.145</v>
      </c>
      <c r="Q29" s="11">
        <f>IF(Q$3=0,"",SUMIFS(INDEX(Inputs!$D$4:$AG$250,0,MATCH(Q$2,Inputs!$D$2:$AG$2,0)),Inputs!$B$4:$B$250,$B29)/1000)</f>
        <v>45.654</v>
      </c>
      <c r="R29" s="12">
        <f>IF(Q29="","",Q29)</f>
        <v>45.654</v>
      </c>
      <c r="S29" s="11">
        <f>IF(S$3=0,"",SUMIFS(INDEX(Inputs!$D$4:$AG$250,0,MATCH(S$2,Inputs!$D$2:$AG$2,0)),Inputs!$B$4:$B$250,$B29)/1000)</f>
        <v>51.718</v>
      </c>
      <c r="T29" s="11">
        <f>IF(T$3=0,"",SUMIFS(INDEX(Inputs!$D$4:$AG$250,0,MATCH(T$2,Inputs!$D$2:$AG$2,0)),Inputs!$B$4:$B$250,$B29)/1000)</f>
        <v>40.977</v>
      </c>
      <c r="U29" s="11">
        <f>IF(U$3=0,"",SUMIFS(INDEX(Inputs!$D$4:$AG$250,0,MATCH(U$2,Inputs!$D$2:$AG$2,0)),Inputs!$B$4:$B$250,$B29)/1000)</f>
        <v>48.767</v>
      </c>
      <c r="V29" s="11">
        <f>IF(V$3=0,"",SUMIFS(INDEX(Inputs!$D$4:$AG$250,0,MATCH(V$2,Inputs!$D$2:$AG$2,0)),Inputs!$B$4:$B$250,$B29)/1000)</f>
        <v>47.338</v>
      </c>
      <c r="W29" s="12">
        <f>IF(V29="","",V29)</f>
        <v>47.338</v>
      </c>
      <c r="X29" s="11">
        <f>IF(X$3=0,"",SUMIFS(INDEX(Inputs!$D$4:$AG$250,0,MATCH(X$2,Inputs!$D$2:$AG$2,0)),Inputs!$B$4:$B$250,$B29)/1000)</f>
        <v>53.835</v>
      </c>
      <c r="Y29" s="11">
        <f>IF(Y$3=0,"",SUMIFS(INDEX(Inputs!$D$4:$AG$250,0,MATCH(Y$2,Inputs!$D$2:$AG$2,0)),Inputs!$B$4:$B$250,$B29)/1000)</f>
        <v>47.121</v>
      </c>
      <c r="Z29" s="11">
        <f>IF(Z$3=0,"",SUMIFS(INDEX(Inputs!$D$4:$AG$250,0,MATCH(Z$2,Inputs!$D$2:$AG$2,0)),Inputs!$B$4:$B$250,$B29)/1000)</f>
        <v>51.61</v>
      </c>
      <c r="AA29" s="11">
        <f>IF(AA$3=0,"",SUMIFS(INDEX(Inputs!$D$4:$AG$250,0,MATCH(AA$2,Inputs!$D$2:$AG$2,0)),Inputs!$B$4:$B$250,$B29)/1000)</f>
        <v>47.332</v>
      </c>
      <c r="AB29" s="12">
        <f>IF(AA29="","",AA29)</f>
        <v>47.332</v>
      </c>
      <c r="AC29" s="11">
        <f>IF(AC$3=0,"",SUMIFS(INDEX(Inputs!$D$4:$AG$250,0,MATCH(AC$2,Inputs!$D$2:$AG$2,0)),Inputs!$B$4:$B$250,$B29)/1000)</f>
        <v>54.256</v>
      </c>
      <c r="AD29" s="11">
        <f>IF(AD$3=0,"",SUMIFS(INDEX(Inputs!$D$4:$AG$250,0,MATCH(AD$2,Inputs!$D$2:$AG$2,0)),Inputs!$B$4:$B$250,$B29)/1000)</f>
        <v>47.161</v>
      </c>
      <c r="AE29" s="11" t="str">
        <f>IF(AE$3=0,"",SUMIFS(INDEX(Inputs!$D$4:$AG$250,0,MATCH(AE$2,Inputs!$D$2:$AG$2,0)),Inputs!$B$4:$B$250,$B29)/1000)</f>
        <v/>
      </c>
      <c r="AF29" s="11" t="str">
        <f>IF(AF$3=0,"",SUMIFS(INDEX(Inputs!$D$4:$AG$250,0,MATCH(AF$2,Inputs!$D$2:$AG$2,0)),Inputs!$B$4:$B$250,$B29)/1000)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IF(D$3=0,"",SUMIFS(INDEX(Inputs!$D$4:$AG$250,0,MATCH(D$2,Inputs!$D$2:$AG$2,0)),Inputs!$B$4:$B$250,$B30)/1000)</f>
        <v>68.11</v>
      </c>
      <c r="E30" s="11">
        <f>IF(E$3=0,"",SUMIFS(INDEX(Inputs!$D$4:$AG$250,0,MATCH(E$2,Inputs!$D$2:$AG$2,0)),Inputs!$B$4:$B$250,$B30)/1000)</f>
        <v>87.52</v>
      </c>
      <c r="F30" s="11">
        <f>IF(F$3=0,"",SUMIFS(INDEX(Inputs!$D$4:$AG$250,0,MATCH(F$2,Inputs!$D$2:$AG$2,0)),Inputs!$B$4:$B$250,$B30)/1000)</f>
        <v>104.389</v>
      </c>
      <c r="G30" s="11">
        <f>IF(G$3=0,"",SUMIFS(INDEX(Inputs!$D$4:$AG$250,0,MATCH(G$2,Inputs!$D$2:$AG$2,0)),Inputs!$B$4:$B$250,$B30)/1000)</f>
        <v>115.952</v>
      </c>
      <c r="H30" s="12">
        <f>IF(G30="","",G30)</f>
        <v>115.952</v>
      </c>
      <c r="I30" s="11">
        <f>IF(I$3=0,"",SUMIFS(INDEX(Inputs!$D$4:$AG$250,0,MATCH(I$2,Inputs!$D$2:$AG$2,0)),Inputs!$B$4:$B$250,$B30)/1000)</f>
        <v>89.648</v>
      </c>
      <c r="J30" s="11">
        <f>IF(J$3=0,"",SUMIFS(INDEX(Inputs!$D$4:$AG$250,0,MATCH(J$2,Inputs!$D$2:$AG$2,0)),Inputs!$B$4:$B$250,$B30)/1000)</f>
        <v>103.913</v>
      </c>
      <c r="K30" s="11">
        <f>IF(K$3=0,"",SUMIFS(INDEX(Inputs!$D$4:$AG$250,0,MATCH(K$2,Inputs!$D$2:$AG$2,0)),Inputs!$B$4:$B$250,$B30)/1000)</f>
        <v>147.667</v>
      </c>
      <c r="L30" s="11">
        <f>IF(L$3=0,"",SUMIFS(INDEX(Inputs!$D$4:$AG$250,0,MATCH(L$2,Inputs!$D$2:$AG$2,0)),Inputs!$B$4:$B$250,$B30)/1000)</f>
        <v>197.448</v>
      </c>
      <c r="M30" s="12">
        <f>IF(L30="","",L30)</f>
        <v>197.448</v>
      </c>
      <c r="N30" s="11">
        <f>IF(N$3=0,"",SUMIFS(INDEX(Inputs!$D$4:$AG$250,0,MATCH(N$2,Inputs!$D$2:$AG$2,0)),Inputs!$B$4:$B$250,$B30)/1000)</f>
        <v>122.435</v>
      </c>
      <c r="O30" s="11">
        <f>IF(O$3=0,"",SUMIFS(INDEX(Inputs!$D$4:$AG$250,0,MATCH(O$2,Inputs!$D$2:$AG$2,0)),Inputs!$B$4:$B$250,$B30)/1000)</f>
        <v>155.508</v>
      </c>
      <c r="P30" s="11">
        <f>IF(P$3=0,"",SUMIFS(INDEX(Inputs!$D$4:$AG$250,0,MATCH(P$2,Inputs!$D$2:$AG$2,0)),Inputs!$B$4:$B$250,$B30)/1000)</f>
        <v>184.291</v>
      </c>
      <c r="Q30" s="11">
        <f>IF(Q$3=0,"",SUMIFS(INDEX(Inputs!$D$4:$AG$250,0,MATCH(Q$2,Inputs!$D$2:$AG$2,0)),Inputs!$B$4:$B$250,$B30)/1000)</f>
        <v>161.876</v>
      </c>
      <c r="R30" s="12">
        <f>IF(Q30="","",Q30)</f>
        <v>161.876</v>
      </c>
      <c r="S30" s="11">
        <f>IF(S$3=0,"",SUMIFS(INDEX(Inputs!$D$4:$AG$250,0,MATCH(S$2,Inputs!$D$2:$AG$2,0)),Inputs!$B$4:$B$250,$B30)/1000)</f>
        <v>140.937</v>
      </c>
      <c r="T30" s="11">
        <f>IF(T$3=0,"",SUMIFS(INDEX(Inputs!$D$4:$AG$250,0,MATCH(T$2,Inputs!$D$2:$AG$2,0)),Inputs!$B$4:$B$250,$B30)/1000)</f>
        <v>166.263</v>
      </c>
      <c r="U30" s="11">
        <f>IF(U$3=0,"",SUMIFS(INDEX(Inputs!$D$4:$AG$250,0,MATCH(U$2,Inputs!$D$2:$AG$2,0)),Inputs!$B$4:$B$250,$B30)/1000)</f>
        <v>177.287</v>
      </c>
      <c r="V30" s="11">
        <f>IF(V$3=0,"",SUMIFS(INDEX(Inputs!$D$4:$AG$250,0,MATCH(V$2,Inputs!$D$2:$AG$2,0)),Inputs!$B$4:$B$250,$B30)/1000)</f>
        <v>158.95</v>
      </c>
      <c r="W30" s="12">
        <f>IF(V30="","",V30)</f>
        <v>158.95</v>
      </c>
      <c r="X30" s="11">
        <f>IF(X$3=0,"",SUMIFS(INDEX(Inputs!$D$4:$AG$250,0,MATCH(X$2,Inputs!$D$2:$AG$2,0)),Inputs!$B$4:$B$250,$B30)/1000)</f>
        <v>128.376</v>
      </c>
      <c r="Y30" s="11">
        <f>IF(Y$3=0,"",SUMIFS(INDEX(Inputs!$D$4:$AG$250,0,MATCH(Y$2,Inputs!$D$2:$AG$2,0)),Inputs!$B$4:$B$250,$B30)/1000)</f>
        <v>157.779</v>
      </c>
      <c r="Z30" s="11">
        <f>IF(Z$3=0,"",SUMIFS(INDEX(Inputs!$D$4:$AG$250,0,MATCH(Z$2,Inputs!$D$2:$AG$2,0)),Inputs!$B$4:$B$250,$B30)/1000)</f>
        <v>185.597</v>
      </c>
      <c r="AA30" s="11">
        <f>IF(AA$3=0,"",SUMIFS(INDEX(Inputs!$D$4:$AG$250,0,MATCH(AA$2,Inputs!$D$2:$AG$2,0)),Inputs!$B$4:$B$250,$B30)/1000)</f>
        <v>160.407</v>
      </c>
      <c r="AB30" s="12">
        <f>IF(AA30="","",AA30)</f>
        <v>160.407</v>
      </c>
      <c r="AC30" s="11">
        <f>IF(AC$3=0,"",SUMIFS(INDEX(Inputs!$D$4:$AG$250,0,MATCH(AC$2,Inputs!$D$2:$AG$2,0)),Inputs!$B$4:$B$250,$B30)/1000)</f>
        <v>176.219</v>
      </c>
      <c r="AD30" s="11">
        <f>IF(AD$3=0,"",SUMIFS(INDEX(Inputs!$D$4:$AG$250,0,MATCH(AD$2,Inputs!$D$2:$AG$2,0)),Inputs!$B$4:$B$250,$B30)/1000)</f>
        <v>208.403</v>
      </c>
      <c r="AE30" s="11" t="str">
        <f>IF(AE$3=0,"",SUMIFS(INDEX(Inputs!$D$4:$AG$250,0,MATCH(AE$2,Inputs!$D$2:$AG$2,0)),Inputs!$B$4:$B$250,$B30)/1000)</f>
        <v/>
      </c>
      <c r="AF30" s="11" t="str">
        <f>IF(AF$3=0,"",SUMIFS(INDEX(Inputs!$D$4:$AG$250,0,MATCH(AF$2,Inputs!$D$2:$AG$2,0)),Inputs!$B$4:$B$250,$B30)/1000)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IF(D$3=0,"",SUMIFS(INDEX(Inputs!$D$4:$AG$250,0,MATCH(D$2,Inputs!$D$2:$AG$2,0)),Inputs!$B$4:$B$250,$B31)/1000)</f>
        <v>1017.521</v>
      </c>
      <c r="E31" s="11">
        <f>IF(E$3=0,"",SUMIFS(INDEX(Inputs!$D$4:$AG$250,0,MATCH(E$2,Inputs!$D$2:$AG$2,0)),Inputs!$B$4:$B$250,$B31)/1000)</f>
        <v>716.26</v>
      </c>
      <c r="F31" s="11">
        <f>IF(F$3=0,"",SUMIFS(INDEX(Inputs!$D$4:$AG$250,0,MATCH(F$2,Inputs!$D$2:$AG$2,0)),Inputs!$B$4:$B$250,$B31)/1000)</f>
        <v>553.321</v>
      </c>
      <c r="G31" s="11">
        <f>IF(G$3=0,"",SUMIFS(INDEX(Inputs!$D$4:$AG$250,0,MATCH(G$2,Inputs!$D$2:$AG$2,0)),Inputs!$B$4:$B$250,$B31)/1000)</f>
        <v>787.935</v>
      </c>
      <c r="H31" s="12">
        <f>IF(G31="","",G31)</f>
        <v>787.935</v>
      </c>
      <c r="I31" s="11">
        <f>IF(I$3=0,"",SUMIFS(INDEX(Inputs!$D$4:$AG$250,0,MATCH(I$2,Inputs!$D$2:$AG$2,0)),Inputs!$B$4:$B$250,$B31)/1000)</f>
        <v>970.736</v>
      </c>
      <c r="J31" s="11">
        <f>IF(J$3=0,"",SUMIFS(INDEX(Inputs!$D$4:$AG$250,0,MATCH(J$2,Inputs!$D$2:$AG$2,0)),Inputs!$B$4:$B$250,$B31)/1000)</f>
        <v>684.156</v>
      </c>
      <c r="K31" s="11">
        <f>IF(K$3=0,"",SUMIFS(INDEX(Inputs!$D$4:$AG$250,0,MATCH(K$2,Inputs!$D$2:$AG$2,0)),Inputs!$B$4:$B$250,$B31)/1000)</f>
        <v>645.214</v>
      </c>
      <c r="L31" s="11">
        <f>IF(L$3=0,"",SUMIFS(INDEX(Inputs!$D$4:$AG$250,0,MATCH(L$2,Inputs!$D$2:$AG$2,0)),Inputs!$B$4:$B$250,$B31)/1000)</f>
        <v>916.743</v>
      </c>
      <c r="M31" s="12">
        <f>IF(L31="","",L31)</f>
        <v>916.743</v>
      </c>
      <c r="N31" s="11">
        <f>IF(N$3=0,"",SUMIFS(INDEX(Inputs!$D$4:$AG$250,0,MATCH(N$2,Inputs!$D$2:$AG$2,0)),Inputs!$B$4:$B$250,$B31)/1000)</f>
        <v>968.045</v>
      </c>
      <c r="O31" s="11">
        <f>IF(O$3=0,"",SUMIFS(INDEX(Inputs!$D$4:$AG$250,0,MATCH(O$2,Inputs!$D$2:$AG$2,0)),Inputs!$B$4:$B$250,$B31)/1000)</f>
        <v>482.15</v>
      </c>
      <c r="P31" s="11">
        <f>IF(P$3=0,"",SUMIFS(INDEX(Inputs!$D$4:$AG$250,0,MATCH(P$2,Inputs!$D$2:$AG$2,0)),Inputs!$B$4:$B$250,$B31)/1000)</f>
        <v>612.618</v>
      </c>
      <c r="Q31" s="11">
        <f>IF(Q$3=0,"",SUMIFS(INDEX(Inputs!$D$4:$AG$250,0,MATCH(Q$2,Inputs!$D$2:$AG$2,0)),Inputs!$B$4:$B$250,$B31)/1000)</f>
        <v>705.936</v>
      </c>
      <c r="R31" s="12">
        <f>IF(Q31="","",Q31)</f>
        <v>705.936</v>
      </c>
      <c r="S31" s="11">
        <f>IF(S$3=0,"",SUMIFS(INDEX(Inputs!$D$4:$AG$250,0,MATCH(S$2,Inputs!$D$2:$AG$2,0)),Inputs!$B$4:$B$250,$B31)/1000)</f>
        <v>675.698</v>
      </c>
      <c r="T31" s="11">
        <f>IF(T$3=0,"",SUMIFS(INDEX(Inputs!$D$4:$AG$250,0,MATCH(T$2,Inputs!$D$2:$AG$2,0)),Inputs!$B$4:$B$250,$B31)/1000)</f>
        <v>773.89</v>
      </c>
      <c r="U31" s="11">
        <f>IF(U$3=0,"",SUMIFS(INDEX(Inputs!$D$4:$AG$250,0,MATCH(U$2,Inputs!$D$2:$AG$2,0)),Inputs!$B$4:$B$250,$B31)/1000)</f>
        <v>465.243</v>
      </c>
      <c r="V31" s="11">
        <f>IF(V$3=0,"",SUMIFS(INDEX(Inputs!$D$4:$AG$250,0,MATCH(V$2,Inputs!$D$2:$AG$2,0)),Inputs!$B$4:$B$250,$B31)/1000)</f>
        <v>673.866</v>
      </c>
      <c r="W31" s="12">
        <f>IF(V31="","",V31)</f>
        <v>673.866</v>
      </c>
      <c r="X31" s="11">
        <f>IF(X$3=0,"",SUMIFS(INDEX(Inputs!$D$4:$AG$250,0,MATCH(X$2,Inputs!$D$2:$AG$2,0)),Inputs!$B$4:$B$250,$B31)/1000)</f>
        <v>611.404</v>
      </c>
      <c r="Y31" s="11">
        <f>IF(Y$3=0,"",SUMIFS(INDEX(Inputs!$D$4:$AG$250,0,MATCH(Y$2,Inputs!$D$2:$AG$2,0)),Inputs!$B$4:$B$250,$B31)/1000)</f>
        <v>660.151</v>
      </c>
      <c r="Z31" s="11">
        <f>IF(Z$3=0,"",SUMIFS(INDEX(Inputs!$D$4:$AG$250,0,MATCH(Z$2,Inputs!$D$2:$AG$2,0)),Inputs!$B$4:$B$250,$B31)/1000)</f>
        <v>565.596</v>
      </c>
      <c r="AA31" s="11">
        <f>IF(AA$3=0,"",SUMIFS(INDEX(Inputs!$D$4:$AG$250,0,MATCH(AA$2,Inputs!$D$2:$AG$2,0)),Inputs!$B$4:$B$250,$B31)/1000)</f>
        <v>695.248</v>
      </c>
      <c r="AB31" s="12">
        <f>IF(AA31="","",AA31)</f>
        <v>695.248</v>
      </c>
      <c r="AC31" s="11">
        <f>IF(AC$3=0,"",SUMIFS(INDEX(Inputs!$D$4:$AG$250,0,MATCH(AC$2,Inputs!$D$2:$AG$2,0)),Inputs!$B$4:$B$250,$B31)/1000)</f>
        <v>498.104</v>
      </c>
      <c r="AD31" s="11">
        <f>IF(AD$3=0,"",SUMIFS(INDEX(Inputs!$D$4:$AG$250,0,MATCH(AD$2,Inputs!$D$2:$AG$2,0)),Inputs!$B$4:$B$250,$B31)/1000)</f>
        <v>596.083</v>
      </c>
      <c r="AE31" s="11" t="str">
        <f>IF(AE$3=0,"",SUMIFS(INDEX(Inputs!$D$4:$AG$250,0,MATCH(AE$2,Inputs!$D$2:$AG$2,0)),Inputs!$B$4:$B$250,$B31)/1000)</f>
        <v/>
      </c>
      <c r="AF31" s="11" t="str">
        <f>IF(AF$3=0,"",SUMIFS(INDEX(Inputs!$D$4:$AG$250,0,MATCH(AF$2,Inputs!$D$2:$AG$2,0)),Inputs!$B$4:$B$250,$B31)/1000)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IF(D$3=0,"",SUMIFS(INDEX(Inputs!$D$4:$AG$250,0,MATCH(D$2,Inputs!$D$2:$AG$2,0)),Inputs!$B$4:$B$250,$B32)/1000)</f>
        <v>1010.158</v>
      </c>
      <c r="E32" s="11">
        <f>IF(E$3=0,"",SUMIFS(INDEX(Inputs!$D$4:$AG$250,0,MATCH(E$2,Inputs!$D$2:$AG$2,0)),Inputs!$B$4:$B$250,$B32)/1000)</f>
        <v>1125.477</v>
      </c>
      <c r="F32" s="11">
        <f>IF(F$3=0,"",SUMIFS(INDEX(Inputs!$D$4:$AG$250,0,MATCH(F$2,Inputs!$D$2:$AG$2,0)),Inputs!$B$4:$B$250,$B32)/1000)</f>
        <v>1113.817</v>
      </c>
      <c r="G32" s="11">
        <f>IF(G$3=0,"",SUMIFS(INDEX(Inputs!$D$4:$AG$250,0,MATCH(G$2,Inputs!$D$2:$AG$2,0)),Inputs!$B$4:$B$250,$B32)/1000)</f>
        <v>951.193</v>
      </c>
      <c r="H32" s="12">
        <f>IF(G32="","",G32)</f>
        <v>951.193</v>
      </c>
      <c r="I32" s="11">
        <f>IF(I$3=0,"",SUMIFS(INDEX(Inputs!$D$4:$AG$250,0,MATCH(I$2,Inputs!$D$2:$AG$2,0)),Inputs!$B$4:$B$250,$B32)/1000)</f>
        <v>941.629</v>
      </c>
      <c r="J32" s="11">
        <f>IF(J$3=0,"",SUMIFS(INDEX(Inputs!$D$4:$AG$250,0,MATCH(J$2,Inputs!$D$2:$AG$2,0)),Inputs!$B$4:$B$250,$B32)/1000)</f>
        <v>767.039</v>
      </c>
      <c r="K32" s="11">
        <f>IF(K$3=0,"",SUMIFS(INDEX(Inputs!$D$4:$AG$250,0,MATCH(K$2,Inputs!$D$2:$AG$2,0)),Inputs!$B$4:$B$250,$B32)/1000)</f>
        <v>618.058</v>
      </c>
      <c r="L32" s="11">
        <f>IF(L$3=0,"",SUMIFS(INDEX(Inputs!$D$4:$AG$250,0,MATCH(L$2,Inputs!$D$2:$AG$2,0)),Inputs!$B$4:$B$250,$B32)/1000)</f>
        <v>1151.029</v>
      </c>
      <c r="M32" s="12">
        <f>IF(L32="","",L32)</f>
        <v>1151.029</v>
      </c>
      <c r="N32" s="11">
        <f>IF(N$3=0,"",SUMIFS(INDEX(Inputs!$D$4:$AG$250,0,MATCH(N$2,Inputs!$D$2:$AG$2,0)),Inputs!$B$4:$B$250,$B32)/1000)</f>
        <v>1267.52</v>
      </c>
      <c r="O32" s="11">
        <f>IF(O$3=0,"",SUMIFS(INDEX(Inputs!$D$4:$AG$250,0,MATCH(O$2,Inputs!$D$2:$AG$2,0)),Inputs!$B$4:$B$250,$B32)/1000)</f>
        <v>1274.878</v>
      </c>
      <c r="P32" s="11">
        <f>IF(P$3=0,"",SUMIFS(INDEX(Inputs!$D$4:$AG$250,0,MATCH(P$2,Inputs!$D$2:$AG$2,0)),Inputs!$B$4:$B$250,$B32)/1000)</f>
        <v>1818.034</v>
      </c>
      <c r="Q32" s="11">
        <f>IF(Q$3=0,"",SUMIFS(INDEX(Inputs!$D$4:$AG$250,0,MATCH(Q$2,Inputs!$D$2:$AG$2,0)),Inputs!$B$4:$B$250,$B32)/1000)</f>
        <v>2135.557</v>
      </c>
      <c r="R32" s="12">
        <f>IF(Q32="","",Q32)</f>
        <v>2135.557</v>
      </c>
      <c r="S32" s="11">
        <f>IF(S$3=0,"",SUMIFS(INDEX(Inputs!$D$4:$AG$250,0,MATCH(S$2,Inputs!$D$2:$AG$2,0)),Inputs!$B$4:$B$250,$B32)/1000)</f>
        <v>2273.316</v>
      </c>
      <c r="T32" s="11">
        <f>IF(T$3=0,"",SUMIFS(INDEX(Inputs!$D$4:$AG$250,0,MATCH(T$2,Inputs!$D$2:$AG$2,0)),Inputs!$B$4:$B$250,$B32)/1000)</f>
        <v>2841.633</v>
      </c>
      <c r="U32" s="11">
        <f>IF(U$3=0,"",SUMIFS(INDEX(Inputs!$D$4:$AG$250,0,MATCH(U$2,Inputs!$D$2:$AG$2,0)),Inputs!$B$4:$B$250,$B32)/1000)</f>
        <v>2378.841</v>
      </c>
      <c r="V32" s="11">
        <f>IF(V$3=0,"",SUMIFS(INDEX(Inputs!$D$4:$AG$250,0,MATCH(V$2,Inputs!$D$2:$AG$2,0)),Inputs!$B$4:$B$250,$B32)/1000)</f>
        <v>1969.051</v>
      </c>
      <c r="W32" s="12">
        <f>IF(V32="","",V32)</f>
        <v>1969.051</v>
      </c>
      <c r="X32" s="11">
        <f>IF(X$3=0,"",SUMIFS(INDEX(Inputs!$D$4:$AG$250,0,MATCH(X$2,Inputs!$D$2:$AG$2,0)),Inputs!$B$4:$B$250,$B32)/1000)</f>
        <v>1962.814</v>
      </c>
      <c r="Y32" s="11">
        <f>IF(Y$3=0,"",SUMIFS(INDEX(Inputs!$D$4:$AG$250,0,MATCH(Y$2,Inputs!$D$2:$AG$2,0)),Inputs!$B$4:$B$250,$B32)/1000)</f>
        <v>1988.785</v>
      </c>
      <c r="Z32" s="11">
        <f>IF(Z$3=0,"",SUMIFS(INDEX(Inputs!$D$4:$AG$250,0,MATCH(Z$2,Inputs!$D$2:$AG$2,0)),Inputs!$B$4:$B$250,$B32)/1000)</f>
        <v>1419.605</v>
      </c>
      <c r="AA32" s="11">
        <f>IF(AA$3=0,"",SUMIFS(INDEX(Inputs!$D$4:$AG$250,0,MATCH(AA$2,Inputs!$D$2:$AG$2,0)),Inputs!$B$4:$B$250,$B32)/1000)</f>
        <v>1444.647</v>
      </c>
      <c r="AB32" s="12">
        <f>IF(AA32="","",AA32)</f>
        <v>1444.647</v>
      </c>
      <c r="AC32" s="11">
        <f>IF(AC$3=0,"",SUMIFS(INDEX(Inputs!$D$4:$AG$250,0,MATCH(AC$2,Inputs!$D$2:$AG$2,0)),Inputs!$B$4:$B$250,$B32)/1000)</f>
        <v>1492.978</v>
      </c>
      <c r="AD32" s="11">
        <f>IF(AD$3=0,"",SUMIFS(INDEX(Inputs!$D$4:$AG$250,0,MATCH(AD$2,Inputs!$D$2:$AG$2,0)),Inputs!$B$4:$B$250,$B32)/1000)</f>
        <v>1610.14</v>
      </c>
      <c r="AE32" s="11" t="str">
        <f>IF(AE$3=0,"",SUMIFS(INDEX(Inputs!$D$4:$AG$250,0,MATCH(AE$2,Inputs!$D$2:$AG$2,0)),Inputs!$B$4:$B$250,$B32)/1000)</f>
        <v/>
      </c>
      <c r="AF32" s="11" t="str">
        <f>IF(AF$3=0,"",SUMIFS(INDEX(Inputs!$D$4:$AG$250,0,MATCH(AF$2,Inputs!$D$2:$AG$2,0)),Inputs!$B$4:$B$250,$B32)/1000)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IF(D$3=0,"",SUMIFS(INDEX(Inputs!$D$4:$AG$250,0,MATCH(D$2,Inputs!$D$2:$AG$2,0)),Inputs!$B$4:$B$250,$B33)/1000)</f>
        <v>0</v>
      </c>
      <c r="E33" s="11">
        <f>IF(E$3=0,"",SUMIFS(INDEX(Inputs!$D$4:$AG$250,0,MATCH(E$2,Inputs!$D$2:$AG$2,0)),Inputs!$B$4:$B$250,$B33)/1000)</f>
        <v>0</v>
      </c>
      <c r="F33" s="11">
        <f>IF(F$3=0,"",SUMIFS(INDEX(Inputs!$D$4:$AG$250,0,MATCH(F$2,Inputs!$D$2:$AG$2,0)),Inputs!$B$4:$B$250,$B33)/1000)</f>
        <v>0</v>
      </c>
      <c r="G33" s="11">
        <f>IF(G$3=0,"",SUMIFS(INDEX(Inputs!$D$4:$AG$250,0,MATCH(G$2,Inputs!$D$2:$AG$2,0)),Inputs!$B$4:$B$250,$B33)/1000)</f>
        <v>0</v>
      </c>
      <c r="H33" s="12">
        <f>IF(G33="","",G33)</f>
        <v>0</v>
      </c>
      <c r="I33" s="11">
        <f>IF(I$3=0,"",SUMIFS(INDEX(Inputs!$D$4:$AG$250,0,MATCH(I$2,Inputs!$D$2:$AG$2,0)),Inputs!$B$4:$B$250,$B33)/1000)</f>
        <v>0</v>
      </c>
      <c r="J33" s="11">
        <f>IF(J$3=0,"",SUMIFS(INDEX(Inputs!$D$4:$AG$250,0,MATCH(J$2,Inputs!$D$2:$AG$2,0)),Inputs!$B$4:$B$250,$B33)/1000)</f>
        <v>0</v>
      </c>
      <c r="K33" s="11">
        <f>IF(K$3=0,"",SUMIFS(INDEX(Inputs!$D$4:$AG$250,0,MATCH(K$2,Inputs!$D$2:$AG$2,0)),Inputs!$B$4:$B$250,$B33)/1000)</f>
        <v>0</v>
      </c>
      <c r="L33" s="11">
        <f>IF(L$3=0,"",SUMIFS(INDEX(Inputs!$D$4:$AG$250,0,MATCH(L$2,Inputs!$D$2:$AG$2,0)),Inputs!$B$4:$B$250,$B33)/1000)</f>
        <v>0</v>
      </c>
      <c r="M33" s="12">
        <f>IF(L33="","",L33)</f>
        <v>0</v>
      </c>
      <c r="N33" s="11">
        <f>IF(N$3=0,"",SUMIFS(INDEX(Inputs!$D$4:$AG$250,0,MATCH(N$2,Inputs!$D$2:$AG$2,0)),Inputs!$B$4:$B$250,$B33)/1000)</f>
        <v>0</v>
      </c>
      <c r="O33" s="11">
        <f>IF(O$3=0,"",SUMIFS(INDEX(Inputs!$D$4:$AG$250,0,MATCH(O$2,Inputs!$D$2:$AG$2,0)),Inputs!$B$4:$B$250,$B33)/1000)</f>
        <v>0</v>
      </c>
      <c r="P33" s="11">
        <f>IF(P$3=0,"",SUMIFS(INDEX(Inputs!$D$4:$AG$250,0,MATCH(P$2,Inputs!$D$2:$AG$2,0)),Inputs!$B$4:$B$250,$B33)/1000)</f>
        <v>0</v>
      </c>
      <c r="Q33" s="11">
        <f>IF(Q$3=0,"",SUMIFS(INDEX(Inputs!$D$4:$AG$250,0,MATCH(Q$2,Inputs!$D$2:$AG$2,0)),Inputs!$B$4:$B$250,$B33)/1000)</f>
        <v>0</v>
      </c>
      <c r="R33" s="12">
        <f>IF(Q33="","",Q33)</f>
        <v>0</v>
      </c>
      <c r="S33" s="11">
        <f>IF(S$3=0,"",SUMIFS(INDEX(Inputs!$D$4:$AG$250,0,MATCH(S$2,Inputs!$D$2:$AG$2,0)),Inputs!$B$4:$B$250,$B33)/1000)</f>
        <v>0</v>
      </c>
      <c r="T33" s="11">
        <f>IF(T$3=0,"",SUMIFS(INDEX(Inputs!$D$4:$AG$250,0,MATCH(T$2,Inputs!$D$2:$AG$2,0)),Inputs!$B$4:$B$250,$B33)/1000)</f>
        <v>0</v>
      </c>
      <c r="U33" s="11">
        <f>IF(U$3=0,"",SUMIFS(INDEX(Inputs!$D$4:$AG$250,0,MATCH(U$2,Inputs!$D$2:$AG$2,0)),Inputs!$B$4:$B$250,$B33)/1000)</f>
        <v>0</v>
      </c>
      <c r="V33" s="11">
        <f>IF(V$3=0,"",SUMIFS(INDEX(Inputs!$D$4:$AG$250,0,MATCH(V$2,Inputs!$D$2:$AG$2,0)),Inputs!$B$4:$B$250,$B33)/1000)</f>
        <v>0</v>
      </c>
      <c r="W33" s="12">
        <f>IF(V33="","",V33)</f>
        <v>0</v>
      </c>
      <c r="X33" s="11">
        <f>IF(X$3=0,"",SUMIFS(INDEX(Inputs!$D$4:$AG$250,0,MATCH(X$2,Inputs!$D$2:$AG$2,0)),Inputs!$B$4:$B$250,$B33)/1000)</f>
        <v>0</v>
      </c>
      <c r="Y33" s="11">
        <f>IF(Y$3=0,"",SUMIFS(INDEX(Inputs!$D$4:$AG$250,0,MATCH(Y$2,Inputs!$D$2:$AG$2,0)),Inputs!$B$4:$B$250,$B33)/1000)</f>
        <v>0</v>
      </c>
      <c r="Z33" s="11">
        <f>IF(Z$3=0,"",SUMIFS(INDEX(Inputs!$D$4:$AG$250,0,MATCH(Z$2,Inputs!$D$2:$AG$2,0)),Inputs!$B$4:$B$250,$B33)/1000)</f>
        <v>0</v>
      </c>
      <c r="AA33" s="11">
        <f>IF(AA$3=0,"",SUMIFS(INDEX(Inputs!$D$4:$AG$250,0,MATCH(AA$2,Inputs!$D$2:$AG$2,0)),Inputs!$B$4:$B$250,$B33)/1000)</f>
        <v>0</v>
      </c>
      <c r="AB33" s="12">
        <f>IF(AA33="","",AA33)</f>
        <v>0</v>
      </c>
      <c r="AC33" s="11">
        <f>IF(AC$3=0,"",SUMIFS(INDEX(Inputs!$D$4:$AG$250,0,MATCH(AC$2,Inputs!$D$2:$AG$2,0)),Inputs!$B$4:$B$250,$B33)/1000)</f>
        <v>0</v>
      </c>
      <c r="AD33" s="11">
        <f>IF(AD$3=0,"",SUMIFS(INDEX(Inputs!$D$4:$AG$250,0,MATCH(AD$2,Inputs!$D$2:$AG$2,0)),Inputs!$B$4:$B$250,$B33)/1000)</f>
        <v>0</v>
      </c>
      <c r="AE33" s="11" t="str">
        <f>IF(AE$3=0,"",SUMIFS(INDEX(Inputs!$D$4:$AG$250,0,MATCH(AE$2,Inputs!$D$2:$AG$2,0)),Inputs!$B$4:$B$250,$B33)/1000)</f>
        <v/>
      </c>
      <c r="AF33" s="11" t="str">
        <f>IF(AF$3=0,"",SUMIFS(INDEX(Inputs!$D$4:$AG$250,0,MATCH(AF$2,Inputs!$D$2:$AG$2,0)),Inputs!$B$4:$B$250,$B33)/1000)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IF(D$3=0,"",SUMIFS(INDEX(Inputs!$D$4:$AG$250,0,MATCH(D$2,Inputs!$D$2:$AG$2,0)),Inputs!$B$4:$B$250,$B34)/1000)</f>
        <v>9.107</v>
      </c>
      <c r="E34" s="11">
        <f>IF(E$3=0,"",SUMIFS(INDEX(Inputs!$D$4:$AG$250,0,MATCH(E$2,Inputs!$D$2:$AG$2,0)),Inputs!$B$4:$B$250,$B34)/1000)</f>
        <v>11.232</v>
      </c>
      <c r="F34" s="11">
        <f>IF(F$3=0,"",SUMIFS(INDEX(Inputs!$D$4:$AG$250,0,MATCH(F$2,Inputs!$D$2:$AG$2,0)),Inputs!$B$4:$B$250,$B34)/1000)</f>
        <v>9.893</v>
      </c>
      <c r="G34" s="11">
        <f>IF(G$3=0,"",SUMIFS(INDEX(Inputs!$D$4:$AG$250,0,MATCH(G$2,Inputs!$D$2:$AG$2,0)),Inputs!$B$4:$B$250,$B34)/1000)</f>
        <v>9.706</v>
      </c>
      <c r="H34" s="12">
        <f>IF(G34="","",G34)</f>
        <v>9.706</v>
      </c>
      <c r="I34" s="11">
        <f>IF(I$3=0,"",SUMIFS(INDEX(Inputs!$D$4:$AG$250,0,MATCH(I$2,Inputs!$D$2:$AG$2,0)),Inputs!$B$4:$B$250,$B34)/1000)</f>
        <v>10.058</v>
      </c>
      <c r="J34" s="11">
        <f>IF(J$3=0,"",SUMIFS(INDEX(Inputs!$D$4:$AG$250,0,MATCH(J$2,Inputs!$D$2:$AG$2,0)),Inputs!$B$4:$B$250,$B34)/1000)</f>
        <v>8.535</v>
      </c>
      <c r="K34" s="11">
        <f>IF(K$3=0,"",SUMIFS(INDEX(Inputs!$D$4:$AG$250,0,MATCH(K$2,Inputs!$D$2:$AG$2,0)),Inputs!$B$4:$B$250,$B34)/1000)</f>
        <v>8.529</v>
      </c>
      <c r="L34" s="11">
        <f>IF(L$3=0,"",SUMIFS(INDEX(Inputs!$D$4:$AG$250,0,MATCH(L$2,Inputs!$D$2:$AG$2,0)),Inputs!$B$4:$B$250,$B34)/1000)</f>
        <v>8.531</v>
      </c>
      <c r="M34" s="12">
        <f>IF(L34="","",L34)</f>
        <v>8.531</v>
      </c>
      <c r="N34" s="11">
        <f>IF(N$3=0,"",SUMIFS(INDEX(Inputs!$D$4:$AG$250,0,MATCH(N$2,Inputs!$D$2:$AG$2,0)),Inputs!$B$4:$B$250,$B34)/1000)</f>
        <v>8.453</v>
      </c>
      <c r="O34" s="11">
        <f>IF(O$3=0,"",SUMIFS(INDEX(Inputs!$D$4:$AG$250,0,MATCH(O$2,Inputs!$D$2:$AG$2,0)),Inputs!$B$4:$B$250,$B34)/1000)</f>
        <v>7.48</v>
      </c>
      <c r="P34" s="11">
        <f>IF(P$3=0,"",SUMIFS(INDEX(Inputs!$D$4:$AG$250,0,MATCH(P$2,Inputs!$D$2:$AG$2,0)),Inputs!$B$4:$B$250,$B34)/1000)</f>
        <v>7.38</v>
      </c>
      <c r="Q34" s="11">
        <f>IF(Q$3=0,"",SUMIFS(INDEX(Inputs!$D$4:$AG$250,0,MATCH(Q$2,Inputs!$D$2:$AG$2,0)),Inputs!$B$4:$B$250,$B34)/1000)</f>
        <v>8.075</v>
      </c>
      <c r="R34" s="12">
        <f>IF(Q34="","",Q34)</f>
        <v>8.075</v>
      </c>
      <c r="S34" s="11">
        <f>IF(S$3=0,"",SUMIFS(INDEX(Inputs!$D$4:$AG$250,0,MATCH(S$2,Inputs!$D$2:$AG$2,0)),Inputs!$B$4:$B$250,$B34)/1000)</f>
        <v>9.028</v>
      </c>
      <c r="T34" s="11">
        <f>IF(T$3=0,"",SUMIFS(INDEX(Inputs!$D$4:$AG$250,0,MATCH(T$2,Inputs!$D$2:$AG$2,0)),Inputs!$B$4:$B$250,$B34)/1000)</f>
        <v>9.055</v>
      </c>
      <c r="U34" s="11">
        <f>IF(U$3=0,"",SUMIFS(INDEX(Inputs!$D$4:$AG$250,0,MATCH(U$2,Inputs!$D$2:$AG$2,0)),Inputs!$B$4:$B$250,$B34)/1000)</f>
        <v>9.088</v>
      </c>
      <c r="V34" s="11">
        <f>IF(V$3=0,"",SUMIFS(INDEX(Inputs!$D$4:$AG$250,0,MATCH(V$2,Inputs!$D$2:$AG$2,0)),Inputs!$B$4:$B$250,$B34)/1000)</f>
        <v>9.413</v>
      </c>
      <c r="W34" s="12">
        <f>IF(V34="","",V34)</f>
        <v>9.413</v>
      </c>
      <c r="X34" s="11">
        <f>IF(X$3=0,"",SUMIFS(INDEX(Inputs!$D$4:$AG$250,0,MATCH(X$2,Inputs!$D$2:$AG$2,0)),Inputs!$B$4:$B$250,$B34)/1000)</f>
        <v>9.545</v>
      </c>
      <c r="Y34" s="11">
        <f>IF(Y$3=0,"",SUMIFS(INDEX(Inputs!$D$4:$AG$250,0,MATCH(Y$2,Inputs!$D$2:$AG$2,0)),Inputs!$B$4:$B$250,$B34)/1000)</f>
        <v>9.268</v>
      </c>
      <c r="Z34" s="11">
        <f>IF(Z$3=0,"",SUMIFS(INDEX(Inputs!$D$4:$AG$250,0,MATCH(Z$2,Inputs!$D$2:$AG$2,0)),Inputs!$B$4:$B$250,$B34)/1000)</f>
        <v>9.962</v>
      </c>
      <c r="AA34" s="11">
        <f>IF(AA$3=0,"",SUMIFS(INDEX(Inputs!$D$4:$AG$250,0,MATCH(AA$2,Inputs!$D$2:$AG$2,0)),Inputs!$B$4:$B$250,$B34)/1000)</f>
        <v>5.995</v>
      </c>
      <c r="AB34" s="12">
        <f>IF(AA34="","",AA34)</f>
        <v>5.995</v>
      </c>
      <c r="AC34" s="11">
        <f>IF(AC$3=0,"",SUMIFS(INDEX(Inputs!$D$4:$AG$250,0,MATCH(AC$2,Inputs!$D$2:$AG$2,0)),Inputs!$B$4:$B$250,$B34)/1000)</f>
        <v>5.772</v>
      </c>
      <c r="AD34" s="11">
        <f>IF(AD$3=0,"",SUMIFS(INDEX(Inputs!$D$4:$AG$250,0,MATCH(AD$2,Inputs!$D$2:$AG$2,0)),Inputs!$B$4:$B$250,$B34)/1000)</f>
        <v>6.263</v>
      </c>
      <c r="AE34" s="11" t="str">
        <f>IF(AE$3=0,"",SUMIFS(INDEX(Inputs!$D$4:$AG$250,0,MATCH(AE$2,Inputs!$D$2:$AG$2,0)),Inputs!$B$4:$B$250,$B34)/1000)</f>
        <v/>
      </c>
      <c r="AF34" s="11" t="str">
        <f>IF(AF$3=0,"",SUMIFS(INDEX(Inputs!$D$4:$AG$250,0,MATCH(AF$2,Inputs!$D$2:$AG$2,0)),Inputs!$B$4:$B$250,$B34)/1000)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IF(D$3=0,"",SUMIFS(INDEX(Inputs!$D$4:$AG$250,0,MATCH(D$2,Inputs!$D$2:$AG$2,0)),Inputs!$B$4:$B$250,$B35)/1000)</f>
        <v>8105.31</v>
      </c>
      <c r="E35" s="11">
        <f>IF(E$3=0,"",SUMIFS(INDEX(Inputs!$D$4:$AG$250,0,MATCH(E$2,Inputs!$D$2:$AG$2,0)),Inputs!$B$4:$B$250,$B35)/1000)</f>
        <v>8155.094</v>
      </c>
      <c r="F35" s="11">
        <f>IF(F$3=0,"",SUMIFS(INDEX(Inputs!$D$4:$AG$250,0,MATCH(F$2,Inputs!$D$2:$AG$2,0)),Inputs!$B$4:$B$250,$B35)/1000)</f>
        <v>8280.777</v>
      </c>
      <c r="G35" s="11">
        <f>IF(G$3=0,"",SUMIFS(INDEX(Inputs!$D$4:$AG$250,0,MATCH(G$2,Inputs!$D$2:$AG$2,0)),Inputs!$B$4:$B$250,$B35)/1000)</f>
        <v>9096.563</v>
      </c>
      <c r="H35" s="12">
        <f>IF(G35="","",G35)</f>
        <v>9096.563</v>
      </c>
      <c r="I35" s="11">
        <f>IF(I$3=0,"",SUMIFS(INDEX(Inputs!$D$4:$AG$250,0,MATCH(I$2,Inputs!$D$2:$AG$2,0)),Inputs!$B$4:$B$250,$B35)/1000)</f>
        <v>8996.11</v>
      </c>
      <c r="J35" s="11">
        <f>IF(J$3=0,"",SUMIFS(INDEX(Inputs!$D$4:$AG$250,0,MATCH(J$2,Inputs!$D$2:$AG$2,0)),Inputs!$B$4:$B$250,$B35)/1000)</f>
        <v>9967.49</v>
      </c>
      <c r="K35" s="11">
        <f>IF(K$3=0,"",SUMIFS(INDEX(Inputs!$D$4:$AG$250,0,MATCH(K$2,Inputs!$D$2:$AG$2,0)),Inputs!$B$4:$B$250,$B35)/1000)</f>
        <v>10397.022</v>
      </c>
      <c r="L35" s="11">
        <f>IF(L$3=0,"",SUMIFS(INDEX(Inputs!$D$4:$AG$250,0,MATCH(L$2,Inputs!$D$2:$AG$2,0)),Inputs!$B$4:$B$250,$B35)/1000)</f>
        <v>10485.077</v>
      </c>
      <c r="M35" s="12">
        <f>IF(L35="","",L35)</f>
        <v>10485.077</v>
      </c>
      <c r="N35" s="11">
        <f>IF(N$3=0,"",SUMIFS(INDEX(Inputs!$D$4:$AG$250,0,MATCH(N$2,Inputs!$D$2:$AG$2,0)),Inputs!$B$4:$B$250,$B35)/1000)</f>
        <v>10460.853</v>
      </c>
      <c r="O35" s="11">
        <f>IF(O$3=0,"",SUMIFS(INDEX(Inputs!$D$4:$AG$250,0,MATCH(O$2,Inputs!$D$2:$AG$2,0)),Inputs!$B$4:$B$250,$B35)/1000)</f>
        <v>10374.163</v>
      </c>
      <c r="P35" s="11">
        <f>IF(P$3=0,"",SUMIFS(INDEX(Inputs!$D$4:$AG$250,0,MATCH(P$2,Inputs!$D$2:$AG$2,0)),Inputs!$B$4:$B$250,$B35)/1000)</f>
        <v>9760.44</v>
      </c>
      <c r="Q35" s="11">
        <f>IF(Q$3=0,"",SUMIFS(INDEX(Inputs!$D$4:$AG$250,0,MATCH(Q$2,Inputs!$D$2:$AG$2,0)),Inputs!$B$4:$B$250,$B35)/1000)</f>
        <v>9638.874</v>
      </c>
      <c r="R35" s="12">
        <f>IF(Q35="","",Q35)</f>
        <v>9638.874</v>
      </c>
      <c r="S35" s="11">
        <f>IF(S$3=0,"",SUMIFS(INDEX(Inputs!$D$4:$AG$250,0,MATCH(S$2,Inputs!$D$2:$AG$2,0)),Inputs!$B$4:$B$250,$B35)/1000)</f>
        <v>9451.736</v>
      </c>
      <c r="T35" s="11">
        <f>IF(T$3=0,"",SUMIFS(INDEX(Inputs!$D$4:$AG$250,0,MATCH(T$2,Inputs!$D$2:$AG$2,0)),Inputs!$B$4:$B$250,$B35)/1000)</f>
        <v>9591.81</v>
      </c>
      <c r="U35" s="11">
        <f>IF(U$3=0,"",SUMIFS(INDEX(Inputs!$D$4:$AG$250,0,MATCH(U$2,Inputs!$D$2:$AG$2,0)),Inputs!$B$4:$B$250,$B35)/1000)</f>
        <v>9891.974</v>
      </c>
      <c r="V35" s="11">
        <f>IF(V$3=0,"",SUMIFS(INDEX(Inputs!$D$4:$AG$250,0,MATCH(V$2,Inputs!$D$2:$AG$2,0)),Inputs!$B$4:$B$250,$B35)/1000)</f>
        <v>10714.02</v>
      </c>
      <c r="W35" s="12">
        <f>IF(V35="","",V35)</f>
        <v>10714.02</v>
      </c>
      <c r="X35" s="11">
        <f>IF(X$3=0,"",SUMIFS(INDEX(Inputs!$D$4:$AG$250,0,MATCH(X$2,Inputs!$D$2:$AG$2,0)),Inputs!$B$4:$B$250,$B35)/1000)</f>
        <v>10624.788</v>
      </c>
      <c r="Y35" s="11">
        <f>IF(Y$3=0,"",SUMIFS(INDEX(Inputs!$D$4:$AG$250,0,MATCH(Y$2,Inputs!$D$2:$AG$2,0)),Inputs!$B$4:$B$250,$B35)/1000)</f>
        <v>10743.774</v>
      </c>
      <c r="Z35" s="11">
        <f>IF(Z$3=0,"",SUMIFS(INDEX(Inputs!$D$4:$AG$250,0,MATCH(Z$2,Inputs!$D$2:$AG$2,0)),Inputs!$B$4:$B$250,$B35)/1000)</f>
        <v>11015.652</v>
      </c>
      <c r="AA35" s="11">
        <f>IF(AA$3=0,"",SUMIFS(INDEX(Inputs!$D$4:$AG$250,0,MATCH(AA$2,Inputs!$D$2:$AG$2,0)),Inputs!$B$4:$B$250,$B35)/1000)</f>
        <v>11142.704</v>
      </c>
      <c r="AB35" s="12">
        <f>IF(AA35="","",AA35)</f>
        <v>11142.704</v>
      </c>
      <c r="AC35" s="11">
        <f>IF(AC$3=0,"",SUMIFS(INDEX(Inputs!$D$4:$AG$250,0,MATCH(AC$2,Inputs!$D$2:$AG$2,0)),Inputs!$B$4:$B$250,$B35)/1000)</f>
        <v>13056.939</v>
      </c>
      <c r="AD35" s="11">
        <f>IF(AD$3=0,"",SUMIFS(INDEX(Inputs!$D$4:$AG$250,0,MATCH(AD$2,Inputs!$D$2:$AG$2,0)),Inputs!$B$4:$B$250,$B35)/1000)</f>
        <v>13261.289</v>
      </c>
      <c r="AE35" s="11" t="str">
        <f>IF(AE$3=0,"",SUMIFS(INDEX(Inputs!$D$4:$AG$250,0,MATCH(AE$2,Inputs!$D$2:$AG$2,0)),Inputs!$B$4:$B$250,$B35)/1000)</f>
        <v/>
      </c>
      <c r="AF35" s="11" t="str">
        <f>IF(AF$3=0,"",SUMIFS(INDEX(Inputs!$D$4:$AG$250,0,MATCH(AF$2,Inputs!$D$2:$AG$2,0)),Inputs!$B$4:$B$250,$B35)/1000)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IF(D$3=0,"",SUMIFS(INDEX(Inputs!$D$4:$AG$250,0,MATCH(D$2,Inputs!$D$2:$AG$2,0)),Inputs!$B$4:$B$250,$B36)/1000)</f>
        <v>29.628</v>
      </c>
      <c r="E36" s="11">
        <f>IF(E$3=0,"",SUMIFS(INDEX(Inputs!$D$4:$AG$250,0,MATCH(E$2,Inputs!$D$2:$AG$2,0)),Inputs!$B$4:$B$250,$B36)/1000)</f>
        <v>31.829</v>
      </c>
      <c r="F36" s="11">
        <f>IF(F$3=0,"",SUMIFS(INDEX(Inputs!$D$4:$AG$250,0,MATCH(F$2,Inputs!$D$2:$AG$2,0)),Inputs!$B$4:$B$250,$B36)/1000)</f>
        <v>42.853</v>
      </c>
      <c r="G36" s="11">
        <f>IF(G$3=0,"",SUMIFS(INDEX(Inputs!$D$4:$AG$250,0,MATCH(G$2,Inputs!$D$2:$AG$2,0)),Inputs!$B$4:$B$250,$B36)/1000)</f>
        <v>38.707</v>
      </c>
      <c r="H36" s="12">
        <f>IF(G36="","",G36)</f>
        <v>38.707</v>
      </c>
      <c r="I36" s="11">
        <f>IF(I$3=0,"",SUMIFS(INDEX(Inputs!$D$4:$AG$250,0,MATCH(I$2,Inputs!$D$2:$AG$2,0)),Inputs!$B$4:$B$250,$B36)/1000)</f>
        <v>34.871</v>
      </c>
      <c r="J36" s="11">
        <f>IF(J$3=0,"",SUMIFS(INDEX(Inputs!$D$4:$AG$250,0,MATCH(J$2,Inputs!$D$2:$AG$2,0)),Inputs!$B$4:$B$250,$B36)/1000)</f>
        <v>38.958</v>
      </c>
      <c r="K36" s="11">
        <f>IF(K$3=0,"",SUMIFS(INDEX(Inputs!$D$4:$AG$250,0,MATCH(K$2,Inputs!$D$2:$AG$2,0)),Inputs!$B$4:$B$250,$B36)/1000)</f>
        <v>37.657</v>
      </c>
      <c r="L36" s="11">
        <f>IF(L$3=0,"",SUMIFS(INDEX(Inputs!$D$4:$AG$250,0,MATCH(L$2,Inputs!$D$2:$AG$2,0)),Inputs!$B$4:$B$250,$B36)/1000)</f>
        <v>36.263</v>
      </c>
      <c r="M36" s="12">
        <f>IF(L36="","",L36)</f>
        <v>36.263</v>
      </c>
      <c r="N36" s="11">
        <f>IF(N$3=0,"",SUMIFS(INDEX(Inputs!$D$4:$AG$250,0,MATCH(N$2,Inputs!$D$2:$AG$2,0)),Inputs!$B$4:$B$250,$B36)/1000)</f>
        <v>35.228</v>
      </c>
      <c r="O36" s="11">
        <f>IF(O$3=0,"",SUMIFS(INDEX(Inputs!$D$4:$AG$250,0,MATCH(O$2,Inputs!$D$2:$AG$2,0)),Inputs!$B$4:$B$250,$B36)/1000)</f>
        <v>30.83</v>
      </c>
      <c r="P36" s="11">
        <f>IF(P$3=0,"",SUMIFS(INDEX(Inputs!$D$4:$AG$250,0,MATCH(P$2,Inputs!$D$2:$AG$2,0)),Inputs!$B$4:$B$250,$B36)/1000)</f>
        <v>34.263</v>
      </c>
      <c r="Q36" s="11">
        <f>IF(Q$3=0,"",SUMIFS(INDEX(Inputs!$D$4:$AG$250,0,MATCH(Q$2,Inputs!$D$2:$AG$2,0)),Inputs!$B$4:$B$250,$B36)/1000)</f>
        <v>38.01</v>
      </c>
      <c r="R36" s="12">
        <f>IF(Q36="","",Q36)</f>
        <v>38.01</v>
      </c>
      <c r="S36" s="11">
        <f>IF(S$3=0,"",SUMIFS(INDEX(Inputs!$D$4:$AG$250,0,MATCH(S$2,Inputs!$D$2:$AG$2,0)),Inputs!$B$4:$B$250,$B36)/1000)</f>
        <v>38.52</v>
      </c>
      <c r="T36" s="11">
        <f>IF(T$3=0,"",SUMIFS(INDEX(Inputs!$D$4:$AG$250,0,MATCH(T$2,Inputs!$D$2:$AG$2,0)),Inputs!$B$4:$B$250,$B36)/1000)</f>
        <v>37.493</v>
      </c>
      <c r="U36" s="11">
        <f>IF(U$3=0,"",SUMIFS(INDEX(Inputs!$D$4:$AG$250,0,MATCH(U$2,Inputs!$D$2:$AG$2,0)),Inputs!$B$4:$B$250,$B36)/1000)</f>
        <v>36.726</v>
      </c>
      <c r="V36" s="11">
        <f>IF(V$3=0,"",SUMIFS(INDEX(Inputs!$D$4:$AG$250,0,MATCH(V$2,Inputs!$D$2:$AG$2,0)),Inputs!$B$4:$B$250,$B36)/1000)</f>
        <v>37.142</v>
      </c>
      <c r="W36" s="12">
        <f>IF(V36="","",V36)</f>
        <v>37.142</v>
      </c>
      <c r="X36" s="11">
        <f>IF(X$3=0,"",SUMIFS(INDEX(Inputs!$D$4:$AG$250,0,MATCH(X$2,Inputs!$D$2:$AG$2,0)),Inputs!$B$4:$B$250,$B36)/1000)</f>
        <v>32.379</v>
      </c>
      <c r="Y36" s="11">
        <f>IF(Y$3=0,"",SUMIFS(INDEX(Inputs!$D$4:$AG$250,0,MATCH(Y$2,Inputs!$D$2:$AG$2,0)),Inputs!$B$4:$B$250,$B36)/1000)</f>
        <v>33.248</v>
      </c>
      <c r="Z36" s="11">
        <f>IF(Z$3=0,"",SUMIFS(INDEX(Inputs!$D$4:$AG$250,0,MATCH(Z$2,Inputs!$D$2:$AG$2,0)),Inputs!$B$4:$B$250,$B36)/1000)</f>
        <v>32.32</v>
      </c>
      <c r="AA36" s="11">
        <f>IF(AA$3=0,"",SUMIFS(INDEX(Inputs!$D$4:$AG$250,0,MATCH(AA$2,Inputs!$D$2:$AG$2,0)),Inputs!$B$4:$B$250,$B36)/1000)</f>
        <v>18.089</v>
      </c>
      <c r="AB36" s="12">
        <f>IF(AA36="","",AA36)</f>
        <v>18.089</v>
      </c>
      <c r="AC36" s="11">
        <f>IF(AC$3=0,"",SUMIFS(INDEX(Inputs!$D$4:$AG$250,0,MATCH(AC$2,Inputs!$D$2:$AG$2,0)),Inputs!$B$4:$B$250,$B36)/1000)</f>
        <v>15.954</v>
      </c>
      <c r="AD36" s="11">
        <f>IF(AD$3=0,"",SUMIFS(INDEX(Inputs!$D$4:$AG$250,0,MATCH(AD$2,Inputs!$D$2:$AG$2,0)),Inputs!$B$4:$B$250,$B36)/1000)</f>
        <v>16.91</v>
      </c>
      <c r="AE36" s="11" t="str">
        <f>IF(AE$3=0,"",SUMIFS(INDEX(Inputs!$D$4:$AG$250,0,MATCH(AE$2,Inputs!$D$2:$AG$2,0)),Inputs!$B$4:$B$250,$B36)/1000)</f>
        <v/>
      </c>
      <c r="AF36" s="11" t="str">
        <f>IF(AF$3=0,"",SUMIFS(INDEX(Inputs!$D$4:$AG$250,0,MATCH(AF$2,Inputs!$D$2:$AG$2,0)),Inputs!$B$4:$B$250,$B36)/1000)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IF(D$3=0,"",SUMIFS(INDEX(Inputs!$D$4:$AG$250,0,MATCH(D$2,Inputs!$D$2:$AG$2,0)),Inputs!$B$4:$B$250,$B37)/1000)</f>
        <v>0</v>
      </c>
      <c r="E37" s="11">
        <f>IF(E$3=0,"",SUMIFS(INDEX(Inputs!$D$4:$AG$250,0,MATCH(E$2,Inputs!$D$2:$AG$2,0)),Inputs!$B$4:$B$250,$B37)/1000)</f>
        <v>0</v>
      </c>
      <c r="F37" s="11">
        <f>IF(F$3=0,"",SUMIFS(INDEX(Inputs!$D$4:$AG$250,0,MATCH(F$2,Inputs!$D$2:$AG$2,0)),Inputs!$B$4:$B$250,$B37)/1000)</f>
        <v>0</v>
      </c>
      <c r="G37" s="11">
        <f>IF(G$3=0,"",SUMIFS(INDEX(Inputs!$D$4:$AG$250,0,MATCH(G$2,Inputs!$D$2:$AG$2,0)),Inputs!$B$4:$B$250,$B37)/1000)</f>
        <v>0</v>
      </c>
      <c r="H37" s="12">
        <f>IF(G37="","",G37)</f>
        <v>0</v>
      </c>
      <c r="I37" s="11">
        <f>IF(I$3=0,"",SUMIFS(INDEX(Inputs!$D$4:$AG$250,0,MATCH(I$2,Inputs!$D$2:$AG$2,0)),Inputs!$B$4:$B$250,$B37)/1000)</f>
        <v>0</v>
      </c>
      <c r="J37" s="11">
        <f>IF(J$3=0,"",SUMIFS(INDEX(Inputs!$D$4:$AG$250,0,MATCH(J$2,Inputs!$D$2:$AG$2,0)),Inputs!$B$4:$B$250,$B37)/1000)</f>
        <v>0</v>
      </c>
      <c r="K37" s="11">
        <f>IF(K$3=0,"",SUMIFS(INDEX(Inputs!$D$4:$AG$250,0,MATCH(K$2,Inputs!$D$2:$AG$2,0)),Inputs!$B$4:$B$250,$B37)/1000)</f>
        <v>0</v>
      </c>
      <c r="L37" s="11">
        <f>IF(L$3=0,"",SUMIFS(INDEX(Inputs!$D$4:$AG$250,0,MATCH(L$2,Inputs!$D$2:$AG$2,0)),Inputs!$B$4:$B$250,$B37)/1000)</f>
        <v>0</v>
      </c>
      <c r="M37" s="12">
        <f>IF(L37="","",L37)</f>
        <v>0</v>
      </c>
      <c r="N37" s="11">
        <f>IF(N$3=0,"",SUMIFS(INDEX(Inputs!$D$4:$AG$250,0,MATCH(N$2,Inputs!$D$2:$AG$2,0)),Inputs!$B$4:$B$250,$B37)/1000)</f>
        <v>0</v>
      </c>
      <c r="O37" s="11">
        <f>IF(O$3=0,"",SUMIFS(INDEX(Inputs!$D$4:$AG$250,0,MATCH(O$2,Inputs!$D$2:$AG$2,0)),Inputs!$B$4:$B$250,$B37)/1000)</f>
        <v>0</v>
      </c>
      <c r="P37" s="11">
        <f>IF(P$3=0,"",SUMIFS(INDEX(Inputs!$D$4:$AG$250,0,MATCH(P$2,Inputs!$D$2:$AG$2,0)),Inputs!$B$4:$B$250,$B37)/1000)</f>
        <v>0</v>
      </c>
      <c r="Q37" s="11">
        <f>IF(Q$3=0,"",SUMIFS(INDEX(Inputs!$D$4:$AG$250,0,MATCH(Q$2,Inputs!$D$2:$AG$2,0)),Inputs!$B$4:$B$250,$B37)/1000)</f>
        <v>0</v>
      </c>
      <c r="R37" s="12">
        <f>IF(Q37="","",Q37)</f>
        <v>0</v>
      </c>
      <c r="S37" s="11">
        <f>IF(S$3=0,"",SUMIFS(INDEX(Inputs!$D$4:$AG$250,0,MATCH(S$2,Inputs!$D$2:$AG$2,0)),Inputs!$B$4:$B$250,$B37)/1000)</f>
        <v>0</v>
      </c>
      <c r="T37" s="11">
        <f>IF(T$3=0,"",SUMIFS(INDEX(Inputs!$D$4:$AG$250,0,MATCH(T$2,Inputs!$D$2:$AG$2,0)),Inputs!$B$4:$B$250,$B37)/1000)</f>
        <v>0</v>
      </c>
      <c r="U37" s="11">
        <f>IF(U$3=0,"",SUMIFS(INDEX(Inputs!$D$4:$AG$250,0,MATCH(U$2,Inputs!$D$2:$AG$2,0)),Inputs!$B$4:$B$250,$B37)/1000)</f>
        <v>0</v>
      </c>
      <c r="V37" s="11">
        <f>IF(V$3=0,"",SUMIFS(INDEX(Inputs!$D$4:$AG$250,0,MATCH(V$2,Inputs!$D$2:$AG$2,0)),Inputs!$B$4:$B$250,$B37)/1000)</f>
        <v>0</v>
      </c>
      <c r="W37" s="12">
        <f>IF(V37="","",V37)</f>
        <v>0</v>
      </c>
      <c r="X37" s="11">
        <f>IF(X$3=0,"",SUMIFS(INDEX(Inputs!$D$4:$AG$250,0,MATCH(X$2,Inputs!$D$2:$AG$2,0)),Inputs!$B$4:$B$250,$B37)/1000)</f>
        <v>0</v>
      </c>
      <c r="Y37" s="11">
        <f>IF(Y$3=0,"",SUMIFS(INDEX(Inputs!$D$4:$AG$250,0,MATCH(Y$2,Inputs!$D$2:$AG$2,0)),Inputs!$B$4:$B$250,$B37)/1000)</f>
        <v>0</v>
      </c>
      <c r="Z37" s="11">
        <f>IF(Z$3=0,"",SUMIFS(INDEX(Inputs!$D$4:$AG$250,0,MATCH(Z$2,Inputs!$D$2:$AG$2,0)),Inputs!$B$4:$B$250,$B37)/1000)</f>
        <v>0</v>
      </c>
      <c r="AA37" s="11">
        <f>IF(AA$3=0,"",SUMIFS(INDEX(Inputs!$D$4:$AG$250,0,MATCH(AA$2,Inputs!$D$2:$AG$2,0)),Inputs!$B$4:$B$250,$B37)/1000)</f>
        <v>0</v>
      </c>
      <c r="AB37" s="12">
        <f>IF(AA37="","",AA37)</f>
        <v>0</v>
      </c>
      <c r="AC37" s="11">
        <f>IF(AC$3=0,"",SUMIFS(INDEX(Inputs!$D$4:$AG$250,0,MATCH(AC$2,Inputs!$D$2:$AG$2,0)),Inputs!$B$4:$B$250,$B37)/1000)</f>
        <v>0</v>
      </c>
      <c r="AD37" s="11">
        <f>IF(AD$3=0,"",SUMIFS(INDEX(Inputs!$D$4:$AG$250,0,MATCH(AD$2,Inputs!$D$2:$AG$2,0)),Inputs!$B$4:$B$250,$B37)/1000)</f>
        <v>0</v>
      </c>
      <c r="AE37" s="11" t="str">
        <f>IF(AE$3=0,"",SUMIFS(INDEX(Inputs!$D$4:$AG$250,0,MATCH(AE$2,Inputs!$D$2:$AG$2,0)),Inputs!$B$4:$B$250,$B37)/1000)</f>
        <v/>
      </c>
      <c r="AF37" s="11" t="str">
        <f>IF(AF$3=0,"",SUMIFS(INDEX(Inputs!$D$4:$AG$250,0,MATCH(AF$2,Inputs!$D$2:$AG$2,0)),Inputs!$B$4:$B$250,$B37)/1000)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IF(D$3=0,"",SUMIFS(INDEX(Inputs!$D$4:$AG$250,0,MATCH(D$2,Inputs!$D$2:$AG$2,0)),Inputs!$B$4:$B$250,$B38)/1000)</f>
        <v>2111.989</v>
      </c>
      <c r="E38" s="11">
        <f>IF(E$3=0,"",SUMIFS(INDEX(Inputs!$D$4:$AG$250,0,MATCH(E$2,Inputs!$D$2:$AG$2,0)),Inputs!$B$4:$B$250,$B38)/1000)</f>
        <v>2309.438</v>
      </c>
      <c r="F38" s="11">
        <f>IF(F$3=0,"",SUMIFS(INDEX(Inputs!$D$4:$AG$250,0,MATCH(F$2,Inputs!$D$2:$AG$2,0)),Inputs!$B$4:$B$250,$B38)/1000)</f>
        <v>2427.741</v>
      </c>
      <c r="G38" s="11">
        <f>IF(G$3=0,"",SUMIFS(INDEX(Inputs!$D$4:$AG$250,0,MATCH(G$2,Inputs!$D$2:$AG$2,0)),Inputs!$B$4:$B$250,$B38)/1000)</f>
        <v>2571.98</v>
      </c>
      <c r="H38" s="12">
        <f>IF(G38="","",G38)</f>
        <v>2571.98</v>
      </c>
      <c r="I38" s="11">
        <f>IF(I$3=0,"",SUMIFS(INDEX(Inputs!$D$4:$AG$250,0,MATCH(I$2,Inputs!$D$2:$AG$2,0)),Inputs!$B$4:$B$250,$B38)/1000)</f>
        <v>2669.434</v>
      </c>
      <c r="J38" s="11">
        <f>IF(J$3=0,"",SUMIFS(INDEX(Inputs!$D$4:$AG$250,0,MATCH(J$2,Inputs!$D$2:$AG$2,0)),Inputs!$B$4:$B$250,$B38)/1000)</f>
        <v>2780.91</v>
      </c>
      <c r="K38" s="11">
        <f>IF(K$3=0,"",SUMIFS(INDEX(Inputs!$D$4:$AG$250,0,MATCH(K$2,Inputs!$D$2:$AG$2,0)),Inputs!$B$4:$B$250,$B38)/1000)</f>
        <v>2759.057</v>
      </c>
      <c r="L38" s="11">
        <f>IF(L$3=0,"",SUMIFS(INDEX(Inputs!$D$4:$AG$250,0,MATCH(L$2,Inputs!$D$2:$AG$2,0)),Inputs!$B$4:$B$250,$B38)/1000)</f>
        <v>2700.528</v>
      </c>
      <c r="M38" s="12">
        <f>IF(L38="","",L38)</f>
        <v>2700.528</v>
      </c>
      <c r="N38" s="11">
        <f>IF(N$3=0,"",SUMIFS(INDEX(Inputs!$D$4:$AG$250,0,MATCH(N$2,Inputs!$D$2:$AG$2,0)),Inputs!$B$4:$B$250,$B38)/1000)</f>
        <v>2779.092</v>
      </c>
      <c r="O38" s="11">
        <f>IF(O$3=0,"",SUMIFS(INDEX(Inputs!$D$4:$AG$250,0,MATCH(O$2,Inputs!$D$2:$AG$2,0)),Inputs!$B$4:$B$250,$B38)/1000)</f>
        <v>2808.619</v>
      </c>
      <c r="P38" s="11">
        <f>IF(P$3=0,"",SUMIFS(INDEX(Inputs!$D$4:$AG$250,0,MATCH(P$2,Inputs!$D$2:$AG$2,0)),Inputs!$B$4:$B$250,$B38)/1000)</f>
        <v>2795.307</v>
      </c>
      <c r="Q38" s="11">
        <f>IF(Q$3=0,"",SUMIFS(INDEX(Inputs!$D$4:$AG$250,0,MATCH(Q$2,Inputs!$D$2:$AG$2,0)),Inputs!$B$4:$B$250,$B38)/1000)</f>
        <v>2890.782</v>
      </c>
      <c r="R38" s="12">
        <f>IF(Q38="","",Q38)</f>
        <v>2890.782</v>
      </c>
      <c r="S38" s="11">
        <f>IF(S$3=0,"",SUMIFS(INDEX(Inputs!$D$4:$AG$250,0,MATCH(S$2,Inputs!$D$2:$AG$2,0)),Inputs!$B$4:$B$250,$B38)/1000)</f>
        <v>2970.165</v>
      </c>
      <c r="T38" s="11">
        <f>IF(T$3=0,"",SUMIFS(INDEX(Inputs!$D$4:$AG$250,0,MATCH(T$2,Inputs!$D$2:$AG$2,0)),Inputs!$B$4:$B$250,$B38)/1000)</f>
        <v>3046.672</v>
      </c>
      <c r="U38" s="11">
        <f>IF(U$3=0,"",SUMIFS(INDEX(Inputs!$D$4:$AG$250,0,MATCH(U$2,Inputs!$D$2:$AG$2,0)),Inputs!$B$4:$B$250,$B38)/1000)</f>
        <v>2835.961</v>
      </c>
      <c r="V38" s="11">
        <f>IF(V$3=0,"",SUMIFS(INDEX(Inputs!$D$4:$AG$250,0,MATCH(V$2,Inputs!$D$2:$AG$2,0)),Inputs!$B$4:$B$250,$B38)/1000)</f>
        <v>2881.281</v>
      </c>
      <c r="W38" s="12">
        <f>IF(V38="","",V38)</f>
        <v>2881.281</v>
      </c>
      <c r="X38" s="11">
        <f>IF(X$3=0,"",SUMIFS(INDEX(Inputs!$D$4:$AG$250,0,MATCH(X$2,Inputs!$D$2:$AG$2,0)),Inputs!$B$4:$B$250,$B38)/1000)</f>
        <v>3038.628</v>
      </c>
      <c r="Y38" s="11">
        <f>IF(Y$3=0,"",SUMIFS(INDEX(Inputs!$D$4:$AG$250,0,MATCH(Y$2,Inputs!$D$2:$AG$2,0)),Inputs!$B$4:$B$250,$B38)/1000)</f>
        <v>3081.852</v>
      </c>
      <c r="Z38" s="11">
        <f>IF(Z$3=0,"",SUMIFS(INDEX(Inputs!$D$4:$AG$250,0,MATCH(Z$2,Inputs!$D$2:$AG$2,0)),Inputs!$B$4:$B$250,$B38)/1000)</f>
        <v>3236.041</v>
      </c>
      <c r="AA38" s="11">
        <f>IF(AA$3=0,"",SUMIFS(INDEX(Inputs!$D$4:$AG$250,0,MATCH(AA$2,Inputs!$D$2:$AG$2,0)),Inputs!$B$4:$B$250,$B38)/1000)</f>
        <v>3333.016</v>
      </c>
      <c r="AB38" s="12">
        <f>IF(AA38="","",AA38)</f>
        <v>3333.016</v>
      </c>
      <c r="AC38" s="11">
        <f>IF(AC$3=0,"",SUMIFS(INDEX(Inputs!$D$4:$AG$250,0,MATCH(AC$2,Inputs!$D$2:$AG$2,0)),Inputs!$B$4:$B$250,$B38)/1000)</f>
        <v>3376.715</v>
      </c>
      <c r="AD38" s="11">
        <f>IF(AD$3=0,"",SUMIFS(INDEX(Inputs!$D$4:$AG$250,0,MATCH(AD$2,Inputs!$D$2:$AG$2,0)),Inputs!$B$4:$B$250,$B38)/1000)</f>
        <v>3390.71</v>
      </c>
      <c r="AE38" s="11" t="str">
        <f>IF(AE$3=0,"",SUMIFS(INDEX(Inputs!$D$4:$AG$250,0,MATCH(AE$2,Inputs!$D$2:$AG$2,0)),Inputs!$B$4:$B$250,$B38)/1000)</f>
        <v/>
      </c>
      <c r="AF38" s="11" t="str">
        <f>IF(AF$3=0,"",SUMIFS(INDEX(Inputs!$D$4:$AG$250,0,MATCH(AF$2,Inputs!$D$2:$AG$2,0)),Inputs!$B$4:$B$250,$B38)/1000)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IF(D$3=0,"",SUMIFS(INDEX(Inputs!$D$4:$AG$250,0,MATCH(D$2,Inputs!$D$2:$AG$2,0)),Inputs!$B$4:$B$250,$B39)/1000)</f>
        <v>1317.15</v>
      </c>
      <c r="E39" s="11">
        <f>IF(E$3=0,"",SUMIFS(INDEX(Inputs!$D$4:$AG$250,0,MATCH(E$2,Inputs!$D$2:$AG$2,0)),Inputs!$B$4:$B$250,$B39)/1000)</f>
        <v>1385.865</v>
      </c>
      <c r="F39" s="11">
        <f>IF(F$3=0,"",SUMIFS(INDEX(Inputs!$D$4:$AG$250,0,MATCH(F$2,Inputs!$D$2:$AG$2,0)),Inputs!$B$4:$B$250,$B39)/1000)</f>
        <v>1428.473</v>
      </c>
      <c r="G39" s="11">
        <f>IF(G$3=0,"",SUMIFS(INDEX(Inputs!$D$4:$AG$250,0,MATCH(G$2,Inputs!$D$2:$AG$2,0)),Inputs!$B$4:$B$250,$B39)/1000)</f>
        <v>1563.404</v>
      </c>
      <c r="H39" s="12">
        <f>IF(G39="","",G39)</f>
        <v>1563.404</v>
      </c>
      <c r="I39" s="11">
        <f>IF(I$3=0,"",SUMIFS(INDEX(Inputs!$D$4:$AG$250,0,MATCH(I$2,Inputs!$D$2:$AG$2,0)),Inputs!$B$4:$B$250,$B39)/1000)</f>
        <v>1604.766</v>
      </c>
      <c r="J39" s="11">
        <f>IF(J$3=0,"",SUMIFS(INDEX(Inputs!$D$4:$AG$250,0,MATCH(J$2,Inputs!$D$2:$AG$2,0)),Inputs!$B$4:$B$250,$B39)/1000)</f>
        <v>1735.251</v>
      </c>
      <c r="K39" s="11">
        <f>IF(K$3=0,"",SUMIFS(INDEX(Inputs!$D$4:$AG$250,0,MATCH(K$2,Inputs!$D$2:$AG$2,0)),Inputs!$B$4:$B$250,$B39)/1000)</f>
        <v>1766.013</v>
      </c>
      <c r="L39" s="11">
        <f>IF(L$3=0,"",SUMIFS(INDEX(Inputs!$D$4:$AG$250,0,MATCH(L$2,Inputs!$D$2:$AG$2,0)),Inputs!$B$4:$B$250,$B39)/1000)</f>
        <v>1782.077</v>
      </c>
      <c r="M39" s="12">
        <f>IF(L39="","",L39)</f>
        <v>1782.077</v>
      </c>
      <c r="N39" s="11">
        <f>IF(N$3=0,"",SUMIFS(INDEX(Inputs!$D$4:$AG$250,0,MATCH(N$2,Inputs!$D$2:$AG$2,0)),Inputs!$B$4:$B$250,$B39)/1000)</f>
        <v>1985.849</v>
      </c>
      <c r="O39" s="11">
        <f>IF(O$3=0,"",SUMIFS(INDEX(Inputs!$D$4:$AG$250,0,MATCH(O$2,Inputs!$D$2:$AG$2,0)),Inputs!$B$4:$B$250,$B39)/1000)</f>
        <v>1907.132</v>
      </c>
      <c r="P39" s="11">
        <f>IF(P$3=0,"",SUMIFS(INDEX(Inputs!$D$4:$AG$250,0,MATCH(P$2,Inputs!$D$2:$AG$2,0)),Inputs!$B$4:$B$250,$B39)/1000)</f>
        <v>1978.46</v>
      </c>
      <c r="Q39" s="11">
        <f>IF(Q$3=0,"",SUMIFS(INDEX(Inputs!$D$4:$AG$250,0,MATCH(Q$2,Inputs!$D$2:$AG$2,0)),Inputs!$B$4:$B$250,$B39)/1000)</f>
        <v>1990.907</v>
      </c>
      <c r="R39" s="12">
        <f>IF(Q39="","",Q39)</f>
        <v>1990.907</v>
      </c>
      <c r="S39" s="11">
        <f>IF(S$3=0,"",SUMIFS(INDEX(Inputs!$D$4:$AG$250,0,MATCH(S$2,Inputs!$D$2:$AG$2,0)),Inputs!$B$4:$B$250,$B39)/1000)</f>
        <v>2049.413</v>
      </c>
      <c r="T39" s="11">
        <f>IF(T$3=0,"",SUMIFS(INDEX(Inputs!$D$4:$AG$250,0,MATCH(T$2,Inputs!$D$2:$AG$2,0)),Inputs!$B$4:$B$250,$B39)/1000)</f>
        <v>2132.389</v>
      </c>
      <c r="U39" s="11">
        <f>IF(U$3=0,"",SUMIFS(INDEX(Inputs!$D$4:$AG$250,0,MATCH(U$2,Inputs!$D$2:$AG$2,0)),Inputs!$B$4:$B$250,$B39)/1000)</f>
        <v>2166.941</v>
      </c>
      <c r="V39" s="11">
        <f>IF(V$3=0,"",SUMIFS(INDEX(Inputs!$D$4:$AG$250,0,MATCH(V$2,Inputs!$D$2:$AG$2,0)),Inputs!$B$4:$B$250,$B39)/1000)</f>
        <v>2279.101</v>
      </c>
      <c r="W39" s="12">
        <f>IF(V39="","",V39)</f>
        <v>2279.101</v>
      </c>
      <c r="X39" s="11">
        <f>IF(X$3=0,"",SUMIFS(INDEX(Inputs!$D$4:$AG$250,0,MATCH(X$2,Inputs!$D$2:$AG$2,0)),Inputs!$B$4:$B$250,$B39)/1000)</f>
        <v>2309.319</v>
      </c>
      <c r="Y39" s="11">
        <f>IF(Y$3=0,"",SUMIFS(INDEX(Inputs!$D$4:$AG$250,0,MATCH(Y$2,Inputs!$D$2:$AG$2,0)),Inputs!$B$4:$B$250,$B39)/1000)</f>
        <v>2347.373</v>
      </c>
      <c r="Z39" s="11">
        <f>IF(Z$3=0,"",SUMIFS(INDEX(Inputs!$D$4:$AG$250,0,MATCH(Z$2,Inputs!$D$2:$AG$2,0)),Inputs!$B$4:$B$250,$B39)/1000)</f>
        <v>2443.419</v>
      </c>
      <c r="AA39" s="11">
        <f>IF(AA$3=0,"",SUMIFS(INDEX(Inputs!$D$4:$AG$250,0,MATCH(AA$2,Inputs!$D$2:$AG$2,0)),Inputs!$B$4:$B$250,$B39)/1000)</f>
        <v>2499.63</v>
      </c>
      <c r="AB39" s="12">
        <f>IF(AA39="","",AA39)</f>
        <v>2499.63</v>
      </c>
      <c r="AC39" s="11">
        <f>IF(AC$3=0,"",SUMIFS(INDEX(Inputs!$D$4:$AG$250,0,MATCH(AC$2,Inputs!$D$2:$AG$2,0)),Inputs!$B$4:$B$250,$B39)/1000)</f>
        <v>2544.728</v>
      </c>
      <c r="AD39" s="11">
        <f>IF(AD$3=0,"",SUMIFS(INDEX(Inputs!$D$4:$AG$250,0,MATCH(AD$2,Inputs!$D$2:$AG$2,0)),Inputs!$B$4:$B$250,$B39)/1000)</f>
        <v>2626.736</v>
      </c>
      <c r="AE39" s="11" t="str">
        <f>IF(AE$3=0,"",SUMIFS(INDEX(Inputs!$D$4:$AG$250,0,MATCH(AE$2,Inputs!$D$2:$AG$2,0)),Inputs!$B$4:$B$250,$B39)/1000)</f>
        <v/>
      </c>
      <c r="AF39" s="11" t="str">
        <f>IF(AF$3=0,"",SUMIFS(INDEX(Inputs!$D$4:$AG$250,0,MATCH(AF$2,Inputs!$D$2:$AG$2,0)),Inputs!$B$4:$B$250,$B39)/1000)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IF(D$3=0,"",SUMIFS(INDEX(Inputs!$D$4:$AG$250,0,MATCH(D$2,Inputs!$D$2:$AG$2,0)),Inputs!$B$4:$B$250,$B41)/1000)</f>
        <v>3518.758</v>
      </c>
      <c r="E41" s="11">
        <f>IF(E$3=0,"",SUMIFS(INDEX(Inputs!$D$4:$AG$250,0,MATCH(E$2,Inputs!$D$2:$AG$2,0)),Inputs!$B$4:$B$250,$B41)/1000)</f>
        <v>3613.423</v>
      </c>
      <c r="F41" s="11">
        <f>IF(F$3=0,"",SUMIFS(INDEX(Inputs!$D$4:$AG$250,0,MATCH(F$2,Inputs!$D$2:$AG$2,0)),Inputs!$B$4:$B$250,$B41)/1000)</f>
        <v>3681.275</v>
      </c>
      <c r="G41" s="11">
        <f>IF(G$3=0,"",SUMIFS(INDEX(Inputs!$D$4:$AG$250,0,MATCH(G$2,Inputs!$D$2:$AG$2,0)),Inputs!$B$4:$B$250,$B41)/1000)</f>
        <v>3450.486</v>
      </c>
      <c r="H41" s="12">
        <f>IF(G41="","",G41)</f>
        <v>3450.486</v>
      </c>
      <c r="I41" s="11">
        <f>IF(I$3=0,"",SUMIFS(INDEX(Inputs!$D$4:$AG$250,0,MATCH(I$2,Inputs!$D$2:$AG$2,0)),Inputs!$B$4:$B$250,$B41)/1000)</f>
        <v>3649.408</v>
      </c>
      <c r="J41" s="11">
        <f>IF(J$3=0,"",SUMIFS(INDEX(Inputs!$D$4:$AG$250,0,MATCH(J$2,Inputs!$D$2:$AG$2,0)),Inputs!$B$4:$B$250,$B41)/1000)</f>
        <v>3594.617</v>
      </c>
      <c r="K41" s="11">
        <f>IF(K$3=0,"",SUMIFS(INDEX(Inputs!$D$4:$AG$250,0,MATCH(K$2,Inputs!$D$2:$AG$2,0)),Inputs!$B$4:$B$250,$B41)/1000)</f>
        <v>3476.338</v>
      </c>
      <c r="L41" s="11">
        <f>IF(L$3=0,"",SUMIFS(INDEX(Inputs!$D$4:$AG$250,0,MATCH(L$2,Inputs!$D$2:$AG$2,0)),Inputs!$B$4:$B$250,$B41)/1000)</f>
        <v>3413.556</v>
      </c>
      <c r="M41" s="12">
        <f>IF(L41="","",L41)</f>
        <v>3413.556</v>
      </c>
      <c r="N41" s="11">
        <f>IF(N$3=0,"",SUMIFS(INDEX(Inputs!$D$4:$AG$250,0,MATCH(N$2,Inputs!$D$2:$AG$2,0)),Inputs!$B$4:$B$250,$B41)/1000)</f>
        <v>3560.059</v>
      </c>
      <c r="O41" s="11">
        <f>IF(O$3=0,"",SUMIFS(INDEX(Inputs!$D$4:$AG$250,0,MATCH(O$2,Inputs!$D$2:$AG$2,0)),Inputs!$B$4:$B$250,$B41)/1000)</f>
        <v>3384.892</v>
      </c>
      <c r="P41" s="11">
        <f>IF(P$3=0,"",SUMIFS(INDEX(Inputs!$D$4:$AG$250,0,MATCH(P$2,Inputs!$D$2:$AG$2,0)),Inputs!$B$4:$B$250,$B41)/1000)</f>
        <v>3320.519</v>
      </c>
      <c r="Q41" s="11">
        <f>IF(Q$3=0,"",SUMIFS(INDEX(Inputs!$D$4:$AG$250,0,MATCH(Q$2,Inputs!$D$2:$AG$2,0)),Inputs!$B$4:$B$250,$B41)/1000)</f>
        <v>3273.249</v>
      </c>
      <c r="R41" s="12">
        <f>IF(Q41="","",Q41)</f>
        <v>3273.249</v>
      </c>
      <c r="S41" s="11">
        <f>IF(S$3=0,"",SUMIFS(INDEX(Inputs!$D$4:$AG$250,0,MATCH(S$2,Inputs!$D$2:$AG$2,0)),Inputs!$B$4:$B$250,$B41)/1000)</f>
        <v>3423.454</v>
      </c>
      <c r="T41" s="11">
        <f>IF(T$3=0,"",SUMIFS(INDEX(Inputs!$D$4:$AG$250,0,MATCH(T$2,Inputs!$D$2:$AG$2,0)),Inputs!$B$4:$B$250,$B41)/1000)</f>
        <v>3448.681</v>
      </c>
      <c r="U41" s="11">
        <f>IF(U$3=0,"",SUMIFS(INDEX(Inputs!$D$4:$AG$250,0,MATCH(U$2,Inputs!$D$2:$AG$2,0)),Inputs!$B$4:$B$250,$B41)/1000)</f>
        <v>3695.059</v>
      </c>
      <c r="V41" s="11">
        <f>IF(V$3=0,"",SUMIFS(INDEX(Inputs!$D$4:$AG$250,0,MATCH(V$2,Inputs!$D$2:$AG$2,0)),Inputs!$B$4:$B$250,$B41)/1000)</f>
        <v>3483.372</v>
      </c>
      <c r="W41" s="12">
        <f>IF(V41="","",V41)</f>
        <v>3483.372</v>
      </c>
      <c r="X41" s="11">
        <f>IF(X$3=0,"",SUMIFS(INDEX(Inputs!$D$4:$AG$250,0,MATCH(X$2,Inputs!$D$2:$AG$2,0)),Inputs!$B$4:$B$250,$B41)/1000)</f>
        <v>3664.272</v>
      </c>
      <c r="Y41" s="11">
        <f>IF(Y$3=0,"",SUMIFS(INDEX(Inputs!$D$4:$AG$250,0,MATCH(Y$2,Inputs!$D$2:$AG$2,0)),Inputs!$B$4:$B$250,$B41)/1000)</f>
        <v>3483.293</v>
      </c>
      <c r="Z41" s="11">
        <f>IF(Z$3=0,"",SUMIFS(INDEX(Inputs!$D$4:$AG$250,0,MATCH(Z$2,Inputs!$D$2:$AG$2,0)),Inputs!$B$4:$B$250,$B41)/1000)</f>
        <v>3360.623</v>
      </c>
      <c r="AA41" s="11">
        <f>IF(AA$3=0,"",SUMIFS(INDEX(Inputs!$D$4:$AG$250,0,MATCH(AA$2,Inputs!$D$2:$AG$2,0)),Inputs!$B$4:$B$250,$B41)/1000)</f>
        <v>3412.62</v>
      </c>
      <c r="AB41" s="12">
        <f>IF(AA41="","",AA41)</f>
        <v>3412.62</v>
      </c>
      <c r="AC41" s="11">
        <f>IF(AC$3=0,"",SUMIFS(INDEX(Inputs!$D$4:$AG$250,0,MATCH(AC$2,Inputs!$D$2:$AG$2,0)),Inputs!$B$4:$B$250,$B41)/1000)</f>
        <v>3543.062</v>
      </c>
      <c r="AD41" s="11">
        <f>IF(AD$3=0,"",SUMIFS(INDEX(Inputs!$D$4:$AG$250,0,MATCH(AD$2,Inputs!$D$2:$AG$2,0)),Inputs!$B$4:$B$250,$B41)/1000)</f>
        <v>3738.333</v>
      </c>
      <c r="AE41" s="11" t="str">
        <f>IF(AE$3=0,"",SUMIFS(INDEX(Inputs!$D$4:$AG$250,0,MATCH(AE$2,Inputs!$D$2:$AG$2,0)),Inputs!$B$4:$B$250,$B41)/1000)</f>
        <v/>
      </c>
      <c r="AF41" s="11" t="str">
        <f>IF(AF$3=0,"",SUMIFS(INDEX(Inputs!$D$4:$AG$250,0,MATCH(AF$2,Inputs!$D$2:$AG$2,0)),Inputs!$B$4:$B$250,$B41)/1000)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IF(D$3=0,"",SUMIFS(INDEX(Inputs!$D$4:$AG$250,0,MATCH(D$2,Inputs!$D$2:$AG$2,0)),Inputs!$B$4:$B$250,$B42)/1000)</f>
        <v>0</v>
      </c>
      <c r="E42" s="11">
        <f>IF(E$3=0,"",SUMIFS(INDEX(Inputs!$D$4:$AG$250,0,MATCH(E$2,Inputs!$D$2:$AG$2,0)),Inputs!$B$4:$B$250,$B42)/1000)</f>
        <v>0</v>
      </c>
      <c r="F42" s="11">
        <f>IF(F$3=0,"",SUMIFS(INDEX(Inputs!$D$4:$AG$250,0,MATCH(F$2,Inputs!$D$2:$AG$2,0)),Inputs!$B$4:$B$250,$B42)/1000)</f>
        <v>0</v>
      </c>
      <c r="G42" s="11">
        <f>IF(G$3=0,"",SUMIFS(INDEX(Inputs!$D$4:$AG$250,0,MATCH(G$2,Inputs!$D$2:$AG$2,0)),Inputs!$B$4:$B$250,$B42)/1000)</f>
        <v>0</v>
      </c>
      <c r="H42" s="12">
        <f>IF(G42="","",G42)</f>
        <v>0</v>
      </c>
      <c r="I42" s="11">
        <f>IF(I$3=0,"",SUMIFS(INDEX(Inputs!$D$4:$AG$250,0,MATCH(I$2,Inputs!$D$2:$AG$2,0)),Inputs!$B$4:$B$250,$B42)/1000)</f>
        <v>0</v>
      </c>
      <c r="J42" s="11">
        <f>IF(J$3=0,"",SUMIFS(INDEX(Inputs!$D$4:$AG$250,0,MATCH(J$2,Inputs!$D$2:$AG$2,0)),Inputs!$B$4:$B$250,$B42)/1000)</f>
        <v>0</v>
      </c>
      <c r="K42" s="11">
        <f>IF(K$3=0,"",SUMIFS(INDEX(Inputs!$D$4:$AG$250,0,MATCH(K$2,Inputs!$D$2:$AG$2,0)),Inputs!$B$4:$B$250,$B42)/1000)</f>
        <v>0</v>
      </c>
      <c r="L42" s="11">
        <f>IF(L$3=0,"",SUMIFS(INDEX(Inputs!$D$4:$AG$250,0,MATCH(L$2,Inputs!$D$2:$AG$2,0)),Inputs!$B$4:$B$250,$B42)/1000)</f>
        <v>0</v>
      </c>
      <c r="M42" s="12">
        <f>IF(L42="","",L42)</f>
        <v>0</v>
      </c>
      <c r="N42" s="11">
        <f>IF(N$3=0,"",SUMIFS(INDEX(Inputs!$D$4:$AG$250,0,MATCH(N$2,Inputs!$D$2:$AG$2,0)),Inputs!$B$4:$B$250,$B42)/1000)</f>
        <v>0</v>
      </c>
      <c r="O42" s="11">
        <f>IF(O$3=0,"",SUMIFS(INDEX(Inputs!$D$4:$AG$250,0,MATCH(O$2,Inputs!$D$2:$AG$2,0)),Inputs!$B$4:$B$250,$B42)/1000)</f>
        <v>0</v>
      </c>
      <c r="P42" s="11">
        <f>IF(P$3=0,"",SUMIFS(INDEX(Inputs!$D$4:$AG$250,0,MATCH(P$2,Inputs!$D$2:$AG$2,0)),Inputs!$B$4:$B$250,$B42)/1000)</f>
        <v>0</v>
      </c>
      <c r="Q42" s="11">
        <f>IF(Q$3=0,"",SUMIFS(INDEX(Inputs!$D$4:$AG$250,0,MATCH(Q$2,Inputs!$D$2:$AG$2,0)),Inputs!$B$4:$B$250,$B42)/1000)</f>
        <v>0</v>
      </c>
      <c r="R42" s="12">
        <f>IF(Q42="","",Q42)</f>
        <v>0</v>
      </c>
      <c r="S42" s="11">
        <f>IF(S$3=0,"",SUMIFS(INDEX(Inputs!$D$4:$AG$250,0,MATCH(S$2,Inputs!$D$2:$AG$2,0)),Inputs!$B$4:$B$250,$B42)/1000)</f>
        <v>0</v>
      </c>
      <c r="T42" s="11">
        <f>IF(T$3=0,"",SUMIFS(INDEX(Inputs!$D$4:$AG$250,0,MATCH(T$2,Inputs!$D$2:$AG$2,0)),Inputs!$B$4:$B$250,$B42)/1000)</f>
        <v>0</v>
      </c>
      <c r="U42" s="11">
        <f>IF(U$3=0,"",SUMIFS(INDEX(Inputs!$D$4:$AG$250,0,MATCH(U$2,Inputs!$D$2:$AG$2,0)),Inputs!$B$4:$B$250,$B42)/1000)</f>
        <v>0</v>
      </c>
      <c r="V42" s="11">
        <f>IF(V$3=0,"",SUMIFS(INDEX(Inputs!$D$4:$AG$250,0,MATCH(V$2,Inputs!$D$2:$AG$2,0)),Inputs!$B$4:$B$250,$B42)/1000)</f>
        <v>0</v>
      </c>
      <c r="W42" s="12">
        <f>IF(V42="","",V42)</f>
        <v>0</v>
      </c>
      <c r="X42" s="11">
        <f>IF(X$3=0,"",SUMIFS(INDEX(Inputs!$D$4:$AG$250,0,MATCH(X$2,Inputs!$D$2:$AG$2,0)),Inputs!$B$4:$B$250,$B42)/1000)</f>
        <v>0</v>
      </c>
      <c r="Y42" s="11">
        <f>IF(Y$3=0,"",SUMIFS(INDEX(Inputs!$D$4:$AG$250,0,MATCH(Y$2,Inputs!$D$2:$AG$2,0)),Inputs!$B$4:$B$250,$B42)/1000)</f>
        <v>0</v>
      </c>
      <c r="Z42" s="11">
        <f>IF(Z$3=0,"",SUMIFS(INDEX(Inputs!$D$4:$AG$250,0,MATCH(Z$2,Inputs!$D$2:$AG$2,0)),Inputs!$B$4:$B$250,$B42)/1000)</f>
        <v>0</v>
      </c>
      <c r="AA42" s="11">
        <f>IF(AA$3=0,"",SUMIFS(INDEX(Inputs!$D$4:$AG$250,0,MATCH(AA$2,Inputs!$D$2:$AG$2,0)),Inputs!$B$4:$B$250,$B42)/1000)</f>
        <v>0</v>
      </c>
      <c r="AB42" s="12">
        <f>IF(AA42="","",AA42)</f>
        <v>0</v>
      </c>
      <c r="AC42" s="11">
        <f>IF(AC$3=0,"",SUMIFS(INDEX(Inputs!$D$4:$AG$250,0,MATCH(AC$2,Inputs!$D$2:$AG$2,0)),Inputs!$B$4:$B$250,$B42)/1000)</f>
        <v>0</v>
      </c>
      <c r="AD42" s="11">
        <f>IF(AD$3=0,"",SUMIFS(INDEX(Inputs!$D$4:$AG$250,0,MATCH(AD$2,Inputs!$D$2:$AG$2,0)),Inputs!$B$4:$B$250,$B42)/1000)</f>
        <v>0</v>
      </c>
      <c r="AE42" s="11" t="str">
        <f>IF(AE$3=0,"",SUMIFS(INDEX(Inputs!$D$4:$AG$250,0,MATCH(AE$2,Inputs!$D$2:$AG$2,0)),Inputs!$B$4:$B$250,$B42)/1000)</f>
        <v/>
      </c>
      <c r="AF42" s="11" t="str">
        <f>IF(AF$3=0,"",SUMIFS(INDEX(Inputs!$D$4:$AG$250,0,MATCH(AF$2,Inputs!$D$2:$AG$2,0)),Inputs!$B$4:$B$250,$B42)/1000)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IF(D$3=0,"",SUMIFS(INDEX(Inputs!$D$4:$AG$250,0,MATCH(D$2,Inputs!$D$2:$AG$2,0)),Inputs!$B$4:$B$250,$B43)/1000)</f>
        <v>2937.286</v>
      </c>
      <c r="E43" s="11">
        <f>IF(E$3=0,"",SUMIFS(INDEX(Inputs!$D$4:$AG$250,0,MATCH(E$2,Inputs!$D$2:$AG$2,0)),Inputs!$B$4:$B$250,$B43)/1000)</f>
        <v>2937.286</v>
      </c>
      <c r="F43" s="11">
        <f>IF(F$3=0,"",SUMIFS(INDEX(Inputs!$D$4:$AG$250,0,MATCH(F$2,Inputs!$D$2:$AG$2,0)),Inputs!$B$4:$B$250,$B43)/1000)</f>
        <v>2918.42</v>
      </c>
      <c r="G43" s="11">
        <f>IF(G$3=0,"",SUMIFS(INDEX(Inputs!$D$4:$AG$250,0,MATCH(G$2,Inputs!$D$2:$AG$2,0)),Inputs!$B$4:$B$250,$B43)/1000)</f>
        <v>2998.03</v>
      </c>
      <c r="H43" s="12">
        <f>IF(G43="","",G43)</f>
        <v>2998.03</v>
      </c>
      <c r="I43" s="11">
        <f>IF(I$3=0,"",SUMIFS(INDEX(Inputs!$D$4:$AG$250,0,MATCH(I$2,Inputs!$D$2:$AG$2,0)),Inputs!$B$4:$B$250,$B43)/1000)</f>
        <v>3135.312</v>
      </c>
      <c r="J43" s="11">
        <f>IF(J$3=0,"",SUMIFS(INDEX(Inputs!$D$4:$AG$250,0,MATCH(J$2,Inputs!$D$2:$AG$2,0)),Inputs!$B$4:$B$250,$B43)/1000)</f>
        <v>3135.312</v>
      </c>
      <c r="K43" s="11">
        <f>IF(K$3=0,"",SUMIFS(INDEX(Inputs!$D$4:$AG$250,0,MATCH(K$2,Inputs!$D$2:$AG$2,0)),Inputs!$B$4:$B$250,$B43)/1000)</f>
        <v>2933.737</v>
      </c>
      <c r="L43" s="11">
        <f>IF(L$3=0,"",SUMIFS(INDEX(Inputs!$D$4:$AG$250,0,MATCH(L$2,Inputs!$D$2:$AG$2,0)),Inputs!$B$4:$B$250,$B43)/1000)</f>
        <v>2933.737</v>
      </c>
      <c r="M43" s="12">
        <f>IF(L43="","",L43)</f>
        <v>2933.737</v>
      </c>
      <c r="N43" s="11">
        <f>IF(N$3=0,"",SUMIFS(INDEX(Inputs!$D$4:$AG$250,0,MATCH(N$2,Inputs!$D$2:$AG$2,0)),Inputs!$B$4:$B$250,$B43)/1000)</f>
        <v>2933.737</v>
      </c>
      <c r="O43" s="11">
        <f>IF(O$3=0,"",SUMIFS(INDEX(Inputs!$D$4:$AG$250,0,MATCH(O$2,Inputs!$D$2:$AG$2,0)),Inputs!$B$4:$B$250,$B43)/1000)</f>
        <v>3312.918</v>
      </c>
      <c r="P43" s="11">
        <f>IF(P$3=0,"",SUMIFS(INDEX(Inputs!$D$4:$AG$250,0,MATCH(P$2,Inputs!$D$2:$AG$2,0)),Inputs!$B$4:$B$250,$B43)/1000)</f>
        <v>3312.918</v>
      </c>
      <c r="Q43" s="11">
        <f>IF(Q$3=0,"",SUMIFS(INDEX(Inputs!$D$4:$AG$250,0,MATCH(Q$2,Inputs!$D$2:$AG$2,0)),Inputs!$B$4:$B$250,$B43)/1000)</f>
        <v>3312.918</v>
      </c>
      <c r="R43" s="12">
        <f>IF(Q43="","",Q43)</f>
        <v>3312.918</v>
      </c>
      <c r="S43" s="11">
        <f>IF(S$3=0,"",SUMIFS(INDEX(Inputs!$D$4:$AG$250,0,MATCH(S$2,Inputs!$D$2:$AG$2,0)),Inputs!$B$4:$B$250,$B43)/1000)</f>
        <v>3312.918</v>
      </c>
      <c r="T43" s="11">
        <f>IF(T$3=0,"",SUMIFS(INDEX(Inputs!$D$4:$AG$250,0,MATCH(T$2,Inputs!$D$2:$AG$2,0)),Inputs!$B$4:$B$250,$B43)/1000)</f>
        <v>3675.703</v>
      </c>
      <c r="U43" s="11">
        <f>IF(U$3=0,"",SUMIFS(INDEX(Inputs!$D$4:$AG$250,0,MATCH(U$2,Inputs!$D$2:$AG$2,0)),Inputs!$B$4:$B$250,$B43)/1000)</f>
        <v>3675.703</v>
      </c>
      <c r="V43" s="11">
        <f>IF(V$3=0,"",SUMIFS(INDEX(Inputs!$D$4:$AG$250,0,MATCH(V$2,Inputs!$D$2:$AG$2,0)),Inputs!$B$4:$B$250,$B43)/1000)</f>
        <v>3675.703</v>
      </c>
      <c r="W43" s="12">
        <f>IF(V43="","",V43)</f>
        <v>3675.703</v>
      </c>
      <c r="X43" s="11">
        <f>IF(X$3=0,"",SUMIFS(INDEX(Inputs!$D$4:$AG$250,0,MATCH(X$2,Inputs!$D$2:$AG$2,0)),Inputs!$B$4:$B$250,$B43)/1000)</f>
        <v>3675.703</v>
      </c>
      <c r="Y43" s="11">
        <f>IF(Y$3=0,"",SUMIFS(INDEX(Inputs!$D$4:$AG$250,0,MATCH(Y$2,Inputs!$D$2:$AG$2,0)),Inputs!$B$4:$B$250,$B43)/1000)</f>
        <v>4025.234</v>
      </c>
      <c r="Z43" s="11">
        <f>IF(Z$3=0,"",SUMIFS(INDEX(Inputs!$D$4:$AG$250,0,MATCH(Z$2,Inputs!$D$2:$AG$2,0)),Inputs!$B$4:$B$250,$B43)/1000)</f>
        <v>4025.234</v>
      </c>
      <c r="AA43" s="11">
        <f>IF(AA$3=0,"",SUMIFS(INDEX(Inputs!$D$4:$AG$250,0,MATCH(AA$2,Inputs!$D$2:$AG$2,0)),Inputs!$B$4:$B$250,$B43)/1000)</f>
        <v>4025.234</v>
      </c>
      <c r="AB43" s="12">
        <f>IF(AA43="","",AA43)</f>
        <v>4025.234</v>
      </c>
      <c r="AC43" s="11">
        <f>IF(AC$3=0,"",SUMIFS(INDEX(Inputs!$D$4:$AG$250,0,MATCH(AC$2,Inputs!$D$2:$AG$2,0)),Inputs!$B$4:$B$250,$B43)/1000)</f>
        <v>4025.234</v>
      </c>
      <c r="AD43" s="11">
        <f>IF(AD$3=0,"",SUMIFS(INDEX(Inputs!$D$4:$AG$250,0,MATCH(AD$2,Inputs!$D$2:$AG$2,0)),Inputs!$B$4:$B$250,$B43)/1000)</f>
        <v>4025.234</v>
      </c>
      <c r="AE43" s="11" t="str">
        <f>IF(AE$3=0,"",SUMIFS(INDEX(Inputs!$D$4:$AG$250,0,MATCH(AE$2,Inputs!$D$2:$AG$2,0)),Inputs!$B$4:$B$250,$B43)/1000)</f>
        <v/>
      </c>
      <c r="AF43" s="11" t="str">
        <f>IF(AF$3=0,"",SUMIFS(INDEX(Inputs!$D$4:$AG$250,0,MATCH(AF$2,Inputs!$D$2:$AG$2,0)),Inputs!$B$4:$B$250,$B43)/1000)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IF(D$3=0,"",SUMIFS(INDEX(Inputs!$D$4:$AG$250,0,MATCH(D$2,Inputs!$D$2:$AG$2,0)),Inputs!$B$4:$B$250,$B44)/1000)</f>
        <v>0</v>
      </c>
      <c r="E44" s="11">
        <f>IF(E$3=0,"",SUMIFS(INDEX(Inputs!$D$4:$AG$250,0,MATCH(E$2,Inputs!$D$2:$AG$2,0)),Inputs!$B$4:$B$250,$B44)/1000)</f>
        <v>0</v>
      </c>
      <c r="F44" s="11">
        <f>IF(F$3=0,"",SUMIFS(INDEX(Inputs!$D$4:$AG$250,0,MATCH(F$2,Inputs!$D$2:$AG$2,0)),Inputs!$B$4:$B$250,$B44)/1000)</f>
        <v>0</v>
      </c>
      <c r="G44" s="11">
        <f>IF(G$3=0,"",SUMIFS(INDEX(Inputs!$D$4:$AG$250,0,MATCH(G$2,Inputs!$D$2:$AG$2,0)),Inputs!$B$4:$B$250,$B44)/1000)</f>
        <v>0</v>
      </c>
      <c r="H44" s="12">
        <f>IF(G44="","",G44)</f>
        <v>0</v>
      </c>
      <c r="I44" s="11">
        <f>IF(I$3=0,"",SUMIFS(INDEX(Inputs!$D$4:$AG$250,0,MATCH(I$2,Inputs!$D$2:$AG$2,0)),Inputs!$B$4:$B$250,$B44)/1000)</f>
        <v>0</v>
      </c>
      <c r="J44" s="11">
        <f>IF(J$3=0,"",SUMIFS(INDEX(Inputs!$D$4:$AG$250,0,MATCH(J$2,Inputs!$D$2:$AG$2,0)),Inputs!$B$4:$B$250,$B44)/1000)</f>
        <v>0</v>
      </c>
      <c r="K44" s="11">
        <f>IF(K$3=0,"",SUMIFS(INDEX(Inputs!$D$4:$AG$250,0,MATCH(K$2,Inputs!$D$2:$AG$2,0)),Inputs!$B$4:$B$250,$B44)/1000)</f>
        <v>0</v>
      </c>
      <c r="L44" s="11">
        <f>IF(L$3=0,"",SUMIFS(INDEX(Inputs!$D$4:$AG$250,0,MATCH(L$2,Inputs!$D$2:$AG$2,0)),Inputs!$B$4:$B$250,$B44)/1000)</f>
        <v>0</v>
      </c>
      <c r="M44" s="12">
        <f>IF(L44="","",L44)</f>
        <v>0</v>
      </c>
      <c r="N44" s="11">
        <f>IF(N$3=0,"",SUMIFS(INDEX(Inputs!$D$4:$AG$250,0,MATCH(N$2,Inputs!$D$2:$AG$2,0)),Inputs!$B$4:$B$250,$B44)/1000)</f>
        <v>0</v>
      </c>
      <c r="O44" s="11">
        <f>IF(O$3=0,"",SUMIFS(INDEX(Inputs!$D$4:$AG$250,0,MATCH(O$2,Inputs!$D$2:$AG$2,0)),Inputs!$B$4:$B$250,$B44)/1000)</f>
        <v>0</v>
      </c>
      <c r="P44" s="11">
        <f>IF(P$3=0,"",SUMIFS(INDEX(Inputs!$D$4:$AG$250,0,MATCH(P$2,Inputs!$D$2:$AG$2,0)),Inputs!$B$4:$B$250,$B44)/1000)</f>
        <v>0</v>
      </c>
      <c r="Q44" s="11">
        <f>IF(Q$3=0,"",SUMIFS(INDEX(Inputs!$D$4:$AG$250,0,MATCH(Q$2,Inputs!$D$2:$AG$2,0)),Inputs!$B$4:$B$250,$B44)/1000)</f>
        <v>0</v>
      </c>
      <c r="R44" s="12">
        <f>IF(Q44="","",Q44)</f>
        <v>0</v>
      </c>
      <c r="S44" s="11">
        <f>IF(S$3=0,"",SUMIFS(INDEX(Inputs!$D$4:$AG$250,0,MATCH(S$2,Inputs!$D$2:$AG$2,0)),Inputs!$B$4:$B$250,$B44)/1000)</f>
        <v>0</v>
      </c>
      <c r="T44" s="11">
        <f>IF(T$3=0,"",SUMIFS(INDEX(Inputs!$D$4:$AG$250,0,MATCH(T$2,Inputs!$D$2:$AG$2,0)),Inputs!$B$4:$B$250,$B44)/1000)</f>
        <v>0</v>
      </c>
      <c r="U44" s="11">
        <f>IF(U$3=0,"",SUMIFS(INDEX(Inputs!$D$4:$AG$250,0,MATCH(U$2,Inputs!$D$2:$AG$2,0)),Inputs!$B$4:$B$250,$B44)/1000)</f>
        <v>0</v>
      </c>
      <c r="V44" s="11">
        <f>IF(V$3=0,"",SUMIFS(INDEX(Inputs!$D$4:$AG$250,0,MATCH(V$2,Inputs!$D$2:$AG$2,0)),Inputs!$B$4:$B$250,$B44)/1000)</f>
        <v>0</v>
      </c>
      <c r="W44" s="12">
        <f>IF(V44="","",V44)</f>
        <v>0</v>
      </c>
      <c r="X44" s="11">
        <f>IF(X$3=0,"",SUMIFS(INDEX(Inputs!$D$4:$AG$250,0,MATCH(X$2,Inputs!$D$2:$AG$2,0)),Inputs!$B$4:$B$250,$B44)/1000)</f>
        <v>0</v>
      </c>
      <c r="Y44" s="11">
        <f>IF(Y$3=0,"",SUMIFS(INDEX(Inputs!$D$4:$AG$250,0,MATCH(Y$2,Inputs!$D$2:$AG$2,0)),Inputs!$B$4:$B$250,$B44)/1000)</f>
        <v>0</v>
      </c>
      <c r="Z44" s="11">
        <f>IF(Z$3=0,"",SUMIFS(INDEX(Inputs!$D$4:$AG$250,0,MATCH(Z$2,Inputs!$D$2:$AG$2,0)),Inputs!$B$4:$B$250,$B44)/1000)</f>
        <v>0</v>
      </c>
      <c r="AA44" s="11">
        <f>IF(AA$3=0,"",SUMIFS(INDEX(Inputs!$D$4:$AG$250,0,MATCH(AA$2,Inputs!$D$2:$AG$2,0)),Inputs!$B$4:$B$250,$B44)/1000)</f>
        <v>0</v>
      </c>
      <c r="AB44" s="12">
        <f>IF(AA44="","",AA44)</f>
        <v>0</v>
      </c>
      <c r="AC44" s="11">
        <f>IF(AC$3=0,"",SUMIFS(INDEX(Inputs!$D$4:$AG$250,0,MATCH(AC$2,Inputs!$D$2:$AG$2,0)),Inputs!$B$4:$B$250,$B44)/1000)</f>
        <v>0</v>
      </c>
      <c r="AD44" s="11">
        <f>IF(AD$3=0,"",SUMIFS(INDEX(Inputs!$D$4:$AG$250,0,MATCH(AD$2,Inputs!$D$2:$AG$2,0)),Inputs!$B$4:$B$250,$B44)/1000)</f>
        <v>0</v>
      </c>
      <c r="AE44" s="11" t="str">
        <f>IF(AE$3=0,"",SUMIFS(INDEX(Inputs!$D$4:$AG$250,0,MATCH(AE$2,Inputs!$D$2:$AG$2,0)),Inputs!$B$4:$B$250,$B44)/1000)</f>
        <v/>
      </c>
      <c r="AF44" s="11" t="str">
        <f>IF(AF$3=0,"",SUMIFS(INDEX(Inputs!$D$4:$AG$250,0,MATCH(AF$2,Inputs!$D$2:$AG$2,0)),Inputs!$B$4:$B$250,$B44)/1000)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IF(D$3=0,"",SUMIFS(INDEX(Inputs!$D$4:$AG$250,0,MATCH(D$2,Inputs!$D$2:$AG$2,0)),Inputs!$B$4:$B$250,$B45)/1000)</f>
        <v>103.694</v>
      </c>
      <c r="E45" s="11">
        <f>IF(E$3=0,"",SUMIFS(INDEX(Inputs!$D$4:$AG$250,0,MATCH(E$2,Inputs!$D$2:$AG$2,0)),Inputs!$B$4:$B$250,$B45)/1000)</f>
        <v>51.922</v>
      </c>
      <c r="F45" s="11">
        <f>IF(F$3=0,"",SUMIFS(INDEX(Inputs!$D$4:$AG$250,0,MATCH(F$2,Inputs!$D$2:$AG$2,0)),Inputs!$B$4:$B$250,$B45)/1000)</f>
        <v>62.016</v>
      </c>
      <c r="G45" s="11">
        <f>IF(G$3=0,"",SUMIFS(INDEX(Inputs!$D$4:$AG$250,0,MATCH(G$2,Inputs!$D$2:$AG$2,0)),Inputs!$B$4:$B$250,$B45)/1000)</f>
        <v>70.865</v>
      </c>
      <c r="H45" s="12">
        <f>IF(G45="","",G45)</f>
        <v>70.865</v>
      </c>
      <c r="I45" s="11">
        <f>IF(I$3=0,"",SUMIFS(INDEX(Inputs!$D$4:$AG$250,0,MATCH(I$2,Inputs!$D$2:$AG$2,0)),Inputs!$B$4:$B$250,$B45)/1000)</f>
        <v>35.501</v>
      </c>
      <c r="J45" s="11">
        <f>IF(J$3=0,"",SUMIFS(INDEX(Inputs!$D$4:$AG$250,0,MATCH(J$2,Inputs!$D$2:$AG$2,0)),Inputs!$B$4:$B$250,$B45)/1000)</f>
        <v>54.159</v>
      </c>
      <c r="K45" s="11">
        <f>IF(K$3=0,"",SUMIFS(INDEX(Inputs!$D$4:$AG$250,0,MATCH(K$2,Inputs!$D$2:$AG$2,0)),Inputs!$B$4:$B$250,$B45)/1000)</f>
        <v>45.86</v>
      </c>
      <c r="L45" s="11">
        <f>IF(L$3=0,"",SUMIFS(INDEX(Inputs!$D$4:$AG$250,0,MATCH(L$2,Inputs!$D$2:$AG$2,0)),Inputs!$B$4:$B$250,$B45)/1000)</f>
        <v>45.492</v>
      </c>
      <c r="M45" s="12">
        <f>IF(L45="","",L45)</f>
        <v>45.492</v>
      </c>
      <c r="N45" s="11">
        <f>IF(N$3=0,"",SUMIFS(INDEX(Inputs!$D$4:$AG$250,0,MATCH(N$2,Inputs!$D$2:$AG$2,0)),Inputs!$B$4:$B$250,$B45)/1000)</f>
        <v>39.811</v>
      </c>
      <c r="O45" s="11">
        <f>IF(O$3=0,"",SUMIFS(INDEX(Inputs!$D$4:$AG$250,0,MATCH(O$2,Inputs!$D$2:$AG$2,0)),Inputs!$B$4:$B$250,$B45)/1000)</f>
        <v>48.546</v>
      </c>
      <c r="P45" s="11">
        <f>IF(P$3=0,"",SUMIFS(INDEX(Inputs!$D$4:$AG$250,0,MATCH(P$2,Inputs!$D$2:$AG$2,0)),Inputs!$B$4:$B$250,$B45)/1000)</f>
        <v>62.164</v>
      </c>
      <c r="Q45" s="11">
        <f>IF(Q$3=0,"",SUMIFS(INDEX(Inputs!$D$4:$AG$250,0,MATCH(Q$2,Inputs!$D$2:$AG$2,0)),Inputs!$B$4:$B$250,$B45)/1000)</f>
        <v>45.937</v>
      </c>
      <c r="R45" s="12">
        <f>IF(Q45="","",Q45)</f>
        <v>45.937</v>
      </c>
      <c r="S45" s="11">
        <f>IF(S$3=0,"",SUMIFS(INDEX(Inputs!$D$4:$AG$250,0,MATCH(S$2,Inputs!$D$2:$AG$2,0)),Inputs!$B$4:$B$250,$B45)/1000)</f>
        <v>57.65</v>
      </c>
      <c r="T45" s="11">
        <f>IF(T$3=0,"",SUMIFS(INDEX(Inputs!$D$4:$AG$250,0,MATCH(T$2,Inputs!$D$2:$AG$2,0)),Inputs!$B$4:$B$250,$B45)/1000)</f>
        <v>79.027</v>
      </c>
      <c r="U45" s="11">
        <f>IF(U$3=0,"",SUMIFS(INDEX(Inputs!$D$4:$AG$250,0,MATCH(U$2,Inputs!$D$2:$AG$2,0)),Inputs!$B$4:$B$250,$B45)/1000)</f>
        <v>72.596</v>
      </c>
      <c r="V45" s="11">
        <f>IF(V$3=0,"",SUMIFS(INDEX(Inputs!$D$4:$AG$250,0,MATCH(V$2,Inputs!$D$2:$AG$2,0)),Inputs!$B$4:$B$250,$B45)/1000)</f>
        <v>104.372</v>
      </c>
      <c r="W45" s="12">
        <f>IF(V45="","",V45)</f>
        <v>104.372</v>
      </c>
      <c r="X45" s="11">
        <f>IF(X$3=0,"",SUMIFS(INDEX(Inputs!$D$4:$AG$250,0,MATCH(X$2,Inputs!$D$2:$AG$2,0)),Inputs!$B$4:$B$250,$B45)/1000)</f>
        <v>84.44</v>
      </c>
      <c r="Y45" s="11">
        <f>IF(Y$3=0,"",SUMIFS(INDEX(Inputs!$D$4:$AG$250,0,MATCH(Y$2,Inputs!$D$2:$AG$2,0)),Inputs!$B$4:$B$250,$B45)/1000)</f>
        <v>-50.354</v>
      </c>
      <c r="Z45" s="11">
        <f>IF(Z$3=0,"",SUMIFS(INDEX(Inputs!$D$4:$AG$250,0,MATCH(Z$2,Inputs!$D$2:$AG$2,0)),Inputs!$B$4:$B$250,$B45)/1000)</f>
        <v>85.109</v>
      </c>
      <c r="AA45" s="11">
        <f>IF(AA$3=0,"",SUMIFS(INDEX(Inputs!$D$4:$AG$250,0,MATCH(AA$2,Inputs!$D$2:$AG$2,0)),Inputs!$B$4:$B$250,$B45)/1000)</f>
        <v>174.494</v>
      </c>
      <c r="AB45" s="12">
        <f>IF(AA45="","",AA45)</f>
        <v>174.494</v>
      </c>
      <c r="AC45" s="11">
        <f>IF(AC$3=0,"",SUMIFS(INDEX(Inputs!$D$4:$AG$250,0,MATCH(AC$2,Inputs!$D$2:$AG$2,0)),Inputs!$B$4:$B$250,$B45)/1000)</f>
        <v>99.329</v>
      </c>
      <c r="AD45" s="11">
        <f>IF(AD$3=0,"",SUMIFS(INDEX(Inputs!$D$4:$AG$250,0,MATCH(AD$2,Inputs!$D$2:$AG$2,0)),Inputs!$B$4:$B$250,$B45)/1000)</f>
        <v>115.567</v>
      </c>
      <c r="AE45" s="11" t="str">
        <f>IF(AE$3=0,"",SUMIFS(INDEX(Inputs!$D$4:$AG$250,0,MATCH(AE$2,Inputs!$D$2:$AG$2,0)),Inputs!$B$4:$B$250,$B45)/1000)</f>
        <v/>
      </c>
      <c r="AF45" s="11" t="str">
        <f>IF(AF$3=0,"",SUMIFS(INDEX(Inputs!$D$4:$AG$250,0,MATCH(AF$2,Inputs!$D$2:$AG$2,0)),Inputs!$B$4:$B$250,$B45)/1000)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IF(D$3=0,"",SUMIFS(INDEX(Inputs!$D$4:$AG$250,0,MATCH(D$2,Inputs!$D$2:$AG$2,0)),Inputs!$B$4:$B$250,$B46)/1000)</f>
        <v>2727.377</v>
      </c>
      <c r="E46" s="11">
        <f>IF(E$3=0,"",SUMIFS(INDEX(Inputs!$D$4:$AG$250,0,MATCH(E$2,Inputs!$D$2:$AG$2,0)),Inputs!$B$4:$B$250,$B46)/1000)</f>
        <v>2727.377</v>
      </c>
      <c r="F46" s="11">
        <f>IF(F$3=0,"",SUMIFS(INDEX(Inputs!$D$4:$AG$250,0,MATCH(F$2,Inputs!$D$2:$AG$2,0)),Inputs!$B$4:$B$250,$B46)/1000)</f>
        <v>2727.377</v>
      </c>
      <c r="G46" s="11">
        <f>IF(G$3=0,"",SUMIFS(INDEX(Inputs!$D$4:$AG$250,0,MATCH(G$2,Inputs!$D$2:$AG$2,0)),Inputs!$B$4:$B$250,$B46)/1000)</f>
        <v>2727.377</v>
      </c>
      <c r="H46" s="12">
        <f>IF(G46="","",G46)</f>
        <v>2727.377</v>
      </c>
      <c r="I46" s="11">
        <f>IF(I$3=0,"",SUMIFS(INDEX(Inputs!$D$4:$AG$250,0,MATCH(I$2,Inputs!$D$2:$AG$2,0)),Inputs!$B$4:$B$250,$B46)/1000)</f>
        <v>3482.342</v>
      </c>
      <c r="J46" s="11">
        <f>IF(J$3=0,"",SUMIFS(INDEX(Inputs!$D$4:$AG$250,0,MATCH(J$2,Inputs!$D$2:$AG$2,0)),Inputs!$B$4:$B$250,$B46)/1000)</f>
        <v>3482.342</v>
      </c>
      <c r="K46" s="11">
        <f>IF(K$3=0,"",SUMIFS(INDEX(Inputs!$D$4:$AG$250,0,MATCH(K$2,Inputs!$D$2:$AG$2,0)),Inputs!$B$4:$B$250,$B46)/1000)</f>
        <v>3482.342</v>
      </c>
      <c r="L46" s="11">
        <f>IF(L$3=0,"",SUMIFS(INDEX(Inputs!$D$4:$AG$250,0,MATCH(L$2,Inputs!$D$2:$AG$2,0)),Inputs!$B$4:$B$250,$B46)/1000)</f>
        <v>3978.834</v>
      </c>
      <c r="M46" s="12">
        <f>IF(L46="","",L46)</f>
        <v>3978.834</v>
      </c>
      <c r="N46" s="11">
        <f>IF(N$3=0,"",SUMIFS(INDEX(Inputs!$D$4:$AG$250,0,MATCH(N$2,Inputs!$D$2:$AG$2,0)),Inputs!$B$4:$B$250,$B46)/1000)</f>
        <v>3978.834</v>
      </c>
      <c r="O46" s="11">
        <f>IF(O$3=0,"",SUMIFS(INDEX(Inputs!$D$4:$AG$250,0,MATCH(O$2,Inputs!$D$2:$AG$2,0)),Inputs!$B$4:$B$250,$B46)/1000)</f>
        <v>3650.047</v>
      </c>
      <c r="P46" s="11">
        <f>IF(P$3=0,"",SUMIFS(INDEX(Inputs!$D$4:$AG$250,0,MATCH(P$2,Inputs!$D$2:$AG$2,0)),Inputs!$B$4:$B$250,$B46)/1000)</f>
        <v>3650.047</v>
      </c>
      <c r="Q46" s="11">
        <f>IF(Q$3=0,"",SUMIFS(INDEX(Inputs!$D$4:$AG$250,0,MATCH(Q$2,Inputs!$D$2:$AG$2,0)),Inputs!$B$4:$B$250,$B46)/1000)</f>
        <v>3996.686</v>
      </c>
      <c r="R46" s="12">
        <f>IF(Q46="","",Q46)</f>
        <v>3996.686</v>
      </c>
      <c r="S46" s="11">
        <f>IF(S$3=0,"",SUMIFS(INDEX(Inputs!$D$4:$AG$250,0,MATCH(S$2,Inputs!$D$2:$AG$2,0)),Inputs!$B$4:$B$250,$B46)/1000)</f>
        <v>3996.686</v>
      </c>
      <c r="T46" s="11">
        <f>IF(T$3=0,"",SUMIFS(INDEX(Inputs!$D$4:$AG$250,0,MATCH(T$2,Inputs!$D$2:$AG$2,0)),Inputs!$B$4:$B$250,$B46)/1000)</f>
        <v>3633.902</v>
      </c>
      <c r="U46" s="11">
        <f>IF(U$3=0,"",SUMIFS(INDEX(Inputs!$D$4:$AG$250,0,MATCH(U$2,Inputs!$D$2:$AG$2,0)),Inputs!$B$4:$B$250,$B46)/1000)</f>
        <v>3633.902</v>
      </c>
      <c r="V46" s="11">
        <f>IF(V$3=0,"",SUMIFS(INDEX(Inputs!$D$4:$AG$250,0,MATCH(V$2,Inputs!$D$2:$AG$2,0)),Inputs!$B$4:$B$250,$B46)/1000)</f>
        <v>4460.056</v>
      </c>
      <c r="W46" s="12">
        <f>IF(V46="","",V46)</f>
        <v>4460.056</v>
      </c>
      <c r="X46" s="11">
        <f>IF(X$3=0,"",SUMIFS(INDEX(Inputs!$D$4:$AG$250,0,MATCH(X$2,Inputs!$D$2:$AG$2,0)),Inputs!$B$4:$B$250,$B46)/1000)</f>
        <v>4460.056</v>
      </c>
      <c r="Y46" s="11">
        <f>IF(Y$3=0,"",SUMIFS(INDEX(Inputs!$D$4:$AG$250,0,MATCH(Y$2,Inputs!$D$2:$AG$2,0)),Inputs!$B$4:$B$250,$B46)/1000)</f>
        <v>4094.715</v>
      </c>
      <c r="Z46" s="11">
        <f>IF(Z$3=0,"",SUMIFS(INDEX(Inputs!$D$4:$AG$250,0,MATCH(Z$2,Inputs!$D$2:$AG$2,0)),Inputs!$B$4:$B$250,$B46)/1000)</f>
        <v>4094.715</v>
      </c>
      <c r="AA46" s="11">
        <f>IF(AA$3=0,"",SUMIFS(INDEX(Inputs!$D$4:$AG$250,0,MATCH(AA$2,Inputs!$D$2:$AG$2,0)),Inputs!$B$4:$B$250,$B46)/1000)</f>
        <v>4964.166</v>
      </c>
      <c r="AB46" s="12">
        <f>IF(AA46="","",AA46)</f>
        <v>4964.166</v>
      </c>
      <c r="AC46" s="11">
        <f>IF(AC$3=0,"",SUMIFS(INDEX(Inputs!$D$4:$AG$250,0,MATCH(AC$2,Inputs!$D$2:$AG$2,0)),Inputs!$B$4:$B$250,$B46)/1000)</f>
        <v>4964.166</v>
      </c>
      <c r="AD46" s="11">
        <f>IF(AD$3=0,"",SUMIFS(INDEX(Inputs!$D$4:$AG$250,0,MATCH(AD$2,Inputs!$D$2:$AG$2,0)),Inputs!$B$4:$B$250,$B46)/1000)</f>
        <v>4954.277</v>
      </c>
      <c r="AE46" s="11" t="str">
        <f>IF(AE$3=0,"",SUMIFS(INDEX(Inputs!$D$4:$AG$250,0,MATCH(AE$2,Inputs!$D$2:$AG$2,0)),Inputs!$B$4:$B$250,$B46)/1000)</f>
        <v/>
      </c>
      <c r="AF46" s="11" t="str">
        <f>IF(AF$3=0,"",SUMIFS(INDEX(Inputs!$D$4:$AG$250,0,MATCH(AF$2,Inputs!$D$2:$AG$2,0)),Inputs!$B$4:$B$250,$B46)/1000)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IF(D$3=0,"",SUMIFS(INDEX(Inputs!$D$4:$AG$250,0,MATCH(D$2,Inputs!$D$2:$AG$2,0)),Inputs!$B$4:$B$250,$B47)/1000)</f>
        <v>323.416</v>
      </c>
      <c r="E47" s="11">
        <f>IF(E$3=0,"",SUMIFS(INDEX(Inputs!$D$4:$AG$250,0,MATCH(E$2,Inputs!$D$2:$AG$2,0)),Inputs!$B$4:$B$250,$B47)/1000)</f>
        <v>655.761</v>
      </c>
      <c r="F47" s="11">
        <f>IF(F$3=0,"",SUMIFS(INDEX(Inputs!$D$4:$AG$250,0,MATCH(F$2,Inputs!$D$2:$AG$2,0)),Inputs!$B$4:$B$250,$B47)/1000)</f>
        <v>896.077</v>
      </c>
      <c r="G47" s="11">
        <f>IF(G$3=0,"",SUMIFS(INDEX(Inputs!$D$4:$AG$250,0,MATCH(G$2,Inputs!$D$2:$AG$2,0)),Inputs!$B$4:$B$250,$B47)/1000)</f>
        <v>1115.401</v>
      </c>
      <c r="H47" s="12">
        <f>IF(G47="","",G47)</f>
        <v>1115.401</v>
      </c>
      <c r="I47" s="11">
        <f>IF(I$3=0,"",SUMIFS(INDEX(Inputs!$D$4:$AG$250,0,MATCH(I$2,Inputs!$D$2:$AG$2,0)),Inputs!$B$4:$B$250,$B47)/1000)</f>
        <v>430.979</v>
      </c>
      <c r="J47" s="11">
        <f>IF(J$3=0,"",SUMIFS(INDEX(Inputs!$D$4:$AG$250,0,MATCH(J$2,Inputs!$D$2:$AG$2,0)),Inputs!$B$4:$B$250,$B47)/1000)</f>
        <v>610.987</v>
      </c>
      <c r="K47" s="11">
        <f>IF(K$3=0,"",SUMIFS(INDEX(Inputs!$D$4:$AG$250,0,MATCH(K$2,Inputs!$D$2:$AG$2,0)),Inputs!$B$4:$B$250,$B47)/1000)</f>
        <v>726.663</v>
      </c>
      <c r="L47" s="11">
        <f>IF(L$3=0,"",SUMIFS(INDEX(Inputs!$D$4:$AG$250,0,MATCH(L$2,Inputs!$D$2:$AG$2,0)),Inputs!$B$4:$B$250,$B47)/1000)</f>
        <v>0</v>
      </c>
      <c r="M47" s="12">
        <f>IF(L47="","",L47)</f>
        <v>0</v>
      </c>
      <c r="N47" s="11">
        <f>IF(N$3=0,"",SUMIFS(INDEX(Inputs!$D$4:$AG$250,0,MATCH(N$2,Inputs!$D$2:$AG$2,0)),Inputs!$B$4:$B$250,$B47)/1000)</f>
        <v>230.71</v>
      </c>
      <c r="O47" s="11">
        <f>IF(O$3=0,"",SUMIFS(INDEX(Inputs!$D$4:$AG$250,0,MATCH(O$2,Inputs!$D$2:$AG$2,0)),Inputs!$B$4:$B$250,$B47)/1000)</f>
        <v>452.896</v>
      </c>
      <c r="P47" s="11">
        <f>IF(P$3=0,"",SUMIFS(INDEX(Inputs!$D$4:$AG$250,0,MATCH(P$2,Inputs!$D$2:$AG$2,0)),Inputs!$B$4:$B$250,$B47)/1000)</f>
        <v>516.33</v>
      </c>
      <c r="Q47" s="11">
        <f>IF(Q$3=0,"",SUMIFS(INDEX(Inputs!$D$4:$AG$250,0,MATCH(Q$2,Inputs!$D$2:$AG$2,0)),Inputs!$B$4:$B$250,$B47)/1000)</f>
        <v>0</v>
      </c>
      <c r="R47" s="12">
        <f>IF(Q47="","",Q47)</f>
        <v>0</v>
      </c>
      <c r="S47" s="11">
        <f>IF(S$3=0,"",SUMIFS(INDEX(Inputs!$D$4:$AG$250,0,MATCH(S$2,Inputs!$D$2:$AG$2,0)),Inputs!$B$4:$B$250,$B47)/1000)</f>
        <v>254.944</v>
      </c>
      <c r="T47" s="11">
        <f>IF(T$3=0,"",SUMIFS(INDEX(Inputs!$D$4:$AG$250,0,MATCH(T$2,Inputs!$D$2:$AG$2,0)),Inputs!$B$4:$B$250,$B47)/1000)</f>
        <v>425.455</v>
      </c>
      <c r="U47" s="11">
        <f>IF(U$3=0,"",SUMIFS(INDEX(Inputs!$D$4:$AG$250,0,MATCH(U$2,Inputs!$D$2:$AG$2,0)),Inputs!$B$4:$B$250,$B47)/1000)</f>
        <v>732.158</v>
      </c>
      <c r="V47" s="11">
        <f>IF(V$3=0,"",SUMIFS(INDEX(Inputs!$D$4:$AG$250,0,MATCH(V$2,Inputs!$D$2:$AG$2,0)),Inputs!$B$4:$B$250,$B47)/1000)</f>
        <v>0</v>
      </c>
      <c r="W47" s="12">
        <f>IF(V47="","",V47)</f>
        <v>0</v>
      </c>
      <c r="X47" s="11">
        <f>IF(X$3=0,"",SUMIFS(INDEX(Inputs!$D$4:$AG$250,0,MATCH(X$2,Inputs!$D$2:$AG$2,0)),Inputs!$B$4:$B$250,$B47)/1000)</f>
        <v>298.777</v>
      </c>
      <c r="Y47" s="11">
        <f>IF(Y$3=0,"",SUMIFS(INDEX(Inputs!$D$4:$AG$250,0,MATCH(Y$2,Inputs!$D$2:$AG$2,0)),Inputs!$B$4:$B$250,$B47)/1000)</f>
        <v>374.422</v>
      </c>
      <c r="Z47" s="11">
        <f>IF(Z$3=0,"",SUMIFS(INDEX(Inputs!$D$4:$AG$250,0,MATCH(Z$2,Inputs!$D$2:$AG$2,0)),Inputs!$B$4:$B$250,$B47)/1000)</f>
        <v>794.591</v>
      </c>
      <c r="AA47" s="11">
        <f>IF(AA$3=0,"",SUMIFS(INDEX(Inputs!$D$4:$AG$250,0,MATCH(AA$2,Inputs!$D$2:$AG$2,0)),Inputs!$B$4:$B$250,$B47)/1000)</f>
        <v>0</v>
      </c>
      <c r="AB47" s="12">
        <f>IF(AA47="","",AA47)</f>
        <v>0</v>
      </c>
      <c r="AC47" s="11">
        <f>IF(AC$3=0,"",SUMIFS(INDEX(Inputs!$D$4:$AG$250,0,MATCH(AC$2,Inputs!$D$2:$AG$2,0)),Inputs!$B$4:$B$250,$B47)/1000)</f>
        <v>198.067</v>
      </c>
      <c r="AD47" s="11">
        <f>IF(AD$3=0,"",SUMIFS(INDEX(Inputs!$D$4:$AG$250,0,MATCH(AD$2,Inputs!$D$2:$AG$2,0)),Inputs!$B$4:$B$250,$B47)/1000)</f>
        <v>545.471</v>
      </c>
      <c r="AE47" s="11" t="str">
        <f>IF(AE$3=0,"",SUMIFS(INDEX(Inputs!$D$4:$AG$250,0,MATCH(AE$2,Inputs!$D$2:$AG$2,0)),Inputs!$B$4:$B$250,$B47)/1000)</f>
        <v/>
      </c>
      <c r="AF47" s="11" t="str">
        <f>IF(AF$3=0,"",SUMIFS(INDEX(Inputs!$D$4:$AG$250,0,MATCH(AF$2,Inputs!$D$2:$AG$2,0)),Inputs!$B$4:$B$250,$B47)/1000)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IF(SUMPRODUCT((Inputs!$B$4:$B$250=$B50)*ISNUMBER(INDEX(Inputs!$D$4:$AG$250,0,MATCH(D$2,Inputs!$D$2:$AG$2,0))))=0,"",SUMIFS(INDEX(Inputs!$D$4:$AG$250,0,MATCH(D$2,Inputs!$D$2:$AG$2,0)),Inputs!$B$4:$B$250,$B50)/1000)</f>
        <v>323.416</v>
      </c>
      <c r="E50" s="11">
        <f>IF(SUMPRODUCT((Inputs!$B$4:$B$250=$B50)*ISNUMBER(INDEX(Inputs!$D$4:$AG$250,0,MATCH(E$2,Inputs!$D$2:$AG$2,0))))=0,"",SUMIFS(INDEX(Inputs!$D$4:$AG$250,0,MATCH(E$2,Inputs!$D$2:$AG$2,0)),Inputs!$B$4:$B$250,$B50)/1000)</f>
        <v>332.345</v>
      </c>
      <c r="F50" s="11">
        <f>IF(SUMPRODUCT((Inputs!$B$4:$B$250=$B50)*ISNUMBER(INDEX(Inputs!$D$4:$AG$250,0,MATCH(F$2,Inputs!$D$2:$AG$2,0))))=0,"",SUMIFS(INDEX(Inputs!$D$4:$AG$250,0,MATCH(F$2,Inputs!$D$2:$AG$2,0)),Inputs!$B$4:$B$250,$B50)/1000)</f>
        <v>240.316</v>
      </c>
      <c r="G50" s="11">
        <f>IF(SUMPRODUCT((Inputs!$B$4:$B$250=$B50)*ISNUMBER(INDEX(Inputs!$D$4:$AG$250,0,MATCH(G$2,Inputs!$D$2:$AG$2,0))))=0,"",SUMIFS(INDEX(Inputs!$D$4:$AG$250,0,MATCH(G$2,Inputs!$D$2:$AG$2,0)),Inputs!$B$4:$B$250,$B50)/1000)</f>
        <v>219.324</v>
      </c>
      <c r="H50" s="12">
        <f>IF(COUNT(D50:G50)=4,SUM(D50:G50),"")</f>
        <v>1115.401</v>
      </c>
      <c r="I50" s="11">
        <f>IF(SUMPRODUCT((Inputs!$B$4:$B$250=$B50)*ISNUMBER(INDEX(Inputs!$D$4:$AG$250,0,MATCH(I$2,Inputs!$D$2:$AG$2,0))))=0,"",SUMIFS(INDEX(Inputs!$D$4:$AG$250,0,MATCH(I$2,Inputs!$D$2:$AG$2,0)),Inputs!$B$4:$B$250,$B50)/1000)</f>
        <v>430.979</v>
      </c>
      <c r="J50" s="11">
        <f>IF(SUMPRODUCT((Inputs!$B$4:$B$250=$B50)*ISNUMBER(INDEX(Inputs!$D$4:$AG$250,0,MATCH(J$2,Inputs!$D$2:$AG$2,0))))=0,"",SUMIFS(INDEX(Inputs!$D$4:$AG$250,0,MATCH(J$2,Inputs!$D$2:$AG$2,0)),Inputs!$B$4:$B$250,$B50)/1000)</f>
        <v>180.008</v>
      </c>
      <c r="K50" s="11">
        <f>IF(SUMPRODUCT((Inputs!$B$4:$B$250=$B50)*ISNUMBER(INDEX(Inputs!$D$4:$AG$250,0,MATCH(K$2,Inputs!$D$2:$AG$2,0))))=0,"",SUMIFS(INDEX(Inputs!$D$4:$AG$250,0,MATCH(K$2,Inputs!$D$2:$AG$2,0)),Inputs!$B$4:$B$250,$B50)/1000)</f>
        <v>115.676</v>
      </c>
      <c r="L50" s="11">
        <f>IF(SUMPRODUCT((Inputs!$B$4:$B$250=$B50)*ISNUMBER(INDEX(Inputs!$D$4:$AG$250,0,MATCH(L$2,Inputs!$D$2:$AG$2,0))))=0,"",SUMIFS(INDEX(Inputs!$D$4:$AG$250,0,MATCH(L$2,Inputs!$D$2:$AG$2,0)),Inputs!$B$4:$B$250,$B50)/1000)</f>
        <v>191.803</v>
      </c>
      <c r="M50" s="12">
        <f>IF(COUNT(I50:L50)=4,SUM(I50:L50),"")</f>
        <v>918.466</v>
      </c>
      <c r="N50" s="11">
        <f>IF(SUMPRODUCT((Inputs!$B$4:$B$250=$B50)*ISNUMBER(INDEX(Inputs!$D$4:$AG$250,0,MATCH(N$2,Inputs!$D$2:$AG$2,0))))=0,"",SUMIFS(INDEX(Inputs!$D$4:$AG$250,0,MATCH(N$2,Inputs!$D$2:$AG$2,0)),Inputs!$B$4:$B$250,$B50)/1000)</f>
        <v>230.71</v>
      </c>
      <c r="O50" s="11">
        <f>IF(SUMPRODUCT((Inputs!$B$4:$B$250=$B50)*ISNUMBER(INDEX(Inputs!$D$4:$AG$250,0,MATCH(O$2,Inputs!$D$2:$AG$2,0))))=0,"",SUMIFS(INDEX(Inputs!$D$4:$AG$250,0,MATCH(O$2,Inputs!$D$2:$AG$2,0)),Inputs!$B$4:$B$250,$B50)/1000)</f>
        <v>222.186</v>
      </c>
      <c r="P50" s="11">
        <f>IF(SUMPRODUCT((Inputs!$B$4:$B$250=$B50)*ISNUMBER(INDEX(Inputs!$D$4:$AG$250,0,MATCH(P$2,Inputs!$D$2:$AG$2,0))))=0,"",SUMIFS(INDEX(Inputs!$D$4:$AG$250,0,MATCH(P$2,Inputs!$D$2:$AG$2,0)),Inputs!$B$4:$B$250,$B50)/1000)</f>
        <v>100.005</v>
      </c>
      <c r="Q50" s="11">
        <f>IF(SUMPRODUCT((Inputs!$B$4:$B$250=$B50)*ISNUMBER(INDEX(Inputs!$D$4:$AG$250,0,MATCH(Q$2,Inputs!$D$2:$AG$2,0))))=0,"",SUMIFS(INDEX(Inputs!$D$4:$AG$250,0,MATCH(Q$2,Inputs!$D$2:$AG$2,0)),Inputs!$B$4:$B$250,$B50)/1000)</f>
        <v>141.162</v>
      </c>
      <c r="R50" s="12">
        <f>IF(COUNT(N50:Q50)=4,SUM(N50:Q50),"")</f>
        <v>694.063</v>
      </c>
      <c r="S50" s="11">
        <f>IF(SUMPRODUCT((Inputs!$B$4:$B$250=$B50)*ISNUMBER(INDEX(Inputs!$D$4:$AG$250,0,MATCH(S$2,Inputs!$D$2:$AG$2,0))))=0,"",SUMIFS(INDEX(Inputs!$D$4:$AG$250,0,MATCH(S$2,Inputs!$D$2:$AG$2,0)),Inputs!$B$4:$B$250,$B50)/1000)</f>
        <v>254.944</v>
      </c>
      <c r="T50" s="11">
        <f>IF(SUMPRODUCT((Inputs!$B$4:$B$250=$B50)*ISNUMBER(INDEX(Inputs!$D$4:$AG$250,0,MATCH(T$2,Inputs!$D$2:$AG$2,0))))=0,"",SUMIFS(INDEX(Inputs!$D$4:$AG$250,0,MATCH(T$2,Inputs!$D$2:$AG$2,0)),Inputs!$B$4:$B$250,$B50)/1000)</f>
        <v>237.07</v>
      </c>
      <c r="U50" s="11">
        <f>IF(SUMPRODUCT((Inputs!$B$4:$B$250=$B50)*ISNUMBER(INDEX(Inputs!$D$4:$AG$250,0,MATCH(U$2,Inputs!$D$2:$AG$2,0))))=0,"",SUMIFS(INDEX(Inputs!$D$4:$AG$250,0,MATCH(U$2,Inputs!$D$2:$AG$2,0)),Inputs!$B$4:$B$250,$B50)/1000)</f>
        <v>363.754</v>
      </c>
      <c r="V50" s="11">
        <f>IF(SUMPRODUCT((Inputs!$B$4:$B$250=$B50)*ISNUMBER(INDEX(Inputs!$D$4:$AG$250,0,MATCH(V$2,Inputs!$D$2:$AG$2,0))))=0,"",SUMIFS(INDEX(Inputs!$D$4:$AG$250,0,MATCH(V$2,Inputs!$D$2:$AG$2,0)),Inputs!$B$4:$B$250,$B50)/1000)</f>
        <v>230.322</v>
      </c>
      <c r="W50" s="12">
        <f>IF(COUNT(S50:V50)=4,SUM(S50:V50),"")</f>
        <v>1086.09</v>
      </c>
      <c r="X50" s="11">
        <f>IF(SUMPRODUCT((Inputs!$B$4:$B$250=$B50)*ISNUMBER(INDEX(Inputs!$D$4:$AG$250,0,MATCH(X$2,Inputs!$D$2:$AG$2,0))))=0,"",SUMIFS(INDEX(Inputs!$D$4:$AG$250,0,MATCH(X$2,Inputs!$D$2:$AG$2,0)),Inputs!$B$4:$B$250,$B50)/1000)</f>
        <v>298.777</v>
      </c>
      <c r="Y50" s="11">
        <f>IF(SUMPRODUCT((Inputs!$B$4:$B$250=$B50)*ISNUMBER(INDEX(Inputs!$D$4:$AG$250,0,MATCH(Y$2,Inputs!$D$2:$AG$2,0))))=0,"",SUMIFS(INDEX(Inputs!$D$4:$AG$250,0,MATCH(Y$2,Inputs!$D$2:$AG$2,0)),Inputs!$B$4:$B$250,$B50)/1000)</f>
        <v>144.867</v>
      </c>
      <c r="Z50" s="11">
        <f>IF(SUMPRODUCT((Inputs!$B$4:$B$250=$B50)*ISNUMBER(INDEX(Inputs!$D$4:$AG$250,0,MATCH(Z$2,Inputs!$D$2:$AG$2,0))))=0,"",SUMIFS(INDEX(Inputs!$D$4:$AG$250,0,MATCH(Z$2,Inputs!$D$2:$AG$2,0)),Inputs!$B$4:$B$250,$B50)/1000)</f>
        <v>489.39</v>
      </c>
      <c r="AA50" s="11">
        <f>IF(SUMPRODUCT((Inputs!$B$4:$B$250=$B50)*ISNUMBER(INDEX(Inputs!$D$4:$AG$250,0,MATCH(AA$2,Inputs!$D$2:$AG$2,0))))=0,"",SUMIFS(INDEX(Inputs!$D$4:$AG$250,0,MATCH(AA$2,Inputs!$D$2:$AG$2,0)),Inputs!$B$4:$B$250,$B50)/1000)</f>
        <v>282.525</v>
      </c>
      <c r="AB50" s="12">
        <f>IF(COUNT(X50:AA50)=4,SUM(X50:AA50),"")</f>
        <v>1215.559</v>
      </c>
      <c r="AC50" s="11">
        <f>IF(SUMPRODUCT((Inputs!$B$4:$B$250=$B50)*ISNUMBER(INDEX(Inputs!$D$4:$AG$250,0,MATCH(AC$2,Inputs!$D$2:$AG$2,0))))=0,"",SUMIFS(INDEX(Inputs!$D$4:$AG$250,0,MATCH(AC$2,Inputs!$D$2:$AG$2,0)),Inputs!$B$4:$B$250,$B50)/1000)</f>
        <v>198.067</v>
      </c>
      <c r="AD50" s="11">
        <f>IF(SUMPRODUCT((Inputs!$B$4:$B$250=$B50)*ISNUMBER(INDEX(Inputs!$D$4:$AG$250,0,MATCH(AD$2,Inputs!$D$2:$AG$2,0))))=0,"",SUMIFS(INDEX(Inputs!$D$4:$AG$250,0,MATCH(AD$2,Inputs!$D$2:$AG$2,0)),Inputs!$B$4:$B$250,$B50)/1000)</f>
        <v>416.626</v>
      </c>
      <c r="AE50" s="11" t="str">
        <f>IF(SUMPRODUCT((Inputs!$B$4:$B$250=$B50)*ISNUMBER(INDEX(Inputs!$D$4:$AG$250,0,MATCH(AE$2,Inputs!$D$2:$AG$2,0))))=0,"",SUMIFS(INDEX(Inputs!$D$4:$AG$250,0,MATCH(AE$2,Inputs!$D$2:$AG$2,0)),Inputs!$B$4:$B$250,$B50)/1000)</f>
        <v/>
      </c>
      <c r="AF50" s="11" t="str">
        <f>IF(SUMPRODUCT((Inputs!$B$4:$B$250=$B50)*ISNUMBER(INDEX(Inputs!$D$4:$AG$250,0,MATCH(AF$2,Inputs!$D$2:$AG$2,0))))=0,"",SUMIFS(INDEX(Inputs!$D$4:$AG$250,0,MATCH(AF$2,Inputs!$D$2:$AG$2,0)),Inputs!$B$4:$B$250,$B50)/1000)</f>
        <v/>
      </c>
      <c r="AG50" s="12" t="str">
        <f>IF(COUNT(AC50:AF50)=4,SUM(AC50:AF50),"")</f>
        <v/>
      </c>
    </row>
    <row r="52">
      <c r="C52" t="inlineStr">
        <is>
          <t>Receita liquida por segmento e por SPE (memo) - codigos 45+ [Model linhas 361+]</t>
        </is>
      </c>
    </row>
    <row r="53">
      <c r="B53" s="9" t="n">
        <v>45</v>
      </c>
      <c r="C53" s="10" t="inlineStr">
        <is>
          <t>Transmissao - consolidado do segmento | aba "Consolidado - Transmissao" (so a partir do 1T23)</t>
        </is>
      </c>
      <c r="D53" s="11" t="str">
        <f>IF(SUMPRODUCT((Inputs!$B$4:$B$250=$B53)*ISNUMBER(INDEX(Inputs!$D$4:$AG$250,0,MATCH(D$2,Inputs!$D$2:$AG$2,0))))=0,"",SUMIFS(INDEX(Inputs!$D$4:$AG$250,0,MATCH(D$2,Inputs!$D$2:$AG$2,0)),Inputs!$B$4:$B$250,$B53)/1000)</f>
        <v/>
      </c>
      <c r="E53" s="11" t="str">
        <f>IF(SUMPRODUCT((Inputs!$B$4:$B$250=$B53)*ISNUMBER(INDEX(Inputs!$D$4:$AG$250,0,MATCH(E$2,Inputs!$D$2:$AG$2,0))))=0,"",SUMIFS(INDEX(Inputs!$D$4:$AG$250,0,MATCH(E$2,Inputs!$D$2:$AG$2,0)),Inputs!$B$4:$B$250,$B53)/1000)</f>
        <v/>
      </c>
      <c r="F53" s="11" t="str">
        <f>IF(SUMPRODUCT((Inputs!$B$4:$B$250=$B53)*ISNUMBER(INDEX(Inputs!$D$4:$AG$250,0,MATCH(F$2,Inputs!$D$2:$AG$2,0))))=0,"",SUMIFS(INDEX(Inputs!$D$4:$AG$250,0,MATCH(F$2,Inputs!$D$2:$AG$2,0)),Inputs!$B$4:$B$250,$B53)/1000)</f>
        <v/>
      </c>
      <c r="G53" s="11" t="str">
        <f>IF(SUMPRODUCT((Inputs!$B$4:$B$250=$B53)*ISNUMBER(INDEX(Inputs!$D$4:$AG$250,0,MATCH(G$2,Inputs!$D$2:$AG$2,0))))=0,"",SUMIFS(INDEX(Inputs!$D$4:$AG$250,0,MATCH(G$2,Inputs!$D$2:$AG$2,0)),Inputs!$B$4:$B$250,$B53)/1000)</f>
        <v/>
      </c>
      <c r="H53" s="12" t="str">
        <f>IF(COUNT(D53:G53)=4,SUM(D53:G53),"")</f>
        <v/>
      </c>
      <c r="I53" s="11" t="str">
        <f>IF(SUMPRODUCT((Inputs!$B$4:$B$250=$B53)*ISNUMBER(INDEX(Inputs!$D$4:$AG$250,0,MATCH(I$2,Inputs!$D$2:$AG$2,0))))=0,"",SUMIFS(INDEX(Inputs!$D$4:$AG$250,0,MATCH(I$2,Inputs!$D$2:$AG$2,0)),Inputs!$B$4:$B$250,$B53)/1000)</f>
        <v/>
      </c>
      <c r="J53" s="11" t="str">
        <f>IF(SUMPRODUCT((Inputs!$B$4:$B$250=$B53)*ISNUMBER(INDEX(Inputs!$D$4:$AG$250,0,MATCH(J$2,Inputs!$D$2:$AG$2,0))))=0,"",SUMIFS(INDEX(Inputs!$D$4:$AG$250,0,MATCH(J$2,Inputs!$D$2:$AG$2,0)),Inputs!$B$4:$B$250,$B53)/1000)</f>
        <v/>
      </c>
      <c r="K53" s="11" t="str">
        <f>IF(SUMPRODUCT((Inputs!$B$4:$B$250=$B53)*ISNUMBER(INDEX(Inputs!$D$4:$AG$250,0,MATCH(K$2,Inputs!$D$2:$AG$2,0))))=0,"",SUMIFS(INDEX(Inputs!$D$4:$AG$250,0,MATCH(K$2,Inputs!$D$2:$AG$2,0)),Inputs!$B$4:$B$250,$B53)/1000)</f>
        <v/>
      </c>
      <c r="L53" s="11" t="str">
        <f>IF(SUMPRODUCT((Inputs!$B$4:$B$250=$B53)*ISNUMBER(INDEX(Inputs!$D$4:$AG$250,0,MATCH(L$2,Inputs!$D$2:$AG$2,0))))=0,"",SUMIFS(INDEX(Inputs!$D$4:$AG$250,0,MATCH(L$2,Inputs!$D$2:$AG$2,0)),Inputs!$B$4:$B$250,$B53)/1000)</f>
        <v/>
      </c>
      <c r="M53" s="12" t="str">
        <f>IF(COUNT(I53:L53)=4,SUM(I53:L53),"")</f>
        <v/>
      </c>
      <c r="N53" s="11">
        <f>IF(SUMPRODUCT((Inputs!$B$4:$B$250=$B53)*ISNUMBER(INDEX(Inputs!$D$4:$AG$250,0,MATCH(N$2,Inputs!$D$2:$AG$2,0))))=0,"",SUMIFS(INDEX(Inputs!$D$4:$AG$250,0,MATCH(N$2,Inputs!$D$2:$AG$2,0)),Inputs!$B$4:$B$250,$B53)/1000)</f>
        <v>813.298</v>
      </c>
      <c r="O53" s="11">
        <f>IF(SUMPRODUCT((Inputs!$B$4:$B$250=$B53)*ISNUMBER(INDEX(Inputs!$D$4:$AG$250,0,MATCH(O$2,Inputs!$D$2:$AG$2,0))))=0,"",SUMIFS(INDEX(Inputs!$D$4:$AG$250,0,MATCH(O$2,Inputs!$D$2:$AG$2,0)),Inputs!$B$4:$B$250,$B53)/1000)</f>
        <v>601.252</v>
      </c>
      <c r="P53" s="11">
        <f>IF(SUMPRODUCT((Inputs!$B$4:$B$250=$B53)*ISNUMBER(INDEX(Inputs!$D$4:$AG$250,0,MATCH(P$2,Inputs!$D$2:$AG$2,0))))=0,"",SUMIFS(INDEX(Inputs!$D$4:$AG$250,0,MATCH(P$2,Inputs!$D$2:$AG$2,0)),Inputs!$B$4:$B$250,$B53)/1000)</f>
        <v>454.094</v>
      </c>
      <c r="Q53" s="11">
        <f>IF(SUMPRODUCT((Inputs!$B$4:$B$250=$B53)*ISNUMBER(INDEX(Inputs!$D$4:$AG$250,0,MATCH(Q$2,Inputs!$D$2:$AG$2,0))))=0,"",SUMIFS(INDEX(Inputs!$D$4:$AG$250,0,MATCH(Q$2,Inputs!$D$2:$AG$2,0)),Inputs!$B$4:$B$250,$B53)/1000)</f>
        <v>686.745</v>
      </c>
      <c r="R53" s="12">
        <f>IF(COUNT(N53:Q53)=4,SUM(N53:Q53),"")</f>
        <v>2555.389</v>
      </c>
      <c r="S53" s="11">
        <f>IF(SUMPRODUCT((Inputs!$B$4:$B$250=$B53)*ISNUMBER(INDEX(Inputs!$D$4:$AG$250,0,MATCH(S$2,Inputs!$D$2:$AG$2,0))))=0,"",SUMIFS(INDEX(Inputs!$D$4:$AG$250,0,MATCH(S$2,Inputs!$D$2:$AG$2,0)),Inputs!$B$4:$B$250,$B53)/1000)</f>
        <v>811.934</v>
      </c>
      <c r="T53" s="11">
        <f>IF(SUMPRODUCT((Inputs!$B$4:$B$250=$B53)*ISNUMBER(INDEX(Inputs!$D$4:$AG$250,0,MATCH(T$2,Inputs!$D$2:$AG$2,0))))=0,"",SUMIFS(INDEX(Inputs!$D$4:$AG$250,0,MATCH(T$2,Inputs!$D$2:$AG$2,0)),Inputs!$B$4:$B$250,$B53)/1000)</f>
        <v>774.963</v>
      </c>
      <c r="U53" s="11">
        <f>IF(SUMPRODUCT((Inputs!$B$4:$B$250=$B53)*ISNUMBER(INDEX(Inputs!$D$4:$AG$250,0,MATCH(U$2,Inputs!$D$2:$AG$2,0))))=0,"",SUMIFS(INDEX(Inputs!$D$4:$AG$250,0,MATCH(U$2,Inputs!$D$2:$AG$2,0)),Inputs!$B$4:$B$250,$B53)/1000)</f>
        <v>743.02</v>
      </c>
      <c r="V53" s="11">
        <f>IF(SUMPRODUCT((Inputs!$B$4:$B$250=$B53)*ISNUMBER(INDEX(Inputs!$D$4:$AG$250,0,MATCH(V$2,Inputs!$D$2:$AG$2,0))))=0,"",SUMIFS(INDEX(Inputs!$D$4:$AG$250,0,MATCH(V$2,Inputs!$D$2:$AG$2,0)),Inputs!$B$4:$B$250,$B53)/1000)</f>
        <v>890.039</v>
      </c>
      <c r="W53" s="12">
        <f>IF(COUNT(S53:V53)=4,SUM(S53:V53),"")</f>
        <v>3219.956</v>
      </c>
      <c r="X53" s="11">
        <f>IF(SUMPRODUCT((Inputs!$B$4:$B$250=$B53)*ISNUMBER(INDEX(Inputs!$D$4:$AG$250,0,MATCH(X$2,Inputs!$D$2:$AG$2,0))))=0,"",SUMIFS(INDEX(Inputs!$D$4:$AG$250,0,MATCH(X$2,Inputs!$D$2:$AG$2,0)),Inputs!$B$4:$B$250,$B53)/1000)</f>
        <v>1001.038</v>
      </c>
      <c r="Y53" s="11">
        <f>IF(SUMPRODUCT((Inputs!$B$4:$B$250=$B53)*ISNUMBER(INDEX(Inputs!$D$4:$AG$250,0,MATCH(Y$2,Inputs!$D$2:$AG$2,0))))=0,"",SUMIFS(INDEX(Inputs!$D$4:$AG$250,0,MATCH(Y$2,Inputs!$D$2:$AG$2,0)),Inputs!$B$4:$B$250,$B53)/1000)</f>
        <v>828.487</v>
      </c>
      <c r="Z53" s="11">
        <f>IF(SUMPRODUCT((Inputs!$B$4:$B$250=$B53)*ISNUMBER(INDEX(Inputs!$D$4:$AG$250,0,MATCH(Z$2,Inputs!$D$2:$AG$2,0))))=0,"",SUMIFS(INDEX(Inputs!$D$4:$AG$250,0,MATCH(Z$2,Inputs!$D$2:$AG$2,0)),Inputs!$B$4:$B$250,$B53)/1000)</f>
        <v>756.195</v>
      </c>
      <c r="AA53" s="11">
        <f>IF(SUMPRODUCT((Inputs!$B$4:$B$250=$B53)*ISNUMBER(INDEX(Inputs!$D$4:$AG$250,0,MATCH(AA$2,Inputs!$D$2:$AG$2,0))))=0,"",SUMIFS(INDEX(Inputs!$D$4:$AG$250,0,MATCH(AA$2,Inputs!$D$2:$AG$2,0)),Inputs!$B$4:$B$250,$B53)/1000)</f>
        <v>953.586</v>
      </c>
      <c r="AB53" s="12">
        <f>IF(COUNT(X53:AA53)=4,SUM(X53:AA53),"")</f>
        <v>3539.306</v>
      </c>
      <c r="AC53" s="11">
        <f>IF(SUMPRODUCT((Inputs!$B$4:$B$250=$B53)*ISNUMBER(INDEX(Inputs!$D$4:$AG$250,0,MATCH(AC$2,Inputs!$D$2:$AG$2,0))))=0,"",SUMIFS(INDEX(Inputs!$D$4:$AG$250,0,MATCH(AC$2,Inputs!$D$2:$AG$2,0)),Inputs!$B$4:$B$250,$B53)/1000)</f>
        <v>997.764</v>
      </c>
      <c r="AD53" s="11">
        <f>IF(SUMPRODUCT((Inputs!$B$4:$B$250=$B53)*ISNUMBER(INDEX(Inputs!$D$4:$AG$250,0,MATCH(AD$2,Inputs!$D$2:$AG$2,0))))=0,"",SUMIFS(INDEX(Inputs!$D$4:$AG$250,0,MATCH(AD$2,Inputs!$D$2:$AG$2,0)),Inputs!$B$4:$B$250,$B53)/1000)</f>
        <v>1414.665</v>
      </c>
      <c r="AE53" s="11" t="str">
        <f>IF(SUMPRODUCT((Inputs!$B$4:$B$250=$B53)*ISNUMBER(INDEX(Inputs!$D$4:$AG$250,0,MATCH(AE$2,Inputs!$D$2:$AG$2,0))))=0,"",SUMIFS(INDEX(Inputs!$D$4:$AG$250,0,MATCH(AE$2,Inputs!$D$2:$AG$2,0)),Inputs!$B$4:$B$250,$B53)/1000)</f>
        <v/>
      </c>
      <c r="AF53" s="11" t="str">
        <f>IF(SUMPRODUCT((Inputs!$B$4:$B$250=$B53)*ISNUMBER(INDEX(Inputs!$D$4:$AG$250,0,MATCH(AF$2,Inputs!$D$2:$AG$2,0))))=0,"",SUMIFS(INDEX(Inputs!$D$4:$AG$250,0,MATCH(AF$2,Inputs!$D$2:$AG$2,0)),Inputs!$B$4:$B$250,$B53)/1000)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Geracao - consolidado do segmento | aba "Consolidado - Geracao" (so a partir do 1T23)</t>
        </is>
      </c>
      <c r="D54" s="11" t="str">
        <f>IF(SUMPRODUCT((Inputs!$B$4:$B$250=$B54)*ISNUMBER(INDEX(Inputs!$D$4:$AG$250,0,MATCH(D$2,Inputs!$D$2:$AG$2,0))))=0,"",SUMIFS(INDEX(Inputs!$D$4:$AG$250,0,MATCH(D$2,Inputs!$D$2:$AG$2,0)),Inputs!$B$4:$B$250,$B54)/1000)</f>
        <v/>
      </c>
      <c r="E54" s="11" t="str">
        <f>IF(SUMPRODUCT((Inputs!$B$4:$B$250=$B54)*ISNUMBER(INDEX(Inputs!$D$4:$AG$250,0,MATCH(E$2,Inputs!$D$2:$AG$2,0))))=0,"",SUMIFS(INDEX(Inputs!$D$4:$AG$250,0,MATCH(E$2,Inputs!$D$2:$AG$2,0)),Inputs!$B$4:$B$250,$B54)/1000)</f>
        <v/>
      </c>
      <c r="F54" s="11" t="str">
        <f>IF(SUMPRODUCT((Inputs!$B$4:$B$250=$B54)*ISNUMBER(INDEX(Inputs!$D$4:$AG$250,0,MATCH(F$2,Inputs!$D$2:$AG$2,0))))=0,"",SUMIFS(INDEX(Inputs!$D$4:$AG$250,0,MATCH(F$2,Inputs!$D$2:$AG$2,0)),Inputs!$B$4:$B$250,$B54)/1000)</f>
        <v/>
      </c>
      <c r="G54" s="11" t="str">
        <f>IF(SUMPRODUCT((Inputs!$B$4:$B$250=$B54)*ISNUMBER(INDEX(Inputs!$D$4:$AG$250,0,MATCH(G$2,Inputs!$D$2:$AG$2,0))))=0,"",SUMIFS(INDEX(Inputs!$D$4:$AG$250,0,MATCH(G$2,Inputs!$D$2:$AG$2,0)),Inputs!$B$4:$B$250,$B54)/1000)</f>
        <v/>
      </c>
      <c r="H54" s="12" t="str">
        <f>IF(COUNT(D54:G54)=4,SUM(D54:G54),"")</f>
        <v/>
      </c>
      <c r="I54" s="11" t="str">
        <f>IF(SUMPRODUCT((Inputs!$B$4:$B$250=$B54)*ISNUMBER(INDEX(Inputs!$D$4:$AG$250,0,MATCH(I$2,Inputs!$D$2:$AG$2,0))))=0,"",SUMIFS(INDEX(Inputs!$D$4:$AG$250,0,MATCH(I$2,Inputs!$D$2:$AG$2,0)),Inputs!$B$4:$B$250,$B54)/1000)</f>
        <v/>
      </c>
      <c r="J54" s="11" t="str">
        <f>IF(SUMPRODUCT((Inputs!$B$4:$B$250=$B54)*ISNUMBER(INDEX(Inputs!$D$4:$AG$250,0,MATCH(J$2,Inputs!$D$2:$AG$2,0))))=0,"",SUMIFS(INDEX(Inputs!$D$4:$AG$250,0,MATCH(J$2,Inputs!$D$2:$AG$2,0)),Inputs!$B$4:$B$250,$B54)/1000)</f>
        <v/>
      </c>
      <c r="K54" s="11" t="str">
        <f>IF(SUMPRODUCT((Inputs!$B$4:$B$250=$B54)*ISNUMBER(INDEX(Inputs!$D$4:$AG$250,0,MATCH(K$2,Inputs!$D$2:$AG$2,0))))=0,"",SUMIFS(INDEX(Inputs!$D$4:$AG$250,0,MATCH(K$2,Inputs!$D$2:$AG$2,0)),Inputs!$B$4:$B$250,$B54)/1000)</f>
        <v/>
      </c>
      <c r="L54" s="11" t="str">
        <f>IF(SUMPRODUCT((Inputs!$B$4:$B$250=$B54)*ISNUMBER(INDEX(Inputs!$D$4:$AG$250,0,MATCH(L$2,Inputs!$D$2:$AG$2,0))))=0,"",SUMIFS(INDEX(Inputs!$D$4:$AG$250,0,MATCH(L$2,Inputs!$D$2:$AG$2,0)),Inputs!$B$4:$B$250,$B54)/1000)</f>
        <v/>
      </c>
      <c r="M54" s="12" t="str">
        <f>IF(COUNT(I54:L54)=4,SUM(I54:L54),"")</f>
        <v/>
      </c>
      <c r="N54" s="11">
        <f>IF(SUMPRODUCT((Inputs!$B$4:$B$250=$B54)*ISNUMBER(INDEX(Inputs!$D$4:$AG$250,0,MATCH(N$2,Inputs!$D$2:$AG$2,0))))=0,"",SUMIFS(INDEX(Inputs!$D$4:$AG$250,0,MATCH(N$2,Inputs!$D$2:$AG$2,0)),Inputs!$B$4:$B$250,$B54)/1000)</f>
        <v>191.9</v>
      </c>
      <c r="O54" s="11">
        <f>IF(SUMPRODUCT((Inputs!$B$4:$B$250=$B54)*ISNUMBER(INDEX(Inputs!$D$4:$AG$250,0,MATCH(O$2,Inputs!$D$2:$AG$2,0))))=0,"",SUMIFS(INDEX(Inputs!$D$4:$AG$250,0,MATCH(O$2,Inputs!$D$2:$AG$2,0)),Inputs!$B$4:$B$250,$B54)/1000)</f>
        <v>180.105</v>
      </c>
      <c r="P54" s="11">
        <f>IF(SUMPRODUCT((Inputs!$B$4:$B$250=$B54)*ISNUMBER(INDEX(Inputs!$D$4:$AG$250,0,MATCH(P$2,Inputs!$D$2:$AG$2,0))))=0,"",SUMIFS(INDEX(Inputs!$D$4:$AG$250,0,MATCH(P$2,Inputs!$D$2:$AG$2,0)),Inputs!$B$4:$B$250,$B54)/1000)</f>
        <v>196.063</v>
      </c>
      <c r="Q54" s="11">
        <f>IF(SUMPRODUCT((Inputs!$B$4:$B$250=$B54)*ISNUMBER(INDEX(Inputs!$D$4:$AG$250,0,MATCH(Q$2,Inputs!$D$2:$AG$2,0))))=0,"",SUMIFS(INDEX(Inputs!$D$4:$AG$250,0,MATCH(Q$2,Inputs!$D$2:$AG$2,0)),Inputs!$B$4:$B$250,$B54)/1000)</f>
        <v>192.716</v>
      </c>
      <c r="R54" s="12">
        <f>IF(COUNT(N54:Q54)=4,SUM(N54:Q54),"")</f>
        <v>760.784</v>
      </c>
      <c r="S54" s="11">
        <f>IF(SUMPRODUCT((Inputs!$B$4:$B$250=$B54)*ISNUMBER(INDEX(Inputs!$D$4:$AG$250,0,MATCH(S$2,Inputs!$D$2:$AG$2,0))))=0,"",SUMIFS(INDEX(Inputs!$D$4:$AG$250,0,MATCH(S$2,Inputs!$D$2:$AG$2,0)),Inputs!$B$4:$B$250,$B54)/1000)</f>
        <v>186.343</v>
      </c>
      <c r="T54" s="11">
        <f>IF(SUMPRODUCT((Inputs!$B$4:$B$250=$B54)*ISNUMBER(INDEX(Inputs!$D$4:$AG$250,0,MATCH(T$2,Inputs!$D$2:$AG$2,0))))=0,"",SUMIFS(INDEX(Inputs!$D$4:$AG$250,0,MATCH(T$2,Inputs!$D$2:$AG$2,0)),Inputs!$B$4:$B$250,$B54)/1000)</f>
        <v>179.835</v>
      </c>
      <c r="U54" s="11">
        <f>IF(SUMPRODUCT((Inputs!$B$4:$B$250=$B54)*ISNUMBER(INDEX(Inputs!$D$4:$AG$250,0,MATCH(U$2,Inputs!$D$2:$AG$2,0))))=0,"",SUMIFS(INDEX(Inputs!$D$4:$AG$250,0,MATCH(U$2,Inputs!$D$2:$AG$2,0)),Inputs!$B$4:$B$250,$B54)/1000)</f>
        <v>187.835</v>
      </c>
      <c r="V54" s="11">
        <f>IF(SUMPRODUCT((Inputs!$B$4:$B$250=$B54)*ISNUMBER(INDEX(Inputs!$D$4:$AG$250,0,MATCH(V$2,Inputs!$D$2:$AG$2,0))))=0,"",SUMIFS(INDEX(Inputs!$D$4:$AG$250,0,MATCH(V$2,Inputs!$D$2:$AG$2,0)),Inputs!$B$4:$B$250,$B54)/1000)</f>
        <v>234.921</v>
      </c>
      <c r="W54" s="12">
        <f>IF(COUNT(S54:V54)=4,SUM(S54:V54),"")</f>
        <v>788.934</v>
      </c>
      <c r="X54" s="11">
        <f>IF(SUMPRODUCT((Inputs!$B$4:$B$250=$B54)*ISNUMBER(INDEX(Inputs!$D$4:$AG$250,0,MATCH(X$2,Inputs!$D$2:$AG$2,0))))=0,"",SUMIFS(INDEX(Inputs!$D$4:$AG$250,0,MATCH(X$2,Inputs!$D$2:$AG$2,0)),Inputs!$B$4:$B$250,$B54)/1000)</f>
        <v>224.332</v>
      </c>
      <c r="Y54" s="11">
        <f>IF(SUMPRODUCT((Inputs!$B$4:$B$250=$B54)*ISNUMBER(INDEX(Inputs!$D$4:$AG$250,0,MATCH(Y$2,Inputs!$D$2:$AG$2,0))))=0,"",SUMIFS(INDEX(Inputs!$D$4:$AG$250,0,MATCH(Y$2,Inputs!$D$2:$AG$2,0)),Inputs!$B$4:$B$250,$B54)/1000)</f>
        <v>220.415</v>
      </c>
      <c r="Z54" s="11">
        <f>IF(SUMPRODUCT((Inputs!$B$4:$B$250=$B54)*ISNUMBER(INDEX(Inputs!$D$4:$AG$250,0,MATCH(Z$2,Inputs!$D$2:$AG$2,0))))=0,"",SUMIFS(INDEX(Inputs!$D$4:$AG$250,0,MATCH(Z$2,Inputs!$D$2:$AG$2,0)),Inputs!$B$4:$B$250,$B54)/1000)</f>
        <v>208.737</v>
      </c>
      <c r="AA54" s="11">
        <f>IF(SUMPRODUCT((Inputs!$B$4:$B$250=$B54)*ISNUMBER(INDEX(Inputs!$D$4:$AG$250,0,MATCH(AA$2,Inputs!$D$2:$AG$2,0))))=0,"",SUMIFS(INDEX(Inputs!$D$4:$AG$250,0,MATCH(AA$2,Inputs!$D$2:$AG$2,0)),Inputs!$B$4:$B$250,$B54)/1000)</f>
        <v>211.6</v>
      </c>
      <c r="AB54" s="12">
        <f>IF(COUNT(X54:AA54)=4,SUM(X54:AA54),"")</f>
        <v>865.084</v>
      </c>
      <c r="AC54" s="11">
        <f>IF(SUMPRODUCT((Inputs!$B$4:$B$250=$B54)*ISNUMBER(INDEX(Inputs!$D$4:$AG$250,0,MATCH(AC$2,Inputs!$D$2:$AG$2,0))))=0,"",SUMIFS(INDEX(Inputs!$D$4:$AG$250,0,MATCH(AC$2,Inputs!$D$2:$AG$2,0)),Inputs!$B$4:$B$250,$B54)/1000)</f>
        <v>258.765</v>
      </c>
      <c r="AD54" s="11">
        <f>IF(SUMPRODUCT((Inputs!$B$4:$B$250=$B54)*ISNUMBER(INDEX(Inputs!$D$4:$AG$250,0,MATCH(AD$2,Inputs!$D$2:$AG$2,0))))=0,"",SUMIFS(INDEX(Inputs!$D$4:$AG$250,0,MATCH(AD$2,Inputs!$D$2:$AG$2,0)),Inputs!$B$4:$B$250,$B54)/1000)</f>
        <v>212.619</v>
      </c>
      <c r="AE54" s="11" t="str">
        <f>IF(SUMPRODUCT((Inputs!$B$4:$B$250=$B54)*ISNUMBER(INDEX(Inputs!$D$4:$AG$250,0,MATCH(AE$2,Inputs!$D$2:$AG$2,0))))=0,"",SUMIFS(INDEX(Inputs!$D$4:$AG$250,0,MATCH(AE$2,Inputs!$D$2:$AG$2,0)),Inputs!$B$4:$B$250,$B54)/1000)</f>
        <v/>
      </c>
      <c r="AF54" s="11" t="str">
        <f>IF(SUMPRODUCT((Inputs!$B$4:$B$250=$B54)*ISNUMBER(INDEX(Inputs!$D$4:$AG$250,0,MATCH(AF$2,Inputs!$D$2:$AG$2,0))))=0,"",SUMIFS(INDEX(Inputs!$D$4:$AG$250,0,MATCH(AF$2,Inputs!$D$2:$AG$2,0)),Inputs!$B$4:$B$250,$B54)/1000)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Transmissao | Transudeste</t>
        </is>
      </c>
      <c r="D55" s="11">
        <f>IF(SUMPRODUCT((Inputs!$B$4:$B$250=$B55)*ISNUMBER(INDEX(Inputs!$D$4:$AG$250,0,MATCH(D$2,Inputs!$D$2:$AG$2,0))))=0,"",SUMIFS(INDEX(Inputs!$D$4:$AG$250,0,MATCH(D$2,Inputs!$D$2:$AG$2,0)),Inputs!$B$4:$B$250,$B55)/1000)</f>
        <v>8.888</v>
      </c>
      <c r="E55" s="11">
        <f>IF(SUMPRODUCT((Inputs!$B$4:$B$250=$B55)*ISNUMBER(INDEX(Inputs!$D$4:$AG$250,0,MATCH(E$2,Inputs!$D$2:$AG$2,0))))=0,"",SUMIFS(INDEX(Inputs!$D$4:$AG$250,0,MATCH(E$2,Inputs!$D$2:$AG$2,0)),Inputs!$B$4:$B$250,$B55)/1000)</f>
        <v>11.76</v>
      </c>
      <c r="F55" s="11">
        <f>IF(SUMPRODUCT((Inputs!$B$4:$B$250=$B55)*ISNUMBER(INDEX(Inputs!$D$4:$AG$250,0,MATCH(F$2,Inputs!$D$2:$AG$2,0))))=0,"",SUMIFS(INDEX(Inputs!$D$4:$AG$250,0,MATCH(F$2,Inputs!$D$2:$AG$2,0)),Inputs!$B$4:$B$250,$B55)/1000)</f>
        <v>5.991</v>
      </c>
      <c r="G55" s="11">
        <f>IF(SUMPRODUCT((Inputs!$B$4:$B$250=$B55)*ISNUMBER(INDEX(Inputs!$D$4:$AG$250,0,MATCH(G$2,Inputs!$D$2:$AG$2,0))))=0,"",SUMIFS(INDEX(Inputs!$D$4:$AG$250,0,MATCH(G$2,Inputs!$D$2:$AG$2,0)),Inputs!$B$4:$B$250,$B55)/1000)</f>
        <v>4.276</v>
      </c>
      <c r="H55" s="12">
        <f>IF(COUNT(D55:G55)=4,SUM(D55:G55),"")</f>
        <v>30.915</v>
      </c>
      <c r="I55" s="11">
        <f>IF(SUMPRODUCT((Inputs!$B$4:$B$250=$B55)*ISNUMBER(INDEX(Inputs!$D$4:$AG$250,0,MATCH(I$2,Inputs!$D$2:$AG$2,0))))=0,"",SUMIFS(INDEX(Inputs!$D$4:$AG$250,0,MATCH(I$2,Inputs!$D$2:$AG$2,0)),Inputs!$B$4:$B$250,$B55)/1000)</f>
        <v>8.09</v>
      </c>
      <c r="J55" s="11">
        <f>IF(SUMPRODUCT((Inputs!$B$4:$B$250=$B55)*ISNUMBER(INDEX(Inputs!$D$4:$AG$250,0,MATCH(J$2,Inputs!$D$2:$AG$2,0))))=0,"",SUMIFS(INDEX(Inputs!$D$4:$AG$250,0,MATCH(J$2,Inputs!$D$2:$AG$2,0)),Inputs!$B$4:$B$250,$B55)/1000)</f>
        <v>7.591</v>
      </c>
      <c r="K55" s="11">
        <f>IF(SUMPRODUCT((Inputs!$B$4:$B$250=$B55)*ISNUMBER(INDEX(Inputs!$D$4:$AG$250,0,MATCH(K$2,Inputs!$D$2:$AG$2,0))))=0,"",SUMIFS(INDEX(Inputs!$D$4:$AG$250,0,MATCH(K$2,Inputs!$D$2:$AG$2,0)),Inputs!$B$4:$B$250,$B55)/1000)</f>
        <v>4.552</v>
      </c>
      <c r="L55" s="11">
        <f>IF(SUMPRODUCT((Inputs!$B$4:$B$250=$B55)*ISNUMBER(INDEX(Inputs!$D$4:$AG$250,0,MATCH(L$2,Inputs!$D$2:$AG$2,0))))=0,"",SUMIFS(INDEX(Inputs!$D$4:$AG$250,0,MATCH(L$2,Inputs!$D$2:$AG$2,0)),Inputs!$B$4:$B$250,$B55)/1000)</f>
        <v>2.359</v>
      </c>
      <c r="M55" s="12">
        <f>IF(COUNT(I55:L55)=4,SUM(I55:L55),"")</f>
        <v>22.592</v>
      </c>
      <c r="N55" s="11">
        <f>IF(SUMPRODUCT((Inputs!$B$4:$B$250=$B55)*ISNUMBER(INDEX(Inputs!$D$4:$AG$250,0,MATCH(N$2,Inputs!$D$2:$AG$2,0))))=0,"",SUMIFS(INDEX(Inputs!$D$4:$AG$250,0,MATCH(N$2,Inputs!$D$2:$AG$2,0)),Inputs!$B$4:$B$250,$B55)/1000)</f>
        <v>4.895</v>
      </c>
      <c r="O55" s="11">
        <f>IF(SUMPRODUCT((Inputs!$B$4:$B$250=$B55)*ISNUMBER(INDEX(Inputs!$D$4:$AG$250,0,MATCH(O$2,Inputs!$D$2:$AG$2,0))))=0,"",SUMIFS(INDEX(Inputs!$D$4:$AG$250,0,MATCH(O$2,Inputs!$D$2:$AG$2,0)),Inputs!$B$4:$B$250,$B55)/1000)</f>
        <v>2.117</v>
      </c>
      <c r="P55" s="11">
        <f>IF(SUMPRODUCT((Inputs!$B$4:$B$250=$B55)*ISNUMBER(INDEX(Inputs!$D$4:$AG$250,0,MATCH(P$2,Inputs!$D$2:$AG$2,0))))=0,"",SUMIFS(INDEX(Inputs!$D$4:$AG$250,0,MATCH(P$2,Inputs!$D$2:$AG$2,0)),Inputs!$B$4:$B$250,$B55)/1000)</f>
        <v>2.107</v>
      </c>
      <c r="Q55" s="11">
        <f>IF(SUMPRODUCT((Inputs!$B$4:$B$250=$B55)*ISNUMBER(INDEX(Inputs!$D$4:$AG$250,0,MATCH(Q$2,Inputs!$D$2:$AG$2,0))))=0,"",SUMIFS(INDEX(Inputs!$D$4:$AG$250,0,MATCH(Q$2,Inputs!$D$2:$AG$2,0)),Inputs!$B$4:$B$250,$B55)/1000)</f>
        <v>5.225</v>
      </c>
      <c r="R55" s="12">
        <f>IF(COUNT(N55:Q55)=4,SUM(N55:Q55),"")</f>
        <v>14.344</v>
      </c>
      <c r="S55" s="11">
        <f>IF(SUMPRODUCT((Inputs!$B$4:$B$250=$B55)*ISNUMBER(INDEX(Inputs!$D$4:$AG$250,0,MATCH(S$2,Inputs!$D$2:$AG$2,0))))=0,"",SUMIFS(INDEX(Inputs!$D$4:$AG$250,0,MATCH(S$2,Inputs!$D$2:$AG$2,0)),Inputs!$B$4:$B$250,$B55)/1000)</f>
        <v>4.328</v>
      </c>
      <c r="T55" s="11">
        <f>IF(SUMPRODUCT((Inputs!$B$4:$B$250=$B55)*ISNUMBER(INDEX(Inputs!$D$4:$AG$250,0,MATCH(T$2,Inputs!$D$2:$AG$2,0))))=0,"",SUMIFS(INDEX(Inputs!$D$4:$AG$250,0,MATCH(T$2,Inputs!$D$2:$AG$2,0)),Inputs!$B$4:$B$250,$B55)/1000)</f>
        <v>4.699</v>
      </c>
      <c r="U55" s="11">
        <f>IF(SUMPRODUCT((Inputs!$B$4:$B$250=$B55)*ISNUMBER(INDEX(Inputs!$D$4:$AG$250,0,MATCH(U$2,Inputs!$D$2:$AG$2,0))))=0,"",SUMIFS(INDEX(Inputs!$D$4:$AG$250,0,MATCH(U$2,Inputs!$D$2:$AG$2,0)),Inputs!$B$4:$B$250,$B55)/1000)</f>
        <v>5.314</v>
      </c>
      <c r="V55" s="11">
        <f>IF(SUMPRODUCT((Inputs!$B$4:$B$250=$B55)*ISNUMBER(INDEX(Inputs!$D$4:$AG$250,0,MATCH(V$2,Inputs!$D$2:$AG$2,0))))=0,"",SUMIFS(INDEX(Inputs!$D$4:$AG$250,0,MATCH(V$2,Inputs!$D$2:$AG$2,0)),Inputs!$B$4:$B$250,$B55)/1000)</f>
        <v>6.68</v>
      </c>
      <c r="W55" s="12">
        <f>IF(COUNT(S55:V55)=4,SUM(S55:V55),"")</f>
        <v>21.021</v>
      </c>
      <c r="X55" s="11">
        <f>IF(SUMPRODUCT((Inputs!$B$4:$B$250=$B55)*ISNUMBER(INDEX(Inputs!$D$4:$AG$250,0,MATCH(X$2,Inputs!$D$2:$AG$2,0))))=0,"",SUMIFS(INDEX(Inputs!$D$4:$AG$250,0,MATCH(X$2,Inputs!$D$2:$AG$2,0)),Inputs!$B$4:$B$250,$B55)/1000)</f>
        <v>5.935</v>
      </c>
      <c r="Y55" s="11">
        <f>IF(SUMPRODUCT((Inputs!$B$4:$B$250=$B55)*ISNUMBER(INDEX(Inputs!$D$4:$AG$250,0,MATCH(Y$2,Inputs!$D$2:$AG$2,0))))=0,"",SUMIFS(INDEX(Inputs!$D$4:$AG$250,0,MATCH(Y$2,Inputs!$D$2:$AG$2,0)),Inputs!$B$4:$B$250,$B55)/1000)</f>
        <v>3.672</v>
      </c>
      <c r="Z55" s="11">
        <f>IF(SUMPRODUCT((Inputs!$B$4:$B$250=$B55)*ISNUMBER(INDEX(Inputs!$D$4:$AG$250,0,MATCH(Z$2,Inputs!$D$2:$AG$2,0))))=0,"",SUMIFS(INDEX(Inputs!$D$4:$AG$250,0,MATCH(Z$2,Inputs!$D$2:$AG$2,0)),Inputs!$B$4:$B$250,$B55)/1000)</f>
        <v>2.776</v>
      </c>
      <c r="AA55" s="11">
        <f>IF(SUMPRODUCT((Inputs!$B$4:$B$250=$B55)*ISNUMBER(INDEX(Inputs!$D$4:$AG$250,0,MATCH(AA$2,Inputs!$D$2:$AG$2,0))))=0,"",SUMIFS(INDEX(Inputs!$D$4:$AG$250,0,MATCH(AA$2,Inputs!$D$2:$AG$2,0)),Inputs!$B$4:$B$250,$B55)/1000)</f>
        <v>4.435</v>
      </c>
      <c r="AB55" s="12">
        <f>IF(COUNT(X55:AA55)=4,SUM(X55:AA55),"")</f>
        <v>16.818</v>
      </c>
      <c r="AC55" s="11">
        <f>IF(SUMPRODUCT((Inputs!$B$4:$B$250=$B55)*ISNUMBER(INDEX(Inputs!$D$4:$AG$250,0,MATCH(AC$2,Inputs!$D$2:$AG$2,0))))=0,"",SUMIFS(INDEX(Inputs!$D$4:$AG$250,0,MATCH(AC$2,Inputs!$D$2:$AG$2,0)),Inputs!$B$4:$B$250,$B55)/1000)</f>
        <v>3.928</v>
      </c>
      <c r="AD55" s="11">
        <f>IF(SUMPRODUCT((Inputs!$B$4:$B$250=$B55)*ISNUMBER(INDEX(Inputs!$D$4:$AG$250,0,MATCH(AD$2,Inputs!$D$2:$AG$2,0))))=0,"",SUMIFS(INDEX(Inputs!$D$4:$AG$250,0,MATCH(AD$2,Inputs!$D$2:$AG$2,0)),Inputs!$B$4:$B$250,$B55)/1000)</f>
        <v>7.235</v>
      </c>
      <c r="AE55" s="11" t="str">
        <f>IF(SUMPRODUCT((Inputs!$B$4:$B$250=$B55)*ISNUMBER(INDEX(Inputs!$D$4:$AG$250,0,MATCH(AE$2,Inputs!$D$2:$AG$2,0))))=0,"",SUMIFS(INDEX(Inputs!$D$4:$AG$250,0,MATCH(AE$2,Inputs!$D$2:$AG$2,0)),Inputs!$B$4:$B$250,$B55)/1000)</f>
        <v/>
      </c>
      <c r="AF55" s="11" t="str">
        <f>IF(SUMPRODUCT((Inputs!$B$4:$B$250=$B55)*ISNUMBER(INDEX(Inputs!$D$4:$AG$250,0,MATCH(AF$2,Inputs!$D$2:$AG$2,0))))=0,"",SUMIFS(INDEX(Inputs!$D$4:$AG$250,0,MATCH(AF$2,Inputs!$D$2:$AG$2,0)),Inputs!$B$4:$B$250,$B55)/1000)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Transmissao | Transleste</t>
        </is>
      </c>
      <c r="D56" s="11">
        <f>IF(SUMPRODUCT((Inputs!$B$4:$B$250=$B56)*ISNUMBER(INDEX(Inputs!$D$4:$AG$250,0,MATCH(D$2,Inputs!$D$2:$AG$2,0))))=0,"",SUMIFS(INDEX(Inputs!$D$4:$AG$250,0,MATCH(D$2,Inputs!$D$2:$AG$2,0)),Inputs!$B$4:$B$250,$B56)/1000)</f>
        <v>12.214</v>
      </c>
      <c r="E56" s="11">
        <f>IF(SUMPRODUCT((Inputs!$B$4:$B$250=$B56)*ISNUMBER(INDEX(Inputs!$D$4:$AG$250,0,MATCH(E$2,Inputs!$D$2:$AG$2,0))))=0,"",SUMIFS(INDEX(Inputs!$D$4:$AG$250,0,MATCH(E$2,Inputs!$D$2:$AG$2,0)),Inputs!$B$4:$B$250,$B56)/1000)</f>
        <v>16.259</v>
      </c>
      <c r="F56" s="11">
        <f>IF(SUMPRODUCT((Inputs!$B$4:$B$250=$B56)*ISNUMBER(INDEX(Inputs!$D$4:$AG$250,0,MATCH(F$2,Inputs!$D$2:$AG$2,0))))=0,"",SUMIFS(INDEX(Inputs!$D$4:$AG$250,0,MATCH(F$2,Inputs!$D$2:$AG$2,0)),Inputs!$B$4:$B$250,$B56)/1000)</f>
        <v>8.977</v>
      </c>
      <c r="G56" s="11">
        <f>IF(SUMPRODUCT((Inputs!$B$4:$B$250=$B56)*ISNUMBER(INDEX(Inputs!$D$4:$AG$250,0,MATCH(G$2,Inputs!$D$2:$AG$2,0))))=0,"",SUMIFS(INDEX(Inputs!$D$4:$AG$250,0,MATCH(G$2,Inputs!$D$2:$AG$2,0)),Inputs!$B$4:$B$250,$B56)/1000)</f>
        <v>6.607</v>
      </c>
      <c r="H56" s="12">
        <f>IF(COUNT(D56:G56)=4,SUM(D56:G56),"")</f>
        <v>44.057</v>
      </c>
      <c r="I56" s="11">
        <f>IF(SUMPRODUCT((Inputs!$B$4:$B$250=$B56)*ISNUMBER(INDEX(Inputs!$D$4:$AG$250,0,MATCH(I$2,Inputs!$D$2:$AG$2,0))))=0,"",SUMIFS(INDEX(Inputs!$D$4:$AG$250,0,MATCH(I$2,Inputs!$D$2:$AG$2,0)),Inputs!$B$4:$B$250,$B56)/1000)</f>
        <v>12.373</v>
      </c>
      <c r="J56" s="11">
        <f>IF(SUMPRODUCT((Inputs!$B$4:$B$250=$B56)*ISNUMBER(INDEX(Inputs!$D$4:$AG$250,0,MATCH(J$2,Inputs!$D$2:$AG$2,0))))=0,"",SUMIFS(INDEX(Inputs!$D$4:$AG$250,0,MATCH(J$2,Inputs!$D$2:$AG$2,0)),Inputs!$B$4:$B$250,$B56)/1000)</f>
        <v>11.72</v>
      </c>
      <c r="K56" s="11">
        <f>IF(SUMPRODUCT((Inputs!$B$4:$B$250=$B56)*ISNUMBER(INDEX(Inputs!$D$4:$AG$250,0,MATCH(K$2,Inputs!$D$2:$AG$2,0))))=0,"",SUMIFS(INDEX(Inputs!$D$4:$AG$250,0,MATCH(K$2,Inputs!$D$2:$AG$2,0)),Inputs!$B$4:$B$250,$B56)/1000)</f>
        <v>7.207</v>
      </c>
      <c r="L56" s="11">
        <f>IF(SUMPRODUCT((Inputs!$B$4:$B$250=$B56)*ISNUMBER(INDEX(Inputs!$D$4:$AG$250,0,MATCH(L$2,Inputs!$D$2:$AG$2,0))))=0,"",SUMIFS(INDEX(Inputs!$D$4:$AG$250,0,MATCH(L$2,Inputs!$D$2:$AG$2,0)),Inputs!$B$4:$B$250,$B56)/1000)</f>
        <v>3.912</v>
      </c>
      <c r="M56" s="12">
        <f>IF(COUNT(I56:L56)=4,SUM(I56:L56),"")</f>
        <v>35.212</v>
      </c>
      <c r="N56" s="11">
        <f>IF(SUMPRODUCT((Inputs!$B$4:$B$250=$B56)*ISNUMBER(INDEX(Inputs!$D$4:$AG$250,0,MATCH(N$2,Inputs!$D$2:$AG$2,0))))=0,"",SUMIFS(INDEX(Inputs!$D$4:$AG$250,0,MATCH(N$2,Inputs!$D$2:$AG$2,0)),Inputs!$B$4:$B$250,$B56)/1000)</f>
        <v>7.709</v>
      </c>
      <c r="O56" s="11">
        <f>IF(SUMPRODUCT((Inputs!$B$4:$B$250=$B56)*ISNUMBER(INDEX(Inputs!$D$4:$AG$250,0,MATCH(O$2,Inputs!$D$2:$AG$2,0))))=0,"",SUMIFS(INDEX(Inputs!$D$4:$AG$250,0,MATCH(O$2,Inputs!$D$2:$AG$2,0)),Inputs!$B$4:$B$250,$B56)/1000)</f>
        <v>3.53</v>
      </c>
      <c r="P56" s="11">
        <f>IF(SUMPRODUCT((Inputs!$B$4:$B$250=$B56)*ISNUMBER(INDEX(Inputs!$D$4:$AG$250,0,MATCH(P$2,Inputs!$D$2:$AG$2,0))))=0,"",SUMIFS(INDEX(Inputs!$D$4:$AG$250,0,MATCH(P$2,Inputs!$D$2:$AG$2,0)),Inputs!$B$4:$B$250,$B56)/1000)</f>
        <v>3.519</v>
      </c>
      <c r="Q56" s="11">
        <f>IF(SUMPRODUCT((Inputs!$B$4:$B$250=$B56)*ISNUMBER(INDEX(Inputs!$D$4:$AG$250,0,MATCH(Q$2,Inputs!$D$2:$AG$2,0))))=0,"",SUMIFS(INDEX(Inputs!$D$4:$AG$250,0,MATCH(Q$2,Inputs!$D$2:$AG$2,0)),Inputs!$B$4:$B$250,$B56)/1000)</f>
        <v>8.162</v>
      </c>
      <c r="R56" s="12">
        <f>IF(COUNT(N56:Q56)=4,SUM(N56:Q56),"")</f>
        <v>22.92</v>
      </c>
      <c r="S56" s="11">
        <f>IF(SUMPRODUCT((Inputs!$B$4:$B$250=$B56)*ISNUMBER(INDEX(Inputs!$D$4:$AG$250,0,MATCH(S$2,Inputs!$D$2:$AG$2,0))))=0,"",SUMIFS(INDEX(Inputs!$D$4:$AG$250,0,MATCH(S$2,Inputs!$D$2:$AG$2,0)),Inputs!$B$4:$B$250,$B56)/1000)</f>
        <v>6.857</v>
      </c>
      <c r="T56" s="11">
        <f>IF(SUMPRODUCT((Inputs!$B$4:$B$250=$B56)*ISNUMBER(INDEX(Inputs!$D$4:$AG$250,0,MATCH(T$2,Inputs!$D$2:$AG$2,0))))=0,"",SUMIFS(INDEX(Inputs!$D$4:$AG$250,0,MATCH(T$2,Inputs!$D$2:$AG$2,0)),Inputs!$B$4:$B$250,$B56)/1000)</f>
        <v>7.362</v>
      </c>
      <c r="U56" s="11">
        <f>IF(SUMPRODUCT((Inputs!$B$4:$B$250=$B56)*ISNUMBER(INDEX(Inputs!$D$4:$AG$250,0,MATCH(U$2,Inputs!$D$2:$AG$2,0))))=0,"",SUMIFS(INDEX(Inputs!$D$4:$AG$250,0,MATCH(U$2,Inputs!$D$2:$AG$2,0)),Inputs!$B$4:$B$250,$B56)/1000)</f>
        <v>8.284</v>
      </c>
      <c r="V56" s="11">
        <f>IF(SUMPRODUCT((Inputs!$B$4:$B$250=$B56)*ISNUMBER(INDEX(Inputs!$D$4:$AG$250,0,MATCH(V$2,Inputs!$D$2:$AG$2,0))))=0,"",SUMIFS(INDEX(Inputs!$D$4:$AG$250,0,MATCH(V$2,Inputs!$D$2:$AG$2,0)),Inputs!$B$4:$B$250,$B56)/1000)</f>
        <v>10.303</v>
      </c>
      <c r="W56" s="12">
        <f>IF(COUNT(S56:V56)=4,SUM(S56:V56),"")</f>
        <v>32.806</v>
      </c>
      <c r="X56" s="11">
        <f>IF(SUMPRODUCT((Inputs!$B$4:$B$250=$B56)*ISNUMBER(INDEX(Inputs!$D$4:$AG$250,0,MATCH(X$2,Inputs!$D$2:$AG$2,0))))=0,"",SUMIFS(INDEX(Inputs!$D$4:$AG$250,0,MATCH(X$2,Inputs!$D$2:$AG$2,0)),Inputs!$B$4:$B$250,$B56)/1000)</f>
        <v>9.195</v>
      </c>
      <c r="Y56" s="11">
        <f>IF(SUMPRODUCT((Inputs!$B$4:$B$250=$B56)*ISNUMBER(INDEX(Inputs!$D$4:$AG$250,0,MATCH(Y$2,Inputs!$D$2:$AG$2,0))))=0,"",SUMIFS(INDEX(Inputs!$D$4:$AG$250,0,MATCH(Y$2,Inputs!$D$2:$AG$2,0)),Inputs!$B$4:$B$250,$B56)/1000)</f>
        <v>5.859</v>
      </c>
      <c r="Z56" s="11">
        <f>IF(SUMPRODUCT((Inputs!$B$4:$B$250=$B56)*ISNUMBER(INDEX(Inputs!$D$4:$AG$250,0,MATCH(Z$2,Inputs!$D$2:$AG$2,0))))=0,"",SUMIFS(INDEX(Inputs!$D$4:$AG$250,0,MATCH(Z$2,Inputs!$D$2:$AG$2,0)),Inputs!$B$4:$B$250,$B56)/1000)</f>
        <v>4.573</v>
      </c>
      <c r="AA56" s="11">
        <f>IF(SUMPRODUCT((Inputs!$B$4:$B$250=$B56)*ISNUMBER(INDEX(Inputs!$D$4:$AG$250,0,MATCH(AA$2,Inputs!$D$2:$AG$2,0))))=0,"",SUMIFS(INDEX(Inputs!$D$4:$AG$250,0,MATCH(AA$2,Inputs!$D$2:$AG$2,0)),Inputs!$B$4:$B$250,$B56)/1000)</f>
        <v>6.627</v>
      </c>
      <c r="AB56" s="12">
        <f>IF(COUNT(X56:AA56)=4,SUM(X56:AA56),"")</f>
        <v>26.254</v>
      </c>
      <c r="AC56" s="11">
        <f>IF(SUMPRODUCT((Inputs!$B$4:$B$250=$B56)*ISNUMBER(INDEX(Inputs!$D$4:$AG$250,0,MATCH(AC$2,Inputs!$D$2:$AG$2,0))))=0,"",SUMIFS(INDEX(Inputs!$D$4:$AG$250,0,MATCH(AC$2,Inputs!$D$2:$AG$2,0)),Inputs!$B$4:$B$250,$B56)/1000)</f>
        <v>6.118</v>
      </c>
      <c r="AD56" s="11">
        <f>IF(SUMPRODUCT((Inputs!$B$4:$B$250=$B56)*ISNUMBER(INDEX(Inputs!$D$4:$AG$250,0,MATCH(AD$2,Inputs!$D$2:$AG$2,0))))=0,"",SUMIFS(INDEX(Inputs!$D$4:$AG$250,0,MATCH(AD$2,Inputs!$D$2:$AG$2,0)),Inputs!$B$4:$B$250,$B56)/1000)</f>
        <v>11.048</v>
      </c>
      <c r="AE56" s="11" t="str">
        <f>IF(SUMPRODUCT((Inputs!$B$4:$B$250=$B56)*ISNUMBER(INDEX(Inputs!$D$4:$AG$250,0,MATCH(AE$2,Inputs!$D$2:$AG$2,0))))=0,"",SUMIFS(INDEX(Inputs!$D$4:$AG$250,0,MATCH(AE$2,Inputs!$D$2:$AG$2,0)),Inputs!$B$4:$B$250,$B56)/1000)</f>
        <v/>
      </c>
      <c r="AF56" s="11" t="str">
        <f>IF(SUMPRODUCT((Inputs!$B$4:$B$250=$B56)*ISNUMBER(INDEX(Inputs!$D$4:$AG$250,0,MATCH(AF$2,Inputs!$D$2:$AG$2,0))))=0,"",SUMIFS(INDEX(Inputs!$D$4:$AG$250,0,MATCH(AF$2,Inputs!$D$2:$AG$2,0)),Inputs!$B$4:$B$250,$B56)/1000)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Transmissao | Transirapé</t>
        </is>
      </c>
      <c r="D57" s="11">
        <f>IF(SUMPRODUCT((Inputs!$B$4:$B$250=$B57)*ISNUMBER(INDEX(Inputs!$D$4:$AG$250,0,MATCH(D$2,Inputs!$D$2:$AG$2,0))))=0,"",SUMIFS(INDEX(Inputs!$D$4:$AG$250,0,MATCH(D$2,Inputs!$D$2:$AG$2,0)),Inputs!$B$4:$B$250,$B57)/1000)</f>
        <v>26.869</v>
      </c>
      <c r="E57" s="11">
        <f>IF(SUMPRODUCT((Inputs!$B$4:$B$250=$B57)*ISNUMBER(INDEX(Inputs!$D$4:$AG$250,0,MATCH(E$2,Inputs!$D$2:$AG$2,0))))=0,"",SUMIFS(INDEX(Inputs!$D$4:$AG$250,0,MATCH(E$2,Inputs!$D$2:$AG$2,0)),Inputs!$B$4:$B$250,$B57)/1000)</f>
        <v>26.737</v>
      </c>
      <c r="F57" s="11">
        <f>IF(SUMPRODUCT((Inputs!$B$4:$B$250=$B57)*ISNUMBER(INDEX(Inputs!$D$4:$AG$250,0,MATCH(F$2,Inputs!$D$2:$AG$2,0))))=0,"",SUMIFS(INDEX(Inputs!$D$4:$AG$250,0,MATCH(F$2,Inputs!$D$2:$AG$2,0)),Inputs!$B$4:$B$250,$B57)/1000)</f>
        <v>11.462</v>
      </c>
      <c r="G57" s="11">
        <f>IF(SUMPRODUCT((Inputs!$B$4:$B$250=$B57)*ISNUMBER(INDEX(Inputs!$D$4:$AG$250,0,MATCH(G$2,Inputs!$D$2:$AG$2,0))))=0,"",SUMIFS(INDEX(Inputs!$D$4:$AG$250,0,MATCH(G$2,Inputs!$D$2:$AG$2,0)),Inputs!$B$4:$B$250,$B57)/1000)</f>
        <v>7.568</v>
      </c>
      <c r="H57" s="12">
        <f>IF(COUNT(D57:G57)=4,SUM(D57:G57),"")</f>
        <v>72.636</v>
      </c>
      <c r="I57" s="11">
        <f>IF(SUMPRODUCT((Inputs!$B$4:$B$250=$B57)*ISNUMBER(INDEX(Inputs!$D$4:$AG$250,0,MATCH(I$2,Inputs!$D$2:$AG$2,0))))=0,"",SUMIFS(INDEX(Inputs!$D$4:$AG$250,0,MATCH(I$2,Inputs!$D$2:$AG$2,0)),Inputs!$B$4:$B$250,$B57)/1000)</f>
        <v>16.523</v>
      </c>
      <c r="J57" s="11">
        <f>IF(SUMPRODUCT((Inputs!$B$4:$B$250=$B57)*ISNUMBER(INDEX(Inputs!$D$4:$AG$250,0,MATCH(J$2,Inputs!$D$2:$AG$2,0))))=0,"",SUMIFS(INDEX(Inputs!$D$4:$AG$250,0,MATCH(J$2,Inputs!$D$2:$AG$2,0)),Inputs!$B$4:$B$250,$B57)/1000)</f>
        <v>16.033</v>
      </c>
      <c r="K57" s="11">
        <f>IF(SUMPRODUCT((Inputs!$B$4:$B$250=$B57)*ISNUMBER(INDEX(Inputs!$D$4:$AG$250,0,MATCH(K$2,Inputs!$D$2:$AG$2,0))))=0,"",SUMIFS(INDEX(Inputs!$D$4:$AG$250,0,MATCH(K$2,Inputs!$D$2:$AG$2,0)),Inputs!$B$4:$B$250,$B57)/1000)</f>
        <v>9.113</v>
      </c>
      <c r="L57" s="11">
        <f>IF(SUMPRODUCT((Inputs!$B$4:$B$250=$B57)*ISNUMBER(INDEX(Inputs!$D$4:$AG$250,0,MATCH(L$2,Inputs!$D$2:$AG$2,0))))=0,"",SUMIFS(INDEX(Inputs!$D$4:$AG$250,0,MATCH(L$2,Inputs!$D$2:$AG$2,0)),Inputs!$B$4:$B$250,$B57)/1000)</f>
        <v>1.196</v>
      </c>
      <c r="M57" s="12">
        <f>IF(COUNT(I57:L57)=4,SUM(I57:L57),"")</f>
        <v>42.865</v>
      </c>
      <c r="N57" s="11">
        <f>IF(SUMPRODUCT((Inputs!$B$4:$B$250=$B57)*ISNUMBER(INDEX(Inputs!$D$4:$AG$250,0,MATCH(N$2,Inputs!$D$2:$AG$2,0))))=0,"",SUMIFS(INDEX(Inputs!$D$4:$AG$250,0,MATCH(N$2,Inputs!$D$2:$AG$2,0)),Inputs!$B$4:$B$250,$B57)/1000)</f>
        <v>7.905</v>
      </c>
      <c r="O57" s="11">
        <f>IF(SUMPRODUCT((Inputs!$B$4:$B$250=$B57)*ISNUMBER(INDEX(Inputs!$D$4:$AG$250,0,MATCH(O$2,Inputs!$D$2:$AG$2,0))))=0,"",SUMIFS(INDEX(Inputs!$D$4:$AG$250,0,MATCH(O$2,Inputs!$D$2:$AG$2,0)),Inputs!$B$4:$B$250,$B57)/1000)</f>
        <v>0.551</v>
      </c>
      <c r="P57" s="11">
        <f>IF(SUMPRODUCT((Inputs!$B$4:$B$250=$B57)*ISNUMBER(INDEX(Inputs!$D$4:$AG$250,0,MATCH(P$2,Inputs!$D$2:$AG$2,0))))=0,"",SUMIFS(INDEX(Inputs!$D$4:$AG$250,0,MATCH(P$2,Inputs!$D$2:$AG$2,0)),Inputs!$B$4:$B$250,$B57)/1000)</f>
        <v>2.447</v>
      </c>
      <c r="Q57" s="11">
        <f>IF(SUMPRODUCT((Inputs!$B$4:$B$250=$B57)*ISNUMBER(INDEX(Inputs!$D$4:$AG$250,0,MATCH(Q$2,Inputs!$D$2:$AG$2,0))))=0,"",SUMIFS(INDEX(Inputs!$D$4:$AG$250,0,MATCH(Q$2,Inputs!$D$2:$AG$2,0)),Inputs!$B$4:$B$250,$B57)/1000)</f>
        <v>9.014</v>
      </c>
      <c r="R57" s="12">
        <f>IF(COUNT(N57:Q57)=4,SUM(N57:Q57),"")</f>
        <v>19.917</v>
      </c>
      <c r="S57" s="11">
        <f>IF(SUMPRODUCT((Inputs!$B$4:$B$250=$B57)*ISNUMBER(INDEX(Inputs!$D$4:$AG$250,0,MATCH(S$2,Inputs!$D$2:$AG$2,0))))=0,"",SUMIFS(INDEX(Inputs!$D$4:$AG$250,0,MATCH(S$2,Inputs!$D$2:$AG$2,0)),Inputs!$B$4:$B$250,$B57)/1000)</f>
        <v>6.608</v>
      </c>
      <c r="T57" s="11">
        <f>IF(SUMPRODUCT((Inputs!$B$4:$B$250=$B57)*ISNUMBER(INDEX(Inputs!$D$4:$AG$250,0,MATCH(T$2,Inputs!$D$2:$AG$2,0))))=0,"",SUMIFS(INDEX(Inputs!$D$4:$AG$250,0,MATCH(T$2,Inputs!$D$2:$AG$2,0)),Inputs!$B$4:$B$250,$B57)/1000)</f>
        <v>7.553</v>
      </c>
      <c r="U57" s="11">
        <f>IF(SUMPRODUCT((Inputs!$B$4:$B$250=$B57)*ISNUMBER(INDEX(Inputs!$D$4:$AG$250,0,MATCH(U$2,Inputs!$D$2:$AG$2,0))))=0,"",SUMIFS(INDEX(Inputs!$D$4:$AG$250,0,MATCH(U$2,Inputs!$D$2:$AG$2,0)),Inputs!$B$4:$B$250,$B57)/1000)</f>
        <v>13.378</v>
      </c>
      <c r="V57" s="11">
        <f>IF(SUMPRODUCT((Inputs!$B$4:$B$250=$B57)*ISNUMBER(INDEX(Inputs!$D$4:$AG$250,0,MATCH(V$2,Inputs!$D$2:$AG$2,0))))=0,"",SUMIFS(INDEX(Inputs!$D$4:$AG$250,0,MATCH(V$2,Inputs!$D$2:$AG$2,0)),Inputs!$B$4:$B$250,$B57)/1000)</f>
        <v>13.906</v>
      </c>
      <c r="W57" s="12">
        <f>IF(COUNT(S57:V57)=4,SUM(S57:V57),"")</f>
        <v>41.445</v>
      </c>
      <c r="X57" s="11">
        <f>IF(SUMPRODUCT((Inputs!$B$4:$B$250=$B57)*ISNUMBER(INDEX(Inputs!$D$4:$AG$250,0,MATCH(X$2,Inputs!$D$2:$AG$2,0))))=0,"",SUMIFS(INDEX(Inputs!$D$4:$AG$250,0,MATCH(X$2,Inputs!$D$2:$AG$2,0)),Inputs!$B$4:$B$250,$B57)/1000)</f>
        <v>12.179</v>
      </c>
      <c r="Y57" s="11">
        <f>IF(SUMPRODUCT((Inputs!$B$4:$B$250=$B57)*ISNUMBER(INDEX(Inputs!$D$4:$AG$250,0,MATCH(Y$2,Inputs!$D$2:$AG$2,0))))=0,"",SUMIFS(INDEX(Inputs!$D$4:$AG$250,0,MATCH(Y$2,Inputs!$D$2:$AG$2,0)),Inputs!$B$4:$B$250,$B57)/1000)</f>
        <v>5.952</v>
      </c>
      <c r="Z57" s="11">
        <f>IF(SUMPRODUCT((Inputs!$B$4:$B$250=$B57)*ISNUMBER(INDEX(Inputs!$D$4:$AG$250,0,MATCH(Z$2,Inputs!$D$2:$AG$2,0))))=0,"",SUMIFS(INDEX(Inputs!$D$4:$AG$250,0,MATCH(Z$2,Inputs!$D$2:$AG$2,0)),Inputs!$B$4:$B$250,$B57)/1000)</f>
        <v>2.723</v>
      </c>
      <c r="AA57" s="11">
        <f>IF(SUMPRODUCT((Inputs!$B$4:$B$250=$B57)*ISNUMBER(INDEX(Inputs!$D$4:$AG$250,0,MATCH(AA$2,Inputs!$D$2:$AG$2,0))))=0,"",SUMIFS(INDEX(Inputs!$D$4:$AG$250,0,MATCH(AA$2,Inputs!$D$2:$AG$2,0)),Inputs!$B$4:$B$250,$B57)/1000)</f>
        <v>21.417</v>
      </c>
      <c r="AB57" s="12">
        <f>IF(COUNT(X57:AA57)=4,SUM(X57:AA57),"")</f>
        <v>42.271</v>
      </c>
      <c r="AC57" s="11">
        <f>IF(SUMPRODUCT((Inputs!$B$4:$B$250=$B57)*ISNUMBER(INDEX(Inputs!$D$4:$AG$250,0,MATCH(AC$2,Inputs!$D$2:$AG$2,0))))=0,"",SUMIFS(INDEX(Inputs!$D$4:$AG$250,0,MATCH(AC$2,Inputs!$D$2:$AG$2,0)),Inputs!$B$4:$B$250,$B57)/1000)</f>
        <v>6.358</v>
      </c>
      <c r="AD57" s="11">
        <f>IF(SUMPRODUCT((Inputs!$B$4:$B$250=$B57)*ISNUMBER(INDEX(Inputs!$D$4:$AG$250,0,MATCH(AD$2,Inputs!$D$2:$AG$2,0))))=0,"",SUMIFS(INDEX(Inputs!$D$4:$AG$250,0,MATCH(AD$2,Inputs!$D$2:$AG$2,0)),Inputs!$B$4:$B$250,$B57)/1000)</f>
        <v>15.274</v>
      </c>
      <c r="AE57" s="11" t="str">
        <f>IF(SUMPRODUCT((Inputs!$B$4:$B$250=$B57)*ISNUMBER(INDEX(Inputs!$D$4:$AG$250,0,MATCH(AE$2,Inputs!$D$2:$AG$2,0))))=0,"",SUMIFS(INDEX(Inputs!$D$4:$AG$250,0,MATCH(AE$2,Inputs!$D$2:$AG$2,0)),Inputs!$B$4:$B$250,$B57)/1000)</f>
        <v/>
      </c>
      <c r="AF57" s="11" t="str">
        <f>IF(SUMPRODUCT((Inputs!$B$4:$B$250=$B57)*ISNUMBER(INDEX(Inputs!$D$4:$AG$250,0,MATCH(AF$2,Inputs!$D$2:$AG$2,0))))=0,"",SUMIFS(INDEX(Inputs!$D$4:$AG$250,0,MATCH(AF$2,Inputs!$D$2:$AG$2,0)),Inputs!$B$4:$B$250,$B57)/1000)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Transmissao | EATE</t>
        </is>
      </c>
      <c r="D58" s="11">
        <f>IF(SUMPRODUCT((Inputs!$B$4:$B$250=$B58)*ISNUMBER(INDEX(Inputs!$D$4:$AG$250,0,MATCH(D$2,Inputs!$D$2:$AG$2,0))))=0,"",SUMIFS(INDEX(Inputs!$D$4:$AG$250,0,MATCH(D$2,Inputs!$D$2:$AG$2,0)),Inputs!$B$4:$B$250,$B58)/1000)</f>
        <v>134.791</v>
      </c>
      <c r="E58" s="11">
        <f>IF(SUMPRODUCT((Inputs!$B$4:$B$250=$B58)*ISNUMBER(INDEX(Inputs!$D$4:$AG$250,0,MATCH(E$2,Inputs!$D$2:$AG$2,0))))=0,"",SUMIFS(INDEX(Inputs!$D$4:$AG$250,0,MATCH(E$2,Inputs!$D$2:$AG$2,0)),Inputs!$B$4:$B$250,$B58)/1000)</f>
        <v>182.84</v>
      </c>
      <c r="F58" s="11">
        <f>IF(SUMPRODUCT((Inputs!$B$4:$B$250=$B58)*ISNUMBER(INDEX(Inputs!$D$4:$AG$250,0,MATCH(F$2,Inputs!$D$2:$AG$2,0))))=0,"",SUMIFS(INDEX(Inputs!$D$4:$AG$250,0,MATCH(F$2,Inputs!$D$2:$AG$2,0)),Inputs!$B$4:$B$250,$B58)/1000)</f>
        <v>89.435</v>
      </c>
      <c r="G58" s="11">
        <f>IF(SUMPRODUCT((Inputs!$B$4:$B$250=$B58)*ISNUMBER(INDEX(Inputs!$D$4:$AG$250,0,MATCH(G$2,Inputs!$D$2:$AG$2,0))))=0,"",SUMIFS(INDEX(Inputs!$D$4:$AG$250,0,MATCH(G$2,Inputs!$D$2:$AG$2,0)),Inputs!$B$4:$B$250,$B58)/1000)</f>
        <v>60.356</v>
      </c>
      <c r="H58" s="12">
        <f>IF(COUNT(D58:G58)=4,SUM(D58:G58),"")</f>
        <v>467.422</v>
      </c>
      <c r="I58" s="11">
        <f>IF(SUMPRODUCT((Inputs!$B$4:$B$250=$B58)*ISNUMBER(INDEX(Inputs!$D$4:$AG$250,0,MATCH(I$2,Inputs!$D$2:$AG$2,0))))=0,"",SUMIFS(INDEX(Inputs!$D$4:$AG$250,0,MATCH(I$2,Inputs!$D$2:$AG$2,0)),Inputs!$B$4:$B$250,$B58)/1000)</f>
        <v>129.129</v>
      </c>
      <c r="J58" s="11">
        <f>IF(SUMPRODUCT((Inputs!$B$4:$B$250=$B58)*ISNUMBER(INDEX(Inputs!$D$4:$AG$250,0,MATCH(J$2,Inputs!$D$2:$AG$2,0))))=0,"",SUMIFS(INDEX(Inputs!$D$4:$AG$250,0,MATCH(J$2,Inputs!$D$2:$AG$2,0)),Inputs!$B$4:$B$250,$B58)/1000)</f>
        <v>121.287</v>
      </c>
      <c r="K58" s="11">
        <f>IF(SUMPRODUCT((Inputs!$B$4:$B$250=$B58)*ISNUMBER(INDEX(Inputs!$D$4:$AG$250,0,MATCH(K$2,Inputs!$D$2:$AG$2,0))))=0,"",SUMIFS(INDEX(Inputs!$D$4:$AG$250,0,MATCH(K$2,Inputs!$D$2:$AG$2,0)),Inputs!$B$4:$B$250,$B58)/1000)</f>
        <v>64.751</v>
      </c>
      <c r="L58" s="11">
        <f>IF(SUMPRODUCT((Inputs!$B$4:$B$250=$B58)*ISNUMBER(INDEX(Inputs!$D$4:$AG$250,0,MATCH(L$2,Inputs!$D$2:$AG$2,0))))=0,"",SUMIFS(INDEX(Inputs!$D$4:$AG$250,0,MATCH(L$2,Inputs!$D$2:$AG$2,0)),Inputs!$B$4:$B$250,$B58)/1000)</f>
        <v>26.032</v>
      </c>
      <c r="M58" s="12">
        <f>IF(COUNT(I58:L58)=4,SUM(I58:L58),"")</f>
        <v>341.199</v>
      </c>
      <c r="N58" s="11">
        <f>IF(SUMPRODUCT((Inputs!$B$4:$B$250=$B58)*ISNUMBER(INDEX(Inputs!$D$4:$AG$250,0,MATCH(N$2,Inputs!$D$2:$AG$2,0))))=0,"",SUMIFS(INDEX(Inputs!$D$4:$AG$250,0,MATCH(N$2,Inputs!$D$2:$AG$2,0)),Inputs!$B$4:$B$250,$B58)/1000)</f>
        <v>70.348</v>
      </c>
      <c r="O58" s="11">
        <f>IF(SUMPRODUCT((Inputs!$B$4:$B$250=$B58)*ISNUMBER(INDEX(Inputs!$D$4:$AG$250,0,MATCH(O$2,Inputs!$D$2:$AG$2,0))))=0,"",SUMIFS(INDEX(Inputs!$D$4:$AG$250,0,MATCH(O$2,Inputs!$D$2:$AG$2,0)),Inputs!$B$4:$B$250,$B58)/1000)</f>
        <v>19.009</v>
      </c>
      <c r="P58" s="11">
        <f>IF(SUMPRODUCT((Inputs!$B$4:$B$250=$B58)*ISNUMBER(INDEX(Inputs!$D$4:$AG$250,0,MATCH(P$2,Inputs!$D$2:$AG$2,0))))=0,"",SUMIFS(INDEX(Inputs!$D$4:$AG$250,0,MATCH(P$2,Inputs!$D$2:$AG$2,0)),Inputs!$B$4:$B$250,$B58)/1000)</f>
        <v>18.724</v>
      </c>
      <c r="Q58" s="11">
        <f>IF(SUMPRODUCT((Inputs!$B$4:$B$250=$B58)*ISNUMBER(INDEX(Inputs!$D$4:$AG$250,0,MATCH(Q$2,Inputs!$D$2:$AG$2,0))))=0,"",SUMIFS(INDEX(Inputs!$D$4:$AG$250,0,MATCH(Q$2,Inputs!$D$2:$AG$2,0)),Inputs!$B$4:$B$250,$B58)/1000)</f>
        <v>79.422</v>
      </c>
      <c r="R58" s="12">
        <f>IF(COUNT(N58:Q58)=4,SUM(N58:Q58),"")</f>
        <v>187.503</v>
      </c>
      <c r="S58" s="11">
        <f>IF(SUMPRODUCT((Inputs!$B$4:$B$250=$B58)*ISNUMBER(INDEX(Inputs!$D$4:$AG$250,0,MATCH(S$2,Inputs!$D$2:$AG$2,0))))=0,"",SUMIFS(INDEX(Inputs!$D$4:$AG$250,0,MATCH(S$2,Inputs!$D$2:$AG$2,0)),Inputs!$B$4:$B$250,$B58)/1000)</f>
        <v>60.003</v>
      </c>
      <c r="T58" s="11">
        <f>IF(SUMPRODUCT((Inputs!$B$4:$B$250=$B58)*ISNUMBER(INDEX(Inputs!$D$4:$AG$250,0,MATCH(T$2,Inputs!$D$2:$AG$2,0))))=0,"",SUMIFS(INDEX(Inputs!$D$4:$AG$250,0,MATCH(T$2,Inputs!$D$2:$AG$2,0)),Inputs!$B$4:$B$250,$B58)/1000)</f>
        <v>64.939</v>
      </c>
      <c r="U58" s="11">
        <f>IF(SUMPRODUCT((Inputs!$B$4:$B$250=$B58)*ISNUMBER(INDEX(Inputs!$D$4:$AG$250,0,MATCH(U$2,Inputs!$D$2:$AG$2,0))))=0,"",SUMIFS(INDEX(Inputs!$D$4:$AG$250,0,MATCH(U$2,Inputs!$D$2:$AG$2,0)),Inputs!$B$4:$B$250,$B58)/1000)</f>
        <v>73.684</v>
      </c>
      <c r="V58" s="11">
        <f>IF(SUMPRODUCT((Inputs!$B$4:$B$250=$B58)*ISNUMBER(INDEX(Inputs!$D$4:$AG$250,0,MATCH(V$2,Inputs!$D$2:$AG$2,0))))=0,"",SUMIFS(INDEX(Inputs!$D$4:$AG$250,0,MATCH(V$2,Inputs!$D$2:$AG$2,0)),Inputs!$B$4:$B$250,$B58)/1000)</f>
        <v>99.562</v>
      </c>
      <c r="W58" s="12">
        <f>IF(COUNT(S58:V58)=4,SUM(S58:V58),"")</f>
        <v>298.188</v>
      </c>
      <c r="X58" s="11">
        <f>IF(SUMPRODUCT((Inputs!$B$4:$B$250=$B58)*ISNUMBER(INDEX(Inputs!$D$4:$AG$250,0,MATCH(X$2,Inputs!$D$2:$AG$2,0))))=0,"",SUMIFS(INDEX(Inputs!$D$4:$AG$250,0,MATCH(X$2,Inputs!$D$2:$AG$2,0)),Inputs!$B$4:$B$250,$B58)/1000)</f>
        <v>84.531</v>
      </c>
      <c r="Y58" s="11">
        <f>IF(SUMPRODUCT((Inputs!$B$4:$B$250=$B58)*ISNUMBER(INDEX(Inputs!$D$4:$AG$250,0,MATCH(Y$2,Inputs!$D$2:$AG$2,0))))=0,"",SUMIFS(INDEX(Inputs!$D$4:$AG$250,0,MATCH(Y$2,Inputs!$D$2:$AG$2,0)),Inputs!$B$4:$B$250,$B58)/1000)</f>
        <v>48.536</v>
      </c>
      <c r="Z58" s="11">
        <f>IF(SUMPRODUCT((Inputs!$B$4:$B$250=$B58)*ISNUMBER(INDEX(Inputs!$D$4:$AG$250,0,MATCH(Z$2,Inputs!$D$2:$AG$2,0))))=0,"",SUMIFS(INDEX(Inputs!$D$4:$AG$250,0,MATCH(Z$2,Inputs!$D$2:$AG$2,0)),Inputs!$B$4:$B$250,$B58)/1000)</f>
        <v>72.832</v>
      </c>
      <c r="AA58" s="11">
        <f>IF(SUMPRODUCT((Inputs!$B$4:$B$250=$B58)*ISNUMBER(INDEX(Inputs!$D$4:$AG$250,0,MATCH(AA$2,Inputs!$D$2:$AG$2,0))))=0,"",SUMIFS(INDEX(Inputs!$D$4:$AG$250,0,MATCH(AA$2,Inputs!$D$2:$AG$2,0)),Inputs!$B$4:$B$250,$B58)/1000)</f>
        <v>84.444</v>
      </c>
      <c r="AB58" s="12">
        <f>IF(COUNT(X58:AA58)=4,SUM(X58:AA58),"")</f>
        <v>290.343</v>
      </c>
      <c r="AC58" s="11">
        <f>IF(SUMPRODUCT((Inputs!$B$4:$B$250=$B58)*ISNUMBER(INDEX(Inputs!$D$4:$AG$250,0,MATCH(AC$2,Inputs!$D$2:$AG$2,0))))=0,"",SUMIFS(INDEX(Inputs!$D$4:$AG$250,0,MATCH(AC$2,Inputs!$D$2:$AG$2,0)),Inputs!$B$4:$B$250,$B58)/1000)</f>
        <v>125.373</v>
      </c>
      <c r="AD58" s="11">
        <f>IF(SUMPRODUCT((Inputs!$B$4:$B$250=$B58)*ISNUMBER(INDEX(Inputs!$D$4:$AG$250,0,MATCH(AD$2,Inputs!$D$2:$AG$2,0))))=0,"",SUMIFS(INDEX(Inputs!$D$4:$AG$250,0,MATCH(AD$2,Inputs!$D$2:$AG$2,0)),Inputs!$B$4:$B$250,$B58)/1000)</f>
        <v>194.523</v>
      </c>
      <c r="AE58" s="11" t="str">
        <f>IF(SUMPRODUCT((Inputs!$B$4:$B$250=$B58)*ISNUMBER(INDEX(Inputs!$D$4:$AG$250,0,MATCH(AE$2,Inputs!$D$2:$AG$2,0))))=0,"",SUMIFS(INDEX(Inputs!$D$4:$AG$250,0,MATCH(AE$2,Inputs!$D$2:$AG$2,0)),Inputs!$B$4:$B$250,$B58)/1000)</f>
        <v/>
      </c>
      <c r="AF58" s="11" t="str">
        <f>IF(SUMPRODUCT((Inputs!$B$4:$B$250=$B58)*ISNUMBER(INDEX(Inputs!$D$4:$AG$250,0,MATCH(AF$2,Inputs!$D$2:$AG$2,0))))=0,"",SUMIFS(INDEX(Inputs!$D$4:$AG$250,0,MATCH(AF$2,Inputs!$D$2:$AG$2,0)),Inputs!$B$4:$B$250,$B58)/1000)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Transmissao | ETEP</t>
        </is>
      </c>
      <c r="D59" s="11">
        <f>IF(SUMPRODUCT((Inputs!$B$4:$B$250=$B59)*ISNUMBER(INDEX(Inputs!$D$4:$AG$250,0,MATCH(D$2,Inputs!$D$2:$AG$2,0))))=0,"",SUMIFS(INDEX(Inputs!$D$4:$AG$250,0,MATCH(D$2,Inputs!$D$2:$AG$2,0)),Inputs!$B$4:$B$250,$B59)/1000)</f>
        <v>30.299</v>
      </c>
      <c r="E59" s="11">
        <f>IF(SUMPRODUCT((Inputs!$B$4:$B$250=$B59)*ISNUMBER(INDEX(Inputs!$D$4:$AG$250,0,MATCH(E$2,Inputs!$D$2:$AG$2,0))))=0,"",SUMIFS(INDEX(Inputs!$D$4:$AG$250,0,MATCH(E$2,Inputs!$D$2:$AG$2,0)),Inputs!$B$4:$B$250,$B59)/1000)</f>
        <v>41.039</v>
      </c>
      <c r="F59" s="11">
        <f>IF(SUMPRODUCT((Inputs!$B$4:$B$250=$B59)*ISNUMBER(INDEX(Inputs!$D$4:$AG$250,0,MATCH(F$2,Inputs!$D$2:$AG$2,0))))=0,"",SUMIFS(INDEX(Inputs!$D$4:$AG$250,0,MATCH(F$2,Inputs!$D$2:$AG$2,0)),Inputs!$B$4:$B$250,$B59)/1000)</f>
        <v>20.165</v>
      </c>
      <c r="G59" s="11">
        <f>IF(SUMPRODUCT((Inputs!$B$4:$B$250=$B59)*ISNUMBER(INDEX(Inputs!$D$4:$AG$250,0,MATCH(G$2,Inputs!$D$2:$AG$2,0))))=0,"",SUMIFS(INDEX(Inputs!$D$4:$AG$250,0,MATCH(G$2,Inputs!$D$2:$AG$2,0)),Inputs!$B$4:$B$250,$B59)/1000)</f>
        <v>5.949</v>
      </c>
      <c r="H59" s="12">
        <f>IF(COUNT(D59:G59)=4,SUM(D59:G59),"")</f>
        <v>97.452</v>
      </c>
      <c r="I59" s="11">
        <f>IF(SUMPRODUCT((Inputs!$B$4:$B$250=$B59)*ISNUMBER(INDEX(Inputs!$D$4:$AG$250,0,MATCH(I$2,Inputs!$D$2:$AG$2,0))))=0,"",SUMIFS(INDEX(Inputs!$D$4:$AG$250,0,MATCH(I$2,Inputs!$D$2:$AG$2,0)),Inputs!$B$4:$B$250,$B59)/1000)</f>
        <v>29.092</v>
      </c>
      <c r="J59" s="11">
        <f>IF(SUMPRODUCT((Inputs!$B$4:$B$250=$B59)*ISNUMBER(INDEX(Inputs!$D$4:$AG$250,0,MATCH(J$2,Inputs!$D$2:$AG$2,0))))=0,"",SUMIFS(INDEX(Inputs!$D$4:$AG$250,0,MATCH(J$2,Inputs!$D$2:$AG$2,0)),Inputs!$B$4:$B$250,$B59)/1000)</f>
        <v>26.372</v>
      </c>
      <c r="K59" s="11">
        <f>IF(SUMPRODUCT((Inputs!$B$4:$B$250=$B59)*ISNUMBER(INDEX(Inputs!$D$4:$AG$250,0,MATCH(K$2,Inputs!$D$2:$AG$2,0))))=0,"",SUMIFS(INDEX(Inputs!$D$4:$AG$250,0,MATCH(K$2,Inputs!$D$2:$AG$2,0)),Inputs!$B$4:$B$250,$B59)/1000)</f>
        <v>14.811</v>
      </c>
      <c r="L59" s="11">
        <f>IF(SUMPRODUCT((Inputs!$B$4:$B$250=$B59)*ISNUMBER(INDEX(Inputs!$D$4:$AG$250,0,MATCH(L$2,Inputs!$D$2:$AG$2,0))))=0,"",SUMIFS(INDEX(Inputs!$D$4:$AG$250,0,MATCH(L$2,Inputs!$D$2:$AG$2,0)),Inputs!$B$4:$B$250,$B59)/1000)</f>
        <v>6.241</v>
      </c>
      <c r="M59" s="12">
        <f>IF(COUNT(I59:L59)=4,SUM(I59:L59),"")</f>
        <v>76.516</v>
      </c>
      <c r="N59" s="11">
        <f>IF(SUMPRODUCT((Inputs!$B$4:$B$250=$B59)*ISNUMBER(INDEX(Inputs!$D$4:$AG$250,0,MATCH(N$2,Inputs!$D$2:$AG$2,0))))=0,"",SUMIFS(INDEX(Inputs!$D$4:$AG$250,0,MATCH(N$2,Inputs!$D$2:$AG$2,0)),Inputs!$B$4:$B$250,$B59)/1000)</f>
        <v>16.005</v>
      </c>
      <c r="O59" s="11">
        <f>IF(SUMPRODUCT((Inputs!$B$4:$B$250=$B59)*ISNUMBER(INDEX(Inputs!$D$4:$AG$250,0,MATCH(O$2,Inputs!$D$2:$AG$2,0))))=0,"",SUMIFS(INDEX(Inputs!$D$4:$AG$250,0,MATCH(O$2,Inputs!$D$2:$AG$2,0)),Inputs!$B$4:$B$250,$B59)/1000)</f>
        <v>4.288</v>
      </c>
      <c r="P59" s="11">
        <f>IF(SUMPRODUCT((Inputs!$B$4:$B$250=$B59)*ISNUMBER(INDEX(Inputs!$D$4:$AG$250,0,MATCH(P$2,Inputs!$D$2:$AG$2,0))))=0,"",SUMIFS(INDEX(Inputs!$D$4:$AG$250,0,MATCH(P$2,Inputs!$D$2:$AG$2,0)),Inputs!$B$4:$B$250,$B59)/1000)</f>
        <v>5.467</v>
      </c>
      <c r="Q59" s="11">
        <f>IF(SUMPRODUCT((Inputs!$B$4:$B$250=$B59)*ISNUMBER(INDEX(Inputs!$D$4:$AG$250,0,MATCH(Q$2,Inputs!$D$2:$AG$2,0))))=0,"",SUMIFS(INDEX(Inputs!$D$4:$AG$250,0,MATCH(Q$2,Inputs!$D$2:$AG$2,0)),Inputs!$B$4:$B$250,$B59)/1000)</f>
        <v>17.654</v>
      </c>
      <c r="R59" s="12">
        <f>IF(COUNT(N59:Q59)=4,SUM(N59:Q59),"")</f>
        <v>43.414</v>
      </c>
      <c r="S59" s="11">
        <f>IF(SUMPRODUCT((Inputs!$B$4:$B$250=$B59)*ISNUMBER(INDEX(Inputs!$D$4:$AG$250,0,MATCH(S$2,Inputs!$D$2:$AG$2,0))))=0,"",SUMIFS(INDEX(Inputs!$D$4:$AG$250,0,MATCH(S$2,Inputs!$D$2:$AG$2,0)),Inputs!$B$4:$B$250,$B59)/1000)</f>
        <v>13.681</v>
      </c>
      <c r="T59" s="11">
        <f>IF(SUMPRODUCT((Inputs!$B$4:$B$250=$B59)*ISNUMBER(INDEX(Inputs!$D$4:$AG$250,0,MATCH(T$2,Inputs!$D$2:$AG$2,0))))=0,"",SUMIFS(INDEX(Inputs!$D$4:$AG$250,0,MATCH(T$2,Inputs!$D$2:$AG$2,0)),Inputs!$B$4:$B$250,$B59)/1000)</f>
        <v>14.856</v>
      </c>
      <c r="U59" s="11">
        <f>IF(SUMPRODUCT((Inputs!$B$4:$B$250=$B59)*ISNUMBER(INDEX(Inputs!$D$4:$AG$250,0,MATCH(U$2,Inputs!$D$2:$AG$2,0))))=0,"",SUMIFS(INDEX(Inputs!$D$4:$AG$250,0,MATCH(U$2,Inputs!$D$2:$AG$2,0)),Inputs!$B$4:$B$250,$B59)/1000)</f>
        <v>16.837</v>
      </c>
      <c r="V59" s="11">
        <f>IF(SUMPRODUCT((Inputs!$B$4:$B$250=$B59)*ISNUMBER(INDEX(Inputs!$D$4:$AG$250,0,MATCH(V$2,Inputs!$D$2:$AG$2,0))))=0,"",SUMIFS(INDEX(Inputs!$D$4:$AG$250,0,MATCH(V$2,Inputs!$D$2:$AG$2,0)),Inputs!$B$4:$B$250,$B59)/1000)</f>
        <v>22.467</v>
      </c>
      <c r="W59" s="12">
        <f>IF(COUNT(S59:V59)=4,SUM(S59:V59),"")</f>
        <v>67.841</v>
      </c>
      <c r="X59" s="11">
        <f>IF(SUMPRODUCT((Inputs!$B$4:$B$250=$B59)*ISNUMBER(INDEX(Inputs!$D$4:$AG$250,0,MATCH(X$2,Inputs!$D$2:$AG$2,0))))=0,"",SUMIFS(INDEX(Inputs!$D$4:$AG$250,0,MATCH(X$2,Inputs!$D$2:$AG$2,0)),Inputs!$B$4:$B$250,$B59)/1000)</f>
        <v>19.09</v>
      </c>
      <c r="Y59" s="11">
        <f>IF(SUMPRODUCT((Inputs!$B$4:$B$250=$B59)*ISNUMBER(INDEX(Inputs!$D$4:$AG$250,0,MATCH(Y$2,Inputs!$D$2:$AG$2,0))))=0,"",SUMIFS(INDEX(Inputs!$D$4:$AG$250,0,MATCH(Y$2,Inputs!$D$2:$AG$2,0)),Inputs!$B$4:$B$250,$B59)/1000)</f>
        <v>10.98</v>
      </c>
      <c r="Z59" s="11">
        <f>IF(SUMPRODUCT((Inputs!$B$4:$B$250=$B59)*ISNUMBER(INDEX(Inputs!$D$4:$AG$250,0,MATCH(Z$2,Inputs!$D$2:$AG$2,0))))=0,"",SUMIFS(INDEX(Inputs!$D$4:$AG$250,0,MATCH(Z$2,Inputs!$D$2:$AG$2,0)),Inputs!$B$4:$B$250,$B59)/1000)</f>
        <v>10.236</v>
      </c>
      <c r="AA59" s="11">
        <f>IF(SUMPRODUCT((Inputs!$B$4:$B$250=$B59)*ISNUMBER(INDEX(Inputs!$D$4:$AG$250,0,MATCH(AA$2,Inputs!$D$2:$AG$2,0))))=0,"",SUMIFS(INDEX(Inputs!$D$4:$AG$250,0,MATCH(AA$2,Inputs!$D$2:$AG$2,0)),Inputs!$B$4:$B$250,$B59)/1000)</f>
        <v>15.541</v>
      </c>
      <c r="AB59" s="12">
        <f>IF(COUNT(X59:AA59)=4,SUM(X59:AA59),"")</f>
        <v>55.847</v>
      </c>
      <c r="AC59" s="11">
        <f>IF(SUMPRODUCT((Inputs!$B$4:$B$250=$B59)*ISNUMBER(INDEX(Inputs!$D$4:$AG$250,0,MATCH(AC$2,Inputs!$D$2:$AG$2,0))))=0,"",SUMIFS(INDEX(Inputs!$D$4:$AG$250,0,MATCH(AC$2,Inputs!$D$2:$AG$2,0)),Inputs!$B$4:$B$250,$B59)/1000)</f>
        <v>12.463</v>
      </c>
      <c r="AD59" s="11">
        <f>IF(SUMPRODUCT((Inputs!$B$4:$B$250=$B59)*ISNUMBER(INDEX(Inputs!$D$4:$AG$250,0,MATCH(AD$2,Inputs!$D$2:$AG$2,0))))=0,"",SUMIFS(INDEX(Inputs!$D$4:$AG$250,0,MATCH(AD$2,Inputs!$D$2:$AG$2,0)),Inputs!$B$4:$B$250,$B59)/1000)</f>
        <v>21.406</v>
      </c>
      <c r="AE59" s="11" t="str">
        <f>IF(SUMPRODUCT((Inputs!$B$4:$B$250=$B59)*ISNUMBER(INDEX(Inputs!$D$4:$AG$250,0,MATCH(AE$2,Inputs!$D$2:$AG$2,0))))=0,"",SUMIFS(INDEX(Inputs!$D$4:$AG$250,0,MATCH(AE$2,Inputs!$D$2:$AG$2,0)),Inputs!$B$4:$B$250,$B59)/1000)</f>
        <v/>
      </c>
      <c r="AF59" s="11" t="str">
        <f>IF(SUMPRODUCT((Inputs!$B$4:$B$250=$B59)*ISNUMBER(INDEX(Inputs!$D$4:$AG$250,0,MATCH(AF$2,Inputs!$D$2:$AG$2,0))))=0,"",SUMIFS(INDEX(Inputs!$D$4:$AG$250,0,MATCH(AF$2,Inputs!$D$2:$AG$2,0)),Inputs!$B$4:$B$250,$B59)/1000)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Transmissao | ECTE</t>
        </is>
      </c>
      <c r="D60" s="11">
        <f>IF(SUMPRODUCT((Inputs!$B$4:$B$250=$B60)*ISNUMBER(INDEX(Inputs!$D$4:$AG$250,0,MATCH(D$2,Inputs!$D$2:$AG$2,0))))=0,"",SUMIFS(INDEX(Inputs!$D$4:$AG$250,0,MATCH(D$2,Inputs!$D$2:$AG$2,0)),Inputs!$B$4:$B$250,$B60)/1000)</f>
        <v>28.355</v>
      </c>
      <c r="E60" s="11">
        <f>IF(SUMPRODUCT((Inputs!$B$4:$B$250=$B60)*ISNUMBER(INDEX(Inputs!$D$4:$AG$250,0,MATCH(E$2,Inputs!$D$2:$AG$2,0))))=0,"",SUMIFS(INDEX(Inputs!$D$4:$AG$250,0,MATCH(E$2,Inputs!$D$2:$AG$2,0)),Inputs!$B$4:$B$250,$B60)/1000)</f>
        <v>42.125</v>
      </c>
      <c r="F60" s="11">
        <f>IF(SUMPRODUCT((Inputs!$B$4:$B$250=$B60)*ISNUMBER(INDEX(Inputs!$D$4:$AG$250,0,MATCH(F$2,Inputs!$D$2:$AG$2,0))))=0,"",SUMIFS(INDEX(Inputs!$D$4:$AG$250,0,MATCH(F$2,Inputs!$D$2:$AG$2,0)),Inputs!$B$4:$B$250,$B60)/1000)</f>
        <v>18.911</v>
      </c>
      <c r="G60" s="11">
        <f>IF(SUMPRODUCT((Inputs!$B$4:$B$250=$B60)*ISNUMBER(INDEX(Inputs!$D$4:$AG$250,0,MATCH(G$2,Inputs!$D$2:$AG$2,0))))=0,"",SUMIFS(INDEX(Inputs!$D$4:$AG$250,0,MATCH(G$2,Inputs!$D$2:$AG$2,0)),Inputs!$B$4:$B$250,$B60)/1000)</f>
        <v>12.897</v>
      </c>
      <c r="H60" s="12">
        <f>IF(COUNT(D60:G60)=4,SUM(D60:G60),"")</f>
        <v>102.288</v>
      </c>
      <c r="I60" s="11">
        <f>IF(SUMPRODUCT((Inputs!$B$4:$B$250=$B60)*ISNUMBER(INDEX(Inputs!$D$4:$AG$250,0,MATCH(I$2,Inputs!$D$2:$AG$2,0))))=0,"",SUMIFS(INDEX(Inputs!$D$4:$AG$250,0,MATCH(I$2,Inputs!$D$2:$AG$2,0)),Inputs!$B$4:$B$250,$B60)/1000)</f>
        <v>26.96</v>
      </c>
      <c r="J60" s="11">
        <f>IF(SUMPRODUCT((Inputs!$B$4:$B$250=$B60)*ISNUMBER(INDEX(Inputs!$D$4:$AG$250,0,MATCH(J$2,Inputs!$D$2:$AG$2,0))))=0,"",SUMIFS(INDEX(Inputs!$D$4:$AG$250,0,MATCH(J$2,Inputs!$D$2:$AG$2,0)),Inputs!$B$4:$B$250,$B60)/1000)</f>
        <v>25.592</v>
      </c>
      <c r="K60" s="11">
        <f>IF(SUMPRODUCT((Inputs!$B$4:$B$250=$B60)*ISNUMBER(INDEX(Inputs!$D$4:$AG$250,0,MATCH(K$2,Inputs!$D$2:$AG$2,0))))=0,"",SUMIFS(INDEX(Inputs!$D$4:$AG$250,0,MATCH(K$2,Inputs!$D$2:$AG$2,0)),Inputs!$B$4:$B$250,$B60)/1000)</f>
        <v>13.855</v>
      </c>
      <c r="L60" s="11">
        <f>IF(SUMPRODUCT((Inputs!$B$4:$B$250=$B60)*ISNUMBER(INDEX(Inputs!$D$4:$AG$250,0,MATCH(L$2,Inputs!$D$2:$AG$2,0))))=0,"",SUMIFS(INDEX(Inputs!$D$4:$AG$250,0,MATCH(L$2,Inputs!$D$2:$AG$2,0)),Inputs!$B$4:$B$250,$B60)/1000)</f>
        <v>5.87</v>
      </c>
      <c r="M60" s="12">
        <f>IF(COUNT(I60:L60)=4,SUM(I60:L60),"")</f>
        <v>72.277</v>
      </c>
      <c r="N60" s="11">
        <f>IF(SUMPRODUCT((Inputs!$B$4:$B$250=$B60)*ISNUMBER(INDEX(Inputs!$D$4:$AG$250,0,MATCH(N$2,Inputs!$D$2:$AG$2,0))))=0,"",SUMIFS(INDEX(Inputs!$D$4:$AG$250,0,MATCH(N$2,Inputs!$D$2:$AG$2,0)),Inputs!$B$4:$B$250,$B60)/1000)</f>
        <v>14.905</v>
      </c>
      <c r="O60" s="11">
        <f>IF(SUMPRODUCT((Inputs!$B$4:$B$250=$B60)*ISNUMBER(INDEX(Inputs!$D$4:$AG$250,0,MATCH(O$2,Inputs!$D$2:$AG$2,0))))=0,"",SUMIFS(INDEX(Inputs!$D$4:$AG$250,0,MATCH(O$2,Inputs!$D$2:$AG$2,0)),Inputs!$B$4:$B$250,$B60)/1000)</f>
        <v>4.709</v>
      </c>
      <c r="P60" s="11">
        <f>IF(SUMPRODUCT((Inputs!$B$4:$B$250=$B60)*ISNUMBER(INDEX(Inputs!$D$4:$AG$250,0,MATCH(P$2,Inputs!$D$2:$AG$2,0))))=0,"",SUMIFS(INDEX(Inputs!$D$4:$AG$250,0,MATCH(P$2,Inputs!$D$2:$AG$2,0)),Inputs!$B$4:$B$250,$B60)/1000)</f>
        <v>4.923</v>
      </c>
      <c r="Q60" s="11">
        <f>IF(SUMPRODUCT((Inputs!$B$4:$B$250=$B60)*ISNUMBER(INDEX(Inputs!$D$4:$AG$250,0,MATCH(Q$2,Inputs!$D$2:$AG$2,0))))=0,"",SUMIFS(INDEX(Inputs!$D$4:$AG$250,0,MATCH(Q$2,Inputs!$D$2:$AG$2,0)),Inputs!$B$4:$B$250,$B60)/1000)</f>
        <v>16.666</v>
      </c>
      <c r="R60" s="12">
        <f>IF(COUNT(N60:Q60)=4,SUM(N60:Q60),"")</f>
        <v>41.203</v>
      </c>
      <c r="S60" s="11">
        <f>IF(SUMPRODUCT((Inputs!$B$4:$B$250=$B60)*ISNUMBER(INDEX(Inputs!$D$4:$AG$250,0,MATCH(S$2,Inputs!$D$2:$AG$2,0))))=0,"",SUMIFS(INDEX(Inputs!$D$4:$AG$250,0,MATCH(S$2,Inputs!$D$2:$AG$2,0)),Inputs!$B$4:$B$250,$B60)/1000)</f>
        <v>12.165</v>
      </c>
      <c r="T60" s="11">
        <f>IF(SUMPRODUCT((Inputs!$B$4:$B$250=$B60)*ISNUMBER(INDEX(Inputs!$D$4:$AG$250,0,MATCH(T$2,Inputs!$D$2:$AG$2,0))))=0,"",SUMIFS(INDEX(Inputs!$D$4:$AG$250,0,MATCH(T$2,Inputs!$D$2:$AG$2,0)),Inputs!$B$4:$B$250,$B60)/1000)</f>
        <v>13.732</v>
      </c>
      <c r="U60" s="11">
        <f>IF(SUMPRODUCT((Inputs!$B$4:$B$250=$B60)*ISNUMBER(INDEX(Inputs!$D$4:$AG$250,0,MATCH(U$2,Inputs!$D$2:$AG$2,0))))=0,"",SUMIFS(INDEX(Inputs!$D$4:$AG$250,0,MATCH(U$2,Inputs!$D$2:$AG$2,0)),Inputs!$B$4:$B$250,$B60)/1000)</f>
        <v>15.451</v>
      </c>
      <c r="V60" s="11">
        <f>IF(SUMPRODUCT((Inputs!$B$4:$B$250=$B60)*ISNUMBER(INDEX(Inputs!$D$4:$AG$250,0,MATCH(V$2,Inputs!$D$2:$AG$2,0))))=0,"",SUMIFS(INDEX(Inputs!$D$4:$AG$250,0,MATCH(V$2,Inputs!$D$2:$AG$2,0)),Inputs!$B$4:$B$250,$B60)/1000)</f>
        <v>20.559</v>
      </c>
      <c r="W60" s="12">
        <f>IF(COUNT(S60:V60)=4,SUM(S60:V60),"")</f>
        <v>61.907</v>
      </c>
      <c r="X60" s="11">
        <f>IF(SUMPRODUCT((Inputs!$B$4:$B$250=$B60)*ISNUMBER(INDEX(Inputs!$D$4:$AG$250,0,MATCH(X$2,Inputs!$D$2:$AG$2,0))))=0,"",SUMIFS(INDEX(Inputs!$D$4:$AG$250,0,MATCH(X$2,Inputs!$D$2:$AG$2,0)),Inputs!$B$4:$B$250,$B60)/1000)</f>
        <v>17.456</v>
      </c>
      <c r="Y60" s="11">
        <f>IF(SUMPRODUCT((Inputs!$B$4:$B$250=$B60)*ISNUMBER(INDEX(Inputs!$D$4:$AG$250,0,MATCH(Y$2,Inputs!$D$2:$AG$2,0))))=0,"",SUMIFS(INDEX(Inputs!$D$4:$AG$250,0,MATCH(Y$2,Inputs!$D$2:$AG$2,0)),Inputs!$B$4:$B$250,$B60)/1000)</f>
        <v>10.101</v>
      </c>
      <c r="Z60" s="11">
        <f>IF(SUMPRODUCT((Inputs!$B$4:$B$250=$B60)*ISNUMBER(INDEX(Inputs!$D$4:$AG$250,0,MATCH(Z$2,Inputs!$D$2:$AG$2,0))))=0,"",SUMIFS(INDEX(Inputs!$D$4:$AG$250,0,MATCH(Z$2,Inputs!$D$2:$AG$2,0)),Inputs!$B$4:$B$250,$B60)/1000)</f>
        <v>7.39</v>
      </c>
      <c r="AA60" s="11">
        <f>IF(SUMPRODUCT((Inputs!$B$4:$B$250=$B60)*ISNUMBER(INDEX(Inputs!$D$4:$AG$250,0,MATCH(AA$2,Inputs!$D$2:$AG$2,0))))=0,"",SUMIFS(INDEX(Inputs!$D$4:$AG$250,0,MATCH(AA$2,Inputs!$D$2:$AG$2,0)),Inputs!$B$4:$B$250,$B60)/1000)</f>
        <v>11.758</v>
      </c>
      <c r="AB60" s="12">
        <f>IF(COUNT(X60:AA60)=4,SUM(X60:AA60),"")</f>
        <v>46.705</v>
      </c>
      <c r="AC60" s="11">
        <f>IF(SUMPRODUCT((Inputs!$B$4:$B$250=$B60)*ISNUMBER(INDEX(Inputs!$D$4:$AG$250,0,MATCH(AC$2,Inputs!$D$2:$AG$2,0))))=0,"",SUMIFS(INDEX(Inputs!$D$4:$AG$250,0,MATCH(AC$2,Inputs!$D$2:$AG$2,0)),Inputs!$B$4:$B$250,$B60)/1000)</f>
        <v>10.154</v>
      </c>
      <c r="AD60" s="11">
        <f>IF(SUMPRODUCT((Inputs!$B$4:$B$250=$B60)*ISNUMBER(INDEX(Inputs!$D$4:$AG$250,0,MATCH(AD$2,Inputs!$D$2:$AG$2,0))))=0,"",SUMIFS(INDEX(Inputs!$D$4:$AG$250,0,MATCH(AD$2,Inputs!$D$2:$AG$2,0)),Inputs!$B$4:$B$250,$B60)/1000)</f>
        <v>19.672</v>
      </c>
      <c r="AE60" s="11" t="str">
        <f>IF(SUMPRODUCT((Inputs!$B$4:$B$250=$B60)*ISNUMBER(INDEX(Inputs!$D$4:$AG$250,0,MATCH(AE$2,Inputs!$D$2:$AG$2,0))))=0,"",SUMIFS(INDEX(Inputs!$D$4:$AG$250,0,MATCH(AE$2,Inputs!$D$2:$AG$2,0)),Inputs!$B$4:$B$250,$B60)/1000)</f>
        <v/>
      </c>
      <c r="AF60" s="11" t="str">
        <f>IF(SUMPRODUCT((Inputs!$B$4:$B$250=$B60)*ISNUMBER(INDEX(Inputs!$D$4:$AG$250,0,MATCH(AF$2,Inputs!$D$2:$AG$2,0))))=0,"",SUMIFS(INDEX(Inputs!$D$4:$AG$250,0,MATCH(AF$2,Inputs!$D$2:$AG$2,0)),Inputs!$B$4:$B$250,$B60)/1000)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Transmissao | ENTE</t>
        </is>
      </c>
      <c r="D61" s="11">
        <f>IF(SUMPRODUCT((Inputs!$B$4:$B$250=$B61)*ISNUMBER(INDEX(Inputs!$D$4:$AG$250,0,MATCH(D$2,Inputs!$D$2:$AG$2,0))))=0,"",SUMIFS(INDEX(Inputs!$D$4:$AG$250,0,MATCH(D$2,Inputs!$D$2:$AG$2,0)),Inputs!$B$4:$B$250,$B61)/1000)</f>
        <v>65.089</v>
      </c>
      <c r="E61" s="11">
        <f>IF(SUMPRODUCT((Inputs!$B$4:$B$250=$B61)*ISNUMBER(INDEX(Inputs!$D$4:$AG$250,0,MATCH(E$2,Inputs!$D$2:$AG$2,0))))=0,"",SUMIFS(INDEX(Inputs!$D$4:$AG$250,0,MATCH(E$2,Inputs!$D$2:$AG$2,0)),Inputs!$B$4:$B$250,$B61)/1000)</f>
        <v>85.88</v>
      </c>
      <c r="F61" s="11">
        <f>IF(SUMPRODUCT((Inputs!$B$4:$B$250=$B61)*ISNUMBER(INDEX(Inputs!$D$4:$AG$250,0,MATCH(F$2,Inputs!$D$2:$AG$2,0))))=0,"",SUMIFS(INDEX(Inputs!$D$4:$AG$250,0,MATCH(F$2,Inputs!$D$2:$AG$2,0)),Inputs!$B$4:$B$250,$B61)/1000)</f>
        <v>47.993</v>
      </c>
      <c r="G61" s="11">
        <f>IF(SUMPRODUCT((Inputs!$B$4:$B$250=$B61)*ISNUMBER(INDEX(Inputs!$D$4:$AG$250,0,MATCH(G$2,Inputs!$D$2:$AG$2,0))))=0,"",SUMIFS(INDEX(Inputs!$D$4:$AG$250,0,MATCH(G$2,Inputs!$D$2:$AG$2,0)),Inputs!$B$4:$B$250,$B61)/1000)</f>
        <v>35.666</v>
      </c>
      <c r="H61" s="12">
        <f>IF(COUNT(D61:G61)=4,SUM(D61:G61),"")</f>
        <v>234.628</v>
      </c>
      <c r="I61" s="11">
        <f>IF(SUMPRODUCT((Inputs!$B$4:$B$250=$B61)*ISNUMBER(INDEX(Inputs!$D$4:$AG$250,0,MATCH(I$2,Inputs!$D$2:$AG$2,0))))=0,"",SUMIFS(INDEX(Inputs!$D$4:$AG$250,0,MATCH(I$2,Inputs!$D$2:$AG$2,0)),Inputs!$B$4:$B$250,$B61)/1000)</f>
        <v>65.698</v>
      </c>
      <c r="J61" s="11">
        <f>IF(SUMPRODUCT((Inputs!$B$4:$B$250=$B61)*ISNUMBER(INDEX(Inputs!$D$4:$AG$250,0,MATCH(J$2,Inputs!$D$2:$AG$2,0))))=0,"",SUMIFS(INDEX(Inputs!$D$4:$AG$250,0,MATCH(J$2,Inputs!$D$2:$AG$2,0)),Inputs!$B$4:$B$250,$B61)/1000)</f>
        <v>62.298</v>
      </c>
      <c r="K61" s="11">
        <f>IF(SUMPRODUCT((Inputs!$B$4:$B$250=$B61)*ISNUMBER(INDEX(Inputs!$D$4:$AG$250,0,MATCH(K$2,Inputs!$D$2:$AG$2,0))))=0,"",SUMIFS(INDEX(Inputs!$D$4:$AG$250,0,MATCH(K$2,Inputs!$D$2:$AG$2,0)),Inputs!$B$4:$B$250,$B61)/1000)</f>
        <v>38.456</v>
      </c>
      <c r="L61" s="11">
        <f>IF(SUMPRODUCT((Inputs!$B$4:$B$250=$B61)*ISNUMBER(INDEX(Inputs!$D$4:$AG$250,0,MATCH(L$2,Inputs!$D$2:$AG$2,0))))=0,"",SUMIFS(INDEX(Inputs!$D$4:$AG$250,0,MATCH(L$2,Inputs!$D$2:$AG$2,0)),Inputs!$B$4:$B$250,$B61)/1000)</f>
        <v>21.491</v>
      </c>
      <c r="M61" s="12">
        <f>IF(COUNT(I61:L61)=4,SUM(I61:L61),"")</f>
        <v>187.943</v>
      </c>
      <c r="N61" s="11">
        <f>IF(SUMPRODUCT((Inputs!$B$4:$B$250=$B61)*ISNUMBER(INDEX(Inputs!$D$4:$AG$250,0,MATCH(N$2,Inputs!$D$2:$AG$2,0))))=0,"",SUMIFS(INDEX(Inputs!$D$4:$AG$250,0,MATCH(N$2,Inputs!$D$2:$AG$2,0)),Inputs!$B$4:$B$250,$B61)/1000)</f>
        <v>41.141</v>
      </c>
      <c r="O61" s="11">
        <f>IF(SUMPRODUCT((Inputs!$B$4:$B$250=$B61)*ISNUMBER(INDEX(Inputs!$D$4:$AG$250,0,MATCH(O$2,Inputs!$D$2:$AG$2,0))))=0,"",SUMIFS(INDEX(Inputs!$D$4:$AG$250,0,MATCH(O$2,Inputs!$D$2:$AG$2,0)),Inputs!$B$4:$B$250,$B61)/1000)</f>
        <v>19.332</v>
      </c>
      <c r="P61" s="11">
        <f>IF(SUMPRODUCT((Inputs!$B$4:$B$250=$B61)*ISNUMBER(INDEX(Inputs!$D$4:$AG$250,0,MATCH(P$2,Inputs!$D$2:$AG$2,0))))=0,"",SUMIFS(INDEX(Inputs!$D$4:$AG$250,0,MATCH(P$2,Inputs!$D$2:$AG$2,0)),Inputs!$B$4:$B$250,$B61)/1000)</f>
        <v>19.405</v>
      </c>
      <c r="Q61" s="11">
        <f>IF(SUMPRODUCT((Inputs!$B$4:$B$250=$B61)*ISNUMBER(INDEX(Inputs!$D$4:$AG$250,0,MATCH(Q$2,Inputs!$D$2:$AG$2,0))))=0,"",SUMIFS(INDEX(Inputs!$D$4:$AG$250,0,MATCH(Q$2,Inputs!$D$2:$AG$2,0)),Inputs!$B$4:$B$250,$B61)/1000)</f>
        <v>42.473</v>
      </c>
      <c r="R61" s="12">
        <f>IF(COUNT(N61:Q61)=4,SUM(N61:Q61),"")</f>
        <v>122.351</v>
      </c>
      <c r="S61" s="11">
        <f>IF(SUMPRODUCT((Inputs!$B$4:$B$250=$B61)*ISNUMBER(INDEX(Inputs!$D$4:$AG$250,0,MATCH(S$2,Inputs!$D$2:$AG$2,0))))=0,"",SUMIFS(INDEX(Inputs!$D$4:$AG$250,0,MATCH(S$2,Inputs!$D$2:$AG$2,0)),Inputs!$B$4:$B$250,$B61)/1000)</f>
        <v>36.47</v>
      </c>
      <c r="T61" s="11">
        <f>IF(SUMPRODUCT((Inputs!$B$4:$B$250=$B61)*ISNUMBER(INDEX(Inputs!$D$4:$AG$250,0,MATCH(T$2,Inputs!$D$2:$AG$2,0))))=0,"",SUMIFS(INDEX(Inputs!$D$4:$AG$250,0,MATCH(T$2,Inputs!$D$2:$AG$2,0)),Inputs!$B$4:$B$250,$B61)/1000)</f>
        <v>31.858</v>
      </c>
      <c r="U61" s="11">
        <f>IF(SUMPRODUCT((Inputs!$B$4:$B$250=$B61)*ISNUMBER(INDEX(Inputs!$D$4:$AG$250,0,MATCH(U$2,Inputs!$D$2:$AG$2,0))))=0,"",SUMIFS(INDEX(Inputs!$D$4:$AG$250,0,MATCH(U$2,Inputs!$D$2:$AG$2,0)),Inputs!$B$4:$B$250,$B61)/1000)</f>
        <v>43.194</v>
      </c>
      <c r="V61" s="11">
        <f>IF(SUMPRODUCT((Inputs!$B$4:$B$250=$B61)*ISNUMBER(INDEX(Inputs!$D$4:$AG$250,0,MATCH(V$2,Inputs!$D$2:$AG$2,0))))=0,"",SUMIFS(INDEX(Inputs!$D$4:$AG$250,0,MATCH(V$2,Inputs!$D$2:$AG$2,0)),Inputs!$B$4:$B$250,$B61)/1000)</f>
        <v>54.036</v>
      </c>
      <c r="W61" s="12">
        <f>IF(COUNT(S61:V61)=4,SUM(S61:V61),"")</f>
        <v>165.558</v>
      </c>
      <c r="X61" s="11">
        <f>IF(SUMPRODUCT((Inputs!$B$4:$B$250=$B61)*ISNUMBER(INDEX(Inputs!$D$4:$AG$250,0,MATCH(X$2,Inputs!$D$2:$AG$2,0))))=0,"",SUMIFS(INDEX(Inputs!$D$4:$AG$250,0,MATCH(X$2,Inputs!$D$2:$AG$2,0)),Inputs!$B$4:$B$250,$B61)/1000)</f>
        <v>48.236</v>
      </c>
      <c r="Y61" s="11">
        <f>IF(SUMPRODUCT((Inputs!$B$4:$B$250=$B61)*ISNUMBER(INDEX(Inputs!$D$4:$AG$250,0,MATCH(Y$2,Inputs!$D$2:$AG$2,0))))=0,"",SUMIFS(INDEX(Inputs!$D$4:$AG$250,0,MATCH(Y$2,Inputs!$D$2:$AG$2,0)),Inputs!$B$4:$B$250,$B61)/1000)</f>
        <v>31.218</v>
      </c>
      <c r="Z61" s="11">
        <f>IF(SUMPRODUCT((Inputs!$B$4:$B$250=$B61)*ISNUMBER(INDEX(Inputs!$D$4:$AG$250,0,MATCH(Z$2,Inputs!$D$2:$AG$2,0))))=0,"",SUMIFS(INDEX(Inputs!$D$4:$AG$250,0,MATCH(Z$2,Inputs!$D$2:$AG$2,0)),Inputs!$B$4:$B$250,$B61)/1000)</f>
        <v>31.858</v>
      </c>
      <c r="AA61" s="11">
        <f>IF(SUMPRODUCT((Inputs!$B$4:$B$250=$B61)*ISNUMBER(INDEX(Inputs!$D$4:$AG$250,0,MATCH(AA$2,Inputs!$D$2:$AG$2,0))))=0,"",SUMIFS(INDEX(Inputs!$D$4:$AG$250,0,MATCH(AA$2,Inputs!$D$2:$AG$2,0)),Inputs!$B$4:$B$250,$B61)/1000)</f>
        <v>37.352</v>
      </c>
      <c r="AB61" s="12">
        <f>IF(COUNT(X61:AA61)=4,SUM(X61:AA61),"")</f>
        <v>148.664</v>
      </c>
      <c r="AC61" s="11">
        <f>IF(SUMPRODUCT((Inputs!$B$4:$B$250=$B61)*ISNUMBER(INDEX(Inputs!$D$4:$AG$250,0,MATCH(AC$2,Inputs!$D$2:$AG$2,0))))=0,"",SUMIFS(INDEX(Inputs!$D$4:$AG$250,0,MATCH(AC$2,Inputs!$D$2:$AG$2,0)),Inputs!$B$4:$B$250,$B61)/1000)</f>
        <v>54.445</v>
      </c>
      <c r="AD61" s="11">
        <f>IF(SUMPRODUCT((Inputs!$B$4:$B$250=$B61)*ISNUMBER(INDEX(Inputs!$D$4:$AG$250,0,MATCH(AD$2,Inputs!$D$2:$AG$2,0))))=0,"",SUMIFS(INDEX(Inputs!$D$4:$AG$250,0,MATCH(AD$2,Inputs!$D$2:$AG$2,0)),Inputs!$B$4:$B$250,$B61)/1000)</f>
        <v>87.224</v>
      </c>
      <c r="AE61" s="11" t="str">
        <f>IF(SUMPRODUCT((Inputs!$B$4:$B$250=$B61)*ISNUMBER(INDEX(Inputs!$D$4:$AG$250,0,MATCH(AE$2,Inputs!$D$2:$AG$2,0))))=0,"",SUMIFS(INDEX(Inputs!$D$4:$AG$250,0,MATCH(AE$2,Inputs!$D$2:$AG$2,0)),Inputs!$B$4:$B$250,$B61)/1000)</f>
        <v/>
      </c>
      <c r="AF61" s="11" t="str">
        <f>IF(SUMPRODUCT((Inputs!$B$4:$B$250=$B61)*ISNUMBER(INDEX(Inputs!$D$4:$AG$250,0,MATCH(AF$2,Inputs!$D$2:$AG$2,0))))=0,"",SUMIFS(INDEX(Inputs!$D$4:$AG$250,0,MATCH(AF$2,Inputs!$D$2:$AG$2,0)),Inputs!$B$4:$B$250,$B61)/1000)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Transmissao | ERTE</t>
        </is>
      </c>
      <c r="D62" s="11">
        <f>IF(SUMPRODUCT((Inputs!$B$4:$B$250=$B62)*ISNUMBER(INDEX(Inputs!$D$4:$AG$250,0,MATCH(D$2,Inputs!$D$2:$AG$2,0))))=0,"",SUMIFS(INDEX(Inputs!$D$4:$AG$250,0,MATCH(D$2,Inputs!$D$2:$AG$2,0)),Inputs!$B$4:$B$250,$B62)/1000)</f>
        <v>14.836</v>
      </c>
      <c r="E62" s="11">
        <f>IF(SUMPRODUCT((Inputs!$B$4:$B$250=$B62)*ISNUMBER(INDEX(Inputs!$D$4:$AG$250,0,MATCH(E$2,Inputs!$D$2:$AG$2,0))))=0,"",SUMIFS(INDEX(Inputs!$D$4:$AG$250,0,MATCH(E$2,Inputs!$D$2:$AG$2,0)),Inputs!$B$4:$B$250,$B62)/1000)</f>
        <v>17.116</v>
      </c>
      <c r="F62" s="11">
        <f>IF(SUMPRODUCT((Inputs!$B$4:$B$250=$B62)*ISNUMBER(INDEX(Inputs!$D$4:$AG$250,0,MATCH(F$2,Inputs!$D$2:$AG$2,0))))=0,"",SUMIFS(INDEX(Inputs!$D$4:$AG$250,0,MATCH(F$2,Inputs!$D$2:$AG$2,0)),Inputs!$B$4:$B$250,$B62)/1000)</f>
        <v>9.208</v>
      </c>
      <c r="G62" s="11">
        <f>IF(SUMPRODUCT((Inputs!$B$4:$B$250=$B62)*ISNUMBER(INDEX(Inputs!$D$4:$AG$250,0,MATCH(G$2,Inputs!$D$2:$AG$2,0))))=0,"",SUMIFS(INDEX(Inputs!$D$4:$AG$250,0,MATCH(G$2,Inputs!$D$2:$AG$2,0)),Inputs!$B$4:$B$250,$B62)/1000)</f>
        <v>7.682</v>
      </c>
      <c r="H62" s="12">
        <f>IF(COUNT(D62:G62)=4,SUM(D62:G62),"")</f>
        <v>48.842</v>
      </c>
      <c r="I62" s="11">
        <f>IF(SUMPRODUCT((Inputs!$B$4:$B$250=$B62)*ISNUMBER(INDEX(Inputs!$D$4:$AG$250,0,MATCH(I$2,Inputs!$D$2:$AG$2,0))))=0,"",SUMIFS(INDEX(Inputs!$D$4:$AG$250,0,MATCH(I$2,Inputs!$D$2:$AG$2,0)),Inputs!$B$4:$B$250,$B62)/1000)</f>
        <v>13.059</v>
      </c>
      <c r="J62" s="11">
        <f>IF(SUMPRODUCT((Inputs!$B$4:$B$250=$B62)*ISNUMBER(INDEX(Inputs!$D$4:$AG$250,0,MATCH(J$2,Inputs!$D$2:$AG$2,0))))=0,"",SUMIFS(INDEX(Inputs!$D$4:$AG$250,0,MATCH(J$2,Inputs!$D$2:$AG$2,0)),Inputs!$B$4:$B$250,$B62)/1000)</f>
        <v>1.859</v>
      </c>
      <c r="K62" s="11">
        <f>IF(SUMPRODUCT((Inputs!$B$4:$B$250=$B62)*ISNUMBER(INDEX(Inputs!$D$4:$AG$250,0,MATCH(K$2,Inputs!$D$2:$AG$2,0))))=0,"",SUMIFS(INDEX(Inputs!$D$4:$AG$250,0,MATCH(K$2,Inputs!$D$2:$AG$2,0)),Inputs!$B$4:$B$250,$B62)/1000)</f>
        <v>12.35</v>
      </c>
      <c r="L62" s="11">
        <f>IF(SUMPRODUCT((Inputs!$B$4:$B$250=$B62)*ISNUMBER(INDEX(Inputs!$D$4:$AG$250,0,MATCH(L$2,Inputs!$D$2:$AG$2,0))))=0,"",SUMIFS(INDEX(Inputs!$D$4:$AG$250,0,MATCH(L$2,Inputs!$D$2:$AG$2,0)),Inputs!$B$4:$B$250,$B62)/1000)</f>
        <v>2.303</v>
      </c>
      <c r="M62" s="12">
        <f>IF(COUNT(I62:L62)=4,SUM(I62:L62),"")</f>
        <v>29.571</v>
      </c>
      <c r="N62" s="11">
        <f>IF(SUMPRODUCT((Inputs!$B$4:$B$250=$B62)*ISNUMBER(INDEX(Inputs!$D$4:$AG$250,0,MATCH(N$2,Inputs!$D$2:$AG$2,0))))=0,"",SUMIFS(INDEX(Inputs!$D$4:$AG$250,0,MATCH(N$2,Inputs!$D$2:$AG$2,0)),Inputs!$B$4:$B$250,$B62)/1000)</f>
        <v>7.839</v>
      </c>
      <c r="O62" s="11">
        <f>IF(SUMPRODUCT((Inputs!$B$4:$B$250=$B62)*ISNUMBER(INDEX(Inputs!$D$4:$AG$250,0,MATCH(O$2,Inputs!$D$2:$AG$2,0))))=0,"",SUMIFS(INDEX(Inputs!$D$4:$AG$250,0,MATCH(O$2,Inputs!$D$2:$AG$2,0)),Inputs!$B$4:$B$250,$B62)/1000)</f>
        <v>4.685</v>
      </c>
      <c r="P62" s="11">
        <f>IF(SUMPRODUCT((Inputs!$B$4:$B$250=$B62)*ISNUMBER(INDEX(Inputs!$D$4:$AG$250,0,MATCH(P$2,Inputs!$D$2:$AG$2,0))))=0,"",SUMIFS(INDEX(Inputs!$D$4:$AG$250,0,MATCH(P$2,Inputs!$D$2:$AG$2,0)),Inputs!$B$4:$B$250,$B62)/1000)</f>
        <v>3.546</v>
      </c>
      <c r="Q62" s="11">
        <f>IF(SUMPRODUCT((Inputs!$B$4:$B$250=$B62)*ISNUMBER(INDEX(Inputs!$D$4:$AG$250,0,MATCH(Q$2,Inputs!$D$2:$AG$2,0))))=0,"",SUMIFS(INDEX(Inputs!$D$4:$AG$250,0,MATCH(Q$2,Inputs!$D$2:$AG$2,0)),Inputs!$B$4:$B$250,$B62)/1000)</f>
        <v>10.455</v>
      </c>
      <c r="R62" s="12">
        <f>IF(COUNT(N62:Q62)=4,SUM(N62:Q62),"")</f>
        <v>26.525</v>
      </c>
      <c r="S62" s="11">
        <f>IF(SUMPRODUCT((Inputs!$B$4:$B$250=$B62)*ISNUMBER(INDEX(Inputs!$D$4:$AG$250,0,MATCH(S$2,Inputs!$D$2:$AG$2,0))))=0,"",SUMIFS(INDEX(Inputs!$D$4:$AG$250,0,MATCH(S$2,Inputs!$D$2:$AG$2,0)),Inputs!$B$4:$B$250,$B62)/1000)</f>
        <v>7.97</v>
      </c>
      <c r="T62" s="11">
        <f>IF(SUMPRODUCT((Inputs!$B$4:$B$250=$B62)*ISNUMBER(INDEX(Inputs!$D$4:$AG$250,0,MATCH(T$2,Inputs!$D$2:$AG$2,0))))=0,"",SUMIFS(INDEX(Inputs!$D$4:$AG$250,0,MATCH(T$2,Inputs!$D$2:$AG$2,0)),Inputs!$B$4:$B$250,$B62)/1000)</f>
        <v>8.7</v>
      </c>
      <c r="U62" s="11">
        <f>IF(SUMPRODUCT((Inputs!$B$4:$B$250=$B62)*ISNUMBER(INDEX(Inputs!$D$4:$AG$250,0,MATCH(U$2,Inputs!$D$2:$AG$2,0))))=0,"",SUMIFS(INDEX(Inputs!$D$4:$AG$250,0,MATCH(U$2,Inputs!$D$2:$AG$2,0)),Inputs!$B$4:$B$250,$B62)/1000)</f>
        <v>9.877</v>
      </c>
      <c r="V62" s="11">
        <f>IF(SUMPRODUCT((Inputs!$B$4:$B$250=$B62)*ISNUMBER(INDEX(Inputs!$D$4:$AG$250,0,MATCH(V$2,Inputs!$D$2:$AG$2,0))))=0,"",SUMIFS(INDEX(Inputs!$D$4:$AG$250,0,MATCH(V$2,Inputs!$D$2:$AG$2,0)),Inputs!$B$4:$B$250,$B62)/1000)</f>
        <v>12.384</v>
      </c>
      <c r="W62" s="12">
        <f>IF(COUNT(S62:V62)=4,SUM(S62:V62),"")</f>
        <v>38.931</v>
      </c>
      <c r="X62" s="11">
        <f>IF(SUMPRODUCT((Inputs!$B$4:$B$250=$B62)*ISNUMBER(INDEX(Inputs!$D$4:$AG$250,0,MATCH(X$2,Inputs!$D$2:$AG$2,0))))=0,"",SUMIFS(INDEX(Inputs!$D$4:$AG$250,0,MATCH(X$2,Inputs!$D$2:$AG$2,0)),Inputs!$B$4:$B$250,$B62)/1000)</f>
        <v>10.964</v>
      </c>
      <c r="Y62" s="11">
        <f>IF(SUMPRODUCT((Inputs!$B$4:$B$250=$B62)*ISNUMBER(INDEX(Inputs!$D$4:$AG$250,0,MATCH(Y$2,Inputs!$D$2:$AG$2,0))))=0,"",SUMIFS(INDEX(Inputs!$D$4:$AG$250,0,MATCH(Y$2,Inputs!$D$2:$AG$2,0)),Inputs!$B$4:$B$250,$B62)/1000)</f>
        <v>6.711</v>
      </c>
      <c r="Z62" s="11">
        <f>IF(SUMPRODUCT((Inputs!$B$4:$B$250=$B62)*ISNUMBER(INDEX(Inputs!$D$4:$AG$250,0,MATCH(Z$2,Inputs!$D$2:$AG$2,0))))=0,"",SUMIFS(INDEX(Inputs!$D$4:$AG$250,0,MATCH(Z$2,Inputs!$D$2:$AG$2,0)),Inputs!$B$4:$B$250,$B62)/1000)</f>
        <v>4.977</v>
      </c>
      <c r="AA62" s="11">
        <f>IF(SUMPRODUCT((Inputs!$B$4:$B$250=$B62)*ISNUMBER(INDEX(Inputs!$D$4:$AG$250,0,MATCH(AA$2,Inputs!$D$2:$AG$2,0))))=0,"",SUMIFS(INDEX(Inputs!$D$4:$AG$250,0,MATCH(AA$2,Inputs!$D$2:$AG$2,0)),Inputs!$B$4:$B$250,$B62)/1000)</f>
        <v>17.054</v>
      </c>
      <c r="AB62" s="12">
        <f>IF(COUNT(X62:AA62)=4,SUM(X62:AA62),"")</f>
        <v>39.706</v>
      </c>
      <c r="AC62" s="11">
        <f>IF(SUMPRODUCT((Inputs!$B$4:$B$250=$B62)*ISNUMBER(INDEX(Inputs!$D$4:$AG$250,0,MATCH(AC$2,Inputs!$D$2:$AG$2,0))))=0,"",SUMIFS(INDEX(Inputs!$D$4:$AG$250,0,MATCH(AC$2,Inputs!$D$2:$AG$2,0)),Inputs!$B$4:$B$250,$B62)/1000)</f>
        <v>7.243</v>
      </c>
      <c r="AD62" s="11">
        <f>IF(SUMPRODUCT((Inputs!$B$4:$B$250=$B62)*ISNUMBER(INDEX(Inputs!$D$4:$AG$250,0,MATCH(AD$2,Inputs!$D$2:$AG$2,0))))=0,"",SUMIFS(INDEX(Inputs!$D$4:$AG$250,0,MATCH(AD$2,Inputs!$D$2:$AG$2,0)),Inputs!$B$4:$B$250,$B62)/1000)</f>
        <v>13.286</v>
      </c>
      <c r="AE62" s="11" t="str">
        <f>IF(SUMPRODUCT((Inputs!$B$4:$B$250=$B62)*ISNUMBER(INDEX(Inputs!$D$4:$AG$250,0,MATCH(AE$2,Inputs!$D$2:$AG$2,0))))=0,"",SUMIFS(INDEX(Inputs!$D$4:$AG$250,0,MATCH(AE$2,Inputs!$D$2:$AG$2,0)),Inputs!$B$4:$B$250,$B62)/1000)</f>
        <v/>
      </c>
      <c r="AF62" s="11" t="str">
        <f>IF(SUMPRODUCT((Inputs!$B$4:$B$250=$B62)*ISNUMBER(INDEX(Inputs!$D$4:$AG$250,0,MATCH(AF$2,Inputs!$D$2:$AG$2,0))))=0,"",SUMIFS(INDEX(Inputs!$D$4:$AG$250,0,MATCH(AF$2,Inputs!$D$2:$AG$2,0)),Inputs!$B$4:$B$250,$B62)/1000)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Transmissao | EBTE</t>
        </is>
      </c>
      <c r="D63" s="11">
        <f>IF(SUMPRODUCT((Inputs!$B$4:$B$250=$B63)*ISNUMBER(INDEX(Inputs!$D$4:$AG$250,0,MATCH(D$2,Inputs!$D$2:$AG$2,0))))=0,"",SUMIFS(INDEX(Inputs!$D$4:$AG$250,0,MATCH(D$2,Inputs!$D$2:$AG$2,0)),Inputs!$B$4:$B$250,$B63)/1000)</f>
        <v>19.255</v>
      </c>
      <c r="E63" s="11">
        <f>IF(SUMPRODUCT((Inputs!$B$4:$B$250=$B63)*ISNUMBER(INDEX(Inputs!$D$4:$AG$250,0,MATCH(E$2,Inputs!$D$2:$AG$2,0))))=0,"",SUMIFS(INDEX(Inputs!$D$4:$AG$250,0,MATCH(E$2,Inputs!$D$2:$AG$2,0)),Inputs!$B$4:$B$250,$B63)/1000)</f>
        <v>18.39</v>
      </c>
      <c r="F63" s="11">
        <f>IF(SUMPRODUCT((Inputs!$B$4:$B$250=$B63)*ISNUMBER(INDEX(Inputs!$D$4:$AG$250,0,MATCH(F$2,Inputs!$D$2:$AG$2,0))))=0,"",SUMIFS(INDEX(Inputs!$D$4:$AG$250,0,MATCH(F$2,Inputs!$D$2:$AG$2,0)),Inputs!$B$4:$B$250,$B63)/1000)</f>
        <v>19.595</v>
      </c>
      <c r="G63" s="11">
        <f>IF(SUMPRODUCT((Inputs!$B$4:$B$250=$B63)*ISNUMBER(INDEX(Inputs!$D$4:$AG$250,0,MATCH(G$2,Inputs!$D$2:$AG$2,0))))=0,"",SUMIFS(INDEX(Inputs!$D$4:$AG$250,0,MATCH(G$2,Inputs!$D$2:$AG$2,0)),Inputs!$B$4:$B$250,$B63)/1000)</f>
        <v>22.928</v>
      </c>
      <c r="H63" s="12">
        <f>IF(COUNT(D63:G63)=4,SUM(D63:G63),"")</f>
        <v>80.168</v>
      </c>
      <c r="I63" s="11">
        <f>IF(SUMPRODUCT((Inputs!$B$4:$B$250=$B63)*ISNUMBER(INDEX(Inputs!$D$4:$AG$250,0,MATCH(I$2,Inputs!$D$2:$AG$2,0))))=0,"",SUMIFS(INDEX(Inputs!$D$4:$AG$250,0,MATCH(I$2,Inputs!$D$2:$AG$2,0)),Inputs!$B$4:$B$250,$B63)/1000)</f>
        <v>20.26</v>
      </c>
      <c r="J63" s="11">
        <f>IF(SUMPRODUCT((Inputs!$B$4:$B$250=$B63)*ISNUMBER(INDEX(Inputs!$D$4:$AG$250,0,MATCH(J$2,Inputs!$D$2:$AG$2,0))))=0,"",SUMIFS(INDEX(Inputs!$D$4:$AG$250,0,MATCH(J$2,Inputs!$D$2:$AG$2,0)),Inputs!$B$4:$B$250,$B63)/1000)</f>
        <v>25.002</v>
      </c>
      <c r="K63" s="11">
        <f>IF(SUMPRODUCT((Inputs!$B$4:$B$250=$B63)*ISNUMBER(INDEX(Inputs!$D$4:$AG$250,0,MATCH(K$2,Inputs!$D$2:$AG$2,0))))=0,"",SUMIFS(INDEX(Inputs!$D$4:$AG$250,0,MATCH(K$2,Inputs!$D$2:$AG$2,0)),Inputs!$B$4:$B$250,$B63)/1000)</f>
        <v>8.49</v>
      </c>
      <c r="L63" s="11">
        <f>IF(SUMPRODUCT((Inputs!$B$4:$B$250=$B63)*ISNUMBER(INDEX(Inputs!$D$4:$AG$250,0,MATCH(L$2,Inputs!$D$2:$AG$2,0))))=0,"",SUMIFS(INDEX(Inputs!$D$4:$AG$250,0,MATCH(L$2,Inputs!$D$2:$AG$2,0)),Inputs!$B$4:$B$250,$B63)/1000)</f>
        <v>17.525</v>
      </c>
      <c r="M63" s="12">
        <f>IF(COUNT(I63:L63)=4,SUM(I63:L63),"")</f>
        <v>71.277</v>
      </c>
      <c r="N63" s="11">
        <f>IF(SUMPRODUCT((Inputs!$B$4:$B$250=$B63)*ISNUMBER(INDEX(Inputs!$D$4:$AG$250,0,MATCH(N$2,Inputs!$D$2:$AG$2,0))))=0,"",SUMIFS(INDEX(Inputs!$D$4:$AG$250,0,MATCH(N$2,Inputs!$D$2:$AG$2,0)),Inputs!$B$4:$B$250,$B63)/1000)</f>
        <v>22.924</v>
      </c>
      <c r="O63" s="11">
        <f>IF(SUMPRODUCT((Inputs!$B$4:$B$250=$B63)*ISNUMBER(INDEX(Inputs!$D$4:$AG$250,0,MATCH(O$2,Inputs!$D$2:$AG$2,0))))=0,"",SUMIFS(INDEX(Inputs!$D$4:$AG$250,0,MATCH(O$2,Inputs!$D$2:$AG$2,0)),Inputs!$B$4:$B$250,$B63)/1000)</f>
        <v>21.243</v>
      </c>
      <c r="P63" s="11">
        <f>IF(SUMPRODUCT((Inputs!$B$4:$B$250=$B63)*ISNUMBER(INDEX(Inputs!$D$4:$AG$250,0,MATCH(P$2,Inputs!$D$2:$AG$2,0))))=0,"",SUMIFS(INDEX(Inputs!$D$4:$AG$250,0,MATCH(P$2,Inputs!$D$2:$AG$2,0)),Inputs!$B$4:$B$250,$B63)/1000)</f>
        <v>12.336</v>
      </c>
      <c r="Q63" s="11">
        <f>IF(SUMPRODUCT((Inputs!$B$4:$B$250=$B63)*ISNUMBER(INDEX(Inputs!$D$4:$AG$250,0,MATCH(Q$2,Inputs!$D$2:$AG$2,0))))=0,"",SUMIFS(INDEX(Inputs!$D$4:$AG$250,0,MATCH(Q$2,Inputs!$D$2:$AG$2,0)),Inputs!$B$4:$B$250,$B63)/1000)</f>
        <v>14.833</v>
      </c>
      <c r="R63" s="12">
        <f>IF(COUNT(N63:Q63)=4,SUM(N63:Q63),"")</f>
        <v>71.336</v>
      </c>
      <c r="S63" s="11">
        <f>IF(SUMPRODUCT((Inputs!$B$4:$B$250=$B63)*ISNUMBER(INDEX(Inputs!$D$4:$AG$250,0,MATCH(S$2,Inputs!$D$2:$AG$2,0))))=0,"",SUMIFS(INDEX(Inputs!$D$4:$AG$250,0,MATCH(S$2,Inputs!$D$2:$AG$2,0)),Inputs!$B$4:$B$250,$B63)/1000)</f>
        <v>19.503</v>
      </c>
      <c r="T63" s="11">
        <f>IF(SUMPRODUCT((Inputs!$B$4:$B$250=$B63)*ISNUMBER(INDEX(Inputs!$D$4:$AG$250,0,MATCH(T$2,Inputs!$D$2:$AG$2,0))))=0,"",SUMIFS(INDEX(Inputs!$D$4:$AG$250,0,MATCH(T$2,Inputs!$D$2:$AG$2,0)),Inputs!$B$4:$B$250,$B63)/1000)</f>
        <v>16.12</v>
      </c>
      <c r="U63" s="11">
        <f>IF(SUMPRODUCT((Inputs!$B$4:$B$250=$B63)*ISNUMBER(INDEX(Inputs!$D$4:$AG$250,0,MATCH(U$2,Inputs!$D$2:$AG$2,0))))=0,"",SUMIFS(INDEX(Inputs!$D$4:$AG$250,0,MATCH(U$2,Inputs!$D$2:$AG$2,0)),Inputs!$B$4:$B$250,$B63)/1000)</f>
        <v>15.327</v>
      </c>
      <c r="V63" s="11">
        <f>IF(SUMPRODUCT((Inputs!$B$4:$B$250=$B63)*ISNUMBER(INDEX(Inputs!$D$4:$AG$250,0,MATCH(V$2,Inputs!$D$2:$AG$2,0))))=0,"",SUMIFS(INDEX(Inputs!$D$4:$AG$250,0,MATCH(V$2,Inputs!$D$2:$AG$2,0)),Inputs!$B$4:$B$250,$B63)/1000)</f>
        <v>17.97</v>
      </c>
      <c r="W63" s="12">
        <f>IF(COUNT(S63:V63)=4,SUM(S63:V63),"")</f>
        <v>68.92</v>
      </c>
      <c r="X63" s="11">
        <f>IF(SUMPRODUCT((Inputs!$B$4:$B$250=$B63)*ISNUMBER(INDEX(Inputs!$D$4:$AG$250,0,MATCH(X$2,Inputs!$D$2:$AG$2,0))))=0,"",SUMIFS(INDEX(Inputs!$D$4:$AG$250,0,MATCH(X$2,Inputs!$D$2:$AG$2,0)),Inputs!$B$4:$B$250,$B63)/1000)</f>
        <v>22.331</v>
      </c>
      <c r="Y63" s="11">
        <f>IF(SUMPRODUCT((Inputs!$B$4:$B$250=$B63)*ISNUMBER(INDEX(Inputs!$D$4:$AG$250,0,MATCH(Y$2,Inputs!$D$2:$AG$2,0))))=0,"",SUMIFS(INDEX(Inputs!$D$4:$AG$250,0,MATCH(Y$2,Inputs!$D$2:$AG$2,0)),Inputs!$B$4:$B$250,$B63)/1000)</f>
        <v>19.45</v>
      </c>
      <c r="Z63" s="11">
        <f>IF(SUMPRODUCT((Inputs!$B$4:$B$250=$B63)*ISNUMBER(INDEX(Inputs!$D$4:$AG$250,0,MATCH(Z$2,Inputs!$D$2:$AG$2,0))))=0,"",SUMIFS(INDEX(Inputs!$D$4:$AG$250,0,MATCH(Z$2,Inputs!$D$2:$AG$2,0)),Inputs!$B$4:$B$250,$B63)/1000)</f>
        <v>15.263</v>
      </c>
      <c r="AA63" s="11">
        <f>IF(SUMPRODUCT((Inputs!$B$4:$B$250=$B63)*ISNUMBER(INDEX(Inputs!$D$4:$AG$250,0,MATCH(AA$2,Inputs!$D$2:$AG$2,0))))=0,"",SUMIFS(INDEX(Inputs!$D$4:$AG$250,0,MATCH(AA$2,Inputs!$D$2:$AG$2,0)),Inputs!$B$4:$B$250,$B63)/1000)</f>
        <v>20.256</v>
      </c>
      <c r="AB63" s="12">
        <f>IF(COUNT(X63:AA63)=4,SUM(X63:AA63),"")</f>
        <v>77.3</v>
      </c>
      <c r="AC63" s="11">
        <f>IF(SUMPRODUCT((Inputs!$B$4:$B$250=$B63)*ISNUMBER(INDEX(Inputs!$D$4:$AG$250,0,MATCH(AC$2,Inputs!$D$2:$AG$2,0))))=0,"",SUMIFS(INDEX(Inputs!$D$4:$AG$250,0,MATCH(AC$2,Inputs!$D$2:$AG$2,0)),Inputs!$B$4:$B$250,$B63)/1000)</f>
        <v>19.948</v>
      </c>
      <c r="AD63" s="11">
        <f>IF(SUMPRODUCT((Inputs!$B$4:$B$250=$B63)*ISNUMBER(INDEX(Inputs!$D$4:$AG$250,0,MATCH(AD$2,Inputs!$D$2:$AG$2,0))))=0,"",SUMIFS(INDEX(Inputs!$D$4:$AG$250,0,MATCH(AD$2,Inputs!$D$2:$AG$2,0)),Inputs!$B$4:$B$250,$B63)/1000)</f>
        <v>23.762</v>
      </c>
      <c r="AE63" s="11" t="str">
        <f>IF(SUMPRODUCT((Inputs!$B$4:$B$250=$B63)*ISNUMBER(INDEX(Inputs!$D$4:$AG$250,0,MATCH(AE$2,Inputs!$D$2:$AG$2,0))))=0,"",SUMIFS(INDEX(Inputs!$D$4:$AG$250,0,MATCH(AE$2,Inputs!$D$2:$AG$2,0)),Inputs!$B$4:$B$250,$B63)/1000)</f>
        <v/>
      </c>
      <c r="AF63" s="11" t="str">
        <f>IF(SUMPRODUCT((Inputs!$B$4:$B$250=$B63)*ISNUMBER(INDEX(Inputs!$D$4:$AG$250,0,MATCH(AF$2,Inputs!$D$2:$AG$2,0))))=0,"",SUMIFS(INDEX(Inputs!$D$4:$AG$250,0,MATCH(AF$2,Inputs!$D$2:$AG$2,0)),Inputs!$B$4:$B$250,$B63)/1000)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Transmissao | Lumitrans</t>
        </is>
      </c>
      <c r="D64" s="11">
        <f>IF(SUMPRODUCT((Inputs!$B$4:$B$250=$B64)*ISNUMBER(INDEX(Inputs!$D$4:$AG$250,0,MATCH(D$2,Inputs!$D$2:$AG$2,0))))=0,"",SUMIFS(INDEX(Inputs!$D$4:$AG$250,0,MATCH(D$2,Inputs!$D$2:$AG$2,0)),Inputs!$B$4:$B$250,$B64)/1000)</f>
        <v>9.915</v>
      </c>
      <c r="E64" s="11">
        <f>IF(SUMPRODUCT((Inputs!$B$4:$B$250=$B64)*ISNUMBER(INDEX(Inputs!$D$4:$AG$250,0,MATCH(E$2,Inputs!$D$2:$AG$2,0))))=0,"",SUMIFS(INDEX(Inputs!$D$4:$AG$250,0,MATCH(E$2,Inputs!$D$2:$AG$2,0)),Inputs!$B$4:$B$250,$B64)/1000)</f>
        <v>13.118</v>
      </c>
      <c r="F64" s="11">
        <f>IF(SUMPRODUCT((Inputs!$B$4:$B$250=$B64)*ISNUMBER(INDEX(Inputs!$D$4:$AG$250,0,MATCH(F$2,Inputs!$D$2:$AG$2,0))))=0,"",SUMIFS(INDEX(Inputs!$D$4:$AG$250,0,MATCH(F$2,Inputs!$D$2:$AG$2,0)),Inputs!$B$4:$B$250,$B64)/1000)</f>
        <v>6.583</v>
      </c>
      <c r="G64" s="11">
        <f>IF(SUMPRODUCT((Inputs!$B$4:$B$250=$B64)*ISNUMBER(INDEX(Inputs!$D$4:$AG$250,0,MATCH(G$2,Inputs!$D$2:$AG$2,0))))=0,"",SUMIFS(INDEX(Inputs!$D$4:$AG$250,0,MATCH(G$2,Inputs!$D$2:$AG$2,0)),Inputs!$B$4:$B$250,$B64)/1000)</f>
        <v>4.921</v>
      </c>
      <c r="H64" s="12">
        <f>IF(COUNT(D64:G64)=4,SUM(D64:G64),"")</f>
        <v>34.537</v>
      </c>
      <c r="I64" s="11">
        <f>IF(SUMPRODUCT((Inputs!$B$4:$B$250=$B64)*ISNUMBER(INDEX(Inputs!$D$4:$AG$250,0,MATCH(I$2,Inputs!$D$2:$AG$2,0))))=0,"",SUMIFS(INDEX(Inputs!$D$4:$AG$250,0,MATCH(I$2,Inputs!$D$2:$AG$2,0)),Inputs!$B$4:$B$250,$B64)/1000)</f>
        <v>8.686</v>
      </c>
      <c r="J64" s="11">
        <f>IF(SUMPRODUCT((Inputs!$B$4:$B$250=$B64)*ISNUMBER(INDEX(Inputs!$D$4:$AG$250,0,MATCH(J$2,Inputs!$D$2:$AG$2,0))))=0,"",SUMIFS(INDEX(Inputs!$D$4:$AG$250,0,MATCH(J$2,Inputs!$D$2:$AG$2,0)),Inputs!$B$4:$B$250,$B64)/1000)</f>
        <v>8.125</v>
      </c>
      <c r="K64" s="11">
        <f>IF(SUMPRODUCT((Inputs!$B$4:$B$250=$B64)*ISNUMBER(INDEX(Inputs!$D$4:$AG$250,0,MATCH(K$2,Inputs!$D$2:$AG$2,0))))=0,"",SUMIFS(INDEX(Inputs!$D$4:$AG$250,0,MATCH(K$2,Inputs!$D$2:$AG$2,0)),Inputs!$B$4:$B$250,$B64)/1000)</f>
        <v>4.914</v>
      </c>
      <c r="L64" s="11">
        <f>IF(SUMPRODUCT((Inputs!$B$4:$B$250=$B64)*ISNUMBER(INDEX(Inputs!$D$4:$AG$250,0,MATCH(L$2,Inputs!$D$2:$AG$2,0))))=0,"",SUMIFS(INDEX(Inputs!$D$4:$AG$250,0,MATCH(L$2,Inputs!$D$2:$AG$2,0)),Inputs!$B$4:$B$250,$B64)/1000)</f>
        <v>2.741</v>
      </c>
      <c r="M64" s="12">
        <f>IF(COUNT(I64:L64)=4,SUM(I64:L64),"")</f>
        <v>24.466</v>
      </c>
      <c r="N64" s="11">
        <f>IF(SUMPRODUCT((Inputs!$B$4:$B$250=$B64)*ISNUMBER(INDEX(Inputs!$D$4:$AG$250,0,MATCH(N$2,Inputs!$D$2:$AG$2,0))))=0,"",SUMIFS(INDEX(Inputs!$D$4:$AG$250,0,MATCH(N$2,Inputs!$D$2:$AG$2,0)),Inputs!$B$4:$B$250,$B64)/1000)</f>
        <v>5.175</v>
      </c>
      <c r="O64" s="11">
        <f>IF(SUMPRODUCT((Inputs!$B$4:$B$250=$B64)*ISNUMBER(INDEX(Inputs!$D$4:$AG$250,0,MATCH(O$2,Inputs!$D$2:$AG$2,0))))=0,"",SUMIFS(INDEX(Inputs!$D$4:$AG$250,0,MATCH(O$2,Inputs!$D$2:$AG$2,0)),Inputs!$B$4:$B$250,$B64)/1000)</f>
        <v>2.442</v>
      </c>
      <c r="P64" s="11">
        <f>IF(SUMPRODUCT((Inputs!$B$4:$B$250=$B64)*ISNUMBER(INDEX(Inputs!$D$4:$AG$250,0,MATCH(P$2,Inputs!$D$2:$AG$2,0))))=0,"",SUMIFS(INDEX(Inputs!$D$4:$AG$250,0,MATCH(P$2,Inputs!$D$2:$AG$2,0)),Inputs!$B$4:$B$250,$B64)/1000)</f>
        <v>2.394</v>
      </c>
      <c r="Q64" s="11">
        <f>IF(SUMPRODUCT((Inputs!$B$4:$B$250=$B64)*ISNUMBER(INDEX(Inputs!$D$4:$AG$250,0,MATCH(Q$2,Inputs!$D$2:$AG$2,0))))=0,"",SUMIFS(INDEX(Inputs!$D$4:$AG$250,0,MATCH(Q$2,Inputs!$D$2:$AG$2,0)),Inputs!$B$4:$B$250,$B64)/1000)</f>
        <v>5.415</v>
      </c>
      <c r="R64" s="12">
        <f>IF(COUNT(N64:Q64)=4,SUM(N64:Q64),"")</f>
        <v>15.426</v>
      </c>
      <c r="S64" s="11">
        <f>IF(SUMPRODUCT((Inputs!$B$4:$B$250=$B64)*ISNUMBER(INDEX(Inputs!$D$4:$AG$250,0,MATCH(S$2,Inputs!$D$2:$AG$2,0))))=0,"",SUMIFS(INDEX(Inputs!$D$4:$AG$250,0,MATCH(S$2,Inputs!$D$2:$AG$2,0)),Inputs!$B$4:$B$250,$B64)/1000)</f>
        <v>4.568</v>
      </c>
      <c r="T64" s="11">
        <f>IF(SUMPRODUCT((Inputs!$B$4:$B$250=$B64)*ISNUMBER(INDEX(Inputs!$D$4:$AG$250,0,MATCH(T$2,Inputs!$D$2:$AG$2,0))))=0,"",SUMIFS(INDEX(Inputs!$D$4:$AG$250,0,MATCH(T$2,Inputs!$D$2:$AG$2,0)),Inputs!$B$4:$B$250,$B64)/1000)</f>
        <v>4.898</v>
      </c>
      <c r="U64" s="11">
        <f>IF(SUMPRODUCT((Inputs!$B$4:$B$250=$B64)*ISNUMBER(INDEX(Inputs!$D$4:$AG$250,0,MATCH(U$2,Inputs!$D$2:$AG$2,0))))=0,"",SUMIFS(INDEX(Inputs!$D$4:$AG$250,0,MATCH(U$2,Inputs!$D$2:$AG$2,0)),Inputs!$B$4:$B$250,$B64)/1000)</f>
        <v>5.485</v>
      </c>
      <c r="V64" s="11">
        <f>IF(SUMPRODUCT((Inputs!$B$4:$B$250=$B64)*ISNUMBER(INDEX(Inputs!$D$4:$AG$250,0,MATCH(V$2,Inputs!$D$2:$AG$2,0))))=0,"",SUMIFS(INDEX(Inputs!$D$4:$AG$250,0,MATCH(V$2,Inputs!$D$2:$AG$2,0)),Inputs!$B$4:$B$250,$B64)/1000)</f>
        <v>6.781</v>
      </c>
      <c r="W64" s="12">
        <f>IF(COUNT(S64:V64)=4,SUM(S64:V64),"")</f>
        <v>21.732</v>
      </c>
      <c r="X64" s="11">
        <f>IF(SUMPRODUCT((Inputs!$B$4:$B$250=$B64)*ISNUMBER(INDEX(Inputs!$D$4:$AG$250,0,MATCH(X$2,Inputs!$D$2:$AG$2,0))))=0,"",SUMIFS(INDEX(Inputs!$D$4:$AG$250,0,MATCH(X$2,Inputs!$D$2:$AG$2,0)),Inputs!$B$4:$B$250,$B64)/1000)</f>
        <v>6.045</v>
      </c>
      <c r="Y64" s="11">
        <f>IF(SUMPRODUCT((Inputs!$B$4:$B$250=$B64)*ISNUMBER(INDEX(Inputs!$D$4:$AG$250,0,MATCH(Y$2,Inputs!$D$2:$AG$2,0))))=0,"",SUMIFS(INDEX(Inputs!$D$4:$AG$250,0,MATCH(Y$2,Inputs!$D$2:$AG$2,0)),Inputs!$B$4:$B$250,$B64)/1000)</f>
        <v>3.906</v>
      </c>
      <c r="Z64" s="11">
        <f>IF(SUMPRODUCT((Inputs!$B$4:$B$250=$B64)*ISNUMBER(INDEX(Inputs!$D$4:$AG$250,0,MATCH(Z$2,Inputs!$D$2:$AG$2,0))))=0,"",SUMIFS(INDEX(Inputs!$D$4:$AG$250,0,MATCH(Z$2,Inputs!$D$2:$AG$2,0)),Inputs!$B$4:$B$250,$B64)/1000)</f>
        <v>3.082</v>
      </c>
      <c r="AA64" s="11">
        <f>IF(SUMPRODUCT((Inputs!$B$4:$B$250=$B64)*ISNUMBER(INDEX(Inputs!$D$4:$AG$250,0,MATCH(AA$2,Inputs!$D$2:$AG$2,0))))=0,"",SUMIFS(INDEX(Inputs!$D$4:$AG$250,0,MATCH(AA$2,Inputs!$D$2:$AG$2,0)),Inputs!$B$4:$B$250,$B64)/1000)</f>
        <v>4.63</v>
      </c>
      <c r="AB64" s="12">
        <f>IF(COUNT(X64:AA64)=4,SUM(X64:AA64),"")</f>
        <v>17.663</v>
      </c>
      <c r="AC64" s="11">
        <f>IF(SUMPRODUCT((Inputs!$B$4:$B$250=$B64)*ISNUMBER(INDEX(Inputs!$D$4:$AG$250,0,MATCH(AC$2,Inputs!$D$2:$AG$2,0))))=0,"",SUMIFS(INDEX(Inputs!$D$4:$AG$250,0,MATCH(AC$2,Inputs!$D$2:$AG$2,0)),Inputs!$B$4:$B$250,$B64)/1000)</f>
        <v>4.147</v>
      </c>
      <c r="AD64" s="11">
        <f>IF(SUMPRODUCT((Inputs!$B$4:$B$250=$B64)*ISNUMBER(INDEX(Inputs!$D$4:$AG$250,0,MATCH(AD$2,Inputs!$D$2:$AG$2,0))))=0,"",SUMIFS(INDEX(Inputs!$D$4:$AG$250,0,MATCH(AD$2,Inputs!$D$2:$AG$2,0)),Inputs!$B$4:$B$250,$B64)/1000)</f>
        <v>7.297</v>
      </c>
      <c r="AE64" s="11" t="str">
        <f>IF(SUMPRODUCT((Inputs!$B$4:$B$250=$B64)*ISNUMBER(INDEX(Inputs!$D$4:$AG$250,0,MATCH(AE$2,Inputs!$D$2:$AG$2,0))))=0,"",SUMIFS(INDEX(Inputs!$D$4:$AG$250,0,MATCH(AE$2,Inputs!$D$2:$AG$2,0)),Inputs!$B$4:$B$250,$B64)/1000)</f>
        <v/>
      </c>
      <c r="AF64" s="11" t="str">
        <f>IF(SUMPRODUCT((Inputs!$B$4:$B$250=$B64)*ISNUMBER(INDEX(Inputs!$D$4:$AG$250,0,MATCH(AF$2,Inputs!$D$2:$AG$2,0))))=0,"",SUMIFS(INDEX(Inputs!$D$4:$AG$250,0,MATCH(AF$2,Inputs!$D$2:$AG$2,0)),Inputs!$B$4:$B$250,$B64)/1000)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Transmissao | STC</t>
        </is>
      </c>
      <c r="D65" s="11">
        <f>IF(SUMPRODUCT((Inputs!$B$4:$B$250=$B65)*ISNUMBER(INDEX(Inputs!$D$4:$AG$250,0,MATCH(D$2,Inputs!$D$2:$AG$2,0))))=0,"",SUMIFS(INDEX(Inputs!$D$4:$AG$250,0,MATCH(D$2,Inputs!$D$2:$AG$2,0)),Inputs!$B$4:$B$250,$B65)/1000)</f>
        <v>11.471</v>
      </c>
      <c r="E65" s="11">
        <f>IF(SUMPRODUCT((Inputs!$B$4:$B$250=$B65)*ISNUMBER(INDEX(Inputs!$D$4:$AG$250,0,MATCH(E$2,Inputs!$D$2:$AG$2,0))))=0,"",SUMIFS(INDEX(Inputs!$D$4:$AG$250,0,MATCH(E$2,Inputs!$D$2:$AG$2,0)),Inputs!$B$4:$B$250,$B65)/1000)</f>
        <v>10.373</v>
      </c>
      <c r="F65" s="11">
        <f>IF(SUMPRODUCT((Inputs!$B$4:$B$250=$B65)*ISNUMBER(INDEX(Inputs!$D$4:$AG$250,0,MATCH(F$2,Inputs!$D$2:$AG$2,0))))=0,"",SUMIFS(INDEX(Inputs!$D$4:$AG$250,0,MATCH(F$2,Inputs!$D$2:$AG$2,0)),Inputs!$B$4:$B$250,$B65)/1000)</f>
        <v>14.172</v>
      </c>
      <c r="G65" s="11">
        <f>IF(SUMPRODUCT((Inputs!$B$4:$B$250=$B65)*ISNUMBER(INDEX(Inputs!$D$4:$AG$250,0,MATCH(G$2,Inputs!$D$2:$AG$2,0))))=0,"",SUMIFS(INDEX(Inputs!$D$4:$AG$250,0,MATCH(G$2,Inputs!$D$2:$AG$2,0)),Inputs!$B$4:$B$250,$B65)/1000)</f>
        <v>12.477</v>
      </c>
      <c r="H65" s="12">
        <f>IF(COUNT(D65:G65)=4,SUM(D65:G65),"")</f>
        <v>48.493</v>
      </c>
      <c r="I65" s="11">
        <f>IF(SUMPRODUCT((Inputs!$B$4:$B$250=$B65)*ISNUMBER(INDEX(Inputs!$D$4:$AG$250,0,MATCH(I$2,Inputs!$D$2:$AG$2,0))))=0,"",SUMIFS(INDEX(Inputs!$D$4:$AG$250,0,MATCH(I$2,Inputs!$D$2:$AG$2,0)),Inputs!$B$4:$B$250,$B65)/1000)</f>
        <v>10.893</v>
      </c>
      <c r="J65" s="11">
        <f>IF(SUMPRODUCT((Inputs!$B$4:$B$250=$B65)*ISNUMBER(INDEX(Inputs!$D$4:$AG$250,0,MATCH(J$2,Inputs!$D$2:$AG$2,0))))=0,"",SUMIFS(INDEX(Inputs!$D$4:$AG$250,0,MATCH(J$2,Inputs!$D$2:$AG$2,0)),Inputs!$B$4:$B$250,$B65)/1000)</f>
        <v>12.575</v>
      </c>
      <c r="K65" s="11">
        <f>IF(SUMPRODUCT((Inputs!$B$4:$B$250=$B65)*ISNUMBER(INDEX(Inputs!$D$4:$AG$250,0,MATCH(K$2,Inputs!$D$2:$AG$2,0))))=0,"",SUMIFS(INDEX(Inputs!$D$4:$AG$250,0,MATCH(K$2,Inputs!$D$2:$AG$2,0)),Inputs!$B$4:$B$250,$B65)/1000)</f>
        <v>6.558</v>
      </c>
      <c r="L65" s="11">
        <f>IF(SUMPRODUCT((Inputs!$B$4:$B$250=$B65)*ISNUMBER(INDEX(Inputs!$D$4:$AG$250,0,MATCH(L$2,Inputs!$D$2:$AG$2,0))))=0,"",SUMIFS(INDEX(Inputs!$D$4:$AG$250,0,MATCH(L$2,Inputs!$D$2:$AG$2,0)),Inputs!$B$4:$B$250,$B65)/1000)</f>
        <v>8.208</v>
      </c>
      <c r="M65" s="12">
        <f>IF(COUNT(I65:L65)=4,SUM(I65:L65),"")</f>
        <v>38.234</v>
      </c>
      <c r="N65" s="11">
        <f>IF(SUMPRODUCT((Inputs!$B$4:$B$250=$B65)*ISNUMBER(INDEX(Inputs!$D$4:$AG$250,0,MATCH(N$2,Inputs!$D$2:$AG$2,0))))=0,"",SUMIFS(INDEX(Inputs!$D$4:$AG$250,0,MATCH(N$2,Inputs!$D$2:$AG$2,0)),Inputs!$B$4:$B$250,$B65)/1000)</f>
        <v>10.325</v>
      </c>
      <c r="O65" s="11">
        <f>IF(SUMPRODUCT((Inputs!$B$4:$B$250=$B65)*ISNUMBER(INDEX(Inputs!$D$4:$AG$250,0,MATCH(O$2,Inputs!$D$2:$AG$2,0))))=0,"",SUMIFS(INDEX(Inputs!$D$4:$AG$250,0,MATCH(O$2,Inputs!$D$2:$AG$2,0)),Inputs!$B$4:$B$250,$B65)/1000)</f>
        <v>9.862</v>
      </c>
      <c r="P65" s="11">
        <f>IF(SUMPRODUCT((Inputs!$B$4:$B$250=$B65)*ISNUMBER(INDEX(Inputs!$D$4:$AG$250,0,MATCH(P$2,Inputs!$D$2:$AG$2,0))))=0,"",SUMIFS(INDEX(Inputs!$D$4:$AG$250,0,MATCH(P$2,Inputs!$D$2:$AG$2,0)),Inputs!$B$4:$B$250,$B65)/1000)</f>
        <v>7.353</v>
      </c>
      <c r="Q65" s="11">
        <f>IF(SUMPRODUCT((Inputs!$B$4:$B$250=$B65)*ISNUMBER(INDEX(Inputs!$D$4:$AG$250,0,MATCH(Q$2,Inputs!$D$2:$AG$2,0))))=0,"",SUMIFS(INDEX(Inputs!$D$4:$AG$250,0,MATCH(Q$2,Inputs!$D$2:$AG$2,0)),Inputs!$B$4:$B$250,$B65)/1000)</f>
        <v>8.229</v>
      </c>
      <c r="R65" s="12">
        <f>IF(COUNT(N65:Q65)=4,SUM(N65:Q65),"")</f>
        <v>35.769</v>
      </c>
      <c r="S65" s="11">
        <f>IF(SUMPRODUCT((Inputs!$B$4:$B$250=$B65)*ISNUMBER(INDEX(Inputs!$D$4:$AG$250,0,MATCH(S$2,Inputs!$D$2:$AG$2,0))))=0,"",SUMIFS(INDEX(Inputs!$D$4:$AG$250,0,MATCH(S$2,Inputs!$D$2:$AG$2,0)),Inputs!$B$4:$B$250,$B65)/1000)</f>
        <v>9.967</v>
      </c>
      <c r="T65" s="11">
        <f>IF(SUMPRODUCT((Inputs!$B$4:$B$250=$B65)*ISNUMBER(INDEX(Inputs!$D$4:$AG$250,0,MATCH(T$2,Inputs!$D$2:$AG$2,0))))=0,"",SUMIFS(INDEX(Inputs!$D$4:$AG$250,0,MATCH(T$2,Inputs!$D$2:$AG$2,0)),Inputs!$B$4:$B$250,$B65)/1000)</f>
        <v>8.716</v>
      </c>
      <c r="U65" s="11">
        <f>IF(SUMPRODUCT((Inputs!$B$4:$B$250=$B65)*ISNUMBER(INDEX(Inputs!$D$4:$AG$250,0,MATCH(U$2,Inputs!$D$2:$AG$2,0))))=0,"",SUMIFS(INDEX(Inputs!$D$4:$AG$250,0,MATCH(U$2,Inputs!$D$2:$AG$2,0)),Inputs!$B$4:$B$250,$B65)/1000)</f>
        <v>8.539</v>
      </c>
      <c r="V65" s="11">
        <f>IF(SUMPRODUCT((Inputs!$B$4:$B$250=$B65)*ISNUMBER(INDEX(Inputs!$D$4:$AG$250,0,MATCH(V$2,Inputs!$D$2:$AG$2,0))))=0,"",SUMIFS(INDEX(Inputs!$D$4:$AG$250,0,MATCH(V$2,Inputs!$D$2:$AG$2,0)),Inputs!$B$4:$B$250,$B65)/1000)</f>
        <v>9.259</v>
      </c>
      <c r="W65" s="12">
        <f>IF(COUNT(S65:V65)=4,SUM(S65:V65),"")</f>
        <v>36.481</v>
      </c>
      <c r="X65" s="11">
        <f>IF(SUMPRODUCT((Inputs!$B$4:$B$250=$B65)*ISNUMBER(INDEX(Inputs!$D$4:$AG$250,0,MATCH(X$2,Inputs!$D$2:$AG$2,0))))=0,"",SUMIFS(INDEX(Inputs!$D$4:$AG$250,0,MATCH(X$2,Inputs!$D$2:$AG$2,0)),Inputs!$B$4:$B$250,$B65)/1000)</f>
        <v>10.511</v>
      </c>
      <c r="Y65" s="11">
        <f>IF(SUMPRODUCT((Inputs!$B$4:$B$250=$B65)*ISNUMBER(INDEX(Inputs!$D$4:$AG$250,0,MATCH(Y$2,Inputs!$D$2:$AG$2,0))))=0,"",SUMIFS(INDEX(Inputs!$D$4:$AG$250,0,MATCH(Y$2,Inputs!$D$2:$AG$2,0)),Inputs!$B$4:$B$250,$B65)/1000)</f>
        <v>9.413</v>
      </c>
      <c r="Z65" s="11">
        <f>IF(SUMPRODUCT((Inputs!$B$4:$B$250=$B65)*ISNUMBER(INDEX(Inputs!$D$4:$AG$250,0,MATCH(Z$2,Inputs!$D$2:$AG$2,0))))=0,"",SUMIFS(INDEX(Inputs!$D$4:$AG$250,0,MATCH(Z$2,Inputs!$D$2:$AG$2,0)),Inputs!$B$4:$B$250,$B65)/1000)</f>
        <v>0.178</v>
      </c>
      <c r="AA65" s="11">
        <f>IF(SUMPRODUCT((Inputs!$B$4:$B$250=$B65)*ISNUMBER(INDEX(Inputs!$D$4:$AG$250,0,MATCH(AA$2,Inputs!$D$2:$AG$2,0))))=0,"",SUMIFS(INDEX(Inputs!$D$4:$AG$250,0,MATCH(AA$2,Inputs!$D$2:$AG$2,0)),Inputs!$B$4:$B$250,$B65)/1000)</f>
        <v>10.703</v>
      </c>
      <c r="AB65" s="12">
        <f>IF(COUNT(X65:AA65)=4,SUM(X65:AA65),"")</f>
        <v>30.805</v>
      </c>
      <c r="AC65" s="11">
        <f>IF(SUMPRODUCT((Inputs!$B$4:$B$250=$B65)*ISNUMBER(INDEX(Inputs!$D$4:$AG$250,0,MATCH(AC$2,Inputs!$D$2:$AG$2,0))))=0,"",SUMIFS(INDEX(Inputs!$D$4:$AG$250,0,MATCH(AC$2,Inputs!$D$2:$AG$2,0)),Inputs!$B$4:$B$250,$B65)/1000)</f>
        <v>9.069</v>
      </c>
      <c r="AD65" s="11">
        <f>IF(SUMPRODUCT((Inputs!$B$4:$B$250=$B65)*ISNUMBER(INDEX(Inputs!$D$4:$AG$250,0,MATCH(AD$2,Inputs!$D$2:$AG$2,0))))=0,"",SUMIFS(INDEX(Inputs!$D$4:$AG$250,0,MATCH(AD$2,Inputs!$D$2:$AG$2,0)),Inputs!$B$4:$B$250,$B65)/1000)</f>
        <v>10.393</v>
      </c>
      <c r="AE65" s="11" t="str">
        <f>IF(SUMPRODUCT((Inputs!$B$4:$B$250=$B65)*ISNUMBER(INDEX(Inputs!$D$4:$AG$250,0,MATCH(AE$2,Inputs!$D$2:$AG$2,0))))=0,"",SUMIFS(INDEX(Inputs!$D$4:$AG$250,0,MATCH(AE$2,Inputs!$D$2:$AG$2,0)),Inputs!$B$4:$B$250,$B65)/1000)</f>
        <v/>
      </c>
      <c r="AF65" s="11" t="str">
        <f>IF(SUMPRODUCT((Inputs!$B$4:$B$250=$B65)*ISNUMBER(INDEX(Inputs!$D$4:$AG$250,0,MATCH(AF$2,Inputs!$D$2:$AG$2,0))))=0,"",SUMIFS(INDEX(Inputs!$D$4:$AG$250,0,MATCH(AF$2,Inputs!$D$2:$AG$2,0)),Inputs!$B$4:$B$250,$B65)/1000)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Transmissao | ESDE</t>
        </is>
      </c>
      <c r="D66" s="11">
        <f>IF(SUMPRODUCT((Inputs!$B$4:$B$250=$B66)*ISNUMBER(INDEX(Inputs!$D$4:$AG$250,0,MATCH(D$2,Inputs!$D$2:$AG$2,0))))=0,"",SUMIFS(INDEX(Inputs!$D$4:$AG$250,0,MATCH(D$2,Inputs!$D$2:$AG$2,0)),Inputs!$B$4:$B$250,$B66)/1000)</f>
        <v>5.646</v>
      </c>
      <c r="E66" s="11">
        <f>IF(SUMPRODUCT((Inputs!$B$4:$B$250=$B66)*ISNUMBER(INDEX(Inputs!$D$4:$AG$250,0,MATCH(E$2,Inputs!$D$2:$AG$2,0))))=0,"",SUMIFS(INDEX(Inputs!$D$4:$AG$250,0,MATCH(E$2,Inputs!$D$2:$AG$2,0)),Inputs!$B$4:$B$250,$B66)/1000)</f>
        <v>5.312</v>
      </c>
      <c r="F66" s="11">
        <f>IF(SUMPRODUCT((Inputs!$B$4:$B$250=$B66)*ISNUMBER(INDEX(Inputs!$D$4:$AG$250,0,MATCH(F$2,Inputs!$D$2:$AG$2,0))))=0,"",SUMIFS(INDEX(Inputs!$D$4:$AG$250,0,MATCH(F$2,Inputs!$D$2:$AG$2,0)),Inputs!$B$4:$B$250,$B66)/1000)</f>
        <v>7.027</v>
      </c>
      <c r="G66" s="11">
        <f>IF(SUMPRODUCT((Inputs!$B$4:$B$250=$B66)*ISNUMBER(INDEX(Inputs!$D$4:$AG$250,0,MATCH(G$2,Inputs!$D$2:$AG$2,0))))=0,"",SUMIFS(INDEX(Inputs!$D$4:$AG$250,0,MATCH(G$2,Inputs!$D$2:$AG$2,0)),Inputs!$B$4:$B$250,$B66)/1000)</f>
        <v>7.005</v>
      </c>
      <c r="H66" s="12">
        <f>IF(COUNT(D66:G66)=4,SUM(D66:G66),"")</f>
        <v>24.99</v>
      </c>
      <c r="I66" s="11">
        <f>IF(SUMPRODUCT((Inputs!$B$4:$B$250=$B66)*ISNUMBER(INDEX(Inputs!$D$4:$AG$250,0,MATCH(I$2,Inputs!$D$2:$AG$2,0))))=0,"",SUMIFS(INDEX(Inputs!$D$4:$AG$250,0,MATCH(I$2,Inputs!$D$2:$AG$2,0)),Inputs!$B$4:$B$250,$B66)/1000)</f>
        <v>5.945</v>
      </c>
      <c r="J66" s="11">
        <f>IF(SUMPRODUCT((Inputs!$B$4:$B$250=$B66)*ISNUMBER(INDEX(Inputs!$D$4:$AG$250,0,MATCH(J$2,Inputs!$D$2:$AG$2,0))))=0,"",SUMIFS(INDEX(Inputs!$D$4:$AG$250,0,MATCH(J$2,Inputs!$D$2:$AG$2,0)),Inputs!$B$4:$B$250,$B66)/1000)</f>
        <v>7.231</v>
      </c>
      <c r="K66" s="11">
        <f>IF(SUMPRODUCT((Inputs!$B$4:$B$250=$B66)*ISNUMBER(INDEX(Inputs!$D$4:$AG$250,0,MATCH(K$2,Inputs!$D$2:$AG$2,0))))=0,"",SUMIFS(INDEX(Inputs!$D$4:$AG$250,0,MATCH(K$2,Inputs!$D$2:$AG$2,0)),Inputs!$B$4:$B$250,$B66)/1000)</f>
        <v>2.941</v>
      </c>
      <c r="L66" s="11">
        <f>IF(SUMPRODUCT((Inputs!$B$4:$B$250=$B66)*ISNUMBER(INDEX(Inputs!$D$4:$AG$250,0,MATCH(L$2,Inputs!$D$2:$AG$2,0))))=0,"",SUMIFS(INDEX(Inputs!$D$4:$AG$250,0,MATCH(L$2,Inputs!$D$2:$AG$2,0)),Inputs!$B$4:$B$250,$B66)/1000)</f>
        <v>4.212</v>
      </c>
      <c r="M66" s="12">
        <f>IF(COUNT(I66:L66)=4,SUM(I66:L66),"")</f>
        <v>20.329</v>
      </c>
      <c r="N66" s="11">
        <f>IF(SUMPRODUCT((Inputs!$B$4:$B$250=$B66)*ISNUMBER(INDEX(Inputs!$D$4:$AG$250,0,MATCH(N$2,Inputs!$D$2:$AG$2,0))))=0,"",SUMIFS(INDEX(Inputs!$D$4:$AG$250,0,MATCH(N$2,Inputs!$D$2:$AG$2,0)),Inputs!$B$4:$B$250,$B66)/1000)</f>
        <v>5.775</v>
      </c>
      <c r="O66" s="11">
        <f>IF(SUMPRODUCT((Inputs!$B$4:$B$250=$B66)*ISNUMBER(INDEX(Inputs!$D$4:$AG$250,0,MATCH(O$2,Inputs!$D$2:$AG$2,0))))=0,"",SUMIFS(INDEX(Inputs!$D$4:$AG$250,0,MATCH(O$2,Inputs!$D$2:$AG$2,0)),Inputs!$B$4:$B$250,$B66)/1000)</f>
        <v>5.427</v>
      </c>
      <c r="P66" s="11">
        <f>IF(SUMPRODUCT((Inputs!$B$4:$B$250=$B66)*ISNUMBER(INDEX(Inputs!$D$4:$AG$250,0,MATCH(P$2,Inputs!$D$2:$AG$2,0))))=0,"",SUMIFS(INDEX(Inputs!$D$4:$AG$250,0,MATCH(P$2,Inputs!$D$2:$AG$2,0)),Inputs!$B$4:$B$250,$B66)/1000)</f>
        <v>3.741</v>
      </c>
      <c r="Q66" s="11">
        <f>IF(SUMPRODUCT((Inputs!$B$4:$B$250=$B66)*ISNUMBER(INDEX(Inputs!$D$4:$AG$250,0,MATCH(Q$2,Inputs!$D$2:$AG$2,0))))=0,"",SUMIFS(INDEX(Inputs!$D$4:$AG$250,0,MATCH(Q$2,Inputs!$D$2:$AG$2,0)),Inputs!$B$4:$B$250,$B66)/1000)</f>
        <v>4.647</v>
      </c>
      <c r="R66" s="12">
        <f>IF(COUNT(N66:Q66)=4,SUM(N66:Q66),"")</f>
        <v>19.59</v>
      </c>
      <c r="S66" s="11">
        <f>IF(SUMPRODUCT((Inputs!$B$4:$B$250=$B66)*ISNUMBER(INDEX(Inputs!$D$4:$AG$250,0,MATCH(S$2,Inputs!$D$2:$AG$2,0))))=0,"",SUMIFS(INDEX(Inputs!$D$4:$AG$250,0,MATCH(S$2,Inputs!$D$2:$AG$2,0)),Inputs!$B$4:$B$250,$B66)/1000)</f>
        <v>5.7</v>
      </c>
      <c r="T66" s="11">
        <f>IF(SUMPRODUCT((Inputs!$B$4:$B$250=$B66)*ISNUMBER(INDEX(Inputs!$D$4:$AG$250,0,MATCH(T$2,Inputs!$D$2:$AG$2,0))))=0,"",SUMIFS(INDEX(Inputs!$D$4:$AG$250,0,MATCH(T$2,Inputs!$D$2:$AG$2,0)),Inputs!$B$4:$B$250,$B66)/1000)</f>
        <v>4.591</v>
      </c>
      <c r="U66" s="11">
        <f>IF(SUMPRODUCT((Inputs!$B$4:$B$250=$B66)*ISNUMBER(INDEX(Inputs!$D$4:$AG$250,0,MATCH(U$2,Inputs!$D$2:$AG$2,0))))=0,"",SUMIFS(INDEX(Inputs!$D$4:$AG$250,0,MATCH(U$2,Inputs!$D$2:$AG$2,0)),Inputs!$B$4:$B$250,$B66)/1000)</f>
        <v>4.193</v>
      </c>
      <c r="V66" s="11">
        <f>IF(SUMPRODUCT((Inputs!$B$4:$B$250=$B66)*ISNUMBER(INDEX(Inputs!$D$4:$AG$250,0,MATCH(V$2,Inputs!$D$2:$AG$2,0))))=0,"",SUMIFS(INDEX(Inputs!$D$4:$AG$250,0,MATCH(V$2,Inputs!$D$2:$AG$2,0)),Inputs!$B$4:$B$250,$B66)/1000)</f>
        <v>5.173</v>
      </c>
      <c r="W66" s="12">
        <f>IF(COUNT(S66:V66)=4,SUM(S66:V66),"")</f>
        <v>19.657</v>
      </c>
      <c r="X66" s="11">
        <f>IF(SUMPRODUCT((Inputs!$B$4:$B$250=$B66)*ISNUMBER(INDEX(Inputs!$D$4:$AG$250,0,MATCH(X$2,Inputs!$D$2:$AG$2,0))))=0,"",SUMIFS(INDEX(Inputs!$D$4:$AG$250,0,MATCH(X$2,Inputs!$D$2:$AG$2,0)),Inputs!$B$4:$B$250,$B66)/1000)</f>
        <v>6.013</v>
      </c>
      <c r="Y66" s="11">
        <f>IF(SUMPRODUCT((Inputs!$B$4:$B$250=$B66)*ISNUMBER(INDEX(Inputs!$D$4:$AG$250,0,MATCH(Y$2,Inputs!$D$2:$AG$2,0))))=0,"",SUMIFS(INDEX(Inputs!$D$4:$AG$250,0,MATCH(Y$2,Inputs!$D$2:$AG$2,0)),Inputs!$B$4:$B$250,$B66)/1000)</f>
        <v>5.12</v>
      </c>
      <c r="Z66" s="11">
        <f>IF(SUMPRODUCT((Inputs!$B$4:$B$250=$B66)*ISNUMBER(INDEX(Inputs!$D$4:$AG$250,0,MATCH(Z$2,Inputs!$D$2:$AG$2,0))))=0,"",SUMIFS(INDEX(Inputs!$D$4:$AG$250,0,MATCH(Z$2,Inputs!$D$2:$AG$2,0)),Inputs!$B$4:$B$250,$B66)/1000)</f>
        <v>-1.746</v>
      </c>
      <c r="AA66" s="11">
        <f>IF(SUMPRODUCT((Inputs!$B$4:$B$250=$B66)*ISNUMBER(INDEX(Inputs!$D$4:$AG$250,0,MATCH(AA$2,Inputs!$D$2:$AG$2,0))))=0,"",SUMIFS(INDEX(Inputs!$D$4:$AG$250,0,MATCH(AA$2,Inputs!$D$2:$AG$2,0)),Inputs!$B$4:$B$250,$B66)/1000)</f>
        <v>4.334</v>
      </c>
      <c r="AB66" s="12">
        <f>IF(COUNT(X66:AA66)=4,SUM(X66:AA66),"")</f>
        <v>13.721</v>
      </c>
      <c r="AC66" s="11">
        <f>IF(SUMPRODUCT((Inputs!$B$4:$B$250=$B66)*ISNUMBER(INDEX(Inputs!$D$4:$AG$250,0,MATCH(AC$2,Inputs!$D$2:$AG$2,0))))=0,"",SUMIFS(INDEX(Inputs!$D$4:$AG$250,0,MATCH(AC$2,Inputs!$D$2:$AG$2,0)),Inputs!$B$4:$B$250,$B66)/1000)</f>
        <v>5.106</v>
      </c>
      <c r="AD66" s="11">
        <f>IF(SUMPRODUCT((Inputs!$B$4:$B$250=$B66)*ISNUMBER(INDEX(Inputs!$D$4:$AG$250,0,MATCH(AD$2,Inputs!$D$2:$AG$2,0))))=0,"",SUMIFS(INDEX(Inputs!$D$4:$AG$250,0,MATCH(AD$2,Inputs!$D$2:$AG$2,0)),Inputs!$B$4:$B$250,$B66)/1000)</f>
        <v>6.157</v>
      </c>
      <c r="AE66" s="11" t="str">
        <f>IF(SUMPRODUCT((Inputs!$B$4:$B$250=$B66)*ISNUMBER(INDEX(Inputs!$D$4:$AG$250,0,MATCH(AE$2,Inputs!$D$2:$AG$2,0))))=0,"",SUMIFS(INDEX(Inputs!$D$4:$AG$250,0,MATCH(AE$2,Inputs!$D$2:$AG$2,0)),Inputs!$B$4:$B$250,$B66)/1000)</f>
        <v/>
      </c>
      <c r="AF66" s="11" t="str">
        <f>IF(SUMPRODUCT((Inputs!$B$4:$B$250=$B66)*ISNUMBER(INDEX(Inputs!$D$4:$AG$250,0,MATCH(AF$2,Inputs!$D$2:$AG$2,0))))=0,"",SUMIFS(INDEX(Inputs!$D$4:$AG$250,0,MATCH(AF$2,Inputs!$D$2:$AG$2,0)),Inputs!$B$4:$B$250,$B66)/1000)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Transmissao | ETSE</t>
        </is>
      </c>
      <c r="D67" s="11">
        <f>IF(SUMPRODUCT((Inputs!$B$4:$B$250=$B67)*ISNUMBER(INDEX(Inputs!$D$4:$AG$250,0,MATCH(D$2,Inputs!$D$2:$AG$2,0))))=0,"",SUMIFS(INDEX(Inputs!$D$4:$AG$250,0,MATCH(D$2,Inputs!$D$2:$AG$2,0)),Inputs!$B$4:$B$250,$B67)/1000)</f>
        <v>10.139</v>
      </c>
      <c r="E67" s="11">
        <f>IF(SUMPRODUCT((Inputs!$B$4:$B$250=$B67)*ISNUMBER(INDEX(Inputs!$D$4:$AG$250,0,MATCH(E$2,Inputs!$D$2:$AG$2,0))))=0,"",SUMIFS(INDEX(Inputs!$D$4:$AG$250,0,MATCH(E$2,Inputs!$D$2:$AG$2,0)),Inputs!$B$4:$B$250,$B67)/1000)</f>
        <v>9.398</v>
      </c>
      <c r="F67" s="11">
        <f>IF(SUMPRODUCT((Inputs!$B$4:$B$250=$B67)*ISNUMBER(INDEX(Inputs!$D$4:$AG$250,0,MATCH(F$2,Inputs!$D$2:$AG$2,0))))=0,"",SUMIFS(INDEX(Inputs!$D$4:$AG$250,0,MATCH(F$2,Inputs!$D$2:$AG$2,0)),Inputs!$B$4:$B$250,$B67)/1000)</f>
        <v>9.871</v>
      </c>
      <c r="G67" s="11">
        <f>IF(SUMPRODUCT((Inputs!$B$4:$B$250=$B67)*ISNUMBER(INDEX(Inputs!$D$4:$AG$250,0,MATCH(G$2,Inputs!$D$2:$AG$2,0))))=0,"",SUMIFS(INDEX(Inputs!$D$4:$AG$250,0,MATCH(G$2,Inputs!$D$2:$AG$2,0)),Inputs!$B$4:$B$250,$B67)/1000)</f>
        <v>12.252</v>
      </c>
      <c r="H67" s="12">
        <f>IF(COUNT(D67:G67)=4,SUM(D67:G67),"")</f>
        <v>41.66</v>
      </c>
      <c r="I67" s="11">
        <f>IF(SUMPRODUCT((Inputs!$B$4:$B$250=$B67)*ISNUMBER(INDEX(Inputs!$D$4:$AG$250,0,MATCH(I$2,Inputs!$D$2:$AG$2,0))))=0,"",SUMIFS(INDEX(Inputs!$D$4:$AG$250,0,MATCH(I$2,Inputs!$D$2:$AG$2,0)),Inputs!$B$4:$B$250,$B67)/1000)</f>
        <v>10.269</v>
      </c>
      <c r="J67" s="11">
        <f>IF(SUMPRODUCT((Inputs!$B$4:$B$250=$B67)*ISNUMBER(INDEX(Inputs!$D$4:$AG$250,0,MATCH(J$2,Inputs!$D$2:$AG$2,0))))=0,"",SUMIFS(INDEX(Inputs!$D$4:$AG$250,0,MATCH(J$2,Inputs!$D$2:$AG$2,0)),Inputs!$B$4:$B$250,$B67)/1000)</f>
        <v>12.582</v>
      </c>
      <c r="K67" s="11">
        <f>IF(SUMPRODUCT((Inputs!$B$4:$B$250=$B67)*ISNUMBER(INDEX(Inputs!$D$4:$AG$250,0,MATCH(K$2,Inputs!$D$2:$AG$2,0))))=0,"",SUMIFS(INDEX(Inputs!$D$4:$AG$250,0,MATCH(K$2,Inputs!$D$2:$AG$2,0)),Inputs!$B$4:$B$250,$B67)/1000)</f>
        <v>7.951</v>
      </c>
      <c r="L67" s="11">
        <f>IF(SUMPRODUCT((Inputs!$B$4:$B$250=$B67)*ISNUMBER(INDEX(Inputs!$D$4:$AG$250,0,MATCH(L$2,Inputs!$D$2:$AG$2,0))))=0,"",SUMIFS(INDEX(Inputs!$D$4:$AG$250,0,MATCH(L$2,Inputs!$D$2:$AG$2,0)),Inputs!$B$4:$B$250,$B67)/1000)</f>
        <v>8.247</v>
      </c>
      <c r="M67" s="12">
        <f>IF(COUNT(I67:L67)=4,SUM(I67:L67),"")</f>
        <v>39.049</v>
      </c>
      <c r="N67" s="11">
        <f>IF(SUMPRODUCT((Inputs!$B$4:$B$250=$B67)*ISNUMBER(INDEX(Inputs!$D$4:$AG$250,0,MATCH(N$2,Inputs!$D$2:$AG$2,0))))=0,"",SUMIFS(INDEX(Inputs!$D$4:$AG$250,0,MATCH(N$2,Inputs!$D$2:$AG$2,0)),Inputs!$B$4:$B$250,$B67)/1000)</f>
        <v>11.985</v>
      </c>
      <c r="O67" s="11">
        <f>IF(SUMPRODUCT((Inputs!$B$4:$B$250=$B67)*ISNUMBER(INDEX(Inputs!$D$4:$AG$250,0,MATCH(O$2,Inputs!$D$2:$AG$2,0))))=0,"",SUMIFS(INDEX(Inputs!$D$4:$AG$250,0,MATCH(O$2,Inputs!$D$2:$AG$2,0)),Inputs!$B$4:$B$250,$B67)/1000)</f>
        <v>13.339</v>
      </c>
      <c r="P67" s="11">
        <f>IF(SUMPRODUCT((Inputs!$B$4:$B$250=$B67)*ISNUMBER(INDEX(Inputs!$D$4:$AG$250,0,MATCH(P$2,Inputs!$D$2:$AG$2,0))))=0,"",SUMIFS(INDEX(Inputs!$D$4:$AG$250,0,MATCH(P$2,Inputs!$D$2:$AG$2,0)),Inputs!$B$4:$B$250,$B67)/1000)</f>
        <v>7.257</v>
      </c>
      <c r="Q67" s="11">
        <f>IF(SUMPRODUCT((Inputs!$B$4:$B$250=$B67)*ISNUMBER(INDEX(Inputs!$D$4:$AG$250,0,MATCH(Q$2,Inputs!$D$2:$AG$2,0))))=0,"",SUMIFS(INDEX(Inputs!$D$4:$AG$250,0,MATCH(Q$2,Inputs!$D$2:$AG$2,0)),Inputs!$B$4:$B$250,$B67)/1000)</f>
        <v>8.679</v>
      </c>
      <c r="R67" s="12">
        <f>IF(COUNT(N67:Q67)=4,SUM(N67:Q67),"")</f>
        <v>41.26</v>
      </c>
      <c r="S67" s="11">
        <f>IF(SUMPRODUCT((Inputs!$B$4:$B$250=$B67)*ISNUMBER(INDEX(Inputs!$D$4:$AG$250,0,MATCH(S$2,Inputs!$D$2:$AG$2,0))))=0,"",SUMIFS(INDEX(Inputs!$D$4:$AG$250,0,MATCH(S$2,Inputs!$D$2:$AG$2,0)),Inputs!$B$4:$B$250,$B67)/1000)</f>
        <v>11.689</v>
      </c>
      <c r="T67" s="11">
        <f>IF(SUMPRODUCT((Inputs!$B$4:$B$250=$B67)*ISNUMBER(INDEX(Inputs!$D$4:$AG$250,0,MATCH(T$2,Inputs!$D$2:$AG$2,0))))=0,"",SUMIFS(INDEX(Inputs!$D$4:$AG$250,0,MATCH(T$2,Inputs!$D$2:$AG$2,0)),Inputs!$B$4:$B$250,$B67)/1000)</f>
        <v>9.515</v>
      </c>
      <c r="U67" s="11">
        <f>IF(SUMPRODUCT((Inputs!$B$4:$B$250=$B67)*ISNUMBER(INDEX(Inputs!$D$4:$AG$250,0,MATCH(U$2,Inputs!$D$2:$AG$2,0))))=0,"",SUMIFS(INDEX(Inputs!$D$4:$AG$250,0,MATCH(U$2,Inputs!$D$2:$AG$2,0)),Inputs!$B$4:$B$250,$B67)/1000)</f>
        <v>10.254</v>
      </c>
      <c r="V67" s="11">
        <f>IF(SUMPRODUCT((Inputs!$B$4:$B$250=$B67)*ISNUMBER(INDEX(Inputs!$D$4:$AG$250,0,MATCH(V$2,Inputs!$D$2:$AG$2,0))))=0,"",SUMIFS(INDEX(Inputs!$D$4:$AG$250,0,MATCH(V$2,Inputs!$D$2:$AG$2,0)),Inputs!$B$4:$B$250,$B67)/1000)</f>
        <v>10.317</v>
      </c>
      <c r="W67" s="12">
        <f>IF(COUNT(S67:V67)=4,SUM(S67:V67),"")</f>
        <v>41.775</v>
      </c>
      <c r="X67" s="11">
        <f>IF(SUMPRODUCT((Inputs!$B$4:$B$250=$B67)*ISNUMBER(INDEX(Inputs!$D$4:$AG$250,0,MATCH(X$2,Inputs!$D$2:$AG$2,0))))=0,"",SUMIFS(INDEX(Inputs!$D$4:$AG$250,0,MATCH(X$2,Inputs!$D$2:$AG$2,0)),Inputs!$B$4:$B$250,$B67)/1000)</f>
        <v>12.241</v>
      </c>
      <c r="Y67" s="11">
        <f>IF(SUMPRODUCT((Inputs!$B$4:$B$250=$B67)*ISNUMBER(INDEX(Inputs!$D$4:$AG$250,0,MATCH(Y$2,Inputs!$D$2:$AG$2,0))))=0,"",SUMIFS(INDEX(Inputs!$D$4:$AG$250,0,MATCH(Y$2,Inputs!$D$2:$AG$2,0)),Inputs!$B$4:$B$250,$B67)/1000)</f>
        <v>10.285</v>
      </c>
      <c r="Z67" s="11">
        <f>IF(SUMPRODUCT((Inputs!$B$4:$B$250=$B67)*ISNUMBER(INDEX(Inputs!$D$4:$AG$250,0,MATCH(Z$2,Inputs!$D$2:$AG$2,0))))=0,"",SUMIFS(INDEX(Inputs!$D$4:$AG$250,0,MATCH(Z$2,Inputs!$D$2:$AG$2,0)),Inputs!$B$4:$B$250,$B67)/1000)</f>
        <v>7.704</v>
      </c>
      <c r="AA67" s="11">
        <f>IF(SUMPRODUCT((Inputs!$B$4:$B$250=$B67)*ISNUMBER(INDEX(Inputs!$D$4:$AG$250,0,MATCH(AA$2,Inputs!$D$2:$AG$2,0))))=0,"",SUMIFS(INDEX(Inputs!$D$4:$AG$250,0,MATCH(AA$2,Inputs!$D$2:$AG$2,0)),Inputs!$B$4:$B$250,$B67)/1000)</f>
        <v>9.766</v>
      </c>
      <c r="AB67" s="12">
        <f>IF(COUNT(X67:AA67)=4,SUM(X67:AA67),"")</f>
        <v>39.996</v>
      </c>
      <c r="AC67" s="11">
        <f>IF(SUMPRODUCT((Inputs!$B$4:$B$250=$B67)*ISNUMBER(INDEX(Inputs!$D$4:$AG$250,0,MATCH(AC$2,Inputs!$D$2:$AG$2,0))))=0,"",SUMIFS(INDEX(Inputs!$D$4:$AG$250,0,MATCH(AC$2,Inputs!$D$2:$AG$2,0)),Inputs!$B$4:$B$250,$B67)/1000)</f>
        <v>10.57</v>
      </c>
      <c r="AD67" s="11">
        <f>IF(SUMPRODUCT((Inputs!$B$4:$B$250=$B67)*ISNUMBER(INDEX(Inputs!$D$4:$AG$250,0,MATCH(AD$2,Inputs!$D$2:$AG$2,0))))=0,"",SUMIFS(INDEX(Inputs!$D$4:$AG$250,0,MATCH(AD$2,Inputs!$D$2:$AG$2,0)),Inputs!$B$4:$B$250,$B67)/1000)</f>
        <v>13.047</v>
      </c>
      <c r="AE67" s="11" t="str">
        <f>IF(SUMPRODUCT((Inputs!$B$4:$B$250=$B67)*ISNUMBER(INDEX(Inputs!$D$4:$AG$250,0,MATCH(AE$2,Inputs!$D$2:$AG$2,0))))=0,"",SUMIFS(INDEX(Inputs!$D$4:$AG$250,0,MATCH(AE$2,Inputs!$D$2:$AG$2,0)),Inputs!$B$4:$B$250,$B67)/1000)</f>
        <v/>
      </c>
      <c r="AF67" s="11" t="str">
        <f>IF(SUMPRODUCT((Inputs!$B$4:$B$250=$B67)*ISNUMBER(INDEX(Inputs!$D$4:$AG$250,0,MATCH(AF$2,Inputs!$D$2:$AG$2,0))))=0,"",SUMIFS(INDEX(Inputs!$D$4:$AG$250,0,MATCH(AF$2,Inputs!$D$2:$AG$2,0)),Inputs!$B$4:$B$250,$B67)/1000)</f>
        <v/>
      </c>
      <c r="AG67" s="12" t="str">
        <f>IF(COUNT(AC67:AF67)=4,SUM(AC67:AF67),"")</f>
        <v/>
      </c>
    </row>
    <row r="68">
      <c r="B68" s="9" t="n">
        <v>60</v>
      </c>
      <c r="C68" s="10" t="inlineStr">
        <is>
          <t>Transmissao | TME</t>
        </is>
      </c>
      <c r="D68" s="11">
        <f>IF(SUMPRODUCT((Inputs!$B$4:$B$250=$B68)*ISNUMBER(INDEX(Inputs!$D$4:$AG$250,0,MATCH(D$2,Inputs!$D$2:$AG$2,0))))=0,"",SUMIFS(INDEX(Inputs!$D$4:$AG$250,0,MATCH(D$2,Inputs!$D$2:$AG$2,0)),Inputs!$B$4:$B$250,$B68)/1000)</f>
        <v>21.826</v>
      </c>
      <c r="E68" s="11">
        <f>IF(SUMPRODUCT((Inputs!$B$4:$B$250=$B68)*ISNUMBER(INDEX(Inputs!$D$4:$AG$250,0,MATCH(E$2,Inputs!$D$2:$AG$2,0))))=0,"",SUMIFS(INDEX(Inputs!$D$4:$AG$250,0,MATCH(E$2,Inputs!$D$2:$AG$2,0)),Inputs!$B$4:$B$250,$B68)/1000)</f>
        <v>21.496</v>
      </c>
      <c r="F68" s="11">
        <f>IF(SUMPRODUCT((Inputs!$B$4:$B$250=$B68)*ISNUMBER(INDEX(Inputs!$D$4:$AG$250,0,MATCH(F$2,Inputs!$D$2:$AG$2,0))))=0,"",SUMIFS(INDEX(Inputs!$D$4:$AG$250,0,MATCH(F$2,Inputs!$D$2:$AG$2,0)),Inputs!$B$4:$B$250,$B68)/1000)</f>
        <v>15.078</v>
      </c>
      <c r="G68" s="11">
        <f>IF(SUMPRODUCT((Inputs!$B$4:$B$250=$B68)*ISNUMBER(INDEX(Inputs!$D$4:$AG$250,0,MATCH(G$2,Inputs!$D$2:$AG$2,0))))=0,"",SUMIFS(INDEX(Inputs!$D$4:$AG$250,0,MATCH(G$2,Inputs!$D$2:$AG$2,0)),Inputs!$B$4:$B$250,$B68)/1000)</f>
        <v>26.395</v>
      </c>
      <c r="H68" s="12">
        <f>IF(COUNT(D68:G68)=4,SUM(D68:G68),"")</f>
        <v>84.795</v>
      </c>
      <c r="I68" s="11">
        <f>IF(SUMPRODUCT((Inputs!$B$4:$B$250=$B68)*ISNUMBER(INDEX(Inputs!$D$4:$AG$250,0,MATCH(I$2,Inputs!$D$2:$AG$2,0))))=0,"",SUMIFS(INDEX(Inputs!$D$4:$AG$250,0,MATCH(I$2,Inputs!$D$2:$AG$2,0)),Inputs!$B$4:$B$250,$B68)/1000)</f>
        <v>22.25</v>
      </c>
      <c r="J68" s="11">
        <f>IF(SUMPRODUCT((Inputs!$B$4:$B$250=$B68)*ISNUMBER(INDEX(Inputs!$D$4:$AG$250,0,MATCH(J$2,Inputs!$D$2:$AG$2,0))))=0,"",SUMIFS(INDEX(Inputs!$D$4:$AG$250,0,MATCH(J$2,Inputs!$D$2:$AG$2,0)),Inputs!$B$4:$B$250,$B68)/1000)</f>
        <v>27.242</v>
      </c>
      <c r="K68" s="11">
        <f>IF(SUMPRODUCT((Inputs!$B$4:$B$250=$B68)*ISNUMBER(INDEX(Inputs!$D$4:$AG$250,0,MATCH(K$2,Inputs!$D$2:$AG$2,0))))=0,"",SUMIFS(INDEX(Inputs!$D$4:$AG$250,0,MATCH(K$2,Inputs!$D$2:$AG$2,0)),Inputs!$B$4:$B$250,$B68)/1000)</f>
        <v>10.115</v>
      </c>
      <c r="L68" s="11">
        <f>IF(SUMPRODUCT((Inputs!$B$4:$B$250=$B68)*ISNUMBER(INDEX(Inputs!$D$4:$AG$250,0,MATCH(L$2,Inputs!$D$2:$AG$2,0))))=0,"",SUMIFS(INDEX(Inputs!$D$4:$AG$250,0,MATCH(L$2,Inputs!$D$2:$AG$2,0)),Inputs!$B$4:$B$250,$B68)/1000)</f>
        <v>15.251</v>
      </c>
      <c r="M68" s="12">
        <f>IF(COUNT(I68:L68)=4,SUM(I68:L68),"")</f>
        <v>74.858</v>
      </c>
      <c r="N68" s="11">
        <f>IF(SUMPRODUCT((Inputs!$B$4:$B$250=$B68)*ISNUMBER(INDEX(Inputs!$D$4:$AG$250,0,MATCH(N$2,Inputs!$D$2:$AG$2,0))))=0,"",SUMIFS(INDEX(Inputs!$D$4:$AG$250,0,MATCH(N$2,Inputs!$D$2:$AG$2,0)),Inputs!$B$4:$B$250,$B68)/1000)</f>
        <v>21.712</v>
      </c>
      <c r="O68" s="11">
        <f>IF(SUMPRODUCT((Inputs!$B$4:$B$250=$B68)*ISNUMBER(INDEX(Inputs!$D$4:$AG$250,0,MATCH(O$2,Inputs!$D$2:$AG$2,0))))=0,"",SUMIFS(INDEX(Inputs!$D$4:$AG$250,0,MATCH(O$2,Inputs!$D$2:$AG$2,0)),Inputs!$B$4:$B$250,$B68)/1000)</f>
        <v>19.897</v>
      </c>
      <c r="P68" s="11">
        <f>IF(SUMPRODUCT((Inputs!$B$4:$B$250=$B68)*ISNUMBER(INDEX(Inputs!$D$4:$AG$250,0,MATCH(P$2,Inputs!$D$2:$AG$2,0))))=0,"",SUMIFS(INDEX(Inputs!$D$4:$AG$250,0,MATCH(P$2,Inputs!$D$2:$AG$2,0)),Inputs!$B$4:$B$250,$B68)/1000)</f>
        <v>13.567</v>
      </c>
      <c r="Q68" s="11">
        <f>IF(SUMPRODUCT((Inputs!$B$4:$B$250=$B68)*ISNUMBER(INDEX(Inputs!$D$4:$AG$250,0,MATCH(Q$2,Inputs!$D$2:$AG$2,0))))=0,"",SUMIFS(INDEX(Inputs!$D$4:$AG$250,0,MATCH(Q$2,Inputs!$D$2:$AG$2,0)),Inputs!$B$4:$B$250,$B68)/1000)</f>
        <v>15.87</v>
      </c>
      <c r="R68" s="12">
        <f>IF(COUNT(N68:Q68)=4,SUM(N68:Q68),"")</f>
        <v>71.046</v>
      </c>
      <c r="S68" s="11">
        <f>IF(SUMPRODUCT((Inputs!$B$4:$B$250=$B68)*ISNUMBER(INDEX(Inputs!$D$4:$AG$250,0,MATCH(S$2,Inputs!$D$2:$AG$2,0))))=0,"",SUMIFS(INDEX(Inputs!$D$4:$AG$250,0,MATCH(S$2,Inputs!$D$2:$AG$2,0)),Inputs!$B$4:$B$250,$B68)/1000)</f>
        <v>21.147</v>
      </c>
      <c r="T68" s="11">
        <f>IF(SUMPRODUCT((Inputs!$B$4:$B$250=$B68)*ISNUMBER(INDEX(Inputs!$D$4:$AG$250,0,MATCH(T$2,Inputs!$D$2:$AG$2,0))))=0,"",SUMIFS(INDEX(Inputs!$D$4:$AG$250,0,MATCH(T$2,Inputs!$D$2:$AG$2,0)),Inputs!$B$4:$B$250,$B68)/1000)</f>
        <v>17.322</v>
      </c>
      <c r="U68" s="11">
        <f>IF(SUMPRODUCT((Inputs!$B$4:$B$250=$B68)*ISNUMBER(INDEX(Inputs!$D$4:$AG$250,0,MATCH(U$2,Inputs!$D$2:$AG$2,0))))=0,"",SUMIFS(INDEX(Inputs!$D$4:$AG$250,0,MATCH(U$2,Inputs!$D$2:$AG$2,0)),Inputs!$B$4:$B$250,$B68)/1000)</f>
        <v>15.02</v>
      </c>
      <c r="V68" s="11">
        <f>IF(SUMPRODUCT((Inputs!$B$4:$B$250=$B68)*ISNUMBER(INDEX(Inputs!$D$4:$AG$250,0,MATCH(V$2,Inputs!$D$2:$AG$2,0))))=0,"",SUMIFS(INDEX(Inputs!$D$4:$AG$250,0,MATCH(V$2,Inputs!$D$2:$AG$2,0)),Inputs!$B$4:$B$250,$B68)/1000)</f>
        <v>19.115</v>
      </c>
      <c r="W68" s="12">
        <f>IF(COUNT(S68:V68)=4,SUM(S68:V68),"")</f>
        <v>72.604</v>
      </c>
      <c r="X68" s="11">
        <f>IF(SUMPRODUCT((Inputs!$B$4:$B$250=$B68)*ISNUMBER(INDEX(Inputs!$D$4:$AG$250,0,MATCH(X$2,Inputs!$D$2:$AG$2,0))))=0,"",SUMIFS(INDEX(Inputs!$D$4:$AG$250,0,MATCH(X$2,Inputs!$D$2:$AG$2,0)),Inputs!$B$4:$B$250,$B68)/1000)</f>
        <v>22.414</v>
      </c>
      <c r="Y68" s="11">
        <f>IF(SUMPRODUCT((Inputs!$B$4:$B$250=$B68)*ISNUMBER(INDEX(Inputs!$D$4:$AG$250,0,MATCH(Y$2,Inputs!$D$2:$AG$2,0))))=0,"",SUMIFS(INDEX(Inputs!$D$4:$AG$250,0,MATCH(Y$2,Inputs!$D$2:$AG$2,0)),Inputs!$B$4:$B$250,$B68)/1000)</f>
        <v>18.934</v>
      </c>
      <c r="Z68" s="11">
        <f>IF(SUMPRODUCT((Inputs!$B$4:$B$250=$B68)*ISNUMBER(INDEX(Inputs!$D$4:$AG$250,0,MATCH(Z$2,Inputs!$D$2:$AG$2,0))))=0,"",SUMIFS(INDEX(Inputs!$D$4:$AG$250,0,MATCH(Z$2,Inputs!$D$2:$AG$2,0)),Inputs!$B$4:$B$250,$B68)/1000)</f>
        <v>14.236</v>
      </c>
      <c r="AA68" s="11">
        <f>IF(SUMPRODUCT((Inputs!$B$4:$B$250=$B68)*ISNUMBER(INDEX(Inputs!$D$4:$AG$250,0,MATCH(AA$2,Inputs!$D$2:$AG$2,0))))=0,"",SUMIFS(INDEX(Inputs!$D$4:$AG$250,0,MATCH(AA$2,Inputs!$D$2:$AG$2,0)),Inputs!$B$4:$B$250,$B68)/1000)</f>
        <v>15.908</v>
      </c>
      <c r="AB68" s="12">
        <f>IF(COUNT(X68:AA68)=4,SUM(X68:AA68),"")</f>
        <v>71.492</v>
      </c>
      <c r="AC68" s="11">
        <f>IF(SUMPRODUCT((Inputs!$B$4:$B$250=$B68)*ISNUMBER(INDEX(Inputs!$D$4:$AG$250,0,MATCH(AC$2,Inputs!$D$2:$AG$2,0))))=0,"",SUMIFS(INDEX(Inputs!$D$4:$AG$250,0,MATCH(AC$2,Inputs!$D$2:$AG$2,0)),Inputs!$B$4:$B$250,$B68)/1000)</f>
        <v>19.029</v>
      </c>
      <c r="AD68" s="11">
        <f>IF(SUMPRODUCT((Inputs!$B$4:$B$250=$B68)*ISNUMBER(INDEX(Inputs!$D$4:$AG$250,0,MATCH(AD$2,Inputs!$D$2:$AG$2,0))))=0,"",SUMIFS(INDEX(Inputs!$D$4:$AG$250,0,MATCH(AD$2,Inputs!$D$2:$AG$2,0)),Inputs!$B$4:$B$250,$B68)/1000)</f>
        <v>22.668</v>
      </c>
      <c r="AE68" s="11" t="str">
        <f>IF(SUMPRODUCT((Inputs!$B$4:$B$250=$B68)*ISNUMBER(INDEX(Inputs!$D$4:$AG$250,0,MATCH(AE$2,Inputs!$D$2:$AG$2,0))))=0,"",SUMIFS(INDEX(Inputs!$D$4:$AG$250,0,MATCH(AE$2,Inputs!$D$2:$AG$2,0)),Inputs!$B$4:$B$250,$B68)/1000)</f>
        <v/>
      </c>
      <c r="AF68" s="11" t="str">
        <f>IF(SUMPRODUCT((Inputs!$B$4:$B$250=$B68)*ISNUMBER(INDEX(Inputs!$D$4:$AG$250,0,MATCH(AF$2,Inputs!$D$2:$AG$2,0))))=0,"",SUMIFS(INDEX(Inputs!$D$4:$AG$250,0,MATCH(AF$2,Inputs!$D$2:$AG$2,0)),Inputs!$B$4:$B$250,$B68)/1000)</f>
        <v/>
      </c>
      <c r="AG68" s="12" t="str">
        <f>IF(COUNT(AC68:AF68)=4,SUM(AC68:AF68),"")</f>
        <v/>
      </c>
    </row>
    <row r="69">
      <c r="B69" s="9" t="n">
        <v>61</v>
      </c>
      <c r="C69" s="10" t="inlineStr">
        <is>
          <t>Transmissao | TPE</t>
        </is>
      </c>
      <c r="D69" s="11">
        <f>IF(SUMPRODUCT((Inputs!$B$4:$B$250=$B69)*ISNUMBER(INDEX(Inputs!$D$4:$AG$250,0,MATCH(D$2,Inputs!$D$2:$AG$2,0))))=0,"",SUMIFS(INDEX(Inputs!$D$4:$AG$250,0,MATCH(D$2,Inputs!$D$2:$AG$2,0)),Inputs!$B$4:$B$250,$B69)/1000)</f>
        <v>112.342</v>
      </c>
      <c r="E69" s="11">
        <f>IF(SUMPRODUCT((Inputs!$B$4:$B$250=$B69)*ISNUMBER(INDEX(Inputs!$D$4:$AG$250,0,MATCH(E$2,Inputs!$D$2:$AG$2,0))))=0,"",SUMIFS(INDEX(Inputs!$D$4:$AG$250,0,MATCH(E$2,Inputs!$D$2:$AG$2,0)),Inputs!$B$4:$B$250,$B69)/1000)</f>
        <v>137.284</v>
      </c>
      <c r="F69" s="11">
        <f>IF(SUMPRODUCT((Inputs!$B$4:$B$250=$B69)*ISNUMBER(INDEX(Inputs!$D$4:$AG$250,0,MATCH(F$2,Inputs!$D$2:$AG$2,0))))=0,"",SUMIFS(INDEX(Inputs!$D$4:$AG$250,0,MATCH(F$2,Inputs!$D$2:$AG$2,0)),Inputs!$B$4:$B$250,$B69)/1000)</f>
        <v>112.088</v>
      </c>
      <c r="G69" s="11">
        <f>IF(SUMPRODUCT((Inputs!$B$4:$B$250=$B69)*ISNUMBER(INDEX(Inputs!$D$4:$AG$250,0,MATCH(G$2,Inputs!$D$2:$AG$2,0))))=0,"",SUMIFS(INDEX(Inputs!$D$4:$AG$250,0,MATCH(G$2,Inputs!$D$2:$AG$2,0)),Inputs!$B$4:$B$250,$B69)/1000)</f>
        <v>139.417</v>
      </c>
      <c r="H69" s="12">
        <f>IF(COUNT(D69:G69)=4,SUM(D69:G69),"")</f>
        <v>501.131</v>
      </c>
      <c r="I69" s="11">
        <f>IF(SUMPRODUCT((Inputs!$B$4:$B$250=$B69)*ISNUMBER(INDEX(Inputs!$D$4:$AG$250,0,MATCH(I$2,Inputs!$D$2:$AG$2,0))))=0,"",SUMIFS(INDEX(Inputs!$D$4:$AG$250,0,MATCH(I$2,Inputs!$D$2:$AG$2,0)),Inputs!$B$4:$B$250,$B69)/1000)</f>
        <v>117.661</v>
      </c>
      <c r="J69" s="11">
        <f>IF(SUMPRODUCT((Inputs!$B$4:$B$250=$B69)*ISNUMBER(INDEX(Inputs!$D$4:$AG$250,0,MATCH(J$2,Inputs!$D$2:$AG$2,0))))=0,"",SUMIFS(INDEX(Inputs!$D$4:$AG$250,0,MATCH(J$2,Inputs!$D$2:$AG$2,0)),Inputs!$B$4:$B$250,$B69)/1000)</f>
        <v>140.164</v>
      </c>
      <c r="K69" s="11">
        <f>IF(SUMPRODUCT((Inputs!$B$4:$B$250=$B69)*ISNUMBER(INDEX(Inputs!$D$4:$AG$250,0,MATCH(K$2,Inputs!$D$2:$AG$2,0))))=0,"",SUMIFS(INDEX(Inputs!$D$4:$AG$250,0,MATCH(K$2,Inputs!$D$2:$AG$2,0)),Inputs!$B$4:$B$250,$B69)/1000)</f>
        <v>54.032</v>
      </c>
      <c r="L69" s="11">
        <f>IF(SUMPRODUCT((Inputs!$B$4:$B$250=$B69)*ISNUMBER(INDEX(Inputs!$D$4:$AG$250,0,MATCH(L$2,Inputs!$D$2:$AG$2,0))))=0,"",SUMIFS(INDEX(Inputs!$D$4:$AG$250,0,MATCH(L$2,Inputs!$D$2:$AG$2,0)),Inputs!$B$4:$B$250,$B69)/1000)</f>
        <v>80.276</v>
      </c>
      <c r="M69" s="12">
        <f>IF(COUNT(I69:L69)=4,SUM(I69:L69),"")</f>
        <v>392.133</v>
      </c>
      <c r="N69" s="11">
        <f>IF(SUMPRODUCT((Inputs!$B$4:$B$250=$B69)*ISNUMBER(INDEX(Inputs!$D$4:$AG$250,0,MATCH(N$2,Inputs!$D$2:$AG$2,0))))=0,"",SUMIFS(INDEX(Inputs!$D$4:$AG$250,0,MATCH(N$2,Inputs!$D$2:$AG$2,0)),Inputs!$B$4:$B$250,$B69)/1000)</f>
        <v>113.18</v>
      </c>
      <c r="O69" s="11">
        <f>IF(SUMPRODUCT((Inputs!$B$4:$B$250=$B69)*ISNUMBER(INDEX(Inputs!$D$4:$AG$250,0,MATCH(O$2,Inputs!$D$2:$AG$2,0))))=0,"",SUMIFS(INDEX(Inputs!$D$4:$AG$250,0,MATCH(O$2,Inputs!$D$2:$AG$2,0)),Inputs!$B$4:$B$250,$B69)/1000)</f>
        <v>104.836</v>
      </c>
      <c r="P69" s="11">
        <f>IF(SUMPRODUCT((Inputs!$B$4:$B$250=$B69)*ISNUMBER(INDEX(Inputs!$D$4:$AG$250,0,MATCH(P$2,Inputs!$D$2:$AG$2,0))))=0,"",SUMIFS(INDEX(Inputs!$D$4:$AG$250,0,MATCH(P$2,Inputs!$D$2:$AG$2,0)),Inputs!$B$4:$B$250,$B69)/1000)</f>
        <v>71.205</v>
      </c>
      <c r="Q69" s="11">
        <f>IF(SUMPRODUCT((Inputs!$B$4:$B$250=$B69)*ISNUMBER(INDEX(Inputs!$D$4:$AG$250,0,MATCH(Q$2,Inputs!$D$2:$AG$2,0))))=0,"",SUMIFS(INDEX(Inputs!$D$4:$AG$250,0,MATCH(Q$2,Inputs!$D$2:$AG$2,0)),Inputs!$B$4:$B$250,$B69)/1000)</f>
        <v>84.746</v>
      </c>
      <c r="R69" s="12">
        <f>IF(COUNT(N69:Q69)=4,SUM(N69:Q69),"")</f>
        <v>373.967</v>
      </c>
      <c r="S69" s="11">
        <f>IF(SUMPRODUCT((Inputs!$B$4:$B$250=$B69)*ISNUMBER(INDEX(Inputs!$D$4:$AG$250,0,MATCH(S$2,Inputs!$D$2:$AG$2,0))))=0,"",SUMIFS(INDEX(Inputs!$D$4:$AG$250,0,MATCH(S$2,Inputs!$D$2:$AG$2,0)),Inputs!$B$4:$B$250,$B69)/1000)</f>
        <v>112.65</v>
      </c>
      <c r="T69" s="11">
        <f>IF(SUMPRODUCT((Inputs!$B$4:$B$250=$B69)*ISNUMBER(INDEX(Inputs!$D$4:$AG$250,0,MATCH(T$2,Inputs!$D$2:$AG$2,0))))=0,"",SUMIFS(INDEX(Inputs!$D$4:$AG$250,0,MATCH(T$2,Inputs!$D$2:$AG$2,0)),Inputs!$B$4:$B$250,$B69)/1000)</f>
        <v>92.954</v>
      </c>
      <c r="U69" s="11">
        <f>IF(SUMPRODUCT((Inputs!$B$4:$B$250=$B69)*ISNUMBER(INDEX(Inputs!$D$4:$AG$250,0,MATCH(U$2,Inputs!$D$2:$AG$2,0))))=0,"",SUMIFS(INDEX(Inputs!$D$4:$AG$250,0,MATCH(U$2,Inputs!$D$2:$AG$2,0)),Inputs!$B$4:$B$250,$B69)/1000)</f>
        <v>81.169</v>
      </c>
      <c r="V69" s="11">
        <f>IF(SUMPRODUCT((Inputs!$B$4:$B$250=$B69)*ISNUMBER(INDEX(Inputs!$D$4:$AG$250,0,MATCH(V$2,Inputs!$D$2:$AG$2,0))))=0,"",SUMIFS(INDEX(Inputs!$D$4:$AG$250,0,MATCH(V$2,Inputs!$D$2:$AG$2,0)),Inputs!$B$4:$B$250,$B69)/1000)</f>
        <v>103.139</v>
      </c>
      <c r="W69" s="12">
        <f>IF(COUNT(S69:V69)=4,SUM(S69:V69),"")</f>
        <v>389.912</v>
      </c>
      <c r="X69" s="11">
        <f>IF(SUMPRODUCT((Inputs!$B$4:$B$250=$B69)*ISNUMBER(INDEX(Inputs!$D$4:$AG$250,0,MATCH(X$2,Inputs!$D$2:$AG$2,0))))=0,"",SUMIFS(INDEX(Inputs!$D$4:$AG$250,0,MATCH(X$2,Inputs!$D$2:$AG$2,0)),Inputs!$B$4:$B$250,$B69)/1000)</f>
        <v>120.293</v>
      </c>
      <c r="Y69" s="11">
        <f>IF(SUMPRODUCT((Inputs!$B$4:$B$250=$B69)*ISNUMBER(INDEX(Inputs!$D$4:$AG$250,0,MATCH(Y$2,Inputs!$D$2:$AG$2,0))))=0,"",SUMIFS(INDEX(Inputs!$D$4:$AG$250,0,MATCH(Y$2,Inputs!$D$2:$AG$2,0)),Inputs!$B$4:$B$250,$B69)/1000)</f>
        <v>102.759</v>
      </c>
      <c r="Z69" s="11">
        <f>IF(SUMPRODUCT((Inputs!$B$4:$B$250=$B69)*ISNUMBER(INDEX(Inputs!$D$4:$AG$250,0,MATCH(Z$2,Inputs!$D$2:$AG$2,0))))=0,"",SUMIFS(INDEX(Inputs!$D$4:$AG$250,0,MATCH(Z$2,Inputs!$D$2:$AG$2,0)),Inputs!$B$4:$B$250,$B69)/1000)</f>
        <v>79.546</v>
      </c>
      <c r="AA69" s="11">
        <f>IF(SUMPRODUCT((Inputs!$B$4:$B$250=$B69)*ISNUMBER(INDEX(Inputs!$D$4:$AG$250,0,MATCH(AA$2,Inputs!$D$2:$AG$2,0))))=0,"",SUMIFS(INDEX(Inputs!$D$4:$AG$250,0,MATCH(AA$2,Inputs!$D$2:$AG$2,0)),Inputs!$B$4:$B$250,$B69)/1000)</f>
        <v>90.018</v>
      </c>
      <c r="AB69" s="12">
        <f>IF(COUNT(X69:AA69)=4,SUM(X69:AA69),"")</f>
        <v>392.616</v>
      </c>
      <c r="AC69" s="11">
        <f>IF(SUMPRODUCT((Inputs!$B$4:$B$250=$B69)*ISNUMBER(INDEX(Inputs!$D$4:$AG$250,0,MATCH(AC$2,Inputs!$D$2:$AG$2,0))))=0,"",SUMIFS(INDEX(Inputs!$D$4:$AG$250,0,MATCH(AC$2,Inputs!$D$2:$AG$2,0)),Inputs!$B$4:$B$250,$B69)/1000)</f>
        <v>107.153</v>
      </c>
      <c r="AD69" s="11">
        <f>IF(SUMPRODUCT((Inputs!$B$4:$B$250=$B69)*ISNUMBER(INDEX(Inputs!$D$4:$AG$250,0,MATCH(AD$2,Inputs!$D$2:$AG$2,0))))=0,"",SUMIFS(INDEX(Inputs!$D$4:$AG$250,0,MATCH(AD$2,Inputs!$D$2:$AG$2,0)),Inputs!$B$4:$B$250,$B69)/1000)</f>
        <v>130.903</v>
      </c>
      <c r="AE69" s="11" t="str">
        <f>IF(SUMPRODUCT((Inputs!$B$4:$B$250=$B69)*ISNUMBER(INDEX(Inputs!$D$4:$AG$250,0,MATCH(AE$2,Inputs!$D$2:$AG$2,0))))=0,"",SUMIFS(INDEX(Inputs!$D$4:$AG$250,0,MATCH(AE$2,Inputs!$D$2:$AG$2,0)),Inputs!$B$4:$B$250,$B69)/1000)</f>
        <v/>
      </c>
      <c r="AF69" s="11" t="str">
        <f>IF(SUMPRODUCT((Inputs!$B$4:$B$250=$B69)*ISNUMBER(INDEX(Inputs!$D$4:$AG$250,0,MATCH(AF$2,Inputs!$D$2:$AG$2,0))))=0,"",SUMIFS(INDEX(Inputs!$D$4:$AG$250,0,MATCH(AF$2,Inputs!$D$2:$AG$2,0)),Inputs!$B$4:$B$250,$B69)/1000)</f>
        <v/>
      </c>
      <c r="AG69" s="12" t="str">
        <f>IF(COUNT(AC69:AF69)=4,SUM(AC69:AF69),"")</f>
        <v/>
      </c>
    </row>
    <row r="70">
      <c r="B70" s="9" t="n">
        <v>62</v>
      </c>
      <c r="C70" s="10" t="inlineStr">
        <is>
          <t>Transmissao | ETEM</t>
        </is>
      </c>
      <c r="D70" s="11">
        <f>IF(SUMPRODUCT((Inputs!$B$4:$B$250=$B70)*ISNUMBER(INDEX(Inputs!$D$4:$AG$250,0,MATCH(D$2,Inputs!$D$2:$AG$2,0))))=0,"",SUMIFS(INDEX(Inputs!$D$4:$AG$250,0,MATCH(D$2,Inputs!$D$2:$AG$2,0)),Inputs!$B$4:$B$250,$B70)/1000)</f>
        <v>5.496</v>
      </c>
      <c r="E70" s="11">
        <f>IF(SUMPRODUCT((Inputs!$B$4:$B$250=$B70)*ISNUMBER(INDEX(Inputs!$D$4:$AG$250,0,MATCH(E$2,Inputs!$D$2:$AG$2,0))))=0,"",SUMIFS(INDEX(Inputs!$D$4:$AG$250,0,MATCH(E$2,Inputs!$D$2:$AG$2,0)),Inputs!$B$4:$B$250,$B70)/1000)</f>
        <v>6.175</v>
      </c>
      <c r="F70" s="11">
        <f>IF(SUMPRODUCT((Inputs!$B$4:$B$250=$B70)*ISNUMBER(INDEX(Inputs!$D$4:$AG$250,0,MATCH(F$2,Inputs!$D$2:$AG$2,0))))=0,"",SUMIFS(INDEX(Inputs!$D$4:$AG$250,0,MATCH(F$2,Inputs!$D$2:$AG$2,0)),Inputs!$B$4:$B$250,$B70)/1000)</f>
        <v>6.029</v>
      </c>
      <c r="G70" s="11">
        <f>IF(SUMPRODUCT((Inputs!$B$4:$B$250=$B70)*ISNUMBER(INDEX(Inputs!$D$4:$AG$250,0,MATCH(G$2,Inputs!$D$2:$AG$2,0))))=0,"",SUMIFS(INDEX(Inputs!$D$4:$AG$250,0,MATCH(G$2,Inputs!$D$2:$AG$2,0)),Inputs!$B$4:$B$250,$B70)/1000)</f>
        <v>6.203</v>
      </c>
      <c r="H70" s="12">
        <f>IF(COUNT(D70:G70)=4,SUM(D70:G70),"")</f>
        <v>23.903</v>
      </c>
      <c r="I70" s="11">
        <f>IF(SUMPRODUCT((Inputs!$B$4:$B$250=$B70)*ISNUMBER(INDEX(Inputs!$D$4:$AG$250,0,MATCH(I$2,Inputs!$D$2:$AG$2,0))))=0,"",SUMIFS(INDEX(Inputs!$D$4:$AG$250,0,MATCH(I$2,Inputs!$D$2:$AG$2,0)),Inputs!$B$4:$B$250,$B70)/1000)</f>
        <v>6.269</v>
      </c>
      <c r="J70" s="11">
        <f>IF(SUMPRODUCT((Inputs!$B$4:$B$250=$B70)*ISNUMBER(INDEX(Inputs!$D$4:$AG$250,0,MATCH(J$2,Inputs!$D$2:$AG$2,0))))=0,"",SUMIFS(INDEX(Inputs!$D$4:$AG$250,0,MATCH(J$2,Inputs!$D$2:$AG$2,0)),Inputs!$B$4:$B$250,$B70)/1000)</f>
        <v>7.684</v>
      </c>
      <c r="K70" s="11">
        <f>IF(SUMPRODUCT((Inputs!$B$4:$B$250=$B70)*ISNUMBER(INDEX(Inputs!$D$4:$AG$250,0,MATCH(K$2,Inputs!$D$2:$AG$2,0))))=0,"",SUMIFS(INDEX(Inputs!$D$4:$AG$250,0,MATCH(K$2,Inputs!$D$2:$AG$2,0)),Inputs!$B$4:$B$250,$B70)/1000)</f>
        <v>2.836</v>
      </c>
      <c r="L70" s="11">
        <f>IF(SUMPRODUCT((Inputs!$B$4:$B$250=$B70)*ISNUMBER(INDEX(Inputs!$D$4:$AG$250,0,MATCH(L$2,Inputs!$D$2:$AG$2,0))))=0,"",SUMIFS(INDEX(Inputs!$D$4:$AG$250,0,MATCH(L$2,Inputs!$D$2:$AG$2,0)),Inputs!$B$4:$B$250,$B70)/1000)</f>
        <v>4.282</v>
      </c>
      <c r="M70" s="12">
        <f>IF(COUNT(I70:L70)=4,SUM(I70:L70),"")</f>
        <v>21.071</v>
      </c>
      <c r="N70" s="11">
        <f>IF(SUMPRODUCT((Inputs!$B$4:$B$250=$B70)*ISNUMBER(INDEX(Inputs!$D$4:$AG$250,0,MATCH(N$2,Inputs!$D$2:$AG$2,0))))=0,"",SUMIFS(INDEX(Inputs!$D$4:$AG$250,0,MATCH(N$2,Inputs!$D$2:$AG$2,0)),Inputs!$B$4:$B$250,$B70)/1000)</f>
        <v>6.113</v>
      </c>
      <c r="O70" s="11">
        <f>IF(SUMPRODUCT((Inputs!$B$4:$B$250=$B70)*ISNUMBER(INDEX(Inputs!$D$4:$AG$250,0,MATCH(O$2,Inputs!$D$2:$AG$2,0))))=0,"",SUMIFS(INDEX(Inputs!$D$4:$AG$250,0,MATCH(O$2,Inputs!$D$2:$AG$2,0)),Inputs!$B$4:$B$250,$B70)/1000)</f>
        <v>5.599</v>
      </c>
      <c r="P70" s="11">
        <f>IF(SUMPRODUCT((Inputs!$B$4:$B$250=$B70)*ISNUMBER(INDEX(Inputs!$D$4:$AG$250,0,MATCH(P$2,Inputs!$D$2:$AG$2,0))))=0,"",SUMIFS(INDEX(Inputs!$D$4:$AG$250,0,MATCH(P$2,Inputs!$D$2:$AG$2,0)),Inputs!$B$4:$B$250,$B70)/1000)</f>
        <v>3.804</v>
      </c>
      <c r="Q70" s="11">
        <f>IF(SUMPRODUCT((Inputs!$B$4:$B$250=$B70)*ISNUMBER(INDEX(Inputs!$D$4:$AG$250,0,MATCH(Q$2,Inputs!$D$2:$AG$2,0))))=0,"",SUMIFS(INDEX(Inputs!$D$4:$AG$250,0,MATCH(Q$2,Inputs!$D$2:$AG$2,0)),Inputs!$B$4:$B$250,$B70)/1000)</f>
        <v>4.467</v>
      </c>
      <c r="R70" s="12">
        <f>IF(COUNT(N70:Q70)=4,SUM(N70:Q70),"")</f>
        <v>19.983</v>
      </c>
      <c r="S70" s="11">
        <f>IF(SUMPRODUCT((Inputs!$B$4:$B$250=$B70)*ISNUMBER(INDEX(Inputs!$D$4:$AG$250,0,MATCH(S$2,Inputs!$D$2:$AG$2,0))))=0,"",SUMIFS(INDEX(Inputs!$D$4:$AG$250,0,MATCH(S$2,Inputs!$D$2:$AG$2,0)),Inputs!$B$4:$B$250,$B70)/1000)</f>
        <v>5.959</v>
      </c>
      <c r="T70" s="11">
        <f>IF(SUMPRODUCT((Inputs!$B$4:$B$250=$B70)*ISNUMBER(INDEX(Inputs!$D$4:$AG$250,0,MATCH(T$2,Inputs!$D$2:$AG$2,0))))=0,"",SUMIFS(INDEX(Inputs!$D$4:$AG$250,0,MATCH(T$2,Inputs!$D$2:$AG$2,0)),Inputs!$B$4:$B$250,$B70)/1000)</f>
        <v>4.746</v>
      </c>
      <c r="U70" s="11">
        <f>IF(SUMPRODUCT((Inputs!$B$4:$B$250=$B70)*ISNUMBER(INDEX(Inputs!$D$4:$AG$250,0,MATCH(U$2,Inputs!$D$2:$AG$2,0))))=0,"",SUMIFS(INDEX(Inputs!$D$4:$AG$250,0,MATCH(U$2,Inputs!$D$2:$AG$2,0)),Inputs!$B$4:$B$250,$B70)/1000)</f>
        <v>4.228</v>
      </c>
      <c r="V70" s="11">
        <f>IF(SUMPRODUCT((Inputs!$B$4:$B$250=$B70)*ISNUMBER(INDEX(Inputs!$D$4:$AG$250,0,MATCH(V$2,Inputs!$D$2:$AG$2,0))))=0,"",SUMIFS(INDEX(Inputs!$D$4:$AG$250,0,MATCH(V$2,Inputs!$D$2:$AG$2,0)),Inputs!$B$4:$B$250,$B70)/1000)</f>
        <v>5.344</v>
      </c>
      <c r="W70" s="12">
        <f>IF(COUNT(S70:V70)=4,SUM(S70:V70),"")</f>
        <v>20.277</v>
      </c>
      <c r="X70" s="11">
        <f>IF(SUMPRODUCT((Inputs!$B$4:$B$250=$B70)*ISNUMBER(INDEX(Inputs!$D$4:$AG$250,0,MATCH(X$2,Inputs!$D$2:$AG$2,0))))=0,"",SUMIFS(INDEX(Inputs!$D$4:$AG$250,0,MATCH(X$2,Inputs!$D$2:$AG$2,0)),Inputs!$B$4:$B$250,$B70)/1000)</f>
        <v>6.593</v>
      </c>
      <c r="Y70" s="11">
        <f>IF(SUMPRODUCT((Inputs!$B$4:$B$250=$B70)*ISNUMBER(INDEX(Inputs!$D$4:$AG$250,0,MATCH(Y$2,Inputs!$D$2:$AG$2,0))))=0,"",SUMIFS(INDEX(Inputs!$D$4:$AG$250,0,MATCH(Y$2,Inputs!$D$2:$AG$2,0)),Inputs!$B$4:$B$250,$B70)/1000)</f>
        <v>5.347</v>
      </c>
      <c r="Z70" s="11">
        <f>IF(SUMPRODUCT((Inputs!$B$4:$B$250=$B70)*ISNUMBER(INDEX(Inputs!$D$4:$AG$250,0,MATCH(Z$2,Inputs!$D$2:$AG$2,0))))=0,"",SUMIFS(INDEX(Inputs!$D$4:$AG$250,0,MATCH(Z$2,Inputs!$D$2:$AG$2,0)),Inputs!$B$4:$B$250,$B70)/1000)</f>
        <v>4.082</v>
      </c>
      <c r="AA70" s="11">
        <f>IF(SUMPRODUCT((Inputs!$B$4:$B$250=$B70)*ISNUMBER(INDEX(Inputs!$D$4:$AG$250,0,MATCH(AA$2,Inputs!$D$2:$AG$2,0))))=0,"",SUMIFS(INDEX(Inputs!$D$4:$AG$250,0,MATCH(AA$2,Inputs!$D$2:$AG$2,0)),Inputs!$B$4:$B$250,$B70)/1000)</f>
        <v>4.583</v>
      </c>
      <c r="AB70" s="12">
        <f>IF(COUNT(X70:AA70)=4,SUM(X70:AA70),"")</f>
        <v>20.605</v>
      </c>
      <c r="AC70" s="11">
        <f>IF(SUMPRODUCT((Inputs!$B$4:$B$250=$B70)*ISNUMBER(INDEX(Inputs!$D$4:$AG$250,0,MATCH(AC$2,Inputs!$D$2:$AG$2,0))))=0,"",SUMIFS(INDEX(Inputs!$D$4:$AG$250,0,MATCH(AC$2,Inputs!$D$2:$AG$2,0)),Inputs!$B$4:$B$250,$B70)/1000)</f>
        <v>5.446</v>
      </c>
      <c r="AD70" s="11">
        <f>IF(SUMPRODUCT((Inputs!$B$4:$B$250=$B70)*ISNUMBER(INDEX(Inputs!$D$4:$AG$250,0,MATCH(AD$2,Inputs!$D$2:$AG$2,0))))=0,"",SUMIFS(INDEX(Inputs!$D$4:$AG$250,0,MATCH(AD$2,Inputs!$D$2:$AG$2,0)),Inputs!$B$4:$B$250,$B70)/1000)</f>
        <v>6.696</v>
      </c>
      <c r="AE70" s="11" t="str">
        <f>IF(SUMPRODUCT((Inputs!$B$4:$B$250=$B70)*ISNUMBER(INDEX(Inputs!$D$4:$AG$250,0,MATCH(AE$2,Inputs!$D$2:$AG$2,0))))=0,"",SUMIFS(INDEX(Inputs!$D$4:$AG$250,0,MATCH(AE$2,Inputs!$D$2:$AG$2,0)),Inputs!$B$4:$B$250,$B70)/1000)</f>
        <v/>
      </c>
      <c r="AF70" s="11" t="str">
        <f>IF(SUMPRODUCT((Inputs!$B$4:$B$250=$B70)*ISNUMBER(INDEX(Inputs!$D$4:$AG$250,0,MATCH(AF$2,Inputs!$D$2:$AG$2,0))))=0,"",SUMIFS(INDEX(Inputs!$D$4:$AG$250,0,MATCH(AF$2,Inputs!$D$2:$AG$2,0)),Inputs!$B$4:$B$250,$B70)/1000)</f>
        <v/>
      </c>
      <c r="AG70" s="12" t="str">
        <f>IF(COUNT(AC70:AF70)=4,SUM(AC70:AF70),"")</f>
        <v/>
      </c>
    </row>
    <row r="71">
      <c r="B71" s="9" t="n">
        <v>63</v>
      </c>
      <c r="C71" s="10" t="inlineStr">
        <is>
          <t>Transmissao | TNE</t>
        </is>
      </c>
      <c r="D71" s="11">
        <f>IF(SUMPRODUCT((Inputs!$B$4:$B$250=$B71)*ISNUMBER(INDEX(Inputs!$D$4:$AG$250,0,MATCH(D$2,Inputs!$D$2:$AG$2,0))))=0,"",SUMIFS(INDEX(Inputs!$D$4:$AG$250,0,MATCH(D$2,Inputs!$D$2:$AG$2,0)),Inputs!$B$4:$B$250,$B71)/1000)</f>
        <v>5.44</v>
      </c>
      <c r="E71" s="11">
        <f>IF(SUMPRODUCT((Inputs!$B$4:$B$250=$B71)*ISNUMBER(INDEX(Inputs!$D$4:$AG$250,0,MATCH(E$2,Inputs!$D$2:$AG$2,0))))=0,"",SUMIFS(INDEX(Inputs!$D$4:$AG$250,0,MATCH(E$2,Inputs!$D$2:$AG$2,0)),Inputs!$B$4:$B$250,$B71)/1000)</f>
        <v>6.195</v>
      </c>
      <c r="F71" s="11">
        <f>IF(SUMPRODUCT((Inputs!$B$4:$B$250=$B71)*ISNUMBER(INDEX(Inputs!$D$4:$AG$250,0,MATCH(F$2,Inputs!$D$2:$AG$2,0))))=0,"",SUMIFS(INDEX(Inputs!$D$4:$AG$250,0,MATCH(F$2,Inputs!$D$2:$AG$2,0)),Inputs!$B$4:$B$250,$B71)/1000)</f>
        <v>5.376</v>
      </c>
      <c r="G71" s="11">
        <f>IF(SUMPRODUCT((Inputs!$B$4:$B$250=$B71)*ISNUMBER(INDEX(Inputs!$D$4:$AG$250,0,MATCH(G$2,Inputs!$D$2:$AG$2,0))))=0,"",SUMIFS(INDEX(Inputs!$D$4:$AG$250,0,MATCH(G$2,Inputs!$D$2:$AG$2,0)),Inputs!$B$4:$B$250,$B71)/1000)</f>
        <v>5.206</v>
      </c>
      <c r="H71" s="12">
        <f>IF(COUNT(D71:G71)=4,SUM(D71:G71),"")</f>
        <v>22.217</v>
      </c>
      <c r="I71" s="11">
        <f>IF(SUMPRODUCT((Inputs!$B$4:$B$250=$B71)*ISNUMBER(INDEX(Inputs!$D$4:$AG$250,0,MATCH(I$2,Inputs!$D$2:$AG$2,0))))=0,"",SUMIFS(INDEX(Inputs!$D$4:$AG$250,0,MATCH(I$2,Inputs!$D$2:$AG$2,0)),Inputs!$B$4:$B$250,$B71)/1000)</f>
        <v>3.634</v>
      </c>
      <c r="J71" s="11">
        <f>IF(SUMPRODUCT((Inputs!$B$4:$B$250=$B71)*ISNUMBER(INDEX(Inputs!$D$4:$AG$250,0,MATCH(J$2,Inputs!$D$2:$AG$2,0))))=0,"",SUMIFS(INDEX(Inputs!$D$4:$AG$250,0,MATCH(J$2,Inputs!$D$2:$AG$2,0)),Inputs!$B$4:$B$250,$B71)/1000)</f>
        <v>6.398</v>
      </c>
      <c r="K71" s="11">
        <f>IF(SUMPRODUCT((Inputs!$B$4:$B$250=$B71)*ISNUMBER(INDEX(Inputs!$D$4:$AG$250,0,MATCH(K$2,Inputs!$D$2:$AG$2,0))))=0,"",SUMIFS(INDEX(Inputs!$D$4:$AG$250,0,MATCH(K$2,Inputs!$D$2:$AG$2,0)),Inputs!$B$4:$B$250,$B71)/1000)</f>
        <v>14.105</v>
      </c>
      <c r="L71" s="11">
        <f>IF(SUMPRODUCT((Inputs!$B$4:$B$250=$B71)*ISNUMBER(INDEX(Inputs!$D$4:$AG$250,0,MATCH(L$2,Inputs!$D$2:$AG$2,0))))=0,"",SUMIFS(INDEX(Inputs!$D$4:$AG$250,0,MATCH(L$2,Inputs!$D$2:$AG$2,0)),Inputs!$B$4:$B$250,$B71)/1000)</f>
        <v>33.618</v>
      </c>
      <c r="M71" s="12">
        <f>IF(COUNT(I71:L71)=4,SUM(I71:L71),"")</f>
        <v>57.755</v>
      </c>
      <c r="N71" s="11">
        <f>IF(SUMPRODUCT((Inputs!$B$4:$B$250=$B71)*ISNUMBER(INDEX(Inputs!$D$4:$AG$250,0,MATCH(N$2,Inputs!$D$2:$AG$2,0))))=0,"",SUMIFS(INDEX(Inputs!$D$4:$AG$250,0,MATCH(N$2,Inputs!$D$2:$AG$2,0)),Inputs!$B$4:$B$250,$B71)/1000)</f>
        <v>15.185</v>
      </c>
      <c r="O71" s="11">
        <f>IF(SUMPRODUCT((Inputs!$B$4:$B$250=$B71)*ISNUMBER(INDEX(Inputs!$D$4:$AG$250,0,MATCH(O$2,Inputs!$D$2:$AG$2,0))))=0,"",SUMIFS(INDEX(Inputs!$D$4:$AG$250,0,MATCH(O$2,Inputs!$D$2:$AG$2,0)),Inputs!$B$4:$B$250,$B71)/1000)</f>
        <v>23.083</v>
      </c>
      <c r="P71" s="11">
        <f>IF(SUMPRODUCT((Inputs!$B$4:$B$250=$B71)*ISNUMBER(INDEX(Inputs!$D$4:$AG$250,0,MATCH(P$2,Inputs!$D$2:$AG$2,0))))=0,"",SUMIFS(INDEX(Inputs!$D$4:$AG$250,0,MATCH(P$2,Inputs!$D$2:$AG$2,0)),Inputs!$B$4:$B$250,$B71)/1000)</f>
        <v>66.286</v>
      </c>
      <c r="Q71" s="11">
        <f>IF(SUMPRODUCT((Inputs!$B$4:$B$250=$B71)*ISNUMBER(INDEX(Inputs!$D$4:$AG$250,0,MATCH(Q$2,Inputs!$D$2:$AG$2,0))))=0,"",SUMIFS(INDEX(Inputs!$D$4:$AG$250,0,MATCH(Q$2,Inputs!$D$2:$AG$2,0)),Inputs!$B$4:$B$250,$B71)/1000)</f>
        <v>242.892</v>
      </c>
      <c r="R71" s="12">
        <f>IF(COUNT(N71:Q71)=4,SUM(N71:Q71),"")</f>
        <v>347.446</v>
      </c>
      <c r="S71" s="11">
        <f>IF(SUMPRODUCT((Inputs!$B$4:$B$250=$B71)*ISNUMBER(INDEX(Inputs!$D$4:$AG$250,0,MATCH(S$2,Inputs!$D$2:$AG$2,0))))=0,"",SUMIFS(INDEX(Inputs!$D$4:$AG$250,0,MATCH(S$2,Inputs!$D$2:$AG$2,0)),Inputs!$B$4:$B$250,$B71)/1000)</f>
        <v>288.075</v>
      </c>
      <c r="T71" s="11">
        <f>IF(SUMPRODUCT((Inputs!$B$4:$B$250=$B71)*ISNUMBER(INDEX(Inputs!$D$4:$AG$250,0,MATCH(T$2,Inputs!$D$2:$AG$2,0))))=0,"",SUMIFS(INDEX(Inputs!$D$4:$AG$250,0,MATCH(T$2,Inputs!$D$2:$AG$2,0)),Inputs!$B$4:$B$250,$B71)/1000)</f>
        <v>562.531</v>
      </c>
      <c r="U71" s="11">
        <f>IF(SUMPRODUCT((Inputs!$B$4:$B$250=$B71)*ISNUMBER(INDEX(Inputs!$D$4:$AG$250,0,MATCH(U$2,Inputs!$D$2:$AG$2,0))))=0,"",SUMIFS(INDEX(Inputs!$D$4:$AG$250,0,MATCH(U$2,Inputs!$D$2:$AG$2,0)),Inputs!$B$4:$B$250,$B71)/1000)</f>
        <v>749.807</v>
      </c>
      <c r="V71" s="11">
        <f>IF(SUMPRODUCT((Inputs!$B$4:$B$250=$B71)*ISNUMBER(INDEX(Inputs!$D$4:$AG$250,0,MATCH(V$2,Inputs!$D$2:$AG$2,0))))=0,"",SUMIFS(INDEX(Inputs!$D$4:$AG$250,0,MATCH(V$2,Inputs!$D$2:$AG$2,0)),Inputs!$B$4:$B$250,$B71)/1000)</f>
        <v>717.261</v>
      </c>
      <c r="W71" s="12">
        <f>IF(COUNT(S71:V71)=4,SUM(S71:V71),"")</f>
        <v>2317.674</v>
      </c>
      <c r="X71" s="11">
        <f>IF(SUMPRODUCT((Inputs!$B$4:$B$250=$B71)*ISNUMBER(INDEX(Inputs!$D$4:$AG$250,0,MATCH(X$2,Inputs!$D$2:$AG$2,0))))=0,"",SUMIFS(INDEX(Inputs!$D$4:$AG$250,0,MATCH(X$2,Inputs!$D$2:$AG$2,0)),Inputs!$B$4:$B$250,$B71)/1000)</f>
        <v>623.738</v>
      </c>
      <c r="Y71" s="11">
        <f>IF(SUMPRODUCT((Inputs!$B$4:$B$250=$B71)*ISNUMBER(INDEX(Inputs!$D$4:$AG$250,0,MATCH(Y$2,Inputs!$D$2:$AG$2,0))))=0,"",SUMIFS(INDEX(Inputs!$D$4:$AG$250,0,MATCH(Y$2,Inputs!$D$2:$AG$2,0)),Inputs!$B$4:$B$250,$B71)/1000)</f>
        <v>172.372</v>
      </c>
      <c r="Z71" s="11">
        <f>IF(SUMPRODUCT((Inputs!$B$4:$B$250=$B71)*ISNUMBER(INDEX(Inputs!$D$4:$AG$250,0,MATCH(Z$2,Inputs!$D$2:$AG$2,0))))=0,"",SUMIFS(INDEX(Inputs!$D$4:$AG$250,0,MATCH(Z$2,Inputs!$D$2:$AG$2,0)),Inputs!$B$4:$B$250,$B71)/1000)</f>
        <v>2279.208</v>
      </c>
      <c r="AA71" s="11">
        <f>IF(SUMPRODUCT((Inputs!$B$4:$B$250=$B71)*ISNUMBER(INDEX(Inputs!$D$4:$AG$250,0,MATCH(AA$2,Inputs!$D$2:$AG$2,0))))=0,"",SUMIFS(INDEX(Inputs!$D$4:$AG$250,0,MATCH(AA$2,Inputs!$D$2:$AG$2,0)),Inputs!$B$4:$B$250,$B71)/1000)</f>
        <v>133.091</v>
      </c>
      <c r="AB71" s="12">
        <f>IF(COUNT(X71:AA71)=4,SUM(X71:AA71),"")</f>
        <v>3208.409</v>
      </c>
      <c r="AC71" s="11">
        <f>IF(SUMPRODUCT((Inputs!$B$4:$B$250=$B71)*ISNUMBER(INDEX(Inputs!$D$4:$AG$250,0,MATCH(AC$2,Inputs!$D$2:$AG$2,0))))=0,"",SUMIFS(INDEX(Inputs!$D$4:$AG$250,0,MATCH(AC$2,Inputs!$D$2:$AG$2,0)),Inputs!$B$4:$B$250,$B71)/1000)</f>
        <v>168.521</v>
      </c>
      <c r="AD71" s="11">
        <f>IF(SUMPRODUCT((Inputs!$B$4:$B$250=$B71)*ISNUMBER(INDEX(Inputs!$D$4:$AG$250,0,MATCH(AD$2,Inputs!$D$2:$AG$2,0))))=0,"",SUMIFS(INDEX(Inputs!$D$4:$AG$250,0,MATCH(AD$2,Inputs!$D$2:$AG$2,0)),Inputs!$B$4:$B$250,$B71)/1000)</f>
        <v>215.897</v>
      </c>
      <c r="AE71" s="11" t="str">
        <f>IF(SUMPRODUCT((Inputs!$B$4:$B$250=$B71)*ISNUMBER(INDEX(Inputs!$D$4:$AG$250,0,MATCH(AE$2,Inputs!$D$2:$AG$2,0))))=0,"",SUMIFS(INDEX(Inputs!$D$4:$AG$250,0,MATCH(AE$2,Inputs!$D$2:$AG$2,0)),Inputs!$B$4:$B$250,$B71)/1000)</f>
        <v/>
      </c>
      <c r="AF71" s="11" t="str">
        <f>IF(SUMPRODUCT((Inputs!$B$4:$B$250=$B71)*ISNUMBER(INDEX(Inputs!$D$4:$AG$250,0,MATCH(AF$2,Inputs!$D$2:$AG$2,0))))=0,"",SUMIFS(INDEX(Inputs!$D$4:$AG$250,0,MATCH(AF$2,Inputs!$D$2:$AG$2,0)),Inputs!$B$4:$B$250,$B71)/1000)</f>
        <v/>
      </c>
      <c r="AG71" s="12" t="str">
        <f>IF(COUNT(AC71:AF71)=4,SUM(AC71:AF71),"")</f>
        <v/>
      </c>
    </row>
    <row r="72">
      <c r="B72" s="9" t="n">
        <v>64</v>
      </c>
      <c r="C72" s="10" t="inlineStr">
        <is>
          <t>Transmissao | ETES</t>
        </is>
      </c>
      <c r="D72" s="11">
        <f>IF(SUMPRODUCT((Inputs!$B$4:$B$250=$B72)*ISNUMBER(INDEX(Inputs!$D$4:$AG$250,0,MATCH(D$2,Inputs!$D$2:$AG$2,0))))=0,"",SUMIFS(INDEX(Inputs!$D$4:$AG$250,0,MATCH(D$2,Inputs!$D$2:$AG$2,0)),Inputs!$B$4:$B$250,$B72)/1000)</f>
        <v>0.608</v>
      </c>
      <c r="E72" s="11">
        <f>IF(SUMPRODUCT((Inputs!$B$4:$B$250=$B72)*ISNUMBER(INDEX(Inputs!$D$4:$AG$250,0,MATCH(E$2,Inputs!$D$2:$AG$2,0))))=0,"",SUMIFS(INDEX(Inputs!$D$4:$AG$250,0,MATCH(E$2,Inputs!$D$2:$AG$2,0)),Inputs!$B$4:$B$250,$B72)/1000)</f>
        <v>6.208</v>
      </c>
      <c r="F72" s="11">
        <f>IF(SUMPRODUCT((Inputs!$B$4:$B$250=$B72)*ISNUMBER(INDEX(Inputs!$D$4:$AG$250,0,MATCH(F$2,Inputs!$D$2:$AG$2,0))))=0,"",SUMIFS(INDEX(Inputs!$D$4:$AG$250,0,MATCH(F$2,Inputs!$D$2:$AG$2,0)),Inputs!$B$4:$B$250,$B72)/1000)</f>
        <v>5.469</v>
      </c>
      <c r="G72" s="11">
        <f>IF(SUMPRODUCT((Inputs!$B$4:$B$250=$B72)*ISNUMBER(INDEX(Inputs!$D$4:$AG$250,0,MATCH(G$2,Inputs!$D$2:$AG$2,0))))=0,"",SUMIFS(INDEX(Inputs!$D$4:$AG$250,0,MATCH(G$2,Inputs!$D$2:$AG$2,0)),Inputs!$B$4:$B$250,$B72)/1000)</f>
        <v>6.627</v>
      </c>
      <c r="H72" s="12">
        <f>IF(COUNT(D72:G72)=4,SUM(D72:G72),"")</f>
        <v>18.912</v>
      </c>
      <c r="I72" s="11">
        <f>IF(SUMPRODUCT((Inputs!$B$4:$B$250=$B72)*ISNUMBER(INDEX(Inputs!$D$4:$AG$250,0,MATCH(I$2,Inputs!$D$2:$AG$2,0))))=0,"",SUMIFS(INDEX(Inputs!$D$4:$AG$250,0,MATCH(I$2,Inputs!$D$2:$AG$2,0)),Inputs!$B$4:$B$250,$B72)/1000)</f>
        <v>5.685</v>
      </c>
      <c r="J72" s="11">
        <f>IF(SUMPRODUCT((Inputs!$B$4:$B$250=$B72)*ISNUMBER(INDEX(Inputs!$D$4:$AG$250,0,MATCH(J$2,Inputs!$D$2:$AG$2,0))))=0,"",SUMIFS(INDEX(Inputs!$D$4:$AG$250,0,MATCH(J$2,Inputs!$D$2:$AG$2,0)),Inputs!$B$4:$B$250,$B72)/1000)</f>
        <v>6.785</v>
      </c>
      <c r="K72" s="11">
        <f>IF(SUMPRODUCT((Inputs!$B$4:$B$250=$B72)*ISNUMBER(INDEX(Inputs!$D$4:$AG$250,0,MATCH(K$2,Inputs!$D$2:$AG$2,0))))=0,"",SUMIFS(INDEX(Inputs!$D$4:$AG$250,0,MATCH(K$2,Inputs!$D$2:$AG$2,0)),Inputs!$B$4:$B$250,$B72)/1000)</f>
        <v>3.505</v>
      </c>
      <c r="L72" s="11">
        <f>IF(SUMPRODUCT((Inputs!$B$4:$B$250=$B72)*ISNUMBER(INDEX(Inputs!$D$4:$AG$250,0,MATCH(L$2,Inputs!$D$2:$AG$2,0))))=0,"",SUMIFS(INDEX(Inputs!$D$4:$AG$250,0,MATCH(L$2,Inputs!$D$2:$AG$2,0)),Inputs!$B$4:$B$250,$B72)/1000)</f>
        <v>4.304</v>
      </c>
      <c r="M72" s="12">
        <f>IF(COUNT(I72:L72)=4,SUM(I72:L72),"")</f>
        <v>20.279</v>
      </c>
      <c r="N72" s="11">
        <f>IF(SUMPRODUCT((Inputs!$B$4:$B$250=$B72)*ISNUMBER(INDEX(Inputs!$D$4:$AG$250,0,MATCH(N$2,Inputs!$D$2:$AG$2,0))))=0,"",SUMIFS(INDEX(Inputs!$D$4:$AG$250,0,MATCH(N$2,Inputs!$D$2:$AG$2,0)),Inputs!$B$4:$B$250,$B72)/1000)</f>
        <v>5.727</v>
      </c>
      <c r="O72" s="11">
        <f>IF(SUMPRODUCT((Inputs!$B$4:$B$250=$B72)*ISNUMBER(INDEX(Inputs!$D$4:$AG$250,0,MATCH(O$2,Inputs!$D$2:$AG$2,0))))=0,"",SUMIFS(INDEX(Inputs!$D$4:$AG$250,0,MATCH(O$2,Inputs!$D$2:$AG$2,0)),Inputs!$B$4:$B$250,$B72)/1000)</f>
        <v>5.305</v>
      </c>
      <c r="P72" s="11">
        <f>IF(SUMPRODUCT((Inputs!$B$4:$B$250=$B72)*ISNUMBER(INDEX(Inputs!$D$4:$AG$250,0,MATCH(P$2,Inputs!$D$2:$AG$2,0))))=0,"",SUMIFS(INDEX(Inputs!$D$4:$AG$250,0,MATCH(P$2,Inputs!$D$2:$AG$2,0)),Inputs!$B$4:$B$250,$B72)/1000)</f>
        <v>3.946</v>
      </c>
      <c r="Q72" s="11">
        <f>IF(SUMPRODUCT((Inputs!$B$4:$B$250=$B72)*ISNUMBER(INDEX(Inputs!$D$4:$AG$250,0,MATCH(Q$2,Inputs!$D$2:$AG$2,0))))=0,"",SUMIFS(INDEX(Inputs!$D$4:$AG$250,0,MATCH(Q$2,Inputs!$D$2:$AG$2,0)),Inputs!$B$4:$B$250,$B72)/1000)</f>
        <v>4.32</v>
      </c>
      <c r="R72" s="12">
        <f>IF(COUNT(N72:Q72)=4,SUM(N72:Q72),"")</f>
        <v>19.298</v>
      </c>
      <c r="S72" s="11">
        <f>IF(SUMPRODUCT((Inputs!$B$4:$B$250=$B72)*ISNUMBER(INDEX(Inputs!$D$4:$AG$250,0,MATCH(S$2,Inputs!$D$2:$AG$2,0))))=0,"",SUMIFS(INDEX(Inputs!$D$4:$AG$250,0,MATCH(S$2,Inputs!$D$2:$AG$2,0)),Inputs!$B$4:$B$250,$B72)/1000)</f>
        <v>5.458</v>
      </c>
      <c r="T72" s="11">
        <f>IF(SUMPRODUCT((Inputs!$B$4:$B$250=$B72)*ISNUMBER(INDEX(Inputs!$D$4:$AG$250,0,MATCH(T$2,Inputs!$D$2:$AG$2,0))))=0,"",SUMIFS(INDEX(Inputs!$D$4:$AG$250,0,MATCH(T$2,Inputs!$D$2:$AG$2,0)),Inputs!$B$4:$B$250,$B72)/1000)</f>
        <v>4.687</v>
      </c>
      <c r="U72" s="11">
        <f>IF(SUMPRODUCT((Inputs!$B$4:$B$250=$B72)*ISNUMBER(INDEX(Inputs!$D$4:$AG$250,0,MATCH(U$2,Inputs!$D$2:$AG$2,0))))=0,"",SUMIFS(INDEX(Inputs!$D$4:$AG$250,0,MATCH(U$2,Inputs!$D$2:$AG$2,0)),Inputs!$B$4:$B$250,$B72)/1000)</f>
        <v>3.916</v>
      </c>
      <c r="V72" s="11">
        <f>IF(SUMPRODUCT((Inputs!$B$4:$B$250=$B72)*ISNUMBER(INDEX(Inputs!$D$4:$AG$250,0,MATCH(V$2,Inputs!$D$2:$AG$2,0))))=0,"",SUMIFS(INDEX(Inputs!$D$4:$AG$250,0,MATCH(V$2,Inputs!$D$2:$AG$2,0)),Inputs!$B$4:$B$250,$B72)/1000)</f>
        <v>5.028</v>
      </c>
      <c r="W72" s="12">
        <f>IF(COUNT(S72:V72)=4,SUM(S72:V72),"")</f>
        <v>19.089</v>
      </c>
      <c r="X72" s="11">
        <f>IF(SUMPRODUCT((Inputs!$B$4:$B$250=$B72)*ISNUMBER(INDEX(Inputs!$D$4:$AG$250,0,MATCH(X$2,Inputs!$D$2:$AG$2,0))))=0,"",SUMIFS(INDEX(Inputs!$D$4:$AG$250,0,MATCH(X$2,Inputs!$D$2:$AG$2,0)),Inputs!$B$4:$B$250,$B72)/1000)</f>
        <v>5.747</v>
      </c>
      <c r="Y72" s="11">
        <f>IF(SUMPRODUCT((Inputs!$B$4:$B$250=$B72)*ISNUMBER(INDEX(Inputs!$D$4:$AG$250,0,MATCH(Y$2,Inputs!$D$2:$AG$2,0))))=0,"",SUMIFS(INDEX(Inputs!$D$4:$AG$250,0,MATCH(Y$2,Inputs!$D$2:$AG$2,0)),Inputs!$B$4:$B$250,$B72)/1000)</f>
        <v>4.996</v>
      </c>
      <c r="Z72" s="11">
        <f>IF(SUMPRODUCT((Inputs!$B$4:$B$250=$B72)*ISNUMBER(INDEX(Inputs!$D$4:$AG$250,0,MATCH(Z$2,Inputs!$D$2:$AG$2,0))))=0,"",SUMIFS(INDEX(Inputs!$D$4:$AG$250,0,MATCH(Z$2,Inputs!$D$2:$AG$2,0)),Inputs!$B$4:$B$250,$B72)/1000)</f>
        <v>4.014</v>
      </c>
      <c r="AA72" s="11">
        <f>IF(SUMPRODUCT((Inputs!$B$4:$B$250=$B72)*ISNUMBER(INDEX(Inputs!$D$4:$AG$250,0,MATCH(AA$2,Inputs!$D$2:$AG$2,0))))=0,"",SUMIFS(INDEX(Inputs!$D$4:$AG$250,0,MATCH(AA$2,Inputs!$D$2:$AG$2,0)),Inputs!$B$4:$B$250,$B72)/1000)</f>
        <v>4.43</v>
      </c>
      <c r="AB72" s="12">
        <f>IF(COUNT(X72:AA72)=4,SUM(X72:AA72),"")</f>
        <v>19.187</v>
      </c>
      <c r="AC72" s="11">
        <f>IF(SUMPRODUCT((Inputs!$B$4:$B$250=$B72)*ISNUMBER(INDEX(Inputs!$D$4:$AG$250,0,MATCH(AC$2,Inputs!$D$2:$AG$2,0))))=0,"",SUMIFS(INDEX(Inputs!$D$4:$AG$250,0,MATCH(AC$2,Inputs!$D$2:$AG$2,0)),Inputs!$B$4:$B$250,$B72)/1000)</f>
        <v>5.108</v>
      </c>
      <c r="AD72" s="11">
        <f>IF(SUMPRODUCT((Inputs!$B$4:$B$250=$B72)*ISNUMBER(INDEX(Inputs!$D$4:$AG$250,0,MATCH(AD$2,Inputs!$D$2:$AG$2,0))))=0,"",SUMIFS(INDEX(Inputs!$D$4:$AG$250,0,MATCH(AD$2,Inputs!$D$2:$AG$2,0)),Inputs!$B$4:$B$250,$B72)/1000)</f>
        <v>6.034</v>
      </c>
      <c r="AE72" s="11" t="str">
        <f>IF(SUMPRODUCT((Inputs!$B$4:$B$250=$B72)*ISNUMBER(INDEX(Inputs!$D$4:$AG$250,0,MATCH(AE$2,Inputs!$D$2:$AG$2,0))))=0,"",SUMIFS(INDEX(Inputs!$D$4:$AG$250,0,MATCH(AE$2,Inputs!$D$2:$AG$2,0)),Inputs!$B$4:$B$250,$B72)/1000)</f>
        <v/>
      </c>
      <c r="AF72" s="11" t="str">
        <f>IF(SUMPRODUCT((Inputs!$B$4:$B$250=$B72)*ISNUMBER(INDEX(Inputs!$D$4:$AG$250,0,MATCH(AF$2,Inputs!$D$2:$AG$2,0))))=0,"",SUMIFS(INDEX(Inputs!$D$4:$AG$250,0,MATCH(AF$2,Inputs!$D$2:$AG$2,0)),Inputs!$B$4:$B$250,$B72)/1000)</f>
        <v/>
      </c>
      <c r="AG72" s="12" t="str">
        <f>IF(COUNT(AC72:AF72)=4,SUM(AC72:AF72),"")</f>
        <v/>
      </c>
    </row>
    <row r="73">
      <c r="B73" s="9" t="n">
        <v>65</v>
      </c>
      <c r="C73" s="10" t="inlineStr">
        <is>
          <t>Transmissao | STN</t>
        </is>
      </c>
      <c r="D73" s="11">
        <f>IF(SUMPRODUCT((Inputs!$B$4:$B$250=$B73)*ISNUMBER(INDEX(Inputs!$D$4:$AG$250,0,MATCH(D$2,Inputs!$D$2:$AG$2,0))))=0,"",SUMIFS(INDEX(Inputs!$D$4:$AG$250,0,MATCH(D$2,Inputs!$D$2:$AG$2,0)),Inputs!$B$4:$B$250,$B73)/1000)</f>
        <v>52.242</v>
      </c>
      <c r="E73" s="11">
        <f>IF(SUMPRODUCT((Inputs!$B$4:$B$250=$B73)*ISNUMBER(INDEX(Inputs!$D$4:$AG$250,0,MATCH(E$2,Inputs!$D$2:$AG$2,0))))=0,"",SUMIFS(INDEX(Inputs!$D$4:$AG$250,0,MATCH(E$2,Inputs!$D$2:$AG$2,0)),Inputs!$B$4:$B$250,$B73)/1000)</f>
        <v>64.313</v>
      </c>
      <c r="F73" s="11">
        <f>IF(SUMPRODUCT((Inputs!$B$4:$B$250=$B73)*ISNUMBER(INDEX(Inputs!$D$4:$AG$250,0,MATCH(F$2,Inputs!$D$2:$AG$2,0))))=0,"",SUMIFS(INDEX(Inputs!$D$4:$AG$250,0,MATCH(F$2,Inputs!$D$2:$AG$2,0)),Inputs!$B$4:$B$250,$B73)/1000)</f>
        <v>44.134</v>
      </c>
      <c r="G73" s="11">
        <f>IF(SUMPRODUCT((Inputs!$B$4:$B$250=$B73)*ISNUMBER(INDEX(Inputs!$D$4:$AG$250,0,MATCH(G$2,Inputs!$D$2:$AG$2,0))))=0,"",SUMIFS(INDEX(Inputs!$D$4:$AG$250,0,MATCH(G$2,Inputs!$D$2:$AG$2,0)),Inputs!$B$4:$B$250,$B73)/1000)</f>
        <v>-14.633</v>
      </c>
      <c r="H73" s="12">
        <f>IF(COUNT(D73:G73)=4,SUM(D73:G73),"")</f>
        <v>146.056</v>
      </c>
      <c r="I73" s="11">
        <f>IF(SUMPRODUCT((Inputs!$B$4:$B$250=$B73)*ISNUMBER(INDEX(Inputs!$D$4:$AG$250,0,MATCH(I$2,Inputs!$D$2:$AG$2,0))))=0,"",SUMIFS(INDEX(Inputs!$D$4:$AG$250,0,MATCH(I$2,Inputs!$D$2:$AG$2,0)),Inputs!$B$4:$B$250,$B73)/1000)</f>
        <v>51.216</v>
      </c>
      <c r="J73" s="11">
        <f>IF(SUMPRODUCT((Inputs!$B$4:$B$250=$B73)*ISNUMBER(INDEX(Inputs!$D$4:$AG$250,0,MATCH(J$2,Inputs!$D$2:$AG$2,0))))=0,"",SUMIFS(INDEX(Inputs!$D$4:$AG$250,0,MATCH(J$2,Inputs!$D$2:$AG$2,0)),Inputs!$B$4:$B$250,$B73)/1000)</f>
        <v>48.566</v>
      </c>
      <c r="K73" s="11">
        <f>IF(SUMPRODUCT((Inputs!$B$4:$B$250=$B73)*ISNUMBER(INDEX(Inputs!$D$4:$AG$250,0,MATCH(K$2,Inputs!$D$2:$AG$2,0))))=0,"",SUMIFS(INDEX(Inputs!$D$4:$AG$250,0,MATCH(K$2,Inputs!$D$2:$AG$2,0)),Inputs!$B$4:$B$250,$B73)/1000)</f>
        <v>38.625</v>
      </c>
      <c r="L73" s="11">
        <f>IF(SUMPRODUCT((Inputs!$B$4:$B$250=$B73)*ISNUMBER(INDEX(Inputs!$D$4:$AG$250,0,MATCH(L$2,Inputs!$D$2:$AG$2,0))))=0,"",SUMIFS(INDEX(Inputs!$D$4:$AG$250,0,MATCH(L$2,Inputs!$D$2:$AG$2,0)),Inputs!$B$4:$B$250,$B73)/1000)</f>
        <v>45.021</v>
      </c>
      <c r="M73" s="12">
        <f>IF(COUNT(I73:L73)=4,SUM(I73:L73),"")</f>
        <v>183.428</v>
      </c>
      <c r="N73" s="11">
        <f>IF(SUMPRODUCT((Inputs!$B$4:$B$250=$B73)*ISNUMBER(INDEX(Inputs!$D$4:$AG$250,0,MATCH(N$2,Inputs!$D$2:$AG$2,0))))=0,"",SUMIFS(INDEX(Inputs!$D$4:$AG$250,0,MATCH(N$2,Inputs!$D$2:$AG$2,0)),Inputs!$B$4:$B$250,$B73)/1000)</f>
        <v>31.126</v>
      </c>
      <c r="O73" s="11">
        <f>IF(SUMPRODUCT((Inputs!$B$4:$B$250=$B73)*ISNUMBER(INDEX(Inputs!$D$4:$AG$250,0,MATCH(O$2,Inputs!$D$2:$AG$2,0))))=0,"",SUMIFS(INDEX(Inputs!$D$4:$AG$250,0,MATCH(O$2,Inputs!$D$2:$AG$2,0)),Inputs!$B$4:$B$250,$B73)/1000)</f>
        <v>3.203</v>
      </c>
      <c r="P73" s="11">
        <f>IF(SUMPRODUCT((Inputs!$B$4:$B$250=$B73)*ISNUMBER(INDEX(Inputs!$D$4:$AG$250,0,MATCH(P$2,Inputs!$D$2:$AG$2,0))))=0,"",SUMIFS(INDEX(Inputs!$D$4:$AG$250,0,MATCH(P$2,Inputs!$D$2:$AG$2,0)),Inputs!$B$4:$B$250,$B73)/1000)</f>
        <v>25.143</v>
      </c>
      <c r="Q73" s="11">
        <f>IF(SUMPRODUCT((Inputs!$B$4:$B$250=$B73)*ISNUMBER(INDEX(Inputs!$D$4:$AG$250,0,MATCH(Q$2,Inputs!$D$2:$AG$2,0))))=0,"",SUMIFS(INDEX(Inputs!$D$4:$AG$250,0,MATCH(Q$2,Inputs!$D$2:$AG$2,0)),Inputs!$B$4:$B$250,$B73)/1000)</f>
        <v>37.711</v>
      </c>
      <c r="R73" s="12">
        <f>IF(COUNT(N73:Q73)=4,SUM(N73:Q73),"")</f>
        <v>97.183</v>
      </c>
      <c r="S73" s="11">
        <f>IF(SUMPRODUCT((Inputs!$B$4:$B$250=$B73)*ISNUMBER(INDEX(Inputs!$D$4:$AG$250,0,MATCH(S$2,Inputs!$D$2:$AG$2,0))))=0,"",SUMIFS(INDEX(Inputs!$D$4:$AG$250,0,MATCH(S$2,Inputs!$D$2:$AG$2,0)),Inputs!$B$4:$B$250,$B73)/1000)</f>
        <v>31.247</v>
      </c>
      <c r="T73" s="11">
        <f>IF(SUMPRODUCT((Inputs!$B$4:$B$250=$B73)*ISNUMBER(INDEX(Inputs!$D$4:$AG$250,0,MATCH(T$2,Inputs!$D$2:$AG$2,0))))=0,"",SUMIFS(INDEX(Inputs!$D$4:$AG$250,0,MATCH(T$2,Inputs!$D$2:$AG$2,0)),Inputs!$B$4:$B$250,$B73)/1000)</f>
        <v>33.645</v>
      </c>
      <c r="U73" s="11">
        <f>IF(SUMPRODUCT((Inputs!$B$4:$B$250=$B73)*ISNUMBER(INDEX(Inputs!$D$4:$AG$250,0,MATCH(U$2,Inputs!$D$2:$AG$2,0))))=0,"",SUMIFS(INDEX(Inputs!$D$4:$AG$250,0,MATCH(U$2,Inputs!$D$2:$AG$2,0)),Inputs!$B$4:$B$250,$B73)/1000)</f>
        <v>36.961</v>
      </c>
      <c r="V73" s="11">
        <f>IF(SUMPRODUCT((Inputs!$B$4:$B$250=$B73)*ISNUMBER(INDEX(Inputs!$D$4:$AG$250,0,MATCH(V$2,Inputs!$D$2:$AG$2,0))))=0,"",SUMIFS(INDEX(Inputs!$D$4:$AG$250,0,MATCH(V$2,Inputs!$D$2:$AG$2,0)),Inputs!$B$4:$B$250,$B73)/1000)</f>
        <v>40.674</v>
      </c>
      <c r="W73" s="12">
        <f>IF(COUNT(S73:V73)=4,SUM(S73:V73),"")</f>
        <v>142.527</v>
      </c>
      <c r="X73" s="11">
        <f>IF(SUMPRODUCT((Inputs!$B$4:$B$250=$B73)*ISNUMBER(INDEX(Inputs!$D$4:$AG$250,0,MATCH(X$2,Inputs!$D$2:$AG$2,0))))=0,"",SUMIFS(INDEX(Inputs!$D$4:$AG$250,0,MATCH(X$2,Inputs!$D$2:$AG$2,0)),Inputs!$B$4:$B$250,$B73)/1000)</f>
        <v>41.117</v>
      </c>
      <c r="Y73" s="11">
        <f>IF(SUMPRODUCT((Inputs!$B$4:$B$250=$B73)*ISNUMBER(INDEX(Inputs!$D$4:$AG$250,0,MATCH(Y$2,Inputs!$D$2:$AG$2,0))))=0,"",SUMIFS(INDEX(Inputs!$D$4:$AG$250,0,MATCH(Y$2,Inputs!$D$2:$AG$2,0)),Inputs!$B$4:$B$250,$B73)/1000)</f>
        <v>26.135</v>
      </c>
      <c r="Z73" s="11">
        <f>IF(SUMPRODUCT((Inputs!$B$4:$B$250=$B73)*ISNUMBER(INDEX(Inputs!$D$4:$AG$250,0,MATCH(Z$2,Inputs!$D$2:$AG$2,0))))=0,"",SUMIFS(INDEX(Inputs!$D$4:$AG$250,0,MATCH(Z$2,Inputs!$D$2:$AG$2,0)),Inputs!$B$4:$B$250,$B73)/1000)</f>
        <v>41.617</v>
      </c>
      <c r="AA73" s="11">
        <f>IF(SUMPRODUCT((Inputs!$B$4:$B$250=$B73)*ISNUMBER(INDEX(Inputs!$D$4:$AG$250,0,MATCH(AA$2,Inputs!$D$2:$AG$2,0))))=0,"",SUMIFS(INDEX(Inputs!$D$4:$AG$250,0,MATCH(AA$2,Inputs!$D$2:$AG$2,0)),Inputs!$B$4:$B$250,$B73)/1000)</f>
        <v>30.621</v>
      </c>
      <c r="AB73" s="12">
        <f>IF(COUNT(X73:AA73)=4,SUM(X73:AA73),"")</f>
        <v>139.49</v>
      </c>
      <c r="AC73" s="11">
        <f>IF(SUMPRODUCT((Inputs!$B$4:$B$250=$B73)*ISNUMBER(INDEX(Inputs!$D$4:$AG$250,0,MATCH(AC$2,Inputs!$D$2:$AG$2,0))))=0,"",SUMIFS(INDEX(Inputs!$D$4:$AG$250,0,MATCH(AC$2,Inputs!$D$2:$AG$2,0)),Inputs!$B$4:$B$250,$B73)/1000)</f>
        <v>29.273</v>
      </c>
      <c r="AD73" s="11">
        <f>IF(SUMPRODUCT((Inputs!$B$4:$B$250=$B73)*ISNUMBER(INDEX(Inputs!$D$4:$AG$250,0,MATCH(AD$2,Inputs!$D$2:$AG$2,0))))=0,"",SUMIFS(INDEX(Inputs!$D$4:$AG$250,0,MATCH(AD$2,Inputs!$D$2:$AG$2,0)),Inputs!$B$4:$B$250,$B73)/1000)</f>
        <v>56.666</v>
      </c>
      <c r="AE73" s="11" t="str">
        <f>IF(SUMPRODUCT((Inputs!$B$4:$B$250=$B73)*ISNUMBER(INDEX(Inputs!$D$4:$AG$250,0,MATCH(AE$2,Inputs!$D$2:$AG$2,0))))=0,"",SUMIFS(INDEX(Inputs!$D$4:$AG$250,0,MATCH(AE$2,Inputs!$D$2:$AG$2,0)),Inputs!$B$4:$B$250,$B73)/1000)</f>
        <v/>
      </c>
      <c r="AF73" s="11" t="str">
        <f>IF(SUMPRODUCT((Inputs!$B$4:$B$250=$B73)*ISNUMBER(INDEX(Inputs!$D$4:$AG$250,0,MATCH(AF$2,Inputs!$D$2:$AG$2,0))))=0,"",SUMIFS(INDEX(Inputs!$D$4:$AG$250,0,MATCH(AF$2,Inputs!$D$2:$AG$2,0)),Inputs!$B$4:$B$250,$B73)/1000)</f>
        <v/>
      </c>
      <c r="AG73" s="12" t="str">
        <f>IF(COUNT(AC73:AF73)=4,SUM(AC73:AF73),"")</f>
        <v/>
      </c>
    </row>
    <row r="74">
      <c r="B74" s="9" t="n">
        <v>66</v>
      </c>
      <c r="C74" s="10" t="inlineStr">
        <is>
          <t>Transmissao | EDTE</t>
        </is>
      </c>
      <c r="D74" s="11">
        <f>IF(SUMPRODUCT((Inputs!$B$4:$B$250=$B74)*ISNUMBER(INDEX(Inputs!$D$4:$AG$250,0,MATCH(D$2,Inputs!$D$2:$AG$2,0))))=0,"",SUMIFS(INDEX(Inputs!$D$4:$AG$250,0,MATCH(D$2,Inputs!$D$2:$AG$2,0)),Inputs!$B$4:$B$250,$B74)/1000)</f>
        <v>31.42</v>
      </c>
      <c r="E74" s="11">
        <f>IF(SUMPRODUCT((Inputs!$B$4:$B$250=$B74)*ISNUMBER(INDEX(Inputs!$D$4:$AG$250,0,MATCH(E$2,Inputs!$D$2:$AG$2,0))))=0,"",SUMIFS(INDEX(Inputs!$D$4:$AG$250,0,MATCH(E$2,Inputs!$D$2:$AG$2,0)),Inputs!$B$4:$B$250,$B74)/1000)</f>
        <v>29.895</v>
      </c>
      <c r="F74" s="11">
        <f>IF(SUMPRODUCT((Inputs!$B$4:$B$250=$B74)*ISNUMBER(INDEX(Inputs!$D$4:$AG$250,0,MATCH(F$2,Inputs!$D$2:$AG$2,0))))=0,"",SUMIFS(INDEX(Inputs!$D$4:$AG$250,0,MATCH(F$2,Inputs!$D$2:$AG$2,0)),Inputs!$B$4:$B$250,$B74)/1000)</f>
        <v>31.519</v>
      </c>
      <c r="G74" s="11">
        <f>IF(SUMPRODUCT((Inputs!$B$4:$B$250=$B74)*ISNUMBER(INDEX(Inputs!$D$4:$AG$250,0,MATCH(G$2,Inputs!$D$2:$AG$2,0))))=0,"",SUMIFS(INDEX(Inputs!$D$4:$AG$250,0,MATCH(G$2,Inputs!$D$2:$AG$2,0)),Inputs!$B$4:$B$250,$B74)/1000)</f>
        <v>39.299</v>
      </c>
      <c r="H74" s="12">
        <f>IF(COUNT(D74:G74)=4,SUM(D74:G74),"")</f>
        <v>132.133</v>
      </c>
      <c r="I74" s="11">
        <f>IF(SUMPRODUCT((Inputs!$B$4:$B$250=$B74)*ISNUMBER(INDEX(Inputs!$D$4:$AG$250,0,MATCH(I$2,Inputs!$D$2:$AG$2,0))))=0,"",SUMIFS(INDEX(Inputs!$D$4:$AG$250,0,MATCH(I$2,Inputs!$D$2:$AG$2,0)),Inputs!$B$4:$B$250,$B74)/1000)</f>
        <v>33.219</v>
      </c>
      <c r="J74" s="11">
        <f>IF(SUMPRODUCT((Inputs!$B$4:$B$250=$B74)*ISNUMBER(INDEX(Inputs!$D$4:$AG$250,0,MATCH(J$2,Inputs!$D$2:$AG$2,0))))=0,"",SUMIFS(INDEX(Inputs!$D$4:$AG$250,0,MATCH(J$2,Inputs!$D$2:$AG$2,0)),Inputs!$B$4:$B$250,$B74)/1000)</f>
        <v>40.373</v>
      </c>
      <c r="K74" s="11">
        <f>IF(SUMPRODUCT((Inputs!$B$4:$B$250=$B74)*ISNUMBER(INDEX(Inputs!$D$4:$AG$250,0,MATCH(K$2,Inputs!$D$2:$AG$2,0))))=0,"",SUMIFS(INDEX(Inputs!$D$4:$AG$250,0,MATCH(K$2,Inputs!$D$2:$AG$2,0)),Inputs!$B$4:$B$250,$B74)/1000)</f>
        <v>16.304</v>
      </c>
      <c r="L74" s="11">
        <f>IF(SUMPRODUCT((Inputs!$B$4:$B$250=$B74)*ISNUMBER(INDEX(Inputs!$D$4:$AG$250,0,MATCH(L$2,Inputs!$D$2:$AG$2,0))))=0,"",SUMIFS(INDEX(Inputs!$D$4:$AG$250,0,MATCH(L$2,Inputs!$D$2:$AG$2,0)),Inputs!$B$4:$B$250,$B74)/1000)</f>
        <v>23.357</v>
      </c>
      <c r="M74" s="12">
        <f>IF(COUNT(I74:L74)=4,SUM(I74:L74),"")</f>
        <v>113.253</v>
      </c>
      <c r="N74" s="11">
        <f>IF(SUMPRODUCT((Inputs!$B$4:$B$250=$B74)*ISNUMBER(INDEX(Inputs!$D$4:$AG$250,0,MATCH(N$2,Inputs!$D$2:$AG$2,0))))=0,"",SUMIFS(INDEX(Inputs!$D$4:$AG$250,0,MATCH(N$2,Inputs!$D$2:$AG$2,0)),Inputs!$B$4:$B$250,$B74)/1000)</f>
        <v>32.372</v>
      </c>
      <c r="O74" s="11">
        <f>IF(SUMPRODUCT((Inputs!$B$4:$B$250=$B74)*ISNUMBER(INDEX(Inputs!$D$4:$AG$250,0,MATCH(O$2,Inputs!$D$2:$AG$2,0))))=0,"",SUMIFS(INDEX(Inputs!$D$4:$AG$250,0,MATCH(O$2,Inputs!$D$2:$AG$2,0)),Inputs!$B$4:$B$250,$B74)/1000)</f>
        <v>30.045</v>
      </c>
      <c r="P74" s="11">
        <f>IF(SUMPRODUCT((Inputs!$B$4:$B$250=$B74)*ISNUMBER(INDEX(Inputs!$D$4:$AG$250,0,MATCH(P$2,Inputs!$D$2:$AG$2,0))))=0,"",SUMIFS(INDEX(Inputs!$D$4:$AG$250,0,MATCH(P$2,Inputs!$D$2:$AG$2,0)),Inputs!$B$4:$B$250,$B74)/1000)</f>
        <v>21.1</v>
      </c>
      <c r="Q74" s="11">
        <f>IF(SUMPRODUCT((Inputs!$B$4:$B$250=$B74)*ISNUMBER(INDEX(Inputs!$D$4:$AG$250,0,MATCH(Q$2,Inputs!$D$2:$AG$2,0))))=0,"",SUMIFS(INDEX(Inputs!$D$4:$AG$250,0,MATCH(Q$2,Inputs!$D$2:$AG$2,0)),Inputs!$B$4:$B$250,$B74)/1000)</f>
        <v>24.643</v>
      </c>
      <c r="R74" s="12">
        <f>IF(COUNT(N74:Q74)=4,SUM(N74:Q74),"")</f>
        <v>108.16</v>
      </c>
      <c r="S74" s="11">
        <f>IF(SUMPRODUCT((Inputs!$B$4:$B$250=$B74)*ISNUMBER(INDEX(Inputs!$D$4:$AG$250,0,MATCH(S$2,Inputs!$D$2:$AG$2,0))))=0,"",SUMIFS(INDEX(Inputs!$D$4:$AG$250,0,MATCH(S$2,Inputs!$D$2:$AG$2,0)),Inputs!$B$4:$B$250,$B74)/1000)</f>
        <v>31.622</v>
      </c>
      <c r="T74" s="11">
        <f>IF(SUMPRODUCT((Inputs!$B$4:$B$250=$B74)*ISNUMBER(INDEX(Inputs!$D$4:$AG$250,0,MATCH(T$2,Inputs!$D$2:$AG$2,0))))=0,"",SUMIFS(INDEX(Inputs!$D$4:$AG$250,0,MATCH(T$2,Inputs!$D$2:$AG$2,0)),Inputs!$B$4:$B$250,$B74)/1000)</f>
        <v>26.947</v>
      </c>
      <c r="U74" s="11">
        <f>IF(SUMPRODUCT((Inputs!$B$4:$B$250=$B74)*ISNUMBER(INDEX(Inputs!$D$4:$AG$250,0,MATCH(U$2,Inputs!$D$2:$AG$2,0))))=0,"",SUMIFS(INDEX(Inputs!$D$4:$AG$250,0,MATCH(U$2,Inputs!$D$2:$AG$2,0)),Inputs!$B$4:$B$250,$B74)/1000)</f>
        <v>23.746</v>
      </c>
      <c r="V74" s="11">
        <f>IF(SUMPRODUCT((Inputs!$B$4:$B$250=$B74)*ISNUMBER(INDEX(Inputs!$D$4:$AG$250,0,MATCH(V$2,Inputs!$D$2:$AG$2,0))))=0,"",SUMIFS(INDEX(Inputs!$D$4:$AG$250,0,MATCH(V$2,Inputs!$D$2:$AG$2,0)),Inputs!$B$4:$B$250,$B74)/1000)</f>
        <v>29.671</v>
      </c>
      <c r="W74" s="12">
        <f>IF(COUNT(S74:V74)=4,SUM(S74:V74),"")</f>
        <v>111.986</v>
      </c>
      <c r="X74" s="11">
        <f>IF(SUMPRODUCT((Inputs!$B$4:$B$250=$B74)*ISNUMBER(INDEX(Inputs!$D$4:$AG$250,0,MATCH(X$2,Inputs!$D$2:$AG$2,0))))=0,"",SUMIFS(INDEX(Inputs!$D$4:$AG$250,0,MATCH(X$2,Inputs!$D$2:$AG$2,0)),Inputs!$B$4:$B$250,$B74)/1000)</f>
        <v>34.592</v>
      </c>
      <c r="Y74" s="11">
        <f>IF(SUMPRODUCT((Inputs!$B$4:$B$250=$B74)*ISNUMBER(INDEX(Inputs!$D$4:$AG$250,0,MATCH(Y$2,Inputs!$D$2:$AG$2,0))))=0,"",SUMIFS(INDEX(Inputs!$D$4:$AG$250,0,MATCH(Y$2,Inputs!$D$2:$AG$2,0)),Inputs!$B$4:$B$250,$B74)/1000)</f>
        <v>29.827</v>
      </c>
      <c r="Z74" s="11">
        <f>IF(SUMPRODUCT((Inputs!$B$4:$B$250=$B74)*ISNUMBER(INDEX(Inputs!$D$4:$AG$250,0,MATCH(Z$2,Inputs!$D$2:$AG$2,0))))=0,"",SUMIFS(INDEX(Inputs!$D$4:$AG$250,0,MATCH(Z$2,Inputs!$D$2:$AG$2,0)),Inputs!$B$4:$B$250,$B74)/1000)</f>
        <v>23.412</v>
      </c>
      <c r="AA74" s="11">
        <f>IF(SUMPRODUCT((Inputs!$B$4:$B$250=$B74)*ISNUMBER(INDEX(Inputs!$D$4:$AG$250,0,MATCH(AA$2,Inputs!$D$2:$AG$2,0))))=0,"",SUMIFS(INDEX(Inputs!$D$4:$AG$250,0,MATCH(AA$2,Inputs!$D$2:$AG$2,0)),Inputs!$B$4:$B$250,$B74)/1000)</f>
        <v>26.109</v>
      </c>
      <c r="AB74" s="12">
        <f>IF(COUNT(X74:AA74)=4,SUM(X74:AA74),"")</f>
        <v>113.94</v>
      </c>
      <c r="AC74" s="11">
        <f>IF(SUMPRODUCT((Inputs!$B$4:$B$250=$B74)*ISNUMBER(INDEX(Inputs!$D$4:$AG$250,0,MATCH(AC$2,Inputs!$D$2:$AG$2,0))))=0,"",SUMIFS(INDEX(Inputs!$D$4:$AG$250,0,MATCH(AC$2,Inputs!$D$2:$AG$2,0)),Inputs!$B$4:$B$250,$B74)/1000)</f>
        <v>30.917</v>
      </c>
      <c r="AD74" s="11">
        <f>IF(SUMPRODUCT((Inputs!$B$4:$B$250=$B74)*ISNUMBER(INDEX(Inputs!$D$4:$AG$250,0,MATCH(AD$2,Inputs!$D$2:$AG$2,0))))=0,"",SUMIFS(INDEX(Inputs!$D$4:$AG$250,0,MATCH(AD$2,Inputs!$D$2:$AG$2,0)),Inputs!$B$4:$B$250,$B74)/1000)</f>
        <v>37.483</v>
      </c>
      <c r="AE74" s="11" t="str">
        <f>IF(SUMPRODUCT((Inputs!$B$4:$B$250=$B74)*ISNUMBER(INDEX(Inputs!$D$4:$AG$250,0,MATCH(AE$2,Inputs!$D$2:$AG$2,0))))=0,"",SUMIFS(INDEX(Inputs!$D$4:$AG$250,0,MATCH(AE$2,Inputs!$D$2:$AG$2,0)),Inputs!$B$4:$B$250,$B74)/1000)</f>
        <v/>
      </c>
      <c r="AF74" s="11" t="str">
        <f>IF(SUMPRODUCT((Inputs!$B$4:$B$250=$B74)*ISNUMBER(INDEX(Inputs!$D$4:$AG$250,0,MATCH(AF$2,Inputs!$D$2:$AG$2,0))))=0,"",SUMIFS(INDEX(Inputs!$D$4:$AG$250,0,MATCH(AF$2,Inputs!$D$2:$AG$2,0)),Inputs!$B$4:$B$250,$B74)/1000)</f>
        <v/>
      </c>
      <c r="AG74" s="12" t="str">
        <f>IF(COUNT(AC74:AF74)=4,SUM(AC74:AF74),"")</f>
        <v/>
      </c>
    </row>
    <row r="75">
      <c r="B75" s="9" t="n">
        <v>67</v>
      </c>
      <c r="C75" s="10" t="inlineStr">
        <is>
          <t>Transmissao | ETVG</t>
        </is>
      </c>
      <c r="D75" s="11">
        <f>IF(SUMPRODUCT((Inputs!$B$4:$B$250=$B75)*ISNUMBER(INDEX(Inputs!$D$4:$AG$250,0,MATCH(D$2,Inputs!$D$2:$AG$2,0))))=0,"",SUMIFS(INDEX(Inputs!$D$4:$AG$250,0,MATCH(D$2,Inputs!$D$2:$AG$2,0)),Inputs!$B$4:$B$250,$B75)/1000)</f>
        <v>4.836</v>
      </c>
      <c r="E75" s="11">
        <f>IF(SUMPRODUCT((Inputs!$B$4:$B$250=$B75)*ISNUMBER(INDEX(Inputs!$D$4:$AG$250,0,MATCH(E$2,Inputs!$D$2:$AG$2,0))))=0,"",SUMIFS(INDEX(Inputs!$D$4:$AG$250,0,MATCH(E$2,Inputs!$D$2:$AG$2,0)),Inputs!$B$4:$B$250,$B75)/1000)</f>
        <v>4.762</v>
      </c>
      <c r="F75" s="11">
        <f>IF(SUMPRODUCT((Inputs!$B$4:$B$250=$B75)*ISNUMBER(INDEX(Inputs!$D$4:$AG$250,0,MATCH(F$2,Inputs!$D$2:$AG$2,0))))=0,"",SUMIFS(INDEX(Inputs!$D$4:$AG$250,0,MATCH(F$2,Inputs!$D$2:$AG$2,0)),Inputs!$B$4:$B$250,$B75)/1000)</f>
        <v>20.215</v>
      </c>
      <c r="G75" s="11">
        <f>IF(SUMPRODUCT((Inputs!$B$4:$B$250=$B75)*ISNUMBER(INDEX(Inputs!$D$4:$AG$250,0,MATCH(G$2,Inputs!$D$2:$AG$2,0))))=0,"",SUMIFS(INDEX(Inputs!$D$4:$AG$250,0,MATCH(G$2,Inputs!$D$2:$AG$2,0)),Inputs!$B$4:$B$250,$B75)/1000)</f>
        <v>7.364</v>
      </c>
      <c r="H75" s="12">
        <f>IF(COUNT(D75:G75)=4,SUM(D75:G75),"")</f>
        <v>37.177</v>
      </c>
      <c r="I75" s="11">
        <f>IF(SUMPRODUCT((Inputs!$B$4:$B$250=$B75)*ISNUMBER(INDEX(Inputs!$D$4:$AG$250,0,MATCH(I$2,Inputs!$D$2:$AG$2,0))))=0,"",SUMIFS(INDEX(Inputs!$D$4:$AG$250,0,MATCH(I$2,Inputs!$D$2:$AG$2,0)),Inputs!$B$4:$B$250,$B75)/1000)</f>
        <v>7.061</v>
      </c>
      <c r="J75" s="11">
        <f>IF(SUMPRODUCT((Inputs!$B$4:$B$250=$B75)*ISNUMBER(INDEX(Inputs!$D$4:$AG$250,0,MATCH(J$2,Inputs!$D$2:$AG$2,0))))=0,"",SUMIFS(INDEX(Inputs!$D$4:$AG$250,0,MATCH(J$2,Inputs!$D$2:$AG$2,0)),Inputs!$B$4:$B$250,$B75)/1000)</f>
        <v>8.602</v>
      </c>
      <c r="K75" s="11">
        <f>IF(SUMPRODUCT((Inputs!$B$4:$B$250=$B75)*ISNUMBER(INDEX(Inputs!$D$4:$AG$250,0,MATCH(K$2,Inputs!$D$2:$AG$2,0))))=0,"",SUMIFS(INDEX(Inputs!$D$4:$AG$250,0,MATCH(K$2,Inputs!$D$2:$AG$2,0)),Inputs!$B$4:$B$250,$B75)/1000)</f>
        <v>2.4</v>
      </c>
      <c r="L75" s="11">
        <f>IF(SUMPRODUCT((Inputs!$B$4:$B$250=$B75)*ISNUMBER(INDEX(Inputs!$D$4:$AG$250,0,MATCH(L$2,Inputs!$D$2:$AG$2,0))))=0,"",SUMIFS(INDEX(Inputs!$D$4:$AG$250,0,MATCH(L$2,Inputs!$D$2:$AG$2,0)),Inputs!$B$4:$B$250,$B75)/1000)</f>
        <v>4.478</v>
      </c>
      <c r="M75" s="12">
        <f>IF(COUNT(I75:L75)=4,SUM(I75:L75),"")</f>
        <v>22.541</v>
      </c>
      <c r="N75" s="11">
        <f>IF(SUMPRODUCT((Inputs!$B$4:$B$250=$B75)*ISNUMBER(INDEX(Inputs!$D$4:$AG$250,0,MATCH(N$2,Inputs!$D$2:$AG$2,0))))=0,"",SUMIFS(INDEX(Inputs!$D$4:$AG$250,0,MATCH(N$2,Inputs!$D$2:$AG$2,0)),Inputs!$B$4:$B$250,$B75)/1000)</f>
        <v>6.604</v>
      </c>
      <c r="O75" s="11">
        <f>IF(SUMPRODUCT((Inputs!$B$4:$B$250=$B75)*ISNUMBER(INDEX(Inputs!$D$4:$AG$250,0,MATCH(O$2,Inputs!$D$2:$AG$2,0))))=0,"",SUMIFS(INDEX(Inputs!$D$4:$AG$250,0,MATCH(O$2,Inputs!$D$2:$AG$2,0)),Inputs!$B$4:$B$250,$B75)/1000)</f>
        <v>5.994</v>
      </c>
      <c r="P75" s="11">
        <f>IF(SUMPRODUCT((Inputs!$B$4:$B$250=$B75)*ISNUMBER(INDEX(Inputs!$D$4:$AG$250,0,MATCH(P$2,Inputs!$D$2:$AG$2,0))))=0,"",SUMIFS(INDEX(Inputs!$D$4:$AG$250,0,MATCH(P$2,Inputs!$D$2:$AG$2,0)),Inputs!$B$4:$B$250,$B75)/1000)</f>
        <v>3.694</v>
      </c>
      <c r="Q75" s="11">
        <f>IF(SUMPRODUCT((Inputs!$B$4:$B$250=$B75)*ISNUMBER(INDEX(Inputs!$D$4:$AG$250,0,MATCH(Q$2,Inputs!$D$2:$AG$2,0))))=0,"",SUMIFS(INDEX(Inputs!$D$4:$AG$250,0,MATCH(Q$2,Inputs!$D$2:$AG$2,0)),Inputs!$B$4:$B$250,$B75)/1000)</f>
        <v>4.537</v>
      </c>
      <c r="R75" s="12">
        <f>IF(COUNT(N75:Q75)=4,SUM(N75:Q75),"")</f>
        <v>20.829</v>
      </c>
      <c r="S75" s="11">
        <f>IF(SUMPRODUCT((Inputs!$B$4:$B$250=$B75)*ISNUMBER(INDEX(Inputs!$D$4:$AG$250,0,MATCH(S$2,Inputs!$D$2:$AG$2,0))))=0,"",SUMIFS(INDEX(Inputs!$D$4:$AG$250,0,MATCH(S$2,Inputs!$D$2:$AG$2,0)),Inputs!$B$4:$B$250,$B75)/1000)</f>
        <v>6.31</v>
      </c>
      <c r="T75" s="11">
        <f>IF(SUMPRODUCT((Inputs!$B$4:$B$250=$B75)*ISNUMBER(INDEX(Inputs!$D$4:$AG$250,0,MATCH(T$2,Inputs!$D$2:$AG$2,0))))=0,"",SUMIFS(INDEX(Inputs!$D$4:$AG$250,0,MATCH(T$2,Inputs!$D$2:$AG$2,0)),Inputs!$B$4:$B$250,$B75)/1000)</f>
        <v>5.071</v>
      </c>
      <c r="U75" s="11">
        <f>IF(SUMPRODUCT((Inputs!$B$4:$B$250=$B75)*ISNUMBER(INDEX(Inputs!$D$4:$AG$250,0,MATCH(U$2,Inputs!$D$2:$AG$2,0))))=0,"",SUMIFS(INDEX(Inputs!$D$4:$AG$250,0,MATCH(U$2,Inputs!$D$2:$AG$2,0)),Inputs!$B$4:$B$250,$B75)/1000)</f>
        <v>-1.538</v>
      </c>
      <c r="V75" s="11">
        <f>IF(SUMPRODUCT((Inputs!$B$4:$B$250=$B75)*ISNUMBER(INDEX(Inputs!$D$4:$AG$250,0,MATCH(V$2,Inputs!$D$2:$AG$2,0))))=0,"",SUMIFS(INDEX(Inputs!$D$4:$AG$250,0,MATCH(V$2,Inputs!$D$2:$AG$2,0)),Inputs!$B$4:$B$250,$B75)/1000)</f>
        <v>5.211</v>
      </c>
      <c r="W75" s="12">
        <f>IF(COUNT(S75:V75)=4,SUM(S75:V75),"")</f>
        <v>15.054</v>
      </c>
      <c r="X75" s="11">
        <f>IF(SUMPRODUCT((Inputs!$B$4:$B$250=$B75)*ISNUMBER(INDEX(Inputs!$D$4:$AG$250,0,MATCH(X$2,Inputs!$D$2:$AG$2,0))))=0,"",SUMIFS(INDEX(Inputs!$D$4:$AG$250,0,MATCH(X$2,Inputs!$D$2:$AG$2,0)),Inputs!$B$4:$B$250,$B75)/1000)</f>
        <v>9.771</v>
      </c>
      <c r="Y75" s="11">
        <f>IF(SUMPRODUCT((Inputs!$B$4:$B$250=$B75)*ISNUMBER(INDEX(Inputs!$D$4:$AG$250,0,MATCH(Y$2,Inputs!$D$2:$AG$2,0))))=0,"",SUMIFS(INDEX(Inputs!$D$4:$AG$250,0,MATCH(Y$2,Inputs!$D$2:$AG$2,0)),Inputs!$B$4:$B$250,$B75)/1000)</f>
        <v>5.181</v>
      </c>
      <c r="Z75" s="11">
        <f>IF(SUMPRODUCT((Inputs!$B$4:$B$250=$B75)*ISNUMBER(INDEX(Inputs!$D$4:$AG$250,0,MATCH(Z$2,Inputs!$D$2:$AG$2,0))))=0,"",SUMIFS(INDEX(Inputs!$D$4:$AG$250,0,MATCH(Z$2,Inputs!$D$2:$AG$2,0)),Inputs!$B$4:$B$250,$B75)/1000)</f>
        <v>4.09</v>
      </c>
      <c r="AA75" s="11">
        <f>IF(SUMPRODUCT((Inputs!$B$4:$B$250=$B75)*ISNUMBER(INDEX(Inputs!$D$4:$AG$250,0,MATCH(AA$2,Inputs!$D$2:$AG$2,0))))=0,"",SUMIFS(INDEX(Inputs!$D$4:$AG$250,0,MATCH(AA$2,Inputs!$D$2:$AG$2,0)),Inputs!$B$4:$B$250,$B75)/1000)</f>
        <v>4.676</v>
      </c>
      <c r="AB75" s="12">
        <f>IF(COUNT(X75:AA75)=4,SUM(X75:AA75),"")</f>
        <v>23.718</v>
      </c>
      <c r="AC75" s="11">
        <f>IF(SUMPRODUCT((Inputs!$B$4:$B$250=$B75)*ISNUMBER(INDEX(Inputs!$D$4:$AG$250,0,MATCH(AC$2,Inputs!$D$2:$AG$2,0))))=0,"",SUMIFS(INDEX(Inputs!$D$4:$AG$250,0,MATCH(AC$2,Inputs!$D$2:$AG$2,0)),Inputs!$B$4:$B$250,$B75)/1000)</f>
        <v>5.438</v>
      </c>
      <c r="AD75" s="11">
        <f>IF(SUMPRODUCT((Inputs!$B$4:$B$250=$B75)*ISNUMBER(INDEX(Inputs!$D$4:$AG$250,0,MATCH(AD$2,Inputs!$D$2:$AG$2,0))))=0,"",SUMIFS(INDEX(Inputs!$D$4:$AG$250,0,MATCH(AD$2,Inputs!$D$2:$AG$2,0)),Inputs!$B$4:$B$250,$B75)/1000)</f>
        <v>7.03</v>
      </c>
      <c r="AE75" s="11" t="str">
        <f>IF(SUMPRODUCT((Inputs!$B$4:$B$250=$B75)*ISNUMBER(INDEX(Inputs!$D$4:$AG$250,0,MATCH(AE$2,Inputs!$D$2:$AG$2,0))))=0,"",SUMIFS(INDEX(Inputs!$D$4:$AG$250,0,MATCH(AE$2,Inputs!$D$2:$AG$2,0)),Inputs!$B$4:$B$250,$B75)/1000)</f>
        <v/>
      </c>
      <c r="AF75" s="11" t="str">
        <f>IF(SUMPRODUCT((Inputs!$B$4:$B$250=$B75)*ISNUMBER(INDEX(Inputs!$D$4:$AG$250,0,MATCH(AF$2,Inputs!$D$2:$AG$2,0))))=0,"",SUMIFS(INDEX(Inputs!$D$4:$AG$250,0,MATCH(AF$2,Inputs!$D$2:$AG$2,0)),Inputs!$B$4:$B$250,$B75)/1000)</f>
        <v/>
      </c>
      <c r="AG75" s="12" t="str">
        <f>IF(COUNT(AC75:AF75)=4,SUM(AC75:AF75),"")</f>
        <v/>
      </c>
    </row>
    <row r="76">
      <c r="B76" s="9" t="n">
        <v>68</v>
      </c>
      <c r="C76" s="10" t="inlineStr">
        <is>
          <t>Transmissao | ELTE</t>
        </is>
      </c>
      <c r="D76" s="11">
        <f>IF(SUMPRODUCT((Inputs!$B$4:$B$250=$B76)*ISNUMBER(INDEX(Inputs!$D$4:$AG$250,0,MATCH(D$2,Inputs!$D$2:$AG$2,0))))=0,"",SUMIFS(INDEX(Inputs!$D$4:$AG$250,0,MATCH(D$2,Inputs!$D$2:$AG$2,0)),Inputs!$B$4:$B$250,$B76)/1000)</f>
        <v>0.201</v>
      </c>
      <c r="E76" s="11">
        <f>IF(SUMPRODUCT((Inputs!$B$4:$B$250=$B76)*ISNUMBER(INDEX(Inputs!$D$4:$AG$250,0,MATCH(E$2,Inputs!$D$2:$AG$2,0))))=0,"",SUMIFS(INDEX(Inputs!$D$4:$AG$250,0,MATCH(E$2,Inputs!$D$2:$AG$2,0)),Inputs!$B$4:$B$250,$B76)/1000)</f>
        <v>4.371</v>
      </c>
      <c r="F76" s="11">
        <f>IF(SUMPRODUCT((Inputs!$B$4:$B$250=$B76)*ISNUMBER(INDEX(Inputs!$D$4:$AG$250,0,MATCH(F$2,Inputs!$D$2:$AG$2,0))))=0,"",SUMIFS(INDEX(Inputs!$D$4:$AG$250,0,MATCH(F$2,Inputs!$D$2:$AG$2,0)),Inputs!$B$4:$B$250,$B76)/1000)</f>
        <v>-6.612</v>
      </c>
      <c r="G76" s="11">
        <f>IF(SUMPRODUCT((Inputs!$B$4:$B$250=$B76)*ISNUMBER(INDEX(Inputs!$D$4:$AG$250,0,MATCH(G$2,Inputs!$D$2:$AG$2,0))))=0,"",SUMIFS(INDEX(Inputs!$D$4:$AG$250,0,MATCH(G$2,Inputs!$D$2:$AG$2,0)),Inputs!$B$4:$B$250,$B76)/1000)</f>
        <v>5.02</v>
      </c>
      <c r="H76" s="12">
        <f>IF(COUNT(D76:G76)=4,SUM(D76:G76),"")</f>
        <v>2.98</v>
      </c>
      <c r="I76" s="11">
        <f>IF(SUMPRODUCT((Inputs!$B$4:$B$250=$B76)*ISNUMBER(INDEX(Inputs!$D$4:$AG$250,0,MATCH(I$2,Inputs!$D$2:$AG$2,0))))=0,"",SUMIFS(INDEX(Inputs!$D$4:$AG$250,0,MATCH(I$2,Inputs!$D$2:$AG$2,0)),Inputs!$B$4:$B$250,$B76)/1000)</f>
        <v>1.445</v>
      </c>
      <c r="J76" s="11">
        <f>IF(SUMPRODUCT((Inputs!$B$4:$B$250=$B76)*ISNUMBER(INDEX(Inputs!$D$4:$AG$250,0,MATCH(J$2,Inputs!$D$2:$AG$2,0))))=0,"",SUMIFS(INDEX(Inputs!$D$4:$AG$250,0,MATCH(J$2,Inputs!$D$2:$AG$2,0)),Inputs!$B$4:$B$250,$B76)/1000)</f>
        <v>43.586</v>
      </c>
      <c r="K76" s="11">
        <f>IF(SUMPRODUCT((Inputs!$B$4:$B$250=$B76)*ISNUMBER(INDEX(Inputs!$D$4:$AG$250,0,MATCH(K$2,Inputs!$D$2:$AG$2,0))))=0,"",SUMIFS(INDEX(Inputs!$D$4:$AG$250,0,MATCH(K$2,Inputs!$D$2:$AG$2,0)),Inputs!$B$4:$B$250,$B76)/1000)</f>
        <v>26.58</v>
      </c>
      <c r="L76" s="11">
        <f>IF(SUMPRODUCT((Inputs!$B$4:$B$250=$B76)*ISNUMBER(INDEX(Inputs!$D$4:$AG$250,0,MATCH(L$2,Inputs!$D$2:$AG$2,0))))=0,"",SUMIFS(INDEX(Inputs!$D$4:$AG$250,0,MATCH(L$2,Inputs!$D$2:$AG$2,0)),Inputs!$B$4:$B$250,$B76)/1000)</f>
        <v>52.728</v>
      </c>
      <c r="M76" s="12">
        <f>IF(COUNT(I76:L76)=4,SUM(I76:L76),"")</f>
        <v>124.339</v>
      </c>
      <c r="N76" s="11">
        <f>IF(SUMPRODUCT((Inputs!$B$4:$B$250=$B76)*ISNUMBER(INDEX(Inputs!$D$4:$AG$250,0,MATCH(N$2,Inputs!$D$2:$AG$2,0))))=0,"",SUMIFS(INDEX(Inputs!$D$4:$AG$250,0,MATCH(N$2,Inputs!$D$2:$AG$2,0)),Inputs!$B$4:$B$250,$B76)/1000)</f>
        <v>69.339</v>
      </c>
      <c r="O76" s="11">
        <f>IF(SUMPRODUCT((Inputs!$B$4:$B$250=$B76)*ISNUMBER(INDEX(Inputs!$D$4:$AG$250,0,MATCH(O$2,Inputs!$D$2:$AG$2,0))))=0,"",SUMIFS(INDEX(Inputs!$D$4:$AG$250,0,MATCH(O$2,Inputs!$D$2:$AG$2,0)),Inputs!$B$4:$B$250,$B76)/1000)</f>
        <v>43.353</v>
      </c>
      <c r="P76" s="11">
        <f>IF(SUMPRODUCT((Inputs!$B$4:$B$250=$B76)*ISNUMBER(INDEX(Inputs!$D$4:$AG$250,0,MATCH(P$2,Inputs!$D$2:$AG$2,0))))=0,"",SUMIFS(INDEX(Inputs!$D$4:$AG$250,0,MATCH(P$2,Inputs!$D$2:$AG$2,0)),Inputs!$B$4:$B$250,$B76)/1000)</f>
        <v>34.344</v>
      </c>
      <c r="Q76" s="11">
        <f>IF(SUMPRODUCT((Inputs!$B$4:$B$250=$B76)*ISNUMBER(INDEX(Inputs!$D$4:$AG$250,0,MATCH(Q$2,Inputs!$D$2:$AG$2,0))))=0,"",SUMIFS(INDEX(Inputs!$D$4:$AG$250,0,MATCH(Q$2,Inputs!$D$2:$AG$2,0)),Inputs!$B$4:$B$250,$B76)/1000)</f>
        <v>51.113</v>
      </c>
      <c r="R76" s="12">
        <f>IF(COUNT(N76:Q76)=4,SUM(N76:Q76),"")</f>
        <v>198.149</v>
      </c>
      <c r="S76" s="11">
        <f>IF(SUMPRODUCT((Inputs!$B$4:$B$250=$B76)*ISNUMBER(INDEX(Inputs!$D$4:$AG$250,0,MATCH(S$2,Inputs!$D$2:$AG$2,0))))=0,"",SUMIFS(INDEX(Inputs!$D$4:$AG$250,0,MATCH(S$2,Inputs!$D$2:$AG$2,0)),Inputs!$B$4:$B$250,$B76)/1000)</f>
        <v>99.704</v>
      </c>
      <c r="T76" s="11">
        <f>IF(SUMPRODUCT((Inputs!$B$4:$B$250=$B76)*ISNUMBER(INDEX(Inputs!$D$4:$AG$250,0,MATCH(T$2,Inputs!$D$2:$AG$2,0))))=0,"",SUMIFS(INDEX(Inputs!$D$4:$AG$250,0,MATCH(T$2,Inputs!$D$2:$AG$2,0)),Inputs!$B$4:$B$250,$B76)/1000)</f>
        <v>131.108</v>
      </c>
      <c r="U76" s="11">
        <f>IF(SUMPRODUCT((Inputs!$B$4:$B$250=$B76)*ISNUMBER(INDEX(Inputs!$D$4:$AG$250,0,MATCH(U$2,Inputs!$D$2:$AG$2,0))))=0,"",SUMIFS(INDEX(Inputs!$D$4:$AG$250,0,MATCH(U$2,Inputs!$D$2:$AG$2,0)),Inputs!$B$4:$B$250,$B76)/1000)</f>
        <v>124.479</v>
      </c>
      <c r="V76" s="11">
        <f>IF(SUMPRODUCT((Inputs!$B$4:$B$250=$B76)*ISNUMBER(INDEX(Inputs!$D$4:$AG$250,0,MATCH(V$2,Inputs!$D$2:$AG$2,0))))=0,"",SUMIFS(INDEX(Inputs!$D$4:$AG$250,0,MATCH(V$2,Inputs!$D$2:$AG$2,0)),Inputs!$B$4:$B$250,$B76)/1000)</f>
        <v>40.369</v>
      </c>
      <c r="W76" s="12">
        <f>IF(COUNT(S76:V76)=4,SUM(S76:V76),"")</f>
        <v>395.66</v>
      </c>
      <c r="X76" s="11">
        <f>IF(SUMPRODUCT((Inputs!$B$4:$B$250=$B76)*ISNUMBER(INDEX(Inputs!$D$4:$AG$250,0,MATCH(X$2,Inputs!$D$2:$AG$2,0))))=0,"",SUMIFS(INDEX(Inputs!$D$4:$AG$250,0,MATCH(X$2,Inputs!$D$2:$AG$2,0)),Inputs!$B$4:$B$250,$B76)/1000)</f>
        <v>85.557</v>
      </c>
      <c r="Y76" s="11">
        <f>IF(SUMPRODUCT((Inputs!$B$4:$B$250=$B76)*ISNUMBER(INDEX(Inputs!$D$4:$AG$250,0,MATCH(Y$2,Inputs!$D$2:$AG$2,0))))=0,"",SUMIFS(INDEX(Inputs!$D$4:$AG$250,0,MATCH(Y$2,Inputs!$D$2:$AG$2,0)),Inputs!$B$4:$B$250,$B76)/1000)</f>
        <v>114.844</v>
      </c>
      <c r="Z76" s="11">
        <f>IF(SUMPRODUCT((Inputs!$B$4:$B$250=$B76)*ISNUMBER(INDEX(Inputs!$D$4:$AG$250,0,MATCH(Z$2,Inputs!$D$2:$AG$2,0))))=0,"",SUMIFS(INDEX(Inputs!$D$4:$AG$250,0,MATCH(Z$2,Inputs!$D$2:$AG$2,0)),Inputs!$B$4:$B$250,$B76)/1000)</f>
        <v>19.725</v>
      </c>
      <c r="AA76" s="11">
        <f>IF(SUMPRODUCT((Inputs!$B$4:$B$250=$B76)*ISNUMBER(INDEX(Inputs!$D$4:$AG$250,0,MATCH(AA$2,Inputs!$D$2:$AG$2,0))))=0,"",SUMIFS(INDEX(Inputs!$D$4:$AG$250,0,MATCH(AA$2,Inputs!$D$2:$AG$2,0)),Inputs!$B$4:$B$250,$B76)/1000)</f>
        <v>21.78</v>
      </c>
      <c r="AB76" s="12">
        <f>IF(COUNT(X76:AA76)=4,SUM(X76:AA76),"")</f>
        <v>241.906</v>
      </c>
      <c r="AC76" s="11">
        <f>IF(SUMPRODUCT((Inputs!$B$4:$B$250=$B76)*ISNUMBER(INDEX(Inputs!$D$4:$AG$250,0,MATCH(AC$2,Inputs!$D$2:$AG$2,0))))=0,"",SUMIFS(INDEX(Inputs!$D$4:$AG$250,0,MATCH(AC$2,Inputs!$D$2:$AG$2,0)),Inputs!$B$4:$B$250,$B76)/1000)</f>
        <v>29.72</v>
      </c>
      <c r="AD76" s="11">
        <f>IF(SUMPRODUCT((Inputs!$B$4:$B$250=$B76)*ISNUMBER(INDEX(Inputs!$D$4:$AG$250,0,MATCH(AD$2,Inputs!$D$2:$AG$2,0))))=0,"",SUMIFS(INDEX(Inputs!$D$4:$AG$250,0,MATCH(AD$2,Inputs!$D$2:$AG$2,0)),Inputs!$B$4:$B$250,$B76)/1000)</f>
        <v>33.323</v>
      </c>
      <c r="AE76" s="11" t="str">
        <f>IF(SUMPRODUCT((Inputs!$B$4:$B$250=$B76)*ISNUMBER(INDEX(Inputs!$D$4:$AG$250,0,MATCH(AE$2,Inputs!$D$2:$AG$2,0))))=0,"",SUMIFS(INDEX(Inputs!$D$4:$AG$250,0,MATCH(AE$2,Inputs!$D$2:$AG$2,0)),Inputs!$B$4:$B$250,$B76)/1000)</f>
        <v/>
      </c>
      <c r="AF76" s="11" t="str">
        <f>IF(SUMPRODUCT((Inputs!$B$4:$B$250=$B76)*ISNUMBER(INDEX(Inputs!$D$4:$AG$250,0,MATCH(AF$2,Inputs!$D$2:$AG$2,0))))=0,"",SUMIFS(INDEX(Inputs!$D$4:$AG$250,0,MATCH(AF$2,Inputs!$D$2:$AG$2,0)),Inputs!$B$4:$B$250,$B76)/1000)</f>
        <v/>
      </c>
      <c r="AG76" s="12" t="str">
        <f>IF(COUNT(AC76:AF76)=4,SUM(AC76:AF76),"")</f>
        <v/>
      </c>
    </row>
    <row r="77">
      <c r="B77" s="9" t="n">
        <v>69</v>
      </c>
      <c r="C77" s="10" t="inlineStr">
        <is>
          <t>Transmissao | ETAP</t>
        </is>
      </c>
      <c r="D77" s="11">
        <f>IF(SUMPRODUCT((Inputs!$B$4:$B$250=$B77)*ISNUMBER(INDEX(Inputs!$D$4:$AG$250,0,MATCH(D$2,Inputs!$D$2:$AG$2,0))))=0,"",SUMIFS(INDEX(Inputs!$D$4:$AG$250,0,MATCH(D$2,Inputs!$D$2:$AG$2,0)),Inputs!$B$4:$B$250,$B77)/1000)</f>
        <v>25.157</v>
      </c>
      <c r="E77" s="11">
        <f>IF(SUMPRODUCT((Inputs!$B$4:$B$250=$B77)*ISNUMBER(INDEX(Inputs!$D$4:$AG$250,0,MATCH(E$2,Inputs!$D$2:$AG$2,0))))=0,"",SUMIFS(INDEX(Inputs!$D$4:$AG$250,0,MATCH(E$2,Inputs!$D$2:$AG$2,0)),Inputs!$B$4:$B$250,$B77)/1000)</f>
        <v>23.853</v>
      </c>
      <c r="F77" s="11">
        <f>IF(SUMPRODUCT((Inputs!$B$4:$B$250=$B77)*ISNUMBER(INDEX(Inputs!$D$4:$AG$250,0,MATCH(F$2,Inputs!$D$2:$AG$2,0))))=0,"",SUMIFS(INDEX(Inputs!$D$4:$AG$250,0,MATCH(F$2,Inputs!$D$2:$AG$2,0)),Inputs!$B$4:$B$250,$B77)/1000)</f>
        <v>25.245</v>
      </c>
      <c r="G77" s="11">
        <f>IF(SUMPRODUCT((Inputs!$B$4:$B$250=$B77)*ISNUMBER(INDEX(Inputs!$D$4:$AG$250,0,MATCH(G$2,Inputs!$D$2:$AG$2,0))))=0,"",SUMIFS(INDEX(Inputs!$D$4:$AG$250,0,MATCH(G$2,Inputs!$D$2:$AG$2,0)),Inputs!$B$4:$B$250,$B77)/1000)</f>
        <v>30.539</v>
      </c>
      <c r="H77" s="12">
        <f>IF(COUNT(D77:G77)=4,SUM(D77:G77),"")</f>
        <v>104.794</v>
      </c>
      <c r="I77" s="11">
        <f>IF(SUMPRODUCT((Inputs!$B$4:$B$250=$B77)*ISNUMBER(INDEX(Inputs!$D$4:$AG$250,0,MATCH(I$2,Inputs!$D$2:$AG$2,0))))=0,"",SUMIFS(INDEX(Inputs!$D$4:$AG$250,0,MATCH(I$2,Inputs!$D$2:$AG$2,0)),Inputs!$B$4:$B$250,$B77)/1000)</f>
        <v>26.693</v>
      </c>
      <c r="J77" s="11">
        <f>IF(SUMPRODUCT((Inputs!$B$4:$B$250=$B77)*ISNUMBER(INDEX(Inputs!$D$4:$AG$250,0,MATCH(J$2,Inputs!$D$2:$AG$2,0))))=0,"",SUMIFS(INDEX(Inputs!$D$4:$AG$250,0,MATCH(J$2,Inputs!$D$2:$AG$2,0)),Inputs!$B$4:$B$250,$B77)/1000)</f>
        <v>32.379</v>
      </c>
      <c r="K77" s="11">
        <f>IF(SUMPRODUCT((Inputs!$B$4:$B$250=$B77)*ISNUMBER(INDEX(Inputs!$D$4:$AG$250,0,MATCH(K$2,Inputs!$D$2:$AG$2,0))))=0,"",SUMIFS(INDEX(Inputs!$D$4:$AG$250,0,MATCH(K$2,Inputs!$D$2:$AG$2,0)),Inputs!$B$4:$B$250,$B77)/1000)</f>
        <v>13.329</v>
      </c>
      <c r="L77" s="11">
        <f>IF(SUMPRODUCT((Inputs!$B$4:$B$250=$B77)*ISNUMBER(INDEX(Inputs!$D$4:$AG$250,0,MATCH(L$2,Inputs!$D$2:$AG$2,0))))=0,"",SUMIFS(INDEX(Inputs!$D$4:$AG$250,0,MATCH(L$2,Inputs!$D$2:$AG$2,0)),Inputs!$B$4:$B$250,$B77)/1000)</f>
        <v>18.901</v>
      </c>
      <c r="M77" s="12">
        <f>IF(COUNT(I77:L77)=4,SUM(I77:L77),"")</f>
        <v>91.302</v>
      </c>
      <c r="N77" s="11">
        <f>IF(SUMPRODUCT((Inputs!$B$4:$B$250=$B77)*ISNUMBER(INDEX(Inputs!$D$4:$AG$250,0,MATCH(N$2,Inputs!$D$2:$AG$2,0))))=0,"",SUMIFS(INDEX(Inputs!$D$4:$AG$250,0,MATCH(N$2,Inputs!$D$2:$AG$2,0)),Inputs!$B$4:$B$250,$B77)/1000)</f>
        <v>26.047</v>
      </c>
      <c r="O77" s="11">
        <f>IF(SUMPRODUCT((Inputs!$B$4:$B$250=$B77)*ISNUMBER(INDEX(Inputs!$D$4:$AG$250,0,MATCH(O$2,Inputs!$D$2:$AG$2,0))))=0,"",SUMIFS(INDEX(Inputs!$D$4:$AG$250,0,MATCH(O$2,Inputs!$D$2:$AG$2,0)),Inputs!$B$4:$B$250,$B77)/1000)</f>
        <v>24.218</v>
      </c>
      <c r="P77" s="11">
        <f>IF(SUMPRODUCT((Inputs!$B$4:$B$250=$B77)*ISNUMBER(INDEX(Inputs!$D$4:$AG$250,0,MATCH(P$2,Inputs!$D$2:$AG$2,0))))=0,"",SUMIFS(INDEX(Inputs!$D$4:$AG$250,0,MATCH(P$2,Inputs!$D$2:$AG$2,0)),Inputs!$B$4:$B$250,$B77)/1000)</f>
        <v>17.13</v>
      </c>
      <c r="Q77" s="11">
        <f>IF(SUMPRODUCT((Inputs!$B$4:$B$250=$B77)*ISNUMBER(INDEX(Inputs!$D$4:$AG$250,0,MATCH(Q$2,Inputs!$D$2:$AG$2,0))))=0,"",SUMIFS(INDEX(Inputs!$D$4:$AG$250,0,MATCH(Q$2,Inputs!$D$2:$AG$2,0)),Inputs!$B$4:$B$250,$B77)/1000)</f>
        <v>19.922</v>
      </c>
      <c r="R77" s="12">
        <f>IF(COUNT(N77:Q77)=4,SUM(N77:Q77),"")</f>
        <v>87.317</v>
      </c>
      <c r="S77" s="11">
        <f>IF(SUMPRODUCT((Inputs!$B$4:$B$250=$B77)*ISNUMBER(INDEX(Inputs!$D$4:$AG$250,0,MATCH(S$2,Inputs!$D$2:$AG$2,0))))=0,"",SUMIFS(INDEX(Inputs!$D$4:$AG$250,0,MATCH(S$2,Inputs!$D$2:$AG$2,0)),Inputs!$B$4:$B$250,$B77)/1000)</f>
        <v>25.911</v>
      </c>
      <c r="T77" s="11">
        <f>IF(SUMPRODUCT((Inputs!$B$4:$B$250=$B77)*ISNUMBER(INDEX(Inputs!$D$4:$AG$250,0,MATCH(T$2,Inputs!$D$2:$AG$2,0))))=0,"",SUMIFS(INDEX(Inputs!$D$4:$AG$250,0,MATCH(T$2,Inputs!$D$2:$AG$2,0)),Inputs!$B$4:$B$250,$B77)/1000)</f>
        <v>21.778</v>
      </c>
      <c r="U77" s="11">
        <f>IF(SUMPRODUCT((Inputs!$B$4:$B$250=$B77)*ISNUMBER(INDEX(Inputs!$D$4:$AG$250,0,MATCH(U$2,Inputs!$D$2:$AG$2,0))))=0,"",SUMIFS(INDEX(Inputs!$D$4:$AG$250,0,MATCH(U$2,Inputs!$D$2:$AG$2,0)),Inputs!$B$4:$B$250,$B77)/1000)</f>
        <v>19.232</v>
      </c>
      <c r="V77" s="11">
        <f>IF(SUMPRODUCT((Inputs!$B$4:$B$250=$B77)*ISNUMBER(INDEX(Inputs!$D$4:$AG$250,0,MATCH(V$2,Inputs!$D$2:$AG$2,0))))=0,"",SUMIFS(INDEX(Inputs!$D$4:$AG$250,0,MATCH(V$2,Inputs!$D$2:$AG$2,0)),Inputs!$B$4:$B$250,$B77)/1000)</f>
        <v>23.929</v>
      </c>
      <c r="W77" s="12">
        <f>IF(COUNT(S77:V77)=4,SUM(S77:V77),"")</f>
        <v>90.85</v>
      </c>
      <c r="X77" s="11">
        <f>IF(SUMPRODUCT((Inputs!$B$4:$B$250=$B77)*ISNUMBER(INDEX(Inputs!$D$4:$AG$250,0,MATCH(X$2,Inputs!$D$2:$AG$2,0))))=0,"",SUMIFS(INDEX(Inputs!$D$4:$AG$250,0,MATCH(X$2,Inputs!$D$2:$AG$2,0)),Inputs!$B$4:$B$250,$B77)/1000)</f>
        <v>27.775</v>
      </c>
      <c r="Y77" s="11">
        <f>IF(SUMPRODUCT((Inputs!$B$4:$B$250=$B77)*ISNUMBER(INDEX(Inputs!$D$4:$AG$250,0,MATCH(Y$2,Inputs!$D$2:$AG$2,0))))=0,"",SUMIFS(INDEX(Inputs!$D$4:$AG$250,0,MATCH(Y$2,Inputs!$D$2:$AG$2,0)),Inputs!$B$4:$B$250,$B77)/1000)</f>
        <v>24.054</v>
      </c>
      <c r="Z77" s="11">
        <f>IF(SUMPRODUCT((Inputs!$B$4:$B$250=$B77)*ISNUMBER(INDEX(Inputs!$D$4:$AG$250,0,MATCH(Z$2,Inputs!$D$2:$AG$2,0))))=0,"",SUMIFS(INDEX(Inputs!$D$4:$AG$250,0,MATCH(Z$2,Inputs!$D$2:$AG$2,0)),Inputs!$B$4:$B$250,$B77)/1000)</f>
        <v>18.985</v>
      </c>
      <c r="AA77" s="11">
        <f>IF(SUMPRODUCT((Inputs!$B$4:$B$250=$B77)*ISNUMBER(INDEX(Inputs!$D$4:$AG$250,0,MATCH(AA$2,Inputs!$D$2:$AG$2,0))))=0,"",SUMIFS(INDEX(Inputs!$D$4:$AG$250,0,MATCH(AA$2,Inputs!$D$2:$AG$2,0)),Inputs!$B$4:$B$250,$B77)/1000)</f>
        <v>21.118</v>
      </c>
      <c r="AB77" s="12">
        <f>IF(COUNT(X77:AA77)=4,SUM(X77:AA77),"")</f>
        <v>91.932</v>
      </c>
      <c r="AC77" s="11">
        <f>IF(SUMPRODUCT((Inputs!$B$4:$B$250=$B77)*ISNUMBER(INDEX(Inputs!$D$4:$AG$250,0,MATCH(AC$2,Inputs!$D$2:$AG$2,0))))=0,"",SUMIFS(INDEX(Inputs!$D$4:$AG$250,0,MATCH(AC$2,Inputs!$D$2:$AG$2,0)),Inputs!$B$4:$B$250,$B77)/1000)</f>
        <v>24.881</v>
      </c>
      <c r="AD77" s="11">
        <f>IF(SUMPRODUCT((Inputs!$B$4:$B$250=$B77)*ISNUMBER(INDEX(Inputs!$D$4:$AG$250,0,MATCH(AD$2,Inputs!$D$2:$AG$2,0))))=0,"",SUMIFS(INDEX(Inputs!$D$4:$AG$250,0,MATCH(AD$2,Inputs!$D$2:$AG$2,0)),Inputs!$B$4:$B$250,$B77)/1000)</f>
        <v>30.147</v>
      </c>
      <c r="AE77" s="11" t="str">
        <f>IF(SUMPRODUCT((Inputs!$B$4:$B$250=$B77)*ISNUMBER(INDEX(Inputs!$D$4:$AG$250,0,MATCH(AE$2,Inputs!$D$2:$AG$2,0))))=0,"",SUMIFS(INDEX(Inputs!$D$4:$AG$250,0,MATCH(AE$2,Inputs!$D$2:$AG$2,0)),Inputs!$B$4:$B$250,$B77)/1000)</f>
        <v/>
      </c>
      <c r="AF77" s="11" t="str">
        <f>IF(SUMPRODUCT((Inputs!$B$4:$B$250=$B77)*ISNUMBER(INDEX(Inputs!$D$4:$AG$250,0,MATCH(AF$2,Inputs!$D$2:$AG$2,0))))=0,"",SUMIFS(INDEX(Inputs!$D$4:$AG$250,0,MATCH(AF$2,Inputs!$D$2:$AG$2,0)),Inputs!$B$4:$B$250,$B77)/1000)</f>
        <v/>
      </c>
      <c r="AG77" s="12" t="str">
        <f>IF(COUNT(AC77:AF77)=4,SUM(AC77:AF77),"")</f>
        <v/>
      </c>
    </row>
    <row r="78">
      <c r="B78" s="9" t="n">
        <v>70</v>
      </c>
      <c r="C78" s="10" t="inlineStr">
        <is>
          <t>Transmissao | ETC</t>
        </is>
      </c>
      <c r="D78" s="11">
        <f>IF(SUMPRODUCT((Inputs!$B$4:$B$250=$B78)*ISNUMBER(INDEX(Inputs!$D$4:$AG$250,0,MATCH(D$2,Inputs!$D$2:$AG$2,0))))=0,"",SUMIFS(INDEX(Inputs!$D$4:$AG$250,0,MATCH(D$2,Inputs!$D$2:$AG$2,0)),Inputs!$B$4:$B$250,$B78)/1000)</f>
        <v>15.148</v>
      </c>
      <c r="E78" s="11">
        <f>IF(SUMPRODUCT((Inputs!$B$4:$B$250=$B78)*ISNUMBER(INDEX(Inputs!$D$4:$AG$250,0,MATCH(E$2,Inputs!$D$2:$AG$2,0))))=0,"",SUMIFS(INDEX(Inputs!$D$4:$AG$250,0,MATCH(E$2,Inputs!$D$2:$AG$2,0)),Inputs!$B$4:$B$250,$B78)/1000)</f>
        <v>16.216</v>
      </c>
      <c r="F78" s="11">
        <f>IF(SUMPRODUCT((Inputs!$B$4:$B$250=$B78)*ISNUMBER(INDEX(Inputs!$D$4:$AG$250,0,MATCH(F$2,Inputs!$D$2:$AG$2,0))))=0,"",SUMIFS(INDEX(Inputs!$D$4:$AG$250,0,MATCH(F$2,Inputs!$D$2:$AG$2,0)),Inputs!$B$4:$B$250,$B78)/1000)</f>
        <v>14.508</v>
      </c>
      <c r="G78" s="11">
        <f>IF(SUMPRODUCT((Inputs!$B$4:$B$250=$B78)*ISNUMBER(INDEX(Inputs!$D$4:$AG$250,0,MATCH(G$2,Inputs!$D$2:$AG$2,0))))=0,"",SUMIFS(INDEX(Inputs!$D$4:$AG$250,0,MATCH(G$2,Inputs!$D$2:$AG$2,0)),Inputs!$B$4:$B$250,$B78)/1000)</f>
        <v>17.295</v>
      </c>
      <c r="H78" s="12">
        <f>IF(COUNT(D78:G78)=4,SUM(D78:G78),"")</f>
        <v>63.167</v>
      </c>
      <c r="I78" s="11">
        <f>IF(SUMPRODUCT((Inputs!$B$4:$B$250=$B78)*ISNUMBER(INDEX(Inputs!$D$4:$AG$250,0,MATCH(I$2,Inputs!$D$2:$AG$2,0))))=0,"",SUMIFS(INDEX(Inputs!$D$4:$AG$250,0,MATCH(I$2,Inputs!$D$2:$AG$2,0)),Inputs!$B$4:$B$250,$B78)/1000)</f>
        <v>15.181</v>
      </c>
      <c r="J78" s="11">
        <f>IF(SUMPRODUCT((Inputs!$B$4:$B$250=$B78)*ISNUMBER(INDEX(Inputs!$D$4:$AG$250,0,MATCH(J$2,Inputs!$D$2:$AG$2,0))))=0,"",SUMIFS(INDEX(Inputs!$D$4:$AG$250,0,MATCH(J$2,Inputs!$D$2:$AG$2,0)),Inputs!$B$4:$B$250,$B78)/1000)</f>
        <v>18.328</v>
      </c>
      <c r="K78" s="11">
        <f>IF(SUMPRODUCT((Inputs!$B$4:$B$250=$B78)*ISNUMBER(INDEX(Inputs!$D$4:$AG$250,0,MATCH(K$2,Inputs!$D$2:$AG$2,0))))=0,"",SUMIFS(INDEX(Inputs!$D$4:$AG$250,0,MATCH(K$2,Inputs!$D$2:$AG$2,0)),Inputs!$B$4:$B$250,$B78)/1000)</f>
        <v>8.04</v>
      </c>
      <c r="L78" s="11">
        <f>IF(SUMPRODUCT((Inputs!$B$4:$B$250=$B78)*ISNUMBER(INDEX(Inputs!$D$4:$AG$250,0,MATCH(L$2,Inputs!$D$2:$AG$2,0))))=0,"",SUMIFS(INDEX(Inputs!$D$4:$AG$250,0,MATCH(L$2,Inputs!$D$2:$AG$2,0)),Inputs!$B$4:$B$250,$B78)/1000)</f>
        <v>11.115</v>
      </c>
      <c r="M78" s="12">
        <f>IF(COUNT(I78:L78)=4,SUM(I78:L78),"")</f>
        <v>52.664</v>
      </c>
      <c r="N78" s="11">
        <f>IF(SUMPRODUCT((Inputs!$B$4:$B$250=$B78)*ISNUMBER(INDEX(Inputs!$D$4:$AG$250,0,MATCH(N$2,Inputs!$D$2:$AG$2,0))))=0,"",SUMIFS(INDEX(Inputs!$D$4:$AG$250,0,MATCH(N$2,Inputs!$D$2:$AG$2,0)),Inputs!$B$4:$B$250,$B78)/1000)</f>
        <v>15.039</v>
      </c>
      <c r="O78" s="11">
        <f>IF(SUMPRODUCT((Inputs!$B$4:$B$250=$B78)*ISNUMBER(INDEX(Inputs!$D$4:$AG$250,0,MATCH(O$2,Inputs!$D$2:$AG$2,0))))=0,"",SUMIFS(INDEX(Inputs!$D$4:$AG$250,0,MATCH(O$2,Inputs!$D$2:$AG$2,0)),Inputs!$B$4:$B$250,$B78)/1000)</f>
        <v>14.066</v>
      </c>
      <c r="P78" s="11">
        <f>IF(SUMPRODUCT((Inputs!$B$4:$B$250=$B78)*ISNUMBER(INDEX(Inputs!$D$4:$AG$250,0,MATCH(P$2,Inputs!$D$2:$AG$2,0))))=0,"",SUMIFS(INDEX(Inputs!$D$4:$AG$250,0,MATCH(P$2,Inputs!$D$2:$AG$2,0)),Inputs!$B$4:$B$250,$B78)/1000)</f>
        <v>10.166</v>
      </c>
      <c r="Q78" s="11">
        <f>IF(SUMPRODUCT((Inputs!$B$4:$B$250=$B78)*ISNUMBER(INDEX(Inputs!$D$4:$AG$250,0,MATCH(Q$2,Inputs!$D$2:$AG$2,0))))=0,"",SUMIFS(INDEX(Inputs!$D$4:$AG$250,0,MATCH(Q$2,Inputs!$D$2:$AG$2,0)),Inputs!$B$4:$B$250,$B78)/1000)</f>
        <v>11.719</v>
      </c>
      <c r="R78" s="12">
        <f>IF(COUNT(N78:Q78)=4,SUM(N78:Q78),"")</f>
        <v>50.99</v>
      </c>
      <c r="S78" s="11">
        <f>IF(SUMPRODUCT((Inputs!$B$4:$B$250=$B78)*ISNUMBER(INDEX(Inputs!$D$4:$AG$250,0,MATCH(S$2,Inputs!$D$2:$AG$2,0))))=0,"",SUMIFS(INDEX(Inputs!$D$4:$AG$250,0,MATCH(S$2,Inputs!$D$2:$AG$2,0)),Inputs!$B$4:$B$250,$B78)/1000)</f>
        <v>15.015</v>
      </c>
      <c r="T78" s="11">
        <f>IF(SUMPRODUCT((Inputs!$B$4:$B$250=$B78)*ISNUMBER(INDEX(Inputs!$D$4:$AG$250,0,MATCH(T$2,Inputs!$D$2:$AG$2,0))))=0,"",SUMIFS(INDEX(Inputs!$D$4:$AG$250,0,MATCH(T$2,Inputs!$D$2:$AG$2,0)),Inputs!$B$4:$B$250,$B78)/1000)</f>
        <v>12.771</v>
      </c>
      <c r="U78" s="11">
        <f>IF(SUMPRODUCT((Inputs!$B$4:$B$250=$B78)*ISNUMBER(INDEX(Inputs!$D$4:$AG$250,0,MATCH(U$2,Inputs!$D$2:$AG$2,0))))=0,"",SUMIFS(INDEX(Inputs!$D$4:$AG$250,0,MATCH(U$2,Inputs!$D$2:$AG$2,0)),Inputs!$B$4:$B$250,$B78)/1000)</f>
        <v>11.358</v>
      </c>
      <c r="V78" s="11">
        <f>IF(SUMPRODUCT((Inputs!$B$4:$B$250=$B78)*ISNUMBER(INDEX(Inputs!$D$4:$AG$250,0,MATCH(V$2,Inputs!$D$2:$AG$2,0))))=0,"",SUMIFS(INDEX(Inputs!$D$4:$AG$250,0,MATCH(V$2,Inputs!$D$2:$AG$2,0)),Inputs!$B$4:$B$250,$B78)/1000)</f>
        <v>13.967</v>
      </c>
      <c r="W78" s="12">
        <f>IF(COUNT(S78:V78)=4,SUM(S78:V78),"")</f>
        <v>53.111</v>
      </c>
      <c r="X78" s="11">
        <f>IF(SUMPRODUCT((Inputs!$B$4:$B$250=$B78)*ISNUMBER(INDEX(Inputs!$D$4:$AG$250,0,MATCH(X$2,Inputs!$D$2:$AG$2,0))))=0,"",SUMIFS(INDEX(Inputs!$D$4:$AG$250,0,MATCH(X$2,Inputs!$D$2:$AG$2,0)),Inputs!$B$4:$B$250,$B78)/1000)</f>
        <v>16.087</v>
      </c>
      <c r="Y78" s="11">
        <f>IF(SUMPRODUCT((Inputs!$B$4:$B$250=$B78)*ISNUMBER(INDEX(Inputs!$D$4:$AG$250,0,MATCH(Y$2,Inputs!$D$2:$AG$2,0))))=0,"",SUMIFS(INDEX(Inputs!$D$4:$AG$250,0,MATCH(Y$2,Inputs!$D$2:$AG$2,0)),Inputs!$B$4:$B$250,$B78)/1000)</f>
        <v>14.092</v>
      </c>
      <c r="Z78" s="11">
        <f>IF(SUMPRODUCT((Inputs!$B$4:$B$250=$B78)*ISNUMBER(INDEX(Inputs!$D$4:$AG$250,0,MATCH(Z$2,Inputs!$D$2:$AG$2,0))))=0,"",SUMIFS(INDEX(Inputs!$D$4:$AG$250,0,MATCH(Z$2,Inputs!$D$2:$AG$2,0)),Inputs!$B$4:$B$250,$B78)/1000)</f>
        <v>11.27</v>
      </c>
      <c r="AA78" s="11">
        <f>IF(SUMPRODUCT((Inputs!$B$4:$B$250=$B78)*ISNUMBER(INDEX(Inputs!$D$4:$AG$250,0,MATCH(AA$2,Inputs!$D$2:$AG$2,0))))=0,"",SUMIFS(INDEX(Inputs!$D$4:$AG$250,0,MATCH(AA$2,Inputs!$D$2:$AG$2,0)),Inputs!$B$4:$B$250,$B78)/1000)</f>
        <v>12.478</v>
      </c>
      <c r="AB78" s="12">
        <f>IF(COUNT(X78:AA78)=4,SUM(X78:AA78),"")</f>
        <v>53.927</v>
      </c>
      <c r="AC78" s="11">
        <f>IF(SUMPRODUCT((Inputs!$B$4:$B$250=$B78)*ISNUMBER(INDEX(Inputs!$D$4:$AG$250,0,MATCH(AC$2,Inputs!$D$2:$AG$2,0))))=0,"",SUMIFS(INDEX(Inputs!$D$4:$AG$250,0,MATCH(AC$2,Inputs!$D$2:$AG$2,0)),Inputs!$B$4:$B$250,$B78)/1000)</f>
        <v>14.591</v>
      </c>
      <c r="AD78" s="11">
        <f>IF(SUMPRODUCT((Inputs!$B$4:$B$250=$B78)*ISNUMBER(INDEX(Inputs!$D$4:$AG$250,0,MATCH(AD$2,Inputs!$D$2:$AG$2,0))))=0,"",SUMIFS(INDEX(Inputs!$D$4:$AG$250,0,MATCH(AD$2,Inputs!$D$2:$AG$2,0)),Inputs!$B$4:$B$250,$B78)/1000)</f>
        <v>17.419</v>
      </c>
      <c r="AE78" s="11" t="str">
        <f>IF(SUMPRODUCT((Inputs!$B$4:$B$250=$B78)*ISNUMBER(INDEX(Inputs!$D$4:$AG$250,0,MATCH(AE$2,Inputs!$D$2:$AG$2,0))))=0,"",SUMIFS(INDEX(Inputs!$D$4:$AG$250,0,MATCH(AE$2,Inputs!$D$2:$AG$2,0)),Inputs!$B$4:$B$250,$B78)/1000)</f>
        <v/>
      </c>
      <c r="AF78" s="11" t="str">
        <f>IF(SUMPRODUCT((Inputs!$B$4:$B$250=$B78)*ISNUMBER(INDEX(Inputs!$D$4:$AG$250,0,MATCH(AF$2,Inputs!$D$2:$AG$2,0))))=0,"",SUMIFS(INDEX(Inputs!$D$4:$AG$250,0,MATCH(AF$2,Inputs!$D$2:$AG$2,0)),Inputs!$B$4:$B$250,$B78)/1000)</f>
        <v/>
      </c>
      <c r="AG78" s="12" t="str">
        <f>IF(COUNT(AC78:AF78)=4,SUM(AC78:AF78),"")</f>
        <v/>
      </c>
    </row>
    <row r="79">
      <c r="B79" s="9" t="n">
        <v>71</v>
      </c>
      <c r="C79" s="10" t="inlineStr">
        <is>
          <t>Transmissao | TCC</t>
        </is>
      </c>
      <c r="D79" s="11">
        <f>IF(SUMPRODUCT((Inputs!$B$4:$B$250=$B79)*ISNUMBER(INDEX(Inputs!$D$4:$AG$250,0,MATCH(D$2,Inputs!$D$2:$AG$2,0))))=0,"",SUMIFS(INDEX(Inputs!$D$4:$AG$250,0,MATCH(D$2,Inputs!$D$2:$AG$2,0)),Inputs!$B$4:$B$250,$B79)/1000)</f>
        <v>402.043</v>
      </c>
      <c r="E79" s="11">
        <f>IF(SUMPRODUCT((Inputs!$B$4:$B$250=$B79)*ISNUMBER(INDEX(Inputs!$D$4:$AG$250,0,MATCH(E$2,Inputs!$D$2:$AG$2,0))))=0,"",SUMIFS(INDEX(Inputs!$D$4:$AG$250,0,MATCH(E$2,Inputs!$D$2:$AG$2,0)),Inputs!$B$4:$B$250,$B79)/1000)</f>
        <v>90.586</v>
      </c>
      <c r="F79" s="11">
        <f>IF(SUMPRODUCT((Inputs!$B$4:$B$250=$B79)*ISNUMBER(INDEX(Inputs!$D$4:$AG$250,0,MATCH(F$2,Inputs!$D$2:$AG$2,0))))=0,"",SUMIFS(INDEX(Inputs!$D$4:$AG$250,0,MATCH(F$2,Inputs!$D$2:$AG$2,0)),Inputs!$B$4:$B$250,$B79)/1000)</f>
        <v>76.026</v>
      </c>
      <c r="G79" s="11">
        <f>IF(SUMPRODUCT((Inputs!$B$4:$B$250=$B79)*ISNUMBER(INDEX(Inputs!$D$4:$AG$250,0,MATCH(G$2,Inputs!$D$2:$AG$2,0))))=0,"",SUMIFS(INDEX(Inputs!$D$4:$AG$250,0,MATCH(G$2,Inputs!$D$2:$AG$2,0)),Inputs!$B$4:$B$250,$B79)/1000)</f>
        <v>94.017</v>
      </c>
      <c r="H79" s="12">
        <f>IF(COUNT(D79:G79)=4,SUM(D79:G79),"")</f>
        <v>662.672</v>
      </c>
      <c r="I79" s="11">
        <f>IF(SUMPRODUCT((Inputs!$B$4:$B$250=$B79)*ISNUMBER(INDEX(Inputs!$D$4:$AG$250,0,MATCH(I$2,Inputs!$D$2:$AG$2,0))))=0,"",SUMIFS(INDEX(Inputs!$D$4:$AG$250,0,MATCH(I$2,Inputs!$D$2:$AG$2,0)),Inputs!$B$4:$B$250,$B79)/1000)</f>
        <v>79.901</v>
      </c>
      <c r="J79" s="11">
        <f>IF(SUMPRODUCT((Inputs!$B$4:$B$250=$B79)*ISNUMBER(INDEX(Inputs!$D$4:$AG$250,0,MATCH(J$2,Inputs!$D$2:$AG$2,0))))=0,"",SUMIFS(INDEX(Inputs!$D$4:$AG$250,0,MATCH(J$2,Inputs!$D$2:$AG$2,0)),Inputs!$B$4:$B$250,$B79)/1000)</f>
        <v>97.828</v>
      </c>
      <c r="K79" s="11">
        <f>IF(SUMPRODUCT((Inputs!$B$4:$B$250=$B79)*ISNUMBER(INDEX(Inputs!$D$4:$AG$250,0,MATCH(K$2,Inputs!$D$2:$AG$2,0))))=0,"",SUMIFS(INDEX(Inputs!$D$4:$AG$250,0,MATCH(K$2,Inputs!$D$2:$AG$2,0)),Inputs!$B$4:$B$250,$B79)/1000)</f>
        <v>36.629</v>
      </c>
      <c r="L79" s="11">
        <f>IF(SUMPRODUCT((Inputs!$B$4:$B$250=$B79)*ISNUMBER(INDEX(Inputs!$D$4:$AG$250,0,MATCH(L$2,Inputs!$D$2:$AG$2,0))))=0,"",SUMIFS(INDEX(Inputs!$D$4:$AG$250,0,MATCH(L$2,Inputs!$D$2:$AG$2,0)),Inputs!$B$4:$B$250,$B79)/1000)</f>
        <v>54.471</v>
      </c>
      <c r="M79" s="12">
        <f>IF(COUNT(I79:L79)=4,SUM(I79:L79),"")</f>
        <v>268.829</v>
      </c>
      <c r="N79" s="11">
        <f>IF(SUMPRODUCT((Inputs!$B$4:$B$250=$B79)*ISNUMBER(INDEX(Inputs!$D$4:$AG$250,0,MATCH(N$2,Inputs!$D$2:$AG$2,0))))=0,"",SUMIFS(INDEX(Inputs!$D$4:$AG$250,0,MATCH(N$2,Inputs!$D$2:$AG$2,0)),Inputs!$B$4:$B$250,$B79)/1000)</f>
        <v>76.929</v>
      </c>
      <c r="O79" s="11">
        <f>IF(SUMPRODUCT((Inputs!$B$4:$B$250=$B79)*ISNUMBER(INDEX(Inputs!$D$4:$AG$250,0,MATCH(O$2,Inputs!$D$2:$AG$2,0))))=0,"",SUMIFS(INDEX(Inputs!$D$4:$AG$250,0,MATCH(O$2,Inputs!$D$2:$AG$2,0)),Inputs!$B$4:$B$250,$B79)/1000)</f>
        <v>71.15</v>
      </c>
      <c r="P79" s="11">
        <f>IF(SUMPRODUCT((Inputs!$B$4:$B$250=$B79)*ISNUMBER(INDEX(Inputs!$D$4:$AG$250,0,MATCH(P$2,Inputs!$D$2:$AG$2,0))))=0,"",SUMIFS(INDEX(Inputs!$D$4:$AG$250,0,MATCH(P$2,Inputs!$D$2:$AG$2,0)),Inputs!$B$4:$B$250,$B79)/1000)</f>
        <v>48.567</v>
      </c>
      <c r="Q79" s="11">
        <f>IF(SUMPRODUCT((Inputs!$B$4:$B$250=$B79)*ISNUMBER(INDEX(Inputs!$D$4:$AG$250,0,MATCH(Q$2,Inputs!$D$2:$AG$2,0))))=0,"",SUMIFS(INDEX(Inputs!$D$4:$AG$250,0,MATCH(Q$2,Inputs!$D$2:$AG$2,0)),Inputs!$B$4:$B$250,$B79)/1000)</f>
        <v>57.24</v>
      </c>
      <c r="R79" s="12">
        <f>IF(COUNT(N79:Q79)=4,SUM(N79:Q79),"")</f>
        <v>253.886</v>
      </c>
      <c r="S79" s="11">
        <f>IF(SUMPRODUCT((Inputs!$B$4:$B$250=$B79)*ISNUMBER(INDEX(Inputs!$D$4:$AG$250,0,MATCH(S$2,Inputs!$D$2:$AG$2,0))))=0,"",SUMIFS(INDEX(Inputs!$D$4:$AG$250,0,MATCH(S$2,Inputs!$D$2:$AG$2,0)),Inputs!$B$4:$B$250,$B79)/1000)</f>
        <v>76.335</v>
      </c>
      <c r="T79" s="11">
        <f>IF(SUMPRODUCT((Inputs!$B$4:$B$250=$B79)*ISNUMBER(INDEX(Inputs!$D$4:$AG$250,0,MATCH(T$2,Inputs!$D$2:$AG$2,0))))=0,"",SUMIFS(INDEX(Inputs!$D$4:$AG$250,0,MATCH(T$2,Inputs!$D$2:$AG$2,0)),Inputs!$B$4:$B$250,$B79)/1000)</f>
        <v>62.868</v>
      </c>
      <c r="U79" s="11">
        <f>IF(SUMPRODUCT((Inputs!$B$4:$B$250=$B79)*ISNUMBER(INDEX(Inputs!$D$4:$AG$250,0,MATCH(U$2,Inputs!$D$2:$AG$2,0))))=0,"",SUMIFS(INDEX(Inputs!$D$4:$AG$250,0,MATCH(U$2,Inputs!$D$2:$AG$2,0)),Inputs!$B$4:$B$250,$B79)/1000)</f>
        <v>54.841</v>
      </c>
      <c r="V79" s="11">
        <f>IF(SUMPRODUCT((Inputs!$B$4:$B$250=$B79)*ISNUMBER(INDEX(Inputs!$D$4:$AG$250,0,MATCH(V$2,Inputs!$D$2:$AG$2,0))))=0,"",SUMIFS(INDEX(Inputs!$D$4:$AG$250,0,MATCH(V$2,Inputs!$D$2:$AG$2,0)),Inputs!$B$4:$B$250,$B79)/1000)</f>
        <v>69.307</v>
      </c>
      <c r="W79" s="12">
        <f>IF(COUNT(S79:V79)=4,SUM(S79:V79),"")</f>
        <v>263.351</v>
      </c>
      <c r="X79" s="11">
        <f>IF(SUMPRODUCT((Inputs!$B$4:$B$250=$B79)*ISNUMBER(INDEX(Inputs!$D$4:$AG$250,0,MATCH(X$2,Inputs!$D$2:$AG$2,0))))=0,"",SUMIFS(INDEX(Inputs!$D$4:$AG$250,0,MATCH(X$2,Inputs!$D$2:$AG$2,0)),Inputs!$B$4:$B$250,$B79)/1000)</f>
        <v>82.13</v>
      </c>
      <c r="Y79" s="11">
        <f>IF(SUMPRODUCT((Inputs!$B$4:$B$250=$B79)*ISNUMBER(INDEX(Inputs!$D$4:$AG$250,0,MATCH(Y$2,Inputs!$D$2:$AG$2,0))))=0,"",SUMIFS(INDEX(Inputs!$D$4:$AG$250,0,MATCH(Y$2,Inputs!$D$2:$AG$2,0)),Inputs!$B$4:$B$250,$B79)/1000)</f>
        <v>69.951</v>
      </c>
      <c r="Z79" s="11">
        <f>IF(SUMPRODUCT((Inputs!$B$4:$B$250=$B79)*ISNUMBER(INDEX(Inputs!$D$4:$AG$250,0,MATCH(Z$2,Inputs!$D$2:$AG$2,0))))=0,"",SUMIFS(INDEX(Inputs!$D$4:$AG$250,0,MATCH(Z$2,Inputs!$D$2:$AG$2,0)),Inputs!$B$4:$B$250,$B79)/1000)</f>
        <v>54</v>
      </c>
      <c r="AA79" s="11">
        <f>IF(SUMPRODUCT((Inputs!$B$4:$B$250=$B79)*ISNUMBER(INDEX(Inputs!$D$4:$AG$250,0,MATCH(AA$2,Inputs!$D$2:$AG$2,0))))=0,"",SUMIFS(INDEX(Inputs!$D$4:$AG$250,0,MATCH(AA$2,Inputs!$D$2:$AG$2,0)),Inputs!$B$4:$B$250,$B79)/1000)</f>
        <v>60.687</v>
      </c>
      <c r="AB79" s="12">
        <f>IF(COUNT(X79:AA79)=4,SUM(X79:AA79),"")</f>
        <v>266.768</v>
      </c>
      <c r="AC79" s="11">
        <f>IF(SUMPRODUCT((Inputs!$B$4:$B$250=$B79)*ISNUMBER(INDEX(Inputs!$D$4:$AG$250,0,MATCH(AC$2,Inputs!$D$2:$AG$2,0))))=0,"",SUMIFS(INDEX(Inputs!$D$4:$AG$250,0,MATCH(AC$2,Inputs!$D$2:$AG$2,0)),Inputs!$B$4:$B$250,$B79)/1000)</f>
        <v>72.656</v>
      </c>
      <c r="AD79" s="11">
        <f>IF(SUMPRODUCT((Inputs!$B$4:$B$250=$B79)*ISNUMBER(INDEX(Inputs!$D$4:$AG$250,0,MATCH(AD$2,Inputs!$D$2:$AG$2,0))))=0,"",SUMIFS(INDEX(Inputs!$D$4:$AG$250,0,MATCH(AD$2,Inputs!$D$2:$AG$2,0)),Inputs!$B$4:$B$250,$B79)/1000)</f>
        <v>88.941</v>
      </c>
      <c r="AE79" s="11" t="str">
        <f>IF(SUMPRODUCT((Inputs!$B$4:$B$250=$B79)*ISNUMBER(INDEX(Inputs!$D$4:$AG$250,0,MATCH(AE$2,Inputs!$D$2:$AG$2,0))))=0,"",SUMIFS(INDEX(Inputs!$D$4:$AG$250,0,MATCH(AE$2,Inputs!$D$2:$AG$2,0)),Inputs!$B$4:$B$250,$B79)/1000)</f>
        <v/>
      </c>
      <c r="AF79" s="11" t="str">
        <f>IF(SUMPRODUCT((Inputs!$B$4:$B$250=$B79)*ISNUMBER(INDEX(Inputs!$D$4:$AG$250,0,MATCH(AF$2,Inputs!$D$2:$AG$2,0))))=0,"",SUMIFS(INDEX(Inputs!$D$4:$AG$250,0,MATCH(AF$2,Inputs!$D$2:$AG$2,0)),Inputs!$B$4:$B$250,$B79)/1000)</f>
        <v/>
      </c>
      <c r="AG79" s="12" t="str">
        <f>IF(COUNT(AC79:AF79)=4,SUM(AC79:AF79),"")</f>
        <v/>
      </c>
    </row>
    <row r="80">
      <c r="B80" s="9" t="n">
        <v>72</v>
      </c>
      <c r="C80" s="10" t="inlineStr">
        <is>
          <t>Transmissao | ESTE</t>
        </is>
      </c>
      <c r="D80" s="11">
        <f>IF(SUMPRODUCT((Inputs!$B$4:$B$250=$B80)*ISNUMBER(INDEX(Inputs!$D$4:$AG$250,0,MATCH(D$2,Inputs!$D$2:$AG$2,0))))=0,"",SUMIFS(INDEX(Inputs!$D$4:$AG$250,0,MATCH(D$2,Inputs!$D$2:$AG$2,0)),Inputs!$B$4:$B$250,$B80)/1000)</f>
        <v>146.612</v>
      </c>
      <c r="E80" s="11">
        <f>IF(SUMPRODUCT((Inputs!$B$4:$B$250=$B80)*ISNUMBER(INDEX(Inputs!$D$4:$AG$250,0,MATCH(E$2,Inputs!$D$2:$AG$2,0))))=0,"",SUMIFS(INDEX(Inputs!$D$4:$AG$250,0,MATCH(E$2,Inputs!$D$2:$AG$2,0)),Inputs!$B$4:$B$250,$B80)/1000)</f>
        <v>163.481</v>
      </c>
      <c r="F80" s="11">
        <f>IF(SUMPRODUCT((Inputs!$B$4:$B$250=$B80)*ISNUMBER(INDEX(Inputs!$D$4:$AG$250,0,MATCH(F$2,Inputs!$D$2:$AG$2,0))))=0,"",SUMIFS(INDEX(Inputs!$D$4:$AG$250,0,MATCH(F$2,Inputs!$D$2:$AG$2,0)),Inputs!$B$4:$B$250,$B80)/1000)</f>
        <v>145.105</v>
      </c>
      <c r="G80" s="11">
        <f>IF(SUMPRODUCT((Inputs!$B$4:$B$250=$B80)*ISNUMBER(INDEX(Inputs!$D$4:$AG$250,0,MATCH(G$2,Inputs!$D$2:$AG$2,0))))=0,"",SUMIFS(INDEX(Inputs!$D$4:$AG$250,0,MATCH(G$2,Inputs!$D$2:$AG$2,0)),Inputs!$B$4:$B$250,$B80)/1000)</f>
        <v>21.244</v>
      </c>
      <c r="H80" s="12">
        <f>IF(COUNT(D80:G80)=4,SUM(D80:G80),"")</f>
        <v>476.442</v>
      </c>
      <c r="I80" s="11">
        <f>IF(SUMPRODUCT((Inputs!$B$4:$B$250=$B80)*ISNUMBER(INDEX(Inputs!$D$4:$AG$250,0,MATCH(I$2,Inputs!$D$2:$AG$2,0))))=0,"",SUMIFS(INDEX(Inputs!$D$4:$AG$250,0,MATCH(I$2,Inputs!$D$2:$AG$2,0)),Inputs!$B$4:$B$250,$B80)/1000)</f>
        <v>250.784</v>
      </c>
      <c r="J80" s="11">
        <f>IF(SUMPRODUCT((Inputs!$B$4:$B$250=$B80)*ISNUMBER(INDEX(Inputs!$D$4:$AG$250,0,MATCH(J$2,Inputs!$D$2:$AG$2,0))))=0,"",SUMIFS(INDEX(Inputs!$D$4:$AG$250,0,MATCH(J$2,Inputs!$D$2:$AG$2,0)),Inputs!$B$4:$B$250,$B80)/1000)</f>
        <v>67.122</v>
      </c>
      <c r="K80" s="11">
        <f>IF(SUMPRODUCT((Inputs!$B$4:$B$250=$B80)*ISNUMBER(INDEX(Inputs!$D$4:$AG$250,0,MATCH(K$2,Inputs!$D$2:$AG$2,0))))=0,"",SUMIFS(INDEX(Inputs!$D$4:$AG$250,0,MATCH(K$2,Inputs!$D$2:$AG$2,0)),Inputs!$B$4:$B$250,$B80)/1000)</f>
        <v>24.899</v>
      </c>
      <c r="L80" s="11">
        <f>IF(SUMPRODUCT((Inputs!$B$4:$B$250=$B80)*ISNUMBER(INDEX(Inputs!$D$4:$AG$250,0,MATCH(L$2,Inputs!$D$2:$AG$2,0))))=0,"",SUMIFS(INDEX(Inputs!$D$4:$AG$250,0,MATCH(L$2,Inputs!$D$2:$AG$2,0)),Inputs!$B$4:$B$250,$B80)/1000)</f>
        <v>63.86</v>
      </c>
      <c r="M80" s="12">
        <f>IF(COUNT(I80:L80)=4,SUM(I80:L80),"")</f>
        <v>406.665</v>
      </c>
      <c r="N80" s="11">
        <f>IF(SUMPRODUCT((Inputs!$B$4:$B$250=$B80)*ISNUMBER(INDEX(Inputs!$D$4:$AG$250,0,MATCH(N$2,Inputs!$D$2:$AG$2,0))))=0,"",SUMIFS(INDEX(Inputs!$D$4:$AG$250,0,MATCH(N$2,Inputs!$D$2:$AG$2,0)),Inputs!$B$4:$B$250,$B80)/1000)</f>
        <v>53.342</v>
      </c>
      <c r="O80" s="11">
        <f>IF(SUMPRODUCT((Inputs!$B$4:$B$250=$B80)*ISNUMBER(INDEX(Inputs!$D$4:$AG$250,0,MATCH(O$2,Inputs!$D$2:$AG$2,0))))=0,"",SUMIFS(INDEX(Inputs!$D$4:$AG$250,0,MATCH(O$2,Inputs!$D$2:$AG$2,0)),Inputs!$B$4:$B$250,$B80)/1000)</f>
        <v>49.181</v>
      </c>
      <c r="P80" s="11">
        <f>IF(SUMPRODUCT((Inputs!$B$4:$B$250=$B80)*ISNUMBER(INDEX(Inputs!$D$4:$AG$250,0,MATCH(P$2,Inputs!$D$2:$AG$2,0))))=0,"",SUMIFS(INDEX(Inputs!$D$4:$AG$250,0,MATCH(P$2,Inputs!$D$2:$AG$2,0)),Inputs!$B$4:$B$250,$B80)/1000)</f>
        <v>33.948</v>
      </c>
      <c r="Q80" s="11">
        <f>IF(SUMPRODUCT((Inputs!$B$4:$B$250=$B80)*ISNUMBER(INDEX(Inputs!$D$4:$AG$250,0,MATCH(Q$2,Inputs!$D$2:$AG$2,0))))=0,"",SUMIFS(INDEX(Inputs!$D$4:$AG$250,0,MATCH(Q$2,Inputs!$D$2:$AG$2,0)),Inputs!$B$4:$B$250,$B80)/1000)</f>
        <v>40.03</v>
      </c>
      <c r="R80" s="12">
        <f>IF(COUNT(N80:Q80)=4,SUM(N80:Q80),"")</f>
        <v>176.501</v>
      </c>
      <c r="S80" s="11">
        <f>IF(SUMPRODUCT((Inputs!$B$4:$B$250=$B80)*ISNUMBER(INDEX(Inputs!$D$4:$AG$250,0,MATCH(S$2,Inputs!$D$2:$AG$2,0))))=0,"",SUMIFS(INDEX(Inputs!$D$4:$AG$250,0,MATCH(S$2,Inputs!$D$2:$AG$2,0)),Inputs!$B$4:$B$250,$B80)/1000)</f>
        <v>52.969</v>
      </c>
      <c r="T80" s="11">
        <f>IF(SUMPRODUCT((Inputs!$B$4:$B$250=$B80)*ISNUMBER(INDEX(Inputs!$D$4:$AG$250,0,MATCH(T$2,Inputs!$D$2:$AG$2,0))))=0,"",SUMIFS(INDEX(Inputs!$D$4:$AG$250,0,MATCH(T$2,Inputs!$D$2:$AG$2,0)),Inputs!$B$4:$B$250,$B80)/1000)</f>
        <v>43.964</v>
      </c>
      <c r="U80" s="11">
        <f>IF(SUMPRODUCT((Inputs!$B$4:$B$250=$B80)*ISNUMBER(INDEX(Inputs!$D$4:$AG$250,0,MATCH(U$2,Inputs!$D$2:$AG$2,0))))=0,"",SUMIFS(INDEX(Inputs!$D$4:$AG$250,0,MATCH(U$2,Inputs!$D$2:$AG$2,0)),Inputs!$B$4:$B$250,$B80)/1000)</f>
        <v>37.722</v>
      </c>
      <c r="V80" s="11">
        <f>IF(SUMPRODUCT((Inputs!$B$4:$B$250=$B80)*ISNUMBER(INDEX(Inputs!$D$4:$AG$250,0,MATCH(V$2,Inputs!$D$2:$AG$2,0))))=0,"",SUMIFS(INDEX(Inputs!$D$4:$AG$250,0,MATCH(V$2,Inputs!$D$2:$AG$2,0)),Inputs!$B$4:$B$250,$B80)/1000)</f>
        <v>48.386</v>
      </c>
      <c r="W80" s="12">
        <f>IF(COUNT(S80:V80)=4,SUM(S80:V80),"")</f>
        <v>183.041</v>
      </c>
      <c r="X80" s="11">
        <f>IF(SUMPRODUCT((Inputs!$B$4:$B$250=$B80)*ISNUMBER(INDEX(Inputs!$D$4:$AG$250,0,MATCH(X$2,Inputs!$D$2:$AG$2,0))))=0,"",SUMIFS(INDEX(Inputs!$D$4:$AG$250,0,MATCH(X$2,Inputs!$D$2:$AG$2,0)),Inputs!$B$4:$B$250,$B80)/1000)</f>
        <v>56.8</v>
      </c>
      <c r="Y80" s="11">
        <f>IF(SUMPRODUCT((Inputs!$B$4:$B$250=$B80)*ISNUMBER(INDEX(Inputs!$D$4:$AG$250,0,MATCH(Y$2,Inputs!$D$2:$AG$2,0))))=0,"",SUMIFS(INDEX(Inputs!$D$4:$AG$250,0,MATCH(Y$2,Inputs!$D$2:$AG$2,0)),Inputs!$B$4:$B$250,$B80)/1000)</f>
        <v>48.453</v>
      </c>
      <c r="Z80" s="11">
        <f>IF(SUMPRODUCT((Inputs!$B$4:$B$250=$B80)*ISNUMBER(INDEX(Inputs!$D$4:$AG$250,0,MATCH(Z$2,Inputs!$D$2:$AG$2,0))))=0,"",SUMIFS(INDEX(Inputs!$D$4:$AG$250,0,MATCH(Z$2,Inputs!$D$2:$AG$2,0)),Inputs!$B$4:$B$250,$B80)/1000)</f>
        <v>37.351</v>
      </c>
      <c r="AA80" s="11">
        <f>IF(SUMPRODUCT((Inputs!$B$4:$B$250=$B80)*ISNUMBER(INDEX(Inputs!$D$4:$AG$250,0,MATCH(AA$2,Inputs!$D$2:$AG$2,0))))=0,"",SUMIFS(INDEX(Inputs!$D$4:$AG$250,0,MATCH(AA$2,Inputs!$D$2:$AG$2,0)),Inputs!$B$4:$B$250,$B80)/1000)</f>
        <v>41.421</v>
      </c>
      <c r="AB80" s="12">
        <f>IF(COUNT(X80:AA80)=4,SUM(X80:AA80),"")</f>
        <v>184.025</v>
      </c>
      <c r="AC80" s="11">
        <f>IF(SUMPRODUCT((Inputs!$B$4:$B$250=$B80)*ISNUMBER(INDEX(Inputs!$D$4:$AG$250,0,MATCH(AC$2,Inputs!$D$2:$AG$2,0))))=0,"",SUMIFS(INDEX(Inputs!$D$4:$AG$250,0,MATCH(AC$2,Inputs!$D$2:$AG$2,0)),Inputs!$B$4:$B$250,$B80)/1000)</f>
        <v>50.266</v>
      </c>
      <c r="AD80" s="11">
        <f>IF(SUMPRODUCT((Inputs!$B$4:$B$250=$B80)*ISNUMBER(INDEX(Inputs!$D$4:$AG$250,0,MATCH(AD$2,Inputs!$D$2:$AG$2,0))))=0,"",SUMIFS(INDEX(Inputs!$D$4:$AG$250,0,MATCH(AD$2,Inputs!$D$2:$AG$2,0)),Inputs!$B$4:$B$250,$B80)/1000)</f>
        <v>61.497</v>
      </c>
      <c r="AE80" s="11" t="str">
        <f>IF(SUMPRODUCT((Inputs!$B$4:$B$250=$B80)*ISNUMBER(INDEX(Inputs!$D$4:$AG$250,0,MATCH(AE$2,Inputs!$D$2:$AG$2,0))))=0,"",SUMIFS(INDEX(Inputs!$D$4:$AG$250,0,MATCH(AE$2,Inputs!$D$2:$AG$2,0)),Inputs!$B$4:$B$250,$B80)/1000)</f>
        <v/>
      </c>
      <c r="AF80" s="11" t="str">
        <f>IF(SUMPRODUCT((Inputs!$B$4:$B$250=$B80)*ISNUMBER(INDEX(Inputs!$D$4:$AG$250,0,MATCH(AF$2,Inputs!$D$2:$AG$2,0))))=0,"",SUMIFS(INDEX(Inputs!$D$4:$AG$250,0,MATCH(AF$2,Inputs!$D$2:$AG$2,0)),Inputs!$B$4:$B$250,$B80)/1000)</f>
        <v/>
      </c>
      <c r="AG80" s="12" t="str">
        <f>IF(COUNT(AC80:AF80)=4,SUM(AC80:AF80),"")</f>
        <v/>
      </c>
    </row>
    <row r="81">
      <c r="B81" s="9" t="n">
        <v>73</v>
      </c>
      <c r="C81" s="10" t="inlineStr">
        <is>
          <t>Transmissao | TCE</t>
        </is>
      </c>
      <c r="D81" s="11">
        <f>IF(SUMPRODUCT((Inputs!$B$4:$B$250=$B81)*ISNUMBER(INDEX(Inputs!$D$4:$AG$250,0,MATCH(D$2,Inputs!$D$2:$AG$2,0))))=0,"",SUMIFS(INDEX(Inputs!$D$4:$AG$250,0,MATCH(D$2,Inputs!$D$2:$AG$2,0)),Inputs!$B$4:$B$250,$B81)/1000)</f>
        <v>0</v>
      </c>
      <c r="E81" s="11">
        <f>IF(SUMPRODUCT((Inputs!$B$4:$B$250=$B81)*ISNUMBER(INDEX(Inputs!$D$4:$AG$250,0,MATCH(E$2,Inputs!$D$2:$AG$2,0))))=0,"",SUMIFS(INDEX(Inputs!$D$4:$AG$250,0,MATCH(E$2,Inputs!$D$2:$AG$2,0)),Inputs!$B$4:$B$250,$B81)/1000)</f>
        <v>0</v>
      </c>
      <c r="F81" s="11">
        <f>IF(SUMPRODUCT((Inputs!$B$4:$B$250=$B81)*ISNUMBER(INDEX(Inputs!$D$4:$AG$250,0,MATCH(F$2,Inputs!$D$2:$AG$2,0))))=0,"",SUMIFS(INDEX(Inputs!$D$4:$AG$250,0,MATCH(F$2,Inputs!$D$2:$AG$2,0)),Inputs!$B$4:$B$250,$B81)/1000)</f>
        <v>0</v>
      </c>
      <c r="G81" s="11">
        <f>IF(SUMPRODUCT((Inputs!$B$4:$B$250=$B81)*ISNUMBER(INDEX(Inputs!$D$4:$AG$250,0,MATCH(G$2,Inputs!$D$2:$AG$2,0))))=0,"",SUMIFS(INDEX(Inputs!$D$4:$AG$250,0,MATCH(G$2,Inputs!$D$2:$AG$2,0)),Inputs!$B$4:$B$250,$B81)/1000)</f>
        <v>0</v>
      </c>
      <c r="H81" s="12">
        <f>IF(COUNT(D81:G81)=4,SUM(D81:G81),"")</f>
        <v>0</v>
      </c>
      <c r="I81" s="11">
        <f>IF(SUMPRODUCT((Inputs!$B$4:$B$250=$B81)*ISNUMBER(INDEX(Inputs!$D$4:$AG$250,0,MATCH(I$2,Inputs!$D$2:$AG$2,0))))=0,"",SUMIFS(INDEX(Inputs!$D$4:$AG$250,0,MATCH(I$2,Inputs!$D$2:$AG$2,0)),Inputs!$B$4:$B$250,$B81)/1000)</f>
        <v>0</v>
      </c>
      <c r="J81" s="11">
        <f>IF(SUMPRODUCT((Inputs!$B$4:$B$250=$B81)*ISNUMBER(INDEX(Inputs!$D$4:$AG$250,0,MATCH(J$2,Inputs!$D$2:$AG$2,0))))=0,"",SUMIFS(INDEX(Inputs!$D$4:$AG$250,0,MATCH(J$2,Inputs!$D$2:$AG$2,0)),Inputs!$B$4:$B$250,$B81)/1000)</f>
        <v>0</v>
      </c>
      <c r="K81" s="11">
        <f>IF(SUMPRODUCT((Inputs!$B$4:$B$250=$B81)*ISNUMBER(INDEX(Inputs!$D$4:$AG$250,0,MATCH(K$2,Inputs!$D$2:$AG$2,0))))=0,"",SUMIFS(INDEX(Inputs!$D$4:$AG$250,0,MATCH(K$2,Inputs!$D$2:$AG$2,0)),Inputs!$B$4:$B$250,$B81)/1000)</f>
        <v>0</v>
      </c>
      <c r="L81" s="11">
        <f>IF(SUMPRODUCT((Inputs!$B$4:$B$250=$B81)*ISNUMBER(INDEX(Inputs!$D$4:$AG$250,0,MATCH(L$2,Inputs!$D$2:$AG$2,0))))=0,"",SUMIFS(INDEX(Inputs!$D$4:$AG$250,0,MATCH(L$2,Inputs!$D$2:$AG$2,0)),Inputs!$B$4:$B$250,$B81)/1000)</f>
        <v>0</v>
      </c>
      <c r="M81" s="12">
        <f>IF(COUNT(I81:L81)=4,SUM(I81:L81),"")</f>
        <v>0</v>
      </c>
      <c r="N81" s="11">
        <f>IF(SUMPRODUCT((Inputs!$B$4:$B$250=$B81)*ISNUMBER(INDEX(Inputs!$D$4:$AG$250,0,MATCH(N$2,Inputs!$D$2:$AG$2,0))))=0,"",SUMIFS(INDEX(Inputs!$D$4:$AG$250,0,MATCH(N$2,Inputs!$D$2:$AG$2,0)),Inputs!$B$4:$B$250,$B81)/1000)</f>
        <v>0</v>
      </c>
      <c r="O81" s="11">
        <f>IF(SUMPRODUCT((Inputs!$B$4:$B$250=$B81)*ISNUMBER(INDEX(Inputs!$D$4:$AG$250,0,MATCH(O$2,Inputs!$D$2:$AG$2,0))))=0,"",SUMIFS(INDEX(Inputs!$D$4:$AG$250,0,MATCH(O$2,Inputs!$D$2:$AG$2,0)),Inputs!$B$4:$B$250,$B81)/1000)</f>
        <v>0</v>
      </c>
      <c r="P81" s="11">
        <f>IF(SUMPRODUCT((Inputs!$B$4:$B$250=$B81)*ISNUMBER(INDEX(Inputs!$D$4:$AG$250,0,MATCH(P$2,Inputs!$D$2:$AG$2,0))))=0,"",SUMIFS(INDEX(Inputs!$D$4:$AG$250,0,MATCH(P$2,Inputs!$D$2:$AG$2,0)),Inputs!$B$4:$B$250,$B81)/1000)</f>
        <v>0</v>
      </c>
      <c r="Q81" s="11">
        <f>IF(SUMPRODUCT((Inputs!$B$4:$B$250=$B81)*ISNUMBER(INDEX(Inputs!$D$4:$AG$250,0,MATCH(Q$2,Inputs!$D$2:$AG$2,0))))=0,"",SUMIFS(INDEX(Inputs!$D$4:$AG$250,0,MATCH(Q$2,Inputs!$D$2:$AG$2,0)),Inputs!$B$4:$B$250,$B81)/1000)</f>
        <v>0</v>
      </c>
      <c r="R81" s="12">
        <f>IF(COUNT(N81:Q81)=4,SUM(N81:Q81),"")</f>
        <v>0</v>
      </c>
      <c r="S81" s="11">
        <f>IF(SUMPRODUCT((Inputs!$B$4:$B$250=$B81)*ISNUMBER(INDEX(Inputs!$D$4:$AG$250,0,MATCH(S$2,Inputs!$D$2:$AG$2,0))))=0,"",SUMIFS(INDEX(Inputs!$D$4:$AG$250,0,MATCH(S$2,Inputs!$D$2:$AG$2,0)),Inputs!$B$4:$B$250,$B81)/1000)</f>
        <v>0</v>
      </c>
      <c r="T81" s="11">
        <f>IF(SUMPRODUCT((Inputs!$B$4:$B$250=$B81)*ISNUMBER(INDEX(Inputs!$D$4:$AG$250,0,MATCH(T$2,Inputs!$D$2:$AG$2,0))))=0,"",SUMIFS(INDEX(Inputs!$D$4:$AG$250,0,MATCH(T$2,Inputs!$D$2:$AG$2,0)),Inputs!$B$4:$B$250,$B81)/1000)</f>
        <v>0</v>
      </c>
      <c r="U81" s="11">
        <f>IF(SUMPRODUCT((Inputs!$B$4:$B$250=$B81)*ISNUMBER(INDEX(Inputs!$D$4:$AG$250,0,MATCH(U$2,Inputs!$D$2:$AG$2,0))))=0,"",SUMIFS(INDEX(Inputs!$D$4:$AG$250,0,MATCH(U$2,Inputs!$D$2:$AG$2,0)),Inputs!$B$4:$B$250,$B81)/1000)</f>
        <v>0</v>
      </c>
      <c r="V81" s="11">
        <f>IF(SUMPRODUCT((Inputs!$B$4:$B$250=$B81)*ISNUMBER(INDEX(Inputs!$D$4:$AG$250,0,MATCH(V$2,Inputs!$D$2:$AG$2,0))))=0,"",SUMIFS(INDEX(Inputs!$D$4:$AG$250,0,MATCH(V$2,Inputs!$D$2:$AG$2,0)),Inputs!$B$4:$B$250,$B81)/1000)</f>
        <v>0</v>
      </c>
      <c r="W81" s="12">
        <f>IF(COUNT(S81:V81)=4,SUM(S81:V81),"")</f>
        <v>0</v>
      </c>
      <c r="X81" s="11">
        <f>IF(SUMPRODUCT((Inputs!$B$4:$B$250=$B81)*ISNUMBER(INDEX(Inputs!$D$4:$AG$250,0,MATCH(X$2,Inputs!$D$2:$AG$2,0))))=0,"",SUMIFS(INDEX(Inputs!$D$4:$AG$250,0,MATCH(X$2,Inputs!$D$2:$AG$2,0)),Inputs!$B$4:$B$250,$B81)/1000)</f>
        <v>0</v>
      </c>
      <c r="Y81" s="11">
        <f>IF(SUMPRODUCT((Inputs!$B$4:$B$250=$B81)*ISNUMBER(INDEX(Inputs!$D$4:$AG$250,0,MATCH(Y$2,Inputs!$D$2:$AG$2,0))))=0,"",SUMIFS(INDEX(Inputs!$D$4:$AG$250,0,MATCH(Y$2,Inputs!$D$2:$AG$2,0)),Inputs!$B$4:$B$250,$B81)/1000)</f>
        <v>0</v>
      </c>
      <c r="Z81" s="11">
        <f>IF(SUMPRODUCT((Inputs!$B$4:$B$250=$B81)*ISNUMBER(INDEX(Inputs!$D$4:$AG$250,0,MATCH(Z$2,Inputs!$D$2:$AG$2,0))))=0,"",SUMIFS(INDEX(Inputs!$D$4:$AG$250,0,MATCH(Z$2,Inputs!$D$2:$AG$2,0)),Inputs!$B$4:$B$250,$B81)/1000)</f>
        <v>0</v>
      </c>
      <c r="AA81" s="11">
        <f>IF(SUMPRODUCT((Inputs!$B$4:$B$250=$B81)*ISNUMBER(INDEX(Inputs!$D$4:$AG$250,0,MATCH(AA$2,Inputs!$D$2:$AG$2,0))))=0,"",SUMIFS(INDEX(Inputs!$D$4:$AG$250,0,MATCH(AA$2,Inputs!$D$2:$AG$2,0)),Inputs!$B$4:$B$250,$B81)/1000)</f>
        <v>34.587</v>
      </c>
      <c r="AB81" s="12">
        <f>IF(COUNT(X81:AA81)=4,SUM(X81:AA81),"")</f>
        <v>34.587</v>
      </c>
      <c r="AC81" s="11">
        <f>IF(SUMPRODUCT((Inputs!$B$4:$B$250=$B81)*ISNUMBER(INDEX(Inputs!$D$4:$AG$250,0,MATCH(AC$2,Inputs!$D$2:$AG$2,0))))=0,"",SUMIFS(INDEX(Inputs!$D$4:$AG$250,0,MATCH(AC$2,Inputs!$D$2:$AG$2,0)),Inputs!$B$4:$B$250,$B81)/1000)</f>
        <v>45.445</v>
      </c>
      <c r="AD81" s="11">
        <f>IF(SUMPRODUCT((Inputs!$B$4:$B$250=$B81)*ISNUMBER(INDEX(Inputs!$D$4:$AG$250,0,MATCH(AD$2,Inputs!$D$2:$AG$2,0))))=0,"",SUMIFS(INDEX(Inputs!$D$4:$AG$250,0,MATCH(AD$2,Inputs!$D$2:$AG$2,0)),Inputs!$B$4:$B$250,$B81)/1000)</f>
        <v>43.448</v>
      </c>
      <c r="AE81" s="11" t="str">
        <f>IF(SUMPRODUCT((Inputs!$B$4:$B$250=$B81)*ISNUMBER(INDEX(Inputs!$D$4:$AG$250,0,MATCH(AE$2,Inputs!$D$2:$AG$2,0))))=0,"",SUMIFS(INDEX(Inputs!$D$4:$AG$250,0,MATCH(AE$2,Inputs!$D$2:$AG$2,0)),Inputs!$B$4:$B$250,$B81)/1000)</f>
        <v/>
      </c>
      <c r="AF81" s="11" t="str">
        <f>IF(SUMPRODUCT((Inputs!$B$4:$B$250=$B81)*ISNUMBER(INDEX(Inputs!$D$4:$AG$250,0,MATCH(AF$2,Inputs!$D$2:$AG$2,0))))=0,"",SUMIFS(INDEX(Inputs!$D$4:$AG$250,0,MATCH(AF$2,Inputs!$D$2:$AG$2,0)),Inputs!$B$4:$B$250,$B81)/1000)</f>
        <v/>
      </c>
      <c r="AG81" s="12" t="str">
        <f>IF(COUNT(AC81:AF81)=4,SUM(AC81:AF81),"")</f>
        <v/>
      </c>
    </row>
    <row r="82">
      <c r="B82" s="9" t="n">
        <v>74</v>
      </c>
      <c r="C82" s="10" t="inlineStr">
        <is>
          <t>Transmissao | TSM</t>
        </is>
      </c>
      <c r="D82" s="11">
        <f>IF(SUMPRODUCT((Inputs!$B$4:$B$250=$B82)*ISNUMBER(INDEX(Inputs!$D$4:$AG$250,0,MATCH(D$2,Inputs!$D$2:$AG$2,0))))=0,"",SUMIFS(INDEX(Inputs!$D$4:$AG$250,0,MATCH(D$2,Inputs!$D$2:$AG$2,0)),Inputs!$B$4:$B$250,$B82)/1000)</f>
        <v>159.77</v>
      </c>
      <c r="E82" s="11">
        <f>IF(SUMPRODUCT((Inputs!$B$4:$B$250=$B82)*ISNUMBER(INDEX(Inputs!$D$4:$AG$250,0,MATCH(E$2,Inputs!$D$2:$AG$2,0))))=0,"",SUMIFS(INDEX(Inputs!$D$4:$AG$250,0,MATCH(E$2,Inputs!$D$2:$AG$2,0)),Inputs!$B$4:$B$250,$B82)/1000)</f>
        <v>32.08</v>
      </c>
      <c r="F82" s="11">
        <f>IF(SUMPRODUCT((Inputs!$B$4:$B$250=$B82)*ISNUMBER(INDEX(Inputs!$D$4:$AG$250,0,MATCH(F$2,Inputs!$D$2:$AG$2,0))))=0,"",SUMIFS(INDEX(Inputs!$D$4:$AG$250,0,MATCH(F$2,Inputs!$D$2:$AG$2,0)),Inputs!$B$4:$B$250,$B82)/1000)</f>
        <v>117.475</v>
      </c>
      <c r="G82" s="11">
        <f>IF(SUMPRODUCT((Inputs!$B$4:$B$250=$B82)*ISNUMBER(INDEX(Inputs!$D$4:$AG$250,0,MATCH(G$2,Inputs!$D$2:$AG$2,0))))=0,"",SUMIFS(INDEX(Inputs!$D$4:$AG$250,0,MATCH(G$2,Inputs!$D$2:$AG$2,0)),Inputs!$B$4:$B$250,$B82)/1000)</f>
        <v>275.684</v>
      </c>
      <c r="H82" s="12">
        <f>IF(COUNT(D82:G82)=4,SUM(D82:G82),"")</f>
        <v>585.009</v>
      </c>
      <c r="I82" s="11">
        <f>IF(SUMPRODUCT((Inputs!$B$4:$B$250=$B82)*ISNUMBER(INDEX(Inputs!$D$4:$AG$250,0,MATCH(I$2,Inputs!$D$2:$AG$2,0))))=0,"",SUMIFS(INDEX(Inputs!$D$4:$AG$250,0,MATCH(I$2,Inputs!$D$2:$AG$2,0)),Inputs!$B$4:$B$250,$B82)/1000)</f>
        <v>54.936</v>
      </c>
      <c r="J82" s="11">
        <f>IF(SUMPRODUCT((Inputs!$B$4:$B$250=$B82)*ISNUMBER(INDEX(Inputs!$D$4:$AG$250,0,MATCH(J$2,Inputs!$D$2:$AG$2,0))))=0,"",SUMIFS(INDEX(Inputs!$D$4:$AG$250,0,MATCH(J$2,Inputs!$D$2:$AG$2,0)),Inputs!$B$4:$B$250,$B82)/1000)</f>
        <v>45.102</v>
      </c>
      <c r="K82" s="11">
        <f>IF(SUMPRODUCT((Inputs!$B$4:$B$250=$B82)*ISNUMBER(INDEX(Inputs!$D$4:$AG$250,0,MATCH(K$2,Inputs!$D$2:$AG$2,0))))=0,"",SUMIFS(INDEX(Inputs!$D$4:$AG$250,0,MATCH(K$2,Inputs!$D$2:$AG$2,0)),Inputs!$B$4:$B$250,$B82)/1000)</f>
        <v>25.421</v>
      </c>
      <c r="L82" s="11">
        <f>IF(SUMPRODUCT((Inputs!$B$4:$B$250=$B82)*ISNUMBER(INDEX(Inputs!$D$4:$AG$250,0,MATCH(L$2,Inputs!$D$2:$AG$2,0))))=0,"",SUMIFS(INDEX(Inputs!$D$4:$AG$250,0,MATCH(L$2,Inputs!$D$2:$AG$2,0)),Inputs!$B$4:$B$250,$B82)/1000)</f>
        <v>37.953</v>
      </c>
      <c r="M82" s="12">
        <f>IF(COUNT(I82:L82)=4,SUM(I82:L82),"")</f>
        <v>163.412</v>
      </c>
      <c r="N82" s="11">
        <f>IF(SUMPRODUCT((Inputs!$B$4:$B$250=$B82)*ISNUMBER(INDEX(Inputs!$D$4:$AG$250,0,MATCH(N$2,Inputs!$D$2:$AG$2,0))))=0,"",SUMIFS(INDEX(Inputs!$D$4:$AG$250,0,MATCH(N$2,Inputs!$D$2:$AG$2,0)),Inputs!$B$4:$B$250,$B82)/1000)</f>
        <v>53.831</v>
      </c>
      <c r="O82" s="11">
        <f>IF(SUMPRODUCT((Inputs!$B$4:$B$250=$B82)*ISNUMBER(INDEX(Inputs!$D$4:$AG$250,0,MATCH(O$2,Inputs!$D$2:$AG$2,0))))=0,"",SUMIFS(INDEX(Inputs!$D$4:$AG$250,0,MATCH(O$2,Inputs!$D$2:$AG$2,0)),Inputs!$B$4:$B$250,$B82)/1000)</f>
        <v>49.666</v>
      </c>
      <c r="P82" s="11">
        <f>IF(SUMPRODUCT((Inputs!$B$4:$B$250=$B82)*ISNUMBER(INDEX(Inputs!$D$4:$AG$250,0,MATCH(P$2,Inputs!$D$2:$AG$2,0))))=0,"",SUMIFS(INDEX(Inputs!$D$4:$AG$250,0,MATCH(P$2,Inputs!$D$2:$AG$2,0)),Inputs!$B$4:$B$250,$B82)/1000)</f>
        <v>33.104</v>
      </c>
      <c r="Q82" s="11">
        <f>IF(SUMPRODUCT((Inputs!$B$4:$B$250=$B82)*ISNUMBER(INDEX(Inputs!$D$4:$AG$250,0,MATCH(Q$2,Inputs!$D$2:$AG$2,0))))=0,"",SUMIFS(INDEX(Inputs!$D$4:$AG$250,0,MATCH(Q$2,Inputs!$D$2:$AG$2,0)),Inputs!$B$4:$B$250,$B82)/1000)</f>
        <v>39.112</v>
      </c>
      <c r="R82" s="12">
        <f>IF(COUNT(N82:Q82)=4,SUM(N82:Q82),"")</f>
        <v>175.713</v>
      </c>
      <c r="S82" s="11">
        <f>IF(SUMPRODUCT((Inputs!$B$4:$B$250=$B82)*ISNUMBER(INDEX(Inputs!$D$4:$AG$250,0,MATCH(S$2,Inputs!$D$2:$AG$2,0))))=0,"",SUMIFS(INDEX(Inputs!$D$4:$AG$250,0,MATCH(S$2,Inputs!$D$2:$AG$2,0)),Inputs!$B$4:$B$250,$B82)/1000)</f>
        <v>52.096</v>
      </c>
      <c r="T82" s="11">
        <f>IF(SUMPRODUCT((Inputs!$B$4:$B$250=$B82)*ISNUMBER(INDEX(Inputs!$D$4:$AG$250,0,MATCH(T$2,Inputs!$D$2:$AG$2,0))))=0,"",SUMIFS(INDEX(Inputs!$D$4:$AG$250,0,MATCH(T$2,Inputs!$D$2:$AG$2,0)),Inputs!$B$4:$B$250,$B82)/1000)</f>
        <v>43.057</v>
      </c>
      <c r="U82" s="11">
        <f>IF(SUMPRODUCT((Inputs!$B$4:$B$250=$B82)*ISNUMBER(INDEX(Inputs!$D$4:$AG$250,0,MATCH(U$2,Inputs!$D$2:$AG$2,0))))=0,"",SUMIFS(INDEX(Inputs!$D$4:$AG$250,0,MATCH(U$2,Inputs!$D$2:$AG$2,0)),Inputs!$B$4:$B$250,$B82)/1000)</f>
        <v>37.548</v>
      </c>
      <c r="V82" s="11">
        <f>IF(SUMPRODUCT((Inputs!$B$4:$B$250=$B82)*ISNUMBER(INDEX(Inputs!$D$4:$AG$250,0,MATCH(V$2,Inputs!$D$2:$AG$2,0))))=0,"",SUMIFS(INDEX(Inputs!$D$4:$AG$250,0,MATCH(V$2,Inputs!$D$2:$AG$2,0)),Inputs!$B$4:$B$250,$B82)/1000)</f>
        <v>47.726</v>
      </c>
      <c r="W82" s="12">
        <f>IF(COUNT(S82:V82)=4,SUM(S82:V82),"")</f>
        <v>180.427</v>
      </c>
      <c r="X82" s="11">
        <f>IF(SUMPRODUCT((Inputs!$B$4:$B$250=$B82)*ISNUMBER(INDEX(Inputs!$D$4:$AG$250,0,MATCH(X$2,Inputs!$D$2:$AG$2,0))))=0,"",SUMIFS(INDEX(Inputs!$D$4:$AG$250,0,MATCH(X$2,Inputs!$D$2:$AG$2,0)),Inputs!$B$4:$B$250,$B82)/1000)</f>
        <v>56.082</v>
      </c>
      <c r="Y82" s="11">
        <f>IF(SUMPRODUCT((Inputs!$B$4:$B$250=$B82)*ISNUMBER(INDEX(Inputs!$D$4:$AG$250,0,MATCH(Y$2,Inputs!$D$2:$AG$2,0))))=0,"",SUMIFS(INDEX(Inputs!$D$4:$AG$250,0,MATCH(Y$2,Inputs!$D$2:$AG$2,0)),Inputs!$B$4:$B$250,$B82)/1000)</f>
        <v>47.693</v>
      </c>
      <c r="Z82" s="11">
        <f>IF(SUMPRODUCT((Inputs!$B$4:$B$250=$B82)*ISNUMBER(INDEX(Inputs!$D$4:$AG$250,0,MATCH(Z$2,Inputs!$D$2:$AG$2,0))))=0,"",SUMIFS(INDEX(Inputs!$D$4:$AG$250,0,MATCH(Z$2,Inputs!$D$2:$AG$2,0)),Inputs!$B$4:$B$250,$B82)/1000)</f>
        <v>36.83</v>
      </c>
      <c r="AA82" s="11">
        <f>IF(SUMPRODUCT((Inputs!$B$4:$B$250=$B82)*ISNUMBER(INDEX(Inputs!$D$4:$AG$250,0,MATCH(AA$2,Inputs!$D$2:$AG$2,0))))=0,"",SUMIFS(INDEX(Inputs!$D$4:$AG$250,0,MATCH(AA$2,Inputs!$D$2:$AG$2,0)),Inputs!$B$4:$B$250,$B82)/1000)</f>
        <v>41.429</v>
      </c>
      <c r="AB82" s="12">
        <f>IF(COUNT(X82:AA82)=4,SUM(X82:AA82),"")</f>
        <v>182.034</v>
      </c>
      <c r="AC82" s="11">
        <f>IF(SUMPRODUCT((Inputs!$B$4:$B$250=$B82)*ISNUMBER(INDEX(Inputs!$D$4:$AG$250,0,MATCH(AC$2,Inputs!$D$2:$AG$2,0))))=0,"",SUMIFS(INDEX(Inputs!$D$4:$AG$250,0,MATCH(AC$2,Inputs!$D$2:$AG$2,0)),Inputs!$B$4:$B$250,$B82)/1000)</f>
        <v>49.574</v>
      </c>
      <c r="AD82" s="11">
        <f>IF(SUMPRODUCT((Inputs!$B$4:$B$250=$B82)*ISNUMBER(INDEX(Inputs!$D$4:$AG$250,0,MATCH(AD$2,Inputs!$D$2:$AG$2,0))))=0,"",SUMIFS(INDEX(Inputs!$D$4:$AG$250,0,MATCH(AD$2,Inputs!$D$2:$AG$2,0)),Inputs!$B$4:$B$250,$B82)/1000)</f>
        <v>60.77</v>
      </c>
      <c r="AE82" s="11" t="str">
        <f>IF(SUMPRODUCT((Inputs!$B$4:$B$250=$B82)*ISNUMBER(INDEX(Inputs!$D$4:$AG$250,0,MATCH(AE$2,Inputs!$D$2:$AG$2,0))))=0,"",SUMIFS(INDEX(Inputs!$D$4:$AG$250,0,MATCH(AE$2,Inputs!$D$2:$AG$2,0)),Inputs!$B$4:$B$250,$B82)/1000)</f>
        <v/>
      </c>
      <c r="AF82" s="11" t="str">
        <f>IF(SUMPRODUCT((Inputs!$B$4:$B$250=$B82)*ISNUMBER(INDEX(Inputs!$D$4:$AG$250,0,MATCH(AF$2,Inputs!$D$2:$AG$2,0))))=0,"",SUMIFS(INDEX(Inputs!$D$4:$AG$250,0,MATCH(AF$2,Inputs!$D$2:$AG$2,0)),Inputs!$B$4:$B$250,$B82)/1000)</f>
        <v/>
      </c>
      <c r="AG82" s="12" t="str">
        <f>IF(COUNT(AC82:AF82)=4,SUM(AC82:AF82),"")</f>
        <v/>
      </c>
    </row>
    <row r="83">
      <c r="B83" s="9" t="n">
        <v>75</v>
      </c>
      <c r="C83" s="10" t="inlineStr">
        <is>
          <t>Transmissao | ETB</t>
        </is>
      </c>
      <c r="D83" s="11">
        <f>IF(SUMPRODUCT((Inputs!$B$4:$B$250=$B83)*ISNUMBER(INDEX(Inputs!$D$4:$AG$250,0,MATCH(D$2,Inputs!$D$2:$AG$2,0))))=0,"",SUMIFS(INDEX(Inputs!$D$4:$AG$250,0,MATCH(D$2,Inputs!$D$2:$AG$2,0)),Inputs!$B$4:$B$250,$B83)/1000)</f>
        <v>63.236</v>
      </c>
      <c r="E83" s="11">
        <f>IF(SUMPRODUCT((Inputs!$B$4:$B$250=$B83)*ISNUMBER(INDEX(Inputs!$D$4:$AG$250,0,MATCH(E$2,Inputs!$D$2:$AG$2,0))))=0,"",SUMIFS(INDEX(Inputs!$D$4:$AG$250,0,MATCH(E$2,Inputs!$D$2:$AG$2,0)),Inputs!$B$4:$B$250,$B83)/1000)</f>
        <v>76.974</v>
      </c>
      <c r="F83" s="11">
        <f>IF(SUMPRODUCT((Inputs!$B$4:$B$250=$B83)*ISNUMBER(INDEX(Inputs!$D$4:$AG$250,0,MATCH(F$2,Inputs!$D$2:$AG$2,0))))=0,"",SUMIFS(INDEX(Inputs!$D$4:$AG$250,0,MATCH(F$2,Inputs!$D$2:$AG$2,0)),Inputs!$B$4:$B$250,$B83)/1000)</f>
        <v>63.72</v>
      </c>
      <c r="G83" s="11">
        <f>IF(SUMPRODUCT((Inputs!$B$4:$B$250=$B83)*ISNUMBER(INDEX(Inputs!$D$4:$AG$250,0,MATCH(G$2,Inputs!$D$2:$AG$2,0))))=0,"",SUMIFS(INDEX(Inputs!$D$4:$AG$250,0,MATCH(G$2,Inputs!$D$2:$AG$2,0)),Inputs!$B$4:$B$250,$B83)/1000)</f>
        <v>78.343</v>
      </c>
      <c r="H83" s="12">
        <f>IF(COUNT(D83:G83)=4,SUM(D83:G83),"")</f>
        <v>282.273</v>
      </c>
      <c r="I83" s="11">
        <f>IF(SUMPRODUCT((Inputs!$B$4:$B$250=$B83)*ISNUMBER(INDEX(Inputs!$D$4:$AG$250,0,MATCH(I$2,Inputs!$D$2:$AG$2,0))))=0,"",SUMIFS(INDEX(Inputs!$D$4:$AG$250,0,MATCH(I$2,Inputs!$D$2:$AG$2,0)),Inputs!$B$4:$B$250,$B83)/1000)</f>
        <v>67.153</v>
      </c>
      <c r="J83" s="11">
        <f>IF(SUMPRODUCT((Inputs!$B$4:$B$250=$B83)*ISNUMBER(INDEX(Inputs!$D$4:$AG$250,0,MATCH(J$2,Inputs!$D$2:$AG$2,0))))=0,"",SUMIFS(INDEX(Inputs!$D$4:$AG$250,0,MATCH(J$2,Inputs!$D$2:$AG$2,0)),Inputs!$B$4:$B$250,$B83)/1000)</f>
        <v>85.085</v>
      </c>
      <c r="K83" s="11">
        <f>IF(SUMPRODUCT((Inputs!$B$4:$B$250=$B83)*ISNUMBER(INDEX(Inputs!$D$4:$AG$250,0,MATCH(K$2,Inputs!$D$2:$AG$2,0))))=0,"",SUMIFS(INDEX(Inputs!$D$4:$AG$250,0,MATCH(K$2,Inputs!$D$2:$AG$2,0)),Inputs!$B$4:$B$250,$B83)/1000)</f>
        <v>34.234</v>
      </c>
      <c r="L83" s="11">
        <f>IF(SUMPRODUCT((Inputs!$B$4:$B$250=$B83)*ISNUMBER(INDEX(Inputs!$D$4:$AG$250,0,MATCH(L$2,Inputs!$D$2:$AG$2,0))))=0,"",SUMIFS(INDEX(Inputs!$D$4:$AG$250,0,MATCH(L$2,Inputs!$D$2:$AG$2,0)),Inputs!$B$4:$B$250,$B83)/1000)</f>
        <v>48.279</v>
      </c>
      <c r="M83" s="12">
        <f>IF(COUNT(I83:L83)=4,SUM(I83:L83),"")</f>
        <v>234.751</v>
      </c>
      <c r="N83" s="11">
        <f>IF(SUMPRODUCT((Inputs!$B$4:$B$250=$B83)*ISNUMBER(INDEX(Inputs!$D$4:$AG$250,0,MATCH(N$2,Inputs!$D$2:$AG$2,0))))=0,"",SUMIFS(INDEX(Inputs!$D$4:$AG$250,0,MATCH(N$2,Inputs!$D$2:$AG$2,0)),Inputs!$B$4:$B$250,$B83)/1000)</f>
        <v>66.291</v>
      </c>
      <c r="O83" s="11">
        <f>IF(SUMPRODUCT((Inputs!$B$4:$B$250=$B83)*ISNUMBER(INDEX(Inputs!$D$4:$AG$250,0,MATCH(O$2,Inputs!$D$2:$AG$2,0))))=0,"",SUMIFS(INDEX(Inputs!$D$4:$AG$250,0,MATCH(O$2,Inputs!$D$2:$AG$2,0)),Inputs!$B$4:$B$250,$B83)/1000)</f>
        <v>61.707</v>
      </c>
      <c r="P83" s="11">
        <f>IF(SUMPRODUCT((Inputs!$B$4:$B$250=$B83)*ISNUMBER(INDEX(Inputs!$D$4:$AG$250,0,MATCH(P$2,Inputs!$D$2:$AG$2,0))))=0,"",SUMIFS(INDEX(Inputs!$D$4:$AG$250,0,MATCH(P$2,Inputs!$D$2:$AG$2,0)),Inputs!$B$4:$B$250,$B83)/1000)</f>
        <v>43.673</v>
      </c>
      <c r="Q83" s="11">
        <f>IF(SUMPRODUCT((Inputs!$B$4:$B$250=$B83)*ISNUMBER(INDEX(Inputs!$D$4:$AG$250,0,MATCH(Q$2,Inputs!$D$2:$AG$2,0))))=0,"",SUMIFS(INDEX(Inputs!$D$4:$AG$250,0,MATCH(Q$2,Inputs!$D$2:$AG$2,0)),Inputs!$B$4:$B$250,$B83)/1000)</f>
        <v>50.732</v>
      </c>
      <c r="R83" s="12">
        <f>IF(COUNT(N83:Q83)=4,SUM(N83:Q83),"")</f>
        <v>222.403</v>
      </c>
      <c r="S83" s="11">
        <f>IF(SUMPRODUCT((Inputs!$B$4:$B$250=$B83)*ISNUMBER(INDEX(Inputs!$D$4:$AG$250,0,MATCH(S$2,Inputs!$D$2:$AG$2,0))))=0,"",SUMIFS(INDEX(Inputs!$D$4:$AG$250,0,MATCH(S$2,Inputs!$D$2:$AG$2,0)),Inputs!$B$4:$B$250,$B83)/1000)</f>
        <v>65.824</v>
      </c>
      <c r="T83" s="11">
        <f>IF(SUMPRODUCT((Inputs!$B$4:$B$250=$B83)*ISNUMBER(INDEX(Inputs!$D$4:$AG$250,0,MATCH(T$2,Inputs!$D$2:$AG$2,0))))=0,"",SUMIFS(INDEX(Inputs!$D$4:$AG$250,0,MATCH(T$2,Inputs!$D$2:$AG$2,0)),Inputs!$B$4:$B$250,$B83)/1000)</f>
        <v>55.423</v>
      </c>
      <c r="U83" s="11">
        <f>IF(SUMPRODUCT((Inputs!$B$4:$B$250=$B83)*ISNUMBER(INDEX(Inputs!$D$4:$AG$250,0,MATCH(U$2,Inputs!$D$2:$AG$2,0))))=0,"",SUMIFS(INDEX(Inputs!$D$4:$AG$250,0,MATCH(U$2,Inputs!$D$2:$AG$2,0)),Inputs!$B$4:$B$250,$B83)/1000)</f>
        <v>48.921</v>
      </c>
      <c r="V83" s="11">
        <f>IF(SUMPRODUCT((Inputs!$B$4:$B$250=$B83)*ISNUMBER(INDEX(Inputs!$D$4:$AG$250,0,MATCH(V$2,Inputs!$D$2:$AG$2,0))))=0,"",SUMIFS(INDEX(Inputs!$D$4:$AG$250,0,MATCH(V$2,Inputs!$D$2:$AG$2,0)),Inputs!$B$4:$B$250,$B83)/1000)</f>
        <v>60.884</v>
      </c>
      <c r="W83" s="12">
        <f>IF(COUNT(S83:V83)=4,SUM(S83:V83),"")</f>
        <v>231.052</v>
      </c>
      <c r="X83" s="11">
        <f>IF(SUMPRODUCT((Inputs!$B$4:$B$250=$B83)*ISNUMBER(INDEX(Inputs!$D$4:$AG$250,0,MATCH(X$2,Inputs!$D$2:$AG$2,0))))=0,"",SUMIFS(INDEX(Inputs!$D$4:$AG$250,0,MATCH(X$2,Inputs!$D$2:$AG$2,0)),Inputs!$B$4:$B$250,$B83)/1000)</f>
        <v>70.733</v>
      </c>
      <c r="Y83" s="11">
        <f>IF(SUMPRODUCT((Inputs!$B$4:$B$250=$B83)*ISNUMBER(INDEX(Inputs!$D$4:$AG$250,0,MATCH(Y$2,Inputs!$D$2:$AG$2,0))))=0,"",SUMIFS(INDEX(Inputs!$D$4:$AG$250,0,MATCH(Y$2,Inputs!$D$2:$AG$2,0)),Inputs!$B$4:$B$250,$B83)/1000)</f>
        <v>61.248</v>
      </c>
      <c r="Z83" s="11">
        <f>IF(SUMPRODUCT((Inputs!$B$4:$B$250=$B83)*ISNUMBER(INDEX(Inputs!$D$4:$AG$250,0,MATCH(Z$2,Inputs!$D$2:$AG$2,0))))=0,"",SUMIFS(INDEX(Inputs!$D$4:$AG$250,0,MATCH(Z$2,Inputs!$D$2:$AG$2,0)),Inputs!$B$4:$B$250,$B83)/1000)</f>
        <v>48.419</v>
      </c>
      <c r="AA83" s="11">
        <f>IF(SUMPRODUCT((Inputs!$B$4:$B$250=$B83)*ISNUMBER(INDEX(Inputs!$D$4:$AG$250,0,MATCH(AA$2,Inputs!$D$2:$AG$2,0))))=0,"",SUMIFS(INDEX(Inputs!$D$4:$AG$250,0,MATCH(AA$2,Inputs!$D$2:$AG$2,0)),Inputs!$B$4:$B$250,$B83)/1000)</f>
        <v>51.914</v>
      </c>
      <c r="AB83" s="12">
        <f>IF(COUNT(X83:AA83)=4,SUM(X83:AA83),"")</f>
        <v>232.314</v>
      </c>
      <c r="AC83" s="11">
        <f>IF(SUMPRODUCT((Inputs!$B$4:$B$250=$B83)*ISNUMBER(INDEX(Inputs!$D$4:$AG$250,0,MATCH(AC$2,Inputs!$D$2:$AG$2,0))))=0,"",SUMIFS(INDEX(Inputs!$D$4:$AG$250,0,MATCH(AC$2,Inputs!$D$2:$AG$2,0)),Inputs!$B$4:$B$250,$B83)/1000)</f>
        <v>63.51</v>
      </c>
      <c r="AD83" s="11">
        <f>IF(SUMPRODUCT((Inputs!$B$4:$B$250=$B83)*ISNUMBER(INDEX(Inputs!$D$4:$AG$250,0,MATCH(AD$2,Inputs!$D$2:$AG$2,0))))=0,"",SUMIFS(INDEX(Inputs!$D$4:$AG$250,0,MATCH(AD$2,Inputs!$D$2:$AG$2,0)),Inputs!$B$4:$B$250,$B83)/1000)</f>
        <v>76.682</v>
      </c>
      <c r="AE83" s="11" t="str">
        <f>IF(SUMPRODUCT((Inputs!$B$4:$B$250=$B83)*ISNUMBER(INDEX(Inputs!$D$4:$AG$250,0,MATCH(AE$2,Inputs!$D$2:$AG$2,0))))=0,"",SUMIFS(INDEX(Inputs!$D$4:$AG$250,0,MATCH(AE$2,Inputs!$D$2:$AG$2,0)),Inputs!$B$4:$B$250,$B83)/1000)</f>
        <v/>
      </c>
      <c r="AF83" s="11" t="str">
        <f>IF(SUMPRODUCT((Inputs!$B$4:$B$250=$B83)*ISNUMBER(INDEX(Inputs!$D$4:$AG$250,0,MATCH(AF$2,Inputs!$D$2:$AG$2,0))))=0,"",SUMIFS(INDEX(Inputs!$D$4:$AG$250,0,MATCH(AF$2,Inputs!$D$2:$AG$2,0)),Inputs!$B$4:$B$250,$B83)/1000)</f>
        <v/>
      </c>
      <c r="AG83" s="12" t="str">
        <f>IF(COUNT(AC83:AF83)=4,SUM(AC83:AF83),"")</f>
        <v/>
      </c>
    </row>
    <row r="84">
      <c r="B84" s="9" t="n">
        <v>76</v>
      </c>
      <c r="C84" s="10" t="inlineStr">
        <is>
          <t>Transmissao | AETE</t>
        </is>
      </c>
      <c r="D84" s="11">
        <f>IF(SUMPRODUCT((Inputs!$B$4:$B$250=$B84)*ISNUMBER(INDEX(Inputs!$D$4:$AG$250,0,MATCH(D$2,Inputs!$D$2:$AG$2,0))))=0,"",SUMIFS(INDEX(Inputs!$D$4:$AG$250,0,MATCH(D$2,Inputs!$D$2:$AG$2,0)),Inputs!$B$4:$B$250,$B84)/1000)</f>
        <v>15.388</v>
      </c>
      <c r="E84" s="11">
        <f>IF(SUMPRODUCT((Inputs!$B$4:$B$250=$B84)*ISNUMBER(INDEX(Inputs!$D$4:$AG$250,0,MATCH(E$2,Inputs!$D$2:$AG$2,0))))=0,"",SUMIFS(INDEX(Inputs!$D$4:$AG$250,0,MATCH(E$2,Inputs!$D$2:$AG$2,0)),Inputs!$B$4:$B$250,$B84)/1000)</f>
        <v>21.904</v>
      </c>
      <c r="F84" s="11">
        <f>IF(SUMPRODUCT((Inputs!$B$4:$B$250=$B84)*ISNUMBER(INDEX(Inputs!$D$4:$AG$250,0,MATCH(F$2,Inputs!$D$2:$AG$2,0))))=0,"",SUMIFS(INDEX(Inputs!$D$4:$AG$250,0,MATCH(F$2,Inputs!$D$2:$AG$2,0)),Inputs!$B$4:$B$250,$B84)/1000)</f>
        <v>9.839</v>
      </c>
      <c r="G84" s="11">
        <f>IF(SUMPRODUCT((Inputs!$B$4:$B$250=$B84)*ISNUMBER(INDEX(Inputs!$D$4:$AG$250,0,MATCH(G$2,Inputs!$D$2:$AG$2,0))))=0,"",SUMIFS(INDEX(Inputs!$D$4:$AG$250,0,MATCH(G$2,Inputs!$D$2:$AG$2,0)),Inputs!$B$4:$B$250,$B84)/1000)</f>
        <v>5.896</v>
      </c>
      <c r="H84" s="12">
        <f>IF(COUNT(D84:G84)=4,SUM(D84:G84),"")</f>
        <v>53.027</v>
      </c>
      <c r="I84" s="11">
        <f>IF(SUMPRODUCT((Inputs!$B$4:$B$250=$B84)*ISNUMBER(INDEX(Inputs!$D$4:$AG$250,0,MATCH(I$2,Inputs!$D$2:$AG$2,0))))=0,"",SUMIFS(INDEX(Inputs!$D$4:$AG$250,0,MATCH(I$2,Inputs!$D$2:$AG$2,0)),Inputs!$B$4:$B$250,$B84)/1000)</f>
        <v>15.353</v>
      </c>
      <c r="J84" s="11">
        <f>IF(SUMPRODUCT((Inputs!$B$4:$B$250=$B84)*ISNUMBER(INDEX(Inputs!$D$4:$AG$250,0,MATCH(J$2,Inputs!$D$2:$AG$2,0))))=0,"",SUMIFS(INDEX(Inputs!$D$4:$AG$250,0,MATCH(J$2,Inputs!$D$2:$AG$2,0)),Inputs!$B$4:$B$250,$B84)/1000)</f>
        <v>14.603</v>
      </c>
      <c r="K84" s="11">
        <f>IF(SUMPRODUCT((Inputs!$B$4:$B$250=$B84)*ISNUMBER(INDEX(Inputs!$D$4:$AG$250,0,MATCH(K$2,Inputs!$D$2:$AG$2,0))))=0,"",SUMIFS(INDEX(Inputs!$D$4:$AG$250,0,MATCH(K$2,Inputs!$D$2:$AG$2,0)),Inputs!$B$4:$B$250,$B84)/1000)</f>
        <v>8.005</v>
      </c>
      <c r="L84" s="11">
        <f>IF(SUMPRODUCT((Inputs!$B$4:$B$250=$B84)*ISNUMBER(INDEX(Inputs!$D$4:$AG$250,0,MATCH(L$2,Inputs!$D$2:$AG$2,0))))=0,"",SUMIFS(INDEX(Inputs!$D$4:$AG$250,0,MATCH(L$2,Inputs!$D$2:$AG$2,0)),Inputs!$B$4:$B$250,$B84)/1000)</f>
        <v>2.927</v>
      </c>
      <c r="M84" s="12">
        <f>IF(COUNT(I84:L84)=4,SUM(I84:L84),"")</f>
        <v>40.888</v>
      </c>
      <c r="N84" s="11">
        <f>IF(SUMPRODUCT((Inputs!$B$4:$B$250=$B84)*ISNUMBER(INDEX(Inputs!$D$4:$AG$250,0,MATCH(N$2,Inputs!$D$2:$AG$2,0))))=0,"",SUMIFS(INDEX(Inputs!$D$4:$AG$250,0,MATCH(N$2,Inputs!$D$2:$AG$2,0)),Inputs!$B$4:$B$250,$B84)/1000)</f>
        <v>8.715</v>
      </c>
      <c r="O84" s="11">
        <f>IF(SUMPRODUCT((Inputs!$B$4:$B$250=$B84)*ISNUMBER(INDEX(Inputs!$D$4:$AG$250,0,MATCH(O$2,Inputs!$D$2:$AG$2,0))))=0,"",SUMIFS(INDEX(Inputs!$D$4:$AG$250,0,MATCH(O$2,Inputs!$D$2:$AG$2,0)),Inputs!$B$4:$B$250,$B84)/1000)</f>
        <v>2.498</v>
      </c>
      <c r="P84" s="11">
        <f>IF(SUMPRODUCT((Inputs!$B$4:$B$250=$B84)*ISNUMBER(INDEX(Inputs!$D$4:$AG$250,0,MATCH(P$2,Inputs!$D$2:$AG$2,0))))=0,"",SUMIFS(INDEX(Inputs!$D$4:$AG$250,0,MATCH(P$2,Inputs!$D$2:$AG$2,0)),Inputs!$B$4:$B$250,$B84)/1000)</f>
        <v>-2.516</v>
      </c>
      <c r="Q84" s="11">
        <f>IF(SUMPRODUCT((Inputs!$B$4:$B$250=$B84)*ISNUMBER(INDEX(Inputs!$D$4:$AG$250,0,MATCH(Q$2,Inputs!$D$2:$AG$2,0))))=0,"",SUMIFS(INDEX(Inputs!$D$4:$AG$250,0,MATCH(Q$2,Inputs!$D$2:$AG$2,0)),Inputs!$B$4:$B$250,$B84)/1000)</f>
        <v>9.491</v>
      </c>
      <c r="R84" s="12">
        <f>IF(COUNT(N84:Q84)=4,SUM(N84:Q84),"")</f>
        <v>18.188</v>
      </c>
      <c r="S84" s="11">
        <f>IF(SUMPRODUCT((Inputs!$B$4:$B$250=$B84)*ISNUMBER(INDEX(Inputs!$D$4:$AG$250,0,MATCH(S$2,Inputs!$D$2:$AG$2,0))))=0,"",SUMIFS(INDEX(Inputs!$D$4:$AG$250,0,MATCH(S$2,Inputs!$D$2:$AG$2,0)),Inputs!$B$4:$B$250,$B84)/1000)</f>
        <v>7.656</v>
      </c>
      <c r="T84" s="11">
        <f>IF(SUMPRODUCT((Inputs!$B$4:$B$250=$B84)*ISNUMBER(INDEX(Inputs!$D$4:$AG$250,0,MATCH(T$2,Inputs!$D$2:$AG$2,0))))=0,"",SUMIFS(INDEX(Inputs!$D$4:$AG$250,0,MATCH(T$2,Inputs!$D$2:$AG$2,0)),Inputs!$B$4:$B$250,$B84)/1000)</f>
        <v>8.31</v>
      </c>
      <c r="U84" s="11">
        <f>IF(SUMPRODUCT((Inputs!$B$4:$B$250=$B84)*ISNUMBER(INDEX(Inputs!$D$4:$AG$250,0,MATCH(U$2,Inputs!$D$2:$AG$2,0))))=0,"",SUMIFS(INDEX(Inputs!$D$4:$AG$250,0,MATCH(U$2,Inputs!$D$2:$AG$2,0)),Inputs!$B$4:$B$250,$B84)/1000)</f>
        <v>9.232</v>
      </c>
      <c r="V84" s="11">
        <f>IF(SUMPRODUCT((Inputs!$B$4:$B$250=$B84)*ISNUMBER(INDEX(Inputs!$D$4:$AG$250,0,MATCH(V$2,Inputs!$D$2:$AG$2,0))))=0,"",SUMIFS(INDEX(Inputs!$D$4:$AG$250,0,MATCH(V$2,Inputs!$D$2:$AG$2,0)),Inputs!$B$4:$B$250,$B84)/1000)</f>
        <v>12.312</v>
      </c>
      <c r="W84" s="12">
        <f>IF(COUNT(S84:V84)=4,SUM(S84:V84),"")</f>
        <v>37.51</v>
      </c>
      <c r="X84" s="11">
        <f>IF(SUMPRODUCT((Inputs!$B$4:$B$250=$B84)*ISNUMBER(INDEX(Inputs!$D$4:$AG$250,0,MATCH(X$2,Inputs!$D$2:$AG$2,0))))=0,"",SUMIFS(INDEX(Inputs!$D$4:$AG$250,0,MATCH(X$2,Inputs!$D$2:$AG$2,0)),Inputs!$B$4:$B$250,$B84)/1000)</f>
        <v>10.785</v>
      </c>
      <c r="Y84" s="11">
        <f>IF(SUMPRODUCT((Inputs!$B$4:$B$250=$B84)*ISNUMBER(INDEX(Inputs!$D$4:$AG$250,0,MATCH(Y$2,Inputs!$D$2:$AG$2,0))))=0,"",SUMIFS(INDEX(Inputs!$D$4:$AG$250,0,MATCH(Y$2,Inputs!$D$2:$AG$2,0)),Inputs!$B$4:$B$250,$B84)/1000)</f>
        <v>6.367</v>
      </c>
      <c r="Z84" s="11">
        <f>IF(SUMPRODUCT((Inputs!$B$4:$B$250=$B84)*ISNUMBER(INDEX(Inputs!$D$4:$AG$250,0,MATCH(Z$2,Inputs!$D$2:$AG$2,0))))=0,"",SUMIFS(INDEX(Inputs!$D$4:$AG$250,0,MATCH(Z$2,Inputs!$D$2:$AG$2,0)),Inputs!$B$4:$B$250,$B84)/1000)</f>
        <v>4.348</v>
      </c>
      <c r="AA84" s="11">
        <f>IF(SUMPRODUCT((Inputs!$B$4:$B$250=$B84)*ISNUMBER(INDEX(Inputs!$D$4:$AG$250,0,MATCH(AA$2,Inputs!$D$2:$AG$2,0))))=0,"",SUMIFS(INDEX(Inputs!$D$4:$AG$250,0,MATCH(AA$2,Inputs!$D$2:$AG$2,0)),Inputs!$B$4:$B$250,$B84)/1000)</f>
        <v>7.635</v>
      </c>
      <c r="AB84" s="12">
        <f>IF(COUNT(X84:AA84)=4,SUM(X84:AA84),"")</f>
        <v>29.135</v>
      </c>
      <c r="AC84" s="11">
        <f>IF(SUMPRODUCT((Inputs!$B$4:$B$250=$B84)*ISNUMBER(INDEX(Inputs!$D$4:$AG$250,0,MATCH(AC$2,Inputs!$D$2:$AG$2,0))))=0,"",SUMIFS(INDEX(Inputs!$D$4:$AG$250,0,MATCH(AC$2,Inputs!$D$2:$AG$2,0)),Inputs!$B$4:$B$250,$B84)/1000)</f>
        <v>6.489</v>
      </c>
      <c r="AD84" s="11">
        <f>IF(SUMPRODUCT((Inputs!$B$4:$B$250=$B84)*ISNUMBER(INDEX(Inputs!$D$4:$AG$250,0,MATCH(AD$2,Inputs!$D$2:$AG$2,0))))=0,"",SUMIFS(INDEX(Inputs!$D$4:$AG$250,0,MATCH(AD$2,Inputs!$D$2:$AG$2,0)),Inputs!$B$4:$B$250,$B84)/1000)</f>
        <v>13.194</v>
      </c>
      <c r="AE84" s="11" t="str">
        <f>IF(SUMPRODUCT((Inputs!$B$4:$B$250=$B84)*ISNUMBER(INDEX(Inputs!$D$4:$AG$250,0,MATCH(AE$2,Inputs!$D$2:$AG$2,0))))=0,"",SUMIFS(INDEX(Inputs!$D$4:$AG$250,0,MATCH(AE$2,Inputs!$D$2:$AG$2,0)),Inputs!$B$4:$B$250,$B84)/1000)</f>
        <v/>
      </c>
      <c r="AF84" s="11" t="str">
        <f>IF(SUMPRODUCT((Inputs!$B$4:$B$250=$B84)*ISNUMBER(INDEX(Inputs!$D$4:$AG$250,0,MATCH(AF$2,Inputs!$D$2:$AG$2,0))))=0,"",SUMIFS(INDEX(Inputs!$D$4:$AG$250,0,MATCH(AF$2,Inputs!$D$2:$AG$2,0)),Inputs!$B$4:$B$250,$B84)/1000)</f>
        <v/>
      </c>
      <c r="AG84" s="12" t="str">
        <f>IF(COUNT(AC84:AF84)=4,SUM(AC84:AF84),"")</f>
        <v/>
      </c>
    </row>
    <row r="85">
      <c r="B85" s="9" t="n">
        <v>77</v>
      </c>
      <c r="C85" s="10" t="inlineStr">
        <is>
          <t>Transmissao | TECP</t>
        </is>
      </c>
      <c r="D85" s="11" t="str">
        <f>IF(SUMPRODUCT((Inputs!$B$4:$B$250=$B85)*ISNUMBER(INDEX(Inputs!$D$4:$AG$250,0,MATCH(D$2,Inputs!$D$2:$AG$2,0))))=0,"",SUMIFS(INDEX(Inputs!$D$4:$AG$250,0,MATCH(D$2,Inputs!$D$2:$AG$2,0)),Inputs!$B$4:$B$250,$B85)/1000)</f>
        <v/>
      </c>
      <c r="E85" s="11" t="str">
        <f>IF(SUMPRODUCT((Inputs!$B$4:$B$250=$B85)*ISNUMBER(INDEX(Inputs!$D$4:$AG$250,0,MATCH(E$2,Inputs!$D$2:$AG$2,0))))=0,"",SUMIFS(INDEX(Inputs!$D$4:$AG$250,0,MATCH(E$2,Inputs!$D$2:$AG$2,0)),Inputs!$B$4:$B$250,$B85)/1000)</f>
        <v/>
      </c>
      <c r="F85" s="11" t="str">
        <f>IF(SUMPRODUCT((Inputs!$B$4:$B$250=$B85)*ISNUMBER(INDEX(Inputs!$D$4:$AG$250,0,MATCH(F$2,Inputs!$D$2:$AG$2,0))))=0,"",SUMIFS(INDEX(Inputs!$D$4:$AG$250,0,MATCH(F$2,Inputs!$D$2:$AG$2,0)),Inputs!$B$4:$B$250,$B85)/1000)</f>
        <v/>
      </c>
      <c r="G85" s="11" t="str">
        <f>IF(SUMPRODUCT((Inputs!$B$4:$B$250=$B85)*ISNUMBER(INDEX(Inputs!$D$4:$AG$250,0,MATCH(G$2,Inputs!$D$2:$AG$2,0))))=0,"",SUMIFS(INDEX(Inputs!$D$4:$AG$250,0,MATCH(G$2,Inputs!$D$2:$AG$2,0)),Inputs!$B$4:$B$250,$B85)/1000)</f>
        <v/>
      </c>
      <c r="H85" s="12" t="str">
        <f>IF(COUNT(D85:G85)=4,SUM(D85:G85),"")</f>
        <v/>
      </c>
      <c r="I85" s="11" t="str">
        <f>IF(SUMPRODUCT((Inputs!$B$4:$B$250=$B85)*ISNUMBER(INDEX(Inputs!$D$4:$AG$250,0,MATCH(I$2,Inputs!$D$2:$AG$2,0))))=0,"",SUMIFS(INDEX(Inputs!$D$4:$AG$250,0,MATCH(I$2,Inputs!$D$2:$AG$2,0)),Inputs!$B$4:$B$250,$B85)/1000)</f>
        <v/>
      </c>
      <c r="J85" s="11" t="str">
        <f>IF(SUMPRODUCT((Inputs!$B$4:$B$250=$B85)*ISNUMBER(INDEX(Inputs!$D$4:$AG$250,0,MATCH(J$2,Inputs!$D$2:$AG$2,0))))=0,"",SUMIFS(INDEX(Inputs!$D$4:$AG$250,0,MATCH(J$2,Inputs!$D$2:$AG$2,0)),Inputs!$B$4:$B$250,$B85)/1000)</f>
        <v/>
      </c>
      <c r="K85" s="11" t="str">
        <f>IF(SUMPRODUCT((Inputs!$B$4:$B$250=$B85)*ISNUMBER(INDEX(Inputs!$D$4:$AG$250,0,MATCH(K$2,Inputs!$D$2:$AG$2,0))))=0,"",SUMIFS(INDEX(Inputs!$D$4:$AG$250,0,MATCH(K$2,Inputs!$D$2:$AG$2,0)),Inputs!$B$4:$B$250,$B85)/1000)</f>
        <v/>
      </c>
      <c r="L85" s="11" t="str">
        <f>IF(SUMPRODUCT((Inputs!$B$4:$B$250=$B85)*ISNUMBER(INDEX(Inputs!$D$4:$AG$250,0,MATCH(L$2,Inputs!$D$2:$AG$2,0))))=0,"",SUMIFS(INDEX(Inputs!$D$4:$AG$250,0,MATCH(L$2,Inputs!$D$2:$AG$2,0)),Inputs!$B$4:$B$250,$B85)/1000)</f>
        <v/>
      </c>
      <c r="M85" s="12" t="str">
        <f>IF(COUNT(I85:L85)=4,SUM(I85:L85),"")</f>
        <v/>
      </c>
      <c r="N85" s="11" t="str">
        <f>IF(SUMPRODUCT((Inputs!$B$4:$B$250=$B85)*ISNUMBER(INDEX(Inputs!$D$4:$AG$250,0,MATCH(N$2,Inputs!$D$2:$AG$2,0))))=0,"",SUMIFS(INDEX(Inputs!$D$4:$AG$250,0,MATCH(N$2,Inputs!$D$2:$AG$2,0)),Inputs!$B$4:$B$250,$B85)/1000)</f>
        <v/>
      </c>
      <c r="O85" s="11" t="str">
        <f>IF(SUMPRODUCT((Inputs!$B$4:$B$250=$B85)*ISNUMBER(INDEX(Inputs!$D$4:$AG$250,0,MATCH(O$2,Inputs!$D$2:$AG$2,0))))=0,"",SUMIFS(INDEX(Inputs!$D$4:$AG$250,0,MATCH(O$2,Inputs!$D$2:$AG$2,0)),Inputs!$B$4:$B$250,$B85)/1000)</f>
        <v/>
      </c>
      <c r="P85" s="11" t="str">
        <f>IF(SUMPRODUCT((Inputs!$B$4:$B$250=$B85)*ISNUMBER(INDEX(Inputs!$D$4:$AG$250,0,MATCH(P$2,Inputs!$D$2:$AG$2,0))))=0,"",SUMIFS(INDEX(Inputs!$D$4:$AG$250,0,MATCH(P$2,Inputs!$D$2:$AG$2,0)),Inputs!$B$4:$B$250,$B85)/1000)</f>
        <v/>
      </c>
      <c r="Q85" s="11">
        <f>IF(SUMPRODUCT((Inputs!$B$4:$B$250=$B85)*ISNUMBER(INDEX(Inputs!$D$4:$AG$250,0,MATCH(Q$2,Inputs!$D$2:$AG$2,0))))=0,"",SUMIFS(INDEX(Inputs!$D$4:$AG$250,0,MATCH(Q$2,Inputs!$D$2:$AG$2,0)),Inputs!$B$4:$B$250,$B85)/1000)</f>
        <v>0.218</v>
      </c>
      <c r="R85" s="12" t="str">
        <f>IF(COUNT(N85:Q85)=4,SUM(N85:Q85),"")</f>
        <v/>
      </c>
      <c r="S85" s="11">
        <f>IF(SUMPRODUCT((Inputs!$B$4:$B$250=$B85)*ISNUMBER(INDEX(Inputs!$D$4:$AG$250,0,MATCH(S$2,Inputs!$D$2:$AG$2,0))))=0,"",SUMIFS(INDEX(Inputs!$D$4:$AG$250,0,MATCH(S$2,Inputs!$D$2:$AG$2,0)),Inputs!$B$4:$B$250,$B85)/1000)</f>
        <v>2.522</v>
      </c>
      <c r="T85" s="11">
        <f>IF(SUMPRODUCT((Inputs!$B$4:$B$250=$B85)*ISNUMBER(INDEX(Inputs!$D$4:$AG$250,0,MATCH(T$2,Inputs!$D$2:$AG$2,0))))=0,"",SUMIFS(INDEX(Inputs!$D$4:$AG$250,0,MATCH(T$2,Inputs!$D$2:$AG$2,0)),Inputs!$B$4:$B$250,$B85)/1000)</f>
        <v>2.347</v>
      </c>
      <c r="U85" s="11">
        <f>IF(SUMPRODUCT((Inputs!$B$4:$B$250=$B85)*ISNUMBER(INDEX(Inputs!$D$4:$AG$250,0,MATCH(U$2,Inputs!$D$2:$AG$2,0))))=0,"",SUMIFS(INDEX(Inputs!$D$4:$AG$250,0,MATCH(U$2,Inputs!$D$2:$AG$2,0)),Inputs!$B$4:$B$250,$B85)/1000)</f>
        <v>3.36</v>
      </c>
      <c r="V85" s="11">
        <f>IF(SUMPRODUCT((Inputs!$B$4:$B$250=$B85)*ISNUMBER(INDEX(Inputs!$D$4:$AG$250,0,MATCH(V$2,Inputs!$D$2:$AG$2,0))))=0,"",SUMIFS(INDEX(Inputs!$D$4:$AG$250,0,MATCH(V$2,Inputs!$D$2:$AG$2,0)),Inputs!$B$4:$B$250,$B85)/1000)</f>
        <v>11.719</v>
      </c>
      <c r="W85" s="12">
        <f>IF(COUNT(S85:V85)=4,SUM(S85:V85),"")</f>
        <v>19.948</v>
      </c>
      <c r="X85" s="11">
        <f>IF(SUMPRODUCT((Inputs!$B$4:$B$250=$B85)*ISNUMBER(INDEX(Inputs!$D$4:$AG$250,0,MATCH(X$2,Inputs!$D$2:$AG$2,0))))=0,"",SUMIFS(INDEX(Inputs!$D$4:$AG$250,0,MATCH(X$2,Inputs!$D$2:$AG$2,0)),Inputs!$B$4:$B$250,$B85)/1000)</f>
        <v>82.577</v>
      </c>
      <c r="Y85" s="11">
        <f>IF(SUMPRODUCT((Inputs!$B$4:$B$250=$B85)*ISNUMBER(INDEX(Inputs!$D$4:$AG$250,0,MATCH(Y$2,Inputs!$D$2:$AG$2,0))))=0,"",SUMIFS(INDEX(Inputs!$D$4:$AG$250,0,MATCH(Y$2,Inputs!$D$2:$AG$2,0)),Inputs!$B$4:$B$250,$B85)/1000)</f>
        <v>67.999</v>
      </c>
      <c r="Z85" s="11">
        <f>IF(SUMPRODUCT((Inputs!$B$4:$B$250=$B85)*ISNUMBER(INDEX(Inputs!$D$4:$AG$250,0,MATCH(Z$2,Inputs!$D$2:$AG$2,0))))=0,"",SUMIFS(INDEX(Inputs!$D$4:$AG$250,0,MATCH(Z$2,Inputs!$D$2:$AG$2,0)),Inputs!$B$4:$B$250,$B85)/1000)</f>
        <v>165.995</v>
      </c>
      <c r="AA85" s="11">
        <f>IF(SUMPRODUCT((Inputs!$B$4:$B$250=$B85)*ISNUMBER(INDEX(Inputs!$D$4:$AG$250,0,MATCH(AA$2,Inputs!$D$2:$AG$2,0))))=0,"",SUMIFS(INDEX(Inputs!$D$4:$AG$250,0,MATCH(AA$2,Inputs!$D$2:$AG$2,0)),Inputs!$B$4:$B$250,$B85)/1000)</f>
        <v>165.338</v>
      </c>
      <c r="AB85" s="12">
        <f>IF(COUNT(X85:AA85)=4,SUM(X85:AA85),"")</f>
        <v>481.909</v>
      </c>
      <c r="AC85" s="11">
        <f>IF(SUMPRODUCT((Inputs!$B$4:$B$250=$B85)*ISNUMBER(INDEX(Inputs!$D$4:$AG$250,0,MATCH(AC$2,Inputs!$D$2:$AG$2,0))))=0,"",SUMIFS(INDEX(Inputs!$D$4:$AG$250,0,MATCH(AC$2,Inputs!$D$2:$AG$2,0)),Inputs!$B$4:$B$250,$B85)/1000)</f>
        <v>120.196</v>
      </c>
      <c r="AD85" s="11">
        <f>IF(SUMPRODUCT((Inputs!$B$4:$B$250=$B85)*ISNUMBER(INDEX(Inputs!$D$4:$AG$250,0,MATCH(AD$2,Inputs!$D$2:$AG$2,0))))=0,"",SUMIFS(INDEX(Inputs!$D$4:$AG$250,0,MATCH(AD$2,Inputs!$D$2:$AG$2,0)),Inputs!$B$4:$B$250,$B85)/1000)</f>
        <v>161.951</v>
      </c>
      <c r="AE85" s="11" t="str">
        <f>IF(SUMPRODUCT((Inputs!$B$4:$B$250=$B85)*ISNUMBER(INDEX(Inputs!$D$4:$AG$250,0,MATCH(AE$2,Inputs!$D$2:$AG$2,0))))=0,"",SUMIFS(INDEX(Inputs!$D$4:$AG$250,0,MATCH(AE$2,Inputs!$D$2:$AG$2,0)),Inputs!$B$4:$B$250,$B85)/1000)</f>
        <v/>
      </c>
      <c r="AF85" s="11" t="str">
        <f>IF(SUMPRODUCT((Inputs!$B$4:$B$250=$B85)*ISNUMBER(INDEX(Inputs!$D$4:$AG$250,0,MATCH(AF$2,Inputs!$D$2:$AG$2,0))))=0,"",SUMIFS(INDEX(Inputs!$D$4:$AG$250,0,MATCH(AF$2,Inputs!$D$2:$AG$2,0)),Inputs!$B$4:$B$250,$B85)/1000)</f>
        <v/>
      </c>
      <c r="AG85" s="12" t="str">
        <f>IF(COUNT(AC85:AF85)=4,SUM(AC85:AF85),"")</f>
        <v/>
      </c>
    </row>
    <row r="86">
      <c r="B86" s="9" t="n">
        <v>78</v>
      </c>
      <c r="C86" s="10" t="inlineStr">
        <is>
          <t>Transmissao | TAP</t>
        </is>
      </c>
      <c r="D86" s="11" t="str">
        <f>IF(SUMPRODUCT((Inputs!$B$4:$B$250=$B86)*ISNUMBER(INDEX(Inputs!$D$4:$AG$250,0,MATCH(D$2,Inputs!$D$2:$AG$2,0))))=0,"",SUMIFS(INDEX(Inputs!$D$4:$AG$250,0,MATCH(D$2,Inputs!$D$2:$AG$2,0)),Inputs!$B$4:$B$250,$B86)/1000)</f>
        <v/>
      </c>
      <c r="E86" s="11" t="str">
        <f>IF(SUMPRODUCT((Inputs!$B$4:$B$250=$B86)*ISNUMBER(INDEX(Inputs!$D$4:$AG$250,0,MATCH(E$2,Inputs!$D$2:$AG$2,0))))=0,"",SUMIFS(INDEX(Inputs!$D$4:$AG$250,0,MATCH(E$2,Inputs!$D$2:$AG$2,0)),Inputs!$B$4:$B$250,$B86)/1000)</f>
        <v/>
      </c>
      <c r="F86" s="11" t="str">
        <f>IF(SUMPRODUCT((Inputs!$B$4:$B$250=$B86)*ISNUMBER(INDEX(Inputs!$D$4:$AG$250,0,MATCH(F$2,Inputs!$D$2:$AG$2,0))))=0,"",SUMIFS(INDEX(Inputs!$D$4:$AG$250,0,MATCH(F$2,Inputs!$D$2:$AG$2,0)),Inputs!$B$4:$B$250,$B86)/1000)</f>
        <v/>
      </c>
      <c r="G86" s="11" t="str">
        <f>IF(SUMPRODUCT((Inputs!$B$4:$B$250=$B86)*ISNUMBER(INDEX(Inputs!$D$4:$AG$250,0,MATCH(G$2,Inputs!$D$2:$AG$2,0))))=0,"",SUMIFS(INDEX(Inputs!$D$4:$AG$250,0,MATCH(G$2,Inputs!$D$2:$AG$2,0)),Inputs!$B$4:$B$250,$B86)/1000)</f>
        <v/>
      </c>
      <c r="H86" s="12" t="str">
        <f>IF(COUNT(D86:G86)=4,SUM(D86:G86),"")</f>
        <v/>
      </c>
      <c r="I86" s="11" t="str">
        <f>IF(SUMPRODUCT((Inputs!$B$4:$B$250=$B86)*ISNUMBER(INDEX(Inputs!$D$4:$AG$250,0,MATCH(I$2,Inputs!$D$2:$AG$2,0))))=0,"",SUMIFS(INDEX(Inputs!$D$4:$AG$250,0,MATCH(I$2,Inputs!$D$2:$AG$2,0)),Inputs!$B$4:$B$250,$B86)/1000)</f>
        <v/>
      </c>
      <c r="J86" s="11" t="str">
        <f>IF(SUMPRODUCT((Inputs!$B$4:$B$250=$B86)*ISNUMBER(INDEX(Inputs!$D$4:$AG$250,0,MATCH(J$2,Inputs!$D$2:$AG$2,0))))=0,"",SUMIFS(INDEX(Inputs!$D$4:$AG$250,0,MATCH(J$2,Inputs!$D$2:$AG$2,0)),Inputs!$B$4:$B$250,$B86)/1000)</f>
        <v/>
      </c>
      <c r="K86" s="11" t="str">
        <f>IF(SUMPRODUCT((Inputs!$B$4:$B$250=$B86)*ISNUMBER(INDEX(Inputs!$D$4:$AG$250,0,MATCH(K$2,Inputs!$D$2:$AG$2,0))))=0,"",SUMIFS(INDEX(Inputs!$D$4:$AG$250,0,MATCH(K$2,Inputs!$D$2:$AG$2,0)),Inputs!$B$4:$B$250,$B86)/1000)</f>
        <v/>
      </c>
      <c r="L86" s="11" t="str">
        <f>IF(SUMPRODUCT((Inputs!$B$4:$B$250=$B86)*ISNUMBER(INDEX(Inputs!$D$4:$AG$250,0,MATCH(L$2,Inputs!$D$2:$AG$2,0))))=0,"",SUMIFS(INDEX(Inputs!$D$4:$AG$250,0,MATCH(L$2,Inputs!$D$2:$AG$2,0)),Inputs!$B$4:$B$250,$B86)/1000)</f>
        <v/>
      </c>
      <c r="M86" s="12" t="str">
        <f>IF(COUNT(I86:L86)=4,SUM(I86:L86),"")</f>
        <v/>
      </c>
      <c r="N86" s="11" t="str">
        <f>IF(SUMPRODUCT((Inputs!$B$4:$B$250=$B86)*ISNUMBER(INDEX(Inputs!$D$4:$AG$250,0,MATCH(N$2,Inputs!$D$2:$AG$2,0))))=0,"",SUMIFS(INDEX(Inputs!$D$4:$AG$250,0,MATCH(N$2,Inputs!$D$2:$AG$2,0)),Inputs!$B$4:$B$250,$B86)/1000)</f>
        <v/>
      </c>
      <c r="O86" s="11" t="str">
        <f>IF(SUMPRODUCT((Inputs!$B$4:$B$250=$B86)*ISNUMBER(INDEX(Inputs!$D$4:$AG$250,0,MATCH(O$2,Inputs!$D$2:$AG$2,0))))=0,"",SUMIFS(INDEX(Inputs!$D$4:$AG$250,0,MATCH(O$2,Inputs!$D$2:$AG$2,0)),Inputs!$B$4:$B$250,$B86)/1000)</f>
        <v/>
      </c>
      <c r="P86" s="11" t="str">
        <f>IF(SUMPRODUCT((Inputs!$B$4:$B$250=$B86)*ISNUMBER(INDEX(Inputs!$D$4:$AG$250,0,MATCH(P$2,Inputs!$D$2:$AG$2,0))))=0,"",SUMIFS(INDEX(Inputs!$D$4:$AG$250,0,MATCH(P$2,Inputs!$D$2:$AG$2,0)),Inputs!$B$4:$B$250,$B86)/1000)</f>
        <v/>
      </c>
      <c r="Q86" s="11">
        <f>IF(SUMPRODUCT((Inputs!$B$4:$B$250=$B86)*ISNUMBER(INDEX(Inputs!$D$4:$AG$250,0,MATCH(Q$2,Inputs!$D$2:$AG$2,0))))=0,"",SUMIFS(INDEX(Inputs!$D$4:$AG$250,0,MATCH(Q$2,Inputs!$D$2:$AG$2,0)),Inputs!$B$4:$B$250,$B86)/1000)</f>
        <v>0</v>
      </c>
      <c r="R86" s="12" t="str">
        <f>IF(COUNT(N86:Q86)=4,SUM(N86:Q86),"")</f>
        <v/>
      </c>
      <c r="S86" s="11">
        <f>IF(SUMPRODUCT((Inputs!$B$4:$B$250=$B86)*ISNUMBER(INDEX(Inputs!$D$4:$AG$250,0,MATCH(S$2,Inputs!$D$2:$AG$2,0))))=0,"",SUMIFS(INDEX(Inputs!$D$4:$AG$250,0,MATCH(S$2,Inputs!$D$2:$AG$2,0)),Inputs!$B$4:$B$250,$B86)/1000)</f>
        <v>0</v>
      </c>
      <c r="T86" s="11">
        <f>IF(SUMPRODUCT((Inputs!$B$4:$B$250=$B86)*ISNUMBER(INDEX(Inputs!$D$4:$AG$250,0,MATCH(T$2,Inputs!$D$2:$AG$2,0))))=0,"",SUMIFS(INDEX(Inputs!$D$4:$AG$250,0,MATCH(T$2,Inputs!$D$2:$AG$2,0)),Inputs!$B$4:$B$250,$B86)/1000)</f>
        <v>3.696</v>
      </c>
      <c r="U86" s="11">
        <f>IF(SUMPRODUCT((Inputs!$B$4:$B$250=$B86)*ISNUMBER(INDEX(Inputs!$D$4:$AG$250,0,MATCH(U$2,Inputs!$D$2:$AG$2,0))))=0,"",SUMIFS(INDEX(Inputs!$D$4:$AG$250,0,MATCH(U$2,Inputs!$D$2:$AG$2,0)),Inputs!$B$4:$B$250,$B86)/1000)</f>
        <v>-0.365</v>
      </c>
      <c r="V86" s="11">
        <f>IF(SUMPRODUCT((Inputs!$B$4:$B$250=$B86)*ISNUMBER(INDEX(Inputs!$D$4:$AG$250,0,MATCH(V$2,Inputs!$D$2:$AG$2,0))))=0,"",SUMIFS(INDEX(Inputs!$D$4:$AG$250,0,MATCH(V$2,Inputs!$D$2:$AG$2,0)),Inputs!$B$4:$B$250,$B86)/1000)</f>
        <v>8.606</v>
      </c>
      <c r="W86" s="12">
        <f>IF(COUNT(S86:V86)=4,SUM(S86:V86),"")</f>
        <v>11.937</v>
      </c>
      <c r="X86" s="11">
        <f>IF(SUMPRODUCT((Inputs!$B$4:$B$250=$B86)*ISNUMBER(INDEX(Inputs!$D$4:$AG$250,0,MATCH(X$2,Inputs!$D$2:$AG$2,0))))=0,"",SUMIFS(INDEX(Inputs!$D$4:$AG$250,0,MATCH(X$2,Inputs!$D$2:$AG$2,0)),Inputs!$B$4:$B$250,$B86)/1000)</f>
        <v>2.215</v>
      </c>
      <c r="Y86" s="11">
        <f>IF(SUMPRODUCT((Inputs!$B$4:$B$250=$B86)*ISNUMBER(INDEX(Inputs!$D$4:$AG$250,0,MATCH(Y$2,Inputs!$D$2:$AG$2,0))))=0,"",SUMIFS(INDEX(Inputs!$D$4:$AG$250,0,MATCH(Y$2,Inputs!$D$2:$AG$2,0)),Inputs!$B$4:$B$250,$B86)/1000)</f>
        <v>0</v>
      </c>
      <c r="Z86" s="11">
        <f>IF(SUMPRODUCT((Inputs!$B$4:$B$250=$B86)*ISNUMBER(INDEX(Inputs!$D$4:$AG$250,0,MATCH(Z$2,Inputs!$D$2:$AG$2,0))))=0,"",SUMIFS(INDEX(Inputs!$D$4:$AG$250,0,MATCH(Z$2,Inputs!$D$2:$AG$2,0)),Inputs!$B$4:$B$250,$B86)/1000)</f>
        <v>0</v>
      </c>
      <c r="AA86" s="11">
        <f>IF(SUMPRODUCT((Inputs!$B$4:$B$250=$B86)*ISNUMBER(INDEX(Inputs!$D$4:$AG$250,0,MATCH(AA$2,Inputs!$D$2:$AG$2,0))))=0,"",SUMIFS(INDEX(Inputs!$D$4:$AG$250,0,MATCH(AA$2,Inputs!$D$2:$AG$2,0)),Inputs!$B$4:$B$250,$B86)/1000)</f>
        <v>0</v>
      </c>
      <c r="AB86" s="12">
        <f>IF(COUNT(X86:AA86)=4,SUM(X86:AA86),"")</f>
        <v>2.215</v>
      </c>
      <c r="AC86" s="11">
        <f>IF(SUMPRODUCT((Inputs!$B$4:$B$250=$B86)*ISNUMBER(INDEX(Inputs!$D$4:$AG$250,0,MATCH(AC$2,Inputs!$D$2:$AG$2,0))))=0,"",SUMIFS(INDEX(Inputs!$D$4:$AG$250,0,MATCH(AC$2,Inputs!$D$2:$AG$2,0)),Inputs!$B$4:$B$250,$B86)/1000)</f>
        <v>0</v>
      </c>
      <c r="AD86" s="11">
        <f>IF(SUMPRODUCT((Inputs!$B$4:$B$250=$B86)*ISNUMBER(INDEX(Inputs!$D$4:$AG$250,0,MATCH(AD$2,Inputs!$D$2:$AG$2,0))))=0,"",SUMIFS(INDEX(Inputs!$D$4:$AG$250,0,MATCH(AD$2,Inputs!$D$2:$AG$2,0)),Inputs!$B$4:$B$250,$B86)/1000)</f>
        <v>0</v>
      </c>
      <c r="AE86" s="11" t="str">
        <f>IF(SUMPRODUCT((Inputs!$B$4:$B$250=$B86)*ISNUMBER(INDEX(Inputs!$D$4:$AG$250,0,MATCH(AE$2,Inputs!$D$2:$AG$2,0))))=0,"",SUMIFS(INDEX(Inputs!$D$4:$AG$250,0,MATCH(AE$2,Inputs!$D$2:$AG$2,0)),Inputs!$B$4:$B$250,$B86)/1000)</f>
        <v/>
      </c>
      <c r="AF86" s="11" t="str">
        <f>IF(SUMPRODUCT((Inputs!$B$4:$B$250=$B86)*ISNUMBER(INDEX(Inputs!$D$4:$AG$250,0,MATCH(AF$2,Inputs!$D$2:$AG$2,0))))=0,"",SUMIFS(INDEX(Inputs!$D$4:$AG$250,0,MATCH(AF$2,Inputs!$D$2:$AG$2,0)),Inputs!$B$4:$B$250,$B86)/1000)</f>
        <v/>
      </c>
      <c r="AG86" s="12" t="str">
        <f>IF(COUNT(AC86:AF86)=4,SUM(AC86:AF86),"")</f>
        <v/>
      </c>
    </row>
    <row r="87">
      <c r="B87" s="9" t="n">
        <v>79</v>
      </c>
      <c r="C87" s="10" t="inlineStr">
        <is>
          <t>Transmissao | TCN</t>
        </is>
      </c>
      <c r="D87" s="11" t="str">
        <f>IF(SUMPRODUCT((Inputs!$B$4:$B$250=$B87)*ISNUMBER(INDEX(Inputs!$D$4:$AG$250,0,MATCH(D$2,Inputs!$D$2:$AG$2,0))))=0,"",SUMIFS(INDEX(Inputs!$D$4:$AG$250,0,MATCH(D$2,Inputs!$D$2:$AG$2,0)),Inputs!$B$4:$B$250,$B87)/1000)</f>
        <v/>
      </c>
      <c r="E87" s="11" t="str">
        <f>IF(SUMPRODUCT((Inputs!$B$4:$B$250=$B87)*ISNUMBER(INDEX(Inputs!$D$4:$AG$250,0,MATCH(E$2,Inputs!$D$2:$AG$2,0))))=0,"",SUMIFS(INDEX(Inputs!$D$4:$AG$250,0,MATCH(E$2,Inputs!$D$2:$AG$2,0)),Inputs!$B$4:$B$250,$B87)/1000)</f>
        <v/>
      </c>
      <c r="F87" s="11" t="str">
        <f>IF(SUMPRODUCT((Inputs!$B$4:$B$250=$B87)*ISNUMBER(INDEX(Inputs!$D$4:$AG$250,0,MATCH(F$2,Inputs!$D$2:$AG$2,0))))=0,"",SUMIFS(INDEX(Inputs!$D$4:$AG$250,0,MATCH(F$2,Inputs!$D$2:$AG$2,0)),Inputs!$B$4:$B$250,$B87)/1000)</f>
        <v/>
      </c>
      <c r="G87" s="11" t="str">
        <f>IF(SUMPRODUCT((Inputs!$B$4:$B$250=$B87)*ISNUMBER(INDEX(Inputs!$D$4:$AG$250,0,MATCH(G$2,Inputs!$D$2:$AG$2,0))))=0,"",SUMIFS(INDEX(Inputs!$D$4:$AG$250,0,MATCH(G$2,Inputs!$D$2:$AG$2,0)),Inputs!$B$4:$B$250,$B87)/1000)</f>
        <v/>
      </c>
      <c r="H87" s="12" t="str">
        <f>IF(COUNT(D87:G87)=4,SUM(D87:G87),"")</f>
        <v/>
      </c>
      <c r="I87" s="11" t="str">
        <f>IF(SUMPRODUCT((Inputs!$B$4:$B$250=$B87)*ISNUMBER(INDEX(Inputs!$D$4:$AG$250,0,MATCH(I$2,Inputs!$D$2:$AG$2,0))))=0,"",SUMIFS(INDEX(Inputs!$D$4:$AG$250,0,MATCH(I$2,Inputs!$D$2:$AG$2,0)),Inputs!$B$4:$B$250,$B87)/1000)</f>
        <v/>
      </c>
      <c r="J87" s="11" t="str">
        <f>IF(SUMPRODUCT((Inputs!$B$4:$B$250=$B87)*ISNUMBER(INDEX(Inputs!$D$4:$AG$250,0,MATCH(J$2,Inputs!$D$2:$AG$2,0))))=0,"",SUMIFS(INDEX(Inputs!$D$4:$AG$250,0,MATCH(J$2,Inputs!$D$2:$AG$2,0)),Inputs!$B$4:$B$250,$B87)/1000)</f>
        <v/>
      </c>
      <c r="K87" s="11" t="str">
        <f>IF(SUMPRODUCT((Inputs!$B$4:$B$250=$B87)*ISNUMBER(INDEX(Inputs!$D$4:$AG$250,0,MATCH(K$2,Inputs!$D$2:$AG$2,0))))=0,"",SUMIFS(INDEX(Inputs!$D$4:$AG$250,0,MATCH(K$2,Inputs!$D$2:$AG$2,0)),Inputs!$B$4:$B$250,$B87)/1000)</f>
        <v/>
      </c>
      <c r="L87" s="11" t="str">
        <f>IF(SUMPRODUCT((Inputs!$B$4:$B$250=$B87)*ISNUMBER(INDEX(Inputs!$D$4:$AG$250,0,MATCH(L$2,Inputs!$D$2:$AG$2,0))))=0,"",SUMIFS(INDEX(Inputs!$D$4:$AG$250,0,MATCH(L$2,Inputs!$D$2:$AG$2,0)),Inputs!$B$4:$B$250,$B87)/1000)</f>
        <v/>
      </c>
      <c r="M87" s="12" t="str">
        <f>IF(COUNT(I87:L87)=4,SUM(I87:L87),"")</f>
        <v/>
      </c>
      <c r="N87" s="11" t="str">
        <f>IF(SUMPRODUCT((Inputs!$B$4:$B$250=$B87)*ISNUMBER(INDEX(Inputs!$D$4:$AG$250,0,MATCH(N$2,Inputs!$D$2:$AG$2,0))))=0,"",SUMIFS(INDEX(Inputs!$D$4:$AG$250,0,MATCH(N$2,Inputs!$D$2:$AG$2,0)),Inputs!$B$4:$B$250,$B87)/1000)</f>
        <v/>
      </c>
      <c r="O87" s="11" t="str">
        <f>IF(SUMPRODUCT((Inputs!$B$4:$B$250=$B87)*ISNUMBER(INDEX(Inputs!$D$4:$AG$250,0,MATCH(O$2,Inputs!$D$2:$AG$2,0))))=0,"",SUMIFS(INDEX(Inputs!$D$4:$AG$250,0,MATCH(O$2,Inputs!$D$2:$AG$2,0)),Inputs!$B$4:$B$250,$B87)/1000)</f>
        <v/>
      </c>
      <c r="P87" s="11" t="str">
        <f>IF(SUMPRODUCT((Inputs!$B$4:$B$250=$B87)*ISNUMBER(INDEX(Inputs!$D$4:$AG$250,0,MATCH(P$2,Inputs!$D$2:$AG$2,0))))=0,"",SUMIFS(INDEX(Inputs!$D$4:$AG$250,0,MATCH(P$2,Inputs!$D$2:$AG$2,0)),Inputs!$B$4:$B$250,$B87)/1000)</f>
        <v/>
      </c>
      <c r="Q87" s="11" t="str">
        <f>IF(SUMPRODUCT((Inputs!$B$4:$B$250=$B87)*ISNUMBER(INDEX(Inputs!$D$4:$AG$250,0,MATCH(Q$2,Inputs!$D$2:$AG$2,0))))=0,"",SUMIFS(INDEX(Inputs!$D$4:$AG$250,0,MATCH(Q$2,Inputs!$D$2:$AG$2,0)),Inputs!$B$4:$B$250,$B87)/1000)</f>
        <v/>
      </c>
      <c r="R87" s="12" t="str">
        <f>IF(COUNT(N87:Q87)=4,SUM(N87:Q87),"")</f>
        <v/>
      </c>
      <c r="S87" s="11">
        <f>IF(SUMPRODUCT((Inputs!$B$4:$B$250=$B87)*ISNUMBER(INDEX(Inputs!$D$4:$AG$250,0,MATCH(S$2,Inputs!$D$2:$AG$2,0))))=0,"",SUMIFS(INDEX(Inputs!$D$4:$AG$250,0,MATCH(S$2,Inputs!$D$2:$AG$2,0)),Inputs!$B$4:$B$250,$B87)/1000)</f>
        <v>0</v>
      </c>
      <c r="T87" s="11">
        <f>IF(SUMPRODUCT((Inputs!$B$4:$B$250=$B87)*ISNUMBER(INDEX(Inputs!$D$4:$AG$250,0,MATCH(T$2,Inputs!$D$2:$AG$2,0))))=0,"",SUMIFS(INDEX(Inputs!$D$4:$AG$250,0,MATCH(T$2,Inputs!$D$2:$AG$2,0)),Inputs!$B$4:$B$250,$B87)/1000)</f>
        <v>0</v>
      </c>
      <c r="U87" s="11">
        <f>IF(SUMPRODUCT((Inputs!$B$4:$B$250=$B87)*ISNUMBER(INDEX(Inputs!$D$4:$AG$250,0,MATCH(U$2,Inputs!$D$2:$AG$2,0))))=0,"",SUMIFS(INDEX(Inputs!$D$4:$AG$250,0,MATCH(U$2,Inputs!$D$2:$AG$2,0)),Inputs!$B$4:$B$250,$B87)/1000)</f>
        <v>2.322</v>
      </c>
      <c r="V87" s="11">
        <f>IF(SUMPRODUCT((Inputs!$B$4:$B$250=$B87)*ISNUMBER(INDEX(Inputs!$D$4:$AG$250,0,MATCH(V$2,Inputs!$D$2:$AG$2,0))))=0,"",SUMIFS(INDEX(Inputs!$D$4:$AG$250,0,MATCH(V$2,Inputs!$D$2:$AG$2,0)),Inputs!$B$4:$B$250,$B87)/1000)</f>
        <v>2.299</v>
      </c>
      <c r="W87" s="12">
        <f>IF(COUNT(S87:V87)=4,SUM(S87:V87),"")</f>
        <v>4.621</v>
      </c>
      <c r="X87" s="11">
        <f>IF(SUMPRODUCT((Inputs!$B$4:$B$250=$B87)*ISNUMBER(INDEX(Inputs!$D$4:$AG$250,0,MATCH(X$2,Inputs!$D$2:$AG$2,0))))=0,"",SUMIFS(INDEX(Inputs!$D$4:$AG$250,0,MATCH(X$2,Inputs!$D$2:$AG$2,0)),Inputs!$B$4:$B$250,$B87)/1000)</f>
        <v>1.786</v>
      </c>
      <c r="Y87" s="11">
        <f>IF(SUMPRODUCT((Inputs!$B$4:$B$250=$B87)*ISNUMBER(INDEX(Inputs!$D$4:$AG$250,0,MATCH(Y$2,Inputs!$D$2:$AG$2,0))))=0,"",SUMIFS(INDEX(Inputs!$D$4:$AG$250,0,MATCH(Y$2,Inputs!$D$2:$AG$2,0)),Inputs!$B$4:$B$250,$B87)/1000)</f>
        <v>3.813</v>
      </c>
      <c r="Z87" s="11">
        <f>IF(SUMPRODUCT((Inputs!$B$4:$B$250=$B87)*ISNUMBER(INDEX(Inputs!$D$4:$AG$250,0,MATCH(Z$2,Inputs!$D$2:$AG$2,0))))=0,"",SUMIFS(INDEX(Inputs!$D$4:$AG$250,0,MATCH(Z$2,Inputs!$D$2:$AG$2,0)),Inputs!$B$4:$B$250,$B87)/1000)</f>
        <v>7.605</v>
      </c>
      <c r="AA87" s="11">
        <f>IF(SUMPRODUCT((Inputs!$B$4:$B$250=$B87)*ISNUMBER(INDEX(Inputs!$D$4:$AG$250,0,MATCH(AA$2,Inputs!$D$2:$AG$2,0))))=0,"",SUMIFS(INDEX(Inputs!$D$4:$AG$250,0,MATCH(AA$2,Inputs!$D$2:$AG$2,0)),Inputs!$B$4:$B$250,$B87)/1000)</f>
        <v>16.646</v>
      </c>
      <c r="AB87" s="12">
        <f>IF(COUNT(X87:AA87)=4,SUM(X87:AA87),"")</f>
        <v>29.85</v>
      </c>
      <c r="AC87" s="11">
        <f>IF(SUMPRODUCT((Inputs!$B$4:$B$250=$B87)*ISNUMBER(INDEX(Inputs!$D$4:$AG$250,0,MATCH(AC$2,Inputs!$D$2:$AG$2,0))))=0,"",SUMIFS(INDEX(Inputs!$D$4:$AG$250,0,MATCH(AC$2,Inputs!$D$2:$AG$2,0)),Inputs!$B$4:$B$250,$B87)/1000)</f>
        <v>0</v>
      </c>
      <c r="AD87" s="11" t="str">
        <f>IF(SUMPRODUCT((Inputs!$B$4:$B$250=$B87)*ISNUMBER(INDEX(Inputs!$D$4:$AG$250,0,MATCH(AD$2,Inputs!$D$2:$AG$2,0))))=0,"",SUMIFS(INDEX(Inputs!$D$4:$AG$250,0,MATCH(AD$2,Inputs!$D$2:$AG$2,0)),Inputs!$B$4:$B$250,$B87)/1000)</f>
        <v/>
      </c>
      <c r="AE87" s="11" t="str">
        <f>IF(SUMPRODUCT((Inputs!$B$4:$B$250=$B87)*ISNUMBER(INDEX(Inputs!$D$4:$AG$250,0,MATCH(AE$2,Inputs!$D$2:$AG$2,0))))=0,"",SUMIFS(INDEX(Inputs!$D$4:$AG$250,0,MATCH(AE$2,Inputs!$D$2:$AG$2,0)),Inputs!$B$4:$B$250,$B87)/1000)</f>
        <v/>
      </c>
      <c r="AF87" s="11" t="str">
        <f>IF(SUMPRODUCT((Inputs!$B$4:$B$250=$B87)*ISNUMBER(INDEX(Inputs!$D$4:$AG$250,0,MATCH(AF$2,Inputs!$D$2:$AG$2,0))))=0,"",SUMIFS(INDEX(Inputs!$D$4:$AG$250,0,MATCH(AF$2,Inputs!$D$2:$AG$2,0)),Inputs!$B$4:$B$250,$B87)/1000)</f>
        <v/>
      </c>
      <c r="AG87" s="12" t="str">
        <f>IF(COUNT(AC87:AF87)=4,SUM(AC87:AF87),"")</f>
        <v/>
      </c>
    </row>
    <row r="88">
      <c r="B88" s="9" t="n">
        <v>80</v>
      </c>
      <c r="C88" s="10" t="inlineStr">
        <is>
          <t>Transmissao | TPC</t>
        </is>
      </c>
      <c r="D88" s="11" t="str">
        <f>IF(SUMPRODUCT((Inputs!$B$4:$B$250=$B88)*ISNUMBER(INDEX(Inputs!$D$4:$AG$250,0,MATCH(D$2,Inputs!$D$2:$AG$2,0))))=0,"",SUMIFS(INDEX(Inputs!$D$4:$AG$250,0,MATCH(D$2,Inputs!$D$2:$AG$2,0)),Inputs!$B$4:$B$250,$B88)/1000)</f>
        <v/>
      </c>
      <c r="E88" s="11" t="str">
        <f>IF(SUMPRODUCT((Inputs!$B$4:$B$250=$B88)*ISNUMBER(INDEX(Inputs!$D$4:$AG$250,0,MATCH(E$2,Inputs!$D$2:$AG$2,0))))=0,"",SUMIFS(INDEX(Inputs!$D$4:$AG$250,0,MATCH(E$2,Inputs!$D$2:$AG$2,0)),Inputs!$B$4:$B$250,$B88)/1000)</f>
        <v/>
      </c>
      <c r="F88" s="11" t="str">
        <f>IF(SUMPRODUCT((Inputs!$B$4:$B$250=$B88)*ISNUMBER(INDEX(Inputs!$D$4:$AG$250,0,MATCH(F$2,Inputs!$D$2:$AG$2,0))))=0,"",SUMIFS(INDEX(Inputs!$D$4:$AG$250,0,MATCH(F$2,Inputs!$D$2:$AG$2,0)),Inputs!$B$4:$B$250,$B88)/1000)</f>
        <v/>
      </c>
      <c r="G88" s="11" t="str">
        <f>IF(SUMPRODUCT((Inputs!$B$4:$B$250=$B88)*ISNUMBER(INDEX(Inputs!$D$4:$AG$250,0,MATCH(G$2,Inputs!$D$2:$AG$2,0))))=0,"",SUMIFS(INDEX(Inputs!$D$4:$AG$250,0,MATCH(G$2,Inputs!$D$2:$AG$2,0)),Inputs!$B$4:$B$250,$B88)/1000)</f>
        <v/>
      </c>
      <c r="H88" s="12" t="str">
        <f>IF(COUNT(D88:G88)=4,SUM(D88:G88),"")</f>
        <v/>
      </c>
      <c r="I88" s="11" t="str">
        <f>IF(SUMPRODUCT((Inputs!$B$4:$B$250=$B88)*ISNUMBER(INDEX(Inputs!$D$4:$AG$250,0,MATCH(I$2,Inputs!$D$2:$AG$2,0))))=0,"",SUMIFS(INDEX(Inputs!$D$4:$AG$250,0,MATCH(I$2,Inputs!$D$2:$AG$2,0)),Inputs!$B$4:$B$250,$B88)/1000)</f>
        <v/>
      </c>
      <c r="J88" s="11" t="str">
        <f>IF(SUMPRODUCT((Inputs!$B$4:$B$250=$B88)*ISNUMBER(INDEX(Inputs!$D$4:$AG$250,0,MATCH(J$2,Inputs!$D$2:$AG$2,0))))=0,"",SUMIFS(INDEX(Inputs!$D$4:$AG$250,0,MATCH(J$2,Inputs!$D$2:$AG$2,0)),Inputs!$B$4:$B$250,$B88)/1000)</f>
        <v/>
      </c>
      <c r="K88" s="11" t="str">
        <f>IF(SUMPRODUCT((Inputs!$B$4:$B$250=$B88)*ISNUMBER(INDEX(Inputs!$D$4:$AG$250,0,MATCH(K$2,Inputs!$D$2:$AG$2,0))))=0,"",SUMIFS(INDEX(Inputs!$D$4:$AG$250,0,MATCH(K$2,Inputs!$D$2:$AG$2,0)),Inputs!$B$4:$B$250,$B88)/1000)</f>
        <v/>
      </c>
      <c r="L88" s="11" t="str">
        <f>IF(SUMPRODUCT((Inputs!$B$4:$B$250=$B88)*ISNUMBER(INDEX(Inputs!$D$4:$AG$250,0,MATCH(L$2,Inputs!$D$2:$AG$2,0))))=0,"",SUMIFS(INDEX(Inputs!$D$4:$AG$250,0,MATCH(L$2,Inputs!$D$2:$AG$2,0)),Inputs!$B$4:$B$250,$B88)/1000)</f>
        <v/>
      </c>
      <c r="M88" s="12" t="str">
        <f>IF(COUNT(I88:L88)=4,SUM(I88:L88),"")</f>
        <v/>
      </c>
      <c r="N88" s="11" t="str">
        <f>IF(SUMPRODUCT((Inputs!$B$4:$B$250=$B88)*ISNUMBER(INDEX(Inputs!$D$4:$AG$250,0,MATCH(N$2,Inputs!$D$2:$AG$2,0))))=0,"",SUMIFS(INDEX(Inputs!$D$4:$AG$250,0,MATCH(N$2,Inputs!$D$2:$AG$2,0)),Inputs!$B$4:$B$250,$B88)/1000)</f>
        <v/>
      </c>
      <c r="O88" s="11" t="str">
        <f>IF(SUMPRODUCT((Inputs!$B$4:$B$250=$B88)*ISNUMBER(INDEX(Inputs!$D$4:$AG$250,0,MATCH(O$2,Inputs!$D$2:$AG$2,0))))=0,"",SUMIFS(INDEX(Inputs!$D$4:$AG$250,0,MATCH(O$2,Inputs!$D$2:$AG$2,0)),Inputs!$B$4:$B$250,$B88)/1000)</f>
        <v/>
      </c>
      <c r="P88" s="11" t="str">
        <f>IF(SUMPRODUCT((Inputs!$B$4:$B$250=$B88)*ISNUMBER(INDEX(Inputs!$D$4:$AG$250,0,MATCH(P$2,Inputs!$D$2:$AG$2,0))))=0,"",SUMIFS(INDEX(Inputs!$D$4:$AG$250,0,MATCH(P$2,Inputs!$D$2:$AG$2,0)),Inputs!$B$4:$B$250,$B88)/1000)</f>
        <v/>
      </c>
      <c r="Q88" s="11" t="str">
        <f>IF(SUMPRODUCT((Inputs!$B$4:$B$250=$B88)*ISNUMBER(INDEX(Inputs!$D$4:$AG$250,0,MATCH(Q$2,Inputs!$D$2:$AG$2,0))))=0,"",SUMIFS(INDEX(Inputs!$D$4:$AG$250,0,MATCH(Q$2,Inputs!$D$2:$AG$2,0)),Inputs!$B$4:$B$250,$B88)/1000)</f>
        <v/>
      </c>
      <c r="R88" s="12" t="str">
        <f>IF(COUNT(N88:Q88)=4,SUM(N88:Q88),"")</f>
        <v/>
      </c>
      <c r="S88" s="11">
        <f>IF(SUMPRODUCT((Inputs!$B$4:$B$250=$B88)*ISNUMBER(INDEX(Inputs!$D$4:$AG$250,0,MATCH(S$2,Inputs!$D$2:$AG$2,0))))=0,"",SUMIFS(INDEX(Inputs!$D$4:$AG$250,0,MATCH(S$2,Inputs!$D$2:$AG$2,0)),Inputs!$B$4:$B$250,$B88)/1000)</f>
        <v>0</v>
      </c>
      <c r="T88" s="11">
        <f>IF(SUMPRODUCT((Inputs!$B$4:$B$250=$B88)*ISNUMBER(INDEX(Inputs!$D$4:$AG$250,0,MATCH(T$2,Inputs!$D$2:$AG$2,0))))=0,"",SUMIFS(INDEX(Inputs!$D$4:$AG$250,0,MATCH(T$2,Inputs!$D$2:$AG$2,0)),Inputs!$B$4:$B$250,$B88)/1000)</f>
        <v>0</v>
      </c>
      <c r="U88" s="11">
        <f>IF(SUMPRODUCT((Inputs!$B$4:$B$250=$B88)*ISNUMBER(INDEX(Inputs!$D$4:$AG$250,0,MATCH(U$2,Inputs!$D$2:$AG$2,0))))=0,"",SUMIFS(INDEX(Inputs!$D$4:$AG$250,0,MATCH(U$2,Inputs!$D$2:$AG$2,0)),Inputs!$B$4:$B$250,$B88)/1000)</f>
        <v>1.051</v>
      </c>
      <c r="V88" s="11">
        <f>IF(SUMPRODUCT((Inputs!$B$4:$B$250=$B88)*ISNUMBER(INDEX(Inputs!$D$4:$AG$250,0,MATCH(V$2,Inputs!$D$2:$AG$2,0))))=0,"",SUMIFS(INDEX(Inputs!$D$4:$AG$250,0,MATCH(V$2,Inputs!$D$2:$AG$2,0)),Inputs!$B$4:$B$250,$B88)/1000)</f>
        <v>1.163</v>
      </c>
      <c r="W88" s="12">
        <f>IF(COUNT(S88:V88)=4,SUM(S88:V88),"")</f>
        <v>2.214</v>
      </c>
      <c r="X88" s="11">
        <f>IF(SUMPRODUCT((Inputs!$B$4:$B$250=$B88)*ISNUMBER(INDEX(Inputs!$D$4:$AG$250,0,MATCH(X$2,Inputs!$D$2:$AG$2,0))))=0,"",SUMIFS(INDEX(Inputs!$D$4:$AG$250,0,MATCH(X$2,Inputs!$D$2:$AG$2,0)),Inputs!$B$4:$B$250,$B88)/1000)</f>
        <v>2.755</v>
      </c>
      <c r="Y88" s="11">
        <f>IF(SUMPRODUCT((Inputs!$B$4:$B$250=$B88)*ISNUMBER(INDEX(Inputs!$D$4:$AG$250,0,MATCH(Y$2,Inputs!$D$2:$AG$2,0))))=0,"",SUMIFS(INDEX(Inputs!$D$4:$AG$250,0,MATCH(Y$2,Inputs!$D$2:$AG$2,0)),Inputs!$B$4:$B$250,$B88)/1000)</f>
        <v>2.785</v>
      </c>
      <c r="Z88" s="11">
        <f>IF(SUMPRODUCT((Inputs!$B$4:$B$250=$B88)*ISNUMBER(INDEX(Inputs!$D$4:$AG$250,0,MATCH(Z$2,Inputs!$D$2:$AG$2,0))))=0,"",SUMIFS(INDEX(Inputs!$D$4:$AG$250,0,MATCH(Z$2,Inputs!$D$2:$AG$2,0)),Inputs!$B$4:$B$250,$B88)/1000)</f>
        <v>3.856</v>
      </c>
      <c r="AA88" s="11">
        <f>IF(SUMPRODUCT((Inputs!$B$4:$B$250=$B88)*ISNUMBER(INDEX(Inputs!$D$4:$AG$250,0,MATCH(AA$2,Inputs!$D$2:$AG$2,0))))=0,"",SUMIFS(INDEX(Inputs!$D$4:$AG$250,0,MATCH(AA$2,Inputs!$D$2:$AG$2,0)),Inputs!$B$4:$B$250,$B88)/1000)</f>
        <v>7.902</v>
      </c>
      <c r="AB88" s="12">
        <f>IF(COUNT(X88:AA88)=4,SUM(X88:AA88),"")</f>
        <v>17.298</v>
      </c>
      <c r="AC88" s="11">
        <f>IF(SUMPRODUCT((Inputs!$B$4:$B$250=$B88)*ISNUMBER(INDEX(Inputs!$D$4:$AG$250,0,MATCH(AC$2,Inputs!$D$2:$AG$2,0))))=0,"",SUMIFS(INDEX(Inputs!$D$4:$AG$250,0,MATCH(AC$2,Inputs!$D$2:$AG$2,0)),Inputs!$B$4:$B$250,$B88)/1000)</f>
        <v>10.13</v>
      </c>
      <c r="AD88" s="11">
        <f>IF(SUMPRODUCT((Inputs!$B$4:$B$250=$B88)*ISNUMBER(INDEX(Inputs!$D$4:$AG$250,0,MATCH(AD$2,Inputs!$D$2:$AG$2,0))))=0,"",SUMIFS(INDEX(Inputs!$D$4:$AG$250,0,MATCH(AD$2,Inputs!$D$2:$AG$2,0)),Inputs!$B$4:$B$250,$B88)/1000)</f>
        <v>10.703</v>
      </c>
      <c r="AE88" s="11" t="str">
        <f>IF(SUMPRODUCT((Inputs!$B$4:$B$250=$B88)*ISNUMBER(INDEX(Inputs!$D$4:$AG$250,0,MATCH(AE$2,Inputs!$D$2:$AG$2,0))))=0,"",SUMIFS(INDEX(Inputs!$D$4:$AG$250,0,MATCH(AE$2,Inputs!$D$2:$AG$2,0)),Inputs!$B$4:$B$250,$B88)/1000)</f>
        <v/>
      </c>
      <c r="AF88" s="11" t="str">
        <f>IF(SUMPRODUCT((Inputs!$B$4:$B$250=$B88)*ISNUMBER(INDEX(Inputs!$D$4:$AG$250,0,MATCH(AF$2,Inputs!$D$2:$AG$2,0))))=0,"",SUMIFS(INDEX(Inputs!$D$4:$AG$250,0,MATCH(AF$2,Inputs!$D$2:$AG$2,0)),Inputs!$B$4:$B$250,$B88)/1000)</f>
        <v/>
      </c>
      <c r="AG88" s="12" t="str">
        <f>IF(COUNT(AC88:AF88)=4,SUM(AC88:AF88),"")</f>
        <v/>
      </c>
    </row>
    <row r="89">
      <c r="B89" s="9" t="n">
        <v>81</v>
      </c>
      <c r="C89" s="10" t="inlineStr">
        <is>
          <t>Transmissao | TSA</t>
        </is>
      </c>
      <c r="D89" s="11" t="str">
        <f>IF(SUMPRODUCT((Inputs!$B$4:$B$250=$B89)*ISNUMBER(INDEX(Inputs!$D$4:$AG$250,0,MATCH(D$2,Inputs!$D$2:$AG$2,0))))=0,"",SUMIFS(INDEX(Inputs!$D$4:$AG$250,0,MATCH(D$2,Inputs!$D$2:$AG$2,0)),Inputs!$B$4:$B$250,$B89)/1000)</f>
        <v/>
      </c>
      <c r="E89" s="11" t="str">
        <f>IF(SUMPRODUCT((Inputs!$B$4:$B$250=$B89)*ISNUMBER(INDEX(Inputs!$D$4:$AG$250,0,MATCH(E$2,Inputs!$D$2:$AG$2,0))))=0,"",SUMIFS(INDEX(Inputs!$D$4:$AG$250,0,MATCH(E$2,Inputs!$D$2:$AG$2,0)),Inputs!$B$4:$B$250,$B89)/1000)</f>
        <v/>
      </c>
      <c r="F89" s="11" t="str">
        <f>IF(SUMPRODUCT((Inputs!$B$4:$B$250=$B89)*ISNUMBER(INDEX(Inputs!$D$4:$AG$250,0,MATCH(F$2,Inputs!$D$2:$AG$2,0))))=0,"",SUMIFS(INDEX(Inputs!$D$4:$AG$250,0,MATCH(F$2,Inputs!$D$2:$AG$2,0)),Inputs!$B$4:$B$250,$B89)/1000)</f>
        <v/>
      </c>
      <c r="G89" s="11" t="str">
        <f>IF(SUMPRODUCT((Inputs!$B$4:$B$250=$B89)*ISNUMBER(INDEX(Inputs!$D$4:$AG$250,0,MATCH(G$2,Inputs!$D$2:$AG$2,0))))=0,"",SUMIFS(INDEX(Inputs!$D$4:$AG$250,0,MATCH(G$2,Inputs!$D$2:$AG$2,0)),Inputs!$B$4:$B$250,$B89)/1000)</f>
        <v/>
      </c>
      <c r="H89" s="12" t="str">
        <f>IF(COUNT(D89:G89)=4,SUM(D89:G89),"")</f>
        <v/>
      </c>
      <c r="I89" s="11" t="str">
        <f>IF(SUMPRODUCT((Inputs!$B$4:$B$250=$B89)*ISNUMBER(INDEX(Inputs!$D$4:$AG$250,0,MATCH(I$2,Inputs!$D$2:$AG$2,0))))=0,"",SUMIFS(INDEX(Inputs!$D$4:$AG$250,0,MATCH(I$2,Inputs!$D$2:$AG$2,0)),Inputs!$B$4:$B$250,$B89)/1000)</f>
        <v/>
      </c>
      <c r="J89" s="11" t="str">
        <f>IF(SUMPRODUCT((Inputs!$B$4:$B$250=$B89)*ISNUMBER(INDEX(Inputs!$D$4:$AG$250,0,MATCH(J$2,Inputs!$D$2:$AG$2,0))))=0,"",SUMIFS(INDEX(Inputs!$D$4:$AG$250,0,MATCH(J$2,Inputs!$D$2:$AG$2,0)),Inputs!$B$4:$B$250,$B89)/1000)</f>
        <v/>
      </c>
      <c r="K89" s="11" t="str">
        <f>IF(SUMPRODUCT((Inputs!$B$4:$B$250=$B89)*ISNUMBER(INDEX(Inputs!$D$4:$AG$250,0,MATCH(K$2,Inputs!$D$2:$AG$2,0))))=0,"",SUMIFS(INDEX(Inputs!$D$4:$AG$250,0,MATCH(K$2,Inputs!$D$2:$AG$2,0)),Inputs!$B$4:$B$250,$B89)/1000)</f>
        <v/>
      </c>
      <c r="L89" s="11" t="str">
        <f>IF(SUMPRODUCT((Inputs!$B$4:$B$250=$B89)*ISNUMBER(INDEX(Inputs!$D$4:$AG$250,0,MATCH(L$2,Inputs!$D$2:$AG$2,0))))=0,"",SUMIFS(INDEX(Inputs!$D$4:$AG$250,0,MATCH(L$2,Inputs!$D$2:$AG$2,0)),Inputs!$B$4:$B$250,$B89)/1000)</f>
        <v/>
      </c>
      <c r="M89" s="12" t="str">
        <f>IF(COUNT(I89:L89)=4,SUM(I89:L89),"")</f>
        <v/>
      </c>
      <c r="N89" s="11" t="str">
        <f>IF(SUMPRODUCT((Inputs!$B$4:$B$250=$B89)*ISNUMBER(INDEX(Inputs!$D$4:$AG$250,0,MATCH(N$2,Inputs!$D$2:$AG$2,0))))=0,"",SUMIFS(INDEX(Inputs!$D$4:$AG$250,0,MATCH(N$2,Inputs!$D$2:$AG$2,0)),Inputs!$B$4:$B$250,$B89)/1000)</f>
        <v/>
      </c>
      <c r="O89" s="11" t="str">
        <f>IF(SUMPRODUCT((Inputs!$B$4:$B$250=$B89)*ISNUMBER(INDEX(Inputs!$D$4:$AG$250,0,MATCH(O$2,Inputs!$D$2:$AG$2,0))))=0,"",SUMIFS(INDEX(Inputs!$D$4:$AG$250,0,MATCH(O$2,Inputs!$D$2:$AG$2,0)),Inputs!$B$4:$B$250,$B89)/1000)</f>
        <v/>
      </c>
      <c r="P89" s="11" t="str">
        <f>IF(SUMPRODUCT((Inputs!$B$4:$B$250=$B89)*ISNUMBER(INDEX(Inputs!$D$4:$AG$250,0,MATCH(P$2,Inputs!$D$2:$AG$2,0))))=0,"",SUMIFS(INDEX(Inputs!$D$4:$AG$250,0,MATCH(P$2,Inputs!$D$2:$AG$2,0)),Inputs!$B$4:$B$250,$B89)/1000)</f>
        <v/>
      </c>
      <c r="Q89" s="11" t="str">
        <f>IF(SUMPRODUCT((Inputs!$B$4:$B$250=$B89)*ISNUMBER(INDEX(Inputs!$D$4:$AG$250,0,MATCH(Q$2,Inputs!$D$2:$AG$2,0))))=0,"",SUMIFS(INDEX(Inputs!$D$4:$AG$250,0,MATCH(Q$2,Inputs!$D$2:$AG$2,0)),Inputs!$B$4:$B$250,$B89)/1000)</f>
        <v/>
      </c>
      <c r="R89" s="12" t="str">
        <f>IF(COUNT(N89:Q89)=4,SUM(N89:Q89),"")</f>
        <v/>
      </c>
      <c r="S89" s="11" t="str">
        <f>IF(SUMPRODUCT((Inputs!$B$4:$B$250=$B89)*ISNUMBER(INDEX(Inputs!$D$4:$AG$250,0,MATCH(S$2,Inputs!$D$2:$AG$2,0))))=0,"",SUMIFS(INDEX(Inputs!$D$4:$AG$250,0,MATCH(S$2,Inputs!$D$2:$AG$2,0)),Inputs!$B$4:$B$250,$B89)/1000)</f>
        <v/>
      </c>
      <c r="T89" s="11" t="str">
        <f>IF(SUMPRODUCT((Inputs!$B$4:$B$250=$B89)*ISNUMBER(INDEX(Inputs!$D$4:$AG$250,0,MATCH(T$2,Inputs!$D$2:$AG$2,0))))=0,"",SUMIFS(INDEX(Inputs!$D$4:$AG$250,0,MATCH(T$2,Inputs!$D$2:$AG$2,0)),Inputs!$B$4:$B$250,$B89)/1000)</f>
        <v/>
      </c>
      <c r="U89" s="11">
        <f>IF(SUMPRODUCT((Inputs!$B$4:$B$250=$B89)*ISNUMBER(INDEX(Inputs!$D$4:$AG$250,0,MATCH(U$2,Inputs!$D$2:$AG$2,0))))=0,"",SUMIFS(INDEX(Inputs!$D$4:$AG$250,0,MATCH(U$2,Inputs!$D$2:$AG$2,0)),Inputs!$B$4:$B$250,$B89)/1000)</f>
        <v>0</v>
      </c>
      <c r="V89" s="11">
        <f>IF(SUMPRODUCT((Inputs!$B$4:$B$250=$B89)*ISNUMBER(INDEX(Inputs!$D$4:$AG$250,0,MATCH(V$2,Inputs!$D$2:$AG$2,0))))=0,"",SUMIFS(INDEX(Inputs!$D$4:$AG$250,0,MATCH(V$2,Inputs!$D$2:$AG$2,0)),Inputs!$B$4:$B$250,$B89)/1000)</f>
        <v>51.793</v>
      </c>
      <c r="W89" s="12" t="str">
        <f>IF(COUNT(S89:V89)=4,SUM(S89:V89),"")</f>
        <v/>
      </c>
      <c r="X89" s="11">
        <f>IF(SUMPRODUCT((Inputs!$B$4:$B$250=$B89)*ISNUMBER(INDEX(Inputs!$D$4:$AG$250,0,MATCH(X$2,Inputs!$D$2:$AG$2,0))))=0,"",SUMIFS(INDEX(Inputs!$D$4:$AG$250,0,MATCH(X$2,Inputs!$D$2:$AG$2,0)),Inputs!$B$4:$B$250,$B89)/1000)</f>
        <v>0.502</v>
      </c>
      <c r="Y89" s="11">
        <f>IF(SUMPRODUCT((Inputs!$B$4:$B$250=$B89)*ISNUMBER(INDEX(Inputs!$D$4:$AG$250,0,MATCH(Y$2,Inputs!$D$2:$AG$2,0))))=0,"",SUMIFS(INDEX(Inputs!$D$4:$AG$250,0,MATCH(Y$2,Inputs!$D$2:$AG$2,0)),Inputs!$B$4:$B$250,$B89)/1000)</f>
        <v>2.806</v>
      </c>
      <c r="Z89" s="11">
        <f>IF(SUMPRODUCT((Inputs!$B$4:$B$250=$B89)*ISNUMBER(INDEX(Inputs!$D$4:$AG$250,0,MATCH(Z$2,Inputs!$D$2:$AG$2,0))))=0,"",SUMIFS(INDEX(Inputs!$D$4:$AG$250,0,MATCH(Z$2,Inputs!$D$2:$AG$2,0)),Inputs!$B$4:$B$250,$B89)/1000)</f>
        <v>8.948</v>
      </c>
      <c r="AA89" s="11">
        <f>IF(SUMPRODUCT((Inputs!$B$4:$B$250=$B89)*ISNUMBER(INDEX(Inputs!$D$4:$AG$250,0,MATCH(AA$2,Inputs!$D$2:$AG$2,0))))=0,"",SUMIFS(INDEX(Inputs!$D$4:$AG$250,0,MATCH(AA$2,Inputs!$D$2:$AG$2,0)),Inputs!$B$4:$B$250,$B89)/1000)</f>
        <v>12.498</v>
      </c>
      <c r="AB89" s="12">
        <f>IF(COUNT(X89:AA89)=4,SUM(X89:AA89),"")</f>
        <v>24.754</v>
      </c>
      <c r="AC89" s="11">
        <f>IF(SUMPRODUCT((Inputs!$B$4:$B$250=$B89)*ISNUMBER(INDEX(Inputs!$D$4:$AG$250,0,MATCH(AC$2,Inputs!$D$2:$AG$2,0))))=0,"",SUMIFS(INDEX(Inputs!$D$4:$AG$250,0,MATCH(AC$2,Inputs!$D$2:$AG$2,0)),Inputs!$B$4:$B$250,$B89)/1000)</f>
        <v>10.483</v>
      </c>
      <c r="AD89" s="11">
        <f>IF(SUMPRODUCT((Inputs!$B$4:$B$250=$B89)*ISNUMBER(INDEX(Inputs!$D$4:$AG$250,0,MATCH(AD$2,Inputs!$D$2:$AG$2,0))))=0,"",SUMIFS(INDEX(Inputs!$D$4:$AG$250,0,MATCH(AD$2,Inputs!$D$2:$AG$2,0)),Inputs!$B$4:$B$250,$B89)/1000)</f>
        <v>7.295</v>
      </c>
      <c r="AE89" s="11" t="str">
        <f>IF(SUMPRODUCT((Inputs!$B$4:$B$250=$B89)*ISNUMBER(INDEX(Inputs!$D$4:$AG$250,0,MATCH(AE$2,Inputs!$D$2:$AG$2,0))))=0,"",SUMIFS(INDEX(Inputs!$D$4:$AG$250,0,MATCH(AE$2,Inputs!$D$2:$AG$2,0)),Inputs!$B$4:$B$250,$B89)/1000)</f>
        <v/>
      </c>
      <c r="AF89" s="11" t="str">
        <f>IF(SUMPRODUCT((Inputs!$B$4:$B$250=$B89)*ISNUMBER(INDEX(Inputs!$D$4:$AG$250,0,MATCH(AF$2,Inputs!$D$2:$AG$2,0))))=0,"",SUMIFS(INDEX(Inputs!$D$4:$AG$250,0,MATCH(AF$2,Inputs!$D$2:$AG$2,0)),Inputs!$B$4:$B$250,$B89)/1000)</f>
        <v/>
      </c>
      <c r="AG89" s="12" t="str">
        <f>IF(COUNT(AC89:AF89)=4,SUM(AC89:AF89),"")</f>
        <v/>
      </c>
    </row>
    <row r="90">
      <c r="B90" s="9" t="n">
        <v>82</v>
      </c>
      <c r="C90" s="10" t="inlineStr">
        <is>
          <t>Transmissao | TBO</t>
        </is>
      </c>
      <c r="D90" s="11" t="str">
        <f>IF(SUMPRODUCT((Inputs!$B$4:$B$250=$B90)*ISNUMBER(INDEX(Inputs!$D$4:$AG$250,0,MATCH(D$2,Inputs!$D$2:$AG$2,0))))=0,"",SUMIFS(INDEX(Inputs!$D$4:$AG$250,0,MATCH(D$2,Inputs!$D$2:$AG$2,0)),Inputs!$B$4:$B$250,$B90)/1000)</f>
        <v/>
      </c>
      <c r="E90" s="11" t="str">
        <f>IF(SUMPRODUCT((Inputs!$B$4:$B$250=$B90)*ISNUMBER(INDEX(Inputs!$D$4:$AG$250,0,MATCH(E$2,Inputs!$D$2:$AG$2,0))))=0,"",SUMIFS(INDEX(Inputs!$D$4:$AG$250,0,MATCH(E$2,Inputs!$D$2:$AG$2,0)),Inputs!$B$4:$B$250,$B90)/1000)</f>
        <v/>
      </c>
      <c r="F90" s="11" t="str">
        <f>IF(SUMPRODUCT((Inputs!$B$4:$B$250=$B90)*ISNUMBER(INDEX(Inputs!$D$4:$AG$250,0,MATCH(F$2,Inputs!$D$2:$AG$2,0))))=0,"",SUMIFS(INDEX(Inputs!$D$4:$AG$250,0,MATCH(F$2,Inputs!$D$2:$AG$2,0)),Inputs!$B$4:$B$250,$B90)/1000)</f>
        <v/>
      </c>
      <c r="G90" s="11" t="str">
        <f>IF(SUMPRODUCT((Inputs!$B$4:$B$250=$B90)*ISNUMBER(INDEX(Inputs!$D$4:$AG$250,0,MATCH(G$2,Inputs!$D$2:$AG$2,0))))=0,"",SUMIFS(INDEX(Inputs!$D$4:$AG$250,0,MATCH(G$2,Inputs!$D$2:$AG$2,0)),Inputs!$B$4:$B$250,$B90)/1000)</f>
        <v/>
      </c>
      <c r="H90" s="12" t="str">
        <f>IF(COUNT(D90:G90)=4,SUM(D90:G90),"")</f>
        <v/>
      </c>
      <c r="I90" s="11" t="str">
        <f>IF(SUMPRODUCT((Inputs!$B$4:$B$250=$B90)*ISNUMBER(INDEX(Inputs!$D$4:$AG$250,0,MATCH(I$2,Inputs!$D$2:$AG$2,0))))=0,"",SUMIFS(INDEX(Inputs!$D$4:$AG$250,0,MATCH(I$2,Inputs!$D$2:$AG$2,0)),Inputs!$B$4:$B$250,$B90)/1000)</f>
        <v/>
      </c>
      <c r="J90" s="11" t="str">
        <f>IF(SUMPRODUCT((Inputs!$B$4:$B$250=$B90)*ISNUMBER(INDEX(Inputs!$D$4:$AG$250,0,MATCH(J$2,Inputs!$D$2:$AG$2,0))))=0,"",SUMIFS(INDEX(Inputs!$D$4:$AG$250,0,MATCH(J$2,Inputs!$D$2:$AG$2,0)),Inputs!$B$4:$B$250,$B90)/1000)</f>
        <v/>
      </c>
      <c r="K90" s="11" t="str">
        <f>IF(SUMPRODUCT((Inputs!$B$4:$B$250=$B90)*ISNUMBER(INDEX(Inputs!$D$4:$AG$250,0,MATCH(K$2,Inputs!$D$2:$AG$2,0))))=0,"",SUMIFS(INDEX(Inputs!$D$4:$AG$250,0,MATCH(K$2,Inputs!$D$2:$AG$2,0)),Inputs!$B$4:$B$250,$B90)/1000)</f>
        <v/>
      </c>
      <c r="L90" s="11" t="str">
        <f>IF(SUMPRODUCT((Inputs!$B$4:$B$250=$B90)*ISNUMBER(INDEX(Inputs!$D$4:$AG$250,0,MATCH(L$2,Inputs!$D$2:$AG$2,0))))=0,"",SUMIFS(INDEX(Inputs!$D$4:$AG$250,0,MATCH(L$2,Inputs!$D$2:$AG$2,0)),Inputs!$B$4:$B$250,$B90)/1000)</f>
        <v/>
      </c>
      <c r="M90" s="12" t="str">
        <f>IF(COUNT(I90:L90)=4,SUM(I90:L90),"")</f>
        <v/>
      </c>
      <c r="N90" s="11" t="str">
        <f>IF(SUMPRODUCT((Inputs!$B$4:$B$250=$B90)*ISNUMBER(INDEX(Inputs!$D$4:$AG$250,0,MATCH(N$2,Inputs!$D$2:$AG$2,0))))=0,"",SUMIFS(INDEX(Inputs!$D$4:$AG$250,0,MATCH(N$2,Inputs!$D$2:$AG$2,0)),Inputs!$B$4:$B$250,$B90)/1000)</f>
        <v/>
      </c>
      <c r="O90" s="11" t="str">
        <f>IF(SUMPRODUCT((Inputs!$B$4:$B$250=$B90)*ISNUMBER(INDEX(Inputs!$D$4:$AG$250,0,MATCH(O$2,Inputs!$D$2:$AG$2,0))))=0,"",SUMIFS(INDEX(Inputs!$D$4:$AG$250,0,MATCH(O$2,Inputs!$D$2:$AG$2,0)),Inputs!$B$4:$B$250,$B90)/1000)</f>
        <v/>
      </c>
      <c r="P90" s="11" t="str">
        <f>IF(SUMPRODUCT((Inputs!$B$4:$B$250=$B90)*ISNUMBER(INDEX(Inputs!$D$4:$AG$250,0,MATCH(P$2,Inputs!$D$2:$AG$2,0))))=0,"",SUMIFS(INDEX(Inputs!$D$4:$AG$250,0,MATCH(P$2,Inputs!$D$2:$AG$2,0)),Inputs!$B$4:$B$250,$B90)/1000)</f>
        <v/>
      </c>
      <c r="Q90" s="11" t="str">
        <f>IF(SUMPRODUCT((Inputs!$B$4:$B$250=$B90)*ISNUMBER(INDEX(Inputs!$D$4:$AG$250,0,MATCH(Q$2,Inputs!$D$2:$AG$2,0))))=0,"",SUMIFS(INDEX(Inputs!$D$4:$AG$250,0,MATCH(Q$2,Inputs!$D$2:$AG$2,0)),Inputs!$B$4:$B$250,$B90)/1000)</f>
        <v/>
      </c>
      <c r="R90" s="12" t="str">
        <f>IF(COUNT(N90:Q90)=4,SUM(N90:Q90),"")</f>
        <v/>
      </c>
      <c r="S90" s="11" t="str">
        <f>IF(SUMPRODUCT((Inputs!$B$4:$B$250=$B90)*ISNUMBER(INDEX(Inputs!$D$4:$AG$250,0,MATCH(S$2,Inputs!$D$2:$AG$2,0))))=0,"",SUMIFS(INDEX(Inputs!$D$4:$AG$250,0,MATCH(S$2,Inputs!$D$2:$AG$2,0)),Inputs!$B$4:$B$250,$B90)/1000)</f>
        <v/>
      </c>
      <c r="T90" s="11" t="str">
        <f>IF(SUMPRODUCT((Inputs!$B$4:$B$250=$B90)*ISNUMBER(INDEX(Inputs!$D$4:$AG$250,0,MATCH(T$2,Inputs!$D$2:$AG$2,0))))=0,"",SUMIFS(INDEX(Inputs!$D$4:$AG$250,0,MATCH(T$2,Inputs!$D$2:$AG$2,0)),Inputs!$B$4:$B$250,$B90)/1000)</f>
        <v/>
      </c>
      <c r="U90" s="11" t="str">
        <f>IF(SUMPRODUCT((Inputs!$B$4:$B$250=$B90)*ISNUMBER(INDEX(Inputs!$D$4:$AG$250,0,MATCH(U$2,Inputs!$D$2:$AG$2,0))))=0,"",SUMIFS(INDEX(Inputs!$D$4:$AG$250,0,MATCH(U$2,Inputs!$D$2:$AG$2,0)),Inputs!$B$4:$B$250,$B90)/1000)</f>
        <v/>
      </c>
      <c r="V90" s="11" t="str">
        <f>IF(SUMPRODUCT((Inputs!$B$4:$B$250=$B90)*ISNUMBER(INDEX(Inputs!$D$4:$AG$250,0,MATCH(V$2,Inputs!$D$2:$AG$2,0))))=0,"",SUMIFS(INDEX(Inputs!$D$4:$AG$250,0,MATCH(V$2,Inputs!$D$2:$AG$2,0)),Inputs!$B$4:$B$250,$B90)/1000)</f>
        <v/>
      </c>
      <c r="W90" s="12" t="str">
        <f>IF(COUNT(S90:V90)=4,SUM(S90:V90),"")</f>
        <v/>
      </c>
      <c r="X90" s="11" t="str">
        <f>IF(SUMPRODUCT((Inputs!$B$4:$B$250=$B90)*ISNUMBER(INDEX(Inputs!$D$4:$AG$250,0,MATCH(X$2,Inputs!$D$2:$AG$2,0))))=0,"",SUMIFS(INDEX(Inputs!$D$4:$AG$250,0,MATCH(X$2,Inputs!$D$2:$AG$2,0)),Inputs!$B$4:$B$250,$B90)/1000)</f>
        <v/>
      </c>
      <c r="Y90" s="11" t="str">
        <f>IF(SUMPRODUCT((Inputs!$B$4:$B$250=$B90)*ISNUMBER(INDEX(Inputs!$D$4:$AG$250,0,MATCH(Y$2,Inputs!$D$2:$AG$2,0))))=0,"",SUMIFS(INDEX(Inputs!$D$4:$AG$250,0,MATCH(Y$2,Inputs!$D$2:$AG$2,0)),Inputs!$B$4:$B$250,$B90)/1000)</f>
        <v/>
      </c>
      <c r="Z90" s="11">
        <f>IF(SUMPRODUCT((Inputs!$B$4:$B$250=$B90)*ISNUMBER(INDEX(Inputs!$D$4:$AG$250,0,MATCH(Z$2,Inputs!$D$2:$AG$2,0))))=0,"",SUMIFS(INDEX(Inputs!$D$4:$AG$250,0,MATCH(Z$2,Inputs!$D$2:$AG$2,0)),Inputs!$B$4:$B$250,$B90)/1000)</f>
        <v>3.286</v>
      </c>
      <c r="AA90" s="11">
        <f>IF(SUMPRODUCT((Inputs!$B$4:$B$250=$B90)*ISNUMBER(INDEX(Inputs!$D$4:$AG$250,0,MATCH(AA$2,Inputs!$D$2:$AG$2,0))))=0,"",SUMIFS(INDEX(Inputs!$D$4:$AG$250,0,MATCH(AA$2,Inputs!$D$2:$AG$2,0)),Inputs!$B$4:$B$250,$B90)/1000)</f>
        <v>5.897</v>
      </c>
      <c r="AB90" s="12" t="str">
        <f>IF(COUNT(X90:AA90)=4,SUM(X90:AA90),"")</f>
        <v/>
      </c>
      <c r="AC90" s="11">
        <f>IF(SUMPRODUCT((Inputs!$B$4:$B$250=$B90)*ISNUMBER(INDEX(Inputs!$D$4:$AG$250,0,MATCH(AC$2,Inputs!$D$2:$AG$2,0))))=0,"",SUMIFS(INDEX(Inputs!$D$4:$AG$250,0,MATCH(AC$2,Inputs!$D$2:$AG$2,0)),Inputs!$B$4:$B$250,$B90)/1000)</f>
        <v>7.089</v>
      </c>
      <c r="AD90" s="11">
        <f>IF(SUMPRODUCT((Inputs!$B$4:$B$250=$B90)*ISNUMBER(INDEX(Inputs!$D$4:$AG$250,0,MATCH(AD$2,Inputs!$D$2:$AG$2,0))))=0,"",SUMIFS(INDEX(Inputs!$D$4:$AG$250,0,MATCH(AD$2,Inputs!$D$2:$AG$2,0)),Inputs!$B$4:$B$250,$B90)/1000)</f>
        <v>8.584</v>
      </c>
      <c r="AE90" s="11" t="str">
        <f>IF(SUMPRODUCT((Inputs!$B$4:$B$250=$B90)*ISNUMBER(INDEX(Inputs!$D$4:$AG$250,0,MATCH(AE$2,Inputs!$D$2:$AG$2,0))))=0,"",SUMIFS(INDEX(Inputs!$D$4:$AG$250,0,MATCH(AE$2,Inputs!$D$2:$AG$2,0)),Inputs!$B$4:$B$250,$B90)/1000)</f>
        <v/>
      </c>
      <c r="AF90" s="11" t="str">
        <f>IF(SUMPRODUCT((Inputs!$B$4:$B$250=$B90)*ISNUMBER(INDEX(Inputs!$D$4:$AG$250,0,MATCH(AF$2,Inputs!$D$2:$AG$2,0))))=0,"",SUMIFS(INDEX(Inputs!$D$4:$AG$250,0,MATCH(AF$2,Inputs!$D$2:$AG$2,0)),Inputs!$B$4:$B$250,$B90)/1000)</f>
        <v/>
      </c>
      <c r="AG90" s="12" t="str">
        <f>IF(COUNT(AC90:AF90)=4,SUM(AC90:AF90),"")</f>
        <v/>
      </c>
    </row>
    <row r="91">
      <c r="B91" s="9" t="n">
        <v>83</v>
      </c>
      <c r="C91" s="10" t="inlineStr">
        <is>
          <t>Transmissao | PALCA</t>
        </is>
      </c>
      <c r="D91" s="11" t="str">
        <f>IF(SUMPRODUCT((Inputs!$B$4:$B$250=$B91)*ISNUMBER(INDEX(Inputs!$D$4:$AG$250,0,MATCH(D$2,Inputs!$D$2:$AG$2,0))))=0,"",SUMIFS(INDEX(Inputs!$D$4:$AG$250,0,MATCH(D$2,Inputs!$D$2:$AG$2,0)),Inputs!$B$4:$B$250,$B91)/1000)</f>
        <v/>
      </c>
      <c r="E91" s="11" t="str">
        <f>IF(SUMPRODUCT((Inputs!$B$4:$B$250=$B91)*ISNUMBER(INDEX(Inputs!$D$4:$AG$250,0,MATCH(E$2,Inputs!$D$2:$AG$2,0))))=0,"",SUMIFS(INDEX(Inputs!$D$4:$AG$250,0,MATCH(E$2,Inputs!$D$2:$AG$2,0)),Inputs!$B$4:$B$250,$B91)/1000)</f>
        <v/>
      </c>
      <c r="F91" s="11" t="str">
        <f>IF(SUMPRODUCT((Inputs!$B$4:$B$250=$B91)*ISNUMBER(INDEX(Inputs!$D$4:$AG$250,0,MATCH(F$2,Inputs!$D$2:$AG$2,0))))=0,"",SUMIFS(INDEX(Inputs!$D$4:$AG$250,0,MATCH(F$2,Inputs!$D$2:$AG$2,0)),Inputs!$B$4:$B$250,$B91)/1000)</f>
        <v/>
      </c>
      <c r="G91" s="11" t="str">
        <f>IF(SUMPRODUCT((Inputs!$B$4:$B$250=$B91)*ISNUMBER(INDEX(Inputs!$D$4:$AG$250,0,MATCH(G$2,Inputs!$D$2:$AG$2,0))))=0,"",SUMIFS(INDEX(Inputs!$D$4:$AG$250,0,MATCH(G$2,Inputs!$D$2:$AG$2,0)),Inputs!$B$4:$B$250,$B91)/1000)</f>
        <v/>
      </c>
      <c r="H91" s="12" t="str">
        <f>IF(COUNT(D91:G91)=4,SUM(D91:G91),"")</f>
        <v/>
      </c>
      <c r="I91" s="11" t="str">
        <f>IF(SUMPRODUCT((Inputs!$B$4:$B$250=$B91)*ISNUMBER(INDEX(Inputs!$D$4:$AG$250,0,MATCH(I$2,Inputs!$D$2:$AG$2,0))))=0,"",SUMIFS(INDEX(Inputs!$D$4:$AG$250,0,MATCH(I$2,Inputs!$D$2:$AG$2,0)),Inputs!$B$4:$B$250,$B91)/1000)</f>
        <v/>
      </c>
      <c r="J91" s="11" t="str">
        <f>IF(SUMPRODUCT((Inputs!$B$4:$B$250=$B91)*ISNUMBER(INDEX(Inputs!$D$4:$AG$250,0,MATCH(J$2,Inputs!$D$2:$AG$2,0))))=0,"",SUMIFS(INDEX(Inputs!$D$4:$AG$250,0,MATCH(J$2,Inputs!$D$2:$AG$2,0)),Inputs!$B$4:$B$250,$B91)/1000)</f>
        <v/>
      </c>
      <c r="K91" s="11" t="str">
        <f>IF(SUMPRODUCT((Inputs!$B$4:$B$250=$B91)*ISNUMBER(INDEX(Inputs!$D$4:$AG$250,0,MATCH(K$2,Inputs!$D$2:$AG$2,0))))=0,"",SUMIFS(INDEX(Inputs!$D$4:$AG$250,0,MATCH(K$2,Inputs!$D$2:$AG$2,0)),Inputs!$B$4:$B$250,$B91)/1000)</f>
        <v/>
      </c>
      <c r="L91" s="11" t="str">
        <f>IF(SUMPRODUCT((Inputs!$B$4:$B$250=$B91)*ISNUMBER(INDEX(Inputs!$D$4:$AG$250,0,MATCH(L$2,Inputs!$D$2:$AG$2,0))))=0,"",SUMIFS(INDEX(Inputs!$D$4:$AG$250,0,MATCH(L$2,Inputs!$D$2:$AG$2,0)),Inputs!$B$4:$B$250,$B91)/1000)</f>
        <v/>
      </c>
      <c r="M91" s="12" t="str">
        <f>IF(COUNT(I91:L91)=4,SUM(I91:L91),"")</f>
        <v/>
      </c>
      <c r="N91" s="11" t="str">
        <f>IF(SUMPRODUCT((Inputs!$B$4:$B$250=$B91)*ISNUMBER(INDEX(Inputs!$D$4:$AG$250,0,MATCH(N$2,Inputs!$D$2:$AG$2,0))))=0,"",SUMIFS(INDEX(Inputs!$D$4:$AG$250,0,MATCH(N$2,Inputs!$D$2:$AG$2,0)),Inputs!$B$4:$B$250,$B91)/1000)</f>
        <v/>
      </c>
      <c r="O91" s="11" t="str">
        <f>IF(SUMPRODUCT((Inputs!$B$4:$B$250=$B91)*ISNUMBER(INDEX(Inputs!$D$4:$AG$250,0,MATCH(O$2,Inputs!$D$2:$AG$2,0))))=0,"",SUMIFS(INDEX(Inputs!$D$4:$AG$250,0,MATCH(O$2,Inputs!$D$2:$AG$2,0)),Inputs!$B$4:$B$250,$B91)/1000)</f>
        <v/>
      </c>
      <c r="P91" s="11" t="str">
        <f>IF(SUMPRODUCT((Inputs!$B$4:$B$250=$B91)*ISNUMBER(INDEX(Inputs!$D$4:$AG$250,0,MATCH(P$2,Inputs!$D$2:$AG$2,0))))=0,"",SUMIFS(INDEX(Inputs!$D$4:$AG$250,0,MATCH(P$2,Inputs!$D$2:$AG$2,0)),Inputs!$B$4:$B$250,$B91)/1000)</f>
        <v/>
      </c>
      <c r="Q91" s="11" t="str">
        <f>IF(SUMPRODUCT((Inputs!$B$4:$B$250=$B91)*ISNUMBER(INDEX(Inputs!$D$4:$AG$250,0,MATCH(Q$2,Inputs!$D$2:$AG$2,0))))=0,"",SUMIFS(INDEX(Inputs!$D$4:$AG$250,0,MATCH(Q$2,Inputs!$D$2:$AG$2,0)),Inputs!$B$4:$B$250,$B91)/1000)</f>
        <v/>
      </c>
      <c r="R91" s="12" t="str">
        <f>IF(COUNT(N91:Q91)=4,SUM(N91:Q91),"")</f>
        <v/>
      </c>
      <c r="S91" s="11" t="str">
        <f>IF(SUMPRODUCT((Inputs!$B$4:$B$250=$B91)*ISNUMBER(INDEX(Inputs!$D$4:$AG$250,0,MATCH(S$2,Inputs!$D$2:$AG$2,0))))=0,"",SUMIFS(INDEX(Inputs!$D$4:$AG$250,0,MATCH(S$2,Inputs!$D$2:$AG$2,0)),Inputs!$B$4:$B$250,$B91)/1000)</f>
        <v/>
      </c>
      <c r="T91" s="11" t="str">
        <f>IF(SUMPRODUCT((Inputs!$B$4:$B$250=$B91)*ISNUMBER(INDEX(Inputs!$D$4:$AG$250,0,MATCH(T$2,Inputs!$D$2:$AG$2,0))))=0,"",SUMIFS(INDEX(Inputs!$D$4:$AG$250,0,MATCH(T$2,Inputs!$D$2:$AG$2,0)),Inputs!$B$4:$B$250,$B91)/1000)</f>
        <v/>
      </c>
      <c r="U91" s="11" t="str">
        <f>IF(SUMPRODUCT((Inputs!$B$4:$B$250=$B91)*ISNUMBER(INDEX(Inputs!$D$4:$AG$250,0,MATCH(U$2,Inputs!$D$2:$AG$2,0))))=0,"",SUMIFS(INDEX(Inputs!$D$4:$AG$250,0,MATCH(U$2,Inputs!$D$2:$AG$2,0)),Inputs!$B$4:$B$250,$B91)/1000)</f>
        <v/>
      </c>
      <c r="V91" s="11" t="str">
        <f>IF(SUMPRODUCT((Inputs!$B$4:$B$250=$B91)*ISNUMBER(INDEX(Inputs!$D$4:$AG$250,0,MATCH(V$2,Inputs!$D$2:$AG$2,0))))=0,"",SUMIFS(INDEX(Inputs!$D$4:$AG$250,0,MATCH(V$2,Inputs!$D$2:$AG$2,0)),Inputs!$B$4:$B$250,$B91)/1000)</f>
        <v/>
      </c>
      <c r="W91" s="12" t="str">
        <f>IF(COUNT(S91:V91)=4,SUM(S91:V91),"")</f>
        <v/>
      </c>
      <c r="X91" s="11" t="str">
        <f>IF(SUMPRODUCT((Inputs!$B$4:$B$250=$B91)*ISNUMBER(INDEX(Inputs!$D$4:$AG$250,0,MATCH(X$2,Inputs!$D$2:$AG$2,0))))=0,"",SUMIFS(INDEX(Inputs!$D$4:$AG$250,0,MATCH(X$2,Inputs!$D$2:$AG$2,0)),Inputs!$B$4:$B$250,$B91)/1000)</f>
        <v/>
      </c>
      <c r="Y91" s="11" t="str">
        <f>IF(SUMPRODUCT((Inputs!$B$4:$B$250=$B91)*ISNUMBER(INDEX(Inputs!$D$4:$AG$250,0,MATCH(Y$2,Inputs!$D$2:$AG$2,0))))=0,"",SUMIFS(INDEX(Inputs!$D$4:$AG$250,0,MATCH(Y$2,Inputs!$D$2:$AG$2,0)),Inputs!$B$4:$B$250,$B91)/1000)</f>
        <v/>
      </c>
      <c r="Z91" s="11" t="str">
        <f>IF(SUMPRODUCT((Inputs!$B$4:$B$250=$B91)*ISNUMBER(INDEX(Inputs!$D$4:$AG$250,0,MATCH(Z$2,Inputs!$D$2:$AG$2,0))))=0,"",SUMIFS(INDEX(Inputs!$D$4:$AG$250,0,MATCH(Z$2,Inputs!$D$2:$AG$2,0)),Inputs!$B$4:$B$250,$B91)/1000)</f>
        <v/>
      </c>
      <c r="AA91" s="11">
        <f>IF(SUMPRODUCT((Inputs!$B$4:$B$250=$B91)*ISNUMBER(INDEX(Inputs!$D$4:$AG$250,0,MATCH(AA$2,Inputs!$D$2:$AG$2,0))))=0,"",SUMIFS(INDEX(Inputs!$D$4:$AG$250,0,MATCH(AA$2,Inputs!$D$2:$AG$2,0)),Inputs!$B$4:$B$250,$B91)/1000)</f>
        <v>26.482</v>
      </c>
      <c r="AB91" s="12" t="str">
        <f>IF(COUNT(X91:AA91)=4,SUM(X91:AA91),"")</f>
        <v/>
      </c>
      <c r="AC91" s="11">
        <f>IF(SUMPRODUCT((Inputs!$B$4:$B$250=$B91)*ISNUMBER(INDEX(Inputs!$D$4:$AG$250,0,MATCH(AC$2,Inputs!$D$2:$AG$2,0))))=0,"",SUMIFS(INDEX(Inputs!$D$4:$AG$250,0,MATCH(AC$2,Inputs!$D$2:$AG$2,0)),Inputs!$B$4:$B$250,$B91)/1000)</f>
        <v>2.603</v>
      </c>
      <c r="AD91" s="11">
        <f>IF(SUMPRODUCT((Inputs!$B$4:$B$250=$B91)*ISNUMBER(INDEX(Inputs!$D$4:$AG$250,0,MATCH(AD$2,Inputs!$D$2:$AG$2,0))))=0,"",SUMIFS(INDEX(Inputs!$D$4:$AG$250,0,MATCH(AD$2,Inputs!$D$2:$AG$2,0)),Inputs!$B$4:$B$250,$B91)/1000)</f>
        <v>1.533</v>
      </c>
      <c r="AE91" s="11" t="str">
        <f>IF(SUMPRODUCT((Inputs!$B$4:$B$250=$B91)*ISNUMBER(INDEX(Inputs!$D$4:$AG$250,0,MATCH(AE$2,Inputs!$D$2:$AG$2,0))))=0,"",SUMIFS(INDEX(Inputs!$D$4:$AG$250,0,MATCH(AE$2,Inputs!$D$2:$AG$2,0)),Inputs!$B$4:$B$250,$B91)/1000)</f>
        <v/>
      </c>
      <c r="AF91" s="11" t="str">
        <f>IF(SUMPRODUCT((Inputs!$B$4:$B$250=$B91)*ISNUMBER(INDEX(Inputs!$D$4:$AG$250,0,MATCH(AF$2,Inputs!$D$2:$AG$2,0))))=0,"",SUMIFS(INDEX(Inputs!$D$4:$AG$250,0,MATCH(AF$2,Inputs!$D$2:$AG$2,0)),Inputs!$B$4:$B$250,$B91)/1000)</f>
        <v/>
      </c>
      <c r="AG91" s="12" t="str">
        <f>IF(COUNT(AC91:AF91)=4,SUM(AC91:AF91),"")</f>
        <v/>
      </c>
    </row>
    <row r="92">
      <c r="B92" s="9" t="n">
        <v>84</v>
      </c>
      <c r="C92" s="10" t="inlineStr">
        <is>
          <t>Geracao | Foz do Rio Claro</t>
        </is>
      </c>
      <c r="D92" s="11">
        <f>IF(SUMPRODUCT((Inputs!$B$4:$B$250=$B92)*ISNUMBER(INDEX(Inputs!$D$4:$AG$250,0,MATCH(D$2,Inputs!$D$2:$AG$2,0))))=0,"",SUMIFS(INDEX(Inputs!$D$4:$AG$250,0,MATCH(D$2,Inputs!$D$2:$AG$2,0)),Inputs!$B$4:$B$250,$B92)/1000)</f>
        <v>19.478</v>
      </c>
      <c r="E92" s="11">
        <f>IF(SUMPRODUCT((Inputs!$B$4:$B$250=$B92)*ISNUMBER(INDEX(Inputs!$D$4:$AG$250,0,MATCH(E$2,Inputs!$D$2:$AG$2,0))))=0,"",SUMIFS(INDEX(Inputs!$D$4:$AG$250,0,MATCH(E$2,Inputs!$D$2:$AG$2,0)),Inputs!$B$4:$B$250,$B92)/1000)</f>
        <v>18.977</v>
      </c>
      <c r="F92" s="11">
        <f>IF(SUMPRODUCT((Inputs!$B$4:$B$250=$B92)*ISNUMBER(INDEX(Inputs!$D$4:$AG$250,0,MATCH(F$2,Inputs!$D$2:$AG$2,0))))=0,"",SUMIFS(INDEX(Inputs!$D$4:$AG$250,0,MATCH(F$2,Inputs!$D$2:$AG$2,0)),Inputs!$B$4:$B$250,$B92)/1000)</f>
        <v>21.625</v>
      </c>
      <c r="G92" s="11">
        <f>IF(SUMPRODUCT((Inputs!$B$4:$B$250=$B92)*ISNUMBER(INDEX(Inputs!$D$4:$AG$250,0,MATCH(G$2,Inputs!$D$2:$AG$2,0))))=0,"",SUMIFS(INDEX(Inputs!$D$4:$AG$250,0,MATCH(G$2,Inputs!$D$2:$AG$2,0)),Inputs!$B$4:$B$250,$B92)/1000)</f>
        <v>21.873</v>
      </c>
      <c r="H92" s="12">
        <f>IF(COUNT(D92:G92)=4,SUM(D92:G92),"")</f>
        <v>81.953</v>
      </c>
      <c r="I92" s="11">
        <f>IF(SUMPRODUCT((Inputs!$B$4:$B$250=$B92)*ISNUMBER(INDEX(Inputs!$D$4:$AG$250,0,MATCH(I$2,Inputs!$D$2:$AG$2,0))))=0,"",SUMIFS(INDEX(Inputs!$D$4:$AG$250,0,MATCH(I$2,Inputs!$D$2:$AG$2,0)),Inputs!$B$4:$B$250,$B92)/1000)</f>
        <v>20.272</v>
      </c>
      <c r="J92" s="11">
        <f>IF(SUMPRODUCT((Inputs!$B$4:$B$250=$B92)*ISNUMBER(INDEX(Inputs!$D$4:$AG$250,0,MATCH(J$2,Inputs!$D$2:$AG$2,0))))=0,"",SUMIFS(INDEX(Inputs!$D$4:$AG$250,0,MATCH(J$2,Inputs!$D$2:$AG$2,0)),Inputs!$B$4:$B$250,$B92)/1000)</f>
        <v>19.01</v>
      </c>
      <c r="K92" s="11">
        <f>IF(SUMPRODUCT((Inputs!$B$4:$B$250=$B92)*ISNUMBER(INDEX(Inputs!$D$4:$AG$250,0,MATCH(K$2,Inputs!$D$2:$AG$2,0))))=0,"",SUMIFS(INDEX(Inputs!$D$4:$AG$250,0,MATCH(K$2,Inputs!$D$2:$AG$2,0)),Inputs!$B$4:$B$250,$B92)/1000)</f>
        <v>20.065</v>
      </c>
      <c r="L92" s="11">
        <f>IF(SUMPRODUCT((Inputs!$B$4:$B$250=$B92)*ISNUMBER(INDEX(Inputs!$D$4:$AG$250,0,MATCH(L$2,Inputs!$D$2:$AG$2,0))))=0,"",SUMIFS(INDEX(Inputs!$D$4:$AG$250,0,MATCH(L$2,Inputs!$D$2:$AG$2,0)),Inputs!$B$4:$B$250,$B92)/1000)</f>
        <v>21.489</v>
      </c>
      <c r="M92" s="12">
        <f>IF(COUNT(I92:L92)=4,SUM(I92:L92),"")</f>
        <v>80.836</v>
      </c>
      <c r="N92" s="11">
        <f>IF(SUMPRODUCT((Inputs!$B$4:$B$250=$B92)*ISNUMBER(INDEX(Inputs!$D$4:$AG$250,0,MATCH(N$2,Inputs!$D$2:$AG$2,0))))=0,"",SUMIFS(INDEX(Inputs!$D$4:$AG$250,0,MATCH(N$2,Inputs!$D$2:$AG$2,0)),Inputs!$B$4:$B$250,$B92)/1000)</f>
        <v>22.153</v>
      </c>
      <c r="O92" s="11">
        <f>IF(SUMPRODUCT((Inputs!$B$4:$B$250=$B92)*ISNUMBER(INDEX(Inputs!$D$4:$AG$250,0,MATCH(O$2,Inputs!$D$2:$AG$2,0))))=0,"",SUMIFS(INDEX(Inputs!$D$4:$AG$250,0,MATCH(O$2,Inputs!$D$2:$AG$2,0)),Inputs!$B$4:$B$250,$B92)/1000)</f>
        <v>21.002</v>
      </c>
      <c r="P92" s="11">
        <f>IF(SUMPRODUCT((Inputs!$B$4:$B$250=$B92)*ISNUMBER(INDEX(Inputs!$D$4:$AG$250,0,MATCH(P$2,Inputs!$D$2:$AG$2,0))))=0,"",SUMIFS(INDEX(Inputs!$D$4:$AG$250,0,MATCH(P$2,Inputs!$D$2:$AG$2,0)),Inputs!$B$4:$B$250,$B92)/1000)</f>
        <v>20.809</v>
      </c>
      <c r="Q92" s="11">
        <f>IF(SUMPRODUCT((Inputs!$B$4:$B$250=$B92)*ISNUMBER(INDEX(Inputs!$D$4:$AG$250,0,MATCH(Q$2,Inputs!$D$2:$AG$2,0))))=0,"",SUMIFS(INDEX(Inputs!$D$4:$AG$250,0,MATCH(Q$2,Inputs!$D$2:$AG$2,0)),Inputs!$B$4:$B$250,$B92)/1000)</f>
        <v>22.945</v>
      </c>
      <c r="R92" s="12">
        <f>IF(COUNT(N92:Q92)=4,SUM(N92:Q92),"")</f>
        <v>86.909</v>
      </c>
      <c r="S92" s="11">
        <f>IF(SUMPRODUCT((Inputs!$B$4:$B$250=$B92)*ISNUMBER(INDEX(Inputs!$D$4:$AG$250,0,MATCH(S$2,Inputs!$D$2:$AG$2,0))))=0,"",SUMIFS(INDEX(Inputs!$D$4:$AG$250,0,MATCH(S$2,Inputs!$D$2:$AG$2,0)),Inputs!$B$4:$B$250,$B92)/1000)</f>
        <v>21.921</v>
      </c>
      <c r="T92" s="11">
        <f>IF(SUMPRODUCT((Inputs!$B$4:$B$250=$B92)*ISNUMBER(INDEX(Inputs!$D$4:$AG$250,0,MATCH(T$2,Inputs!$D$2:$AG$2,0))))=0,"",SUMIFS(INDEX(Inputs!$D$4:$AG$250,0,MATCH(T$2,Inputs!$D$2:$AG$2,0)),Inputs!$B$4:$B$250,$B92)/1000)</f>
        <v>21.734</v>
      </c>
      <c r="U92" s="11">
        <f>IF(SUMPRODUCT((Inputs!$B$4:$B$250=$B92)*ISNUMBER(INDEX(Inputs!$D$4:$AG$250,0,MATCH(U$2,Inputs!$D$2:$AG$2,0))))=0,"",SUMIFS(INDEX(Inputs!$D$4:$AG$250,0,MATCH(U$2,Inputs!$D$2:$AG$2,0)),Inputs!$B$4:$B$250,$B92)/1000)</f>
        <v>22.454</v>
      </c>
      <c r="V92" s="11">
        <f>IF(SUMPRODUCT((Inputs!$B$4:$B$250=$B92)*ISNUMBER(INDEX(Inputs!$D$4:$AG$250,0,MATCH(V$2,Inputs!$D$2:$AG$2,0))))=0,"",SUMIFS(INDEX(Inputs!$D$4:$AG$250,0,MATCH(V$2,Inputs!$D$2:$AG$2,0)),Inputs!$B$4:$B$250,$B92)/1000)</f>
        <v>24.077</v>
      </c>
      <c r="W92" s="12">
        <f>IF(COUNT(S92:V92)=4,SUM(S92:V92),"")</f>
        <v>90.186</v>
      </c>
      <c r="X92" s="11">
        <f>IF(SUMPRODUCT((Inputs!$B$4:$B$250=$B92)*ISNUMBER(INDEX(Inputs!$D$4:$AG$250,0,MATCH(X$2,Inputs!$D$2:$AG$2,0))))=0,"",SUMIFS(INDEX(Inputs!$D$4:$AG$250,0,MATCH(X$2,Inputs!$D$2:$AG$2,0)),Inputs!$B$4:$B$250,$B92)/1000)</f>
        <v>24.522</v>
      </c>
      <c r="Y92" s="11">
        <f>IF(SUMPRODUCT((Inputs!$B$4:$B$250=$B92)*ISNUMBER(INDEX(Inputs!$D$4:$AG$250,0,MATCH(Y$2,Inputs!$D$2:$AG$2,0))))=0,"",SUMIFS(INDEX(Inputs!$D$4:$AG$250,0,MATCH(Y$2,Inputs!$D$2:$AG$2,0)),Inputs!$B$4:$B$250,$B92)/1000)</f>
        <v>23.434</v>
      </c>
      <c r="Z92" s="11">
        <f>IF(SUMPRODUCT((Inputs!$B$4:$B$250=$B92)*ISNUMBER(INDEX(Inputs!$D$4:$AG$250,0,MATCH(Z$2,Inputs!$D$2:$AG$2,0))))=0,"",SUMIFS(INDEX(Inputs!$D$4:$AG$250,0,MATCH(Z$2,Inputs!$D$2:$AG$2,0)),Inputs!$B$4:$B$250,$B92)/1000)</f>
        <v>23.334</v>
      </c>
      <c r="AA92" s="11">
        <f>IF(SUMPRODUCT((Inputs!$B$4:$B$250=$B92)*ISNUMBER(INDEX(Inputs!$D$4:$AG$250,0,MATCH(AA$2,Inputs!$D$2:$AG$2,0))))=0,"",SUMIFS(INDEX(Inputs!$D$4:$AG$250,0,MATCH(AA$2,Inputs!$D$2:$AG$2,0)),Inputs!$B$4:$B$250,$B92)/1000)</f>
        <v>25.125</v>
      </c>
      <c r="AB92" s="12">
        <f>IF(COUNT(X92:AA92)=4,SUM(X92:AA92),"")</f>
        <v>96.415</v>
      </c>
      <c r="AC92" s="11">
        <f>IF(SUMPRODUCT((Inputs!$B$4:$B$250=$B92)*ISNUMBER(INDEX(Inputs!$D$4:$AG$250,0,MATCH(AC$2,Inputs!$D$2:$AG$2,0))))=0,"",SUMIFS(INDEX(Inputs!$D$4:$AG$250,0,MATCH(AC$2,Inputs!$D$2:$AG$2,0)),Inputs!$B$4:$B$250,$B92)/1000)</f>
        <v>25.411</v>
      </c>
      <c r="AD92" s="11">
        <f>IF(SUMPRODUCT((Inputs!$B$4:$B$250=$B92)*ISNUMBER(INDEX(Inputs!$D$4:$AG$250,0,MATCH(AD$2,Inputs!$D$2:$AG$2,0))))=0,"",SUMIFS(INDEX(Inputs!$D$4:$AG$250,0,MATCH(AD$2,Inputs!$D$2:$AG$2,0)),Inputs!$B$4:$B$250,$B92)/1000)</f>
        <v>24.407</v>
      </c>
      <c r="AE92" s="11" t="str">
        <f>IF(SUMPRODUCT((Inputs!$B$4:$B$250=$B92)*ISNUMBER(INDEX(Inputs!$D$4:$AG$250,0,MATCH(AE$2,Inputs!$D$2:$AG$2,0))))=0,"",SUMIFS(INDEX(Inputs!$D$4:$AG$250,0,MATCH(AE$2,Inputs!$D$2:$AG$2,0)),Inputs!$B$4:$B$250,$B92)/1000)</f>
        <v/>
      </c>
      <c r="AF92" s="11" t="str">
        <f>IF(SUMPRODUCT((Inputs!$B$4:$B$250=$B92)*ISNUMBER(INDEX(Inputs!$D$4:$AG$250,0,MATCH(AF$2,Inputs!$D$2:$AG$2,0))))=0,"",SUMIFS(INDEX(Inputs!$D$4:$AG$250,0,MATCH(AF$2,Inputs!$D$2:$AG$2,0)),Inputs!$B$4:$B$250,$B92)/1000)</f>
        <v/>
      </c>
      <c r="AG92" s="12" t="str">
        <f>IF(COUNT(AC92:AF92)=4,SUM(AC92:AF92),"")</f>
        <v/>
      </c>
    </row>
    <row r="93">
      <c r="B93" s="9" t="n">
        <v>85</v>
      </c>
      <c r="C93" s="10" t="inlineStr">
        <is>
          <t>Geracao | Ijuí</t>
        </is>
      </c>
      <c r="D93" s="11">
        <f>IF(SUMPRODUCT((Inputs!$B$4:$B$250=$B93)*ISNUMBER(INDEX(Inputs!$D$4:$AG$250,0,MATCH(D$2,Inputs!$D$2:$AG$2,0))))=0,"",SUMIFS(INDEX(Inputs!$D$4:$AG$250,0,MATCH(D$2,Inputs!$D$2:$AG$2,0)),Inputs!$B$4:$B$250,$B93)/1000)</f>
        <v>16.055</v>
      </c>
      <c r="E93" s="11">
        <f>IF(SUMPRODUCT((Inputs!$B$4:$B$250=$B93)*ISNUMBER(INDEX(Inputs!$D$4:$AG$250,0,MATCH(E$2,Inputs!$D$2:$AG$2,0))))=0,"",SUMIFS(INDEX(Inputs!$D$4:$AG$250,0,MATCH(E$2,Inputs!$D$2:$AG$2,0)),Inputs!$B$4:$B$250,$B93)/1000)</f>
        <v>15.93</v>
      </c>
      <c r="F93" s="11">
        <f>IF(SUMPRODUCT((Inputs!$B$4:$B$250=$B93)*ISNUMBER(INDEX(Inputs!$D$4:$AG$250,0,MATCH(F$2,Inputs!$D$2:$AG$2,0))))=0,"",SUMIFS(INDEX(Inputs!$D$4:$AG$250,0,MATCH(F$2,Inputs!$D$2:$AG$2,0)),Inputs!$B$4:$B$250,$B93)/1000)</f>
        <v>18.366</v>
      </c>
      <c r="G93" s="11">
        <f>IF(SUMPRODUCT((Inputs!$B$4:$B$250=$B93)*ISNUMBER(INDEX(Inputs!$D$4:$AG$250,0,MATCH(G$2,Inputs!$D$2:$AG$2,0))))=0,"",SUMIFS(INDEX(Inputs!$D$4:$AG$250,0,MATCH(G$2,Inputs!$D$2:$AG$2,0)),Inputs!$B$4:$B$250,$B93)/1000)</f>
        <v>18.442</v>
      </c>
      <c r="H93" s="12">
        <f>IF(COUNT(D93:G93)=4,SUM(D93:G93),"")</f>
        <v>68.793</v>
      </c>
      <c r="I93" s="11">
        <f>IF(SUMPRODUCT((Inputs!$B$4:$B$250=$B93)*ISNUMBER(INDEX(Inputs!$D$4:$AG$250,0,MATCH(I$2,Inputs!$D$2:$AG$2,0))))=0,"",SUMIFS(INDEX(Inputs!$D$4:$AG$250,0,MATCH(I$2,Inputs!$D$2:$AG$2,0)),Inputs!$B$4:$B$250,$B93)/1000)</f>
        <v>17.022</v>
      </c>
      <c r="J93" s="11">
        <f>IF(SUMPRODUCT((Inputs!$B$4:$B$250=$B93)*ISNUMBER(INDEX(Inputs!$D$4:$AG$250,0,MATCH(J$2,Inputs!$D$2:$AG$2,0))))=0,"",SUMIFS(INDEX(Inputs!$D$4:$AG$250,0,MATCH(J$2,Inputs!$D$2:$AG$2,0)),Inputs!$B$4:$B$250,$B93)/1000)</f>
        <v>17.258</v>
      </c>
      <c r="K93" s="11">
        <f>IF(SUMPRODUCT((Inputs!$B$4:$B$250=$B93)*ISNUMBER(INDEX(Inputs!$D$4:$AG$250,0,MATCH(K$2,Inputs!$D$2:$AG$2,0))))=0,"",SUMIFS(INDEX(Inputs!$D$4:$AG$250,0,MATCH(K$2,Inputs!$D$2:$AG$2,0)),Inputs!$B$4:$B$250,$B93)/1000)</f>
        <v>17.228</v>
      </c>
      <c r="L93" s="11">
        <f>IF(SUMPRODUCT((Inputs!$B$4:$B$250=$B93)*ISNUMBER(INDEX(Inputs!$D$4:$AG$250,0,MATCH(L$2,Inputs!$D$2:$AG$2,0))))=0,"",SUMIFS(INDEX(Inputs!$D$4:$AG$250,0,MATCH(L$2,Inputs!$D$2:$AG$2,0)),Inputs!$B$4:$B$250,$B93)/1000)</f>
        <v>19.507</v>
      </c>
      <c r="M93" s="12">
        <f>IF(COUNT(I93:L93)=4,SUM(I93:L93),"")</f>
        <v>71.015</v>
      </c>
      <c r="N93" s="11">
        <f>IF(SUMPRODUCT((Inputs!$B$4:$B$250=$B93)*ISNUMBER(INDEX(Inputs!$D$4:$AG$250,0,MATCH(N$2,Inputs!$D$2:$AG$2,0))))=0,"",SUMIFS(INDEX(Inputs!$D$4:$AG$250,0,MATCH(N$2,Inputs!$D$2:$AG$2,0)),Inputs!$B$4:$B$250,$B93)/1000)</f>
        <v>18.983</v>
      </c>
      <c r="O93" s="11">
        <f>IF(SUMPRODUCT((Inputs!$B$4:$B$250=$B93)*ISNUMBER(INDEX(Inputs!$D$4:$AG$250,0,MATCH(O$2,Inputs!$D$2:$AG$2,0))))=0,"",SUMIFS(INDEX(Inputs!$D$4:$AG$250,0,MATCH(O$2,Inputs!$D$2:$AG$2,0)),Inputs!$B$4:$B$250,$B93)/1000)</f>
        <v>17.558</v>
      </c>
      <c r="P93" s="11">
        <f>IF(SUMPRODUCT((Inputs!$B$4:$B$250=$B93)*ISNUMBER(INDEX(Inputs!$D$4:$AG$250,0,MATCH(P$2,Inputs!$D$2:$AG$2,0))))=0,"",SUMIFS(INDEX(Inputs!$D$4:$AG$250,0,MATCH(P$2,Inputs!$D$2:$AG$2,0)),Inputs!$B$4:$B$250,$B93)/1000)</f>
        <v>18.995</v>
      </c>
      <c r="Q93" s="11">
        <f>IF(SUMPRODUCT((Inputs!$B$4:$B$250=$B93)*ISNUMBER(INDEX(Inputs!$D$4:$AG$250,0,MATCH(Q$2,Inputs!$D$2:$AG$2,0))))=0,"",SUMIFS(INDEX(Inputs!$D$4:$AG$250,0,MATCH(Q$2,Inputs!$D$2:$AG$2,0)),Inputs!$B$4:$B$250,$B93)/1000)</f>
        <v>20.571</v>
      </c>
      <c r="R93" s="12">
        <f>IF(COUNT(N93:Q93)=4,SUM(N93:Q93),"")</f>
        <v>76.107</v>
      </c>
      <c r="S93" s="11">
        <f>IF(SUMPRODUCT((Inputs!$B$4:$B$250=$B93)*ISNUMBER(INDEX(Inputs!$D$4:$AG$250,0,MATCH(S$2,Inputs!$D$2:$AG$2,0))))=0,"",SUMIFS(INDEX(Inputs!$D$4:$AG$250,0,MATCH(S$2,Inputs!$D$2:$AG$2,0)),Inputs!$B$4:$B$250,$B93)/1000)</f>
        <v>19.658</v>
      </c>
      <c r="T93" s="11">
        <f>IF(SUMPRODUCT((Inputs!$B$4:$B$250=$B93)*ISNUMBER(INDEX(Inputs!$D$4:$AG$250,0,MATCH(T$2,Inputs!$D$2:$AG$2,0))))=0,"",SUMIFS(INDEX(Inputs!$D$4:$AG$250,0,MATCH(T$2,Inputs!$D$2:$AG$2,0)),Inputs!$B$4:$B$250,$B93)/1000)</f>
        <v>19.203</v>
      </c>
      <c r="U93" s="11">
        <f>IF(SUMPRODUCT((Inputs!$B$4:$B$250=$B93)*ISNUMBER(INDEX(Inputs!$D$4:$AG$250,0,MATCH(U$2,Inputs!$D$2:$AG$2,0))))=0,"",SUMIFS(INDEX(Inputs!$D$4:$AG$250,0,MATCH(U$2,Inputs!$D$2:$AG$2,0)),Inputs!$B$4:$B$250,$B93)/1000)</f>
        <v>20.228</v>
      </c>
      <c r="V93" s="11">
        <f>IF(SUMPRODUCT((Inputs!$B$4:$B$250=$B93)*ISNUMBER(INDEX(Inputs!$D$4:$AG$250,0,MATCH(V$2,Inputs!$D$2:$AG$2,0))))=0,"",SUMIFS(INDEX(Inputs!$D$4:$AG$250,0,MATCH(V$2,Inputs!$D$2:$AG$2,0)),Inputs!$B$4:$B$250,$B93)/1000)</f>
        <v>21.49</v>
      </c>
      <c r="W93" s="12">
        <f>IF(COUNT(S93:V93)=4,SUM(S93:V93),"")</f>
        <v>80.579</v>
      </c>
      <c r="X93" s="11">
        <f>IF(SUMPRODUCT((Inputs!$B$4:$B$250=$B93)*ISNUMBER(INDEX(Inputs!$D$4:$AG$250,0,MATCH(X$2,Inputs!$D$2:$AG$2,0))))=0,"",SUMIFS(INDEX(Inputs!$D$4:$AG$250,0,MATCH(X$2,Inputs!$D$2:$AG$2,0)),Inputs!$B$4:$B$250,$B93)/1000)</f>
        <v>19.773</v>
      </c>
      <c r="Y93" s="11">
        <f>IF(SUMPRODUCT((Inputs!$B$4:$B$250=$B93)*ISNUMBER(INDEX(Inputs!$D$4:$AG$250,0,MATCH(Y$2,Inputs!$D$2:$AG$2,0))))=0,"",SUMIFS(INDEX(Inputs!$D$4:$AG$250,0,MATCH(Y$2,Inputs!$D$2:$AG$2,0)),Inputs!$B$4:$B$250,$B93)/1000)</f>
        <v>19.77</v>
      </c>
      <c r="Z93" s="11">
        <f>IF(SUMPRODUCT((Inputs!$B$4:$B$250=$B93)*ISNUMBER(INDEX(Inputs!$D$4:$AG$250,0,MATCH(Z$2,Inputs!$D$2:$AG$2,0))))=0,"",SUMIFS(INDEX(Inputs!$D$4:$AG$250,0,MATCH(Z$2,Inputs!$D$2:$AG$2,0)),Inputs!$B$4:$B$250,$B93)/1000)</f>
        <v>19.852</v>
      </c>
      <c r="AA93" s="11">
        <f>IF(SUMPRODUCT((Inputs!$B$4:$B$250=$B93)*ISNUMBER(INDEX(Inputs!$D$4:$AG$250,0,MATCH(AA$2,Inputs!$D$2:$AG$2,0))))=0,"",SUMIFS(INDEX(Inputs!$D$4:$AG$250,0,MATCH(AA$2,Inputs!$D$2:$AG$2,0)),Inputs!$B$4:$B$250,$B93)/1000)</f>
        <v>20.841</v>
      </c>
      <c r="AB93" s="12">
        <f>IF(COUNT(X93:AA93)=4,SUM(X93:AA93),"")</f>
        <v>80.236</v>
      </c>
      <c r="AC93" s="11">
        <f>IF(SUMPRODUCT((Inputs!$B$4:$B$250=$B93)*ISNUMBER(INDEX(Inputs!$D$4:$AG$250,0,MATCH(AC$2,Inputs!$D$2:$AG$2,0))))=0,"",SUMIFS(INDEX(Inputs!$D$4:$AG$250,0,MATCH(AC$2,Inputs!$D$2:$AG$2,0)),Inputs!$B$4:$B$250,$B93)/1000)</f>
        <v>21.108</v>
      </c>
      <c r="AD93" s="11">
        <f>IF(SUMPRODUCT((Inputs!$B$4:$B$250=$B93)*ISNUMBER(INDEX(Inputs!$D$4:$AG$250,0,MATCH(AD$2,Inputs!$D$2:$AG$2,0))))=0,"",SUMIFS(INDEX(Inputs!$D$4:$AG$250,0,MATCH(AD$2,Inputs!$D$2:$AG$2,0)),Inputs!$B$4:$B$250,$B93)/1000)</f>
        <v>20.774</v>
      </c>
      <c r="AE93" s="11" t="str">
        <f>IF(SUMPRODUCT((Inputs!$B$4:$B$250=$B93)*ISNUMBER(INDEX(Inputs!$D$4:$AG$250,0,MATCH(AE$2,Inputs!$D$2:$AG$2,0))))=0,"",SUMIFS(INDEX(Inputs!$D$4:$AG$250,0,MATCH(AE$2,Inputs!$D$2:$AG$2,0)),Inputs!$B$4:$B$250,$B93)/1000)</f>
        <v/>
      </c>
      <c r="AF93" s="11" t="str">
        <f>IF(SUMPRODUCT((Inputs!$B$4:$B$250=$B93)*ISNUMBER(INDEX(Inputs!$D$4:$AG$250,0,MATCH(AF$2,Inputs!$D$2:$AG$2,0))))=0,"",SUMIFS(INDEX(Inputs!$D$4:$AG$250,0,MATCH(AF$2,Inputs!$D$2:$AG$2,0)),Inputs!$B$4:$B$250,$B93)/1000)</f>
        <v/>
      </c>
      <c r="AG93" s="12" t="str">
        <f>IF(COUNT(AC93:AF93)=4,SUM(AC93:AF93),"")</f>
        <v/>
      </c>
    </row>
    <row r="94">
      <c r="B94" s="9" t="n">
        <v>86</v>
      </c>
      <c r="C94" s="10" t="inlineStr">
        <is>
          <t>Geracao | Ferreira Gomes</t>
        </is>
      </c>
      <c r="D94" s="11">
        <f>IF(SUMPRODUCT((Inputs!$B$4:$B$250=$B94)*ISNUMBER(INDEX(Inputs!$D$4:$AG$250,0,MATCH(D$2,Inputs!$D$2:$AG$2,0))))=0,"",SUMIFS(INDEX(Inputs!$D$4:$AG$250,0,MATCH(D$2,Inputs!$D$2:$AG$2,0)),Inputs!$B$4:$B$250,$B94)/1000)</f>
        <v>49.37</v>
      </c>
      <c r="E94" s="11">
        <f>IF(SUMPRODUCT((Inputs!$B$4:$B$250=$B94)*ISNUMBER(INDEX(Inputs!$D$4:$AG$250,0,MATCH(E$2,Inputs!$D$2:$AG$2,0))))=0,"",SUMIFS(INDEX(Inputs!$D$4:$AG$250,0,MATCH(E$2,Inputs!$D$2:$AG$2,0)),Inputs!$B$4:$B$250,$B94)/1000)</f>
        <v>47.813</v>
      </c>
      <c r="F94" s="11">
        <f>IF(SUMPRODUCT((Inputs!$B$4:$B$250=$B94)*ISNUMBER(INDEX(Inputs!$D$4:$AG$250,0,MATCH(F$2,Inputs!$D$2:$AG$2,0))))=0,"",SUMIFS(INDEX(Inputs!$D$4:$AG$250,0,MATCH(F$2,Inputs!$D$2:$AG$2,0)),Inputs!$B$4:$B$250,$B94)/1000)</f>
        <v>66.452</v>
      </c>
      <c r="G94" s="11">
        <f>IF(SUMPRODUCT((Inputs!$B$4:$B$250=$B94)*ISNUMBER(INDEX(Inputs!$D$4:$AG$250,0,MATCH(G$2,Inputs!$D$2:$AG$2,0))))=0,"",SUMIFS(INDEX(Inputs!$D$4:$AG$250,0,MATCH(G$2,Inputs!$D$2:$AG$2,0)),Inputs!$B$4:$B$250,$B94)/1000)</f>
        <v>78.369</v>
      </c>
      <c r="H94" s="12">
        <f>IF(COUNT(D94:G94)=4,SUM(D94:G94),"")</f>
        <v>242.004</v>
      </c>
      <c r="I94" s="11">
        <f>IF(SUMPRODUCT((Inputs!$B$4:$B$250=$B94)*ISNUMBER(INDEX(Inputs!$D$4:$AG$250,0,MATCH(I$2,Inputs!$D$2:$AG$2,0))))=0,"",SUMIFS(INDEX(Inputs!$D$4:$AG$250,0,MATCH(I$2,Inputs!$D$2:$AG$2,0)),Inputs!$B$4:$B$250,$B94)/1000)</f>
        <v>44.559</v>
      </c>
      <c r="J94" s="11">
        <f>IF(SUMPRODUCT((Inputs!$B$4:$B$250=$B94)*ISNUMBER(INDEX(Inputs!$D$4:$AG$250,0,MATCH(J$2,Inputs!$D$2:$AG$2,0))))=0,"",SUMIFS(INDEX(Inputs!$D$4:$AG$250,0,MATCH(J$2,Inputs!$D$2:$AG$2,0)),Inputs!$B$4:$B$250,$B94)/1000)</f>
        <v>46.677</v>
      </c>
      <c r="K94" s="11">
        <f>IF(SUMPRODUCT((Inputs!$B$4:$B$250=$B94)*ISNUMBER(INDEX(Inputs!$D$4:$AG$250,0,MATCH(K$2,Inputs!$D$2:$AG$2,0))))=0,"",SUMIFS(INDEX(Inputs!$D$4:$AG$250,0,MATCH(K$2,Inputs!$D$2:$AG$2,0)),Inputs!$B$4:$B$250,$B94)/1000)</f>
        <v>47.879</v>
      </c>
      <c r="L94" s="11">
        <f>IF(SUMPRODUCT((Inputs!$B$4:$B$250=$B94)*ISNUMBER(INDEX(Inputs!$D$4:$AG$250,0,MATCH(L$2,Inputs!$D$2:$AG$2,0))))=0,"",SUMIFS(INDEX(Inputs!$D$4:$AG$250,0,MATCH(L$2,Inputs!$D$2:$AG$2,0)),Inputs!$B$4:$B$250,$B94)/1000)</f>
        <v>49.725</v>
      </c>
      <c r="M94" s="12">
        <f>IF(COUNT(I94:L94)=4,SUM(I94:L94),"")</f>
        <v>188.84</v>
      </c>
      <c r="N94" s="11">
        <f>IF(SUMPRODUCT((Inputs!$B$4:$B$250=$B94)*ISNUMBER(INDEX(Inputs!$D$4:$AG$250,0,MATCH(N$2,Inputs!$D$2:$AG$2,0))))=0,"",SUMIFS(INDEX(Inputs!$D$4:$AG$250,0,MATCH(N$2,Inputs!$D$2:$AG$2,0)),Inputs!$B$4:$B$250,$B94)/1000)</f>
        <v>54.377</v>
      </c>
      <c r="O94" s="11">
        <f>IF(SUMPRODUCT((Inputs!$B$4:$B$250=$B94)*ISNUMBER(INDEX(Inputs!$D$4:$AG$250,0,MATCH(O$2,Inputs!$D$2:$AG$2,0))))=0,"",SUMIFS(INDEX(Inputs!$D$4:$AG$250,0,MATCH(O$2,Inputs!$D$2:$AG$2,0)),Inputs!$B$4:$B$250,$B94)/1000)</f>
        <v>55.041</v>
      </c>
      <c r="P94" s="11">
        <f>IF(SUMPRODUCT((Inputs!$B$4:$B$250=$B94)*ISNUMBER(INDEX(Inputs!$D$4:$AG$250,0,MATCH(P$2,Inputs!$D$2:$AG$2,0))))=0,"",SUMIFS(INDEX(Inputs!$D$4:$AG$250,0,MATCH(P$2,Inputs!$D$2:$AG$2,0)),Inputs!$B$4:$B$250,$B94)/1000)</f>
        <v>54.993</v>
      </c>
      <c r="Q94" s="11">
        <f>IF(SUMPRODUCT((Inputs!$B$4:$B$250=$B94)*ISNUMBER(INDEX(Inputs!$D$4:$AG$250,0,MATCH(Q$2,Inputs!$D$2:$AG$2,0))))=0,"",SUMIFS(INDEX(Inputs!$D$4:$AG$250,0,MATCH(Q$2,Inputs!$D$2:$AG$2,0)),Inputs!$B$4:$B$250,$B94)/1000)</f>
        <v>54.948</v>
      </c>
      <c r="R94" s="12">
        <f>IF(COUNT(N94:Q94)=4,SUM(N94:Q94),"")</f>
        <v>219.359</v>
      </c>
      <c r="S94" s="11">
        <f>IF(SUMPRODUCT((Inputs!$B$4:$B$250=$B94)*ISNUMBER(INDEX(Inputs!$D$4:$AG$250,0,MATCH(S$2,Inputs!$D$2:$AG$2,0))))=0,"",SUMIFS(INDEX(Inputs!$D$4:$AG$250,0,MATCH(S$2,Inputs!$D$2:$AG$2,0)),Inputs!$B$4:$B$250,$B94)/1000)</f>
        <v>55.747</v>
      </c>
      <c r="T94" s="11">
        <f>IF(SUMPRODUCT((Inputs!$B$4:$B$250=$B94)*ISNUMBER(INDEX(Inputs!$D$4:$AG$250,0,MATCH(T$2,Inputs!$D$2:$AG$2,0))))=0,"",SUMIFS(INDEX(Inputs!$D$4:$AG$250,0,MATCH(T$2,Inputs!$D$2:$AG$2,0)),Inputs!$B$4:$B$250,$B94)/1000)</f>
        <v>57.104</v>
      </c>
      <c r="U94" s="11">
        <f>IF(SUMPRODUCT((Inputs!$B$4:$B$250=$B94)*ISNUMBER(INDEX(Inputs!$D$4:$AG$250,0,MATCH(U$2,Inputs!$D$2:$AG$2,0))))=0,"",SUMIFS(INDEX(Inputs!$D$4:$AG$250,0,MATCH(U$2,Inputs!$D$2:$AG$2,0)),Inputs!$B$4:$B$250,$B94)/1000)</f>
        <v>58.381</v>
      </c>
      <c r="V94" s="11">
        <f>IF(SUMPRODUCT((Inputs!$B$4:$B$250=$B94)*ISNUMBER(INDEX(Inputs!$D$4:$AG$250,0,MATCH(V$2,Inputs!$D$2:$AG$2,0))))=0,"",SUMIFS(INDEX(Inputs!$D$4:$AG$250,0,MATCH(V$2,Inputs!$D$2:$AG$2,0)),Inputs!$B$4:$B$250,$B94)/1000)</f>
        <v>77.114</v>
      </c>
      <c r="W94" s="12">
        <f>IF(COUNT(S94:V94)=4,SUM(S94:V94),"")</f>
        <v>248.346</v>
      </c>
      <c r="X94" s="11">
        <f>IF(SUMPRODUCT((Inputs!$B$4:$B$250=$B94)*ISNUMBER(INDEX(Inputs!$D$4:$AG$250,0,MATCH(X$2,Inputs!$D$2:$AG$2,0))))=0,"",SUMIFS(INDEX(Inputs!$D$4:$AG$250,0,MATCH(X$2,Inputs!$D$2:$AG$2,0)),Inputs!$B$4:$B$250,$B94)/1000)</f>
        <v>70.106</v>
      </c>
      <c r="Y94" s="11">
        <f>IF(SUMPRODUCT((Inputs!$B$4:$B$250=$B94)*ISNUMBER(INDEX(Inputs!$D$4:$AG$250,0,MATCH(Y$2,Inputs!$D$2:$AG$2,0))))=0,"",SUMIFS(INDEX(Inputs!$D$4:$AG$250,0,MATCH(Y$2,Inputs!$D$2:$AG$2,0)),Inputs!$B$4:$B$250,$B94)/1000)</f>
        <v>58.146</v>
      </c>
      <c r="Z94" s="11">
        <f>IF(SUMPRODUCT((Inputs!$B$4:$B$250=$B94)*ISNUMBER(INDEX(Inputs!$D$4:$AG$250,0,MATCH(Z$2,Inputs!$D$2:$AG$2,0))))=0,"",SUMIFS(INDEX(Inputs!$D$4:$AG$250,0,MATCH(Z$2,Inputs!$D$2:$AG$2,0)),Inputs!$B$4:$B$250,$B94)/1000)</f>
        <v>62.463</v>
      </c>
      <c r="AA94" s="11">
        <f>IF(SUMPRODUCT((Inputs!$B$4:$B$250=$B94)*ISNUMBER(INDEX(Inputs!$D$4:$AG$250,0,MATCH(AA$2,Inputs!$D$2:$AG$2,0))))=0,"",SUMIFS(INDEX(Inputs!$D$4:$AG$250,0,MATCH(AA$2,Inputs!$D$2:$AG$2,0)),Inputs!$B$4:$B$250,$B94)/1000)</f>
        <v>65.805</v>
      </c>
      <c r="AB94" s="12">
        <f>IF(COUNT(X94:AA94)=4,SUM(X94:AA94),"")</f>
        <v>256.52</v>
      </c>
      <c r="AC94" s="11">
        <f>IF(SUMPRODUCT((Inputs!$B$4:$B$250=$B94)*ISNUMBER(INDEX(Inputs!$D$4:$AG$250,0,MATCH(AC$2,Inputs!$D$2:$AG$2,0))))=0,"",SUMIFS(INDEX(Inputs!$D$4:$AG$250,0,MATCH(AC$2,Inputs!$D$2:$AG$2,0)),Inputs!$B$4:$B$250,$B94)/1000)</f>
        <v>66.509</v>
      </c>
      <c r="AD94" s="11">
        <f>IF(SUMPRODUCT((Inputs!$B$4:$B$250=$B94)*ISNUMBER(INDEX(Inputs!$D$4:$AG$250,0,MATCH(AD$2,Inputs!$D$2:$AG$2,0))))=0,"",SUMIFS(INDEX(Inputs!$D$4:$AG$250,0,MATCH(AD$2,Inputs!$D$2:$AG$2,0)),Inputs!$B$4:$B$250,$B94)/1000)</f>
        <v>67.061</v>
      </c>
      <c r="AE94" s="11" t="str">
        <f>IF(SUMPRODUCT((Inputs!$B$4:$B$250=$B94)*ISNUMBER(INDEX(Inputs!$D$4:$AG$250,0,MATCH(AE$2,Inputs!$D$2:$AG$2,0))))=0,"",SUMIFS(INDEX(Inputs!$D$4:$AG$250,0,MATCH(AE$2,Inputs!$D$2:$AG$2,0)),Inputs!$B$4:$B$250,$B94)/1000)</f>
        <v/>
      </c>
      <c r="AF94" s="11" t="str">
        <f>IF(SUMPRODUCT((Inputs!$B$4:$B$250=$B94)*ISNUMBER(INDEX(Inputs!$D$4:$AG$250,0,MATCH(AF$2,Inputs!$D$2:$AG$2,0))))=0,"",SUMIFS(INDEX(Inputs!$D$4:$AG$250,0,MATCH(AF$2,Inputs!$D$2:$AG$2,0)),Inputs!$B$4:$B$250,$B94)/1000)</f>
        <v/>
      </c>
      <c r="AG94" s="12" t="str">
        <f>IF(COUNT(AC94:AF94)=4,SUM(AC94:AF94),"")</f>
        <v/>
      </c>
    </row>
    <row r="95">
      <c r="B95" s="9" t="n">
        <v>87</v>
      </c>
      <c r="C95" s="10" t="inlineStr">
        <is>
          <t>Geracao | La Virgen</t>
        </is>
      </c>
      <c r="D95" s="11">
        <f>IF(SUMPRODUCT((Inputs!$B$4:$B$250=$B95)*ISNUMBER(INDEX(Inputs!$D$4:$AG$250,0,MATCH(D$2,Inputs!$D$2:$AG$2,0))))=0,"",SUMIFS(INDEX(Inputs!$D$4:$AG$250,0,MATCH(D$2,Inputs!$D$2:$AG$2,0)),Inputs!$B$4:$B$250,$B95)/1000)</f>
        <v>0</v>
      </c>
      <c r="E95" s="11">
        <f>IF(SUMPRODUCT((Inputs!$B$4:$B$250=$B95)*ISNUMBER(INDEX(Inputs!$D$4:$AG$250,0,MATCH(E$2,Inputs!$D$2:$AG$2,0))))=0,"",SUMIFS(INDEX(Inputs!$D$4:$AG$250,0,MATCH(E$2,Inputs!$D$2:$AG$2,0)),Inputs!$B$4:$B$250,$B95)/1000)</f>
        <v>2.558</v>
      </c>
      <c r="F95" s="11">
        <f>IF(SUMPRODUCT((Inputs!$B$4:$B$250=$B95)*ISNUMBER(INDEX(Inputs!$D$4:$AG$250,0,MATCH(F$2,Inputs!$D$2:$AG$2,0))))=0,"",SUMIFS(INDEX(Inputs!$D$4:$AG$250,0,MATCH(F$2,Inputs!$D$2:$AG$2,0)),Inputs!$B$4:$B$250,$B95)/1000)</f>
        <v>12.707</v>
      </c>
      <c r="G95" s="11">
        <f>IF(SUMPRODUCT((Inputs!$B$4:$B$250=$B95)*ISNUMBER(INDEX(Inputs!$D$4:$AG$250,0,MATCH(G$2,Inputs!$D$2:$AG$2,0))))=0,"",SUMIFS(INDEX(Inputs!$D$4:$AG$250,0,MATCH(G$2,Inputs!$D$2:$AG$2,0)),Inputs!$B$4:$B$250,$B95)/1000)</f>
        <v>14.192</v>
      </c>
      <c r="H95" s="12">
        <f>IF(COUNT(D95:G95)=4,SUM(D95:G95),"")</f>
        <v>29.457</v>
      </c>
      <c r="I95" s="11">
        <f>IF(SUMPRODUCT((Inputs!$B$4:$B$250=$B95)*ISNUMBER(INDEX(Inputs!$D$4:$AG$250,0,MATCH(I$2,Inputs!$D$2:$AG$2,0))))=0,"",SUMIFS(INDEX(Inputs!$D$4:$AG$250,0,MATCH(I$2,Inputs!$D$2:$AG$2,0)),Inputs!$B$4:$B$250,$B95)/1000)</f>
        <v>18.251</v>
      </c>
      <c r="J95" s="11">
        <f>IF(SUMPRODUCT((Inputs!$B$4:$B$250=$B95)*ISNUMBER(INDEX(Inputs!$D$4:$AG$250,0,MATCH(J$2,Inputs!$D$2:$AG$2,0))))=0,"",SUMIFS(INDEX(Inputs!$D$4:$AG$250,0,MATCH(J$2,Inputs!$D$2:$AG$2,0)),Inputs!$B$4:$B$250,$B95)/1000)</f>
        <v>17.015</v>
      </c>
      <c r="K95" s="11">
        <f>IF(SUMPRODUCT((Inputs!$B$4:$B$250=$B95)*ISNUMBER(INDEX(Inputs!$D$4:$AG$250,0,MATCH(K$2,Inputs!$D$2:$AG$2,0))))=0,"",SUMIFS(INDEX(Inputs!$D$4:$AG$250,0,MATCH(K$2,Inputs!$D$2:$AG$2,0)),Inputs!$B$4:$B$250,$B95)/1000)</f>
        <v>12.22</v>
      </c>
      <c r="L95" s="11">
        <f>IF(SUMPRODUCT((Inputs!$B$4:$B$250=$B95)*ISNUMBER(INDEX(Inputs!$D$4:$AG$250,0,MATCH(L$2,Inputs!$D$2:$AG$2,0))))=0,"",SUMIFS(INDEX(Inputs!$D$4:$AG$250,0,MATCH(L$2,Inputs!$D$2:$AG$2,0)),Inputs!$B$4:$B$250,$B95)/1000)</f>
        <v>19.527</v>
      </c>
      <c r="M95" s="12">
        <f>IF(COUNT(I95:L95)=4,SUM(I95:L95),"")</f>
        <v>67.013</v>
      </c>
      <c r="N95" s="11">
        <f>IF(SUMPRODUCT((Inputs!$B$4:$B$250=$B95)*ISNUMBER(INDEX(Inputs!$D$4:$AG$250,0,MATCH(N$2,Inputs!$D$2:$AG$2,0))))=0,"",SUMIFS(INDEX(Inputs!$D$4:$AG$250,0,MATCH(N$2,Inputs!$D$2:$AG$2,0)),Inputs!$B$4:$B$250,$B95)/1000)</f>
        <v>31.933</v>
      </c>
      <c r="O95" s="11">
        <f>IF(SUMPRODUCT((Inputs!$B$4:$B$250=$B95)*ISNUMBER(INDEX(Inputs!$D$4:$AG$250,0,MATCH(O$2,Inputs!$D$2:$AG$2,0))))=0,"",SUMIFS(INDEX(Inputs!$D$4:$AG$250,0,MATCH(O$2,Inputs!$D$2:$AG$2,0)),Inputs!$B$4:$B$250,$B95)/1000)</f>
        <v>22.109</v>
      </c>
      <c r="P95" s="11">
        <f>IF(SUMPRODUCT((Inputs!$B$4:$B$250=$B95)*ISNUMBER(INDEX(Inputs!$D$4:$AG$250,0,MATCH(P$2,Inputs!$D$2:$AG$2,0))))=0,"",SUMIFS(INDEX(Inputs!$D$4:$AG$250,0,MATCH(P$2,Inputs!$D$2:$AG$2,0)),Inputs!$B$4:$B$250,$B95)/1000)</f>
        <v>34.221</v>
      </c>
      <c r="Q95" s="11">
        <f>IF(SUMPRODUCT((Inputs!$B$4:$B$250=$B95)*ISNUMBER(INDEX(Inputs!$D$4:$AG$250,0,MATCH(Q$2,Inputs!$D$2:$AG$2,0))))=0,"",SUMIFS(INDEX(Inputs!$D$4:$AG$250,0,MATCH(Q$2,Inputs!$D$2:$AG$2,0)),Inputs!$B$4:$B$250,$B95)/1000)</f>
        <v>23.946</v>
      </c>
      <c r="R95" s="12">
        <f>IF(COUNT(N95:Q95)=4,SUM(N95:Q95),"")</f>
        <v>112.209</v>
      </c>
      <c r="S95" s="11">
        <f>IF(SUMPRODUCT((Inputs!$B$4:$B$250=$B95)*ISNUMBER(INDEX(Inputs!$D$4:$AG$250,0,MATCH(S$2,Inputs!$D$2:$AG$2,0))))=0,"",SUMIFS(INDEX(Inputs!$D$4:$AG$250,0,MATCH(S$2,Inputs!$D$2:$AG$2,0)),Inputs!$B$4:$B$250,$B95)/1000)</f>
        <v>29.812</v>
      </c>
      <c r="T95" s="11">
        <f>IF(SUMPRODUCT((Inputs!$B$4:$B$250=$B95)*ISNUMBER(INDEX(Inputs!$D$4:$AG$250,0,MATCH(T$2,Inputs!$D$2:$AG$2,0))))=0,"",SUMIFS(INDEX(Inputs!$D$4:$AG$250,0,MATCH(T$2,Inputs!$D$2:$AG$2,0)),Inputs!$B$4:$B$250,$B95)/1000)</f>
        <v>23.599</v>
      </c>
      <c r="U95" s="11">
        <f>IF(SUMPRODUCT((Inputs!$B$4:$B$250=$B95)*ISNUMBER(INDEX(Inputs!$D$4:$AG$250,0,MATCH(U$2,Inputs!$D$2:$AG$2,0))))=0,"",SUMIFS(INDEX(Inputs!$D$4:$AG$250,0,MATCH(U$2,Inputs!$D$2:$AG$2,0)),Inputs!$B$4:$B$250,$B95)/1000)</f>
        <v>16.436</v>
      </c>
      <c r="V95" s="11">
        <f>IF(SUMPRODUCT((Inputs!$B$4:$B$250=$B95)*ISNUMBER(INDEX(Inputs!$D$4:$AG$250,0,MATCH(V$2,Inputs!$D$2:$AG$2,0))))=0,"",SUMIFS(INDEX(Inputs!$D$4:$AG$250,0,MATCH(V$2,Inputs!$D$2:$AG$2,0)),Inputs!$B$4:$B$250,$B95)/1000)</f>
        <v>26.498</v>
      </c>
      <c r="W95" s="12">
        <f>IF(COUNT(S95:V95)=4,SUM(S95:V95),"")</f>
        <v>96.345</v>
      </c>
      <c r="X95" s="11">
        <f>IF(SUMPRODUCT((Inputs!$B$4:$B$250=$B95)*ISNUMBER(INDEX(Inputs!$D$4:$AG$250,0,MATCH(X$2,Inputs!$D$2:$AG$2,0))))=0,"",SUMIFS(INDEX(Inputs!$D$4:$AG$250,0,MATCH(X$2,Inputs!$D$2:$AG$2,0)),Inputs!$B$4:$B$250,$B95)/1000)</f>
        <v>35.092</v>
      </c>
      <c r="Y95" s="11">
        <f>IF(SUMPRODUCT((Inputs!$B$4:$B$250=$B95)*ISNUMBER(INDEX(Inputs!$D$4:$AG$250,0,MATCH(Y$2,Inputs!$D$2:$AG$2,0))))=0,"",SUMIFS(INDEX(Inputs!$D$4:$AG$250,0,MATCH(Y$2,Inputs!$D$2:$AG$2,0)),Inputs!$B$4:$B$250,$B95)/1000)</f>
        <v>34.145</v>
      </c>
      <c r="Z95" s="11">
        <f>IF(SUMPRODUCT((Inputs!$B$4:$B$250=$B95)*ISNUMBER(INDEX(Inputs!$D$4:$AG$250,0,MATCH(Z$2,Inputs!$D$2:$AG$2,0))))=0,"",SUMIFS(INDEX(Inputs!$D$4:$AG$250,0,MATCH(Z$2,Inputs!$D$2:$AG$2,0)),Inputs!$B$4:$B$250,$B95)/1000)</f>
        <v>22.968</v>
      </c>
      <c r="AA95" s="11">
        <f>IF(SUMPRODUCT((Inputs!$B$4:$B$250=$B95)*ISNUMBER(INDEX(Inputs!$D$4:$AG$250,0,MATCH(AA$2,Inputs!$D$2:$AG$2,0))))=0,"",SUMIFS(INDEX(Inputs!$D$4:$AG$250,0,MATCH(AA$2,Inputs!$D$2:$AG$2,0)),Inputs!$B$4:$B$250,$B95)/1000)</f>
        <v>27.932</v>
      </c>
      <c r="AB95" s="12">
        <f>IF(COUNT(X95:AA95)=4,SUM(X95:AA95),"")</f>
        <v>120.137</v>
      </c>
      <c r="AC95" s="11">
        <f>IF(SUMPRODUCT((Inputs!$B$4:$B$250=$B95)*ISNUMBER(INDEX(Inputs!$D$4:$AG$250,0,MATCH(AC$2,Inputs!$D$2:$AG$2,0))))=0,"",SUMIFS(INDEX(Inputs!$D$4:$AG$250,0,MATCH(AC$2,Inputs!$D$2:$AG$2,0)),Inputs!$B$4:$B$250,$B95)/1000)</f>
        <v>52.247</v>
      </c>
      <c r="AD95" s="11">
        <f>IF(SUMPRODUCT((Inputs!$B$4:$B$250=$B95)*ISNUMBER(INDEX(Inputs!$D$4:$AG$250,0,MATCH(AD$2,Inputs!$D$2:$AG$2,0))))=0,"",SUMIFS(INDEX(Inputs!$D$4:$AG$250,0,MATCH(AD$2,Inputs!$D$2:$AG$2,0)),Inputs!$B$4:$B$250,$B95)/1000)</f>
        <v>33.452</v>
      </c>
      <c r="AE95" s="11" t="str">
        <f>IF(SUMPRODUCT((Inputs!$B$4:$B$250=$B95)*ISNUMBER(INDEX(Inputs!$D$4:$AG$250,0,MATCH(AE$2,Inputs!$D$2:$AG$2,0))))=0,"",SUMIFS(INDEX(Inputs!$D$4:$AG$250,0,MATCH(AE$2,Inputs!$D$2:$AG$2,0)),Inputs!$B$4:$B$250,$B95)/1000)</f>
        <v/>
      </c>
      <c r="AF95" s="11" t="str">
        <f>IF(SUMPRODUCT((Inputs!$B$4:$B$250=$B95)*ISNUMBER(INDEX(Inputs!$D$4:$AG$250,0,MATCH(AF$2,Inputs!$D$2:$AG$2,0))))=0,"",SUMIFS(INDEX(Inputs!$D$4:$AG$250,0,MATCH(AF$2,Inputs!$D$2:$AG$2,0)),Inputs!$B$4:$B$250,$B95)/1000)</f>
        <v/>
      </c>
      <c r="AG95" s="12" t="str">
        <f>IF(COUNT(AC95:AF95)=4,SUM(AC95:AF95),"")</f>
        <v/>
      </c>
    </row>
    <row r="96">
      <c r="B96" s="9" t="n">
        <v>88</v>
      </c>
      <c r="C96" s="10" t="inlineStr">
        <is>
          <t>Geracao | Risaralda (Morro Azul)</t>
        </is>
      </c>
      <c r="D96" s="11">
        <f>IF(SUMPRODUCT((Inputs!$B$4:$B$250=$B96)*ISNUMBER(INDEX(Inputs!$D$4:$AG$250,0,MATCH(D$2,Inputs!$D$2:$AG$2,0))))=0,"",SUMIFS(INDEX(Inputs!$D$4:$AG$250,0,MATCH(D$2,Inputs!$D$2:$AG$2,0)),Inputs!$B$4:$B$250,$B96)/1000)</f>
        <v>8.783</v>
      </c>
      <c r="E96" s="11">
        <f>IF(SUMPRODUCT((Inputs!$B$4:$B$250=$B96)*ISNUMBER(INDEX(Inputs!$D$4:$AG$250,0,MATCH(E$2,Inputs!$D$2:$AG$2,0))))=0,"",SUMIFS(INDEX(Inputs!$D$4:$AG$250,0,MATCH(E$2,Inputs!$D$2:$AG$2,0)),Inputs!$B$4:$B$250,$B96)/1000)</f>
        <v>11.277</v>
      </c>
      <c r="F96" s="11">
        <f>IF(SUMPRODUCT((Inputs!$B$4:$B$250=$B96)*ISNUMBER(INDEX(Inputs!$D$4:$AG$250,0,MATCH(F$2,Inputs!$D$2:$AG$2,0))))=0,"",SUMIFS(INDEX(Inputs!$D$4:$AG$250,0,MATCH(F$2,Inputs!$D$2:$AG$2,0)),Inputs!$B$4:$B$250,$B96)/1000)</f>
        <v>8.401</v>
      </c>
      <c r="G96" s="11">
        <f>IF(SUMPRODUCT((Inputs!$B$4:$B$250=$B96)*ISNUMBER(INDEX(Inputs!$D$4:$AG$250,0,MATCH(G$2,Inputs!$D$2:$AG$2,0))))=0,"",SUMIFS(INDEX(Inputs!$D$4:$AG$250,0,MATCH(G$2,Inputs!$D$2:$AG$2,0)),Inputs!$B$4:$B$250,$B96)/1000)</f>
        <v>9.626</v>
      </c>
      <c r="H96" s="12">
        <f>IF(COUNT(D96:G96)=4,SUM(D96:G96),"")</f>
        <v>38.087</v>
      </c>
      <c r="I96" s="11">
        <f>IF(SUMPRODUCT((Inputs!$B$4:$B$250=$B96)*ISNUMBER(INDEX(Inputs!$D$4:$AG$250,0,MATCH(I$2,Inputs!$D$2:$AG$2,0))))=0,"",SUMIFS(INDEX(Inputs!$D$4:$AG$250,0,MATCH(I$2,Inputs!$D$2:$AG$2,0)),Inputs!$B$4:$B$250,$B96)/1000)</f>
        <v>8.544</v>
      </c>
      <c r="J96" s="11">
        <f>IF(SUMPRODUCT((Inputs!$B$4:$B$250=$B96)*ISNUMBER(INDEX(Inputs!$D$4:$AG$250,0,MATCH(J$2,Inputs!$D$2:$AG$2,0))))=0,"",SUMIFS(INDEX(Inputs!$D$4:$AG$250,0,MATCH(J$2,Inputs!$D$2:$AG$2,0)),Inputs!$B$4:$B$250,$B96)/1000)</f>
        <v>9.497</v>
      </c>
      <c r="K96" s="11">
        <f>IF(SUMPRODUCT((Inputs!$B$4:$B$250=$B96)*ISNUMBER(INDEX(Inputs!$D$4:$AG$250,0,MATCH(K$2,Inputs!$D$2:$AG$2,0))))=0,"",SUMIFS(INDEX(Inputs!$D$4:$AG$250,0,MATCH(K$2,Inputs!$D$2:$AG$2,0)),Inputs!$B$4:$B$250,$B96)/1000)</f>
        <v>11.611</v>
      </c>
      <c r="L96" s="11">
        <f>IF(SUMPRODUCT((Inputs!$B$4:$B$250=$B96)*ISNUMBER(INDEX(Inputs!$D$4:$AG$250,0,MATCH(L$2,Inputs!$D$2:$AG$2,0))))=0,"",SUMIFS(INDEX(Inputs!$D$4:$AG$250,0,MATCH(L$2,Inputs!$D$2:$AG$2,0)),Inputs!$B$4:$B$250,$B96)/1000)</f>
        <v>10.985</v>
      </c>
      <c r="M96" s="12">
        <f>IF(COUNT(I96:L96)=4,SUM(I96:L96),"")</f>
        <v>40.637</v>
      </c>
      <c r="N96" s="11">
        <f>IF(SUMPRODUCT((Inputs!$B$4:$B$250=$B96)*ISNUMBER(INDEX(Inputs!$D$4:$AG$250,0,MATCH(N$2,Inputs!$D$2:$AG$2,0))))=0,"",SUMIFS(INDEX(Inputs!$D$4:$AG$250,0,MATCH(N$2,Inputs!$D$2:$AG$2,0)),Inputs!$B$4:$B$250,$B96)/1000)</f>
        <v>9.016</v>
      </c>
      <c r="O96" s="11">
        <f>IF(SUMPRODUCT((Inputs!$B$4:$B$250=$B96)*ISNUMBER(INDEX(Inputs!$D$4:$AG$250,0,MATCH(O$2,Inputs!$D$2:$AG$2,0))))=0,"",SUMIFS(INDEX(Inputs!$D$4:$AG$250,0,MATCH(O$2,Inputs!$D$2:$AG$2,0)),Inputs!$B$4:$B$250,$B96)/1000)</f>
        <v>10.217</v>
      </c>
      <c r="P96" s="11">
        <f>IF(SUMPRODUCT((Inputs!$B$4:$B$250=$B96)*ISNUMBER(INDEX(Inputs!$D$4:$AG$250,0,MATCH(P$2,Inputs!$D$2:$AG$2,0))))=0,"",SUMIFS(INDEX(Inputs!$D$4:$AG$250,0,MATCH(P$2,Inputs!$D$2:$AG$2,0)),Inputs!$B$4:$B$250,$B96)/1000)</f>
        <v>3.542</v>
      </c>
      <c r="Q96" s="11">
        <f>IF(SUMPRODUCT((Inputs!$B$4:$B$250=$B96)*ISNUMBER(INDEX(Inputs!$D$4:$AG$250,0,MATCH(Q$2,Inputs!$D$2:$AG$2,0))))=0,"",SUMIFS(INDEX(Inputs!$D$4:$AG$250,0,MATCH(Q$2,Inputs!$D$2:$AG$2,0)),Inputs!$B$4:$B$250,$B96)/1000)</f>
        <v>6.746</v>
      </c>
      <c r="R96" s="12">
        <f>IF(COUNT(N96:Q96)=4,SUM(N96:Q96),"")</f>
        <v>29.521</v>
      </c>
      <c r="S96" s="11">
        <f>IF(SUMPRODUCT((Inputs!$B$4:$B$250=$B96)*ISNUMBER(INDEX(Inputs!$D$4:$AG$250,0,MATCH(S$2,Inputs!$D$2:$AG$2,0))))=0,"",SUMIFS(INDEX(Inputs!$D$4:$AG$250,0,MATCH(S$2,Inputs!$D$2:$AG$2,0)),Inputs!$B$4:$B$250,$B96)/1000)</f>
        <v>3.406</v>
      </c>
      <c r="T96" s="11">
        <f>IF(SUMPRODUCT((Inputs!$B$4:$B$250=$B96)*ISNUMBER(INDEX(Inputs!$D$4:$AG$250,0,MATCH(T$2,Inputs!$D$2:$AG$2,0))))=0,"",SUMIFS(INDEX(Inputs!$D$4:$AG$250,0,MATCH(T$2,Inputs!$D$2:$AG$2,0)),Inputs!$B$4:$B$250,$B96)/1000)</f>
        <v>10.491</v>
      </c>
      <c r="U96" s="11">
        <f>IF(SUMPRODUCT((Inputs!$B$4:$B$250=$B96)*ISNUMBER(INDEX(Inputs!$D$4:$AG$250,0,MATCH(U$2,Inputs!$D$2:$AG$2,0))))=0,"",SUMIFS(INDEX(Inputs!$D$4:$AG$250,0,MATCH(U$2,Inputs!$D$2:$AG$2,0)),Inputs!$B$4:$B$250,$B96)/1000)</f>
        <v>9.284</v>
      </c>
      <c r="V96" s="11">
        <f>IF(SUMPRODUCT((Inputs!$B$4:$B$250=$B96)*ISNUMBER(INDEX(Inputs!$D$4:$AG$250,0,MATCH(V$2,Inputs!$D$2:$AG$2,0))))=0,"",SUMIFS(INDEX(Inputs!$D$4:$AG$250,0,MATCH(V$2,Inputs!$D$2:$AG$2,0)),Inputs!$B$4:$B$250,$B96)/1000)</f>
        <v>10.102</v>
      </c>
      <c r="W96" s="12">
        <f>IF(COUNT(S96:V96)=4,SUM(S96:V96),"")</f>
        <v>33.283</v>
      </c>
      <c r="X96" s="11">
        <f>IF(SUMPRODUCT((Inputs!$B$4:$B$250=$B96)*ISNUMBER(INDEX(Inputs!$D$4:$AG$250,0,MATCH(X$2,Inputs!$D$2:$AG$2,0))))=0,"",SUMIFS(INDEX(Inputs!$D$4:$AG$250,0,MATCH(X$2,Inputs!$D$2:$AG$2,0)),Inputs!$B$4:$B$250,$B96)/1000)</f>
        <v>13.431</v>
      </c>
      <c r="Y96" s="11">
        <f>IF(SUMPRODUCT((Inputs!$B$4:$B$250=$B96)*ISNUMBER(INDEX(Inputs!$D$4:$AG$250,0,MATCH(Y$2,Inputs!$D$2:$AG$2,0))))=0,"",SUMIFS(INDEX(Inputs!$D$4:$AG$250,0,MATCH(Y$2,Inputs!$D$2:$AG$2,0)),Inputs!$B$4:$B$250,$B96)/1000)</f>
        <v>15.171</v>
      </c>
      <c r="Z96" s="11">
        <f>IF(SUMPRODUCT((Inputs!$B$4:$B$250=$B96)*ISNUMBER(INDEX(Inputs!$D$4:$AG$250,0,MATCH(Z$2,Inputs!$D$2:$AG$2,0))))=0,"",SUMIFS(INDEX(Inputs!$D$4:$AG$250,0,MATCH(Z$2,Inputs!$D$2:$AG$2,0)),Inputs!$B$4:$B$250,$B96)/1000)</f>
        <v>9.725</v>
      </c>
      <c r="AA96" s="11">
        <f>IF(SUMPRODUCT((Inputs!$B$4:$B$250=$B96)*ISNUMBER(INDEX(Inputs!$D$4:$AG$250,0,MATCH(AA$2,Inputs!$D$2:$AG$2,0))))=0,"",SUMIFS(INDEX(Inputs!$D$4:$AG$250,0,MATCH(AA$2,Inputs!$D$2:$AG$2,0)),Inputs!$B$4:$B$250,$B96)/1000)</f>
        <v>11.063</v>
      </c>
      <c r="AB96" s="12">
        <f>IF(COUNT(X96:AA96)=4,SUM(X96:AA96),"")</f>
        <v>49.39</v>
      </c>
      <c r="AC96" s="11">
        <f>IF(SUMPRODUCT((Inputs!$B$4:$B$250=$B96)*ISNUMBER(INDEX(Inputs!$D$4:$AG$250,0,MATCH(AC$2,Inputs!$D$2:$AG$2,0))))=0,"",SUMIFS(INDEX(Inputs!$D$4:$AG$250,0,MATCH(AC$2,Inputs!$D$2:$AG$2,0)),Inputs!$B$4:$B$250,$B96)/1000)</f>
        <v>13.188</v>
      </c>
      <c r="AD96" s="11">
        <f>IF(SUMPRODUCT((Inputs!$B$4:$B$250=$B96)*ISNUMBER(INDEX(Inputs!$D$4:$AG$250,0,MATCH(AD$2,Inputs!$D$2:$AG$2,0))))=0,"",SUMIFS(INDEX(Inputs!$D$4:$AG$250,0,MATCH(AD$2,Inputs!$D$2:$AG$2,0)),Inputs!$B$4:$B$250,$B96)/1000)</f>
        <v>9.945</v>
      </c>
      <c r="AE96" s="11" t="str">
        <f>IF(SUMPRODUCT((Inputs!$B$4:$B$250=$B96)*ISNUMBER(INDEX(Inputs!$D$4:$AG$250,0,MATCH(AE$2,Inputs!$D$2:$AG$2,0))))=0,"",SUMIFS(INDEX(Inputs!$D$4:$AG$250,0,MATCH(AE$2,Inputs!$D$2:$AG$2,0)),Inputs!$B$4:$B$250,$B96)/1000)</f>
        <v/>
      </c>
      <c r="AF96" s="11" t="str">
        <f>IF(SUMPRODUCT((Inputs!$B$4:$B$250=$B96)*ISNUMBER(INDEX(Inputs!$D$4:$AG$250,0,MATCH(AF$2,Inputs!$D$2:$AG$2,0))))=0,"",SUMIFS(INDEX(Inputs!$D$4:$AG$250,0,MATCH(AF$2,Inputs!$D$2:$AG$2,0)),Inputs!$B$4:$B$250,$B96)/1000)</f>
        <v/>
      </c>
      <c r="AG96" s="12" t="str">
        <f>IF(COUNT(AC96:AF96)=4,SUM(AC96:AF96),"")</f>
        <v/>
      </c>
    </row>
    <row r="97">
      <c r="B97" s="9" t="n">
        <v>89</v>
      </c>
      <c r="C97" s="10" t="inlineStr">
        <is>
          <t>Geracao | Queluz</t>
        </is>
      </c>
      <c r="D97" s="11">
        <f>IF(SUMPRODUCT((Inputs!$B$4:$B$250=$B97)*ISNUMBER(INDEX(Inputs!$D$4:$AG$250,0,MATCH(D$2,Inputs!$D$2:$AG$2,0))))=0,"",SUMIFS(INDEX(Inputs!$D$4:$AG$250,0,MATCH(D$2,Inputs!$D$2:$AG$2,0)),Inputs!$B$4:$B$250,$B97)/1000)</f>
        <v>19.738</v>
      </c>
      <c r="E97" s="11">
        <f>IF(SUMPRODUCT((Inputs!$B$4:$B$250=$B97)*ISNUMBER(INDEX(Inputs!$D$4:$AG$250,0,MATCH(E$2,Inputs!$D$2:$AG$2,0))))=0,"",SUMIFS(INDEX(Inputs!$D$4:$AG$250,0,MATCH(E$2,Inputs!$D$2:$AG$2,0)),Inputs!$B$4:$B$250,$B97)/1000)</f>
        <v>21.879</v>
      </c>
      <c r="F97" s="11">
        <f>IF(SUMPRODUCT((Inputs!$B$4:$B$250=$B97)*ISNUMBER(INDEX(Inputs!$D$4:$AG$250,0,MATCH(F$2,Inputs!$D$2:$AG$2,0))))=0,"",SUMIFS(INDEX(Inputs!$D$4:$AG$250,0,MATCH(F$2,Inputs!$D$2:$AG$2,0)),Inputs!$B$4:$B$250,$B97)/1000)</f>
        <v>18.624</v>
      </c>
      <c r="G97" s="11">
        <f>IF(SUMPRODUCT((Inputs!$B$4:$B$250=$B97)*ISNUMBER(INDEX(Inputs!$D$4:$AG$250,0,MATCH(G$2,Inputs!$D$2:$AG$2,0))))=0,"",SUMIFS(INDEX(Inputs!$D$4:$AG$250,0,MATCH(G$2,Inputs!$D$2:$AG$2,0)),Inputs!$B$4:$B$250,$B97)/1000)</f>
        <v>22.284</v>
      </c>
      <c r="H97" s="12">
        <f>IF(COUNT(D97:G97)=4,SUM(D97:G97),"")</f>
        <v>82.525</v>
      </c>
      <c r="I97" s="11">
        <f>IF(SUMPRODUCT((Inputs!$B$4:$B$250=$B97)*ISNUMBER(INDEX(Inputs!$D$4:$AG$250,0,MATCH(I$2,Inputs!$D$2:$AG$2,0))))=0,"",SUMIFS(INDEX(Inputs!$D$4:$AG$250,0,MATCH(I$2,Inputs!$D$2:$AG$2,0)),Inputs!$B$4:$B$250,$B97)/1000)</f>
        <v>15.772</v>
      </c>
      <c r="J97" s="11">
        <f>IF(SUMPRODUCT((Inputs!$B$4:$B$250=$B97)*ISNUMBER(INDEX(Inputs!$D$4:$AG$250,0,MATCH(J$2,Inputs!$D$2:$AG$2,0))))=0,"",SUMIFS(INDEX(Inputs!$D$4:$AG$250,0,MATCH(J$2,Inputs!$D$2:$AG$2,0)),Inputs!$B$4:$B$250,$B97)/1000)</f>
        <v>13.252</v>
      </c>
      <c r="K97" s="11">
        <f>IF(SUMPRODUCT((Inputs!$B$4:$B$250=$B97)*ISNUMBER(INDEX(Inputs!$D$4:$AG$250,0,MATCH(K$2,Inputs!$D$2:$AG$2,0))))=0,"",SUMIFS(INDEX(Inputs!$D$4:$AG$250,0,MATCH(K$2,Inputs!$D$2:$AG$2,0)),Inputs!$B$4:$B$250,$B97)/1000)</f>
        <v>15.018</v>
      </c>
      <c r="L97" s="11">
        <f>IF(SUMPRODUCT((Inputs!$B$4:$B$250=$B97)*ISNUMBER(INDEX(Inputs!$D$4:$AG$250,0,MATCH(L$2,Inputs!$D$2:$AG$2,0))))=0,"",SUMIFS(INDEX(Inputs!$D$4:$AG$250,0,MATCH(L$2,Inputs!$D$2:$AG$2,0)),Inputs!$B$4:$B$250,$B97)/1000)</f>
        <v>15.462</v>
      </c>
      <c r="M97" s="12">
        <f>IF(COUNT(I97:L97)=4,SUM(I97:L97),"")</f>
        <v>59.504</v>
      </c>
      <c r="N97" s="11">
        <f>IF(SUMPRODUCT((Inputs!$B$4:$B$250=$B97)*ISNUMBER(INDEX(Inputs!$D$4:$AG$250,0,MATCH(N$2,Inputs!$D$2:$AG$2,0))))=0,"",SUMIFS(INDEX(Inputs!$D$4:$AG$250,0,MATCH(N$2,Inputs!$D$2:$AG$2,0)),Inputs!$B$4:$B$250,$B97)/1000)</f>
        <v>14.097</v>
      </c>
      <c r="O97" s="11">
        <f>IF(SUMPRODUCT((Inputs!$B$4:$B$250=$B97)*ISNUMBER(INDEX(Inputs!$D$4:$AG$250,0,MATCH(O$2,Inputs!$D$2:$AG$2,0))))=0,"",SUMIFS(INDEX(Inputs!$D$4:$AG$250,0,MATCH(O$2,Inputs!$D$2:$AG$2,0)),Inputs!$B$4:$B$250,$B97)/1000)</f>
        <v>13.945</v>
      </c>
      <c r="P97" s="11">
        <f>IF(SUMPRODUCT((Inputs!$B$4:$B$250=$B97)*ISNUMBER(INDEX(Inputs!$D$4:$AG$250,0,MATCH(P$2,Inputs!$D$2:$AG$2,0))))=0,"",SUMIFS(INDEX(Inputs!$D$4:$AG$250,0,MATCH(P$2,Inputs!$D$2:$AG$2,0)),Inputs!$B$4:$B$250,$B97)/1000)</f>
        <v>13.94</v>
      </c>
      <c r="Q97" s="11">
        <f>IF(SUMPRODUCT((Inputs!$B$4:$B$250=$B97)*ISNUMBER(INDEX(Inputs!$D$4:$AG$250,0,MATCH(Q$2,Inputs!$D$2:$AG$2,0))))=0,"",SUMIFS(INDEX(Inputs!$D$4:$AG$250,0,MATCH(Q$2,Inputs!$D$2:$AG$2,0)),Inputs!$B$4:$B$250,$B97)/1000)</f>
        <v>14.586</v>
      </c>
      <c r="R97" s="12">
        <f>IF(COUNT(N97:Q97)=4,SUM(N97:Q97),"")</f>
        <v>56.568</v>
      </c>
      <c r="S97" s="11">
        <f>IF(SUMPRODUCT((Inputs!$B$4:$B$250=$B97)*ISNUMBER(INDEX(Inputs!$D$4:$AG$250,0,MATCH(S$2,Inputs!$D$2:$AG$2,0))))=0,"",SUMIFS(INDEX(Inputs!$D$4:$AG$250,0,MATCH(S$2,Inputs!$D$2:$AG$2,0)),Inputs!$B$4:$B$250,$B97)/1000)</f>
        <v>13.997</v>
      </c>
      <c r="T97" s="11">
        <f>IF(SUMPRODUCT((Inputs!$B$4:$B$250=$B97)*ISNUMBER(INDEX(Inputs!$D$4:$AG$250,0,MATCH(T$2,Inputs!$D$2:$AG$2,0))))=0,"",SUMIFS(INDEX(Inputs!$D$4:$AG$250,0,MATCH(T$2,Inputs!$D$2:$AG$2,0)),Inputs!$B$4:$B$250,$B97)/1000)</f>
        <v>12.995</v>
      </c>
      <c r="U97" s="11">
        <f>IF(SUMPRODUCT((Inputs!$B$4:$B$250=$B97)*ISNUMBER(INDEX(Inputs!$D$4:$AG$250,0,MATCH(U$2,Inputs!$D$2:$AG$2,0))))=0,"",SUMIFS(INDEX(Inputs!$D$4:$AG$250,0,MATCH(U$2,Inputs!$D$2:$AG$2,0)),Inputs!$B$4:$B$250,$B97)/1000)</f>
        <v>15.648</v>
      </c>
      <c r="V97" s="11">
        <f>IF(SUMPRODUCT((Inputs!$B$4:$B$250=$B97)*ISNUMBER(INDEX(Inputs!$D$4:$AG$250,0,MATCH(V$2,Inputs!$D$2:$AG$2,0))))=0,"",SUMIFS(INDEX(Inputs!$D$4:$AG$250,0,MATCH(V$2,Inputs!$D$2:$AG$2,0)),Inputs!$B$4:$B$250,$B97)/1000)</f>
        <v>21.937</v>
      </c>
      <c r="W97" s="12">
        <f>IF(COUNT(S97:V97)=4,SUM(S97:V97),"")</f>
        <v>64.577</v>
      </c>
      <c r="X97" s="11">
        <f>IF(SUMPRODUCT((Inputs!$B$4:$B$250=$B97)*ISNUMBER(INDEX(Inputs!$D$4:$AG$250,0,MATCH(X$2,Inputs!$D$2:$AG$2,0))))=0,"",SUMIFS(INDEX(Inputs!$D$4:$AG$250,0,MATCH(X$2,Inputs!$D$2:$AG$2,0)),Inputs!$B$4:$B$250,$B97)/1000)</f>
        <v>15.292</v>
      </c>
      <c r="Y97" s="11">
        <f>IF(SUMPRODUCT((Inputs!$B$4:$B$250=$B97)*ISNUMBER(INDEX(Inputs!$D$4:$AG$250,0,MATCH(Y$2,Inputs!$D$2:$AG$2,0))))=0,"",SUMIFS(INDEX(Inputs!$D$4:$AG$250,0,MATCH(Y$2,Inputs!$D$2:$AG$2,0)),Inputs!$B$4:$B$250,$B97)/1000)</f>
        <v>14.334</v>
      </c>
      <c r="Z97" s="11">
        <f>IF(SUMPRODUCT((Inputs!$B$4:$B$250=$B97)*ISNUMBER(INDEX(Inputs!$D$4:$AG$250,0,MATCH(Z$2,Inputs!$D$2:$AG$2,0))))=0,"",SUMIFS(INDEX(Inputs!$D$4:$AG$250,0,MATCH(Z$2,Inputs!$D$2:$AG$2,0)),Inputs!$B$4:$B$250,$B97)/1000)</f>
        <v>11.443</v>
      </c>
      <c r="AA97" s="11">
        <f>IF(SUMPRODUCT((Inputs!$B$4:$B$250=$B97)*ISNUMBER(INDEX(Inputs!$D$4:$AG$250,0,MATCH(AA$2,Inputs!$D$2:$AG$2,0))))=0,"",SUMIFS(INDEX(Inputs!$D$4:$AG$250,0,MATCH(AA$2,Inputs!$D$2:$AG$2,0)),Inputs!$B$4:$B$250,$B97)/1000)</f>
        <v>12.037</v>
      </c>
      <c r="AB97" s="12">
        <f>IF(COUNT(X97:AA97)=4,SUM(X97:AA97),"")</f>
        <v>53.106</v>
      </c>
      <c r="AC97" s="11">
        <f>IF(SUMPRODUCT((Inputs!$B$4:$B$250=$B97)*ISNUMBER(INDEX(Inputs!$D$4:$AG$250,0,MATCH(AC$2,Inputs!$D$2:$AG$2,0))))=0,"",SUMIFS(INDEX(Inputs!$D$4:$AG$250,0,MATCH(AC$2,Inputs!$D$2:$AG$2,0)),Inputs!$B$4:$B$250,$B97)/1000)</f>
        <v>19.264</v>
      </c>
      <c r="AD97" s="11">
        <f>IF(SUMPRODUCT((Inputs!$B$4:$B$250=$B97)*ISNUMBER(INDEX(Inputs!$D$4:$AG$250,0,MATCH(AD$2,Inputs!$D$2:$AG$2,0))))=0,"",SUMIFS(INDEX(Inputs!$D$4:$AG$250,0,MATCH(AD$2,Inputs!$D$2:$AG$2,0)),Inputs!$B$4:$B$250,$B97)/1000)</f>
        <v>12.909</v>
      </c>
      <c r="AE97" s="11" t="str">
        <f>IF(SUMPRODUCT((Inputs!$B$4:$B$250=$B97)*ISNUMBER(INDEX(Inputs!$D$4:$AG$250,0,MATCH(AE$2,Inputs!$D$2:$AG$2,0))))=0,"",SUMIFS(INDEX(Inputs!$D$4:$AG$250,0,MATCH(AE$2,Inputs!$D$2:$AG$2,0)),Inputs!$B$4:$B$250,$B97)/1000)</f>
        <v/>
      </c>
      <c r="AF97" s="11" t="str">
        <f>IF(SUMPRODUCT((Inputs!$B$4:$B$250=$B97)*ISNUMBER(INDEX(Inputs!$D$4:$AG$250,0,MATCH(AF$2,Inputs!$D$2:$AG$2,0))))=0,"",SUMIFS(INDEX(Inputs!$D$4:$AG$250,0,MATCH(AF$2,Inputs!$D$2:$AG$2,0)),Inputs!$B$4:$B$250,$B97)/1000)</f>
        <v/>
      </c>
      <c r="AG97" s="12" t="str">
        <f>IF(COUNT(AC97:AF97)=4,SUM(AC97:AF97),"")</f>
        <v/>
      </c>
    </row>
    <row r="98">
      <c r="B98" s="9" t="n">
        <v>90</v>
      </c>
      <c r="C98" s="10" t="inlineStr">
        <is>
          <t>Geracao | Lavrinhas</t>
        </is>
      </c>
      <c r="D98" s="11">
        <f>IF(SUMPRODUCT((Inputs!$B$4:$B$250=$B98)*ISNUMBER(INDEX(Inputs!$D$4:$AG$250,0,MATCH(D$2,Inputs!$D$2:$AG$2,0))))=0,"",SUMIFS(INDEX(Inputs!$D$4:$AG$250,0,MATCH(D$2,Inputs!$D$2:$AG$2,0)),Inputs!$B$4:$B$250,$B98)/1000)</f>
        <v>19.635</v>
      </c>
      <c r="E98" s="11">
        <f>IF(SUMPRODUCT((Inputs!$B$4:$B$250=$B98)*ISNUMBER(INDEX(Inputs!$D$4:$AG$250,0,MATCH(E$2,Inputs!$D$2:$AG$2,0))))=0,"",SUMIFS(INDEX(Inputs!$D$4:$AG$250,0,MATCH(E$2,Inputs!$D$2:$AG$2,0)),Inputs!$B$4:$B$250,$B98)/1000)</f>
        <v>21.937</v>
      </c>
      <c r="F98" s="11">
        <f>IF(SUMPRODUCT((Inputs!$B$4:$B$250=$B98)*ISNUMBER(INDEX(Inputs!$D$4:$AG$250,0,MATCH(F$2,Inputs!$D$2:$AG$2,0))))=0,"",SUMIFS(INDEX(Inputs!$D$4:$AG$250,0,MATCH(F$2,Inputs!$D$2:$AG$2,0)),Inputs!$B$4:$B$250,$B98)/1000)</f>
        <v>18.735</v>
      </c>
      <c r="G98" s="11">
        <f>IF(SUMPRODUCT((Inputs!$B$4:$B$250=$B98)*ISNUMBER(INDEX(Inputs!$D$4:$AG$250,0,MATCH(G$2,Inputs!$D$2:$AG$2,0))))=0,"",SUMIFS(INDEX(Inputs!$D$4:$AG$250,0,MATCH(G$2,Inputs!$D$2:$AG$2,0)),Inputs!$B$4:$B$250,$B98)/1000)</f>
        <v>22.265</v>
      </c>
      <c r="H98" s="12">
        <f>IF(COUNT(D98:G98)=4,SUM(D98:G98),"")</f>
        <v>82.572</v>
      </c>
      <c r="I98" s="11">
        <f>IF(SUMPRODUCT((Inputs!$B$4:$B$250=$B98)*ISNUMBER(INDEX(Inputs!$D$4:$AG$250,0,MATCH(I$2,Inputs!$D$2:$AG$2,0))))=0,"",SUMIFS(INDEX(Inputs!$D$4:$AG$250,0,MATCH(I$2,Inputs!$D$2:$AG$2,0)),Inputs!$B$4:$B$250,$B98)/1000)</f>
        <v>15.738</v>
      </c>
      <c r="J98" s="11">
        <f>IF(SUMPRODUCT((Inputs!$B$4:$B$250=$B98)*ISNUMBER(INDEX(Inputs!$D$4:$AG$250,0,MATCH(J$2,Inputs!$D$2:$AG$2,0))))=0,"",SUMIFS(INDEX(Inputs!$D$4:$AG$250,0,MATCH(J$2,Inputs!$D$2:$AG$2,0)),Inputs!$B$4:$B$250,$B98)/1000)</f>
        <v>13.163</v>
      </c>
      <c r="K98" s="11">
        <f>IF(SUMPRODUCT((Inputs!$B$4:$B$250=$B98)*ISNUMBER(INDEX(Inputs!$D$4:$AG$250,0,MATCH(K$2,Inputs!$D$2:$AG$2,0))))=0,"",SUMIFS(INDEX(Inputs!$D$4:$AG$250,0,MATCH(K$2,Inputs!$D$2:$AG$2,0)),Inputs!$B$4:$B$250,$B98)/1000)</f>
        <v>14.995</v>
      </c>
      <c r="L98" s="11">
        <f>IF(SUMPRODUCT((Inputs!$B$4:$B$250=$B98)*ISNUMBER(INDEX(Inputs!$D$4:$AG$250,0,MATCH(L$2,Inputs!$D$2:$AG$2,0))))=0,"",SUMIFS(INDEX(Inputs!$D$4:$AG$250,0,MATCH(L$2,Inputs!$D$2:$AG$2,0)),Inputs!$B$4:$B$250,$B98)/1000)</f>
        <v>15.477</v>
      </c>
      <c r="M98" s="12">
        <f>IF(COUNT(I98:L98)=4,SUM(I98:L98),"")</f>
        <v>59.373</v>
      </c>
      <c r="N98" s="11">
        <f>IF(SUMPRODUCT((Inputs!$B$4:$B$250=$B98)*ISNUMBER(INDEX(Inputs!$D$4:$AG$250,0,MATCH(N$2,Inputs!$D$2:$AG$2,0))))=0,"",SUMIFS(INDEX(Inputs!$D$4:$AG$250,0,MATCH(N$2,Inputs!$D$2:$AG$2,0)),Inputs!$B$4:$B$250,$B98)/1000)</f>
        <v>13.581</v>
      </c>
      <c r="O98" s="11">
        <f>IF(SUMPRODUCT((Inputs!$B$4:$B$250=$B98)*ISNUMBER(INDEX(Inputs!$D$4:$AG$250,0,MATCH(O$2,Inputs!$D$2:$AG$2,0))))=0,"",SUMIFS(INDEX(Inputs!$D$4:$AG$250,0,MATCH(O$2,Inputs!$D$2:$AG$2,0)),Inputs!$B$4:$B$250,$B98)/1000)</f>
        <v>13.546</v>
      </c>
      <c r="P98" s="11">
        <f>IF(SUMPRODUCT((Inputs!$B$4:$B$250=$B98)*ISNUMBER(INDEX(Inputs!$D$4:$AG$250,0,MATCH(P$2,Inputs!$D$2:$AG$2,0))))=0,"",SUMIFS(INDEX(Inputs!$D$4:$AG$250,0,MATCH(P$2,Inputs!$D$2:$AG$2,0)),Inputs!$B$4:$B$250,$B98)/1000)</f>
        <v>13.672</v>
      </c>
      <c r="Q98" s="11">
        <f>IF(SUMPRODUCT((Inputs!$B$4:$B$250=$B98)*ISNUMBER(INDEX(Inputs!$D$4:$AG$250,0,MATCH(Q$2,Inputs!$D$2:$AG$2,0))))=0,"",SUMIFS(INDEX(Inputs!$D$4:$AG$250,0,MATCH(Q$2,Inputs!$D$2:$AG$2,0)),Inputs!$B$4:$B$250,$B98)/1000)</f>
        <v>14.144</v>
      </c>
      <c r="R98" s="12">
        <f>IF(COUNT(N98:Q98)=4,SUM(N98:Q98),"")</f>
        <v>54.943</v>
      </c>
      <c r="S98" s="11">
        <f>IF(SUMPRODUCT((Inputs!$B$4:$B$250=$B98)*ISNUMBER(INDEX(Inputs!$D$4:$AG$250,0,MATCH(S$2,Inputs!$D$2:$AG$2,0))))=0,"",SUMIFS(INDEX(Inputs!$D$4:$AG$250,0,MATCH(S$2,Inputs!$D$2:$AG$2,0)),Inputs!$B$4:$B$250,$B98)/1000)</f>
        <v>13.953</v>
      </c>
      <c r="T98" s="11">
        <f>IF(SUMPRODUCT((Inputs!$B$4:$B$250=$B98)*ISNUMBER(INDEX(Inputs!$D$4:$AG$250,0,MATCH(T$2,Inputs!$D$2:$AG$2,0))))=0,"",SUMIFS(INDEX(Inputs!$D$4:$AG$250,0,MATCH(T$2,Inputs!$D$2:$AG$2,0)),Inputs!$B$4:$B$250,$B98)/1000)</f>
        <v>12.234</v>
      </c>
      <c r="U98" s="11">
        <f>IF(SUMPRODUCT((Inputs!$B$4:$B$250=$B98)*ISNUMBER(INDEX(Inputs!$D$4:$AG$250,0,MATCH(U$2,Inputs!$D$2:$AG$2,0))))=0,"",SUMIFS(INDEX(Inputs!$D$4:$AG$250,0,MATCH(U$2,Inputs!$D$2:$AG$2,0)),Inputs!$B$4:$B$250,$B98)/1000)</f>
        <v>13.531</v>
      </c>
      <c r="V98" s="11">
        <f>IF(SUMPRODUCT((Inputs!$B$4:$B$250=$B98)*ISNUMBER(INDEX(Inputs!$D$4:$AG$250,0,MATCH(V$2,Inputs!$D$2:$AG$2,0))))=0,"",SUMIFS(INDEX(Inputs!$D$4:$AG$250,0,MATCH(V$2,Inputs!$D$2:$AG$2,0)),Inputs!$B$4:$B$250,$B98)/1000)</f>
        <v>21.894</v>
      </c>
      <c r="W98" s="12">
        <f>IF(COUNT(S98:V98)=4,SUM(S98:V98),"")</f>
        <v>61.612</v>
      </c>
      <c r="X98" s="11">
        <f>IF(SUMPRODUCT((Inputs!$B$4:$B$250=$B98)*ISNUMBER(INDEX(Inputs!$D$4:$AG$250,0,MATCH(X$2,Inputs!$D$2:$AG$2,0))))=0,"",SUMIFS(INDEX(Inputs!$D$4:$AG$250,0,MATCH(X$2,Inputs!$D$2:$AG$2,0)),Inputs!$B$4:$B$250,$B98)/1000)</f>
        <v>15.335</v>
      </c>
      <c r="Y98" s="11">
        <f>IF(SUMPRODUCT((Inputs!$B$4:$B$250=$B98)*ISNUMBER(INDEX(Inputs!$D$4:$AG$250,0,MATCH(Y$2,Inputs!$D$2:$AG$2,0))))=0,"",SUMIFS(INDEX(Inputs!$D$4:$AG$250,0,MATCH(Y$2,Inputs!$D$2:$AG$2,0)),Inputs!$B$4:$B$250,$B98)/1000)</f>
        <v>16.888</v>
      </c>
      <c r="Z98" s="11">
        <f>IF(SUMPRODUCT((Inputs!$B$4:$B$250=$B98)*ISNUMBER(INDEX(Inputs!$D$4:$AG$250,0,MATCH(Z$2,Inputs!$D$2:$AG$2,0))))=0,"",SUMIFS(INDEX(Inputs!$D$4:$AG$250,0,MATCH(Z$2,Inputs!$D$2:$AG$2,0)),Inputs!$B$4:$B$250,$B98)/1000)</f>
        <v>18.261</v>
      </c>
      <c r="AA98" s="11">
        <f>IF(SUMPRODUCT((Inputs!$B$4:$B$250=$B98)*ISNUMBER(INDEX(Inputs!$D$4:$AG$250,0,MATCH(AA$2,Inputs!$D$2:$AG$2,0))))=0,"",SUMIFS(INDEX(Inputs!$D$4:$AG$250,0,MATCH(AA$2,Inputs!$D$2:$AG$2,0)),Inputs!$B$4:$B$250,$B98)/1000)</f>
        <v>13.379</v>
      </c>
      <c r="AB98" s="12">
        <f>IF(COUNT(X98:AA98)=4,SUM(X98:AA98),"")</f>
        <v>63.863</v>
      </c>
      <c r="AC98" s="11">
        <f>IF(SUMPRODUCT((Inputs!$B$4:$B$250=$B98)*ISNUMBER(INDEX(Inputs!$D$4:$AG$250,0,MATCH(AC$2,Inputs!$D$2:$AG$2,0))))=0,"",SUMIFS(INDEX(Inputs!$D$4:$AG$250,0,MATCH(AC$2,Inputs!$D$2:$AG$2,0)),Inputs!$B$4:$B$250,$B98)/1000)</f>
        <v>18.625</v>
      </c>
      <c r="AD98" s="11">
        <f>IF(SUMPRODUCT((Inputs!$B$4:$B$250=$B98)*ISNUMBER(INDEX(Inputs!$D$4:$AG$250,0,MATCH(AD$2,Inputs!$D$2:$AG$2,0))))=0,"",SUMIFS(INDEX(Inputs!$D$4:$AG$250,0,MATCH(AD$2,Inputs!$D$2:$AG$2,0)),Inputs!$B$4:$B$250,$B98)/1000)</f>
        <v>13.067</v>
      </c>
      <c r="AE98" s="11" t="str">
        <f>IF(SUMPRODUCT((Inputs!$B$4:$B$250=$B98)*ISNUMBER(INDEX(Inputs!$D$4:$AG$250,0,MATCH(AE$2,Inputs!$D$2:$AG$2,0))))=0,"",SUMIFS(INDEX(Inputs!$D$4:$AG$250,0,MATCH(AE$2,Inputs!$D$2:$AG$2,0)),Inputs!$B$4:$B$250,$B98)/1000)</f>
        <v/>
      </c>
      <c r="AF98" s="11" t="str">
        <f>IF(SUMPRODUCT((Inputs!$B$4:$B$250=$B98)*ISNUMBER(INDEX(Inputs!$D$4:$AG$250,0,MATCH(AF$2,Inputs!$D$2:$AG$2,0))))=0,"",SUMIFS(INDEX(Inputs!$D$4:$AG$250,0,MATCH(AF$2,Inputs!$D$2:$AG$2,0)),Inputs!$B$4:$B$250,$B98)/1000)</f>
        <v/>
      </c>
      <c r="AG98" s="12" t="str">
        <f>IF(COUNT(AC98:AF98)=4,SUM(AC98:AF98),"")</f>
        <v/>
      </c>
    </row>
    <row r="99">
      <c r="B99" s="9" t="n">
        <v>91</v>
      </c>
      <c r="C99" s="10" t="inlineStr">
        <is>
          <t>Geracao | Verde 08</t>
        </is>
      </c>
      <c r="D99" s="11">
        <f>IF(SUMPRODUCT((Inputs!$B$4:$B$250=$B99)*ISNUMBER(INDEX(Inputs!$D$4:$AG$250,0,MATCH(D$2,Inputs!$D$2:$AG$2,0))))=0,"",SUMIFS(INDEX(Inputs!$D$4:$AG$250,0,MATCH(D$2,Inputs!$D$2:$AG$2,0)),Inputs!$B$4:$B$250,$B99)/1000)</f>
        <v>22.614</v>
      </c>
      <c r="E99" s="11">
        <f>IF(SUMPRODUCT((Inputs!$B$4:$B$250=$B99)*ISNUMBER(INDEX(Inputs!$D$4:$AG$250,0,MATCH(E$2,Inputs!$D$2:$AG$2,0))))=0,"",SUMIFS(INDEX(Inputs!$D$4:$AG$250,0,MATCH(E$2,Inputs!$D$2:$AG$2,0)),Inputs!$B$4:$B$250,$B99)/1000)</f>
        <v>18.136</v>
      </c>
      <c r="F99" s="11">
        <f>IF(SUMPRODUCT((Inputs!$B$4:$B$250=$B99)*ISNUMBER(INDEX(Inputs!$D$4:$AG$250,0,MATCH(F$2,Inputs!$D$2:$AG$2,0))))=0,"",SUMIFS(INDEX(Inputs!$D$4:$AG$250,0,MATCH(F$2,Inputs!$D$2:$AG$2,0)),Inputs!$B$4:$B$250,$B99)/1000)</f>
        <v>16.571</v>
      </c>
      <c r="G99" s="11">
        <f>IF(SUMPRODUCT((Inputs!$B$4:$B$250=$B99)*ISNUMBER(INDEX(Inputs!$D$4:$AG$250,0,MATCH(G$2,Inputs!$D$2:$AG$2,0))))=0,"",SUMIFS(INDEX(Inputs!$D$4:$AG$250,0,MATCH(G$2,Inputs!$D$2:$AG$2,0)),Inputs!$B$4:$B$250,$B99)/1000)</f>
        <v>14.689</v>
      </c>
      <c r="H99" s="12">
        <f>IF(COUNT(D99:G99)=4,SUM(D99:G99),"")</f>
        <v>72.01</v>
      </c>
      <c r="I99" s="11">
        <f>IF(SUMPRODUCT((Inputs!$B$4:$B$250=$B99)*ISNUMBER(INDEX(Inputs!$D$4:$AG$250,0,MATCH(I$2,Inputs!$D$2:$AG$2,0))))=0,"",SUMIFS(INDEX(Inputs!$D$4:$AG$250,0,MATCH(I$2,Inputs!$D$2:$AG$2,0)),Inputs!$B$4:$B$250,$B99)/1000)</f>
        <v>8.603</v>
      </c>
      <c r="J99" s="11">
        <f>IF(SUMPRODUCT((Inputs!$B$4:$B$250=$B99)*ISNUMBER(INDEX(Inputs!$D$4:$AG$250,0,MATCH(J$2,Inputs!$D$2:$AG$2,0))))=0,"",SUMIFS(INDEX(Inputs!$D$4:$AG$250,0,MATCH(J$2,Inputs!$D$2:$AG$2,0)),Inputs!$B$4:$B$250,$B99)/1000)</f>
        <v>4.374</v>
      </c>
      <c r="K99" s="11">
        <f>IF(SUMPRODUCT((Inputs!$B$4:$B$250=$B99)*ISNUMBER(INDEX(Inputs!$D$4:$AG$250,0,MATCH(K$2,Inputs!$D$2:$AG$2,0))))=0,"",SUMIFS(INDEX(Inputs!$D$4:$AG$250,0,MATCH(K$2,Inputs!$D$2:$AG$2,0)),Inputs!$B$4:$B$250,$B99)/1000)</f>
        <v>6.817</v>
      </c>
      <c r="L99" s="11">
        <f>IF(SUMPRODUCT((Inputs!$B$4:$B$250=$B99)*ISNUMBER(INDEX(Inputs!$D$4:$AG$250,0,MATCH(L$2,Inputs!$D$2:$AG$2,0))))=0,"",SUMIFS(INDEX(Inputs!$D$4:$AG$250,0,MATCH(L$2,Inputs!$D$2:$AG$2,0)),Inputs!$B$4:$B$250,$B99)/1000)</f>
        <v>8.063</v>
      </c>
      <c r="M99" s="12">
        <f>IF(COUNT(I99:L99)=4,SUM(I99:L99),"")</f>
        <v>27.857</v>
      </c>
      <c r="N99" s="11">
        <f>IF(SUMPRODUCT((Inputs!$B$4:$B$250=$B99)*ISNUMBER(INDEX(Inputs!$D$4:$AG$250,0,MATCH(N$2,Inputs!$D$2:$AG$2,0))))=0,"",SUMIFS(INDEX(Inputs!$D$4:$AG$250,0,MATCH(N$2,Inputs!$D$2:$AG$2,0)),Inputs!$B$4:$B$250,$B99)/1000)</f>
        <v>11.516</v>
      </c>
      <c r="O99" s="11">
        <f>IF(SUMPRODUCT((Inputs!$B$4:$B$250=$B99)*ISNUMBER(INDEX(Inputs!$D$4:$AG$250,0,MATCH(O$2,Inputs!$D$2:$AG$2,0))))=0,"",SUMIFS(INDEX(Inputs!$D$4:$AG$250,0,MATCH(O$2,Inputs!$D$2:$AG$2,0)),Inputs!$B$4:$B$250,$B99)/1000)</f>
        <v>10.734</v>
      </c>
      <c r="P99" s="11">
        <f>IF(SUMPRODUCT((Inputs!$B$4:$B$250=$B99)*ISNUMBER(INDEX(Inputs!$D$4:$AG$250,0,MATCH(P$2,Inputs!$D$2:$AG$2,0))))=0,"",SUMIFS(INDEX(Inputs!$D$4:$AG$250,0,MATCH(P$2,Inputs!$D$2:$AG$2,0)),Inputs!$B$4:$B$250,$B99)/1000)</f>
        <v>10.983</v>
      </c>
      <c r="Q99" s="11">
        <f>IF(SUMPRODUCT((Inputs!$B$4:$B$250=$B99)*ISNUMBER(INDEX(Inputs!$D$4:$AG$250,0,MATCH(Q$2,Inputs!$D$2:$AG$2,0))))=0,"",SUMIFS(INDEX(Inputs!$D$4:$AG$250,0,MATCH(Q$2,Inputs!$D$2:$AG$2,0)),Inputs!$B$4:$B$250,$B99)/1000)</f>
        <v>11.809</v>
      </c>
      <c r="R99" s="12">
        <f>IF(COUNT(N99:Q99)=4,SUM(N99:Q99),"")</f>
        <v>45.042</v>
      </c>
      <c r="S99" s="11">
        <f>IF(SUMPRODUCT((Inputs!$B$4:$B$250=$B99)*ISNUMBER(INDEX(Inputs!$D$4:$AG$250,0,MATCH(S$2,Inputs!$D$2:$AG$2,0))))=0,"",SUMIFS(INDEX(Inputs!$D$4:$AG$250,0,MATCH(S$2,Inputs!$D$2:$AG$2,0)),Inputs!$B$4:$B$250,$B99)/1000)</f>
        <v>12.324</v>
      </c>
      <c r="T99" s="11">
        <f>IF(SUMPRODUCT((Inputs!$B$4:$B$250=$B99)*ISNUMBER(INDEX(Inputs!$D$4:$AG$250,0,MATCH(T$2,Inputs!$D$2:$AG$2,0))))=0,"",SUMIFS(INDEX(Inputs!$D$4:$AG$250,0,MATCH(T$2,Inputs!$D$2:$AG$2,0)),Inputs!$B$4:$B$250,$B99)/1000)</f>
        <v>11.292</v>
      </c>
      <c r="U99" s="11">
        <f>IF(SUMPRODUCT((Inputs!$B$4:$B$250=$B99)*ISNUMBER(INDEX(Inputs!$D$4:$AG$250,0,MATCH(U$2,Inputs!$D$2:$AG$2,0))))=0,"",SUMIFS(INDEX(Inputs!$D$4:$AG$250,0,MATCH(U$2,Inputs!$D$2:$AG$2,0)),Inputs!$B$4:$B$250,$B99)/1000)</f>
        <v>11.624</v>
      </c>
      <c r="V99" s="11">
        <f>IF(SUMPRODUCT((Inputs!$B$4:$B$250=$B99)*ISNUMBER(INDEX(Inputs!$D$4:$AG$250,0,MATCH(V$2,Inputs!$D$2:$AG$2,0))))=0,"",SUMIFS(INDEX(Inputs!$D$4:$AG$250,0,MATCH(V$2,Inputs!$D$2:$AG$2,0)),Inputs!$B$4:$B$250,$B99)/1000)</f>
        <v>12.227</v>
      </c>
      <c r="W99" s="12">
        <f>IF(COUNT(S99:V99)=4,SUM(S99:V99),"")</f>
        <v>47.467</v>
      </c>
      <c r="X99" s="11">
        <f>IF(SUMPRODUCT((Inputs!$B$4:$B$250=$B99)*ISNUMBER(INDEX(Inputs!$D$4:$AG$250,0,MATCH(X$2,Inputs!$D$2:$AG$2,0))))=0,"",SUMIFS(INDEX(Inputs!$D$4:$AG$250,0,MATCH(X$2,Inputs!$D$2:$AG$2,0)),Inputs!$B$4:$B$250,$B99)/1000)</f>
        <v>13.293</v>
      </c>
      <c r="Y99" s="11">
        <f>IF(SUMPRODUCT((Inputs!$B$4:$B$250=$B99)*ISNUMBER(INDEX(Inputs!$D$4:$AG$250,0,MATCH(Y$2,Inputs!$D$2:$AG$2,0))))=0,"",SUMIFS(INDEX(Inputs!$D$4:$AG$250,0,MATCH(Y$2,Inputs!$D$2:$AG$2,0)),Inputs!$B$4:$B$250,$B99)/1000)</f>
        <v>11.798</v>
      </c>
      <c r="Z99" s="11">
        <f>IF(SUMPRODUCT((Inputs!$B$4:$B$250=$B99)*ISNUMBER(INDEX(Inputs!$D$4:$AG$250,0,MATCH(Z$2,Inputs!$D$2:$AG$2,0))))=0,"",SUMIFS(INDEX(Inputs!$D$4:$AG$250,0,MATCH(Z$2,Inputs!$D$2:$AG$2,0)),Inputs!$B$4:$B$250,$B99)/1000)</f>
        <v>11.951</v>
      </c>
      <c r="AA99" s="11">
        <f>IF(SUMPRODUCT((Inputs!$B$4:$B$250=$B99)*ISNUMBER(INDEX(Inputs!$D$4:$AG$250,0,MATCH(AA$2,Inputs!$D$2:$AG$2,0))))=0,"",SUMIFS(INDEX(Inputs!$D$4:$AG$250,0,MATCH(AA$2,Inputs!$D$2:$AG$2,0)),Inputs!$B$4:$B$250,$B99)/1000)</f>
        <v>12.879</v>
      </c>
      <c r="AB99" s="12">
        <f>IF(COUNT(X99:AA99)=4,SUM(X99:AA99),"")</f>
        <v>49.921</v>
      </c>
      <c r="AC99" s="11">
        <f>IF(SUMPRODUCT((Inputs!$B$4:$B$250=$B99)*ISNUMBER(INDEX(Inputs!$D$4:$AG$250,0,MATCH(AC$2,Inputs!$D$2:$AG$2,0))))=0,"",SUMIFS(INDEX(Inputs!$D$4:$AG$250,0,MATCH(AC$2,Inputs!$D$2:$AG$2,0)),Inputs!$B$4:$B$250,$B99)/1000)</f>
        <v>16.181</v>
      </c>
      <c r="AD99" s="11">
        <f>IF(SUMPRODUCT((Inputs!$B$4:$B$250=$B99)*ISNUMBER(INDEX(Inputs!$D$4:$AG$250,0,MATCH(AD$2,Inputs!$D$2:$AG$2,0))))=0,"",SUMIFS(INDEX(Inputs!$D$4:$AG$250,0,MATCH(AD$2,Inputs!$D$2:$AG$2,0)),Inputs!$B$4:$B$250,$B99)/1000)</f>
        <v>12.579</v>
      </c>
      <c r="AE99" s="11" t="str">
        <f>IF(SUMPRODUCT((Inputs!$B$4:$B$250=$B99)*ISNUMBER(INDEX(Inputs!$D$4:$AG$250,0,MATCH(AE$2,Inputs!$D$2:$AG$2,0))))=0,"",SUMIFS(INDEX(Inputs!$D$4:$AG$250,0,MATCH(AE$2,Inputs!$D$2:$AG$2,0)),Inputs!$B$4:$B$250,$B99)/1000)</f>
        <v/>
      </c>
      <c r="AF99" s="11" t="str">
        <f>IF(SUMPRODUCT((Inputs!$B$4:$B$250=$B99)*ISNUMBER(INDEX(Inputs!$D$4:$AG$250,0,MATCH(AF$2,Inputs!$D$2:$AG$2,0))))=0,"",SUMIFS(INDEX(Inputs!$D$4:$AG$250,0,MATCH(AF$2,Inputs!$D$2:$AG$2,0)),Inputs!$B$4:$B$250,$B99)/1000)</f>
        <v/>
      </c>
      <c r="AG99" s="12" t="str">
        <f>IF(COUNT(AC99:AF99)=4,SUM(AC99:AF99),"")</f>
        <v/>
      </c>
    </row>
    <row r="100">
      <c r="B100" s="9" t="n">
        <v>92</v>
      </c>
      <c r="C100" s="10" t="inlineStr">
        <is>
          <t>Geracao | EDV I</t>
        </is>
      </c>
      <c r="D100" s="11">
        <f>IF(SUMPRODUCT((Inputs!$B$4:$B$250=$B100)*ISNUMBER(INDEX(Inputs!$D$4:$AG$250,0,MATCH(D$2,Inputs!$D$2:$AG$2,0))))=0,"",SUMIFS(INDEX(Inputs!$D$4:$AG$250,0,MATCH(D$2,Inputs!$D$2:$AG$2,0)),Inputs!$B$4:$B$250,$B100)/1000)</f>
        <v>3.233</v>
      </c>
      <c r="E100" s="11">
        <f>IF(SUMPRODUCT((Inputs!$B$4:$B$250=$B100)*ISNUMBER(INDEX(Inputs!$D$4:$AG$250,0,MATCH(E$2,Inputs!$D$2:$AG$2,0))))=0,"",SUMIFS(INDEX(Inputs!$D$4:$AG$250,0,MATCH(E$2,Inputs!$D$2:$AG$2,0)),Inputs!$B$4:$B$250,$B100)/1000)</f>
        <v>3.359</v>
      </c>
      <c r="F100" s="11">
        <f>IF(SUMPRODUCT((Inputs!$B$4:$B$250=$B100)*ISNUMBER(INDEX(Inputs!$D$4:$AG$250,0,MATCH(F$2,Inputs!$D$2:$AG$2,0))))=0,"",SUMIFS(INDEX(Inputs!$D$4:$AG$250,0,MATCH(F$2,Inputs!$D$2:$AG$2,0)),Inputs!$B$4:$B$250,$B100)/1000)</f>
        <v>7.146</v>
      </c>
      <c r="G100" s="11">
        <f>IF(SUMPRODUCT((Inputs!$B$4:$B$250=$B100)*ISNUMBER(INDEX(Inputs!$D$4:$AG$250,0,MATCH(G$2,Inputs!$D$2:$AG$2,0))))=0,"",SUMIFS(INDEX(Inputs!$D$4:$AG$250,0,MATCH(G$2,Inputs!$D$2:$AG$2,0)),Inputs!$B$4:$B$250,$B100)/1000)</f>
        <v>3.934</v>
      </c>
      <c r="H100" s="12">
        <f>IF(COUNT(D100:G100)=4,SUM(D100:G100),"")</f>
        <v>17.672</v>
      </c>
      <c r="I100" s="11">
        <f>IF(SUMPRODUCT((Inputs!$B$4:$B$250=$B100)*ISNUMBER(INDEX(Inputs!$D$4:$AG$250,0,MATCH(I$2,Inputs!$D$2:$AG$2,0))))=0,"",SUMIFS(INDEX(Inputs!$D$4:$AG$250,0,MATCH(I$2,Inputs!$D$2:$AG$2,0)),Inputs!$B$4:$B$250,$B100)/1000)</f>
        <v>3.559</v>
      </c>
      <c r="J100" s="11">
        <f>IF(SUMPRODUCT((Inputs!$B$4:$B$250=$B100)*ISNUMBER(INDEX(Inputs!$D$4:$AG$250,0,MATCH(J$2,Inputs!$D$2:$AG$2,0))))=0,"",SUMIFS(INDEX(Inputs!$D$4:$AG$250,0,MATCH(J$2,Inputs!$D$2:$AG$2,0)),Inputs!$B$4:$B$250,$B100)/1000)</f>
        <v>3.605</v>
      </c>
      <c r="K100" s="11">
        <f>IF(SUMPRODUCT((Inputs!$B$4:$B$250=$B100)*ISNUMBER(INDEX(Inputs!$D$4:$AG$250,0,MATCH(K$2,Inputs!$D$2:$AG$2,0))))=0,"",SUMIFS(INDEX(Inputs!$D$4:$AG$250,0,MATCH(K$2,Inputs!$D$2:$AG$2,0)),Inputs!$B$4:$B$250,$B100)/1000)</f>
        <v>3.667</v>
      </c>
      <c r="L100" s="11">
        <f>IF(SUMPRODUCT((Inputs!$B$4:$B$250=$B100)*ISNUMBER(INDEX(Inputs!$D$4:$AG$250,0,MATCH(L$2,Inputs!$D$2:$AG$2,0))))=0,"",SUMIFS(INDEX(Inputs!$D$4:$AG$250,0,MATCH(L$2,Inputs!$D$2:$AG$2,0)),Inputs!$B$4:$B$250,$B100)/1000)</f>
        <v>3.671</v>
      </c>
      <c r="M100" s="12">
        <f>IF(COUNT(I100:L100)=4,SUM(I100:L100),"")</f>
        <v>14.502</v>
      </c>
      <c r="N100" s="11">
        <f>IF(SUMPRODUCT((Inputs!$B$4:$B$250=$B100)*ISNUMBER(INDEX(Inputs!$D$4:$AG$250,0,MATCH(N$2,Inputs!$D$2:$AG$2,0))))=0,"",SUMIFS(INDEX(Inputs!$D$4:$AG$250,0,MATCH(N$2,Inputs!$D$2:$AG$2,0)),Inputs!$B$4:$B$250,$B100)/1000)</f>
        <v>3.774</v>
      </c>
      <c r="O100" s="11">
        <f>IF(SUMPRODUCT((Inputs!$B$4:$B$250=$B100)*ISNUMBER(INDEX(Inputs!$D$4:$AG$250,0,MATCH(O$2,Inputs!$D$2:$AG$2,0))))=0,"",SUMIFS(INDEX(Inputs!$D$4:$AG$250,0,MATCH(O$2,Inputs!$D$2:$AG$2,0)),Inputs!$B$4:$B$250,$B100)/1000)</f>
        <v>3.461</v>
      </c>
      <c r="P100" s="11">
        <f>IF(SUMPRODUCT((Inputs!$B$4:$B$250=$B100)*ISNUMBER(INDEX(Inputs!$D$4:$AG$250,0,MATCH(P$2,Inputs!$D$2:$AG$2,0))))=0,"",SUMIFS(INDEX(Inputs!$D$4:$AG$250,0,MATCH(P$2,Inputs!$D$2:$AG$2,0)),Inputs!$B$4:$B$250,$B100)/1000)</f>
        <v>4.19</v>
      </c>
      <c r="Q100" s="11">
        <f>IF(SUMPRODUCT((Inputs!$B$4:$B$250=$B100)*ISNUMBER(INDEX(Inputs!$D$4:$AG$250,0,MATCH(Q$2,Inputs!$D$2:$AG$2,0))))=0,"",SUMIFS(INDEX(Inputs!$D$4:$AG$250,0,MATCH(Q$2,Inputs!$D$2:$AG$2,0)),Inputs!$B$4:$B$250,$B100)/1000)</f>
        <v>4.087</v>
      </c>
      <c r="R100" s="12">
        <f>IF(COUNT(N100:Q100)=4,SUM(N100:Q100),"")</f>
        <v>15.512</v>
      </c>
      <c r="S100" s="11">
        <f>IF(SUMPRODUCT((Inputs!$B$4:$B$250=$B100)*ISNUMBER(INDEX(Inputs!$D$4:$AG$250,0,MATCH(S$2,Inputs!$D$2:$AG$2,0))))=0,"",SUMIFS(INDEX(Inputs!$D$4:$AG$250,0,MATCH(S$2,Inputs!$D$2:$AG$2,0)),Inputs!$B$4:$B$250,$B100)/1000)</f>
        <v>2.918</v>
      </c>
      <c r="T100" s="11">
        <f>IF(SUMPRODUCT((Inputs!$B$4:$B$250=$B100)*ISNUMBER(INDEX(Inputs!$D$4:$AG$250,0,MATCH(T$2,Inputs!$D$2:$AG$2,0))))=0,"",SUMIFS(INDEX(Inputs!$D$4:$AG$250,0,MATCH(T$2,Inputs!$D$2:$AG$2,0)),Inputs!$B$4:$B$250,$B100)/1000)</f>
        <v>1.988</v>
      </c>
      <c r="U100" s="11">
        <f>IF(SUMPRODUCT((Inputs!$B$4:$B$250=$B100)*ISNUMBER(INDEX(Inputs!$D$4:$AG$250,0,MATCH(U$2,Inputs!$D$2:$AG$2,0))))=0,"",SUMIFS(INDEX(Inputs!$D$4:$AG$250,0,MATCH(U$2,Inputs!$D$2:$AG$2,0)),Inputs!$B$4:$B$250,$B100)/1000)</f>
        <v>2.443</v>
      </c>
      <c r="V100" s="11">
        <f>IF(SUMPRODUCT((Inputs!$B$4:$B$250=$B100)*ISNUMBER(INDEX(Inputs!$D$4:$AG$250,0,MATCH(V$2,Inputs!$D$2:$AG$2,0))))=0,"",SUMIFS(INDEX(Inputs!$D$4:$AG$250,0,MATCH(V$2,Inputs!$D$2:$AG$2,0)),Inputs!$B$4:$B$250,$B100)/1000)</f>
        <v>5.512</v>
      </c>
      <c r="W100" s="12">
        <f>IF(COUNT(S100:V100)=4,SUM(S100:V100),"")</f>
        <v>12.861</v>
      </c>
      <c r="X100" s="11">
        <f>IF(SUMPRODUCT((Inputs!$B$4:$B$250=$B100)*ISNUMBER(INDEX(Inputs!$D$4:$AG$250,0,MATCH(X$2,Inputs!$D$2:$AG$2,0))))=0,"",SUMIFS(INDEX(Inputs!$D$4:$AG$250,0,MATCH(X$2,Inputs!$D$2:$AG$2,0)),Inputs!$B$4:$B$250,$B100)/1000)</f>
        <v>2.62</v>
      </c>
      <c r="Y100" s="11">
        <f>IF(SUMPRODUCT((Inputs!$B$4:$B$250=$B100)*ISNUMBER(INDEX(Inputs!$D$4:$AG$250,0,MATCH(Y$2,Inputs!$D$2:$AG$2,0))))=0,"",SUMIFS(INDEX(Inputs!$D$4:$AG$250,0,MATCH(Y$2,Inputs!$D$2:$AG$2,0)),Inputs!$B$4:$B$250,$B100)/1000)</f>
        <v>3.445</v>
      </c>
      <c r="Z100" s="11">
        <f>IF(SUMPRODUCT((Inputs!$B$4:$B$250=$B100)*ISNUMBER(INDEX(Inputs!$D$4:$AG$250,0,MATCH(Z$2,Inputs!$D$2:$AG$2,0))))=0,"",SUMIFS(INDEX(Inputs!$D$4:$AG$250,0,MATCH(Z$2,Inputs!$D$2:$AG$2,0)),Inputs!$B$4:$B$250,$B100)/1000)</f>
        <v>4.265</v>
      </c>
      <c r="AA100" s="11">
        <f>IF(SUMPRODUCT((Inputs!$B$4:$B$250=$B100)*ISNUMBER(INDEX(Inputs!$D$4:$AG$250,0,MATCH(AA$2,Inputs!$D$2:$AG$2,0))))=0,"",SUMIFS(INDEX(Inputs!$D$4:$AG$250,0,MATCH(AA$2,Inputs!$D$2:$AG$2,0)),Inputs!$B$4:$B$250,$B100)/1000)</f>
        <v>4.443</v>
      </c>
      <c r="AB100" s="12">
        <f>IF(COUNT(X100:AA100)=4,SUM(X100:AA100),"")</f>
        <v>14.773</v>
      </c>
      <c r="AC100" s="11">
        <f>IF(SUMPRODUCT((Inputs!$B$4:$B$250=$B100)*ISNUMBER(INDEX(Inputs!$D$4:$AG$250,0,MATCH(AC$2,Inputs!$D$2:$AG$2,0))))=0,"",SUMIFS(INDEX(Inputs!$D$4:$AG$250,0,MATCH(AC$2,Inputs!$D$2:$AG$2,0)),Inputs!$B$4:$B$250,$B100)/1000)</f>
        <v>3.461</v>
      </c>
      <c r="AD100" s="11">
        <f>IF(SUMPRODUCT((Inputs!$B$4:$B$250=$B100)*ISNUMBER(INDEX(Inputs!$D$4:$AG$250,0,MATCH(AD$2,Inputs!$D$2:$AG$2,0))))=0,"",SUMIFS(INDEX(Inputs!$D$4:$AG$250,0,MATCH(AD$2,Inputs!$D$2:$AG$2,0)),Inputs!$B$4:$B$250,$B100)/1000)</f>
        <v>1.656</v>
      </c>
      <c r="AE100" s="11" t="str">
        <f>IF(SUMPRODUCT((Inputs!$B$4:$B$250=$B100)*ISNUMBER(INDEX(Inputs!$D$4:$AG$250,0,MATCH(AE$2,Inputs!$D$2:$AG$2,0))))=0,"",SUMIFS(INDEX(Inputs!$D$4:$AG$250,0,MATCH(AE$2,Inputs!$D$2:$AG$2,0)),Inputs!$B$4:$B$250,$B100)/1000)</f>
        <v/>
      </c>
      <c r="AF100" s="11" t="str">
        <f>IF(SUMPRODUCT((Inputs!$B$4:$B$250=$B100)*ISNUMBER(INDEX(Inputs!$D$4:$AG$250,0,MATCH(AF$2,Inputs!$D$2:$AG$2,0))))=0,"",SUMIFS(INDEX(Inputs!$D$4:$AG$250,0,MATCH(AF$2,Inputs!$D$2:$AG$2,0)),Inputs!$B$4:$B$250,$B100)/1000)</f>
        <v/>
      </c>
      <c r="AG100" s="12" t="str">
        <f>IF(COUNT(AC100:AF100)=4,SUM(AC100:AF100),"")</f>
        <v/>
      </c>
    </row>
    <row r="101">
      <c r="B101" s="9" t="n">
        <v>93</v>
      </c>
      <c r="C101" s="10" t="inlineStr">
        <is>
          <t>Geracao | EDV II</t>
        </is>
      </c>
      <c r="D101" s="11">
        <f>IF(SUMPRODUCT((Inputs!$B$4:$B$250=$B101)*ISNUMBER(INDEX(Inputs!$D$4:$AG$250,0,MATCH(D$2,Inputs!$D$2:$AG$2,0))))=0,"",SUMIFS(INDEX(Inputs!$D$4:$AG$250,0,MATCH(D$2,Inputs!$D$2:$AG$2,0)),Inputs!$B$4:$B$250,$B101)/1000)</f>
        <v>1.869</v>
      </c>
      <c r="E101" s="11">
        <f>IF(SUMPRODUCT((Inputs!$B$4:$B$250=$B101)*ISNUMBER(INDEX(Inputs!$D$4:$AG$250,0,MATCH(E$2,Inputs!$D$2:$AG$2,0))))=0,"",SUMIFS(INDEX(Inputs!$D$4:$AG$250,0,MATCH(E$2,Inputs!$D$2:$AG$2,0)),Inputs!$B$4:$B$250,$B101)/1000)</f>
        <v>1.969</v>
      </c>
      <c r="F101" s="11">
        <f>IF(SUMPRODUCT((Inputs!$B$4:$B$250=$B101)*ISNUMBER(INDEX(Inputs!$D$4:$AG$250,0,MATCH(F$2,Inputs!$D$2:$AG$2,0))))=0,"",SUMIFS(INDEX(Inputs!$D$4:$AG$250,0,MATCH(F$2,Inputs!$D$2:$AG$2,0)),Inputs!$B$4:$B$250,$B101)/1000)</f>
        <v>3.03</v>
      </c>
      <c r="G101" s="11">
        <f>IF(SUMPRODUCT((Inputs!$B$4:$B$250=$B101)*ISNUMBER(INDEX(Inputs!$D$4:$AG$250,0,MATCH(G$2,Inputs!$D$2:$AG$2,0))))=0,"",SUMIFS(INDEX(Inputs!$D$4:$AG$250,0,MATCH(G$2,Inputs!$D$2:$AG$2,0)),Inputs!$B$4:$B$250,$B101)/1000)</f>
        <v>2.112</v>
      </c>
      <c r="H101" s="12">
        <f>IF(COUNT(D101:G101)=4,SUM(D101:G101),"")</f>
        <v>8.98</v>
      </c>
      <c r="I101" s="11">
        <f>IF(SUMPRODUCT((Inputs!$B$4:$B$250=$B101)*ISNUMBER(INDEX(Inputs!$D$4:$AG$250,0,MATCH(I$2,Inputs!$D$2:$AG$2,0))))=0,"",SUMIFS(INDEX(Inputs!$D$4:$AG$250,0,MATCH(I$2,Inputs!$D$2:$AG$2,0)),Inputs!$B$4:$B$250,$B101)/1000)</f>
        <v>2.059</v>
      </c>
      <c r="J101" s="11">
        <f>IF(SUMPRODUCT((Inputs!$B$4:$B$250=$B101)*ISNUMBER(INDEX(Inputs!$D$4:$AG$250,0,MATCH(J$2,Inputs!$D$2:$AG$2,0))))=0,"",SUMIFS(INDEX(Inputs!$D$4:$AG$250,0,MATCH(J$2,Inputs!$D$2:$AG$2,0)),Inputs!$B$4:$B$250,$B101)/1000)</f>
        <v>2.094</v>
      </c>
      <c r="K101" s="11">
        <f>IF(SUMPRODUCT((Inputs!$B$4:$B$250=$B101)*ISNUMBER(INDEX(Inputs!$D$4:$AG$250,0,MATCH(K$2,Inputs!$D$2:$AG$2,0))))=0,"",SUMIFS(INDEX(Inputs!$D$4:$AG$250,0,MATCH(K$2,Inputs!$D$2:$AG$2,0)),Inputs!$B$4:$B$250,$B101)/1000)</f>
        <v>2.126</v>
      </c>
      <c r="L101" s="11">
        <f>IF(SUMPRODUCT((Inputs!$B$4:$B$250=$B101)*ISNUMBER(INDEX(Inputs!$D$4:$AG$250,0,MATCH(L$2,Inputs!$D$2:$AG$2,0))))=0,"",SUMIFS(INDEX(Inputs!$D$4:$AG$250,0,MATCH(L$2,Inputs!$D$2:$AG$2,0)),Inputs!$B$4:$B$250,$B101)/1000)</f>
        <v>2.127</v>
      </c>
      <c r="M101" s="12">
        <f>IF(COUNT(I101:L101)=4,SUM(I101:L101),"")</f>
        <v>8.406</v>
      </c>
      <c r="N101" s="11">
        <f>IF(SUMPRODUCT((Inputs!$B$4:$B$250=$B101)*ISNUMBER(INDEX(Inputs!$D$4:$AG$250,0,MATCH(N$2,Inputs!$D$2:$AG$2,0))))=0,"",SUMIFS(INDEX(Inputs!$D$4:$AG$250,0,MATCH(N$2,Inputs!$D$2:$AG$2,0)),Inputs!$B$4:$B$250,$B101)/1000)</f>
        <v>2.22</v>
      </c>
      <c r="O101" s="11">
        <f>IF(SUMPRODUCT((Inputs!$B$4:$B$250=$B101)*ISNUMBER(INDEX(Inputs!$D$4:$AG$250,0,MATCH(O$2,Inputs!$D$2:$AG$2,0))))=0,"",SUMIFS(INDEX(Inputs!$D$4:$AG$250,0,MATCH(O$2,Inputs!$D$2:$AG$2,0)),Inputs!$B$4:$B$250,$B101)/1000)</f>
        <v>1.664</v>
      </c>
      <c r="P101" s="11">
        <f>IF(SUMPRODUCT((Inputs!$B$4:$B$250=$B101)*ISNUMBER(INDEX(Inputs!$D$4:$AG$250,0,MATCH(P$2,Inputs!$D$2:$AG$2,0))))=0,"",SUMIFS(INDEX(Inputs!$D$4:$AG$250,0,MATCH(P$2,Inputs!$D$2:$AG$2,0)),Inputs!$B$4:$B$250,$B101)/1000)</f>
        <v>2.365</v>
      </c>
      <c r="Q101" s="11">
        <f>IF(SUMPRODUCT((Inputs!$B$4:$B$250=$B101)*ISNUMBER(INDEX(Inputs!$D$4:$AG$250,0,MATCH(Q$2,Inputs!$D$2:$AG$2,0))))=0,"",SUMIFS(INDEX(Inputs!$D$4:$AG$250,0,MATCH(Q$2,Inputs!$D$2:$AG$2,0)),Inputs!$B$4:$B$250,$B101)/1000)</f>
        <v>2.429</v>
      </c>
      <c r="R101" s="12">
        <f>IF(COUNT(N101:Q101)=4,SUM(N101:Q101),"")</f>
        <v>8.678</v>
      </c>
      <c r="S101" s="11">
        <f>IF(SUMPRODUCT((Inputs!$B$4:$B$250=$B101)*ISNUMBER(INDEX(Inputs!$D$4:$AG$250,0,MATCH(S$2,Inputs!$D$2:$AG$2,0))))=0,"",SUMIFS(INDEX(Inputs!$D$4:$AG$250,0,MATCH(S$2,Inputs!$D$2:$AG$2,0)),Inputs!$B$4:$B$250,$B101)/1000)</f>
        <v>1.704</v>
      </c>
      <c r="T101" s="11">
        <f>IF(SUMPRODUCT((Inputs!$B$4:$B$250=$B101)*ISNUMBER(INDEX(Inputs!$D$4:$AG$250,0,MATCH(T$2,Inputs!$D$2:$AG$2,0))))=0,"",SUMIFS(INDEX(Inputs!$D$4:$AG$250,0,MATCH(T$2,Inputs!$D$2:$AG$2,0)),Inputs!$B$4:$B$250,$B101)/1000)</f>
        <v>0.998</v>
      </c>
      <c r="U101" s="11">
        <f>IF(SUMPRODUCT((Inputs!$B$4:$B$250=$B101)*ISNUMBER(INDEX(Inputs!$D$4:$AG$250,0,MATCH(U$2,Inputs!$D$2:$AG$2,0))))=0,"",SUMIFS(INDEX(Inputs!$D$4:$AG$250,0,MATCH(U$2,Inputs!$D$2:$AG$2,0)),Inputs!$B$4:$B$250,$B101)/1000)</f>
        <v>1.282</v>
      </c>
      <c r="V101" s="11">
        <f>IF(SUMPRODUCT((Inputs!$B$4:$B$250=$B101)*ISNUMBER(INDEX(Inputs!$D$4:$AG$250,0,MATCH(V$2,Inputs!$D$2:$AG$2,0))))=0,"",SUMIFS(INDEX(Inputs!$D$4:$AG$250,0,MATCH(V$2,Inputs!$D$2:$AG$2,0)),Inputs!$B$4:$B$250,$B101)/1000)</f>
        <v>2.94</v>
      </c>
      <c r="W101" s="12">
        <f>IF(COUNT(S101:V101)=4,SUM(S101:V101),"")</f>
        <v>6.924</v>
      </c>
      <c r="X101" s="11">
        <f>IF(SUMPRODUCT((Inputs!$B$4:$B$250=$B101)*ISNUMBER(INDEX(Inputs!$D$4:$AG$250,0,MATCH(X$2,Inputs!$D$2:$AG$2,0))))=0,"",SUMIFS(INDEX(Inputs!$D$4:$AG$250,0,MATCH(X$2,Inputs!$D$2:$AG$2,0)),Inputs!$B$4:$B$250,$B101)/1000)</f>
        <v>1.529</v>
      </c>
      <c r="Y101" s="11">
        <f>IF(SUMPRODUCT((Inputs!$B$4:$B$250=$B101)*ISNUMBER(INDEX(Inputs!$D$4:$AG$250,0,MATCH(Y$2,Inputs!$D$2:$AG$2,0))))=0,"",SUMIFS(INDEX(Inputs!$D$4:$AG$250,0,MATCH(Y$2,Inputs!$D$2:$AG$2,0)),Inputs!$B$4:$B$250,$B101)/1000)</f>
        <v>1.975</v>
      </c>
      <c r="Z101" s="11">
        <f>IF(SUMPRODUCT((Inputs!$B$4:$B$250=$B101)*ISNUMBER(INDEX(Inputs!$D$4:$AG$250,0,MATCH(Z$2,Inputs!$D$2:$AG$2,0))))=0,"",SUMIFS(INDEX(Inputs!$D$4:$AG$250,0,MATCH(Z$2,Inputs!$D$2:$AG$2,0)),Inputs!$B$4:$B$250,$B101)/1000)</f>
        <v>2.102</v>
      </c>
      <c r="AA101" s="11">
        <f>IF(SUMPRODUCT((Inputs!$B$4:$B$250=$B101)*ISNUMBER(INDEX(Inputs!$D$4:$AG$250,0,MATCH(AA$2,Inputs!$D$2:$AG$2,0))))=0,"",SUMIFS(INDEX(Inputs!$D$4:$AG$250,0,MATCH(AA$2,Inputs!$D$2:$AG$2,0)),Inputs!$B$4:$B$250,$B101)/1000)</f>
        <v>2.305</v>
      </c>
      <c r="AB101" s="12">
        <f>IF(COUNT(X101:AA101)=4,SUM(X101:AA101),"")</f>
        <v>7.911</v>
      </c>
      <c r="AC101" s="11">
        <f>IF(SUMPRODUCT((Inputs!$B$4:$B$250=$B101)*ISNUMBER(INDEX(Inputs!$D$4:$AG$250,0,MATCH(AC$2,Inputs!$D$2:$AG$2,0))))=0,"",SUMIFS(INDEX(Inputs!$D$4:$AG$250,0,MATCH(AC$2,Inputs!$D$2:$AG$2,0)),Inputs!$B$4:$B$250,$B101)/1000)</f>
        <v>1.873</v>
      </c>
      <c r="AD101" s="11">
        <f>IF(SUMPRODUCT((Inputs!$B$4:$B$250=$B101)*ISNUMBER(INDEX(Inputs!$D$4:$AG$250,0,MATCH(AD$2,Inputs!$D$2:$AG$2,0))))=0,"",SUMIFS(INDEX(Inputs!$D$4:$AG$250,0,MATCH(AD$2,Inputs!$D$2:$AG$2,0)),Inputs!$B$4:$B$250,$B101)/1000)</f>
        <v>0.996</v>
      </c>
      <c r="AE101" s="11" t="str">
        <f>IF(SUMPRODUCT((Inputs!$B$4:$B$250=$B101)*ISNUMBER(INDEX(Inputs!$D$4:$AG$250,0,MATCH(AE$2,Inputs!$D$2:$AG$2,0))))=0,"",SUMIFS(INDEX(Inputs!$D$4:$AG$250,0,MATCH(AE$2,Inputs!$D$2:$AG$2,0)),Inputs!$B$4:$B$250,$B101)/1000)</f>
        <v/>
      </c>
      <c r="AF101" s="11" t="str">
        <f>IF(SUMPRODUCT((Inputs!$B$4:$B$250=$B101)*ISNUMBER(INDEX(Inputs!$D$4:$AG$250,0,MATCH(AF$2,Inputs!$D$2:$AG$2,0))))=0,"",SUMIFS(INDEX(Inputs!$D$4:$AG$250,0,MATCH(AF$2,Inputs!$D$2:$AG$2,0)),Inputs!$B$4:$B$250,$B101)/1000)</f>
        <v/>
      </c>
      <c r="AG101" s="12" t="str">
        <f>IF(COUNT(AC101:AF101)=4,SUM(AC101:AF101),"")</f>
        <v/>
      </c>
    </row>
    <row r="102">
      <c r="B102" s="9" t="n">
        <v>94</v>
      </c>
      <c r="C102" s="10" t="inlineStr">
        <is>
          <t>Geracao | EDV III</t>
        </is>
      </c>
      <c r="D102" s="11">
        <f>IF(SUMPRODUCT((Inputs!$B$4:$B$250=$B102)*ISNUMBER(INDEX(Inputs!$D$4:$AG$250,0,MATCH(D$2,Inputs!$D$2:$AG$2,0))))=0,"",SUMIFS(INDEX(Inputs!$D$4:$AG$250,0,MATCH(D$2,Inputs!$D$2:$AG$2,0)),Inputs!$B$4:$B$250,$B102)/1000)</f>
        <v>2.841</v>
      </c>
      <c r="E102" s="11">
        <f>IF(SUMPRODUCT((Inputs!$B$4:$B$250=$B102)*ISNUMBER(INDEX(Inputs!$D$4:$AG$250,0,MATCH(E$2,Inputs!$D$2:$AG$2,0))))=0,"",SUMIFS(INDEX(Inputs!$D$4:$AG$250,0,MATCH(E$2,Inputs!$D$2:$AG$2,0)),Inputs!$B$4:$B$250,$B102)/1000)</f>
        <v>2.895</v>
      </c>
      <c r="F102" s="11">
        <f>IF(SUMPRODUCT((Inputs!$B$4:$B$250=$B102)*ISNUMBER(INDEX(Inputs!$D$4:$AG$250,0,MATCH(F$2,Inputs!$D$2:$AG$2,0))))=0,"",SUMIFS(INDEX(Inputs!$D$4:$AG$250,0,MATCH(F$2,Inputs!$D$2:$AG$2,0)),Inputs!$B$4:$B$250,$B102)/1000)</f>
        <v>5.581</v>
      </c>
      <c r="G102" s="11">
        <f>IF(SUMPRODUCT((Inputs!$B$4:$B$250=$B102)*ISNUMBER(INDEX(Inputs!$D$4:$AG$250,0,MATCH(G$2,Inputs!$D$2:$AG$2,0))))=0,"",SUMIFS(INDEX(Inputs!$D$4:$AG$250,0,MATCH(G$2,Inputs!$D$2:$AG$2,0)),Inputs!$B$4:$B$250,$B102)/1000)</f>
        <v>3.284</v>
      </c>
      <c r="H102" s="12">
        <f>IF(COUNT(D102:G102)=4,SUM(D102:G102),"")</f>
        <v>14.601</v>
      </c>
      <c r="I102" s="11">
        <f>IF(SUMPRODUCT((Inputs!$B$4:$B$250=$B102)*ISNUMBER(INDEX(Inputs!$D$4:$AG$250,0,MATCH(I$2,Inputs!$D$2:$AG$2,0))))=0,"",SUMIFS(INDEX(Inputs!$D$4:$AG$250,0,MATCH(I$2,Inputs!$D$2:$AG$2,0)),Inputs!$B$4:$B$250,$B102)/1000)</f>
        <v>3.078</v>
      </c>
      <c r="J102" s="11">
        <f>IF(SUMPRODUCT((Inputs!$B$4:$B$250=$B102)*ISNUMBER(INDEX(Inputs!$D$4:$AG$250,0,MATCH(J$2,Inputs!$D$2:$AG$2,0))))=0,"",SUMIFS(INDEX(Inputs!$D$4:$AG$250,0,MATCH(J$2,Inputs!$D$2:$AG$2,0)),Inputs!$B$4:$B$250,$B102)/1000)</f>
        <v>3.114</v>
      </c>
      <c r="K102" s="11">
        <f>IF(SUMPRODUCT((Inputs!$B$4:$B$250=$B102)*ISNUMBER(INDEX(Inputs!$D$4:$AG$250,0,MATCH(K$2,Inputs!$D$2:$AG$2,0))))=0,"",SUMIFS(INDEX(Inputs!$D$4:$AG$250,0,MATCH(K$2,Inputs!$D$2:$AG$2,0)),Inputs!$B$4:$B$250,$B102)/1000)</f>
        <v>3.173</v>
      </c>
      <c r="L102" s="11">
        <f>IF(SUMPRODUCT((Inputs!$B$4:$B$250=$B102)*ISNUMBER(INDEX(Inputs!$D$4:$AG$250,0,MATCH(L$2,Inputs!$D$2:$AG$2,0))))=0,"",SUMIFS(INDEX(Inputs!$D$4:$AG$250,0,MATCH(L$2,Inputs!$D$2:$AG$2,0)),Inputs!$B$4:$B$250,$B102)/1000)</f>
        <v>3.162</v>
      </c>
      <c r="M102" s="12">
        <f>IF(COUNT(I102:L102)=4,SUM(I102:L102),"")</f>
        <v>12.527</v>
      </c>
      <c r="N102" s="11">
        <f>IF(SUMPRODUCT((Inputs!$B$4:$B$250=$B102)*ISNUMBER(INDEX(Inputs!$D$4:$AG$250,0,MATCH(N$2,Inputs!$D$2:$AG$2,0))))=0,"",SUMIFS(INDEX(Inputs!$D$4:$AG$250,0,MATCH(N$2,Inputs!$D$2:$AG$2,0)),Inputs!$B$4:$B$250,$B102)/1000)</f>
        <v>3.257</v>
      </c>
      <c r="O102" s="11">
        <f>IF(SUMPRODUCT((Inputs!$B$4:$B$250=$B102)*ISNUMBER(INDEX(Inputs!$D$4:$AG$250,0,MATCH(O$2,Inputs!$D$2:$AG$2,0))))=0,"",SUMIFS(INDEX(Inputs!$D$4:$AG$250,0,MATCH(O$2,Inputs!$D$2:$AG$2,0)),Inputs!$B$4:$B$250,$B102)/1000)</f>
        <v>3.563</v>
      </c>
      <c r="P102" s="11">
        <f>IF(SUMPRODUCT((Inputs!$B$4:$B$250=$B102)*ISNUMBER(INDEX(Inputs!$D$4:$AG$250,0,MATCH(P$2,Inputs!$D$2:$AG$2,0))))=0,"",SUMIFS(INDEX(Inputs!$D$4:$AG$250,0,MATCH(P$2,Inputs!$D$2:$AG$2,0)),Inputs!$B$4:$B$250,$B102)/1000)</f>
        <v>3.734</v>
      </c>
      <c r="Q102" s="11">
        <f>IF(SUMPRODUCT((Inputs!$B$4:$B$250=$B102)*ISNUMBER(INDEX(Inputs!$D$4:$AG$250,0,MATCH(Q$2,Inputs!$D$2:$AG$2,0))))=0,"",SUMIFS(INDEX(Inputs!$D$4:$AG$250,0,MATCH(Q$2,Inputs!$D$2:$AG$2,0)),Inputs!$B$4:$B$250,$B102)/1000)</f>
        <v>3.147</v>
      </c>
      <c r="R102" s="12">
        <f>IF(COUNT(N102:Q102)=4,SUM(N102:Q102),"")</f>
        <v>13.701</v>
      </c>
      <c r="S102" s="11">
        <f>IF(SUMPRODUCT((Inputs!$B$4:$B$250=$B102)*ISNUMBER(INDEX(Inputs!$D$4:$AG$250,0,MATCH(S$2,Inputs!$D$2:$AG$2,0))))=0,"",SUMIFS(INDEX(Inputs!$D$4:$AG$250,0,MATCH(S$2,Inputs!$D$2:$AG$2,0)),Inputs!$B$4:$B$250,$B102)/1000)</f>
        <v>2.391</v>
      </c>
      <c r="T102" s="11">
        <f>IF(SUMPRODUCT((Inputs!$B$4:$B$250=$B102)*ISNUMBER(INDEX(Inputs!$D$4:$AG$250,0,MATCH(T$2,Inputs!$D$2:$AG$2,0))))=0,"",SUMIFS(INDEX(Inputs!$D$4:$AG$250,0,MATCH(T$2,Inputs!$D$2:$AG$2,0)),Inputs!$B$4:$B$250,$B102)/1000)</f>
        <v>1.558</v>
      </c>
      <c r="U102" s="11">
        <f>IF(SUMPRODUCT((Inputs!$B$4:$B$250=$B102)*ISNUMBER(INDEX(Inputs!$D$4:$AG$250,0,MATCH(U$2,Inputs!$D$2:$AG$2,0))))=0,"",SUMIFS(INDEX(Inputs!$D$4:$AG$250,0,MATCH(U$2,Inputs!$D$2:$AG$2,0)),Inputs!$B$4:$B$250,$B102)/1000)</f>
        <v>1.996</v>
      </c>
      <c r="V102" s="11">
        <f>IF(SUMPRODUCT((Inputs!$B$4:$B$250=$B102)*ISNUMBER(INDEX(Inputs!$D$4:$AG$250,0,MATCH(V$2,Inputs!$D$2:$AG$2,0))))=0,"",SUMIFS(INDEX(Inputs!$D$4:$AG$250,0,MATCH(V$2,Inputs!$D$2:$AG$2,0)),Inputs!$B$4:$B$250,$B102)/1000)</f>
        <v>4.753</v>
      </c>
      <c r="W102" s="12">
        <f>IF(COUNT(S102:V102)=4,SUM(S102:V102),"")</f>
        <v>10.698</v>
      </c>
      <c r="X102" s="11">
        <f>IF(SUMPRODUCT((Inputs!$B$4:$B$250=$B102)*ISNUMBER(INDEX(Inputs!$D$4:$AG$250,0,MATCH(X$2,Inputs!$D$2:$AG$2,0))))=0,"",SUMIFS(INDEX(Inputs!$D$4:$AG$250,0,MATCH(X$2,Inputs!$D$2:$AG$2,0)),Inputs!$B$4:$B$250,$B102)/1000)</f>
        <v>2.356</v>
      </c>
      <c r="Y102" s="11">
        <f>IF(SUMPRODUCT((Inputs!$B$4:$B$250=$B102)*ISNUMBER(INDEX(Inputs!$D$4:$AG$250,0,MATCH(Y$2,Inputs!$D$2:$AG$2,0))))=0,"",SUMIFS(INDEX(Inputs!$D$4:$AG$250,0,MATCH(Y$2,Inputs!$D$2:$AG$2,0)),Inputs!$B$4:$B$250,$B102)/1000)</f>
        <v>3.034</v>
      </c>
      <c r="Z102" s="11">
        <f>IF(SUMPRODUCT((Inputs!$B$4:$B$250=$B102)*ISNUMBER(INDEX(Inputs!$D$4:$AG$250,0,MATCH(Z$2,Inputs!$D$2:$AG$2,0))))=0,"",SUMIFS(INDEX(Inputs!$D$4:$AG$250,0,MATCH(Z$2,Inputs!$D$2:$AG$2,0)),Inputs!$B$4:$B$250,$B102)/1000)</f>
        <v>3.547</v>
      </c>
      <c r="AA102" s="11">
        <f>IF(SUMPRODUCT((Inputs!$B$4:$B$250=$B102)*ISNUMBER(INDEX(Inputs!$D$4:$AG$250,0,MATCH(AA$2,Inputs!$D$2:$AG$2,0))))=0,"",SUMIFS(INDEX(Inputs!$D$4:$AG$250,0,MATCH(AA$2,Inputs!$D$2:$AG$2,0)),Inputs!$B$4:$B$250,$B102)/1000)</f>
        <v>3.724</v>
      </c>
      <c r="AB102" s="12">
        <f>IF(COUNT(X102:AA102)=4,SUM(X102:AA102),"")</f>
        <v>12.661</v>
      </c>
      <c r="AC102" s="11">
        <f>IF(SUMPRODUCT((Inputs!$B$4:$B$250=$B102)*ISNUMBER(INDEX(Inputs!$D$4:$AG$250,0,MATCH(AC$2,Inputs!$D$2:$AG$2,0))))=0,"",SUMIFS(INDEX(Inputs!$D$4:$AG$250,0,MATCH(AC$2,Inputs!$D$2:$AG$2,0)),Inputs!$B$4:$B$250,$B102)/1000)</f>
        <v>2.647</v>
      </c>
      <c r="AD102" s="11">
        <f>IF(SUMPRODUCT((Inputs!$B$4:$B$250=$B102)*ISNUMBER(INDEX(Inputs!$D$4:$AG$250,0,MATCH(AD$2,Inputs!$D$2:$AG$2,0))))=0,"",SUMIFS(INDEX(Inputs!$D$4:$AG$250,0,MATCH(AD$2,Inputs!$D$2:$AG$2,0)),Inputs!$B$4:$B$250,$B102)/1000)</f>
        <v>1.287</v>
      </c>
      <c r="AE102" s="11" t="str">
        <f>IF(SUMPRODUCT((Inputs!$B$4:$B$250=$B102)*ISNUMBER(INDEX(Inputs!$D$4:$AG$250,0,MATCH(AE$2,Inputs!$D$2:$AG$2,0))))=0,"",SUMIFS(INDEX(Inputs!$D$4:$AG$250,0,MATCH(AE$2,Inputs!$D$2:$AG$2,0)),Inputs!$B$4:$B$250,$B102)/1000)</f>
        <v/>
      </c>
      <c r="AF102" s="11" t="str">
        <f>IF(SUMPRODUCT((Inputs!$B$4:$B$250=$B102)*ISNUMBER(INDEX(Inputs!$D$4:$AG$250,0,MATCH(AF$2,Inputs!$D$2:$AG$2,0))))=0,"",SUMIFS(INDEX(Inputs!$D$4:$AG$250,0,MATCH(AF$2,Inputs!$D$2:$AG$2,0)),Inputs!$B$4:$B$250,$B102)/1000)</f>
        <v/>
      </c>
      <c r="AG102" s="12" t="str">
        <f>IF(COUNT(AC102:AF102)=4,SUM(AC102:AF102),"")</f>
        <v/>
      </c>
    </row>
    <row r="103">
      <c r="B103" s="9" t="n">
        <v>95</v>
      </c>
      <c r="C103" s="10" t="inlineStr">
        <is>
          <t>Geracao | EDV IV</t>
        </is>
      </c>
      <c r="D103" s="11">
        <f>IF(SUMPRODUCT((Inputs!$B$4:$B$250=$B103)*ISNUMBER(INDEX(Inputs!$D$4:$AG$250,0,MATCH(D$2,Inputs!$D$2:$AG$2,0))))=0,"",SUMIFS(INDEX(Inputs!$D$4:$AG$250,0,MATCH(D$2,Inputs!$D$2:$AG$2,0)),Inputs!$B$4:$B$250,$B103)/1000)</f>
        <v>4.413</v>
      </c>
      <c r="E103" s="11">
        <f>IF(SUMPRODUCT((Inputs!$B$4:$B$250=$B103)*ISNUMBER(INDEX(Inputs!$D$4:$AG$250,0,MATCH(E$2,Inputs!$D$2:$AG$2,0))))=0,"",SUMIFS(INDEX(Inputs!$D$4:$AG$250,0,MATCH(E$2,Inputs!$D$2:$AG$2,0)),Inputs!$B$4:$B$250,$B103)/1000)</f>
        <v>4.772</v>
      </c>
      <c r="F103" s="11">
        <f>IF(SUMPRODUCT((Inputs!$B$4:$B$250=$B103)*ISNUMBER(INDEX(Inputs!$D$4:$AG$250,0,MATCH(F$2,Inputs!$D$2:$AG$2,0))))=0,"",SUMIFS(INDEX(Inputs!$D$4:$AG$250,0,MATCH(F$2,Inputs!$D$2:$AG$2,0)),Inputs!$B$4:$B$250,$B103)/1000)</f>
        <v>7.85</v>
      </c>
      <c r="G103" s="11">
        <f>IF(SUMPRODUCT((Inputs!$B$4:$B$250=$B103)*ISNUMBER(INDEX(Inputs!$D$4:$AG$250,0,MATCH(G$2,Inputs!$D$2:$AG$2,0))))=0,"",SUMIFS(INDEX(Inputs!$D$4:$AG$250,0,MATCH(G$2,Inputs!$D$2:$AG$2,0)),Inputs!$B$4:$B$250,$B103)/1000)</f>
        <v>5.176</v>
      </c>
      <c r="H103" s="12">
        <f>IF(COUNT(D103:G103)=4,SUM(D103:G103),"")</f>
        <v>22.211</v>
      </c>
      <c r="I103" s="11">
        <f>IF(SUMPRODUCT((Inputs!$B$4:$B$250=$B103)*ISNUMBER(INDEX(Inputs!$D$4:$AG$250,0,MATCH(I$2,Inputs!$D$2:$AG$2,0))))=0,"",SUMIFS(INDEX(Inputs!$D$4:$AG$250,0,MATCH(I$2,Inputs!$D$2:$AG$2,0)),Inputs!$B$4:$B$250,$B103)/1000)</f>
        <v>4.988</v>
      </c>
      <c r="J103" s="11">
        <f>IF(SUMPRODUCT((Inputs!$B$4:$B$250=$B103)*ISNUMBER(INDEX(Inputs!$D$4:$AG$250,0,MATCH(J$2,Inputs!$D$2:$AG$2,0))))=0,"",SUMIFS(INDEX(Inputs!$D$4:$AG$250,0,MATCH(J$2,Inputs!$D$2:$AG$2,0)),Inputs!$B$4:$B$250,$B103)/1000)</f>
        <v>5.05</v>
      </c>
      <c r="K103" s="11">
        <f>IF(SUMPRODUCT((Inputs!$B$4:$B$250=$B103)*ISNUMBER(INDEX(Inputs!$D$4:$AG$250,0,MATCH(K$2,Inputs!$D$2:$AG$2,0))))=0,"",SUMIFS(INDEX(Inputs!$D$4:$AG$250,0,MATCH(K$2,Inputs!$D$2:$AG$2,0)),Inputs!$B$4:$B$250,$B103)/1000)</f>
        <v>5.131</v>
      </c>
      <c r="L103" s="11">
        <f>IF(SUMPRODUCT((Inputs!$B$4:$B$250=$B103)*ISNUMBER(INDEX(Inputs!$D$4:$AG$250,0,MATCH(L$2,Inputs!$D$2:$AG$2,0))))=0,"",SUMIFS(INDEX(Inputs!$D$4:$AG$250,0,MATCH(L$2,Inputs!$D$2:$AG$2,0)),Inputs!$B$4:$B$250,$B103)/1000)</f>
        <v>5.148</v>
      </c>
      <c r="M103" s="12">
        <f>IF(COUNT(I103:L103)=4,SUM(I103:L103),"")</f>
        <v>20.317</v>
      </c>
      <c r="N103" s="11">
        <f>IF(SUMPRODUCT((Inputs!$B$4:$B$250=$B103)*ISNUMBER(INDEX(Inputs!$D$4:$AG$250,0,MATCH(N$2,Inputs!$D$2:$AG$2,0))))=0,"",SUMIFS(INDEX(Inputs!$D$4:$AG$250,0,MATCH(N$2,Inputs!$D$2:$AG$2,0)),Inputs!$B$4:$B$250,$B103)/1000)</f>
        <v>4.821</v>
      </c>
      <c r="O103" s="11">
        <f>IF(SUMPRODUCT((Inputs!$B$4:$B$250=$B103)*ISNUMBER(INDEX(Inputs!$D$4:$AG$250,0,MATCH(O$2,Inputs!$D$2:$AG$2,0))))=0,"",SUMIFS(INDEX(Inputs!$D$4:$AG$250,0,MATCH(O$2,Inputs!$D$2:$AG$2,0)),Inputs!$B$4:$B$250,$B103)/1000)</f>
        <v>4.312</v>
      </c>
      <c r="P103" s="11">
        <f>IF(SUMPRODUCT((Inputs!$B$4:$B$250=$B103)*ISNUMBER(INDEX(Inputs!$D$4:$AG$250,0,MATCH(P$2,Inputs!$D$2:$AG$2,0))))=0,"",SUMIFS(INDEX(Inputs!$D$4:$AG$250,0,MATCH(P$2,Inputs!$D$2:$AG$2,0)),Inputs!$B$4:$B$250,$B103)/1000)</f>
        <v>5.66</v>
      </c>
      <c r="Q103" s="11">
        <f>IF(SUMPRODUCT((Inputs!$B$4:$B$250=$B103)*ISNUMBER(INDEX(Inputs!$D$4:$AG$250,0,MATCH(Q$2,Inputs!$D$2:$AG$2,0))))=0,"",SUMIFS(INDEX(Inputs!$D$4:$AG$250,0,MATCH(Q$2,Inputs!$D$2:$AG$2,0)),Inputs!$B$4:$B$250,$B103)/1000)</f>
        <v>4.395</v>
      </c>
      <c r="R103" s="12">
        <f>IF(COUNT(N103:Q103)=4,SUM(N103:Q103),"")</f>
        <v>19.188</v>
      </c>
      <c r="S103" s="11">
        <f>IF(SUMPRODUCT((Inputs!$B$4:$B$250=$B103)*ISNUMBER(INDEX(Inputs!$D$4:$AG$250,0,MATCH(S$2,Inputs!$D$2:$AG$2,0))))=0,"",SUMIFS(INDEX(Inputs!$D$4:$AG$250,0,MATCH(S$2,Inputs!$D$2:$AG$2,0)),Inputs!$B$4:$B$250,$B103)/1000)</f>
        <v>4.192</v>
      </c>
      <c r="T103" s="11">
        <f>IF(SUMPRODUCT((Inputs!$B$4:$B$250=$B103)*ISNUMBER(INDEX(Inputs!$D$4:$AG$250,0,MATCH(T$2,Inputs!$D$2:$AG$2,0))))=0,"",SUMIFS(INDEX(Inputs!$D$4:$AG$250,0,MATCH(T$2,Inputs!$D$2:$AG$2,0)),Inputs!$B$4:$B$250,$B103)/1000)</f>
        <v>2.88</v>
      </c>
      <c r="U103" s="11">
        <f>IF(SUMPRODUCT((Inputs!$B$4:$B$250=$B103)*ISNUMBER(INDEX(Inputs!$D$4:$AG$250,0,MATCH(U$2,Inputs!$D$2:$AG$2,0))))=0,"",SUMIFS(INDEX(Inputs!$D$4:$AG$250,0,MATCH(U$2,Inputs!$D$2:$AG$2,0)),Inputs!$B$4:$B$250,$B103)/1000)</f>
        <v>3.121</v>
      </c>
      <c r="V103" s="11">
        <f>IF(SUMPRODUCT((Inputs!$B$4:$B$250=$B103)*ISNUMBER(INDEX(Inputs!$D$4:$AG$250,0,MATCH(V$2,Inputs!$D$2:$AG$2,0))))=0,"",SUMIFS(INDEX(Inputs!$D$4:$AG$250,0,MATCH(V$2,Inputs!$D$2:$AG$2,0)),Inputs!$B$4:$B$250,$B103)/1000)</f>
        <v>7.305</v>
      </c>
      <c r="W103" s="12">
        <f>IF(COUNT(S103:V103)=4,SUM(S103:V103),"")</f>
        <v>17.498</v>
      </c>
      <c r="X103" s="11">
        <f>IF(SUMPRODUCT((Inputs!$B$4:$B$250=$B103)*ISNUMBER(INDEX(Inputs!$D$4:$AG$250,0,MATCH(X$2,Inputs!$D$2:$AG$2,0))))=0,"",SUMIFS(INDEX(Inputs!$D$4:$AG$250,0,MATCH(X$2,Inputs!$D$2:$AG$2,0)),Inputs!$B$4:$B$250,$B103)/1000)</f>
        <v>3.696</v>
      </c>
      <c r="Y103" s="11">
        <f>IF(SUMPRODUCT((Inputs!$B$4:$B$250=$B103)*ISNUMBER(INDEX(Inputs!$D$4:$AG$250,0,MATCH(Y$2,Inputs!$D$2:$AG$2,0))))=0,"",SUMIFS(INDEX(Inputs!$D$4:$AG$250,0,MATCH(Y$2,Inputs!$D$2:$AG$2,0)),Inputs!$B$4:$B$250,$B103)/1000)</f>
        <v>4.92</v>
      </c>
      <c r="Z103" s="11">
        <f>IF(SUMPRODUCT((Inputs!$B$4:$B$250=$B103)*ISNUMBER(INDEX(Inputs!$D$4:$AG$250,0,MATCH(Z$2,Inputs!$D$2:$AG$2,0))))=0,"",SUMIFS(INDEX(Inputs!$D$4:$AG$250,0,MATCH(Z$2,Inputs!$D$2:$AG$2,0)),Inputs!$B$4:$B$250,$B103)/1000)</f>
        <v>5.502</v>
      </c>
      <c r="AA103" s="11">
        <f>IF(SUMPRODUCT((Inputs!$B$4:$B$250=$B103)*ISNUMBER(INDEX(Inputs!$D$4:$AG$250,0,MATCH(AA$2,Inputs!$D$2:$AG$2,0))))=0,"",SUMIFS(INDEX(Inputs!$D$4:$AG$250,0,MATCH(AA$2,Inputs!$D$2:$AG$2,0)),Inputs!$B$4:$B$250,$B103)/1000)</f>
        <v>5.818</v>
      </c>
      <c r="AB103" s="12">
        <f>IF(COUNT(X103:AA103)=4,SUM(X103:AA103),"")</f>
        <v>19.936</v>
      </c>
      <c r="AC103" s="11">
        <f>IF(SUMPRODUCT((Inputs!$B$4:$B$250=$B103)*ISNUMBER(INDEX(Inputs!$D$4:$AG$250,0,MATCH(AC$2,Inputs!$D$2:$AG$2,0))))=0,"",SUMIFS(INDEX(Inputs!$D$4:$AG$250,0,MATCH(AC$2,Inputs!$D$2:$AG$2,0)),Inputs!$B$4:$B$250,$B103)/1000)</f>
        <v>6.551</v>
      </c>
      <c r="AD103" s="11">
        <f>IF(SUMPRODUCT((Inputs!$B$4:$B$250=$B103)*ISNUMBER(INDEX(Inputs!$D$4:$AG$250,0,MATCH(AD$2,Inputs!$D$2:$AG$2,0))))=0,"",SUMIFS(INDEX(Inputs!$D$4:$AG$250,0,MATCH(AD$2,Inputs!$D$2:$AG$2,0)),Inputs!$B$4:$B$250,$B103)/1000)</f>
        <v>2.577</v>
      </c>
      <c r="AE103" s="11" t="str">
        <f>IF(SUMPRODUCT((Inputs!$B$4:$B$250=$B103)*ISNUMBER(INDEX(Inputs!$D$4:$AG$250,0,MATCH(AE$2,Inputs!$D$2:$AG$2,0))))=0,"",SUMIFS(INDEX(Inputs!$D$4:$AG$250,0,MATCH(AE$2,Inputs!$D$2:$AG$2,0)),Inputs!$B$4:$B$250,$B103)/1000)</f>
        <v/>
      </c>
      <c r="AF103" s="11" t="str">
        <f>IF(SUMPRODUCT((Inputs!$B$4:$B$250=$B103)*ISNUMBER(INDEX(Inputs!$D$4:$AG$250,0,MATCH(AF$2,Inputs!$D$2:$AG$2,0))))=0,"",SUMIFS(INDEX(Inputs!$D$4:$AG$250,0,MATCH(AF$2,Inputs!$D$2:$AG$2,0)),Inputs!$B$4:$B$250,$B103)/1000)</f>
        <v/>
      </c>
      <c r="AG103" s="12" t="str">
        <f>IF(COUNT(AC103:AF103)=4,SUM(AC103:AF103),"")</f>
        <v/>
      </c>
    </row>
    <row r="104">
      <c r="B104" s="9" t="n">
        <v>96</v>
      </c>
      <c r="C104" s="10" t="inlineStr">
        <is>
          <t>Geracao | EDV X</t>
        </is>
      </c>
      <c r="D104" s="11">
        <f>IF(SUMPRODUCT((Inputs!$B$4:$B$250=$B104)*ISNUMBER(INDEX(Inputs!$D$4:$AG$250,0,MATCH(D$2,Inputs!$D$2:$AG$2,0))))=0,"",SUMIFS(INDEX(Inputs!$D$4:$AG$250,0,MATCH(D$2,Inputs!$D$2:$AG$2,0)),Inputs!$B$4:$B$250,$B104)/1000)</f>
        <v>2.421</v>
      </c>
      <c r="E104" s="11">
        <f>IF(SUMPRODUCT((Inputs!$B$4:$B$250=$B104)*ISNUMBER(INDEX(Inputs!$D$4:$AG$250,0,MATCH(E$2,Inputs!$D$2:$AG$2,0))))=0,"",SUMIFS(INDEX(Inputs!$D$4:$AG$250,0,MATCH(E$2,Inputs!$D$2:$AG$2,0)),Inputs!$B$4:$B$250,$B104)/1000)</f>
        <v>2.423</v>
      </c>
      <c r="F104" s="11">
        <f>IF(SUMPRODUCT((Inputs!$B$4:$B$250=$B104)*ISNUMBER(INDEX(Inputs!$D$4:$AG$250,0,MATCH(F$2,Inputs!$D$2:$AG$2,0))))=0,"",SUMIFS(INDEX(Inputs!$D$4:$AG$250,0,MATCH(F$2,Inputs!$D$2:$AG$2,0)),Inputs!$B$4:$B$250,$B104)/1000)</f>
        <v>5.215</v>
      </c>
      <c r="G104" s="11">
        <f>IF(SUMPRODUCT((Inputs!$B$4:$B$250=$B104)*ISNUMBER(INDEX(Inputs!$D$4:$AG$250,0,MATCH(G$2,Inputs!$D$2:$AG$2,0))))=0,"",SUMIFS(INDEX(Inputs!$D$4:$AG$250,0,MATCH(G$2,Inputs!$D$2:$AG$2,0)),Inputs!$B$4:$B$250,$B104)/1000)</f>
        <v>2.799</v>
      </c>
      <c r="H104" s="12">
        <f>IF(COUNT(D104:G104)=4,SUM(D104:G104),"")</f>
        <v>12.858</v>
      </c>
      <c r="I104" s="11">
        <f>IF(SUMPRODUCT((Inputs!$B$4:$B$250=$B104)*ISNUMBER(INDEX(Inputs!$D$4:$AG$250,0,MATCH(I$2,Inputs!$D$2:$AG$2,0))))=0,"",SUMIFS(INDEX(Inputs!$D$4:$AG$250,0,MATCH(I$2,Inputs!$D$2:$AG$2,0)),Inputs!$B$4:$B$250,$B104)/1000)</f>
        <v>2.618</v>
      </c>
      <c r="J104" s="11">
        <f>IF(SUMPRODUCT((Inputs!$B$4:$B$250=$B104)*ISNUMBER(INDEX(Inputs!$D$4:$AG$250,0,MATCH(J$2,Inputs!$D$2:$AG$2,0))))=0,"",SUMIFS(INDEX(Inputs!$D$4:$AG$250,0,MATCH(J$2,Inputs!$D$2:$AG$2,0)),Inputs!$B$4:$B$250,$B104)/1000)</f>
        <v>2.636</v>
      </c>
      <c r="K104" s="11">
        <f>IF(SUMPRODUCT((Inputs!$B$4:$B$250=$B104)*ISNUMBER(INDEX(Inputs!$D$4:$AG$250,0,MATCH(K$2,Inputs!$D$2:$AG$2,0))))=0,"",SUMIFS(INDEX(Inputs!$D$4:$AG$250,0,MATCH(K$2,Inputs!$D$2:$AG$2,0)),Inputs!$B$4:$B$250,$B104)/1000)</f>
        <v>2.686</v>
      </c>
      <c r="L104" s="11">
        <f>IF(SUMPRODUCT((Inputs!$B$4:$B$250=$B104)*ISNUMBER(INDEX(Inputs!$D$4:$AG$250,0,MATCH(L$2,Inputs!$D$2:$AG$2,0))))=0,"",SUMIFS(INDEX(Inputs!$D$4:$AG$250,0,MATCH(L$2,Inputs!$D$2:$AG$2,0)),Inputs!$B$4:$B$250,$B104)/1000)</f>
        <v>2.684</v>
      </c>
      <c r="M104" s="12">
        <f>IF(COUNT(I104:L104)=4,SUM(I104:L104),"")</f>
        <v>10.624</v>
      </c>
      <c r="N104" s="11">
        <f>IF(SUMPRODUCT((Inputs!$B$4:$B$250=$B104)*ISNUMBER(INDEX(Inputs!$D$4:$AG$250,0,MATCH(N$2,Inputs!$D$2:$AG$2,0))))=0,"",SUMIFS(INDEX(Inputs!$D$4:$AG$250,0,MATCH(N$2,Inputs!$D$2:$AG$2,0)),Inputs!$B$4:$B$250,$B104)/1000)</f>
        <v>2.563</v>
      </c>
      <c r="O104" s="11">
        <f>IF(SUMPRODUCT((Inputs!$B$4:$B$250=$B104)*ISNUMBER(INDEX(Inputs!$D$4:$AG$250,0,MATCH(O$2,Inputs!$D$2:$AG$2,0))))=0,"",SUMIFS(INDEX(Inputs!$D$4:$AG$250,0,MATCH(O$2,Inputs!$D$2:$AG$2,0)),Inputs!$B$4:$B$250,$B104)/1000)</f>
        <v>3.274</v>
      </c>
      <c r="P104" s="11">
        <f>IF(SUMPRODUCT((Inputs!$B$4:$B$250=$B104)*ISNUMBER(INDEX(Inputs!$D$4:$AG$250,0,MATCH(P$2,Inputs!$D$2:$AG$2,0))))=0,"",SUMIFS(INDEX(Inputs!$D$4:$AG$250,0,MATCH(P$2,Inputs!$D$2:$AG$2,0)),Inputs!$B$4:$B$250,$B104)/1000)</f>
        <v>3.07</v>
      </c>
      <c r="Q104" s="11">
        <f>IF(SUMPRODUCT((Inputs!$B$4:$B$250=$B104)*ISNUMBER(INDEX(Inputs!$D$4:$AG$250,0,MATCH(Q$2,Inputs!$D$2:$AG$2,0))))=0,"",SUMIFS(INDEX(Inputs!$D$4:$AG$250,0,MATCH(Q$2,Inputs!$D$2:$AG$2,0)),Inputs!$B$4:$B$250,$B104)/1000)</f>
        <v>2.094</v>
      </c>
      <c r="R104" s="12">
        <f>IF(COUNT(N104:Q104)=4,SUM(N104:Q104),"")</f>
        <v>11.001</v>
      </c>
      <c r="S104" s="11">
        <f>IF(SUMPRODUCT((Inputs!$B$4:$B$250=$B104)*ISNUMBER(INDEX(Inputs!$D$4:$AG$250,0,MATCH(S$2,Inputs!$D$2:$AG$2,0))))=0,"",SUMIFS(INDEX(Inputs!$D$4:$AG$250,0,MATCH(S$2,Inputs!$D$2:$AG$2,0)),Inputs!$B$4:$B$250,$B104)/1000)</f>
        <v>2.378</v>
      </c>
      <c r="T104" s="11">
        <f>IF(SUMPRODUCT((Inputs!$B$4:$B$250=$B104)*ISNUMBER(INDEX(Inputs!$D$4:$AG$250,0,MATCH(T$2,Inputs!$D$2:$AG$2,0))))=0,"",SUMIFS(INDEX(Inputs!$D$4:$AG$250,0,MATCH(T$2,Inputs!$D$2:$AG$2,0)),Inputs!$B$4:$B$250,$B104)/1000)</f>
        <v>1.613</v>
      </c>
      <c r="U104" s="11">
        <f>IF(SUMPRODUCT((Inputs!$B$4:$B$250=$B104)*ISNUMBER(INDEX(Inputs!$D$4:$AG$250,0,MATCH(U$2,Inputs!$D$2:$AG$2,0))))=0,"",SUMIFS(INDEX(Inputs!$D$4:$AG$250,0,MATCH(U$2,Inputs!$D$2:$AG$2,0)),Inputs!$B$4:$B$250,$B104)/1000)</f>
        <v>1.885</v>
      </c>
      <c r="V104" s="11">
        <f>IF(SUMPRODUCT((Inputs!$B$4:$B$250=$B104)*ISNUMBER(INDEX(Inputs!$D$4:$AG$250,0,MATCH(V$2,Inputs!$D$2:$AG$2,0))))=0,"",SUMIFS(INDEX(Inputs!$D$4:$AG$250,0,MATCH(V$2,Inputs!$D$2:$AG$2,0)),Inputs!$B$4:$B$250,$B104)/1000)</f>
        <v>4.222</v>
      </c>
      <c r="W104" s="12">
        <f>IF(COUNT(S104:V104)=4,SUM(S104:V104),"")</f>
        <v>10.098</v>
      </c>
      <c r="X104" s="11">
        <f>IF(SUMPRODUCT((Inputs!$B$4:$B$250=$B104)*ISNUMBER(INDEX(Inputs!$D$4:$AG$250,0,MATCH(X$2,Inputs!$D$2:$AG$2,0))))=0,"",SUMIFS(INDEX(Inputs!$D$4:$AG$250,0,MATCH(X$2,Inputs!$D$2:$AG$2,0)),Inputs!$B$4:$B$250,$B104)/1000)</f>
        <v>2.059</v>
      </c>
      <c r="Y104" s="11">
        <f>IF(SUMPRODUCT((Inputs!$B$4:$B$250=$B104)*ISNUMBER(INDEX(Inputs!$D$4:$AG$250,0,MATCH(Y$2,Inputs!$D$2:$AG$2,0))))=0,"",SUMIFS(INDEX(Inputs!$D$4:$AG$250,0,MATCH(Y$2,Inputs!$D$2:$AG$2,0)),Inputs!$B$4:$B$250,$B104)/1000)</f>
        <v>2.792</v>
      </c>
      <c r="Z104" s="11">
        <f>IF(SUMPRODUCT((Inputs!$B$4:$B$250=$B104)*ISNUMBER(INDEX(Inputs!$D$4:$AG$250,0,MATCH(Z$2,Inputs!$D$2:$AG$2,0))))=0,"",SUMIFS(INDEX(Inputs!$D$4:$AG$250,0,MATCH(Z$2,Inputs!$D$2:$AG$2,0)),Inputs!$B$4:$B$250,$B104)/1000)</f>
        <v>3.245</v>
      </c>
      <c r="AA104" s="11">
        <f>IF(SUMPRODUCT((Inputs!$B$4:$B$250=$B104)*ISNUMBER(INDEX(Inputs!$D$4:$AG$250,0,MATCH(AA$2,Inputs!$D$2:$AG$2,0))))=0,"",SUMIFS(INDEX(Inputs!$D$4:$AG$250,0,MATCH(AA$2,Inputs!$D$2:$AG$2,0)),Inputs!$B$4:$B$250,$B104)/1000)</f>
        <v>3.295</v>
      </c>
      <c r="AB104" s="12">
        <f>IF(COUNT(X104:AA104)=4,SUM(X104:AA104),"")</f>
        <v>11.391</v>
      </c>
      <c r="AC104" s="11">
        <f>IF(SUMPRODUCT((Inputs!$B$4:$B$250=$B104)*ISNUMBER(INDEX(Inputs!$D$4:$AG$250,0,MATCH(AC$2,Inputs!$D$2:$AG$2,0))))=0,"",SUMIFS(INDEX(Inputs!$D$4:$AG$250,0,MATCH(AC$2,Inputs!$D$2:$AG$2,0)),Inputs!$B$4:$B$250,$B104)/1000)</f>
        <v>2.349</v>
      </c>
      <c r="AD104" s="11">
        <f>IF(SUMPRODUCT((Inputs!$B$4:$B$250=$B104)*ISNUMBER(INDEX(Inputs!$D$4:$AG$250,0,MATCH(AD$2,Inputs!$D$2:$AG$2,0))))=0,"",SUMIFS(INDEX(Inputs!$D$4:$AG$250,0,MATCH(AD$2,Inputs!$D$2:$AG$2,0)),Inputs!$B$4:$B$250,$B104)/1000)</f>
        <v>1.51</v>
      </c>
      <c r="AE104" s="11" t="str">
        <f>IF(SUMPRODUCT((Inputs!$B$4:$B$250=$B104)*ISNUMBER(INDEX(Inputs!$D$4:$AG$250,0,MATCH(AE$2,Inputs!$D$2:$AG$2,0))))=0,"",SUMIFS(INDEX(Inputs!$D$4:$AG$250,0,MATCH(AE$2,Inputs!$D$2:$AG$2,0)),Inputs!$B$4:$B$250,$B104)/1000)</f>
        <v/>
      </c>
      <c r="AF104" s="11" t="str">
        <f>IF(SUMPRODUCT((Inputs!$B$4:$B$250=$B104)*ISNUMBER(INDEX(Inputs!$D$4:$AG$250,0,MATCH(AF$2,Inputs!$D$2:$AG$2,0))))=0,"",SUMIFS(INDEX(Inputs!$D$4:$AG$250,0,MATCH(AF$2,Inputs!$D$2:$AG$2,0)),Inputs!$B$4:$B$250,$B104)/1000)</f>
        <v/>
      </c>
      <c r="AG104" s="12" t="str">
        <f>IF(COUNT(AC104:AF104)=4,SUM(AC104:AF104),"")</f>
        <v/>
      </c>
    </row>
    <row r="105">
      <c r="B105" s="9" t="n">
        <v>97</v>
      </c>
      <c r="C105" s="10" t="inlineStr">
        <is>
          <t>Geracao | EAP I</t>
        </is>
      </c>
      <c r="D105" s="11">
        <f>IF(SUMPRODUCT((Inputs!$B$4:$B$250=$B105)*ISNUMBER(INDEX(Inputs!$D$4:$AG$250,0,MATCH(D$2,Inputs!$D$2:$AG$2,0))))=0,"",SUMIFS(INDEX(Inputs!$D$4:$AG$250,0,MATCH(D$2,Inputs!$D$2:$AG$2,0)),Inputs!$B$4:$B$250,$B105)/1000)</f>
        <v>0</v>
      </c>
      <c r="E105" s="11">
        <f>IF(SUMPRODUCT((Inputs!$B$4:$B$250=$B105)*ISNUMBER(INDEX(Inputs!$D$4:$AG$250,0,MATCH(E$2,Inputs!$D$2:$AG$2,0))))=0,"",SUMIFS(INDEX(Inputs!$D$4:$AG$250,0,MATCH(E$2,Inputs!$D$2:$AG$2,0)),Inputs!$B$4:$B$250,$B105)/1000)</f>
        <v>0</v>
      </c>
      <c r="F105" s="11">
        <f>IF(SUMPRODUCT((Inputs!$B$4:$B$250=$B105)*ISNUMBER(INDEX(Inputs!$D$4:$AG$250,0,MATCH(F$2,Inputs!$D$2:$AG$2,0))))=0,"",SUMIFS(INDEX(Inputs!$D$4:$AG$250,0,MATCH(F$2,Inputs!$D$2:$AG$2,0)),Inputs!$B$4:$B$250,$B105)/1000)</f>
        <v>0</v>
      </c>
      <c r="G105" s="11">
        <f>IF(SUMPRODUCT((Inputs!$B$4:$B$250=$B105)*ISNUMBER(INDEX(Inputs!$D$4:$AG$250,0,MATCH(G$2,Inputs!$D$2:$AG$2,0))))=0,"",SUMIFS(INDEX(Inputs!$D$4:$AG$250,0,MATCH(G$2,Inputs!$D$2:$AG$2,0)),Inputs!$B$4:$B$250,$B105)/1000)</f>
        <v>0</v>
      </c>
      <c r="H105" s="12">
        <f>IF(COUNT(D105:G105)=4,SUM(D105:G105),"")</f>
        <v>0</v>
      </c>
      <c r="I105" s="11">
        <f>IF(SUMPRODUCT((Inputs!$B$4:$B$250=$B105)*ISNUMBER(INDEX(Inputs!$D$4:$AG$250,0,MATCH(I$2,Inputs!$D$2:$AG$2,0))))=0,"",SUMIFS(INDEX(Inputs!$D$4:$AG$250,0,MATCH(I$2,Inputs!$D$2:$AG$2,0)),Inputs!$B$4:$B$250,$B105)/1000)</f>
        <v>0</v>
      </c>
      <c r="J105" s="11">
        <f>IF(SUMPRODUCT((Inputs!$B$4:$B$250=$B105)*ISNUMBER(INDEX(Inputs!$D$4:$AG$250,0,MATCH(J$2,Inputs!$D$2:$AG$2,0))))=0,"",SUMIFS(INDEX(Inputs!$D$4:$AG$250,0,MATCH(J$2,Inputs!$D$2:$AG$2,0)),Inputs!$B$4:$B$250,$B105)/1000)</f>
        <v>0</v>
      </c>
      <c r="K105" s="11">
        <f>IF(SUMPRODUCT((Inputs!$B$4:$B$250=$B105)*ISNUMBER(INDEX(Inputs!$D$4:$AG$250,0,MATCH(K$2,Inputs!$D$2:$AG$2,0))))=0,"",SUMIFS(INDEX(Inputs!$D$4:$AG$250,0,MATCH(K$2,Inputs!$D$2:$AG$2,0)),Inputs!$B$4:$B$250,$B105)/1000)</f>
        <v>0</v>
      </c>
      <c r="L105" s="11">
        <f>IF(SUMPRODUCT((Inputs!$B$4:$B$250=$B105)*ISNUMBER(INDEX(Inputs!$D$4:$AG$250,0,MATCH(L$2,Inputs!$D$2:$AG$2,0))))=0,"",SUMIFS(INDEX(Inputs!$D$4:$AG$250,0,MATCH(L$2,Inputs!$D$2:$AG$2,0)),Inputs!$B$4:$B$250,$B105)/1000)</f>
        <v>0</v>
      </c>
      <c r="M105" s="12">
        <f>IF(COUNT(I105:L105)=4,SUM(I105:L105),"")</f>
        <v>0</v>
      </c>
      <c r="N105" s="11">
        <f>IF(SUMPRODUCT((Inputs!$B$4:$B$250=$B105)*ISNUMBER(INDEX(Inputs!$D$4:$AG$250,0,MATCH(N$2,Inputs!$D$2:$AG$2,0))))=0,"",SUMIFS(INDEX(Inputs!$D$4:$AG$250,0,MATCH(N$2,Inputs!$D$2:$AG$2,0)),Inputs!$B$4:$B$250,$B105)/1000)</f>
        <v>0</v>
      </c>
      <c r="O105" s="11">
        <f>IF(SUMPRODUCT((Inputs!$B$4:$B$250=$B105)*ISNUMBER(INDEX(Inputs!$D$4:$AG$250,0,MATCH(O$2,Inputs!$D$2:$AG$2,0))))=0,"",SUMIFS(INDEX(Inputs!$D$4:$AG$250,0,MATCH(O$2,Inputs!$D$2:$AG$2,0)),Inputs!$B$4:$B$250,$B105)/1000)</f>
        <v>0</v>
      </c>
      <c r="P105" s="11">
        <f>IF(SUMPRODUCT((Inputs!$B$4:$B$250=$B105)*ISNUMBER(INDEX(Inputs!$D$4:$AG$250,0,MATCH(P$2,Inputs!$D$2:$AG$2,0))))=0,"",SUMIFS(INDEX(Inputs!$D$4:$AG$250,0,MATCH(P$2,Inputs!$D$2:$AG$2,0)),Inputs!$B$4:$B$250,$B105)/1000)</f>
        <v>2.631</v>
      </c>
      <c r="Q105" s="11">
        <f>IF(SUMPRODUCT((Inputs!$B$4:$B$250=$B105)*ISNUMBER(INDEX(Inputs!$D$4:$AG$250,0,MATCH(Q$2,Inputs!$D$2:$AG$2,0))))=0,"",SUMIFS(INDEX(Inputs!$D$4:$AG$250,0,MATCH(Q$2,Inputs!$D$2:$AG$2,0)),Inputs!$B$4:$B$250,$B105)/1000)</f>
        <v>2.721</v>
      </c>
      <c r="R105" s="12">
        <f>IF(COUNT(N105:Q105)=4,SUM(N105:Q105),"")</f>
        <v>5.352</v>
      </c>
      <c r="S105" s="11">
        <f>IF(SUMPRODUCT((Inputs!$B$4:$B$250=$B105)*ISNUMBER(INDEX(Inputs!$D$4:$AG$250,0,MATCH(S$2,Inputs!$D$2:$AG$2,0))))=0,"",SUMIFS(INDEX(Inputs!$D$4:$AG$250,0,MATCH(S$2,Inputs!$D$2:$AG$2,0)),Inputs!$B$4:$B$250,$B105)/1000)</f>
        <v>4.04</v>
      </c>
      <c r="T105" s="11">
        <f>IF(SUMPRODUCT((Inputs!$B$4:$B$250=$B105)*ISNUMBER(INDEX(Inputs!$D$4:$AG$250,0,MATCH(T$2,Inputs!$D$2:$AG$2,0))))=0,"",SUMIFS(INDEX(Inputs!$D$4:$AG$250,0,MATCH(T$2,Inputs!$D$2:$AG$2,0)),Inputs!$B$4:$B$250,$B105)/1000)</f>
        <v>4.359</v>
      </c>
      <c r="U105" s="11">
        <f>IF(SUMPRODUCT((Inputs!$B$4:$B$250=$B105)*ISNUMBER(INDEX(Inputs!$D$4:$AG$250,0,MATCH(U$2,Inputs!$D$2:$AG$2,0))))=0,"",SUMIFS(INDEX(Inputs!$D$4:$AG$250,0,MATCH(U$2,Inputs!$D$2:$AG$2,0)),Inputs!$B$4:$B$250,$B105)/1000)</f>
        <v>6.748</v>
      </c>
      <c r="V105" s="11">
        <f>IF(SUMPRODUCT((Inputs!$B$4:$B$250=$B105)*ISNUMBER(INDEX(Inputs!$D$4:$AG$250,0,MATCH(V$2,Inputs!$D$2:$AG$2,0))))=0,"",SUMIFS(INDEX(Inputs!$D$4:$AG$250,0,MATCH(V$2,Inputs!$D$2:$AG$2,0)),Inputs!$B$4:$B$250,$B105)/1000)</f>
        <v>5.317</v>
      </c>
      <c r="W105" s="12">
        <f>IF(COUNT(S105:V105)=4,SUM(S105:V105),"")</f>
        <v>20.464</v>
      </c>
      <c r="X105" s="11">
        <f>IF(SUMPRODUCT((Inputs!$B$4:$B$250=$B105)*ISNUMBER(INDEX(Inputs!$D$4:$AG$250,0,MATCH(X$2,Inputs!$D$2:$AG$2,0))))=0,"",SUMIFS(INDEX(Inputs!$D$4:$AG$250,0,MATCH(X$2,Inputs!$D$2:$AG$2,0)),Inputs!$B$4:$B$250,$B105)/1000)</f>
        <v>4.107</v>
      </c>
      <c r="Y105" s="11">
        <f>IF(SUMPRODUCT((Inputs!$B$4:$B$250=$B105)*ISNUMBER(INDEX(Inputs!$D$4:$AG$250,0,MATCH(Y$2,Inputs!$D$2:$AG$2,0))))=0,"",SUMIFS(INDEX(Inputs!$D$4:$AG$250,0,MATCH(Y$2,Inputs!$D$2:$AG$2,0)),Inputs!$B$4:$B$250,$B105)/1000)</f>
        <v>4.524</v>
      </c>
      <c r="Z105" s="11">
        <f>IF(SUMPRODUCT((Inputs!$B$4:$B$250=$B105)*ISNUMBER(INDEX(Inputs!$D$4:$AG$250,0,MATCH(Z$2,Inputs!$D$2:$AG$2,0))))=0,"",SUMIFS(INDEX(Inputs!$D$4:$AG$250,0,MATCH(Z$2,Inputs!$D$2:$AG$2,0)),Inputs!$B$4:$B$250,$B105)/1000)</f>
        <v>7.945</v>
      </c>
      <c r="AA105" s="11">
        <f>IF(SUMPRODUCT((Inputs!$B$4:$B$250=$B105)*ISNUMBER(INDEX(Inputs!$D$4:$AG$250,0,MATCH(AA$2,Inputs!$D$2:$AG$2,0))))=0,"",SUMIFS(INDEX(Inputs!$D$4:$AG$250,0,MATCH(AA$2,Inputs!$D$2:$AG$2,0)),Inputs!$B$4:$B$250,$B105)/1000)</f>
        <v>8.206</v>
      </c>
      <c r="AB105" s="12">
        <f>IF(COUNT(X105:AA105)=4,SUM(X105:AA105),"")</f>
        <v>24.782</v>
      </c>
      <c r="AC105" s="11">
        <f>IF(SUMPRODUCT((Inputs!$B$4:$B$250=$B105)*ISNUMBER(INDEX(Inputs!$D$4:$AG$250,0,MATCH(AC$2,Inputs!$D$2:$AG$2,0))))=0,"",SUMIFS(INDEX(Inputs!$D$4:$AG$250,0,MATCH(AC$2,Inputs!$D$2:$AG$2,0)),Inputs!$B$4:$B$250,$B105)/1000)</f>
        <v>5.473</v>
      </c>
      <c r="AD105" s="11">
        <f>IF(SUMPRODUCT((Inputs!$B$4:$B$250=$B105)*ISNUMBER(INDEX(Inputs!$D$4:$AG$250,0,MATCH(AD$2,Inputs!$D$2:$AG$2,0))))=0,"",SUMIFS(INDEX(Inputs!$D$4:$AG$250,0,MATCH(AD$2,Inputs!$D$2:$AG$2,0)),Inputs!$B$4:$B$250,$B105)/1000)</f>
        <v>5.461</v>
      </c>
      <c r="AE105" s="11" t="str">
        <f>IF(SUMPRODUCT((Inputs!$B$4:$B$250=$B105)*ISNUMBER(INDEX(Inputs!$D$4:$AG$250,0,MATCH(AE$2,Inputs!$D$2:$AG$2,0))))=0,"",SUMIFS(INDEX(Inputs!$D$4:$AG$250,0,MATCH(AE$2,Inputs!$D$2:$AG$2,0)),Inputs!$B$4:$B$250,$B105)/1000)</f>
        <v/>
      </c>
      <c r="AF105" s="11" t="str">
        <f>IF(SUMPRODUCT((Inputs!$B$4:$B$250=$B105)*ISNUMBER(INDEX(Inputs!$D$4:$AG$250,0,MATCH(AF$2,Inputs!$D$2:$AG$2,0))))=0,"",SUMIFS(INDEX(Inputs!$D$4:$AG$250,0,MATCH(AF$2,Inputs!$D$2:$AG$2,0)),Inputs!$B$4:$B$250,$B105)/1000)</f>
        <v/>
      </c>
      <c r="AG105" s="12" t="str">
        <f>IF(COUNT(AC105:AF105)=4,SUM(AC105:AF105),"")</f>
        <v/>
      </c>
    </row>
    <row r="106">
      <c r="B106" s="9" t="n">
        <v>98</v>
      </c>
      <c r="C106" s="10" t="inlineStr">
        <is>
          <t>Geracao | EAP II</t>
        </is>
      </c>
      <c r="D106" s="11">
        <f>IF(SUMPRODUCT((Inputs!$B$4:$B$250=$B106)*ISNUMBER(INDEX(Inputs!$D$4:$AG$250,0,MATCH(D$2,Inputs!$D$2:$AG$2,0))))=0,"",SUMIFS(INDEX(Inputs!$D$4:$AG$250,0,MATCH(D$2,Inputs!$D$2:$AG$2,0)),Inputs!$B$4:$B$250,$B106)/1000)</f>
        <v>0</v>
      </c>
      <c r="E106" s="11">
        <f>IF(SUMPRODUCT((Inputs!$B$4:$B$250=$B106)*ISNUMBER(INDEX(Inputs!$D$4:$AG$250,0,MATCH(E$2,Inputs!$D$2:$AG$2,0))))=0,"",SUMIFS(INDEX(Inputs!$D$4:$AG$250,0,MATCH(E$2,Inputs!$D$2:$AG$2,0)),Inputs!$B$4:$B$250,$B106)/1000)</f>
        <v>0</v>
      </c>
      <c r="F106" s="11">
        <f>IF(SUMPRODUCT((Inputs!$B$4:$B$250=$B106)*ISNUMBER(INDEX(Inputs!$D$4:$AG$250,0,MATCH(F$2,Inputs!$D$2:$AG$2,0))))=0,"",SUMIFS(INDEX(Inputs!$D$4:$AG$250,0,MATCH(F$2,Inputs!$D$2:$AG$2,0)),Inputs!$B$4:$B$250,$B106)/1000)</f>
        <v>0</v>
      </c>
      <c r="G106" s="11">
        <f>IF(SUMPRODUCT((Inputs!$B$4:$B$250=$B106)*ISNUMBER(INDEX(Inputs!$D$4:$AG$250,0,MATCH(G$2,Inputs!$D$2:$AG$2,0))))=0,"",SUMIFS(INDEX(Inputs!$D$4:$AG$250,0,MATCH(G$2,Inputs!$D$2:$AG$2,0)),Inputs!$B$4:$B$250,$B106)/1000)</f>
        <v>0</v>
      </c>
      <c r="H106" s="12">
        <f>IF(COUNT(D106:G106)=4,SUM(D106:G106),"")</f>
        <v>0</v>
      </c>
      <c r="I106" s="11">
        <f>IF(SUMPRODUCT((Inputs!$B$4:$B$250=$B106)*ISNUMBER(INDEX(Inputs!$D$4:$AG$250,0,MATCH(I$2,Inputs!$D$2:$AG$2,0))))=0,"",SUMIFS(INDEX(Inputs!$D$4:$AG$250,0,MATCH(I$2,Inputs!$D$2:$AG$2,0)),Inputs!$B$4:$B$250,$B106)/1000)</f>
        <v>0</v>
      </c>
      <c r="J106" s="11">
        <f>IF(SUMPRODUCT((Inputs!$B$4:$B$250=$B106)*ISNUMBER(INDEX(Inputs!$D$4:$AG$250,0,MATCH(J$2,Inputs!$D$2:$AG$2,0))))=0,"",SUMIFS(INDEX(Inputs!$D$4:$AG$250,0,MATCH(J$2,Inputs!$D$2:$AG$2,0)),Inputs!$B$4:$B$250,$B106)/1000)</f>
        <v>0</v>
      </c>
      <c r="K106" s="11">
        <f>IF(SUMPRODUCT((Inputs!$B$4:$B$250=$B106)*ISNUMBER(INDEX(Inputs!$D$4:$AG$250,0,MATCH(K$2,Inputs!$D$2:$AG$2,0))))=0,"",SUMIFS(INDEX(Inputs!$D$4:$AG$250,0,MATCH(K$2,Inputs!$D$2:$AG$2,0)),Inputs!$B$4:$B$250,$B106)/1000)</f>
        <v>0</v>
      </c>
      <c r="L106" s="11">
        <f>IF(SUMPRODUCT((Inputs!$B$4:$B$250=$B106)*ISNUMBER(INDEX(Inputs!$D$4:$AG$250,0,MATCH(L$2,Inputs!$D$2:$AG$2,0))))=0,"",SUMIFS(INDEX(Inputs!$D$4:$AG$250,0,MATCH(L$2,Inputs!$D$2:$AG$2,0)),Inputs!$B$4:$B$250,$B106)/1000)</f>
        <v>0</v>
      </c>
      <c r="M106" s="12">
        <f>IF(COUNT(I106:L106)=4,SUM(I106:L106),"")</f>
        <v>0</v>
      </c>
      <c r="N106" s="11">
        <f>IF(SUMPRODUCT((Inputs!$B$4:$B$250=$B106)*ISNUMBER(INDEX(Inputs!$D$4:$AG$250,0,MATCH(N$2,Inputs!$D$2:$AG$2,0))))=0,"",SUMIFS(INDEX(Inputs!$D$4:$AG$250,0,MATCH(N$2,Inputs!$D$2:$AG$2,0)),Inputs!$B$4:$B$250,$B106)/1000)</f>
        <v>0</v>
      </c>
      <c r="O106" s="11">
        <f>IF(SUMPRODUCT((Inputs!$B$4:$B$250=$B106)*ISNUMBER(INDEX(Inputs!$D$4:$AG$250,0,MATCH(O$2,Inputs!$D$2:$AG$2,0))))=0,"",SUMIFS(INDEX(Inputs!$D$4:$AG$250,0,MATCH(O$2,Inputs!$D$2:$AG$2,0)),Inputs!$B$4:$B$250,$B106)/1000)</f>
        <v>0</v>
      </c>
      <c r="P106" s="11">
        <f>IF(SUMPRODUCT((Inputs!$B$4:$B$250=$B106)*ISNUMBER(INDEX(Inputs!$D$4:$AG$250,0,MATCH(P$2,Inputs!$D$2:$AG$2,0))))=0,"",SUMIFS(INDEX(Inputs!$D$4:$AG$250,0,MATCH(P$2,Inputs!$D$2:$AG$2,0)),Inputs!$B$4:$B$250,$B106)/1000)</f>
        <v>1.492</v>
      </c>
      <c r="Q106" s="11">
        <f>IF(SUMPRODUCT((Inputs!$B$4:$B$250=$B106)*ISNUMBER(INDEX(Inputs!$D$4:$AG$250,0,MATCH(Q$2,Inputs!$D$2:$AG$2,0))))=0,"",SUMIFS(INDEX(Inputs!$D$4:$AG$250,0,MATCH(Q$2,Inputs!$D$2:$AG$2,0)),Inputs!$B$4:$B$250,$B106)/1000)</f>
        <v>5.126</v>
      </c>
      <c r="R106" s="12">
        <f>IF(COUNT(N106:Q106)=4,SUM(N106:Q106),"")</f>
        <v>6.618</v>
      </c>
      <c r="S106" s="11">
        <f>IF(SUMPRODUCT((Inputs!$B$4:$B$250=$B106)*ISNUMBER(INDEX(Inputs!$D$4:$AG$250,0,MATCH(S$2,Inputs!$D$2:$AG$2,0))))=0,"",SUMIFS(INDEX(Inputs!$D$4:$AG$250,0,MATCH(S$2,Inputs!$D$2:$AG$2,0)),Inputs!$B$4:$B$250,$B106)/1000)</f>
        <v>7.639</v>
      </c>
      <c r="T106" s="11">
        <f>IF(SUMPRODUCT((Inputs!$B$4:$B$250=$B106)*ISNUMBER(INDEX(Inputs!$D$4:$AG$250,0,MATCH(T$2,Inputs!$D$2:$AG$2,0))))=0,"",SUMIFS(INDEX(Inputs!$D$4:$AG$250,0,MATCH(T$2,Inputs!$D$2:$AG$2,0)),Inputs!$B$4:$B$250,$B106)/1000)</f>
        <v>8.083</v>
      </c>
      <c r="U106" s="11">
        <f>IF(SUMPRODUCT((Inputs!$B$4:$B$250=$B106)*ISNUMBER(INDEX(Inputs!$D$4:$AG$250,0,MATCH(U$2,Inputs!$D$2:$AG$2,0))))=0,"",SUMIFS(INDEX(Inputs!$D$4:$AG$250,0,MATCH(U$2,Inputs!$D$2:$AG$2,0)),Inputs!$B$4:$B$250,$B106)/1000)</f>
        <v>10.526</v>
      </c>
      <c r="V106" s="11">
        <f>IF(SUMPRODUCT((Inputs!$B$4:$B$250=$B106)*ISNUMBER(INDEX(Inputs!$D$4:$AG$250,0,MATCH(V$2,Inputs!$D$2:$AG$2,0))))=0,"",SUMIFS(INDEX(Inputs!$D$4:$AG$250,0,MATCH(V$2,Inputs!$D$2:$AG$2,0)),Inputs!$B$4:$B$250,$B106)/1000)</f>
        <v>7.265</v>
      </c>
      <c r="W106" s="12">
        <f>IF(COUNT(S106:V106)=4,SUM(S106:V106),"")</f>
        <v>33.513</v>
      </c>
      <c r="X106" s="11">
        <f>IF(SUMPRODUCT((Inputs!$B$4:$B$250=$B106)*ISNUMBER(INDEX(Inputs!$D$4:$AG$250,0,MATCH(X$2,Inputs!$D$2:$AG$2,0))))=0,"",SUMIFS(INDEX(Inputs!$D$4:$AG$250,0,MATCH(X$2,Inputs!$D$2:$AG$2,0)),Inputs!$B$4:$B$250,$B106)/1000)</f>
        <v>8.644</v>
      </c>
      <c r="Y106" s="11">
        <f>IF(SUMPRODUCT((Inputs!$B$4:$B$250=$B106)*ISNUMBER(INDEX(Inputs!$D$4:$AG$250,0,MATCH(Y$2,Inputs!$D$2:$AG$2,0))))=0,"",SUMIFS(INDEX(Inputs!$D$4:$AG$250,0,MATCH(Y$2,Inputs!$D$2:$AG$2,0)),Inputs!$B$4:$B$250,$B106)/1000)</f>
        <v>8.718</v>
      </c>
      <c r="Z106" s="11">
        <f>IF(SUMPRODUCT((Inputs!$B$4:$B$250=$B106)*ISNUMBER(INDEX(Inputs!$D$4:$AG$250,0,MATCH(Z$2,Inputs!$D$2:$AG$2,0))))=0,"",SUMIFS(INDEX(Inputs!$D$4:$AG$250,0,MATCH(Z$2,Inputs!$D$2:$AG$2,0)),Inputs!$B$4:$B$250,$B106)/1000)</f>
        <v>9.766</v>
      </c>
      <c r="AA106" s="11">
        <f>IF(SUMPRODUCT((Inputs!$B$4:$B$250=$B106)*ISNUMBER(INDEX(Inputs!$D$4:$AG$250,0,MATCH(AA$2,Inputs!$D$2:$AG$2,0))))=0,"",SUMIFS(INDEX(Inputs!$D$4:$AG$250,0,MATCH(AA$2,Inputs!$D$2:$AG$2,0)),Inputs!$B$4:$B$250,$B106)/1000)</f>
        <v>9.349</v>
      </c>
      <c r="AB106" s="12">
        <f>IF(COUNT(X106:AA106)=4,SUM(X106:AA106),"")</f>
        <v>36.477</v>
      </c>
      <c r="AC106" s="11">
        <f>IF(SUMPRODUCT((Inputs!$B$4:$B$250=$B106)*ISNUMBER(INDEX(Inputs!$D$4:$AG$250,0,MATCH(AC$2,Inputs!$D$2:$AG$2,0))))=0,"",SUMIFS(INDEX(Inputs!$D$4:$AG$250,0,MATCH(AC$2,Inputs!$D$2:$AG$2,0)),Inputs!$B$4:$B$250,$B106)/1000)</f>
        <v>15.151</v>
      </c>
      <c r="AD106" s="11">
        <f>IF(SUMPRODUCT((Inputs!$B$4:$B$250=$B106)*ISNUMBER(INDEX(Inputs!$D$4:$AG$250,0,MATCH(AD$2,Inputs!$D$2:$AG$2,0))))=0,"",SUMIFS(INDEX(Inputs!$D$4:$AG$250,0,MATCH(AD$2,Inputs!$D$2:$AG$2,0)),Inputs!$B$4:$B$250,$B106)/1000)</f>
        <v>15.028</v>
      </c>
      <c r="AE106" s="11" t="str">
        <f>IF(SUMPRODUCT((Inputs!$B$4:$B$250=$B106)*ISNUMBER(INDEX(Inputs!$D$4:$AG$250,0,MATCH(AE$2,Inputs!$D$2:$AG$2,0))))=0,"",SUMIFS(INDEX(Inputs!$D$4:$AG$250,0,MATCH(AE$2,Inputs!$D$2:$AG$2,0)),Inputs!$B$4:$B$250,$B106)/1000)</f>
        <v/>
      </c>
      <c r="AF106" s="11" t="str">
        <f>IF(SUMPRODUCT((Inputs!$B$4:$B$250=$B106)*ISNUMBER(INDEX(Inputs!$D$4:$AG$250,0,MATCH(AF$2,Inputs!$D$2:$AG$2,0))))=0,"",SUMIFS(INDEX(Inputs!$D$4:$AG$250,0,MATCH(AF$2,Inputs!$D$2:$AG$2,0)),Inputs!$B$4:$B$250,$B106)/1000)</f>
        <v/>
      </c>
      <c r="AG106" s="12" t="str">
        <f>IF(COUNT(AC106:AF106)=4,SUM(AC106:AF106),"")</f>
        <v/>
      </c>
    </row>
    <row r="107">
      <c r="B107" s="9" t="n">
        <v>99</v>
      </c>
      <c r="C107" s="10" t="inlineStr">
        <is>
          <t>Geracao | EAP IV</t>
        </is>
      </c>
      <c r="D107" s="11">
        <f>IF(SUMPRODUCT((Inputs!$B$4:$B$250=$B107)*ISNUMBER(INDEX(Inputs!$D$4:$AG$250,0,MATCH(D$2,Inputs!$D$2:$AG$2,0))))=0,"",SUMIFS(INDEX(Inputs!$D$4:$AG$250,0,MATCH(D$2,Inputs!$D$2:$AG$2,0)),Inputs!$B$4:$B$250,$B107)/1000)</f>
        <v>0</v>
      </c>
      <c r="E107" s="11">
        <f>IF(SUMPRODUCT((Inputs!$B$4:$B$250=$B107)*ISNUMBER(INDEX(Inputs!$D$4:$AG$250,0,MATCH(E$2,Inputs!$D$2:$AG$2,0))))=0,"",SUMIFS(INDEX(Inputs!$D$4:$AG$250,0,MATCH(E$2,Inputs!$D$2:$AG$2,0)),Inputs!$B$4:$B$250,$B107)/1000)</f>
        <v>0</v>
      </c>
      <c r="F107" s="11">
        <f>IF(SUMPRODUCT((Inputs!$B$4:$B$250=$B107)*ISNUMBER(INDEX(Inputs!$D$4:$AG$250,0,MATCH(F$2,Inputs!$D$2:$AG$2,0))))=0,"",SUMIFS(INDEX(Inputs!$D$4:$AG$250,0,MATCH(F$2,Inputs!$D$2:$AG$2,0)),Inputs!$B$4:$B$250,$B107)/1000)</f>
        <v>0</v>
      </c>
      <c r="G107" s="11">
        <f>IF(SUMPRODUCT((Inputs!$B$4:$B$250=$B107)*ISNUMBER(INDEX(Inputs!$D$4:$AG$250,0,MATCH(G$2,Inputs!$D$2:$AG$2,0))))=0,"",SUMIFS(INDEX(Inputs!$D$4:$AG$250,0,MATCH(G$2,Inputs!$D$2:$AG$2,0)),Inputs!$B$4:$B$250,$B107)/1000)</f>
        <v>0</v>
      </c>
      <c r="H107" s="12">
        <f>IF(COUNT(D107:G107)=4,SUM(D107:G107),"")</f>
        <v>0</v>
      </c>
      <c r="I107" s="11">
        <f>IF(SUMPRODUCT((Inputs!$B$4:$B$250=$B107)*ISNUMBER(INDEX(Inputs!$D$4:$AG$250,0,MATCH(I$2,Inputs!$D$2:$AG$2,0))))=0,"",SUMIFS(INDEX(Inputs!$D$4:$AG$250,0,MATCH(I$2,Inputs!$D$2:$AG$2,0)),Inputs!$B$4:$B$250,$B107)/1000)</f>
        <v>0</v>
      </c>
      <c r="J107" s="11">
        <f>IF(SUMPRODUCT((Inputs!$B$4:$B$250=$B107)*ISNUMBER(INDEX(Inputs!$D$4:$AG$250,0,MATCH(J$2,Inputs!$D$2:$AG$2,0))))=0,"",SUMIFS(INDEX(Inputs!$D$4:$AG$250,0,MATCH(J$2,Inputs!$D$2:$AG$2,0)),Inputs!$B$4:$B$250,$B107)/1000)</f>
        <v>0</v>
      </c>
      <c r="K107" s="11">
        <f>IF(SUMPRODUCT((Inputs!$B$4:$B$250=$B107)*ISNUMBER(INDEX(Inputs!$D$4:$AG$250,0,MATCH(K$2,Inputs!$D$2:$AG$2,0))))=0,"",SUMIFS(INDEX(Inputs!$D$4:$AG$250,0,MATCH(K$2,Inputs!$D$2:$AG$2,0)),Inputs!$B$4:$B$250,$B107)/1000)</f>
        <v>0</v>
      </c>
      <c r="L107" s="11">
        <f>IF(SUMPRODUCT((Inputs!$B$4:$B$250=$B107)*ISNUMBER(INDEX(Inputs!$D$4:$AG$250,0,MATCH(L$2,Inputs!$D$2:$AG$2,0))))=0,"",SUMIFS(INDEX(Inputs!$D$4:$AG$250,0,MATCH(L$2,Inputs!$D$2:$AG$2,0)),Inputs!$B$4:$B$250,$B107)/1000)</f>
        <v>0</v>
      </c>
      <c r="M107" s="12">
        <f>IF(COUNT(I107:L107)=4,SUM(I107:L107),"")</f>
        <v>0</v>
      </c>
      <c r="N107" s="11">
        <f>IF(SUMPRODUCT((Inputs!$B$4:$B$250=$B107)*ISNUMBER(INDEX(Inputs!$D$4:$AG$250,0,MATCH(N$2,Inputs!$D$2:$AG$2,0))))=0,"",SUMIFS(INDEX(Inputs!$D$4:$AG$250,0,MATCH(N$2,Inputs!$D$2:$AG$2,0)),Inputs!$B$4:$B$250,$B107)/1000)</f>
        <v>0</v>
      </c>
      <c r="O107" s="11">
        <f>IF(SUMPRODUCT((Inputs!$B$4:$B$250=$B107)*ISNUMBER(INDEX(Inputs!$D$4:$AG$250,0,MATCH(O$2,Inputs!$D$2:$AG$2,0))))=0,"",SUMIFS(INDEX(Inputs!$D$4:$AG$250,0,MATCH(O$2,Inputs!$D$2:$AG$2,0)),Inputs!$B$4:$B$250,$B107)/1000)</f>
        <v>0</v>
      </c>
      <c r="P107" s="11">
        <f>IF(SUMPRODUCT((Inputs!$B$4:$B$250=$B107)*ISNUMBER(INDEX(Inputs!$D$4:$AG$250,0,MATCH(P$2,Inputs!$D$2:$AG$2,0))))=0,"",SUMIFS(INDEX(Inputs!$D$4:$AG$250,0,MATCH(P$2,Inputs!$D$2:$AG$2,0)),Inputs!$B$4:$B$250,$B107)/1000)</f>
        <v>0</v>
      </c>
      <c r="Q107" s="11">
        <f>IF(SUMPRODUCT((Inputs!$B$4:$B$250=$B107)*ISNUMBER(INDEX(Inputs!$D$4:$AG$250,0,MATCH(Q$2,Inputs!$D$2:$AG$2,0))))=0,"",SUMIFS(INDEX(Inputs!$D$4:$AG$250,0,MATCH(Q$2,Inputs!$D$2:$AG$2,0)),Inputs!$B$4:$B$250,$B107)/1000)</f>
        <v>0</v>
      </c>
      <c r="R107" s="12">
        <f>IF(COUNT(N107:Q107)=4,SUM(N107:Q107),"")</f>
        <v>0</v>
      </c>
      <c r="S107" s="11">
        <f>IF(SUMPRODUCT((Inputs!$B$4:$B$250=$B107)*ISNUMBER(INDEX(Inputs!$D$4:$AG$250,0,MATCH(S$2,Inputs!$D$2:$AG$2,0))))=0,"",SUMIFS(INDEX(Inputs!$D$4:$AG$250,0,MATCH(S$2,Inputs!$D$2:$AG$2,0)),Inputs!$B$4:$B$250,$B107)/1000)</f>
        <v>0</v>
      </c>
      <c r="T107" s="11">
        <f>IF(SUMPRODUCT((Inputs!$B$4:$B$250=$B107)*ISNUMBER(INDEX(Inputs!$D$4:$AG$250,0,MATCH(T$2,Inputs!$D$2:$AG$2,0))))=0,"",SUMIFS(INDEX(Inputs!$D$4:$AG$250,0,MATCH(T$2,Inputs!$D$2:$AG$2,0)),Inputs!$B$4:$B$250,$B107)/1000)</f>
        <v>0</v>
      </c>
      <c r="U107" s="11">
        <f>IF(SUMPRODUCT((Inputs!$B$4:$B$250=$B107)*ISNUMBER(INDEX(Inputs!$D$4:$AG$250,0,MATCH(U$2,Inputs!$D$2:$AG$2,0))))=0,"",SUMIFS(INDEX(Inputs!$D$4:$AG$250,0,MATCH(U$2,Inputs!$D$2:$AG$2,0)),Inputs!$B$4:$B$250,$B107)/1000)</f>
        <v>0</v>
      </c>
      <c r="V107" s="11">
        <f>IF(SUMPRODUCT((Inputs!$B$4:$B$250=$B107)*ISNUMBER(INDEX(Inputs!$D$4:$AG$250,0,MATCH(V$2,Inputs!$D$2:$AG$2,0))))=0,"",SUMIFS(INDEX(Inputs!$D$4:$AG$250,0,MATCH(V$2,Inputs!$D$2:$AG$2,0)),Inputs!$B$4:$B$250,$B107)/1000)</f>
        <v>0</v>
      </c>
      <c r="W107" s="12">
        <f>IF(COUNT(S107:V107)=4,SUM(S107:V107),"")</f>
        <v>0</v>
      </c>
      <c r="X107" s="11">
        <f>IF(SUMPRODUCT((Inputs!$B$4:$B$250=$B107)*ISNUMBER(INDEX(Inputs!$D$4:$AG$250,0,MATCH(X$2,Inputs!$D$2:$AG$2,0))))=0,"",SUMIFS(INDEX(Inputs!$D$4:$AG$250,0,MATCH(X$2,Inputs!$D$2:$AG$2,0)),Inputs!$B$4:$B$250,$B107)/1000)</f>
        <v>0</v>
      </c>
      <c r="Y107" s="11">
        <f>IF(SUMPRODUCT((Inputs!$B$4:$B$250=$B107)*ISNUMBER(INDEX(Inputs!$D$4:$AG$250,0,MATCH(Y$2,Inputs!$D$2:$AG$2,0))))=0,"",SUMIFS(INDEX(Inputs!$D$4:$AG$250,0,MATCH(Y$2,Inputs!$D$2:$AG$2,0)),Inputs!$B$4:$B$250,$B107)/1000)</f>
        <v>0</v>
      </c>
      <c r="Z107" s="11">
        <f>IF(SUMPRODUCT((Inputs!$B$4:$B$250=$B107)*ISNUMBER(INDEX(Inputs!$D$4:$AG$250,0,MATCH(Z$2,Inputs!$D$2:$AG$2,0))))=0,"",SUMIFS(INDEX(Inputs!$D$4:$AG$250,0,MATCH(Z$2,Inputs!$D$2:$AG$2,0)),Inputs!$B$4:$B$250,$B107)/1000)</f>
        <v>0</v>
      </c>
      <c r="AA107" s="11">
        <f>IF(SUMPRODUCT((Inputs!$B$4:$B$250=$B107)*ISNUMBER(INDEX(Inputs!$D$4:$AG$250,0,MATCH(AA$2,Inputs!$D$2:$AG$2,0))))=0,"",SUMIFS(INDEX(Inputs!$D$4:$AG$250,0,MATCH(AA$2,Inputs!$D$2:$AG$2,0)),Inputs!$B$4:$B$250,$B107)/1000)</f>
        <v>13.379</v>
      </c>
      <c r="AB107" s="12">
        <f>IF(COUNT(X107:AA107)=4,SUM(X107:AA107),"")</f>
        <v>13.379</v>
      </c>
      <c r="AC107" s="11">
        <f>IF(SUMPRODUCT((Inputs!$B$4:$B$250=$B107)*ISNUMBER(INDEX(Inputs!$D$4:$AG$250,0,MATCH(AC$2,Inputs!$D$2:$AG$2,0))))=0,"",SUMIFS(INDEX(Inputs!$D$4:$AG$250,0,MATCH(AC$2,Inputs!$D$2:$AG$2,0)),Inputs!$B$4:$B$250,$B107)/1000)</f>
        <v>0</v>
      </c>
      <c r="AD107" s="11">
        <f>IF(SUMPRODUCT((Inputs!$B$4:$B$250=$B107)*ISNUMBER(INDEX(Inputs!$D$4:$AG$250,0,MATCH(AD$2,Inputs!$D$2:$AG$2,0))))=0,"",SUMIFS(INDEX(Inputs!$D$4:$AG$250,0,MATCH(AD$2,Inputs!$D$2:$AG$2,0)),Inputs!$B$4:$B$250,$B107)/1000)</f>
        <v>0</v>
      </c>
      <c r="AE107" s="11" t="str">
        <f>IF(SUMPRODUCT((Inputs!$B$4:$B$250=$B107)*ISNUMBER(INDEX(Inputs!$D$4:$AG$250,0,MATCH(AE$2,Inputs!$D$2:$AG$2,0))))=0,"",SUMIFS(INDEX(Inputs!$D$4:$AG$250,0,MATCH(AE$2,Inputs!$D$2:$AG$2,0)),Inputs!$B$4:$B$250,$B107)/1000)</f>
        <v/>
      </c>
      <c r="AF107" s="11" t="str">
        <f>IF(SUMPRODUCT((Inputs!$B$4:$B$250=$B107)*ISNUMBER(INDEX(Inputs!$D$4:$AG$250,0,MATCH(AF$2,Inputs!$D$2:$AG$2,0))))=0,"",SUMIFS(INDEX(Inputs!$D$4:$AG$250,0,MATCH(AF$2,Inputs!$D$2:$AG$2,0)),Inputs!$B$4:$B$250,$B107)/1000)</f>
        <v/>
      </c>
      <c r="AG107" s="12" t="str">
        <f>IF(COUNT(AC107:AF107)=4,SUM(AC107:AF107),"")</f>
        <v/>
      </c>
    </row>
    <row r="108">
      <c r="B108" s="9" t="n">
        <v>100</v>
      </c>
      <c r="C108" s="10" t="inlineStr">
        <is>
          <t>Geracao | UFV Pitombeira</t>
        </is>
      </c>
      <c r="D108" s="11" t="str">
        <f>IF(SUMPRODUCT((Inputs!$B$4:$B$250=$B108)*ISNUMBER(INDEX(Inputs!$D$4:$AG$250,0,MATCH(D$2,Inputs!$D$2:$AG$2,0))))=0,"",SUMIFS(INDEX(Inputs!$D$4:$AG$250,0,MATCH(D$2,Inputs!$D$2:$AG$2,0)),Inputs!$B$4:$B$250,$B108)/1000)</f>
        <v/>
      </c>
      <c r="E108" s="11" t="str">
        <f>IF(SUMPRODUCT((Inputs!$B$4:$B$250=$B108)*ISNUMBER(INDEX(Inputs!$D$4:$AG$250,0,MATCH(E$2,Inputs!$D$2:$AG$2,0))))=0,"",SUMIFS(INDEX(Inputs!$D$4:$AG$250,0,MATCH(E$2,Inputs!$D$2:$AG$2,0)),Inputs!$B$4:$B$250,$B108)/1000)</f>
        <v/>
      </c>
      <c r="F108" s="11" t="str">
        <f>IF(SUMPRODUCT((Inputs!$B$4:$B$250=$B108)*ISNUMBER(INDEX(Inputs!$D$4:$AG$250,0,MATCH(F$2,Inputs!$D$2:$AG$2,0))))=0,"",SUMIFS(INDEX(Inputs!$D$4:$AG$250,0,MATCH(F$2,Inputs!$D$2:$AG$2,0)),Inputs!$B$4:$B$250,$B108)/1000)</f>
        <v/>
      </c>
      <c r="G108" s="11">
        <f>IF(SUMPRODUCT((Inputs!$B$4:$B$250=$B108)*ISNUMBER(INDEX(Inputs!$D$4:$AG$250,0,MATCH(G$2,Inputs!$D$2:$AG$2,0))))=0,"",SUMIFS(INDEX(Inputs!$D$4:$AG$250,0,MATCH(G$2,Inputs!$D$2:$AG$2,0)),Inputs!$B$4:$B$250,$B108)/1000)</f>
        <v>0</v>
      </c>
      <c r="H108" s="12" t="str">
        <f>IF(COUNT(D108:G108)=4,SUM(D108:G108),"")</f>
        <v/>
      </c>
      <c r="I108" s="11">
        <f>IF(SUMPRODUCT((Inputs!$B$4:$B$250=$B108)*ISNUMBER(INDEX(Inputs!$D$4:$AG$250,0,MATCH(I$2,Inputs!$D$2:$AG$2,0))))=0,"",SUMIFS(INDEX(Inputs!$D$4:$AG$250,0,MATCH(I$2,Inputs!$D$2:$AG$2,0)),Inputs!$B$4:$B$250,$B108)/1000)</f>
        <v>0</v>
      </c>
      <c r="J108" s="11">
        <f>IF(SUMPRODUCT((Inputs!$B$4:$B$250=$B108)*ISNUMBER(INDEX(Inputs!$D$4:$AG$250,0,MATCH(J$2,Inputs!$D$2:$AG$2,0))))=0,"",SUMIFS(INDEX(Inputs!$D$4:$AG$250,0,MATCH(J$2,Inputs!$D$2:$AG$2,0)),Inputs!$B$4:$B$250,$B108)/1000)</f>
        <v>0</v>
      </c>
      <c r="K108" s="11">
        <f>IF(SUMPRODUCT((Inputs!$B$4:$B$250=$B108)*ISNUMBER(INDEX(Inputs!$D$4:$AG$250,0,MATCH(K$2,Inputs!$D$2:$AG$2,0))))=0,"",SUMIFS(INDEX(Inputs!$D$4:$AG$250,0,MATCH(K$2,Inputs!$D$2:$AG$2,0)),Inputs!$B$4:$B$250,$B108)/1000)</f>
        <v>0</v>
      </c>
      <c r="L108" s="11">
        <f>IF(SUMPRODUCT((Inputs!$B$4:$B$250=$B108)*ISNUMBER(INDEX(Inputs!$D$4:$AG$250,0,MATCH(L$2,Inputs!$D$2:$AG$2,0))))=0,"",SUMIFS(INDEX(Inputs!$D$4:$AG$250,0,MATCH(L$2,Inputs!$D$2:$AG$2,0)),Inputs!$B$4:$B$250,$B108)/1000)</f>
        <v>0</v>
      </c>
      <c r="M108" s="12">
        <f>IF(COUNT(I108:L108)=4,SUM(I108:L108),"")</f>
        <v>0</v>
      </c>
      <c r="N108" s="11">
        <f>IF(SUMPRODUCT((Inputs!$B$4:$B$250=$B108)*ISNUMBER(INDEX(Inputs!$D$4:$AG$250,0,MATCH(N$2,Inputs!$D$2:$AG$2,0))))=0,"",SUMIFS(INDEX(Inputs!$D$4:$AG$250,0,MATCH(N$2,Inputs!$D$2:$AG$2,0)),Inputs!$B$4:$B$250,$B108)/1000)</f>
        <v>0</v>
      </c>
      <c r="O108" s="11">
        <f>IF(SUMPRODUCT((Inputs!$B$4:$B$250=$B108)*ISNUMBER(INDEX(Inputs!$D$4:$AG$250,0,MATCH(O$2,Inputs!$D$2:$AG$2,0))))=0,"",SUMIFS(INDEX(Inputs!$D$4:$AG$250,0,MATCH(O$2,Inputs!$D$2:$AG$2,0)),Inputs!$B$4:$B$250,$B108)/1000)</f>
        <v>0</v>
      </c>
      <c r="P108" s="11">
        <f>IF(SUMPRODUCT((Inputs!$B$4:$B$250=$B108)*ISNUMBER(INDEX(Inputs!$D$4:$AG$250,0,MATCH(P$2,Inputs!$D$2:$AG$2,0))))=0,"",SUMIFS(INDEX(Inputs!$D$4:$AG$250,0,MATCH(P$2,Inputs!$D$2:$AG$2,0)),Inputs!$B$4:$B$250,$B108)/1000)</f>
        <v>0</v>
      </c>
      <c r="Q108" s="11">
        <f>IF(SUMPRODUCT((Inputs!$B$4:$B$250=$B108)*ISNUMBER(INDEX(Inputs!$D$4:$AG$250,0,MATCH(Q$2,Inputs!$D$2:$AG$2,0))))=0,"",SUMIFS(INDEX(Inputs!$D$4:$AG$250,0,MATCH(Q$2,Inputs!$D$2:$AG$2,0)),Inputs!$B$4:$B$250,$B108)/1000)</f>
        <v>0.046</v>
      </c>
      <c r="R108" s="12">
        <f>IF(COUNT(N108:Q108)=4,SUM(N108:Q108),"")</f>
        <v>0.046</v>
      </c>
      <c r="S108" s="11">
        <f>IF(SUMPRODUCT((Inputs!$B$4:$B$250=$B108)*ISNUMBER(INDEX(Inputs!$D$4:$AG$250,0,MATCH(S$2,Inputs!$D$2:$AG$2,0))))=0,"",SUMIFS(INDEX(Inputs!$D$4:$AG$250,0,MATCH(S$2,Inputs!$D$2:$AG$2,0)),Inputs!$B$4:$B$250,$B108)/1000)</f>
        <v>1.68</v>
      </c>
      <c r="T108" s="11">
        <f>IF(SUMPRODUCT((Inputs!$B$4:$B$250=$B108)*ISNUMBER(INDEX(Inputs!$D$4:$AG$250,0,MATCH(T$2,Inputs!$D$2:$AG$2,0))))=0,"",SUMIFS(INDEX(Inputs!$D$4:$AG$250,0,MATCH(T$2,Inputs!$D$2:$AG$2,0)),Inputs!$B$4:$B$250,$B108)/1000)</f>
        <v>1.922</v>
      </c>
      <c r="U108" s="11">
        <f>IF(SUMPRODUCT((Inputs!$B$4:$B$250=$B108)*ISNUMBER(INDEX(Inputs!$D$4:$AG$250,0,MATCH(U$2,Inputs!$D$2:$AG$2,0))))=0,"",SUMIFS(INDEX(Inputs!$D$4:$AG$250,0,MATCH(U$2,Inputs!$D$2:$AG$2,0)),Inputs!$B$4:$B$250,$B108)/1000)</f>
        <v>5.14</v>
      </c>
      <c r="V108" s="11">
        <f>IF(SUMPRODUCT((Inputs!$B$4:$B$250=$B108)*ISNUMBER(INDEX(Inputs!$D$4:$AG$250,0,MATCH(V$2,Inputs!$D$2:$AG$2,0))))=0,"",SUMIFS(INDEX(Inputs!$D$4:$AG$250,0,MATCH(V$2,Inputs!$D$2:$AG$2,0)),Inputs!$B$4:$B$250,$B108)/1000)</f>
        <v>6.823</v>
      </c>
      <c r="W108" s="12">
        <f>IF(COUNT(S108:V108)=4,SUM(S108:V108),"")</f>
        <v>15.565</v>
      </c>
      <c r="X108" s="11">
        <f>IF(SUMPRODUCT((Inputs!$B$4:$B$250=$B108)*ISNUMBER(INDEX(Inputs!$D$4:$AG$250,0,MATCH(X$2,Inputs!$D$2:$AG$2,0))))=0,"",SUMIFS(INDEX(Inputs!$D$4:$AG$250,0,MATCH(X$2,Inputs!$D$2:$AG$2,0)),Inputs!$B$4:$B$250,$B108)/1000)</f>
        <v>5.728</v>
      </c>
      <c r="Y108" s="11">
        <f>IF(SUMPRODUCT((Inputs!$B$4:$B$250=$B108)*ISNUMBER(INDEX(Inputs!$D$4:$AG$250,0,MATCH(Y$2,Inputs!$D$2:$AG$2,0))))=0,"",SUMIFS(INDEX(Inputs!$D$4:$AG$250,0,MATCH(Y$2,Inputs!$D$2:$AG$2,0)),Inputs!$B$4:$B$250,$B108)/1000)</f>
        <v>6.613</v>
      </c>
      <c r="Z108" s="11">
        <f>IF(SUMPRODUCT((Inputs!$B$4:$B$250=$B108)*ISNUMBER(INDEX(Inputs!$D$4:$AG$250,0,MATCH(Z$2,Inputs!$D$2:$AG$2,0))))=0,"",SUMIFS(INDEX(Inputs!$D$4:$AG$250,0,MATCH(Z$2,Inputs!$D$2:$AG$2,0)),Inputs!$B$4:$B$250,$B108)/1000)</f>
        <v>9.452</v>
      </c>
      <c r="AA108" s="11">
        <f>IF(SUMPRODUCT((Inputs!$B$4:$B$250=$B108)*ISNUMBER(INDEX(Inputs!$D$4:$AG$250,0,MATCH(AA$2,Inputs!$D$2:$AG$2,0))))=0,"",SUMIFS(INDEX(Inputs!$D$4:$AG$250,0,MATCH(AA$2,Inputs!$D$2:$AG$2,0)),Inputs!$B$4:$B$250,$B108)/1000)</f>
        <v>12.013</v>
      </c>
      <c r="AB108" s="12">
        <f>IF(COUNT(X108:AA108)=4,SUM(X108:AA108),"")</f>
        <v>33.806</v>
      </c>
      <c r="AC108" s="11">
        <f>IF(SUMPRODUCT((Inputs!$B$4:$B$250=$B108)*ISNUMBER(INDEX(Inputs!$D$4:$AG$250,0,MATCH(AC$2,Inputs!$D$2:$AG$2,0))))=0,"",SUMIFS(INDEX(Inputs!$D$4:$AG$250,0,MATCH(AC$2,Inputs!$D$2:$AG$2,0)),Inputs!$B$4:$B$250,$B108)/1000)</f>
        <v>12.872</v>
      </c>
      <c r="AD108" s="11">
        <f>IF(SUMPRODUCT((Inputs!$B$4:$B$250=$B108)*ISNUMBER(INDEX(Inputs!$D$4:$AG$250,0,MATCH(AD$2,Inputs!$D$2:$AG$2,0))))=0,"",SUMIFS(INDEX(Inputs!$D$4:$AG$250,0,MATCH(AD$2,Inputs!$D$2:$AG$2,0)),Inputs!$B$4:$B$250,$B108)/1000)</f>
        <v>9.481</v>
      </c>
      <c r="AE108" s="11" t="str">
        <f>IF(SUMPRODUCT((Inputs!$B$4:$B$250=$B108)*ISNUMBER(INDEX(Inputs!$D$4:$AG$250,0,MATCH(AE$2,Inputs!$D$2:$AG$2,0))))=0,"",SUMIFS(INDEX(Inputs!$D$4:$AG$250,0,MATCH(AE$2,Inputs!$D$2:$AG$2,0)),Inputs!$B$4:$B$250,$B108)/1000)</f>
        <v/>
      </c>
      <c r="AF108" s="11" t="str">
        <f>IF(SUMPRODUCT((Inputs!$B$4:$B$250=$B108)*ISNUMBER(INDEX(Inputs!$D$4:$AG$250,0,MATCH(AF$2,Inputs!$D$2:$AG$2,0))))=0,"",SUMIFS(INDEX(Inputs!$D$4:$AG$250,0,MATCH(AF$2,Inputs!$D$2:$AG$2,0)),Inputs!$B$4:$B$250,$B108)/1000)</f>
        <v/>
      </c>
      <c r="AG108" s="12" t="str">
        <f>IF(COUNT(AC108:AF108)=4,SUM(AC108:AF108),"")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9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609.436464653144</v>
      </c>
      <c r="AK1" s="12">
        <f>IF(AK2="","",SUM(AK2,AK3))</f>
        <v>736.154065043461</v>
      </c>
      <c r="AL1" s="12">
        <f>IF(AL2="","",SUM(AL2,AL3))</f>
        <v>1960.28352969661</v>
      </c>
      <c r="AM1" s="12">
        <f>IF(AM2="","",SUM(AM2,AM3))</f>
        <v>794.339930736449</v>
      </c>
      <c r="AN1" s="12">
        <f>IF(AN2="","",SUM(AN2,AN3))</f>
        <v>1029.45318837756</v>
      </c>
      <c r="AO1" s="12">
        <f>IF(AO2="","",SUM(AO2,AO3))</f>
        <v>708.922137762853</v>
      </c>
      <c r="AP1" s="12">
        <f>IF(AP2="","",SUM(AP2,AP3))</f>
        <v>856.325382188029</v>
      </c>
      <c r="AQ1" s="12">
        <f>IF(AQ2="","",SUM(AQ2,AQ3))</f>
        <v>3389.0406390649</v>
      </c>
      <c r="AR1" s="12">
        <f>IF(AR2="","",SUM(AR2,AR3))</f>
        <v>920.037929682459</v>
      </c>
      <c r="AS1" s="12">
        <f>IF(AS2="","",SUM(AS2,AS3))</f>
        <v>1192.35599708779</v>
      </c>
      <c r="AT1" s="12">
        <f>IF(AT2="","",SUM(AT2,AT3))</f>
        <v>821.103447901326</v>
      </c>
      <c r="AU1" s="12">
        <f>IF(AU2="","",SUM(AU2,AU3))</f>
        <v>991.832087595522</v>
      </c>
      <c r="AV1" s="12">
        <f>IF(AV2="","",SUM(AV2,AV3))</f>
        <v>3925.32946226709</v>
      </c>
      <c r="AW1" s="12">
        <f>IF(AW2="","",SUM(AW2,AW3))</f>
        <v>1061.02645116468</v>
      </c>
      <c r="AX1" s="12">
        <f>IF(AX2="","",SUM(AX2,AX3))</f>
        <v>1375.07510429664</v>
      </c>
      <c r="AY1" s="12">
        <f>IF(AY2="","",SUM(AY2,AY3))</f>
        <v>946.931044100013</v>
      </c>
      <c r="AZ1" s="12">
        <f>IF(AZ2="","",SUM(AZ2,AZ3))</f>
        <v>1143.82249481382</v>
      </c>
      <c r="BA1" s="12">
        <f>IF(BA2="","",SUM(BA2,BA3))</f>
        <v>4526.85509437515</v>
      </c>
      <c r="BB1" s="12">
        <f>IF(BB2="","",SUM(BB2,BB3))</f>
        <v>1218.31521398323</v>
      </c>
      <c r="BC1" s="12">
        <f>IF(BC2="","",SUM(BC2,BC3))</f>
        <v>1578.91909112656</v>
      </c>
      <c r="BD1" s="12">
        <f>IF(BD2="","",SUM(BD2,BD3))</f>
        <v>1087.30606702001</v>
      </c>
      <c r="BE1" s="12">
        <f>IF(BE2="","",SUM(BE2,BE3))</f>
        <v>1313.38511495002</v>
      </c>
      <c r="BF1" s="12">
        <f>IF(BF2="","",SUM(BF2,BF3))</f>
        <v>5197.92548707983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IF(COUNT(I294,I370)&lt;2,"",ABS(I294-I370))</f>
        <v>0</v>
      </c>
      <c r="J2" s="12">
        <f>IF(COUNT(J294,J370)&lt;2,"",ABS(J294-J370))</f>
        <v>0</v>
      </c>
      <c r="K2" s="12">
        <f>IF(COUNT(K294,K370)&lt;2,"",ABS(K294-K370))</f>
        <v>0</v>
      </c>
      <c r="L2" s="12">
        <f>IF(COUNT(L294,L370)&lt;2,"",ABS(L294-L370))</f>
        <v>0</v>
      </c>
      <c r="M2" s="12">
        <f>IF(COUNT(M294,M370)&lt;2,"",ABS(M294-M370))</f>
        <v>0</v>
      </c>
      <c r="N2" s="12">
        <f>IF(COUNT(N294,N370)&lt;2,"",ABS(N294-N370))</f>
        <v>0</v>
      </c>
      <c r="O2" s="12">
        <f>IF(COUNT(O294,O370)&lt;2,"",ABS(O294-O370))</f>
        <v>0</v>
      </c>
      <c r="P2" s="12">
        <f>IF(COUNT(P294,P370)&lt;2,"",ABS(P294-P370))</f>
        <v>0</v>
      </c>
      <c r="Q2" s="12">
        <f>IF(COUNT(Q294,Q370)&lt;2,"",ABS(Q294-Q370))</f>
        <v>0</v>
      </c>
      <c r="R2" s="12">
        <f>IF(COUNT(R294,R370)&lt;2,"",ABS(R294-R370))</f>
        <v>0</v>
      </c>
      <c r="S2" s="12">
        <f>IF(COUNT(S294,S370)&lt;2,"",ABS(S294-S370))</f>
        <v>0</v>
      </c>
      <c r="T2" s="12">
        <f>IF(COUNT(T294,T370)&lt;2,"",ABS(T294-T370))</f>
        <v>0</v>
      </c>
      <c r="U2" s="12">
        <f>IF(COUNT(U294,U370)&lt;2,"",ABS(U294-U370))</f>
        <v>0</v>
      </c>
      <c r="V2" s="12">
        <f>IF(COUNT(V294,V370)&lt;2,"",ABS(V294-V370))</f>
        <v>0</v>
      </c>
      <c r="W2" s="12">
        <f>IF(COUNT(W294,W370)&lt;2,"",ABS(W294-W370))</f>
        <v>0</v>
      </c>
      <c r="X2" s="12">
        <f>IF(COUNT(X294,X370)&lt;2,"",ABS(X294-X370))</f>
        <v>0</v>
      </c>
      <c r="Y2" s="12">
        <f>IF(COUNT(Y294,Y370)&lt;2,"",ABS(Y294-Y370))</f>
        <v>0</v>
      </c>
      <c r="Z2" s="12">
        <f>IF(COUNT(Z294,Z370)&lt;2,"",ABS(Z294-Z370))</f>
        <v>0</v>
      </c>
      <c r="AA2" s="12">
        <f>IF(COUNT(AA294,AA370)&lt;2,"",ABS(AA294-AA370))</f>
        <v>0</v>
      </c>
      <c r="AB2" s="12">
        <f>IF(COUNT(AB294,AB370)&lt;2,"",ABS(AB294-AB370))</f>
        <v>0</v>
      </c>
      <c r="AC2" s="12">
        <f>IF(COUNT(AC294,AC370)&lt;2,"",ABS(AC294-AC370))</f>
        <v>0</v>
      </c>
      <c r="AD2" s="12">
        <f>IF(COUNT(AD294,AD370)&lt;2,"",ABS(AD294-AD370))</f>
        <v>0</v>
      </c>
      <c r="AE2" s="12">
        <f>IF(COUNT(AE294,AE370)&lt;2,"",ABS(AE294-AE370))</f>
        <v>0</v>
      </c>
      <c r="AF2" s="12">
        <f>IF(COUNT(AF294,AF370)&lt;2,"",ABS(AF294-AF370))</f>
        <v>0</v>
      </c>
      <c r="AG2" s="12">
        <f>IF(COUNT(AG294,AG370)&lt;2,"",ABS(AG294-AG370))</f>
        <v>0</v>
      </c>
      <c r="AH2" s="12">
        <f>IF(COUNT(AH294,AH370)&lt;2,"",ABS(AH294-AH370))</f>
        <v>0</v>
      </c>
      <c r="AI2" s="12">
        <f>IF(COUNT(AI294,AI370)&lt;2,"",ABS(AI294-AI370))</f>
        <v>0</v>
      </c>
      <c r="AJ2" s="12">
        <f>IF(COUNT(AJ294,AJ370)&lt;2,"",ABS(AJ294-AJ370))</f>
        <v>0</v>
      </c>
      <c r="AK2" s="12">
        <f>IF(COUNT(AK294,AK370)&lt;2,"",ABS(AK294-AK370))</f>
        <v>0</v>
      </c>
      <c r="AL2" s="12">
        <f>IF(COUNT(AL294,AL370)&lt;2,"",ABS(AL294-AL370))</f>
        <v>0</v>
      </c>
      <c r="AM2" s="12">
        <f>IF(COUNT(AM294,AM370)&lt;2,"",ABS(AM294-AM370))</f>
        <v>0</v>
      </c>
      <c r="AN2" s="12">
        <f>IF(COUNT(AN294,AN370)&lt;2,"",ABS(AN294-AN370))</f>
        <v>0</v>
      </c>
      <c r="AO2" s="12">
        <f>IF(COUNT(AO294,AO370)&lt;2,"",ABS(AO294-AO370))</f>
        <v>0</v>
      </c>
      <c r="AP2" s="12">
        <f>IF(COUNT(AP294,AP370)&lt;2,"",ABS(AP294-AP370))</f>
        <v>0</v>
      </c>
      <c r="AQ2" s="12">
        <f>IF(COUNT(AQ294,AQ370)&lt;2,"",ABS(AQ294-AQ370))</f>
        <v>0</v>
      </c>
      <c r="AR2" s="12">
        <f>IF(COUNT(AR294,AR370)&lt;2,"",ABS(AR294-AR370))</f>
        <v>0</v>
      </c>
      <c r="AS2" s="12">
        <f>IF(COUNT(AS294,AS370)&lt;2,"",ABS(AS294-AS370))</f>
        <v>0</v>
      </c>
      <c r="AT2" s="12">
        <f>IF(COUNT(AT294,AT370)&lt;2,"",ABS(AT294-AT370))</f>
        <v>0</v>
      </c>
      <c r="AU2" s="12">
        <f>IF(COUNT(AU294,AU370)&lt;2,"",ABS(AU294-AU370))</f>
        <v>0</v>
      </c>
      <c r="AV2" s="12">
        <f>IF(COUNT(AV294,AV370)&lt;2,"",ABS(AV294-AV370))</f>
        <v>0</v>
      </c>
      <c r="AW2" s="12">
        <f>IF(COUNT(AW294,AW370)&lt;2,"",ABS(AW294-AW370))</f>
        <v>0</v>
      </c>
      <c r="AX2" s="12">
        <f>IF(COUNT(AX294,AX370)&lt;2,"",ABS(AX294-AX370))</f>
        <v>0</v>
      </c>
      <c r="AY2" s="12">
        <f>IF(COUNT(AY294,AY370)&lt;2,"",ABS(AY294-AY370))</f>
        <v>0</v>
      </c>
      <c r="AZ2" s="12">
        <f>IF(COUNT(AZ294,AZ370)&lt;2,"",ABS(AZ294-AZ370))</f>
        <v>0</v>
      </c>
      <c r="BA2" s="12">
        <f>IF(COUNT(BA294,BA370)&lt;2,"",ABS(BA294-BA370))</f>
        <v>0</v>
      </c>
      <c r="BB2" s="12">
        <f>IF(COUNT(BB294,BB370)&lt;2,"",ABS(BB294-BB370))</f>
        <v>0</v>
      </c>
      <c r="BC2" s="12">
        <f>IF(COUNT(BC294,BC370)&lt;2,"",ABS(BC294-BC370))</f>
        <v>0</v>
      </c>
      <c r="BD2" s="12">
        <f>IF(COUNT(BD294,BD370)&lt;2,"",ABS(BD294-BD370))</f>
        <v>0</v>
      </c>
      <c r="BE2" s="12">
        <f>IF(COUNT(BE294,BE370)&lt;2,"",ABS(BE294-BE370))</f>
        <v>0</v>
      </c>
      <c r="BF2" s="12">
        <f>IF(COUNT(BF294,BF370)&lt;2,"",ABS(BF294-BF370))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IF(COUNT(I234,I4)&lt;2,"",ABS(I234-I4))</f>
        <v>0</v>
      </c>
      <c r="J3" s="12">
        <f>IF(COUNT(J234,J4)&lt;2,"",ABS(J234-J4))</f>
        <v>0</v>
      </c>
      <c r="K3" s="12">
        <f>IF(COUNT(K234,K4)&lt;2,"",ABS(K234-K4))</f>
        <v>0</v>
      </c>
      <c r="L3" s="12">
        <f>IF(COUNT(L234,L4)&lt;2,"",ABS(L234-L4))</f>
        <v>0</v>
      </c>
      <c r="M3" s="12">
        <f>IF(COUNT(M234,M4)&lt;2,"",ABS(M234-M4))</f>
        <v>0</v>
      </c>
      <c r="N3" s="12">
        <f>IF(COUNT(N234,N4)&lt;2,"",ABS(N234-N4))</f>
        <v>0</v>
      </c>
      <c r="O3" s="12">
        <f>IF(COUNT(O234,O4)&lt;2,"",ABS(O234-O4))</f>
        <v>0</v>
      </c>
      <c r="P3" s="12">
        <f>IF(COUNT(P234,P4)&lt;2,"",ABS(P234-P4))</f>
        <v>0</v>
      </c>
      <c r="Q3" s="12">
        <f>IF(COUNT(Q234,Q4)&lt;2,"",ABS(Q234-Q4))</f>
        <v>0</v>
      </c>
      <c r="R3" s="12">
        <f>IF(COUNT(R234,R4)&lt;2,"",ABS(R234-R4))</f>
        <v>0</v>
      </c>
      <c r="S3" s="12">
        <f>IF(COUNT(S234,S4)&lt;2,"",ABS(S234-S4))</f>
        <v>0</v>
      </c>
      <c r="T3" s="12">
        <f>IF(COUNT(T234,T4)&lt;2,"",ABS(T234-T4))</f>
        <v>0</v>
      </c>
      <c r="U3" s="12">
        <f>IF(COUNT(U234,U4)&lt;2,"",ABS(U234-U4))</f>
        <v>0</v>
      </c>
      <c r="V3" s="12">
        <f>IF(COUNT(V234,V4)&lt;2,"",ABS(V234-V4))</f>
        <v>0</v>
      </c>
      <c r="W3" s="12">
        <f>IF(COUNT(W234,W4)&lt;2,"",ABS(W234-W4))</f>
        <v>0</v>
      </c>
      <c r="X3" s="12">
        <f>IF(COUNT(X234,X4)&lt;2,"",ABS(X234-X4))</f>
        <v>0</v>
      </c>
      <c r="Y3" s="12">
        <f>IF(COUNT(Y234,Y4)&lt;2,"",ABS(Y234-Y4))</f>
        <v>0</v>
      </c>
      <c r="Z3" s="12">
        <f>IF(COUNT(Z234,Z4)&lt;2,"",ABS(Z234-Z4))</f>
        <v>0</v>
      </c>
      <c r="AA3" s="12">
        <f>IF(COUNT(AA234,AA4)&lt;2,"",ABS(AA234-AA4))</f>
        <v>0</v>
      </c>
      <c r="AB3" s="12">
        <f>IF(COUNT(AB234,AB4)&lt;2,"",ABS(AB234-AB4))</f>
        <v>0</v>
      </c>
      <c r="AC3" s="12">
        <f>IF(COUNT(AC234,AC4)&lt;2,"",ABS(AC234-AC4))</f>
        <v>0</v>
      </c>
      <c r="AD3" s="12">
        <f>IF(COUNT(AD234,AD4)&lt;2,"",ABS(AD234-AD4))</f>
        <v>0</v>
      </c>
      <c r="AE3" s="12">
        <f>IF(COUNT(AE234,AE4)&lt;2,"",ABS(AE234-AE4))</f>
        <v>0</v>
      </c>
      <c r="AF3" s="12">
        <f>IF(COUNT(AF234,AF4)&lt;2,"",ABS(AF234-AF4))</f>
        <v>0</v>
      </c>
      <c r="AG3" s="12">
        <f>IF(COUNT(AG234,AG4)&lt;2,"",ABS(AG234-AG4))</f>
        <v>0</v>
      </c>
      <c r="AH3" s="12">
        <f>IF(COUNT(AH234,AH4)&lt;2,"",ABS(AH234-AH4))</f>
        <v>0</v>
      </c>
      <c r="AI3" s="12">
        <f>IF(COUNT(AI234,AI4)&lt;2,"",ABS(AI234-AI4))</f>
        <v>0</v>
      </c>
      <c r="AJ3" s="12">
        <f>ABS(AJ234-AJ4)</f>
        <v>609.436464653144</v>
      </c>
      <c r="AK3" s="12">
        <f>ABS(AK234-AK4)</f>
        <v>736.154065043461</v>
      </c>
      <c r="AL3" s="12">
        <f>ABS(AL234-AL4)</f>
        <v>1960.28352969661</v>
      </c>
      <c r="AM3" s="12">
        <f>ABS(AM234-AM4)</f>
        <v>794.339930736449</v>
      </c>
      <c r="AN3" s="12">
        <f>ABS(AN234-AN4)</f>
        <v>1029.45318837756</v>
      </c>
      <c r="AO3" s="12">
        <f>ABS(AO234-AO4)</f>
        <v>708.922137762853</v>
      </c>
      <c r="AP3" s="12">
        <f>ABS(AP234-AP4)</f>
        <v>856.325382188029</v>
      </c>
      <c r="AQ3" s="12">
        <f>ABS(AQ234-AQ4)</f>
        <v>3389.0406390649</v>
      </c>
      <c r="AR3" s="12">
        <f>ABS(AR234-AR4)</f>
        <v>920.037929682459</v>
      </c>
      <c r="AS3" s="12">
        <f>ABS(AS234-AS4)</f>
        <v>1192.35599708779</v>
      </c>
      <c r="AT3" s="12">
        <f>ABS(AT234-AT4)</f>
        <v>821.103447901326</v>
      </c>
      <c r="AU3" s="12">
        <f>ABS(AU234-AU4)</f>
        <v>991.832087595522</v>
      </c>
      <c r="AV3" s="12">
        <f>ABS(AV234-AV4)</f>
        <v>3925.32946226709</v>
      </c>
      <c r="AW3" s="12">
        <f>ABS(AW234-AW4)</f>
        <v>1061.02645116468</v>
      </c>
      <c r="AX3" s="12">
        <f>ABS(AX234-AX4)</f>
        <v>1375.07510429664</v>
      </c>
      <c r="AY3" s="12">
        <f>ABS(AY234-AY4)</f>
        <v>946.931044100013</v>
      </c>
      <c r="AZ3" s="12">
        <f>ABS(AZ234-AZ4)</f>
        <v>1143.82249481382</v>
      </c>
      <c r="BA3" s="12">
        <f>ABS(BA234-BA4)</f>
        <v>4526.85509437515</v>
      </c>
      <c r="BB3" s="12">
        <f>ABS(BB234-BB4)</f>
        <v>1218.31521398323</v>
      </c>
      <c r="BC3" s="12">
        <f>ABS(BC234-BC4)</f>
        <v>1578.91909112656</v>
      </c>
      <c r="BD3" s="12">
        <f>ABS(BD234-BD4)</f>
        <v>1087.30606702001</v>
      </c>
      <c r="BE3" s="12">
        <f>ABS(BE234-BE4)</f>
        <v>1313.38511495002</v>
      </c>
      <c r="BF3" s="12">
        <f>ABS(BF234-BF4)</f>
        <v>5197.92548707983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323.416</v>
      </c>
      <c r="J4">
        <f>IF(ISNUMBER('Inputs (2)'!E50),'Inputs (2)'!E50,"")</f>
        <v>332.345</v>
      </c>
      <c r="K4">
        <f>IF(ISNUMBER('Inputs (2)'!F50),'Inputs (2)'!F50,"")</f>
        <v>240.316</v>
      </c>
      <c r="L4">
        <f>IF(ISNUMBER('Inputs (2)'!G50),'Inputs (2)'!G50,"")</f>
        <v>219.324</v>
      </c>
      <c r="M4" s="11">
        <f>IF(COUNT(I4:L4)=4,SUM(I4:L4),"")</f>
        <v>1115.401</v>
      </c>
      <c r="N4">
        <f>IF(ISNUMBER('Inputs (2)'!I50),'Inputs (2)'!I50,"")</f>
        <v>430.979</v>
      </c>
      <c r="O4">
        <f>IF(ISNUMBER('Inputs (2)'!J50),'Inputs (2)'!J50,"")</f>
        <v>180.008</v>
      </c>
      <c r="P4">
        <f>IF(ISNUMBER('Inputs (2)'!K50),'Inputs (2)'!K50,"")</f>
        <v>115.676</v>
      </c>
      <c r="Q4">
        <f>IF(ISNUMBER('Inputs (2)'!L50),'Inputs (2)'!L50,"")</f>
        <v>191.803</v>
      </c>
      <c r="R4" s="11">
        <f>IF(COUNT(N4:Q4)=4,SUM(N4:Q4),"")</f>
        <v>918.466</v>
      </c>
      <c r="S4">
        <f>IF(ISNUMBER('Inputs (2)'!N50),'Inputs (2)'!N50,"")</f>
        <v>230.71</v>
      </c>
      <c r="T4">
        <f>IF(ISNUMBER('Inputs (2)'!O50),'Inputs (2)'!O50,"")</f>
        <v>222.186</v>
      </c>
      <c r="U4">
        <f>IF(ISNUMBER('Inputs (2)'!P50),'Inputs (2)'!P50,"")</f>
        <v>100.005</v>
      </c>
      <c r="V4">
        <f>IF(ISNUMBER('Inputs (2)'!Q50),'Inputs (2)'!Q50,"")</f>
        <v>141.162</v>
      </c>
      <c r="W4" s="11">
        <f>IF(COUNT(S4:V4)=4,SUM(S4:V4),"")</f>
        <v>694.063</v>
      </c>
      <c r="X4">
        <f>IF(ISNUMBER('Inputs (2)'!S50),'Inputs (2)'!S50,"")</f>
        <v>254.944</v>
      </c>
      <c r="Y4">
        <f>IF(ISNUMBER('Inputs (2)'!T50),'Inputs (2)'!T50,"")</f>
        <v>237.07</v>
      </c>
      <c r="Z4">
        <f>IF(ISNUMBER('Inputs (2)'!U50),'Inputs (2)'!U50,"")</f>
        <v>363.754</v>
      </c>
      <c r="AA4">
        <f>IF(ISNUMBER('Inputs (2)'!V50),'Inputs (2)'!V50,"")</f>
        <v>230.322</v>
      </c>
      <c r="AB4" s="11">
        <f>IF(COUNT(X4:AA4)=4,SUM(X4:AA4),"")</f>
        <v>1086.09</v>
      </c>
      <c r="AC4">
        <f>IF(ISNUMBER('Inputs (2)'!X50),'Inputs (2)'!X50,"")</f>
        <v>298.777</v>
      </c>
      <c r="AD4">
        <f>IF(ISNUMBER('Inputs (2)'!Y50),'Inputs (2)'!Y50,"")</f>
        <v>144.867</v>
      </c>
      <c r="AE4">
        <f>IF(ISNUMBER('Inputs (2)'!Z50),'Inputs (2)'!Z50,"")</f>
        <v>489.39</v>
      </c>
      <c r="AF4">
        <f>IF(ISNUMBER('Inputs (2)'!AA50),'Inputs (2)'!AA50,"")</f>
        <v>282.525</v>
      </c>
      <c r="AG4" s="11">
        <f>IF(COUNT(AC4:AF4)=4,SUM(AC4:AF4),"")</f>
        <v>1215.559</v>
      </c>
      <c r="AH4" s="11">
        <f>IF(ISNUMBER('Inputs (2)'!AC50),'Inputs (2)'!AC50,"")</f>
        <v>198.067</v>
      </c>
      <c r="AI4" s="11">
        <f>IF(ISNUMBER('Inputs (2)'!AD50),'Inputs (2)'!AD50,"")</f>
        <v>416.626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1601.474</v>
      </c>
      <c r="J15" s="34">
        <f>'Inputs (2)'!E4</f>
        <v>1337.141</v>
      </c>
      <c r="K15" s="34">
        <f>'Inputs (2)'!F4</f>
        <v>1167.652</v>
      </c>
      <c r="L15" s="34">
        <f>'Inputs (2)'!G4</f>
        <v>1127.941</v>
      </c>
      <c r="M15" s="35">
        <f>'Inputs (2)'!H4</f>
        <v>5234.208</v>
      </c>
      <c r="N15" s="34">
        <f>'Inputs (2)'!I4</f>
        <v>1280.52</v>
      </c>
      <c r="O15" s="34">
        <f>'Inputs (2)'!J4</f>
        <v>1168.243</v>
      </c>
      <c r="P15" s="34">
        <f>'Inputs (2)'!K4</f>
        <v>652.659</v>
      </c>
      <c r="Q15" s="34">
        <f>'Inputs (2)'!L4</f>
        <v>732.286</v>
      </c>
      <c r="R15" s="35">
        <f>'Inputs (2)'!M4</f>
        <v>3833.708</v>
      </c>
      <c r="S15" s="34">
        <f>'Inputs (2)'!N4</f>
        <v>1003.997</v>
      </c>
      <c r="T15" s="34">
        <f>'Inputs (2)'!O4</f>
        <v>780.156</v>
      </c>
      <c r="U15" s="34">
        <f>'Inputs (2)'!P4</f>
        <v>648.957</v>
      </c>
      <c r="V15" s="34">
        <f>'Inputs (2)'!Q4</f>
        <v>878.271</v>
      </c>
      <c r="W15" s="35">
        <f>'Inputs (2)'!R4</f>
        <v>3311.381</v>
      </c>
      <c r="X15" s="34">
        <f>'Inputs (2)'!S4</f>
        <v>996.535</v>
      </c>
      <c r="Y15" s="34">
        <f>'Inputs (2)'!T4</f>
        <v>953.692</v>
      </c>
      <c r="Z15" s="34">
        <f>'Inputs (2)'!U4</f>
        <v>928.567</v>
      </c>
      <c r="AA15" s="34">
        <f>'Inputs (2)'!V4</f>
        <v>1123.31</v>
      </c>
      <c r="AB15" s="35">
        <f>'Inputs (2)'!W4</f>
        <v>4002.104</v>
      </c>
      <c r="AC15" s="34">
        <f>'Inputs (2)'!X4</f>
        <v>1223.731</v>
      </c>
      <c r="AD15" s="34">
        <f>'Inputs (2)'!Y4</f>
        <v>1047.14</v>
      </c>
      <c r="AE15" s="34">
        <f>'Inputs (2)'!Z4</f>
        <v>963.353</v>
      </c>
      <c r="AF15" s="34">
        <f>'Inputs (2)'!AA4</f>
        <v>1163.659</v>
      </c>
      <c r="AG15" s="35">
        <f>'Inputs (2)'!AB4</f>
        <v>4397.883</v>
      </c>
      <c r="AH15" s="35">
        <f>'Inputs (2)'!AC4</f>
        <v>1255.635</v>
      </c>
      <c r="AI15" s="35">
        <f>'Inputs (2)'!AD4</f>
        <v>1627.285</v>
      </c>
      <c r="AJ15" s="35">
        <f>AE15*(1+AJ16)</f>
        <v>1120.61274273923</v>
      </c>
      <c r="AK15" s="35">
        <f>AF15*(1+AK16)</f>
        <v>1353.61710982702</v>
      </c>
      <c r="AL15" s="35">
        <f>SUM(AH15:AK15)</f>
        <v>5357.14985256625</v>
      </c>
      <c r="AM15" s="35">
        <f>AH15*(1+AM16)</f>
        <v>1460.60746292311</v>
      </c>
      <c r="AN15" s="35">
        <f>AI15*(1+AN16)</f>
        <v>1892.92638012069</v>
      </c>
      <c r="AO15" s="35">
        <f>AJ15*(1+AO16)</f>
        <v>1303.54389220725</v>
      </c>
      <c r="AP15" s="35">
        <f>AK15*(1+AP16)</f>
        <v>1574.58437567745</v>
      </c>
      <c r="AQ15" s="35">
        <f>SUM(AM15:AP15)</f>
        <v>6231.6621109285</v>
      </c>
      <c r="AR15" s="35">
        <f>AM15*(1+AR16)</f>
        <v>1691.73701871018</v>
      </c>
      <c r="AS15" s="35">
        <f>AN15*(1+AS16)</f>
        <v>2192.46697845456</v>
      </c>
      <c r="AT15" s="35">
        <f>AO15*(1+AT16)</f>
        <v>1509.81938264726</v>
      </c>
      <c r="AU15" s="35">
        <f>AP15*(1+AU16)</f>
        <v>1823.74987464816</v>
      </c>
      <c r="AV15" s="35">
        <f>SUM(AR15:AU15)</f>
        <v>7217.77325446017</v>
      </c>
      <c r="AW15" s="35">
        <f>AR15*(1+AW16)</f>
        <v>1950.98230992008</v>
      </c>
      <c r="AX15" s="35">
        <f>AS15*(1+AX16)</f>
        <v>2528.44516774246</v>
      </c>
      <c r="AY15" s="35">
        <f>AT15*(1+AY16)</f>
        <v>1741.18723781613</v>
      </c>
      <c r="AZ15" s="35">
        <f>AU15*(1+AZ16)</f>
        <v>2103.22508983714</v>
      </c>
      <c r="BA15" s="35">
        <f>SUM(AW15:AZ15)</f>
        <v>8323.83980531581</v>
      </c>
      <c r="BB15" s="35">
        <f>AW15*(1+BB16)</f>
        <v>2240.19997595599</v>
      </c>
      <c r="BC15" s="35">
        <f>AX15*(1+BC16)</f>
        <v>2903.2671260944</v>
      </c>
      <c r="BD15" s="35">
        <f>AY15*(1+BD16)</f>
        <v>1999.30444702512</v>
      </c>
      <c r="BE15" s="35">
        <f>AZ15*(1+BE16)</f>
        <v>2415.01154148148</v>
      </c>
      <c r="BF15" s="35">
        <f>SUM(BB15:BE15)</f>
        <v>9557.78309055699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-0.200411620794343</v>
      </c>
      <c r="O16" s="40">
        <f>IFERROR(O15/J15-1,"")</f>
        <v>-0.126312782272027</v>
      </c>
      <c r="P16" s="40">
        <f>IFERROR(P15/K15-1,"")</f>
        <v>-0.44105007313823</v>
      </c>
      <c r="Q16" s="40">
        <f>IFERROR(Q15/L15-1,"")</f>
        <v>-0.3507763260667</v>
      </c>
      <c r="R16" s="40">
        <f>IFERROR(R15/M15-1,"")</f>
        <v>-0.267566745532466</v>
      </c>
      <c r="S16" s="40">
        <f>IFERROR(S15/N15-1,"")</f>
        <v>-0.215945865742042</v>
      </c>
      <c r="T16" s="40">
        <f>IFERROR(T15/O15-1,"")</f>
        <v>-0.332197154187956</v>
      </c>
      <c r="U16" s="40">
        <f>IFERROR(U15/P15-1,"")</f>
        <v>-0.0056721810317486</v>
      </c>
      <c r="V16" s="40">
        <f>IFERROR(V15/Q15-1,"")</f>
        <v>0.199355169974573</v>
      </c>
      <c r="W16" s="40">
        <f>IFERROR(W15/R15-1,"")</f>
        <v>-0.136245900835432</v>
      </c>
      <c r="X16" s="40">
        <f>IFERROR(X15/S15-1,"")</f>
        <v>-0.00743229312438187</v>
      </c>
      <c r="Y16" s="40">
        <f>IFERROR(Y15/T15-1,"")</f>
        <v>0.222437563769297</v>
      </c>
      <c r="Z16" s="40">
        <f>IFERROR(Z15/U15-1,"")</f>
        <v>0.430860596310696</v>
      </c>
      <c r="AA16" s="40">
        <f>IFERROR(AA15/V15-1,"")</f>
        <v>0.279001583793613</v>
      </c>
      <c r="AB16" s="40">
        <f>IFERROR(AB15/W15-1,"")</f>
        <v>0.208590615214619</v>
      </c>
      <c r="AC16" s="40">
        <f>IFERROR(AC15/X15-1,"")</f>
        <v>0.227985971390869</v>
      </c>
      <c r="AD16" s="40">
        <f>IFERROR(AD15/Y15-1,"")</f>
        <v>0.097985513142608</v>
      </c>
      <c r="AE16" s="40">
        <f>IFERROR(AE15/Z15-1,"")</f>
        <v>0.0374620248188875</v>
      </c>
      <c r="AF16" s="41">
        <f>IFERROR(AF15/AA15-1,"")</f>
        <v>0.035919737205224</v>
      </c>
      <c r="AG16" s="40">
        <f>IFERROR(AG15/AB15-1,"")</f>
        <v>0.0988927324227455</v>
      </c>
      <c r="AH16" s="41">
        <f>IFERROR(AH15/AC15-1,"")</f>
        <v>0.0260710891527631</v>
      </c>
      <c r="AI16" s="41">
        <f>IFERROR(AI15/AD15-1,"")</f>
        <v>0.554028114674256</v>
      </c>
      <c r="AJ16" s="41">
        <f>Control!$B$18</f>
        <v>0.163242075064101</v>
      </c>
      <c r="AK16" s="41">
        <f>Control!$B$18</f>
        <v>0.163242075064101</v>
      </c>
      <c r="AL16" s="42">
        <f>IFERROR(AL15/AG15-1,"")</f>
        <v>0.218120139295712</v>
      </c>
      <c r="AM16" s="41">
        <f>Control!$C$18</f>
        <v>0.163242075064101</v>
      </c>
      <c r="AN16" s="41">
        <f>Control!$C$18</f>
        <v>0.163242075064101</v>
      </c>
      <c r="AO16" s="41">
        <f>Control!$C$18</f>
        <v>0.163242075064101</v>
      </c>
      <c r="AP16" s="41">
        <f>Control!$C$18</f>
        <v>0.163242075064101</v>
      </c>
      <c r="AQ16" s="42">
        <f>IFERROR(AQ15/AL15-1,"")</f>
        <v>0.163242075064101</v>
      </c>
      <c r="AR16" s="41">
        <f>Control!$D$18</f>
        <v>0.158242075064101</v>
      </c>
      <c r="AS16" s="41">
        <f>Control!$D$18</f>
        <v>0.158242075064101</v>
      </c>
      <c r="AT16" s="41">
        <f>Control!$D$18</f>
        <v>0.158242075064101</v>
      </c>
      <c r="AU16" s="41">
        <f>Control!$D$18</f>
        <v>0.158242075064101</v>
      </c>
      <c r="AV16" s="42">
        <f>IFERROR(AV15/AQ15-1,"")</f>
        <v>0.158242075064101</v>
      </c>
      <c r="AW16" s="41">
        <f>Control!$E$18</f>
        <v>0.153242075064101</v>
      </c>
      <c r="AX16" s="41">
        <f>Control!$E$18</f>
        <v>0.153242075064101</v>
      </c>
      <c r="AY16" s="41">
        <f>Control!$E$18</f>
        <v>0.153242075064101</v>
      </c>
      <c r="AZ16" s="41">
        <f>Control!$E$18</f>
        <v>0.153242075064101</v>
      </c>
      <c r="BA16" s="42">
        <f>IFERROR(BA15/AV15-1,"")</f>
        <v>0.153242075064101</v>
      </c>
      <c r="BB16" s="41">
        <f>Control!$F$18</f>
        <v>0.148242075064101</v>
      </c>
      <c r="BC16" s="41">
        <f>Control!$F$18</f>
        <v>0.148242075064101</v>
      </c>
      <c r="BD16" s="41">
        <f>Control!$F$18</f>
        <v>0.148242075064101</v>
      </c>
      <c r="BE16" s="41">
        <f>Control!$F$18</f>
        <v>0.148242075064101</v>
      </c>
      <c r="BF16" s="42">
        <f>IFERROR(BF15/BA15-1,"")</f>
        <v>0.148242075064101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str">
        <f>IF(COUNT(I23)=0,"",ROUND(I15-I23,1))</f>
        <v/>
      </c>
      <c r="J17" s="40" t="str">
        <f>IF(COUNT(J23)=0,"",ROUND(J15-J23,1))</f>
        <v/>
      </c>
      <c r="K17" s="40" t="str">
        <f>IF(COUNT(K23)=0,"",ROUND(K15-K23,1))</f>
        <v/>
      </c>
      <c r="L17" s="40" t="str">
        <f>IF(COUNT(L23)=0,"",ROUND(L15-L23,1))</f>
        <v/>
      </c>
      <c r="M17" s="39" t="str">
        <f>IF(COUNT(M23)=0,"",ROUND(M15-M23,1))</f>
        <v/>
      </c>
      <c r="N17" s="40" t="str">
        <f>IF(COUNT(N23)=0,"",ROUND(N15-N23,1))</f>
        <v/>
      </c>
      <c r="O17" s="40" t="str">
        <f>IF(COUNT(O23)=0,"",ROUND(O15-O23,1))</f>
        <v/>
      </c>
      <c r="P17" s="40" t="str">
        <f>IF(COUNT(P23)=0,"",ROUND(P15-P23,1))</f>
        <v/>
      </c>
      <c r="Q17" s="40" t="str">
        <f>IF(COUNT(Q23)=0,"",ROUND(Q15-Q23,1))</f>
        <v/>
      </c>
      <c r="R17" s="40" t="str">
        <f>IF(COUNT(R23)=0,"",ROUND(R15-R23,1))</f>
        <v/>
      </c>
      <c r="S17" s="40">
        <f>IF(COUNT(S23)=0,"",ROUND(S15-S23,1))</f>
        <v>0</v>
      </c>
      <c r="T17" s="40">
        <f>IF(COUNT(T23)=0,"",ROUND(T15-T23,1))</f>
        <v>0</v>
      </c>
      <c r="U17" s="40">
        <f>IF(COUNT(U23)=0,"",ROUND(U15-U23,1))</f>
        <v>0</v>
      </c>
      <c r="V17" s="40">
        <f>IF(COUNT(V23)=0,"",ROUND(V15-V23,1))</f>
        <v>0</v>
      </c>
      <c r="W17" s="40">
        <f>IF(COUNT(W23)=0,"",ROUND(W15-W23,1))</f>
        <v>0</v>
      </c>
      <c r="X17" s="40">
        <f>IF(COUNT(X23)=0,"",ROUND(X15-X23,1))</f>
        <v>0</v>
      </c>
      <c r="Y17" s="40">
        <f>IF(COUNT(Y23)=0,"",ROUND(Y15-Y23,1))</f>
        <v>0</v>
      </c>
      <c r="Z17" s="40">
        <f>IF(COUNT(Z23)=0,"",ROUND(Z15-Z23,1))</f>
        <v>0</v>
      </c>
      <c r="AA17" s="40">
        <f>IF(COUNT(AA23)=0,"",ROUND(AA15-AA23,1))</f>
        <v>0</v>
      </c>
      <c r="AB17" s="40">
        <f>IF(COUNT(AB23)=0,"",ROUND(AB15-AB23,1))</f>
        <v>0</v>
      </c>
      <c r="AC17" s="40">
        <f>IF(COUNT(AC23)=0,"",ROUND(AC15-AC23,1))</f>
        <v>0</v>
      </c>
      <c r="AD17" s="40">
        <f>IF(COUNT(AD23)=0,"",ROUND(AD15-AD23,1))</f>
        <v>0</v>
      </c>
      <c r="AE17" s="40">
        <f>IF(COUNT(AE23)=0,"",ROUND(AE15-AE23,1))</f>
        <v>0</v>
      </c>
      <c r="AF17" s="40">
        <f>IF(COUNT(AF23)=0,"",ROUND(AF15-AF23,1))</f>
        <v>0</v>
      </c>
      <c r="AG17" s="40">
        <f>IF(COUNT(AG23)=0,"",ROUND(AG15-AG23,1))</f>
        <v>0</v>
      </c>
      <c r="AH17" s="41">
        <f>IF(COUNT(AH23)=0,"",ROUND(AH15-AH23,1))</f>
        <v>0</v>
      </c>
      <c r="AI17" s="41">
        <f>IF(COUNT(AI23)=0,"",ROUND(AI15-AI23,1))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liquida por segmento (R$ milhoes; segmentos so a partir do 1T23)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/>
    <row r="20">
      <c r="C20" s="268" t="inlineStr">
        <is>
          <t>Transmissao</t>
        </is>
      </c>
      <c r="D20" s="269" t="str">
        <f>IFERROR(INDEX('Inputs (2)'!$D$53:$AL$53,MATCH(D$7&amp;"",'Inputs (2)'!$D$2:$AL$2,0)),"")</f>
        <v/>
      </c>
      <c r="E20" s="269" t="str">
        <f>IFERROR(INDEX('Inputs (2)'!$D$53:$AL$53,MATCH(E$7&amp;"",'Inputs (2)'!$D$2:$AL$2,0)),"")</f>
        <v/>
      </c>
      <c r="F20" s="269" t="str">
        <f>IFERROR(INDEX('Inputs (2)'!$D$53:$AL$53,MATCH(F$7&amp;"",'Inputs (2)'!$D$2:$AL$2,0)),"")</f>
        <v/>
      </c>
      <c r="G20" s="269" t="str">
        <f>IFERROR(INDEX('Inputs (2)'!$D$53:$AL$53,MATCH(G$7&amp;"",'Inputs (2)'!$D$2:$AL$2,0)),"")</f>
        <v/>
      </c>
      <c r="H20" s="270" t="str">
        <f>IF(COUNT(D20:G20)=4,SUM(D20:G20),"")</f>
        <v/>
      </c>
      <c r="I20" s="269" t="str">
        <f>IFERROR(INDEX('Inputs (2)'!$D$53:$AL$53,MATCH(I$7&amp;"",'Inputs (2)'!$D$2:$AL$2,0)),"")</f>
        <v/>
      </c>
      <c r="J20" s="269" t="str">
        <f>IFERROR(INDEX('Inputs (2)'!$D$53:$AL$53,MATCH(J$7&amp;"",'Inputs (2)'!$D$2:$AL$2,0)),"")</f>
        <v/>
      </c>
      <c r="K20" s="269" t="str">
        <f>IFERROR(INDEX('Inputs (2)'!$D$53:$AL$53,MATCH(K$7&amp;"",'Inputs (2)'!$D$2:$AL$2,0)),"")</f>
        <v/>
      </c>
      <c r="L20" s="269" t="str">
        <f>IFERROR(INDEX('Inputs (2)'!$D$53:$AL$53,MATCH(L$7&amp;"",'Inputs (2)'!$D$2:$AL$2,0)),"")</f>
        <v/>
      </c>
      <c r="M20" s="270" t="str">
        <f>IF(COUNT(I20:L20)=4,SUM(I20:L20),"")</f>
        <v/>
      </c>
      <c r="N20" s="269" t="str">
        <f>IFERROR(INDEX('Inputs (2)'!$D$53:$AL$53,MATCH(N$7&amp;"",'Inputs (2)'!$D$2:$AL$2,0)),"")</f>
        <v/>
      </c>
      <c r="O20" s="269" t="str">
        <f>IFERROR(INDEX('Inputs (2)'!$D$53:$AL$53,MATCH(O$7&amp;"",'Inputs (2)'!$D$2:$AL$2,0)),"")</f>
        <v/>
      </c>
      <c r="P20" s="269" t="str">
        <f>IFERROR(INDEX('Inputs (2)'!$D$53:$AL$53,MATCH(P$7&amp;"",'Inputs (2)'!$D$2:$AL$2,0)),"")</f>
        <v/>
      </c>
      <c r="Q20" s="269" t="str">
        <f>IFERROR(INDEX('Inputs (2)'!$D$53:$AL$53,MATCH(Q$7&amp;"",'Inputs (2)'!$D$2:$AL$2,0)),"")</f>
        <v/>
      </c>
      <c r="R20" s="270" t="str">
        <f>IF(COUNT(N20:Q20)=4,SUM(N20:Q20),"")</f>
        <v/>
      </c>
      <c r="S20" s="269">
        <f>IFERROR(INDEX('Inputs (2)'!$D$53:$AL$53,MATCH(S$7&amp;"",'Inputs (2)'!$D$2:$AL$2,0)),"")</f>
        <v>813.298</v>
      </c>
      <c r="T20" s="269">
        <f>IFERROR(INDEX('Inputs (2)'!$D$53:$AL$53,MATCH(T$7&amp;"",'Inputs (2)'!$D$2:$AL$2,0)),"")</f>
        <v>601.252</v>
      </c>
      <c r="U20" s="269">
        <f>IFERROR(INDEX('Inputs (2)'!$D$53:$AL$53,MATCH(U$7&amp;"",'Inputs (2)'!$D$2:$AL$2,0)),"")</f>
        <v>454.094</v>
      </c>
      <c r="V20" s="269">
        <f>IFERROR(INDEX('Inputs (2)'!$D$53:$AL$53,MATCH(V$7&amp;"",'Inputs (2)'!$D$2:$AL$2,0)),"")</f>
        <v>686.745</v>
      </c>
      <c r="W20" s="270">
        <f>IF(COUNT(S20:V20)=4,SUM(S20:V20),"")</f>
        <v>2555.389</v>
      </c>
      <c r="X20" s="269">
        <f>IFERROR(INDEX('Inputs (2)'!$D$53:$AL$53,MATCH(X$7&amp;"",'Inputs (2)'!$D$2:$AL$2,0)),"")</f>
        <v>811.934</v>
      </c>
      <c r="Y20" s="269">
        <f>IFERROR(INDEX('Inputs (2)'!$D$53:$AL$53,MATCH(Y$7&amp;"",'Inputs (2)'!$D$2:$AL$2,0)),"")</f>
        <v>774.963</v>
      </c>
      <c r="Z20" s="269">
        <f>IFERROR(INDEX('Inputs (2)'!$D$53:$AL$53,MATCH(Z$7&amp;"",'Inputs (2)'!$D$2:$AL$2,0)),"")</f>
        <v>743.02</v>
      </c>
      <c r="AA20" s="269">
        <f>IFERROR(INDEX('Inputs (2)'!$D$53:$AL$53,MATCH(AA$7&amp;"",'Inputs (2)'!$D$2:$AL$2,0)),"")</f>
        <v>890.039</v>
      </c>
      <c r="AB20" s="270">
        <f>IF(COUNT(X20:AA20)=4,SUM(X20:AA20),"")</f>
        <v>3219.956</v>
      </c>
      <c r="AC20" s="269">
        <f>IFERROR(INDEX('Inputs (2)'!$D$53:$AL$53,MATCH(AC$7&amp;"",'Inputs (2)'!$D$2:$AL$2,0)),"")</f>
        <v>1001.038</v>
      </c>
      <c r="AD20" s="269">
        <f>IFERROR(INDEX('Inputs (2)'!$D$53:$AL$53,MATCH(AD$7&amp;"",'Inputs (2)'!$D$2:$AL$2,0)),"")</f>
        <v>828.487</v>
      </c>
      <c r="AE20" s="269">
        <f>IFERROR(INDEX('Inputs (2)'!$D$53:$AL$53,MATCH(AE$7&amp;"",'Inputs (2)'!$D$2:$AL$2,0)),"")</f>
        <v>756.195</v>
      </c>
      <c r="AF20" s="269">
        <f>IFERROR(INDEX('Inputs (2)'!$D$53:$AL$53,MATCH(AF$7&amp;"",'Inputs (2)'!$D$2:$AL$2,0)),"")</f>
        <v>953.586</v>
      </c>
      <c r="AG20" s="270">
        <f>IF(COUNT(AC20:AF20)=4,SUM(AC20:AF20),"")</f>
        <v>3539.306</v>
      </c>
      <c r="AH20" s="270">
        <f>IFERROR(INDEX('Inputs (2)'!$D$53:$AL$53,MATCH(AH$7&amp;"",'Inputs (2)'!$D$2:$AL$2,0)),"")</f>
        <v>997.764</v>
      </c>
      <c r="AI20" s="270">
        <f>IFERROR(INDEX('Inputs (2)'!$D$53:$AL$53,MATCH(AI$7&amp;"",'Inputs (2)'!$D$2:$AL$2,0)),"")</f>
        <v>1414.665</v>
      </c>
    </row>
    <row r="21">
      <c r="C21" s="268" t="inlineStr">
        <is>
          <t>Geracao</t>
        </is>
      </c>
      <c r="D21" s="269" t="str">
        <f>IFERROR(INDEX('Inputs (2)'!$D$54:$AL$54,MATCH(D$7&amp;"",'Inputs (2)'!$D$2:$AL$2,0)),"")</f>
        <v/>
      </c>
      <c r="E21" s="269" t="str">
        <f>IFERROR(INDEX('Inputs (2)'!$D$54:$AL$54,MATCH(E$7&amp;"",'Inputs (2)'!$D$2:$AL$2,0)),"")</f>
        <v/>
      </c>
      <c r="F21" s="269" t="str">
        <f>IFERROR(INDEX('Inputs (2)'!$D$54:$AL$54,MATCH(F$7&amp;"",'Inputs (2)'!$D$2:$AL$2,0)),"")</f>
        <v/>
      </c>
      <c r="G21" s="269" t="str">
        <f>IFERROR(INDEX('Inputs (2)'!$D$54:$AL$54,MATCH(G$7&amp;"",'Inputs (2)'!$D$2:$AL$2,0)),"")</f>
        <v/>
      </c>
      <c r="H21" s="270" t="str">
        <f>IF(COUNT(D21:G21)=4,SUM(D21:G21),"")</f>
        <v/>
      </c>
      <c r="I21" s="269" t="str">
        <f>IFERROR(INDEX('Inputs (2)'!$D$54:$AL$54,MATCH(I$7&amp;"",'Inputs (2)'!$D$2:$AL$2,0)),"")</f>
        <v/>
      </c>
      <c r="J21" s="269" t="str">
        <f>IFERROR(INDEX('Inputs (2)'!$D$54:$AL$54,MATCH(J$7&amp;"",'Inputs (2)'!$D$2:$AL$2,0)),"")</f>
        <v/>
      </c>
      <c r="K21" s="269" t="str">
        <f>IFERROR(INDEX('Inputs (2)'!$D$54:$AL$54,MATCH(K$7&amp;"",'Inputs (2)'!$D$2:$AL$2,0)),"")</f>
        <v/>
      </c>
      <c r="L21" s="269" t="str">
        <f>IFERROR(INDEX('Inputs (2)'!$D$54:$AL$54,MATCH(L$7&amp;"",'Inputs (2)'!$D$2:$AL$2,0)),"")</f>
        <v/>
      </c>
      <c r="M21" s="270" t="str">
        <f>IF(COUNT(I21:L21)=4,SUM(I21:L21),"")</f>
        <v/>
      </c>
      <c r="N21" s="269" t="str">
        <f>IFERROR(INDEX('Inputs (2)'!$D$54:$AL$54,MATCH(N$7&amp;"",'Inputs (2)'!$D$2:$AL$2,0)),"")</f>
        <v/>
      </c>
      <c r="O21" s="269" t="str">
        <f>IFERROR(INDEX('Inputs (2)'!$D$54:$AL$54,MATCH(O$7&amp;"",'Inputs (2)'!$D$2:$AL$2,0)),"")</f>
        <v/>
      </c>
      <c r="P21" s="269" t="str">
        <f>IFERROR(INDEX('Inputs (2)'!$D$54:$AL$54,MATCH(P$7&amp;"",'Inputs (2)'!$D$2:$AL$2,0)),"")</f>
        <v/>
      </c>
      <c r="Q21" s="269" t="str">
        <f>IFERROR(INDEX('Inputs (2)'!$D$54:$AL$54,MATCH(Q$7&amp;"",'Inputs (2)'!$D$2:$AL$2,0)),"")</f>
        <v/>
      </c>
      <c r="R21" s="270" t="str">
        <f>IF(COUNT(N21:Q21)=4,SUM(N21:Q21),"")</f>
        <v/>
      </c>
      <c r="S21" s="269">
        <f>IFERROR(INDEX('Inputs (2)'!$D$54:$AL$54,MATCH(S$7&amp;"",'Inputs (2)'!$D$2:$AL$2,0)),"")</f>
        <v>191.9</v>
      </c>
      <c r="T21" s="269">
        <f>IFERROR(INDEX('Inputs (2)'!$D$54:$AL$54,MATCH(T$7&amp;"",'Inputs (2)'!$D$2:$AL$2,0)),"")</f>
        <v>180.105</v>
      </c>
      <c r="U21" s="269">
        <f>IFERROR(INDEX('Inputs (2)'!$D$54:$AL$54,MATCH(U$7&amp;"",'Inputs (2)'!$D$2:$AL$2,0)),"")</f>
        <v>196.063</v>
      </c>
      <c r="V21" s="269">
        <f>IFERROR(INDEX('Inputs (2)'!$D$54:$AL$54,MATCH(V$7&amp;"",'Inputs (2)'!$D$2:$AL$2,0)),"")</f>
        <v>192.716</v>
      </c>
      <c r="W21" s="270">
        <f>IF(COUNT(S21:V21)=4,SUM(S21:V21),"")</f>
        <v>760.784</v>
      </c>
      <c r="X21" s="269">
        <f>IFERROR(INDEX('Inputs (2)'!$D$54:$AL$54,MATCH(X$7&amp;"",'Inputs (2)'!$D$2:$AL$2,0)),"")</f>
        <v>186.343</v>
      </c>
      <c r="Y21" s="269">
        <f>IFERROR(INDEX('Inputs (2)'!$D$54:$AL$54,MATCH(Y$7&amp;"",'Inputs (2)'!$D$2:$AL$2,0)),"")</f>
        <v>179.835</v>
      </c>
      <c r="Z21" s="269">
        <f>IFERROR(INDEX('Inputs (2)'!$D$54:$AL$54,MATCH(Z$7&amp;"",'Inputs (2)'!$D$2:$AL$2,0)),"")</f>
        <v>187.835</v>
      </c>
      <c r="AA21" s="269">
        <f>IFERROR(INDEX('Inputs (2)'!$D$54:$AL$54,MATCH(AA$7&amp;"",'Inputs (2)'!$D$2:$AL$2,0)),"")</f>
        <v>234.921</v>
      </c>
      <c r="AB21" s="270">
        <f>IF(COUNT(X21:AA21)=4,SUM(X21:AA21),"")</f>
        <v>788.934</v>
      </c>
      <c r="AC21" s="269">
        <f>IFERROR(INDEX('Inputs (2)'!$D$54:$AL$54,MATCH(AC$7&amp;"",'Inputs (2)'!$D$2:$AL$2,0)),"")</f>
        <v>224.332</v>
      </c>
      <c r="AD21" s="269">
        <f>IFERROR(INDEX('Inputs (2)'!$D$54:$AL$54,MATCH(AD$7&amp;"",'Inputs (2)'!$D$2:$AL$2,0)),"")</f>
        <v>220.415</v>
      </c>
      <c r="AE21" s="269">
        <f>IFERROR(INDEX('Inputs (2)'!$D$54:$AL$54,MATCH(AE$7&amp;"",'Inputs (2)'!$D$2:$AL$2,0)),"")</f>
        <v>208.737</v>
      </c>
      <c r="AF21" s="269">
        <f>IFERROR(INDEX('Inputs (2)'!$D$54:$AL$54,MATCH(AF$7&amp;"",'Inputs (2)'!$D$2:$AL$2,0)),"")</f>
        <v>211.6</v>
      </c>
      <c r="AG21" s="270">
        <f>IF(COUNT(AC21:AF21)=4,SUM(AC21:AF21),"")</f>
        <v>865.084</v>
      </c>
      <c r="AH21" s="270">
        <f>IFERROR(INDEX('Inputs (2)'!$D$54:$AL$54,MATCH(AH$7&amp;"",'Inputs (2)'!$D$2:$AL$2,0)),"")</f>
        <v>258.765</v>
      </c>
      <c r="AI21" s="270">
        <f>IFERROR(INDEX('Inputs (2)'!$D$54:$AL$54,MATCH(AI$7&amp;"",'Inputs (2)'!$D$2:$AL$2,0)),"")</f>
        <v>212.619</v>
      </c>
    </row>
    <row r="22">
      <c r="C22" s="268" t="inlineStr">
        <is>
          <t>Holding e eliminacoes entre segmentos (diferenca)</t>
        </is>
      </c>
      <c r="D22" s="269" t="str">
        <f>IF(COUNT(D20,D21)&lt;2,"",D15-D20-D21)</f>
        <v/>
      </c>
      <c r="E22" s="269" t="str">
        <f>IF(COUNT(E20,E21)&lt;2,"",E15-E20-E21)</f>
        <v/>
      </c>
      <c r="F22" s="269" t="str">
        <f>IF(COUNT(F20,F21)&lt;2,"",F15-F20-F21)</f>
        <v/>
      </c>
      <c r="G22" s="269" t="str">
        <f>IF(COUNT(G20,G21)&lt;2,"",G15-G20-G21)</f>
        <v/>
      </c>
      <c r="H22" s="270" t="str">
        <f>IF(COUNT(D22:G22)=4,SUM(D22:G22),"")</f>
        <v/>
      </c>
      <c r="I22" s="269" t="str">
        <f>IF(COUNT(I20,I21)&lt;2,"",I15-I20-I21)</f>
        <v/>
      </c>
      <c r="J22" s="269" t="str">
        <f>IF(COUNT(J20,J21)&lt;2,"",J15-J20-J21)</f>
        <v/>
      </c>
      <c r="K22" s="269" t="str">
        <f>IF(COUNT(K20,K21)&lt;2,"",K15-K20-K21)</f>
        <v/>
      </c>
      <c r="L22" s="269" t="str">
        <f>IF(COUNT(L20,L21)&lt;2,"",L15-L20-L21)</f>
        <v/>
      </c>
      <c r="M22" s="270" t="str">
        <f>IF(COUNT(I22:L22)=4,SUM(I22:L22),"")</f>
        <v/>
      </c>
      <c r="N22" s="269" t="str">
        <f>IF(COUNT(N20,N21)&lt;2,"",N15-N20-N21)</f>
        <v/>
      </c>
      <c r="O22" s="269" t="str">
        <f>IF(COUNT(O20,O21)&lt;2,"",O15-O20-O21)</f>
        <v/>
      </c>
      <c r="P22" s="269" t="str">
        <f>IF(COUNT(P20,P21)&lt;2,"",P15-P20-P21)</f>
        <v/>
      </c>
      <c r="Q22" s="269" t="str">
        <f>IF(COUNT(Q20,Q21)&lt;2,"",Q15-Q20-Q21)</f>
        <v/>
      </c>
      <c r="R22" s="270" t="str">
        <f>IF(COUNT(N22:Q22)=4,SUM(N22:Q22),"")</f>
        <v/>
      </c>
      <c r="S22" s="269">
        <f>IF(COUNT(S20,S21)&lt;2,"",S15-S20-S21)</f>
        <v>-1.20100000000005</v>
      </c>
      <c r="T22" s="269">
        <f>IF(COUNT(T20,T21)&lt;2,"",T15-T20-T21)</f>
        <v>-1.20099999999999</v>
      </c>
      <c r="U22" s="269">
        <f>IF(COUNT(U20,U21)&lt;2,"",U15-U20-U21)</f>
        <v>-1.19999999999999</v>
      </c>
      <c r="V22" s="269">
        <f>IF(COUNT(V20,V21)&lt;2,"",V15-V20-V21)</f>
        <v>-1.19000000000005</v>
      </c>
      <c r="W22" s="270">
        <f>IF(COUNT(S22:V22)=4,SUM(S22:V22),"")</f>
        <v>-4.79200000000009</v>
      </c>
      <c r="X22" s="269">
        <f>IF(COUNT(X20,X21)&lt;2,"",X15-X20-X21)</f>
        <v>-1.74199999999999</v>
      </c>
      <c r="Y22" s="269">
        <f>IF(COUNT(Y20,Y21)&lt;2,"",Y15-Y20-Y21)</f>
        <v>-1.10599999999997</v>
      </c>
      <c r="Z22" s="269">
        <f>IF(COUNT(Z20,Z21)&lt;2,"",Z15-Z20-Z21)</f>
        <v>-2.28799999999998</v>
      </c>
      <c r="AA22" s="269">
        <f>IF(COUNT(AA20,AA21)&lt;2,"",AA15-AA20-AA21)</f>
        <v>-1.65000000000003</v>
      </c>
      <c r="AB22" s="270">
        <f>IF(COUNT(X22:AA22)=4,SUM(X22:AA22),"")</f>
        <v>-6.78599999999997</v>
      </c>
      <c r="AC22" s="269">
        <f>IF(COUNT(AC20,AC21)&lt;2,"",AC15-AC20-AC21)</f>
        <v>-1.63900000000001</v>
      </c>
      <c r="AD22" s="269">
        <f>IF(COUNT(AD20,AD21)&lt;2,"",AD15-AD20-AD21)</f>
        <v>-1.76199999999986</v>
      </c>
      <c r="AE22" s="269">
        <f>IF(COUNT(AE20,AE21)&lt;2,"",AE15-AE20-AE21)</f>
        <v>-1.57900000000009</v>
      </c>
      <c r="AF22" s="269">
        <f>IF(COUNT(AF20,AF21)&lt;2,"",AF15-AF20-AF21)</f>
        <v>-1.5269999999999</v>
      </c>
      <c r="AG22" s="270">
        <f>IF(COUNT(AC22:AF22)=4,SUM(AC22:AF22),"")</f>
        <v>-6.50699999999986</v>
      </c>
      <c r="AH22" s="270">
        <f>IF(COUNT(AH20,AH21)&lt;2,"",AH15-AH20-AH21)</f>
        <v>-0.894000000000006</v>
      </c>
      <c r="AI22" s="270">
        <f>IF(COUNT(AI20,AI21)&lt;2,"",AI15-AI20-AI21)</f>
        <v>0.00100000000011846</v>
      </c>
    </row>
    <row r="23">
      <c r="C23" s="271" t="inlineStr">
        <is>
          <t>Receita liquida consolidada (soma)</t>
        </is>
      </c>
      <c r="D23" s="269" t="str">
        <f>IF(COUNT(D20,D21)&lt;2,"",SUM(D20,D21,D22))</f>
        <v/>
      </c>
      <c r="E23" s="269" t="str">
        <f>IF(COUNT(E20,E21)&lt;2,"",SUM(E20,E21,E22))</f>
        <v/>
      </c>
      <c r="F23" s="269" t="str">
        <f>IF(COUNT(F20,F21)&lt;2,"",SUM(F20,F21,F22))</f>
        <v/>
      </c>
      <c r="G23" s="269" t="str">
        <f>IF(COUNT(G20,G21)&lt;2,"",SUM(G20,G21,G22))</f>
        <v/>
      </c>
      <c r="H23" s="270" t="str">
        <f>IF(COUNT(D23:G23)=4,SUM(D23:G23),"")</f>
        <v/>
      </c>
      <c r="I23" s="269" t="str">
        <f>IF(COUNT(I20,I21)&lt;2,"",SUM(I20,I21,I22))</f>
        <v/>
      </c>
      <c r="J23" s="269" t="str">
        <f>IF(COUNT(J20,J21)&lt;2,"",SUM(J20,J21,J22))</f>
        <v/>
      </c>
      <c r="K23" s="269" t="str">
        <f>IF(COUNT(K20,K21)&lt;2,"",SUM(K20,K21,K22))</f>
        <v/>
      </c>
      <c r="L23" s="269" t="str">
        <f>IF(COUNT(L20,L21)&lt;2,"",SUM(L20,L21,L22))</f>
        <v/>
      </c>
      <c r="M23" s="270" t="str">
        <f>IF(COUNT(I23:L23)=4,SUM(I23:L23),"")</f>
        <v/>
      </c>
      <c r="N23" s="269" t="str">
        <f>IF(COUNT(N20,N21)&lt;2,"",SUM(N20,N21,N22))</f>
        <v/>
      </c>
      <c r="O23" s="269" t="str">
        <f>IF(COUNT(O20,O21)&lt;2,"",SUM(O20,O21,O22))</f>
        <v/>
      </c>
      <c r="P23" s="269" t="str">
        <f>IF(COUNT(P20,P21)&lt;2,"",SUM(P20,P21,P22))</f>
        <v/>
      </c>
      <c r="Q23" s="269" t="str">
        <f>IF(COUNT(Q20,Q21)&lt;2,"",SUM(Q20,Q21,Q22))</f>
        <v/>
      </c>
      <c r="R23" s="270" t="str">
        <f>IF(COUNT(N23:Q23)=4,SUM(N23:Q23),"")</f>
        <v/>
      </c>
      <c r="S23" s="269">
        <f>IF(COUNT(S20,S21)&lt;2,"",SUM(S20,S21,S22))</f>
        <v>1003.997</v>
      </c>
      <c r="T23" s="269">
        <f>IF(COUNT(T20,T21)&lt;2,"",SUM(T20,T21,T22))</f>
        <v>780.156</v>
      </c>
      <c r="U23" s="269">
        <f>IF(COUNT(U20,U21)&lt;2,"",SUM(U20,U21,U22))</f>
        <v>648.957</v>
      </c>
      <c r="V23" s="269">
        <f>IF(COUNT(V20,V21)&lt;2,"",SUM(V20,V21,V22))</f>
        <v>878.271</v>
      </c>
      <c r="W23" s="270">
        <f>IF(COUNT(S23:V23)=4,SUM(S23:V23),"")</f>
        <v>3311.381</v>
      </c>
      <c r="X23" s="269">
        <f>IF(COUNT(X20,X21)&lt;2,"",SUM(X20,X21,X22))</f>
        <v>996.535</v>
      </c>
      <c r="Y23" s="269">
        <f>IF(COUNT(Y20,Y21)&lt;2,"",SUM(Y20,Y21,Y22))</f>
        <v>953.692</v>
      </c>
      <c r="Z23" s="269">
        <f>IF(COUNT(Z20,Z21)&lt;2,"",SUM(Z20,Z21,Z22))</f>
        <v>928.567</v>
      </c>
      <c r="AA23" s="269">
        <f>IF(COUNT(AA20,AA21)&lt;2,"",SUM(AA20,AA21,AA22))</f>
        <v>1123.31</v>
      </c>
      <c r="AB23" s="270">
        <f>IF(COUNT(X23:AA23)=4,SUM(X23:AA23),"")</f>
        <v>4002.104</v>
      </c>
      <c r="AC23" s="269">
        <f>IF(COUNT(AC20,AC21)&lt;2,"",SUM(AC20,AC21,AC22))</f>
        <v>1223.731</v>
      </c>
      <c r="AD23" s="269">
        <f>IF(COUNT(AD20,AD21)&lt;2,"",SUM(AD20,AD21,AD22))</f>
        <v>1047.14</v>
      </c>
      <c r="AE23" s="269">
        <f>IF(COUNT(AE20,AE21)&lt;2,"",SUM(AE20,AE21,AE22))</f>
        <v>963.353</v>
      </c>
      <c r="AF23" s="269">
        <f>IF(COUNT(AF20,AF21)&lt;2,"",SUM(AF20,AF21,AF22))</f>
        <v>1163.659</v>
      </c>
      <c r="AG23" s="270">
        <f>IF(COUNT(AC23:AF23)=4,SUM(AC23:AF23),"")</f>
        <v>4397.883</v>
      </c>
      <c r="AH23" s="270">
        <f>IF(COUNT(AH20,AH21)&lt;2,"",SUM(AH20,AH21,AH22))</f>
        <v>1255.635</v>
      </c>
      <c r="AI23" s="270">
        <f>IF(COUNT(AI20,AI21)&lt;2,"",SUM(AI20,AI21,AI22))</f>
        <v>1627.285</v>
      </c>
    </row>
    <row r="24">
      <c r="C24" s="268" t="inlineStr">
        <is>
          <t>Transmissao % da receita</t>
        </is>
      </c>
      <c r="D24" s="272" t="str">
        <f>IFERROR(D20/D15,"")</f>
        <v/>
      </c>
      <c r="E24" s="272" t="str">
        <f>IFERROR(E20/E15,"")</f>
        <v/>
      </c>
      <c r="F24" s="272" t="str">
        <f>IFERROR(F20/F15,"")</f>
        <v/>
      </c>
      <c r="G24" s="272" t="str">
        <f>IFERROR(G20/G15,"")</f>
        <v/>
      </c>
      <c r="H24" s="273" t="str">
        <f>IFERROR(H20/H15,"")</f>
        <v/>
      </c>
      <c r="I24" s="272" t="str">
        <f>IFERROR(I20/I15,"")</f>
        <v/>
      </c>
      <c r="J24" s="272" t="str">
        <f>IFERROR(J20/J15,"")</f>
        <v/>
      </c>
      <c r="K24" s="272" t="str">
        <f>IFERROR(K20/K15,"")</f>
        <v/>
      </c>
      <c r="L24" s="272" t="str">
        <f>IFERROR(L20/L15,"")</f>
        <v/>
      </c>
      <c r="M24" s="273" t="str">
        <f>IFERROR(M20/M15,"")</f>
        <v/>
      </c>
      <c r="N24" s="272" t="str">
        <f>IFERROR(N20/N15,"")</f>
        <v/>
      </c>
      <c r="O24" s="272" t="str">
        <f>IFERROR(O20/O15,"")</f>
        <v/>
      </c>
      <c r="P24" s="272" t="str">
        <f>IFERROR(P20/P15,"")</f>
        <v/>
      </c>
      <c r="Q24" s="272" t="str">
        <f>IFERROR(Q20/Q15,"")</f>
        <v/>
      </c>
      <c r="R24" s="273" t="str">
        <f>IFERROR(R20/R15,"")</f>
        <v/>
      </c>
      <c r="S24" s="272">
        <f>IFERROR(S20/S15,"")</f>
        <v>0.810060189422877</v>
      </c>
      <c r="T24" s="272">
        <f>IFERROR(T20/T15,"")</f>
        <v>0.770681761083681</v>
      </c>
      <c r="U24" s="272">
        <f>IFERROR(U20/U15,"")</f>
        <v>0.699728949683877</v>
      </c>
      <c r="V24" s="272">
        <f>IFERROR(V20/V15,"")</f>
        <v>0.781928356964992</v>
      </c>
      <c r="W24" s="273">
        <f>IFERROR(W20/W15,"")</f>
        <v>0.77169887729621</v>
      </c>
      <c r="X24" s="272">
        <f>IFERROR(X20/X15,"")</f>
        <v>0.814757133467465</v>
      </c>
      <c r="Y24" s="272">
        <f>IFERROR(Y20/Y15,"")</f>
        <v>0.812592535116159</v>
      </c>
      <c r="Z24" s="272">
        <f>IFERROR(Z20/Z15,"")</f>
        <v>0.80017920085465</v>
      </c>
      <c r="AA24" s="272">
        <f>IFERROR(AA20/AA15,"")</f>
        <v>0.792336042588422</v>
      </c>
      <c r="AB24" s="273">
        <f>IFERROR(AB20/AB15,"")</f>
        <v>0.804565798390047</v>
      </c>
      <c r="AC24" s="272">
        <f>IFERROR(AC20/AC15,"")</f>
        <v>0.818021280820703</v>
      </c>
      <c r="AD24" s="272">
        <f>IFERROR(AD20/AD15,"")</f>
        <v>0.791190289741582</v>
      </c>
      <c r="AE24" s="272">
        <f>IFERROR(AE20/AE15,"")</f>
        <v>0.784961483485285</v>
      </c>
      <c r="AF24" s="272">
        <f>IFERROR(AF20/AF15,"")</f>
        <v>0.819472027458216</v>
      </c>
      <c r="AG24" s="273">
        <f>IFERROR(AG20/AG15,"")</f>
        <v>0.804774933757901</v>
      </c>
      <c r="AH24" s="273">
        <f>IFERROR(AH20/AH15,"")</f>
        <v>0.794629012412047</v>
      </c>
      <c r="AI24" s="273">
        <f>IFERROR(AI20/AI15,"")</f>
        <v>0.869340650224146</v>
      </c>
    </row>
    <row r="25"/>
    <row r="26">
      <c r="C26" s="267" t="inlineStr">
        <is>
          <t>Transmissao - receita liquida por SPE, a 100% (R$ milhoes)</t>
        </is>
      </c>
      <c r="D26" s="267">
        <f>D7</f>
        <v>0</v>
      </c>
      <c r="E26" s="267">
        <f>E7</f>
        <v>0</v>
      </c>
      <c r="F26" s="267">
        <f>F7</f>
        <v>0</v>
      </c>
      <c r="G26" s="267">
        <f>G7</f>
        <v>0</v>
      </c>
      <c r="H26" s="267">
        <f>H7</f>
        <v>2020</v>
      </c>
      <c r="I26" s="267" t="str">
        <f>I7</f>
        <v>1Q21</v>
      </c>
      <c r="J26" s="267" t="str">
        <f>J7</f>
        <v>2Q21</v>
      </c>
      <c r="K26" s="267" t="str">
        <f>K7</f>
        <v>3Q21</v>
      </c>
      <c r="L26" s="267" t="str">
        <f>L7</f>
        <v>4Q21</v>
      </c>
      <c r="M26" s="267">
        <f>M7</f>
        <v>2021</v>
      </c>
      <c r="N26" s="267" t="str">
        <f>N7</f>
        <v>1Q22</v>
      </c>
      <c r="O26" s="267" t="str">
        <f>O7</f>
        <v>2Q22</v>
      </c>
      <c r="P26" s="267" t="str">
        <f>P7</f>
        <v>3Q22</v>
      </c>
      <c r="Q26" s="267" t="str">
        <f>Q7</f>
        <v>4Q22</v>
      </c>
      <c r="R26" s="267">
        <f>R7</f>
        <v>2022</v>
      </c>
      <c r="S26" s="267" t="str">
        <f>S7</f>
        <v>1Q23</v>
      </c>
      <c r="T26" s="267" t="str">
        <f>T7</f>
        <v>2Q23</v>
      </c>
      <c r="U26" s="267" t="str">
        <f>U7</f>
        <v>3Q23</v>
      </c>
      <c r="V26" s="267" t="str">
        <f>V7</f>
        <v>4Q23</v>
      </c>
      <c r="W26" s="267">
        <f>W7</f>
        <v>2023</v>
      </c>
      <c r="X26" s="267" t="str">
        <f>X7</f>
        <v>1Q24</v>
      </c>
      <c r="Y26" s="267" t="str">
        <f>Y7</f>
        <v>2Q24</v>
      </c>
      <c r="Z26" s="267" t="str">
        <f>Z7</f>
        <v>3Q24</v>
      </c>
      <c r="AA26" s="267" t="str">
        <f>AA7</f>
        <v>4Q24</v>
      </c>
      <c r="AB26" s="267">
        <f>AB7</f>
        <v>2024</v>
      </c>
      <c r="AC26" s="267" t="str">
        <f>AC7</f>
        <v>1Q25</v>
      </c>
      <c r="AD26" s="267" t="str">
        <f>AD7</f>
        <v>2Q25</v>
      </c>
      <c r="AE26" s="267" t="str">
        <f>AE7</f>
        <v>3Q25</v>
      </c>
      <c r="AF26" s="267" t="str">
        <f>AF7</f>
        <v>4Q25</v>
      </c>
      <c r="AG26" s="267">
        <f>AG7</f>
        <v>2025</v>
      </c>
      <c r="AH26" s="267" t="str">
        <f>AH7</f>
        <v>1Q26</v>
      </c>
      <c r="AI26" s="267" t="str">
        <f>AI7</f>
        <v>2Q26</v>
      </c>
    </row>
    <row r="27">
      <c r="C27" s="268" t="inlineStr">
        <is>
          <t xml:space="preserve">   Transudeste</t>
        </is>
      </c>
      <c r="D27" s="269" t="str">
        <f>IFERROR(INDEX('Inputs (2)'!$D$55:$AL$55,MATCH(D$7&amp;"",'Inputs (2)'!$D$2:$AL$2,0)),"")</f>
        <v/>
      </c>
      <c r="E27" s="269" t="str">
        <f>IFERROR(INDEX('Inputs (2)'!$D$55:$AL$55,MATCH(E$7&amp;"",'Inputs (2)'!$D$2:$AL$2,0)),"")</f>
        <v/>
      </c>
      <c r="F27" s="269" t="str">
        <f>IFERROR(INDEX('Inputs (2)'!$D$55:$AL$55,MATCH(F$7&amp;"",'Inputs (2)'!$D$2:$AL$2,0)),"")</f>
        <v/>
      </c>
      <c r="G27" s="269" t="str">
        <f>IFERROR(INDEX('Inputs (2)'!$D$55:$AL$55,MATCH(G$7&amp;"",'Inputs (2)'!$D$2:$AL$2,0)),"")</f>
        <v/>
      </c>
      <c r="H27" s="270" t="str">
        <f>IF(COUNT(D27:G27)=4,SUM(D27:G27),"")</f>
        <v/>
      </c>
      <c r="I27" s="269">
        <f>IFERROR(INDEX('Inputs (2)'!$D$55:$AL$55,MATCH(I$7&amp;"",'Inputs (2)'!$D$2:$AL$2,0)),"")</f>
        <v>8.888</v>
      </c>
      <c r="J27" s="269">
        <f>IFERROR(INDEX('Inputs (2)'!$D$55:$AL$55,MATCH(J$7&amp;"",'Inputs (2)'!$D$2:$AL$2,0)),"")</f>
        <v>11.76</v>
      </c>
      <c r="K27" s="269">
        <f>IFERROR(INDEX('Inputs (2)'!$D$55:$AL$55,MATCH(K$7&amp;"",'Inputs (2)'!$D$2:$AL$2,0)),"")</f>
        <v>5.991</v>
      </c>
      <c r="L27" s="269">
        <f>IFERROR(INDEX('Inputs (2)'!$D$55:$AL$55,MATCH(L$7&amp;"",'Inputs (2)'!$D$2:$AL$2,0)),"")</f>
        <v>4.276</v>
      </c>
      <c r="M27" s="270">
        <f>IF(COUNT(I27:L27)=4,SUM(I27:L27),"")</f>
        <v>30.915</v>
      </c>
      <c r="N27" s="269">
        <f>IFERROR(INDEX('Inputs (2)'!$D$55:$AL$55,MATCH(N$7&amp;"",'Inputs (2)'!$D$2:$AL$2,0)),"")</f>
        <v>8.09</v>
      </c>
      <c r="O27" s="269">
        <f>IFERROR(INDEX('Inputs (2)'!$D$55:$AL$55,MATCH(O$7&amp;"",'Inputs (2)'!$D$2:$AL$2,0)),"")</f>
        <v>7.591</v>
      </c>
      <c r="P27" s="269">
        <f>IFERROR(INDEX('Inputs (2)'!$D$55:$AL$55,MATCH(P$7&amp;"",'Inputs (2)'!$D$2:$AL$2,0)),"")</f>
        <v>4.552</v>
      </c>
      <c r="Q27" s="269">
        <f>IFERROR(INDEX('Inputs (2)'!$D$55:$AL$55,MATCH(Q$7&amp;"",'Inputs (2)'!$D$2:$AL$2,0)),"")</f>
        <v>2.359</v>
      </c>
      <c r="R27" s="270">
        <f>IF(COUNT(N27:Q27)=4,SUM(N27:Q27),"")</f>
        <v>22.592</v>
      </c>
      <c r="S27" s="269">
        <f>IFERROR(INDEX('Inputs (2)'!$D$55:$AL$55,MATCH(S$7&amp;"",'Inputs (2)'!$D$2:$AL$2,0)),"")</f>
        <v>4.895</v>
      </c>
      <c r="T27" s="269">
        <f>IFERROR(INDEX('Inputs (2)'!$D$55:$AL$55,MATCH(T$7&amp;"",'Inputs (2)'!$D$2:$AL$2,0)),"")</f>
        <v>2.117</v>
      </c>
      <c r="U27" s="269">
        <f>IFERROR(INDEX('Inputs (2)'!$D$55:$AL$55,MATCH(U$7&amp;"",'Inputs (2)'!$D$2:$AL$2,0)),"")</f>
        <v>2.107</v>
      </c>
      <c r="V27" s="269">
        <f>IFERROR(INDEX('Inputs (2)'!$D$55:$AL$55,MATCH(V$7&amp;"",'Inputs (2)'!$D$2:$AL$2,0)),"")</f>
        <v>5.225</v>
      </c>
      <c r="W27" s="270">
        <f>IF(COUNT(S27:V27)=4,SUM(S27:V27),"")</f>
        <v>14.344</v>
      </c>
      <c r="X27" s="269">
        <f>IFERROR(INDEX('Inputs (2)'!$D$55:$AL$55,MATCH(X$7&amp;"",'Inputs (2)'!$D$2:$AL$2,0)),"")</f>
        <v>4.328</v>
      </c>
      <c r="Y27" s="269">
        <f>IFERROR(INDEX('Inputs (2)'!$D$55:$AL$55,MATCH(Y$7&amp;"",'Inputs (2)'!$D$2:$AL$2,0)),"")</f>
        <v>4.699</v>
      </c>
      <c r="Z27" s="269">
        <f>IFERROR(INDEX('Inputs (2)'!$D$55:$AL$55,MATCH(Z$7&amp;"",'Inputs (2)'!$D$2:$AL$2,0)),"")</f>
        <v>5.314</v>
      </c>
      <c r="AA27" s="269">
        <f>IFERROR(INDEX('Inputs (2)'!$D$55:$AL$55,MATCH(AA$7&amp;"",'Inputs (2)'!$D$2:$AL$2,0)),"")</f>
        <v>6.68</v>
      </c>
      <c r="AB27" s="270">
        <f>IF(COUNT(X27:AA27)=4,SUM(X27:AA27),"")</f>
        <v>21.021</v>
      </c>
      <c r="AC27" s="269">
        <f>IFERROR(INDEX('Inputs (2)'!$D$55:$AL$55,MATCH(AC$7&amp;"",'Inputs (2)'!$D$2:$AL$2,0)),"")</f>
        <v>5.935</v>
      </c>
      <c r="AD27" s="269">
        <f>IFERROR(INDEX('Inputs (2)'!$D$55:$AL$55,MATCH(AD$7&amp;"",'Inputs (2)'!$D$2:$AL$2,0)),"")</f>
        <v>3.672</v>
      </c>
      <c r="AE27" s="269">
        <f>IFERROR(INDEX('Inputs (2)'!$D$55:$AL$55,MATCH(AE$7&amp;"",'Inputs (2)'!$D$2:$AL$2,0)),"")</f>
        <v>2.776</v>
      </c>
      <c r="AF27" s="269">
        <f>IFERROR(INDEX('Inputs (2)'!$D$55:$AL$55,MATCH(AF$7&amp;"",'Inputs (2)'!$D$2:$AL$2,0)),"")</f>
        <v>4.435</v>
      </c>
      <c r="AG27" s="270">
        <f>IF(COUNT(AC27:AF27)=4,SUM(AC27:AF27),"")</f>
        <v>16.818</v>
      </c>
      <c r="AH27" s="270">
        <f>IFERROR(INDEX('Inputs (2)'!$D$55:$AL$55,MATCH(AH$7&amp;"",'Inputs (2)'!$D$2:$AL$2,0)),"")</f>
        <v>3.928</v>
      </c>
      <c r="AI27" s="270">
        <f>IFERROR(INDEX('Inputs (2)'!$D$55:$AL$55,MATCH(AI$7&amp;"",'Inputs (2)'!$D$2:$AL$2,0)),"")</f>
        <v>7.235</v>
      </c>
    </row>
    <row r="28">
      <c r="C28" s="268" t="inlineStr">
        <is>
          <t xml:space="preserve">   Transleste</t>
        </is>
      </c>
      <c r="D28" s="269" t="str">
        <f>IFERROR(INDEX('Inputs (2)'!$D$56:$AL$56,MATCH(D$7&amp;"",'Inputs (2)'!$D$2:$AL$2,0)),"")</f>
        <v/>
      </c>
      <c r="E28" s="269" t="str">
        <f>IFERROR(INDEX('Inputs (2)'!$D$56:$AL$56,MATCH(E$7&amp;"",'Inputs (2)'!$D$2:$AL$2,0)),"")</f>
        <v/>
      </c>
      <c r="F28" s="269" t="str">
        <f>IFERROR(INDEX('Inputs (2)'!$D$56:$AL$56,MATCH(F$7&amp;"",'Inputs (2)'!$D$2:$AL$2,0)),"")</f>
        <v/>
      </c>
      <c r="G28" s="269" t="str">
        <f>IFERROR(INDEX('Inputs (2)'!$D$56:$AL$56,MATCH(G$7&amp;"",'Inputs (2)'!$D$2:$AL$2,0)),"")</f>
        <v/>
      </c>
      <c r="H28" s="270" t="str">
        <f>IF(COUNT(D28:G28)=4,SUM(D28:G28),"")</f>
        <v/>
      </c>
      <c r="I28" s="269">
        <f>IFERROR(INDEX('Inputs (2)'!$D$56:$AL$56,MATCH(I$7&amp;"",'Inputs (2)'!$D$2:$AL$2,0)),"")</f>
        <v>12.214</v>
      </c>
      <c r="J28" s="269">
        <f>IFERROR(INDEX('Inputs (2)'!$D$56:$AL$56,MATCH(J$7&amp;"",'Inputs (2)'!$D$2:$AL$2,0)),"")</f>
        <v>16.259</v>
      </c>
      <c r="K28" s="269">
        <f>IFERROR(INDEX('Inputs (2)'!$D$56:$AL$56,MATCH(K$7&amp;"",'Inputs (2)'!$D$2:$AL$2,0)),"")</f>
        <v>8.977</v>
      </c>
      <c r="L28" s="269">
        <f>IFERROR(INDEX('Inputs (2)'!$D$56:$AL$56,MATCH(L$7&amp;"",'Inputs (2)'!$D$2:$AL$2,0)),"")</f>
        <v>6.607</v>
      </c>
      <c r="M28" s="270">
        <f>IF(COUNT(I28:L28)=4,SUM(I28:L28),"")</f>
        <v>44.057</v>
      </c>
      <c r="N28" s="269">
        <f>IFERROR(INDEX('Inputs (2)'!$D$56:$AL$56,MATCH(N$7&amp;"",'Inputs (2)'!$D$2:$AL$2,0)),"")</f>
        <v>12.373</v>
      </c>
      <c r="O28" s="269">
        <f>IFERROR(INDEX('Inputs (2)'!$D$56:$AL$56,MATCH(O$7&amp;"",'Inputs (2)'!$D$2:$AL$2,0)),"")</f>
        <v>11.72</v>
      </c>
      <c r="P28" s="269">
        <f>IFERROR(INDEX('Inputs (2)'!$D$56:$AL$56,MATCH(P$7&amp;"",'Inputs (2)'!$D$2:$AL$2,0)),"")</f>
        <v>7.207</v>
      </c>
      <c r="Q28" s="269">
        <f>IFERROR(INDEX('Inputs (2)'!$D$56:$AL$56,MATCH(Q$7&amp;"",'Inputs (2)'!$D$2:$AL$2,0)),"")</f>
        <v>3.912</v>
      </c>
      <c r="R28" s="270">
        <f>IF(COUNT(N28:Q28)=4,SUM(N28:Q28),"")</f>
        <v>35.212</v>
      </c>
      <c r="S28" s="269">
        <f>IFERROR(INDEX('Inputs (2)'!$D$56:$AL$56,MATCH(S$7&amp;"",'Inputs (2)'!$D$2:$AL$2,0)),"")</f>
        <v>7.709</v>
      </c>
      <c r="T28" s="269">
        <f>IFERROR(INDEX('Inputs (2)'!$D$56:$AL$56,MATCH(T$7&amp;"",'Inputs (2)'!$D$2:$AL$2,0)),"")</f>
        <v>3.53</v>
      </c>
      <c r="U28" s="269">
        <f>IFERROR(INDEX('Inputs (2)'!$D$56:$AL$56,MATCH(U$7&amp;"",'Inputs (2)'!$D$2:$AL$2,0)),"")</f>
        <v>3.519</v>
      </c>
      <c r="V28" s="269">
        <f>IFERROR(INDEX('Inputs (2)'!$D$56:$AL$56,MATCH(V$7&amp;"",'Inputs (2)'!$D$2:$AL$2,0)),"")</f>
        <v>8.162</v>
      </c>
      <c r="W28" s="270">
        <f>IF(COUNT(S28:V28)=4,SUM(S28:V28),"")</f>
        <v>22.92</v>
      </c>
      <c r="X28" s="269">
        <f>IFERROR(INDEX('Inputs (2)'!$D$56:$AL$56,MATCH(X$7&amp;"",'Inputs (2)'!$D$2:$AL$2,0)),"")</f>
        <v>6.857</v>
      </c>
      <c r="Y28" s="269">
        <f>IFERROR(INDEX('Inputs (2)'!$D$56:$AL$56,MATCH(Y$7&amp;"",'Inputs (2)'!$D$2:$AL$2,0)),"")</f>
        <v>7.362</v>
      </c>
      <c r="Z28" s="269">
        <f>IFERROR(INDEX('Inputs (2)'!$D$56:$AL$56,MATCH(Z$7&amp;"",'Inputs (2)'!$D$2:$AL$2,0)),"")</f>
        <v>8.284</v>
      </c>
      <c r="AA28" s="269">
        <f>IFERROR(INDEX('Inputs (2)'!$D$56:$AL$56,MATCH(AA$7&amp;"",'Inputs (2)'!$D$2:$AL$2,0)),"")</f>
        <v>10.303</v>
      </c>
      <c r="AB28" s="270">
        <f>IF(COUNT(X28:AA28)=4,SUM(X28:AA28),"")</f>
        <v>32.806</v>
      </c>
      <c r="AC28" s="269">
        <f>IFERROR(INDEX('Inputs (2)'!$D$56:$AL$56,MATCH(AC$7&amp;"",'Inputs (2)'!$D$2:$AL$2,0)),"")</f>
        <v>9.195</v>
      </c>
      <c r="AD28" s="269">
        <f>IFERROR(INDEX('Inputs (2)'!$D$56:$AL$56,MATCH(AD$7&amp;"",'Inputs (2)'!$D$2:$AL$2,0)),"")</f>
        <v>5.859</v>
      </c>
      <c r="AE28" s="269">
        <f>IFERROR(INDEX('Inputs (2)'!$D$56:$AL$56,MATCH(AE$7&amp;"",'Inputs (2)'!$D$2:$AL$2,0)),"")</f>
        <v>4.573</v>
      </c>
      <c r="AF28" s="269">
        <f>IFERROR(INDEX('Inputs (2)'!$D$56:$AL$56,MATCH(AF$7&amp;"",'Inputs (2)'!$D$2:$AL$2,0)),"")</f>
        <v>6.627</v>
      </c>
      <c r="AG28" s="270">
        <f>IF(COUNT(AC28:AF28)=4,SUM(AC28:AF28),"")</f>
        <v>26.254</v>
      </c>
      <c r="AH28" s="270">
        <f>IFERROR(INDEX('Inputs (2)'!$D$56:$AL$56,MATCH(AH$7&amp;"",'Inputs (2)'!$D$2:$AL$2,0)),"")</f>
        <v>6.118</v>
      </c>
      <c r="AI28" s="270">
        <f>IFERROR(INDEX('Inputs (2)'!$D$56:$AL$56,MATCH(AI$7&amp;"",'Inputs (2)'!$D$2:$AL$2,0)),"")</f>
        <v>11.048</v>
      </c>
    </row>
    <row r="29">
      <c r="C29" s="268" t="inlineStr">
        <is>
          <t xml:space="preserve">   Transirapé</t>
        </is>
      </c>
      <c r="D29" s="269" t="str">
        <f>IFERROR(INDEX('Inputs (2)'!$D$57:$AL$57,MATCH(D$7&amp;"",'Inputs (2)'!$D$2:$AL$2,0)),"")</f>
        <v/>
      </c>
      <c r="E29" s="269" t="str">
        <f>IFERROR(INDEX('Inputs (2)'!$D$57:$AL$57,MATCH(E$7&amp;"",'Inputs (2)'!$D$2:$AL$2,0)),"")</f>
        <v/>
      </c>
      <c r="F29" s="269" t="str">
        <f>IFERROR(INDEX('Inputs (2)'!$D$57:$AL$57,MATCH(F$7&amp;"",'Inputs (2)'!$D$2:$AL$2,0)),"")</f>
        <v/>
      </c>
      <c r="G29" s="269" t="str">
        <f>IFERROR(INDEX('Inputs (2)'!$D$57:$AL$57,MATCH(G$7&amp;"",'Inputs (2)'!$D$2:$AL$2,0)),"")</f>
        <v/>
      </c>
      <c r="H29" s="270" t="str">
        <f>IF(COUNT(D29:G29)=4,SUM(D29:G29),"")</f>
        <v/>
      </c>
      <c r="I29" s="269">
        <f>IFERROR(INDEX('Inputs (2)'!$D$57:$AL$57,MATCH(I$7&amp;"",'Inputs (2)'!$D$2:$AL$2,0)),"")</f>
        <v>26.869</v>
      </c>
      <c r="J29" s="269">
        <f>IFERROR(INDEX('Inputs (2)'!$D$57:$AL$57,MATCH(J$7&amp;"",'Inputs (2)'!$D$2:$AL$2,0)),"")</f>
        <v>26.737</v>
      </c>
      <c r="K29" s="269">
        <f>IFERROR(INDEX('Inputs (2)'!$D$57:$AL$57,MATCH(K$7&amp;"",'Inputs (2)'!$D$2:$AL$2,0)),"")</f>
        <v>11.462</v>
      </c>
      <c r="L29" s="269">
        <f>IFERROR(INDEX('Inputs (2)'!$D$57:$AL$57,MATCH(L$7&amp;"",'Inputs (2)'!$D$2:$AL$2,0)),"")</f>
        <v>7.568</v>
      </c>
      <c r="M29" s="270">
        <f>IF(COUNT(I29:L29)=4,SUM(I29:L29),"")</f>
        <v>72.636</v>
      </c>
      <c r="N29" s="269">
        <f>IFERROR(INDEX('Inputs (2)'!$D$57:$AL$57,MATCH(N$7&amp;"",'Inputs (2)'!$D$2:$AL$2,0)),"")</f>
        <v>16.523</v>
      </c>
      <c r="O29" s="269">
        <f>IFERROR(INDEX('Inputs (2)'!$D$57:$AL$57,MATCH(O$7&amp;"",'Inputs (2)'!$D$2:$AL$2,0)),"")</f>
        <v>16.033</v>
      </c>
      <c r="P29" s="269">
        <f>IFERROR(INDEX('Inputs (2)'!$D$57:$AL$57,MATCH(P$7&amp;"",'Inputs (2)'!$D$2:$AL$2,0)),"")</f>
        <v>9.113</v>
      </c>
      <c r="Q29" s="269">
        <f>IFERROR(INDEX('Inputs (2)'!$D$57:$AL$57,MATCH(Q$7&amp;"",'Inputs (2)'!$D$2:$AL$2,0)),"")</f>
        <v>1.196</v>
      </c>
      <c r="R29" s="270">
        <f>IF(COUNT(N29:Q29)=4,SUM(N29:Q29),"")</f>
        <v>42.865</v>
      </c>
      <c r="S29" s="269">
        <f>IFERROR(INDEX('Inputs (2)'!$D$57:$AL$57,MATCH(S$7&amp;"",'Inputs (2)'!$D$2:$AL$2,0)),"")</f>
        <v>7.905</v>
      </c>
      <c r="T29" s="269">
        <f>IFERROR(INDEX('Inputs (2)'!$D$57:$AL$57,MATCH(T$7&amp;"",'Inputs (2)'!$D$2:$AL$2,0)),"")</f>
        <v>0.551</v>
      </c>
      <c r="U29" s="269">
        <f>IFERROR(INDEX('Inputs (2)'!$D$57:$AL$57,MATCH(U$7&amp;"",'Inputs (2)'!$D$2:$AL$2,0)),"")</f>
        <v>2.447</v>
      </c>
      <c r="V29" s="269">
        <f>IFERROR(INDEX('Inputs (2)'!$D$57:$AL$57,MATCH(V$7&amp;"",'Inputs (2)'!$D$2:$AL$2,0)),"")</f>
        <v>9.014</v>
      </c>
      <c r="W29" s="270">
        <f>IF(COUNT(S29:V29)=4,SUM(S29:V29),"")</f>
        <v>19.917</v>
      </c>
      <c r="X29" s="269">
        <f>IFERROR(INDEX('Inputs (2)'!$D$57:$AL$57,MATCH(X$7&amp;"",'Inputs (2)'!$D$2:$AL$2,0)),"")</f>
        <v>6.608</v>
      </c>
      <c r="Y29" s="269">
        <f>IFERROR(INDEX('Inputs (2)'!$D$57:$AL$57,MATCH(Y$7&amp;"",'Inputs (2)'!$D$2:$AL$2,0)),"")</f>
        <v>7.553</v>
      </c>
      <c r="Z29" s="269">
        <f>IFERROR(INDEX('Inputs (2)'!$D$57:$AL$57,MATCH(Z$7&amp;"",'Inputs (2)'!$D$2:$AL$2,0)),"")</f>
        <v>13.378</v>
      </c>
      <c r="AA29" s="269">
        <f>IFERROR(INDEX('Inputs (2)'!$D$57:$AL$57,MATCH(AA$7&amp;"",'Inputs (2)'!$D$2:$AL$2,0)),"")</f>
        <v>13.906</v>
      </c>
      <c r="AB29" s="270">
        <f>IF(COUNT(X29:AA29)=4,SUM(X29:AA29),"")</f>
        <v>41.445</v>
      </c>
      <c r="AC29" s="269">
        <f>IFERROR(INDEX('Inputs (2)'!$D$57:$AL$57,MATCH(AC$7&amp;"",'Inputs (2)'!$D$2:$AL$2,0)),"")</f>
        <v>12.179</v>
      </c>
      <c r="AD29" s="269">
        <f>IFERROR(INDEX('Inputs (2)'!$D$57:$AL$57,MATCH(AD$7&amp;"",'Inputs (2)'!$D$2:$AL$2,0)),"")</f>
        <v>5.952</v>
      </c>
      <c r="AE29" s="269">
        <f>IFERROR(INDEX('Inputs (2)'!$D$57:$AL$57,MATCH(AE$7&amp;"",'Inputs (2)'!$D$2:$AL$2,0)),"")</f>
        <v>2.723</v>
      </c>
      <c r="AF29" s="269">
        <f>IFERROR(INDEX('Inputs (2)'!$D$57:$AL$57,MATCH(AF$7&amp;"",'Inputs (2)'!$D$2:$AL$2,0)),"")</f>
        <v>21.417</v>
      </c>
      <c r="AG29" s="270">
        <f>IF(COUNT(AC29:AF29)=4,SUM(AC29:AF29),"")</f>
        <v>42.271</v>
      </c>
      <c r="AH29" s="270">
        <f>IFERROR(INDEX('Inputs (2)'!$D$57:$AL$57,MATCH(AH$7&amp;"",'Inputs (2)'!$D$2:$AL$2,0)),"")</f>
        <v>6.358</v>
      </c>
      <c r="AI29" s="270">
        <f>IFERROR(INDEX('Inputs (2)'!$D$57:$AL$57,MATCH(AI$7&amp;"",'Inputs (2)'!$D$2:$AL$2,0)),"")</f>
        <v>15.274</v>
      </c>
    </row>
    <row r="30">
      <c r="C30" s="268" t="inlineStr">
        <is>
          <t xml:space="preserve">   EATE</t>
        </is>
      </c>
      <c r="D30" s="269" t="str">
        <f>IFERROR(INDEX('Inputs (2)'!$D$58:$AL$58,MATCH(D$7&amp;"",'Inputs (2)'!$D$2:$AL$2,0)),"")</f>
        <v/>
      </c>
      <c r="E30" s="269" t="str">
        <f>IFERROR(INDEX('Inputs (2)'!$D$58:$AL$58,MATCH(E$7&amp;"",'Inputs (2)'!$D$2:$AL$2,0)),"")</f>
        <v/>
      </c>
      <c r="F30" s="269" t="str">
        <f>IFERROR(INDEX('Inputs (2)'!$D$58:$AL$58,MATCH(F$7&amp;"",'Inputs (2)'!$D$2:$AL$2,0)),"")</f>
        <v/>
      </c>
      <c r="G30" s="269" t="str">
        <f>IFERROR(INDEX('Inputs (2)'!$D$58:$AL$58,MATCH(G$7&amp;"",'Inputs (2)'!$D$2:$AL$2,0)),"")</f>
        <v/>
      </c>
      <c r="H30" s="270" t="str">
        <f>IF(COUNT(D30:G30)=4,SUM(D30:G30),"")</f>
        <v/>
      </c>
      <c r="I30" s="269">
        <f>IFERROR(INDEX('Inputs (2)'!$D$58:$AL$58,MATCH(I$7&amp;"",'Inputs (2)'!$D$2:$AL$2,0)),"")</f>
        <v>134.791</v>
      </c>
      <c r="J30" s="269">
        <f>IFERROR(INDEX('Inputs (2)'!$D$58:$AL$58,MATCH(J$7&amp;"",'Inputs (2)'!$D$2:$AL$2,0)),"")</f>
        <v>182.84</v>
      </c>
      <c r="K30" s="269">
        <f>IFERROR(INDEX('Inputs (2)'!$D$58:$AL$58,MATCH(K$7&amp;"",'Inputs (2)'!$D$2:$AL$2,0)),"")</f>
        <v>89.435</v>
      </c>
      <c r="L30" s="269">
        <f>IFERROR(INDEX('Inputs (2)'!$D$58:$AL$58,MATCH(L$7&amp;"",'Inputs (2)'!$D$2:$AL$2,0)),"")</f>
        <v>60.356</v>
      </c>
      <c r="M30" s="270">
        <f>IF(COUNT(I30:L30)=4,SUM(I30:L30),"")</f>
        <v>467.422</v>
      </c>
      <c r="N30" s="269">
        <f>IFERROR(INDEX('Inputs (2)'!$D$58:$AL$58,MATCH(N$7&amp;"",'Inputs (2)'!$D$2:$AL$2,0)),"")</f>
        <v>129.129</v>
      </c>
      <c r="O30" s="269">
        <f>IFERROR(INDEX('Inputs (2)'!$D$58:$AL$58,MATCH(O$7&amp;"",'Inputs (2)'!$D$2:$AL$2,0)),"")</f>
        <v>121.287</v>
      </c>
      <c r="P30" s="269">
        <f>IFERROR(INDEX('Inputs (2)'!$D$58:$AL$58,MATCH(P$7&amp;"",'Inputs (2)'!$D$2:$AL$2,0)),"")</f>
        <v>64.751</v>
      </c>
      <c r="Q30" s="269">
        <f>IFERROR(INDEX('Inputs (2)'!$D$58:$AL$58,MATCH(Q$7&amp;"",'Inputs (2)'!$D$2:$AL$2,0)),"")</f>
        <v>26.032</v>
      </c>
      <c r="R30" s="270">
        <f>IF(COUNT(N30:Q30)=4,SUM(N30:Q30),"")</f>
        <v>341.199</v>
      </c>
      <c r="S30" s="269">
        <f>IFERROR(INDEX('Inputs (2)'!$D$58:$AL$58,MATCH(S$7&amp;"",'Inputs (2)'!$D$2:$AL$2,0)),"")</f>
        <v>70.348</v>
      </c>
      <c r="T30" s="269">
        <f>IFERROR(INDEX('Inputs (2)'!$D$58:$AL$58,MATCH(T$7&amp;"",'Inputs (2)'!$D$2:$AL$2,0)),"")</f>
        <v>19.009</v>
      </c>
      <c r="U30" s="269">
        <f>IFERROR(INDEX('Inputs (2)'!$D$58:$AL$58,MATCH(U$7&amp;"",'Inputs (2)'!$D$2:$AL$2,0)),"")</f>
        <v>18.724</v>
      </c>
      <c r="V30" s="269">
        <f>IFERROR(INDEX('Inputs (2)'!$D$58:$AL$58,MATCH(V$7&amp;"",'Inputs (2)'!$D$2:$AL$2,0)),"")</f>
        <v>79.422</v>
      </c>
      <c r="W30" s="270">
        <f>IF(COUNT(S30:V30)=4,SUM(S30:V30),"")</f>
        <v>187.503</v>
      </c>
      <c r="X30" s="269">
        <f>IFERROR(INDEX('Inputs (2)'!$D$58:$AL$58,MATCH(X$7&amp;"",'Inputs (2)'!$D$2:$AL$2,0)),"")</f>
        <v>60.003</v>
      </c>
      <c r="Y30" s="269">
        <f>IFERROR(INDEX('Inputs (2)'!$D$58:$AL$58,MATCH(Y$7&amp;"",'Inputs (2)'!$D$2:$AL$2,0)),"")</f>
        <v>64.939</v>
      </c>
      <c r="Z30" s="269">
        <f>IFERROR(INDEX('Inputs (2)'!$D$58:$AL$58,MATCH(Z$7&amp;"",'Inputs (2)'!$D$2:$AL$2,0)),"")</f>
        <v>73.684</v>
      </c>
      <c r="AA30" s="269">
        <f>IFERROR(INDEX('Inputs (2)'!$D$58:$AL$58,MATCH(AA$7&amp;"",'Inputs (2)'!$D$2:$AL$2,0)),"")</f>
        <v>99.562</v>
      </c>
      <c r="AB30" s="270">
        <f>IF(COUNT(X30:AA30)=4,SUM(X30:AA30),"")</f>
        <v>298.188</v>
      </c>
      <c r="AC30" s="269">
        <f>IFERROR(INDEX('Inputs (2)'!$D$58:$AL$58,MATCH(AC$7&amp;"",'Inputs (2)'!$D$2:$AL$2,0)),"")</f>
        <v>84.531</v>
      </c>
      <c r="AD30" s="269">
        <f>IFERROR(INDEX('Inputs (2)'!$D$58:$AL$58,MATCH(AD$7&amp;"",'Inputs (2)'!$D$2:$AL$2,0)),"")</f>
        <v>48.536</v>
      </c>
      <c r="AE30" s="269">
        <f>IFERROR(INDEX('Inputs (2)'!$D$58:$AL$58,MATCH(AE$7&amp;"",'Inputs (2)'!$D$2:$AL$2,0)),"")</f>
        <v>72.832</v>
      </c>
      <c r="AF30" s="269">
        <f>IFERROR(INDEX('Inputs (2)'!$D$58:$AL$58,MATCH(AF$7&amp;"",'Inputs (2)'!$D$2:$AL$2,0)),"")</f>
        <v>84.444</v>
      </c>
      <c r="AG30" s="270">
        <f>IF(COUNT(AC30:AF30)=4,SUM(AC30:AF30),"")</f>
        <v>290.343</v>
      </c>
      <c r="AH30" s="270">
        <f>IFERROR(INDEX('Inputs (2)'!$D$58:$AL$58,MATCH(AH$7&amp;"",'Inputs (2)'!$D$2:$AL$2,0)),"")</f>
        <v>125.373</v>
      </c>
      <c r="AI30" s="270">
        <f>IFERROR(INDEX('Inputs (2)'!$D$58:$AL$58,MATCH(AI$7&amp;"",'Inputs (2)'!$D$2:$AL$2,0)),"")</f>
        <v>194.523</v>
      </c>
    </row>
    <row r="31">
      <c r="C31" s="268" t="inlineStr">
        <is>
          <t xml:space="preserve">   ETEP</t>
        </is>
      </c>
      <c r="D31" s="269" t="str">
        <f>IFERROR(INDEX('Inputs (2)'!$D$59:$AL$59,MATCH(D$7&amp;"",'Inputs (2)'!$D$2:$AL$2,0)),"")</f>
        <v/>
      </c>
      <c r="E31" s="269" t="str">
        <f>IFERROR(INDEX('Inputs (2)'!$D$59:$AL$59,MATCH(E$7&amp;"",'Inputs (2)'!$D$2:$AL$2,0)),"")</f>
        <v/>
      </c>
      <c r="F31" s="269" t="str">
        <f>IFERROR(INDEX('Inputs (2)'!$D$59:$AL$59,MATCH(F$7&amp;"",'Inputs (2)'!$D$2:$AL$2,0)),"")</f>
        <v/>
      </c>
      <c r="G31" s="269" t="str">
        <f>IFERROR(INDEX('Inputs (2)'!$D$59:$AL$59,MATCH(G$7&amp;"",'Inputs (2)'!$D$2:$AL$2,0)),"")</f>
        <v/>
      </c>
      <c r="H31" s="270" t="str">
        <f>IF(COUNT(D31:G31)=4,SUM(D31:G31),"")</f>
        <v/>
      </c>
      <c r="I31" s="269">
        <f>IFERROR(INDEX('Inputs (2)'!$D$59:$AL$59,MATCH(I$7&amp;"",'Inputs (2)'!$D$2:$AL$2,0)),"")</f>
        <v>30.299</v>
      </c>
      <c r="J31" s="269">
        <f>IFERROR(INDEX('Inputs (2)'!$D$59:$AL$59,MATCH(J$7&amp;"",'Inputs (2)'!$D$2:$AL$2,0)),"")</f>
        <v>41.039</v>
      </c>
      <c r="K31" s="269">
        <f>IFERROR(INDEX('Inputs (2)'!$D$59:$AL$59,MATCH(K$7&amp;"",'Inputs (2)'!$D$2:$AL$2,0)),"")</f>
        <v>20.165</v>
      </c>
      <c r="L31" s="269">
        <f>IFERROR(INDEX('Inputs (2)'!$D$59:$AL$59,MATCH(L$7&amp;"",'Inputs (2)'!$D$2:$AL$2,0)),"")</f>
        <v>5.949</v>
      </c>
      <c r="M31" s="270">
        <f>IF(COUNT(I31:L31)=4,SUM(I31:L31),"")</f>
        <v>97.452</v>
      </c>
      <c r="N31" s="269">
        <f>IFERROR(INDEX('Inputs (2)'!$D$59:$AL$59,MATCH(N$7&amp;"",'Inputs (2)'!$D$2:$AL$2,0)),"")</f>
        <v>29.092</v>
      </c>
      <c r="O31" s="269">
        <f>IFERROR(INDEX('Inputs (2)'!$D$59:$AL$59,MATCH(O$7&amp;"",'Inputs (2)'!$D$2:$AL$2,0)),"")</f>
        <v>26.372</v>
      </c>
      <c r="P31" s="269">
        <f>IFERROR(INDEX('Inputs (2)'!$D$59:$AL$59,MATCH(P$7&amp;"",'Inputs (2)'!$D$2:$AL$2,0)),"")</f>
        <v>14.811</v>
      </c>
      <c r="Q31" s="269">
        <f>IFERROR(INDEX('Inputs (2)'!$D$59:$AL$59,MATCH(Q$7&amp;"",'Inputs (2)'!$D$2:$AL$2,0)),"")</f>
        <v>6.241</v>
      </c>
      <c r="R31" s="270">
        <f>IF(COUNT(N31:Q31)=4,SUM(N31:Q31),"")</f>
        <v>76.516</v>
      </c>
      <c r="S31" s="269">
        <f>IFERROR(INDEX('Inputs (2)'!$D$59:$AL$59,MATCH(S$7&amp;"",'Inputs (2)'!$D$2:$AL$2,0)),"")</f>
        <v>16.005</v>
      </c>
      <c r="T31" s="269">
        <f>IFERROR(INDEX('Inputs (2)'!$D$59:$AL$59,MATCH(T$7&amp;"",'Inputs (2)'!$D$2:$AL$2,0)),"")</f>
        <v>4.288</v>
      </c>
      <c r="U31" s="269">
        <f>IFERROR(INDEX('Inputs (2)'!$D$59:$AL$59,MATCH(U$7&amp;"",'Inputs (2)'!$D$2:$AL$2,0)),"")</f>
        <v>5.467</v>
      </c>
      <c r="V31" s="269">
        <f>IFERROR(INDEX('Inputs (2)'!$D$59:$AL$59,MATCH(V$7&amp;"",'Inputs (2)'!$D$2:$AL$2,0)),"")</f>
        <v>17.654</v>
      </c>
      <c r="W31" s="270">
        <f>IF(COUNT(S31:V31)=4,SUM(S31:V31),"")</f>
        <v>43.414</v>
      </c>
      <c r="X31" s="269">
        <f>IFERROR(INDEX('Inputs (2)'!$D$59:$AL$59,MATCH(X$7&amp;"",'Inputs (2)'!$D$2:$AL$2,0)),"")</f>
        <v>13.681</v>
      </c>
      <c r="Y31" s="269">
        <f>IFERROR(INDEX('Inputs (2)'!$D$59:$AL$59,MATCH(Y$7&amp;"",'Inputs (2)'!$D$2:$AL$2,0)),"")</f>
        <v>14.856</v>
      </c>
      <c r="Z31" s="269">
        <f>IFERROR(INDEX('Inputs (2)'!$D$59:$AL$59,MATCH(Z$7&amp;"",'Inputs (2)'!$D$2:$AL$2,0)),"")</f>
        <v>16.837</v>
      </c>
      <c r="AA31" s="269">
        <f>IFERROR(INDEX('Inputs (2)'!$D$59:$AL$59,MATCH(AA$7&amp;"",'Inputs (2)'!$D$2:$AL$2,0)),"")</f>
        <v>22.467</v>
      </c>
      <c r="AB31" s="270">
        <f>IF(COUNT(X31:AA31)=4,SUM(X31:AA31),"")</f>
        <v>67.841</v>
      </c>
      <c r="AC31" s="269">
        <f>IFERROR(INDEX('Inputs (2)'!$D$59:$AL$59,MATCH(AC$7&amp;"",'Inputs (2)'!$D$2:$AL$2,0)),"")</f>
        <v>19.09</v>
      </c>
      <c r="AD31" s="269">
        <f>IFERROR(INDEX('Inputs (2)'!$D$59:$AL$59,MATCH(AD$7&amp;"",'Inputs (2)'!$D$2:$AL$2,0)),"")</f>
        <v>10.98</v>
      </c>
      <c r="AE31" s="269">
        <f>IFERROR(INDEX('Inputs (2)'!$D$59:$AL$59,MATCH(AE$7&amp;"",'Inputs (2)'!$D$2:$AL$2,0)),"")</f>
        <v>10.236</v>
      </c>
      <c r="AF31" s="269">
        <f>IFERROR(INDEX('Inputs (2)'!$D$59:$AL$59,MATCH(AF$7&amp;"",'Inputs (2)'!$D$2:$AL$2,0)),"")</f>
        <v>15.541</v>
      </c>
      <c r="AG31" s="270">
        <f>IF(COUNT(AC31:AF31)=4,SUM(AC31:AF31),"")</f>
        <v>55.847</v>
      </c>
      <c r="AH31" s="270">
        <f>IFERROR(INDEX('Inputs (2)'!$D$59:$AL$59,MATCH(AH$7&amp;"",'Inputs (2)'!$D$2:$AL$2,0)),"")</f>
        <v>12.463</v>
      </c>
      <c r="AI31" s="270">
        <f>IFERROR(INDEX('Inputs (2)'!$D$59:$AL$59,MATCH(AI$7&amp;"",'Inputs (2)'!$D$2:$AL$2,0)),"")</f>
        <v>21.406</v>
      </c>
    </row>
    <row r="32">
      <c r="C32" s="268" t="inlineStr">
        <is>
          <t xml:space="preserve">   ECTE</t>
        </is>
      </c>
      <c r="D32" s="269" t="str">
        <f>IFERROR(INDEX('Inputs (2)'!$D$60:$AL$60,MATCH(D$7&amp;"",'Inputs (2)'!$D$2:$AL$2,0)),"")</f>
        <v/>
      </c>
      <c r="E32" s="269" t="str">
        <f>IFERROR(INDEX('Inputs (2)'!$D$60:$AL$60,MATCH(E$7&amp;"",'Inputs (2)'!$D$2:$AL$2,0)),"")</f>
        <v/>
      </c>
      <c r="F32" s="269" t="str">
        <f>IFERROR(INDEX('Inputs (2)'!$D$60:$AL$60,MATCH(F$7&amp;"",'Inputs (2)'!$D$2:$AL$2,0)),"")</f>
        <v/>
      </c>
      <c r="G32" s="269" t="str">
        <f>IFERROR(INDEX('Inputs (2)'!$D$60:$AL$60,MATCH(G$7&amp;"",'Inputs (2)'!$D$2:$AL$2,0)),"")</f>
        <v/>
      </c>
      <c r="H32" s="270" t="str">
        <f>IF(COUNT(D32:G32)=4,SUM(D32:G32),"")</f>
        <v/>
      </c>
      <c r="I32" s="269">
        <f>IFERROR(INDEX('Inputs (2)'!$D$60:$AL$60,MATCH(I$7&amp;"",'Inputs (2)'!$D$2:$AL$2,0)),"")</f>
        <v>28.355</v>
      </c>
      <c r="J32" s="269">
        <f>IFERROR(INDEX('Inputs (2)'!$D$60:$AL$60,MATCH(J$7&amp;"",'Inputs (2)'!$D$2:$AL$2,0)),"")</f>
        <v>42.125</v>
      </c>
      <c r="K32" s="269">
        <f>IFERROR(INDEX('Inputs (2)'!$D$60:$AL$60,MATCH(K$7&amp;"",'Inputs (2)'!$D$2:$AL$2,0)),"")</f>
        <v>18.911</v>
      </c>
      <c r="L32" s="269">
        <f>IFERROR(INDEX('Inputs (2)'!$D$60:$AL$60,MATCH(L$7&amp;"",'Inputs (2)'!$D$2:$AL$2,0)),"")</f>
        <v>12.897</v>
      </c>
      <c r="M32" s="270">
        <f>IF(COUNT(I32:L32)=4,SUM(I32:L32),"")</f>
        <v>102.288</v>
      </c>
      <c r="N32" s="269">
        <f>IFERROR(INDEX('Inputs (2)'!$D$60:$AL$60,MATCH(N$7&amp;"",'Inputs (2)'!$D$2:$AL$2,0)),"")</f>
        <v>26.96</v>
      </c>
      <c r="O32" s="269">
        <f>IFERROR(INDEX('Inputs (2)'!$D$60:$AL$60,MATCH(O$7&amp;"",'Inputs (2)'!$D$2:$AL$2,0)),"")</f>
        <v>25.592</v>
      </c>
      <c r="P32" s="269">
        <f>IFERROR(INDEX('Inputs (2)'!$D$60:$AL$60,MATCH(P$7&amp;"",'Inputs (2)'!$D$2:$AL$2,0)),"")</f>
        <v>13.855</v>
      </c>
      <c r="Q32" s="269">
        <f>IFERROR(INDEX('Inputs (2)'!$D$60:$AL$60,MATCH(Q$7&amp;"",'Inputs (2)'!$D$2:$AL$2,0)),"")</f>
        <v>5.87</v>
      </c>
      <c r="R32" s="270">
        <f>IF(COUNT(N32:Q32)=4,SUM(N32:Q32),"")</f>
        <v>72.277</v>
      </c>
      <c r="S32" s="269">
        <f>IFERROR(INDEX('Inputs (2)'!$D$60:$AL$60,MATCH(S$7&amp;"",'Inputs (2)'!$D$2:$AL$2,0)),"")</f>
        <v>14.905</v>
      </c>
      <c r="T32" s="269">
        <f>IFERROR(INDEX('Inputs (2)'!$D$60:$AL$60,MATCH(T$7&amp;"",'Inputs (2)'!$D$2:$AL$2,0)),"")</f>
        <v>4.709</v>
      </c>
      <c r="U32" s="269">
        <f>IFERROR(INDEX('Inputs (2)'!$D$60:$AL$60,MATCH(U$7&amp;"",'Inputs (2)'!$D$2:$AL$2,0)),"")</f>
        <v>4.923</v>
      </c>
      <c r="V32" s="269">
        <f>IFERROR(INDEX('Inputs (2)'!$D$60:$AL$60,MATCH(V$7&amp;"",'Inputs (2)'!$D$2:$AL$2,0)),"")</f>
        <v>16.666</v>
      </c>
      <c r="W32" s="270">
        <f>IF(COUNT(S32:V32)=4,SUM(S32:V32),"")</f>
        <v>41.203</v>
      </c>
      <c r="X32" s="269">
        <f>IFERROR(INDEX('Inputs (2)'!$D$60:$AL$60,MATCH(X$7&amp;"",'Inputs (2)'!$D$2:$AL$2,0)),"")</f>
        <v>12.165</v>
      </c>
      <c r="Y32" s="269">
        <f>IFERROR(INDEX('Inputs (2)'!$D$60:$AL$60,MATCH(Y$7&amp;"",'Inputs (2)'!$D$2:$AL$2,0)),"")</f>
        <v>13.732</v>
      </c>
      <c r="Z32" s="269">
        <f>IFERROR(INDEX('Inputs (2)'!$D$60:$AL$60,MATCH(Z$7&amp;"",'Inputs (2)'!$D$2:$AL$2,0)),"")</f>
        <v>15.451</v>
      </c>
      <c r="AA32" s="269">
        <f>IFERROR(INDEX('Inputs (2)'!$D$60:$AL$60,MATCH(AA$7&amp;"",'Inputs (2)'!$D$2:$AL$2,0)),"")</f>
        <v>20.559</v>
      </c>
      <c r="AB32" s="270">
        <f>IF(COUNT(X32:AA32)=4,SUM(X32:AA32),"")</f>
        <v>61.907</v>
      </c>
      <c r="AC32" s="269">
        <f>IFERROR(INDEX('Inputs (2)'!$D$60:$AL$60,MATCH(AC$7&amp;"",'Inputs (2)'!$D$2:$AL$2,0)),"")</f>
        <v>17.456</v>
      </c>
      <c r="AD32" s="269">
        <f>IFERROR(INDEX('Inputs (2)'!$D$60:$AL$60,MATCH(AD$7&amp;"",'Inputs (2)'!$D$2:$AL$2,0)),"")</f>
        <v>10.101</v>
      </c>
      <c r="AE32" s="269">
        <f>IFERROR(INDEX('Inputs (2)'!$D$60:$AL$60,MATCH(AE$7&amp;"",'Inputs (2)'!$D$2:$AL$2,0)),"")</f>
        <v>7.39</v>
      </c>
      <c r="AF32" s="269">
        <f>IFERROR(INDEX('Inputs (2)'!$D$60:$AL$60,MATCH(AF$7&amp;"",'Inputs (2)'!$D$2:$AL$2,0)),"")</f>
        <v>11.758</v>
      </c>
      <c r="AG32" s="270">
        <f>IF(COUNT(AC32:AF32)=4,SUM(AC32:AF32),"")</f>
        <v>46.705</v>
      </c>
      <c r="AH32" s="270">
        <f>IFERROR(INDEX('Inputs (2)'!$D$60:$AL$60,MATCH(AH$7&amp;"",'Inputs (2)'!$D$2:$AL$2,0)),"")</f>
        <v>10.154</v>
      </c>
      <c r="AI32" s="270">
        <f>IFERROR(INDEX('Inputs (2)'!$D$60:$AL$60,MATCH(AI$7&amp;"",'Inputs (2)'!$D$2:$AL$2,0)),"")</f>
        <v>19.672</v>
      </c>
    </row>
    <row r="33">
      <c r="C33" s="268" t="inlineStr">
        <is>
          <t xml:space="preserve">   ENTE</t>
        </is>
      </c>
      <c r="D33" s="269" t="str">
        <f>IFERROR(INDEX('Inputs (2)'!$D$61:$AL$61,MATCH(D$7&amp;"",'Inputs (2)'!$D$2:$AL$2,0)),"")</f>
        <v/>
      </c>
      <c r="E33" s="269" t="str">
        <f>IFERROR(INDEX('Inputs (2)'!$D$61:$AL$61,MATCH(E$7&amp;"",'Inputs (2)'!$D$2:$AL$2,0)),"")</f>
        <v/>
      </c>
      <c r="F33" s="269" t="str">
        <f>IFERROR(INDEX('Inputs (2)'!$D$61:$AL$61,MATCH(F$7&amp;"",'Inputs (2)'!$D$2:$AL$2,0)),"")</f>
        <v/>
      </c>
      <c r="G33" s="269" t="str">
        <f>IFERROR(INDEX('Inputs (2)'!$D$61:$AL$61,MATCH(G$7&amp;"",'Inputs (2)'!$D$2:$AL$2,0)),"")</f>
        <v/>
      </c>
      <c r="H33" s="270" t="str">
        <f>IF(COUNT(D33:G33)=4,SUM(D33:G33),"")</f>
        <v/>
      </c>
      <c r="I33" s="269">
        <f>IFERROR(INDEX('Inputs (2)'!$D$61:$AL$61,MATCH(I$7&amp;"",'Inputs (2)'!$D$2:$AL$2,0)),"")</f>
        <v>65.089</v>
      </c>
      <c r="J33" s="269">
        <f>IFERROR(INDEX('Inputs (2)'!$D$61:$AL$61,MATCH(J$7&amp;"",'Inputs (2)'!$D$2:$AL$2,0)),"")</f>
        <v>85.88</v>
      </c>
      <c r="K33" s="269">
        <f>IFERROR(INDEX('Inputs (2)'!$D$61:$AL$61,MATCH(K$7&amp;"",'Inputs (2)'!$D$2:$AL$2,0)),"")</f>
        <v>47.993</v>
      </c>
      <c r="L33" s="269">
        <f>IFERROR(INDEX('Inputs (2)'!$D$61:$AL$61,MATCH(L$7&amp;"",'Inputs (2)'!$D$2:$AL$2,0)),"")</f>
        <v>35.666</v>
      </c>
      <c r="M33" s="270">
        <f>IF(COUNT(I33:L33)=4,SUM(I33:L33),"")</f>
        <v>234.628</v>
      </c>
      <c r="N33" s="269">
        <f>IFERROR(INDEX('Inputs (2)'!$D$61:$AL$61,MATCH(N$7&amp;"",'Inputs (2)'!$D$2:$AL$2,0)),"")</f>
        <v>65.698</v>
      </c>
      <c r="O33" s="269">
        <f>IFERROR(INDEX('Inputs (2)'!$D$61:$AL$61,MATCH(O$7&amp;"",'Inputs (2)'!$D$2:$AL$2,0)),"")</f>
        <v>62.298</v>
      </c>
      <c r="P33" s="269">
        <f>IFERROR(INDEX('Inputs (2)'!$D$61:$AL$61,MATCH(P$7&amp;"",'Inputs (2)'!$D$2:$AL$2,0)),"")</f>
        <v>38.456</v>
      </c>
      <c r="Q33" s="269">
        <f>IFERROR(INDEX('Inputs (2)'!$D$61:$AL$61,MATCH(Q$7&amp;"",'Inputs (2)'!$D$2:$AL$2,0)),"")</f>
        <v>21.491</v>
      </c>
      <c r="R33" s="270">
        <f>IF(COUNT(N33:Q33)=4,SUM(N33:Q33),"")</f>
        <v>187.943</v>
      </c>
      <c r="S33" s="269">
        <f>IFERROR(INDEX('Inputs (2)'!$D$61:$AL$61,MATCH(S$7&amp;"",'Inputs (2)'!$D$2:$AL$2,0)),"")</f>
        <v>41.141</v>
      </c>
      <c r="T33" s="269">
        <f>IFERROR(INDEX('Inputs (2)'!$D$61:$AL$61,MATCH(T$7&amp;"",'Inputs (2)'!$D$2:$AL$2,0)),"")</f>
        <v>19.332</v>
      </c>
      <c r="U33" s="269">
        <f>IFERROR(INDEX('Inputs (2)'!$D$61:$AL$61,MATCH(U$7&amp;"",'Inputs (2)'!$D$2:$AL$2,0)),"")</f>
        <v>19.405</v>
      </c>
      <c r="V33" s="269">
        <f>IFERROR(INDEX('Inputs (2)'!$D$61:$AL$61,MATCH(V$7&amp;"",'Inputs (2)'!$D$2:$AL$2,0)),"")</f>
        <v>42.473</v>
      </c>
      <c r="W33" s="270">
        <f>IF(COUNT(S33:V33)=4,SUM(S33:V33),"")</f>
        <v>122.351</v>
      </c>
      <c r="X33" s="269">
        <f>IFERROR(INDEX('Inputs (2)'!$D$61:$AL$61,MATCH(X$7&amp;"",'Inputs (2)'!$D$2:$AL$2,0)),"")</f>
        <v>36.47</v>
      </c>
      <c r="Y33" s="269">
        <f>IFERROR(INDEX('Inputs (2)'!$D$61:$AL$61,MATCH(Y$7&amp;"",'Inputs (2)'!$D$2:$AL$2,0)),"")</f>
        <v>31.858</v>
      </c>
      <c r="Z33" s="269">
        <f>IFERROR(INDEX('Inputs (2)'!$D$61:$AL$61,MATCH(Z$7&amp;"",'Inputs (2)'!$D$2:$AL$2,0)),"")</f>
        <v>43.194</v>
      </c>
      <c r="AA33" s="269">
        <f>IFERROR(INDEX('Inputs (2)'!$D$61:$AL$61,MATCH(AA$7&amp;"",'Inputs (2)'!$D$2:$AL$2,0)),"")</f>
        <v>54.036</v>
      </c>
      <c r="AB33" s="270">
        <f>IF(COUNT(X33:AA33)=4,SUM(X33:AA33),"")</f>
        <v>165.558</v>
      </c>
      <c r="AC33" s="269">
        <f>IFERROR(INDEX('Inputs (2)'!$D$61:$AL$61,MATCH(AC$7&amp;"",'Inputs (2)'!$D$2:$AL$2,0)),"")</f>
        <v>48.236</v>
      </c>
      <c r="AD33" s="269">
        <f>IFERROR(INDEX('Inputs (2)'!$D$61:$AL$61,MATCH(AD$7&amp;"",'Inputs (2)'!$D$2:$AL$2,0)),"")</f>
        <v>31.218</v>
      </c>
      <c r="AE33" s="269">
        <f>IFERROR(INDEX('Inputs (2)'!$D$61:$AL$61,MATCH(AE$7&amp;"",'Inputs (2)'!$D$2:$AL$2,0)),"")</f>
        <v>31.858</v>
      </c>
      <c r="AF33" s="269">
        <f>IFERROR(INDEX('Inputs (2)'!$D$61:$AL$61,MATCH(AF$7&amp;"",'Inputs (2)'!$D$2:$AL$2,0)),"")</f>
        <v>37.352</v>
      </c>
      <c r="AG33" s="270">
        <f>IF(COUNT(AC33:AF33)=4,SUM(AC33:AF33),"")</f>
        <v>148.664</v>
      </c>
      <c r="AH33" s="270">
        <f>IFERROR(INDEX('Inputs (2)'!$D$61:$AL$61,MATCH(AH$7&amp;"",'Inputs (2)'!$D$2:$AL$2,0)),"")</f>
        <v>54.445</v>
      </c>
      <c r="AI33" s="270">
        <f>IFERROR(INDEX('Inputs (2)'!$D$61:$AL$61,MATCH(AI$7&amp;"",'Inputs (2)'!$D$2:$AL$2,0)),"")</f>
        <v>87.224</v>
      </c>
    </row>
    <row r="34">
      <c r="C34" s="268" t="inlineStr">
        <is>
          <t xml:space="preserve">   ERTE</t>
        </is>
      </c>
      <c r="D34" s="269" t="str">
        <f>IFERROR(INDEX('Inputs (2)'!$D$62:$AL$62,MATCH(D$7&amp;"",'Inputs (2)'!$D$2:$AL$2,0)),"")</f>
        <v/>
      </c>
      <c r="E34" s="269" t="str">
        <f>IFERROR(INDEX('Inputs (2)'!$D$62:$AL$62,MATCH(E$7&amp;"",'Inputs (2)'!$D$2:$AL$2,0)),"")</f>
        <v/>
      </c>
      <c r="F34" s="269" t="str">
        <f>IFERROR(INDEX('Inputs (2)'!$D$62:$AL$62,MATCH(F$7&amp;"",'Inputs (2)'!$D$2:$AL$2,0)),"")</f>
        <v/>
      </c>
      <c r="G34" s="269" t="str">
        <f>IFERROR(INDEX('Inputs (2)'!$D$62:$AL$62,MATCH(G$7&amp;"",'Inputs (2)'!$D$2:$AL$2,0)),"")</f>
        <v/>
      </c>
      <c r="H34" s="270" t="str">
        <f>IF(COUNT(D34:G34)=4,SUM(D34:G34),"")</f>
        <v/>
      </c>
      <c r="I34" s="269">
        <f>IFERROR(INDEX('Inputs (2)'!$D$62:$AL$62,MATCH(I$7&amp;"",'Inputs (2)'!$D$2:$AL$2,0)),"")</f>
        <v>14.836</v>
      </c>
      <c r="J34" s="269">
        <f>IFERROR(INDEX('Inputs (2)'!$D$62:$AL$62,MATCH(J$7&amp;"",'Inputs (2)'!$D$2:$AL$2,0)),"")</f>
        <v>17.116</v>
      </c>
      <c r="K34" s="269">
        <f>IFERROR(INDEX('Inputs (2)'!$D$62:$AL$62,MATCH(K$7&amp;"",'Inputs (2)'!$D$2:$AL$2,0)),"")</f>
        <v>9.208</v>
      </c>
      <c r="L34" s="269">
        <f>IFERROR(INDEX('Inputs (2)'!$D$62:$AL$62,MATCH(L$7&amp;"",'Inputs (2)'!$D$2:$AL$2,0)),"")</f>
        <v>7.682</v>
      </c>
      <c r="M34" s="270">
        <f>IF(COUNT(I34:L34)=4,SUM(I34:L34),"")</f>
        <v>48.842</v>
      </c>
      <c r="N34" s="269">
        <f>IFERROR(INDEX('Inputs (2)'!$D$62:$AL$62,MATCH(N$7&amp;"",'Inputs (2)'!$D$2:$AL$2,0)),"")</f>
        <v>13.059</v>
      </c>
      <c r="O34" s="269">
        <f>IFERROR(INDEX('Inputs (2)'!$D$62:$AL$62,MATCH(O$7&amp;"",'Inputs (2)'!$D$2:$AL$2,0)),"")</f>
        <v>1.859</v>
      </c>
      <c r="P34" s="269">
        <f>IFERROR(INDEX('Inputs (2)'!$D$62:$AL$62,MATCH(P$7&amp;"",'Inputs (2)'!$D$2:$AL$2,0)),"")</f>
        <v>12.35</v>
      </c>
      <c r="Q34" s="269">
        <f>IFERROR(INDEX('Inputs (2)'!$D$62:$AL$62,MATCH(Q$7&amp;"",'Inputs (2)'!$D$2:$AL$2,0)),"")</f>
        <v>2.303</v>
      </c>
      <c r="R34" s="270">
        <f>IF(COUNT(N34:Q34)=4,SUM(N34:Q34),"")</f>
        <v>29.571</v>
      </c>
      <c r="S34" s="269">
        <f>IFERROR(INDEX('Inputs (2)'!$D$62:$AL$62,MATCH(S$7&amp;"",'Inputs (2)'!$D$2:$AL$2,0)),"")</f>
        <v>7.839</v>
      </c>
      <c r="T34" s="269">
        <f>IFERROR(INDEX('Inputs (2)'!$D$62:$AL$62,MATCH(T$7&amp;"",'Inputs (2)'!$D$2:$AL$2,0)),"")</f>
        <v>4.685</v>
      </c>
      <c r="U34" s="269">
        <f>IFERROR(INDEX('Inputs (2)'!$D$62:$AL$62,MATCH(U$7&amp;"",'Inputs (2)'!$D$2:$AL$2,0)),"")</f>
        <v>3.546</v>
      </c>
      <c r="V34" s="269">
        <f>IFERROR(INDEX('Inputs (2)'!$D$62:$AL$62,MATCH(V$7&amp;"",'Inputs (2)'!$D$2:$AL$2,0)),"")</f>
        <v>10.455</v>
      </c>
      <c r="W34" s="270">
        <f>IF(COUNT(S34:V34)=4,SUM(S34:V34),"")</f>
        <v>26.525</v>
      </c>
      <c r="X34" s="269">
        <f>IFERROR(INDEX('Inputs (2)'!$D$62:$AL$62,MATCH(X$7&amp;"",'Inputs (2)'!$D$2:$AL$2,0)),"")</f>
        <v>7.97</v>
      </c>
      <c r="Y34" s="269">
        <f>IFERROR(INDEX('Inputs (2)'!$D$62:$AL$62,MATCH(Y$7&amp;"",'Inputs (2)'!$D$2:$AL$2,0)),"")</f>
        <v>8.7</v>
      </c>
      <c r="Z34" s="269">
        <f>IFERROR(INDEX('Inputs (2)'!$D$62:$AL$62,MATCH(Z$7&amp;"",'Inputs (2)'!$D$2:$AL$2,0)),"")</f>
        <v>9.877</v>
      </c>
      <c r="AA34" s="269">
        <f>IFERROR(INDEX('Inputs (2)'!$D$62:$AL$62,MATCH(AA$7&amp;"",'Inputs (2)'!$D$2:$AL$2,0)),"")</f>
        <v>12.384</v>
      </c>
      <c r="AB34" s="270">
        <f>IF(COUNT(X34:AA34)=4,SUM(X34:AA34),"")</f>
        <v>38.931</v>
      </c>
      <c r="AC34" s="269">
        <f>IFERROR(INDEX('Inputs (2)'!$D$62:$AL$62,MATCH(AC$7&amp;"",'Inputs (2)'!$D$2:$AL$2,0)),"")</f>
        <v>10.964</v>
      </c>
      <c r="AD34" s="269">
        <f>IFERROR(INDEX('Inputs (2)'!$D$62:$AL$62,MATCH(AD$7&amp;"",'Inputs (2)'!$D$2:$AL$2,0)),"")</f>
        <v>6.711</v>
      </c>
      <c r="AE34" s="269">
        <f>IFERROR(INDEX('Inputs (2)'!$D$62:$AL$62,MATCH(AE$7&amp;"",'Inputs (2)'!$D$2:$AL$2,0)),"")</f>
        <v>4.977</v>
      </c>
      <c r="AF34" s="269">
        <f>IFERROR(INDEX('Inputs (2)'!$D$62:$AL$62,MATCH(AF$7&amp;"",'Inputs (2)'!$D$2:$AL$2,0)),"")</f>
        <v>17.054</v>
      </c>
      <c r="AG34" s="270">
        <f>IF(COUNT(AC34:AF34)=4,SUM(AC34:AF34),"")</f>
        <v>39.706</v>
      </c>
      <c r="AH34" s="270">
        <f>IFERROR(INDEX('Inputs (2)'!$D$62:$AL$62,MATCH(AH$7&amp;"",'Inputs (2)'!$D$2:$AL$2,0)),"")</f>
        <v>7.243</v>
      </c>
      <c r="AI34" s="270">
        <f>IFERROR(INDEX('Inputs (2)'!$D$62:$AL$62,MATCH(AI$7&amp;"",'Inputs (2)'!$D$2:$AL$2,0)),"")</f>
        <v>13.286</v>
      </c>
    </row>
    <row r="35">
      <c r="C35" s="268" t="inlineStr">
        <is>
          <t xml:space="preserve">   EBTE</t>
        </is>
      </c>
      <c r="D35" s="269" t="str">
        <f>IFERROR(INDEX('Inputs (2)'!$D$63:$AL$63,MATCH(D$7&amp;"",'Inputs (2)'!$D$2:$AL$2,0)),"")</f>
        <v/>
      </c>
      <c r="E35" s="269" t="str">
        <f>IFERROR(INDEX('Inputs (2)'!$D$63:$AL$63,MATCH(E$7&amp;"",'Inputs (2)'!$D$2:$AL$2,0)),"")</f>
        <v/>
      </c>
      <c r="F35" s="269" t="str">
        <f>IFERROR(INDEX('Inputs (2)'!$D$63:$AL$63,MATCH(F$7&amp;"",'Inputs (2)'!$D$2:$AL$2,0)),"")</f>
        <v/>
      </c>
      <c r="G35" s="269" t="str">
        <f>IFERROR(INDEX('Inputs (2)'!$D$63:$AL$63,MATCH(G$7&amp;"",'Inputs (2)'!$D$2:$AL$2,0)),"")</f>
        <v/>
      </c>
      <c r="H35" s="270" t="str">
        <f>IF(COUNT(D35:G35)=4,SUM(D35:G35),"")</f>
        <v/>
      </c>
      <c r="I35" s="269">
        <f>IFERROR(INDEX('Inputs (2)'!$D$63:$AL$63,MATCH(I$7&amp;"",'Inputs (2)'!$D$2:$AL$2,0)),"")</f>
        <v>19.255</v>
      </c>
      <c r="J35" s="269">
        <f>IFERROR(INDEX('Inputs (2)'!$D$63:$AL$63,MATCH(J$7&amp;"",'Inputs (2)'!$D$2:$AL$2,0)),"")</f>
        <v>18.39</v>
      </c>
      <c r="K35" s="269">
        <f>IFERROR(INDEX('Inputs (2)'!$D$63:$AL$63,MATCH(K$7&amp;"",'Inputs (2)'!$D$2:$AL$2,0)),"")</f>
        <v>19.595</v>
      </c>
      <c r="L35" s="269">
        <f>IFERROR(INDEX('Inputs (2)'!$D$63:$AL$63,MATCH(L$7&amp;"",'Inputs (2)'!$D$2:$AL$2,0)),"")</f>
        <v>22.928</v>
      </c>
      <c r="M35" s="270">
        <f>IF(COUNT(I35:L35)=4,SUM(I35:L35),"")</f>
        <v>80.168</v>
      </c>
      <c r="N35" s="269">
        <f>IFERROR(INDEX('Inputs (2)'!$D$63:$AL$63,MATCH(N$7&amp;"",'Inputs (2)'!$D$2:$AL$2,0)),"")</f>
        <v>20.26</v>
      </c>
      <c r="O35" s="269">
        <f>IFERROR(INDEX('Inputs (2)'!$D$63:$AL$63,MATCH(O$7&amp;"",'Inputs (2)'!$D$2:$AL$2,0)),"")</f>
        <v>25.002</v>
      </c>
      <c r="P35" s="269">
        <f>IFERROR(INDEX('Inputs (2)'!$D$63:$AL$63,MATCH(P$7&amp;"",'Inputs (2)'!$D$2:$AL$2,0)),"")</f>
        <v>8.49</v>
      </c>
      <c r="Q35" s="269">
        <f>IFERROR(INDEX('Inputs (2)'!$D$63:$AL$63,MATCH(Q$7&amp;"",'Inputs (2)'!$D$2:$AL$2,0)),"")</f>
        <v>17.525</v>
      </c>
      <c r="R35" s="270">
        <f>IF(COUNT(N35:Q35)=4,SUM(N35:Q35),"")</f>
        <v>71.277</v>
      </c>
      <c r="S35" s="269">
        <f>IFERROR(INDEX('Inputs (2)'!$D$63:$AL$63,MATCH(S$7&amp;"",'Inputs (2)'!$D$2:$AL$2,0)),"")</f>
        <v>22.924</v>
      </c>
      <c r="T35" s="269">
        <f>IFERROR(INDEX('Inputs (2)'!$D$63:$AL$63,MATCH(T$7&amp;"",'Inputs (2)'!$D$2:$AL$2,0)),"")</f>
        <v>21.243</v>
      </c>
      <c r="U35" s="269">
        <f>IFERROR(INDEX('Inputs (2)'!$D$63:$AL$63,MATCH(U$7&amp;"",'Inputs (2)'!$D$2:$AL$2,0)),"")</f>
        <v>12.336</v>
      </c>
      <c r="V35" s="269">
        <f>IFERROR(INDEX('Inputs (2)'!$D$63:$AL$63,MATCH(V$7&amp;"",'Inputs (2)'!$D$2:$AL$2,0)),"")</f>
        <v>14.833</v>
      </c>
      <c r="W35" s="270">
        <f>IF(COUNT(S35:V35)=4,SUM(S35:V35),"")</f>
        <v>71.336</v>
      </c>
      <c r="X35" s="269">
        <f>IFERROR(INDEX('Inputs (2)'!$D$63:$AL$63,MATCH(X$7&amp;"",'Inputs (2)'!$D$2:$AL$2,0)),"")</f>
        <v>19.503</v>
      </c>
      <c r="Y35" s="269">
        <f>IFERROR(INDEX('Inputs (2)'!$D$63:$AL$63,MATCH(Y$7&amp;"",'Inputs (2)'!$D$2:$AL$2,0)),"")</f>
        <v>16.12</v>
      </c>
      <c r="Z35" s="269">
        <f>IFERROR(INDEX('Inputs (2)'!$D$63:$AL$63,MATCH(Z$7&amp;"",'Inputs (2)'!$D$2:$AL$2,0)),"")</f>
        <v>15.327</v>
      </c>
      <c r="AA35" s="269">
        <f>IFERROR(INDEX('Inputs (2)'!$D$63:$AL$63,MATCH(AA$7&amp;"",'Inputs (2)'!$D$2:$AL$2,0)),"")</f>
        <v>17.97</v>
      </c>
      <c r="AB35" s="270">
        <f>IF(COUNT(X35:AA35)=4,SUM(X35:AA35),"")</f>
        <v>68.92</v>
      </c>
      <c r="AC35" s="269">
        <f>IFERROR(INDEX('Inputs (2)'!$D$63:$AL$63,MATCH(AC$7&amp;"",'Inputs (2)'!$D$2:$AL$2,0)),"")</f>
        <v>22.331</v>
      </c>
      <c r="AD35" s="269">
        <f>IFERROR(INDEX('Inputs (2)'!$D$63:$AL$63,MATCH(AD$7&amp;"",'Inputs (2)'!$D$2:$AL$2,0)),"")</f>
        <v>19.45</v>
      </c>
      <c r="AE35" s="269">
        <f>IFERROR(INDEX('Inputs (2)'!$D$63:$AL$63,MATCH(AE$7&amp;"",'Inputs (2)'!$D$2:$AL$2,0)),"")</f>
        <v>15.263</v>
      </c>
      <c r="AF35" s="269">
        <f>IFERROR(INDEX('Inputs (2)'!$D$63:$AL$63,MATCH(AF$7&amp;"",'Inputs (2)'!$D$2:$AL$2,0)),"")</f>
        <v>20.256</v>
      </c>
      <c r="AG35" s="270">
        <f>IF(COUNT(AC35:AF35)=4,SUM(AC35:AF35),"")</f>
        <v>77.3</v>
      </c>
      <c r="AH35" s="270">
        <f>IFERROR(INDEX('Inputs (2)'!$D$63:$AL$63,MATCH(AH$7&amp;"",'Inputs (2)'!$D$2:$AL$2,0)),"")</f>
        <v>19.948</v>
      </c>
      <c r="AI35" s="270">
        <f>IFERROR(INDEX('Inputs (2)'!$D$63:$AL$63,MATCH(AI$7&amp;"",'Inputs (2)'!$D$2:$AL$2,0)),"")</f>
        <v>23.762</v>
      </c>
    </row>
    <row r="36">
      <c r="C36" s="268" t="inlineStr">
        <is>
          <t xml:space="preserve">   Lumitrans</t>
        </is>
      </c>
      <c r="D36" s="269" t="str">
        <f>IFERROR(INDEX('Inputs (2)'!$D$64:$AL$64,MATCH(D$7&amp;"",'Inputs (2)'!$D$2:$AL$2,0)),"")</f>
        <v/>
      </c>
      <c r="E36" s="269" t="str">
        <f>IFERROR(INDEX('Inputs (2)'!$D$64:$AL$64,MATCH(E$7&amp;"",'Inputs (2)'!$D$2:$AL$2,0)),"")</f>
        <v/>
      </c>
      <c r="F36" s="269" t="str">
        <f>IFERROR(INDEX('Inputs (2)'!$D$64:$AL$64,MATCH(F$7&amp;"",'Inputs (2)'!$D$2:$AL$2,0)),"")</f>
        <v/>
      </c>
      <c r="G36" s="269" t="str">
        <f>IFERROR(INDEX('Inputs (2)'!$D$64:$AL$64,MATCH(G$7&amp;"",'Inputs (2)'!$D$2:$AL$2,0)),"")</f>
        <v/>
      </c>
      <c r="H36" s="270" t="str">
        <f>IF(COUNT(D36:G36)=4,SUM(D36:G36),"")</f>
        <v/>
      </c>
      <c r="I36" s="269">
        <f>IFERROR(INDEX('Inputs (2)'!$D$64:$AL$64,MATCH(I$7&amp;"",'Inputs (2)'!$D$2:$AL$2,0)),"")</f>
        <v>9.915</v>
      </c>
      <c r="J36" s="269">
        <f>IFERROR(INDEX('Inputs (2)'!$D$64:$AL$64,MATCH(J$7&amp;"",'Inputs (2)'!$D$2:$AL$2,0)),"")</f>
        <v>13.118</v>
      </c>
      <c r="K36" s="269">
        <f>IFERROR(INDEX('Inputs (2)'!$D$64:$AL$64,MATCH(K$7&amp;"",'Inputs (2)'!$D$2:$AL$2,0)),"")</f>
        <v>6.583</v>
      </c>
      <c r="L36" s="269">
        <f>IFERROR(INDEX('Inputs (2)'!$D$64:$AL$64,MATCH(L$7&amp;"",'Inputs (2)'!$D$2:$AL$2,0)),"")</f>
        <v>4.921</v>
      </c>
      <c r="M36" s="270">
        <f>IF(COUNT(I36:L36)=4,SUM(I36:L36),"")</f>
        <v>34.537</v>
      </c>
      <c r="N36" s="269">
        <f>IFERROR(INDEX('Inputs (2)'!$D$64:$AL$64,MATCH(N$7&amp;"",'Inputs (2)'!$D$2:$AL$2,0)),"")</f>
        <v>8.686</v>
      </c>
      <c r="O36" s="269">
        <f>IFERROR(INDEX('Inputs (2)'!$D$64:$AL$64,MATCH(O$7&amp;"",'Inputs (2)'!$D$2:$AL$2,0)),"")</f>
        <v>8.125</v>
      </c>
      <c r="P36" s="269">
        <f>IFERROR(INDEX('Inputs (2)'!$D$64:$AL$64,MATCH(P$7&amp;"",'Inputs (2)'!$D$2:$AL$2,0)),"")</f>
        <v>4.914</v>
      </c>
      <c r="Q36" s="269">
        <f>IFERROR(INDEX('Inputs (2)'!$D$64:$AL$64,MATCH(Q$7&amp;"",'Inputs (2)'!$D$2:$AL$2,0)),"")</f>
        <v>2.741</v>
      </c>
      <c r="R36" s="270">
        <f>IF(COUNT(N36:Q36)=4,SUM(N36:Q36),"")</f>
        <v>24.466</v>
      </c>
      <c r="S36" s="269">
        <f>IFERROR(INDEX('Inputs (2)'!$D$64:$AL$64,MATCH(S$7&amp;"",'Inputs (2)'!$D$2:$AL$2,0)),"")</f>
        <v>5.175</v>
      </c>
      <c r="T36" s="269">
        <f>IFERROR(INDEX('Inputs (2)'!$D$64:$AL$64,MATCH(T$7&amp;"",'Inputs (2)'!$D$2:$AL$2,0)),"")</f>
        <v>2.442</v>
      </c>
      <c r="U36" s="269">
        <f>IFERROR(INDEX('Inputs (2)'!$D$64:$AL$64,MATCH(U$7&amp;"",'Inputs (2)'!$D$2:$AL$2,0)),"")</f>
        <v>2.394</v>
      </c>
      <c r="V36" s="269">
        <f>IFERROR(INDEX('Inputs (2)'!$D$64:$AL$64,MATCH(V$7&amp;"",'Inputs (2)'!$D$2:$AL$2,0)),"")</f>
        <v>5.415</v>
      </c>
      <c r="W36" s="270">
        <f>IF(COUNT(S36:V36)=4,SUM(S36:V36),"")</f>
        <v>15.426</v>
      </c>
      <c r="X36" s="269">
        <f>IFERROR(INDEX('Inputs (2)'!$D$64:$AL$64,MATCH(X$7&amp;"",'Inputs (2)'!$D$2:$AL$2,0)),"")</f>
        <v>4.568</v>
      </c>
      <c r="Y36" s="269">
        <f>IFERROR(INDEX('Inputs (2)'!$D$64:$AL$64,MATCH(Y$7&amp;"",'Inputs (2)'!$D$2:$AL$2,0)),"")</f>
        <v>4.898</v>
      </c>
      <c r="Z36" s="269">
        <f>IFERROR(INDEX('Inputs (2)'!$D$64:$AL$64,MATCH(Z$7&amp;"",'Inputs (2)'!$D$2:$AL$2,0)),"")</f>
        <v>5.485</v>
      </c>
      <c r="AA36" s="269">
        <f>IFERROR(INDEX('Inputs (2)'!$D$64:$AL$64,MATCH(AA$7&amp;"",'Inputs (2)'!$D$2:$AL$2,0)),"")</f>
        <v>6.781</v>
      </c>
      <c r="AB36" s="270">
        <f>IF(COUNT(X36:AA36)=4,SUM(X36:AA36),"")</f>
        <v>21.732</v>
      </c>
      <c r="AC36" s="269">
        <f>IFERROR(INDEX('Inputs (2)'!$D$64:$AL$64,MATCH(AC$7&amp;"",'Inputs (2)'!$D$2:$AL$2,0)),"")</f>
        <v>6.045</v>
      </c>
      <c r="AD36" s="269">
        <f>IFERROR(INDEX('Inputs (2)'!$D$64:$AL$64,MATCH(AD$7&amp;"",'Inputs (2)'!$D$2:$AL$2,0)),"")</f>
        <v>3.906</v>
      </c>
      <c r="AE36" s="269">
        <f>IFERROR(INDEX('Inputs (2)'!$D$64:$AL$64,MATCH(AE$7&amp;"",'Inputs (2)'!$D$2:$AL$2,0)),"")</f>
        <v>3.082</v>
      </c>
      <c r="AF36" s="269">
        <f>IFERROR(INDEX('Inputs (2)'!$D$64:$AL$64,MATCH(AF$7&amp;"",'Inputs (2)'!$D$2:$AL$2,0)),"")</f>
        <v>4.63</v>
      </c>
      <c r="AG36" s="270">
        <f>IF(COUNT(AC36:AF36)=4,SUM(AC36:AF36),"")</f>
        <v>17.663</v>
      </c>
      <c r="AH36" s="270">
        <f>IFERROR(INDEX('Inputs (2)'!$D$64:$AL$64,MATCH(AH$7&amp;"",'Inputs (2)'!$D$2:$AL$2,0)),"")</f>
        <v>4.147</v>
      </c>
      <c r="AI36" s="270">
        <f>IFERROR(INDEX('Inputs (2)'!$D$64:$AL$64,MATCH(AI$7&amp;"",'Inputs (2)'!$D$2:$AL$2,0)),"")</f>
        <v>7.297</v>
      </c>
    </row>
    <row r="37">
      <c r="C37" s="268" t="inlineStr">
        <is>
          <t xml:space="preserve">   STC</t>
        </is>
      </c>
      <c r="D37" s="269" t="str">
        <f>IFERROR(INDEX('Inputs (2)'!$D$65:$AL$65,MATCH(D$7&amp;"",'Inputs (2)'!$D$2:$AL$2,0)),"")</f>
        <v/>
      </c>
      <c r="E37" s="269" t="str">
        <f>IFERROR(INDEX('Inputs (2)'!$D$65:$AL$65,MATCH(E$7&amp;"",'Inputs (2)'!$D$2:$AL$2,0)),"")</f>
        <v/>
      </c>
      <c r="F37" s="269" t="str">
        <f>IFERROR(INDEX('Inputs (2)'!$D$65:$AL$65,MATCH(F$7&amp;"",'Inputs (2)'!$D$2:$AL$2,0)),"")</f>
        <v/>
      </c>
      <c r="G37" s="269" t="str">
        <f>IFERROR(INDEX('Inputs (2)'!$D$65:$AL$65,MATCH(G$7&amp;"",'Inputs (2)'!$D$2:$AL$2,0)),"")</f>
        <v/>
      </c>
      <c r="H37" s="270" t="str">
        <f>IF(COUNT(D37:G37)=4,SUM(D37:G37),"")</f>
        <v/>
      </c>
      <c r="I37" s="269">
        <f>IFERROR(INDEX('Inputs (2)'!$D$65:$AL$65,MATCH(I$7&amp;"",'Inputs (2)'!$D$2:$AL$2,0)),"")</f>
        <v>11.471</v>
      </c>
      <c r="J37" s="269">
        <f>IFERROR(INDEX('Inputs (2)'!$D$65:$AL$65,MATCH(J$7&amp;"",'Inputs (2)'!$D$2:$AL$2,0)),"")</f>
        <v>10.373</v>
      </c>
      <c r="K37" s="269">
        <f>IFERROR(INDEX('Inputs (2)'!$D$65:$AL$65,MATCH(K$7&amp;"",'Inputs (2)'!$D$2:$AL$2,0)),"")</f>
        <v>14.172</v>
      </c>
      <c r="L37" s="269">
        <f>IFERROR(INDEX('Inputs (2)'!$D$65:$AL$65,MATCH(L$7&amp;"",'Inputs (2)'!$D$2:$AL$2,0)),"")</f>
        <v>12.477</v>
      </c>
      <c r="M37" s="270">
        <f>IF(COUNT(I37:L37)=4,SUM(I37:L37),"")</f>
        <v>48.493</v>
      </c>
      <c r="N37" s="269">
        <f>IFERROR(INDEX('Inputs (2)'!$D$65:$AL$65,MATCH(N$7&amp;"",'Inputs (2)'!$D$2:$AL$2,0)),"")</f>
        <v>10.893</v>
      </c>
      <c r="O37" s="269">
        <f>IFERROR(INDEX('Inputs (2)'!$D$65:$AL$65,MATCH(O$7&amp;"",'Inputs (2)'!$D$2:$AL$2,0)),"")</f>
        <v>12.575</v>
      </c>
      <c r="P37" s="269">
        <f>IFERROR(INDEX('Inputs (2)'!$D$65:$AL$65,MATCH(P$7&amp;"",'Inputs (2)'!$D$2:$AL$2,0)),"")</f>
        <v>6.558</v>
      </c>
      <c r="Q37" s="269">
        <f>IFERROR(INDEX('Inputs (2)'!$D$65:$AL$65,MATCH(Q$7&amp;"",'Inputs (2)'!$D$2:$AL$2,0)),"")</f>
        <v>8.208</v>
      </c>
      <c r="R37" s="270">
        <f>IF(COUNT(N37:Q37)=4,SUM(N37:Q37),"")</f>
        <v>38.234</v>
      </c>
      <c r="S37" s="269">
        <f>IFERROR(INDEX('Inputs (2)'!$D$65:$AL$65,MATCH(S$7&amp;"",'Inputs (2)'!$D$2:$AL$2,0)),"")</f>
        <v>10.325</v>
      </c>
      <c r="T37" s="269">
        <f>IFERROR(INDEX('Inputs (2)'!$D$65:$AL$65,MATCH(T$7&amp;"",'Inputs (2)'!$D$2:$AL$2,0)),"")</f>
        <v>9.862</v>
      </c>
      <c r="U37" s="269">
        <f>IFERROR(INDEX('Inputs (2)'!$D$65:$AL$65,MATCH(U$7&amp;"",'Inputs (2)'!$D$2:$AL$2,0)),"")</f>
        <v>7.353</v>
      </c>
      <c r="V37" s="269">
        <f>IFERROR(INDEX('Inputs (2)'!$D$65:$AL$65,MATCH(V$7&amp;"",'Inputs (2)'!$D$2:$AL$2,0)),"")</f>
        <v>8.229</v>
      </c>
      <c r="W37" s="270">
        <f>IF(COUNT(S37:V37)=4,SUM(S37:V37),"")</f>
        <v>35.769</v>
      </c>
      <c r="X37" s="269">
        <f>IFERROR(INDEX('Inputs (2)'!$D$65:$AL$65,MATCH(X$7&amp;"",'Inputs (2)'!$D$2:$AL$2,0)),"")</f>
        <v>9.967</v>
      </c>
      <c r="Y37" s="269">
        <f>IFERROR(INDEX('Inputs (2)'!$D$65:$AL$65,MATCH(Y$7&amp;"",'Inputs (2)'!$D$2:$AL$2,0)),"")</f>
        <v>8.716</v>
      </c>
      <c r="Z37" s="269">
        <f>IFERROR(INDEX('Inputs (2)'!$D$65:$AL$65,MATCH(Z$7&amp;"",'Inputs (2)'!$D$2:$AL$2,0)),"")</f>
        <v>8.539</v>
      </c>
      <c r="AA37" s="269">
        <f>IFERROR(INDEX('Inputs (2)'!$D$65:$AL$65,MATCH(AA$7&amp;"",'Inputs (2)'!$D$2:$AL$2,0)),"")</f>
        <v>9.259</v>
      </c>
      <c r="AB37" s="270">
        <f>IF(COUNT(X37:AA37)=4,SUM(X37:AA37),"")</f>
        <v>36.481</v>
      </c>
      <c r="AC37" s="269">
        <f>IFERROR(INDEX('Inputs (2)'!$D$65:$AL$65,MATCH(AC$7&amp;"",'Inputs (2)'!$D$2:$AL$2,0)),"")</f>
        <v>10.511</v>
      </c>
      <c r="AD37" s="269">
        <f>IFERROR(INDEX('Inputs (2)'!$D$65:$AL$65,MATCH(AD$7&amp;"",'Inputs (2)'!$D$2:$AL$2,0)),"")</f>
        <v>9.413</v>
      </c>
      <c r="AE37" s="269">
        <f>IFERROR(INDEX('Inputs (2)'!$D$65:$AL$65,MATCH(AE$7&amp;"",'Inputs (2)'!$D$2:$AL$2,0)),"")</f>
        <v>0.178</v>
      </c>
      <c r="AF37" s="269">
        <f>IFERROR(INDEX('Inputs (2)'!$D$65:$AL$65,MATCH(AF$7&amp;"",'Inputs (2)'!$D$2:$AL$2,0)),"")</f>
        <v>10.703</v>
      </c>
      <c r="AG37" s="270">
        <f>IF(COUNT(AC37:AF37)=4,SUM(AC37:AF37),"")</f>
        <v>30.805</v>
      </c>
      <c r="AH37" s="270">
        <f>IFERROR(INDEX('Inputs (2)'!$D$65:$AL$65,MATCH(AH$7&amp;"",'Inputs (2)'!$D$2:$AL$2,0)),"")</f>
        <v>9.069</v>
      </c>
      <c r="AI37" s="270">
        <f>IFERROR(INDEX('Inputs (2)'!$D$65:$AL$65,MATCH(AI$7&amp;"",'Inputs (2)'!$D$2:$AL$2,0)),"")</f>
        <v>10.393</v>
      </c>
    </row>
    <row r="38">
      <c r="C38" s="268" t="inlineStr">
        <is>
          <t xml:space="preserve">   ESDE</t>
        </is>
      </c>
      <c r="D38" s="269" t="str">
        <f>IFERROR(INDEX('Inputs (2)'!$D$66:$AL$66,MATCH(D$7&amp;"",'Inputs (2)'!$D$2:$AL$2,0)),"")</f>
        <v/>
      </c>
      <c r="E38" s="269" t="str">
        <f>IFERROR(INDEX('Inputs (2)'!$D$66:$AL$66,MATCH(E$7&amp;"",'Inputs (2)'!$D$2:$AL$2,0)),"")</f>
        <v/>
      </c>
      <c r="F38" s="269" t="str">
        <f>IFERROR(INDEX('Inputs (2)'!$D$66:$AL$66,MATCH(F$7&amp;"",'Inputs (2)'!$D$2:$AL$2,0)),"")</f>
        <v/>
      </c>
      <c r="G38" s="269" t="str">
        <f>IFERROR(INDEX('Inputs (2)'!$D$66:$AL$66,MATCH(G$7&amp;"",'Inputs (2)'!$D$2:$AL$2,0)),"")</f>
        <v/>
      </c>
      <c r="H38" s="270" t="str">
        <f>IF(COUNT(D38:G38)=4,SUM(D38:G38),"")</f>
        <v/>
      </c>
      <c r="I38" s="269">
        <f>IFERROR(INDEX('Inputs (2)'!$D$66:$AL$66,MATCH(I$7&amp;"",'Inputs (2)'!$D$2:$AL$2,0)),"")</f>
        <v>5.646</v>
      </c>
      <c r="J38" s="269">
        <f>IFERROR(INDEX('Inputs (2)'!$D$66:$AL$66,MATCH(J$7&amp;"",'Inputs (2)'!$D$2:$AL$2,0)),"")</f>
        <v>5.312</v>
      </c>
      <c r="K38" s="269">
        <f>IFERROR(INDEX('Inputs (2)'!$D$66:$AL$66,MATCH(K$7&amp;"",'Inputs (2)'!$D$2:$AL$2,0)),"")</f>
        <v>7.027</v>
      </c>
      <c r="L38" s="269">
        <f>IFERROR(INDEX('Inputs (2)'!$D$66:$AL$66,MATCH(L$7&amp;"",'Inputs (2)'!$D$2:$AL$2,0)),"")</f>
        <v>7.005</v>
      </c>
      <c r="M38" s="270">
        <f>IF(COUNT(I38:L38)=4,SUM(I38:L38),"")</f>
        <v>24.99</v>
      </c>
      <c r="N38" s="269">
        <f>IFERROR(INDEX('Inputs (2)'!$D$66:$AL$66,MATCH(N$7&amp;"",'Inputs (2)'!$D$2:$AL$2,0)),"")</f>
        <v>5.945</v>
      </c>
      <c r="O38" s="269">
        <f>IFERROR(INDEX('Inputs (2)'!$D$66:$AL$66,MATCH(O$7&amp;"",'Inputs (2)'!$D$2:$AL$2,0)),"")</f>
        <v>7.231</v>
      </c>
      <c r="P38" s="269">
        <f>IFERROR(INDEX('Inputs (2)'!$D$66:$AL$66,MATCH(P$7&amp;"",'Inputs (2)'!$D$2:$AL$2,0)),"")</f>
        <v>2.941</v>
      </c>
      <c r="Q38" s="269">
        <f>IFERROR(INDEX('Inputs (2)'!$D$66:$AL$66,MATCH(Q$7&amp;"",'Inputs (2)'!$D$2:$AL$2,0)),"")</f>
        <v>4.212</v>
      </c>
      <c r="R38" s="270">
        <f>IF(COUNT(N38:Q38)=4,SUM(N38:Q38),"")</f>
        <v>20.329</v>
      </c>
      <c r="S38" s="269">
        <f>IFERROR(INDEX('Inputs (2)'!$D$66:$AL$66,MATCH(S$7&amp;"",'Inputs (2)'!$D$2:$AL$2,0)),"")</f>
        <v>5.775</v>
      </c>
      <c r="T38" s="269">
        <f>IFERROR(INDEX('Inputs (2)'!$D$66:$AL$66,MATCH(T$7&amp;"",'Inputs (2)'!$D$2:$AL$2,0)),"")</f>
        <v>5.427</v>
      </c>
      <c r="U38" s="269">
        <f>IFERROR(INDEX('Inputs (2)'!$D$66:$AL$66,MATCH(U$7&amp;"",'Inputs (2)'!$D$2:$AL$2,0)),"")</f>
        <v>3.741</v>
      </c>
      <c r="V38" s="269">
        <f>IFERROR(INDEX('Inputs (2)'!$D$66:$AL$66,MATCH(V$7&amp;"",'Inputs (2)'!$D$2:$AL$2,0)),"")</f>
        <v>4.647</v>
      </c>
      <c r="W38" s="270">
        <f>IF(COUNT(S38:V38)=4,SUM(S38:V38),"")</f>
        <v>19.59</v>
      </c>
      <c r="X38" s="269">
        <f>IFERROR(INDEX('Inputs (2)'!$D$66:$AL$66,MATCH(X$7&amp;"",'Inputs (2)'!$D$2:$AL$2,0)),"")</f>
        <v>5.7</v>
      </c>
      <c r="Y38" s="269">
        <f>IFERROR(INDEX('Inputs (2)'!$D$66:$AL$66,MATCH(Y$7&amp;"",'Inputs (2)'!$D$2:$AL$2,0)),"")</f>
        <v>4.591</v>
      </c>
      <c r="Z38" s="269">
        <f>IFERROR(INDEX('Inputs (2)'!$D$66:$AL$66,MATCH(Z$7&amp;"",'Inputs (2)'!$D$2:$AL$2,0)),"")</f>
        <v>4.193</v>
      </c>
      <c r="AA38" s="269">
        <f>IFERROR(INDEX('Inputs (2)'!$D$66:$AL$66,MATCH(AA$7&amp;"",'Inputs (2)'!$D$2:$AL$2,0)),"")</f>
        <v>5.173</v>
      </c>
      <c r="AB38" s="270">
        <f>IF(COUNT(X38:AA38)=4,SUM(X38:AA38),"")</f>
        <v>19.657</v>
      </c>
      <c r="AC38" s="269">
        <f>IFERROR(INDEX('Inputs (2)'!$D$66:$AL$66,MATCH(AC$7&amp;"",'Inputs (2)'!$D$2:$AL$2,0)),"")</f>
        <v>6.013</v>
      </c>
      <c r="AD38" s="269">
        <f>IFERROR(INDEX('Inputs (2)'!$D$66:$AL$66,MATCH(AD$7&amp;"",'Inputs (2)'!$D$2:$AL$2,0)),"")</f>
        <v>5.12</v>
      </c>
      <c r="AE38" s="269">
        <f>IFERROR(INDEX('Inputs (2)'!$D$66:$AL$66,MATCH(AE$7&amp;"",'Inputs (2)'!$D$2:$AL$2,0)),"")</f>
        <v>-1.746</v>
      </c>
      <c r="AF38" s="269">
        <f>IFERROR(INDEX('Inputs (2)'!$D$66:$AL$66,MATCH(AF$7&amp;"",'Inputs (2)'!$D$2:$AL$2,0)),"")</f>
        <v>4.334</v>
      </c>
      <c r="AG38" s="270">
        <f>IF(COUNT(AC38:AF38)=4,SUM(AC38:AF38),"")</f>
        <v>13.721</v>
      </c>
      <c r="AH38" s="270">
        <f>IFERROR(INDEX('Inputs (2)'!$D$66:$AL$66,MATCH(AH$7&amp;"",'Inputs (2)'!$D$2:$AL$2,0)),"")</f>
        <v>5.106</v>
      </c>
      <c r="AI38" s="270">
        <f>IFERROR(INDEX('Inputs (2)'!$D$66:$AL$66,MATCH(AI$7&amp;"",'Inputs (2)'!$D$2:$AL$2,0)),"")</f>
        <v>6.157</v>
      </c>
    </row>
    <row r="39">
      <c r="C39" s="268" t="inlineStr">
        <is>
          <t xml:space="preserve">   ETSE</t>
        </is>
      </c>
      <c r="D39" s="269" t="str">
        <f>IFERROR(INDEX('Inputs (2)'!$D$67:$AL$67,MATCH(D$7&amp;"",'Inputs (2)'!$D$2:$AL$2,0)),"")</f>
        <v/>
      </c>
      <c r="E39" s="269" t="str">
        <f>IFERROR(INDEX('Inputs (2)'!$D$67:$AL$67,MATCH(E$7&amp;"",'Inputs (2)'!$D$2:$AL$2,0)),"")</f>
        <v/>
      </c>
      <c r="F39" s="269" t="str">
        <f>IFERROR(INDEX('Inputs (2)'!$D$67:$AL$67,MATCH(F$7&amp;"",'Inputs (2)'!$D$2:$AL$2,0)),"")</f>
        <v/>
      </c>
      <c r="G39" s="269" t="str">
        <f>IFERROR(INDEX('Inputs (2)'!$D$67:$AL$67,MATCH(G$7&amp;"",'Inputs (2)'!$D$2:$AL$2,0)),"")</f>
        <v/>
      </c>
      <c r="H39" s="270" t="str">
        <f>IF(COUNT(D39:G39)=4,SUM(D39:G39),"")</f>
        <v/>
      </c>
      <c r="I39" s="269">
        <f>IFERROR(INDEX('Inputs (2)'!$D$67:$AL$67,MATCH(I$7&amp;"",'Inputs (2)'!$D$2:$AL$2,0)),"")</f>
        <v>10.139</v>
      </c>
      <c r="J39" s="269">
        <f>IFERROR(INDEX('Inputs (2)'!$D$67:$AL$67,MATCH(J$7&amp;"",'Inputs (2)'!$D$2:$AL$2,0)),"")</f>
        <v>9.398</v>
      </c>
      <c r="K39" s="269">
        <f>IFERROR(INDEX('Inputs (2)'!$D$67:$AL$67,MATCH(K$7&amp;"",'Inputs (2)'!$D$2:$AL$2,0)),"")</f>
        <v>9.871</v>
      </c>
      <c r="L39" s="269">
        <f>IFERROR(INDEX('Inputs (2)'!$D$67:$AL$67,MATCH(L$7&amp;"",'Inputs (2)'!$D$2:$AL$2,0)),"")</f>
        <v>12.252</v>
      </c>
      <c r="M39" s="270">
        <f>IF(COUNT(I39:L39)=4,SUM(I39:L39),"")</f>
        <v>41.66</v>
      </c>
      <c r="N39" s="269">
        <f>IFERROR(INDEX('Inputs (2)'!$D$67:$AL$67,MATCH(N$7&amp;"",'Inputs (2)'!$D$2:$AL$2,0)),"")</f>
        <v>10.269</v>
      </c>
      <c r="O39" s="269">
        <f>IFERROR(INDEX('Inputs (2)'!$D$67:$AL$67,MATCH(O$7&amp;"",'Inputs (2)'!$D$2:$AL$2,0)),"")</f>
        <v>12.582</v>
      </c>
      <c r="P39" s="269">
        <f>IFERROR(INDEX('Inputs (2)'!$D$67:$AL$67,MATCH(P$7&amp;"",'Inputs (2)'!$D$2:$AL$2,0)),"")</f>
        <v>7.951</v>
      </c>
      <c r="Q39" s="269">
        <f>IFERROR(INDEX('Inputs (2)'!$D$67:$AL$67,MATCH(Q$7&amp;"",'Inputs (2)'!$D$2:$AL$2,0)),"")</f>
        <v>8.247</v>
      </c>
      <c r="R39" s="270">
        <f>IF(COUNT(N39:Q39)=4,SUM(N39:Q39),"")</f>
        <v>39.049</v>
      </c>
      <c r="S39" s="269">
        <f>IFERROR(INDEX('Inputs (2)'!$D$67:$AL$67,MATCH(S$7&amp;"",'Inputs (2)'!$D$2:$AL$2,0)),"")</f>
        <v>11.985</v>
      </c>
      <c r="T39" s="269">
        <f>IFERROR(INDEX('Inputs (2)'!$D$67:$AL$67,MATCH(T$7&amp;"",'Inputs (2)'!$D$2:$AL$2,0)),"")</f>
        <v>13.339</v>
      </c>
      <c r="U39" s="269">
        <f>IFERROR(INDEX('Inputs (2)'!$D$67:$AL$67,MATCH(U$7&amp;"",'Inputs (2)'!$D$2:$AL$2,0)),"")</f>
        <v>7.257</v>
      </c>
      <c r="V39" s="269">
        <f>IFERROR(INDEX('Inputs (2)'!$D$67:$AL$67,MATCH(V$7&amp;"",'Inputs (2)'!$D$2:$AL$2,0)),"")</f>
        <v>8.679</v>
      </c>
      <c r="W39" s="270">
        <f>IF(COUNT(S39:V39)=4,SUM(S39:V39),"")</f>
        <v>41.26</v>
      </c>
      <c r="X39" s="269">
        <f>IFERROR(INDEX('Inputs (2)'!$D$67:$AL$67,MATCH(X$7&amp;"",'Inputs (2)'!$D$2:$AL$2,0)),"")</f>
        <v>11.689</v>
      </c>
      <c r="Y39" s="269">
        <f>IFERROR(INDEX('Inputs (2)'!$D$67:$AL$67,MATCH(Y$7&amp;"",'Inputs (2)'!$D$2:$AL$2,0)),"")</f>
        <v>9.515</v>
      </c>
      <c r="Z39" s="269">
        <f>IFERROR(INDEX('Inputs (2)'!$D$67:$AL$67,MATCH(Z$7&amp;"",'Inputs (2)'!$D$2:$AL$2,0)),"")</f>
        <v>10.254</v>
      </c>
      <c r="AA39" s="269">
        <f>IFERROR(INDEX('Inputs (2)'!$D$67:$AL$67,MATCH(AA$7&amp;"",'Inputs (2)'!$D$2:$AL$2,0)),"")</f>
        <v>10.317</v>
      </c>
      <c r="AB39" s="270">
        <f>IF(COUNT(X39:AA39)=4,SUM(X39:AA39),"")</f>
        <v>41.775</v>
      </c>
      <c r="AC39" s="269">
        <f>IFERROR(INDEX('Inputs (2)'!$D$67:$AL$67,MATCH(AC$7&amp;"",'Inputs (2)'!$D$2:$AL$2,0)),"")</f>
        <v>12.241</v>
      </c>
      <c r="AD39" s="269">
        <f>IFERROR(INDEX('Inputs (2)'!$D$67:$AL$67,MATCH(AD$7&amp;"",'Inputs (2)'!$D$2:$AL$2,0)),"")</f>
        <v>10.285</v>
      </c>
      <c r="AE39" s="269">
        <f>IFERROR(INDEX('Inputs (2)'!$D$67:$AL$67,MATCH(AE$7&amp;"",'Inputs (2)'!$D$2:$AL$2,0)),"")</f>
        <v>7.704</v>
      </c>
      <c r="AF39" s="269">
        <f>IFERROR(INDEX('Inputs (2)'!$D$67:$AL$67,MATCH(AF$7&amp;"",'Inputs (2)'!$D$2:$AL$2,0)),"")</f>
        <v>9.766</v>
      </c>
      <c r="AG39" s="270">
        <f>IF(COUNT(AC39:AF39)=4,SUM(AC39:AF39),"")</f>
        <v>39.996</v>
      </c>
      <c r="AH39" s="270">
        <f>IFERROR(INDEX('Inputs (2)'!$D$67:$AL$67,MATCH(AH$7&amp;"",'Inputs (2)'!$D$2:$AL$2,0)),"")</f>
        <v>10.57</v>
      </c>
      <c r="AI39" s="270">
        <f>IFERROR(INDEX('Inputs (2)'!$D$67:$AL$67,MATCH(AI$7&amp;"",'Inputs (2)'!$D$2:$AL$2,0)),"")</f>
        <v>13.047</v>
      </c>
    </row>
    <row r="40">
      <c r="C40" s="268" t="inlineStr">
        <is>
          <t xml:space="preserve">   TME</t>
        </is>
      </c>
      <c r="D40" s="269" t="str">
        <f>IFERROR(INDEX('Inputs (2)'!$D$68:$AL$68,MATCH(D$7&amp;"",'Inputs (2)'!$D$2:$AL$2,0)),"")</f>
        <v/>
      </c>
      <c r="E40" s="269" t="str">
        <f>IFERROR(INDEX('Inputs (2)'!$D$68:$AL$68,MATCH(E$7&amp;"",'Inputs (2)'!$D$2:$AL$2,0)),"")</f>
        <v/>
      </c>
      <c r="F40" s="269" t="str">
        <f>IFERROR(INDEX('Inputs (2)'!$D$68:$AL$68,MATCH(F$7&amp;"",'Inputs (2)'!$D$2:$AL$2,0)),"")</f>
        <v/>
      </c>
      <c r="G40" s="269" t="str">
        <f>IFERROR(INDEX('Inputs (2)'!$D$68:$AL$68,MATCH(G$7&amp;"",'Inputs (2)'!$D$2:$AL$2,0)),"")</f>
        <v/>
      </c>
      <c r="H40" s="270" t="str">
        <f>IF(COUNT(D40:G40)=4,SUM(D40:G40),"")</f>
        <v/>
      </c>
      <c r="I40" s="269">
        <f>IFERROR(INDEX('Inputs (2)'!$D$68:$AL$68,MATCH(I$7&amp;"",'Inputs (2)'!$D$2:$AL$2,0)),"")</f>
        <v>21.826</v>
      </c>
      <c r="J40" s="269">
        <f>IFERROR(INDEX('Inputs (2)'!$D$68:$AL$68,MATCH(J$7&amp;"",'Inputs (2)'!$D$2:$AL$2,0)),"")</f>
        <v>21.496</v>
      </c>
      <c r="K40" s="269">
        <f>IFERROR(INDEX('Inputs (2)'!$D$68:$AL$68,MATCH(K$7&amp;"",'Inputs (2)'!$D$2:$AL$2,0)),"")</f>
        <v>15.078</v>
      </c>
      <c r="L40" s="269">
        <f>IFERROR(INDEX('Inputs (2)'!$D$68:$AL$68,MATCH(L$7&amp;"",'Inputs (2)'!$D$2:$AL$2,0)),"")</f>
        <v>26.395</v>
      </c>
      <c r="M40" s="270">
        <f>IF(COUNT(I40:L40)=4,SUM(I40:L40),"")</f>
        <v>84.795</v>
      </c>
      <c r="N40" s="269">
        <f>IFERROR(INDEX('Inputs (2)'!$D$68:$AL$68,MATCH(N$7&amp;"",'Inputs (2)'!$D$2:$AL$2,0)),"")</f>
        <v>22.25</v>
      </c>
      <c r="O40" s="269">
        <f>IFERROR(INDEX('Inputs (2)'!$D$68:$AL$68,MATCH(O$7&amp;"",'Inputs (2)'!$D$2:$AL$2,0)),"")</f>
        <v>27.242</v>
      </c>
      <c r="P40" s="269">
        <f>IFERROR(INDEX('Inputs (2)'!$D$68:$AL$68,MATCH(P$7&amp;"",'Inputs (2)'!$D$2:$AL$2,0)),"")</f>
        <v>10.115</v>
      </c>
      <c r="Q40" s="269">
        <f>IFERROR(INDEX('Inputs (2)'!$D$68:$AL$68,MATCH(Q$7&amp;"",'Inputs (2)'!$D$2:$AL$2,0)),"")</f>
        <v>15.251</v>
      </c>
      <c r="R40" s="270">
        <f>IF(COUNT(N40:Q40)=4,SUM(N40:Q40),"")</f>
        <v>74.858</v>
      </c>
      <c r="S40" s="269">
        <f>IFERROR(INDEX('Inputs (2)'!$D$68:$AL$68,MATCH(S$7&amp;"",'Inputs (2)'!$D$2:$AL$2,0)),"")</f>
        <v>21.712</v>
      </c>
      <c r="T40" s="269">
        <f>IFERROR(INDEX('Inputs (2)'!$D$68:$AL$68,MATCH(T$7&amp;"",'Inputs (2)'!$D$2:$AL$2,0)),"")</f>
        <v>19.897</v>
      </c>
      <c r="U40" s="269">
        <f>IFERROR(INDEX('Inputs (2)'!$D$68:$AL$68,MATCH(U$7&amp;"",'Inputs (2)'!$D$2:$AL$2,0)),"")</f>
        <v>13.567</v>
      </c>
      <c r="V40" s="269">
        <f>IFERROR(INDEX('Inputs (2)'!$D$68:$AL$68,MATCH(V$7&amp;"",'Inputs (2)'!$D$2:$AL$2,0)),"")</f>
        <v>15.87</v>
      </c>
      <c r="W40" s="270">
        <f>IF(COUNT(S40:V40)=4,SUM(S40:V40),"")</f>
        <v>71.046</v>
      </c>
      <c r="X40" s="269">
        <f>IFERROR(INDEX('Inputs (2)'!$D$68:$AL$68,MATCH(X$7&amp;"",'Inputs (2)'!$D$2:$AL$2,0)),"")</f>
        <v>21.147</v>
      </c>
      <c r="Y40" s="269">
        <f>IFERROR(INDEX('Inputs (2)'!$D$68:$AL$68,MATCH(Y$7&amp;"",'Inputs (2)'!$D$2:$AL$2,0)),"")</f>
        <v>17.322</v>
      </c>
      <c r="Z40" s="269">
        <f>IFERROR(INDEX('Inputs (2)'!$D$68:$AL$68,MATCH(Z$7&amp;"",'Inputs (2)'!$D$2:$AL$2,0)),"")</f>
        <v>15.02</v>
      </c>
      <c r="AA40" s="269">
        <f>IFERROR(INDEX('Inputs (2)'!$D$68:$AL$68,MATCH(AA$7&amp;"",'Inputs (2)'!$D$2:$AL$2,0)),"")</f>
        <v>19.115</v>
      </c>
      <c r="AB40" s="270">
        <f>IF(COUNT(X40:AA40)=4,SUM(X40:AA40),"")</f>
        <v>72.604</v>
      </c>
      <c r="AC40" s="269">
        <f>IFERROR(INDEX('Inputs (2)'!$D$68:$AL$68,MATCH(AC$7&amp;"",'Inputs (2)'!$D$2:$AL$2,0)),"")</f>
        <v>22.414</v>
      </c>
      <c r="AD40" s="269">
        <f>IFERROR(INDEX('Inputs (2)'!$D$68:$AL$68,MATCH(AD$7&amp;"",'Inputs (2)'!$D$2:$AL$2,0)),"")</f>
        <v>18.934</v>
      </c>
      <c r="AE40" s="269">
        <f>IFERROR(INDEX('Inputs (2)'!$D$68:$AL$68,MATCH(AE$7&amp;"",'Inputs (2)'!$D$2:$AL$2,0)),"")</f>
        <v>14.236</v>
      </c>
      <c r="AF40" s="269">
        <f>IFERROR(INDEX('Inputs (2)'!$D$68:$AL$68,MATCH(AF$7&amp;"",'Inputs (2)'!$D$2:$AL$2,0)),"")</f>
        <v>15.908</v>
      </c>
      <c r="AG40" s="270">
        <f>IF(COUNT(AC40:AF40)=4,SUM(AC40:AF40),"")</f>
        <v>71.492</v>
      </c>
      <c r="AH40" s="270">
        <f>IFERROR(INDEX('Inputs (2)'!$D$68:$AL$68,MATCH(AH$7&amp;"",'Inputs (2)'!$D$2:$AL$2,0)),"")</f>
        <v>19.029</v>
      </c>
      <c r="AI40" s="270">
        <f>IFERROR(INDEX('Inputs (2)'!$D$68:$AL$68,MATCH(AI$7&amp;"",'Inputs (2)'!$D$2:$AL$2,0)),"")</f>
        <v>22.668</v>
      </c>
    </row>
    <row r="41">
      <c r="C41" s="268" t="inlineStr">
        <is>
          <t xml:space="preserve">   TPE</t>
        </is>
      </c>
      <c r="D41" s="269" t="str">
        <f>IFERROR(INDEX('Inputs (2)'!$D$69:$AL$69,MATCH(D$7&amp;"",'Inputs (2)'!$D$2:$AL$2,0)),"")</f>
        <v/>
      </c>
      <c r="E41" s="269" t="str">
        <f>IFERROR(INDEX('Inputs (2)'!$D$69:$AL$69,MATCH(E$7&amp;"",'Inputs (2)'!$D$2:$AL$2,0)),"")</f>
        <v/>
      </c>
      <c r="F41" s="269" t="str">
        <f>IFERROR(INDEX('Inputs (2)'!$D$69:$AL$69,MATCH(F$7&amp;"",'Inputs (2)'!$D$2:$AL$2,0)),"")</f>
        <v/>
      </c>
      <c r="G41" s="269" t="str">
        <f>IFERROR(INDEX('Inputs (2)'!$D$69:$AL$69,MATCH(G$7&amp;"",'Inputs (2)'!$D$2:$AL$2,0)),"")</f>
        <v/>
      </c>
      <c r="H41" s="270" t="str">
        <f>IF(COUNT(D41:G41)=4,SUM(D41:G41),"")</f>
        <v/>
      </c>
      <c r="I41" s="269">
        <f>IFERROR(INDEX('Inputs (2)'!$D$69:$AL$69,MATCH(I$7&amp;"",'Inputs (2)'!$D$2:$AL$2,0)),"")</f>
        <v>112.342</v>
      </c>
      <c r="J41" s="269">
        <f>IFERROR(INDEX('Inputs (2)'!$D$69:$AL$69,MATCH(J$7&amp;"",'Inputs (2)'!$D$2:$AL$2,0)),"")</f>
        <v>137.284</v>
      </c>
      <c r="K41" s="269">
        <f>IFERROR(INDEX('Inputs (2)'!$D$69:$AL$69,MATCH(K$7&amp;"",'Inputs (2)'!$D$2:$AL$2,0)),"")</f>
        <v>112.088</v>
      </c>
      <c r="L41" s="269">
        <f>IFERROR(INDEX('Inputs (2)'!$D$69:$AL$69,MATCH(L$7&amp;"",'Inputs (2)'!$D$2:$AL$2,0)),"")</f>
        <v>139.417</v>
      </c>
      <c r="M41" s="270">
        <f>IF(COUNT(I41:L41)=4,SUM(I41:L41),"")</f>
        <v>501.131</v>
      </c>
      <c r="N41" s="269">
        <f>IFERROR(INDEX('Inputs (2)'!$D$69:$AL$69,MATCH(N$7&amp;"",'Inputs (2)'!$D$2:$AL$2,0)),"")</f>
        <v>117.661</v>
      </c>
      <c r="O41" s="269">
        <f>IFERROR(INDEX('Inputs (2)'!$D$69:$AL$69,MATCH(O$7&amp;"",'Inputs (2)'!$D$2:$AL$2,0)),"")</f>
        <v>140.164</v>
      </c>
      <c r="P41" s="269">
        <f>IFERROR(INDEX('Inputs (2)'!$D$69:$AL$69,MATCH(P$7&amp;"",'Inputs (2)'!$D$2:$AL$2,0)),"")</f>
        <v>54.032</v>
      </c>
      <c r="Q41" s="269">
        <f>IFERROR(INDEX('Inputs (2)'!$D$69:$AL$69,MATCH(Q$7&amp;"",'Inputs (2)'!$D$2:$AL$2,0)),"")</f>
        <v>80.276</v>
      </c>
      <c r="R41" s="270">
        <f>IF(COUNT(N41:Q41)=4,SUM(N41:Q41),"")</f>
        <v>392.133</v>
      </c>
      <c r="S41" s="269">
        <f>IFERROR(INDEX('Inputs (2)'!$D$69:$AL$69,MATCH(S$7&amp;"",'Inputs (2)'!$D$2:$AL$2,0)),"")</f>
        <v>113.18</v>
      </c>
      <c r="T41" s="269">
        <f>IFERROR(INDEX('Inputs (2)'!$D$69:$AL$69,MATCH(T$7&amp;"",'Inputs (2)'!$D$2:$AL$2,0)),"")</f>
        <v>104.836</v>
      </c>
      <c r="U41" s="269">
        <f>IFERROR(INDEX('Inputs (2)'!$D$69:$AL$69,MATCH(U$7&amp;"",'Inputs (2)'!$D$2:$AL$2,0)),"")</f>
        <v>71.205</v>
      </c>
      <c r="V41" s="269">
        <f>IFERROR(INDEX('Inputs (2)'!$D$69:$AL$69,MATCH(V$7&amp;"",'Inputs (2)'!$D$2:$AL$2,0)),"")</f>
        <v>84.746</v>
      </c>
      <c r="W41" s="270">
        <f>IF(COUNT(S41:V41)=4,SUM(S41:V41),"")</f>
        <v>373.967</v>
      </c>
      <c r="X41" s="269">
        <f>IFERROR(INDEX('Inputs (2)'!$D$69:$AL$69,MATCH(X$7&amp;"",'Inputs (2)'!$D$2:$AL$2,0)),"")</f>
        <v>112.65</v>
      </c>
      <c r="Y41" s="269">
        <f>IFERROR(INDEX('Inputs (2)'!$D$69:$AL$69,MATCH(Y$7&amp;"",'Inputs (2)'!$D$2:$AL$2,0)),"")</f>
        <v>92.954</v>
      </c>
      <c r="Z41" s="269">
        <f>IFERROR(INDEX('Inputs (2)'!$D$69:$AL$69,MATCH(Z$7&amp;"",'Inputs (2)'!$D$2:$AL$2,0)),"")</f>
        <v>81.169</v>
      </c>
      <c r="AA41" s="269">
        <f>IFERROR(INDEX('Inputs (2)'!$D$69:$AL$69,MATCH(AA$7&amp;"",'Inputs (2)'!$D$2:$AL$2,0)),"")</f>
        <v>103.139</v>
      </c>
      <c r="AB41" s="270">
        <f>IF(COUNT(X41:AA41)=4,SUM(X41:AA41),"")</f>
        <v>389.912</v>
      </c>
      <c r="AC41" s="269">
        <f>IFERROR(INDEX('Inputs (2)'!$D$69:$AL$69,MATCH(AC$7&amp;"",'Inputs (2)'!$D$2:$AL$2,0)),"")</f>
        <v>120.293</v>
      </c>
      <c r="AD41" s="269">
        <f>IFERROR(INDEX('Inputs (2)'!$D$69:$AL$69,MATCH(AD$7&amp;"",'Inputs (2)'!$D$2:$AL$2,0)),"")</f>
        <v>102.759</v>
      </c>
      <c r="AE41" s="269">
        <f>IFERROR(INDEX('Inputs (2)'!$D$69:$AL$69,MATCH(AE$7&amp;"",'Inputs (2)'!$D$2:$AL$2,0)),"")</f>
        <v>79.546</v>
      </c>
      <c r="AF41" s="269">
        <f>IFERROR(INDEX('Inputs (2)'!$D$69:$AL$69,MATCH(AF$7&amp;"",'Inputs (2)'!$D$2:$AL$2,0)),"")</f>
        <v>90.018</v>
      </c>
      <c r="AG41" s="270">
        <f>IF(COUNT(AC41:AF41)=4,SUM(AC41:AF41),"")</f>
        <v>392.616</v>
      </c>
      <c r="AH41" s="270">
        <f>IFERROR(INDEX('Inputs (2)'!$D$69:$AL$69,MATCH(AH$7&amp;"",'Inputs (2)'!$D$2:$AL$2,0)),"")</f>
        <v>107.153</v>
      </c>
      <c r="AI41" s="270">
        <f>IFERROR(INDEX('Inputs (2)'!$D$69:$AL$69,MATCH(AI$7&amp;"",'Inputs (2)'!$D$2:$AL$2,0)),"")</f>
        <v>130.903</v>
      </c>
    </row>
    <row r="42">
      <c r="C42" s="268" t="inlineStr">
        <is>
          <t xml:space="preserve">   ETEM</t>
        </is>
      </c>
      <c r="D42" s="269" t="str">
        <f>IFERROR(INDEX('Inputs (2)'!$D$70:$AL$70,MATCH(D$7&amp;"",'Inputs (2)'!$D$2:$AL$2,0)),"")</f>
        <v/>
      </c>
      <c r="E42" s="269" t="str">
        <f>IFERROR(INDEX('Inputs (2)'!$D$70:$AL$70,MATCH(E$7&amp;"",'Inputs (2)'!$D$2:$AL$2,0)),"")</f>
        <v/>
      </c>
      <c r="F42" s="269" t="str">
        <f>IFERROR(INDEX('Inputs (2)'!$D$70:$AL$70,MATCH(F$7&amp;"",'Inputs (2)'!$D$2:$AL$2,0)),"")</f>
        <v/>
      </c>
      <c r="G42" s="269" t="str">
        <f>IFERROR(INDEX('Inputs (2)'!$D$70:$AL$70,MATCH(G$7&amp;"",'Inputs (2)'!$D$2:$AL$2,0)),"")</f>
        <v/>
      </c>
      <c r="H42" s="270" t="str">
        <f>IF(COUNT(D42:G42)=4,SUM(D42:G42),"")</f>
        <v/>
      </c>
      <c r="I42" s="269">
        <f>IFERROR(INDEX('Inputs (2)'!$D$70:$AL$70,MATCH(I$7&amp;"",'Inputs (2)'!$D$2:$AL$2,0)),"")</f>
        <v>5.496</v>
      </c>
      <c r="J42" s="269">
        <f>IFERROR(INDEX('Inputs (2)'!$D$70:$AL$70,MATCH(J$7&amp;"",'Inputs (2)'!$D$2:$AL$2,0)),"")</f>
        <v>6.175</v>
      </c>
      <c r="K42" s="269">
        <f>IFERROR(INDEX('Inputs (2)'!$D$70:$AL$70,MATCH(K$7&amp;"",'Inputs (2)'!$D$2:$AL$2,0)),"")</f>
        <v>6.029</v>
      </c>
      <c r="L42" s="269">
        <f>IFERROR(INDEX('Inputs (2)'!$D$70:$AL$70,MATCH(L$7&amp;"",'Inputs (2)'!$D$2:$AL$2,0)),"")</f>
        <v>6.203</v>
      </c>
      <c r="M42" s="270">
        <f>IF(COUNT(I42:L42)=4,SUM(I42:L42),"")</f>
        <v>23.903</v>
      </c>
      <c r="N42" s="269">
        <f>IFERROR(INDEX('Inputs (2)'!$D$70:$AL$70,MATCH(N$7&amp;"",'Inputs (2)'!$D$2:$AL$2,0)),"")</f>
        <v>6.269</v>
      </c>
      <c r="O42" s="269">
        <f>IFERROR(INDEX('Inputs (2)'!$D$70:$AL$70,MATCH(O$7&amp;"",'Inputs (2)'!$D$2:$AL$2,0)),"")</f>
        <v>7.684</v>
      </c>
      <c r="P42" s="269">
        <f>IFERROR(INDEX('Inputs (2)'!$D$70:$AL$70,MATCH(P$7&amp;"",'Inputs (2)'!$D$2:$AL$2,0)),"")</f>
        <v>2.836</v>
      </c>
      <c r="Q42" s="269">
        <f>IFERROR(INDEX('Inputs (2)'!$D$70:$AL$70,MATCH(Q$7&amp;"",'Inputs (2)'!$D$2:$AL$2,0)),"")</f>
        <v>4.282</v>
      </c>
      <c r="R42" s="270">
        <f>IF(COUNT(N42:Q42)=4,SUM(N42:Q42),"")</f>
        <v>21.071</v>
      </c>
      <c r="S42" s="269">
        <f>IFERROR(INDEX('Inputs (2)'!$D$70:$AL$70,MATCH(S$7&amp;"",'Inputs (2)'!$D$2:$AL$2,0)),"")</f>
        <v>6.113</v>
      </c>
      <c r="T42" s="269">
        <f>IFERROR(INDEX('Inputs (2)'!$D$70:$AL$70,MATCH(T$7&amp;"",'Inputs (2)'!$D$2:$AL$2,0)),"")</f>
        <v>5.599</v>
      </c>
      <c r="U42" s="269">
        <f>IFERROR(INDEX('Inputs (2)'!$D$70:$AL$70,MATCH(U$7&amp;"",'Inputs (2)'!$D$2:$AL$2,0)),"")</f>
        <v>3.804</v>
      </c>
      <c r="V42" s="269">
        <f>IFERROR(INDEX('Inputs (2)'!$D$70:$AL$70,MATCH(V$7&amp;"",'Inputs (2)'!$D$2:$AL$2,0)),"")</f>
        <v>4.467</v>
      </c>
      <c r="W42" s="270">
        <f>IF(COUNT(S42:V42)=4,SUM(S42:V42),"")</f>
        <v>19.983</v>
      </c>
      <c r="X42" s="269">
        <f>IFERROR(INDEX('Inputs (2)'!$D$70:$AL$70,MATCH(X$7&amp;"",'Inputs (2)'!$D$2:$AL$2,0)),"")</f>
        <v>5.959</v>
      </c>
      <c r="Y42" s="269">
        <f>IFERROR(INDEX('Inputs (2)'!$D$70:$AL$70,MATCH(Y$7&amp;"",'Inputs (2)'!$D$2:$AL$2,0)),"")</f>
        <v>4.746</v>
      </c>
      <c r="Z42" s="269">
        <f>IFERROR(INDEX('Inputs (2)'!$D$70:$AL$70,MATCH(Z$7&amp;"",'Inputs (2)'!$D$2:$AL$2,0)),"")</f>
        <v>4.228</v>
      </c>
      <c r="AA42" s="269">
        <f>IFERROR(INDEX('Inputs (2)'!$D$70:$AL$70,MATCH(AA$7&amp;"",'Inputs (2)'!$D$2:$AL$2,0)),"")</f>
        <v>5.344</v>
      </c>
      <c r="AB42" s="270">
        <f>IF(COUNT(X42:AA42)=4,SUM(X42:AA42),"")</f>
        <v>20.277</v>
      </c>
      <c r="AC42" s="269">
        <f>IFERROR(INDEX('Inputs (2)'!$D$70:$AL$70,MATCH(AC$7&amp;"",'Inputs (2)'!$D$2:$AL$2,0)),"")</f>
        <v>6.593</v>
      </c>
      <c r="AD42" s="269">
        <f>IFERROR(INDEX('Inputs (2)'!$D$70:$AL$70,MATCH(AD$7&amp;"",'Inputs (2)'!$D$2:$AL$2,0)),"")</f>
        <v>5.347</v>
      </c>
      <c r="AE42" s="269">
        <f>IFERROR(INDEX('Inputs (2)'!$D$70:$AL$70,MATCH(AE$7&amp;"",'Inputs (2)'!$D$2:$AL$2,0)),"")</f>
        <v>4.082</v>
      </c>
      <c r="AF42" s="269">
        <f>IFERROR(INDEX('Inputs (2)'!$D$70:$AL$70,MATCH(AF$7&amp;"",'Inputs (2)'!$D$2:$AL$2,0)),"")</f>
        <v>4.583</v>
      </c>
      <c r="AG42" s="270">
        <f>IF(COUNT(AC42:AF42)=4,SUM(AC42:AF42),"")</f>
        <v>20.605</v>
      </c>
      <c r="AH42" s="270">
        <f>IFERROR(INDEX('Inputs (2)'!$D$70:$AL$70,MATCH(AH$7&amp;"",'Inputs (2)'!$D$2:$AL$2,0)),"")</f>
        <v>5.446</v>
      </c>
      <c r="AI42" s="270">
        <f>IFERROR(INDEX('Inputs (2)'!$D$70:$AL$70,MATCH(AI$7&amp;"",'Inputs (2)'!$D$2:$AL$2,0)),"")</f>
        <v>6.696</v>
      </c>
    </row>
    <row r="43">
      <c r="C43" s="268" t="inlineStr">
        <is>
          <t xml:space="preserve">   TNE (controle compartilhado)</t>
        </is>
      </c>
      <c r="D43" s="269" t="str">
        <f>IFERROR(INDEX('Inputs (2)'!$D$71:$AL$71,MATCH(D$7&amp;"",'Inputs (2)'!$D$2:$AL$2,0)),"")</f>
        <v/>
      </c>
      <c r="E43" s="269" t="str">
        <f>IFERROR(INDEX('Inputs (2)'!$D$71:$AL$71,MATCH(E$7&amp;"",'Inputs (2)'!$D$2:$AL$2,0)),"")</f>
        <v/>
      </c>
      <c r="F43" s="269" t="str">
        <f>IFERROR(INDEX('Inputs (2)'!$D$71:$AL$71,MATCH(F$7&amp;"",'Inputs (2)'!$D$2:$AL$2,0)),"")</f>
        <v/>
      </c>
      <c r="G43" s="269" t="str">
        <f>IFERROR(INDEX('Inputs (2)'!$D$71:$AL$71,MATCH(G$7&amp;"",'Inputs (2)'!$D$2:$AL$2,0)),"")</f>
        <v/>
      </c>
      <c r="H43" s="270" t="str">
        <f>IF(COUNT(D43:G43)=4,SUM(D43:G43),"")</f>
        <v/>
      </c>
      <c r="I43" s="269">
        <f>IFERROR(INDEX('Inputs (2)'!$D$71:$AL$71,MATCH(I$7&amp;"",'Inputs (2)'!$D$2:$AL$2,0)),"")</f>
        <v>5.44</v>
      </c>
      <c r="J43" s="269">
        <f>IFERROR(INDEX('Inputs (2)'!$D$71:$AL$71,MATCH(J$7&amp;"",'Inputs (2)'!$D$2:$AL$2,0)),"")</f>
        <v>6.195</v>
      </c>
      <c r="K43" s="269">
        <f>IFERROR(INDEX('Inputs (2)'!$D$71:$AL$71,MATCH(K$7&amp;"",'Inputs (2)'!$D$2:$AL$2,0)),"")</f>
        <v>5.376</v>
      </c>
      <c r="L43" s="269">
        <f>IFERROR(INDEX('Inputs (2)'!$D$71:$AL$71,MATCH(L$7&amp;"",'Inputs (2)'!$D$2:$AL$2,0)),"")</f>
        <v>5.206</v>
      </c>
      <c r="M43" s="270">
        <f>IF(COUNT(I43:L43)=4,SUM(I43:L43),"")</f>
        <v>22.217</v>
      </c>
      <c r="N43" s="269">
        <f>IFERROR(INDEX('Inputs (2)'!$D$71:$AL$71,MATCH(N$7&amp;"",'Inputs (2)'!$D$2:$AL$2,0)),"")</f>
        <v>3.634</v>
      </c>
      <c r="O43" s="269">
        <f>IFERROR(INDEX('Inputs (2)'!$D$71:$AL$71,MATCH(O$7&amp;"",'Inputs (2)'!$D$2:$AL$2,0)),"")</f>
        <v>6.398</v>
      </c>
      <c r="P43" s="269">
        <f>IFERROR(INDEX('Inputs (2)'!$D$71:$AL$71,MATCH(P$7&amp;"",'Inputs (2)'!$D$2:$AL$2,0)),"")</f>
        <v>14.105</v>
      </c>
      <c r="Q43" s="269">
        <f>IFERROR(INDEX('Inputs (2)'!$D$71:$AL$71,MATCH(Q$7&amp;"",'Inputs (2)'!$D$2:$AL$2,0)),"")</f>
        <v>33.618</v>
      </c>
      <c r="R43" s="270">
        <f>IF(COUNT(N43:Q43)=4,SUM(N43:Q43),"")</f>
        <v>57.755</v>
      </c>
      <c r="S43" s="269">
        <f>IFERROR(INDEX('Inputs (2)'!$D$71:$AL$71,MATCH(S$7&amp;"",'Inputs (2)'!$D$2:$AL$2,0)),"")</f>
        <v>15.185</v>
      </c>
      <c r="T43" s="269">
        <f>IFERROR(INDEX('Inputs (2)'!$D$71:$AL$71,MATCH(T$7&amp;"",'Inputs (2)'!$D$2:$AL$2,0)),"")</f>
        <v>23.083</v>
      </c>
      <c r="U43" s="269">
        <f>IFERROR(INDEX('Inputs (2)'!$D$71:$AL$71,MATCH(U$7&amp;"",'Inputs (2)'!$D$2:$AL$2,0)),"")</f>
        <v>66.286</v>
      </c>
      <c r="V43" s="269">
        <f>IFERROR(INDEX('Inputs (2)'!$D$71:$AL$71,MATCH(V$7&amp;"",'Inputs (2)'!$D$2:$AL$2,0)),"")</f>
        <v>242.892</v>
      </c>
      <c r="W43" s="270">
        <f>IF(COUNT(S43:V43)=4,SUM(S43:V43),"")</f>
        <v>347.446</v>
      </c>
      <c r="X43" s="269">
        <f>IFERROR(INDEX('Inputs (2)'!$D$71:$AL$71,MATCH(X$7&amp;"",'Inputs (2)'!$D$2:$AL$2,0)),"")</f>
        <v>288.075</v>
      </c>
      <c r="Y43" s="269">
        <f>IFERROR(INDEX('Inputs (2)'!$D$71:$AL$71,MATCH(Y$7&amp;"",'Inputs (2)'!$D$2:$AL$2,0)),"")</f>
        <v>562.531</v>
      </c>
      <c r="Z43" s="269">
        <f>IFERROR(INDEX('Inputs (2)'!$D$71:$AL$71,MATCH(Z$7&amp;"",'Inputs (2)'!$D$2:$AL$2,0)),"")</f>
        <v>749.807</v>
      </c>
      <c r="AA43" s="269">
        <f>IFERROR(INDEX('Inputs (2)'!$D$71:$AL$71,MATCH(AA$7&amp;"",'Inputs (2)'!$D$2:$AL$2,0)),"")</f>
        <v>717.261</v>
      </c>
      <c r="AB43" s="270">
        <f>IF(COUNT(X43:AA43)=4,SUM(X43:AA43),"")</f>
        <v>2317.674</v>
      </c>
      <c r="AC43" s="269">
        <f>IFERROR(INDEX('Inputs (2)'!$D$71:$AL$71,MATCH(AC$7&amp;"",'Inputs (2)'!$D$2:$AL$2,0)),"")</f>
        <v>623.738</v>
      </c>
      <c r="AD43" s="269">
        <f>IFERROR(INDEX('Inputs (2)'!$D$71:$AL$71,MATCH(AD$7&amp;"",'Inputs (2)'!$D$2:$AL$2,0)),"")</f>
        <v>172.372</v>
      </c>
      <c r="AE43" s="269">
        <f>IFERROR(INDEX('Inputs (2)'!$D$71:$AL$71,MATCH(AE$7&amp;"",'Inputs (2)'!$D$2:$AL$2,0)),"")</f>
        <v>2279.208</v>
      </c>
      <c r="AF43" s="269">
        <f>IFERROR(INDEX('Inputs (2)'!$D$71:$AL$71,MATCH(AF$7&amp;"",'Inputs (2)'!$D$2:$AL$2,0)),"")</f>
        <v>133.091</v>
      </c>
      <c r="AG43" s="270">
        <f>IF(COUNT(AC43:AF43)=4,SUM(AC43:AF43),"")</f>
        <v>3208.409</v>
      </c>
      <c r="AH43" s="270">
        <f>IFERROR(INDEX('Inputs (2)'!$D$71:$AL$71,MATCH(AH$7&amp;"",'Inputs (2)'!$D$2:$AL$2,0)),"")</f>
        <v>168.521</v>
      </c>
      <c r="AI43" s="270">
        <f>IFERROR(INDEX('Inputs (2)'!$D$71:$AL$71,MATCH(AI$7&amp;"",'Inputs (2)'!$D$2:$AL$2,0)),"")</f>
        <v>215.897</v>
      </c>
    </row>
    <row r="44">
      <c r="C44" s="268" t="inlineStr">
        <is>
          <t xml:space="preserve">   ETES</t>
        </is>
      </c>
      <c r="D44" s="269" t="str">
        <f>IFERROR(INDEX('Inputs (2)'!$D$72:$AL$72,MATCH(D$7&amp;"",'Inputs (2)'!$D$2:$AL$2,0)),"")</f>
        <v/>
      </c>
      <c r="E44" s="269" t="str">
        <f>IFERROR(INDEX('Inputs (2)'!$D$72:$AL$72,MATCH(E$7&amp;"",'Inputs (2)'!$D$2:$AL$2,0)),"")</f>
        <v/>
      </c>
      <c r="F44" s="269" t="str">
        <f>IFERROR(INDEX('Inputs (2)'!$D$72:$AL$72,MATCH(F$7&amp;"",'Inputs (2)'!$D$2:$AL$2,0)),"")</f>
        <v/>
      </c>
      <c r="G44" s="269" t="str">
        <f>IFERROR(INDEX('Inputs (2)'!$D$72:$AL$72,MATCH(G$7&amp;"",'Inputs (2)'!$D$2:$AL$2,0)),"")</f>
        <v/>
      </c>
      <c r="H44" s="270" t="str">
        <f>IF(COUNT(D44:G44)=4,SUM(D44:G44),"")</f>
        <v/>
      </c>
      <c r="I44" s="269">
        <f>IFERROR(INDEX('Inputs (2)'!$D$72:$AL$72,MATCH(I$7&amp;"",'Inputs (2)'!$D$2:$AL$2,0)),"")</f>
        <v>0.608</v>
      </c>
      <c r="J44" s="269">
        <f>IFERROR(INDEX('Inputs (2)'!$D$72:$AL$72,MATCH(J$7&amp;"",'Inputs (2)'!$D$2:$AL$2,0)),"")</f>
        <v>6.208</v>
      </c>
      <c r="K44" s="269">
        <f>IFERROR(INDEX('Inputs (2)'!$D$72:$AL$72,MATCH(K$7&amp;"",'Inputs (2)'!$D$2:$AL$2,0)),"")</f>
        <v>5.469</v>
      </c>
      <c r="L44" s="269">
        <f>IFERROR(INDEX('Inputs (2)'!$D$72:$AL$72,MATCH(L$7&amp;"",'Inputs (2)'!$D$2:$AL$2,0)),"")</f>
        <v>6.627</v>
      </c>
      <c r="M44" s="270">
        <f>IF(COUNT(I44:L44)=4,SUM(I44:L44),"")</f>
        <v>18.912</v>
      </c>
      <c r="N44" s="269">
        <f>IFERROR(INDEX('Inputs (2)'!$D$72:$AL$72,MATCH(N$7&amp;"",'Inputs (2)'!$D$2:$AL$2,0)),"")</f>
        <v>5.685</v>
      </c>
      <c r="O44" s="269">
        <f>IFERROR(INDEX('Inputs (2)'!$D$72:$AL$72,MATCH(O$7&amp;"",'Inputs (2)'!$D$2:$AL$2,0)),"")</f>
        <v>6.785</v>
      </c>
      <c r="P44" s="269">
        <f>IFERROR(INDEX('Inputs (2)'!$D$72:$AL$72,MATCH(P$7&amp;"",'Inputs (2)'!$D$2:$AL$2,0)),"")</f>
        <v>3.505</v>
      </c>
      <c r="Q44" s="269">
        <f>IFERROR(INDEX('Inputs (2)'!$D$72:$AL$72,MATCH(Q$7&amp;"",'Inputs (2)'!$D$2:$AL$2,0)),"")</f>
        <v>4.304</v>
      </c>
      <c r="R44" s="270">
        <f>IF(COUNT(N44:Q44)=4,SUM(N44:Q44),"")</f>
        <v>20.279</v>
      </c>
      <c r="S44" s="269">
        <f>IFERROR(INDEX('Inputs (2)'!$D$72:$AL$72,MATCH(S$7&amp;"",'Inputs (2)'!$D$2:$AL$2,0)),"")</f>
        <v>5.727</v>
      </c>
      <c r="T44" s="269">
        <f>IFERROR(INDEX('Inputs (2)'!$D$72:$AL$72,MATCH(T$7&amp;"",'Inputs (2)'!$D$2:$AL$2,0)),"")</f>
        <v>5.305</v>
      </c>
      <c r="U44" s="269">
        <f>IFERROR(INDEX('Inputs (2)'!$D$72:$AL$72,MATCH(U$7&amp;"",'Inputs (2)'!$D$2:$AL$2,0)),"")</f>
        <v>3.946</v>
      </c>
      <c r="V44" s="269">
        <f>IFERROR(INDEX('Inputs (2)'!$D$72:$AL$72,MATCH(V$7&amp;"",'Inputs (2)'!$D$2:$AL$2,0)),"")</f>
        <v>4.32</v>
      </c>
      <c r="W44" s="270">
        <f>IF(COUNT(S44:V44)=4,SUM(S44:V44),"")</f>
        <v>19.298</v>
      </c>
      <c r="X44" s="269">
        <f>IFERROR(INDEX('Inputs (2)'!$D$72:$AL$72,MATCH(X$7&amp;"",'Inputs (2)'!$D$2:$AL$2,0)),"")</f>
        <v>5.458</v>
      </c>
      <c r="Y44" s="269">
        <f>IFERROR(INDEX('Inputs (2)'!$D$72:$AL$72,MATCH(Y$7&amp;"",'Inputs (2)'!$D$2:$AL$2,0)),"")</f>
        <v>4.687</v>
      </c>
      <c r="Z44" s="269">
        <f>IFERROR(INDEX('Inputs (2)'!$D$72:$AL$72,MATCH(Z$7&amp;"",'Inputs (2)'!$D$2:$AL$2,0)),"")</f>
        <v>3.916</v>
      </c>
      <c r="AA44" s="269">
        <f>IFERROR(INDEX('Inputs (2)'!$D$72:$AL$72,MATCH(AA$7&amp;"",'Inputs (2)'!$D$2:$AL$2,0)),"")</f>
        <v>5.028</v>
      </c>
      <c r="AB44" s="270">
        <f>IF(COUNT(X44:AA44)=4,SUM(X44:AA44),"")</f>
        <v>19.089</v>
      </c>
      <c r="AC44" s="269">
        <f>IFERROR(INDEX('Inputs (2)'!$D$72:$AL$72,MATCH(AC$7&amp;"",'Inputs (2)'!$D$2:$AL$2,0)),"")</f>
        <v>5.747</v>
      </c>
      <c r="AD44" s="269">
        <f>IFERROR(INDEX('Inputs (2)'!$D$72:$AL$72,MATCH(AD$7&amp;"",'Inputs (2)'!$D$2:$AL$2,0)),"")</f>
        <v>4.996</v>
      </c>
      <c r="AE44" s="269">
        <f>IFERROR(INDEX('Inputs (2)'!$D$72:$AL$72,MATCH(AE$7&amp;"",'Inputs (2)'!$D$2:$AL$2,0)),"")</f>
        <v>4.014</v>
      </c>
      <c r="AF44" s="269">
        <f>IFERROR(INDEX('Inputs (2)'!$D$72:$AL$72,MATCH(AF$7&amp;"",'Inputs (2)'!$D$2:$AL$2,0)),"")</f>
        <v>4.43</v>
      </c>
      <c r="AG44" s="270">
        <f>IF(COUNT(AC44:AF44)=4,SUM(AC44:AF44),"")</f>
        <v>19.187</v>
      </c>
      <c r="AH44" s="270">
        <f>IFERROR(INDEX('Inputs (2)'!$D$72:$AL$72,MATCH(AH$7&amp;"",'Inputs (2)'!$D$2:$AL$2,0)),"")</f>
        <v>5.108</v>
      </c>
      <c r="AI44" s="270">
        <f>IFERROR(INDEX('Inputs (2)'!$D$72:$AL$72,MATCH(AI$7&amp;"",'Inputs (2)'!$D$2:$AL$2,0)),"")</f>
        <v>6.034</v>
      </c>
    </row>
    <row r="45">
      <c r="C45" s="268" t="inlineStr">
        <is>
          <t xml:space="preserve">   STN</t>
        </is>
      </c>
      <c r="D45" s="269" t="str">
        <f>IFERROR(INDEX('Inputs (2)'!$D$73:$AL$73,MATCH(D$7&amp;"",'Inputs (2)'!$D$2:$AL$2,0)),"")</f>
        <v/>
      </c>
      <c r="E45" s="269" t="str">
        <f>IFERROR(INDEX('Inputs (2)'!$D$73:$AL$73,MATCH(E$7&amp;"",'Inputs (2)'!$D$2:$AL$2,0)),"")</f>
        <v/>
      </c>
      <c r="F45" s="269" t="str">
        <f>IFERROR(INDEX('Inputs (2)'!$D$73:$AL$73,MATCH(F$7&amp;"",'Inputs (2)'!$D$2:$AL$2,0)),"")</f>
        <v/>
      </c>
      <c r="G45" s="269" t="str">
        <f>IFERROR(INDEX('Inputs (2)'!$D$73:$AL$73,MATCH(G$7&amp;"",'Inputs (2)'!$D$2:$AL$2,0)),"")</f>
        <v/>
      </c>
      <c r="H45" s="270" t="str">
        <f>IF(COUNT(D45:G45)=4,SUM(D45:G45),"")</f>
        <v/>
      </c>
      <c r="I45" s="269">
        <f>IFERROR(INDEX('Inputs (2)'!$D$73:$AL$73,MATCH(I$7&amp;"",'Inputs (2)'!$D$2:$AL$2,0)),"")</f>
        <v>52.242</v>
      </c>
      <c r="J45" s="269">
        <f>IFERROR(INDEX('Inputs (2)'!$D$73:$AL$73,MATCH(J$7&amp;"",'Inputs (2)'!$D$2:$AL$2,0)),"")</f>
        <v>64.313</v>
      </c>
      <c r="K45" s="269">
        <f>IFERROR(INDEX('Inputs (2)'!$D$73:$AL$73,MATCH(K$7&amp;"",'Inputs (2)'!$D$2:$AL$2,0)),"")</f>
        <v>44.134</v>
      </c>
      <c r="L45" s="269">
        <f>IFERROR(INDEX('Inputs (2)'!$D$73:$AL$73,MATCH(L$7&amp;"",'Inputs (2)'!$D$2:$AL$2,0)),"")</f>
        <v>-14.633</v>
      </c>
      <c r="M45" s="270">
        <f>IF(COUNT(I45:L45)=4,SUM(I45:L45),"")</f>
        <v>146.056</v>
      </c>
      <c r="N45" s="269">
        <f>IFERROR(INDEX('Inputs (2)'!$D$73:$AL$73,MATCH(N$7&amp;"",'Inputs (2)'!$D$2:$AL$2,0)),"")</f>
        <v>51.216</v>
      </c>
      <c r="O45" s="269">
        <f>IFERROR(INDEX('Inputs (2)'!$D$73:$AL$73,MATCH(O$7&amp;"",'Inputs (2)'!$D$2:$AL$2,0)),"")</f>
        <v>48.566</v>
      </c>
      <c r="P45" s="269">
        <f>IFERROR(INDEX('Inputs (2)'!$D$73:$AL$73,MATCH(P$7&amp;"",'Inputs (2)'!$D$2:$AL$2,0)),"")</f>
        <v>38.625</v>
      </c>
      <c r="Q45" s="269">
        <f>IFERROR(INDEX('Inputs (2)'!$D$73:$AL$73,MATCH(Q$7&amp;"",'Inputs (2)'!$D$2:$AL$2,0)),"")</f>
        <v>45.021</v>
      </c>
      <c r="R45" s="270">
        <f>IF(COUNT(N45:Q45)=4,SUM(N45:Q45),"")</f>
        <v>183.428</v>
      </c>
      <c r="S45" s="269">
        <f>IFERROR(INDEX('Inputs (2)'!$D$73:$AL$73,MATCH(S$7&amp;"",'Inputs (2)'!$D$2:$AL$2,0)),"")</f>
        <v>31.126</v>
      </c>
      <c r="T45" s="269">
        <f>IFERROR(INDEX('Inputs (2)'!$D$73:$AL$73,MATCH(T$7&amp;"",'Inputs (2)'!$D$2:$AL$2,0)),"")</f>
        <v>3.203</v>
      </c>
      <c r="U45" s="269">
        <f>IFERROR(INDEX('Inputs (2)'!$D$73:$AL$73,MATCH(U$7&amp;"",'Inputs (2)'!$D$2:$AL$2,0)),"")</f>
        <v>25.143</v>
      </c>
      <c r="V45" s="269">
        <f>IFERROR(INDEX('Inputs (2)'!$D$73:$AL$73,MATCH(V$7&amp;"",'Inputs (2)'!$D$2:$AL$2,0)),"")</f>
        <v>37.711</v>
      </c>
      <c r="W45" s="270">
        <f>IF(COUNT(S45:V45)=4,SUM(S45:V45),"")</f>
        <v>97.183</v>
      </c>
      <c r="X45" s="269">
        <f>IFERROR(INDEX('Inputs (2)'!$D$73:$AL$73,MATCH(X$7&amp;"",'Inputs (2)'!$D$2:$AL$2,0)),"")</f>
        <v>31.247</v>
      </c>
      <c r="Y45" s="269">
        <f>IFERROR(INDEX('Inputs (2)'!$D$73:$AL$73,MATCH(Y$7&amp;"",'Inputs (2)'!$D$2:$AL$2,0)),"")</f>
        <v>33.645</v>
      </c>
      <c r="Z45" s="269">
        <f>IFERROR(INDEX('Inputs (2)'!$D$73:$AL$73,MATCH(Z$7&amp;"",'Inputs (2)'!$D$2:$AL$2,0)),"")</f>
        <v>36.961</v>
      </c>
      <c r="AA45" s="269">
        <f>IFERROR(INDEX('Inputs (2)'!$D$73:$AL$73,MATCH(AA$7&amp;"",'Inputs (2)'!$D$2:$AL$2,0)),"")</f>
        <v>40.674</v>
      </c>
      <c r="AB45" s="270">
        <f>IF(COUNT(X45:AA45)=4,SUM(X45:AA45),"")</f>
        <v>142.527</v>
      </c>
      <c r="AC45" s="269">
        <f>IFERROR(INDEX('Inputs (2)'!$D$73:$AL$73,MATCH(AC$7&amp;"",'Inputs (2)'!$D$2:$AL$2,0)),"")</f>
        <v>41.117</v>
      </c>
      <c r="AD45" s="269">
        <f>IFERROR(INDEX('Inputs (2)'!$D$73:$AL$73,MATCH(AD$7&amp;"",'Inputs (2)'!$D$2:$AL$2,0)),"")</f>
        <v>26.135</v>
      </c>
      <c r="AE45" s="269">
        <f>IFERROR(INDEX('Inputs (2)'!$D$73:$AL$73,MATCH(AE$7&amp;"",'Inputs (2)'!$D$2:$AL$2,0)),"")</f>
        <v>41.617</v>
      </c>
      <c r="AF45" s="269">
        <f>IFERROR(INDEX('Inputs (2)'!$D$73:$AL$73,MATCH(AF$7&amp;"",'Inputs (2)'!$D$2:$AL$2,0)),"")</f>
        <v>30.621</v>
      </c>
      <c r="AG45" s="270">
        <f>IF(COUNT(AC45:AF45)=4,SUM(AC45:AF45),"")</f>
        <v>139.49</v>
      </c>
      <c r="AH45" s="270">
        <f>IFERROR(INDEX('Inputs (2)'!$D$73:$AL$73,MATCH(AH$7&amp;"",'Inputs (2)'!$D$2:$AL$2,0)),"")</f>
        <v>29.273</v>
      </c>
      <c r="AI45" s="270">
        <f>IFERROR(INDEX('Inputs (2)'!$D$73:$AL$73,MATCH(AI$7&amp;"",'Inputs (2)'!$D$2:$AL$2,0)),"")</f>
        <v>56.666</v>
      </c>
    </row>
    <row r="46">
      <c r="C46" s="268" t="inlineStr">
        <is>
          <t xml:space="preserve">   EDTE</t>
        </is>
      </c>
      <c r="D46" s="269" t="str">
        <f>IFERROR(INDEX('Inputs (2)'!$D$74:$AL$74,MATCH(D$7&amp;"",'Inputs (2)'!$D$2:$AL$2,0)),"")</f>
        <v/>
      </c>
      <c r="E46" s="269" t="str">
        <f>IFERROR(INDEX('Inputs (2)'!$D$74:$AL$74,MATCH(E$7&amp;"",'Inputs (2)'!$D$2:$AL$2,0)),"")</f>
        <v/>
      </c>
      <c r="F46" s="269" t="str">
        <f>IFERROR(INDEX('Inputs (2)'!$D$74:$AL$74,MATCH(F$7&amp;"",'Inputs (2)'!$D$2:$AL$2,0)),"")</f>
        <v/>
      </c>
      <c r="G46" s="269" t="str">
        <f>IFERROR(INDEX('Inputs (2)'!$D$74:$AL$74,MATCH(G$7&amp;"",'Inputs (2)'!$D$2:$AL$2,0)),"")</f>
        <v/>
      </c>
      <c r="H46" s="270" t="str">
        <f>IF(COUNT(D46:G46)=4,SUM(D46:G46),"")</f>
        <v/>
      </c>
      <c r="I46" s="269">
        <f>IFERROR(INDEX('Inputs (2)'!$D$74:$AL$74,MATCH(I$7&amp;"",'Inputs (2)'!$D$2:$AL$2,0)),"")</f>
        <v>31.42</v>
      </c>
      <c r="J46" s="269">
        <f>IFERROR(INDEX('Inputs (2)'!$D$74:$AL$74,MATCH(J$7&amp;"",'Inputs (2)'!$D$2:$AL$2,0)),"")</f>
        <v>29.895</v>
      </c>
      <c r="K46" s="269">
        <f>IFERROR(INDEX('Inputs (2)'!$D$74:$AL$74,MATCH(K$7&amp;"",'Inputs (2)'!$D$2:$AL$2,0)),"")</f>
        <v>31.519</v>
      </c>
      <c r="L46" s="269">
        <f>IFERROR(INDEX('Inputs (2)'!$D$74:$AL$74,MATCH(L$7&amp;"",'Inputs (2)'!$D$2:$AL$2,0)),"")</f>
        <v>39.299</v>
      </c>
      <c r="M46" s="270">
        <f>IF(COUNT(I46:L46)=4,SUM(I46:L46),"")</f>
        <v>132.133</v>
      </c>
      <c r="N46" s="269">
        <f>IFERROR(INDEX('Inputs (2)'!$D$74:$AL$74,MATCH(N$7&amp;"",'Inputs (2)'!$D$2:$AL$2,0)),"")</f>
        <v>33.219</v>
      </c>
      <c r="O46" s="269">
        <f>IFERROR(INDEX('Inputs (2)'!$D$74:$AL$74,MATCH(O$7&amp;"",'Inputs (2)'!$D$2:$AL$2,0)),"")</f>
        <v>40.373</v>
      </c>
      <c r="P46" s="269">
        <f>IFERROR(INDEX('Inputs (2)'!$D$74:$AL$74,MATCH(P$7&amp;"",'Inputs (2)'!$D$2:$AL$2,0)),"")</f>
        <v>16.304</v>
      </c>
      <c r="Q46" s="269">
        <f>IFERROR(INDEX('Inputs (2)'!$D$74:$AL$74,MATCH(Q$7&amp;"",'Inputs (2)'!$D$2:$AL$2,0)),"")</f>
        <v>23.357</v>
      </c>
      <c r="R46" s="270">
        <f>IF(COUNT(N46:Q46)=4,SUM(N46:Q46),"")</f>
        <v>113.253</v>
      </c>
      <c r="S46" s="269">
        <f>IFERROR(INDEX('Inputs (2)'!$D$74:$AL$74,MATCH(S$7&amp;"",'Inputs (2)'!$D$2:$AL$2,0)),"")</f>
        <v>32.372</v>
      </c>
      <c r="T46" s="269">
        <f>IFERROR(INDEX('Inputs (2)'!$D$74:$AL$74,MATCH(T$7&amp;"",'Inputs (2)'!$D$2:$AL$2,0)),"")</f>
        <v>30.045</v>
      </c>
      <c r="U46" s="269">
        <f>IFERROR(INDEX('Inputs (2)'!$D$74:$AL$74,MATCH(U$7&amp;"",'Inputs (2)'!$D$2:$AL$2,0)),"")</f>
        <v>21.1</v>
      </c>
      <c r="V46" s="269">
        <f>IFERROR(INDEX('Inputs (2)'!$D$74:$AL$74,MATCH(V$7&amp;"",'Inputs (2)'!$D$2:$AL$2,0)),"")</f>
        <v>24.643</v>
      </c>
      <c r="W46" s="270">
        <f>IF(COUNT(S46:V46)=4,SUM(S46:V46),"")</f>
        <v>108.16</v>
      </c>
      <c r="X46" s="269">
        <f>IFERROR(INDEX('Inputs (2)'!$D$74:$AL$74,MATCH(X$7&amp;"",'Inputs (2)'!$D$2:$AL$2,0)),"")</f>
        <v>31.622</v>
      </c>
      <c r="Y46" s="269">
        <f>IFERROR(INDEX('Inputs (2)'!$D$74:$AL$74,MATCH(Y$7&amp;"",'Inputs (2)'!$D$2:$AL$2,0)),"")</f>
        <v>26.947</v>
      </c>
      <c r="Z46" s="269">
        <f>IFERROR(INDEX('Inputs (2)'!$D$74:$AL$74,MATCH(Z$7&amp;"",'Inputs (2)'!$D$2:$AL$2,0)),"")</f>
        <v>23.746</v>
      </c>
      <c r="AA46" s="269">
        <f>IFERROR(INDEX('Inputs (2)'!$D$74:$AL$74,MATCH(AA$7&amp;"",'Inputs (2)'!$D$2:$AL$2,0)),"")</f>
        <v>29.671</v>
      </c>
      <c r="AB46" s="270">
        <f>IF(COUNT(X46:AA46)=4,SUM(X46:AA46),"")</f>
        <v>111.986</v>
      </c>
      <c r="AC46" s="269">
        <f>IFERROR(INDEX('Inputs (2)'!$D$74:$AL$74,MATCH(AC$7&amp;"",'Inputs (2)'!$D$2:$AL$2,0)),"")</f>
        <v>34.592</v>
      </c>
      <c r="AD46" s="269">
        <f>IFERROR(INDEX('Inputs (2)'!$D$74:$AL$74,MATCH(AD$7&amp;"",'Inputs (2)'!$D$2:$AL$2,0)),"")</f>
        <v>29.827</v>
      </c>
      <c r="AE46" s="269">
        <f>IFERROR(INDEX('Inputs (2)'!$D$74:$AL$74,MATCH(AE$7&amp;"",'Inputs (2)'!$D$2:$AL$2,0)),"")</f>
        <v>23.412</v>
      </c>
      <c r="AF46" s="269">
        <f>IFERROR(INDEX('Inputs (2)'!$D$74:$AL$74,MATCH(AF$7&amp;"",'Inputs (2)'!$D$2:$AL$2,0)),"")</f>
        <v>26.109</v>
      </c>
      <c r="AG46" s="270">
        <f>IF(COUNT(AC46:AF46)=4,SUM(AC46:AF46),"")</f>
        <v>113.94</v>
      </c>
      <c r="AH46" s="270">
        <f>IFERROR(INDEX('Inputs (2)'!$D$74:$AL$74,MATCH(AH$7&amp;"",'Inputs (2)'!$D$2:$AL$2,0)),"")</f>
        <v>30.917</v>
      </c>
      <c r="AI46" s="270">
        <f>IFERROR(INDEX('Inputs (2)'!$D$74:$AL$74,MATCH(AI$7&amp;"",'Inputs (2)'!$D$2:$AL$2,0)),"")</f>
        <v>37.483</v>
      </c>
    </row>
    <row r="47">
      <c r="C47" s="268" t="inlineStr">
        <is>
          <t xml:space="preserve">   ETVG</t>
        </is>
      </c>
      <c r="D47" s="269" t="str">
        <f>IFERROR(INDEX('Inputs (2)'!$D$75:$AL$75,MATCH(D$7&amp;"",'Inputs (2)'!$D$2:$AL$2,0)),"")</f>
        <v/>
      </c>
      <c r="E47" s="269" t="str">
        <f>IFERROR(INDEX('Inputs (2)'!$D$75:$AL$75,MATCH(E$7&amp;"",'Inputs (2)'!$D$2:$AL$2,0)),"")</f>
        <v/>
      </c>
      <c r="F47" s="269" t="str">
        <f>IFERROR(INDEX('Inputs (2)'!$D$75:$AL$75,MATCH(F$7&amp;"",'Inputs (2)'!$D$2:$AL$2,0)),"")</f>
        <v/>
      </c>
      <c r="G47" s="269" t="str">
        <f>IFERROR(INDEX('Inputs (2)'!$D$75:$AL$75,MATCH(G$7&amp;"",'Inputs (2)'!$D$2:$AL$2,0)),"")</f>
        <v/>
      </c>
      <c r="H47" s="270" t="str">
        <f>IF(COUNT(D47:G47)=4,SUM(D47:G47),"")</f>
        <v/>
      </c>
      <c r="I47" s="269">
        <f>IFERROR(INDEX('Inputs (2)'!$D$75:$AL$75,MATCH(I$7&amp;"",'Inputs (2)'!$D$2:$AL$2,0)),"")</f>
        <v>4.836</v>
      </c>
      <c r="J47" s="269">
        <f>IFERROR(INDEX('Inputs (2)'!$D$75:$AL$75,MATCH(J$7&amp;"",'Inputs (2)'!$D$2:$AL$2,0)),"")</f>
        <v>4.762</v>
      </c>
      <c r="K47" s="269">
        <f>IFERROR(INDEX('Inputs (2)'!$D$75:$AL$75,MATCH(K$7&amp;"",'Inputs (2)'!$D$2:$AL$2,0)),"")</f>
        <v>20.215</v>
      </c>
      <c r="L47" s="269">
        <f>IFERROR(INDEX('Inputs (2)'!$D$75:$AL$75,MATCH(L$7&amp;"",'Inputs (2)'!$D$2:$AL$2,0)),"")</f>
        <v>7.364</v>
      </c>
      <c r="M47" s="270">
        <f>IF(COUNT(I47:L47)=4,SUM(I47:L47),"")</f>
        <v>37.177</v>
      </c>
      <c r="N47" s="269">
        <f>IFERROR(INDEX('Inputs (2)'!$D$75:$AL$75,MATCH(N$7&amp;"",'Inputs (2)'!$D$2:$AL$2,0)),"")</f>
        <v>7.061</v>
      </c>
      <c r="O47" s="269">
        <f>IFERROR(INDEX('Inputs (2)'!$D$75:$AL$75,MATCH(O$7&amp;"",'Inputs (2)'!$D$2:$AL$2,0)),"")</f>
        <v>8.602</v>
      </c>
      <c r="P47" s="269">
        <f>IFERROR(INDEX('Inputs (2)'!$D$75:$AL$75,MATCH(P$7&amp;"",'Inputs (2)'!$D$2:$AL$2,0)),"")</f>
        <v>2.4</v>
      </c>
      <c r="Q47" s="269">
        <f>IFERROR(INDEX('Inputs (2)'!$D$75:$AL$75,MATCH(Q$7&amp;"",'Inputs (2)'!$D$2:$AL$2,0)),"")</f>
        <v>4.478</v>
      </c>
      <c r="R47" s="270">
        <f>IF(COUNT(N47:Q47)=4,SUM(N47:Q47),"")</f>
        <v>22.541</v>
      </c>
      <c r="S47" s="269">
        <f>IFERROR(INDEX('Inputs (2)'!$D$75:$AL$75,MATCH(S$7&amp;"",'Inputs (2)'!$D$2:$AL$2,0)),"")</f>
        <v>6.604</v>
      </c>
      <c r="T47" s="269">
        <f>IFERROR(INDEX('Inputs (2)'!$D$75:$AL$75,MATCH(T$7&amp;"",'Inputs (2)'!$D$2:$AL$2,0)),"")</f>
        <v>5.994</v>
      </c>
      <c r="U47" s="269">
        <f>IFERROR(INDEX('Inputs (2)'!$D$75:$AL$75,MATCH(U$7&amp;"",'Inputs (2)'!$D$2:$AL$2,0)),"")</f>
        <v>3.694</v>
      </c>
      <c r="V47" s="269">
        <f>IFERROR(INDEX('Inputs (2)'!$D$75:$AL$75,MATCH(V$7&amp;"",'Inputs (2)'!$D$2:$AL$2,0)),"")</f>
        <v>4.537</v>
      </c>
      <c r="W47" s="270">
        <f>IF(COUNT(S47:V47)=4,SUM(S47:V47),"")</f>
        <v>20.829</v>
      </c>
      <c r="X47" s="269">
        <f>IFERROR(INDEX('Inputs (2)'!$D$75:$AL$75,MATCH(X$7&amp;"",'Inputs (2)'!$D$2:$AL$2,0)),"")</f>
        <v>6.31</v>
      </c>
      <c r="Y47" s="269">
        <f>IFERROR(INDEX('Inputs (2)'!$D$75:$AL$75,MATCH(Y$7&amp;"",'Inputs (2)'!$D$2:$AL$2,0)),"")</f>
        <v>5.071</v>
      </c>
      <c r="Z47" s="269">
        <f>IFERROR(INDEX('Inputs (2)'!$D$75:$AL$75,MATCH(Z$7&amp;"",'Inputs (2)'!$D$2:$AL$2,0)),"")</f>
        <v>-1.538</v>
      </c>
      <c r="AA47" s="269">
        <f>IFERROR(INDEX('Inputs (2)'!$D$75:$AL$75,MATCH(AA$7&amp;"",'Inputs (2)'!$D$2:$AL$2,0)),"")</f>
        <v>5.211</v>
      </c>
      <c r="AB47" s="270">
        <f>IF(COUNT(X47:AA47)=4,SUM(X47:AA47),"")</f>
        <v>15.054</v>
      </c>
      <c r="AC47" s="269">
        <f>IFERROR(INDEX('Inputs (2)'!$D$75:$AL$75,MATCH(AC$7&amp;"",'Inputs (2)'!$D$2:$AL$2,0)),"")</f>
        <v>9.771</v>
      </c>
      <c r="AD47" s="269">
        <f>IFERROR(INDEX('Inputs (2)'!$D$75:$AL$75,MATCH(AD$7&amp;"",'Inputs (2)'!$D$2:$AL$2,0)),"")</f>
        <v>5.181</v>
      </c>
      <c r="AE47" s="269">
        <f>IFERROR(INDEX('Inputs (2)'!$D$75:$AL$75,MATCH(AE$7&amp;"",'Inputs (2)'!$D$2:$AL$2,0)),"")</f>
        <v>4.09</v>
      </c>
      <c r="AF47" s="269">
        <f>IFERROR(INDEX('Inputs (2)'!$D$75:$AL$75,MATCH(AF$7&amp;"",'Inputs (2)'!$D$2:$AL$2,0)),"")</f>
        <v>4.676</v>
      </c>
      <c r="AG47" s="270">
        <f>IF(COUNT(AC47:AF47)=4,SUM(AC47:AF47),"")</f>
        <v>23.718</v>
      </c>
      <c r="AH47" s="270">
        <f>IFERROR(INDEX('Inputs (2)'!$D$75:$AL$75,MATCH(AH$7&amp;"",'Inputs (2)'!$D$2:$AL$2,0)),"")</f>
        <v>5.438</v>
      </c>
      <c r="AI47" s="270">
        <f>IFERROR(INDEX('Inputs (2)'!$D$75:$AL$75,MATCH(AI$7&amp;"",'Inputs (2)'!$D$2:$AL$2,0)),"")</f>
        <v>7.03</v>
      </c>
    </row>
    <row r="48">
      <c r="C48" s="268" t="inlineStr">
        <is>
          <t xml:space="preserve">   ELTE</t>
        </is>
      </c>
      <c r="D48" s="269" t="str">
        <f>IFERROR(INDEX('Inputs (2)'!$D$76:$AL$76,MATCH(D$7&amp;"",'Inputs (2)'!$D$2:$AL$2,0)),"")</f>
        <v/>
      </c>
      <c r="E48" s="269" t="str">
        <f>IFERROR(INDEX('Inputs (2)'!$D$76:$AL$76,MATCH(E$7&amp;"",'Inputs (2)'!$D$2:$AL$2,0)),"")</f>
        <v/>
      </c>
      <c r="F48" s="269" t="str">
        <f>IFERROR(INDEX('Inputs (2)'!$D$76:$AL$76,MATCH(F$7&amp;"",'Inputs (2)'!$D$2:$AL$2,0)),"")</f>
        <v/>
      </c>
      <c r="G48" s="269" t="str">
        <f>IFERROR(INDEX('Inputs (2)'!$D$76:$AL$76,MATCH(G$7&amp;"",'Inputs (2)'!$D$2:$AL$2,0)),"")</f>
        <v/>
      </c>
      <c r="H48" s="270" t="str">
        <f>IF(COUNT(D48:G48)=4,SUM(D48:G48),"")</f>
        <v/>
      </c>
      <c r="I48" s="269">
        <f>IFERROR(INDEX('Inputs (2)'!$D$76:$AL$76,MATCH(I$7&amp;"",'Inputs (2)'!$D$2:$AL$2,0)),"")</f>
        <v>0.201</v>
      </c>
      <c r="J48" s="269">
        <f>IFERROR(INDEX('Inputs (2)'!$D$76:$AL$76,MATCH(J$7&amp;"",'Inputs (2)'!$D$2:$AL$2,0)),"")</f>
        <v>4.371</v>
      </c>
      <c r="K48" s="269">
        <f>IFERROR(INDEX('Inputs (2)'!$D$76:$AL$76,MATCH(K$7&amp;"",'Inputs (2)'!$D$2:$AL$2,0)),"")</f>
        <v>-6.612</v>
      </c>
      <c r="L48" s="269">
        <f>IFERROR(INDEX('Inputs (2)'!$D$76:$AL$76,MATCH(L$7&amp;"",'Inputs (2)'!$D$2:$AL$2,0)),"")</f>
        <v>5.02</v>
      </c>
      <c r="M48" s="270">
        <f>IF(COUNT(I48:L48)=4,SUM(I48:L48),"")</f>
        <v>2.98</v>
      </c>
      <c r="N48" s="269">
        <f>IFERROR(INDEX('Inputs (2)'!$D$76:$AL$76,MATCH(N$7&amp;"",'Inputs (2)'!$D$2:$AL$2,0)),"")</f>
        <v>1.445</v>
      </c>
      <c r="O48" s="269">
        <f>IFERROR(INDEX('Inputs (2)'!$D$76:$AL$76,MATCH(O$7&amp;"",'Inputs (2)'!$D$2:$AL$2,0)),"")</f>
        <v>43.586</v>
      </c>
      <c r="P48" s="269">
        <f>IFERROR(INDEX('Inputs (2)'!$D$76:$AL$76,MATCH(P$7&amp;"",'Inputs (2)'!$D$2:$AL$2,0)),"")</f>
        <v>26.58</v>
      </c>
      <c r="Q48" s="269">
        <f>IFERROR(INDEX('Inputs (2)'!$D$76:$AL$76,MATCH(Q$7&amp;"",'Inputs (2)'!$D$2:$AL$2,0)),"")</f>
        <v>52.728</v>
      </c>
      <c r="R48" s="270">
        <f>IF(COUNT(N48:Q48)=4,SUM(N48:Q48),"")</f>
        <v>124.339</v>
      </c>
      <c r="S48" s="269">
        <f>IFERROR(INDEX('Inputs (2)'!$D$76:$AL$76,MATCH(S$7&amp;"",'Inputs (2)'!$D$2:$AL$2,0)),"")</f>
        <v>69.339</v>
      </c>
      <c r="T48" s="269">
        <f>IFERROR(INDEX('Inputs (2)'!$D$76:$AL$76,MATCH(T$7&amp;"",'Inputs (2)'!$D$2:$AL$2,0)),"")</f>
        <v>43.353</v>
      </c>
      <c r="U48" s="269">
        <f>IFERROR(INDEX('Inputs (2)'!$D$76:$AL$76,MATCH(U$7&amp;"",'Inputs (2)'!$D$2:$AL$2,0)),"")</f>
        <v>34.344</v>
      </c>
      <c r="V48" s="269">
        <f>IFERROR(INDEX('Inputs (2)'!$D$76:$AL$76,MATCH(V$7&amp;"",'Inputs (2)'!$D$2:$AL$2,0)),"")</f>
        <v>51.113</v>
      </c>
      <c r="W48" s="270">
        <f>IF(COUNT(S48:V48)=4,SUM(S48:V48),"")</f>
        <v>198.149</v>
      </c>
      <c r="X48" s="269">
        <f>IFERROR(INDEX('Inputs (2)'!$D$76:$AL$76,MATCH(X$7&amp;"",'Inputs (2)'!$D$2:$AL$2,0)),"")</f>
        <v>99.704</v>
      </c>
      <c r="Y48" s="269">
        <f>IFERROR(INDEX('Inputs (2)'!$D$76:$AL$76,MATCH(Y$7&amp;"",'Inputs (2)'!$D$2:$AL$2,0)),"")</f>
        <v>131.108</v>
      </c>
      <c r="Z48" s="269">
        <f>IFERROR(INDEX('Inputs (2)'!$D$76:$AL$76,MATCH(Z$7&amp;"",'Inputs (2)'!$D$2:$AL$2,0)),"")</f>
        <v>124.479</v>
      </c>
      <c r="AA48" s="269">
        <f>IFERROR(INDEX('Inputs (2)'!$D$76:$AL$76,MATCH(AA$7&amp;"",'Inputs (2)'!$D$2:$AL$2,0)),"")</f>
        <v>40.369</v>
      </c>
      <c r="AB48" s="270">
        <f>IF(COUNT(X48:AA48)=4,SUM(X48:AA48),"")</f>
        <v>395.66</v>
      </c>
      <c r="AC48" s="269">
        <f>IFERROR(INDEX('Inputs (2)'!$D$76:$AL$76,MATCH(AC$7&amp;"",'Inputs (2)'!$D$2:$AL$2,0)),"")</f>
        <v>85.557</v>
      </c>
      <c r="AD48" s="269">
        <f>IFERROR(INDEX('Inputs (2)'!$D$76:$AL$76,MATCH(AD$7&amp;"",'Inputs (2)'!$D$2:$AL$2,0)),"")</f>
        <v>114.844</v>
      </c>
      <c r="AE48" s="269">
        <f>IFERROR(INDEX('Inputs (2)'!$D$76:$AL$76,MATCH(AE$7&amp;"",'Inputs (2)'!$D$2:$AL$2,0)),"")</f>
        <v>19.725</v>
      </c>
      <c r="AF48" s="269">
        <f>IFERROR(INDEX('Inputs (2)'!$D$76:$AL$76,MATCH(AF$7&amp;"",'Inputs (2)'!$D$2:$AL$2,0)),"")</f>
        <v>21.78</v>
      </c>
      <c r="AG48" s="270">
        <f>IF(COUNT(AC48:AF48)=4,SUM(AC48:AF48),"")</f>
        <v>241.906</v>
      </c>
      <c r="AH48" s="270">
        <f>IFERROR(INDEX('Inputs (2)'!$D$76:$AL$76,MATCH(AH$7&amp;"",'Inputs (2)'!$D$2:$AL$2,0)),"")</f>
        <v>29.72</v>
      </c>
      <c r="AI48" s="270">
        <f>IFERROR(INDEX('Inputs (2)'!$D$76:$AL$76,MATCH(AI$7&amp;"",'Inputs (2)'!$D$2:$AL$2,0)),"")</f>
        <v>33.323</v>
      </c>
    </row>
    <row r="49">
      <c r="C49" s="268" t="inlineStr">
        <is>
          <t xml:space="preserve">   ETAP</t>
        </is>
      </c>
      <c r="D49" s="269" t="str">
        <f>IFERROR(INDEX('Inputs (2)'!$D$77:$AL$77,MATCH(D$7&amp;"",'Inputs (2)'!$D$2:$AL$2,0)),"")</f>
        <v/>
      </c>
      <c r="E49" s="269" t="str">
        <f>IFERROR(INDEX('Inputs (2)'!$D$77:$AL$77,MATCH(E$7&amp;"",'Inputs (2)'!$D$2:$AL$2,0)),"")</f>
        <v/>
      </c>
      <c r="F49" s="269" t="str">
        <f>IFERROR(INDEX('Inputs (2)'!$D$77:$AL$77,MATCH(F$7&amp;"",'Inputs (2)'!$D$2:$AL$2,0)),"")</f>
        <v/>
      </c>
      <c r="G49" s="269" t="str">
        <f>IFERROR(INDEX('Inputs (2)'!$D$77:$AL$77,MATCH(G$7&amp;"",'Inputs (2)'!$D$2:$AL$2,0)),"")</f>
        <v/>
      </c>
      <c r="H49" s="270" t="str">
        <f>IF(COUNT(D49:G49)=4,SUM(D49:G49),"")</f>
        <v/>
      </c>
      <c r="I49" s="269">
        <f>IFERROR(INDEX('Inputs (2)'!$D$77:$AL$77,MATCH(I$7&amp;"",'Inputs (2)'!$D$2:$AL$2,0)),"")</f>
        <v>25.157</v>
      </c>
      <c r="J49" s="269">
        <f>IFERROR(INDEX('Inputs (2)'!$D$77:$AL$77,MATCH(J$7&amp;"",'Inputs (2)'!$D$2:$AL$2,0)),"")</f>
        <v>23.853</v>
      </c>
      <c r="K49" s="269">
        <f>IFERROR(INDEX('Inputs (2)'!$D$77:$AL$77,MATCH(K$7&amp;"",'Inputs (2)'!$D$2:$AL$2,0)),"")</f>
        <v>25.245</v>
      </c>
      <c r="L49" s="269">
        <f>IFERROR(INDEX('Inputs (2)'!$D$77:$AL$77,MATCH(L$7&amp;"",'Inputs (2)'!$D$2:$AL$2,0)),"")</f>
        <v>30.539</v>
      </c>
      <c r="M49" s="270">
        <f>IF(COUNT(I49:L49)=4,SUM(I49:L49),"")</f>
        <v>104.794</v>
      </c>
      <c r="N49" s="269">
        <f>IFERROR(INDEX('Inputs (2)'!$D$77:$AL$77,MATCH(N$7&amp;"",'Inputs (2)'!$D$2:$AL$2,0)),"")</f>
        <v>26.693</v>
      </c>
      <c r="O49" s="269">
        <f>IFERROR(INDEX('Inputs (2)'!$D$77:$AL$77,MATCH(O$7&amp;"",'Inputs (2)'!$D$2:$AL$2,0)),"")</f>
        <v>32.379</v>
      </c>
      <c r="P49" s="269">
        <f>IFERROR(INDEX('Inputs (2)'!$D$77:$AL$77,MATCH(P$7&amp;"",'Inputs (2)'!$D$2:$AL$2,0)),"")</f>
        <v>13.329</v>
      </c>
      <c r="Q49" s="269">
        <f>IFERROR(INDEX('Inputs (2)'!$D$77:$AL$77,MATCH(Q$7&amp;"",'Inputs (2)'!$D$2:$AL$2,0)),"")</f>
        <v>18.901</v>
      </c>
      <c r="R49" s="270">
        <f>IF(COUNT(N49:Q49)=4,SUM(N49:Q49),"")</f>
        <v>91.302</v>
      </c>
      <c r="S49" s="269">
        <f>IFERROR(INDEX('Inputs (2)'!$D$77:$AL$77,MATCH(S$7&amp;"",'Inputs (2)'!$D$2:$AL$2,0)),"")</f>
        <v>26.047</v>
      </c>
      <c r="T49" s="269">
        <f>IFERROR(INDEX('Inputs (2)'!$D$77:$AL$77,MATCH(T$7&amp;"",'Inputs (2)'!$D$2:$AL$2,0)),"")</f>
        <v>24.218</v>
      </c>
      <c r="U49" s="269">
        <f>IFERROR(INDEX('Inputs (2)'!$D$77:$AL$77,MATCH(U$7&amp;"",'Inputs (2)'!$D$2:$AL$2,0)),"")</f>
        <v>17.13</v>
      </c>
      <c r="V49" s="269">
        <f>IFERROR(INDEX('Inputs (2)'!$D$77:$AL$77,MATCH(V$7&amp;"",'Inputs (2)'!$D$2:$AL$2,0)),"")</f>
        <v>19.922</v>
      </c>
      <c r="W49" s="270">
        <f>IF(COUNT(S49:V49)=4,SUM(S49:V49),"")</f>
        <v>87.317</v>
      </c>
      <c r="X49" s="269">
        <f>IFERROR(INDEX('Inputs (2)'!$D$77:$AL$77,MATCH(X$7&amp;"",'Inputs (2)'!$D$2:$AL$2,0)),"")</f>
        <v>25.911</v>
      </c>
      <c r="Y49" s="269">
        <f>IFERROR(INDEX('Inputs (2)'!$D$77:$AL$77,MATCH(Y$7&amp;"",'Inputs (2)'!$D$2:$AL$2,0)),"")</f>
        <v>21.778</v>
      </c>
      <c r="Z49" s="269">
        <f>IFERROR(INDEX('Inputs (2)'!$D$77:$AL$77,MATCH(Z$7&amp;"",'Inputs (2)'!$D$2:$AL$2,0)),"")</f>
        <v>19.232</v>
      </c>
      <c r="AA49" s="269">
        <f>IFERROR(INDEX('Inputs (2)'!$D$77:$AL$77,MATCH(AA$7&amp;"",'Inputs (2)'!$D$2:$AL$2,0)),"")</f>
        <v>23.929</v>
      </c>
      <c r="AB49" s="270">
        <f>IF(COUNT(X49:AA49)=4,SUM(X49:AA49),"")</f>
        <v>90.85</v>
      </c>
      <c r="AC49" s="269">
        <f>IFERROR(INDEX('Inputs (2)'!$D$77:$AL$77,MATCH(AC$7&amp;"",'Inputs (2)'!$D$2:$AL$2,0)),"")</f>
        <v>27.775</v>
      </c>
      <c r="AD49" s="269">
        <f>IFERROR(INDEX('Inputs (2)'!$D$77:$AL$77,MATCH(AD$7&amp;"",'Inputs (2)'!$D$2:$AL$2,0)),"")</f>
        <v>24.054</v>
      </c>
      <c r="AE49" s="269">
        <f>IFERROR(INDEX('Inputs (2)'!$D$77:$AL$77,MATCH(AE$7&amp;"",'Inputs (2)'!$D$2:$AL$2,0)),"")</f>
        <v>18.985</v>
      </c>
      <c r="AF49" s="269">
        <f>IFERROR(INDEX('Inputs (2)'!$D$77:$AL$77,MATCH(AF$7&amp;"",'Inputs (2)'!$D$2:$AL$2,0)),"")</f>
        <v>21.118</v>
      </c>
      <c r="AG49" s="270">
        <f>IF(COUNT(AC49:AF49)=4,SUM(AC49:AF49),"")</f>
        <v>91.932</v>
      </c>
      <c r="AH49" s="270">
        <f>IFERROR(INDEX('Inputs (2)'!$D$77:$AL$77,MATCH(AH$7&amp;"",'Inputs (2)'!$D$2:$AL$2,0)),"")</f>
        <v>24.881</v>
      </c>
      <c r="AI49" s="270">
        <f>IFERROR(INDEX('Inputs (2)'!$D$77:$AL$77,MATCH(AI$7&amp;"",'Inputs (2)'!$D$2:$AL$2,0)),"")</f>
        <v>30.147</v>
      </c>
    </row>
    <row r="50">
      <c r="C50" s="268" t="inlineStr">
        <is>
          <t xml:space="preserve">   ETC</t>
        </is>
      </c>
      <c r="D50" s="269" t="str">
        <f>IFERROR(INDEX('Inputs (2)'!$D$78:$AL$78,MATCH(D$7&amp;"",'Inputs (2)'!$D$2:$AL$2,0)),"")</f>
        <v/>
      </c>
      <c r="E50" s="269" t="str">
        <f>IFERROR(INDEX('Inputs (2)'!$D$78:$AL$78,MATCH(E$7&amp;"",'Inputs (2)'!$D$2:$AL$2,0)),"")</f>
        <v/>
      </c>
      <c r="F50" s="269" t="str">
        <f>IFERROR(INDEX('Inputs (2)'!$D$78:$AL$78,MATCH(F$7&amp;"",'Inputs (2)'!$D$2:$AL$2,0)),"")</f>
        <v/>
      </c>
      <c r="G50" s="269" t="str">
        <f>IFERROR(INDEX('Inputs (2)'!$D$78:$AL$78,MATCH(G$7&amp;"",'Inputs (2)'!$D$2:$AL$2,0)),"")</f>
        <v/>
      </c>
      <c r="H50" s="270" t="str">
        <f>IF(COUNT(D50:G50)=4,SUM(D50:G50),"")</f>
        <v/>
      </c>
      <c r="I50" s="269">
        <f>IFERROR(INDEX('Inputs (2)'!$D$78:$AL$78,MATCH(I$7&amp;"",'Inputs (2)'!$D$2:$AL$2,0)),"")</f>
        <v>15.148</v>
      </c>
      <c r="J50" s="269">
        <f>IFERROR(INDEX('Inputs (2)'!$D$78:$AL$78,MATCH(J$7&amp;"",'Inputs (2)'!$D$2:$AL$2,0)),"")</f>
        <v>16.216</v>
      </c>
      <c r="K50" s="269">
        <f>IFERROR(INDEX('Inputs (2)'!$D$78:$AL$78,MATCH(K$7&amp;"",'Inputs (2)'!$D$2:$AL$2,0)),"")</f>
        <v>14.508</v>
      </c>
      <c r="L50" s="269">
        <f>IFERROR(INDEX('Inputs (2)'!$D$78:$AL$78,MATCH(L$7&amp;"",'Inputs (2)'!$D$2:$AL$2,0)),"")</f>
        <v>17.295</v>
      </c>
      <c r="M50" s="270">
        <f>IF(COUNT(I50:L50)=4,SUM(I50:L50),"")</f>
        <v>63.167</v>
      </c>
      <c r="N50" s="269">
        <f>IFERROR(INDEX('Inputs (2)'!$D$78:$AL$78,MATCH(N$7&amp;"",'Inputs (2)'!$D$2:$AL$2,0)),"")</f>
        <v>15.181</v>
      </c>
      <c r="O50" s="269">
        <f>IFERROR(INDEX('Inputs (2)'!$D$78:$AL$78,MATCH(O$7&amp;"",'Inputs (2)'!$D$2:$AL$2,0)),"")</f>
        <v>18.328</v>
      </c>
      <c r="P50" s="269">
        <f>IFERROR(INDEX('Inputs (2)'!$D$78:$AL$78,MATCH(P$7&amp;"",'Inputs (2)'!$D$2:$AL$2,0)),"")</f>
        <v>8.04</v>
      </c>
      <c r="Q50" s="269">
        <f>IFERROR(INDEX('Inputs (2)'!$D$78:$AL$78,MATCH(Q$7&amp;"",'Inputs (2)'!$D$2:$AL$2,0)),"")</f>
        <v>11.115</v>
      </c>
      <c r="R50" s="270">
        <f>IF(COUNT(N50:Q50)=4,SUM(N50:Q50),"")</f>
        <v>52.664</v>
      </c>
      <c r="S50" s="269">
        <f>IFERROR(INDEX('Inputs (2)'!$D$78:$AL$78,MATCH(S$7&amp;"",'Inputs (2)'!$D$2:$AL$2,0)),"")</f>
        <v>15.039</v>
      </c>
      <c r="T50" s="269">
        <f>IFERROR(INDEX('Inputs (2)'!$D$78:$AL$78,MATCH(T$7&amp;"",'Inputs (2)'!$D$2:$AL$2,0)),"")</f>
        <v>14.066</v>
      </c>
      <c r="U50" s="269">
        <f>IFERROR(INDEX('Inputs (2)'!$D$78:$AL$78,MATCH(U$7&amp;"",'Inputs (2)'!$D$2:$AL$2,0)),"")</f>
        <v>10.166</v>
      </c>
      <c r="V50" s="269">
        <f>IFERROR(INDEX('Inputs (2)'!$D$78:$AL$78,MATCH(V$7&amp;"",'Inputs (2)'!$D$2:$AL$2,0)),"")</f>
        <v>11.719</v>
      </c>
      <c r="W50" s="270">
        <f>IF(COUNT(S50:V50)=4,SUM(S50:V50),"")</f>
        <v>50.99</v>
      </c>
      <c r="X50" s="269">
        <f>IFERROR(INDEX('Inputs (2)'!$D$78:$AL$78,MATCH(X$7&amp;"",'Inputs (2)'!$D$2:$AL$2,0)),"")</f>
        <v>15.015</v>
      </c>
      <c r="Y50" s="269">
        <f>IFERROR(INDEX('Inputs (2)'!$D$78:$AL$78,MATCH(Y$7&amp;"",'Inputs (2)'!$D$2:$AL$2,0)),"")</f>
        <v>12.771</v>
      </c>
      <c r="Z50" s="269">
        <f>IFERROR(INDEX('Inputs (2)'!$D$78:$AL$78,MATCH(Z$7&amp;"",'Inputs (2)'!$D$2:$AL$2,0)),"")</f>
        <v>11.358</v>
      </c>
      <c r="AA50" s="269">
        <f>IFERROR(INDEX('Inputs (2)'!$D$78:$AL$78,MATCH(AA$7&amp;"",'Inputs (2)'!$D$2:$AL$2,0)),"")</f>
        <v>13.967</v>
      </c>
      <c r="AB50" s="270">
        <f>IF(COUNT(X50:AA50)=4,SUM(X50:AA50),"")</f>
        <v>53.111</v>
      </c>
      <c r="AC50" s="269">
        <f>IFERROR(INDEX('Inputs (2)'!$D$78:$AL$78,MATCH(AC$7&amp;"",'Inputs (2)'!$D$2:$AL$2,0)),"")</f>
        <v>16.087</v>
      </c>
      <c r="AD50" s="269">
        <f>IFERROR(INDEX('Inputs (2)'!$D$78:$AL$78,MATCH(AD$7&amp;"",'Inputs (2)'!$D$2:$AL$2,0)),"")</f>
        <v>14.092</v>
      </c>
      <c r="AE50" s="269">
        <f>IFERROR(INDEX('Inputs (2)'!$D$78:$AL$78,MATCH(AE$7&amp;"",'Inputs (2)'!$D$2:$AL$2,0)),"")</f>
        <v>11.27</v>
      </c>
      <c r="AF50" s="269">
        <f>IFERROR(INDEX('Inputs (2)'!$D$78:$AL$78,MATCH(AF$7&amp;"",'Inputs (2)'!$D$2:$AL$2,0)),"")</f>
        <v>12.478</v>
      </c>
      <c r="AG50" s="270">
        <f>IF(COUNT(AC50:AF50)=4,SUM(AC50:AF50),"")</f>
        <v>53.927</v>
      </c>
      <c r="AH50" s="270">
        <f>IFERROR(INDEX('Inputs (2)'!$D$78:$AL$78,MATCH(AH$7&amp;"",'Inputs (2)'!$D$2:$AL$2,0)),"")</f>
        <v>14.591</v>
      </c>
      <c r="AI50" s="270">
        <f>IFERROR(INDEX('Inputs (2)'!$D$78:$AL$78,MATCH(AI$7&amp;"",'Inputs (2)'!$D$2:$AL$2,0)),"")</f>
        <v>17.419</v>
      </c>
    </row>
    <row r="51">
      <c r="C51" s="268" t="inlineStr">
        <is>
          <t xml:space="preserve">   TCC</t>
        </is>
      </c>
      <c r="D51" s="269" t="str">
        <f>IFERROR(INDEX('Inputs (2)'!$D$79:$AL$79,MATCH(D$7&amp;"",'Inputs (2)'!$D$2:$AL$2,0)),"")</f>
        <v/>
      </c>
      <c r="E51" s="269" t="str">
        <f>IFERROR(INDEX('Inputs (2)'!$D$79:$AL$79,MATCH(E$7&amp;"",'Inputs (2)'!$D$2:$AL$2,0)),"")</f>
        <v/>
      </c>
      <c r="F51" s="269" t="str">
        <f>IFERROR(INDEX('Inputs (2)'!$D$79:$AL$79,MATCH(F$7&amp;"",'Inputs (2)'!$D$2:$AL$2,0)),"")</f>
        <v/>
      </c>
      <c r="G51" s="269" t="str">
        <f>IFERROR(INDEX('Inputs (2)'!$D$79:$AL$79,MATCH(G$7&amp;"",'Inputs (2)'!$D$2:$AL$2,0)),"")</f>
        <v/>
      </c>
      <c r="H51" s="270" t="str">
        <f>IF(COUNT(D51:G51)=4,SUM(D51:G51),"")</f>
        <v/>
      </c>
      <c r="I51" s="269">
        <f>IFERROR(INDEX('Inputs (2)'!$D$79:$AL$79,MATCH(I$7&amp;"",'Inputs (2)'!$D$2:$AL$2,0)),"")</f>
        <v>402.043</v>
      </c>
      <c r="J51" s="269">
        <f>IFERROR(INDEX('Inputs (2)'!$D$79:$AL$79,MATCH(J$7&amp;"",'Inputs (2)'!$D$2:$AL$2,0)),"")</f>
        <v>90.586</v>
      </c>
      <c r="K51" s="269">
        <f>IFERROR(INDEX('Inputs (2)'!$D$79:$AL$79,MATCH(K$7&amp;"",'Inputs (2)'!$D$2:$AL$2,0)),"")</f>
        <v>76.026</v>
      </c>
      <c r="L51" s="269">
        <f>IFERROR(INDEX('Inputs (2)'!$D$79:$AL$79,MATCH(L$7&amp;"",'Inputs (2)'!$D$2:$AL$2,0)),"")</f>
        <v>94.017</v>
      </c>
      <c r="M51" s="270">
        <f>IF(COUNT(I51:L51)=4,SUM(I51:L51),"")</f>
        <v>662.672</v>
      </c>
      <c r="N51" s="269">
        <f>IFERROR(INDEX('Inputs (2)'!$D$79:$AL$79,MATCH(N$7&amp;"",'Inputs (2)'!$D$2:$AL$2,0)),"")</f>
        <v>79.901</v>
      </c>
      <c r="O51" s="269">
        <f>IFERROR(INDEX('Inputs (2)'!$D$79:$AL$79,MATCH(O$7&amp;"",'Inputs (2)'!$D$2:$AL$2,0)),"")</f>
        <v>97.828</v>
      </c>
      <c r="P51" s="269">
        <f>IFERROR(INDEX('Inputs (2)'!$D$79:$AL$79,MATCH(P$7&amp;"",'Inputs (2)'!$D$2:$AL$2,0)),"")</f>
        <v>36.629</v>
      </c>
      <c r="Q51" s="269">
        <f>IFERROR(INDEX('Inputs (2)'!$D$79:$AL$79,MATCH(Q$7&amp;"",'Inputs (2)'!$D$2:$AL$2,0)),"")</f>
        <v>54.471</v>
      </c>
      <c r="R51" s="270">
        <f>IF(COUNT(N51:Q51)=4,SUM(N51:Q51),"")</f>
        <v>268.829</v>
      </c>
      <c r="S51" s="269">
        <f>IFERROR(INDEX('Inputs (2)'!$D$79:$AL$79,MATCH(S$7&amp;"",'Inputs (2)'!$D$2:$AL$2,0)),"")</f>
        <v>76.929</v>
      </c>
      <c r="T51" s="269">
        <f>IFERROR(INDEX('Inputs (2)'!$D$79:$AL$79,MATCH(T$7&amp;"",'Inputs (2)'!$D$2:$AL$2,0)),"")</f>
        <v>71.15</v>
      </c>
      <c r="U51" s="269">
        <f>IFERROR(INDEX('Inputs (2)'!$D$79:$AL$79,MATCH(U$7&amp;"",'Inputs (2)'!$D$2:$AL$2,0)),"")</f>
        <v>48.567</v>
      </c>
      <c r="V51" s="269">
        <f>IFERROR(INDEX('Inputs (2)'!$D$79:$AL$79,MATCH(V$7&amp;"",'Inputs (2)'!$D$2:$AL$2,0)),"")</f>
        <v>57.24</v>
      </c>
      <c r="W51" s="270">
        <f>IF(COUNT(S51:V51)=4,SUM(S51:V51),"")</f>
        <v>253.886</v>
      </c>
      <c r="X51" s="269">
        <f>IFERROR(INDEX('Inputs (2)'!$D$79:$AL$79,MATCH(X$7&amp;"",'Inputs (2)'!$D$2:$AL$2,0)),"")</f>
        <v>76.335</v>
      </c>
      <c r="Y51" s="269">
        <f>IFERROR(INDEX('Inputs (2)'!$D$79:$AL$79,MATCH(Y$7&amp;"",'Inputs (2)'!$D$2:$AL$2,0)),"")</f>
        <v>62.868</v>
      </c>
      <c r="Z51" s="269">
        <f>IFERROR(INDEX('Inputs (2)'!$D$79:$AL$79,MATCH(Z$7&amp;"",'Inputs (2)'!$D$2:$AL$2,0)),"")</f>
        <v>54.841</v>
      </c>
      <c r="AA51" s="269">
        <f>IFERROR(INDEX('Inputs (2)'!$D$79:$AL$79,MATCH(AA$7&amp;"",'Inputs (2)'!$D$2:$AL$2,0)),"")</f>
        <v>69.307</v>
      </c>
      <c r="AB51" s="270">
        <f>IF(COUNT(X51:AA51)=4,SUM(X51:AA51),"")</f>
        <v>263.351</v>
      </c>
      <c r="AC51" s="269">
        <f>IFERROR(INDEX('Inputs (2)'!$D$79:$AL$79,MATCH(AC$7&amp;"",'Inputs (2)'!$D$2:$AL$2,0)),"")</f>
        <v>82.13</v>
      </c>
      <c r="AD51" s="269">
        <f>IFERROR(INDEX('Inputs (2)'!$D$79:$AL$79,MATCH(AD$7&amp;"",'Inputs (2)'!$D$2:$AL$2,0)),"")</f>
        <v>69.951</v>
      </c>
      <c r="AE51" s="269">
        <f>IFERROR(INDEX('Inputs (2)'!$D$79:$AL$79,MATCH(AE$7&amp;"",'Inputs (2)'!$D$2:$AL$2,0)),"")</f>
        <v>54</v>
      </c>
      <c r="AF51" s="269">
        <f>IFERROR(INDEX('Inputs (2)'!$D$79:$AL$79,MATCH(AF$7&amp;"",'Inputs (2)'!$D$2:$AL$2,0)),"")</f>
        <v>60.687</v>
      </c>
      <c r="AG51" s="270">
        <f>IF(COUNT(AC51:AF51)=4,SUM(AC51:AF51),"")</f>
        <v>266.768</v>
      </c>
      <c r="AH51" s="270">
        <f>IFERROR(INDEX('Inputs (2)'!$D$79:$AL$79,MATCH(AH$7&amp;"",'Inputs (2)'!$D$2:$AL$2,0)),"")</f>
        <v>72.656</v>
      </c>
      <c r="AI51" s="270">
        <f>IFERROR(INDEX('Inputs (2)'!$D$79:$AL$79,MATCH(AI$7&amp;"",'Inputs (2)'!$D$2:$AL$2,0)),"")</f>
        <v>88.941</v>
      </c>
    </row>
    <row r="52">
      <c r="C52" s="268" t="inlineStr">
        <is>
          <t xml:space="preserve">   ESTE</t>
        </is>
      </c>
      <c r="D52" s="269" t="str">
        <f>IFERROR(INDEX('Inputs (2)'!$D$80:$AL$80,MATCH(D$7&amp;"",'Inputs (2)'!$D$2:$AL$2,0)),"")</f>
        <v/>
      </c>
      <c r="E52" s="269" t="str">
        <f>IFERROR(INDEX('Inputs (2)'!$D$80:$AL$80,MATCH(E$7&amp;"",'Inputs (2)'!$D$2:$AL$2,0)),"")</f>
        <v/>
      </c>
      <c r="F52" s="269" t="str">
        <f>IFERROR(INDEX('Inputs (2)'!$D$80:$AL$80,MATCH(F$7&amp;"",'Inputs (2)'!$D$2:$AL$2,0)),"")</f>
        <v/>
      </c>
      <c r="G52" s="269" t="str">
        <f>IFERROR(INDEX('Inputs (2)'!$D$80:$AL$80,MATCH(G$7&amp;"",'Inputs (2)'!$D$2:$AL$2,0)),"")</f>
        <v/>
      </c>
      <c r="H52" s="270" t="str">
        <f>IF(COUNT(D52:G52)=4,SUM(D52:G52),"")</f>
        <v/>
      </c>
      <c r="I52" s="269">
        <f>IFERROR(INDEX('Inputs (2)'!$D$80:$AL$80,MATCH(I$7&amp;"",'Inputs (2)'!$D$2:$AL$2,0)),"")</f>
        <v>146.612</v>
      </c>
      <c r="J52" s="269">
        <f>IFERROR(INDEX('Inputs (2)'!$D$80:$AL$80,MATCH(J$7&amp;"",'Inputs (2)'!$D$2:$AL$2,0)),"")</f>
        <v>163.481</v>
      </c>
      <c r="K52" s="269">
        <f>IFERROR(INDEX('Inputs (2)'!$D$80:$AL$80,MATCH(K$7&amp;"",'Inputs (2)'!$D$2:$AL$2,0)),"")</f>
        <v>145.105</v>
      </c>
      <c r="L52" s="269">
        <f>IFERROR(INDEX('Inputs (2)'!$D$80:$AL$80,MATCH(L$7&amp;"",'Inputs (2)'!$D$2:$AL$2,0)),"")</f>
        <v>21.244</v>
      </c>
      <c r="M52" s="270">
        <f>IF(COUNT(I52:L52)=4,SUM(I52:L52),"")</f>
        <v>476.442</v>
      </c>
      <c r="N52" s="269">
        <f>IFERROR(INDEX('Inputs (2)'!$D$80:$AL$80,MATCH(N$7&amp;"",'Inputs (2)'!$D$2:$AL$2,0)),"")</f>
        <v>250.784</v>
      </c>
      <c r="O52" s="269">
        <f>IFERROR(INDEX('Inputs (2)'!$D$80:$AL$80,MATCH(O$7&amp;"",'Inputs (2)'!$D$2:$AL$2,0)),"")</f>
        <v>67.122</v>
      </c>
      <c r="P52" s="269">
        <f>IFERROR(INDEX('Inputs (2)'!$D$80:$AL$80,MATCH(P$7&amp;"",'Inputs (2)'!$D$2:$AL$2,0)),"")</f>
        <v>24.899</v>
      </c>
      <c r="Q52" s="269">
        <f>IFERROR(INDEX('Inputs (2)'!$D$80:$AL$80,MATCH(Q$7&amp;"",'Inputs (2)'!$D$2:$AL$2,0)),"")</f>
        <v>63.86</v>
      </c>
      <c r="R52" s="270">
        <f>IF(COUNT(N52:Q52)=4,SUM(N52:Q52),"")</f>
        <v>406.665</v>
      </c>
      <c r="S52" s="269">
        <f>IFERROR(INDEX('Inputs (2)'!$D$80:$AL$80,MATCH(S$7&amp;"",'Inputs (2)'!$D$2:$AL$2,0)),"")</f>
        <v>53.342</v>
      </c>
      <c r="T52" s="269">
        <f>IFERROR(INDEX('Inputs (2)'!$D$80:$AL$80,MATCH(T$7&amp;"",'Inputs (2)'!$D$2:$AL$2,0)),"")</f>
        <v>49.181</v>
      </c>
      <c r="U52" s="269">
        <f>IFERROR(INDEX('Inputs (2)'!$D$80:$AL$80,MATCH(U$7&amp;"",'Inputs (2)'!$D$2:$AL$2,0)),"")</f>
        <v>33.948</v>
      </c>
      <c r="V52" s="269">
        <f>IFERROR(INDEX('Inputs (2)'!$D$80:$AL$80,MATCH(V$7&amp;"",'Inputs (2)'!$D$2:$AL$2,0)),"")</f>
        <v>40.03</v>
      </c>
      <c r="W52" s="270">
        <f>IF(COUNT(S52:V52)=4,SUM(S52:V52),"")</f>
        <v>176.501</v>
      </c>
      <c r="X52" s="269">
        <f>IFERROR(INDEX('Inputs (2)'!$D$80:$AL$80,MATCH(X$7&amp;"",'Inputs (2)'!$D$2:$AL$2,0)),"")</f>
        <v>52.969</v>
      </c>
      <c r="Y52" s="269">
        <f>IFERROR(INDEX('Inputs (2)'!$D$80:$AL$80,MATCH(Y$7&amp;"",'Inputs (2)'!$D$2:$AL$2,0)),"")</f>
        <v>43.964</v>
      </c>
      <c r="Z52" s="269">
        <f>IFERROR(INDEX('Inputs (2)'!$D$80:$AL$80,MATCH(Z$7&amp;"",'Inputs (2)'!$D$2:$AL$2,0)),"")</f>
        <v>37.722</v>
      </c>
      <c r="AA52" s="269">
        <f>IFERROR(INDEX('Inputs (2)'!$D$80:$AL$80,MATCH(AA$7&amp;"",'Inputs (2)'!$D$2:$AL$2,0)),"")</f>
        <v>48.386</v>
      </c>
      <c r="AB52" s="270">
        <f>IF(COUNT(X52:AA52)=4,SUM(X52:AA52),"")</f>
        <v>183.041</v>
      </c>
      <c r="AC52" s="269">
        <f>IFERROR(INDEX('Inputs (2)'!$D$80:$AL$80,MATCH(AC$7&amp;"",'Inputs (2)'!$D$2:$AL$2,0)),"")</f>
        <v>56.8</v>
      </c>
      <c r="AD52" s="269">
        <f>IFERROR(INDEX('Inputs (2)'!$D$80:$AL$80,MATCH(AD$7&amp;"",'Inputs (2)'!$D$2:$AL$2,0)),"")</f>
        <v>48.453</v>
      </c>
      <c r="AE52" s="269">
        <f>IFERROR(INDEX('Inputs (2)'!$D$80:$AL$80,MATCH(AE$7&amp;"",'Inputs (2)'!$D$2:$AL$2,0)),"")</f>
        <v>37.351</v>
      </c>
      <c r="AF52" s="269">
        <f>IFERROR(INDEX('Inputs (2)'!$D$80:$AL$80,MATCH(AF$7&amp;"",'Inputs (2)'!$D$2:$AL$2,0)),"")</f>
        <v>41.421</v>
      </c>
      <c r="AG52" s="270">
        <f>IF(COUNT(AC52:AF52)=4,SUM(AC52:AF52),"")</f>
        <v>184.025</v>
      </c>
      <c r="AH52" s="270">
        <f>IFERROR(INDEX('Inputs (2)'!$D$80:$AL$80,MATCH(AH$7&amp;"",'Inputs (2)'!$D$2:$AL$2,0)),"")</f>
        <v>50.266</v>
      </c>
      <c r="AI52" s="270">
        <f>IFERROR(INDEX('Inputs (2)'!$D$80:$AL$80,MATCH(AI$7&amp;"",'Inputs (2)'!$D$2:$AL$2,0)),"")</f>
        <v>61.497</v>
      </c>
    </row>
    <row r="53">
      <c r="C53" s="268" t="inlineStr">
        <is>
          <t xml:space="preserve">   TCE</t>
        </is>
      </c>
      <c r="D53" s="269" t="str">
        <f>IFERROR(INDEX('Inputs (2)'!$D$81:$AL$81,MATCH(D$7&amp;"",'Inputs (2)'!$D$2:$AL$2,0)),"")</f>
        <v/>
      </c>
      <c r="E53" s="269" t="str">
        <f>IFERROR(INDEX('Inputs (2)'!$D$81:$AL$81,MATCH(E$7&amp;"",'Inputs (2)'!$D$2:$AL$2,0)),"")</f>
        <v/>
      </c>
      <c r="F53" s="269" t="str">
        <f>IFERROR(INDEX('Inputs (2)'!$D$81:$AL$81,MATCH(F$7&amp;"",'Inputs (2)'!$D$2:$AL$2,0)),"")</f>
        <v/>
      </c>
      <c r="G53" s="269" t="str">
        <f>IFERROR(INDEX('Inputs (2)'!$D$81:$AL$81,MATCH(G$7&amp;"",'Inputs (2)'!$D$2:$AL$2,0)),"")</f>
        <v/>
      </c>
      <c r="H53" s="270" t="str">
        <f>IF(COUNT(D53:G53)=4,SUM(D53:G53),"")</f>
        <v/>
      </c>
      <c r="I53" s="269">
        <f>IFERROR(INDEX('Inputs (2)'!$D$81:$AL$81,MATCH(I$7&amp;"",'Inputs (2)'!$D$2:$AL$2,0)),"")</f>
        <v>0</v>
      </c>
      <c r="J53" s="269">
        <f>IFERROR(INDEX('Inputs (2)'!$D$81:$AL$81,MATCH(J$7&amp;"",'Inputs (2)'!$D$2:$AL$2,0)),"")</f>
        <v>0</v>
      </c>
      <c r="K53" s="269">
        <f>IFERROR(INDEX('Inputs (2)'!$D$81:$AL$81,MATCH(K$7&amp;"",'Inputs (2)'!$D$2:$AL$2,0)),"")</f>
        <v>0</v>
      </c>
      <c r="L53" s="269">
        <f>IFERROR(INDEX('Inputs (2)'!$D$81:$AL$81,MATCH(L$7&amp;"",'Inputs (2)'!$D$2:$AL$2,0)),"")</f>
        <v>0</v>
      </c>
      <c r="M53" s="270">
        <f>IF(COUNT(I53:L53)=4,SUM(I53:L53),"")</f>
        <v>0</v>
      </c>
      <c r="N53" s="269">
        <f>IFERROR(INDEX('Inputs (2)'!$D$81:$AL$81,MATCH(N$7&amp;"",'Inputs (2)'!$D$2:$AL$2,0)),"")</f>
        <v>0</v>
      </c>
      <c r="O53" s="269">
        <f>IFERROR(INDEX('Inputs (2)'!$D$81:$AL$81,MATCH(O$7&amp;"",'Inputs (2)'!$D$2:$AL$2,0)),"")</f>
        <v>0</v>
      </c>
      <c r="P53" s="269">
        <f>IFERROR(INDEX('Inputs (2)'!$D$81:$AL$81,MATCH(P$7&amp;"",'Inputs (2)'!$D$2:$AL$2,0)),"")</f>
        <v>0</v>
      </c>
      <c r="Q53" s="269">
        <f>IFERROR(INDEX('Inputs (2)'!$D$81:$AL$81,MATCH(Q$7&amp;"",'Inputs (2)'!$D$2:$AL$2,0)),"")</f>
        <v>0</v>
      </c>
      <c r="R53" s="270">
        <f>IF(COUNT(N53:Q53)=4,SUM(N53:Q53),"")</f>
        <v>0</v>
      </c>
      <c r="S53" s="269">
        <f>IFERROR(INDEX('Inputs (2)'!$D$81:$AL$81,MATCH(S$7&amp;"",'Inputs (2)'!$D$2:$AL$2,0)),"")</f>
        <v>0</v>
      </c>
      <c r="T53" s="269">
        <f>IFERROR(INDEX('Inputs (2)'!$D$81:$AL$81,MATCH(T$7&amp;"",'Inputs (2)'!$D$2:$AL$2,0)),"")</f>
        <v>0</v>
      </c>
      <c r="U53" s="269">
        <f>IFERROR(INDEX('Inputs (2)'!$D$81:$AL$81,MATCH(U$7&amp;"",'Inputs (2)'!$D$2:$AL$2,0)),"")</f>
        <v>0</v>
      </c>
      <c r="V53" s="269">
        <f>IFERROR(INDEX('Inputs (2)'!$D$81:$AL$81,MATCH(V$7&amp;"",'Inputs (2)'!$D$2:$AL$2,0)),"")</f>
        <v>0</v>
      </c>
      <c r="W53" s="270">
        <f>IF(COUNT(S53:V53)=4,SUM(S53:V53),"")</f>
        <v>0</v>
      </c>
      <c r="X53" s="269">
        <f>IFERROR(INDEX('Inputs (2)'!$D$81:$AL$81,MATCH(X$7&amp;"",'Inputs (2)'!$D$2:$AL$2,0)),"")</f>
        <v>0</v>
      </c>
      <c r="Y53" s="269">
        <f>IFERROR(INDEX('Inputs (2)'!$D$81:$AL$81,MATCH(Y$7&amp;"",'Inputs (2)'!$D$2:$AL$2,0)),"")</f>
        <v>0</v>
      </c>
      <c r="Z53" s="269">
        <f>IFERROR(INDEX('Inputs (2)'!$D$81:$AL$81,MATCH(Z$7&amp;"",'Inputs (2)'!$D$2:$AL$2,0)),"")</f>
        <v>0</v>
      </c>
      <c r="AA53" s="269">
        <f>IFERROR(INDEX('Inputs (2)'!$D$81:$AL$81,MATCH(AA$7&amp;"",'Inputs (2)'!$D$2:$AL$2,0)),"")</f>
        <v>0</v>
      </c>
      <c r="AB53" s="270">
        <f>IF(COUNT(X53:AA53)=4,SUM(X53:AA53),"")</f>
        <v>0</v>
      </c>
      <c r="AC53" s="269">
        <f>IFERROR(INDEX('Inputs (2)'!$D$81:$AL$81,MATCH(AC$7&amp;"",'Inputs (2)'!$D$2:$AL$2,0)),"")</f>
        <v>0</v>
      </c>
      <c r="AD53" s="269">
        <f>IFERROR(INDEX('Inputs (2)'!$D$81:$AL$81,MATCH(AD$7&amp;"",'Inputs (2)'!$D$2:$AL$2,0)),"")</f>
        <v>0</v>
      </c>
      <c r="AE53" s="269">
        <f>IFERROR(INDEX('Inputs (2)'!$D$81:$AL$81,MATCH(AE$7&amp;"",'Inputs (2)'!$D$2:$AL$2,0)),"")</f>
        <v>0</v>
      </c>
      <c r="AF53" s="269">
        <f>IFERROR(INDEX('Inputs (2)'!$D$81:$AL$81,MATCH(AF$7&amp;"",'Inputs (2)'!$D$2:$AL$2,0)),"")</f>
        <v>34.587</v>
      </c>
      <c r="AG53" s="270">
        <f>IF(COUNT(AC53:AF53)=4,SUM(AC53:AF53),"")</f>
        <v>34.587</v>
      </c>
      <c r="AH53" s="270">
        <f>IFERROR(INDEX('Inputs (2)'!$D$81:$AL$81,MATCH(AH$7&amp;"",'Inputs (2)'!$D$2:$AL$2,0)),"")</f>
        <v>45.445</v>
      </c>
      <c r="AI53" s="270">
        <f>IFERROR(INDEX('Inputs (2)'!$D$81:$AL$81,MATCH(AI$7&amp;"",'Inputs (2)'!$D$2:$AL$2,0)),"")</f>
        <v>43.448</v>
      </c>
    </row>
    <row r="54">
      <c r="C54" s="268" t="inlineStr">
        <is>
          <t xml:space="preserve">   TSM</t>
        </is>
      </c>
      <c r="D54" s="269" t="str">
        <f>IFERROR(INDEX('Inputs (2)'!$D$82:$AL$82,MATCH(D$7&amp;"",'Inputs (2)'!$D$2:$AL$2,0)),"")</f>
        <v/>
      </c>
      <c r="E54" s="269" t="str">
        <f>IFERROR(INDEX('Inputs (2)'!$D$82:$AL$82,MATCH(E$7&amp;"",'Inputs (2)'!$D$2:$AL$2,0)),"")</f>
        <v/>
      </c>
      <c r="F54" s="269" t="str">
        <f>IFERROR(INDEX('Inputs (2)'!$D$82:$AL$82,MATCH(F$7&amp;"",'Inputs (2)'!$D$2:$AL$2,0)),"")</f>
        <v/>
      </c>
      <c r="G54" s="269" t="str">
        <f>IFERROR(INDEX('Inputs (2)'!$D$82:$AL$82,MATCH(G$7&amp;"",'Inputs (2)'!$D$2:$AL$2,0)),"")</f>
        <v/>
      </c>
      <c r="H54" s="270" t="str">
        <f>IF(COUNT(D54:G54)=4,SUM(D54:G54),"")</f>
        <v/>
      </c>
      <c r="I54" s="269">
        <f>IFERROR(INDEX('Inputs (2)'!$D$82:$AL$82,MATCH(I$7&amp;"",'Inputs (2)'!$D$2:$AL$2,0)),"")</f>
        <v>159.77</v>
      </c>
      <c r="J54" s="269">
        <f>IFERROR(INDEX('Inputs (2)'!$D$82:$AL$82,MATCH(J$7&amp;"",'Inputs (2)'!$D$2:$AL$2,0)),"")</f>
        <v>32.08</v>
      </c>
      <c r="K54" s="269">
        <f>IFERROR(INDEX('Inputs (2)'!$D$82:$AL$82,MATCH(K$7&amp;"",'Inputs (2)'!$D$2:$AL$2,0)),"")</f>
        <v>117.475</v>
      </c>
      <c r="L54" s="269">
        <f>IFERROR(INDEX('Inputs (2)'!$D$82:$AL$82,MATCH(L$7&amp;"",'Inputs (2)'!$D$2:$AL$2,0)),"")</f>
        <v>275.684</v>
      </c>
      <c r="M54" s="270">
        <f>IF(COUNT(I54:L54)=4,SUM(I54:L54),"")</f>
        <v>585.009</v>
      </c>
      <c r="N54" s="269">
        <f>IFERROR(INDEX('Inputs (2)'!$D$82:$AL$82,MATCH(N$7&amp;"",'Inputs (2)'!$D$2:$AL$2,0)),"")</f>
        <v>54.936</v>
      </c>
      <c r="O54" s="269">
        <f>IFERROR(INDEX('Inputs (2)'!$D$82:$AL$82,MATCH(O$7&amp;"",'Inputs (2)'!$D$2:$AL$2,0)),"")</f>
        <v>45.102</v>
      </c>
      <c r="P54" s="269">
        <f>IFERROR(INDEX('Inputs (2)'!$D$82:$AL$82,MATCH(P$7&amp;"",'Inputs (2)'!$D$2:$AL$2,0)),"")</f>
        <v>25.421</v>
      </c>
      <c r="Q54" s="269">
        <f>IFERROR(INDEX('Inputs (2)'!$D$82:$AL$82,MATCH(Q$7&amp;"",'Inputs (2)'!$D$2:$AL$2,0)),"")</f>
        <v>37.953</v>
      </c>
      <c r="R54" s="270">
        <f>IF(COUNT(N54:Q54)=4,SUM(N54:Q54),"")</f>
        <v>163.412</v>
      </c>
      <c r="S54" s="269">
        <f>IFERROR(INDEX('Inputs (2)'!$D$82:$AL$82,MATCH(S$7&amp;"",'Inputs (2)'!$D$2:$AL$2,0)),"")</f>
        <v>53.831</v>
      </c>
      <c r="T54" s="269">
        <f>IFERROR(INDEX('Inputs (2)'!$D$82:$AL$82,MATCH(T$7&amp;"",'Inputs (2)'!$D$2:$AL$2,0)),"")</f>
        <v>49.666</v>
      </c>
      <c r="U54" s="269">
        <f>IFERROR(INDEX('Inputs (2)'!$D$82:$AL$82,MATCH(U$7&amp;"",'Inputs (2)'!$D$2:$AL$2,0)),"")</f>
        <v>33.104</v>
      </c>
      <c r="V54" s="269">
        <f>IFERROR(INDEX('Inputs (2)'!$D$82:$AL$82,MATCH(V$7&amp;"",'Inputs (2)'!$D$2:$AL$2,0)),"")</f>
        <v>39.112</v>
      </c>
      <c r="W54" s="270">
        <f>IF(COUNT(S54:V54)=4,SUM(S54:V54),"")</f>
        <v>175.713</v>
      </c>
      <c r="X54" s="269">
        <f>IFERROR(INDEX('Inputs (2)'!$D$82:$AL$82,MATCH(X$7&amp;"",'Inputs (2)'!$D$2:$AL$2,0)),"")</f>
        <v>52.096</v>
      </c>
      <c r="Y54" s="269">
        <f>IFERROR(INDEX('Inputs (2)'!$D$82:$AL$82,MATCH(Y$7&amp;"",'Inputs (2)'!$D$2:$AL$2,0)),"")</f>
        <v>43.057</v>
      </c>
      <c r="Z54" s="269">
        <f>IFERROR(INDEX('Inputs (2)'!$D$82:$AL$82,MATCH(Z$7&amp;"",'Inputs (2)'!$D$2:$AL$2,0)),"")</f>
        <v>37.548</v>
      </c>
      <c r="AA54" s="269">
        <f>IFERROR(INDEX('Inputs (2)'!$D$82:$AL$82,MATCH(AA$7&amp;"",'Inputs (2)'!$D$2:$AL$2,0)),"")</f>
        <v>47.726</v>
      </c>
      <c r="AB54" s="270">
        <f>IF(COUNT(X54:AA54)=4,SUM(X54:AA54),"")</f>
        <v>180.427</v>
      </c>
      <c r="AC54" s="269">
        <f>IFERROR(INDEX('Inputs (2)'!$D$82:$AL$82,MATCH(AC$7&amp;"",'Inputs (2)'!$D$2:$AL$2,0)),"")</f>
        <v>56.082</v>
      </c>
      <c r="AD54" s="269">
        <f>IFERROR(INDEX('Inputs (2)'!$D$82:$AL$82,MATCH(AD$7&amp;"",'Inputs (2)'!$D$2:$AL$2,0)),"")</f>
        <v>47.693</v>
      </c>
      <c r="AE54" s="269">
        <f>IFERROR(INDEX('Inputs (2)'!$D$82:$AL$82,MATCH(AE$7&amp;"",'Inputs (2)'!$D$2:$AL$2,0)),"")</f>
        <v>36.83</v>
      </c>
      <c r="AF54" s="269">
        <f>IFERROR(INDEX('Inputs (2)'!$D$82:$AL$82,MATCH(AF$7&amp;"",'Inputs (2)'!$D$2:$AL$2,0)),"")</f>
        <v>41.429</v>
      </c>
      <c r="AG54" s="270">
        <f>IF(COUNT(AC54:AF54)=4,SUM(AC54:AF54),"")</f>
        <v>182.034</v>
      </c>
      <c r="AH54" s="270">
        <f>IFERROR(INDEX('Inputs (2)'!$D$82:$AL$82,MATCH(AH$7&amp;"",'Inputs (2)'!$D$2:$AL$2,0)),"")</f>
        <v>49.574</v>
      </c>
      <c r="AI54" s="270">
        <f>IFERROR(INDEX('Inputs (2)'!$D$82:$AL$82,MATCH(AI$7&amp;"",'Inputs (2)'!$D$2:$AL$2,0)),"")</f>
        <v>60.77</v>
      </c>
    </row>
    <row r="55">
      <c r="C55" s="268" t="inlineStr">
        <is>
          <t xml:space="preserve">   ETB</t>
        </is>
      </c>
      <c r="D55" s="269" t="str">
        <f>IFERROR(INDEX('Inputs (2)'!$D$83:$AL$83,MATCH(D$7&amp;"",'Inputs (2)'!$D$2:$AL$2,0)),"")</f>
        <v/>
      </c>
      <c r="E55" s="269" t="str">
        <f>IFERROR(INDEX('Inputs (2)'!$D$83:$AL$83,MATCH(E$7&amp;"",'Inputs (2)'!$D$2:$AL$2,0)),"")</f>
        <v/>
      </c>
      <c r="F55" s="269" t="str">
        <f>IFERROR(INDEX('Inputs (2)'!$D$83:$AL$83,MATCH(F$7&amp;"",'Inputs (2)'!$D$2:$AL$2,0)),"")</f>
        <v/>
      </c>
      <c r="G55" s="269" t="str">
        <f>IFERROR(INDEX('Inputs (2)'!$D$83:$AL$83,MATCH(G$7&amp;"",'Inputs (2)'!$D$2:$AL$2,0)),"")</f>
        <v/>
      </c>
      <c r="H55" s="270" t="str">
        <f>IF(COUNT(D55:G55)=4,SUM(D55:G55),"")</f>
        <v/>
      </c>
      <c r="I55" s="269">
        <f>IFERROR(INDEX('Inputs (2)'!$D$83:$AL$83,MATCH(I$7&amp;"",'Inputs (2)'!$D$2:$AL$2,0)),"")</f>
        <v>63.236</v>
      </c>
      <c r="J55" s="269">
        <f>IFERROR(INDEX('Inputs (2)'!$D$83:$AL$83,MATCH(J$7&amp;"",'Inputs (2)'!$D$2:$AL$2,0)),"")</f>
        <v>76.974</v>
      </c>
      <c r="K55" s="269">
        <f>IFERROR(INDEX('Inputs (2)'!$D$83:$AL$83,MATCH(K$7&amp;"",'Inputs (2)'!$D$2:$AL$2,0)),"")</f>
        <v>63.72</v>
      </c>
      <c r="L55" s="269">
        <f>IFERROR(INDEX('Inputs (2)'!$D$83:$AL$83,MATCH(L$7&amp;"",'Inputs (2)'!$D$2:$AL$2,0)),"")</f>
        <v>78.343</v>
      </c>
      <c r="M55" s="270">
        <f>IF(COUNT(I55:L55)=4,SUM(I55:L55),"")</f>
        <v>282.273</v>
      </c>
      <c r="N55" s="269">
        <f>IFERROR(INDEX('Inputs (2)'!$D$83:$AL$83,MATCH(N$7&amp;"",'Inputs (2)'!$D$2:$AL$2,0)),"")</f>
        <v>67.153</v>
      </c>
      <c r="O55" s="269">
        <f>IFERROR(INDEX('Inputs (2)'!$D$83:$AL$83,MATCH(O$7&amp;"",'Inputs (2)'!$D$2:$AL$2,0)),"")</f>
        <v>85.085</v>
      </c>
      <c r="P55" s="269">
        <f>IFERROR(INDEX('Inputs (2)'!$D$83:$AL$83,MATCH(P$7&amp;"",'Inputs (2)'!$D$2:$AL$2,0)),"")</f>
        <v>34.234</v>
      </c>
      <c r="Q55" s="269">
        <f>IFERROR(INDEX('Inputs (2)'!$D$83:$AL$83,MATCH(Q$7&amp;"",'Inputs (2)'!$D$2:$AL$2,0)),"")</f>
        <v>48.279</v>
      </c>
      <c r="R55" s="270">
        <f>IF(COUNT(N55:Q55)=4,SUM(N55:Q55),"")</f>
        <v>234.751</v>
      </c>
      <c r="S55" s="269">
        <f>IFERROR(INDEX('Inputs (2)'!$D$83:$AL$83,MATCH(S$7&amp;"",'Inputs (2)'!$D$2:$AL$2,0)),"")</f>
        <v>66.291</v>
      </c>
      <c r="T55" s="269">
        <f>IFERROR(INDEX('Inputs (2)'!$D$83:$AL$83,MATCH(T$7&amp;"",'Inputs (2)'!$D$2:$AL$2,0)),"")</f>
        <v>61.707</v>
      </c>
      <c r="U55" s="269">
        <f>IFERROR(INDEX('Inputs (2)'!$D$83:$AL$83,MATCH(U$7&amp;"",'Inputs (2)'!$D$2:$AL$2,0)),"")</f>
        <v>43.673</v>
      </c>
      <c r="V55" s="269">
        <f>IFERROR(INDEX('Inputs (2)'!$D$83:$AL$83,MATCH(V$7&amp;"",'Inputs (2)'!$D$2:$AL$2,0)),"")</f>
        <v>50.732</v>
      </c>
      <c r="W55" s="270">
        <f>IF(COUNT(S55:V55)=4,SUM(S55:V55),"")</f>
        <v>222.403</v>
      </c>
      <c r="X55" s="269">
        <f>IFERROR(INDEX('Inputs (2)'!$D$83:$AL$83,MATCH(X$7&amp;"",'Inputs (2)'!$D$2:$AL$2,0)),"")</f>
        <v>65.824</v>
      </c>
      <c r="Y55" s="269">
        <f>IFERROR(INDEX('Inputs (2)'!$D$83:$AL$83,MATCH(Y$7&amp;"",'Inputs (2)'!$D$2:$AL$2,0)),"")</f>
        <v>55.423</v>
      </c>
      <c r="Z55" s="269">
        <f>IFERROR(INDEX('Inputs (2)'!$D$83:$AL$83,MATCH(Z$7&amp;"",'Inputs (2)'!$D$2:$AL$2,0)),"")</f>
        <v>48.921</v>
      </c>
      <c r="AA55" s="269">
        <f>IFERROR(INDEX('Inputs (2)'!$D$83:$AL$83,MATCH(AA$7&amp;"",'Inputs (2)'!$D$2:$AL$2,0)),"")</f>
        <v>60.884</v>
      </c>
      <c r="AB55" s="270">
        <f>IF(COUNT(X55:AA55)=4,SUM(X55:AA55),"")</f>
        <v>231.052</v>
      </c>
      <c r="AC55" s="269">
        <f>IFERROR(INDEX('Inputs (2)'!$D$83:$AL$83,MATCH(AC$7&amp;"",'Inputs (2)'!$D$2:$AL$2,0)),"")</f>
        <v>70.733</v>
      </c>
      <c r="AD55" s="269">
        <f>IFERROR(INDEX('Inputs (2)'!$D$83:$AL$83,MATCH(AD$7&amp;"",'Inputs (2)'!$D$2:$AL$2,0)),"")</f>
        <v>61.248</v>
      </c>
      <c r="AE55" s="269">
        <f>IFERROR(INDEX('Inputs (2)'!$D$83:$AL$83,MATCH(AE$7&amp;"",'Inputs (2)'!$D$2:$AL$2,0)),"")</f>
        <v>48.419</v>
      </c>
      <c r="AF55" s="269">
        <f>IFERROR(INDEX('Inputs (2)'!$D$83:$AL$83,MATCH(AF$7&amp;"",'Inputs (2)'!$D$2:$AL$2,0)),"")</f>
        <v>51.914</v>
      </c>
      <c r="AG55" s="270">
        <f>IF(COUNT(AC55:AF55)=4,SUM(AC55:AF55),"")</f>
        <v>232.314</v>
      </c>
      <c r="AH55" s="270">
        <f>IFERROR(INDEX('Inputs (2)'!$D$83:$AL$83,MATCH(AH$7&amp;"",'Inputs (2)'!$D$2:$AL$2,0)),"")</f>
        <v>63.51</v>
      </c>
      <c r="AI55" s="270">
        <f>IFERROR(INDEX('Inputs (2)'!$D$83:$AL$83,MATCH(AI$7&amp;"",'Inputs (2)'!$D$2:$AL$2,0)),"")</f>
        <v>76.682</v>
      </c>
    </row>
    <row r="56">
      <c r="C56" s="268" t="inlineStr">
        <is>
          <t xml:space="preserve">   AETE</t>
        </is>
      </c>
      <c r="D56" s="269" t="str">
        <f>IFERROR(INDEX('Inputs (2)'!$D$84:$AL$84,MATCH(D$7&amp;"",'Inputs (2)'!$D$2:$AL$2,0)),"")</f>
        <v/>
      </c>
      <c r="E56" s="269" t="str">
        <f>IFERROR(INDEX('Inputs (2)'!$D$84:$AL$84,MATCH(E$7&amp;"",'Inputs (2)'!$D$2:$AL$2,0)),"")</f>
        <v/>
      </c>
      <c r="F56" s="269" t="str">
        <f>IFERROR(INDEX('Inputs (2)'!$D$84:$AL$84,MATCH(F$7&amp;"",'Inputs (2)'!$D$2:$AL$2,0)),"")</f>
        <v/>
      </c>
      <c r="G56" s="269" t="str">
        <f>IFERROR(INDEX('Inputs (2)'!$D$84:$AL$84,MATCH(G$7&amp;"",'Inputs (2)'!$D$2:$AL$2,0)),"")</f>
        <v/>
      </c>
      <c r="H56" s="270" t="str">
        <f>IF(COUNT(D56:G56)=4,SUM(D56:G56),"")</f>
        <v/>
      </c>
      <c r="I56" s="269">
        <f>IFERROR(INDEX('Inputs (2)'!$D$84:$AL$84,MATCH(I$7&amp;"",'Inputs (2)'!$D$2:$AL$2,0)),"")</f>
        <v>15.388</v>
      </c>
      <c r="J56" s="269">
        <f>IFERROR(INDEX('Inputs (2)'!$D$84:$AL$84,MATCH(J$7&amp;"",'Inputs (2)'!$D$2:$AL$2,0)),"")</f>
        <v>21.904</v>
      </c>
      <c r="K56" s="269">
        <f>IFERROR(INDEX('Inputs (2)'!$D$84:$AL$84,MATCH(K$7&amp;"",'Inputs (2)'!$D$2:$AL$2,0)),"")</f>
        <v>9.839</v>
      </c>
      <c r="L56" s="269">
        <f>IFERROR(INDEX('Inputs (2)'!$D$84:$AL$84,MATCH(L$7&amp;"",'Inputs (2)'!$D$2:$AL$2,0)),"")</f>
        <v>5.896</v>
      </c>
      <c r="M56" s="270">
        <f>IF(COUNT(I56:L56)=4,SUM(I56:L56),"")</f>
        <v>53.027</v>
      </c>
      <c r="N56" s="269">
        <f>IFERROR(INDEX('Inputs (2)'!$D$84:$AL$84,MATCH(N$7&amp;"",'Inputs (2)'!$D$2:$AL$2,0)),"")</f>
        <v>15.353</v>
      </c>
      <c r="O56" s="269">
        <f>IFERROR(INDEX('Inputs (2)'!$D$84:$AL$84,MATCH(O$7&amp;"",'Inputs (2)'!$D$2:$AL$2,0)),"")</f>
        <v>14.603</v>
      </c>
      <c r="P56" s="269">
        <f>IFERROR(INDEX('Inputs (2)'!$D$84:$AL$84,MATCH(P$7&amp;"",'Inputs (2)'!$D$2:$AL$2,0)),"")</f>
        <v>8.005</v>
      </c>
      <c r="Q56" s="269">
        <f>IFERROR(INDEX('Inputs (2)'!$D$84:$AL$84,MATCH(Q$7&amp;"",'Inputs (2)'!$D$2:$AL$2,0)),"")</f>
        <v>2.927</v>
      </c>
      <c r="R56" s="270">
        <f>IF(COUNT(N56:Q56)=4,SUM(N56:Q56),"")</f>
        <v>40.888</v>
      </c>
      <c r="S56" s="269">
        <f>IFERROR(INDEX('Inputs (2)'!$D$84:$AL$84,MATCH(S$7&amp;"",'Inputs (2)'!$D$2:$AL$2,0)),"")</f>
        <v>8.715</v>
      </c>
      <c r="T56" s="269">
        <f>IFERROR(INDEX('Inputs (2)'!$D$84:$AL$84,MATCH(T$7&amp;"",'Inputs (2)'!$D$2:$AL$2,0)),"")</f>
        <v>2.498</v>
      </c>
      <c r="U56" s="269">
        <f>IFERROR(INDEX('Inputs (2)'!$D$84:$AL$84,MATCH(U$7&amp;"",'Inputs (2)'!$D$2:$AL$2,0)),"")</f>
        <v>-2.516</v>
      </c>
      <c r="V56" s="269">
        <f>IFERROR(INDEX('Inputs (2)'!$D$84:$AL$84,MATCH(V$7&amp;"",'Inputs (2)'!$D$2:$AL$2,0)),"")</f>
        <v>9.491</v>
      </c>
      <c r="W56" s="270">
        <f>IF(COUNT(S56:V56)=4,SUM(S56:V56),"")</f>
        <v>18.188</v>
      </c>
      <c r="X56" s="269">
        <f>IFERROR(INDEX('Inputs (2)'!$D$84:$AL$84,MATCH(X$7&amp;"",'Inputs (2)'!$D$2:$AL$2,0)),"")</f>
        <v>7.656</v>
      </c>
      <c r="Y56" s="269">
        <f>IFERROR(INDEX('Inputs (2)'!$D$84:$AL$84,MATCH(Y$7&amp;"",'Inputs (2)'!$D$2:$AL$2,0)),"")</f>
        <v>8.31</v>
      </c>
      <c r="Z56" s="269">
        <f>IFERROR(INDEX('Inputs (2)'!$D$84:$AL$84,MATCH(Z$7&amp;"",'Inputs (2)'!$D$2:$AL$2,0)),"")</f>
        <v>9.232</v>
      </c>
      <c r="AA56" s="269">
        <f>IFERROR(INDEX('Inputs (2)'!$D$84:$AL$84,MATCH(AA$7&amp;"",'Inputs (2)'!$D$2:$AL$2,0)),"")</f>
        <v>12.312</v>
      </c>
      <c r="AB56" s="270">
        <f>IF(COUNT(X56:AA56)=4,SUM(X56:AA56),"")</f>
        <v>37.51</v>
      </c>
      <c r="AC56" s="269">
        <f>IFERROR(INDEX('Inputs (2)'!$D$84:$AL$84,MATCH(AC$7&amp;"",'Inputs (2)'!$D$2:$AL$2,0)),"")</f>
        <v>10.785</v>
      </c>
      <c r="AD56" s="269">
        <f>IFERROR(INDEX('Inputs (2)'!$D$84:$AL$84,MATCH(AD$7&amp;"",'Inputs (2)'!$D$2:$AL$2,0)),"")</f>
        <v>6.367</v>
      </c>
      <c r="AE56" s="269">
        <f>IFERROR(INDEX('Inputs (2)'!$D$84:$AL$84,MATCH(AE$7&amp;"",'Inputs (2)'!$D$2:$AL$2,0)),"")</f>
        <v>4.348</v>
      </c>
      <c r="AF56" s="269">
        <f>IFERROR(INDEX('Inputs (2)'!$D$84:$AL$84,MATCH(AF$7&amp;"",'Inputs (2)'!$D$2:$AL$2,0)),"")</f>
        <v>7.635</v>
      </c>
      <c r="AG56" s="270">
        <f>IF(COUNT(AC56:AF56)=4,SUM(AC56:AF56),"")</f>
        <v>29.135</v>
      </c>
      <c r="AH56" s="270">
        <f>IFERROR(INDEX('Inputs (2)'!$D$84:$AL$84,MATCH(AH$7&amp;"",'Inputs (2)'!$D$2:$AL$2,0)),"")</f>
        <v>6.489</v>
      </c>
      <c r="AI56" s="270">
        <f>IFERROR(INDEX('Inputs (2)'!$D$84:$AL$84,MATCH(AI$7&amp;"",'Inputs (2)'!$D$2:$AL$2,0)),"")</f>
        <v>13.194</v>
      </c>
    </row>
    <row r="57">
      <c r="C57" s="268" t="inlineStr">
        <is>
          <t xml:space="preserve">   TECP</t>
        </is>
      </c>
      <c r="D57" s="269" t="str">
        <f>IFERROR(INDEX('Inputs (2)'!$D$85:$AL$85,MATCH(D$7&amp;"",'Inputs (2)'!$D$2:$AL$2,0)),"")</f>
        <v/>
      </c>
      <c r="E57" s="269" t="str">
        <f>IFERROR(INDEX('Inputs (2)'!$D$85:$AL$85,MATCH(E$7&amp;"",'Inputs (2)'!$D$2:$AL$2,0)),"")</f>
        <v/>
      </c>
      <c r="F57" s="269" t="str">
        <f>IFERROR(INDEX('Inputs (2)'!$D$85:$AL$85,MATCH(F$7&amp;"",'Inputs (2)'!$D$2:$AL$2,0)),"")</f>
        <v/>
      </c>
      <c r="G57" s="269" t="str">
        <f>IFERROR(INDEX('Inputs (2)'!$D$85:$AL$85,MATCH(G$7&amp;"",'Inputs (2)'!$D$2:$AL$2,0)),"")</f>
        <v/>
      </c>
      <c r="H57" s="270" t="str">
        <f>IF(COUNT(D57:G57)=4,SUM(D57:G57),"")</f>
        <v/>
      </c>
      <c r="I57" s="269" t="str">
        <f>IFERROR(INDEX('Inputs (2)'!$D$85:$AL$85,MATCH(I$7&amp;"",'Inputs (2)'!$D$2:$AL$2,0)),"")</f>
        <v/>
      </c>
      <c r="J57" s="269" t="str">
        <f>IFERROR(INDEX('Inputs (2)'!$D$85:$AL$85,MATCH(J$7&amp;"",'Inputs (2)'!$D$2:$AL$2,0)),"")</f>
        <v/>
      </c>
      <c r="K57" s="269" t="str">
        <f>IFERROR(INDEX('Inputs (2)'!$D$85:$AL$85,MATCH(K$7&amp;"",'Inputs (2)'!$D$2:$AL$2,0)),"")</f>
        <v/>
      </c>
      <c r="L57" s="269" t="str">
        <f>IFERROR(INDEX('Inputs (2)'!$D$85:$AL$85,MATCH(L$7&amp;"",'Inputs (2)'!$D$2:$AL$2,0)),"")</f>
        <v/>
      </c>
      <c r="M57" s="270" t="str">
        <f>IF(COUNT(I57:L57)=4,SUM(I57:L57),"")</f>
        <v/>
      </c>
      <c r="N57" s="269" t="str">
        <f>IFERROR(INDEX('Inputs (2)'!$D$85:$AL$85,MATCH(N$7&amp;"",'Inputs (2)'!$D$2:$AL$2,0)),"")</f>
        <v/>
      </c>
      <c r="O57" s="269" t="str">
        <f>IFERROR(INDEX('Inputs (2)'!$D$85:$AL$85,MATCH(O$7&amp;"",'Inputs (2)'!$D$2:$AL$2,0)),"")</f>
        <v/>
      </c>
      <c r="P57" s="269" t="str">
        <f>IFERROR(INDEX('Inputs (2)'!$D$85:$AL$85,MATCH(P$7&amp;"",'Inputs (2)'!$D$2:$AL$2,0)),"")</f>
        <v/>
      </c>
      <c r="Q57" s="269" t="str">
        <f>IFERROR(INDEX('Inputs (2)'!$D$85:$AL$85,MATCH(Q$7&amp;"",'Inputs (2)'!$D$2:$AL$2,0)),"")</f>
        <v/>
      </c>
      <c r="R57" s="270" t="str">
        <f>IF(COUNT(N57:Q57)=4,SUM(N57:Q57),"")</f>
        <v/>
      </c>
      <c r="S57" s="269" t="str">
        <f>IFERROR(INDEX('Inputs (2)'!$D$85:$AL$85,MATCH(S$7&amp;"",'Inputs (2)'!$D$2:$AL$2,0)),"")</f>
        <v/>
      </c>
      <c r="T57" s="269" t="str">
        <f>IFERROR(INDEX('Inputs (2)'!$D$85:$AL$85,MATCH(T$7&amp;"",'Inputs (2)'!$D$2:$AL$2,0)),"")</f>
        <v/>
      </c>
      <c r="U57" s="269" t="str">
        <f>IFERROR(INDEX('Inputs (2)'!$D$85:$AL$85,MATCH(U$7&amp;"",'Inputs (2)'!$D$2:$AL$2,0)),"")</f>
        <v/>
      </c>
      <c r="V57" s="269">
        <f>IFERROR(INDEX('Inputs (2)'!$D$85:$AL$85,MATCH(V$7&amp;"",'Inputs (2)'!$D$2:$AL$2,0)),"")</f>
        <v>0.218</v>
      </c>
      <c r="W57" s="270" t="str">
        <f>IF(COUNT(S57:V57)=4,SUM(S57:V57),"")</f>
        <v/>
      </c>
      <c r="X57" s="269">
        <f>IFERROR(INDEX('Inputs (2)'!$D$85:$AL$85,MATCH(X$7&amp;"",'Inputs (2)'!$D$2:$AL$2,0)),"")</f>
        <v>2.522</v>
      </c>
      <c r="Y57" s="269">
        <f>IFERROR(INDEX('Inputs (2)'!$D$85:$AL$85,MATCH(Y$7&amp;"",'Inputs (2)'!$D$2:$AL$2,0)),"")</f>
        <v>2.347</v>
      </c>
      <c r="Z57" s="269">
        <f>IFERROR(INDEX('Inputs (2)'!$D$85:$AL$85,MATCH(Z$7&amp;"",'Inputs (2)'!$D$2:$AL$2,0)),"")</f>
        <v>3.36</v>
      </c>
      <c r="AA57" s="269">
        <f>IFERROR(INDEX('Inputs (2)'!$D$85:$AL$85,MATCH(AA$7&amp;"",'Inputs (2)'!$D$2:$AL$2,0)),"")</f>
        <v>11.719</v>
      </c>
      <c r="AB57" s="270">
        <f>IF(COUNT(X57:AA57)=4,SUM(X57:AA57),"")</f>
        <v>19.948</v>
      </c>
      <c r="AC57" s="269">
        <f>IFERROR(INDEX('Inputs (2)'!$D$85:$AL$85,MATCH(AC$7&amp;"",'Inputs (2)'!$D$2:$AL$2,0)),"")</f>
        <v>82.577</v>
      </c>
      <c r="AD57" s="269">
        <f>IFERROR(INDEX('Inputs (2)'!$D$85:$AL$85,MATCH(AD$7&amp;"",'Inputs (2)'!$D$2:$AL$2,0)),"")</f>
        <v>67.999</v>
      </c>
      <c r="AE57" s="269">
        <f>IFERROR(INDEX('Inputs (2)'!$D$85:$AL$85,MATCH(AE$7&amp;"",'Inputs (2)'!$D$2:$AL$2,0)),"")</f>
        <v>165.995</v>
      </c>
      <c r="AF57" s="269">
        <f>IFERROR(INDEX('Inputs (2)'!$D$85:$AL$85,MATCH(AF$7&amp;"",'Inputs (2)'!$D$2:$AL$2,0)),"")</f>
        <v>165.338</v>
      </c>
      <c r="AG57" s="270">
        <f>IF(COUNT(AC57:AF57)=4,SUM(AC57:AF57),"")</f>
        <v>481.909</v>
      </c>
      <c r="AH57" s="270">
        <f>IFERROR(INDEX('Inputs (2)'!$D$85:$AL$85,MATCH(AH$7&amp;"",'Inputs (2)'!$D$2:$AL$2,0)),"")</f>
        <v>120.196</v>
      </c>
      <c r="AI57" s="270">
        <f>IFERROR(INDEX('Inputs (2)'!$D$85:$AL$85,MATCH(AI$7&amp;"",'Inputs (2)'!$D$2:$AL$2,0)),"")</f>
        <v>161.951</v>
      </c>
    </row>
    <row r="58">
      <c r="C58" s="268" t="inlineStr">
        <is>
          <t xml:space="preserve">   TAP</t>
        </is>
      </c>
      <c r="D58" s="269" t="str">
        <f>IFERROR(INDEX('Inputs (2)'!$D$86:$AL$86,MATCH(D$7&amp;"",'Inputs (2)'!$D$2:$AL$2,0)),"")</f>
        <v/>
      </c>
      <c r="E58" s="269" t="str">
        <f>IFERROR(INDEX('Inputs (2)'!$D$86:$AL$86,MATCH(E$7&amp;"",'Inputs (2)'!$D$2:$AL$2,0)),"")</f>
        <v/>
      </c>
      <c r="F58" s="269" t="str">
        <f>IFERROR(INDEX('Inputs (2)'!$D$86:$AL$86,MATCH(F$7&amp;"",'Inputs (2)'!$D$2:$AL$2,0)),"")</f>
        <v/>
      </c>
      <c r="G58" s="269" t="str">
        <f>IFERROR(INDEX('Inputs (2)'!$D$86:$AL$86,MATCH(G$7&amp;"",'Inputs (2)'!$D$2:$AL$2,0)),"")</f>
        <v/>
      </c>
      <c r="H58" s="270" t="str">
        <f>IF(COUNT(D58:G58)=4,SUM(D58:G58),"")</f>
        <v/>
      </c>
      <c r="I58" s="269" t="str">
        <f>IFERROR(INDEX('Inputs (2)'!$D$86:$AL$86,MATCH(I$7&amp;"",'Inputs (2)'!$D$2:$AL$2,0)),"")</f>
        <v/>
      </c>
      <c r="J58" s="269" t="str">
        <f>IFERROR(INDEX('Inputs (2)'!$D$86:$AL$86,MATCH(J$7&amp;"",'Inputs (2)'!$D$2:$AL$2,0)),"")</f>
        <v/>
      </c>
      <c r="K58" s="269" t="str">
        <f>IFERROR(INDEX('Inputs (2)'!$D$86:$AL$86,MATCH(K$7&amp;"",'Inputs (2)'!$D$2:$AL$2,0)),"")</f>
        <v/>
      </c>
      <c r="L58" s="269" t="str">
        <f>IFERROR(INDEX('Inputs (2)'!$D$86:$AL$86,MATCH(L$7&amp;"",'Inputs (2)'!$D$2:$AL$2,0)),"")</f>
        <v/>
      </c>
      <c r="M58" s="270" t="str">
        <f>IF(COUNT(I58:L58)=4,SUM(I58:L58),"")</f>
        <v/>
      </c>
      <c r="N58" s="269" t="str">
        <f>IFERROR(INDEX('Inputs (2)'!$D$86:$AL$86,MATCH(N$7&amp;"",'Inputs (2)'!$D$2:$AL$2,0)),"")</f>
        <v/>
      </c>
      <c r="O58" s="269" t="str">
        <f>IFERROR(INDEX('Inputs (2)'!$D$86:$AL$86,MATCH(O$7&amp;"",'Inputs (2)'!$D$2:$AL$2,0)),"")</f>
        <v/>
      </c>
      <c r="P58" s="269" t="str">
        <f>IFERROR(INDEX('Inputs (2)'!$D$86:$AL$86,MATCH(P$7&amp;"",'Inputs (2)'!$D$2:$AL$2,0)),"")</f>
        <v/>
      </c>
      <c r="Q58" s="269" t="str">
        <f>IFERROR(INDEX('Inputs (2)'!$D$86:$AL$86,MATCH(Q$7&amp;"",'Inputs (2)'!$D$2:$AL$2,0)),"")</f>
        <v/>
      </c>
      <c r="R58" s="270" t="str">
        <f>IF(COUNT(N58:Q58)=4,SUM(N58:Q58),"")</f>
        <v/>
      </c>
      <c r="S58" s="269" t="str">
        <f>IFERROR(INDEX('Inputs (2)'!$D$86:$AL$86,MATCH(S$7&amp;"",'Inputs (2)'!$D$2:$AL$2,0)),"")</f>
        <v/>
      </c>
      <c r="T58" s="269" t="str">
        <f>IFERROR(INDEX('Inputs (2)'!$D$86:$AL$86,MATCH(T$7&amp;"",'Inputs (2)'!$D$2:$AL$2,0)),"")</f>
        <v/>
      </c>
      <c r="U58" s="269" t="str">
        <f>IFERROR(INDEX('Inputs (2)'!$D$86:$AL$86,MATCH(U$7&amp;"",'Inputs (2)'!$D$2:$AL$2,0)),"")</f>
        <v/>
      </c>
      <c r="V58" s="269">
        <f>IFERROR(INDEX('Inputs (2)'!$D$86:$AL$86,MATCH(V$7&amp;"",'Inputs (2)'!$D$2:$AL$2,0)),"")</f>
        <v>0</v>
      </c>
      <c r="W58" s="270" t="str">
        <f>IF(COUNT(S58:V58)=4,SUM(S58:V58),"")</f>
        <v/>
      </c>
      <c r="X58" s="269">
        <f>IFERROR(INDEX('Inputs (2)'!$D$86:$AL$86,MATCH(X$7&amp;"",'Inputs (2)'!$D$2:$AL$2,0)),"")</f>
        <v>0</v>
      </c>
      <c r="Y58" s="269">
        <f>IFERROR(INDEX('Inputs (2)'!$D$86:$AL$86,MATCH(Y$7&amp;"",'Inputs (2)'!$D$2:$AL$2,0)),"")</f>
        <v>3.696</v>
      </c>
      <c r="Z58" s="269">
        <f>IFERROR(INDEX('Inputs (2)'!$D$86:$AL$86,MATCH(Z$7&amp;"",'Inputs (2)'!$D$2:$AL$2,0)),"")</f>
        <v>-0.365</v>
      </c>
      <c r="AA58" s="269">
        <f>IFERROR(INDEX('Inputs (2)'!$D$86:$AL$86,MATCH(AA$7&amp;"",'Inputs (2)'!$D$2:$AL$2,0)),"")</f>
        <v>8.606</v>
      </c>
      <c r="AB58" s="270">
        <f>IF(COUNT(X58:AA58)=4,SUM(X58:AA58),"")</f>
        <v>11.937</v>
      </c>
      <c r="AC58" s="269">
        <f>IFERROR(INDEX('Inputs (2)'!$D$86:$AL$86,MATCH(AC$7&amp;"",'Inputs (2)'!$D$2:$AL$2,0)),"")</f>
        <v>2.215</v>
      </c>
      <c r="AD58" s="269">
        <f>IFERROR(INDEX('Inputs (2)'!$D$86:$AL$86,MATCH(AD$7&amp;"",'Inputs (2)'!$D$2:$AL$2,0)),"")</f>
        <v>0</v>
      </c>
      <c r="AE58" s="269">
        <f>IFERROR(INDEX('Inputs (2)'!$D$86:$AL$86,MATCH(AE$7&amp;"",'Inputs (2)'!$D$2:$AL$2,0)),"")</f>
        <v>0</v>
      </c>
      <c r="AF58" s="269">
        <f>IFERROR(INDEX('Inputs (2)'!$D$86:$AL$86,MATCH(AF$7&amp;"",'Inputs (2)'!$D$2:$AL$2,0)),"")</f>
        <v>0</v>
      </c>
      <c r="AG58" s="270">
        <f>IF(COUNT(AC58:AF58)=4,SUM(AC58:AF58),"")</f>
        <v>2.215</v>
      </c>
      <c r="AH58" s="270">
        <f>IFERROR(INDEX('Inputs (2)'!$D$86:$AL$86,MATCH(AH$7&amp;"",'Inputs (2)'!$D$2:$AL$2,0)),"")</f>
        <v>0</v>
      </c>
      <c r="AI58" s="270">
        <f>IFERROR(INDEX('Inputs (2)'!$D$86:$AL$86,MATCH(AI$7&amp;"",'Inputs (2)'!$D$2:$AL$2,0)),"")</f>
        <v>0</v>
      </c>
    </row>
    <row r="59">
      <c r="C59" s="268" t="inlineStr">
        <is>
          <t xml:space="preserve">   TCN</t>
        </is>
      </c>
      <c r="D59" s="269" t="str">
        <f>IFERROR(INDEX('Inputs (2)'!$D$87:$AL$87,MATCH(D$7&amp;"",'Inputs (2)'!$D$2:$AL$2,0)),"")</f>
        <v/>
      </c>
      <c r="E59" s="269" t="str">
        <f>IFERROR(INDEX('Inputs (2)'!$D$87:$AL$87,MATCH(E$7&amp;"",'Inputs (2)'!$D$2:$AL$2,0)),"")</f>
        <v/>
      </c>
      <c r="F59" s="269" t="str">
        <f>IFERROR(INDEX('Inputs (2)'!$D$87:$AL$87,MATCH(F$7&amp;"",'Inputs (2)'!$D$2:$AL$2,0)),"")</f>
        <v/>
      </c>
      <c r="G59" s="269" t="str">
        <f>IFERROR(INDEX('Inputs (2)'!$D$87:$AL$87,MATCH(G$7&amp;"",'Inputs (2)'!$D$2:$AL$2,0)),"")</f>
        <v/>
      </c>
      <c r="H59" s="270" t="str">
        <f>IF(COUNT(D59:G59)=4,SUM(D59:G59),"")</f>
        <v/>
      </c>
      <c r="I59" s="269" t="str">
        <f>IFERROR(INDEX('Inputs (2)'!$D$87:$AL$87,MATCH(I$7&amp;"",'Inputs (2)'!$D$2:$AL$2,0)),"")</f>
        <v/>
      </c>
      <c r="J59" s="269" t="str">
        <f>IFERROR(INDEX('Inputs (2)'!$D$87:$AL$87,MATCH(J$7&amp;"",'Inputs (2)'!$D$2:$AL$2,0)),"")</f>
        <v/>
      </c>
      <c r="K59" s="269" t="str">
        <f>IFERROR(INDEX('Inputs (2)'!$D$87:$AL$87,MATCH(K$7&amp;"",'Inputs (2)'!$D$2:$AL$2,0)),"")</f>
        <v/>
      </c>
      <c r="L59" s="269" t="str">
        <f>IFERROR(INDEX('Inputs (2)'!$D$87:$AL$87,MATCH(L$7&amp;"",'Inputs (2)'!$D$2:$AL$2,0)),"")</f>
        <v/>
      </c>
      <c r="M59" s="270" t="str">
        <f>IF(COUNT(I59:L59)=4,SUM(I59:L59),"")</f>
        <v/>
      </c>
      <c r="N59" s="269" t="str">
        <f>IFERROR(INDEX('Inputs (2)'!$D$87:$AL$87,MATCH(N$7&amp;"",'Inputs (2)'!$D$2:$AL$2,0)),"")</f>
        <v/>
      </c>
      <c r="O59" s="269" t="str">
        <f>IFERROR(INDEX('Inputs (2)'!$D$87:$AL$87,MATCH(O$7&amp;"",'Inputs (2)'!$D$2:$AL$2,0)),"")</f>
        <v/>
      </c>
      <c r="P59" s="269" t="str">
        <f>IFERROR(INDEX('Inputs (2)'!$D$87:$AL$87,MATCH(P$7&amp;"",'Inputs (2)'!$D$2:$AL$2,0)),"")</f>
        <v/>
      </c>
      <c r="Q59" s="269" t="str">
        <f>IFERROR(INDEX('Inputs (2)'!$D$87:$AL$87,MATCH(Q$7&amp;"",'Inputs (2)'!$D$2:$AL$2,0)),"")</f>
        <v/>
      </c>
      <c r="R59" s="270" t="str">
        <f>IF(COUNT(N59:Q59)=4,SUM(N59:Q59),"")</f>
        <v/>
      </c>
      <c r="S59" s="269" t="str">
        <f>IFERROR(INDEX('Inputs (2)'!$D$87:$AL$87,MATCH(S$7&amp;"",'Inputs (2)'!$D$2:$AL$2,0)),"")</f>
        <v/>
      </c>
      <c r="T59" s="269" t="str">
        <f>IFERROR(INDEX('Inputs (2)'!$D$87:$AL$87,MATCH(T$7&amp;"",'Inputs (2)'!$D$2:$AL$2,0)),"")</f>
        <v/>
      </c>
      <c r="U59" s="269" t="str">
        <f>IFERROR(INDEX('Inputs (2)'!$D$87:$AL$87,MATCH(U$7&amp;"",'Inputs (2)'!$D$2:$AL$2,0)),"")</f>
        <v/>
      </c>
      <c r="V59" s="269" t="str">
        <f>IFERROR(INDEX('Inputs (2)'!$D$87:$AL$87,MATCH(V$7&amp;"",'Inputs (2)'!$D$2:$AL$2,0)),"")</f>
        <v/>
      </c>
      <c r="W59" s="270" t="str">
        <f>IF(COUNT(S59:V59)=4,SUM(S59:V59),"")</f>
        <v/>
      </c>
      <c r="X59" s="269">
        <f>IFERROR(INDEX('Inputs (2)'!$D$87:$AL$87,MATCH(X$7&amp;"",'Inputs (2)'!$D$2:$AL$2,0)),"")</f>
        <v>0</v>
      </c>
      <c r="Y59" s="269">
        <f>IFERROR(INDEX('Inputs (2)'!$D$87:$AL$87,MATCH(Y$7&amp;"",'Inputs (2)'!$D$2:$AL$2,0)),"")</f>
        <v>0</v>
      </c>
      <c r="Z59" s="269">
        <f>IFERROR(INDEX('Inputs (2)'!$D$87:$AL$87,MATCH(Z$7&amp;"",'Inputs (2)'!$D$2:$AL$2,0)),"")</f>
        <v>2.322</v>
      </c>
      <c r="AA59" s="269">
        <f>IFERROR(INDEX('Inputs (2)'!$D$87:$AL$87,MATCH(AA$7&amp;"",'Inputs (2)'!$D$2:$AL$2,0)),"")</f>
        <v>2.299</v>
      </c>
      <c r="AB59" s="270">
        <f>IF(COUNT(X59:AA59)=4,SUM(X59:AA59),"")</f>
        <v>4.621</v>
      </c>
      <c r="AC59" s="269">
        <f>IFERROR(INDEX('Inputs (2)'!$D$87:$AL$87,MATCH(AC$7&amp;"",'Inputs (2)'!$D$2:$AL$2,0)),"")</f>
        <v>1.786</v>
      </c>
      <c r="AD59" s="269">
        <f>IFERROR(INDEX('Inputs (2)'!$D$87:$AL$87,MATCH(AD$7&amp;"",'Inputs (2)'!$D$2:$AL$2,0)),"")</f>
        <v>3.813</v>
      </c>
      <c r="AE59" s="269">
        <f>IFERROR(INDEX('Inputs (2)'!$D$87:$AL$87,MATCH(AE$7&amp;"",'Inputs (2)'!$D$2:$AL$2,0)),"")</f>
        <v>7.605</v>
      </c>
      <c r="AF59" s="269">
        <f>IFERROR(INDEX('Inputs (2)'!$D$87:$AL$87,MATCH(AF$7&amp;"",'Inputs (2)'!$D$2:$AL$2,0)),"")</f>
        <v>16.646</v>
      </c>
      <c r="AG59" s="270">
        <f>IF(COUNT(AC59:AF59)=4,SUM(AC59:AF59),"")</f>
        <v>29.85</v>
      </c>
      <c r="AH59" s="270">
        <f>IFERROR(INDEX('Inputs (2)'!$D$87:$AL$87,MATCH(AH$7&amp;"",'Inputs (2)'!$D$2:$AL$2,0)),"")</f>
        <v>0</v>
      </c>
      <c r="AI59" s="270" t="str">
        <f>IFERROR(INDEX('Inputs (2)'!$D$87:$AL$87,MATCH(AI$7&amp;"",'Inputs (2)'!$D$2:$AL$2,0)),"")</f>
        <v/>
      </c>
    </row>
    <row r="60">
      <c r="C60" s="268" t="inlineStr">
        <is>
          <t xml:space="preserve">   TPC</t>
        </is>
      </c>
      <c r="D60" s="269" t="str">
        <f>IFERROR(INDEX('Inputs (2)'!$D$88:$AL$88,MATCH(D$7&amp;"",'Inputs (2)'!$D$2:$AL$2,0)),"")</f>
        <v/>
      </c>
      <c r="E60" s="269" t="str">
        <f>IFERROR(INDEX('Inputs (2)'!$D$88:$AL$88,MATCH(E$7&amp;"",'Inputs (2)'!$D$2:$AL$2,0)),"")</f>
        <v/>
      </c>
      <c r="F60" s="269" t="str">
        <f>IFERROR(INDEX('Inputs (2)'!$D$88:$AL$88,MATCH(F$7&amp;"",'Inputs (2)'!$D$2:$AL$2,0)),"")</f>
        <v/>
      </c>
      <c r="G60" s="269" t="str">
        <f>IFERROR(INDEX('Inputs (2)'!$D$88:$AL$88,MATCH(G$7&amp;"",'Inputs (2)'!$D$2:$AL$2,0)),"")</f>
        <v/>
      </c>
      <c r="H60" s="270" t="str">
        <f>IF(COUNT(D60:G60)=4,SUM(D60:G60),"")</f>
        <v/>
      </c>
      <c r="I60" s="269" t="str">
        <f>IFERROR(INDEX('Inputs (2)'!$D$88:$AL$88,MATCH(I$7&amp;"",'Inputs (2)'!$D$2:$AL$2,0)),"")</f>
        <v/>
      </c>
      <c r="J60" s="269" t="str">
        <f>IFERROR(INDEX('Inputs (2)'!$D$88:$AL$88,MATCH(J$7&amp;"",'Inputs (2)'!$D$2:$AL$2,0)),"")</f>
        <v/>
      </c>
      <c r="K60" s="269" t="str">
        <f>IFERROR(INDEX('Inputs (2)'!$D$88:$AL$88,MATCH(K$7&amp;"",'Inputs (2)'!$D$2:$AL$2,0)),"")</f>
        <v/>
      </c>
      <c r="L60" s="269" t="str">
        <f>IFERROR(INDEX('Inputs (2)'!$D$88:$AL$88,MATCH(L$7&amp;"",'Inputs (2)'!$D$2:$AL$2,0)),"")</f>
        <v/>
      </c>
      <c r="M60" s="270" t="str">
        <f>IF(COUNT(I60:L60)=4,SUM(I60:L60),"")</f>
        <v/>
      </c>
      <c r="N60" s="269" t="str">
        <f>IFERROR(INDEX('Inputs (2)'!$D$88:$AL$88,MATCH(N$7&amp;"",'Inputs (2)'!$D$2:$AL$2,0)),"")</f>
        <v/>
      </c>
      <c r="O60" s="269" t="str">
        <f>IFERROR(INDEX('Inputs (2)'!$D$88:$AL$88,MATCH(O$7&amp;"",'Inputs (2)'!$D$2:$AL$2,0)),"")</f>
        <v/>
      </c>
      <c r="P60" s="269" t="str">
        <f>IFERROR(INDEX('Inputs (2)'!$D$88:$AL$88,MATCH(P$7&amp;"",'Inputs (2)'!$D$2:$AL$2,0)),"")</f>
        <v/>
      </c>
      <c r="Q60" s="269" t="str">
        <f>IFERROR(INDEX('Inputs (2)'!$D$88:$AL$88,MATCH(Q$7&amp;"",'Inputs (2)'!$D$2:$AL$2,0)),"")</f>
        <v/>
      </c>
      <c r="R60" s="270" t="str">
        <f>IF(COUNT(N60:Q60)=4,SUM(N60:Q60),"")</f>
        <v/>
      </c>
      <c r="S60" s="269" t="str">
        <f>IFERROR(INDEX('Inputs (2)'!$D$88:$AL$88,MATCH(S$7&amp;"",'Inputs (2)'!$D$2:$AL$2,0)),"")</f>
        <v/>
      </c>
      <c r="T60" s="269" t="str">
        <f>IFERROR(INDEX('Inputs (2)'!$D$88:$AL$88,MATCH(T$7&amp;"",'Inputs (2)'!$D$2:$AL$2,0)),"")</f>
        <v/>
      </c>
      <c r="U60" s="269" t="str">
        <f>IFERROR(INDEX('Inputs (2)'!$D$88:$AL$88,MATCH(U$7&amp;"",'Inputs (2)'!$D$2:$AL$2,0)),"")</f>
        <v/>
      </c>
      <c r="V60" s="269" t="str">
        <f>IFERROR(INDEX('Inputs (2)'!$D$88:$AL$88,MATCH(V$7&amp;"",'Inputs (2)'!$D$2:$AL$2,0)),"")</f>
        <v/>
      </c>
      <c r="W60" s="270" t="str">
        <f>IF(COUNT(S60:V60)=4,SUM(S60:V60),"")</f>
        <v/>
      </c>
      <c r="X60" s="269">
        <f>IFERROR(INDEX('Inputs (2)'!$D$88:$AL$88,MATCH(X$7&amp;"",'Inputs (2)'!$D$2:$AL$2,0)),"")</f>
        <v>0</v>
      </c>
      <c r="Y60" s="269">
        <f>IFERROR(INDEX('Inputs (2)'!$D$88:$AL$88,MATCH(Y$7&amp;"",'Inputs (2)'!$D$2:$AL$2,0)),"")</f>
        <v>0</v>
      </c>
      <c r="Z60" s="269">
        <f>IFERROR(INDEX('Inputs (2)'!$D$88:$AL$88,MATCH(Z$7&amp;"",'Inputs (2)'!$D$2:$AL$2,0)),"")</f>
        <v>1.051</v>
      </c>
      <c r="AA60" s="269">
        <f>IFERROR(INDEX('Inputs (2)'!$D$88:$AL$88,MATCH(AA$7&amp;"",'Inputs (2)'!$D$2:$AL$2,0)),"")</f>
        <v>1.163</v>
      </c>
      <c r="AB60" s="270">
        <f>IF(COUNT(X60:AA60)=4,SUM(X60:AA60),"")</f>
        <v>2.214</v>
      </c>
      <c r="AC60" s="269">
        <f>IFERROR(INDEX('Inputs (2)'!$D$88:$AL$88,MATCH(AC$7&amp;"",'Inputs (2)'!$D$2:$AL$2,0)),"")</f>
        <v>2.755</v>
      </c>
      <c r="AD60" s="269">
        <f>IFERROR(INDEX('Inputs (2)'!$D$88:$AL$88,MATCH(AD$7&amp;"",'Inputs (2)'!$D$2:$AL$2,0)),"")</f>
        <v>2.785</v>
      </c>
      <c r="AE60" s="269">
        <f>IFERROR(INDEX('Inputs (2)'!$D$88:$AL$88,MATCH(AE$7&amp;"",'Inputs (2)'!$D$2:$AL$2,0)),"")</f>
        <v>3.856</v>
      </c>
      <c r="AF60" s="269">
        <f>IFERROR(INDEX('Inputs (2)'!$D$88:$AL$88,MATCH(AF$7&amp;"",'Inputs (2)'!$D$2:$AL$2,0)),"")</f>
        <v>7.902</v>
      </c>
      <c r="AG60" s="270">
        <f>IF(COUNT(AC60:AF60)=4,SUM(AC60:AF60),"")</f>
        <v>17.298</v>
      </c>
      <c r="AH60" s="270">
        <f>IFERROR(INDEX('Inputs (2)'!$D$88:$AL$88,MATCH(AH$7&amp;"",'Inputs (2)'!$D$2:$AL$2,0)),"")</f>
        <v>10.13</v>
      </c>
      <c r="AI60" s="270">
        <f>IFERROR(INDEX('Inputs (2)'!$D$88:$AL$88,MATCH(AI$7&amp;"",'Inputs (2)'!$D$2:$AL$2,0)),"")</f>
        <v>10.703</v>
      </c>
    </row>
    <row r="61">
      <c r="C61" s="268" t="inlineStr">
        <is>
          <t xml:space="preserve">   TSA</t>
        </is>
      </c>
      <c r="D61" s="269" t="str">
        <f>IFERROR(INDEX('Inputs (2)'!$D$89:$AL$89,MATCH(D$7&amp;"",'Inputs (2)'!$D$2:$AL$2,0)),"")</f>
        <v/>
      </c>
      <c r="E61" s="269" t="str">
        <f>IFERROR(INDEX('Inputs (2)'!$D$89:$AL$89,MATCH(E$7&amp;"",'Inputs (2)'!$D$2:$AL$2,0)),"")</f>
        <v/>
      </c>
      <c r="F61" s="269" t="str">
        <f>IFERROR(INDEX('Inputs (2)'!$D$89:$AL$89,MATCH(F$7&amp;"",'Inputs (2)'!$D$2:$AL$2,0)),"")</f>
        <v/>
      </c>
      <c r="G61" s="269" t="str">
        <f>IFERROR(INDEX('Inputs (2)'!$D$89:$AL$89,MATCH(G$7&amp;"",'Inputs (2)'!$D$2:$AL$2,0)),"")</f>
        <v/>
      </c>
      <c r="H61" s="270" t="str">
        <f>IF(COUNT(D61:G61)=4,SUM(D61:G61),"")</f>
        <v/>
      </c>
      <c r="I61" s="269" t="str">
        <f>IFERROR(INDEX('Inputs (2)'!$D$89:$AL$89,MATCH(I$7&amp;"",'Inputs (2)'!$D$2:$AL$2,0)),"")</f>
        <v/>
      </c>
      <c r="J61" s="269" t="str">
        <f>IFERROR(INDEX('Inputs (2)'!$D$89:$AL$89,MATCH(J$7&amp;"",'Inputs (2)'!$D$2:$AL$2,0)),"")</f>
        <v/>
      </c>
      <c r="K61" s="269" t="str">
        <f>IFERROR(INDEX('Inputs (2)'!$D$89:$AL$89,MATCH(K$7&amp;"",'Inputs (2)'!$D$2:$AL$2,0)),"")</f>
        <v/>
      </c>
      <c r="L61" s="269" t="str">
        <f>IFERROR(INDEX('Inputs (2)'!$D$89:$AL$89,MATCH(L$7&amp;"",'Inputs (2)'!$D$2:$AL$2,0)),"")</f>
        <v/>
      </c>
      <c r="M61" s="270" t="str">
        <f>IF(COUNT(I61:L61)=4,SUM(I61:L61),"")</f>
        <v/>
      </c>
      <c r="N61" s="269" t="str">
        <f>IFERROR(INDEX('Inputs (2)'!$D$89:$AL$89,MATCH(N$7&amp;"",'Inputs (2)'!$D$2:$AL$2,0)),"")</f>
        <v/>
      </c>
      <c r="O61" s="269" t="str">
        <f>IFERROR(INDEX('Inputs (2)'!$D$89:$AL$89,MATCH(O$7&amp;"",'Inputs (2)'!$D$2:$AL$2,0)),"")</f>
        <v/>
      </c>
      <c r="P61" s="269" t="str">
        <f>IFERROR(INDEX('Inputs (2)'!$D$89:$AL$89,MATCH(P$7&amp;"",'Inputs (2)'!$D$2:$AL$2,0)),"")</f>
        <v/>
      </c>
      <c r="Q61" s="269" t="str">
        <f>IFERROR(INDEX('Inputs (2)'!$D$89:$AL$89,MATCH(Q$7&amp;"",'Inputs (2)'!$D$2:$AL$2,0)),"")</f>
        <v/>
      </c>
      <c r="R61" s="270" t="str">
        <f>IF(COUNT(N61:Q61)=4,SUM(N61:Q61),"")</f>
        <v/>
      </c>
      <c r="S61" s="269" t="str">
        <f>IFERROR(INDEX('Inputs (2)'!$D$89:$AL$89,MATCH(S$7&amp;"",'Inputs (2)'!$D$2:$AL$2,0)),"")</f>
        <v/>
      </c>
      <c r="T61" s="269" t="str">
        <f>IFERROR(INDEX('Inputs (2)'!$D$89:$AL$89,MATCH(T$7&amp;"",'Inputs (2)'!$D$2:$AL$2,0)),"")</f>
        <v/>
      </c>
      <c r="U61" s="269" t="str">
        <f>IFERROR(INDEX('Inputs (2)'!$D$89:$AL$89,MATCH(U$7&amp;"",'Inputs (2)'!$D$2:$AL$2,0)),"")</f>
        <v/>
      </c>
      <c r="V61" s="269" t="str">
        <f>IFERROR(INDEX('Inputs (2)'!$D$89:$AL$89,MATCH(V$7&amp;"",'Inputs (2)'!$D$2:$AL$2,0)),"")</f>
        <v/>
      </c>
      <c r="W61" s="270" t="str">
        <f>IF(COUNT(S61:V61)=4,SUM(S61:V61),"")</f>
        <v/>
      </c>
      <c r="X61" s="269" t="str">
        <f>IFERROR(INDEX('Inputs (2)'!$D$89:$AL$89,MATCH(X$7&amp;"",'Inputs (2)'!$D$2:$AL$2,0)),"")</f>
        <v/>
      </c>
      <c r="Y61" s="269" t="str">
        <f>IFERROR(INDEX('Inputs (2)'!$D$89:$AL$89,MATCH(Y$7&amp;"",'Inputs (2)'!$D$2:$AL$2,0)),"")</f>
        <v/>
      </c>
      <c r="Z61" s="269">
        <f>IFERROR(INDEX('Inputs (2)'!$D$89:$AL$89,MATCH(Z$7&amp;"",'Inputs (2)'!$D$2:$AL$2,0)),"")</f>
        <v>0</v>
      </c>
      <c r="AA61" s="269">
        <f>IFERROR(INDEX('Inputs (2)'!$D$89:$AL$89,MATCH(AA$7&amp;"",'Inputs (2)'!$D$2:$AL$2,0)),"")</f>
        <v>51.793</v>
      </c>
      <c r="AB61" s="270" t="str">
        <f>IF(COUNT(X61:AA61)=4,SUM(X61:AA61),"")</f>
        <v/>
      </c>
      <c r="AC61" s="269">
        <f>IFERROR(INDEX('Inputs (2)'!$D$89:$AL$89,MATCH(AC$7&amp;"",'Inputs (2)'!$D$2:$AL$2,0)),"")</f>
        <v>0.502</v>
      </c>
      <c r="AD61" s="269">
        <f>IFERROR(INDEX('Inputs (2)'!$D$89:$AL$89,MATCH(AD$7&amp;"",'Inputs (2)'!$D$2:$AL$2,0)),"")</f>
        <v>2.806</v>
      </c>
      <c r="AE61" s="269">
        <f>IFERROR(INDEX('Inputs (2)'!$D$89:$AL$89,MATCH(AE$7&amp;"",'Inputs (2)'!$D$2:$AL$2,0)),"")</f>
        <v>8.948</v>
      </c>
      <c r="AF61" s="269">
        <f>IFERROR(INDEX('Inputs (2)'!$D$89:$AL$89,MATCH(AF$7&amp;"",'Inputs (2)'!$D$2:$AL$2,0)),"")</f>
        <v>12.498</v>
      </c>
      <c r="AG61" s="270">
        <f>IF(COUNT(AC61:AF61)=4,SUM(AC61:AF61),"")</f>
        <v>24.754</v>
      </c>
      <c r="AH61" s="270">
        <f>IFERROR(INDEX('Inputs (2)'!$D$89:$AL$89,MATCH(AH$7&amp;"",'Inputs (2)'!$D$2:$AL$2,0)),"")</f>
        <v>10.483</v>
      </c>
      <c r="AI61" s="270">
        <f>IFERROR(INDEX('Inputs (2)'!$D$89:$AL$89,MATCH(AI$7&amp;"",'Inputs (2)'!$D$2:$AL$2,0)),"")</f>
        <v>7.295</v>
      </c>
    </row>
    <row r="62">
      <c r="C62" s="268" t="inlineStr">
        <is>
          <t xml:space="preserve">   TBO</t>
        </is>
      </c>
      <c r="D62" s="269" t="str">
        <f>IFERROR(INDEX('Inputs (2)'!$D$90:$AL$90,MATCH(D$7&amp;"",'Inputs (2)'!$D$2:$AL$2,0)),"")</f>
        <v/>
      </c>
      <c r="E62" s="269" t="str">
        <f>IFERROR(INDEX('Inputs (2)'!$D$90:$AL$90,MATCH(E$7&amp;"",'Inputs (2)'!$D$2:$AL$2,0)),"")</f>
        <v/>
      </c>
      <c r="F62" s="269" t="str">
        <f>IFERROR(INDEX('Inputs (2)'!$D$90:$AL$90,MATCH(F$7&amp;"",'Inputs (2)'!$D$2:$AL$2,0)),"")</f>
        <v/>
      </c>
      <c r="G62" s="269" t="str">
        <f>IFERROR(INDEX('Inputs (2)'!$D$90:$AL$90,MATCH(G$7&amp;"",'Inputs (2)'!$D$2:$AL$2,0)),"")</f>
        <v/>
      </c>
      <c r="H62" s="270" t="str">
        <f>IF(COUNT(D62:G62)=4,SUM(D62:G62),"")</f>
        <v/>
      </c>
      <c r="I62" s="269" t="str">
        <f>IFERROR(INDEX('Inputs (2)'!$D$90:$AL$90,MATCH(I$7&amp;"",'Inputs (2)'!$D$2:$AL$2,0)),"")</f>
        <v/>
      </c>
      <c r="J62" s="269" t="str">
        <f>IFERROR(INDEX('Inputs (2)'!$D$90:$AL$90,MATCH(J$7&amp;"",'Inputs (2)'!$D$2:$AL$2,0)),"")</f>
        <v/>
      </c>
      <c r="K62" s="269" t="str">
        <f>IFERROR(INDEX('Inputs (2)'!$D$90:$AL$90,MATCH(K$7&amp;"",'Inputs (2)'!$D$2:$AL$2,0)),"")</f>
        <v/>
      </c>
      <c r="L62" s="269" t="str">
        <f>IFERROR(INDEX('Inputs (2)'!$D$90:$AL$90,MATCH(L$7&amp;"",'Inputs (2)'!$D$2:$AL$2,0)),"")</f>
        <v/>
      </c>
      <c r="M62" s="270" t="str">
        <f>IF(COUNT(I62:L62)=4,SUM(I62:L62),"")</f>
        <v/>
      </c>
      <c r="N62" s="269" t="str">
        <f>IFERROR(INDEX('Inputs (2)'!$D$90:$AL$90,MATCH(N$7&amp;"",'Inputs (2)'!$D$2:$AL$2,0)),"")</f>
        <v/>
      </c>
      <c r="O62" s="269" t="str">
        <f>IFERROR(INDEX('Inputs (2)'!$D$90:$AL$90,MATCH(O$7&amp;"",'Inputs (2)'!$D$2:$AL$2,0)),"")</f>
        <v/>
      </c>
      <c r="P62" s="269" t="str">
        <f>IFERROR(INDEX('Inputs (2)'!$D$90:$AL$90,MATCH(P$7&amp;"",'Inputs (2)'!$D$2:$AL$2,0)),"")</f>
        <v/>
      </c>
      <c r="Q62" s="269" t="str">
        <f>IFERROR(INDEX('Inputs (2)'!$D$90:$AL$90,MATCH(Q$7&amp;"",'Inputs (2)'!$D$2:$AL$2,0)),"")</f>
        <v/>
      </c>
      <c r="R62" s="270" t="str">
        <f>IF(COUNT(N62:Q62)=4,SUM(N62:Q62),"")</f>
        <v/>
      </c>
      <c r="S62" s="269" t="str">
        <f>IFERROR(INDEX('Inputs (2)'!$D$90:$AL$90,MATCH(S$7&amp;"",'Inputs (2)'!$D$2:$AL$2,0)),"")</f>
        <v/>
      </c>
      <c r="T62" s="269" t="str">
        <f>IFERROR(INDEX('Inputs (2)'!$D$90:$AL$90,MATCH(T$7&amp;"",'Inputs (2)'!$D$2:$AL$2,0)),"")</f>
        <v/>
      </c>
      <c r="U62" s="269" t="str">
        <f>IFERROR(INDEX('Inputs (2)'!$D$90:$AL$90,MATCH(U$7&amp;"",'Inputs (2)'!$D$2:$AL$2,0)),"")</f>
        <v/>
      </c>
      <c r="V62" s="269" t="str">
        <f>IFERROR(INDEX('Inputs (2)'!$D$90:$AL$90,MATCH(V$7&amp;"",'Inputs (2)'!$D$2:$AL$2,0)),"")</f>
        <v/>
      </c>
      <c r="W62" s="270" t="str">
        <f>IF(COUNT(S62:V62)=4,SUM(S62:V62),"")</f>
        <v/>
      </c>
      <c r="X62" s="269" t="str">
        <f>IFERROR(INDEX('Inputs (2)'!$D$90:$AL$90,MATCH(X$7&amp;"",'Inputs (2)'!$D$2:$AL$2,0)),"")</f>
        <v/>
      </c>
      <c r="Y62" s="269" t="str">
        <f>IFERROR(INDEX('Inputs (2)'!$D$90:$AL$90,MATCH(Y$7&amp;"",'Inputs (2)'!$D$2:$AL$2,0)),"")</f>
        <v/>
      </c>
      <c r="Z62" s="269" t="str">
        <f>IFERROR(INDEX('Inputs (2)'!$D$90:$AL$90,MATCH(Z$7&amp;"",'Inputs (2)'!$D$2:$AL$2,0)),"")</f>
        <v/>
      </c>
      <c r="AA62" s="269" t="str">
        <f>IFERROR(INDEX('Inputs (2)'!$D$90:$AL$90,MATCH(AA$7&amp;"",'Inputs (2)'!$D$2:$AL$2,0)),"")</f>
        <v/>
      </c>
      <c r="AB62" s="270" t="str">
        <f>IF(COUNT(X62:AA62)=4,SUM(X62:AA62),"")</f>
        <v/>
      </c>
      <c r="AC62" s="269" t="str">
        <f>IFERROR(INDEX('Inputs (2)'!$D$90:$AL$90,MATCH(AC$7&amp;"",'Inputs (2)'!$D$2:$AL$2,0)),"")</f>
        <v/>
      </c>
      <c r="AD62" s="269" t="str">
        <f>IFERROR(INDEX('Inputs (2)'!$D$90:$AL$90,MATCH(AD$7&amp;"",'Inputs (2)'!$D$2:$AL$2,0)),"")</f>
        <v/>
      </c>
      <c r="AE62" s="269">
        <f>IFERROR(INDEX('Inputs (2)'!$D$90:$AL$90,MATCH(AE$7&amp;"",'Inputs (2)'!$D$2:$AL$2,0)),"")</f>
        <v>3.286</v>
      </c>
      <c r="AF62" s="269">
        <f>IFERROR(INDEX('Inputs (2)'!$D$90:$AL$90,MATCH(AF$7&amp;"",'Inputs (2)'!$D$2:$AL$2,0)),"")</f>
        <v>5.897</v>
      </c>
      <c r="AG62" s="270" t="str">
        <f>IF(COUNT(AC62:AF62)=4,SUM(AC62:AF62),"")</f>
        <v/>
      </c>
      <c r="AH62" s="270">
        <f>IFERROR(INDEX('Inputs (2)'!$D$90:$AL$90,MATCH(AH$7&amp;"",'Inputs (2)'!$D$2:$AL$2,0)),"")</f>
        <v>7.089</v>
      </c>
      <c r="AI62" s="270">
        <f>IFERROR(INDEX('Inputs (2)'!$D$90:$AL$90,MATCH(AI$7&amp;"",'Inputs (2)'!$D$2:$AL$2,0)),"")</f>
        <v>8.584</v>
      </c>
    </row>
    <row r="63">
      <c r="C63" s="268" t="inlineStr">
        <is>
          <t xml:space="preserve">   PALCA</t>
        </is>
      </c>
      <c r="D63" s="269" t="str">
        <f>IFERROR(INDEX('Inputs (2)'!$D$91:$AL$91,MATCH(D$7&amp;"",'Inputs (2)'!$D$2:$AL$2,0)),"")</f>
        <v/>
      </c>
      <c r="E63" s="269" t="str">
        <f>IFERROR(INDEX('Inputs (2)'!$D$91:$AL$91,MATCH(E$7&amp;"",'Inputs (2)'!$D$2:$AL$2,0)),"")</f>
        <v/>
      </c>
      <c r="F63" s="269" t="str">
        <f>IFERROR(INDEX('Inputs (2)'!$D$91:$AL$91,MATCH(F$7&amp;"",'Inputs (2)'!$D$2:$AL$2,0)),"")</f>
        <v/>
      </c>
      <c r="G63" s="269" t="str">
        <f>IFERROR(INDEX('Inputs (2)'!$D$91:$AL$91,MATCH(G$7&amp;"",'Inputs (2)'!$D$2:$AL$2,0)),"")</f>
        <v/>
      </c>
      <c r="H63" s="270" t="str">
        <f>IF(COUNT(D63:G63)=4,SUM(D63:G63),"")</f>
        <v/>
      </c>
      <c r="I63" s="269" t="str">
        <f>IFERROR(INDEX('Inputs (2)'!$D$91:$AL$91,MATCH(I$7&amp;"",'Inputs (2)'!$D$2:$AL$2,0)),"")</f>
        <v/>
      </c>
      <c r="J63" s="269" t="str">
        <f>IFERROR(INDEX('Inputs (2)'!$D$91:$AL$91,MATCH(J$7&amp;"",'Inputs (2)'!$D$2:$AL$2,0)),"")</f>
        <v/>
      </c>
      <c r="K63" s="269" t="str">
        <f>IFERROR(INDEX('Inputs (2)'!$D$91:$AL$91,MATCH(K$7&amp;"",'Inputs (2)'!$D$2:$AL$2,0)),"")</f>
        <v/>
      </c>
      <c r="L63" s="269" t="str">
        <f>IFERROR(INDEX('Inputs (2)'!$D$91:$AL$91,MATCH(L$7&amp;"",'Inputs (2)'!$D$2:$AL$2,0)),"")</f>
        <v/>
      </c>
      <c r="M63" s="270" t="str">
        <f>IF(COUNT(I63:L63)=4,SUM(I63:L63),"")</f>
        <v/>
      </c>
      <c r="N63" s="269" t="str">
        <f>IFERROR(INDEX('Inputs (2)'!$D$91:$AL$91,MATCH(N$7&amp;"",'Inputs (2)'!$D$2:$AL$2,0)),"")</f>
        <v/>
      </c>
      <c r="O63" s="269" t="str">
        <f>IFERROR(INDEX('Inputs (2)'!$D$91:$AL$91,MATCH(O$7&amp;"",'Inputs (2)'!$D$2:$AL$2,0)),"")</f>
        <v/>
      </c>
      <c r="P63" s="269" t="str">
        <f>IFERROR(INDEX('Inputs (2)'!$D$91:$AL$91,MATCH(P$7&amp;"",'Inputs (2)'!$D$2:$AL$2,0)),"")</f>
        <v/>
      </c>
      <c r="Q63" s="269" t="str">
        <f>IFERROR(INDEX('Inputs (2)'!$D$91:$AL$91,MATCH(Q$7&amp;"",'Inputs (2)'!$D$2:$AL$2,0)),"")</f>
        <v/>
      </c>
      <c r="R63" s="270" t="str">
        <f>IF(COUNT(N63:Q63)=4,SUM(N63:Q63),"")</f>
        <v/>
      </c>
      <c r="S63" s="269" t="str">
        <f>IFERROR(INDEX('Inputs (2)'!$D$91:$AL$91,MATCH(S$7&amp;"",'Inputs (2)'!$D$2:$AL$2,0)),"")</f>
        <v/>
      </c>
      <c r="T63" s="269" t="str">
        <f>IFERROR(INDEX('Inputs (2)'!$D$91:$AL$91,MATCH(T$7&amp;"",'Inputs (2)'!$D$2:$AL$2,0)),"")</f>
        <v/>
      </c>
      <c r="U63" s="269" t="str">
        <f>IFERROR(INDEX('Inputs (2)'!$D$91:$AL$91,MATCH(U$7&amp;"",'Inputs (2)'!$D$2:$AL$2,0)),"")</f>
        <v/>
      </c>
      <c r="V63" s="269" t="str">
        <f>IFERROR(INDEX('Inputs (2)'!$D$91:$AL$91,MATCH(V$7&amp;"",'Inputs (2)'!$D$2:$AL$2,0)),"")</f>
        <v/>
      </c>
      <c r="W63" s="270" t="str">
        <f>IF(COUNT(S63:V63)=4,SUM(S63:V63),"")</f>
        <v/>
      </c>
      <c r="X63" s="269" t="str">
        <f>IFERROR(INDEX('Inputs (2)'!$D$91:$AL$91,MATCH(X$7&amp;"",'Inputs (2)'!$D$2:$AL$2,0)),"")</f>
        <v/>
      </c>
      <c r="Y63" s="269" t="str">
        <f>IFERROR(INDEX('Inputs (2)'!$D$91:$AL$91,MATCH(Y$7&amp;"",'Inputs (2)'!$D$2:$AL$2,0)),"")</f>
        <v/>
      </c>
      <c r="Z63" s="269" t="str">
        <f>IFERROR(INDEX('Inputs (2)'!$D$91:$AL$91,MATCH(Z$7&amp;"",'Inputs (2)'!$D$2:$AL$2,0)),"")</f>
        <v/>
      </c>
      <c r="AA63" s="269" t="str">
        <f>IFERROR(INDEX('Inputs (2)'!$D$91:$AL$91,MATCH(AA$7&amp;"",'Inputs (2)'!$D$2:$AL$2,0)),"")</f>
        <v/>
      </c>
      <c r="AB63" s="270" t="str">
        <f>IF(COUNT(X63:AA63)=4,SUM(X63:AA63),"")</f>
        <v/>
      </c>
      <c r="AC63" s="269" t="str">
        <f>IFERROR(INDEX('Inputs (2)'!$D$91:$AL$91,MATCH(AC$7&amp;"",'Inputs (2)'!$D$2:$AL$2,0)),"")</f>
        <v/>
      </c>
      <c r="AD63" s="269" t="str">
        <f>IFERROR(INDEX('Inputs (2)'!$D$91:$AL$91,MATCH(AD$7&amp;"",'Inputs (2)'!$D$2:$AL$2,0)),"")</f>
        <v/>
      </c>
      <c r="AE63" s="269" t="str">
        <f>IFERROR(INDEX('Inputs (2)'!$D$91:$AL$91,MATCH(AE$7&amp;"",'Inputs (2)'!$D$2:$AL$2,0)),"")</f>
        <v/>
      </c>
      <c r="AF63" s="269">
        <f>IFERROR(INDEX('Inputs (2)'!$D$91:$AL$91,MATCH(AF$7&amp;"",'Inputs (2)'!$D$2:$AL$2,0)),"")</f>
        <v>26.482</v>
      </c>
      <c r="AG63" s="270" t="str">
        <f>IF(COUNT(AC63:AF63)=4,SUM(AC63:AF63),"")</f>
        <v/>
      </c>
      <c r="AH63" s="270">
        <f>IFERROR(INDEX('Inputs (2)'!$D$91:$AL$91,MATCH(AH$7&amp;"",'Inputs (2)'!$D$2:$AL$2,0)),"")</f>
        <v>2.603</v>
      </c>
      <c r="AI63" s="270">
        <f>IFERROR(INDEX('Inputs (2)'!$D$91:$AL$91,MATCH(AI$7&amp;"",'Inputs (2)'!$D$2:$AL$2,0)),"")</f>
        <v>1.533</v>
      </c>
    </row>
    <row r="64">
      <c r="C64" s="271" t="inlineStr">
        <is>
          <t>Soma das SPEs (100%)</t>
        </is>
      </c>
      <c r="D64" s="269" t="str">
        <f>IF(COUNT(D27:D63)=0,"",SUM(D27:D63))</f>
        <v/>
      </c>
      <c r="E64" s="269" t="str">
        <f>IF(COUNT(E27:E63)=0,"",SUM(E27:E63))</f>
        <v/>
      </c>
      <c r="F64" s="269" t="str">
        <f>IF(COUNT(F27:F63)=0,"",SUM(F27:F63))</f>
        <v/>
      </c>
      <c r="G64" s="269" t="str">
        <f>IF(COUNT(G27:G63)=0,"",SUM(G27:G63))</f>
        <v/>
      </c>
      <c r="H64" s="270" t="str">
        <f>IF(COUNT(D64:G64)=4,SUM(D64:G64),"")</f>
        <v/>
      </c>
      <c r="I64" s="269">
        <f>IF(COUNT(I27:I63)=0,"",SUM(I27:I63))</f>
        <v>1439.532</v>
      </c>
      <c r="J64" s="269">
        <f>IF(COUNT(J27:J63)=0,"",SUM(J27:J63))</f>
        <v>1186.14</v>
      </c>
      <c r="K64" s="269">
        <f>IF(COUNT(K27:K63)=0,"",SUM(K27:K63))</f>
        <v>954.604</v>
      </c>
      <c r="L64" s="269">
        <f>IF(COUNT(L27:L63)=0,"",SUM(L27:L63))</f>
        <v>944.5</v>
      </c>
      <c r="M64" s="270">
        <f>IF(COUNT(I64:L64)=4,SUM(I64:L64),"")</f>
        <v>4524.776</v>
      </c>
      <c r="N64" s="269">
        <f>IF(COUNT(N27:N63)=0,"",SUM(N27:N63))</f>
        <v>1115.418</v>
      </c>
      <c r="O64" s="269">
        <f>IF(COUNT(O27:O63)=0,"",SUM(O27:O63))</f>
        <v>1028.114</v>
      </c>
      <c r="P64" s="269">
        <f>IF(COUNT(P27:P63)=0,"",SUM(P27:P63))</f>
        <v>515.008</v>
      </c>
      <c r="Q64" s="269">
        <f>IF(COUNT(Q27:Q63)=0,"",SUM(Q27:Q63))</f>
        <v>611.158</v>
      </c>
      <c r="R64" s="270">
        <f>IF(COUNT(N64:Q64)=4,SUM(N64:Q64),"")</f>
        <v>3269.698</v>
      </c>
      <c r="S64" s="269">
        <f>IF(COUNT(S27:S63)=0,"",SUM(S27:S63))</f>
        <v>828.483</v>
      </c>
      <c r="T64" s="269">
        <f>IF(COUNT(T27:T63)=0,"",SUM(T27:T63))</f>
        <v>624.335</v>
      </c>
      <c r="U64" s="269">
        <f>IF(COUNT(U27:U63)=0,"",SUM(U27:U63))</f>
        <v>520.38</v>
      </c>
      <c r="V64" s="269">
        <f>IF(COUNT(V27:V63)=0,"",SUM(V27:V63))</f>
        <v>929.637</v>
      </c>
      <c r="W64" s="270">
        <f>IF(COUNT(S64:V64)=4,SUM(S64:V64),"")</f>
        <v>2902.835</v>
      </c>
      <c r="X64" s="269">
        <f>IF(COUNT(X27:X63)=0,"",SUM(X27:X63))</f>
        <v>1100.009</v>
      </c>
      <c r="Y64" s="269">
        <f>IF(COUNT(Y27:Y63)=0,"",SUM(Y27:Y63))</f>
        <v>1330.764</v>
      </c>
      <c r="Z64" s="269">
        <f>IF(COUNT(Z27:Z63)=0,"",SUM(Z27:Z63))</f>
        <v>1492.827</v>
      </c>
      <c r="AA64" s="269">
        <f>IF(COUNT(AA27:AA63)=0,"",SUM(AA27:AA63))</f>
        <v>1607.3</v>
      </c>
      <c r="AB64" s="270">
        <f>IF(COUNT(X64:AA64)=4,SUM(X64:AA64),"")</f>
        <v>5530.9</v>
      </c>
      <c r="AC64" s="269">
        <f>IF(COUNT(AC27:AC63)=0,"",SUM(AC27:AC63))</f>
        <v>1624.776</v>
      </c>
      <c r="AD64" s="269">
        <f>IF(COUNT(AD27:AD63)=0,"",SUM(AD27:AD63))</f>
        <v>1000.859</v>
      </c>
      <c r="AE64" s="269">
        <f>IF(COUNT(AE27:AE63)=0,"",SUM(AE27:AE63))</f>
        <v>3032.669</v>
      </c>
      <c r="AF64" s="269">
        <f>IF(COUNT(AF27:AF63)=0,"",SUM(AF27:AF63))</f>
        <v>1085.565</v>
      </c>
      <c r="AG64" s="270">
        <f>IF(COUNT(AC64:AF64)=4,SUM(AC64:AF64),"")</f>
        <v>6743.869</v>
      </c>
      <c r="AH64" s="270">
        <f>IF(COUNT(AH27:AH63)=0,"",SUM(AH27:AH63))</f>
        <v>1153.44</v>
      </c>
      <c r="AI64" s="270">
        <f>IF(COUNT(AI27:AI63)=0,"",SUM(AI27:AI63))</f>
        <v>1529.188</v>
      </c>
    </row>
    <row r="65">
      <c r="C65" s="268" t="inlineStr">
        <is>
          <t>(-) TNE (controle compartilhado, entra por equivalencia)</t>
        </is>
      </c>
      <c r="D65" s="269" t="str">
        <f>IF(COUNT(D43)=0,"",-D43)</f>
        <v/>
      </c>
      <c r="E65" s="269" t="str">
        <f>IF(COUNT(E43)=0,"",-E43)</f>
        <v/>
      </c>
      <c r="F65" s="269" t="str">
        <f>IF(COUNT(F43)=0,"",-F43)</f>
        <v/>
      </c>
      <c r="G65" s="269" t="str">
        <f>IF(COUNT(G43)=0,"",-G43)</f>
        <v/>
      </c>
      <c r="H65" s="270" t="str">
        <f>IF(COUNT(D65:G65)=4,SUM(D65:G65),"")</f>
        <v/>
      </c>
      <c r="I65" s="269">
        <f>IF(COUNT(I43)=0,"",-I43)</f>
        <v>-5.44</v>
      </c>
      <c r="J65" s="269">
        <f>IF(COUNT(J43)=0,"",-J43)</f>
        <v>-6.195</v>
      </c>
      <c r="K65" s="269">
        <f>IF(COUNT(K43)=0,"",-K43)</f>
        <v>-5.376</v>
      </c>
      <c r="L65" s="269">
        <f>IF(COUNT(L43)=0,"",-L43)</f>
        <v>-5.206</v>
      </c>
      <c r="M65" s="270">
        <f>IF(COUNT(I65:L65)=4,SUM(I65:L65),"")</f>
        <v>-22.217</v>
      </c>
      <c r="N65" s="269">
        <f>IF(COUNT(N43)=0,"",-N43)</f>
        <v>-3.634</v>
      </c>
      <c r="O65" s="269">
        <f>IF(COUNT(O43)=0,"",-O43)</f>
        <v>-6.398</v>
      </c>
      <c r="P65" s="269">
        <f>IF(COUNT(P43)=0,"",-P43)</f>
        <v>-14.105</v>
      </c>
      <c r="Q65" s="269">
        <f>IF(COUNT(Q43)=0,"",-Q43)</f>
        <v>-33.618</v>
      </c>
      <c r="R65" s="270">
        <f>IF(COUNT(N65:Q65)=4,SUM(N65:Q65),"")</f>
        <v>-57.755</v>
      </c>
      <c r="S65" s="269">
        <f>IF(COUNT(S43)=0,"",-S43)</f>
        <v>-15.185</v>
      </c>
      <c r="T65" s="269">
        <f>IF(COUNT(T43)=0,"",-T43)</f>
        <v>-23.083</v>
      </c>
      <c r="U65" s="269">
        <f>IF(COUNT(U43)=0,"",-U43)</f>
        <v>-66.286</v>
      </c>
      <c r="V65" s="269">
        <f>IF(COUNT(V43)=0,"",-V43)</f>
        <v>-242.892</v>
      </c>
      <c r="W65" s="270">
        <f>IF(COUNT(S65:V65)=4,SUM(S65:V65),"")</f>
        <v>-347.446</v>
      </c>
      <c r="X65" s="269">
        <f>IF(COUNT(X43)=0,"",-X43)</f>
        <v>-288.075</v>
      </c>
      <c r="Y65" s="269">
        <f>IF(COUNT(Y43)=0,"",-Y43)</f>
        <v>-562.531</v>
      </c>
      <c r="Z65" s="269">
        <f>IF(COUNT(Z43)=0,"",-Z43)</f>
        <v>-749.807</v>
      </c>
      <c r="AA65" s="269">
        <f>IF(COUNT(AA43)=0,"",-AA43)</f>
        <v>-717.261</v>
      </c>
      <c r="AB65" s="270">
        <f>IF(COUNT(X65:AA65)=4,SUM(X65:AA65),"")</f>
        <v>-2317.674</v>
      </c>
      <c r="AC65" s="269">
        <f>IF(COUNT(AC43)=0,"",-AC43)</f>
        <v>-623.738</v>
      </c>
      <c r="AD65" s="269">
        <f>IF(COUNT(AD43)=0,"",-AD43)</f>
        <v>-172.372</v>
      </c>
      <c r="AE65" s="269">
        <f>IF(COUNT(AE43)=0,"",-AE43)</f>
        <v>-2279.208</v>
      </c>
      <c r="AF65" s="269">
        <f>IF(COUNT(AF43)=0,"",-AF43)</f>
        <v>-133.091</v>
      </c>
      <c r="AG65" s="270">
        <f>IF(COUNT(AC65:AF65)=4,SUM(AC65:AF65),"")</f>
        <v>-3208.409</v>
      </c>
      <c r="AH65" s="270">
        <f>IF(COUNT(AH43)=0,"",-AH43)</f>
        <v>-168.521</v>
      </c>
      <c r="AI65" s="270">
        <f>IF(COUNT(AI43)=0,"",-AI43)</f>
        <v>-215.897</v>
      </c>
    </row>
    <row r="66">
      <c r="C66" s="268" t="inlineStr">
        <is>
          <t>Ajuste: eliminacoes e SPE sem dado na planilha (diferenca)</t>
        </is>
      </c>
      <c r="D66" s="269" t="str">
        <f>IF(COUNT(D20)=0,"",D20-SUM(D64,D65))</f>
        <v/>
      </c>
      <c r="E66" s="269" t="str">
        <f>IF(COUNT(E20)=0,"",E20-SUM(E64,E65))</f>
        <v/>
      </c>
      <c r="F66" s="269" t="str">
        <f>IF(COUNT(F20)=0,"",F20-SUM(F64,F65))</f>
        <v/>
      </c>
      <c r="G66" s="269" t="str">
        <f>IF(COUNT(G20)=0,"",G20-SUM(G64,G65))</f>
        <v/>
      </c>
      <c r="H66" s="270" t="str">
        <f>IF(COUNT(D66:G66)=4,SUM(D66:G66),"")</f>
        <v/>
      </c>
      <c r="I66" s="269" t="str">
        <f>IF(COUNT(I20)=0,"",I20-SUM(I64,I65))</f>
        <v/>
      </c>
      <c r="J66" s="269" t="str">
        <f>IF(COUNT(J20)=0,"",J20-SUM(J64,J65))</f>
        <v/>
      </c>
      <c r="K66" s="269" t="str">
        <f>IF(COUNT(K20)=0,"",K20-SUM(K64,K65))</f>
        <v/>
      </c>
      <c r="L66" s="269" t="str">
        <f>IF(COUNT(L20)=0,"",L20-SUM(L64,L65))</f>
        <v/>
      </c>
      <c r="M66" s="270" t="str">
        <f>IF(COUNT(I66:L66)=4,SUM(I66:L66),"")</f>
        <v/>
      </c>
      <c r="N66" s="269" t="str">
        <f>IF(COUNT(N20)=0,"",N20-SUM(N64,N65))</f>
        <v/>
      </c>
      <c r="O66" s="269" t="str">
        <f>IF(COUNT(O20)=0,"",O20-SUM(O64,O65))</f>
        <v/>
      </c>
      <c r="P66" s="269" t="str">
        <f>IF(COUNT(P20)=0,"",P20-SUM(P64,P65))</f>
        <v/>
      </c>
      <c r="Q66" s="269" t="str">
        <f>IF(COUNT(Q20)=0,"",Q20-SUM(Q64,Q65))</f>
        <v/>
      </c>
      <c r="R66" s="270" t="str">
        <f>IF(COUNT(N66:Q66)=4,SUM(N66:Q66),"")</f>
        <v/>
      </c>
      <c r="S66" s="269">
        <f>IF(COUNT(S20)=0,"",S20-SUM(S64,S65))</f>
        <v>0</v>
      </c>
      <c r="T66" s="269">
        <f>IF(COUNT(T20)=0,"",T20-SUM(T64,T65))</f>
        <v>0</v>
      </c>
      <c r="U66" s="269">
        <f>IF(COUNT(U20)=0,"",U20-SUM(U64,U65))</f>
        <v>0</v>
      </c>
      <c r="V66" s="269">
        <f>IF(COUNT(V20)=0,"",V20-SUM(V64,V65))</f>
        <v>0</v>
      </c>
      <c r="W66" s="270">
        <f>IF(COUNT(S66:V66)=4,SUM(S66:V66),"")</f>
        <v>0</v>
      </c>
      <c r="X66" s="269">
        <f>IF(COUNT(X20)=0,"",X20-SUM(X64,X65))</f>
        <v>0</v>
      </c>
      <c r="Y66" s="269">
        <f>IF(COUNT(Y20)=0,"",Y20-SUM(Y64,Y65))</f>
        <v>6.73000000000002</v>
      </c>
      <c r="Z66" s="269">
        <f>IF(COUNT(Z20)=0,"",Z20-SUM(Z64,Z65))</f>
        <v>0</v>
      </c>
      <c r="AA66" s="269">
        <f>IF(COUNT(AA20)=0,"",AA20-SUM(AA64,AA65))</f>
        <v>0</v>
      </c>
      <c r="AB66" s="270">
        <f>IF(COUNT(X66:AA66)=4,SUM(X66:AA66),"")</f>
        <v>6.73000000000002</v>
      </c>
      <c r="AC66" s="269">
        <f>IF(COUNT(AC20)=0,"",AC20-SUM(AC64,AC65))</f>
        <v>0</v>
      </c>
      <c r="AD66" s="269">
        <f>IF(COUNT(AD20)=0,"",AD20-SUM(AD64,AD65))</f>
        <v>0</v>
      </c>
      <c r="AE66" s="269">
        <f>IF(COUNT(AE20)=0,"",AE20-SUM(AE64,AE65))</f>
        <v>2.73399999999981</v>
      </c>
      <c r="AF66" s="269">
        <f>IF(COUNT(AF20)=0,"",AF20-SUM(AF64,AF65))</f>
        <v>1.11199999999997</v>
      </c>
      <c r="AG66" s="270">
        <f>IF(COUNT(AC66:AF66)=4,SUM(AC66:AF66),"")</f>
        <v>3.84599999999978</v>
      </c>
      <c r="AH66" s="270">
        <f>IF(COUNT(AH20)=0,"",AH20-SUM(AH64,AH65))</f>
        <v>12.8449999999999</v>
      </c>
      <c r="AI66" s="270">
        <f>IF(COUNT(AI20)=0,"",AI20-SUM(AI64,AI65))</f>
        <v>101.374</v>
      </c>
    </row>
    <row r="67">
      <c r="C67" s="271" t="inlineStr">
        <is>
          <t>Transmissao consolidado (fecha com o segmento)</t>
        </is>
      </c>
      <c r="D67" s="269" t="str">
        <f>IF(COUNT(D20)=0,"",SUM(D64,D65,D66))</f>
        <v/>
      </c>
      <c r="E67" s="269" t="str">
        <f>IF(COUNT(E20)=0,"",SUM(E64,E65,E66))</f>
        <v/>
      </c>
      <c r="F67" s="269" t="str">
        <f>IF(COUNT(F20)=0,"",SUM(F64,F65,F66))</f>
        <v/>
      </c>
      <c r="G67" s="269" t="str">
        <f>IF(COUNT(G20)=0,"",SUM(G64,G65,G66))</f>
        <v/>
      </c>
      <c r="H67" s="270" t="str">
        <f>IF(COUNT(D67:G67)=4,SUM(D67:G67),"")</f>
        <v/>
      </c>
      <c r="I67" s="269" t="str">
        <f>IF(COUNT(I20)=0,"",SUM(I64,I65,I66))</f>
        <v/>
      </c>
      <c r="J67" s="269" t="str">
        <f>IF(COUNT(J20)=0,"",SUM(J64,J65,J66))</f>
        <v/>
      </c>
      <c r="K67" s="269" t="str">
        <f>IF(COUNT(K20)=0,"",SUM(K64,K65,K66))</f>
        <v/>
      </c>
      <c r="L67" s="269" t="str">
        <f>IF(COUNT(L20)=0,"",SUM(L64,L65,L66))</f>
        <v/>
      </c>
      <c r="M67" s="270" t="str">
        <f>IF(COUNT(I67:L67)=4,SUM(I67:L67),"")</f>
        <v/>
      </c>
      <c r="N67" s="269" t="str">
        <f>IF(COUNT(N20)=0,"",SUM(N64,N65,N66))</f>
        <v/>
      </c>
      <c r="O67" s="269" t="str">
        <f>IF(COUNT(O20)=0,"",SUM(O64,O65,O66))</f>
        <v/>
      </c>
      <c r="P67" s="269" t="str">
        <f>IF(COUNT(P20)=0,"",SUM(P64,P65,P66))</f>
        <v/>
      </c>
      <c r="Q67" s="269" t="str">
        <f>IF(COUNT(Q20)=0,"",SUM(Q64,Q65,Q66))</f>
        <v/>
      </c>
      <c r="R67" s="270" t="str">
        <f>IF(COUNT(N67:Q67)=4,SUM(N67:Q67),"")</f>
        <v/>
      </c>
      <c r="S67" s="269">
        <f>IF(COUNT(S20)=0,"",SUM(S64,S65,S66))</f>
        <v>813.298</v>
      </c>
      <c r="T67" s="269">
        <f>IF(COUNT(T20)=0,"",SUM(T64,T65,T66))</f>
        <v>601.252</v>
      </c>
      <c r="U67" s="269">
        <f>IF(COUNT(U20)=0,"",SUM(U64,U65,U66))</f>
        <v>454.094</v>
      </c>
      <c r="V67" s="269">
        <f>IF(COUNT(V20)=0,"",SUM(V64,V65,V66))</f>
        <v>686.745</v>
      </c>
      <c r="W67" s="270">
        <f>IF(COUNT(S67:V67)=4,SUM(S67:V67),"")</f>
        <v>2555.389</v>
      </c>
      <c r="X67" s="269">
        <f>IF(COUNT(X20)=0,"",SUM(X64,X65,X66))</f>
        <v>811.934</v>
      </c>
      <c r="Y67" s="269">
        <f>IF(COUNT(Y20)=0,"",SUM(Y64,Y65,Y66))</f>
        <v>774.963</v>
      </c>
      <c r="Z67" s="269">
        <f>IF(COUNT(Z20)=0,"",SUM(Z64,Z65,Z66))</f>
        <v>743.02</v>
      </c>
      <c r="AA67" s="269">
        <f>IF(COUNT(AA20)=0,"",SUM(AA64,AA65,AA66))</f>
        <v>890.039</v>
      </c>
      <c r="AB67" s="270">
        <f>IF(COUNT(X67:AA67)=4,SUM(X67:AA67),"")</f>
        <v>3219.956</v>
      </c>
      <c r="AC67" s="269">
        <f>IF(COUNT(AC20)=0,"",SUM(AC64,AC65,AC66))</f>
        <v>1001.038</v>
      </c>
      <c r="AD67" s="269">
        <f>IF(COUNT(AD20)=0,"",SUM(AD64,AD65,AD66))</f>
        <v>828.487</v>
      </c>
      <c r="AE67" s="269">
        <f>IF(COUNT(AE20)=0,"",SUM(AE64,AE65,AE66))</f>
        <v>756.195</v>
      </c>
      <c r="AF67" s="269">
        <f>IF(COUNT(AF20)=0,"",SUM(AF64,AF65,AF66))</f>
        <v>953.586</v>
      </c>
      <c r="AG67" s="270">
        <f>IF(COUNT(AC67:AF67)=4,SUM(AC67:AF67),"")</f>
        <v>3539.306</v>
      </c>
      <c r="AH67" s="270">
        <f>IF(COUNT(AH20)=0,"",SUM(AH64,AH65,AH66))</f>
        <v>997.764</v>
      </c>
      <c r="AI67" s="270">
        <f>IF(COUNT(AI20)=0,"",SUM(AI64,AI65,AI66))</f>
        <v>1414.665</v>
      </c>
    </row>
    <row r="68"/>
    <row r="69">
      <c r="C69" s="267" t="inlineStr">
        <is>
          <t>Geracao - receita liquida por usina, a 100% (R$ milhoes)</t>
        </is>
      </c>
      <c r="D69" s="267">
        <f>D7</f>
        <v>0</v>
      </c>
      <c r="E69" s="267">
        <f>E7</f>
        <v>0</v>
      </c>
      <c r="F69" s="267">
        <f>F7</f>
        <v>0</v>
      </c>
      <c r="G69" s="267">
        <f>G7</f>
        <v>0</v>
      </c>
      <c r="H69" s="267">
        <f>H7</f>
        <v>2020</v>
      </c>
      <c r="I69" s="267" t="str">
        <f>I7</f>
        <v>1Q21</v>
      </c>
      <c r="J69" s="267" t="str">
        <f>J7</f>
        <v>2Q21</v>
      </c>
      <c r="K69" s="267" t="str">
        <f>K7</f>
        <v>3Q21</v>
      </c>
      <c r="L69" s="267" t="str">
        <f>L7</f>
        <v>4Q21</v>
      </c>
      <c r="M69" s="267">
        <f>M7</f>
        <v>2021</v>
      </c>
      <c r="N69" s="267" t="str">
        <f>N7</f>
        <v>1Q22</v>
      </c>
      <c r="O69" s="267" t="str">
        <f>O7</f>
        <v>2Q22</v>
      </c>
      <c r="P69" s="267" t="str">
        <f>P7</f>
        <v>3Q22</v>
      </c>
      <c r="Q69" s="267" t="str">
        <f>Q7</f>
        <v>4Q22</v>
      </c>
      <c r="R69" s="267">
        <f>R7</f>
        <v>2022</v>
      </c>
      <c r="S69" s="267" t="str">
        <f>S7</f>
        <v>1Q23</v>
      </c>
      <c r="T69" s="267" t="str">
        <f>T7</f>
        <v>2Q23</v>
      </c>
      <c r="U69" s="267" t="str">
        <f>U7</f>
        <v>3Q23</v>
      </c>
      <c r="V69" s="267" t="str">
        <f>V7</f>
        <v>4Q23</v>
      </c>
      <c r="W69" s="267">
        <f>W7</f>
        <v>2023</v>
      </c>
      <c r="X69" s="267" t="str">
        <f>X7</f>
        <v>1Q24</v>
      </c>
      <c r="Y69" s="267" t="str">
        <f>Y7</f>
        <v>2Q24</v>
      </c>
      <c r="Z69" s="267" t="str">
        <f>Z7</f>
        <v>3Q24</v>
      </c>
      <c r="AA69" s="267" t="str">
        <f>AA7</f>
        <v>4Q24</v>
      </c>
      <c r="AB69" s="267">
        <f>AB7</f>
        <v>2024</v>
      </c>
      <c r="AC69" s="267" t="str">
        <f>AC7</f>
        <v>1Q25</v>
      </c>
      <c r="AD69" s="267" t="str">
        <f>AD7</f>
        <v>2Q25</v>
      </c>
      <c r="AE69" s="267" t="str">
        <f>AE7</f>
        <v>3Q25</v>
      </c>
      <c r="AF69" s="267" t="str">
        <f>AF7</f>
        <v>4Q25</v>
      </c>
      <c r="AG69" s="267">
        <f>AG7</f>
        <v>2025</v>
      </c>
      <c r="AH69" s="267" t="str">
        <f>AH7</f>
        <v>1Q26</v>
      </c>
      <c r="AI69" s="267" t="str">
        <f>AI7</f>
        <v>2Q26</v>
      </c>
    </row>
    <row r="70">
      <c r="C70" s="268" t="inlineStr">
        <is>
          <t xml:space="preserve">   Foz do Rio Claro</t>
        </is>
      </c>
      <c r="D70" s="269" t="str">
        <f>IFERROR(INDEX('Inputs (2)'!$D$92:$AL$92,MATCH(D$7&amp;"",'Inputs (2)'!$D$2:$AL$2,0)),"")</f>
        <v/>
      </c>
      <c r="E70" s="269" t="str">
        <f>IFERROR(INDEX('Inputs (2)'!$D$92:$AL$92,MATCH(E$7&amp;"",'Inputs (2)'!$D$2:$AL$2,0)),"")</f>
        <v/>
      </c>
      <c r="F70" s="269" t="str">
        <f>IFERROR(INDEX('Inputs (2)'!$D$92:$AL$92,MATCH(F$7&amp;"",'Inputs (2)'!$D$2:$AL$2,0)),"")</f>
        <v/>
      </c>
      <c r="G70" s="269" t="str">
        <f>IFERROR(INDEX('Inputs (2)'!$D$92:$AL$92,MATCH(G$7&amp;"",'Inputs (2)'!$D$2:$AL$2,0)),"")</f>
        <v/>
      </c>
      <c r="H70" s="270" t="str">
        <f>IF(COUNT(D70:G70)=4,SUM(D70:G70),"")</f>
        <v/>
      </c>
      <c r="I70" s="269">
        <f>IFERROR(INDEX('Inputs (2)'!$D$92:$AL$92,MATCH(I$7&amp;"",'Inputs (2)'!$D$2:$AL$2,0)),"")</f>
        <v>19.478</v>
      </c>
      <c r="J70" s="269">
        <f>IFERROR(INDEX('Inputs (2)'!$D$92:$AL$92,MATCH(J$7&amp;"",'Inputs (2)'!$D$2:$AL$2,0)),"")</f>
        <v>18.977</v>
      </c>
      <c r="K70" s="269">
        <f>IFERROR(INDEX('Inputs (2)'!$D$92:$AL$92,MATCH(K$7&amp;"",'Inputs (2)'!$D$2:$AL$2,0)),"")</f>
        <v>21.625</v>
      </c>
      <c r="L70" s="269">
        <f>IFERROR(INDEX('Inputs (2)'!$D$92:$AL$92,MATCH(L$7&amp;"",'Inputs (2)'!$D$2:$AL$2,0)),"")</f>
        <v>21.873</v>
      </c>
      <c r="M70" s="270">
        <f>IF(COUNT(I70:L70)=4,SUM(I70:L70),"")</f>
        <v>81.953</v>
      </c>
      <c r="N70" s="269">
        <f>IFERROR(INDEX('Inputs (2)'!$D$92:$AL$92,MATCH(N$7&amp;"",'Inputs (2)'!$D$2:$AL$2,0)),"")</f>
        <v>20.272</v>
      </c>
      <c r="O70" s="269">
        <f>IFERROR(INDEX('Inputs (2)'!$D$92:$AL$92,MATCH(O$7&amp;"",'Inputs (2)'!$D$2:$AL$2,0)),"")</f>
        <v>19.01</v>
      </c>
      <c r="P70" s="269">
        <f>IFERROR(INDEX('Inputs (2)'!$D$92:$AL$92,MATCH(P$7&amp;"",'Inputs (2)'!$D$2:$AL$2,0)),"")</f>
        <v>20.065</v>
      </c>
      <c r="Q70" s="269">
        <f>IFERROR(INDEX('Inputs (2)'!$D$92:$AL$92,MATCH(Q$7&amp;"",'Inputs (2)'!$D$2:$AL$2,0)),"")</f>
        <v>21.489</v>
      </c>
      <c r="R70" s="270">
        <f>IF(COUNT(N70:Q70)=4,SUM(N70:Q70),"")</f>
        <v>80.836</v>
      </c>
      <c r="S70" s="269">
        <f>IFERROR(INDEX('Inputs (2)'!$D$92:$AL$92,MATCH(S$7&amp;"",'Inputs (2)'!$D$2:$AL$2,0)),"")</f>
        <v>22.153</v>
      </c>
      <c r="T70" s="269">
        <f>IFERROR(INDEX('Inputs (2)'!$D$92:$AL$92,MATCH(T$7&amp;"",'Inputs (2)'!$D$2:$AL$2,0)),"")</f>
        <v>21.002</v>
      </c>
      <c r="U70" s="269">
        <f>IFERROR(INDEX('Inputs (2)'!$D$92:$AL$92,MATCH(U$7&amp;"",'Inputs (2)'!$D$2:$AL$2,0)),"")</f>
        <v>20.809</v>
      </c>
      <c r="V70" s="269">
        <f>IFERROR(INDEX('Inputs (2)'!$D$92:$AL$92,MATCH(V$7&amp;"",'Inputs (2)'!$D$2:$AL$2,0)),"")</f>
        <v>22.945</v>
      </c>
      <c r="W70" s="270">
        <f>IF(COUNT(S70:V70)=4,SUM(S70:V70),"")</f>
        <v>86.909</v>
      </c>
      <c r="X70" s="269">
        <f>IFERROR(INDEX('Inputs (2)'!$D$92:$AL$92,MATCH(X$7&amp;"",'Inputs (2)'!$D$2:$AL$2,0)),"")</f>
        <v>21.921</v>
      </c>
      <c r="Y70" s="269">
        <f>IFERROR(INDEX('Inputs (2)'!$D$92:$AL$92,MATCH(Y$7&amp;"",'Inputs (2)'!$D$2:$AL$2,0)),"")</f>
        <v>21.734</v>
      </c>
      <c r="Z70" s="269">
        <f>IFERROR(INDEX('Inputs (2)'!$D$92:$AL$92,MATCH(Z$7&amp;"",'Inputs (2)'!$D$2:$AL$2,0)),"")</f>
        <v>22.454</v>
      </c>
      <c r="AA70" s="269">
        <f>IFERROR(INDEX('Inputs (2)'!$D$92:$AL$92,MATCH(AA$7&amp;"",'Inputs (2)'!$D$2:$AL$2,0)),"")</f>
        <v>24.077</v>
      </c>
      <c r="AB70" s="270">
        <f>IF(COUNT(X70:AA70)=4,SUM(X70:AA70),"")</f>
        <v>90.186</v>
      </c>
      <c r="AC70" s="269">
        <f>IFERROR(INDEX('Inputs (2)'!$D$92:$AL$92,MATCH(AC$7&amp;"",'Inputs (2)'!$D$2:$AL$2,0)),"")</f>
        <v>24.522</v>
      </c>
      <c r="AD70" s="269">
        <f>IFERROR(INDEX('Inputs (2)'!$D$92:$AL$92,MATCH(AD$7&amp;"",'Inputs (2)'!$D$2:$AL$2,0)),"")</f>
        <v>23.434</v>
      </c>
      <c r="AE70" s="269">
        <f>IFERROR(INDEX('Inputs (2)'!$D$92:$AL$92,MATCH(AE$7&amp;"",'Inputs (2)'!$D$2:$AL$2,0)),"")</f>
        <v>23.334</v>
      </c>
      <c r="AF70" s="269">
        <f>IFERROR(INDEX('Inputs (2)'!$D$92:$AL$92,MATCH(AF$7&amp;"",'Inputs (2)'!$D$2:$AL$2,0)),"")</f>
        <v>25.125</v>
      </c>
      <c r="AG70" s="270">
        <f>IF(COUNT(AC70:AF70)=4,SUM(AC70:AF70),"")</f>
        <v>96.415</v>
      </c>
      <c r="AH70" s="270">
        <f>IFERROR(INDEX('Inputs (2)'!$D$92:$AL$92,MATCH(AH$7&amp;"",'Inputs (2)'!$D$2:$AL$2,0)),"")</f>
        <v>25.411</v>
      </c>
      <c r="AI70" s="270">
        <f>IFERROR(INDEX('Inputs (2)'!$D$92:$AL$92,MATCH(AI$7&amp;"",'Inputs (2)'!$D$2:$AL$2,0)),"")</f>
        <v>24.407</v>
      </c>
    </row>
    <row r="71">
      <c r="C71" s="268" t="inlineStr">
        <is>
          <t xml:space="preserve">   Ijuí</t>
        </is>
      </c>
      <c r="D71" s="269" t="str">
        <f>IFERROR(INDEX('Inputs (2)'!$D$93:$AL$93,MATCH(D$7&amp;"",'Inputs (2)'!$D$2:$AL$2,0)),"")</f>
        <v/>
      </c>
      <c r="E71" s="269" t="str">
        <f>IFERROR(INDEX('Inputs (2)'!$D$93:$AL$93,MATCH(E$7&amp;"",'Inputs (2)'!$D$2:$AL$2,0)),"")</f>
        <v/>
      </c>
      <c r="F71" s="269" t="str">
        <f>IFERROR(INDEX('Inputs (2)'!$D$93:$AL$93,MATCH(F$7&amp;"",'Inputs (2)'!$D$2:$AL$2,0)),"")</f>
        <v/>
      </c>
      <c r="G71" s="269" t="str">
        <f>IFERROR(INDEX('Inputs (2)'!$D$93:$AL$93,MATCH(G$7&amp;"",'Inputs (2)'!$D$2:$AL$2,0)),"")</f>
        <v/>
      </c>
      <c r="H71" s="270" t="str">
        <f>IF(COUNT(D71:G71)=4,SUM(D71:G71),"")</f>
        <v/>
      </c>
      <c r="I71" s="269">
        <f>IFERROR(INDEX('Inputs (2)'!$D$93:$AL$93,MATCH(I$7&amp;"",'Inputs (2)'!$D$2:$AL$2,0)),"")</f>
        <v>16.055</v>
      </c>
      <c r="J71" s="269">
        <f>IFERROR(INDEX('Inputs (2)'!$D$93:$AL$93,MATCH(J$7&amp;"",'Inputs (2)'!$D$2:$AL$2,0)),"")</f>
        <v>15.93</v>
      </c>
      <c r="K71" s="269">
        <f>IFERROR(INDEX('Inputs (2)'!$D$93:$AL$93,MATCH(K$7&amp;"",'Inputs (2)'!$D$2:$AL$2,0)),"")</f>
        <v>18.366</v>
      </c>
      <c r="L71" s="269">
        <f>IFERROR(INDEX('Inputs (2)'!$D$93:$AL$93,MATCH(L$7&amp;"",'Inputs (2)'!$D$2:$AL$2,0)),"")</f>
        <v>18.442</v>
      </c>
      <c r="M71" s="270">
        <f>IF(COUNT(I71:L71)=4,SUM(I71:L71),"")</f>
        <v>68.793</v>
      </c>
      <c r="N71" s="269">
        <f>IFERROR(INDEX('Inputs (2)'!$D$93:$AL$93,MATCH(N$7&amp;"",'Inputs (2)'!$D$2:$AL$2,0)),"")</f>
        <v>17.022</v>
      </c>
      <c r="O71" s="269">
        <f>IFERROR(INDEX('Inputs (2)'!$D$93:$AL$93,MATCH(O$7&amp;"",'Inputs (2)'!$D$2:$AL$2,0)),"")</f>
        <v>17.258</v>
      </c>
      <c r="P71" s="269">
        <f>IFERROR(INDEX('Inputs (2)'!$D$93:$AL$93,MATCH(P$7&amp;"",'Inputs (2)'!$D$2:$AL$2,0)),"")</f>
        <v>17.228</v>
      </c>
      <c r="Q71" s="269">
        <f>IFERROR(INDEX('Inputs (2)'!$D$93:$AL$93,MATCH(Q$7&amp;"",'Inputs (2)'!$D$2:$AL$2,0)),"")</f>
        <v>19.507</v>
      </c>
      <c r="R71" s="270">
        <f>IF(COUNT(N71:Q71)=4,SUM(N71:Q71),"")</f>
        <v>71.015</v>
      </c>
      <c r="S71" s="269">
        <f>IFERROR(INDEX('Inputs (2)'!$D$93:$AL$93,MATCH(S$7&amp;"",'Inputs (2)'!$D$2:$AL$2,0)),"")</f>
        <v>18.983</v>
      </c>
      <c r="T71" s="269">
        <f>IFERROR(INDEX('Inputs (2)'!$D$93:$AL$93,MATCH(T$7&amp;"",'Inputs (2)'!$D$2:$AL$2,0)),"")</f>
        <v>17.558</v>
      </c>
      <c r="U71" s="269">
        <f>IFERROR(INDEX('Inputs (2)'!$D$93:$AL$93,MATCH(U$7&amp;"",'Inputs (2)'!$D$2:$AL$2,0)),"")</f>
        <v>18.995</v>
      </c>
      <c r="V71" s="269">
        <f>IFERROR(INDEX('Inputs (2)'!$D$93:$AL$93,MATCH(V$7&amp;"",'Inputs (2)'!$D$2:$AL$2,0)),"")</f>
        <v>20.571</v>
      </c>
      <c r="W71" s="270">
        <f>IF(COUNT(S71:V71)=4,SUM(S71:V71),"")</f>
        <v>76.107</v>
      </c>
      <c r="X71" s="269">
        <f>IFERROR(INDEX('Inputs (2)'!$D$93:$AL$93,MATCH(X$7&amp;"",'Inputs (2)'!$D$2:$AL$2,0)),"")</f>
        <v>19.658</v>
      </c>
      <c r="Y71" s="269">
        <f>IFERROR(INDEX('Inputs (2)'!$D$93:$AL$93,MATCH(Y$7&amp;"",'Inputs (2)'!$D$2:$AL$2,0)),"")</f>
        <v>19.203</v>
      </c>
      <c r="Z71" s="269">
        <f>IFERROR(INDEX('Inputs (2)'!$D$93:$AL$93,MATCH(Z$7&amp;"",'Inputs (2)'!$D$2:$AL$2,0)),"")</f>
        <v>20.228</v>
      </c>
      <c r="AA71" s="269">
        <f>IFERROR(INDEX('Inputs (2)'!$D$93:$AL$93,MATCH(AA$7&amp;"",'Inputs (2)'!$D$2:$AL$2,0)),"")</f>
        <v>21.49</v>
      </c>
      <c r="AB71" s="270">
        <f>IF(COUNT(X71:AA71)=4,SUM(X71:AA71),"")</f>
        <v>80.579</v>
      </c>
      <c r="AC71" s="269">
        <f>IFERROR(INDEX('Inputs (2)'!$D$93:$AL$93,MATCH(AC$7&amp;"",'Inputs (2)'!$D$2:$AL$2,0)),"")</f>
        <v>19.773</v>
      </c>
      <c r="AD71" s="269">
        <f>IFERROR(INDEX('Inputs (2)'!$D$93:$AL$93,MATCH(AD$7&amp;"",'Inputs (2)'!$D$2:$AL$2,0)),"")</f>
        <v>19.77</v>
      </c>
      <c r="AE71" s="269">
        <f>IFERROR(INDEX('Inputs (2)'!$D$93:$AL$93,MATCH(AE$7&amp;"",'Inputs (2)'!$D$2:$AL$2,0)),"")</f>
        <v>19.852</v>
      </c>
      <c r="AF71" s="269">
        <f>IFERROR(INDEX('Inputs (2)'!$D$93:$AL$93,MATCH(AF$7&amp;"",'Inputs (2)'!$D$2:$AL$2,0)),"")</f>
        <v>20.841</v>
      </c>
      <c r="AG71" s="270">
        <f>IF(COUNT(AC71:AF71)=4,SUM(AC71:AF71),"")</f>
        <v>80.236</v>
      </c>
      <c r="AH71" s="270">
        <f>IFERROR(INDEX('Inputs (2)'!$D$93:$AL$93,MATCH(AH$7&amp;"",'Inputs (2)'!$D$2:$AL$2,0)),"")</f>
        <v>21.108</v>
      </c>
      <c r="AI71" s="270">
        <f>IFERROR(INDEX('Inputs (2)'!$D$93:$AL$93,MATCH(AI$7&amp;"",'Inputs (2)'!$D$2:$AL$2,0)),"")</f>
        <v>20.774</v>
      </c>
    </row>
    <row r="72">
      <c r="C72" s="268" t="inlineStr">
        <is>
          <t xml:space="preserve">   Ferreira Gomes</t>
        </is>
      </c>
      <c r="D72" s="269" t="str">
        <f>IFERROR(INDEX('Inputs (2)'!$D$94:$AL$94,MATCH(D$7&amp;"",'Inputs (2)'!$D$2:$AL$2,0)),"")</f>
        <v/>
      </c>
      <c r="E72" s="269" t="str">
        <f>IFERROR(INDEX('Inputs (2)'!$D$94:$AL$94,MATCH(E$7&amp;"",'Inputs (2)'!$D$2:$AL$2,0)),"")</f>
        <v/>
      </c>
      <c r="F72" s="269" t="str">
        <f>IFERROR(INDEX('Inputs (2)'!$D$94:$AL$94,MATCH(F$7&amp;"",'Inputs (2)'!$D$2:$AL$2,0)),"")</f>
        <v/>
      </c>
      <c r="G72" s="269" t="str">
        <f>IFERROR(INDEX('Inputs (2)'!$D$94:$AL$94,MATCH(G$7&amp;"",'Inputs (2)'!$D$2:$AL$2,0)),"")</f>
        <v/>
      </c>
      <c r="H72" s="270" t="str">
        <f>IF(COUNT(D72:G72)=4,SUM(D72:G72),"")</f>
        <v/>
      </c>
      <c r="I72" s="269">
        <f>IFERROR(INDEX('Inputs (2)'!$D$94:$AL$94,MATCH(I$7&amp;"",'Inputs (2)'!$D$2:$AL$2,0)),"")</f>
        <v>49.37</v>
      </c>
      <c r="J72" s="269">
        <f>IFERROR(INDEX('Inputs (2)'!$D$94:$AL$94,MATCH(J$7&amp;"",'Inputs (2)'!$D$2:$AL$2,0)),"")</f>
        <v>47.813</v>
      </c>
      <c r="K72" s="269">
        <f>IFERROR(INDEX('Inputs (2)'!$D$94:$AL$94,MATCH(K$7&amp;"",'Inputs (2)'!$D$2:$AL$2,0)),"")</f>
        <v>66.452</v>
      </c>
      <c r="L72" s="269">
        <f>IFERROR(INDEX('Inputs (2)'!$D$94:$AL$94,MATCH(L$7&amp;"",'Inputs (2)'!$D$2:$AL$2,0)),"")</f>
        <v>78.369</v>
      </c>
      <c r="M72" s="270">
        <f>IF(COUNT(I72:L72)=4,SUM(I72:L72),"")</f>
        <v>242.004</v>
      </c>
      <c r="N72" s="269">
        <f>IFERROR(INDEX('Inputs (2)'!$D$94:$AL$94,MATCH(N$7&amp;"",'Inputs (2)'!$D$2:$AL$2,0)),"")</f>
        <v>44.559</v>
      </c>
      <c r="O72" s="269">
        <f>IFERROR(INDEX('Inputs (2)'!$D$94:$AL$94,MATCH(O$7&amp;"",'Inputs (2)'!$D$2:$AL$2,0)),"")</f>
        <v>46.677</v>
      </c>
      <c r="P72" s="269">
        <f>IFERROR(INDEX('Inputs (2)'!$D$94:$AL$94,MATCH(P$7&amp;"",'Inputs (2)'!$D$2:$AL$2,0)),"")</f>
        <v>47.879</v>
      </c>
      <c r="Q72" s="269">
        <f>IFERROR(INDEX('Inputs (2)'!$D$94:$AL$94,MATCH(Q$7&amp;"",'Inputs (2)'!$D$2:$AL$2,0)),"")</f>
        <v>49.725</v>
      </c>
      <c r="R72" s="270">
        <f>IF(COUNT(N72:Q72)=4,SUM(N72:Q72),"")</f>
        <v>188.84</v>
      </c>
      <c r="S72" s="269">
        <f>IFERROR(INDEX('Inputs (2)'!$D$94:$AL$94,MATCH(S$7&amp;"",'Inputs (2)'!$D$2:$AL$2,0)),"")</f>
        <v>54.377</v>
      </c>
      <c r="T72" s="269">
        <f>IFERROR(INDEX('Inputs (2)'!$D$94:$AL$94,MATCH(T$7&amp;"",'Inputs (2)'!$D$2:$AL$2,0)),"")</f>
        <v>55.041</v>
      </c>
      <c r="U72" s="269">
        <f>IFERROR(INDEX('Inputs (2)'!$D$94:$AL$94,MATCH(U$7&amp;"",'Inputs (2)'!$D$2:$AL$2,0)),"")</f>
        <v>54.993</v>
      </c>
      <c r="V72" s="269">
        <f>IFERROR(INDEX('Inputs (2)'!$D$94:$AL$94,MATCH(V$7&amp;"",'Inputs (2)'!$D$2:$AL$2,0)),"")</f>
        <v>54.948</v>
      </c>
      <c r="W72" s="270">
        <f>IF(COUNT(S72:V72)=4,SUM(S72:V72),"")</f>
        <v>219.359</v>
      </c>
      <c r="X72" s="269">
        <f>IFERROR(INDEX('Inputs (2)'!$D$94:$AL$94,MATCH(X$7&amp;"",'Inputs (2)'!$D$2:$AL$2,0)),"")</f>
        <v>55.747</v>
      </c>
      <c r="Y72" s="269">
        <f>IFERROR(INDEX('Inputs (2)'!$D$94:$AL$94,MATCH(Y$7&amp;"",'Inputs (2)'!$D$2:$AL$2,0)),"")</f>
        <v>57.104</v>
      </c>
      <c r="Z72" s="269">
        <f>IFERROR(INDEX('Inputs (2)'!$D$94:$AL$94,MATCH(Z$7&amp;"",'Inputs (2)'!$D$2:$AL$2,0)),"")</f>
        <v>58.381</v>
      </c>
      <c r="AA72" s="269">
        <f>IFERROR(INDEX('Inputs (2)'!$D$94:$AL$94,MATCH(AA$7&amp;"",'Inputs (2)'!$D$2:$AL$2,0)),"")</f>
        <v>77.114</v>
      </c>
      <c r="AB72" s="270">
        <f>IF(COUNT(X72:AA72)=4,SUM(X72:AA72),"")</f>
        <v>248.346</v>
      </c>
      <c r="AC72" s="269">
        <f>IFERROR(INDEX('Inputs (2)'!$D$94:$AL$94,MATCH(AC$7&amp;"",'Inputs (2)'!$D$2:$AL$2,0)),"")</f>
        <v>70.106</v>
      </c>
      <c r="AD72" s="269">
        <f>IFERROR(INDEX('Inputs (2)'!$D$94:$AL$94,MATCH(AD$7&amp;"",'Inputs (2)'!$D$2:$AL$2,0)),"")</f>
        <v>58.146</v>
      </c>
      <c r="AE72" s="269">
        <f>IFERROR(INDEX('Inputs (2)'!$D$94:$AL$94,MATCH(AE$7&amp;"",'Inputs (2)'!$D$2:$AL$2,0)),"")</f>
        <v>62.463</v>
      </c>
      <c r="AF72" s="269">
        <f>IFERROR(INDEX('Inputs (2)'!$D$94:$AL$94,MATCH(AF$7&amp;"",'Inputs (2)'!$D$2:$AL$2,0)),"")</f>
        <v>65.805</v>
      </c>
      <c r="AG72" s="270">
        <f>IF(COUNT(AC72:AF72)=4,SUM(AC72:AF72),"")</f>
        <v>256.52</v>
      </c>
      <c r="AH72" s="270">
        <f>IFERROR(INDEX('Inputs (2)'!$D$94:$AL$94,MATCH(AH$7&amp;"",'Inputs (2)'!$D$2:$AL$2,0)),"")</f>
        <v>66.509</v>
      </c>
      <c r="AI72" s="270">
        <f>IFERROR(INDEX('Inputs (2)'!$D$94:$AL$94,MATCH(AI$7&amp;"",'Inputs (2)'!$D$2:$AL$2,0)),"")</f>
        <v>67.061</v>
      </c>
    </row>
    <row r="73">
      <c r="C73" s="268" t="inlineStr">
        <is>
          <t xml:space="preserve">   La Virgen</t>
        </is>
      </c>
      <c r="D73" s="269" t="str">
        <f>IFERROR(INDEX('Inputs (2)'!$D$95:$AL$95,MATCH(D$7&amp;"",'Inputs (2)'!$D$2:$AL$2,0)),"")</f>
        <v/>
      </c>
      <c r="E73" s="269" t="str">
        <f>IFERROR(INDEX('Inputs (2)'!$D$95:$AL$95,MATCH(E$7&amp;"",'Inputs (2)'!$D$2:$AL$2,0)),"")</f>
        <v/>
      </c>
      <c r="F73" s="269" t="str">
        <f>IFERROR(INDEX('Inputs (2)'!$D$95:$AL$95,MATCH(F$7&amp;"",'Inputs (2)'!$D$2:$AL$2,0)),"")</f>
        <v/>
      </c>
      <c r="G73" s="269" t="str">
        <f>IFERROR(INDEX('Inputs (2)'!$D$95:$AL$95,MATCH(G$7&amp;"",'Inputs (2)'!$D$2:$AL$2,0)),"")</f>
        <v/>
      </c>
      <c r="H73" s="270" t="str">
        <f>IF(COUNT(D73:G73)=4,SUM(D73:G73),"")</f>
        <v/>
      </c>
      <c r="I73" s="269">
        <f>IFERROR(INDEX('Inputs (2)'!$D$95:$AL$95,MATCH(I$7&amp;"",'Inputs (2)'!$D$2:$AL$2,0)),"")</f>
        <v>0</v>
      </c>
      <c r="J73" s="269">
        <f>IFERROR(INDEX('Inputs (2)'!$D$95:$AL$95,MATCH(J$7&amp;"",'Inputs (2)'!$D$2:$AL$2,0)),"")</f>
        <v>2.558</v>
      </c>
      <c r="K73" s="269">
        <f>IFERROR(INDEX('Inputs (2)'!$D$95:$AL$95,MATCH(K$7&amp;"",'Inputs (2)'!$D$2:$AL$2,0)),"")</f>
        <v>12.707</v>
      </c>
      <c r="L73" s="269">
        <f>IFERROR(INDEX('Inputs (2)'!$D$95:$AL$95,MATCH(L$7&amp;"",'Inputs (2)'!$D$2:$AL$2,0)),"")</f>
        <v>14.192</v>
      </c>
      <c r="M73" s="270">
        <f>IF(COUNT(I73:L73)=4,SUM(I73:L73),"")</f>
        <v>29.457</v>
      </c>
      <c r="N73" s="269">
        <f>IFERROR(INDEX('Inputs (2)'!$D$95:$AL$95,MATCH(N$7&amp;"",'Inputs (2)'!$D$2:$AL$2,0)),"")</f>
        <v>18.251</v>
      </c>
      <c r="O73" s="269">
        <f>IFERROR(INDEX('Inputs (2)'!$D$95:$AL$95,MATCH(O$7&amp;"",'Inputs (2)'!$D$2:$AL$2,0)),"")</f>
        <v>17.015</v>
      </c>
      <c r="P73" s="269">
        <f>IFERROR(INDEX('Inputs (2)'!$D$95:$AL$95,MATCH(P$7&amp;"",'Inputs (2)'!$D$2:$AL$2,0)),"")</f>
        <v>12.22</v>
      </c>
      <c r="Q73" s="269">
        <f>IFERROR(INDEX('Inputs (2)'!$D$95:$AL$95,MATCH(Q$7&amp;"",'Inputs (2)'!$D$2:$AL$2,0)),"")</f>
        <v>19.527</v>
      </c>
      <c r="R73" s="270">
        <f>IF(COUNT(N73:Q73)=4,SUM(N73:Q73),"")</f>
        <v>67.013</v>
      </c>
      <c r="S73" s="269">
        <f>IFERROR(INDEX('Inputs (2)'!$D$95:$AL$95,MATCH(S$7&amp;"",'Inputs (2)'!$D$2:$AL$2,0)),"")</f>
        <v>31.933</v>
      </c>
      <c r="T73" s="269">
        <f>IFERROR(INDEX('Inputs (2)'!$D$95:$AL$95,MATCH(T$7&amp;"",'Inputs (2)'!$D$2:$AL$2,0)),"")</f>
        <v>22.109</v>
      </c>
      <c r="U73" s="269">
        <f>IFERROR(INDEX('Inputs (2)'!$D$95:$AL$95,MATCH(U$7&amp;"",'Inputs (2)'!$D$2:$AL$2,0)),"")</f>
        <v>34.221</v>
      </c>
      <c r="V73" s="269">
        <f>IFERROR(INDEX('Inputs (2)'!$D$95:$AL$95,MATCH(V$7&amp;"",'Inputs (2)'!$D$2:$AL$2,0)),"")</f>
        <v>23.946</v>
      </c>
      <c r="W73" s="270">
        <f>IF(COUNT(S73:V73)=4,SUM(S73:V73),"")</f>
        <v>112.209</v>
      </c>
      <c r="X73" s="269">
        <f>IFERROR(INDEX('Inputs (2)'!$D$95:$AL$95,MATCH(X$7&amp;"",'Inputs (2)'!$D$2:$AL$2,0)),"")</f>
        <v>29.812</v>
      </c>
      <c r="Y73" s="269">
        <f>IFERROR(INDEX('Inputs (2)'!$D$95:$AL$95,MATCH(Y$7&amp;"",'Inputs (2)'!$D$2:$AL$2,0)),"")</f>
        <v>23.599</v>
      </c>
      <c r="Z73" s="269">
        <f>IFERROR(INDEX('Inputs (2)'!$D$95:$AL$95,MATCH(Z$7&amp;"",'Inputs (2)'!$D$2:$AL$2,0)),"")</f>
        <v>16.436</v>
      </c>
      <c r="AA73" s="269">
        <f>IFERROR(INDEX('Inputs (2)'!$D$95:$AL$95,MATCH(AA$7&amp;"",'Inputs (2)'!$D$2:$AL$2,0)),"")</f>
        <v>26.498</v>
      </c>
      <c r="AB73" s="270">
        <f>IF(COUNT(X73:AA73)=4,SUM(X73:AA73),"")</f>
        <v>96.345</v>
      </c>
      <c r="AC73" s="269">
        <f>IFERROR(INDEX('Inputs (2)'!$D$95:$AL$95,MATCH(AC$7&amp;"",'Inputs (2)'!$D$2:$AL$2,0)),"")</f>
        <v>35.092</v>
      </c>
      <c r="AD73" s="269">
        <f>IFERROR(INDEX('Inputs (2)'!$D$95:$AL$95,MATCH(AD$7&amp;"",'Inputs (2)'!$D$2:$AL$2,0)),"")</f>
        <v>34.145</v>
      </c>
      <c r="AE73" s="269">
        <f>IFERROR(INDEX('Inputs (2)'!$D$95:$AL$95,MATCH(AE$7&amp;"",'Inputs (2)'!$D$2:$AL$2,0)),"")</f>
        <v>22.968</v>
      </c>
      <c r="AF73" s="269">
        <f>IFERROR(INDEX('Inputs (2)'!$D$95:$AL$95,MATCH(AF$7&amp;"",'Inputs (2)'!$D$2:$AL$2,0)),"")</f>
        <v>27.932</v>
      </c>
      <c r="AG73" s="270">
        <f>IF(COUNT(AC73:AF73)=4,SUM(AC73:AF73),"")</f>
        <v>120.137</v>
      </c>
      <c r="AH73" s="270">
        <f>IFERROR(INDEX('Inputs (2)'!$D$95:$AL$95,MATCH(AH$7&amp;"",'Inputs (2)'!$D$2:$AL$2,0)),"")</f>
        <v>52.247</v>
      </c>
      <c r="AI73" s="270">
        <f>IFERROR(INDEX('Inputs (2)'!$D$95:$AL$95,MATCH(AI$7&amp;"",'Inputs (2)'!$D$2:$AL$2,0)),"")</f>
        <v>33.452</v>
      </c>
    </row>
    <row r="74">
      <c r="C74" s="268" t="inlineStr">
        <is>
          <t xml:space="preserve">   Risaralda (Morro Azul)</t>
        </is>
      </c>
      <c r="D74" s="269" t="str">
        <f>IFERROR(INDEX('Inputs (2)'!$D$96:$AL$96,MATCH(D$7&amp;"",'Inputs (2)'!$D$2:$AL$2,0)),"")</f>
        <v/>
      </c>
      <c r="E74" s="269" t="str">
        <f>IFERROR(INDEX('Inputs (2)'!$D$96:$AL$96,MATCH(E$7&amp;"",'Inputs (2)'!$D$2:$AL$2,0)),"")</f>
        <v/>
      </c>
      <c r="F74" s="269" t="str">
        <f>IFERROR(INDEX('Inputs (2)'!$D$96:$AL$96,MATCH(F$7&amp;"",'Inputs (2)'!$D$2:$AL$2,0)),"")</f>
        <v/>
      </c>
      <c r="G74" s="269" t="str">
        <f>IFERROR(INDEX('Inputs (2)'!$D$96:$AL$96,MATCH(G$7&amp;"",'Inputs (2)'!$D$2:$AL$2,0)),"")</f>
        <v/>
      </c>
      <c r="H74" s="270" t="str">
        <f>IF(COUNT(D74:G74)=4,SUM(D74:G74),"")</f>
        <v/>
      </c>
      <c r="I74" s="269">
        <f>IFERROR(INDEX('Inputs (2)'!$D$96:$AL$96,MATCH(I$7&amp;"",'Inputs (2)'!$D$2:$AL$2,0)),"")</f>
        <v>8.783</v>
      </c>
      <c r="J74" s="269">
        <f>IFERROR(INDEX('Inputs (2)'!$D$96:$AL$96,MATCH(J$7&amp;"",'Inputs (2)'!$D$2:$AL$2,0)),"")</f>
        <v>11.277</v>
      </c>
      <c r="K74" s="269">
        <f>IFERROR(INDEX('Inputs (2)'!$D$96:$AL$96,MATCH(K$7&amp;"",'Inputs (2)'!$D$2:$AL$2,0)),"")</f>
        <v>8.401</v>
      </c>
      <c r="L74" s="269">
        <f>IFERROR(INDEX('Inputs (2)'!$D$96:$AL$96,MATCH(L$7&amp;"",'Inputs (2)'!$D$2:$AL$2,0)),"")</f>
        <v>9.626</v>
      </c>
      <c r="M74" s="270">
        <f>IF(COUNT(I74:L74)=4,SUM(I74:L74),"")</f>
        <v>38.087</v>
      </c>
      <c r="N74" s="269">
        <f>IFERROR(INDEX('Inputs (2)'!$D$96:$AL$96,MATCH(N$7&amp;"",'Inputs (2)'!$D$2:$AL$2,0)),"")</f>
        <v>8.544</v>
      </c>
      <c r="O74" s="269">
        <f>IFERROR(INDEX('Inputs (2)'!$D$96:$AL$96,MATCH(O$7&amp;"",'Inputs (2)'!$D$2:$AL$2,0)),"")</f>
        <v>9.497</v>
      </c>
      <c r="P74" s="269">
        <f>IFERROR(INDEX('Inputs (2)'!$D$96:$AL$96,MATCH(P$7&amp;"",'Inputs (2)'!$D$2:$AL$2,0)),"")</f>
        <v>11.611</v>
      </c>
      <c r="Q74" s="269">
        <f>IFERROR(INDEX('Inputs (2)'!$D$96:$AL$96,MATCH(Q$7&amp;"",'Inputs (2)'!$D$2:$AL$2,0)),"")</f>
        <v>10.985</v>
      </c>
      <c r="R74" s="270">
        <f>IF(COUNT(N74:Q74)=4,SUM(N74:Q74),"")</f>
        <v>40.637</v>
      </c>
      <c r="S74" s="269">
        <f>IFERROR(INDEX('Inputs (2)'!$D$96:$AL$96,MATCH(S$7&amp;"",'Inputs (2)'!$D$2:$AL$2,0)),"")</f>
        <v>9.016</v>
      </c>
      <c r="T74" s="269">
        <f>IFERROR(INDEX('Inputs (2)'!$D$96:$AL$96,MATCH(T$7&amp;"",'Inputs (2)'!$D$2:$AL$2,0)),"")</f>
        <v>10.217</v>
      </c>
      <c r="U74" s="269">
        <f>IFERROR(INDEX('Inputs (2)'!$D$96:$AL$96,MATCH(U$7&amp;"",'Inputs (2)'!$D$2:$AL$2,0)),"")</f>
        <v>3.542</v>
      </c>
      <c r="V74" s="269">
        <f>IFERROR(INDEX('Inputs (2)'!$D$96:$AL$96,MATCH(V$7&amp;"",'Inputs (2)'!$D$2:$AL$2,0)),"")</f>
        <v>6.746</v>
      </c>
      <c r="W74" s="270">
        <f>IF(COUNT(S74:V74)=4,SUM(S74:V74),"")</f>
        <v>29.521</v>
      </c>
      <c r="X74" s="269">
        <f>IFERROR(INDEX('Inputs (2)'!$D$96:$AL$96,MATCH(X$7&amp;"",'Inputs (2)'!$D$2:$AL$2,0)),"")</f>
        <v>3.406</v>
      </c>
      <c r="Y74" s="269">
        <f>IFERROR(INDEX('Inputs (2)'!$D$96:$AL$96,MATCH(Y$7&amp;"",'Inputs (2)'!$D$2:$AL$2,0)),"")</f>
        <v>10.491</v>
      </c>
      <c r="Z74" s="269">
        <f>IFERROR(INDEX('Inputs (2)'!$D$96:$AL$96,MATCH(Z$7&amp;"",'Inputs (2)'!$D$2:$AL$2,0)),"")</f>
        <v>9.284</v>
      </c>
      <c r="AA74" s="269">
        <f>IFERROR(INDEX('Inputs (2)'!$D$96:$AL$96,MATCH(AA$7&amp;"",'Inputs (2)'!$D$2:$AL$2,0)),"")</f>
        <v>10.102</v>
      </c>
      <c r="AB74" s="270">
        <f>IF(COUNT(X74:AA74)=4,SUM(X74:AA74),"")</f>
        <v>33.283</v>
      </c>
      <c r="AC74" s="269">
        <f>IFERROR(INDEX('Inputs (2)'!$D$96:$AL$96,MATCH(AC$7&amp;"",'Inputs (2)'!$D$2:$AL$2,0)),"")</f>
        <v>13.431</v>
      </c>
      <c r="AD74" s="269">
        <f>IFERROR(INDEX('Inputs (2)'!$D$96:$AL$96,MATCH(AD$7&amp;"",'Inputs (2)'!$D$2:$AL$2,0)),"")</f>
        <v>15.171</v>
      </c>
      <c r="AE74" s="269">
        <f>IFERROR(INDEX('Inputs (2)'!$D$96:$AL$96,MATCH(AE$7&amp;"",'Inputs (2)'!$D$2:$AL$2,0)),"")</f>
        <v>9.725</v>
      </c>
      <c r="AF74" s="269">
        <f>IFERROR(INDEX('Inputs (2)'!$D$96:$AL$96,MATCH(AF$7&amp;"",'Inputs (2)'!$D$2:$AL$2,0)),"")</f>
        <v>11.063</v>
      </c>
      <c r="AG74" s="270">
        <f>IF(COUNT(AC74:AF74)=4,SUM(AC74:AF74),"")</f>
        <v>49.39</v>
      </c>
      <c r="AH74" s="270">
        <f>IFERROR(INDEX('Inputs (2)'!$D$96:$AL$96,MATCH(AH$7&amp;"",'Inputs (2)'!$D$2:$AL$2,0)),"")</f>
        <v>13.188</v>
      </c>
      <c r="AI74" s="270">
        <f>IFERROR(INDEX('Inputs (2)'!$D$96:$AL$96,MATCH(AI$7&amp;"",'Inputs (2)'!$D$2:$AL$2,0)),"")</f>
        <v>9.945</v>
      </c>
    </row>
    <row r="75">
      <c r="C75" s="268" t="inlineStr">
        <is>
          <t xml:space="preserve">   Queluz</t>
        </is>
      </c>
      <c r="D75" s="269" t="str">
        <f>IFERROR(INDEX('Inputs (2)'!$D$97:$AL$97,MATCH(D$7&amp;"",'Inputs (2)'!$D$2:$AL$2,0)),"")</f>
        <v/>
      </c>
      <c r="E75" s="269" t="str">
        <f>IFERROR(INDEX('Inputs (2)'!$D$97:$AL$97,MATCH(E$7&amp;"",'Inputs (2)'!$D$2:$AL$2,0)),"")</f>
        <v/>
      </c>
      <c r="F75" s="269" t="str">
        <f>IFERROR(INDEX('Inputs (2)'!$D$97:$AL$97,MATCH(F$7&amp;"",'Inputs (2)'!$D$2:$AL$2,0)),"")</f>
        <v/>
      </c>
      <c r="G75" s="269" t="str">
        <f>IFERROR(INDEX('Inputs (2)'!$D$97:$AL$97,MATCH(G$7&amp;"",'Inputs (2)'!$D$2:$AL$2,0)),"")</f>
        <v/>
      </c>
      <c r="H75" s="270" t="str">
        <f>IF(COUNT(D75:G75)=4,SUM(D75:G75),"")</f>
        <v/>
      </c>
      <c r="I75" s="269">
        <f>IFERROR(INDEX('Inputs (2)'!$D$97:$AL$97,MATCH(I$7&amp;"",'Inputs (2)'!$D$2:$AL$2,0)),"")</f>
        <v>19.738</v>
      </c>
      <c r="J75" s="269">
        <f>IFERROR(INDEX('Inputs (2)'!$D$97:$AL$97,MATCH(J$7&amp;"",'Inputs (2)'!$D$2:$AL$2,0)),"")</f>
        <v>21.879</v>
      </c>
      <c r="K75" s="269">
        <f>IFERROR(INDEX('Inputs (2)'!$D$97:$AL$97,MATCH(K$7&amp;"",'Inputs (2)'!$D$2:$AL$2,0)),"")</f>
        <v>18.624</v>
      </c>
      <c r="L75" s="269">
        <f>IFERROR(INDEX('Inputs (2)'!$D$97:$AL$97,MATCH(L$7&amp;"",'Inputs (2)'!$D$2:$AL$2,0)),"")</f>
        <v>22.284</v>
      </c>
      <c r="M75" s="270">
        <f>IF(COUNT(I75:L75)=4,SUM(I75:L75),"")</f>
        <v>82.525</v>
      </c>
      <c r="N75" s="269">
        <f>IFERROR(INDEX('Inputs (2)'!$D$97:$AL$97,MATCH(N$7&amp;"",'Inputs (2)'!$D$2:$AL$2,0)),"")</f>
        <v>15.772</v>
      </c>
      <c r="O75" s="269">
        <f>IFERROR(INDEX('Inputs (2)'!$D$97:$AL$97,MATCH(O$7&amp;"",'Inputs (2)'!$D$2:$AL$2,0)),"")</f>
        <v>13.252</v>
      </c>
      <c r="P75" s="269">
        <f>IFERROR(INDEX('Inputs (2)'!$D$97:$AL$97,MATCH(P$7&amp;"",'Inputs (2)'!$D$2:$AL$2,0)),"")</f>
        <v>15.018</v>
      </c>
      <c r="Q75" s="269">
        <f>IFERROR(INDEX('Inputs (2)'!$D$97:$AL$97,MATCH(Q$7&amp;"",'Inputs (2)'!$D$2:$AL$2,0)),"")</f>
        <v>15.462</v>
      </c>
      <c r="R75" s="270">
        <f>IF(COUNT(N75:Q75)=4,SUM(N75:Q75),"")</f>
        <v>59.504</v>
      </c>
      <c r="S75" s="269">
        <f>IFERROR(INDEX('Inputs (2)'!$D$97:$AL$97,MATCH(S$7&amp;"",'Inputs (2)'!$D$2:$AL$2,0)),"")</f>
        <v>14.097</v>
      </c>
      <c r="T75" s="269">
        <f>IFERROR(INDEX('Inputs (2)'!$D$97:$AL$97,MATCH(T$7&amp;"",'Inputs (2)'!$D$2:$AL$2,0)),"")</f>
        <v>13.945</v>
      </c>
      <c r="U75" s="269">
        <f>IFERROR(INDEX('Inputs (2)'!$D$97:$AL$97,MATCH(U$7&amp;"",'Inputs (2)'!$D$2:$AL$2,0)),"")</f>
        <v>13.94</v>
      </c>
      <c r="V75" s="269">
        <f>IFERROR(INDEX('Inputs (2)'!$D$97:$AL$97,MATCH(V$7&amp;"",'Inputs (2)'!$D$2:$AL$2,0)),"")</f>
        <v>14.586</v>
      </c>
      <c r="W75" s="270">
        <f>IF(COUNT(S75:V75)=4,SUM(S75:V75),"")</f>
        <v>56.568</v>
      </c>
      <c r="X75" s="269">
        <f>IFERROR(INDEX('Inputs (2)'!$D$97:$AL$97,MATCH(X$7&amp;"",'Inputs (2)'!$D$2:$AL$2,0)),"")</f>
        <v>13.997</v>
      </c>
      <c r="Y75" s="269">
        <f>IFERROR(INDEX('Inputs (2)'!$D$97:$AL$97,MATCH(Y$7&amp;"",'Inputs (2)'!$D$2:$AL$2,0)),"")</f>
        <v>12.995</v>
      </c>
      <c r="Z75" s="269">
        <f>IFERROR(INDEX('Inputs (2)'!$D$97:$AL$97,MATCH(Z$7&amp;"",'Inputs (2)'!$D$2:$AL$2,0)),"")</f>
        <v>15.648</v>
      </c>
      <c r="AA75" s="269">
        <f>IFERROR(INDEX('Inputs (2)'!$D$97:$AL$97,MATCH(AA$7&amp;"",'Inputs (2)'!$D$2:$AL$2,0)),"")</f>
        <v>21.937</v>
      </c>
      <c r="AB75" s="270">
        <f>IF(COUNT(X75:AA75)=4,SUM(X75:AA75),"")</f>
        <v>64.577</v>
      </c>
      <c r="AC75" s="269">
        <f>IFERROR(INDEX('Inputs (2)'!$D$97:$AL$97,MATCH(AC$7&amp;"",'Inputs (2)'!$D$2:$AL$2,0)),"")</f>
        <v>15.292</v>
      </c>
      <c r="AD75" s="269">
        <f>IFERROR(INDEX('Inputs (2)'!$D$97:$AL$97,MATCH(AD$7&amp;"",'Inputs (2)'!$D$2:$AL$2,0)),"")</f>
        <v>14.334</v>
      </c>
      <c r="AE75" s="269">
        <f>IFERROR(INDEX('Inputs (2)'!$D$97:$AL$97,MATCH(AE$7&amp;"",'Inputs (2)'!$D$2:$AL$2,0)),"")</f>
        <v>11.443</v>
      </c>
      <c r="AF75" s="269">
        <f>IFERROR(INDEX('Inputs (2)'!$D$97:$AL$97,MATCH(AF$7&amp;"",'Inputs (2)'!$D$2:$AL$2,0)),"")</f>
        <v>12.037</v>
      </c>
      <c r="AG75" s="270">
        <f>IF(COUNT(AC75:AF75)=4,SUM(AC75:AF75),"")</f>
        <v>53.106</v>
      </c>
      <c r="AH75" s="270">
        <f>IFERROR(INDEX('Inputs (2)'!$D$97:$AL$97,MATCH(AH$7&amp;"",'Inputs (2)'!$D$2:$AL$2,0)),"")</f>
        <v>19.264</v>
      </c>
      <c r="AI75" s="270">
        <f>IFERROR(INDEX('Inputs (2)'!$D$97:$AL$97,MATCH(AI$7&amp;"",'Inputs (2)'!$D$2:$AL$2,0)),"")</f>
        <v>12.909</v>
      </c>
    </row>
    <row r="76">
      <c r="C76" s="268" t="inlineStr">
        <is>
          <t xml:space="preserve">   Lavrinhas</t>
        </is>
      </c>
      <c r="D76" s="269" t="str">
        <f>IFERROR(INDEX('Inputs (2)'!$D$98:$AL$98,MATCH(D$7&amp;"",'Inputs (2)'!$D$2:$AL$2,0)),"")</f>
        <v/>
      </c>
      <c r="E76" s="269" t="str">
        <f>IFERROR(INDEX('Inputs (2)'!$D$98:$AL$98,MATCH(E$7&amp;"",'Inputs (2)'!$D$2:$AL$2,0)),"")</f>
        <v/>
      </c>
      <c r="F76" s="269" t="str">
        <f>IFERROR(INDEX('Inputs (2)'!$D$98:$AL$98,MATCH(F$7&amp;"",'Inputs (2)'!$D$2:$AL$2,0)),"")</f>
        <v/>
      </c>
      <c r="G76" s="269" t="str">
        <f>IFERROR(INDEX('Inputs (2)'!$D$98:$AL$98,MATCH(G$7&amp;"",'Inputs (2)'!$D$2:$AL$2,0)),"")</f>
        <v/>
      </c>
      <c r="H76" s="270" t="str">
        <f>IF(COUNT(D76:G76)=4,SUM(D76:G76),"")</f>
        <v/>
      </c>
      <c r="I76" s="269">
        <f>IFERROR(INDEX('Inputs (2)'!$D$98:$AL$98,MATCH(I$7&amp;"",'Inputs (2)'!$D$2:$AL$2,0)),"")</f>
        <v>19.635</v>
      </c>
      <c r="J76" s="269">
        <f>IFERROR(INDEX('Inputs (2)'!$D$98:$AL$98,MATCH(J$7&amp;"",'Inputs (2)'!$D$2:$AL$2,0)),"")</f>
        <v>21.937</v>
      </c>
      <c r="K76" s="269">
        <f>IFERROR(INDEX('Inputs (2)'!$D$98:$AL$98,MATCH(K$7&amp;"",'Inputs (2)'!$D$2:$AL$2,0)),"")</f>
        <v>18.735</v>
      </c>
      <c r="L76" s="269">
        <f>IFERROR(INDEX('Inputs (2)'!$D$98:$AL$98,MATCH(L$7&amp;"",'Inputs (2)'!$D$2:$AL$2,0)),"")</f>
        <v>22.265</v>
      </c>
      <c r="M76" s="270">
        <f>IF(COUNT(I76:L76)=4,SUM(I76:L76),"")</f>
        <v>82.572</v>
      </c>
      <c r="N76" s="269">
        <f>IFERROR(INDEX('Inputs (2)'!$D$98:$AL$98,MATCH(N$7&amp;"",'Inputs (2)'!$D$2:$AL$2,0)),"")</f>
        <v>15.738</v>
      </c>
      <c r="O76" s="269">
        <f>IFERROR(INDEX('Inputs (2)'!$D$98:$AL$98,MATCH(O$7&amp;"",'Inputs (2)'!$D$2:$AL$2,0)),"")</f>
        <v>13.163</v>
      </c>
      <c r="P76" s="269">
        <f>IFERROR(INDEX('Inputs (2)'!$D$98:$AL$98,MATCH(P$7&amp;"",'Inputs (2)'!$D$2:$AL$2,0)),"")</f>
        <v>14.995</v>
      </c>
      <c r="Q76" s="269">
        <f>IFERROR(INDEX('Inputs (2)'!$D$98:$AL$98,MATCH(Q$7&amp;"",'Inputs (2)'!$D$2:$AL$2,0)),"")</f>
        <v>15.477</v>
      </c>
      <c r="R76" s="270">
        <f>IF(COUNT(N76:Q76)=4,SUM(N76:Q76),"")</f>
        <v>59.373</v>
      </c>
      <c r="S76" s="269">
        <f>IFERROR(INDEX('Inputs (2)'!$D$98:$AL$98,MATCH(S$7&amp;"",'Inputs (2)'!$D$2:$AL$2,0)),"")</f>
        <v>13.581</v>
      </c>
      <c r="T76" s="269">
        <f>IFERROR(INDEX('Inputs (2)'!$D$98:$AL$98,MATCH(T$7&amp;"",'Inputs (2)'!$D$2:$AL$2,0)),"")</f>
        <v>13.546</v>
      </c>
      <c r="U76" s="269">
        <f>IFERROR(INDEX('Inputs (2)'!$D$98:$AL$98,MATCH(U$7&amp;"",'Inputs (2)'!$D$2:$AL$2,0)),"")</f>
        <v>13.672</v>
      </c>
      <c r="V76" s="269">
        <f>IFERROR(INDEX('Inputs (2)'!$D$98:$AL$98,MATCH(V$7&amp;"",'Inputs (2)'!$D$2:$AL$2,0)),"")</f>
        <v>14.144</v>
      </c>
      <c r="W76" s="270">
        <f>IF(COUNT(S76:V76)=4,SUM(S76:V76),"")</f>
        <v>54.943</v>
      </c>
      <c r="X76" s="269">
        <f>IFERROR(INDEX('Inputs (2)'!$D$98:$AL$98,MATCH(X$7&amp;"",'Inputs (2)'!$D$2:$AL$2,0)),"")</f>
        <v>13.953</v>
      </c>
      <c r="Y76" s="269">
        <f>IFERROR(INDEX('Inputs (2)'!$D$98:$AL$98,MATCH(Y$7&amp;"",'Inputs (2)'!$D$2:$AL$2,0)),"")</f>
        <v>12.234</v>
      </c>
      <c r="Z76" s="269">
        <f>IFERROR(INDEX('Inputs (2)'!$D$98:$AL$98,MATCH(Z$7&amp;"",'Inputs (2)'!$D$2:$AL$2,0)),"")</f>
        <v>13.531</v>
      </c>
      <c r="AA76" s="269">
        <f>IFERROR(INDEX('Inputs (2)'!$D$98:$AL$98,MATCH(AA$7&amp;"",'Inputs (2)'!$D$2:$AL$2,0)),"")</f>
        <v>21.894</v>
      </c>
      <c r="AB76" s="270">
        <f>IF(COUNT(X76:AA76)=4,SUM(X76:AA76),"")</f>
        <v>61.612</v>
      </c>
      <c r="AC76" s="269">
        <f>IFERROR(INDEX('Inputs (2)'!$D$98:$AL$98,MATCH(AC$7&amp;"",'Inputs (2)'!$D$2:$AL$2,0)),"")</f>
        <v>15.335</v>
      </c>
      <c r="AD76" s="269">
        <f>IFERROR(INDEX('Inputs (2)'!$D$98:$AL$98,MATCH(AD$7&amp;"",'Inputs (2)'!$D$2:$AL$2,0)),"")</f>
        <v>16.888</v>
      </c>
      <c r="AE76" s="269">
        <f>IFERROR(INDEX('Inputs (2)'!$D$98:$AL$98,MATCH(AE$7&amp;"",'Inputs (2)'!$D$2:$AL$2,0)),"")</f>
        <v>18.261</v>
      </c>
      <c r="AF76" s="269">
        <f>IFERROR(INDEX('Inputs (2)'!$D$98:$AL$98,MATCH(AF$7&amp;"",'Inputs (2)'!$D$2:$AL$2,0)),"")</f>
        <v>13.379</v>
      </c>
      <c r="AG76" s="270">
        <f>IF(COUNT(AC76:AF76)=4,SUM(AC76:AF76),"")</f>
        <v>63.863</v>
      </c>
      <c r="AH76" s="270">
        <f>IFERROR(INDEX('Inputs (2)'!$D$98:$AL$98,MATCH(AH$7&amp;"",'Inputs (2)'!$D$2:$AL$2,0)),"")</f>
        <v>18.625</v>
      </c>
      <c r="AI76" s="270">
        <f>IFERROR(INDEX('Inputs (2)'!$D$98:$AL$98,MATCH(AI$7&amp;"",'Inputs (2)'!$D$2:$AL$2,0)),"")</f>
        <v>13.067</v>
      </c>
    </row>
    <row r="77">
      <c r="C77" s="268" t="inlineStr">
        <is>
          <t xml:space="preserve">   Verde 08</t>
        </is>
      </c>
      <c r="D77" s="269" t="str">
        <f>IFERROR(INDEX('Inputs (2)'!$D$99:$AL$99,MATCH(D$7&amp;"",'Inputs (2)'!$D$2:$AL$2,0)),"")</f>
        <v/>
      </c>
      <c r="E77" s="269" t="str">
        <f>IFERROR(INDEX('Inputs (2)'!$D$99:$AL$99,MATCH(E$7&amp;"",'Inputs (2)'!$D$2:$AL$2,0)),"")</f>
        <v/>
      </c>
      <c r="F77" s="269" t="str">
        <f>IFERROR(INDEX('Inputs (2)'!$D$99:$AL$99,MATCH(F$7&amp;"",'Inputs (2)'!$D$2:$AL$2,0)),"")</f>
        <v/>
      </c>
      <c r="G77" s="269" t="str">
        <f>IFERROR(INDEX('Inputs (2)'!$D$99:$AL$99,MATCH(G$7&amp;"",'Inputs (2)'!$D$2:$AL$2,0)),"")</f>
        <v/>
      </c>
      <c r="H77" s="270" t="str">
        <f>IF(COUNT(D77:G77)=4,SUM(D77:G77),"")</f>
        <v/>
      </c>
      <c r="I77" s="269">
        <f>IFERROR(INDEX('Inputs (2)'!$D$99:$AL$99,MATCH(I$7&amp;"",'Inputs (2)'!$D$2:$AL$2,0)),"")</f>
        <v>22.614</v>
      </c>
      <c r="J77" s="269">
        <f>IFERROR(INDEX('Inputs (2)'!$D$99:$AL$99,MATCH(J$7&amp;"",'Inputs (2)'!$D$2:$AL$2,0)),"")</f>
        <v>18.136</v>
      </c>
      <c r="K77" s="269">
        <f>IFERROR(INDEX('Inputs (2)'!$D$99:$AL$99,MATCH(K$7&amp;"",'Inputs (2)'!$D$2:$AL$2,0)),"")</f>
        <v>16.571</v>
      </c>
      <c r="L77" s="269">
        <f>IFERROR(INDEX('Inputs (2)'!$D$99:$AL$99,MATCH(L$7&amp;"",'Inputs (2)'!$D$2:$AL$2,0)),"")</f>
        <v>14.689</v>
      </c>
      <c r="M77" s="270">
        <f>IF(COUNT(I77:L77)=4,SUM(I77:L77),"")</f>
        <v>72.01</v>
      </c>
      <c r="N77" s="269">
        <f>IFERROR(INDEX('Inputs (2)'!$D$99:$AL$99,MATCH(N$7&amp;"",'Inputs (2)'!$D$2:$AL$2,0)),"")</f>
        <v>8.603</v>
      </c>
      <c r="O77" s="269">
        <f>IFERROR(INDEX('Inputs (2)'!$D$99:$AL$99,MATCH(O$7&amp;"",'Inputs (2)'!$D$2:$AL$2,0)),"")</f>
        <v>4.374</v>
      </c>
      <c r="P77" s="269">
        <f>IFERROR(INDEX('Inputs (2)'!$D$99:$AL$99,MATCH(P$7&amp;"",'Inputs (2)'!$D$2:$AL$2,0)),"")</f>
        <v>6.817</v>
      </c>
      <c r="Q77" s="269">
        <f>IFERROR(INDEX('Inputs (2)'!$D$99:$AL$99,MATCH(Q$7&amp;"",'Inputs (2)'!$D$2:$AL$2,0)),"")</f>
        <v>8.063</v>
      </c>
      <c r="R77" s="270">
        <f>IF(COUNT(N77:Q77)=4,SUM(N77:Q77),"")</f>
        <v>27.857</v>
      </c>
      <c r="S77" s="269">
        <f>IFERROR(INDEX('Inputs (2)'!$D$99:$AL$99,MATCH(S$7&amp;"",'Inputs (2)'!$D$2:$AL$2,0)),"")</f>
        <v>11.516</v>
      </c>
      <c r="T77" s="269">
        <f>IFERROR(INDEX('Inputs (2)'!$D$99:$AL$99,MATCH(T$7&amp;"",'Inputs (2)'!$D$2:$AL$2,0)),"")</f>
        <v>10.734</v>
      </c>
      <c r="U77" s="269">
        <f>IFERROR(INDEX('Inputs (2)'!$D$99:$AL$99,MATCH(U$7&amp;"",'Inputs (2)'!$D$2:$AL$2,0)),"")</f>
        <v>10.983</v>
      </c>
      <c r="V77" s="269">
        <f>IFERROR(INDEX('Inputs (2)'!$D$99:$AL$99,MATCH(V$7&amp;"",'Inputs (2)'!$D$2:$AL$2,0)),"")</f>
        <v>11.809</v>
      </c>
      <c r="W77" s="270">
        <f>IF(COUNT(S77:V77)=4,SUM(S77:V77),"")</f>
        <v>45.042</v>
      </c>
      <c r="X77" s="269">
        <f>IFERROR(INDEX('Inputs (2)'!$D$99:$AL$99,MATCH(X$7&amp;"",'Inputs (2)'!$D$2:$AL$2,0)),"")</f>
        <v>12.324</v>
      </c>
      <c r="Y77" s="269">
        <f>IFERROR(INDEX('Inputs (2)'!$D$99:$AL$99,MATCH(Y$7&amp;"",'Inputs (2)'!$D$2:$AL$2,0)),"")</f>
        <v>11.292</v>
      </c>
      <c r="Z77" s="269">
        <f>IFERROR(INDEX('Inputs (2)'!$D$99:$AL$99,MATCH(Z$7&amp;"",'Inputs (2)'!$D$2:$AL$2,0)),"")</f>
        <v>11.624</v>
      </c>
      <c r="AA77" s="269">
        <f>IFERROR(INDEX('Inputs (2)'!$D$99:$AL$99,MATCH(AA$7&amp;"",'Inputs (2)'!$D$2:$AL$2,0)),"")</f>
        <v>12.227</v>
      </c>
      <c r="AB77" s="270">
        <f>IF(COUNT(X77:AA77)=4,SUM(X77:AA77),"")</f>
        <v>47.467</v>
      </c>
      <c r="AC77" s="269">
        <f>IFERROR(INDEX('Inputs (2)'!$D$99:$AL$99,MATCH(AC$7&amp;"",'Inputs (2)'!$D$2:$AL$2,0)),"")</f>
        <v>13.293</v>
      </c>
      <c r="AD77" s="269">
        <f>IFERROR(INDEX('Inputs (2)'!$D$99:$AL$99,MATCH(AD$7&amp;"",'Inputs (2)'!$D$2:$AL$2,0)),"")</f>
        <v>11.798</v>
      </c>
      <c r="AE77" s="269">
        <f>IFERROR(INDEX('Inputs (2)'!$D$99:$AL$99,MATCH(AE$7&amp;"",'Inputs (2)'!$D$2:$AL$2,0)),"")</f>
        <v>11.951</v>
      </c>
      <c r="AF77" s="269">
        <f>IFERROR(INDEX('Inputs (2)'!$D$99:$AL$99,MATCH(AF$7&amp;"",'Inputs (2)'!$D$2:$AL$2,0)),"")</f>
        <v>12.879</v>
      </c>
      <c r="AG77" s="270">
        <f>IF(COUNT(AC77:AF77)=4,SUM(AC77:AF77),"")</f>
        <v>49.921</v>
      </c>
      <c r="AH77" s="270">
        <f>IFERROR(INDEX('Inputs (2)'!$D$99:$AL$99,MATCH(AH$7&amp;"",'Inputs (2)'!$D$2:$AL$2,0)),"")</f>
        <v>16.181</v>
      </c>
      <c r="AI77" s="270">
        <f>IFERROR(INDEX('Inputs (2)'!$D$99:$AL$99,MATCH(AI$7&amp;"",'Inputs (2)'!$D$2:$AL$2,0)),"")</f>
        <v>12.579</v>
      </c>
    </row>
    <row r="78">
      <c r="C78" s="268" t="inlineStr">
        <is>
          <t xml:space="preserve">   EDV I</t>
        </is>
      </c>
      <c r="D78" s="269" t="str">
        <f>IFERROR(INDEX('Inputs (2)'!$D$100:$AL$100,MATCH(D$7&amp;"",'Inputs (2)'!$D$2:$AL$2,0)),"")</f>
        <v/>
      </c>
      <c r="E78" s="269" t="str">
        <f>IFERROR(INDEX('Inputs (2)'!$D$100:$AL$100,MATCH(E$7&amp;"",'Inputs (2)'!$D$2:$AL$2,0)),"")</f>
        <v/>
      </c>
      <c r="F78" s="269" t="str">
        <f>IFERROR(INDEX('Inputs (2)'!$D$100:$AL$100,MATCH(F$7&amp;"",'Inputs (2)'!$D$2:$AL$2,0)),"")</f>
        <v/>
      </c>
      <c r="G78" s="269" t="str">
        <f>IFERROR(INDEX('Inputs (2)'!$D$100:$AL$100,MATCH(G$7&amp;"",'Inputs (2)'!$D$2:$AL$2,0)),"")</f>
        <v/>
      </c>
      <c r="H78" s="270" t="str">
        <f>IF(COUNT(D78:G78)=4,SUM(D78:G78),"")</f>
        <v/>
      </c>
      <c r="I78" s="269">
        <f>IFERROR(INDEX('Inputs (2)'!$D$100:$AL$100,MATCH(I$7&amp;"",'Inputs (2)'!$D$2:$AL$2,0)),"")</f>
        <v>3.233</v>
      </c>
      <c r="J78" s="269">
        <f>IFERROR(INDEX('Inputs (2)'!$D$100:$AL$100,MATCH(J$7&amp;"",'Inputs (2)'!$D$2:$AL$2,0)),"")</f>
        <v>3.359</v>
      </c>
      <c r="K78" s="269">
        <f>IFERROR(INDEX('Inputs (2)'!$D$100:$AL$100,MATCH(K$7&amp;"",'Inputs (2)'!$D$2:$AL$2,0)),"")</f>
        <v>7.146</v>
      </c>
      <c r="L78" s="269">
        <f>IFERROR(INDEX('Inputs (2)'!$D$100:$AL$100,MATCH(L$7&amp;"",'Inputs (2)'!$D$2:$AL$2,0)),"")</f>
        <v>3.934</v>
      </c>
      <c r="M78" s="270">
        <f>IF(COUNT(I78:L78)=4,SUM(I78:L78),"")</f>
        <v>17.672</v>
      </c>
      <c r="N78" s="269">
        <f>IFERROR(INDEX('Inputs (2)'!$D$100:$AL$100,MATCH(N$7&amp;"",'Inputs (2)'!$D$2:$AL$2,0)),"")</f>
        <v>3.559</v>
      </c>
      <c r="O78" s="269">
        <f>IFERROR(INDEX('Inputs (2)'!$D$100:$AL$100,MATCH(O$7&amp;"",'Inputs (2)'!$D$2:$AL$2,0)),"")</f>
        <v>3.605</v>
      </c>
      <c r="P78" s="269">
        <f>IFERROR(INDEX('Inputs (2)'!$D$100:$AL$100,MATCH(P$7&amp;"",'Inputs (2)'!$D$2:$AL$2,0)),"")</f>
        <v>3.667</v>
      </c>
      <c r="Q78" s="269">
        <f>IFERROR(INDEX('Inputs (2)'!$D$100:$AL$100,MATCH(Q$7&amp;"",'Inputs (2)'!$D$2:$AL$2,0)),"")</f>
        <v>3.671</v>
      </c>
      <c r="R78" s="270">
        <f>IF(COUNT(N78:Q78)=4,SUM(N78:Q78),"")</f>
        <v>14.502</v>
      </c>
      <c r="S78" s="269">
        <f>IFERROR(INDEX('Inputs (2)'!$D$100:$AL$100,MATCH(S$7&amp;"",'Inputs (2)'!$D$2:$AL$2,0)),"")</f>
        <v>3.774</v>
      </c>
      <c r="T78" s="269">
        <f>IFERROR(INDEX('Inputs (2)'!$D$100:$AL$100,MATCH(T$7&amp;"",'Inputs (2)'!$D$2:$AL$2,0)),"")</f>
        <v>3.461</v>
      </c>
      <c r="U78" s="269">
        <f>IFERROR(INDEX('Inputs (2)'!$D$100:$AL$100,MATCH(U$7&amp;"",'Inputs (2)'!$D$2:$AL$2,0)),"")</f>
        <v>4.19</v>
      </c>
      <c r="V78" s="269">
        <f>IFERROR(INDEX('Inputs (2)'!$D$100:$AL$100,MATCH(V$7&amp;"",'Inputs (2)'!$D$2:$AL$2,0)),"")</f>
        <v>4.087</v>
      </c>
      <c r="W78" s="270">
        <f>IF(COUNT(S78:V78)=4,SUM(S78:V78),"")</f>
        <v>15.512</v>
      </c>
      <c r="X78" s="269">
        <f>IFERROR(INDEX('Inputs (2)'!$D$100:$AL$100,MATCH(X$7&amp;"",'Inputs (2)'!$D$2:$AL$2,0)),"")</f>
        <v>2.918</v>
      </c>
      <c r="Y78" s="269">
        <f>IFERROR(INDEX('Inputs (2)'!$D$100:$AL$100,MATCH(Y$7&amp;"",'Inputs (2)'!$D$2:$AL$2,0)),"")</f>
        <v>1.988</v>
      </c>
      <c r="Z78" s="269">
        <f>IFERROR(INDEX('Inputs (2)'!$D$100:$AL$100,MATCH(Z$7&amp;"",'Inputs (2)'!$D$2:$AL$2,0)),"")</f>
        <v>2.443</v>
      </c>
      <c r="AA78" s="269">
        <f>IFERROR(INDEX('Inputs (2)'!$D$100:$AL$100,MATCH(AA$7&amp;"",'Inputs (2)'!$D$2:$AL$2,0)),"")</f>
        <v>5.512</v>
      </c>
      <c r="AB78" s="270">
        <f>IF(COUNT(X78:AA78)=4,SUM(X78:AA78),"")</f>
        <v>12.861</v>
      </c>
      <c r="AC78" s="269">
        <f>IFERROR(INDEX('Inputs (2)'!$D$100:$AL$100,MATCH(AC$7&amp;"",'Inputs (2)'!$D$2:$AL$2,0)),"")</f>
        <v>2.62</v>
      </c>
      <c r="AD78" s="269">
        <f>IFERROR(INDEX('Inputs (2)'!$D$100:$AL$100,MATCH(AD$7&amp;"",'Inputs (2)'!$D$2:$AL$2,0)),"")</f>
        <v>3.445</v>
      </c>
      <c r="AE78" s="269">
        <f>IFERROR(INDEX('Inputs (2)'!$D$100:$AL$100,MATCH(AE$7&amp;"",'Inputs (2)'!$D$2:$AL$2,0)),"")</f>
        <v>4.265</v>
      </c>
      <c r="AF78" s="269">
        <f>IFERROR(INDEX('Inputs (2)'!$D$100:$AL$100,MATCH(AF$7&amp;"",'Inputs (2)'!$D$2:$AL$2,0)),"")</f>
        <v>4.443</v>
      </c>
      <c r="AG78" s="270">
        <f>IF(COUNT(AC78:AF78)=4,SUM(AC78:AF78),"")</f>
        <v>14.773</v>
      </c>
      <c r="AH78" s="270">
        <f>IFERROR(INDEX('Inputs (2)'!$D$100:$AL$100,MATCH(AH$7&amp;"",'Inputs (2)'!$D$2:$AL$2,0)),"")</f>
        <v>3.461</v>
      </c>
      <c r="AI78" s="270">
        <f>IFERROR(INDEX('Inputs (2)'!$D$100:$AL$100,MATCH(AI$7&amp;"",'Inputs (2)'!$D$2:$AL$2,0)),"")</f>
        <v>1.656</v>
      </c>
    </row>
    <row r="79">
      <c r="C79" s="268" t="inlineStr">
        <is>
          <t xml:space="preserve">   EDV II</t>
        </is>
      </c>
      <c r="D79" s="269" t="str">
        <f>IFERROR(INDEX('Inputs (2)'!$D$101:$AL$101,MATCH(D$7&amp;"",'Inputs (2)'!$D$2:$AL$2,0)),"")</f>
        <v/>
      </c>
      <c r="E79" s="269" t="str">
        <f>IFERROR(INDEX('Inputs (2)'!$D$101:$AL$101,MATCH(E$7&amp;"",'Inputs (2)'!$D$2:$AL$2,0)),"")</f>
        <v/>
      </c>
      <c r="F79" s="269" t="str">
        <f>IFERROR(INDEX('Inputs (2)'!$D$101:$AL$101,MATCH(F$7&amp;"",'Inputs (2)'!$D$2:$AL$2,0)),"")</f>
        <v/>
      </c>
      <c r="G79" s="269" t="str">
        <f>IFERROR(INDEX('Inputs (2)'!$D$101:$AL$101,MATCH(G$7&amp;"",'Inputs (2)'!$D$2:$AL$2,0)),"")</f>
        <v/>
      </c>
      <c r="H79" s="270" t="str">
        <f>IF(COUNT(D79:G79)=4,SUM(D79:G79),"")</f>
        <v/>
      </c>
      <c r="I79" s="269">
        <f>IFERROR(INDEX('Inputs (2)'!$D$101:$AL$101,MATCH(I$7&amp;"",'Inputs (2)'!$D$2:$AL$2,0)),"")</f>
        <v>1.869</v>
      </c>
      <c r="J79" s="269">
        <f>IFERROR(INDEX('Inputs (2)'!$D$101:$AL$101,MATCH(J$7&amp;"",'Inputs (2)'!$D$2:$AL$2,0)),"")</f>
        <v>1.969</v>
      </c>
      <c r="K79" s="269">
        <f>IFERROR(INDEX('Inputs (2)'!$D$101:$AL$101,MATCH(K$7&amp;"",'Inputs (2)'!$D$2:$AL$2,0)),"")</f>
        <v>3.03</v>
      </c>
      <c r="L79" s="269">
        <f>IFERROR(INDEX('Inputs (2)'!$D$101:$AL$101,MATCH(L$7&amp;"",'Inputs (2)'!$D$2:$AL$2,0)),"")</f>
        <v>2.112</v>
      </c>
      <c r="M79" s="270">
        <f>IF(COUNT(I79:L79)=4,SUM(I79:L79),"")</f>
        <v>8.98</v>
      </c>
      <c r="N79" s="269">
        <f>IFERROR(INDEX('Inputs (2)'!$D$101:$AL$101,MATCH(N$7&amp;"",'Inputs (2)'!$D$2:$AL$2,0)),"")</f>
        <v>2.059</v>
      </c>
      <c r="O79" s="269">
        <f>IFERROR(INDEX('Inputs (2)'!$D$101:$AL$101,MATCH(O$7&amp;"",'Inputs (2)'!$D$2:$AL$2,0)),"")</f>
        <v>2.094</v>
      </c>
      <c r="P79" s="269">
        <f>IFERROR(INDEX('Inputs (2)'!$D$101:$AL$101,MATCH(P$7&amp;"",'Inputs (2)'!$D$2:$AL$2,0)),"")</f>
        <v>2.126</v>
      </c>
      <c r="Q79" s="269">
        <f>IFERROR(INDEX('Inputs (2)'!$D$101:$AL$101,MATCH(Q$7&amp;"",'Inputs (2)'!$D$2:$AL$2,0)),"")</f>
        <v>2.127</v>
      </c>
      <c r="R79" s="270">
        <f>IF(COUNT(N79:Q79)=4,SUM(N79:Q79),"")</f>
        <v>8.406</v>
      </c>
      <c r="S79" s="269">
        <f>IFERROR(INDEX('Inputs (2)'!$D$101:$AL$101,MATCH(S$7&amp;"",'Inputs (2)'!$D$2:$AL$2,0)),"")</f>
        <v>2.22</v>
      </c>
      <c r="T79" s="269">
        <f>IFERROR(INDEX('Inputs (2)'!$D$101:$AL$101,MATCH(T$7&amp;"",'Inputs (2)'!$D$2:$AL$2,0)),"")</f>
        <v>1.664</v>
      </c>
      <c r="U79" s="269">
        <f>IFERROR(INDEX('Inputs (2)'!$D$101:$AL$101,MATCH(U$7&amp;"",'Inputs (2)'!$D$2:$AL$2,0)),"")</f>
        <v>2.365</v>
      </c>
      <c r="V79" s="269">
        <f>IFERROR(INDEX('Inputs (2)'!$D$101:$AL$101,MATCH(V$7&amp;"",'Inputs (2)'!$D$2:$AL$2,0)),"")</f>
        <v>2.429</v>
      </c>
      <c r="W79" s="270">
        <f>IF(COUNT(S79:V79)=4,SUM(S79:V79),"")</f>
        <v>8.678</v>
      </c>
      <c r="X79" s="269">
        <f>IFERROR(INDEX('Inputs (2)'!$D$101:$AL$101,MATCH(X$7&amp;"",'Inputs (2)'!$D$2:$AL$2,0)),"")</f>
        <v>1.704</v>
      </c>
      <c r="Y79" s="269">
        <f>IFERROR(INDEX('Inputs (2)'!$D$101:$AL$101,MATCH(Y$7&amp;"",'Inputs (2)'!$D$2:$AL$2,0)),"")</f>
        <v>0.998</v>
      </c>
      <c r="Z79" s="269">
        <f>IFERROR(INDEX('Inputs (2)'!$D$101:$AL$101,MATCH(Z$7&amp;"",'Inputs (2)'!$D$2:$AL$2,0)),"")</f>
        <v>1.282</v>
      </c>
      <c r="AA79" s="269">
        <f>IFERROR(INDEX('Inputs (2)'!$D$101:$AL$101,MATCH(AA$7&amp;"",'Inputs (2)'!$D$2:$AL$2,0)),"")</f>
        <v>2.94</v>
      </c>
      <c r="AB79" s="270">
        <f>IF(COUNT(X79:AA79)=4,SUM(X79:AA79),"")</f>
        <v>6.924</v>
      </c>
      <c r="AC79" s="269">
        <f>IFERROR(INDEX('Inputs (2)'!$D$101:$AL$101,MATCH(AC$7&amp;"",'Inputs (2)'!$D$2:$AL$2,0)),"")</f>
        <v>1.529</v>
      </c>
      <c r="AD79" s="269">
        <f>IFERROR(INDEX('Inputs (2)'!$D$101:$AL$101,MATCH(AD$7&amp;"",'Inputs (2)'!$D$2:$AL$2,0)),"")</f>
        <v>1.975</v>
      </c>
      <c r="AE79" s="269">
        <f>IFERROR(INDEX('Inputs (2)'!$D$101:$AL$101,MATCH(AE$7&amp;"",'Inputs (2)'!$D$2:$AL$2,0)),"")</f>
        <v>2.102</v>
      </c>
      <c r="AF79" s="269">
        <f>IFERROR(INDEX('Inputs (2)'!$D$101:$AL$101,MATCH(AF$7&amp;"",'Inputs (2)'!$D$2:$AL$2,0)),"")</f>
        <v>2.305</v>
      </c>
      <c r="AG79" s="270">
        <f>IF(COUNT(AC79:AF79)=4,SUM(AC79:AF79),"")</f>
        <v>7.911</v>
      </c>
      <c r="AH79" s="270">
        <f>IFERROR(INDEX('Inputs (2)'!$D$101:$AL$101,MATCH(AH$7&amp;"",'Inputs (2)'!$D$2:$AL$2,0)),"")</f>
        <v>1.873</v>
      </c>
      <c r="AI79" s="270">
        <f>IFERROR(INDEX('Inputs (2)'!$D$101:$AL$101,MATCH(AI$7&amp;"",'Inputs (2)'!$D$2:$AL$2,0)),"")</f>
        <v>0.996</v>
      </c>
    </row>
    <row r="80">
      <c r="C80" s="268" t="inlineStr">
        <is>
          <t xml:space="preserve">   EDV III</t>
        </is>
      </c>
      <c r="D80" s="269" t="str">
        <f>IFERROR(INDEX('Inputs (2)'!$D$102:$AL$102,MATCH(D$7&amp;"",'Inputs (2)'!$D$2:$AL$2,0)),"")</f>
        <v/>
      </c>
      <c r="E80" s="269" t="str">
        <f>IFERROR(INDEX('Inputs (2)'!$D$102:$AL$102,MATCH(E$7&amp;"",'Inputs (2)'!$D$2:$AL$2,0)),"")</f>
        <v/>
      </c>
      <c r="F80" s="269" t="str">
        <f>IFERROR(INDEX('Inputs (2)'!$D$102:$AL$102,MATCH(F$7&amp;"",'Inputs (2)'!$D$2:$AL$2,0)),"")</f>
        <v/>
      </c>
      <c r="G80" s="269" t="str">
        <f>IFERROR(INDEX('Inputs (2)'!$D$102:$AL$102,MATCH(G$7&amp;"",'Inputs (2)'!$D$2:$AL$2,0)),"")</f>
        <v/>
      </c>
      <c r="H80" s="270" t="str">
        <f>IF(COUNT(D80:G80)=4,SUM(D80:G80),"")</f>
        <v/>
      </c>
      <c r="I80" s="269">
        <f>IFERROR(INDEX('Inputs (2)'!$D$102:$AL$102,MATCH(I$7&amp;"",'Inputs (2)'!$D$2:$AL$2,0)),"")</f>
        <v>2.841</v>
      </c>
      <c r="J80" s="269">
        <f>IFERROR(INDEX('Inputs (2)'!$D$102:$AL$102,MATCH(J$7&amp;"",'Inputs (2)'!$D$2:$AL$2,0)),"")</f>
        <v>2.895</v>
      </c>
      <c r="K80" s="269">
        <f>IFERROR(INDEX('Inputs (2)'!$D$102:$AL$102,MATCH(K$7&amp;"",'Inputs (2)'!$D$2:$AL$2,0)),"")</f>
        <v>5.581</v>
      </c>
      <c r="L80" s="269">
        <f>IFERROR(INDEX('Inputs (2)'!$D$102:$AL$102,MATCH(L$7&amp;"",'Inputs (2)'!$D$2:$AL$2,0)),"")</f>
        <v>3.284</v>
      </c>
      <c r="M80" s="270">
        <f>IF(COUNT(I80:L80)=4,SUM(I80:L80),"")</f>
        <v>14.601</v>
      </c>
      <c r="N80" s="269">
        <f>IFERROR(INDEX('Inputs (2)'!$D$102:$AL$102,MATCH(N$7&amp;"",'Inputs (2)'!$D$2:$AL$2,0)),"")</f>
        <v>3.078</v>
      </c>
      <c r="O80" s="269">
        <f>IFERROR(INDEX('Inputs (2)'!$D$102:$AL$102,MATCH(O$7&amp;"",'Inputs (2)'!$D$2:$AL$2,0)),"")</f>
        <v>3.114</v>
      </c>
      <c r="P80" s="269">
        <f>IFERROR(INDEX('Inputs (2)'!$D$102:$AL$102,MATCH(P$7&amp;"",'Inputs (2)'!$D$2:$AL$2,0)),"")</f>
        <v>3.173</v>
      </c>
      <c r="Q80" s="269">
        <f>IFERROR(INDEX('Inputs (2)'!$D$102:$AL$102,MATCH(Q$7&amp;"",'Inputs (2)'!$D$2:$AL$2,0)),"")</f>
        <v>3.162</v>
      </c>
      <c r="R80" s="270">
        <f>IF(COUNT(N80:Q80)=4,SUM(N80:Q80),"")</f>
        <v>12.527</v>
      </c>
      <c r="S80" s="269">
        <f>IFERROR(INDEX('Inputs (2)'!$D$102:$AL$102,MATCH(S$7&amp;"",'Inputs (2)'!$D$2:$AL$2,0)),"")</f>
        <v>3.257</v>
      </c>
      <c r="T80" s="269">
        <f>IFERROR(INDEX('Inputs (2)'!$D$102:$AL$102,MATCH(T$7&amp;"",'Inputs (2)'!$D$2:$AL$2,0)),"")</f>
        <v>3.563</v>
      </c>
      <c r="U80" s="269">
        <f>IFERROR(INDEX('Inputs (2)'!$D$102:$AL$102,MATCH(U$7&amp;"",'Inputs (2)'!$D$2:$AL$2,0)),"")</f>
        <v>3.734</v>
      </c>
      <c r="V80" s="269">
        <f>IFERROR(INDEX('Inputs (2)'!$D$102:$AL$102,MATCH(V$7&amp;"",'Inputs (2)'!$D$2:$AL$2,0)),"")</f>
        <v>3.147</v>
      </c>
      <c r="W80" s="270">
        <f>IF(COUNT(S80:V80)=4,SUM(S80:V80),"")</f>
        <v>13.701</v>
      </c>
      <c r="X80" s="269">
        <f>IFERROR(INDEX('Inputs (2)'!$D$102:$AL$102,MATCH(X$7&amp;"",'Inputs (2)'!$D$2:$AL$2,0)),"")</f>
        <v>2.391</v>
      </c>
      <c r="Y80" s="269">
        <f>IFERROR(INDEX('Inputs (2)'!$D$102:$AL$102,MATCH(Y$7&amp;"",'Inputs (2)'!$D$2:$AL$2,0)),"")</f>
        <v>1.558</v>
      </c>
      <c r="Z80" s="269">
        <f>IFERROR(INDEX('Inputs (2)'!$D$102:$AL$102,MATCH(Z$7&amp;"",'Inputs (2)'!$D$2:$AL$2,0)),"")</f>
        <v>1.996</v>
      </c>
      <c r="AA80" s="269">
        <f>IFERROR(INDEX('Inputs (2)'!$D$102:$AL$102,MATCH(AA$7&amp;"",'Inputs (2)'!$D$2:$AL$2,0)),"")</f>
        <v>4.753</v>
      </c>
      <c r="AB80" s="270">
        <f>IF(COUNT(X80:AA80)=4,SUM(X80:AA80),"")</f>
        <v>10.698</v>
      </c>
      <c r="AC80" s="269">
        <f>IFERROR(INDEX('Inputs (2)'!$D$102:$AL$102,MATCH(AC$7&amp;"",'Inputs (2)'!$D$2:$AL$2,0)),"")</f>
        <v>2.356</v>
      </c>
      <c r="AD80" s="269">
        <f>IFERROR(INDEX('Inputs (2)'!$D$102:$AL$102,MATCH(AD$7&amp;"",'Inputs (2)'!$D$2:$AL$2,0)),"")</f>
        <v>3.034</v>
      </c>
      <c r="AE80" s="269">
        <f>IFERROR(INDEX('Inputs (2)'!$D$102:$AL$102,MATCH(AE$7&amp;"",'Inputs (2)'!$D$2:$AL$2,0)),"")</f>
        <v>3.547</v>
      </c>
      <c r="AF80" s="269">
        <f>IFERROR(INDEX('Inputs (2)'!$D$102:$AL$102,MATCH(AF$7&amp;"",'Inputs (2)'!$D$2:$AL$2,0)),"")</f>
        <v>3.724</v>
      </c>
      <c r="AG80" s="270">
        <f>IF(COUNT(AC80:AF80)=4,SUM(AC80:AF80),"")</f>
        <v>12.661</v>
      </c>
      <c r="AH80" s="270">
        <f>IFERROR(INDEX('Inputs (2)'!$D$102:$AL$102,MATCH(AH$7&amp;"",'Inputs (2)'!$D$2:$AL$2,0)),"")</f>
        <v>2.647</v>
      </c>
      <c r="AI80" s="270">
        <f>IFERROR(INDEX('Inputs (2)'!$D$102:$AL$102,MATCH(AI$7&amp;"",'Inputs (2)'!$D$2:$AL$2,0)),"")</f>
        <v>1.287</v>
      </c>
    </row>
    <row r="81">
      <c r="C81" s="268" t="inlineStr">
        <is>
          <t xml:space="preserve">   EDV IV</t>
        </is>
      </c>
      <c r="D81" s="269" t="str">
        <f>IFERROR(INDEX('Inputs (2)'!$D$103:$AL$103,MATCH(D$7&amp;"",'Inputs (2)'!$D$2:$AL$2,0)),"")</f>
        <v/>
      </c>
      <c r="E81" s="269" t="str">
        <f>IFERROR(INDEX('Inputs (2)'!$D$103:$AL$103,MATCH(E$7&amp;"",'Inputs (2)'!$D$2:$AL$2,0)),"")</f>
        <v/>
      </c>
      <c r="F81" s="269" t="str">
        <f>IFERROR(INDEX('Inputs (2)'!$D$103:$AL$103,MATCH(F$7&amp;"",'Inputs (2)'!$D$2:$AL$2,0)),"")</f>
        <v/>
      </c>
      <c r="G81" s="269" t="str">
        <f>IFERROR(INDEX('Inputs (2)'!$D$103:$AL$103,MATCH(G$7&amp;"",'Inputs (2)'!$D$2:$AL$2,0)),"")</f>
        <v/>
      </c>
      <c r="H81" s="270" t="str">
        <f>IF(COUNT(D81:G81)=4,SUM(D81:G81),"")</f>
        <v/>
      </c>
      <c r="I81" s="269">
        <f>IFERROR(INDEX('Inputs (2)'!$D$103:$AL$103,MATCH(I$7&amp;"",'Inputs (2)'!$D$2:$AL$2,0)),"")</f>
        <v>4.413</v>
      </c>
      <c r="J81" s="269">
        <f>IFERROR(INDEX('Inputs (2)'!$D$103:$AL$103,MATCH(J$7&amp;"",'Inputs (2)'!$D$2:$AL$2,0)),"")</f>
        <v>4.772</v>
      </c>
      <c r="K81" s="269">
        <f>IFERROR(INDEX('Inputs (2)'!$D$103:$AL$103,MATCH(K$7&amp;"",'Inputs (2)'!$D$2:$AL$2,0)),"")</f>
        <v>7.85</v>
      </c>
      <c r="L81" s="269">
        <f>IFERROR(INDEX('Inputs (2)'!$D$103:$AL$103,MATCH(L$7&amp;"",'Inputs (2)'!$D$2:$AL$2,0)),"")</f>
        <v>5.176</v>
      </c>
      <c r="M81" s="270">
        <f>IF(COUNT(I81:L81)=4,SUM(I81:L81),"")</f>
        <v>22.211</v>
      </c>
      <c r="N81" s="269">
        <f>IFERROR(INDEX('Inputs (2)'!$D$103:$AL$103,MATCH(N$7&amp;"",'Inputs (2)'!$D$2:$AL$2,0)),"")</f>
        <v>4.988</v>
      </c>
      <c r="O81" s="269">
        <f>IFERROR(INDEX('Inputs (2)'!$D$103:$AL$103,MATCH(O$7&amp;"",'Inputs (2)'!$D$2:$AL$2,0)),"")</f>
        <v>5.05</v>
      </c>
      <c r="P81" s="269">
        <f>IFERROR(INDEX('Inputs (2)'!$D$103:$AL$103,MATCH(P$7&amp;"",'Inputs (2)'!$D$2:$AL$2,0)),"")</f>
        <v>5.131</v>
      </c>
      <c r="Q81" s="269">
        <f>IFERROR(INDEX('Inputs (2)'!$D$103:$AL$103,MATCH(Q$7&amp;"",'Inputs (2)'!$D$2:$AL$2,0)),"")</f>
        <v>5.148</v>
      </c>
      <c r="R81" s="270">
        <f>IF(COUNT(N81:Q81)=4,SUM(N81:Q81),"")</f>
        <v>20.317</v>
      </c>
      <c r="S81" s="269">
        <f>IFERROR(INDEX('Inputs (2)'!$D$103:$AL$103,MATCH(S$7&amp;"",'Inputs (2)'!$D$2:$AL$2,0)),"")</f>
        <v>4.821</v>
      </c>
      <c r="T81" s="269">
        <f>IFERROR(INDEX('Inputs (2)'!$D$103:$AL$103,MATCH(T$7&amp;"",'Inputs (2)'!$D$2:$AL$2,0)),"")</f>
        <v>4.312</v>
      </c>
      <c r="U81" s="269">
        <f>IFERROR(INDEX('Inputs (2)'!$D$103:$AL$103,MATCH(U$7&amp;"",'Inputs (2)'!$D$2:$AL$2,0)),"")</f>
        <v>5.66</v>
      </c>
      <c r="V81" s="269">
        <f>IFERROR(INDEX('Inputs (2)'!$D$103:$AL$103,MATCH(V$7&amp;"",'Inputs (2)'!$D$2:$AL$2,0)),"")</f>
        <v>4.395</v>
      </c>
      <c r="W81" s="270">
        <f>IF(COUNT(S81:V81)=4,SUM(S81:V81),"")</f>
        <v>19.188</v>
      </c>
      <c r="X81" s="269">
        <f>IFERROR(INDEX('Inputs (2)'!$D$103:$AL$103,MATCH(X$7&amp;"",'Inputs (2)'!$D$2:$AL$2,0)),"")</f>
        <v>4.192</v>
      </c>
      <c r="Y81" s="269">
        <f>IFERROR(INDEX('Inputs (2)'!$D$103:$AL$103,MATCH(Y$7&amp;"",'Inputs (2)'!$D$2:$AL$2,0)),"")</f>
        <v>2.88</v>
      </c>
      <c r="Z81" s="269">
        <f>IFERROR(INDEX('Inputs (2)'!$D$103:$AL$103,MATCH(Z$7&amp;"",'Inputs (2)'!$D$2:$AL$2,0)),"")</f>
        <v>3.121</v>
      </c>
      <c r="AA81" s="269">
        <f>IFERROR(INDEX('Inputs (2)'!$D$103:$AL$103,MATCH(AA$7&amp;"",'Inputs (2)'!$D$2:$AL$2,0)),"")</f>
        <v>7.305</v>
      </c>
      <c r="AB81" s="270">
        <f>IF(COUNT(X81:AA81)=4,SUM(X81:AA81),"")</f>
        <v>17.498</v>
      </c>
      <c r="AC81" s="269">
        <f>IFERROR(INDEX('Inputs (2)'!$D$103:$AL$103,MATCH(AC$7&amp;"",'Inputs (2)'!$D$2:$AL$2,0)),"")</f>
        <v>3.696</v>
      </c>
      <c r="AD81" s="269">
        <f>IFERROR(INDEX('Inputs (2)'!$D$103:$AL$103,MATCH(AD$7&amp;"",'Inputs (2)'!$D$2:$AL$2,0)),"")</f>
        <v>4.92</v>
      </c>
      <c r="AE81" s="269">
        <f>IFERROR(INDEX('Inputs (2)'!$D$103:$AL$103,MATCH(AE$7&amp;"",'Inputs (2)'!$D$2:$AL$2,0)),"")</f>
        <v>5.502</v>
      </c>
      <c r="AF81" s="269">
        <f>IFERROR(INDEX('Inputs (2)'!$D$103:$AL$103,MATCH(AF$7&amp;"",'Inputs (2)'!$D$2:$AL$2,0)),"")</f>
        <v>5.818</v>
      </c>
      <c r="AG81" s="270">
        <f>IF(COUNT(AC81:AF81)=4,SUM(AC81:AF81),"")</f>
        <v>19.936</v>
      </c>
      <c r="AH81" s="270">
        <f>IFERROR(INDEX('Inputs (2)'!$D$103:$AL$103,MATCH(AH$7&amp;"",'Inputs (2)'!$D$2:$AL$2,0)),"")</f>
        <v>6.551</v>
      </c>
      <c r="AI81" s="270">
        <f>IFERROR(INDEX('Inputs (2)'!$D$103:$AL$103,MATCH(AI$7&amp;"",'Inputs (2)'!$D$2:$AL$2,0)),"")</f>
        <v>2.577</v>
      </c>
    </row>
    <row r="82">
      <c r="C82" s="268" t="inlineStr">
        <is>
          <t xml:space="preserve">   EDV X</t>
        </is>
      </c>
      <c r="D82" s="269" t="str">
        <f>IFERROR(INDEX('Inputs (2)'!$D$104:$AL$104,MATCH(D$7&amp;"",'Inputs (2)'!$D$2:$AL$2,0)),"")</f>
        <v/>
      </c>
      <c r="E82" s="269" t="str">
        <f>IFERROR(INDEX('Inputs (2)'!$D$104:$AL$104,MATCH(E$7&amp;"",'Inputs (2)'!$D$2:$AL$2,0)),"")</f>
        <v/>
      </c>
      <c r="F82" s="269" t="str">
        <f>IFERROR(INDEX('Inputs (2)'!$D$104:$AL$104,MATCH(F$7&amp;"",'Inputs (2)'!$D$2:$AL$2,0)),"")</f>
        <v/>
      </c>
      <c r="G82" s="269" t="str">
        <f>IFERROR(INDEX('Inputs (2)'!$D$104:$AL$104,MATCH(G$7&amp;"",'Inputs (2)'!$D$2:$AL$2,0)),"")</f>
        <v/>
      </c>
      <c r="H82" s="270" t="str">
        <f>IF(COUNT(D82:G82)=4,SUM(D82:G82),"")</f>
        <v/>
      </c>
      <c r="I82" s="269">
        <f>IFERROR(INDEX('Inputs (2)'!$D$104:$AL$104,MATCH(I$7&amp;"",'Inputs (2)'!$D$2:$AL$2,0)),"")</f>
        <v>2.421</v>
      </c>
      <c r="J82" s="269">
        <f>IFERROR(INDEX('Inputs (2)'!$D$104:$AL$104,MATCH(J$7&amp;"",'Inputs (2)'!$D$2:$AL$2,0)),"")</f>
        <v>2.423</v>
      </c>
      <c r="K82" s="269">
        <f>IFERROR(INDEX('Inputs (2)'!$D$104:$AL$104,MATCH(K$7&amp;"",'Inputs (2)'!$D$2:$AL$2,0)),"")</f>
        <v>5.215</v>
      </c>
      <c r="L82" s="269">
        <f>IFERROR(INDEX('Inputs (2)'!$D$104:$AL$104,MATCH(L$7&amp;"",'Inputs (2)'!$D$2:$AL$2,0)),"")</f>
        <v>2.799</v>
      </c>
      <c r="M82" s="270">
        <f>IF(COUNT(I82:L82)=4,SUM(I82:L82),"")</f>
        <v>12.858</v>
      </c>
      <c r="N82" s="269">
        <f>IFERROR(INDEX('Inputs (2)'!$D$104:$AL$104,MATCH(N$7&amp;"",'Inputs (2)'!$D$2:$AL$2,0)),"")</f>
        <v>2.618</v>
      </c>
      <c r="O82" s="269">
        <f>IFERROR(INDEX('Inputs (2)'!$D$104:$AL$104,MATCH(O$7&amp;"",'Inputs (2)'!$D$2:$AL$2,0)),"")</f>
        <v>2.636</v>
      </c>
      <c r="P82" s="269">
        <f>IFERROR(INDEX('Inputs (2)'!$D$104:$AL$104,MATCH(P$7&amp;"",'Inputs (2)'!$D$2:$AL$2,0)),"")</f>
        <v>2.686</v>
      </c>
      <c r="Q82" s="269">
        <f>IFERROR(INDEX('Inputs (2)'!$D$104:$AL$104,MATCH(Q$7&amp;"",'Inputs (2)'!$D$2:$AL$2,0)),"")</f>
        <v>2.684</v>
      </c>
      <c r="R82" s="270">
        <f>IF(COUNT(N82:Q82)=4,SUM(N82:Q82),"")</f>
        <v>10.624</v>
      </c>
      <c r="S82" s="269">
        <f>IFERROR(INDEX('Inputs (2)'!$D$104:$AL$104,MATCH(S$7&amp;"",'Inputs (2)'!$D$2:$AL$2,0)),"")</f>
        <v>2.563</v>
      </c>
      <c r="T82" s="269">
        <f>IFERROR(INDEX('Inputs (2)'!$D$104:$AL$104,MATCH(T$7&amp;"",'Inputs (2)'!$D$2:$AL$2,0)),"")</f>
        <v>3.274</v>
      </c>
      <c r="U82" s="269">
        <f>IFERROR(INDEX('Inputs (2)'!$D$104:$AL$104,MATCH(U$7&amp;"",'Inputs (2)'!$D$2:$AL$2,0)),"")</f>
        <v>3.07</v>
      </c>
      <c r="V82" s="269">
        <f>IFERROR(INDEX('Inputs (2)'!$D$104:$AL$104,MATCH(V$7&amp;"",'Inputs (2)'!$D$2:$AL$2,0)),"")</f>
        <v>2.094</v>
      </c>
      <c r="W82" s="270">
        <f>IF(COUNT(S82:V82)=4,SUM(S82:V82),"")</f>
        <v>11.001</v>
      </c>
      <c r="X82" s="269">
        <f>IFERROR(INDEX('Inputs (2)'!$D$104:$AL$104,MATCH(X$7&amp;"",'Inputs (2)'!$D$2:$AL$2,0)),"")</f>
        <v>2.378</v>
      </c>
      <c r="Y82" s="269">
        <f>IFERROR(INDEX('Inputs (2)'!$D$104:$AL$104,MATCH(Y$7&amp;"",'Inputs (2)'!$D$2:$AL$2,0)),"")</f>
        <v>1.613</v>
      </c>
      <c r="Z82" s="269">
        <f>IFERROR(INDEX('Inputs (2)'!$D$104:$AL$104,MATCH(Z$7&amp;"",'Inputs (2)'!$D$2:$AL$2,0)),"")</f>
        <v>1.885</v>
      </c>
      <c r="AA82" s="269">
        <f>IFERROR(INDEX('Inputs (2)'!$D$104:$AL$104,MATCH(AA$7&amp;"",'Inputs (2)'!$D$2:$AL$2,0)),"")</f>
        <v>4.222</v>
      </c>
      <c r="AB82" s="270">
        <f>IF(COUNT(X82:AA82)=4,SUM(X82:AA82),"")</f>
        <v>10.098</v>
      </c>
      <c r="AC82" s="269">
        <f>IFERROR(INDEX('Inputs (2)'!$D$104:$AL$104,MATCH(AC$7&amp;"",'Inputs (2)'!$D$2:$AL$2,0)),"")</f>
        <v>2.059</v>
      </c>
      <c r="AD82" s="269">
        <f>IFERROR(INDEX('Inputs (2)'!$D$104:$AL$104,MATCH(AD$7&amp;"",'Inputs (2)'!$D$2:$AL$2,0)),"")</f>
        <v>2.792</v>
      </c>
      <c r="AE82" s="269">
        <f>IFERROR(INDEX('Inputs (2)'!$D$104:$AL$104,MATCH(AE$7&amp;"",'Inputs (2)'!$D$2:$AL$2,0)),"")</f>
        <v>3.245</v>
      </c>
      <c r="AF82" s="269">
        <f>IFERROR(INDEX('Inputs (2)'!$D$104:$AL$104,MATCH(AF$7&amp;"",'Inputs (2)'!$D$2:$AL$2,0)),"")</f>
        <v>3.295</v>
      </c>
      <c r="AG82" s="270">
        <f>IF(COUNT(AC82:AF82)=4,SUM(AC82:AF82),"")</f>
        <v>11.391</v>
      </c>
      <c r="AH82" s="270">
        <f>IFERROR(INDEX('Inputs (2)'!$D$104:$AL$104,MATCH(AH$7&amp;"",'Inputs (2)'!$D$2:$AL$2,0)),"")</f>
        <v>2.349</v>
      </c>
      <c r="AI82" s="270">
        <f>IFERROR(INDEX('Inputs (2)'!$D$104:$AL$104,MATCH(AI$7&amp;"",'Inputs (2)'!$D$2:$AL$2,0)),"")</f>
        <v>1.51</v>
      </c>
    </row>
    <row r="83">
      <c r="C83" s="268" t="inlineStr">
        <is>
          <t xml:space="preserve">   EAP I</t>
        </is>
      </c>
      <c r="D83" s="269" t="str">
        <f>IFERROR(INDEX('Inputs (2)'!$D$105:$AL$105,MATCH(D$7&amp;"",'Inputs (2)'!$D$2:$AL$2,0)),"")</f>
        <v/>
      </c>
      <c r="E83" s="269" t="str">
        <f>IFERROR(INDEX('Inputs (2)'!$D$105:$AL$105,MATCH(E$7&amp;"",'Inputs (2)'!$D$2:$AL$2,0)),"")</f>
        <v/>
      </c>
      <c r="F83" s="269" t="str">
        <f>IFERROR(INDEX('Inputs (2)'!$D$105:$AL$105,MATCH(F$7&amp;"",'Inputs (2)'!$D$2:$AL$2,0)),"")</f>
        <v/>
      </c>
      <c r="G83" s="269" t="str">
        <f>IFERROR(INDEX('Inputs (2)'!$D$105:$AL$105,MATCH(G$7&amp;"",'Inputs (2)'!$D$2:$AL$2,0)),"")</f>
        <v/>
      </c>
      <c r="H83" s="270" t="str">
        <f>IF(COUNT(D83:G83)=4,SUM(D83:G83),"")</f>
        <v/>
      </c>
      <c r="I83" s="269">
        <f>IFERROR(INDEX('Inputs (2)'!$D$105:$AL$105,MATCH(I$7&amp;"",'Inputs (2)'!$D$2:$AL$2,0)),"")</f>
        <v>0</v>
      </c>
      <c r="J83" s="269">
        <f>IFERROR(INDEX('Inputs (2)'!$D$105:$AL$105,MATCH(J$7&amp;"",'Inputs (2)'!$D$2:$AL$2,0)),"")</f>
        <v>0</v>
      </c>
      <c r="K83" s="269">
        <f>IFERROR(INDEX('Inputs (2)'!$D$105:$AL$105,MATCH(K$7&amp;"",'Inputs (2)'!$D$2:$AL$2,0)),"")</f>
        <v>0</v>
      </c>
      <c r="L83" s="269">
        <f>IFERROR(INDEX('Inputs (2)'!$D$105:$AL$105,MATCH(L$7&amp;"",'Inputs (2)'!$D$2:$AL$2,0)),"")</f>
        <v>0</v>
      </c>
      <c r="M83" s="270">
        <f>IF(COUNT(I83:L83)=4,SUM(I83:L83),"")</f>
        <v>0</v>
      </c>
      <c r="N83" s="269">
        <f>IFERROR(INDEX('Inputs (2)'!$D$105:$AL$105,MATCH(N$7&amp;"",'Inputs (2)'!$D$2:$AL$2,0)),"")</f>
        <v>0</v>
      </c>
      <c r="O83" s="269">
        <f>IFERROR(INDEX('Inputs (2)'!$D$105:$AL$105,MATCH(O$7&amp;"",'Inputs (2)'!$D$2:$AL$2,0)),"")</f>
        <v>0</v>
      </c>
      <c r="P83" s="269">
        <f>IFERROR(INDEX('Inputs (2)'!$D$105:$AL$105,MATCH(P$7&amp;"",'Inputs (2)'!$D$2:$AL$2,0)),"")</f>
        <v>0</v>
      </c>
      <c r="Q83" s="269">
        <f>IFERROR(INDEX('Inputs (2)'!$D$105:$AL$105,MATCH(Q$7&amp;"",'Inputs (2)'!$D$2:$AL$2,0)),"")</f>
        <v>0</v>
      </c>
      <c r="R83" s="270">
        <f>IF(COUNT(N83:Q83)=4,SUM(N83:Q83),"")</f>
        <v>0</v>
      </c>
      <c r="S83" s="269">
        <f>IFERROR(INDEX('Inputs (2)'!$D$105:$AL$105,MATCH(S$7&amp;"",'Inputs (2)'!$D$2:$AL$2,0)),"")</f>
        <v>0</v>
      </c>
      <c r="T83" s="269">
        <f>IFERROR(INDEX('Inputs (2)'!$D$105:$AL$105,MATCH(T$7&amp;"",'Inputs (2)'!$D$2:$AL$2,0)),"")</f>
        <v>0</v>
      </c>
      <c r="U83" s="269">
        <f>IFERROR(INDEX('Inputs (2)'!$D$105:$AL$105,MATCH(U$7&amp;"",'Inputs (2)'!$D$2:$AL$2,0)),"")</f>
        <v>2.631</v>
      </c>
      <c r="V83" s="269">
        <f>IFERROR(INDEX('Inputs (2)'!$D$105:$AL$105,MATCH(V$7&amp;"",'Inputs (2)'!$D$2:$AL$2,0)),"")</f>
        <v>2.721</v>
      </c>
      <c r="W83" s="270">
        <f>IF(COUNT(S83:V83)=4,SUM(S83:V83),"")</f>
        <v>5.352</v>
      </c>
      <c r="X83" s="269">
        <f>IFERROR(INDEX('Inputs (2)'!$D$105:$AL$105,MATCH(X$7&amp;"",'Inputs (2)'!$D$2:$AL$2,0)),"")</f>
        <v>4.04</v>
      </c>
      <c r="Y83" s="269">
        <f>IFERROR(INDEX('Inputs (2)'!$D$105:$AL$105,MATCH(Y$7&amp;"",'Inputs (2)'!$D$2:$AL$2,0)),"")</f>
        <v>4.359</v>
      </c>
      <c r="Z83" s="269">
        <f>IFERROR(INDEX('Inputs (2)'!$D$105:$AL$105,MATCH(Z$7&amp;"",'Inputs (2)'!$D$2:$AL$2,0)),"")</f>
        <v>6.748</v>
      </c>
      <c r="AA83" s="269">
        <f>IFERROR(INDEX('Inputs (2)'!$D$105:$AL$105,MATCH(AA$7&amp;"",'Inputs (2)'!$D$2:$AL$2,0)),"")</f>
        <v>5.317</v>
      </c>
      <c r="AB83" s="270">
        <f>IF(COUNT(X83:AA83)=4,SUM(X83:AA83),"")</f>
        <v>20.464</v>
      </c>
      <c r="AC83" s="269">
        <f>IFERROR(INDEX('Inputs (2)'!$D$105:$AL$105,MATCH(AC$7&amp;"",'Inputs (2)'!$D$2:$AL$2,0)),"")</f>
        <v>4.107</v>
      </c>
      <c r="AD83" s="269">
        <f>IFERROR(INDEX('Inputs (2)'!$D$105:$AL$105,MATCH(AD$7&amp;"",'Inputs (2)'!$D$2:$AL$2,0)),"")</f>
        <v>4.524</v>
      </c>
      <c r="AE83" s="269">
        <f>IFERROR(INDEX('Inputs (2)'!$D$105:$AL$105,MATCH(AE$7&amp;"",'Inputs (2)'!$D$2:$AL$2,0)),"")</f>
        <v>7.945</v>
      </c>
      <c r="AF83" s="269">
        <f>IFERROR(INDEX('Inputs (2)'!$D$105:$AL$105,MATCH(AF$7&amp;"",'Inputs (2)'!$D$2:$AL$2,0)),"")</f>
        <v>8.206</v>
      </c>
      <c r="AG83" s="270">
        <f>IF(COUNT(AC83:AF83)=4,SUM(AC83:AF83),"")</f>
        <v>24.782</v>
      </c>
      <c r="AH83" s="270">
        <f>IFERROR(INDEX('Inputs (2)'!$D$105:$AL$105,MATCH(AH$7&amp;"",'Inputs (2)'!$D$2:$AL$2,0)),"")</f>
        <v>5.473</v>
      </c>
      <c r="AI83" s="270">
        <f>IFERROR(INDEX('Inputs (2)'!$D$105:$AL$105,MATCH(AI$7&amp;"",'Inputs (2)'!$D$2:$AL$2,0)),"")</f>
        <v>5.461</v>
      </c>
    </row>
    <row r="84">
      <c r="C84" s="268" t="inlineStr">
        <is>
          <t xml:space="preserve">   EAP II</t>
        </is>
      </c>
      <c r="D84" s="269" t="str">
        <f>IFERROR(INDEX('Inputs (2)'!$D$106:$AL$106,MATCH(D$7&amp;"",'Inputs (2)'!$D$2:$AL$2,0)),"")</f>
        <v/>
      </c>
      <c r="E84" s="269" t="str">
        <f>IFERROR(INDEX('Inputs (2)'!$D$106:$AL$106,MATCH(E$7&amp;"",'Inputs (2)'!$D$2:$AL$2,0)),"")</f>
        <v/>
      </c>
      <c r="F84" s="269" t="str">
        <f>IFERROR(INDEX('Inputs (2)'!$D$106:$AL$106,MATCH(F$7&amp;"",'Inputs (2)'!$D$2:$AL$2,0)),"")</f>
        <v/>
      </c>
      <c r="G84" s="269" t="str">
        <f>IFERROR(INDEX('Inputs (2)'!$D$106:$AL$106,MATCH(G$7&amp;"",'Inputs (2)'!$D$2:$AL$2,0)),"")</f>
        <v/>
      </c>
      <c r="H84" s="270" t="str">
        <f>IF(COUNT(D84:G84)=4,SUM(D84:G84),"")</f>
        <v/>
      </c>
      <c r="I84" s="269">
        <f>IFERROR(INDEX('Inputs (2)'!$D$106:$AL$106,MATCH(I$7&amp;"",'Inputs (2)'!$D$2:$AL$2,0)),"")</f>
        <v>0</v>
      </c>
      <c r="J84" s="269">
        <f>IFERROR(INDEX('Inputs (2)'!$D$106:$AL$106,MATCH(J$7&amp;"",'Inputs (2)'!$D$2:$AL$2,0)),"")</f>
        <v>0</v>
      </c>
      <c r="K84" s="269">
        <f>IFERROR(INDEX('Inputs (2)'!$D$106:$AL$106,MATCH(K$7&amp;"",'Inputs (2)'!$D$2:$AL$2,0)),"")</f>
        <v>0</v>
      </c>
      <c r="L84" s="269">
        <f>IFERROR(INDEX('Inputs (2)'!$D$106:$AL$106,MATCH(L$7&amp;"",'Inputs (2)'!$D$2:$AL$2,0)),"")</f>
        <v>0</v>
      </c>
      <c r="M84" s="270">
        <f>IF(COUNT(I84:L84)=4,SUM(I84:L84),"")</f>
        <v>0</v>
      </c>
      <c r="N84" s="269">
        <f>IFERROR(INDEX('Inputs (2)'!$D$106:$AL$106,MATCH(N$7&amp;"",'Inputs (2)'!$D$2:$AL$2,0)),"")</f>
        <v>0</v>
      </c>
      <c r="O84" s="269">
        <f>IFERROR(INDEX('Inputs (2)'!$D$106:$AL$106,MATCH(O$7&amp;"",'Inputs (2)'!$D$2:$AL$2,0)),"")</f>
        <v>0</v>
      </c>
      <c r="P84" s="269">
        <f>IFERROR(INDEX('Inputs (2)'!$D$106:$AL$106,MATCH(P$7&amp;"",'Inputs (2)'!$D$2:$AL$2,0)),"")</f>
        <v>0</v>
      </c>
      <c r="Q84" s="269">
        <f>IFERROR(INDEX('Inputs (2)'!$D$106:$AL$106,MATCH(Q$7&amp;"",'Inputs (2)'!$D$2:$AL$2,0)),"")</f>
        <v>0</v>
      </c>
      <c r="R84" s="270">
        <f>IF(COUNT(N84:Q84)=4,SUM(N84:Q84),"")</f>
        <v>0</v>
      </c>
      <c r="S84" s="269">
        <f>IFERROR(INDEX('Inputs (2)'!$D$106:$AL$106,MATCH(S$7&amp;"",'Inputs (2)'!$D$2:$AL$2,0)),"")</f>
        <v>0</v>
      </c>
      <c r="T84" s="269">
        <f>IFERROR(INDEX('Inputs (2)'!$D$106:$AL$106,MATCH(T$7&amp;"",'Inputs (2)'!$D$2:$AL$2,0)),"")</f>
        <v>0</v>
      </c>
      <c r="U84" s="269">
        <f>IFERROR(INDEX('Inputs (2)'!$D$106:$AL$106,MATCH(U$7&amp;"",'Inputs (2)'!$D$2:$AL$2,0)),"")</f>
        <v>1.492</v>
      </c>
      <c r="V84" s="269">
        <f>IFERROR(INDEX('Inputs (2)'!$D$106:$AL$106,MATCH(V$7&amp;"",'Inputs (2)'!$D$2:$AL$2,0)),"")</f>
        <v>5.126</v>
      </c>
      <c r="W84" s="270">
        <f>IF(COUNT(S84:V84)=4,SUM(S84:V84),"")</f>
        <v>6.618</v>
      </c>
      <c r="X84" s="269">
        <f>IFERROR(INDEX('Inputs (2)'!$D$106:$AL$106,MATCH(X$7&amp;"",'Inputs (2)'!$D$2:$AL$2,0)),"")</f>
        <v>7.639</v>
      </c>
      <c r="Y84" s="269">
        <f>IFERROR(INDEX('Inputs (2)'!$D$106:$AL$106,MATCH(Y$7&amp;"",'Inputs (2)'!$D$2:$AL$2,0)),"")</f>
        <v>8.083</v>
      </c>
      <c r="Z84" s="269">
        <f>IFERROR(INDEX('Inputs (2)'!$D$106:$AL$106,MATCH(Z$7&amp;"",'Inputs (2)'!$D$2:$AL$2,0)),"")</f>
        <v>10.526</v>
      </c>
      <c r="AA84" s="269">
        <f>IFERROR(INDEX('Inputs (2)'!$D$106:$AL$106,MATCH(AA$7&amp;"",'Inputs (2)'!$D$2:$AL$2,0)),"")</f>
        <v>7.265</v>
      </c>
      <c r="AB84" s="270">
        <f>IF(COUNT(X84:AA84)=4,SUM(X84:AA84),"")</f>
        <v>33.513</v>
      </c>
      <c r="AC84" s="269">
        <f>IFERROR(INDEX('Inputs (2)'!$D$106:$AL$106,MATCH(AC$7&amp;"",'Inputs (2)'!$D$2:$AL$2,0)),"")</f>
        <v>8.644</v>
      </c>
      <c r="AD84" s="269">
        <f>IFERROR(INDEX('Inputs (2)'!$D$106:$AL$106,MATCH(AD$7&amp;"",'Inputs (2)'!$D$2:$AL$2,0)),"")</f>
        <v>8.718</v>
      </c>
      <c r="AE84" s="269">
        <f>IFERROR(INDEX('Inputs (2)'!$D$106:$AL$106,MATCH(AE$7&amp;"",'Inputs (2)'!$D$2:$AL$2,0)),"")</f>
        <v>9.766</v>
      </c>
      <c r="AF84" s="269">
        <f>IFERROR(INDEX('Inputs (2)'!$D$106:$AL$106,MATCH(AF$7&amp;"",'Inputs (2)'!$D$2:$AL$2,0)),"")</f>
        <v>9.349</v>
      </c>
      <c r="AG84" s="270">
        <f>IF(COUNT(AC84:AF84)=4,SUM(AC84:AF84),"")</f>
        <v>36.477</v>
      </c>
      <c r="AH84" s="270">
        <f>IFERROR(INDEX('Inputs (2)'!$D$106:$AL$106,MATCH(AH$7&amp;"",'Inputs (2)'!$D$2:$AL$2,0)),"")</f>
        <v>15.151</v>
      </c>
      <c r="AI84" s="270">
        <f>IFERROR(INDEX('Inputs (2)'!$D$106:$AL$106,MATCH(AI$7&amp;"",'Inputs (2)'!$D$2:$AL$2,0)),"")</f>
        <v>15.028</v>
      </c>
    </row>
    <row r="85">
      <c r="C85" s="268" t="inlineStr">
        <is>
          <t xml:space="preserve">   EAP IV</t>
        </is>
      </c>
      <c r="D85" s="269" t="str">
        <f>IFERROR(INDEX('Inputs (2)'!$D$107:$AL$107,MATCH(D$7&amp;"",'Inputs (2)'!$D$2:$AL$2,0)),"")</f>
        <v/>
      </c>
      <c r="E85" s="269" t="str">
        <f>IFERROR(INDEX('Inputs (2)'!$D$107:$AL$107,MATCH(E$7&amp;"",'Inputs (2)'!$D$2:$AL$2,0)),"")</f>
        <v/>
      </c>
      <c r="F85" s="269" t="str">
        <f>IFERROR(INDEX('Inputs (2)'!$D$107:$AL$107,MATCH(F$7&amp;"",'Inputs (2)'!$D$2:$AL$2,0)),"")</f>
        <v/>
      </c>
      <c r="G85" s="269" t="str">
        <f>IFERROR(INDEX('Inputs (2)'!$D$107:$AL$107,MATCH(G$7&amp;"",'Inputs (2)'!$D$2:$AL$2,0)),"")</f>
        <v/>
      </c>
      <c r="H85" s="270" t="str">
        <f>IF(COUNT(D85:G85)=4,SUM(D85:G85),"")</f>
        <v/>
      </c>
      <c r="I85" s="269">
        <f>IFERROR(INDEX('Inputs (2)'!$D$107:$AL$107,MATCH(I$7&amp;"",'Inputs (2)'!$D$2:$AL$2,0)),"")</f>
        <v>0</v>
      </c>
      <c r="J85" s="269">
        <f>IFERROR(INDEX('Inputs (2)'!$D$107:$AL$107,MATCH(J$7&amp;"",'Inputs (2)'!$D$2:$AL$2,0)),"")</f>
        <v>0</v>
      </c>
      <c r="K85" s="269">
        <f>IFERROR(INDEX('Inputs (2)'!$D$107:$AL$107,MATCH(K$7&amp;"",'Inputs (2)'!$D$2:$AL$2,0)),"")</f>
        <v>0</v>
      </c>
      <c r="L85" s="269">
        <f>IFERROR(INDEX('Inputs (2)'!$D$107:$AL$107,MATCH(L$7&amp;"",'Inputs (2)'!$D$2:$AL$2,0)),"")</f>
        <v>0</v>
      </c>
      <c r="M85" s="270">
        <f>IF(COUNT(I85:L85)=4,SUM(I85:L85),"")</f>
        <v>0</v>
      </c>
      <c r="N85" s="269">
        <f>IFERROR(INDEX('Inputs (2)'!$D$107:$AL$107,MATCH(N$7&amp;"",'Inputs (2)'!$D$2:$AL$2,0)),"")</f>
        <v>0</v>
      </c>
      <c r="O85" s="269">
        <f>IFERROR(INDEX('Inputs (2)'!$D$107:$AL$107,MATCH(O$7&amp;"",'Inputs (2)'!$D$2:$AL$2,0)),"")</f>
        <v>0</v>
      </c>
      <c r="P85" s="269">
        <f>IFERROR(INDEX('Inputs (2)'!$D$107:$AL$107,MATCH(P$7&amp;"",'Inputs (2)'!$D$2:$AL$2,0)),"")</f>
        <v>0</v>
      </c>
      <c r="Q85" s="269">
        <f>IFERROR(INDEX('Inputs (2)'!$D$107:$AL$107,MATCH(Q$7&amp;"",'Inputs (2)'!$D$2:$AL$2,0)),"")</f>
        <v>0</v>
      </c>
      <c r="R85" s="270">
        <f>IF(COUNT(N85:Q85)=4,SUM(N85:Q85),"")</f>
        <v>0</v>
      </c>
      <c r="S85" s="269">
        <f>IFERROR(INDEX('Inputs (2)'!$D$107:$AL$107,MATCH(S$7&amp;"",'Inputs (2)'!$D$2:$AL$2,0)),"")</f>
        <v>0</v>
      </c>
      <c r="T85" s="269">
        <f>IFERROR(INDEX('Inputs (2)'!$D$107:$AL$107,MATCH(T$7&amp;"",'Inputs (2)'!$D$2:$AL$2,0)),"")</f>
        <v>0</v>
      </c>
      <c r="U85" s="269">
        <f>IFERROR(INDEX('Inputs (2)'!$D$107:$AL$107,MATCH(U$7&amp;"",'Inputs (2)'!$D$2:$AL$2,0)),"")</f>
        <v>0</v>
      </c>
      <c r="V85" s="269">
        <f>IFERROR(INDEX('Inputs (2)'!$D$107:$AL$107,MATCH(V$7&amp;"",'Inputs (2)'!$D$2:$AL$2,0)),"")</f>
        <v>0</v>
      </c>
      <c r="W85" s="270">
        <f>IF(COUNT(S85:V85)=4,SUM(S85:V85),"")</f>
        <v>0</v>
      </c>
      <c r="X85" s="269">
        <f>IFERROR(INDEX('Inputs (2)'!$D$107:$AL$107,MATCH(X$7&amp;"",'Inputs (2)'!$D$2:$AL$2,0)),"")</f>
        <v>0</v>
      </c>
      <c r="Y85" s="269">
        <f>IFERROR(INDEX('Inputs (2)'!$D$107:$AL$107,MATCH(Y$7&amp;"",'Inputs (2)'!$D$2:$AL$2,0)),"")</f>
        <v>0</v>
      </c>
      <c r="Z85" s="269">
        <f>IFERROR(INDEX('Inputs (2)'!$D$107:$AL$107,MATCH(Z$7&amp;"",'Inputs (2)'!$D$2:$AL$2,0)),"")</f>
        <v>0</v>
      </c>
      <c r="AA85" s="269">
        <f>IFERROR(INDEX('Inputs (2)'!$D$107:$AL$107,MATCH(AA$7&amp;"",'Inputs (2)'!$D$2:$AL$2,0)),"")</f>
        <v>0</v>
      </c>
      <c r="AB85" s="270">
        <f>IF(COUNT(X85:AA85)=4,SUM(X85:AA85),"")</f>
        <v>0</v>
      </c>
      <c r="AC85" s="269">
        <f>IFERROR(INDEX('Inputs (2)'!$D$107:$AL$107,MATCH(AC$7&amp;"",'Inputs (2)'!$D$2:$AL$2,0)),"")</f>
        <v>0</v>
      </c>
      <c r="AD85" s="269">
        <f>IFERROR(INDEX('Inputs (2)'!$D$107:$AL$107,MATCH(AD$7&amp;"",'Inputs (2)'!$D$2:$AL$2,0)),"")</f>
        <v>0</v>
      </c>
      <c r="AE85" s="269">
        <f>IFERROR(INDEX('Inputs (2)'!$D$107:$AL$107,MATCH(AE$7&amp;"",'Inputs (2)'!$D$2:$AL$2,0)),"")</f>
        <v>0</v>
      </c>
      <c r="AF85" s="269">
        <f>IFERROR(INDEX('Inputs (2)'!$D$107:$AL$107,MATCH(AF$7&amp;"",'Inputs (2)'!$D$2:$AL$2,0)),"")</f>
        <v>13.379</v>
      </c>
      <c r="AG85" s="270">
        <f>IF(COUNT(AC85:AF85)=4,SUM(AC85:AF85),"")</f>
        <v>13.379</v>
      </c>
      <c r="AH85" s="270">
        <f>IFERROR(INDEX('Inputs (2)'!$D$107:$AL$107,MATCH(AH$7&amp;"",'Inputs (2)'!$D$2:$AL$2,0)),"")</f>
        <v>0</v>
      </c>
      <c r="AI85" s="270">
        <f>IFERROR(INDEX('Inputs (2)'!$D$107:$AL$107,MATCH(AI$7&amp;"",'Inputs (2)'!$D$2:$AL$2,0)),"")</f>
        <v>0</v>
      </c>
    </row>
    <row r="86">
      <c r="C86" s="268" t="inlineStr">
        <is>
          <t xml:space="preserve">   UFV Pitombeira</t>
        </is>
      </c>
      <c r="D86" s="269" t="str">
        <f>IFERROR(INDEX('Inputs (2)'!$D$108:$AL$108,MATCH(D$7&amp;"",'Inputs (2)'!$D$2:$AL$2,0)),"")</f>
        <v/>
      </c>
      <c r="E86" s="269" t="str">
        <f>IFERROR(INDEX('Inputs (2)'!$D$108:$AL$108,MATCH(E$7&amp;"",'Inputs (2)'!$D$2:$AL$2,0)),"")</f>
        <v/>
      </c>
      <c r="F86" s="269" t="str">
        <f>IFERROR(INDEX('Inputs (2)'!$D$108:$AL$108,MATCH(F$7&amp;"",'Inputs (2)'!$D$2:$AL$2,0)),"")</f>
        <v/>
      </c>
      <c r="G86" s="269" t="str">
        <f>IFERROR(INDEX('Inputs (2)'!$D$108:$AL$108,MATCH(G$7&amp;"",'Inputs (2)'!$D$2:$AL$2,0)),"")</f>
        <v/>
      </c>
      <c r="H86" s="270" t="str">
        <f>IF(COUNT(D86:G86)=4,SUM(D86:G86),"")</f>
        <v/>
      </c>
      <c r="I86" s="269" t="str">
        <f>IFERROR(INDEX('Inputs (2)'!$D$108:$AL$108,MATCH(I$7&amp;"",'Inputs (2)'!$D$2:$AL$2,0)),"")</f>
        <v/>
      </c>
      <c r="J86" s="269" t="str">
        <f>IFERROR(INDEX('Inputs (2)'!$D$108:$AL$108,MATCH(J$7&amp;"",'Inputs (2)'!$D$2:$AL$2,0)),"")</f>
        <v/>
      </c>
      <c r="K86" s="269" t="str">
        <f>IFERROR(INDEX('Inputs (2)'!$D$108:$AL$108,MATCH(K$7&amp;"",'Inputs (2)'!$D$2:$AL$2,0)),"")</f>
        <v/>
      </c>
      <c r="L86" s="269">
        <f>IFERROR(INDEX('Inputs (2)'!$D$108:$AL$108,MATCH(L$7&amp;"",'Inputs (2)'!$D$2:$AL$2,0)),"")</f>
        <v>0</v>
      </c>
      <c r="M86" s="270" t="str">
        <f>IF(COUNT(I86:L86)=4,SUM(I86:L86),"")</f>
        <v/>
      </c>
      <c r="N86" s="269">
        <f>IFERROR(INDEX('Inputs (2)'!$D$108:$AL$108,MATCH(N$7&amp;"",'Inputs (2)'!$D$2:$AL$2,0)),"")</f>
        <v>0</v>
      </c>
      <c r="O86" s="269">
        <f>IFERROR(INDEX('Inputs (2)'!$D$108:$AL$108,MATCH(O$7&amp;"",'Inputs (2)'!$D$2:$AL$2,0)),"")</f>
        <v>0</v>
      </c>
      <c r="P86" s="269">
        <f>IFERROR(INDEX('Inputs (2)'!$D$108:$AL$108,MATCH(P$7&amp;"",'Inputs (2)'!$D$2:$AL$2,0)),"")</f>
        <v>0</v>
      </c>
      <c r="Q86" s="269">
        <f>IFERROR(INDEX('Inputs (2)'!$D$108:$AL$108,MATCH(Q$7&amp;"",'Inputs (2)'!$D$2:$AL$2,0)),"")</f>
        <v>0</v>
      </c>
      <c r="R86" s="270">
        <f>IF(COUNT(N86:Q86)=4,SUM(N86:Q86),"")</f>
        <v>0</v>
      </c>
      <c r="S86" s="269">
        <f>IFERROR(INDEX('Inputs (2)'!$D$108:$AL$108,MATCH(S$7&amp;"",'Inputs (2)'!$D$2:$AL$2,0)),"")</f>
        <v>0</v>
      </c>
      <c r="T86" s="269">
        <f>IFERROR(INDEX('Inputs (2)'!$D$108:$AL$108,MATCH(T$7&amp;"",'Inputs (2)'!$D$2:$AL$2,0)),"")</f>
        <v>0</v>
      </c>
      <c r="U86" s="269">
        <f>IFERROR(INDEX('Inputs (2)'!$D$108:$AL$108,MATCH(U$7&amp;"",'Inputs (2)'!$D$2:$AL$2,0)),"")</f>
        <v>0</v>
      </c>
      <c r="V86" s="269">
        <f>IFERROR(INDEX('Inputs (2)'!$D$108:$AL$108,MATCH(V$7&amp;"",'Inputs (2)'!$D$2:$AL$2,0)),"")</f>
        <v>0.046</v>
      </c>
      <c r="W86" s="270">
        <f>IF(COUNT(S86:V86)=4,SUM(S86:V86),"")</f>
        <v>0.046</v>
      </c>
      <c r="X86" s="269">
        <f>IFERROR(INDEX('Inputs (2)'!$D$108:$AL$108,MATCH(X$7&amp;"",'Inputs (2)'!$D$2:$AL$2,0)),"")</f>
        <v>1.68</v>
      </c>
      <c r="Y86" s="269">
        <f>IFERROR(INDEX('Inputs (2)'!$D$108:$AL$108,MATCH(Y$7&amp;"",'Inputs (2)'!$D$2:$AL$2,0)),"")</f>
        <v>1.922</v>
      </c>
      <c r="Z86" s="269">
        <f>IFERROR(INDEX('Inputs (2)'!$D$108:$AL$108,MATCH(Z$7&amp;"",'Inputs (2)'!$D$2:$AL$2,0)),"")</f>
        <v>5.14</v>
      </c>
      <c r="AA86" s="269">
        <f>IFERROR(INDEX('Inputs (2)'!$D$108:$AL$108,MATCH(AA$7&amp;"",'Inputs (2)'!$D$2:$AL$2,0)),"")</f>
        <v>6.823</v>
      </c>
      <c r="AB86" s="270">
        <f>IF(COUNT(X86:AA86)=4,SUM(X86:AA86),"")</f>
        <v>15.565</v>
      </c>
      <c r="AC86" s="269">
        <f>IFERROR(INDEX('Inputs (2)'!$D$108:$AL$108,MATCH(AC$7&amp;"",'Inputs (2)'!$D$2:$AL$2,0)),"")</f>
        <v>5.728</v>
      </c>
      <c r="AD86" s="269">
        <f>IFERROR(INDEX('Inputs (2)'!$D$108:$AL$108,MATCH(AD$7&amp;"",'Inputs (2)'!$D$2:$AL$2,0)),"")</f>
        <v>6.613</v>
      </c>
      <c r="AE86" s="269">
        <f>IFERROR(INDEX('Inputs (2)'!$D$108:$AL$108,MATCH(AE$7&amp;"",'Inputs (2)'!$D$2:$AL$2,0)),"")</f>
        <v>9.452</v>
      </c>
      <c r="AF86" s="269">
        <f>IFERROR(INDEX('Inputs (2)'!$D$108:$AL$108,MATCH(AF$7&amp;"",'Inputs (2)'!$D$2:$AL$2,0)),"")</f>
        <v>12.013</v>
      </c>
      <c r="AG86" s="270">
        <f>IF(COUNT(AC86:AF86)=4,SUM(AC86:AF86),"")</f>
        <v>33.806</v>
      </c>
      <c r="AH86" s="270">
        <f>IFERROR(INDEX('Inputs (2)'!$D$108:$AL$108,MATCH(AH$7&amp;"",'Inputs (2)'!$D$2:$AL$2,0)),"")</f>
        <v>12.872</v>
      </c>
      <c r="AI86" s="270">
        <f>IFERROR(INDEX('Inputs (2)'!$D$108:$AL$108,MATCH(AI$7&amp;"",'Inputs (2)'!$D$2:$AL$2,0)),"")</f>
        <v>9.481</v>
      </c>
    </row>
    <row r="87">
      <c r="C87" s="271" t="inlineStr">
        <is>
          <t>Soma das usinas (100%)</t>
        </is>
      </c>
      <c r="D87" s="269" t="str">
        <f>IF(COUNT(D70:D86)=0,"",SUM(D70:D86))</f>
        <v/>
      </c>
      <c r="E87" s="269" t="str">
        <f>IF(COUNT(E70:E86)=0,"",SUM(E70:E86))</f>
        <v/>
      </c>
      <c r="F87" s="269" t="str">
        <f>IF(COUNT(F70:F86)=0,"",SUM(F70:F86))</f>
        <v/>
      </c>
      <c r="G87" s="269" t="str">
        <f>IF(COUNT(G70:G86)=0,"",SUM(G70:G86))</f>
        <v/>
      </c>
      <c r="H87" s="270" t="str">
        <f>IF(COUNT(D87:G87)=4,SUM(D87:G87),"")</f>
        <v/>
      </c>
      <c r="I87" s="269">
        <f>IF(COUNT(I70:I86)=0,"",SUM(I70:I86))</f>
        <v>170.45</v>
      </c>
      <c r="J87" s="269">
        <f>IF(COUNT(J70:J86)=0,"",SUM(J70:J86))</f>
        <v>173.925</v>
      </c>
      <c r="K87" s="269">
        <f>IF(COUNT(K70:K86)=0,"",SUM(K70:K86))</f>
        <v>210.303</v>
      </c>
      <c r="L87" s="269">
        <f>IF(COUNT(L70:L86)=0,"",SUM(L70:L86))</f>
        <v>219.045</v>
      </c>
      <c r="M87" s="270">
        <f>IF(COUNT(I87:L87)=4,SUM(I87:L87),"")</f>
        <v>773.723</v>
      </c>
      <c r="N87" s="269">
        <f>IF(COUNT(N70:N86)=0,"",SUM(N70:N86))</f>
        <v>165.063</v>
      </c>
      <c r="O87" s="269">
        <f>IF(COUNT(O70:O86)=0,"",SUM(O70:O86))</f>
        <v>156.745</v>
      </c>
      <c r="P87" s="269">
        <f>IF(COUNT(P70:P86)=0,"",SUM(P70:P86))</f>
        <v>162.616</v>
      </c>
      <c r="Q87" s="269">
        <f>IF(COUNT(Q70:Q86)=0,"",SUM(Q70:Q86))</f>
        <v>177.027</v>
      </c>
      <c r="R87" s="270">
        <f>IF(COUNT(N87:Q87)=4,SUM(N87:Q87),"")</f>
        <v>661.451</v>
      </c>
      <c r="S87" s="269">
        <f>IF(COUNT(S70:S86)=0,"",SUM(S70:S86))</f>
        <v>192.291</v>
      </c>
      <c r="T87" s="269">
        <f>IF(COUNT(T70:T86)=0,"",SUM(T70:T86))</f>
        <v>180.426</v>
      </c>
      <c r="U87" s="269">
        <f>IF(COUNT(U70:U86)=0,"",SUM(U70:U86))</f>
        <v>194.297</v>
      </c>
      <c r="V87" s="269">
        <f>IF(COUNT(V70:V86)=0,"",SUM(V70:V86))</f>
        <v>193.74</v>
      </c>
      <c r="W87" s="270">
        <f>IF(COUNT(S87:V87)=4,SUM(S87:V87),"")</f>
        <v>760.754</v>
      </c>
      <c r="X87" s="269">
        <f>IF(COUNT(X70:X86)=0,"",SUM(X70:X86))</f>
        <v>197.76</v>
      </c>
      <c r="Y87" s="269">
        <f>IF(COUNT(Y70:Y86)=0,"",SUM(Y70:Y86))</f>
        <v>192.053</v>
      </c>
      <c r="Z87" s="269">
        <f>IF(COUNT(Z70:Z86)=0,"",SUM(Z70:Z86))</f>
        <v>200.727</v>
      </c>
      <c r="AA87" s="269">
        <f>IF(COUNT(AA70:AA86)=0,"",SUM(AA70:AA86))</f>
        <v>259.476</v>
      </c>
      <c r="AB87" s="270">
        <f>IF(COUNT(X87:AA87)=4,SUM(X87:AA87),"")</f>
        <v>850.016</v>
      </c>
      <c r="AC87" s="269">
        <f>IF(COUNT(AC70:AC86)=0,"",SUM(AC70:AC86))</f>
        <v>237.583</v>
      </c>
      <c r="AD87" s="269">
        <f>IF(COUNT(AD70:AD86)=0,"",SUM(AD70:AD86))</f>
        <v>229.707</v>
      </c>
      <c r="AE87" s="269">
        <f>IF(COUNT(AE70:AE86)=0,"",SUM(AE70:AE86))</f>
        <v>225.821</v>
      </c>
      <c r="AF87" s="269">
        <f>IF(COUNT(AF70:AF86)=0,"",SUM(AF70:AF86))</f>
        <v>251.593</v>
      </c>
      <c r="AG87" s="270">
        <f>IF(COUNT(AC87:AF87)=4,SUM(AC87:AF87),"")</f>
        <v>944.704</v>
      </c>
      <c r="AH87" s="270">
        <f>IF(COUNT(AH70:AH86)=0,"",SUM(AH70:AH86))</f>
        <v>282.91</v>
      </c>
      <c r="AI87" s="270">
        <f>IF(COUNT(AI70:AI86)=0,"",SUM(AI70:AI86))</f>
        <v>232.19</v>
      </c>
    </row>
    <row r="88">
      <c r="C88" s="268" t="inlineStr">
        <is>
          <t>Ajuste: comercializadora e eliminacoes de venda entre empresas (diferenca)</t>
        </is>
      </c>
      <c r="D88" s="269" t="str">
        <f>IF(COUNT(D21)=0,"",D21-D87)</f>
        <v/>
      </c>
      <c r="E88" s="269" t="str">
        <f>IF(COUNT(E21)=0,"",E21-E87)</f>
        <v/>
      </c>
      <c r="F88" s="269" t="str">
        <f>IF(COUNT(F21)=0,"",F21-F87)</f>
        <v/>
      </c>
      <c r="G88" s="269" t="str">
        <f>IF(COUNT(G21)=0,"",G21-G87)</f>
        <v/>
      </c>
      <c r="H88" s="270" t="str">
        <f>IF(COUNT(D88:G88)=4,SUM(D88:G88),"")</f>
        <v/>
      </c>
      <c r="I88" s="269" t="str">
        <f>IF(COUNT(I21)=0,"",I21-I87)</f>
        <v/>
      </c>
      <c r="J88" s="269" t="str">
        <f>IF(COUNT(J21)=0,"",J21-J87)</f>
        <v/>
      </c>
      <c r="K88" s="269" t="str">
        <f>IF(COUNT(K21)=0,"",K21-K87)</f>
        <v/>
      </c>
      <c r="L88" s="269" t="str">
        <f>IF(COUNT(L21)=0,"",L21-L87)</f>
        <v/>
      </c>
      <c r="M88" s="270" t="str">
        <f>IF(COUNT(I88:L88)=4,SUM(I88:L88),"")</f>
        <v/>
      </c>
      <c r="N88" s="269" t="str">
        <f>IF(COUNT(N21)=0,"",N21-N87)</f>
        <v/>
      </c>
      <c r="O88" s="269" t="str">
        <f>IF(COUNT(O21)=0,"",O21-O87)</f>
        <v/>
      </c>
      <c r="P88" s="269" t="str">
        <f>IF(COUNT(P21)=0,"",P21-P87)</f>
        <v/>
      </c>
      <c r="Q88" s="269" t="str">
        <f>IF(COUNT(Q21)=0,"",Q21-Q87)</f>
        <v/>
      </c>
      <c r="R88" s="270" t="str">
        <f>IF(COUNT(N88:Q88)=4,SUM(N88:Q88),"")</f>
        <v/>
      </c>
      <c r="S88" s="269">
        <f>IF(COUNT(S21)=0,"",S21-S87)</f>
        <v>-0.390999999999991</v>
      </c>
      <c r="T88" s="269">
        <f>IF(COUNT(T21)=0,"",T21-T87)</f>
        <v>-0.320999999999998</v>
      </c>
      <c r="U88" s="269">
        <f>IF(COUNT(U21)=0,"",U21-U87)</f>
        <v>1.76599999999999</v>
      </c>
      <c r="V88" s="269">
        <f>IF(COUNT(V21)=0,"",V21-V87)</f>
        <v>-1.024</v>
      </c>
      <c r="W88" s="270">
        <f>IF(COUNT(S88:V88)=4,SUM(S88:V88),"")</f>
        <v>0.0300000000000011</v>
      </c>
      <c r="X88" s="269">
        <f>IF(COUNT(X21)=0,"",X21-X87)</f>
        <v>-11.417</v>
      </c>
      <c r="Y88" s="269">
        <f>IF(COUNT(Y21)=0,"",Y21-Y87)</f>
        <v>-12.218</v>
      </c>
      <c r="Z88" s="269">
        <f>IF(COUNT(Z21)=0,"",Z21-Z87)</f>
        <v>-12.892</v>
      </c>
      <c r="AA88" s="269">
        <f>IF(COUNT(AA21)=0,"",AA21-AA87)</f>
        <v>-24.555</v>
      </c>
      <c r="AB88" s="270">
        <f>IF(COUNT(X88:AA88)=4,SUM(X88:AA88),"")</f>
        <v>-61.082</v>
      </c>
      <c r="AC88" s="269">
        <f>IF(COUNT(AC21)=0,"",AC21-AC87)</f>
        <v>-13.251</v>
      </c>
      <c r="AD88" s="269">
        <f>IF(COUNT(AD21)=0,"",AD21-AD87)</f>
        <v>-9.292</v>
      </c>
      <c r="AE88" s="269">
        <f>IF(COUNT(AE21)=0,"",AE21-AE87)</f>
        <v>-17.084</v>
      </c>
      <c r="AF88" s="269">
        <f>IF(COUNT(AF21)=0,"",AF21-AF87)</f>
        <v>-39.993</v>
      </c>
      <c r="AG88" s="270">
        <f>IF(COUNT(AC88:AF88)=4,SUM(AC88:AF88),"")</f>
        <v>-79.62</v>
      </c>
      <c r="AH88" s="270">
        <f>IF(COUNT(AH21)=0,"",AH21-AH87)</f>
        <v>-24.145</v>
      </c>
      <c r="AI88" s="270">
        <f>IF(COUNT(AI21)=0,"",AI21-AI87)</f>
        <v>-19.571</v>
      </c>
    </row>
    <row r="89">
      <c r="C89" s="271" t="inlineStr">
        <is>
          <t>Geracao consolidado (fecha com o segmento)</t>
        </is>
      </c>
      <c r="D89" s="269" t="str">
        <f>IF(COUNT(D21)=0,"",D87+D88)</f>
        <v/>
      </c>
      <c r="E89" s="269" t="str">
        <f>IF(COUNT(E21)=0,"",E87+E88)</f>
        <v/>
      </c>
      <c r="F89" s="269" t="str">
        <f>IF(COUNT(F21)=0,"",F87+F88)</f>
        <v/>
      </c>
      <c r="G89" s="269" t="str">
        <f>IF(COUNT(G21)=0,"",G87+G88)</f>
        <v/>
      </c>
      <c r="H89" s="270" t="str">
        <f>IF(COUNT(D89:G89)=4,SUM(D89:G89),"")</f>
        <v/>
      </c>
      <c r="I89" s="269" t="str">
        <f>IF(COUNT(I21)=0,"",I87+I88)</f>
        <v/>
      </c>
      <c r="J89" s="269" t="str">
        <f>IF(COUNT(J21)=0,"",J87+J88)</f>
        <v/>
      </c>
      <c r="K89" s="269" t="str">
        <f>IF(COUNT(K21)=0,"",K87+K88)</f>
        <v/>
      </c>
      <c r="L89" s="269" t="str">
        <f>IF(COUNT(L21)=0,"",L87+L88)</f>
        <v/>
      </c>
      <c r="M89" s="270" t="str">
        <f>IF(COUNT(I89:L89)=4,SUM(I89:L89),"")</f>
        <v/>
      </c>
      <c r="N89" s="269" t="str">
        <f>IF(COUNT(N21)=0,"",N87+N88)</f>
        <v/>
      </c>
      <c r="O89" s="269" t="str">
        <f>IF(COUNT(O21)=0,"",O87+O88)</f>
        <v/>
      </c>
      <c r="P89" s="269" t="str">
        <f>IF(COUNT(P21)=0,"",P87+P88)</f>
        <v/>
      </c>
      <c r="Q89" s="269" t="str">
        <f>IF(COUNT(Q21)=0,"",Q87+Q88)</f>
        <v/>
      </c>
      <c r="R89" s="270" t="str">
        <f>IF(COUNT(N89:Q89)=4,SUM(N89:Q89),"")</f>
        <v/>
      </c>
      <c r="S89" s="269">
        <f>IF(COUNT(S21)=0,"",S87+S88)</f>
        <v>191.9</v>
      </c>
      <c r="T89" s="269">
        <f>IF(COUNT(T21)=0,"",T87+T88)</f>
        <v>180.105</v>
      </c>
      <c r="U89" s="269">
        <f>IF(COUNT(U21)=0,"",U87+U88)</f>
        <v>196.063</v>
      </c>
      <c r="V89" s="269">
        <f>IF(COUNT(V21)=0,"",V87+V88)</f>
        <v>192.716</v>
      </c>
      <c r="W89" s="270">
        <f>IF(COUNT(S89:V89)=4,SUM(S89:V89),"")</f>
        <v>760.784</v>
      </c>
      <c r="X89" s="269">
        <f>IF(COUNT(X21)=0,"",X87+X88)</f>
        <v>186.343</v>
      </c>
      <c r="Y89" s="269">
        <f>IF(COUNT(Y21)=0,"",Y87+Y88)</f>
        <v>179.835</v>
      </c>
      <c r="Z89" s="269">
        <f>IF(COUNT(Z21)=0,"",Z87+Z88)</f>
        <v>187.835</v>
      </c>
      <c r="AA89" s="269">
        <f>IF(COUNT(AA21)=0,"",AA87+AA88)</f>
        <v>234.921</v>
      </c>
      <c r="AB89" s="270">
        <f>IF(COUNT(X89:AA89)=4,SUM(X89:AA89),"")</f>
        <v>788.934</v>
      </c>
      <c r="AC89" s="269">
        <f>IF(COUNT(AC21)=0,"",AC87+AC88)</f>
        <v>224.332</v>
      </c>
      <c r="AD89" s="269">
        <f>IF(COUNT(AD21)=0,"",AD87+AD88)</f>
        <v>220.415</v>
      </c>
      <c r="AE89" s="269">
        <f>IF(COUNT(AE21)=0,"",AE87+AE88)</f>
        <v>208.737</v>
      </c>
      <c r="AF89" s="269">
        <f>IF(COUNT(AF21)=0,"",AF87+AF88)</f>
        <v>211.6</v>
      </c>
      <c r="AG89" s="270">
        <f>IF(COUNT(AC89:AF89)=4,SUM(AC89:AF89),"")</f>
        <v>865.084</v>
      </c>
      <c r="AH89" s="270">
        <f>IF(COUNT(AH21)=0,"",AH87+AH88)</f>
        <v>258.765</v>
      </c>
      <c r="AI89" s="270">
        <f>IF(COUNT(AI21)=0,"",AI87+AI88)</f>
        <v>212.619</v>
      </c>
    </row>
    <row r="90"/>
    <row r="91">
      <c r="C91" s="267" t="inlineStr">
        <is>
          <t>RAP ciclo 2026/2027 por SPE (R$ milhoes) - base para projetar a receita de transmissao</t>
        </is>
      </c>
      <c r="D91" s="267" t="inlineStr">
        <is>
          <t>Indexador</t>
        </is>
      </c>
      <c r="E91" s="267" t="inlineStr">
        <is>
          <t>RAP operacional</t>
        </is>
      </c>
      <c r="F91" s="267" t="inlineStr">
        <is>
          <t>RAP implantacao</t>
        </is>
      </c>
      <c r="G91" s="267" t="inlineStr">
        <is>
          <t>RAP total</t>
        </is>
      </c>
    </row>
    <row r="92">
      <c r="C92" s="268">
        <f>Inputs!H244</f>
        <v>0</v>
      </c>
      <c r="D92">
        <f>Inputs!I244</f>
        <v>0</v>
      </c>
      <c r="E92" s="274">
        <f>Inputs!J244</f>
        <v>0</v>
      </c>
      <c r="F92" s="274">
        <f>Inputs!K244</f>
        <v>0</v>
      </c>
      <c r="G92" s="274">
        <f>Inputs!L244</f>
        <v>0</v>
      </c>
    </row>
    <row r="93">
      <c r="C93" s="268">
        <f>Inputs!H245</f>
        <v>0</v>
      </c>
      <c r="D93">
        <f>Inputs!I245</f>
        <v>0</v>
      </c>
      <c r="E93" s="274">
        <f>Inputs!J245</f>
        <v>0</v>
      </c>
      <c r="F93" s="274">
        <f>Inputs!K245</f>
        <v>0</v>
      </c>
      <c r="G93" s="274">
        <f>Inputs!L245</f>
        <v>0</v>
      </c>
    </row>
    <row r="94">
      <c r="C94" s="268">
        <f>Inputs!H246</f>
        <v>0</v>
      </c>
      <c r="D94">
        <f>Inputs!I246</f>
        <v>0</v>
      </c>
      <c r="E94" s="274">
        <f>Inputs!J246</f>
        <v>0</v>
      </c>
      <c r="F94" s="274">
        <f>Inputs!K246</f>
        <v>0</v>
      </c>
      <c r="G94" s="274">
        <f>Inputs!L246</f>
        <v>0</v>
      </c>
    </row>
    <row r="95">
      <c r="C95" s="268">
        <f>Inputs!H247</f>
        <v>0</v>
      </c>
      <c r="D95">
        <f>Inputs!I247</f>
        <v>0</v>
      </c>
      <c r="E95" s="274">
        <f>Inputs!J247</f>
        <v>0</v>
      </c>
      <c r="F95" s="274">
        <f>Inputs!K247</f>
        <v>0</v>
      </c>
      <c r="G95" s="274">
        <f>Inputs!L247</f>
        <v>0</v>
      </c>
    </row>
    <row r="96">
      <c r="C96" s="268">
        <f>Inputs!H248</f>
        <v>0</v>
      </c>
      <c r="D96">
        <f>Inputs!I248</f>
        <v>0</v>
      </c>
      <c r="E96" s="274">
        <f>Inputs!J248</f>
        <v>0</v>
      </c>
      <c r="F96" s="274">
        <f>Inputs!K248</f>
        <v>0</v>
      </c>
      <c r="G96" s="274">
        <f>Inputs!L248</f>
        <v>0</v>
      </c>
    </row>
    <row r="97">
      <c r="C97" s="268">
        <f>Inputs!H249</f>
        <v>0</v>
      </c>
      <c r="D97">
        <f>Inputs!I249</f>
        <v>0</v>
      </c>
      <c r="E97" s="274">
        <f>Inputs!J249</f>
        <v>0</v>
      </c>
      <c r="F97" s="274">
        <f>Inputs!K249</f>
        <v>0</v>
      </c>
      <c r="G97" s="274">
        <f>Inputs!L249</f>
        <v>0</v>
      </c>
    </row>
    <row r="98">
      <c r="C98" s="268">
        <f>Inputs!H250</f>
        <v>0</v>
      </c>
      <c r="D98">
        <f>Inputs!I250</f>
        <v>0</v>
      </c>
      <c r="E98" s="274">
        <f>Inputs!J250</f>
        <v>0</v>
      </c>
      <c r="F98" s="274">
        <f>Inputs!K250</f>
        <v>0</v>
      </c>
      <c r="G98" s="274">
        <f>Inputs!L250</f>
        <v>0</v>
      </c>
    </row>
    <row r="99">
      <c r="C99" s="268">
        <f>Inputs!H251</f>
        <v>0</v>
      </c>
      <c r="D99">
        <f>Inputs!I251</f>
        <v>0</v>
      </c>
      <c r="E99" s="274">
        <f>Inputs!J251</f>
        <v>0</v>
      </c>
      <c r="F99" s="274">
        <f>Inputs!K251</f>
        <v>0</v>
      </c>
      <c r="G99" s="274">
        <f>Inputs!L251</f>
        <v>0</v>
      </c>
    </row>
    <row r="100">
      <c r="C100" s="268">
        <f>Inputs!H252</f>
        <v>0</v>
      </c>
      <c r="D100">
        <f>Inputs!I252</f>
        <v>0</v>
      </c>
      <c r="E100" s="274">
        <f>Inputs!J252</f>
        <v>0</v>
      </c>
      <c r="F100" s="274">
        <f>Inputs!K252</f>
        <v>0</v>
      </c>
      <c r="G100" s="274">
        <f>Inputs!L252</f>
        <v>0</v>
      </c>
    </row>
    <row r="101">
      <c r="C101" s="268">
        <f>Inputs!H253</f>
        <v>0</v>
      </c>
      <c r="D101">
        <f>Inputs!I253</f>
        <v>0</v>
      </c>
      <c r="E101" s="274">
        <f>Inputs!J253</f>
        <v>0</v>
      </c>
      <c r="F101" s="274">
        <f>Inputs!K253</f>
        <v>0</v>
      </c>
      <c r="G101" s="274">
        <f>Inputs!L253</f>
        <v>0</v>
      </c>
    </row>
    <row r="102">
      <c r="C102" s="268">
        <f>Inputs!H254</f>
        <v>0</v>
      </c>
      <c r="D102">
        <f>Inputs!I254</f>
        <v>0</v>
      </c>
      <c r="E102" s="274">
        <f>Inputs!J254</f>
        <v>0</v>
      </c>
      <c r="F102" s="274">
        <f>Inputs!K254</f>
        <v>0</v>
      </c>
      <c r="G102" s="274">
        <f>Inputs!L254</f>
        <v>0</v>
      </c>
    </row>
    <row r="103">
      <c r="C103" s="268">
        <f>Inputs!H255</f>
        <v>0</v>
      </c>
      <c r="D103">
        <f>Inputs!I255</f>
        <v>0</v>
      </c>
      <c r="E103" s="274">
        <f>Inputs!J255</f>
        <v>0</v>
      </c>
      <c r="F103" s="274">
        <f>Inputs!K255</f>
        <v>0</v>
      </c>
      <c r="G103" s="274">
        <f>Inputs!L255</f>
        <v>0</v>
      </c>
    </row>
    <row r="104">
      <c r="C104" s="268">
        <f>Inputs!H256</f>
        <v>0</v>
      </c>
      <c r="D104">
        <f>Inputs!I256</f>
        <v>0</v>
      </c>
      <c r="E104" s="274">
        <f>Inputs!J256</f>
        <v>0</v>
      </c>
      <c r="F104" s="274">
        <f>Inputs!K256</f>
        <v>0</v>
      </c>
      <c r="G104" s="274">
        <f>Inputs!L256</f>
        <v>0</v>
      </c>
    </row>
    <row r="105">
      <c r="C105" s="268">
        <f>Inputs!H257</f>
        <v>0</v>
      </c>
      <c r="D105">
        <f>Inputs!I257</f>
        <v>0</v>
      </c>
      <c r="E105" s="274">
        <f>Inputs!J257</f>
        <v>0</v>
      </c>
      <c r="F105" s="274">
        <f>Inputs!K257</f>
        <v>0</v>
      </c>
      <c r="G105" s="274">
        <f>Inputs!L257</f>
        <v>0</v>
      </c>
    </row>
    <row r="106">
      <c r="C106" s="268">
        <f>Inputs!H258</f>
        <v>0</v>
      </c>
      <c r="D106">
        <f>Inputs!I258</f>
        <v>0</v>
      </c>
      <c r="E106" s="274">
        <f>Inputs!J258</f>
        <v>0</v>
      </c>
      <c r="F106" s="274">
        <f>Inputs!K258</f>
        <v>0</v>
      </c>
      <c r="G106" s="274">
        <f>Inputs!L258</f>
        <v>0</v>
      </c>
    </row>
    <row r="107">
      <c r="C107" s="268">
        <f>Inputs!H259</f>
        <v>0</v>
      </c>
      <c r="D107">
        <f>Inputs!I259</f>
        <v>0</v>
      </c>
      <c r="E107" s="274">
        <f>Inputs!J259</f>
        <v>0</v>
      </c>
      <c r="F107" s="274">
        <f>Inputs!K259</f>
        <v>0</v>
      </c>
      <c r="G107" s="274">
        <f>Inputs!L259</f>
        <v>0</v>
      </c>
    </row>
    <row r="108">
      <c r="C108" s="268">
        <f>Inputs!H260</f>
        <v>0</v>
      </c>
      <c r="D108">
        <f>Inputs!I260</f>
        <v>0</v>
      </c>
      <c r="E108" s="274">
        <f>Inputs!J260</f>
        <v>0</v>
      </c>
      <c r="F108" s="274">
        <f>Inputs!K260</f>
        <v>0</v>
      </c>
      <c r="G108" s="274">
        <f>Inputs!L260</f>
        <v>0</v>
      </c>
    </row>
    <row r="109">
      <c r="C109" s="268">
        <f>Inputs!H261</f>
        <v>0</v>
      </c>
      <c r="D109">
        <f>Inputs!I261</f>
        <v>0</v>
      </c>
      <c r="E109" s="274">
        <f>Inputs!J261</f>
        <v>0</v>
      </c>
      <c r="F109" s="274">
        <f>Inputs!K261</f>
        <v>0</v>
      </c>
      <c r="G109" s="274">
        <f>Inputs!L261</f>
        <v>0</v>
      </c>
    </row>
    <row r="110">
      <c r="C110" s="268">
        <f>Inputs!H262</f>
        <v>0</v>
      </c>
      <c r="D110">
        <f>Inputs!I262</f>
        <v>0</v>
      </c>
      <c r="E110" s="274">
        <f>Inputs!J262</f>
        <v>0</v>
      </c>
      <c r="F110" s="274">
        <f>Inputs!K262</f>
        <v>0</v>
      </c>
      <c r="G110" s="274">
        <f>Inputs!L262</f>
        <v>0</v>
      </c>
    </row>
    <row r="111">
      <c r="C111" s="268">
        <f>Inputs!H263</f>
        <v>0</v>
      </c>
      <c r="D111">
        <f>Inputs!I263</f>
        <v>0</v>
      </c>
      <c r="E111" s="274">
        <f>Inputs!J263</f>
        <v>0</v>
      </c>
      <c r="F111" s="274">
        <f>Inputs!K263</f>
        <v>0</v>
      </c>
      <c r="G111" s="274">
        <f>Inputs!L263</f>
        <v>0</v>
      </c>
    </row>
    <row r="112">
      <c r="C112" s="268">
        <f>Inputs!H264</f>
        <v>0</v>
      </c>
      <c r="D112">
        <f>Inputs!I264</f>
        <v>0</v>
      </c>
      <c r="E112" s="274">
        <f>Inputs!J264</f>
        <v>0</v>
      </c>
      <c r="F112" s="274">
        <f>Inputs!K264</f>
        <v>0</v>
      </c>
      <c r="G112" s="274">
        <f>Inputs!L264</f>
        <v>0</v>
      </c>
    </row>
    <row r="113">
      <c r="C113" s="268">
        <f>Inputs!H265</f>
        <v>0</v>
      </c>
      <c r="D113">
        <f>Inputs!I265</f>
        <v>0</v>
      </c>
      <c r="E113" s="274">
        <f>Inputs!J265</f>
        <v>0</v>
      </c>
      <c r="F113" s="274">
        <f>Inputs!K265</f>
        <v>0</v>
      </c>
      <c r="G113" s="274">
        <f>Inputs!L265</f>
        <v>0</v>
      </c>
    </row>
    <row r="114">
      <c r="C114" s="268">
        <f>Inputs!H266</f>
        <v>0</v>
      </c>
      <c r="D114">
        <f>Inputs!I266</f>
        <v>0</v>
      </c>
      <c r="E114" s="274">
        <f>Inputs!J266</f>
        <v>0</v>
      </c>
      <c r="F114" s="274">
        <f>Inputs!K266</f>
        <v>0</v>
      </c>
      <c r="G114" s="274">
        <f>Inputs!L266</f>
        <v>0</v>
      </c>
    </row>
    <row r="115">
      <c r="C115" s="268">
        <f>Inputs!H267</f>
        <v>0</v>
      </c>
      <c r="D115">
        <f>Inputs!I267</f>
        <v>0</v>
      </c>
      <c r="E115" s="274">
        <f>Inputs!J267</f>
        <v>0</v>
      </c>
      <c r="F115" s="274">
        <f>Inputs!K267</f>
        <v>0</v>
      </c>
      <c r="G115" s="274">
        <f>Inputs!L267</f>
        <v>0</v>
      </c>
    </row>
    <row r="116">
      <c r="C116" s="268">
        <f>Inputs!H268</f>
        <v>0</v>
      </c>
      <c r="D116">
        <f>Inputs!I268</f>
        <v>0</v>
      </c>
      <c r="E116" s="274">
        <f>Inputs!J268</f>
        <v>0</v>
      </c>
      <c r="F116" s="274">
        <f>Inputs!K268</f>
        <v>0</v>
      </c>
      <c r="G116" s="274">
        <f>Inputs!L268</f>
        <v>0</v>
      </c>
    </row>
    <row r="117">
      <c r="C117" s="268">
        <f>Inputs!H269</f>
        <v>0</v>
      </c>
      <c r="D117">
        <f>Inputs!I269</f>
        <v>0</v>
      </c>
      <c r="E117" s="274">
        <f>Inputs!J269</f>
        <v>0</v>
      </c>
      <c r="F117" s="274">
        <f>Inputs!K269</f>
        <v>0</v>
      </c>
      <c r="G117" s="274">
        <f>Inputs!L269</f>
        <v>0</v>
      </c>
    </row>
    <row r="118">
      <c r="C118" s="268">
        <f>Inputs!H270</f>
        <v>0</v>
      </c>
      <c r="D118">
        <f>Inputs!I270</f>
        <v>0</v>
      </c>
      <c r="E118" s="274">
        <f>Inputs!J270</f>
        <v>0</v>
      </c>
      <c r="F118" s="274">
        <f>Inputs!K270</f>
        <v>0</v>
      </c>
      <c r="G118" s="274">
        <f>Inputs!L270</f>
        <v>0</v>
      </c>
    </row>
    <row r="119">
      <c r="C119" s="268">
        <f>Inputs!H271</f>
        <v>0</v>
      </c>
      <c r="D119">
        <f>Inputs!I271</f>
        <v>0</v>
      </c>
      <c r="E119" s="274">
        <f>Inputs!J271</f>
        <v>0</v>
      </c>
      <c r="F119" s="274">
        <f>Inputs!K271</f>
        <v>0</v>
      </c>
      <c r="G119" s="274">
        <f>Inputs!L271</f>
        <v>0</v>
      </c>
    </row>
    <row r="120">
      <c r="C120" s="268">
        <f>Inputs!H272</f>
        <v>0</v>
      </c>
      <c r="D120">
        <f>Inputs!I272</f>
        <v>0</v>
      </c>
      <c r="E120" s="274">
        <f>Inputs!J272</f>
        <v>0</v>
      </c>
      <c r="F120" s="274">
        <f>Inputs!K272</f>
        <v>0</v>
      </c>
      <c r="G120" s="274">
        <f>Inputs!L272</f>
        <v>0</v>
      </c>
    </row>
    <row r="121">
      <c r="C121" s="268">
        <f>Inputs!H273</f>
        <v>0</v>
      </c>
      <c r="D121">
        <f>Inputs!I273</f>
        <v>0</v>
      </c>
      <c r="E121" s="274">
        <f>Inputs!J273</f>
        <v>0</v>
      </c>
      <c r="F121" s="274">
        <f>Inputs!K273</f>
        <v>0</v>
      </c>
      <c r="G121" s="274">
        <f>Inputs!L273</f>
        <v>0</v>
      </c>
    </row>
    <row r="122">
      <c r="C122" s="268">
        <f>Inputs!H274</f>
        <v>0</v>
      </c>
      <c r="D122">
        <f>Inputs!I274</f>
        <v>0</v>
      </c>
      <c r="E122" s="274">
        <f>Inputs!J274</f>
        <v>0</v>
      </c>
      <c r="F122" s="274">
        <f>Inputs!K274</f>
        <v>0</v>
      </c>
      <c r="G122" s="274">
        <f>Inputs!L274</f>
        <v>0</v>
      </c>
    </row>
    <row r="123">
      <c r="C123" s="268">
        <f>Inputs!H275</f>
        <v>0</v>
      </c>
      <c r="D123">
        <f>Inputs!I275</f>
        <v>0</v>
      </c>
      <c r="E123" s="274">
        <f>Inputs!J275</f>
        <v>0</v>
      </c>
      <c r="F123" s="274">
        <f>Inputs!K275</f>
        <v>0</v>
      </c>
      <c r="G123" s="274">
        <f>Inputs!L275</f>
        <v>0</v>
      </c>
    </row>
    <row r="124">
      <c r="C124" s="268">
        <f>Inputs!H276</f>
        <v>0</v>
      </c>
      <c r="D124">
        <f>Inputs!I276</f>
        <v>0</v>
      </c>
      <c r="E124" s="274">
        <f>Inputs!J276</f>
        <v>0</v>
      </c>
      <c r="F124" s="274">
        <f>Inputs!K276</f>
        <v>0</v>
      </c>
      <c r="G124" s="274">
        <f>Inputs!L276</f>
        <v>0</v>
      </c>
    </row>
    <row r="125">
      <c r="C125" s="268">
        <f>Inputs!H277</f>
        <v>0</v>
      </c>
      <c r="D125">
        <f>Inputs!I277</f>
        <v>0</v>
      </c>
      <c r="E125" s="274">
        <f>Inputs!J277</f>
        <v>0</v>
      </c>
      <c r="F125" s="274">
        <f>Inputs!K277</f>
        <v>0</v>
      </c>
      <c r="G125" s="274">
        <f>Inputs!L277</f>
        <v>0</v>
      </c>
    </row>
    <row r="126">
      <c r="C126" s="268">
        <f>Inputs!H278</f>
        <v>0</v>
      </c>
      <c r="D126">
        <f>Inputs!I278</f>
        <v>0</v>
      </c>
      <c r="E126" s="274">
        <f>Inputs!J278</f>
        <v>0</v>
      </c>
      <c r="F126" s="274">
        <f>Inputs!K278</f>
        <v>0</v>
      </c>
      <c r="G126" s="274">
        <f>Inputs!L278</f>
        <v>0</v>
      </c>
    </row>
    <row r="127">
      <c r="C127" s="268">
        <f>Inputs!H279</f>
        <v>0</v>
      </c>
      <c r="D127">
        <f>Inputs!I279</f>
        <v>0</v>
      </c>
      <c r="E127" s="274">
        <f>Inputs!J279</f>
        <v>0</v>
      </c>
      <c r="F127" s="274">
        <f>Inputs!K279</f>
        <v>0</v>
      </c>
      <c r="G127" s="274">
        <f>Inputs!L279</f>
        <v>0</v>
      </c>
    </row>
    <row r="128">
      <c r="C128" s="268">
        <f>Inputs!H280</f>
        <v>0</v>
      </c>
      <c r="D128">
        <f>Inputs!I280</f>
        <v>0</v>
      </c>
      <c r="E128" s="274">
        <f>Inputs!J280</f>
        <v>0</v>
      </c>
      <c r="F128" s="274">
        <f>Inputs!K280</f>
        <v>0</v>
      </c>
      <c r="G128" s="274">
        <f>Inputs!L280</f>
        <v>0</v>
      </c>
    </row>
    <row r="129">
      <c r="C129" s="268">
        <f>Inputs!H281</f>
        <v>0</v>
      </c>
      <c r="D129">
        <f>Inputs!I281</f>
        <v>0</v>
      </c>
      <c r="E129" s="274">
        <f>Inputs!J281</f>
        <v>0</v>
      </c>
      <c r="F129" s="274">
        <f>Inputs!K281</f>
        <v>0</v>
      </c>
      <c r="G129" s="274">
        <f>Inputs!L281</f>
        <v>0</v>
      </c>
    </row>
    <row r="130">
      <c r="C130" s="268">
        <f>Inputs!H282</f>
        <v>0</v>
      </c>
      <c r="D130">
        <f>Inputs!I282</f>
        <v>0</v>
      </c>
      <c r="E130" s="274">
        <f>Inputs!J282</f>
        <v>0</v>
      </c>
      <c r="F130" s="274">
        <f>Inputs!K282</f>
        <v>0</v>
      </c>
      <c r="G130" s="274">
        <f>Inputs!L282</f>
        <v>0</v>
      </c>
    </row>
    <row r="131">
      <c r="C131" s="268">
        <f>Inputs!H283</f>
        <v>0</v>
      </c>
      <c r="D131">
        <f>Inputs!I283</f>
        <v>0</v>
      </c>
      <c r="E131" s="274">
        <f>Inputs!J283</f>
        <v>0</v>
      </c>
      <c r="F131" s="274">
        <f>Inputs!K283</f>
        <v>0</v>
      </c>
      <c r="G131" s="274">
        <f>Inputs!L283</f>
        <v>0</v>
      </c>
    </row>
    <row r="132">
      <c r="C132" s="268">
        <f>Inputs!H284</f>
        <v>0</v>
      </c>
      <c r="D132">
        <f>Inputs!I284</f>
        <v>0</v>
      </c>
      <c r="E132" s="274">
        <f>Inputs!J284</f>
        <v>0</v>
      </c>
      <c r="F132" s="274">
        <f>Inputs!K284</f>
        <v>0</v>
      </c>
      <c r="G132" s="274">
        <f>Inputs!L284</f>
        <v>0</v>
      </c>
    </row>
    <row r="133">
      <c r="C133" s="268">
        <f>Inputs!H285</f>
        <v>0</v>
      </c>
      <c r="D133">
        <f>Inputs!I285</f>
        <v>0</v>
      </c>
      <c r="E133" s="274">
        <f>Inputs!J285</f>
        <v>0</v>
      </c>
      <c r="F133" s="274">
        <f>Inputs!K285</f>
        <v>0</v>
      </c>
      <c r="G133" s="274">
        <f>Inputs!L285</f>
        <v>0</v>
      </c>
    </row>
    <row r="134">
      <c r="C134" s="268">
        <f>Inputs!H286</f>
        <v>0</v>
      </c>
      <c r="D134">
        <f>Inputs!I286</f>
        <v>0</v>
      </c>
      <c r="E134" s="274">
        <f>Inputs!J286</f>
        <v>0</v>
      </c>
      <c r="F134" s="274">
        <f>Inputs!K286</f>
        <v>0</v>
      </c>
      <c r="G134" s="274">
        <f>Inputs!L286</f>
        <v>0</v>
      </c>
    </row>
    <row r="135">
      <c r="C135" s="268">
        <f>Inputs!H287</f>
        <v>0</v>
      </c>
      <c r="D135">
        <f>Inputs!I287</f>
        <v>0</v>
      </c>
      <c r="E135" s="274">
        <f>Inputs!J287</f>
        <v>0</v>
      </c>
      <c r="F135" s="274">
        <f>Inputs!K287</f>
        <v>0</v>
      </c>
      <c r="G135" s="274">
        <f>Inputs!L287</f>
        <v>0</v>
      </c>
    </row>
    <row r="136">
      <c r="C136" s="268">
        <f>Inputs!H288</f>
        <v>0</v>
      </c>
      <c r="D136">
        <f>Inputs!I288</f>
        <v>0</v>
      </c>
      <c r="E136" s="274">
        <f>Inputs!J288</f>
        <v>0</v>
      </c>
      <c r="F136" s="274">
        <f>Inputs!K288</f>
        <v>0</v>
      </c>
      <c r="G136" s="274">
        <f>Inputs!L288</f>
        <v>0</v>
      </c>
    </row>
    <row r="137">
      <c r="C137" s="268">
        <f>Inputs!H289</f>
        <v>0</v>
      </c>
      <c r="D137">
        <f>Inputs!I289</f>
        <v>0</v>
      </c>
      <c r="E137" s="274">
        <f>Inputs!J289</f>
        <v>0</v>
      </c>
      <c r="F137" s="274">
        <f>Inputs!K289</f>
        <v>0</v>
      </c>
      <c r="G137" s="274">
        <f>Inputs!L289</f>
        <v>0</v>
      </c>
    </row>
    <row r="138">
      <c r="C138" s="268">
        <f>Inputs!H290</f>
        <v>0</v>
      </c>
      <c r="D138">
        <f>Inputs!I290</f>
        <v>0</v>
      </c>
      <c r="E138" s="274">
        <f>Inputs!J290</f>
        <v>0</v>
      </c>
      <c r="F138" s="274">
        <f>Inputs!K290</f>
        <v>0</v>
      </c>
      <c r="G138" s="274">
        <f>Inputs!L290</f>
        <v>0</v>
      </c>
    </row>
    <row r="139"/>
    <row r="140"/>
    <row r="141"/>
    <row r="142"/>
    <row r="143"/>
    <row r="144"/>
    <row r="145"/>
    <row r="146"/>
    <row r="147"/>
    <row r="148"/>
    <row r="149" hidden="1" outlineLevel="1" customFormat="1" s="43">
      <c r="A149" s="36" t="n"/>
      <c r="B149" s="37" t="n"/>
      <c r="C149" s="45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F149" s="39" t="n"/>
      <c r="AG149" s="39" t="n"/>
      <c r="AH149" s="39" t="n"/>
      <c r="AI149" s="39" t="n"/>
      <c r="AJ149" s="39" t="n"/>
      <c r="AK149" s="39" t="n"/>
      <c r="AL149" s="39" t="n"/>
      <c r="AM149" s="39" t="n"/>
      <c r="AN149" s="39" t="n"/>
      <c r="AO149" s="39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  <c r="AX149" s="39" t="n"/>
      <c r="AY149" s="39" t="n"/>
      <c r="AZ149" s="39" t="n"/>
      <c r="BA149" s="39" t="n"/>
      <c r="BB149" s="39" t="n"/>
      <c r="BC149" s="39" t="n"/>
      <c r="BD149" s="39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39" t="n"/>
      <c r="BQ149" s="39" t="n"/>
      <c r="BR149" s="39" t="n"/>
      <c r="BS149" s="39" t="n"/>
      <c r="BT149" s="39" t="n"/>
      <c r="BU149" s="39" t="n"/>
      <c r="BV149" s="39" t="n"/>
      <c r="BW149" s="39" t="n"/>
      <c r="BX149" s="39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39" t="n"/>
      <c r="CH149" s="39" t="n"/>
      <c r="CI149" s="39" t="n"/>
      <c r="CJ149" s="39" t="n"/>
      <c r="CK149" s="39" t="n"/>
      <c r="CL149" s="39" t="n"/>
      <c r="CM149" s="39" t="n"/>
      <c r="CN149" s="39" t="n"/>
      <c r="CO149" s="39" t="n"/>
      <c r="CP149" s="39" t="n"/>
      <c r="CQ149" s="39" t="n"/>
      <c r="CR149" s="39" t="n"/>
      <c r="CS149" s="39" t="n"/>
      <c r="CT149" s="39" t="n"/>
      <c r="CU149" s="39" t="n"/>
      <c r="CV149" s="39" t="n"/>
      <c r="CW149" s="39" t="n"/>
      <c r="CX149" s="39" t="n"/>
      <c r="CY149" s="39" t="n"/>
    </row>
    <row r="150" hidden="1" outlineLevel="1" customFormat="1" s="43">
      <c r="A150" s="36" t="n"/>
      <c r="B150" s="37" t="n"/>
      <c r="C150" s="45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F150" s="39" t="n"/>
      <c r="AG150" s="39" t="n"/>
      <c r="AH150" s="39" t="n"/>
      <c r="AI150" s="39" t="n"/>
      <c r="AJ150" s="39" t="n"/>
      <c r="AK150" s="39" t="n"/>
      <c r="AL150" s="39" t="n"/>
      <c r="AM150" s="39" t="n"/>
      <c r="AN150" s="39" t="n"/>
      <c r="AO150" s="39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  <c r="AX150" s="39" t="n"/>
      <c r="AY150" s="39" t="n"/>
      <c r="AZ150" s="39" t="n"/>
      <c r="BA150" s="39" t="n"/>
      <c r="BB150" s="39" t="n"/>
      <c r="BC150" s="39" t="n"/>
      <c r="BD150" s="39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39" t="n"/>
      <c r="BQ150" s="39" t="n"/>
      <c r="BR150" s="39" t="n"/>
      <c r="BS150" s="39" t="n"/>
      <c r="BT150" s="39" t="n"/>
      <c r="BU150" s="39" t="n"/>
      <c r="BV150" s="39" t="n"/>
      <c r="BW150" s="39" t="n"/>
      <c r="BX150" s="39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39" t="n"/>
      <c r="CH150" s="39" t="n"/>
      <c r="CI150" s="39" t="n"/>
      <c r="CJ150" s="39" t="n"/>
      <c r="CK150" s="39" t="n"/>
      <c r="CL150" s="39" t="n"/>
      <c r="CM150" s="39" t="n"/>
      <c r="CN150" s="39" t="n"/>
      <c r="CO150" s="39" t="n"/>
      <c r="CP150" s="39" t="n"/>
      <c r="CQ150" s="39" t="n"/>
      <c r="CR150" s="39" t="n"/>
      <c r="CS150" s="39" t="n"/>
      <c r="CT150" s="39" t="n"/>
      <c r="CU150" s="39" t="n"/>
      <c r="CV150" s="39" t="n"/>
      <c r="CW150" s="39" t="n"/>
      <c r="CX150" s="39" t="n"/>
      <c r="CY150" s="39" t="n"/>
    </row>
    <row r="151" collapsed="1">
      <c r="C151" s="13" t="inlineStr">
        <is>
          <t>COGS (cash)</t>
        </is>
      </c>
      <c r="D151" s="46" t="n"/>
      <c r="E151" s="46" t="n"/>
      <c r="F151" s="46" t="n"/>
      <c r="G151" s="46" t="n"/>
      <c r="H151" s="12" t="n"/>
      <c r="I151" s="46">
        <f>'Inputs (2)'!D5</f>
        <v>-471.033</v>
      </c>
      <c r="J151" s="46">
        <f>'Inputs (2)'!E5</f>
        <v>-201.254</v>
      </c>
      <c r="K151" s="46">
        <f>'Inputs (2)'!F5</f>
        <v>-287.047</v>
      </c>
      <c r="L151" s="46">
        <f>'Inputs (2)'!G5</f>
        <v>-305.796</v>
      </c>
      <c r="M151" s="12">
        <f>'Inputs (2)'!H5</f>
        <v>-1265.13</v>
      </c>
      <c r="N151" s="46">
        <f>'Inputs (2)'!I5</f>
        <v>-134.789</v>
      </c>
      <c r="O151" s="46">
        <f>'Inputs (2)'!J5</f>
        <v>-123.632</v>
      </c>
      <c r="P151" s="46">
        <f>'Inputs (2)'!K5</f>
        <v>-131.418</v>
      </c>
      <c r="Q151" s="46">
        <f>'Inputs (2)'!L5</f>
        <v>-161.074</v>
      </c>
      <c r="R151" s="12">
        <f>'Inputs (2)'!M5</f>
        <v>-550.913</v>
      </c>
      <c r="S151" s="46">
        <f>'Inputs (2)'!N5</f>
        <v>-161.718</v>
      </c>
      <c r="T151" s="46">
        <f>'Inputs (2)'!O5</f>
        <v>-136.738</v>
      </c>
      <c r="U151" s="46">
        <f>'Inputs (2)'!P5</f>
        <v>-161.738</v>
      </c>
      <c r="V151" s="46">
        <f>'Inputs (2)'!Q5</f>
        <v>-189.695</v>
      </c>
      <c r="W151" s="12">
        <f>'Inputs (2)'!R5</f>
        <v>-649.889</v>
      </c>
      <c r="X151" s="46">
        <f>'Inputs (2)'!S5</f>
        <v>-168.17</v>
      </c>
      <c r="Y151" s="46">
        <f>'Inputs (2)'!T5</f>
        <v>-180.438</v>
      </c>
      <c r="Z151" s="46">
        <f>'Inputs (2)'!U5</f>
        <v>-246.959</v>
      </c>
      <c r="AA151" s="46">
        <f>'Inputs (2)'!V5</f>
        <v>-327.35</v>
      </c>
      <c r="AB151" s="12">
        <f>'Inputs (2)'!W5</f>
        <v>-922.917</v>
      </c>
      <c r="AC151" s="46">
        <f>'Inputs (2)'!X5</f>
        <v>-295.198</v>
      </c>
      <c r="AD151" s="46">
        <f>'Inputs (2)'!Y5</f>
        <v>-282.606</v>
      </c>
      <c r="AE151" s="46">
        <f>'Inputs (2)'!Z5</f>
        <v>-245.818</v>
      </c>
      <c r="AF151" s="46">
        <f>'Inputs (2)'!AA5</f>
        <v>-335.941</v>
      </c>
      <c r="AG151" s="12">
        <f>'Inputs (2)'!AB5</f>
        <v>-1159.563</v>
      </c>
      <c r="AH151" s="12">
        <f>'Inputs (2)'!AC5</f>
        <v>-409.119</v>
      </c>
      <c r="AI151" s="12">
        <f>'Inputs (2)'!AD5</f>
        <v>-524.176</v>
      </c>
      <c r="AJ151" s="12">
        <f>-(1-AJ152)*AJ15</f>
        <v>-318.051874531485</v>
      </c>
      <c r="AK151" s="12">
        <f>-(1-AK152)*AK15</f>
        <v>-384.183083735073</v>
      </c>
      <c r="AL151" s="12">
        <f>SUM(AH151:AK151)</f>
        <v>-1635.52995826656</v>
      </c>
      <c r="AM151" s="12">
        <f>-(1-AM152)*AM15</f>
        <v>-414.549044303948</v>
      </c>
      <c r="AN151" s="12">
        <f>-(1-AN152)*AN15</f>
        <v>-537.249631907482</v>
      </c>
      <c r="AO151" s="12">
        <f>-(1-AO152)*AO15</f>
        <v>-369.971322508032</v>
      </c>
      <c r="AP151" s="12">
        <f>-(1-AP152)*AP15</f>
        <v>-446.897927528512</v>
      </c>
      <c r="AQ151" s="12">
        <f>SUM(AM151:AP151)</f>
        <v>-1768.66792624797</v>
      </c>
      <c r="AR151" s="12">
        <f>-(1-AR152)*AR15</f>
        <v>-480.148145290445</v>
      </c>
      <c r="AS151" s="12">
        <f>-(1-AS152)*AS15</f>
        <v>-622.265128487946</v>
      </c>
      <c r="AT151" s="12">
        <f>-(1-AT152)*AT15</f>
        <v>-428.516352295913</v>
      </c>
      <c r="AU151" s="12">
        <f>-(1-AU152)*AU15</f>
        <v>-517.61598292247</v>
      </c>
      <c r="AV151" s="12">
        <f>SUM(AR151:AU151)</f>
        <v>-2048.54560899677</v>
      </c>
      <c r="AW151" s="12">
        <f>-(1-AW152)*AW15</f>
        <v>-553.727043412932</v>
      </c>
      <c r="AX151" s="12">
        <f>-(1-AX152)*AX15</f>
        <v>-717.622328017469</v>
      </c>
      <c r="AY151" s="12">
        <f>-(1-AY152)*AY15</f>
        <v>-494.183087320638</v>
      </c>
      <c r="AZ151" s="12">
        <f>-(1-AZ152)*AZ15</f>
        <v>-596.936530231853</v>
      </c>
      <c r="BA151" s="12">
        <f>SUM(AW151:AZ151)</f>
        <v>-2362.46898898289</v>
      </c>
      <c r="BB151" s="12">
        <f>-(1-BB152)*BB15</f>
        <v>-635.812689347575</v>
      </c>
      <c r="BC151" s="12">
        <f>-(1-BC152)*BC15</f>
        <v>-824.004151035109</v>
      </c>
      <c r="BD151" s="12">
        <f>-(1-BD152)*BD15</f>
        <v>-567.441813646634</v>
      </c>
      <c r="BE151" s="12">
        <f>-(1-BE152)*BE15</f>
        <v>-685.427640154988</v>
      </c>
      <c r="BF151" s="12">
        <f>SUM(BB151:BE151)</f>
        <v>-2712.68629418431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 customFormat="1" s="3">
      <c r="C152" s="47" t="inlineStr">
        <is>
          <t>% Gross Margin</t>
        </is>
      </c>
      <c r="D152" s="48" t="n"/>
      <c r="E152" s="48" t="n"/>
      <c r="F152" s="48" t="n"/>
      <c r="G152" s="48" t="n"/>
      <c r="H152" s="48" t="n"/>
      <c r="I152" s="48">
        <f>IFERROR((I15+I151)/I$15,"")</f>
        <v>0.70587533734547</v>
      </c>
      <c r="J152" s="48">
        <f>IFERROR((J15+J151)/J$15,"")</f>
        <v>0.84948932087192</v>
      </c>
      <c r="K152" s="48">
        <f>IFERROR((K15+K151)/K$15,"")</f>
        <v>0.754167337528647</v>
      </c>
      <c r="L152" s="48">
        <f>IFERROR((L15+L151)/L$15,"")</f>
        <v>0.728890074924132</v>
      </c>
      <c r="M152" s="48">
        <f>IFERROR((M15+M151)/M$15,"")</f>
        <v>0.758295810942171</v>
      </c>
      <c r="N152" s="48">
        <f>IFERROR((N15+N151)/N$15,"")</f>
        <v>0.894738856089714</v>
      </c>
      <c r="O152" s="48">
        <f>IFERROR((O15+O151)/O$15,"")</f>
        <v>0.894172702083385</v>
      </c>
      <c r="P152" s="48">
        <f>IFERROR((P15+P151)/P$15,"")</f>
        <v>0.798642169953988</v>
      </c>
      <c r="Q152" s="48">
        <f>IFERROR((Q15+Q151)/Q$15,"")</f>
        <v>0.780039492766487</v>
      </c>
      <c r="R152" s="48">
        <f>IFERROR((R15+R151)/R$15,"")</f>
        <v>0.856297610563976</v>
      </c>
      <c r="S152" s="48">
        <f>IFERROR((S15+S151)/S$15,"")</f>
        <v>0.838925813523347</v>
      </c>
      <c r="T152" s="48">
        <f>IFERROR((T15+T151)/T$15,"")</f>
        <v>0.82472992580971</v>
      </c>
      <c r="U152" s="48">
        <f>IFERROR((U15+U151)/U$15,"")</f>
        <v>0.75077239324023</v>
      </c>
      <c r="V152" s="48">
        <f>IFERROR((V15+V151)/V$15,"")</f>
        <v>0.784013134897999</v>
      </c>
      <c r="W152" s="48">
        <f>IFERROR((W15+W151)/W$15,"")</f>
        <v>0.803740795758628</v>
      </c>
      <c r="X152" s="48">
        <f>IFERROR((X15+X151)/X$15,"")</f>
        <v>0.83124526484268</v>
      </c>
      <c r="Y152" s="48">
        <f>IFERROR((Y15+Y151)/Y$15,"")</f>
        <v>0.810800551960172</v>
      </c>
      <c r="Z152" s="48">
        <f>IFERROR((Z15+Z151)/Z$15,"")</f>
        <v>0.7340428854353</v>
      </c>
      <c r="AA152" s="48">
        <f>IFERROR((AA15+AA151)/AA$15,"")</f>
        <v>0.708584451309078</v>
      </c>
      <c r="AB152" s="48">
        <f>IFERROR((AB15+AB151)/AB$15,"")</f>
        <v>0.769392049781815</v>
      </c>
      <c r="AC152" s="48">
        <f>IFERROR((AC15+AC151)/AC$15,"")</f>
        <v>0.758772148454195</v>
      </c>
      <c r="AD152" s="48">
        <f>IFERROR((AD15+AD151)/AD$15,"")</f>
        <v>0.730116316824875</v>
      </c>
      <c r="AE152" s="48">
        <f>IFERROR((AE15+AE151)/AE$15,"")</f>
        <v>0.744830814872638</v>
      </c>
      <c r="AF152" s="41">
        <f>IFERROR((AF15+AF151)/AF$15,"")</f>
        <v>0.711306319119261</v>
      </c>
      <c r="AG152" s="48">
        <f>IFERROR((AG15+AG151)/AG$15,"")</f>
        <v>0.736336096253584</v>
      </c>
      <c r="AH152" s="49">
        <f>IFERROR((AH15+AH151)/AH$15,"")</f>
        <v>0.67417362529716</v>
      </c>
      <c r="AI152" s="49">
        <f>IFERROR((AI15+AI151)/AI$15,"")</f>
        <v>0.677883099764331</v>
      </c>
      <c r="AJ152" s="49">
        <f>Control!$B$19</f>
        <v>0.716180387388743</v>
      </c>
      <c r="AK152" s="49">
        <f>Control!$B$19</f>
        <v>0.716180387388743</v>
      </c>
      <c r="AL152" s="48">
        <f>IFERROR((AL15+AL151)/AL$15,"")</f>
        <v>0.694701473119501</v>
      </c>
      <c r="AM152" s="49">
        <f>Control!$C$19</f>
        <v>0.716180387388743</v>
      </c>
      <c r="AN152" s="49">
        <f>Control!$C$19</f>
        <v>0.716180387388743</v>
      </c>
      <c r="AO152" s="49">
        <f>Control!$C$19</f>
        <v>0.716180387388743</v>
      </c>
      <c r="AP152" s="49">
        <f>Control!$C$19</f>
        <v>0.716180387388743</v>
      </c>
      <c r="AQ152" s="48">
        <f>IFERROR((AQ15+AQ151)/AQ$15,"")</f>
        <v>0.716180387388743</v>
      </c>
      <c r="AR152" s="49">
        <f>Control!$D$19</f>
        <v>0.716180387388743</v>
      </c>
      <c r="AS152" s="49">
        <f>Control!$D$19</f>
        <v>0.716180387388743</v>
      </c>
      <c r="AT152" s="49">
        <f>Control!$D$19</f>
        <v>0.716180387388743</v>
      </c>
      <c r="AU152" s="49">
        <f>Control!$D$19</f>
        <v>0.716180387388743</v>
      </c>
      <c r="AV152" s="48">
        <f>IFERROR((AV15+AV151)/AV$15,"")</f>
        <v>0.716180387388743</v>
      </c>
      <c r="AW152" s="49">
        <f>Control!$E$19</f>
        <v>0.716180387388743</v>
      </c>
      <c r="AX152" s="49">
        <f>Control!$E$19</f>
        <v>0.716180387388743</v>
      </c>
      <c r="AY152" s="49">
        <f>Control!$E$19</f>
        <v>0.716180387388743</v>
      </c>
      <c r="AZ152" s="49">
        <f>Control!$E$19</f>
        <v>0.716180387388743</v>
      </c>
      <c r="BA152" s="48">
        <f>IFERROR((BA15+BA151)/BA$15,"")</f>
        <v>0.716180387388744</v>
      </c>
      <c r="BB152" s="49">
        <f>Control!$F$19</f>
        <v>0.716180387388743</v>
      </c>
      <c r="BC152" s="49">
        <f>Control!$F$19</f>
        <v>0.716180387388743</v>
      </c>
      <c r="BD152" s="49">
        <f>Control!$F$19</f>
        <v>0.716180387388743</v>
      </c>
      <c r="BE152" s="49">
        <f>Control!$F$19</f>
        <v>0.716180387388743</v>
      </c>
      <c r="BF152" s="48">
        <f>IFERROR((BF15+BF151)/BF$15,"")</f>
        <v>0.716180387388743</v>
      </c>
      <c r="BG152" s="49" t="n"/>
      <c r="BH152" s="49" t="n"/>
      <c r="BI152" s="49" t="n"/>
      <c r="BJ152" s="49" t="n"/>
      <c r="BK152" s="48" t="n"/>
      <c r="BL152" s="49" t="n"/>
      <c r="BM152" s="49" t="n"/>
      <c r="BN152" s="49" t="n"/>
      <c r="BO152" s="49" t="n"/>
      <c r="BP152" s="48" t="n"/>
      <c r="BQ152" s="49" t="n"/>
      <c r="BR152" s="49" t="n"/>
      <c r="BS152" s="49" t="n"/>
      <c r="BT152" s="49" t="n"/>
      <c r="BU152" s="48" t="n"/>
      <c r="BV152" s="49" t="n"/>
      <c r="BW152" s="49" t="n"/>
      <c r="BX152" s="49" t="n"/>
      <c r="BY152" s="49" t="n"/>
      <c r="BZ152" s="48" t="n"/>
      <c r="CA152" s="49" t="n"/>
      <c r="CB152" s="49" t="n"/>
      <c r="CC152" s="49" t="n"/>
      <c r="CD152" s="49" t="n"/>
      <c r="CE152" s="48" t="n"/>
      <c r="CF152" s="49" t="n"/>
      <c r="CG152" s="49" t="n"/>
      <c r="CH152" s="49" t="n"/>
      <c r="CI152" s="49" t="n"/>
      <c r="CJ152" s="48" t="n"/>
      <c r="CK152" s="49" t="n"/>
      <c r="CL152" s="49" t="n"/>
      <c r="CM152" s="49" t="n"/>
      <c r="CN152" s="49" t="n"/>
      <c r="CO152" s="48" t="n"/>
      <c r="CP152" s="49" t="n"/>
      <c r="CQ152" s="49" t="n"/>
      <c r="CR152" s="49" t="n"/>
      <c r="CS152" s="49" t="n"/>
      <c r="CT152" s="48" t="n"/>
      <c r="CU152" s="49" t="n"/>
      <c r="CV152" s="49" t="n"/>
      <c r="CW152" s="49" t="n"/>
      <c r="CX152" s="49" t="n"/>
      <c r="CY152" s="48" t="n"/>
    </row>
    <row r="153" hidden="1" outlineLevel="1"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50" t="n"/>
      <c r="BB153" s="50" t="n"/>
      <c r="BC153" s="50" t="n"/>
      <c r="BD153" s="50" t="n"/>
      <c r="BE153" s="50" t="n"/>
      <c r="BF153" s="50" t="n"/>
      <c r="BG153" s="50" t="n"/>
      <c r="BH153" s="50" t="n"/>
      <c r="BI153" s="50" t="n"/>
      <c r="BJ153" s="50" t="n"/>
      <c r="BK153" s="50" t="n"/>
      <c r="BL153" s="50" t="n"/>
      <c r="BM153" s="50" t="n"/>
      <c r="BN153" s="50" t="n"/>
      <c r="BO153" s="50" t="n"/>
      <c r="BP153" s="50" t="n"/>
      <c r="BQ153" s="50" t="n"/>
      <c r="BR153" s="50" t="n"/>
      <c r="BS153" s="50" t="n"/>
      <c r="BT153" s="50" t="n"/>
      <c r="BU153" s="50" t="n"/>
      <c r="BV153" s="50" t="n"/>
      <c r="BW153" s="50" t="n"/>
      <c r="BX153" s="50" t="n"/>
      <c r="BY153" s="50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</row>
    <row r="154" hidden="1" outlineLevel="1"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50" t="n"/>
      <c r="BB154" s="50" t="n"/>
      <c r="BC154" s="50" t="n"/>
      <c r="BD154" s="50" t="n"/>
      <c r="BE154" s="50" t="n"/>
      <c r="BF154" s="50" t="n"/>
      <c r="BG154" s="50" t="n"/>
      <c r="BH154" s="50" t="n"/>
      <c r="BI154" s="50" t="n"/>
      <c r="BJ154" s="50" t="n"/>
      <c r="BK154" s="50" t="n"/>
      <c r="BL154" s="50" t="n"/>
      <c r="BM154" s="50" t="n"/>
      <c r="BN154" s="50" t="n"/>
      <c r="BO154" s="50" t="n"/>
      <c r="BP154" s="50" t="n"/>
      <c r="BQ154" s="50" t="n"/>
      <c r="BR154" s="50" t="n"/>
      <c r="BS154" s="50" t="n"/>
      <c r="BT154" s="50" t="n"/>
      <c r="BU154" s="50" t="n"/>
      <c r="BV154" s="50" t="n"/>
      <c r="BW154" s="50" t="n"/>
      <c r="BX154" s="50" t="n"/>
      <c r="BY154" s="50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</row>
    <row r="155" collapsed="1">
      <c r="C155" s="13" t="inlineStr">
        <is>
          <t>SG&amp;A and Other (cash)</t>
        </is>
      </c>
      <c r="D155" s="46" t="n"/>
      <c r="E155" s="46" t="n"/>
      <c r="F155" s="46" t="n"/>
      <c r="G155" s="46" t="n"/>
      <c r="H155" s="12" t="n"/>
      <c r="I155" s="46">
        <f>'Inputs (2)'!D6</f>
        <v>-23.786</v>
      </c>
      <c r="J155" s="46">
        <f>'Inputs (2)'!E6</f>
        <v>-8.006</v>
      </c>
      <c r="K155" s="46">
        <f>'Inputs (2)'!F6</f>
        <v>21.031</v>
      </c>
      <c r="L155" s="46">
        <f>'Inputs (2)'!G6</f>
        <v>-43.997</v>
      </c>
      <c r="M155" s="12">
        <f>'Inputs (2)'!H6</f>
        <v>-54.758</v>
      </c>
      <c r="N155" s="46">
        <f>'Inputs (2)'!I6</f>
        <v>-14.074</v>
      </c>
      <c r="O155" s="46">
        <f>'Inputs (2)'!J6</f>
        <v>-174.015</v>
      </c>
      <c r="P155" s="46">
        <f>'Inputs (2)'!K6</f>
        <v>-36.025</v>
      </c>
      <c r="Q155" s="46">
        <f>'Inputs (2)'!L6</f>
        <v>-49.11</v>
      </c>
      <c r="R155" s="12">
        <f>'Inputs (2)'!M6</f>
        <v>-273.224</v>
      </c>
      <c r="S155" s="46">
        <f>'Inputs (2)'!N6</f>
        <v>-31.578</v>
      </c>
      <c r="T155" s="46">
        <f>'Inputs (2)'!O6</f>
        <v>-27.46</v>
      </c>
      <c r="U155" s="46">
        <f>'Inputs (2)'!P6</f>
        <v>-38.389</v>
      </c>
      <c r="V155" s="46">
        <f>'Inputs (2)'!Q6</f>
        <v>-93.626</v>
      </c>
      <c r="W155" s="12">
        <f>'Inputs (2)'!R6</f>
        <v>-191.053</v>
      </c>
      <c r="X155" s="46">
        <f>'Inputs (2)'!S6</f>
        <v>-32.73</v>
      </c>
      <c r="Y155" s="46">
        <f>'Inputs (2)'!T6</f>
        <v>-18.387</v>
      </c>
      <c r="Z155" s="46">
        <f>'Inputs (2)'!U6</f>
        <v>-37.227</v>
      </c>
      <c r="AA155" s="46">
        <f>'Inputs (2)'!V6</f>
        <v>-69.055</v>
      </c>
      <c r="AB155" s="12">
        <f>'Inputs (2)'!W6</f>
        <v>-157.399</v>
      </c>
      <c r="AC155" s="46">
        <f>'Inputs (2)'!X6</f>
        <v>-45.543</v>
      </c>
      <c r="AD155" s="46">
        <f>'Inputs (2)'!Y6</f>
        <v>-84.158</v>
      </c>
      <c r="AE155" s="46">
        <f>'Inputs (2)'!Z6</f>
        <v>-54.184</v>
      </c>
      <c r="AF155" s="46">
        <f>'Inputs (2)'!AA6</f>
        <v>-55.317</v>
      </c>
      <c r="AG155" s="12">
        <f>'Inputs (2)'!AB6</f>
        <v>-239.202</v>
      </c>
      <c r="AH155" s="12">
        <f>'Inputs (2)'!AC6</f>
        <v>-59.4</v>
      </c>
      <c r="AI155" s="12">
        <f>'Inputs (2)'!AD6</f>
        <v>-75.963</v>
      </c>
      <c r="AJ155" s="12">
        <f>-AJ15*AJ156</f>
        <v>-58.8986218020752</v>
      </c>
      <c r="AK155" s="12">
        <f>-AK15*AK156</f>
        <v>-71.1451683314227</v>
      </c>
      <c r="AL155" s="12">
        <f>SUM(AH155:AK155)</f>
        <v>-265.406790133498</v>
      </c>
      <c r="AM155" s="12">
        <f>-AM15*AM156</f>
        <v>-76.7685064420298</v>
      </c>
      <c r="AN155" s="12">
        <f>-AN15*AN156</f>
        <v>-99.4908862890239</v>
      </c>
      <c r="AO155" s="12">
        <f>-AO15*AO156</f>
        <v>-68.5133550434617</v>
      </c>
      <c r="AP155" s="12">
        <f>-AP15*AP156</f>
        <v>-82.759053240629</v>
      </c>
      <c r="AQ155" s="12">
        <f>SUM(AM155:AP155)</f>
        <v>-327.531801015144</v>
      </c>
      <c r="AR155" s="12">
        <f>-AR15*AR156</f>
        <v>-88.9165142009884</v>
      </c>
      <c r="AS155" s="12">
        <f>-AS15*AS156</f>
        <v>-115.234530585366</v>
      </c>
      <c r="AT155" s="12">
        <f>-AT15*AT156</f>
        <v>-79.3550505151426</v>
      </c>
      <c r="AU155" s="12">
        <f>-AU15*AU156</f>
        <v>-95.8550175557665</v>
      </c>
      <c r="AV155" s="12">
        <f>SUM(AR155:AU155)</f>
        <v>-379.361112857263</v>
      </c>
      <c r="AW155" s="12">
        <f>-AW15*AW156</f>
        <v>-102.542265344615</v>
      </c>
      <c r="AX155" s="12">
        <f>-AX15*AX156</f>
        <v>-132.893309171305</v>
      </c>
      <c r="AY155" s="12">
        <f>-AY15*AY156</f>
        <v>-91.5155831228996</v>
      </c>
      <c r="AZ155" s="12">
        <f>-AZ15*AZ156</f>
        <v>-110.544039351318</v>
      </c>
      <c r="BA155" s="12">
        <f>SUM(AW155:AZ155)</f>
        <v>-437.495196990137</v>
      </c>
      <c r="BB155" s="12">
        <f>-BB15*BB156</f>
        <v>-117.743343541074</v>
      </c>
      <c r="BC155" s="12">
        <f>-BC15*BC156</f>
        <v>-152.593689084994</v>
      </c>
      <c r="BD155" s="12">
        <f>-BD15*BD156</f>
        <v>-105.08204306574</v>
      </c>
      <c r="BE155" s="12">
        <f>-BE15*BE156</f>
        <v>-126.931317130725</v>
      </c>
      <c r="BF155" s="12">
        <f>SUM(BB155:BE155)</f>
        <v>-502.350392822532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38" t="inlineStr">
        <is>
          <t>% SG&amp;A and Other Margin</t>
        </is>
      </c>
      <c r="D156" s="51" t="n"/>
      <c r="E156" s="51" t="n"/>
      <c r="F156" s="51" t="n"/>
      <c r="G156" s="51" t="n"/>
      <c r="H156" s="51" t="n"/>
      <c r="I156" s="51">
        <f>IFERROR(-(I155/I$15),"")</f>
        <v>0.0148525670725844</v>
      </c>
      <c r="J156" s="51">
        <f>IFERROR(-(J155/J$15),"")</f>
        <v>0.00598740147822855</v>
      </c>
      <c r="K156" s="51">
        <f>IFERROR(-(K155/K$15),"")</f>
        <v>-0.0180113595489067</v>
      </c>
      <c r="L156" s="51">
        <f>IFERROR(-(L155/L$15),"")</f>
        <v>0.039006472856293</v>
      </c>
      <c r="M156" s="51">
        <f>IFERROR(-(M155/M$15),"")</f>
        <v>0.0104615636214686</v>
      </c>
      <c r="N156" s="51">
        <f>IFERROR(-(N155/N$15),"")</f>
        <v>0.010990847468216</v>
      </c>
      <c r="O156" s="51">
        <f>IFERROR(-(O155/O$15),"")</f>
        <v>0.148954455537076</v>
      </c>
      <c r="P156" s="51">
        <f>IFERROR(-(P155/P$15),"")</f>
        <v>0.0551972775982557</v>
      </c>
      <c r="Q156" s="51">
        <f>IFERROR(-(Q155/Q$15),"")</f>
        <v>0.0670639613484349</v>
      </c>
      <c r="R156" s="51">
        <f>IFERROR(-(R155/R$15),"")</f>
        <v>0.0712688603305207</v>
      </c>
      <c r="S156" s="51">
        <f>IFERROR(-(S155/S$15),"")</f>
        <v>0.0314522852159917</v>
      </c>
      <c r="T156" s="51">
        <f>IFERROR(-(T155/T$15),"")</f>
        <v>0.0351980885874107</v>
      </c>
      <c r="U156" s="51">
        <f>IFERROR(-(U155/U$15),"")</f>
        <v>0.0591549208961457</v>
      </c>
      <c r="V156" s="51">
        <f>IFERROR(-(V155/V$15),"")</f>
        <v>0.106602631761723</v>
      </c>
      <c r="W156" s="51">
        <f>IFERROR(-(W155/W$15),"")</f>
        <v>0.0576958676757522</v>
      </c>
      <c r="X156" s="51">
        <f>IFERROR(-(X155/X$15),"")</f>
        <v>0.032843803780098</v>
      </c>
      <c r="Y156" s="51">
        <f>IFERROR(-(Y155/Y$15),"")</f>
        <v>0.0192798094143602</v>
      </c>
      <c r="Z156" s="51">
        <f>IFERROR(-(Z155/Z$15),"")</f>
        <v>0.0400908065869237</v>
      </c>
      <c r="AA156" s="51">
        <f>IFERROR(-(AA155/AA$15),"")</f>
        <v>0.0614745706884119</v>
      </c>
      <c r="AB156" s="51">
        <f>IFERROR(-(AB155/AB$15),"")</f>
        <v>0.0393290629129078</v>
      </c>
      <c r="AC156" s="51">
        <f>IFERROR(-(AC155/AC$15),"")</f>
        <v>0.0372165124524916</v>
      </c>
      <c r="AD156" s="51">
        <f>IFERROR(-(AD155/AD$15),"")</f>
        <v>0.0803693870924614</v>
      </c>
      <c r="AE156" s="51">
        <f>IFERROR(-(AE155/AE$15),"")</f>
        <v>0.0562452185232205</v>
      </c>
      <c r="AF156" s="41">
        <f>IFERROR(-(AF155/AF$15),"")</f>
        <v>0.0475371221294211</v>
      </c>
      <c r="AG156" s="51">
        <f>IFERROR(-(AG155/AG$15),"")</f>
        <v>0.0543902600410243</v>
      </c>
      <c r="AH156" s="52">
        <f>IFERROR(-(AH155/AH$15),"")</f>
        <v>0.0473067412106225</v>
      </c>
      <c r="AI156" s="52">
        <f>IFERROR(-(AI155/AI$15),"")</f>
        <v>0.0466808211222988</v>
      </c>
      <c r="AJ156" s="52">
        <f>Control!$B$20</f>
        <v>0.0525593004217526</v>
      </c>
      <c r="AK156" s="52">
        <f>Control!$B$20</f>
        <v>0.0525593004217526</v>
      </c>
      <c r="AL156" s="51">
        <f>IFERROR(-(AL155/AL$15),"")</f>
        <v>0.0495425361316633</v>
      </c>
      <c r="AM156" s="52">
        <f>Control!$C$20</f>
        <v>0.0525593004217526</v>
      </c>
      <c r="AN156" s="52">
        <f>Control!$C$20</f>
        <v>0.0525593004217526</v>
      </c>
      <c r="AO156" s="52">
        <f>Control!$C$20</f>
        <v>0.0525593004217526</v>
      </c>
      <c r="AP156" s="52">
        <f>Control!$C$20</f>
        <v>0.0525593004217526</v>
      </c>
      <c r="AQ156" s="51">
        <f>IFERROR(-(AQ155/AQ$15),"")</f>
        <v>0.0525593004217526</v>
      </c>
      <c r="AR156" s="52">
        <f>Control!$D$20</f>
        <v>0.0525593004217526</v>
      </c>
      <c r="AS156" s="52">
        <f>Control!$D$20</f>
        <v>0.0525593004217526</v>
      </c>
      <c r="AT156" s="52">
        <f>Control!$D$20</f>
        <v>0.0525593004217526</v>
      </c>
      <c r="AU156" s="52">
        <f>Control!$D$20</f>
        <v>0.0525593004217526</v>
      </c>
      <c r="AV156" s="51">
        <f>IFERROR(-(AV155/AV$15),"")</f>
        <v>0.0525593004217526</v>
      </c>
      <c r="AW156" s="52">
        <f>Control!$E$20</f>
        <v>0.0525593004217526</v>
      </c>
      <c r="AX156" s="52">
        <f>Control!$E$20</f>
        <v>0.0525593004217526</v>
      </c>
      <c r="AY156" s="52">
        <f>Control!$E$20</f>
        <v>0.0525593004217526</v>
      </c>
      <c r="AZ156" s="52">
        <f>Control!$E$20</f>
        <v>0.0525593004217526</v>
      </c>
      <c r="BA156" s="51">
        <f>IFERROR(-(BA155/BA$15),"")</f>
        <v>0.0525593004217526</v>
      </c>
      <c r="BB156" s="52">
        <f>Control!$F$20</f>
        <v>0.0525593004217526</v>
      </c>
      <c r="BC156" s="52">
        <f>Control!$F$20</f>
        <v>0.0525593004217526</v>
      </c>
      <c r="BD156" s="52">
        <f>Control!$F$20</f>
        <v>0.0525593004217526</v>
      </c>
      <c r="BE156" s="52">
        <f>Control!$F$20</f>
        <v>0.0525593004217526</v>
      </c>
      <c r="BF156" s="51">
        <f>IFERROR(-(BF155/BF$15),"")</f>
        <v>0.0525593004217526</v>
      </c>
      <c r="BG156" s="52" t="n"/>
      <c r="BH156" s="52" t="n"/>
      <c r="BI156" s="52" t="n"/>
      <c r="BJ156" s="52" t="n"/>
      <c r="BK156" s="51" t="n"/>
      <c r="BL156" s="52" t="n"/>
      <c r="BM156" s="52" t="n"/>
      <c r="BN156" s="52" t="n"/>
      <c r="BO156" s="52" t="n"/>
      <c r="BP156" s="51" t="n"/>
      <c r="BQ156" s="52" t="n"/>
      <c r="BR156" s="52" t="n"/>
      <c r="BS156" s="52" t="n"/>
      <c r="BT156" s="52" t="n"/>
      <c r="BU156" s="51" t="n"/>
      <c r="BV156" s="52" t="n"/>
      <c r="BW156" s="52" t="n"/>
      <c r="BX156" s="52" t="n"/>
      <c r="BY156" s="52" t="n"/>
      <c r="BZ156" s="51" t="n"/>
      <c r="CA156" s="52" t="n"/>
      <c r="CB156" s="52" t="n"/>
      <c r="CC156" s="52" t="n"/>
      <c r="CD156" s="52" t="n"/>
      <c r="CE156" s="51" t="n"/>
      <c r="CF156" s="52" t="n"/>
      <c r="CG156" s="52" t="n"/>
      <c r="CH156" s="52" t="n"/>
      <c r="CI156" s="52" t="n"/>
      <c r="CJ156" s="51" t="n"/>
      <c r="CK156" s="52" t="n"/>
      <c r="CL156" s="52" t="n"/>
      <c r="CM156" s="52" t="n"/>
      <c r="CN156" s="52" t="n"/>
      <c r="CO156" s="51" t="n"/>
      <c r="CP156" s="52" t="n"/>
      <c r="CQ156" s="52" t="n"/>
      <c r="CR156" s="52" t="n"/>
      <c r="CS156" s="52" t="n"/>
      <c r="CT156" s="51" t="n"/>
      <c r="CU156" s="52" t="n"/>
      <c r="CV156" s="52" t="n"/>
      <c r="CW156" s="52" t="n"/>
      <c r="CX156" s="52" t="n"/>
      <c r="CY156" s="51" t="n"/>
    </row>
    <row r="157" hidden="1" outlineLevel="1"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50" t="n"/>
      <c r="BB157" s="50" t="n"/>
      <c r="BC157" s="50" t="n"/>
      <c r="BD157" s="50" t="n"/>
      <c r="BE157" s="50" t="n"/>
      <c r="BF157" s="50" t="n"/>
      <c r="BG157" s="50" t="n"/>
      <c r="BH157" s="50" t="n"/>
      <c r="BI157" s="50" t="n"/>
      <c r="BJ157" s="50" t="n"/>
      <c r="BK157" s="50" t="n"/>
      <c r="BL157" s="50" t="n"/>
      <c r="BM157" s="50" t="n"/>
      <c r="BN157" s="50" t="n"/>
      <c r="BO157" s="50" t="n"/>
      <c r="BP157" s="50" t="n"/>
      <c r="BQ157" s="50" t="n"/>
      <c r="BR157" s="50" t="n"/>
      <c r="BS157" s="50" t="n"/>
      <c r="BT157" s="50" t="n"/>
      <c r="BU157" s="50" t="n"/>
      <c r="BV157" s="50" t="n"/>
      <c r="BW157" s="50" t="n"/>
      <c r="BX157" s="50" t="n"/>
      <c r="BY157" s="50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</row>
    <row r="158" hidden="1" outlineLevel="1">
      <c r="C158" s="50" t="inlineStr">
        <is>
          <t>Com Vendas</t>
        </is>
      </c>
      <c r="D158" s="11" t="n"/>
      <c r="E158" s="11" t="n"/>
      <c r="F158" s="11" t="n"/>
      <c r="G158" s="11" t="n"/>
      <c r="H158" s="50" t="n"/>
      <c r="I158" s="11" t="n"/>
      <c r="J158" s="11" t="n"/>
      <c r="K158" s="11" t="n"/>
      <c r="L158" s="11" t="n"/>
      <c r="M158" s="50" t="n"/>
      <c r="N158" s="11" t="n"/>
      <c r="O158" s="11" t="n"/>
      <c r="P158" s="11" t="n"/>
      <c r="Q158" s="11" t="n"/>
      <c r="R158" s="50" t="n"/>
      <c r="S158" s="11" t="n"/>
      <c r="T158" s="11" t="n"/>
      <c r="U158" s="11" t="n"/>
      <c r="V158" s="11" t="n"/>
      <c r="W158" s="50" t="n"/>
      <c r="X158" s="11" t="n"/>
      <c r="Y158" s="11" t="n"/>
      <c r="Z158" s="11" t="n"/>
      <c r="AA158" s="11" t="n"/>
      <c r="AB158" s="50" t="n"/>
      <c r="AC158" s="11" t="n"/>
      <c r="AD158" s="11" t="n"/>
      <c r="AE158" s="11" t="n"/>
      <c r="AF158" s="11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50" t="n"/>
      <c r="BB158" s="50" t="n"/>
      <c r="BC158" s="50" t="n"/>
      <c r="BD158" s="50" t="n"/>
      <c r="BE158" s="50" t="n"/>
      <c r="BF158" s="50" t="n"/>
      <c r="BG158" s="50" t="n"/>
      <c r="BH158" s="50" t="n"/>
      <c r="BI158" s="50" t="n"/>
      <c r="BJ158" s="50" t="n"/>
      <c r="BK158" s="50" t="n"/>
      <c r="BL158" s="50" t="n"/>
      <c r="BM158" s="50" t="n"/>
      <c r="BN158" s="50" t="n"/>
      <c r="BO158" s="50" t="n"/>
      <c r="BP158" s="50" t="n"/>
      <c r="BQ158" s="50" t="n"/>
      <c r="BR158" s="50" t="n"/>
      <c r="BS158" s="50" t="n"/>
      <c r="BT158" s="50" t="n"/>
      <c r="BU158" s="50" t="n"/>
      <c r="BV158" s="50" t="n"/>
      <c r="BW158" s="50" t="n"/>
      <c r="BX158" s="50" t="n"/>
      <c r="BY158" s="50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</row>
    <row r="159" hidden="1" outlineLevel="1">
      <c r="C159" s="50" t="inlineStr">
        <is>
          <t>Gerais &amp; Administrativas</t>
        </is>
      </c>
      <c r="D159" s="11" t="n"/>
      <c r="E159" s="11" t="n"/>
      <c r="F159" s="11" t="n"/>
      <c r="G159" s="11" t="n"/>
      <c r="H159" s="50" t="n"/>
      <c r="I159" s="11" t="n"/>
      <c r="J159" s="11" t="n"/>
      <c r="K159" s="11" t="n"/>
      <c r="L159" s="11" t="n"/>
      <c r="M159" s="50" t="n"/>
      <c r="N159" s="11" t="n"/>
      <c r="O159" s="11" t="n"/>
      <c r="P159" s="11" t="n"/>
      <c r="Q159" s="11" t="n"/>
      <c r="R159" s="50" t="n"/>
      <c r="S159" s="11" t="n"/>
      <c r="T159" s="11" t="n"/>
      <c r="U159" s="11" t="n"/>
      <c r="V159" s="11" t="n"/>
      <c r="W159" s="50" t="n"/>
      <c r="X159" s="11" t="n"/>
      <c r="Y159" s="11" t="n"/>
      <c r="Z159" s="11" t="n"/>
      <c r="AA159" s="11" t="n"/>
      <c r="AB159" s="50" t="n"/>
      <c r="AC159" s="11" t="n"/>
      <c r="AD159" s="11" t="n"/>
      <c r="AE159" s="11" t="n"/>
      <c r="AF159" s="11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50" t="n"/>
      <c r="BB159" s="50" t="n"/>
      <c r="BC159" s="50" t="n"/>
      <c r="BD159" s="50" t="n"/>
      <c r="BE159" s="50" t="n"/>
      <c r="BF159" s="50" t="n"/>
      <c r="BG159" s="50" t="n"/>
      <c r="BH159" s="50" t="n"/>
      <c r="BI159" s="50" t="n"/>
      <c r="BJ159" s="50" t="n"/>
      <c r="BK159" s="50" t="n"/>
      <c r="BL159" s="50" t="n"/>
      <c r="BM159" s="50" t="n"/>
      <c r="BN159" s="50" t="n"/>
      <c r="BO159" s="50" t="n"/>
      <c r="BP159" s="50" t="n"/>
      <c r="BQ159" s="50" t="n"/>
      <c r="BR159" s="50" t="n"/>
      <c r="BS159" s="50" t="n"/>
      <c r="BT159" s="50" t="n"/>
      <c r="BU159" s="50" t="n"/>
      <c r="BV159" s="50" t="n"/>
      <c r="BW159" s="50" t="n"/>
      <c r="BX159" s="50" t="n"/>
      <c r="BY159" s="50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</row>
    <row r="160" hidden="1" outlineLevel="1">
      <c r="C160" s="50" t="inlineStr">
        <is>
          <t>Outras Receitas (Despesas) Operacionais, Líquidas</t>
        </is>
      </c>
      <c r="D160" s="11" t="n"/>
      <c r="E160" s="11" t="n"/>
      <c r="F160" s="11" t="n"/>
      <c r="G160" s="11" t="n"/>
      <c r="H160" s="50" t="n"/>
      <c r="I160" s="11" t="n"/>
      <c r="J160" s="11" t="n"/>
      <c r="K160" s="11" t="n"/>
      <c r="L160" s="11" t="n"/>
      <c r="M160" s="50" t="n"/>
      <c r="N160" s="11" t="n"/>
      <c r="O160" s="11" t="n"/>
      <c r="P160" s="11" t="n"/>
      <c r="Q160" s="11" t="n"/>
      <c r="R160" s="50" t="n"/>
      <c r="S160" s="11" t="n"/>
      <c r="T160" s="11" t="n"/>
      <c r="U160" s="11" t="n"/>
      <c r="V160" s="11" t="n"/>
      <c r="W160" s="50" t="n"/>
      <c r="X160" s="11" t="n"/>
      <c r="Y160" s="11" t="n"/>
      <c r="Z160" s="11" t="n"/>
      <c r="AA160" s="11" t="n"/>
      <c r="AB160" s="50" t="n"/>
      <c r="AC160" s="11" t="n"/>
      <c r="AD160" s="11" t="n"/>
      <c r="AE160" s="11" t="n"/>
      <c r="AF160" s="11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50" t="n"/>
      <c r="BB160" s="50" t="n"/>
      <c r="BC160" s="50" t="n"/>
      <c r="BD160" s="50" t="n"/>
      <c r="BE160" s="50" t="n"/>
      <c r="BF160" s="50" t="n"/>
      <c r="BG160" s="50" t="n"/>
      <c r="BH160" s="50" t="n"/>
      <c r="BI160" s="50" t="n"/>
      <c r="BJ160" s="50" t="n"/>
      <c r="BK160" s="50" t="n"/>
      <c r="BL160" s="50" t="n"/>
      <c r="BM160" s="50" t="n"/>
      <c r="BN160" s="50" t="n"/>
      <c r="BO160" s="50" t="n"/>
      <c r="BP160" s="50" t="n"/>
      <c r="BQ160" s="50" t="n"/>
      <c r="BR160" s="50" t="n"/>
      <c r="BS160" s="50" t="n"/>
      <c r="BT160" s="50" t="n"/>
      <c r="BU160" s="50" t="n"/>
      <c r="BV160" s="50" t="n"/>
      <c r="BW160" s="50" t="n"/>
      <c r="BX160" s="50" t="n"/>
      <c r="BY160" s="50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</row>
    <row r="161" hidden="1" outlineLevel="1"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50" t="n"/>
      <c r="BB161" s="50" t="n"/>
      <c r="BC161" s="50" t="n"/>
      <c r="BD161" s="50" t="n"/>
      <c r="BE161" s="50" t="n"/>
      <c r="BF161" s="50" t="n"/>
      <c r="BG161" s="50" t="n"/>
      <c r="BH161" s="50" t="n"/>
      <c r="BI161" s="50" t="n"/>
      <c r="BJ161" s="50" t="n"/>
      <c r="BK161" s="50" t="n"/>
      <c r="BL161" s="50" t="n"/>
      <c r="BM161" s="50" t="n"/>
      <c r="BN161" s="50" t="n"/>
      <c r="BO161" s="50" t="n"/>
      <c r="BP161" s="50" t="n"/>
      <c r="BQ161" s="50" t="n"/>
      <c r="BR161" s="50" t="n"/>
      <c r="BS161" s="50" t="n"/>
      <c r="BT161" s="50" t="n"/>
      <c r="BU161" s="50" t="n"/>
      <c r="BV161" s="50" t="n"/>
      <c r="BW161" s="50" t="n"/>
      <c r="BX161" s="50" t="n"/>
      <c r="BY161" s="50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</row>
    <row r="162" hidden="1" outlineLevel="1">
      <c r="C162" s="50" t="inlineStr">
        <is>
          <t>Com Vendas (%)</t>
        </is>
      </c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50" t="n"/>
      <c r="BB162" s="50" t="n"/>
      <c r="BC162" s="50" t="n"/>
      <c r="BD162" s="50" t="n"/>
      <c r="BE162" s="50" t="n"/>
      <c r="BF162" s="50" t="n"/>
      <c r="BG162" s="50" t="n"/>
      <c r="BH162" s="50" t="n"/>
      <c r="BI162" s="50" t="n"/>
      <c r="BJ162" s="50" t="n"/>
      <c r="BK162" s="50" t="n"/>
      <c r="BL162" s="50" t="n"/>
      <c r="BM162" s="50" t="n"/>
      <c r="BN162" s="50" t="n"/>
      <c r="BO162" s="50" t="n"/>
      <c r="BP162" s="50" t="n"/>
      <c r="BQ162" s="50" t="n"/>
      <c r="BR162" s="50" t="n"/>
      <c r="BS162" s="50" t="n"/>
      <c r="BT162" s="50" t="n"/>
      <c r="BU162" s="50" t="n"/>
      <c r="BV162" s="50" t="n"/>
      <c r="BW162" s="50" t="n"/>
      <c r="BX162" s="50" t="n"/>
      <c r="BY162" s="50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</row>
    <row r="163" hidden="1" outlineLevel="1">
      <c r="C163" s="50" t="inlineStr">
        <is>
          <t>Gerais &amp; Administrativas (%)</t>
        </is>
      </c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50" t="n"/>
      <c r="BB163" s="50" t="n"/>
      <c r="BC163" s="50" t="n"/>
      <c r="BD163" s="50" t="n"/>
      <c r="BE163" s="50" t="n"/>
      <c r="BF163" s="50" t="n"/>
      <c r="BG163" s="50" t="n"/>
      <c r="BH163" s="50" t="n"/>
      <c r="BI163" s="50" t="n"/>
      <c r="BJ163" s="50" t="n"/>
      <c r="BK163" s="50" t="n"/>
      <c r="BL163" s="50" t="n"/>
      <c r="BM163" s="50" t="n"/>
      <c r="BN163" s="50" t="n"/>
      <c r="BO163" s="50" t="n"/>
      <c r="BP163" s="50" t="n"/>
      <c r="BQ163" s="50" t="n"/>
      <c r="BR163" s="50" t="n"/>
      <c r="BS163" s="50" t="n"/>
      <c r="BT163" s="50" t="n"/>
      <c r="BU163" s="50" t="n"/>
      <c r="BV163" s="50" t="n"/>
      <c r="BW163" s="50" t="n"/>
      <c r="BX163" s="50" t="n"/>
      <c r="BY163" s="50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</row>
    <row r="164" hidden="1" outlineLevel="1">
      <c r="C164" s="50" t="inlineStr">
        <is>
          <t>Outras Receitas (Despesas) Operacionais, Líquidas (%)</t>
        </is>
      </c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50" t="n"/>
      <c r="BB164" s="50" t="n"/>
      <c r="BC164" s="50" t="n"/>
      <c r="BD164" s="50" t="n"/>
      <c r="BE164" s="50" t="n"/>
      <c r="BF164" s="50" t="n"/>
      <c r="BG164" s="50" t="n"/>
      <c r="BH164" s="50" t="n"/>
      <c r="BI164" s="50" t="n"/>
      <c r="BJ164" s="50" t="n"/>
      <c r="BK164" s="50" t="n"/>
      <c r="BL164" s="50" t="n"/>
      <c r="BM164" s="50" t="n"/>
      <c r="BN164" s="50" t="n"/>
      <c r="BO164" s="50" t="n"/>
      <c r="BP164" s="50" t="n"/>
      <c r="BQ164" s="50" t="n"/>
      <c r="BR164" s="50" t="n"/>
      <c r="BS164" s="50" t="n"/>
      <c r="BT164" s="50" t="n"/>
      <c r="BU164" s="50" t="n"/>
      <c r="BV164" s="50" t="n"/>
      <c r="BW164" s="50" t="n"/>
      <c r="BX164" s="50" t="n"/>
      <c r="BY164" s="50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</row>
    <row r="165" hidden="1" outlineLevel="1"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50" t="n"/>
      <c r="BB165" s="50" t="n"/>
      <c r="BC165" s="50" t="n"/>
      <c r="BD165" s="50" t="n"/>
      <c r="BE165" s="50" t="n"/>
      <c r="BF165" s="50" t="n"/>
      <c r="BG165" s="50" t="n"/>
      <c r="BH165" s="50" t="n"/>
      <c r="BI165" s="50" t="n"/>
      <c r="BJ165" s="50" t="n"/>
      <c r="BK165" s="50" t="n"/>
      <c r="BL165" s="50" t="n"/>
      <c r="BM165" s="50" t="n"/>
      <c r="BN165" s="50" t="n"/>
      <c r="BO165" s="50" t="n"/>
      <c r="BP165" s="50" t="n"/>
      <c r="BQ165" s="50" t="n"/>
      <c r="BR165" s="50" t="n"/>
      <c r="BS165" s="50" t="n"/>
      <c r="BT165" s="50" t="n"/>
      <c r="BU165" s="50" t="n"/>
      <c r="BV165" s="50" t="n"/>
      <c r="BW165" s="50" t="n"/>
      <c r="BX165" s="50" t="n"/>
      <c r="BY165" s="50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</row>
    <row r="166" collapsed="1" customFormat="1" s="32">
      <c r="A166" s="30" t="n"/>
      <c r="B166" s="3" t="n"/>
      <c r="C166" s="33" t="inlineStr">
        <is>
          <t>EBITDA</t>
        </is>
      </c>
      <c r="D166" s="35" t="n"/>
      <c r="E166" s="35" t="n"/>
      <c r="F166" s="35" t="n"/>
      <c r="G166" s="35" t="n"/>
      <c r="H166" s="35" t="n"/>
      <c r="I166" s="35">
        <f>SUM(I15,I151,I155)</f>
        <v>1106.655</v>
      </c>
      <c r="J166" s="35">
        <f>SUM(J15,J151,J155)</f>
        <v>1127.881</v>
      </c>
      <c r="K166" s="35">
        <f>SUM(K15,K151,K155)</f>
        <v>901.636</v>
      </c>
      <c r="L166" s="35">
        <f>SUM(L15,L151,L155)</f>
        <v>778.148</v>
      </c>
      <c r="M166" s="35">
        <f>SUM(I166:L166)</f>
        <v>3914.32</v>
      </c>
      <c r="N166" s="35">
        <f>SUM(N15,N151,N155)</f>
        <v>1131.657</v>
      </c>
      <c r="O166" s="35">
        <f>SUM(O15,O151,O155)</f>
        <v>870.596</v>
      </c>
      <c r="P166" s="35">
        <f>SUM(P15,P151,P155)</f>
        <v>485.216</v>
      </c>
      <c r="Q166" s="35">
        <f>SUM(Q15,Q151,Q155)</f>
        <v>522.102</v>
      </c>
      <c r="R166" s="35">
        <f>SUM(N166:Q166)</f>
        <v>3009.571</v>
      </c>
      <c r="S166" s="35">
        <f>SUM(S15,S151,S155)</f>
        <v>810.701</v>
      </c>
      <c r="T166" s="35">
        <f>SUM(T15,T151,T155)</f>
        <v>615.958</v>
      </c>
      <c r="U166" s="35">
        <f>SUM(U15,U151,U155)</f>
        <v>448.83</v>
      </c>
      <c r="V166" s="35">
        <f>SUM(V15,V151,V155)</f>
        <v>594.95</v>
      </c>
      <c r="W166" s="35">
        <f>SUM(S166:V166)</f>
        <v>2470.439</v>
      </c>
      <c r="X166" s="35">
        <f>SUM(X15,X151,X155)</f>
        <v>795.635</v>
      </c>
      <c r="Y166" s="35">
        <f>SUM(Y15,Y151,Y155)</f>
        <v>754.867</v>
      </c>
      <c r="Z166" s="35">
        <f>SUM(Z15,Z151,Z155)</f>
        <v>644.381</v>
      </c>
      <c r="AA166" s="35">
        <f>SUM(AA15,AA151,AA155)</f>
        <v>726.905</v>
      </c>
      <c r="AB166" s="35">
        <f>SUM(X166:AA166)</f>
        <v>2921.788</v>
      </c>
      <c r="AC166" s="35">
        <f>SUM(AC15,AC151,AC155)</f>
        <v>882.99</v>
      </c>
      <c r="AD166" s="35">
        <f>SUM(AD15,AD151,AD155)</f>
        <v>680.376</v>
      </c>
      <c r="AE166" s="35">
        <f>SUM(AE15,AE151,AE155)</f>
        <v>663.351</v>
      </c>
      <c r="AF166" s="35">
        <f>SUM(AF15,AF151,AF155)</f>
        <v>772.401</v>
      </c>
      <c r="AG166" s="35">
        <f>SUM(AC166:AF166)</f>
        <v>2999.118</v>
      </c>
      <c r="AH166" s="35">
        <f>SUM(AH15,AH151,AH155)</f>
        <v>787.116</v>
      </c>
      <c r="AI166" s="35">
        <f>SUM(AI15,AI151,AI155)</f>
        <v>1027.146</v>
      </c>
      <c r="AJ166" s="35">
        <f>SUM(AJ15,AJ151,AJ155)</f>
        <v>743.662246405667</v>
      </c>
      <c r="AK166" s="35">
        <f>SUM(AK15,AK151,AK155)</f>
        <v>898.288857760522</v>
      </c>
      <c r="AL166" s="35">
        <f>SUM(AH166:AK166)</f>
        <v>3456.21310416619</v>
      </c>
      <c r="AM166" s="35">
        <f>SUM(AM15,AM151,AM155)</f>
        <v>969.289912177135</v>
      </c>
      <c r="AN166" s="35">
        <f>SUM(AN15,AN151,AN155)</f>
        <v>1256.18586192418</v>
      </c>
      <c r="AO166" s="35">
        <f>SUM(AO15,AO151,AO155)</f>
        <v>865.059214655759</v>
      </c>
      <c r="AP166" s="35">
        <f>SUM(AP15,AP151,AP155)</f>
        <v>1044.92739490831</v>
      </c>
      <c r="AQ166" s="35">
        <f>SUM(AM166:AP166)</f>
        <v>4135.46238366539</v>
      </c>
      <c r="AR166" s="35">
        <f>SUM(AR15,AR151,AR155)</f>
        <v>1122.67235921874</v>
      </c>
      <c r="AS166" s="35">
        <f>SUM(AS15,AS151,AS155)</f>
        <v>1454.96731938125</v>
      </c>
      <c r="AT166" s="35">
        <f>SUM(AT15,AT151,AT155)</f>
        <v>1001.94797983621</v>
      </c>
      <c r="AU166" s="35">
        <f>SUM(AU15,AU151,AU155)</f>
        <v>1210.27887416993</v>
      </c>
      <c r="AV166" s="35">
        <f>SUM(AR166:AU166)</f>
        <v>4789.86653260613</v>
      </c>
      <c r="AW166" s="35">
        <f>SUM(AW15,AW151,AW155)</f>
        <v>1294.71300116254</v>
      </c>
      <c r="AX166" s="35">
        <f>SUM(AX15,AX151,AX155)</f>
        <v>1677.92953055369</v>
      </c>
      <c r="AY166" s="35">
        <f>SUM(AY15,AY151,AY155)</f>
        <v>1155.48856737259</v>
      </c>
      <c r="AZ166" s="35">
        <f>SUM(AZ15,AZ151,AZ155)</f>
        <v>1395.74452025397</v>
      </c>
      <c r="BA166" s="35">
        <f>SUM(AW166:AZ166)</f>
        <v>5523.87561934278</v>
      </c>
      <c r="BB166" s="35">
        <f>SUM(BB15,BB151,BB155)</f>
        <v>1486.64394306734</v>
      </c>
      <c r="BC166" s="35">
        <f>SUM(BC15,BC151,BC155)</f>
        <v>1926.6692859743</v>
      </c>
      <c r="BD166" s="35">
        <f>SUM(BD15,BD151,BD155)</f>
        <v>1326.78059031275</v>
      </c>
      <c r="BE166" s="35">
        <f>SUM(BE15,BE151,BE155)</f>
        <v>1602.65258419577</v>
      </c>
      <c r="BF166" s="35">
        <f>SUM(BB166:BE166)</f>
        <v>6342.74640355016</v>
      </c>
      <c r="BG166" s="35" t="n"/>
      <c r="BH166" s="35" t="n"/>
      <c r="BI166" s="35" t="n"/>
      <c r="BJ166" s="35" t="n"/>
      <c r="BK166" s="35" t="n"/>
      <c r="BL166" s="35" t="n"/>
      <c r="BM166" s="35" t="n"/>
      <c r="BN166" s="35" t="n"/>
      <c r="BO166" s="35" t="n"/>
      <c r="BP166" s="35" t="n"/>
      <c r="BQ166" s="35" t="n"/>
      <c r="BR166" s="35" t="n"/>
      <c r="BS166" s="35" t="n"/>
      <c r="BT166" s="35" t="n"/>
      <c r="BU166" s="35" t="n"/>
      <c r="BV166" s="35" t="n"/>
      <c r="BW166" s="35" t="n"/>
      <c r="BX166" s="35" t="n"/>
      <c r="BY166" s="35" t="n"/>
      <c r="BZ166" s="35" t="n"/>
      <c r="CA166" s="35" t="n"/>
      <c r="CB166" s="35" t="n"/>
      <c r="CC166" s="35" t="n"/>
      <c r="CD166" s="35" t="n"/>
      <c r="CE166" s="35" t="n"/>
      <c r="CF166" s="35" t="n"/>
      <c r="CG166" s="35" t="n"/>
      <c r="CH166" s="35" t="n"/>
      <c r="CI166" s="35" t="n"/>
      <c r="CJ166" s="35" t="n"/>
      <c r="CK166" s="35" t="n"/>
      <c r="CL166" s="35" t="n"/>
      <c r="CM166" s="35" t="n"/>
      <c r="CN166" s="35" t="n"/>
      <c r="CO166" s="35" t="n"/>
      <c r="CP166" s="35" t="n"/>
      <c r="CQ166" s="35" t="n"/>
      <c r="CR166" s="35" t="n"/>
      <c r="CS166" s="35" t="n"/>
      <c r="CT166" s="35" t="n"/>
      <c r="CU166" s="35" t="n"/>
      <c r="CV166" s="35" t="n"/>
      <c r="CW166" s="35" t="n"/>
      <c r="CX166" s="35" t="n"/>
      <c r="CY166" s="35" t="n"/>
    </row>
    <row r="167" ht="13.5" customHeight="1">
      <c r="C167" s="13" t="inlineStr">
        <is>
          <t>D&amp;A</t>
        </is>
      </c>
      <c r="D167" s="46" t="n"/>
      <c r="E167" s="46" t="n"/>
      <c r="F167" s="46" t="n"/>
      <c r="G167" s="46" t="n"/>
      <c r="H167" s="12" t="n"/>
      <c r="I167" s="46">
        <f>'Inputs (2)'!D7</f>
        <v>-29.436</v>
      </c>
      <c r="J167" s="46">
        <f>'Inputs (2)'!E7</f>
        <v>-29.857</v>
      </c>
      <c r="K167" s="46">
        <f>'Inputs (2)'!F7</f>
        <v>-44.401</v>
      </c>
      <c r="L167" s="46">
        <f>'Inputs (2)'!G7</f>
        <v>-35.869</v>
      </c>
      <c r="M167" s="12">
        <f>'Inputs (2)'!H7</f>
        <v>-139.563</v>
      </c>
      <c r="N167" s="46">
        <f>'Inputs (2)'!I7</f>
        <v>-38.507</v>
      </c>
      <c r="O167" s="46">
        <f>'Inputs (2)'!J7</f>
        <v>-36.456</v>
      </c>
      <c r="P167" s="46">
        <f>'Inputs (2)'!K7</f>
        <v>-36.74</v>
      </c>
      <c r="Q167" s="46">
        <f>'Inputs (2)'!L7</f>
        <v>-37.879</v>
      </c>
      <c r="R167" s="12">
        <f>'Inputs (2)'!M7</f>
        <v>-149.582</v>
      </c>
      <c r="S167" s="46">
        <f>'Inputs (2)'!N7</f>
        <v>-34.786</v>
      </c>
      <c r="T167" s="46">
        <f>'Inputs (2)'!O7</f>
        <v>-36.346</v>
      </c>
      <c r="U167" s="46">
        <f>'Inputs (2)'!P7</f>
        <v>-40.913</v>
      </c>
      <c r="V167" s="46">
        <f>'Inputs (2)'!Q7</f>
        <v>-41.867</v>
      </c>
      <c r="W167" s="12">
        <f>'Inputs (2)'!R7</f>
        <v>-153.912</v>
      </c>
      <c r="X167" s="46">
        <f>'Inputs (2)'!S7</f>
        <v>-42.888</v>
      </c>
      <c r="Y167" s="46">
        <f>'Inputs (2)'!T7</f>
        <v>-43.985</v>
      </c>
      <c r="Z167" s="46">
        <f>'Inputs (2)'!U7</f>
        <v>-45.859</v>
      </c>
      <c r="AA167" s="46">
        <f>'Inputs (2)'!V7</f>
        <v>-45.423</v>
      </c>
      <c r="AB167" s="12">
        <f>'Inputs (2)'!W7</f>
        <v>-178.155</v>
      </c>
      <c r="AC167" s="46">
        <f>'Inputs (2)'!X7</f>
        <v>-41.263</v>
      </c>
      <c r="AD167" s="46">
        <f>'Inputs (2)'!Y7</f>
        <v>-45.418</v>
      </c>
      <c r="AE167" s="46">
        <f>'Inputs (2)'!Z7</f>
        <v>-47.651</v>
      </c>
      <c r="AF167" s="46">
        <f>'Inputs (2)'!AA7</f>
        <v>-51.46</v>
      </c>
      <c r="AG167" s="12">
        <f>'Inputs (2)'!AB7</f>
        <v>-185.792</v>
      </c>
      <c r="AH167" s="12">
        <f>'Inputs (2)'!AC7</f>
        <v>-56.114</v>
      </c>
      <c r="AI167" s="12">
        <f>'Inputs (2)'!AD7</f>
        <v>-51.589</v>
      </c>
      <c r="AJ167" s="12">
        <f>-AJ168*AJ15</f>
        <v>-46.1638102135604</v>
      </c>
      <c r="AK167" s="12">
        <f>-AK168*AK15</f>
        <v>-55.7624601047606</v>
      </c>
      <c r="AL167" s="12">
        <f>SUM(AH167:AK167)</f>
        <v>-209.629270318321</v>
      </c>
      <c r="AM167" s="12">
        <f>-AM168*AM15</f>
        <v>-60.169943766723</v>
      </c>
      <c r="AN167" s="12">
        <f>-AN168*AN15</f>
        <v>-77.979386479695</v>
      </c>
      <c r="AO167" s="12">
        <f>-AO168*AO15</f>
        <v>-53.6996863856873</v>
      </c>
      <c r="AP167" s="12">
        <f>-AP168*AP15</f>
        <v>-64.8652398029409</v>
      </c>
      <c r="AQ167" s="12">
        <f>SUM(AM167:AP167)</f>
        <v>-256.714256435046</v>
      </c>
      <c r="AR167" s="12">
        <f>-AR168*AR15</f>
        <v>-69.6913605248595</v>
      </c>
      <c r="AS167" s="12">
        <f>-AS168*AS15</f>
        <v>-90.3190064084675</v>
      </c>
      <c r="AT167" s="12">
        <f>-AT168*AT15</f>
        <v>-62.19723618965</v>
      </c>
      <c r="AU167" s="12">
        <f>-AU168*AU15</f>
        <v>-75.1296499488888</v>
      </c>
      <c r="AV167" s="12">
        <f>SUM(AR167:AU167)</f>
        <v>-297.337253071866</v>
      </c>
      <c r="AW167" s="12">
        <f>-AW168*AW15</f>
        <v>-80.3710092257294</v>
      </c>
      <c r="AX167" s="12">
        <f>-AX168*AX15</f>
        <v>-104.159678368229</v>
      </c>
      <c r="AY167" s="12">
        <f>-AY168*AY15</f>
        <v>-71.728469726604</v>
      </c>
      <c r="AZ167" s="12">
        <f>-AZ168*AZ15</f>
        <v>-86.6426734058961</v>
      </c>
      <c r="BA167" s="12">
        <f>SUM(AW167:AZ167)</f>
        <v>-342.901830726458</v>
      </c>
      <c r="BB167" s="12">
        <f>-BB168*BB15</f>
        <v>-92.2853744083476</v>
      </c>
      <c r="BC167" s="12">
        <f>-BC168*BC15</f>
        <v>-119.600525227545</v>
      </c>
      <c r="BD167" s="12">
        <f>-BD168*BD15</f>
        <v>-82.3616469200483</v>
      </c>
      <c r="BE167" s="12">
        <f>-BE168*BE15</f>
        <v>-99.4867631006874</v>
      </c>
      <c r="BF167" s="12">
        <f>SUM(BB167:BE167)</f>
        <v>-393.734309656628</v>
      </c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 customFormat="1" s="56">
      <c r="A168" s="53" t="n"/>
      <c r="B168" s="53" t="n"/>
      <c r="C168" s="54" t="inlineStr">
        <is>
          <t>% of Revenue</t>
        </is>
      </c>
      <c r="D168" s="53" t="n"/>
      <c r="E168" s="53" t="n"/>
      <c r="F168" s="53" t="n"/>
      <c r="G168" s="53" t="n"/>
      <c r="H168" s="53" t="n"/>
      <c r="I168" s="53">
        <f>IFERROR(-I167/I15,"")</f>
        <v>0.0183805669027409</v>
      </c>
      <c r="J168" s="53">
        <f>IFERROR(-J167/J15,"")</f>
        <v>0.0223289840039308</v>
      </c>
      <c r="K168" s="53">
        <f>IFERROR(-K167/K15,"")</f>
        <v>0.0380258844244689</v>
      </c>
      <c r="L168" s="53">
        <f>IFERROR(-L167/L15,"")</f>
        <v>0.0318004221852029</v>
      </c>
      <c r="M168" s="53" t="n"/>
      <c r="N168" s="53">
        <f>IFERROR(-N167/N15,"")</f>
        <v>0.030071377252991</v>
      </c>
      <c r="O168" s="53">
        <f>IFERROR(-O167/O15,"")</f>
        <v>0.03120583645697</v>
      </c>
      <c r="P168" s="53">
        <f>IFERROR(-P167/P15,"")</f>
        <v>0.0562927960849387</v>
      </c>
      <c r="Q168" s="53">
        <f>IFERROR(-Q167/Q15,"")</f>
        <v>0.0517270574611559</v>
      </c>
      <c r="R168" s="53" t="n"/>
      <c r="S168" s="53">
        <f>IFERROR(-S167/S15,"")</f>
        <v>0.0346475138869937</v>
      </c>
      <c r="T168" s="53">
        <f>IFERROR(-T167/T15,"")</f>
        <v>0.0465881182737811</v>
      </c>
      <c r="U168" s="53">
        <f>IFERROR(-U167/U15,"")</f>
        <v>0.0630442386783716</v>
      </c>
      <c r="V168" s="53">
        <f>IFERROR(-V167/V15,"")</f>
        <v>0.047669796680068</v>
      </c>
      <c r="W168" s="53" t="n"/>
      <c r="X168" s="53">
        <f>IFERROR(-X167/X15,"")</f>
        <v>0.0430371236333897</v>
      </c>
      <c r="Y168" s="53">
        <f>IFERROR(-Y167/Y15,"")</f>
        <v>0.0461207601615616</v>
      </c>
      <c r="Z168" s="53">
        <f>IFERROR(-Z167/Z15,"")</f>
        <v>0.0493868509219044</v>
      </c>
      <c r="AA168" s="53">
        <f>IFERROR(-AA167/AA15,"")</f>
        <v>0.0404367449768986</v>
      </c>
      <c r="AB168" s="53" t="n"/>
      <c r="AC168" s="53">
        <f>IFERROR(-AC167/AC15,"")</f>
        <v>0.0337190117762809</v>
      </c>
      <c r="AD168" s="53">
        <f>IFERROR(-AD167/AD15,"")</f>
        <v>0.0433733789178142</v>
      </c>
      <c r="AE168" s="53">
        <f>IFERROR(-AE167/AE15,"")</f>
        <v>0.0494636960698726</v>
      </c>
      <c r="AF168" s="55">
        <f>IFERROR(-AF167/AF15,"")</f>
        <v>0.0442225772326773</v>
      </c>
      <c r="AG168" s="53" t="n"/>
      <c r="AH168" s="55">
        <f>IFERROR(-AH167/AH15,"")</f>
        <v>0.0446897386581292</v>
      </c>
      <c r="AI168" s="55">
        <f>IFERROR(-AI167/AI15,"")</f>
        <v>0.0317024983331131</v>
      </c>
      <c r="AJ168" s="55">
        <f>Control!$B$21</f>
        <v>0.0411951501646479</v>
      </c>
      <c r="AK168" s="55">
        <f>Control!$B$21</f>
        <v>0.0411951501646479</v>
      </c>
      <c r="AL168" s="53" t="n"/>
      <c r="AM168" s="55">
        <f>Control!$C$21</f>
        <v>0.0411951501646479</v>
      </c>
      <c r="AN168" s="55">
        <f>Control!$C$21</f>
        <v>0.0411951501646479</v>
      </c>
      <c r="AO168" s="55">
        <f>Control!$C$21</f>
        <v>0.0411951501646479</v>
      </c>
      <c r="AP168" s="55">
        <f>Control!$C$21</f>
        <v>0.0411951501646479</v>
      </c>
      <c r="AQ168" s="53" t="n"/>
      <c r="AR168" s="55">
        <f>Control!$D$21</f>
        <v>0.0411951501646479</v>
      </c>
      <c r="AS168" s="55">
        <f>Control!$D$21</f>
        <v>0.0411951501646479</v>
      </c>
      <c r="AT168" s="55">
        <f>Control!$D$21</f>
        <v>0.0411951501646479</v>
      </c>
      <c r="AU168" s="55">
        <f>Control!$D$21</f>
        <v>0.0411951501646479</v>
      </c>
      <c r="AV168" s="53" t="n"/>
      <c r="AW168" s="55">
        <f>Control!$E$21</f>
        <v>0.0411951501646479</v>
      </c>
      <c r="AX168" s="55">
        <f>Control!$E$21</f>
        <v>0.0411951501646479</v>
      </c>
      <c r="AY168" s="55">
        <f>Control!$E$21</f>
        <v>0.0411951501646479</v>
      </c>
      <c r="AZ168" s="55">
        <f>Control!$E$21</f>
        <v>0.0411951501646479</v>
      </c>
      <c r="BA168" s="53" t="n"/>
      <c r="BB168" s="55">
        <f>Control!$F$21</f>
        <v>0.0411951501646479</v>
      </c>
      <c r="BC168" s="55">
        <f>Control!$F$21</f>
        <v>0.0411951501646479</v>
      </c>
      <c r="BD168" s="55">
        <f>Control!$F$21</f>
        <v>0.0411951501646479</v>
      </c>
      <c r="BE168" s="55">
        <f>Control!$F$21</f>
        <v>0.0411951501646479</v>
      </c>
      <c r="BF168" s="53" t="n"/>
      <c r="BG168" s="55" t="n"/>
      <c r="BH168" s="55" t="n"/>
      <c r="BI168" s="55" t="n"/>
      <c r="BJ168" s="55" t="n"/>
      <c r="BK168" s="53" t="n"/>
      <c r="BL168" s="55" t="n"/>
      <c r="BM168" s="55" t="n"/>
      <c r="BN168" s="55" t="n"/>
      <c r="BO168" s="55" t="n"/>
      <c r="BP168" s="53" t="n"/>
      <c r="BQ168" s="55" t="n"/>
      <c r="BR168" s="55" t="n"/>
      <c r="BS168" s="55" t="n"/>
      <c r="BT168" s="55" t="n"/>
      <c r="BU168" s="53" t="n"/>
      <c r="BV168" s="55" t="n"/>
      <c r="BW168" s="55" t="n"/>
      <c r="BX168" s="55" t="n"/>
      <c r="BY168" s="55" t="n"/>
      <c r="BZ168" s="53" t="n"/>
      <c r="CA168" s="55" t="n"/>
      <c r="CB168" s="55" t="n"/>
      <c r="CC168" s="55" t="n"/>
      <c r="CD168" s="55" t="n"/>
      <c r="CE168" s="53" t="n"/>
      <c r="CF168" s="55" t="n"/>
      <c r="CG168" s="55" t="n"/>
      <c r="CH168" s="55" t="n"/>
      <c r="CI168" s="55" t="n"/>
      <c r="CJ168" s="53" t="n"/>
      <c r="CK168" s="55" t="n"/>
      <c r="CL168" s="55" t="n"/>
      <c r="CM168" s="55" t="n"/>
      <c r="CN168" s="55" t="n"/>
      <c r="CO168" s="53" t="n"/>
      <c r="CP168" s="55" t="n"/>
      <c r="CQ168" s="55" t="n"/>
      <c r="CR168" s="55" t="n"/>
      <c r="CS168" s="55" t="n"/>
      <c r="CT168" s="53" t="n"/>
      <c r="CU168" s="55" t="n"/>
      <c r="CV168" s="55" t="n"/>
      <c r="CW168" s="55" t="n"/>
      <c r="CX168" s="55" t="n"/>
      <c r="CY168" s="53" t="n"/>
    </row>
    <row r="169" hidden="1" outlineLevel="1">
      <c r="C169" s="50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collapsed="1" customFormat="1" s="32">
      <c r="A170" s="30" t="n"/>
      <c r="B170" s="3" t="n"/>
      <c r="C170" s="33" t="inlineStr">
        <is>
          <t>Operating Profit - EBIT</t>
        </is>
      </c>
      <c r="D170" s="35" t="n"/>
      <c r="E170" s="35" t="n"/>
      <c r="F170" s="35" t="n"/>
      <c r="G170" s="35" t="n"/>
      <c r="H170" s="35" t="n"/>
      <c r="I170" s="35">
        <f>SUM(I166,I167)</f>
        <v>1077.219</v>
      </c>
      <c r="J170" s="35">
        <f>SUM(J166,J167)</f>
        <v>1098.024</v>
      </c>
      <c r="K170" s="35">
        <f>SUM(K166,K167)</f>
        <v>857.235</v>
      </c>
      <c r="L170" s="35">
        <f>SUM(L166,L167)</f>
        <v>742.279</v>
      </c>
      <c r="M170" s="35">
        <f>SUM(I170:L170)</f>
        <v>3774.757</v>
      </c>
      <c r="N170" s="35">
        <f>SUM(N166,N167)</f>
        <v>1093.15</v>
      </c>
      <c r="O170" s="35">
        <f>SUM(O166,O167)</f>
        <v>834.14</v>
      </c>
      <c r="P170" s="35">
        <f>SUM(P166,P167)</f>
        <v>448.476</v>
      </c>
      <c r="Q170" s="35">
        <f>SUM(Q166,Q167)</f>
        <v>484.223</v>
      </c>
      <c r="R170" s="35">
        <f>SUM(N170:Q170)</f>
        <v>2859.989</v>
      </c>
      <c r="S170" s="35">
        <f>SUM(S166,S167)</f>
        <v>775.915</v>
      </c>
      <c r="T170" s="35">
        <f>SUM(T166,T167)</f>
        <v>579.612</v>
      </c>
      <c r="U170" s="35">
        <f>SUM(U166,U167)</f>
        <v>407.917</v>
      </c>
      <c r="V170" s="35">
        <f>SUM(V166,V167)</f>
        <v>553.083</v>
      </c>
      <c r="W170" s="35">
        <f>SUM(S170:V170)</f>
        <v>2316.527</v>
      </c>
      <c r="X170" s="35">
        <f>SUM(X166,X167)</f>
        <v>752.747</v>
      </c>
      <c r="Y170" s="35">
        <f>SUM(Y166,Y167)</f>
        <v>710.882</v>
      </c>
      <c r="Z170" s="35">
        <f>SUM(Z166,Z167)</f>
        <v>598.522</v>
      </c>
      <c r="AA170" s="35">
        <f>SUM(AA166,AA167)</f>
        <v>681.482</v>
      </c>
      <c r="AB170" s="35">
        <f>SUM(X170:AA170)</f>
        <v>2743.633</v>
      </c>
      <c r="AC170" s="35">
        <f>SUM(AC166,AC167)</f>
        <v>841.727</v>
      </c>
      <c r="AD170" s="35">
        <f>SUM(AD166,AD167)</f>
        <v>634.958</v>
      </c>
      <c r="AE170" s="35">
        <f>SUM(AE166,AE167)</f>
        <v>615.7</v>
      </c>
      <c r="AF170" s="35">
        <f>SUM(AF166,AF167)</f>
        <v>720.941</v>
      </c>
      <c r="AG170" s="35">
        <f>SUM(AC170:AF170)</f>
        <v>2813.326</v>
      </c>
      <c r="AH170" s="35">
        <f>SUM(AH166,AH167)</f>
        <v>731.002</v>
      </c>
      <c r="AI170" s="35">
        <f>SUM(AI166,AI167)</f>
        <v>975.557</v>
      </c>
      <c r="AJ170" s="35">
        <f>SUM(AJ166,AJ167)</f>
        <v>697.498436192106</v>
      </c>
      <c r="AK170" s="35">
        <f>SUM(AK166,AK167)</f>
        <v>842.526397655761</v>
      </c>
      <c r="AL170" s="35">
        <f>SUM(AL166,AL167)</f>
        <v>3246.58383384787</v>
      </c>
      <c r="AM170" s="35">
        <f>SUM(AM166,AM167)</f>
        <v>909.119968410412</v>
      </c>
      <c r="AN170" s="35">
        <f>SUM(AN166,AN167)</f>
        <v>1178.20647544449</v>
      </c>
      <c r="AO170" s="35">
        <f>SUM(AO166,AO167)</f>
        <v>811.359528270071</v>
      </c>
      <c r="AP170" s="35">
        <f>SUM(AP166,AP167)</f>
        <v>980.06215510537</v>
      </c>
      <c r="AQ170" s="35">
        <f>SUM(AQ166,AQ167)</f>
        <v>3878.74812723034</v>
      </c>
      <c r="AR170" s="35">
        <f>SUM(AR166,AR167)</f>
        <v>1052.98099869389</v>
      </c>
      <c r="AS170" s="35">
        <f>SUM(AS166,AS167)</f>
        <v>1364.64831297278</v>
      </c>
      <c r="AT170" s="35">
        <f>SUM(AT166,AT167)</f>
        <v>939.750743646558</v>
      </c>
      <c r="AU170" s="35">
        <f>SUM(AU166,AU167)</f>
        <v>1135.14922422104</v>
      </c>
      <c r="AV170" s="35">
        <f>SUM(AV166,AV167)</f>
        <v>4492.52927953426</v>
      </c>
      <c r="AW170" s="35">
        <f>SUM(AW166,AW167)</f>
        <v>1214.34199193681</v>
      </c>
      <c r="AX170" s="35">
        <f>SUM(AX166,AX167)</f>
        <v>1573.76985218546</v>
      </c>
      <c r="AY170" s="35">
        <f>SUM(AY166,AY167)</f>
        <v>1083.76009764599</v>
      </c>
      <c r="AZ170" s="35">
        <f>SUM(AZ166,AZ167)</f>
        <v>1309.10184684807</v>
      </c>
      <c r="BA170" s="35">
        <f>SUM(BA166,BA167)</f>
        <v>5180.97378861633</v>
      </c>
      <c r="BB170" s="35">
        <f>SUM(BB166,BB167)</f>
        <v>1394.35856865899</v>
      </c>
      <c r="BC170" s="35">
        <f>SUM(BC166,BC167)</f>
        <v>1807.06876074675</v>
      </c>
      <c r="BD170" s="35">
        <f>SUM(BD166,BD167)</f>
        <v>1244.4189433927</v>
      </c>
      <c r="BE170" s="35">
        <f>SUM(BE166,BE167)</f>
        <v>1503.16582109508</v>
      </c>
      <c r="BF170" s="35">
        <f>SUM(BF166,BF167)</f>
        <v>5949.01209389353</v>
      </c>
      <c r="BG170" s="35" t="n"/>
      <c r="BH170" s="35" t="n"/>
      <c r="BI170" s="35" t="n"/>
      <c r="BJ170" s="35" t="n"/>
      <c r="BK170" s="35" t="n"/>
      <c r="BL170" s="35" t="n"/>
      <c r="BM170" s="35" t="n"/>
      <c r="BN170" s="35" t="n"/>
      <c r="BO170" s="35" t="n"/>
      <c r="BP170" s="35" t="n"/>
      <c r="BQ170" s="35" t="n"/>
      <c r="BR170" s="35" t="n"/>
      <c r="BS170" s="35" t="n"/>
      <c r="BT170" s="35" t="n"/>
      <c r="BU170" s="35" t="n"/>
      <c r="BV170" s="35" t="n"/>
      <c r="BW170" s="35" t="n"/>
      <c r="BX170" s="35" t="n"/>
      <c r="BY170" s="35" t="n"/>
      <c r="BZ170" s="35" t="n"/>
      <c r="CA170" s="35" t="n"/>
      <c r="CB170" s="35" t="n"/>
      <c r="CC170" s="35" t="n"/>
      <c r="CD170" s="35" t="n"/>
      <c r="CE170" s="35" t="n"/>
      <c r="CF170" s="35" t="n"/>
      <c r="CG170" s="35" t="n"/>
      <c r="CH170" s="35" t="n"/>
      <c r="CI170" s="35" t="n"/>
      <c r="CJ170" s="35" t="n"/>
      <c r="CK170" s="35" t="n"/>
      <c r="CL170" s="35" t="n"/>
      <c r="CM170" s="35" t="n"/>
      <c r="CN170" s="35" t="n"/>
      <c r="CO170" s="35" t="n"/>
      <c r="CP170" s="35" t="n"/>
      <c r="CQ170" s="35" t="n"/>
      <c r="CR170" s="35" t="n"/>
      <c r="CS170" s="35" t="n"/>
      <c r="CT170" s="35" t="n"/>
      <c r="CU170" s="35" t="n"/>
      <c r="CV170" s="35" t="n"/>
      <c r="CW170" s="35" t="n"/>
      <c r="CX170" s="35" t="n"/>
      <c r="CY170" s="35" t="n"/>
    </row>
    <row r="171">
      <c r="C171" s="14" t="inlineStr">
        <is>
          <t>Interest Expense</t>
        </is>
      </c>
      <c r="D171" s="46" t="n"/>
      <c r="E171" s="46" t="n"/>
      <c r="F171" s="46" t="n"/>
      <c r="G171" s="46" t="n"/>
      <c r="H171" s="12" t="n"/>
      <c r="I171" s="46">
        <f>'Inputs (2)'!D8</f>
        <v>-181.976</v>
      </c>
      <c r="J171" s="46">
        <f>'Inputs (2)'!E8</f>
        <v>-186.631</v>
      </c>
      <c r="K171" s="46">
        <f>'Inputs (2)'!F8</f>
        <v>-237.76</v>
      </c>
      <c r="L171" s="46">
        <f>'Inputs (2)'!G8</f>
        <v>-278.357</v>
      </c>
      <c r="M171" s="12">
        <f>'Inputs (2)'!H8</f>
        <v>-884.724</v>
      </c>
      <c r="N171" s="46">
        <f>'Inputs (2)'!I8</f>
        <v>-330.641</v>
      </c>
      <c r="O171" s="46">
        <f>'Inputs (2)'!J8</f>
        <v>-370.837</v>
      </c>
      <c r="P171" s="46">
        <f>'Inputs (2)'!K8</f>
        <v>-191.864</v>
      </c>
      <c r="Q171" s="46">
        <f>'Inputs (2)'!L8</f>
        <v>-287.488</v>
      </c>
      <c r="R171" s="12">
        <f>'Inputs (2)'!M8</f>
        <v>-1180.83</v>
      </c>
      <c r="S171" s="46">
        <f>'Inputs (2)'!N8</f>
        <v>-356.946</v>
      </c>
      <c r="T171" s="46">
        <f>'Inputs (2)'!O8</f>
        <v>-285.361</v>
      </c>
      <c r="U171" s="46">
        <f>'Inputs (2)'!P8</f>
        <v>-260.613</v>
      </c>
      <c r="V171" s="46">
        <f>'Inputs (2)'!Q8</f>
        <v>-263.293</v>
      </c>
      <c r="W171" s="12">
        <f>'Inputs (2)'!R8</f>
        <v>-1166.213</v>
      </c>
      <c r="X171" s="46">
        <f>'Inputs (2)'!S8</f>
        <v>-322.739</v>
      </c>
      <c r="Y171" s="46">
        <f>'Inputs (2)'!T8</f>
        <v>-285.754</v>
      </c>
      <c r="Z171" s="46">
        <f>'Inputs (2)'!U8</f>
        <v>-282.534</v>
      </c>
      <c r="AA171" s="46">
        <f>'Inputs (2)'!V8</f>
        <v>-331.378</v>
      </c>
      <c r="AB171" s="12">
        <f>'Inputs (2)'!W8</f>
        <v>-1222.405</v>
      </c>
      <c r="AC171" s="46">
        <f>'Inputs (2)'!X8</f>
        <v>-385.908</v>
      </c>
      <c r="AD171" s="46">
        <f>'Inputs (2)'!Y8</f>
        <v>-306.645</v>
      </c>
      <c r="AE171" s="46">
        <f>'Inputs (2)'!Z8</f>
        <v>-311.413</v>
      </c>
      <c r="AF171" s="46">
        <f>'Inputs (2)'!AA8</f>
        <v>-320.395</v>
      </c>
      <c r="AG171" s="12">
        <f>'Inputs (2)'!AB8</f>
        <v>-1324.361</v>
      </c>
      <c r="AH171" s="12">
        <f>'Inputs (2)'!AC8</f>
        <v>-362.798</v>
      </c>
      <c r="AI171" s="12">
        <f>'Inputs (2)'!AD8</f>
        <v>-389.195</v>
      </c>
      <c r="AJ171" s="12" t="str">
        <f>IF(Control!$E$9="","",-AI189*Control!$E$9/4)</f>
        <v/>
      </c>
      <c r="AK171" s="12" t="str">
        <f>IF(Control!$E$9="","",-AJ189*Control!$E$9/4)</f>
        <v/>
      </c>
      <c r="AL171" s="12">
        <f>SUM(AH171:AK171)</f>
        <v>-751.993</v>
      </c>
      <c r="AM171" s="12" t="str">
        <f>IF(Control!$E$9="","",-AL189*Control!$E$9/4)</f>
        <v/>
      </c>
      <c r="AN171" s="12" t="str">
        <f>IF(Control!$E$9="","",-AM189*Control!$E$9/4)</f>
        <v/>
      </c>
      <c r="AO171" s="12" t="str">
        <f>IF(Control!$E$9="","",-AN189*Control!$E$9/4)</f>
        <v/>
      </c>
      <c r="AP171" s="12" t="str">
        <f>IF(Control!$E$9="","",-AO189*Control!$E$9/4)</f>
        <v/>
      </c>
      <c r="AQ171" s="12">
        <f>SUM(AM171:AP171)</f>
        <v>0</v>
      </c>
      <c r="AR171" s="12" t="str">
        <f>IF(Control!$E$9="","",-AQ189*Control!$E$9/4)</f>
        <v/>
      </c>
      <c r="AS171" s="12" t="str">
        <f>IF(Control!$E$9="","",-AR189*Control!$E$9/4)</f>
        <v/>
      </c>
      <c r="AT171" s="12" t="str">
        <f>IF(Control!$E$9="","",-AS189*Control!$E$9/4)</f>
        <v/>
      </c>
      <c r="AU171" s="12" t="str">
        <f>IF(Control!$E$9="","",-AT189*Control!$E$9/4)</f>
        <v/>
      </c>
      <c r="AV171" s="12">
        <f>SUM(AR171:AU171)</f>
        <v>0</v>
      </c>
      <c r="AW171" s="12" t="str">
        <f>IF(Control!$E$9="","",-AV189*Control!$E$9/4)</f>
        <v/>
      </c>
      <c r="AX171" s="12" t="str">
        <f>IF(Control!$E$9="","",-AW189*Control!$E$9/4)</f>
        <v/>
      </c>
      <c r="AY171" s="12" t="str">
        <f>IF(Control!$E$9="","",-AX189*Control!$E$9/4)</f>
        <v/>
      </c>
      <c r="AZ171" s="12" t="str">
        <f>IF(Control!$E$9="","",-AY189*Control!$E$9/4)</f>
        <v/>
      </c>
      <c r="BA171" s="12">
        <f>SUM(AW171:AZ171)</f>
        <v>0</v>
      </c>
      <c r="BB171" s="12" t="str">
        <f>IF(Control!$E$9="","",-BA189*Control!$E$9/4)</f>
        <v/>
      </c>
      <c r="BC171" s="12" t="str">
        <f>IF(Control!$E$9="","",-BB189*Control!$E$9/4)</f>
        <v/>
      </c>
      <c r="BD171" s="12" t="str">
        <f>IF(Control!$E$9="","",-BC189*Control!$E$9/4)</f>
        <v/>
      </c>
      <c r="BE171" s="12" t="str">
        <f>IF(Control!$E$9="","",-BD189*Control!$E$9/4)</f>
        <v/>
      </c>
      <c r="BF171" s="12">
        <f>SUM(BB171:BE171)</f>
        <v>0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0" t="inlineStr">
        <is>
          <t>% of Debt</t>
        </is>
      </c>
      <c r="D172" s="53" t="n"/>
      <c r="E172" s="53" t="n"/>
      <c r="F172" s="53" t="n"/>
      <c r="G172" s="53" t="n"/>
      <c r="H172" s="12" t="n"/>
      <c r="I172" s="53">
        <f>IFERROR(-I171/SUM(I309+I314),"")</f>
        <v>0.0199634291952975</v>
      </c>
      <c r="J172" s="53">
        <f>IFERROR(-J171/SUM(J309+J314),"")</f>
        <v>0.0201098617746688</v>
      </c>
      <c r="K172" s="53">
        <f>IFERROR(-K171/SUM(K309+K314),"")</f>
        <v>0.025308171912485</v>
      </c>
      <c r="L172" s="53">
        <f>IFERROR(-L171/SUM(L309+L314),"")</f>
        <v>0.027703399644657</v>
      </c>
      <c r="M172" s="12" t="n"/>
      <c r="N172" s="53">
        <f>IFERROR(-N171/SUM(N309+N314),"")</f>
        <v>0.0332712501304371</v>
      </c>
      <c r="O172" s="53">
        <f>IFERROR(-O171/SUM(O309+O314),"")</f>
        <v>0.0345461826969772</v>
      </c>
      <c r="P172" s="53">
        <f>IFERROR(-P171/SUM(P309+P314),"")</f>
        <v>0.0174183029083765</v>
      </c>
      <c r="Q172" s="53">
        <f>IFERROR(-Q171/SUM(Q309+Q314),"")</f>
        <v>0.0247065470183926</v>
      </c>
      <c r="R172" s="12" t="n"/>
      <c r="S172" s="53">
        <f>IFERROR(-S171/SUM(S309+S314),"")</f>
        <v>0.0304344004066037</v>
      </c>
      <c r="T172" s="53">
        <f>IFERROR(-T171/SUM(T309+T314),"")</f>
        <v>0.0244965229326603</v>
      </c>
      <c r="U172" s="53">
        <f>IFERROR(-U171/SUM(U309+U314),"")</f>
        <v>0.0225084065482204</v>
      </c>
      <c r="V172" s="53">
        <f>IFERROR(-V171/SUM(V309+V314),"")</f>
        <v>0.0223614202673573</v>
      </c>
      <c r="W172" s="12" t="n"/>
      <c r="X172" s="53">
        <f>IFERROR(-X171/SUM(X309+X314),"")</f>
        <v>0.0275255922105932</v>
      </c>
      <c r="Y172" s="53">
        <f>IFERROR(-Y171/SUM(Y309+Y314),"")</f>
        <v>0.0229826927263832</v>
      </c>
      <c r="Z172" s="53">
        <f>IFERROR(-Z171/SUM(Z309+Z314),"")</f>
        <v>0.0230248765057578</v>
      </c>
      <c r="AA172" s="53">
        <f>IFERROR(-AA171/SUM(AA309+AA314),"")</f>
        <v>0.0261275837689468</v>
      </c>
      <c r="AB172" s="12" t="n"/>
      <c r="AC172" s="53">
        <f>IFERROR(-AC171/SUM(AC309+AC314),"")</f>
        <v>0.0306577853351258</v>
      </c>
      <c r="AD172" s="53">
        <f>IFERROR(-AD171/SUM(AD309+AD314),"")</f>
        <v>0.0240835326190124</v>
      </c>
      <c r="AE172" s="53">
        <f>IFERROR(-AE171/SUM(AE309+AE314),"")</f>
        <v>0.025042747407633</v>
      </c>
      <c r="AF172" s="55">
        <f>IFERROR(-AF171/SUM(AF309+AF314),"")</f>
        <v>0.0254537273172092</v>
      </c>
      <c r="AG172" s="12" t="n"/>
      <c r="AH172" s="11">
        <f>IFERROR(-AH171/SUM(AH309+AH314),"")</f>
        <v>0.0249347126859899</v>
      </c>
      <c r="AI172" s="11">
        <f>IFERROR(-AI171/SUM(AI309+AI314),"")</f>
        <v>0.0261706524638621</v>
      </c>
      <c r="AJ172" s="11" t="str">
        <f>IFERROR(Control!$E$9,0)</f>
        <v/>
      </c>
      <c r="AK172" s="11" t="str">
        <f>IFERROR(Control!$E$9,0)</f>
        <v/>
      </c>
      <c r="AL172" s="12" t="n"/>
      <c r="AM172" s="11" t="str">
        <f>IFERROR(Control!$E$9,0)</f>
        <v/>
      </c>
      <c r="AN172" s="11" t="str">
        <f>IFERROR(Control!$E$9,0)</f>
        <v/>
      </c>
      <c r="AO172" s="11" t="str">
        <f>IFERROR(Control!$E$9,0)</f>
        <v/>
      </c>
      <c r="AP172" s="11" t="str">
        <f>IFERROR(Control!$E$9,0)</f>
        <v/>
      </c>
      <c r="AQ172" s="12" t="n"/>
      <c r="AR172" s="11" t="str">
        <f>IFERROR(Control!$E$9,0)</f>
        <v/>
      </c>
      <c r="AS172" s="11" t="str">
        <f>IFERROR(Control!$E$9,0)</f>
        <v/>
      </c>
      <c r="AT172" s="11" t="str">
        <f>IFERROR(Control!$E$9,0)</f>
        <v/>
      </c>
      <c r="AU172" s="11" t="str">
        <f>IFERROR(Control!$E$9,0)</f>
        <v/>
      </c>
      <c r="AV172" s="12" t="n"/>
      <c r="AW172" s="11" t="str">
        <f>IFERROR(Control!$E$9,0)</f>
        <v/>
      </c>
      <c r="AX172" s="11" t="str">
        <f>IFERROR(Control!$E$9,0)</f>
        <v/>
      </c>
      <c r="AY172" s="11" t="str">
        <f>IFERROR(Control!$E$9,0)</f>
        <v/>
      </c>
      <c r="AZ172" s="11" t="str">
        <f>IFERROR(Control!$E$9,0)</f>
        <v/>
      </c>
      <c r="BA172" s="12" t="n"/>
      <c r="BB172" s="11" t="str">
        <f>IFERROR(Control!$E$9,0)</f>
        <v/>
      </c>
      <c r="BC172" s="11" t="str">
        <f>IFERROR(Control!$E$9,0)</f>
        <v/>
      </c>
      <c r="BD172" s="11" t="str">
        <f>IFERROR(Control!$E$9,0)</f>
        <v/>
      </c>
      <c r="BE172" s="11" t="str">
        <f>IFERROR(Control!$E$9,0)</f>
        <v/>
      </c>
      <c r="BF172" s="12" t="n"/>
      <c r="BG172" s="11" t="n"/>
      <c r="BH172" s="11" t="n"/>
      <c r="BI172" s="11" t="n"/>
      <c r="BJ172" s="11" t="n"/>
      <c r="BK172" s="12" t="n"/>
      <c r="BL172" s="11" t="n"/>
      <c r="BM172" s="11" t="n"/>
      <c r="BN172" s="11" t="n"/>
      <c r="BO172" s="11" t="n"/>
      <c r="BP172" s="12" t="n"/>
      <c r="BQ172" s="11" t="n"/>
      <c r="BR172" s="11" t="n"/>
      <c r="BS172" s="11" t="n"/>
      <c r="BT172" s="11" t="n"/>
      <c r="BU172" s="12" t="n"/>
      <c r="BV172" s="11" t="n"/>
      <c r="BW172" s="11" t="n"/>
      <c r="BX172" s="11" t="n"/>
      <c r="BY172" s="11" t="n"/>
      <c r="BZ172" s="12" t="n"/>
      <c r="CA172" s="11" t="n"/>
      <c r="CB172" s="11" t="n"/>
      <c r="CC172" s="11" t="n"/>
      <c r="CD172" s="11" t="n"/>
      <c r="CE172" s="12" t="n"/>
      <c r="CF172" s="11" t="n"/>
      <c r="CG172" s="11" t="n"/>
      <c r="CH172" s="11" t="n"/>
      <c r="CI172" s="11" t="n"/>
      <c r="CJ172" s="12" t="n"/>
      <c r="CK172" s="11" t="n"/>
      <c r="CL172" s="11" t="n"/>
      <c r="CM172" s="11" t="n"/>
      <c r="CN172" s="11" t="n"/>
      <c r="CO172" s="12" t="n"/>
      <c r="CP172" s="11" t="n"/>
      <c r="CQ172" s="11" t="n"/>
      <c r="CR172" s="11" t="n"/>
      <c r="CS172" s="11" t="n"/>
      <c r="CT172" s="12" t="n"/>
      <c r="CU172" s="11" t="n"/>
      <c r="CV172" s="11" t="n"/>
      <c r="CW172" s="11" t="n"/>
      <c r="CX172" s="11" t="n"/>
      <c r="CY172" s="12" t="n"/>
    </row>
    <row r="173" hidden="1" outlineLevel="1">
      <c r="C173" s="50" t="inlineStr">
        <is>
          <t>%CDI</t>
        </is>
      </c>
      <c r="D173" s="11" t="n"/>
      <c r="E173" s="11" t="n"/>
      <c r="F173" s="11" t="n"/>
      <c r="G173" s="11" t="n"/>
      <c r="H173" s="12" t="n"/>
      <c r="I173" s="11" t="n"/>
      <c r="J173" s="11" t="n"/>
      <c r="K173" s="11" t="n"/>
      <c r="L173" s="11" t="n"/>
      <c r="M173" s="12" t="n"/>
      <c r="N173" s="11" t="n"/>
      <c r="O173" s="11" t="n"/>
      <c r="P173" s="11" t="n"/>
      <c r="Q173" s="11" t="n"/>
      <c r="R173" s="12" t="n"/>
      <c r="S173" s="11" t="n"/>
      <c r="T173" s="11" t="n"/>
      <c r="U173" s="11" t="n"/>
      <c r="V173" s="11" t="n"/>
      <c r="W173" s="12" t="n"/>
      <c r="X173" s="11" t="n"/>
      <c r="Y173" s="11" t="n"/>
      <c r="Z173" s="11" t="n"/>
      <c r="AA173" s="11" t="n"/>
      <c r="AB173" s="12" t="n"/>
      <c r="AC173" s="11" t="n"/>
      <c r="AD173" s="11" t="n"/>
      <c r="AE173" s="11" t="n"/>
      <c r="AF173" s="11" t="n"/>
      <c r="AG173" s="12" t="n"/>
      <c r="AH173" s="11" t="n"/>
      <c r="AI173" s="11" t="n"/>
      <c r="AJ173" s="11" t="n"/>
      <c r="AK173" s="11" t="n"/>
      <c r="AL173" s="12" t="n"/>
      <c r="AM173" s="11" t="n"/>
      <c r="AN173" s="11" t="n"/>
      <c r="AO173" s="11" t="n"/>
      <c r="AP173" s="11" t="n"/>
      <c r="AQ173" s="12" t="n"/>
      <c r="AR173" s="11" t="n"/>
      <c r="AS173" s="11" t="n"/>
      <c r="AT173" s="11" t="n"/>
      <c r="AU173" s="11" t="n"/>
      <c r="AV173" s="12" t="n"/>
      <c r="AW173" s="11" t="n"/>
      <c r="AX173" s="11" t="n"/>
      <c r="AY173" s="11" t="n"/>
      <c r="AZ173" s="11" t="n"/>
      <c r="BA173" s="12" t="n"/>
      <c r="BB173" s="11" t="n"/>
      <c r="BC173" s="11" t="n"/>
      <c r="BD173" s="11" t="n"/>
      <c r="BE173" s="11" t="n"/>
      <c r="BF173" s="12" t="n"/>
      <c r="BG173" s="11" t="n"/>
      <c r="BH173" s="11" t="n"/>
      <c r="BI173" s="11" t="n"/>
      <c r="BJ173" s="11" t="n"/>
      <c r="BK173" s="12" t="n"/>
      <c r="BL173" s="11" t="n"/>
      <c r="BM173" s="11" t="n"/>
      <c r="BN173" s="11" t="n"/>
      <c r="BO173" s="11" t="n"/>
      <c r="BP173" s="12" t="n"/>
      <c r="BQ173" s="11" t="n"/>
      <c r="BR173" s="11" t="n"/>
      <c r="BS173" s="11" t="n"/>
      <c r="BT173" s="11" t="n"/>
      <c r="BU173" s="12" t="n"/>
      <c r="BV173" s="11" t="n"/>
      <c r="BW173" s="11" t="n"/>
      <c r="BX173" s="11" t="n"/>
      <c r="BY173" s="11" t="n"/>
      <c r="BZ173" s="12" t="n"/>
      <c r="CA173" s="11" t="n"/>
      <c r="CB173" s="11" t="n"/>
      <c r="CC173" s="11" t="n"/>
      <c r="CD173" s="11" t="n"/>
      <c r="CE173" s="12" t="n"/>
      <c r="CF173" s="11" t="n"/>
      <c r="CG173" s="11" t="n"/>
      <c r="CH173" s="11" t="n"/>
      <c r="CI173" s="11" t="n"/>
      <c r="CJ173" s="12" t="n"/>
      <c r="CK173" s="11" t="n"/>
      <c r="CL173" s="11" t="n"/>
      <c r="CM173" s="11" t="n"/>
      <c r="CN173" s="11" t="n"/>
      <c r="CO173" s="12" t="n"/>
      <c r="CP173" s="11" t="n"/>
      <c r="CQ173" s="11" t="n"/>
      <c r="CR173" s="11" t="n"/>
      <c r="CS173" s="11" t="n"/>
      <c r="CT173" s="12" t="n"/>
      <c r="CU173" s="11" t="n"/>
      <c r="CV173" s="11" t="n"/>
      <c r="CW173" s="11" t="n"/>
      <c r="CX173" s="11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7" t="inlineStr">
        <is>
          <t>RECEITA FINANCEIRA</t>
        </is>
      </c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inlineStr">
        <is>
          <t>DESPESA FINANCEIRA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OUTROS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inlineStr">
        <is>
          <t>Cash and equivalents (inc. investment securities)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inlineStr">
        <is>
          <t>Interest on cash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Average interest rate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7" t="inlineStr">
        <is>
          <t>% CDI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inlineStr">
        <is>
          <t>Current portion of long-term debt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inlineStr">
        <is>
          <t>Short term debt (Revolving credit facility)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inlineStr">
        <is>
          <t>Long term debt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Convertible debt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7" t="inlineStr">
        <is>
          <t>Total debt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inlineStr">
        <is>
          <t>Interest expense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>Average interest rate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inlineStr">
        <is>
          <t>Stake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57" t="inlineStr">
        <is>
          <t>PRE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inlineStr">
        <is>
          <t>CDI+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57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7" t="inlineStr">
        <is>
          <t>Spread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inlineStr">
        <is>
          <t>PRE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7" t="inlineStr">
        <is>
          <t>CDI+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inlineStr">
        <is>
          <t>RECEITAS FINANCEIRAS - Rendimentos de aplicações financeiras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inlineStr">
        <is>
          <t>RECEITAS FINANCEIRAS - Variação cambial ativa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inlineStr">
        <is>
          <t>RECEITAS FINANCEIRAS - Atualização de contas a pagar por aquisição de empresas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inlineStr">
        <is>
          <t>RECEITAS FINANCEIRAS - Resultado positivo com instrumentos derivativos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7" t="inlineStr">
        <is>
          <t>RECEITAS FINANCEIRAS - Descontos obtidos de fornecedores por antecipação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7" t="inlineStr">
        <is>
          <t>RECEITAS FINANCEIRAS - Atualização monetária sobre Exclusão ICMS da base de PIS/COFINS (nota explicativa nº 7)</t>
        </is>
      </c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inlineStr">
        <is>
          <t>RECEITAS FINANCEIRAS - Outras</t>
        </is>
      </c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7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inlineStr">
        <is>
          <t>DESPESAS FINANCEIRAS - Encargos sobre empréstimos, financiamentos e debêntures</t>
        </is>
      </c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>DESPESAS FINANCEIRAS - Variação cambial passiva</t>
        </is>
      </c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>DESPESAS FINANCEIRAS - Resultado negativo com instrumentos derivativos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inlineStr">
        <is>
          <t>DESPESAS FINANCEIRAS - Juros sobre arrendamento - IFRS16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DESPESAS FINANCEIRAS - Despesas bancárias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DESPESAS FINANCEIRAS - Despesas com obtenção de empréstimos e financiamentos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DESPESAS FINANCEIRAS - Atualização de contas a pagar por aquisição de empresas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DESPESAS FINANCEIRAS - Outras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>CHECK [EX IFRS-16]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collapsed="1">
      <c r="C220" s="14" t="inlineStr">
        <is>
          <t>Nonoperating Income / (Loss)</t>
        </is>
      </c>
      <c r="D220" s="46" t="n"/>
      <c r="E220" s="46" t="n"/>
      <c r="F220" s="46" t="n"/>
      <c r="G220" s="46" t="n"/>
      <c r="H220" s="12" t="n"/>
      <c r="I220" s="46">
        <f>'Inputs (2)'!D9</f>
        <v>-28.134</v>
      </c>
      <c r="J220" s="46">
        <f>'Inputs (2)'!E9</f>
        <v>-14.504</v>
      </c>
      <c r="K220" s="46">
        <f>'Inputs (2)'!F9</f>
        <v>-49.987</v>
      </c>
      <c r="L220" s="46">
        <f>'Inputs (2)'!G9</f>
        <v>61.804</v>
      </c>
      <c r="M220" s="12">
        <f>'Inputs (2)'!H9</f>
        <v>-30.821</v>
      </c>
      <c r="N220" s="46">
        <f>'Inputs (2)'!I9</f>
        <v>105.333</v>
      </c>
      <c r="O220" s="46">
        <f>'Inputs (2)'!J9</f>
        <v>29.885</v>
      </c>
      <c r="P220" s="46">
        <f>'Inputs (2)'!K9</f>
        <v>9.146</v>
      </c>
      <c r="Q220" s="46">
        <f>'Inputs (2)'!L9</f>
        <v>70.34</v>
      </c>
      <c r="R220" s="12">
        <f>'Inputs (2)'!M9</f>
        <v>214.704</v>
      </c>
      <c r="S220" s="46">
        <f>'Inputs (2)'!N9</f>
        <v>72.297</v>
      </c>
      <c r="T220" s="46">
        <f>'Inputs (2)'!O9</f>
        <v>90.615</v>
      </c>
      <c r="U220" s="46">
        <f>'Inputs (2)'!P9</f>
        <v>46.426</v>
      </c>
      <c r="V220" s="46">
        <f>'Inputs (2)'!Q9</f>
        <v>79.443</v>
      </c>
      <c r="W220" s="12">
        <f>'Inputs (2)'!R9</f>
        <v>288.781</v>
      </c>
      <c r="X220" s="46">
        <f>'Inputs (2)'!S9</f>
        <v>68.858</v>
      </c>
      <c r="Y220" s="46">
        <f>'Inputs (2)'!T9</f>
        <v>51.672</v>
      </c>
      <c r="Z220" s="46">
        <f>'Inputs (2)'!U9</f>
        <v>91.093</v>
      </c>
      <c r="AA220" s="46">
        <f>'Inputs (2)'!V9</f>
        <v>59.663</v>
      </c>
      <c r="AB220" s="12">
        <f>'Inputs (2)'!W9</f>
        <v>271.286</v>
      </c>
      <c r="AC220" s="46">
        <f>'Inputs (2)'!X9</f>
        <v>111.171</v>
      </c>
      <c r="AD220" s="46">
        <f>'Inputs (2)'!Y9</f>
        <v>100.653</v>
      </c>
      <c r="AE220" s="46">
        <f>'Inputs (2)'!Z9</f>
        <v>98.845</v>
      </c>
      <c r="AF220" s="46">
        <f>'Inputs (2)'!AA9</f>
        <v>141.855</v>
      </c>
      <c r="AG220" s="12">
        <f>'Inputs (2)'!AB9</f>
        <v>452.524</v>
      </c>
      <c r="AH220" s="12">
        <f>'Inputs (2)'!AC9</f>
        <v>60.684</v>
      </c>
      <c r="AI220" s="12">
        <f>'Inputs (2)'!AD9</f>
        <v>151.17</v>
      </c>
      <c r="AJ220" s="12">
        <f>AJ15*Control!$B$23</f>
        <v>102.2566402079</v>
      </c>
      <c r="AK220" s="12">
        <f>AK15*Control!$B$23</f>
        <v>123.518439956781</v>
      </c>
      <c r="AL220" s="12">
        <f>SUM(AH220:AK220)</f>
        <v>437.629080164682</v>
      </c>
      <c r="AM220" s="12">
        <f>AM15*Control!$C$23</f>
        <v>133.281379128364</v>
      </c>
      <c r="AN220" s="12">
        <f>AN15*Control!$C$23</f>
        <v>172.730760957524</v>
      </c>
      <c r="AO220" s="12">
        <f>AO15*Control!$C$23</f>
        <v>118.949226344521</v>
      </c>
      <c r="AP220" s="12">
        <f>AP15*Control!$C$23</f>
        <v>143.681846404007</v>
      </c>
      <c r="AQ220" s="12">
        <f>SUM(AM220:AP220)</f>
        <v>568.643212834416</v>
      </c>
      <c r="AR220" s="12">
        <f>AR15*Control!$D$23</f>
        <v>154.372101129042</v>
      </c>
      <c r="AS220" s="12">
        <f>AS15*Control!$D$23</f>
        <v>200.064034998843</v>
      </c>
      <c r="AT220" s="12">
        <f>AT15*Control!$D$23</f>
        <v>137.771998748548</v>
      </c>
      <c r="AU220" s="12">
        <f>AU15*Control!$D$23</f>
        <v>166.418359928019</v>
      </c>
      <c r="AV220" s="12">
        <f>SUM(AR220:AU220)</f>
        <v>658.626494804452</v>
      </c>
      <c r="AW220" s="12">
        <f>AW15*Control!$E$23</f>
        <v>178.028402238061</v>
      </c>
      <c r="AX220" s="12">
        <f>AX15*Control!$E$23</f>
        <v>230.722262867763</v>
      </c>
      <c r="AY220" s="12">
        <f>AY15*Control!$E$23</f>
        <v>158.884465722504</v>
      </c>
      <c r="AZ220" s="12">
        <f>AZ15*Control!$E$23</f>
        <v>191.920654732153</v>
      </c>
      <c r="BA220" s="12">
        <f>SUM(AW220:AZ220)</f>
        <v>759.555785560481</v>
      </c>
      <c r="BB220" s="12">
        <f>BB15*Control!$F$23</f>
        <v>204.419702006178</v>
      </c>
      <c r="BC220" s="12">
        <f>BC15*Control!$F$23</f>
        <v>264.925009878766</v>
      </c>
      <c r="BD220" s="12">
        <f>BD15*Control!$F$23</f>
        <v>182.437828616659</v>
      </c>
      <c r="BE220" s="12">
        <f>BE15*Control!$F$23</f>
        <v>220.371370837308</v>
      </c>
      <c r="BF220" s="12">
        <f>SUM(BB220:BE220)</f>
        <v>872.153911338911</v>
      </c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hidden="1" outlineLevel="1">
      <c r="C222" s="50" t="inlineStr">
        <is>
          <t>Resultado Não Recorrente</t>
        </is>
      </c>
      <c r="D222" s="11" t="n"/>
      <c r="E222" s="11" t="n"/>
      <c r="F222" s="11" t="n"/>
      <c r="G222" s="11" t="n"/>
      <c r="H222" s="12" t="n"/>
      <c r="I222" s="11" t="n"/>
      <c r="J222" s="11" t="n"/>
      <c r="K222" s="11" t="n"/>
      <c r="L222" s="11" t="n"/>
      <c r="M222" s="12" t="n"/>
      <c r="N222" s="11" t="n"/>
      <c r="O222" s="11" t="n"/>
      <c r="P222" s="11" t="n"/>
      <c r="Q222" s="11" t="n"/>
      <c r="R222" s="12" t="n"/>
      <c r="S222" s="11" t="n"/>
      <c r="T222" s="11" t="n"/>
      <c r="U222" s="11" t="n"/>
      <c r="V222" s="11" t="n"/>
      <c r="W222" s="12" t="n"/>
      <c r="X222" s="11" t="n"/>
      <c r="Y222" s="11" t="n"/>
      <c r="Z222" s="11" t="n"/>
      <c r="AA222" s="11" t="n"/>
      <c r="AB222" s="12" t="n"/>
      <c r="AC222" s="11" t="n"/>
      <c r="AD222" s="11" t="n"/>
      <c r="AE222" s="11" t="n"/>
      <c r="AF222" s="11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0" t="inlineStr">
        <is>
          <t>Plano de Opção de Compra de Ações</t>
        </is>
      </c>
      <c r="D223" s="11" t="n"/>
      <c r="E223" s="11" t="n"/>
      <c r="F223" s="11" t="n"/>
      <c r="G223" s="11" t="n"/>
      <c r="H223" s="12" t="n"/>
      <c r="I223" s="11" t="n"/>
      <c r="J223" s="11" t="n"/>
      <c r="K223" s="11" t="n"/>
      <c r="L223" s="11" t="n"/>
      <c r="M223" s="12" t="n"/>
      <c r="N223" s="11" t="n"/>
      <c r="O223" s="11" t="n"/>
      <c r="P223" s="11" t="n"/>
      <c r="Q223" s="11" t="n"/>
      <c r="R223" s="12" t="n"/>
      <c r="S223" s="11" t="n"/>
      <c r="T223" s="11" t="n"/>
      <c r="U223" s="11" t="n"/>
      <c r="V223" s="11" t="n"/>
      <c r="W223" s="12" t="n"/>
      <c r="X223" s="11" t="n"/>
      <c r="Y223" s="11" t="n"/>
      <c r="Z223" s="11" t="n"/>
      <c r="AA223" s="11" t="n"/>
      <c r="AB223" s="12" t="n"/>
      <c r="AC223" s="11" t="n"/>
      <c r="AD223" s="11" t="n"/>
      <c r="AE223" s="11" t="n"/>
      <c r="AF223" s="11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0" t="inlineStr">
        <is>
          <t>Baixa Imobilizado</t>
        </is>
      </c>
      <c r="D224" s="11" t="n"/>
      <c r="E224" s="11" t="n"/>
      <c r="F224" s="11" t="n"/>
      <c r="G224" s="11" t="n"/>
      <c r="H224" s="12" t="n"/>
      <c r="I224" s="11" t="n"/>
      <c r="J224" s="11" t="n"/>
      <c r="K224" s="11" t="n"/>
      <c r="L224" s="11" t="n"/>
      <c r="M224" s="12" t="n"/>
      <c r="N224" s="11" t="n"/>
      <c r="O224" s="11" t="n"/>
      <c r="P224" s="11" t="n"/>
      <c r="Q224" s="11" t="n"/>
      <c r="R224" s="12" t="n"/>
      <c r="S224" s="11" t="n"/>
      <c r="T224" s="11" t="n"/>
      <c r="U224" s="11" t="n"/>
      <c r="V224" s="11" t="n"/>
      <c r="W224" s="12" t="n"/>
      <c r="X224" s="11" t="n"/>
      <c r="Y224" s="11" t="n"/>
      <c r="Z224" s="11" t="n"/>
      <c r="AA224" s="11" t="n"/>
      <c r="AB224" s="12" t="n"/>
      <c r="AC224" s="11" t="n"/>
      <c r="AD224" s="11" t="n"/>
      <c r="AE224" s="11" t="n"/>
      <c r="AF224" s="11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collapsed="1" customFormat="1" s="32">
      <c r="A227" s="30" t="n"/>
      <c r="B227" s="3" t="n"/>
      <c r="C227" s="33" t="inlineStr">
        <is>
          <t>Pretax Income - EBT</t>
        </is>
      </c>
      <c r="D227" s="35" t="n"/>
      <c r="E227" s="35" t="n"/>
      <c r="F227" s="35" t="n"/>
      <c r="G227" s="35" t="n"/>
      <c r="H227" s="35" t="n"/>
      <c r="I227" s="35">
        <f>SUM(I170,I171,I220)</f>
        <v>867.109</v>
      </c>
      <c r="J227" s="35">
        <f>SUM(J170,J171,J220)</f>
        <v>896.889</v>
      </c>
      <c r="K227" s="35">
        <f>SUM(K170,K171,K220)</f>
        <v>569.488</v>
      </c>
      <c r="L227" s="35">
        <f>SUM(L170,L171,L220)</f>
        <v>525.726</v>
      </c>
      <c r="M227" s="35">
        <f>SUM(I227:L227)</f>
        <v>2859.212</v>
      </c>
      <c r="N227" s="35">
        <f>SUM(N170,N171,N220)</f>
        <v>867.842</v>
      </c>
      <c r="O227" s="35">
        <f>SUM(O170,O171,O220)</f>
        <v>493.188</v>
      </c>
      <c r="P227" s="35">
        <f>SUM(P170,P171,P220)</f>
        <v>265.758</v>
      </c>
      <c r="Q227" s="35">
        <f>SUM(Q170,Q171,Q220)</f>
        <v>267.075</v>
      </c>
      <c r="R227" s="35">
        <f>SUM(N227:Q227)</f>
        <v>1893.863</v>
      </c>
      <c r="S227" s="35">
        <f>SUM(S170,S171,S220)</f>
        <v>491.266</v>
      </c>
      <c r="T227" s="35">
        <f>SUM(T170,T171,T220)</f>
        <v>384.866</v>
      </c>
      <c r="U227" s="35">
        <f>SUM(U170,U171,U220)</f>
        <v>193.73</v>
      </c>
      <c r="V227" s="35">
        <f>SUM(V170,V171,V220)</f>
        <v>369.233</v>
      </c>
      <c r="W227" s="35">
        <f>SUM(S227:V227)</f>
        <v>1439.095</v>
      </c>
      <c r="X227" s="35">
        <f>SUM(X170,X171,X220)</f>
        <v>498.866</v>
      </c>
      <c r="Y227" s="35">
        <f>SUM(Y170,Y171,Y220)</f>
        <v>476.8</v>
      </c>
      <c r="Z227" s="35">
        <f>SUM(Z170,Z171,Z220)</f>
        <v>407.081</v>
      </c>
      <c r="AA227" s="35">
        <f>SUM(AA170,AA171,AA220)</f>
        <v>409.767</v>
      </c>
      <c r="AB227" s="35">
        <f>SUM(X227:AA227)</f>
        <v>1792.514</v>
      </c>
      <c r="AC227" s="35">
        <f>SUM(AC170,AC171,AC220)</f>
        <v>566.99</v>
      </c>
      <c r="AD227" s="35">
        <f>SUM(AD170,AD171,AD220)</f>
        <v>428.966</v>
      </c>
      <c r="AE227" s="35">
        <f>SUM(AE170,AE171,AE220)</f>
        <v>403.132</v>
      </c>
      <c r="AF227" s="35">
        <f>SUM(AF170,AF171,AF220)</f>
        <v>542.401</v>
      </c>
      <c r="AG227" s="35">
        <f>SUM(AC227:AF227)</f>
        <v>1941.489</v>
      </c>
      <c r="AH227" s="35">
        <f>SUM(AH170,AH171,AH220)</f>
        <v>428.888</v>
      </c>
      <c r="AI227" s="35">
        <f>SUM(AI170,AI171,AI220)</f>
        <v>737.532</v>
      </c>
      <c r="AJ227" s="35">
        <f>SUM(AJ170,AJ171,AJ220:AJ225)</f>
        <v>799.755076400007</v>
      </c>
      <c r="AK227" s="35">
        <f>SUM(AK170,AK171,AK220:AK225)</f>
        <v>966.044837612542</v>
      </c>
      <c r="AL227" s="35">
        <f>SUM(AH227:AK227)</f>
        <v>2932.21991401255</v>
      </c>
      <c r="AM227" s="35">
        <f>SUM(AM170,AM171,AM220:AM225)</f>
        <v>1042.40134753878</v>
      </c>
      <c r="AN227" s="35">
        <f>SUM(AN170,AN171,AN220:AN225)</f>
        <v>1350.93723640201</v>
      </c>
      <c r="AO227" s="35">
        <f>SUM(AO170,AO171,AO220:AO225)</f>
        <v>930.308754614593</v>
      </c>
      <c r="AP227" s="35">
        <f>SUM(AP170,AP171,AP220:AP225)</f>
        <v>1123.74400150938</v>
      </c>
      <c r="AQ227" s="35">
        <f>SUM(AM227:AP227)</f>
        <v>4447.39134006475</v>
      </c>
      <c r="AR227" s="35">
        <f>SUM(AR170,AR171,AR220:AR225)</f>
        <v>1207.35309982293</v>
      </c>
      <c r="AS227" s="35">
        <f>SUM(AS170,AS171,AS220:AS225)</f>
        <v>1564.71234797163</v>
      </c>
      <c r="AT227" s="35">
        <f>SUM(AT170,AT171,AT220:AT225)</f>
        <v>1077.52274239511</v>
      </c>
      <c r="AU227" s="35">
        <f>SUM(AU170,AU171,AU220:AU225)</f>
        <v>1301.56758414906</v>
      </c>
      <c r="AV227" s="35">
        <f>SUM(AR227:AU227)</f>
        <v>5151.15577433872</v>
      </c>
      <c r="AW227" s="35">
        <f>SUM(AW170,AW171,AW220:AW225)</f>
        <v>1392.37039417487</v>
      </c>
      <c r="AX227" s="35">
        <f>SUM(AX170,AX171,AX220:AX225)</f>
        <v>1804.49211505322</v>
      </c>
      <c r="AY227" s="35">
        <f>SUM(AY170,AY171,AY220:AY225)</f>
        <v>1242.64456336849</v>
      </c>
      <c r="AZ227" s="35">
        <f>SUM(AZ170,AZ171,AZ220:AZ225)</f>
        <v>1501.02250158023</v>
      </c>
      <c r="BA227" s="35">
        <f>SUM(AW227:AZ227)</f>
        <v>5940.52957417681</v>
      </c>
      <c r="BB227" s="35">
        <f>SUM(BB170,BB171,BB220:BB225)</f>
        <v>1598.77827066517</v>
      </c>
      <c r="BC227" s="35">
        <f>SUM(BC170,BC171,BC220:BC225)</f>
        <v>2071.99377062552</v>
      </c>
      <c r="BD227" s="35">
        <f>SUM(BD170,BD171,BD220:BD225)</f>
        <v>1426.85677200936</v>
      </c>
      <c r="BE227" s="35">
        <f>SUM(BE170,BE171,BE220:BE225)</f>
        <v>1723.53719193239</v>
      </c>
      <c r="BF227" s="35">
        <f>SUM(BB227:BE227)</f>
        <v>6821.16600523244</v>
      </c>
      <c r="BG227" s="35" t="n"/>
      <c r="BH227" s="35" t="n"/>
      <c r="BI227" s="35" t="n"/>
      <c r="BJ227" s="35" t="n"/>
      <c r="BK227" s="35" t="n"/>
      <c r="BL227" s="35" t="n"/>
      <c r="BM227" s="35" t="n"/>
      <c r="BN227" s="35" t="n"/>
      <c r="BO227" s="35" t="n"/>
      <c r="BP227" s="35" t="n"/>
      <c r="BQ227" s="35" t="n"/>
      <c r="BR227" s="35" t="n"/>
      <c r="BS227" s="35" t="n"/>
      <c r="BT227" s="35" t="n"/>
      <c r="BU227" s="35" t="n"/>
      <c r="BV227" s="35" t="n"/>
      <c r="BW227" s="35" t="n"/>
      <c r="BX227" s="35" t="n"/>
      <c r="BY227" s="35" t="n"/>
      <c r="BZ227" s="35" t="n"/>
      <c r="CA227" s="35" t="n"/>
      <c r="CB227" s="35" t="n"/>
      <c r="CC227" s="35" t="n"/>
      <c r="CD227" s="35" t="n"/>
      <c r="CE227" s="35" t="n"/>
      <c r="CF227" s="35" t="n"/>
      <c r="CG227" s="35" t="n"/>
      <c r="CH227" s="35" t="n"/>
      <c r="CI227" s="35" t="n"/>
      <c r="CJ227" s="35" t="n"/>
      <c r="CK227" s="35" t="n"/>
      <c r="CL227" s="35" t="n"/>
      <c r="CM227" s="35" t="n"/>
      <c r="CN227" s="35" t="n"/>
      <c r="CO227" s="35" t="n"/>
      <c r="CP227" s="35" t="n"/>
      <c r="CQ227" s="35" t="n"/>
      <c r="CR227" s="35" t="n"/>
      <c r="CS227" s="35" t="n"/>
      <c r="CT227" s="35" t="n"/>
      <c r="CU227" s="35" t="n"/>
      <c r="CV227" s="35" t="n"/>
      <c r="CW227" s="35" t="n"/>
      <c r="CX227" s="35" t="n"/>
      <c r="CY227" s="35" t="n"/>
    </row>
    <row r="228">
      <c r="C228" s="14" t="inlineStr">
        <is>
          <t>Taxes</t>
        </is>
      </c>
      <c r="D228" s="46" t="n"/>
      <c r="E228" s="46" t="n"/>
      <c r="F228" s="46" t="n"/>
      <c r="G228" s="46" t="n"/>
      <c r="H228" s="12" t="n"/>
      <c r="I228" s="46">
        <f>'Inputs (2)'!D10</f>
        <v>-207.688</v>
      </c>
      <c r="J228" s="46">
        <f>'Inputs (2)'!E10</f>
        <v>-222.51</v>
      </c>
      <c r="K228" s="46">
        <f>'Inputs (2)'!F10</f>
        <v>-141.599</v>
      </c>
      <c r="L228" s="46">
        <f>'Inputs (2)'!G10</f>
        <v>-169.854</v>
      </c>
      <c r="M228" s="12">
        <f>'Inputs (2)'!H10</f>
        <v>-741.651</v>
      </c>
      <c r="N228" s="46">
        <f>'Inputs (2)'!I10</f>
        <v>-128.849</v>
      </c>
      <c r="O228" s="46">
        <f>'Inputs (2)'!J10</f>
        <v>-127.79</v>
      </c>
      <c r="P228" s="46">
        <f>'Inputs (2)'!K10</f>
        <v>-17.437</v>
      </c>
      <c r="Q228" s="46">
        <f>'Inputs (2)'!L10</f>
        <v>38.12</v>
      </c>
      <c r="R228" s="12">
        <f>'Inputs (2)'!M10</f>
        <v>-235.956</v>
      </c>
      <c r="S228" s="46">
        <f>'Inputs (2)'!N10</f>
        <v>-104.797</v>
      </c>
      <c r="T228" s="46">
        <f>'Inputs (2)'!O10</f>
        <v>-65.437</v>
      </c>
      <c r="U228" s="46">
        <f>'Inputs (2)'!P10</f>
        <v>-32.784</v>
      </c>
      <c r="V228" s="46">
        <f>'Inputs (2)'!Q10</f>
        <v>-126.259</v>
      </c>
      <c r="W228" s="12">
        <f>'Inputs (2)'!R10</f>
        <v>-329.277</v>
      </c>
      <c r="X228" s="46">
        <f>'Inputs (2)'!S10</f>
        <v>-112.21</v>
      </c>
      <c r="Y228" s="46">
        <f>'Inputs (2)'!T10</f>
        <v>-114.191</v>
      </c>
      <c r="Z228" s="46">
        <f>'Inputs (2)'!U10</f>
        <v>189.882</v>
      </c>
      <c r="AA228" s="46">
        <f>'Inputs (2)'!V10</f>
        <v>-45.092</v>
      </c>
      <c r="AB228" s="12">
        <f>'Inputs (2)'!W10</f>
        <v>-81.611</v>
      </c>
      <c r="AC228" s="46">
        <f>'Inputs (2)'!X10</f>
        <v>-131.237</v>
      </c>
      <c r="AD228" s="46">
        <f>'Inputs (2)'!Y10</f>
        <v>-65.277</v>
      </c>
      <c r="AE228" s="46">
        <f>'Inputs (2)'!Z10</f>
        <v>-191.825</v>
      </c>
      <c r="AF228" s="46">
        <f>'Inputs (2)'!AA10</f>
        <v>-121.15</v>
      </c>
      <c r="AG228" s="12">
        <f>'Inputs (2)'!AB10</f>
        <v>-509.489</v>
      </c>
      <c r="AH228" s="12">
        <f>'Inputs (2)'!AC10</f>
        <v>-116.027</v>
      </c>
      <c r="AI228" s="12">
        <f>'Inputs (2)'!AD10</f>
        <v>-54.921</v>
      </c>
      <c r="AJ228" s="12">
        <f>-AJ227*AJ229</f>
        <v>-190.318611746863</v>
      </c>
      <c r="AK228" s="12">
        <f>-AK227*AK229</f>
        <v>-229.890772569082</v>
      </c>
      <c r="AL228" s="12">
        <f>SUM(AH228:AK228)</f>
        <v>-591.157384315944</v>
      </c>
      <c r="AM228" s="12">
        <f>-AM227*AM229</f>
        <v>-248.061416802327</v>
      </c>
      <c r="AN228" s="12">
        <f>-AN227*AN229</f>
        <v>-321.484048024445</v>
      </c>
      <c r="AO228" s="12">
        <f>-AO227*AO229</f>
        <v>-221.386616851739</v>
      </c>
      <c r="AP228" s="12">
        <f>-AP227*AP229</f>
        <v>-267.418619321348</v>
      </c>
      <c r="AQ228" s="12">
        <f>SUM(AM228:AP228)</f>
        <v>-1058.35070099986</v>
      </c>
      <c r="AR228" s="12">
        <f>-AR227*AR229</f>
        <v>-287.315170140468</v>
      </c>
      <c r="AS228" s="12">
        <f>-AS227*AS229</f>
        <v>-372.356350883841</v>
      </c>
      <c r="AT228" s="12">
        <f>-AT227*AT229</f>
        <v>-256.41929449378</v>
      </c>
      <c r="AU228" s="12">
        <f>-AU227*AU229</f>
        <v>-309.735496553535</v>
      </c>
      <c r="AV228" s="12">
        <f>SUM(AR228:AU228)</f>
        <v>-1225.82631207162</v>
      </c>
      <c r="AW228" s="12">
        <f>-AW227*AW229</f>
        <v>-331.343943010188</v>
      </c>
      <c r="AX228" s="12">
        <f>-AX227*AX229</f>
        <v>-429.417010756577</v>
      </c>
      <c r="AY228" s="12">
        <f>-AY227*AY229</f>
        <v>-295.71351926848</v>
      </c>
      <c r="AZ228" s="12">
        <f>-AZ227*AZ229</f>
        <v>-357.200006766408</v>
      </c>
      <c r="BA228" s="12">
        <f>SUM(AW228:AZ228)</f>
        <v>-1413.67447980165</v>
      </c>
      <c r="BB228" s="12">
        <f>-BB227*BB229</f>
        <v>-380.46305668194</v>
      </c>
      <c r="BC228" s="12">
        <f>-BC227*BC229</f>
        <v>-493.074679498955</v>
      </c>
      <c r="BD228" s="12">
        <f>-BD227*BD229</f>
        <v>-339.550704989347</v>
      </c>
      <c r="BE228" s="12">
        <f>-BE227*BE229</f>
        <v>-410.152076982372</v>
      </c>
      <c r="BF228" s="12">
        <f>SUM(BB228:BE228)</f>
        <v>-1623.24051815261</v>
      </c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inlineStr">
        <is>
          <t>% ETR</t>
        </is>
      </c>
      <c r="D229" s="53" t="n"/>
      <c r="E229" s="53" t="n"/>
      <c r="F229" s="53" t="n"/>
      <c r="G229" s="53" t="n"/>
      <c r="H229" s="53" t="n"/>
      <c r="I229" s="53">
        <f>IFERROR(-I228/I227,"")</f>
        <v>0.239517753823337</v>
      </c>
      <c r="J229" s="53">
        <f>IFERROR(-J228/J227,"")</f>
        <v>0.248090900880711</v>
      </c>
      <c r="K229" s="53">
        <f>IFERROR(-K228/K227,"")</f>
        <v>0.248642640406822</v>
      </c>
      <c r="L229" s="53">
        <f>IFERROR(-L228/L227,"")</f>
        <v>0.323084648657285</v>
      </c>
      <c r="M229" s="53">
        <f>IFERROR(-M228/M227,"")</f>
        <v>0.259389999762172</v>
      </c>
      <c r="N229" s="53">
        <f>IFERROR(-N228/N227,"")</f>
        <v>0.148470574136767</v>
      </c>
      <c r="O229" s="53">
        <f>IFERROR(-O228/O227,"")</f>
        <v>0.259110116223428</v>
      </c>
      <c r="P229" s="53">
        <f>IFERROR(-P228/P227,"")</f>
        <v>0.0656123239940096</v>
      </c>
      <c r="Q229" s="53">
        <f>IFERROR(-Q228/Q227,"")</f>
        <v>-0.142731442478705</v>
      </c>
      <c r="R229" s="53">
        <f>IFERROR(-R228/R227,"")</f>
        <v>0.124589793453909</v>
      </c>
      <c r="S229" s="53">
        <f>IFERROR(-S228/S227,"")</f>
        <v>0.213320278627057</v>
      </c>
      <c r="T229" s="53">
        <f>IFERROR(-T228/T227,"")</f>
        <v>0.170025411441904</v>
      </c>
      <c r="U229" s="53">
        <f>IFERROR(-U228/U227,"")</f>
        <v>0.169225210344294</v>
      </c>
      <c r="V229" s="53">
        <f>IFERROR(-V228/V227,"")</f>
        <v>0.341949392389088</v>
      </c>
      <c r="W229" s="53">
        <f>IFERROR(-W228/W227,"")</f>
        <v>0.22880838304629</v>
      </c>
      <c r="X229" s="53">
        <f>IFERROR(-X228/X227,"")</f>
        <v>0.22493014156106</v>
      </c>
      <c r="Y229" s="53">
        <f>IFERROR(-Y228/Y227,"")</f>
        <v>0.239494546979866</v>
      </c>
      <c r="Z229" s="53">
        <f>IFERROR(-Z228/Z227,"")</f>
        <v>-0.466447709423923</v>
      </c>
      <c r="AA229" s="53">
        <f>IFERROR(-AA228/AA227,"")</f>
        <v>0.11004302445048</v>
      </c>
      <c r="AB229" s="53">
        <f>IFERROR(-AB228/AB227,"")</f>
        <v>0.0455287936384318</v>
      </c>
      <c r="AC229" s="53">
        <f>IFERROR(-AC228/AC227,"")</f>
        <v>0.231462636025327</v>
      </c>
      <c r="AD229" s="53">
        <f>IFERROR(-AD228/AD227,"")</f>
        <v>0.152172899483875</v>
      </c>
      <c r="AE229" s="53">
        <f>IFERROR(-AE228/AE227,"")</f>
        <v>0.475836698649574</v>
      </c>
      <c r="AF229" s="41">
        <f>IFERROR(-AF228/AF227,"")</f>
        <v>0.223358732745699</v>
      </c>
      <c r="AG229" s="53">
        <f>IFERROR(-AG228/AG227,"")</f>
        <v>0.262421780396386</v>
      </c>
      <c r="AH229" s="41">
        <f>IFERROR(-AH228/AH227,"")</f>
        <v>0.270529835294995</v>
      </c>
      <c r="AI229" s="41">
        <f>IFERROR(-AI228/AI227,"")</f>
        <v>0.0744659214786613</v>
      </c>
      <c r="AJ229" s="41">
        <f>Control!$B$22</f>
        <v>0.237971120613022</v>
      </c>
      <c r="AK229" s="41">
        <f>Control!$B$22</f>
        <v>0.237971120613022</v>
      </c>
      <c r="AL229" s="53">
        <f>IFERROR(-AL228/AL227,"")</f>
        <v>0.201607451573093</v>
      </c>
      <c r="AM229" s="41">
        <f>Control!$C$22</f>
        <v>0.237971120613022</v>
      </c>
      <c r="AN229" s="41">
        <f>Control!$C$22</f>
        <v>0.237971120613022</v>
      </c>
      <c r="AO229" s="41">
        <f>Control!$C$22</f>
        <v>0.237971120613022</v>
      </c>
      <c r="AP229" s="41">
        <f>Control!$C$22</f>
        <v>0.237971120613022</v>
      </c>
      <c r="AQ229" s="53">
        <f>IFERROR(-AQ228/AQ227,"")</f>
        <v>0.237971120613022</v>
      </c>
      <c r="AR229" s="41">
        <f>Control!$D$22</f>
        <v>0.237971120613022</v>
      </c>
      <c r="AS229" s="41">
        <f>Control!$D$22</f>
        <v>0.237971120613022</v>
      </c>
      <c r="AT229" s="41">
        <f>Control!$D$22</f>
        <v>0.237971120613022</v>
      </c>
      <c r="AU229" s="41">
        <f>Control!$D$22</f>
        <v>0.237971120613022</v>
      </c>
      <c r="AV229" s="53">
        <f>IFERROR(-AV228/AV227,"")</f>
        <v>0.237971120613022</v>
      </c>
      <c r="AW229" s="41">
        <f>Control!$E$22</f>
        <v>0.237971120613022</v>
      </c>
      <c r="AX229" s="41">
        <f>Control!$E$22</f>
        <v>0.237971120613022</v>
      </c>
      <c r="AY229" s="41">
        <f>Control!$E$22</f>
        <v>0.237971120613022</v>
      </c>
      <c r="AZ229" s="41">
        <f>Control!$E$22</f>
        <v>0.237971120613022</v>
      </c>
      <c r="BA229" s="53">
        <f>IFERROR(-BA228/BA227,"")</f>
        <v>0.237971120613022</v>
      </c>
      <c r="BB229" s="41">
        <f>Control!$F$22</f>
        <v>0.237971120613022</v>
      </c>
      <c r="BC229" s="41">
        <f>Control!$F$22</f>
        <v>0.237971120613022</v>
      </c>
      <c r="BD229" s="41">
        <f>Control!$F$22</f>
        <v>0.237971120613022</v>
      </c>
      <c r="BE229" s="41">
        <f>Control!$F$22</f>
        <v>0.237971120613022</v>
      </c>
      <c r="BF229" s="53">
        <f>IFERROR(-BF228/BF227,"")</f>
        <v>0.237971120613022</v>
      </c>
      <c r="BG229" s="41" t="n"/>
      <c r="BH229" s="41" t="n"/>
      <c r="BI229" s="41" t="n"/>
      <c r="BJ229" s="41" t="n"/>
      <c r="BK229" s="53" t="n"/>
      <c r="BL229" s="41" t="n"/>
      <c r="BM229" s="41" t="n"/>
      <c r="BN229" s="41" t="n"/>
      <c r="BO229" s="41" t="n"/>
      <c r="BP229" s="53" t="n"/>
      <c r="BQ229" s="41" t="n"/>
      <c r="BR229" s="41" t="n"/>
      <c r="BS229" s="41" t="n"/>
      <c r="BT229" s="41" t="n"/>
      <c r="BU229" s="53" t="n"/>
      <c r="BV229" s="41" t="n"/>
      <c r="BW229" s="41" t="n"/>
      <c r="BX229" s="41" t="n"/>
      <c r="BY229" s="41" t="n"/>
      <c r="BZ229" s="53" t="n"/>
      <c r="CA229" s="41" t="n"/>
      <c r="CB229" s="41" t="n"/>
      <c r="CC229" s="41" t="n"/>
      <c r="CD229" s="41" t="n"/>
      <c r="CE229" s="53" t="n"/>
      <c r="CF229" s="41" t="n"/>
      <c r="CG229" s="41" t="n"/>
      <c r="CH229" s="41" t="n"/>
      <c r="CI229" s="41" t="n"/>
      <c r="CJ229" s="53" t="n"/>
      <c r="CK229" s="41" t="n"/>
      <c r="CL229" s="41" t="n"/>
      <c r="CM229" s="41" t="n"/>
      <c r="CN229" s="41" t="n"/>
      <c r="CO229" s="53" t="n"/>
      <c r="CP229" s="41" t="n"/>
      <c r="CQ229" s="41" t="n"/>
      <c r="CR229" s="41" t="n"/>
      <c r="CS229" s="41" t="n"/>
      <c r="CT229" s="53" t="n"/>
      <c r="CU229" s="41" t="n"/>
      <c r="CV229" s="41" t="n"/>
      <c r="CW229" s="41" t="n"/>
      <c r="CX229" s="41" t="n"/>
      <c r="CY229" s="53" t="n"/>
    </row>
    <row r="230" hidden="1" outlineLevel="1">
      <c r="C230" s="57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collapsed="1">
      <c r="C232" s="14" t="inlineStr">
        <is>
          <t>Equity in Income of Affiliates, after tax (enter as +)</t>
        </is>
      </c>
      <c r="D232" s="46" t="n"/>
      <c r="E232" s="46" t="n"/>
      <c r="F232" s="46" t="n"/>
      <c r="G232" s="46" t="n"/>
      <c r="H232" s="12" t="n"/>
      <c r="I232" s="46">
        <f>'Inputs (2)'!D11</f>
        <v>1.466</v>
      </c>
      <c r="J232" s="46">
        <f>'Inputs (2)'!E11</f>
        <v>2.109</v>
      </c>
      <c r="K232" s="46">
        <f>'Inputs (2)'!F11</f>
        <v>1.143</v>
      </c>
      <c r="L232" s="46">
        <f>'Inputs (2)'!G11</f>
        <v>0.537</v>
      </c>
      <c r="M232" s="12">
        <f>'Inputs (2)'!H11</f>
        <v>5.255</v>
      </c>
      <c r="N232" s="46">
        <f>'Inputs (2)'!I11</f>
        <v>-0.114</v>
      </c>
      <c r="O232" s="46">
        <f>'Inputs (2)'!J11</f>
        <v>2.533</v>
      </c>
      <c r="P232" s="46">
        <f>'Inputs (2)'!K11</f>
        <v>1.949</v>
      </c>
      <c r="Q232" s="46">
        <f>'Inputs (2)'!L11</f>
        <v>1.598</v>
      </c>
      <c r="R232" s="12">
        <f>'Inputs (2)'!M11</f>
        <v>5.966</v>
      </c>
      <c r="S232" s="46">
        <f>'Inputs (2)'!N11</f>
        <v>0.859</v>
      </c>
      <c r="T232" s="46">
        <f>'Inputs (2)'!O11</f>
        <v>20.152</v>
      </c>
      <c r="U232" s="46">
        <f>'Inputs (2)'!P11</f>
        <v>6.246</v>
      </c>
      <c r="V232" s="46">
        <f>'Inputs (2)'!Q11</f>
        <v>13.911</v>
      </c>
      <c r="W232" s="12">
        <f>'Inputs (2)'!R11</f>
        <v>41.168</v>
      </c>
      <c r="X232" s="46">
        <f>'Inputs (2)'!S11</f>
        <v>16.182</v>
      </c>
      <c r="Y232" s="46">
        <f>'Inputs (2)'!T11</f>
        <v>30.808</v>
      </c>
      <c r="Z232" s="46">
        <f>'Inputs (2)'!U11</f>
        <v>48.416</v>
      </c>
      <c r="AA232" s="46">
        <f>'Inputs (2)'!V11</f>
        <v>53.597</v>
      </c>
      <c r="AB232" s="12">
        <f>'Inputs (2)'!W11</f>
        <v>149.003</v>
      </c>
      <c r="AC232" s="46">
        <f>'Inputs (2)'!X11</f>
        <v>49.547</v>
      </c>
      <c r="AD232" s="46">
        <f>'Inputs (2)'!Y11</f>
        <v>-79.856</v>
      </c>
      <c r="AE232" s="46">
        <f>'Inputs (2)'!Z11</f>
        <v>321.289</v>
      </c>
      <c r="AF232" s="46">
        <f>'Inputs (2)'!AA11</f>
        <v>10.213</v>
      </c>
      <c r="AG232" s="12">
        <f>'Inputs (2)'!AB11</f>
        <v>301.193</v>
      </c>
      <c r="AH232" s="12">
        <f>'Inputs (2)'!AC11</f>
        <v>24.985</v>
      </c>
      <c r="AI232" s="12">
        <f>'Inputs (2)'!AD11</f>
        <v>29.861</v>
      </c>
      <c r="AJ232" s="12">
        <f>0</f>
        <v>0</v>
      </c>
      <c r="AK232" s="12">
        <f>0</f>
        <v>0</v>
      </c>
      <c r="AL232" s="12">
        <f>SUM(AH232:AK232)</f>
        <v>54.846</v>
      </c>
      <c r="AM232" s="12">
        <f>0</f>
        <v>0</v>
      </c>
      <c r="AN232" s="12">
        <f>0</f>
        <v>0</v>
      </c>
      <c r="AO232" s="12">
        <f>0</f>
        <v>0</v>
      </c>
      <c r="AP232" s="12">
        <f>0</f>
        <v>0</v>
      </c>
      <c r="AQ232" s="12">
        <f>SUM(AM232:AP232)</f>
        <v>0</v>
      </c>
      <c r="AR232" s="12">
        <f>0</f>
        <v>0</v>
      </c>
      <c r="AS232" s="12">
        <f>0</f>
        <v>0</v>
      </c>
      <c r="AT232" s="12">
        <f>0</f>
        <v>0</v>
      </c>
      <c r="AU232" s="12">
        <f>0</f>
        <v>0</v>
      </c>
      <c r="AV232" s="12">
        <f>SUM(AR232:AU232)</f>
        <v>0</v>
      </c>
      <c r="AW232" s="12">
        <f>0</f>
        <v>0</v>
      </c>
      <c r="AX232" s="12">
        <f>0</f>
        <v>0</v>
      </c>
      <c r="AY232" s="12">
        <f>0</f>
        <v>0</v>
      </c>
      <c r="AZ232" s="12">
        <f>0</f>
        <v>0</v>
      </c>
      <c r="BA232" s="12">
        <f>SUM(AW232:AZ232)</f>
        <v>0</v>
      </c>
      <c r="BB232" s="12">
        <f>0</f>
        <v>0</v>
      </c>
      <c r="BC232" s="12">
        <f>0</f>
        <v>0</v>
      </c>
      <c r="BD232" s="12">
        <f>0</f>
        <v>0</v>
      </c>
      <c r="BE232" s="12">
        <f>0</f>
        <v>0</v>
      </c>
      <c r="BF232" s="12">
        <f>SUM(BB232:BE232)</f>
        <v>0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>
      <c r="C233" s="14" t="inlineStr">
        <is>
          <t>Minority Interest Expense, after tax (enter as - )</t>
        </is>
      </c>
      <c r="D233" s="46" t="n"/>
      <c r="E233" s="46" t="n"/>
      <c r="F233" s="46" t="n"/>
      <c r="G233" s="46" t="n"/>
      <c r="H233" s="12" t="n"/>
      <c r="I233" s="46">
        <f>'Inputs (2)'!D12</f>
        <v>-337.471</v>
      </c>
      <c r="J233" s="46">
        <f>'Inputs (2)'!E12</f>
        <v>-344.143</v>
      </c>
      <c r="K233" s="46">
        <f>'Inputs (2)'!F12</f>
        <v>-188.716</v>
      </c>
      <c r="L233" s="46">
        <f>'Inputs (2)'!G12</f>
        <v>-137.085</v>
      </c>
      <c r="M233" s="12">
        <f>'Inputs (2)'!H12</f>
        <v>-1007.415</v>
      </c>
      <c r="N233" s="46">
        <f>'Inputs (2)'!I12</f>
        <v>-307.9</v>
      </c>
      <c r="O233" s="46">
        <f>'Inputs (2)'!J12</f>
        <v>-187.923</v>
      </c>
      <c r="P233" s="46">
        <f>'Inputs (2)'!K12</f>
        <v>-134.594</v>
      </c>
      <c r="Q233" s="46">
        <f>'Inputs (2)'!L12</f>
        <v>-114.99</v>
      </c>
      <c r="R233" s="12">
        <f>'Inputs (2)'!M12</f>
        <v>-745.407</v>
      </c>
      <c r="S233" s="46">
        <f>'Inputs (2)'!N12</f>
        <v>-156.618</v>
      </c>
      <c r="T233" s="46">
        <f>'Inputs (2)'!O12</f>
        <v>-117.395</v>
      </c>
      <c r="U233" s="46">
        <f>'Inputs (2)'!P12</f>
        <v>-67.187</v>
      </c>
      <c r="V233" s="46">
        <f>'Inputs (2)'!Q12</f>
        <v>-115.723</v>
      </c>
      <c r="W233" s="12">
        <f>'Inputs (2)'!R12</f>
        <v>-456.923</v>
      </c>
      <c r="X233" s="46">
        <f>'Inputs (2)'!S12</f>
        <v>-147.894</v>
      </c>
      <c r="Y233" s="46">
        <f>'Inputs (2)'!T12</f>
        <v>-156.347</v>
      </c>
      <c r="Z233" s="46">
        <f>'Inputs (2)'!U12</f>
        <v>-281.625</v>
      </c>
      <c r="AA233" s="46">
        <f>'Inputs (2)'!V12</f>
        <v>-187.95</v>
      </c>
      <c r="AB233" s="12">
        <f>'Inputs (2)'!W12</f>
        <v>-773.816</v>
      </c>
      <c r="AC233" s="46">
        <f>'Inputs (2)'!X12</f>
        <v>-186.523</v>
      </c>
      <c r="AD233" s="46">
        <f>'Inputs (2)'!Y12</f>
        <v>-138.966</v>
      </c>
      <c r="AE233" s="46">
        <f>'Inputs (2)'!Z12</f>
        <v>-43.206</v>
      </c>
      <c r="AF233" s="46">
        <f>'Inputs (2)'!AA12</f>
        <v>-148.939</v>
      </c>
      <c r="AG233" s="12">
        <f>'Inputs (2)'!AB12</f>
        <v>-517.634</v>
      </c>
      <c r="AH233" s="12">
        <f>'Inputs (2)'!AC12</f>
        <v>-139.779</v>
      </c>
      <c r="AI233" s="12">
        <f>'Inputs (2)'!AD12</f>
        <v>-295.846</v>
      </c>
      <c r="AJ233" s="12">
        <f>0</f>
        <v>0</v>
      </c>
      <c r="AK233" s="12">
        <f>0</f>
        <v>0</v>
      </c>
      <c r="AL233" s="12">
        <f>SUM(AH233:AK233)</f>
        <v>-435.625</v>
      </c>
      <c r="AM233" s="12">
        <f>0</f>
        <v>0</v>
      </c>
      <c r="AN233" s="12">
        <f>0</f>
        <v>0</v>
      </c>
      <c r="AO233" s="12">
        <f>0</f>
        <v>0</v>
      </c>
      <c r="AP233" s="12">
        <f>0</f>
        <v>0</v>
      </c>
      <c r="AQ233" s="12">
        <f>SUM(AM233:AP233)</f>
        <v>0</v>
      </c>
      <c r="AR233" s="12">
        <f>0</f>
        <v>0</v>
      </c>
      <c r="AS233" s="12">
        <f>0</f>
        <v>0</v>
      </c>
      <c r="AT233" s="12">
        <f>0</f>
        <v>0</v>
      </c>
      <c r="AU233" s="12">
        <f>0</f>
        <v>0</v>
      </c>
      <c r="AV233" s="12">
        <f>SUM(AR233:AU233)</f>
        <v>0</v>
      </c>
      <c r="AW233" s="12">
        <f>0</f>
        <v>0</v>
      </c>
      <c r="AX233" s="12">
        <f>0</f>
        <v>0</v>
      </c>
      <c r="AY233" s="12">
        <f>0</f>
        <v>0</v>
      </c>
      <c r="AZ233" s="12">
        <f>0</f>
        <v>0</v>
      </c>
      <c r="BA233" s="12">
        <f>SUM(AW233:AZ233)</f>
        <v>0</v>
      </c>
      <c r="BB233" s="12">
        <f>0</f>
        <v>0</v>
      </c>
      <c r="BC233" s="12">
        <f>0</f>
        <v>0</v>
      </c>
      <c r="BD233" s="12">
        <f>0</f>
        <v>0</v>
      </c>
      <c r="BE233" s="12">
        <f>0</f>
        <v>0</v>
      </c>
      <c r="BF233" s="12">
        <f>SUM(BB233:BE233)</f>
        <v>0</v>
      </c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customFormat="1" s="32">
      <c r="A234" s="30" t="n"/>
      <c r="B234" s="3" t="n"/>
      <c r="C234" s="33" t="inlineStr">
        <is>
          <t>Net Income</t>
        </is>
      </c>
      <c r="D234" s="35" t="n"/>
      <c r="E234" s="35" t="n"/>
      <c r="F234" s="35" t="n"/>
      <c r="G234" s="35" t="n"/>
      <c r="H234" s="35" t="n"/>
      <c r="I234" s="35">
        <f>SUM(I227,I228,I232,I233)</f>
        <v>323.416</v>
      </c>
      <c r="J234" s="35">
        <f>SUM(J227,J228,J232,J233)</f>
        <v>332.345</v>
      </c>
      <c r="K234" s="35">
        <f>SUM(K227,K228,K232,K233)</f>
        <v>240.316</v>
      </c>
      <c r="L234" s="35">
        <f>SUM(L227,L228,L232,L233)</f>
        <v>219.324</v>
      </c>
      <c r="M234" s="35">
        <f>SUM(I234:L234)</f>
        <v>1115.401</v>
      </c>
      <c r="N234" s="35">
        <f>SUM(N227,N228,N232,N233)</f>
        <v>430.979</v>
      </c>
      <c r="O234" s="35">
        <f>SUM(O227,O228,O232,O233)</f>
        <v>180.008</v>
      </c>
      <c r="P234" s="35">
        <f>SUM(P227,P228,P232,P233)</f>
        <v>115.676</v>
      </c>
      <c r="Q234" s="35">
        <f>SUM(Q227,Q228,Q232,Q233)</f>
        <v>191.803</v>
      </c>
      <c r="R234" s="35">
        <f>SUM(N234:Q234)</f>
        <v>918.466</v>
      </c>
      <c r="S234" s="35">
        <f>SUM(S227,S228,S232,S233)</f>
        <v>230.71</v>
      </c>
      <c r="T234" s="35">
        <f>SUM(T227,T228,T232,T233)</f>
        <v>222.186</v>
      </c>
      <c r="U234" s="35">
        <f>SUM(U227,U228,U232,U233)</f>
        <v>100.005</v>
      </c>
      <c r="V234" s="35">
        <f>SUM(V227,V228,V232,V233)</f>
        <v>141.162</v>
      </c>
      <c r="W234" s="35">
        <f>SUM(S234:V234)</f>
        <v>694.063</v>
      </c>
      <c r="X234" s="35">
        <f>SUM(X227,X228,X232,X233)</f>
        <v>254.944</v>
      </c>
      <c r="Y234" s="35">
        <f>SUM(Y227,Y228,Y232,Y233)</f>
        <v>237.07</v>
      </c>
      <c r="Z234" s="35">
        <f>SUM(Z227,Z228,Z232,Z233)</f>
        <v>363.754</v>
      </c>
      <c r="AA234" s="35">
        <f>SUM(AA227,AA228,AA232,AA233)</f>
        <v>230.322</v>
      </c>
      <c r="AB234" s="35">
        <f>SUM(X234:AA234)</f>
        <v>1086.09</v>
      </c>
      <c r="AC234" s="35">
        <f>SUM(AC227,AC228,AC232,AC233)</f>
        <v>298.777</v>
      </c>
      <c r="AD234" s="35">
        <f>SUM(AD227,AD228,AD232,AD233)</f>
        <v>144.867</v>
      </c>
      <c r="AE234" s="35">
        <f>SUM(AE227,AE228,AE232,AE233)</f>
        <v>489.39</v>
      </c>
      <c r="AF234" s="35">
        <f>SUM(AF227,AF228,AF232,AF233)</f>
        <v>282.525</v>
      </c>
      <c r="AG234" s="35">
        <f>SUM(AC234:AF234)</f>
        <v>1215.559</v>
      </c>
      <c r="AH234" s="35">
        <f>SUM(AH227,AH228,AH232,AH233)</f>
        <v>198.067</v>
      </c>
      <c r="AI234" s="35">
        <f>SUM(AI227,AI228,AI232,AI233)</f>
        <v>416.626</v>
      </c>
      <c r="AJ234" s="35">
        <f>SUM(AJ227,AJ228,AJ232,AJ233)</f>
        <v>609.436464653144</v>
      </c>
      <c r="AK234" s="35">
        <f>SUM(AK227,AK228,AK232,AK233)</f>
        <v>736.154065043461</v>
      </c>
      <c r="AL234" s="35">
        <f>SUM(AH234:AK234)</f>
        <v>1960.28352969661</v>
      </c>
      <c r="AM234" s="35">
        <f>SUM(AM227,AM228,AM232,AM233)</f>
        <v>794.339930736449</v>
      </c>
      <c r="AN234" s="35">
        <f>SUM(AN227,AN228,AN232,AN233)</f>
        <v>1029.45318837756</v>
      </c>
      <c r="AO234" s="35">
        <f>SUM(AO227,AO228,AO232,AO233)</f>
        <v>708.922137762853</v>
      </c>
      <c r="AP234" s="35">
        <f>SUM(AP227,AP228,AP232,AP233)</f>
        <v>856.325382188029</v>
      </c>
      <c r="AQ234" s="35">
        <f>SUM(AM234:AP234)</f>
        <v>3389.0406390649</v>
      </c>
      <c r="AR234" s="35">
        <f>SUM(AR227,AR228,AR232,AR233)</f>
        <v>920.037929682459</v>
      </c>
      <c r="AS234" s="35">
        <f>SUM(AS227,AS228,AS232,AS233)</f>
        <v>1192.35599708779</v>
      </c>
      <c r="AT234" s="35">
        <f>SUM(AT227,AT228,AT232,AT233)</f>
        <v>821.103447901326</v>
      </c>
      <c r="AU234" s="35">
        <f>SUM(AU227,AU228,AU232,AU233)</f>
        <v>991.832087595522</v>
      </c>
      <c r="AV234" s="35">
        <f>SUM(AR234:AU234)</f>
        <v>3925.32946226709</v>
      </c>
      <c r="AW234" s="35">
        <f>SUM(AW227,AW228,AW232,AW233)</f>
        <v>1061.02645116468</v>
      </c>
      <c r="AX234" s="35">
        <f>SUM(AX227,AX228,AX232,AX233)</f>
        <v>1375.07510429664</v>
      </c>
      <c r="AY234" s="35">
        <f>SUM(AY227,AY228,AY232,AY233)</f>
        <v>946.931044100013</v>
      </c>
      <c r="AZ234" s="35">
        <f>SUM(AZ227,AZ228,AZ232,AZ233)</f>
        <v>1143.82249481382</v>
      </c>
      <c r="BA234" s="35">
        <f>SUM(AW234:AZ234)</f>
        <v>4526.85509437515</v>
      </c>
      <c r="BB234" s="35">
        <f>SUM(BB227,BB228,BB232,BB233)</f>
        <v>1218.31521398323</v>
      </c>
      <c r="BC234" s="35">
        <f>SUM(BC227,BC228,BC232,BC233)</f>
        <v>1578.91909112656</v>
      </c>
      <c r="BD234" s="35">
        <f>SUM(BD227,BD228,BD232,BD233)</f>
        <v>1087.30606702001</v>
      </c>
      <c r="BE234" s="35">
        <f>SUM(BE227,BE228,BE232,BE233)</f>
        <v>1313.38511495002</v>
      </c>
      <c r="BF234" s="35">
        <f>SUM(BB234:BE234)</f>
        <v>5197.92548707983</v>
      </c>
      <c r="BG234" s="35" t="n"/>
      <c r="BH234" s="35" t="n"/>
      <c r="BI234" s="35" t="n"/>
      <c r="BJ234" s="35" t="n"/>
      <c r="BK234" s="35" t="n"/>
      <c r="BL234" s="35" t="n"/>
      <c r="BM234" s="35" t="n"/>
      <c r="BN234" s="35" t="n"/>
      <c r="BO234" s="35" t="n"/>
      <c r="BP234" s="35" t="n"/>
      <c r="BQ234" s="35" t="n"/>
      <c r="BR234" s="35" t="n"/>
      <c r="BS234" s="35" t="n"/>
      <c r="BT234" s="35" t="n"/>
      <c r="BU234" s="35" t="n"/>
      <c r="BV234" s="35" t="n"/>
      <c r="BW234" s="35" t="n"/>
      <c r="BX234" s="35" t="n"/>
      <c r="BY234" s="35" t="n"/>
      <c r="BZ234" s="35" t="n"/>
      <c r="CA234" s="35" t="n"/>
      <c r="CB234" s="35" t="n"/>
      <c r="CC234" s="35" t="n"/>
      <c r="CD234" s="35" t="n"/>
      <c r="CE234" s="35" t="n"/>
      <c r="CF234" s="35" t="n"/>
      <c r="CG234" s="35" t="n"/>
      <c r="CH234" s="35" t="n"/>
      <c r="CI234" s="35" t="n"/>
      <c r="CJ234" s="35" t="n"/>
      <c r="CK234" s="35" t="n"/>
      <c r="CL234" s="35" t="n"/>
      <c r="CM234" s="35" t="n"/>
      <c r="CN234" s="35" t="n"/>
      <c r="CO234" s="35" t="n"/>
      <c r="CP234" s="35" t="n"/>
      <c r="CQ234" s="35" t="n"/>
      <c r="CR234" s="35" t="n"/>
      <c r="CS234" s="35" t="n"/>
      <c r="CT234" s="35" t="n"/>
      <c r="CU234" s="35" t="n"/>
      <c r="CV234" s="35" t="n"/>
      <c r="CW234" s="35" t="n"/>
      <c r="CX234" s="35" t="n"/>
      <c r="CY234" s="35" t="n"/>
    </row>
    <row r="235">
      <c r="C235" s="13" t="inlineStr">
        <is>
          <t>Common Dividends</t>
        </is>
      </c>
      <c r="D235" s="46" t="n"/>
      <c r="E235" s="46" t="n"/>
      <c r="F235" s="46" t="n"/>
      <c r="G235" s="46" t="n"/>
      <c r="H235" s="12" t="n"/>
      <c r="I235" s="46">
        <f>'Inputs (2)'!D13</f>
        <v>0</v>
      </c>
      <c r="J235" s="46">
        <f>'Inputs (2)'!E13</f>
        <v>0</v>
      </c>
      <c r="K235" s="46">
        <f>'Inputs (2)'!F13</f>
        <v>0</v>
      </c>
      <c r="L235" s="46">
        <f>'Inputs (2)'!G13</f>
        <v>0</v>
      </c>
      <c r="M235" s="12">
        <f>'Inputs (2)'!H13</f>
        <v>0</v>
      </c>
      <c r="N235" s="46">
        <f>'Inputs (2)'!I13</f>
        <v>0</v>
      </c>
      <c r="O235" s="46">
        <f>'Inputs (2)'!J13</f>
        <v>0</v>
      </c>
      <c r="P235" s="46">
        <f>'Inputs (2)'!K13</f>
        <v>0</v>
      </c>
      <c r="Q235" s="46">
        <f>'Inputs (2)'!L13</f>
        <v>0</v>
      </c>
      <c r="R235" s="12">
        <f>'Inputs (2)'!M13</f>
        <v>0</v>
      </c>
      <c r="S235" s="46">
        <f>'Inputs (2)'!N13</f>
        <v>0</v>
      </c>
      <c r="T235" s="46">
        <f>'Inputs (2)'!O13</f>
        <v>0</v>
      </c>
      <c r="U235" s="46">
        <f>'Inputs (2)'!P13</f>
        <v>0</v>
      </c>
      <c r="V235" s="46">
        <f>'Inputs (2)'!Q13</f>
        <v>0</v>
      </c>
      <c r="W235" s="12">
        <f>'Inputs (2)'!R13</f>
        <v>0</v>
      </c>
      <c r="X235" s="46">
        <f>'Inputs (2)'!S13</f>
        <v>0</v>
      </c>
      <c r="Y235" s="46">
        <f>'Inputs (2)'!T13</f>
        <v>0</v>
      </c>
      <c r="Z235" s="46">
        <f>'Inputs (2)'!U13</f>
        <v>0</v>
      </c>
      <c r="AA235" s="46">
        <f>'Inputs (2)'!V13</f>
        <v>0</v>
      </c>
      <c r="AB235" s="12">
        <f>'Inputs (2)'!W13</f>
        <v>0</v>
      </c>
      <c r="AC235" s="46">
        <f>'Inputs (2)'!X13</f>
        <v>0</v>
      </c>
      <c r="AD235" s="46">
        <f>'Inputs (2)'!Y13</f>
        <v>0</v>
      </c>
      <c r="AE235" s="46">
        <f>'Inputs (2)'!Z13</f>
        <v>0</v>
      </c>
      <c r="AF235" s="46">
        <f>'Inputs (2)'!AA13</f>
        <v>0</v>
      </c>
      <c r="AG235" s="12">
        <f>'Inputs (2)'!AB13</f>
        <v>0</v>
      </c>
      <c r="AH235" s="12">
        <f>'Inputs (2)'!AC13</f>
        <v>0</v>
      </c>
      <c r="AI235" s="12">
        <f>'Inputs (2)'!AD13</f>
        <v>0</v>
      </c>
      <c r="AJ235" s="12">
        <f>-MAX(0,AJ234)*Control!$E$15</f>
        <v>0</v>
      </c>
      <c r="AK235" s="12">
        <f>-MAX(0,AK234)*Control!$E$15</f>
        <v>0</v>
      </c>
      <c r="AL235" s="12">
        <f>SUM(AH235:AK235)</f>
        <v>0</v>
      </c>
      <c r="AM235" s="12">
        <f>-MAX(0,AM234)*Control!$E$15</f>
        <v>0</v>
      </c>
      <c r="AN235" s="12">
        <f>-MAX(0,AN234)*Control!$E$15</f>
        <v>0</v>
      </c>
      <c r="AO235" s="12">
        <f>-MAX(0,AO234)*Control!$E$15</f>
        <v>0</v>
      </c>
      <c r="AP235" s="12">
        <f>-MAX(0,AP234)*Control!$E$15</f>
        <v>0</v>
      </c>
      <c r="AQ235" s="12">
        <f>SUM(AM235:AP235)</f>
        <v>0</v>
      </c>
      <c r="AR235" s="12">
        <f>-MAX(0,AR234)*Control!$E$15</f>
        <v>0</v>
      </c>
      <c r="AS235" s="12">
        <f>-MAX(0,AS234)*Control!$E$15</f>
        <v>0</v>
      </c>
      <c r="AT235" s="12">
        <f>-MAX(0,AT234)*Control!$E$15</f>
        <v>0</v>
      </c>
      <c r="AU235" s="12">
        <f>-MAX(0,AU234)*Control!$E$15</f>
        <v>0</v>
      </c>
      <c r="AV235" s="12">
        <f>SUM(AR235:AU235)</f>
        <v>0</v>
      </c>
      <c r="AW235" s="12">
        <f>-MAX(0,AW234)*Control!$E$15</f>
        <v>0</v>
      </c>
      <c r="AX235" s="12">
        <f>-MAX(0,AX234)*Control!$E$15</f>
        <v>0</v>
      </c>
      <c r="AY235" s="12">
        <f>-MAX(0,AY234)*Control!$E$15</f>
        <v>0</v>
      </c>
      <c r="AZ235" s="12">
        <f>-MAX(0,AZ234)*Control!$E$15</f>
        <v>0</v>
      </c>
      <c r="BA235" s="12">
        <f>SUM(AW235:AZ235)</f>
        <v>0</v>
      </c>
      <c r="BB235" s="12">
        <f>-MAX(0,BB234)*Control!$E$15</f>
        <v>0</v>
      </c>
      <c r="BC235" s="12">
        <f>-MAX(0,BC234)*Control!$E$15</f>
        <v>0</v>
      </c>
      <c r="BD235" s="12">
        <f>-MAX(0,BD234)*Control!$E$15</f>
        <v>0</v>
      </c>
      <c r="BE235" s="12">
        <f>-MAX(0,BE234)*Control!$E$15</f>
        <v>0</v>
      </c>
      <c r="BF235" s="12">
        <f>SUM(BB235:BE235)</f>
        <v>0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0" t="inlineStr">
        <is>
          <t>% DVD Payout</t>
        </is>
      </c>
      <c r="D236" s="58" t="n"/>
      <c r="E236" s="58" t="n"/>
      <c r="F236" s="58" t="n"/>
      <c r="G236" s="58" t="n"/>
      <c r="H236" s="58" t="n"/>
      <c r="I236" s="58">
        <f>IF(I234=0,"",-I235/I234)</f>
        <v>0</v>
      </c>
      <c r="J236" s="58">
        <f>IF(J234=0,"",-J235/J234)</f>
        <v>0</v>
      </c>
      <c r="K236" s="58">
        <f>IF(K234=0,"",-K235/K234)</f>
        <v>0</v>
      </c>
      <c r="L236" s="58">
        <f>IF(L234=0,"",-L235/L234)</f>
        <v>0</v>
      </c>
      <c r="M236" s="58">
        <f>IF(M234=0,"",-M235/M234)</f>
        <v>0</v>
      </c>
      <c r="N236" s="58">
        <f>IF(N234=0,"",-N235/N234)</f>
        <v>0</v>
      </c>
      <c r="O236" s="58">
        <f>IF(O234=0,"",-O235/O234)</f>
        <v>0</v>
      </c>
      <c r="P236" s="58">
        <f>IF(P234=0,"",-P235/P234)</f>
        <v>0</v>
      </c>
      <c r="Q236" s="58">
        <f>IF(Q234=0,"",-Q235/Q234)</f>
        <v>0</v>
      </c>
      <c r="R236" s="58">
        <f>IF(R234=0,"",-R235/R234)</f>
        <v>0</v>
      </c>
      <c r="S236" s="58">
        <f>IF(S234=0,"",-S235/S234)</f>
        <v>0</v>
      </c>
      <c r="T236" s="58">
        <f>IF(T234=0,"",-T235/T234)</f>
        <v>0</v>
      </c>
      <c r="U236" s="58">
        <f>IF(U234=0,"",-U235/U234)</f>
        <v>0</v>
      </c>
      <c r="V236" s="58">
        <f>IF(V234=0,"",-V235/V234)</f>
        <v>0</v>
      </c>
      <c r="W236" s="58">
        <f>IF(W234=0,"",-W235/W234)</f>
        <v>0</v>
      </c>
      <c r="X236" s="58">
        <f>IF(X234=0,"",-X235/X234)</f>
        <v>0</v>
      </c>
      <c r="Y236" s="58">
        <f>IF(Y234=0,"",-Y235/Y234)</f>
        <v>0</v>
      </c>
      <c r="Z236" s="58">
        <f>IF(Z234=0,"",-Z235/Z234)</f>
        <v>0</v>
      </c>
      <c r="AA236" s="58">
        <f>IF(AA234=0,"",-AA235/AA234)</f>
        <v>0</v>
      </c>
      <c r="AB236" s="58">
        <f>IF(AB234=0,"",-AB235/AB234)</f>
        <v>0</v>
      </c>
      <c r="AC236" s="58">
        <f>IF(AC234=0,"",-AC235/AC234)</f>
        <v>0</v>
      </c>
      <c r="AD236" s="58">
        <f>IF(AD234=0,"",-AD235/AD234)</f>
        <v>0</v>
      </c>
      <c r="AE236" s="58">
        <f>IF(AE234=0,"",-AE235/AE234)</f>
        <v>0</v>
      </c>
      <c r="AF236" s="41">
        <f>IF(AF234=0,"",-AF235/AF234)</f>
        <v>0</v>
      </c>
      <c r="AG236" s="12">
        <f>IF(AG234=0,"",-AG235/AG234)</f>
        <v>0</v>
      </c>
      <c r="AH236" s="41">
        <f>IF(AH234=0,"",-AH235/AH234)</f>
        <v>0</v>
      </c>
      <c r="AI236" s="41">
        <f>IF(AI234=0,"",-AI235/AI234)</f>
        <v>0</v>
      </c>
      <c r="AJ236" s="41">
        <f>IF(AJ234=0,"",-AJ235/AJ234)</f>
        <v>0</v>
      </c>
      <c r="AK236" s="41">
        <f>IF(AK234=0,"",-AK235/AK234)</f>
        <v>0</v>
      </c>
      <c r="AL236" s="12">
        <f>IF(AL234=0,"",-AL235/AL234)</f>
        <v>0</v>
      </c>
      <c r="AM236" s="41">
        <f>IF(AM234=0,"",-AM235/AM234)</f>
        <v>0</v>
      </c>
      <c r="AN236" s="41">
        <f>IF(AN234=0,"",-AN235/AN234)</f>
        <v>0</v>
      </c>
      <c r="AO236" s="41">
        <f>IF(AO234=0,"",-AO235/AO234)</f>
        <v>0</v>
      </c>
      <c r="AP236" s="41">
        <f>IF(AP234=0,"",-AP235/AP234)</f>
        <v>0</v>
      </c>
      <c r="AQ236" s="12">
        <f>IF(AQ234=0,"",-AQ235/AQ234)</f>
        <v>0</v>
      </c>
      <c r="AR236" s="41">
        <f>IF(AR234=0,"",-AR235/AR234)</f>
        <v>0</v>
      </c>
      <c r="AS236" s="41">
        <f>IF(AS234=0,"",-AS235/AS234)</f>
        <v>0</v>
      </c>
      <c r="AT236" s="41">
        <f>IF(AT234=0,"",-AT235/AT234)</f>
        <v>0</v>
      </c>
      <c r="AU236" s="41">
        <f>IF(AU234=0,"",-AU235/AU234)</f>
        <v>0</v>
      </c>
      <c r="AV236" s="12">
        <f>IF(AV234=0,"",-AV235/AV234)</f>
        <v>0</v>
      </c>
      <c r="AW236" s="41">
        <f>IF(AW234=0,"",-AW235/AW234)</f>
        <v>0</v>
      </c>
      <c r="AX236" s="41">
        <f>IF(AX234=0,"",-AX235/AX234)</f>
        <v>0</v>
      </c>
      <c r="AY236" s="41">
        <f>IF(AY234=0,"",-AY235/AY234)</f>
        <v>0</v>
      </c>
      <c r="AZ236" s="41">
        <f>IF(AZ234=0,"",-AZ235/AZ234)</f>
        <v>0</v>
      </c>
      <c r="BA236" s="12">
        <f>IF(BA234=0,"",-BA235/BA234)</f>
        <v>0</v>
      </c>
      <c r="BB236" s="41">
        <f>IF(BB234=0,"",-BB235/BB234)</f>
        <v>0</v>
      </c>
      <c r="BC236" s="41">
        <f>IF(BC234=0,"",-BC235/BC234)</f>
        <v>0</v>
      </c>
      <c r="BD236" s="41">
        <f>IF(BD234=0,"",-BD235/BD234)</f>
        <v>0</v>
      </c>
      <c r="BE236" s="41">
        <f>IF(BE234=0,"",-BE235/BE234)</f>
        <v>0</v>
      </c>
      <c r="BF236" s="12">
        <f>IF(BF234=0,"",-BF235/BF234)</f>
        <v>0</v>
      </c>
      <c r="BG236" s="41" t="n"/>
      <c r="BH236" s="41" t="n"/>
      <c r="BI236" s="41" t="n"/>
      <c r="BJ236" s="41" t="n"/>
      <c r="BK236" s="12" t="n"/>
      <c r="BL236" s="41" t="n"/>
      <c r="BM236" s="41" t="n"/>
      <c r="BN236" s="41" t="n"/>
      <c r="BO236" s="41" t="n"/>
      <c r="BP236" s="12" t="n"/>
      <c r="BQ236" s="41" t="n"/>
      <c r="BR236" s="41" t="n"/>
      <c r="BS236" s="41" t="n"/>
      <c r="BT236" s="41" t="n"/>
      <c r="BU236" s="12" t="n"/>
      <c r="BV236" s="41" t="n"/>
      <c r="BW236" s="41" t="n"/>
      <c r="BX236" s="41" t="n"/>
      <c r="BY236" s="41" t="n"/>
      <c r="BZ236" s="12" t="n"/>
      <c r="CA236" s="41" t="n"/>
      <c r="CB236" s="41" t="n"/>
      <c r="CC236" s="41" t="n"/>
      <c r="CD236" s="41" t="n"/>
      <c r="CE236" s="12" t="n"/>
      <c r="CF236" s="41" t="n"/>
      <c r="CG236" s="41" t="n"/>
      <c r="CH236" s="41" t="n"/>
      <c r="CI236" s="41" t="n"/>
      <c r="CJ236" s="12" t="n"/>
      <c r="CK236" s="41" t="n"/>
      <c r="CL236" s="41" t="n"/>
      <c r="CM236" s="41" t="n"/>
      <c r="CN236" s="41" t="n"/>
      <c r="CO236" s="12" t="n"/>
      <c r="CP236" s="41" t="n"/>
      <c r="CQ236" s="41" t="n"/>
      <c r="CR236" s="41" t="n"/>
      <c r="CS236" s="41" t="n"/>
      <c r="CT236" s="12" t="n"/>
      <c r="CU236" s="41" t="n"/>
      <c r="CV236" s="41" t="n"/>
      <c r="CW236" s="41" t="n"/>
      <c r="CX236" s="41" t="n"/>
      <c r="CY236" s="12" t="n"/>
    </row>
    <row r="237" hidden="1" outlineLevel="1">
      <c r="C237" s="18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hidden="1" outlineLevel="1">
      <c r="C238" s="18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ollapsed="1" ht="11.25" customHeight="1">
      <c r="C239" s="31" t="inlineStr">
        <is>
          <t>Balance Sheet</t>
        </is>
      </c>
      <c r="D239" s="31" t="n"/>
      <c r="E239" s="31" t="n"/>
      <c r="F239" s="31" t="n"/>
      <c r="G239" s="31" t="n"/>
      <c r="H239" s="31" t="n"/>
      <c r="I239" s="31" t="str">
        <f>I13</f>
        <v>1Q21</v>
      </c>
      <c r="J239" s="31" t="str">
        <f>J13</f>
        <v>2Q21</v>
      </c>
      <c r="K239" s="31" t="str">
        <f>K13</f>
        <v>3Q21</v>
      </c>
      <c r="L239" s="31" t="str">
        <f>L13</f>
        <v>4Q21</v>
      </c>
      <c r="M239" s="31">
        <f>M13</f>
        <v>2021</v>
      </c>
      <c r="N239" s="31" t="str">
        <f>N13</f>
        <v>1Q22</v>
      </c>
      <c r="O239" s="31" t="str">
        <f>O13</f>
        <v>2Q22</v>
      </c>
      <c r="P239" s="31" t="str">
        <f>P13</f>
        <v>3Q22</v>
      </c>
      <c r="Q239" s="31" t="str">
        <f>Q13</f>
        <v>4Q22</v>
      </c>
      <c r="R239" s="31">
        <f>R13</f>
        <v>2022</v>
      </c>
      <c r="S239" s="31" t="str">
        <f>S13</f>
        <v>1Q23</v>
      </c>
      <c r="T239" s="31" t="str">
        <f>T13</f>
        <v>2Q23</v>
      </c>
      <c r="U239" s="31" t="str">
        <f>U13</f>
        <v>3Q23</v>
      </c>
      <c r="V239" s="31" t="str">
        <f>V13</f>
        <v>4Q23</v>
      </c>
      <c r="W239" s="31">
        <f>W13</f>
        <v>2023</v>
      </c>
      <c r="X239" s="31" t="str">
        <f>X13</f>
        <v>1Q24</v>
      </c>
      <c r="Y239" s="31" t="str">
        <f>Y13</f>
        <v>2Q24</v>
      </c>
      <c r="Z239" s="31" t="str">
        <f>Z13</f>
        <v>3Q24</v>
      </c>
      <c r="AA239" s="31" t="str">
        <f>AA13</f>
        <v>4Q24</v>
      </c>
      <c r="AB239" s="31">
        <f>AB13</f>
        <v>2024</v>
      </c>
      <c r="AC239" s="31" t="str">
        <f>AC13</f>
        <v>1Q25</v>
      </c>
      <c r="AD239" s="31" t="str">
        <f>AD13</f>
        <v>2Q25</v>
      </c>
      <c r="AE239" s="31" t="str">
        <f>AE13</f>
        <v>3Q25</v>
      </c>
      <c r="AF239" s="31" t="str">
        <f>AF13</f>
        <v>4Q25</v>
      </c>
      <c r="AG239" s="31">
        <f>AG13</f>
        <v>2025</v>
      </c>
      <c r="AH239" s="31" t="str">
        <f>AH13</f>
        <v>1Q26</v>
      </c>
      <c r="AI239" s="31" t="str">
        <f>AI13</f>
        <v>2Q26</v>
      </c>
      <c r="AJ239" s="31" t="str">
        <f>AJ13</f>
        <v>3Q26</v>
      </c>
      <c r="AK239" s="31" t="str">
        <f>AK13</f>
        <v>4Q26</v>
      </c>
      <c r="AL239" s="31">
        <f>AL13</f>
        <v>2026</v>
      </c>
      <c r="AM239" s="31" t="str">
        <f>AM13</f>
        <v>1Q27</v>
      </c>
      <c r="AN239" s="31" t="str">
        <f>AN13</f>
        <v>2Q27</v>
      </c>
      <c r="AO239" s="31" t="str">
        <f>AO13</f>
        <v>3Q27</v>
      </c>
      <c r="AP239" s="31" t="str">
        <f>AP13</f>
        <v>4Q27</v>
      </c>
      <c r="AQ239" s="31">
        <f>AQ13</f>
        <v>2027</v>
      </c>
      <c r="AR239" s="31" t="str">
        <f>AR13</f>
        <v>1Q28</v>
      </c>
      <c r="AS239" s="31" t="str">
        <f>AS13</f>
        <v>2Q28</v>
      </c>
      <c r="AT239" s="31" t="str">
        <f>AT13</f>
        <v>3Q28</v>
      </c>
      <c r="AU239" s="31" t="str">
        <f>AU13</f>
        <v>4Q28</v>
      </c>
      <c r="AV239" s="31">
        <f>AV13</f>
        <v>2028</v>
      </c>
      <c r="AW239" s="31" t="str">
        <f>AW13</f>
        <v>1Q29</v>
      </c>
      <c r="AX239" s="31" t="str">
        <f>AX13</f>
        <v>2Q29</v>
      </c>
      <c r="AY239" s="31" t="str">
        <f>AY13</f>
        <v>3Q29</v>
      </c>
      <c r="AZ239" s="31" t="str">
        <f>AZ13</f>
        <v>4Q29</v>
      </c>
      <c r="BA239" s="31">
        <f>BA13</f>
        <v>2029</v>
      </c>
      <c r="BB239" s="31" t="str">
        <f>BB13</f>
        <v>1Q30</v>
      </c>
      <c r="BC239" s="31" t="str">
        <f>BC13</f>
        <v>2Q30</v>
      </c>
      <c r="BD239" s="31" t="str">
        <f>BD13</f>
        <v>3Q30</v>
      </c>
      <c r="BE239" s="31" t="str">
        <f>BE13</f>
        <v>4Q30</v>
      </c>
      <c r="BF239" s="31">
        <f>BF13</f>
        <v>2030</v>
      </c>
      <c r="BG239" s="31" t="n"/>
      <c r="BH239" s="31" t="n"/>
      <c r="BI239" s="31" t="n"/>
      <c r="BJ239" s="31" t="n"/>
      <c r="BK239" s="31" t="n"/>
      <c r="BL239" s="31" t="n"/>
      <c r="BM239" s="31" t="n"/>
      <c r="BN239" s="31" t="n"/>
      <c r="BO239" s="31" t="n"/>
      <c r="BP239" s="31" t="n"/>
      <c r="BQ239" s="31" t="n"/>
      <c r="BR239" s="31" t="n"/>
      <c r="BS239" s="31" t="n"/>
      <c r="BT239" s="31" t="n"/>
      <c r="BU239" s="31" t="n"/>
      <c r="BV239" s="31" t="n"/>
      <c r="BW239" s="31" t="n"/>
      <c r="BX239" s="31" t="n"/>
      <c r="BY239" s="31" t="n"/>
      <c r="BZ239" s="31" t="n"/>
      <c r="CA239" s="31" t="n"/>
      <c r="CB239" s="31" t="n"/>
      <c r="CC239" s="31" t="n"/>
      <c r="CD239" s="31" t="n"/>
      <c r="CE239" s="31" t="n"/>
      <c r="CF239" s="31" t="n"/>
      <c r="CG239" s="31" t="n"/>
      <c r="CH239" s="31" t="n"/>
      <c r="CI239" s="31" t="n"/>
      <c r="CJ239" s="31" t="n"/>
      <c r="CK239" s="31" t="n"/>
      <c r="CL239" s="31" t="n"/>
      <c r="CM239" s="31" t="n"/>
      <c r="CN239" s="31" t="n"/>
      <c r="CO239" s="31" t="n"/>
      <c r="CP239" s="31" t="n"/>
      <c r="CQ239" s="31" t="n"/>
      <c r="CR239" s="31" t="n"/>
      <c r="CS239" s="31" t="n"/>
      <c r="CT239" s="31" t="n"/>
      <c r="CU239" s="31" t="n"/>
      <c r="CV239" s="31" t="n"/>
      <c r="CW239" s="31" t="n"/>
      <c r="CX239" s="31" t="n"/>
      <c r="CY239" s="31" t="n"/>
    </row>
    <row r="240">
      <c r="C240" s="18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>
      <c r="C241" s="13" t="inlineStr">
        <is>
          <t>Cash and equivalents (inc. investment securities)</t>
        </is>
      </c>
      <c r="D241" s="46" t="n"/>
      <c r="E241" s="46" t="n"/>
      <c r="F241" s="46" t="n"/>
      <c r="G241" s="46" t="n"/>
      <c r="H241" s="12" t="n"/>
      <c r="I241" s="46">
        <f>'Inputs (2)'!D15</f>
        <v>1891.378</v>
      </c>
      <c r="J241" s="46">
        <f>'Inputs (2)'!E15</f>
        <v>1687.324</v>
      </c>
      <c r="K241" s="46">
        <f>'Inputs (2)'!F15</f>
        <v>1494.615</v>
      </c>
      <c r="L241" s="46">
        <f>'Inputs (2)'!G15</f>
        <v>1931.593</v>
      </c>
      <c r="M241" s="12">
        <f>'Inputs (2)'!H15</f>
        <v>1931.593</v>
      </c>
      <c r="N241" s="46">
        <f>'Inputs (2)'!I15</f>
        <v>2000.181</v>
      </c>
      <c r="O241" s="46">
        <f>'Inputs (2)'!J15</f>
        <v>2305.417</v>
      </c>
      <c r="P241" s="46">
        <f>'Inputs (2)'!K15</f>
        <v>2424.969</v>
      </c>
      <c r="Q241" s="46">
        <f>'Inputs (2)'!L15</f>
        <v>2688.392</v>
      </c>
      <c r="R241" s="12">
        <f>'Inputs (2)'!M15</f>
        <v>2688.392</v>
      </c>
      <c r="S241" s="46">
        <f>'Inputs (2)'!N15</f>
        <v>2843.349</v>
      </c>
      <c r="T241" s="46">
        <f>'Inputs (2)'!O15</f>
        <v>2595.83</v>
      </c>
      <c r="U241" s="46">
        <f>'Inputs (2)'!P15</f>
        <v>2716.198</v>
      </c>
      <c r="V241" s="46">
        <f>'Inputs (2)'!Q15</f>
        <v>2831.551</v>
      </c>
      <c r="W241" s="12">
        <f>'Inputs (2)'!R15</f>
        <v>2831.551</v>
      </c>
      <c r="X241" s="46">
        <f>'Inputs (2)'!S15</f>
        <v>2990.387</v>
      </c>
      <c r="Y241" s="46">
        <f>'Inputs (2)'!T15</f>
        <v>3757.01</v>
      </c>
      <c r="Z241" s="46">
        <f>'Inputs (2)'!U15</f>
        <v>3509.1</v>
      </c>
      <c r="AA241" s="46">
        <f>'Inputs (2)'!V15</f>
        <v>3544.259</v>
      </c>
      <c r="AB241" s="12">
        <f>'Inputs (2)'!W15</f>
        <v>3544.259</v>
      </c>
      <c r="AC241" s="46">
        <f>'Inputs (2)'!X15</f>
        <v>3678.198</v>
      </c>
      <c r="AD241" s="46">
        <f>'Inputs (2)'!Y15</f>
        <v>3696.42</v>
      </c>
      <c r="AE241" s="46">
        <f>'Inputs (2)'!Z15</f>
        <v>3224.187</v>
      </c>
      <c r="AF241" s="46">
        <f>'Inputs (2)'!AA15</f>
        <v>3228.621</v>
      </c>
      <c r="AG241" s="12">
        <f>'Inputs (2)'!AB15</f>
        <v>3228.621</v>
      </c>
      <c r="AH241" s="12">
        <f>'Inputs (2)'!AC15</f>
        <v>5246.157</v>
      </c>
      <c r="AI241" s="12">
        <f>'Inputs (2)'!AD15</f>
        <v>5371.921</v>
      </c>
      <c r="AJ241" s="12">
        <f>AJ370-SUM(AJ242,AJ246,AJ250,AJ251,AJ252,AJ258,AJ263,AJ273,AJ276,AJ277,AJ286)</f>
        <v>6087.19137100349</v>
      </c>
      <c r="AK241" s="12">
        <f>AK370-SUM(AK242,AK246,AK250,AK251,AK252,AK258,AK263,AK273,AK276,AK277,AK286)</f>
        <v>6905.92211194956</v>
      </c>
      <c r="AL241" s="12">
        <f>AK241</f>
        <v>6905.92211194956</v>
      </c>
      <c r="AM241" s="12">
        <f>AM370-SUM(AM242,AM246,AM250,AM251,AM252,AM258,AM263,AM273,AM276,AM277,AM286)</f>
        <v>7795.60335483256</v>
      </c>
      <c r="AN241" s="12">
        <f>AN370-SUM(AN242,AN246,AN250,AN251,AN252,AN258,AN263,AN273,AN276,AN277,AN286)</f>
        <v>8936.51365670408</v>
      </c>
      <c r="AO241" s="12">
        <f>AO370-SUM(AO242,AO246,AO250,AO251,AO252,AO258,AO263,AO273,AO276,AO277,AO286)</f>
        <v>9770.64557420134</v>
      </c>
      <c r="AP241" s="12">
        <f>AP370-SUM(AP242,AP246,AP250,AP251,AP252,AP258,AP263,AP273,AP276,AP277,AP286)</f>
        <v>10755.4316617568</v>
      </c>
      <c r="AQ241" s="12">
        <f>AP241</f>
        <v>10755.4316617568</v>
      </c>
      <c r="AR241" s="12">
        <f>AR370-SUM(AR242,AR246,AR250,AR251,AR252,AR258,AR263,AR273,AR276,AR277,AR286)</f>
        <v>11821.2032549493</v>
      </c>
      <c r="AS241" s="12">
        <f>AS370-SUM(AS242,AS246,AS250,AS251,AS252,AS258,AS263,AS273,AS276,AS277,AS286)</f>
        <v>13182.2800829879</v>
      </c>
      <c r="AT241" s="12">
        <f>AT370-SUM(AT242,AT246,AT250,AT251,AT252,AT258,AT263,AT273,AT276,AT277,AT286)</f>
        <v>14194.3465028892</v>
      </c>
      <c r="AU241" s="12">
        <f>AU370-SUM(AU242,AU246,AU250,AU251,AU252,AU258,AU263,AU273,AU276,AU277,AU286)</f>
        <v>15387.7341548397</v>
      </c>
      <c r="AV241" s="12">
        <f>AU241</f>
        <v>15387.7341548397</v>
      </c>
      <c r="AW241" s="12">
        <f>AW370-SUM(AW242,AW246,AW250,AW251,AW252,AW258,AW263,AW273,AW276,AW277,AW286)</f>
        <v>16675.6295641549</v>
      </c>
      <c r="AX241" s="12">
        <f>AX370-SUM(AX242,AX246,AX250,AX251,AX252,AX258,AX263,AX273,AX276,AX277,AX286)</f>
        <v>18313.2489945193</v>
      </c>
      <c r="AY241" s="12">
        <f>AY370-SUM(AY242,AY246,AY250,AY251,AY252,AY258,AY263,AY273,AY276,AY277,AY286)</f>
        <v>19557.6357527416</v>
      </c>
      <c r="AZ241" s="12">
        <f>AZ370-SUM(AZ242,AZ246,AZ250,AZ251,AZ252,AZ258,AZ263,AZ273,AZ276,AZ277,AZ286)</f>
        <v>21022.1894916382</v>
      </c>
      <c r="BA241" s="12">
        <f>AZ241</f>
        <v>21022.1894916382</v>
      </c>
      <c r="BB241" s="12">
        <f>BB370-SUM(BB242,BB246,BB250,BB251,BB252,BB258,BB263,BB273,BB276,BB277,BB286)</f>
        <v>22599.4670237549</v>
      </c>
      <c r="BC241" s="12">
        <f>BC370-SUM(BC242,BC246,BC250,BC251,BC252,BC258,BC263,BC273,BC276,BC277,BC286)</f>
        <v>24591.7048567406</v>
      </c>
      <c r="BD241" s="12">
        <f>BD370-SUM(BD242,BD246,BD250,BD251,BD252,BD258,BD263,BD273,BD276,BD277,BD286)</f>
        <v>26147.8417394009</v>
      </c>
      <c r="BE241" s="12">
        <f>BE370-SUM(BE242,BE246,BE250,BE251,BE252,BE258,BE263,BE273,BE276,BE277,BE286)</f>
        <v>27974.3184746549</v>
      </c>
      <c r="BF241" s="12">
        <f>BE241</f>
        <v>27974.3184746549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>
      <c r="C242" s="14" t="inlineStr">
        <is>
          <t>Accounts receivable</t>
        </is>
      </c>
      <c r="D242" s="46" t="n"/>
      <c r="E242" s="46" t="n"/>
      <c r="F242" s="46" t="n"/>
      <c r="G242" s="46" t="n"/>
      <c r="H242" s="12" t="n"/>
      <c r="I242" s="46">
        <f>'Inputs (2)'!D16</f>
        <v>338.682</v>
      </c>
      <c r="J242" s="46">
        <f>'Inputs (2)'!E16</f>
        <v>345.885</v>
      </c>
      <c r="K242" s="46">
        <f>'Inputs (2)'!F16</f>
        <v>378.626</v>
      </c>
      <c r="L242" s="46">
        <f>'Inputs (2)'!G16</f>
        <v>391.698</v>
      </c>
      <c r="M242" s="12">
        <f>'Inputs (2)'!H16</f>
        <v>391.698</v>
      </c>
      <c r="N242" s="46">
        <f>'Inputs (2)'!I16</f>
        <v>363.277</v>
      </c>
      <c r="O242" s="46">
        <f>'Inputs (2)'!J16</f>
        <v>377.686</v>
      </c>
      <c r="P242" s="46">
        <f>'Inputs (2)'!K16</f>
        <v>412.736</v>
      </c>
      <c r="Q242" s="46">
        <f>'Inputs (2)'!L16</f>
        <v>448.279</v>
      </c>
      <c r="R242" s="12">
        <f>'Inputs (2)'!M16</f>
        <v>448.279</v>
      </c>
      <c r="S242" s="46">
        <f>'Inputs (2)'!N16</f>
        <v>476.539</v>
      </c>
      <c r="T242" s="46">
        <f>'Inputs (2)'!O16</f>
        <v>292.699</v>
      </c>
      <c r="U242" s="46">
        <f>'Inputs (2)'!P16</f>
        <v>338.637</v>
      </c>
      <c r="V242" s="46">
        <f>'Inputs (2)'!Q16</f>
        <v>288.702</v>
      </c>
      <c r="W242" s="12">
        <f>'Inputs (2)'!R16</f>
        <v>288.702</v>
      </c>
      <c r="X242" s="46">
        <f>'Inputs (2)'!S16</f>
        <v>262.889</v>
      </c>
      <c r="Y242" s="46">
        <f>'Inputs (2)'!T16</f>
        <v>270.403</v>
      </c>
      <c r="Z242" s="46">
        <f>'Inputs (2)'!U16</f>
        <v>274.293</v>
      </c>
      <c r="AA242" s="46">
        <f>'Inputs (2)'!V16</f>
        <v>283.923</v>
      </c>
      <c r="AB242" s="12">
        <f>'Inputs (2)'!W16</f>
        <v>283.923</v>
      </c>
      <c r="AC242" s="46">
        <f>'Inputs (2)'!X16</f>
        <v>259.685</v>
      </c>
      <c r="AD242" s="46">
        <f>'Inputs (2)'!Y16</f>
        <v>247.846</v>
      </c>
      <c r="AE242" s="46">
        <f>'Inputs (2)'!Z16</f>
        <v>212.361</v>
      </c>
      <c r="AF242" s="46">
        <f>'Inputs (2)'!AA16</f>
        <v>186.798</v>
      </c>
      <c r="AG242" s="12">
        <f>'Inputs (2)'!AB16</f>
        <v>186.798</v>
      </c>
      <c r="AH242" s="12">
        <f>'Inputs (2)'!AC16</f>
        <v>191.285</v>
      </c>
      <c r="AI242" s="12">
        <f>'Inputs (2)'!AD16</f>
        <v>349.127</v>
      </c>
      <c r="AJ242" s="12">
        <f>(AJ243/(AJ$5-AI$5))*AJ$15</f>
        <v>221.119155752913</v>
      </c>
      <c r="AK242" s="12">
        <f>(AK243/(AK$5-AJ$5))*AK$15</f>
        <v>267.095546143812</v>
      </c>
      <c r="AL242" s="12">
        <f>AK242</f>
        <v>267.095546143812</v>
      </c>
      <c r="AM242" s="12">
        <f>(AM243/(AM$5-AL$5))*AM$15</f>
        <v>294.611465305846</v>
      </c>
      <c r="AN242" s="12">
        <f>(AN243/(AN$5-AM$5))*AN$15</f>
        <v>377.616506098816</v>
      </c>
      <c r="AO242" s="12">
        <f>(AO243/(AO$5-AN$5))*AO$15</f>
        <v>257.215105574441</v>
      </c>
      <c r="AP242" s="12">
        <f>(AP243/(AP$5-AO$5))*AP$15</f>
        <v>310.696777336707</v>
      </c>
      <c r="AQ242" s="12">
        <f>AP242</f>
        <v>310.696777336707</v>
      </c>
      <c r="AR242" s="12">
        <f>(AR243/(AR$5-AQ$5))*AR$15</f>
        <v>337.481599365019</v>
      </c>
      <c r="AS242" s="12">
        <f>(AS243/(AS$5-AR$5))*AS$15</f>
        <v>437.371325602348</v>
      </c>
      <c r="AT242" s="12">
        <f>(AT243/(AT$5-AS$5))*AT$15</f>
        <v>297.917357618373</v>
      </c>
      <c r="AU242" s="12">
        <f>(AU243/(AU$5-AT$5))*AU$15</f>
        <v>359.862080098196</v>
      </c>
      <c r="AV242" s="12">
        <f>AU242</f>
        <v>359.862080098196</v>
      </c>
      <c r="AW242" s="12">
        <f>(AW243/(AW$5-AV$5))*AW$15</f>
        <v>393.522401947084</v>
      </c>
      <c r="AX242" s="12">
        <f>(AX243/(AX$5-AW$5))*AX$15</f>
        <v>504.395015111189</v>
      </c>
      <c r="AY242" s="12">
        <f>(AY243/(AY$5-AX$5))*AY$15</f>
        <v>343.570831697426</v>
      </c>
      <c r="AZ242" s="12">
        <f>(AZ243/(AZ$5-AY$5))*AZ$15</f>
        <v>415.008091989328</v>
      </c>
      <c r="BA242" s="12">
        <f>AZ242</f>
        <v>415.008091989328</v>
      </c>
      <c r="BB242" s="12">
        <f>(BB243/(BB$5-BA$5))*BB$15</f>
        <v>451.858979395929</v>
      </c>
      <c r="BC242" s="12">
        <f>(BC243/(BC$5-BB$5))*BC$15</f>
        <v>579.16757880326</v>
      </c>
      <c r="BD242" s="12">
        <f>(BD243/(BD$5-BC$5))*BD$15</f>
        <v>394.502484719751</v>
      </c>
      <c r="BE242" s="12">
        <f>(BE243/(BE$5-BD$5))*BE$15</f>
        <v>476.529752714219</v>
      </c>
      <c r="BF242" s="12">
        <f>BE242</f>
        <v>476.529752714219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>
      <c r="C243" s="57" t="inlineStr">
        <is>
          <t>DSO</t>
        </is>
      </c>
      <c r="D243" s="12" t="n"/>
      <c r="E243" s="12" t="n"/>
      <c r="F243" s="12" t="n"/>
      <c r="G243" s="12" t="n"/>
      <c r="H243" s="12" t="n"/>
      <c r="I243" s="12">
        <f>IFERROR((I242/I$15)*(I$5-H$5),"")</f>
        <v>19.0333280465371</v>
      </c>
      <c r="J243" s="12">
        <f>IFERROR((J242/J$15)*(J$5-I$5),"")</f>
        <v>23.5394285269841</v>
      </c>
      <c r="K243" s="12">
        <f>IFERROR((K242/K$15)*(K$5-J$5),"")</f>
        <v>29.8321691736922</v>
      </c>
      <c r="L243" s="12">
        <f>IFERROR((L242/L$15)*(L$5-K$5),"")</f>
        <v>31.9486710741076</v>
      </c>
      <c r="M243" s="12" t="n"/>
      <c r="N243" s="12">
        <f>IFERROR((N242/N$15)*(N$5-M$5),"")</f>
        <v>25.5325414675288</v>
      </c>
      <c r="O243" s="12">
        <f>IFERROR((O242/O$15)*(O$5-N$5),"")</f>
        <v>29.4197577045187</v>
      </c>
      <c r="P243" s="12">
        <f>IFERROR((P242/P$15)*(P$5-O$5),"")</f>
        <v>58.1800174363642</v>
      </c>
      <c r="Q243" s="12">
        <f>IFERROR((Q242/Q$15)*(Q$5-P$5),"")</f>
        <v>56.3190720565462</v>
      </c>
      <c r="R243" s="12" t="n"/>
      <c r="S243" s="12">
        <f>IFERROR((S242/S$15)*(S$5-R$5),"")</f>
        <v>42.7177670849614</v>
      </c>
      <c r="T243" s="12">
        <f>IFERROR((T242/T$15)*(T$5-S$5),"")</f>
        <v>34.1413883889889</v>
      </c>
      <c r="U243" s="12">
        <f>IFERROR((U242/U$15)*(U$5-T$5),"")</f>
        <v>48.0071930805893</v>
      </c>
      <c r="V243" s="12">
        <f>IFERROR((V242/V$15)*(V$5-U$5),"")</f>
        <v>30.241900279071</v>
      </c>
      <c r="W243" s="12" t="n"/>
      <c r="X243" s="12">
        <f>IFERROR((X242/X$15)*(X$5-W$5),"")</f>
        <v>24.0060800674337</v>
      </c>
      <c r="Y243" s="12">
        <f>IFERROR((Y242/Y$15)*(Y$5-X$5),"")</f>
        <v>25.8014883211771</v>
      </c>
      <c r="Z243" s="12">
        <f>IFERROR((Z242/Z$15)*(Z$5-Y$5),"")</f>
        <v>27.1762360712797</v>
      </c>
      <c r="AA243" s="12">
        <f>IFERROR((AA242/AA$15)*(AA$5-Z$5),"")</f>
        <v>23.2535239604383</v>
      </c>
      <c r="AB243" s="12" t="n"/>
      <c r="AC243" s="12">
        <f>IFERROR((AC242/AC$15)*(AC$5-AB$5),"")</f>
        <v>19.0986826353177</v>
      </c>
      <c r="AD243" s="12">
        <f>IFERROR((AD242/AD$15)*(AD$5-AC$5),"")</f>
        <v>21.5386538571729</v>
      </c>
      <c r="AE243" s="12">
        <f>IFERROR((AE242/AE$15)*(AE$5-AD$5),"")</f>
        <v>20.2804288770575</v>
      </c>
      <c r="AF243" s="11">
        <f>IFERROR((AF242/AF$15)*(AF$5-AE$5),"")</f>
        <v>14.7684295828933</v>
      </c>
      <c r="AG243" s="12" t="n"/>
      <c r="AH243" s="11">
        <f>IFERROR((AH242/AH$15)*(AH$5-AG$5),"")</f>
        <v>13.710712109809</v>
      </c>
      <c r="AI243" s="11">
        <f>IFERROR((AI242/AI$15)*(AI$5-AH$5),"")</f>
        <v>19.5236587321827</v>
      </c>
      <c r="AJ243" s="11">
        <f>Control!$B$25</f>
        <v>18.1534276324055</v>
      </c>
      <c r="AK243" s="11">
        <f>Control!$B$25</f>
        <v>18.1534276324055</v>
      </c>
      <c r="AL243" s="12" t="n"/>
      <c r="AM243" s="11">
        <f>Control!$C$25</f>
        <v>18.1534276324055</v>
      </c>
      <c r="AN243" s="11">
        <f>Control!$C$25</f>
        <v>18.1534276324055</v>
      </c>
      <c r="AO243" s="11">
        <f>Control!$C$25</f>
        <v>18.1534276324055</v>
      </c>
      <c r="AP243" s="11">
        <f>Control!$C$25</f>
        <v>18.1534276324055</v>
      </c>
      <c r="AQ243" s="12" t="n"/>
      <c r="AR243" s="11">
        <f>Control!$D$25</f>
        <v>18.1534276324055</v>
      </c>
      <c r="AS243" s="11">
        <f>Control!$D$25</f>
        <v>18.1534276324055</v>
      </c>
      <c r="AT243" s="11">
        <f>Control!$D$25</f>
        <v>18.1534276324055</v>
      </c>
      <c r="AU243" s="11">
        <f>Control!$D$25</f>
        <v>18.1534276324055</v>
      </c>
      <c r="AV243" s="12" t="n"/>
      <c r="AW243" s="11">
        <f>Control!$E$25</f>
        <v>18.1534276324055</v>
      </c>
      <c r="AX243" s="11">
        <f>Control!$E$25</f>
        <v>18.1534276324055</v>
      </c>
      <c r="AY243" s="11">
        <f>Control!$E$25</f>
        <v>18.1534276324055</v>
      </c>
      <c r="AZ243" s="11">
        <f>Control!$E$25</f>
        <v>18.1534276324055</v>
      </c>
      <c r="BA243" s="12" t="n"/>
      <c r="BB243" s="11">
        <f>Control!$F$25</f>
        <v>18.1534276324055</v>
      </c>
      <c r="BC243" s="11">
        <f>Control!$F$25</f>
        <v>18.1534276324055</v>
      </c>
      <c r="BD243" s="11">
        <f>Control!$F$25</f>
        <v>18.1534276324055</v>
      </c>
      <c r="BE243" s="11">
        <f>Control!$F$25</f>
        <v>18.1534276324055</v>
      </c>
      <c r="BF243" s="12" t="n"/>
      <c r="BG243" s="11" t="n"/>
      <c r="BH243" s="11" t="n"/>
      <c r="BI243" s="11" t="n"/>
      <c r="BJ243" s="11" t="n"/>
      <c r="BK243" s="12" t="n"/>
      <c r="BL243" s="11" t="n"/>
      <c r="BM243" s="11" t="n"/>
      <c r="BN243" s="11" t="n"/>
      <c r="BO243" s="11" t="n"/>
      <c r="BP243" s="12" t="n"/>
      <c r="BQ243" s="11" t="n"/>
      <c r="BR243" s="11" t="n"/>
      <c r="BS243" s="11" t="n"/>
      <c r="BT243" s="11" t="n"/>
      <c r="BU243" s="12" t="n"/>
      <c r="BV243" s="11" t="n"/>
      <c r="BW243" s="11" t="n"/>
      <c r="BX243" s="11" t="n"/>
      <c r="BY243" s="11" t="n"/>
      <c r="BZ243" s="12" t="n"/>
      <c r="CA243" s="11" t="n"/>
      <c r="CB243" s="11" t="n"/>
      <c r="CC243" s="11" t="n"/>
      <c r="CD243" s="11" t="n"/>
      <c r="CE243" s="12" t="n"/>
      <c r="CF243" s="11" t="n"/>
      <c r="CG243" s="11" t="n"/>
      <c r="CH243" s="11" t="n"/>
      <c r="CI243" s="11" t="n"/>
      <c r="CJ243" s="12" t="n"/>
      <c r="CK243" s="11" t="n"/>
      <c r="CL243" s="11" t="n"/>
      <c r="CM243" s="11" t="n"/>
      <c r="CN243" s="11" t="n"/>
      <c r="CO243" s="12" t="n"/>
      <c r="CP243" s="11" t="n"/>
      <c r="CQ243" s="11" t="n"/>
      <c r="CR243" s="11" t="n"/>
      <c r="CS243" s="11" t="n"/>
      <c r="CT243" s="12" t="n"/>
      <c r="CU243" s="11" t="n"/>
      <c r="CV243" s="11" t="n"/>
      <c r="CW243" s="11" t="n"/>
      <c r="CX243" s="11" t="n"/>
      <c r="CY243" s="12" t="n"/>
    </row>
    <row r="244" hidden="1" outlineLevel="1">
      <c r="C244" s="57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collapsed="1">
      <c r="C246" s="14" t="inlineStr">
        <is>
          <t>Inventories</t>
        </is>
      </c>
      <c r="D246" s="46" t="n"/>
      <c r="E246" s="46" t="n"/>
      <c r="F246" s="46" t="n"/>
      <c r="G246" s="46" t="n"/>
      <c r="H246" s="12" t="n"/>
      <c r="I246" s="46">
        <f>'Inputs (2)'!D17</f>
        <v>7.969</v>
      </c>
      <c r="J246" s="46">
        <f>'Inputs (2)'!E17</f>
        <v>8.386</v>
      </c>
      <c r="K246" s="46">
        <f>'Inputs (2)'!F17</f>
        <v>8.389</v>
      </c>
      <c r="L246" s="46">
        <f>'Inputs (2)'!G17</f>
        <v>8.245</v>
      </c>
      <c r="M246" s="12">
        <f>'Inputs (2)'!H17</f>
        <v>8.245</v>
      </c>
      <c r="N246" s="46">
        <f>'Inputs (2)'!I17</f>
        <v>8.368</v>
      </c>
      <c r="O246" s="46">
        <f>'Inputs (2)'!J17</f>
        <v>8.455</v>
      </c>
      <c r="P246" s="46">
        <f>'Inputs (2)'!K17</f>
        <v>8.952</v>
      </c>
      <c r="Q246" s="46">
        <f>'Inputs (2)'!L17</f>
        <v>9.201</v>
      </c>
      <c r="R246" s="12">
        <f>'Inputs (2)'!M17</f>
        <v>9.201</v>
      </c>
      <c r="S246" s="46">
        <f>'Inputs (2)'!N17</f>
        <v>9.061</v>
      </c>
      <c r="T246" s="46">
        <f>'Inputs (2)'!O17</f>
        <v>9.397</v>
      </c>
      <c r="U246" s="46">
        <f>'Inputs (2)'!P17</f>
        <v>17.446</v>
      </c>
      <c r="V246" s="46">
        <f>'Inputs (2)'!Q17</f>
        <v>10.278</v>
      </c>
      <c r="W246" s="12">
        <f>'Inputs (2)'!R17</f>
        <v>10.278</v>
      </c>
      <c r="X246" s="46">
        <f>'Inputs (2)'!S17</f>
        <v>9.874</v>
      </c>
      <c r="Y246" s="46">
        <f>'Inputs (2)'!T17</f>
        <v>9.229</v>
      </c>
      <c r="Z246" s="46">
        <f>'Inputs (2)'!U17</f>
        <v>9.486</v>
      </c>
      <c r="AA246" s="46">
        <f>'Inputs (2)'!V17</f>
        <v>9.766</v>
      </c>
      <c r="AB246" s="12">
        <f>'Inputs (2)'!W17</f>
        <v>9.766</v>
      </c>
      <c r="AC246" s="46">
        <f>'Inputs (2)'!X17</f>
        <v>10.107</v>
      </c>
      <c r="AD246" s="46">
        <f>'Inputs (2)'!Y17</f>
        <v>9.833</v>
      </c>
      <c r="AE246" s="46">
        <f>'Inputs (2)'!Z17</f>
        <v>9.692</v>
      </c>
      <c r="AF246" s="46">
        <f>'Inputs (2)'!AA17</f>
        <v>10.472</v>
      </c>
      <c r="AG246" s="12">
        <f>'Inputs (2)'!AB17</f>
        <v>10.472</v>
      </c>
      <c r="AH246" s="12">
        <f>'Inputs (2)'!AC17</f>
        <v>10.78</v>
      </c>
      <c r="AI246" s="12">
        <f>'Inputs (2)'!AD17</f>
        <v>11.141</v>
      </c>
      <c r="AJ246" s="12">
        <f>(AJ247/(AJ$5-AI$5))*-AJ$151</f>
        <v>9.82298027897778</v>
      </c>
      <c r="AK246" s="12">
        <f>(AK247/(AK$5-AJ$5))*-AK$151</f>
        <v>11.8654318909631</v>
      </c>
      <c r="AL246" s="12">
        <f>AK246</f>
        <v>11.8654318909631</v>
      </c>
      <c r="AM246" s="12">
        <f>(AM247/(AM$5-AL$5))*-AM$151</f>
        <v>13.087796956379</v>
      </c>
      <c r="AN246" s="12">
        <f>(AN247/(AN$5-AM$5))*-AN$151</f>
        <v>16.7752064708952</v>
      </c>
      <c r="AO246" s="12">
        <f>(AO247/(AO$5-AN$5))*-AO$151</f>
        <v>11.4265039630319</v>
      </c>
      <c r="AP246" s="12">
        <f>(AP247/(AP$5-AO$5))*-AP$151</f>
        <v>13.8023696143757</v>
      </c>
      <c r="AQ246" s="12">
        <f>AP246</f>
        <v>13.8023696143757</v>
      </c>
      <c r="AR246" s="12">
        <f>(AR247/(AR$5-AQ$5))*-AR$151</f>
        <v>14.992256477249</v>
      </c>
      <c r="AS246" s="12">
        <f>(AS247/(AS$5-AR$5))*-AS$151</f>
        <v>19.4297499524784</v>
      </c>
      <c r="AT246" s="12">
        <f>(AT247/(AT$5-AS$5))*-AT$151</f>
        <v>13.2346576608702</v>
      </c>
      <c r="AU246" s="12">
        <f>(AU247/(AU$5-AT$5))*-AU$151</f>
        <v>15.9864852229562</v>
      </c>
      <c r="AV246" s="12">
        <f>AU246</f>
        <v>15.9864852229562</v>
      </c>
      <c r="AW246" s="12">
        <f>(AW247/(AW$5-AV$5))*-AW$151</f>
        <v>17.4818087582683</v>
      </c>
      <c r="AX246" s="12">
        <f>(AX247/(AX$5-AW$5))*-AX$151</f>
        <v>22.4072051531728</v>
      </c>
      <c r="AY246" s="12">
        <f>(AY247/(AY$5-AX$5))*-AY$151</f>
        <v>15.2627640635849</v>
      </c>
      <c r="AZ246" s="12">
        <f>(AZ247/(AZ$5-AY$5))*-AZ$151</f>
        <v>18.4362873915036</v>
      </c>
      <c r="BA246" s="12">
        <f>AZ246</f>
        <v>18.4362873915036</v>
      </c>
      <c r="BB246" s="12">
        <f>(BB247/(BB$5-BA$5))*-BB$151</f>
        <v>20.0733483644678</v>
      </c>
      <c r="BC246" s="12">
        <f>(BC247/(BC$5-BB$5))*-BC$151</f>
        <v>25.7288957414662</v>
      </c>
      <c r="BD246" s="12">
        <f>(BD247/(BD$5-BC$5))*-BD$151</f>
        <v>17.5253478795846</v>
      </c>
      <c r="BE246" s="12">
        <f>(BE247/(BE$5-BD$5))*-BE$151</f>
        <v>21.1693208908982</v>
      </c>
      <c r="BF246" s="12">
        <f>BE246</f>
        <v>21.1693208908982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>
      <c r="C247" s="57" t="inlineStr">
        <is>
          <t>DIO</t>
        </is>
      </c>
      <c r="D247" s="12" t="n"/>
      <c r="E247" s="12" t="n"/>
      <c r="F247" s="12" t="n"/>
      <c r="G247" s="12" t="n"/>
      <c r="H247" s="12" t="n"/>
      <c r="I247" s="12">
        <f>IFERROR(((I246/I$151)*(I$5-H$5))*-1,"")</f>
        <v>1.52263217226819</v>
      </c>
      <c r="J247" s="12">
        <f>IFERROR(((J246/J$151)*(J$5-I$5))*-1,"")</f>
        <v>3.79185506871913</v>
      </c>
      <c r="K247" s="12">
        <f>IFERROR(((K246/K$151)*(K$5-J$5))*-1,"")</f>
        <v>2.68871648196985</v>
      </c>
      <c r="L247" s="12">
        <f>IFERROR(((L246/L$151)*(L$5-K$5))*-1,"")</f>
        <v>2.48054258394485</v>
      </c>
      <c r="M247" s="12" t="n"/>
      <c r="N247" s="12">
        <f>IFERROR(((N246/N$151)*(N$5-M$5))*-1,"")</f>
        <v>5.58739956524642</v>
      </c>
      <c r="O247" s="12">
        <f>IFERROR(((O246/O$151)*(O$5-N$5))*-1,"")</f>
        <v>6.2233483240585</v>
      </c>
      <c r="P247" s="12">
        <f>IFERROR(((P246/P$151)*(P$5-O$5))*-1,"")</f>
        <v>6.26690407706707</v>
      </c>
      <c r="Q247" s="12">
        <f>IFERROR(((Q246/Q$151)*(Q$5-P$5))*-1,"")</f>
        <v>5.25529880675963</v>
      </c>
      <c r="R247" s="12" t="n"/>
      <c r="S247" s="12">
        <f>IFERROR(((S246/S$151)*(S$5-R$5))*-1,"")</f>
        <v>5.04266686454198</v>
      </c>
      <c r="T247" s="12">
        <f>IFERROR(((T246/T$151)*(T$5-S$5))*-1,"")</f>
        <v>6.25376267021603</v>
      </c>
      <c r="U247" s="12">
        <f>IFERROR(((U246/U$151)*(U$5-T$5))*-1,"")</f>
        <v>9.92365430511074</v>
      </c>
      <c r="V247" s="12">
        <f>IFERROR(((V246/V$151)*(V$5-U$5))*-1,"")</f>
        <v>4.98471757294605</v>
      </c>
      <c r="W247" s="12" t="n"/>
      <c r="X247" s="12">
        <f>IFERROR(((X246/X$151)*(X$5-W$5))*-1,"")</f>
        <v>5.34301004935482</v>
      </c>
      <c r="Y247" s="12">
        <f>IFERROR(((Y246/Y$151)*(Y$5-X$5))*-1,"")</f>
        <v>4.65444640264246</v>
      </c>
      <c r="Z247" s="12">
        <f>IFERROR(((Z246/Z$151)*(Z$5-Y$5))*-1,"")</f>
        <v>3.53383355131824</v>
      </c>
      <c r="AA247" s="12">
        <f>IFERROR(((AA246/AA$151)*(AA$5-Z$5))*-1,"")</f>
        <v>2.74468306094394</v>
      </c>
      <c r="AB247" s="12" t="n"/>
      <c r="AC247" s="12">
        <f>IFERROR(((AC246/AC$151)*(AC$5-AB$5))*-1,"")</f>
        <v>3.08142331587612</v>
      </c>
      <c r="AD247" s="12">
        <f>IFERROR(((AD246/AD$151)*(AD$5-AC$5))*-1,"")</f>
        <v>3.166256201213</v>
      </c>
      <c r="AE247" s="12">
        <f>IFERROR(((AE246/AE$151)*(AE$5-AD$5))*-1,"")</f>
        <v>3.62733404388613</v>
      </c>
      <c r="AF247" s="11">
        <f>IFERROR(((AF246/AF$151)*(AF$5-AE$5))*-1,"")</f>
        <v>2.86783691183869</v>
      </c>
      <c r="AG247" s="12" t="n"/>
      <c r="AH247" s="11">
        <f>IFERROR(((AH246/AH$151)*(AH$5-AG$5))*-1,"")</f>
        <v>2.37143716131492</v>
      </c>
      <c r="AI247" s="11">
        <f>IFERROR(((AI246/AI$151)*(AI$5-AH$5))*-1,"")</f>
        <v>1.93414234913464</v>
      </c>
      <c r="AJ247" s="11">
        <f>Control!$B$26</f>
        <v>2.84140499721058</v>
      </c>
      <c r="AK247" s="11">
        <f>Control!$B$26</f>
        <v>2.84140499721058</v>
      </c>
      <c r="AL247" s="12" t="n"/>
      <c r="AM247" s="11">
        <f>Control!$C$26</f>
        <v>2.84140499721058</v>
      </c>
      <c r="AN247" s="11">
        <f>Control!$C$26</f>
        <v>2.84140499721058</v>
      </c>
      <c r="AO247" s="11">
        <f>Control!$C$26</f>
        <v>2.84140499721058</v>
      </c>
      <c r="AP247" s="11">
        <f>Control!$C$26</f>
        <v>2.84140499721058</v>
      </c>
      <c r="AQ247" s="12" t="n"/>
      <c r="AR247" s="11">
        <f>Control!$D$26</f>
        <v>2.84140499721058</v>
      </c>
      <c r="AS247" s="11">
        <f>Control!$D$26</f>
        <v>2.84140499721058</v>
      </c>
      <c r="AT247" s="11">
        <f>Control!$D$26</f>
        <v>2.84140499721058</v>
      </c>
      <c r="AU247" s="11">
        <f>Control!$D$26</f>
        <v>2.84140499721058</v>
      </c>
      <c r="AV247" s="12" t="n"/>
      <c r="AW247" s="11">
        <f>Control!$E$26</f>
        <v>2.84140499721058</v>
      </c>
      <c r="AX247" s="11">
        <f>Control!$E$26</f>
        <v>2.84140499721058</v>
      </c>
      <c r="AY247" s="11">
        <f>Control!$E$26</f>
        <v>2.84140499721058</v>
      </c>
      <c r="AZ247" s="11">
        <f>Control!$E$26</f>
        <v>2.84140499721058</v>
      </c>
      <c r="BA247" s="12" t="n"/>
      <c r="BB247" s="11">
        <f>Control!$F$26</f>
        <v>2.84140499721058</v>
      </c>
      <c r="BC247" s="11">
        <f>Control!$F$26</f>
        <v>2.84140499721058</v>
      </c>
      <c r="BD247" s="11">
        <f>Control!$F$26</f>
        <v>2.84140499721058</v>
      </c>
      <c r="BE247" s="11">
        <f>Control!$F$26</f>
        <v>2.84140499721058</v>
      </c>
      <c r="BF247" s="12" t="n"/>
      <c r="BG247" s="11" t="n"/>
      <c r="BH247" s="11" t="n"/>
      <c r="BI247" s="11" t="n"/>
      <c r="BJ247" s="11" t="n"/>
      <c r="BK247" s="12" t="n"/>
      <c r="BL247" s="11" t="n"/>
      <c r="BM247" s="11" t="n"/>
      <c r="BN247" s="11" t="n"/>
      <c r="BO247" s="11" t="n"/>
      <c r="BP247" s="12" t="n"/>
      <c r="BQ247" s="11" t="n"/>
      <c r="BR247" s="11" t="n"/>
      <c r="BS247" s="11" t="n"/>
      <c r="BT247" s="11" t="n"/>
      <c r="BU247" s="12" t="n"/>
      <c r="BV247" s="11" t="n"/>
      <c r="BW247" s="11" t="n"/>
      <c r="BX247" s="11" t="n"/>
      <c r="BY247" s="11" t="n"/>
      <c r="BZ247" s="12" t="n"/>
      <c r="CA247" s="11" t="n"/>
      <c r="CB247" s="11" t="n"/>
      <c r="CC247" s="11" t="n"/>
      <c r="CD247" s="11" t="n"/>
      <c r="CE247" s="12" t="n"/>
      <c r="CF247" s="11" t="n"/>
      <c r="CG247" s="11" t="n"/>
      <c r="CH247" s="11" t="n"/>
      <c r="CI247" s="11" t="n"/>
      <c r="CJ247" s="12" t="n"/>
      <c r="CK247" s="11" t="n"/>
      <c r="CL247" s="11" t="n"/>
      <c r="CM247" s="11" t="n"/>
      <c r="CN247" s="11" t="n"/>
      <c r="CO247" s="12" t="n"/>
      <c r="CP247" s="11" t="n"/>
      <c r="CQ247" s="11" t="n"/>
      <c r="CR247" s="11" t="n"/>
      <c r="CS247" s="11" t="n"/>
      <c r="CT247" s="12" t="n"/>
      <c r="CU247" s="11" t="n"/>
      <c r="CV247" s="11" t="n"/>
      <c r="CW247" s="11" t="n"/>
      <c r="CX247" s="11" t="n"/>
      <c r="CY247" s="12" t="n"/>
    </row>
    <row r="248" hidden="1" outlineLevel="1">
      <c r="C248" s="57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hidden="1" outlineLevel="1">
      <c r="C249" s="57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 collapsed="1">
      <c r="C250" s="14" t="inlineStr">
        <is>
          <t>Deferred income taxes</t>
        </is>
      </c>
      <c r="D250" s="46" t="n"/>
      <c r="E250" s="46" t="n"/>
      <c r="F250" s="46" t="n"/>
      <c r="G250" s="46" t="n"/>
      <c r="H250" s="12" t="n"/>
      <c r="I250" s="46">
        <f>'Inputs (2)'!D18</f>
        <v>10.135</v>
      </c>
      <c r="J250" s="46">
        <f>'Inputs (2)'!E18</f>
        <v>12.177</v>
      </c>
      <c r="K250" s="46">
        <f>'Inputs (2)'!F18</f>
        <v>15.428</v>
      </c>
      <c r="L250" s="46">
        <f>'Inputs (2)'!G18</f>
        <v>20.207</v>
      </c>
      <c r="M250" s="12">
        <f>'Inputs (2)'!H18</f>
        <v>20.207</v>
      </c>
      <c r="N250" s="46">
        <f>'Inputs (2)'!I18</f>
        <v>19.288</v>
      </c>
      <c r="O250" s="46">
        <f>'Inputs (2)'!J18</f>
        <v>27.136</v>
      </c>
      <c r="P250" s="46">
        <f>'Inputs (2)'!K18</f>
        <v>34.574</v>
      </c>
      <c r="Q250" s="46">
        <f>'Inputs (2)'!L18</f>
        <v>53.272</v>
      </c>
      <c r="R250" s="12">
        <f>'Inputs (2)'!M18</f>
        <v>53.272</v>
      </c>
      <c r="S250" s="46">
        <f>'Inputs (2)'!N18</f>
        <v>61.005</v>
      </c>
      <c r="T250" s="46">
        <f>'Inputs (2)'!O18</f>
        <v>58.623</v>
      </c>
      <c r="U250" s="46">
        <f>'Inputs (2)'!P18</f>
        <v>56.088</v>
      </c>
      <c r="V250" s="46">
        <f>'Inputs (2)'!Q18</f>
        <v>58.8</v>
      </c>
      <c r="W250" s="12">
        <f>'Inputs (2)'!R18</f>
        <v>58.8</v>
      </c>
      <c r="X250" s="46">
        <f>'Inputs (2)'!S18</f>
        <v>68.294</v>
      </c>
      <c r="Y250" s="46">
        <f>'Inputs (2)'!T18</f>
        <v>78.767</v>
      </c>
      <c r="Z250" s="46">
        <f>'Inputs (2)'!U18</f>
        <v>86.458</v>
      </c>
      <c r="AA250" s="46">
        <f>'Inputs (2)'!V18</f>
        <v>110.608</v>
      </c>
      <c r="AB250" s="12">
        <f>'Inputs (2)'!W18</f>
        <v>110.608</v>
      </c>
      <c r="AC250" s="46">
        <f>'Inputs (2)'!X18</f>
        <v>180.122</v>
      </c>
      <c r="AD250" s="46">
        <f>'Inputs (2)'!Y18</f>
        <v>174.995</v>
      </c>
      <c r="AE250" s="46">
        <f>'Inputs (2)'!Z18</f>
        <v>177.276</v>
      </c>
      <c r="AF250" s="46">
        <f>'Inputs (2)'!AA18</f>
        <v>173.786</v>
      </c>
      <c r="AG250" s="12">
        <f>'Inputs (2)'!AB18</f>
        <v>173.786</v>
      </c>
      <c r="AH250" s="12">
        <f>'Inputs (2)'!AC18</f>
        <v>175.309</v>
      </c>
      <c r="AI250" s="12">
        <f>'Inputs (2)'!AD18</f>
        <v>173.589</v>
      </c>
      <c r="AJ250" s="12">
        <f>AI250</f>
        <v>173.589</v>
      </c>
      <c r="AK250" s="12">
        <f>AJ250</f>
        <v>173.589</v>
      </c>
      <c r="AL250" s="12">
        <f>AK250</f>
        <v>173.589</v>
      </c>
      <c r="AM250" s="12">
        <f>AL250</f>
        <v>173.589</v>
      </c>
      <c r="AN250" s="12">
        <f>AM250</f>
        <v>173.589</v>
      </c>
      <c r="AO250" s="12">
        <f>AN250</f>
        <v>173.589</v>
      </c>
      <c r="AP250" s="12">
        <f>AO250</f>
        <v>173.589</v>
      </c>
      <c r="AQ250" s="12">
        <f>AP250</f>
        <v>173.589</v>
      </c>
      <c r="AR250" s="12">
        <f>AQ250</f>
        <v>173.589</v>
      </c>
      <c r="AS250" s="12">
        <f>AR250</f>
        <v>173.589</v>
      </c>
      <c r="AT250" s="12">
        <f>AS250</f>
        <v>173.589</v>
      </c>
      <c r="AU250" s="12">
        <f>AT250</f>
        <v>173.589</v>
      </c>
      <c r="AV250" s="12">
        <f>AU250</f>
        <v>173.589</v>
      </c>
      <c r="AW250" s="12">
        <f>AV250</f>
        <v>173.589</v>
      </c>
      <c r="AX250" s="12">
        <f>AW250</f>
        <v>173.589</v>
      </c>
      <c r="AY250" s="12">
        <f>AX250</f>
        <v>173.589</v>
      </c>
      <c r="AZ250" s="12">
        <f>AY250</f>
        <v>173.589</v>
      </c>
      <c r="BA250" s="12">
        <f>AZ250</f>
        <v>173.589</v>
      </c>
      <c r="BB250" s="12">
        <f>BA250</f>
        <v>173.589</v>
      </c>
      <c r="BC250" s="12">
        <f>BB250</f>
        <v>173.589</v>
      </c>
      <c r="BD250" s="12">
        <f>BC250</f>
        <v>173.589</v>
      </c>
      <c r="BE250" s="12">
        <f>BD250</f>
        <v>173.589</v>
      </c>
      <c r="BF250" s="12">
        <f>BE250</f>
        <v>173.589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>
      <c r="C251" s="14" t="inlineStr">
        <is>
          <t>Prepaid expenses</t>
        </is>
      </c>
      <c r="D251" s="46" t="n"/>
      <c r="E251" s="46" t="n"/>
      <c r="F251" s="46" t="n"/>
      <c r="G251" s="46" t="n"/>
      <c r="H251" s="12" t="n"/>
      <c r="I251" s="46">
        <f>'Inputs (2)'!D19</f>
        <v>4.979</v>
      </c>
      <c r="J251" s="46">
        <f>'Inputs (2)'!E19</f>
        <v>10.437</v>
      </c>
      <c r="K251" s="46">
        <f>'Inputs (2)'!F19</f>
        <v>9.944</v>
      </c>
      <c r="L251" s="46">
        <f>'Inputs (2)'!G19</f>
        <v>8.251</v>
      </c>
      <c r="M251" s="12">
        <f>'Inputs (2)'!H19</f>
        <v>8.251</v>
      </c>
      <c r="N251" s="46">
        <f>'Inputs (2)'!I19</f>
        <v>7.11</v>
      </c>
      <c r="O251" s="46">
        <f>'Inputs (2)'!J19</f>
        <v>11.678</v>
      </c>
      <c r="P251" s="46">
        <f>'Inputs (2)'!K19</f>
        <v>13.12</v>
      </c>
      <c r="Q251" s="46">
        <f>'Inputs (2)'!L19</f>
        <v>13.602</v>
      </c>
      <c r="R251" s="12">
        <f>'Inputs (2)'!M19</f>
        <v>13.602</v>
      </c>
      <c r="S251" s="46">
        <f>'Inputs (2)'!N19</f>
        <v>7.204</v>
      </c>
      <c r="T251" s="46">
        <f>'Inputs (2)'!O19</f>
        <v>9.983</v>
      </c>
      <c r="U251" s="46">
        <f>'Inputs (2)'!P19</f>
        <v>9.189</v>
      </c>
      <c r="V251" s="46">
        <f>'Inputs (2)'!Q19</f>
        <v>12.141</v>
      </c>
      <c r="W251" s="12">
        <f>'Inputs (2)'!R19</f>
        <v>12.141</v>
      </c>
      <c r="X251" s="46">
        <f>'Inputs (2)'!S19</f>
        <v>7.964</v>
      </c>
      <c r="Y251" s="46">
        <f>'Inputs (2)'!T19</f>
        <v>11.09</v>
      </c>
      <c r="Z251" s="46">
        <f>'Inputs (2)'!U19</f>
        <v>10.329</v>
      </c>
      <c r="AA251" s="46">
        <f>'Inputs (2)'!V19</f>
        <v>9.961</v>
      </c>
      <c r="AB251" s="12">
        <f>'Inputs (2)'!W19</f>
        <v>9.961</v>
      </c>
      <c r="AC251" s="46">
        <f>'Inputs (2)'!X19</f>
        <v>8.499</v>
      </c>
      <c r="AD251" s="46">
        <f>'Inputs (2)'!Y19</f>
        <v>9.341</v>
      </c>
      <c r="AE251" s="46">
        <f>'Inputs (2)'!Z19</f>
        <v>12.455</v>
      </c>
      <c r="AF251" s="46">
        <f>'Inputs (2)'!AA19</f>
        <v>10.9</v>
      </c>
      <c r="AG251" s="12">
        <f>'Inputs (2)'!AB19</f>
        <v>10.9</v>
      </c>
      <c r="AH251" s="12">
        <f>'Inputs (2)'!AC19</f>
        <v>11.131</v>
      </c>
      <c r="AI251" s="12">
        <f>'Inputs (2)'!AD19</f>
        <v>12.761</v>
      </c>
      <c r="AJ251" s="12">
        <f>AI251</f>
        <v>12.761</v>
      </c>
      <c r="AK251" s="12">
        <f>AJ251</f>
        <v>12.761</v>
      </c>
      <c r="AL251" s="12">
        <f>AK251</f>
        <v>12.761</v>
      </c>
      <c r="AM251" s="12">
        <f>AL251</f>
        <v>12.761</v>
      </c>
      <c r="AN251" s="12">
        <f>AM251</f>
        <v>12.761</v>
      </c>
      <c r="AO251" s="12">
        <f>AN251</f>
        <v>12.761</v>
      </c>
      <c r="AP251" s="12">
        <f>AO251</f>
        <v>12.761</v>
      </c>
      <c r="AQ251" s="12">
        <f>AP251</f>
        <v>12.761</v>
      </c>
      <c r="AR251" s="12">
        <f>AQ251</f>
        <v>12.761</v>
      </c>
      <c r="AS251" s="12">
        <f>AR251</f>
        <v>12.761</v>
      </c>
      <c r="AT251" s="12">
        <f>AS251</f>
        <v>12.761</v>
      </c>
      <c r="AU251" s="12">
        <f>AT251</f>
        <v>12.761</v>
      </c>
      <c r="AV251" s="12">
        <f>AU251</f>
        <v>12.761</v>
      </c>
      <c r="AW251" s="12">
        <f>AV251</f>
        <v>12.761</v>
      </c>
      <c r="AX251" s="12">
        <f>AW251</f>
        <v>12.761</v>
      </c>
      <c r="AY251" s="12">
        <f>AX251</f>
        <v>12.761</v>
      </c>
      <c r="AZ251" s="12">
        <f>AY251</f>
        <v>12.761</v>
      </c>
      <c r="BA251" s="12">
        <f>AZ251</f>
        <v>12.761</v>
      </c>
      <c r="BB251" s="12">
        <f>BA251</f>
        <v>12.761</v>
      </c>
      <c r="BC251" s="12">
        <f>BB251</f>
        <v>12.761</v>
      </c>
      <c r="BD251" s="12">
        <f>BC251</f>
        <v>12.761</v>
      </c>
      <c r="BE251" s="12">
        <f>BD251</f>
        <v>12.761</v>
      </c>
      <c r="BF251" s="12">
        <f>BE251</f>
        <v>12.761</v>
      </c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</row>
    <row r="252">
      <c r="C252" s="14" t="inlineStr">
        <is>
          <t>Other current assets</t>
        </is>
      </c>
      <c r="D252" s="46" t="n"/>
      <c r="E252" s="46" t="n"/>
      <c r="F252" s="46" t="n"/>
      <c r="G252" s="46" t="n"/>
      <c r="H252" s="12" t="n"/>
      <c r="I252" s="46">
        <f>'Inputs (2)'!D20</f>
        <v>1781.288</v>
      </c>
      <c r="J252" s="46">
        <f>'Inputs (2)'!E20</f>
        <v>1857.665</v>
      </c>
      <c r="K252" s="46">
        <f>'Inputs (2)'!F20</f>
        <v>1882.265</v>
      </c>
      <c r="L252" s="46">
        <f>'Inputs (2)'!G20</f>
        <v>2060.89</v>
      </c>
      <c r="M252" s="12">
        <f>'Inputs (2)'!H20</f>
        <v>2060.89</v>
      </c>
      <c r="N252" s="46">
        <f>'Inputs (2)'!I20</f>
        <v>2121.591</v>
      </c>
      <c r="O252" s="46">
        <f>'Inputs (2)'!J20</f>
        <v>2203.378</v>
      </c>
      <c r="P252" s="46">
        <f>'Inputs (2)'!K20</f>
        <v>2164.519</v>
      </c>
      <c r="Q252" s="46">
        <f>'Inputs (2)'!L20</f>
        <v>2213.971</v>
      </c>
      <c r="R252" s="12">
        <f>'Inputs (2)'!M20</f>
        <v>2213.971</v>
      </c>
      <c r="S252" s="46">
        <f>'Inputs (2)'!N20</f>
        <v>2263.795</v>
      </c>
      <c r="T252" s="46">
        <f>'Inputs (2)'!O20</f>
        <v>2322.041</v>
      </c>
      <c r="U252" s="46">
        <f>'Inputs (2)'!P20</f>
        <v>2300.812</v>
      </c>
      <c r="V252" s="46">
        <f>'Inputs (2)'!Q20</f>
        <v>2276.969</v>
      </c>
      <c r="W252" s="12">
        <f>'Inputs (2)'!R20</f>
        <v>2276.969</v>
      </c>
      <c r="X252" s="46">
        <f>'Inputs (2)'!S20</f>
        <v>2318.041</v>
      </c>
      <c r="Y252" s="46">
        <f>'Inputs (2)'!T20</f>
        <v>2353.538</v>
      </c>
      <c r="Z252" s="46">
        <f>'Inputs (2)'!U20</f>
        <v>2372.45</v>
      </c>
      <c r="AA252" s="46">
        <f>'Inputs (2)'!V20</f>
        <v>2396.23</v>
      </c>
      <c r="AB252" s="12">
        <f>'Inputs (2)'!W20</f>
        <v>2396.23</v>
      </c>
      <c r="AC252" s="46">
        <f>'Inputs (2)'!X20</f>
        <v>2456.996</v>
      </c>
      <c r="AD252" s="46">
        <f>'Inputs (2)'!Y20</f>
        <v>2593.108</v>
      </c>
      <c r="AE252" s="46">
        <f>'Inputs (2)'!Z20</f>
        <v>2628.473</v>
      </c>
      <c r="AF252" s="46">
        <f>'Inputs (2)'!AA20</f>
        <v>2789.043</v>
      </c>
      <c r="AG252" s="12">
        <f>'Inputs (2)'!AB20</f>
        <v>2789.043</v>
      </c>
      <c r="AH252" s="12">
        <f>'Inputs (2)'!AC20</f>
        <v>2838.566</v>
      </c>
      <c r="AI252" s="12">
        <f>'Inputs (2)'!AD20</f>
        <v>3062.425</v>
      </c>
      <c r="AJ252" s="12">
        <f>AI252</f>
        <v>3062.425</v>
      </c>
      <c r="AK252" s="12">
        <f>AJ252</f>
        <v>3062.425</v>
      </c>
      <c r="AL252" s="12">
        <f>AK252</f>
        <v>3062.425</v>
      </c>
      <c r="AM252" s="12">
        <f>AL252</f>
        <v>3062.425</v>
      </c>
      <c r="AN252" s="12">
        <f>AM252</f>
        <v>3062.425</v>
      </c>
      <c r="AO252" s="12">
        <f>AN252</f>
        <v>3062.425</v>
      </c>
      <c r="AP252" s="12">
        <f>AO252</f>
        <v>3062.425</v>
      </c>
      <c r="AQ252" s="12">
        <f>AP252</f>
        <v>3062.425</v>
      </c>
      <c r="AR252" s="12">
        <f>AQ252</f>
        <v>3062.425</v>
      </c>
      <c r="AS252" s="12">
        <f>AR252</f>
        <v>3062.425</v>
      </c>
      <c r="AT252" s="12">
        <f>AS252</f>
        <v>3062.425</v>
      </c>
      <c r="AU252" s="12">
        <f>AT252</f>
        <v>3062.425</v>
      </c>
      <c r="AV252" s="12">
        <f>AU252</f>
        <v>3062.425</v>
      </c>
      <c r="AW252" s="12">
        <f>AV252</f>
        <v>3062.425</v>
      </c>
      <c r="AX252" s="12">
        <f>AW252</f>
        <v>3062.425</v>
      </c>
      <c r="AY252" s="12">
        <f>AX252</f>
        <v>3062.425</v>
      </c>
      <c r="AZ252" s="12">
        <f>AY252</f>
        <v>3062.425</v>
      </c>
      <c r="BA252" s="12">
        <f>AZ252</f>
        <v>3062.425</v>
      </c>
      <c r="BB252" s="12">
        <f>BA252</f>
        <v>3062.425</v>
      </c>
      <c r="BC252" s="12">
        <f>BB252</f>
        <v>3062.425</v>
      </c>
      <c r="BD252" s="12">
        <f>BC252</f>
        <v>3062.425</v>
      </c>
      <c r="BE252" s="12">
        <f>BD252</f>
        <v>3062.425</v>
      </c>
      <c r="BF252" s="12">
        <f>BE252</f>
        <v>3062.425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 hidden="1" outlineLevel="1">
      <c r="C253" s="59" t="inlineStr">
        <is>
          <t>%(Var.)</t>
        </is>
      </c>
      <c r="D253" s="12" t="n"/>
      <c r="E253" s="40" t="n"/>
      <c r="F253" s="40" t="n"/>
      <c r="G253" s="40" t="n"/>
      <c r="H253" s="12" t="n"/>
      <c r="I253" s="40" t="str">
        <f>""</f>
        <v/>
      </c>
      <c r="J253" s="40">
        <f>IFERROR(IF(I252=0,"",J252/I252-1),"")</f>
        <v>0.0428774010715842</v>
      </c>
      <c r="K253" s="40">
        <f>IFERROR(IF(J252=0,"",K252/J252-1),"")</f>
        <v>0.0132424306858341</v>
      </c>
      <c r="L253" s="40">
        <f>IFERROR(IF(K252=0,"",L252/K252-1),"")</f>
        <v>0.0948989648110121</v>
      </c>
      <c r="M253" s="12">
        <f>IFERROR(IF(L252=0,"",M252/L252-1),"")</f>
        <v>0</v>
      </c>
      <c r="N253" s="40">
        <f>IFERROR(IF(M252=0,"",N252/M252-1),"")</f>
        <v>0.0294537796777121</v>
      </c>
      <c r="O253" s="40">
        <f>IFERROR(IF(N252=0,"",O252/N252-1),"")</f>
        <v>0.0385498430187534</v>
      </c>
      <c r="P253" s="40">
        <f>IFERROR(IF(O252=0,"",P252/O252-1),"")</f>
        <v>-0.0176361023846114</v>
      </c>
      <c r="Q253" s="40">
        <f>IFERROR(IF(P252=0,"",Q252/P252-1),"")</f>
        <v>0.0228466462987853</v>
      </c>
      <c r="R253" s="12">
        <f>IFERROR(IF(Q252=0,"",R252/Q252-1),"")</f>
        <v>0</v>
      </c>
      <c r="S253" s="40">
        <f>IFERROR(IF(R252=0,"",S252/R252-1),"")</f>
        <v>0.0225043598132044</v>
      </c>
      <c r="T253" s="40">
        <f>IFERROR(IF(S252=0,"",T252/S252-1),"")</f>
        <v>0.0257293615367116</v>
      </c>
      <c r="U253" s="40">
        <f>IFERROR(IF(T252=0,"",U252/T252-1),"")</f>
        <v>-0.00914238809736789</v>
      </c>
      <c r="V253" s="40">
        <f>IFERROR(IF(U252=0,"",V252/U252-1),"")</f>
        <v>-0.0103628631978623</v>
      </c>
      <c r="W253" s="12">
        <f>IFERROR(IF(V252=0,"",W252/V252-1),"")</f>
        <v>0</v>
      </c>
      <c r="X253" s="40">
        <f>IFERROR(IF(W252=0,"",X252/W252-1),"")</f>
        <v>0.0180380145711252</v>
      </c>
      <c r="Y253" s="40">
        <f>IFERROR(IF(X252=0,"",Y252/X252-1),"")</f>
        <v>0.0153133615841996</v>
      </c>
      <c r="Z253" s="40">
        <f>IFERROR(IF(Y252=0,"",Z252/Y252-1),"")</f>
        <v>0.00803556177975451</v>
      </c>
      <c r="AA253" s="40">
        <f>IFERROR(IF(Z252=0,"",AA252/Z252-1),"")</f>
        <v>0.0100233935383254</v>
      </c>
      <c r="AB253" s="12">
        <f>IFERROR(IF(AA252=0,"",AB252/AA252-1),"")</f>
        <v>0</v>
      </c>
      <c r="AC253" s="40">
        <f>IFERROR(IF(AB252=0,"",AC252/AB252-1),"")</f>
        <v>0.0253590014314151</v>
      </c>
      <c r="AD253" s="40">
        <f>IFERROR(IF(AC252=0,"",AD252/AC252-1),"")</f>
        <v>0.0553977295852335</v>
      </c>
      <c r="AE253" s="40">
        <f>IFERROR(IF(AD252=0,"",AE252/AD252-1),"")</f>
        <v>0.0136380744650819</v>
      </c>
      <c r="AF253" s="55">
        <f>IFERROR(IF(AE252=0,"",AF252/AE252-1),"")</f>
        <v>0.0610887005497109</v>
      </c>
      <c r="AG253" s="12">
        <f>IFERROR(IF(AF252=0,"",AG252/AF252-1),"")</f>
        <v>0</v>
      </c>
      <c r="AH253" s="12">
        <f>IFERROR(IF(AG252=0,"",AH252/AG252-1),"")</f>
        <v>0.0177562698029394</v>
      </c>
      <c r="AI253" s="12">
        <f>IFERROR(IF(AH252=0,"",AI252/AH252-1),"")</f>
        <v>0.0788634120186038</v>
      </c>
      <c r="AJ253" s="12">
        <f>IFERROR(IF(AI252=0,"",AJ252/AI252-1),"")</f>
        <v>0</v>
      </c>
      <c r="AK253" s="12">
        <f>IFERROR(IF(AJ252=0,"",AK252/AJ252-1),"")</f>
        <v>0</v>
      </c>
      <c r="AL253" s="12">
        <f>IFERROR(IF(AK252=0,"",AL252/AK252-1),"")</f>
        <v>0</v>
      </c>
      <c r="AM253" s="12">
        <f>IFERROR(IF(AL252=0,"",AM252/AL252-1),"")</f>
        <v>0</v>
      </c>
      <c r="AN253" s="12">
        <f>IFERROR(IF(AM252=0,"",AN252/AM252-1),"")</f>
        <v>0</v>
      </c>
      <c r="AO253" s="12">
        <f>IFERROR(IF(AN252=0,"",AO252/AN252-1),"")</f>
        <v>0</v>
      </c>
      <c r="AP253" s="12">
        <f>IFERROR(IF(AO252=0,"",AP252/AO252-1),"")</f>
        <v>0</v>
      </c>
      <c r="AQ253" s="12">
        <f>IFERROR(IF(AP252=0,"",AQ252/AP252-1),"")</f>
        <v>0</v>
      </c>
      <c r="AR253" s="12">
        <f>IFERROR(IF(AQ252=0,"",AR252/AQ252-1),"")</f>
        <v>0</v>
      </c>
      <c r="AS253" s="12">
        <f>IFERROR(IF(AR252=0,"",AS252/AR252-1),"")</f>
        <v>0</v>
      </c>
      <c r="AT253" s="12">
        <f>IFERROR(IF(AS252=0,"",AT252/AS252-1),"")</f>
        <v>0</v>
      </c>
      <c r="AU253" s="12">
        <f>IFERROR(IF(AT252=0,"",AU252/AT252-1),"")</f>
        <v>0</v>
      </c>
      <c r="AV253" s="12">
        <f>IFERROR(IF(AU252=0,"",AV252/AU252-1),"")</f>
        <v>0</v>
      </c>
      <c r="AW253" s="12">
        <f>IFERROR(IF(AV252=0,"",AW252/AV252-1),"")</f>
        <v>0</v>
      </c>
      <c r="AX253" s="12">
        <f>IFERROR(IF(AW252=0,"",AX252/AW252-1),"")</f>
        <v>0</v>
      </c>
      <c r="AY253" s="12">
        <f>IFERROR(IF(AX252=0,"",AY252/AX252-1),"")</f>
        <v>0</v>
      </c>
      <c r="AZ253" s="12">
        <f>IFERROR(IF(AY252=0,"",AZ252/AY252-1),"")</f>
        <v>0</v>
      </c>
      <c r="BA253" s="12">
        <f>IFERROR(IF(AZ252=0,"",BA252/AZ252-1),"")</f>
        <v>0</v>
      </c>
      <c r="BB253" s="12">
        <f>IFERROR(IF(BA252=0,"",BB252/BA252-1),"")</f>
        <v>0</v>
      </c>
      <c r="BC253" s="12">
        <f>IFERROR(IF(BB252=0,"",BC252/BB252-1),"")</f>
        <v>0</v>
      </c>
      <c r="BD253" s="12">
        <f>IFERROR(IF(BC252=0,"",BD252/BC252-1),"")</f>
        <v>0</v>
      </c>
      <c r="BE253" s="12">
        <f>IFERROR(IF(BD252=0,"",BE252/BD252-1),"")</f>
        <v>0</v>
      </c>
      <c r="BF253" s="12">
        <f>IFERROR(IF(BE252=0,"",BF252/BE252-1),"")</f>
        <v>0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hidden="1" outlineLevel="1">
      <c r="C254" s="57" t="n"/>
      <c r="D254" s="12" t="n"/>
      <c r="E254" s="40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 hidden="1" outlineLevel="1">
      <c r="C255" s="60" t="inlineStr">
        <is>
          <t xml:space="preserve">Impostos e Contribuições a Recuperar </t>
        </is>
      </c>
      <c r="D255" s="11" t="n"/>
      <c r="E255" s="11" t="n"/>
      <c r="F255" s="11" t="n"/>
      <c r="G255" s="11" t="n"/>
      <c r="H255" s="12" t="n"/>
      <c r="I255" s="11" t="n"/>
      <c r="J255" s="11" t="n"/>
      <c r="K255" s="11" t="n"/>
      <c r="L255" s="11" t="n"/>
      <c r="M255" s="12" t="n"/>
      <c r="N255" s="11" t="n"/>
      <c r="O255" s="11" t="n"/>
      <c r="P255" s="11" t="n"/>
      <c r="Q255" s="11" t="n"/>
      <c r="R255" s="12" t="n"/>
      <c r="S255" s="11" t="n"/>
      <c r="T255" s="11" t="n"/>
      <c r="U255" s="11" t="n"/>
      <c r="V255" s="11" t="n"/>
      <c r="W255" s="12" t="n"/>
      <c r="X255" s="11" t="n"/>
      <c r="Y255" s="11" t="n"/>
      <c r="Z255" s="11" t="n"/>
      <c r="AA255" s="11" t="n"/>
      <c r="AB255" s="12" t="n"/>
      <c r="AC255" s="11" t="n"/>
      <c r="AD255" s="11" t="n"/>
      <c r="AE255" s="11" t="n"/>
      <c r="AF255" s="11" t="n"/>
      <c r="AG255" s="12">
        <f>AF255</f>
        <v>0</v>
      </c>
      <c r="AH255" s="61">
        <f>IFERROR(AG255*AH15/AG15,"")</f>
        <v>0</v>
      </c>
      <c r="AI255" s="61">
        <f>IFERROR(AH255*AI15/AH15,"")</f>
        <v>0</v>
      </c>
      <c r="AJ255" s="61">
        <f>IFERROR(AI255*AJ15/AI15,"")</f>
        <v>0</v>
      </c>
      <c r="AK255" s="61">
        <f>IFERROR(AJ255*AK15/AJ15,"")</f>
        <v>0</v>
      </c>
      <c r="AL255" s="12">
        <f>IFERROR(AK255,"")</f>
        <v>0</v>
      </c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 hidden="1" outlineLevel="1">
      <c r="C256" s="60" t="inlineStr">
        <is>
          <t>Outros Créditos</t>
        </is>
      </c>
      <c r="D256" s="11" t="n"/>
      <c r="E256" s="11" t="n"/>
      <c r="F256" s="11" t="n"/>
      <c r="G256" s="11" t="n"/>
      <c r="H256" s="12" t="n"/>
      <c r="I256" s="11" t="n"/>
      <c r="J256" s="11" t="n"/>
      <c r="K256" s="11" t="n"/>
      <c r="L256" s="11" t="n"/>
      <c r="M256" s="12" t="n"/>
      <c r="N256" s="11" t="n"/>
      <c r="O256" s="11" t="n"/>
      <c r="P256" s="11" t="n"/>
      <c r="Q256" s="11" t="n"/>
      <c r="R256" s="12" t="n"/>
      <c r="S256" s="11" t="n"/>
      <c r="T256" s="11" t="n"/>
      <c r="U256" s="11" t="n"/>
      <c r="V256" s="11" t="n"/>
      <c r="W256" s="12" t="n"/>
      <c r="X256" s="11" t="n"/>
      <c r="Y256" s="11" t="n"/>
      <c r="Z256" s="11" t="n"/>
      <c r="AA256" s="11" t="n"/>
      <c r="AB256" s="12" t="n"/>
      <c r="AC256" s="11" t="n"/>
      <c r="AD256" s="11" t="n"/>
      <c r="AE256" s="11" t="n"/>
      <c r="AF256" s="11" t="n"/>
      <c r="AG256" s="12">
        <f>AF256</f>
        <v>0</v>
      </c>
      <c r="AH256" s="12">
        <f>AG256</f>
        <v>0</v>
      </c>
      <c r="AI256" s="12">
        <f>AH256</f>
        <v>0</v>
      </c>
      <c r="AJ256" s="12">
        <f>AI256</f>
        <v>0</v>
      </c>
      <c r="AK256" s="12">
        <f>AJ256</f>
        <v>0</v>
      </c>
      <c r="AL256" s="12">
        <f>AK256</f>
        <v>0</v>
      </c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hidden="1" outlineLevel="1">
      <c r="C257" s="57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  <c r="BJ257" s="12" t="n"/>
      <c r="BK257" s="12" t="n"/>
      <c r="BL257" s="12" t="n"/>
      <c r="BM257" s="12" t="n"/>
      <c r="BN257" s="12" t="n"/>
      <c r="BO257" s="12" t="n"/>
      <c r="BP257" s="12" t="n"/>
      <c r="BQ257" s="12" t="n"/>
      <c r="BR257" s="12" t="n"/>
      <c r="BS257" s="12" t="n"/>
      <c r="BT257" s="12" t="n"/>
      <c r="BU257" s="12" t="n"/>
      <c r="BV257" s="12" t="n"/>
      <c r="BW257" s="12" t="n"/>
      <c r="BX257" s="12" t="n"/>
      <c r="BY257" s="12" t="n"/>
      <c r="BZ257" s="12" t="n"/>
      <c r="CA257" s="12" t="n"/>
      <c r="CB257" s="12" t="n"/>
      <c r="CC257" s="12" t="n"/>
      <c r="CD257" s="12" t="n"/>
      <c r="CE257" s="12" t="n"/>
      <c r="CF257" s="12" t="n"/>
      <c r="CG257" s="12" t="n"/>
      <c r="CH257" s="12" t="n"/>
      <c r="CI257" s="12" t="n"/>
      <c r="CJ257" s="12" t="n"/>
      <c r="CK257" s="12" t="n"/>
      <c r="CL257" s="12" t="n"/>
      <c r="CM257" s="12" t="n"/>
      <c r="CN257" s="12" t="n"/>
      <c r="CO257" s="12" t="n"/>
      <c r="CP257" s="12" t="n"/>
      <c r="CQ257" s="12" t="n"/>
      <c r="CR257" s="12" t="n"/>
      <c r="CS257" s="12" t="n"/>
      <c r="CT257" s="12" t="n"/>
      <c r="CU257" s="12" t="n"/>
      <c r="CV257" s="12" t="n"/>
      <c r="CW257" s="12" t="n"/>
      <c r="CX257" s="12" t="n"/>
      <c r="CY257" s="12" t="n"/>
    </row>
    <row r="258" collapsed="1">
      <c r="C258" s="14" t="inlineStr">
        <is>
          <t>Equity in affiliates</t>
        </is>
      </c>
      <c r="D258" s="46" t="n"/>
      <c r="E258" s="46" t="n"/>
      <c r="F258" s="46" t="n"/>
      <c r="G258" s="46" t="n"/>
      <c r="H258" s="12" t="n"/>
      <c r="I258" s="46">
        <f>'Inputs (2)'!D21</f>
        <v>136.93</v>
      </c>
      <c r="J258" s="46">
        <f>'Inputs (2)'!E21</f>
        <v>139.039</v>
      </c>
      <c r="K258" s="46">
        <f>'Inputs (2)'!F21</f>
        <v>140.182</v>
      </c>
      <c r="L258" s="46">
        <f>'Inputs (2)'!G21</f>
        <v>150.92</v>
      </c>
      <c r="M258" s="12">
        <f>'Inputs (2)'!H21</f>
        <v>150.92</v>
      </c>
      <c r="N258" s="46">
        <f>'Inputs (2)'!I21</f>
        <v>150.555</v>
      </c>
      <c r="O258" s="46">
        <f>'Inputs (2)'!J21</f>
        <v>153.088</v>
      </c>
      <c r="P258" s="46">
        <f>'Inputs (2)'!K21</f>
        <v>168.252</v>
      </c>
      <c r="Q258" s="46">
        <f>'Inputs (2)'!L21</f>
        <v>176.062</v>
      </c>
      <c r="R258" s="12">
        <f>'Inputs (2)'!M21</f>
        <v>176.062</v>
      </c>
      <c r="S258" s="46">
        <f>'Inputs (2)'!N21</f>
        <v>186.664</v>
      </c>
      <c r="T258" s="46">
        <f>'Inputs (2)'!O21</f>
        <v>212.488</v>
      </c>
      <c r="U258" s="46">
        <f>'Inputs (2)'!P21</f>
        <v>218.734</v>
      </c>
      <c r="V258" s="46">
        <f>'Inputs (2)'!Q21</f>
        <v>232.644</v>
      </c>
      <c r="W258" s="12">
        <f>'Inputs (2)'!R21</f>
        <v>232.644</v>
      </c>
      <c r="X258" s="46">
        <f>'Inputs (2)'!S21</f>
        <v>248.826</v>
      </c>
      <c r="Y258" s="46">
        <f>'Inputs (2)'!T21</f>
        <v>279.634</v>
      </c>
      <c r="Z258" s="46">
        <f>'Inputs (2)'!U21</f>
        <v>328.05</v>
      </c>
      <c r="AA258" s="46">
        <f>'Inputs (2)'!V21</f>
        <v>381.647</v>
      </c>
      <c r="AB258" s="12">
        <f>'Inputs (2)'!W21</f>
        <v>381.647</v>
      </c>
      <c r="AC258" s="46">
        <f>'Inputs (2)'!X21</f>
        <v>431.194</v>
      </c>
      <c r="AD258" s="46">
        <f>'Inputs (2)'!Y21</f>
        <v>324.079</v>
      </c>
      <c r="AE258" s="46">
        <f>'Inputs (2)'!Z21</f>
        <v>807.382</v>
      </c>
      <c r="AF258" s="46">
        <f>'Inputs (2)'!AA21</f>
        <v>817.595</v>
      </c>
      <c r="AG258" s="12">
        <f>'Inputs (2)'!AB21</f>
        <v>817.595</v>
      </c>
      <c r="AH258" s="12">
        <f>'Inputs (2)'!AC21</f>
        <v>842.58</v>
      </c>
      <c r="AI258" s="12">
        <f>'Inputs (2)'!AD21</f>
        <v>872.439</v>
      </c>
      <c r="AJ258" s="12">
        <f>AI258+AJ232</f>
        <v>872.439</v>
      </c>
      <c r="AK258" s="12">
        <f>AJ258+AK232</f>
        <v>872.439</v>
      </c>
      <c r="AL258" s="12">
        <f>AK258</f>
        <v>872.439</v>
      </c>
      <c r="AM258" s="12">
        <f>AL258+AM232</f>
        <v>872.439</v>
      </c>
      <c r="AN258" s="12">
        <f>AM258+AN232</f>
        <v>872.439</v>
      </c>
      <c r="AO258" s="12">
        <f>AN258+AO232</f>
        <v>872.439</v>
      </c>
      <c r="AP258" s="12">
        <f>AO258+AP232</f>
        <v>872.439</v>
      </c>
      <c r="AQ258" s="12">
        <f>AP258</f>
        <v>872.439</v>
      </c>
      <c r="AR258" s="12">
        <f>AQ258+AR232</f>
        <v>872.439</v>
      </c>
      <c r="AS258" s="12">
        <f>AR258+AS232</f>
        <v>872.439</v>
      </c>
      <c r="AT258" s="12">
        <f>AS258+AT232</f>
        <v>872.439</v>
      </c>
      <c r="AU258" s="12">
        <f>AT258+AU232</f>
        <v>872.439</v>
      </c>
      <c r="AV258" s="12">
        <f>AU258</f>
        <v>872.439</v>
      </c>
      <c r="AW258" s="12">
        <f>AV258+AW232</f>
        <v>872.439</v>
      </c>
      <c r="AX258" s="12">
        <f>AW258+AX232</f>
        <v>872.439</v>
      </c>
      <c r="AY258" s="12">
        <f>AX258+AY232</f>
        <v>872.439</v>
      </c>
      <c r="AZ258" s="12">
        <f>AY258+AZ232</f>
        <v>872.439</v>
      </c>
      <c r="BA258" s="12">
        <f>AZ258</f>
        <v>872.439</v>
      </c>
      <c r="BB258" s="12">
        <f>BA258+BB232</f>
        <v>872.439</v>
      </c>
      <c r="BC258" s="12">
        <f>BB258+BC232</f>
        <v>872.439</v>
      </c>
      <c r="BD258" s="12">
        <f>BC258+BD232</f>
        <v>872.439</v>
      </c>
      <c r="BE258" s="12">
        <f>BD258+BE232</f>
        <v>872.439</v>
      </c>
      <c r="BF258" s="12">
        <f>BE258</f>
        <v>872.439</v>
      </c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 hidden="1" outlineLevel="1">
      <c r="C259" s="57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 hidden="1" outlineLevel="1">
      <c r="C260" s="57" t="inlineStr">
        <is>
          <t>Equity in Income - % YoY</t>
        </is>
      </c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>
        <f>IF(I232=0,0,N232/I232-1)</f>
        <v>-1.07776261937244</v>
      </c>
      <c r="O260" s="12">
        <f>IF(J232=0,0,O232/J232-1)</f>
        <v>0.201043148411569</v>
      </c>
      <c r="P260" s="12">
        <f>IF(K232=0,0,P232/K232-1)</f>
        <v>0.705161854768154</v>
      </c>
      <c r="Q260" s="12">
        <f>IF(L232=0,0,Q232/L232-1)</f>
        <v>1.97579143389199</v>
      </c>
      <c r="R260" s="12" t="n"/>
      <c r="S260" s="12">
        <f>IF(N232=0,0,S232/N232-1)</f>
        <v>-8.53508771929825</v>
      </c>
      <c r="T260" s="12">
        <f>IF(O232=0,0,T232/O232-1)</f>
        <v>6.95578365574418</v>
      </c>
      <c r="U260" s="12">
        <f>IF(P232=0,0,U232/P232-1)</f>
        <v>2.20472036942022</v>
      </c>
      <c r="V260" s="12">
        <f>IF(Q232=0,0,V232/Q232-1)</f>
        <v>7.70525657071339</v>
      </c>
      <c r="W260" s="12" t="n"/>
      <c r="X260" s="12">
        <f>IF(S232=0,0,X232/S232-1)</f>
        <v>17.8381839348079</v>
      </c>
      <c r="Y260" s="12">
        <f>IF(T232=0,0,Y232/T232-1)</f>
        <v>0.528781262405716</v>
      </c>
      <c r="Z260" s="12">
        <f>IF(U232=0,0,Z232/U232-1)</f>
        <v>6.75152097342299</v>
      </c>
      <c r="AA260" s="12">
        <f>IF(V232=0,0,AA232/V232-1)</f>
        <v>2.85285026238229</v>
      </c>
      <c r="AB260" s="12" t="n"/>
      <c r="AC260" s="12">
        <f>IF(X232=0,0,AC232/X232-1)</f>
        <v>2.06185885551848</v>
      </c>
      <c r="AD260" s="12">
        <f>IF(Y232=0,0,AD232/Y232-1)</f>
        <v>-3.59205401194495</v>
      </c>
      <c r="AE260" s="12">
        <f>IF(Z232=0,0,AE232/Z232-1)</f>
        <v>5.63600875743556</v>
      </c>
      <c r="AF260" s="12">
        <f>IF(AA232=0,0,AF232/AA232-1)</f>
        <v>-0.809448290016232</v>
      </c>
      <c r="AG260" s="12" t="n"/>
      <c r="AH260" s="11">
        <f>IF(AC232=0,0,AH232/AC232-1)</f>
        <v>-0.495731325811855</v>
      </c>
      <c r="AI260" s="11">
        <f>IF(AD232=0,0,AI232/AD232-1)</f>
        <v>-1.37393558405129</v>
      </c>
      <c r="AJ260" s="11" t="n"/>
      <c r="AK260" s="11" t="n"/>
      <c r="AL260" s="12" t="n"/>
      <c r="AM260" s="11" t="n"/>
      <c r="AN260" s="11" t="n"/>
      <c r="AO260" s="11" t="n"/>
      <c r="AP260" s="11" t="n"/>
      <c r="AQ260" s="12" t="n"/>
      <c r="AR260" s="11" t="n"/>
      <c r="AS260" s="11" t="n"/>
      <c r="AT260" s="11" t="n"/>
      <c r="AU260" s="11" t="n"/>
      <c r="AV260" s="12" t="n"/>
      <c r="AW260" s="11" t="n"/>
      <c r="AX260" s="11" t="n"/>
      <c r="AY260" s="11" t="n"/>
      <c r="AZ260" s="11" t="n"/>
      <c r="BA260" s="12" t="n"/>
      <c r="BB260" s="11" t="n"/>
      <c r="BC260" s="11" t="n"/>
      <c r="BD260" s="11" t="n"/>
      <c r="BE260" s="11" t="n"/>
      <c r="BF260" s="12" t="n"/>
      <c r="BG260" s="11" t="n"/>
      <c r="BH260" s="11" t="n"/>
      <c r="BI260" s="11" t="n"/>
      <c r="BJ260" s="11" t="n"/>
      <c r="BK260" s="12" t="n"/>
      <c r="BL260" s="11" t="n"/>
      <c r="BM260" s="11" t="n"/>
      <c r="BN260" s="11" t="n"/>
      <c r="BO260" s="11" t="n"/>
      <c r="BP260" s="12" t="n"/>
      <c r="BQ260" s="11" t="n"/>
      <c r="BR260" s="11" t="n"/>
      <c r="BS260" s="11" t="n"/>
      <c r="BT260" s="11" t="n"/>
      <c r="BU260" s="12" t="n"/>
      <c r="BV260" s="11" t="n"/>
      <c r="BW260" s="11" t="n"/>
      <c r="BX260" s="11" t="n"/>
      <c r="BY260" s="11" t="n"/>
      <c r="BZ260" s="12" t="n"/>
      <c r="CA260" s="11" t="n"/>
      <c r="CB260" s="11" t="n"/>
      <c r="CC260" s="11" t="n"/>
      <c r="CD260" s="11" t="n"/>
      <c r="CE260" s="12" t="n"/>
      <c r="CF260" s="11" t="n"/>
      <c r="CG260" s="11" t="n"/>
      <c r="CH260" s="11" t="n"/>
      <c r="CI260" s="11" t="n"/>
      <c r="CJ260" s="12" t="n"/>
      <c r="CK260" s="11" t="n"/>
      <c r="CL260" s="11" t="n"/>
      <c r="CM260" s="11" t="n"/>
      <c r="CN260" s="11" t="n"/>
      <c r="CO260" s="12" t="n"/>
      <c r="CP260" s="11" t="n"/>
      <c r="CQ260" s="11" t="n"/>
      <c r="CR260" s="11" t="n"/>
      <c r="CS260" s="11" t="n"/>
      <c r="CT260" s="12" t="n"/>
      <c r="CU260" s="11" t="n"/>
      <c r="CV260" s="11" t="n"/>
      <c r="CW260" s="11" t="n"/>
      <c r="CX260" s="11" t="n"/>
      <c r="CY260" s="12" t="n"/>
    </row>
    <row r="261" hidden="1" outlineLevel="1">
      <c r="C261" s="57" t="inlineStr">
        <is>
          <t>Dividends (enter as -)</t>
        </is>
      </c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1" t="n"/>
      <c r="AI261" s="11" t="n"/>
      <c r="AJ261" s="11" t="n"/>
      <c r="AK261" s="11" t="n"/>
      <c r="AL261" s="12" t="n"/>
      <c r="AM261" s="11" t="n"/>
      <c r="AN261" s="11" t="n"/>
      <c r="AO261" s="11" t="n"/>
      <c r="AP261" s="11" t="n"/>
      <c r="AQ261" s="12" t="n"/>
      <c r="AR261" s="11" t="n"/>
      <c r="AS261" s="11" t="n"/>
      <c r="AT261" s="11" t="n"/>
      <c r="AU261" s="11" t="n"/>
      <c r="AV261" s="12" t="n"/>
      <c r="AW261" s="11" t="n"/>
      <c r="AX261" s="11" t="n"/>
      <c r="AY261" s="11" t="n"/>
      <c r="AZ261" s="11" t="n"/>
      <c r="BA261" s="12" t="n"/>
      <c r="BB261" s="11" t="n"/>
      <c r="BC261" s="11" t="n"/>
      <c r="BD261" s="11" t="n"/>
      <c r="BE261" s="11" t="n"/>
      <c r="BF261" s="12" t="n"/>
      <c r="BG261" s="11" t="n"/>
      <c r="BH261" s="11" t="n"/>
      <c r="BI261" s="11" t="n"/>
      <c r="BJ261" s="11" t="n"/>
      <c r="BK261" s="12" t="n"/>
      <c r="BL261" s="11" t="n"/>
      <c r="BM261" s="11" t="n"/>
      <c r="BN261" s="11" t="n"/>
      <c r="BO261" s="11" t="n"/>
      <c r="BP261" s="12" t="n"/>
      <c r="BQ261" s="11" t="n"/>
      <c r="BR261" s="11" t="n"/>
      <c r="BS261" s="11" t="n"/>
      <c r="BT261" s="11" t="n"/>
      <c r="BU261" s="12" t="n"/>
      <c r="BV261" s="11" t="n"/>
      <c r="BW261" s="11" t="n"/>
      <c r="BX261" s="11" t="n"/>
      <c r="BY261" s="11" t="n"/>
      <c r="BZ261" s="12" t="n"/>
      <c r="CA261" s="11" t="n"/>
      <c r="CB261" s="11" t="n"/>
      <c r="CC261" s="11" t="n"/>
      <c r="CD261" s="11" t="n"/>
      <c r="CE261" s="12" t="n"/>
      <c r="CF261" s="11" t="n"/>
      <c r="CG261" s="11" t="n"/>
      <c r="CH261" s="11" t="n"/>
      <c r="CI261" s="11" t="n"/>
      <c r="CJ261" s="12" t="n"/>
      <c r="CK261" s="11" t="n"/>
      <c r="CL261" s="11" t="n"/>
      <c r="CM261" s="11" t="n"/>
      <c r="CN261" s="11" t="n"/>
      <c r="CO261" s="12" t="n"/>
      <c r="CP261" s="11" t="n"/>
      <c r="CQ261" s="11" t="n"/>
      <c r="CR261" s="11" t="n"/>
      <c r="CS261" s="11" t="n"/>
      <c r="CT261" s="12" t="n"/>
      <c r="CU261" s="11" t="n"/>
      <c r="CV261" s="11" t="n"/>
      <c r="CW261" s="11" t="n"/>
      <c r="CX261" s="11" t="n"/>
      <c r="CY261" s="12" t="n"/>
    </row>
    <row r="262" hidden="1" outlineLevel="1">
      <c r="C262" s="57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collapsed="1">
      <c r="C263" s="14" t="inlineStr">
        <is>
          <t>PP&amp;E</t>
        </is>
      </c>
      <c r="D263" s="46" t="n"/>
      <c r="E263" s="46" t="n"/>
      <c r="F263" s="46" t="n"/>
      <c r="G263" s="46" t="n"/>
      <c r="H263" s="12" t="n"/>
      <c r="I263" s="46">
        <f>'Inputs (2)'!D22</f>
        <v>4756.788</v>
      </c>
      <c r="J263" s="46">
        <f>'Inputs (2)'!E22</f>
        <v>4610.024</v>
      </c>
      <c r="K263" s="46">
        <f>'Inputs (2)'!F22</f>
        <v>4624.455</v>
      </c>
      <c r="L263" s="46">
        <f>'Inputs (2)'!G22</f>
        <v>4710.238</v>
      </c>
      <c r="M263" s="12">
        <f>'Inputs (2)'!H22</f>
        <v>4710.238</v>
      </c>
      <c r="N263" s="46">
        <f>'Inputs (2)'!I22</f>
        <v>5013.953</v>
      </c>
      <c r="O263" s="46">
        <f>'Inputs (2)'!J22</f>
        <v>4946.807</v>
      </c>
      <c r="P263" s="46">
        <f>'Inputs (2)'!K22</f>
        <v>5109.731</v>
      </c>
      <c r="Q263" s="46">
        <f>'Inputs (2)'!L22</f>
        <v>5324.416</v>
      </c>
      <c r="R263" s="12">
        <f>'Inputs (2)'!M22</f>
        <v>5324.416</v>
      </c>
      <c r="S263" s="46">
        <f>'Inputs (2)'!N22</f>
        <v>5372.552</v>
      </c>
      <c r="T263" s="46">
        <f>'Inputs (2)'!O22</f>
        <v>5408.683</v>
      </c>
      <c r="U263" s="46">
        <f>'Inputs (2)'!P22</f>
        <v>5530.079</v>
      </c>
      <c r="V263" s="46">
        <f>'Inputs (2)'!Q22</f>
        <v>5589.542</v>
      </c>
      <c r="W263" s="12">
        <f>'Inputs (2)'!R22</f>
        <v>5589.542</v>
      </c>
      <c r="X263" s="46">
        <f>'Inputs (2)'!S22</f>
        <v>5635.29</v>
      </c>
      <c r="Y263" s="46">
        <f>'Inputs (2)'!T22</f>
        <v>5779.312</v>
      </c>
      <c r="Z263" s="46">
        <f>'Inputs (2)'!U22</f>
        <v>5746.537</v>
      </c>
      <c r="AA263" s="46">
        <f>'Inputs (2)'!V22</f>
        <v>5996.226</v>
      </c>
      <c r="AB263" s="12">
        <f>'Inputs (2)'!W22</f>
        <v>5996.226</v>
      </c>
      <c r="AC263" s="46">
        <f>'Inputs (2)'!X22</f>
        <v>5831.673</v>
      </c>
      <c r="AD263" s="46">
        <f>'Inputs (2)'!Y22</f>
        <v>5764.356</v>
      </c>
      <c r="AE263" s="46">
        <f>'Inputs (2)'!Z22</f>
        <v>5730.09</v>
      </c>
      <c r="AF263" s="46">
        <f>'Inputs (2)'!AA22</f>
        <v>5878.065</v>
      </c>
      <c r="AG263" s="12">
        <f>'Inputs (2)'!AB22</f>
        <v>5878.065</v>
      </c>
      <c r="AH263" s="12">
        <f>'Inputs (2)'!AC22</f>
        <v>5718.153</v>
      </c>
      <c r="AI263" s="12">
        <f>'Inputs (2)'!AD22</f>
        <v>5795.449</v>
      </c>
      <c r="AJ263" s="12">
        <f>AJ268</f>
        <v>5763.55572729189</v>
      </c>
      <c r="AK263" s="12">
        <f>AK268</f>
        <v>5725.03101846112</v>
      </c>
      <c r="AL263" s="12">
        <f>AK263</f>
        <v>5725.03101846112</v>
      </c>
      <c r="AM263" s="12">
        <f>AM268</f>
        <v>5683.46130364542</v>
      </c>
      <c r="AN263" s="12">
        <f>AN268</f>
        <v>5629.58754783751</v>
      </c>
      <c r="AO263" s="12">
        <f>AO268</f>
        <v>5592.48795111195</v>
      </c>
      <c r="AP263" s="12">
        <f>AP268</f>
        <v>5547.6743888704</v>
      </c>
      <c r="AQ263" s="12">
        <f>AP263</f>
        <v>5547.6743888704</v>
      </c>
      <c r="AR263" s="12">
        <f>AR268</f>
        <v>5499.52659612245</v>
      </c>
      <c r="AS263" s="12">
        <f>AS268</f>
        <v>5437.127745404</v>
      </c>
      <c r="AT263" s="12">
        <f>AT268</f>
        <v>5394.15743150854</v>
      </c>
      <c r="AU263" s="12">
        <f>AU268</f>
        <v>5342.25247818688</v>
      </c>
      <c r="AV263" s="12">
        <f>AU263</f>
        <v>5342.25247818688</v>
      </c>
      <c r="AW263" s="12">
        <f>AW268</f>
        <v>5286.72641776847</v>
      </c>
      <c r="AX263" s="12">
        <f>AX268</f>
        <v>5214.76543768431</v>
      </c>
      <c r="AY263" s="12">
        <f>AY268</f>
        <v>5165.21026372135</v>
      </c>
      <c r="AZ263" s="12">
        <f>AZ268</f>
        <v>5105.35128764657</v>
      </c>
      <c r="BA263" s="12">
        <f>AZ263</f>
        <v>5105.35128764657</v>
      </c>
      <c r="BB263" s="12">
        <f>BB268</f>
        <v>5041.5939288116</v>
      </c>
      <c r="BC263" s="12">
        <f>BC268</f>
        <v>4958.96530371612</v>
      </c>
      <c r="BD263" s="12">
        <f>BD268</f>
        <v>4902.06396793473</v>
      </c>
      <c r="BE263" s="12">
        <f>BE268</f>
        <v>4833.33137303542</v>
      </c>
      <c r="BF263" s="12">
        <f>BE263</f>
        <v>4833.33137303542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 hidden="1" outlineLevel="1">
      <c r="C264" s="57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hidden="1" outlineLevel="1">
      <c r="C265" s="57" t="inlineStr">
        <is>
          <t>Capital expenditures</t>
        </is>
      </c>
      <c r="D265" s="12" t="n"/>
      <c r="E265" s="12" t="n"/>
      <c r="F265" s="12" t="n"/>
      <c r="G265" s="12" t="n"/>
      <c r="H265" s="12" t="n"/>
      <c r="I265" s="12" t="n"/>
      <c r="J265" s="12">
        <f>J263-I263-J167</f>
        <v>-116.906999999999</v>
      </c>
      <c r="K265" s="12">
        <f>K263-J263-K167</f>
        <v>58.8319999999996</v>
      </c>
      <c r="L265" s="12">
        <f>L263-K263-L167</f>
        <v>121.652</v>
      </c>
      <c r="M265" s="12" t="n"/>
      <c r="N265" s="12">
        <f>N263-M263-N167</f>
        <v>342.222</v>
      </c>
      <c r="O265" s="12">
        <f>O263-N263-O167</f>
        <v>-30.6900000000006</v>
      </c>
      <c r="P265" s="12">
        <f>P263-O263-P167</f>
        <v>199.664</v>
      </c>
      <c r="Q265" s="12">
        <f>Q263-P263-Q167</f>
        <v>252.564</v>
      </c>
      <c r="R265" s="12" t="n"/>
      <c r="S265" s="12">
        <f>S263-R263-S167</f>
        <v>82.9219999999995</v>
      </c>
      <c r="T265" s="12">
        <f>T263-S263-T167</f>
        <v>72.4770000000003</v>
      </c>
      <c r="U265" s="12">
        <f>U263-T263-U167</f>
        <v>162.309</v>
      </c>
      <c r="V265" s="12">
        <f>V263-U263-V167</f>
        <v>101.330000000001</v>
      </c>
      <c r="W265" s="12" t="n"/>
      <c r="X265" s="12">
        <f>X263-W263-X167</f>
        <v>88.6359999999996</v>
      </c>
      <c r="Y265" s="12">
        <f>Y263-X263-Y167</f>
        <v>188.007</v>
      </c>
      <c r="Z265" s="12">
        <f>Z263-Y263-Z167</f>
        <v>13.0840000000004</v>
      </c>
      <c r="AA265" s="12">
        <f>AA263-Z263-AA167</f>
        <v>295.111999999999</v>
      </c>
      <c r="AB265" s="12" t="n"/>
      <c r="AC265" s="12">
        <f>AC263-AB263-AC167</f>
        <v>-123.29</v>
      </c>
      <c r="AD265" s="12">
        <f>AD263-AC263-AD167</f>
        <v>-21.899</v>
      </c>
      <c r="AE265" s="12">
        <f>AE263-AD263-AE167</f>
        <v>13.3850000000004</v>
      </c>
      <c r="AF265" s="11">
        <f>AF263-AE263-AF167</f>
        <v>199.434999999999</v>
      </c>
      <c r="AG265" s="12">
        <f>SUM(AC265:AF265)</f>
        <v>67.6309999999999</v>
      </c>
      <c r="AH265" s="11">
        <f>AH263-AG263-AH167</f>
        <v>-103.797999999999</v>
      </c>
      <c r="AI265" s="11">
        <f>AI263-AH263-AI167</f>
        <v>128.884999999999</v>
      </c>
      <c r="AJ265" s="11">
        <f>AJ15*Control!$B$24</f>
        <v>14.2705375054504</v>
      </c>
      <c r="AK265" s="11">
        <f>AK15*Control!$B$24</f>
        <v>17.2377512739929</v>
      </c>
      <c r="AL265" s="12" t="n"/>
      <c r="AM265" s="11">
        <f>AM15*Control!$C$24</f>
        <v>18.6002289510244</v>
      </c>
      <c r="AN265" s="11">
        <f>AN15*Control!$C$24</f>
        <v>24.1056306717858</v>
      </c>
      <c r="AO265" s="11">
        <f>AO15*Control!$C$24</f>
        <v>16.6000896601202</v>
      </c>
      <c r="AP265" s="11">
        <f>AP15*Control!$C$24</f>
        <v>20.0516775613984</v>
      </c>
      <c r="AQ265" s="12" t="n"/>
      <c r="AR265" s="11">
        <f>AR15*Control!$D$24</f>
        <v>21.5435677769018</v>
      </c>
      <c r="AS265" s="11">
        <f>AS15*Control!$D$24</f>
        <v>27.920155690018</v>
      </c>
      <c r="AT265" s="11">
        <f>AT15*Control!$D$24</f>
        <v>19.2269222941877</v>
      </c>
      <c r="AU265" s="11">
        <f>AU15*Control!$D$24</f>
        <v>23.2246966272303</v>
      </c>
      <c r="AV265" s="12" t="n"/>
      <c r="AW265" s="11">
        <f>AW15*Control!$E$24</f>
        <v>24.8449488073184</v>
      </c>
      <c r="AX265" s="11">
        <f>AX15*Control!$E$24</f>
        <v>32.1986982840691</v>
      </c>
      <c r="AY265" s="11">
        <f>AY15*Control!$E$24</f>
        <v>22.1732957636453</v>
      </c>
      <c r="AZ265" s="11">
        <f>AZ15*Control!$E$24</f>
        <v>26.7836973311213</v>
      </c>
      <c r="BA265" s="12" t="n"/>
      <c r="BB265" s="11">
        <f>BB15*Control!$F$24</f>
        <v>28.5280155733766</v>
      </c>
      <c r="BC265" s="11">
        <f>BC15*Control!$F$24</f>
        <v>36.9719001320624</v>
      </c>
      <c r="BD265" s="11">
        <f>BD15*Control!$F$24</f>
        <v>25.4603111386581</v>
      </c>
      <c r="BE265" s="11">
        <f>BE15*Control!$F$24</f>
        <v>30.7541682013756</v>
      </c>
      <c r="BF265" s="12" t="n"/>
      <c r="BG265" s="11" t="n"/>
      <c r="BH265" s="11" t="n"/>
      <c r="BI265" s="11" t="n"/>
      <c r="BJ265" s="11" t="n"/>
      <c r="BK265" s="12" t="n"/>
      <c r="BL265" s="11" t="n"/>
      <c r="BM265" s="11" t="n"/>
      <c r="BN265" s="11" t="n"/>
      <c r="BO265" s="11" t="n"/>
      <c r="BP265" s="12" t="n"/>
      <c r="BQ265" s="11" t="n"/>
      <c r="BR265" s="11" t="n"/>
      <c r="BS265" s="11" t="n"/>
      <c r="BT265" s="11" t="n"/>
      <c r="BU265" s="12" t="n"/>
      <c r="BV265" s="11" t="n"/>
      <c r="BW265" s="11" t="n"/>
      <c r="BX265" s="11" t="n"/>
      <c r="BY265" s="11" t="n"/>
      <c r="BZ265" s="12" t="n"/>
      <c r="CA265" s="11" t="n"/>
      <c r="CB265" s="11" t="n"/>
      <c r="CC265" s="11" t="n"/>
      <c r="CD265" s="11" t="n"/>
      <c r="CE265" s="12" t="n"/>
      <c r="CF265" s="11" t="n"/>
      <c r="CG265" s="11" t="n"/>
      <c r="CH265" s="11" t="n"/>
      <c r="CI265" s="11" t="n"/>
      <c r="CJ265" s="12" t="n"/>
      <c r="CK265" s="11" t="n"/>
      <c r="CL265" s="11" t="n"/>
      <c r="CM265" s="11" t="n"/>
      <c r="CN265" s="11" t="n"/>
      <c r="CO265" s="12" t="n"/>
      <c r="CP265" s="11" t="n"/>
      <c r="CQ265" s="11" t="n"/>
      <c r="CR265" s="11" t="n"/>
      <c r="CS265" s="11" t="n"/>
      <c r="CT265" s="12" t="n"/>
      <c r="CU265" s="11" t="n"/>
      <c r="CV265" s="11" t="n"/>
      <c r="CW265" s="11" t="n"/>
      <c r="CX265" s="11" t="n"/>
      <c r="CY265" s="12" t="n"/>
    </row>
    <row r="266" hidden="1" outlineLevel="1">
      <c r="C266" s="57" t="inlineStr">
        <is>
          <t>Recurring asset sales (enter as -)</t>
        </is>
      </c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>
        <f>SUM(I266:L266)</f>
        <v>0</v>
      </c>
      <c r="N266" s="12" t="n"/>
      <c r="O266" s="12" t="n"/>
      <c r="P266" s="12" t="n"/>
      <c r="Q266" s="12" t="n"/>
      <c r="R266" s="12">
        <f>SUM(N266:Q266)</f>
        <v>0</v>
      </c>
      <c r="S266" s="12" t="n"/>
      <c r="T266" s="12" t="n"/>
      <c r="U266" s="12" t="n"/>
      <c r="V266" s="12" t="n"/>
      <c r="W266" s="12">
        <f>SUM(S266:V266)</f>
        <v>0</v>
      </c>
      <c r="X266" s="12" t="n"/>
      <c r="Y266" s="12" t="n"/>
      <c r="Z266" s="12" t="n"/>
      <c r="AA266" s="12" t="n"/>
      <c r="AB266" s="12">
        <f>SUM(X266:AA266)</f>
        <v>0</v>
      </c>
      <c r="AC266" s="12" t="n"/>
      <c r="AD266" s="12" t="n"/>
      <c r="AE266" s="12" t="n"/>
      <c r="AF266" s="11" t="n"/>
      <c r="AG266" s="12">
        <f>SUM(AC266:AF266)</f>
        <v>0</v>
      </c>
      <c r="AH266" s="11" t="n"/>
      <c r="AI266" s="11" t="n"/>
      <c r="AJ266" s="11">
        <f>0</f>
        <v>0</v>
      </c>
      <c r="AK266" s="11">
        <f>0</f>
        <v>0</v>
      </c>
      <c r="AL266" s="12" t="n"/>
      <c r="AM266" s="11">
        <f>0</f>
        <v>0</v>
      </c>
      <c r="AN266" s="11">
        <f>0</f>
        <v>0</v>
      </c>
      <c r="AO266" s="11">
        <f>0</f>
        <v>0</v>
      </c>
      <c r="AP266" s="11">
        <f>0</f>
        <v>0</v>
      </c>
      <c r="AQ266" s="12" t="n"/>
      <c r="AR266" s="11">
        <f>0</f>
        <v>0</v>
      </c>
      <c r="AS266" s="11">
        <f>0</f>
        <v>0</v>
      </c>
      <c r="AT266" s="11">
        <f>0</f>
        <v>0</v>
      </c>
      <c r="AU266" s="11">
        <f>0</f>
        <v>0</v>
      </c>
      <c r="AV266" s="12" t="n"/>
      <c r="AW266" s="11">
        <f>0</f>
        <v>0</v>
      </c>
      <c r="AX266" s="11">
        <f>0</f>
        <v>0</v>
      </c>
      <c r="AY266" s="11">
        <f>0</f>
        <v>0</v>
      </c>
      <c r="AZ266" s="11">
        <f>0</f>
        <v>0</v>
      </c>
      <c r="BA266" s="12" t="n"/>
      <c r="BB266" s="11">
        <f>0</f>
        <v>0</v>
      </c>
      <c r="BC266" s="11">
        <f>0</f>
        <v>0</v>
      </c>
      <c r="BD266" s="11">
        <f>0</f>
        <v>0</v>
      </c>
      <c r="BE266" s="11">
        <f>0</f>
        <v>0</v>
      </c>
      <c r="BF266" s="12" t="n"/>
      <c r="BG266" s="11" t="n"/>
      <c r="BH266" s="11" t="n"/>
      <c r="BI266" s="11" t="n"/>
      <c r="BJ266" s="11" t="n"/>
      <c r="BK266" s="12" t="n"/>
      <c r="BL266" s="11" t="n"/>
      <c r="BM266" s="11" t="n"/>
      <c r="BN266" s="11" t="n"/>
      <c r="BO266" s="11" t="n"/>
      <c r="BP266" s="12" t="n"/>
      <c r="BQ266" s="11" t="n"/>
      <c r="BR266" s="11" t="n"/>
      <c r="BS266" s="11" t="n"/>
      <c r="BT266" s="11" t="n"/>
      <c r="BU266" s="12" t="n"/>
      <c r="BV266" s="11" t="n"/>
      <c r="BW266" s="11" t="n"/>
      <c r="BX266" s="11" t="n"/>
      <c r="BY266" s="11" t="n"/>
      <c r="BZ266" s="12" t="n"/>
      <c r="CA266" s="11" t="n"/>
      <c r="CB266" s="11" t="n"/>
      <c r="CC266" s="11" t="n"/>
      <c r="CD266" s="11" t="n"/>
      <c r="CE266" s="12" t="n"/>
      <c r="CF266" s="11" t="n"/>
      <c r="CG266" s="11" t="n"/>
      <c r="CH266" s="11" t="n"/>
      <c r="CI266" s="11" t="n"/>
      <c r="CJ266" s="12" t="n"/>
      <c r="CK266" s="11" t="n"/>
      <c r="CL266" s="11" t="n"/>
      <c r="CM266" s="11" t="n"/>
      <c r="CN266" s="11" t="n"/>
      <c r="CO266" s="12" t="n"/>
      <c r="CP266" s="11" t="n"/>
      <c r="CQ266" s="11" t="n"/>
      <c r="CR266" s="11" t="n"/>
      <c r="CS266" s="11" t="n"/>
      <c r="CT266" s="12" t="n"/>
      <c r="CU266" s="11" t="n"/>
      <c r="CV266" s="11" t="n"/>
      <c r="CW266" s="11" t="n"/>
      <c r="CX266" s="11" t="n"/>
      <c r="CY266" s="12" t="n"/>
    </row>
    <row r="267" hidden="1" outlineLevel="1">
      <c r="C267" s="57" t="inlineStr">
        <is>
          <t>Depreciation</t>
        </is>
      </c>
      <c r="D267" s="12" t="n"/>
      <c r="E267" s="12" t="n"/>
      <c r="F267" s="12" t="n"/>
      <c r="G267" s="12" t="n"/>
      <c r="H267" s="12" t="n"/>
      <c r="I267" s="12">
        <f>I167</f>
        <v>-29.436</v>
      </c>
      <c r="J267" s="12">
        <f>J167</f>
        <v>-29.857</v>
      </c>
      <c r="K267" s="12">
        <f>K167</f>
        <v>-44.401</v>
      </c>
      <c r="L267" s="12">
        <f>L167</f>
        <v>-35.869</v>
      </c>
      <c r="M267" s="12" t="n"/>
      <c r="N267" s="12">
        <f>N167</f>
        <v>-38.507</v>
      </c>
      <c r="O267" s="12">
        <f>O167</f>
        <v>-36.456</v>
      </c>
      <c r="P267" s="12">
        <f>P167</f>
        <v>-36.74</v>
      </c>
      <c r="Q267" s="12">
        <f>Q167</f>
        <v>-37.879</v>
      </c>
      <c r="R267" s="12" t="n"/>
      <c r="S267" s="12">
        <f>S167</f>
        <v>-34.786</v>
      </c>
      <c r="T267" s="12">
        <f>T167</f>
        <v>-36.346</v>
      </c>
      <c r="U267" s="12">
        <f>U167</f>
        <v>-40.913</v>
      </c>
      <c r="V267" s="12">
        <f>V167</f>
        <v>-41.867</v>
      </c>
      <c r="W267" s="12" t="n"/>
      <c r="X267" s="12">
        <f>X167</f>
        <v>-42.888</v>
      </c>
      <c r="Y267" s="12">
        <f>Y167</f>
        <v>-43.985</v>
      </c>
      <c r="Z267" s="12">
        <f>Z167</f>
        <v>-45.859</v>
      </c>
      <c r="AA267" s="12">
        <f>AA167</f>
        <v>-45.423</v>
      </c>
      <c r="AB267" s="12" t="n"/>
      <c r="AC267" s="12">
        <f>AC167</f>
        <v>-41.263</v>
      </c>
      <c r="AD267" s="12">
        <f>AD167</f>
        <v>-45.418</v>
      </c>
      <c r="AE267" s="12">
        <f>AE167</f>
        <v>-47.651</v>
      </c>
      <c r="AF267" s="12">
        <f>AF167</f>
        <v>-51.46</v>
      </c>
      <c r="AG267" s="12" t="n"/>
      <c r="AH267" s="12">
        <f>AH167</f>
        <v>-56.114</v>
      </c>
      <c r="AI267" s="12">
        <f>AI167</f>
        <v>-51.589</v>
      </c>
      <c r="AJ267" s="12">
        <f>AJ167</f>
        <v>-46.1638102135604</v>
      </c>
      <c r="AK267" s="12">
        <f>AK167</f>
        <v>-55.7624601047606</v>
      </c>
      <c r="AL267" s="12" t="n"/>
      <c r="AM267" s="12">
        <f>AM167</f>
        <v>-60.169943766723</v>
      </c>
      <c r="AN267" s="12">
        <f>AN167</f>
        <v>-77.979386479695</v>
      </c>
      <c r="AO267" s="12">
        <f>AO167</f>
        <v>-53.6996863856873</v>
      </c>
      <c r="AP267" s="12">
        <f>AP167</f>
        <v>-64.8652398029409</v>
      </c>
      <c r="AQ267" s="12" t="n"/>
      <c r="AR267" s="12">
        <f>AR167</f>
        <v>-69.6913605248595</v>
      </c>
      <c r="AS267" s="12">
        <f>AS167</f>
        <v>-90.3190064084675</v>
      </c>
      <c r="AT267" s="12">
        <f>AT167</f>
        <v>-62.19723618965</v>
      </c>
      <c r="AU267" s="12">
        <f>AU167</f>
        <v>-75.1296499488888</v>
      </c>
      <c r="AV267" s="12" t="n"/>
      <c r="AW267" s="12">
        <f>AW167</f>
        <v>-80.3710092257294</v>
      </c>
      <c r="AX267" s="12">
        <f>AX167</f>
        <v>-104.159678368229</v>
      </c>
      <c r="AY267" s="12">
        <f>AY167</f>
        <v>-71.728469726604</v>
      </c>
      <c r="AZ267" s="12">
        <f>AZ167</f>
        <v>-86.6426734058961</v>
      </c>
      <c r="BA267" s="12" t="n"/>
      <c r="BB267" s="12">
        <f>BB167</f>
        <v>-92.2853744083476</v>
      </c>
      <c r="BC267" s="12">
        <f>BC167</f>
        <v>-119.600525227545</v>
      </c>
      <c r="BD267" s="12">
        <f>BD167</f>
        <v>-82.3616469200483</v>
      </c>
      <c r="BE267" s="12">
        <f>BE167</f>
        <v>-99.4867631006874</v>
      </c>
      <c r="BF267" s="12" t="n"/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hidden="1" outlineLevel="1">
      <c r="C268" s="57" t="inlineStr">
        <is>
          <t>PP&amp;E</t>
        </is>
      </c>
      <c r="D268" s="12" t="n"/>
      <c r="E268" s="12" t="n"/>
      <c r="F268" s="12" t="n"/>
      <c r="G268" s="12" t="n"/>
      <c r="H268" s="12" t="n"/>
      <c r="I268" s="12">
        <f>I263</f>
        <v>4756.788</v>
      </c>
      <c r="J268" s="12">
        <f>J263</f>
        <v>4610.024</v>
      </c>
      <c r="K268" s="12">
        <f>K263</f>
        <v>4624.455</v>
      </c>
      <c r="L268" s="12">
        <f>L263</f>
        <v>4710.238</v>
      </c>
      <c r="M268" s="12" t="n"/>
      <c r="N268" s="12">
        <f>N263</f>
        <v>5013.953</v>
      </c>
      <c r="O268" s="12">
        <f>O263</f>
        <v>4946.807</v>
      </c>
      <c r="P268" s="12">
        <f>P263</f>
        <v>5109.731</v>
      </c>
      <c r="Q268" s="12">
        <f>Q263</f>
        <v>5324.416</v>
      </c>
      <c r="R268" s="12" t="n"/>
      <c r="S268" s="12">
        <f>S263</f>
        <v>5372.552</v>
      </c>
      <c r="T268" s="12">
        <f>T263</f>
        <v>5408.683</v>
      </c>
      <c r="U268" s="12">
        <f>U263</f>
        <v>5530.079</v>
      </c>
      <c r="V268" s="12">
        <f>V263</f>
        <v>5589.542</v>
      </c>
      <c r="W268" s="12" t="n"/>
      <c r="X268" s="12">
        <f>X263</f>
        <v>5635.29</v>
      </c>
      <c r="Y268" s="12">
        <f>Y263</f>
        <v>5779.312</v>
      </c>
      <c r="Z268" s="12">
        <f>Z263</f>
        <v>5746.537</v>
      </c>
      <c r="AA268" s="12">
        <f>Y268+SUM(AA265:AA267)</f>
        <v>6029.001</v>
      </c>
      <c r="AB268" s="12" t="n"/>
      <c r="AC268" s="12">
        <f>AC263</f>
        <v>5831.673</v>
      </c>
      <c r="AD268" s="12">
        <f>AD263</f>
        <v>5764.356</v>
      </c>
      <c r="AE268" s="12">
        <f>AE263</f>
        <v>5730.09</v>
      </c>
      <c r="AF268" s="12">
        <f>AF263</f>
        <v>5878.065</v>
      </c>
      <c r="AG268" s="12" t="n"/>
      <c r="AH268" s="12">
        <f>AH263</f>
        <v>5718.153</v>
      </c>
      <c r="AI268" s="12">
        <f>AI263</f>
        <v>5795.449</v>
      </c>
      <c r="AJ268" s="12">
        <f>AI268+SUM(AJ265:AJ267)</f>
        <v>5763.55572729189</v>
      </c>
      <c r="AK268" s="12">
        <f>AJ268+SUM(AK265:AK267)</f>
        <v>5725.03101846112</v>
      </c>
      <c r="AL268" s="12" t="n"/>
      <c r="AM268" s="12">
        <f>AK268+SUM(AM265:AM267)</f>
        <v>5683.46130364542</v>
      </c>
      <c r="AN268" s="12">
        <f>AM268+SUM(AN265:AN267)</f>
        <v>5629.58754783751</v>
      </c>
      <c r="AO268" s="12">
        <f>AN268+SUM(AO265:AO267)</f>
        <v>5592.48795111195</v>
      </c>
      <c r="AP268" s="12">
        <f>AO268+SUM(AP265:AP267)</f>
        <v>5547.6743888704</v>
      </c>
      <c r="AQ268" s="12" t="n"/>
      <c r="AR268" s="12">
        <f>AP268+SUM(AR265:AR267)</f>
        <v>5499.52659612245</v>
      </c>
      <c r="AS268" s="12">
        <f>AR268+SUM(AS265:AS267)</f>
        <v>5437.127745404</v>
      </c>
      <c r="AT268" s="12">
        <f>AS268+SUM(AT265:AT267)</f>
        <v>5394.15743150854</v>
      </c>
      <c r="AU268" s="12">
        <f>AT268+SUM(AU265:AU267)</f>
        <v>5342.25247818688</v>
      </c>
      <c r="AV268" s="12" t="n"/>
      <c r="AW268" s="12">
        <f>AU268+SUM(AW265:AW267)</f>
        <v>5286.72641776847</v>
      </c>
      <c r="AX268" s="12">
        <f>AW268+SUM(AX265:AX267)</f>
        <v>5214.76543768431</v>
      </c>
      <c r="AY268" s="12">
        <f>AX268+SUM(AY265:AY267)</f>
        <v>5165.21026372135</v>
      </c>
      <c r="AZ268" s="12">
        <f>AY268+SUM(AZ265:AZ267)</f>
        <v>5105.35128764657</v>
      </c>
      <c r="BA268" s="12" t="n"/>
      <c r="BB268" s="12">
        <f>AZ268+SUM(BB265:BB267)</f>
        <v>5041.5939288116</v>
      </c>
      <c r="BC268" s="12">
        <f>BB268+SUM(BC265:BC267)</f>
        <v>4958.96530371612</v>
      </c>
      <c r="BD268" s="12">
        <f>BC268+SUM(BD265:BD267)</f>
        <v>4902.06396793473</v>
      </c>
      <c r="BE268" s="12">
        <f>BD268+SUM(BE265:BE267)</f>
        <v>4833.33137303542</v>
      </c>
      <c r="BF268" s="12" t="n"/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>
      <c r="C269" s="57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>
        <f>IF(AJ15=0,"",AJ265/AJ15)</f>
        <v>0.0127345843583462</v>
      </c>
      <c r="AK269" s="12">
        <f>IF(AK15=0,"",AK265/AK15)</f>
        <v>0.0127345843583462</v>
      </c>
      <c r="AL269" s="12" t="n"/>
      <c r="AM269" s="12">
        <f>IF(AM15=0,"",AM265/AM15)</f>
        <v>0.0127345843583462</v>
      </c>
      <c r="AN269" s="12">
        <f>IF(AN15=0,"",AN265/AN15)</f>
        <v>0.0127345843583462</v>
      </c>
      <c r="AO269" s="12">
        <f>IF(AO15=0,"",AO265/AO15)</f>
        <v>0.0127345843583462</v>
      </c>
      <c r="AP269" s="12">
        <f>IF(AP15=0,"",AP265/AP15)</f>
        <v>0.0127345843583462</v>
      </c>
      <c r="AQ269" s="12" t="n"/>
      <c r="AR269" s="12">
        <f>IF(AR15=0,"",AR265/AR15)</f>
        <v>0.0127345843583462</v>
      </c>
      <c r="AS269" s="12">
        <f>IF(AS15=0,"",AS265/AS15)</f>
        <v>0.0127345843583462</v>
      </c>
      <c r="AT269" s="12">
        <f>IF(AT15=0,"",AT265/AT15)</f>
        <v>0.0127345843583462</v>
      </c>
      <c r="AU269" s="12">
        <f>IF(AU15=0,"",AU265/AU15)</f>
        <v>0.0127345843583462</v>
      </c>
      <c r="AV269" s="12" t="n"/>
      <c r="AW269" s="12">
        <f>IF(AW15=0,"",AW265/AW15)</f>
        <v>0.0127345843583462</v>
      </c>
      <c r="AX269" s="12">
        <f>IF(AX15=0,"",AX265/AX15)</f>
        <v>0.0127345843583462</v>
      </c>
      <c r="AY269" s="12">
        <f>IF(AY15=0,"",AY265/AY15)</f>
        <v>0.0127345843583462</v>
      </c>
      <c r="AZ269" s="12">
        <f>IF(AZ15=0,"",AZ265/AZ15)</f>
        <v>0.0127345843583462</v>
      </c>
      <c r="BA269" s="12" t="n"/>
      <c r="BB269" s="12">
        <f>IF(BB15=0,"",BB265/BB15)</f>
        <v>0.0127345843583462</v>
      </c>
      <c r="BC269" s="12">
        <f>IF(BC15=0,"",BC265/BC15)</f>
        <v>0.0127345843583462</v>
      </c>
      <c r="BD269" s="12">
        <f>IF(BD15=0,"",BD265/BD15)</f>
        <v>0.0127345843583462</v>
      </c>
      <c r="BE269" s="12">
        <f>IF(BE15=0,"",BE265/BE15)</f>
        <v>0.0127345843583462</v>
      </c>
      <c r="BF269" s="12" t="n"/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hidden="1" outlineLevel="1">
      <c r="C270" s="57" t="inlineStr">
        <is>
          <t>Capital expenditures (% Net Revenues)</t>
        </is>
      </c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58">
        <f>IFERROR(AF265/AF15,"")</f>
        <v>0.171386119129401</v>
      </c>
      <c r="AG270" s="58">
        <f>IFERROR(AG265/AG15,"")</f>
        <v>0.0153780807720442</v>
      </c>
      <c r="AH270" s="58">
        <f>IFERROR(AH265/AH15,"")</f>
        <v>-0.0826657428313159</v>
      </c>
      <c r="AI270" s="58">
        <f>IFERROR(AI265/AI15,"")</f>
        <v>0.0792024752885938</v>
      </c>
      <c r="AJ270" s="58">
        <f>IFERROR(AJ265/AJ15,"")</f>
        <v>0.0127345843583462</v>
      </c>
      <c r="AK270" s="58">
        <f>IFERROR(AK265/AK15,"")</f>
        <v>0.0127345843583462</v>
      </c>
      <c r="AL270" s="58">
        <f>IFERROR(AL265/AL15,"")</f>
        <v>0</v>
      </c>
      <c r="AM270" s="58">
        <f>IFERROR(AM265/AM15,"")</f>
        <v>0.0127345843583462</v>
      </c>
      <c r="AN270" s="58">
        <f>IFERROR(AN265/AN15,"")</f>
        <v>0.0127345843583462</v>
      </c>
      <c r="AO270" s="58">
        <f>IFERROR(AO265/AO15,"")</f>
        <v>0.0127345843583462</v>
      </c>
      <c r="AP270" s="58">
        <f>IFERROR(AP265/AP15,"")</f>
        <v>0.0127345843583462</v>
      </c>
      <c r="AQ270" s="58">
        <f>IFERROR(AQ265/AQ15,"")</f>
        <v>0</v>
      </c>
      <c r="AR270" s="58">
        <f>IFERROR(AR265/AR15,"")</f>
        <v>0.0127345843583462</v>
      </c>
      <c r="AS270" s="58">
        <f>IFERROR(AS265/AS15,"")</f>
        <v>0.0127345843583462</v>
      </c>
      <c r="AT270" s="58">
        <f>IFERROR(AT265/AT15,"")</f>
        <v>0.0127345843583462</v>
      </c>
      <c r="AU270" s="58">
        <f>IFERROR(AU265/AU15,"")</f>
        <v>0.0127345843583462</v>
      </c>
      <c r="AV270" s="58">
        <f>IFERROR(AV265/AV15,"")</f>
        <v>0</v>
      </c>
      <c r="AW270" s="58">
        <f>IFERROR(AW265/AW15,"")</f>
        <v>0.0127345843583462</v>
      </c>
      <c r="AX270" s="58">
        <f>IFERROR(AX265/AX15,"")</f>
        <v>0.0127345843583462</v>
      </c>
      <c r="AY270" s="58">
        <f>IFERROR(AY265/AY15,"")</f>
        <v>0.0127345843583462</v>
      </c>
      <c r="AZ270" s="58">
        <f>IFERROR(AZ265/AZ15,"")</f>
        <v>0.0127345843583462</v>
      </c>
      <c r="BA270" s="58">
        <f>IFERROR(BA265/BA15,"")</f>
        <v>0</v>
      </c>
      <c r="BB270" s="58">
        <f>IFERROR(BB265/BB15,"")</f>
        <v>0.0127345843583462</v>
      </c>
      <c r="BC270" s="58">
        <f>IFERROR(BC265/BC15,"")</f>
        <v>0.0127345843583462</v>
      </c>
      <c r="BD270" s="58">
        <f>IFERROR(BD265/BD15,"")</f>
        <v>0.0127345843583462</v>
      </c>
      <c r="BE270" s="58">
        <f>IFERROR(BE265/BE15,"")</f>
        <v>0.0127345843583462</v>
      </c>
      <c r="BF270" s="58">
        <f>IFERROR(BF265/BF15,"")</f>
        <v>0</v>
      </c>
      <c r="BG270" s="58" t="n"/>
      <c r="BH270" s="58" t="n"/>
      <c r="BI270" s="58" t="n"/>
      <c r="BJ270" s="58" t="n"/>
      <c r="BK270" s="58" t="n"/>
      <c r="BL270" s="58" t="n"/>
      <c r="BM270" s="58" t="n"/>
      <c r="BN270" s="58" t="n"/>
      <c r="BO270" s="58" t="n"/>
      <c r="BP270" s="58" t="n"/>
      <c r="BQ270" s="58" t="n"/>
      <c r="BR270" s="58" t="n"/>
      <c r="BS270" s="58" t="n"/>
      <c r="BT270" s="58" t="n"/>
      <c r="BU270" s="58" t="n"/>
      <c r="BV270" s="58" t="n"/>
      <c r="BW270" s="58" t="n"/>
      <c r="BX270" s="58" t="n"/>
      <c r="BY270" s="58" t="n"/>
      <c r="BZ270" s="58" t="n"/>
      <c r="CA270" s="58" t="n"/>
      <c r="CB270" s="58" t="n"/>
      <c r="CC270" s="58" t="n"/>
      <c r="CD270" s="58" t="n"/>
      <c r="CE270" s="58" t="n"/>
      <c r="CF270" s="58" t="n"/>
      <c r="CG270" s="58" t="n"/>
      <c r="CH270" s="58" t="n"/>
      <c r="CI270" s="58" t="n"/>
      <c r="CJ270" s="58" t="n"/>
      <c r="CK270" s="58" t="n"/>
      <c r="CL270" s="58" t="n"/>
      <c r="CM270" s="58" t="n"/>
      <c r="CN270" s="58" t="n"/>
      <c r="CO270" s="58" t="n"/>
      <c r="CP270" s="58" t="n"/>
      <c r="CQ270" s="58" t="n"/>
      <c r="CR270" s="58" t="n"/>
      <c r="CS270" s="58" t="n"/>
      <c r="CT270" s="58" t="n"/>
      <c r="CU270" s="58" t="n"/>
      <c r="CV270" s="58" t="n"/>
      <c r="CW270" s="58" t="n"/>
      <c r="CX270" s="58" t="n"/>
      <c r="CY270" s="58" t="n"/>
    </row>
    <row r="271" hidden="1" outlineLevel="1">
      <c r="C271" s="57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57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ollapsed="1">
      <c r="C273" s="14" t="inlineStr">
        <is>
          <t>Right-of-use-assets</t>
        </is>
      </c>
      <c r="D273" s="46" t="n"/>
      <c r="E273" s="46" t="n"/>
      <c r="F273" s="46" t="n"/>
      <c r="G273" s="46" t="n"/>
      <c r="H273" s="12" t="n"/>
      <c r="I273" s="46">
        <f>'Inputs (2)'!D23</f>
        <v>0</v>
      </c>
      <c r="J273" s="46">
        <f>'Inputs (2)'!E23</f>
        <v>0</v>
      </c>
      <c r="K273" s="46">
        <f>'Inputs (2)'!F23</f>
        <v>0</v>
      </c>
      <c r="L273" s="46">
        <f>'Inputs (2)'!G23</f>
        <v>0</v>
      </c>
      <c r="M273" s="12">
        <f>'Inputs (2)'!H23</f>
        <v>0</v>
      </c>
      <c r="N273" s="46">
        <f>'Inputs (2)'!I23</f>
        <v>0</v>
      </c>
      <c r="O273" s="46">
        <f>'Inputs (2)'!J23</f>
        <v>0</v>
      </c>
      <c r="P273" s="46">
        <f>'Inputs (2)'!K23</f>
        <v>0</v>
      </c>
      <c r="Q273" s="46">
        <f>'Inputs (2)'!L23</f>
        <v>0</v>
      </c>
      <c r="R273" s="12">
        <f>'Inputs (2)'!M23</f>
        <v>0</v>
      </c>
      <c r="S273" s="46">
        <f>'Inputs (2)'!N23</f>
        <v>0</v>
      </c>
      <c r="T273" s="46">
        <f>'Inputs (2)'!O23</f>
        <v>0</v>
      </c>
      <c r="U273" s="46">
        <f>'Inputs (2)'!P23</f>
        <v>0</v>
      </c>
      <c r="V273" s="46">
        <f>'Inputs (2)'!Q23</f>
        <v>0</v>
      </c>
      <c r="W273" s="12">
        <f>'Inputs (2)'!R23</f>
        <v>0</v>
      </c>
      <c r="X273" s="46">
        <f>'Inputs (2)'!S23</f>
        <v>0</v>
      </c>
      <c r="Y273" s="46">
        <f>'Inputs (2)'!T23</f>
        <v>0</v>
      </c>
      <c r="Z273" s="46">
        <f>'Inputs (2)'!U23</f>
        <v>0</v>
      </c>
      <c r="AA273" s="46">
        <f>'Inputs (2)'!V23</f>
        <v>0</v>
      </c>
      <c r="AB273" s="12">
        <f>'Inputs (2)'!W23</f>
        <v>0</v>
      </c>
      <c r="AC273" s="46">
        <f>'Inputs (2)'!X23</f>
        <v>0</v>
      </c>
      <c r="AD273" s="46">
        <f>'Inputs (2)'!Y23</f>
        <v>0</v>
      </c>
      <c r="AE273" s="46">
        <f>'Inputs (2)'!Z23</f>
        <v>0</v>
      </c>
      <c r="AF273" s="46">
        <f>'Inputs (2)'!AA23</f>
        <v>0</v>
      </c>
      <c r="AG273" s="12">
        <f>'Inputs (2)'!AB23</f>
        <v>0</v>
      </c>
      <c r="AH273" s="12">
        <f>'Inputs (2)'!AC23</f>
        <v>0</v>
      </c>
      <c r="AI273" s="12">
        <f>'Inputs (2)'!AD23</f>
        <v>0</v>
      </c>
      <c r="AJ273" s="12">
        <f>AI273</f>
        <v>0</v>
      </c>
      <c r="AK273" s="12">
        <f>AJ273</f>
        <v>0</v>
      </c>
      <c r="AL273" s="12">
        <f>AK273</f>
        <v>0</v>
      </c>
      <c r="AM273" s="12">
        <f>AL273</f>
        <v>0</v>
      </c>
      <c r="AN273" s="12">
        <f>AM273</f>
        <v>0</v>
      </c>
      <c r="AO273" s="12">
        <f>AN273</f>
        <v>0</v>
      </c>
      <c r="AP273" s="12">
        <f>AO273</f>
        <v>0</v>
      </c>
      <c r="AQ273" s="12">
        <f>AP273</f>
        <v>0</v>
      </c>
      <c r="AR273" s="12">
        <f>AQ273</f>
        <v>0</v>
      </c>
      <c r="AS273" s="12">
        <f>AR273</f>
        <v>0</v>
      </c>
      <c r="AT273" s="12">
        <f>AS273</f>
        <v>0</v>
      </c>
      <c r="AU273" s="12">
        <f>AT273</f>
        <v>0</v>
      </c>
      <c r="AV273" s="12">
        <f>AU273</f>
        <v>0</v>
      </c>
      <c r="AW273" s="12">
        <f>AV273</f>
        <v>0</v>
      </c>
      <c r="AX273" s="12">
        <f>AW273</f>
        <v>0</v>
      </c>
      <c r="AY273" s="12">
        <f>AX273</f>
        <v>0</v>
      </c>
      <c r="AZ273" s="12">
        <f>AY273</f>
        <v>0</v>
      </c>
      <c r="BA273" s="12">
        <f>AZ273</f>
        <v>0</v>
      </c>
      <c r="BB273" s="12">
        <f>BA273</f>
        <v>0</v>
      </c>
      <c r="BC273" s="12">
        <f>BB273</f>
        <v>0</v>
      </c>
      <c r="BD273" s="12">
        <f>BC273</f>
        <v>0</v>
      </c>
      <c r="BE273" s="12">
        <f>BD273</f>
        <v>0</v>
      </c>
      <c r="BF273" s="12">
        <f>BE273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59" t="inlineStr">
        <is>
          <t>%(Var.)</t>
        </is>
      </c>
      <c r="D274" s="12" t="n"/>
      <c r="E274" s="40" t="n"/>
      <c r="F274" s="40" t="n"/>
      <c r="G274" s="40" t="n"/>
      <c r="H274" s="12" t="n"/>
      <c r="I274" s="40" t="str">
        <f>""</f>
        <v/>
      </c>
      <c r="J274" s="40" t="str">
        <f>IFERROR(IF(I273=0,"",J273/I273-1),"")</f>
        <v/>
      </c>
      <c r="K274" s="40" t="str">
        <f>IFERROR(IF(J273=0,"",K273/J273-1),"")</f>
        <v/>
      </c>
      <c r="L274" s="40" t="str">
        <f>IFERROR(IF(K273=0,"",L273/K273-1),"")</f>
        <v/>
      </c>
      <c r="M274" s="12" t="str">
        <f>IFERROR(IF(L273=0,"",M273/L273-1),"")</f>
        <v/>
      </c>
      <c r="N274" s="40" t="str">
        <f>IFERROR(IF(M273=0,"",N273/M273-1),"")</f>
        <v/>
      </c>
      <c r="O274" s="40" t="str">
        <f>IFERROR(IF(N273=0,"",O273/N273-1),"")</f>
        <v/>
      </c>
      <c r="P274" s="40" t="str">
        <f>IFERROR(IF(O273=0,"",P273/O273-1),"")</f>
        <v/>
      </c>
      <c r="Q274" s="40" t="str">
        <f>IFERROR(IF(P273=0,"",Q273/P273-1),"")</f>
        <v/>
      </c>
      <c r="R274" s="12" t="str">
        <f>IFERROR(IF(Q273=0,"",R273/Q273-1),"")</f>
        <v/>
      </c>
      <c r="S274" s="40" t="str">
        <f>IFERROR(IF(R273=0,"",S273/R273-1),"")</f>
        <v/>
      </c>
      <c r="T274" s="40" t="str">
        <f>IFERROR(IF(S273=0,"",T273/S273-1),"")</f>
        <v/>
      </c>
      <c r="U274" s="40" t="str">
        <f>IFERROR(IF(T273=0,"",U273/T273-1),"")</f>
        <v/>
      </c>
      <c r="V274" s="40" t="str">
        <f>IFERROR(IF(U273=0,"",V273/U273-1),"")</f>
        <v/>
      </c>
      <c r="W274" s="12" t="str">
        <f>IFERROR(IF(V273=0,"",W273/V273-1),"")</f>
        <v/>
      </c>
      <c r="X274" s="40" t="str">
        <f>IFERROR(IF(W273=0,"",X273/W273-1),"")</f>
        <v/>
      </c>
      <c r="Y274" s="40" t="str">
        <f>IFERROR(IF(X273=0,"",Y273/X273-1),"")</f>
        <v/>
      </c>
      <c r="Z274" s="40" t="str">
        <f>IFERROR(IF(Y273=0,"",Z273/Y273-1),"")</f>
        <v/>
      </c>
      <c r="AA274" s="40" t="str">
        <f>IFERROR(IF(Z273=0,"",AA273/Z273-1),"")</f>
        <v/>
      </c>
      <c r="AB274" s="12" t="str">
        <f>IFERROR(IF(AA273=0,"",AB273/AA273-1),"")</f>
        <v/>
      </c>
      <c r="AC274" s="40" t="str">
        <f>IFERROR(IF(AB273=0,"",AC273/AB273-1),"")</f>
        <v/>
      </c>
      <c r="AD274" s="40" t="str">
        <f>IFERROR(IF(AC273=0,"",AD273/AC273-1),"")</f>
        <v/>
      </c>
      <c r="AE274" s="40" t="str">
        <f>IFERROR(IF(AD273=0,"",AE273/AD273-1),"")</f>
        <v/>
      </c>
      <c r="AF274" s="55" t="str">
        <f>IFERROR(IF(AE273=0,"",AF273/AE273-1),"")</f>
        <v/>
      </c>
      <c r="AG274" s="12" t="str">
        <f>IFERROR(IF(AF273=0,"",AG273/AF273-1),"")</f>
        <v/>
      </c>
      <c r="AH274" s="55" t="str">
        <f>IFERROR(IF(AG273=0,"",AH273/AG273-1),"")</f>
        <v/>
      </c>
      <c r="AI274" s="55" t="str">
        <f>IFERROR(IF(AH273=0,"",AI273/AH273-1),"")</f>
        <v/>
      </c>
      <c r="AJ274" s="55" t="str">
        <f>IFERROR(IF(AI273=0,"",AJ273/AI273-1),"")</f>
        <v/>
      </c>
      <c r="AK274" s="55" t="str">
        <f>IFERROR(IF(AJ273=0,"",AK273/AJ273-1),"")</f>
        <v/>
      </c>
      <c r="AL274" s="12" t="str">
        <f>IFERROR(IF(AK273=0,"",AL273/AK273-1),"")</f>
        <v/>
      </c>
      <c r="AM274" s="55" t="str">
        <f>IFERROR(IF(AL273=0,"",AM273/AL273-1),"")</f>
        <v/>
      </c>
      <c r="AN274" s="55" t="str">
        <f>IFERROR(IF(AM273=0,"",AN273/AM273-1),"")</f>
        <v/>
      </c>
      <c r="AO274" s="55" t="str">
        <f>IFERROR(IF(AN273=0,"",AO273/AN273-1),"")</f>
        <v/>
      </c>
      <c r="AP274" s="55" t="str">
        <f>IFERROR(IF(AO273=0,"",AP273/AO273-1),"")</f>
        <v/>
      </c>
      <c r="AQ274" s="12" t="str">
        <f>IFERROR(IF(AP273=0,"",AQ273/AP273-1),"")</f>
        <v/>
      </c>
      <c r="AR274" s="55" t="str">
        <f>IFERROR(IF(AQ273=0,"",AR273/AQ273-1),"")</f>
        <v/>
      </c>
      <c r="AS274" s="55" t="str">
        <f>IFERROR(IF(AR273=0,"",AS273/AR273-1),"")</f>
        <v/>
      </c>
      <c r="AT274" s="55" t="str">
        <f>IFERROR(IF(AS273=0,"",AT273/AS273-1),"")</f>
        <v/>
      </c>
      <c r="AU274" s="55" t="str">
        <f>IFERROR(IF(AT273=0,"",AU273/AT273-1),"")</f>
        <v/>
      </c>
      <c r="AV274" s="12" t="str">
        <f>IFERROR(IF(AU273=0,"",AV273/AU273-1),"")</f>
        <v/>
      </c>
      <c r="AW274" s="55" t="str">
        <f>IFERROR(IF(AV273=0,"",AW273/AV273-1),"")</f>
        <v/>
      </c>
      <c r="AX274" s="55" t="str">
        <f>IFERROR(IF(AW273=0,"",AX273/AW273-1),"")</f>
        <v/>
      </c>
      <c r="AY274" s="55" t="str">
        <f>IFERROR(IF(AX273=0,"",AY273/AX273-1),"")</f>
        <v/>
      </c>
      <c r="AZ274" s="55" t="str">
        <f>IFERROR(IF(AY273=0,"",AZ273/AY273-1),"")</f>
        <v/>
      </c>
      <c r="BA274" s="12" t="str">
        <f>IFERROR(IF(AZ273=0,"",BA273/AZ273-1),"")</f>
        <v/>
      </c>
      <c r="BB274" s="55" t="str">
        <f>IFERROR(IF(BA273=0,"",BB273/BA273-1),"")</f>
        <v/>
      </c>
      <c r="BC274" s="55" t="str">
        <f>IFERROR(IF(BB273=0,"",BC273/BB273-1),"")</f>
        <v/>
      </c>
      <c r="BD274" s="55" t="str">
        <f>IFERROR(IF(BC273=0,"",BD273/BC273-1),"")</f>
        <v/>
      </c>
      <c r="BE274" s="55" t="str">
        <f>IFERROR(IF(BD273=0,"",BE273/BD273-1),"")</f>
        <v/>
      </c>
      <c r="BF274" s="12" t="str">
        <f>IFERROR(IF(BE273=0,"",BF273/BE273-1),"")</f>
        <v/>
      </c>
      <c r="BG274" s="55" t="n"/>
      <c r="BH274" s="55" t="n"/>
      <c r="BI274" s="55" t="n"/>
      <c r="BJ274" s="55" t="n"/>
      <c r="BK274" s="12" t="n"/>
      <c r="BL274" s="55" t="n"/>
      <c r="BM274" s="55" t="n"/>
      <c r="BN274" s="55" t="n"/>
      <c r="BO274" s="55" t="n"/>
      <c r="BP274" s="12" t="n"/>
      <c r="BQ274" s="55" t="n"/>
      <c r="BR274" s="55" t="n"/>
      <c r="BS274" s="55" t="n"/>
      <c r="BT274" s="55" t="n"/>
      <c r="BU274" s="12" t="n"/>
      <c r="BV274" s="55" t="n"/>
      <c r="BW274" s="55" t="n"/>
      <c r="BX274" s="55" t="n"/>
      <c r="BY274" s="55" t="n"/>
      <c r="BZ274" s="12" t="n"/>
      <c r="CA274" s="55" t="n"/>
      <c r="CB274" s="55" t="n"/>
      <c r="CC274" s="55" t="n"/>
      <c r="CD274" s="55" t="n"/>
      <c r="CE274" s="12" t="n"/>
      <c r="CF274" s="55" t="n"/>
      <c r="CG274" s="55" t="n"/>
      <c r="CH274" s="55" t="n"/>
      <c r="CI274" s="55" t="n"/>
      <c r="CJ274" s="12" t="n"/>
      <c r="CK274" s="55" t="n"/>
      <c r="CL274" s="55" t="n"/>
      <c r="CM274" s="55" t="n"/>
      <c r="CN274" s="55" t="n"/>
      <c r="CO274" s="12" t="n"/>
      <c r="CP274" s="55" t="n"/>
      <c r="CQ274" s="55" t="n"/>
      <c r="CR274" s="55" t="n"/>
      <c r="CS274" s="55" t="n"/>
      <c r="CT274" s="12" t="n"/>
      <c r="CU274" s="55" t="n"/>
      <c r="CV274" s="55" t="n"/>
      <c r="CW274" s="55" t="n"/>
      <c r="CX274" s="55" t="n"/>
      <c r="CY274" s="12" t="n"/>
    </row>
    <row r="275" hidden="1" outlineLevel="1">
      <c r="C275" s="57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  <c r="AL275" s="12" t="n"/>
      <c r="AM275" s="12" t="n"/>
      <c r="AN275" s="12" t="n"/>
      <c r="AO275" s="12" t="n"/>
      <c r="AP275" s="12" t="n"/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collapsed="1">
      <c r="C276" s="14" t="inlineStr">
        <is>
          <t>Goodwill</t>
        </is>
      </c>
      <c r="D276" s="46" t="n"/>
      <c r="E276" s="46" t="n"/>
      <c r="F276" s="46" t="n"/>
      <c r="G276" s="46" t="n"/>
      <c r="H276" s="12" t="n"/>
      <c r="I276" s="46">
        <f>'Inputs (2)'!D24</f>
        <v>0</v>
      </c>
      <c r="J276" s="46">
        <f>'Inputs (2)'!E24</f>
        <v>0</v>
      </c>
      <c r="K276" s="46">
        <f>'Inputs (2)'!F24</f>
        <v>0</v>
      </c>
      <c r="L276" s="46">
        <f>'Inputs (2)'!G24</f>
        <v>0</v>
      </c>
      <c r="M276" s="12">
        <f>'Inputs (2)'!H24</f>
        <v>0</v>
      </c>
      <c r="N276" s="46">
        <f>'Inputs (2)'!I24</f>
        <v>0</v>
      </c>
      <c r="O276" s="46">
        <f>'Inputs (2)'!J24</f>
        <v>0</v>
      </c>
      <c r="P276" s="46">
        <f>'Inputs (2)'!K24</f>
        <v>0</v>
      </c>
      <c r="Q276" s="46">
        <f>'Inputs (2)'!L24</f>
        <v>0</v>
      </c>
      <c r="R276" s="12">
        <f>'Inputs (2)'!M24</f>
        <v>0</v>
      </c>
      <c r="S276" s="46">
        <f>'Inputs (2)'!N24</f>
        <v>0</v>
      </c>
      <c r="T276" s="46">
        <f>'Inputs (2)'!O24</f>
        <v>0</v>
      </c>
      <c r="U276" s="46">
        <f>'Inputs (2)'!P24</f>
        <v>0</v>
      </c>
      <c r="V276" s="46">
        <f>'Inputs (2)'!Q24</f>
        <v>0</v>
      </c>
      <c r="W276" s="12">
        <f>'Inputs (2)'!R24</f>
        <v>0</v>
      </c>
      <c r="X276" s="46">
        <f>'Inputs (2)'!S24</f>
        <v>0</v>
      </c>
      <c r="Y276" s="46">
        <f>'Inputs (2)'!T24</f>
        <v>0</v>
      </c>
      <c r="Z276" s="46">
        <f>'Inputs (2)'!U24</f>
        <v>0</v>
      </c>
      <c r="AA276" s="46">
        <f>'Inputs (2)'!V24</f>
        <v>0</v>
      </c>
      <c r="AB276" s="12">
        <f>'Inputs (2)'!W24</f>
        <v>0</v>
      </c>
      <c r="AC276" s="46">
        <f>'Inputs (2)'!X24</f>
        <v>0</v>
      </c>
      <c r="AD276" s="46">
        <f>'Inputs (2)'!Y24</f>
        <v>0</v>
      </c>
      <c r="AE276" s="46">
        <f>'Inputs (2)'!Z24</f>
        <v>0</v>
      </c>
      <c r="AF276" s="46">
        <f>'Inputs (2)'!AA24</f>
        <v>0</v>
      </c>
      <c r="AG276" s="12">
        <f>'Inputs (2)'!AB24</f>
        <v>0</v>
      </c>
      <c r="AH276" s="12">
        <f>'Inputs (2)'!AC24</f>
        <v>0</v>
      </c>
      <c r="AI276" s="12">
        <f>'Inputs (2)'!AD24</f>
        <v>0</v>
      </c>
      <c r="AJ276" s="12">
        <f>AI276</f>
        <v>0</v>
      </c>
      <c r="AK276" s="12">
        <f>AJ276</f>
        <v>0</v>
      </c>
      <c r="AL276" s="12">
        <f>AK276</f>
        <v>0</v>
      </c>
      <c r="AM276" s="12">
        <f>AL276</f>
        <v>0</v>
      </c>
      <c r="AN276" s="12">
        <f>AM276</f>
        <v>0</v>
      </c>
      <c r="AO276" s="12">
        <f>AN276</f>
        <v>0</v>
      </c>
      <c r="AP276" s="12">
        <f>AO276</f>
        <v>0</v>
      </c>
      <c r="AQ276" s="12">
        <f>AP276</f>
        <v>0</v>
      </c>
      <c r="AR276" s="12">
        <f>AQ276</f>
        <v>0</v>
      </c>
      <c r="AS276" s="12">
        <f>AR276</f>
        <v>0</v>
      </c>
      <c r="AT276" s="12">
        <f>AS276</f>
        <v>0</v>
      </c>
      <c r="AU276" s="12">
        <f>AT276</f>
        <v>0</v>
      </c>
      <c r="AV276" s="12">
        <f>AU276</f>
        <v>0</v>
      </c>
      <c r="AW276" s="12">
        <f>AV276</f>
        <v>0</v>
      </c>
      <c r="AX276" s="12">
        <f>AW276</f>
        <v>0</v>
      </c>
      <c r="AY276" s="12">
        <f>AX276</f>
        <v>0</v>
      </c>
      <c r="AZ276" s="12">
        <f>AY276</f>
        <v>0</v>
      </c>
      <c r="BA276" s="12">
        <f>AZ276</f>
        <v>0</v>
      </c>
      <c r="BB276" s="12">
        <f>BA276</f>
        <v>0</v>
      </c>
      <c r="BC276" s="12">
        <f>BB276</f>
        <v>0</v>
      </c>
      <c r="BD276" s="12">
        <f>BC276</f>
        <v>0</v>
      </c>
      <c r="BE276" s="12">
        <f>BD276</f>
        <v>0</v>
      </c>
      <c r="BF276" s="12">
        <f>BE276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4" t="inlineStr">
        <is>
          <t>Intangibles</t>
        </is>
      </c>
      <c r="D277" s="46" t="n"/>
      <c r="E277" s="46" t="n"/>
      <c r="F277" s="46" t="n"/>
      <c r="G277" s="46" t="n"/>
      <c r="H277" s="12" t="n"/>
      <c r="I277" s="46">
        <f>'Inputs (2)'!D25</f>
        <v>200.57</v>
      </c>
      <c r="J277" s="46">
        <f>'Inputs (2)'!E25</f>
        <v>197.429</v>
      </c>
      <c r="K277" s="46">
        <f>'Inputs (2)'!F25</f>
        <v>200.395</v>
      </c>
      <c r="L277" s="46">
        <f>'Inputs (2)'!G25</f>
        <v>281.564</v>
      </c>
      <c r="M277" s="12">
        <f>'Inputs (2)'!H25</f>
        <v>281.564</v>
      </c>
      <c r="N277" s="46">
        <f>'Inputs (2)'!I25</f>
        <v>277.134</v>
      </c>
      <c r="O277" s="46">
        <f>'Inputs (2)'!J25</f>
        <v>280.249</v>
      </c>
      <c r="P277" s="46">
        <f>'Inputs (2)'!K25</f>
        <v>277.968</v>
      </c>
      <c r="Q277" s="46">
        <f>'Inputs (2)'!L25</f>
        <v>269.693</v>
      </c>
      <c r="R277" s="12">
        <f>'Inputs (2)'!M25</f>
        <v>269.693</v>
      </c>
      <c r="S277" s="46">
        <f>'Inputs (2)'!N25</f>
        <v>268.323</v>
      </c>
      <c r="T277" s="46">
        <f>'Inputs (2)'!O25</f>
        <v>266.404</v>
      </c>
      <c r="U277" s="46">
        <f>'Inputs (2)'!P25</f>
        <v>273.89</v>
      </c>
      <c r="V277" s="46">
        <f>'Inputs (2)'!Q25</f>
        <v>268.011</v>
      </c>
      <c r="W277" s="12">
        <f>'Inputs (2)'!R25</f>
        <v>268.011</v>
      </c>
      <c r="X277" s="46">
        <f>'Inputs (2)'!S25</f>
        <v>284.175</v>
      </c>
      <c r="Y277" s="46">
        <f>'Inputs (2)'!T25</f>
        <v>291.913</v>
      </c>
      <c r="Z277" s="46">
        <f>'Inputs (2)'!U25</f>
        <v>299.502</v>
      </c>
      <c r="AA277" s="46">
        <f>'Inputs (2)'!V25</f>
        <v>364.832</v>
      </c>
      <c r="AB277" s="12">
        <f>'Inputs (2)'!W25</f>
        <v>364.832</v>
      </c>
      <c r="AC277" s="46">
        <f>'Inputs (2)'!X25</f>
        <v>354.539</v>
      </c>
      <c r="AD277" s="46">
        <f>'Inputs (2)'!Y25</f>
        <v>350.904</v>
      </c>
      <c r="AE277" s="46">
        <f>'Inputs (2)'!Z25</f>
        <v>374.853</v>
      </c>
      <c r="AF277" s="46">
        <f>'Inputs (2)'!AA25</f>
        <v>446.996</v>
      </c>
      <c r="AG277" s="12">
        <f>'Inputs (2)'!AB25</f>
        <v>446.996</v>
      </c>
      <c r="AH277" s="12">
        <f>'Inputs (2)'!AC25</f>
        <v>469.158</v>
      </c>
      <c r="AI277" s="12">
        <f>'Inputs (2)'!AD25</f>
        <v>593.425</v>
      </c>
      <c r="AJ277" s="12">
        <f>AI277</f>
        <v>593.425</v>
      </c>
      <c r="AK277" s="12">
        <f>AJ277</f>
        <v>593.425</v>
      </c>
      <c r="AL277" s="12">
        <f>AK277</f>
        <v>593.425</v>
      </c>
      <c r="AM277" s="16">
        <f>AL277</f>
        <v>593.425</v>
      </c>
      <c r="AN277" s="12">
        <f>AM277</f>
        <v>593.425</v>
      </c>
      <c r="AO277" s="12">
        <f>AN277</f>
        <v>593.425</v>
      </c>
      <c r="AP277" s="12">
        <f>AO277</f>
        <v>593.425</v>
      </c>
      <c r="AQ277" s="12">
        <f>AP277</f>
        <v>593.425</v>
      </c>
      <c r="AR277" s="16">
        <f>AQ277</f>
        <v>593.425</v>
      </c>
      <c r="AS277" s="12">
        <f>AR277</f>
        <v>593.425</v>
      </c>
      <c r="AT277" s="12">
        <f>AS277</f>
        <v>593.425</v>
      </c>
      <c r="AU277" s="12">
        <f>AT277</f>
        <v>593.425</v>
      </c>
      <c r="AV277" s="12">
        <f>AU277</f>
        <v>593.425</v>
      </c>
      <c r="AW277" s="16">
        <f>AV277</f>
        <v>593.425</v>
      </c>
      <c r="AX277" s="12">
        <f>AW277</f>
        <v>593.425</v>
      </c>
      <c r="AY277" s="12">
        <f>AX277</f>
        <v>593.425</v>
      </c>
      <c r="AZ277" s="12">
        <f>AY277</f>
        <v>593.425</v>
      </c>
      <c r="BA277" s="12">
        <f>AZ277</f>
        <v>593.425</v>
      </c>
      <c r="BB277" s="16">
        <f>BA277</f>
        <v>593.425</v>
      </c>
      <c r="BC277" s="12">
        <f>BB277</f>
        <v>593.425</v>
      </c>
      <c r="BD277" s="12">
        <f>BC277</f>
        <v>593.425</v>
      </c>
      <c r="BE277" s="12">
        <f>BD277</f>
        <v>593.425</v>
      </c>
      <c r="BF277" s="12">
        <f>BE277</f>
        <v>593.425</v>
      </c>
      <c r="BH277" s="12" t="n"/>
      <c r="BI277" s="12" t="n"/>
      <c r="BJ277" s="12" t="n"/>
      <c r="BK277" s="12" t="n"/>
      <c r="BM277" s="12" t="n"/>
      <c r="BN277" s="12" t="n"/>
      <c r="BO277" s="12" t="n"/>
      <c r="BP277" s="12" t="n"/>
      <c r="BR277" s="12" t="n"/>
      <c r="BS277" s="12" t="n"/>
      <c r="BT277" s="12" t="n"/>
      <c r="BU277" s="12" t="n"/>
      <c r="BW277" s="12" t="n"/>
      <c r="BX277" s="12" t="n"/>
      <c r="BY277" s="12" t="n"/>
      <c r="BZ277" s="12" t="n"/>
      <c r="CB277" s="12" t="n"/>
      <c r="CC277" s="12" t="n"/>
      <c r="CD277" s="12" t="n"/>
      <c r="CE277" s="12" t="n"/>
      <c r="CG277" s="12" t="n"/>
      <c r="CH277" s="12" t="n"/>
      <c r="CI277" s="12" t="n"/>
      <c r="CJ277" s="12" t="n"/>
      <c r="CL277" s="12" t="n"/>
      <c r="CM277" s="12" t="n"/>
      <c r="CN277" s="12" t="n"/>
      <c r="CO277" s="12" t="n"/>
      <c r="CQ277" s="12" t="n"/>
      <c r="CR277" s="12" t="n"/>
      <c r="CS277" s="12" t="n"/>
      <c r="CT277" s="12" t="n"/>
      <c r="CV277" s="12" t="n"/>
      <c r="CW277" s="12" t="n"/>
      <c r="CX277" s="12" t="n"/>
      <c r="CY277" s="12" t="n"/>
    </row>
    <row r="278" hidden="1" outlineLevel="1">
      <c r="C278" s="57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57" t="inlineStr">
        <is>
          <t>Purchase of intangible assets</t>
        </is>
      </c>
      <c r="D279" s="12" t="n"/>
      <c r="E279" s="12" t="n"/>
      <c r="F279" s="12" t="n"/>
      <c r="G279" s="12" t="n"/>
      <c r="H279" s="12" t="n"/>
      <c r="I279" s="12" t="str">
        <f>IF(COUNT(H277)=0,"",I277-H277-I181)</f>
        <v/>
      </c>
      <c r="J279" s="12">
        <f>J277-I277-J181</f>
        <v>-3.14099999999999</v>
      </c>
      <c r="K279" s="12">
        <f>K277-J277-K181</f>
        <v>2.96600000000001</v>
      </c>
      <c r="L279" s="12">
        <f>L277-K277-L181</f>
        <v>81.169</v>
      </c>
      <c r="M279" s="12" t="n"/>
      <c r="N279" s="12">
        <f>N277-M277-N181</f>
        <v>-4.43000000000001</v>
      </c>
      <c r="O279" s="12">
        <f>O277-N277-O181</f>
        <v>3.11500000000001</v>
      </c>
      <c r="P279" s="12">
        <f>P277-O277-P181</f>
        <v>-2.28100000000001</v>
      </c>
      <c r="Q279" s="12">
        <f>Q277-P277-Q181</f>
        <v>-8.27500000000003</v>
      </c>
      <c r="R279" s="12" t="n"/>
      <c r="S279" s="12">
        <f>S277-R277-S181</f>
        <v>-1.37</v>
      </c>
      <c r="T279" s="12">
        <f>T277-S277-T181</f>
        <v>-1.91899999999998</v>
      </c>
      <c r="U279" s="12">
        <f>U277-T277-U181</f>
        <v>7.48599999999999</v>
      </c>
      <c r="V279" s="12">
        <f>V277-U277-V181</f>
        <v>-5.87899999999996</v>
      </c>
      <c r="W279" s="12" t="n"/>
      <c r="X279" s="12">
        <f>X277-W277-X181</f>
        <v>16.164</v>
      </c>
      <c r="Y279" s="12">
        <f>Y277-X277-Y181</f>
        <v>7.738</v>
      </c>
      <c r="Z279" s="12">
        <f>Z277-Y277-Z181</f>
        <v>7.589</v>
      </c>
      <c r="AA279" s="12">
        <f>AA277-Z277-AA181</f>
        <v>65.33</v>
      </c>
      <c r="AB279" s="12" t="n"/>
      <c r="AC279" s="12">
        <f>AC277-AB277-AC181</f>
        <v>-10.293</v>
      </c>
      <c r="AD279" s="12">
        <f>AD277-AC277-AD181</f>
        <v>-3.63499999999999</v>
      </c>
      <c r="AE279" s="12">
        <f>AE277-AD277-AE181</f>
        <v>23.949</v>
      </c>
      <c r="AF279" s="12">
        <f>AF277-AE277-AF181</f>
        <v>72.143</v>
      </c>
      <c r="AG279" s="12" t="n"/>
      <c r="AH279" s="11">
        <f>AH277-AG277-AH181</f>
        <v>22.162</v>
      </c>
      <c r="AI279" s="11">
        <f>AI277-AH277-AI181</f>
        <v>124.267</v>
      </c>
      <c r="AJ279" s="11" t="n"/>
      <c r="AK279" s="11" t="n"/>
      <c r="AL279" s="12" t="n"/>
      <c r="AM279" s="11" t="n"/>
      <c r="AN279" s="11" t="n"/>
      <c r="AO279" s="11" t="n"/>
      <c r="AP279" s="11" t="n"/>
      <c r="AQ279" s="12" t="n"/>
      <c r="AR279" s="11" t="n"/>
      <c r="AS279" s="11" t="n"/>
      <c r="AT279" s="11" t="n"/>
      <c r="AU279" s="11" t="n"/>
      <c r="AV279" s="12" t="n"/>
      <c r="AW279" s="11" t="n"/>
      <c r="AX279" s="11" t="n"/>
      <c r="AY279" s="11" t="n"/>
      <c r="AZ279" s="11" t="n"/>
      <c r="BA279" s="12" t="n"/>
      <c r="BB279" s="11" t="n"/>
      <c r="BC279" s="11" t="n"/>
      <c r="BD279" s="11" t="n"/>
      <c r="BE279" s="11" t="n"/>
      <c r="BF279" s="12" t="n"/>
      <c r="BG279" s="11" t="n"/>
      <c r="BH279" s="11" t="n"/>
      <c r="BI279" s="11" t="n"/>
      <c r="BJ279" s="11" t="n"/>
      <c r="BK279" s="12" t="n"/>
      <c r="BL279" s="11" t="n"/>
      <c r="BM279" s="11" t="n"/>
      <c r="BN279" s="11" t="n"/>
      <c r="BO279" s="11" t="n"/>
      <c r="BP279" s="12" t="n"/>
      <c r="BQ279" s="11" t="n"/>
      <c r="BR279" s="11" t="n"/>
      <c r="BS279" s="11" t="n"/>
      <c r="BT279" s="11" t="n"/>
      <c r="BU279" s="12" t="n"/>
      <c r="BV279" s="11" t="n"/>
      <c r="BW279" s="11" t="n"/>
      <c r="BX279" s="11" t="n"/>
      <c r="BY279" s="11" t="n"/>
      <c r="BZ279" s="12" t="n"/>
      <c r="CA279" s="11" t="n"/>
      <c r="CB279" s="11" t="n"/>
      <c r="CC279" s="11" t="n"/>
      <c r="CD279" s="11" t="n"/>
      <c r="CE279" s="12" t="n"/>
      <c r="CF279" s="11" t="n"/>
      <c r="CG279" s="11" t="n"/>
      <c r="CH279" s="11" t="n"/>
      <c r="CI279" s="11" t="n"/>
      <c r="CJ279" s="12" t="n"/>
      <c r="CK279" s="11" t="n"/>
      <c r="CL279" s="11" t="n"/>
      <c r="CM279" s="11" t="n"/>
      <c r="CN279" s="11" t="n"/>
      <c r="CO279" s="12" t="n"/>
      <c r="CP279" s="11" t="n"/>
      <c r="CQ279" s="11" t="n"/>
      <c r="CR279" s="11" t="n"/>
      <c r="CS279" s="11" t="n"/>
      <c r="CT279" s="12" t="n"/>
      <c r="CU279" s="11" t="n"/>
      <c r="CV279" s="11" t="n"/>
      <c r="CW279" s="11" t="n"/>
      <c r="CX279" s="11" t="n"/>
      <c r="CY279" s="12" t="n"/>
    </row>
    <row r="280" hidden="1" outlineLevel="1">
      <c r="C280" s="57" t="inlineStr">
        <is>
          <t>Amortization (enter as -)</t>
        </is>
      </c>
      <c r="D280" s="12" t="n"/>
      <c r="E280" s="12" t="n"/>
      <c r="F280" s="12" t="n"/>
      <c r="G280" s="12" t="n"/>
      <c r="H280" s="12" t="n"/>
      <c r="I280" s="12">
        <f>I180</f>
        <v>0</v>
      </c>
      <c r="J280" s="12">
        <f>J180</f>
        <v>0</v>
      </c>
      <c r="K280" s="12">
        <f>K180</f>
        <v>0</v>
      </c>
      <c r="L280" s="12">
        <f>L180</f>
        <v>0</v>
      </c>
      <c r="M280" s="12" t="n"/>
      <c r="N280" s="12">
        <f>N180</f>
        <v>0</v>
      </c>
      <c r="O280" s="12">
        <f>O180</f>
        <v>0</v>
      </c>
      <c r="P280" s="12">
        <f>P180</f>
        <v>0</v>
      </c>
      <c r="Q280" s="12">
        <f>Q180</f>
        <v>0</v>
      </c>
      <c r="R280" s="12" t="n"/>
      <c r="S280" s="12">
        <f>S180</f>
        <v>0</v>
      </c>
      <c r="T280" s="12">
        <f>T180</f>
        <v>0</v>
      </c>
      <c r="U280" s="12">
        <f>U180</f>
        <v>0</v>
      </c>
      <c r="V280" s="12">
        <f>V180</f>
        <v>0</v>
      </c>
      <c r="W280" s="12" t="n"/>
      <c r="X280" s="12">
        <f>X180</f>
        <v>0</v>
      </c>
      <c r="Y280" s="12">
        <f>Y180</f>
        <v>0</v>
      </c>
      <c r="Z280" s="12">
        <f>Z180</f>
        <v>0</v>
      </c>
      <c r="AA280" s="12">
        <f>AA180</f>
        <v>0</v>
      </c>
      <c r="AB280" s="12" t="n"/>
      <c r="AC280" s="12">
        <f>AC180</f>
        <v>0</v>
      </c>
      <c r="AD280" s="12">
        <f>AD180</f>
        <v>0</v>
      </c>
      <c r="AE280" s="12">
        <f>AE180</f>
        <v>0</v>
      </c>
      <c r="AF280" s="12">
        <f>AF180</f>
        <v>0</v>
      </c>
      <c r="AG280" s="12" t="n"/>
      <c r="AH280" s="12">
        <f>AH180</f>
        <v>0</v>
      </c>
      <c r="AI280" s="11">
        <f>AI180</f>
        <v>0</v>
      </c>
      <c r="AJ280" s="11" t="n"/>
      <c r="AK280" s="11" t="n"/>
      <c r="AL280" s="12" t="n"/>
      <c r="AM280" s="11" t="n"/>
      <c r="AN280" s="11" t="n"/>
      <c r="AO280" s="11" t="n"/>
      <c r="AP280" s="11" t="n"/>
      <c r="AQ280" s="12" t="n"/>
      <c r="AR280" s="11" t="n"/>
      <c r="AS280" s="11" t="n"/>
      <c r="AT280" s="11" t="n"/>
      <c r="AU280" s="11" t="n"/>
      <c r="AV280" s="12" t="n"/>
      <c r="AW280" s="11" t="n"/>
      <c r="AX280" s="11" t="n"/>
      <c r="AY280" s="11" t="n"/>
      <c r="AZ280" s="11" t="n"/>
      <c r="BA280" s="12" t="n"/>
      <c r="BB280" s="11" t="n"/>
      <c r="BC280" s="11" t="n"/>
      <c r="BD280" s="11" t="n"/>
      <c r="BE280" s="11" t="n"/>
      <c r="BF280" s="12" t="n"/>
      <c r="BG280" s="11" t="n"/>
      <c r="BH280" s="11" t="n"/>
      <c r="BI280" s="11" t="n"/>
      <c r="BJ280" s="11" t="n"/>
      <c r="BK280" s="12" t="n"/>
      <c r="BL280" s="11" t="n"/>
      <c r="BM280" s="11" t="n"/>
      <c r="BN280" s="11" t="n"/>
      <c r="BO280" s="11" t="n"/>
      <c r="BP280" s="12" t="n"/>
      <c r="BQ280" s="11" t="n"/>
      <c r="BR280" s="11" t="n"/>
      <c r="BS280" s="11" t="n"/>
      <c r="BT280" s="11" t="n"/>
      <c r="BU280" s="12" t="n"/>
      <c r="BV280" s="11" t="n"/>
      <c r="BW280" s="11" t="n"/>
      <c r="BX280" s="11" t="n"/>
      <c r="BY280" s="11" t="n"/>
      <c r="BZ280" s="12" t="n"/>
      <c r="CA280" s="11" t="n"/>
      <c r="CB280" s="11" t="n"/>
      <c r="CC280" s="11" t="n"/>
      <c r="CD280" s="11" t="n"/>
      <c r="CE280" s="12" t="n"/>
      <c r="CF280" s="11" t="n"/>
      <c r="CG280" s="11" t="n"/>
      <c r="CH280" s="11" t="n"/>
      <c r="CI280" s="11" t="n"/>
      <c r="CJ280" s="12" t="n"/>
      <c r="CK280" s="11" t="n"/>
      <c r="CL280" s="11" t="n"/>
      <c r="CM280" s="11" t="n"/>
      <c r="CN280" s="11" t="n"/>
      <c r="CO280" s="12" t="n"/>
      <c r="CP280" s="11" t="n"/>
      <c r="CQ280" s="11" t="n"/>
      <c r="CR280" s="11" t="n"/>
      <c r="CS280" s="11" t="n"/>
      <c r="CT280" s="12" t="n"/>
      <c r="CU280" s="11" t="n"/>
      <c r="CV280" s="11" t="n"/>
      <c r="CW280" s="11" t="n"/>
      <c r="CX280" s="11" t="n"/>
      <c r="CY280" s="12" t="n"/>
    </row>
    <row r="281" hidden="1" outlineLevel="1">
      <c r="C281" s="57" t="inlineStr">
        <is>
          <t>Intangibles</t>
        </is>
      </c>
      <c r="D281" s="12" t="n"/>
      <c r="E281" s="12" t="n"/>
      <c r="F281" s="12" t="n"/>
      <c r="G281" s="12" t="n"/>
      <c r="H281" s="12" t="n"/>
      <c r="I281" s="12">
        <f>I277</f>
        <v>200.57</v>
      </c>
      <c r="J281" s="12">
        <f>J277</f>
        <v>197.429</v>
      </c>
      <c r="K281" s="12">
        <f>K277</f>
        <v>200.395</v>
      </c>
      <c r="L281" s="12">
        <f>L277</f>
        <v>281.564</v>
      </c>
      <c r="M281" s="12">
        <f>M277</f>
        <v>281.564</v>
      </c>
      <c r="N281" s="12">
        <f>N277</f>
        <v>277.134</v>
      </c>
      <c r="O281" s="12">
        <f>O277</f>
        <v>280.249</v>
      </c>
      <c r="P281" s="12">
        <f>P277</f>
        <v>277.968</v>
      </c>
      <c r="Q281" s="12">
        <f>Q277</f>
        <v>269.693</v>
      </c>
      <c r="R281" s="12">
        <f>R277</f>
        <v>269.693</v>
      </c>
      <c r="S281" s="12">
        <f>S277</f>
        <v>268.323</v>
      </c>
      <c r="T281" s="12">
        <f>T277</f>
        <v>266.404</v>
      </c>
      <c r="U281" s="12">
        <f>U277</f>
        <v>273.89</v>
      </c>
      <c r="V281" s="12">
        <f>V277</f>
        <v>268.011</v>
      </c>
      <c r="W281" s="12">
        <f>W277</f>
        <v>268.011</v>
      </c>
      <c r="X281" s="12">
        <f>X277</f>
        <v>284.175</v>
      </c>
      <c r="Y281" s="12">
        <f>Y277</f>
        <v>291.913</v>
      </c>
      <c r="Z281" s="12">
        <f>Z277</f>
        <v>299.502</v>
      </c>
      <c r="AA281" s="12">
        <f>AA277</f>
        <v>364.832</v>
      </c>
      <c r="AB281" s="12">
        <f>AB277</f>
        <v>364.832</v>
      </c>
      <c r="AC281" s="12">
        <f>AC277</f>
        <v>354.539</v>
      </c>
      <c r="AD281" s="12">
        <f>AD277</f>
        <v>350.904</v>
      </c>
      <c r="AE281" s="12">
        <f>AE277</f>
        <v>374.853</v>
      </c>
      <c r="AF281" s="12">
        <f>AF277</f>
        <v>446.996</v>
      </c>
      <c r="AG281" s="12">
        <f>AG277</f>
        <v>446.996</v>
      </c>
      <c r="AH281" s="12">
        <f>AH277</f>
        <v>469.158</v>
      </c>
      <c r="AI281" s="12">
        <f>AI277</f>
        <v>593.425</v>
      </c>
      <c r="AJ281" s="12">
        <f>AJ277</f>
        <v>593.425</v>
      </c>
      <c r="AK281" s="12">
        <f>AK277</f>
        <v>593.425</v>
      </c>
      <c r="AL281" s="12" t="n"/>
      <c r="AM281" s="12">
        <f>AM277</f>
        <v>593.425</v>
      </c>
      <c r="AN281" s="12">
        <f>AN277</f>
        <v>593.425</v>
      </c>
      <c r="AO281" s="12">
        <f>AO277</f>
        <v>593.425</v>
      </c>
      <c r="AP281" s="12">
        <f>AP277</f>
        <v>593.425</v>
      </c>
      <c r="AQ281" s="12" t="n"/>
      <c r="AR281" s="12">
        <f>AR277</f>
        <v>593.425</v>
      </c>
      <c r="AS281" s="12">
        <f>AS277</f>
        <v>593.425</v>
      </c>
      <c r="AT281" s="12">
        <f>AT277</f>
        <v>593.425</v>
      </c>
      <c r="AU281" s="12">
        <f>AU277</f>
        <v>593.425</v>
      </c>
      <c r="AV281" s="12" t="n"/>
      <c r="AW281" s="12">
        <f>AW277</f>
        <v>593.425</v>
      </c>
      <c r="AX281" s="12">
        <f>AX277</f>
        <v>593.425</v>
      </c>
      <c r="AY281" s="12">
        <f>AY277</f>
        <v>593.425</v>
      </c>
      <c r="AZ281" s="12">
        <f>AZ277</f>
        <v>593.425</v>
      </c>
      <c r="BA281" s="12" t="n"/>
      <c r="BB281" s="12">
        <f>BB277</f>
        <v>593.425</v>
      </c>
      <c r="BC281" s="12">
        <f>BC277</f>
        <v>593.425</v>
      </c>
      <c r="BD281" s="12">
        <f>BD277</f>
        <v>593.425</v>
      </c>
      <c r="BE281" s="12">
        <f>BE277</f>
        <v>593.425</v>
      </c>
      <c r="BF281" s="12" t="n"/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57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57" t="inlineStr">
        <is>
          <t>Definir % do D&amp;A No PPE and Intagibles</t>
        </is>
      </c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  <c r="AL283" s="12" t="n"/>
      <c r="AM283" s="12" t="n"/>
      <c r="AN283" s="12" t="n"/>
      <c r="AO283" s="12" t="n"/>
      <c r="AP283" s="12" t="n"/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57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57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collapsed="1">
      <c r="C286" s="14" t="inlineStr">
        <is>
          <t>Other non-current assets</t>
        </is>
      </c>
      <c r="D286" s="46" t="n"/>
      <c r="E286" s="46" t="n"/>
      <c r="F286" s="46" t="n"/>
      <c r="G286" s="46" t="n"/>
      <c r="H286" s="12" t="n"/>
      <c r="I286" s="46">
        <f>'Inputs (2)'!D26</f>
        <v>14405.248</v>
      </c>
      <c r="J286" s="46">
        <f>'Inputs (2)'!E26</f>
        <v>15219.481</v>
      </c>
      <c r="K286" s="46">
        <f>'Inputs (2)'!F26</f>
        <v>15747.961</v>
      </c>
      <c r="L286" s="46">
        <f>'Inputs (2)'!G26</f>
        <v>16182.846</v>
      </c>
      <c r="M286" s="12">
        <f>'Inputs (2)'!H26</f>
        <v>16182.846</v>
      </c>
      <c r="N286" s="46">
        <f>'Inputs (2)'!I26</f>
        <v>16599.594</v>
      </c>
      <c r="O286" s="46">
        <f>'Inputs (2)'!J26</f>
        <v>16882.567</v>
      </c>
      <c r="P286" s="46">
        <f>'Inputs (2)'!K26</f>
        <v>16769.339</v>
      </c>
      <c r="Q286" s="46">
        <f>'Inputs (2)'!L26</f>
        <v>16736.871</v>
      </c>
      <c r="R286" s="12">
        <f>'Inputs (2)'!M26</f>
        <v>16736.871</v>
      </c>
      <c r="S286" s="46">
        <f>'Inputs (2)'!N26</f>
        <v>17126.225</v>
      </c>
      <c r="T286" s="46">
        <f>'Inputs (2)'!O26</f>
        <v>16935.847</v>
      </c>
      <c r="U286" s="46">
        <f>'Inputs (2)'!P26</f>
        <v>16811.576</v>
      </c>
      <c r="V286" s="46">
        <f>'Inputs (2)'!Q26</f>
        <v>16867.443</v>
      </c>
      <c r="W286" s="12">
        <f>'Inputs (2)'!R26</f>
        <v>16867.443</v>
      </c>
      <c r="X286" s="46">
        <f>'Inputs (2)'!S26</f>
        <v>17070.163</v>
      </c>
      <c r="Y286" s="46">
        <f>'Inputs (2)'!T26</f>
        <v>17257.875</v>
      </c>
      <c r="Z286" s="46">
        <f>'Inputs (2)'!U26</f>
        <v>17366.792</v>
      </c>
      <c r="AA286" s="46">
        <f>'Inputs (2)'!V26</f>
        <v>17591.584</v>
      </c>
      <c r="AB286" s="12">
        <f>'Inputs (2)'!W26</f>
        <v>17591.584</v>
      </c>
      <c r="AC286" s="46">
        <f>'Inputs (2)'!X26</f>
        <v>17962.67</v>
      </c>
      <c r="AD286" s="46">
        <f>'Inputs (2)'!Y26</f>
        <v>18037.717</v>
      </c>
      <c r="AE286" s="46">
        <f>'Inputs (2)'!Z26</f>
        <v>18301.008</v>
      </c>
      <c r="AF286" s="46">
        <f>'Inputs (2)'!AA26</f>
        <v>18572.04</v>
      </c>
      <c r="AG286" s="12">
        <f>'Inputs (2)'!AB26</f>
        <v>18572.04</v>
      </c>
      <c r="AH286" s="12">
        <f>'Inputs (2)'!AC26</f>
        <v>18838.683</v>
      </c>
      <c r="AI286" s="12">
        <f>'Inputs (2)'!AD26</f>
        <v>19206.814</v>
      </c>
      <c r="AJ286" s="12">
        <f>AI286</f>
        <v>19206.814</v>
      </c>
      <c r="AK286" s="12">
        <f>AJ286</f>
        <v>19206.814</v>
      </c>
      <c r="AL286" s="12">
        <f>AK286</f>
        <v>19206.814</v>
      </c>
      <c r="AM286" s="12">
        <f>AL286</f>
        <v>19206.814</v>
      </c>
      <c r="AN286" s="12">
        <f>AM286</f>
        <v>19206.814</v>
      </c>
      <c r="AO286" s="12">
        <f>AN286</f>
        <v>19206.814</v>
      </c>
      <c r="AP286" s="12">
        <f>AO286</f>
        <v>19206.814</v>
      </c>
      <c r="AQ286" s="12">
        <f>AP286</f>
        <v>19206.814</v>
      </c>
      <c r="AR286" s="12">
        <f>AQ286</f>
        <v>19206.814</v>
      </c>
      <c r="AS286" s="12">
        <f>AR286</f>
        <v>19206.814</v>
      </c>
      <c r="AT286" s="12">
        <f>AS286</f>
        <v>19206.814</v>
      </c>
      <c r="AU286" s="12">
        <f>AT286</f>
        <v>19206.814</v>
      </c>
      <c r="AV286" s="12">
        <f>AU286</f>
        <v>19206.814</v>
      </c>
      <c r="AW286" s="12">
        <f>AV286</f>
        <v>19206.814</v>
      </c>
      <c r="AX286" s="12">
        <f>AW286</f>
        <v>19206.814</v>
      </c>
      <c r="AY286" s="12">
        <f>AX286</f>
        <v>19206.814</v>
      </c>
      <c r="AZ286" s="12">
        <f>AY286</f>
        <v>19206.814</v>
      </c>
      <c r="BA286" s="12">
        <f>AZ286</f>
        <v>19206.814</v>
      </c>
      <c r="BB286" s="12">
        <f>BA286</f>
        <v>19206.814</v>
      </c>
      <c r="BC286" s="12">
        <f>BB286</f>
        <v>19206.814</v>
      </c>
      <c r="BD286" s="12">
        <f>BC286</f>
        <v>19206.814</v>
      </c>
      <c r="BE286" s="12">
        <f>BD286</f>
        <v>19206.814</v>
      </c>
      <c r="BF286" s="12">
        <f>BE286</f>
        <v>19206.814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59" t="inlineStr">
        <is>
          <t>%(Var.)</t>
        </is>
      </c>
      <c r="D287" s="12" t="n"/>
      <c r="E287" s="40" t="n"/>
      <c r="F287" s="40" t="n"/>
      <c r="G287" s="40" t="n"/>
      <c r="H287" s="12" t="n"/>
      <c r="I287" s="40" t="str">
        <f>""</f>
        <v/>
      </c>
      <c r="J287" s="40">
        <f>IF(I286=0,"",J286/I286-1)</f>
        <v>0.0565233587092704</v>
      </c>
      <c r="K287" s="40">
        <f>IF(J286=0,"",K286/J286-1)</f>
        <v>0.0347239173267473</v>
      </c>
      <c r="L287" s="40">
        <f>IF(K286=0,"",L286/K286-1)</f>
        <v>0.027615321119985</v>
      </c>
      <c r="M287" s="12">
        <f>IF(L286=0,"",M286/L286-1)</f>
        <v>0</v>
      </c>
      <c r="N287" s="40">
        <f>IF(M286=0,"",N286/M286-1)</f>
        <v>0.0257524541727705</v>
      </c>
      <c r="O287" s="40">
        <f>IF(N286=0,"",O286/N286-1)</f>
        <v>0.0170469831972997</v>
      </c>
      <c r="P287" s="40">
        <f>IF(O286=0,"",P286/O286-1)</f>
        <v>-0.00670679997893675</v>
      </c>
      <c r="Q287" s="40">
        <f>IF(P286=0,"",Q286/P286-1)</f>
        <v>-0.00193615264143687</v>
      </c>
      <c r="R287" s="12">
        <f>IF(Q286=0,"",R286/Q286-1)</f>
        <v>0</v>
      </c>
      <c r="S287" s="40">
        <f>IF(R286=0,"",S286/R286-1)</f>
        <v>0.0232632491461515</v>
      </c>
      <c r="T287" s="40">
        <f>IF(S286=0,"",T286/S286-1)</f>
        <v>-0.0111161683324841</v>
      </c>
      <c r="U287" s="40">
        <f>IF(T286=0,"",U286/T286-1)</f>
        <v>-0.00733774933134435</v>
      </c>
      <c r="V287" s="40">
        <f>IF(U286=0,"",V286/U286-1)</f>
        <v>0.00332312687400616</v>
      </c>
      <c r="W287" s="12">
        <f>IF(V286=0,"",W286/V286-1)</f>
        <v>0</v>
      </c>
      <c r="X287" s="40">
        <f>IF(W286=0,"",X286/W286-1)</f>
        <v>0.0120184191522095</v>
      </c>
      <c r="Y287" s="40">
        <f>IF(X286=0,"",Y286/X286-1)</f>
        <v>0.0109964972214969</v>
      </c>
      <c r="Z287" s="40">
        <f>IF(Y286=0,"",Z286/Y286-1)</f>
        <v>0.0063111478093334</v>
      </c>
      <c r="AA287" s="40">
        <f>IF(Z286=0,"",AA286/Z286-1)</f>
        <v>0.0129437837454378</v>
      </c>
      <c r="AB287" s="12">
        <f>IF(AA286=0,"",AB286/AA286-1)</f>
        <v>0</v>
      </c>
      <c r="AC287" s="40">
        <f>IF(AB286=0,"",AC286/AB286-1)</f>
        <v>0.0210945188335512</v>
      </c>
      <c r="AD287" s="40">
        <f>IF(AC286=0,"",AD286/AC286-1)</f>
        <v>0.00417794236602931</v>
      </c>
      <c r="AE287" s="40">
        <f>IF(AD286=0,"",AE286/AD286-1)</f>
        <v>0.0145966920314806</v>
      </c>
      <c r="AF287" s="55">
        <f>IF(AE286=0,"",AF286/AE286-1)</f>
        <v>0.0148096760571876</v>
      </c>
      <c r="AG287" s="12">
        <f>IF(AF286=0,"",AG286/AF286-1)</f>
        <v>0</v>
      </c>
      <c r="AH287" s="55">
        <f>IF(AG286=0,"",AH286/AG286-1)</f>
        <v>0.0143572273159007</v>
      </c>
      <c r="AI287" s="55">
        <f>IF(AH286=0,"",AI286/AH286-1)</f>
        <v>0.0195412280147182</v>
      </c>
      <c r="AJ287" s="55">
        <f>IF(AI286=0,"",AJ286/AI286-1)</f>
        <v>0</v>
      </c>
      <c r="AK287" s="55">
        <f>IF(AJ286=0,"",AK286/AJ286-1)</f>
        <v>0</v>
      </c>
      <c r="AL287" s="12">
        <f>IF(AK286=0,"",AL286/AK286-1)</f>
        <v>0</v>
      </c>
      <c r="AM287" s="55">
        <f>IF(AL286=0,"",AM286/AL286-1)</f>
        <v>0</v>
      </c>
      <c r="AN287" s="55">
        <f>IF(AM286=0,"",AN286/AM286-1)</f>
        <v>0</v>
      </c>
      <c r="AO287" s="55">
        <f>IF(AN286=0,"",AO286/AN286-1)</f>
        <v>0</v>
      </c>
      <c r="AP287" s="55">
        <f>IF(AO286=0,"",AP286/AO286-1)</f>
        <v>0</v>
      </c>
      <c r="AQ287" s="12">
        <f>IF(AP286=0,"",AQ286/AP286-1)</f>
        <v>0</v>
      </c>
      <c r="AR287" s="55">
        <f>IF(AQ286=0,"",AR286/AQ286-1)</f>
        <v>0</v>
      </c>
      <c r="AS287" s="55">
        <f>IF(AR286=0,"",AS286/AR286-1)</f>
        <v>0</v>
      </c>
      <c r="AT287" s="55">
        <f>IF(AS286=0,"",AT286/AS286-1)</f>
        <v>0</v>
      </c>
      <c r="AU287" s="55">
        <f>IF(AT286=0,"",AU286/AT286-1)</f>
        <v>0</v>
      </c>
      <c r="AV287" s="12">
        <f>IF(AU286=0,"",AV286/AU286-1)</f>
        <v>0</v>
      </c>
      <c r="AW287" s="55">
        <f>IF(AV286=0,"",AW286/AV286-1)</f>
        <v>0</v>
      </c>
      <c r="AX287" s="55">
        <f>IF(AW286=0,"",AX286/AW286-1)</f>
        <v>0</v>
      </c>
      <c r="AY287" s="55">
        <f>IF(AX286=0,"",AY286/AX286-1)</f>
        <v>0</v>
      </c>
      <c r="AZ287" s="55">
        <f>IF(AY286=0,"",AZ286/AY286-1)</f>
        <v>0</v>
      </c>
      <c r="BA287" s="12">
        <f>IF(AZ286=0,"",BA286/AZ286-1)</f>
        <v>0</v>
      </c>
      <c r="BB287" s="55">
        <f>IF(BA286=0,"",BB286/BA286-1)</f>
        <v>0</v>
      </c>
      <c r="BC287" s="55">
        <f>IF(BB286=0,"",BC286/BB286-1)</f>
        <v>0</v>
      </c>
      <c r="BD287" s="55">
        <f>IF(BC286=0,"",BD286/BC286-1)</f>
        <v>0</v>
      </c>
      <c r="BE287" s="55">
        <f>IF(BD286=0,"",BE286/BD286-1)</f>
        <v>0</v>
      </c>
      <c r="BF287" s="12">
        <f>IF(BE286=0,"",BF286/BE286-1)</f>
        <v>0</v>
      </c>
      <c r="BG287" s="55" t="n"/>
      <c r="BH287" s="55" t="n"/>
      <c r="BI287" s="55" t="n"/>
      <c r="BJ287" s="55" t="n"/>
      <c r="BK287" s="12" t="n"/>
      <c r="BL287" s="55" t="n"/>
      <c r="BM287" s="55" t="n"/>
      <c r="BN287" s="55" t="n"/>
      <c r="BO287" s="55" t="n"/>
      <c r="BP287" s="12" t="n"/>
      <c r="BQ287" s="55" t="n"/>
      <c r="BR287" s="55" t="n"/>
      <c r="BS287" s="55" t="n"/>
      <c r="BT287" s="55" t="n"/>
      <c r="BU287" s="12" t="n"/>
      <c r="BV287" s="55" t="n"/>
      <c r="BW287" s="55" t="n"/>
      <c r="BX287" s="55" t="n"/>
      <c r="BY287" s="55" t="n"/>
      <c r="BZ287" s="12" t="n"/>
      <c r="CA287" s="55" t="n"/>
      <c r="CB287" s="55" t="n"/>
      <c r="CC287" s="55" t="n"/>
      <c r="CD287" s="55" t="n"/>
      <c r="CE287" s="12" t="n"/>
      <c r="CF287" s="55" t="n"/>
      <c r="CG287" s="55" t="n"/>
      <c r="CH287" s="55" t="n"/>
      <c r="CI287" s="55" t="n"/>
      <c r="CJ287" s="12" t="n"/>
      <c r="CK287" s="55" t="n"/>
      <c r="CL287" s="55" t="n"/>
      <c r="CM287" s="55" t="n"/>
      <c r="CN287" s="55" t="n"/>
      <c r="CO287" s="12" t="n"/>
      <c r="CP287" s="55" t="n"/>
      <c r="CQ287" s="55" t="n"/>
      <c r="CR287" s="55" t="n"/>
      <c r="CS287" s="55" t="n"/>
      <c r="CT287" s="12" t="n"/>
      <c r="CU287" s="55" t="n"/>
      <c r="CV287" s="55" t="n"/>
      <c r="CW287" s="55" t="n"/>
      <c r="CX287" s="55" t="n"/>
      <c r="CY287" s="12" t="n"/>
    </row>
    <row r="288" hidden="1" outlineLevel="1">
      <c r="C288" s="57" t="n"/>
      <c r="D288" s="12" t="n"/>
      <c r="E288" s="40" t="n"/>
      <c r="F288" s="40" t="n"/>
      <c r="G288" s="40" t="n"/>
      <c r="H288" s="12" t="n"/>
      <c r="I288" s="40" t="n"/>
      <c r="J288" s="40" t="n"/>
      <c r="K288" s="40" t="n"/>
      <c r="L288" s="40" t="n"/>
      <c r="M288" s="12" t="n"/>
      <c r="N288" s="40" t="n"/>
      <c r="O288" s="40" t="n"/>
      <c r="P288" s="40" t="n"/>
      <c r="Q288" s="40" t="n"/>
      <c r="R288" s="12" t="n"/>
      <c r="S288" s="40" t="n"/>
      <c r="T288" s="40" t="n"/>
      <c r="U288" s="40" t="n"/>
      <c r="V288" s="40" t="n"/>
      <c r="W288" s="12" t="n"/>
      <c r="X288" s="40" t="n"/>
      <c r="Y288" s="40" t="n"/>
      <c r="Z288" s="40" t="n"/>
      <c r="AA288" s="40" t="n"/>
      <c r="AB288" s="12" t="n"/>
      <c r="AC288" s="40" t="n"/>
      <c r="AD288" s="40" t="n"/>
      <c r="AE288" s="40" t="n"/>
      <c r="AF288" s="55" t="n"/>
      <c r="AG288" s="12" t="n"/>
      <c r="AH288" s="55" t="n"/>
      <c r="AI288" s="55" t="n"/>
      <c r="AJ288" s="55" t="n"/>
      <c r="AK288" s="55" t="n"/>
      <c r="AL288" s="12" t="n"/>
      <c r="AM288" s="55" t="n"/>
      <c r="AN288" s="55" t="n"/>
      <c r="AO288" s="55" t="n"/>
      <c r="AP288" s="55" t="n"/>
      <c r="AQ288" s="12" t="n"/>
      <c r="AR288" s="55" t="n"/>
      <c r="AS288" s="55" t="n"/>
      <c r="AT288" s="55" t="n"/>
      <c r="AU288" s="55" t="n"/>
      <c r="AV288" s="12" t="n"/>
      <c r="AW288" s="55" t="n"/>
      <c r="AX288" s="55" t="n"/>
      <c r="AY288" s="55" t="n"/>
      <c r="AZ288" s="55" t="n"/>
      <c r="BA288" s="12" t="n"/>
      <c r="BB288" s="55" t="n"/>
      <c r="BC288" s="55" t="n"/>
      <c r="BD288" s="55" t="n"/>
      <c r="BE288" s="55" t="n"/>
      <c r="BF288" s="12" t="n"/>
      <c r="BG288" s="55" t="n"/>
      <c r="BH288" s="55" t="n"/>
      <c r="BI288" s="55" t="n"/>
      <c r="BJ288" s="55" t="n"/>
      <c r="BK288" s="12" t="n"/>
      <c r="BL288" s="55" t="n"/>
      <c r="BM288" s="55" t="n"/>
      <c r="BN288" s="55" t="n"/>
      <c r="BO288" s="55" t="n"/>
      <c r="BP288" s="12" t="n"/>
      <c r="BQ288" s="55" t="n"/>
      <c r="BR288" s="55" t="n"/>
      <c r="BS288" s="55" t="n"/>
      <c r="BT288" s="55" t="n"/>
      <c r="BU288" s="12" t="n"/>
      <c r="BV288" s="55" t="n"/>
      <c r="BW288" s="55" t="n"/>
      <c r="BX288" s="55" t="n"/>
      <c r="BY288" s="55" t="n"/>
      <c r="BZ288" s="12" t="n"/>
      <c r="CA288" s="55" t="n"/>
      <c r="CB288" s="55" t="n"/>
      <c r="CC288" s="55" t="n"/>
      <c r="CD288" s="55" t="n"/>
      <c r="CE288" s="12" t="n"/>
      <c r="CF288" s="55" t="n"/>
      <c r="CG288" s="55" t="n"/>
      <c r="CH288" s="55" t="n"/>
      <c r="CI288" s="55" t="n"/>
      <c r="CJ288" s="12" t="n"/>
      <c r="CK288" s="55" t="n"/>
      <c r="CL288" s="55" t="n"/>
      <c r="CM288" s="55" t="n"/>
      <c r="CN288" s="55" t="n"/>
      <c r="CO288" s="12" t="n"/>
      <c r="CP288" s="55" t="n"/>
      <c r="CQ288" s="55" t="n"/>
      <c r="CR288" s="55" t="n"/>
      <c r="CS288" s="55" t="n"/>
      <c r="CT288" s="12" t="n"/>
      <c r="CU288" s="55" t="n"/>
      <c r="CV288" s="55" t="n"/>
      <c r="CW288" s="55" t="n"/>
      <c r="CX288" s="55" t="n"/>
      <c r="CY288" s="12" t="n"/>
    </row>
    <row r="289" hidden="1" outlineLevel="1">
      <c r="C289" s="60" t="inlineStr">
        <is>
          <t>Outros Créditos - LP</t>
        </is>
      </c>
      <c r="D289" s="11" t="n"/>
      <c r="E289" s="11" t="n"/>
      <c r="F289" s="11" t="n"/>
      <c r="G289" s="11" t="n"/>
      <c r="H289" s="12" t="n"/>
      <c r="I289" s="11" t="n"/>
      <c r="J289" s="11" t="n"/>
      <c r="K289" s="11" t="n"/>
      <c r="L289" s="11" t="n"/>
      <c r="M289" s="12" t="n"/>
      <c r="N289" s="11" t="n"/>
      <c r="O289" s="11" t="n"/>
      <c r="P289" s="11" t="n"/>
      <c r="Q289" s="11" t="n"/>
      <c r="R289" s="12" t="n"/>
      <c r="S289" s="11" t="n"/>
      <c r="T289" s="11" t="n"/>
      <c r="U289" s="11" t="n"/>
      <c r="V289" s="11" t="n"/>
      <c r="W289" s="12" t="n"/>
      <c r="X289" s="11" t="n"/>
      <c r="Y289" s="11" t="n"/>
      <c r="Z289" s="11" t="n"/>
      <c r="AA289" s="11" t="n"/>
      <c r="AB289" s="12" t="n"/>
      <c r="AC289" s="11" t="n"/>
      <c r="AD289" s="11" t="n"/>
      <c r="AE289" s="11" t="n"/>
      <c r="AF289" s="11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60" t="inlineStr">
        <is>
          <t xml:space="preserve">Impostos e Contribuições a Recuperar </t>
        </is>
      </c>
      <c r="D290" s="11" t="n"/>
      <c r="E290" s="11" t="n"/>
      <c r="F290" s="11" t="n"/>
      <c r="G290" s="11" t="n"/>
      <c r="H290" s="12" t="n"/>
      <c r="I290" s="11" t="n"/>
      <c r="J290" s="11" t="n"/>
      <c r="K290" s="11" t="n"/>
      <c r="L290" s="11" t="n"/>
      <c r="M290" s="12" t="n"/>
      <c r="N290" s="11" t="n"/>
      <c r="O290" s="11" t="n"/>
      <c r="P290" s="11" t="n"/>
      <c r="Q290" s="11" t="n"/>
      <c r="R290" s="12" t="n"/>
      <c r="S290" s="11" t="n"/>
      <c r="T290" s="11" t="n"/>
      <c r="U290" s="11" t="n"/>
      <c r="V290" s="11" t="n"/>
      <c r="W290" s="12" t="n"/>
      <c r="X290" s="11" t="n"/>
      <c r="Y290" s="11" t="n"/>
      <c r="Z290" s="11" t="n"/>
      <c r="AA290" s="11" t="n"/>
      <c r="AB290" s="12" t="n"/>
      <c r="AC290" s="11" t="n"/>
      <c r="AD290" s="11" t="n"/>
      <c r="AE290" s="11" t="n"/>
      <c r="AF290" s="11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60" t="inlineStr">
        <is>
          <t xml:space="preserve">Imposto de Renda e Contribuição Social Diferidos </t>
        </is>
      </c>
      <c r="D291" s="11" t="n"/>
      <c r="E291" s="11" t="n"/>
      <c r="F291" s="11" t="n"/>
      <c r="G291" s="11" t="n"/>
      <c r="H291" s="12" t="n"/>
      <c r="I291" s="11" t="n"/>
      <c r="J291" s="11" t="n"/>
      <c r="K291" s="11" t="n"/>
      <c r="L291" s="11" t="n"/>
      <c r="M291" s="12" t="n"/>
      <c r="N291" s="11" t="n"/>
      <c r="O291" s="11" t="n"/>
      <c r="P291" s="11" t="n"/>
      <c r="Q291" s="11" t="n"/>
      <c r="R291" s="12" t="n"/>
      <c r="S291" s="11" t="n"/>
      <c r="T291" s="11" t="n"/>
      <c r="U291" s="11" t="n"/>
      <c r="V291" s="11" t="n"/>
      <c r="W291" s="12" t="n"/>
      <c r="X291" s="11" t="n"/>
      <c r="Y291" s="11" t="n"/>
      <c r="Z291" s="11" t="n"/>
      <c r="AA291" s="11" t="n"/>
      <c r="AB291" s="12" t="n"/>
      <c r="AC291" s="11" t="n"/>
      <c r="AD291" s="11" t="n"/>
      <c r="AE291" s="11" t="n"/>
      <c r="AF291" s="11" t="n"/>
      <c r="AG291" s="12" t="n"/>
      <c r="AH291" s="12" t="n"/>
      <c r="AI291" s="12" t="n"/>
      <c r="AJ291" s="12" t="n"/>
      <c r="AK291" s="12" t="n"/>
      <c r="AL291" s="12" t="n"/>
      <c r="AM291" s="12" t="n"/>
      <c r="AN291" s="12" t="n"/>
      <c r="AO291" s="12" t="n"/>
      <c r="AP291" s="12" t="n"/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hidden="1" outlineLevel="1">
      <c r="C292" s="60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 hidden="1" outlineLevel="1">
      <c r="C293" s="57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 collapsed="1" customFormat="1" s="32">
      <c r="A294" s="30" t="n"/>
      <c r="B294" s="3" t="n"/>
      <c r="C294" s="33" t="inlineStr">
        <is>
          <t>Total Assets</t>
        </is>
      </c>
      <c r="D294" s="35" t="n"/>
      <c r="E294" s="35" t="n"/>
      <c r="F294" s="35" t="n"/>
      <c r="G294" s="35" t="n"/>
      <c r="H294" s="35" t="n"/>
      <c r="I294" s="35">
        <f>SUM(I241,I242,I246,I250,I251,I252,I258,I263,I273,I276,I277,I286)</f>
        <v>23533.967</v>
      </c>
      <c r="J294" s="35">
        <f>SUM(J241,J242,J246,J250,J251,J252,J258,J263,J273,J276,J277,J286)</f>
        <v>24087.847</v>
      </c>
      <c r="K294" s="35">
        <f>SUM(K241,K242,K246,K250,K251,K252,K258,K263,K273,K276,K277,K286)</f>
        <v>24502.26</v>
      </c>
      <c r="L294" s="35">
        <f>SUM(L241,L242,L246,L250,L251,L252,L258,L263,L273,L276,L277,L286)</f>
        <v>25746.452</v>
      </c>
      <c r="M294" s="35">
        <f>SUM(M241,M242,M246,M250,M251,M252,M258,M263,M273,M276,M277,M286)</f>
        <v>25746.452</v>
      </c>
      <c r="N294" s="35">
        <f>SUM(N241,N242,N246,N250,N251,N252,N258,N263,N273,N276,N277,N286)</f>
        <v>26561.051</v>
      </c>
      <c r="O294" s="35">
        <f>SUM(O241,O242,O246,O250,O251,O252,O258,O263,O273,O276,O277,O286)</f>
        <v>27196.461</v>
      </c>
      <c r="P294" s="35">
        <f>SUM(P241,P242,P246,P250,P251,P252,P258,P263,P273,P276,P277,P286)</f>
        <v>27384.16</v>
      </c>
      <c r="Q294" s="35">
        <f>SUM(Q241,Q242,Q246,Q250,Q251,Q252,Q258,Q263,Q273,Q276,Q277,Q286)</f>
        <v>27933.759</v>
      </c>
      <c r="R294" s="35">
        <f>SUM(R241,R242,R246,R250,R251,R252,R258,R263,R273,R276,R277,R286)</f>
        <v>27933.759</v>
      </c>
      <c r="S294" s="35">
        <f>SUM(S241,S242,S246,S250,S251,S252,S258,S263,S273,S276,S277,S286)</f>
        <v>28614.717</v>
      </c>
      <c r="T294" s="35">
        <f>SUM(T241,T242,T246,T250,T251,T252,T258,T263,T273,T276,T277,T286)</f>
        <v>28111.995</v>
      </c>
      <c r="U294" s="35">
        <f>SUM(U241,U242,U246,U250,U251,U252,U258,U263,U273,U276,U277,U286)</f>
        <v>28272.649</v>
      </c>
      <c r="V294" s="35">
        <f>SUM(V241,V242,V246,V250,V251,V252,V258,V263,V273,V276,V277,V286)</f>
        <v>28436.081</v>
      </c>
      <c r="W294" s="35">
        <f>SUM(W241,W242,W246,W250,W251,W252,W258,W263,W273,W276,W277,W286)</f>
        <v>28436.081</v>
      </c>
      <c r="X294" s="35">
        <f>SUM(X241,X242,X246,X250,X251,X252,X258,X263,X273,X276,X277,X286)</f>
        <v>28895.903</v>
      </c>
      <c r="Y294" s="35">
        <f>SUM(Y241,Y242,Y246,Y250,Y251,Y252,Y258,Y263,Y273,Y276,Y277,Y286)</f>
        <v>30088.771</v>
      </c>
      <c r="Z294" s="35">
        <f>SUM(Z241,Z242,Z246,Z250,Z251,Z252,Z258,Z263,Z273,Z276,Z277,Z286)</f>
        <v>30002.997</v>
      </c>
      <c r="AA294" s="35">
        <f>SUM(AA241,AA242,AA246,AA250,AA251,AA252,AA258,AA263,AA273,AA276,AA277,AA286)</f>
        <v>30689.036</v>
      </c>
      <c r="AB294" s="35">
        <f>SUM(AB241,AB242,AB246,AB250,AB251,AB252,AB258,AB263,AB273,AB276,AB277,AB286)</f>
        <v>30689.036</v>
      </c>
      <c r="AC294" s="35">
        <f>SUM(AC241,AC242,AC246,AC250,AC251,AC252,AC258,AC263,AC273,AC276,AC277,AC286)</f>
        <v>31173.683</v>
      </c>
      <c r="AD294" s="35">
        <f>SUM(AD241,AD242,AD246,AD250,AD251,AD252,AD258,AD263,AD273,AD276,AD277,AD286)</f>
        <v>31208.599</v>
      </c>
      <c r="AE294" s="35">
        <f>SUM(AE241,AE242,AE246,AE250,AE251,AE252,AE258,AE263,AE273,AE276,AE277,AE286)</f>
        <v>31477.777</v>
      </c>
      <c r="AF294" s="35">
        <f>SUM(AF241,AF242,AF246,AF250,AF251,AF252,AF258,AF263,AF273,AF276,AF277,AF286)</f>
        <v>32114.316</v>
      </c>
      <c r="AG294" s="35">
        <f>SUM(AG241,AG242,AG246,AG250,AG251,AG252,AG258,AG263,AG273,AG276,AG277,AG286)</f>
        <v>32114.316</v>
      </c>
      <c r="AH294" s="35">
        <f>SUM(AH241,AH242,AH246,AH250,AH251,AH252,AH258,AH263,AH273,AH276,AH277,AH286)</f>
        <v>34341.802</v>
      </c>
      <c r="AI294" s="35">
        <f>SUM(AI241,AI242,AI246,AI250,AI251,AI252,AI258,AI263,AI273,AI276,AI277,AI286)</f>
        <v>35449.091</v>
      </c>
      <c r="AJ294" s="35">
        <f>SUM(AJ241,AJ242,AJ246,AJ250,AJ251,AJ252,AJ258,AJ263,AJ273,AJ276,AJ277,AJ286)</f>
        <v>36003.1422343273</v>
      </c>
      <c r="AK294" s="35">
        <f>SUM(AK241,AK242,AK246,AK250,AK251,AK252,AK258,AK263,AK273,AK276,AK277,AK286)</f>
        <v>36831.3671084455</v>
      </c>
      <c r="AL294" s="35">
        <f>SUM(AL241,AL242,AL246,AL250,AL251,AL252,AL258,AL263,AL273,AL276,AL277,AL286)</f>
        <v>36831.3671084455</v>
      </c>
      <c r="AM294" s="35">
        <f>SUM(AM241,AM242,AM246,AM250,AM251,AM252,AM258,AM263,AM273,AM276,AM277,AM286)</f>
        <v>37708.2169207402</v>
      </c>
      <c r="AN294" s="35">
        <f>SUM(AN241,AN242,AN246,AN250,AN251,AN252,AN258,AN263,AN273,AN276,AN277,AN286)</f>
        <v>38881.9459171113</v>
      </c>
      <c r="AO294" s="35">
        <f>SUM(AO241,AO242,AO246,AO250,AO251,AO252,AO258,AO263,AO273,AO276,AO277,AO286)</f>
        <v>39553.2281348508</v>
      </c>
      <c r="AP294" s="35">
        <f>SUM(AP241,AP242,AP246,AP250,AP251,AP252,AP258,AP263,AP273,AP276,AP277,AP286)</f>
        <v>40549.0581975783</v>
      </c>
      <c r="AQ294" s="35">
        <f>SUM(AQ241,AQ242,AQ246,AQ250,AQ251,AQ252,AQ258,AQ263,AQ273,AQ276,AQ277,AQ286)</f>
        <v>40549.0581975783</v>
      </c>
      <c r="AR294" s="35">
        <f>SUM(AR241,AR242,AR246,AR250,AR251,AR252,AR258,AR263,AR273,AR276,AR277,AR286)</f>
        <v>41594.656706914</v>
      </c>
      <c r="AS294" s="35">
        <f>SUM(AS241,AS242,AS246,AS250,AS251,AS252,AS258,AS263,AS273,AS276,AS277,AS286)</f>
        <v>42997.6619039468</v>
      </c>
      <c r="AT294" s="35">
        <f>SUM(AT241,AT242,AT246,AT250,AT251,AT252,AT258,AT263,AT273,AT276,AT277,AT286)</f>
        <v>43821.108949677</v>
      </c>
      <c r="AU294" s="35">
        <f>SUM(AU241,AU242,AU246,AU250,AU251,AU252,AU258,AU263,AU273,AU276,AU277,AU286)</f>
        <v>45027.2881983477</v>
      </c>
      <c r="AV294" s="35">
        <f>SUM(AV241,AV242,AV246,AV250,AV251,AV252,AV258,AV263,AV273,AV276,AV277,AV286)</f>
        <v>45027.2881983477</v>
      </c>
      <c r="AW294" s="35">
        <f>SUM(AW241,AW242,AW246,AW250,AW251,AW252,AW258,AW263,AW273,AW276,AW277,AW286)</f>
        <v>46294.8131926287</v>
      </c>
      <c r="AX294" s="35">
        <f>SUM(AX241,AX242,AX246,AX250,AX251,AX252,AX258,AX263,AX273,AX276,AX277,AX286)</f>
        <v>47976.269652468</v>
      </c>
      <c r="AY294" s="35">
        <f>SUM(AY241,AY242,AY246,AY250,AY251,AY252,AY258,AY263,AY273,AY276,AY277,AY286)</f>
        <v>49003.1326122239</v>
      </c>
      <c r="AZ294" s="35">
        <f>SUM(AZ241,AZ242,AZ246,AZ250,AZ251,AZ252,AZ258,AZ263,AZ273,AZ276,AZ277,AZ286)</f>
        <v>50482.4381586656</v>
      </c>
      <c r="BA294" s="35">
        <f>SUM(BA241,BA242,BA246,BA250,BA251,BA252,BA258,BA263,BA273,BA276,BA277,BA286)</f>
        <v>50482.4381586656</v>
      </c>
      <c r="BB294" s="35">
        <f>SUM(BB241,BB242,BB246,BB250,BB251,BB252,BB258,BB263,BB273,BB276,BB277,BB286)</f>
        <v>52034.4462803269</v>
      </c>
      <c r="BC294" s="35">
        <f>SUM(BC241,BC242,BC246,BC250,BC251,BC252,BC258,BC263,BC273,BC276,BC277,BC286)</f>
        <v>54077.0196350014</v>
      </c>
      <c r="BD294" s="35">
        <f>SUM(BD241,BD242,BD246,BD250,BD251,BD252,BD258,BD263,BD273,BD276,BD277,BD286)</f>
        <v>55383.386539935</v>
      </c>
      <c r="BE294" s="35">
        <f>SUM(BE241,BE242,BE246,BE250,BE251,BE252,BE258,BE263,BE273,BE276,BE277,BE286)</f>
        <v>57226.8019212954</v>
      </c>
      <c r="BF294" s="35">
        <f>SUM(BF241,BF242,BF246,BF250,BF251,BF252,BF258,BF263,BF273,BF276,BF277,BF286)</f>
        <v>57226.8019212954</v>
      </c>
      <c r="BG294" s="35" t="n"/>
      <c r="BH294" s="35" t="n"/>
      <c r="BI294" s="35" t="n"/>
      <c r="BJ294" s="35" t="n"/>
      <c r="BK294" s="35" t="n"/>
      <c r="BL294" s="35" t="n"/>
      <c r="BM294" s="35" t="n"/>
      <c r="BN294" s="35" t="n"/>
      <c r="BO294" s="35" t="n"/>
      <c r="BP294" s="35" t="n"/>
      <c r="BQ294" s="35" t="n"/>
      <c r="BR294" s="35" t="n"/>
      <c r="BS294" s="35" t="n"/>
      <c r="BT294" s="35" t="n"/>
      <c r="BU294" s="35" t="n"/>
      <c r="BV294" s="35" t="n"/>
      <c r="BW294" s="35" t="n"/>
      <c r="BX294" s="35" t="n"/>
      <c r="BY294" s="35" t="n"/>
      <c r="BZ294" s="35" t="n"/>
      <c r="CA294" s="35" t="n"/>
      <c r="CB294" s="35" t="n"/>
      <c r="CC294" s="35" t="n"/>
      <c r="CD294" s="35" t="n"/>
      <c r="CE294" s="35" t="n"/>
      <c r="CF294" s="35" t="n"/>
      <c r="CG294" s="35" t="n"/>
      <c r="CH294" s="35" t="n"/>
      <c r="CI294" s="35" t="n"/>
      <c r="CJ294" s="35" t="n"/>
      <c r="CK294" s="35" t="n"/>
      <c r="CL294" s="35" t="n"/>
      <c r="CM294" s="35" t="n"/>
      <c r="CN294" s="35" t="n"/>
      <c r="CO294" s="35" t="n"/>
      <c r="CP294" s="35" t="n"/>
      <c r="CQ294" s="35" t="n"/>
      <c r="CR294" s="35" t="n"/>
      <c r="CS294" s="35" t="n"/>
      <c r="CT294" s="35" t="n"/>
      <c r="CU294" s="35" t="n"/>
      <c r="CV294" s="35" t="n"/>
      <c r="CW294" s="35" t="n"/>
      <c r="CX294" s="35" t="n"/>
      <c r="CY294" s="35" t="n"/>
    </row>
    <row r="295">
      <c r="C295" s="14" t="inlineStr">
        <is>
          <t>Accounts payable</t>
        </is>
      </c>
      <c r="D295" s="46" t="n"/>
      <c r="E295" s="46" t="n"/>
      <c r="F295" s="46" t="n"/>
      <c r="G295" s="46" t="n"/>
      <c r="H295" s="12" t="n"/>
      <c r="I295" s="46">
        <f>'Inputs (2)'!D28</f>
        <v>196.576</v>
      </c>
      <c r="J295" s="46">
        <f>'Inputs (2)'!E28</f>
        <v>245.687</v>
      </c>
      <c r="K295" s="46">
        <f>'Inputs (2)'!F28</f>
        <v>217.738</v>
      </c>
      <c r="L295" s="46">
        <f>'Inputs (2)'!G28</f>
        <v>203.987</v>
      </c>
      <c r="M295" s="12">
        <f>'Inputs (2)'!H28</f>
        <v>203.987</v>
      </c>
      <c r="N295" s="46">
        <f>'Inputs (2)'!I28</f>
        <v>460.822</v>
      </c>
      <c r="O295" s="46">
        <f>'Inputs (2)'!J28</f>
        <v>195.507</v>
      </c>
      <c r="P295" s="46">
        <f>'Inputs (2)'!K28</f>
        <v>299.81</v>
      </c>
      <c r="Q295" s="46">
        <f>'Inputs (2)'!L28</f>
        <v>239.119</v>
      </c>
      <c r="R295" s="12">
        <f>'Inputs (2)'!M28</f>
        <v>239.119</v>
      </c>
      <c r="S295" s="46">
        <f>'Inputs (2)'!N28</f>
        <v>193.047</v>
      </c>
      <c r="T295" s="46">
        <f>'Inputs (2)'!O28</f>
        <v>183.047</v>
      </c>
      <c r="U295" s="46">
        <f>'Inputs (2)'!P28</f>
        <v>173.733</v>
      </c>
      <c r="V295" s="46">
        <f>'Inputs (2)'!Q28</f>
        <v>191.62</v>
      </c>
      <c r="W295" s="12">
        <f>'Inputs (2)'!R28</f>
        <v>191.62</v>
      </c>
      <c r="X295" s="46">
        <f>'Inputs (2)'!S28</f>
        <v>189.72</v>
      </c>
      <c r="Y295" s="46">
        <f>'Inputs (2)'!T28</f>
        <v>185.821</v>
      </c>
      <c r="Z295" s="46">
        <f>'Inputs (2)'!U28</f>
        <v>182.751</v>
      </c>
      <c r="AA295" s="46">
        <f>'Inputs (2)'!V28</f>
        <v>195.371</v>
      </c>
      <c r="AB295" s="12">
        <f>'Inputs (2)'!W28</f>
        <v>195.371</v>
      </c>
      <c r="AC295" s="46">
        <f>'Inputs (2)'!X28</f>
        <v>219.347</v>
      </c>
      <c r="AD295" s="46">
        <f>'Inputs (2)'!Y28</f>
        <v>211.938</v>
      </c>
      <c r="AE295" s="46">
        <f>'Inputs (2)'!Z28</f>
        <v>157.703</v>
      </c>
      <c r="AF295" s="46">
        <f>'Inputs (2)'!AA28</f>
        <v>190.734</v>
      </c>
      <c r="AG295" s="12">
        <f>'Inputs (2)'!AB28</f>
        <v>190.734</v>
      </c>
      <c r="AH295" s="12">
        <f>'Inputs (2)'!AC28</f>
        <v>290.279</v>
      </c>
      <c r="AI295" s="12">
        <f>'Inputs (2)'!AD28</f>
        <v>306.514</v>
      </c>
      <c r="AJ295" s="12">
        <f>(AJ296/(AJ$5-AI$5))*-AJ$151</f>
        <v>209.409972002439</v>
      </c>
      <c r="AK295" s="12">
        <f>(AK296/(AK$5-AJ$5))*-AK$151</f>
        <v>252.951720304381</v>
      </c>
      <c r="AL295" s="12">
        <f>AK295</f>
        <v>252.951720304381</v>
      </c>
      <c r="AM295" s="12">
        <f>(AM296/(AM$5-AL$5))*-AM$151</f>
        <v>279.010556508431</v>
      </c>
      <c r="AN295" s="12">
        <f>(AN296/(AN$5-AM$5))*-AN$151</f>
        <v>357.620133364542</v>
      </c>
      <c r="AO295" s="12">
        <f>(AO296/(AO$5-AN$5))*-AO$151</f>
        <v>243.594490371233</v>
      </c>
      <c r="AP295" s="12">
        <f>(AP296/(AP$5-AO$5))*-AP$151</f>
        <v>294.244084017902</v>
      </c>
      <c r="AQ295" s="12">
        <f>AP295</f>
        <v>294.244084017902</v>
      </c>
      <c r="AR295" s="12">
        <f>(AR296/(AR$5-AQ$5))*-AR$151</f>
        <v>319.610537738026</v>
      </c>
      <c r="AS295" s="12">
        <f>(AS296/(AS$5-AR$5))*-AS$151</f>
        <v>414.210685352848</v>
      </c>
      <c r="AT295" s="12">
        <f>(AT296/(AT$5-AS$5))*-AT$151</f>
        <v>282.141388001759</v>
      </c>
      <c r="AU295" s="12">
        <f>(AU296/(AU$5-AT$5))*-AU$151</f>
        <v>340.805878448231</v>
      </c>
      <c r="AV295" s="12">
        <f>AU295</f>
        <v>340.805878448231</v>
      </c>
      <c r="AW295" s="12">
        <f>(AW296/(AW$5-AV$5))*-AW$151</f>
        <v>372.683745528391</v>
      </c>
      <c r="AX295" s="12">
        <f>(AX296/(AX$5-AW$5))*-AX$151</f>
        <v>477.685190290042</v>
      </c>
      <c r="AY295" s="12">
        <f>(AY296/(AY$5-AX$5))*-AY$151</f>
        <v>325.377319760614</v>
      </c>
      <c r="AZ295" s="12">
        <f>(AZ296/(AZ$5-AY$5))*-AZ$151</f>
        <v>393.031678455682</v>
      </c>
      <c r="BA295" s="12">
        <f>AZ295</f>
        <v>393.031678455682</v>
      </c>
      <c r="BB295" s="12">
        <f>(BB296/(BB$5-BA$5))*-BB$151</f>
        <v>427.931157308182</v>
      </c>
      <c r="BC295" s="12">
        <f>(BC296/(BC$5-BB$5))*-BC$151</f>
        <v>548.498234126028</v>
      </c>
      <c r="BD295" s="12">
        <f>(BD296/(BD$5-BC$5))*-BD$151</f>
        <v>373.611928820723</v>
      </c>
      <c r="BE295" s="12">
        <f>(BE296/(BE$5-BD$5))*-BE$151</f>
        <v>451.295510035878</v>
      </c>
      <c r="BF295" s="12">
        <f>BE295</f>
        <v>451.295510035878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 hidden="1" outlineLevel="1">
      <c r="C296" s="57" t="inlineStr">
        <is>
          <t>DPO</t>
        </is>
      </c>
      <c r="D296" s="12" t="n"/>
      <c r="E296" s="12" t="n"/>
      <c r="F296" s="12" t="n"/>
      <c r="G296" s="12" t="n"/>
      <c r="H296" s="12" t="n"/>
      <c r="I296" s="12">
        <f>IFERROR(-(I295/I$151)*(I$5-H$5),"")</f>
        <v>37.5596614249957</v>
      </c>
      <c r="J296" s="12">
        <f>IFERROR(-(J295/J$151)*(J$5-I$5),"")</f>
        <v>111.09104415316</v>
      </c>
      <c r="K296" s="12">
        <f>IFERROR(-(K295/K$151)*(K$5-J$5),"")</f>
        <v>69.7861186495591</v>
      </c>
      <c r="L296" s="12">
        <f>IFERROR(-(L295/L$151)*(L$5-K$5),"")</f>
        <v>61.3703383955317</v>
      </c>
      <c r="M296" s="12" t="n"/>
      <c r="N296" s="12">
        <f>IFERROR(-(N295/N$151)*(N$5-M$5),"")</f>
        <v>307.695583467494</v>
      </c>
      <c r="O296" s="12">
        <f>IFERROR(-(O295/O$151)*(O$5-N$5),"")</f>
        <v>143.903981169924</v>
      </c>
      <c r="P296" s="12">
        <f>IFERROR(-(P295/P$151)*(P$5-O$5),"")</f>
        <v>209.883881964419</v>
      </c>
      <c r="Q296" s="12">
        <f>IFERROR(-(Q295/Q$151)*(Q$5-P$5),"")</f>
        <v>136.576654208625</v>
      </c>
      <c r="R296" s="12" t="n"/>
      <c r="S296" s="12">
        <f>IFERROR(-(S295/S$151)*(S$5-R$5),"")</f>
        <v>107.435350424814</v>
      </c>
      <c r="T296" s="12">
        <f>IFERROR(-(T295/T$151)*(T$5-S$5),"")</f>
        <v>121.818931094502</v>
      </c>
      <c r="U296" s="12">
        <f>IFERROR(-(U295/U$151)*(U$5-T$5),"")</f>
        <v>98.8230100532961</v>
      </c>
      <c r="V296" s="12">
        <f>IFERROR(-(V295/V$151)*(V$5-U$5),"")</f>
        <v>92.933603943172</v>
      </c>
      <c r="W296" s="12" t="n"/>
      <c r="X296" s="12">
        <f>IFERROR(-(X295/X$151)*(X$5-W$5),"")</f>
        <v>102.661116727121</v>
      </c>
      <c r="Y296" s="12">
        <f>IFERROR(-(Y295/Y$151)*(Y$5-X$5),"")</f>
        <v>93.7147995433335</v>
      </c>
      <c r="Z296" s="12">
        <f>IFERROR(-(Z295/Z$151)*(Z$5-Y$5),"")</f>
        <v>68.0804991921736</v>
      </c>
      <c r="AA296" s="12">
        <f>IFERROR(-(AA295/AA$151)*(AA$5-Z$5),"")</f>
        <v>54.9079945012983</v>
      </c>
      <c r="AB296" s="12" t="n"/>
      <c r="AC296" s="12">
        <f>IFERROR(-(AC295/AC$151)*(AC$5-AB$5),"")</f>
        <v>66.8745384453824</v>
      </c>
      <c r="AD296" s="12">
        <f>IFERROR(-(AD295/AD$151)*(AD$5-AC$5),"")</f>
        <v>68.2446869493217</v>
      </c>
      <c r="AE296" s="12">
        <f>IFERROR(-(AE295/AE$151)*(AE$5-AD$5),"")</f>
        <v>59.0220244245743</v>
      </c>
      <c r="AF296" s="11">
        <f>IFERROR(-(AF295/AF$151)*(AF$5-AE$5),"")</f>
        <v>52.2339577485332</v>
      </c>
      <c r="AG296" s="12" t="n"/>
      <c r="AH296" s="11">
        <f>IFERROR(-(AH295/AH$151)*(AH$5-AG$5),"")</f>
        <v>63.8569951529995</v>
      </c>
      <c r="AI296" s="11">
        <f>IFERROR(-(AI295/AI$151)*(AI$5-AH$5),"")</f>
        <v>53.2126117945118</v>
      </c>
      <c r="AJ296" s="11">
        <f>Control!$B$27</f>
        <v>60.5741357525538</v>
      </c>
      <c r="AK296" s="11">
        <f>Control!$B$27</f>
        <v>60.5741357525538</v>
      </c>
      <c r="AL296" s="12" t="n"/>
      <c r="AM296" s="11">
        <f>Control!$C$27</f>
        <v>60.5741357525538</v>
      </c>
      <c r="AN296" s="11">
        <f>Control!$C$27</f>
        <v>60.5741357525538</v>
      </c>
      <c r="AO296" s="11">
        <f>Control!$C$27</f>
        <v>60.5741357525538</v>
      </c>
      <c r="AP296" s="11">
        <f>Control!$C$27</f>
        <v>60.5741357525538</v>
      </c>
      <c r="AQ296" s="12" t="n"/>
      <c r="AR296" s="11">
        <f>Control!$D$27</f>
        <v>60.5741357525538</v>
      </c>
      <c r="AS296" s="11">
        <f>Control!$D$27</f>
        <v>60.5741357525538</v>
      </c>
      <c r="AT296" s="11">
        <f>Control!$D$27</f>
        <v>60.5741357525538</v>
      </c>
      <c r="AU296" s="11">
        <f>Control!$D$27</f>
        <v>60.5741357525538</v>
      </c>
      <c r="AV296" s="12" t="n"/>
      <c r="AW296" s="11">
        <f>Control!$E$27</f>
        <v>60.5741357525538</v>
      </c>
      <c r="AX296" s="11">
        <f>Control!$E$27</f>
        <v>60.5741357525538</v>
      </c>
      <c r="AY296" s="11">
        <f>Control!$E$27</f>
        <v>60.5741357525538</v>
      </c>
      <c r="AZ296" s="11">
        <f>Control!$E$27</f>
        <v>60.5741357525538</v>
      </c>
      <c r="BA296" s="12" t="n"/>
      <c r="BB296" s="11">
        <f>Control!$F$27</f>
        <v>60.5741357525538</v>
      </c>
      <c r="BC296" s="11">
        <f>Control!$F$27</f>
        <v>60.5741357525538</v>
      </c>
      <c r="BD296" s="11">
        <f>Control!$F$27</f>
        <v>60.5741357525538</v>
      </c>
      <c r="BE296" s="11">
        <f>Control!$F$27</f>
        <v>60.5741357525538</v>
      </c>
      <c r="BF296" s="12" t="n"/>
      <c r="BG296" s="11" t="n"/>
      <c r="BH296" s="11" t="n"/>
      <c r="BI296" s="11" t="n"/>
      <c r="BJ296" s="11" t="n"/>
      <c r="BK296" s="12" t="n"/>
      <c r="BL296" s="11" t="n"/>
      <c r="BM296" s="11" t="n"/>
      <c r="BN296" s="11" t="n"/>
      <c r="BO296" s="11" t="n"/>
      <c r="BP296" s="12" t="n"/>
      <c r="BQ296" s="11" t="n"/>
      <c r="BR296" s="11" t="n"/>
      <c r="BS296" s="11" t="n"/>
      <c r="BT296" s="11" t="n"/>
      <c r="BU296" s="12" t="n"/>
      <c r="BV296" s="11" t="n"/>
      <c r="BW296" s="11" t="n"/>
      <c r="BX296" s="11" t="n"/>
      <c r="BY296" s="11" t="n"/>
      <c r="BZ296" s="12" t="n"/>
      <c r="CA296" s="11" t="n"/>
      <c r="CB296" s="11" t="n"/>
      <c r="CC296" s="11" t="n"/>
      <c r="CD296" s="11" t="n"/>
      <c r="CE296" s="12" t="n"/>
      <c r="CF296" s="11" t="n"/>
      <c r="CG296" s="11" t="n"/>
      <c r="CH296" s="11" t="n"/>
      <c r="CI296" s="11" t="n"/>
      <c r="CJ296" s="12" t="n"/>
      <c r="CK296" s="11" t="n"/>
      <c r="CL296" s="11" t="n"/>
      <c r="CM296" s="11" t="n"/>
      <c r="CN296" s="11" t="n"/>
      <c r="CO296" s="12" t="n"/>
      <c r="CP296" s="11" t="n"/>
      <c r="CQ296" s="11" t="n"/>
      <c r="CR296" s="11" t="n"/>
      <c r="CS296" s="11" t="n"/>
      <c r="CT296" s="12" t="n"/>
      <c r="CU296" s="11" t="n"/>
      <c r="CV296" s="11" t="n"/>
      <c r="CW296" s="11" t="n"/>
      <c r="CX296" s="11" t="n"/>
      <c r="CY296" s="12" t="n"/>
    </row>
    <row r="297" hidden="1" outlineLevel="1">
      <c r="C297" s="57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 hidden="1" outlineLevel="1">
      <c r="C298" s="57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 collapsed="1">
      <c r="C299" s="14" t="inlineStr">
        <is>
          <t>Accrued expenses</t>
        </is>
      </c>
      <c r="D299" s="46" t="n"/>
      <c r="E299" s="46" t="n"/>
      <c r="F299" s="46" t="n"/>
      <c r="G299" s="46" t="n"/>
      <c r="H299" s="12" t="n"/>
      <c r="I299" s="46">
        <f>'Inputs (2)'!D29</f>
        <v>57.887</v>
      </c>
      <c r="J299" s="46">
        <f>'Inputs (2)'!E29</f>
        <v>33.676</v>
      </c>
      <c r="K299" s="46">
        <f>'Inputs (2)'!F29</f>
        <v>38.093</v>
      </c>
      <c r="L299" s="46">
        <f>'Inputs (2)'!G29</f>
        <v>44.866</v>
      </c>
      <c r="M299" s="12">
        <f>'Inputs (2)'!H29</f>
        <v>44.866</v>
      </c>
      <c r="N299" s="46">
        <f>'Inputs (2)'!I29</f>
        <v>49.435</v>
      </c>
      <c r="O299" s="46">
        <f>'Inputs (2)'!J29</f>
        <v>37.285</v>
      </c>
      <c r="P299" s="46">
        <f>'Inputs (2)'!K29</f>
        <v>40.193</v>
      </c>
      <c r="Q299" s="46">
        <f>'Inputs (2)'!L29</f>
        <v>45.325</v>
      </c>
      <c r="R299" s="12">
        <f>'Inputs (2)'!M29</f>
        <v>45.325</v>
      </c>
      <c r="S299" s="46">
        <f>'Inputs (2)'!N29</f>
        <v>51.044</v>
      </c>
      <c r="T299" s="46">
        <f>'Inputs (2)'!O29</f>
        <v>38.889</v>
      </c>
      <c r="U299" s="46">
        <f>'Inputs (2)'!P29</f>
        <v>46.145</v>
      </c>
      <c r="V299" s="46">
        <f>'Inputs (2)'!Q29</f>
        <v>45.654</v>
      </c>
      <c r="W299" s="12">
        <f>'Inputs (2)'!R29</f>
        <v>45.654</v>
      </c>
      <c r="X299" s="46">
        <f>'Inputs (2)'!S29</f>
        <v>51.718</v>
      </c>
      <c r="Y299" s="46">
        <f>'Inputs (2)'!T29</f>
        <v>40.977</v>
      </c>
      <c r="Z299" s="46">
        <f>'Inputs (2)'!U29</f>
        <v>48.767</v>
      </c>
      <c r="AA299" s="46">
        <f>'Inputs (2)'!V29</f>
        <v>47.338</v>
      </c>
      <c r="AB299" s="12">
        <f>'Inputs (2)'!W29</f>
        <v>47.338</v>
      </c>
      <c r="AC299" s="46">
        <f>'Inputs (2)'!X29</f>
        <v>53.835</v>
      </c>
      <c r="AD299" s="46">
        <f>'Inputs (2)'!Y29</f>
        <v>47.121</v>
      </c>
      <c r="AE299" s="46">
        <f>'Inputs (2)'!Z29</f>
        <v>51.61</v>
      </c>
      <c r="AF299" s="46">
        <f>'Inputs (2)'!AA29</f>
        <v>47.332</v>
      </c>
      <c r="AG299" s="12">
        <f>'Inputs (2)'!AB29</f>
        <v>47.332</v>
      </c>
      <c r="AH299" s="12">
        <f>'Inputs (2)'!AC29</f>
        <v>54.256</v>
      </c>
      <c r="AI299" s="12">
        <f>'Inputs (2)'!AD29</f>
        <v>47.161</v>
      </c>
      <c r="AJ299" s="12">
        <f>AI299*(1+AJ16)</f>
        <v>54.8596595020981</v>
      </c>
      <c r="AK299" s="12">
        <f>AJ299*(1+AK16)</f>
        <v>63.8150641565306</v>
      </c>
      <c r="AL299" s="12">
        <f>AK299</f>
        <v>63.8150641565306</v>
      </c>
      <c r="AM299" s="12">
        <f>AL299*(1+AM16)</f>
        <v>74.2323676497914</v>
      </c>
      <c r="AN299" s="12">
        <f>AM299*(1+AN16)</f>
        <v>86.3502133818647</v>
      </c>
      <c r="AO299" s="12">
        <f>AN299*(1+AO16)</f>
        <v>100.446201396548</v>
      </c>
      <c r="AP299" s="12">
        <f>AO299*(1+AP16)</f>
        <v>116.843247744827</v>
      </c>
      <c r="AQ299" s="12">
        <f>AP299</f>
        <v>116.843247744827</v>
      </c>
      <c r="AR299" s="12">
        <f>AQ299*(1+AR16)</f>
        <v>135.332765725198</v>
      </c>
      <c r="AS299" s="12">
        <f>AR299*(1+AS16)</f>
        <v>156.748103397717</v>
      </c>
      <c r="AT299" s="12">
        <f>AS299*(1+AT16)</f>
        <v>181.552248541734</v>
      </c>
      <c r="AU299" s="12">
        <f>AT299*(1+AU16)</f>
        <v>210.281453083531</v>
      </c>
      <c r="AV299" s="12">
        <f>AU299</f>
        <v>210.281453083531</v>
      </c>
      <c r="AW299" s="12">
        <f>AV299*(1+AW16)</f>
        <v>242.505419301546</v>
      </c>
      <c r="AX299" s="12">
        <f>AW299*(1+AX16)</f>
        <v>279.667452969605</v>
      </c>
      <c r="AY299" s="12">
        <f>AX299*(1+AY16)</f>
        <v>322.524273790559</v>
      </c>
      <c r="AZ299" s="12">
        <f>AY299*(1+AZ16)</f>
        <v>371.948562764767</v>
      </c>
      <c r="BA299" s="12">
        <f>AZ299</f>
        <v>371.948562764767</v>
      </c>
      <c r="BB299" s="12">
        <f>BA299*(1+BB16)</f>
        <v>427.086989526126</v>
      </c>
      <c r="BC299" s="12">
        <f>BB299*(1+BC16)</f>
        <v>490.399251086359</v>
      </c>
      <c r="BD299" s="12">
        <f>BC299*(1+BD16)</f>
        <v>563.097053677282</v>
      </c>
      <c r="BE299" s="12">
        <f>BD299*(1+BE16)</f>
        <v>646.571729376884</v>
      </c>
      <c r="BF299" s="12">
        <f>BE299</f>
        <v>646.571729376884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 hidden="1" outlineLevel="1">
      <c r="C300" s="59" t="inlineStr">
        <is>
          <t>%(Var.)</t>
        </is>
      </c>
      <c r="D300" s="12" t="n"/>
      <c r="E300" s="40" t="n"/>
      <c r="F300" s="40" t="n"/>
      <c r="G300" s="40" t="n"/>
      <c r="H300" s="12" t="n"/>
      <c r="I300" s="40" t="str">
        <f>""</f>
        <v/>
      </c>
      <c r="J300" s="40">
        <f>IFERROR(IF(I299=0,"",J299/I299-1),"")</f>
        <v>-0.418245892860228</v>
      </c>
      <c r="K300" s="40">
        <f>IFERROR(IF(J299=0,"",K299/J299-1),"")</f>
        <v>0.131161658154175</v>
      </c>
      <c r="L300" s="40">
        <f>IFERROR(IF(K299=0,"",L299/K299-1),"")</f>
        <v>0.177801695849631</v>
      </c>
      <c r="M300" s="12">
        <f>IF(L299=0,"",M299/L299-1)</f>
        <v>0</v>
      </c>
      <c r="N300" s="40">
        <f>IFERROR(IF(M299=0,"",N299/M299-1),"")</f>
        <v>0.101836580038337</v>
      </c>
      <c r="O300" s="40">
        <f>IFERROR(IF(N299=0,"",O299/N299-1),"")</f>
        <v>-0.245777283301305</v>
      </c>
      <c r="P300" s="40">
        <f>IFERROR(IF(O299=0,"",P299/O299-1),"")</f>
        <v>0.0779938312994501</v>
      </c>
      <c r="Q300" s="40">
        <f>IFERROR(IF(P299=0,"",Q299/P299-1),"")</f>
        <v>0.127683925061578</v>
      </c>
      <c r="R300" s="12">
        <f>IF(Q299=0,"",R299/Q299-1)</f>
        <v>0</v>
      </c>
      <c r="S300" s="40">
        <f>IFERROR(IF(R299=0,"",S299/R299-1),"")</f>
        <v>0.126177606177606</v>
      </c>
      <c r="T300" s="40">
        <f>IFERROR(IF(S299=0,"",T299/S299-1),"")</f>
        <v>-0.238127889663819</v>
      </c>
      <c r="U300" s="40">
        <f>IFERROR(IF(T299=0,"",U299/T299-1),"")</f>
        <v>0.186582324050503</v>
      </c>
      <c r="V300" s="40">
        <f>IFERROR(IF(U299=0,"",V299/U299-1),"")</f>
        <v>-0.0106403727381081</v>
      </c>
      <c r="W300" s="12">
        <f>IF(V299=0,"",W299/V299-1)</f>
        <v>0</v>
      </c>
      <c r="X300" s="40">
        <f>IFERROR(IF(W299=0,"",X299/W299-1),"")</f>
        <v>0.132825163183949</v>
      </c>
      <c r="Y300" s="40">
        <f>IFERROR(IF(X299=0,"",Y299/X299-1),"")</f>
        <v>-0.207683978498782</v>
      </c>
      <c r="Z300" s="40">
        <f>IFERROR(IF(Y299=0,"",Z299/Y299-1),"")</f>
        <v>0.190106645191205</v>
      </c>
      <c r="AA300" s="40">
        <f>IFERROR(IF(Z299=0,"",AA299/Z299-1),"")</f>
        <v>-0.0293026021694999</v>
      </c>
      <c r="AB300" s="12">
        <f>IF(AA299=0,"",AB299/AA299-1)</f>
        <v>0</v>
      </c>
      <c r="AC300" s="40">
        <f>IFERROR(IF(AB299=0,"",AC299/AB299-1),"")</f>
        <v>0.137247031982762</v>
      </c>
      <c r="AD300" s="40">
        <f>IFERROR(IF(AC299=0,"",AD299/AC299-1),"")</f>
        <v>-0.124714405126776</v>
      </c>
      <c r="AE300" s="40">
        <f>IFERROR(IF(AD299=0,"",AE299/AD299-1),"")</f>
        <v>0.0952653806158612</v>
      </c>
      <c r="AF300" s="55">
        <f>IFERROR(IF(AE299=0,"",AF299/AE299-1),"")</f>
        <v>-0.0828909126138345</v>
      </c>
      <c r="AG300" s="12">
        <f>IF(AF299=0,"",AG299/AF299-1)</f>
        <v>0</v>
      </c>
      <c r="AH300" s="55">
        <f>IFERROR(IF(AG299=0,"",AH299/AG299-1),"")</f>
        <v>0.146285810867912</v>
      </c>
      <c r="AI300" s="55">
        <f>IFERROR(IF(AH299=0,"",AI299/AH299-1),"")</f>
        <v>-0.130768947213211</v>
      </c>
      <c r="AJ300" s="55">
        <f>IFERROR(IF(AI299=0,"",AJ299/AI299-1),"")</f>
        <v>0.163242075064101</v>
      </c>
      <c r="AK300" s="55">
        <f>IF(AJ299=0,"",AK299/AJ299-1)</f>
        <v>0.163242075064101</v>
      </c>
      <c r="AL300" s="12">
        <f>IF(AK299=0,"",AL299/AK299-1)</f>
        <v>0</v>
      </c>
      <c r="AM300" s="55">
        <f>IF(AL299=0,"",AM299/AL299-1)</f>
        <v>0.163242075064101</v>
      </c>
      <c r="AN300" s="55">
        <f>IF(AM299=0,"",AN299/AM299-1)</f>
        <v>0.163242075064101</v>
      </c>
      <c r="AO300" s="55">
        <f>IF(AN299=0,"",AO299/AN299-1)</f>
        <v>0.163242075064101</v>
      </c>
      <c r="AP300" s="55">
        <f>IF(AO299=0,"",AP299/AO299-1)</f>
        <v>0.163242075064101</v>
      </c>
      <c r="AQ300" s="12">
        <f>IF(AP299=0,"",AQ299/AP299-1)</f>
        <v>0</v>
      </c>
      <c r="AR300" s="55">
        <f>IF(AQ299=0,"",AR299/AQ299-1)</f>
        <v>0.158242075064101</v>
      </c>
      <c r="AS300" s="55">
        <f>IF(AR299=0,"",AS299/AR299-1)</f>
        <v>0.158242075064101</v>
      </c>
      <c r="AT300" s="55">
        <f>IF(AS299=0,"",AT299/AS299-1)</f>
        <v>0.158242075064101</v>
      </c>
      <c r="AU300" s="55">
        <f>IF(AT299=0,"",AU299/AT299-1)</f>
        <v>0.158242075064101</v>
      </c>
      <c r="AV300" s="12">
        <f>IF(AU299=0,"",AV299/AU299-1)</f>
        <v>0</v>
      </c>
      <c r="AW300" s="55">
        <f>IF(AV299=0,"",AW299/AV299-1)</f>
        <v>0.153242075064101</v>
      </c>
      <c r="AX300" s="55">
        <f>IF(AW299=0,"",AX299/AW299-1)</f>
        <v>0.153242075064101</v>
      </c>
      <c r="AY300" s="55">
        <f>IF(AX299=0,"",AY299/AX299-1)</f>
        <v>0.153242075064101</v>
      </c>
      <c r="AZ300" s="55">
        <f>IF(AY299=0,"",AZ299/AY299-1)</f>
        <v>0.153242075064101</v>
      </c>
      <c r="BA300" s="12">
        <f>IF(AZ299=0,"",BA299/AZ299-1)</f>
        <v>0</v>
      </c>
      <c r="BB300" s="55">
        <f>IF(BA299=0,"",BB299/BA299-1)</f>
        <v>0.148242075064101</v>
      </c>
      <c r="BC300" s="55">
        <f>IF(BB299=0,"",BC299/BB299-1)</f>
        <v>0.148242075064101</v>
      </c>
      <c r="BD300" s="55">
        <f>IF(BC299=0,"",BD299/BC299-1)</f>
        <v>0.148242075064101</v>
      </c>
      <c r="BE300" s="55">
        <f>IF(BD299=0,"",BE299/BD299-1)</f>
        <v>0.148242075064101</v>
      </c>
      <c r="BF300" s="12">
        <f>IF(BE299=0,"",BF299/BE299-1)</f>
        <v>0</v>
      </c>
      <c r="BG300" s="55" t="n"/>
      <c r="BH300" s="55" t="n"/>
      <c r="BI300" s="55" t="n"/>
      <c r="BJ300" s="55" t="n"/>
      <c r="BK300" s="12" t="n"/>
      <c r="BL300" s="55" t="n"/>
      <c r="BM300" s="55" t="n"/>
      <c r="BN300" s="55" t="n"/>
      <c r="BO300" s="55" t="n"/>
      <c r="BP300" s="12" t="n"/>
      <c r="BQ300" s="55" t="n"/>
      <c r="BR300" s="55" t="n"/>
      <c r="BS300" s="55" t="n"/>
      <c r="BT300" s="55" t="n"/>
      <c r="BU300" s="12" t="n"/>
      <c r="BV300" s="55" t="n"/>
      <c r="BW300" s="55" t="n"/>
      <c r="BX300" s="55" t="n"/>
      <c r="BY300" s="55" t="n"/>
      <c r="BZ300" s="12" t="n"/>
      <c r="CA300" s="55" t="n"/>
      <c r="CB300" s="55" t="n"/>
      <c r="CC300" s="55" t="n"/>
      <c r="CD300" s="55" t="n"/>
      <c r="CE300" s="12" t="n"/>
      <c r="CF300" s="55" t="n"/>
      <c r="CG300" s="55" t="n"/>
      <c r="CH300" s="55" t="n"/>
      <c r="CI300" s="55" t="n"/>
      <c r="CJ300" s="12" t="n"/>
      <c r="CK300" s="55" t="n"/>
      <c r="CL300" s="55" t="n"/>
      <c r="CM300" s="55" t="n"/>
      <c r="CN300" s="55" t="n"/>
      <c r="CO300" s="12" t="n"/>
      <c r="CP300" s="55" t="n"/>
      <c r="CQ300" s="55" t="n"/>
      <c r="CR300" s="55" t="n"/>
      <c r="CS300" s="55" t="n"/>
      <c r="CT300" s="12" t="n"/>
      <c r="CU300" s="55" t="n"/>
      <c r="CV300" s="55" t="n"/>
      <c r="CW300" s="55" t="n"/>
      <c r="CX300" s="55" t="n"/>
      <c r="CY300" s="12" t="n"/>
    </row>
    <row r="301" collapsed="1">
      <c r="C301" s="14" t="inlineStr">
        <is>
          <t>Taxes payable</t>
        </is>
      </c>
      <c r="D301" s="46" t="n"/>
      <c r="E301" s="46" t="n"/>
      <c r="F301" s="46" t="n"/>
      <c r="G301" s="46" t="n"/>
      <c r="H301" s="12" t="n"/>
      <c r="I301" s="46">
        <f>'Inputs (2)'!D30</f>
        <v>68.11</v>
      </c>
      <c r="J301" s="46">
        <f>'Inputs (2)'!E30</f>
        <v>87.52</v>
      </c>
      <c r="K301" s="46">
        <f>'Inputs (2)'!F30</f>
        <v>104.389</v>
      </c>
      <c r="L301" s="46">
        <f>'Inputs (2)'!G30</f>
        <v>115.952</v>
      </c>
      <c r="M301" s="12">
        <f>'Inputs (2)'!H30</f>
        <v>115.952</v>
      </c>
      <c r="N301" s="46">
        <f>'Inputs (2)'!I30</f>
        <v>89.648</v>
      </c>
      <c r="O301" s="46">
        <f>'Inputs (2)'!J30</f>
        <v>103.913</v>
      </c>
      <c r="P301" s="46">
        <f>'Inputs (2)'!K30</f>
        <v>147.667</v>
      </c>
      <c r="Q301" s="46">
        <f>'Inputs (2)'!L30</f>
        <v>197.448</v>
      </c>
      <c r="R301" s="12">
        <f>'Inputs (2)'!M30</f>
        <v>197.448</v>
      </c>
      <c r="S301" s="46">
        <f>'Inputs (2)'!N30</f>
        <v>122.435</v>
      </c>
      <c r="T301" s="46">
        <f>'Inputs (2)'!O30</f>
        <v>155.508</v>
      </c>
      <c r="U301" s="46">
        <f>'Inputs (2)'!P30</f>
        <v>184.291</v>
      </c>
      <c r="V301" s="46">
        <f>'Inputs (2)'!Q30</f>
        <v>161.876</v>
      </c>
      <c r="W301" s="12">
        <f>'Inputs (2)'!R30</f>
        <v>161.876</v>
      </c>
      <c r="X301" s="46">
        <f>'Inputs (2)'!S30</f>
        <v>140.937</v>
      </c>
      <c r="Y301" s="46">
        <f>'Inputs (2)'!T30</f>
        <v>166.263</v>
      </c>
      <c r="Z301" s="46">
        <f>'Inputs (2)'!U30</f>
        <v>177.287</v>
      </c>
      <c r="AA301" s="46">
        <f>'Inputs (2)'!V30</f>
        <v>158.95</v>
      </c>
      <c r="AB301" s="12">
        <f>'Inputs (2)'!W30</f>
        <v>158.95</v>
      </c>
      <c r="AC301" s="46">
        <f>'Inputs (2)'!X30</f>
        <v>128.376</v>
      </c>
      <c r="AD301" s="46">
        <f>'Inputs (2)'!Y30</f>
        <v>157.779</v>
      </c>
      <c r="AE301" s="46">
        <f>'Inputs (2)'!Z30</f>
        <v>185.597</v>
      </c>
      <c r="AF301" s="46">
        <f>'Inputs (2)'!AA30</f>
        <v>160.407</v>
      </c>
      <c r="AG301" s="12">
        <f>'Inputs (2)'!AB30</f>
        <v>160.407</v>
      </c>
      <c r="AH301" s="12">
        <f>'Inputs (2)'!AC30</f>
        <v>176.219</v>
      </c>
      <c r="AI301" s="12">
        <f>'Inputs (2)'!AD30</f>
        <v>208.403</v>
      </c>
      <c r="AJ301" s="12">
        <f>AI301*(1+AJ16)</f>
        <v>242.423138169584</v>
      </c>
      <c r="AK301" s="12">
        <f>AJ301*(1+AK16)</f>
        <v>281.996794287938</v>
      </c>
      <c r="AL301" s="12">
        <f>AK301</f>
        <v>281.996794287938</v>
      </c>
      <c r="AM301" s="12">
        <f>AL301*(1+AM16)</f>
        <v>328.030536148926</v>
      </c>
      <c r="AN301" s="12">
        <f>AM301*(1+AN16)</f>
        <v>381.578921554266</v>
      </c>
      <c r="AO301" s="12">
        <f>AN301*(1+AO16)</f>
        <v>443.868656509506</v>
      </c>
      <c r="AP301" s="12">
        <f>AO301*(1+AP16)</f>
        <v>516.326697054033</v>
      </c>
      <c r="AQ301" s="12">
        <f>AP301</f>
        <v>516.326697054033</v>
      </c>
      <c r="AR301" s="12">
        <f>AQ301*(1+AR16)</f>
        <v>598.031305006857</v>
      </c>
      <c r="AS301" s="12">
        <f>AR301*(1+AS16)</f>
        <v>692.665019664434</v>
      </c>
      <c r="AT301" s="12">
        <f>AS301*(1+AT16)</f>
        <v>802.27376970045</v>
      </c>
      <c r="AU301" s="12">
        <f>AT301*(1+AU16)</f>
        <v>929.227235787348</v>
      </c>
      <c r="AV301" s="12">
        <f>AU301</f>
        <v>929.227235787348</v>
      </c>
      <c r="AW301" s="12">
        <f>AV301*(1+AW16)</f>
        <v>1071.62394560548</v>
      </c>
      <c r="AX301" s="12">
        <f>AW301*(1+AX16)</f>
        <v>1235.84182271844</v>
      </c>
      <c r="AY301" s="12">
        <f>AX301*(1+AY16)</f>
        <v>1425.22478808282</v>
      </c>
      <c r="AZ301" s="12">
        <f>AY301*(1+AZ16)</f>
        <v>1643.62919204142</v>
      </c>
      <c r="BA301" s="12">
        <f>AZ301</f>
        <v>1643.62919204142</v>
      </c>
      <c r="BB301" s="12">
        <f>BA301*(1+BB16)</f>
        <v>1887.28419410558</v>
      </c>
      <c r="BC301" s="12">
        <f>BB301*(1+BC16)</f>
        <v>2167.05911927547</v>
      </c>
      <c r="BD301" s="12">
        <f>BC301*(1+BD16)</f>
        <v>2488.30845990345</v>
      </c>
      <c r="BE301" s="12">
        <f>BD301*(1+BE16)</f>
        <v>2857.18046939909</v>
      </c>
      <c r="BF301" s="12">
        <f>BE301</f>
        <v>2857.18046939909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Other current liabilities (non-debt)</t>
        </is>
      </c>
      <c r="D302" s="46" t="n"/>
      <c r="E302" s="46" t="n"/>
      <c r="F302" s="46" t="n"/>
      <c r="G302" s="46" t="n"/>
      <c r="H302" s="12" t="n"/>
      <c r="I302" s="46">
        <f>'Inputs (2)'!D31</f>
        <v>1017.521</v>
      </c>
      <c r="J302" s="46">
        <f>'Inputs (2)'!E31</f>
        <v>716.26</v>
      </c>
      <c r="K302" s="46">
        <f>'Inputs (2)'!F31</f>
        <v>553.321</v>
      </c>
      <c r="L302" s="46">
        <f>'Inputs (2)'!G31</f>
        <v>787.935</v>
      </c>
      <c r="M302" s="12">
        <f>'Inputs (2)'!H31</f>
        <v>787.935</v>
      </c>
      <c r="N302" s="46">
        <f>'Inputs (2)'!I31</f>
        <v>970.736</v>
      </c>
      <c r="O302" s="46">
        <f>'Inputs (2)'!J31</f>
        <v>684.156</v>
      </c>
      <c r="P302" s="46">
        <f>'Inputs (2)'!K31</f>
        <v>645.214</v>
      </c>
      <c r="Q302" s="46">
        <f>'Inputs (2)'!L31</f>
        <v>916.743</v>
      </c>
      <c r="R302" s="12">
        <f>'Inputs (2)'!M31</f>
        <v>916.743</v>
      </c>
      <c r="S302" s="46">
        <f>'Inputs (2)'!N31</f>
        <v>968.045</v>
      </c>
      <c r="T302" s="46">
        <f>'Inputs (2)'!O31</f>
        <v>482.15</v>
      </c>
      <c r="U302" s="46">
        <f>'Inputs (2)'!P31</f>
        <v>612.618</v>
      </c>
      <c r="V302" s="46">
        <f>'Inputs (2)'!Q31</f>
        <v>705.936</v>
      </c>
      <c r="W302" s="12">
        <f>'Inputs (2)'!R31</f>
        <v>705.936</v>
      </c>
      <c r="X302" s="46">
        <f>'Inputs (2)'!S31</f>
        <v>675.698</v>
      </c>
      <c r="Y302" s="46">
        <f>'Inputs (2)'!T31</f>
        <v>773.89</v>
      </c>
      <c r="Z302" s="46">
        <f>'Inputs (2)'!U31</f>
        <v>465.243</v>
      </c>
      <c r="AA302" s="46">
        <f>'Inputs (2)'!V31</f>
        <v>673.866</v>
      </c>
      <c r="AB302" s="12">
        <f>'Inputs (2)'!W31</f>
        <v>673.866</v>
      </c>
      <c r="AC302" s="46">
        <f>'Inputs (2)'!X31</f>
        <v>611.404</v>
      </c>
      <c r="AD302" s="46">
        <f>'Inputs (2)'!Y31</f>
        <v>660.151</v>
      </c>
      <c r="AE302" s="46">
        <f>'Inputs (2)'!Z31</f>
        <v>565.596</v>
      </c>
      <c r="AF302" s="46">
        <f>'Inputs (2)'!AA31</f>
        <v>695.248</v>
      </c>
      <c r="AG302" s="12">
        <f>'Inputs (2)'!AB31</f>
        <v>695.248</v>
      </c>
      <c r="AH302" s="12">
        <f>'Inputs (2)'!AC31</f>
        <v>498.104</v>
      </c>
      <c r="AI302" s="12">
        <f>'Inputs (2)'!AD31</f>
        <v>596.083</v>
      </c>
      <c r="AJ302" s="12">
        <f>AI302</f>
        <v>596.083</v>
      </c>
      <c r="AK302" s="12">
        <f>AJ302</f>
        <v>596.083</v>
      </c>
      <c r="AL302" s="12">
        <f>AK302</f>
        <v>596.083</v>
      </c>
      <c r="AM302" s="12">
        <f>AL302</f>
        <v>596.083</v>
      </c>
      <c r="AN302" s="12">
        <f>AM302</f>
        <v>596.083</v>
      </c>
      <c r="AO302" s="12">
        <f>AN302</f>
        <v>596.083</v>
      </c>
      <c r="AP302" s="12">
        <f>AO302</f>
        <v>596.083</v>
      </c>
      <c r="AQ302" s="12">
        <f>AP302</f>
        <v>596.083</v>
      </c>
      <c r="AR302" s="12">
        <f>AQ302</f>
        <v>596.083</v>
      </c>
      <c r="AS302" s="12">
        <f>AR302</f>
        <v>596.083</v>
      </c>
      <c r="AT302" s="12">
        <f>AS302</f>
        <v>596.083</v>
      </c>
      <c r="AU302" s="12">
        <f>AT302</f>
        <v>596.083</v>
      </c>
      <c r="AV302" s="12">
        <f>AU302</f>
        <v>596.083</v>
      </c>
      <c r="AW302" s="12">
        <f>AV302</f>
        <v>596.083</v>
      </c>
      <c r="AX302" s="12">
        <f>AW302</f>
        <v>596.083</v>
      </c>
      <c r="AY302" s="12">
        <f>AX302</f>
        <v>596.083</v>
      </c>
      <c r="AZ302" s="12">
        <f>AY302</f>
        <v>596.083</v>
      </c>
      <c r="BA302" s="12">
        <f>AZ302</f>
        <v>596.083</v>
      </c>
      <c r="BB302" s="12">
        <f>BA302</f>
        <v>596.083</v>
      </c>
      <c r="BC302" s="12">
        <f>BB302</f>
        <v>596.083</v>
      </c>
      <c r="BD302" s="12">
        <f>BC302</f>
        <v>596.083</v>
      </c>
      <c r="BE302" s="12">
        <f>BD302</f>
        <v>596.083</v>
      </c>
      <c r="BF302" s="12">
        <f>BE302</f>
        <v>596.083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 hidden="1" outlineLevel="1">
      <c r="C303" s="59" t="inlineStr">
        <is>
          <t>%(Var.)</t>
        </is>
      </c>
      <c r="D303" s="12" t="n"/>
      <c r="E303" s="40" t="n"/>
      <c r="F303" s="40" t="n"/>
      <c r="G303" s="40" t="n"/>
      <c r="H303" s="12" t="n"/>
      <c r="I303" s="40" t="str">
        <f>""</f>
        <v/>
      </c>
      <c r="J303" s="40">
        <f>IFERROR(IF(I302=0,"",J302/I302-1),"")</f>
        <v>-0.296073496271821</v>
      </c>
      <c r="K303" s="40">
        <f>IFERROR(IF(J302=0,"",K302/J302-1),"")</f>
        <v>-0.227485829168179</v>
      </c>
      <c r="L303" s="40">
        <f>IFERROR(IF(K302=0,"",L302/K302-1),"")</f>
        <v>0.424010655659192</v>
      </c>
      <c r="M303" s="12">
        <f>IF(L302=0,"",M302/L302-1)</f>
        <v>0</v>
      </c>
      <c r="N303" s="40">
        <f>IFERROR(IF(M302=0,"",N302/M302-1),"")</f>
        <v>0.232000101531218</v>
      </c>
      <c r="O303" s="40">
        <f>IFERROR(IF(N302=0,"",O302/N302-1),"")</f>
        <v>-0.295219297522705</v>
      </c>
      <c r="P303" s="40">
        <f>IFERROR(IF(O302=0,"",P302/O302-1),"")</f>
        <v>-0.0569197668368031</v>
      </c>
      <c r="Q303" s="40">
        <f>IFERROR(IF(P302=0,"",Q302/P302-1),"")</f>
        <v>0.420835567734116</v>
      </c>
      <c r="R303" s="12">
        <f>IF(Q302=0,"",R302/Q302-1)</f>
        <v>0</v>
      </c>
      <c r="S303" s="40">
        <f>IFERROR(IF(R302=0,"",S302/R302-1),"")</f>
        <v>0.0559611581435582</v>
      </c>
      <c r="T303" s="40">
        <f>IFERROR(IF(S302=0,"",T302/S302-1),"")</f>
        <v>-0.501934310904968</v>
      </c>
      <c r="U303" s="40">
        <f>IFERROR(IF(T302=0,"",U302/T302-1),"")</f>
        <v>0.270596287462408</v>
      </c>
      <c r="V303" s="40">
        <f>IFERROR(IF(U302=0,"",V302/U302-1),"")</f>
        <v>0.152326572186909</v>
      </c>
      <c r="W303" s="12">
        <f>IF(V302=0,"",W302/V302-1)</f>
        <v>0</v>
      </c>
      <c r="X303" s="40">
        <f>IFERROR(IF(W302=0,"",X302/W302-1),"")</f>
        <v>-0.0428339112894087</v>
      </c>
      <c r="Y303" s="40">
        <f>IFERROR(IF(X302=0,"",Y302/X302-1),"")</f>
        <v>0.14531935864839</v>
      </c>
      <c r="Z303" s="40">
        <f>IFERROR(IF(Y302=0,"",Z302/Y302-1),"")</f>
        <v>-0.398825414464588</v>
      </c>
      <c r="AA303" s="40">
        <f>IFERROR(IF(Z302=0,"",AA302/Z302-1),"")</f>
        <v>0.448417278712415</v>
      </c>
      <c r="AB303" s="12">
        <f>IF(AA302=0,"",AB302/AA302-1)</f>
        <v>0</v>
      </c>
      <c r="AC303" s="40">
        <f>IFERROR(IF(AB302=0,"",AC302/AB302-1),"")</f>
        <v>-0.0926920188880281</v>
      </c>
      <c r="AD303" s="40">
        <f>IFERROR(IF(AC302=0,"",AD302/AC302-1),"")</f>
        <v>0.0797296059561272</v>
      </c>
      <c r="AE303" s="40">
        <f>IFERROR(IF(AD302=0,"",AE302/AD302-1),"")</f>
        <v>-0.143232381682373</v>
      </c>
      <c r="AF303" s="55">
        <f>IFERROR(IF(AE302=0,"",AF302/AE302-1),"")</f>
        <v>0.229230758350484</v>
      </c>
      <c r="AG303" s="12">
        <f>IF(AF302=0,"",AG302/AF302-1)</f>
        <v>0</v>
      </c>
      <c r="AH303" s="55">
        <f>IFERROR(IF(AG302=0,"",AH302/AG302-1),"")</f>
        <v>-0.283559247923043</v>
      </c>
      <c r="AI303" s="55">
        <f>IFERROR(IF(AH302=0,"",AI302/AH302-1),"")</f>
        <v>0.196703901193325</v>
      </c>
      <c r="AJ303" s="55">
        <f>IFERROR(IF(AI302=0,"",AJ302/AI302-1),"")</f>
        <v>0</v>
      </c>
      <c r="AK303" s="55">
        <f>IFERROR(IF(AJ302=0,"",AK302/AJ302-1),"")</f>
        <v>0</v>
      </c>
      <c r="AL303" s="12">
        <f>IFERROR(IF(AK302=0,"",AL302/AK302-1),"")</f>
        <v>0</v>
      </c>
      <c r="AM303" s="55">
        <f>IFERROR(IF(AL302=0,"",AM302/AL302-1),"")</f>
        <v>0</v>
      </c>
      <c r="AN303" s="55">
        <f>IFERROR(IF(AM302=0,"",AN302/AM302-1),"")</f>
        <v>0</v>
      </c>
      <c r="AO303" s="55">
        <f>IFERROR(IF(AN302=0,"",AO302/AN302-1),"")</f>
        <v>0</v>
      </c>
      <c r="AP303" s="55">
        <f>IFERROR(IF(AO302=0,"",AP302/AO302-1),"")</f>
        <v>0</v>
      </c>
      <c r="AQ303" s="12">
        <f>IFERROR(IF(AP302=0,"",AQ302/AP302-1),"")</f>
        <v>0</v>
      </c>
      <c r="AR303" s="55">
        <f>IFERROR(IF(AQ302=0,"",AR302/AQ302-1),"")</f>
        <v>0</v>
      </c>
      <c r="AS303" s="55">
        <f>IFERROR(IF(AR302=0,"",AS302/AR302-1),"")</f>
        <v>0</v>
      </c>
      <c r="AT303" s="55">
        <f>IFERROR(IF(AS302=0,"",AT302/AS302-1),"")</f>
        <v>0</v>
      </c>
      <c r="AU303" s="55">
        <f>IFERROR(IF(AT302=0,"",AU302/AT302-1),"")</f>
        <v>0</v>
      </c>
      <c r="AV303" s="12">
        <f>IFERROR(IF(AU302=0,"",AV302/AU302-1),"")</f>
        <v>0</v>
      </c>
      <c r="AW303" s="55">
        <f>IFERROR(IF(AV302=0,"",AW302/AV302-1),"")</f>
        <v>0</v>
      </c>
      <c r="AX303" s="55">
        <f>IFERROR(IF(AW302=0,"",AX302/AW302-1),"")</f>
        <v>0</v>
      </c>
      <c r="AY303" s="55">
        <f>IFERROR(IF(AX302=0,"",AY302/AX302-1),"")</f>
        <v>0</v>
      </c>
      <c r="AZ303" s="55">
        <f>IFERROR(IF(AY302=0,"",AZ302/AY302-1),"")</f>
        <v>0</v>
      </c>
      <c r="BA303" s="12">
        <f>IFERROR(IF(AZ302=0,"",BA302/AZ302-1),"")</f>
        <v>0</v>
      </c>
      <c r="BB303" s="55">
        <f>IFERROR(IF(BA302=0,"",BB302/BA302-1),"")</f>
        <v>0</v>
      </c>
      <c r="BC303" s="55">
        <f>IFERROR(IF(BB302=0,"",BC302/BB302-1),"")</f>
        <v>0</v>
      </c>
      <c r="BD303" s="55">
        <f>IFERROR(IF(BC302=0,"",BD302/BC302-1),"")</f>
        <v>0</v>
      </c>
      <c r="BE303" s="55">
        <f>IFERROR(IF(BD302=0,"",BE302/BD302-1),"")</f>
        <v>0</v>
      </c>
      <c r="BF303" s="12">
        <f>IFERROR(IF(BE302=0,"",BF302/BE302-1),"")</f>
        <v>0</v>
      </c>
      <c r="BG303" s="55" t="n"/>
      <c r="BH303" s="55" t="n"/>
      <c r="BI303" s="55" t="n"/>
      <c r="BJ303" s="55" t="n"/>
      <c r="BK303" s="12" t="n"/>
      <c r="BL303" s="55" t="n"/>
      <c r="BM303" s="55" t="n"/>
      <c r="BN303" s="55" t="n"/>
      <c r="BO303" s="55" t="n"/>
      <c r="BP303" s="12" t="n"/>
      <c r="BQ303" s="55" t="n"/>
      <c r="BR303" s="55" t="n"/>
      <c r="BS303" s="55" t="n"/>
      <c r="BT303" s="55" t="n"/>
      <c r="BU303" s="12" t="n"/>
      <c r="BV303" s="55" t="n"/>
      <c r="BW303" s="55" t="n"/>
      <c r="BX303" s="55" t="n"/>
      <c r="BY303" s="55" t="n"/>
      <c r="BZ303" s="12" t="n"/>
      <c r="CA303" s="55" t="n"/>
      <c r="CB303" s="55" t="n"/>
      <c r="CC303" s="55" t="n"/>
      <c r="CD303" s="55" t="n"/>
      <c r="CE303" s="12" t="n"/>
      <c r="CF303" s="55" t="n"/>
      <c r="CG303" s="55" t="n"/>
      <c r="CH303" s="55" t="n"/>
      <c r="CI303" s="55" t="n"/>
      <c r="CJ303" s="12" t="n"/>
      <c r="CK303" s="55" t="n"/>
      <c r="CL303" s="55" t="n"/>
      <c r="CM303" s="55" t="n"/>
      <c r="CN303" s="55" t="n"/>
      <c r="CO303" s="12" t="n"/>
      <c r="CP303" s="55" t="n"/>
      <c r="CQ303" s="55" t="n"/>
      <c r="CR303" s="55" t="n"/>
      <c r="CS303" s="55" t="n"/>
      <c r="CT303" s="12" t="n"/>
      <c r="CU303" s="55" t="n"/>
      <c r="CV303" s="55" t="n"/>
      <c r="CW303" s="55" t="n"/>
      <c r="CX303" s="55" t="n"/>
      <c r="CY303" s="12" t="n"/>
    </row>
    <row r="304" hidden="1" outlineLevel="1">
      <c r="C304" s="57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 hidden="1" outlineLevel="1">
      <c r="C305" s="57" t="inlineStr">
        <is>
          <t xml:space="preserve">Dividendos a Pagar </t>
        </is>
      </c>
      <c r="D305" s="11" t="n"/>
      <c r="E305" s="11" t="n"/>
      <c r="F305" s="11" t="n"/>
      <c r="G305" s="11" t="n"/>
      <c r="H305" s="12" t="n"/>
      <c r="I305" s="11" t="n"/>
      <c r="J305" s="11" t="n"/>
      <c r="K305" s="11" t="n"/>
      <c r="L305" s="11" t="n"/>
      <c r="M305" s="12" t="n"/>
      <c r="N305" s="11" t="n"/>
      <c r="O305" s="11" t="n"/>
      <c r="P305" s="11" t="n"/>
      <c r="Q305" s="11" t="n"/>
      <c r="R305" s="12" t="n"/>
      <c r="S305" s="11" t="n"/>
      <c r="T305" s="11" t="n"/>
      <c r="U305" s="11" t="n"/>
      <c r="V305" s="11" t="n"/>
      <c r="W305" s="12" t="n"/>
      <c r="X305" s="11" t="n"/>
      <c r="Y305" s="11" t="n"/>
      <c r="Z305" s="11" t="n"/>
      <c r="AA305" s="11" t="n"/>
      <c r="AB305" s="12" t="n"/>
      <c r="AC305" s="11" t="n"/>
      <c r="AD305" s="11" t="n"/>
      <c r="AE305" s="11" t="n"/>
      <c r="AF305" s="11" t="n"/>
      <c r="AG305" s="12" t="n"/>
      <c r="AH305" s="11" t="n"/>
      <c r="AI305" s="11" t="n"/>
      <c r="AJ305" s="11" t="n"/>
      <c r="AK305" s="11" t="n"/>
      <c r="AL305" s="12" t="n"/>
      <c r="AM305" s="11" t="n"/>
      <c r="AN305" s="11" t="n"/>
      <c r="AO305" s="11" t="n"/>
      <c r="AP305" s="11" t="n"/>
      <c r="AQ305" s="12" t="n"/>
      <c r="AR305" s="11" t="n"/>
      <c r="AS305" s="11" t="n"/>
      <c r="AT305" s="11" t="n"/>
      <c r="AU305" s="11" t="n"/>
      <c r="AV305" s="12" t="n"/>
      <c r="AW305" s="11" t="n"/>
      <c r="AX305" s="11" t="n"/>
      <c r="AY305" s="11" t="n"/>
      <c r="AZ305" s="11" t="n"/>
      <c r="BA305" s="12" t="n"/>
      <c r="BB305" s="11" t="n"/>
      <c r="BC305" s="11" t="n"/>
      <c r="BD305" s="11" t="n"/>
      <c r="BE305" s="11" t="n"/>
      <c r="BF305" s="12" t="n"/>
      <c r="BG305" s="11" t="n"/>
      <c r="BH305" s="11" t="n"/>
      <c r="BI305" s="11" t="n"/>
      <c r="BJ305" s="11" t="n"/>
      <c r="BK305" s="12" t="n"/>
      <c r="BL305" s="11" t="n"/>
      <c r="BM305" s="11" t="n"/>
      <c r="BN305" s="11" t="n"/>
      <c r="BO305" s="11" t="n"/>
      <c r="BP305" s="12" t="n"/>
      <c r="BQ305" s="11" t="n"/>
      <c r="BR305" s="11" t="n"/>
      <c r="BS305" s="11" t="n"/>
      <c r="BT305" s="11" t="n"/>
      <c r="BU305" s="12" t="n"/>
      <c r="BV305" s="11" t="n"/>
      <c r="BW305" s="11" t="n"/>
      <c r="BX305" s="11" t="n"/>
      <c r="BY305" s="11" t="n"/>
      <c r="BZ305" s="12" t="n"/>
      <c r="CA305" s="11" t="n"/>
      <c r="CB305" s="11" t="n"/>
      <c r="CC305" s="11" t="n"/>
      <c r="CD305" s="11" t="n"/>
      <c r="CE305" s="12" t="n"/>
      <c r="CF305" s="11" t="n"/>
      <c r="CG305" s="11" t="n"/>
      <c r="CH305" s="11" t="n"/>
      <c r="CI305" s="11" t="n"/>
      <c r="CJ305" s="12" t="n"/>
      <c r="CK305" s="11" t="n"/>
      <c r="CL305" s="11" t="n"/>
      <c r="CM305" s="11" t="n"/>
      <c r="CN305" s="11" t="n"/>
      <c r="CO305" s="12" t="n"/>
      <c r="CP305" s="11" t="n"/>
      <c r="CQ305" s="11" t="n"/>
      <c r="CR305" s="11" t="n"/>
      <c r="CS305" s="11" t="n"/>
      <c r="CT305" s="12" t="n"/>
      <c r="CU305" s="11" t="n"/>
      <c r="CV305" s="11" t="n"/>
      <c r="CW305" s="11" t="n"/>
      <c r="CX305" s="11" t="n"/>
      <c r="CY305" s="12" t="n"/>
    </row>
    <row r="306" hidden="1" outlineLevel="1">
      <c r="C306" s="57" t="inlineStr">
        <is>
          <t>Contas a pagar pela aquisição de controladas</t>
        </is>
      </c>
      <c r="D306" s="11" t="n"/>
      <c r="E306" s="11" t="n"/>
      <c r="F306" s="11" t="n"/>
      <c r="G306" s="11" t="n"/>
      <c r="H306" s="12" t="n"/>
      <c r="I306" s="11" t="n"/>
      <c r="J306" s="11" t="n"/>
      <c r="K306" s="11" t="n"/>
      <c r="L306" s="11" t="n"/>
      <c r="M306" s="12" t="n"/>
      <c r="N306" s="11" t="n"/>
      <c r="O306" s="11" t="n"/>
      <c r="P306" s="11" t="n"/>
      <c r="Q306" s="11" t="n"/>
      <c r="R306" s="12" t="n"/>
      <c r="S306" s="11" t="n"/>
      <c r="T306" s="11" t="n"/>
      <c r="U306" s="11" t="n"/>
      <c r="V306" s="11" t="n"/>
      <c r="W306" s="12" t="n"/>
      <c r="X306" s="11" t="n"/>
      <c r="Y306" s="11" t="n"/>
      <c r="Z306" s="11" t="n"/>
      <c r="AA306" s="11" t="n"/>
      <c r="AB306" s="12" t="n"/>
      <c r="AC306" s="11" t="n"/>
      <c r="AD306" s="11" t="n"/>
      <c r="AE306" s="11" t="n"/>
      <c r="AF306" s="11" t="n"/>
      <c r="AG306" s="12" t="n"/>
      <c r="AH306" s="11" t="n"/>
      <c r="AI306" s="11" t="n"/>
      <c r="AJ306" s="11" t="n"/>
      <c r="AK306" s="11" t="n"/>
      <c r="AL306" s="12" t="n"/>
      <c r="AM306" s="11" t="n"/>
      <c r="AN306" s="11" t="n"/>
      <c r="AO306" s="11" t="n"/>
      <c r="AP306" s="11" t="n"/>
      <c r="AQ306" s="12" t="n"/>
      <c r="AR306" s="11" t="n"/>
      <c r="AS306" s="11" t="n"/>
      <c r="AT306" s="11" t="n"/>
      <c r="AU306" s="11" t="n"/>
      <c r="AV306" s="12" t="n"/>
      <c r="AW306" s="11" t="n"/>
      <c r="AX306" s="11" t="n"/>
      <c r="AY306" s="11" t="n"/>
      <c r="AZ306" s="11" t="n"/>
      <c r="BA306" s="12" t="n"/>
      <c r="BB306" s="11" t="n"/>
      <c r="BC306" s="11" t="n"/>
      <c r="BD306" s="11" t="n"/>
      <c r="BE306" s="11" t="n"/>
      <c r="BF306" s="12" t="n"/>
      <c r="BG306" s="11" t="n"/>
      <c r="BH306" s="11" t="n"/>
      <c r="BI306" s="11" t="n"/>
      <c r="BJ306" s="11" t="n"/>
      <c r="BK306" s="12" t="n"/>
      <c r="BL306" s="11" t="n"/>
      <c r="BM306" s="11" t="n"/>
      <c r="BN306" s="11" t="n"/>
      <c r="BO306" s="11" t="n"/>
      <c r="BP306" s="12" t="n"/>
      <c r="BQ306" s="11" t="n"/>
      <c r="BR306" s="11" t="n"/>
      <c r="BS306" s="11" t="n"/>
      <c r="BT306" s="11" t="n"/>
      <c r="BU306" s="12" t="n"/>
      <c r="BV306" s="11" t="n"/>
      <c r="BW306" s="11" t="n"/>
      <c r="BX306" s="11" t="n"/>
      <c r="BY306" s="11" t="n"/>
      <c r="BZ306" s="12" t="n"/>
      <c r="CA306" s="11" t="n"/>
      <c r="CB306" s="11" t="n"/>
      <c r="CC306" s="11" t="n"/>
      <c r="CD306" s="11" t="n"/>
      <c r="CE306" s="12" t="n"/>
      <c r="CF306" s="11" t="n"/>
      <c r="CG306" s="11" t="n"/>
      <c r="CH306" s="11" t="n"/>
      <c r="CI306" s="11" t="n"/>
      <c r="CJ306" s="12" t="n"/>
      <c r="CK306" s="11" t="n"/>
      <c r="CL306" s="11" t="n"/>
      <c r="CM306" s="11" t="n"/>
      <c r="CN306" s="11" t="n"/>
      <c r="CO306" s="12" t="n"/>
      <c r="CP306" s="11" t="n"/>
      <c r="CQ306" s="11" t="n"/>
      <c r="CR306" s="11" t="n"/>
      <c r="CS306" s="11" t="n"/>
      <c r="CT306" s="12" t="n"/>
      <c r="CU306" s="11" t="n"/>
      <c r="CV306" s="11" t="n"/>
      <c r="CW306" s="11" t="n"/>
      <c r="CX306" s="11" t="n"/>
      <c r="CY306" s="12" t="n"/>
    </row>
    <row r="307" hidden="1" outlineLevel="1">
      <c r="C307" s="57" t="inlineStr">
        <is>
          <t>Outros</t>
        </is>
      </c>
      <c r="D307" s="11" t="n"/>
      <c r="E307" s="11" t="n"/>
      <c r="F307" s="11" t="n"/>
      <c r="G307" s="11" t="n"/>
      <c r="H307" s="12" t="n"/>
      <c r="I307" s="11" t="n"/>
      <c r="J307" s="11" t="n"/>
      <c r="K307" s="11" t="n"/>
      <c r="L307" s="11" t="n"/>
      <c r="M307" s="12" t="n"/>
      <c r="N307" s="11" t="n"/>
      <c r="O307" s="11" t="n"/>
      <c r="P307" s="11" t="n"/>
      <c r="Q307" s="11" t="n"/>
      <c r="R307" s="12" t="n"/>
      <c r="S307" s="11" t="n"/>
      <c r="T307" s="11" t="n"/>
      <c r="U307" s="11" t="n"/>
      <c r="V307" s="11" t="n"/>
      <c r="W307" s="12" t="n"/>
      <c r="X307" s="11" t="n"/>
      <c r="Y307" s="11" t="n"/>
      <c r="Z307" s="11" t="n"/>
      <c r="AA307" s="11" t="n"/>
      <c r="AB307" s="12" t="n"/>
      <c r="AC307" s="11" t="n"/>
      <c r="AD307" s="11" t="n"/>
      <c r="AE307" s="11" t="n"/>
      <c r="AF307" s="11" t="n"/>
      <c r="AG307" s="12" t="n"/>
      <c r="AH307" s="11" t="n"/>
      <c r="AI307" s="11" t="n"/>
      <c r="AJ307" s="11" t="n"/>
      <c r="AK307" s="11" t="n"/>
      <c r="AL307" s="12" t="n"/>
      <c r="AM307" s="11" t="n"/>
      <c r="AN307" s="11" t="n"/>
      <c r="AO307" s="11" t="n"/>
      <c r="AP307" s="11" t="n"/>
      <c r="AQ307" s="12" t="n"/>
      <c r="AR307" s="11" t="n"/>
      <c r="AS307" s="11" t="n"/>
      <c r="AT307" s="11" t="n"/>
      <c r="AU307" s="11" t="n"/>
      <c r="AV307" s="12" t="n"/>
      <c r="AW307" s="11" t="n"/>
      <c r="AX307" s="11" t="n"/>
      <c r="AY307" s="11" t="n"/>
      <c r="AZ307" s="11" t="n"/>
      <c r="BA307" s="12" t="n"/>
      <c r="BB307" s="11" t="n"/>
      <c r="BC307" s="11" t="n"/>
      <c r="BD307" s="11" t="n"/>
      <c r="BE307" s="11" t="n"/>
      <c r="BF307" s="12" t="n"/>
      <c r="BG307" s="11" t="n"/>
      <c r="BH307" s="11" t="n"/>
      <c r="BI307" s="11" t="n"/>
      <c r="BJ307" s="11" t="n"/>
      <c r="BK307" s="12" t="n"/>
      <c r="BL307" s="11" t="n"/>
      <c r="BM307" s="11" t="n"/>
      <c r="BN307" s="11" t="n"/>
      <c r="BO307" s="11" t="n"/>
      <c r="BP307" s="12" t="n"/>
      <c r="BQ307" s="11" t="n"/>
      <c r="BR307" s="11" t="n"/>
      <c r="BS307" s="11" t="n"/>
      <c r="BT307" s="11" t="n"/>
      <c r="BU307" s="12" t="n"/>
      <c r="BV307" s="11" t="n"/>
      <c r="BW307" s="11" t="n"/>
      <c r="BX307" s="11" t="n"/>
      <c r="BY307" s="11" t="n"/>
      <c r="BZ307" s="12" t="n"/>
      <c r="CA307" s="11" t="n"/>
      <c r="CB307" s="11" t="n"/>
      <c r="CC307" s="11" t="n"/>
      <c r="CD307" s="11" t="n"/>
      <c r="CE307" s="12" t="n"/>
      <c r="CF307" s="11" t="n"/>
      <c r="CG307" s="11" t="n"/>
      <c r="CH307" s="11" t="n"/>
      <c r="CI307" s="11" t="n"/>
      <c r="CJ307" s="12" t="n"/>
      <c r="CK307" s="11" t="n"/>
      <c r="CL307" s="11" t="n"/>
      <c r="CM307" s="11" t="n"/>
      <c r="CN307" s="11" t="n"/>
      <c r="CO307" s="12" t="n"/>
      <c r="CP307" s="11" t="n"/>
      <c r="CQ307" s="11" t="n"/>
      <c r="CR307" s="11" t="n"/>
      <c r="CS307" s="11" t="n"/>
      <c r="CT307" s="12" t="n"/>
      <c r="CU307" s="11" t="n"/>
      <c r="CV307" s="11" t="n"/>
      <c r="CW307" s="11" t="n"/>
      <c r="CX307" s="11" t="n"/>
      <c r="CY307" s="12" t="n"/>
    </row>
    <row r="308" hidden="1" outlineLevel="1">
      <c r="C308" s="57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 collapsed="1">
      <c r="C309" s="14" t="inlineStr">
        <is>
          <t>Current portion of long-term debt</t>
        </is>
      </c>
      <c r="D309" s="46" t="n"/>
      <c r="E309" s="46" t="n"/>
      <c r="F309" s="46" t="n"/>
      <c r="G309" s="46" t="n"/>
      <c r="H309" s="12" t="n"/>
      <c r="I309" s="46">
        <f>'Inputs (2)'!D32</f>
        <v>1010.158</v>
      </c>
      <c r="J309" s="46">
        <f>'Inputs (2)'!E32</f>
        <v>1125.477</v>
      </c>
      <c r="K309" s="46">
        <f>'Inputs (2)'!F32</f>
        <v>1113.817</v>
      </c>
      <c r="L309" s="46">
        <f>'Inputs (2)'!G32</f>
        <v>951.193</v>
      </c>
      <c r="M309" s="12">
        <f>'Inputs (2)'!H32</f>
        <v>951.193</v>
      </c>
      <c r="N309" s="46">
        <f>'Inputs (2)'!I32</f>
        <v>941.629</v>
      </c>
      <c r="O309" s="46">
        <f>'Inputs (2)'!J32</f>
        <v>767.039</v>
      </c>
      <c r="P309" s="46">
        <f>'Inputs (2)'!K32</f>
        <v>618.058</v>
      </c>
      <c r="Q309" s="46">
        <f>'Inputs (2)'!L32</f>
        <v>1151.029</v>
      </c>
      <c r="R309" s="12">
        <f>'Inputs (2)'!M32</f>
        <v>1151.029</v>
      </c>
      <c r="S309" s="46">
        <f>'Inputs (2)'!N32</f>
        <v>1267.52</v>
      </c>
      <c r="T309" s="46">
        <f>'Inputs (2)'!O32</f>
        <v>1274.878</v>
      </c>
      <c r="U309" s="46">
        <f>'Inputs (2)'!P32</f>
        <v>1818.034</v>
      </c>
      <c r="V309" s="46">
        <f>'Inputs (2)'!Q32</f>
        <v>2135.557</v>
      </c>
      <c r="W309" s="12">
        <f>'Inputs (2)'!R32</f>
        <v>2135.557</v>
      </c>
      <c r="X309" s="46">
        <f>'Inputs (2)'!S32</f>
        <v>2273.316</v>
      </c>
      <c r="Y309" s="46">
        <f>'Inputs (2)'!T32</f>
        <v>2841.633</v>
      </c>
      <c r="Z309" s="46">
        <f>'Inputs (2)'!U32</f>
        <v>2378.841</v>
      </c>
      <c r="AA309" s="46">
        <f>'Inputs (2)'!V32</f>
        <v>1969.051</v>
      </c>
      <c r="AB309" s="12">
        <f>'Inputs (2)'!W32</f>
        <v>1969.051</v>
      </c>
      <c r="AC309" s="46">
        <f>'Inputs (2)'!X32</f>
        <v>1962.814</v>
      </c>
      <c r="AD309" s="46">
        <f>'Inputs (2)'!Y32</f>
        <v>1988.785</v>
      </c>
      <c r="AE309" s="46">
        <f>'Inputs (2)'!Z32</f>
        <v>1419.605</v>
      </c>
      <c r="AF309" s="46">
        <f>'Inputs (2)'!AA32</f>
        <v>1444.647</v>
      </c>
      <c r="AG309" s="12">
        <f>'Inputs (2)'!AB32</f>
        <v>1444.647</v>
      </c>
      <c r="AH309" s="12">
        <f>'Inputs (2)'!AC32</f>
        <v>1492.978</v>
      </c>
      <c r="AI309" s="12">
        <f>'Inputs (2)'!AD32</f>
        <v>1610.14</v>
      </c>
      <c r="AJ309" s="12">
        <f>AI309</f>
        <v>1610.14</v>
      </c>
      <c r="AK309" s="12">
        <f>AJ309</f>
        <v>1610.14</v>
      </c>
      <c r="AL309" s="12">
        <f>AK309</f>
        <v>1610.14</v>
      </c>
      <c r="AM309" s="12">
        <f>AL309</f>
        <v>1610.14</v>
      </c>
      <c r="AN309" s="12">
        <f>AM309</f>
        <v>1610.14</v>
      </c>
      <c r="AO309" s="12">
        <f>AN309</f>
        <v>1610.14</v>
      </c>
      <c r="AP309" s="12">
        <f>AO309</f>
        <v>1610.14</v>
      </c>
      <c r="AQ309" s="12">
        <f>AP309</f>
        <v>1610.14</v>
      </c>
      <c r="AR309" s="12">
        <f>AQ309</f>
        <v>1610.14</v>
      </c>
      <c r="AS309" s="12">
        <f>AR309</f>
        <v>1610.14</v>
      </c>
      <c r="AT309" s="12">
        <f>AS309</f>
        <v>1610.14</v>
      </c>
      <c r="AU309" s="12">
        <f>AT309</f>
        <v>1610.14</v>
      </c>
      <c r="AV309" s="12">
        <f>AU309</f>
        <v>1610.14</v>
      </c>
      <c r="AW309" s="12">
        <f>AV309</f>
        <v>1610.14</v>
      </c>
      <c r="AX309" s="12">
        <f>AW309</f>
        <v>1610.14</v>
      </c>
      <c r="AY309" s="12">
        <f>AX309</f>
        <v>1610.14</v>
      </c>
      <c r="AZ309" s="12">
        <f>AY309</f>
        <v>1610.14</v>
      </c>
      <c r="BA309" s="12">
        <f>AZ309</f>
        <v>1610.14</v>
      </c>
      <c r="BB309" s="12">
        <f>BA309</f>
        <v>1610.14</v>
      </c>
      <c r="BC309" s="12">
        <f>BB309</f>
        <v>1610.14</v>
      </c>
      <c r="BD309" s="12">
        <f>BC309</f>
        <v>1610.14</v>
      </c>
      <c r="BE309" s="12">
        <f>BD309</f>
        <v>1610.14</v>
      </c>
      <c r="BF309" s="12">
        <f>BE309</f>
        <v>1610.14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Short term debt (Revolving credit facility)</t>
        </is>
      </c>
      <c r="D310" s="46" t="n"/>
      <c r="E310" s="46" t="n"/>
      <c r="F310" s="46" t="n"/>
      <c r="G310" s="46" t="n"/>
      <c r="H310" s="12" t="n"/>
      <c r="I310" s="46">
        <f>'Inputs (2)'!D33</f>
        <v>0</v>
      </c>
      <c r="J310" s="46">
        <f>'Inputs (2)'!E33</f>
        <v>0</v>
      </c>
      <c r="K310" s="46">
        <f>'Inputs (2)'!F33</f>
        <v>0</v>
      </c>
      <c r="L310" s="46">
        <f>'Inputs (2)'!G33</f>
        <v>0</v>
      </c>
      <c r="M310" s="12">
        <f>'Inputs (2)'!H33</f>
        <v>0</v>
      </c>
      <c r="N310" s="46">
        <f>'Inputs (2)'!I33</f>
        <v>0</v>
      </c>
      <c r="O310" s="46">
        <f>'Inputs (2)'!J33</f>
        <v>0</v>
      </c>
      <c r="P310" s="46">
        <f>'Inputs (2)'!K33</f>
        <v>0</v>
      </c>
      <c r="Q310" s="46">
        <f>'Inputs (2)'!L33</f>
        <v>0</v>
      </c>
      <c r="R310" s="12">
        <f>'Inputs (2)'!M33</f>
        <v>0</v>
      </c>
      <c r="S310" s="46">
        <f>'Inputs (2)'!N33</f>
        <v>0</v>
      </c>
      <c r="T310" s="46">
        <f>'Inputs (2)'!O33</f>
        <v>0</v>
      </c>
      <c r="U310" s="46">
        <f>'Inputs (2)'!P33</f>
        <v>0</v>
      </c>
      <c r="V310" s="46">
        <f>'Inputs (2)'!Q33</f>
        <v>0</v>
      </c>
      <c r="W310" s="12">
        <f>'Inputs (2)'!R33</f>
        <v>0</v>
      </c>
      <c r="X310" s="46">
        <f>'Inputs (2)'!S33</f>
        <v>0</v>
      </c>
      <c r="Y310" s="46">
        <f>'Inputs (2)'!T33</f>
        <v>0</v>
      </c>
      <c r="Z310" s="46">
        <f>'Inputs (2)'!U33</f>
        <v>0</v>
      </c>
      <c r="AA310" s="46">
        <f>'Inputs (2)'!V33</f>
        <v>0</v>
      </c>
      <c r="AB310" s="12">
        <f>'Inputs (2)'!W33</f>
        <v>0</v>
      </c>
      <c r="AC310" s="46">
        <f>'Inputs (2)'!X33</f>
        <v>0</v>
      </c>
      <c r="AD310" s="46">
        <f>'Inputs (2)'!Y33</f>
        <v>0</v>
      </c>
      <c r="AE310" s="46">
        <f>'Inputs (2)'!Z33</f>
        <v>0</v>
      </c>
      <c r="AF310" s="46">
        <f>'Inputs (2)'!AA33</f>
        <v>0</v>
      </c>
      <c r="AG310" s="12">
        <f>'Inputs (2)'!AB33</f>
        <v>0</v>
      </c>
      <c r="AH310" s="12">
        <f>'Inputs (2)'!AC33</f>
        <v>0</v>
      </c>
      <c r="AI310" s="12">
        <f>'Inputs (2)'!AD33</f>
        <v>0</v>
      </c>
      <c r="AJ310" s="12">
        <f>AI310</f>
        <v>0</v>
      </c>
      <c r="AK310" s="12">
        <f>AJ310</f>
        <v>0</v>
      </c>
      <c r="AL310" s="12">
        <f>AK310</f>
        <v>0</v>
      </c>
      <c r="AM310" s="12">
        <f>AL310</f>
        <v>0</v>
      </c>
      <c r="AN310" s="12">
        <f>AM310</f>
        <v>0</v>
      </c>
      <c r="AO310" s="12">
        <f>AN310</f>
        <v>0</v>
      </c>
      <c r="AP310" s="12">
        <f>AO310</f>
        <v>0</v>
      </c>
      <c r="AQ310" s="12">
        <f>AP310</f>
        <v>0</v>
      </c>
      <c r="AR310" s="12">
        <f>AQ310</f>
        <v>0</v>
      </c>
      <c r="AS310" s="12">
        <f>AR310</f>
        <v>0</v>
      </c>
      <c r="AT310" s="12">
        <f>AS310</f>
        <v>0</v>
      </c>
      <c r="AU310" s="12">
        <f>AT310</f>
        <v>0</v>
      </c>
      <c r="AV310" s="12">
        <f>AU310</f>
        <v>0</v>
      </c>
      <c r="AW310" s="12">
        <f>AV310</f>
        <v>0</v>
      </c>
      <c r="AX310" s="12">
        <f>AW310</f>
        <v>0</v>
      </c>
      <c r="AY310" s="12">
        <f>AX310</f>
        <v>0</v>
      </c>
      <c r="AZ310" s="12">
        <f>AY310</f>
        <v>0</v>
      </c>
      <c r="BA310" s="12">
        <f>AZ310</f>
        <v>0</v>
      </c>
      <c r="BB310" s="12">
        <f>BA310</f>
        <v>0</v>
      </c>
      <c r="BC310" s="12">
        <f>BB310</f>
        <v>0</v>
      </c>
      <c r="BD310" s="12">
        <f>BC310</f>
        <v>0</v>
      </c>
      <c r="BE310" s="12">
        <f>BD310</f>
        <v>0</v>
      </c>
      <c r="BF310" s="12">
        <f>BE310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4" t="inlineStr">
        <is>
          <t>Short term operating leases</t>
        </is>
      </c>
      <c r="D311" s="46" t="n"/>
      <c r="E311" s="46" t="n"/>
      <c r="F311" s="46" t="n"/>
      <c r="G311" s="46" t="n"/>
      <c r="H311" s="12" t="n"/>
      <c r="I311" s="46">
        <f>'Inputs (2)'!D34</f>
        <v>9.107</v>
      </c>
      <c r="J311" s="46">
        <f>'Inputs (2)'!E34</f>
        <v>11.232</v>
      </c>
      <c r="K311" s="46">
        <f>'Inputs (2)'!F34</f>
        <v>9.893</v>
      </c>
      <c r="L311" s="46">
        <f>'Inputs (2)'!G34</f>
        <v>9.706</v>
      </c>
      <c r="M311" s="12">
        <f>'Inputs (2)'!H34</f>
        <v>9.706</v>
      </c>
      <c r="N311" s="46">
        <f>'Inputs (2)'!I34</f>
        <v>10.058</v>
      </c>
      <c r="O311" s="46">
        <f>'Inputs (2)'!J34</f>
        <v>8.535</v>
      </c>
      <c r="P311" s="46">
        <f>'Inputs (2)'!K34</f>
        <v>8.529</v>
      </c>
      <c r="Q311" s="46">
        <f>'Inputs (2)'!L34</f>
        <v>8.531</v>
      </c>
      <c r="R311" s="12">
        <f>'Inputs (2)'!M34</f>
        <v>8.531</v>
      </c>
      <c r="S311" s="46">
        <f>'Inputs (2)'!N34</f>
        <v>8.453</v>
      </c>
      <c r="T311" s="46">
        <f>'Inputs (2)'!O34</f>
        <v>7.48</v>
      </c>
      <c r="U311" s="46">
        <f>'Inputs (2)'!P34</f>
        <v>7.38</v>
      </c>
      <c r="V311" s="46">
        <f>'Inputs (2)'!Q34</f>
        <v>8.075</v>
      </c>
      <c r="W311" s="12">
        <f>'Inputs (2)'!R34</f>
        <v>8.075</v>
      </c>
      <c r="X311" s="46">
        <f>'Inputs (2)'!S34</f>
        <v>9.028</v>
      </c>
      <c r="Y311" s="46">
        <f>'Inputs (2)'!T34</f>
        <v>9.055</v>
      </c>
      <c r="Z311" s="46">
        <f>'Inputs (2)'!U34</f>
        <v>9.088</v>
      </c>
      <c r="AA311" s="46">
        <f>'Inputs (2)'!V34</f>
        <v>9.413</v>
      </c>
      <c r="AB311" s="12">
        <f>'Inputs (2)'!W34</f>
        <v>9.413</v>
      </c>
      <c r="AC311" s="46">
        <f>'Inputs (2)'!X34</f>
        <v>9.545</v>
      </c>
      <c r="AD311" s="46">
        <f>'Inputs (2)'!Y34</f>
        <v>9.268</v>
      </c>
      <c r="AE311" s="46">
        <f>'Inputs (2)'!Z34</f>
        <v>9.962</v>
      </c>
      <c r="AF311" s="46">
        <f>'Inputs (2)'!AA34</f>
        <v>5.995</v>
      </c>
      <c r="AG311" s="12">
        <f>'Inputs (2)'!AB34</f>
        <v>5.995</v>
      </c>
      <c r="AH311" s="12">
        <f>'Inputs (2)'!AC34</f>
        <v>5.772</v>
      </c>
      <c r="AI311" s="12">
        <f>'Inputs (2)'!AD34</f>
        <v>6.263</v>
      </c>
      <c r="AJ311" s="12">
        <f>AI311</f>
        <v>6.263</v>
      </c>
      <c r="AK311" s="12">
        <f>AJ311</f>
        <v>6.263</v>
      </c>
      <c r="AL311" s="12">
        <f>AK311</f>
        <v>6.263</v>
      </c>
      <c r="AM311" s="12">
        <f>AL311</f>
        <v>6.263</v>
      </c>
      <c r="AN311" s="12">
        <f>AM311</f>
        <v>6.263</v>
      </c>
      <c r="AO311" s="12">
        <f>AN311</f>
        <v>6.263</v>
      </c>
      <c r="AP311" s="12">
        <f>AO311</f>
        <v>6.263</v>
      </c>
      <c r="AQ311" s="12">
        <f>AP311</f>
        <v>6.263</v>
      </c>
      <c r="AR311" s="12">
        <f>AQ311</f>
        <v>6.263</v>
      </c>
      <c r="AS311" s="12">
        <f>AR311</f>
        <v>6.263</v>
      </c>
      <c r="AT311" s="12">
        <f>AS311</f>
        <v>6.263</v>
      </c>
      <c r="AU311" s="12">
        <f>AT311</f>
        <v>6.263</v>
      </c>
      <c r="AV311" s="12">
        <f>AU311</f>
        <v>6.263</v>
      </c>
      <c r="AW311" s="12">
        <f>AV311</f>
        <v>6.263</v>
      </c>
      <c r="AX311" s="12">
        <f>AW311</f>
        <v>6.263</v>
      </c>
      <c r="AY311" s="12">
        <f>AX311</f>
        <v>6.263</v>
      </c>
      <c r="AZ311" s="12">
        <f>AY311</f>
        <v>6.263</v>
      </c>
      <c r="BA311" s="12">
        <f>AZ311</f>
        <v>6.263</v>
      </c>
      <c r="BB311" s="12">
        <f>BA311</f>
        <v>6.263</v>
      </c>
      <c r="BC311" s="12">
        <f>BB311</f>
        <v>6.263</v>
      </c>
      <c r="BD311" s="12">
        <f>BC311</f>
        <v>6.263</v>
      </c>
      <c r="BE311" s="12">
        <f>BD311</f>
        <v>6.263</v>
      </c>
      <c r="BF311" s="12">
        <f>BE311</f>
        <v>6.263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</row>
    <row r="312" hidden="1" outlineLevel="1">
      <c r="C312" s="59" t="inlineStr">
        <is>
          <t>%(Var.)</t>
        </is>
      </c>
      <c r="D312" s="12" t="n"/>
      <c r="E312" s="40" t="n"/>
      <c r="F312" s="40" t="n"/>
      <c r="G312" s="40" t="n"/>
      <c r="H312" s="12" t="n"/>
      <c r="I312" s="40" t="str">
        <f>""</f>
        <v/>
      </c>
      <c r="J312" s="40">
        <f>IFERROR(IF(I311=0,"",J311/I311-1),"")</f>
        <v>0.233336993521467</v>
      </c>
      <c r="K312" s="40">
        <f>IFERROR(IF(J311=0,"",K311/J311-1),"")</f>
        <v>-0.119212962962963</v>
      </c>
      <c r="L312" s="40">
        <f>IFERROR(IF(K311=0,"",L311/K311-1),"")</f>
        <v>-0.0189022541190742</v>
      </c>
      <c r="M312" s="12">
        <f>IF(L311=0,"",M311/L311-1)</f>
        <v>0</v>
      </c>
      <c r="N312" s="40">
        <f>IFERROR(IF(M311=0,"",N311/M311-1),"")</f>
        <v>0.0362662270760354</v>
      </c>
      <c r="O312" s="40">
        <f>IFERROR(IF(N311=0,"",O311/N311-1),"")</f>
        <v>-0.151421753827799</v>
      </c>
      <c r="P312" s="40">
        <f>IFERROR(IF(O311=0,"",P311/O311-1),"")</f>
        <v>-0.000702987697715263</v>
      </c>
      <c r="Q312" s="40">
        <f>IFERROR(IF(P311=0,"",Q311/P311-1),"")</f>
        <v>0.00023449407902465</v>
      </c>
      <c r="R312" s="12">
        <f>IF(Q311=0,"",R311/Q311-1)</f>
        <v>0</v>
      </c>
      <c r="S312" s="40">
        <f>IFERROR(IF(R311=0,"",S311/R311-1),"")</f>
        <v>-0.00914312507326232</v>
      </c>
      <c r="T312" s="40">
        <f>IFERROR(IF(S311=0,"",T311/S311-1),"")</f>
        <v>-0.115107062581332</v>
      </c>
      <c r="U312" s="40">
        <f>IFERROR(IF(T311=0,"",U311/T311-1),"")</f>
        <v>-0.0133689839572193</v>
      </c>
      <c r="V312" s="40">
        <f>IFERROR(IF(U311=0,"",V311/U311-1),"")</f>
        <v>0.0941734417344173</v>
      </c>
      <c r="W312" s="12">
        <f>IF(V311=0,"",W311/V311-1)</f>
        <v>0</v>
      </c>
      <c r="X312" s="40">
        <f>IFERROR(IF(W311=0,"",X311/W311-1),"")</f>
        <v>0.118018575851393</v>
      </c>
      <c r="Y312" s="40">
        <f>IFERROR(IF(X311=0,"",Y311/X311-1),"")</f>
        <v>0.00299069561364629</v>
      </c>
      <c r="Z312" s="40">
        <f>IFERROR(IF(Y311=0,"",Z311/Y311-1),"")</f>
        <v>0.00364439536167849</v>
      </c>
      <c r="AA312" s="40">
        <f>IFERROR(IF(Z311=0,"",AA311/Z311-1),"")</f>
        <v>0.035761443661972</v>
      </c>
      <c r="AB312" s="12">
        <f>IF(AA311=0,"",AB311/AA311-1)</f>
        <v>0</v>
      </c>
      <c r="AC312" s="40">
        <f>IFERROR(IF(AB311=0,"",AC311/AB311-1),"")</f>
        <v>0.0140231594603208</v>
      </c>
      <c r="AD312" s="40">
        <f>IFERROR(IF(AC311=0,"",AD311/AC311-1),"")</f>
        <v>-0.029020429544264</v>
      </c>
      <c r="AE312" s="40">
        <f>IFERROR(IF(AD311=0,"",AE311/AD311-1),"")</f>
        <v>0.0748813120414329</v>
      </c>
      <c r="AF312" s="11">
        <f>IFERROR(IF(AE311=0,"",AF311/AE311-1),"")</f>
        <v>-0.398213210198755</v>
      </c>
      <c r="AG312" s="12">
        <f>IF(AF311=0,"",AG311/AF311-1)</f>
        <v>0</v>
      </c>
      <c r="AH312" s="11">
        <f>IFERROR(IF(AG311=0,"",AH311/AG311-1),"")</f>
        <v>-0.0371976647206005</v>
      </c>
      <c r="AI312" s="11">
        <f>IFERROR(IF(AH311=0,"",AI311/AH311-1),"")</f>
        <v>0.0850658350658351</v>
      </c>
      <c r="AJ312" s="11">
        <f>IFERROR(IF(AI311=0,"",AJ311/AI311-1),"")</f>
        <v>0</v>
      </c>
      <c r="AK312" s="11">
        <f>IFERROR(IF(AJ311=0,"",AK311/AJ311-1),"")</f>
        <v>0</v>
      </c>
      <c r="AL312" s="12">
        <f>IFERROR(IF(AK311=0,"",AL311/AK311-1),"")</f>
        <v>0</v>
      </c>
      <c r="AM312" s="11">
        <f>IFERROR(IF(AL311=0,"",AM311/AL311-1),"")</f>
        <v>0</v>
      </c>
      <c r="AN312" s="11">
        <f>IFERROR(IF(AM311=0,"",AN311/AM311-1),"")</f>
        <v>0</v>
      </c>
      <c r="AO312" s="11">
        <f>IFERROR(IF(AN311=0,"",AO311/AN311-1),"")</f>
        <v>0</v>
      </c>
      <c r="AP312" s="11">
        <f>IFERROR(IF(AO311=0,"",AP311/AO311-1),"")</f>
        <v>0</v>
      </c>
      <c r="AQ312" s="12">
        <f>IFERROR(IF(AP311=0,"",AQ311/AP311-1),"")</f>
        <v>0</v>
      </c>
      <c r="AR312" s="11">
        <f>IFERROR(IF(AQ311=0,"",AR311/AQ311-1),"")</f>
        <v>0</v>
      </c>
      <c r="AS312" s="11">
        <f>IFERROR(IF(AR311=0,"",AS311/AR311-1),"")</f>
        <v>0</v>
      </c>
      <c r="AT312" s="11">
        <f>IFERROR(IF(AS311=0,"",AT311/AS311-1),"")</f>
        <v>0</v>
      </c>
      <c r="AU312" s="11">
        <f>IFERROR(IF(AT311=0,"",AU311/AT311-1),"")</f>
        <v>0</v>
      </c>
      <c r="AV312" s="12">
        <f>IFERROR(IF(AU311=0,"",AV311/AU311-1),"")</f>
        <v>0</v>
      </c>
      <c r="AW312" s="11">
        <f>IFERROR(IF(AV311=0,"",AW311/AV311-1),"")</f>
        <v>0</v>
      </c>
      <c r="AX312" s="11">
        <f>IFERROR(IF(AW311=0,"",AX311/AW311-1),"")</f>
        <v>0</v>
      </c>
      <c r="AY312" s="11">
        <f>IFERROR(IF(AX311=0,"",AY311/AX311-1),"")</f>
        <v>0</v>
      </c>
      <c r="AZ312" s="11">
        <f>IFERROR(IF(AY311=0,"",AZ311/AY311-1),"")</f>
        <v>0</v>
      </c>
      <c r="BA312" s="12">
        <f>IFERROR(IF(AZ311=0,"",BA311/AZ311-1),"")</f>
        <v>0</v>
      </c>
      <c r="BB312" s="11">
        <f>IFERROR(IF(BA311=0,"",BB311/BA311-1),"")</f>
        <v>0</v>
      </c>
      <c r="BC312" s="11">
        <f>IFERROR(IF(BB311=0,"",BC311/BB311-1),"")</f>
        <v>0</v>
      </c>
      <c r="BD312" s="11">
        <f>IFERROR(IF(BC311=0,"",BD311/BC311-1),"")</f>
        <v>0</v>
      </c>
      <c r="BE312" s="11">
        <f>IFERROR(IF(BD311=0,"",BE311/BD311-1),"")</f>
        <v>0</v>
      </c>
      <c r="BF312" s="12">
        <f>IFERROR(IF(BE311=0,"",BF311/BE311-1),"")</f>
        <v>0</v>
      </c>
      <c r="BG312" s="11" t="n"/>
      <c r="BH312" s="11" t="n"/>
      <c r="BI312" s="11" t="n"/>
      <c r="BJ312" s="11" t="n"/>
      <c r="BK312" s="12" t="n"/>
      <c r="BL312" s="11" t="n"/>
      <c r="BM312" s="11" t="n"/>
      <c r="BN312" s="11" t="n"/>
      <c r="BO312" s="11" t="n"/>
      <c r="BP312" s="12" t="n"/>
      <c r="BQ312" s="11" t="n"/>
      <c r="BR312" s="11" t="n"/>
      <c r="BS312" s="11" t="n"/>
      <c r="BT312" s="11" t="n"/>
      <c r="BU312" s="12" t="n"/>
      <c r="BV312" s="11" t="n"/>
      <c r="BW312" s="11" t="n"/>
      <c r="BX312" s="11" t="n"/>
      <c r="BY312" s="11" t="n"/>
      <c r="BZ312" s="12" t="n"/>
      <c r="CA312" s="11" t="n"/>
      <c r="CB312" s="11" t="n"/>
      <c r="CC312" s="11" t="n"/>
      <c r="CD312" s="11" t="n"/>
      <c r="CE312" s="12" t="n"/>
      <c r="CF312" s="11" t="n"/>
      <c r="CG312" s="11" t="n"/>
      <c r="CH312" s="11" t="n"/>
      <c r="CI312" s="11" t="n"/>
      <c r="CJ312" s="12" t="n"/>
      <c r="CK312" s="11" t="n"/>
      <c r="CL312" s="11" t="n"/>
      <c r="CM312" s="11" t="n"/>
      <c r="CN312" s="11" t="n"/>
      <c r="CO312" s="12" t="n"/>
      <c r="CP312" s="11" t="n"/>
      <c r="CQ312" s="11" t="n"/>
      <c r="CR312" s="11" t="n"/>
      <c r="CS312" s="11" t="n"/>
      <c r="CT312" s="12" t="n"/>
      <c r="CU312" s="11" t="n"/>
      <c r="CV312" s="11" t="n"/>
      <c r="CW312" s="11" t="n"/>
      <c r="CX312" s="11" t="n"/>
      <c r="CY312" s="12" t="n"/>
    </row>
    <row r="313" hidden="1" outlineLevel="1">
      <c r="C313" s="57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 collapsed="1">
      <c r="C314" s="14" t="inlineStr">
        <is>
          <t>Long term debt</t>
        </is>
      </c>
      <c r="D314" s="46" t="n"/>
      <c r="E314" s="46" t="n"/>
      <c r="F314" s="46" t="n"/>
      <c r="G314" s="46" t="n"/>
      <c r="H314" s="12" t="n"/>
      <c r="I314" s="46">
        <f>'Inputs (2)'!D35</f>
        <v>8105.31</v>
      </c>
      <c r="J314" s="46">
        <f>'Inputs (2)'!E35</f>
        <v>8155.094</v>
      </c>
      <c r="K314" s="46">
        <f>'Inputs (2)'!F35</f>
        <v>8280.777</v>
      </c>
      <c r="L314" s="46">
        <f>'Inputs (2)'!G35</f>
        <v>9096.563</v>
      </c>
      <c r="M314" s="12">
        <f>'Inputs (2)'!H35</f>
        <v>9096.563</v>
      </c>
      <c r="N314" s="46">
        <f>'Inputs (2)'!I35</f>
        <v>8996.11</v>
      </c>
      <c r="O314" s="46">
        <f>'Inputs (2)'!J35</f>
        <v>9967.49</v>
      </c>
      <c r="P314" s="46">
        <f>'Inputs (2)'!K35</f>
        <v>10397.022</v>
      </c>
      <c r="Q314" s="46">
        <f>'Inputs (2)'!L35</f>
        <v>10485.077</v>
      </c>
      <c r="R314" s="12">
        <f>'Inputs (2)'!M35</f>
        <v>10485.077</v>
      </c>
      <c r="S314" s="46">
        <f>'Inputs (2)'!N35</f>
        <v>10460.853</v>
      </c>
      <c r="T314" s="46">
        <f>'Inputs (2)'!O35</f>
        <v>10374.163</v>
      </c>
      <c r="U314" s="46">
        <f>'Inputs (2)'!P35</f>
        <v>9760.44</v>
      </c>
      <c r="V314" s="46">
        <f>'Inputs (2)'!Q35</f>
        <v>9638.874</v>
      </c>
      <c r="W314" s="12">
        <f>'Inputs (2)'!R35</f>
        <v>9638.874</v>
      </c>
      <c r="X314" s="46">
        <f>'Inputs (2)'!S35</f>
        <v>9451.736</v>
      </c>
      <c r="Y314" s="46">
        <f>'Inputs (2)'!T35</f>
        <v>9591.81</v>
      </c>
      <c r="Z314" s="46">
        <f>'Inputs (2)'!U35</f>
        <v>9891.974</v>
      </c>
      <c r="AA314" s="46">
        <f>'Inputs (2)'!V35</f>
        <v>10714.02</v>
      </c>
      <c r="AB314" s="12">
        <f>'Inputs (2)'!W35</f>
        <v>10714.02</v>
      </c>
      <c r="AC314" s="46">
        <f>'Inputs (2)'!X35</f>
        <v>10624.788</v>
      </c>
      <c r="AD314" s="46">
        <f>'Inputs (2)'!Y35</f>
        <v>10743.774</v>
      </c>
      <c r="AE314" s="46">
        <f>'Inputs (2)'!Z35</f>
        <v>11015.652</v>
      </c>
      <c r="AF314" s="46">
        <f>'Inputs (2)'!AA35</f>
        <v>11142.704</v>
      </c>
      <c r="AG314" s="12">
        <f>'Inputs (2)'!AB35</f>
        <v>11142.704</v>
      </c>
      <c r="AH314" s="12">
        <f>'Inputs (2)'!AC35</f>
        <v>13056.939</v>
      </c>
      <c r="AI314" s="12">
        <f>'Inputs (2)'!AD35</f>
        <v>13261.289</v>
      </c>
      <c r="AJ314" s="12">
        <f>AJ320</f>
        <v>13261.289</v>
      </c>
      <c r="AK314" s="12">
        <f>AK320</f>
        <v>13261.289</v>
      </c>
      <c r="AL314" s="12">
        <f>AK314</f>
        <v>13261.289</v>
      </c>
      <c r="AM314" s="12">
        <f>AM320</f>
        <v>13261.289</v>
      </c>
      <c r="AN314" s="12">
        <f>AN320</f>
        <v>13261.289</v>
      </c>
      <c r="AO314" s="12">
        <f>AO320</f>
        <v>13261.289</v>
      </c>
      <c r="AP314" s="12">
        <f>AP320</f>
        <v>13261.289</v>
      </c>
      <c r="AQ314" s="12">
        <f>AP314</f>
        <v>13261.289</v>
      </c>
      <c r="AR314" s="12">
        <f>AR320</f>
        <v>13261.289</v>
      </c>
      <c r="AS314" s="12">
        <f>AS320</f>
        <v>13261.289</v>
      </c>
      <c r="AT314" s="12">
        <f>AT320</f>
        <v>13261.289</v>
      </c>
      <c r="AU314" s="12">
        <f>AU320</f>
        <v>13261.289</v>
      </c>
      <c r="AV314" s="12">
        <f>AU314</f>
        <v>13261.289</v>
      </c>
      <c r="AW314" s="12">
        <f>AW320</f>
        <v>13261.289</v>
      </c>
      <c r="AX314" s="12">
        <f>AX320</f>
        <v>13261.289</v>
      </c>
      <c r="AY314" s="12">
        <f>AY320</f>
        <v>13261.289</v>
      </c>
      <c r="AZ314" s="12">
        <f>AZ320</f>
        <v>13261.289</v>
      </c>
      <c r="BA314" s="12">
        <f>AZ314</f>
        <v>13261.289</v>
      </c>
      <c r="BB314" s="12">
        <f>BB320</f>
        <v>13261.289</v>
      </c>
      <c r="BC314" s="12">
        <f>BC320</f>
        <v>13261.289</v>
      </c>
      <c r="BD314" s="12">
        <f>BD320</f>
        <v>13261.289</v>
      </c>
      <c r="BE314" s="12">
        <f>BE320</f>
        <v>13261.289</v>
      </c>
      <c r="BF314" s="12">
        <f>BE314</f>
        <v>13261.289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 hidden="1" outlineLevel="1">
      <c r="C315" s="57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 hidden="1" outlineLevel="1">
      <c r="C316" s="57" t="inlineStr">
        <is>
          <t>Current portion of LTD</t>
        </is>
      </c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>
        <f>AF309</f>
        <v>1444.647</v>
      </c>
      <c r="AI316" s="62" t="n"/>
      <c r="AJ316" s="62" t="n"/>
      <c r="AK316" s="62" t="n"/>
      <c r="AL316" s="12" t="n"/>
      <c r="AM316" s="12">
        <f>AK309</f>
        <v>1610.14</v>
      </c>
      <c r="AN316" s="62" t="n"/>
      <c r="AO316" s="62" t="n"/>
      <c r="AP316" s="62" t="n"/>
      <c r="AQ316" s="12" t="n"/>
      <c r="AR316" s="12">
        <f>AP309</f>
        <v>1610.14</v>
      </c>
      <c r="AS316" s="62" t="n"/>
      <c r="AT316" s="62" t="n"/>
      <c r="AU316" s="62" t="n"/>
      <c r="AV316" s="12" t="n"/>
      <c r="AW316" s="12">
        <f>AU309</f>
        <v>1610.14</v>
      </c>
      <c r="AX316" s="62" t="n"/>
      <c r="AY316" s="62" t="n"/>
      <c r="AZ316" s="62" t="n"/>
      <c r="BA316" s="12" t="n"/>
      <c r="BB316" s="12">
        <f>AZ309</f>
        <v>1610.14</v>
      </c>
      <c r="BC316" s="62" t="n"/>
      <c r="BD316" s="62" t="n"/>
      <c r="BE316" s="62" t="n"/>
      <c r="BF316" s="12" t="n"/>
      <c r="BG316" s="12" t="n"/>
      <c r="BH316" s="62" t="n"/>
      <c r="BI316" s="62" t="n"/>
      <c r="BJ316" s="62" t="n"/>
      <c r="BK316" s="12" t="n"/>
      <c r="BL316" s="12" t="n"/>
      <c r="BM316" s="62" t="n"/>
      <c r="BN316" s="62" t="n"/>
      <c r="BO316" s="62" t="n"/>
      <c r="BP316" s="12" t="n"/>
      <c r="BQ316" s="12" t="n"/>
      <c r="BR316" s="62" t="n"/>
      <c r="BS316" s="62" t="n"/>
      <c r="BT316" s="62" t="n"/>
      <c r="BU316" s="12" t="n"/>
      <c r="BV316" s="12" t="n"/>
      <c r="BW316" s="62" t="n"/>
      <c r="BX316" s="62" t="n"/>
      <c r="BY316" s="62" t="n"/>
      <c r="BZ316" s="12" t="n"/>
      <c r="CA316" s="12" t="n"/>
      <c r="CB316" s="62" t="n"/>
      <c r="CC316" s="62" t="n"/>
      <c r="CD316" s="62" t="n"/>
      <c r="CE316" s="12" t="n"/>
      <c r="CF316" s="12" t="n"/>
      <c r="CG316" s="62" t="n"/>
      <c r="CH316" s="62" t="n"/>
      <c r="CI316" s="62" t="n"/>
      <c r="CJ316" s="12" t="n"/>
      <c r="CK316" s="12" t="n"/>
      <c r="CL316" s="62" t="n"/>
      <c r="CM316" s="62" t="n"/>
      <c r="CN316" s="62" t="n"/>
      <c r="CO316" s="12" t="n"/>
      <c r="CP316" s="12" t="n"/>
      <c r="CQ316" s="62" t="n"/>
      <c r="CR316" s="62" t="n"/>
      <c r="CS316" s="62" t="n"/>
      <c r="CT316" s="12" t="n"/>
      <c r="CU316" s="12" t="n"/>
      <c r="CV316" s="62" t="n"/>
      <c r="CW316" s="62" t="n"/>
      <c r="CX316" s="62" t="n"/>
      <c r="CY316" s="12" t="n"/>
    </row>
    <row r="317" hidden="1" outlineLevel="1">
      <c r="C317" s="57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  <c r="BJ317" s="12" t="n"/>
      <c r="BK317" s="12" t="n"/>
      <c r="BL317" s="12" t="n"/>
      <c r="BM317" s="12" t="n"/>
      <c r="BN317" s="12" t="n"/>
      <c r="BO317" s="12" t="n"/>
      <c r="BP317" s="12" t="n"/>
      <c r="BQ317" s="12" t="n"/>
      <c r="BR317" s="12" t="n"/>
      <c r="BS317" s="12" t="n"/>
      <c r="BT317" s="12" t="n"/>
      <c r="BU317" s="12" t="n"/>
      <c r="BV317" s="12" t="n"/>
      <c r="BW317" s="12" t="n"/>
      <c r="BX317" s="12" t="n"/>
      <c r="BY317" s="12" t="n"/>
      <c r="BZ317" s="12" t="n"/>
      <c r="CA317" s="12" t="n"/>
      <c r="CB317" s="12" t="n"/>
      <c r="CC317" s="12" t="n"/>
      <c r="CD317" s="12" t="n"/>
      <c r="CE317" s="12" t="n"/>
      <c r="CF317" s="12" t="n"/>
      <c r="CG317" s="12" t="n"/>
      <c r="CH317" s="12" t="n"/>
      <c r="CI317" s="12" t="n"/>
      <c r="CJ317" s="12" t="n"/>
      <c r="CK317" s="12" t="n"/>
      <c r="CL317" s="12" t="n"/>
      <c r="CM317" s="12" t="n"/>
      <c r="CN317" s="12" t="n"/>
      <c r="CO317" s="12" t="n"/>
      <c r="CP317" s="12" t="n"/>
      <c r="CQ317" s="12" t="n"/>
      <c r="CR317" s="12" t="n"/>
      <c r="CS317" s="12" t="n"/>
      <c r="CT317" s="12" t="n"/>
      <c r="CU317" s="12" t="n"/>
      <c r="CV317" s="12" t="n"/>
      <c r="CW317" s="12" t="n"/>
      <c r="CX317" s="12" t="n"/>
      <c r="CY317" s="12" t="n"/>
    </row>
    <row r="318" hidden="1" outlineLevel="1">
      <c r="C318" s="57" t="inlineStr">
        <is>
          <t>Reclassification of LTD to CP of LTD</t>
        </is>
      </c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>
        <f>-AI316</f>
        <v>0</v>
      </c>
      <c r="AJ318" s="12">
        <f>-AJ316</f>
        <v>0</v>
      </c>
      <c r="AK318" s="12">
        <f>-AK316</f>
        <v>0</v>
      </c>
      <c r="AL318" s="12" t="n"/>
      <c r="AM318" s="12" t="n"/>
      <c r="AN318" s="12">
        <f>-AN316</f>
        <v>0</v>
      </c>
      <c r="AO318" s="12">
        <f>-AO316</f>
        <v>0</v>
      </c>
      <c r="AP318" s="12">
        <f>-AP316</f>
        <v>0</v>
      </c>
      <c r="AQ318" s="12" t="n"/>
      <c r="AR318" s="12" t="n"/>
      <c r="AS318" s="12">
        <f>-AS316</f>
        <v>0</v>
      </c>
      <c r="AT318" s="12">
        <f>-AT316</f>
        <v>0</v>
      </c>
      <c r="AU318" s="12">
        <f>-AU316</f>
        <v>0</v>
      </c>
      <c r="AV318" s="12" t="n"/>
      <c r="AW318" s="12" t="n"/>
      <c r="AX318" s="12">
        <f>-AX316</f>
        <v>0</v>
      </c>
      <c r="AY318" s="12">
        <f>-AY316</f>
        <v>0</v>
      </c>
      <c r="AZ318" s="12">
        <f>-AZ316</f>
        <v>0</v>
      </c>
      <c r="BA318" s="12" t="n"/>
      <c r="BB318" s="12" t="n"/>
      <c r="BC318" s="12">
        <f>-BC316</f>
        <v>0</v>
      </c>
      <c r="BD318" s="12">
        <f>-BD316</f>
        <v>0</v>
      </c>
      <c r="BE318" s="12">
        <f>-BE316</f>
        <v>0</v>
      </c>
      <c r="BF318" s="12" t="n"/>
      <c r="BG318" s="12" t="n"/>
      <c r="BH318" s="12" t="n"/>
      <c r="BI318" s="12" t="n"/>
      <c r="BJ318" s="12" t="n"/>
      <c r="BK318" s="12" t="n"/>
      <c r="BL318" s="12" t="n"/>
      <c r="BM318" s="12" t="n"/>
      <c r="BN318" s="12" t="n"/>
      <c r="BO318" s="12" t="n"/>
      <c r="BP318" s="12" t="n"/>
      <c r="BQ318" s="12" t="n"/>
      <c r="BR318" s="12" t="n"/>
      <c r="BS318" s="12" t="n"/>
      <c r="BT318" s="12" t="n"/>
      <c r="BU318" s="12" t="n"/>
      <c r="BV318" s="12" t="n"/>
      <c r="BW318" s="12" t="n"/>
      <c r="BX318" s="12" t="n"/>
      <c r="BY318" s="12" t="n"/>
      <c r="BZ318" s="12" t="n"/>
      <c r="CA318" s="12" t="n"/>
      <c r="CB318" s="12" t="n"/>
      <c r="CC318" s="12" t="n"/>
      <c r="CD318" s="12" t="n"/>
      <c r="CE318" s="12" t="n"/>
      <c r="CF318" s="12" t="n"/>
      <c r="CG318" s="12" t="n"/>
      <c r="CH318" s="12" t="n"/>
      <c r="CI318" s="12" t="n"/>
      <c r="CJ318" s="12" t="n"/>
      <c r="CK318" s="12" t="n"/>
      <c r="CL318" s="12" t="n"/>
      <c r="CM318" s="12" t="n"/>
      <c r="CN318" s="12" t="n"/>
      <c r="CO318" s="12" t="n"/>
      <c r="CP318" s="12" t="n"/>
      <c r="CQ318" s="12" t="n"/>
      <c r="CR318" s="12" t="n"/>
      <c r="CS318" s="12" t="n"/>
      <c r="CT318" s="12" t="n"/>
      <c r="CU318" s="12" t="n"/>
      <c r="CV318" s="12" t="n"/>
      <c r="CW318" s="12" t="n"/>
      <c r="CX318" s="12" t="n"/>
      <c r="CY318" s="12" t="n"/>
    </row>
    <row r="319" hidden="1" outlineLevel="1">
      <c r="C319" s="57" t="inlineStr">
        <is>
          <t>Discretionary (paydown)/borrowing of long term debt</t>
        </is>
      </c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62" t="n"/>
      <c r="AI319" s="62" t="n"/>
      <c r="AJ319" s="62" t="n"/>
      <c r="AK319" s="62" t="n"/>
      <c r="AL319" s="12" t="n"/>
      <c r="AM319" s="62" t="n"/>
      <c r="AN319" s="62" t="n"/>
      <c r="AO319" s="62" t="n"/>
      <c r="AP319" s="62" t="n"/>
      <c r="AQ319" s="12" t="n"/>
      <c r="AR319" s="62" t="n"/>
      <c r="AS319" s="62" t="n"/>
      <c r="AT319" s="62" t="n"/>
      <c r="AU319" s="62" t="n"/>
      <c r="AV319" s="12" t="n"/>
      <c r="AW319" s="62" t="n"/>
      <c r="AX319" s="62" t="n"/>
      <c r="AY319" s="62" t="n"/>
      <c r="AZ319" s="62" t="n"/>
      <c r="BA319" s="12" t="n"/>
      <c r="BB319" s="62" t="n"/>
      <c r="BC319" s="62" t="n"/>
      <c r="BD319" s="62" t="n"/>
      <c r="BE319" s="62" t="n"/>
      <c r="BF319" s="12" t="n"/>
      <c r="BG319" s="62" t="n"/>
      <c r="BH319" s="62" t="n"/>
      <c r="BI319" s="62" t="n"/>
      <c r="BJ319" s="62" t="n"/>
      <c r="BK319" s="12" t="n"/>
      <c r="BL319" s="62" t="n"/>
      <c r="BM319" s="62" t="n"/>
      <c r="BN319" s="62" t="n"/>
      <c r="BO319" s="62" t="n"/>
      <c r="BP319" s="12" t="n"/>
      <c r="BQ319" s="62" t="n"/>
      <c r="BR319" s="62" t="n"/>
      <c r="BS319" s="62" t="n"/>
      <c r="BT319" s="62" t="n"/>
      <c r="BU319" s="12" t="n"/>
      <c r="BV319" s="62" t="n"/>
      <c r="BW319" s="62" t="n"/>
      <c r="BX319" s="62" t="n"/>
      <c r="BY319" s="62" t="n"/>
      <c r="BZ319" s="12" t="n"/>
      <c r="CA319" s="62" t="n"/>
      <c r="CB319" s="62" t="n"/>
      <c r="CC319" s="62" t="n"/>
      <c r="CD319" s="62" t="n"/>
      <c r="CE319" s="12" t="n"/>
      <c r="CF319" s="62" t="n"/>
      <c r="CG319" s="62" t="n"/>
      <c r="CH319" s="62" t="n"/>
      <c r="CI319" s="62" t="n"/>
      <c r="CJ319" s="12" t="n"/>
      <c r="CK319" s="62" t="n"/>
      <c r="CL319" s="62" t="n"/>
      <c r="CM319" s="62" t="n"/>
      <c r="CN319" s="62" t="n"/>
      <c r="CO319" s="12" t="n"/>
      <c r="CP319" s="62" t="n"/>
      <c r="CQ319" s="62" t="n"/>
      <c r="CR319" s="62" t="n"/>
      <c r="CS319" s="62" t="n"/>
      <c r="CT319" s="12" t="n"/>
      <c r="CU319" s="62" t="n"/>
      <c r="CV319" s="62" t="n"/>
      <c r="CW319" s="62" t="n"/>
      <c r="CX319" s="62" t="n"/>
      <c r="CY319" s="12" t="n"/>
    </row>
    <row r="320" hidden="1" outlineLevel="1">
      <c r="C320" s="57" t="inlineStr">
        <is>
          <t>Long term debt</t>
        </is>
      </c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>
        <f>AH314</f>
        <v>13056.939</v>
      </c>
      <c r="AI320" s="12">
        <f>AI314</f>
        <v>13261.289</v>
      </c>
      <c r="AJ320" s="12">
        <f>AI320+SUM(AJ318:AJ319)</f>
        <v>13261.289</v>
      </c>
      <c r="AK320" s="12">
        <f>AJ320+SUM(AK318:AK319)</f>
        <v>13261.289</v>
      </c>
      <c r="AL320" s="12" t="n"/>
      <c r="AM320" s="12">
        <f>AK320+SUM(AM318:AM319)</f>
        <v>13261.289</v>
      </c>
      <c r="AN320" s="12">
        <f>AM320+SUM(AN318:AN319)</f>
        <v>13261.289</v>
      </c>
      <c r="AO320" s="12">
        <f>AN320+SUM(AO318:AO319)</f>
        <v>13261.289</v>
      </c>
      <c r="AP320" s="12">
        <f>AO320+SUM(AP318:AP319)</f>
        <v>13261.289</v>
      </c>
      <c r="AQ320" s="12" t="n"/>
      <c r="AR320" s="12">
        <f>AP320+SUM(AR318:AR319)</f>
        <v>13261.289</v>
      </c>
      <c r="AS320" s="12">
        <f>AR320+SUM(AS318:AS319)</f>
        <v>13261.289</v>
      </c>
      <c r="AT320" s="12">
        <f>AS320+SUM(AT318:AT319)</f>
        <v>13261.289</v>
      </c>
      <c r="AU320" s="12">
        <f>AT320+SUM(AU318:AU319)</f>
        <v>13261.289</v>
      </c>
      <c r="AV320" s="12" t="n"/>
      <c r="AW320" s="12">
        <f>AU320+SUM(AW318:AW319)</f>
        <v>13261.289</v>
      </c>
      <c r="AX320" s="12">
        <f>AW320+SUM(AX318:AX319)</f>
        <v>13261.289</v>
      </c>
      <c r="AY320" s="12">
        <f>AX320+SUM(AY318:AY319)</f>
        <v>13261.289</v>
      </c>
      <c r="AZ320" s="12">
        <f>AY320+SUM(AZ318:AZ319)</f>
        <v>13261.289</v>
      </c>
      <c r="BA320" s="12" t="n"/>
      <c r="BB320" s="12">
        <f>AZ320+SUM(BB318:BB319)</f>
        <v>13261.289</v>
      </c>
      <c r="BC320" s="12">
        <f>BB320+SUM(BC318:BC319)</f>
        <v>13261.289</v>
      </c>
      <c r="BD320" s="12">
        <f>BC320+SUM(BD318:BD319)</f>
        <v>13261.289</v>
      </c>
      <c r="BE320" s="12">
        <f>BD320+SUM(BE318:BE319)</f>
        <v>13261.289</v>
      </c>
      <c r="BF320" s="12" t="n"/>
      <c r="BG320" s="12" t="n"/>
      <c r="BH320" s="12" t="n"/>
      <c r="BI320" s="12" t="n"/>
      <c r="BJ320" s="12" t="n"/>
      <c r="BK320" s="12" t="n"/>
      <c r="BL320" s="12" t="n"/>
      <c r="BM320" s="12" t="n"/>
      <c r="BN320" s="12" t="n"/>
      <c r="BO320" s="12" t="n"/>
      <c r="BP320" s="12" t="n"/>
      <c r="BQ320" s="12" t="n"/>
      <c r="BR320" s="12" t="n"/>
      <c r="BS320" s="12" t="n"/>
      <c r="BT320" s="12" t="n"/>
      <c r="BU320" s="12" t="n"/>
      <c r="BV320" s="12" t="n"/>
      <c r="BW320" s="12" t="n"/>
      <c r="BX320" s="12" t="n"/>
      <c r="BY320" s="12" t="n"/>
      <c r="BZ320" s="12" t="n"/>
      <c r="CA320" s="12" t="n"/>
      <c r="CB320" s="12" t="n"/>
      <c r="CC320" s="12" t="n"/>
      <c r="CD320" s="12" t="n"/>
      <c r="CE320" s="12" t="n"/>
      <c r="CF320" s="12" t="n"/>
      <c r="CG320" s="12" t="n"/>
      <c r="CH320" s="12" t="n"/>
      <c r="CI320" s="12" t="n"/>
      <c r="CJ320" s="12" t="n"/>
      <c r="CK320" s="12" t="n"/>
      <c r="CL320" s="12" t="n"/>
      <c r="CM320" s="12" t="n"/>
      <c r="CN320" s="12" t="n"/>
      <c r="CO320" s="12" t="n"/>
      <c r="CP320" s="12" t="n"/>
      <c r="CQ320" s="12" t="n"/>
      <c r="CR320" s="12" t="n"/>
      <c r="CS320" s="12" t="n"/>
      <c r="CT320" s="12" t="n"/>
      <c r="CU320" s="12" t="n"/>
      <c r="CV320" s="12" t="n"/>
      <c r="CW320" s="12" t="n"/>
      <c r="CX320" s="12" t="n"/>
      <c r="CY320" s="12" t="n"/>
    </row>
    <row r="321" hidden="1" outlineLevel="1">
      <c r="C321" s="57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  <c r="BJ321" s="12" t="n"/>
      <c r="BK321" s="12" t="n"/>
      <c r="BL321" s="12" t="n"/>
      <c r="BM321" s="12" t="n"/>
      <c r="BN321" s="12" t="n"/>
      <c r="BO321" s="12" t="n"/>
      <c r="BP321" s="12" t="n"/>
      <c r="BQ321" s="12" t="n"/>
      <c r="BR321" s="12" t="n"/>
      <c r="BS321" s="12" t="n"/>
      <c r="BT321" s="12" t="n"/>
      <c r="BU321" s="12" t="n"/>
      <c r="BV321" s="12" t="n"/>
      <c r="BW321" s="12" t="n"/>
      <c r="BX321" s="12" t="n"/>
      <c r="BY321" s="12" t="n"/>
      <c r="BZ321" s="12" t="n"/>
      <c r="CA321" s="12" t="n"/>
      <c r="CB321" s="12" t="n"/>
      <c r="CC321" s="12" t="n"/>
      <c r="CD321" s="12" t="n"/>
      <c r="CE321" s="12" t="n"/>
      <c r="CF321" s="12" t="n"/>
      <c r="CG321" s="12" t="n"/>
      <c r="CH321" s="12" t="n"/>
      <c r="CI321" s="12" t="n"/>
      <c r="CJ321" s="12" t="n"/>
      <c r="CK321" s="12" t="n"/>
      <c r="CL321" s="12" t="n"/>
      <c r="CM321" s="12" t="n"/>
      <c r="CN321" s="12" t="n"/>
      <c r="CO321" s="12" t="n"/>
      <c r="CP321" s="12" t="n"/>
      <c r="CQ321" s="12" t="n"/>
      <c r="CR321" s="12" t="n"/>
      <c r="CS321" s="12" t="n"/>
      <c r="CT321" s="12" t="n"/>
      <c r="CU321" s="12" t="n"/>
      <c r="CV321" s="12" t="n"/>
      <c r="CW321" s="12" t="n"/>
      <c r="CX321" s="12" t="n"/>
      <c r="CY321" s="12" t="n"/>
    </row>
    <row r="322" hidden="1" outlineLevel="1">
      <c r="C322" s="57" t="inlineStr">
        <is>
          <t>Discretionary (paydown)/borrowing of convertible debt</t>
        </is>
      </c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62" t="n"/>
      <c r="AI322" s="62" t="n"/>
      <c r="AJ322" s="62" t="n"/>
      <c r="AK322" s="62" t="n"/>
      <c r="AL322" s="12" t="n"/>
      <c r="AM322" s="62" t="n"/>
      <c r="AN322" s="62" t="n"/>
      <c r="AO322" s="62" t="n"/>
      <c r="AP322" s="62" t="n"/>
      <c r="AQ322" s="12" t="n"/>
      <c r="AR322" s="62" t="n"/>
      <c r="AS322" s="62" t="n"/>
      <c r="AT322" s="62" t="n"/>
      <c r="AU322" s="62" t="n"/>
      <c r="AV322" s="12" t="n"/>
      <c r="AW322" s="62" t="n"/>
      <c r="AX322" s="62" t="n"/>
      <c r="AY322" s="62" t="n"/>
      <c r="AZ322" s="62" t="n"/>
      <c r="BA322" s="12" t="n"/>
      <c r="BB322" s="62" t="n"/>
      <c r="BC322" s="62" t="n"/>
      <c r="BD322" s="62" t="n"/>
      <c r="BE322" s="62" t="n"/>
      <c r="BF322" s="12" t="n"/>
      <c r="BG322" s="62" t="n"/>
      <c r="BH322" s="62" t="n"/>
      <c r="BI322" s="62" t="n"/>
      <c r="BJ322" s="62" t="n"/>
      <c r="BK322" s="12" t="n"/>
      <c r="BL322" s="62" t="n"/>
      <c r="BM322" s="62" t="n"/>
      <c r="BN322" s="62" t="n"/>
      <c r="BO322" s="62" t="n"/>
      <c r="BP322" s="12" t="n"/>
      <c r="BQ322" s="62" t="n"/>
      <c r="BR322" s="62" t="n"/>
      <c r="BS322" s="62" t="n"/>
      <c r="BT322" s="62" t="n"/>
      <c r="BU322" s="12" t="n"/>
      <c r="BV322" s="62" t="n"/>
      <c r="BW322" s="62" t="n"/>
      <c r="BX322" s="62" t="n"/>
      <c r="BY322" s="62" t="n"/>
      <c r="BZ322" s="12" t="n"/>
      <c r="CA322" s="62" t="n"/>
      <c r="CB322" s="62" t="n"/>
      <c r="CC322" s="62" t="n"/>
      <c r="CD322" s="62" t="n"/>
      <c r="CE322" s="12" t="n"/>
      <c r="CF322" s="62" t="n"/>
      <c r="CG322" s="62" t="n"/>
      <c r="CH322" s="62" t="n"/>
      <c r="CI322" s="62" t="n"/>
      <c r="CJ322" s="12" t="n"/>
      <c r="CK322" s="62" t="n"/>
      <c r="CL322" s="62" t="n"/>
      <c r="CM322" s="62" t="n"/>
      <c r="CN322" s="62" t="n"/>
      <c r="CO322" s="12" t="n"/>
      <c r="CP322" s="62" t="n"/>
      <c r="CQ322" s="62" t="n"/>
      <c r="CR322" s="62" t="n"/>
      <c r="CS322" s="62" t="n"/>
      <c r="CT322" s="12" t="n"/>
      <c r="CU322" s="62" t="n"/>
      <c r="CV322" s="62" t="n"/>
      <c r="CW322" s="62" t="n"/>
      <c r="CX322" s="62" t="n"/>
      <c r="CY322" s="12" t="n"/>
    </row>
    <row r="323" hidden="1" outlineLevel="1">
      <c r="C323" s="57" t="inlineStr">
        <is>
          <t>Convertible debt</t>
        </is>
      </c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>
        <f>AH335</f>
        <v>0</v>
      </c>
      <c r="AI323" s="12">
        <f>AH323+SUM(AI322)</f>
        <v>0</v>
      </c>
      <c r="AJ323" s="12">
        <f>AI323+SUM(AJ322)</f>
        <v>0</v>
      </c>
      <c r="AK323" s="12">
        <f>AJ323+SUM(AK322)</f>
        <v>0</v>
      </c>
      <c r="AL323" s="12" t="n"/>
      <c r="AM323" s="12">
        <f>AM335</f>
        <v>0</v>
      </c>
      <c r="AN323" s="12">
        <f>AM323+SUM(AN322)</f>
        <v>0</v>
      </c>
      <c r="AO323" s="12">
        <f>AN323+SUM(AO322)</f>
        <v>0</v>
      </c>
      <c r="AP323" s="12">
        <f>AO323+SUM(AP322)</f>
        <v>0</v>
      </c>
      <c r="AQ323" s="12" t="n"/>
      <c r="AR323" s="12">
        <f>AR335</f>
        <v>0</v>
      </c>
      <c r="AS323" s="12">
        <f>AR323+SUM(AS322)</f>
        <v>0</v>
      </c>
      <c r="AT323" s="12">
        <f>AS323+SUM(AT322)</f>
        <v>0</v>
      </c>
      <c r="AU323" s="12">
        <f>AT323+SUM(AU322)</f>
        <v>0</v>
      </c>
      <c r="AV323" s="12" t="n"/>
      <c r="AW323" s="12">
        <f>AW335</f>
        <v>0</v>
      </c>
      <c r="AX323" s="12">
        <f>AW323+SUM(AX322)</f>
        <v>0</v>
      </c>
      <c r="AY323" s="12">
        <f>AX323+SUM(AY322)</f>
        <v>0</v>
      </c>
      <c r="AZ323" s="12">
        <f>AY323+SUM(AZ322)</f>
        <v>0</v>
      </c>
      <c r="BA323" s="12" t="n"/>
      <c r="BB323" s="12">
        <f>BB335</f>
        <v>0</v>
      </c>
      <c r="BC323" s="12">
        <f>BB323+SUM(BC322)</f>
        <v>0</v>
      </c>
      <c r="BD323" s="12">
        <f>BC323+SUM(BD322)</f>
        <v>0</v>
      </c>
      <c r="BE323" s="12">
        <f>BD323+SUM(BE322)</f>
        <v>0</v>
      </c>
      <c r="BF323" s="12" t="n"/>
      <c r="BG323" s="12" t="n"/>
      <c r="BH323" s="12" t="n"/>
      <c r="BI323" s="12" t="n"/>
      <c r="BJ323" s="12" t="n"/>
      <c r="BK323" s="12" t="n"/>
      <c r="BL323" s="12" t="n"/>
      <c r="BM323" s="12" t="n"/>
      <c r="BN323" s="12" t="n"/>
      <c r="BO323" s="12" t="n"/>
      <c r="BP323" s="12" t="n"/>
      <c r="BQ323" s="12" t="n"/>
      <c r="BR323" s="12" t="n"/>
      <c r="BS323" s="12" t="n"/>
      <c r="BT323" s="12" t="n"/>
      <c r="BU323" s="12" t="n"/>
      <c r="BV323" s="12" t="n"/>
      <c r="BW323" s="12" t="n"/>
      <c r="BX323" s="12" t="n"/>
      <c r="BY323" s="12" t="n"/>
      <c r="BZ323" s="12" t="n"/>
      <c r="CA323" s="12" t="n"/>
      <c r="CB323" s="12" t="n"/>
      <c r="CC323" s="12" t="n"/>
      <c r="CD323" s="12" t="n"/>
      <c r="CE323" s="12" t="n"/>
      <c r="CF323" s="12" t="n"/>
      <c r="CG323" s="12" t="n"/>
      <c r="CH323" s="12" t="n"/>
      <c r="CI323" s="12" t="n"/>
      <c r="CJ323" s="12" t="n"/>
      <c r="CK323" s="12" t="n"/>
      <c r="CL323" s="12" t="n"/>
      <c r="CM323" s="12" t="n"/>
      <c r="CN323" s="12" t="n"/>
      <c r="CO323" s="12" t="n"/>
      <c r="CP323" s="12" t="n"/>
      <c r="CQ323" s="12" t="n"/>
      <c r="CR323" s="12" t="n"/>
      <c r="CS323" s="12" t="n"/>
      <c r="CT323" s="12" t="n"/>
      <c r="CU323" s="12" t="n"/>
      <c r="CV323" s="12" t="n"/>
      <c r="CW323" s="12" t="n"/>
      <c r="CX323" s="12" t="n"/>
      <c r="CY323" s="12" t="n"/>
    </row>
    <row r="324" hidden="1" outlineLevel="1">
      <c r="C324" s="57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I324" s="12" t="n"/>
      <c r="AJ324" s="12" t="n"/>
      <c r="AK324" s="12" t="n"/>
      <c r="AL324" s="12" t="n"/>
      <c r="AN324" s="12" t="n"/>
      <c r="AO324" s="12" t="n"/>
      <c r="AP324" s="12" t="n"/>
      <c r="AQ324" s="12" t="n"/>
      <c r="AS324" s="12" t="n"/>
      <c r="AT324" s="12" t="n"/>
      <c r="AU324" s="12" t="n"/>
      <c r="AV324" s="12" t="n"/>
      <c r="AX324" s="12" t="n"/>
      <c r="AY324" s="12" t="n"/>
      <c r="AZ324" s="12" t="n"/>
      <c r="BA324" s="12" t="n"/>
      <c r="BC324" s="12" t="n"/>
      <c r="BD324" s="12" t="n"/>
      <c r="BE324" s="12" t="n"/>
      <c r="BF324" s="12" t="n"/>
      <c r="BH324" s="12" t="n"/>
      <c r="BI324" s="12" t="n"/>
      <c r="BJ324" s="12" t="n"/>
      <c r="BK324" s="12" t="n"/>
      <c r="BM324" s="12" t="n"/>
      <c r="BN324" s="12" t="n"/>
      <c r="BO324" s="12" t="n"/>
      <c r="BP324" s="12" t="n"/>
      <c r="BR324" s="12" t="n"/>
      <c r="BS324" s="12" t="n"/>
      <c r="BT324" s="12" t="n"/>
      <c r="BU324" s="12" t="n"/>
      <c r="BW324" s="12" t="n"/>
      <c r="BX324" s="12" t="n"/>
      <c r="BY324" s="12" t="n"/>
      <c r="BZ324" s="12" t="n"/>
      <c r="CB324" s="12" t="n"/>
      <c r="CC324" s="12" t="n"/>
      <c r="CD324" s="12" t="n"/>
      <c r="CE324" s="12" t="n"/>
      <c r="CG324" s="12" t="n"/>
      <c r="CH324" s="12" t="n"/>
      <c r="CI324" s="12" t="n"/>
      <c r="CJ324" s="12" t="n"/>
      <c r="CL324" s="12" t="n"/>
      <c r="CM324" s="12" t="n"/>
      <c r="CN324" s="12" t="n"/>
      <c r="CO324" s="12" t="n"/>
      <c r="CQ324" s="12" t="n"/>
      <c r="CR324" s="12" t="n"/>
      <c r="CS324" s="12" t="n"/>
      <c r="CT324" s="12" t="n"/>
      <c r="CV324" s="12" t="n"/>
      <c r="CW324" s="12" t="n"/>
      <c r="CX324" s="12" t="n"/>
      <c r="CY324" s="12" t="n"/>
    </row>
    <row r="325" hidden="1" outlineLevel="1">
      <c r="C325" s="57" t="inlineStr">
        <is>
          <t>Calculation of short term debt</t>
        </is>
      </c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  <c r="BJ325" s="12" t="n"/>
      <c r="BK325" s="12" t="n"/>
      <c r="BL325" s="12" t="n"/>
      <c r="BM325" s="12" t="n"/>
      <c r="BN325" s="12" t="n"/>
      <c r="BO325" s="12" t="n"/>
      <c r="BP325" s="12" t="n"/>
      <c r="BQ325" s="12" t="n"/>
      <c r="BR325" s="12" t="n"/>
      <c r="BS325" s="12" t="n"/>
      <c r="BT325" s="12" t="n"/>
      <c r="BU325" s="12" t="n"/>
      <c r="BV325" s="12" t="n"/>
      <c r="BW325" s="12" t="n"/>
      <c r="BX325" s="12" t="n"/>
      <c r="BY325" s="12" t="n"/>
      <c r="BZ325" s="12" t="n"/>
      <c r="CA325" s="12" t="n"/>
      <c r="CB325" s="12" t="n"/>
      <c r="CC325" s="12" t="n"/>
      <c r="CD325" s="12" t="n"/>
      <c r="CE325" s="12" t="n"/>
      <c r="CF325" s="12" t="n"/>
      <c r="CG325" s="12" t="n"/>
      <c r="CH325" s="12" t="n"/>
      <c r="CI325" s="12" t="n"/>
      <c r="CJ325" s="12" t="n"/>
      <c r="CK325" s="12" t="n"/>
      <c r="CL325" s="12" t="n"/>
      <c r="CM325" s="12" t="n"/>
      <c r="CN325" s="12" t="n"/>
      <c r="CO325" s="12" t="n"/>
      <c r="CP325" s="12" t="n"/>
      <c r="CQ325" s="12" t="n"/>
      <c r="CR325" s="12" t="n"/>
      <c r="CS325" s="12" t="n"/>
      <c r="CT325" s="12" t="n"/>
      <c r="CU325" s="12" t="n"/>
      <c r="CV325" s="12" t="n"/>
      <c r="CW325" s="12" t="n"/>
      <c r="CX325" s="12" t="n"/>
      <c r="CY325" s="12" t="n"/>
    </row>
    <row r="326" hidden="1" outlineLevel="1">
      <c r="C326" s="57" t="inlineStr">
        <is>
          <t>Cash @ beginning of the period (end of last period)</t>
        </is>
      </c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63">
        <f>AG241</f>
        <v>3228.621</v>
      </c>
      <c r="AI326" s="12" t="n"/>
      <c r="AJ326" s="12" t="n"/>
      <c r="AK326" s="12" t="n"/>
      <c r="AL326" s="12" t="n"/>
      <c r="AM326" s="63">
        <f>AL241</f>
        <v>6905.92211194956</v>
      </c>
      <c r="AN326" s="12" t="n"/>
      <c r="AO326" s="12" t="n"/>
      <c r="AP326" s="12" t="n"/>
      <c r="AQ326" s="12" t="n"/>
      <c r="AR326" s="63">
        <f>AQ241</f>
        <v>10755.4316617568</v>
      </c>
      <c r="AS326" s="12" t="n"/>
      <c r="AT326" s="12" t="n"/>
      <c r="AU326" s="12" t="n"/>
      <c r="AV326" s="12" t="n"/>
      <c r="AW326" s="63">
        <f>AV241</f>
        <v>15387.7341548397</v>
      </c>
      <c r="AX326" s="12" t="n"/>
      <c r="AY326" s="12" t="n"/>
      <c r="AZ326" s="12" t="n"/>
      <c r="BA326" s="12" t="n"/>
      <c r="BB326" s="63">
        <f>BA241</f>
        <v>21022.1894916382</v>
      </c>
      <c r="BC326" s="12" t="n"/>
      <c r="BD326" s="12" t="n"/>
      <c r="BE326" s="12" t="n"/>
      <c r="BF326" s="12" t="n"/>
      <c r="BG326" s="63" t="n"/>
      <c r="BH326" s="12" t="n"/>
      <c r="BI326" s="12" t="n"/>
      <c r="BJ326" s="12" t="n"/>
      <c r="BK326" s="12" t="n"/>
      <c r="BL326" s="63" t="n"/>
      <c r="BM326" s="12" t="n"/>
      <c r="BN326" s="12" t="n"/>
      <c r="BO326" s="12" t="n"/>
      <c r="BP326" s="12" t="n"/>
      <c r="BQ326" s="63" t="n"/>
      <c r="BR326" s="12" t="n"/>
      <c r="BS326" s="12" t="n"/>
      <c r="BT326" s="12" t="n"/>
      <c r="BU326" s="12" t="n"/>
      <c r="BV326" s="63" t="n"/>
      <c r="BW326" s="12" t="n"/>
      <c r="BX326" s="12" t="n"/>
      <c r="BY326" s="12" t="n"/>
      <c r="BZ326" s="12" t="n"/>
      <c r="CA326" s="63" t="n"/>
      <c r="CB326" s="12" t="n"/>
      <c r="CC326" s="12" t="n"/>
      <c r="CD326" s="12" t="n"/>
      <c r="CE326" s="12" t="n"/>
      <c r="CF326" s="63" t="n"/>
      <c r="CG326" s="12" t="n"/>
      <c r="CH326" s="12" t="n"/>
      <c r="CI326" s="12" t="n"/>
      <c r="CJ326" s="12" t="n"/>
      <c r="CK326" s="63" t="n"/>
      <c r="CL326" s="12" t="n"/>
      <c r="CM326" s="12" t="n"/>
      <c r="CN326" s="12" t="n"/>
      <c r="CO326" s="12" t="n"/>
      <c r="CP326" s="63" t="n"/>
      <c r="CQ326" s="12" t="n"/>
      <c r="CR326" s="12" t="n"/>
      <c r="CS326" s="12" t="n"/>
      <c r="CT326" s="12" t="n"/>
      <c r="CU326" s="63" t="n"/>
      <c r="CV326" s="12" t="n"/>
      <c r="CW326" s="12" t="n"/>
      <c r="CX326" s="12" t="n"/>
      <c r="CY326" s="12" t="n"/>
    </row>
    <row r="327" hidden="1" outlineLevel="1">
      <c r="C327" s="57" t="inlineStr">
        <is>
          <t>Plus: Free cash flows prior to debt during period</t>
        </is>
      </c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inlineStr">
        <is>
          <t>% of sales</t>
        </is>
      </c>
      <c r="AH327" s="64">
        <f>(AH389+AH396)+SUM(AH399:AH405)</f>
        <v>-166.268</v>
      </c>
      <c r="AI327" s="64">
        <f>(AI389+AI396)+SUM(AI399:AI405)</f>
        <v>-153.724999999998</v>
      </c>
      <c r="AJ327" s="64">
        <f>(AJ389+AJ396)+SUM(AJ399:AJ405)</f>
        <v>0</v>
      </c>
      <c r="AK327" s="64">
        <f>(AK389+AK396)+SUM(AK399:AK405)</f>
        <v>0</v>
      </c>
      <c r="AL327" s="12" t="n"/>
      <c r="AM327" s="64">
        <f>(AM389+AM396)+SUM(AM399:AM405)</f>
        <v>0</v>
      </c>
      <c r="AN327" s="64">
        <f>(AN389+AN396)+SUM(AN399:AN405)</f>
        <v>0</v>
      </c>
      <c r="AO327" s="64">
        <f>(AO389+AO396)+SUM(AO399:AO405)</f>
        <v>0</v>
      </c>
      <c r="AP327" s="64">
        <f>(AP389+AP396)+SUM(AP399:AP405)</f>
        <v>0</v>
      </c>
      <c r="AQ327" s="12" t="n"/>
      <c r="AR327" s="64">
        <f>(AR389+AR396)+SUM(AR399:AR405)</f>
        <v>0</v>
      </c>
      <c r="AS327" s="64">
        <f>(AS389+AS396)+SUM(AS399:AS405)</f>
        <v>0</v>
      </c>
      <c r="AT327" s="64">
        <f>(AT389+AT396)+SUM(AT399:AT405)</f>
        <v>0</v>
      </c>
      <c r="AU327" s="64">
        <f>(AU389+AU396)+SUM(AU399:AU405)</f>
        <v>0</v>
      </c>
      <c r="AV327" s="12" t="n"/>
      <c r="AW327" s="64">
        <f>(AW389+AW396)+SUM(AW399:AW405)</f>
        <v>0</v>
      </c>
      <c r="AX327" s="64">
        <f>(AX389+AX396)+SUM(AX399:AX405)</f>
        <v>0</v>
      </c>
      <c r="AY327" s="64">
        <f>(AY389+AY396)+SUM(AY399:AY405)</f>
        <v>0</v>
      </c>
      <c r="AZ327" s="64">
        <f>(AZ389+AZ396)+SUM(AZ399:AZ405)</f>
        <v>0</v>
      </c>
      <c r="BA327" s="12" t="n"/>
      <c r="BB327" s="64">
        <f>(BB389+BB396)+SUM(BB399:BB405)</f>
        <v>0</v>
      </c>
      <c r="BC327" s="64">
        <f>(BC389+BC396)+SUM(BC399:BC405)</f>
        <v>0</v>
      </c>
      <c r="BD327" s="64">
        <f>(BD389+BD396)+SUM(BD399:BD405)</f>
        <v>0</v>
      </c>
      <c r="BE327" s="64">
        <f>(BE389+BE396)+SUM(BE399:BE405)</f>
        <v>0</v>
      </c>
      <c r="BF327" s="12" t="n"/>
      <c r="BG327" s="64" t="n"/>
      <c r="BH327" s="64" t="n"/>
      <c r="BI327" s="64" t="n"/>
      <c r="BJ327" s="64" t="n"/>
      <c r="BK327" s="12" t="n"/>
      <c r="BL327" s="64" t="n"/>
      <c r="BM327" s="64" t="n"/>
      <c r="BN327" s="64" t="n"/>
      <c r="BO327" s="64" t="n"/>
      <c r="BP327" s="12" t="n"/>
      <c r="BQ327" s="64" t="n"/>
      <c r="BR327" s="64" t="n"/>
      <c r="BS327" s="64" t="n"/>
      <c r="BT327" s="64" t="n"/>
      <c r="BU327" s="12" t="n"/>
      <c r="BV327" s="64" t="n"/>
      <c r="BW327" s="64" t="n"/>
      <c r="BX327" s="64" t="n"/>
      <c r="BY327" s="64" t="n"/>
      <c r="BZ327" s="12" t="n"/>
      <c r="CA327" s="64" t="n"/>
      <c r="CB327" s="64" t="n"/>
      <c r="CC327" s="64" t="n"/>
      <c r="CD327" s="64" t="n"/>
      <c r="CE327" s="12" t="n"/>
      <c r="CF327" s="64" t="n"/>
      <c r="CG327" s="64" t="n"/>
      <c r="CH327" s="64" t="n"/>
      <c r="CI327" s="64" t="n"/>
      <c r="CJ327" s="12" t="n"/>
      <c r="CK327" s="64" t="n"/>
      <c r="CL327" s="64" t="n"/>
      <c r="CM327" s="64" t="n"/>
      <c r="CN327" s="64" t="n"/>
      <c r="CO327" s="12" t="n"/>
      <c r="CP327" s="64" t="n"/>
      <c r="CQ327" s="64" t="n"/>
      <c r="CR327" s="64" t="n"/>
      <c r="CS327" s="64" t="n"/>
      <c r="CT327" s="12" t="n"/>
      <c r="CU327" s="64" t="n"/>
      <c r="CV327" s="64" t="n"/>
      <c r="CW327" s="64" t="n"/>
      <c r="CX327" s="64" t="n"/>
      <c r="CY327" s="12" t="n"/>
    </row>
    <row r="328" hidden="1" outlineLevel="1">
      <c r="C328" s="57" t="inlineStr">
        <is>
          <t>Less: Minimum cash balance</t>
        </is>
      </c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52" t="n"/>
      <c r="AH328" s="12">
        <f>($AG$328*AH15)</f>
        <v>0</v>
      </c>
      <c r="AI328" s="12">
        <f>($AG$328*AI15)</f>
        <v>0</v>
      </c>
      <c r="AJ328" s="12">
        <f>($AG$328*AJ15)</f>
        <v>0</v>
      </c>
      <c r="AK328" s="12">
        <f>($AG$328*AK15)</f>
        <v>0</v>
      </c>
      <c r="AL328" s="12" t="n"/>
      <c r="AM328" s="12">
        <f>($AG$328*AM15)</f>
        <v>0</v>
      </c>
      <c r="AN328" s="12">
        <f>($AG$328*AN15)</f>
        <v>0</v>
      </c>
      <c r="AO328" s="12">
        <f>($AG$328*AO15)</f>
        <v>0</v>
      </c>
      <c r="AP328" s="12">
        <f>($AG$328*AP15)</f>
        <v>0</v>
      </c>
      <c r="AQ328" s="12" t="n"/>
      <c r="AR328" s="12">
        <f>($AG$328*AR15)</f>
        <v>0</v>
      </c>
      <c r="AS328" s="12">
        <f>($AG$328*AS15)</f>
        <v>0</v>
      </c>
      <c r="AT328" s="12">
        <f>($AG$328*AT15)</f>
        <v>0</v>
      </c>
      <c r="AU328" s="12">
        <f>($AG$328*AU15)</f>
        <v>0</v>
      </c>
      <c r="AV328" s="12" t="n"/>
      <c r="AW328" s="12">
        <f>($AG$328*AW15)</f>
        <v>0</v>
      </c>
      <c r="AX328" s="12">
        <f>($AG$328*AX15)</f>
        <v>0</v>
      </c>
      <c r="AY328" s="12">
        <f>($AG$328*AY15)</f>
        <v>0</v>
      </c>
      <c r="AZ328" s="12">
        <f>($AG$328*AZ15)</f>
        <v>0</v>
      </c>
      <c r="BA328" s="12" t="n"/>
      <c r="BB328" s="12">
        <f>($AG$328*BB15)</f>
        <v>0</v>
      </c>
      <c r="BC328" s="12">
        <f>($AG$328*BC15)</f>
        <v>0</v>
      </c>
      <c r="BD328" s="12">
        <f>($AG$328*BD15)</f>
        <v>0</v>
      </c>
      <c r="BE328" s="12">
        <f>($AG$328*BE15)</f>
        <v>0</v>
      </c>
      <c r="BF328" s="12" t="n"/>
      <c r="BG328" s="12" t="n"/>
      <c r="BH328" s="12" t="n"/>
      <c r="BI328" s="12" t="n"/>
      <c r="BJ328" s="12" t="n"/>
      <c r="BK328" s="12" t="n"/>
      <c r="BL328" s="12" t="n"/>
      <c r="BM328" s="12" t="n"/>
      <c r="BN328" s="12" t="n"/>
      <c r="BO328" s="12" t="n"/>
      <c r="BP328" s="12" t="n"/>
      <c r="BQ328" s="12" t="n"/>
      <c r="BR328" s="12" t="n"/>
      <c r="BS328" s="12" t="n"/>
      <c r="BT328" s="12" t="n"/>
      <c r="BU328" s="12" t="n"/>
      <c r="BV328" s="12" t="n"/>
      <c r="BW328" s="12" t="n"/>
      <c r="BX328" s="12" t="n"/>
      <c r="BY328" s="12" t="n"/>
      <c r="BZ328" s="12" t="n"/>
      <c r="CA328" s="12" t="n"/>
      <c r="CB328" s="12" t="n"/>
      <c r="CC328" s="12" t="n"/>
      <c r="CD328" s="12" t="n"/>
      <c r="CE328" s="12" t="n"/>
      <c r="CF328" s="12" t="n"/>
      <c r="CG328" s="12" t="n"/>
      <c r="CH328" s="12" t="n"/>
      <c r="CI328" s="12" t="n"/>
      <c r="CJ328" s="12" t="n"/>
      <c r="CK328" s="12" t="n"/>
      <c r="CL328" s="12" t="n"/>
      <c r="CM328" s="12" t="n"/>
      <c r="CN328" s="12" t="n"/>
      <c r="CO328" s="12" t="n"/>
      <c r="CP328" s="12" t="n"/>
      <c r="CQ328" s="12" t="n"/>
      <c r="CR328" s="12" t="n"/>
      <c r="CS328" s="12" t="n"/>
      <c r="CT328" s="12" t="n"/>
      <c r="CU328" s="12" t="n"/>
      <c r="CV328" s="12" t="n"/>
      <c r="CW328" s="12" t="n"/>
      <c r="CX328" s="12" t="n"/>
      <c r="CY328" s="12" t="n"/>
    </row>
    <row r="329" hidden="1" outlineLevel="1">
      <c r="C329" s="57" t="inlineStr">
        <is>
          <t>Total cash available / (debt required) for short term debt paydown</t>
        </is>
      </c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3">
        <f>AH326+AH327-AH328-AF316+AH318+AH322</f>
        <v>3062.353</v>
      </c>
      <c r="AI329" s="3">
        <f>AI326+AI327-AI328-AG316+AI318+AI322</f>
        <v>-153.724999999998</v>
      </c>
      <c r="AJ329" s="3">
        <f>AJ326+AJ327-AJ328-AH316+AJ318+AJ322</f>
        <v>-1444.647</v>
      </c>
      <c r="AK329" s="3">
        <f>AK326+AK327-AK328-AI316+AK318+AK322</f>
        <v>0</v>
      </c>
      <c r="AL329" s="12" t="n"/>
      <c r="AM329" s="3">
        <f>AM326+AM327-AM328-AK316+AM318+AM322</f>
        <v>6905.92211194956</v>
      </c>
      <c r="AN329" s="3">
        <f>AN326+AN327-AN328-AL316+AN318+AN322</f>
        <v>0</v>
      </c>
      <c r="AO329" s="3">
        <f>AO326+AO327-AO328-AM316+AO318+AO322</f>
        <v>-1610.14</v>
      </c>
      <c r="AP329" s="3">
        <f>AP326+AP327-AP328-AN316+AP318+AP322</f>
        <v>0</v>
      </c>
      <c r="AQ329" s="12" t="n"/>
      <c r="AR329" s="3">
        <f>AR326+AR327-AR328-AP316+AR318+AR322</f>
        <v>10755.4316617568</v>
      </c>
      <c r="AS329" s="3">
        <f>AS326+AS327-AS328-AQ316+AS318+AS322</f>
        <v>0</v>
      </c>
      <c r="AT329" s="3">
        <f>AT326+AT327-AT328-AR316+AT318+AT322</f>
        <v>-1610.14</v>
      </c>
      <c r="AU329" s="3">
        <f>AU326+AU327-AU328-AS316+AU318+AU322</f>
        <v>0</v>
      </c>
      <c r="AV329" s="12" t="n"/>
      <c r="AW329" s="3">
        <f>AW326+AW327-AW328-AU316+AW318+AW322</f>
        <v>15387.7341548397</v>
      </c>
      <c r="AX329" s="3">
        <f>AX326+AX327-AX328-AV316+AX318+AX322</f>
        <v>0</v>
      </c>
      <c r="AY329" s="3">
        <f>AY326+AY327-AY328-AW316+AY318+AY322</f>
        <v>-1610.14</v>
      </c>
      <c r="AZ329" s="3">
        <f>AZ326+AZ327-AZ328-AX316+AZ318+AZ322</f>
        <v>0</v>
      </c>
      <c r="BA329" s="12" t="n"/>
      <c r="BB329" s="3">
        <f>BB326+BB327-BB328-AZ316+BB318+BB322</f>
        <v>21022.1894916382</v>
      </c>
      <c r="BC329" s="3">
        <f>BC326+BC327-BC328-BA316+BC318+BC322</f>
        <v>0</v>
      </c>
      <c r="BD329" s="3">
        <f>BD326+BD327-BD328-BB316+BD318+BD322</f>
        <v>-1610.14</v>
      </c>
      <c r="BE329" s="3">
        <f>BE326+BE327-BE328-BC316+BE318+BE322</f>
        <v>0</v>
      </c>
      <c r="BF329" s="12" t="n"/>
      <c r="BG329" s="3" t="n"/>
      <c r="BH329" s="3" t="n"/>
      <c r="BI329" s="3" t="n"/>
      <c r="BJ329" s="3" t="n"/>
      <c r="BK329" s="12" t="n"/>
      <c r="BL329" s="3" t="n"/>
      <c r="BM329" s="3" t="n"/>
      <c r="BN329" s="3" t="n"/>
      <c r="BO329" s="3" t="n"/>
      <c r="BP329" s="12" t="n"/>
      <c r="BQ329" s="3" t="n"/>
      <c r="BR329" s="3" t="n"/>
      <c r="BS329" s="3" t="n"/>
      <c r="BT329" s="3" t="n"/>
      <c r="BU329" s="12" t="n"/>
      <c r="BV329" s="3" t="n"/>
      <c r="BW329" s="3" t="n"/>
      <c r="BX329" s="3" t="n"/>
      <c r="BY329" s="3" t="n"/>
      <c r="BZ329" s="12" t="n"/>
      <c r="CA329" s="3" t="n"/>
      <c r="CB329" s="3" t="n"/>
      <c r="CC329" s="3" t="n"/>
      <c r="CD329" s="3" t="n"/>
      <c r="CE329" s="12" t="n"/>
      <c r="CF329" s="3" t="n"/>
      <c r="CG329" s="3" t="n"/>
      <c r="CH329" s="3" t="n"/>
      <c r="CI329" s="3" t="n"/>
      <c r="CJ329" s="12" t="n"/>
      <c r="CK329" s="3" t="n"/>
      <c r="CL329" s="3" t="n"/>
      <c r="CM329" s="3" t="n"/>
      <c r="CN329" s="3" t="n"/>
      <c r="CO329" s="12" t="n"/>
      <c r="CP329" s="3" t="n"/>
      <c r="CQ329" s="3" t="n"/>
      <c r="CR329" s="3" t="n"/>
      <c r="CS329" s="3" t="n"/>
      <c r="CT329" s="12" t="n"/>
      <c r="CU329" s="3" t="n"/>
      <c r="CV329" s="3" t="n"/>
      <c r="CW329" s="3" t="n"/>
      <c r="CX329" s="3" t="n"/>
      <c r="CY329" s="12" t="n"/>
    </row>
    <row r="330" hidden="1" outlineLevel="1">
      <c r="C330" s="57" t="inlineStr">
        <is>
          <t>Short term debt</t>
        </is>
      </c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>
        <f>AH310</f>
        <v>0</v>
      </c>
      <c r="AI330" s="12">
        <f>MAX(0,AH330-AI329)</f>
        <v>153.724999999998</v>
      </c>
      <c r="AJ330" s="12">
        <f>MAX(0,AI330-AJ329)</f>
        <v>1598.372</v>
      </c>
      <c r="AK330" s="12">
        <f>MAX(0,AJ330-AK329)</f>
        <v>1598.372</v>
      </c>
      <c r="AL330" s="12" t="n"/>
      <c r="AM330" s="12">
        <f>AM310</f>
        <v>0</v>
      </c>
      <c r="AN330" s="12">
        <f>MAX(0,AM330-AN329)</f>
        <v>0</v>
      </c>
      <c r="AO330" s="12">
        <f>MAX(0,AN330-AO329)</f>
        <v>1610.14</v>
      </c>
      <c r="AP330" s="12">
        <f>MAX(0,AO330-AP329)</f>
        <v>1610.14</v>
      </c>
      <c r="AQ330" s="12" t="n"/>
      <c r="AR330" s="12">
        <f>AR310</f>
        <v>0</v>
      </c>
      <c r="AS330" s="12">
        <f>MAX(0,AR330-AS329)</f>
        <v>0</v>
      </c>
      <c r="AT330" s="12">
        <f>MAX(0,AS330-AT329)</f>
        <v>1610.14</v>
      </c>
      <c r="AU330" s="12">
        <f>MAX(0,AT330-AU329)</f>
        <v>1610.14</v>
      </c>
      <c r="AV330" s="12" t="n"/>
      <c r="AW330" s="12">
        <f>AW310</f>
        <v>0</v>
      </c>
      <c r="AX330" s="12">
        <f>MAX(0,AW330-AX329)</f>
        <v>0</v>
      </c>
      <c r="AY330" s="12">
        <f>MAX(0,AX330-AY329)</f>
        <v>1610.14</v>
      </c>
      <c r="AZ330" s="12">
        <f>MAX(0,AY330-AZ329)</f>
        <v>1610.14</v>
      </c>
      <c r="BA330" s="12" t="n"/>
      <c r="BB330" s="12">
        <f>BB310</f>
        <v>0</v>
      </c>
      <c r="BC330" s="12">
        <f>MAX(0,BB330-BC329)</f>
        <v>0</v>
      </c>
      <c r="BD330" s="12">
        <f>MAX(0,BC330-BD329)</f>
        <v>1610.14</v>
      </c>
      <c r="BE330" s="12">
        <f>MAX(0,BD330-BE329)</f>
        <v>1610.14</v>
      </c>
      <c r="BF330" s="12" t="n"/>
      <c r="BG330" s="12" t="n"/>
      <c r="BH330" s="12" t="n"/>
      <c r="BI330" s="12" t="n"/>
      <c r="BJ330" s="12" t="n"/>
      <c r="BK330" s="12" t="n"/>
      <c r="BL330" s="12" t="n"/>
      <c r="BM330" s="12" t="n"/>
      <c r="BN330" s="12" t="n"/>
      <c r="BO330" s="12" t="n"/>
      <c r="BP330" s="12" t="n"/>
      <c r="BQ330" s="12" t="n"/>
      <c r="BR330" s="12" t="n"/>
      <c r="BS330" s="12" t="n"/>
      <c r="BT330" s="12" t="n"/>
      <c r="BU330" s="12" t="n"/>
      <c r="BV330" s="12" t="n"/>
      <c r="BW330" s="12" t="n"/>
      <c r="BX330" s="12" t="n"/>
      <c r="BY330" s="12" t="n"/>
      <c r="BZ330" s="12" t="n"/>
      <c r="CA330" s="12" t="n"/>
      <c r="CB330" s="12" t="n"/>
      <c r="CC330" s="12" t="n"/>
      <c r="CD330" s="12" t="n"/>
      <c r="CE330" s="12" t="n"/>
      <c r="CF330" s="12" t="n"/>
      <c r="CG330" s="12" t="n"/>
      <c r="CH330" s="12" t="n"/>
      <c r="CI330" s="12" t="n"/>
      <c r="CJ330" s="12" t="n"/>
      <c r="CK330" s="12" t="n"/>
      <c r="CL330" s="12" t="n"/>
      <c r="CM330" s="12" t="n"/>
      <c r="CN330" s="12" t="n"/>
      <c r="CO330" s="12" t="n"/>
      <c r="CP330" s="12" t="n"/>
      <c r="CQ330" s="12" t="n"/>
      <c r="CR330" s="12" t="n"/>
      <c r="CS330" s="12" t="n"/>
      <c r="CT330" s="12" t="n"/>
      <c r="CU330" s="12" t="n"/>
      <c r="CV330" s="12" t="n"/>
      <c r="CW330" s="12" t="n"/>
      <c r="CX330" s="12" t="n"/>
      <c r="CY330" s="12" t="n"/>
    </row>
    <row r="331" hidden="1" outlineLevel="1">
      <c r="C331" s="57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  <c r="AL331" s="12" t="n"/>
      <c r="AM331" s="12" t="n"/>
      <c r="AN331" s="12" t="n"/>
      <c r="AO331" s="12" t="n"/>
      <c r="AP331" s="12" t="n"/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  <c r="BJ331" s="12" t="n"/>
      <c r="BK331" s="12" t="n"/>
      <c r="BL331" s="12" t="n"/>
      <c r="BM331" s="12" t="n"/>
      <c r="BN331" s="12" t="n"/>
      <c r="BO331" s="12" t="n"/>
      <c r="BP331" s="12" t="n"/>
      <c r="BQ331" s="12" t="n"/>
      <c r="BR331" s="12" t="n"/>
      <c r="BS331" s="12" t="n"/>
      <c r="BT331" s="12" t="n"/>
      <c r="BU331" s="12" t="n"/>
      <c r="BV331" s="12" t="n"/>
      <c r="BW331" s="12" t="n"/>
      <c r="BX331" s="12" t="n"/>
      <c r="BY331" s="12" t="n"/>
      <c r="BZ331" s="12" t="n"/>
      <c r="CA331" s="12" t="n"/>
      <c r="CB331" s="12" t="n"/>
      <c r="CC331" s="12" t="n"/>
      <c r="CD331" s="12" t="n"/>
      <c r="CE331" s="12" t="n"/>
      <c r="CF331" s="12" t="n"/>
      <c r="CG331" s="12" t="n"/>
      <c r="CH331" s="12" t="n"/>
      <c r="CI331" s="12" t="n"/>
      <c r="CJ331" s="12" t="n"/>
      <c r="CK331" s="12" t="n"/>
      <c r="CL331" s="12" t="n"/>
      <c r="CM331" s="12" t="n"/>
      <c r="CN331" s="12" t="n"/>
      <c r="CO331" s="12" t="n"/>
      <c r="CP331" s="12" t="n"/>
      <c r="CQ331" s="12" t="n"/>
      <c r="CR331" s="12" t="n"/>
      <c r="CS331" s="12" t="n"/>
      <c r="CT331" s="12" t="n"/>
      <c r="CU331" s="12" t="n"/>
      <c r="CV331" s="12" t="n"/>
      <c r="CW331" s="12" t="n"/>
      <c r="CX331" s="12" t="n"/>
      <c r="CY331" s="12" t="n"/>
    </row>
    <row r="332" collapsed="1">
      <c r="C332" s="14" t="inlineStr">
        <is>
          <t>Long term operating leases</t>
        </is>
      </c>
      <c r="D332" s="46" t="n"/>
      <c r="E332" s="46" t="n"/>
      <c r="F332" s="46" t="n"/>
      <c r="G332" s="46" t="n"/>
      <c r="H332" s="12" t="n"/>
      <c r="I332" s="46">
        <f>'Inputs (2)'!D36</f>
        <v>29.628</v>
      </c>
      <c r="J332" s="46">
        <f>'Inputs (2)'!E36</f>
        <v>31.829</v>
      </c>
      <c r="K332" s="46">
        <f>'Inputs (2)'!F36</f>
        <v>42.853</v>
      </c>
      <c r="L332" s="46">
        <f>'Inputs (2)'!G36</f>
        <v>38.707</v>
      </c>
      <c r="M332" s="12">
        <f>'Inputs (2)'!H36</f>
        <v>38.707</v>
      </c>
      <c r="N332" s="46">
        <f>'Inputs (2)'!I36</f>
        <v>34.871</v>
      </c>
      <c r="O332" s="46">
        <f>'Inputs (2)'!J36</f>
        <v>38.958</v>
      </c>
      <c r="P332" s="46">
        <f>'Inputs (2)'!K36</f>
        <v>37.657</v>
      </c>
      <c r="Q332" s="46">
        <f>'Inputs (2)'!L36</f>
        <v>36.263</v>
      </c>
      <c r="R332" s="12">
        <f>'Inputs (2)'!M36</f>
        <v>36.263</v>
      </c>
      <c r="S332" s="46">
        <f>'Inputs (2)'!N36</f>
        <v>35.228</v>
      </c>
      <c r="T332" s="46">
        <f>'Inputs (2)'!O36</f>
        <v>30.83</v>
      </c>
      <c r="U332" s="46">
        <f>'Inputs (2)'!P36</f>
        <v>34.263</v>
      </c>
      <c r="V332" s="46">
        <f>'Inputs (2)'!Q36</f>
        <v>38.01</v>
      </c>
      <c r="W332" s="12">
        <f>'Inputs (2)'!R36</f>
        <v>38.01</v>
      </c>
      <c r="X332" s="46">
        <f>'Inputs (2)'!S36</f>
        <v>38.52</v>
      </c>
      <c r="Y332" s="46">
        <f>'Inputs (2)'!T36</f>
        <v>37.493</v>
      </c>
      <c r="Z332" s="46">
        <f>'Inputs (2)'!U36</f>
        <v>36.726</v>
      </c>
      <c r="AA332" s="46">
        <f>'Inputs (2)'!V36</f>
        <v>37.142</v>
      </c>
      <c r="AB332" s="12">
        <f>'Inputs (2)'!W36</f>
        <v>37.142</v>
      </c>
      <c r="AC332" s="46">
        <f>'Inputs (2)'!X36</f>
        <v>32.379</v>
      </c>
      <c r="AD332" s="46">
        <f>'Inputs (2)'!Y36</f>
        <v>33.248</v>
      </c>
      <c r="AE332" s="46">
        <f>'Inputs (2)'!Z36</f>
        <v>32.32</v>
      </c>
      <c r="AF332" s="46">
        <f>'Inputs (2)'!AA36</f>
        <v>18.089</v>
      </c>
      <c r="AG332" s="12">
        <f>'Inputs (2)'!AB36</f>
        <v>18.089</v>
      </c>
      <c r="AH332" s="12">
        <f>'Inputs (2)'!AC36</f>
        <v>15.954</v>
      </c>
      <c r="AI332" s="12">
        <f>'Inputs (2)'!AD36</f>
        <v>16.91</v>
      </c>
      <c r="AJ332" s="12">
        <f>AI332</f>
        <v>16.91</v>
      </c>
      <c r="AK332" s="12">
        <f>AJ332</f>
        <v>16.91</v>
      </c>
      <c r="AL332" s="12">
        <f>AK332</f>
        <v>16.91</v>
      </c>
      <c r="AM332" s="12">
        <f>AL332</f>
        <v>16.91</v>
      </c>
      <c r="AN332" s="12">
        <f>AM332</f>
        <v>16.91</v>
      </c>
      <c r="AO332" s="12">
        <f>AN332</f>
        <v>16.91</v>
      </c>
      <c r="AP332" s="12">
        <f>AO332</f>
        <v>16.91</v>
      </c>
      <c r="AQ332" s="12">
        <f>AP332</f>
        <v>16.91</v>
      </c>
      <c r="AR332" s="12">
        <f>AQ332</f>
        <v>16.91</v>
      </c>
      <c r="AS332" s="12">
        <f>AR332</f>
        <v>16.91</v>
      </c>
      <c r="AT332" s="12">
        <f>AS332</f>
        <v>16.91</v>
      </c>
      <c r="AU332" s="12">
        <f>AT332</f>
        <v>16.91</v>
      </c>
      <c r="AV332" s="12">
        <f>AU332</f>
        <v>16.91</v>
      </c>
      <c r="AW332" s="12">
        <f>AV332</f>
        <v>16.91</v>
      </c>
      <c r="AX332" s="12">
        <f>AW332</f>
        <v>16.91</v>
      </c>
      <c r="AY332" s="12">
        <f>AX332</f>
        <v>16.91</v>
      </c>
      <c r="AZ332" s="12">
        <f>AY332</f>
        <v>16.91</v>
      </c>
      <c r="BA332" s="12">
        <f>AZ332</f>
        <v>16.91</v>
      </c>
      <c r="BB332" s="12">
        <f>BA332</f>
        <v>16.91</v>
      </c>
      <c r="BC332" s="12">
        <f>BB332</f>
        <v>16.91</v>
      </c>
      <c r="BD332" s="12">
        <f>BC332</f>
        <v>16.91</v>
      </c>
      <c r="BE332" s="12">
        <f>BD332</f>
        <v>16.91</v>
      </c>
      <c r="BF332" s="12">
        <f>BE332</f>
        <v>16.91</v>
      </c>
      <c r="BG332" s="12" t="n"/>
      <c r="BH332" s="12" t="n"/>
      <c r="BI332" s="12" t="n"/>
      <c r="BJ332" s="12" t="n"/>
      <c r="BK332" s="12" t="n"/>
      <c r="BL332" s="12" t="n"/>
      <c r="BM332" s="12" t="n"/>
      <c r="BN332" s="12" t="n"/>
      <c r="BO332" s="12" t="n"/>
      <c r="BP332" s="12" t="n"/>
      <c r="BQ332" s="12" t="n"/>
      <c r="BR332" s="12" t="n"/>
      <c r="BS332" s="12" t="n"/>
      <c r="BT332" s="12" t="n"/>
      <c r="BU332" s="12" t="n"/>
      <c r="BV332" s="12" t="n"/>
      <c r="BW332" s="12" t="n"/>
      <c r="BX332" s="12" t="n"/>
      <c r="BY332" s="12" t="n"/>
      <c r="BZ332" s="12" t="n"/>
      <c r="CA332" s="12" t="n"/>
      <c r="CB332" s="12" t="n"/>
      <c r="CC332" s="12" t="n"/>
      <c r="CD332" s="12" t="n"/>
      <c r="CE332" s="12" t="n"/>
      <c r="CF332" s="12" t="n"/>
      <c r="CG332" s="12" t="n"/>
      <c r="CH332" s="12" t="n"/>
      <c r="CI332" s="12" t="n"/>
      <c r="CJ332" s="12" t="n"/>
      <c r="CK332" s="12" t="n"/>
      <c r="CL332" s="12" t="n"/>
      <c r="CM332" s="12" t="n"/>
      <c r="CN332" s="12" t="n"/>
      <c r="CO332" s="12" t="n"/>
      <c r="CP332" s="12" t="n"/>
      <c r="CQ332" s="12" t="n"/>
      <c r="CR332" s="12" t="n"/>
      <c r="CS332" s="12" t="n"/>
      <c r="CT332" s="12" t="n"/>
      <c r="CU332" s="12" t="n"/>
      <c r="CV332" s="12" t="n"/>
      <c r="CW332" s="12" t="n"/>
      <c r="CX332" s="12" t="n"/>
      <c r="CY332" s="12" t="n"/>
    </row>
    <row r="333" hidden="1" outlineLevel="1">
      <c r="C333" s="59" t="inlineStr">
        <is>
          <t>%(Var.)</t>
        </is>
      </c>
      <c r="D333" s="12" t="n"/>
      <c r="E333" s="40" t="n"/>
      <c r="F333" s="40" t="n"/>
      <c r="G333" s="40" t="n"/>
      <c r="H333" s="12" t="n"/>
      <c r="I333" s="40" t="str">
        <f>""</f>
        <v/>
      </c>
      <c r="J333" s="40">
        <f>IFERROR(IF(I332=0,"",J332/I332-1),"")</f>
        <v>0.0742878358309707</v>
      </c>
      <c r="K333" s="40">
        <f>IFERROR(IF(J332=0,"",K332/J332-1),"")</f>
        <v>0.34635081215244</v>
      </c>
      <c r="L333" s="40">
        <f>IFERROR(IF(K332=0,"",L332/K332-1),"")</f>
        <v>-0.0967493524374024</v>
      </c>
      <c r="M333" s="12">
        <f>IF(L332=0,"",M332/L332-1)</f>
        <v>0</v>
      </c>
      <c r="N333" s="40">
        <f>IFERROR(IF(M332=0,"",N332/M332-1),"")</f>
        <v>-0.0991035213268917</v>
      </c>
      <c r="O333" s="40">
        <f>IFERROR(IF(N332=0,"",O332/N332-1),"")</f>
        <v>0.117203406842362</v>
      </c>
      <c r="P333" s="40">
        <f>IFERROR(IF(O332=0,"",P332/O332-1),"")</f>
        <v>-0.0333949381385081</v>
      </c>
      <c r="Q333" s="40">
        <f>IFERROR(IF(P332=0,"",Q332/P332-1),"")</f>
        <v>-0.0370183498419948</v>
      </c>
      <c r="R333" s="12">
        <f>IF(Q332=0,"",R332/Q332-1)</f>
        <v>0</v>
      </c>
      <c r="S333" s="40">
        <f>IFERROR(IF(R332=0,"",S332/R332-1),"")</f>
        <v>-0.0285414885696164</v>
      </c>
      <c r="T333" s="40">
        <f>IFERROR(IF(S332=0,"",T332/S332-1),"")</f>
        <v>-0.124843874190985</v>
      </c>
      <c r="U333" s="40">
        <f>IFERROR(IF(T332=0,"",U332/T332-1),"")</f>
        <v>0.111352578657152</v>
      </c>
      <c r="V333" s="40">
        <f>IFERROR(IF(U332=0,"",V332/U332-1),"")</f>
        <v>0.109359950967516</v>
      </c>
      <c r="W333" s="12">
        <f>IF(V332=0,"",W332/V332-1)</f>
        <v>0</v>
      </c>
      <c r="X333" s="40">
        <f>IFERROR(IF(W332=0,"",X332/W332-1),"")</f>
        <v>0.0134175217048147</v>
      </c>
      <c r="Y333" s="40">
        <f>IFERROR(IF(X332=0,"",Y332/X332-1),"")</f>
        <v>-0.0266614745586709</v>
      </c>
      <c r="Z333" s="40">
        <f>IFERROR(IF(Y332=0,"",Z332/Y332-1),"")</f>
        <v>-0.0204571520017071</v>
      </c>
      <c r="AA333" s="40">
        <f>IFERROR(IF(Z332=0,"",AA332/Z332-1),"")</f>
        <v>0.0113271251974079</v>
      </c>
      <c r="AB333" s="12">
        <f>IF(AA332=0,"",AB332/AA332-1)</f>
        <v>0</v>
      </c>
      <c r="AC333" s="40">
        <f>IFERROR(IF(AB332=0,"",AC332/AB332-1),"")</f>
        <v>-0.128237574713263</v>
      </c>
      <c r="AD333" s="40">
        <f>IFERROR(IF(AC332=0,"",AD332/AC332-1),"")</f>
        <v>0.0268383829024985</v>
      </c>
      <c r="AE333" s="40">
        <f>IFERROR(IF(AD332=0,"",AE332/AD332-1),"")</f>
        <v>-0.0279114533205004</v>
      </c>
      <c r="AF333" s="41">
        <f>IFERROR(IF(AE332=0,"",AF332/AE332-1),"")</f>
        <v>-0.440315594059406</v>
      </c>
      <c r="AG333" s="12">
        <f>IF(AF332=0,"",AG332/AF332-1)</f>
        <v>0</v>
      </c>
      <c r="AH333" s="11">
        <f>IFERROR(IF(AG332=0,"",AH332/AG332-1),"")</f>
        <v>-0.118027530543424</v>
      </c>
      <c r="AI333" s="11">
        <f>IFERROR(IF(AH332=0,"",AI332/AH332-1),"")</f>
        <v>0.0599222765450671</v>
      </c>
      <c r="AJ333" s="11">
        <f>IFERROR(IF(AI332=0,"",AJ332/AI332-1),"")</f>
        <v>0</v>
      </c>
      <c r="AK333" s="11">
        <f>IFERROR(IF(AJ332=0,"",AK332/AJ332-1),"")</f>
        <v>0</v>
      </c>
      <c r="AL333" s="12">
        <f>IFERROR(IF(AK332=0,"",AL332/AK332-1),"")</f>
        <v>0</v>
      </c>
      <c r="AM333" s="11">
        <f>IFERROR(IF(AL332=0,"",AM332/AL332-1),"")</f>
        <v>0</v>
      </c>
      <c r="AN333" s="11">
        <f>IFERROR(IF(AM332=0,"",AN332/AM332-1),"")</f>
        <v>0</v>
      </c>
      <c r="AO333" s="11">
        <f>IFERROR(IF(AN332=0,"",AO332/AN332-1),"")</f>
        <v>0</v>
      </c>
      <c r="AP333" s="11">
        <f>IFERROR(IF(AO332=0,"",AP332/AO332-1),"")</f>
        <v>0</v>
      </c>
      <c r="AQ333" s="12">
        <f>IFERROR(IF(AP332=0,"",AQ332/AP332-1),"")</f>
        <v>0</v>
      </c>
      <c r="AR333" s="11">
        <f>IFERROR(IF(AQ332=0,"",AR332/AQ332-1),"")</f>
        <v>0</v>
      </c>
      <c r="AS333" s="11">
        <f>IFERROR(IF(AR332=0,"",AS332/AR332-1),"")</f>
        <v>0</v>
      </c>
      <c r="AT333" s="11">
        <f>IFERROR(IF(AS332=0,"",AT332/AS332-1),"")</f>
        <v>0</v>
      </c>
      <c r="AU333" s="11">
        <f>IFERROR(IF(AT332=0,"",AU332/AT332-1),"")</f>
        <v>0</v>
      </c>
      <c r="AV333" s="12">
        <f>IFERROR(IF(AU332=0,"",AV332/AU332-1),"")</f>
        <v>0</v>
      </c>
      <c r="AW333" s="11">
        <f>IFERROR(IF(AV332=0,"",AW332/AV332-1),"")</f>
        <v>0</v>
      </c>
      <c r="AX333" s="11">
        <f>IFERROR(IF(AW332=0,"",AX332/AW332-1),"")</f>
        <v>0</v>
      </c>
      <c r="AY333" s="11">
        <f>IFERROR(IF(AX332=0,"",AY332/AX332-1),"")</f>
        <v>0</v>
      </c>
      <c r="AZ333" s="11">
        <f>IFERROR(IF(AY332=0,"",AZ332/AY332-1),"")</f>
        <v>0</v>
      </c>
      <c r="BA333" s="12">
        <f>IFERROR(IF(AZ332=0,"",BA332/AZ332-1),"")</f>
        <v>0</v>
      </c>
      <c r="BB333" s="11">
        <f>IFERROR(IF(BA332=0,"",BB332/BA332-1),"")</f>
        <v>0</v>
      </c>
      <c r="BC333" s="11">
        <f>IFERROR(IF(BB332=0,"",BC332/BB332-1),"")</f>
        <v>0</v>
      </c>
      <c r="BD333" s="11">
        <f>IFERROR(IF(BC332=0,"",BD332/BC332-1),"")</f>
        <v>0</v>
      </c>
      <c r="BE333" s="11">
        <f>IFERROR(IF(BD332=0,"",BE332/BD332-1),"")</f>
        <v>0</v>
      </c>
      <c r="BF333" s="12">
        <f>IFERROR(IF(BE332=0,"",BF332/BE332-1),"")</f>
        <v>0</v>
      </c>
      <c r="BG333" s="11" t="n"/>
      <c r="BH333" s="11" t="n"/>
      <c r="BI333" s="11" t="n"/>
      <c r="BJ333" s="11" t="n"/>
      <c r="BK333" s="12" t="n"/>
      <c r="BL333" s="11" t="n"/>
      <c r="BM333" s="11" t="n"/>
      <c r="BN333" s="11" t="n"/>
      <c r="BO333" s="11" t="n"/>
      <c r="BP333" s="12" t="n"/>
      <c r="BQ333" s="11" t="n"/>
      <c r="BR333" s="11" t="n"/>
      <c r="BS333" s="11" t="n"/>
      <c r="BT333" s="11" t="n"/>
      <c r="BU333" s="12" t="n"/>
      <c r="BV333" s="11" t="n"/>
      <c r="BW333" s="11" t="n"/>
      <c r="BX333" s="11" t="n"/>
      <c r="BY333" s="11" t="n"/>
      <c r="BZ333" s="12" t="n"/>
      <c r="CA333" s="11" t="n"/>
      <c r="CB333" s="11" t="n"/>
      <c r="CC333" s="11" t="n"/>
      <c r="CD333" s="11" t="n"/>
      <c r="CE333" s="12" t="n"/>
      <c r="CF333" s="11" t="n"/>
      <c r="CG333" s="11" t="n"/>
      <c r="CH333" s="11" t="n"/>
      <c r="CI333" s="11" t="n"/>
      <c r="CJ333" s="12" t="n"/>
      <c r="CK333" s="11" t="n"/>
      <c r="CL333" s="11" t="n"/>
      <c r="CM333" s="11" t="n"/>
      <c r="CN333" s="11" t="n"/>
      <c r="CO333" s="12" t="n"/>
      <c r="CP333" s="11" t="n"/>
      <c r="CQ333" s="11" t="n"/>
      <c r="CR333" s="11" t="n"/>
      <c r="CS333" s="11" t="n"/>
      <c r="CT333" s="12" t="n"/>
      <c r="CU333" s="11" t="n"/>
      <c r="CV333" s="11" t="n"/>
      <c r="CW333" s="11" t="n"/>
      <c r="CX333" s="11" t="n"/>
      <c r="CY333" s="12" t="n"/>
    </row>
    <row r="334" hidden="1" outlineLevel="1">
      <c r="C334" s="57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  <c r="AQ334" s="12" t="n"/>
      <c r="AR334" s="12" t="n"/>
      <c r="AS334" s="12" t="n"/>
      <c r="AT334" s="12" t="n"/>
      <c r="AU334" s="12" t="n"/>
      <c r="AV334" s="12" t="n"/>
      <c r="AW334" s="12" t="n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  <c r="BJ334" s="12" t="n"/>
      <c r="BK334" s="12" t="n"/>
      <c r="BL334" s="12" t="n"/>
      <c r="BM334" s="12" t="n"/>
      <c r="BN334" s="12" t="n"/>
      <c r="BO334" s="12" t="n"/>
      <c r="BP334" s="12" t="n"/>
      <c r="BQ334" s="12" t="n"/>
      <c r="BR334" s="12" t="n"/>
      <c r="BS334" s="12" t="n"/>
      <c r="BT334" s="12" t="n"/>
      <c r="BU334" s="12" t="n"/>
      <c r="BV334" s="12" t="n"/>
      <c r="BW334" s="12" t="n"/>
      <c r="BX334" s="12" t="n"/>
      <c r="BY334" s="12" t="n"/>
      <c r="BZ334" s="12" t="n"/>
      <c r="CA334" s="12" t="n"/>
      <c r="CB334" s="12" t="n"/>
      <c r="CC334" s="12" t="n"/>
      <c r="CD334" s="12" t="n"/>
      <c r="CE334" s="12" t="n"/>
      <c r="CF334" s="12" t="n"/>
      <c r="CG334" s="12" t="n"/>
      <c r="CH334" s="12" t="n"/>
      <c r="CI334" s="12" t="n"/>
      <c r="CJ334" s="12" t="n"/>
      <c r="CK334" s="12" t="n"/>
      <c r="CL334" s="12" t="n"/>
      <c r="CM334" s="12" t="n"/>
      <c r="CN334" s="12" t="n"/>
      <c r="CO334" s="12" t="n"/>
      <c r="CP334" s="12" t="n"/>
      <c r="CQ334" s="12" t="n"/>
      <c r="CR334" s="12" t="n"/>
      <c r="CS334" s="12" t="n"/>
      <c r="CT334" s="12" t="n"/>
      <c r="CU334" s="12" t="n"/>
      <c r="CV334" s="12" t="n"/>
      <c r="CW334" s="12" t="n"/>
      <c r="CX334" s="12" t="n"/>
      <c r="CY334" s="12" t="n"/>
    </row>
    <row r="335" collapsed="1">
      <c r="C335" s="14" t="inlineStr">
        <is>
          <t>Convertible debt</t>
        </is>
      </c>
      <c r="D335" s="46" t="n"/>
      <c r="E335" s="46" t="n"/>
      <c r="F335" s="46" t="n"/>
      <c r="G335" s="46" t="n"/>
      <c r="H335" s="12" t="n"/>
      <c r="I335" s="46">
        <f>'Inputs (2)'!D37</f>
        <v>0</v>
      </c>
      <c r="J335" s="46">
        <f>'Inputs (2)'!E37</f>
        <v>0</v>
      </c>
      <c r="K335" s="46">
        <f>'Inputs (2)'!F37</f>
        <v>0</v>
      </c>
      <c r="L335" s="46">
        <f>'Inputs (2)'!G37</f>
        <v>0</v>
      </c>
      <c r="M335" s="12">
        <f>'Inputs (2)'!H37</f>
        <v>0</v>
      </c>
      <c r="N335" s="46">
        <f>'Inputs (2)'!I37</f>
        <v>0</v>
      </c>
      <c r="O335" s="46">
        <f>'Inputs (2)'!J37</f>
        <v>0</v>
      </c>
      <c r="P335" s="46">
        <f>'Inputs (2)'!K37</f>
        <v>0</v>
      </c>
      <c r="Q335" s="46">
        <f>'Inputs (2)'!L37</f>
        <v>0</v>
      </c>
      <c r="R335" s="12">
        <f>'Inputs (2)'!M37</f>
        <v>0</v>
      </c>
      <c r="S335" s="46">
        <f>'Inputs (2)'!N37</f>
        <v>0</v>
      </c>
      <c r="T335" s="46">
        <f>'Inputs (2)'!O37</f>
        <v>0</v>
      </c>
      <c r="U335" s="46">
        <f>'Inputs (2)'!P37</f>
        <v>0</v>
      </c>
      <c r="V335" s="46">
        <f>'Inputs (2)'!Q37</f>
        <v>0</v>
      </c>
      <c r="W335" s="12">
        <f>'Inputs (2)'!R37</f>
        <v>0</v>
      </c>
      <c r="X335" s="46">
        <f>'Inputs (2)'!S37</f>
        <v>0</v>
      </c>
      <c r="Y335" s="46">
        <f>'Inputs (2)'!T37</f>
        <v>0</v>
      </c>
      <c r="Z335" s="46">
        <f>'Inputs (2)'!U37</f>
        <v>0</v>
      </c>
      <c r="AA335" s="46">
        <f>'Inputs (2)'!V37</f>
        <v>0</v>
      </c>
      <c r="AB335" s="12">
        <f>'Inputs (2)'!W37</f>
        <v>0</v>
      </c>
      <c r="AC335" s="46">
        <f>'Inputs (2)'!X37</f>
        <v>0</v>
      </c>
      <c r="AD335" s="46">
        <f>'Inputs (2)'!Y37</f>
        <v>0</v>
      </c>
      <c r="AE335" s="46">
        <f>'Inputs (2)'!Z37</f>
        <v>0</v>
      </c>
      <c r="AF335" s="46">
        <f>'Inputs (2)'!AA37</f>
        <v>0</v>
      </c>
      <c r="AG335" s="12">
        <f>'Inputs (2)'!AB37</f>
        <v>0</v>
      </c>
      <c r="AH335" s="12">
        <f>'Inputs (2)'!AC37</f>
        <v>0</v>
      </c>
      <c r="AI335" s="12">
        <f>'Inputs (2)'!AD37</f>
        <v>0</v>
      </c>
      <c r="AJ335" s="12">
        <f>AI335</f>
        <v>0</v>
      </c>
      <c r="AK335" s="12">
        <f>AJ335</f>
        <v>0</v>
      </c>
      <c r="AL335" s="12">
        <f>AK335</f>
        <v>0</v>
      </c>
      <c r="AM335" s="12">
        <f>AL335</f>
        <v>0</v>
      </c>
      <c r="AN335" s="12">
        <f>AM335</f>
        <v>0</v>
      </c>
      <c r="AO335" s="12">
        <f>AN335</f>
        <v>0</v>
      </c>
      <c r="AP335" s="12">
        <f>AO335</f>
        <v>0</v>
      </c>
      <c r="AQ335" s="12">
        <f>AP335</f>
        <v>0</v>
      </c>
      <c r="AR335" s="12">
        <f>AQ335</f>
        <v>0</v>
      </c>
      <c r="AS335" s="12">
        <f>AR335</f>
        <v>0</v>
      </c>
      <c r="AT335" s="12">
        <f>AS335</f>
        <v>0</v>
      </c>
      <c r="AU335" s="12">
        <f>AT335</f>
        <v>0</v>
      </c>
      <c r="AV335" s="12">
        <f>AU335</f>
        <v>0</v>
      </c>
      <c r="AW335" s="12">
        <f>AV335</f>
        <v>0</v>
      </c>
      <c r="AX335" s="12">
        <f>AW335</f>
        <v>0</v>
      </c>
      <c r="AY335" s="12">
        <f>AX335</f>
        <v>0</v>
      </c>
      <c r="AZ335" s="12">
        <f>AY335</f>
        <v>0</v>
      </c>
      <c r="BA335" s="12">
        <f>AZ335</f>
        <v>0</v>
      </c>
      <c r="BB335" s="12">
        <f>BA335</f>
        <v>0</v>
      </c>
      <c r="BC335" s="12">
        <f>BB335</f>
        <v>0</v>
      </c>
      <c r="BD335" s="12">
        <f>BC335</f>
        <v>0</v>
      </c>
      <c r="BE335" s="12">
        <f>BD335</f>
        <v>0</v>
      </c>
      <c r="BF335" s="12">
        <f>BE335</f>
        <v>0</v>
      </c>
      <c r="BG335" s="12" t="n"/>
      <c r="BH335" s="12" t="n"/>
      <c r="BI335" s="12" t="n"/>
      <c r="BJ335" s="12" t="n"/>
      <c r="BK335" s="12" t="n"/>
      <c r="BL335" s="12" t="n"/>
      <c r="BM335" s="12" t="n"/>
      <c r="BN335" s="12" t="n"/>
      <c r="BO335" s="12" t="n"/>
      <c r="BP335" s="12" t="n"/>
      <c r="BQ335" s="12" t="n"/>
      <c r="BR335" s="12" t="n"/>
      <c r="BS335" s="12" t="n"/>
      <c r="BT335" s="12" t="n"/>
      <c r="BU335" s="12" t="n"/>
      <c r="BV335" s="12" t="n"/>
      <c r="BW335" s="12" t="n"/>
      <c r="BX335" s="12" t="n"/>
      <c r="BY335" s="12" t="n"/>
      <c r="BZ335" s="12" t="n"/>
      <c r="CA335" s="12" t="n"/>
      <c r="CB335" s="12" t="n"/>
      <c r="CC335" s="12" t="n"/>
      <c r="CD335" s="12" t="n"/>
      <c r="CE335" s="12" t="n"/>
      <c r="CF335" s="12" t="n"/>
      <c r="CG335" s="12" t="n"/>
      <c r="CH335" s="12" t="n"/>
      <c r="CI335" s="12" t="n"/>
      <c r="CJ335" s="12" t="n"/>
      <c r="CK335" s="12" t="n"/>
      <c r="CL335" s="12" t="n"/>
      <c r="CM335" s="12" t="n"/>
      <c r="CN335" s="12" t="n"/>
      <c r="CO335" s="12" t="n"/>
      <c r="CP335" s="12" t="n"/>
      <c r="CQ335" s="12" t="n"/>
      <c r="CR335" s="12" t="n"/>
      <c r="CS335" s="12" t="n"/>
      <c r="CT335" s="12" t="n"/>
      <c r="CU335" s="12" t="n"/>
      <c r="CV335" s="12" t="n"/>
      <c r="CW335" s="12" t="n"/>
      <c r="CX335" s="12" t="n"/>
      <c r="CY335" s="12" t="n"/>
    </row>
    <row r="336">
      <c r="C336" s="14" t="inlineStr">
        <is>
          <t>Deferred income taxes</t>
        </is>
      </c>
      <c r="D336" s="46" t="n"/>
      <c r="E336" s="46" t="n"/>
      <c r="F336" s="46" t="n"/>
      <c r="G336" s="46" t="n"/>
      <c r="H336" s="12" t="n"/>
      <c r="I336" s="46">
        <f>'Inputs (2)'!D38</f>
        <v>2111.989</v>
      </c>
      <c r="J336" s="46">
        <f>'Inputs (2)'!E38</f>
        <v>2309.438</v>
      </c>
      <c r="K336" s="46">
        <f>'Inputs (2)'!F38</f>
        <v>2427.741</v>
      </c>
      <c r="L336" s="46">
        <f>'Inputs (2)'!G38</f>
        <v>2571.98</v>
      </c>
      <c r="M336" s="12">
        <f>'Inputs (2)'!H38</f>
        <v>2571.98</v>
      </c>
      <c r="N336" s="46">
        <f>'Inputs (2)'!I38</f>
        <v>2669.434</v>
      </c>
      <c r="O336" s="46">
        <f>'Inputs (2)'!J38</f>
        <v>2780.91</v>
      </c>
      <c r="P336" s="46">
        <f>'Inputs (2)'!K38</f>
        <v>2759.057</v>
      </c>
      <c r="Q336" s="46">
        <f>'Inputs (2)'!L38</f>
        <v>2700.528</v>
      </c>
      <c r="R336" s="12">
        <f>'Inputs (2)'!M38</f>
        <v>2700.528</v>
      </c>
      <c r="S336" s="46">
        <f>'Inputs (2)'!N38</f>
        <v>2779.092</v>
      </c>
      <c r="T336" s="46">
        <f>'Inputs (2)'!O38</f>
        <v>2808.619</v>
      </c>
      <c r="U336" s="46">
        <f>'Inputs (2)'!P38</f>
        <v>2795.307</v>
      </c>
      <c r="V336" s="46">
        <f>'Inputs (2)'!Q38</f>
        <v>2890.782</v>
      </c>
      <c r="W336" s="12">
        <f>'Inputs (2)'!R38</f>
        <v>2890.782</v>
      </c>
      <c r="X336" s="46">
        <f>'Inputs (2)'!S38</f>
        <v>2970.165</v>
      </c>
      <c r="Y336" s="46">
        <f>'Inputs (2)'!T38</f>
        <v>3046.672</v>
      </c>
      <c r="Z336" s="46">
        <f>'Inputs (2)'!U38</f>
        <v>2835.961</v>
      </c>
      <c r="AA336" s="46">
        <f>'Inputs (2)'!V38</f>
        <v>2881.281</v>
      </c>
      <c r="AB336" s="12">
        <f>'Inputs (2)'!W38</f>
        <v>2881.281</v>
      </c>
      <c r="AC336" s="46">
        <f>'Inputs (2)'!X38</f>
        <v>3038.628</v>
      </c>
      <c r="AD336" s="46">
        <f>'Inputs (2)'!Y38</f>
        <v>3081.852</v>
      </c>
      <c r="AE336" s="46">
        <f>'Inputs (2)'!Z38</f>
        <v>3236.041</v>
      </c>
      <c r="AF336" s="46">
        <f>'Inputs (2)'!AA38</f>
        <v>3333.016</v>
      </c>
      <c r="AG336" s="12">
        <f>'Inputs (2)'!AB38</f>
        <v>3333.016</v>
      </c>
      <c r="AH336" s="12">
        <f>'Inputs (2)'!AC38</f>
        <v>3376.715</v>
      </c>
      <c r="AI336" s="12">
        <f>'Inputs (2)'!AD38</f>
        <v>3390.71</v>
      </c>
      <c r="AJ336" s="12">
        <f>AI336</f>
        <v>3390.71</v>
      </c>
      <c r="AK336" s="12">
        <f>AJ336</f>
        <v>3390.71</v>
      </c>
      <c r="AL336" s="12">
        <f>AK336</f>
        <v>3390.71</v>
      </c>
      <c r="AM336" s="12">
        <f>AL336</f>
        <v>3390.71</v>
      </c>
      <c r="AN336" s="12">
        <f>AM336</f>
        <v>3390.71</v>
      </c>
      <c r="AO336" s="12">
        <f>AN336</f>
        <v>3390.71</v>
      </c>
      <c r="AP336" s="12">
        <f>AO336</f>
        <v>3390.71</v>
      </c>
      <c r="AQ336" s="12">
        <f>AP336</f>
        <v>3390.71</v>
      </c>
      <c r="AR336" s="12">
        <f>AQ336</f>
        <v>3390.71</v>
      </c>
      <c r="AS336" s="12">
        <f>AR336</f>
        <v>3390.71</v>
      </c>
      <c r="AT336" s="12">
        <f>AS336</f>
        <v>3390.71</v>
      </c>
      <c r="AU336" s="12">
        <f>AT336</f>
        <v>3390.71</v>
      </c>
      <c r="AV336" s="12">
        <f>AU336</f>
        <v>3390.71</v>
      </c>
      <c r="AW336" s="12">
        <f>AV336</f>
        <v>3390.71</v>
      </c>
      <c r="AX336" s="12">
        <f>AW336</f>
        <v>3390.71</v>
      </c>
      <c r="AY336" s="12">
        <f>AX336</f>
        <v>3390.71</v>
      </c>
      <c r="AZ336" s="12">
        <f>AY336</f>
        <v>3390.71</v>
      </c>
      <c r="BA336" s="12">
        <f>AZ336</f>
        <v>3390.71</v>
      </c>
      <c r="BB336" s="12">
        <f>BA336</f>
        <v>3390.71</v>
      </c>
      <c r="BC336" s="12">
        <f>BB336</f>
        <v>3390.71</v>
      </c>
      <c r="BD336" s="12">
        <f>BC336</f>
        <v>3390.71</v>
      </c>
      <c r="BE336" s="12">
        <f>BD336</f>
        <v>3390.71</v>
      </c>
      <c r="BF336" s="12">
        <f>BE336</f>
        <v>3390.71</v>
      </c>
      <c r="BG336" s="12" t="n"/>
      <c r="BH336" s="12" t="n"/>
      <c r="BI336" s="12" t="n"/>
      <c r="BJ336" s="12" t="n"/>
      <c r="BK336" s="12" t="n"/>
      <c r="BL336" s="12" t="n"/>
      <c r="BM336" s="12" t="n"/>
      <c r="BN336" s="12" t="n"/>
      <c r="BO336" s="12" t="n"/>
      <c r="BP336" s="12" t="n"/>
      <c r="BQ336" s="12" t="n"/>
      <c r="BR336" s="12" t="n"/>
      <c r="BS336" s="12" t="n"/>
      <c r="BT336" s="12" t="n"/>
      <c r="BU336" s="12" t="n"/>
      <c r="BV336" s="12" t="n"/>
      <c r="BW336" s="12" t="n"/>
      <c r="BX336" s="12" t="n"/>
      <c r="BY336" s="12" t="n"/>
      <c r="BZ336" s="12" t="n"/>
      <c r="CA336" s="12" t="n"/>
      <c r="CB336" s="12" t="n"/>
      <c r="CC336" s="12" t="n"/>
      <c r="CD336" s="12" t="n"/>
      <c r="CE336" s="12" t="n"/>
      <c r="CF336" s="12" t="n"/>
      <c r="CG336" s="12" t="n"/>
      <c r="CH336" s="12" t="n"/>
      <c r="CI336" s="12" t="n"/>
      <c r="CJ336" s="12" t="n"/>
      <c r="CK336" s="12" t="n"/>
      <c r="CL336" s="12" t="n"/>
      <c r="CM336" s="12" t="n"/>
      <c r="CN336" s="12" t="n"/>
      <c r="CO336" s="12" t="n"/>
      <c r="CP336" s="12" t="n"/>
      <c r="CQ336" s="12" t="n"/>
      <c r="CR336" s="12" t="n"/>
      <c r="CS336" s="12" t="n"/>
      <c r="CT336" s="12" t="n"/>
      <c r="CU336" s="12" t="n"/>
      <c r="CV336" s="12" t="n"/>
      <c r="CW336" s="12" t="n"/>
      <c r="CX336" s="12" t="n"/>
      <c r="CY336" s="12" t="n"/>
    </row>
    <row r="337">
      <c r="C337" s="14" t="inlineStr">
        <is>
          <t>Other non-current liabilities</t>
        </is>
      </c>
      <c r="D337" s="46" t="n"/>
      <c r="E337" s="46" t="n"/>
      <c r="F337" s="46" t="n"/>
      <c r="G337" s="46" t="n"/>
      <c r="H337" s="12" t="n"/>
      <c r="I337" s="46">
        <f>'Inputs (2)'!D39</f>
        <v>1317.15</v>
      </c>
      <c r="J337" s="46">
        <f>'Inputs (2)'!E39</f>
        <v>1385.865</v>
      </c>
      <c r="K337" s="46">
        <f>'Inputs (2)'!F39</f>
        <v>1428.473</v>
      </c>
      <c r="L337" s="46">
        <f>'Inputs (2)'!G39</f>
        <v>1563.404</v>
      </c>
      <c r="M337" s="12">
        <f>'Inputs (2)'!H39</f>
        <v>1563.404</v>
      </c>
      <c r="N337" s="46">
        <f>'Inputs (2)'!I39</f>
        <v>1604.766</v>
      </c>
      <c r="O337" s="46">
        <f>'Inputs (2)'!J39</f>
        <v>1735.251</v>
      </c>
      <c r="P337" s="46">
        <f>'Inputs (2)'!K39</f>
        <v>1766.013</v>
      </c>
      <c r="Q337" s="46">
        <f>'Inputs (2)'!L39</f>
        <v>1782.077</v>
      </c>
      <c r="R337" s="12">
        <f>'Inputs (2)'!M39</f>
        <v>1782.077</v>
      </c>
      <c r="S337" s="46">
        <f>'Inputs (2)'!N39</f>
        <v>1985.849</v>
      </c>
      <c r="T337" s="46">
        <f>'Inputs (2)'!O39</f>
        <v>1907.132</v>
      </c>
      <c r="U337" s="46">
        <f>'Inputs (2)'!P39</f>
        <v>1978.46</v>
      </c>
      <c r="V337" s="46">
        <f>'Inputs (2)'!Q39</f>
        <v>1990.907</v>
      </c>
      <c r="W337" s="12">
        <f>'Inputs (2)'!R39</f>
        <v>1990.907</v>
      </c>
      <c r="X337" s="46">
        <f>'Inputs (2)'!S39</f>
        <v>2049.413</v>
      </c>
      <c r="Y337" s="46">
        <f>'Inputs (2)'!T39</f>
        <v>2132.389</v>
      </c>
      <c r="Z337" s="46">
        <f>'Inputs (2)'!U39</f>
        <v>2166.941</v>
      </c>
      <c r="AA337" s="46">
        <f>'Inputs (2)'!V39</f>
        <v>2279.101</v>
      </c>
      <c r="AB337" s="12">
        <f>'Inputs (2)'!W39</f>
        <v>2279.101</v>
      </c>
      <c r="AC337" s="46">
        <f>'Inputs (2)'!X39</f>
        <v>2309.319</v>
      </c>
      <c r="AD337" s="46">
        <f>'Inputs (2)'!Y39</f>
        <v>2347.373</v>
      </c>
      <c r="AE337" s="46">
        <f>'Inputs (2)'!Z39</f>
        <v>2443.419</v>
      </c>
      <c r="AF337" s="46">
        <f>'Inputs (2)'!AA39</f>
        <v>2499.63</v>
      </c>
      <c r="AG337" s="12">
        <f>'Inputs (2)'!AB39</f>
        <v>2499.63</v>
      </c>
      <c r="AH337" s="12">
        <f>'Inputs (2)'!AC39</f>
        <v>2544.728</v>
      </c>
      <c r="AI337" s="12">
        <f>'Inputs (2)'!AD39</f>
        <v>2626.736</v>
      </c>
      <c r="AJ337" s="12">
        <f>AI337</f>
        <v>2626.736</v>
      </c>
      <c r="AK337" s="12">
        <f>AJ337</f>
        <v>2626.736</v>
      </c>
      <c r="AL337" s="12">
        <f>AK337</f>
        <v>2626.736</v>
      </c>
      <c r="AM337" s="12">
        <f>AL337</f>
        <v>2626.736</v>
      </c>
      <c r="AN337" s="12">
        <f>AM337</f>
        <v>2626.736</v>
      </c>
      <c r="AO337" s="12">
        <f>AN337</f>
        <v>2626.736</v>
      </c>
      <c r="AP337" s="12">
        <f>AO337</f>
        <v>2626.736</v>
      </c>
      <c r="AQ337" s="12">
        <f>AP337</f>
        <v>2626.736</v>
      </c>
      <c r="AR337" s="12">
        <f>AQ337</f>
        <v>2626.736</v>
      </c>
      <c r="AS337" s="12">
        <f>AR337</f>
        <v>2626.736</v>
      </c>
      <c r="AT337" s="12">
        <f>AS337</f>
        <v>2626.736</v>
      </c>
      <c r="AU337" s="12">
        <f>AT337</f>
        <v>2626.736</v>
      </c>
      <c r="AV337" s="12">
        <f>AU337</f>
        <v>2626.736</v>
      </c>
      <c r="AW337" s="12">
        <f>AV337</f>
        <v>2626.736</v>
      </c>
      <c r="AX337" s="12">
        <f>AW337</f>
        <v>2626.736</v>
      </c>
      <c r="AY337" s="12">
        <f>AX337</f>
        <v>2626.736</v>
      </c>
      <c r="AZ337" s="12">
        <f>AY337</f>
        <v>2626.736</v>
      </c>
      <c r="BA337" s="12">
        <f>AZ337</f>
        <v>2626.736</v>
      </c>
      <c r="BB337" s="12">
        <f>BA337</f>
        <v>2626.736</v>
      </c>
      <c r="BC337" s="12">
        <f>BB337</f>
        <v>2626.736</v>
      </c>
      <c r="BD337" s="12">
        <f>BC337</f>
        <v>2626.736</v>
      </c>
      <c r="BE337" s="12">
        <f>BD337</f>
        <v>2626.736</v>
      </c>
      <c r="BF337" s="12">
        <f>BE337</f>
        <v>2626.736</v>
      </c>
      <c r="BG337" s="12" t="n"/>
      <c r="BH337" s="12" t="n"/>
      <c r="BI337" s="12" t="n"/>
      <c r="BJ337" s="12" t="n"/>
      <c r="BK337" s="12" t="n"/>
      <c r="BL337" s="12" t="n"/>
      <c r="BM337" s="12" t="n"/>
      <c r="BN337" s="12" t="n"/>
      <c r="BO337" s="12" t="n"/>
      <c r="BP337" s="12" t="n"/>
      <c r="BQ337" s="12" t="n"/>
      <c r="BR337" s="12" t="n"/>
      <c r="BS337" s="12" t="n"/>
      <c r="BT337" s="12" t="n"/>
      <c r="BU337" s="12" t="n"/>
      <c r="BV337" s="12" t="n"/>
      <c r="BW337" s="12" t="n"/>
      <c r="BX337" s="12" t="n"/>
      <c r="BY337" s="12" t="n"/>
      <c r="BZ337" s="12" t="n"/>
      <c r="CA337" s="12" t="n"/>
      <c r="CB337" s="12" t="n"/>
      <c r="CC337" s="12" t="n"/>
      <c r="CD337" s="12" t="n"/>
      <c r="CE337" s="12" t="n"/>
      <c r="CF337" s="12" t="n"/>
      <c r="CG337" s="12" t="n"/>
      <c r="CH337" s="12" t="n"/>
      <c r="CI337" s="12" t="n"/>
      <c r="CJ337" s="12" t="n"/>
      <c r="CK337" s="12" t="n"/>
      <c r="CL337" s="12" t="n"/>
      <c r="CM337" s="12" t="n"/>
      <c r="CN337" s="12" t="n"/>
      <c r="CO337" s="12" t="n"/>
      <c r="CP337" s="12" t="n"/>
      <c r="CQ337" s="12" t="n"/>
      <c r="CR337" s="12" t="n"/>
      <c r="CS337" s="12" t="n"/>
      <c r="CT337" s="12" t="n"/>
      <c r="CU337" s="12" t="n"/>
      <c r="CV337" s="12" t="n"/>
      <c r="CW337" s="12" t="n"/>
      <c r="CX337" s="12" t="n"/>
      <c r="CY337" s="12" t="n"/>
    </row>
    <row r="338" hidden="1" outlineLevel="1" ht="12" customHeight="1">
      <c r="C338" s="59" t="inlineStr">
        <is>
          <t>%(Var.)</t>
        </is>
      </c>
      <c r="D338" s="12" t="n"/>
      <c r="E338" s="40" t="n"/>
      <c r="F338" s="40" t="n"/>
      <c r="G338" s="40" t="n"/>
      <c r="H338" s="12" t="n"/>
      <c r="I338" s="40" t="str">
        <f>""</f>
        <v/>
      </c>
      <c r="J338" s="40">
        <f>IF(I337=0,"",J337/I337-1)</f>
        <v>0.0521694567816877</v>
      </c>
      <c r="K338" s="40">
        <f>IF(J337=0,"",K337/J337-1)</f>
        <v>0.0307446973550813</v>
      </c>
      <c r="L338" s="40">
        <f>IF(K337=0,"",L337/K337-1)</f>
        <v>0.094458208170543</v>
      </c>
      <c r="M338" s="12">
        <f>IF(L337=0,"",M337/L337-1)</f>
        <v>0</v>
      </c>
      <c r="N338" s="40">
        <f>IF(M337=0,"",N337/M337-1)</f>
        <v>0.0264563734006054</v>
      </c>
      <c r="O338" s="40">
        <f>IF(N337=0,"",O337/N337-1)</f>
        <v>0.0813109200967617</v>
      </c>
      <c r="P338" s="40">
        <f>IF(O337=0,"",P337/O337-1)</f>
        <v>0.0177276947254317</v>
      </c>
      <c r="Q338" s="40">
        <f>IF(P337=0,"",Q337/P337-1)</f>
        <v>0.0090961957811182</v>
      </c>
      <c r="R338" s="12">
        <f>IF(Q337=0,"",R337/Q337-1)</f>
        <v>0</v>
      </c>
      <c r="S338" s="40">
        <f>IF(R337=0,"",S337/R337-1)</f>
        <v>0.114345227507004</v>
      </c>
      <c r="T338" s="40">
        <f>IF(S337=0,"",T337/S337-1)</f>
        <v>-0.039638965500398</v>
      </c>
      <c r="U338" s="40">
        <f>IF(T337=0,"",U337/T337-1)</f>
        <v>0.0374006623558307</v>
      </c>
      <c r="V338" s="40">
        <f>IF(U337=0,"",V337/U337-1)</f>
        <v>0.00629125683612508</v>
      </c>
      <c r="W338" s="12">
        <f>IF(V337=0,"",W337/V337-1)</f>
        <v>0</v>
      </c>
      <c r="X338" s="40">
        <f>IF(W337=0,"",X337/W337-1)</f>
        <v>0.0293866062051116</v>
      </c>
      <c r="Y338" s="40">
        <f>IF(X337=0,"",Y337/X337-1)</f>
        <v>0.0404876908656284</v>
      </c>
      <c r="Z338" s="40">
        <f>IF(Y337=0,"",Z337/Y337-1)</f>
        <v>0.0162034225462613</v>
      </c>
      <c r="AA338" s="40">
        <f>IF(Z337=0,"",AA337/Z337-1)</f>
        <v>0.0517596002844565</v>
      </c>
      <c r="AB338" s="12">
        <f>IF(AA337=0,"",AB337/AA337-1)</f>
        <v>0</v>
      </c>
      <c r="AC338" s="40">
        <f>IF(AB337=0,"",AC337/AB337-1)</f>
        <v>0.0132587366685373</v>
      </c>
      <c r="AD338" s="40">
        <f>IF(AC337=0,"",AD337/AC337-1)</f>
        <v>0.0164784510065521</v>
      </c>
      <c r="AE338" s="40">
        <f>IF(AD337=0,"",AE337/AD337-1)</f>
        <v>0.0409163775846446</v>
      </c>
      <c r="AF338" s="41">
        <f>IF(AE337=0,"",AF337/AE337-1)</f>
        <v>0.023005059713459</v>
      </c>
      <c r="AG338" s="12">
        <f>IF(AF337=0,"",AG337/AF337-1)</f>
        <v>0</v>
      </c>
      <c r="AH338" s="41">
        <f>IF(AG337=0,"",AH337/AG337-1)</f>
        <v>0.018041870196789</v>
      </c>
      <c r="AI338" s="41">
        <f>IF(AH337=0,"",AI337/AH337-1)</f>
        <v>0.032226626971527</v>
      </c>
      <c r="AJ338" s="41">
        <f>IF(AI337=0,"",AJ337/AI337-1)</f>
        <v>0</v>
      </c>
      <c r="AK338" s="41">
        <f>IF(AJ337=0,"",AK337/AJ337-1)</f>
        <v>0</v>
      </c>
      <c r="AL338" s="12">
        <f>IF(AK337=0,"",AL337/AK337-1)</f>
        <v>0</v>
      </c>
      <c r="AM338" s="41">
        <f>IF(AL337=0,"",AM337/AL337-1)</f>
        <v>0</v>
      </c>
      <c r="AN338" s="41">
        <f>IF(AM337=0,"",AN337/AM337-1)</f>
        <v>0</v>
      </c>
      <c r="AO338" s="41">
        <f>IF(AN337=0,"",AO337/AN337-1)</f>
        <v>0</v>
      </c>
      <c r="AP338" s="41">
        <f>IF(AO337=0,"",AP337/AO337-1)</f>
        <v>0</v>
      </c>
      <c r="AQ338" s="12">
        <f>IF(AP337=0,"",AQ337/AP337-1)</f>
        <v>0</v>
      </c>
      <c r="AR338" s="41">
        <f>IF(AQ337=0,"",AR337/AQ337-1)</f>
        <v>0</v>
      </c>
      <c r="AS338" s="41">
        <f>IF(AR337=0,"",AS337/AR337-1)</f>
        <v>0</v>
      </c>
      <c r="AT338" s="41">
        <f>IF(AS337=0,"",AT337/AS337-1)</f>
        <v>0</v>
      </c>
      <c r="AU338" s="41">
        <f>IF(AT337=0,"",AU337/AT337-1)</f>
        <v>0</v>
      </c>
      <c r="AV338" s="12">
        <f>IF(AU337=0,"",AV337/AU337-1)</f>
        <v>0</v>
      </c>
      <c r="AW338" s="41">
        <f>IF(AV337=0,"",AW337/AV337-1)</f>
        <v>0</v>
      </c>
      <c r="AX338" s="41">
        <f>IF(AW337=0,"",AX337/AW337-1)</f>
        <v>0</v>
      </c>
      <c r="AY338" s="41">
        <f>IF(AX337=0,"",AY337/AX337-1)</f>
        <v>0</v>
      </c>
      <c r="AZ338" s="41">
        <f>IF(AY337=0,"",AZ337/AY337-1)</f>
        <v>0</v>
      </c>
      <c r="BA338" s="12">
        <f>IF(AZ337=0,"",BA337/AZ337-1)</f>
        <v>0</v>
      </c>
      <c r="BB338" s="41">
        <f>IF(BA337=0,"",BB337/BA337-1)</f>
        <v>0</v>
      </c>
      <c r="BC338" s="41">
        <f>IF(BB337=0,"",BC337/BB337-1)</f>
        <v>0</v>
      </c>
      <c r="BD338" s="41">
        <f>IF(BC337=0,"",BD337/BC337-1)</f>
        <v>0</v>
      </c>
      <c r="BE338" s="41">
        <f>IF(BD337=0,"",BE337/BD337-1)</f>
        <v>0</v>
      </c>
      <c r="BF338" s="12">
        <f>IF(BE337=0,"",BF337/BE337-1)</f>
        <v>0</v>
      </c>
      <c r="BG338" s="41" t="n"/>
      <c r="BH338" s="41" t="n"/>
      <c r="BI338" s="41" t="n"/>
      <c r="BJ338" s="41" t="n"/>
      <c r="BK338" s="12" t="n"/>
      <c r="BL338" s="41" t="n"/>
      <c r="BM338" s="41" t="n"/>
      <c r="BN338" s="41" t="n"/>
      <c r="BO338" s="41" t="n"/>
      <c r="BP338" s="12" t="n"/>
      <c r="BQ338" s="41" t="n"/>
      <c r="BR338" s="41" t="n"/>
      <c r="BS338" s="41" t="n"/>
      <c r="BT338" s="41" t="n"/>
      <c r="BU338" s="12" t="n"/>
      <c r="BV338" s="41" t="n"/>
      <c r="BW338" s="41" t="n"/>
      <c r="BX338" s="41" t="n"/>
      <c r="BY338" s="41" t="n"/>
      <c r="BZ338" s="12" t="n"/>
      <c r="CA338" s="41" t="n"/>
      <c r="CB338" s="41" t="n"/>
      <c r="CC338" s="41" t="n"/>
      <c r="CD338" s="41" t="n"/>
      <c r="CE338" s="12" t="n"/>
      <c r="CF338" s="41" t="n"/>
      <c r="CG338" s="41" t="n"/>
      <c r="CH338" s="41" t="n"/>
      <c r="CI338" s="41" t="n"/>
      <c r="CJ338" s="12" t="n"/>
      <c r="CK338" s="41" t="n"/>
      <c r="CL338" s="41" t="n"/>
      <c r="CM338" s="41" t="n"/>
      <c r="CN338" s="41" t="n"/>
      <c r="CO338" s="12" t="n"/>
      <c r="CP338" s="41" t="n"/>
      <c r="CQ338" s="41" t="n"/>
      <c r="CR338" s="41" t="n"/>
      <c r="CS338" s="41" t="n"/>
      <c r="CT338" s="12" t="n"/>
      <c r="CU338" s="41" t="n"/>
      <c r="CV338" s="41" t="n"/>
      <c r="CW338" s="41" t="n"/>
      <c r="CX338" s="41" t="n"/>
      <c r="CY338" s="12" t="n"/>
    </row>
    <row r="339" hidden="1" outlineLevel="1" ht="12" customHeight="1">
      <c r="C339" s="59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  <c r="AL339" s="12" t="n"/>
      <c r="AM339" s="12" t="n"/>
      <c r="AN339" s="12" t="n"/>
      <c r="AO339" s="12" t="n"/>
      <c r="AP339" s="12" t="n"/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  <c r="BJ339" s="12" t="n"/>
      <c r="BK339" s="12" t="n"/>
      <c r="BL339" s="12" t="n"/>
      <c r="BM339" s="12" t="n"/>
      <c r="BN339" s="12" t="n"/>
      <c r="BO339" s="12" t="n"/>
      <c r="BP339" s="12" t="n"/>
      <c r="BQ339" s="12" t="n"/>
      <c r="BR339" s="12" t="n"/>
      <c r="BS339" s="12" t="n"/>
      <c r="BT339" s="12" t="n"/>
      <c r="BU339" s="12" t="n"/>
      <c r="BV339" s="12" t="n"/>
      <c r="BW339" s="12" t="n"/>
      <c r="BX339" s="12" t="n"/>
      <c r="BY339" s="12" t="n"/>
      <c r="BZ339" s="12" t="n"/>
      <c r="CA339" s="12" t="n"/>
      <c r="CB339" s="12" t="n"/>
      <c r="CC339" s="12" t="n"/>
      <c r="CD339" s="12" t="n"/>
      <c r="CE339" s="12" t="n"/>
      <c r="CF339" s="12" t="n"/>
      <c r="CG339" s="12" t="n"/>
      <c r="CH339" s="12" t="n"/>
      <c r="CI339" s="12" t="n"/>
      <c r="CJ339" s="12" t="n"/>
      <c r="CK339" s="12" t="n"/>
      <c r="CL339" s="12" t="n"/>
      <c r="CM339" s="12" t="n"/>
      <c r="CN339" s="12" t="n"/>
      <c r="CO339" s="12" t="n"/>
      <c r="CP339" s="12" t="n"/>
      <c r="CQ339" s="12" t="n"/>
      <c r="CR339" s="12" t="n"/>
      <c r="CS339" s="12" t="n"/>
      <c r="CT339" s="12" t="n"/>
      <c r="CU339" s="12" t="n"/>
      <c r="CV339" s="12" t="n"/>
      <c r="CW339" s="12" t="n"/>
      <c r="CX339" s="12" t="n"/>
      <c r="CY339" s="12" t="n"/>
    </row>
    <row r="340" hidden="1" outlineLevel="1">
      <c r="C340" s="57" t="inlineStr">
        <is>
          <t>Contas a pagar pela aquisição de controladas</t>
        </is>
      </c>
      <c r="D340" s="11" t="n"/>
      <c r="E340" s="11" t="n"/>
      <c r="F340" s="11" t="n"/>
      <c r="G340" s="11" t="n"/>
      <c r="H340" s="12" t="n"/>
      <c r="I340" s="11" t="n"/>
      <c r="J340" s="11" t="n"/>
      <c r="K340" s="11" t="n"/>
      <c r="L340" s="11" t="n"/>
      <c r="M340" s="12" t="n"/>
      <c r="N340" s="11" t="n"/>
      <c r="O340" s="11" t="n"/>
      <c r="P340" s="11" t="n"/>
      <c r="Q340" s="11" t="n"/>
      <c r="R340" s="12" t="n"/>
      <c r="S340" s="11" t="n"/>
      <c r="T340" s="11" t="n"/>
      <c r="U340" s="11" t="n"/>
      <c r="V340" s="11" t="n"/>
      <c r="W340" s="12" t="n"/>
      <c r="X340" s="11" t="n"/>
      <c r="Y340" s="11" t="n"/>
      <c r="Z340" s="11" t="n"/>
      <c r="AA340" s="11" t="n"/>
      <c r="AB340" s="12" t="n"/>
      <c r="AC340" s="11" t="n"/>
      <c r="AD340" s="11" t="n"/>
      <c r="AE340" s="11" t="n"/>
      <c r="AF340" s="11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  <c r="AQ340" s="12" t="n"/>
      <c r="AR340" s="12" t="n"/>
      <c r="AS340" s="12" t="n"/>
      <c r="AT340" s="12" t="n"/>
      <c r="AU340" s="12" t="n"/>
      <c r="AV340" s="12" t="n"/>
      <c r="AW340" s="12" t="n"/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  <c r="BJ340" s="12" t="n"/>
      <c r="BK340" s="12" t="n"/>
      <c r="BL340" s="12" t="n"/>
      <c r="BM340" s="12" t="n"/>
      <c r="BN340" s="12" t="n"/>
      <c r="BO340" s="12" t="n"/>
      <c r="BP340" s="12" t="n"/>
      <c r="BQ340" s="12" t="n"/>
      <c r="BR340" s="12" t="n"/>
      <c r="BS340" s="12" t="n"/>
      <c r="BT340" s="12" t="n"/>
      <c r="BU340" s="12" t="n"/>
      <c r="BV340" s="12" t="n"/>
      <c r="BW340" s="12" t="n"/>
      <c r="BX340" s="12" t="n"/>
      <c r="BY340" s="12" t="n"/>
      <c r="BZ340" s="12" t="n"/>
      <c r="CA340" s="12" t="n"/>
      <c r="CB340" s="12" t="n"/>
      <c r="CC340" s="12" t="n"/>
      <c r="CD340" s="12" t="n"/>
      <c r="CE340" s="12" t="n"/>
      <c r="CF340" s="12" t="n"/>
      <c r="CG340" s="12" t="n"/>
      <c r="CH340" s="12" t="n"/>
      <c r="CI340" s="12" t="n"/>
      <c r="CJ340" s="12" t="n"/>
      <c r="CK340" s="12" t="n"/>
      <c r="CL340" s="12" t="n"/>
      <c r="CM340" s="12" t="n"/>
      <c r="CN340" s="12" t="n"/>
      <c r="CO340" s="12" t="n"/>
      <c r="CP340" s="12" t="n"/>
      <c r="CQ340" s="12" t="n"/>
      <c r="CR340" s="12" t="n"/>
      <c r="CS340" s="12" t="n"/>
      <c r="CT340" s="12" t="n"/>
      <c r="CU340" s="12" t="n"/>
      <c r="CV340" s="12" t="n"/>
      <c r="CW340" s="12" t="n"/>
      <c r="CX340" s="12" t="n"/>
      <c r="CY340" s="12" t="n"/>
    </row>
    <row r="341" hidden="1" outlineLevel="1">
      <c r="C341" s="57" t="inlineStr">
        <is>
          <t xml:space="preserve">Outras Obrigações </t>
        </is>
      </c>
      <c r="D341" s="11" t="n"/>
      <c r="E341" s="11" t="n"/>
      <c r="F341" s="11" t="n"/>
      <c r="G341" s="11" t="n"/>
      <c r="H341" s="12" t="n"/>
      <c r="I341" s="11" t="n"/>
      <c r="J341" s="11" t="n"/>
      <c r="K341" s="11" t="n"/>
      <c r="L341" s="11" t="n"/>
      <c r="M341" s="12" t="n"/>
      <c r="N341" s="11" t="n"/>
      <c r="O341" s="11" t="n"/>
      <c r="P341" s="11" t="n"/>
      <c r="Q341" s="11" t="n"/>
      <c r="R341" s="12" t="n"/>
      <c r="S341" s="11" t="n"/>
      <c r="T341" s="11" t="n"/>
      <c r="U341" s="11" t="n"/>
      <c r="V341" s="11" t="n"/>
      <c r="W341" s="12" t="n"/>
      <c r="X341" s="11" t="n"/>
      <c r="Y341" s="11" t="n"/>
      <c r="Z341" s="11" t="n"/>
      <c r="AA341" s="11" t="n"/>
      <c r="AB341" s="12" t="n"/>
      <c r="AC341" s="11" t="n"/>
      <c r="AD341" s="11" t="n"/>
      <c r="AE341" s="11" t="n"/>
      <c r="AF341" s="11" t="n"/>
      <c r="AG341" s="12" t="n"/>
      <c r="AH341" s="12" t="n"/>
      <c r="AI341" s="12" t="n"/>
      <c r="AJ341" s="12" t="n"/>
      <c r="AK341" s="12" t="n"/>
      <c r="AL341" s="12" t="n"/>
      <c r="AM341" s="12" t="n"/>
      <c r="AN341" s="12" t="n"/>
      <c r="AO341" s="12" t="n"/>
      <c r="AP341" s="12" t="n"/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  <c r="BJ341" s="12" t="n"/>
      <c r="BK341" s="12" t="n"/>
      <c r="BL341" s="12" t="n"/>
      <c r="BM341" s="12" t="n"/>
      <c r="BN341" s="12" t="n"/>
      <c r="BO341" s="12" t="n"/>
      <c r="BP341" s="12" t="n"/>
      <c r="BQ341" s="12" t="n"/>
      <c r="BR341" s="12" t="n"/>
      <c r="BS341" s="12" t="n"/>
      <c r="BT341" s="12" t="n"/>
      <c r="BU341" s="12" t="n"/>
      <c r="BV341" s="12" t="n"/>
      <c r="BW341" s="12" t="n"/>
      <c r="BX341" s="12" t="n"/>
      <c r="BY341" s="12" t="n"/>
      <c r="BZ341" s="12" t="n"/>
      <c r="CA341" s="12" t="n"/>
      <c r="CB341" s="12" t="n"/>
      <c r="CC341" s="12" t="n"/>
      <c r="CD341" s="12" t="n"/>
      <c r="CE341" s="12" t="n"/>
      <c r="CF341" s="12" t="n"/>
      <c r="CG341" s="12" t="n"/>
      <c r="CH341" s="12" t="n"/>
      <c r="CI341" s="12" t="n"/>
      <c r="CJ341" s="12" t="n"/>
      <c r="CK341" s="12" t="n"/>
      <c r="CL341" s="12" t="n"/>
      <c r="CM341" s="12" t="n"/>
      <c r="CN341" s="12" t="n"/>
      <c r="CO341" s="12" t="n"/>
      <c r="CP341" s="12" t="n"/>
      <c r="CQ341" s="12" t="n"/>
      <c r="CR341" s="12" t="n"/>
      <c r="CS341" s="12" t="n"/>
      <c r="CT341" s="12" t="n"/>
      <c r="CU341" s="12" t="n"/>
      <c r="CV341" s="12" t="n"/>
      <c r="CW341" s="12" t="n"/>
      <c r="CX341" s="12" t="n"/>
      <c r="CY341" s="12" t="n"/>
    </row>
    <row r="342" hidden="1" outlineLevel="1">
      <c r="C342" s="57" t="inlineStr">
        <is>
          <t xml:space="preserve">Provisão de Risco Cíveis, Trabalhistas e Tributários </t>
        </is>
      </c>
      <c r="D342" s="11" t="n"/>
      <c r="E342" s="11" t="n"/>
      <c r="F342" s="11" t="n"/>
      <c r="G342" s="11" t="n"/>
      <c r="H342" s="12" t="n"/>
      <c r="I342" s="11" t="n"/>
      <c r="J342" s="11" t="n"/>
      <c r="K342" s="11" t="n"/>
      <c r="L342" s="11" t="n"/>
      <c r="M342" s="12" t="n"/>
      <c r="N342" s="11" t="n"/>
      <c r="O342" s="11" t="n"/>
      <c r="P342" s="11" t="n"/>
      <c r="Q342" s="11" t="n"/>
      <c r="R342" s="12" t="n"/>
      <c r="S342" s="11" t="n"/>
      <c r="T342" s="11" t="n"/>
      <c r="U342" s="11" t="n"/>
      <c r="V342" s="11" t="n"/>
      <c r="W342" s="12" t="n"/>
      <c r="X342" s="11" t="n"/>
      <c r="Y342" s="11" t="n"/>
      <c r="Z342" s="11" t="n"/>
      <c r="AA342" s="11" t="n"/>
      <c r="AB342" s="12" t="n"/>
      <c r="AC342" s="11" t="n"/>
      <c r="AD342" s="11" t="n"/>
      <c r="AE342" s="11" t="n"/>
      <c r="AF342" s="11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  <c r="AQ342" s="12" t="n"/>
      <c r="AR342" s="12" t="n"/>
      <c r="AS342" s="12" t="n"/>
      <c r="AT342" s="12" t="n"/>
      <c r="AU342" s="12" t="n"/>
      <c r="AV342" s="12" t="n"/>
      <c r="AW342" s="12" t="n"/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  <c r="BJ342" s="12" t="n"/>
      <c r="BK342" s="12" t="n"/>
      <c r="BL342" s="12" t="n"/>
      <c r="BM342" s="12" t="n"/>
      <c r="BN342" s="12" t="n"/>
      <c r="BO342" s="12" t="n"/>
      <c r="BP342" s="12" t="n"/>
      <c r="BQ342" s="12" t="n"/>
      <c r="BR342" s="12" t="n"/>
      <c r="BS342" s="12" t="n"/>
      <c r="BT342" s="12" t="n"/>
      <c r="BU342" s="12" t="n"/>
      <c r="BV342" s="12" t="n"/>
      <c r="BW342" s="12" t="n"/>
      <c r="BX342" s="12" t="n"/>
      <c r="BY342" s="12" t="n"/>
      <c r="BZ342" s="12" t="n"/>
      <c r="CA342" s="12" t="n"/>
      <c r="CB342" s="12" t="n"/>
      <c r="CC342" s="12" t="n"/>
      <c r="CD342" s="12" t="n"/>
      <c r="CE342" s="12" t="n"/>
      <c r="CF342" s="12" t="n"/>
      <c r="CG342" s="12" t="n"/>
      <c r="CH342" s="12" t="n"/>
      <c r="CI342" s="12" t="n"/>
      <c r="CJ342" s="12" t="n"/>
      <c r="CK342" s="12" t="n"/>
      <c r="CL342" s="12" t="n"/>
      <c r="CM342" s="12" t="n"/>
      <c r="CN342" s="12" t="n"/>
      <c r="CO342" s="12" t="n"/>
      <c r="CP342" s="12" t="n"/>
      <c r="CQ342" s="12" t="n"/>
      <c r="CR342" s="12" t="n"/>
      <c r="CS342" s="12" t="n"/>
      <c r="CT342" s="12" t="n"/>
      <c r="CU342" s="12" t="n"/>
      <c r="CV342" s="12" t="n"/>
      <c r="CW342" s="12" t="n"/>
      <c r="CX342" s="12" t="n"/>
      <c r="CY342" s="12" t="n"/>
    </row>
    <row r="343" hidden="1" outlineLevel="1">
      <c r="C343" s="57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  <c r="AL343" s="12" t="n"/>
      <c r="AM343" s="12" t="n"/>
      <c r="AN343" s="12" t="n"/>
      <c r="AO343" s="12" t="n"/>
      <c r="AP343" s="12" t="n"/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  <c r="BJ343" s="12" t="n"/>
      <c r="BK343" s="12" t="n"/>
      <c r="BL343" s="12" t="n"/>
      <c r="BM343" s="12" t="n"/>
      <c r="BN343" s="12" t="n"/>
      <c r="BO343" s="12" t="n"/>
      <c r="BP343" s="12" t="n"/>
      <c r="BQ343" s="12" t="n"/>
      <c r="BR343" s="12" t="n"/>
      <c r="BS343" s="12" t="n"/>
      <c r="BT343" s="12" t="n"/>
      <c r="BU343" s="12" t="n"/>
      <c r="BV343" s="12" t="n"/>
      <c r="BW343" s="12" t="n"/>
      <c r="BX343" s="12" t="n"/>
      <c r="BY343" s="12" t="n"/>
      <c r="BZ343" s="12" t="n"/>
      <c r="CA343" s="12" t="n"/>
      <c r="CB343" s="12" t="n"/>
      <c r="CC343" s="12" t="n"/>
      <c r="CD343" s="12" t="n"/>
      <c r="CE343" s="12" t="n"/>
      <c r="CF343" s="12" t="n"/>
      <c r="CG343" s="12" t="n"/>
      <c r="CH343" s="12" t="n"/>
      <c r="CI343" s="12" t="n"/>
      <c r="CJ343" s="12" t="n"/>
      <c r="CK343" s="12" t="n"/>
      <c r="CL343" s="12" t="n"/>
      <c r="CM343" s="12" t="n"/>
      <c r="CN343" s="12" t="n"/>
      <c r="CO343" s="12" t="n"/>
      <c r="CP343" s="12" t="n"/>
      <c r="CQ343" s="12" t="n"/>
      <c r="CR343" s="12" t="n"/>
      <c r="CS343" s="12" t="n"/>
      <c r="CT343" s="12" t="n"/>
      <c r="CU343" s="12" t="n"/>
      <c r="CV343" s="12" t="n"/>
      <c r="CW343" s="12" t="n"/>
      <c r="CX343" s="12" t="n"/>
      <c r="CY343" s="12" t="n"/>
    </row>
    <row r="344" collapsed="1" customFormat="1" s="32">
      <c r="A344" s="30" t="n"/>
      <c r="B344" s="30" t="n"/>
      <c r="C344" s="65" t="inlineStr">
        <is>
          <t>Total Liabilities</t>
        </is>
      </c>
      <c r="D344" s="35" t="n"/>
      <c r="E344" s="35" t="n"/>
      <c r="F344" s="35" t="n"/>
      <c r="G344" s="35" t="n"/>
      <c r="H344" s="35" t="n"/>
      <c r="I344" s="35">
        <f>SUM(I295+I299+I301+I302+I309+I310+I311+I314+I332+I335+I336+I337)</f>
        <v>13923.436</v>
      </c>
      <c r="J344" s="35">
        <f>SUM(J295+J299+J301+J302+J309+J310+J311+J314+J332+J335+J336+J337)</f>
        <v>14102.078</v>
      </c>
      <c r="K344" s="35">
        <f>SUM(K295+K299+K301+K302+K309+K310+K311+K314+K332+K335+K336+K337)</f>
        <v>14217.095</v>
      </c>
      <c r="L344" s="35">
        <f>SUM(L295+L299+L301+L302+L309+L310+L311+L314+L332+L335+L336+L337)</f>
        <v>15384.293</v>
      </c>
      <c r="M344" s="35">
        <f>SUM(M295,M299,M301,M302,M309,M310,M314,M311,M332,M335,M336,M337)</f>
        <v>15384.293</v>
      </c>
      <c r="N344" s="35">
        <f>SUM(N295+N299+N301+N302+N309+N310+N311+N314+N332+N335+N336+N337)</f>
        <v>15827.509</v>
      </c>
      <c r="O344" s="35">
        <f>SUM(O295+O299+O301+O302+O309+O310+O311+O314+O332+O335+O336+O337)</f>
        <v>16319.044</v>
      </c>
      <c r="P344" s="35">
        <f>SUM(P295+P299+P301+P302+P309+P310+P311+P314+P332+P335+P336+P337)</f>
        <v>16719.22</v>
      </c>
      <c r="Q344" s="35">
        <f>SUM(Q295+Q299+Q301+Q302+Q309+Q310+Q311+Q314+Q332+Q335+Q336+Q337)</f>
        <v>17562.14</v>
      </c>
      <c r="R344" s="35">
        <f>SUM(R295,R299,R301,R302,R309,R310,R314,R311,R332,R335,R336,R337)</f>
        <v>17562.14</v>
      </c>
      <c r="S344" s="35">
        <f>SUM(S295+S299+S301+S302+S309+S310+S311+S314+S332+S335+S336+S337)</f>
        <v>17871.566</v>
      </c>
      <c r="T344" s="35">
        <f>SUM(T295+T299+T301+T302+T309+T310+T311+T314+T332+T335+T336+T337)</f>
        <v>17262.696</v>
      </c>
      <c r="U344" s="35">
        <f>SUM(U295+U299+U301+U302+U309+U310+U311+U314+U332+U335+U336+U337)</f>
        <v>17410.671</v>
      </c>
      <c r="V344" s="35">
        <f>SUM(V295+V299+V301+V302+V309+V310+V311+V314+V332+V335+V336+V337)</f>
        <v>17807.291</v>
      </c>
      <c r="W344" s="35">
        <f>SUM(W295,W299,W301,W302,W309,W310,W314,W311,W332,W335,W336,W337)</f>
        <v>17807.291</v>
      </c>
      <c r="X344" s="35">
        <f>SUM(X295+X299+X301+X302+X309+X310+X311+X314+X332+X335+X336+X337)</f>
        <v>17850.251</v>
      </c>
      <c r="Y344" s="35">
        <f>SUM(Y295+Y299+Y301+Y302+Y309+Y310+Y311+Y314+Y332+Y335+Y336+Y337)</f>
        <v>18826.003</v>
      </c>
      <c r="Z344" s="35">
        <f>SUM(Z295+Z299+Z301+Z302+Z309+Z310+Z311+Z314+Z332+Z335+Z336+Z337)</f>
        <v>18193.579</v>
      </c>
      <c r="AA344" s="35">
        <f>SUM(AA295+AA299+AA301+AA302+AA309+AA310+AA311+AA314+AA332+AA335+AA336+AA337)</f>
        <v>18965.533</v>
      </c>
      <c r="AB344" s="35">
        <f>SUM(AB295,AB299,AB301,AB302,AB309,AB310,AB314,AB311,AB332,AB335,AB336,AB337)</f>
        <v>18965.533</v>
      </c>
      <c r="AC344" s="35">
        <f>SUM(AC295+AC299+AC301+AC302+AC309+AC310+AC311+AC314+AC332+AC335+AC336+AC337)</f>
        <v>18990.435</v>
      </c>
      <c r="AD344" s="35">
        <f>SUM(AD295+AD299+AD301+AD302+AD309+AD310+AD311+AD314+AD332+AD335+AD336+AD337)</f>
        <v>19281.289</v>
      </c>
      <c r="AE344" s="35">
        <f>SUM(AE295+AE299+AE301+AE302+AE309+AE310+AE311+AE314+AE332+AE335+AE336+AE337)</f>
        <v>19117.505</v>
      </c>
      <c r="AF344" s="35">
        <f>SUM(AF295+AF299+AF301+AF302+AF309+AF310+AF311+AF314+AF332+AF335+AF336+AF337)</f>
        <v>19537.802</v>
      </c>
      <c r="AG344" s="35">
        <f>SUM(AG295,AG299,AG301,AG302,AG309,AG310,AG314,AG311,AG332,AG335,AG336,AG337)</f>
        <v>19537.802</v>
      </c>
      <c r="AH344" s="35">
        <f>SUM(AH295+AH299+AH301+AH302+AH309+AH310+AH311+AH314+AH332+AH335+AH336+AH337)</f>
        <v>21511.944</v>
      </c>
      <c r="AI344" s="35">
        <f>SUM(AI295+AI299+AI301+AI302+AI309+AI310+AI311+AI314+AI332+AI335+AI336+AI337)</f>
        <v>22070.209</v>
      </c>
      <c r="AJ344" s="35">
        <f>SUM(AJ295+AJ299+AJ301+AJ302+AJ309+AJ310+AJ311+AJ314+AJ332+AJ335+AJ336+AJ337)</f>
        <v>22014.8237696741</v>
      </c>
      <c r="AK344" s="35">
        <f>SUM(AK295+AK299+AK301+AK302+AK309+AK310+AK311+AK314+AK332+AK335+AK336+AK337)</f>
        <v>22106.8945787489</v>
      </c>
      <c r="AL344" s="35">
        <f>SUM(AL295,AL299,AL301,AL302,AL309,AL310,AL314,AL311,AL332,AL335,AL336,AL337)</f>
        <v>22106.8945787489</v>
      </c>
      <c r="AM344" s="35">
        <f>SUM(AM295+AM299+AM301+AM302+AM309+AM310+AM311+AM314+AM332+AM335+AM336+AM337)</f>
        <v>22189.4044603072</v>
      </c>
      <c r="AN344" s="35">
        <f>SUM(AN295+AN299+AN301+AN302+AN309+AN310+AN311+AN314+AN332+AN335+AN336+AN337)</f>
        <v>22333.6802683007</v>
      </c>
      <c r="AO344" s="35">
        <f>SUM(AO295+AO299+AO301+AO302+AO309+AO310+AO311+AO314+AO332+AO335+AO336+AO337)</f>
        <v>22296.0403482773</v>
      </c>
      <c r="AP344" s="35">
        <f>SUM(AP295+AP299+AP301+AP302+AP309+AP310+AP311+AP314+AP332+AP335+AP336+AP337)</f>
        <v>22435.5450288168</v>
      </c>
      <c r="AQ344" s="35">
        <f>SUM(AQ295,AQ299,AQ301,AQ302,AQ309,AQ310,AQ314,AQ311,AQ332,AQ335,AQ336,AQ337)</f>
        <v>22435.5450288168</v>
      </c>
      <c r="AR344" s="35">
        <f>SUM(AR295+AR299+AR301+AR302+AR309+AR310+AR311+AR314+AR332+AR335+AR336+AR337)</f>
        <v>22561.1056084701</v>
      </c>
      <c r="AS344" s="35">
        <f>SUM(AS295+AS299+AS301+AS302+AS309+AS310+AS311+AS314+AS332+AS335+AS336+AS337)</f>
        <v>22771.754808415</v>
      </c>
      <c r="AT344" s="35">
        <f>SUM(AT295+AT299+AT301+AT302+AT309+AT310+AT311+AT314+AT332+AT335+AT336+AT337)</f>
        <v>22774.0984062439</v>
      </c>
      <c r="AU344" s="35">
        <f>SUM(AU295+AU299+AU301+AU302+AU309+AU310+AU311+AU314+AU332+AU335+AU336+AU337)</f>
        <v>22988.4455673191</v>
      </c>
      <c r="AV344" s="35">
        <f>SUM(AV295,AV299,AV301,AV302,AV309,AV310,AV314,AV311,AV332,AV335,AV336,AV337)</f>
        <v>22988.4455673191</v>
      </c>
      <c r="AW344" s="35">
        <f>SUM(AW295+AW299+AW301+AW302+AW309+AW310+AW311+AW314+AW332+AW335+AW336+AW337)</f>
        <v>23194.9441104354</v>
      </c>
      <c r="AX344" s="35">
        <f>SUM(AX295+AX299+AX301+AX302+AX309+AX310+AX311+AX314+AX332+AX335+AX336+AX337)</f>
        <v>23501.3254659781</v>
      </c>
      <c r="AY344" s="35">
        <f>SUM(AY295+AY299+AY301+AY302+AY309+AY310+AY311+AY314+AY332+AY335+AY336+AY337)</f>
        <v>23581.257381634</v>
      </c>
      <c r="AZ344" s="35">
        <f>SUM(AZ295+AZ299+AZ301+AZ302+AZ309+AZ310+AZ311+AZ314+AZ332+AZ335+AZ336+AZ337)</f>
        <v>23916.7404332619</v>
      </c>
      <c r="BA344" s="35">
        <f>SUM(BA295,BA299,BA301,BA302,BA309,BA310,BA314,BA311,BA332,BA335,BA336,BA337)</f>
        <v>23916.7404332619</v>
      </c>
      <c r="BB344" s="35">
        <f>SUM(BB295+BB299+BB301+BB302+BB309+BB310+BB311+BB314+BB332+BB335+BB336+BB337)</f>
        <v>24250.4333409399</v>
      </c>
      <c r="BC344" s="35">
        <f>SUM(BC295+BC299+BC301+BC302+BC309+BC310+BC311+BC314+BC332+BC335+BC336+BC337)</f>
        <v>24714.0876044879</v>
      </c>
      <c r="BD344" s="35">
        <f>SUM(BD295+BD299+BD301+BD302+BD309+BD310+BD311+BD314+BD332+BD335+BD336+BD337)</f>
        <v>24933.1484424015</v>
      </c>
      <c r="BE344" s="35">
        <f>SUM(BE295+BE299+BE301+BE302+BE309+BE310+BE311+BE314+BE332+BE335+BE336+BE337)</f>
        <v>25463.1787088119</v>
      </c>
      <c r="BF344" s="35">
        <f>SUM(BF295,BF299,BF301,BF302,BF309,BF310,BF314,BF311,BF332,BF335,BF336,BF337)</f>
        <v>25463.1787088119</v>
      </c>
      <c r="BG344" s="35" t="n"/>
      <c r="BH344" s="35" t="n"/>
      <c r="BI344" s="35" t="n"/>
      <c r="BJ344" s="35" t="n"/>
      <c r="BK344" s="35" t="n"/>
      <c r="BL344" s="35" t="n"/>
      <c r="BM344" s="35" t="n"/>
      <c r="BN344" s="35" t="n"/>
      <c r="BO344" s="35" t="n"/>
      <c r="BP344" s="35" t="n"/>
      <c r="BQ344" s="35" t="n"/>
      <c r="BR344" s="35" t="n"/>
      <c r="BS344" s="35" t="n"/>
      <c r="BT344" s="35" t="n"/>
      <c r="BU344" s="35" t="n"/>
      <c r="BV344" s="35" t="n"/>
      <c r="BW344" s="35" t="n"/>
      <c r="BX344" s="35" t="n"/>
      <c r="BY344" s="35" t="n"/>
      <c r="BZ344" s="35" t="n"/>
      <c r="CA344" s="35" t="n"/>
      <c r="CB344" s="35" t="n"/>
      <c r="CC344" s="35" t="n"/>
      <c r="CD344" s="35" t="n"/>
      <c r="CE344" s="35" t="n"/>
      <c r="CF344" s="35" t="n"/>
      <c r="CG344" s="35" t="n"/>
      <c r="CH344" s="35" t="n"/>
      <c r="CI344" s="35" t="n"/>
      <c r="CJ344" s="35" t="n"/>
      <c r="CK344" s="35" t="n"/>
      <c r="CL344" s="35" t="n"/>
      <c r="CM344" s="35" t="n"/>
      <c r="CN344" s="35" t="n"/>
      <c r="CO344" s="35" t="n"/>
      <c r="CP344" s="35" t="n"/>
      <c r="CQ344" s="35" t="n"/>
      <c r="CR344" s="35" t="n"/>
      <c r="CS344" s="35" t="n"/>
      <c r="CT344" s="35" t="n"/>
      <c r="CU344" s="35" t="n"/>
      <c r="CV344" s="35" t="n"/>
      <c r="CW344" s="35" t="n"/>
      <c r="CX344" s="35" t="n"/>
      <c r="CY344" s="35" t="n"/>
    </row>
    <row r="345">
      <c r="C345" s="14" t="inlineStr">
        <is>
          <t>Minority interest</t>
        </is>
      </c>
      <c r="D345" s="46" t="n"/>
      <c r="E345" s="46" t="n"/>
      <c r="F345" s="46" t="n"/>
      <c r="G345" s="46" t="n"/>
      <c r="H345" s="12" t="n"/>
      <c r="I345" s="46">
        <f>'Inputs (2)'!D41</f>
        <v>3518.758</v>
      </c>
      <c r="J345" s="46">
        <f>'Inputs (2)'!E41</f>
        <v>3613.423</v>
      </c>
      <c r="K345" s="46">
        <f>'Inputs (2)'!F41</f>
        <v>3681.275</v>
      </c>
      <c r="L345" s="46">
        <f>'Inputs (2)'!G41</f>
        <v>3450.486</v>
      </c>
      <c r="M345" s="12">
        <f>'Inputs (2)'!H41</f>
        <v>3450.486</v>
      </c>
      <c r="N345" s="46">
        <f>'Inputs (2)'!I41</f>
        <v>3649.408</v>
      </c>
      <c r="O345" s="46">
        <f>'Inputs (2)'!J41</f>
        <v>3594.617</v>
      </c>
      <c r="P345" s="46">
        <f>'Inputs (2)'!K41</f>
        <v>3476.338</v>
      </c>
      <c r="Q345" s="46">
        <f>'Inputs (2)'!L41</f>
        <v>3413.556</v>
      </c>
      <c r="R345" s="12">
        <f>'Inputs (2)'!M41</f>
        <v>3413.556</v>
      </c>
      <c r="S345" s="46">
        <f>'Inputs (2)'!N41</f>
        <v>3560.059</v>
      </c>
      <c r="T345" s="46">
        <f>'Inputs (2)'!O41</f>
        <v>3384.892</v>
      </c>
      <c r="U345" s="46">
        <f>'Inputs (2)'!P41</f>
        <v>3320.519</v>
      </c>
      <c r="V345" s="46">
        <f>'Inputs (2)'!Q41</f>
        <v>3273.249</v>
      </c>
      <c r="W345" s="12">
        <f>'Inputs (2)'!R41</f>
        <v>3273.249</v>
      </c>
      <c r="X345" s="46">
        <f>'Inputs (2)'!S41</f>
        <v>3423.454</v>
      </c>
      <c r="Y345" s="46">
        <f>'Inputs (2)'!T41</f>
        <v>3448.681</v>
      </c>
      <c r="Z345" s="46">
        <f>'Inputs (2)'!U41</f>
        <v>3695.059</v>
      </c>
      <c r="AA345" s="46">
        <f>'Inputs (2)'!V41</f>
        <v>3483.372</v>
      </c>
      <c r="AB345" s="12">
        <f>'Inputs (2)'!W41</f>
        <v>3483.372</v>
      </c>
      <c r="AC345" s="46">
        <f>'Inputs (2)'!X41</f>
        <v>3664.272</v>
      </c>
      <c r="AD345" s="46">
        <f>'Inputs (2)'!Y41</f>
        <v>3483.293</v>
      </c>
      <c r="AE345" s="46">
        <f>'Inputs (2)'!Z41</f>
        <v>3360.623</v>
      </c>
      <c r="AF345" s="46">
        <f>'Inputs (2)'!AA41</f>
        <v>3412.62</v>
      </c>
      <c r="AG345" s="12">
        <f>'Inputs (2)'!AB41</f>
        <v>3412.62</v>
      </c>
      <c r="AH345" s="12">
        <f>'Inputs (2)'!AC41</f>
        <v>3543.062</v>
      </c>
      <c r="AI345" s="12">
        <f>'Inputs (2)'!AD41</f>
        <v>3738.333</v>
      </c>
      <c r="AJ345" s="12">
        <f>AI345</f>
        <v>3738.333</v>
      </c>
      <c r="AK345" s="12">
        <f>AJ345</f>
        <v>3738.333</v>
      </c>
      <c r="AL345" s="12">
        <f>AK345</f>
        <v>3738.333</v>
      </c>
      <c r="AM345" s="12">
        <f>AL345</f>
        <v>3738.333</v>
      </c>
      <c r="AN345" s="12">
        <f>AM345</f>
        <v>3738.333</v>
      </c>
      <c r="AO345" s="12">
        <f>AN345</f>
        <v>3738.333</v>
      </c>
      <c r="AP345" s="12">
        <f>AO345</f>
        <v>3738.333</v>
      </c>
      <c r="AQ345" s="12">
        <f>AP345</f>
        <v>3738.333</v>
      </c>
      <c r="AR345" s="12">
        <f>AQ345</f>
        <v>3738.333</v>
      </c>
      <c r="AS345" s="12">
        <f>AR345</f>
        <v>3738.333</v>
      </c>
      <c r="AT345" s="12">
        <f>AS345</f>
        <v>3738.333</v>
      </c>
      <c r="AU345" s="12">
        <f>AT345</f>
        <v>3738.333</v>
      </c>
      <c r="AV345" s="12">
        <f>AU345</f>
        <v>3738.333</v>
      </c>
      <c r="AW345" s="12">
        <f>AV345</f>
        <v>3738.333</v>
      </c>
      <c r="AX345" s="12">
        <f>AW345</f>
        <v>3738.333</v>
      </c>
      <c r="AY345" s="12">
        <f>AX345</f>
        <v>3738.333</v>
      </c>
      <c r="AZ345" s="12">
        <f>AY345</f>
        <v>3738.333</v>
      </c>
      <c r="BA345" s="12">
        <f>AZ345</f>
        <v>3738.333</v>
      </c>
      <c r="BB345" s="12">
        <f>BA345</f>
        <v>3738.333</v>
      </c>
      <c r="BC345" s="12">
        <f>BB345</f>
        <v>3738.333</v>
      </c>
      <c r="BD345" s="12">
        <f>BC345</f>
        <v>3738.333</v>
      </c>
      <c r="BE345" s="12">
        <f>BD345</f>
        <v>3738.333</v>
      </c>
      <c r="BF345" s="12">
        <f>BE345</f>
        <v>3738.333</v>
      </c>
      <c r="BG345" s="12" t="n"/>
      <c r="BH345" s="12" t="n"/>
      <c r="BI345" s="12" t="n"/>
      <c r="BJ345" s="12" t="n"/>
      <c r="BK345" s="12" t="n"/>
      <c r="BL345" s="12" t="n"/>
      <c r="BM345" s="12" t="n"/>
      <c r="BN345" s="12" t="n"/>
      <c r="BO345" s="12" t="n"/>
      <c r="BP345" s="12" t="n"/>
      <c r="BQ345" s="12" t="n"/>
      <c r="BR345" s="12" t="n"/>
      <c r="BS345" s="12" t="n"/>
      <c r="BT345" s="12" t="n"/>
      <c r="BU345" s="12" t="n"/>
      <c r="BV345" s="12" t="n"/>
      <c r="BW345" s="12" t="n"/>
      <c r="BX345" s="12" t="n"/>
      <c r="BY345" s="12" t="n"/>
      <c r="BZ345" s="12" t="n"/>
      <c r="CA345" s="12" t="n"/>
      <c r="CB345" s="12" t="n"/>
      <c r="CC345" s="12" t="n"/>
      <c r="CD345" s="12" t="n"/>
      <c r="CE345" s="12" t="n"/>
      <c r="CF345" s="12" t="n"/>
      <c r="CG345" s="12" t="n"/>
      <c r="CH345" s="12" t="n"/>
      <c r="CI345" s="12" t="n"/>
      <c r="CJ345" s="12" t="n"/>
      <c r="CK345" s="12" t="n"/>
      <c r="CL345" s="12" t="n"/>
      <c r="CM345" s="12" t="n"/>
      <c r="CN345" s="12" t="n"/>
      <c r="CO345" s="12" t="n"/>
      <c r="CP345" s="12" t="n"/>
      <c r="CQ345" s="12" t="n"/>
      <c r="CR345" s="12" t="n"/>
      <c r="CS345" s="12" t="n"/>
      <c r="CT345" s="12" t="n"/>
      <c r="CU345" s="12" t="n"/>
      <c r="CV345" s="12" t="n"/>
      <c r="CW345" s="12" t="n"/>
      <c r="CX345" s="12" t="n"/>
      <c r="CY345" s="12" t="n"/>
    </row>
    <row r="346" hidden="1" outlineLevel="1" customFormat="1" s="66">
      <c r="A346" s="37" t="n"/>
      <c r="B346" s="37" t="n"/>
      <c r="C346" s="59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  <c r="AO346" s="42" t="n"/>
      <c r="AP346" s="42" t="n"/>
      <c r="AQ346" s="42" t="n"/>
      <c r="AR346" s="42" t="n"/>
      <c r="AS346" s="42" t="n"/>
      <c r="AT346" s="42" t="n"/>
      <c r="AU346" s="42" t="n"/>
      <c r="AV346" s="42" t="n"/>
      <c r="AW346" s="42" t="n"/>
      <c r="AX346" s="42" t="n"/>
      <c r="AY346" s="42" t="n"/>
      <c r="AZ346" s="42" t="n"/>
      <c r="BA346" s="42" t="n"/>
      <c r="BB346" s="42" t="n"/>
      <c r="BC346" s="42" t="n"/>
      <c r="BD346" s="42" t="n"/>
      <c r="BE346" s="42" t="n"/>
      <c r="BF346" s="42" t="n"/>
      <c r="BG346" s="42" t="n"/>
      <c r="BH346" s="42" t="n"/>
      <c r="BI346" s="42" t="n"/>
      <c r="BJ346" s="42" t="n"/>
      <c r="BK346" s="42" t="n"/>
      <c r="BL346" s="42" t="n"/>
      <c r="BM346" s="42" t="n"/>
      <c r="BN346" s="42" t="n"/>
      <c r="BO346" s="42" t="n"/>
      <c r="BP346" s="42" t="n"/>
      <c r="BQ346" s="42" t="n"/>
      <c r="BR346" s="42" t="n"/>
      <c r="BS346" s="42" t="n"/>
      <c r="BT346" s="42" t="n"/>
      <c r="BU346" s="42" t="n"/>
      <c r="BV346" s="42" t="n"/>
      <c r="BW346" s="42" t="n"/>
      <c r="BX346" s="42" t="n"/>
      <c r="BY346" s="42" t="n"/>
      <c r="BZ346" s="42" t="n"/>
      <c r="CA346" s="42" t="n"/>
      <c r="CB346" s="42" t="n"/>
      <c r="CC346" s="42" t="n"/>
      <c r="CD346" s="42" t="n"/>
      <c r="CE346" s="42" t="n"/>
      <c r="CF346" s="42" t="n"/>
      <c r="CG346" s="42" t="n"/>
      <c r="CH346" s="42" t="n"/>
      <c r="CI346" s="42" t="n"/>
      <c r="CJ346" s="42" t="n"/>
      <c r="CK346" s="42" t="n"/>
      <c r="CL346" s="42" t="n"/>
      <c r="CM346" s="42" t="n"/>
      <c r="CN346" s="42" t="n"/>
      <c r="CO346" s="42" t="n"/>
      <c r="CP346" s="42" t="n"/>
      <c r="CQ346" s="42" t="n"/>
      <c r="CR346" s="42" t="n"/>
      <c r="CS346" s="42" t="n"/>
      <c r="CT346" s="42" t="n"/>
      <c r="CU346" s="42" t="n"/>
      <c r="CV346" s="42" t="n"/>
      <c r="CW346" s="42" t="n"/>
      <c r="CX346" s="42" t="n"/>
      <c r="CY346" s="42" t="n"/>
    </row>
    <row r="347" hidden="1" outlineLevel="1" customFormat="1" s="66">
      <c r="A347" s="37" t="n"/>
      <c r="B347" s="37" t="n"/>
      <c r="C347" s="57" t="inlineStr">
        <is>
          <t>Minority Interest Expense - % YoY</t>
        </is>
      </c>
      <c r="D347" s="42" t="n"/>
      <c r="E347" s="58" t="n"/>
      <c r="F347" s="42" t="n"/>
      <c r="G347" s="42" t="n"/>
      <c r="H347" s="58" t="n"/>
      <c r="I347" s="42" t="n"/>
      <c r="J347" s="58">
        <f>IF(I232=0,0,J232/I232-1)</f>
        <v>0.438608458390178</v>
      </c>
      <c r="K347" s="42" t="n"/>
      <c r="L347" s="42" t="n"/>
      <c r="M347" s="58" t="n"/>
      <c r="N347" s="58">
        <f>IF(I232=0,0,N232/I232-1)</f>
        <v>-1.07776261937244</v>
      </c>
      <c r="O347" s="58">
        <f>IF(J232=0,0,O232/J232-1)</f>
        <v>0.201043148411569</v>
      </c>
      <c r="P347" s="58">
        <f>IF(K232=0,0,P232/K232-1)</f>
        <v>0.705161854768154</v>
      </c>
      <c r="Q347" s="58">
        <f>IF(L232=0,0,Q232/L232-1)</f>
        <v>1.97579143389199</v>
      </c>
      <c r="R347" s="58" t="n"/>
      <c r="S347" s="58">
        <f>IF(N232=0,0,S232/N232-1)</f>
        <v>-8.53508771929825</v>
      </c>
      <c r="T347" s="58">
        <f>IF(O232=0,0,T232/O232-1)</f>
        <v>6.95578365574418</v>
      </c>
      <c r="U347" s="58">
        <f>IF(P232=0,0,U232/P232-1)</f>
        <v>2.20472036942022</v>
      </c>
      <c r="V347" s="58">
        <f>IF(Q232=0,0,V232/Q232-1)</f>
        <v>7.70525657071339</v>
      </c>
      <c r="W347" s="58">
        <f>IF(R233=0,0,W233/R233-1)</f>
        <v>-0.387015415739321</v>
      </c>
      <c r="X347" s="58">
        <f>IF(S232=0,0,X232/S232-1)</f>
        <v>17.8381839348079</v>
      </c>
      <c r="Y347" s="58">
        <f>IF(T232=0,0,Y232/T232-1)</f>
        <v>0.528781262405716</v>
      </c>
      <c r="Z347" s="58">
        <f>IF(U232=0,0,Z232/U232-1)</f>
        <v>6.75152097342299</v>
      </c>
      <c r="AA347" s="58">
        <f>IF(V232=0,0,AA232/V232-1)</f>
        <v>2.85285026238229</v>
      </c>
      <c r="AB347" s="58">
        <f>IF(W233=0,0,AB233/W233-1)</f>
        <v>0.693536985443937</v>
      </c>
      <c r="AC347" s="58">
        <f>IF(X232=0,0,AC232/X232-1)</f>
        <v>2.06185885551848</v>
      </c>
      <c r="AD347" s="58">
        <f>IF(Y232=0,0,AD232/Y232-1)</f>
        <v>-3.59205401194495</v>
      </c>
      <c r="AE347" s="58">
        <f>IF(Z232=0,0,AE232/Z232-1)</f>
        <v>5.63600875743556</v>
      </c>
      <c r="AF347" s="58">
        <f>IF(AA232=0,0,AF232/AA232-1)</f>
        <v>-0.809448290016232</v>
      </c>
      <c r="AG347" s="58">
        <f>IF(AB233=0,0,AG233/AB233-1)</f>
        <v>-0.331063198486462</v>
      </c>
      <c r="AH347" s="62">
        <f>IF(AC232=0,0,AH232/AC232-1)</f>
        <v>-0.495731325811855</v>
      </c>
      <c r="AI347" s="62">
        <f>IF(AD232=0,0,AI232/AD232-1)</f>
        <v>-1.37393558405129</v>
      </c>
      <c r="AJ347" s="62" t="n"/>
      <c r="AK347" s="62" t="n"/>
      <c r="AL347" s="58">
        <f>IF(AG233=0,0,AL233/AG233-1)</f>
        <v>-0.158430474041504</v>
      </c>
      <c r="AM347" s="62" t="n"/>
      <c r="AN347" s="62" t="n"/>
      <c r="AO347" s="62" t="n"/>
      <c r="AP347" s="62" t="n"/>
      <c r="AQ347" s="58">
        <f>IF(AL233=0,0,AQ233/AL233-1)</f>
        <v>-1</v>
      </c>
      <c r="AR347" s="62" t="n"/>
      <c r="AS347" s="62" t="n"/>
      <c r="AT347" s="62" t="n"/>
      <c r="AU347" s="62" t="n"/>
      <c r="AV347" s="58">
        <f>IF(AQ233=0,0,AV233/AQ233-1)</f>
        <v>0</v>
      </c>
      <c r="AW347" s="62" t="n"/>
      <c r="AX347" s="62" t="n"/>
      <c r="AY347" s="62" t="n"/>
      <c r="AZ347" s="62" t="n"/>
      <c r="BA347" s="58">
        <f>IF(AV233=0,0,BA233/AV233-1)</f>
        <v>0</v>
      </c>
      <c r="BB347" s="62" t="n"/>
      <c r="BC347" s="62" t="n"/>
      <c r="BD347" s="62" t="n"/>
      <c r="BE347" s="62" t="n"/>
      <c r="BF347" s="58">
        <f>IF(BA233=0,0,BF233/BA233-1)</f>
        <v>0</v>
      </c>
      <c r="BG347" s="62" t="n"/>
      <c r="BH347" s="62" t="n"/>
      <c r="BI347" s="62" t="n"/>
      <c r="BJ347" s="62" t="n"/>
      <c r="BK347" s="58" t="n"/>
      <c r="BL347" s="62" t="n"/>
      <c r="BM347" s="62" t="n"/>
      <c r="BN347" s="62" t="n"/>
      <c r="BO347" s="62" t="n"/>
      <c r="BP347" s="58" t="n"/>
      <c r="BQ347" s="62" t="n"/>
      <c r="BR347" s="62" t="n"/>
      <c r="BS347" s="62" t="n"/>
      <c r="BT347" s="62" t="n"/>
      <c r="BU347" s="58" t="n"/>
      <c r="BV347" s="62" t="n"/>
      <c r="BW347" s="62" t="n"/>
      <c r="BX347" s="62" t="n"/>
      <c r="BY347" s="62" t="n"/>
      <c r="BZ347" s="58" t="n"/>
      <c r="CA347" s="62" t="n"/>
      <c r="CB347" s="62" t="n"/>
      <c r="CC347" s="62" t="n"/>
      <c r="CD347" s="62" t="n"/>
      <c r="CE347" s="58" t="n"/>
      <c r="CF347" s="62" t="n"/>
      <c r="CG347" s="62" t="n"/>
      <c r="CH347" s="62" t="n"/>
      <c r="CI347" s="62" t="n"/>
      <c r="CJ347" s="58" t="n"/>
      <c r="CK347" s="62" t="n"/>
      <c r="CL347" s="62" t="n"/>
      <c r="CM347" s="62" t="n"/>
      <c r="CN347" s="62" t="n"/>
      <c r="CO347" s="58" t="n"/>
      <c r="CP347" s="62" t="n"/>
      <c r="CQ347" s="62" t="n"/>
      <c r="CR347" s="62" t="n"/>
      <c r="CS347" s="62" t="n"/>
      <c r="CT347" s="58" t="n"/>
      <c r="CU347" s="62" t="n"/>
      <c r="CV347" s="62" t="n"/>
      <c r="CW347" s="62" t="n"/>
      <c r="CX347" s="62" t="n"/>
      <c r="CY347" s="58" t="n"/>
    </row>
    <row r="348" hidden="1" outlineLevel="1" customFormat="1" s="66">
      <c r="A348" s="37" t="n"/>
      <c r="B348" s="37" t="n"/>
      <c r="C348" s="57" t="inlineStr">
        <is>
          <t>Dividends (enter as -)</t>
        </is>
      </c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62" t="n"/>
      <c r="AI348" s="62" t="n"/>
      <c r="AJ348" s="62" t="n"/>
      <c r="AK348" s="62" t="n"/>
      <c r="AL348" s="42" t="n"/>
      <c r="AM348" s="62" t="n"/>
      <c r="AN348" s="62" t="n"/>
      <c r="AO348" s="62" t="n"/>
      <c r="AP348" s="62" t="n"/>
      <c r="AQ348" s="42" t="n"/>
      <c r="AR348" s="62" t="n"/>
      <c r="AS348" s="62" t="n"/>
      <c r="AT348" s="62" t="n"/>
      <c r="AU348" s="62" t="n"/>
      <c r="AV348" s="42" t="n"/>
      <c r="AW348" s="62" t="n"/>
      <c r="AX348" s="62" t="n"/>
      <c r="AY348" s="62" t="n"/>
      <c r="AZ348" s="62" t="n"/>
      <c r="BA348" s="42" t="n"/>
      <c r="BB348" s="62" t="n"/>
      <c r="BC348" s="62" t="n"/>
      <c r="BD348" s="62" t="n"/>
      <c r="BE348" s="62" t="n"/>
      <c r="BF348" s="42" t="n"/>
      <c r="BG348" s="62" t="n"/>
      <c r="BH348" s="62" t="n"/>
      <c r="BI348" s="62" t="n"/>
      <c r="BJ348" s="62" t="n"/>
      <c r="BK348" s="42" t="n"/>
      <c r="BL348" s="62" t="n"/>
      <c r="BM348" s="62" t="n"/>
      <c r="BN348" s="62" t="n"/>
      <c r="BO348" s="62" t="n"/>
      <c r="BP348" s="42" t="n"/>
      <c r="BQ348" s="62" t="n"/>
      <c r="BR348" s="62" t="n"/>
      <c r="BS348" s="62" t="n"/>
      <c r="BT348" s="62" t="n"/>
      <c r="BU348" s="42" t="n"/>
      <c r="BV348" s="62" t="n"/>
      <c r="BW348" s="62" t="n"/>
      <c r="BX348" s="62" t="n"/>
      <c r="BY348" s="62" t="n"/>
      <c r="BZ348" s="42" t="n"/>
      <c r="CA348" s="62" t="n"/>
      <c r="CB348" s="62" t="n"/>
      <c r="CC348" s="62" t="n"/>
      <c r="CD348" s="62" t="n"/>
      <c r="CE348" s="42" t="n"/>
      <c r="CF348" s="62" t="n"/>
      <c r="CG348" s="62" t="n"/>
      <c r="CH348" s="62" t="n"/>
      <c r="CI348" s="62" t="n"/>
      <c r="CJ348" s="42" t="n"/>
      <c r="CK348" s="62" t="n"/>
      <c r="CL348" s="62" t="n"/>
      <c r="CM348" s="62" t="n"/>
      <c r="CN348" s="62" t="n"/>
      <c r="CO348" s="42" t="n"/>
      <c r="CP348" s="62" t="n"/>
      <c r="CQ348" s="62" t="n"/>
      <c r="CR348" s="62" t="n"/>
      <c r="CS348" s="62" t="n"/>
      <c r="CT348" s="42" t="n"/>
      <c r="CU348" s="62" t="n"/>
      <c r="CV348" s="62" t="n"/>
      <c r="CW348" s="62" t="n"/>
      <c r="CX348" s="62" t="n"/>
      <c r="CY348" s="42" t="n"/>
    </row>
    <row r="349" hidden="1" outlineLevel="1" customFormat="1" s="66">
      <c r="A349" s="37" t="n"/>
      <c r="B349" s="37" t="n"/>
      <c r="C349" s="59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  <c r="AO349" s="42" t="n"/>
      <c r="AP349" s="42" t="n"/>
      <c r="AQ349" s="42" t="n"/>
      <c r="AR349" s="42" t="n"/>
      <c r="AS349" s="42" t="n"/>
      <c r="AT349" s="42" t="n"/>
      <c r="AU349" s="42" t="n"/>
      <c r="AV349" s="42" t="n"/>
      <c r="AW349" s="42" t="n"/>
      <c r="AX349" s="42" t="n"/>
      <c r="AY349" s="42" t="n"/>
      <c r="AZ349" s="42" t="n"/>
      <c r="BA349" s="42" t="n"/>
      <c r="BB349" s="42" t="n"/>
      <c r="BC349" s="42" t="n"/>
      <c r="BD349" s="42" t="n"/>
      <c r="BE349" s="42" t="n"/>
      <c r="BF349" s="42" t="n"/>
      <c r="BG349" s="42" t="n"/>
      <c r="BH349" s="42" t="n"/>
      <c r="BI349" s="42" t="n"/>
      <c r="BJ349" s="42" t="n"/>
      <c r="BK349" s="42" t="n"/>
      <c r="BL349" s="42" t="n"/>
      <c r="BM349" s="42" t="n"/>
      <c r="BN349" s="42" t="n"/>
      <c r="BO349" s="42" t="n"/>
      <c r="BP349" s="42" t="n"/>
      <c r="BQ349" s="42" t="n"/>
      <c r="BR349" s="42" t="n"/>
      <c r="BS349" s="42" t="n"/>
      <c r="BT349" s="42" t="n"/>
      <c r="BU349" s="42" t="n"/>
      <c r="BV349" s="42" t="n"/>
      <c r="BW349" s="42" t="n"/>
      <c r="BX349" s="42" t="n"/>
      <c r="BY349" s="42" t="n"/>
      <c r="BZ349" s="42" t="n"/>
      <c r="CA349" s="42" t="n"/>
      <c r="CB349" s="42" t="n"/>
      <c r="CC349" s="42" t="n"/>
      <c r="CD349" s="42" t="n"/>
      <c r="CE349" s="42" t="n"/>
      <c r="CF349" s="42" t="n"/>
      <c r="CG349" s="42" t="n"/>
      <c r="CH349" s="42" t="n"/>
      <c r="CI349" s="42" t="n"/>
      <c r="CJ349" s="42" t="n"/>
      <c r="CK349" s="42" t="n"/>
      <c r="CL349" s="42" t="n"/>
      <c r="CM349" s="42" t="n"/>
      <c r="CN349" s="42" t="n"/>
      <c r="CO349" s="42" t="n"/>
      <c r="CP349" s="42" t="n"/>
      <c r="CQ349" s="42" t="n"/>
      <c r="CR349" s="42" t="n"/>
      <c r="CS349" s="42" t="n"/>
      <c r="CT349" s="42" t="n"/>
      <c r="CU349" s="42" t="n"/>
      <c r="CV349" s="42" t="n"/>
      <c r="CW349" s="42" t="n"/>
      <c r="CX349" s="42" t="n"/>
      <c r="CY349" s="42" t="n"/>
    </row>
    <row r="350" collapsed="1">
      <c r="C350" s="14" t="inlineStr">
        <is>
          <t>Convertible Preferred Stock</t>
        </is>
      </c>
      <c r="D350" s="46" t="n"/>
      <c r="E350" s="46" t="n"/>
      <c r="F350" s="46" t="n"/>
      <c r="G350" s="46" t="n"/>
      <c r="H350" s="12" t="n"/>
      <c r="I350" s="46">
        <f>'Inputs (2)'!D42</f>
        <v>0</v>
      </c>
      <c r="J350" s="46">
        <f>'Inputs (2)'!E42</f>
        <v>0</v>
      </c>
      <c r="K350" s="46">
        <f>'Inputs (2)'!F42</f>
        <v>0</v>
      </c>
      <c r="L350" s="46">
        <f>'Inputs (2)'!G42</f>
        <v>0</v>
      </c>
      <c r="M350" s="12">
        <f>'Inputs (2)'!H42</f>
        <v>0</v>
      </c>
      <c r="N350" s="46">
        <f>'Inputs (2)'!I42</f>
        <v>0</v>
      </c>
      <c r="O350" s="46">
        <f>'Inputs (2)'!J42</f>
        <v>0</v>
      </c>
      <c r="P350" s="46">
        <f>'Inputs (2)'!K42</f>
        <v>0</v>
      </c>
      <c r="Q350" s="46">
        <f>'Inputs (2)'!L42</f>
        <v>0</v>
      </c>
      <c r="R350" s="12">
        <f>'Inputs (2)'!M42</f>
        <v>0</v>
      </c>
      <c r="S350" s="46">
        <f>'Inputs (2)'!N42</f>
        <v>0</v>
      </c>
      <c r="T350" s="46">
        <f>'Inputs (2)'!O42</f>
        <v>0</v>
      </c>
      <c r="U350" s="46">
        <f>'Inputs (2)'!P42</f>
        <v>0</v>
      </c>
      <c r="V350" s="46">
        <f>'Inputs (2)'!Q42</f>
        <v>0</v>
      </c>
      <c r="W350" s="12">
        <f>'Inputs (2)'!R42</f>
        <v>0</v>
      </c>
      <c r="X350" s="46">
        <f>'Inputs (2)'!S42</f>
        <v>0</v>
      </c>
      <c r="Y350" s="46">
        <f>'Inputs (2)'!T42</f>
        <v>0</v>
      </c>
      <c r="Z350" s="46">
        <f>'Inputs (2)'!U42</f>
        <v>0</v>
      </c>
      <c r="AA350" s="46">
        <f>'Inputs (2)'!V42</f>
        <v>0</v>
      </c>
      <c r="AB350" s="12">
        <f>'Inputs (2)'!W42</f>
        <v>0</v>
      </c>
      <c r="AC350" s="46">
        <f>'Inputs (2)'!X42</f>
        <v>0</v>
      </c>
      <c r="AD350" s="46">
        <f>'Inputs (2)'!Y42</f>
        <v>0</v>
      </c>
      <c r="AE350" s="46">
        <f>'Inputs (2)'!Z42</f>
        <v>0</v>
      </c>
      <c r="AF350" s="46">
        <f>'Inputs (2)'!AA42</f>
        <v>0</v>
      </c>
      <c r="AG350" s="12">
        <f>'Inputs (2)'!AB42</f>
        <v>0</v>
      </c>
      <c r="AH350" s="12">
        <f>'Inputs (2)'!AC42</f>
        <v>0</v>
      </c>
      <c r="AI350" s="12">
        <f>'Inputs (2)'!AD42</f>
        <v>0</v>
      </c>
      <c r="AJ350" s="12">
        <f>AI350</f>
        <v>0</v>
      </c>
      <c r="AK350" s="12">
        <f>AJ350</f>
        <v>0</v>
      </c>
      <c r="AL350" s="12">
        <f>AK350</f>
        <v>0</v>
      </c>
      <c r="AM350" s="12">
        <f>AL350</f>
        <v>0</v>
      </c>
      <c r="AN350" s="12">
        <f>AM350</f>
        <v>0</v>
      </c>
      <c r="AO350" s="12">
        <f>AN350</f>
        <v>0</v>
      </c>
      <c r="AP350" s="12">
        <f>AO350</f>
        <v>0</v>
      </c>
      <c r="AQ350" s="12">
        <f>AP350</f>
        <v>0</v>
      </c>
      <c r="AR350" s="12">
        <f>AQ350</f>
        <v>0</v>
      </c>
      <c r="AS350" s="12">
        <f>AR350</f>
        <v>0</v>
      </c>
      <c r="AT350" s="12">
        <f>AS350</f>
        <v>0</v>
      </c>
      <c r="AU350" s="12">
        <f>AT350</f>
        <v>0</v>
      </c>
      <c r="AV350" s="12">
        <f>AU350</f>
        <v>0</v>
      </c>
      <c r="AW350" s="12">
        <f>AV350</f>
        <v>0</v>
      </c>
      <c r="AX350" s="12">
        <f>AW350</f>
        <v>0</v>
      </c>
      <c r="AY350" s="12">
        <f>AX350</f>
        <v>0</v>
      </c>
      <c r="AZ350" s="12">
        <f>AY350</f>
        <v>0</v>
      </c>
      <c r="BA350" s="12">
        <f>AZ350</f>
        <v>0</v>
      </c>
      <c r="BB350" s="12">
        <f>BA350</f>
        <v>0</v>
      </c>
      <c r="BC350" s="12">
        <f>BB350</f>
        <v>0</v>
      </c>
      <c r="BD350" s="12">
        <f>BC350</f>
        <v>0</v>
      </c>
      <c r="BE350" s="12">
        <f>BD350</f>
        <v>0</v>
      </c>
      <c r="BF350" s="12">
        <f>BE350</f>
        <v>0</v>
      </c>
      <c r="BG350" s="12" t="n"/>
      <c r="BH350" s="12" t="n"/>
      <c r="BI350" s="12" t="n"/>
      <c r="BJ350" s="12" t="n"/>
      <c r="BK350" s="12" t="n"/>
      <c r="BL350" s="12" t="n"/>
      <c r="BM350" s="12" t="n"/>
      <c r="BN350" s="12" t="n"/>
      <c r="BO350" s="12" t="n"/>
      <c r="BP350" s="12" t="n"/>
      <c r="BQ350" s="12" t="n"/>
      <c r="BR350" s="12" t="n"/>
      <c r="BS350" s="12" t="n"/>
      <c r="BT350" s="12" t="n"/>
      <c r="BU350" s="12" t="n"/>
      <c r="BV350" s="12" t="n"/>
      <c r="BW350" s="12" t="n"/>
      <c r="BX350" s="12" t="n"/>
      <c r="BY350" s="12" t="n"/>
      <c r="BZ350" s="12" t="n"/>
      <c r="CA350" s="12" t="n"/>
      <c r="CB350" s="12" t="n"/>
      <c r="CC350" s="12" t="n"/>
      <c r="CD350" s="12" t="n"/>
      <c r="CE350" s="12" t="n"/>
      <c r="CF350" s="12" t="n"/>
      <c r="CG350" s="12" t="n"/>
      <c r="CH350" s="12" t="n"/>
      <c r="CI350" s="12" t="n"/>
      <c r="CJ350" s="12" t="n"/>
      <c r="CK350" s="12" t="n"/>
      <c r="CL350" s="12" t="n"/>
      <c r="CM350" s="12" t="n"/>
      <c r="CN350" s="12" t="n"/>
      <c r="CO350" s="12" t="n"/>
      <c r="CP350" s="12" t="n"/>
      <c r="CQ350" s="12" t="n"/>
      <c r="CR350" s="12" t="n"/>
      <c r="CS350" s="12" t="n"/>
      <c r="CT350" s="12" t="n"/>
      <c r="CU350" s="12" t="n"/>
      <c r="CV350" s="12" t="n"/>
      <c r="CW350" s="12" t="n"/>
      <c r="CX350" s="12" t="n"/>
      <c r="CY350" s="12" t="n"/>
    </row>
    <row r="351">
      <c r="C351" s="13" t="inlineStr">
        <is>
          <t>Common Stock and APIC</t>
        </is>
      </c>
      <c r="D351" s="46" t="n"/>
      <c r="E351" s="46" t="n"/>
      <c r="F351" s="46" t="n"/>
      <c r="G351" s="46" t="n"/>
      <c r="H351" s="12" t="n"/>
      <c r="I351" s="46">
        <f>'Inputs (2)'!D43</f>
        <v>2937.286</v>
      </c>
      <c r="J351" s="46">
        <f>'Inputs (2)'!E43</f>
        <v>2937.286</v>
      </c>
      <c r="K351" s="46">
        <f>'Inputs (2)'!F43</f>
        <v>2918.42</v>
      </c>
      <c r="L351" s="46">
        <f>'Inputs (2)'!G43</f>
        <v>2998.03</v>
      </c>
      <c r="M351" s="12">
        <f>'Inputs (2)'!H43</f>
        <v>2998.03</v>
      </c>
      <c r="N351" s="46">
        <f>'Inputs (2)'!I43</f>
        <v>3135.312</v>
      </c>
      <c r="O351" s="46">
        <f>'Inputs (2)'!J43</f>
        <v>3135.312</v>
      </c>
      <c r="P351" s="46">
        <f>'Inputs (2)'!K43</f>
        <v>2933.737</v>
      </c>
      <c r="Q351" s="46">
        <f>'Inputs (2)'!L43</f>
        <v>2933.737</v>
      </c>
      <c r="R351" s="12">
        <f>'Inputs (2)'!M43</f>
        <v>2933.737</v>
      </c>
      <c r="S351" s="46">
        <f>'Inputs (2)'!N43</f>
        <v>2933.737</v>
      </c>
      <c r="T351" s="46">
        <f>'Inputs (2)'!O43</f>
        <v>3312.918</v>
      </c>
      <c r="U351" s="46">
        <f>'Inputs (2)'!P43</f>
        <v>3312.918</v>
      </c>
      <c r="V351" s="46">
        <f>'Inputs (2)'!Q43</f>
        <v>3312.918</v>
      </c>
      <c r="W351" s="12">
        <f>'Inputs (2)'!R43</f>
        <v>3312.918</v>
      </c>
      <c r="X351" s="46">
        <f>'Inputs (2)'!S43</f>
        <v>3312.918</v>
      </c>
      <c r="Y351" s="46">
        <f>'Inputs (2)'!T43</f>
        <v>3675.703</v>
      </c>
      <c r="Z351" s="46">
        <f>'Inputs (2)'!U43</f>
        <v>3675.703</v>
      </c>
      <c r="AA351" s="46">
        <f>'Inputs (2)'!V43</f>
        <v>3675.703</v>
      </c>
      <c r="AB351" s="12">
        <f>'Inputs (2)'!W43</f>
        <v>3675.703</v>
      </c>
      <c r="AC351" s="46">
        <f>'Inputs (2)'!X43</f>
        <v>3675.703</v>
      </c>
      <c r="AD351" s="46">
        <f>'Inputs (2)'!Y43</f>
        <v>4025.234</v>
      </c>
      <c r="AE351" s="46">
        <f>'Inputs (2)'!Z43</f>
        <v>4025.234</v>
      </c>
      <c r="AF351" s="46">
        <f>'Inputs (2)'!AA43</f>
        <v>4025.234</v>
      </c>
      <c r="AG351" s="12">
        <f>'Inputs (2)'!AB43</f>
        <v>4025.234</v>
      </c>
      <c r="AH351" s="12">
        <f>'Inputs (2)'!AC43</f>
        <v>4025.234</v>
      </c>
      <c r="AI351" s="12">
        <f>'Inputs (2)'!AD43</f>
        <v>4025.234</v>
      </c>
      <c r="AJ351" s="12">
        <f>AI351+AJ355</f>
        <v>4025.234</v>
      </c>
      <c r="AK351" s="12">
        <f>AJ351+AK355</f>
        <v>4025.234</v>
      </c>
      <c r="AL351" s="12">
        <f>AK351</f>
        <v>4025.234</v>
      </c>
      <c r="AM351" s="12">
        <f>AL351+AM355</f>
        <v>4025.234</v>
      </c>
      <c r="AN351" s="12">
        <f>AM351+AN355</f>
        <v>4025.234</v>
      </c>
      <c r="AO351" s="12">
        <f>AN351+AO355</f>
        <v>4025.234</v>
      </c>
      <c r="AP351" s="12">
        <f>AO351+AP355</f>
        <v>4025.234</v>
      </c>
      <c r="AQ351" s="12">
        <f>AP351</f>
        <v>4025.234</v>
      </c>
      <c r="AR351" s="12">
        <f>AQ351+AR355</f>
        <v>4025.234</v>
      </c>
      <c r="AS351" s="12">
        <f>AR351+AS355</f>
        <v>4025.234</v>
      </c>
      <c r="AT351" s="12">
        <f>AS351+AT355</f>
        <v>4025.234</v>
      </c>
      <c r="AU351" s="12">
        <f>AT351+AU355</f>
        <v>4025.234</v>
      </c>
      <c r="AV351" s="12">
        <f>AU351</f>
        <v>4025.234</v>
      </c>
      <c r="AW351" s="12">
        <f>AV351+AW355</f>
        <v>4025.234</v>
      </c>
      <c r="AX351" s="12">
        <f>AW351+AX355</f>
        <v>4025.234</v>
      </c>
      <c r="AY351" s="12">
        <f>AX351+AY355</f>
        <v>4025.234</v>
      </c>
      <c r="AZ351" s="12">
        <f>AY351+AZ355</f>
        <v>4025.234</v>
      </c>
      <c r="BA351" s="12">
        <f>AZ351</f>
        <v>4025.234</v>
      </c>
      <c r="BB351" s="12">
        <f>BA351+BB355</f>
        <v>4025.234</v>
      </c>
      <c r="BC351" s="12">
        <f>BB351+BC355</f>
        <v>4025.234</v>
      </c>
      <c r="BD351" s="12">
        <f>BC351+BD355</f>
        <v>4025.234</v>
      </c>
      <c r="BE351" s="12">
        <f>BD351+BE355</f>
        <v>4025.234</v>
      </c>
      <c r="BF351" s="12">
        <f>BE351</f>
        <v>4025.234</v>
      </c>
      <c r="BG351" s="12" t="n"/>
      <c r="BH351" s="12" t="n"/>
      <c r="BI351" s="12" t="n"/>
      <c r="BJ351" s="12" t="n"/>
      <c r="BK351" s="12" t="n"/>
      <c r="BL351" s="12" t="n"/>
      <c r="BM351" s="12" t="n"/>
      <c r="BN351" s="12" t="n"/>
      <c r="BO351" s="12" t="n"/>
      <c r="BP351" s="12" t="n"/>
      <c r="BQ351" s="12" t="n"/>
      <c r="BR351" s="12" t="n"/>
      <c r="BS351" s="12" t="n"/>
      <c r="BT351" s="12" t="n"/>
      <c r="BU351" s="12" t="n"/>
      <c r="BV351" s="12" t="n"/>
      <c r="BW351" s="12" t="n"/>
      <c r="BX351" s="12" t="n"/>
      <c r="BY351" s="12" t="n"/>
      <c r="BZ351" s="12" t="n"/>
      <c r="CA351" s="12" t="n"/>
      <c r="CB351" s="12" t="n"/>
      <c r="CC351" s="12" t="n"/>
      <c r="CD351" s="12" t="n"/>
      <c r="CE351" s="12" t="n"/>
      <c r="CF351" s="12" t="n"/>
      <c r="CG351" s="12" t="n"/>
      <c r="CH351" s="12" t="n"/>
      <c r="CI351" s="12" t="n"/>
      <c r="CJ351" s="12" t="n"/>
      <c r="CK351" s="12" t="n"/>
      <c r="CL351" s="12" t="n"/>
      <c r="CM351" s="12" t="n"/>
      <c r="CN351" s="12" t="n"/>
      <c r="CO351" s="12" t="n"/>
      <c r="CP351" s="12" t="n"/>
      <c r="CQ351" s="12" t="n"/>
      <c r="CR351" s="12" t="n"/>
      <c r="CS351" s="12" t="n"/>
      <c r="CT351" s="12" t="n"/>
      <c r="CU351" s="12" t="n"/>
      <c r="CV351" s="12" t="n"/>
      <c r="CW351" s="12" t="n"/>
      <c r="CX351" s="12" t="n"/>
      <c r="CY351" s="12" t="n"/>
    </row>
    <row r="352" hidden="1" outlineLevel="1" customFormat="1" s="66">
      <c r="A352" s="37" t="n"/>
      <c r="B352" s="37" t="n"/>
      <c r="C352" s="67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  <c r="AO352" s="42" t="n"/>
      <c r="AP352" s="42" t="n"/>
      <c r="AQ352" s="42" t="n"/>
      <c r="AR352" s="42" t="n"/>
      <c r="AS352" s="42" t="n"/>
      <c r="AT352" s="42" t="n"/>
      <c r="AU352" s="42" t="n"/>
      <c r="AV352" s="42" t="n"/>
      <c r="AW352" s="42" t="n"/>
      <c r="AX352" s="42" t="n"/>
      <c r="AY352" s="42" t="n"/>
      <c r="AZ352" s="42" t="n"/>
      <c r="BA352" s="42" t="n"/>
      <c r="BB352" s="42" t="n"/>
      <c r="BC352" s="42" t="n"/>
      <c r="BD352" s="42" t="n"/>
      <c r="BE352" s="42" t="n"/>
      <c r="BF352" s="42" t="n"/>
      <c r="BG352" s="42" t="n"/>
      <c r="BH352" s="42" t="n"/>
      <c r="BI352" s="42" t="n"/>
      <c r="BJ352" s="42" t="n"/>
      <c r="BK352" s="42" t="n"/>
      <c r="BL352" s="42" t="n"/>
      <c r="BM352" s="42" t="n"/>
      <c r="BN352" s="42" t="n"/>
      <c r="BO352" s="42" t="n"/>
      <c r="BP352" s="42" t="n"/>
      <c r="BQ352" s="42" t="n"/>
      <c r="BR352" s="42" t="n"/>
      <c r="BS352" s="42" t="n"/>
      <c r="BT352" s="42" t="n"/>
      <c r="BU352" s="42" t="n"/>
      <c r="BV352" s="42" t="n"/>
      <c r="BW352" s="42" t="n"/>
      <c r="BX352" s="42" t="n"/>
      <c r="BY352" s="42" t="n"/>
      <c r="BZ352" s="42" t="n"/>
      <c r="CA352" s="42" t="n"/>
      <c r="CB352" s="42" t="n"/>
      <c r="CC352" s="42" t="n"/>
      <c r="CD352" s="42" t="n"/>
      <c r="CE352" s="42" t="n"/>
      <c r="CF352" s="42" t="n"/>
      <c r="CG352" s="42" t="n"/>
      <c r="CH352" s="42" t="n"/>
      <c r="CI352" s="42" t="n"/>
      <c r="CJ352" s="42" t="n"/>
      <c r="CK352" s="42" t="n"/>
      <c r="CL352" s="42" t="n"/>
      <c r="CM352" s="42" t="n"/>
      <c r="CN352" s="42" t="n"/>
      <c r="CO352" s="42" t="n"/>
      <c r="CP352" s="42" t="n"/>
      <c r="CQ352" s="42" t="n"/>
      <c r="CR352" s="42" t="n"/>
      <c r="CS352" s="42" t="n"/>
      <c r="CT352" s="42" t="n"/>
      <c r="CU352" s="42" t="n"/>
      <c r="CV352" s="42" t="n"/>
      <c r="CW352" s="42" t="n"/>
      <c r="CX352" s="42" t="n"/>
      <c r="CY352" s="42" t="n"/>
    </row>
    <row r="353" hidden="1" outlineLevel="1" customFormat="1" s="66">
      <c r="A353" s="37" t="n"/>
      <c r="B353" s="37" t="n"/>
      <c r="C353" s="67" t="inlineStr">
        <is>
          <t>Diluted Shares outstanding</t>
        </is>
      </c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  <c r="AO353" s="42" t="n"/>
      <c r="AP353" s="42" t="n"/>
      <c r="AQ353" s="42" t="n"/>
      <c r="AR353" s="42" t="n"/>
      <c r="AS353" s="42" t="n"/>
      <c r="AT353" s="42" t="n"/>
      <c r="AU353" s="42" t="n"/>
      <c r="AV353" s="42" t="n"/>
      <c r="AW353" s="42" t="n"/>
      <c r="AX353" s="42" t="n"/>
      <c r="AY353" s="42" t="n"/>
      <c r="AZ353" s="42" t="n"/>
      <c r="BA353" s="42" t="n"/>
      <c r="BB353" s="42" t="n"/>
      <c r="BC353" s="42" t="n"/>
      <c r="BD353" s="42" t="n"/>
      <c r="BE353" s="42" t="n"/>
      <c r="BF353" s="42" t="n"/>
      <c r="BG353" s="42" t="n"/>
      <c r="BH353" s="42" t="n"/>
      <c r="BI353" s="42" t="n"/>
      <c r="BJ353" s="42" t="n"/>
      <c r="BK353" s="42" t="n"/>
      <c r="BL353" s="42" t="n"/>
      <c r="BM353" s="42" t="n"/>
      <c r="BN353" s="42" t="n"/>
      <c r="BO353" s="42" t="n"/>
      <c r="BP353" s="42" t="n"/>
      <c r="BQ353" s="42" t="n"/>
      <c r="BR353" s="42" t="n"/>
      <c r="BS353" s="42" t="n"/>
      <c r="BT353" s="42" t="n"/>
      <c r="BU353" s="42" t="n"/>
      <c r="BV353" s="42" t="n"/>
      <c r="BW353" s="42" t="n"/>
      <c r="BX353" s="42" t="n"/>
      <c r="BY353" s="42" t="n"/>
      <c r="BZ353" s="42" t="n"/>
      <c r="CA353" s="42" t="n"/>
      <c r="CB353" s="42" t="n"/>
      <c r="CC353" s="42" t="n"/>
      <c r="CD353" s="42" t="n"/>
      <c r="CE353" s="42" t="n"/>
      <c r="CF353" s="42" t="n"/>
      <c r="CG353" s="42" t="n"/>
      <c r="CH353" s="42" t="n"/>
      <c r="CI353" s="42" t="n"/>
      <c r="CJ353" s="42" t="n"/>
      <c r="CK353" s="42" t="n"/>
      <c r="CL353" s="42" t="n"/>
      <c r="CM353" s="42" t="n"/>
      <c r="CN353" s="42" t="n"/>
      <c r="CO353" s="42" t="n"/>
      <c r="CP353" s="42" t="n"/>
      <c r="CQ353" s="42" t="n"/>
      <c r="CR353" s="42" t="n"/>
      <c r="CS353" s="42" t="n"/>
      <c r="CT353" s="42" t="n"/>
      <c r="CU353" s="42" t="n"/>
      <c r="CV353" s="42" t="n"/>
      <c r="CW353" s="42" t="n"/>
      <c r="CX353" s="42" t="n"/>
      <c r="CY353" s="42" t="n"/>
    </row>
    <row r="354" hidden="1" outlineLevel="1" customFormat="1" s="66">
      <c r="A354" s="37" t="n"/>
      <c r="B354" s="37" t="n"/>
      <c r="C354" s="67" t="inlineStr">
        <is>
          <t>Treasury share $ repurchases</t>
        </is>
      </c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11" t="n"/>
      <c r="AI354" s="11" t="n"/>
      <c r="AJ354" s="11" t="n"/>
      <c r="AK354" s="11" t="n"/>
      <c r="AL354" s="42" t="n"/>
      <c r="AM354" s="11" t="n"/>
      <c r="AN354" s="11" t="n"/>
      <c r="AO354" s="11" t="n"/>
      <c r="AP354" s="11" t="n"/>
      <c r="AQ354" s="42" t="n"/>
      <c r="AR354" s="11" t="n"/>
      <c r="AS354" s="11" t="n"/>
      <c r="AT354" s="11" t="n"/>
      <c r="AU354" s="11" t="n"/>
      <c r="AV354" s="42" t="n"/>
      <c r="AW354" s="11" t="n"/>
      <c r="AX354" s="11" t="n"/>
      <c r="AY354" s="11" t="n"/>
      <c r="AZ354" s="11" t="n"/>
      <c r="BA354" s="42" t="n"/>
      <c r="BB354" s="11" t="n"/>
      <c r="BC354" s="11" t="n"/>
      <c r="BD354" s="11" t="n"/>
      <c r="BE354" s="11" t="n"/>
      <c r="BF354" s="42" t="n"/>
      <c r="BG354" s="11" t="n"/>
      <c r="BH354" s="11" t="n"/>
      <c r="BI354" s="11" t="n"/>
      <c r="BJ354" s="11" t="n"/>
      <c r="BK354" s="42" t="n"/>
      <c r="BL354" s="11" t="n"/>
      <c r="BM354" s="11" t="n"/>
      <c r="BN354" s="11" t="n"/>
      <c r="BO354" s="11" t="n"/>
      <c r="BP354" s="42" t="n"/>
      <c r="BQ354" s="11" t="n"/>
      <c r="BR354" s="11" t="n"/>
      <c r="BS354" s="11" t="n"/>
      <c r="BT354" s="11" t="n"/>
      <c r="BU354" s="42" t="n"/>
      <c r="BV354" s="11" t="n"/>
      <c r="BW354" s="11" t="n"/>
      <c r="BX354" s="11" t="n"/>
      <c r="BY354" s="11" t="n"/>
      <c r="BZ354" s="42" t="n"/>
      <c r="CA354" s="11" t="n"/>
      <c r="CB354" s="11" t="n"/>
      <c r="CC354" s="11" t="n"/>
      <c r="CD354" s="11" t="n"/>
      <c r="CE354" s="42" t="n"/>
      <c r="CF354" s="11" t="n"/>
      <c r="CG354" s="11" t="n"/>
      <c r="CH354" s="11" t="n"/>
      <c r="CI354" s="11" t="n"/>
      <c r="CJ354" s="42" t="n"/>
      <c r="CK354" s="11" t="n"/>
      <c r="CL354" s="11" t="n"/>
      <c r="CM354" s="11" t="n"/>
      <c r="CN354" s="11" t="n"/>
      <c r="CO354" s="42" t="n"/>
      <c r="CP354" s="11" t="n"/>
      <c r="CQ354" s="11" t="n"/>
      <c r="CR354" s="11" t="n"/>
      <c r="CS354" s="11" t="n"/>
      <c r="CT354" s="42" t="n"/>
      <c r="CU354" s="11" t="n"/>
      <c r="CV354" s="11" t="n"/>
      <c r="CW354" s="11" t="n"/>
      <c r="CX354" s="11" t="n"/>
      <c r="CY354" s="42" t="n"/>
    </row>
    <row r="355" hidden="1" outlineLevel="1" customFormat="1" s="66">
      <c r="A355" s="37" t="n"/>
      <c r="B355" s="37" t="n"/>
      <c r="C355" s="67" t="inlineStr">
        <is>
          <t>Value of shares issued</t>
        </is>
      </c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11" t="n"/>
      <c r="AI355" s="11" t="n"/>
      <c r="AJ355" s="11" t="n"/>
      <c r="AK355" s="11" t="n"/>
      <c r="AL355" s="42" t="n"/>
      <c r="AM355" s="11" t="n"/>
      <c r="AN355" s="11" t="n"/>
      <c r="AO355" s="11" t="n"/>
      <c r="AP355" s="11" t="n"/>
      <c r="AQ355" s="42" t="n"/>
      <c r="AR355" s="11" t="n"/>
      <c r="AS355" s="11" t="n"/>
      <c r="AT355" s="11" t="n"/>
      <c r="AU355" s="11" t="n"/>
      <c r="AV355" s="42" t="n"/>
      <c r="AW355" s="11" t="n"/>
      <c r="AX355" s="11" t="n"/>
      <c r="AY355" s="11" t="n"/>
      <c r="AZ355" s="11" t="n"/>
      <c r="BA355" s="42" t="n"/>
      <c r="BB355" s="11" t="n"/>
      <c r="BC355" s="11" t="n"/>
      <c r="BD355" s="11" t="n"/>
      <c r="BE355" s="11" t="n"/>
      <c r="BF355" s="42" t="n"/>
      <c r="BG355" s="11" t="n"/>
      <c r="BH355" s="11" t="n"/>
      <c r="BI355" s="11" t="n"/>
      <c r="BJ355" s="11" t="n"/>
      <c r="BK355" s="42" t="n"/>
      <c r="BL355" s="11" t="n"/>
      <c r="BM355" s="11" t="n"/>
      <c r="BN355" s="11" t="n"/>
      <c r="BO355" s="11" t="n"/>
      <c r="BP355" s="42" t="n"/>
      <c r="BQ355" s="11" t="n"/>
      <c r="BR355" s="11" t="n"/>
      <c r="BS355" s="11" t="n"/>
      <c r="BT355" s="11" t="n"/>
      <c r="BU355" s="42" t="n"/>
      <c r="BV355" s="11" t="n"/>
      <c r="BW355" s="11" t="n"/>
      <c r="BX355" s="11" t="n"/>
      <c r="BY355" s="11" t="n"/>
      <c r="BZ355" s="42" t="n"/>
      <c r="CA355" s="11" t="n"/>
      <c r="CB355" s="11" t="n"/>
      <c r="CC355" s="11" t="n"/>
      <c r="CD355" s="11" t="n"/>
      <c r="CE355" s="42" t="n"/>
      <c r="CF355" s="11" t="n"/>
      <c r="CG355" s="11" t="n"/>
      <c r="CH355" s="11" t="n"/>
      <c r="CI355" s="11" t="n"/>
      <c r="CJ355" s="42" t="n"/>
      <c r="CK355" s="11" t="n"/>
      <c r="CL355" s="11" t="n"/>
      <c r="CM355" s="11" t="n"/>
      <c r="CN355" s="11" t="n"/>
      <c r="CO355" s="42" t="n"/>
      <c r="CP355" s="11" t="n"/>
      <c r="CQ355" s="11" t="n"/>
      <c r="CR355" s="11" t="n"/>
      <c r="CS355" s="11" t="n"/>
      <c r="CT355" s="42" t="n"/>
      <c r="CU355" s="11" t="n"/>
      <c r="CV355" s="11" t="n"/>
      <c r="CW355" s="11" t="n"/>
      <c r="CX355" s="11" t="n"/>
      <c r="CY355" s="42" t="n"/>
    </row>
    <row r="356" hidden="1" outlineLevel="1" customFormat="1" s="66">
      <c r="A356" s="37" t="n"/>
      <c r="B356" s="37" t="n"/>
      <c r="C356" s="67" t="inlineStr">
        <is>
          <t>Expected average share price</t>
        </is>
      </c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68">
        <f>AF356*(1+AH357)</f>
        <v>0</v>
      </c>
      <c r="AI356" s="68">
        <f>AH356*(1+AI357)</f>
        <v>0</v>
      </c>
      <c r="AJ356" s="68">
        <f>AH356*(1+AJ357)</f>
        <v>0</v>
      </c>
      <c r="AK356" s="68">
        <f>AJ356*(1+AK357)</f>
        <v>0</v>
      </c>
      <c r="AL356" s="42" t="n"/>
      <c r="AM356" s="68">
        <f>AK356*(1+AM357)</f>
        <v>0</v>
      </c>
      <c r="AN356" s="68">
        <f>AM356*(1+AN357)</f>
        <v>0</v>
      </c>
      <c r="AO356" s="68">
        <f>AM356*(1+AO357)</f>
        <v>0</v>
      </c>
      <c r="AP356" s="68">
        <f>AO356*(1+AP357)</f>
        <v>0</v>
      </c>
      <c r="AQ356" s="42" t="n"/>
      <c r="AR356" s="68">
        <f>AP356*(1+AR357)</f>
        <v>0</v>
      </c>
      <c r="AS356" s="68">
        <f>AR356*(1+AS357)</f>
        <v>0</v>
      </c>
      <c r="AT356" s="68">
        <f>AR356*(1+AT357)</f>
        <v>0</v>
      </c>
      <c r="AU356" s="68">
        <f>AT356*(1+AU357)</f>
        <v>0</v>
      </c>
      <c r="AV356" s="42" t="n"/>
      <c r="AW356" s="68">
        <f>AU356*(1+AW357)</f>
        <v>0</v>
      </c>
      <c r="AX356" s="68">
        <f>AW356*(1+AX357)</f>
        <v>0</v>
      </c>
      <c r="AY356" s="68">
        <f>AW356*(1+AY357)</f>
        <v>0</v>
      </c>
      <c r="AZ356" s="68">
        <f>AY356*(1+AZ357)</f>
        <v>0</v>
      </c>
      <c r="BA356" s="42" t="n"/>
      <c r="BB356" s="68">
        <f>AZ356*(1+BB357)</f>
        <v>0</v>
      </c>
      <c r="BC356" s="68">
        <f>BB356*(1+BC357)</f>
        <v>0</v>
      </c>
      <c r="BD356" s="68">
        <f>BB356*(1+BD357)</f>
        <v>0</v>
      </c>
      <c r="BE356" s="68">
        <f>BD356*(1+BE357)</f>
        <v>0</v>
      </c>
      <c r="BF356" s="42" t="n"/>
      <c r="BG356" s="68" t="n"/>
      <c r="BH356" s="68" t="n"/>
      <c r="BI356" s="68" t="n"/>
      <c r="BJ356" s="68" t="n"/>
      <c r="BK356" s="42" t="n"/>
      <c r="BL356" s="68" t="n"/>
      <c r="BM356" s="68" t="n"/>
      <c r="BN356" s="68" t="n"/>
      <c r="BO356" s="68" t="n"/>
      <c r="BP356" s="42" t="n"/>
      <c r="BQ356" s="68" t="n"/>
      <c r="BR356" s="68" t="n"/>
      <c r="BS356" s="68" t="n"/>
      <c r="BT356" s="68" t="n"/>
      <c r="BU356" s="42" t="n"/>
      <c r="BV356" s="68" t="n"/>
      <c r="BW356" s="68" t="n"/>
      <c r="BX356" s="68" t="n"/>
      <c r="BY356" s="68" t="n"/>
      <c r="BZ356" s="42" t="n"/>
      <c r="CA356" s="68" t="n"/>
      <c r="CB356" s="68" t="n"/>
      <c r="CC356" s="68" t="n"/>
      <c r="CD356" s="68" t="n"/>
      <c r="CE356" s="42" t="n"/>
      <c r="CF356" s="68" t="n"/>
      <c r="CG356" s="68" t="n"/>
      <c r="CH356" s="68" t="n"/>
      <c r="CI356" s="68" t="n"/>
      <c r="CJ356" s="42" t="n"/>
      <c r="CK356" s="68" t="n"/>
      <c r="CL356" s="68" t="n"/>
      <c r="CM356" s="68" t="n"/>
      <c r="CN356" s="68" t="n"/>
      <c r="CO356" s="42" t="n"/>
      <c r="CP356" s="68" t="n"/>
      <c r="CQ356" s="68" t="n"/>
      <c r="CR356" s="68" t="n"/>
      <c r="CS356" s="68" t="n"/>
      <c r="CT356" s="42" t="n"/>
      <c r="CU356" s="68" t="n"/>
      <c r="CV356" s="68" t="n"/>
      <c r="CW356" s="68" t="n"/>
      <c r="CX356" s="68" t="n"/>
      <c r="CY356" s="42" t="n"/>
    </row>
    <row r="357" hidden="1" outlineLevel="1" customFormat="1" s="66">
      <c r="A357" s="37" t="n"/>
      <c r="B357" s="37" t="n"/>
      <c r="C357" s="67" t="inlineStr">
        <is>
          <t>Consensus EPS growth</t>
        </is>
      </c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58">
        <f>$AL$362</f>
        <v>0</v>
      </c>
      <c r="AI357" s="58">
        <f>$AL$362</f>
        <v>0</v>
      </c>
      <c r="AJ357" s="58">
        <f>$AL$362</f>
        <v>0</v>
      </c>
      <c r="AK357" s="58">
        <f>$AL$362</f>
        <v>0</v>
      </c>
      <c r="AL357" s="42" t="n"/>
      <c r="AM357" s="58">
        <f>$AL$362</f>
        <v>0</v>
      </c>
      <c r="AN357" s="58">
        <f>$AL$362</f>
        <v>0</v>
      </c>
      <c r="AO357" s="58">
        <f>$AL$362</f>
        <v>0</v>
      </c>
      <c r="AP357" s="58">
        <f>$AL$362</f>
        <v>0</v>
      </c>
      <c r="AQ357" s="42" t="n"/>
      <c r="AR357" s="58">
        <f>$AL$362</f>
        <v>0</v>
      </c>
      <c r="AS357" s="58">
        <f>$AL$362</f>
        <v>0</v>
      </c>
      <c r="AT357" s="58">
        <f>$AL$362</f>
        <v>0</v>
      </c>
      <c r="AU357" s="58">
        <f>$AL$362</f>
        <v>0</v>
      </c>
      <c r="AV357" s="42" t="n"/>
      <c r="AW357" s="58">
        <f>$AL$362</f>
        <v>0</v>
      </c>
      <c r="AX357" s="58">
        <f>$AL$362</f>
        <v>0</v>
      </c>
      <c r="AY357" s="58">
        <f>$AL$362</f>
        <v>0</v>
      </c>
      <c r="AZ357" s="58">
        <f>$AL$362</f>
        <v>0</v>
      </c>
      <c r="BA357" s="42" t="n"/>
      <c r="BB357" s="58">
        <f>$AL$362</f>
        <v>0</v>
      </c>
      <c r="BC357" s="58">
        <f>$AL$362</f>
        <v>0</v>
      </c>
      <c r="BD357" s="58">
        <f>$AL$362</f>
        <v>0</v>
      </c>
      <c r="BE357" s="58">
        <f>$AL$362</f>
        <v>0</v>
      </c>
      <c r="BF357" s="42" t="n"/>
      <c r="BG357" s="58" t="n"/>
      <c r="BH357" s="58" t="n"/>
      <c r="BI357" s="58" t="n"/>
      <c r="BJ357" s="58" t="n"/>
      <c r="BK357" s="42" t="n"/>
      <c r="BL357" s="58" t="n"/>
      <c r="BM357" s="58" t="n"/>
      <c r="BN357" s="58" t="n"/>
      <c r="BO357" s="58" t="n"/>
      <c r="BP357" s="42" t="n"/>
      <c r="BQ357" s="58" t="n"/>
      <c r="BR357" s="58" t="n"/>
      <c r="BS357" s="58" t="n"/>
      <c r="BT357" s="58" t="n"/>
      <c r="BU357" s="42" t="n"/>
      <c r="BV357" s="58" t="n"/>
      <c r="BW357" s="58" t="n"/>
      <c r="BX357" s="58" t="n"/>
      <c r="BY357" s="58" t="n"/>
      <c r="BZ357" s="42" t="n"/>
      <c r="CA357" s="58" t="n"/>
      <c r="CB357" s="58" t="n"/>
      <c r="CC357" s="58" t="n"/>
      <c r="CD357" s="58" t="n"/>
      <c r="CE357" s="42" t="n"/>
      <c r="CF357" s="58" t="n"/>
      <c r="CG357" s="58" t="n"/>
      <c r="CH357" s="58" t="n"/>
      <c r="CI357" s="58" t="n"/>
      <c r="CJ357" s="42" t="n"/>
      <c r="CK357" s="58" t="n"/>
      <c r="CL357" s="58" t="n"/>
      <c r="CM357" s="58" t="n"/>
      <c r="CN357" s="58" t="n"/>
      <c r="CO357" s="42" t="n"/>
      <c r="CP357" s="58" t="n"/>
      <c r="CQ357" s="58" t="n"/>
      <c r="CR357" s="58" t="n"/>
      <c r="CS357" s="58" t="n"/>
      <c r="CT357" s="42" t="n"/>
      <c r="CU357" s="58" t="n"/>
      <c r="CV357" s="58" t="n"/>
      <c r="CW357" s="58" t="n"/>
      <c r="CX357" s="58" t="n"/>
      <c r="CY357" s="42" t="n"/>
    </row>
    <row r="358" hidden="1" outlineLevel="1" customFormat="1" s="66">
      <c r="A358" s="37" t="n"/>
      <c r="B358" s="37" t="n"/>
      <c r="C358" s="67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12" t="n"/>
      <c r="AI358" s="12" t="n"/>
      <c r="AJ358" s="12" t="n"/>
      <c r="AK358" s="12" t="n"/>
      <c r="AL358" s="42" t="n"/>
      <c r="AM358" s="12" t="n"/>
      <c r="AN358" s="12" t="n"/>
      <c r="AO358" s="12" t="n"/>
      <c r="AP358" s="12" t="n"/>
      <c r="AQ358" s="42" t="n"/>
      <c r="AR358" s="12" t="n"/>
      <c r="AS358" s="12" t="n"/>
      <c r="AT358" s="12" t="n"/>
      <c r="AU358" s="12" t="n"/>
      <c r="AV358" s="42" t="n"/>
      <c r="AW358" s="12" t="n"/>
      <c r="AX358" s="12" t="n"/>
      <c r="AY358" s="12" t="n"/>
      <c r="AZ358" s="12" t="n"/>
      <c r="BA358" s="42" t="n"/>
      <c r="BB358" s="12" t="n"/>
      <c r="BC358" s="12" t="n"/>
      <c r="BD358" s="12" t="n"/>
      <c r="BE358" s="12" t="n"/>
      <c r="BF358" s="42" t="n"/>
      <c r="BG358" s="12" t="n"/>
      <c r="BH358" s="12" t="n"/>
      <c r="BI358" s="12" t="n"/>
      <c r="BJ358" s="12" t="n"/>
      <c r="BK358" s="42" t="n"/>
      <c r="BL358" s="12" t="n"/>
      <c r="BM358" s="12" t="n"/>
      <c r="BN358" s="12" t="n"/>
      <c r="BO358" s="12" t="n"/>
      <c r="BP358" s="42" t="n"/>
      <c r="BQ358" s="12" t="n"/>
      <c r="BR358" s="12" t="n"/>
      <c r="BS358" s="12" t="n"/>
      <c r="BT358" s="12" t="n"/>
      <c r="BU358" s="42" t="n"/>
      <c r="BV358" s="12" t="n"/>
      <c r="BW358" s="12" t="n"/>
      <c r="BX358" s="12" t="n"/>
      <c r="BY358" s="12" t="n"/>
      <c r="BZ358" s="42" t="n"/>
      <c r="CA358" s="12" t="n"/>
      <c r="CB358" s="12" t="n"/>
      <c r="CC358" s="12" t="n"/>
      <c r="CD358" s="12" t="n"/>
      <c r="CE358" s="42" t="n"/>
      <c r="CF358" s="12" t="n"/>
      <c r="CG358" s="12" t="n"/>
      <c r="CH358" s="12" t="n"/>
      <c r="CI358" s="12" t="n"/>
      <c r="CJ358" s="42" t="n"/>
      <c r="CK358" s="12" t="n"/>
      <c r="CL358" s="12" t="n"/>
      <c r="CM358" s="12" t="n"/>
      <c r="CN358" s="12" t="n"/>
      <c r="CO358" s="42" t="n"/>
      <c r="CP358" s="12" t="n"/>
      <c r="CQ358" s="12" t="n"/>
      <c r="CR358" s="12" t="n"/>
      <c r="CS358" s="12" t="n"/>
      <c r="CT358" s="42" t="n"/>
      <c r="CU358" s="12" t="n"/>
      <c r="CV358" s="12" t="n"/>
      <c r="CW358" s="12" t="n"/>
      <c r="CX358" s="12" t="n"/>
      <c r="CY358" s="42" t="n"/>
    </row>
    <row r="359" hidden="1" outlineLevel="1" customFormat="1" s="66">
      <c r="A359" s="37" t="n"/>
      <c r="B359" s="37" t="n"/>
      <c r="C359" s="67" t="inlineStr">
        <is>
          <t>Shares repurchased</t>
        </is>
      </c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69" t="str">
        <f>IFERROR(-AH354/AH356,"")</f>
        <v/>
      </c>
      <c r="AI359" s="69" t="str">
        <f>IFERROR(-AI354/AI356,"")</f>
        <v/>
      </c>
      <c r="AJ359" s="69" t="str">
        <f>IFERROR(-AJ354/AJ356,"")</f>
        <v/>
      </c>
      <c r="AK359" s="69" t="str">
        <f>IFERROR(-AK354/AK356,"")</f>
        <v/>
      </c>
      <c r="AL359" s="42" t="n"/>
      <c r="AM359" s="69" t="str">
        <f>IFERROR(-AM354/AM356,"")</f>
        <v/>
      </c>
      <c r="AN359" s="69" t="str">
        <f>IFERROR(-AN354/AN356,"")</f>
        <v/>
      </c>
      <c r="AO359" s="69" t="str">
        <f>IFERROR(-AO354/AO356,"")</f>
        <v/>
      </c>
      <c r="AP359" s="69" t="str">
        <f>IFERROR(-AP354/AP356,"")</f>
        <v/>
      </c>
      <c r="AQ359" s="42" t="n"/>
      <c r="AR359" s="69" t="str">
        <f>IFERROR(-AR354/AR356,"")</f>
        <v/>
      </c>
      <c r="AS359" s="69" t="str">
        <f>IFERROR(-AS354/AS356,"")</f>
        <v/>
      </c>
      <c r="AT359" s="69" t="str">
        <f>IFERROR(-AT354/AT356,"")</f>
        <v/>
      </c>
      <c r="AU359" s="69" t="str">
        <f>IFERROR(-AU354/AU356,"")</f>
        <v/>
      </c>
      <c r="AV359" s="42" t="n"/>
      <c r="AW359" s="69" t="str">
        <f>IFERROR(-AW354/AW356,"")</f>
        <v/>
      </c>
      <c r="AX359" s="69" t="str">
        <f>IFERROR(-AX354/AX356,"")</f>
        <v/>
      </c>
      <c r="AY359" s="69" t="str">
        <f>IFERROR(-AY354/AY356,"")</f>
        <v/>
      </c>
      <c r="AZ359" s="69" t="str">
        <f>IFERROR(-AZ354/AZ356,"")</f>
        <v/>
      </c>
      <c r="BA359" s="42" t="n"/>
      <c r="BB359" s="69" t="str">
        <f>IFERROR(-BB354/BB356,"")</f>
        <v/>
      </c>
      <c r="BC359" s="69" t="str">
        <f>IFERROR(-BC354/BC356,"")</f>
        <v/>
      </c>
      <c r="BD359" s="69" t="str">
        <f>IFERROR(-BD354/BD356,"")</f>
        <v/>
      </c>
      <c r="BE359" s="69" t="str">
        <f>IFERROR(-BE354/BE356,"")</f>
        <v/>
      </c>
      <c r="BF359" s="42" t="n"/>
      <c r="BG359" s="69" t="n"/>
      <c r="BH359" s="69" t="n"/>
      <c r="BI359" s="69" t="n"/>
      <c r="BJ359" s="69" t="n"/>
      <c r="BK359" s="42" t="n"/>
      <c r="BL359" s="69" t="n"/>
      <c r="BM359" s="69" t="n"/>
      <c r="BN359" s="69" t="n"/>
      <c r="BO359" s="69" t="n"/>
      <c r="BP359" s="42" t="n"/>
      <c r="BQ359" s="69" t="n"/>
      <c r="BR359" s="69" t="n"/>
      <c r="BS359" s="69" t="n"/>
      <c r="BT359" s="69" t="n"/>
      <c r="BU359" s="42" t="n"/>
      <c r="BV359" s="69" t="n"/>
      <c r="BW359" s="69" t="n"/>
      <c r="BX359" s="69" t="n"/>
      <c r="BY359" s="69" t="n"/>
      <c r="BZ359" s="42" t="n"/>
      <c r="CA359" s="69" t="n"/>
      <c r="CB359" s="69" t="n"/>
      <c r="CC359" s="69" t="n"/>
      <c r="CD359" s="69" t="n"/>
      <c r="CE359" s="42" t="n"/>
      <c r="CF359" s="69" t="n"/>
      <c r="CG359" s="69" t="n"/>
      <c r="CH359" s="69" t="n"/>
      <c r="CI359" s="69" t="n"/>
      <c r="CJ359" s="42" t="n"/>
      <c r="CK359" s="69" t="n"/>
      <c r="CL359" s="69" t="n"/>
      <c r="CM359" s="69" t="n"/>
      <c r="CN359" s="69" t="n"/>
      <c r="CO359" s="42" t="n"/>
      <c r="CP359" s="69" t="n"/>
      <c r="CQ359" s="69" t="n"/>
      <c r="CR359" s="69" t="n"/>
      <c r="CS359" s="69" t="n"/>
      <c r="CT359" s="42" t="n"/>
      <c r="CU359" s="69" t="n"/>
      <c r="CV359" s="69" t="n"/>
      <c r="CW359" s="69" t="n"/>
      <c r="CX359" s="69" t="n"/>
      <c r="CY359" s="42" t="n"/>
    </row>
    <row r="360" hidden="1" outlineLevel="1" customFormat="1" s="66">
      <c r="A360" s="37" t="n"/>
      <c r="B360" s="37" t="n"/>
      <c r="C360" s="67" t="inlineStr">
        <is>
          <t>Shares issued</t>
        </is>
      </c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9" t="n"/>
      <c r="AG360" s="42" t="n"/>
      <c r="AH360" s="69" t="str">
        <f>IFERROR(AH355/AH356,"")</f>
        <v/>
      </c>
      <c r="AI360" s="69" t="str">
        <f>IFERROR(AI355/AI356,"")</f>
        <v/>
      </c>
      <c r="AJ360" s="69" t="str">
        <f>IFERROR(AJ355/AJ356,"")</f>
        <v/>
      </c>
      <c r="AK360" s="69" t="str">
        <f>IFERROR(AK355/AK356,"")</f>
        <v/>
      </c>
      <c r="AL360" s="42" t="n"/>
      <c r="AM360" s="69" t="str">
        <f>IFERROR(AM355/AM356,"")</f>
        <v/>
      </c>
      <c r="AN360" s="69" t="str">
        <f>IFERROR(AN355/AN356,"")</f>
        <v/>
      </c>
      <c r="AO360" s="69" t="str">
        <f>IFERROR(AO355/AO356,"")</f>
        <v/>
      </c>
      <c r="AP360" s="69" t="str">
        <f>IFERROR(AP355/AP356,"")</f>
        <v/>
      </c>
      <c r="AQ360" s="42" t="n"/>
      <c r="AR360" s="69" t="str">
        <f>IFERROR(AR355/AR356,"")</f>
        <v/>
      </c>
      <c r="AS360" s="69" t="str">
        <f>IFERROR(AS355/AS356,"")</f>
        <v/>
      </c>
      <c r="AT360" s="69" t="str">
        <f>IFERROR(AT355/AT356,"")</f>
        <v/>
      </c>
      <c r="AU360" s="69" t="str">
        <f>IFERROR(AU355/AU356,"")</f>
        <v/>
      </c>
      <c r="AV360" s="42" t="n"/>
      <c r="AW360" s="69" t="str">
        <f>IFERROR(AW355/AW356,"")</f>
        <v/>
      </c>
      <c r="AX360" s="69" t="str">
        <f>IFERROR(AX355/AX356,"")</f>
        <v/>
      </c>
      <c r="AY360" s="69" t="str">
        <f>IFERROR(AY355/AY356,"")</f>
        <v/>
      </c>
      <c r="AZ360" s="69" t="str">
        <f>IFERROR(AZ355/AZ356,"")</f>
        <v/>
      </c>
      <c r="BA360" s="42" t="n"/>
      <c r="BB360" s="69" t="str">
        <f>IFERROR(BB355/BB356,"")</f>
        <v/>
      </c>
      <c r="BC360" s="69" t="str">
        <f>IFERROR(BC355/BC356,"")</f>
        <v/>
      </c>
      <c r="BD360" s="69" t="str">
        <f>IFERROR(BD355/BD356,"")</f>
        <v/>
      </c>
      <c r="BE360" s="69" t="str">
        <f>IFERROR(BE355/BE356,"")</f>
        <v/>
      </c>
      <c r="BF360" s="42" t="n"/>
      <c r="BG360" s="69" t="n"/>
      <c r="BH360" s="69" t="n"/>
      <c r="BI360" s="69" t="n"/>
      <c r="BJ360" s="69" t="n"/>
      <c r="BK360" s="42" t="n"/>
      <c r="BL360" s="69" t="n"/>
      <c r="BM360" s="69" t="n"/>
      <c r="BN360" s="69" t="n"/>
      <c r="BO360" s="69" t="n"/>
      <c r="BP360" s="42" t="n"/>
      <c r="BQ360" s="69" t="n"/>
      <c r="BR360" s="69" t="n"/>
      <c r="BS360" s="69" t="n"/>
      <c r="BT360" s="69" t="n"/>
      <c r="BU360" s="42" t="n"/>
      <c r="BV360" s="69" t="n"/>
      <c r="BW360" s="69" t="n"/>
      <c r="BX360" s="69" t="n"/>
      <c r="BY360" s="69" t="n"/>
      <c r="BZ360" s="42" t="n"/>
      <c r="CA360" s="69" t="n"/>
      <c r="CB360" s="69" t="n"/>
      <c r="CC360" s="69" t="n"/>
      <c r="CD360" s="69" t="n"/>
      <c r="CE360" s="42" t="n"/>
      <c r="CF360" s="69" t="n"/>
      <c r="CG360" s="69" t="n"/>
      <c r="CH360" s="69" t="n"/>
      <c r="CI360" s="69" t="n"/>
      <c r="CJ360" s="42" t="n"/>
      <c r="CK360" s="69" t="n"/>
      <c r="CL360" s="69" t="n"/>
      <c r="CM360" s="69" t="n"/>
      <c r="CN360" s="69" t="n"/>
      <c r="CO360" s="42" t="n"/>
      <c r="CP360" s="69" t="n"/>
      <c r="CQ360" s="69" t="n"/>
      <c r="CR360" s="69" t="n"/>
      <c r="CS360" s="69" t="n"/>
      <c r="CT360" s="42" t="n"/>
      <c r="CU360" s="69" t="n"/>
      <c r="CV360" s="69" t="n"/>
      <c r="CW360" s="69" t="n"/>
      <c r="CX360" s="69" t="n"/>
      <c r="CY360" s="42" t="n"/>
    </row>
    <row r="361" hidden="1" outlineLevel="1" customFormat="1" s="66">
      <c r="A361" s="37" t="n"/>
      <c r="B361" s="37" t="n"/>
      <c r="C361" s="67" t="inlineStr">
        <is>
          <t>End of period basic shares outstanding</t>
        </is>
      </c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3" t="str">
        <f>IFERROR(AG361+AH360-AH359,"")</f>
        <v/>
      </c>
      <c r="AI361" s="3" t="str">
        <f>IFERROR(AH361+AI360-AI359,"")</f>
        <v/>
      </c>
      <c r="AJ361" s="69" t="str">
        <f>IFERROR(AH361+AJ360-AJ359,"")</f>
        <v/>
      </c>
      <c r="AK361" s="69" t="str">
        <f>IFERROR(AJ361+AK360-AK359,"")</f>
        <v/>
      </c>
      <c r="AL361" s="42" t="n"/>
      <c r="AM361" s="3" t="str">
        <f>IFERROR(AK361+AM360-AM359,"")</f>
        <v/>
      </c>
      <c r="AN361" s="3" t="str">
        <f>IFERROR(AM361+AN360-AN359,"")</f>
        <v/>
      </c>
      <c r="AO361" s="69" t="str">
        <f>IFERROR(AM361+AO360-AO359,"")</f>
        <v/>
      </c>
      <c r="AP361" s="69" t="str">
        <f>IFERROR(AO361+AP360-AP359,"")</f>
        <v/>
      </c>
      <c r="AQ361" s="42" t="n"/>
      <c r="AR361" s="3" t="str">
        <f>IFERROR(AP361+AR360-AR359,"")</f>
        <v/>
      </c>
      <c r="AS361" s="3" t="str">
        <f>IFERROR(AR361+AS360-AS359,"")</f>
        <v/>
      </c>
      <c r="AT361" s="69" t="str">
        <f>IFERROR(AR361+AT360-AT359,"")</f>
        <v/>
      </c>
      <c r="AU361" s="69" t="str">
        <f>IFERROR(AT361+AU360-AU359,"")</f>
        <v/>
      </c>
      <c r="AV361" s="42" t="n"/>
      <c r="AW361" s="3" t="str">
        <f>IFERROR(AU361+AW360-AW359,"")</f>
        <v/>
      </c>
      <c r="AX361" s="3" t="str">
        <f>IFERROR(AW361+AX360-AX359,"")</f>
        <v/>
      </c>
      <c r="AY361" s="69" t="str">
        <f>IFERROR(AW361+AY360-AY359,"")</f>
        <v/>
      </c>
      <c r="AZ361" s="69" t="str">
        <f>IFERROR(AY361+AZ360-AZ359,"")</f>
        <v/>
      </c>
      <c r="BA361" s="42" t="n"/>
      <c r="BB361" s="3" t="str">
        <f>IFERROR(AZ361+BB360-BB359,"")</f>
        <v/>
      </c>
      <c r="BC361" s="3" t="str">
        <f>IFERROR(BB361+BC360-BC359,"")</f>
        <v/>
      </c>
      <c r="BD361" s="69" t="str">
        <f>IFERROR(BB361+BD360-BD359,"")</f>
        <v/>
      </c>
      <c r="BE361" s="69" t="str">
        <f>IFERROR(BD361+BE360-BE359,"")</f>
        <v/>
      </c>
      <c r="BF361" s="42" t="n"/>
      <c r="BG361" s="3" t="n"/>
      <c r="BH361" s="3" t="n"/>
      <c r="BI361" s="69" t="n"/>
      <c r="BJ361" s="69" t="n"/>
      <c r="BK361" s="42" t="n"/>
      <c r="BL361" s="3" t="n"/>
      <c r="BM361" s="3" t="n"/>
      <c r="BN361" s="69" t="n"/>
      <c r="BO361" s="69" t="n"/>
      <c r="BP361" s="42" t="n"/>
      <c r="BQ361" s="3" t="n"/>
      <c r="BR361" s="3" t="n"/>
      <c r="BS361" s="69" t="n"/>
      <c r="BT361" s="69" t="n"/>
      <c r="BU361" s="42" t="n"/>
      <c r="BV361" s="3" t="n"/>
      <c r="BW361" s="3" t="n"/>
      <c r="BX361" s="69" t="n"/>
      <c r="BY361" s="69" t="n"/>
      <c r="BZ361" s="42" t="n"/>
      <c r="CA361" s="3" t="n"/>
      <c r="CB361" s="3" t="n"/>
      <c r="CC361" s="69" t="n"/>
      <c r="CD361" s="69" t="n"/>
      <c r="CE361" s="42" t="n"/>
      <c r="CF361" s="3" t="n"/>
      <c r="CG361" s="3" t="n"/>
      <c r="CH361" s="69" t="n"/>
      <c r="CI361" s="69" t="n"/>
      <c r="CJ361" s="42" t="n"/>
      <c r="CK361" s="3" t="n"/>
      <c r="CL361" s="3" t="n"/>
      <c r="CM361" s="69" t="n"/>
      <c r="CN361" s="69" t="n"/>
      <c r="CO361" s="42" t="n"/>
      <c r="CP361" s="3" t="n"/>
      <c r="CQ361" s="3" t="n"/>
      <c r="CR361" s="69" t="n"/>
      <c r="CS361" s="69" t="n"/>
      <c r="CT361" s="42" t="n"/>
      <c r="CU361" s="3" t="n"/>
      <c r="CV361" s="3" t="n"/>
      <c r="CW361" s="69" t="n"/>
      <c r="CX361" s="69" t="n"/>
      <c r="CY361" s="42" t="n"/>
    </row>
    <row r="362" hidden="1" outlineLevel="1" customFormat="1" s="66">
      <c r="A362" s="37" t="n"/>
      <c r="B362" s="37" t="n"/>
      <c r="C362" s="67" t="inlineStr">
        <is>
          <t>Weighted average basic shares outstanding</t>
        </is>
      </c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69" t="str">
        <f>IFERROR(AVERAGE(AG361,AH361),"")</f>
        <v/>
      </c>
      <c r="AI362" s="69" t="str">
        <f>IFERROR(AVERAGE(AH361,AI361),"")</f>
        <v/>
      </c>
      <c r="AJ362" s="69" t="str">
        <f>IFERROR(AVERAGE(AH361,AJ361),"")</f>
        <v/>
      </c>
      <c r="AK362" s="69" t="str">
        <f>IFERROR(AVERAGE(AJ361,AK361),"")</f>
        <v/>
      </c>
      <c r="AL362" s="42" t="n"/>
      <c r="AM362" s="69" t="str">
        <f>IFERROR(AVERAGE(AL361,AM361),"")</f>
        <v/>
      </c>
      <c r="AN362" s="69" t="str">
        <f>IFERROR(AVERAGE(AM361,AN361),"")</f>
        <v/>
      </c>
      <c r="AO362" s="69" t="str">
        <f>IFERROR(AVERAGE(AM361,AO361),"")</f>
        <v/>
      </c>
      <c r="AP362" s="69" t="str">
        <f>IFERROR(AVERAGE(AO361,AP361),"")</f>
        <v/>
      </c>
      <c r="AQ362" s="42" t="n"/>
      <c r="AR362" s="69" t="str">
        <f>IFERROR(AVERAGE(AQ361,AR361),"")</f>
        <v/>
      </c>
      <c r="AS362" s="69" t="str">
        <f>IFERROR(AVERAGE(AR361,AS361),"")</f>
        <v/>
      </c>
      <c r="AT362" s="69" t="str">
        <f>IFERROR(AVERAGE(AR361,AT361),"")</f>
        <v/>
      </c>
      <c r="AU362" s="69" t="str">
        <f>IFERROR(AVERAGE(AT361,AU361),"")</f>
        <v/>
      </c>
      <c r="AV362" s="42" t="n"/>
      <c r="AW362" s="69" t="str">
        <f>IFERROR(AVERAGE(AV361,AW361),"")</f>
        <v/>
      </c>
      <c r="AX362" s="69" t="str">
        <f>IFERROR(AVERAGE(AW361,AX361),"")</f>
        <v/>
      </c>
      <c r="AY362" s="69" t="str">
        <f>IFERROR(AVERAGE(AW361,AY361),"")</f>
        <v/>
      </c>
      <c r="AZ362" s="69" t="str">
        <f>IFERROR(AVERAGE(AY361,AZ361),"")</f>
        <v/>
      </c>
      <c r="BA362" s="42" t="n"/>
      <c r="BB362" s="69" t="str">
        <f>IFERROR(AVERAGE(BA361,BB361),"")</f>
        <v/>
      </c>
      <c r="BC362" s="69" t="str">
        <f>IFERROR(AVERAGE(BB361,BC361),"")</f>
        <v/>
      </c>
      <c r="BD362" s="69" t="str">
        <f>IFERROR(AVERAGE(BB361,BD361),"")</f>
        <v/>
      </c>
      <c r="BE362" s="69" t="str">
        <f>IFERROR(AVERAGE(BD361,BE361),"")</f>
        <v/>
      </c>
      <c r="BF362" s="42" t="n"/>
      <c r="BG362" s="69" t="n"/>
      <c r="BH362" s="69" t="n"/>
      <c r="BI362" s="69" t="n"/>
      <c r="BJ362" s="69" t="n"/>
      <c r="BK362" s="42" t="n"/>
      <c r="BL362" s="69" t="n"/>
      <c r="BM362" s="69" t="n"/>
      <c r="BN362" s="69" t="n"/>
      <c r="BO362" s="69" t="n"/>
      <c r="BP362" s="42" t="n"/>
      <c r="BQ362" s="69" t="n"/>
      <c r="BR362" s="69" t="n"/>
      <c r="BS362" s="69" t="n"/>
      <c r="BT362" s="69" t="n"/>
      <c r="BU362" s="42" t="n"/>
      <c r="BV362" s="69" t="n"/>
      <c r="BW362" s="69" t="n"/>
      <c r="BX362" s="69" t="n"/>
      <c r="BY362" s="69" t="n"/>
      <c r="BZ362" s="42" t="n"/>
      <c r="CA362" s="69" t="n"/>
      <c r="CB362" s="69" t="n"/>
      <c r="CC362" s="69" t="n"/>
      <c r="CD362" s="69" t="n"/>
      <c r="CE362" s="42" t="n"/>
      <c r="CF362" s="69" t="n"/>
      <c r="CG362" s="69" t="n"/>
      <c r="CH362" s="69" t="n"/>
      <c r="CI362" s="69" t="n"/>
      <c r="CJ362" s="42" t="n"/>
      <c r="CK362" s="69" t="n"/>
      <c r="CL362" s="69" t="n"/>
      <c r="CM362" s="69" t="n"/>
      <c r="CN362" s="69" t="n"/>
      <c r="CO362" s="42" t="n"/>
      <c r="CP362" s="69" t="n"/>
      <c r="CQ362" s="69" t="n"/>
      <c r="CR362" s="69" t="n"/>
      <c r="CS362" s="69" t="n"/>
      <c r="CT362" s="42" t="n"/>
      <c r="CU362" s="69" t="n"/>
      <c r="CV362" s="69" t="n"/>
      <c r="CW362" s="69" t="n"/>
      <c r="CX362" s="69" t="n"/>
      <c r="CY362" s="42" t="n"/>
    </row>
    <row r="363" hidden="1" outlineLevel="1" customFormat="1" s="66">
      <c r="A363" s="37" t="n"/>
      <c r="B363" s="37" t="n"/>
      <c r="C363" s="67" t="n"/>
      <c r="D363" s="42" t="n"/>
      <c r="E363" s="42" t="n"/>
      <c r="F363" s="42" t="n"/>
      <c r="G363" s="42" t="n"/>
      <c r="H363" s="12" t="n"/>
      <c r="I363" s="42" t="n"/>
      <c r="J363" s="42" t="n"/>
      <c r="K363" s="42" t="n"/>
      <c r="L363" s="42" t="n"/>
      <c r="M363" s="12" t="n"/>
      <c r="N363" s="42" t="n"/>
      <c r="O363" s="42" t="n"/>
      <c r="P363" s="42" t="n"/>
      <c r="Q363" s="42" t="n"/>
      <c r="R363" s="12" t="n"/>
      <c r="S363" s="42" t="n"/>
      <c r="T363" s="42" t="n"/>
      <c r="U363" s="42" t="n"/>
      <c r="V363" s="42" t="n"/>
      <c r="W363" s="12" t="n"/>
      <c r="X363" s="42" t="n"/>
      <c r="Y363" s="42" t="n"/>
      <c r="Z363" s="42" t="n"/>
      <c r="AA363" s="42" t="n"/>
      <c r="AB363" s="12" t="n"/>
      <c r="AC363" s="42" t="n"/>
      <c r="AD363" s="42" t="n"/>
      <c r="AE363" s="42" t="n"/>
      <c r="AF363" s="42" t="n"/>
      <c r="AG363" s="12" t="n"/>
      <c r="AH363" s="42" t="n"/>
      <c r="AI363" s="42" t="n"/>
      <c r="AJ363" s="42" t="n"/>
      <c r="AK363" s="42" t="n"/>
      <c r="AL363" s="12" t="n"/>
      <c r="AM363" s="42" t="n"/>
      <c r="AN363" s="42" t="n"/>
      <c r="AO363" s="42" t="n"/>
      <c r="AP363" s="42" t="n"/>
      <c r="AQ363" s="12" t="n"/>
      <c r="AR363" s="42" t="n"/>
      <c r="AS363" s="42" t="n"/>
      <c r="AT363" s="42" t="n"/>
      <c r="AU363" s="42" t="n"/>
      <c r="AV363" s="12" t="n"/>
      <c r="AW363" s="42" t="n"/>
      <c r="AX363" s="42" t="n"/>
      <c r="AY363" s="42" t="n"/>
      <c r="AZ363" s="42" t="n"/>
      <c r="BA363" s="12" t="n"/>
      <c r="BB363" s="42" t="n"/>
      <c r="BC363" s="42" t="n"/>
      <c r="BD363" s="42" t="n"/>
      <c r="BE363" s="42" t="n"/>
      <c r="BF363" s="12" t="n"/>
      <c r="BG363" s="42" t="n"/>
      <c r="BH363" s="42" t="n"/>
      <c r="BI363" s="42" t="n"/>
      <c r="BJ363" s="42" t="n"/>
      <c r="BK363" s="12" t="n"/>
      <c r="BL363" s="42" t="n"/>
      <c r="BM363" s="42" t="n"/>
      <c r="BN363" s="42" t="n"/>
      <c r="BO363" s="42" t="n"/>
      <c r="BP363" s="12" t="n"/>
      <c r="BQ363" s="42" t="n"/>
      <c r="BR363" s="42" t="n"/>
      <c r="BS363" s="42" t="n"/>
      <c r="BT363" s="42" t="n"/>
      <c r="BU363" s="12" t="n"/>
      <c r="BV363" s="42" t="n"/>
      <c r="BW363" s="42" t="n"/>
      <c r="BX363" s="42" t="n"/>
      <c r="BY363" s="42" t="n"/>
      <c r="BZ363" s="12" t="n"/>
      <c r="CA363" s="42" t="n"/>
      <c r="CB363" s="42" t="n"/>
      <c r="CC363" s="42" t="n"/>
      <c r="CD363" s="42" t="n"/>
      <c r="CE363" s="12" t="n"/>
      <c r="CF363" s="42" t="n"/>
      <c r="CG363" s="42" t="n"/>
      <c r="CH363" s="42" t="n"/>
      <c r="CI363" s="42" t="n"/>
      <c r="CJ363" s="12" t="n"/>
      <c r="CK363" s="42" t="n"/>
      <c r="CL363" s="42" t="n"/>
      <c r="CM363" s="42" t="n"/>
      <c r="CN363" s="42" t="n"/>
      <c r="CO363" s="12" t="n"/>
      <c r="CP363" s="42" t="n"/>
      <c r="CQ363" s="42" t="n"/>
      <c r="CR363" s="42" t="n"/>
      <c r="CS363" s="42" t="n"/>
      <c r="CT363" s="12" t="n"/>
      <c r="CU363" s="42" t="n"/>
      <c r="CV363" s="42" t="n"/>
      <c r="CW363" s="42" t="n"/>
      <c r="CX363" s="42" t="n"/>
      <c r="CY363" s="12" t="n"/>
    </row>
    <row r="364" collapsed="1">
      <c r="C364" s="14" t="inlineStr">
        <is>
          <t>Treasury stock (contra account)</t>
        </is>
      </c>
      <c r="D364" s="46" t="n"/>
      <c r="E364" s="46" t="n"/>
      <c r="F364" s="46" t="n"/>
      <c r="G364" s="46" t="n"/>
      <c r="H364" s="12" t="n"/>
      <c r="I364" s="46">
        <f>'Inputs (2)'!D44</f>
        <v>0</v>
      </c>
      <c r="J364" s="46">
        <f>'Inputs (2)'!E44</f>
        <v>0</v>
      </c>
      <c r="K364" s="46">
        <f>'Inputs (2)'!F44</f>
        <v>0</v>
      </c>
      <c r="L364" s="46">
        <f>'Inputs (2)'!G44</f>
        <v>0</v>
      </c>
      <c r="M364" s="12">
        <f>'Inputs (2)'!H44</f>
        <v>0</v>
      </c>
      <c r="N364" s="46">
        <f>'Inputs (2)'!I44</f>
        <v>0</v>
      </c>
      <c r="O364" s="46">
        <f>'Inputs (2)'!J44</f>
        <v>0</v>
      </c>
      <c r="P364" s="46">
        <f>'Inputs (2)'!K44</f>
        <v>0</v>
      </c>
      <c r="Q364" s="46">
        <f>'Inputs (2)'!L44</f>
        <v>0</v>
      </c>
      <c r="R364" s="12">
        <f>'Inputs (2)'!M44</f>
        <v>0</v>
      </c>
      <c r="S364" s="46">
        <f>'Inputs (2)'!N44</f>
        <v>0</v>
      </c>
      <c r="T364" s="46">
        <f>'Inputs (2)'!O44</f>
        <v>0</v>
      </c>
      <c r="U364" s="46">
        <f>'Inputs (2)'!P44</f>
        <v>0</v>
      </c>
      <c r="V364" s="46">
        <f>'Inputs (2)'!Q44</f>
        <v>0</v>
      </c>
      <c r="W364" s="12">
        <f>'Inputs (2)'!R44</f>
        <v>0</v>
      </c>
      <c r="X364" s="46">
        <f>'Inputs (2)'!S44</f>
        <v>0</v>
      </c>
      <c r="Y364" s="46">
        <f>'Inputs (2)'!T44</f>
        <v>0</v>
      </c>
      <c r="Z364" s="46">
        <f>'Inputs (2)'!U44</f>
        <v>0</v>
      </c>
      <c r="AA364" s="46">
        <f>'Inputs (2)'!V44</f>
        <v>0</v>
      </c>
      <c r="AB364" s="12">
        <f>'Inputs (2)'!W44</f>
        <v>0</v>
      </c>
      <c r="AC364" s="46">
        <f>'Inputs (2)'!X44</f>
        <v>0</v>
      </c>
      <c r="AD364" s="46">
        <f>'Inputs (2)'!Y44</f>
        <v>0</v>
      </c>
      <c r="AE364" s="46">
        <f>'Inputs (2)'!Z44</f>
        <v>0</v>
      </c>
      <c r="AF364" s="46">
        <f>'Inputs (2)'!AA44</f>
        <v>0</v>
      </c>
      <c r="AG364" s="12">
        <f>'Inputs (2)'!AB44</f>
        <v>0</v>
      </c>
      <c r="AH364" s="12">
        <f>'Inputs (2)'!AC44</f>
        <v>0</v>
      </c>
      <c r="AI364" s="12">
        <f>'Inputs (2)'!AD44</f>
        <v>0</v>
      </c>
      <c r="AJ364" s="12">
        <f>AI364</f>
        <v>0</v>
      </c>
      <c r="AK364" s="12">
        <f>AJ364</f>
        <v>0</v>
      </c>
      <c r="AL364" s="12">
        <f>AK364</f>
        <v>0</v>
      </c>
      <c r="AM364" s="12">
        <f>AL364</f>
        <v>0</v>
      </c>
      <c r="AN364" s="12">
        <f>AM364</f>
        <v>0</v>
      </c>
      <c r="AO364" s="12">
        <f>AN364</f>
        <v>0</v>
      </c>
      <c r="AP364" s="12">
        <f>AO364</f>
        <v>0</v>
      </c>
      <c r="AQ364" s="12">
        <f>AP364</f>
        <v>0</v>
      </c>
      <c r="AR364" s="12">
        <f>AQ364</f>
        <v>0</v>
      </c>
      <c r="AS364" s="12">
        <f>AR364</f>
        <v>0</v>
      </c>
      <c r="AT364" s="12">
        <f>AS364</f>
        <v>0</v>
      </c>
      <c r="AU364" s="12">
        <f>AT364</f>
        <v>0</v>
      </c>
      <c r="AV364" s="12">
        <f>AU364</f>
        <v>0</v>
      </c>
      <c r="AW364" s="12">
        <f>AV364</f>
        <v>0</v>
      </c>
      <c r="AX364" s="12">
        <f>AW364</f>
        <v>0</v>
      </c>
      <c r="AY364" s="12">
        <f>AX364</f>
        <v>0</v>
      </c>
      <c r="AZ364" s="12">
        <f>AY364</f>
        <v>0</v>
      </c>
      <c r="BA364" s="12">
        <f>AZ364</f>
        <v>0</v>
      </c>
      <c r="BB364" s="12">
        <f>BA364</f>
        <v>0</v>
      </c>
      <c r="BC364" s="12">
        <f>BB364</f>
        <v>0</v>
      </c>
      <c r="BD364" s="12">
        <f>BC364</f>
        <v>0</v>
      </c>
      <c r="BE364" s="12">
        <f>BD364</f>
        <v>0</v>
      </c>
      <c r="BF364" s="12">
        <f>BE364</f>
        <v>0</v>
      </c>
      <c r="BG364" s="12" t="n"/>
      <c r="BH364" s="12" t="n"/>
      <c r="BI364" s="12" t="n"/>
      <c r="BJ364" s="12" t="n"/>
      <c r="BK364" s="12" t="n"/>
      <c r="BL364" s="12" t="n"/>
      <c r="BM364" s="12" t="n"/>
      <c r="BN364" s="12" t="n"/>
      <c r="BO364" s="12" t="n"/>
      <c r="BP364" s="12" t="n"/>
      <c r="BQ364" s="12" t="n"/>
      <c r="BR364" s="12" t="n"/>
      <c r="BS364" s="12" t="n"/>
      <c r="BT364" s="12" t="n"/>
      <c r="BU364" s="12" t="n"/>
      <c r="BV364" s="12" t="n"/>
      <c r="BW364" s="12" t="n"/>
      <c r="BX364" s="12" t="n"/>
      <c r="BY364" s="12" t="n"/>
      <c r="BZ364" s="12" t="n"/>
      <c r="CA364" s="12" t="n"/>
      <c r="CB364" s="12" t="n"/>
      <c r="CC364" s="12" t="n"/>
      <c r="CD364" s="12" t="n"/>
      <c r="CE364" s="12" t="n"/>
      <c r="CF364" s="12" t="n"/>
      <c r="CG364" s="12" t="n"/>
      <c r="CH364" s="12" t="n"/>
      <c r="CI364" s="12" t="n"/>
      <c r="CJ364" s="12" t="n"/>
      <c r="CK364" s="12" t="n"/>
      <c r="CL364" s="12" t="n"/>
      <c r="CM364" s="12" t="n"/>
      <c r="CN364" s="12" t="n"/>
      <c r="CO364" s="12" t="n"/>
      <c r="CP364" s="12" t="n"/>
      <c r="CQ364" s="12" t="n"/>
      <c r="CR364" s="12" t="n"/>
      <c r="CS364" s="12" t="n"/>
      <c r="CT364" s="12" t="n"/>
      <c r="CU364" s="12" t="n"/>
      <c r="CV364" s="12" t="n"/>
      <c r="CW364" s="12" t="n"/>
      <c r="CX364" s="12" t="n"/>
      <c r="CY364" s="12" t="n"/>
    </row>
    <row r="365">
      <c r="C365" s="14" t="inlineStr">
        <is>
          <t>Comprehensive (accumulated) loss</t>
        </is>
      </c>
      <c r="D365" s="46" t="n"/>
      <c r="E365" s="46" t="n"/>
      <c r="F365" s="46" t="n"/>
      <c r="G365" s="46" t="n"/>
      <c r="H365" s="12" t="n"/>
      <c r="I365" s="46">
        <f>'Inputs (2)'!D45</f>
        <v>103.694</v>
      </c>
      <c r="J365" s="46">
        <f>'Inputs (2)'!E45</f>
        <v>51.922</v>
      </c>
      <c r="K365" s="46">
        <f>'Inputs (2)'!F45</f>
        <v>62.016</v>
      </c>
      <c r="L365" s="46">
        <f>'Inputs (2)'!G45</f>
        <v>70.865</v>
      </c>
      <c r="M365" s="12">
        <f>'Inputs (2)'!H45</f>
        <v>70.865</v>
      </c>
      <c r="N365" s="46">
        <f>'Inputs (2)'!I45</f>
        <v>35.501</v>
      </c>
      <c r="O365" s="46">
        <f>'Inputs (2)'!J45</f>
        <v>54.159</v>
      </c>
      <c r="P365" s="46">
        <f>'Inputs (2)'!K45</f>
        <v>45.86</v>
      </c>
      <c r="Q365" s="46">
        <f>'Inputs (2)'!L45</f>
        <v>45.492</v>
      </c>
      <c r="R365" s="12">
        <f>'Inputs (2)'!M45</f>
        <v>45.492</v>
      </c>
      <c r="S365" s="46">
        <f>'Inputs (2)'!N45</f>
        <v>39.811</v>
      </c>
      <c r="T365" s="46">
        <f>'Inputs (2)'!O45</f>
        <v>48.546</v>
      </c>
      <c r="U365" s="46">
        <f>'Inputs (2)'!P45</f>
        <v>62.164</v>
      </c>
      <c r="V365" s="46">
        <f>'Inputs (2)'!Q45</f>
        <v>45.937</v>
      </c>
      <c r="W365" s="12">
        <f>'Inputs (2)'!R45</f>
        <v>45.937</v>
      </c>
      <c r="X365" s="46">
        <f>'Inputs (2)'!S45</f>
        <v>57.65</v>
      </c>
      <c r="Y365" s="46">
        <f>'Inputs (2)'!T45</f>
        <v>79.027</v>
      </c>
      <c r="Z365" s="46">
        <f>'Inputs (2)'!U45</f>
        <v>72.596</v>
      </c>
      <c r="AA365" s="46">
        <f>'Inputs (2)'!V45</f>
        <v>104.372</v>
      </c>
      <c r="AB365" s="12">
        <f>'Inputs (2)'!W45</f>
        <v>104.372</v>
      </c>
      <c r="AC365" s="46">
        <f>'Inputs (2)'!X45</f>
        <v>84.44</v>
      </c>
      <c r="AD365" s="46">
        <f>'Inputs (2)'!Y45</f>
        <v>-50.354</v>
      </c>
      <c r="AE365" s="46">
        <f>'Inputs (2)'!Z45</f>
        <v>85.109</v>
      </c>
      <c r="AF365" s="46">
        <f>'Inputs (2)'!AA45</f>
        <v>174.494</v>
      </c>
      <c r="AG365" s="12">
        <f>'Inputs (2)'!AB45</f>
        <v>174.494</v>
      </c>
      <c r="AH365" s="12">
        <f>'Inputs (2)'!AC45</f>
        <v>99.329</v>
      </c>
      <c r="AI365" s="12">
        <f>'Inputs (2)'!AD45</f>
        <v>115.567</v>
      </c>
      <c r="AJ365" s="12">
        <f>AI365</f>
        <v>115.567</v>
      </c>
      <c r="AK365" s="12">
        <f>AJ365</f>
        <v>115.567</v>
      </c>
      <c r="AL365" s="12">
        <f>AK365</f>
        <v>115.567</v>
      </c>
      <c r="AM365" s="12">
        <f>AL365</f>
        <v>115.567</v>
      </c>
      <c r="AN365" s="12">
        <f>AM365</f>
        <v>115.567</v>
      </c>
      <c r="AO365" s="12">
        <f>AN365</f>
        <v>115.567</v>
      </c>
      <c r="AP365" s="12">
        <f>AO365</f>
        <v>115.567</v>
      </c>
      <c r="AQ365" s="12">
        <f>AP365</f>
        <v>115.567</v>
      </c>
      <c r="AR365" s="12">
        <f>AQ365</f>
        <v>115.567</v>
      </c>
      <c r="AS365" s="12">
        <f>AR365</f>
        <v>115.567</v>
      </c>
      <c r="AT365" s="12">
        <f>AS365</f>
        <v>115.567</v>
      </c>
      <c r="AU365" s="12">
        <f>AT365</f>
        <v>115.567</v>
      </c>
      <c r="AV365" s="12">
        <f>AU365</f>
        <v>115.567</v>
      </c>
      <c r="AW365" s="12">
        <f>AV365</f>
        <v>115.567</v>
      </c>
      <c r="AX365" s="12">
        <f>AW365</f>
        <v>115.567</v>
      </c>
      <c r="AY365" s="12">
        <f>AX365</f>
        <v>115.567</v>
      </c>
      <c r="AZ365" s="12">
        <f>AY365</f>
        <v>115.567</v>
      </c>
      <c r="BA365" s="12">
        <f>AZ365</f>
        <v>115.567</v>
      </c>
      <c r="BB365" s="12">
        <f>BA365</f>
        <v>115.567</v>
      </c>
      <c r="BC365" s="12">
        <f>BB365</f>
        <v>115.567</v>
      </c>
      <c r="BD365" s="12">
        <f>BC365</f>
        <v>115.567</v>
      </c>
      <c r="BE365" s="12">
        <f>BD365</f>
        <v>115.567</v>
      </c>
      <c r="BF365" s="12">
        <f>BE365</f>
        <v>115.567</v>
      </c>
      <c r="BG365" s="12" t="n"/>
      <c r="BH365" s="12" t="n"/>
      <c r="BI365" s="12" t="n"/>
      <c r="BJ365" s="12" t="n"/>
      <c r="BK365" s="12" t="n"/>
      <c r="BL365" s="12" t="n"/>
      <c r="BM365" s="12" t="n"/>
      <c r="BN365" s="12" t="n"/>
      <c r="BO365" s="12" t="n"/>
      <c r="BP365" s="12" t="n"/>
      <c r="BQ365" s="12" t="n"/>
      <c r="BR365" s="12" t="n"/>
      <c r="BS365" s="12" t="n"/>
      <c r="BT365" s="12" t="n"/>
      <c r="BU365" s="12" t="n"/>
      <c r="BV365" s="12" t="n"/>
      <c r="BW365" s="12" t="n"/>
      <c r="BX365" s="12" t="n"/>
      <c r="BY365" s="12" t="n"/>
      <c r="BZ365" s="12" t="n"/>
      <c r="CA365" s="12" t="n"/>
      <c r="CB365" s="12" t="n"/>
      <c r="CC365" s="12" t="n"/>
      <c r="CD365" s="12" t="n"/>
      <c r="CE365" s="12" t="n"/>
      <c r="CF365" s="12" t="n"/>
      <c r="CG365" s="12" t="n"/>
      <c r="CH365" s="12" t="n"/>
      <c r="CI365" s="12" t="n"/>
      <c r="CJ365" s="12" t="n"/>
      <c r="CK365" s="12" t="n"/>
      <c r="CL365" s="12" t="n"/>
      <c r="CM365" s="12" t="n"/>
      <c r="CN365" s="12" t="n"/>
      <c r="CO365" s="12" t="n"/>
      <c r="CP365" s="12" t="n"/>
      <c r="CQ365" s="12" t="n"/>
      <c r="CR365" s="12" t="n"/>
      <c r="CS365" s="12" t="n"/>
      <c r="CT365" s="12" t="n"/>
      <c r="CU365" s="12" t="n"/>
      <c r="CV365" s="12" t="n"/>
      <c r="CW365" s="12" t="n"/>
      <c r="CX365" s="12" t="n"/>
      <c r="CY365" s="12" t="n"/>
    </row>
    <row r="366">
      <c r="C366" s="14" t="inlineStr">
        <is>
          <t>Other equity account</t>
        </is>
      </c>
      <c r="D366" s="46" t="n"/>
      <c r="E366" s="46" t="n"/>
      <c r="F366" s="46" t="n"/>
      <c r="G366" s="46" t="n"/>
      <c r="H366" s="12" t="n"/>
      <c r="I366" s="46">
        <f>'Inputs (2)'!D46</f>
        <v>2727.377</v>
      </c>
      <c r="J366" s="46">
        <f>'Inputs (2)'!E46</f>
        <v>2727.377</v>
      </c>
      <c r="K366" s="46">
        <f>'Inputs (2)'!F46</f>
        <v>2727.377</v>
      </c>
      <c r="L366" s="46">
        <f>'Inputs (2)'!G46</f>
        <v>2727.377</v>
      </c>
      <c r="M366" s="12">
        <f>'Inputs (2)'!H46</f>
        <v>2727.377</v>
      </c>
      <c r="N366" s="46">
        <f>'Inputs (2)'!I46</f>
        <v>3482.342</v>
      </c>
      <c r="O366" s="46">
        <f>'Inputs (2)'!J46</f>
        <v>3482.342</v>
      </c>
      <c r="P366" s="46">
        <f>'Inputs (2)'!K46</f>
        <v>3482.342</v>
      </c>
      <c r="Q366" s="46">
        <f>'Inputs (2)'!L46</f>
        <v>3978.834</v>
      </c>
      <c r="R366" s="12">
        <f>'Inputs (2)'!M46</f>
        <v>3978.834</v>
      </c>
      <c r="S366" s="46">
        <f>'Inputs (2)'!N46</f>
        <v>3978.834</v>
      </c>
      <c r="T366" s="46">
        <f>'Inputs (2)'!O46</f>
        <v>3650.047</v>
      </c>
      <c r="U366" s="46">
        <f>'Inputs (2)'!P46</f>
        <v>3650.047</v>
      </c>
      <c r="V366" s="46">
        <f>'Inputs (2)'!Q46</f>
        <v>3996.686</v>
      </c>
      <c r="W366" s="12">
        <f>'Inputs (2)'!R46</f>
        <v>3996.686</v>
      </c>
      <c r="X366" s="46">
        <f>'Inputs (2)'!S46</f>
        <v>3996.686</v>
      </c>
      <c r="Y366" s="46">
        <f>'Inputs (2)'!T46</f>
        <v>3633.902</v>
      </c>
      <c r="Z366" s="46">
        <f>'Inputs (2)'!U46</f>
        <v>3633.902</v>
      </c>
      <c r="AA366" s="46">
        <f>'Inputs (2)'!V46</f>
        <v>4460.056</v>
      </c>
      <c r="AB366" s="12">
        <f>'Inputs (2)'!W46</f>
        <v>4460.056</v>
      </c>
      <c r="AC366" s="46">
        <f>'Inputs (2)'!X46</f>
        <v>4460.056</v>
      </c>
      <c r="AD366" s="46">
        <f>'Inputs (2)'!Y46</f>
        <v>4094.715</v>
      </c>
      <c r="AE366" s="46">
        <f>'Inputs (2)'!Z46</f>
        <v>4094.715</v>
      </c>
      <c r="AF366" s="46">
        <f>'Inputs (2)'!AA46</f>
        <v>4964.166</v>
      </c>
      <c r="AG366" s="12">
        <f>'Inputs (2)'!AB46</f>
        <v>4964.166</v>
      </c>
      <c r="AH366" s="12">
        <f>'Inputs (2)'!AC46</f>
        <v>4964.166</v>
      </c>
      <c r="AI366" s="12">
        <f>'Inputs (2)'!AD46</f>
        <v>4954.277</v>
      </c>
      <c r="AJ366" s="12">
        <f>AI366</f>
        <v>4954.277</v>
      </c>
      <c r="AK366" s="12">
        <f>AJ366</f>
        <v>4954.277</v>
      </c>
      <c r="AL366" s="12">
        <f>AK366</f>
        <v>4954.277</v>
      </c>
      <c r="AM366" s="12">
        <f>AL366</f>
        <v>4954.277</v>
      </c>
      <c r="AN366" s="12">
        <f>AM366</f>
        <v>4954.277</v>
      </c>
      <c r="AO366" s="12">
        <f>AN366</f>
        <v>4954.277</v>
      </c>
      <c r="AP366" s="12">
        <f>AO366</f>
        <v>4954.277</v>
      </c>
      <c r="AQ366" s="12">
        <f>AP366</f>
        <v>4954.277</v>
      </c>
      <c r="AR366" s="12">
        <f>AQ366</f>
        <v>4954.277</v>
      </c>
      <c r="AS366" s="12">
        <f>AR366</f>
        <v>4954.277</v>
      </c>
      <c r="AT366" s="12">
        <f>AS366</f>
        <v>4954.277</v>
      </c>
      <c r="AU366" s="12">
        <f>AT366</f>
        <v>4954.277</v>
      </c>
      <c r="AV366" s="12">
        <f>AU366</f>
        <v>4954.277</v>
      </c>
      <c r="AW366" s="12">
        <f>AV366</f>
        <v>4954.277</v>
      </c>
      <c r="AX366" s="12">
        <f>AW366</f>
        <v>4954.277</v>
      </c>
      <c r="AY366" s="12">
        <f>AX366</f>
        <v>4954.277</v>
      </c>
      <c r="AZ366" s="12">
        <f>AY366</f>
        <v>4954.277</v>
      </c>
      <c r="BA366" s="12">
        <f>AZ366</f>
        <v>4954.277</v>
      </c>
      <c r="BB366" s="12">
        <f>BA366</f>
        <v>4954.277</v>
      </c>
      <c r="BC366" s="12">
        <f>BB366</f>
        <v>4954.277</v>
      </c>
      <c r="BD366" s="12">
        <f>BC366</f>
        <v>4954.277</v>
      </c>
      <c r="BE366" s="12">
        <f>BD366</f>
        <v>4954.277</v>
      </c>
      <c r="BF366" s="12">
        <f>BE366</f>
        <v>4954.277</v>
      </c>
      <c r="BG366" s="12" t="n"/>
      <c r="BH366" s="12" t="n"/>
      <c r="BI366" s="12" t="n"/>
      <c r="BJ366" s="12" t="n"/>
      <c r="BK366" s="12" t="n"/>
      <c r="BL366" s="12" t="n"/>
      <c r="BM366" s="12" t="n"/>
      <c r="BN366" s="12" t="n"/>
      <c r="BO366" s="12" t="n"/>
      <c r="BP366" s="12" t="n"/>
      <c r="BQ366" s="12" t="n"/>
      <c r="BR366" s="12" t="n"/>
      <c r="BS366" s="12" t="n"/>
      <c r="BT366" s="12" t="n"/>
      <c r="BU366" s="12" t="n"/>
      <c r="BV366" s="12" t="n"/>
      <c r="BW366" s="12" t="n"/>
      <c r="BX366" s="12" t="n"/>
      <c r="BY366" s="12" t="n"/>
      <c r="BZ366" s="12" t="n"/>
      <c r="CA366" s="12" t="n"/>
      <c r="CB366" s="12" t="n"/>
      <c r="CC366" s="12" t="n"/>
      <c r="CD366" s="12" t="n"/>
      <c r="CE366" s="12" t="n"/>
      <c r="CF366" s="12" t="n"/>
      <c r="CG366" s="12" t="n"/>
      <c r="CH366" s="12" t="n"/>
      <c r="CI366" s="12" t="n"/>
      <c r="CJ366" s="12" t="n"/>
      <c r="CK366" s="12" t="n"/>
      <c r="CL366" s="12" t="n"/>
      <c r="CM366" s="12" t="n"/>
      <c r="CN366" s="12" t="n"/>
      <c r="CO366" s="12" t="n"/>
      <c r="CP366" s="12" t="n"/>
      <c r="CQ366" s="12" t="n"/>
      <c r="CR366" s="12" t="n"/>
      <c r="CS366" s="12" t="n"/>
      <c r="CT366" s="12" t="n"/>
      <c r="CU366" s="12" t="n"/>
      <c r="CV366" s="12" t="n"/>
      <c r="CW366" s="12" t="n"/>
      <c r="CX366" s="12" t="n"/>
      <c r="CY366" s="12" t="n"/>
    </row>
    <row r="367">
      <c r="C367" s="15" t="inlineStr">
        <is>
          <t>Retained earnings</t>
        </is>
      </c>
      <c r="D367" s="46" t="n"/>
      <c r="E367" s="46" t="n"/>
      <c r="F367" s="46" t="n"/>
      <c r="G367" s="46" t="n"/>
      <c r="H367" s="12" t="n"/>
      <c r="I367" s="46">
        <f>'Inputs (2)'!D47</f>
        <v>323.416</v>
      </c>
      <c r="J367" s="46">
        <f>'Inputs (2)'!E47</f>
        <v>655.761</v>
      </c>
      <c r="K367" s="46">
        <f>'Inputs (2)'!F47</f>
        <v>896.077</v>
      </c>
      <c r="L367" s="46">
        <f>'Inputs (2)'!G47</f>
        <v>1115.401</v>
      </c>
      <c r="M367" s="12">
        <f>'Inputs (2)'!H47</f>
        <v>1115.401</v>
      </c>
      <c r="N367" s="46">
        <f>'Inputs (2)'!I47</f>
        <v>430.979</v>
      </c>
      <c r="O367" s="46">
        <f>'Inputs (2)'!J47</f>
        <v>610.987</v>
      </c>
      <c r="P367" s="46">
        <f>'Inputs (2)'!K47</f>
        <v>726.663</v>
      </c>
      <c r="Q367" s="46">
        <f>'Inputs (2)'!L47</f>
        <v>0</v>
      </c>
      <c r="R367" s="12">
        <f>'Inputs (2)'!M47</f>
        <v>0</v>
      </c>
      <c r="S367" s="46">
        <f>'Inputs (2)'!N47</f>
        <v>230.71</v>
      </c>
      <c r="T367" s="46">
        <f>'Inputs (2)'!O47</f>
        <v>452.896</v>
      </c>
      <c r="U367" s="46">
        <f>'Inputs (2)'!P47</f>
        <v>516.33</v>
      </c>
      <c r="V367" s="46">
        <f>'Inputs (2)'!Q47</f>
        <v>0</v>
      </c>
      <c r="W367" s="12">
        <f>'Inputs (2)'!R47</f>
        <v>0</v>
      </c>
      <c r="X367" s="46">
        <f>'Inputs (2)'!S47</f>
        <v>254.944</v>
      </c>
      <c r="Y367" s="46">
        <f>'Inputs (2)'!T47</f>
        <v>425.455</v>
      </c>
      <c r="Z367" s="46">
        <f>'Inputs (2)'!U47</f>
        <v>732.158</v>
      </c>
      <c r="AA367" s="46">
        <f>'Inputs (2)'!V47</f>
        <v>0</v>
      </c>
      <c r="AB367" s="12">
        <f>'Inputs (2)'!W47</f>
        <v>0</v>
      </c>
      <c r="AC367" s="46">
        <f>'Inputs (2)'!X47</f>
        <v>298.777</v>
      </c>
      <c r="AD367" s="46">
        <f>'Inputs (2)'!Y47</f>
        <v>374.422</v>
      </c>
      <c r="AE367" s="46">
        <f>'Inputs (2)'!Z47</f>
        <v>794.591</v>
      </c>
      <c r="AF367" s="46">
        <f>'Inputs (2)'!AA47</f>
        <v>0</v>
      </c>
      <c r="AG367" s="12">
        <f>'Inputs (2)'!AB47</f>
        <v>0</v>
      </c>
      <c r="AH367" s="12">
        <f>'Inputs (2)'!AC47</f>
        <v>198.067</v>
      </c>
      <c r="AI367" s="12">
        <f>'Inputs (2)'!AD47</f>
        <v>545.471</v>
      </c>
      <c r="AJ367" s="12">
        <f>AI367+AJ234+AJ235</f>
        <v>1154.90746465314</v>
      </c>
      <c r="AK367" s="12">
        <f>AJ367+AK234+AK235</f>
        <v>1891.06152969661</v>
      </c>
      <c r="AL367" s="12">
        <f>AK367</f>
        <v>1891.06152969661</v>
      </c>
      <c r="AM367" s="12">
        <f>AL367+AM234+AM235</f>
        <v>2685.40146043305</v>
      </c>
      <c r="AN367" s="12">
        <f>AM367+AN234+AN235</f>
        <v>3714.85464881062</v>
      </c>
      <c r="AO367" s="12">
        <f>AN367+AO234+AO235</f>
        <v>4423.77678657347</v>
      </c>
      <c r="AP367" s="12">
        <f>AO367+AP234+AP235</f>
        <v>5280.1021687615</v>
      </c>
      <c r="AQ367" s="12">
        <f>AP367</f>
        <v>5280.1021687615</v>
      </c>
      <c r="AR367" s="12">
        <f>AQ367+AR234+AR235</f>
        <v>6200.14009844396</v>
      </c>
      <c r="AS367" s="12">
        <f>AR367+AS234+AS235</f>
        <v>7392.49609553175</v>
      </c>
      <c r="AT367" s="12">
        <f>AS367+AT234+AT235</f>
        <v>8213.59954343307</v>
      </c>
      <c r="AU367" s="12">
        <f>AT367+AU234+AU235</f>
        <v>9205.43163102859</v>
      </c>
      <c r="AV367" s="12">
        <f>AU367</f>
        <v>9205.43163102859</v>
      </c>
      <c r="AW367" s="12">
        <f>AV367+AW234+AW235</f>
        <v>10266.4580821933</v>
      </c>
      <c r="AX367" s="12">
        <f>AW367+AX234+AX235</f>
        <v>11641.5331864899</v>
      </c>
      <c r="AY367" s="12">
        <f>AX367+AY234+AY235</f>
        <v>12588.4642305899</v>
      </c>
      <c r="AZ367" s="12">
        <f>AY367+AZ234+AZ235</f>
        <v>13732.2867254037</v>
      </c>
      <c r="BA367" s="12">
        <f>AZ367</f>
        <v>13732.2867254037</v>
      </c>
      <c r="BB367" s="12">
        <f>BA367+BB234+BB235</f>
        <v>14950.601939387</v>
      </c>
      <c r="BC367" s="12">
        <f>BB367+BC234+BC235</f>
        <v>16529.5210305135</v>
      </c>
      <c r="BD367" s="12">
        <f>BC367+BD234+BD235</f>
        <v>17616.8270975336</v>
      </c>
      <c r="BE367" s="12">
        <f>BD367+BE234+BE235</f>
        <v>18930.2122124836</v>
      </c>
      <c r="BF367" s="12">
        <f>BE367</f>
        <v>18930.2122124836</v>
      </c>
      <c r="BG367" s="12" t="n"/>
      <c r="BH367" s="12" t="n"/>
      <c r="BI367" s="12" t="n"/>
      <c r="BJ367" s="12" t="n"/>
      <c r="BK367" s="12" t="n"/>
      <c r="BL367" s="12" t="n"/>
      <c r="BM367" s="12" t="n"/>
      <c r="BN367" s="12" t="n"/>
      <c r="BO367" s="12" t="n"/>
      <c r="BP367" s="12" t="n"/>
      <c r="BQ367" s="12" t="n"/>
      <c r="BR367" s="12" t="n"/>
      <c r="BS367" s="12" t="n"/>
      <c r="BT367" s="12" t="n"/>
      <c r="BU367" s="12" t="n"/>
      <c r="BV367" s="12" t="n"/>
      <c r="BW367" s="12" t="n"/>
      <c r="BX367" s="12" t="n"/>
      <c r="BY367" s="12" t="n"/>
      <c r="BZ367" s="12" t="n"/>
      <c r="CA367" s="12" t="n"/>
      <c r="CB367" s="12" t="n"/>
      <c r="CC367" s="12" t="n"/>
      <c r="CD367" s="12" t="n"/>
      <c r="CE367" s="12" t="n"/>
      <c r="CF367" s="12" t="n"/>
      <c r="CG367" s="12" t="n"/>
      <c r="CH367" s="12" t="n"/>
      <c r="CI367" s="12" t="n"/>
      <c r="CJ367" s="12" t="n"/>
      <c r="CK367" s="12" t="n"/>
      <c r="CL367" s="12" t="n"/>
      <c r="CM367" s="12" t="n"/>
      <c r="CN367" s="12" t="n"/>
      <c r="CO367" s="12" t="n"/>
      <c r="CP367" s="12" t="n"/>
      <c r="CQ367" s="12" t="n"/>
      <c r="CR367" s="12" t="n"/>
      <c r="CS367" s="12" t="n"/>
      <c r="CT367" s="12" t="n"/>
      <c r="CU367" s="12" t="n"/>
      <c r="CV367" s="12" t="n"/>
      <c r="CW367" s="12" t="n"/>
      <c r="CX367" s="12" t="n"/>
      <c r="CY367" s="12" t="n"/>
    </row>
    <row r="368" customFormat="1" s="32">
      <c r="A368" s="30" t="inlineStr">
        <is>
          <t xml:space="preserve"> </t>
        </is>
      </c>
      <c r="B368" s="30" t="n"/>
      <c r="C368" s="65" t="inlineStr">
        <is>
          <t>Total Shareholders' Equity</t>
        </is>
      </c>
      <c r="D368" s="35" t="n"/>
      <c r="E368" s="35" t="n"/>
      <c r="F368" s="35" t="n"/>
      <c r="G368" s="35" t="n"/>
      <c r="H368" s="35" t="n"/>
      <c r="I368" s="35">
        <f>SUM(I345+I350+I351+I364+I365+I366+I367)</f>
        <v>9610.531</v>
      </c>
      <c r="J368" s="35">
        <f>SUM(J345+J350+J351+J364+J365+J366+J367)</f>
        <v>9985.769</v>
      </c>
      <c r="K368" s="35">
        <f>SUM(K345+K350+K351+K364+K365+K366+K367)</f>
        <v>10285.165</v>
      </c>
      <c r="L368" s="35">
        <f>SUM(L345+L350+L351+L364+L365+L366+L367)</f>
        <v>10362.159</v>
      </c>
      <c r="M368" s="35">
        <f>SUM(M345,M350,M351,M364,M365,M366,M367)</f>
        <v>10362.159</v>
      </c>
      <c r="N368" s="35">
        <f>SUM(N345+N350+N351+N364+N365+N366+N367)</f>
        <v>10733.542</v>
      </c>
      <c r="O368" s="35">
        <f>SUM(O345+O350+O351+O364+O365+O366+O367)</f>
        <v>10877.417</v>
      </c>
      <c r="P368" s="35">
        <f>SUM(P345+P350+P351+P364+P365+P366+P367)</f>
        <v>10664.94</v>
      </c>
      <c r="Q368" s="35">
        <f>SUM(Q345+Q350+Q351+Q364+Q365+Q366+Q367)</f>
        <v>10371.619</v>
      </c>
      <c r="R368" s="35">
        <f>SUM(R345,R350,R351,R364,R365,R366,R367)</f>
        <v>10371.619</v>
      </c>
      <c r="S368" s="35">
        <f>SUM(S345+S350+S351+S364+S365+S366+S367)</f>
        <v>10743.151</v>
      </c>
      <c r="T368" s="35">
        <f>SUM(T345+T350+T351+T364+T365+T366+T367)</f>
        <v>10849.299</v>
      </c>
      <c r="U368" s="35">
        <f>SUM(U345+U350+U351+U364+U365+U366+U367)</f>
        <v>10861.978</v>
      </c>
      <c r="V368" s="35">
        <f>SUM(V345+V350+V351+V364+V365+V366+V367)</f>
        <v>10628.79</v>
      </c>
      <c r="W368" s="35">
        <f>SUM(W345,W350,W351,W364,W365,W366,W367)</f>
        <v>10628.79</v>
      </c>
      <c r="X368" s="35">
        <f>SUM(X345+X350+X351+X364+X365+X366+X367)</f>
        <v>11045.652</v>
      </c>
      <c r="Y368" s="35">
        <f>SUM(Y345+Y350+Y351+Y364+Y365+Y366+Y367)</f>
        <v>11262.768</v>
      </c>
      <c r="Z368" s="35">
        <f>SUM(Z345+Z350+Z351+Z364+Z365+Z366+Z367)</f>
        <v>11809.418</v>
      </c>
      <c r="AA368" s="35">
        <f>SUM(AA345+AA350+AA351+AA364+AA365+AA366+AA367)</f>
        <v>11723.503</v>
      </c>
      <c r="AB368" s="35">
        <f>SUM(AB345,AB350,AB351,AB364,AB365,AB366,AB367)</f>
        <v>11723.503</v>
      </c>
      <c r="AC368" s="35">
        <f>SUM(AC345+AC350+AC351+AC364+AC365+AC366+AC367)</f>
        <v>12183.248</v>
      </c>
      <c r="AD368" s="35">
        <f>SUM(AD345+AD350+AD351+AD364+AD365+AD366+AD367)</f>
        <v>11927.31</v>
      </c>
      <c r="AE368" s="35">
        <f>SUM(AE345+AE350+AE351+AE364+AE365+AE366+AE367)</f>
        <v>12360.272</v>
      </c>
      <c r="AF368" s="35">
        <f>SUM(AF345+AF350+AF351+AF364+AF365+AF366+AF367)</f>
        <v>12576.514</v>
      </c>
      <c r="AG368" s="35">
        <f>SUM(AG345,AG350,AG351,AG364,AG365,AG366,AG367)</f>
        <v>12576.514</v>
      </c>
      <c r="AH368" s="35">
        <f>SUM(AH345+AH350+AH351+AH364+AH365+AH366+AH367)</f>
        <v>12829.858</v>
      </c>
      <c r="AI368" s="35">
        <f>SUM(AI345+AI350+AI351+AI364+AI365+AI366+AI367)</f>
        <v>13378.882</v>
      </c>
      <c r="AJ368" s="35">
        <f>SUM(AJ345+AJ350+AJ351+AJ364+AJ365+AJ366+AJ367)</f>
        <v>13988.3184646531</v>
      </c>
      <c r="AK368" s="35">
        <f>SUM(AK345+AK350+AK351+AK364+AK365+AK366+AK367)</f>
        <v>14724.4725296966</v>
      </c>
      <c r="AL368" s="35">
        <f>SUM(AL345,AL350,AL351,AL364,AL365,AL366,AL367)</f>
        <v>14724.4725296966</v>
      </c>
      <c r="AM368" s="35">
        <f>SUM(AM345+AM350+AM351+AM364+AM365+AM366+AM367)</f>
        <v>15518.8124604331</v>
      </c>
      <c r="AN368" s="35">
        <f>SUM(AN345+AN350+AN351+AN364+AN365+AN366+AN367)</f>
        <v>16548.2656488106</v>
      </c>
      <c r="AO368" s="35">
        <f>SUM(AO345+AO350+AO351+AO364+AO365+AO366+AO367)</f>
        <v>17257.1877865735</v>
      </c>
      <c r="AP368" s="35">
        <f>SUM(AP345+AP350+AP351+AP364+AP365+AP366+AP367)</f>
        <v>18113.5131687615</v>
      </c>
      <c r="AQ368" s="35">
        <f>SUM(AQ345,AQ350,AQ351,AQ364,AQ365,AQ366,AQ367)</f>
        <v>18113.5131687615</v>
      </c>
      <c r="AR368" s="35">
        <f>SUM(AR345+AR350+AR351+AR364+AR365+AR366+AR367)</f>
        <v>19033.551098444</v>
      </c>
      <c r="AS368" s="35">
        <f>SUM(AS345+AS350+AS351+AS364+AS365+AS366+AS367)</f>
        <v>20225.9070955317</v>
      </c>
      <c r="AT368" s="35">
        <f>SUM(AT345+AT350+AT351+AT364+AT365+AT366+AT367)</f>
        <v>21047.0105434331</v>
      </c>
      <c r="AU368" s="35">
        <f>SUM(AU345+AU350+AU351+AU364+AU365+AU366+AU367)</f>
        <v>22038.8426310286</v>
      </c>
      <c r="AV368" s="35">
        <f>SUM(AV345,AV350,AV351,AV364,AV365,AV366,AV367)</f>
        <v>22038.8426310286</v>
      </c>
      <c r="AW368" s="35">
        <f>SUM(AW345+AW350+AW351+AW364+AW365+AW366+AW367)</f>
        <v>23099.8690821933</v>
      </c>
      <c r="AX368" s="35">
        <f>SUM(AX345+AX350+AX351+AX364+AX365+AX366+AX367)</f>
        <v>24474.9441864899</v>
      </c>
      <c r="AY368" s="35">
        <f>SUM(AY345+AY350+AY351+AY364+AY365+AY366+AY367)</f>
        <v>25421.8752305899</v>
      </c>
      <c r="AZ368" s="35">
        <f>SUM(AZ345+AZ350+AZ351+AZ364+AZ365+AZ366+AZ367)</f>
        <v>26565.6977254038</v>
      </c>
      <c r="BA368" s="35">
        <f>SUM(BA345,BA350,BA351,BA364,BA365,BA366,BA367)</f>
        <v>26565.6977254038</v>
      </c>
      <c r="BB368" s="35">
        <f>SUM(BB345+BB350+BB351+BB364+BB365+BB366+BB367)</f>
        <v>27784.012939387</v>
      </c>
      <c r="BC368" s="35">
        <f>SUM(BC345+BC350+BC351+BC364+BC365+BC366+BC367)</f>
        <v>29362.9320305135</v>
      </c>
      <c r="BD368" s="35">
        <f>SUM(BD345+BD350+BD351+BD364+BD365+BD366+BD367)</f>
        <v>30450.2380975336</v>
      </c>
      <c r="BE368" s="35">
        <f>SUM(BE345+BE350+BE351+BE364+BE365+BE366+BE367)</f>
        <v>31763.6232124836</v>
      </c>
      <c r="BF368" s="35">
        <f>SUM(BF345,BF350,BF351,BF364,BF365,BF366,BF367)</f>
        <v>31763.6232124836</v>
      </c>
      <c r="BG368" s="35" t="n"/>
      <c r="BH368" s="35" t="n"/>
      <c r="BI368" s="35" t="n"/>
      <c r="BJ368" s="35" t="n"/>
      <c r="BK368" s="35" t="n"/>
      <c r="BL368" s="35" t="n"/>
      <c r="BM368" s="35" t="n"/>
      <c r="BN368" s="35" t="n"/>
      <c r="BO368" s="35" t="n"/>
      <c r="BP368" s="35" t="n"/>
      <c r="BQ368" s="35" t="n"/>
      <c r="BR368" s="35" t="n"/>
      <c r="BS368" s="35" t="n"/>
      <c r="BT368" s="35" t="n"/>
      <c r="BU368" s="35" t="n"/>
      <c r="BV368" s="35" t="n"/>
      <c r="BW368" s="35" t="n"/>
      <c r="BX368" s="35" t="n"/>
      <c r="BY368" s="35" t="n"/>
      <c r="BZ368" s="35" t="n"/>
      <c r="CA368" s="35" t="n"/>
      <c r="CB368" s="35" t="n"/>
      <c r="CC368" s="35" t="n"/>
      <c r="CD368" s="35" t="n"/>
      <c r="CE368" s="35" t="n"/>
      <c r="CF368" s="35" t="n"/>
      <c r="CG368" s="35" t="n"/>
      <c r="CH368" s="35" t="n"/>
      <c r="CI368" s="35" t="n"/>
      <c r="CJ368" s="35" t="n"/>
      <c r="CK368" s="35" t="n"/>
      <c r="CL368" s="35" t="n"/>
      <c r="CM368" s="35" t="n"/>
      <c r="CN368" s="35" t="n"/>
      <c r="CO368" s="35" t="n"/>
      <c r="CP368" s="35" t="n"/>
      <c r="CQ368" s="35" t="n"/>
      <c r="CR368" s="35" t="n"/>
      <c r="CS368" s="35" t="n"/>
      <c r="CT368" s="35" t="n"/>
      <c r="CU368" s="35" t="n"/>
      <c r="CV368" s="35" t="n"/>
      <c r="CW368" s="35" t="n"/>
      <c r="CX368" s="35" t="n"/>
      <c r="CY368" s="35" t="n"/>
    </row>
    <row r="369">
      <c r="C369" s="10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  <c r="AL369" s="12" t="n"/>
      <c r="AM369" s="12" t="n"/>
      <c r="AN369" s="12" t="n"/>
      <c r="AO369" s="12" t="n"/>
      <c r="AP369" s="12" t="n"/>
      <c r="AQ369" s="12" t="n"/>
      <c r="AR369" s="12" t="n"/>
      <c r="AS369" s="12" t="n"/>
      <c r="AT369" s="12" t="n"/>
      <c r="AU369" s="12" t="n"/>
      <c r="AV369" s="12" t="n"/>
      <c r="AW369" s="12" t="n"/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  <c r="BJ369" s="12" t="n"/>
      <c r="BK369" s="12" t="n"/>
      <c r="BL369" s="12" t="n"/>
      <c r="BM369" s="12" t="n"/>
      <c r="BN369" s="12" t="n"/>
      <c r="BO369" s="12" t="n"/>
      <c r="BP369" s="12" t="n"/>
      <c r="BQ369" s="12" t="n"/>
      <c r="BR369" s="12" t="n"/>
      <c r="BS369" s="12" t="n"/>
      <c r="BT369" s="12" t="n"/>
      <c r="BU369" s="12" t="n"/>
      <c r="BV369" s="12" t="n"/>
      <c r="BW369" s="12" t="n"/>
      <c r="BX369" s="12" t="n"/>
      <c r="BY369" s="12" t="n"/>
      <c r="BZ369" s="12" t="n"/>
      <c r="CA369" s="12" t="n"/>
      <c r="CB369" s="12" t="n"/>
      <c r="CC369" s="12" t="n"/>
      <c r="CD369" s="12" t="n"/>
      <c r="CE369" s="12" t="n"/>
      <c r="CF369" s="12" t="n"/>
      <c r="CG369" s="12" t="n"/>
      <c r="CH369" s="12" t="n"/>
      <c r="CI369" s="12" t="n"/>
      <c r="CJ369" s="12" t="n"/>
      <c r="CK369" s="12" t="n"/>
      <c r="CL369" s="12" t="n"/>
      <c r="CM369" s="12" t="n"/>
      <c r="CN369" s="12" t="n"/>
      <c r="CO369" s="12" t="n"/>
      <c r="CP369" s="12" t="n"/>
      <c r="CQ369" s="12" t="n"/>
      <c r="CR369" s="12" t="n"/>
      <c r="CS369" s="12" t="n"/>
      <c r="CT369" s="12" t="n"/>
      <c r="CU369" s="12" t="n"/>
      <c r="CV369" s="12" t="n"/>
      <c r="CW369" s="12" t="n"/>
      <c r="CX369" s="12" t="n"/>
      <c r="CY369" s="12" t="n"/>
    </row>
    <row r="370" customFormat="1" s="32">
      <c r="A370" s="30" t="n"/>
      <c r="B370" s="3" t="n"/>
      <c r="C370" s="33" t="inlineStr">
        <is>
          <t>Total Liabilities + Shareholders' Equity</t>
        </is>
      </c>
      <c r="D370" s="35" t="n"/>
      <c r="E370" s="35" t="n"/>
      <c r="F370" s="35" t="n"/>
      <c r="G370" s="35" t="n"/>
      <c r="H370" s="35" t="n"/>
      <c r="I370" s="35">
        <f>I368+I344</f>
        <v>23533.967</v>
      </c>
      <c r="J370" s="35">
        <f>J368+J344</f>
        <v>24087.847</v>
      </c>
      <c r="K370" s="35">
        <f>K368+K344</f>
        <v>24502.26</v>
      </c>
      <c r="L370" s="35">
        <f>L368+L344</f>
        <v>25746.452</v>
      </c>
      <c r="M370" s="35">
        <f>M368+M344</f>
        <v>25746.452</v>
      </c>
      <c r="N370" s="35">
        <f>N368+N344</f>
        <v>26561.051</v>
      </c>
      <c r="O370" s="35">
        <f>O368+O344</f>
        <v>27196.461</v>
      </c>
      <c r="P370" s="35">
        <f>P368+P344</f>
        <v>27384.16</v>
      </c>
      <c r="Q370" s="35">
        <f>Q368+Q344</f>
        <v>27933.759</v>
      </c>
      <c r="R370" s="35">
        <f>R368+R344</f>
        <v>27933.759</v>
      </c>
      <c r="S370" s="35">
        <f>S368+S344</f>
        <v>28614.717</v>
      </c>
      <c r="T370" s="35">
        <f>T368+T344</f>
        <v>28111.995</v>
      </c>
      <c r="U370" s="35">
        <f>U368+U344</f>
        <v>28272.649</v>
      </c>
      <c r="V370" s="35">
        <f>V368+V344</f>
        <v>28436.081</v>
      </c>
      <c r="W370" s="35">
        <f>W368+W344</f>
        <v>28436.081</v>
      </c>
      <c r="X370" s="35">
        <f>X368+X344</f>
        <v>28895.903</v>
      </c>
      <c r="Y370" s="35">
        <f>Y368+Y344</f>
        <v>30088.771</v>
      </c>
      <c r="Z370" s="35">
        <f>Z368+Z344</f>
        <v>30002.997</v>
      </c>
      <c r="AA370" s="35">
        <f>AA368+AA344</f>
        <v>30689.036</v>
      </c>
      <c r="AB370" s="35">
        <f>AB368+AB344</f>
        <v>30689.036</v>
      </c>
      <c r="AC370" s="35">
        <f>AC368+AC344</f>
        <v>31173.683</v>
      </c>
      <c r="AD370" s="35">
        <f>AD368+AD344</f>
        <v>31208.599</v>
      </c>
      <c r="AE370" s="35">
        <f>AE368+AE344</f>
        <v>31477.777</v>
      </c>
      <c r="AF370" s="35">
        <f>AF368+AF344</f>
        <v>32114.316</v>
      </c>
      <c r="AG370" s="35">
        <f>AG368+AG344</f>
        <v>32114.316</v>
      </c>
      <c r="AH370" s="35">
        <f>AH368+AH344</f>
        <v>34341.802</v>
      </c>
      <c r="AI370" s="35">
        <f>AI368+AI344</f>
        <v>35449.091</v>
      </c>
      <c r="AJ370" s="35">
        <f>AJ368+AJ344</f>
        <v>36003.1422343273</v>
      </c>
      <c r="AK370" s="35">
        <f>AK368+AK344</f>
        <v>36831.3671084455</v>
      </c>
      <c r="AL370" s="35">
        <f>AL368+AL344</f>
        <v>36831.3671084455</v>
      </c>
      <c r="AM370" s="35">
        <f>AM368+AM344</f>
        <v>37708.2169207402</v>
      </c>
      <c r="AN370" s="35">
        <f>AN368+AN344</f>
        <v>38881.9459171113</v>
      </c>
      <c r="AO370" s="35">
        <f>AO368+AO344</f>
        <v>39553.2281348508</v>
      </c>
      <c r="AP370" s="35">
        <f>AP368+AP344</f>
        <v>40549.0581975783</v>
      </c>
      <c r="AQ370" s="35">
        <f>AQ368+AQ344</f>
        <v>40549.0581975783</v>
      </c>
      <c r="AR370" s="35">
        <f>AR368+AR344</f>
        <v>41594.656706914</v>
      </c>
      <c r="AS370" s="35">
        <f>AS368+AS344</f>
        <v>42997.6619039468</v>
      </c>
      <c r="AT370" s="35">
        <f>AT368+AT344</f>
        <v>43821.108949677</v>
      </c>
      <c r="AU370" s="35">
        <f>AU368+AU344</f>
        <v>45027.2881983477</v>
      </c>
      <c r="AV370" s="35">
        <f>AV368+AV344</f>
        <v>45027.2881983477</v>
      </c>
      <c r="AW370" s="35">
        <f>AW368+AW344</f>
        <v>46294.8131926287</v>
      </c>
      <c r="AX370" s="35">
        <f>AX368+AX344</f>
        <v>47976.269652468</v>
      </c>
      <c r="AY370" s="35">
        <f>AY368+AY344</f>
        <v>49003.1326122239</v>
      </c>
      <c r="AZ370" s="35">
        <f>AZ368+AZ344</f>
        <v>50482.4381586656</v>
      </c>
      <c r="BA370" s="35">
        <f>BA368+BA344</f>
        <v>50482.4381586656</v>
      </c>
      <c r="BB370" s="35">
        <f>BB368+BB344</f>
        <v>52034.4462803269</v>
      </c>
      <c r="BC370" s="35">
        <f>BC368+BC344</f>
        <v>54077.0196350014</v>
      </c>
      <c r="BD370" s="35">
        <f>BD368+BD344</f>
        <v>55383.386539935</v>
      </c>
      <c r="BE370" s="35">
        <f>BE368+BE344</f>
        <v>57226.8019212954</v>
      </c>
      <c r="BF370" s="35">
        <f>BF368+BF344</f>
        <v>57226.8019212954</v>
      </c>
      <c r="BG370" s="35" t="n"/>
      <c r="BH370" s="35" t="n"/>
      <c r="BI370" s="35" t="n"/>
      <c r="BJ370" s="35" t="n"/>
      <c r="BK370" s="35" t="n"/>
      <c r="BL370" s="35" t="n"/>
      <c r="BM370" s="35" t="n"/>
      <c r="BN370" s="35" t="n"/>
      <c r="BO370" s="35" t="n"/>
      <c r="BP370" s="35" t="n"/>
      <c r="BQ370" s="35" t="n"/>
      <c r="BR370" s="35" t="n"/>
      <c r="BS370" s="35" t="n"/>
      <c r="BT370" s="35" t="n"/>
      <c r="BU370" s="35" t="n"/>
      <c r="BV370" s="35" t="n"/>
      <c r="BW370" s="35" t="n"/>
      <c r="BX370" s="35" t="n"/>
      <c r="BY370" s="35" t="n"/>
      <c r="BZ370" s="35" t="n"/>
      <c r="CA370" s="35" t="n"/>
      <c r="CB370" s="35" t="n"/>
      <c r="CC370" s="35" t="n"/>
      <c r="CD370" s="35" t="n"/>
      <c r="CE370" s="35" t="n"/>
      <c r="CF370" s="35" t="n"/>
      <c r="CG370" s="35" t="n"/>
      <c r="CH370" s="35" t="n"/>
      <c r="CI370" s="35" t="n"/>
      <c r="CJ370" s="35" t="n"/>
      <c r="CK370" s="35" t="n"/>
      <c r="CL370" s="35" t="n"/>
      <c r="CM370" s="35" t="n"/>
      <c r="CN370" s="35" t="n"/>
      <c r="CO370" s="35" t="n"/>
      <c r="CP370" s="35" t="n"/>
      <c r="CQ370" s="35" t="n"/>
      <c r="CR370" s="35" t="n"/>
      <c r="CS370" s="35" t="n"/>
      <c r="CT370" s="35" t="n"/>
      <c r="CU370" s="35" t="n"/>
      <c r="CV370" s="35" t="n"/>
      <c r="CW370" s="35" t="n"/>
      <c r="CX370" s="35" t="n"/>
      <c r="CY370" s="35" t="n"/>
    </row>
    <row r="371">
      <c r="C371" s="18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  <c r="AY371" s="3" t="n"/>
      <c r="AZ371" s="3" t="n"/>
      <c r="BA371" s="3" t="n"/>
      <c r="BB371" s="3" t="n"/>
      <c r="BC371" s="3" t="n"/>
      <c r="BD371" s="3" t="n"/>
      <c r="BE371" s="3" t="n"/>
      <c r="BF371" s="3" t="n"/>
      <c r="BG371" s="3" t="n"/>
      <c r="BH371" s="3" t="n"/>
      <c r="BI371" s="3" t="n"/>
      <c r="BJ371" s="3" t="n"/>
      <c r="BK371" s="3" t="n"/>
      <c r="BL371" s="3" t="n"/>
      <c r="BM371" s="3" t="n"/>
      <c r="BN371" s="3" t="n"/>
      <c r="BO371" s="3" t="n"/>
      <c r="BP371" s="3" t="n"/>
      <c r="BQ371" s="3" t="n"/>
      <c r="BR371" s="3" t="n"/>
      <c r="BS371" s="3" t="n"/>
      <c r="BT371" s="3" t="n"/>
      <c r="BU371" s="3" t="n"/>
      <c r="BV371" s="3" t="n"/>
      <c r="BW371" s="3" t="n"/>
      <c r="BX371" s="3" t="n"/>
      <c r="BY371" s="3" t="n"/>
      <c r="BZ371" s="3" t="n"/>
      <c r="CA371" s="3" t="n"/>
      <c r="CB371" s="3" t="n"/>
      <c r="CC371" s="3" t="n"/>
      <c r="CD371" s="3" t="n"/>
      <c r="CE371" s="3" t="n"/>
      <c r="CF371" s="3" t="n"/>
      <c r="CG371" s="3" t="n"/>
      <c r="CH371" s="3" t="n"/>
      <c r="CI371" s="3" t="n"/>
      <c r="CJ371" s="3" t="n"/>
      <c r="CK371" s="3" t="n"/>
      <c r="CL371" s="3" t="n"/>
      <c r="CM371" s="3" t="n"/>
      <c r="CN371" s="3" t="n"/>
      <c r="CO371" s="3" t="n"/>
      <c r="CP371" s="3" t="n"/>
      <c r="CQ371" s="3" t="n"/>
      <c r="CR371" s="3" t="n"/>
      <c r="CS371" s="3" t="n"/>
      <c r="CT371" s="3" t="n"/>
      <c r="CU371" s="3" t="n"/>
      <c r="CV371" s="3" t="n"/>
      <c r="CW371" s="3" t="n"/>
      <c r="CX371" s="3" t="n"/>
      <c r="CY371" s="3" t="n"/>
    </row>
    <row r="372" customFormat="1" s="32">
      <c r="A372" s="30" t="n"/>
      <c r="B372" s="30" t="n"/>
      <c r="C372" s="31" t="inlineStr">
        <is>
          <t>Cash Flow Statement</t>
        </is>
      </c>
      <c r="D372" s="70" t="n"/>
      <c r="E372" s="70" t="n"/>
      <c r="F372" s="70" t="n"/>
      <c r="G372" s="70" t="n"/>
      <c r="H372" s="70" t="n"/>
      <c r="I372" s="70" t="str">
        <f>I239</f>
        <v>1Q21</v>
      </c>
      <c r="J372" s="70" t="str">
        <f>J239</f>
        <v>2Q21</v>
      </c>
      <c r="K372" s="70" t="str">
        <f>K239</f>
        <v>3Q21</v>
      </c>
      <c r="L372" s="70" t="str">
        <f>L239</f>
        <v>4Q21</v>
      </c>
      <c r="M372" s="70">
        <f>M239</f>
        <v>2021</v>
      </c>
      <c r="N372" s="70" t="str">
        <f>N239</f>
        <v>1Q22</v>
      </c>
      <c r="O372" s="70" t="str">
        <f>O239</f>
        <v>2Q22</v>
      </c>
      <c r="P372" s="70" t="str">
        <f>P239</f>
        <v>3Q22</v>
      </c>
      <c r="Q372" s="70" t="str">
        <f>Q239</f>
        <v>4Q22</v>
      </c>
      <c r="R372" s="70">
        <f>R239</f>
        <v>2022</v>
      </c>
      <c r="S372" s="70" t="str">
        <f>S239</f>
        <v>1Q23</v>
      </c>
      <c r="T372" s="70" t="str">
        <f>T239</f>
        <v>2Q23</v>
      </c>
      <c r="U372" s="70" t="str">
        <f>U239</f>
        <v>3Q23</v>
      </c>
      <c r="V372" s="70" t="str">
        <f>V239</f>
        <v>4Q23</v>
      </c>
      <c r="W372" s="70">
        <f>W239</f>
        <v>2023</v>
      </c>
      <c r="X372" s="70" t="str">
        <f>X239</f>
        <v>1Q24</v>
      </c>
      <c r="Y372" s="70" t="str">
        <f>Y239</f>
        <v>2Q24</v>
      </c>
      <c r="Z372" s="70" t="str">
        <f>Z239</f>
        <v>3Q24</v>
      </c>
      <c r="AA372" s="70" t="str">
        <f>AA239</f>
        <v>4Q24</v>
      </c>
      <c r="AB372" s="70">
        <f>AB239</f>
        <v>2024</v>
      </c>
      <c r="AC372" s="70" t="str">
        <f>AC239</f>
        <v>1Q25</v>
      </c>
      <c r="AD372" s="70" t="str">
        <f>AD239</f>
        <v>2Q25</v>
      </c>
      <c r="AE372" s="70" t="str">
        <f>AE239</f>
        <v>3Q25</v>
      </c>
      <c r="AF372" s="70" t="str">
        <f>AF239</f>
        <v>4Q25</v>
      </c>
      <c r="AG372" s="70">
        <f>AG239</f>
        <v>2025</v>
      </c>
      <c r="AH372" s="70" t="str">
        <f>AH239</f>
        <v>1Q26</v>
      </c>
      <c r="AI372" s="70" t="str">
        <f>AI239</f>
        <v>2Q26</v>
      </c>
      <c r="AJ372" s="70" t="str">
        <f>AJ239</f>
        <v>3Q26</v>
      </c>
      <c r="AK372" s="70" t="str">
        <f>AK239</f>
        <v>4Q26</v>
      </c>
      <c r="AL372" s="70">
        <f>AL239</f>
        <v>2026</v>
      </c>
      <c r="AM372" s="70" t="str">
        <f>AM239</f>
        <v>1Q27</v>
      </c>
      <c r="AN372" s="70" t="str">
        <f>AN239</f>
        <v>2Q27</v>
      </c>
      <c r="AO372" s="70" t="str">
        <f>AO239</f>
        <v>3Q27</v>
      </c>
      <c r="AP372" s="70" t="str">
        <f>AP239</f>
        <v>4Q27</v>
      </c>
      <c r="AQ372" s="70">
        <f>AQ239</f>
        <v>2027</v>
      </c>
      <c r="AR372" s="70" t="str">
        <f>AR239</f>
        <v>1Q28</v>
      </c>
      <c r="AS372" s="70" t="str">
        <f>AS239</f>
        <v>2Q28</v>
      </c>
      <c r="AT372" s="70" t="str">
        <f>AT239</f>
        <v>3Q28</v>
      </c>
      <c r="AU372" s="70" t="str">
        <f>AU239</f>
        <v>4Q28</v>
      </c>
      <c r="AV372" s="70">
        <f>AV239</f>
        <v>2028</v>
      </c>
      <c r="AW372" s="70" t="str">
        <f>AW239</f>
        <v>1Q29</v>
      </c>
      <c r="AX372" s="70" t="str">
        <f>AX239</f>
        <v>2Q29</v>
      </c>
      <c r="AY372" s="70" t="str">
        <f>AY239</f>
        <v>3Q29</v>
      </c>
      <c r="AZ372" s="70" t="str">
        <f>AZ239</f>
        <v>4Q29</v>
      </c>
      <c r="BA372" s="70">
        <f>BA239</f>
        <v>2029</v>
      </c>
      <c r="BB372" s="70" t="str">
        <f>BB239</f>
        <v>1Q30</v>
      </c>
      <c r="BC372" s="70" t="str">
        <f>BC239</f>
        <v>2Q30</v>
      </c>
      <c r="BD372" s="70" t="str">
        <f>BD239</f>
        <v>3Q30</v>
      </c>
      <c r="BE372" s="70" t="str">
        <f>BE239</f>
        <v>4Q30</v>
      </c>
      <c r="BF372" s="70">
        <f>BF239</f>
        <v>2030</v>
      </c>
      <c r="BG372" s="70" t="n"/>
      <c r="BH372" s="70" t="n"/>
      <c r="BI372" s="70" t="n"/>
      <c r="BJ372" s="70" t="n"/>
      <c r="BK372" s="70" t="n"/>
      <c r="BL372" s="70" t="n"/>
      <c r="BM372" s="70" t="n"/>
      <c r="BN372" s="70" t="n"/>
      <c r="BO372" s="70" t="n"/>
      <c r="BP372" s="70" t="n"/>
      <c r="BQ372" s="70" t="n"/>
      <c r="BR372" s="70" t="n"/>
      <c r="BS372" s="70" t="n"/>
      <c r="BT372" s="70" t="n"/>
      <c r="BU372" s="70" t="n"/>
      <c r="BV372" s="70" t="n"/>
      <c r="BW372" s="70" t="n"/>
      <c r="BX372" s="70" t="n"/>
      <c r="BY372" s="70" t="n"/>
      <c r="BZ372" s="70" t="n"/>
      <c r="CA372" s="70" t="n"/>
      <c r="CB372" s="70" t="n"/>
      <c r="CC372" s="70" t="n"/>
      <c r="CD372" s="70" t="n"/>
      <c r="CE372" s="70" t="n"/>
      <c r="CF372" s="70" t="n"/>
      <c r="CG372" s="70" t="n"/>
      <c r="CH372" s="70" t="n"/>
      <c r="CI372" s="70" t="n"/>
      <c r="CJ372" s="70" t="n"/>
      <c r="CK372" s="70" t="n"/>
      <c r="CL372" s="70" t="n"/>
      <c r="CM372" s="70" t="n"/>
      <c r="CN372" s="70" t="n"/>
      <c r="CO372" s="70" t="n"/>
      <c r="CP372" s="70" t="n"/>
      <c r="CQ372" s="70" t="n"/>
      <c r="CR372" s="70" t="n"/>
      <c r="CS372" s="70" t="n"/>
      <c r="CT372" s="70" t="n"/>
      <c r="CU372" s="70" t="n"/>
      <c r="CV372" s="70" t="n"/>
      <c r="CW372" s="70" t="n"/>
      <c r="CX372" s="70" t="n"/>
      <c r="CY372" s="70" t="n"/>
    </row>
    <row r="373">
      <c r="C373" s="18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  <c r="AY373" s="3" t="n"/>
      <c r="AZ373" s="3" t="n"/>
      <c r="BA373" s="3" t="n"/>
      <c r="BB373" s="3" t="n"/>
      <c r="BC373" s="3" t="n"/>
      <c r="BD373" s="3" t="n"/>
      <c r="BE373" s="3" t="n"/>
      <c r="BF373" s="3" t="n"/>
      <c r="BG373" s="3" t="n"/>
      <c r="BH373" s="3" t="n"/>
      <c r="BI373" s="3" t="n"/>
      <c r="BJ373" s="3" t="n"/>
      <c r="BK373" s="3" t="n"/>
      <c r="BL373" s="3" t="n"/>
      <c r="BM373" s="3" t="n"/>
      <c r="BN373" s="3" t="n"/>
      <c r="BO373" s="3" t="n"/>
      <c r="BP373" s="3" t="n"/>
      <c r="BQ373" s="3" t="n"/>
      <c r="BR373" s="3" t="n"/>
      <c r="BS373" s="3" t="n"/>
      <c r="BT373" s="3" t="n"/>
      <c r="BU373" s="3" t="n"/>
      <c r="BV373" s="3" t="n"/>
      <c r="BW373" s="3" t="n"/>
      <c r="BX373" s="3" t="n"/>
      <c r="BY373" s="3" t="n"/>
      <c r="BZ373" s="3" t="n"/>
      <c r="CA373" s="3" t="n"/>
      <c r="CB373" s="3" t="n"/>
      <c r="CC373" s="3" t="n"/>
      <c r="CD373" s="3" t="n"/>
      <c r="CE373" s="3" t="n"/>
      <c r="CF373" s="3" t="n"/>
      <c r="CG373" s="3" t="n"/>
      <c r="CH373" s="3" t="n"/>
      <c r="CI373" s="3" t="n"/>
      <c r="CJ373" s="3" t="n"/>
      <c r="CK373" s="3" t="n"/>
      <c r="CL373" s="3" t="n"/>
      <c r="CM373" s="3" t="n"/>
      <c r="CN373" s="3" t="n"/>
      <c r="CO373" s="3" t="n"/>
      <c r="CP373" s="3" t="n"/>
      <c r="CQ373" s="3" t="n"/>
      <c r="CR373" s="3" t="n"/>
      <c r="CS373" s="3" t="n"/>
      <c r="CT373" s="3" t="n"/>
      <c r="CU373" s="3" t="n"/>
      <c r="CV373" s="3" t="n"/>
      <c r="CW373" s="3" t="n"/>
      <c r="CX373" s="3" t="n"/>
      <c r="CY373" s="3" t="n"/>
    </row>
    <row r="374">
      <c r="C374" s="10" t="inlineStr">
        <is>
          <t>Net Income</t>
        </is>
      </c>
      <c r="D374" s="12" t="n"/>
      <c r="E374" s="12" t="n"/>
      <c r="F374" s="12" t="n"/>
      <c r="G374" s="12" t="n"/>
      <c r="H374" s="12" t="n"/>
      <c r="I374" s="12" t="n"/>
      <c r="J374" s="12">
        <f>J234</f>
        <v>332.345</v>
      </c>
      <c r="K374" s="12">
        <f>K234</f>
        <v>240.316</v>
      </c>
      <c r="L374" s="12">
        <f>L234</f>
        <v>219.324</v>
      </c>
      <c r="M374" s="12" t="n"/>
      <c r="N374" s="12">
        <f>N234</f>
        <v>430.979</v>
      </c>
      <c r="O374" s="12">
        <f>O234</f>
        <v>180.008</v>
      </c>
      <c r="P374" s="12">
        <f>P234</f>
        <v>115.676</v>
      </c>
      <c r="Q374" s="12">
        <f>Q234</f>
        <v>191.803</v>
      </c>
      <c r="R374" s="12">
        <f>SUM(N374:Q374)</f>
        <v>918.466</v>
      </c>
      <c r="S374" s="12">
        <f>S234</f>
        <v>230.71</v>
      </c>
      <c r="T374" s="12">
        <f>T234</f>
        <v>222.186</v>
      </c>
      <c r="U374" s="12">
        <f>U234</f>
        <v>100.005</v>
      </c>
      <c r="V374" s="12">
        <f>V234</f>
        <v>141.162</v>
      </c>
      <c r="W374" s="12">
        <f>SUM(S374:V374)</f>
        <v>694.063</v>
      </c>
      <c r="X374" s="12">
        <f>X234</f>
        <v>254.944</v>
      </c>
      <c r="Y374" s="12">
        <f>Y234</f>
        <v>237.07</v>
      </c>
      <c r="Z374" s="12">
        <f>Z234</f>
        <v>363.754</v>
      </c>
      <c r="AA374" s="12">
        <f>AA234</f>
        <v>230.322</v>
      </c>
      <c r="AB374" s="12">
        <f>SUM(X374:AA374)</f>
        <v>1086.09</v>
      </c>
      <c r="AC374" s="12">
        <f>AC234</f>
        <v>298.777</v>
      </c>
      <c r="AD374" s="12">
        <f>AD234</f>
        <v>144.867</v>
      </c>
      <c r="AE374" s="12">
        <f>AE234</f>
        <v>489.39</v>
      </c>
      <c r="AF374" s="12">
        <f>AF234</f>
        <v>282.525</v>
      </c>
      <c r="AG374" s="12">
        <f>SUM(AC374:AF374)</f>
        <v>1215.559</v>
      </c>
      <c r="AH374" s="12">
        <f>AH234</f>
        <v>198.067</v>
      </c>
      <c r="AI374" s="12">
        <f>AI234</f>
        <v>416.626</v>
      </c>
      <c r="AJ374" s="12">
        <f>AJ234</f>
        <v>609.436464653144</v>
      </c>
      <c r="AK374" s="12">
        <f>AK234</f>
        <v>736.154065043461</v>
      </c>
      <c r="AL374" s="12">
        <f>SUM(AH374:AK374)</f>
        <v>1960.28352969661</v>
      </c>
      <c r="AM374" s="12">
        <f>AM234</f>
        <v>794.339930736449</v>
      </c>
      <c r="AN374" s="12">
        <f>AN234</f>
        <v>1029.45318837756</v>
      </c>
      <c r="AO374" s="12">
        <f>AO234</f>
        <v>708.922137762853</v>
      </c>
      <c r="AP374" s="12">
        <f>AP234</f>
        <v>856.325382188029</v>
      </c>
      <c r="AQ374" s="12">
        <f>SUM(AM374:AP374)</f>
        <v>3389.0406390649</v>
      </c>
      <c r="AR374" s="12">
        <f>AR234</f>
        <v>920.037929682459</v>
      </c>
      <c r="AS374" s="12">
        <f>AS234</f>
        <v>1192.35599708779</v>
      </c>
      <c r="AT374" s="12">
        <f>AT234</f>
        <v>821.103447901326</v>
      </c>
      <c r="AU374" s="12">
        <f>AU234</f>
        <v>991.832087595522</v>
      </c>
      <c r="AV374" s="12">
        <f>SUM(AR374:AU374)</f>
        <v>3925.32946226709</v>
      </c>
      <c r="AW374" s="12">
        <f>AW234</f>
        <v>1061.02645116468</v>
      </c>
      <c r="AX374" s="12">
        <f>AX234</f>
        <v>1375.07510429664</v>
      </c>
      <c r="AY374" s="12">
        <f>AY234</f>
        <v>946.931044100013</v>
      </c>
      <c r="AZ374" s="12">
        <f>AZ234</f>
        <v>1143.82249481382</v>
      </c>
      <c r="BA374" s="12">
        <f>SUM(AW374:AZ374)</f>
        <v>4526.85509437515</v>
      </c>
      <c r="BB374" s="12">
        <f>BB234</f>
        <v>1218.31521398323</v>
      </c>
      <c r="BC374" s="12">
        <f>BC234</f>
        <v>1578.91909112656</v>
      </c>
      <c r="BD374" s="12">
        <f>BD234</f>
        <v>1087.30606702001</v>
      </c>
      <c r="BE374" s="12">
        <f>BE234</f>
        <v>1313.38511495002</v>
      </c>
      <c r="BF374" s="12">
        <f>SUM(BB374:BE374)</f>
        <v>5197.92548707983</v>
      </c>
      <c r="BG374" s="12" t="n"/>
      <c r="BH374" s="12" t="n"/>
      <c r="BI374" s="12" t="n"/>
      <c r="BJ374" s="12" t="n"/>
      <c r="BK374" s="12" t="n"/>
      <c r="BL374" s="12" t="n"/>
      <c r="BM374" s="12" t="n"/>
      <c r="BN374" s="12" t="n"/>
      <c r="BO374" s="12" t="n"/>
      <c r="BP374" s="12" t="n"/>
      <c r="BQ374" s="12" t="n"/>
      <c r="BR374" s="12" t="n"/>
      <c r="BS374" s="12" t="n"/>
      <c r="BT374" s="12" t="n"/>
      <c r="BU374" s="12" t="n"/>
      <c r="BV374" s="12" t="n"/>
      <c r="BW374" s="12" t="n"/>
      <c r="BX374" s="12" t="n"/>
      <c r="BY374" s="12" t="n"/>
      <c r="BZ374" s="12" t="n"/>
      <c r="CA374" s="12" t="n"/>
      <c r="CB374" s="12" t="n"/>
      <c r="CC374" s="12" t="n"/>
      <c r="CD374" s="12" t="n"/>
      <c r="CE374" s="12" t="n"/>
      <c r="CF374" s="12" t="n"/>
      <c r="CG374" s="12" t="n"/>
      <c r="CH374" s="12" t="n"/>
      <c r="CI374" s="12" t="n"/>
      <c r="CJ374" s="12" t="n"/>
      <c r="CK374" s="12" t="n"/>
      <c r="CL374" s="12" t="n"/>
      <c r="CM374" s="12" t="n"/>
      <c r="CN374" s="12" t="n"/>
      <c r="CO374" s="12" t="n"/>
      <c r="CP374" s="12" t="n"/>
      <c r="CQ374" s="12" t="n"/>
      <c r="CR374" s="12" t="n"/>
      <c r="CS374" s="12" t="n"/>
      <c r="CT374" s="12" t="n"/>
      <c r="CU374" s="12" t="n"/>
      <c r="CV374" s="12" t="n"/>
      <c r="CW374" s="12" t="n"/>
      <c r="CX374" s="12" t="n"/>
      <c r="CY374" s="12" t="n"/>
    </row>
    <row r="375">
      <c r="C375" s="10" t="inlineStr">
        <is>
          <t>Depreciation &amp; amortization</t>
        </is>
      </c>
      <c r="D375" s="12" t="n"/>
      <c r="E375" s="12" t="n"/>
      <c r="F375" s="12" t="n"/>
      <c r="G375" s="12" t="n"/>
      <c r="H375" s="12" t="n"/>
      <c r="I375" s="12" t="n"/>
      <c r="J375" s="12">
        <f>-J167</f>
        <v>29.857</v>
      </c>
      <c r="K375" s="12">
        <f>-K167</f>
        <v>44.401</v>
      </c>
      <c r="L375" s="12">
        <f>-L167</f>
        <v>35.869</v>
      </c>
      <c r="M375" s="12" t="n"/>
      <c r="N375" s="12">
        <f>-N167</f>
        <v>38.507</v>
      </c>
      <c r="O375" s="12">
        <f>-O167</f>
        <v>36.456</v>
      </c>
      <c r="P375" s="12">
        <f>-P167</f>
        <v>36.74</v>
      </c>
      <c r="Q375" s="12">
        <f>-Q167</f>
        <v>37.879</v>
      </c>
      <c r="R375" s="12">
        <f>SUM(N375:Q375)</f>
        <v>149.582</v>
      </c>
      <c r="S375" s="12">
        <f>-S167</f>
        <v>34.786</v>
      </c>
      <c r="T375" s="12">
        <f>-T167</f>
        <v>36.346</v>
      </c>
      <c r="U375" s="12">
        <f>-U167</f>
        <v>40.913</v>
      </c>
      <c r="V375" s="12">
        <f>-V167</f>
        <v>41.867</v>
      </c>
      <c r="W375" s="12">
        <f>SUM(S375:V375)</f>
        <v>153.912</v>
      </c>
      <c r="X375" s="12">
        <f>-X167</f>
        <v>42.888</v>
      </c>
      <c r="Y375" s="12">
        <f>-Y167</f>
        <v>43.985</v>
      </c>
      <c r="Z375" s="12">
        <f>-Z167</f>
        <v>45.859</v>
      </c>
      <c r="AA375" s="12">
        <f>-AA167</f>
        <v>45.423</v>
      </c>
      <c r="AB375" s="12">
        <f>SUM(X375:AA375)</f>
        <v>178.155</v>
      </c>
      <c r="AC375" s="12">
        <f>-AC167</f>
        <v>41.263</v>
      </c>
      <c r="AD375" s="12">
        <f>-AD167</f>
        <v>45.418</v>
      </c>
      <c r="AE375" s="12">
        <f>-AE167</f>
        <v>47.651</v>
      </c>
      <c r="AF375" s="12">
        <f>-AF167</f>
        <v>51.46</v>
      </c>
      <c r="AG375" s="12">
        <f>SUM(AC375:AF375)</f>
        <v>185.792</v>
      </c>
      <c r="AH375" s="12">
        <f>-AH167</f>
        <v>56.114</v>
      </c>
      <c r="AI375" s="12">
        <f>-AI167</f>
        <v>51.589</v>
      </c>
      <c r="AJ375" s="12">
        <f>-AJ167</f>
        <v>46.1638102135604</v>
      </c>
      <c r="AK375" s="12">
        <f>-AK167</f>
        <v>55.7624601047606</v>
      </c>
      <c r="AL375" s="12">
        <f>SUM(AH375:AK375)</f>
        <v>209.629270318321</v>
      </c>
      <c r="AM375" s="12">
        <f>-AM167</f>
        <v>60.169943766723</v>
      </c>
      <c r="AN375" s="12">
        <f>-AN167</f>
        <v>77.979386479695</v>
      </c>
      <c r="AO375" s="12">
        <f>-AO167</f>
        <v>53.6996863856873</v>
      </c>
      <c r="AP375" s="12">
        <f>-AP167</f>
        <v>64.8652398029409</v>
      </c>
      <c r="AQ375" s="12">
        <f>SUM(AM375:AP375)</f>
        <v>256.714256435046</v>
      </c>
      <c r="AR375" s="12">
        <f>-AR167</f>
        <v>69.6913605248595</v>
      </c>
      <c r="AS375" s="12">
        <f>-AS167</f>
        <v>90.3190064084675</v>
      </c>
      <c r="AT375" s="12">
        <f>-AT167</f>
        <v>62.19723618965</v>
      </c>
      <c r="AU375" s="12">
        <f>-AU167</f>
        <v>75.1296499488888</v>
      </c>
      <c r="AV375" s="12">
        <f>SUM(AR375:AU375)</f>
        <v>297.337253071866</v>
      </c>
      <c r="AW375" s="12">
        <f>-AW167</f>
        <v>80.3710092257294</v>
      </c>
      <c r="AX375" s="12">
        <f>-AX167</f>
        <v>104.159678368229</v>
      </c>
      <c r="AY375" s="12">
        <f>-AY167</f>
        <v>71.728469726604</v>
      </c>
      <c r="AZ375" s="12">
        <f>-AZ167</f>
        <v>86.6426734058961</v>
      </c>
      <c r="BA375" s="12">
        <f>SUM(AW375:AZ375)</f>
        <v>342.901830726458</v>
      </c>
      <c r="BB375" s="12">
        <f>-BB167</f>
        <v>92.2853744083476</v>
      </c>
      <c r="BC375" s="12">
        <f>-BC167</f>
        <v>119.600525227545</v>
      </c>
      <c r="BD375" s="12">
        <f>-BD167</f>
        <v>82.3616469200483</v>
      </c>
      <c r="BE375" s="12">
        <f>-BE167</f>
        <v>99.4867631006874</v>
      </c>
      <c r="BF375" s="12">
        <f>SUM(BB375:BE375)</f>
        <v>393.734309656628</v>
      </c>
      <c r="BG375" s="12" t="n"/>
      <c r="BH375" s="12" t="n"/>
      <c r="BI375" s="12" t="n"/>
      <c r="BJ375" s="12" t="n"/>
      <c r="BK375" s="12" t="n"/>
      <c r="BL375" s="12" t="n"/>
      <c r="BM375" s="12" t="n"/>
      <c r="BN375" s="12" t="n"/>
      <c r="BO375" s="12" t="n"/>
      <c r="BP375" s="12" t="n"/>
      <c r="BQ375" s="12" t="n"/>
      <c r="BR375" s="12" t="n"/>
      <c r="BS375" s="12" t="n"/>
      <c r="BT375" s="12" t="n"/>
      <c r="BU375" s="12" t="n"/>
      <c r="BV375" s="12" t="n"/>
      <c r="BW375" s="12" t="n"/>
      <c r="BX375" s="12" t="n"/>
      <c r="BY375" s="12" t="n"/>
      <c r="BZ375" s="12" t="n"/>
      <c r="CA375" s="12" t="n"/>
      <c r="CB375" s="12" t="n"/>
      <c r="CC375" s="12" t="n"/>
      <c r="CD375" s="12" t="n"/>
      <c r="CE375" s="12" t="n"/>
      <c r="CF375" s="12" t="n"/>
      <c r="CG375" s="12" t="n"/>
      <c r="CH375" s="12" t="n"/>
      <c r="CI375" s="12" t="n"/>
      <c r="CJ375" s="12" t="n"/>
      <c r="CK375" s="12" t="n"/>
      <c r="CL375" s="12" t="n"/>
      <c r="CM375" s="12" t="n"/>
      <c r="CN375" s="12" t="n"/>
      <c r="CO375" s="12" t="n"/>
      <c r="CP375" s="12" t="n"/>
      <c r="CQ375" s="12" t="n"/>
      <c r="CR375" s="12" t="n"/>
      <c r="CS375" s="12" t="n"/>
      <c r="CT375" s="12" t="n"/>
      <c r="CU375" s="12" t="n"/>
      <c r="CV375" s="12" t="n"/>
      <c r="CW375" s="12" t="n"/>
      <c r="CX375" s="12" t="n"/>
      <c r="CY375" s="12" t="n"/>
    </row>
    <row r="376">
      <c r="C376" s="10" t="inlineStr">
        <is>
          <t xml:space="preserve">Changes in working capital </t>
        </is>
      </c>
      <c r="D376" s="12" t="n"/>
      <c r="E376" s="12" t="n"/>
      <c r="F376" s="12" t="n"/>
      <c r="G376" s="12" t="n"/>
      <c r="H376" s="12" t="n"/>
      <c r="I376" s="12" t="n"/>
      <c r="J376" s="12">
        <f>SUM(J377:J386)</f>
        <v>-150.999</v>
      </c>
      <c r="K376" s="12">
        <f>SUM(K377:K386)</f>
        <v>-111.401</v>
      </c>
      <c r="L376" s="12">
        <f>SUM(L377:L386)</f>
        <v>188.799</v>
      </c>
      <c r="M376" s="12" t="n"/>
      <c r="N376" s="12">
        <f>SUM(N377:N386)</f>
        <v>485.012</v>
      </c>
      <c r="O376" s="12">
        <f>SUM(O377:O386)</f>
        <v>-547.003000000001</v>
      </c>
      <c r="P376" s="12">
        <f>SUM(P377:P386)</f>
        <v>84.6020000000004</v>
      </c>
      <c r="Q376" s="12">
        <f>SUM(Q377:Q386)</f>
        <v>102.798</v>
      </c>
      <c r="R376" s="12">
        <f>SUM(N376:Q376)</f>
        <v>125.409</v>
      </c>
      <c r="S376" s="12">
        <f>SUM(S377:S386)</f>
        <v>-64.7789999999999</v>
      </c>
      <c r="T376" s="12">
        <f>SUM(T377:T386)</f>
        <v>-320.589</v>
      </c>
      <c r="U376" s="12">
        <f>SUM(U377:U386)</f>
        <v>114.452</v>
      </c>
      <c r="V376" s="12">
        <f>SUM(V377:V386)</f>
        <v>259.056</v>
      </c>
      <c r="W376" s="12">
        <f>SUM(S376:V376)</f>
        <v>-11.8599999999997</v>
      </c>
      <c r="X376" s="12">
        <f>SUM(X377:X386)</f>
        <v>12.1979999999996</v>
      </c>
      <c r="Y376" s="12">
        <f>SUM(Y377:Y386)</f>
        <v>129.42</v>
      </c>
      <c r="Z376" s="12">
        <f>SUM(Z377:Z386)</f>
        <v>-533.603</v>
      </c>
      <c r="AA376" s="12">
        <f>SUM(AA377:AA386)</f>
        <v>189.325</v>
      </c>
      <c r="AB376" s="12">
        <f>SUM(X376:AA376)</f>
        <v>-202.66</v>
      </c>
      <c r="AC376" s="12">
        <f>SUM(AC377:AC386)</f>
        <v>-10.1369999999999</v>
      </c>
      <c r="AD376" s="12">
        <f>SUM(AD377:AD386)</f>
        <v>-12.4630000000004</v>
      </c>
      <c r="AE376" s="12">
        <f>SUM(AE377:AE386)</f>
        <v>32.5720000000006</v>
      </c>
      <c r="AF376" s="12">
        <f>SUM(AF377:AF386)</f>
        <v>99.4479999999998</v>
      </c>
      <c r="AG376" s="12">
        <f>SUM(AC376:AF376)</f>
        <v>109.42</v>
      </c>
      <c r="AH376" s="12">
        <f>SUM(AH377:AH386)</f>
        <v>-87.2359999999997</v>
      </c>
      <c r="AI376" s="12">
        <f>SUM(AI377:AI386)</f>
        <v>-228.674000000001</v>
      </c>
      <c r="AJ376" s="12">
        <f>SUM(AJ377:AJ386)</f>
        <v>73.94063364223</v>
      </c>
      <c r="AK376" s="12">
        <f>SUM(AK377:AK386)</f>
        <v>44.0519670718449</v>
      </c>
      <c r="AL376" s="12">
        <f>SUM(AH376:AK376)</f>
        <v>-197.917399285925</v>
      </c>
      <c r="AM376" s="12">
        <f>SUM(AM377:AM386)</f>
        <v>53.7715973308481</v>
      </c>
      <c r="AN376" s="12">
        <f>SUM(AN377:AN386)</f>
        <v>57.5833576860391</v>
      </c>
      <c r="AO376" s="12">
        <f>SUM(AO377:AO386)</f>
        <v>88.110183008852</v>
      </c>
      <c r="AP376" s="12">
        <f>SUM(AP377:AP386)</f>
        <v>83.6471431258658</v>
      </c>
      <c r="AQ376" s="12">
        <f>SUM(AM376:AP376)</f>
        <v>283.112281151605</v>
      </c>
      <c r="AR376" s="12">
        <f>SUM(AR377:AR386)</f>
        <v>97.5858707621325</v>
      </c>
      <c r="AS376" s="12">
        <f>SUM(AS377:AS386)</f>
        <v>106.32198023236</v>
      </c>
      <c r="AT376" s="12">
        <f>SUM(AT377:AT386)</f>
        <v>147.992658104528</v>
      </c>
      <c r="AU376" s="12">
        <f>SUM(AU377:AU386)</f>
        <v>149.650611033258</v>
      </c>
      <c r="AV376" s="12">
        <f>SUM(AR376:AU376)</f>
        <v>501.551120132278</v>
      </c>
      <c r="AW376" s="12">
        <f>SUM(AW377:AW386)</f>
        <v>171.342897732107</v>
      </c>
      <c r="AX376" s="12">
        <f>SUM(AX377:AX386)</f>
        <v>190.583345983664</v>
      </c>
      <c r="AY376" s="12">
        <f>SUM(AY377:AY386)</f>
        <v>247.900540159252</v>
      </c>
      <c r="AZ376" s="12">
        <f>SUM(AZ377:AZ386)</f>
        <v>260.87226800806</v>
      </c>
      <c r="BA376" s="12">
        <f>SUM(AW376:AZ376)</f>
        <v>870.699051883083</v>
      </c>
      <c r="BB376" s="12">
        <f>SUM(BB377:BB386)</f>
        <v>295.204959298447</v>
      </c>
      <c r="BC376" s="12">
        <f>SUM(BC377:BC386)</f>
        <v>330.690116763641</v>
      </c>
      <c r="BD376" s="12">
        <f>SUM(BD377:BD386)</f>
        <v>411.929479858988</v>
      </c>
      <c r="BE376" s="12">
        <f>SUM(BE377:BE386)</f>
        <v>444.359025404621</v>
      </c>
      <c r="BF376" s="12">
        <f>SUM(BB376:BE376)</f>
        <v>1482.1835813257</v>
      </c>
      <c r="BG376" s="12" t="n"/>
      <c r="BH376" s="12" t="n"/>
      <c r="BI376" s="12" t="n"/>
      <c r="BJ376" s="12" t="n"/>
      <c r="BK376" s="12" t="n"/>
      <c r="BL376" s="12" t="n"/>
      <c r="BM376" s="12" t="n"/>
      <c r="BN376" s="12" t="n"/>
      <c r="BO376" s="12" t="n"/>
      <c r="BP376" s="12" t="n"/>
      <c r="BQ376" s="12" t="n"/>
      <c r="BR376" s="12" t="n"/>
      <c r="BS376" s="12" t="n"/>
      <c r="BT376" s="12" t="n"/>
      <c r="BU376" s="12" t="n"/>
      <c r="BV376" s="12" t="n"/>
      <c r="BW376" s="12" t="n"/>
      <c r="BX376" s="12" t="n"/>
      <c r="BY376" s="12" t="n"/>
      <c r="BZ376" s="12" t="n"/>
      <c r="CA376" s="12" t="n"/>
      <c r="CB376" s="12" t="n"/>
      <c r="CC376" s="12" t="n"/>
      <c r="CD376" s="12" t="n"/>
      <c r="CE376" s="12" t="n"/>
      <c r="CF376" s="12" t="n"/>
      <c r="CG376" s="12" t="n"/>
      <c r="CH376" s="12" t="n"/>
      <c r="CI376" s="12" t="n"/>
      <c r="CJ376" s="12" t="n"/>
      <c r="CK376" s="12" t="n"/>
      <c r="CL376" s="12" t="n"/>
      <c r="CM376" s="12" t="n"/>
      <c r="CN376" s="12" t="n"/>
      <c r="CO376" s="12" t="n"/>
      <c r="CP376" s="12" t="n"/>
      <c r="CQ376" s="12" t="n"/>
      <c r="CR376" s="12" t="n"/>
      <c r="CS376" s="12" t="n"/>
      <c r="CT376" s="12" t="n"/>
      <c r="CU376" s="12" t="n"/>
      <c r="CV376" s="12" t="n"/>
      <c r="CW376" s="12" t="n"/>
      <c r="CX376" s="12" t="n"/>
      <c r="CY376" s="12" t="n"/>
    </row>
    <row r="377" hidden="1" outlineLevel="1">
      <c r="C377" s="10" t="inlineStr">
        <is>
          <t>Accounts receivable</t>
        </is>
      </c>
      <c r="D377" s="12" t="n"/>
      <c r="E377" s="12" t="n"/>
      <c r="F377" s="12" t="n"/>
      <c r="G377" s="12" t="n"/>
      <c r="H377" s="12" t="n"/>
      <c r="I377" s="12" t="n"/>
      <c r="J377" s="12">
        <f>(J242-I242)*-1</f>
        <v>-7.20299999999997</v>
      </c>
      <c r="K377" s="12">
        <f>(K242-J242)*-1</f>
        <v>-32.741</v>
      </c>
      <c r="L377" s="12">
        <f>(L242-K242)*-1</f>
        <v>-13.072</v>
      </c>
      <c r="M377" s="12" t="n"/>
      <c r="N377" s="12">
        <f>(N242-M242)*-1</f>
        <v>28.421</v>
      </c>
      <c r="O377" s="12">
        <f>(O242-N242)*-1</f>
        <v>-14.409</v>
      </c>
      <c r="P377" s="12">
        <f>(P242-O242)*-1</f>
        <v>-35.05</v>
      </c>
      <c r="Q377" s="12">
        <f>(Q242-P242)*-1</f>
        <v>-35.543</v>
      </c>
      <c r="R377" s="12">
        <f>SUM(N377:Q377)</f>
        <v>-56.581</v>
      </c>
      <c r="S377" s="12">
        <f>(S242-R242)*-1</f>
        <v>-28.26</v>
      </c>
      <c r="T377" s="12">
        <f>(T242-S242)*-1</f>
        <v>183.84</v>
      </c>
      <c r="U377" s="12">
        <f>(U242-T242)*-1</f>
        <v>-45.938</v>
      </c>
      <c r="V377" s="12">
        <f>(V242-U242)*-1</f>
        <v>49.935</v>
      </c>
      <c r="W377" s="12">
        <f>SUM(S377:V377)</f>
        <v>159.577</v>
      </c>
      <c r="X377" s="12">
        <f>(X242-W242)*-1</f>
        <v>25.813</v>
      </c>
      <c r="Y377" s="12">
        <f>(Y242-X242)*-1</f>
        <v>-7.51400000000001</v>
      </c>
      <c r="Z377" s="12">
        <f>(Z242-Y242)*-1</f>
        <v>-3.88999999999999</v>
      </c>
      <c r="AA377" s="12">
        <f>(AA242-Z242)*-1</f>
        <v>-9.63</v>
      </c>
      <c r="AB377" s="12">
        <f>SUM(X377:AA377)</f>
        <v>4.779</v>
      </c>
      <c r="AC377" s="12">
        <f>(AC242-AB242)*-1</f>
        <v>24.238</v>
      </c>
      <c r="AD377" s="12">
        <f>(AD242-AC242)*-1</f>
        <v>11.839</v>
      </c>
      <c r="AE377" s="12">
        <f>(AE242-AD242)*-1</f>
        <v>35.485</v>
      </c>
      <c r="AF377" s="12">
        <f>(AF242-AE242)*-1</f>
        <v>25.563</v>
      </c>
      <c r="AG377" s="12">
        <f>SUM(AC377:AF377)</f>
        <v>97.125</v>
      </c>
      <c r="AH377" s="12">
        <f>(AH242-AG242)*-1</f>
        <v>-4.487</v>
      </c>
      <c r="AI377" s="12">
        <f>(AI242-AH242)*-1</f>
        <v>-157.842</v>
      </c>
      <c r="AJ377" s="12">
        <f>(AJ242-AI242)*-1</f>
        <v>128.007844247087</v>
      </c>
      <c r="AK377" s="12">
        <f>(AK242-AJ242)*-1</f>
        <v>-45.9763903908984</v>
      </c>
      <c r="AL377" s="12">
        <f>SUM(AH377:AK377)</f>
        <v>-80.2975461438116</v>
      </c>
      <c r="AM377" s="12">
        <f>(AM242-AL242)*-1</f>
        <v>-27.5159191620346</v>
      </c>
      <c r="AN377" s="12">
        <f>(AN242-AM242)*-1</f>
        <v>-83.0050407929694</v>
      </c>
      <c r="AO377" s="12">
        <f>(AO242-AN242)*-1</f>
        <v>120.401400524375</v>
      </c>
      <c r="AP377" s="12">
        <f>(AP242-AO242)*-1</f>
        <v>-53.4816717622658</v>
      </c>
      <c r="AQ377" s="12">
        <f>SUM(AM377:AP377)</f>
        <v>-43.6012311928952</v>
      </c>
      <c r="AR377" s="12">
        <f>(AR242-AQ242)*-1</f>
        <v>-26.7848220283117</v>
      </c>
      <c r="AS377" s="12">
        <f>(AS242-AR242)*-1</f>
        <v>-99.8897262373295</v>
      </c>
      <c r="AT377" s="12">
        <f>(AT242-AS242)*-1</f>
        <v>139.453967983976</v>
      </c>
      <c r="AU377" s="12">
        <f>(AU242-AT242)*-1</f>
        <v>-61.9447224798238</v>
      </c>
      <c r="AV377" s="12">
        <f>SUM(AR377:AU377)</f>
        <v>-49.1653027614894</v>
      </c>
      <c r="AW377" s="12">
        <f>(AW242-AV242)*-1</f>
        <v>-33.6603218488879</v>
      </c>
      <c r="AX377" s="12">
        <f>(AX242-AW242)*-1</f>
        <v>-110.872613164104</v>
      </c>
      <c r="AY377" s="12">
        <f>(AY242-AX242)*-1</f>
        <v>160.824183413763</v>
      </c>
      <c r="AZ377" s="12">
        <f>(AZ242-AY242)*-1</f>
        <v>-71.4372602919019</v>
      </c>
      <c r="BA377" s="12">
        <f>SUM(AW377:AZ377)</f>
        <v>-55.1460118911314</v>
      </c>
      <c r="BB377" s="12">
        <f>(BB242-BA242)*-1</f>
        <v>-36.8508874066015</v>
      </c>
      <c r="BC377" s="12">
        <f>(BC242-BB242)*-1</f>
        <v>-127.308599407331</v>
      </c>
      <c r="BD377" s="12">
        <f>(BD242-BC242)*-1</f>
        <v>184.665094083509</v>
      </c>
      <c r="BE377" s="12">
        <f>(BE242-BD242)*-1</f>
        <v>-82.0272679944678</v>
      </c>
      <c r="BF377" s="12">
        <f>SUM(BB377:BE377)</f>
        <v>-61.5216607248914</v>
      </c>
      <c r="BG377" s="12" t="n"/>
      <c r="BH377" s="12" t="n"/>
      <c r="BI377" s="12" t="n"/>
      <c r="BJ377" s="12" t="n"/>
      <c r="BK377" s="12" t="n"/>
      <c r="BL377" s="12" t="n"/>
      <c r="BM377" s="12" t="n"/>
      <c r="BN377" s="12" t="n"/>
      <c r="BO377" s="12" t="n"/>
      <c r="BP377" s="12" t="n"/>
      <c r="BQ377" s="12" t="n"/>
      <c r="BR377" s="12" t="n"/>
      <c r="BS377" s="12" t="n"/>
      <c r="BT377" s="12" t="n"/>
      <c r="BU377" s="12" t="n"/>
      <c r="BV377" s="12" t="n"/>
      <c r="BW377" s="12" t="n"/>
      <c r="BX377" s="12" t="n"/>
      <c r="BY377" s="12" t="n"/>
      <c r="BZ377" s="12" t="n"/>
      <c r="CA377" s="12" t="n"/>
      <c r="CB377" s="12" t="n"/>
      <c r="CC377" s="12" t="n"/>
      <c r="CD377" s="12" t="n"/>
      <c r="CE377" s="12" t="n"/>
      <c r="CF377" s="12" t="n"/>
      <c r="CG377" s="12" t="n"/>
      <c r="CH377" s="12" t="n"/>
      <c r="CI377" s="12" t="n"/>
      <c r="CJ377" s="12" t="n"/>
      <c r="CK377" s="12" t="n"/>
      <c r="CL377" s="12" t="n"/>
      <c r="CM377" s="12" t="n"/>
      <c r="CN377" s="12" t="n"/>
      <c r="CO377" s="12" t="n"/>
      <c r="CP377" s="12" t="n"/>
      <c r="CQ377" s="12" t="n"/>
      <c r="CR377" s="12" t="n"/>
      <c r="CS377" s="12" t="n"/>
      <c r="CT377" s="12" t="n"/>
      <c r="CU377" s="12" t="n"/>
      <c r="CV377" s="12" t="n"/>
      <c r="CW377" s="12" t="n"/>
      <c r="CX377" s="12" t="n"/>
      <c r="CY377" s="12" t="n"/>
    </row>
    <row r="378" hidden="1" outlineLevel="1">
      <c r="C378" s="10" t="inlineStr">
        <is>
          <t>Inventories</t>
        </is>
      </c>
      <c r="D378" s="12" t="n"/>
      <c r="E378" s="12" t="n"/>
      <c r="F378" s="12" t="n"/>
      <c r="G378" s="12" t="n"/>
      <c r="H378" s="12" t="n"/>
      <c r="I378" s="12" t="n"/>
      <c r="J378" s="12">
        <f>(J246-I246)*-1</f>
        <v>-0.416999999999999</v>
      </c>
      <c r="K378" s="12">
        <f>(K246-J246)*-1</f>
        <v>-0.00300000000000011</v>
      </c>
      <c r="L378" s="12">
        <f>(L246-K246)*-1</f>
        <v>0.144</v>
      </c>
      <c r="M378" s="12" t="n"/>
      <c r="N378" s="12">
        <f>(N246-M246)*-1</f>
        <v>-0.123000000000001</v>
      </c>
      <c r="O378" s="12">
        <f>(O246-N246)*-1</f>
        <v>-0.0869999999999997</v>
      </c>
      <c r="P378" s="12">
        <f>(P246-O246)*-1</f>
        <v>-0.497</v>
      </c>
      <c r="Q378" s="12">
        <f>(Q246-P246)*-1</f>
        <v>-0.249000000000001</v>
      </c>
      <c r="R378" s="12">
        <f>SUM(N378:Q378)</f>
        <v>-0.956000000000001</v>
      </c>
      <c r="S378" s="12">
        <f>(S246-R246)*-1</f>
        <v>0.140000000000001</v>
      </c>
      <c r="T378" s="12">
        <f>(T246-S246)*-1</f>
        <v>-0.336</v>
      </c>
      <c r="U378" s="12">
        <f>(U246-T246)*-1</f>
        <v>-8.049</v>
      </c>
      <c r="V378" s="12">
        <f>(V246-U246)*-1</f>
        <v>7.168</v>
      </c>
      <c r="W378" s="12">
        <f>SUM(S378:V378)</f>
        <v>-1.077</v>
      </c>
      <c r="X378" s="12">
        <f>(X246-W246)*-1</f>
        <v>0.404</v>
      </c>
      <c r="Y378" s="12">
        <f>(Y246-X246)*-1</f>
        <v>0.645000000000001</v>
      </c>
      <c r="Z378" s="12">
        <f>(Z246-Y246)*-1</f>
        <v>-0.257000000000001</v>
      </c>
      <c r="AA378" s="12">
        <f>(AA246-Z246)*-1</f>
        <v>-0.279999999999999</v>
      </c>
      <c r="AB378" s="12">
        <f>SUM(X378:AA378)</f>
        <v>0.512000000000001</v>
      </c>
      <c r="AC378" s="12">
        <f>(AC246-AB246)*-1</f>
        <v>-0.340999999999999</v>
      </c>
      <c r="AD378" s="12">
        <f>(AD246-AC246)*-1</f>
        <v>0.273999999999999</v>
      </c>
      <c r="AE378" s="12">
        <f>(AE246-AD246)*-1</f>
        <v>0.141</v>
      </c>
      <c r="AF378" s="12">
        <f>(AF246-AE246)*-1</f>
        <v>-0.779999999999999</v>
      </c>
      <c r="AG378" s="12">
        <f>SUM(AC378:AF378)</f>
        <v>-0.706</v>
      </c>
      <c r="AH378" s="12">
        <f>(AH246-AG246)*-1</f>
        <v>-0.308</v>
      </c>
      <c r="AI378" s="12">
        <f>(AI246-AH246)*-1</f>
        <v>-0.361000000000001</v>
      </c>
      <c r="AJ378" s="12">
        <f>(AJ246-AI246)*-1</f>
        <v>1.31801972102222</v>
      </c>
      <c r="AK378" s="12">
        <f>(AK246-AJ246)*-1</f>
        <v>-2.04245161198535</v>
      </c>
      <c r="AL378" s="12">
        <f>SUM(AH378:AK378)</f>
        <v>-1.39343189096313</v>
      </c>
      <c r="AM378" s="12">
        <f>(AM246-AL246)*-1</f>
        <v>-1.22236506541587</v>
      </c>
      <c r="AN378" s="12">
        <f>(AN246-AM246)*-1</f>
        <v>-3.68740951451621</v>
      </c>
      <c r="AO378" s="12">
        <f>(AO246-AN246)*-1</f>
        <v>5.34870250786336</v>
      </c>
      <c r="AP378" s="12">
        <f>(AP246-AO246)*-1</f>
        <v>-2.37586565134386</v>
      </c>
      <c r="AQ378" s="12">
        <f>SUM(AM378:AP378)</f>
        <v>-1.93693772341258</v>
      </c>
      <c r="AR378" s="12">
        <f>(AR246-AQ246)*-1</f>
        <v>-1.18988686287334</v>
      </c>
      <c r="AS378" s="12">
        <f>(AS246-AR246)*-1</f>
        <v>-4.43749347522936</v>
      </c>
      <c r="AT378" s="12">
        <f>(AT246-AS246)*-1</f>
        <v>6.19509229160822</v>
      </c>
      <c r="AU378" s="12">
        <f>(AU246-AT246)*-1</f>
        <v>-2.75182756208603</v>
      </c>
      <c r="AV378" s="12">
        <f>SUM(AR378:AU378)</f>
        <v>-2.18411560858051</v>
      </c>
      <c r="AW378" s="12">
        <f>(AW246-AV246)*-1</f>
        <v>-1.49532353531208</v>
      </c>
      <c r="AX378" s="12">
        <f>(AX246-AW246)*-1</f>
        <v>-4.92539639490452</v>
      </c>
      <c r="AY378" s="12">
        <f>(AY246-AX246)*-1</f>
        <v>7.14444108958788</v>
      </c>
      <c r="AZ378" s="12">
        <f>(AZ246-AY246)*-1</f>
        <v>-3.17352332791868</v>
      </c>
      <c r="BA378" s="12">
        <f>SUM(AW378:AZ378)</f>
        <v>-2.4498021685474</v>
      </c>
      <c r="BB378" s="12">
        <f>(BB246-BA246)*-1</f>
        <v>-1.63706097296416</v>
      </c>
      <c r="BC378" s="12">
        <f>(BC246-BB246)*-1</f>
        <v>-5.6555473769984</v>
      </c>
      <c r="BD378" s="12">
        <f>(BD246-BC246)*-1</f>
        <v>8.20354786188161</v>
      </c>
      <c r="BE378" s="12">
        <f>(BE246-BD246)*-1</f>
        <v>-3.64397301131367</v>
      </c>
      <c r="BF378" s="12">
        <f>SUM(BB378:BE378)</f>
        <v>-2.73303349939462</v>
      </c>
      <c r="BG378" s="12" t="n"/>
      <c r="BH378" s="12" t="n"/>
      <c r="BI378" s="12" t="n"/>
      <c r="BJ378" s="12" t="n"/>
      <c r="BK378" s="12" t="n"/>
      <c r="BL378" s="12" t="n"/>
      <c r="BM378" s="12" t="n"/>
      <c r="BN378" s="12" t="n"/>
      <c r="BO378" s="12" t="n"/>
      <c r="BP378" s="12" t="n"/>
      <c r="BQ378" s="12" t="n"/>
      <c r="BR378" s="12" t="n"/>
      <c r="BS378" s="12" t="n"/>
      <c r="BT378" s="12" t="n"/>
      <c r="BU378" s="12" t="n"/>
      <c r="BV378" s="12" t="n"/>
      <c r="BW378" s="12" t="n"/>
      <c r="BX378" s="12" t="n"/>
      <c r="BY378" s="12" t="n"/>
      <c r="BZ378" s="12" t="n"/>
      <c r="CA378" s="12" t="n"/>
      <c r="CB378" s="12" t="n"/>
      <c r="CC378" s="12" t="n"/>
      <c r="CD378" s="12" t="n"/>
      <c r="CE378" s="12" t="n"/>
      <c r="CF378" s="12" t="n"/>
      <c r="CG378" s="12" t="n"/>
      <c r="CH378" s="12" t="n"/>
      <c r="CI378" s="12" t="n"/>
      <c r="CJ378" s="12" t="n"/>
      <c r="CK378" s="12" t="n"/>
      <c r="CL378" s="12" t="n"/>
      <c r="CM378" s="12" t="n"/>
      <c r="CN378" s="12" t="n"/>
      <c r="CO378" s="12" t="n"/>
      <c r="CP378" s="12" t="n"/>
      <c r="CQ378" s="12" t="n"/>
      <c r="CR378" s="12" t="n"/>
      <c r="CS378" s="12" t="n"/>
      <c r="CT378" s="12" t="n"/>
      <c r="CU378" s="12" t="n"/>
      <c r="CV378" s="12" t="n"/>
      <c r="CW378" s="12" t="n"/>
      <c r="CX378" s="12" t="n"/>
      <c r="CY378" s="12" t="n"/>
    </row>
    <row r="379" hidden="1" outlineLevel="1">
      <c r="C379" s="10" t="inlineStr">
        <is>
          <t>Deferred income taxes</t>
        </is>
      </c>
      <c r="D379" s="12" t="n"/>
      <c r="E379" s="12" t="n"/>
      <c r="F379" s="12" t="n"/>
      <c r="G379" s="12" t="n"/>
      <c r="H379" s="12" t="n"/>
      <c r="I379" s="12" t="n"/>
      <c r="J379" s="12">
        <f>(J250-I250)*-1</f>
        <v>-2.042</v>
      </c>
      <c r="K379" s="12">
        <f>(K250-J250)*-1</f>
        <v>-3.251</v>
      </c>
      <c r="L379" s="12">
        <f>(L250-K250)*-1</f>
        <v>-4.779</v>
      </c>
      <c r="M379" s="12" t="n"/>
      <c r="N379" s="12">
        <f>(N250-M250)*-1</f>
        <v>0.919000000000001</v>
      </c>
      <c r="O379" s="12">
        <f>(O250-N250)*-1</f>
        <v>-7.848</v>
      </c>
      <c r="P379" s="12">
        <f>(P250-O250)*-1</f>
        <v>-7.438</v>
      </c>
      <c r="Q379" s="12">
        <f>(Q250-P250)*-1</f>
        <v>-18.698</v>
      </c>
      <c r="R379" s="12">
        <f>SUM(N379:Q379)</f>
        <v>-33.065</v>
      </c>
      <c r="S379" s="12">
        <f>(S250-R250)*-1</f>
        <v>-7.733</v>
      </c>
      <c r="T379" s="12">
        <f>(T250-S250)*-1</f>
        <v>2.38200000000001</v>
      </c>
      <c r="U379" s="12">
        <f>(U250-T250)*-1</f>
        <v>2.535</v>
      </c>
      <c r="V379" s="12">
        <f>(V250-U250)*-1</f>
        <v>-2.712</v>
      </c>
      <c r="W379" s="12">
        <f>SUM(S379:V379)</f>
        <v>-5.528</v>
      </c>
      <c r="X379" s="12">
        <f>(X250-W250)*-1</f>
        <v>-9.494</v>
      </c>
      <c r="Y379" s="12">
        <f>(Y250-X250)*-1</f>
        <v>-10.473</v>
      </c>
      <c r="Z379" s="12">
        <f>(Z250-Y250)*-1</f>
        <v>-7.691</v>
      </c>
      <c r="AA379" s="12">
        <f>(AA250-Z250)*-1</f>
        <v>-24.15</v>
      </c>
      <c r="AB379" s="12">
        <f>SUM(X379:AA379)</f>
        <v>-51.808</v>
      </c>
      <c r="AC379" s="12">
        <f>(AC250-AB250)*-1</f>
        <v>-69.514</v>
      </c>
      <c r="AD379" s="12">
        <f>(AD250-AC250)*-1</f>
        <v>5.12700000000001</v>
      </c>
      <c r="AE379" s="12">
        <f>(AE250-AD250)*-1</f>
        <v>-2.28100000000001</v>
      </c>
      <c r="AF379" s="12">
        <f>(AF250-AE250)*-1</f>
        <v>3.49000000000001</v>
      </c>
      <c r="AG379" s="12">
        <f>SUM(AC379:AF379)</f>
        <v>-63.178</v>
      </c>
      <c r="AH379" s="12">
        <f>(AH250-AG250)*-1</f>
        <v>-1.523</v>
      </c>
      <c r="AI379" s="12">
        <f>(AI250-AH250)*-1</f>
        <v>1.72</v>
      </c>
      <c r="AJ379" s="12">
        <f>(AJ250-AI250)*-1</f>
        <v>0</v>
      </c>
      <c r="AK379" s="12">
        <f>(AK250-AJ250)*-1</f>
        <v>0</v>
      </c>
      <c r="AL379" s="12">
        <f>SUM(AH379:AK379)</f>
        <v>0.197000000000003</v>
      </c>
      <c r="AM379" s="12">
        <f>(AM250-AL250)*-1</f>
        <v>0</v>
      </c>
      <c r="AN379" s="12">
        <f>(AN250-AM250)*-1</f>
        <v>0</v>
      </c>
      <c r="AO379" s="12">
        <f>(AO250-AN250)*-1</f>
        <v>0</v>
      </c>
      <c r="AP379" s="12">
        <f>(AP250-AO250)*-1</f>
        <v>0</v>
      </c>
      <c r="AQ379" s="12">
        <f>SUM(AM379:AP379)</f>
        <v>0</v>
      </c>
      <c r="AR379" s="12">
        <f>(AR250-AQ250)*-1</f>
        <v>0</v>
      </c>
      <c r="AS379" s="12">
        <f>(AS250-AR250)*-1</f>
        <v>0</v>
      </c>
      <c r="AT379" s="12">
        <f>(AT250-AS250)*-1</f>
        <v>0</v>
      </c>
      <c r="AU379" s="12">
        <f>(AU250-AT250)*-1</f>
        <v>0</v>
      </c>
      <c r="AV379" s="12">
        <f>SUM(AR379:AU379)</f>
        <v>0</v>
      </c>
      <c r="AW379" s="12">
        <f>(AW250-AV250)*-1</f>
        <v>0</v>
      </c>
      <c r="AX379" s="12">
        <f>(AX250-AW250)*-1</f>
        <v>0</v>
      </c>
      <c r="AY379" s="12">
        <f>(AY250-AX250)*-1</f>
        <v>0</v>
      </c>
      <c r="AZ379" s="12">
        <f>(AZ250-AY250)*-1</f>
        <v>0</v>
      </c>
      <c r="BA379" s="12">
        <f>SUM(AW379:AZ379)</f>
        <v>0</v>
      </c>
      <c r="BB379" s="12">
        <f>(BB250-BA250)*-1</f>
        <v>0</v>
      </c>
      <c r="BC379" s="12">
        <f>(BC250-BB250)*-1</f>
        <v>0</v>
      </c>
      <c r="BD379" s="12">
        <f>(BD250-BC250)*-1</f>
        <v>0</v>
      </c>
      <c r="BE379" s="12">
        <f>(BE250-BD250)*-1</f>
        <v>0</v>
      </c>
      <c r="BF379" s="12">
        <f>SUM(BB379:BE379)</f>
        <v>0</v>
      </c>
      <c r="BG379" s="12" t="n"/>
      <c r="BH379" s="12" t="n"/>
      <c r="BI379" s="12" t="n"/>
      <c r="BJ379" s="12" t="n"/>
      <c r="BK379" s="12" t="n"/>
      <c r="BL379" s="12" t="n"/>
      <c r="BM379" s="12" t="n"/>
      <c r="BN379" s="12" t="n"/>
      <c r="BO379" s="12" t="n"/>
      <c r="BP379" s="12" t="n"/>
      <c r="BQ379" s="12" t="n"/>
      <c r="BR379" s="12" t="n"/>
      <c r="BS379" s="12" t="n"/>
      <c r="BT379" s="12" t="n"/>
      <c r="BU379" s="12" t="n"/>
      <c r="BV379" s="12" t="n"/>
      <c r="BW379" s="12" t="n"/>
      <c r="BX379" s="12" t="n"/>
      <c r="BY379" s="12" t="n"/>
      <c r="BZ379" s="12" t="n"/>
      <c r="CA379" s="12" t="n"/>
      <c r="CB379" s="12" t="n"/>
      <c r="CC379" s="12" t="n"/>
      <c r="CD379" s="12" t="n"/>
      <c r="CE379" s="12" t="n"/>
      <c r="CF379" s="12" t="n"/>
      <c r="CG379" s="12" t="n"/>
      <c r="CH379" s="12" t="n"/>
      <c r="CI379" s="12" t="n"/>
      <c r="CJ379" s="12" t="n"/>
      <c r="CK379" s="12" t="n"/>
      <c r="CL379" s="12" t="n"/>
      <c r="CM379" s="12" t="n"/>
      <c r="CN379" s="12" t="n"/>
      <c r="CO379" s="12" t="n"/>
      <c r="CP379" s="12" t="n"/>
      <c r="CQ379" s="12" t="n"/>
      <c r="CR379" s="12" t="n"/>
      <c r="CS379" s="12" t="n"/>
      <c r="CT379" s="12" t="n"/>
      <c r="CU379" s="12" t="n"/>
      <c r="CV379" s="12" t="n"/>
      <c r="CW379" s="12" t="n"/>
      <c r="CX379" s="12" t="n"/>
      <c r="CY379" s="12" t="n"/>
    </row>
    <row r="380" hidden="1" outlineLevel="1">
      <c r="C380" s="10" t="inlineStr">
        <is>
          <t>Prepaid expenses</t>
        </is>
      </c>
      <c r="D380" s="12" t="n"/>
      <c r="E380" s="12" t="n"/>
      <c r="F380" s="12" t="n"/>
      <c r="G380" s="12" t="n"/>
      <c r="H380" s="12" t="n"/>
      <c r="I380" s="12" t="n"/>
      <c r="J380" s="12">
        <f>(J251-I251)*-1</f>
        <v>-5.458</v>
      </c>
      <c r="K380" s="12">
        <f>(K251-J251)*-1</f>
        <v>0.492999999999999</v>
      </c>
      <c r="L380" s="12">
        <f>(L251-K251)*-1</f>
        <v>1.693</v>
      </c>
      <c r="M380" s="12" t="n"/>
      <c r="N380" s="12">
        <f>(N251-M251)*-1</f>
        <v>1.141</v>
      </c>
      <c r="O380" s="12">
        <f>(O251-N251)*-1</f>
        <v>-4.568</v>
      </c>
      <c r="P380" s="12">
        <f>(P251-O251)*-1</f>
        <v>-1.442</v>
      </c>
      <c r="Q380" s="12">
        <f>(Q251-P251)*-1</f>
        <v>-0.482000000000001</v>
      </c>
      <c r="R380" s="12">
        <f>SUM(N380:Q380)</f>
        <v>-5.351</v>
      </c>
      <c r="S380" s="12">
        <f>(S251-R251)*-1</f>
        <v>6.398</v>
      </c>
      <c r="T380" s="12">
        <f>(T251-S251)*-1</f>
        <v>-2.779</v>
      </c>
      <c r="U380" s="12">
        <f>(U251-T251)*-1</f>
        <v>0.794000000000001</v>
      </c>
      <c r="V380" s="12">
        <f>(V251-U251)*-1</f>
        <v>-2.952</v>
      </c>
      <c r="W380" s="12">
        <f>SUM(S380:V380)</f>
        <v>1.461</v>
      </c>
      <c r="X380" s="12">
        <f>(X251-W251)*-1</f>
        <v>4.177</v>
      </c>
      <c r="Y380" s="12">
        <f>(Y251-X251)*-1</f>
        <v>-3.126</v>
      </c>
      <c r="Z380" s="12">
        <f>(Z251-Y251)*-1</f>
        <v>0.760999999999999</v>
      </c>
      <c r="AA380" s="12">
        <f>(AA251-Z251)*-1</f>
        <v>0.368</v>
      </c>
      <c r="AB380" s="12">
        <f>SUM(X380:AA380)</f>
        <v>2.18</v>
      </c>
      <c r="AC380" s="12">
        <f>(AC251-AB251)*-1</f>
        <v>1.462</v>
      </c>
      <c r="AD380" s="12">
        <f>(AD251-AC251)*-1</f>
        <v>-0.841999999999999</v>
      </c>
      <c r="AE380" s="12">
        <f>(AE251-AD251)*-1</f>
        <v>-3.114</v>
      </c>
      <c r="AF380" s="12">
        <f>(AF251-AE251)*-1</f>
        <v>1.555</v>
      </c>
      <c r="AG380" s="12">
        <f>SUM(AC380:AF380)</f>
        <v>-0.939</v>
      </c>
      <c r="AH380" s="12">
        <f>(AH251-AG251)*-1</f>
        <v>-0.231</v>
      </c>
      <c r="AI380" s="12">
        <f>(AI251-AH251)*-1</f>
        <v>-1.63</v>
      </c>
      <c r="AJ380" s="12">
        <f>(AJ251-AI251)*-1</f>
        <v>0</v>
      </c>
      <c r="AK380" s="12">
        <f>(AK251-AJ251)*-1</f>
        <v>0</v>
      </c>
      <c r="AL380" s="12">
        <f>SUM(AH380:AK380)</f>
        <v>-1.861</v>
      </c>
      <c r="AM380" s="12">
        <f>(AM251-AL251)*-1</f>
        <v>0</v>
      </c>
      <c r="AN380" s="12">
        <f>(AN251-AM251)*-1</f>
        <v>0</v>
      </c>
      <c r="AO380" s="12">
        <f>(AO251-AN251)*-1</f>
        <v>0</v>
      </c>
      <c r="AP380" s="12">
        <f>(AP251-AO251)*-1</f>
        <v>0</v>
      </c>
      <c r="AQ380" s="12">
        <f>SUM(AM380:AP380)</f>
        <v>0</v>
      </c>
      <c r="AR380" s="12">
        <f>(AR251-AQ251)*-1</f>
        <v>0</v>
      </c>
      <c r="AS380" s="12">
        <f>(AS251-AR251)*-1</f>
        <v>0</v>
      </c>
      <c r="AT380" s="12">
        <f>(AT251-AS251)*-1</f>
        <v>0</v>
      </c>
      <c r="AU380" s="12">
        <f>(AU251-AT251)*-1</f>
        <v>0</v>
      </c>
      <c r="AV380" s="12">
        <f>SUM(AR380:AU380)</f>
        <v>0</v>
      </c>
      <c r="AW380" s="12">
        <f>(AW251-AV251)*-1</f>
        <v>0</v>
      </c>
      <c r="AX380" s="12">
        <f>(AX251-AW251)*-1</f>
        <v>0</v>
      </c>
      <c r="AY380" s="12">
        <f>(AY251-AX251)*-1</f>
        <v>0</v>
      </c>
      <c r="AZ380" s="12">
        <f>(AZ251-AY251)*-1</f>
        <v>0</v>
      </c>
      <c r="BA380" s="12">
        <f>SUM(AW380:AZ380)</f>
        <v>0</v>
      </c>
      <c r="BB380" s="12">
        <f>(BB251-BA251)*-1</f>
        <v>0</v>
      </c>
      <c r="BC380" s="12">
        <f>(BC251-BB251)*-1</f>
        <v>0</v>
      </c>
      <c r="BD380" s="12">
        <f>(BD251-BC251)*-1</f>
        <v>0</v>
      </c>
      <c r="BE380" s="12">
        <f>(BE251-BD251)*-1</f>
        <v>0</v>
      </c>
      <c r="BF380" s="12">
        <f>SUM(BB380:BE380)</f>
        <v>0</v>
      </c>
      <c r="BG380" s="12" t="n"/>
      <c r="BH380" s="12" t="n"/>
      <c r="BI380" s="12" t="n"/>
      <c r="BJ380" s="12" t="n"/>
      <c r="BK380" s="12" t="n"/>
      <c r="BL380" s="12" t="n"/>
      <c r="BM380" s="12" t="n"/>
      <c r="BN380" s="12" t="n"/>
      <c r="BO380" s="12" t="n"/>
      <c r="BP380" s="12" t="n"/>
      <c r="BQ380" s="12" t="n"/>
      <c r="BR380" s="12" t="n"/>
      <c r="BS380" s="12" t="n"/>
      <c r="BT380" s="12" t="n"/>
      <c r="BU380" s="12" t="n"/>
      <c r="BV380" s="12" t="n"/>
      <c r="BW380" s="12" t="n"/>
      <c r="BX380" s="12" t="n"/>
      <c r="BY380" s="12" t="n"/>
      <c r="BZ380" s="12" t="n"/>
      <c r="CA380" s="12" t="n"/>
      <c r="CB380" s="12" t="n"/>
      <c r="CC380" s="12" t="n"/>
      <c r="CD380" s="12" t="n"/>
      <c r="CE380" s="12" t="n"/>
      <c r="CF380" s="12" t="n"/>
      <c r="CG380" s="12" t="n"/>
      <c r="CH380" s="12" t="n"/>
      <c r="CI380" s="12" t="n"/>
      <c r="CJ380" s="12" t="n"/>
      <c r="CK380" s="12" t="n"/>
      <c r="CL380" s="12" t="n"/>
      <c r="CM380" s="12" t="n"/>
      <c r="CN380" s="12" t="n"/>
      <c r="CO380" s="12" t="n"/>
      <c r="CP380" s="12" t="n"/>
      <c r="CQ380" s="12" t="n"/>
      <c r="CR380" s="12" t="n"/>
      <c r="CS380" s="12" t="n"/>
      <c r="CT380" s="12" t="n"/>
      <c r="CU380" s="12" t="n"/>
      <c r="CV380" s="12" t="n"/>
      <c r="CW380" s="12" t="n"/>
      <c r="CX380" s="12" t="n"/>
      <c r="CY380" s="12" t="n"/>
    </row>
    <row r="381" hidden="1" outlineLevel="1">
      <c r="C381" s="10" t="inlineStr">
        <is>
          <t>Other current assets</t>
        </is>
      </c>
      <c r="D381" s="12" t="n"/>
      <c r="E381" s="12" t="n"/>
      <c r="F381" s="12" t="n"/>
      <c r="G381" s="12" t="n"/>
      <c r="H381" s="12" t="n"/>
      <c r="I381" s="12" t="n"/>
      <c r="J381" s="12">
        <f>(J252-I252)*-1</f>
        <v>-76.377</v>
      </c>
      <c r="K381" s="12">
        <f>(K252-J252)*-1</f>
        <v>-24.6000000000001</v>
      </c>
      <c r="L381" s="12">
        <f>(L252-K252)*-1</f>
        <v>-178.625</v>
      </c>
      <c r="M381" s="12" t="n"/>
      <c r="N381" s="12">
        <f>(N252-M252)*-1</f>
        <v>-60.701</v>
      </c>
      <c r="O381" s="12">
        <f>(O252-N252)*-1</f>
        <v>-81.7870000000003</v>
      </c>
      <c r="P381" s="12">
        <f>(P252-O252)*-1</f>
        <v>38.8590000000004</v>
      </c>
      <c r="Q381" s="12">
        <f>(Q252-P252)*-1</f>
        <v>-49.4520000000002</v>
      </c>
      <c r="R381" s="12">
        <f>SUM(N381:Q381)</f>
        <v>-153.081</v>
      </c>
      <c r="S381" s="12">
        <f>(S252-R252)*-1</f>
        <v>-49.8240000000001</v>
      </c>
      <c r="T381" s="12">
        <f>(T252-S252)*-1</f>
        <v>-58.2460000000001</v>
      </c>
      <c r="U381" s="12">
        <f>(U252-T252)*-1</f>
        <v>21.2290000000003</v>
      </c>
      <c r="V381" s="12">
        <f>(V252-U252)*-1</f>
        <v>23.8429999999998</v>
      </c>
      <c r="W381" s="12">
        <f>SUM(S381:V381)</f>
        <v>-62.9980000000001</v>
      </c>
      <c r="X381" s="12">
        <f>(X252-W252)*-1</f>
        <v>-41.0720000000001</v>
      </c>
      <c r="Y381" s="12">
        <f>(Y252-X252)*-1</f>
        <v>-35.4969999999998</v>
      </c>
      <c r="Z381" s="12">
        <f>(Z252-Y252)*-1</f>
        <v>-18.9119999999998</v>
      </c>
      <c r="AA381" s="12">
        <f>(AA252-Z252)*-1</f>
        <v>-23.7800000000002</v>
      </c>
      <c r="AB381" s="12">
        <f>SUM(X381:AA381)</f>
        <v>-119.261</v>
      </c>
      <c r="AC381" s="12">
        <f>(AC252-AB252)*-1</f>
        <v>-60.7660000000001</v>
      </c>
      <c r="AD381" s="12">
        <f>(AD252-AC252)*-1</f>
        <v>-136.112</v>
      </c>
      <c r="AE381" s="12">
        <f>(AE252-AD252)*-1</f>
        <v>-35.3649999999998</v>
      </c>
      <c r="AF381" s="12">
        <f>(AF252-AE252)*-1</f>
        <v>-160.57</v>
      </c>
      <c r="AG381" s="12">
        <f>SUM(AC381:AF381)</f>
        <v>-392.813</v>
      </c>
      <c r="AH381" s="12">
        <f>(AH252-AG252)*-1</f>
        <v>-49.5229999999997</v>
      </c>
      <c r="AI381" s="12">
        <f>(AI252-AH252)*-1</f>
        <v>-223.859</v>
      </c>
      <c r="AJ381" s="12">
        <f>(AJ252-AI252)*-1</f>
        <v>0</v>
      </c>
      <c r="AK381" s="12">
        <f>(AK252-AJ252)*-1</f>
        <v>0</v>
      </c>
      <c r="AL381" s="12">
        <f>SUM(AH381:AK381)</f>
        <v>-273.382</v>
      </c>
      <c r="AM381" s="12">
        <f>(AM252-AL252)*-1</f>
        <v>0</v>
      </c>
      <c r="AN381" s="12">
        <f>(AN252-AM252)*-1</f>
        <v>0</v>
      </c>
      <c r="AO381" s="12">
        <f>(AO252-AN252)*-1</f>
        <v>0</v>
      </c>
      <c r="AP381" s="12">
        <f>(AP252-AO252)*-1</f>
        <v>0</v>
      </c>
      <c r="AQ381" s="12">
        <f>SUM(AM381:AP381)</f>
        <v>0</v>
      </c>
      <c r="AR381" s="12">
        <f>(AR252-AQ252)*-1</f>
        <v>0</v>
      </c>
      <c r="AS381" s="12">
        <f>(AS252-AR252)*-1</f>
        <v>0</v>
      </c>
      <c r="AT381" s="12">
        <f>(AT252-AS252)*-1</f>
        <v>0</v>
      </c>
      <c r="AU381" s="12">
        <f>(AU252-AT252)*-1</f>
        <v>0</v>
      </c>
      <c r="AV381" s="12">
        <f>SUM(AR381:AU381)</f>
        <v>0</v>
      </c>
      <c r="AW381" s="12">
        <f>(AW252-AV252)*-1</f>
        <v>0</v>
      </c>
      <c r="AX381" s="12">
        <f>(AX252-AW252)*-1</f>
        <v>0</v>
      </c>
      <c r="AY381" s="12">
        <f>(AY252-AX252)*-1</f>
        <v>0</v>
      </c>
      <c r="AZ381" s="12">
        <f>(AZ252-AY252)*-1</f>
        <v>0</v>
      </c>
      <c r="BA381" s="12">
        <f>SUM(AW381:AZ381)</f>
        <v>0</v>
      </c>
      <c r="BB381" s="12">
        <f>(BB252-BA252)*-1</f>
        <v>0</v>
      </c>
      <c r="BC381" s="12">
        <f>(BC252-BB252)*-1</f>
        <v>0</v>
      </c>
      <c r="BD381" s="12">
        <f>(BD252-BC252)*-1</f>
        <v>0</v>
      </c>
      <c r="BE381" s="12">
        <f>(BE252-BD252)*-1</f>
        <v>0</v>
      </c>
      <c r="BF381" s="12">
        <f>SUM(BB381:BE381)</f>
        <v>0</v>
      </c>
      <c r="BG381" s="12" t="n"/>
      <c r="BH381" s="12" t="n"/>
      <c r="BI381" s="12" t="n"/>
      <c r="BJ381" s="12" t="n"/>
      <c r="BK381" s="12" t="n"/>
      <c r="BL381" s="12" t="n"/>
      <c r="BM381" s="12" t="n"/>
      <c r="BN381" s="12" t="n"/>
      <c r="BO381" s="12" t="n"/>
      <c r="BP381" s="12" t="n"/>
      <c r="BQ381" s="12" t="n"/>
      <c r="BR381" s="12" t="n"/>
      <c r="BS381" s="12" t="n"/>
      <c r="BT381" s="12" t="n"/>
      <c r="BU381" s="12" t="n"/>
      <c r="BV381" s="12" t="n"/>
      <c r="BW381" s="12" t="n"/>
      <c r="BX381" s="12" t="n"/>
      <c r="BY381" s="12" t="n"/>
      <c r="BZ381" s="12" t="n"/>
      <c r="CA381" s="12" t="n"/>
      <c r="CB381" s="12" t="n"/>
      <c r="CC381" s="12" t="n"/>
      <c r="CD381" s="12" t="n"/>
      <c r="CE381" s="12" t="n"/>
      <c r="CF381" s="12" t="n"/>
      <c r="CG381" s="12" t="n"/>
      <c r="CH381" s="12" t="n"/>
      <c r="CI381" s="12" t="n"/>
      <c r="CJ381" s="12" t="n"/>
      <c r="CK381" s="12" t="n"/>
      <c r="CL381" s="12" t="n"/>
      <c r="CM381" s="12" t="n"/>
      <c r="CN381" s="12" t="n"/>
      <c r="CO381" s="12" t="n"/>
      <c r="CP381" s="12" t="n"/>
      <c r="CQ381" s="12" t="n"/>
      <c r="CR381" s="12" t="n"/>
      <c r="CS381" s="12" t="n"/>
      <c r="CT381" s="12" t="n"/>
      <c r="CU381" s="12" t="n"/>
      <c r="CV381" s="12" t="n"/>
      <c r="CW381" s="12" t="n"/>
      <c r="CX381" s="12" t="n"/>
      <c r="CY381" s="12" t="n"/>
    </row>
    <row r="382" hidden="1" outlineLevel="1">
      <c r="C382" s="10" t="inlineStr">
        <is>
          <t>Accounts payable</t>
        </is>
      </c>
      <c r="D382" s="12" t="n"/>
      <c r="E382" s="12" t="n"/>
      <c r="F382" s="12" t="n"/>
      <c r="G382" s="12" t="n"/>
      <c r="H382" s="12" t="n"/>
      <c r="I382" s="12" t="n"/>
      <c r="J382" s="12">
        <f>J295-I295</f>
        <v>49.111</v>
      </c>
      <c r="K382" s="12">
        <f>K295-J295</f>
        <v>-27.949</v>
      </c>
      <c r="L382" s="12">
        <f>L295-K295</f>
        <v>-13.751</v>
      </c>
      <c r="M382" s="12" t="n"/>
      <c r="N382" s="12">
        <f>N295-M295</f>
        <v>256.835</v>
      </c>
      <c r="O382" s="12">
        <f>O295-N295</f>
        <v>-265.315</v>
      </c>
      <c r="P382" s="12">
        <f>P295-O295</f>
        <v>104.303</v>
      </c>
      <c r="Q382" s="12">
        <f>Q295-P295</f>
        <v>-60.691</v>
      </c>
      <c r="R382" s="12">
        <f>SUM(N382:Q382)</f>
        <v>35.132</v>
      </c>
      <c r="S382" s="12">
        <f>S295-R295</f>
        <v>-46.072</v>
      </c>
      <c r="T382" s="12">
        <f>T295-S295</f>
        <v>-10</v>
      </c>
      <c r="U382" s="12">
        <f>U295-T295</f>
        <v>-9.31399999999999</v>
      </c>
      <c r="V382" s="12">
        <f>V295-U295</f>
        <v>17.887</v>
      </c>
      <c r="W382" s="12">
        <f>SUM(S382:V382)</f>
        <v>-47.499</v>
      </c>
      <c r="X382" s="12">
        <f>X295-W295</f>
        <v>-1.90000000000001</v>
      </c>
      <c r="Y382" s="12">
        <f>Y295-X295</f>
        <v>-3.899</v>
      </c>
      <c r="Z382" s="12">
        <f>Z295-Y295</f>
        <v>-3.06999999999999</v>
      </c>
      <c r="AA382" s="12">
        <f>AA295-Z295</f>
        <v>12.62</v>
      </c>
      <c r="AB382" s="12">
        <f>SUM(X382:AA382)</f>
        <v>3.751</v>
      </c>
      <c r="AC382" s="12">
        <f>AC295-AB295</f>
        <v>23.976</v>
      </c>
      <c r="AD382" s="12">
        <f>AD295-AC295</f>
        <v>-7.40900000000002</v>
      </c>
      <c r="AE382" s="12">
        <f>AE295-AD295</f>
        <v>-54.235</v>
      </c>
      <c r="AF382" s="12">
        <f>AF295-AE295</f>
        <v>33.031</v>
      </c>
      <c r="AG382" s="12">
        <f>SUM(AC382:AF382)</f>
        <v>-4.637</v>
      </c>
      <c r="AH382" s="12">
        <f>AH295-AG295</f>
        <v>99.545</v>
      </c>
      <c r="AI382" s="12">
        <f>AI295-AH295</f>
        <v>16.235</v>
      </c>
      <c r="AJ382" s="12">
        <f>AJ295-AI295</f>
        <v>-97.1040279975609</v>
      </c>
      <c r="AK382" s="12">
        <f>AK295-AJ295</f>
        <v>43.5417483019419</v>
      </c>
      <c r="AL382" s="12">
        <f>SUM(AH382:AK382)</f>
        <v>62.217720304381</v>
      </c>
      <c r="AM382" s="12">
        <f>AM295-AL295</f>
        <v>26.0588362040502</v>
      </c>
      <c r="AN382" s="12">
        <f>AN295-AM295</f>
        <v>78.6095768561112</v>
      </c>
      <c r="AO382" s="12">
        <f>AO295-AN295</f>
        <v>-114.02564299331</v>
      </c>
      <c r="AP382" s="12">
        <f>AP295-AO295</f>
        <v>50.6495936466697</v>
      </c>
      <c r="AQ382" s="12">
        <f>SUM(AM382:AP382)</f>
        <v>41.2923637135213</v>
      </c>
      <c r="AR382" s="12">
        <f>AR295-AQ295</f>
        <v>25.3664537201235</v>
      </c>
      <c r="AS382" s="12">
        <f>AS295-AR295</f>
        <v>94.6001476148223</v>
      </c>
      <c r="AT382" s="12">
        <f>AT295-AS295</f>
        <v>-132.06929735109</v>
      </c>
      <c r="AU382" s="12">
        <f>AU295-AT295</f>
        <v>58.6644904464722</v>
      </c>
      <c r="AV382" s="12">
        <f>SUM(AR382:AU382)</f>
        <v>46.5617944303285</v>
      </c>
      <c r="AW382" s="12">
        <f>AW295-AV295</f>
        <v>31.8778670801606</v>
      </c>
      <c r="AX382" s="12">
        <f>AX295-AW295</f>
        <v>105.001444761651</v>
      </c>
      <c r="AY382" s="12">
        <f>AY295-AX295</f>
        <v>-152.307870529428</v>
      </c>
      <c r="AZ382" s="12">
        <f>AZ295-AY295</f>
        <v>67.6543586950677</v>
      </c>
      <c r="BA382" s="12">
        <f>SUM(AW382:AZ382)</f>
        <v>52.2258000074507</v>
      </c>
      <c r="BB382" s="12">
        <f>BB295-BA295</f>
        <v>34.8994788525001</v>
      </c>
      <c r="BC382" s="12">
        <f>BC295-BB295</f>
        <v>120.567076817846</v>
      </c>
      <c r="BD382" s="12">
        <f>BD295-BC295</f>
        <v>-174.886305305305</v>
      </c>
      <c r="BE382" s="12">
        <f>BE295-BD295</f>
        <v>77.6835812151554</v>
      </c>
      <c r="BF382" s="12">
        <f>SUM(BB382:BE382)</f>
        <v>58.2638315801968</v>
      </c>
      <c r="BG382" s="12" t="n"/>
      <c r="BH382" s="12" t="n"/>
      <c r="BI382" s="12" t="n"/>
      <c r="BJ382" s="12" t="n"/>
      <c r="BK382" s="12" t="n"/>
      <c r="BL382" s="12" t="n"/>
      <c r="BM382" s="12" t="n"/>
      <c r="BN382" s="12" t="n"/>
      <c r="BO382" s="12" t="n"/>
      <c r="BP382" s="12" t="n"/>
      <c r="BQ382" s="12" t="n"/>
      <c r="BR382" s="12" t="n"/>
      <c r="BS382" s="12" t="n"/>
      <c r="BT382" s="12" t="n"/>
      <c r="BU382" s="12" t="n"/>
      <c r="BV382" s="12" t="n"/>
      <c r="BW382" s="12" t="n"/>
      <c r="BX382" s="12" t="n"/>
      <c r="BY382" s="12" t="n"/>
      <c r="BZ382" s="12" t="n"/>
      <c r="CA382" s="12" t="n"/>
      <c r="CB382" s="12" t="n"/>
      <c r="CC382" s="12" t="n"/>
      <c r="CD382" s="12" t="n"/>
      <c r="CE382" s="12" t="n"/>
      <c r="CF382" s="12" t="n"/>
      <c r="CG382" s="12" t="n"/>
      <c r="CH382" s="12" t="n"/>
      <c r="CI382" s="12" t="n"/>
      <c r="CJ382" s="12" t="n"/>
      <c r="CK382" s="12" t="n"/>
      <c r="CL382" s="12" t="n"/>
      <c r="CM382" s="12" t="n"/>
      <c r="CN382" s="12" t="n"/>
      <c r="CO382" s="12" t="n"/>
      <c r="CP382" s="12" t="n"/>
      <c r="CQ382" s="12" t="n"/>
      <c r="CR382" s="12" t="n"/>
      <c r="CS382" s="12" t="n"/>
      <c r="CT382" s="12" t="n"/>
      <c r="CU382" s="12" t="n"/>
      <c r="CV382" s="12" t="n"/>
      <c r="CW382" s="12" t="n"/>
      <c r="CX382" s="12" t="n"/>
      <c r="CY382" s="12" t="n"/>
    </row>
    <row r="383" hidden="1" outlineLevel="1">
      <c r="C383" s="10" t="inlineStr">
        <is>
          <t>Accrued expenses</t>
        </is>
      </c>
      <c r="D383" s="12" t="n"/>
      <c r="E383" s="12" t="n"/>
      <c r="F383" s="12" t="n"/>
      <c r="G383" s="12" t="n"/>
      <c r="H383" s="12" t="n"/>
      <c r="I383" s="12" t="n"/>
      <c r="J383" s="12">
        <f>J299-I299</f>
        <v>-24.211</v>
      </c>
      <c r="K383" s="12">
        <f>K299-J299</f>
        <v>4.417</v>
      </c>
      <c r="L383" s="12">
        <f>L299-K299</f>
        <v>6.773</v>
      </c>
      <c r="M383" s="12" t="n"/>
      <c r="N383" s="12">
        <f>N299-M299</f>
        <v>4.569</v>
      </c>
      <c r="O383" s="12">
        <f>O299-N299</f>
        <v>-12.15</v>
      </c>
      <c r="P383" s="12">
        <f>P299-O299</f>
        <v>2.908</v>
      </c>
      <c r="Q383" s="12">
        <f>Q299-P299</f>
        <v>5.13200000000001</v>
      </c>
      <c r="R383" s="12">
        <f>SUM(N383:Q383)</f>
        <v>0.459000000000003</v>
      </c>
      <c r="S383" s="12">
        <f>S299-R299</f>
        <v>5.71899999999999</v>
      </c>
      <c r="T383" s="12">
        <f>T299-S299</f>
        <v>-12.155</v>
      </c>
      <c r="U383" s="12">
        <f>U299-T299</f>
        <v>7.256</v>
      </c>
      <c r="V383" s="12">
        <f>V299-U299</f>
        <v>-0.491</v>
      </c>
      <c r="W383" s="12">
        <f>SUM(S383:V383)</f>
        <v>0.329000000000001</v>
      </c>
      <c r="X383" s="12">
        <f>X299-W299</f>
        <v>6.064</v>
      </c>
      <c r="Y383" s="12">
        <f>Y299-X299</f>
        <v>-10.741</v>
      </c>
      <c r="Z383" s="12">
        <f>Z299-Y299</f>
        <v>7.79000000000001</v>
      </c>
      <c r="AA383" s="12">
        <f>AA299-Z299</f>
        <v>-1.429</v>
      </c>
      <c r="AB383" s="12">
        <f>SUM(X383:AA383)</f>
        <v>1.684</v>
      </c>
      <c r="AC383" s="12">
        <f>AC299-AB299</f>
        <v>6.497</v>
      </c>
      <c r="AD383" s="12">
        <f>AD299-AC299</f>
        <v>-6.714</v>
      </c>
      <c r="AE383" s="12">
        <f>AE299-AD299</f>
        <v>4.489</v>
      </c>
      <c r="AF383" s="12">
        <f>AF299-AE299</f>
        <v>-4.278</v>
      </c>
      <c r="AG383" s="12">
        <f>SUM(AC383:AF383)</f>
        <v>-0.00600000000000023</v>
      </c>
      <c r="AH383" s="12">
        <f>AH299-AG299</f>
        <v>6.924</v>
      </c>
      <c r="AI383" s="12">
        <f>AI299-AH299</f>
        <v>-7.095</v>
      </c>
      <c r="AJ383" s="12">
        <f>AJ299-AI299</f>
        <v>7.69865950209808</v>
      </c>
      <c r="AK383" s="12">
        <f>AK299-AJ299</f>
        <v>8.95540465443254</v>
      </c>
      <c r="AL383" s="12">
        <f>SUM(AH383:AK383)</f>
        <v>16.4830641565306</v>
      </c>
      <c r="AM383" s="12">
        <f>AM299-AL299</f>
        <v>10.4173034932608</v>
      </c>
      <c r="AN383" s="12">
        <f>AN299-AM299</f>
        <v>12.1178457320732</v>
      </c>
      <c r="AO383" s="12">
        <f>AO299-AN299</f>
        <v>14.0959880146835</v>
      </c>
      <c r="AP383" s="12">
        <f>AP299-AO299</f>
        <v>16.3970463482791</v>
      </c>
      <c r="AQ383" s="12">
        <f>SUM(AM383:AP383)</f>
        <v>53.0281835882967</v>
      </c>
      <c r="AR383" s="12">
        <f>AR299-AQ299</f>
        <v>18.4895179803703</v>
      </c>
      <c r="AS383" s="12">
        <f>AS299-AR299</f>
        <v>21.4153376725191</v>
      </c>
      <c r="AT383" s="12">
        <f>AT299-AS299</f>
        <v>24.804145144017</v>
      </c>
      <c r="AU383" s="12">
        <f>AU299-AT299</f>
        <v>28.7292045417974</v>
      </c>
      <c r="AV383" s="12">
        <f>SUM(AR383:AU383)</f>
        <v>93.4382053387038</v>
      </c>
      <c r="AW383" s="12">
        <f>AW299-AV299</f>
        <v>32.2239662180148</v>
      </c>
      <c r="AX383" s="12">
        <f>AX299-AW299</f>
        <v>37.1620336680589</v>
      </c>
      <c r="AY383" s="12">
        <f>AY299-AX299</f>
        <v>42.8568208209542</v>
      </c>
      <c r="AZ383" s="12">
        <f>AZ299-AY299</f>
        <v>49.4242889742076</v>
      </c>
      <c r="BA383" s="12">
        <f>SUM(AW383:AZ383)</f>
        <v>161.667109681235</v>
      </c>
      <c r="BB383" s="12">
        <f>BB299-BA299</f>
        <v>55.1384267613591</v>
      </c>
      <c r="BC383" s="12">
        <f>BC299-BB299</f>
        <v>63.312261560233</v>
      </c>
      <c r="BD383" s="12">
        <f>BD299-BC299</f>
        <v>72.6978025909231</v>
      </c>
      <c r="BE383" s="12">
        <f>BE299-BD299</f>
        <v>83.4746756996019</v>
      </c>
      <c r="BF383" s="12">
        <f>SUM(BB383:BE383)</f>
        <v>274.623166612117</v>
      </c>
      <c r="BG383" s="12" t="n"/>
      <c r="BH383" s="12" t="n"/>
      <c r="BI383" s="12" t="n"/>
      <c r="BJ383" s="12" t="n"/>
      <c r="BK383" s="12" t="n"/>
      <c r="BL383" s="12" t="n"/>
      <c r="BM383" s="12" t="n"/>
      <c r="BN383" s="12" t="n"/>
      <c r="BO383" s="12" t="n"/>
      <c r="BP383" s="12" t="n"/>
      <c r="BQ383" s="12" t="n"/>
      <c r="BR383" s="12" t="n"/>
      <c r="BS383" s="12" t="n"/>
      <c r="BT383" s="12" t="n"/>
      <c r="BU383" s="12" t="n"/>
      <c r="BV383" s="12" t="n"/>
      <c r="BW383" s="12" t="n"/>
      <c r="BX383" s="12" t="n"/>
      <c r="BY383" s="12" t="n"/>
      <c r="BZ383" s="12" t="n"/>
      <c r="CA383" s="12" t="n"/>
      <c r="CB383" s="12" t="n"/>
      <c r="CC383" s="12" t="n"/>
      <c r="CD383" s="12" t="n"/>
      <c r="CE383" s="12" t="n"/>
      <c r="CF383" s="12" t="n"/>
      <c r="CG383" s="12" t="n"/>
      <c r="CH383" s="12" t="n"/>
      <c r="CI383" s="12" t="n"/>
      <c r="CJ383" s="12" t="n"/>
      <c r="CK383" s="12" t="n"/>
      <c r="CL383" s="12" t="n"/>
      <c r="CM383" s="12" t="n"/>
      <c r="CN383" s="12" t="n"/>
      <c r="CO383" s="12" t="n"/>
      <c r="CP383" s="12" t="n"/>
      <c r="CQ383" s="12" t="n"/>
      <c r="CR383" s="12" t="n"/>
      <c r="CS383" s="12" t="n"/>
      <c r="CT383" s="12" t="n"/>
      <c r="CU383" s="12" t="n"/>
      <c r="CV383" s="12" t="n"/>
      <c r="CW383" s="12" t="n"/>
      <c r="CX383" s="12" t="n"/>
      <c r="CY383" s="12" t="n"/>
    </row>
    <row r="384" hidden="1" outlineLevel="1">
      <c r="C384" s="10" t="inlineStr">
        <is>
          <t>Taxes payable</t>
        </is>
      </c>
      <c r="D384" s="12" t="n"/>
      <c r="E384" s="12" t="n"/>
      <c r="F384" s="12" t="n"/>
      <c r="G384" s="12" t="n"/>
      <c r="H384" s="12" t="n"/>
      <c r="I384" s="12" t="n"/>
      <c r="J384" s="12">
        <f>J301-I301</f>
        <v>19.41</v>
      </c>
      <c r="K384" s="12">
        <f>K301-J301</f>
        <v>16.869</v>
      </c>
      <c r="L384" s="12">
        <f>L301-K301</f>
        <v>11.563</v>
      </c>
      <c r="M384" s="12" t="n"/>
      <c r="N384" s="12">
        <f>N301-M301</f>
        <v>-26.304</v>
      </c>
      <c r="O384" s="12">
        <f>O301-N301</f>
        <v>14.265</v>
      </c>
      <c r="P384" s="12">
        <f>P301-O301</f>
        <v>43.754</v>
      </c>
      <c r="Q384" s="12">
        <f>Q301-P301</f>
        <v>49.781</v>
      </c>
      <c r="R384" s="12">
        <f>SUM(N384:Q384)</f>
        <v>81.496</v>
      </c>
      <c r="S384" s="12">
        <f>S301-R301</f>
        <v>-75.013</v>
      </c>
      <c r="T384" s="12">
        <f>T301-S301</f>
        <v>33.073</v>
      </c>
      <c r="U384" s="12">
        <f>U301-T301</f>
        <v>28.783</v>
      </c>
      <c r="V384" s="12">
        <f>V301-U301</f>
        <v>-22.415</v>
      </c>
      <c r="W384" s="12">
        <f>SUM(S384:V384)</f>
        <v>-35.572</v>
      </c>
      <c r="X384" s="12">
        <f>X301-W301</f>
        <v>-20.939</v>
      </c>
      <c r="Y384" s="12">
        <f>Y301-X301</f>
        <v>25.326</v>
      </c>
      <c r="Z384" s="12">
        <f>Z301-Y301</f>
        <v>11.024</v>
      </c>
      <c r="AA384" s="12">
        <f>AA301-Z301</f>
        <v>-18.337</v>
      </c>
      <c r="AB384" s="12">
        <f>SUM(X384:AA384)</f>
        <v>-2.92600000000002</v>
      </c>
      <c r="AC384" s="12">
        <f>AC301-AB301</f>
        <v>-30.574</v>
      </c>
      <c r="AD384" s="12">
        <f>AD301-AC301</f>
        <v>29.403</v>
      </c>
      <c r="AE384" s="12">
        <f>AE301-AD301</f>
        <v>27.818</v>
      </c>
      <c r="AF384" s="12">
        <f>AF301-AE301</f>
        <v>-25.19</v>
      </c>
      <c r="AG384" s="12">
        <f>SUM(AC384:AF384)</f>
        <v>1.45700000000002</v>
      </c>
      <c r="AH384" s="12">
        <f>AH301-AG301</f>
        <v>15.812</v>
      </c>
      <c r="AI384" s="12">
        <f>AI301-AH301</f>
        <v>32.184</v>
      </c>
      <c r="AJ384" s="12">
        <f>AJ301-AI301</f>
        <v>34.0201381695839</v>
      </c>
      <c r="AK384" s="12">
        <f>AK301-AJ301</f>
        <v>39.5736561183542</v>
      </c>
      <c r="AL384" s="12">
        <f>SUM(AH384:AK384)</f>
        <v>121.589794287938</v>
      </c>
      <c r="AM384" s="12">
        <f>AM301-AL301</f>
        <v>46.0337418609875</v>
      </c>
      <c r="AN384" s="12">
        <f>AN301-AM301</f>
        <v>53.5483854053403</v>
      </c>
      <c r="AO384" s="12">
        <f>AO301-AN301</f>
        <v>62.2897349552403</v>
      </c>
      <c r="AP384" s="12">
        <f>AP301-AO301</f>
        <v>72.4580405445266</v>
      </c>
      <c r="AQ384" s="12">
        <f>SUM(AM384:AP384)</f>
        <v>234.329902766095</v>
      </c>
      <c r="AR384" s="12">
        <f>AR301-AQ301</f>
        <v>81.7046079528237</v>
      </c>
      <c r="AS384" s="12">
        <f>AS301-AR301</f>
        <v>94.6337146575773</v>
      </c>
      <c r="AT384" s="12">
        <f>AT301-AS301</f>
        <v>109.608750036016</v>
      </c>
      <c r="AU384" s="12">
        <f>AU301-AT301</f>
        <v>126.953466086898</v>
      </c>
      <c r="AV384" s="12">
        <f>SUM(AR384:AU384)</f>
        <v>412.900538733316</v>
      </c>
      <c r="AW384" s="12">
        <f>AW301-AV301</f>
        <v>142.396709818132</v>
      </c>
      <c r="AX384" s="12">
        <f>AX301-AW301</f>
        <v>164.217877112963</v>
      </c>
      <c r="AY384" s="12">
        <f>AY301-AX301</f>
        <v>189.382965364375</v>
      </c>
      <c r="AZ384" s="12">
        <f>AZ301-AY301</f>
        <v>218.404403958605</v>
      </c>
      <c r="BA384" s="12">
        <f>SUM(AW384:AZ384)</f>
        <v>714.401956254076</v>
      </c>
      <c r="BB384" s="12">
        <f>BB301-BA301</f>
        <v>243.655002064153</v>
      </c>
      <c r="BC384" s="12">
        <f>BC301-BB301</f>
        <v>279.774925169891</v>
      </c>
      <c r="BD384" s="12">
        <f>BD301-BC301</f>
        <v>321.24934062798</v>
      </c>
      <c r="BE384" s="12">
        <f>BE301-BD301</f>
        <v>368.872009495645</v>
      </c>
      <c r="BF384" s="12">
        <f>SUM(BB384:BE384)</f>
        <v>1213.55127735767</v>
      </c>
      <c r="BG384" s="12" t="n"/>
      <c r="BH384" s="12" t="n"/>
      <c r="BI384" s="12" t="n"/>
      <c r="BJ384" s="12" t="n"/>
      <c r="BK384" s="12" t="n"/>
      <c r="BL384" s="12" t="n"/>
      <c r="BM384" s="12" t="n"/>
      <c r="BN384" s="12" t="n"/>
      <c r="BO384" s="12" t="n"/>
      <c r="BP384" s="12" t="n"/>
      <c r="BQ384" s="12" t="n"/>
      <c r="BR384" s="12" t="n"/>
      <c r="BS384" s="12" t="n"/>
      <c r="BT384" s="12" t="n"/>
      <c r="BU384" s="12" t="n"/>
      <c r="BV384" s="12" t="n"/>
      <c r="BW384" s="12" t="n"/>
      <c r="BX384" s="12" t="n"/>
      <c r="BY384" s="12" t="n"/>
      <c r="BZ384" s="12" t="n"/>
      <c r="CA384" s="12" t="n"/>
      <c r="CB384" s="12" t="n"/>
      <c r="CC384" s="12" t="n"/>
      <c r="CD384" s="12" t="n"/>
      <c r="CE384" s="12" t="n"/>
      <c r="CF384" s="12" t="n"/>
      <c r="CG384" s="12" t="n"/>
      <c r="CH384" s="12" t="n"/>
      <c r="CI384" s="12" t="n"/>
      <c r="CJ384" s="12" t="n"/>
      <c r="CK384" s="12" t="n"/>
      <c r="CL384" s="12" t="n"/>
      <c r="CM384" s="12" t="n"/>
      <c r="CN384" s="12" t="n"/>
      <c r="CO384" s="12" t="n"/>
      <c r="CP384" s="12" t="n"/>
      <c r="CQ384" s="12" t="n"/>
      <c r="CR384" s="12" t="n"/>
      <c r="CS384" s="12" t="n"/>
      <c r="CT384" s="12" t="n"/>
      <c r="CU384" s="12" t="n"/>
      <c r="CV384" s="12" t="n"/>
      <c r="CW384" s="12" t="n"/>
      <c r="CX384" s="12" t="n"/>
      <c r="CY384" s="12" t="n"/>
    </row>
    <row r="385" hidden="1" outlineLevel="1">
      <c r="C385" s="10" t="inlineStr">
        <is>
          <t>Other current liabilities (non-debt)</t>
        </is>
      </c>
      <c r="D385" s="12" t="n"/>
      <c r="E385" s="12" t="n"/>
      <c r="F385" s="12" t="n"/>
      <c r="G385" s="12" t="n"/>
      <c r="H385" s="12" t="n"/>
      <c r="I385" s="12" t="n"/>
      <c r="J385" s="12">
        <f>J302-I302</f>
        <v>-301.261</v>
      </c>
      <c r="K385" s="12">
        <f>K302-J302</f>
        <v>-162.939</v>
      </c>
      <c r="L385" s="12">
        <f>L302-K302</f>
        <v>234.614</v>
      </c>
      <c r="M385" s="12" t="n"/>
      <c r="N385" s="12">
        <f>N302-M302</f>
        <v>182.801</v>
      </c>
      <c r="O385" s="12">
        <f>O302-N302</f>
        <v>-286.58</v>
      </c>
      <c r="P385" s="12">
        <f>P302-O302</f>
        <v>-38.9419999999999</v>
      </c>
      <c r="Q385" s="12">
        <f>Q302-P302</f>
        <v>271.529</v>
      </c>
      <c r="R385" s="12">
        <f>SUM(N385:Q385)</f>
        <v>128.808</v>
      </c>
      <c r="S385" s="12">
        <f>S302-R302</f>
        <v>51.3019999999999</v>
      </c>
      <c r="T385" s="12">
        <f>T302-S302</f>
        <v>-485.895</v>
      </c>
      <c r="U385" s="12">
        <f>U302-T302</f>
        <v>130.468</v>
      </c>
      <c r="V385" s="12">
        <f>V302-U302</f>
        <v>93.318</v>
      </c>
      <c r="W385" s="12">
        <f>SUM(S385:V385)</f>
        <v>-210.807</v>
      </c>
      <c r="X385" s="12">
        <f>X302-W302</f>
        <v>-30.2380000000001</v>
      </c>
      <c r="Y385" s="12">
        <f>Y302-X302</f>
        <v>98.192</v>
      </c>
      <c r="Z385" s="12">
        <f>Z302-Y302</f>
        <v>-308.647</v>
      </c>
      <c r="AA385" s="12">
        <f>AA302-Z302</f>
        <v>208.623</v>
      </c>
      <c r="AB385" s="12">
        <f>SUM(X385:AA385)</f>
        <v>-32.0700000000001</v>
      </c>
      <c r="AC385" s="12">
        <f>AC302-AB302</f>
        <v>-62.462</v>
      </c>
      <c r="AD385" s="12">
        <f>AD302-AC302</f>
        <v>48.747</v>
      </c>
      <c r="AE385" s="12">
        <f>AE302-AD302</f>
        <v>-94.555</v>
      </c>
      <c r="AF385" s="12">
        <f>AF302-AE302</f>
        <v>129.652</v>
      </c>
      <c r="AG385" s="12">
        <f>SUM(AC385:AF385)</f>
        <v>21.3820000000001</v>
      </c>
      <c r="AH385" s="12">
        <f>AH302-AG302</f>
        <v>-197.144</v>
      </c>
      <c r="AI385" s="12">
        <f>AI302-AH302</f>
        <v>97.979</v>
      </c>
      <c r="AJ385" s="12">
        <f>AJ302-AI302</f>
        <v>0</v>
      </c>
      <c r="AK385" s="12">
        <f>AK302-AJ302</f>
        <v>0</v>
      </c>
      <c r="AL385" s="12">
        <f>SUM(AH385:AK385)</f>
        <v>-99.1650000000001</v>
      </c>
      <c r="AM385" s="12">
        <f>AM302-AL302</f>
        <v>0</v>
      </c>
      <c r="AN385" s="12">
        <f>AN302-AM302</f>
        <v>0</v>
      </c>
      <c r="AO385" s="12">
        <f>AO302-AN302</f>
        <v>0</v>
      </c>
      <c r="AP385" s="12">
        <f>AP302-AO302</f>
        <v>0</v>
      </c>
      <c r="AQ385" s="12">
        <f>SUM(AM385:AP385)</f>
        <v>0</v>
      </c>
      <c r="AR385" s="12">
        <f>AR302-AQ302</f>
        <v>0</v>
      </c>
      <c r="AS385" s="12">
        <f>AS302-AR302</f>
        <v>0</v>
      </c>
      <c r="AT385" s="12">
        <f>AT302-AS302</f>
        <v>0</v>
      </c>
      <c r="AU385" s="12">
        <f>AU302-AT302</f>
        <v>0</v>
      </c>
      <c r="AV385" s="12">
        <f>SUM(AR385:AU385)</f>
        <v>0</v>
      </c>
      <c r="AW385" s="12">
        <f>AW302-AV302</f>
        <v>0</v>
      </c>
      <c r="AX385" s="12">
        <f>AX302-AW302</f>
        <v>0</v>
      </c>
      <c r="AY385" s="12">
        <f>AY302-AX302</f>
        <v>0</v>
      </c>
      <c r="AZ385" s="12">
        <f>AZ302-AY302</f>
        <v>0</v>
      </c>
      <c r="BA385" s="12">
        <f>SUM(AW385:AZ385)</f>
        <v>0</v>
      </c>
      <c r="BB385" s="12">
        <f>BB302-BA302</f>
        <v>0</v>
      </c>
      <c r="BC385" s="12">
        <f>BC302-BB302</f>
        <v>0</v>
      </c>
      <c r="BD385" s="12">
        <f>BD302-BC302</f>
        <v>0</v>
      </c>
      <c r="BE385" s="12">
        <f>BE302-BD302</f>
        <v>0</v>
      </c>
      <c r="BF385" s="12">
        <f>SUM(BB385:BE385)</f>
        <v>0</v>
      </c>
      <c r="BG385" s="12" t="n"/>
      <c r="BH385" s="12" t="n"/>
      <c r="BI385" s="12" t="n"/>
      <c r="BJ385" s="12" t="n"/>
      <c r="BK385" s="12" t="n"/>
      <c r="BL385" s="12" t="n"/>
      <c r="BM385" s="12" t="n"/>
      <c r="BN385" s="12" t="n"/>
      <c r="BO385" s="12" t="n"/>
      <c r="BP385" s="12" t="n"/>
      <c r="BQ385" s="12" t="n"/>
      <c r="BR385" s="12" t="n"/>
      <c r="BS385" s="12" t="n"/>
      <c r="BT385" s="12" t="n"/>
      <c r="BU385" s="12" t="n"/>
      <c r="BV385" s="12" t="n"/>
      <c r="BW385" s="12" t="n"/>
      <c r="BX385" s="12" t="n"/>
      <c r="BY385" s="12" t="n"/>
      <c r="BZ385" s="12" t="n"/>
      <c r="CA385" s="12" t="n"/>
      <c r="CB385" s="12" t="n"/>
      <c r="CC385" s="12" t="n"/>
      <c r="CD385" s="12" t="n"/>
      <c r="CE385" s="12" t="n"/>
      <c r="CF385" s="12" t="n"/>
      <c r="CG385" s="12" t="n"/>
      <c r="CH385" s="12" t="n"/>
      <c r="CI385" s="12" t="n"/>
      <c r="CJ385" s="12" t="n"/>
      <c r="CK385" s="12" t="n"/>
      <c r="CL385" s="12" t="n"/>
      <c r="CM385" s="12" t="n"/>
      <c r="CN385" s="12" t="n"/>
      <c r="CO385" s="12" t="n"/>
      <c r="CP385" s="12" t="n"/>
      <c r="CQ385" s="12" t="n"/>
      <c r="CR385" s="12" t="n"/>
      <c r="CS385" s="12" t="n"/>
      <c r="CT385" s="12" t="n"/>
      <c r="CU385" s="12" t="n"/>
      <c r="CV385" s="12" t="n"/>
      <c r="CW385" s="12" t="n"/>
      <c r="CX385" s="12" t="n"/>
      <c r="CY385" s="12" t="n"/>
    </row>
    <row r="386" hidden="1" outlineLevel="1">
      <c r="C386" s="10" t="inlineStr">
        <is>
          <t>Deferred income taxes</t>
        </is>
      </c>
      <c r="D386" s="12" t="n"/>
      <c r="E386" s="12" t="n"/>
      <c r="F386" s="12" t="n"/>
      <c r="G386" s="12" t="n"/>
      <c r="H386" s="12" t="n"/>
      <c r="I386" s="12" t="n"/>
      <c r="J386" s="12">
        <f>J336-I336</f>
        <v>197.449</v>
      </c>
      <c r="K386" s="12">
        <f>K336-J336</f>
        <v>118.303</v>
      </c>
      <c r="L386" s="12">
        <f>L336-K336</f>
        <v>144.239</v>
      </c>
      <c r="M386" s="12" t="n"/>
      <c r="N386" s="12">
        <f>N336-M336</f>
        <v>97.4540000000002</v>
      </c>
      <c r="O386" s="12">
        <f>O336-N336</f>
        <v>111.476</v>
      </c>
      <c r="P386" s="12">
        <f>P336-O336</f>
        <v>-21.8530000000001</v>
      </c>
      <c r="Q386" s="12">
        <f>Q336-P336</f>
        <v>-58.529</v>
      </c>
      <c r="R386" s="12">
        <f>SUM(N386:Q386)</f>
        <v>128.548</v>
      </c>
      <c r="S386" s="12">
        <f>S336-R336</f>
        <v>78.5640000000003</v>
      </c>
      <c r="T386" s="12">
        <f>T336-S336</f>
        <v>29.527</v>
      </c>
      <c r="U386" s="12">
        <f>U336-T336</f>
        <v>-13.3120000000004</v>
      </c>
      <c r="V386" s="12">
        <f>V336-U336</f>
        <v>95.4750000000004</v>
      </c>
      <c r="W386" s="12">
        <f>SUM(S386:V386)</f>
        <v>190.254</v>
      </c>
      <c r="X386" s="12">
        <f>X336-W336</f>
        <v>79.3829999999998</v>
      </c>
      <c r="Y386" s="12">
        <f>Y336-X336</f>
        <v>76.5070000000001</v>
      </c>
      <c r="Z386" s="12">
        <f>Z336-Y336</f>
        <v>-210.711</v>
      </c>
      <c r="AA386" s="12">
        <f>AA336-Z336</f>
        <v>45.3200000000002</v>
      </c>
      <c r="AB386" s="12">
        <f>SUM(X386:AA386)</f>
        <v>-9.5010000000002</v>
      </c>
      <c r="AC386" s="12">
        <f>AC336-AB336</f>
        <v>157.347</v>
      </c>
      <c r="AD386" s="12">
        <f>AD336-AC336</f>
        <v>43.2239999999997</v>
      </c>
      <c r="AE386" s="12">
        <f>AE336-AD336</f>
        <v>154.189</v>
      </c>
      <c r="AF386" s="12">
        <f>AF336-AE336</f>
        <v>96.9749999999999</v>
      </c>
      <c r="AG386" s="12">
        <f>SUM(AC386:AF386)</f>
        <v>451.735</v>
      </c>
      <c r="AH386" s="12">
        <f>AH336-AG336</f>
        <v>43.6990000000001</v>
      </c>
      <c r="AI386" s="12">
        <f>AI336-AH336</f>
        <v>13.9949999999999</v>
      </c>
      <c r="AJ386" s="12">
        <f>AJ336-AI336</f>
        <v>0</v>
      </c>
      <c r="AK386" s="12">
        <f>AK336-AJ336</f>
        <v>0</v>
      </c>
      <c r="AL386" s="12">
        <f>SUM(AH386:AK386)</f>
        <v>57.694</v>
      </c>
      <c r="AM386" s="12">
        <f>AM336-AL336</f>
        <v>0</v>
      </c>
      <c r="AN386" s="12">
        <f>AN336-AM336</f>
        <v>0</v>
      </c>
      <c r="AO386" s="12">
        <f>AO336-AN336</f>
        <v>0</v>
      </c>
      <c r="AP386" s="12">
        <f>AP336-AO336</f>
        <v>0</v>
      </c>
      <c r="AQ386" s="12">
        <f>SUM(AM386:AP386)</f>
        <v>0</v>
      </c>
      <c r="AR386" s="12">
        <f>AR336-AQ336</f>
        <v>0</v>
      </c>
      <c r="AS386" s="12">
        <f>AS336-AR336</f>
        <v>0</v>
      </c>
      <c r="AT386" s="12">
        <f>AT336-AS336</f>
        <v>0</v>
      </c>
      <c r="AU386" s="12">
        <f>AU336-AT336</f>
        <v>0</v>
      </c>
      <c r="AV386" s="12">
        <f>SUM(AR386:AU386)</f>
        <v>0</v>
      </c>
      <c r="AW386" s="12">
        <f>AW336-AV336</f>
        <v>0</v>
      </c>
      <c r="AX386" s="12">
        <f>AX336-AW336</f>
        <v>0</v>
      </c>
      <c r="AY386" s="12">
        <f>AY336-AX336</f>
        <v>0</v>
      </c>
      <c r="AZ386" s="12">
        <f>AZ336-AY336</f>
        <v>0</v>
      </c>
      <c r="BA386" s="12">
        <f>SUM(AW386:AZ386)</f>
        <v>0</v>
      </c>
      <c r="BB386" s="12">
        <f>BB336-BA336</f>
        <v>0</v>
      </c>
      <c r="BC386" s="12">
        <f>BC336-BB336</f>
        <v>0</v>
      </c>
      <c r="BD386" s="12">
        <f>BD336-BC336</f>
        <v>0</v>
      </c>
      <c r="BE386" s="12">
        <f>BE336-BD336</f>
        <v>0</v>
      </c>
      <c r="BF386" s="12">
        <f>SUM(BB386:BE386)</f>
        <v>0</v>
      </c>
      <c r="BG386" s="12" t="n"/>
      <c r="BH386" s="12" t="n"/>
      <c r="BI386" s="12" t="n"/>
      <c r="BJ386" s="12" t="n"/>
      <c r="BK386" s="12" t="n"/>
      <c r="BL386" s="12" t="n"/>
      <c r="BM386" s="12" t="n"/>
      <c r="BN386" s="12" t="n"/>
      <c r="BO386" s="12" t="n"/>
      <c r="BP386" s="12" t="n"/>
      <c r="BQ386" s="12" t="n"/>
      <c r="BR386" s="12" t="n"/>
      <c r="BS386" s="12" t="n"/>
      <c r="BT386" s="12" t="n"/>
      <c r="BU386" s="12" t="n"/>
      <c r="BV386" s="12" t="n"/>
      <c r="BW386" s="12" t="n"/>
      <c r="BX386" s="12" t="n"/>
      <c r="BY386" s="12" t="n"/>
      <c r="BZ386" s="12" t="n"/>
      <c r="CA386" s="12" t="n"/>
      <c r="CB386" s="12" t="n"/>
      <c r="CC386" s="12" t="n"/>
      <c r="CD386" s="12" t="n"/>
      <c r="CE386" s="12" t="n"/>
      <c r="CF386" s="12" t="n"/>
      <c r="CG386" s="12" t="n"/>
      <c r="CH386" s="12" t="n"/>
      <c r="CI386" s="12" t="n"/>
      <c r="CJ386" s="12" t="n"/>
      <c r="CK386" s="12" t="n"/>
      <c r="CL386" s="12" t="n"/>
      <c r="CM386" s="12" t="n"/>
      <c r="CN386" s="12" t="n"/>
      <c r="CO386" s="12" t="n"/>
      <c r="CP386" s="12" t="n"/>
      <c r="CQ386" s="12" t="n"/>
      <c r="CR386" s="12" t="n"/>
      <c r="CS386" s="12" t="n"/>
      <c r="CT386" s="12" t="n"/>
      <c r="CU386" s="12" t="n"/>
      <c r="CV386" s="12" t="n"/>
      <c r="CW386" s="12" t="n"/>
      <c r="CX386" s="12" t="n"/>
      <c r="CY386" s="12" t="n"/>
    </row>
    <row r="387" collapsed="1">
      <c r="C387" s="10" t="inlineStr">
        <is>
          <t>Equity income in affiliates</t>
        </is>
      </c>
      <c r="D387" s="12" t="n"/>
      <c r="E387" s="12" t="n"/>
      <c r="F387" s="12" t="n"/>
      <c r="G387" s="12" t="n"/>
      <c r="H387" s="12" t="n"/>
      <c r="I387" s="12" t="n"/>
      <c r="J387" s="12">
        <f>(J258-I258)*-1</f>
        <v>-2.10899999999998</v>
      </c>
      <c r="K387" s="12">
        <f>(K258-J258)*-1</f>
        <v>-1.143</v>
      </c>
      <c r="L387" s="12">
        <f>(L258-K258)*-1</f>
        <v>-10.738</v>
      </c>
      <c r="M387" s="12" t="n"/>
      <c r="N387" s="12">
        <f>(N258-M258)*-1</f>
        <v>0.364999999999981</v>
      </c>
      <c r="O387" s="12">
        <f>(O258-N258)*-1</f>
        <v>-2.53299999999999</v>
      </c>
      <c r="P387" s="12">
        <f>(P258-O258)*-1</f>
        <v>-15.164</v>
      </c>
      <c r="Q387" s="12">
        <f>(Q258-P258)*-1</f>
        <v>-7.81</v>
      </c>
      <c r="R387" s="12">
        <f>SUM(N387:Q387)</f>
        <v>-25.142</v>
      </c>
      <c r="S387" s="12">
        <f>(S258-R258)*-1</f>
        <v>-10.602</v>
      </c>
      <c r="T387" s="12">
        <f>(T258-S258)*-1</f>
        <v>-25.824</v>
      </c>
      <c r="U387" s="12">
        <f>(U258-T258)*-1</f>
        <v>-6.24600000000001</v>
      </c>
      <c r="V387" s="12">
        <f>(V258-U258)*-1</f>
        <v>-13.91</v>
      </c>
      <c r="W387" s="12">
        <f>SUM(S387:V387)</f>
        <v>-56.582</v>
      </c>
      <c r="X387" s="12">
        <f>(X258-W258)*-1</f>
        <v>-16.182</v>
      </c>
      <c r="Y387" s="12">
        <f>(Y258-X258)*-1</f>
        <v>-30.808</v>
      </c>
      <c r="Z387" s="12">
        <f>(Z258-Y258)*-1</f>
        <v>-48.416</v>
      </c>
      <c r="AA387" s="12">
        <f>(AA258-Z258)*-1</f>
        <v>-53.597</v>
      </c>
      <c r="AB387" s="12">
        <f>SUM(X387:AA387)</f>
        <v>-149.003</v>
      </c>
      <c r="AC387" s="12">
        <f>(AC258-AB258)*-1</f>
        <v>-49.547</v>
      </c>
      <c r="AD387" s="12">
        <f>(AD258-AC258)*-1</f>
        <v>107.115</v>
      </c>
      <c r="AE387" s="12">
        <f>(AE258-AD258)*-1</f>
        <v>-483.303</v>
      </c>
      <c r="AF387" s="12">
        <f>(AF258-AE258)*-1</f>
        <v>-10.2130000000001</v>
      </c>
      <c r="AG387" s="12">
        <f>SUM(AC387:AF387)</f>
        <v>-435.948</v>
      </c>
      <c r="AH387" s="12">
        <f>(AH258-AG258)*-1</f>
        <v>-24.985</v>
      </c>
      <c r="AI387" s="12">
        <f>(AI258-AH258)*-1</f>
        <v>-29.8589999999999</v>
      </c>
      <c r="AJ387" s="12">
        <f>(AJ258-AI258)*-1</f>
        <v>0</v>
      </c>
      <c r="AK387" s="12">
        <f>(AK258-AJ258)*-1</f>
        <v>0</v>
      </c>
      <c r="AL387" s="12">
        <f>SUM(AH387:AK387)</f>
        <v>-54.8439999999999</v>
      </c>
      <c r="AM387" s="12">
        <f>(AM258-AL258)*-1</f>
        <v>0</v>
      </c>
      <c r="AN387" s="12">
        <f>(AN258-AM258)*-1</f>
        <v>0</v>
      </c>
      <c r="AO387" s="12">
        <f>(AO258-AN258)*-1</f>
        <v>0</v>
      </c>
      <c r="AP387" s="12">
        <f>(AP258-AO258)*-1</f>
        <v>0</v>
      </c>
      <c r="AQ387" s="12">
        <f>SUM(AM387:AP387)</f>
        <v>0</v>
      </c>
      <c r="AR387" s="12">
        <f>(AR258-AQ258)*-1</f>
        <v>0</v>
      </c>
      <c r="AS387" s="12">
        <f>(AS258-AR258)*-1</f>
        <v>0</v>
      </c>
      <c r="AT387" s="12">
        <f>(AT258-AS258)*-1</f>
        <v>0</v>
      </c>
      <c r="AU387" s="12">
        <f>(AU258-AT258)*-1</f>
        <v>0</v>
      </c>
      <c r="AV387" s="12">
        <f>SUM(AR387:AU387)</f>
        <v>0</v>
      </c>
      <c r="AW387" s="12">
        <f>(AW258-AV258)*-1</f>
        <v>0</v>
      </c>
      <c r="AX387" s="12">
        <f>(AX258-AW258)*-1</f>
        <v>0</v>
      </c>
      <c r="AY387" s="12">
        <f>(AY258-AX258)*-1</f>
        <v>0</v>
      </c>
      <c r="AZ387" s="12">
        <f>(AZ258-AY258)*-1</f>
        <v>0</v>
      </c>
      <c r="BA387" s="12">
        <f>SUM(AW387:AZ387)</f>
        <v>0</v>
      </c>
      <c r="BB387" s="12">
        <f>(BB258-BA258)*-1</f>
        <v>0</v>
      </c>
      <c r="BC387" s="12">
        <f>(BC258-BB258)*-1</f>
        <v>0</v>
      </c>
      <c r="BD387" s="12">
        <f>(BD258-BC258)*-1</f>
        <v>0</v>
      </c>
      <c r="BE387" s="12">
        <f>(BE258-BD258)*-1</f>
        <v>0</v>
      </c>
      <c r="BF387" s="12">
        <f>SUM(BB387:BE387)</f>
        <v>0</v>
      </c>
      <c r="BG387" s="12" t="n"/>
      <c r="BH387" s="12" t="n"/>
      <c r="BI387" s="12" t="n"/>
      <c r="BJ387" s="12" t="n"/>
      <c r="BK387" s="12" t="n"/>
      <c r="BL387" s="12" t="n"/>
      <c r="BM387" s="12" t="n"/>
      <c r="BN387" s="12" t="n"/>
      <c r="BO387" s="12" t="n"/>
      <c r="BP387" s="12" t="n"/>
      <c r="BQ387" s="12" t="n"/>
      <c r="BR387" s="12" t="n"/>
      <c r="BS387" s="12" t="n"/>
      <c r="BT387" s="12" t="n"/>
      <c r="BU387" s="12" t="n"/>
      <c r="BV387" s="12" t="n"/>
      <c r="BW387" s="12" t="n"/>
      <c r="BX387" s="12" t="n"/>
      <c r="BY387" s="12" t="n"/>
      <c r="BZ387" s="12" t="n"/>
      <c r="CA387" s="12" t="n"/>
      <c r="CB387" s="12" t="n"/>
      <c r="CC387" s="12" t="n"/>
      <c r="CD387" s="12" t="n"/>
      <c r="CE387" s="12" t="n"/>
      <c r="CF387" s="12" t="n"/>
      <c r="CG387" s="12" t="n"/>
      <c r="CH387" s="12" t="n"/>
      <c r="CI387" s="12" t="n"/>
      <c r="CJ387" s="12" t="n"/>
      <c r="CK387" s="12" t="n"/>
      <c r="CL387" s="12" t="n"/>
      <c r="CM387" s="12" t="n"/>
      <c r="CN387" s="12" t="n"/>
      <c r="CO387" s="12" t="n"/>
      <c r="CP387" s="12" t="n"/>
      <c r="CQ387" s="12" t="n"/>
      <c r="CR387" s="12" t="n"/>
      <c r="CS387" s="12" t="n"/>
      <c r="CT387" s="12" t="n"/>
      <c r="CU387" s="12" t="n"/>
      <c r="CV387" s="12" t="n"/>
      <c r="CW387" s="12" t="n"/>
      <c r="CX387" s="12" t="n"/>
      <c r="CY387" s="12" t="n"/>
    </row>
    <row r="388">
      <c r="C388" s="10" t="inlineStr">
        <is>
          <t>Dividends received from affiliates</t>
        </is>
      </c>
      <c r="D388" s="12" t="n"/>
      <c r="E388" s="12" t="n"/>
      <c r="F388" s="12" t="n"/>
      <c r="G388" s="12" t="n"/>
      <c r="H388" s="12" t="n"/>
      <c r="I388" s="12" t="n"/>
      <c r="J388" s="12">
        <f>-J261</f>
        <v>0</v>
      </c>
      <c r="K388" s="12">
        <f>-K261</f>
        <v>0</v>
      </c>
      <c r="L388" s="12">
        <f>-L261</f>
        <v>0</v>
      </c>
      <c r="M388" s="12" t="n"/>
      <c r="N388" s="12">
        <f>-N261</f>
        <v>0</v>
      </c>
      <c r="O388" s="12">
        <f>-O261</f>
        <v>0</v>
      </c>
      <c r="P388" s="12">
        <f>-P261</f>
        <v>0</v>
      </c>
      <c r="Q388" s="12">
        <f>-Q261</f>
        <v>0</v>
      </c>
      <c r="R388" s="12">
        <f>SUM(N388:Q388)</f>
        <v>0</v>
      </c>
      <c r="S388" s="12">
        <f>-S261</f>
        <v>0</v>
      </c>
      <c r="T388" s="12">
        <f>-T261</f>
        <v>0</v>
      </c>
      <c r="U388" s="12">
        <f>-U261</f>
        <v>0</v>
      </c>
      <c r="V388" s="12">
        <f>-V261</f>
        <v>0</v>
      </c>
      <c r="W388" s="12">
        <f>SUM(S388:V388)</f>
        <v>0</v>
      </c>
      <c r="X388" s="12">
        <f>-X261</f>
        <v>0</v>
      </c>
      <c r="Y388" s="12">
        <f>-Y261</f>
        <v>0</v>
      </c>
      <c r="Z388" s="12">
        <f>-Z261</f>
        <v>0</v>
      </c>
      <c r="AA388" s="12">
        <f>-AA261</f>
        <v>0</v>
      </c>
      <c r="AB388" s="12">
        <f>SUM(X388:AA388)</f>
        <v>0</v>
      </c>
      <c r="AC388" s="12">
        <f>-AC261</f>
        <v>0</v>
      </c>
      <c r="AD388" s="12">
        <f>-AD261</f>
        <v>0</v>
      </c>
      <c r="AE388" s="12">
        <f>-AE261</f>
        <v>0</v>
      </c>
      <c r="AF388" s="12">
        <f>-AF261</f>
        <v>0</v>
      </c>
      <c r="AG388" s="12">
        <f>SUM(AC388:AF388)</f>
        <v>0</v>
      </c>
      <c r="AH388" s="12">
        <f>-AH261</f>
        <v>0</v>
      </c>
      <c r="AI388" s="12">
        <f>-AI261</f>
        <v>0</v>
      </c>
      <c r="AJ388" s="12">
        <f>-AJ261</f>
        <v>0</v>
      </c>
      <c r="AK388" s="12">
        <f>-AK261</f>
        <v>0</v>
      </c>
      <c r="AL388" s="12">
        <f>SUM(AH388:AK388)</f>
        <v>0</v>
      </c>
      <c r="AM388" s="12">
        <f>-AM261</f>
        <v>0</v>
      </c>
      <c r="AN388" s="12">
        <f>-AN261</f>
        <v>0</v>
      </c>
      <c r="AO388" s="12">
        <f>-AO261</f>
        <v>0</v>
      </c>
      <c r="AP388" s="12">
        <f>-AP261</f>
        <v>0</v>
      </c>
      <c r="AQ388" s="12">
        <f>SUM(AM388:AP388)</f>
        <v>0</v>
      </c>
      <c r="AR388" s="12">
        <f>-AR261</f>
        <v>0</v>
      </c>
      <c r="AS388" s="12">
        <f>-AS261</f>
        <v>0</v>
      </c>
      <c r="AT388" s="12">
        <f>-AT261</f>
        <v>0</v>
      </c>
      <c r="AU388" s="12">
        <f>-AU261</f>
        <v>0</v>
      </c>
      <c r="AV388" s="12">
        <f>SUM(AR388:AU388)</f>
        <v>0</v>
      </c>
      <c r="AW388" s="12">
        <f>-AW261</f>
        <v>0</v>
      </c>
      <c r="AX388" s="12">
        <f>-AX261</f>
        <v>0</v>
      </c>
      <c r="AY388" s="12">
        <f>-AY261</f>
        <v>0</v>
      </c>
      <c r="AZ388" s="12">
        <f>-AZ261</f>
        <v>0</v>
      </c>
      <c r="BA388" s="12">
        <f>SUM(AW388:AZ388)</f>
        <v>0</v>
      </c>
      <c r="BB388" s="12">
        <f>-BB261</f>
        <v>0</v>
      </c>
      <c r="BC388" s="12">
        <f>-BC261</f>
        <v>0</v>
      </c>
      <c r="BD388" s="12">
        <f>-BD261</f>
        <v>0</v>
      </c>
      <c r="BE388" s="12">
        <f>-BE261</f>
        <v>0</v>
      </c>
      <c r="BF388" s="12">
        <f>SUM(BB388:BE388)</f>
        <v>0</v>
      </c>
      <c r="BG388" s="12" t="n"/>
      <c r="BH388" s="12" t="n"/>
      <c r="BI388" s="12" t="n"/>
      <c r="BJ388" s="12" t="n"/>
      <c r="BK388" s="12" t="n"/>
      <c r="BL388" s="12" t="n"/>
      <c r="BM388" s="12" t="n"/>
      <c r="BN388" s="12" t="n"/>
      <c r="BO388" s="12" t="n"/>
      <c r="BP388" s="12" t="n"/>
      <c r="BQ388" s="12" t="n"/>
      <c r="BR388" s="12" t="n"/>
      <c r="BS388" s="12" t="n"/>
      <c r="BT388" s="12" t="n"/>
      <c r="BU388" s="12" t="n"/>
      <c r="BV388" s="12" t="n"/>
      <c r="BW388" s="12" t="n"/>
      <c r="BX388" s="12" t="n"/>
      <c r="BY388" s="12" t="n"/>
      <c r="BZ388" s="12" t="n"/>
      <c r="CA388" s="12" t="n"/>
      <c r="CB388" s="12" t="n"/>
      <c r="CC388" s="12" t="n"/>
      <c r="CD388" s="12" t="n"/>
      <c r="CE388" s="12" t="n"/>
      <c r="CF388" s="12" t="n"/>
      <c r="CG388" s="12" t="n"/>
      <c r="CH388" s="12" t="n"/>
      <c r="CI388" s="12" t="n"/>
      <c r="CJ388" s="12" t="n"/>
      <c r="CK388" s="12" t="n"/>
      <c r="CL388" s="12" t="n"/>
      <c r="CM388" s="12" t="n"/>
      <c r="CN388" s="12" t="n"/>
      <c r="CO388" s="12" t="n"/>
      <c r="CP388" s="12" t="n"/>
      <c r="CQ388" s="12" t="n"/>
      <c r="CR388" s="12" t="n"/>
      <c r="CS388" s="12" t="n"/>
      <c r="CT388" s="12" t="n"/>
      <c r="CU388" s="12" t="n"/>
      <c r="CV388" s="12" t="n"/>
      <c r="CW388" s="12" t="n"/>
      <c r="CX388" s="12" t="n"/>
      <c r="CY388" s="12" t="n"/>
    </row>
    <row r="389">
      <c r="C389" s="71" t="inlineStr">
        <is>
          <t>Minority interest expense</t>
        </is>
      </c>
      <c r="D389" s="12" t="n"/>
      <c r="E389" s="12" t="n"/>
      <c r="F389" s="12" t="n"/>
      <c r="G389" s="12" t="n"/>
      <c r="H389" s="12" t="n"/>
      <c r="I389" s="12" t="n"/>
      <c r="J389" s="12">
        <f>-J233</f>
        <v>344.143</v>
      </c>
      <c r="K389" s="12">
        <f>-K233</f>
        <v>188.716</v>
      </c>
      <c r="L389" s="12">
        <f>-L233</f>
        <v>137.085</v>
      </c>
      <c r="M389" s="12" t="n"/>
      <c r="N389" s="12">
        <f>-N233</f>
        <v>307.9</v>
      </c>
      <c r="O389" s="12">
        <f>-O233</f>
        <v>187.923</v>
      </c>
      <c r="P389" s="12">
        <f>-P233</f>
        <v>134.594</v>
      </c>
      <c r="Q389" s="12">
        <f>-Q233</f>
        <v>114.99</v>
      </c>
      <c r="R389" s="12">
        <f>SUM(N389:Q389)</f>
        <v>745.407</v>
      </c>
      <c r="S389" s="12">
        <f>-S233</f>
        <v>156.618</v>
      </c>
      <c r="T389" s="12">
        <f>-T233</f>
        <v>117.395</v>
      </c>
      <c r="U389" s="12">
        <f>-U233</f>
        <v>67.187</v>
      </c>
      <c r="V389" s="12">
        <f>-V233</f>
        <v>115.723</v>
      </c>
      <c r="W389" s="12">
        <f>SUM(S389:V389)</f>
        <v>456.923</v>
      </c>
      <c r="X389" s="12">
        <f>-X233</f>
        <v>147.894</v>
      </c>
      <c r="Y389" s="12">
        <f>-Y233</f>
        <v>156.347</v>
      </c>
      <c r="Z389" s="12">
        <f>-Z233</f>
        <v>281.625</v>
      </c>
      <c r="AA389" s="12">
        <f>-AA233</f>
        <v>187.95</v>
      </c>
      <c r="AB389" s="12">
        <f>SUM(X389:AA389)</f>
        <v>773.816</v>
      </c>
      <c r="AC389" s="12">
        <f>-AC233</f>
        <v>186.523</v>
      </c>
      <c r="AD389" s="12">
        <f>-AD233</f>
        <v>138.966</v>
      </c>
      <c r="AE389" s="12">
        <f>-AE233</f>
        <v>43.206</v>
      </c>
      <c r="AF389" s="12">
        <f>-AF233</f>
        <v>148.939</v>
      </c>
      <c r="AG389" s="12">
        <f>SUM(AC389:AF389)</f>
        <v>517.634</v>
      </c>
      <c r="AH389" s="12">
        <f>-AH233</f>
        <v>139.779</v>
      </c>
      <c r="AI389" s="12">
        <f>-AI233</f>
        <v>295.846</v>
      </c>
      <c r="AJ389" s="12">
        <f>-AJ233</f>
        <v>0</v>
      </c>
      <c r="AK389" s="12">
        <f>-AK233</f>
        <v>0</v>
      </c>
      <c r="AL389" s="12">
        <f>SUM(AH389:AK389)</f>
        <v>435.625</v>
      </c>
      <c r="AM389" s="12">
        <f>-AM233</f>
        <v>0</v>
      </c>
      <c r="AN389" s="12">
        <f>-AN233</f>
        <v>0</v>
      </c>
      <c r="AO389" s="12">
        <f>-AO233</f>
        <v>0</v>
      </c>
      <c r="AP389" s="12">
        <f>-AP233</f>
        <v>0</v>
      </c>
      <c r="AQ389" s="12">
        <f>SUM(AM389:AP389)</f>
        <v>0</v>
      </c>
      <c r="AR389" s="12">
        <f>-AR233</f>
        <v>0</v>
      </c>
      <c r="AS389" s="12">
        <f>-AS233</f>
        <v>0</v>
      </c>
      <c r="AT389" s="12">
        <f>-AT233</f>
        <v>0</v>
      </c>
      <c r="AU389" s="12">
        <f>-AU233</f>
        <v>0</v>
      </c>
      <c r="AV389" s="12">
        <f>SUM(AR389:AU389)</f>
        <v>0</v>
      </c>
      <c r="AW389" s="12">
        <f>-AW233</f>
        <v>0</v>
      </c>
      <c r="AX389" s="12">
        <f>-AX233</f>
        <v>0</v>
      </c>
      <c r="AY389" s="12">
        <f>-AY233</f>
        <v>0</v>
      </c>
      <c r="AZ389" s="12">
        <f>-AZ233</f>
        <v>0</v>
      </c>
      <c r="BA389" s="12">
        <f>SUM(AW389:AZ389)</f>
        <v>0</v>
      </c>
      <c r="BB389" s="12">
        <f>-BB233</f>
        <v>0</v>
      </c>
      <c r="BC389" s="12">
        <f>-BC233</f>
        <v>0</v>
      </c>
      <c r="BD389" s="12">
        <f>-BD233</f>
        <v>0</v>
      </c>
      <c r="BE389" s="12">
        <f>-BE233</f>
        <v>0</v>
      </c>
      <c r="BF389" s="12">
        <f>SUM(BB389:BE389)</f>
        <v>0</v>
      </c>
      <c r="BG389" s="12" t="n"/>
      <c r="BH389" s="12" t="n"/>
      <c r="BI389" s="12" t="n"/>
      <c r="BJ389" s="12" t="n"/>
      <c r="BK389" s="12" t="n"/>
      <c r="BL389" s="12" t="n"/>
      <c r="BM389" s="12" t="n"/>
      <c r="BN389" s="12" t="n"/>
      <c r="BO389" s="12" t="n"/>
      <c r="BP389" s="12" t="n"/>
      <c r="BQ389" s="12" t="n"/>
      <c r="BR389" s="12" t="n"/>
      <c r="BS389" s="12" t="n"/>
      <c r="BT389" s="12" t="n"/>
      <c r="BU389" s="12" t="n"/>
      <c r="BV389" s="12" t="n"/>
      <c r="BW389" s="12" t="n"/>
      <c r="BX389" s="12" t="n"/>
      <c r="BY389" s="12" t="n"/>
      <c r="BZ389" s="12" t="n"/>
      <c r="CA389" s="12" t="n"/>
      <c r="CB389" s="12" t="n"/>
      <c r="CC389" s="12" t="n"/>
      <c r="CD389" s="12" t="n"/>
      <c r="CE389" s="12" t="n"/>
      <c r="CF389" s="12" t="n"/>
      <c r="CG389" s="12" t="n"/>
      <c r="CH389" s="12" t="n"/>
      <c r="CI389" s="12" t="n"/>
      <c r="CJ389" s="12" t="n"/>
      <c r="CK389" s="12" t="n"/>
      <c r="CL389" s="12" t="n"/>
      <c r="CM389" s="12" t="n"/>
      <c r="CN389" s="12" t="n"/>
      <c r="CO389" s="12" t="n"/>
      <c r="CP389" s="12" t="n"/>
      <c r="CQ389" s="12" t="n"/>
      <c r="CR389" s="12" t="n"/>
      <c r="CS389" s="12" t="n"/>
      <c r="CT389" s="12" t="n"/>
      <c r="CU389" s="12" t="n"/>
      <c r="CV389" s="12" t="n"/>
      <c r="CW389" s="12" t="n"/>
      <c r="CX389" s="12" t="n"/>
      <c r="CY389" s="12" t="n"/>
    </row>
    <row r="390">
      <c r="C390" s="14" t="inlineStr">
        <is>
          <t>Cash from operations</t>
        </is>
      </c>
      <c r="D390" s="12" t="n"/>
      <c r="E390" s="12" t="n"/>
      <c r="F390" s="12" t="n"/>
      <c r="G390" s="12" t="n"/>
      <c r="H390" s="12" t="n"/>
      <c r="I390" s="12" t="n"/>
      <c r="J390" s="12">
        <f>SUM(J374,J375,J376,J387,J388,J389)</f>
        <v>553.237</v>
      </c>
      <c r="K390" s="12">
        <f>SUM(K374,K375,K376,K387,K388,K389)</f>
        <v>360.889</v>
      </c>
      <c r="L390" s="12">
        <f>SUM(L374,L375,L376,L387,L388,L389)</f>
        <v>570.339</v>
      </c>
      <c r="M390" s="12" t="n"/>
      <c r="N390" s="12">
        <f>SUM(N374,N375,N376,N387,N388,N389)</f>
        <v>1262.763</v>
      </c>
      <c r="O390" s="12">
        <f>SUM(O374,O375,O376,O387,O388,O389)</f>
        <v>-145.149000000001</v>
      </c>
      <c r="P390" s="12">
        <f>SUM(P374,P375,P376,P387,P388,P389)</f>
        <v>356.448</v>
      </c>
      <c r="Q390" s="12">
        <f>SUM(Q374,Q375,Q376,Q387,Q388,Q389)</f>
        <v>439.66</v>
      </c>
      <c r="R390" s="12">
        <f>SUM(R374,R375,R376,R387,R388,R389)</f>
        <v>1913.722</v>
      </c>
      <c r="S390" s="12">
        <f>SUM(S374,S375,S376,S387,S388,S389)</f>
        <v>346.733</v>
      </c>
      <c r="T390" s="12">
        <f>SUM(T374,T375,T376,T387,T388,T389)</f>
        <v>29.5139999999999</v>
      </c>
      <c r="U390" s="12">
        <f>SUM(U374,U375,U376,U387,U388,U389)</f>
        <v>316.311</v>
      </c>
      <c r="V390" s="12">
        <f>SUM(V374,V375,V376,V387,V388,V389)</f>
        <v>543.898</v>
      </c>
      <c r="W390" s="12">
        <f>SUM(W374,W375,W376,W387,W388,W389)</f>
        <v>1236.456</v>
      </c>
      <c r="X390" s="12">
        <f>SUM(X374,X375,X376,X387,X388,X389)</f>
        <v>441.742</v>
      </c>
      <c r="Y390" s="12">
        <f>SUM(Y374,Y375,Y376,Y387,Y388,Y389)</f>
        <v>536.014</v>
      </c>
      <c r="Z390" s="12">
        <f>SUM(Z374,Z375,Z376,Z387,Z388,Z389)</f>
        <v>109.219</v>
      </c>
      <c r="AA390" s="12">
        <f>SUM(AA374,AA375,AA376,AA387,AA388,AA389)</f>
        <v>599.423</v>
      </c>
      <c r="AB390" s="12">
        <f>SUM(AB374,AB375,AB376,AB387,AB388,AB389)</f>
        <v>1686.398</v>
      </c>
      <c r="AC390" s="12">
        <f>SUM(AC374,AC375,AC376,AC387,AC388,AC389)</f>
        <v>466.879</v>
      </c>
      <c r="AD390" s="12">
        <f>SUM(AD374,AD375,AD376,AD387,AD388,AD389)</f>
        <v>423.903</v>
      </c>
      <c r="AE390" s="12">
        <f>SUM(AE374,AE375,AE376,AE387,AE388,AE389)</f>
        <v>129.516000000001</v>
      </c>
      <c r="AF390" s="12">
        <f>SUM(AF374,AF375,AF376,AF387,AF388,AF389)</f>
        <v>572.159</v>
      </c>
      <c r="AG390" s="12">
        <f>SUM(AG374,AG375,AG376,AG387,AG388,AG389)</f>
        <v>1592.457</v>
      </c>
      <c r="AH390" s="12">
        <f>SUM(AH374,AH375,AH376,AH387,AH388,AH389)</f>
        <v>281.739</v>
      </c>
      <c r="AI390" s="12">
        <f>SUM(AI374,AI375,AI376,AI387,AI388,AI389)</f>
        <v>505.528</v>
      </c>
      <c r="AJ390" s="12">
        <f>SUM(AJ374,AJ375,AJ376,AJ387,AJ388,AJ389)</f>
        <v>729.540908508935</v>
      </c>
      <c r="AK390" s="12">
        <f>SUM(AK374,AK375,AK376,AK387,AK388,AK389)</f>
        <v>835.968492220066</v>
      </c>
      <c r="AL390" s="12">
        <f>SUM(AL374,AL375,AL376,AL387,AL388,AL389)</f>
        <v>2352.776400729</v>
      </c>
      <c r="AM390" s="12">
        <f>SUM(AM374,AM375,AM376,AM387,AM388,AM389)</f>
        <v>908.28147183402</v>
      </c>
      <c r="AN390" s="12">
        <f>SUM(AN374,AN375,AN376,AN387,AN388,AN389)</f>
        <v>1165.0159325433</v>
      </c>
      <c r="AO390" s="12">
        <f>SUM(AO374,AO375,AO376,AO387,AO388,AO389)</f>
        <v>850.732007157393</v>
      </c>
      <c r="AP390" s="12">
        <f>SUM(AP374,AP375,AP376,AP387,AP388,AP389)</f>
        <v>1004.83776511684</v>
      </c>
      <c r="AQ390" s="12">
        <f>SUM(AQ374,AQ375,AQ376,AQ387,AQ388,AQ389)</f>
        <v>3928.86717665155</v>
      </c>
      <c r="AR390" s="12">
        <f>SUM(AR374,AR375,AR376,AR387,AR388,AR389)</f>
        <v>1087.31516096945</v>
      </c>
      <c r="AS390" s="12">
        <f>SUM(AS374,AS375,AS376,AS387,AS388,AS389)</f>
        <v>1388.99698372861</v>
      </c>
      <c r="AT390" s="12">
        <f>SUM(AT374,AT375,AT376,AT387,AT388,AT389)</f>
        <v>1031.2933421955</v>
      </c>
      <c r="AU390" s="12">
        <f>SUM(AU374,AU375,AU376,AU387,AU388,AU389)</f>
        <v>1216.61234857767</v>
      </c>
      <c r="AV390" s="12">
        <f>SUM(AV374,AV375,AV376,AV387,AV388,AV389)</f>
        <v>4724.21783547124</v>
      </c>
      <c r="AW390" s="12">
        <f>SUM(AW374,AW375,AW376,AW387,AW388,AW389)</f>
        <v>1312.74035812252</v>
      </c>
      <c r="AX390" s="12">
        <f>SUM(AX374,AX375,AX376,AX387,AX388,AX389)</f>
        <v>1669.81812864854</v>
      </c>
      <c r="AY390" s="12">
        <f>SUM(AY374,AY375,AY376,AY387,AY388,AY389)</f>
        <v>1266.56005398587</v>
      </c>
      <c r="AZ390" s="12">
        <f>SUM(AZ374,AZ375,AZ376,AZ387,AZ388,AZ389)</f>
        <v>1491.33743622778</v>
      </c>
      <c r="BA390" s="12">
        <f>SUM(BA374,BA375,BA376,BA387,BA388,BA389)</f>
        <v>5740.4559769847</v>
      </c>
      <c r="BB390" s="12">
        <f>SUM(BB374,BB375,BB376,BB387,BB388,BB389)</f>
        <v>1605.80554769002</v>
      </c>
      <c r="BC390" s="12">
        <f>SUM(BC374,BC375,BC376,BC387,BC388,BC389)</f>
        <v>2029.20973311775</v>
      </c>
      <c r="BD390" s="12">
        <f>SUM(BD374,BD375,BD376,BD387,BD388,BD389)</f>
        <v>1581.59719379905</v>
      </c>
      <c r="BE390" s="12">
        <f>SUM(BE374,BE375,BE376,BE387,BE388,BE389)</f>
        <v>1857.23090345533</v>
      </c>
      <c r="BF390" s="12">
        <f>SUM(BF374,BF375,BF376,BF387,BF388,BF389)</f>
        <v>7073.84337806215</v>
      </c>
      <c r="BG390" s="12" t="n"/>
      <c r="BH390" s="12" t="n"/>
      <c r="BI390" s="12" t="n"/>
      <c r="BJ390" s="12" t="n"/>
      <c r="BK390" s="12" t="n"/>
      <c r="BL390" s="12" t="n"/>
      <c r="BM390" s="12" t="n"/>
      <c r="BN390" s="12" t="n"/>
      <c r="BO390" s="12" t="n"/>
      <c r="BP390" s="12" t="n"/>
      <c r="BQ390" s="12" t="n"/>
      <c r="BR390" s="12" t="n"/>
      <c r="BS390" s="12" t="n"/>
      <c r="BT390" s="12" t="n"/>
      <c r="BU390" s="12" t="n"/>
      <c r="BV390" s="12" t="n"/>
      <c r="BW390" s="12" t="n"/>
      <c r="BX390" s="12" t="n"/>
      <c r="BY390" s="12" t="n"/>
      <c r="BZ390" s="12" t="n"/>
      <c r="CA390" s="12" t="n"/>
      <c r="CB390" s="12" t="n"/>
      <c r="CC390" s="12" t="n"/>
      <c r="CD390" s="12" t="n"/>
      <c r="CE390" s="12" t="n"/>
      <c r="CF390" s="12" t="n"/>
      <c r="CG390" s="12" t="n"/>
      <c r="CH390" s="12" t="n"/>
      <c r="CI390" s="12" t="n"/>
      <c r="CJ390" s="12" t="n"/>
      <c r="CK390" s="12" t="n"/>
      <c r="CL390" s="12" t="n"/>
      <c r="CM390" s="12" t="n"/>
      <c r="CN390" s="12" t="n"/>
      <c r="CO390" s="12" t="n"/>
      <c r="CP390" s="12" t="n"/>
      <c r="CQ390" s="12" t="n"/>
      <c r="CR390" s="12" t="n"/>
      <c r="CS390" s="12" t="n"/>
      <c r="CT390" s="12" t="n"/>
      <c r="CU390" s="12" t="n"/>
      <c r="CV390" s="12" t="n"/>
      <c r="CW390" s="12" t="n"/>
      <c r="CX390" s="12" t="n"/>
      <c r="CY390" s="12" t="n"/>
    </row>
    <row r="391">
      <c r="C391" s="14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  <c r="AL391" s="12" t="n"/>
      <c r="AM391" s="12" t="n"/>
      <c r="AN391" s="12" t="n"/>
      <c r="AO391" s="12" t="n"/>
      <c r="AP391" s="12" t="n"/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  <c r="BJ391" s="12" t="n"/>
      <c r="BK391" s="12" t="n"/>
      <c r="BL391" s="12" t="n"/>
      <c r="BM391" s="12" t="n"/>
      <c r="BN391" s="12" t="n"/>
      <c r="BO391" s="12" t="n"/>
      <c r="BP391" s="12" t="n"/>
      <c r="BQ391" s="12" t="n"/>
      <c r="BR391" s="12" t="n"/>
      <c r="BS391" s="12" t="n"/>
      <c r="BT391" s="12" t="n"/>
      <c r="BU391" s="12" t="n"/>
      <c r="BV391" s="12" t="n"/>
      <c r="BW391" s="12" t="n"/>
      <c r="BX391" s="12" t="n"/>
      <c r="BY391" s="12" t="n"/>
      <c r="BZ391" s="12" t="n"/>
      <c r="CA391" s="12" t="n"/>
      <c r="CB391" s="12" t="n"/>
      <c r="CC391" s="12" t="n"/>
      <c r="CD391" s="12" t="n"/>
      <c r="CE391" s="12" t="n"/>
      <c r="CF391" s="12" t="n"/>
      <c r="CG391" s="12" t="n"/>
      <c r="CH391" s="12" t="n"/>
      <c r="CI391" s="12" t="n"/>
      <c r="CJ391" s="12" t="n"/>
      <c r="CK391" s="12" t="n"/>
      <c r="CL391" s="12" t="n"/>
      <c r="CM391" s="12" t="n"/>
      <c r="CN391" s="12" t="n"/>
      <c r="CO391" s="12" t="n"/>
      <c r="CP391" s="12" t="n"/>
      <c r="CQ391" s="12" t="n"/>
      <c r="CR391" s="12" t="n"/>
      <c r="CS391" s="12" t="n"/>
      <c r="CT391" s="12" t="n"/>
      <c r="CU391" s="12" t="n"/>
      <c r="CV391" s="12" t="n"/>
      <c r="CW391" s="12" t="n"/>
      <c r="CX391" s="12" t="n"/>
      <c r="CY391" s="12" t="n"/>
    </row>
    <row r="392">
      <c r="C392" s="10" t="inlineStr">
        <is>
          <t>Purchase of fixed assets (capital expenditures)</t>
        </is>
      </c>
      <c r="D392" s="12" t="n"/>
      <c r="E392" s="12" t="n"/>
      <c r="F392" s="12" t="n"/>
      <c r="G392" s="12" t="n"/>
      <c r="H392" s="12" t="n"/>
      <c r="I392" s="12" t="n"/>
      <c r="J392" s="12">
        <f>-J265</f>
        <v>116.906999999999</v>
      </c>
      <c r="K392" s="12">
        <f>-K265</f>
        <v>-58.8319999999996</v>
      </c>
      <c r="L392" s="12">
        <f>-L265</f>
        <v>-121.652</v>
      </c>
      <c r="M392" s="12" t="n"/>
      <c r="N392" s="12">
        <f>-N265</f>
        <v>-342.222</v>
      </c>
      <c r="O392" s="12">
        <f>-O265</f>
        <v>30.6900000000006</v>
      </c>
      <c r="P392" s="12">
        <f>-P265</f>
        <v>-199.664</v>
      </c>
      <c r="Q392" s="12">
        <f>-Q265</f>
        <v>-252.564</v>
      </c>
      <c r="R392" s="12">
        <f>SUM(N392:Q392)</f>
        <v>-763.76</v>
      </c>
      <c r="S392" s="12">
        <f>-S265</f>
        <v>-82.9219999999995</v>
      </c>
      <c r="T392" s="12">
        <f>-T265</f>
        <v>-72.4770000000003</v>
      </c>
      <c r="U392" s="12">
        <f>-U265</f>
        <v>-162.309</v>
      </c>
      <c r="V392" s="12">
        <f>-V265</f>
        <v>-101.330000000001</v>
      </c>
      <c r="W392" s="12">
        <f>SUM(S392:V392)</f>
        <v>-419.038</v>
      </c>
      <c r="X392" s="12">
        <f>-X265</f>
        <v>-88.6359999999996</v>
      </c>
      <c r="Y392" s="12">
        <f>-Y265</f>
        <v>-188.007</v>
      </c>
      <c r="Z392" s="12">
        <f>-Z265</f>
        <v>-13.0840000000004</v>
      </c>
      <c r="AA392" s="12">
        <f>-AA265</f>
        <v>-295.111999999999</v>
      </c>
      <c r="AB392" s="12">
        <f>SUM(X392:AA392)</f>
        <v>-584.838999999999</v>
      </c>
      <c r="AC392" s="12">
        <f>-AC265</f>
        <v>123.29</v>
      </c>
      <c r="AD392" s="12">
        <f>-AD265</f>
        <v>21.899</v>
      </c>
      <c r="AE392" s="12">
        <f>-AE265</f>
        <v>-13.3850000000004</v>
      </c>
      <c r="AF392" s="12">
        <f>-AF265</f>
        <v>-199.434999999999</v>
      </c>
      <c r="AG392" s="12">
        <f>SUM(AC392:AF392)</f>
        <v>-67.6309999999999</v>
      </c>
      <c r="AH392" s="12">
        <f>-AH265</f>
        <v>103.797999999999</v>
      </c>
      <c r="AI392" s="12">
        <f>-AI265</f>
        <v>-128.884999999999</v>
      </c>
      <c r="AJ392" s="12">
        <f>-AJ265</f>
        <v>-14.2705375054504</v>
      </c>
      <c r="AK392" s="12">
        <f>-AK265</f>
        <v>-17.2377512739929</v>
      </c>
      <c r="AL392" s="12">
        <f>SUM(AH392:AK392)</f>
        <v>-56.5952887794433</v>
      </c>
      <c r="AM392" s="12">
        <f>-AM265</f>
        <v>-18.6002289510244</v>
      </c>
      <c r="AN392" s="12">
        <f>-AN265</f>
        <v>-24.1056306717858</v>
      </c>
      <c r="AO392" s="12">
        <f>-AO265</f>
        <v>-16.6000896601202</v>
      </c>
      <c r="AP392" s="12">
        <f>-AP265</f>
        <v>-20.0516775613984</v>
      </c>
      <c r="AQ392" s="12">
        <f>SUM(AM392:AP392)</f>
        <v>-79.3576268443287</v>
      </c>
      <c r="AR392" s="12">
        <f>-AR265</f>
        <v>-21.5435677769018</v>
      </c>
      <c r="AS392" s="12">
        <f>-AS265</f>
        <v>-27.920155690018</v>
      </c>
      <c r="AT392" s="12">
        <f>-AT265</f>
        <v>-19.2269222941877</v>
      </c>
      <c r="AU392" s="12">
        <f>-AU265</f>
        <v>-23.2246966272303</v>
      </c>
      <c r="AV392" s="12">
        <f>SUM(AR392:AU392)</f>
        <v>-91.9153423883379</v>
      </c>
      <c r="AW392" s="12">
        <f>-AW265</f>
        <v>-24.8449488073184</v>
      </c>
      <c r="AX392" s="12">
        <f>-AX265</f>
        <v>-32.1986982840691</v>
      </c>
      <c r="AY392" s="12">
        <f>-AY265</f>
        <v>-22.1732957636453</v>
      </c>
      <c r="AZ392" s="12">
        <f>-AZ265</f>
        <v>-26.7836973311213</v>
      </c>
      <c r="BA392" s="12">
        <f>SUM(AW392:AZ392)</f>
        <v>-106.000640186154</v>
      </c>
      <c r="BB392" s="12">
        <f>-BB265</f>
        <v>-28.5280155733766</v>
      </c>
      <c r="BC392" s="12">
        <f>-BC265</f>
        <v>-36.9719001320624</v>
      </c>
      <c r="BD392" s="12">
        <f>-BD265</f>
        <v>-25.4603111386581</v>
      </c>
      <c r="BE392" s="12">
        <f>-BE265</f>
        <v>-30.7541682013756</v>
      </c>
      <c r="BF392" s="12">
        <f>SUM(BB392:BE392)</f>
        <v>-121.714395045473</v>
      </c>
      <c r="BG392" s="12" t="n"/>
      <c r="BH392" s="12" t="n"/>
      <c r="BI392" s="12" t="n"/>
      <c r="BJ392" s="12" t="n"/>
      <c r="BK392" s="12" t="n"/>
      <c r="BL392" s="12" t="n"/>
      <c r="BM392" s="12" t="n"/>
      <c r="BN392" s="12" t="n"/>
      <c r="BO392" s="12" t="n"/>
      <c r="BP392" s="12" t="n"/>
      <c r="BQ392" s="12" t="n"/>
      <c r="BR392" s="12" t="n"/>
      <c r="BS392" s="12" t="n"/>
      <c r="BT392" s="12" t="n"/>
      <c r="BU392" s="12" t="n"/>
      <c r="BV392" s="12" t="n"/>
      <c r="BW392" s="12" t="n"/>
      <c r="BX392" s="12" t="n"/>
      <c r="BY392" s="12" t="n"/>
      <c r="BZ392" s="12" t="n"/>
      <c r="CA392" s="12" t="n"/>
      <c r="CB392" s="12" t="n"/>
      <c r="CC392" s="12" t="n"/>
      <c r="CD392" s="12" t="n"/>
      <c r="CE392" s="12" t="n"/>
      <c r="CF392" s="12" t="n"/>
      <c r="CG392" s="12" t="n"/>
      <c r="CH392" s="12" t="n"/>
      <c r="CI392" s="12" t="n"/>
      <c r="CJ392" s="12" t="n"/>
      <c r="CK392" s="12" t="n"/>
      <c r="CL392" s="12" t="n"/>
      <c r="CM392" s="12" t="n"/>
      <c r="CN392" s="12" t="n"/>
      <c r="CO392" s="12" t="n"/>
      <c r="CP392" s="12" t="n"/>
      <c r="CQ392" s="12" t="n"/>
      <c r="CR392" s="12" t="n"/>
      <c r="CS392" s="12" t="n"/>
      <c r="CT392" s="12" t="n"/>
      <c r="CU392" s="12" t="n"/>
      <c r="CV392" s="12" t="n"/>
      <c r="CW392" s="12" t="n"/>
      <c r="CX392" s="12" t="n"/>
      <c r="CY392" s="12" t="n"/>
    </row>
    <row r="393">
      <c r="C393" s="10" t="inlineStr">
        <is>
          <t>Proceeds from sale of fixed assets</t>
        </is>
      </c>
      <c r="D393" s="12" t="n"/>
      <c r="E393" s="12" t="n"/>
      <c r="F393" s="12" t="n"/>
      <c r="G393" s="12" t="n"/>
      <c r="H393" s="12" t="n"/>
      <c r="I393" s="12" t="n"/>
      <c r="J393" s="12">
        <f>-J266</f>
        <v>0</v>
      </c>
      <c r="K393" s="12">
        <f>-K266</f>
        <v>0</v>
      </c>
      <c r="L393" s="12">
        <f>-L266</f>
        <v>0</v>
      </c>
      <c r="M393" s="12" t="n"/>
      <c r="N393" s="12">
        <f>-N266</f>
        <v>0</v>
      </c>
      <c r="O393" s="12">
        <f>-O266</f>
        <v>0</v>
      </c>
      <c r="P393" s="12">
        <f>-P266</f>
        <v>0</v>
      </c>
      <c r="Q393" s="12">
        <f>-Q266</f>
        <v>0</v>
      </c>
      <c r="R393" s="12">
        <f>SUM(N393:Q393)</f>
        <v>0</v>
      </c>
      <c r="S393" s="12">
        <f>-S266</f>
        <v>0</v>
      </c>
      <c r="T393" s="12">
        <f>-T266</f>
        <v>0</v>
      </c>
      <c r="U393" s="12">
        <f>-U266</f>
        <v>0</v>
      </c>
      <c r="V393" s="12">
        <f>-V266</f>
        <v>0</v>
      </c>
      <c r="W393" s="12">
        <f>SUM(S393:V393)</f>
        <v>0</v>
      </c>
      <c r="X393" s="12">
        <f>-X266</f>
        <v>0</v>
      </c>
      <c r="Y393" s="12">
        <f>-Y266</f>
        <v>0</v>
      </c>
      <c r="Z393" s="12">
        <f>-Z266</f>
        <v>0</v>
      </c>
      <c r="AA393" s="12">
        <f>-AA266</f>
        <v>0</v>
      </c>
      <c r="AB393" s="12">
        <f>SUM(X393:AA393)</f>
        <v>0</v>
      </c>
      <c r="AC393" s="12">
        <f>-AC266</f>
        <v>0</v>
      </c>
      <c r="AD393" s="12">
        <f>-AD266</f>
        <v>0</v>
      </c>
      <c r="AE393" s="12">
        <f>-AE266</f>
        <v>0</v>
      </c>
      <c r="AF393" s="12">
        <f>-AF266</f>
        <v>0</v>
      </c>
      <c r="AG393" s="12">
        <f>SUM(AC393:AF393)</f>
        <v>0</v>
      </c>
      <c r="AH393" s="12">
        <f>-AH266</f>
        <v>0</v>
      </c>
      <c r="AI393" s="12">
        <f>-AI266</f>
        <v>0</v>
      </c>
      <c r="AJ393" s="12">
        <f>-AJ266</f>
        <v>0</v>
      </c>
      <c r="AK393" s="12">
        <f>-AK266</f>
        <v>0</v>
      </c>
      <c r="AL393" s="12">
        <f>SUM(AH393:AK393)</f>
        <v>0</v>
      </c>
      <c r="AM393" s="12">
        <f>-AM266</f>
        <v>0</v>
      </c>
      <c r="AN393" s="12">
        <f>-AN266</f>
        <v>0</v>
      </c>
      <c r="AO393" s="12">
        <f>-AO266</f>
        <v>0</v>
      </c>
      <c r="AP393" s="12">
        <f>-AP266</f>
        <v>0</v>
      </c>
      <c r="AQ393" s="12">
        <f>SUM(AM393:AP393)</f>
        <v>0</v>
      </c>
      <c r="AR393" s="12">
        <f>-AR266</f>
        <v>0</v>
      </c>
      <c r="AS393" s="12">
        <f>-AS266</f>
        <v>0</v>
      </c>
      <c r="AT393" s="12">
        <f>-AT266</f>
        <v>0</v>
      </c>
      <c r="AU393" s="12">
        <f>-AU266</f>
        <v>0</v>
      </c>
      <c r="AV393" s="12">
        <f>SUM(AR393:AU393)</f>
        <v>0</v>
      </c>
      <c r="AW393" s="12">
        <f>-AW266</f>
        <v>0</v>
      </c>
      <c r="AX393" s="12">
        <f>-AX266</f>
        <v>0</v>
      </c>
      <c r="AY393" s="12">
        <f>-AY266</f>
        <v>0</v>
      </c>
      <c r="AZ393" s="12">
        <f>-AZ266</f>
        <v>0</v>
      </c>
      <c r="BA393" s="12">
        <f>SUM(AW393:AZ393)</f>
        <v>0</v>
      </c>
      <c r="BB393" s="12">
        <f>-BB266</f>
        <v>0</v>
      </c>
      <c r="BC393" s="12">
        <f>-BC266</f>
        <v>0</v>
      </c>
      <c r="BD393" s="12">
        <f>-BD266</f>
        <v>0</v>
      </c>
      <c r="BE393" s="12">
        <f>-BE266</f>
        <v>0</v>
      </c>
      <c r="BF393" s="12">
        <f>SUM(BB393:BE393)</f>
        <v>0</v>
      </c>
      <c r="BG393" s="12" t="n"/>
      <c r="BH393" s="12" t="n"/>
      <c r="BI393" s="12" t="n"/>
      <c r="BJ393" s="12" t="n"/>
      <c r="BK393" s="12" t="n"/>
      <c r="BL393" s="12" t="n"/>
      <c r="BM393" s="12" t="n"/>
      <c r="BN393" s="12" t="n"/>
      <c r="BO393" s="12" t="n"/>
      <c r="BP393" s="12" t="n"/>
      <c r="BQ393" s="12" t="n"/>
      <c r="BR393" s="12" t="n"/>
      <c r="BS393" s="12" t="n"/>
      <c r="BT393" s="12" t="n"/>
      <c r="BU393" s="12" t="n"/>
      <c r="BV393" s="12" t="n"/>
      <c r="BW393" s="12" t="n"/>
      <c r="BX393" s="12" t="n"/>
      <c r="BY393" s="12" t="n"/>
      <c r="BZ393" s="12" t="n"/>
      <c r="CA393" s="12" t="n"/>
      <c r="CB393" s="12" t="n"/>
      <c r="CC393" s="12" t="n"/>
      <c r="CD393" s="12" t="n"/>
      <c r="CE393" s="12" t="n"/>
      <c r="CF393" s="12" t="n"/>
      <c r="CG393" s="12" t="n"/>
      <c r="CH393" s="12" t="n"/>
      <c r="CI393" s="12" t="n"/>
      <c r="CJ393" s="12" t="n"/>
      <c r="CK393" s="12" t="n"/>
      <c r="CL393" s="12" t="n"/>
      <c r="CM393" s="12" t="n"/>
      <c r="CN393" s="12" t="n"/>
      <c r="CO393" s="12" t="n"/>
      <c r="CP393" s="12" t="n"/>
      <c r="CQ393" s="12" t="n"/>
      <c r="CR393" s="12" t="n"/>
      <c r="CS393" s="12" t="n"/>
      <c r="CT393" s="12" t="n"/>
      <c r="CU393" s="12" t="n"/>
      <c r="CV393" s="12" t="n"/>
      <c r="CW393" s="12" t="n"/>
      <c r="CX393" s="12" t="n"/>
      <c r="CY393" s="12" t="n"/>
    </row>
    <row r="394">
      <c r="C394" s="10" t="inlineStr">
        <is>
          <t>Var.Right-of-use-assets</t>
        </is>
      </c>
      <c r="D394" s="12" t="n"/>
      <c r="E394" s="12" t="n"/>
      <c r="F394" s="12" t="n"/>
      <c r="G394" s="12" t="n"/>
      <c r="H394" s="12" t="n"/>
      <c r="I394" s="12" t="n"/>
      <c r="J394" s="12">
        <f>(J273-I273)*-1</f>
        <v>0</v>
      </c>
      <c r="K394" s="12">
        <f>(K273-J273)*-1</f>
        <v>0</v>
      </c>
      <c r="L394" s="12">
        <f>(L273-K273)*-1</f>
        <v>0</v>
      </c>
      <c r="M394" s="12" t="n"/>
      <c r="N394" s="12">
        <f>(N273-M273)*-1</f>
        <v>0</v>
      </c>
      <c r="O394" s="12">
        <f>(O273-N273)*-1</f>
        <v>0</v>
      </c>
      <c r="P394" s="12">
        <f>(P273-O273)*-1</f>
        <v>0</v>
      </c>
      <c r="Q394" s="12">
        <f>(Q273-P273)*-1</f>
        <v>0</v>
      </c>
      <c r="R394" s="12">
        <f>SUM(N394:Q394)</f>
        <v>0</v>
      </c>
      <c r="S394" s="12">
        <f>(S273-R273)*-1</f>
        <v>0</v>
      </c>
      <c r="T394" s="12">
        <f>(T273-S273)*-1</f>
        <v>0</v>
      </c>
      <c r="U394" s="12">
        <f>(U273-T273)*-1</f>
        <v>0</v>
      </c>
      <c r="V394" s="12">
        <f>(V273-U273)*-1</f>
        <v>0</v>
      </c>
      <c r="W394" s="12">
        <f>SUM(S394:V394)</f>
        <v>0</v>
      </c>
      <c r="X394" s="12">
        <f>(X273-W273)*-1</f>
        <v>0</v>
      </c>
      <c r="Y394" s="12">
        <f>(Y273-X273)*-1</f>
        <v>0</v>
      </c>
      <c r="Z394" s="12">
        <f>(Z273-Y273)*-1</f>
        <v>0</v>
      </c>
      <c r="AA394" s="12">
        <f>(AA273-Z273)*-1</f>
        <v>0</v>
      </c>
      <c r="AB394" s="12">
        <f>SUM(X394:AA394)</f>
        <v>0</v>
      </c>
      <c r="AC394" s="12">
        <f>(AC273-AB273)*-1</f>
        <v>0</v>
      </c>
      <c r="AD394" s="12">
        <f>(AD273-AC273)*-1</f>
        <v>0</v>
      </c>
      <c r="AE394" s="12">
        <f>(AE273-AD273)*-1</f>
        <v>0</v>
      </c>
      <c r="AF394" s="12">
        <f>(AF273-AE273)*-1</f>
        <v>0</v>
      </c>
      <c r="AG394" s="12">
        <f>SUM(AC394:AF394)</f>
        <v>0</v>
      </c>
      <c r="AH394" s="12">
        <f>(AH273-AG273)*-1</f>
        <v>0</v>
      </c>
      <c r="AI394" s="12">
        <f>(AI273-AH273)*-1</f>
        <v>0</v>
      </c>
      <c r="AJ394" s="12">
        <f>(AJ273-AI273)*-1</f>
        <v>0</v>
      </c>
      <c r="AK394" s="12">
        <f>(AK273-AJ273)*-1</f>
        <v>0</v>
      </c>
      <c r="AL394" s="12">
        <f>SUM(AH394:AK394)</f>
        <v>0</v>
      </c>
      <c r="AM394" s="12">
        <f>(AM273-AL273)*-1</f>
        <v>0</v>
      </c>
      <c r="AN394" s="12">
        <f>(AN273-AM273)*-1</f>
        <v>0</v>
      </c>
      <c r="AO394" s="12">
        <f>(AO273-AN273)*-1</f>
        <v>0</v>
      </c>
      <c r="AP394" s="12">
        <f>(AP273-AO273)*-1</f>
        <v>0</v>
      </c>
      <c r="AQ394" s="12">
        <f>SUM(AM394:AP394)</f>
        <v>0</v>
      </c>
      <c r="AR394" s="12">
        <f>(AR273-AQ273)*-1</f>
        <v>0</v>
      </c>
      <c r="AS394" s="12">
        <f>(AS273-AR273)*-1</f>
        <v>0</v>
      </c>
      <c r="AT394" s="12">
        <f>(AT273-AS273)*-1</f>
        <v>0</v>
      </c>
      <c r="AU394" s="12">
        <f>(AU273-AT273)*-1</f>
        <v>0</v>
      </c>
      <c r="AV394" s="12">
        <f>SUM(AR394:AU394)</f>
        <v>0</v>
      </c>
      <c r="AW394" s="12">
        <f>(AW273-AV273)*-1</f>
        <v>0</v>
      </c>
      <c r="AX394" s="12">
        <f>(AX273-AW273)*-1</f>
        <v>0</v>
      </c>
      <c r="AY394" s="12">
        <f>(AY273-AX273)*-1</f>
        <v>0</v>
      </c>
      <c r="AZ394" s="12">
        <f>(AZ273-AY273)*-1</f>
        <v>0</v>
      </c>
      <c r="BA394" s="12">
        <f>SUM(AW394:AZ394)</f>
        <v>0</v>
      </c>
      <c r="BB394" s="12">
        <f>(BB273-BA273)*-1</f>
        <v>0</v>
      </c>
      <c r="BC394" s="12">
        <f>(BC273-BB273)*-1</f>
        <v>0</v>
      </c>
      <c r="BD394" s="12">
        <f>(BD273-BC273)*-1</f>
        <v>0</v>
      </c>
      <c r="BE394" s="12">
        <f>(BE273-BD273)*-1</f>
        <v>0</v>
      </c>
      <c r="BF394" s="12">
        <f>SUM(BB394:BE394)</f>
        <v>0</v>
      </c>
      <c r="BG394" s="12" t="n"/>
      <c r="BH394" s="12" t="n"/>
      <c r="BI394" s="12" t="n"/>
      <c r="BJ394" s="12" t="n"/>
      <c r="BK394" s="12" t="n"/>
      <c r="BL394" s="12" t="n"/>
      <c r="BM394" s="12" t="n"/>
      <c r="BN394" s="12" t="n"/>
      <c r="BO394" s="12" t="n"/>
      <c r="BP394" s="12" t="n"/>
      <c r="BQ394" s="12" t="n"/>
      <c r="BR394" s="12" t="n"/>
      <c r="BS394" s="12" t="n"/>
      <c r="BT394" s="12" t="n"/>
      <c r="BU394" s="12" t="n"/>
      <c r="BV394" s="12" t="n"/>
      <c r="BW394" s="12" t="n"/>
      <c r="BX394" s="12" t="n"/>
      <c r="BY394" s="12" t="n"/>
      <c r="BZ394" s="12" t="n"/>
      <c r="CA394" s="12" t="n"/>
      <c r="CB394" s="12" t="n"/>
      <c r="CC394" s="12" t="n"/>
      <c r="CD394" s="12" t="n"/>
      <c r="CE394" s="12" t="n"/>
      <c r="CF394" s="12" t="n"/>
      <c r="CG394" s="12" t="n"/>
      <c r="CH394" s="12" t="n"/>
      <c r="CI394" s="12" t="n"/>
      <c r="CJ394" s="12" t="n"/>
      <c r="CK394" s="12" t="n"/>
      <c r="CL394" s="12" t="n"/>
      <c r="CM394" s="12" t="n"/>
      <c r="CN394" s="12" t="n"/>
      <c r="CO394" s="12" t="n"/>
      <c r="CP394" s="12" t="n"/>
      <c r="CQ394" s="12" t="n"/>
      <c r="CR394" s="12" t="n"/>
      <c r="CS394" s="12" t="n"/>
      <c r="CT394" s="12" t="n"/>
      <c r="CU394" s="12" t="n"/>
      <c r="CV394" s="12" t="n"/>
      <c r="CW394" s="12" t="n"/>
      <c r="CX394" s="12" t="n"/>
      <c r="CY394" s="12" t="n"/>
      <c r="CZ394" s="12" t="n"/>
      <c r="DA394" s="12" t="n"/>
      <c r="DB394" s="12" t="n"/>
      <c r="DC394" s="12" t="n"/>
    </row>
    <row r="395">
      <c r="C395" s="10" t="inlineStr">
        <is>
          <t>Purchases of intangible assets</t>
        </is>
      </c>
      <c r="D395" s="12" t="n"/>
      <c r="E395" s="12" t="n"/>
      <c r="F395" s="12" t="n"/>
      <c r="G395" s="12" t="n"/>
      <c r="H395" s="12" t="n"/>
      <c r="I395" s="12" t="n"/>
      <c r="J395" s="12">
        <f>((J277-I277)*-1)+((J276-I276)*-1)</f>
        <v>3.14099999999999</v>
      </c>
      <c r="K395" s="12">
        <f>((K277-J277)*-1)+((K276-J276)*-1)</f>
        <v>-2.96600000000001</v>
      </c>
      <c r="L395" s="12">
        <f>((L277-K277)*-1)+((L276-K276)*-1)</f>
        <v>-81.169</v>
      </c>
      <c r="M395" s="12" t="n"/>
      <c r="N395" s="12">
        <f>((N277-M277)*-1)+((N276-M276)*-1)</f>
        <v>4.43000000000001</v>
      </c>
      <c r="O395" s="12">
        <f>((O277-N277)*-1)+((O276-N276)*-1)</f>
        <v>-3.11500000000001</v>
      </c>
      <c r="P395" s="12">
        <f>((P277-O277)*-1)+((P276-O276)*-1)</f>
        <v>2.28100000000001</v>
      </c>
      <c r="Q395" s="12">
        <f>((Q277-P277)*-1)+((Q276-P276)*-1)</f>
        <v>8.27500000000003</v>
      </c>
      <c r="R395" s="12">
        <f>SUM(N395:Q395)</f>
        <v>11.871</v>
      </c>
      <c r="S395" s="12">
        <f>((S277-R277)*-1)+((S276-R276)*-1)</f>
        <v>1.37</v>
      </c>
      <c r="T395" s="12">
        <f>((T277-S277)*-1)+((T276-S276)*-1)</f>
        <v>1.91899999999998</v>
      </c>
      <c r="U395" s="12">
        <f>((U277-T277)*-1)+((U276-T276)*-1)</f>
        <v>-7.48599999999999</v>
      </c>
      <c r="V395" s="12">
        <f>((V277-U277)*-1)+((V276-U276)*-1)</f>
        <v>5.87899999999996</v>
      </c>
      <c r="W395" s="12">
        <f>SUM(S395:V395)</f>
        <v>1.68199999999996</v>
      </c>
      <c r="X395" s="12">
        <f>((X277-W277)*-1)+((X276-W276)*-1)</f>
        <v>-16.164</v>
      </c>
      <c r="Y395" s="12">
        <f>((Y277-X277)*-1)+((Y276-X276)*-1)</f>
        <v>-7.738</v>
      </c>
      <c r="Z395" s="12">
        <f>((Z277-Y277)*-1)+((Z276-Y276)*-1)</f>
        <v>-7.589</v>
      </c>
      <c r="AA395" s="12">
        <f>((AA277-Z277)*-1)+((AA276-Z276)*-1)</f>
        <v>-65.33</v>
      </c>
      <c r="AB395" s="12">
        <f>SUM(X395:AA395)</f>
        <v>-96.821</v>
      </c>
      <c r="AC395" s="12">
        <f>((AC277-AB277)*-1)+((AC276-AB276)*-1)</f>
        <v>10.293</v>
      </c>
      <c r="AD395" s="12">
        <f>((AD277-AC277)*-1)+((AD276-AC276)*-1)</f>
        <v>3.63499999999999</v>
      </c>
      <c r="AE395" s="12">
        <f>((AE277-AD277)*-1)+((AE276-AD276)*-1)</f>
        <v>-23.949</v>
      </c>
      <c r="AF395" s="12">
        <f>((AF277-AE277)*-1)+((AF276-AE276)*-1)</f>
        <v>-72.143</v>
      </c>
      <c r="AG395" s="12">
        <f>SUM(AC395:AF395)</f>
        <v>-82.164</v>
      </c>
      <c r="AH395" s="12">
        <f>((AH277-AG277)*-1)+((AH276-AG276)*-1)</f>
        <v>-22.162</v>
      </c>
      <c r="AI395" s="12">
        <f>((AI277-AH277)*-1)+((AI276-AH276)*-1)</f>
        <v>-124.267</v>
      </c>
      <c r="AJ395" s="12">
        <f>((AJ277-AI277)*-1)+((AJ276-AI276)*-1)</f>
        <v>0</v>
      </c>
      <c r="AK395" s="12">
        <f>((AK277-AJ277)*-1)+((AK276-AJ276)*-1)</f>
        <v>0</v>
      </c>
      <c r="AL395" s="12">
        <f>SUM(AH395:AK395)</f>
        <v>-146.429</v>
      </c>
      <c r="AM395" s="12">
        <f>((AM277-AL277)*-1)+((AM276-AL276)*-1)</f>
        <v>0</v>
      </c>
      <c r="AN395" s="12">
        <f>((AN277-AM277)*-1)+((AN276-AM276)*-1)</f>
        <v>0</v>
      </c>
      <c r="AO395" s="12">
        <f>((AO277-AN277)*-1)+((AO276-AN276)*-1)</f>
        <v>0</v>
      </c>
      <c r="AP395" s="12">
        <f>((AP277-AO277)*-1)+((AP276-AO276)*-1)</f>
        <v>0</v>
      </c>
      <c r="AQ395" s="12">
        <f>SUM(AM395:AP395)</f>
        <v>0</v>
      </c>
      <c r="AR395" s="12">
        <f>((AR277-AQ277)*-1)+((AR276-AQ276)*-1)</f>
        <v>0</v>
      </c>
      <c r="AS395" s="12">
        <f>((AS277-AR277)*-1)+((AS276-AR276)*-1)</f>
        <v>0</v>
      </c>
      <c r="AT395" s="12">
        <f>((AT277-AS277)*-1)+((AT276-AS276)*-1)</f>
        <v>0</v>
      </c>
      <c r="AU395" s="12">
        <f>((AU277-AT277)*-1)+((AU276-AT276)*-1)</f>
        <v>0</v>
      </c>
      <c r="AV395" s="12">
        <f>SUM(AR395:AU395)</f>
        <v>0</v>
      </c>
      <c r="AW395" s="12">
        <f>((AW277-AV277)*-1)+((AW276-AV276)*-1)</f>
        <v>0</v>
      </c>
      <c r="AX395" s="12">
        <f>((AX277-AW277)*-1)+((AX276-AW276)*-1)</f>
        <v>0</v>
      </c>
      <c r="AY395" s="12">
        <f>((AY277-AX277)*-1)+((AY276-AX276)*-1)</f>
        <v>0</v>
      </c>
      <c r="AZ395" s="12">
        <f>((AZ277-AY277)*-1)+((AZ276-AY276)*-1)</f>
        <v>0</v>
      </c>
      <c r="BA395" s="12">
        <f>SUM(AW395:AZ395)</f>
        <v>0</v>
      </c>
      <c r="BB395" s="12">
        <f>((BB277-BA277)*-1)+((BB276-BA276)*-1)</f>
        <v>0</v>
      </c>
      <c r="BC395" s="12">
        <f>((BC277-BB277)*-1)+((BC276-BB276)*-1)</f>
        <v>0</v>
      </c>
      <c r="BD395" s="12">
        <f>((BD277-BC277)*-1)+((BD276-BC276)*-1)</f>
        <v>0</v>
      </c>
      <c r="BE395" s="12">
        <f>((BE277-BD277)*-1)+((BE276-BD276)*-1)</f>
        <v>0</v>
      </c>
      <c r="BF395" s="12">
        <f>SUM(BB395:BE395)</f>
        <v>0</v>
      </c>
      <c r="BG395" s="12" t="n"/>
      <c r="BH395" s="12" t="n"/>
      <c r="BI395" s="12" t="n"/>
      <c r="BJ395" s="12" t="n"/>
      <c r="BK395" s="12" t="n"/>
      <c r="BL395" s="12" t="n"/>
      <c r="BM395" s="12" t="n"/>
      <c r="BN395" s="12" t="n"/>
      <c r="BO395" s="12" t="n"/>
      <c r="BP395" s="12" t="n"/>
      <c r="BQ395" s="12" t="n"/>
      <c r="BR395" s="12" t="n"/>
      <c r="BS395" s="12" t="n"/>
      <c r="BT395" s="12" t="n"/>
      <c r="BU395" s="12" t="n"/>
      <c r="BV395" s="12" t="n"/>
      <c r="BW395" s="12" t="n"/>
      <c r="BX395" s="12" t="n"/>
      <c r="BY395" s="12" t="n"/>
      <c r="BZ395" s="12" t="n"/>
      <c r="CA395" s="12" t="n"/>
      <c r="CB395" s="12" t="n"/>
      <c r="CC395" s="12" t="n"/>
      <c r="CD395" s="12" t="n"/>
      <c r="CE395" s="12" t="n"/>
      <c r="CF395" s="12" t="n"/>
      <c r="CG395" s="12" t="n"/>
      <c r="CH395" s="12" t="n"/>
      <c r="CI395" s="12" t="n"/>
      <c r="CJ395" s="12" t="n"/>
      <c r="CK395" s="12" t="n"/>
      <c r="CL395" s="12" t="n"/>
      <c r="CM395" s="12" t="n"/>
      <c r="CN395" s="12" t="n"/>
      <c r="CO395" s="12" t="n"/>
      <c r="CP395" s="12" t="n"/>
      <c r="CQ395" s="12" t="n"/>
      <c r="CR395" s="12" t="n"/>
      <c r="CS395" s="12" t="n"/>
      <c r="CT395" s="12" t="n"/>
      <c r="CU395" s="12" t="n"/>
      <c r="CV395" s="12" t="n"/>
      <c r="CW395" s="12" t="n"/>
      <c r="CX395" s="12" t="n"/>
      <c r="CY395" s="12" t="n"/>
      <c r="CZ395" s="12" t="n"/>
      <c r="DA395" s="12" t="n"/>
      <c r="DB395" s="12" t="n"/>
      <c r="DC395" s="12" t="n"/>
    </row>
    <row r="396">
      <c r="C396" s="71" t="inlineStr">
        <is>
          <t>Purchases/Proceeds from other long-term assets</t>
        </is>
      </c>
      <c r="D396" s="12" t="n"/>
      <c r="E396" s="12" t="n"/>
      <c r="F396" s="12" t="n"/>
      <c r="G396" s="12" t="n"/>
      <c r="H396" s="12" t="n"/>
      <c r="I396" s="12" t="n"/>
      <c r="J396" s="12">
        <f>((J286-I286)*-1)+(J337-I337)</f>
        <v>-745.518</v>
      </c>
      <c r="K396" s="12">
        <f>((K286-J286)*-1)+(K337-J337)</f>
        <v>-485.872</v>
      </c>
      <c r="L396" s="12">
        <f>((L286-K286)*-1)+(L337-K337)</f>
        <v>-299.954</v>
      </c>
      <c r="M396" s="12" t="n"/>
      <c r="N396" s="12">
        <f>((N286-M286)*-1)+(N337-M337)</f>
        <v>-375.386000000001</v>
      </c>
      <c r="O396" s="12">
        <f>((O286-N286)*-1)+(O337-N337)</f>
        <v>-152.487999999998</v>
      </c>
      <c r="P396" s="12">
        <f>((P286-O286)*-1)+(P337-O337)</f>
        <v>143.989999999999</v>
      </c>
      <c r="Q396" s="12">
        <f>((Q286-P286)*-1)+(Q337-P337)</f>
        <v>48.5320000000008</v>
      </c>
      <c r="R396" s="12">
        <f>SUM(N396:Q396)</f>
        <v>-335.352</v>
      </c>
      <c r="S396" s="12">
        <f>((S286-R286)*-1)+(S337-R337)</f>
        <v>-185.581999999999</v>
      </c>
      <c r="T396" s="12">
        <f>((T286-S286)*-1)+(T337-S337)</f>
        <v>111.660999999997</v>
      </c>
      <c r="U396" s="12">
        <f>((U286-T286)*-1)+(U337-T337)</f>
        <v>195.599000000001</v>
      </c>
      <c r="V396" s="12">
        <f>((V286-U286)*-1)+(V337-U337)</f>
        <v>-43.4199999999985</v>
      </c>
      <c r="W396" s="12">
        <f>SUM(S396:V396)</f>
        <v>78.2579999999998</v>
      </c>
      <c r="X396" s="12">
        <f>((X286-W286)*-1)+(X337-W337)</f>
        <v>-144.214000000001</v>
      </c>
      <c r="Y396" s="12">
        <f>((Y286-X286)*-1)+(Y337-X337)</f>
        <v>-104.735999999999</v>
      </c>
      <c r="Z396" s="12">
        <f>((Z286-Y286)*-1)+(Z337-Y337)</f>
        <v>-74.3650000000016</v>
      </c>
      <c r="AA396" s="12">
        <f>((AA286-Z286)*-1)+(AA337-Z337)</f>
        <v>-112.631999999997</v>
      </c>
      <c r="AB396" s="12">
        <f>SUM(X396:AA396)</f>
        <v>-435.946999999999</v>
      </c>
      <c r="AC396" s="12">
        <f>((AC286-AB286)*-1)+(AC337-AB337)</f>
        <v>-340.868</v>
      </c>
      <c r="AD396" s="12">
        <f>((AD286-AC286)*-1)+(AD337-AC337)</f>
        <v>-36.9930000000022</v>
      </c>
      <c r="AE396" s="12">
        <f>((AE286-AD286)*-1)+(AE337-AD337)</f>
        <v>-167.245000000001</v>
      </c>
      <c r="AF396" s="12">
        <f>((AF286-AE286)*-1)+(AF337-AE337)</f>
        <v>-214.820999999999</v>
      </c>
      <c r="AG396" s="12">
        <f>SUM(AC396:AF396)</f>
        <v>-759.927000000002</v>
      </c>
      <c r="AH396" s="12">
        <f>((AH286-AG286)*-1)+(AH337-AG337)</f>
        <v>-221.545</v>
      </c>
      <c r="AI396" s="12">
        <f>((AI286-AH286)*-1)+(AI337-AH337)</f>
        <v>-286.122999999998</v>
      </c>
      <c r="AJ396" s="12">
        <f>((AJ286-AI286)*-1)+(AJ337-AI337)</f>
        <v>0</v>
      </c>
      <c r="AK396" s="12">
        <f>((AK286-AJ286)*-1)+(AK337-AJ337)</f>
        <v>0</v>
      </c>
      <c r="AL396" s="12">
        <f>SUM(AH396:AK396)</f>
        <v>-507.667999999998</v>
      </c>
      <c r="AM396" s="12">
        <f>((AM286-AL286)*-1)+(AM337-AL337)</f>
        <v>0</v>
      </c>
      <c r="AN396" s="12">
        <f>((AN286-AM286)*-1)+(AN337-AM337)</f>
        <v>0</v>
      </c>
      <c r="AO396" s="12">
        <f>((AO286-AN286)*-1)+(AO337-AN337)</f>
        <v>0</v>
      </c>
      <c r="AP396" s="12">
        <f>((AP286-AO286)*-1)+(AP337-AO337)</f>
        <v>0</v>
      </c>
      <c r="AQ396" s="12">
        <f>SUM(AM396:AP396)</f>
        <v>0</v>
      </c>
      <c r="AR396" s="12">
        <f>((AR286-AQ286)*-1)+(AR337-AQ337)</f>
        <v>0</v>
      </c>
      <c r="AS396" s="12">
        <f>((AS286-AR286)*-1)+(AS337-AR337)</f>
        <v>0</v>
      </c>
      <c r="AT396" s="12">
        <f>((AT286-AS286)*-1)+(AT337-AS337)</f>
        <v>0</v>
      </c>
      <c r="AU396" s="12">
        <f>((AU286-AT286)*-1)+(AU337-AT337)</f>
        <v>0</v>
      </c>
      <c r="AV396" s="12">
        <f>SUM(AR396:AU396)</f>
        <v>0</v>
      </c>
      <c r="AW396" s="12">
        <f>((AW286-AV286)*-1)+(AW337-AV337)</f>
        <v>0</v>
      </c>
      <c r="AX396" s="12">
        <f>((AX286-AW286)*-1)+(AX337-AW337)</f>
        <v>0</v>
      </c>
      <c r="AY396" s="12">
        <f>((AY286-AX286)*-1)+(AY337-AX337)</f>
        <v>0</v>
      </c>
      <c r="AZ396" s="12">
        <f>((AZ286-AY286)*-1)+(AZ337-AY337)</f>
        <v>0</v>
      </c>
      <c r="BA396" s="12">
        <f>SUM(AW396:AZ396)</f>
        <v>0</v>
      </c>
      <c r="BB396" s="12">
        <f>((BB286-BA286)*-1)+(BB337-BA337)</f>
        <v>0</v>
      </c>
      <c r="BC396" s="12">
        <f>((BC286-BB286)*-1)+(BC337-BB337)</f>
        <v>0</v>
      </c>
      <c r="BD396" s="12">
        <f>((BD286-BC286)*-1)+(BD337-BC337)</f>
        <v>0</v>
      </c>
      <c r="BE396" s="12">
        <f>((BE286-BD286)*-1)+(BE337-BD337)</f>
        <v>0</v>
      </c>
      <c r="BF396" s="12">
        <f>SUM(BB396:BE396)</f>
        <v>0</v>
      </c>
      <c r="BG396" s="12" t="n"/>
      <c r="BH396" s="12" t="n"/>
      <c r="BI396" s="12" t="n"/>
      <c r="BJ396" s="12" t="n"/>
      <c r="BK396" s="12" t="n"/>
      <c r="BL396" s="12" t="n"/>
      <c r="BM396" s="12" t="n"/>
      <c r="BN396" s="12" t="n"/>
      <c r="BO396" s="12" t="n"/>
      <c r="BP396" s="12" t="n"/>
      <c r="BQ396" s="12" t="n"/>
      <c r="BR396" s="12" t="n"/>
      <c r="BS396" s="12" t="n"/>
      <c r="BT396" s="12" t="n"/>
      <c r="BU396" s="12" t="n"/>
      <c r="BV396" s="12" t="n"/>
      <c r="BW396" s="12" t="n"/>
      <c r="BX396" s="12" t="n"/>
      <c r="BY396" s="12" t="n"/>
      <c r="BZ396" s="12" t="n"/>
      <c r="CA396" s="12" t="n"/>
      <c r="CB396" s="12" t="n"/>
      <c r="CC396" s="12" t="n"/>
      <c r="CD396" s="12" t="n"/>
      <c r="CE396" s="12" t="n"/>
      <c r="CF396" s="12" t="n"/>
      <c r="CG396" s="12" t="n"/>
      <c r="CH396" s="12" t="n"/>
      <c r="CI396" s="12" t="n"/>
      <c r="CJ396" s="12" t="n"/>
      <c r="CK396" s="12" t="n"/>
      <c r="CL396" s="12" t="n"/>
      <c r="CM396" s="12" t="n"/>
      <c r="CN396" s="12" t="n"/>
      <c r="CO396" s="12" t="n"/>
      <c r="CP396" s="12" t="n"/>
      <c r="CQ396" s="12" t="n"/>
      <c r="CR396" s="12" t="n"/>
      <c r="CS396" s="12" t="n"/>
      <c r="CT396" s="12" t="n"/>
      <c r="CU396" s="12" t="n"/>
      <c r="CV396" s="12" t="n"/>
      <c r="CW396" s="12" t="n"/>
      <c r="CX396" s="12" t="n"/>
      <c r="CY396" s="12" t="n"/>
    </row>
    <row r="397">
      <c r="C397" s="14" t="inlineStr">
        <is>
          <t>Cash from investing</t>
        </is>
      </c>
      <c r="D397" s="12" t="n"/>
      <c r="E397" s="12" t="n"/>
      <c r="F397" s="12" t="n"/>
      <c r="G397" s="12" t="n"/>
      <c r="H397" s="12" t="n"/>
      <c r="I397" s="12" t="n"/>
      <c r="J397" s="12">
        <f>SUM(J392,J393,J395,J396,J394)</f>
        <v>-625.470000000001</v>
      </c>
      <c r="K397" s="12">
        <f>SUM(K392,K393,K395,K396,K394)</f>
        <v>-547.669999999999</v>
      </c>
      <c r="L397" s="12">
        <f>SUM(L392,L393,L395,L396,L394)</f>
        <v>-502.775000000001</v>
      </c>
      <c r="M397" s="12" t="n"/>
      <c r="N397" s="12">
        <f>SUM(N392,N393,N395,N396,N394)</f>
        <v>-713.178000000002</v>
      </c>
      <c r="O397" s="12">
        <f>SUM(O392,O393,O395,O396,O394)</f>
        <v>-124.912999999998</v>
      </c>
      <c r="P397" s="12">
        <f>SUM(P392,P393,P395,P396,P394)</f>
        <v>-53.3930000000009</v>
      </c>
      <c r="Q397" s="12">
        <f>SUM(Q392,Q393,Q395,Q396,Q394)</f>
        <v>-195.757</v>
      </c>
      <c r="R397" s="12">
        <f>SUM(R392,R393,R395,R396)</f>
        <v>-1087.241</v>
      </c>
      <c r="S397" s="12">
        <f>SUM(S392,S393,S395,S396,S394)</f>
        <v>-267.133999999999</v>
      </c>
      <c r="T397" s="12">
        <f>SUM(T392,T393,T395,T396,T394)</f>
        <v>41.1029999999968</v>
      </c>
      <c r="U397" s="12">
        <f>SUM(U392,U393,U395,U396,U394)</f>
        <v>25.8040000000009</v>
      </c>
      <c r="V397" s="12">
        <f>SUM(V392,V393,V395,V396,V394)</f>
        <v>-138.870999999999</v>
      </c>
      <c r="W397" s="12">
        <f>SUM(W392,W393,W395,W396)</f>
        <v>-339.098</v>
      </c>
      <c r="X397" s="12">
        <f>SUM(X392,X393,X395,X396,X394)</f>
        <v>-249.014000000001</v>
      </c>
      <c r="Y397" s="12">
        <f>SUM(Y392,Y393,Y395,Y396,Y394)</f>
        <v>-300.480999999999</v>
      </c>
      <c r="Z397" s="12">
        <f>SUM(Z392,Z393,Z395,Z396,Z394)</f>
        <v>-95.038000000002</v>
      </c>
      <c r="AA397" s="12">
        <f>SUM(AA392,AA393,AA395,AA396,AA394)</f>
        <v>-473.073999999997</v>
      </c>
      <c r="AB397" s="12">
        <f>SUM(AB392,AB393,AB395,AB396)</f>
        <v>-1117.607</v>
      </c>
      <c r="AC397" s="12">
        <f>SUM(AC392,AC393,AC395,AC396,AC394)</f>
        <v>-207.285</v>
      </c>
      <c r="AD397" s="12">
        <f>SUM(AD392,AD393,AD395,AD396,AD394)</f>
        <v>-11.4590000000022</v>
      </c>
      <c r="AE397" s="12">
        <f>SUM(AE392,AE393,AE395,AE396,AE394)</f>
        <v>-204.579000000002</v>
      </c>
      <c r="AF397" s="12">
        <f>SUM(AF392,AF393,AF395,AF396,AF394)</f>
        <v>-486.398999999998</v>
      </c>
      <c r="AG397" s="12">
        <f>SUM(AG392,AG393,AG395,AG396)</f>
        <v>-909.722000000002</v>
      </c>
      <c r="AH397" s="12">
        <f>SUM(AH392,AH393,AH395,AH396,AH394)</f>
        <v>-139.909000000001</v>
      </c>
      <c r="AI397" s="12">
        <f>SUM(AI392,AI393,AI395,AI396,AI394)</f>
        <v>-539.274999999997</v>
      </c>
      <c r="AJ397" s="12">
        <f>SUM(AJ392,AJ393,AJ395,AJ396,AJ394)</f>
        <v>-14.2705375054504</v>
      </c>
      <c r="AK397" s="12">
        <f>SUM(AK392,AK393,AK395,AK396,AK394)</f>
        <v>-17.2377512739929</v>
      </c>
      <c r="AL397" s="12">
        <f>SUM(AL392,AL393,AL395,AL396)</f>
        <v>-710.692288779441</v>
      </c>
      <c r="AM397" s="12">
        <f>SUM(AM392,AM393,AM395,AM396,AM394)</f>
        <v>-18.6002289510244</v>
      </c>
      <c r="AN397" s="12">
        <f>SUM(AN392,AN393,AN395,AN396,AN394)</f>
        <v>-24.1056306717858</v>
      </c>
      <c r="AO397" s="12">
        <f>SUM(AO392,AO393,AO395,AO396,AO394)</f>
        <v>-16.6000896601202</v>
      </c>
      <c r="AP397" s="12">
        <f>SUM(AP392,AP393,AP395,AP396,AP394)</f>
        <v>-20.0516775613984</v>
      </c>
      <c r="AQ397" s="12">
        <f>SUM(AQ392,AQ393,AQ395,AQ396)</f>
        <v>-79.3576268443287</v>
      </c>
      <c r="AR397" s="12">
        <f>SUM(AR392,AR393,AR395,AR396,AR394)</f>
        <v>-21.5435677769018</v>
      </c>
      <c r="AS397" s="12">
        <f>SUM(AS392,AS393,AS395,AS396,AS394)</f>
        <v>-27.920155690018</v>
      </c>
      <c r="AT397" s="12">
        <f>SUM(AT392,AT393,AT395,AT396,AT394)</f>
        <v>-19.2269222941877</v>
      </c>
      <c r="AU397" s="12">
        <f>SUM(AU392,AU393,AU395,AU396,AU394)</f>
        <v>-23.2246966272303</v>
      </c>
      <c r="AV397" s="12">
        <f>SUM(AV392,AV393,AV395,AV396)</f>
        <v>-91.9153423883379</v>
      </c>
      <c r="AW397" s="12">
        <f>SUM(AW392,AW393,AW395,AW396,AW394)</f>
        <v>-24.8449488073184</v>
      </c>
      <c r="AX397" s="12">
        <f>SUM(AX392,AX393,AX395,AX396,AX394)</f>
        <v>-32.1986982840691</v>
      </c>
      <c r="AY397" s="12">
        <f>SUM(AY392,AY393,AY395,AY396,AY394)</f>
        <v>-22.1732957636453</v>
      </c>
      <c r="AZ397" s="12">
        <f>SUM(AZ392,AZ393,AZ395,AZ396,AZ394)</f>
        <v>-26.7836973311213</v>
      </c>
      <c r="BA397" s="12">
        <f>SUM(BA392,BA393,BA395,BA396)</f>
        <v>-106.000640186154</v>
      </c>
      <c r="BB397" s="12">
        <f>SUM(BB392,BB393,BB395,BB396,BB394)</f>
        <v>-28.5280155733766</v>
      </c>
      <c r="BC397" s="12">
        <f>SUM(BC392,BC393,BC395,BC396,BC394)</f>
        <v>-36.9719001320624</v>
      </c>
      <c r="BD397" s="12">
        <f>SUM(BD392,BD393,BD395,BD396,BD394)</f>
        <v>-25.4603111386581</v>
      </c>
      <c r="BE397" s="12">
        <f>SUM(BE392,BE393,BE395,BE396,BE394)</f>
        <v>-30.7541682013756</v>
      </c>
      <c r="BF397" s="12">
        <f>SUM(BF392,BF393,BF395,BF396)</f>
        <v>-121.714395045473</v>
      </c>
      <c r="BG397" s="12" t="n"/>
      <c r="BH397" s="12" t="n"/>
      <c r="BI397" s="12" t="n"/>
      <c r="BJ397" s="12" t="n"/>
      <c r="BK397" s="12" t="n"/>
      <c r="BL397" s="12" t="n"/>
      <c r="BM397" s="12" t="n"/>
      <c r="BN397" s="12" t="n"/>
      <c r="BO397" s="12" t="n"/>
      <c r="BP397" s="12" t="n"/>
      <c r="BQ397" s="12" t="n"/>
      <c r="BR397" s="12" t="n"/>
      <c r="BS397" s="12" t="n"/>
      <c r="BT397" s="12" t="n"/>
      <c r="BU397" s="12" t="n"/>
      <c r="BV397" s="12" t="n"/>
      <c r="BW397" s="12" t="n"/>
      <c r="BX397" s="12" t="n"/>
      <c r="BY397" s="12" t="n"/>
      <c r="BZ397" s="12" t="n"/>
      <c r="CA397" s="12" t="n"/>
      <c r="CB397" s="12" t="n"/>
      <c r="CC397" s="12" t="n"/>
      <c r="CD397" s="12" t="n"/>
      <c r="CE397" s="12" t="n"/>
      <c r="CF397" s="12" t="n"/>
      <c r="CG397" s="12" t="n"/>
      <c r="CH397" s="12" t="n"/>
      <c r="CI397" s="12" t="n"/>
      <c r="CJ397" s="12" t="n"/>
      <c r="CK397" s="12" t="n"/>
      <c r="CL397" s="12" t="n"/>
      <c r="CM397" s="12" t="n"/>
      <c r="CN397" s="12" t="n"/>
      <c r="CO397" s="12" t="n"/>
      <c r="CP397" s="12" t="n"/>
      <c r="CQ397" s="12" t="n"/>
      <c r="CR397" s="12" t="n"/>
      <c r="CS397" s="12" t="n"/>
      <c r="CT397" s="12" t="n"/>
      <c r="CU397" s="12" t="n"/>
      <c r="CV397" s="12" t="n"/>
      <c r="CW397" s="12" t="n"/>
      <c r="CX397" s="12" t="n"/>
      <c r="CY397" s="12" t="n"/>
    </row>
    <row r="398">
      <c r="C398" s="14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  <c r="AL398" s="12" t="n"/>
      <c r="AM398" s="12" t="n"/>
      <c r="AN398" s="12" t="n"/>
      <c r="AO398" s="12" t="n"/>
      <c r="AP398" s="12" t="n"/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  <c r="BJ398" s="12" t="n"/>
      <c r="BK398" s="12" t="n"/>
      <c r="BL398" s="12" t="n"/>
      <c r="BM398" s="12" t="n"/>
      <c r="BN398" s="12" t="n"/>
      <c r="BO398" s="12" t="n"/>
      <c r="BP398" s="12" t="n"/>
      <c r="BQ398" s="12" t="n"/>
      <c r="BR398" s="12" t="n"/>
      <c r="BS398" s="12" t="n"/>
      <c r="BT398" s="12" t="n"/>
      <c r="BU398" s="12" t="n"/>
      <c r="BV398" s="12" t="n"/>
      <c r="BW398" s="12" t="n"/>
      <c r="BX398" s="12" t="n"/>
      <c r="BY398" s="12" t="n"/>
      <c r="BZ398" s="12" t="n"/>
      <c r="CA398" s="12" t="n"/>
      <c r="CB398" s="12" t="n"/>
      <c r="CC398" s="12" t="n"/>
      <c r="CD398" s="12" t="n"/>
      <c r="CE398" s="12" t="n"/>
      <c r="CF398" s="12" t="n"/>
      <c r="CG398" s="12" t="n"/>
      <c r="CH398" s="12" t="n"/>
      <c r="CI398" s="12" t="n"/>
      <c r="CJ398" s="12" t="n"/>
      <c r="CK398" s="12" t="n"/>
      <c r="CL398" s="12" t="n"/>
      <c r="CM398" s="12" t="n"/>
      <c r="CN398" s="12" t="n"/>
      <c r="CO398" s="12" t="n"/>
      <c r="CP398" s="12" t="n"/>
      <c r="CQ398" s="12" t="n"/>
      <c r="CR398" s="12" t="n"/>
      <c r="CS398" s="12" t="n"/>
      <c r="CT398" s="12" t="n"/>
      <c r="CU398" s="12" t="n"/>
      <c r="CV398" s="12" t="n"/>
      <c r="CW398" s="12" t="n"/>
      <c r="CX398" s="12" t="n"/>
      <c r="CY398" s="12" t="n"/>
    </row>
    <row r="399">
      <c r="C399" s="14" t="inlineStr">
        <is>
          <t>Convertible preferred stock</t>
        </is>
      </c>
      <c r="D399" s="12" t="n"/>
      <c r="E399" s="12" t="n"/>
      <c r="F399" s="12" t="n"/>
      <c r="G399" s="12" t="n"/>
      <c r="H399" s="12" t="n"/>
      <c r="I399" s="12" t="n"/>
      <c r="J399" s="12">
        <f>J350-I350</f>
        <v>0</v>
      </c>
      <c r="K399" s="12">
        <f>K350-J350</f>
        <v>0</v>
      </c>
      <c r="L399" s="12">
        <f>L350-K350</f>
        <v>0</v>
      </c>
      <c r="M399" s="12" t="n"/>
      <c r="N399" s="12">
        <f>N350-M350</f>
        <v>0</v>
      </c>
      <c r="O399" s="12">
        <f>O350-N350</f>
        <v>0</v>
      </c>
      <c r="P399" s="12">
        <f>P350-O350</f>
        <v>0</v>
      </c>
      <c r="Q399" s="12">
        <f>Q350-P350</f>
        <v>0</v>
      </c>
      <c r="R399" s="12">
        <f>SUM(N399:Q399)</f>
        <v>0</v>
      </c>
      <c r="S399" s="12">
        <f>S350-R350</f>
        <v>0</v>
      </c>
      <c r="T399" s="12">
        <f>T350-S350</f>
        <v>0</v>
      </c>
      <c r="U399" s="12">
        <f>U350-T350</f>
        <v>0</v>
      </c>
      <c r="V399" s="12">
        <f>V350-U350</f>
        <v>0</v>
      </c>
      <c r="W399" s="12">
        <f>SUM(S399:V399)</f>
        <v>0</v>
      </c>
      <c r="X399" s="12">
        <f>X350-W350</f>
        <v>0</v>
      </c>
      <c r="Y399" s="12">
        <f>Y350-X350</f>
        <v>0</v>
      </c>
      <c r="Z399" s="12">
        <f>Z350-Y350</f>
        <v>0</v>
      </c>
      <c r="AA399" s="12">
        <f>AA350-Z350</f>
        <v>0</v>
      </c>
      <c r="AB399" s="12">
        <f>SUM(X399:AA399)</f>
        <v>0</v>
      </c>
      <c r="AC399" s="12">
        <f>AC350-AB350</f>
        <v>0</v>
      </c>
      <c r="AD399" s="12">
        <f>AD350-AC350</f>
        <v>0</v>
      </c>
      <c r="AE399" s="12">
        <f>AE350-AD350</f>
        <v>0</v>
      </c>
      <c r="AF399" s="12">
        <f>AF350-AE350</f>
        <v>0</v>
      </c>
      <c r="AG399" s="12">
        <f>SUM(AC399:AF399)</f>
        <v>0</v>
      </c>
      <c r="AH399" s="12">
        <f>AH350-AG350</f>
        <v>0</v>
      </c>
      <c r="AI399" s="12">
        <f>AI350-AH350</f>
        <v>0</v>
      </c>
      <c r="AJ399" s="12">
        <f>AJ350-AI350</f>
        <v>0</v>
      </c>
      <c r="AK399" s="12">
        <f>AK350-AJ350</f>
        <v>0</v>
      </c>
      <c r="AL399" s="12">
        <f>SUM(AH399:AK399)</f>
        <v>0</v>
      </c>
      <c r="AM399" s="12">
        <f>AM350-AL350</f>
        <v>0</v>
      </c>
      <c r="AN399" s="12">
        <f>AN350-AM350</f>
        <v>0</v>
      </c>
      <c r="AO399" s="12">
        <f>AO350-AN350</f>
        <v>0</v>
      </c>
      <c r="AP399" s="12">
        <f>AP350-AO350</f>
        <v>0</v>
      </c>
      <c r="AQ399" s="12">
        <f>SUM(AM399:AP399)</f>
        <v>0</v>
      </c>
      <c r="AR399" s="12">
        <f>AR350-AQ350</f>
        <v>0</v>
      </c>
      <c r="AS399" s="12">
        <f>AS350-AR350</f>
        <v>0</v>
      </c>
      <c r="AT399" s="12">
        <f>AT350-AS350</f>
        <v>0</v>
      </c>
      <c r="AU399" s="12">
        <f>AU350-AT350</f>
        <v>0</v>
      </c>
      <c r="AV399" s="12">
        <f>SUM(AR399:AU399)</f>
        <v>0</v>
      </c>
      <c r="AW399" s="12">
        <f>AW350-AV350</f>
        <v>0</v>
      </c>
      <c r="AX399" s="12">
        <f>AX350-AW350</f>
        <v>0</v>
      </c>
      <c r="AY399" s="12">
        <f>AY350-AX350</f>
        <v>0</v>
      </c>
      <c r="AZ399" s="12">
        <f>AZ350-AY350</f>
        <v>0</v>
      </c>
      <c r="BA399" s="12">
        <f>SUM(AW399:AZ399)</f>
        <v>0</v>
      </c>
      <c r="BB399" s="12">
        <f>BB350-BA350</f>
        <v>0</v>
      </c>
      <c r="BC399" s="12">
        <f>BC350-BB350</f>
        <v>0</v>
      </c>
      <c r="BD399" s="12">
        <f>BD350-BC350</f>
        <v>0</v>
      </c>
      <c r="BE399" s="12">
        <f>BE350-BD350</f>
        <v>0</v>
      </c>
      <c r="BF399" s="12">
        <f>SUM(BB399:BE399)</f>
        <v>0</v>
      </c>
      <c r="BG399" s="12" t="n"/>
      <c r="BH399" s="12" t="n"/>
      <c r="BI399" s="12" t="n"/>
      <c r="BJ399" s="12" t="n"/>
      <c r="BK399" s="12" t="n"/>
      <c r="BL399" s="12" t="n"/>
      <c r="BM399" s="12" t="n"/>
      <c r="BN399" s="12" t="n"/>
      <c r="BO399" s="12" t="n"/>
      <c r="BP399" s="12" t="n"/>
      <c r="BQ399" s="12" t="n"/>
      <c r="BR399" s="12" t="n"/>
      <c r="BS399" s="12" t="n"/>
      <c r="BT399" s="12" t="n"/>
      <c r="BU399" s="12" t="n"/>
      <c r="BV399" s="12" t="n"/>
      <c r="BW399" s="12" t="n"/>
      <c r="BX399" s="12" t="n"/>
      <c r="BY399" s="12" t="n"/>
      <c r="BZ399" s="12" t="n"/>
      <c r="CA399" s="12" t="n"/>
      <c r="CB399" s="12" t="n"/>
      <c r="CC399" s="12" t="n"/>
      <c r="CD399" s="12" t="n"/>
      <c r="CE399" s="12" t="n"/>
      <c r="CF399" s="12" t="n"/>
      <c r="CG399" s="12" t="n"/>
      <c r="CH399" s="12" t="n"/>
      <c r="CI399" s="12" t="n"/>
      <c r="CJ399" s="12" t="n"/>
      <c r="CK399" s="12" t="n"/>
      <c r="CL399" s="12" t="n"/>
      <c r="CM399" s="12" t="n"/>
      <c r="CN399" s="12" t="n"/>
      <c r="CO399" s="12" t="n"/>
      <c r="CP399" s="12" t="n"/>
      <c r="CQ399" s="12" t="n"/>
      <c r="CR399" s="12" t="n"/>
      <c r="CS399" s="12" t="n"/>
      <c r="CT399" s="12" t="n"/>
      <c r="CU399" s="12" t="n"/>
      <c r="CV399" s="12" t="n"/>
      <c r="CW399" s="12" t="n"/>
      <c r="CX399" s="12" t="n"/>
      <c r="CY399" s="12" t="n"/>
    </row>
    <row r="400">
      <c r="C400" s="14" t="inlineStr">
        <is>
          <t>Common stock and APIC</t>
        </is>
      </c>
      <c r="D400" s="12" t="n"/>
      <c r="E400" s="12" t="n"/>
      <c r="F400" s="12" t="n"/>
      <c r="G400" s="12" t="n"/>
      <c r="H400" s="12" t="n"/>
      <c r="I400" s="12" t="n"/>
      <c r="J400" s="12">
        <f>J351-I351</f>
        <v>0</v>
      </c>
      <c r="K400" s="12">
        <f>K351-J351</f>
        <v>-18.866</v>
      </c>
      <c r="L400" s="12">
        <f>L351-K351</f>
        <v>79.6100000000001</v>
      </c>
      <c r="M400" s="12" t="n"/>
      <c r="N400" s="12">
        <f>N351-M351</f>
        <v>137.282</v>
      </c>
      <c r="O400" s="12">
        <f>O351-N351</f>
        <v>0</v>
      </c>
      <c r="P400" s="12">
        <f>P351-O351</f>
        <v>-201.575</v>
      </c>
      <c r="Q400" s="12">
        <f>Q351-P351</f>
        <v>0</v>
      </c>
      <c r="R400" s="12">
        <f>SUM(N400:Q400)</f>
        <v>-64.2930000000001</v>
      </c>
      <c r="S400" s="12">
        <f>S351-R351</f>
        <v>0</v>
      </c>
      <c r="T400" s="12">
        <f>T351-S351</f>
        <v>379.181</v>
      </c>
      <c r="U400" s="12">
        <f>U351-T351</f>
        <v>0</v>
      </c>
      <c r="V400" s="12">
        <f>V351-U351</f>
        <v>0</v>
      </c>
      <c r="W400" s="12">
        <f>SUM(S400:V400)</f>
        <v>379.181</v>
      </c>
      <c r="X400" s="12">
        <f>X351-W351</f>
        <v>0</v>
      </c>
      <c r="Y400" s="12">
        <f>Y351-X351</f>
        <v>362.785</v>
      </c>
      <c r="Z400" s="12">
        <f>Z351-Y351</f>
        <v>0</v>
      </c>
      <c r="AA400" s="12">
        <f>AA351-Z351</f>
        <v>0</v>
      </c>
      <c r="AB400" s="12">
        <f>SUM(X400:AA400)</f>
        <v>362.785</v>
      </c>
      <c r="AC400" s="12">
        <f>AC351-AB351</f>
        <v>0</v>
      </c>
      <c r="AD400" s="12">
        <f>AD351-AC351</f>
        <v>349.531</v>
      </c>
      <c r="AE400" s="12">
        <f>AE351-AD351</f>
        <v>0</v>
      </c>
      <c r="AF400" s="12">
        <f>AF351-AE351</f>
        <v>0</v>
      </c>
      <c r="AG400" s="12">
        <f>SUM(AC400:AF400)</f>
        <v>349.531</v>
      </c>
      <c r="AH400" s="12">
        <f>AH351-AG351</f>
        <v>0</v>
      </c>
      <c r="AI400" s="12">
        <f>AI351-AH351</f>
        <v>0</v>
      </c>
      <c r="AJ400" s="12">
        <f>AJ351-AI351</f>
        <v>0</v>
      </c>
      <c r="AK400" s="12">
        <f>AK351-AJ351</f>
        <v>0</v>
      </c>
      <c r="AL400" s="12">
        <f>SUM(AH400:AK400)</f>
        <v>0</v>
      </c>
      <c r="AM400" s="12">
        <f>AM351-AL351</f>
        <v>0</v>
      </c>
      <c r="AN400" s="12">
        <f>AN351-AM351</f>
        <v>0</v>
      </c>
      <c r="AO400" s="12">
        <f>AO351-AN351</f>
        <v>0</v>
      </c>
      <c r="AP400" s="12">
        <f>AP351-AO351</f>
        <v>0</v>
      </c>
      <c r="AQ400" s="12">
        <f>SUM(AM400:AP400)</f>
        <v>0</v>
      </c>
      <c r="AR400" s="12">
        <f>AR351-AQ351</f>
        <v>0</v>
      </c>
      <c r="AS400" s="12">
        <f>AS351-AR351</f>
        <v>0</v>
      </c>
      <c r="AT400" s="12">
        <f>AT351-AS351</f>
        <v>0</v>
      </c>
      <c r="AU400" s="12">
        <f>AU351-AT351</f>
        <v>0</v>
      </c>
      <c r="AV400" s="12">
        <f>SUM(AR400:AU400)</f>
        <v>0</v>
      </c>
      <c r="AW400" s="12">
        <f>AW351-AV351</f>
        <v>0</v>
      </c>
      <c r="AX400" s="12">
        <f>AX351-AW351</f>
        <v>0</v>
      </c>
      <c r="AY400" s="12">
        <f>AY351-AX351</f>
        <v>0</v>
      </c>
      <c r="AZ400" s="12">
        <f>AZ351-AY351</f>
        <v>0</v>
      </c>
      <c r="BA400" s="12">
        <f>SUM(AW400:AZ400)</f>
        <v>0</v>
      </c>
      <c r="BB400" s="12">
        <f>BB351-BA351</f>
        <v>0</v>
      </c>
      <c r="BC400" s="12">
        <f>BC351-BB351</f>
        <v>0</v>
      </c>
      <c r="BD400" s="12">
        <f>BD351-BC351</f>
        <v>0</v>
      </c>
      <c r="BE400" s="12">
        <f>BE351-BD351</f>
        <v>0</v>
      </c>
      <c r="BF400" s="12">
        <f>SUM(BB400:BE400)</f>
        <v>0</v>
      </c>
      <c r="BG400" s="12" t="n"/>
      <c r="BH400" s="12" t="n"/>
      <c r="BI400" s="12" t="n"/>
      <c r="BJ400" s="12" t="n"/>
      <c r="BK400" s="12" t="n"/>
      <c r="BL400" s="12" t="n"/>
      <c r="BM400" s="12" t="n"/>
      <c r="BN400" s="12" t="n"/>
      <c r="BO400" s="12" t="n"/>
      <c r="BP400" s="12" t="n"/>
      <c r="BQ400" s="12" t="n"/>
      <c r="BR400" s="12" t="n"/>
      <c r="BS400" s="12" t="n"/>
      <c r="BT400" s="12" t="n"/>
      <c r="BU400" s="12" t="n"/>
      <c r="BV400" s="12" t="n"/>
      <c r="BW400" s="12" t="n"/>
      <c r="BX400" s="12" t="n"/>
      <c r="BY400" s="12" t="n"/>
      <c r="BZ400" s="12" t="n"/>
      <c r="CA400" s="12" t="n"/>
      <c r="CB400" s="12" t="n"/>
      <c r="CC400" s="12" t="n"/>
      <c r="CD400" s="12" t="n"/>
      <c r="CE400" s="12" t="n"/>
      <c r="CF400" s="12" t="n"/>
      <c r="CG400" s="12" t="n"/>
      <c r="CH400" s="12" t="n"/>
      <c r="CI400" s="12" t="n"/>
      <c r="CJ400" s="12" t="n"/>
      <c r="CK400" s="12" t="n"/>
      <c r="CL400" s="12" t="n"/>
      <c r="CM400" s="12" t="n"/>
      <c r="CN400" s="12" t="n"/>
      <c r="CO400" s="12" t="n"/>
      <c r="CP400" s="12" t="n"/>
      <c r="CQ400" s="12" t="n"/>
      <c r="CR400" s="12" t="n"/>
      <c r="CS400" s="12" t="n"/>
      <c r="CT400" s="12" t="n"/>
      <c r="CU400" s="12" t="n"/>
      <c r="CV400" s="12" t="n"/>
      <c r="CW400" s="12" t="n"/>
      <c r="CX400" s="12" t="n"/>
      <c r="CY400" s="12" t="n"/>
    </row>
    <row r="401">
      <c r="C401" s="14" t="inlineStr">
        <is>
          <t>Treasury stock repurchases</t>
        </is>
      </c>
      <c r="D401" s="12" t="n"/>
      <c r="E401" s="12" t="n"/>
      <c r="F401" s="12" t="n"/>
      <c r="G401" s="12" t="n"/>
      <c r="H401" s="12" t="n"/>
      <c r="I401" s="12" t="n"/>
      <c r="J401" s="12">
        <f>J364-I364</f>
        <v>0</v>
      </c>
      <c r="K401" s="12">
        <f>K364-J364</f>
        <v>0</v>
      </c>
      <c r="L401" s="12">
        <f>L364-K364</f>
        <v>0</v>
      </c>
      <c r="M401" s="12" t="n"/>
      <c r="N401" s="12">
        <f>N364-M364</f>
        <v>0</v>
      </c>
      <c r="O401" s="12">
        <f>O364-N364</f>
        <v>0</v>
      </c>
      <c r="P401" s="12">
        <f>P364-O364</f>
        <v>0</v>
      </c>
      <c r="Q401" s="12">
        <f>Q364-P364</f>
        <v>0</v>
      </c>
      <c r="R401" s="12">
        <f>SUM(N401:Q401)</f>
        <v>0</v>
      </c>
      <c r="S401" s="12">
        <f>S364-R364</f>
        <v>0</v>
      </c>
      <c r="T401" s="12">
        <f>T364-S364</f>
        <v>0</v>
      </c>
      <c r="U401" s="12">
        <f>U364-T364</f>
        <v>0</v>
      </c>
      <c r="V401" s="12">
        <f>V364-U364</f>
        <v>0</v>
      </c>
      <c r="W401" s="12">
        <f>SUM(S401:V401)</f>
        <v>0</v>
      </c>
      <c r="X401" s="12">
        <f>X364-W364</f>
        <v>0</v>
      </c>
      <c r="Y401" s="12">
        <f>Y364-X364</f>
        <v>0</v>
      </c>
      <c r="Z401" s="12">
        <f>Z364-Y364</f>
        <v>0</v>
      </c>
      <c r="AA401" s="12">
        <f>AA364-Z364</f>
        <v>0</v>
      </c>
      <c r="AB401" s="12">
        <f>SUM(X401:AA401)</f>
        <v>0</v>
      </c>
      <c r="AC401" s="12">
        <f>AC364-AB364</f>
        <v>0</v>
      </c>
      <c r="AD401" s="12">
        <f>AD364-AC364</f>
        <v>0</v>
      </c>
      <c r="AE401" s="12">
        <f>AE364-AD364</f>
        <v>0</v>
      </c>
      <c r="AF401" s="12">
        <f>AF364-AE364</f>
        <v>0</v>
      </c>
      <c r="AG401" s="12">
        <f>SUM(AC401:AF401)</f>
        <v>0</v>
      </c>
      <c r="AH401" s="12">
        <f>AH364-AG364</f>
        <v>0</v>
      </c>
      <c r="AI401" s="12">
        <f>AI364-AH364</f>
        <v>0</v>
      </c>
      <c r="AJ401" s="12">
        <f>AJ364-AI364</f>
        <v>0</v>
      </c>
      <c r="AK401" s="12">
        <f>AK364-AJ364</f>
        <v>0</v>
      </c>
      <c r="AL401" s="12">
        <f>SUM(AH401:AK401)</f>
        <v>0</v>
      </c>
      <c r="AM401" s="12">
        <f>AM364-AL364</f>
        <v>0</v>
      </c>
      <c r="AN401" s="12">
        <f>AN364-AM364</f>
        <v>0</v>
      </c>
      <c r="AO401" s="12">
        <f>AO364-AN364</f>
        <v>0</v>
      </c>
      <c r="AP401" s="12">
        <f>AP364-AO364</f>
        <v>0</v>
      </c>
      <c r="AQ401" s="12">
        <f>SUM(AM401:AP401)</f>
        <v>0</v>
      </c>
      <c r="AR401" s="12">
        <f>AR364-AQ364</f>
        <v>0</v>
      </c>
      <c r="AS401" s="12">
        <f>AS364-AR364</f>
        <v>0</v>
      </c>
      <c r="AT401" s="12">
        <f>AT364-AS364</f>
        <v>0</v>
      </c>
      <c r="AU401" s="12">
        <f>AU364-AT364</f>
        <v>0</v>
      </c>
      <c r="AV401" s="12">
        <f>SUM(AR401:AU401)</f>
        <v>0</v>
      </c>
      <c r="AW401" s="12">
        <f>AW364-AV364</f>
        <v>0</v>
      </c>
      <c r="AX401" s="12">
        <f>AX364-AW364</f>
        <v>0</v>
      </c>
      <c r="AY401" s="12">
        <f>AY364-AX364</f>
        <v>0</v>
      </c>
      <c r="AZ401" s="12">
        <f>AZ364-AY364</f>
        <v>0</v>
      </c>
      <c r="BA401" s="12">
        <f>SUM(AW401:AZ401)</f>
        <v>0</v>
      </c>
      <c r="BB401" s="12">
        <f>BB364-BA364</f>
        <v>0</v>
      </c>
      <c r="BC401" s="12">
        <f>BC364-BB364</f>
        <v>0</v>
      </c>
      <c r="BD401" s="12">
        <f>BD364-BC364</f>
        <v>0</v>
      </c>
      <c r="BE401" s="12">
        <f>BE364-BD364</f>
        <v>0</v>
      </c>
      <c r="BF401" s="12">
        <f>SUM(BB401:BE401)</f>
        <v>0</v>
      </c>
      <c r="BG401" s="12" t="n"/>
      <c r="BH401" s="12" t="n"/>
      <c r="BI401" s="12" t="n"/>
      <c r="BJ401" s="12" t="n"/>
      <c r="BK401" s="12" t="n"/>
      <c r="BL401" s="12" t="n"/>
      <c r="BM401" s="12" t="n"/>
      <c r="BN401" s="12" t="n"/>
      <c r="BO401" s="12" t="n"/>
      <c r="BP401" s="12" t="n"/>
      <c r="BQ401" s="12" t="n"/>
      <c r="BR401" s="12" t="n"/>
      <c r="BS401" s="12" t="n"/>
      <c r="BT401" s="12" t="n"/>
      <c r="BU401" s="12" t="n"/>
      <c r="BV401" s="12" t="n"/>
      <c r="BW401" s="12" t="n"/>
      <c r="BX401" s="12" t="n"/>
      <c r="BY401" s="12" t="n"/>
      <c r="BZ401" s="12" t="n"/>
      <c r="CA401" s="12" t="n"/>
      <c r="CB401" s="12" t="n"/>
      <c r="CC401" s="12" t="n"/>
      <c r="CD401" s="12" t="n"/>
      <c r="CE401" s="12" t="n"/>
      <c r="CF401" s="12" t="n"/>
      <c r="CG401" s="12" t="n"/>
      <c r="CH401" s="12" t="n"/>
      <c r="CI401" s="12" t="n"/>
      <c r="CJ401" s="12" t="n"/>
      <c r="CK401" s="12" t="n"/>
      <c r="CL401" s="12" t="n"/>
      <c r="CM401" s="12" t="n"/>
      <c r="CN401" s="12" t="n"/>
      <c r="CO401" s="12" t="n"/>
      <c r="CP401" s="12" t="n"/>
      <c r="CQ401" s="12" t="n"/>
      <c r="CR401" s="12" t="n"/>
      <c r="CS401" s="12" t="n"/>
      <c r="CT401" s="12" t="n"/>
      <c r="CU401" s="12" t="n"/>
      <c r="CV401" s="12" t="n"/>
      <c r="CW401" s="12" t="n"/>
      <c r="CX401" s="12" t="n"/>
      <c r="CY401" s="12" t="n"/>
    </row>
    <row r="402">
      <c r="C402" s="14" t="inlineStr">
        <is>
          <t>Comprehensive accumulated loss</t>
        </is>
      </c>
      <c r="D402" s="12" t="n"/>
      <c r="E402" s="12" t="n"/>
      <c r="F402" s="12" t="n"/>
      <c r="G402" s="12" t="n"/>
      <c r="H402" s="12" t="n"/>
      <c r="I402" s="12" t="n"/>
      <c r="J402" s="12">
        <f>J365-I365</f>
        <v>-51.772</v>
      </c>
      <c r="K402" s="12">
        <f>K365-J365</f>
        <v>10.094</v>
      </c>
      <c r="L402" s="12">
        <f>L365-K365</f>
        <v>8.849</v>
      </c>
      <c r="M402" s="12" t="n"/>
      <c r="N402" s="12">
        <f>N365-M365</f>
        <v>-35.364</v>
      </c>
      <c r="O402" s="12">
        <f>O365-N365</f>
        <v>18.658</v>
      </c>
      <c r="P402" s="12">
        <f>P365-O365</f>
        <v>-8.299</v>
      </c>
      <c r="Q402" s="12">
        <f>Q365-P365</f>
        <v>-0.368000000000002</v>
      </c>
      <c r="R402" s="12">
        <f>SUM(N402:Q402)</f>
        <v>-25.373</v>
      </c>
      <c r="S402" s="12">
        <f>S365-R365</f>
        <v>-5.681</v>
      </c>
      <c r="T402" s="12">
        <f>T365-S365</f>
        <v>8.735</v>
      </c>
      <c r="U402" s="12">
        <f>U365-T365</f>
        <v>13.618</v>
      </c>
      <c r="V402" s="12">
        <f>V365-U365</f>
        <v>-16.227</v>
      </c>
      <c r="W402" s="12">
        <f>SUM(S402:V402)</f>
        <v>0.445</v>
      </c>
      <c r="X402" s="12">
        <f>X365-W365</f>
        <v>11.713</v>
      </c>
      <c r="Y402" s="12">
        <f>Y365-X365</f>
        <v>21.377</v>
      </c>
      <c r="Z402" s="12">
        <f>Z365-Y365</f>
        <v>-6.431</v>
      </c>
      <c r="AA402" s="12">
        <f>AA365-Z365</f>
        <v>31.776</v>
      </c>
      <c r="AB402" s="12">
        <f>SUM(X402:AA402)</f>
        <v>58.435</v>
      </c>
      <c r="AC402" s="12">
        <f>AC365-AB365</f>
        <v>-19.932</v>
      </c>
      <c r="AD402" s="12">
        <f>AD365-AC365</f>
        <v>-134.794</v>
      </c>
      <c r="AE402" s="12">
        <f>AE365-AD365</f>
        <v>135.463</v>
      </c>
      <c r="AF402" s="12">
        <f>AF365-AE365</f>
        <v>89.385</v>
      </c>
      <c r="AG402" s="12">
        <f>SUM(AC402:AF402)</f>
        <v>70.122</v>
      </c>
      <c r="AH402" s="12">
        <f>AH365-AG365</f>
        <v>-75.165</v>
      </c>
      <c r="AI402" s="12">
        <f>AI365-AH365</f>
        <v>16.238</v>
      </c>
      <c r="AJ402" s="12">
        <f>AJ365-AI365</f>
        <v>0</v>
      </c>
      <c r="AK402" s="12">
        <f>AK365-AJ365</f>
        <v>0</v>
      </c>
      <c r="AL402" s="12">
        <f>SUM(AH402:AK402)</f>
        <v>-58.927</v>
      </c>
      <c r="AM402" s="12">
        <f>AM365-AL365</f>
        <v>0</v>
      </c>
      <c r="AN402" s="12">
        <f>AN365-AM365</f>
        <v>0</v>
      </c>
      <c r="AO402" s="12">
        <f>AO365-AN365</f>
        <v>0</v>
      </c>
      <c r="AP402" s="12">
        <f>AP365-AO365</f>
        <v>0</v>
      </c>
      <c r="AQ402" s="12">
        <f>SUM(AM402:AP402)</f>
        <v>0</v>
      </c>
      <c r="AR402" s="12">
        <f>AR365-AQ365</f>
        <v>0</v>
      </c>
      <c r="AS402" s="12">
        <f>AS365-AR365</f>
        <v>0</v>
      </c>
      <c r="AT402" s="12">
        <f>AT365-AS365</f>
        <v>0</v>
      </c>
      <c r="AU402" s="12">
        <f>AU365-AT365</f>
        <v>0</v>
      </c>
      <c r="AV402" s="12">
        <f>SUM(AR402:AU402)</f>
        <v>0</v>
      </c>
      <c r="AW402" s="12">
        <f>AW365-AV365</f>
        <v>0</v>
      </c>
      <c r="AX402" s="12">
        <f>AX365-AW365</f>
        <v>0</v>
      </c>
      <c r="AY402" s="12">
        <f>AY365-AX365</f>
        <v>0</v>
      </c>
      <c r="AZ402" s="12">
        <f>AZ365-AY365</f>
        <v>0</v>
      </c>
      <c r="BA402" s="12">
        <f>SUM(AW402:AZ402)</f>
        <v>0</v>
      </c>
      <c r="BB402" s="12">
        <f>BB365-BA365</f>
        <v>0</v>
      </c>
      <c r="BC402" s="12">
        <f>BC365-BB365</f>
        <v>0</v>
      </c>
      <c r="BD402" s="12">
        <f>BD365-BC365</f>
        <v>0</v>
      </c>
      <c r="BE402" s="12">
        <f>BE365-BD365</f>
        <v>0</v>
      </c>
      <c r="BF402" s="12">
        <f>SUM(BB402:BE402)</f>
        <v>0</v>
      </c>
      <c r="BG402" s="12" t="n"/>
      <c r="BH402" s="12" t="n"/>
      <c r="BI402" s="12" t="n"/>
      <c r="BJ402" s="12" t="n"/>
      <c r="BK402" s="12" t="n"/>
      <c r="BL402" s="12" t="n"/>
      <c r="BM402" s="12" t="n"/>
      <c r="BN402" s="12" t="n"/>
      <c r="BO402" s="12" t="n"/>
      <c r="BP402" s="12" t="n"/>
      <c r="BQ402" s="12" t="n"/>
      <c r="BR402" s="12" t="n"/>
      <c r="BS402" s="12" t="n"/>
      <c r="BT402" s="12" t="n"/>
      <c r="BU402" s="12" t="n"/>
      <c r="BV402" s="12" t="n"/>
      <c r="BW402" s="12" t="n"/>
      <c r="BX402" s="12" t="n"/>
      <c r="BY402" s="12" t="n"/>
      <c r="BZ402" s="12" t="n"/>
      <c r="CA402" s="12" t="n"/>
      <c r="CB402" s="12" t="n"/>
      <c r="CC402" s="12" t="n"/>
      <c r="CD402" s="12" t="n"/>
      <c r="CE402" s="12" t="n"/>
      <c r="CF402" s="12" t="n"/>
      <c r="CG402" s="12" t="n"/>
      <c r="CH402" s="12" t="n"/>
      <c r="CI402" s="12" t="n"/>
      <c r="CJ402" s="12" t="n"/>
      <c r="CK402" s="12" t="n"/>
      <c r="CL402" s="12" t="n"/>
      <c r="CM402" s="12" t="n"/>
      <c r="CN402" s="12" t="n"/>
      <c r="CO402" s="12" t="n"/>
      <c r="CP402" s="12" t="n"/>
      <c r="CQ402" s="12" t="n"/>
      <c r="CR402" s="12" t="n"/>
      <c r="CS402" s="12" t="n"/>
      <c r="CT402" s="12" t="n"/>
      <c r="CU402" s="12" t="n"/>
      <c r="CV402" s="12" t="n"/>
      <c r="CW402" s="12" t="n"/>
      <c r="CX402" s="12" t="n"/>
      <c r="CY402" s="12" t="n"/>
    </row>
    <row r="403">
      <c r="C403" s="14" t="inlineStr">
        <is>
          <t>Other equity account</t>
        </is>
      </c>
      <c r="D403" s="12" t="n"/>
      <c r="E403" s="12" t="n"/>
      <c r="F403" s="12" t="n"/>
      <c r="G403" s="12" t="n"/>
      <c r="H403" s="12" t="n"/>
      <c r="I403" s="12" t="n"/>
      <c r="J403" s="12">
        <f>J366-I366</f>
        <v>0</v>
      </c>
      <c r="K403" s="12">
        <f>K366-J366</f>
        <v>0</v>
      </c>
      <c r="L403" s="12">
        <f>L366-K366</f>
        <v>0</v>
      </c>
      <c r="M403" s="12" t="n"/>
      <c r="N403" s="12">
        <f>N366-M366</f>
        <v>754.965</v>
      </c>
      <c r="O403" s="12">
        <f>O366-N366</f>
        <v>0</v>
      </c>
      <c r="P403" s="12">
        <f>P366-O366</f>
        <v>0</v>
      </c>
      <c r="Q403" s="12">
        <f>Q366-P366</f>
        <v>496.492</v>
      </c>
      <c r="R403" s="12">
        <f>SUM(N403:Q403)</f>
        <v>1251.457</v>
      </c>
      <c r="S403" s="12">
        <f>S366-R366</f>
        <v>0</v>
      </c>
      <c r="T403" s="12">
        <f>T366-S366</f>
        <v>-328.787</v>
      </c>
      <c r="U403" s="12">
        <f>U366-T366</f>
        <v>0</v>
      </c>
      <c r="V403" s="12">
        <f>V366-U366</f>
        <v>346.639</v>
      </c>
      <c r="W403" s="12">
        <f>SUM(S403:V403)</f>
        <v>17.8520000000003</v>
      </c>
      <c r="X403" s="12">
        <f>X366-W366</f>
        <v>0</v>
      </c>
      <c r="Y403" s="12">
        <f>Y366-X366</f>
        <v>-362.784</v>
      </c>
      <c r="Z403" s="12">
        <f>Z366-Y366</f>
        <v>0</v>
      </c>
      <c r="AA403" s="12">
        <f>AA366-Z366</f>
        <v>826.154</v>
      </c>
      <c r="AB403" s="12">
        <f>SUM(X403:AA403)</f>
        <v>463.369999999999</v>
      </c>
      <c r="AC403" s="12">
        <f>AC366-AB366</f>
        <v>0</v>
      </c>
      <c r="AD403" s="12">
        <f>AD366-AC366</f>
        <v>-365.340999999999</v>
      </c>
      <c r="AE403" s="12">
        <f>AE366-AD366</f>
        <v>0</v>
      </c>
      <c r="AF403" s="12">
        <f>AF366-AE366</f>
        <v>869.451</v>
      </c>
      <c r="AG403" s="12">
        <f>SUM(AC403:AF403)</f>
        <v>504.110000000001</v>
      </c>
      <c r="AH403" s="12">
        <f>AH366-AG366</f>
        <v>0</v>
      </c>
      <c r="AI403" s="12">
        <f>AI366-AH366</f>
        <v>-9.88900000000012</v>
      </c>
      <c r="AJ403" s="12">
        <f>AJ366-AI366</f>
        <v>0</v>
      </c>
      <c r="AK403" s="12">
        <f>AK366-AJ366</f>
        <v>0</v>
      </c>
      <c r="AL403" s="12">
        <f>SUM(AH403:AK403)</f>
        <v>-9.88900000000012</v>
      </c>
      <c r="AM403" s="12">
        <f>AM366-AL366</f>
        <v>0</v>
      </c>
      <c r="AN403" s="12">
        <f>AN366-AM366</f>
        <v>0</v>
      </c>
      <c r="AO403" s="12">
        <f>AO366-AN366</f>
        <v>0</v>
      </c>
      <c r="AP403" s="12">
        <f>AP366-AO366</f>
        <v>0</v>
      </c>
      <c r="AQ403" s="12">
        <f>SUM(AM403:AP403)</f>
        <v>0</v>
      </c>
      <c r="AR403" s="12">
        <f>AR366-AQ366</f>
        <v>0</v>
      </c>
      <c r="AS403" s="12">
        <f>AS366-AR366</f>
        <v>0</v>
      </c>
      <c r="AT403" s="12">
        <f>AT366-AS366</f>
        <v>0</v>
      </c>
      <c r="AU403" s="12">
        <f>AU366-AT366</f>
        <v>0</v>
      </c>
      <c r="AV403" s="12">
        <f>SUM(AR403:AU403)</f>
        <v>0</v>
      </c>
      <c r="AW403" s="12">
        <f>AW366-AV366</f>
        <v>0</v>
      </c>
      <c r="AX403" s="12">
        <f>AX366-AW366</f>
        <v>0</v>
      </c>
      <c r="AY403" s="12">
        <f>AY366-AX366</f>
        <v>0</v>
      </c>
      <c r="AZ403" s="12">
        <f>AZ366-AY366</f>
        <v>0</v>
      </c>
      <c r="BA403" s="12">
        <f>SUM(AW403:AZ403)</f>
        <v>0</v>
      </c>
      <c r="BB403" s="12">
        <f>BB366-BA366</f>
        <v>0</v>
      </c>
      <c r="BC403" s="12">
        <f>BC366-BB366</f>
        <v>0</v>
      </c>
      <c r="BD403" s="12">
        <f>BD366-BC366</f>
        <v>0</v>
      </c>
      <c r="BE403" s="12">
        <f>BE366-BD366</f>
        <v>0</v>
      </c>
      <c r="BF403" s="12">
        <f>SUM(BB403:BE403)</f>
        <v>0</v>
      </c>
      <c r="BG403" s="12" t="n"/>
      <c r="BH403" s="12" t="n"/>
      <c r="BI403" s="12" t="n"/>
      <c r="BJ403" s="12" t="n"/>
      <c r="BK403" s="12" t="n"/>
      <c r="BL403" s="12" t="n"/>
      <c r="BM403" s="12" t="n"/>
      <c r="BN403" s="12" t="n"/>
      <c r="BO403" s="12" t="n"/>
      <c r="BP403" s="12" t="n"/>
      <c r="BQ403" s="12" t="n"/>
      <c r="BR403" s="12" t="n"/>
      <c r="BS403" s="12" t="n"/>
      <c r="BT403" s="12" t="n"/>
      <c r="BU403" s="12" t="n"/>
      <c r="BV403" s="12" t="n"/>
      <c r="BW403" s="12" t="n"/>
      <c r="BX403" s="12" t="n"/>
      <c r="BY403" s="12" t="n"/>
      <c r="BZ403" s="12" t="n"/>
      <c r="CA403" s="12" t="n"/>
      <c r="CB403" s="12" t="n"/>
      <c r="CC403" s="12" t="n"/>
      <c r="CD403" s="12" t="n"/>
      <c r="CE403" s="12" t="n"/>
      <c r="CF403" s="12" t="n"/>
      <c r="CG403" s="12" t="n"/>
      <c r="CH403" s="12" t="n"/>
      <c r="CI403" s="12" t="n"/>
      <c r="CJ403" s="12" t="n"/>
      <c r="CK403" s="12" t="n"/>
      <c r="CL403" s="12" t="n"/>
      <c r="CM403" s="12" t="n"/>
      <c r="CN403" s="12" t="n"/>
      <c r="CO403" s="12" t="n"/>
      <c r="CP403" s="12" t="n"/>
      <c r="CQ403" s="12" t="n"/>
      <c r="CR403" s="12" t="n"/>
      <c r="CS403" s="12" t="n"/>
      <c r="CT403" s="12" t="n"/>
      <c r="CU403" s="12" t="n"/>
      <c r="CV403" s="12" t="n"/>
      <c r="CW403" s="12" t="n"/>
      <c r="CX403" s="12" t="n"/>
      <c r="CY403" s="12" t="n"/>
    </row>
    <row r="404">
      <c r="C404" s="10" t="inlineStr">
        <is>
          <t>Common and preferred dividends</t>
        </is>
      </c>
      <c r="D404" s="12" t="n"/>
      <c r="E404" s="12" t="n"/>
      <c r="F404" s="12" t="n"/>
      <c r="G404" s="12" t="n"/>
      <c r="H404" s="12" t="n"/>
      <c r="I404" s="12" t="n"/>
      <c r="J404" s="12">
        <f>(J367-I367)-J374</f>
        <v>0</v>
      </c>
      <c r="K404" s="12">
        <f>(K367-J367)-K374</f>
        <v>0</v>
      </c>
      <c r="L404" s="12">
        <f>(L367-K367)-L374</f>
        <v>0</v>
      </c>
      <c r="M404" s="12" t="n"/>
      <c r="N404" s="12">
        <f>(N367-M367)-N374</f>
        <v>-1115.401</v>
      </c>
      <c r="O404" s="12">
        <f>(O367-N367)-O374</f>
        <v>0</v>
      </c>
      <c r="P404" s="12">
        <f>(P367-O367)-P374</f>
        <v>0</v>
      </c>
      <c r="Q404" s="12">
        <f>(Q367-P367)-Q374</f>
        <v>-918.466</v>
      </c>
      <c r="R404" s="12">
        <f>SUM(N404:Q404)</f>
        <v>-2033.867</v>
      </c>
      <c r="S404" s="12">
        <f>(S367-R367)-S374</f>
        <v>0</v>
      </c>
      <c r="T404" s="12">
        <f>(T367-S367)-T374</f>
        <v>0</v>
      </c>
      <c r="U404" s="12">
        <f>(U367-T367)-U374</f>
        <v>-36.5709999999999</v>
      </c>
      <c r="V404" s="12">
        <f>(V367-U367)-V374</f>
        <v>-657.492</v>
      </c>
      <c r="W404" s="12">
        <f>SUM(S404:V404)</f>
        <v>-694.063</v>
      </c>
      <c r="X404" s="12">
        <f>(X367-W367)-X374</f>
        <v>0</v>
      </c>
      <c r="Y404" s="12">
        <f>(Y367-X367)-Y374</f>
        <v>-66.5589999999999</v>
      </c>
      <c r="Z404" s="12">
        <f>(Z367-Y367)-Z374</f>
        <v>-57.0509999999999</v>
      </c>
      <c r="AA404" s="12">
        <f>(AA367-Z367)-AA374</f>
        <v>-962.48</v>
      </c>
      <c r="AB404" s="12">
        <f>SUM(X404:AA404)</f>
        <v>-1086.09</v>
      </c>
      <c r="AC404" s="12">
        <f>(AC367-AB367)-AC374</f>
        <v>0</v>
      </c>
      <c r="AD404" s="12">
        <f>(AD367-AC367)-AD374</f>
        <v>-69.2220000000001</v>
      </c>
      <c r="AE404" s="12">
        <f>(AE367-AD367)-AE374</f>
        <v>-69.221</v>
      </c>
      <c r="AF404" s="12">
        <f>(AF367-AE367)-AF374</f>
        <v>-1077.116</v>
      </c>
      <c r="AG404" s="12">
        <f>SUM(AC404:AF404)</f>
        <v>-1215.559</v>
      </c>
      <c r="AH404" s="12">
        <f>(AH367-AG367)-AH374</f>
        <v>0</v>
      </c>
      <c r="AI404" s="12">
        <f>(AI367-AH367)-AI374</f>
        <v>-69.222</v>
      </c>
      <c r="AJ404" s="12">
        <f>(AJ367-AI367)-AJ374</f>
        <v>0</v>
      </c>
      <c r="AK404" s="12">
        <f>(AK367-AJ367)-AK374</f>
        <v>0</v>
      </c>
      <c r="AL404" s="12">
        <f>SUM(AH404:AK404)</f>
        <v>-69.222</v>
      </c>
      <c r="AM404" s="12">
        <f>(AM367-AL367)-AM374</f>
        <v>0</v>
      </c>
      <c r="AN404" s="12">
        <f>(AN367-AM367)-AN374</f>
        <v>0</v>
      </c>
      <c r="AO404" s="12">
        <f>(AO367-AN367)-AO374</f>
        <v>0</v>
      </c>
      <c r="AP404" s="12">
        <f>(AP367-AO367)-AP374</f>
        <v>0</v>
      </c>
      <c r="AQ404" s="12">
        <f>SUM(AM404:AP404)</f>
        <v>0</v>
      </c>
      <c r="AR404" s="12">
        <f>(AR367-AQ367)-AR374</f>
        <v>0</v>
      </c>
      <c r="AS404" s="12">
        <f>(AS367-AR367)-AS374</f>
        <v>0</v>
      </c>
      <c r="AT404" s="12">
        <f>(AT367-AS367)-AT374</f>
        <v>0</v>
      </c>
      <c r="AU404" s="12">
        <f>(AU367-AT367)-AU374</f>
        <v>0</v>
      </c>
      <c r="AV404" s="12">
        <f>SUM(AR404:AU404)</f>
        <v>0</v>
      </c>
      <c r="AW404" s="12">
        <f>(AW367-AV367)-AW374</f>
        <v>0</v>
      </c>
      <c r="AX404" s="12">
        <f>(AX367-AW367)-AX374</f>
        <v>0</v>
      </c>
      <c r="AY404" s="12">
        <f>(AY367-AX367)-AY374</f>
        <v>0</v>
      </c>
      <c r="AZ404" s="12">
        <f>(AZ367-AY367)-AZ374</f>
        <v>0</v>
      </c>
      <c r="BA404" s="12">
        <f>SUM(AW404:AZ404)</f>
        <v>0</v>
      </c>
      <c r="BB404" s="12">
        <f>(BB367-BA367)-BB374</f>
        <v>0</v>
      </c>
      <c r="BC404" s="12">
        <f>(BC367-BB367)-BC374</f>
        <v>0</v>
      </c>
      <c r="BD404" s="12">
        <f>(BD367-BC367)-BD374</f>
        <v>0</v>
      </c>
      <c r="BE404" s="12">
        <f>(BE367-BD367)-BE374</f>
        <v>0</v>
      </c>
      <c r="BF404" s="12">
        <f>SUM(BB404:BE404)</f>
        <v>0</v>
      </c>
      <c r="BG404" s="12" t="n"/>
      <c r="BH404" s="12" t="n"/>
      <c r="BI404" s="12" t="n"/>
      <c r="BJ404" s="12" t="n"/>
      <c r="BK404" s="12" t="n"/>
      <c r="BL404" s="12" t="n"/>
      <c r="BM404" s="12" t="n"/>
      <c r="BN404" s="12" t="n"/>
      <c r="BO404" s="12" t="n"/>
      <c r="BP404" s="12" t="n"/>
      <c r="BQ404" s="12" t="n"/>
      <c r="BR404" s="12" t="n"/>
      <c r="BS404" s="12" t="n"/>
      <c r="BT404" s="12" t="n"/>
      <c r="BU404" s="12" t="n"/>
      <c r="BV404" s="12" t="n"/>
      <c r="BW404" s="12" t="n"/>
      <c r="BX404" s="12" t="n"/>
      <c r="BY404" s="12" t="n"/>
      <c r="BZ404" s="12" t="n"/>
      <c r="CA404" s="12" t="n"/>
      <c r="CB404" s="12" t="n"/>
      <c r="CC404" s="12" t="n"/>
      <c r="CD404" s="12" t="n"/>
      <c r="CE404" s="12" t="n"/>
      <c r="CF404" s="12" t="n"/>
      <c r="CG404" s="12" t="n"/>
      <c r="CH404" s="12" t="n"/>
      <c r="CI404" s="12" t="n"/>
      <c r="CJ404" s="12" t="n"/>
      <c r="CK404" s="12" t="n"/>
      <c r="CL404" s="12" t="n"/>
      <c r="CM404" s="12" t="n"/>
      <c r="CN404" s="12" t="n"/>
      <c r="CO404" s="12" t="n"/>
      <c r="CP404" s="12" t="n"/>
      <c r="CQ404" s="12" t="n"/>
      <c r="CR404" s="12" t="n"/>
      <c r="CS404" s="12" t="n"/>
      <c r="CT404" s="12" t="n"/>
      <c r="CU404" s="12" t="n"/>
      <c r="CV404" s="12" t="n"/>
      <c r="CW404" s="12" t="n"/>
      <c r="CX404" s="12" t="n"/>
      <c r="CY404" s="12" t="n"/>
    </row>
    <row r="405">
      <c r="C405" s="14" t="inlineStr">
        <is>
          <t>Dividends to minority interests</t>
        </is>
      </c>
      <c r="D405" s="12" t="n"/>
      <c r="E405" s="12" t="n"/>
      <c r="F405" s="12" t="n"/>
      <c r="G405" s="12" t="n"/>
      <c r="H405" s="12" t="n"/>
      <c r="I405" s="12" t="n"/>
      <c r="J405" s="12">
        <f>(J345-I345)+J233</f>
        <v>-249.478</v>
      </c>
      <c r="K405" s="12">
        <f>(K345-J345)+K233</f>
        <v>-120.864</v>
      </c>
      <c r="L405" s="12">
        <f>(L345-K345)+L233</f>
        <v>-367.874</v>
      </c>
      <c r="M405" s="12" t="n"/>
      <c r="N405" s="12">
        <f>(N345-M345)+N233</f>
        <v>-108.978</v>
      </c>
      <c r="O405" s="12">
        <f>(O345-N345)+O233</f>
        <v>-242.714</v>
      </c>
      <c r="P405" s="12">
        <f>(P345-O345)+P233</f>
        <v>-252.873</v>
      </c>
      <c r="Q405" s="12">
        <f>(Q345-P345)+Q233</f>
        <v>-177.772</v>
      </c>
      <c r="R405" s="12">
        <f>SUM(N405:Q405)</f>
        <v>-782.337</v>
      </c>
      <c r="S405" s="12">
        <f>(S345-R345)+S233</f>
        <v>-10.1149999999998</v>
      </c>
      <c r="T405" s="12">
        <f>(T345-S345)+T233</f>
        <v>-292.562</v>
      </c>
      <c r="U405" s="12">
        <f>(U345-T345)+U233</f>
        <v>-131.56</v>
      </c>
      <c r="V405" s="12">
        <f>(V345-U345)+V233</f>
        <v>-162.993</v>
      </c>
      <c r="W405" s="12">
        <f>SUM(S405:V405)</f>
        <v>-597.23</v>
      </c>
      <c r="X405" s="12">
        <f>(X345-W345)+X233</f>
        <v>2.31100000000038</v>
      </c>
      <c r="Y405" s="12">
        <f>(Y345-X345)+Y233</f>
        <v>-131.12</v>
      </c>
      <c r="Z405" s="12">
        <f>(Z345-Y345)+Z233</f>
        <v>-35.2469999999998</v>
      </c>
      <c r="AA405" s="12">
        <f>(AA345-Z345)+AA233</f>
        <v>-399.637</v>
      </c>
      <c r="AB405" s="12">
        <f>SUM(X405:AA405)</f>
        <v>-563.693</v>
      </c>
      <c r="AC405" s="12">
        <f>(AC345-AB345)+AC233</f>
        <v>-5.62299999999991</v>
      </c>
      <c r="AD405" s="12">
        <f>(AD345-AC345)+AD233</f>
        <v>-319.945</v>
      </c>
      <c r="AE405" s="12">
        <f>(AE345-AD345)+AE233</f>
        <v>-165.876</v>
      </c>
      <c r="AF405" s="12">
        <f>(AF345-AE345)+AF233</f>
        <v>-96.9420000000002</v>
      </c>
      <c r="AG405" s="12">
        <f>SUM(AC405:AF405)</f>
        <v>-588.386</v>
      </c>
      <c r="AH405" s="12">
        <f>(AH345-AG345)+AH233</f>
        <v>-9.33699999999999</v>
      </c>
      <c r="AI405" s="12">
        <f>(AI345-AH345)+AI233</f>
        <v>-100.575</v>
      </c>
      <c r="AJ405" s="12">
        <f>(AJ345-AI345)+AJ233</f>
        <v>0</v>
      </c>
      <c r="AK405" s="12">
        <f>(AK345-AJ345)+AK233</f>
        <v>0</v>
      </c>
      <c r="AL405" s="12">
        <f>SUM(AH405:AK405)</f>
        <v>-109.912</v>
      </c>
      <c r="AM405" s="12">
        <f>(AM345-AL345)+AM233</f>
        <v>0</v>
      </c>
      <c r="AN405" s="12">
        <f>(AN345-AM345)+AN233</f>
        <v>0</v>
      </c>
      <c r="AO405" s="12">
        <f>(AO345-AN345)+AO233</f>
        <v>0</v>
      </c>
      <c r="AP405" s="12">
        <f>(AP345-AO345)+AP233</f>
        <v>0</v>
      </c>
      <c r="AQ405" s="12">
        <f>SUM(AM405:AP405)</f>
        <v>0</v>
      </c>
      <c r="AR405" s="12">
        <f>(AR345-AQ345)+AR233</f>
        <v>0</v>
      </c>
      <c r="AS405" s="12">
        <f>(AS345-AR345)+AS233</f>
        <v>0</v>
      </c>
      <c r="AT405" s="12">
        <f>(AT345-AS345)+AT233</f>
        <v>0</v>
      </c>
      <c r="AU405" s="12">
        <f>(AU345-AT345)+AU233</f>
        <v>0</v>
      </c>
      <c r="AV405" s="12">
        <f>SUM(AR405:AU405)</f>
        <v>0</v>
      </c>
      <c r="AW405" s="12">
        <f>(AW345-AV345)+AW233</f>
        <v>0</v>
      </c>
      <c r="AX405" s="12">
        <f>(AX345-AW345)+AX233</f>
        <v>0</v>
      </c>
      <c r="AY405" s="12">
        <f>(AY345-AX345)+AY233</f>
        <v>0</v>
      </c>
      <c r="AZ405" s="12">
        <f>(AZ345-AY345)+AZ233</f>
        <v>0</v>
      </c>
      <c r="BA405" s="12">
        <f>SUM(AW405:AZ405)</f>
        <v>0</v>
      </c>
      <c r="BB405" s="12">
        <f>(BB345-BA345)+BB233</f>
        <v>0</v>
      </c>
      <c r="BC405" s="12">
        <f>(BC345-BB345)+BC233</f>
        <v>0</v>
      </c>
      <c r="BD405" s="12">
        <f>(BD345-BC345)+BD233</f>
        <v>0</v>
      </c>
      <c r="BE405" s="12">
        <f>(BE345-BD345)+BE233</f>
        <v>0</v>
      </c>
      <c r="BF405" s="12">
        <f>SUM(BB405:BE405)</f>
        <v>0</v>
      </c>
      <c r="BG405" s="12" t="n"/>
      <c r="BH405" s="12" t="n"/>
      <c r="BI405" s="12" t="n"/>
      <c r="BJ405" s="12" t="n"/>
      <c r="BK405" s="12" t="n"/>
      <c r="BL405" s="12" t="n"/>
      <c r="BM405" s="12" t="n"/>
      <c r="BN405" s="12" t="n"/>
      <c r="BO405" s="12" t="n"/>
      <c r="BP405" s="12" t="n"/>
      <c r="BQ405" s="12" t="n"/>
      <c r="BR405" s="12" t="n"/>
      <c r="BS405" s="12" t="n"/>
      <c r="BT405" s="12" t="n"/>
      <c r="BU405" s="12" t="n"/>
      <c r="BV405" s="12" t="n"/>
      <c r="BW405" s="12" t="n"/>
      <c r="BX405" s="12" t="n"/>
      <c r="BY405" s="12" t="n"/>
      <c r="BZ405" s="12" t="n"/>
      <c r="CA405" s="12" t="n"/>
      <c r="CB405" s="12" t="n"/>
      <c r="CC405" s="12" t="n"/>
      <c r="CD405" s="12" t="n"/>
      <c r="CE405" s="12" t="n"/>
      <c r="CF405" s="12" t="n"/>
      <c r="CG405" s="12" t="n"/>
      <c r="CH405" s="12" t="n"/>
      <c r="CI405" s="12" t="n"/>
      <c r="CJ405" s="12" t="n"/>
      <c r="CK405" s="12" t="n"/>
      <c r="CL405" s="12" t="n"/>
      <c r="CM405" s="12" t="n"/>
      <c r="CN405" s="12" t="n"/>
      <c r="CO405" s="12" t="n"/>
      <c r="CP405" s="12" t="n"/>
      <c r="CQ405" s="12" t="n"/>
      <c r="CR405" s="12" t="n"/>
      <c r="CS405" s="12" t="n"/>
      <c r="CT405" s="12" t="n"/>
      <c r="CU405" s="12" t="n"/>
      <c r="CV405" s="12" t="n"/>
      <c r="CW405" s="12" t="n"/>
      <c r="CX405" s="12" t="n"/>
      <c r="CY405" s="12" t="n"/>
    </row>
    <row r="406">
      <c r="C406" s="15" t="inlineStr">
        <is>
          <t>Increases / (decreases) in debt</t>
        </is>
      </c>
      <c r="D406" s="12" t="n"/>
      <c r="E406" s="12" t="n"/>
      <c r="F406" s="12" t="n"/>
      <c r="G406" s="12" t="n"/>
      <c r="H406" s="12" t="n"/>
      <c r="I406" s="12" t="n"/>
      <c r="J406" s="12">
        <f>SUM(J309:J311,J314,J335,J332)-SUM(I309:I311,I314,I335,I332)</f>
        <v>169.429</v>
      </c>
      <c r="K406" s="12">
        <f>SUM(K309:K311,K314,K335,K332)-SUM(J309:J311,J314,J335,J332)</f>
        <v>123.708000000001</v>
      </c>
      <c r="L406" s="12">
        <f>SUM(L309:L311,L314,L335,L332)-SUM(K309:K311,K314,K335,K332)</f>
        <v>648.829</v>
      </c>
      <c r="M406" s="12" t="n"/>
      <c r="N406" s="12">
        <f>SUM(N309:N311,N314,N335,N332)-SUM(M309:M311,M314,M335,M332)</f>
        <v>-113.500999999998</v>
      </c>
      <c r="O406" s="12">
        <f>SUM(O309:O311,O314,O335,O332)-SUM(N309:N311,N314,N335,N332)</f>
        <v>799.353999999998</v>
      </c>
      <c r="P406" s="12">
        <f>SUM(P309:P311,P314,P335,P332)-SUM(O309:O311,O314,O335,O332)</f>
        <v>279.244000000002</v>
      </c>
      <c r="Q406" s="12">
        <f>SUM(Q309:Q311,Q314,Q335,Q332)-SUM(P309:P311,P314,P335,P332)</f>
        <v>619.633999999998</v>
      </c>
      <c r="R406" s="12">
        <f>SUM(N406:Q406)</f>
        <v>1584.731</v>
      </c>
      <c r="S406" s="12">
        <f>SUM(S309:S311,S314,S335,S332)-SUM(R309:R311,R314,R335,R332)</f>
        <v>91.1539999999986</v>
      </c>
      <c r="T406" s="12">
        <f>SUM(T309:T311,T314,T335,T332)-SUM(S309:S311,S314,S335,S332)</f>
        <v>-84.7029999999977</v>
      </c>
      <c r="U406" s="12">
        <f>SUM(U309:U311,U314,U335,U332)-SUM(T309:T311,T314,T335,T332)</f>
        <v>-67.2340000000004</v>
      </c>
      <c r="V406" s="12">
        <f>SUM(V309:V311,V314,V335,V332)-SUM(U309:U311,U314,U335,U332)</f>
        <v>200.398999999999</v>
      </c>
      <c r="W406" s="12">
        <f>SUM(S406:V406)</f>
        <v>139.616</v>
      </c>
      <c r="X406" s="12">
        <f>SUM(X309:X311,X314,X335,X332)-SUM(W309:W311,W314,W335,W332)</f>
        <v>-47.9159999999993</v>
      </c>
      <c r="Y406" s="12">
        <f>SUM(Y309:Y311,Y314,Y335,Y332)-SUM(X309:X311,X314,X335,X332)</f>
        <v>707.391</v>
      </c>
      <c r="Z406" s="12">
        <f>SUM(Z309:Z311,Z314,Z335,Z332)-SUM(Y309:Y311,Y314,Y335,Y332)</f>
        <v>-163.361999999999</v>
      </c>
      <c r="AA406" s="12">
        <f>SUM(AA309:AA311,AA314,AA335,AA332)-SUM(Z309:Z311,Z314,Z335,Z332)</f>
        <v>412.996999999999</v>
      </c>
      <c r="AB406" s="12">
        <f>SUM(X406:AA406)</f>
        <v>909.110000000001</v>
      </c>
      <c r="AC406" s="12">
        <f>SUM(AC309:AC311,AC314,AC335,AC332)-SUM(AB309:AB311,AB314,AB335,AB332)</f>
        <v>-100.1</v>
      </c>
      <c r="AD406" s="12">
        <f>SUM(AD309:AD311,AD314,AD335,AD332)-SUM(AC309:AC311,AC314,AC335,AC332)</f>
        <v>145.548999999999</v>
      </c>
      <c r="AE406" s="12">
        <f>SUM(AE309:AE311,AE314,AE335,AE332)-SUM(AD309:AD311,AD314,AD335,AD332)</f>
        <v>-297.535999999998</v>
      </c>
      <c r="AF406" s="12">
        <f>SUM(AF309:AF311,AF314,AF335,AF332)-SUM(AE309:AE311,AE314,AE335,AE332)</f>
        <v>133.895999999999</v>
      </c>
      <c r="AG406" s="12">
        <f>SUM(AC406:AF406)</f>
        <v>-118.191000000001</v>
      </c>
      <c r="AH406" s="12">
        <f>SUM(AH309:AH311,AH314,AH335,AH332)-SUM(AG309:AG311,AG314,AG335,AG332)</f>
        <v>1960.208</v>
      </c>
      <c r="AI406" s="12">
        <f>SUM(AI309:AI311,AI314,AI335,AI332)-SUM(AH309:AH311,AH314,AH335,AH332)</f>
        <v>322.959000000001</v>
      </c>
      <c r="AJ406" s="12">
        <f>SUM(AJ309:AJ311,AJ314,AJ335,AJ332)-SUM(AI309:AI311,AI314,AI335,AI332)</f>
        <v>0</v>
      </c>
      <c r="AK406" s="12">
        <f>SUM(AK309:AK311,AK314,AK335,AK332)-SUM(AJ309:AJ311,AJ314,AJ335,AJ332)</f>
        <v>0</v>
      </c>
      <c r="AL406" s="12">
        <f>SUM(AH406:AK406)</f>
        <v>2283.167</v>
      </c>
      <c r="AM406" s="12">
        <f>SUM(AM309:AM311,AM314,AM335,AM332)-SUM(AL309:AL311,AL314,AL335,AL332)</f>
        <v>0</v>
      </c>
      <c r="AN406" s="12">
        <f>SUM(AN309:AN311,AN314,AN335,AN332)-SUM(AM309:AM311,AM314,AM335,AM332)</f>
        <v>0</v>
      </c>
      <c r="AO406" s="12">
        <f>SUM(AO309:AO311,AO314,AO335,AO332)-SUM(AN309:AN311,AN314,AN335,AN332)</f>
        <v>0</v>
      </c>
      <c r="AP406" s="12">
        <f>SUM(AP309:AP311,AP314,AP335,AP332)-SUM(AO309:AO311,AO314,AO335,AO332)</f>
        <v>0</v>
      </c>
      <c r="AQ406" s="12">
        <f>SUM(AM406:AP406)</f>
        <v>0</v>
      </c>
      <c r="AR406" s="12">
        <f>SUM(AR309:AR311,AR314,AR335,AR332)-SUM(AQ309:AQ311,AQ314,AQ335,AQ332)</f>
        <v>0</v>
      </c>
      <c r="AS406" s="12">
        <f>SUM(AS309:AS311,AS314,AS335,AS332)-SUM(AR309:AR311,AR314,AR335,AR332)</f>
        <v>0</v>
      </c>
      <c r="AT406" s="12">
        <f>SUM(AT309:AT311,AT314,AT335,AT332)-SUM(AS309:AS311,AS314,AS335,AS332)</f>
        <v>0</v>
      </c>
      <c r="AU406" s="12">
        <f>SUM(AU309:AU311,AU314,AU335,AU332)-SUM(AT309:AT311,AT314,AT335,AT332)</f>
        <v>0</v>
      </c>
      <c r="AV406" s="12">
        <f>SUM(AR406:AU406)</f>
        <v>0</v>
      </c>
      <c r="AW406" s="12">
        <f>SUM(AW309:AW311,AW314,AW335,AW332)-SUM(AV309:AV311,AV314,AV335,AV332)</f>
        <v>0</v>
      </c>
      <c r="AX406" s="12">
        <f>SUM(AX309:AX311,AX314,AX335,AX332)-SUM(AW309:AW311,AW314,AW335,AW332)</f>
        <v>0</v>
      </c>
      <c r="AY406" s="12">
        <f>SUM(AY309:AY311,AY314,AY335,AY332)-SUM(AX309:AX311,AX314,AX335,AX332)</f>
        <v>0</v>
      </c>
      <c r="AZ406" s="12">
        <f>SUM(AZ309:AZ311,AZ314,AZ335,AZ332)-SUM(AY309:AY311,AY314,AY335,AY332)</f>
        <v>0</v>
      </c>
      <c r="BA406" s="12">
        <f>SUM(AW406:AZ406)</f>
        <v>0</v>
      </c>
      <c r="BB406" s="12">
        <f>SUM(BB309:BB311,BB314,BB335,BB332)-SUM(BA309:BA311,BA314,BA335,BA332)</f>
        <v>0</v>
      </c>
      <c r="BC406" s="12">
        <f>SUM(BC309:BC311,BC314,BC335,BC332)-SUM(BB309:BB311,BB314,BB335,BB332)</f>
        <v>0</v>
      </c>
      <c r="BD406" s="12">
        <f>SUM(BD309:BD311,BD314,BD335,BD332)-SUM(BC309:BC311,BC314,BC335,BC332)</f>
        <v>0</v>
      </c>
      <c r="BE406" s="12">
        <f>SUM(BE309:BE311,BE314,BE335,BE332)-SUM(BD309:BD311,BD314,BD335,BD332)</f>
        <v>0</v>
      </c>
      <c r="BF406" s="12">
        <f>SUM(BB406:BE406)</f>
        <v>0</v>
      </c>
      <c r="BG406" s="12" t="n"/>
      <c r="BH406" s="12" t="n"/>
      <c r="BI406" s="12" t="n"/>
      <c r="BJ406" s="12" t="n"/>
      <c r="BK406" s="12" t="n"/>
      <c r="BL406" s="12" t="n"/>
      <c r="BM406" s="12" t="n"/>
      <c r="BN406" s="12" t="n"/>
      <c r="BO406" s="12" t="n"/>
      <c r="BP406" s="12" t="n"/>
      <c r="BQ406" s="12" t="n"/>
      <c r="BR406" s="12" t="n"/>
      <c r="BS406" s="12" t="n"/>
      <c r="BT406" s="12" t="n"/>
      <c r="BU406" s="12" t="n"/>
      <c r="BV406" s="12" t="n"/>
      <c r="BW406" s="12" t="n"/>
      <c r="BX406" s="12" t="n"/>
      <c r="BY406" s="12" t="n"/>
      <c r="BZ406" s="12" t="n"/>
      <c r="CA406" s="12" t="n"/>
      <c r="CB406" s="12" t="n"/>
      <c r="CC406" s="12" t="n"/>
      <c r="CD406" s="12" t="n"/>
      <c r="CE406" s="12" t="n"/>
      <c r="CF406" s="12" t="n"/>
      <c r="CG406" s="12" t="n"/>
      <c r="CH406" s="12" t="n"/>
      <c r="CI406" s="12" t="n"/>
      <c r="CJ406" s="12" t="n"/>
      <c r="CK406" s="12" t="n"/>
      <c r="CL406" s="12" t="n"/>
      <c r="CM406" s="12" t="n"/>
      <c r="CN406" s="12" t="n"/>
      <c r="CO406" s="12" t="n"/>
      <c r="CP406" s="12" t="n"/>
      <c r="CQ406" s="12" t="n"/>
      <c r="CR406" s="12" t="n"/>
      <c r="CS406" s="12" t="n"/>
      <c r="CT406" s="12" t="n"/>
      <c r="CU406" s="12" t="n"/>
      <c r="CV406" s="12" t="n"/>
      <c r="CW406" s="12" t="n"/>
      <c r="CX406" s="12" t="n"/>
      <c r="CY406" s="12" t="n"/>
      <c r="CZ406" s="12" t="n"/>
      <c r="DA406" s="12" t="n"/>
      <c r="DB406" s="12" t="n"/>
      <c r="DC406" s="12" t="n"/>
    </row>
    <row r="407">
      <c r="C407" s="14" t="inlineStr">
        <is>
          <t>Cash from financing</t>
        </is>
      </c>
      <c r="D407" s="12" t="n"/>
      <c r="E407" s="12" t="n"/>
      <c r="F407" s="12" t="n"/>
      <c r="G407" s="12" t="n"/>
      <c r="H407" s="12" t="n"/>
      <c r="I407" s="12" t="n"/>
      <c r="J407" s="12">
        <f>SUM(J399,J400,J401,J402,J403,J404,J405,J406)</f>
        <v>-131.821</v>
      </c>
      <c r="K407" s="12">
        <f>SUM(K399,K400,K401,K402,K403,K404,K405,K406)</f>
        <v>-5.92799999999914</v>
      </c>
      <c r="L407" s="12">
        <f>SUM(L399,L400,L401,L402,L403,L404,L405,L406)</f>
        <v>369.414</v>
      </c>
      <c r="M407" s="12" t="n"/>
      <c r="N407" s="12">
        <f>SUM(N399,N400,N401,N402,N403,N404,N405,N406)</f>
        <v>-480.996999999998</v>
      </c>
      <c r="O407" s="12">
        <f>SUM(O399,O400,O401,O402,O403,O404,O405,O406)</f>
        <v>575.297999999998</v>
      </c>
      <c r="P407" s="12">
        <f>SUM(P399,P400,P401,P402,P403,P404,P405,P406)</f>
        <v>-183.502999999997</v>
      </c>
      <c r="Q407" s="12">
        <f>SUM(Q399,Q400,Q401,Q402,Q403,Q404,Q405,Q406)</f>
        <v>19.5199999999979</v>
      </c>
      <c r="R407" s="12">
        <f>SUM(R399,R400,R401,R402,R403,R404,R405,R406)</f>
        <v>-69.682</v>
      </c>
      <c r="S407" s="12">
        <f>SUM(S399,S400,S401,S402,S403,S404,S405,S406)</f>
        <v>75.3579999999988</v>
      </c>
      <c r="T407" s="12">
        <f>SUM(T399,T400,T401,T402,T403,T404,T405,T406)</f>
        <v>-318.135999999998</v>
      </c>
      <c r="U407" s="12">
        <f>SUM(U399,U400,U401,U402,U403,U404,U405,U406)</f>
        <v>-221.747</v>
      </c>
      <c r="V407" s="12">
        <f>SUM(V399,V400,V401,V402,V403,V404,V405,V406)</f>
        <v>-289.674</v>
      </c>
      <c r="W407" s="12">
        <f>SUM(W399,W400,W401,W402,W403,W404,W405,W406)</f>
        <v>-754.199</v>
      </c>
      <c r="X407" s="12">
        <f>SUM(X399,X400,X401,X402,X403,X404,X405,X406)</f>
        <v>-33.8919999999989</v>
      </c>
      <c r="Y407" s="12">
        <f>SUM(Y399,Y400,Y401,Y402,Y403,Y404,Y405,Y406)</f>
        <v>531.089999999999</v>
      </c>
      <c r="Z407" s="12">
        <f>SUM(Z399,Z400,Z401,Z402,Z403,Z404,Z405,Z406)</f>
        <v>-262.090999999999</v>
      </c>
      <c r="AA407" s="12">
        <f>SUM(AA399,AA400,AA401,AA402,AA403,AA404,AA405,AA406)</f>
        <v>-91.1900000000014</v>
      </c>
      <c r="AB407" s="12">
        <f>SUM(AB399,AB400,AB401,AB402,AB403,AB404,AB405,AB406)</f>
        <v>143.917</v>
      </c>
      <c r="AC407" s="12">
        <f>SUM(AC399,AC400,AC401,AC402,AC403,AC404,AC405,AC406)</f>
        <v>-125.655</v>
      </c>
      <c r="AD407" s="12">
        <f>SUM(AD399,AD400,AD401,AD402,AD403,AD404,AD405,AD406)</f>
        <v>-394.222</v>
      </c>
      <c r="AE407" s="12">
        <f>SUM(AE399,AE400,AE401,AE402,AE403,AE404,AE405,AE406)</f>
        <v>-397.169999999998</v>
      </c>
      <c r="AF407" s="12">
        <f>SUM(AF399,AF400,AF401,AF402,AF403,AF404,AF405,AF406)</f>
        <v>-81.3260000000015</v>
      </c>
      <c r="AG407" s="12">
        <f>SUM(AG399,AG400,AG401,AG402,AG403,AG404,AG405,AG406)</f>
        <v>-998.373</v>
      </c>
      <c r="AH407" s="12">
        <f>SUM(AH399,AH400,AH401,AH402,AH403,AH404,AH405,AH406)</f>
        <v>1875.706</v>
      </c>
      <c r="AI407" s="12">
        <f>SUM(AI399,AI400,AI401,AI402,AI403,AI404,AI405,AI406)</f>
        <v>159.511000000001</v>
      </c>
      <c r="AJ407" s="12">
        <f>SUM(AJ399,AJ400,AJ401,AJ402,AJ403,AJ404,AJ405,AJ406)</f>
        <v>0</v>
      </c>
      <c r="AK407" s="12">
        <f>SUM(AK399,AK400,AK401,AK402,AK403,AK404,AK405,AK406)</f>
        <v>0</v>
      </c>
      <c r="AL407" s="12">
        <f>SUM(AL399,AL400,AL401,AL402,AL403,AL404,AL405,AL406)</f>
        <v>2035.217</v>
      </c>
      <c r="AM407" s="12">
        <f>SUM(AM399,AM400,AM401,AM402,AM403,AM404,AM405,AM406)</f>
        <v>0</v>
      </c>
      <c r="AN407" s="12">
        <f>SUM(AN399,AN400,AN401,AN402,AN403,AN404,AN405,AN406)</f>
        <v>0</v>
      </c>
      <c r="AO407" s="12">
        <f>SUM(AO399,AO400,AO401,AO402,AO403,AO404,AO405,AO406)</f>
        <v>0</v>
      </c>
      <c r="AP407" s="12">
        <f>SUM(AP399,AP400,AP401,AP402,AP403,AP404,AP405,AP406)</f>
        <v>0</v>
      </c>
      <c r="AQ407" s="12">
        <f>SUM(AQ399,AQ400,AQ401,AQ402,AQ403,AQ404,AQ405,AQ406)</f>
        <v>0</v>
      </c>
      <c r="AR407" s="12">
        <f>SUM(AR399,AR400,AR401,AR402,AR403,AR404,AR405,AR406)</f>
        <v>0</v>
      </c>
      <c r="AS407" s="12">
        <f>SUM(AS399,AS400,AS401,AS402,AS403,AS404,AS405,AS406)</f>
        <v>0</v>
      </c>
      <c r="AT407" s="12">
        <f>SUM(AT399,AT400,AT401,AT402,AT403,AT404,AT405,AT406)</f>
        <v>0</v>
      </c>
      <c r="AU407" s="12">
        <f>SUM(AU399,AU400,AU401,AU402,AU403,AU404,AU405,AU406)</f>
        <v>0</v>
      </c>
      <c r="AV407" s="12">
        <f>SUM(AV399,AV400,AV401,AV402,AV403,AV404,AV405,AV406)</f>
        <v>0</v>
      </c>
      <c r="AW407" s="12">
        <f>SUM(AW399,AW400,AW401,AW402,AW403,AW404,AW405,AW406)</f>
        <v>0</v>
      </c>
      <c r="AX407" s="12">
        <f>SUM(AX399,AX400,AX401,AX402,AX403,AX404,AX405,AX406)</f>
        <v>0</v>
      </c>
      <c r="AY407" s="12">
        <f>SUM(AY399,AY400,AY401,AY402,AY403,AY404,AY405,AY406)</f>
        <v>0</v>
      </c>
      <c r="AZ407" s="12">
        <f>SUM(AZ399,AZ400,AZ401,AZ402,AZ403,AZ404,AZ405,AZ406)</f>
        <v>0</v>
      </c>
      <c r="BA407" s="12">
        <f>SUM(BA399,BA400,BA401,BA402,BA403,BA404,BA405,BA406)</f>
        <v>0</v>
      </c>
      <c r="BB407" s="12">
        <f>SUM(BB399,BB400,BB401,BB402,BB403,BB404,BB405,BB406)</f>
        <v>0</v>
      </c>
      <c r="BC407" s="12">
        <f>SUM(BC399,BC400,BC401,BC402,BC403,BC404,BC405,BC406)</f>
        <v>0</v>
      </c>
      <c r="BD407" s="12">
        <f>SUM(BD399,BD400,BD401,BD402,BD403,BD404,BD405,BD406)</f>
        <v>0</v>
      </c>
      <c r="BE407" s="12">
        <f>SUM(BE399,BE400,BE401,BE402,BE403,BE404,BE405,BE406)</f>
        <v>0</v>
      </c>
      <c r="BF407" s="12">
        <f>SUM(BF399,BF400,BF401,BF402,BF403,BF404,BF405,BF406)</f>
        <v>0</v>
      </c>
      <c r="BG407" s="12" t="n"/>
      <c r="BH407" s="12" t="n"/>
      <c r="BI407" s="12" t="n"/>
      <c r="BJ407" s="12" t="n"/>
      <c r="BK407" s="12" t="n"/>
      <c r="BL407" s="12" t="n"/>
      <c r="BM407" s="12" t="n"/>
      <c r="BN407" s="12" t="n"/>
      <c r="BO407" s="12" t="n"/>
      <c r="BP407" s="12" t="n"/>
      <c r="BQ407" s="12" t="n"/>
      <c r="BR407" s="12" t="n"/>
      <c r="BS407" s="12" t="n"/>
      <c r="BT407" s="12" t="n"/>
      <c r="BU407" s="12" t="n"/>
      <c r="BV407" s="12" t="n"/>
      <c r="BW407" s="12" t="n"/>
      <c r="BX407" s="12" t="n"/>
      <c r="BY407" s="12" t="n"/>
      <c r="BZ407" s="12" t="n"/>
      <c r="CA407" s="12" t="n"/>
      <c r="CB407" s="12" t="n"/>
      <c r="CC407" s="12" t="n"/>
      <c r="CD407" s="12" t="n"/>
      <c r="CE407" s="12" t="n"/>
      <c r="CF407" s="12" t="n"/>
      <c r="CG407" s="12" t="n"/>
      <c r="CH407" s="12" t="n"/>
      <c r="CI407" s="12" t="n"/>
      <c r="CJ407" s="12" t="n"/>
      <c r="CK407" s="12" t="n"/>
      <c r="CL407" s="12" t="n"/>
      <c r="CM407" s="12" t="n"/>
      <c r="CN407" s="12" t="n"/>
      <c r="CO407" s="12" t="n"/>
      <c r="CP407" s="12" t="n"/>
      <c r="CQ407" s="12" t="n"/>
      <c r="CR407" s="12" t="n"/>
      <c r="CS407" s="12" t="n"/>
      <c r="CT407" s="12" t="n"/>
      <c r="CU407" s="12" t="n"/>
      <c r="CV407" s="12" t="n"/>
      <c r="CW407" s="12" t="n"/>
      <c r="CX407" s="12" t="n"/>
      <c r="CY407" s="12" t="n"/>
    </row>
    <row r="408">
      <c r="C408" s="14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  <c r="AQ408" s="12" t="n"/>
      <c r="AR408" s="12" t="n"/>
      <c r="AS408" s="12" t="n"/>
      <c r="AT408" s="12" t="n"/>
      <c r="AU408" s="12" t="n"/>
      <c r="AV408" s="12" t="n"/>
      <c r="AW408" s="12" t="n"/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  <c r="BJ408" s="12" t="n"/>
      <c r="BK408" s="12" t="n"/>
      <c r="BL408" s="12" t="n"/>
      <c r="BM408" s="12" t="n"/>
      <c r="BN408" s="12" t="n"/>
      <c r="BO408" s="12" t="n"/>
      <c r="BP408" s="12" t="n"/>
      <c r="BQ408" s="12" t="n"/>
      <c r="BR408" s="12" t="n"/>
      <c r="BS408" s="12" t="n"/>
      <c r="BT408" s="12" t="n"/>
      <c r="BU408" s="12" t="n"/>
      <c r="BV408" s="12" t="n"/>
      <c r="BW408" s="12" t="n"/>
      <c r="BX408" s="12" t="n"/>
      <c r="BY408" s="12" t="n"/>
      <c r="BZ408" s="12" t="n"/>
      <c r="CA408" s="12" t="n"/>
      <c r="CB408" s="12" t="n"/>
      <c r="CC408" s="12" t="n"/>
      <c r="CD408" s="12" t="n"/>
      <c r="CE408" s="12" t="n"/>
      <c r="CF408" s="12" t="n"/>
      <c r="CG408" s="12" t="n"/>
      <c r="CH408" s="12" t="n"/>
      <c r="CI408" s="12" t="n"/>
      <c r="CJ408" s="12" t="n"/>
      <c r="CK408" s="12" t="n"/>
      <c r="CL408" s="12" t="n"/>
      <c r="CM408" s="12" t="n"/>
      <c r="CN408" s="12" t="n"/>
      <c r="CO408" s="12" t="n"/>
      <c r="CP408" s="12" t="n"/>
      <c r="CQ408" s="12" t="n"/>
      <c r="CR408" s="12" t="n"/>
      <c r="CS408" s="12" t="n"/>
      <c r="CT408" s="12" t="n"/>
      <c r="CU408" s="12" t="n"/>
      <c r="CV408" s="12" t="n"/>
      <c r="CW408" s="12" t="n"/>
      <c r="CX408" s="12" t="n"/>
      <c r="CY408" s="12" t="n"/>
    </row>
    <row r="409">
      <c r="C409" s="14" t="inlineStr">
        <is>
          <t>Others / cash reconciliation plug</t>
        </is>
      </c>
      <c r="D409" s="12" t="n"/>
      <c r="E409" s="12" t="n"/>
      <c r="F409" s="12" t="n"/>
      <c r="G409" s="12" t="n"/>
      <c r="H409" s="12" t="n"/>
      <c r="I409" s="12" t="n"/>
      <c r="J409" s="12">
        <f>J241-I241-SUM(J390,J397,J407)</f>
        <v>7.95807864051312e-13</v>
      </c>
      <c r="K409" s="12">
        <f>K241-J241-SUM(K390,K397,K407)</f>
        <v>-1.59161572810262e-12</v>
      </c>
      <c r="L409" s="12">
        <f>L241-K241-SUM(L390,L397,L407)</f>
        <v>0</v>
      </c>
      <c r="M409" s="12" t="n"/>
      <c r="N409" s="12">
        <f>N241-M241-SUM(N390,N397,N407)</f>
        <v>-3.97903932025656e-13</v>
      </c>
      <c r="O409" s="12">
        <f>O241-N241-SUM(O390,O397,O407)</f>
        <v>0</v>
      </c>
      <c r="P409" s="12">
        <f>P241-O241-SUM(P390,P397,P407)</f>
        <v>-1.96109795069788e-12</v>
      </c>
      <c r="Q409" s="12">
        <f>Q241-P241-SUM(Q390,Q397,Q407)</f>
        <v>1.76214598468505e-12</v>
      </c>
      <c r="R409" s="12">
        <f>SUM(N409:Q409)</f>
        <v>-5.96855898038484e-13</v>
      </c>
      <c r="S409" s="12">
        <f>S241-R241-SUM(S390,S397,S407)</f>
        <v>0</v>
      </c>
      <c r="T409" s="12">
        <f>T241-S241-SUM(T390,T397,T407)</f>
        <v>9.09494701772928e-13</v>
      </c>
      <c r="U409" s="12">
        <f>U241-T241-SUM(U390,U397,U407)</f>
        <v>-4.83169060316868e-13</v>
      </c>
      <c r="V409" s="12">
        <f>V241-U241-SUM(V390,V397,V407)</f>
        <v>-4.83169060316868e-13</v>
      </c>
      <c r="W409" s="12">
        <f>SUM(S409:V409)</f>
        <v>-5.6843418860808e-14</v>
      </c>
      <c r="X409" s="12">
        <f>X241-W241-SUM(X390,X397,X407)</f>
        <v>0</v>
      </c>
      <c r="Y409" s="12">
        <f>Y241-X241-SUM(Y390,Y397,Y407)</f>
        <v>0</v>
      </c>
      <c r="Z409" s="12">
        <f>Z241-Y241-SUM(Z390,Z397,Z407)</f>
        <v>0</v>
      </c>
      <c r="AA409" s="12">
        <f>AA241-Z241-SUM(AA390,AA397,AA407)</f>
        <v>-1.74793512996985e-12</v>
      </c>
      <c r="AB409" s="12">
        <f>SUM(X409:AA409)</f>
        <v>-1.74793512996985e-12</v>
      </c>
      <c r="AC409" s="12">
        <f>AC241-AB241-SUM(AC390,AC397,AC407)</f>
        <v>0</v>
      </c>
      <c r="AD409" s="12">
        <f>AD241-AC241-SUM(AD390,AD397,AD407)</f>
        <v>3.00559577226522e-12</v>
      </c>
      <c r="AE409" s="12">
        <f>AE241-AD241-SUM(AE390,AE397,AE407)</f>
        <v>0</v>
      </c>
      <c r="AF409" s="12">
        <f>AF241-AE241-SUM(AF390,AF397,AF407)</f>
        <v>2.41584530158434e-13</v>
      </c>
      <c r="AG409" s="12">
        <f>SUM(AC409:AF409)</f>
        <v>3.24718030242366e-12</v>
      </c>
      <c r="AH409" s="12">
        <f>AH241-AG241-SUM(AH390,AH397,AH407)</f>
        <v>0</v>
      </c>
      <c r="AI409" s="12">
        <f>AI241-AH241-SUM(AI390,AI397,AI407)</f>
        <v>-3.12638803734444e-12</v>
      </c>
      <c r="AJ409" s="12">
        <f>AJ241-AI241-SUM(AJ390,AJ397,AJ407)</f>
        <v>8.86757334228605e-12</v>
      </c>
      <c r="AK409" s="12">
        <f>AK241-AJ241-SUM(AK390,AK397,AK407)</f>
        <v>-7.16227077646181e-12</v>
      </c>
      <c r="AL409" s="12">
        <f>SUM(AH409:AK409)</f>
        <v>-1.4210854715202e-12</v>
      </c>
      <c r="AM409" s="12">
        <f>AM241-AL241-SUM(AM390,AM397,AM407)</f>
        <v>0</v>
      </c>
      <c r="AN409" s="12">
        <f>AN241-AM241-SUM(AN390,AN397,AN407)</f>
        <v>5.22959453519434e-12</v>
      </c>
      <c r="AO409" s="12">
        <f>AO241-AN241-SUM(AO390,AO397,AO407)</f>
        <v>-5.57065504835919e-12</v>
      </c>
      <c r="AP409" s="12">
        <f>AP241-AO241-SUM(AP390,AP397,AP407)</f>
        <v>0</v>
      </c>
      <c r="AQ409" s="12">
        <f>SUM(AM409:AP409)</f>
        <v>-3.41060513164848e-13</v>
      </c>
      <c r="AR409" s="12">
        <f>AR241-AQ241-SUM(AR390,AR397,AR407)</f>
        <v>0</v>
      </c>
      <c r="AS409" s="12">
        <f>AS241-AR241-SUM(AS390,AS397,AS407)</f>
        <v>0</v>
      </c>
      <c r="AT409" s="12">
        <f>AT241-AS241-SUM(AT390,AT397,AT407)</f>
        <v>-3.86535248253495e-12</v>
      </c>
      <c r="AU409" s="12">
        <f>AU241-AT241-SUM(AU390,AU397,AU407)</f>
        <v>0</v>
      </c>
      <c r="AV409" s="12">
        <f>SUM(AR409:AU409)</f>
        <v>-3.86535248253495e-12</v>
      </c>
      <c r="AW409" s="12">
        <f>AW241-AV241-SUM(AW390,AW397,AW407)</f>
        <v>0</v>
      </c>
      <c r="AX409" s="12">
        <f>AX241-AW241-SUM(AX390,AX397,AX407)</f>
        <v>0</v>
      </c>
      <c r="AY409" s="12">
        <f>AY241-AX241-SUM(AY390,AY397,AY407)</f>
        <v>6.59383658785373e-12</v>
      </c>
      <c r="AZ409" s="12">
        <f>AZ241-AY241-SUM(AZ390,AZ397,AZ407)</f>
        <v>0</v>
      </c>
      <c r="BA409" s="12">
        <f>SUM(AW409:AZ409)</f>
        <v>6.59383658785373e-12</v>
      </c>
      <c r="BB409" s="12">
        <f>BB241-BA241-SUM(BB390,BB397,BB407)</f>
        <v>0</v>
      </c>
      <c r="BC409" s="12">
        <f>BC241-BB241-SUM(BC390,BC397,BC407)</f>
        <v>0</v>
      </c>
      <c r="BD409" s="12">
        <f>BD241-BC241-SUM(BD390,BD397,BD407)</f>
        <v>-1.31876731757075e-11</v>
      </c>
      <c r="BE409" s="12">
        <f>BE241-BD241-SUM(BE390,BE397,BE407)</f>
        <v>0</v>
      </c>
      <c r="BF409" s="12">
        <f>SUM(BB409:BE409)</f>
        <v>-1.31876731757075e-11</v>
      </c>
      <c r="BG409" s="12" t="n"/>
      <c r="BH409" s="12" t="n"/>
      <c r="BI409" s="12" t="n"/>
      <c r="BJ409" s="12" t="n"/>
      <c r="BK409" s="12" t="n"/>
      <c r="BL409" s="12" t="n"/>
      <c r="BM409" s="12" t="n"/>
      <c r="BN409" s="12" t="n"/>
      <c r="BO409" s="12" t="n"/>
      <c r="BP409" s="12" t="n"/>
      <c r="BQ409" s="12" t="n"/>
      <c r="BR409" s="12" t="n"/>
      <c r="BS409" s="12" t="n"/>
      <c r="BT409" s="12" t="n"/>
      <c r="BU409" s="12" t="n"/>
      <c r="BV409" s="12" t="n"/>
      <c r="BW409" s="12" t="n"/>
      <c r="BX409" s="12" t="n"/>
      <c r="BY409" s="12" t="n"/>
      <c r="BZ409" s="12" t="n"/>
      <c r="CA409" s="12" t="n"/>
      <c r="CB409" s="12" t="n"/>
      <c r="CC409" s="12" t="n"/>
      <c r="CD409" s="12" t="n"/>
      <c r="CE409" s="12" t="n"/>
      <c r="CF409" s="12" t="n"/>
      <c r="CG409" s="12" t="n"/>
      <c r="CH409" s="12" t="n"/>
      <c r="CI409" s="12" t="n"/>
      <c r="CJ409" s="12" t="n"/>
      <c r="CK409" s="12" t="n"/>
      <c r="CL409" s="12" t="n"/>
      <c r="CM409" s="12" t="n"/>
      <c r="CN409" s="12" t="n"/>
      <c r="CO409" s="12" t="n"/>
      <c r="CP409" s="12" t="n"/>
      <c r="CQ409" s="12" t="n"/>
      <c r="CR409" s="12" t="n"/>
      <c r="CS409" s="12" t="n"/>
      <c r="CT409" s="12" t="n"/>
      <c r="CU409" s="12" t="n"/>
      <c r="CV409" s="12" t="n"/>
      <c r="CW409" s="12" t="n"/>
      <c r="CX409" s="12" t="n"/>
      <c r="CY409" s="12" t="n"/>
    </row>
    <row r="410">
      <c r="C410" s="14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  <c r="BJ410" s="12" t="n"/>
      <c r="BK410" s="12" t="n"/>
      <c r="BL410" s="12" t="n"/>
      <c r="BM410" s="12" t="n"/>
      <c r="BN410" s="12" t="n"/>
      <c r="BO410" s="12" t="n"/>
      <c r="BP410" s="12" t="n"/>
      <c r="BQ410" s="12" t="n"/>
      <c r="BR410" s="12" t="n"/>
      <c r="BS410" s="12" t="n"/>
      <c r="BT410" s="12" t="n"/>
      <c r="BU410" s="12" t="n"/>
      <c r="BV410" s="12" t="n"/>
      <c r="BW410" s="12" t="n"/>
      <c r="BX410" s="12" t="n"/>
      <c r="BY410" s="12" t="n"/>
      <c r="BZ410" s="12" t="n"/>
      <c r="CA410" s="12" t="n"/>
      <c r="CB410" s="12" t="n"/>
      <c r="CC410" s="12" t="n"/>
      <c r="CD410" s="12" t="n"/>
      <c r="CE410" s="12" t="n"/>
      <c r="CF410" s="12" t="n"/>
      <c r="CG410" s="12" t="n"/>
      <c r="CH410" s="12" t="n"/>
      <c r="CI410" s="12" t="n"/>
      <c r="CJ410" s="12" t="n"/>
      <c r="CK410" s="12" t="n"/>
      <c r="CL410" s="12" t="n"/>
      <c r="CM410" s="12" t="n"/>
      <c r="CN410" s="12" t="n"/>
      <c r="CO410" s="12" t="n"/>
      <c r="CP410" s="12" t="n"/>
      <c r="CQ410" s="12" t="n"/>
      <c r="CR410" s="12" t="n"/>
      <c r="CS410" s="12" t="n"/>
      <c r="CT410" s="12" t="n"/>
      <c r="CU410" s="12" t="n"/>
      <c r="CV410" s="12" t="n"/>
      <c r="CW410" s="12" t="n"/>
      <c r="CX410" s="12" t="n"/>
      <c r="CY410" s="12" t="n"/>
    </row>
    <row r="411">
      <c r="C411" s="14" t="inlineStr">
        <is>
          <t>Total increase/decrease of cash</t>
        </is>
      </c>
      <c r="D411" s="12" t="n"/>
      <c r="E411" s="12" t="n"/>
      <c r="F411" s="12" t="n"/>
      <c r="G411" s="12" t="n"/>
      <c r="H411" s="12" t="n"/>
      <c r="I411" s="12" t="n"/>
      <c r="J411" s="12">
        <f>SUM(J390,J397,J407,J409)</f>
        <v>-204.054</v>
      </c>
      <c r="K411" s="12">
        <f>SUM(K390,K397,K407,K409)</f>
        <v>-192.709</v>
      </c>
      <c r="L411" s="12">
        <f>SUM(L390,L397,L407,L409)</f>
        <v>436.977999999999</v>
      </c>
      <c r="M411" s="12" t="n"/>
      <c r="N411" s="12">
        <f>SUM(N390,N397,N407,N409)</f>
        <v>68.588</v>
      </c>
      <c r="O411" s="12">
        <f>SUM(O390,O397,O407,O409)</f>
        <v>305.236</v>
      </c>
      <c r="P411" s="12">
        <f>SUM(P390,P397,P407,P409)</f>
        <v>119.552</v>
      </c>
      <c r="Q411" s="12">
        <f>SUM(Q390,Q397,Q407,Q409)</f>
        <v>263.423</v>
      </c>
      <c r="R411" s="12">
        <f>SUM(N411:Q411)</f>
        <v>756.799</v>
      </c>
      <c r="S411" s="12">
        <f>SUM(S390,S397,S407,S409)</f>
        <v>154.957</v>
      </c>
      <c r="T411" s="12">
        <f>SUM(T390,T397,T407,T409)</f>
        <v>-247.519</v>
      </c>
      <c r="U411" s="12">
        <f>SUM(U390,U397,U407,U409)</f>
        <v>120.368</v>
      </c>
      <c r="V411" s="12">
        <f>SUM(V390,V397,V407,V409)</f>
        <v>115.353</v>
      </c>
      <c r="W411" s="12">
        <f>SUM(S411:V411)</f>
        <v>143.159</v>
      </c>
      <c r="X411" s="12">
        <f>SUM(X390,X397,X407,X409)</f>
        <v>158.836</v>
      </c>
      <c r="Y411" s="12">
        <f>SUM(Y390,Y397,Y407,Y409)</f>
        <v>766.623</v>
      </c>
      <c r="Z411" s="12">
        <f>SUM(Z390,Z397,Z407,Z409)</f>
        <v>-247.910000000001</v>
      </c>
      <c r="AA411" s="12">
        <f>SUM(AA390,AA397,AA407,AA409)</f>
        <v>35.1590000000001</v>
      </c>
      <c r="AB411" s="12">
        <f>SUM(X411:AA411)</f>
        <v>712.707999999999</v>
      </c>
      <c r="AC411" s="12">
        <f>SUM(AC390,AC397,AC407,AC409)</f>
        <v>133.939</v>
      </c>
      <c r="AD411" s="12">
        <f>SUM(AD390,AD397,AD407,AD409)</f>
        <v>18.2220000000002</v>
      </c>
      <c r="AE411" s="12">
        <f>SUM(AE390,AE397,AE407,AE409)</f>
        <v>-472.232999999999</v>
      </c>
      <c r="AF411" s="12">
        <f>SUM(AF390,AF397,AF407,AF409)</f>
        <v>4.4340000000002</v>
      </c>
      <c r="AG411" s="12">
        <f>SUM(AC411:AF411)</f>
        <v>-315.637999999999</v>
      </c>
      <c r="AH411" s="12">
        <f>SUM(AH390,AH397,AH407,AH409)</f>
        <v>2017.536</v>
      </c>
      <c r="AI411" s="12">
        <f>SUM(AI390,AI397,AI407,AI409)</f>
        <v>125.764</v>
      </c>
      <c r="AJ411" s="12">
        <f>SUM(AJ390,AJ397,AJ407,AJ409)</f>
        <v>715.270371003493</v>
      </c>
      <c r="AK411" s="12">
        <f>SUM(AK390,AK397,AK407,AK409)</f>
        <v>818.730740946066</v>
      </c>
      <c r="AL411" s="12">
        <f>SUM(AH411:AK411)</f>
        <v>3677.30111194956</v>
      </c>
      <c r="AM411" s="12">
        <f>SUM(AM390,AM397,AM407,AM409)</f>
        <v>889.681242882996</v>
      </c>
      <c r="AN411" s="12">
        <f>SUM(AN390,AN397,AN407,AN409)</f>
        <v>1140.91030187152</v>
      </c>
      <c r="AO411" s="12">
        <f>SUM(AO390,AO397,AO407,AO409)</f>
        <v>834.131917497267</v>
      </c>
      <c r="AP411" s="12">
        <f>SUM(AP390,AP397,AP407,AP409)</f>
        <v>984.786087555437</v>
      </c>
      <c r="AQ411" s="12">
        <f>SUM(AM411:AP411)</f>
        <v>3849.50954980722</v>
      </c>
      <c r="AR411" s="12">
        <f>SUM(AR390,AR397,AR407,AR409)</f>
        <v>1065.77159319255</v>
      </c>
      <c r="AS411" s="12">
        <f>SUM(AS390,AS397,AS407,AS409)</f>
        <v>1361.07682803859</v>
      </c>
      <c r="AT411" s="12">
        <f>SUM(AT390,AT397,AT407,AT409)</f>
        <v>1012.06641990131</v>
      </c>
      <c r="AU411" s="12">
        <f>SUM(AU390,AU397,AU407,AU409)</f>
        <v>1193.38765195044</v>
      </c>
      <c r="AV411" s="12">
        <f>SUM(AR411:AU411)</f>
        <v>4632.30249308289</v>
      </c>
      <c r="AW411" s="12">
        <f>SUM(AW390,AW397,AW407,AW409)</f>
        <v>1287.8954093152</v>
      </c>
      <c r="AX411" s="12">
        <f>SUM(AX390,AX397,AX407,AX409)</f>
        <v>1637.61943036447</v>
      </c>
      <c r="AY411" s="12">
        <f>SUM(AY390,AY397,AY407,AY409)</f>
        <v>1244.38675822223</v>
      </c>
      <c r="AZ411" s="12">
        <f>SUM(AZ390,AZ397,AZ407,AZ409)</f>
        <v>1464.55373889665</v>
      </c>
      <c r="BA411" s="12">
        <f>SUM(AW411:AZ411)</f>
        <v>5634.45533679855</v>
      </c>
      <c r="BB411" s="12">
        <f>SUM(BB390,BB397,BB407,BB409)</f>
        <v>1577.27753211665</v>
      </c>
      <c r="BC411" s="12">
        <f>SUM(BC390,BC397,BC407,BC409)</f>
        <v>1992.23783298569</v>
      </c>
      <c r="BD411" s="12">
        <f>SUM(BD390,BD397,BD407,BD409)</f>
        <v>1556.13688266038</v>
      </c>
      <c r="BE411" s="12">
        <f>SUM(BE390,BE397,BE407,BE409)</f>
        <v>1826.47673525395</v>
      </c>
      <c r="BF411" s="12">
        <f>SUM(BB411:BE411)</f>
        <v>6952.12898301666</v>
      </c>
      <c r="BG411" s="12" t="n"/>
      <c r="BH411" s="12" t="n"/>
      <c r="BI411" s="12" t="n"/>
      <c r="BJ411" s="12" t="n"/>
      <c r="BK411" s="12" t="n"/>
      <c r="BL411" s="12" t="n"/>
      <c r="BM411" s="12" t="n"/>
      <c r="BN411" s="12" t="n"/>
      <c r="BO411" s="12" t="n"/>
      <c r="BP411" s="12" t="n"/>
      <c r="BQ411" s="12" t="n"/>
      <c r="BR411" s="12" t="n"/>
      <c r="BS411" s="12" t="n"/>
      <c r="BT411" s="12" t="n"/>
      <c r="BU411" s="12" t="n"/>
      <c r="BV411" s="12" t="n"/>
      <c r="BW411" s="12" t="n"/>
      <c r="BX411" s="12" t="n"/>
      <c r="BY411" s="12" t="n"/>
      <c r="BZ411" s="12" t="n"/>
      <c r="CA411" s="12" t="n"/>
      <c r="CB411" s="12" t="n"/>
      <c r="CC411" s="12" t="n"/>
      <c r="CD411" s="12" t="n"/>
      <c r="CE411" s="12" t="n"/>
      <c r="CF411" s="12" t="n"/>
      <c r="CG411" s="12" t="n"/>
      <c r="CH411" s="12" t="n"/>
      <c r="CI411" s="12" t="n"/>
      <c r="CJ411" s="12" t="n"/>
      <c r="CK411" s="12" t="n"/>
      <c r="CL411" s="12" t="n"/>
      <c r="CM411" s="12" t="n"/>
      <c r="CN411" s="12" t="n"/>
      <c r="CO411" s="12" t="n"/>
      <c r="CP411" s="12" t="n"/>
      <c r="CQ411" s="12" t="n"/>
      <c r="CR411" s="12" t="n"/>
      <c r="CS411" s="12" t="n"/>
      <c r="CT411" s="12" t="n"/>
      <c r="CU411" s="12" t="n"/>
      <c r="CV411" s="12" t="n"/>
      <c r="CW411" s="12" t="n"/>
      <c r="CX411" s="12" t="n"/>
      <c r="CY411" s="12" t="n"/>
    </row>
    <row r="412">
      <c r="C412" s="4" t="inlineStr">
        <is>
          <t>Check</t>
        </is>
      </c>
      <c r="E412" s="72" t="n"/>
      <c r="F412" s="72" t="n"/>
      <c r="G412" s="72" t="n"/>
      <c r="I412" s="72" t="str">
        <f>""</f>
        <v/>
      </c>
      <c r="J412" s="72">
        <f>J241-I241-J411</f>
        <v>0</v>
      </c>
      <c r="K412" s="72">
        <f>K241-J241-K411</f>
        <v>0</v>
      </c>
      <c r="L412" s="72">
        <f>L241-K241-L411</f>
        <v>0</v>
      </c>
      <c r="M412" s="4" t="str">
        <f>""</f>
        <v/>
      </c>
      <c r="N412" s="72">
        <f>N241-M241-N411</f>
        <v>0</v>
      </c>
      <c r="O412" s="72">
        <f>O241-N241-O411</f>
        <v>0</v>
      </c>
      <c r="P412" s="72">
        <f>P241-O241-P411</f>
        <v>0</v>
      </c>
      <c r="Q412" s="72">
        <f>Q241-P241-Q411</f>
        <v>0</v>
      </c>
      <c r="R412" s="4">
        <f>R241-M241-R411</f>
        <v>0</v>
      </c>
      <c r="S412" s="72">
        <f>S241-R241-S411</f>
        <v>0</v>
      </c>
      <c r="T412" s="72">
        <f>T241-S241-T411</f>
        <v>0</v>
      </c>
      <c r="U412" s="72">
        <f>U241-T241-U411</f>
        <v>0</v>
      </c>
      <c r="V412" s="72">
        <f>V241-U241-V411</f>
        <v>0</v>
      </c>
      <c r="W412" s="4">
        <f>W241-R241-W411</f>
        <v>0</v>
      </c>
      <c r="X412" s="72">
        <f>X241-W241-X411</f>
        <v>0</v>
      </c>
      <c r="Y412" s="72">
        <f>Y241-X241-Y411</f>
        <v>0</v>
      </c>
      <c r="Z412" s="72">
        <f>Z241-Y241-Z411</f>
        <v>0</v>
      </c>
      <c r="AA412" s="72">
        <f>AA241-Z241-AA411</f>
        <v>0</v>
      </c>
      <c r="AB412" s="4">
        <f>AB241-W241-AB411</f>
        <v>0</v>
      </c>
      <c r="AC412" s="72">
        <f>AC241-AB241-AC411</f>
        <v>0</v>
      </c>
      <c r="AD412" s="72">
        <f>AD241-AC241-AD411</f>
        <v>0</v>
      </c>
      <c r="AE412" s="72">
        <f>AE241-AD241-AE411</f>
        <v>0</v>
      </c>
      <c r="AF412" s="72">
        <f>AF241-AE241-AF411</f>
        <v>0</v>
      </c>
      <c r="AG412" s="4">
        <f>AG241-AB241-AG411</f>
        <v>-1.25055521493778e-12</v>
      </c>
      <c r="AH412" s="72">
        <f>AH241-AG241-AH411</f>
        <v>0</v>
      </c>
      <c r="AI412" s="72">
        <f>AI241-AH241-AI411</f>
        <v>0</v>
      </c>
      <c r="AJ412" s="72">
        <f>AJ241-AI241-AJ411</f>
        <v>0</v>
      </c>
      <c r="AK412" s="72">
        <f>AK241-AJ241-AK411</f>
        <v>0</v>
      </c>
      <c r="AL412" s="4">
        <f>AL241-AG241-AL411</f>
        <v>0</v>
      </c>
      <c r="AM412" s="72">
        <f>AM241-AL241-AM411</f>
        <v>0</v>
      </c>
      <c r="AN412" s="72">
        <f>AN241-AM241-AN411</f>
        <v>0</v>
      </c>
      <c r="AO412" s="72">
        <f>AO241-AN241-AO411</f>
        <v>0</v>
      </c>
      <c r="AP412" s="72">
        <f>AP241-AO241-AP411</f>
        <v>0</v>
      </c>
      <c r="AQ412" s="4">
        <f>AQ241-AL241-AQ411</f>
        <v>0</v>
      </c>
      <c r="AR412" s="72">
        <f>AR241-AQ241-AR411</f>
        <v>0</v>
      </c>
      <c r="AS412" s="72">
        <f>AS241-AR241-AS411</f>
        <v>0</v>
      </c>
      <c r="AT412" s="72">
        <f>AT241-AS241-AT411</f>
        <v>0</v>
      </c>
      <c r="AU412" s="72">
        <f>AU241-AT241-AU411</f>
        <v>0</v>
      </c>
      <c r="AV412" s="4">
        <f>AV241-AQ241-AV411</f>
        <v>0</v>
      </c>
      <c r="AW412" s="72">
        <f>AW241-AV241-AW411</f>
        <v>0</v>
      </c>
      <c r="AX412" s="72">
        <f>AX241-AW241-AX411</f>
        <v>0</v>
      </c>
      <c r="AY412" s="72">
        <f>AY241-AX241-AY411</f>
        <v>0</v>
      </c>
      <c r="AZ412" s="72">
        <f>AZ241-AY241-AZ411</f>
        <v>0</v>
      </c>
      <c r="BA412" s="4">
        <f>BA241-AV241-BA411</f>
        <v>0</v>
      </c>
      <c r="BB412" s="72">
        <f>BB241-BA241-BB411</f>
        <v>0</v>
      </c>
      <c r="BC412" s="72">
        <f>BC241-BB241-BC411</f>
        <v>0</v>
      </c>
      <c r="BD412" s="72">
        <f>BD241-BC241-BD411</f>
        <v>0</v>
      </c>
      <c r="BE412" s="72">
        <f>BE241-BD241-BE411</f>
        <v>0</v>
      </c>
      <c r="BF412" s="4">
        <f>BF241-BA241-BF411</f>
        <v>0</v>
      </c>
      <c r="BG412" s="72" t="n"/>
      <c r="BH412" s="72" t="n"/>
      <c r="BI412" s="72" t="n"/>
      <c r="BJ412" s="72" t="n"/>
      <c r="BL412" s="72" t="n"/>
      <c r="BM412" s="72" t="n"/>
      <c r="BN412" s="72" t="n"/>
      <c r="BO412" s="72" t="n"/>
      <c r="BQ412" s="72" t="n"/>
      <c r="BR412" s="72" t="n"/>
      <c r="BS412" s="72" t="n"/>
      <c r="BT412" s="72" t="n"/>
      <c r="BV412" s="72" t="n"/>
      <c r="BW412" s="72" t="n"/>
      <c r="BX412" s="72" t="n"/>
      <c r="BY412" s="72" t="n"/>
      <c r="CA412" s="72" t="n"/>
      <c r="CB412" s="72" t="n"/>
      <c r="CC412" s="72" t="n"/>
      <c r="CD412" s="72" t="n"/>
      <c r="CF412" s="72" t="n"/>
      <c r="CG412" s="72" t="n"/>
      <c r="CH412" s="72" t="n"/>
      <c r="CI412" s="72" t="n"/>
      <c r="CK412" s="72" t="n"/>
      <c r="CL412" s="72" t="n"/>
      <c r="CM412" s="72" t="n"/>
      <c r="CN412" s="72" t="n"/>
      <c r="CP412" s="72" t="n"/>
      <c r="CQ412" s="72" t="n"/>
      <c r="CR412" s="72" t="n"/>
      <c r="CS412" s="72" t="n"/>
      <c r="CU412" s="72" t="n"/>
      <c r="CV412" s="72" t="n"/>
      <c r="CW412" s="72" t="n"/>
      <c r="CX412" s="72" t="n"/>
    </row>
    <row r="413"/>
    <row r="414">
      <c r="C414" s="73" t="inlineStr">
        <is>
          <t>Ratio Analysis</t>
        </is>
      </c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  <c r="N414" s="73" t="n"/>
      <c r="O414" s="73" t="n"/>
      <c r="P414" s="73" t="n"/>
      <c r="Q414" s="73" t="n"/>
      <c r="R414" s="73" t="n"/>
      <c r="S414" s="73" t="n"/>
      <c r="T414" s="73" t="n"/>
      <c r="U414" s="73" t="n"/>
      <c r="V414" s="73" t="n"/>
      <c r="W414" s="73" t="n"/>
      <c r="X414" s="73" t="n"/>
      <c r="Y414" s="73" t="n"/>
      <c r="Z414" s="73" t="n"/>
      <c r="AA414" s="73" t="n"/>
      <c r="AB414" s="73" t="n"/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73" t="n"/>
      <c r="BR414" s="73" t="n"/>
      <c r="BS414" s="73" t="n"/>
      <c r="BT414" s="73" t="n"/>
      <c r="BU414" s="73" t="n"/>
      <c r="BV414" s="73" t="n"/>
      <c r="BW414" s="73" t="n"/>
      <c r="BX414" s="73" t="n"/>
      <c r="BY414" s="73" t="n"/>
      <c r="BZ414" s="73" t="n"/>
      <c r="CA414" s="73" t="n"/>
      <c r="CB414" s="73" t="n"/>
      <c r="CC414" s="73" t="n"/>
      <c r="CD414" s="73" t="n"/>
      <c r="CE414" s="73" t="n"/>
      <c r="CF414" s="73" t="n"/>
      <c r="CG414" s="73" t="n"/>
      <c r="CH414" s="73" t="n"/>
      <c r="CI414" s="73" t="n"/>
      <c r="CJ414" s="73" t="n"/>
      <c r="CK414" s="73" t="n"/>
      <c r="CL414" s="73" t="n"/>
      <c r="CM414" s="73" t="n"/>
      <c r="CN414" s="73" t="n"/>
      <c r="CO414" s="73" t="n"/>
      <c r="CP414" s="73" t="n"/>
      <c r="CQ414" s="73" t="n"/>
      <c r="CR414" s="73" t="n"/>
      <c r="CS414" s="73" t="n"/>
      <c r="CT414" s="73" t="n"/>
      <c r="CU414" s="73" t="n"/>
      <c r="CV414" s="73" t="n"/>
      <c r="CW414" s="73" t="n"/>
      <c r="CX414" s="73" t="n"/>
      <c r="CY414" s="73" t="n"/>
    </row>
    <row r="415"/>
    <row r="416" customFormat="1" s="74">
      <c r="C416" s="74" t="inlineStr">
        <is>
          <t>YEAR</t>
        </is>
      </c>
      <c r="D416">
        <f>IFERROR(D372,"")</f>
        <v>0</v>
      </c>
      <c r="E416" s="75">
        <f>IFERROR(E372,"")</f>
        <v>0</v>
      </c>
      <c r="F416" s="75">
        <f>IFERROR(F372,"")</f>
        <v>0</v>
      </c>
      <c r="G416" s="75">
        <f>IFERROR(G372,"")</f>
        <v>0</v>
      </c>
      <c r="H416" s="75">
        <f>IFERROR(H372,"")</f>
        <v>0</v>
      </c>
      <c r="I416" s="75" t="str">
        <f>IFERROR(I372,"")</f>
        <v>1Q21</v>
      </c>
      <c r="J416" s="75" t="str">
        <f>IFERROR(J372,"")</f>
        <v>2Q21</v>
      </c>
      <c r="K416" s="75" t="str">
        <f>IFERROR(K372,"")</f>
        <v>3Q21</v>
      </c>
      <c r="L416" s="75" t="str">
        <f>IFERROR(L372,"")</f>
        <v>4Q21</v>
      </c>
      <c r="M416" s="75">
        <f>IFERROR(M372,"")</f>
        <v>2021</v>
      </c>
      <c r="N416" s="75" t="str">
        <f>IFERROR(N372,"")</f>
        <v>1Q22</v>
      </c>
      <c r="O416" s="75" t="str">
        <f>IFERROR(O372,"")</f>
        <v>2Q22</v>
      </c>
      <c r="P416" s="75" t="str">
        <f>IFERROR(P372,"")</f>
        <v>3Q22</v>
      </c>
      <c r="Q416" s="75" t="str">
        <f>IFERROR(Q372,"")</f>
        <v>4Q22</v>
      </c>
      <c r="R416" s="75">
        <f>IFERROR(R372,"")</f>
        <v>2022</v>
      </c>
      <c r="S416" s="75" t="str">
        <f>IFERROR(S372,"")</f>
        <v>1Q23</v>
      </c>
      <c r="T416" s="75" t="str">
        <f>IFERROR(T372,"")</f>
        <v>2Q23</v>
      </c>
      <c r="U416" s="75" t="str">
        <f>IFERROR(U372,"")</f>
        <v>3Q23</v>
      </c>
      <c r="V416" s="75" t="str">
        <f>IFERROR(V372,"")</f>
        <v>4Q23</v>
      </c>
      <c r="W416" s="75">
        <f>IFERROR(W372,"")</f>
        <v>2023</v>
      </c>
      <c r="X416" s="75" t="str">
        <f>IFERROR(X372,"")</f>
        <v>1Q24</v>
      </c>
      <c r="Y416" s="75" t="str">
        <f>IFERROR(Y372,"")</f>
        <v>2Q24</v>
      </c>
      <c r="Z416" s="75" t="str">
        <f>IFERROR(Z372,"")</f>
        <v>3Q24</v>
      </c>
      <c r="AA416" s="75" t="str">
        <f>IFERROR(AA372,"")</f>
        <v>4Q24</v>
      </c>
      <c r="AB416" s="75">
        <f>IFERROR(AB372,"")</f>
        <v>2024</v>
      </c>
      <c r="AC416" s="75" t="str">
        <f>IFERROR(AC372,"")</f>
        <v>1Q25</v>
      </c>
      <c r="AD416" s="75" t="str">
        <f>IFERROR(AD372,"")</f>
        <v>2Q25</v>
      </c>
      <c r="AE416" s="75" t="str">
        <f>IFERROR(AE372,"")</f>
        <v>3Q25</v>
      </c>
      <c r="AF416" s="75" t="str">
        <f>IFERROR(AF372,"")</f>
        <v>4Q25</v>
      </c>
      <c r="AG416" s="75">
        <f>IFERROR(AG372,"")</f>
        <v>2025</v>
      </c>
      <c r="AH416" s="75" t="str">
        <f>IFERROR(AH372,"")</f>
        <v>1Q26</v>
      </c>
      <c r="AI416" s="75" t="str">
        <f>IFERROR(AI372,"")</f>
        <v>2Q26</v>
      </c>
      <c r="AJ416" s="75" t="str">
        <f>IFERROR(AJ372,"")</f>
        <v>3Q26</v>
      </c>
      <c r="AK416" s="75" t="str">
        <f>IFERROR(AK372,"")</f>
        <v>4Q26</v>
      </c>
      <c r="AL416" s="75">
        <f>IFERROR(AL372,"")</f>
        <v>2026</v>
      </c>
      <c r="AM416" s="75" t="str">
        <f>IFERROR(AM372,"")</f>
        <v>1Q27</v>
      </c>
      <c r="AN416" s="75" t="str">
        <f>IFERROR(AN372,"")</f>
        <v>2Q27</v>
      </c>
      <c r="AO416" s="75" t="str">
        <f>IFERROR(AO372,"")</f>
        <v>3Q27</v>
      </c>
      <c r="AP416" s="75" t="str">
        <f>IFERROR(AP372,"")</f>
        <v>4Q27</v>
      </c>
      <c r="AQ416" s="75">
        <f>IFERROR(AQ372,"")</f>
        <v>2027</v>
      </c>
      <c r="AR416" s="75" t="str">
        <f>IFERROR(AR372,"")</f>
        <v>1Q28</v>
      </c>
      <c r="AS416" s="75" t="str">
        <f>IFERROR(AS372,"")</f>
        <v>2Q28</v>
      </c>
      <c r="AT416" s="75" t="str">
        <f>IFERROR(AT372,"")</f>
        <v>3Q28</v>
      </c>
      <c r="AU416" s="75" t="str">
        <f>IFERROR(AU372,"")</f>
        <v>4Q28</v>
      </c>
      <c r="AV416" s="75">
        <f>IFERROR(AV372,"")</f>
        <v>2028</v>
      </c>
      <c r="AW416" s="75" t="str">
        <f>IFERROR(AW372,"")</f>
        <v>1Q29</v>
      </c>
      <c r="AX416" s="75" t="str">
        <f>IFERROR(AX372,"")</f>
        <v>2Q29</v>
      </c>
      <c r="AY416" s="75" t="str">
        <f>IFERROR(AY372,"")</f>
        <v>3Q29</v>
      </c>
      <c r="AZ416" s="75" t="str">
        <f>IFERROR(AZ372,"")</f>
        <v>4Q29</v>
      </c>
      <c r="BA416" s="75">
        <f>IFERROR(BA372,"")</f>
        <v>2029</v>
      </c>
      <c r="BB416" s="75" t="str">
        <f>IFERROR(BB372,"")</f>
        <v>1Q30</v>
      </c>
      <c r="BC416" s="75" t="str">
        <f>IFERROR(BC372,"")</f>
        <v>2Q30</v>
      </c>
      <c r="BD416" s="75" t="str">
        <f>IFERROR(BD372,"")</f>
        <v>3Q30</v>
      </c>
      <c r="BE416" s="75" t="str">
        <f>IFERROR(BE372,"")</f>
        <v>4Q30</v>
      </c>
      <c r="BF416" s="75">
        <f>IFERROR(BF372,"")</f>
        <v>2030</v>
      </c>
      <c r="BG416" s="75" t="n"/>
      <c r="BH416" s="75" t="n"/>
      <c r="BI416" s="75" t="n"/>
      <c r="BJ416" s="75" t="n"/>
      <c r="BK416" s="75" t="n"/>
      <c r="BL416" s="75" t="n"/>
      <c r="BM416" s="75" t="n"/>
      <c r="BN416" s="75" t="n"/>
      <c r="BO416" s="75" t="n"/>
      <c r="BP416" s="75" t="n"/>
      <c r="BQ416" s="75" t="n"/>
      <c r="BR416" s="75" t="n"/>
      <c r="BS416" s="75" t="n"/>
      <c r="BT416" s="75" t="n"/>
      <c r="BU416" s="75" t="n"/>
      <c r="BV416" s="75" t="n"/>
      <c r="BW416" s="75" t="n"/>
      <c r="BX416" s="75" t="n"/>
      <c r="BY416" s="75" t="n"/>
      <c r="BZ416" s="75" t="n"/>
      <c r="CA416" s="75" t="n"/>
      <c r="CB416" s="75" t="n"/>
      <c r="CC416" s="75" t="n"/>
      <c r="CD416" s="75" t="n"/>
      <c r="CE416" s="75" t="n"/>
      <c r="CF416" s="75" t="n"/>
      <c r="CG416" s="75" t="n"/>
      <c r="CH416" s="75" t="n"/>
      <c r="CI416" s="75" t="n"/>
      <c r="CJ416" s="75" t="n"/>
      <c r="CK416" s="75" t="n"/>
      <c r="CL416" s="75" t="n"/>
      <c r="CM416" s="75" t="n"/>
      <c r="CN416" s="75" t="n"/>
      <c r="CO416" s="75" t="n"/>
      <c r="CP416" s="75" t="n"/>
      <c r="CQ416" s="75" t="n"/>
      <c r="CR416" s="75" t="n"/>
      <c r="CS416" s="75" t="n"/>
      <c r="CT416" s="75" t="n"/>
      <c r="CU416" s="75" t="n"/>
      <c r="CV416" s="75" t="n"/>
      <c r="CW416" s="75" t="n"/>
      <c r="CX416" s="75" t="n"/>
      <c r="CY416" s="75" t="n"/>
    </row>
    <row r="417" customFormat="1" s="77">
      <c r="A417" s="76" t="n"/>
      <c r="B417" s="76" t="n"/>
      <c r="C417" s="74" t="inlineStr">
        <is>
          <t>GROWTH &amp; MARGINS</t>
        </is>
      </c>
    </row>
    <row r="418" customFormat="1" s="77">
      <c r="A418" s="76" t="n"/>
      <c r="B418" s="76" t="n"/>
      <c r="C418" s="77" t="inlineStr">
        <is>
          <t>NET REVENUE GROWTH (YoY)</t>
        </is>
      </c>
      <c r="E418" s="78" t="str">
        <f>IFERROR(E15/D15-1,"")</f>
        <v/>
      </c>
      <c r="F418" s="78" t="str">
        <f>IFERROR(F15/E15-1,"")</f>
        <v/>
      </c>
      <c r="G418" s="78" t="str">
        <f>IFERROR(G15/F15-1,"")</f>
        <v/>
      </c>
      <c r="H418" s="257" t="str">
        <f>""</f>
        <v/>
      </c>
      <c r="I418" s="257" t="str">
        <f>""</f>
        <v/>
      </c>
      <c r="J418" s="257" t="str">
        <f>""</f>
        <v/>
      </c>
      <c r="K418" s="257" t="str">
        <f>""</f>
        <v/>
      </c>
      <c r="L418" s="257" t="str">
        <f>""</f>
        <v/>
      </c>
      <c r="M418" s="257" t="str">
        <f>IFERROR(IF(AND(ISNUMBER(M15),ISNUMBER(H15),H15&lt;&gt;0),M15/H15-1,""),"")</f>
        <v/>
      </c>
      <c r="N418" s="257">
        <f>IFERROR(IF(AND(ISNUMBER(N15),ISNUMBER(I15),I15&lt;&gt;0),N15/I15-1,""),"")</f>
        <v>-0.200411620794343</v>
      </c>
      <c r="O418" s="257">
        <f>IFERROR(IF(AND(ISNUMBER(O15),ISNUMBER(J15),J15&lt;&gt;0),O15/J15-1,""),"")</f>
        <v>-0.126312782272027</v>
      </c>
      <c r="P418" s="257">
        <f>IFERROR(IF(AND(ISNUMBER(P15),ISNUMBER(K15),K15&lt;&gt;0),P15/K15-1,""),"")</f>
        <v>-0.44105007313823</v>
      </c>
      <c r="Q418" s="257">
        <f>IFERROR(IF(AND(ISNUMBER(Q15),ISNUMBER(L15),L15&lt;&gt;0),Q15/L15-1,""),"")</f>
        <v>-0.3507763260667</v>
      </c>
      <c r="R418" s="257">
        <f>IFERROR(IF(AND(ISNUMBER(R15),ISNUMBER(M15),M15&lt;&gt;0),R15/M15-1,""),"")</f>
        <v>-0.267566745532466</v>
      </c>
      <c r="S418" s="257">
        <f>IFERROR(IF(AND(ISNUMBER(S15),ISNUMBER(N15),N15&lt;&gt;0),S15/N15-1,""),"")</f>
        <v>-0.215945865742042</v>
      </c>
      <c r="T418" s="257">
        <f>IFERROR(IF(AND(ISNUMBER(T15),ISNUMBER(O15),O15&lt;&gt;0),T15/O15-1,""),"")</f>
        <v>-0.332197154187956</v>
      </c>
      <c r="U418" s="257">
        <f>IFERROR(IF(AND(ISNUMBER(U15),ISNUMBER(P15),P15&lt;&gt;0),U15/P15-1,""),"")</f>
        <v>-0.0056721810317486</v>
      </c>
      <c r="V418" s="257">
        <f>IFERROR(IF(AND(ISNUMBER(V15),ISNUMBER(Q15),Q15&lt;&gt;0),V15/Q15-1,""),"")</f>
        <v>0.199355169974573</v>
      </c>
      <c r="W418" s="257">
        <f>IFERROR(IF(AND(ISNUMBER(W15),ISNUMBER(R15),R15&lt;&gt;0),W15/R15-1,""),"")</f>
        <v>-0.136245900835432</v>
      </c>
      <c r="X418" s="257">
        <f>IFERROR(IF(AND(ISNUMBER(X15),ISNUMBER(S15),S15&lt;&gt;0),X15/S15-1,""),"")</f>
        <v>-0.00743229312438187</v>
      </c>
      <c r="Y418" s="257">
        <f>IFERROR(IF(AND(ISNUMBER(Y15),ISNUMBER(T15),T15&lt;&gt;0),Y15/T15-1,""),"")</f>
        <v>0.222437563769297</v>
      </c>
      <c r="Z418" s="257">
        <f>IFERROR(IF(AND(ISNUMBER(Z15),ISNUMBER(U15),U15&lt;&gt;0),Z15/U15-1,""),"")</f>
        <v>0.430860596310696</v>
      </c>
      <c r="AA418" s="257">
        <f>IFERROR(IF(AND(ISNUMBER(AA15),ISNUMBER(V15),V15&lt;&gt;0),AA15/V15-1,""),"")</f>
        <v>0.279001583793613</v>
      </c>
      <c r="AB418" s="257">
        <f>IFERROR(IF(AND(ISNUMBER(AB15),ISNUMBER(W15),W15&lt;&gt;0),AB15/W15-1,""),"")</f>
        <v>0.208590615214619</v>
      </c>
      <c r="AC418" s="257">
        <f>IFERROR(IF(AND(ISNUMBER(AC15),ISNUMBER(X15),X15&lt;&gt;0),AC15/X15-1,""),"")</f>
        <v>0.227985971390869</v>
      </c>
      <c r="AD418" s="257">
        <f>IFERROR(IF(AND(ISNUMBER(AD15),ISNUMBER(Y15),Y15&lt;&gt;0),AD15/Y15-1,""),"")</f>
        <v>0.097985513142608</v>
      </c>
      <c r="AE418" s="257">
        <f>IFERROR(IF(AND(ISNUMBER(AE15),ISNUMBER(Z15),Z15&lt;&gt;0),AE15/Z15-1,""),"")</f>
        <v>0.0374620248188875</v>
      </c>
      <c r="AF418" s="257">
        <f>IFERROR(IF(AND(ISNUMBER(AF15),ISNUMBER(AA15),AA15&lt;&gt;0),AF15/AA15-1,""),"")</f>
        <v>0.035919737205224</v>
      </c>
      <c r="AG418" s="257">
        <f>IFERROR(IF(AND(ISNUMBER(AG15),ISNUMBER(AB15),AB15&lt;&gt;0),AG15/AB15-1,""),"")</f>
        <v>0.0988927324227455</v>
      </c>
      <c r="AH418" s="257">
        <f>IFERROR(IF(AND(ISNUMBER(AH15),ISNUMBER(AC15),AC15&lt;&gt;0),AH15/AC15-1,""),"")</f>
        <v>0.0260710891527631</v>
      </c>
      <c r="AI418" s="257">
        <f>IFERROR(IF(AND(ISNUMBER(AI15),ISNUMBER(AD15),AD15&lt;&gt;0),AI15/AD15-1,""),"")</f>
        <v>0.554028114674256</v>
      </c>
      <c r="AJ418" s="257">
        <f>IFERROR(IF(AND(ISNUMBER(AJ15),ISNUMBER(AE15),AE15&lt;&gt;0),AJ15/AE15-1,""),"")</f>
        <v>0.163242075064101</v>
      </c>
      <c r="AK418" s="257">
        <f>IFERROR(IF(AND(ISNUMBER(AK15),ISNUMBER(AF15),AF15&lt;&gt;0),AK15/AF15-1,""),"")</f>
        <v>0.163242075064101</v>
      </c>
      <c r="AL418" s="257">
        <f>IFERROR(IF(AND(ISNUMBER(AL15),ISNUMBER(AG15),AG15&lt;&gt;0),AL15/AG15-1,""),"")</f>
        <v>0.218120139295712</v>
      </c>
      <c r="AM418" s="257">
        <f>IFERROR(IF(AND(ISNUMBER(AM15),ISNUMBER(AH15),AH15&lt;&gt;0),AM15/AH15-1,""),"")</f>
        <v>0.163242075064101</v>
      </c>
      <c r="AN418" s="257">
        <f>IFERROR(IF(AND(ISNUMBER(AN15),ISNUMBER(AI15),AI15&lt;&gt;0),AN15/AI15-1,""),"")</f>
        <v>0.163242075064101</v>
      </c>
      <c r="AO418" s="257">
        <f>IFERROR(IF(AND(ISNUMBER(AO15),ISNUMBER(AJ15),AJ15&lt;&gt;0),AO15/AJ15-1,""),"")</f>
        <v>0.163242075064101</v>
      </c>
      <c r="AP418" s="257">
        <f>IFERROR(IF(AND(ISNUMBER(AP15),ISNUMBER(AK15),AK15&lt;&gt;0),AP15/AK15-1,""),"")</f>
        <v>0.163242075064101</v>
      </c>
      <c r="AQ418" s="257">
        <f>IFERROR(IF(AND(ISNUMBER(AQ15),ISNUMBER(AL15),AL15&lt;&gt;0),AQ15/AL15-1,""),"")</f>
        <v>0.163242075064101</v>
      </c>
      <c r="AR418" s="257">
        <f>IFERROR(IF(AND(ISNUMBER(AR15),ISNUMBER(AM15),AM15&lt;&gt;0),AR15/AM15-1,""),"")</f>
        <v>0.158242075064101</v>
      </c>
      <c r="AS418" s="257">
        <f>IFERROR(IF(AND(ISNUMBER(AS15),ISNUMBER(AN15),AN15&lt;&gt;0),AS15/AN15-1,""),"")</f>
        <v>0.158242075064101</v>
      </c>
      <c r="AT418" s="257">
        <f>IFERROR(IF(AND(ISNUMBER(AT15),ISNUMBER(AO15),AO15&lt;&gt;0),AT15/AO15-1,""),"")</f>
        <v>0.158242075064101</v>
      </c>
      <c r="AU418" s="257">
        <f>IFERROR(IF(AND(ISNUMBER(AU15),ISNUMBER(AP15),AP15&lt;&gt;0),AU15/AP15-1,""),"")</f>
        <v>0.158242075064101</v>
      </c>
      <c r="AV418" s="257">
        <f>IFERROR(IF(AND(ISNUMBER(AV15),ISNUMBER(AQ15),AQ15&lt;&gt;0),AV15/AQ15-1,""),"")</f>
        <v>0.158242075064101</v>
      </c>
      <c r="AW418" s="257">
        <f>IFERROR(IF(AND(ISNUMBER(AW15),ISNUMBER(AR15),AR15&lt;&gt;0),AW15/AR15-1,""),"")</f>
        <v>0.153242075064101</v>
      </c>
      <c r="AX418" s="257">
        <f>IFERROR(IF(AND(ISNUMBER(AX15),ISNUMBER(AS15),AS15&lt;&gt;0),AX15/AS15-1,""),"")</f>
        <v>0.153242075064101</v>
      </c>
      <c r="AY418" s="257">
        <f>IFERROR(IF(AND(ISNUMBER(AY15),ISNUMBER(AT15),AT15&lt;&gt;0),AY15/AT15-1,""),"")</f>
        <v>0.153242075064101</v>
      </c>
      <c r="AZ418" s="257">
        <f>IFERROR(IF(AND(ISNUMBER(AZ15),ISNUMBER(AU15),AU15&lt;&gt;0),AZ15/AU15-1,""),"")</f>
        <v>0.153242075064101</v>
      </c>
      <c r="BA418" s="257">
        <f>IFERROR(IF(AND(ISNUMBER(BA15),ISNUMBER(AV15),AV15&lt;&gt;0),BA15/AV15-1,""),"")</f>
        <v>0.153242075064101</v>
      </c>
      <c r="BB418" s="257">
        <f>IFERROR(IF(AND(ISNUMBER(BB15),ISNUMBER(AW15),AW15&lt;&gt;0),BB15/AW15-1,""),"")</f>
        <v>0.148242075064101</v>
      </c>
      <c r="BC418" s="257">
        <f>IFERROR(IF(AND(ISNUMBER(BC15),ISNUMBER(AX15),AX15&lt;&gt;0),BC15/AX15-1,""),"")</f>
        <v>0.148242075064101</v>
      </c>
      <c r="BD418" s="257">
        <f>IFERROR(IF(AND(ISNUMBER(BD15),ISNUMBER(AY15),AY15&lt;&gt;0),BD15/AY15-1,""),"")</f>
        <v>0.148242075064101</v>
      </c>
      <c r="BE418" s="257">
        <f>IFERROR(IF(AND(ISNUMBER(BE15),ISNUMBER(AZ15),AZ15&lt;&gt;0),BE15/AZ15-1,""),"")</f>
        <v>0.148242075064101</v>
      </c>
      <c r="BF418" s="257">
        <f>IFERROR(IF(AND(ISNUMBER(BF15),ISNUMBER(BA15),BA15&lt;&gt;0),BF15/BA15-1,""),"")</f>
        <v>0.148242075064101</v>
      </c>
      <c r="BG418" s="79" t="n"/>
      <c r="BH418" s="79" t="n"/>
      <c r="BI418" s="79" t="n"/>
      <c r="BJ418" s="79" t="n"/>
      <c r="BK418" s="78" t="n"/>
      <c r="BL418" s="79" t="n"/>
      <c r="BM418" s="79" t="n"/>
      <c r="BN418" s="79" t="n"/>
      <c r="BO418" s="79" t="n"/>
      <c r="BP418" s="78" t="n"/>
      <c r="BQ418" s="79" t="n"/>
      <c r="BR418" s="79" t="n"/>
      <c r="BS418" s="79" t="n"/>
      <c r="BT418" s="79" t="n"/>
      <c r="BU418" s="78" t="n"/>
      <c r="BV418" s="79" t="n"/>
      <c r="BW418" s="79" t="n"/>
      <c r="BX418" s="79" t="n"/>
      <c r="BY418" s="79" t="n"/>
      <c r="BZ418" s="78" t="n"/>
      <c r="CA418" s="79" t="n"/>
      <c r="CB418" s="79" t="n"/>
      <c r="CC418" s="79" t="n"/>
      <c r="CD418" s="79" t="n"/>
      <c r="CE418" s="78" t="n"/>
      <c r="CF418" s="79" t="n"/>
      <c r="CG418" s="79" t="n"/>
      <c r="CH418" s="79" t="n"/>
      <c r="CI418" s="79" t="n"/>
      <c r="CJ418" s="78" t="n"/>
      <c r="CK418" s="79" t="n"/>
      <c r="CL418" s="79" t="n"/>
      <c r="CM418" s="79" t="n"/>
      <c r="CN418" s="79" t="n"/>
      <c r="CO418" s="78" t="n"/>
      <c r="CP418" s="79" t="n"/>
      <c r="CQ418" s="79" t="n"/>
      <c r="CR418" s="79" t="n"/>
      <c r="CS418" s="79" t="n"/>
      <c r="CT418" s="78" t="n"/>
      <c r="CU418" s="79" t="n"/>
      <c r="CV418" s="79" t="n"/>
      <c r="CW418" s="79" t="n"/>
      <c r="CX418" s="79" t="n"/>
      <c r="CY418" s="78" t="n"/>
    </row>
    <row r="419" customFormat="1" s="77">
      <c r="A419" s="76" t="n"/>
      <c r="B419" s="76" t="n"/>
      <c r="C419" s="77" t="inlineStr">
        <is>
          <t>GROSS MARGIN</t>
        </is>
      </c>
      <c r="D419" s="79" t="str">
        <f>IFERROR(SUM(D15,D151)/D15,"")</f>
        <v/>
      </c>
      <c r="E419" s="79" t="str">
        <f>IFERROR(SUM(E15,E151)/E15,"")</f>
        <v/>
      </c>
      <c r="F419" s="79" t="str">
        <f>IFERROR(SUM(F15,F151)/F15,"")</f>
        <v/>
      </c>
      <c r="G419" s="79" t="str">
        <f>IFERROR(SUM(G15,G151)/G15,"")</f>
        <v/>
      </c>
      <c r="H419" s="258" t="str">
        <f>IFERROR(IF(N(H15)&lt;&gt;0,(H15+H151)/H15,""),"")</f>
        <v/>
      </c>
      <c r="I419" s="258">
        <f>IFERROR(IF(N(I15)&lt;&gt;0,(I15+I151)/I15,""),"")</f>
        <v>0.70587533734547</v>
      </c>
      <c r="J419" s="258">
        <f>IFERROR(IF(N(J15)&lt;&gt;0,(J15+J151)/J15,""),"")</f>
        <v>0.84948932087192</v>
      </c>
      <c r="K419" s="258">
        <f>IFERROR(IF(N(K15)&lt;&gt;0,(K15+K151)/K15,""),"")</f>
        <v>0.754167337528647</v>
      </c>
      <c r="L419" s="258">
        <f>IFERROR(IF(N(L15)&lt;&gt;0,(L15+L151)/L15,""),"")</f>
        <v>0.728890074924132</v>
      </c>
      <c r="M419" s="258">
        <f>IFERROR(IF(N(M15)&lt;&gt;0,(M15+M151)/M15,""),"")</f>
        <v>0.758295810942171</v>
      </c>
      <c r="N419" s="258">
        <f>IFERROR(IF(N(N15)&lt;&gt;0,(N15+N151)/N15,""),"")</f>
        <v>0.894738856089714</v>
      </c>
      <c r="O419" s="258">
        <f>IFERROR(IF(N(O15)&lt;&gt;0,(O15+O151)/O15,""),"")</f>
        <v>0.894172702083385</v>
      </c>
      <c r="P419" s="258">
        <f>IFERROR(IF(N(P15)&lt;&gt;0,(P15+P151)/P15,""),"")</f>
        <v>0.798642169953988</v>
      </c>
      <c r="Q419" s="258">
        <f>IFERROR(IF(N(Q15)&lt;&gt;0,(Q15+Q151)/Q15,""),"")</f>
        <v>0.780039492766487</v>
      </c>
      <c r="R419" s="258">
        <f>IFERROR(IF(N(R15)&lt;&gt;0,(R15+R151)/R15,""),"")</f>
        <v>0.856297610563976</v>
      </c>
      <c r="S419" s="258">
        <f>IFERROR(IF(N(S15)&lt;&gt;0,(S15+S151)/S15,""),"")</f>
        <v>0.838925813523347</v>
      </c>
      <c r="T419" s="258">
        <f>IFERROR(IF(N(T15)&lt;&gt;0,(T15+T151)/T15,""),"")</f>
        <v>0.82472992580971</v>
      </c>
      <c r="U419" s="258">
        <f>IFERROR(IF(N(U15)&lt;&gt;0,(U15+U151)/U15,""),"")</f>
        <v>0.75077239324023</v>
      </c>
      <c r="V419" s="258">
        <f>IFERROR(IF(N(V15)&lt;&gt;0,(V15+V151)/V15,""),"")</f>
        <v>0.784013134897999</v>
      </c>
      <c r="W419" s="258">
        <f>IFERROR(IF(N(W15)&lt;&gt;0,(W15+W151)/W15,""),"")</f>
        <v>0.803740795758628</v>
      </c>
      <c r="X419" s="258">
        <f>IFERROR(IF(N(X15)&lt;&gt;0,(X15+X151)/X15,""),"")</f>
        <v>0.83124526484268</v>
      </c>
      <c r="Y419" s="258">
        <f>IFERROR(IF(N(Y15)&lt;&gt;0,(Y15+Y151)/Y15,""),"")</f>
        <v>0.810800551960172</v>
      </c>
      <c r="Z419" s="258">
        <f>IFERROR(IF(N(Z15)&lt;&gt;0,(Z15+Z151)/Z15,""),"")</f>
        <v>0.7340428854353</v>
      </c>
      <c r="AA419" s="258">
        <f>IFERROR(IF(N(AA15)&lt;&gt;0,(AA15+AA151)/AA15,""),"")</f>
        <v>0.708584451309078</v>
      </c>
      <c r="AB419" s="258">
        <f>IFERROR(IF(N(AB15)&lt;&gt;0,(AB15+AB151)/AB15,""),"")</f>
        <v>0.769392049781815</v>
      </c>
      <c r="AC419" s="258">
        <f>IFERROR(IF(N(AC15)&lt;&gt;0,(AC15+AC151)/AC15,""),"")</f>
        <v>0.758772148454195</v>
      </c>
      <c r="AD419" s="258">
        <f>IFERROR(IF(N(AD15)&lt;&gt;0,(AD15+AD151)/AD15,""),"")</f>
        <v>0.730116316824875</v>
      </c>
      <c r="AE419" s="258">
        <f>IFERROR(IF(N(AE15)&lt;&gt;0,(AE15+AE151)/AE15,""),"")</f>
        <v>0.744830814872638</v>
      </c>
      <c r="AF419" s="258">
        <f>IFERROR(IF(N(AF15)&lt;&gt;0,(AF15+AF151)/AF15,""),"")</f>
        <v>0.711306319119261</v>
      </c>
      <c r="AG419" s="258">
        <f>IFERROR(IF(N(AG15)&lt;&gt;0,(AG15+AG151)/AG15,""),"")</f>
        <v>0.736336096253584</v>
      </c>
      <c r="AH419" s="258">
        <f>IFERROR(IF(N(AH15)&lt;&gt;0,(AH15+AH151)/AH15,""),"")</f>
        <v>0.67417362529716</v>
      </c>
      <c r="AI419" s="258">
        <f>IFERROR(IF(N(AI15)&lt;&gt;0,(AI15+AI151)/AI15,""),"")</f>
        <v>0.677883099764331</v>
      </c>
      <c r="AJ419" s="258">
        <f>IFERROR(IF(N(AJ15)&lt;&gt;0,(AJ15+AJ151)/AJ15,""),"")</f>
        <v>0.716180387388743</v>
      </c>
      <c r="AK419" s="258">
        <f>IFERROR(IF(N(AK15)&lt;&gt;0,(AK15+AK151)/AK15,""),"")</f>
        <v>0.716180387388743</v>
      </c>
      <c r="AL419" s="258">
        <f>IFERROR(IF(N(AL15)&lt;&gt;0,(AL15+AL151)/AL15,""),"")</f>
        <v>0.694701473119501</v>
      </c>
      <c r="AM419" s="258">
        <f>IFERROR(IF(N(AM15)&lt;&gt;0,(AM15+AM151)/AM15,""),"")</f>
        <v>0.716180387388743</v>
      </c>
      <c r="AN419" s="258">
        <f>IFERROR(IF(N(AN15)&lt;&gt;0,(AN15+AN151)/AN15,""),"")</f>
        <v>0.716180387388743</v>
      </c>
      <c r="AO419" s="258">
        <f>IFERROR(IF(N(AO15)&lt;&gt;0,(AO15+AO151)/AO15,""),"")</f>
        <v>0.716180387388743</v>
      </c>
      <c r="AP419" s="258">
        <f>IFERROR(IF(N(AP15)&lt;&gt;0,(AP15+AP151)/AP15,""),"")</f>
        <v>0.716180387388743</v>
      </c>
      <c r="AQ419" s="258">
        <f>IFERROR(IF(N(AQ15)&lt;&gt;0,(AQ15+AQ151)/AQ15,""),"")</f>
        <v>0.716180387388743</v>
      </c>
      <c r="AR419" s="258">
        <f>IFERROR(IF(N(AR15)&lt;&gt;0,(AR15+AR151)/AR15,""),"")</f>
        <v>0.716180387388743</v>
      </c>
      <c r="AS419" s="258">
        <f>IFERROR(IF(N(AS15)&lt;&gt;0,(AS15+AS151)/AS15,""),"")</f>
        <v>0.716180387388743</v>
      </c>
      <c r="AT419" s="258">
        <f>IFERROR(IF(N(AT15)&lt;&gt;0,(AT15+AT151)/AT15,""),"")</f>
        <v>0.716180387388743</v>
      </c>
      <c r="AU419" s="258">
        <f>IFERROR(IF(N(AU15)&lt;&gt;0,(AU15+AU151)/AU15,""),"")</f>
        <v>0.716180387388744</v>
      </c>
      <c r="AV419" s="258">
        <f>IFERROR(IF(N(AV15)&lt;&gt;0,(AV15+AV151)/AV15,""),"")</f>
        <v>0.716180387388743</v>
      </c>
      <c r="AW419" s="258">
        <f>IFERROR(IF(N(AW15)&lt;&gt;0,(AW15+AW151)/AW15,""),"")</f>
        <v>0.716180387388743</v>
      </c>
      <c r="AX419" s="258">
        <f>IFERROR(IF(N(AX15)&lt;&gt;0,(AX15+AX151)/AX15,""),"")</f>
        <v>0.716180387388743</v>
      </c>
      <c r="AY419" s="258">
        <f>IFERROR(IF(N(AY15)&lt;&gt;0,(AY15+AY151)/AY15,""),"")</f>
        <v>0.716180387388743</v>
      </c>
      <c r="AZ419" s="258">
        <f>IFERROR(IF(N(AZ15)&lt;&gt;0,(AZ15+AZ151)/AZ15,""),"")</f>
        <v>0.716180387388744</v>
      </c>
      <c r="BA419" s="258">
        <f>IFERROR(IF(N(BA15)&lt;&gt;0,(BA15+BA151)/BA15,""),"")</f>
        <v>0.716180387388744</v>
      </c>
      <c r="BB419" s="258">
        <f>IFERROR(IF(N(BB15)&lt;&gt;0,(BB15+BB151)/BB15,""),"")</f>
        <v>0.716180387388743</v>
      </c>
      <c r="BC419" s="258">
        <f>IFERROR(IF(N(BC15)&lt;&gt;0,(BC15+BC151)/BC15,""),"")</f>
        <v>0.716180387388744</v>
      </c>
      <c r="BD419" s="258">
        <f>IFERROR(IF(N(BD15)&lt;&gt;0,(BD15+BD151)/BD15,""),"")</f>
        <v>0.716180387388743</v>
      </c>
      <c r="BE419" s="258">
        <f>IFERROR(IF(N(BE15)&lt;&gt;0,(BE15+BE151)/BE15,""),"")</f>
        <v>0.716180387388743</v>
      </c>
      <c r="BF419" s="258">
        <f>IFERROR(IF(N(BF15)&lt;&gt;0,(BF15+BF151)/BF15,""),"")</f>
        <v>0.716180387388743</v>
      </c>
      <c r="BG419" s="80" t="n"/>
      <c r="BH419" s="80" t="n"/>
      <c r="BI419" s="80" t="n"/>
      <c r="BJ419" s="80" t="n"/>
      <c r="BL419" s="80" t="n"/>
      <c r="BM419" s="80" t="n"/>
      <c r="BN419" s="80" t="n"/>
      <c r="BO419" s="80" t="n"/>
      <c r="BQ419" s="80" t="n"/>
      <c r="BR419" s="80" t="n"/>
      <c r="BS419" s="80" t="n"/>
      <c r="BT419" s="80" t="n"/>
      <c r="BV419" s="80" t="n"/>
      <c r="BW419" s="80" t="n"/>
      <c r="BX419" s="80" t="n"/>
      <c r="BY419" s="80" t="n"/>
      <c r="CA419" s="80" t="n"/>
      <c r="CB419" s="80" t="n"/>
      <c r="CC419" s="80" t="n"/>
      <c r="CD419" s="80" t="n"/>
      <c r="CF419" s="80" t="n"/>
      <c r="CG419" s="80" t="n"/>
      <c r="CH419" s="80" t="n"/>
      <c r="CI419" s="80" t="n"/>
      <c r="CK419" s="80" t="n"/>
      <c r="CL419" s="80" t="n"/>
      <c r="CM419" s="80" t="n"/>
      <c r="CN419" s="80" t="n"/>
      <c r="CP419" s="80" t="n"/>
      <c r="CQ419" s="80" t="n"/>
      <c r="CR419" s="80" t="n"/>
      <c r="CS419" s="80" t="n"/>
      <c r="CU419" s="80" t="n"/>
      <c r="CV419" s="80" t="n"/>
      <c r="CW419" s="80" t="n"/>
      <c r="CX419" s="80" t="n"/>
    </row>
    <row r="420" customFormat="1" s="77">
      <c r="A420" s="76" t="n"/>
      <c r="B420" s="76" t="n"/>
      <c r="C420" s="77" t="inlineStr">
        <is>
          <t>EBIT MARGIN</t>
        </is>
      </c>
      <c r="D420" s="78" t="str">
        <f>IFERROR((D170/D15),"")</f>
        <v/>
      </c>
      <c r="E420" s="78" t="str">
        <f>IFERROR((E170/E15),"")</f>
        <v/>
      </c>
      <c r="F420" s="78" t="str">
        <f>IFERROR((F170/F15),"")</f>
        <v/>
      </c>
      <c r="G420" s="78" t="str">
        <f>IFERROR((G170/G15),"")</f>
        <v/>
      </c>
      <c r="H420" s="258" t="str">
        <f>IFERROR(IF(N(H15)&lt;&gt;0,H170/H15,""),"")</f>
        <v/>
      </c>
      <c r="I420" s="257">
        <f>IFERROR(IF(N(I15)&lt;&gt;0,I170/I15,""),"")</f>
        <v>0.672642203370145</v>
      </c>
      <c r="J420" s="257">
        <f>IFERROR(IF(N(J15)&lt;&gt;0,J170/J15,""),"")</f>
        <v>0.821172935389761</v>
      </c>
      <c r="K420" s="257">
        <f>IFERROR(IF(N(K15)&lt;&gt;0,K170/K15,""),"")</f>
        <v>0.734152812653085</v>
      </c>
      <c r="L420" s="257">
        <f>IFERROR(IF(N(L15)&lt;&gt;0,L170/L15,""),"")</f>
        <v>0.658083179882636</v>
      </c>
      <c r="M420" s="258">
        <f>IFERROR(IF(N(M15)&lt;&gt;0,M170/M15,""),"")</f>
        <v>0.721170614541875</v>
      </c>
      <c r="N420" s="257">
        <f>IFERROR(IF(N(N15)&lt;&gt;0,N170/N15,""),"")</f>
        <v>0.853676631368507</v>
      </c>
      <c r="O420" s="257">
        <f>IFERROR(IF(N(O15)&lt;&gt;0,O170/O15,""),"")</f>
        <v>0.714012410089339</v>
      </c>
      <c r="P420" s="257">
        <f>IFERROR(IF(N(P15)&lt;&gt;0,P170/P15,""),"")</f>
        <v>0.687152096270794</v>
      </c>
      <c r="Q420" s="257">
        <f>IFERROR(IF(N(Q15)&lt;&gt;0,Q170/Q15,""),"")</f>
        <v>0.661248473956897</v>
      </c>
      <c r="R420" s="258">
        <f>IFERROR(IF(N(R15)&lt;&gt;0,R170/R15,""),"")</f>
        <v>0.74601117247323</v>
      </c>
      <c r="S420" s="257">
        <f>IFERROR(IF(N(S15)&lt;&gt;0,S170/S15,""),"")</f>
        <v>0.772826014420362</v>
      </c>
      <c r="T420" s="257">
        <f>IFERROR(IF(N(T15)&lt;&gt;0,T170/T15,""),"")</f>
        <v>0.742943718948518</v>
      </c>
      <c r="U420" s="257">
        <f>IFERROR(IF(N(U15)&lt;&gt;0,U170/U15,""),"")</f>
        <v>0.628573233665713</v>
      </c>
      <c r="V420" s="257">
        <f>IFERROR(IF(N(V15)&lt;&gt;0,V170/V15,""),"")</f>
        <v>0.629740706456208</v>
      </c>
      <c r="W420" s="258">
        <f>IFERROR(IF(N(W15)&lt;&gt;0,W170/W15,""),"")</f>
        <v>0.699565226713568</v>
      </c>
      <c r="X420" s="257">
        <f>IFERROR(IF(N(X15)&lt;&gt;0,X170/X15,""),"")</f>
        <v>0.755364337429192</v>
      </c>
      <c r="Y420" s="257">
        <f>IFERROR(IF(N(Y15)&lt;&gt;0,Y170/Y15,""),"")</f>
        <v>0.74539998238425</v>
      </c>
      <c r="Z420" s="257">
        <f>IFERROR(IF(N(Z15)&lt;&gt;0,Z170/Z15,""),"")</f>
        <v>0.644565227926472</v>
      </c>
      <c r="AA420" s="257">
        <f>IFERROR(IF(N(AA15)&lt;&gt;0,AA170/AA15,""),"")</f>
        <v>0.606673135643767</v>
      </c>
      <c r="AB420" s="258">
        <f>IFERROR(IF(N(AB15)&lt;&gt;0,AB170/AB15,""),"")</f>
        <v>0.685547651935082</v>
      </c>
      <c r="AC420" s="257">
        <f>IFERROR(IF(N(AC15)&lt;&gt;0,AC170/AC15,""),"")</f>
        <v>0.687836624225422</v>
      </c>
      <c r="AD420" s="257">
        <f>IFERROR(IF(N(AD15)&lt;&gt;0,AD170/AD15,""),"")</f>
        <v>0.6063735508146</v>
      </c>
      <c r="AE420" s="257">
        <f>IFERROR(IF(N(AE15)&lt;&gt;0,AE170/AE15,""),"")</f>
        <v>0.639121900279544</v>
      </c>
      <c r="AF420" s="257">
        <f>IFERROR(IF(N(AF15)&lt;&gt;0,AF170/AF15,""),"")</f>
        <v>0.619546619757163</v>
      </c>
      <c r="AG420" s="258">
        <f>IFERROR(IF(N(AG15)&lt;&gt;0,AG170/AG15,""),"")</f>
        <v>0.639700055685884</v>
      </c>
      <c r="AH420" s="257">
        <f>IFERROR(IF(N(AH15)&lt;&gt;0,AH170/AH15,""),"")</f>
        <v>0.582177145428409</v>
      </c>
      <c r="AI420" s="257">
        <f>IFERROR(IF(N(AI15)&lt;&gt;0,AI170/AI15,""),"")</f>
        <v>0.59949978030892</v>
      </c>
      <c r="AJ420" s="257">
        <f>IFERROR(IF(N(AJ15)&lt;&gt;0,AJ170/AJ15,""),"")</f>
        <v>0.622425936802343</v>
      </c>
      <c r="AK420" s="257">
        <f>IFERROR(IF(N(AK15)&lt;&gt;0,AK170/AK15,""),"")</f>
        <v>0.622425936802343</v>
      </c>
      <c r="AL420" s="258">
        <f>IFERROR(IF(N(AL15)&lt;&gt;0,AL170/AL15,""),"")</f>
        <v>0.606028190959163</v>
      </c>
      <c r="AM420" s="257">
        <f>IFERROR(IF(N(AM15)&lt;&gt;0,AM170/AM15,""),"")</f>
        <v>0.622425936802343</v>
      </c>
      <c r="AN420" s="257">
        <f>IFERROR(IF(N(AN15)&lt;&gt;0,AN170/AN15,""),"")</f>
        <v>0.622425936802343</v>
      </c>
      <c r="AO420" s="257">
        <f>IFERROR(IF(N(AO15)&lt;&gt;0,AO170/AO15,""),"")</f>
        <v>0.622425936802343</v>
      </c>
      <c r="AP420" s="257">
        <f>IFERROR(IF(N(AP15)&lt;&gt;0,AP170/AP15,""),"")</f>
        <v>0.622425936802343</v>
      </c>
      <c r="AQ420" s="258">
        <f>IFERROR(IF(N(AQ15)&lt;&gt;0,AQ170/AQ15,""),"")</f>
        <v>0.622425936802343</v>
      </c>
      <c r="AR420" s="257">
        <f>IFERROR(IF(N(AR15)&lt;&gt;0,AR170/AR15,""),"")</f>
        <v>0.622425936802343</v>
      </c>
      <c r="AS420" s="257">
        <f>IFERROR(IF(N(AS15)&lt;&gt;0,AS170/AS15,""),"")</f>
        <v>0.622425936802343</v>
      </c>
      <c r="AT420" s="257">
        <f>IFERROR(IF(N(AT15)&lt;&gt;0,AT170/AT15,""),"")</f>
        <v>0.622425936802343</v>
      </c>
      <c r="AU420" s="257">
        <f>IFERROR(IF(N(AU15)&lt;&gt;0,AU170/AU15,""),"")</f>
        <v>0.622425936802343</v>
      </c>
      <c r="AV420" s="258">
        <f>IFERROR(IF(N(AV15)&lt;&gt;0,AV170/AV15,""),"")</f>
        <v>0.622425936802343</v>
      </c>
      <c r="AW420" s="257">
        <f>IFERROR(IF(N(AW15)&lt;&gt;0,AW170/AW15,""),"")</f>
        <v>0.622425936802343</v>
      </c>
      <c r="AX420" s="257">
        <f>IFERROR(IF(N(AX15)&lt;&gt;0,AX170/AX15,""),"")</f>
        <v>0.622425936802343</v>
      </c>
      <c r="AY420" s="257">
        <f>IFERROR(IF(N(AY15)&lt;&gt;0,AY170/AY15,""),"")</f>
        <v>0.622425936802343</v>
      </c>
      <c r="AZ420" s="257">
        <f>IFERROR(IF(N(AZ15)&lt;&gt;0,AZ170/AZ15,""),"")</f>
        <v>0.622425936802343</v>
      </c>
      <c r="BA420" s="258">
        <f>IFERROR(IF(N(BA15)&lt;&gt;0,BA170/BA15,""),"")</f>
        <v>0.622425936802343</v>
      </c>
      <c r="BB420" s="257">
        <f>IFERROR(IF(N(BB15)&lt;&gt;0,BB170/BB15,""),"")</f>
        <v>0.622425936802343</v>
      </c>
      <c r="BC420" s="257">
        <f>IFERROR(IF(N(BC15)&lt;&gt;0,BC170/BC15,""),"")</f>
        <v>0.622425936802343</v>
      </c>
      <c r="BD420" s="257">
        <f>IFERROR(IF(N(BD15)&lt;&gt;0,BD170/BD15,""),"")</f>
        <v>0.622425936802343</v>
      </c>
      <c r="BE420" s="257">
        <f>IFERROR(IF(N(BE15)&lt;&gt;0,BE170/BE15,""),"")</f>
        <v>0.622425936802343</v>
      </c>
      <c r="BF420" s="258">
        <f>IFERROR(IF(N(BF15)&lt;&gt;0,BF170/BF15,""),"")</f>
        <v>0.622425936802343</v>
      </c>
      <c r="BG420" s="81" t="n"/>
      <c r="BH420" s="81" t="n"/>
      <c r="BI420" s="81" t="n"/>
      <c r="BJ420" s="81" t="n"/>
      <c r="BL420" s="81" t="n"/>
      <c r="BM420" s="81" t="n"/>
      <c r="BN420" s="81" t="n"/>
      <c r="BO420" s="81" t="n"/>
      <c r="BQ420" s="81" t="n"/>
      <c r="BR420" s="81" t="n"/>
      <c r="BS420" s="81" t="n"/>
      <c r="BT420" s="81" t="n"/>
      <c r="BV420" s="81" t="n"/>
      <c r="BW420" s="81" t="n"/>
      <c r="BX420" s="81" t="n"/>
      <c r="BY420" s="81" t="n"/>
      <c r="CA420" s="81" t="n"/>
      <c r="CB420" s="81" t="n"/>
      <c r="CC420" s="81" t="n"/>
      <c r="CD420" s="81" t="n"/>
      <c r="CF420" s="81" t="n"/>
      <c r="CG420" s="81" t="n"/>
      <c r="CH420" s="81" t="n"/>
      <c r="CI420" s="81" t="n"/>
      <c r="CK420" s="81" t="n"/>
      <c r="CL420" s="81" t="n"/>
      <c r="CM420" s="81" t="n"/>
      <c r="CN420" s="81" t="n"/>
      <c r="CP420" s="81" t="n"/>
      <c r="CQ420" s="81" t="n"/>
      <c r="CR420" s="81" t="n"/>
      <c r="CS420" s="81" t="n"/>
      <c r="CU420" s="81" t="n"/>
      <c r="CV420" s="81" t="n"/>
      <c r="CW420" s="81" t="n"/>
      <c r="CX420" s="81" t="n"/>
    </row>
    <row r="421" customFormat="1" s="77">
      <c r="A421" s="76" t="n"/>
      <c r="B421" s="76" t="n"/>
      <c r="C421" s="77" t="inlineStr">
        <is>
          <t>EBITDA MARGIN</t>
        </is>
      </c>
      <c r="D421" s="78" t="str">
        <f>IFERROR(D166/D15,"")</f>
        <v/>
      </c>
      <c r="E421" s="78" t="str">
        <f>IFERROR(E166/E15,"")</f>
        <v/>
      </c>
      <c r="F421" s="78" t="str">
        <f>IFERROR(F166/F15,"")</f>
        <v/>
      </c>
      <c r="G421" s="78" t="str">
        <f>IFERROR(G166/G15,"")</f>
        <v/>
      </c>
      <c r="H421" s="258" t="str">
        <f>IFERROR(IF(N(H15)&lt;&gt;0,H166/H15,""),"")</f>
        <v/>
      </c>
      <c r="I421" s="257">
        <f>IFERROR(IF(N(I15)&lt;&gt;0,I166/I15,""),"")</f>
        <v>0.691022770272886</v>
      </c>
      <c r="J421" s="257">
        <f>IFERROR(IF(N(J15)&lt;&gt;0,J166/J15,""),"")</f>
        <v>0.843501919393692</v>
      </c>
      <c r="K421" s="257">
        <f>IFERROR(IF(N(K15)&lt;&gt;0,K166/K15,""),"")</f>
        <v>0.772178697077554</v>
      </c>
      <c r="L421" s="257">
        <f>IFERROR(IF(N(L15)&lt;&gt;0,L166/L15,""),"")</f>
        <v>0.689883602067839</v>
      </c>
      <c r="M421" s="258">
        <f>IFERROR(IF(N(M15)&lt;&gt;0,M166/M15,""),"")</f>
        <v>0.747834247320703</v>
      </c>
      <c r="N421" s="257">
        <f>IFERROR(IF(N(N15)&lt;&gt;0,N166/N15,""),"")</f>
        <v>0.883748008621498</v>
      </c>
      <c r="O421" s="257">
        <f>IFERROR(IF(N(O15)&lt;&gt;0,O166/O15,""),"")</f>
        <v>0.745218246546309</v>
      </c>
      <c r="P421" s="257">
        <f>IFERROR(IF(N(P15)&lt;&gt;0,P166/P15,""),"")</f>
        <v>0.743444892355733</v>
      </c>
      <c r="Q421" s="257">
        <f>IFERROR(IF(N(Q15)&lt;&gt;0,Q166/Q15,""),"")</f>
        <v>0.712975531418053</v>
      </c>
      <c r="R421" s="258">
        <f>IFERROR(IF(N(R15)&lt;&gt;0,R166/R15,""),"")</f>
        <v>0.785028750233455</v>
      </c>
      <c r="S421" s="257">
        <f>IFERROR(IF(N(S15)&lt;&gt;0,S166/S15,""),"")</f>
        <v>0.807473528307356</v>
      </c>
      <c r="T421" s="257">
        <f>IFERROR(IF(N(T15)&lt;&gt;0,T166/T15,""),"")</f>
        <v>0.789531837222299</v>
      </c>
      <c r="U421" s="257">
        <f>IFERROR(IF(N(U15)&lt;&gt;0,U166/U15,""),"")</f>
        <v>0.691617472344084</v>
      </c>
      <c r="V421" s="257">
        <f>IFERROR(IF(N(V15)&lt;&gt;0,V166/V15,""),"")</f>
        <v>0.677410503136276</v>
      </c>
      <c r="W421" s="258">
        <f>IFERROR(IF(N(W15)&lt;&gt;0,W166/W15,""),"")</f>
        <v>0.746044928082876</v>
      </c>
      <c r="X421" s="257">
        <f>IFERROR(IF(N(X15)&lt;&gt;0,X166/X15,""),"")</f>
        <v>0.798401461062582</v>
      </c>
      <c r="Y421" s="257">
        <f>IFERROR(IF(N(Y15)&lt;&gt;0,Y166/Y15,""),"")</f>
        <v>0.791520742545811</v>
      </c>
      <c r="Z421" s="257">
        <f>IFERROR(IF(N(Z15)&lt;&gt;0,Z166/Z15,""),"")</f>
        <v>0.693952078848376</v>
      </c>
      <c r="AA421" s="257">
        <f>IFERROR(IF(N(AA15)&lt;&gt;0,AA166/AA15,""),"")</f>
        <v>0.647109880620666</v>
      </c>
      <c r="AB421" s="258">
        <f>IFERROR(IF(N(AB15)&lt;&gt;0,AB166/AB15,""),"")</f>
        <v>0.730062986868907</v>
      </c>
      <c r="AC421" s="257">
        <f>IFERROR(IF(N(AC15)&lt;&gt;0,AC166/AC15,""),"")</f>
        <v>0.721555636001703</v>
      </c>
      <c r="AD421" s="257">
        <f>IFERROR(IF(N(AD15)&lt;&gt;0,AD166/AD15,""),"")</f>
        <v>0.649746929732414</v>
      </c>
      <c r="AE421" s="257">
        <f>IFERROR(IF(N(AE15)&lt;&gt;0,AE166/AE15,""),"")</f>
        <v>0.688585596349417</v>
      </c>
      <c r="AF421" s="257">
        <f>IFERROR(IF(N(AF15)&lt;&gt;0,AF166/AF15,""),"")</f>
        <v>0.66376919698984</v>
      </c>
      <c r="AG421" s="258">
        <f>IFERROR(IF(N(AG15)&lt;&gt;0,AG166/AG15,""),"")</f>
        <v>0.68194583621256</v>
      </c>
      <c r="AH421" s="257">
        <f>IFERROR(IF(N(AH15)&lt;&gt;0,AH166/AH15,""),"")</f>
        <v>0.626866884086538</v>
      </c>
      <c r="AI421" s="257">
        <f>IFERROR(IF(N(AI15)&lt;&gt;0,AI166/AI15,""),"")</f>
        <v>0.631202278642033</v>
      </c>
      <c r="AJ421" s="257">
        <f>IFERROR(IF(N(AJ15)&lt;&gt;0,AJ166/AJ15,""),"")</f>
        <v>0.663621086966991</v>
      </c>
      <c r="AK421" s="257">
        <f>IFERROR(IF(N(AK15)&lt;&gt;0,AK166/AK15,""),"")</f>
        <v>0.663621086966991</v>
      </c>
      <c r="AL421" s="258">
        <f>IFERROR(IF(N(AL15)&lt;&gt;0,AL166/AL15,""),"")</f>
        <v>0.645158936987837</v>
      </c>
      <c r="AM421" s="257">
        <f>IFERROR(IF(N(AM15)&lt;&gt;0,AM166/AM15,""),"")</f>
        <v>0.663621086966991</v>
      </c>
      <c r="AN421" s="257">
        <f>IFERROR(IF(N(AN15)&lt;&gt;0,AN166/AN15,""),"")</f>
        <v>0.663621086966991</v>
      </c>
      <c r="AO421" s="257">
        <f>IFERROR(IF(N(AO15)&lt;&gt;0,AO166/AO15,""),"")</f>
        <v>0.663621086966991</v>
      </c>
      <c r="AP421" s="257">
        <f>IFERROR(IF(N(AP15)&lt;&gt;0,AP166/AP15,""),"")</f>
        <v>0.663621086966991</v>
      </c>
      <c r="AQ421" s="258">
        <f>IFERROR(IF(N(AQ15)&lt;&gt;0,AQ166/AQ15,""),"")</f>
        <v>0.663621086966991</v>
      </c>
      <c r="AR421" s="257">
        <f>IFERROR(IF(N(AR15)&lt;&gt;0,AR166/AR15,""),"")</f>
        <v>0.663621086966991</v>
      </c>
      <c r="AS421" s="257">
        <f>IFERROR(IF(N(AS15)&lt;&gt;0,AS166/AS15,""),"")</f>
        <v>0.663621086966991</v>
      </c>
      <c r="AT421" s="257">
        <f>IFERROR(IF(N(AT15)&lt;&gt;0,AT166/AT15,""),"")</f>
        <v>0.663621086966991</v>
      </c>
      <c r="AU421" s="257">
        <f>IFERROR(IF(N(AU15)&lt;&gt;0,AU166/AU15,""),"")</f>
        <v>0.663621086966991</v>
      </c>
      <c r="AV421" s="258">
        <f>IFERROR(IF(N(AV15)&lt;&gt;0,AV166/AV15,""),"")</f>
        <v>0.663621086966991</v>
      </c>
      <c r="AW421" s="257">
        <f>IFERROR(IF(N(AW15)&lt;&gt;0,AW166/AW15,""),"")</f>
        <v>0.663621086966991</v>
      </c>
      <c r="AX421" s="257">
        <f>IFERROR(IF(N(AX15)&lt;&gt;0,AX166/AX15,""),"")</f>
        <v>0.663621086966991</v>
      </c>
      <c r="AY421" s="257">
        <f>IFERROR(IF(N(AY15)&lt;&gt;0,AY166/AY15,""),"")</f>
        <v>0.663621086966991</v>
      </c>
      <c r="AZ421" s="257">
        <f>IFERROR(IF(N(AZ15)&lt;&gt;0,AZ166/AZ15,""),"")</f>
        <v>0.663621086966991</v>
      </c>
      <c r="BA421" s="258">
        <f>IFERROR(IF(N(BA15)&lt;&gt;0,BA166/BA15,""),"")</f>
        <v>0.663621086966991</v>
      </c>
      <c r="BB421" s="257">
        <f>IFERROR(IF(N(BB15)&lt;&gt;0,BB166/BB15,""),"")</f>
        <v>0.663621086966991</v>
      </c>
      <c r="BC421" s="257">
        <f>IFERROR(IF(N(BC15)&lt;&gt;0,BC166/BC15,""),"")</f>
        <v>0.663621086966991</v>
      </c>
      <c r="BD421" s="257">
        <f>IFERROR(IF(N(BD15)&lt;&gt;0,BD166/BD15,""),"")</f>
        <v>0.663621086966991</v>
      </c>
      <c r="BE421" s="257">
        <f>IFERROR(IF(N(BE15)&lt;&gt;0,BE166/BE15,""),"")</f>
        <v>0.663621086966991</v>
      </c>
      <c r="BF421" s="258">
        <f>IFERROR(IF(N(BF15)&lt;&gt;0,BF166/BF15,""),"")</f>
        <v>0.663621086966991</v>
      </c>
      <c r="BG421" s="81" t="n"/>
      <c r="BH421" s="81" t="n"/>
      <c r="BI421" s="81" t="n"/>
      <c r="BJ421" s="81" t="n"/>
      <c r="BL421" s="81" t="n"/>
      <c r="BM421" s="81" t="n"/>
      <c r="BN421" s="81" t="n"/>
      <c r="BO421" s="81" t="n"/>
      <c r="BQ421" s="81" t="n"/>
      <c r="BR421" s="81" t="n"/>
      <c r="BS421" s="81" t="n"/>
      <c r="BT421" s="81" t="n"/>
      <c r="BV421" s="81" t="n"/>
      <c r="BW421" s="81" t="n"/>
      <c r="BX421" s="81" t="n"/>
      <c r="BY421" s="81" t="n"/>
      <c r="CA421" s="81" t="n"/>
      <c r="CB421" s="81" t="n"/>
      <c r="CC421" s="81" t="n"/>
      <c r="CD421" s="81" t="n"/>
      <c r="CF421" s="81" t="n"/>
      <c r="CG421" s="81" t="n"/>
      <c r="CH421" s="81" t="n"/>
      <c r="CI421" s="81" t="n"/>
      <c r="CK421" s="81" t="n"/>
      <c r="CL421" s="81" t="n"/>
      <c r="CM421" s="81" t="n"/>
      <c r="CN421" s="81" t="n"/>
      <c r="CP421" s="81" t="n"/>
      <c r="CQ421" s="81" t="n"/>
      <c r="CR421" s="81" t="n"/>
      <c r="CS421" s="81" t="n"/>
      <c r="CU421" s="81" t="n"/>
      <c r="CV421" s="81" t="n"/>
      <c r="CW421" s="81" t="n"/>
      <c r="CX421" s="81" t="n"/>
    </row>
    <row r="422" customFormat="1" s="77">
      <c r="A422" s="76" t="n"/>
      <c r="B422" s="76" t="n"/>
      <c r="C422" s="77" t="inlineStr">
        <is>
          <t>ETR</t>
        </is>
      </c>
      <c r="D422" s="78" t="str">
        <f>IFERROR(-D228/D227,"")</f>
        <v/>
      </c>
      <c r="E422" s="78" t="str">
        <f>IFERROR(-E228/E227,"")</f>
        <v/>
      </c>
      <c r="F422" s="78" t="str">
        <f>IFERROR(-F228/F227,"")</f>
        <v/>
      </c>
      <c r="G422" s="78" t="str">
        <f>IFERROR(-G228/G227,"")</f>
        <v/>
      </c>
      <c r="H422" s="258" t="str">
        <f>IFERROR(IF(N(H227)&lt;&gt;0,-H228/H227,""),"")</f>
        <v/>
      </c>
      <c r="I422" s="257">
        <f>IFERROR(IF(N(I227)&lt;&gt;0,-I228/I227,""),"")</f>
        <v>0.239517753823337</v>
      </c>
      <c r="J422" s="257">
        <f>IFERROR(IF(N(J227)&lt;&gt;0,-J228/J227,""),"")</f>
        <v>0.248090900880711</v>
      </c>
      <c r="K422" s="257">
        <f>IFERROR(IF(N(K227)&lt;&gt;0,-K228/K227,""),"")</f>
        <v>0.248642640406822</v>
      </c>
      <c r="L422" s="257">
        <f>IFERROR(IF(N(L227)&lt;&gt;0,-L228/L227,""),"")</f>
        <v>0.323084648657285</v>
      </c>
      <c r="M422" s="258">
        <f>IFERROR(IF(N(M227)&lt;&gt;0,-M228/M227,""),"")</f>
        <v>0.259389999762172</v>
      </c>
      <c r="N422" s="257">
        <f>IFERROR(IF(N(N227)&lt;&gt;0,-N228/N227,""),"")</f>
        <v>0.148470574136767</v>
      </c>
      <c r="O422" s="257">
        <f>IFERROR(IF(N(O227)&lt;&gt;0,-O228/O227,""),"")</f>
        <v>0.259110116223428</v>
      </c>
      <c r="P422" s="257">
        <f>IFERROR(IF(N(P227)&lt;&gt;0,-P228/P227,""),"")</f>
        <v>0.0656123239940096</v>
      </c>
      <c r="Q422" s="257">
        <f>IFERROR(IF(N(Q227)&lt;&gt;0,-Q228/Q227,""),"")</f>
        <v>-0.142731442478705</v>
      </c>
      <c r="R422" s="258">
        <f>IFERROR(IF(N(R227)&lt;&gt;0,-R228/R227,""),"")</f>
        <v>0.124589793453909</v>
      </c>
      <c r="S422" s="257">
        <f>IFERROR(IF(N(S227)&lt;&gt;0,-S228/S227,""),"")</f>
        <v>0.213320278627057</v>
      </c>
      <c r="T422" s="257">
        <f>IFERROR(IF(N(T227)&lt;&gt;0,-T228/T227,""),"")</f>
        <v>0.170025411441904</v>
      </c>
      <c r="U422" s="257">
        <f>IFERROR(IF(N(U227)&lt;&gt;0,-U228/U227,""),"")</f>
        <v>0.169225210344294</v>
      </c>
      <c r="V422" s="257">
        <f>IFERROR(IF(N(V227)&lt;&gt;0,-V228/V227,""),"")</f>
        <v>0.341949392389088</v>
      </c>
      <c r="W422" s="258">
        <f>IFERROR(IF(N(W227)&lt;&gt;0,-W228/W227,""),"")</f>
        <v>0.22880838304629</v>
      </c>
      <c r="X422" s="257">
        <f>IFERROR(IF(N(X227)&lt;&gt;0,-X228/X227,""),"")</f>
        <v>0.22493014156106</v>
      </c>
      <c r="Y422" s="257">
        <f>IFERROR(IF(N(Y227)&lt;&gt;0,-Y228/Y227,""),"")</f>
        <v>0.239494546979866</v>
      </c>
      <c r="Z422" s="257">
        <f>IFERROR(IF(N(Z227)&lt;&gt;0,-Z228/Z227,""),"")</f>
        <v>-0.466447709423923</v>
      </c>
      <c r="AA422" s="257">
        <f>IFERROR(IF(N(AA227)&lt;&gt;0,-AA228/AA227,""),"")</f>
        <v>0.11004302445048</v>
      </c>
      <c r="AB422" s="258">
        <f>IFERROR(IF(N(AB227)&lt;&gt;0,-AB228/AB227,""),"")</f>
        <v>0.0455287936384318</v>
      </c>
      <c r="AC422" s="257">
        <f>IFERROR(IF(N(AC227)&lt;&gt;0,-AC228/AC227,""),"")</f>
        <v>0.231462636025327</v>
      </c>
      <c r="AD422" s="257">
        <f>IFERROR(IF(N(AD227)&lt;&gt;0,-AD228/AD227,""),"")</f>
        <v>0.152172899483875</v>
      </c>
      <c r="AE422" s="257">
        <f>IFERROR(IF(N(AE227)&lt;&gt;0,-AE228/AE227,""),"")</f>
        <v>0.475836698649574</v>
      </c>
      <c r="AF422" s="257">
        <f>IFERROR(IF(N(AF227)&lt;&gt;0,-AF228/AF227,""),"")</f>
        <v>0.223358732745699</v>
      </c>
      <c r="AG422" s="258">
        <f>IFERROR(IF(N(AG227)&lt;&gt;0,-AG228/AG227,""),"")</f>
        <v>0.262421780396386</v>
      </c>
      <c r="AH422" s="257">
        <f>IFERROR(IF(N(AH227)&lt;&gt;0,-AH228/AH227,""),"")</f>
        <v>0.270529835294995</v>
      </c>
      <c r="AI422" s="257">
        <f>IFERROR(IF(N(AI227)&lt;&gt;0,-AI228/AI227,""),"")</f>
        <v>0.0744659214786613</v>
      </c>
      <c r="AJ422" s="257">
        <f>IFERROR(IF(N(AJ227)&lt;&gt;0,-AJ228/AJ227,""),"")</f>
        <v>0.237971120613022</v>
      </c>
      <c r="AK422" s="257">
        <f>IFERROR(IF(N(AK227)&lt;&gt;0,-AK228/AK227,""),"")</f>
        <v>0.237971120613022</v>
      </c>
      <c r="AL422" s="258">
        <f>IFERROR(IF(N(AL227)&lt;&gt;0,-AL228/AL227,""),"")</f>
        <v>0.201607451573093</v>
      </c>
      <c r="AM422" s="257">
        <f>IFERROR(IF(N(AM227)&lt;&gt;0,-AM228/AM227,""),"")</f>
        <v>0.237971120613022</v>
      </c>
      <c r="AN422" s="257">
        <f>IFERROR(IF(N(AN227)&lt;&gt;0,-AN228/AN227,""),"")</f>
        <v>0.237971120613022</v>
      </c>
      <c r="AO422" s="257">
        <f>IFERROR(IF(N(AO227)&lt;&gt;0,-AO228/AO227,""),"")</f>
        <v>0.237971120613022</v>
      </c>
      <c r="AP422" s="257">
        <f>IFERROR(IF(N(AP227)&lt;&gt;0,-AP228/AP227,""),"")</f>
        <v>0.237971120613022</v>
      </c>
      <c r="AQ422" s="258">
        <f>IFERROR(IF(N(AQ227)&lt;&gt;0,-AQ228/AQ227,""),"")</f>
        <v>0.237971120613022</v>
      </c>
      <c r="AR422" s="257">
        <f>IFERROR(IF(N(AR227)&lt;&gt;0,-AR228/AR227,""),"")</f>
        <v>0.237971120613022</v>
      </c>
      <c r="AS422" s="257">
        <f>IFERROR(IF(N(AS227)&lt;&gt;0,-AS228/AS227,""),"")</f>
        <v>0.237971120613022</v>
      </c>
      <c r="AT422" s="257">
        <f>IFERROR(IF(N(AT227)&lt;&gt;0,-AT228/AT227,""),"")</f>
        <v>0.237971120613022</v>
      </c>
      <c r="AU422" s="257">
        <f>IFERROR(IF(N(AU227)&lt;&gt;0,-AU228/AU227,""),"")</f>
        <v>0.237971120613022</v>
      </c>
      <c r="AV422" s="258">
        <f>IFERROR(IF(N(AV227)&lt;&gt;0,-AV228/AV227,""),"")</f>
        <v>0.237971120613022</v>
      </c>
      <c r="AW422" s="257">
        <f>IFERROR(IF(N(AW227)&lt;&gt;0,-AW228/AW227,""),"")</f>
        <v>0.237971120613022</v>
      </c>
      <c r="AX422" s="257">
        <f>IFERROR(IF(N(AX227)&lt;&gt;0,-AX228/AX227,""),"")</f>
        <v>0.237971120613022</v>
      </c>
      <c r="AY422" s="257">
        <f>IFERROR(IF(N(AY227)&lt;&gt;0,-AY228/AY227,""),"")</f>
        <v>0.237971120613022</v>
      </c>
      <c r="AZ422" s="257">
        <f>IFERROR(IF(N(AZ227)&lt;&gt;0,-AZ228/AZ227,""),"")</f>
        <v>0.237971120613022</v>
      </c>
      <c r="BA422" s="258">
        <f>IFERROR(IF(N(BA227)&lt;&gt;0,-BA228/BA227,""),"")</f>
        <v>0.237971120613022</v>
      </c>
      <c r="BB422" s="257">
        <f>IFERROR(IF(N(BB227)&lt;&gt;0,-BB228/BB227,""),"")</f>
        <v>0.237971120613022</v>
      </c>
      <c r="BC422" s="257">
        <f>IFERROR(IF(N(BC227)&lt;&gt;0,-BC228/BC227,""),"")</f>
        <v>0.237971120613022</v>
      </c>
      <c r="BD422" s="257">
        <f>IFERROR(IF(N(BD227)&lt;&gt;0,-BD228/BD227,""),"")</f>
        <v>0.237971120613022</v>
      </c>
      <c r="BE422" s="257">
        <f>IFERROR(IF(N(BE227)&lt;&gt;0,-BE228/BE227,""),"")</f>
        <v>0.237971120613022</v>
      </c>
      <c r="BF422" s="258">
        <f>IFERROR(IF(N(BF227)&lt;&gt;0,-BF228/BF227,""),"")</f>
        <v>0.237971120613022</v>
      </c>
      <c r="BG422" s="81" t="n"/>
      <c r="BH422" s="81" t="n"/>
      <c r="BI422" s="81" t="n"/>
      <c r="BJ422" s="81" t="n"/>
      <c r="BL422" s="81" t="n"/>
      <c r="BM422" s="81" t="n"/>
      <c r="BN422" s="81" t="n"/>
      <c r="BO422" s="81" t="n"/>
      <c r="BQ422" s="81" t="n"/>
      <c r="BR422" s="81" t="n"/>
      <c r="BS422" s="81" t="n"/>
      <c r="BT422" s="81" t="n"/>
      <c r="BV422" s="81" t="n"/>
      <c r="BW422" s="81" t="n"/>
      <c r="BX422" s="81" t="n"/>
      <c r="BY422" s="81" t="n"/>
      <c r="CA422" s="81" t="n"/>
      <c r="CB422" s="81" t="n"/>
      <c r="CC422" s="81" t="n"/>
      <c r="CD422" s="81" t="n"/>
      <c r="CF422" s="81" t="n"/>
      <c r="CG422" s="81" t="n"/>
      <c r="CH422" s="81" t="n"/>
      <c r="CI422" s="81" t="n"/>
      <c r="CK422" s="81" t="n"/>
      <c r="CL422" s="81" t="n"/>
      <c r="CM422" s="81" t="n"/>
      <c r="CN422" s="81" t="n"/>
      <c r="CP422" s="81" t="n"/>
      <c r="CQ422" s="81" t="n"/>
      <c r="CR422" s="81" t="n"/>
      <c r="CS422" s="81" t="n"/>
      <c r="CU422" s="81" t="n"/>
      <c r="CV422" s="81" t="n"/>
      <c r="CW422" s="81" t="n"/>
      <c r="CX422" s="81" t="n"/>
    </row>
    <row r="423" customFormat="1" s="77">
      <c r="A423" s="76" t="n"/>
      <c r="B423" s="76" t="n"/>
    </row>
    <row r="424" customFormat="1" s="77">
      <c r="A424" s="76" t="n"/>
      <c r="B424" s="76" t="n"/>
      <c r="C424" s="74" t="inlineStr">
        <is>
          <t>CAPITAL STRUCTURE</t>
        </is>
      </c>
    </row>
    <row r="425" customFormat="1" s="77">
      <c r="A425" s="76" t="n"/>
      <c r="B425" s="76" t="n"/>
      <c r="C425" s="77" t="inlineStr">
        <is>
          <t>TOTAL DEBT / EQUITY (BOOK VALUE)</t>
        </is>
      </c>
      <c r="H425" s="262" t="str">
        <f>IFERROR(IF(N(H368)&lt;&gt;0,(N(H309)+N(H310)+N(H311)+N(H314)+N(H332)+N(H335))/H368,""),"")</f>
        <v/>
      </c>
      <c r="I425" s="262">
        <f>IFERROR(IF(N(I368)&lt;&gt;0,(N(I309)+N(I310)+N(I311)+N(I314)+N(I332)+N(I335))/I368,""),"")</f>
        <v>0.95251792018568</v>
      </c>
      <c r="J425" s="262">
        <f>IFERROR(IF(N(J368)&lt;&gt;0,(N(J309)+N(J310)+N(J311)+N(J314)+N(J332)+N(J335))/J368,""),"")</f>
        <v>0.933691936995538</v>
      </c>
      <c r="K425" s="262">
        <f>IFERROR(IF(N(K368)&lt;&gt;0,(N(K309)+N(K310)+N(K311)+N(K314)+N(K332)+N(K335))/K368,""),"")</f>
        <v>0.918540441499966</v>
      </c>
      <c r="L425" s="262">
        <f>IFERROR(IF(N(L368)&lt;&gt;0,(N(L309)+N(L310)+N(L311)+N(L314)+N(L332)+N(L335))/L368,""),"")</f>
        <v>0.974330639010654</v>
      </c>
      <c r="M425" s="262">
        <f>IFERROR(IF(N(M368)&lt;&gt;0,(N(M309)+N(M310)+N(M311)+N(M314)+N(M332)+N(M335))/M368,""),"")</f>
        <v>0.974330639010654</v>
      </c>
      <c r="N425" s="262">
        <f>IFERROR(IF(N(N368)&lt;&gt;0,(N(N309)+N(N310)+N(N311)+N(N314)+N(N332)+N(N335))/N368,""),"")</f>
        <v>0.930044155042203</v>
      </c>
      <c r="O425" s="262">
        <f>IFERROR(IF(N(O368)&lt;&gt;0,(N(O309)+N(O310)+N(O311)+N(O314)+N(O332)+N(O335))/O368,""),"")</f>
        <v>0.991229995135794</v>
      </c>
      <c r="P425" s="262">
        <f>IFERROR(IF(N(P368)&lt;&gt;0,(N(P309)+N(P310)+N(P311)+N(P314)+N(P332)+N(P335))/P368,""),"")</f>
        <v>1.03716157803044</v>
      </c>
      <c r="Q425" s="262">
        <f>IFERROR(IF(N(Q368)&lt;&gt;0,(N(Q309)+N(Q310)+N(Q311)+N(Q314)+N(Q332)+N(Q335))/Q368,""),"")</f>
        <v>1.12623689705532</v>
      </c>
      <c r="R425" s="262">
        <f>IFERROR(IF(N(R368)&lt;&gt;0,(N(R309)+N(R310)+N(R311)+N(R314)+N(R332)+N(R335))/R368,""),"")</f>
        <v>1.12623689705532</v>
      </c>
      <c r="S425" s="262">
        <f>IFERROR(IF(N(S368)&lt;&gt;0,(N(S309)+N(S310)+N(S311)+N(S314)+N(S332)+N(S335))/S368,""),"")</f>
        <v>1.09577292546665</v>
      </c>
      <c r="T425" s="262">
        <f>IFERROR(IF(N(T368)&lt;&gt;0,(N(T309)+N(T310)+N(T311)+N(T314)+N(T332)+N(T335))/T368,""),"")</f>
        <v>1.07724480632343</v>
      </c>
      <c r="U425" s="262">
        <f>IFERROR(IF(N(U368)&lt;&gt;0,(N(U309)+N(U310)+N(U311)+N(U314)+N(U332)+N(U335))/U368,""),"")</f>
        <v>1.06979750833596</v>
      </c>
      <c r="V425" s="262">
        <f>IFERROR(IF(N(V368)&lt;&gt;0,(N(V309)+N(V310)+N(V311)+N(V314)+N(V332)+N(V335))/V368,""),"")</f>
        <v>1.11212245232054</v>
      </c>
      <c r="W425" s="262">
        <f>IFERROR(IF(N(W368)&lt;&gt;0,(N(W309)+N(W310)+N(W311)+N(W314)+N(W332)+N(W335))/W368,""),"")</f>
        <v>1.11212245232054</v>
      </c>
      <c r="X425" s="262">
        <f>IFERROR(IF(N(X368)&lt;&gt;0,(N(X309)+N(X310)+N(X311)+N(X314)+N(X332)+N(X335))/X368,""),"")</f>
        <v>1.06581304571247</v>
      </c>
      <c r="Y425" s="262">
        <f>IFERROR(IF(N(Y368)&lt;&gt;0,(N(Y309)+N(Y310)+N(Y311)+N(Y314)+N(Y332)+N(Y335))/Y368,""),"")</f>
        <v>1.10807494214566</v>
      </c>
      <c r="Z425" s="262">
        <f>IFERROR(IF(N(Z368)&lt;&gt;0,(N(Z309)+N(Z310)+N(Z311)+N(Z314)+N(Z332)+N(Z335))/Z368,""),"")</f>
        <v>1.04294970336387</v>
      </c>
      <c r="AA425" s="262">
        <f>IFERROR(IF(N(AA368)&lt;&gt;0,(N(AA309)+N(AA310)+N(AA311)+N(AA314)+N(AA332)+N(AA335))/AA368,""),"")</f>
        <v>1.08582102124254</v>
      </c>
      <c r="AB425" s="262">
        <f>IFERROR(IF(N(AB368)&lt;&gt;0,(N(AB309)+N(AB310)+N(AB311)+N(AB314)+N(AB332)+N(AB335))/AB368,""),"")</f>
        <v>1.08582102124254</v>
      </c>
      <c r="AC425" s="262">
        <f>IFERROR(IF(N(AC368)&lt;&gt;0,(N(AC309)+N(AC310)+N(AC311)+N(AC314)+N(AC332)+N(AC335))/AC368,""),"")</f>
        <v>1.03663046176192</v>
      </c>
      <c r="AD425" s="262">
        <f>IFERROR(IF(N(AD368)&lt;&gt;0,(N(AD309)+N(AD310)+N(AD311)+N(AD314)+N(AD332)+N(AD335))/AD368,""),"")</f>
        <v>1.07107763611409</v>
      </c>
      <c r="AE425" s="262">
        <f>IFERROR(IF(N(AE368)&lt;&gt;0,(N(AE309)+N(AE310)+N(AE311)+N(AE314)+N(AE332)+N(AE335))/AE368,""),"")</f>
        <v>1.00948741257474</v>
      </c>
      <c r="AF425" s="262">
        <f>IFERROR(IF(N(AF368)&lt;&gt;0,(N(AF309)+N(AF310)+N(AF311)+N(AF314)+N(AF332)+N(AF335))/AF368,""),"")</f>
        <v>1.00277668358656</v>
      </c>
      <c r="AG425" s="262">
        <f>IFERROR(IF(N(AG368)&lt;&gt;0,(N(AG309)+N(AG310)+N(AG311)+N(AG314)+N(AG332)+N(AG335))/AG368,""),"")</f>
        <v>1.00277668358656</v>
      </c>
      <c r="AH425" s="262">
        <f>IFERROR(IF(N(AH368)&lt;&gt;0,(N(AH309)+N(AH310)+N(AH311)+N(AH314)+N(AH332)+N(AH335))/AH368,""),"")</f>
        <v>1.13576027108016</v>
      </c>
      <c r="AI425" s="262">
        <f>IFERROR(IF(N(AI368)&lt;&gt;0,(N(AI309)+N(AI310)+N(AI311)+N(AI314)+N(AI332)+N(AI335))/AI368,""),"")</f>
        <v>1.11329197761069</v>
      </c>
      <c r="AJ425" s="262">
        <f>IFERROR(IF(N(AJ368)&lt;&gt;0,(N(AJ309)+N(AJ310)+N(AJ311)+N(AJ314)+N(AJ332)+N(AJ335))/AJ368,""),"")</f>
        <v>1.06478859754565</v>
      </c>
      <c r="AK425" s="262">
        <f>IFERROR(IF(N(AK368)&lt;&gt;0,(N(AK309)+N(AK310)+N(AK311)+N(AK314)+N(AK332)+N(AK335))/AK368,""),"")</f>
        <v>1.01155419794905</v>
      </c>
      <c r="AL425" s="262">
        <f>IFERROR(IF(N(AL368)&lt;&gt;0,(N(AL309)+N(AL310)+N(AL311)+N(AL314)+N(AL332)+N(AL335))/AL368,""),"")</f>
        <v>1.01155419794905</v>
      </c>
      <c r="AM425" s="262">
        <f>IFERROR(IF(N(AM368)&lt;&gt;0,(N(AM309)+N(AM310)+N(AM311)+N(AM314)+N(AM332)+N(AM335))/AM368,""),"")</f>
        <v>0.959777176119336</v>
      </c>
      <c r="AN425" s="262">
        <f>IFERROR(IF(N(AN368)&lt;&gt;0,(N(AN309)+N(AN310)+N(AN311)+N(AN314)+N(AN332)+N(AN335))/AN368,""),"")</f>
        <v>0.90007027419641</v>
      </c>
      <c r="AO425" s="262">
        <f>IFERROR(IF(N(AO368)&lt;&gt;0,(N(AO309)+N(AO310)+N(AO311)+N(AO314)+N(AO332)+N(AO335))/AO368,""),"")</f>
        <v>0.863095550921013</v>
      </c>
      <c r="AP425" s="262">
        <f>IFERROR(IF(N(AP368)&lt;&gt;0,(N(AP309)+N(AP310)+N(AP311)+N(AP314)+N(AP332)+N(AP335))/AP368,""),"")</f>
        <v>0.822292277661916</v>
      </c>
      <c r="AQ425" s="262">
        <f>IFERROR(IF(N(AQ368)&lt;&gt;0,(N(AQ309)+N(AQ310)+N(AQ311)+N(AQ314)+N(AQ332)+N(AQ335))/AQ368,""),"")</f>
        <v>0.822292277661916</v>
      </c>
      <c r="AR425" s="262">
        <f>IFERROR(IF(N(AR368)&lt;&gt;0,(N(AR309)+N(AR310)+N(AR311)+N(AR314)+N(AR332)+N(AR335))/AR368,""),"")</f>
        <v>0.782544566852671</v>
      </c>
      <c r="AS425" s="262">
        <f>IFERROR(IF(N(AS368)&lt;&gt;0,(N(AS309)+N(AS310)+N(AS311)+N(AS314)+N(AS332)+N(AS335))/AS368,""),"")</f>
        <v>0.736412064470052</v>
      </c>
      <c r="AT425" s="262">
        <f>IFERROR(IF(N(AT368)&lt;&gt;0,(N(AT309)+N(AT310)+N(AT311)+N(AT314)+N(AT332)+N(AT335))/AT368,""),"")</f>
        <v>0.707682545664296</v>
      </c>
      <c r="AU425" s="262">
        <f>IFERROR(IF(N(AU368)&lt;&gt;0,(N(AU309)+N(AU310)+N(AU311)+N(AU314)+N(AU332)+N(AU335))/AU368,""),"")</f>
        <v>0.675834128377949</v>
      </c>
      <c r="AV425" s="262">
        <f>IFERROR(IF(N(AV368)&lt;&gt;0,(N(AV309)+N(AV310)+N(AV311)+N(AV314)+N(AV332)+N(AV335))/AV368,""),"")</f>
        <v>0.675834128377949</v>
      </c>
      <c r="AW425" s="262">
        <f>IFERROR(IF(N(AW368)&lt;&gt;0,(N(AW309)+N(AW310)+N(AW311)+N(AW314)+N(AW332)+N(AW335))/AW368,""),"")</f>
        <v>0.644791619684184</v>
      </c>
      <c r="AX425" s="262">
        <f>IFERROR(IF(N(AX368)&lt;&gt;0,(N(AX309)+N(AX310)+N(AX311)+N(AX314)+N(AX332)+N(AX335))/AX368,""),"")</f>
        <v>0.608565310160003</v>
      </c>
      <c r="AY425" s="262">
        <f>IFERROR(IF(N(AY368)&lt;&gt;0,(N(AY309)+N(AY310)+N(AY311)+N(AY314)+N(AY332)+N(AY335))/AY368,""),"")</f>
        <v>0.58589706168007</v>
      </c>
      <c r="AZ425" s="262">
        <f>IFERROR(IF(N(AZ368)&lt;&gt;0,(N(AZ309)+N(AZ310)+N(AZ311)+N(AZ314)+N(AZ332)+N(AZ335))/AZ368,""),"")</f>
        <v>0.560670461358027</v>
      </c>
      <c r="BA425" s="262">
        <f>IFERROR(IF(N(BA368)&lt;&gt;0,(N(BA309)+N(BA310)+N(BA311)+N(BA314)+N(BA332)+N(BA335))/BA368,""),"")</f>
        <v>0.560670461358027</v>
      </c>
      <c r="BB425" s="262">
        <f>IFERROR(IF(N(BB368)&lt;&gt;0,(N(BB309)+N(BB310)+N(BB311)+N(BB314)+N(BB332)+N(BB335))/BB368,""),"")</f>
        <v>0.536085339165863</v>
      </c>
      <c r="BC425" s="262">
        <f>IFERROR(IF(N(BC368)&lt;&gt;0,(N(BC309)+N(BC310)+N(BC311)+N(BC314)+N(BC332)+N(BC335))/BC368,""),"")</f>
        <v>0.507258675139177</v>
      </c>
      <c r="BD425" s="262">
        <f>IFERROR(IF(N(BD368)&lt;&gt;0,(N(BD309)+N(BD310)+N(BD311)+N(BD314)+N(BD332)+N(BD335))/BD368,""),"")</f>
        <v>0.489145666194527</v>
      </c>
      <c r="BE425" s="262">
        <f>IFERROR(IF(N(BE368)&lt;&gt;0,(N(BE309)+N(BE310)+N(BE311)+N(BE314)+N(BE332)+N(BE335))/BE368,""),"")</f>
        <v>0.468920119734521</v>
      </c>
      <c r="BF425" s="262">
        <f>IFERROR(IF(N(BF368)&lt;&gt;0,(N(BF309)+N(BF310)+N(BF311)+N(BF314)+N(BF332)+N(BF335))/BF368,""),"")</f>
        <v>0.468920119734521</v>
      </c>
    </row>
    <row r="426" customFormat="1" s="77">
      <c r="A426" s="76" t="n"/>
      <c r="B426" s="76" t="n"/>
      <c r="C426" s="77" t="inlineStr">
        <is>
          <t>NET DEBT / (NET DEBT + EQUITY) (BOOK VALUE)</t>
        </is>
      </c>
      <c r="H426" s="258" t="str">
        <f>IFERROR(IF(((N(H309)+N(H310)+N(H311)+N(H314)+N(H332)+N(H335))-N(H241)+N(H368))&lt;&gt;0,((N(H309)+N(H310)+N(H311)+N(H314)+N(H332)+N(H335))-N(H241))/((N(H309)+N(H310)+N(H311)+N(H314)+N(H332)+N(H335))-N(H241)+H368),""),"")</f>
        <v/>
      </c>
      <c r="I426" s="258">
        <f>IFERROR(IF(((N(I309)+N(I310)+N(I311)+N(I314)+N(I332)+N(I335))-N(I241)+N(I368))&lt;&gt;0,((N(I309)+N(I310)+N(I311)+N(I314)+N(I332)+N(I335))-N(I241))/((N(I309)+N(I310)+N(I311)+N(I314)+N(I332)+N(I335))-N(I241)+I368),""),"")</f>
        <v>0.430431563229034</v>
      </c>
      <c r="J426" s="258">
        <f>IFERROR(IF(((N(J309)+N(J310)+N(J311)+N(J314)+N(J332)+N(J335))-N(J241)+N(J368))&lt;&gt;0,((N(J309)+N(J310)+N(J311)+N(J314)+N(J332)+N(J335))-N(J241))/((N(J309)+N(J310)+N(J311)+N(J314)+N(J332)+N(J335))-N(J241)+J368),""),"")</f>
        <v>0.433337568551085</v>
      </c>
      <c r="K426" s="258">
        <f>IFERROR(IF(((N(K309)+N(K310)+N(K311)+N(K314)+N(K332)+N(K335))-N(K241)+N(K368))&lt;&gt;0,((N(K309)+N(K310)+N(K311)+N(K314)+N(K332)+N(K335))-N(K241))/((N(K309)+N(K310)+N(K311)+N(K314)+N(K332)+N(K335))-N(K241)+K368),""),"")</f>
        <v>0.436055102865518</v>
      </c>
      <c r="L426" s="258">
        <f>IFERROR(IF(((N(L309)+N(L310)+N(L311)+N(L314)+N(L332)+N(L335))-N(L241)+N(L368))&lt;&gt;0,((N(L309)+N(L310)+N(L311)+N(L314)+N(L332)+N(L335))-N(L241))/((N(L309)+N(L310)+N(L311)+N(L314)+N(L332)+N(L335))-N(L241)+L368),""),"")</f>
        <v>0.440691573555729</v>
      </c>
      <c r="M426" s="258">
        <f>IFERROR(IF(((N(M309)+N(M310)+N(M311)+N(M314)+N(M332)+N(M335))-N(M241)+N(M368))&lt;&gt;0,((N(M309)+N(M310)+N(M311)+N(M314)+N(M332)+N(M335))-N(M241))/((N(M309)+N(M310)+N(M311)+N(M314)+N(M332)+N(M335))-N(M241)+M368),""),"")</f>
        <v>0.440691573555729</v>
      </c>
      <c r="N426" s="258">
        <f>IFERROR(IF(((N(N309)+N(N310)+N(N311)+N(N314)+N(N332)+N(N335))-N(N241)+N(N368))&lt;&gt;0,((N(N309)+N(N310)+N(N311)+N(N314)+N(N332)+N(N335))-N(N241))/((N(N309)+N(N310)+N(N311)+N(N314)+N(N332)+N(N335))-N(N241)+N368),""),"")</f>
        <v>0.426505376754866</v>
      </c>
      <c r="O426" s="258">
        <f>IFERROR(IF(((N(O309)+N(O310)+N(O311)+N(O314)+N(O332)+N(O335))-N(O241)+N(O368))&lt;&gt;0,((N(O309)+N(O310)+N(O311)+N(O314)+N(O332)+N(O335))-N(O241))/((N(O309)+N(O310)+N(O311)+N(O314)+N(O332)+N(O335))-N(O241)+O368),""),"")</f>
        <v>0.437976406144418</v>
      </c>
      <c r="P426" s="258">
        <f>IFERROR(IF(((N(P309)+N(P310)+N(P311)+N(P314)+N(P332)+N(P335))-N(P241)+N(P368))&lt;&gt;0,((N(P309)+N(P310)+N(P311)+N(P314)+N(P332)+N(P335))-N(P241))/((N(P309)+N(P310)+N(P311)+N(P314)+N(P332)+N(P335))-N(P241)+P368),""),"")</f>
        <v>0.447447850104115</v>
      </c>
      <c r="Q426" s="258">
        <f>IFERROR(IF(((N(Q309)+N(Q310)+N(Q311)+N(Q314)+N(Q332)+N(Q335))-N(Q241)+N(Q368))&lt;&gt;0,((N(Q309)+N(Q310)+N(Q311)+N(Q314)+N(Q332)+N(Q335))-N(Q241))/((N(Q309)+N(Q310)+N(Q311)+N(Q314)+N(Q332)+N(Q335))-N(Q241)+Q368),""),"")</f>
        <v>0.464390054867953</v>
      </c>
      <c r="R426" s="258">
        <f>IFERROR(IF(((N(R309)+N(R310)+N(R311)+N(R314)+N(R332)+N(R335))-N(R241)+N(R368))&lt;&gt;0,((N(R309)+N(R310)+N(R311)+N(R314)+N(R332)+N(R335))-N(R241))/((N(R309)+N(R310)+N(R311)+N(R314)+N(R332)+N(R335))-N(R241)+R368),""),"")</f>
        <v>0.464390054867953</v>
      </c>
      <c r="S426" s="258">
        <f>IFERROR(IF(((N(S309)+N(S310)+N(S311)+N(S314)+N(S332)+N(S335))-N(S241)+N(S368))&lt;&gt;0,((N(S309)+N(S310)+N(S311)+N(S314)+N(S332)+N(S335))-N(S241))/((N(S309)+N(S310)+N(S311)+N(S314)+N(S332)+N(S335))-N(S241)+S368),""),"")</f>
        <v>0.453882185798839</v>
      </c>
      <c r="T426" s="258">
        <f>IFERROR(IF(((N(T309)+N(T310)+N(T311)+N(T314)+N(T332)+N(T335))-N(T241)+N(T368))&lt;&gt;0,((N(T309)+N(T310)+N(T311)+N(T314)+N(T332)+N(T335))-N(T241))/((N(T309)+N(T310)+N(T311)+N(T314)+N(T332)+N(T335))-N(T241)+T368),""),"")</f>
        <v>0.45592513246697</v>
      </c>
      <c r="U426" s="258">
        <f>IFERROR(IF(((N(U309)+N(U310)+N(U311)+N(U314)+N(U332)+N(U335))-N(U241)+N(U368))&lt;&gt;0,((N(U309)+N(U310)+N(U311)+N(U314)+N(U332)+N(U335))-N(U241))/((N(U309)+N(U310)+N(U311)+N(U314)+N(U332)+N(U335))-N(U241)+U368),""),"")</f>
        <v>0.450468754339861</v>
      </c>
      <c r="V426" s="258">
        <f>IFERROR(IF(((N(V309)+N(V310)+N(V311)+N(V314)+N(V332)+N(V335))-N(V241)+N(V368))&lt;&gt;0,((N(V309)+N(V310)+N(V311)+N(V314)+N(V332)+N(V335))-N(V241))/((N(V309)+N(V310)+N(V311)+N(V314)+N(V332)+N(V335))-N(V241)+V368),""),"")</f>
        <v>0.458205589783337</v>
      </c>
      <c r="W426" s="258">
        <f>IFERROR(IF(((N(W309)+N(W310)+N(W311)+N(W314)+N(W332)+N(W335))-N(W241)+N(W368))&lt;&gt;0,((N(W309)+N(W310)+N(W311)+N(W314)+N(W332)+N(W335))-N(W241))/((N(W309)+N(W310)+N(W311)+N(W314)+N(W332)+N(W335))-N(W241)+W368),""),"")</f>
        <v>0.458205589783337</v>
      </c>
      <c r="X426" s="258">
        <f>IFERROR(IF(((N(X309)+N(X310)+N(X311)+N(X314)+N(X332)+N(X335))-N(X241)+N(X368))&lt;&gt;0,((N(X309)+N(X310)+N(X311)+N(X314)+N(X332)+N(X335))-N(X241))/((N(X309)+N(X310)+N(X311)+N(X314)+N(X332)+N(X335))-N(X241)+X368),""),"")</f>
        <v>0.442922775598886</v>
      </c>
      <c r="Y426" s="258">
        <f>IFERROR(IF(((N(Y309)+N(Y310)+N(Y311)+N(Y314)+N(Y332)+N(Y335))-N(Y241)+N(Y368))&lt;&gt;0,((N(Y309)+N(Y310)+N(Y311)+N(Y314)+N(Y332)+N(Y335))-N(Y241))/((N(Y309)+N(Y310)+N(Y311)+N(Y314)+N(Y332)+N(Y335))-N(Y241)+Y368),""),"")</f>
        <v>0.436460049608348</v>
      </c>
      <c r="Z426" s="258">
        <f>IFERROR(IF(((N(Z309)+N(Z310)+N(Z311)+N(Z314)+N(Z332)+N(Z335))-N(Z241)+N(Z368))&lt;&gt;0,((N(Z309)+N(Z310)+N(Z311)+N(Z314)+N(Z332)+N(Z335))-N(Z241))/((N(Z309)+N(Z310)+N(Z311)+N(Z314)+N(Z332)+N(Z335))-N(Z241)+Z368),""),"")</f>
        <v>0.427198508101127</v>
      </c>
      <c r="AA426" s="258">
        <f>IFERROR(IF(((N(AA309)+N(AA310)+N(AA311)+N(AA314)+N(AA332)+N(AA335))-N(AA241)+N(AA368))&lt;&gt;0,((N(AA309)+N(AA310)+N(AA311)+N(AA314)+N(AA332)+N(AA335))-N(AA241))/((N(AA309)+N(AA310)+N(AA311)+N(AA314)+N(AA332)+N(AA335))-N(AA241)+AA368),""),"")</f>
        <v>0.439304802220302</v>
      </c>
      <c r="AB426" s="258">
        <f>IFERROR(IF(((N(AB309)+N(AB310)+N(AB311)+N(AB314)+N(AB332)+N(AB335))-N(AB241)+N(AB368))&lt;&gt;0,((N(AB309)+N(AB310)+N(AB311)+N(AB314)+N(AB332)+N(AB335))-N(AB241))/((N(AB309)+N(AB310)+N(AB311)+N(AB314)+N(AB332)+N(AB335))-N(AB241)+AB368),""),"")</f>
        <v>0.439304802220302</v>
      </c>
      <c r="AC426" s="258">
        <f>IFERROR(IF(((N(AC309)+N(AC310)+N(AC311)+N(AC314)+N(AC332)+N(AC335))-N(AC241)+N(AC368))&lt;&gt;0,((N(AC309)+N(AC310)+N(AC311)+N(AC314)+N(AC332)+N(AC335))-N(AC241))/((N(AC309)+N(AC310)+N(AC311)+N(AC314)+N(AC332)+N(AC335))-N(AC241)+AC368),""),"")</f>
        <v>0.42353951174606</v>
      </c>
      <c r="AD426" s="258">
        <f>IFERROR(IF(((N(AD309)+N(AD310)+N(AD311)+N(AD314)+N(AD332)+N(AD335))-N(AD241)+N(AD368))&lt;&gt;0,((N(AD309)+N(AD310)+N(AD311)+N(AD314)+N(AD332)+N(AD335))-N(AD241))/((N(AD309)+N(AD310)+N(AD311)+N(AD314)+N(AD332)+N(AD335))-N(AD241)+AD368),""),"")</f>
        <v>0.432194141045175</v>
      </c>
      <c r="AE426" s="258">
        <f>IFERROR(IF(((N(AE309)+N(AE310)+N(AE311)+N(AE314)+N(AE332)+N(AE335))-N(AE241)+N(AE368))&lt;&gt;0,((N(AE309)+N(AE310)+N(AE311)+N(AE314)+N(AE332)+N(AE335))-N(AE241))/((N(AE309)+N(AE310)+N(AE311)+N(AE314)+N(AE332)+N(AE335))-N(AE241)+AE368),""),"")</f>
        <v>0.428125889485262</v>
      </c>
      <c r="AF426" s="258">
        <f>IFERROR(IF(((N(AF309)+N(AF310)+N(AF311)+N(AF314)+N(AF332)+N(AF335))-N(AF241)+N(AF368))&lt;&gt;0,((N(AF309)+N(AF310)+N(AF311)+N(AF314)+N(AF332)+N(AF335))-N(AF241))/((N(AF309)+N(AF310)+N(AF311)+N(AF314)+N(AF332)+N(AF335))-N(AF241)+AF368),""),"")</f>
        <v>0.427281472365639</v>
      </c>
      <c r="AG426" s="258">
        <f>IFERROR(IF(((N(AG309)+N(AG310)+N(AG311)+N(AG314)+N(AG332)+N(AG335))-N(AG241)+N(AG368))&lt;&gt;0,((N(AG309)+N(AG310)+N(AG311)+N(AG314)+N(AG332)+N(AG335))-N(AG241))/((N(AG309)+N(AG310)+N(AG311)+N(AG314)+N(AG332)+N(AG335))-N(AG241)+AG368),""),"")</f>
        <v>0.427281472365639</v>
      </c>
      <c r="AH426" s="258">
        <f>IFERROR(IF(((N(AH309)+N(AH310)+N(AH311)+N(AH314)+N(AH332)+N(AH335))-N(AH241)+N(AH368))&lt;&gt;0,((N(AH309)+N(AH310)+N(AH311)+N(AH314)+N(AH332)+N(AH335))-N(AH241))/((N(AH309)+N(AH310)+N(AH311)+N(AH314)+N(AH332)+N(AH335))-N(AH241)+AH368),""),"")</f>
        <v>0.420913617951497</v>
      </c>
      <c r="AI426" s="258">
        <f>IFERROR(IF(((N(AI309)+N(AI310)+N(AI311)+N(AI314)+N(AI332)+N(AI335))-N(AI241)+N(AI368))&lt;&gt;0,((N(AI309)+N(AI310)+N(AI311)+N(AI314)+N(AI332)+N(AI335))-N(AI241))/((N(AI309)+N(AI310)+N(AI311)+N(AI314)+N(AI332)+N(AI335))-N(AI241)+AI368),""),"")</f>
        <v>0.415809217912332</v>
      </c>
      <c r="AJ426" s="258">
        <f>IFERROR(IF(((N(AJ309)+N(AJ310)+N(AJ311)+N(AJ314)+N(AJ332)+N(AJ335))-N(AJ241)+N(AJ368))&lt;&gt;0,((N(AJ309)+N(AJ310)+N(AJ311)+N(AJ314)+N(AJ332)+N(AJ335))-N(AJ241))/((N(AJ309)+N(AJ310)+N(AJ311)+N(AJ314)+N(AJ332)+N(AJ335))-N(AJ241)+AJ368),""),"")</f>
        <v>0.386362313432214</v>
      </c>
      <c r="AK426" s="258">
        <f>IFERROR(IF(((N(AK309)+N(AK310)+N(AK311)+N(AK314)+N(AK332)+N(AK335))-N(AK241)+N(AK368))&lt;&gt;0,((N(AK309)+N(AK310)+N(AK311)+N(AK314)+N(AK332)+N(AK335))-N(AK241))/((N(AK309)+N(AK310)+N(AK311)+N(AK314)+N(AK332)+N(AK335))-N(AK241)+AK368),""),"")</f>
        <v>0.351720436737282</v>
      </c>
      <c r="AL426" s="258">
        <f>IFERROR(IF(((N(AL309)+N(AL310)+N(AL311)+N(AL314)+N(AL332)+N(AL335))-N(AL241)+N(AL368))&lt;&gt;0,((N(AL309)+N(AL310)+N(AL311)+N(AL314)+N(AL332)+N(AL335))-N(AL241))/((N(AL309)+N(AL310)+N(AL311)+N(AL314)+N(AL332)+N(AL335))-N(AL241)+AL368),""),"")</f>
        <v>0.351720436737282</v>
      </c>
      <c r="AM426" s="258">
        <f>IFERROR(IF(((N(AM309)+N(AM310)+N(AM311)+N(AM314)+N(AM332)+N(AM335))-N(AM241)+N(AM368))&lt;&gt;0,((N(AM309)+N(AM310)+N(AM311)+N(AM314)+N(AM332)+N(AM335))-N(AM241))/((N(AM309)+N(AM310)+N(AM311)+N(AM314)+N(AM332)+N(AM335))-N(AM241)+AM368),""),"")</f>
        <v>0.313867624591207</v>
      </c>
      <c r="AN426" s="258">
        <f>IFERROR(IF(((N(AN309)+N(AN310)+N(AN311)+N(AN314)+N(AN332)+N(AN335))-N(AN241)+N(AN368))&lt;&gt;0,((N(AN309)+N(AN310)+N(AN311)+N(AN314)+N(AN332)+N(AN335))-N(AN241))/((N(AN309)+N(AN310)+N(AN311)+N(AN314)+N(AN332)+N(AN335))-N(AN241)+AN368),""),"")</f>
        <v>0.264729166944835</v>
      </c>
      <c r="AO426" s="258">
        <f>IFERROR(IF(((N(AO309)+N(AO310)+N(AO311)+N(AO314)+N(AO332)+N(AO335))-N(AO241)+N(AO368))&lt;&gt;0,((N(AO309)+N(AO310)+N(AO311)+N(AO314)+N(AO332)+N(AO335))-N(AO241))/((N(AO309)+N(AO310)+N(AO311)+N(AO314)+N(AO332)+N(AO335))-N(AO241)+AO368),""),"")</f>
        <v>0.22894077162356</v>
      </c>
      <c r="AP426" s="258">
        <f>IFERROR(IF(((N(AP309)+N(AP310)+N(AP311)+N(AP314)+N(AP332)+N(AP335))-N(AP241)+N(AP368))&lt;&gt;0,((N(AP309)+N(AP310)+N(AP311)+N(AP314)+N(AP332)+N(AP335))-N(AP241))/((N(AP309)+N(AP310)+N(AP311)+N(AP314)+N(AP332)+N(AP335))-N(AP241)+AP368),""),"")</f>
        <v>0.186007693721087</v>
      </c>
      <c r="AQ426" s="258">
        <f>IFERROR(IF(((N(AQ309)+N(AQ310)+N(AQ311)+N(AQ314)+N(AQ332)+N(AQ335))-N(AQ241)+N(AQ368))&lt;&gt;0,((N(AQ309)+N(AQ310)+N(AQ311)+N(AQ314)+N(AQ332)+N(AQ335))-N(AQ241))/((N(AQ309)+N(AQ310)+N(AQ311)+N(AQ314)+N(AQ332)+N(AQ335))-N(AQ241)+AQ368),""),"")</f>
        <v>0.186007693721087</v>
      </c>
      <c r="AR426" s="258">
        <f>IFERROR(IF(((N(AR309)+N(AR310)+N(AR311)+N(AR314)+N(AR332)+N(AR335))-N(AR241)+N(AR368))&lt;&gt;0,((N(AR309)+N(AR310)+N(AR311)+N(AR314)+N(AR332)+N(AR335))-N(AR241))/((N(AR309)+N(AR310)+N(AR311)+N(AR314)+N(AR332)+N(AR335))-N(AR241)+AR368),""),"")</f>
        <v>0.139024097254876</v>
      </c>
      <c r="AS426" s="258">
        <f>IFERROR(IF(((N(AS309)+N(AS310)+N(AS311)+N(AS314)+N(AS332)+N(AS335))-N(AS241)+N(AS368))&lt;&gt;0,((N(AS309)+N(AS310)+N(AS311)+N(AS314)+N(AS332)+N(AS335))-N(AS241))/((N(AS309)+N(AS310)+N(AS311)+N(AS314)+N(AS332)+N(AS335))-N(AS241)+AS368),""),"")</f>
        <v>0.0780519665481204</v>
      </c>
      <c r="AT426" s="258">
        <f>IFERROR(IF(((N(AT309)+N(AT310)+N(AT311)+N(AT314)+N(AT332)+N(AT335))-N(AT241)+N(AT368))&lt;&gt;0,((N(AT309)+N(AT310)+N(AT311)+N(AT314)+N(AT332)+N(AT335))-N(AT241))/((N(AT309)+N(AT310)+N(AT311)+N(AT314)+N(AT332)+N(AT335))-N(AT241)+AT368),""),"")</f>
        <v>0.0321997025191701</v>
      </c>
      <c r="AU426" s="258">
        <f>IFERROR(IF(((N(AU309)+N(AU310)+N(AU311)+N(AU314)+N(AU332)+N(AU335))-N(AU241)+N(AU368))&lt;&gt;0,((N(AU309)+N(AU310)+N(AU311)+N(AU314)+N(AU332)+N(AU335))-N(AU241))/((N(AU309)+N(AU310)+N(AU311)+N(AU314)+N(AU332)+N(AU335))-N(AU241)+AU368),""),"")</f>
        <v>-0.0228877184340083</v>
      </c>
      <c r="AV426" s="258">
        <f>IFERROR(IF(((N(AV309)+N(AV310)+N(AV311)+N(AV314)+N(AV332)+N(AV335))-N(AV241)+N(AV368))&lt;&gt;0,((N(AV309)+N(AV310)+N(AV311)+N(AV314)+N(AV332)+N(AV335))-N(AV241))/((N(AV309)+N(AV310)+N(AV311)+N(AV314)+N(AV332)+N(AV335))-N(AV241)+AV368),""),"")</f>
        <v>-0.0228877184340083</v>
      </c>
      <c r="AW426" s="258">
        <f>IFERROR(IF(((N(AW309)+N(AW310)+N(AW311)+N(AW314)+N(AW332)+N(AW335))-N(AW241)+N(AW368))&lt;&gt;0,((N(AW309)+N(AW310)+N(AW311)+N(AW314)+N(AW332)+N(AW335))-N(AW241))/((N(AW309)+N(AW310)+N(AW311)+N(AW314)+N(AW332)+N(AW335))-N(AW241)+AW368),""),"")</f>
        <v>-0.0835424177551064</v>
      </c>
      <c r="AX426" s="258">
        <f>IFERROR(IF(((N(AX309)+N(AX310)+N(AX311)+N(AX314)+N(AX332)+N(AX335))-N(AX241)+N(AX368))&lt;&gt;0,((N(AX309)+N(AX310)+N(AX311)+N(AX314)+N(AX332)+N(AX335))-N(AX241))/((N(AX309)+N(AX310)+N(AX311)+N(AX314)+N(AX332)+N(AX335))-N(AX241)+AX368),""),"")</f>
        <v>-0.162357463107188</v>
      </c>
      <c r="AY426" s="258">
        <f>IFERROR(IF(((N(AY309)+N(AY310)+N(AY311)+N(AY314)+N(AY332)+N(AY335))-N(AY241)+N(AY368))&lt;&gt;0,((N(AY309)+N(AY310)+N(AY311)+N(AY314)+N(AY332)+N(AY335))-N(AY241))/((N(AY309)+N(AY310)+N(AY311)+N(AY314)+N(AY332)+N(AY335))-N(AY241)+AY368),""),"")</f>
        <v>-0.224628804922349</v>
      </c>
      <c r="AZ426" s="258">
        <f>IFERROR(IF(((N(AZ309)+N(AZ310)+N(AZ311)+N(AZ314)+N(AZ332)+N(AZ335))-N(AZ241)+N(AZ368))&lt;&gt;0,((N(AZ309)+N(AZ310)+N(AZ311)+N(AZ314)+N(AZ332)+N(AZ335))-N(AZ241))/((N(AZ309)+N(AZ310)+N(AZ311)+N(AZ314)+N(AZ332)+N(AZ335))-N(AZ241)+AZ368),""),"")</f>
        <v>-0.299811842756133</v>
      </c>
      <c r="BA426" s="258">
        <f>IFERROR(IF(((N(BA309)+N(BA310)+N(BA311)+N(BA314)+N(BA332)+N(BA335))-N(BA241)+N(BA368))&lt;&gt;0,((N(BA309)+N(BA310)+N(BA311)+N(BA314)+N(BA332)+N(BA335))-N(BA241))/((N(BA309)+N(BA310)+N(BA311)+N(BA314)+N(BA332)+N(BA335))-N(BA241)+BA368),""),"")</f>
        <v>-0.299811842756133</v>
      </c>
      <c r="BB426" s="258">
        <f>IFERROR(IF(((N(BB309)+N(BB310)+N(BB311)+N(BB314)+N(BB332)+N(BB335))-N(BB241)+N(BB368))&lt;&gt;0,((N(BB309)+N(BB310)+N(BB311)+N(BB314)+N(BB332)+N(BB335))-N(BB241))/((N(BB309)+N(BB310)+N(BB311)+N(BB314)+N(BB332)+N(BB335))-N(BB241)+BB368),""),"")</f>
        <v>-0.383724700675991</v>
      </c>
      <c r="BC426" s="258">
        <f>IFERROR(IF(((N(BC309)+N(BC310)+N(BC311)+N(BC314)+N(BC332)+N(BC335))-N(BC241)+N(BC368))&lt;&gt;0,((N(BC309)+N(BC310)+N(BC311)+N(BC314)+N(BC332)+N(BC335))-N(BC241))/((N(BC309)+N(BC310)+N(BC311)+N(BC314)+N(BC332)+N(BC335))-N(BC241)+BC368),""),"")</f>
        <v>-0.493094024719433</v>
      </c>
      <c r="BD426" s="258">
        <f>IFERROR(IF(((N(BD309)+N(BD310)+N(BD311)+N(BD314)+N(BD332)+N(BD335))-N(BD241)+N(BD368))&lt;&gt;0,((N(BD309)+N(BD310)+N(BD311)+N(BD314)+N(BD332)+N(BD335))-N(BD241))/((N(BD309)+N(BD310)+N(BD311)+N(BD314)+N(BD332)+N(BD335))-N(BD241)+BD368),""),"")</f>
        <v>-0.58619787997396</v>
      </c>
      <c r="BE426" s="258">
        <f>IFERROR(IF(((N(BE309)+N(BE310)+N(BE311)+N(BE314)+N(BE332)+N(BE335))-N(BE241)+N(BE368))&lt;&gt;0,((N(BE309)+N(BE310)+N(BE311)+N(BE314)+N(BE332)+N(BE335))-N(BE241))/((N(BE309)+N(BE310)+N(BE311)+N(BE314)+N(BE332)+N(BE335))-N(BE241)+BE368),""),"")</f>
        <v>-0.700052545658068</v>
      </c>
      <c r="BF426" s="258">
        <f>IFERROR(IF(((N(BF309)+N(BF310)+N(BF311)+N(BF314)+N(BF332)+N(BF335))-N(BF241)+N(BF368))&lt;&gt;0,((N(BF309)+N(BF310)+N(BF311)+N(BF314)+N(BF332)+N(BF335))-N(BF241))/((N(BF309)+N(BF310)+N(BF311)+N(BF314)+N(BF332)+N(BF335))-N(BF241)+BF368),""),"")</f>
        <v>-0.700052545658068</v>
      </c>
    </row>
    <row r="427" customFormat="1" s="77">
      <c r="A427" s="76" t="n"/>
      <c r="B427" s="76" t="n"/>
    </row>
    <row r="428" customFormat="1" s="77">
      <c r="A428" s="76" t="n"/>
      <c r="B428" s="76" t="n"/>
      <c r="C428" s="74" t="inlineStr">
        <is>
          <t>FINANCIAL RISK RATIOS</t>
        </is>
      </c>
    </row>
    <row r="429" customFormat="1" s="77">
      <c r="A429" s="76" t="n"/>
      <c r="B429" s="76" t="n"/>
      <c r="C429" s="77" t="inlineStr">
        <is>
          <t>EBITDA / TOTAL INTEREST (LTM)</t>
        </is>
      </c>
      <c r="D429" s="82" t="str">
        <f>IFERROR(D166/-D171,"")</f>
        <v/>
      </c>
      <c r="E429" s="82" t="str">
        <f>IFERROR(E166/-E171,"")</f>
        <v/>
      </c>
      <c r="F429" s="82" t="str">
        <f>IFERROR(F166/-F171,"")</f>
        <v/>
      </c>
      <c r="G429" s="82" t="str">
        <f>IFERROR(G166/-G171,"")</f>
        <v/>
      </c>
      <c r="H429" s="262" t="str">
        <f>IFERROR(IF(AND(COUNT(H166)=1,(H171)&lt;&gt;0),(H166)/-(H171),""),"")</f>
        <v/>
      </c>
      <c r="I429" s="262" t="str">
        <f>""</f>
        <v/>
      </c>
      <c r="J429" s="262" t="str">
        <f>""</f>
        <v/>
      </c>
      <c r="K429" s="262" t="str">
        <f>""</f>
        <v/>
      </c>
      <c r="L429" s="262">
        <f>IFERROR(IF(AND(COUNT(I166,J166,K166,L166)=4,(I171+J171+K171+L171)&lt;&gt;0),(I166+J166+K166+L166)/-(I171+J171+K171+L171),""),"")</f>
        <v>4.42434024622368</v>
      </c>
      <c r="M429" s="262">
        <f>IFERROR(IF(AND(COUNT(I166,J166,K166,L166)=4,(I171+J171+K171+L171)&lt;&gt;0),(I166+J166+K166+L166)/-(I171+J171+K171+L171),""),"")</f>
        <v>4.42434024622368</v>
      </c>
      <c r="N429" s="262">
        <f>IFERROR(IF(AND(COUNT(J166,K166,L166,N166)=4,(J171+K171+L171+N171)&lt;&gt;0),(J166+K166+L166+N166)/-(J171+K171+L171+N171),""),"")</f>
        <v>3.81204173839667</v>
      </c>
      <c r="O429" s="262">
        <f>IFERROR(IF(AND(COUNT(K166,L166,N166,O166)=4,(K171+L171+N171+O171)&lt;&gt;0),(K166+L166+N166+O166)/-(K171+L171+N171+O171),""),"")</f>
        <v>3.02402440877303</v>
      </c>
      <c r="P429" s="262">
        <f>IFERROR(IF(AND(COUNT(L166,N166,O166,P166)=4,(L171+N171+O171+P171)&lt;&gt;0),(L166+N166+O166+P166)/-(L171+N171+O171+P171),""),"")</f>
        <v>2.78707842201794</v>
      </c>
      <c r="Q429" s="262">
        <f>IFERROR(IF(AND(COUNT(N166,O166,P166,Q166)=4,(N171+O171+P171+Q171)&lt;&gt;0),(N166+O166+P166+Q166)/-(N171+O171+P171+Q171),""),"")</f>
        <v>2.54869117485159</v>
      </c>
      <c r="R429" s="262">
        <f>IFERROR(IF(AND(COUNT(N166,O166,P166,Q166)=4,(N171+O171+P171+Q171)&lt;&gt;0),(N166+O166+P166+Q166)/-(N171+O171+P171+Q171),""),"")</f>
        <v>2.54869117485159</v>
      </c>
      <c r="S429" s="262">
        <f>IFERROR(IF(AND(COUNT(O166,P166,Q166,S166)=4,(O171+P171+Q171+S171)&lt;&gt;0),(O166+P166+Q166+S166)/-(O171+P171+Q171+S171),""),"")</f>
        <v>2.22726952660639</v>
      </c>
      <c r="T429" s="262">
        <f>IFERROR(IF(AND(COUNT(P166,Q166,S166,T166)=4,(P171+Q171+S171+T171)&lt;&gt;0),(P166+Q166+S166+T166)/-(P171+Q171+S171+T171),""),"")</f>
        <v>2.16997946791315</v>
      </c>
      <c r="U429" s="262">
        <f>IFERROR(IF(AND(COUNT(Q166,S166,T166,U166)=4,(Q171+S171+T171+U171)&lt;&gt;0),(Q166+S166+T166+U166)/-(Q171+S171+T171+U171),""),"")</f>
        <v>2.01409180717872</v>
      </c>
      <c r="V429" s="262">
        <f>IFERROR(IF(AND(COUNT(S166,T166,U166,V166)=4,(S171+T171+U171+V171)&lt;&gt;0),(S166+T166+U166+V166)/-(S171+T171+U171+V171),""),"")</f>
        <v>2.11834287561535</v>
      </c>
      <c r="W429" s="262">
        <f>IFERROR(IF(AND(COUNT(S166,T166,U166,V166)=4,(S171+T171+U171+V171)&lt;&gt;0),(S166+T166+U166+V166)/-(S171+T171+U171+V171),""),"")</f>
        <v>2.11834287561535</v>
      </c>
      <c r="X429" s="262">
        <f>IFERROR(IF(AND(COUNT(T166,U166,V166,X166)=4,(T171+U171+V171+X171)&lt;&gt;0),(T166+U166+V166+X166)/-(T171+U171+V171+X171),""),"")</f>
        <v>2.16904592378486</v>
      </c>
      <c r="Y429" s="262">
        <f>IFERROR(IF(AND(COUNT(U166,V166,X166,Y166)=4,(U171+V171+X171+Y171)&lt;&gt;0),(U166+V166+X166+Y166)/-(U171+V171+X171+Y171),""),"")</f>
        <v>2.29096104818178</v>
      </c>
      <c r="Z429" s="262">
        <f>IFERROR(IF(AND(COUNT(V166,X166,Y166,Z166)=4,(V171+X171+Y171+Z171)&lt;&gt;0),(V166+X166+Y166+Z166)/-(V171+X171+Y171+Z171),""),"")</f>
        <v>2.41686274170074</v>
      </c>
      <c r="AA429" s="262">
        <f>IFERROR(IF(AND(COUNT(X166,Y166,Z166,AA166)=4,(X171+Y171+Z171+AA171)&lt;&gt;0),(X166+Y166+Z166+AA166)/-(X171+Y171+Z171+AA171),""),"")</f>
        <v>2.39019637517844</v>
      </c>
      <c r="AB429" s="262">
        <f>IFERROR(IF(AND(COUNT(X166,Y166,Z166,AA166)=4,(X171+Y171+Z171+AA171)&lt;&gt;0),(X166+Y166+Z166+AA166)/-(X171+Y171+Z171+AA171),""),"")</f>
        <v>2.39019637517844</v>
      </c>
      <c r="AC429" s="262">
        <f>IFERROR(IF(AND(COUNT(Y166,Z166,AA166,AC166)=4,(Y171+Z171+AA171+AC171)&lt;&gt;0),(Y166+Z166+AA166+AC166)/-(Y171+Z171+AA171+AC171),""),"")</f>
        <v>2.34069995192809</v>
      </c>
      <c r="AD429" s="262">
        <f>IFERROR(IF(AND(COUNT(Z166,AA166,AC166,AD166)=4,(Z171+AA171+AC171+AD171)&lt;&gt;0),(Z166+AA166+AC166+AD166)/-(Z171+AA171+AC171+AD171),""),"")</f>
        <v>2.24625382233738</v>
      </c>
      <c r="AE429" s="262">
        <f>IFERROR(IF(AND(COUNT(AA166,AC166,AD166,AE166)=4,(AA171+AC171+AD171+AE171)&lt;&gt;0),(AA166+AC166+AD166+AE166)/-(AA171+AC171+AD171+AE171),""),"")</f>
        <v>2.21188098347692</v>
      </c>
      <c r="AF429" s="262">
        <f>IFERROR(IF(AND(COUNT(AB166,AD166,AE166,AF166)=4,(AB171+AD171+AE171+AF171)&lt;&gt;0),(AB166+AD166+AE166+AF166)/-(AB171+AD171+AE171+AF171),""),"")</f>
        <v>2.33144241778034</v>
      </c>
      <c r="AG429" s="262">
        <f>IFERROR(IF(AND(COUNT(AC166,AD166,AE166,AF166)=4,(AC171+AD171+AE171+AF171)&lt;&gt;0),(AC166+AD166+AE166+AF166)/-(AC171+AD171+AE171+AF171),""),"")</f>
        <v>2.26457740751955</v>
      </c>
      <c r="AH429" s="262">
        <f>IFERROR(IF(AND(COUNT(AD166,AF166,AG166,AH166)=4,(AD171+AF171+AG171+AH171)&lt;&gt;0),(AD166+AF166+AG166+AH166)/-(AD171+AF171+AG171+AH171),""),"")</f>
        <v>2.26385500987599</v>
      </c>
      <c r="AI429" s="262">
        <f>IFERROR(IF(AND(COUNT(AE166,AG166,AH166,AI166)=4,(AE171+AG171+AH171+AI171)&lt;&gt;0),(AE166+AG166+AH166+AI166)/-(AE171+AG171+AH171+AI171),""),"")</f>
        <v>2.29366223756338</v>
      </c>
      <c r="AJ429" s="262" t="str">
        <f>IFERROR(IF(AND(COUNT(AF166,AH166,AI166,AJ166)=4,(AF171+AH171+AI171+AJ171)&lt;&gt;0),(AF166+AH166+AI166+AJ166)/-(AF171+AH171+AI171+AJ171),""),"")</f>
        <v/>
      </c>
      <c r="AK429" s="262" t="str">
        <f>IFERROR(IF(AND(COUNT(AH166,AI166,AJ166,AK166)=4,(AH171+AI171+AJ171+AK171)&lt;&gt;0),(AH166+AI166+AJ166+AK166)/-(AH171+AI171+AJ171+AK171),""),"")</f>
        <v/>
      </c>
      <c r="AL429" s="262" t="str">
        <f>IFERROR(IF(AND(COUNT(AH166,AI166,AJ166,AK166)=4,(AH171+AI171+AJ171+AK171)&lt;&gt;0),(AH166+AI166+AJ166+AK166)/-(AH171+AI171+AJ171+AK171),""),"")</f>
        <v/>
      </c>
      <c r="AM429" s="262" t="str">
        <f>IFERROR(IF(AND(COUNT(AI166,AJ166,AK166,AM166)=4,(AI171+AJ171+AK171+AM171)&lt;&gt;0),(AI166+AJ166+AK166+AM166)/-(AI171+AJ171+AK171+AM171),""),"")</f>
        <v/>
      </c>
      <c r="AN429" s="262" t="str">
        <f>IFERROR(IF(AND(COUNT(AJ166,AK166,AM166,AN166)=4,(AJ171+AK171+AM171+AN171)&lt;&gt;0),(AJ166+AK166+AM166+AN166)/-(AJ171+AK171+AM171+AN171),""),"")</f>
        <v/>
      </c>
      <c r="AO429" s="262" t="str">
        <f>IFERROR(IF(AND(COUNT(AK166,AM166,AN166,AO166)=4,(AK171+AM171+AN171+AO171)&lt;&gt;0),(AK166+AM166+AN166+AO166)/-(AK171+AM171+AN171+AO171),""),"")</f>
        <v/>
      </c>
      <c r="AP429" s="262" t="str">
        <f>IFERROR(IF(AND(COUNT(AM166,AN166,AO166,AP166)=4,(AM171+AN171+AO171+AP171)&lt;&gt;0),(AM166+AN166+AO166+AP166)/-(AM171+AN171+AO171+AP171),""),"")</f>
        <v/>
      </c>
      <c r="AQ429" s="262" t="str">
        <f>IFERROR(IF(AND(COUNT(AM166,AN166,AO166,AP166)=4,(AM171+AN171+AO171+AP171)&lt;&gt;0),(AM166+AN166+AO166+AP166)/-(AM171+AN171+AO171+AP171),""),"")</f>
        <v/>
      </c>
      <c r="AR429" s="262" t="str">
        <f>IFERROR(IF(AND(COUNT(AN166,AO166,AP166,AR166)=4,(AN171+AO171+AP171+AR171)&lt;&gt;0),(AN166+AO166+AP166+AR166)/-(AN171+AO171+AP171+AR171),""),"")</f>
        <v/>
      </c>
      <c r="AS429" s="262" t="str">
        <f>IFERROR(IF(AND(COUNT(AO166,AP166,AR166,AS166)=4,(AO171+AP171+AR171+AS171)&lt;&gt;0),(AO166+AP166+AR166+AS166)/-(AO171+AP171+AR171+AS171),""),"")</f>
        <v/>
      </c>
      <c r="AT429" s="262" t="str">
        <f>IFERROR(IF(AND(COUNT(AP166,AR166,AS166,AT166)=4,(AP171+AR171+AS171+AT171)&lt;&gt;0),(AP166+AR166+AS166+AT166)/-(AP171+AR171+AS171+AT171),""),"")</f>
        <v/>
      </c>
      <c r="AU429" s="262" t="str">
        <f>IFERROR(IF(AND(COUNT(AR166,AS166,AT166,AU166)=4,(AR171+AS171+AT171+AU171)&lt;&gt;0),(AR166+AS166+AT166+AU166)/-(AR171+AS171+AT171+AU171),""),"")</f>
        <v/>
      </c>
      <c r="AV429" s="262" t="str">
        <f>IFERROR(IF(AND(COUNT(AR166,AS166,AT166,AU166)=4,(AR171+AS171+AT171+AU171)&lt;&gt;0),(AR166+AS166+AT166+AU166)/-(AR171+AS171+AT171+AU171),""),"")</f>
        <v/>
      </c>
      <c r="AW429" s="262" t="str">
        <f>IFERROR(IF(AND(COUNT(AS166,AT166,AU166,AW166)=4,(AS171+AT171+AU171+AW171)&lt;&gt;0),(AS166+AT166+AU166+AW166)/-(AS171+AT171+AU171+AW171),""),"")</f>
        <v/>
      </c>
      <c r="AX429" s="262" t="str">
        <f>IFERROR(IF(AND(COUNT(AT166,AU166,AW166,AX166)=4,(AT171+AU171+AW171+AX171)&lt;&gt;0),(AT166+AU166+AW166+AX166)/-(AT171+AU171+AW171+AX171),""),"")</f>
        <v/>
      </c>
      <c r="AY429" s="262" t="str">
        <f>IFERROR(IF(AND(COUNT(AU166,AW166,AX166,AY166)=4,(AU171+AW171+AX171+AY171)&lt;&gt;0),(AU166+AW166+AX166+AY166)/-(AU171+AW171+AX171+AY171),""),"")</f>
        <v/>
      </c>
      <c r="AZ429" s="262" t="str">
        <f>IFERROR(IF(AND(COUNT(AW166,AX166,AY166,AZ166)=4,(AW171+AX171+AY171+AZ171)&lt;&gt;0),(AW166+AX166+AY166+AZ166)/-(AW171+AX171+AY171+AZ171),""),"")</f>
        <v/>
      </c>
      <c r="BA429" s="262" t="str">
        <f>IFERROR(IF(AND(COUNT(AW166,AX166,AY166,AZ166)=4,(AW171+AX171+AY171+AZ171)&lt;&gt;0),(AW166+AX166+AY166+AZ166)/-(AW171+AX171+AY171+AZ171),""),"")</f>
        <v/>
      </c>
      <c r="BB429" s="262" t="str">
        <f>IFERROR(IF(AND(COUNT(AX166,AY166,AZ166,BB166)=4,(AX171+AY171+AZ171+BB171)&lt;&gt;0),(AX166+AY166+AZ166+BB166)/-(AX171+AY171+AZ171+BB171),""),"")</f>
        <v/>
      </c>
      <c r="BC429" s="262" t="str">
        <f>IFERROR(IF(AND(COUNT(AY166,AZ166,BB166,BC166)=4,(AY171+AZ171+BB171+BC171)&lt;&gt;0),(AY166+AZ166+BB166+BC166)/-(AY171+AZ171+BB171+BC171),""),"")</f>
        <v/>
      </c>
      <c r="BD429" s="262" t="str">
        <f>IFERROR(IF(AND(COUNT(AZ166,BB166,BC166,BD166)=4,(AZ171+BB171+BC171+BD171)&lt;&gt;0),(AZ166+BB166+BC166+BD166)/-(AZ171+BB171+BC171+BD171),""),"")</f>
        <v/>
      </c>
      <c r="BE429" s="262" t="str">
        <f>IFERROR(IF(AND(COUNT(BB166,BC166,BD166,BE166)=4,(BB171+BC171+BD171+BE171)&lt;&gt;0),(BB166+BC166+BD166+BE166)/-(BB171+BC171+BD171+BE171),""),"")</f>
        <v/>
      </c>
      <c r="BF429" s="262" t="str">
        <f>IFERROR(IF(AND(COUNT(BB166,BC166,BD166,BE166)=4,(BB171+BC171+BD171+BE171)&lt;&gt;0),(BB166+BC166+BD166+BE166)/-(BB171+BC171+BD171+BE171),""),"")</f>
        <v/>
      </c>
      <c r="BG429" s="82" t="n"/>
      <c r="BH429" s="82" t="n"/>
      <c r="BI429" s="82" t="n"/>
      <c r="BJ429" s="82" t="n"/>
      <c r="BL429" s="82" t="n"/>
      <c r="BM429" s="82" t="n"/>
      <c r="BN429" s="82" t="n"/>
      <c r="BO429" s="82" t="n"/>
      <c r="BQ429" s="82" t="n"/>
      <c r="BR429" s="82" t="n"/>
      <c r="BS429" s="82" t="n"/>
      <c r="BT429" s="82" t="n"/>
      <c r="BV429" s="82" t="n"/>
      <c r="BW429" s="82" t="n"/>
      <c r="BX429" s="82" t="n"/>
      <c r="BY429" s="82" t="n"/>
      <c r="CA429" s="82" t="n"/>
      <c r="CB429" s="82" t="n"/>
      <c r="CC429" s="82" t="n"/>
      <c r="CD429" s="82" t="n"/>
      <c r="CF429" s="82" t="n"/>
      <c r="CG429" s="82" t="n"/>
      <c r="CH429" s="82" t="n"/>
      <c r="CI429" s="82" t="n"/>
      <c r="CK429" s="82" t="n"/>
      <c r="CL429" s="82" t="n"/>
      <c r="CM429" s="82" t="n"/>
      <c r="CN429" s="82" t="n"/>
      <c r="CP429" s="82" t="n"/>
      <c r="CQ429" s="82" t="n"/>
      <c r="CR429" s="82" t="n"/>
      <c r="CS429" s="82" t="n"/>
      <c r="CU429" s="82" t="n"/>
      <c r="CV429" s="82" t="n"/>
      <c r="CW429" s="82" t="n"/>
      <c r="CX429" s="82" t="n"/>
    </row>
    <row r="430" customFormat="1" s="77">
      <c r="A430" s="76" t="n"/>
      <c r="B430" s="76" t="n"/>
      <c r="C430" s="77" t="inlineStr">
        <is>
          <t>(EBITDA - CAPEX) / TOTAL INTEREST (LTM)</t>
        </is>
      </c>
      <c r="D430" s="82" t="str">
        <f>IFERROR((D166-D265)/-D171,"")</f>
        <v/>
      </c>
      <c r="E430" s="82" t="str">
        <f>IFERROR((E166-E265)/-E171,"")</f>
        <v/>
      </c>
      <c r="F430" s="82" t="str">
        <f>IFERROR((F166-F265)/-F171,"")</f>
        <v/>
      </c>
      <c r="G430" s="82" t="str">
        <f>IFERROR((G166-G265)/-G171,"")</f>
        <v/>
      </c>
      <c r="H430" s="262" t="str">
        <f>IFERROR(IF(AND(COUNT(H166)=1,(H171)&lt;&gt;0),((H166)-(H265))/-(H171),""),"")</f>
        <v/>
      </c>
      <c r="I430" s="262" t="str">
        <f>""</f>
        <v/>
      </c>
      <c r="J430" s="262" t="str">
        <f>""</f>
        <v/>
      </c>
      <c r="K430" s="262" t="str">
        <f>""</f>
        <v/>
      </c>
      <c r="L430" s="262">
        <f>IFERROR(IF(AND(COUNT(I166,J166,K166,L166)=4,(I171+J171+K171+L171)&lt;&gt;0),((I166+J166+K166+L166)-(I265+J265+K265+L265))/-(I171+J171+K171+L171),""),"")</f>
        <v>4.35247941730981</v>
      </c>
      <c r="M430" s="262">
        <f>IFERROR(IF(AND(COUNT(I166,J166,K166,L166)=4,(I171+J171+K171+L171)&lt;&gt;0),((I166+J166+K166+L166)-(I265+J265+K265+L265))/-(I171+J171+K171+L171),""),"")</f>
        <v>4.35247941730981</v>
      </c>
      <c r="N430" s="262">
        <f>IFERROR(IF(AND(COUNT(J166,K166,L166,N166)=4,(J171+K171+L171+N171)&lt;&gt;0),((J166+K166+L166+N166)-(J265+K265+L265+N265))/-(J171+K171+L171+N171),""),"")</f>
        <v>3.41935418317787</v>
      </c>
      <c r="O430" s="262">
        <f>IFERROR(IF(AND(COUNT(K166,L166,N166,O166)=4,(K171+L171+N171+O171)&lt;&gt;0),((K166+L166+N166+O166)-(K265+L265+N265+O265))/-(K171+L171+N171+O171),""),"")</f>
        <v>2.61993602141927</v>
      </c>
      <c r="P430" s="262">
        <f>IFERROR(IF(AND(COUNT(L166,N166,O166,P166)=4,(L171+N171+O171+P171)&lt;&gt;0),((L166+N166+O166+P166)-(L265+N265+O265+P265))/-(L171+N171+O171+P171),""),"")</f>
        <v>2.24696701115218</v>
      </c>
      <c r="Q430" s="262">
        <f>IFERROR(IF(AND(COUNT(N166,O166,P166,Q166)=4,(N171+O171+P171+Q171)&lt;&gt;0),((N166+O166+P166+Q166)-(N265+O265+P265+Q265))/-(N171+O171+P171+Q171),""),"")</f>
        <v>1.90189188960308</v>
      </c>
      <c r="R430" s="262">
        <f>IFERROR(IF(AND(COUNT(N166,O166,P166,Q166)=4,(N171+O171+P171+Q171)&lt;&gt;0),((N166+O166+P166+Q166)-(N265+O265+P265+Q265))/-(N171+O171+P171+Q171),""),"")</f>
        <v>1.90189188960308</v>
      </c>
      <c r="S430" s="262">
        <f>IFERROR(IF(AND(COUNT(O166,P166,Q166,S166)=4,(O171+P171+Q171+S171)&lt;&gt;0),((O166+P166+Q166+S166)-(O265+P265+Q265+S265))/-(O171+P171+Q171+S171),""),"")</f>
        <v>1.8093709485683</v>
      </c>
      <c r="T430" s="262">
        <f>IFERROR(IF(AND(COUNT(P166,Q166,S166,T166)=4,(P171+Q171+S171+T171)&lt;&gt;0),((P166+Q166+S166+T166)-(P265+Q265+S265+T265))/-(P171+Q171+S171+T171),""),"")</f>
        <v>1.62825778601161</v>
      </c>
      <c r="U430" s="262">
        <f>IFERROR(IF(AND(COUNT(Q166,S166,T166,U166)=4,(Q171+S171+T171+U171)&lt;&gt;0),((Q166+S166+T166+U166)-(Q265+S265+T265+U265))/-(Q171+S171+T171+U171),""),"")</f>
        <v>1.5350358868556</v>
      </c>
      <c r="V430" s="262">
        <f>IFERROR(IF(AND(COUNT(S166,T166,U166,V166)=4,(S171+T171+U171+V171)&lt;&gt;0),((S166+T166+U166+V166)-(S265+T265+U265+V265))/-(S171+T171+U171+V171),""),"")</f>
        <v>1.75902772478098</v>
      </c>
      <c r="W430" s="262">
        <f>IFERROR(IF(AND(COUNT(S166,T166,U166,V166)=4,(S171+T171+U171+V171)&lt;&gt;0),((S166+T166+U166+V166)-(S265+T265+U265+V265))/-(S171+T171+U171+V171),""),"")</f>
        <v>1.75902772478098</v>
      </c>
      <c r="X430" s="262">
        <f>IFERROR(IF(AND(COUNT(T166,U166,V166,X166)=4,(T171+U171+V171+X171)&lt;&gt;0),((T166+U166+V166+X166)-(T265+U265+V265+X265))/-(T171+U171+V171+X171),""),"")</f>
        <v>1.79382529774577</v>
      </c>
      <c r="Y430" s="262">
        <f>IFERROR(IF(AND(COUNT(U166,V166,X166,Y166)=4,(U171+V171+X171+Y171)&lt;&gt;0),((U166+V166+X166+Y166)-(U265+V265+X265+Y265))/-(U171+V171+X171+Y171),""),"")</f>
        <v>1.8138482990536</v>
      </c>
      <c r="Z430" s="262">
        <f>IFERROR(IF(AND(COUNT(V166,X166,Y166,Z166)=4,(V171+X171+Y171+Z171)&lt;&gt;0),((V166+X166+Y166+Z166)-(V265+X265+Y265+Z265))/-(V171+X171+Y171+Z171),""),"")</f>
        <v>2.0780857994317</v>
      </c>
      <c r="AA430" s="262">
        <f>IFERROR(IF(AND(COUNT(X166,Y166,Z166,AA166)=4,(X171+Y171+Z171+AA171)&lt;&gt;0),((X166+Y166+Z166+AA166)-(X265+Y265+Z265+AA265))/-(X171+Y171+Z171+AA171),""),"")</f>
        <v>1.91176328630855</v>
      </c>
      <c r="AB430" s="262">
        <f>IFERROR(IF(AND(COUNT(X166,Y166,Z166,AA166)=4,(X171+Y171+Z171+AA171)&lt;&gt;0),((X166+Y166+Z166+AA166)-(X265+Y265+Z265+AA265))/-(X171+Y171+Z171+AA171),""),"")</f>
        <v>1.91176328630855</v>
      </c>
      <c r="AC430" s="262">
        <f>IFERROR(IF(AND(COUNT(Y166,Z166,AA166,AC166)=4,(Y171+Z171+AA171+AC171)&lt;&gt;0),((Y166+Z166+AA166+AC166)-(Y265+Z265+AA265+AC265))/-(Y171+Z171+AA171+AC171),""),"")</f>
        <v>2.05062485706774</v>
      </c>
      <c r="AD430" s="262">
        <f>IFERROR(IF(AND(COUNT(Z166,AA166,AC166,AD166)=4,(Z171+AA171+AC171+AD171)&lt;&gt;0),((Z166+AA166+AC166+AD166)-(Z265+AA265+AC265+AD265))/-(Z171+AA171+AC171+AD171),""),"")</f>
        <v>2.12148431071632</v>
      </c>
      <c r="AE430" s="262">
        <f>IFERROR(IF(AND(COUNT(AA166,AC166,AD166,AE166)=4,(AA171+AC171+AD171+AE171)&lt;&gt;0),((AA166+AC166+AD166+AE166)-(AA265+AC265+AD265+AE265))/-(AA171+AC171+AD171+AE171),""),"")</f>
        <v>2.08958440671467</v>
      </c>
      <c r="AF430" s="262">
        <f>IFERROR(IF(AND(COUNT(AB166,AD166,AE166,AF166)=4,(AB171+AD171+AE171+AF171)&lt;&gt;0),((AB166+AD166+AE166+AF166)-(AB265+AD265+AE265+AF265))/-(AB171+AD171+AE171+AF171),""),"")</f>
        <v>2.24308816220224</v>
      </c>
      <c r="AG430" s="262">
        <f>IFERROR(IF(AND(COUNT(AC166,AD166,AE166,AF166)=4,(AC171+AD171+AE171+AF171)&lt;&gt;0),((AC166+AD166+AE166+AF166)-(AC265+AD265+AE265+AF265))/-(AC171+AD171+AE171+AF171),""),"")</f>
        <v>2.21351051563735</v>
      </c>
      <c r="AH430" s="262">
        <f>IFERROR(IF(AND(COUNT(AD166,AF166,AG166,AH166)=4,(AD171+AF171+AG171+AH171)&lt;&gt;0),((AD166+AF166+AG166+AH166)-(AD265+AF265+AG265+AH265))/-(AD171+AF171+AG171+AH171),""),"")</f>
        <v>2.20276735060382</v>
      </c>
      <c r="AI430" s="262">
        <f>IFERROR(IF(AND(COUNT(AE166,AG166,AH166,AI166)=4,(AE171+AG171+AH171+AI171)&lt;&gt;0),((AE166+AG166+AH166+AI166)-(AE265+AG265+AH265+AI265))/-(AE171+AG171+AH171+AI171),""),"")</f>
        <v>2.24922615983888</v>
      </c>
      <c r="AJ430" s="262" t="str">
        <f>IFERROR(IF(AND(COUNT(AF166,AH166,AI166,AJ166)=4,(AF171+AH171+AI171+AJ171)&lt;&gt;0),((AF166+AH166+AI166+AJ166)-(AF265+AH265+AI265+AJ265))/-(AF171+AH171+AI171+AJ171),""),"")</f>
        <v/>
      </c>
      <c r="AK430" s="262" t="str">
        <f>IFERROR(IF(AND(COUNT(AH166,AI166,AJ166,AK166)=4,(AH171+AI171+AJ171+AK171)&lt;&gt;0),((AH166+AI166+AJ166+AK166)-(AH265+AI265+AJ265+AK265))/-(AH171+AI171+AJ171+AK171),""),"")</f>
        <v/>
      </c>
      <c r="AL430" s="262" t="str">
        <f>IFERROR(IF(AND(COUNT(AH166,AI166,AJ166,AK166)=4,(AH171+AI171+AJ171+AK171)&lt;&gt;0),((AH166+AI166+AJ166+AK166)-(AH265+AI265+AJ265+AK265))/-(AH171+AI171+AJ171+AK171),""),"")</f>
        <v/>
      </c>
      <c r="AM430" s="262" t="str">
        <f>IFERROR(IF(AND(COUNT(AI166,AJ166,AK166,AM166)=4,(AI171+AJ171+AK171+AM171)&lt;&gt;0),((AI166+AJ166+AK166+AM166)-(AI265+AJ265+AK265+AM265))/-(AI171+AJ171+AK171+AM171),""),"")</f>
        <v/>
      </c>
      <c r="AN430" s="262" t="str">
        <f>IFERROR(IF(AND(COUNT(AJ166,AK166,AM166,AN166)=4,(AJ171+AK171+AM171+AN171)&lt;&gt;0),((AJ166+AK166+AM166+AN166)-(AJ265+AK265+AM265+AN265))/-(AJ171+AK171+AM171+AN171),""),"")</f>
        <v/>
      </c>
      <c r="AO430" s="262" t="str">
        <f>IFERROR(IF(AND(COUNT(AK166,AM166,AN166,AO166)=4,(AK171+AM171+AN171+AO171)&lt;&gt;0),((AK166+AM166+AN166+AO166)-(AK265+AM265+AN265+AO265))/-(AK171+AM171+AN171+AO171),""),"")</f>
        <v/>
      </c>
      <c r="AP430" s="262" t="str">
        <f>IFERROR(IF(AND(COUNT(AM166,AN166,AO166,AP166)=4,(AM171+AN171+AO171+AP171)&lt;&gt;0),((AM166+AN166+AO166+AP166)-(AM265+AN265+AO265+AP265))/-(AM171+AN171+AO171+AP171),""),"")</f>
        <v/>
      </c>
      <c r="AQ430" s="262" t="str">
        <f>IFERROR(IF(AND(COUNT(AM166,AN166,AO166,AP166)=4,(AM171+AN171+AO171+AP171)&lt;&gt;0),((AM166+AN166+AO166+AP166)-(AM265+AN265+AO265+AP265))/-(AM171+AN171+AO171+AP171),""),"")</f>
        <v/>
      </c>
      <c r="AR430" s="262" t="str">
        <f>IFERROR(IF(AND(COUNT(AN166,AO166,AP166,AR166)=4,(AN171+AO171+AP171+AR171)&lt;&gt;0),((AN166+AO166+AP166+AR166)-(AN265+AO265+AP265+AR265))/-(AN171+AO171+AP171+AR171),""),"")</f>
        <v/>
      </c>
      <c r="AS430" s="262" t="str">
        <f>IFERROR(IF(AND(COUNT(AO166,AP166,AR166,AS166)=4,(AO171+AP171+AR171+AS171)&lt;&gt;0),((AO166+AP166+AR166+AS166)-(AO265+AP265+AR265+AS265))/-(AO171+AP171+AR171+AS171),""),"")</f>
        <v/>
      </c>
      <c r="AT430" s="262" t="str">
        <f>IFERROR(IF(AND(COUNT(AP166,AR166,AS166,AT166)=4,(AP171+AR171+AS171+AT171)&lt;&gt;0),((AP166+AR166+AS166+AT166)-(AP265+AR265+AS265+AT265))/-(AP171+AR171+AS171+AT171),""),"")</f>
        <v/>
      </c>
      <c r="AU430" s="262" t="str">
        <f>IFERROR(IF(AND(COUNT(AR166,AS166,AT166,AU166)=4,(AR171+AS171+AT171+AU171)&lt;&gt;0),((AR166+AS166+AT166+AU166)-(AR265+AS265+AT265+AU265))/-(AR171+AS171+AT171+AU171),""),"")</f>
        <v/>
      </c>
      <c r="AV430" s="262" t="str">
        <f>IFERROR(IF(AND(COUNT(AR166,AS166,AT166,AU166)=4,(AR171+AS171+AT171+AU171)&lt;&gt;0),((AR166+AS166+AT166+AU166)-(AR265+AS265+AT265+AU265))/-(AR171+AS171+AT171+AU171),""),"")</f>
        <v/>
      </c>
      <c r="AW430" s="262" t="str">
        <f>IFERROR(IF(AND(COUNT(AS166,AT166,AU166,AW166)=4,(AS171+AT171+AU171+AW171)&lt;&gt;0),((AS166+AT166+AU166+AW166)-(AS265+AT265+AU265+AW265))/-(AS171+AT171+AU171+AW171),""),"")</f>
        <v/>
      </c>
      <c r="AX430" s="262" t="str">
        <f>IFERROR(IF(AND(COUNT(AT166,AU166,AW166,AX166)=4,(AT171+AU171+AW171+AX171)&lt;&gt;0),((AT166+AU166+AW166+AX166)-(AT265+AU265+AW265+AX265))/-(AT171+AU171+AW171+AX171),""),"")</f>
        <v/>
      </c>
      <c r="AY430" s="262" t="str">
        <f>IFERROR(IF(AND(COUNT(AU166,AW166,AX166,AY166)=4,(AU171+AW171+AX171+AY171)&lt;&gt;0),((AU166+AW166+AX166+AY166)-(AU265+AW265+AX265+AY265))/-(AU171+AW171+AX171+AY171),""),"")</f>
        <v/>
      </c>
      <c r="AZ430" s="262" t="str">
        <f>IFERROR(IF(AND(COUNT(AW166,AX166,AY166,AZ166)=4,(AW171+AX171+AY171+AZ171)&lt;&gt;0),((AW166+AX166+AY166+AZ166)-(AW265+AX265+AY265+AZ265))/-(AW171+AX171+AY171+AZ171),""),"")</f>
        <v/>
      </c>
      <c r="BA430" s="262" t="str">
        <f>IFERROR(IF(AND(COUNT(AW166,AX166,AY166,AZ166)=4,(AW171+AX171+AY171+AZ171)&lt;&gt;0),((AW166+AX166+AY166+AZ166)-(AW265+AX265+AY265+AZ265))/-(AW171+AX171+AY171+AZ171),""),"")</f>
        <v/>
      </c>
      <c r="BB430" s="262" t="str">
        <f>IFERROR(IF(AND(COUNT(AX166,AY166,AZ166,BB166)=4,(AX171+AY171+AZ171+BB171)&lt;&gt;0),((AX166+AY166+AZ166+BB166)-(AX265+AY265+AZ265+BB265))/-(AX171+AY171+AZ171+BB171),""),"")</f>
        <v/>
      </c>
      <c r="BC430" s="262" t="str">
        <f>IFERROR(IF(AND(COUNT(AY166,AZ166,BB166,BC166)=4,(AY171+AZ171+BB171+BC171)&lt;&gt;0),((AY166+AZ166+BB166+BC166)-(AY265+AZ265+BB265+BC265))/-(AY171+AZ171+BB171+BC171),""),"")</f>
        <v/>
      </c>
      <c r="BD430" s="262" t="str">
        <f>IFERROR(IF(AND(COUNT(AZ166,BB166,BC166,BD166)=4,(AZ171+BB171+BC171+BD171)&lt;&gt;0),((AZ166+BB166+BC166+BD166)-(AZ265+BB265+BC265+BD265))/-(AZ171+BB171+BC171+BD171),""),"")</f>
        <v/>
      </c>
      <c r="BE430" s="262" t="str">
        <f>IFERROR(IF(AND(COUNT(BB166,BC166,BD166,BE166)=4,(BB171+BC171+BD171+BE171)&lt;&gt;0),((BB166+BC166+BD166+BE166)-(BB265+BC265+BD265+BE265))/-(BB171+BC171+BD171+BE171),""),"")</f>
        <v/>
      </c>
      <c r="BF430" s="262" t="str">
        <f>IFERROR(IF(AND(COUNT(BB166,BC166,BD166,BE166)=4,(BB171+BC171+BD171+BE171)&lt;&gt;0),((BB166+BC166+BD166+BE166)-(BB265+BC265+BD265+BE265))/-(BB171+BC171+BD171+BE171),""),"")</f>
        <v/>
      </c>
      <c r="BG430" s="82" t="n"/>
      <c r="BH430" s="82" t="n"/>
      <c r="BI430" s="82" t="n"/>
      <c r="BJ430" s="82" t="n"/>
      <c r="BL430" s="82" t="n"/>
      <c r="BM430" s="82" t="n"/>
      <c r="BN430" s="82" t="n"/>
      <c r="BO430" s="82" t="n"/>
      <c r="BQ430" s="82" t="n"/>
      <c r="BR430" s="82" t="n"/>
      <c r="BS430" s="82" t="n"/>
      <c r="BT430" s="82" t="n"/>
      <c r="BV430" s="82" t="n"/>
      <c r="BW430" s="82" t="n"/>
      <c r="BX430" s="82" t="n"/>
      <c r="BY430" s="82" t="n"/>
      <c r="CA430" s="82" t="n"/>
      <c r="CB430" s="82" t="n"/>
      <c r="CC430" s="82" t="n"/>
      <c r="CD430" s="82" t="n"/>
      <c r="CF430" s="82" t="n"/>
      <c r="CG430" s="82" t="n"/>
      <c r="CH430" s="82" t="n"/>
      <c r="CI430" s="82" t="n"/>
      <c r="CK430" s="82" t="n"/>
      <c r="CL430" s="82" t="n"/>
      <c r="CM430" s="82" t="n"/>
      <c r="CN430" s="82" t="n"/>
      <c r="CP430" s="82" t="n"/>
      <c r="CQ430" s="82" t="n"/>
      <c r="CR430" s="82" t="n"/>
      <c r="CS430" s="82" t="n"/>
      <c r="CU430" s="82" t="n"/>
      <c r="CV430" s="82" t="n"/>
      <c r="CW430" s="82" t="n"/>
      <c r="CX430" s="82" t="n"/>
    </row>
    <row r="431" customFormat="1" s="77">
      <c r="A431" s="76" t="n"/>
      <c r="B431" s="76" t="n"/>
      <c r="C431" s="77" t="inlineStr">
        <is>
          <t>TOTAL DEBT / EBITDA (LTM)</t>
        </is>
      </c>
      <c r="D431" s="82" t="str">
        <f>IFERROR(SUM(D309,D310,D311,D314,D332,D335)/D166,"")</f>
        <v/>
      </c>
      <c r="E431" s="82" t="str">
        <f>IFERROR(SUM(E309,E310,E311,E314,E332,E335)/E166,"")</f>
        <v/>
      </c>
      <c r="F431" s="82" t="str">
        <f>IFERROR(SUM(F309,F310,F311,F314,F332,F335)/F166,"")</f>
        <v/>
      </c>
      <c r="G431" s="82" t="str">
        <f>IFERROR(SUM(G309,G310,G311,G314,G332,G335)/G166,"")</f>
        <v/>
      </c>
      <c r="H431" s="262" t="str">
        <f>IFERROR(IF(AND(COUNT(H166)=1,(H166)&lt;&gt;0),(N(H309)+N(H310)+N(H311)+N(H314)+N(H332)+N(H335))/(H166),""),"")</f>
        <v/>
      </c>
      <c r="I431" s="262" t="str">
        <f>""</f>
        <v/>
      </c>
      <c r="J431" s="262" t="str">
        <f>""</f>
        <v/>
      </c>
      <c r="K431" s="262" t="str">
        <f>""</f>
        <v/>
      </c>
      <c r="L431" s="262">
        <f>IFERROR(IF(AND(COUNT(I166,J166,K166,L166)=4,(I166+J166+K166+L166)&lt;&gt;0),(N(L309)+N(L310)+N(L311)+N(L314)+N(L332)+N(L335))/(I166+J166+K166+L166),""),"")</f>
        <v>2.57929065584827</v>
      </c>
      <c r="M431" s="262">
        <f>IFERROR(IF(AND(COUNT(I166,J166,K166,L166)=4,(I166+J166+K166+L166)&lt;&gt;0),(N(M309)+N(M310)+N(M311)+N(M314)+N(M332)+N(M335))/(I166+J166+K166+L166),""),"")</f>
        <v>2.57929065584827</v>
      </c>
      <c r="N431" s="262">
        <f>IFERROR(IF(AND(COUNT(J166,K166,L166,N166)=4,(J166+K166+L166+N166)&lt;&gt;0),(N(N309)+N(N310)+N(N311)+N(N314)+N(N332)+N(N335))/(J166+K166+L166+N166),""),"")</f>
        <v>2.53410815363659</v>
      </c>
      <c r="O431" s="262">
        <f>IFERROR(IF(AND(COUNT(K166,L166,N166,O166)=4,(K166+L166+N166+O166)&lt;&gt;0),(N(O309)+N(O310)+N(O311)+N(O314)+N(O332)+N(O335))/(K166+L166+N166+O166),""),"")</f>
        <v>2.92827638614169</v>
      </c>
      <c r="P431" s="262">
        <f>IFERROR(IF(AND(COUNT(L166,N166,O166,P166)=4,(L166+N166+O166+P166)&lt;&gt;0),(N(P309)+N(P310)+N(P311)+N(P314)+N(P332)+N(P335))/(L166+N166+O166+P166),""),"")</f>
        <v>3.38719023082009</v>
      </c>
      <c r="Q431" s="262">
        <f>IFERROR(IF(AND(COUNT(N166,O166,P166,Q166)=4,(N166+O166+P166+Q166)&lt;&gt;0),(N(Q309)+N(Q310)+N(Q311)+N(Q314)+N(Q332)+N(Q335))/(N166+O166+P166+Q166),""),"")</f>
        <v>3.88125084937355</v>
      </c>
      <c r="R431" s="262">
        <f>IFERROR(IF(AND(COUNT(N166,O166,P166,Q166)=4,(N166+O166+P166+Q166)&lt;&gt;0),(N(R309)+N(R310)+N(R311)+N(R314)+N(R332)+N(R335))/(N166+O166+P166+Q166),""),"")</f>
        <v>3.88125084937355</v>
      </c>
      <c r="S431" s="262">
        <f>IFERROR(IF(AND(COUNT(O166,P166,Q166,S166)=4,(O166+P166+Q166+S166)&lt;&gt;0),(N(S309)+N(S310)+N(S311)+N(S314)+N(S332)+N(S335))/(O166+P166+Q166+S166),""),"")</f>
        <v>4.3784826016369</v>
      </c>
      <c r="T431" s="262">
        <f>IFERROR(IF(AND(COUNT(P166,Q166,S166,T166)=4,(P166+Q166+S166+T166)&lt;&gt;0),(N(T309)+N(T310)+N(T311)+N(T314)+N(T332)+N(T335))/(P166+Q166+S166+T166),""),"")</f>
        <v>4.80175079715215</v>
      </c>
      <c r="U431" s="262">
        <f>IFERROR(IF(AND(COUNT(Q166,S166,T166,U166)=4,(Q166+S166+T166+U166)&lt;&gt;0),(N(U309)+N(U310)+N(U311)+N(U314)+N(U332)+N(U335))/(Q166+S166+T166+U166),""),"")</f>
        <v>4.84658017151383</v>
      </c>
      <c r="V431" s="262">
        <f>IFERROR(IF(AND(COUNT(S166,T166,U166,V166)=4,(S166+T166+U166+V166)&lt;&gt;0),(N(V309)+N(V310)+N(V311)+N(V314)+N(V332)+N(V335))/(S166+T166+U166+V166),""),"")</f>
        <v>4.7847835951424</v>
      </c>
      <c r="W431" s="262">
        <f>IFERROR(IF(AND(COUNT(S166,T166,U166,V166)=4,(S166+T166+U166+V166)&lt;&gt;0),(N(W309)+N(W310)+N(W311)+N(W314)+N(W332)+N(W335))/(S166+T166+U166+V166),""),"")</f>
        <v>4.7847835951424</v>
      </c>
      <c r="X431" s="262">
        <f>IFERROR(IF(AND(COUNT(T166,U166,V166,X166)=4,(T166+U166+V166+X166)&lt;&gt;0),(N(X309)+N(X310)+N(X311)+N(X314)+N(X332)+N(X335))/(T166+U166+V166+X166),""),"")</f>
        <v>4.79462794451189</v>
      </c>
      <c r="Y431" s="262">
        <f>IFERROR(IF(AND(COUNT(U166,V166,X166,Y166)=4,(U166+V166+X166+Y166)&lt;&gt;0),(N(Y309)+N(Y310)+N(Y311)+N(Y314)+N(Y332)+N(Y335))/(U166+V166+X166+Y166),""),"")</f>
        <v>4.81057610545037</v>
      </c>
      <c r="Z431" s="262">
        <f>IFERROR(IF(AND(COUNT(V166,X166,Y166,Z166)=4,(V166+X166+Y166+Z166)&lt;&gt;0),(N(Z309)+N(Z310)+N(Z311)+N(Z314)+N(Z332)+N(Z335))/(V166+X166+Y166+Z166),""),"")</f>
        <v>4.41482662223868</v>
      </c>
      <c r="AA431" s="262">
        <f>IFERROR(IF(AND(COUNT(X166,Y166,Z166,AA166)=4,(X166+Y166+Z166+AA166)&lt;&gt;0),(N(AA309)+N(AA310)+N(AA311)+N(AA314)+N(AA332)+N(AA335))/(X166+Y166+Z166+AA166),""),"")</f>
        <v>4.35679316911426</v>
      </c>
      <c r="AB431" s="262">
        <f>IFERROR(IF(AND(COUNT(X166,Y166,Z166,AA166)=4,(X166+Y166+Z166+AA166)&lt;&gt;0),(N(AB309)+N(AB310)+N(AB311)+N(AB314)+N(AB332)+N(AB335))/(X166+Y166+Z166+AA166),""),"")</f>
        <v>4.35679316911426</v>
      </c>
      <c r="AC431" s="262">
        <f>IFERROR(IF(AND(COUNT(Y166,Z166,AA166,AC166)=4,(Y166+Z166+AA166+AC166)&lt;&gt;0),(N(AC309)+N(AC310)+N(AC311)+N(AC314)+N(AC332)+N(AC335))/(Y166+Z166+AA166+AC166),""),"")</f>
        <v>4.19705078821445</v>
      </c>
      <c r="AD431" s="262">
        <f>IFERROR(IF(AND(COUNT(Z166,AA166,AC166,AD166)=4,(Z166+AA166+AC166+AD166)&lt;&gt;0),(N(AD309)+N(AD310)+N(AD311)+N(AD314)+N(AD332)+N(AD335))/(Z166+AA166+AC166+AD166),""),"")</f>
        <v>4.3531822512516</v>
      </c>
      <c r="AE431" s="262">
        <f>IFERROR(IF(AND(COUNT(AA166,AC166,AD166,AE166)=4,(AA166+AC166+AD166+AE166)&lt;&gt;0),(N(AE309)+N(AE310)+N(AE311)+N(AE314)+N(AE332)+N(AE335))/(AA166+AC166+AD166+AE166),""),"")</f>
        <v>4.22448742594686</v>
      </c>
      <c r="AF431" s="262">
        <f>IFERROR(IF(AND(COUNT(AB166,AD166,AE166,AF166)=4,(AB166+AD166+AE166+AF166)&lt;&gt;0),(N(AF309)+N(AF310)+N(AF311)+N(AF314)+N(AF332)+N(AF335))/(AB166+AD166+AE166+AF166),""),"")</f>
        <v>2.50330394552033</v>
      </c>
      <c r="AG431" s="262">
        <f>IFERROR(IF(AND(COUNT(AC166,AD166,AE166,AF166)=4,(AC166+AD166+AE166+AF166)&lt;&gt;0),(N(AG309)+N(AG310)+N(AG311)+N(AG314)+N(AG332)+N(AG335))/(AC166+AD166+AE166+AF166),""),"")</f>
        <v>4.20504795076419</v>
      </c>
      <c r="AH431" s="262">
        <f>IFERROR(IF(AND(COUNT(AD166,AF166,AG166,AH166)=4,(AD166+AF166+AG166+AH166)&lt;&gt;0),(N(AH309)+N(AH310)+N(AH311)+N(AH314)+N(AH332)+N(AH335))/(AD166+AF166+AG166+AH166),""),"")</f>
        <v>2.78137285835056</v>
      </c>
      <c r="AI431" s="262">
        <f>IFERROR(IF(AND(COUNT(AE166,AG166,AH166,AI166)=4,(AE166+AG166+AH166+AI166)&lt;&gt;0),(N(AI309)+N(AI310)+N(AI311)+N(AI314)+N(AI332)+N(AI335))/(AE166+AG166+AH166+AI166),""),"")</f>
        <v>2.71961540561331</v>
      </c>
      <c r="AJ431" s="262">
        <f>IFERROR(IF(AND(COUNT(AF166,AH166,AI166,AJ166)=4,(AF166+AH166+AI166+AJ166)&lt;&gt;0),(N(AJ309)+N(AJ310)+N(AJ311)+N(AJ314)+N(AJ332)+N(AJ335))/(AF166+AH166+AI166+AJ166),""),"")</f>
        <v>4.47241662539578</v>
      </c>
      <c r="AK431" s="262">
        <f>IFERROR(IF(AND(COUNT(AH166,AI166,AJ166,AK166)=4,(AH166+AI166+AJ166+AK166)&lt;&gt;0),(N(AK309)+N(AK310)+N(AK311)+N(AK314)+N(AK332)+N(AK335))/(AH166+AI166+AJ166+AK166),""),"")</f>
        <v>4.30951493761937</v>
      </c>
      <c r="AL431" s="262">
        <f>IFERROR(IF(AND(COUNT(AH166,AI166,AJ166,AK166)=4,(AH166+AI166+AJ166+AK166)&lt;&gt;0),(N(AL309)+N(AL310)+N(AL311)+N(AL314)+N(AL332)+N(AL335))/(AH166+AI166+AJ166+AK166),""),"")</f>
        <v>4.30951493761937</v>
      </c>
      <c r="AM431" s="262">
        <f>IFERROR(IF(AND(COUNT(AI166,AJ166,AK166,AM166)=4,(AI166+AJ166+AK166+AM166)&lt;&gt;0),(N(AM309)+N(AM310)+N(AM311)+N(AM314)+N(AM332)+N(AM335))/(AI166+AJ166+AK166+AM166),""),"")</f>
        <v>4.09373767361601</v>
      </c>
      <c r="AN431" s="262">
        <f>IFERROR(IF(AND(COUNT(AJ166,AK166,AM166,AN166)=4,(AJ166+AK166+AM166+AN166)&lt;&gt;0),(N(AN309)+N(AN310)+N(AN311)+N(AN314)+N(AN332)+N(AN335))/(AJ166+AK166+AM166+AN166),""),"")</f>
        <v>3.85129505193705</v>
      </c>
      <c r="AO431" s="262">
        <f>IFERROR(IF(AND(COUNT(AK166,AM166,AN166,AO166)=4,(AK166+AM166+AN166+AO166)&lt;&gt;0),(N(AO309)+N(AO310)+N(AO311)+N(AO314)+N(AO332)+N(AO335))/(AK166+AM166+AN166+AO166),""),"")</f>
        <v>3.73408367306157</v>
      </c>
      <c r="AP431" s="262">
        <f>IFERROR(IF(AND(COUNT(AM166,AN166,AO166,AP166)=4,(AM166+AN166+AO166+AP166)&lt;&gt;0),(N(AP309)+N(AP310)+N(AP311)+N(AP314)+N(AP332)+N(AP335))/(AM166+AN166+AO166+AP166),""),"")</f>
        <v>3.6016775436846</v>
      </c>
      <c r="AQ431" s="262">
        <f>IFERROR(IF(AND(COUNT(AM166,AN166,AO166,AP166)=4,(AM166+AN166+AO166+AP166)&lt;&gt;0),(N(AQ309)+N(AQ310)+N(AQ311)+N(AQ314)+N(AQ332)+N(AQ335))/(AM166+AN166+AO166+AP166),""),"")</f>
        <v>3.6016775436846</v>
      </c>
      <c r="AR431" s="262">
        <f>IFERROR(IF(AND(COUNT(AN166,AO166,AP166,AR166)=4,(AN166+AO166+AP166+AR166)&lt;&gt;0),(N(AR309)+N(AR310)+N(AR311)+N(AR314)+N(AR332)+N(AR335))/(AN166+AO166+AP166+AR166),""),"")</f>
        <v>3.47287033873517</v>
      </c>
      <c r="AS431" s="262">
        <f>IFERROR(IF(AND(COUNT(AO166,AP166,AR166,AS166)=4,(AO166+AP166+AR166+AS166)&lt;&gt;0),(N(AS309)+N(AS310)+N(AS311)+N(AS314)+N(AS332)+N(AS335))/(AO166+AP166+AR166+AS166),""),"")</f>
        <v>3.31903795984169</v>
      </c>
      <c r="AT431" s="262">
        <f>IFERROR(IF(AND(COUNT(AP166,AR166,AS166,AT166)=4,(AP166+AR166+AS166+AT166)&lt;&gt;0),(N(AT309)+N(AT310)+N(AT311)+N(AT314)+N(AT332)+N(AT335))/(AP166+AR166+AS166+AT166),""),"")</f>
        <v>3.22079219727656</v>
      </c>
      <c r="AU431" s="262">
        <f>IFERROR(IF(AND(COUNT(AR166,AS166,AT166,AU166)=4,(AR166+AS166+AT166+AU166)&lt;&gt;0),(N(AU309)+N(AU310)+N(AU311)+N(AU314)+N(AU332)+N(AU335))/(AR166+AS166+AT166+AU166),""),"")</f>
        <v>3.10960689585143</v>
      </c>
      <c r="AV431" s="262">
        <f>IFERROR(IF(AND(COUNT(AR166,AS166,AT166,AU166)=4,(AR166+AS166+AT166+AU166)&lt;&gt;0),(N(AV309)+N(AV310)+N(AV311)+N(AV314)+N(AV332)+N(AV335))/(AR166+AS166+AT166+AU166),""),"")</f>
        <v>3.10960689585143</v>
      </c>
      <c r="AW431" s="262">
        <f>IFERROR(IF(AND(COUNT(AS166,AT166,AU166,AW166)=4,(AS166+AT166+AU166+AW166)&lt;&gt;0),(N(AW309)+N(AW310)+N(AW311)+N(AW314)+N(AW332)+N(AW335))/(AS166+AT166+AU166+AW166),""),"")</f>
        <v>3.00178973044796</v>
      </c>
      <c r="AX431" s="262">
        <f>IFERROR(IF(AND(COUNT(AT166,AU166,AW166,AX166)=4,(AT166+AU166+AW166+AX166)&lt;&gt;0),(N(AX309)+N(AX310)+N(AX311)+N(AX314)+N(AX332)+N(AX335))/(AT166+AU166+AW166+AX166),""),"")</f>
        <v>2.87270534548382</v>
      </c>
      <c r="AY431" s="262">
        <f>IFERROR(IF(AND(COUNT(AU166,AW166,AX166,AY166)=4,(AU166+AW166+AX166+AY166)&lt;&gt;0),(N(AY309)+N(AY310)+N(AY311)+N(AY314)+N(AY332)+N(AY335))/(AU166+AW166+AX166+AY166),""),"")</f>
        <v>2.7900820796099</v>
      </c>
      <c r="AZ431" s="262">
        <f>IFERROR(IF(AND(COUNT(AW166,AX166,AY166,AZ166)=4,(AW166+AX166+AY166+AZ166)&lt;&gt;0),(N(AZ309)+N(AZ310)+N(AZ311)+N(AZ314)+N(AZ332)+N(AZ335))/(AW166+AX166+AY166+AZ166),""),"")</f>
        <v>2.69640430494923</v>
      </c>
      <c r="BA431" s="262">
        <f>IFERROR(IF(AND(COUNT(AW166,AX166,AY166,AZ166)=4,(AW166+AX166+AY166+AZ166)&lt;&gt;0),(N(BA309)+N(BA310)+N(BA311)+N(BA314)+N(BA332)+N(BA335))/(AW166+AX166+AY166+AZ166),""),"")</f>
        <v>2.69640430494923</v>
      </c>
      <c r="BB431" s="262">
        <f>IFERROR(IF(AND(COUNT(AX166,AY166,AZ166,BB166)=4,(AX166+AY166+AZ166+BB166)&lt;&gt;0),(N(BB309)+N(BB310)+N(BB311)+N(BB314)+N(BB332)+N(BB335))/(AX166+AY166+AZ166+BB166),""),"")</f>
        <v>2.60586180452352</v>
      </c>
      <c r="BC431" s="262">
        <f>IFERROR(IF(AND(COUNT(AY166,AZ166,BB166,BC166)=4,(AY166+AZ166+BB166+BC166)&lt;&gt;0),(N(BC309)+N(BC310)+N(BC311)+N(BC314)+N(BC332)+N(BC335))/(AY166+AZ166+BB166+BC166),""),"")</f>
        <v>2.49718942719522</v>
      </c>
      <c r="BD431" s="262">
        <f>IFERROR(IF(AND(COUNT(AZ166,BB166,BC166,BD166)=4,(AZ166+BB166+BC166+BD166)&lt;&gt;0),(N(BD309)+N(BD310)+N(BD311)+N(BD314)+N(BD332)+N(BD335))/(AZ166+BB166+BC166+BD166),""),"")</f>
        <v>2.42747627554847</v>
      </c>
      <c r="BE431" s="262">
        <f>IFERROR(IF(AND(COUNT(BB166,BC166,BD166,BE166)=4,(BB166+BC166+BD166+BE166)&lt;&gt;0),(N(BE309)+N(BE310)+N(BE311)+N(BE314)+N(BE332)+N(BE335))/(BB166+BC166+BD166+BE166),""),"")</f>
        <v>2.34828906160637</v>
      </c>
      <c r="BF431" s="262">
        <f>IFERROR(IF(AND(COUNT(BB166,BC166,BD166,BE166)=4,(BB166+BC166+BD166+BE166)&lt;&gt;0),(N(BF309)+N(BF310)+N(BF311)+N(BF314)+N(BF332)+N(BF335))/(BB166+BC166+BD166+BE166),""),"")</f>
        <v>2.34828906160637</v>
      </c>
      <c r="BG431" s="82" t="n"/>
      <c r="BH431" s="82" t="n"/>
      <c r="BI431" s="82" t="n"/>
      <c r="BJ431" s="82" t="n"/>
      <c r="BL431" s="82" t="n"/>
      <c r="BM431" s="82" t="n"/>
      <c r="BN431" s="82" t="n"/>
      <c r="BO431" s="82" t="n"/>
      <c r="BQ431" s="82" t="n"/>
      <c r="BR431" s="82" t="n"/>
      <c r="BS431" s="82" t="n"/>
      <c r="BT431" s="82" t="n"/>
      <c r="BV431" s="82" t="n"/>
      <c r="BW431" s="82" t="n"/>
      <c r="BX431" s="82" t="n"/>
      <c r="BY431" s="82" t="n"/>
      <c r="CA431" s="82" t="n"/>
      <c r="CB431" s="82" t="n"/>
      <c r="CC431" s="82" t="n"/>
      <c r="CD431" s="82" t="n"/>
      <c r="CF431" s="82" t="n"/>
      <c r="CG431" s="82" t="n"/>
      <c r="CH431" s="82" t="n"/>
      <c r="CI431" s="82" t="n"/>
      <c r="CK431" s="82" t="n"/>
      <c r="CL431" s="82" t="n"/>
      <c r="CM431" s="82" t="n"/>
      <c r="CN431" s="82" t="n"/>
      <c r="CP431" s="82" t="n"/>
      <c r="CQ431" s="82" t="n"/>
      <c r="CR431" s="82" t="n"/>
      <c r="CS431" s="82" t="n"/>
      <c r="CU431" s="82" t="n"/>
      <c r="CV431" s="82" t="n"/>
      <c r="CW431" s="82" t="n"/>
      <c r="CX431" s="82" t="n"/>
    </row>
    <row r="432" customFormat="1" s="77">
      <c r="A432" s="76" t="n"/>
      <c r="B432" s="76" t="n"/>
      <c r="C432" s="77" t="inlineStr">
        <is>
          <t>TOTAL DEBT / TOTAL CAPITALIZATION</t>
        </is>
      </c>
      <c r="D432" s="80" t="str">
        <f>IFERROR(SUM(D309+D310+D311+D314+D332+D335)/(SUM(D309+D310+D311+D314+D332+D335)+D368),"")</f>
        <v/>
      </c>
      <c r="E432" s="80" t="str">
        <f>IFERROR(SUM(E309+E310+E311+E314+E332+E335)/(SUM(E309+E310+E311+E314+E332+E335)+E368),"")</f>
        <v/>
      </c>
      <c r="F432" s="80" t="str">
        <f>IFERROR(SUM(F309+F310+F311+F314+F332+F335)/(SUM(F309+F310+F311+F314+F332+F335)+F368),"")</f>
        <v/>
      </c>
      <c r="G432" s="80" t="str">
        <f>IFERROR(SUM(G309+G310+G311+G314+G332+G335)/(SUM(G309+G310+G311+G314+G332+G335)+G368),"")</f>
        <v/>
      </c>
      <c r="H432" s="258" t="str">
        <f>IFERROR(IF(((N(H309)+N(H310)+N(H311)+N(H314)+N(H332)+N(H335))+N(H368))&lt;&gt;0,(N(H309)+N(H310)+N(H311)+N(H314)+N(H332)+N(H335))/((N(H309)+N(H310)+N(H311)+N(H314)+N(H332)+N(H335))+H368),""),"")</f>
        <v/>
      </c>
      <c r="I432" s="258">
        <f>IFERROR(IF(((N(I309)+N(I310)+N(I311)+N(I314)+N(I332)+N(I335))+N(I368))&lt;&gt;0,(N(I309)+N(I310)+N(I311)+N(I314)+N(I332)+N(I335))/((N(I309)+N(I310)+N(I311)+N(I314)+N(I332)+N(I335))+I368),""),"")</f>
        <v>0.487840808188382</v>
      </c>
      <c r="J432" s="258">
        <f>IFERROR(IF(((N(J309)+N(J310)+N(J311)+N(J314)+N(J332)+N(J335))+N(J368))&lt;&gt;0,(N(J309)+N(J310)+N(J311)+N(J314)+N(J332)+N(J335))/((N(J309)+N(J310)+N(J311)+N(J314)+N(J332)+N(J335))+J368),""),"")</f>
        <v>0.482854543235184</v>
      </c>
      <c r="K432" s="258">
        <f>IFERROR(IF(((N(K309)+N(K310)+N(K311)+N(K314)+N(K332)+N(K335))+N(K368))&lt;&gt;0,(N(K309)+N(K310)+N(K311)+N(K314)+N(K332)+N(K335))/((N(K309)+N(K310)+N(K311)+N(K314)+N(K332)+N(K335))+K368),""),"")</f>
        <v>0.478770434873829</v>
      </c>
      <c r="L432" s="258">
        <f>IFERROR(IF(((N(L309)+N(L310)+N(L311)+N(L314)+N(L332)+N(L335))+N(L368))&lt;&gt;0,(N(L309)+N(L310)+N(L311)+N(L314)+N(L332)+N(L335))/((N(L309)+N(L310)+N(L311)+N(L314)+N(L332)+N(L335))+L368),""),"")</f>
        <v>0.493499224374543</v>
      </c>
      <c r="M432" s="258">
        <f>IFERROR(IF(((N(M309)+N(M310)+N(M311)+N(M314)+N(M332)+N(M335))+N(M368))&lt;&gt;0,(N(M309)+N(M310)+N(M311)+N(M314)+N(M332)+N(M335))/((N(M309)+N(M310)+N(M311)+N(M314)+N(M332)+N(M335))+M368),""),"")</f>
        <v>0.493499224374543</v>
      </c>
      <c r="N432" s="258">
        <f>IFERROR(IF(((N(N309)+N(N310)+N(N311)+N(N314)+N(N332)+N(N335))+N(N368))&lt;&gt;0,(N(N309)+N(N310)+N(N311)+N(N314)+N(N332)+N(N335))/((N(N309)+N(N310)+N(N311)+N(N314)+N(N332)+N(N335))+N368),""),"")</f>
        <v>0.481877138723734</v>
      </c>
      <c r="O432" s="258">
        <f>IFERROR(IF(((N(O309)+N(O310)+N(O311)+N(O314)+N(O332)+N(O335))+N(O368))&lt;&gt;0,(N(O309)+N(O310)+N(O311)+N(O314)+N(O332)+N(O335))/((N(O309)+N(O310)+N(O311)+N(O314)+N(O332)+N(O335))+O368),""),"")</f>
        <v>0.497797842317153</v>
      </c>
      <c r="P432" s="258">
        <f>IFERROR(IF(((N(P309)+N(P310)+N(P311)+N(P314)+N(P332)+N(P335))+N(P368))&lt;&gt;0,(N(P309)+N(P310)+N(P311)+N(P314)+N(P332)+N(P335))/((N(P309)+N(P310)+N(P311)+N(P314)+N(P332)+N(P335))+P368),""),"")</f>
        <v>0.509120920606203</v>
      </c>
      <c r="Q432" s="258">
        <f>IFERROR(IF(((N(Q309)+N(Q310)+N(Q311)+N(Q314)+N(Q332)+N(Q335))+N(Q368))&lt;&gt;0,(N(Q309)+N(Q310)+N(Q311)+N(Q314)+N(Q332)+N(Q335))/((N(Q309)+N(Q310)+N(Q311)+N(Q314)+N(Q332)+N(Q335))+Q368),""),"")</f>
        <v>0.529685520280019</v>
      </c>
      <c r="R432" s="258">
        <f>IFERROR(IF(((N(R309)+N(R310)+N(R311)+N(R314)+N(R332)+N(R335))+N(R368))&lt;&gt;0,(N(R309)+N(R310)+N(R311)+N(R314)+N(R332)+N(R335))/((N(R309)+N(R310)+N(R311)+N(R314)+N(R332)+N(R335))+R368),""),"")</f>
        <v>0.529685520280019</v>
      </c>
      <c r="S432" s="258">
        <f>IFERROR(IF(((N(S309)+N(S310)+N(S311)+N(S314)+N(S332)+N(S335))+N(S368))&lt;&gt;0,(N(S309)+N(S310)+N(S311)+N(S314)+N(S332)+N(S335))/((N(S309)+N(S310)+N(S311)+N(S314)+N(S332)+N(S335))+S368),""),"")</f>
        <v>0.522849070217216</v>
      </c>
      <c r="T432" s="258">
        <f>IFERROR(IF(((N(T309)+N(T310)+N(T311)+N(T314)+N(T332)+N(T335))+N(T368))&lt;&gt;0,(N(T309)+N(T310)+N(T311)+N(T314)+N(T332)+N(T335))/((N(T309)+N(T310)+N(T311)+N(T314)+N(T332)+N(T335))+T368),""),"")</f>
        <v>0.518593091697302</v>
      </c>
      <c r="U432" s="258">
        <f>IFERROR(IF(((N(U309)+N(U310)+N(U311)+N(U314)+N(U332)+N(U335))+N(U368))&lt;&gt;0,(N(U309)+N(U310)+N(U311)+N(U314)+N(U332)+N(U335))/((N(U309)+N(U310)+N(U311)+N(U314)+N(U332)+N(U335))+U368),""),"")</f>
        <v>0.516860950903375</v>
      </c>
      <c r="V432" s="258">
        <f>IFERROR(IF(((N(V309)+N(V310)+N(V311)+N(V314)+N(V332)+N(V335))+N(V368))&lt;&gt;0,(N(V309)+N(V310)+N(V311)+N(V314)+N(V332)+N(V335))/((N(V309)+N(V310)+N(V311)+N(V314)+N(V332)+N(V335))+V368),""),"")</f>
        <v>0.526542602252382</v>
      </c>
      <c r="W432" s="258">
        <f>IFERROR(IF(((N(W309)+N(W310)+N(W311)+N(W314)+N(W332)+N(W335))+N(W368))&lt;&gt;0,(N(W309)+N(W310)+N(W311)+N(W314)+N(W332)+N(W335))/((N(W309)+N(W310)+N(W311)+N(W314)+N(W332)+N(W335))+W368),""),"")</f>
        <v>0.526542602252381</v>
      </c>
      <c r="X432" s="258">
        <f>IFERROR(IF(((N(X309)+N(X310)+N(X311)+N(X314)+N(X332)+N(X335))+N(X368))&lt;&gt;0,(N(X309)+N(X310)+N(X311)+N(X314)+N(X332)+N(X335))/((N(X309)+N(X310)+N(X311)+N(X314)+N(X332)+N(X335))+X368),""),"")</f>
        <v>0.515929090449172</v>
      </c>
      <c r="Y432" s="258">
        <f>IFERROR(IF(((N(Y309)+N(Y310)+N(Y311)+N(Y314)+N(Y332)+N(Y335))+N(Y368))&lt;&gt;0,(N(Y309)+N(Y310)+N(Y311)+N(Y314)+N(Y332)+N(Y335))/((N(Y309)+N(Y310)+N(Y311)+N(Y314)+N(Y332)+N(Y335))+Y368),""),"")</f>
        <v>0.525633562636929</v>
      </c>
      <c r="Z432" s="258">
        <f>IFERROR(IF(((N(Z309)+N(Z310)+N(Z311)+N(Z314)+N(Z332)+N(Z335))+N(Z368))&lt;&gt;0,(N(Z309)+N(Z310)+N(Z311)+N(Z314)+N(Z332)+N(Z335))/((N(Z309)+N(Z310)+N(Z311)+N(Z314)+N(Z332)+N(Z335))+Z368),""),"")</f>
        <v>0.510511688881316</v>
      </c>
      <c r="AA432" s="258">
        <f>IFERROR(IF(((N(AA309)+N(AA310)+N(AA311)+N(AA314)+N(AA332)+N(AA335))+N(AA368))&lt;&gt;0,(N(AA309)+N(AA310)+N(AA311)+N(AA314)+N(AA332)+N(AA335))/((N(AA309)+N(AA310)+N(AA311)+N(AA314)+N(AA332)+N(AA335))+AA368),""),"")</f>
        <v>0.520572479701882</v>
      </c>
      <c r="AB432" s="258">
        <f>IFERROR(IF(((N(AB309)+N(AB310)+N(AB311)+N(AB314)+N(AB332)+N(AB335))+N(AB368))&lt;&gt;0,(N(AB309)+N(AB310)+N(AB311)+N(AB314)+N(AB332)+N(AB335))/((N(AB309)+N(AB310)+N(AB311)+N(AB314)+N(AB332)+N(AB335))+AB368),""),"")</f>
        <v>0.520572479701882</v>
      </c>
      <c r="AC432" s="258">
        <f>IFERROR(IF(((N(AC309)+N(AC310)+N(AC311)+N(AC314)+N(AC332)+N(AC335))+N(AC368))&lt;&gt;0,(N(AC309)+N(AC310)+N(AC311)+N(AC314)+N(AC332)+N(AC335))/((N(AC309)+N(AC310)+N(AC311)+N(AC314)+N(AC332)+N(AC335))+AC368),""),"")</f>
        <v>0.508992908249598</v>
      </c>
      <c r="AD432" s="258">
        <f>IFERROR(IF(((N(AD309)+N(AD310)+N(AD311)+N(AD314)+N(AD332)+N(AD335))+N(AD368))&lt;&gt;0,(N(AD309)+N(AD310)+N(AD311)+N(AD314)+N(AD332)+N(AD335))/((N(AD309)+N(AD310)+N(AD311)+N(AD314)+N(AD332)+N(AD335))+AD368),""),"")</f>
        <v>0.517159577911202</v>
      </c>
      <c r="AE432" s="258">
        <f>IFERROR(IF(((N(AE309)+N(AE310)+N(AE311)+N(AE314)+N(AE332)+N(AE335))+N(AE368))&lt;&gt;0,(N(AE309)+N(AE310)+N(AE311)+N(AE314)+N(AE332)+N(AE335))/((N(AE309)+N(AE310)+N(AE311)+N(AE314)+N(AE332)+N(AE335))+AE368),""),"")</f>
        <v>0.50236065489024</v>
      </c>
      <c r="AF432" s="258">
        <f>IFERROR(IF(((N(AF309)+N(AF310)+N(AF311)+N(AF314)+N(AF332)+N(AF335))+N(AF368))&lt;&gt;0,(N(AF309)+N(AF310)+N(AF311)+N(AF314)+N(AF332)+N(AF335))/((N(AF309)+N(AF310)+N(AF311)+N(AF314)+N(AF332)+N(AF335))+AF368),""),"")</f>
        <v>0.500693208486328</v>
      </c>
      <c r="AG432" s="258">
        <f>IFERROR(IF(((N(AG309)+N(AG310)+N(AG311)+N(AG314)+N(AG332)+N(AG335))+N(AG368))&lt;&gt;0,(N(AG309)+N(AG310)+N(AG311)+N(AG314)+N(AG332)+N(AG335))/((N(AG309)+N(AG310)+N(AG311)+N(AG314)+N(AG332)+N(AG335))+AG368),""),"")</f>
        <v>0.500693208486328</v>
      </c>
      <c r="AH432" s="258">
        <f>IFERROR(IF(((N(AH309)+N(AH310)+N(AH311)+N(AH314)+N(AH332)+N(AH335))+N(AH368))&lt;&gt;0,(N(AH309)+N(AH310)+N(AH311)+N(AH314)+N(AH332)+N(AH335))/((N(AH309)+N(AH310)+N(AH311)+N(AH314)+N(AH332)+N(AH335))+AH368),""),"")</f>
        <v>0.531782656723805</v>
      </c>
      <c r="AI432" s="258">
        <f>IFERROR(IF(((N(AI309)+N(AI310)+N(AI311)+N(AI314)+N(AI332)+N(AI335))+N(AI368))&lt;&gt;0,(N(AI309)+N(AI310)+N(AI311)+N(AI314)+N(AI332)+N(AI335))/((N(AI309)+N(AI310)+N(AI311)+N(AI314)+N(AI332)+N(AI335))+AI368),""),"")</f>
        <v>0.526804620187593</v>
      </c>
      <c r="AJ432" s="258">
        <f>IFERROR(IF(((N(AJ309)+N(AJ310)+N(AJ311)+N(AJ314)+N(AJ332)+N(AJ335))+N(AJ368))&lt;&gt;0,(N(AJ309)+N(AJ310)+N(AJ311)+N(AJ314)+N(AJ332)+N(AJ335))/((N(AJ309)+N(AJ310)+N(AJ311)+N(AJ314)+N(AJ332)+N(AJ335))+AJ368),""),"")</f>
        <v>0.515688917892773</v>
      </c>
      <c r="AK432" s="258">
        <f>IFERROR(IF(((N(AK309)+N(AK310)+N(AK311)+N(AK314)+N(AK332)+N(AK335))+N(AK368))&lt;&gt;0,(N(AK309)+N(AK310)+N(AK311)+N(AK314)+N(AK332)+N(AK335))/((N(AK309)+N(AK310)+N(AK311)+N(AK314)+N(AK332)+N(AK335))+AK368),""),"")</f>
        <v>0.50287195790221</v>
      </c>
      <c r="AL432" s="258">
        <f>IFERROR(IF(((N(AL309)+N(AL310)+N(AL311)+N(AL314)+N(AL332)+N(AL335))+N(AL368))&lt;&gt;0,(N(AL309)+N(AL310)+N(AL311)+N(AL314)+N(AL332)+N(AL335))/((N(AL309)+N(AL310)+N(AL311)+N(AL314)+N(AL332)+N(AL335))+AL368),""),"")</f>
        <v>0.50287195790221</v>
      </c>
      <c r="AM432" s="258">
        <f>IFERROR(IF(((N(AM309)+N(AM310)+N(AM311)+N(AM314)+N(AM332)+N(AM335))+N(AM368))&lt;&gt;0,(N(AM309)+N(AM310)+N(AM311)+N(AM314)+N(AM332)+N(AM335))/((N(AM309)+N(AM310)+N(AM311)+N(AM314)+N(AM332)+N(AM335))+AM368),""),"")</f>
        <v>0.489737908888114</v>
      </c>
      <c r="AN432" s="258">
        <f>IFERROR(IF(((N(AN309)+N(AN310)+N(AN311)+N(AN314)+N(AN332)+N(AN335))+N(AN368))&lt;&gt;0,(N(AN309)+N(AN310)+N(AN311)+N(AN314)+N(AN332)+N(AN335))/((N(AN309)+N(AN310)+N(AN311)+N(AN314)+N(AN332)+N(AN335))+AN368),""),"")</f>
        <v>0.473703676342747</v>
      </c>
      <c r="AO432" s="258">
        <f>IFERROR(IF(((N(AO309)+N(AO310)+N(AO311)+N(AO314)+N(AO332)+N(AO335))+N(AO368))&lt;&gt;0,(N(AO309)+N(AO310)+N(AO311)+N(AO314)+N(AO332)+N(AO335))/((N(AO309)+N(AO310)+N(AO311)+N(AO314)+N(AO332)+N(AO335))+AO368),""),"")</f>
        <v>0.463258876064808</v>
      </c>
      <c r="AP432" s="258">
        <f>IFERROR(IF(((N(AP309)+N(AP310)+N(AP311)+N(AP314)+N(AP332)+N(AP335))+N(AP368))&lt;&gt;0,(N(AP309)+N(AP310)+N(AP311)+N(AP314)+N(AP332)+N(AP335))/((N(AP309)+N(AP310)+N(AP311)+N(AP314)+N(AP332)+N(AP335))+AP368),""),"")</f>
        <v>0.451240609281928</v>
      </c>
      <c r="AQ432" s="258">
        <f>IFERROR(IF(((N(AQ309)+N(AQ310)+N(AQ311)+N(AQ314)+N(AQ332)+N(AQ335))+N(AQ368))&lt;&gt;0,(N(AQ309)+N(AQ310)+N(AQ311)+N(AQ314)+N(AQ332)+N(AQ335))/((N(AQ309)+N(AQ310)+N(AQ311)+N(AQ314)+N(AQ332)+N(AQ335))+AQ368),""),"")</f>
        <v>0.451240609281928</v>
      </c>
      <c r="AR432" s="258">
        <f>IFERROR(IF(((N(AR309)+N(AR310)+N(AR311)+N(AR314)+N(AR332)+N(AR335))+N(AR368))&lt;&gt;0,(N(AR309)+N(AR310)+N(AR311)+N(AR314)+N(AR332)+N(AR335))/((N(AR309)+N(AR310)+N(AR311)+N(AR314)+N(AR332)+N(AR335))+AR368),""),"")</f>
        <v>0.439004208592867</v>
      </c>
      <c r="AS432" s="258">
        <f>IFERROR(IF(((N(AS309)+N(AS310)+N(AS311)+N(AS314)+N(AS332)+N(AS335))+N(AS368))&lt;&gt;0,(N(AS309)+N(AS310)+N(AS311)+N(AS314)+N(AS332)+N(AS335))/((N(AS309)+N(AS310)+N(AS311)+N(AS314)+N(AS332)+N(AS335))+AS368),""),"")</f>
        <v>0.42409983179586</v>
      </c>
      <c r="AT432" s="258">
        <f>IFERROR(IF(((N(AT309)+N(AT310)+N(AT311)+N(AT314)+N(AT332)+N(AT335))+N(AT368))&lt;&gt;0,(N(AT309)+N(AT310)+N(AT311)+N(AT314)+N(AT332)+N(AT335))/((N(AT309)+N(AT310)+N(AT311)+N(AT314)+N(AT332)+N(AT335))+AT368),""),"")</f>
        <v>0.414411066893586</v>
      </c>
      <c r="AU432" s="258">
        <f>IFERROR(IF(((N(AU309)+N(AU310)+N(AU311)+N(AU314)+N(AU332)+N(AU335))+N(AU368))&lt;&gt;0,(N(AU309)+N(AU310)+N(AU311)+N(AU314)+N(AU332)+N(AU335))/((N(AU309)+N(AU310)+N(AU311)+N(AU314)+N(AU332)+N(AU335))+AU368),""),"")</f>
        <v>0.403282232372301</v>
      </c>
      <c r="AV432" s="258">
        <f>IFERROR(IF(((N(AV309)+N(AV310)+N(AV311)+N(AV314)+N(AV332)+N(AV335))+N(AV368))&lt;&gt;0,(N(AV309)+N(AV310)+N(AV311)+N(AV314)+N(AV332)+N(AV335))/((N(AV309)+N(AV310)+N(AV311)+N(AV314)+N(AV332)+N(AV335))+AV368),""),"")</f>
        <v>0.403282232372301</v>
      </c>
      <c r="AW432" s="258">
        <f>IFERROR(IF(((N(AW309)+N(AW310)+N(AW311)+N(AW314)+N(AW332)+N(AW335))+N(AW368))&lt;&gt;0,(N(AW309)+N(AW310)+N(AW311)+N(AW314)+N(AW332)+N(AW335))/((N(AW309)+N(AW310)+N(AW311)+N(AW314)+N(AW332)+N(AW335))+AW368),""),"")</f>
        <v>0.392020248624558</v>
      </c>
      <c r="AX432" s="258">
        <f>IFERROR(IF(((N(AX309)+N(AX310)+N(AX311)+N(AX314)+N(AX332)+N(AX335))+N(AX368))&lt;&gt;0,(N(AX309)+N(AX310)+N(AX311)+N(AX314)+N(AX332)+N(AX335))/((N(AX309)+N(AX310)+N(AX311)+N(AX314)+N(AX332)+N(AX335))+AX368),""),"")</f>
        <v>0.378328008391198</v>
      </c>
      <c r="AY432" s="258">
        <f>IFERROR(IF(((N(AY309)+N(AY310)+N(AY311)+N(AY314)+N(AY332)+N(AY335))+N(AY368))&lt;&gt;0,(N(AY309)+N(AY310)+N(AY311)+N(AY314)+N(AY332)+N(AY335))/((N(AY309)+N(AY310)+N(AY311)+N(AY314)+N(AY332)+N(AY335))+AY368),""),"")</f>
        <v>0.369442050078195</v>
      </c>
      <c r="AZ432" s="258">
        <f>IFERROR(IF(((N(AZ309)+N(AZ310)+N(AZ311)+N(AZ314)+N(AZ332)+N(AZ335))+N(AZ368))&lt;&gt;0,(N(AZ309)+N(AZ310)+N(AZ311)+N(AZ314)+N(AZ332)+N(AZ335))/((N(AZ309)+N(AZ310)+N(AZ311)+N(AZ314)+N(AZ332)+N(AZ335))+AZ368),""),"")</f>
        <v>0.359249742492183</v>
      </c>
      <c r="BA432" s="258">
        <f>IFERROR(IF(((N(BA309)+N(BA310)+N(BA311)+N(BA314)+N(BA332)+N(BA335))+N(BA368))&lt;&gt;0,(N(BA309)+N(BA310)+N(BA311)+N(BA314)+N(BA332)+N(BA335))/((N(BA309)+N(BA310)+N(BA311)+N(BA314)+N(BA332)+N(BA335))+BA368),""),"")</f>
        <v>0.359249742492183</v>
      </c>
      <c r="BB432" s="258">
        <f>IFERROR(IF(((N(BB309)+N(BB310)+N(BB311)+N(BB314)+N(BB332)+N(BB335))+N(BB368))&lt;&gt;0,(N(BB309)+N(BB310)+N(BB311)+N(BB314)+N(BB332)+N(BB335))/((N(BB309)+N(BB310)+N(BB311)+N(BB314)+N(BB332)+N(BB335))+BB368),""),"")</f>
        <v>0.348994502777412</v>
      </c>
      <c r="BC432" s="258">
        <f>IFERROR(IF(((N(BC309)+N(BC310)+N(BC311)+N(BC314)+N(BC332)+N(BC335))+N(BC368))&lt;&gt;0,(N(BC309)+N(BC310)+N(BC311)+N(BC314)+N(BC332)+N(BC335))/((N(BC309)+N(BC310)+N(BC311)+N(BC314)+N(BC332)+N(BC335))+BC368),""),"")</f>
        <v>0.336543874987044</v>
      </c>
      <c r="BD432" s="258">
        <f>IFERROR(IF(((N(BD309)+N(BD310)+N(BD311)+N(BD314)+N(BD332)+N(BD335))+N(BD368))&lt;&gt;0,(N(BD309)+N(BD310)+N(BD311)+N(BD314)+N(BD332)+N(BD335))/((N(BD309)+N(BD310)+N(BD311)+N(BD314)+N(BD332)+N(BD335))+BD368),""),"")</f>
        <v>0.328474021916557</v>
      </c>
      <c r="BE432" s="258">
        <f>IFERROR(IF(((N(BE309)+N(BE310)+N(BE311)+N(BE314)+N(BE332)+N(BE335))+N(BE368))&lt;&gt;0,(N(BE309)+N(BE310)+N(BE311)+N(BE314)+N(BE332)+N(BE335))/((N(BE309)+N(BE310)+N(BE311)+N(BE314)+N(BE332)+N(BE335))+BE368),""),"")</f>
        <v>0.319227787430176</v>
      </c>
      <c r="BF432" s="258">
        <f>IFERROR(IF(((N(BF309)+N(BF310)+N(BF311)+N(BF314)+N(BF332)+N(BF335))+N(BF368))&lt;&gt;0,(N(BF309)+N(BF310)+N(BF311)+N(BF314)+N(BF332)+N(BF335))/((N(BF309)+N(BF310)+N(BF311)+N(BF314)+N(BF332)+N(BF335))+BF368),""),"")</f>
        <v>0.319227787430176</v>
      </c>
      <c r="BG432" s="80" t="n"/>
      <c r="BH432" s="80" t="n"/>
      <c r="BI432" s="80" t="n"/>
      <c r="BJ432" s="80" t="n"/>
      <c r="BL432" s="80" t="n"/>
      <c r="BM432" s="80" t="n"/>
      <c r="BN432" s="80" t="n"/>
      <c r="BO432" s="80" t="n"/>
      <c r="BQ432" s="80" t="n"/>
      <c r="BR432" s="80" t="n"/>
      <c r="BS432" s="80" t="n"/>
      <c r="BT432" s="80" t="n"/>
      <c r="BV432" s="80" t="n"/>
      <c r="BW432" s="80" t="n"/>
      <c r="BX432" s="80" t="n"/>
      <c r="BY432" s="80" t="n"/>
      <c r="CA432" s="80" t="n"/>
      <c r="CB432" s="80" t="n"/>
      <c r="CC432" s="80" t="n"/>
      <c r="CD432" s="80" t="n"/>
      <c r="CF432" s="80" t="n"/>
      <c r="CG432" s="80" t="n"/>
      <c r="CH432" s="80" t="n"/>
      <c r="CI432" s="80" t="n"/>
      <c r="CK432" s="80" t="n"/>
      <c r="CL432" s="80" t="n"/>
      <c r="CM432" s="80" t="n"/>
      <c r="CN432" s="80" t="n"/>
      <c r="CP432" s="80" t="n"/>
      <c r="CQ432" s="80" t="n"/>
      <c r="CR432" s="80" t="n"/>
      <c r="CS432" s="80" t="n"/>
      <c r="CU432" s="80" t="n"/>
      <c r="CV432" s="80" t="n"/>
      <c r="CW432" s="80" t="n"/>
      <c r="CX432" s="80" t="n"/>
    </row>
    <row r="433" customFormat="1" s="77">
      <c r="A433" s="76" t="n"/>
      <c r="B433" s="76" t="n"/>
      <c r="C433" s="77" t="inlineStr">
        <is>
          <t>NET DEBT / EBITDA (LTM)</t>
        </is>
      </c>
      <c r="D433" s="82" t="str">
        <f>IFERROR(SUM((D309+D310+D311+D314+D332)-D241)/(D166*4),"")</f>
        <v/>
      </c>
      <c r="E433" s="82" t="str">
        <f>IFERROR(SUM((E309+E310+E311+E314+E332)-E241)/(E166*4),"")</f>
        <v/>
      </c>
      <c r="F433" s="82" t="str">
        <f>IFERROR(SUM((F309+F310+F311+F314+F332)-F241)/(F166*4),"")</f>
        <v/>
      </c>
      <c r="G433" s="82" t="str">
        <f>IFERROR(SUM((G309+G310+G311+G314+G332)-G241)/(G166*4),"")</f>
        <v/>
      </c>
      <c r="H433" s="262" t="str">
        <f>IFERROR(IF(AND(COUNT(H166)=1,(H166)&lt;&gt;0),((N(H309)+N(H310)+N(H311)+N(H314)+N(H332)+N(H335))-N(H241))/(H166),""),"")</f>
        <v/>
      </c>
      <c r="I433" s="262" t="str">
        <f>""</f>
        <v/>
      </c>
      <c r="J433" s="262" t="str">
        <f>""</f>
        <v/>
      </c>
      <c r="K433" s="262" t="str">
        <f>""</f>
        <v/>
      </c>
      <c r="L433" s="262">
        <f>IFERROR(IF(AND(COUNT(I166,J166,K166,L166)=4,(I166+J166+K166+L166)&lt;&gt;0),((N(L309)+N(L310)+N(L311)+N(L314)+N(L332)+N(L335))-N(L241))/(I166+J166+K166+L166),""),"")</f>
        <v>2.08582231396513</v>
      </c>
      <c r="M433" s="262">
        <f>IFERROR(IF(AND(COUNT(I166,J166,K166,L166)=4,(I166+J166+K166+L166)&lt;&gt;0),((N(M309)+N(M310)+N(M311)+N(M314)+N(M332)+N(M335))-N(M241))/(I166+J166+K166+L166),""),"")</f>
        <v>2.08582231396513</v>
      </c>
      <c r="N433" s="262">
        <f>IFERROR(IF(AND(COUNT(J166,K166,L166,N166)=4,(J166+K166+L166+N166)&lt;&gt;0),((N(N309)+N(N310)+N(N311)+N(N314)+N(N332)+N(N335))-N(N241))/(J166+K166+L166+N166),""),"")</f>
        <v>2.02636062753946</v>
      </c>
      <c r="O433" s="262">
        <f>IFERROR(IF(AND(COUNT(K166,L166,N166,O166)=4,(K166+L166+N166+O166)&lt;&gt;0),((N(O309)+N(O310)+N(O311)+N(O314)+N(O332)+N(O335))-N(O241))/(K166+L166+N166+O166),""),"")</f>
        <v>2.30215095611478</v>
      </c>
      <c r="P433" s="262">
        <f>IFERROR(IF(AND(COUNT(L166,N166,O166,P166)=4,(L166+N166+O166+P166)&lt;&gt;0),((N(P309)+N(P310)+N(P311)+N(P314)+N(P332)+N(P335))-N(P241))/(L166+N166+O166+P166),""),"")</f>
        <v>2.64461417245194</v>
      </c>
      <c r="Q433" s="262">
        <f>IFERROR(IF(AND(COUNT(N166,O166,P166,Q166)=4,(N166+O166+P166+Q166)&lt;&gt;0),((N(Q309)+N(Q310)+N(Q311)+N(Q314)+N(Q332)+N(Q335))-N(Q241))/(N166+O166+P166+Q166),""),"")</f>
        <v>2.98797004622918</v>
      </c>
      <c r="R433" s="262">
        <f>IFERROR(IF(AND(COUNT(N166,O166,P166,Q166)=4,(N166+O166+P166+Q166)&lt;&gt;0),((N(R309)+N(R310)+N(R311)+N(R314)+N(R332)+N(R335))-N(R241))/(N166+O166+P166+Q166),""),"")</f>
        <v>2.98797004622918</v>
      </c>
      <c r="S433" s="262">
        <f>IFERROR(IF(AND(COUNT(O166,P166,Q166,S166)=4,(O166+P166+Q166+S166)&lt;&gt;0),((N(S309)+N(S310)+N(S311)+N(S314)+N(S332)+N(S335))-N(S241))/(O166+P166+Q166+S166),""),"")</f>
        <v>3.32093103698373</v>
      </c>
      <c r="T433" s="262">
        <f>IFERROR(IF(AND(COUNT(P166,Q166,S166,T166)=4,(P166+Q166+S166+T166)&lt;&gt;0),((N(T309)+N(T310)+N(T311)+N(T314)+N(T332)+N(T335))-N(T241))/(P166+Q166+S166+T166),""),"")</f>
        <v>3.73525345555854</v>
      </c>
      <c r="U433" s="262">
        <f>IFERROR(IF(AND(COUNT(Q166,S166,T166,U166)=4,(Q166+S166+T166+U166)&lt;&gt;0),((N(U309)+N(U310)+N(U311)+N(U314)+N(U332)+N(U335))-N(U241))/(Q166+S166+T166+U166),""),"")</f>
        <v>3.71369387022224</v>
      </c>
      <c r="V433" s="262">
        <f>IFERROR(IF(AND(COUNT(S166,T166,U166,V166)=4,(S166+T166+U166+V166)&lt;&gt;0),((N(V309)+N(V310)+N(V311)+N(V314)+N(V332)+N(V335))-N(V241))/(S166+T166+U166+V166),""),"")</f>
        <v>3.63861038463204</v>
      </c>
      <c r="W433" s="262">
        <f>IFERROR(IF(AND(COUNT(S166,T166,U166,V166)=4,(S166+T166+U166+V166)&lt;&gt;0),((N(W309)+N(W310)+N(W311)+N(W314)+N(W332)+N(W335))-N(W241))/(S166+T166+U166+V166),""),"")</f>
        <v>3.63861038463204</v>
      </c>
      <c r="X433" s="262">
        <f>IFERROR(IF(AND(COUNT(T166,U166,V166,X166)=4,(T166+U166+V166+X166)&lt;&gt;0),((N(X309)+N(X310)+N(X311)+N(X314)+N(X332)+N(X335))-N(X241))/(T166+U166+V166+X166),""),"")</f>
        <v>3.57673274080965</v>
      </c>
      <c r="Y433" s="262">
        <f>IFERROR(IF(AND(COUNT(U166,V166,X166,Y166)=4,(U166+V166+X166+Y166)&lt;&gt;0),((N(Y309)+N(Y310)+N(Y311)+N(Y314)+N(Y332)+N(Y335))-N(Y241))/(U166+V166+X166+Y166),""),"")</f>
        <v>3.36238735804357</v>
      </c>
      <c r="Z433" s="262">
        <f>IFERROR(IF(AND(COUNT(V166,X166,Y166,Z166)=4,(V166+X166+Y166+Z166)&lt;&gt;0),((N(Z309)+N(Z310)+N(Z311)+N(Z314)+N(Z332)+N(Z335))-N(Z241))/(V166+X166+Y166+Z166),""),"")</f>
        <v>3.15700939805358</v>
      </c>
      <c r="AA433" s="262">
        <f>IFERROR(IF(AND(COUNT(X166,Y166,Z166,AA166)=4,(X166+Y166+Z166+AA166)&lt;&gt;0),((N(AA309)+N(AA310)+N(AA311)+N(AA314)+N(AA332)+N(AA335))-N(AA241))/(X166+Y166+Z166+AA166),""),"")</f>
        <v>3.14374862241888</v>
      </c>
      <c r="AB433" s="262">
        <f>IFERROR(IF(AND(COUNT(X166,Y166,Z166,AA166)=4,(X166+Y166+Z166+AA166)&lt;&gt;0),((N(AB309)+N(AB310)+N(AB311)+N(AB314)+N(AB332)+N(AB335))-N(AB241))/(X166+Y166+Z166+AA166),""),"")</f>
        <v>3.14374862241888</v>
      </c>
      <c r="AC433" s="262">
        <f>IFERROR(IF(AND(COUNT(Y166,Z166,AA166,AC166)=4,(Y166+Z166+AA166+AC166)&lt;&gt;0),((N(AC309)+N(AC310)+N(AC311)+N(AC314)+N(AC332)+N(AC335))-N(AC241))/(Y166+Z166+AA166+AC166),""),"")</f>
        <v>2.97471007526063</v>
      </c>
      <c r="AD433" s="262">
        <f>IFERROR(IF(AND(COUNT(Z166,AA166,AC166,AD166)=4,(Z166+AA166+AC166+AD166)&lt;&gt;0),((N(AD309)+N(AD310)+N(AD311)+N(AD314)+N(AD332)+N(AD335))-N(AD241))/(Z166+AA166+AC166+AD166),""),"")</f>
        <v>3.09360530652357</v>
      </c>
      <c r="AE433" s="262">
        <f>IFERROR(IF(AND(COUNT(AA166,AC166,AD166,AE166)=4,(AA166+AC166+AD166+AE166)&lt;&gt;0),((N(AE309)+N(AE310)+N(AE311)+N(AE314)+N(AE332)+N(AE335))-N(AE241))/(AA166+AC166+AD166+AE166),""),"")</f>
        <v>3.13288294846125</v>
      </c>
      <c r="AF433" s="262">
        <f>IFERROR(IF(AND(COUNT(AB166,AD166,AE166,AF166)=4,(AB166+AD166+AE166+AF166)&lt;&gt;0),((N(AF309)+N(AF310)+N(AF311)+N(AF314)+N(AF332)+N(AF335))-N(AF241))/(AB166+AD166+AE166+AF166),""),"")</f>
        <v>1.86243954841645</v>
      </c>
      <c r="AG433" s="262">
        <f>IFERROR(IF(AND(COUNT(AC166,AD166,AE166,AF166)=4,(AC166+AD166+AE166+AF166)&lt;&gt;0),((N(AG309)+N(AG310)+N(AG311)+N(AG314)+N(AG332)+N(AG335))-N(AG241))/(AC166+AD166+AE166+AF166),""),"")</f>
        <v>3.12852445285581</v>
      </c>
      <c r="AH433" s="262">
        <f>IFERROR(IF(AND(COUNT(AD166,AF166,AG166,AH166)=4,(AD166+AF166+AG166+AH166)&lt;&gt;0),((N(AH309)+N(AH310)+N(AH311)+N(AH314)+N(AH332)+N(AH335))-N(AH241))/(AD166+AF166+AG166+AH166),""),"")</f>
        <v>1.78000886045095</v>
      </c>
      <c r="AI433" s="262">
        <f>IFERROR(IF(AND(COUNT(AE166,AG166,AH166,AI166)=4,(AE166+AG166+AH166+AI166)&lt;&gt;0),((N(AI309)+N(AI310)+N(AI311)+N(AI314)+N(AI332)+N(AI335))-N(AI241))/(AE166+AG166+AH166+AI166),""),"")</f>
        <v>1.73875273406709</v>
      </c>
      <c r="AJ433" s="262">
        <f>IFERROR(IF(AND(COUNT(AF166,AH166,AI166,AJ166)=4,(AF166+AH166+AI166+AJ166)&lt;&gt;0),((N(AJ309)+N(AJ310)+N(AJ311)+N(AJ314)+N(AJ332)+N(AJ335))-N(AJ241))/(AF166+AH166+AI166+AJ166),""),"")</f>
        <v>2.64460975350744</v>
      </c>
      <c r="AK433" s="262">
        <f>IFERROR(IF(AND(COUNT(AH166,AI166,AJ166,AK166)=4,(AH166+AI166+AJ166+AK166)&lt;&gt;0),((N(AK309)+N(AK310)+N(AK311)+N(AK314)+N(AK332)+N(AK335))-N(AK241))/(AH166+AI166+AJ166+AK166),""),"")</f>
        <v>2.31139679391318</v>
      </c>
      <c r="AL433" s="262">
        <f>IFERROR(IF(AND(COUNT(AH166,AI166,AJ166,AK166)=4,(AH166+AI166+AJ166+AK166)&lt;&gt;0),((N(AL309)+N(AL310)+N(AL311)+N(AL314)+N(AL332)+N(AL335))-N(AL241))/(AH166+AI166+AJ166+AK166),""),"")</f>
        <v>2.31139679391318</v>
      </c>
      <c r="AM433" s="262">
        <f>IFERROR(IF(AND(COUNT(AI166,AJ166,AK166,AM166)=4,(AI166+AJ166+AK166+AM166)&lt;&gt;0),((N(AM309)+N(AM310)+N(AM311)+N(AM314)+N(AM332)+N(AM335))-N(AM241))/(AI166+AJ166+AK166+AM166),""),"")</f>
        <v>1.95113895615814</v>
      </c>
      <c r="AN433" s="262">
        <f>IFERROR(IF(AND(COUNT(AJ166,AK166,AM166,AN166)=4,(AJ166+AK166+AM166+AN166)&lt;&gt;0),((N(AN309)+N(AN310)+N(AN311)+N(AN314)+N(AN332)+N(AN335))-N(AN241))/(AJ166+AK166+AM166+AN166),""),"")</f>
        <v>1.5405820280085</v>
      </c>
      <c r="AO433" s="262">
        <f>IFERROR(IF(AND(COUNT(AK166,AM166,AN166,AO166)=4,(AK166+AM166+AN166+AO166)&lt;&gt;0),((N(AO309)+N(AO310)+N(AO311)+N(AO314)+N(AO332)+N(AO335))-N(AO241))/(AK166+AM166+AN166+AO166),""),"")</f>
        <v>1.28457826741887</v>
      </c>
      <c r="AP433" s="262">
        <f>IFERROR(IF(AND(COUNT(AM166,AN166,AO166,AP166)=4,(AM166+AN166+AO166+AP166)&lt;&gt;0),((N(AP309)+N(AP310)+N(AP311)+N(AP314)+N(AP332)+N(AP335))-N(AP241))/(AM166+AN166+AO166+AP166),""),"")</f>
        <v>1.00089662394041</v>
      </c>
      <c r="AQ433" s="262">
        <f>IFERROR(IF(AND(COUNT(AM166,AN166,AO166,AP166)=4,(AM166+AN166+AO166+AP166)&lt;&gt;0),((N(AQ309)+N(AQ310)+N(AQ311)+N(AQ314)+N(AQ332)+N(AQ335))-N(AQ241))/(AM166+AN166+AO166+AP166),""),"")</f>
        <v>1.00089662394041</v>
      </c>
      <c r="AR433" s="262">
        <f>IFERROR(IF(AND(COUNT(AN166,AO166,AP166,AR166)=4,(AN166+AO166+AP166+AR166)&lt;&gt;0),((N(AR309)+N(AR310)+N(AR311)+N(AR314)+N(AR332)+N(AR335))-N(AR241))/(AN166+AO166+AP166+AR166),""),"")</f>
        <v>0.716602923716416</v>
      </c>
      <c r="AS433" s="262">
        <f>IFERROR(IF(AND(COUNT(AO166,AP166,AR166,AS166)=4,(AO166+AP166+AR166+AS166)&lt;&gt;0),((N(AS309)+N(AS310)+N(AS311)+N(AS314)+N(AS332)+N(AS335))-N(AS241))/(AO166+AP166+AR166+AS166),""),"")</f>
        <v>0.381565176567455</v>
      </c>
      <c r="AT433" s="262">
        <f>IFERROR(IF(AND(COUNT(AP166,AR166,AS166,AT166)=4,(AP166+AR166+AS166+AT166)&lt;&gt;0),((N(AT309)+N(AT310)+N(AT311)+N(AT314)+N(AT332)+N(AT335))-N(AT241))/(AP166+AR166+AS166+AT166),""),"")</f>
        <v>0.151422471120367</v>
      </c>
      <c r="AU433" s="262">
        <f>IFERROR(IF(AND(COUNT(AR166,AS166,AT166,AU166)=4,(AR166+AS166+AT166+AU166)&lt;&gt;0),((N(AU309)+N(AU310)+N(AU311)+N(AU314)+N(AU332)+N(AU335))-N(AU241))/(AR166+AS166+AT166+AU166),""),"")</f>
        <v>-0.102953214141306</v>
      </c>
      <c r="AV433" s="262">
        <f>IFERROR(IF(AND(COUNT(AR166,AS166,AT166,AU166)=4,(AR166+AS166+AT166+AU166)&lt;&gt;0),((N(AV309)+N(AV310)+N(AV311)+N(AV314)+N(AV332)+N(AV335))-N(AV241))/(AR166+AS166+AT166+AU166),""),"")</f>
        <v>-0.102953214141306</v>
      </c>
      <c r="AW433" s="262">
        <f>IFERROR(IF(AND(COUNT(AS166,AT166,AU166,AW166)=4,(AS166+AT166+AU166+AW166)&lt;&gt;0),((N(AW309)+N(AW310)+N(AW311)+N(AW314)+N(AW332)+N(AW335))-N(AW241))/(AS166+AT166+AU166+AW166),""),"")</f>
        <v>-0.358940121510117</v>
      </c>
      <c r="AX433" s="262">
        <f>IFERROR(IF(AND(COUNT(AT166,AU166,AW166,AX166)=4,(AT166+AU166+AW166+AX166)&lt;&gt;0),((N(AX309)+N(AX310)+N(AX311)+N(AX314)+N(AX332)+N(AX335))-N(AX241))/(AT166+AU166+AW166+AX166),""),"")</f>
        <v>-0.659350649012165</v>
      </c>
      <c r="AY433" s="262">
        <f>IFERROR(IF(AND(COUNT(AU166,AW166,AX166,AY166)=4,(AU166+AW166+AX166+AY166)&lt;&gt;0),((N(AY309)+N(AY310)+N(AY311)+N(AY314)+N(AY332)+N(AY335))-N(AY241))/(AU166+AW166+AX166+AY166),""),"")</f>
        <v>-0.873487382216751</v>
      </c>
      <c r="AZ433" s="262">
        <f>IFERROR(IF(AND(COUNT(AW166,AX166,AY166,AZ166)=4,(AW166+AX166+AY166+AZ166)&lt;&gt;0),((N(AZ309)+N(AZ310)+N(AZ311)+N(AZ314)+N(AZ332)+N(AZ335))-N(AZ241))/(AW166+AX166+AY166+AZ166),""),"")</f>
        <v>-1.10929135880277</v>
      </c>
      <c r="BA433" s="262">
        <f>IFERROR(IF(AND(COUNT(AW166,AX166,AY166,AZ166)=4,(AW166+AX166+AY166+AZ166)&lt;&gt;0),((N(BA309)+N(BA310)+N(BA311)+N(BA314)+N(BA332)+N(BA335))-N(BA241))/(AW166+AX166+AY166+AZ166),""),"")</f>
        <v>-1.10929135880277</v>
      </c>
      <c r="BB433" s="262">
        <f>IFERROR(IF(AND(COUNT(AX166,AY166,AZ166,BB166)=4,(AX166+AY166+AZ166+BB166)&lt;&gt;0),((N(BB309)+N(BB310)+N(BB311)+N(BB314)+N(BB332)+N(BB335))-N(BB241))/(AX166+AY166+AZ166+BB166),""),"")</f>
        <v>-1.34799261332475</v>
      </c>
      <c r="BC433" s="262">
        <f>IFERROR(IF(AND(COUNT(AY166,AZ166,BB166,BC166)=4,(AY166+AZ166+BB166+BC166)&lt;&gt;0),((N(BC309)+N(BC310)+N(BC311)+N(BC314)+N(BC332)+N(BC335))-N(BC241))/(AY166+AZ166+BB166+BC166),""),"")</f>
        <v>-1.62579051983242</v>
      </c>
      <c r="BD433" s="262">
        <f>IFERROR(IF(AND(COUNT(AZ166,BB166,BC166,BD166)=4,(AZ166+BB166+BC166+BD166)&lt;&gt;0),((N(BD309)+N(BD310)+N(BD311)+N(BD314)+N(BD332)+N(BD335))-N(BD241))/(AZ166+BB166+BC166+BD166),""),"")</f>
        <v>-1.83401829001238</v>
      </c>
      <c r="BE433" s="262">
        <f>IFERROR(IF(AND(COUNT(BB166,BC166,BD166,BE166)=4,(BB166+BC166+BD166+BE166)&lt;&gt;0),((N(BE309)+N(BE310)+N(BE311)+N(BE314)+N(BE332)+N(BE335))-N(BE241))/(BB166+BC166+BD166+BE166),""),"")</f>
        <v>-2.06215346515098</v>
      </c>
      <c r="BF433" s="262">
        <f>IFERROR(IF(AND(COUNT(BB166,BC166,BD166,BE166)=4,(BB166+BC166+BD166+BE166)&lt;&gt;0),((N(BF309)+N(BF310)+N(BF311)+N(BF314)+N(BF332)+N(BF335))-N(BF241))/(BB166+BC166+BD166+BE166),""),"")</f>
        <v>-2.06215346515098</v>
      </c>
      <c r="BG433" s="82" t="n"/>
      <c r="BH433" s="82" t="n"/>
      <c r="BI433" s="82" t="n"/>
      <c r="BJ433" s="82" t="n"/>
      <c r="BL433" s="82" t="n"/>
      <c r="BM433" s="82" t="n"/>
      <c r="BN433" s="82" t="n"/>
      <c r="BO433" s="82" t="n"/>
      <c r="BQ433" s="82" t="n"/>
      <c r="BR433" s="82" t="n"/>
      <c r="BS433" s="82" t="n"/>
      <c r="BT433" s="82" t="n"/>
      <c r="BV433" s="82" t="n"/>
      <c r="BW433" s="82" t="n"/>
      <c r="BX433" s="82" t="n"/>
      <c r="BY433" s="82" t="n"/>
      <c r="CA433" s="82" t="n"/>
      <c r="CB433" s="82" t="n"/>
      <c r="CC433" s="82" t="n"/>
      <c r="CD433" s="82" t="n"/>
      <c r="CF433" s="82" t="n"/>
      <c r="CG433" s="82" t="n"/>
      <c r="CH433" s="82" t="n"/>
      <c r="CI433" s="82" t="n"/>
      <c r="CK433" s="82" t="n"/>
      <c r="CL433" s="82" t="n"/>
      <c r="CM433" s="82" t="n"/>
      <c r="CN433" s="82" t="n"/>
      <c r="CP433" s="82" t="n"/>
      <c r="CQ433" s="82" t="n"/>
      <c r="CR433" s="82" t="n"/>
      <c r="CS433" s="82" t="n"/>
      <c r="CU433" s="82" t="n"/>
      <c r="CV433" s="82" t="n"/>
      <c r="CW433" s="82" t="n"/>
      <c r="CX433" s="82" t="n"/>
    </row>
    <row r="434" customFormat="1" s="77">
      <c r="A434" s="76" t="n"/>
      <c r="B434" s="76" t="n"/>
      <c r="C434" s="83" t="inlineStr">
        <is>
          <t>NET DEBT (EX IFRS 16.) / EBITDA (LTM)</t>
        </is>
      </c>
      <c r="D434" s="82" t="str">
        <f>IFERROR(SUM((D309+D310+D314)-D241)/(D166*4),"")</f>
        <v/>
      </c>
      <c r="E434" s="82" t="str">
        <f>IFERROR(SUM((E309+E310+E314)-E241)/(E166*4),"")</f>
        <v/>
      </c>
      <c r="F434" s="82" t="str">
        <f>IFERROR(SUM((F309+F310+F314)-F241)/(F166*4),"")</f>
        <v/>
      </c>
      <c r="G434" s="82" t="str">
        <f>IFERROR(SUM((G309+G310+G314)-G241)/(G166*4),"")</f>
        <v/>
      </c>
      <c r="H434" s="262" t="str">
        <f>IFERROR(IF(AND(COUNT(H166)=1,(H166)&lt;&gt;0),((N(H309)+N(H310)+N(H314)+N(H335))-N(H241))/(H166),""),"")</f>
        <v/>
      </c>
      <c r="I434" s="262" t="str">
        <f>""</f>
        <v/>
      </c>
      <c r="J434" s="262" t="str">
        <f>""</f>
        <v/>
      </c>
      <c r="K434" s="262" t="str">
        <f>""</f>
        <v/>
      </c>
      <c r="L434" s="262">
        <f>IFERROR(IF(AND(COUNT(I166,J166,K166,L166)=4,(I166+J166+K166+L166)&lt;&gt;0),((N(L309)+N(L310)+N(L314)+N(L335))-N(L241))/(I166+J166+K166+L166),""),"")</f>
        <v>2.07345413762799</v>
      </c>
      <c r="M434" s="262">
        <f>IFERROR(IF(AND(COUNT(I166,J166,K166,L166)=4,(I166+J166+K166+L166)&lt;&gt;0),((N(M309)+N(M310)+N(M314)+N(M335))-N(M241))/(I166+J166+K166+L166),""),"")</f>
        <v>2.07345413762799</v>
      </c>
      <c r="N434" s="262">
        <f>IFERROR(IF(AND(COUNT(J166,K166,L166,N166)=4,(J166+K166+L166+N166)&lt;&gt;0),((N(N309)+N(N310)+N(N314)+N(N335))-N(N241))/(J166+K166+L166+N166),""),"")</f>
        <v>2.01495536541567</v>
      </c>
      <c r="O434" s="262">
        <f>IFERROR(IF(AND(COUNT(K166,L166,N166,O166)=4,(K166+L166+N166+O166)&lt;&gt;0),((N(O309)+N(O310)+N(O314)+N(O335))-N(O241))/(K166+L166+N166+O166),""),"")</f>
        <v>2.28925238937034</v>
      </c>
      <c r="P434" s="262">
        <f>IFERROR(IF(AND(COUNT(L166,N166,O166,P166)=4,(L166+N166+O166+P166)&lt;&gt;0),((N(P309)+N(P310)+N(P314)+N(P335))-N(P241))/(L166+N166+O166+P166),""),"")</f>
        <v>2.63047105646498</v>
      </c>
      <c r="Q434" s="262">
        <f>IFERROR(IF(AND(COUNT(N166,O166,P166,Q166)=4,(N166+O166+P166+Q166)&lt;&gt;0),((N(Q309)+N(Q310)+N(Q314)+N(Q335))-N(Q241))/(N166+O166+P166+Q166),""),"")</f>
        <v>2.9730861973351</v>
      </c>
      <c r="R434" s="262">
        <f>IFERROR(IF(AND(COUNT(N166,O166,P166,Q166)=4,(N166+O166+P166+Q166)&lt;&gt;0),((N(R309)+N(R310)+N(R314)+N(R335))-N(R241))/(N166+O166+P166+Q166),""),"")</f>
        <v>2.9730861973351</v>
      </c>
      <c r="S434" s="262">
        <f>IFERROR(IF(AND(COUNT(O166,P166,Q166,S166)=4,(O166+P166+Q166+S166)&lt;&gt;0),((N(S309)+N(S310)+N(S314)+N(S335))-N(S241))/(O166+P166+Q166+S166),""),"")</f>
        <v>3.30468438210752</v>
      </c>
      <c r="T434" s="262">
        <f>IFERROR(IF(AND(COUNT(P166,Q166,S166,T166)=4,(P166+Q166+S166+T166)&lt;&gt;0),((N(T309)+N(T310)+N(T314)+N(T335))-N(T241))/(P166+Q166+S166+T166),""),"")</f>
        <v>3.7195137834088</v>
      </c>
      <c r="U434" s="262">
        <f>IFERROR(IF(AND(COUNT(Q166,S166,T166,U166)=4,(Q166+S166+T166+U166)&lt;&gt;0),((N(U309)+N(U310)+N(U314)+N(U335))-N(U241))/(Q166+S166+T166+U166),""),"")</f>
        <v>3.69632518640586</v>
      </c>
      <c r="V434" s="262">
        <f>IFERROR(IF(AND(COUNT(S166,T166,U166,V166)=4,(S166+T166+U166+V166)&lt;&gt;0),((N(V309)+N(V310)+N(V314)+N(V335))-N(V241))/(S166+T166+U166+V166),""),"")</f>
        <v>3.61995580542568</v>
      </c>
      <c r="W434" s="262">
        <f>IFERROR(IF(AND(COUNT(S166,T166,U166,V166)=4,(S166+T166+U166+V166)&lt;&gt;0),((N(W309)+N(W310)+N(W314)+N(W335))-N(W241))/(S166+T166+U166+V166),""),"")</f>
        <v>3.61995580542568</v>
      </c>
      <c r="X434" s="262">
        <f>IFERROR(IF(AND(COUNT(T166,U166,V166,X166)=4,(T166+U166+V166+X166)&lt;&gt;0),((N(X309)+N(X310)+N(X314)+N(X335))-N(X241))/(T166+U166+V166+X166),""),"")</f>
        <v>3.55736786223519</v>
      </c>
      <c r="Y434" s="262">
        <f>IFERROR(IF(AND(COUNT(U166,V166,X166,Y166)=4,(U166+V166+X166+Y166)&lt;&gt;0),((N(Y309)+N(Y310)+N(Y314)+N(Y335))-N(Y241))/(U166+V166+X166+Y166),""),"")</f>
        <v>3.3444448213417</v>
      </c>
      <c r="Z434" s="262">
        <f>IFERROR(IF(AND(COUNT(V166,X166,Y166,Z166)=4,(V166+X166+Y166+Z166)&lt;&gt;0),((N(Z309)+N(Z310)+N(Z314)+N(Z335))-N(Z241))/(V166+X166+Y166+Z166),""),"")</f>
        <v>3.1405876265712</v>
      </c>
      <c r="AA434" s="262">
        <f>IFERROR(IF(AND(COUNT(X166,Y166,Z166,AA166)=4,(X166+Y166+Z166+AA166)&lt;&gt;0),((N(AA309)+N(AA310)+N(AA314)+N(AA335))-N(AA241))/(X166+Y166+Z166+AA166),""),"")</f>
        <v>3.1278148859534</v>
      </c>
      <c r="AB434" s="262">
        <f>IFERROR(IF(AND(COUNT(X166,Y166,Z166,AA166)=4,(X166+Y166+Z166+AA166)&lt;&gt;0),((N(AB309)+N(AB310)+N(AB314)+N(AB335))-N(AB241))/(X166+Y166+Z166+AA166),""),"")</f>
        <v>3.1278148859534</v>
      </c>
      <c r="AC434" s="262">
        <f>IFERROR(IF(AND(COUNT(Y166,Z166,AA166,AC166)=4,(Y166+Z166+AA166+AC166)&lt;&gt;0),((N(AC309)+N(AC310)+N(AC314)+N(AC335))-N(AC241))/(Y166+Z166+AA166+AC166),""),"")</f>
        <v>2.96077786931362</v>
      </c>
      <c r="AD434" s="262">
        <f>IFERROR(IF(AND(COUNT(Z166,AA166,AC166,AD166)=4,(Z166+AA166+AC166+AD166)&lt;&gt;0),((N(AD309)+N(AD310)+N(AD314)+N(AD335))-N(AD241))/(Z166+AA166+AC166+AD166),""),"")</f>
        <v>3.07911772843935</v>
      </c>
      <c r="AE434" s="262">
        <f>IFERROR(IF(AND(COUNT(AA166,AC166,AD166,AE166)=4,(AA166+AC166+AD166+AE166)&lt;&gt;0),((N(AE309)+N(AE310)+N(AE314)+N(AE335))-N(AE241))/(AA166+AC166+AD166+AE166),""),"")</f>
        <v>3.11856764338835</v>
      </c>
      <c r="AF434" s="262">
        <f>IFERROR(IF(AND(COUNT(AB166,AD166,AE166,AF166)=4,(AB166+AD166+AE166+AF166)&lt;&gt;0),((N(AF309)+N(AF310)+N(AF314)+N(AF335))-N(AF241))/(AB166+AD166+AE166+AF166),""),"")</f>
        <v>1.85765900026916</v>
      </c>
      <c r="AG434" s="262">
        <f>IFERROR(IF(AND(COUNT(AC166,AD166,AE166,AF166)=4,(AC166+AD166+AE166+AF166)&lt;&gt;0),((N(AG309)+N(AG310)+N(AG314)+N(AG335))-N(AG241))/(AC166+AD166+AE166+AF166),""),"")</f>
        <v>3.12049409192969</v>
      </c>
      <c r="AH434" s="262">
        <f>IFERROR(IF(AND(COUNT(AD166,AF166,AG166,AH166)=4,(AD166+AF166+AG166+AH166)&lt;&gt;0),((N(AH309)+N(AH310)+N(AH314)+N(AH335))-N(AH241))/(AD166+AF166+AG166+AH166),""),"")</f>
        <v>1.7758618945446</v>
      </c>
      <c r="AI434" s="262">
        <f>IFERROR(IF(AND(COUNT(AE166,AG166,AH166,AI166)=4,(AE166+AG166+AH166+AI166)&lt;&gt;0),((N(AI309)+N(AI310)+N(AI314)+N(AI335))-N(AI241))/(AE166+AG166+AH166+AI166),""),"")</f>
        <v>1.73452156039798</v>
      </c>
      <c r="AJ434" s="262">
        <f>IFERROR(IF(AND(COUNT(AF166,AH166,AI166,AJ166)=4,(AF166+AH166+AI166+AJ166)&lt;&gt;0),((N(AJ309)+N(AJ310)+N(AJ314)+N(AJ335))-N(AJ241))/(AF166+AH166+AI166+AJ166),""),"")</f>
        <v>2.63765157426504</v>
      </c>
      <c r="AK434" s="262">
        <f>IFERROR(IF(AND(COUNT(AH166,AI166,AJ166,AK166)=4,(AH166+AI166+AJ166+AK166)&lt;&gt;0),((N(AK309)+N(AK310)+N(AK314)+N(AK335))-N(AK241))/(AH166+AI166+AJ166+AK166),""),"")</f>
        <v>2.30469205687828</v>
      </c>
      <c r="AL434" s="262">
        <f>IFERROR(IF(AND(COUNT(AH166,AI166,AJ166,AK166)=4,(AH166+AI166+AJ166+AK166)&lt;&gt;0),((N(AL309)+N(AL310)+N(AL314)+N(AL335))-N(AL241))/(AH166+AI166+AJ166+AK166),""),"")</f>
        <v>2.30469205687828</v>
      </c>
      <c r="AM434" s="262">
        <f>IFERROR(IF(AND(COUNT(AI166,AJ166,AK166,AM166)=4,(AI166+AJ166+AK166+AM166)&lt;&gt;0),((N(AM309)+N(AM310)+N(AM314)+N(AM335))-N(AM241))/(AI166+AJ166+AK166+AM166),""),"")</f>
        <v>1.94476992507489</v>
      </c>
      <c r="AN434" s="262">
        <f>IFERROR(IF(AND(COUNT(AJ166,AK166,AM166,AN166)=4,(AJ166+AK166+AM166+AN166)&lt;&gt;0),((N(AN309)+N(AN310)+N(AN314)+N(AN335))-N(AN241))/(AJ166+AK166+AM166+AN166),""),"")</f>
        <v>1.53459018880135</v>
      </c>
      <c r="AO434" s="262">
        <f>IFERROR(IF(AND(COUNT(AK166,AM166,AN166,AO166)=4,(AK166+AM166+AN166+AO166)&lt;&gt;0),((N(AO309)+N(AO310)+N(AO314)+N(AO335))-N(AO241))/(AK166+AM166+AN166+AO166),""),"")</f>
        <v>1.27876878550349</v>
      </c>
      <c r="AP434" s="262">
        <f>IFERROR(IF(AND(COUNT(AM166,AN166,AO166,AP166)=4,(AM166+AN166+AO166+AP166)&lt;&gt;0),((N(AP309)+N(AP310)+N(AP314)+N(AP335))-N(AP241))/(AM166+AN166+AO166+AP166),""),"")</f>
        <v>0.995293139287387</v>
      </c>
      <c r="AQ434" s="262">
        <f>IFERROR(IF(AND(COUNT(AM166,AN166,AO166,AP166)=4,(AM166+AN166+AO166+AP166)&lt;&gt;0),((N(AQ309)+N(AQ310)+N(AQ314)+N(AQ335))-N(AQ241))/(AM166+AN166+AO166+AP166),""),"")</f>
        <v>0.995293139287387</v>
      </c>
      <c r="AR434" s="262">
        <f>IFERROR(IF(AND(COUNT(AN166,AO166,AP166,AR166)=4,(AN166+AO166+AP166+AR166)&lt;&gt;0),((N(AR309)+N(AR310)+N(AR314)+N(AR335))-N(AR241))/(AN166+AO166+AP166+AR166),""),"")</f>
        <v>0.711199837124407</v>
      </c>
      <c r="AS434" s="262">
        <f>IFERROR(IF(AND(COUNT(AO166,AP166,AR166,AS166)=4,(AO166+AP166+AR166+AS166)&lt;&gt;0),((N(AS309)+N(AS310)+N(AS314)+N(AS335))-N(AS241))/(AO166+AP166+AR166+AS166),""),"")</f>
        <v>0.376401422165463</v>
      </c>
      <c r="AT434" s="262">
        <f>IFERROR(IF(AND(COUNT(AP166,AR166,AS166,AT166)=4,(AP166+AR166+AS166+AT166)&lt;&gt;0),((N(AT309)+N(AT310)+N(AT314)+N(AT335))-N(AT241))/(AP166+AR166+AS166+AT166),""),"")</f>
        <v>0.146411567332035</v>
      </c>
      <c r="AU434" s="262">
        <f>IFERROR(IF(AND(COUNT(AR166,AS166,AT166,AU166)=4,(AR166+AS166+AT166+AU166)&lt;&gt;0),((N(AU309)+N(AU310)+N(AU314)+N(AU335))-N(AU241))/(AR166+AS166+AT166+AU166),""),"")</f>
        <v>-0.107791136000351</v>
      </c>
      <c r="AV434" s="262">
        <f>IFERROR(IF(AND(COUNT(AR166,AS166,AT166,AU166)=4,(AR166+AS166+AT166+AU166)&lt;&gt;0),((N(AV309)+N(AV310)+N(AV314)+N(AV335))-N(AV241))/(AR166+AS166+AT166+AU166),""),"")</f>
        <v>-0.107791136000351</v>
      </c>
      <c r="AW434" s="262">
        <f>IFERROR(IF(AND(COUNT(AS166,AT166,AU166,AW166)=4,(AS166+AT166+AU166+AW166)&lt;&gt;0),((N(AW309)+N(AW310)+N(AW314)+N(AW335))-N(AW241))/(AS166+AT166+AU166+AW166),""),"")</f>
        <v>-0.363610301580969</v>
      </c>
      <c r="AX434" s="262">
        <f>IFERROR(IF(AND(COUNT(AT166,AU166,AW166,AX166)=4,(AT166+AU166+AW166+AX166)&lt;&gt;0),((N(AX309)+N(AX310)+N(AX314)+N(AX335))-N(AX241))/(AT166+AU166+AW166+AX166),""),"")</f>
        <v>-0.663819999785747</v>
      </c>
      <c r="AY434" s="262">
        <f>IFERROR(IF(AND(COUNT(AU166,AW166,AX166,AY166)=4,(AU166+AW166+AX166+AY166)&lt;&gt;0),((N(AY309)+N(AY310)+N(AY314)+N(AY335))-N(AY241))/(AU166+AW166+AX166+AY166),""),"")</f>
        <v>-0.877828187834168</v>
      </c>
      <c r="AZ434" s="262">
        <f>IFERROR(IF(AND(COUNT(AW166,AX166,AY166,AZ166)=4,(AW166+AX166+AY166+AZ166)&lt;&gt;0),((N(AZ309)+N(AZ310)+N(AZ314)+N(AZ335))-N(AZ241))/(AW166+AX166+AY166+AZ166),""),"")</f>
        <v>-1.11348642067542</v>
      </c>
      <c r="BA434" s="262">
        <f>IFERROR(IF(AND(COUNT(AW166,AX166,AY166,AZ166)=4,(AW166+AX166+AY166+AZ166)&lt;&gt;0),((N(BA309)+N(BA310)+N(BA314)+N(BA335))-N(BA241))/(AW166+AX166+AY166+AZ166),""),"")</f>
        <v>-1.11348642067542</v>
      </c>
      <c r="BB434" s="262">
        <f>IFERROR(IF(AND(COUNT(AX166,AY166,AZ166,BB166)=4,(AX166+AY166+AZ166+BB166)&lt;&gt;0),((N(BB309)+N(BB310)+N(BB314)+N(BB335))-N(BB241))/(AX166+AY166+AZ166+BB166),""),"")</f>
        <v>-1.35204680930771</v>
      </c>
      <c r="BC434" s="262">
        <f>IFERROR(IF(AND(COUNT(AY166,AZ166,BB166,BC166)=4,(AY166+AZ166+BB166+BC166)&lt;&gt;0),((N(BC309)+N(BC310)+N(BC314)+N(BC335))-N(BC241))/(AY166+AZ166+BB166+BC166),""),"")</f>
        <v>-1.62967564348973</v>
      </c>
      <c r="BD434" s="262">
        <f>IFERROR(IF(AND(COUNT(AZ166,BB166,BC166,BD166)=4,(AZ166+BB166+BC166+BD166)&lt;&gt;0),((N(BD309)+N(BD310)+N(BD314)+N(BD335))-N(BD241))/(AZ166+BB166+BC166+BD166),""),"")</f>
        <v>-1.83779495405035</v>
      </c>
      <c r="BE434" s="262">
        <f>IFERROR(IF(AND(COUNT(BB166,BC166,BD166,BE166)=4,(BB166+BC166+BD166+BE166)&lt;&gt;0),((N(BE309)+N(BE310)+N(BE314)+N(BE335))-N(BE241))/(BB166+BC166+BD166+BE166),""),"")</f>
        <v>-2.06580692983736</v>
      </c>
      <c r="BF434" s="262">
        <f>IFERROR(IF(AND(COUNT(BB166,BC166,BD166,BE166)=4,(BB166+BC166+BD166+BE166)&lt;&gt;0),((N(BF309)+N(BF310)+N(BF314)+N(BF335))-N(BF241))/(BB166+BC166+BD166+BE166),""),"")</f>
        <v>-2.06580692983736</v>
      </c>
      <c r="BG434" s="82" t="n"/>
      <c r="BH434" s="82" t="n"/>
      <c r="BI434" s="82" t="n"/>
      <c r="BJ434" s="82" t="n"/>
      <c r="BL434" s="82" t="n"/>
      <c r="BM434" s="82" t="n"/>
      <c r="BN434" s="82" t="n"/>
      <c r="BO434" s="82" t="n"/>
      <c r="BQ434" s="82" t="n"/>
      <c r="BR434" s="82" t="n"/>
      <c r="BS434" s="82" t="n"/>
      <c r="BT434" s="82" t="n"/>
      <c r="BV434" s="82" t="n"/>
      <c r="BW434" s="82" t="n"/>
      <c r="BX434" s="82" t="n"/>
      <c r="BY434" s="82" t="n"/>
      <c r="CA434" s="82" t="n"/>
      <c r="CB434" s="82" t="n"/>
      <c r="CC434" s="82" t="n"/>
      <c r="CD434" s="82" t="n"/>
      <c r="CF434" s="82" t="n"/>
      <c r="CG434" s="82" t="n"/>
      <c r="CH434" s="82" t="n"/>
      <c r="CI434" s="82" t="n"/>
      <c r="CK434" s="82" t="n"/>
      <c r="CL434" s="82" t="n"/>
      <c r="CM434" s="82" t="n"/>
      <c r="CN434" s="82" t="n"/>
      <c r="CP434" s="82" t="n"/>
      <c r="CQ434" s="82" t="n"/>
      <c r="CR434" s="82" t="n"/>
      <c r="CS434" s="82" t="n"/>
      <c r="CU434" s="82" t="n"/>
      <c r="CV434" s="82" t="n"/>
      <c r="CW434" s="82" t="n"/>
      <c r="CX434" s="82" t="n"/>
    </row>
    <row r="435" customFormat="1" s="77">
      <c r="A435" s="76" t="n"/>
      <c r="B435" s="76" t="n"/>
      <c r="C435" s="77" t="inlineStr">
        <is>
          <t>INTEREST COVERAGE (EBIT / INTEREST, LTM)</t>
        </is>
      </c>
      <c r="D435" s="82" t="str">
        <f>IFERROR(D170/-D171,"")</f>
        <v/>
      </c>
      <c r="E435" s="82" t="str">
        <f>IFERROR(E170/-E171,"")</f>
        <v/>
      </c>
      <c r="F435" s="82" t="str">
        <f>IFERROR(F170/-F171,"")</f>
        <v/>
      </c>
      <c r="G435" s="82" t="str">
        <f>IFERROR(G170/-G171,"")</f>
        <v/>
      </c>
      <c r="H435" s="262" t="str">
        <f>IFERROR(IF(AND(COUNT(H170)=1,(H171)&lt;&gt;0),(H170)/-(H171),""),"")</f>
        <v/>
      </c>
      <c r="I435" s="262" t="str">
        <f>""</f>
        <v/>
      </c>
      <c r="J435" s="262" t="str">
        <f>""</f>
        <v/>
      </c>
      <c r="K435" s="262" t="str">
        <f>""</f>
        <v/>
      </c>
      <c r="L435" s="262">
        <f>IFERROR(IF(AND(COUNT(I170,J170,K170,L170)=4,(I171+J171+K171+L171)&lt;&gt;0),(I170+J170+K170+L170)/-(I171+J171+K171+L171),""),"")</f>
        <v>4.26659274530814</v>
      </c>
      <c r="M435" s="262">
        <f>IFERROR(IF(AND(COUNT(I170,J170,K170,L170)=4,(I171+J171+K171+L171)&lt;&gt;0),(I170+J170+K170+L170)/-(I171+J171+K171+L171),""),"")</f>
        <v>4.26659274530814</v>
      </c>
      <c r="N435" s="262">
        <f>IFERROR(IF(AND(COUNT(J170,K170,L170,N170)=4,(J171+K171+L171+N171)&lt;&gt;0),(J170+K170+L170+N170)/-(J171+K171+L171+N171),""),"")</f>
        <v>3.6682101319058</v>
      </c>
      <c r="O435" s="262">
        <f>IFERROR(IF(AND(COUNT(K170,L170,N170,O170)=4,(K171+L171+N171+O171)&lt;&gt;0),(K170+L170+N170+O170)/-(K171+L171+N171+O171),""),"")</f>
        <v>2.89653291940259</v>
      </c>
      <c r="P435" s="262">
        <f>IFERROR(IF(AND(COUNT(L170,N170,O170,P170)=4,(L171+N171+O171+P171)&lt;&gt;0),(L170+N170+O170+P170)/-(L171+N171+O171+P171),""),"")</f>
        <v>2.66113139978783</v>
      </c>
      <c r="Q435" s="262">
        <f>IFERROR(IF(AND(COUNT(N170,O170,P170,Q170)=4,(N171+O171+P171+Q171)&lt;&gt;0),(N170+O170+P170+Q170)/-(N171+O171+P171+Q171),""),"")</f>
        <v>2.422015870193</v>
      </c>
      <c r="R435" s="262">
        <f>IFERROR(IF(AND(COUNT(N170,O170,P170,Q170)=4,(N171+O171+P171+Q171)&lt;&gt;0),(N170+O170+P170+Q170)/-(N171+O171+P171+Q171),""),"")</f>
        <v>2.422015870193</v>
      </c>
      <c r="S435" s="262">
        <f>IFERROR(IF(AND(COUNT(O170,P170,Q170,S170)=4,(O171+P171+Q171+S171)&lt;&gt;0),(O170+P170+Q170+S170)/-(O171+P171+Q171+S171),""),"")</f>
        <v>2.10643714249028</v>
      </c>
      <c r="T435" s="262">
        <f>IFERROR(IF(AND(COUNT(P170,Q170,S170,T170)=4,(P171+Q171+S171+T171)&lt;&gt;0),(P170+Q170+S170+T170)/-(P171+Q171+S171+T171),""),"")</f>
        <v>2.04003712358212</v>
      </c>
      <c r="U435" s="262">
        <f>IFERROR(IF(AND(COUNT(Q170,S170,T170,U170)=4,(Q171+S171+T171+U171)&lt;&gt;0),(Q170+S170+T170+U170)/-(Q171+S171+T171+U171),""),"")</f>
        <v>1.88814843314225</v>
      </c>
      <c r="V435" s="262">
        <f>IFERROR(IF(AND(COUNT(S170,T170,U170,V170)=4,(S171+T171+U171+V171)&lt;&gt;0),(S170+T170+U170+V170)/-(S171+T171+U171+V171),""),"")</f>
        <v>1.9863669844188</v>
      </c>
      <c r="W435" s="262">
        <f>IFERROR(IF(AND(COUNT(S170,T170,U170,V170)=4,(S171+T171+U171+V171)&lt;&gt;0),(S170+T170+U170+V170)/-(S171+T171+U171+V171),""),"")</f>
        <v>1.9863669844188</v>
      </c>
      <c r="X435" s="262">
        <f>IFERROR(IF(AND(COUNT(T170,U170,V170,X170)=4,(T171+U171+V171+X171)&lt;&gt;0),(T170+U170+V170+X170)/-(T171+U171+V171+X171),""),"")</f>
        <v>2.02592477425031</v>
      </c>
      <c r="Y435" s="262">
        <f>IFERROR(IF(AND(COUNT(U170,V170,X170,Y170)=4,(U171+V171+X171+Y171)&lt;&gt;0),(U170+V170+X170+Y170)/-(U171+V171+X171+Y171),""),"")</f>
        <v>2.14114371347908</v>
      </c>
      <c r="Z435" s="262">
        <f>IFERROR(IF(AND(COUNT(V170,X170,Y170,Z170)=4,(V171+X171+Y171+Z171)&lt;&gt;0),(V170+X170+Y170+Z170)/-(V171+X171+Y171+Z171),""),"")</f>
        <v>2.26560572458244</v>
      </c>
      <c r="AA435" s="262">
        <f>IFERROR(IF(AND(COUNT(X170,Y170,Z170,AA170)=4,(X171+Y171+Z171+AA171)&lt;&gt;0),(X170+Y170+Z170+AA170)/-(X171+Y171+Z171+AA171),""),"")</f>
        <v>2.2444549883222</v>
      </c>
      <c r="AB435" s="262">
        <f>IFERROR(IF(AND(COUNT(X170,Y170,Z170,AA170)=4,(X171+Y171+Z171+AA171)&lt;&gt;0),(X170+Y170+Z170+AA170)/-(X171+Y171+Z171+AA171),""),"")</f>
        <v>2.2444549883222</v>
      </c>
      <c r="AC435" s="262">
        <f>IFERROR(IF(AND(COUNT(Y170,Z170,AA170,AC170)=4,(Y171+Z171+AA171+AC171)&lt;&gt;0),(Y170+Z170+AA170+AC170)/-(Y171+Z171+AA171+AC171),""),"")</f>
        <v>2.20338385810541</v>
      </c>
      <c r="AD435" s="262">
        <f>IFERROR(IF(AND(COUNT(Z170,AA170,AC170,AD170)=4,(Z171+AA171+AC171+AD171)&lt;&gt;0),(Z170+AA170+AC170+AD170)/-(Z171+AA171+AC171+AD171),""),"")</f>
        <v>2.11003662555063</v>
      </c>
      <c r="AE435" s="262">
        <f>IFERROR(IF(AND(COUNT(AA170,AC170,AD170,AE170)=4,(AA171+AC171+AD171+AE171)&lt;&gt;0),(AA170+AC170+AD170+AE170)/-(AA171+AC171+AD171+AE171),""),"")</f>
        <v>2.07726773026276</v>
      </c>
      <c r="AF435" s="262">
        <f>IFERROR(IF(AND(COUNT(AB170,AD170,AE170,AF170)=4,(AB171+AD171+AE171+AF171)&lt;&gt;0),(AB170+AD170+AE170+AF170)/-(AB171+AD171+AE171+AF171),""),"")</f>
        <v>2.18211099479929</v>
      </c>
      <c r="AG435" s="262">
        <f>IFERROR(IF(AND(COUNT(AC170,AD170,AE170,AF170)=4,(AC171+AD171+AE171+AF171)&lt;&gt;0),(AC170+AD170+AE170+AF170)/-(AC171+AD171+AE171+AF171),""),"")</f>
        <v>2.12428937427182</v>
      </c>
      <c r="AH435" s="262">
        <f>IFERROR(IF(AND(COUNT(AD170,AF170,AG170,AH170)=4,(AD171+AF171+AG171+AH171)&lt;&gt;0),(AD170+AF170+AG170+AH170)/-(AD171+AF171+AG171+AH171),""),"")</f>
        <v>2.11746137648491</v>
      </c>
      <c r="AI435" s="262">
        <f>IFERROR(IF(AND(COUNT(AE170,AG170,AH170,AI170)=4,(AE171+AG171+AH171+AI171)&lt;&gt;0),(AE170+AG170+AH170+AI170)/-(AE171+AG171+AH171+AI171),""),"")</f>
        <v>2.150789838372</v>
      </c>
      <c r="AJ435" s="262" t="str">
        <f>IFERROR(IF(AND(COUNT(AF170,AH170,AI170,AJ170)=4,(AF171+AH171+AI171+AJ171)&lt;&gt;0),(AF170+AH170+AI170+AJ170)/-(AF171+AH171+AI171+AJ171),""),"")</f>
        <v/>
      </c>
      <c r="AK435" s="262" t="str">
        <f>IFERROR(IF(AND(COUNT(AH170,AI170,AJ170,AK170)=4,(AH171+AI171+AJ171+AK171)&lt;&gt;0),(AH170+AI170+AJ170+AK170)/-(AH171+AI171+AJ171+AK171),""),"")</f>
        <v/>
      </c>
      <c r="AL435" s="262" t="str">
        <f>IFERROR(IF(AND(COUNT(AH170,AI170,AJ170,AK170)=4,(AH171+AI171+AJ171+AK171)&lt;&gt;0),(AH170+AI170+AJ170+AK170)/-(AH171+AI171+AJ171+AK171),""),"")</f>
        <v/>
      </c>
      <c r="AM435" s="262" t="str">
        <f>IFERROR(IF(AND(COUNT(AI170,AJ170,AK170,AM170)=4,(AI171+AJ171+AK171+AM171)&lt;&gt;0),(AI170+AJ170+AK170+AM170)/-(AI171+AJ171+AK171+AM171),""),"")</f>
        <v/>
      </c>
      <c r="AN435" s="262" t="str">
        <f>IFERROR(IF(AND(COUNT(AJ170,AK170,AM170,AN170)=4,(AJ171+AK171+AM171+AN171)&lt;&gt;0),(AJ170+AK170+AM170+AN170)/-(AJ171+AK171+AM171+AN171),""),"")</f>
        <v/>
      </c>
      <c r="AO435" s="262" t="str">
        <f>IFERROR(IF(AND(COUNT(AK170,AM170,AN170,AO170)=4,(AK171+AM171+AN171+AO171)&lt;&gt;0),(AK170+AM170+AN170+AO170)/-(AK171+AM171+AN171+AO171),""),"")</f>
        <v/>
      </c>
      <c r="AP435" s="262" t="str">
        <f>IFERROR(IF(AND(COUNT(AM170,AN170,AO170,AP170)=4,(AM171+AN171+AO171+AP171)&lt;&gt;0),(AM170+AN170+AO170+AP170)/-(AM171+AN171+AO171+AP171),""),"")</f>
        <v/>
      </c>
      <c r="AQ435" s="262" t="str">
        <f>IFERROR(IF(AND(COUNT(AM170,AN170,AO170,AP170)=4,(AM171+AN171+AO171+AP171)&lt;&gt;0),(AM170+AN170+AO170+AP170)/-(AM171+AN171+AO171+AP171),""),"")</f>
        <v/>
      </c>
      <c r="AR435" s="262" t="str">
        <f>IFERROR(IF(AND(COUNT(AN170,AO170,AP170,AR170)=4,(AN171+AO171+AP171+AR171)&lt;&gt;0),(AN170+AO170+AP170+AR170)/-(AN171+AO171+AP171+AR171),""),"")</f>
        <v/>
      </c>
      <c r="AS435" s="262" t="str">
        <f>IFERROR(IF(AND(COUNT(AO170,AP170,AR170,AS170)=4,(AO171+AP171+AR171+AS171)&lt;&gt;0),(AO170+AP170+AR170+AS170)/-(AO171+AP171+AR171+AS171),""),"")</f>
        <v/>
      </c>
      <c r="AT435" s="262" t="str">
        <f>IFERROR(IF(AND(COUNT(AP170,AR170,AS170,AT170)=4,(AP171+AR171+AS171+AT171)&lt;&gt;0),(AP170+AR170+AS170+AT170)/-(AP171+AR171+AS171+AT171),""),"")</f>
        <v/>
      </c>
      <c r="AU435" s="262" t="str">
        <f>IFERROR(IF(AND(COUNT(AR170,AS170,AT170,AU170)=4,(AR171+AS171+AT171+AU171)&lt;&gt;0),(AR170+AS170+AT170+AU170)/-(AR171+AS171+AT171+AU171),""),"")</f>
        <v/>
      </c>
      <c r="AV435" s="262" t="str">
        <f>IFERROR(IF(AND(COUNT(AR170,AS170,AT170,AU170)=4,(AR171+AS171+AT171+AU171)&lt;&gt;0),(AR170+AS170+AT170+AU170)/-(AR171+AS171+AT171+AU171),""),"")</f>
        <v/>
      </c>
      <c r="AW435" s="262" t="str">
        <f>IFERROR(IF(AND(COUNT(AS170,AT170,AU170,AW170)=4,(AS171+AT171+AU171+AW171)&lt;&gt;0),(AS170+AT170+AU170+AW170)/-(AS171+AT171+AU171+AW171),""),"")</f>
        <v/>
      </c>
      <c r="AX435" s="262" t="str">
        <f>IFERROR(IF(AND(COUNT(AT170,AU170,AW170,AX170)=4,(AT171+AU171+AW171+AX171)&lt;&gt;0),(AT170+AU170+AW170+AX170)/-(AT171+AU171+AW171+AX171),""),"")</f>
        <v/>
      </c>
      <c r="AY435" s="262" t="str">
        <f>IFERROR(IF(AND(COUNT(AU170,AW170,AX170,AY170)=4,(AU171+AW171+AX171+AY171)&lt;&gt;0),(AU170+AW170+AX170+AY170)/-(AU171+AW171+AX171+AY171),""),"")</f>
        <v/>
      </c>
      <c r="AZ435" s="262" t="str">
        <f>IFERROR(IF(AND(COUNT(AW170,AX170,AY170,AZ170)=4,(AW171+AX171+AY171+AZ171)&lt;&gt;0),(AW170+AX170+AY170+AZ170)/-(AW171+AX171+AY171+AZ171),""),"")</f>
        <v/>
      </c>
      <c r="BA435" s="262" t="str">
        <f>IFERROR(IF(AND(COUNT(AW170,AX170,AY170,AZ170)=4,(AW171+AX171+AY171+AZ171)&lt;&gt;0),(AW170+AX170+AY170+AZ170)/-(AW171+AX171+AY171+AZ171),""),"")</f>
        <v/>
      </c>
      <c r="BB435" s="262" t="str">
        <f>IFERROR(IF(AND(COUNT(AX170,AY170,AZ170,BB170)=4,(AX171+AY171+AZ171+BB171)&lt;&gt;0),(AX170+AY170+AZ170+BB170)/-(AX171+AY171+AZ171+BB171),""),"")</f>
        <v/>
      </c>
      <c r="BC435" s="262" t="str">
        <f>IFERROR(IF(AND(COUNT(AY170,AZ170,BB170,BC170)=4,(AY171+AZ171+BB171+BC171)&lt;&gt;0),(AY170+AZ170+BB170+BC170)/-(AY171+AZ171+BB171+BC171),""),"")</f>
        <v/>
      </c>
      <c r="BD435" s="262" t="str">
        <f>IFERROR(IF(AND(COUNT(AZ170,BB170,BC170,BD170)=4,(AZ171+BB171+BC171+BD171)&lt;&gt;0),(AZ170+BB170+BC170+BD170)/-(AZ171+BB171+BC171+BD171),""),"")</f>
        <v/>
      </c>
      <c r="BE435" s="262" t="str">
        <f>IFERROR(IF(AND(COUNT(BB170,BC170,BD170,BE170)=4,(BB171+BC171+BD171+BE171)&lt;&gt;0),(BB170+BC170+BD170+BE170)/-(BB171+BC171+BD171+BE171),""),"")</f>
        <v/>
      </c>
      <c r="BF435" s="262" t="str">
        <f>IFERROR(IF(AND(COUNT(BB170,BC170,BD170,BE170)=4,(BB171+BC171+BD171+BE171)&lt;&gt;0),(BB170+BC170+BD170+BE170)/-(BB171+BC171+BD171+BE171),""),"")</f>
        <v/>
      </c>
      <c r="BG435" s="82" t="n"/>
      <c r="BH435" s="82" t="n"/>
      <c r="BI435" s="82" t="n"/>
      <c r="BJ435" s="82" t="n"/>
      <c r="BL435" s="82" t="n"/>
      <c r="BM435" s="82" t="n"/>
      <c r="BN435" s="82" t="n"/>
      <c r="BO435" s="82" t="n"/>
      <c r="BQ435" s="82" t="n"/>
      <c r="BR435" s="82" t="n"/>
      <c r="BS435" s="82" t="n"/>
      <c r="BT435" s="82" t="n"/>
      <c r="BV435" s="82" t="n"/>
      <c r="BW435" s="82" t="n"/>
      <c r="BX435" s="82" t="n"/>
      <c r="BY435" s="82" t="n"/>
      <c r="CA435" s="82" t="n"/>
      <c r="CB435" s="82" t="n"/>
      <c r="CC435" s="82" t="n"/>
      <c r="CD435" s="82" t="n"/>
      <c r="CF435" s="82" t="n"/>
      <c r="CG435" s="82" t="n"/>
      <c r="CH435" s="82" t="n"/>
      <c r="CI435" s="82" t="n"/>
      <c r="CK435" s="82" t="n"/>
      <c r="CL435" s="82" t="n"/>
      <c r="CM435" s="82" t="n"/>
      <c r="CN435" s="82" t="n"/>
      <c r="CP435" s="82" t="n"/>
      <c r="CQ435" s="82" t="n"/>
      <c r="CR435" s="82" t="n"/>
      <c r="CS435" s="82" t="n"/>
      <c r="CU435" s="82" t="n"/>
      <c r="CV435" s="82" t="n"/>
      <c r="CW435" s="82" t="n"/>
      <c r="CX435" s="82" t="n"/>
    </row>
    <row r="436" customFormat="1" s="77">
      <c r="A436" s="76" t="n"/>
      <c r="B436" s="76" t="n"/>
    </row>
    <row r="437" customFormat="1" s="77">
      <c r="A437" s="76" t="n"/>
      <c r="B437" s="76" t="n"/>
      <c r="C437" s="74" t="inlineStr">
        <is>
          <t>INTERNAL LIQUIDITY</t>
        </is>
      </c>
    </row>
    <row r="438" customFormat="1" s="77">
      <c r="A438" s="76" t="n"/>
      <c r="B438" s="76" t="n"/>
      <c r="C438" s="77" t="inlineStr">
        <is>
          <t>CURRENT RATIO</t>
        </is>
      </c>
      <c r="D438" s="82" t="str">
        <f>IFERROR(SUM(D241,D242,D246,D250,D251,D252)/SUM(D295,D299,D301,D302),"")</f>
        <v/>
      </c>
      <c r="E438" s="82" t="str">
        <f>IFERROR(SUM(E241,E242,E246,E250,E251,E252)/SUM(E295,E299,E301,E302),"")</f>
        <v/>
      </c>
      <c r="F438" s="82" t="str">
        <f>IFERROR(SUM(F241,F242,F246,F250,F251,F252)/SUM(F295,F299,F301,F302),"")</f>
        <v/>
      </c>
      <c r="G438" s="82" t="str">
        <f>IFERROR(SUM(G241,G242,G246,G250,G251,G252)/SUM(G295,G299,G301,G302),"")</f>
        <v/>
      </c>
      <c r="H438" s="262" t="str">
        <f>IFERROR(IF((N(H295)+N(H299)+N(H301)+N(H302)+N(H309)+N(H310)+N(H311))&lt;&gt;0,(N(H241)+(N(H242)+N(H246)+N(H250)+N(H251)+N(H252)))/(N(H295)+N(H299)+N(H301)+N(H302)+N(H309)+N(H310)+N(H311)),""),"")</f>
        <v/>
      </c>
      <c r="I438" s="262">
        <f>IFERROR(IF((N(I295)+N(I299)+N(I301)+N(I302)+N(I309)+N(I310)+N(I311))&lt;&gt;0,(N(I241)+(N(I242)+N(I246)+N(I250)+N(I251)+N(I252)))/(N(I295)+N(I299)+N(I301)+N(I302)+N(I309)+N(I310)+N(I311)),""),"")</f>
        <v>1.70996910601566</v>
      </c>
      <c r="J438" s="262">
        <f>IFERROR(IF((N(J295)+N(J299)+N(J301)+N(J302)+N(J309)+N(J310)+N(J311))&lt;&gt;0,(N(J241)+(N(J242)+N(J246)+N(J250)+N(J251)+N(J252)))/(N(J295)+N(J299)+N(J301)+N(J302)+N(J309)+N(J310)+N(J311)),""),"")</f>
        <v>1.76672769175603</v>
      </c>
      <c r="K438" s="262">
        <f>IFERROR(IF((N(K295)+N(K299)+N(K301)+N(K302)+N(K309)+N(K310)+N(K311))&lt;&gt;0,(N(K241)+(N(K242)+N(K246)+N(K250)+N(K251)+N(K252)))/(N(K295)+N(K299)+N(K301)+N(K302)+N(K309)+N(K310)+N(K311)),""),"")</f>
        <v>1.85999025156939</v>
      </c>
      <c r="L438" s="262">
        <f>IFERROR(IF((N(L295)+N(L299)+N(L301)+N(L302)+N(L309)+N(L310)+N(L311))&lt;&gt;0,(N(L241)+(N(L242)+N(L246)+N(L250)+N(L251)+N(L252)))/(N(L295)+N(L299)+N(L301)+N(L302)+N(L309)+N(L310)+N(L311)),""),"")</f>
        <v>2.09159842338261</v>
      </c>
      <c r="M438" s="262">
        <f>IFERROR(IF((N(M295)+N(M299)+N(M301)+N(M302)+N(M309)+N(M310)+N(M311))&lt;&gt;0,(N(M241)+(N(M242)+N(M246)+N(M250)+N(M251)+N(M252)))/(N(M295)+N(M299)+N(M301)+N(M302)+N(M309)+N(M310)+N(M311)),""),"")</f>
        <v>2.09159842338261</v>
      </c>
      <c r="N438" s="262">
        <f>IFERROR(IF((N(N295)+N(N299)+N(N301)+N(N302)+N(N309)+N(N310)+N(N311))&lt;&gt;0,(N(N241)+(N(N242)+N(N246)+N(N250)+N(N251)+N(N252)))/(N(N295)+N(N299)+N(N301)+N(N302)+N(N309)+N(N310)+N(N311)),""),"")</f>
        <v>1.79192198635546</v>
      </c>
      <c r="O438" s="262">
        <f>IFERROR(IF((N(O295)+N(O299)+N(O301)+N(O302)+N(O309)+N(O310)+N(O311))&lt;&gt;0,(N(O241)+(N(O242)+N(O246)+N(O250)+N(O251)+N(O252)))/(N(O295)+N(O299)+N(O301)+N(O302)+N(O309)+N(O310)+N(O311)),""),"")</f>
        <v>2.74641164305973</v>
      </c>
      <c r="P438" s="262">
        <f>IFERROR(IF((N(P295)+N(P299)+N(P301)+N(P302)+N(P309)+N(P310)+N(P311))&lt;&gt;0,(N(P241)+(N(P242)+N(P246)+N(P250)+N(P251)+N(P252)))/(N(P295)+N(P299)+N(P301)+N(P302)+N(P309)+N(P310)+N(P311)),""),"")</f>
        <v>2.87522215484086</v>
      </c>
      <c r="Q438" s="262">
        <f>IFERROR(IF((N(Q295)+N(Q299)+N(Q301)+N(Q302)+N(Q309)+N(Q310)+N(Q311))&lt;&gt;0,(N(Q241)+(N(Q242)+N(Q246)+N(Q250)+N(Q251)+N(Q252)))/(N(Q295)+N(Q299)+N(Q301)+N(Q302)+N(Q309)+N(Q310)+N(Q311)),""),"")</f>
        <v>2.1213070152979</v>
      </c>
      <c r="R438" s="262">
        <f>IFERROR(IF((N(R295)+N(R299)+N(R301)+N(R302)+N(R309)+N(R310)+N(R311))&lt;&gt;0,(N(R241)+(N(R242)+N(R246)+N(R250)+N(R251)+N(R252)))/(N(R295)+N(R299)+N(R301)+N(R302)+N(R309)+N(R310)+N(R311)),""),"")</f>
        <v>2.1213070152979</v>
      </c>
      <c r="S438" s="262">
        <f>IFERROR(IF((N(S295)+N(S299)+N(S301)+N(S302)+N(S309)+N(S310)+N(S311))&lt;&gt;0,(N(S241)+(N(S242)+N(S246)+N(S250)+N(S251)+N(S252)))/(N(S295)+N(S299)+N(S301)+N(S302)+N(S309)+N(S310)+N(S311)),""),"")</f>
        <v>2.16849553196575</v>
      </c>
      <c r="T438" s="262">
        <f>IFERROR(IF((N(T295)+N(T299)+N(T301)+N(T302)+N(T309)+N(T310)+N(T311))&lt;&gt;0,(N(T241)+(N(T242)+N(T246)+N(T250)+N(T251)+N(T252)))/(N(T295)+N(T299)+N(T301)+N(T302)+N(T309)+N(T310)+N(T311)),""),"")</f>
        <v>2.46904365737421</v>
      </c>
      <c r="U438" s="262">
        <f>IFERROR(IF((N(U295)+N(U299)+N(U301)+N(U302)+N(U309)+N(U310)+N(U311))&lt;&gt;0,(N(U241)+(N(U242)+N(U246)+N(U250)+N(U251)+N(U252)))/(N(U295)+N(U299)+N(U301)+N(U302)+N(U309)+N(U310)+N(U311)),""),"")</f>
        <v>1.91343610110615</v>
      </c>
      <c r="V438" s="262">
        <f>IFERROR(IF((N(V295)+N(V299)+N(V301)+N(V302)+N(V309)+N(V310)+N(V311))&lt;&gt;0,(N(V241)+(N(V242)+N(V246)+N(V250)+N(V251)+N(V252)))/(N(V295)+N(V299)+N(V301)+N(V302)+N(V309)+N(V310)+N(V311)),""),"")</f>
        <v>1.68633934986047</v>
      </c>
      <c r="W438" s="262">
        <f>IFERROR(IF((N(W295)+N(W299)+N(W301)+N(W302)+N(W309)+N(W310)+N(W311))&lt;&gt;0,(N(W241)+(N(W242)+N(W246)+N(W250)+N(W251)+N(W252)))/(N(W295)+N(W299)+N(W301)+N(W302)+N(W309)+N(W310)+N(W311)),""),"")</f>
        <v>1.68633934986047</v>
      </c>
      <c r="X438" s="262">
        <f>IFERROR(IF((N(X295)+N(X299)+N(X301)+N(X302)+N(X309)+N(X310)+N(X311))&lt;&gt;0,(N(X241)+(N(X242)+N(X246)+N(X250)+N(X251)+N(X252)))/(N(X295)+N(X299)+N(X301)+N(X302)+N(X309)+N(X310)+N(X311)),""),"")</f>
        <v>1.6936355550819</v>
      </c>
      <c r="Y438" s="262">
        <f>IFERROR(IF((N(Y295)+N(Y299)+N(Y301)+N(Y302)+N(Y309)+N(Y310)+N(Y311))&lt;&gt;0,(N(Y241)+(N(Y242)+N(Y246)+N(Y250)+N(Y251)+N(Y252)))/(N(Y295)+N(Y299)+N(Y301)+N(Y302)+N(Y309)+N(Y310)+N(Y311)),""),"")</f>
        <v>1.61289677843131</v>
      </c>
      <c r="Z438" s="262">
        <f>IFERROR(IF((N(Z295)+N(Z299)+N(Z301)+N(Z302)+N(Z309)+N(Z310)+N(Z311))&lt;&gt;0,(N(Z241)+(N(Z242)+N(Z246)+N(Z250)+N(Z251)+N(Z252)))/(N(Z295)+N(Z299)+N(Z301)+N(Z302)+N(Z309)+N(Z310)+N(Z311)),""),"")</f>
        <v>1.91973027400254</v>
      </c>
      <c r="AA438" s="262">
        <f>IFERROR(IF((N(AA295)+N(AA299)+N(AA301)+N(AA302)+N(AA309)+N(AA310)+N(AA311))&lt;&gt;0,(N(AA241)+(N(AA242)+N(AA246)+N(AA250)+N(AA251)+N(AA252)))/(N(AA295)+N(AA299)+N(AA301)+N(AA302)+N(AA309)+N(AA310)+N(AA311)),""),"")</f>
        <v>2.08080219018471</v>
      </c>
      <c r="AB438" s="262">
        <f>IFERROR(IF((N(AB295)+N(AB299)+N(AB301)+N(AB302)+N(AB309)+N(AB310)+N(AB311))&lt;&gt;0,(N(AB241)+(N(AB242)+N(AB246)+N(AB250)+N(AB251)+N(AB252)))/(N(AB295)+N(AB299)+N(AB301)+N(AB302)+N(AB309)+N(AB310)+N(AB311)),""),"")</f>
        <v>2.08080219018471</v>
      </c>
      <c r="AC438" s="262">
        <f>IFERROR(IF((N(AC295)+N(AC299)+N(AC301)+N(AC302)+N(AC309)+N(AC310)+N(AC311))&lt;&gt;0,(N(AC241)+(N(AC242)+N(AC246)+N(AC250)+N(AC251)+N(AC252)))/(N(AC295)+N(AC299)+N(AC301)+N(AC302)+N(AC309)+N(AC310)+N(AC311)),""),"")</f>
        <v>2.20867605192205</v>
      </c>
      <c r="AD438" s="262">
        <f>IFERROR(IF((N(AD295)+N(AD299)+N(AD301)+N(AD302)+N(AD309)+N(AD310)+N(AD311))&lt;&gt;0,(N(AD241)+(N(AD242)+N(AD246)+N(AD250)+N(AD251)+N(AD252)))/(N(AD295)+N(AD299)+N(AD301)+N(AD302)+N(AD309)+N(AD310)+N(AD311)),""),"")</f>
        <v>2.18908977503397</v>
      </c>
      <c r="AE438" s="262">
        <f>IFERROR(IF((N(AE295)+N(AE299)+N(AE301)+N(AE302)+N(AE309)+N(AE310)+N(AE311))&lt;&gt;0,(N(AE241)+(N(AE242)+N(AE246)+N(AE250)+N(AE251)+N(AE252)))/(N(AE295)+N(AE299)+N(AE301)+N(AE302)+N(AE309)+N(AE310)+N(AE311)),""),"")</f>
        <v>2.62102621970124</v>
      </c>
      <c r="AF438" s="262">
        <f>IFERROR(IF((N(AF295)+N(AF299)+N(AF301)+N(AF302)+N(AF309)+N(AF310)+N(AF311))&lt;&gt;0,(N(AF241)+(N(AF242)+N(AF246)+N(AF250)+N(AF251)+N(AF252)))/(N(AF295)+N(AF299)+N(AF301)+N(AF302)+N(AF309)+N(AF310)+N(AF311)),""),"")</f>
        <v>2.51521500666375</v>
      </c>
      <c r="AG438" s="262">
        <f>IFERROR(IF((N(AG295)+N(AG299)+N(AG301)+N(AG302)+N(AG309)+N(AG310)+N(AG311))&lt;&gt;0,(N(AG241)+(N(AG242)+N(AG246)+N(AG250)+N(AG251)+N(AG252)))/(N(AG295)+N(AG299)+N(AG301)+N(AG302)+N(AG309)+N(AG310)+N(AG311)),""),"")</f>
        <v>2.51521500666375</v>
      </c>
      <c r="AH438" s="262">
        <f>IFERROR(IF((N(AH295)+N(AH299)+N(AH301)+N(AH302)+N(AH309)+N(AH310)+N(AH311))&lt;&gt;0,(N(AH241)+(N(AH242)+N(AH246)+N(AH250)+N(AH251)+N(AH252)))/(N(AH295)+N(AH299)+N(AH301)+N(AH302)+N(AH309)+N(AH310)+N(AH311)),""),"")</f>
        <v>3.36558669975628</v>
      </c>
      <c r="AI438" s="262">
        <f>IFERROR(IF((N(AI295)+N(AI299)+N(AI301)+N(AI302)+N(AI309)+N(AI310)+N(AI311))&lt;&gt;0,(N(AI241)+(N(AI242)+N(AI246)+N(AI250)+N(AI251)+N(AI252)))/(N(AI295)+N(AI299)+N(AI301)+N(AI302)+N(AI309)+N(AI310)+N(AI311)),""),"")</f>
        <v>3.23689199456203</v>
      </c>
      <c r="AJ438" s="262">
        <f>IFERROR(IF((N(AJ295)+N(AJ299)+N(AJ301)+N(AJ302)+N(AJ309)+N(AJ310)+N(AJ311))&lt;&gt;0,(N(AJ241)+(N(AJ242)+N(AJ246)+N(AJ250)+N(AJ251)+N(AJ252)))/(N(AJ295)+N(AJ299)+N(AJ301)+N(AJ302)+N(AJ309)+N(AJ310)+N(AJ311)),""),"")</f>
        <v>3.51830803245861</v>
      </c>
      <c r="AK438" s="262">
        <f>IFERROR(IF((N(AK295)+N(AK299)+N(AK301)+N(AK302)+N(AK309)+N(AK310)+N(AK311))&lt;&gt;0,(N(AK241)+(N(AK242)+N(AK246)+N(AK250)+N(AK251)+N(AK252)))/(N(AK295)+N(AK299)+N(AK301)+N(AK302)+N(AK309)+N(AK310)+N(AK311)),""),"")</f>
        <v>3.71139516350869</v>
      </c>
      <c r="AL438" s="262">
        <f>IFERROR(IF((N(AL295)+N(AL299)+N(AL301)+N(AL302)+N(AL309)+N(AL310)+N(AL311))&lt;&gt;0,(N(AL241)+(N(AL242)+N(AL246)+N(AL250)+N(AL251)+N(AL252)))/(N(AL295)+N(AL299)+N(AL301)+N(AL302)+N(AL309)+N(AL310)+N(AL311)),""),"")</f>
        <v>3.71139516350869</v>
      </c>
      <c r="AM438" s="262">
        <f>IFERROR(IF((N(AM295)+N(AM299)+N(AM301)+N(AM302)+N(AM309)+N(AM310)+N(AM311))&lt;&gt;0,(N(AM241)+(N(AM242)+N(AM246)+N(AM250)+N(AM251)+N(AM252)))/(N(AM295)+N(AM299)+N(AM301)+N(AM302)+N(AM309)+N(AM310)+N(AM311)),""),"")</f>
        <v>3.92295136233951</v>
      </c>
      <c r="AN438" s="262">
        <f>IFERROR(IF((N(AN295)+N(AN299)+N(AN301)+N(AN302)+N(AN309)+N(AN310)+N(AN311))&lt;&gt;0,(N(AN241)+(N(AN242)+N(AN246)+N(AN250)+N(AN251)+N(AN252)))/(N(AN295)+N(AN299)+N(AN301)+N(AN302)+N(AN309)+N(AN310)+N(AN311)),""),"")</f>
        <v>4.14072887847357</v>
      </c>
      <c r="AO438" s="262">
        <f>IFERROR(IF((N(AO295)+N(AO299)+N(AO301)+N(AO302)+N(AO309)+N(AO310)+N(AO311))&lt;&gt;0,(N(AO241)+(N(AO242)+N(AO246)+N(AO250)+N(AO251)+N(AO252)))/(N(AO295)+N(AO299)+N(AO301)+N(AO302)+N(AO309)+N(AO310)+N(AO311)),""),"")</f>
        <v>4.42877042566018</v>
      </c>
      <c r="AP438" s="262">
        <f>IFERROR(IF((N(AP295)+N(AP299)+N(AP301)+N(AP302)+N(AP309)+N(AP310)+N(AP311))&lt;&gt;0,(N(AP241)+(N(AP242)+N(AP246)+N(AP250)+N(AP251)+N(AP252)))/(N(AP295)+N(AP299)+N(AP301)+N(AP302)+N(AP309)+N(AP310)+N(AP311)),""),"")</f>
        <v>4.56342739488667</v>
      </c>
      <c r="AQ438" s="262">
        <f>IFERROR(IF((N(AQ295)+N(AQ299)+N(AQ301)+N(AQ302)+N(AQ309)+N(AQ310)+N(AQ311))&lt;&gt;0,(N(AQ241)+(N(AQ242)+N(AQ246)+N(AQ250)+N(AQ251)+N(AQ252)))/(N(AQ295)+N(AQ299)+N(AQ301)+N(AQ302)+N(AQ309)+N(AQ310)+N(AQ311)),""),"")</f>
        <v>4.56342739488667</v>
      </c>
      <c r="AR438" s="262">
        <f>IFERROR(IF((N(AR295)+N(AR299)+N(AR301)+N(AR302)+N(AR309)+N(AR310)+N(AR311))&lt;&gt;0,(N(AR241)+(N(AR242)+N(AR246)+N(AR250)+N(AR251)+N(AR252)))/(N(AR295)+N(AR299)+N(AR301)+N(AR302)+N(AR309)+N(AR310)+N(AR311)),""),"")</f>
        <v>4.72290251206468</v>
      </c>
      <c r="AS438" s="262">
        <f>IFERROR(IF((N(AS295)+N(AS299)+N(AS301)+N(AS302)+N(AS309)+N(AS310)+N(AS311))&lt;&gt;0,(N(AS241)+(N(AS242)+N(AS246)+N(AS250)+N(AS251)+N(AS252)))/(N(AS295)+N(AS299)+N(AS301)+N(AS302)+N(AS309)+N(AS310)+N(AS311)),""),"")</f>
        <v>4.85826314164773</v>
      </c>
      <c r="AT438" s="262">
        <f>IFERROR(IF((N(AT295)+N(AT299)+N(AT301)+N(AT302)+N(AT309)+N(AT310)+N(AT311))&lt;&gt;0,(N(AT241)+(N(AT242)+N(AT246)+N(AT250)+N(AT251)+N(AT252)))/(N(AT295)+N(AT299)+N(AT301)+N(AT302)+N(AT309)+N(AT310)+N(AT311)),""),"")</f>
        <v>5.10407110421515</v>
      </c>
      <c r="AU438" s="262">
        <f>IFERROR(IF((N(AU295)+N(AU299)+N(AU301)+N(AU302)+N(AU309)+N(AU310)+N(AU311))&lt;&gt;0,(N(AU241)+(N(AU242)+N(AU246)+N(AU250)+N(AU251)+N(AU252)))/(N(AU295)+N(AU299)+N(AU301)+N(AU302)+N(AU309)+N(AU310)+N(AU311)),""),"")</f>
        <v>5.1484929590886</v>
      </c>
      <c r="AV438" s="262">
        <f>IFERROR(IF((N(AV295)+N(AV299)+N(AV301)+N(AV302)+N(AV309)+N(AV310)+N(AV311))&lt;&gt;0,(N(AV241)+(N(AV242)+N(AV246)+N(AV250)+N(AV251)+N(AV252)))/(N(AV295)+N(AV299)+N(AV301)+N(AV302)+N(AV309)+N(AV310)+N(AV311)),""),"")</f>
        <v>5.1484929590886</v>
      </c>
      <c r="AW438" s="262">
        <f>IFERROR(IF((N(AW295)+N(AW299)+N(AW301)+N(AW302)+N(AW309)+N(AW310)+N(AW311))&lt;&gt;0,(N(AW241)+(N(AW242)+N(AW246)+N(AW250)+N(AW251)+N(AW252)))/(N(AW295)+N(AW299)+N(AW301)+N(AW302)+N(AW309)+N(AW310)+N(AW311)),""),"")</f>
        <v>5.21514461930812</v>
      </c>
      <c r="AX438" s="262">
        <f>IFERROR(IF((N(AX295)+N(AX299)+N(AX301)+N(AX302)+N(AX309)+N(AX310)+N(AX311))&lt;&gt;0,(N(AX241)+(N(AX242)+N(AX246)+N(AX250)+N(AX251)+N(AX252)))/(N(AX295)+N(AX299)+N(AX301)+N(AX302)+N(AX309)+N(AX310)+N(AX311)),""),"")</f>
        <v>5.25214085888635</v>
      </c>
      <c r="AY438" s="262">
        <f>IFERROR(IF((N(AY295)+N(AY299)+N(AY301)+N(AY302)+N(AY309)+N(AY310)+N(AY311))&lt;&gt;0,(N(AY241)+(N(AY242)+N(AY246)+N(AY250)+N(AY251)+N(AY252)))/(N(AY295)+N(AY299)+N(AY301)+N(AY302)+N(AY309)+N(AY310)+N(AY311)),""),"")</f>
        <v>5.40535220772119</v>
      </c>
      <c r="AZ438" s="262">
        <f>IFERROR(IF((N(AZ295)+N(AZ299)+N(AZ301)+N(AZ302)+N(AZ309)+N(AZ310)+N(AZ311))&lt;&gt;0,(N(AZ241)+(N(AZ242)+N(AZ246)+N(AZ250)+N(AZ251)+N(AZ252)))/(N(AZ295)+N(AZ299)+N(AZ301)+N(AZ302)+N(AZ309)+N(AZ310)+N(AZ311)),""),"")</f>
        <v>5.34600707295522</v>
      </c>
      <c r="BA438" s="262">
        <f>IFERROR(IF((N(BA295)+N(BA299)+N(BA301)+N(BA302)+N(BA309)+N(BA310)+N(BA311))&lt;&gt;0,(N(BA241)+(N(BA242)+N(BA246)+N(BA250)+N(BA251)+N(BA252)))/(N(BA295)+N(BA299)+N(BA301)+N(BA302)+N(BA309)+N(BA310)+N(BA311)),""),"")</f>
        <v>5.34600707295522</v>
      </c>
      <c r="BB438" s="262">
        <f>IFERROR(IF((N(BB295)+N(BB299)+N(BB301)+N(BB302)+N(BB309)+N(BB310)+N(BB311))&lt;&gt;0,(N(BB241)+(N(BB242)+N(BB246)+N(BB250)+N(BB251)+N(BB252)))/(N(BB295)+N(BB299)+N(BB301)+N(BB302)+N(BB309)+N(BB310)+N(BB311)),""),"")</f>
        <v>5.3120683549769</v>
      </c>
      <c r="BC438" s="262">
        <f>IFERROR(IF((N(BC295)+N(BC299)+N(BC301)+N(BC302)+N(BC309)+N(BC310)+N(BC311))&lt;&gt;0,(N(BC241)+(N(BC242)+N(BC246)+N(BC250)+N(BC251)+N(BC252)))/(N(BC295)+N(BC299)+N(BC301)+N(BC302)+N(BC309)+N(BC310)+N(BC311)),""),"")</f>
        <v>5.24973288592653</v>
      </c>
      <c r="BD438" s="262">
        <f>IFERROR(IF((N(BD295)+N(BD299)+N(BD301)+N(BD302)+N(BD309)+N(BD310)+N(BD311))&lt;&gt;0,(N(BD241)+(N(BD242)+N(BD246)+N(BD250)+N(BD251)+N(BD252)))/(N(BD295)+N(BD299)+N(BD301)+N(BD302)+N(BD309)+N(BD310)+N(BD311)),""),"")</f>
        <v>5.28756121864157</v>
      </c>
      <c r="BE438" s="262">
        <f>IFERROR(IF((N(BE295)+N(BE299)+N(BE301)+N(BE302)+N(BE309)+N(BE310)+N(BE311))&lt;&gt;0,(N(BE241)+(N(BE242)+N(BE246)+N(BE250)+N(BE251)+N(BE252)))/(N(BE295)+N(BE299)+N(BE301)+N(BE302)+N(BE309)+N(BE310)+N(BE311)),""),"")</f>
        <v>5.14318916537723</v>
      </c>
      <c r="BF438" s="262">
        <f>IFERROR(IF((N(BF295)+N(BF299)+N(BF301)+N(BF302)+N(BF309)+N(BF310)+N(BF311))&lt;&gt;0,(N(BF241)+(N(BF242)+N(BF246)+N(BF250)+N(BF251)+N(BF252)))/(N(BF295)+N(BF299)+N(BF301)+N(BF302)+N(BF309)+N(BF310)+N(BF311)),""),"")</f>
        <v>5.14318916537723</v>
      </c>
      <c r="BG438" s="82" t="n"/>
      <c r="BH438" s="82" t="n"/>
      <c r="BI438" s="82" t="n"/>
      <c r="BJ438" s="82" t="n"/>
      <c r="BL438" s="82" t="n"/>
      <c r="BM438" s="82" t="n"/>
      <c r="BN438" s="82" t="n"/>
      <c r="BO438" s="82" t="n"/>
      <c r="BQ438" s="82" t="n"/>
      <c r="BR438" s="82" t="n"/>
      <c r="BS438" s="82" t="n"/>
      <c r="BT438" s="82" t="n"/>
      <c r="BV438" s="82" t="n"/>
      <c r="BW438" s="82" t="n"/>
      <c r="BX438" s="82" t="n"/>
      <c r="BY438" s="82" t="n"/>
      <c r="CA438" s="82" t="n"/>
      <c r="CB438" s="82" t="n"/>
      <c r="CC438" s="82" t="n"/>
      <c r="CD438" s="82" t="n"/>
      <c r="CF438" s="82" t="n"/>
      <c r="CG438" s="82" t="n"/>
      <c r="CH438" s="82" t="n"/>
      <c r="CI438" s="82" t="n"/>
      <c r="CK438" s="82" t="n"/>
      <c r="CL438" s="82" t="n"/>
      <c r="CM438" s="82" t="n"/>
      <c r="CN438" s="82" t="n"/>
      <c r="CP438" s="82" t="n"/>
      <c r="CQ438" s="82" t="n"/>
      <c r="CR438" s="82" t="n"/>
      <c r="CS438" s="82" t="n"/>
      <c r="CU438" s="82" t="n"/>
      <c r="CV438" s="82" t="n"/>
      <c r="CW438" s="82" t="n"/>
      <c r="CX438" s="82" t="n"/>
    </row>
    <row r="439" customFormat="1" s="77">
      <c r="A439" s="76" t="n"/>
      <c r="B439" s="76" t="n"/>
      <c r="C439" s="77" t="inlineStr">
        <is>
          <t>CASH RATIO</t>
        </is>
      </c>
      <c r="D439" s="82" t="str">
        <f>IFERROR(SUM(D241)/SUM(D295,D299,D301,D302),"")</f>
        <v/>
      </c>
      <c r="E439" s="82" t="str">
        <f>IFERROR(SUM(E241)/SUM(E295,E299,E301,E302),"")</f>
        <v/>
      </c>
      <c r="F439" s="82" t="str">
        <f>IFERROR(SUM(F241)/SUM(F295,F299,F301,F302),"")</f>
        <v/>
      </c>
      <c r="G439" s="82" t="str">
        <f>IFERROR(SUM(G241)/SUM(G295,G299,G301,G302),"")</f>
        <v/>
      </c>
      <c r="H439" s="262" t="str">
        <f>IFERROR(IF((N(H295)+N(H299)+N(H301)+N(H302)+N(H309)+N(H310)+N(H311))&lt;&gt;0,N(H241)/(N(H295)+N(H299)+N(H301)+N(H302)+N(H309)+N(H310)+N(H311)),""),"")</f>
        <v/>
      </c>
      <c r="I439" s="262">
        <f>IFERROR(IF((N(I295)+N(I299)+N(I301)+N(I302)+N(I309)+N(I310)+N(I311))&lt;&gt;0,N(I241)/(N(I295)+N(I299)+N(I301)+N(I302)+N(I309)+N(I310)+N(I311)),""),"")</f>
        <v>0.801649091977948</v>
      </c>
      <c r="J439" s="262">
        <f>IFERROR(IF((N(J295)+N(J299)+N(J301)+N(J302)+N(J309)+N(J310)+N(J311))&lt;&gt;0,N(J241)/(N(J295)+N(J299)+N(J301)+N(J302)+N(J309)+N(J310)+N(J311)),""),"")</f>
        <v>0.760106529624498</v>
      </c>
      <c r="K439" s="262">
        <f>IFERROR(IF((N(K295)+N(K299)+N(K301)+N(K302)+N(K309)+N(K310)+N(K311))&lt;&gt;0,N(K241)/(N(K295)+N(K299)+N(K301)+N(K302)+N(K309)+N(K310)+N(K311)),""),"")</f>
        <v>0.733643031712833</v>
      </c>
      <c r="L439" s="262">
        <f>IFERROR(IF((N(L295)+N(L299)+N(L301)+N(L302)+N(L309)+N(L310)+N(L311))&lt;&gt;0,N(L241)/(N(L295)+N(L299)+N(L301)+N(L302)+N(L309)+N(L310)+N(L311)),""),"")</f>
        <v>0.913870817107368</v>
      </c>
      <c r="M439" s="262">
        <f>IFERROR(IF((N(M295)+N(M299)+N(M301)+N(M302)+N(M309)+N(M310)+N(M311))&lt;&gt;0,N(M241)/(N(M295)+N(M299)+N(M301)+N(M302)+N(M309)+N(M310)+N(M311)),""),"")</f>
        <v>0.913870817107368</v>
      </c>
      <c r="N439" s="262">
        <f>IFERROR(IF((N(N295)+N(N299)+N(N301)+N(N302)+N(N309)+N(N310)+N(N311))&lt;&gt;0,N(N241)/(N(N295)+N(N299)+N(N301)+N(N302)+N(N309)+N(N310)+N(N311)),""),"")</f>
        <v>0.792990047289647</v>
      </c>
      <c r="O439" s="262">
        <f>IFERROR(IF((N(O295)+N(O299)+N(O301)+N(O302)+N(O309)+N(O310)+N(O311))&lt;&gt;0,N(O241)/(N(O295)+N(O299)+N(O301)+N(O302)+N(O309)+N(O310)+N(O311)),""),"")</f>
        <v>1.28332892645712</v>
      </c>
      <c r="P439" s="262">
        <f>IFERROR(IF((N(P295)+N(P299)+N(P301)+N(P302)+N(P309)+N(P310)+N(P311))&lt;&gt;0,N(P241)/(N(P295)+N(P299)+N(P301)+N(P302)+N(P309)+N(P310)+N(P311)),""),"")</f>
        <v>1.37823754980901</v>
      </c>
      <c r="Q439" s="262">
        <f>IFERROR(IF((N(Q295)+N(Q299)+N(Q301)+N(Q302)+N(Q309)+N(Q310)+N(Q311))&lt;&gt;0,N(Q241)/(N(Q295)+N(Q299)+N(Q301)+N(Q302)+N(Q309)+N(Q310)+N(Q311)),""),"")</f>
        <v>1.05089408743274</v>
      </c>
      <c r="R439" s="262">
        <f>IFERROR(IF((N(R295)+N(R299)+N(R301)+N(R302)+N(R309)+N(R310)+N(R311))&lt;&gt;0,N(R241)/(N(R295)+N(R299)+N(R301)+N(R302)+N(R309)+N(R310)+N(R311)),""),"")</f>
        <v>1.05089408743274</v>
      </c>
      <c r="S439" s="262">
        <f>IFERROR(IF((N(S295)+N(S299)+N(S301)+N(S302)+N(S309)+N(S310)+N(S311))&lt;&gt;0,N(S241)/(N(S295)+N(S299)+N(S301)+N(S302)+N(S309)+N(S310)+N(S311)),""),"")</f>
        <v>1.08917873056344</v>
      </c>
      <c r="T439" s="262">
        <f>IFERROR(IF((N(T295)+N(T299)+N(T301)+N(T302)+N(T309)+N(T310)+N(T311))&lt;&gt;0,N(T241)/(N(T295)+N(T299)+N(T301)+N(T302)+N(T309)+N(T310)+N(T311)),""),"")</f>
        <v>1.21189923957213</v>
      </c>
      <c r="U439" s="262">
        <f>IFERROR(IF((N(U295)+N(U299)+N(U301)+N(U302)+N(U309)+N(U310)+N(U311))&lt;&gt;0,N(U241)/(N(U295)+N(U299)+N(U301)+N(U302)+N(U309)+N(U310)+N(U311)),""),"")</f>
        <v>0.955667104472907</v>
      </c>
      <c r="V439" s="262">
        <f>IFERROR(IF((N(V295)+N(V299)+N(V301)+N(V302)+N(V309)+N(V310)+N(V311))&lt;&gt;0,N(V241)/(N(V295)+N(V299)+N(V301)+N(V302)+N(V309)+N(V310)+N(V311)),""),"")</f>
        <v>0.871590270377423</v>
      </c>
      <c r="W439" s="262">
        <f>IFERROR(IF((N(W295)+N(W299)+N(W301)+N(W302)+N(W309)+N(W310)+N(W311))&lt;&gt;0,N(W241)/(N(W295)+N(W299)+N(W301)+N(W302)+N(W309)+N(W310)+N(W311)),""),"")</f>
        <v>0.871590270377423</v>
      </c>
      <c r="X439" s="262">
        <f>IFERROR(IF((N(X295)+N(X299)+N(X301)+N(X302)+N(X309)+N(X310)+N(X311))&lt;&gt;0,N(X241)/(N(X295)+N(X299)+N(X301)+N(X302)+N(X309)+N(X310)+N(X311)),""),"")</f>
        <v>0.895213681405645</v>
      </c>
      <c r="Y439" s="262">
        <f>IFERROR(IF((N(Y295)+N(Y299)+N(Y301)+N(Y302)+N(Y309)+N(Y310)+N(Y311))&lt;&gt;0,N(Y241)/(N(Y295)+N(Y299)+N(Y301)+N(Y302)+N(Y309)+N(Y310)+N(Y311)),""),"")</f>
        <v>0.935128815704945</v>
      </c>
      <c r="Z439" s="262">
        <f>IFERROR(IF((N(Z295)+N(Z299)+N(Z301)+N(Z302)+N(Z309)+N(Z310)+N(Z311))&lt;&gt;0,N(Z241)/(N(Z295)+N(Z299)+N(Z301)+N(Z302)+N(Z309)+N(Z310)+N(Z311)),""),"")</f>
        <v>1.07575865801629</v>
      </c>
      <c r="AA439" s="262">
        <f>IFERROR(IF((N(AA295)+N(AA299)+N(AA301)+N(AA302)+N(AA309)+N(AA310)+N(AA311))&lt;&gt;0,N(AA241)/(N(AA295)+N(AA299)+N(AA301)+N(AA302)+N(AA309)+N(AA310)+N(AA311)),""),"")</f>
        <v>1.1605343044785</v>
      </c>
      <c r="AB439" s="262">
        <f>IFERROR(IF((N(AB295)+N(AB299)+N(AB301)+N(AB302)+N(AB309)+N(AB310)+N(AB311))&lt;&gt;0,N(AB241)/(N(AB295)+N(AB299)+N(AB301)+N(AB302)+N(AB309)+N(AB310)+N(AB311)),""),"")</f>
        <v>1.1605343044785</v>
      </c>
      <c r="AC439" s="262">
        <f>IFERROR(IF((N(AC295)+N(AC299)+N(AC301)+N(AC302)+N(AC309)+N(AC310)+N(AC311))&lt;&gt;0,N(AC241)/(N(AC295)+N(AC299)+N(AC301)+N(AC302)+N(AC309)+N(AC310)+N(AC311)),""),"")</f>
        <v>1.23209463906896</v>
      </c>
      <c r="AD439" s="262">
        <f>IFERROR(IF((N(AD295)+N(AD299)+N(AD301)+N(AD302)+N(AD309)+N(AD310)+N(AD311))&lt;&gt;0,N(AD241)/(N(AD295)+N(AD299)+N(AD301)+N(AD302)+N(AD309)+N(AD310)+N(AD311)),""),"")</f>
        <v>1.20207138634204</v>
      </c>
      <c r="AE439" s="262">
        <f>IFERROR(IF((N(AE295)+N(AE299)+N(AE301)+N(AE302)+N(AE309)+N(AE310)+N(AE311))&lt;&gt;0,N(AE241)/(N(AE295)+N(AE299)+N(AE301)+N(AE302)+N(AE309)+N(AE310)+N(AE311)),""),"")</f>
        <v>1.348991014082</v>
      </c>
      <c r="AF439" s="262">
        <f>IFERROR(IF((N(AF295)+N(AF299)+N(AF301)+N(AF302)+N(AF309)+N(AF310)+N(AF311))&lt;&gt;0,N(AF241)/(N(AF295)+N(AF299)+N(AF301)+N(AF302)+N(AF309)+N(AF310)+N(AF311)),""),"")</f>
        <v>1.26893096621826</v>
      </c>
      <c r="AG439" s="262">
        <f>IFERROR(IF((N(AG295)+N(AG299)+N(AG301)+N(AG302)+N(AG309)+N(AG310)+N(AG311))&lt;&gt;0,N(AG241)/(N(AG295)+N(AG299)+N(AG301)+N(AG302)+N(AG309)+N(AG310)+N(AG311)),""),"")</f>
        <v>1.26893096621826</v>
      </c>
      <c r="AH439" s="262">
        <f>IFERROR(IF((N(AH295)+N(AH299)+N(AH301)+N(AH302)+N(AH309)+N(AH310)+N(AH311))&lt;&gt;0,N(AH241)/(N(AH295)+N(AH299)+N(AH301)+N(AH302)+N(AH309)+N(AH310)+N(AH311)),""),"")</f>
        <v>2.08378627649737</v>
      </c>
      <c r="AI439" s="262">
        <f>IFERROR(IF((N(AI295)+N(AI299)+N(AI301)+N(AI302)+N(AI309)+N(AI310)+N(AI311))&lt;&gt;0,N(AI241)/(N(AI295)+N(AI299)+N(AI301)+N(AI302)+N(AI309)+N(AI310)+N(AI311)),""),"")</f>
        <v>1.93613158680066</v>
      </c>
      <c r="AJ439" s="262">
        <f>IFERROR(IF((N(AJ295)+N(AJ299)+N(AJ301)+N(AJ302)+N(AJ309)+N(AJ310)+N(AJ311))&lt;&gt;0,N(AJ241)/(N(AJ295)+N(AJ299)+N(AJ301)+N(AJ302)+N(AJ309)+N(AJ310)+N(AJ311)),""),"")</f>
        <v>2.23861389287509</v>
      </c>
      <c r="AK439" s="262">
        <f>IFERROR(IF((N(AK295)+N(AK299)+N(AK301)+N(AK302)+N(AK309)+N(AK310)+N(AK311))&lt;&gt;0,N(AK241)/(N(AK295)+N(AK299)+N(AK301)+N(AK302)+N(AK309)+N(AK310)+N(AK311)),""),"")</f>
        <v>2.45653113268693</v>
      </c>
      <c r="AL439" s="262">
        <f>IFERROR(IF((N(AL295)+N(AL299)+N(AL301)+N(AL302)+N(AL309)+N(AL310)+N(AL311))&lt;&gt;0,N(AL241)/(N(AL295)+N(AL299)+N(AL301)+N(AL302)+N(AL309)+N(AL310)+N(AL311)),""),"")</f>
        <v>2.45653113268693</v>
      </c>
      <c r="AM439" s="262">
        <f>IFERROR(IF((N(AM295)+N(AM299)+N(AM301)+N(AM302)+N(AM309)+N(AM310)+N(AM311))&lt;&gt;0,N(AM241)/(N(AM295)+N(AM299)+N(AM301)+N(AM302)+N(AM309)+N(AM310)+N(AM311)),""),"")</f>
        <v>2.69393619675808</v>
      </c>
      <c r="AN439" s="262">
        <f>IFERROR(IF((N(AN295)+N(AN299)+N(AN301)+N(AN302)+N(AN309)+N(AN310)+N(AN311))&lt;&gt;0,N(AN241)/(N(AN295)+N(AN299)+N(AN301)+N(AN302)+N(AN309)+N(AN310)+N(AN311)),""),"")</f>
        <v>2.94154375031424</v>
      </c>
      <c r="AO439" s="262">
        <f>IFERROR(IF((N(AO295)+N(AO299)+N(AO301)+N(AO302)+N(AO309)+N(AO310)+N(AO311))&lt;&gt;0,N(AO241)/(N(AO295)+N(AO299)+N(AO301)+N(AO302)+N(AO309)+N(AO310)+N(AO311)),""),"")</f>
        <v>3.25645271374363</v>
      </c>
      <c r="AP439" s="262">
        <f>IFERROR(IF((N(AP295)+N(AP299)+N(AP301)+N(AP302)+N(AP309)+N(AP310)+N(AP311))&lt;&gt;0,N(AP241)/(N(AP295)+N(AP299)+N(AP301)+N(AP302)+N(AP309)+N(AP310)+N(AP311)),""),"")</f>
        <v>3.42540576548542</v>
      </c>
      <c r="AQ439" s="262">
        <f>IFERROR(IF((N(AQ295)+N(AQ299)+N(AQ301)+N(AQ302)+N(AQ309)+N(AQ310)+N(AQ311))&lt;&gt;0,N(AQ241)/(N(AQ295)+N(AQ299)+N(AQ301)+N(AQ302)+N(AQ309)+N(AQ310)+N(AQ311)),""),"")</f>
        <v>3.42540576548542</v>
      </c>
      <c r="AR439" s="262">
        <f>IFERROR(IF((N(AR295)+N(AR299)+N(AR301)+N(AR302)+N(AR309)+N(AR310)+N(AR311))&lt;&gt;0,N(AR241)/(N(AR295)+N(AR299)+N(AR301)+N(AR302)+N(AR309)+N(AR310)+N(AR311)),""),"")</f>
        <v>3.62007222634596</v>
      </c>
      <c r="AS439" s="262">
        <f>IFERROR(IF((N(AS295)+N(AS299)+N(AS301)+N(AS302)+N(AS309)+N(AS310)+N(AS311))&lt;&gt;0,N(AS241)/(N(AS295)+N(AS299)+N(AS301)+N(AS302)+N(AS309)+N(AS310)+N(AS311)),""),"")</f>
        <v>3.79225076580612</v>
      </c>
      <c r="AT439" s="262">
        <f>IFERROR(IF((N(AT295)+N(AT299)+N(AT301)+N(AT302)+N(AT309)+N(AT310)+N(AT311))&lt;&gt;0,N(AT241)/(N(AT295)+N(AT299)+N(AT301)+N(AT302)+N(AT309)+N(AT310)+N(AT311)),""),"")</f>
        <v>4.08064873814607</v>
      </c>
      <c r="AU439" s="262">
        <f>IFERROR(IF((N(AU295)+N(AU299)+N(AU301)+N(AU302)+N(AU309)+N(AU310)+N(AU311))&lt;&gt;0,N(AU241)/(N(AU295)+N(AU299)+N(AU301)+N(AU302)+N(AU309)+N(AU310)+N(AU311)),""),"")</f>
        <v>4.16695509934099</v>
      </c>
      <c r="AV439" s="262">
        <f>IFERROR(IF((N(AV295)+N(AV299)+N(AV301)+N(AV302)+N(AV309)+N(AV310)+N(AV311))&lt;&gt;0,N(AV241)/(N(AV295)+N(AV299)+N(AV301)+N(AV302)+N(AV309)+N(AV310)+N(AV311)),""),"")</f>
        <v>4.16695509934099</v>
      </c>
      <c r="AW439" s="262">
        <f>IFERROR(IF((N(AW295)+N(AW299)+N(AW301)+N(AW302)+N(AW309)+N(AW310)+N(AW311))&lt;&gt;0,N(AW241)/(N(AW295)+N(AW299)+N(AW301)+N(AW302)+N(AW309)+N(AW310)+N(AW311)),""),"")</f>
        <v>4.27657101747518</v>
      </c>
      <c r="AX439" s="262">
        <f>IFERROR(IF((N(AX295)+N(AX299)+N(AX301)+N(AX302)+N(AX309)+N(AX310)+N(AX311))&lt;&gt;0,N(AX241)/(N(AX295)+N(AX299)+N(AX301)+N(AX302)+N(AX309)+N(AX310)+N(AX311)),""),"")</f>
        <v>4.35440807799466</v>
      </c>
      <c r="AY439" s="262">
        <f>IFERROR(IF((N(AY295)+N(AY299)+N(AY301)+N(AY302)+N(AY309)+N(AY310)+N(AY311))&lt;&gt;0,N(AY241)/(N(AY295)+N(AY299)+N(AY301)+N(AY302)+N(AY309)+N(AY310)+N(AY311)),""),"")</f>
        <v>4.56355685282129</v>
      </c>
      <c r="AZ439" s="262">
        <f>IFERROR(IF((N(AZ295)+N(AZ299)+N(AZ301)+N(AZ302)+N(AZ309)+N(AZ310)+N(AZ311))&lt;&gt;0,N(AZ241)/(N(AZ295)+N(AZ299)+N(AZ301)+N(AZ302)+N(AZ309)+N(AZ310)+N(AZ311)),""),"")</f>
        <v>4.54917882464059</v>
      </c>
      <c r="BA439" s="262">
        <f>IFERROR(IF((N(BA295)+N(BA299)+N(BA301)+N(BA302)+N(BA309)+N(BA310)+N(BA311))&lt;&gt;0,N(BA241)/(N(BA295)+N(BA299)+N(BA301)+N(BA302)+N(BA309)+N(BA310)+N(BA311)),""),"")</f>
        <v>4.54917882464059</v>
      </c>
      <c r="BB439" s="262">
        <f>IFERROR(IF((N(BB295)+N(BB299)+N(BB301)+N(BB302)+N(BB309)+N(BB310)+N(BB311))&lt;&gt;0,N(BB241)/(N(BB295)+N(BB299)+N(BB301)+N(BB302)+N(BB309)+N(BB310)+N(BB311)),""),"")</f>
        <v>4.56113671638049</v>
      </c>
      <c r="BC439" s="262">
        <f>IFERROR(IF((N(BC295)+N(BC299)+N(BC301)+N(BC302)+N(BC309)+N(BC310)+N(BC311))&lt;&gt;0,N(BC241)/(N(BC295)+N(BC299)+N(BC301)+N(BC302)+N(BC309)+N(BC310)+N(BC311)),""),"")</f>
        <v>4.53851902691972</v>
      </c>
      <c r="BD439" s="262">
        <f>IFERROR(IF((N(BD295)+N(BD299)+N(BD301)+N(BD302)+N(BD309)+N(BD310)+N(BD311))&lt;&gt;0,N(BD241)/(N(BD295)+N(BD299)+N(BD301)+N(BD302)+N(BD309)+N(BD310)+N(BD311)),""),"")</f>
        <v>4.63819525904583</v>
      </c>
      <c r="BE439" s="262">
        <f>IFERROR(IF((N(BE295)+N(BE299)+N(BE301)+N(BE302)+N(BE309)+N(BE310)+N(BE311))&lt;&gt;0,N(BE241)/(N(BE295)+N(BE299)+N(BE301)+N(BE302)+N(BE309)+N(BE310)+N(BE311)),""),"")</f>
        <v>4.53573823758541</v>
      </c>
      <c r="BF439" s="262">
        <f>IFERROR(IF((N(BF295)+N(BF299)+N(BF301)+N(BF302)+N(BF309)+N(BF310)+N(BF311))&lt;&gt;0,N(BF241)/(N(BF295)+N(BF299)+N(BF301)+N(BF302)+N(BF309)+N(BF310)+N(BF311)),""),"")</f>
        <v>4.53573823758541</v>
      </c>
      <c r="BG439" s="82" t="n"/>
      <c r="BH439" s="82" t="n"/>
      <c r="BI439" s="82" t="n"/>
      <c r="BJ439" s="82" t="n"/>
      <c r="BL439" s="82" t="n"/>
      <c r="BM439" s="82" t="n"/>
      <c r="BN439" s="82" t="n"/>
      <c r="BO439" s="82" t="n"/>
      <c r="BQ439" s="82" t="n"/>
      <c r="BR439" s="82" t="n"/>
      <c r="BS439" s="82" t="n"/>
      <c r="BT439" s="82" t="n"/>
      <c r="BV439" s="82" t="n"/>
      <c r="BW439" s="82" t="n"/>
      <c r="BX439" s="82" t="n"/>
      <c r="BY439" s="82" t="n"/>
      <c r="CA439" s="82" t="n"/>
      <c r="CB439" s="82" t="n"/>
      <c r="CC439" s="82" t="n"/>
      <c r="CD439" s="82" t="n"/>
      <c r="CF439" s="82" t="n"/>
      <c r="CG439" s="82" t="n"/>
      <c r="CH439" s="82" t="n"/>
      <c r="CI439" s="82" t="n"/>
      <c r="CK439" s="82" t="n"/>
      <c r="CL439" s="82" t="n"/>
      <c r="CM439" s="82" t="n"/>
      <c r="CN439" s="82" t="n"/>
      <c r="CP439" s="82" t="n"/>
      <c r="CQ439" s="82" t="n"/>
      <c r="CR439" s="82" t="n"/>
      <c r="CS439" s="82" t="n"/>
      <c r="CU439" s="82" t="n"/>
      <c r="CV439" s="82" t="n"/>
      <c r="CW439" s="82" t="n"/>
      <c r="CX439" s="82" t="n"/>
    </row>
    <row r="440" customFormat="1" s="77">
      <c r="A440" s="76" t="n"/>
      <c r="B440" s="76" t="n"/>
    </row>
    <row r="441" customFormat="1" s="77">
      <c r="A441" s="76" t="n"/>
      <c r="B441" s="76" t="n"/>
      <c r="C441" s="74" t="inlineStr">
        <is>
          <t>OPERATING EFFICIENCY</t>
        </is>
      </c>
    </row>
    <row r="442" customFormat="1" s="84">
      <c r="A442" s="81" t="n"/>
      <c r="B442" s="81" t="n"/>
      <c r="C442" s="84" t="inlineStr">
        <is>
          <t>RETURN ON CAPITAL (ROIC) - LTM</t>
        </is>
      </c>
      <c r="D442" t="str">
        <f>IFERROR(D444/D447,"")</f>
        <v/>
      </c>
      <c r="E442" t="str">
        <f>IFERROR(E444/E447,"")</f>
        <v/>
      </c>
      <c r="F442" t="str">
        <f>IFERROR(F444/F447,"")</f>
        <v/>
      </c>
      <c r="G442" t="str">
        <f>IFERROR(G444/G447,"")</f>
        <v/>
      </c>
      <c r="H442" s="257" t="str">
        <f>IFERROR(IF(AND(COUNT(H444)=1,N(H447)&lt;&gt;0),(H444)/H447,""),"")</f>
        <v/>
      </c>
      <c r="I442" s="257" t="str">
        <f>""</f>
        <v/>
      </c>
      <c r="J442" s="257" t="str">
        <f>""</f>
        <v/>
      </c>
      <c r="K442" s="257" t="str">
        <f>""</f>
        <v/>
      </c>
      <c r="L442" s="257">
        <f>IFERROR(IF(AND(COUNT(I444,J444,K444,L444)=4,N(L447)&lt;&gt;0),(I444+J444+K444+L444)/L447,""),"")</f>
        <v>0.133253644960041</v>
      </c>
      <c r="M442" s="257">
        <f>IFERROR(IF(AND(COUNT(I444,J444,K444,L444)=4,N(M447)&lt;&gt;0),(I444+J444+K444+L444)/M447,""),"")</f>
        <v>0.133253644960041</v>
      </c>
      <c r="N442" s="257">
        <f>IFERROR(IF(AND(COUNT(J444,K444,L444,N444)=4,N(N447)&lt;&gt;0),(J444+K444+L444+N444)/N447,""),"")</f>
        <v>0.1367094929144</v>
      </c>
      <c r="O442" s="257">
        <f>IFERROR(IF(AND(COUNT(K444,L444,N444,O444)=4,N(O447)&lt;&gt;0),(K444+L444+N444+O444)/O447,""),"")</f>
        <v>0.122619610791795</v>
      </c>
      <c r="P442" s="257">
        <f>IFERROR(IF(AND(COUNT(L444,N444,O444,P444)=4,N(P447)&lt;&gt;0),(L444+N444+O444+P444)/P447,""),"")</f>
        <v>0.112843095084486</v>
      </c>
      <c r="Q442" s="257">
        <f>IFERROR(IF(AND(COUNT(N444,O444,P444,Q444)=4,N(Q447)&lt;&gt;0),(N444+O444+P444+Q444)/Q447,""),"")</f>
        <v>0.112027699858106</v>
      </c>
      <c r="R442" s="257">
        <f>IFERROR(IF(AND(COUNT(N444,O444,P444,Q444)=4,N(R447)&lt;&gt;0),(N444+O444+P444+Q444)/R447,""),"")</f>
        <v>0.112027699858106</v>
      </c>
      <c r="S442" s="257">
        <f>IFERROR(IF(AND(COUNT(O444,P444,Q444,S444)=4,N(S447)&lt;&gt;0),(O444+P444+Q444+S444)/S447,""),"")</f>
        <v>0.0957441942012121</v>
      </c>
      <c r="T442" s="257">
        <f>IFERROR(IF(AND(COUNT(P444,Q444,S444,T444)=4,N(T447)&lt;&gt;0),(P444+Q444+S444+T444)/T447,""),"")</f>
        <v>0.0885094560757968</v>
      </c>
      <c r="U442" s="257">
        <f>IFERROR(IF(AND(COUNT(Q444,S444,T444,U444)=4,N(U447)&lt;&gt;0),(Q444+S444+T444+U444)/U447,""),"")</f>
        <v>0.0856919573844973</v>
      </c>
      <c r="V442" s="257">
        <f>IFERROR(IF(AND(COUNT(S444,T444,U444,V444)=4,N(V447)&lt;&gt;0),(S444+T444+U444+V444)/V447,""),"")</f>
        <v>0.0805491205813242</v>
      </c>
      <c r="W442" s="257">
        <f>IFERROR(IF(AND(COUNT(S444,T444,U444,V444)=4,N(W447)&lt;&gt;0),(S444+T444+U444+V444)/W447,""),"")</f>
        <v>0.0805491205813242</v>
      </c>
      <c r="X442" s="257">
        <f>IFERROR(IF(AND(COUNT(T444,U444,V444,X444)=4,N(X447)&lt;&gt;0),(T444+U444+V444+X444)/X447,""),"")</f>
        <v>0.0783769797831854</v>
      </c>
      <c r="Y442" s="257">
        <f>IFERROR(IF(AND(COUNT(U444,V444,X444,Y444)=4,N(Y447)&lt;&gt;0),(U444+V444+X444+Y444)/Y447,""),"")</f>
        <v>0.0802936762105428</v>
      </c>
      <c r="Z442" s="257">
        <f>IFERROR(IF(AND(COUNT(V444,X444,Y444,Z444)=4,N(Z447)&lt;&gt;0),(V444+X444+Y444+Z444)/Z447,""),"")</f>
        <v>0.0902293001061222</v>
      </c>
      <c r="AA442" s="257">
        <f>IFERROR(IF(AND(COUNT(X444,Y444,Z444,AA444)=4,N(AA447)&lt;&gt;0),(X444+Y444+Z444+AA444)/AA447,""),"")</f>
        <v>0.0994968669418444</v>
      </c>
      <c r="AB442" s="257">
        <f>IFERROR(IF(AND(COUNT(X444,Y444,Z444,AA444)=4,N(AB447)&lt;&gt;0),(X444+Y444+Z444+AA444)/AB447,""),"")</f>
        <v>0.0994968669418444</v>
      </c>
      <c r="AC442" s="257">
        <f>IFERROR(IF(AND(COUNT(Y444,Z444,AA444,AC444)=4,N(AC447)&lt;&gt;0),(Y444+Z444+AA444+AC444)/AC447,""),"")</f>
        <v>0.100772426042766</v>
      </c>
      <c r="AD442" s="257">
        <f>IFERROR(IF(AND(COUNT(Z444,AA444,AC444,AD444)=4,N(AD447)&lt;&gt;0),(Z444+AA444+AC444+AD444)/AD447,""),"")</f>
        <v>0.100583709072506</v>
      </c>
      <c r="AE442" s="257">
        <f>IFERROR(IF(AND(COUNT(AA444,AC444,AD444,AE444)=4,N(AE447)&lt;&gt;0),(AA444+AC444+AD444+AE444)/AE447,""),"")</f>
        <v>0.0879471493663361</v>
      </c>
      <c r="AF442" s="257">
        <f>IFERROR(IF(AND(COUNT(AB444,AD444,AE444,AF444)=4,N(AF447)&lt;&gt;0),(AB444+AD444+AE444+AF444)/AF447,""),"")</f>
        <v>0.16505555076009</v>
      </c>
      <c r="AG442" s="257">
        <f>IFERROR(IF(AND(COUNT(AC444,AD444,AE444,AF444)=4,N(AG447)&lt;&gt;0),(AC444+AD444+AE444+AF444)/AG447,""),"")</f>
        <v>0.0844900646929155</v>
      </c>
      <c r="AH442" s="257">
        <f>IFERROR(IF(AND(COUNT(AD444,AF444,AG444,AH444)=4,N(AH447)&lt;&gt;0),(AD444+AF444+AG444+AH444)/AH447,""),"")</f>
        <v>0.150126264856757</v>
      </c>
      <c r="AI442" s="257">
        <f>IFERROR(IF(AND(COUNT(AE444,AG444,AH444,AI444)=4,N(AI447)&lt;&gt;0),(AE444+AG444+AH444+AI444)/AI447,""),"")</f>
        <v>0.15082438088564</v>
      </c>
      <c r="AJ442" s="257">
        <f>IFERROR(IF(AND(COUNT(AF444,AH444,AI444,AJ444)=4,N(AJ447)&lt;&gt;0),(AF444+AH444+AI444+AJ444)/AJ447,""),"")</f>
        <v>0.0998491693367351</v>
      </c>
      <c r="AK442" s="257">
        <f>IFERROR(IF(AND(COUNT(AH444,AI444,AJ444,AK444)=4,N(AK447)&lt;&gt;0),(AH444+AI444+AJ444+AK444)/AK447,""),"")</f>
        <v>0.103430502256537</v>
      </c>
      <c r="AL442" s="257">
        <f>IFERROR(IF(AND(COUNT(AH444,AI444,AJ444,AK444)=4,N(AL447)&lt;&gt;0),(AH444+AI444+AJ444+AK444)/AL447,""),"")</f>
        <v>0.103430502256537</v>
      </c>
      <c r="AM442" s="257">
        <f>IFERROR(IF(AND(COUNT(AI444,AJ444,AK444,AM444)=4,N(AM447)&lt;&gt;0),(AI444+AJ444+AK444+AM444)/AM447,""),"")</f>
        <v>0.110169528669082</v>
      </c>
      <c r="AN442" s="257">
        <f>IFERROR(IF(AND(COUNT(AJ444,AK444,AM444,AN444)=4,N(AN447)&lt;&gt;0),(AJ444+AK444+AM444+AN444)/AN447,""),"")</f>
        <v>0.110457057005356</v>
      </c>
      <c r="AO442" s="257">
        <f>IFERROR(IF(AND(COUNT(AK444,AM444,AN444,AO444)=4,N(AO447)&lt;&gt;0),(AK444+AM444+AN444+AO444)/AO447,""),"")</f>
        <v>0.114497141614641</v>
      </c>
      <c r="AP442" s="257">
        <f>IFERROR(IF(AND(COUNT(AM444,AN444,AO444,AP444)=4,N(AP447)&lt;&gt;0),(AM444+AN444+AO444+AP444)/AP447,""),"")</f>
        <v>0.119321929559955</v>
      </c>
      <c r="AQ442" s="257">
        <f>IFERROR(IF(AND(COUNT(AM444,AN444,AO444,AP444)=4,N(AQ447)&lt;&gt;0),(AM444+AN444+AO444+AP444)/AQ447,""),"")</f>
        <v>0.119321929559955</v>
      </c>
      <c r="AR442" s="257">
        <f>IFERROR(IF(AND(COUNT(AN444,AO444,AP444,AR444)=4,N(AR447)&lt;&gt;0),(AN444+AO444+AP444+AR444)/AR447,""),"")</f>
        <v>0.124479872403737</v>
      </c>
      <c r="AS442" s="257">
        <f>IFERROR(IF(AND(COUNT(AO444,AP444,AR444,AS444)=4,N(AS447)&lt;&gt;0),(AO444+AP444+AR444+AS444)/AS447,""),"")</f>
        <v>0.131147891619385</v>
      </c>
      <c r="AT442" s="257">
        <f>IFERROR(IF(AND(COUNT(AP444,AR444,AS444,AT444)=4,N(AT447)&lt;&gt;0),(AP444+AR444+AS444+AT444)/AT447,""),"")</f>
        <v>0.136211954488726</v>
      </c>
      <c r="AU442" s="257">
        <f>IFERROR(IF(AND(COUNT(AR444,AS444,AT444,AU444)=4,N(AU447)&lt;&gt;0),(AR444+AS444+AT444+AU444)/AU447,""),"")</f>
        <v>0.142263949790858</v>
      </c>
      <c r="AV442" s="257">
        <f>IFERROR(IF(AND(COUNT(AR444,AS444,AT444,AU444)=4,N(AV447)&lt;&gt;0),(AR444+AS444+AT444+AU444)/AV447,""),"")</f>
        <v>0.142263949790858</v>
      </c>
      <c r="AW442" s="257">
        <f>IFERROR(IF(AND(COUNT(AS444,AT444,AU444,AW444)=4,N(AW447)&lt;&gt;0),(AS444+AT444+AU444+AW444)/AW447,""),"")</f>
        <v>0.148776358154565</v>
      </c>
      <c r="AX442" s="257">
        <f>IFERROR(IF(AND(COUNT(AT444,AU444,AW444,AX444)=4,N(AX447)&lt;&gt;0),(AT444+AU444+AW444+AX444)/AX447,""),"")</f>
        <v>0.157192929743606</v>
      </c>
      <c r="AY442" s="257">
        <f>IFERROR(IF(AND(COUNT(AU444,AW444,AX444,AY444)=4,N(AY447)&lt;&gt;0),(AU444+AW444+AX444+AY444)/AY447,""),"")</f>
        <v>0.163916152908429</v>
      </c>
      <c r="AZ442" s="257">
        <f>IFERROR(IF(AND(COUNT(AW444,AX444,AY444,AZ444)=4,N(AZ447)&lt;&gt;0),(AW444+AX444+AY444+AZ444)/AZ447,""),"")</f>
        <v>0.171980575251364</v>
      </c>
      <c r="BA442" s="257">
        <f>IFERROR(IF(AND(COUNT(AW444,AX444,AY444,AZ444)=4,N(BA447)&lt;&gt;0),(AW444+AX444+AY444+AZ444)/BA447,""),"")</f>
        <v>0.171980575251364</v>
      </c>
      <c r="BB442" s="257">
        <f>IFERROR(IF(AND(COUNT(AX444,AY444,AZ444,BB444)=4,N(BB447)&lt;&gt;0),(AX444+AY444+AZ444+BB444)/BB447,""),"")</f>
        <v>0.18078301312887</v>
      </c>
      <c r="BC442" s="257">
        <f>IFERROR(IF(AND(COUNT(AY444,AZ444,BB444,BC444)=4,N(BC447)&lt;&gt;0),(AY444+AZ444+BB444+BC444)/BC447,""),"")</f>
        <v>0.192165107124623</v>
      </c>
      <c r="BD442" s="257">
        <f>IFERROR(IF(AND(COUNT(AZ444,BB444,BC444,BD444)=4,N(BD447)&lt;&gt;0),(AZ444+BB444+BC444+BD444)/BD447,""),"")</f>
        <v>0.201951750826523</v>
      </c>
      <c r="BE442" s="257">
        <f>IFERROR(IF(AND(COUNT(BB444,BC444,BD444,BE444)=4,N(BE447)&lt;&gt;0),(BB444+BC444+BD444+BE444)/BE447,""),"")</f>
        <v>0.213813839098281</v>
      </c>
      <c r="BF442" s="257">
        <f>IFERROR(IF(AND(COUNT(BB444,BC444,BD444,BE444)=4,N(BF447)&lt;&gt;0),(BB444+BC444+BD444+BE444)/BF447,""),"")</f>
        <v>0.213813839098281</v>
      </c>
      <c r="BG442" s="81" t="n"/>
      <c r="BH442" s="81" t="n"/>
      <c r="BI442" s="81" t="n"/>
      <c r="BJ442" s="81" t="n"/>
      <c r="BL442" s="81" t="n"/>
      <c r="BM442" s="81" t="n"/>
      <c r="BN442" s="81" t="n"/>
      <c r="BO442" s="81" t="n"/>
      <c r="BQ442" s="81" t="n"/>
      <c r="BR442" s="81" t="n"/>
      <c r="BS442" s="81" t="n"/>
      <c r="BT442" s="81" t="n"/>
      <c r="BV442" s="81" t="n"/>
      <c r="BW442" s="81" t="n"/>
      <c r="BX442" s="81" t="n"/>
      <c r="BY442" s="81" t="n"/>
      <c r="CA442" s="81" t="n"/>
      <c r="CB442" s="81" t="n"/>
      <c r="CC442" s="81" t="n"/>
      <c r="CD442" s="81" t="n"/>
      <c r="CF442" s="81" t="n"/>
      <c r="CG442" s="81" t="n"/>
      <c r="CH442" s="81" t="n"/>
      <c r="CI442" s="81" t="n"/>
      <c r="CK442" s="81" t="n"/>
      <c r="CL442" s="81" t="n"/>
      <c r="CM442" s="81" t="n"/>
      <c r="CN442" s="81" t="n"/>
      <c r="CP442" s="81" t="n"/>
      <c r="CQ442" s="81" t="n"/>
      <c r="CR442" s="81" t="n"/>
      <c r="CS442" s="81" t="n"/>
      <c r="CU442" s="81" t="n"/>
      <c r="CV442" s="81" t="n"/>
      <c r="CW442" s="81" t="n"/>
      <c r="CX442" s="81" t="n"/>
    </row>
    <row r="443" customFormat="1" s="84">
      <c r="A443" s="81" t="n"/>
      <c r="B443" s="81" t="n"/>
      <c r="C443" s="84" t="inlineStr">
        <is>
          <t>RETURN ON CAPITAL (ROIC) - EX GOODWILL - LTM</t>
        </is>
      </c>
      <c r="D443" t="str">
        <f>IFERROR(D444/D448,"")</f>
        <v/>
      </c>
      <c r="E443" t="str">
        <f>IFERROR(E444/E448,"")</f>
        <v/>
      </c>
      <c r="F443" t="str">
        <f>IFERROR(F444/F448,"")</f>
        <v/>
      </c>
      <c r="G443" t="str">
        <f>IFERROR(G444/G448,"")</f>
        <v/>
      </c>
      <c r="H443" s="257" t="str">
        <f>IFERROR(IF(AND(COUNT(H444)=1,N(H448)&lt;&gt;0),(H444)/H448,""),"")</f>
        <v/>
      </c>
      <c r="I443" s="257" t="str">
        <f>""</f>
        <v/>
      </c>
      <c r="J443" s="257" t="str">
        <f>""</f>
        <v/>
      </c>
      <c r="K443" s="257" t="str">
        <f>""</f>
        <v/>
      </c>
      <c r="L443" s="257">
        <f>IFERROR(IF(AND(COUNT(I444,J444,K444,L444)=4,N(L448)&lt;&gt;0),(I444+J444+K444+L444)/L448,""),"")</f>
        <v>0.133253644960041</v>
      </c>
      <c r="M443" s="257">
        <f>IFERROR(IF(AND(COUNT(I444,J444,K444,L444)=4,N(M448)&lt;&gt;0),(I444+J444+K444+L444)/M448,""),"")</f>
        <v>0.133253644960041</v>
      </c>
      <c r="N443" s="257">
        <f>IFERROR(IF(AND(COUNT(J444,K444,L444,N444)=4,N(N448)&lt;&gt;0),(J444+K444+L444+N444)/N448,""),"")</f>
        <v>0.1367094929144</v>
      </c>
      <c r="O443" s="257">
        <f>IFERROR(IF(AND(COUNT(K444,L444,N444,O444)=4,N(O448)&lt;&gt;0),(K444+L444+N444+O444)/O448,""),"")</f>
        <v>0.122619610791795</v>
      </c>
      <c r="P443" s="257">
        <f>IFERROR(IF(AND(COUNT(L444,N444,O444,P444)=4,N(P448)&lt;&gt;0),(L444+N444+O444+P444)/P448,""),"")</f>
        <v>0.112843095084486</v>
      </c>
      <c r="Q443" s="257">
        <f>IFERROR(IF(AND(COUNT(N444,O444,P444,Q444)=4,N(Q448)&lt;&gt;0),(N444+O444+P444+Q444)/Q448,""),"")</f>
        <v>0.112027699858106</v>
      </c>
      <c r="R443" s="257">
        <f>IFERROR(IF(AND(COUNT(N444,O444,P444,Q444)=4,N(R448)&lt;&gt;0),(N444+O444+P444+Q444)/R448,""),"")</f>
        <v>0.112027699858106</v>
      </c>
      <c r="S443" s="257">
        <f>IFERROR(IF(AND(COUNT(O444,P444,Q444,S444)=4,N(S448)&lt;&gt;0),(O444+P444+Q444+S444)/S448,""),"")</f>
        <v>0.0957441942012121</v>
      </c>
      <c r="T443" s="257">
        <f>IFERROR(IF(AND(COUNT(P444,Q444,S444,T444)=4,N(T448)&lt;&gt;0),(P444+Q444+S444+T444)/T448,""),"")</f>
        <v>0.0885094560757968</v>
      </c>
      <c r="U443" s="257">
        <f>IFERROR(IF(AND(COUNT(Q444,S444,T444,U444)=4,N(U448)&lt;&gt;0),(Q444+S444+T444+U444)/U448,""),"")</f>
        <v>0.0856919573844973</v>
      </c>
      <c r="V443" s="257">
        <f>IFERROR(IF(AND(COUNT(S444,T444,U444,V444)=4,N(V448)&lt;&gt;0),(S444+T444+U444+V444)/V448,""),"")</f>
        <v>0.0805491205813242</v>
      </c>
      <c r="W443" s="257">
        <f>IFERROR(IF(AND(COUNT(S444,T444,U444,V444)=4,N(W448)&lt;&gt;0),(S444+T444+U444+V444)/W448,""),"")</f>
        <v>0.0805491205813242</v>
      </c>
      <c r="X443" s="257">
        <f>IFERROR(IF(AND(COUNT(T444,U444,V444,X444)=4,N(X448)&lt;&gt;0),(T444+U444+V444+X444)/X448,""),"")</f>
        <v>0.0783769797831854</v>
      </c>
      <c r="Y443" s="257">
        <f>IFERROR(IF(AND(COUNT(U444,V444,X444,Y444)=4,N(Y448)&lt;&gt;0),(U444+V444+X444+Y444)/Y448,""),"")</f>
        <v>0.0802936762105428</v>
      </c>
      <c r="Z443" s="257">
        <f>IFERROR(IF(AND(COUNT(V444,X444,Y444,Z444)=4,N(Z448)&lt;&gt;0),(V444+X444+Y444+Z444)/Z448,""),"")</f>
        <v>0.0902293001061222</v>
      </c>
      <c r="AA443" s="257">
        <f>IFERROR(IF(AND(COUNT(X444,Y444,Z444,AA444)=4,N(AA448)&lt;&gt;0),(X444+Y444+Z444+AA444)/AA448,""),"")</f>
        <v>0.0994968669418444</v>
      </c>
      <c r="AB443" s="257">
        <f>IFERROR(IF(AND(COUNT(X444,Y444,Z444,AA444)=4,N(AB448)&lt;&gt;0),(X444+Y444+Z444+AA444)/AB448,""),"")</f>
        <v>0.0994968669418444</v>
      </c>
      <c r="AC443" s="257">
        <f>IFERROR(IF(AND(COUNT(Y444,Z444,AA444,AC444)=4,N(AC448)&lt;&gt;0),(Y444+Z444+AA444+AC444)/AC448,""),"")</f>
        <v>0.100772426042766</v>
      </c>
      <c r="AD443" s="257">
        <f>IFERROR(IF(AND(COUNT(Z444,AA444,AC444,AD444)=4,N(AD448)&lt;&gt;0),(Z444+AA444+AC444+AD444)/AD448,""),"")</f>
        <v>0.100583709072506</v>
      </c>
      <c r="AE443" s="257">
        <f>IFERROR(IF(AND(COUNT(AA444,AC444,AD444,AE444)=4,N(AE448)&lt;&gt;0),(AA444+AC444+AD444+AE444)/AE448,""),"")</f>
        <v>0.0879471493663361</v>
      </c>
      <c r="AF443" s="257">
        <f>IFERROR(IF(AND(COUNT(AB444,AD444,AE444,AF444)=4,N(AF448)&lt;&gt;0),(AB444+AD444+AE444+AF444)/AF448,""),"")</f>
        <v>0.16505555076009</v>
      </c>
      <c r="AG443" s="257">
        <f>IFERROR(IF(AND(COUNT(AC444,AD444,AE444,AF444)=4,N(AG448)&lt;&gt;0),(AC444+AD444+AE444+AF444)/AG448,""),"")</f>
        <v>0.0844900646929155</v>
      </c>
      <c r="AH443" s="257">
        <f>IFERROR(IF(AND(COUNT(AD444,AF444,AG444,AH444)=4,N(AH448)&lt;&gt;0),(AD444+AF444+AG444+AH444)/AH448,""),"")</f>
        <v>0.150126264856757</v>
      </c>
      <c r="AI443" s="257">
        <f>IFERROR(IF(AND(COUNT(AE444,AG444,AH444,AI444)=4,N(AI448)&lt;&gt;0),(AE444+AG444+AH444+AI444)/AI448,""),"")</f>
        <v>0.15082438088564</v>
      </c>
      <c r="AJ443" s="257">
        <f>IFERROR(IF(AND(COUNT(AF444,AH444,AI444,AJ444)=4,N(AJ448)&lt;&gt;0),(AF444+AH444+AI444+AJ444)/AJ448,""),"")</f>
        <v>0.0998491693367351</v>
      </c>
      <c r="AK443" s="257">
        <f>IFERROR(IF(AND(COUNT(AH444,AI444,AJ444,AK444)=4,N(AK448)&lt;&gt;0),(AH444+AI444+AJ444+AK444)/AK448,""),"")</f>
        <v>0.103430502256537</v>
      </c>
      <c r="AL443" s="257">
        <f>IFERROR(IF(AND(COUNT(AH444,AI444,AJ444,AK444)=4,N(AL448)&lt;&gt;0),(AH444+AI444+AJ444+AK444)/AL448,""),"")</f>
        <v>0.103430502256537</v>
      </c>
      <c r="AM443" s="257">
        <f>IFERROR(IF(AND(COUNT(AI444,AJ444,AK444,AM444)=4,N(AM448)&lt;&gt;0),(AI444+AJ444+AK444+AM444)/AM448,""),"")</f>
        <v>0.110169528669082</v>
      </c>
      <c r="AN443" s="257">
        <f>IFERROR(IF(AND(COUNT(AJ444,AK444,AM444,AN444)=4,N(AN448)&lt;&gt;0),(AJ444+AK444+AM444+AN444)/AN448,""),"")</f>
        <v>0.110457057005356</v>
      </c>
      <c r="AO443" s="257">
        <f>IFERROR(IF(AND(COUNT(AK444,AM444,AN444,AO444)=4,N(AO448)&lt;&gt;0),(AK444+AM444+AN444+AO444)/AO448,""),"")</f>
        <v>0.114497141614641</v>
      </c>
      <c r="AP443" s="257">
        <f>IFERROR(IF(AND(COUNT(AM444,AN444,AO444,AP444)=4,N(AP448)&lt;&gt;0),(AM444+AN444+AO444+AP444)/AP448,""),"")</f>
        <v>0.119321929559955</v>
      </c>
      <c r="AQ443" s="257">
        <f>IFERROR(IF(AND(COUNT(AM444,AN444,AO444,AP444)=4,N(AQ448)&lt;&gt;0),(AM444+AN444+AO444+AP444)/AQ448,""),"")</f>
        <v>0.119321929559955</v>
      </c>
      <c r="AR443" s="257">
        <f>IFERROR(IF(AND(COUNT(AN444,AO444,AP444,AR444)=4,N(AR448)&lt;&gt;0),(AN444+AO444+AP444+AR444)/AR448,""),"")</f>
        <v>0.124479872403737</v>
      </c>
      <c r="AS443" s="257">
        <f>IFERROR(IF(AND(COUNT(AO444,AP444,AR444,AS444)=4,N(AS448)&lt;&gt;0),(AO444+AP444+AR444+AS444)/AS448,""),"")</f>
        <v>0.131147891619385</v>
      </c>
      <c r="AT443" s="257">
        <f>IFERROR(IF(AND(COUNT(AP444,AR444,AS444,AT444)=4,N(AT448)&lt;&gt;0),(AP444+AR444+AS444+AT444)/AT448,""),"")</f>
        <v>0.136211954488726</v>
      </c>
      <c r="AU443" s="257">
        <f>IFERROR(IF(AND(COUNT(AR444,AS444,AT444,AU444)=4,N(AU448)&lt;&gt;0),(AR444+AS444+AT444+AU444)/AU448,""),"")</f>
        <v>0.142263949790858</v>
      </c>
      <c r="AV443" s="257">
        <f>IFERROR(IF(AND(COUNT(AR444,AS444,AT444,AU444)=4,N(AV448)&lt;&gt;0),(AR444+AS444+AT444+AU444)/AV448,""),"")</f>
        <v>0.142263949790858</v>
      </c>
      <c r="AW443" s="257">
        <f>IFERROR(IF(AND(COUNT(AS444,AT444,AU444,AW444)=4,N(AW448)&lt;&gt;0),(AS444+AT444+AU444+AW444)/AW448,""),"")</f>
        <v>0.148776358154565</v>
      </c>
      <c r="AX443" s="257">
        <f>IFERROR(IF(AND(COUNT(AT444,AU444,AW444,AX444)=4,N(AX448)&lt;&gt;0),(AT444+AU444+AW444+AX444)/AX448,""),"")</f>
        <v>0.157192929743606</v>
      </c>
      <c r="AY443" s="257">
        <f>IFERROR(IF(AND(COUNT(AU444,AW444,AX444,AY444)=4,N(AY448)&lt;&gt;0),(AU444+AW444+AX444+AY444)/AY448,""),"")</f>
        <v>0.163916152908429</v>
      </c>
      <c r="AZ443" s="257">
        <f>IFERROR(IF(AND(COUNT(AW444,AX444,AY444,AZ444)=4,N(AZ448)&lt;&gt;0),(AW444+AX444+AY444+AZ444)/AZ448,""),"")</f>
        <v>0.171980575251364</v>
      </c>
      <c r="BA443" s="257">
        <f>IFERROR(IF(AND(COUNT(AW444,AX444,AY444,AZ444)=4,N(BA448)&lt;&gt;0),(AW444+AX444+AY444+AZ444)/BA448,""),"")</f>
        <v>0.171980575251364</v>
      </c>
      <c r="BB443" s="257">
        <f>IFERROR(IF(AND(COUNT(AX444,AY444,AZ444,BB444)=4,N(BB448)&lt;&gt;0),(AX444+AY444+AZ444+BB444)/BB448,""),"")</f>
        <v>0.18078301312887</v>
      </c>
      <c r="BC443" s="257">
        <f>IFERROR(IF(AND(COUNT(AY444,AZ444,BB444,BC444)=4,N(BC448)&lt;&gt;0),(AY444+AZ444+BB444+BC444)/BC448,""),"")</f>
        <v>0.192165107124623</v>
      </c>
      <c r="BD443" s="257">
        <f>IFERROR(IF(AND(COUNT(AZ444,BB444,BC444,BD444)=4,N(BD448)&lt;&gt;0),(AZ444+BB444+BC444+BD444)/BD448,""),"")</f>
        <v>0.201951750826523</v>
      </c>
      <c r="BE443" s="257">
        <f>IFERROR(IF(AND(COUNT(BB444,BC444,BD444,BE444)=4,N(BE448)&lt;&gt;0),(BB444+BC444+BD444+BE444)/BE448,""),"")</f>
        <v>0.213813839098281</v>
      </c>
      <c r="BF443" s="257">
        <f>IFERROR(IF(AND(COUNT(BB444,BC444,BD444,BE444)=4,N(BF448)&lt;&gt;0),(BB444+BC444+BD444+BE444)/BF448,""),"")</f>
        <v>0.213813839098281</v>
      </c>
      <c r="BG443" s="81" t="n"/>
      <c r="BH443" s="81" t="n"/>
      <c r="BI443" s="81" t="n"/>
      <c r="BJ443" s="81" t="n"/>
      <c r="BL443" s="81" t="n"/>
      <c r="BM443" s="81" t="n"/>
      <c r="BN443" s="81" t="n"/>
      <c r="BO443" s="81" t="n"/>
      <c r="BQ443" s="81" t="n"/>
      <c r="BR443" s="81" t="n"/>
      <c r="BS443" s="81" t="n"/>
      <c r="BT443" s="81" t="n"/>
      <c r="BV443" s="81" t="n"/>
      <c r="BW443" s="81" t="n"/>
      <c r="BX443" s="81" t="n"/>
      <c r="BY443" s="81" t="n"/>
      <c r="CA443" s="81" t="n"/>
      <c r="CB443" s="81" t="n"/>
      <c r="CC443" s="81" t="n"/>
      <c r="CD443" s="81" t="n"/>
      <c r="CF443" s="81" t="n"/>
      <c r="CG443" s="81" t="n"/>
      <c r="CH443" s="81" t="n"/>
      <c r="CI443" s="81" t="n"/>
      <c r="CK443" s="81" t="n"/>
      <c r="CL443" s="81" t="n"/>
      <c r="CM443" s="81" t="n"/>
      <c r="CN443" s="81" t="n"/>
      <c r="CP443" s="81" t="n"/>
      <c r="CQ443" s="81" t="n"/>
      <c r="CR443" s="81" t="n"/>
      <c r="CS443" s="81" t="n"/>
      <c r="CU443" s="81" t="n"/>
      <c r="CV443" s="81" t="n"/>
      <c r="CW443" s="81" t="n"/>
      <c r="CX443" s="81" t="n"/>
    </row>
    <row r="444" customFormat="1" s="77">
      <c r="A444" s="76" t="n"/>
      <c r="B444" s="76" t="n"/>
      <c r="C444" s="77" t="inlineStr">
        <is>
          <t>NOPLAT</t>
        </is>
      </c>
      <c r="D444">
        <f>IFERROR(D445*(1-D446),"")</f>
        <v>0</v>
      </c>
      <c r="E444">
        <f>IFERROR(E445*(1-E446),"")</f>
        <v>0</v>
      </c>
      <c r="F444">
        <f>IFERROR(F445*(1-F446),"")</f>
        <v>0</v>
      </c>
      <c r="G444">
        <f>IFERROR(G445*(1-G446),"")</f>
        <v>0</v>
      </c>
      <c r="H444" s="263">
        <f>IFERROR(H445*(1-N(H446)),0)</f>
        <v>0</v>
      </c>
      <c r="I444" s="263">
        <f>IFERROR(I445*(1-N(I446)),0)</f>
        <v>819.205924744179</v>
      </c>
      <c r="J444" s="263">
        <f>IFERROR(J445*(1-N(J446)),0)</f>
        <v>825.614236651358</v>
      </c>
      <c r="K444" s="263">
        <f>IFERROR(K445*(1-N(K446)),0)</f>
        <v>644.089826150858</v>
      </c>
      <c r="L444" s="263">
        <f>IFERROR(L445*(1-N(L446)),0)</f>
        <v>502.460050079319</v>
      </c>
      <c r="M444" s="263">
        <f>IFERROR(M445*(1-N(M446)),0)</f>
        <v>2795.62278266774</v>
      </c>
      <c r="N444" s="263">
        <f>IFERROR(N445*(1-N(N446)),0)</f>
        <v>930.849391882393</v>
      </c>
      <c r="O444" s="263">
        <f>IFERROR(O445*(1-N(O446)),0)</f>
        <v>618.00588765339</v>
      </c>
      <c r="P444" s="263">
        <f>IFERROR(P445*(1-N(P446)),0)</f>
        <v>419.050447384463</v>
      </c>
      <c r="Q444" s="263">
        <f>IFERROR(Q445*(1-N(Q446)),0)</f>
        <v>484.223</v>
      </c>
      <c r="R444" s="263">
        <f>IFERROR(R445*(1-N(R446)),0)</f>
        <v>2503.66356120955</v>
      </c>
      <c r="S444" s="263">
        <f>IFERROR(S445*(1-N(S446)),0)</f>
        <v>610.396596009087</v>
      </c>
      <c r="T444" s="263">
        <f>IFERROR(T445*(1-N(T446)),0)</f>
        <v>481.063231223335</v>
      </c>
      <c r="U444" s="263">
        <f>IFERROR(U445*(1-N(U446)),0)</f>
        <v>338.887159871987</v>
      </c>
      <c r="V444" s="263">
        <f>IFERROR(V445*(1-N(V446)),0)</f>
        <v>363.956604209266</v>
      </c>
      <c r="W444" s="263">
        <f>IFERROR(W445*(1-N(W446)),0)</f>
        <v>1786.48620284693</v>
      </c>
      <c r="X444" s="263">
        <f>IFERROR(X445*(1-N(X446)),0)</f>
        <v>583.431510730336</v>
      </c>
      <c r="Y444" s="263">
        <f>IFERROR(Y445*(1-N(Y446)),0)</f>
        <v>540.629637453859</v>
      </c>
      <c r="Z444" s="263">
        <f>IFERROR(Z445*(1-N(Z446)),0)</f>
        <v>598.522</v>
      </c>
      <c r="AA444" s="263">
        <f>IFERROR(AA445*(1-N(AA446)),0)</f>
        <v>606.489659611438</v>
      </c>
      <c r="AB444" s="263">
        <f>IFERROR(AB445*(1-N(AB446)),0)</f>
        <v>2618.71869932341</v>
      </c>
      <c r="AC444" s="263">
        <f>IFERROR(AC445*(1-N(AC446)),0)</f>
        <v>646.89864976631</v>
      </c>
      <c r="AD444" s="263">
        <f>IFERROR(AD445*(1-N(AD446)),0)</f>
        <v>538.334600089518</v>
      </c>
      <c r="AE444" s="263">
        <f>IFERROR(AE445*(1-N(AE446)),0)</f>
        <v>322.727344641457</v>
      </c>
      <c r="AF444" s="263">
        <f>IFERROR(AF445*(1-N(AF446)),0)</f>
        <v>559.912531855583</v>
      </c>
      <c r="AG444" s="263">
        <f>IFERROR(AG445*(1-N(AG446)),0)</f>
        <v>2075.04798224456</v>
      </c>
      <c r="AH444" s="263">
        <f>IFERROR(AH445*(1-N(AH446)),0)</f>
        <v>533.244149339688</v>
      </c>
      <c r="AI444" s="263">
        <f>IFERROR(AI445*(1-N(AI446)),0)</f>
        <v>902.911249040042</v>
      </c>
      <c r="AJ444" s="263">
        <f>IFERROR(AJ445*(1-N(AJ446)),0)</f>
        <v>531.51395170564</v>
      </c>
      <c r="AK444" s="263">
        <f>IFERROR(AK445*(1-N(AK446)),0)</f>
        <v>642.029446659567</v>
      </c>
      <c r="AL444" s="263">
        <f>IFERROR(AL445*(1-N(AL446)),0)</f>
        <v>2592.0483407874</v>
      </c>
      <c r="AM444" s="263">
        <f>IFERROR(AM445*(1-N(AM446)),0)</f>
        <v>692.775670756111</v>
      </c>
      <c r="AN444" s="263">
        <f>IFERROR(AN445*(1-N(AN446)),0)</f>
        <v>897.827360169443</v>
      </c>
      <c r="AO444" s="263">
        <f>IFERROR(AO445*(1-N(AO446)),0)</f>
        <v>618.27939210759</v>
      </c>
      <c r="AP444" s="263">
        <f>IFERROR(AP445*(1-N(AP446)),0)</f>
        <v>746.835665784531</v>
      </c>
      <c r="AQ444" s="263">
        <f>IFERROR(AQ445*(1-N(AQ446)),0)</f>
        <v>2955.71808881767</v>
      </c>
      <c r="AR444" s="263">
        <f>IFERROR(AR445*(1-N(AR446)),0)</f>
        <v>802.401930450483</v>
      </c>
      <c r="AS444" s="263">
        <f>IFERROR(AS445*(1-N(AS446)),0)</f>
        <v>1039.90142469198</v>
      </c>
      <c r="AT444" s="263">
        <f>IFERROR(AT445*(1-N(AT446)),0)</f>
        <v>716.117206084066</v>
      </c>
      <c r="AU444" s="263">
        <f>IFERROR(AU445*(1-N(AU446)),0)</f>
        <v>865.016491270155</v>
      </c>
      <c r="AV444" s="263">
        <f>IFERROR(AV445*(1-N(AV446)),0)</f>
        <v>3423.43705249668</v>
      </c>
      <c r="AW444" s="263">
        <f>IFERROR(AW445*(1-N(AW446)),0)</f>
        <v>925.363667308155</v>
      </c>
      <c r="AX444" s="263">
        <f>IFERROR(AX445*(1-N(AX446)),0)</f>
        <v>1199.25807687389</v>
      </c>
      <c r="AY444" s="263">
        <f>IFERROR(AY445*(1-N(AY446)),0)</f>
        <v>825.856492733495</v>
      </c>
      <c r="AZ444" s="263">
        <f>IFERROR(AZ445*(1-N(AZ446)),0)</f>
        <v>997.573413357062</v>
      </c>
      <c r="BA444" s="263">
        <f>IFERROR(BA445*(1-N(BA446)),0)</f>
        <v>3948.0516502726</v>
      </c>
      <c r="BB444" s="263">
        <f>IFERROR(BB445*(1-N(BB446)),0)</f>
        <v>1062.54149753884</v>
      </c>
      <c r="BC444" s="263">
        <f>IFERROR(BC445*(1-N(BC446)),0)</f>
        <v>1377.03858272706</v>
      </c>
      <c r="BD444" s="263">
        <f>IFERROR(BD445*(1-N(BD446)),0)</f>
        <v>948.283172921469</v>
      </c>
      <c r="BE444" s="263">
        <f>IFERROR(BE445*(1-N(BE446)),0)</f>
        <v>1145.45576618189</v>
      </c>
      <c r="BF444" s="263">
        <f>IFERROR(BF445*(1-N(BF446)),0)</f>
        <v>4533.31901936927</v>
      </c>
      <c r="BG444" s="85" t="n"/>
      <c r="BH444" s="76" t="n"/>
      <c r="BI444" s="76" t="n"/>
      <c r="BJ444" s="76" t="n"/>
      <c r="BL444" s="85" t="n"/>
      <c r="BM444" s="76" t="n"/>
      <c r="BN444" s="76" t="n"/>
      <c r="BO444" s="76" t="n"/>
      <c r="BQ444" s="85" t="n"/>
      <c r="BR444" s="76" t="n"/>
      <c r="BS444" s="76" t="n"/>
      <c r="BT444" s="76" t="n"/>
      <c r="BV444" s="85" t="n"/>
      <c r="BW444" s="76" t="n"/>
      <c r="BX444" s="76" t="n"/>
      <c r="BY444" s="76" t="n"/>
      <c r="CA444" s="85" t="n"/>
      <c r="CB444" s="76" t="n"/>
      <c r="CC444" s="76" t="n"/>
      <c r="CD444" s="76" t="n"/>
      <c r="CF444" s="85" t="n"/>
      <c r="CG444" s="76" t="n"/>
      <c r="CH444" s="76" t="n"/>
      <c r="CI444" s="76" t="n"/>
      <c r="CK444" s="85" t="n"/>
      <c r="CL444" s="76" t="n"/>
      <c r="CM444" s="76" t="n"/>
      <c r="CN444" s="76" t="n"/>
      <c r="CP444" s="85" t="n"/>
      <c r="CQ444" s="76" t="n"/>
      <c r="CR444" s="76" t="n"/>
      <c r="CS444" s="76" t="n"/>
      <c r="CU444" s="85" t="n"/>
      <c r="CV444" s="76" t="n"/>
      <c r="CW444" s="76" t="n"/>
      <c r="CX444" s="76" t="n"/>
    </row>
    <row r="445" customFormat="1" s="77">
      <c r="A445" s="76" t="n"/>
      <c r="B445" s="76" t="n"/>
      <c r="C445" s="77" t="inlineStr">
        <is>
          <t>EBIT</t>
        </is>
      </c>
      <c r="D445" s="86">
        <f>IFERROR(D227,"")</f>
        <v>0</v>
      </c>
      <c r="E445" s="86">
        <f>IFERROR(E227,"")</f>
        <v>0</v>
      </c>
      <c r="F445" s="86">
        <f>IFERROR(F227,"")</f>
        <v>0</v>
      </c>
      <c r="G445" s="86">
        <f>IFERROR(G227,"")</f>
        <v>0</v>
      </c>
      <c r="H445" s="263">
        <f>IFERROR(H170,0)</f>
        <v>0</v>
      </c>
      <c r="I445" s="263">
        <f>IFERROR(I170,0)</f>
        <v>1077.219</v>
      </c>
      <c r="J445" s="263">
        <f>IFERROR(J170,0)</f>
        <v>1098.024</v>
      </c>
      <c r="K445" s="263">
        <f>IFERROR(K170,0)</f>
        <v>857.235</v>
      </c>
      <c r="L445" s="263">
        <f>IFERROR(L170,0)</f>
        <v>742.279</v>
      </c>
      <c r="M445" s="263">
        <f>IFERROR(M170,0)</f>
        <v>3774.757</v>
      </c>
      <c r="N445" s="263">
        <f>IFERROR(N170,0)</f>
        <v>1093.15</v>
      </c>
      <c r="O445" s="263">
        <f>IFERROR(O170,0)</f>
        <v>834.14</v>
      </c>
      <c r="P445" s="263">
        <f>IFERROR(P170,0)</f>
        <v>448.476</v>
      </c>
      <c r="Q445" s="263">
        <f>IFERROR(Q170,0)</f>
        <v>484.223</v>
      </c>
      <c r="R445" s="263">
        <f>IFERROR(R170,0)</f>
        <v>2859.989</v>
      </c>
      <c r="S445" s="263">
        <f>IFERROR(S170,0)</f>
        <v>775.915</v>
      </c>
      <c r="T445" s="263">
        <f>IFERROR(T170,0)</f>
        <v>579.612</v>
      </c>
      <c r="U445" s="263">
        <f>IFERROR(U170,0)</f>
        <v>407.917</v>
      </c>
      <c r="V445" s="263">
        <f>IFERROR(V170,0)</f>
        <v>553.083</v>
      </c>
      <c r="W445" s="263">
        <f>IFERROR(W170,0)</f>
        <v>2316.527</v>
      </c>
      <c r="X445" s="263">
        <f>IFERROR(X170,0)</f>
        <v>752.747</v>
      </c>
      <c r="Y445" s="263">
        <f>IFERROR(Y170,0)</f>
        <v>710.882</v>
      </c>
      <c r="Z445" s="263">
        <f>IFERROR(Z170,0)</f>
        <v>598.522</v>
      </c>
      <c r="AA445" s="263">
        <f>IFERROR(AA170,0)</f>
        <v>681.482</v>
      </c>
      <c r="AB445" s="263">
        <f>IFERROR(AB170,0)</f>
        <v>2743.633</v>
      </c>
      <c r="AC445" s="263">
        <f>IFERROR(AC170,0)</f>
        <v>841.727</v>
      </c>
      <c r="AD445" s="263">
        <f>IFERROR(AD170,0)</f>
        <v>634.958</v>
      </c>
      <c r="AE445" s="263">
        <f>IFERROR(AE170,0)</f>
        <v>615.7</v>
      </c>
      <c r="AF445" s="263">
        <f>IFERROR(AF170,0)</f>
        <v>720.941</v>
      </c>
      <c r="AG445" s="263">
        <f>IFERROR(AG170,0)</f>
        <v>2813.326</v>
      </c>
      <c r="AH445" s="263">
        <f>IFERROR(AH170,0)</f>
        <v>731.002</v>
      </c>
      <c r="AI445" s="263">
        <f>IFERROR(AI170,0)</f>
        <v>975.557</v>
      </c>
      <c r="AJ445" s="263">
        <f>IFERROR(AJ170,0)</f>
        <v>697.498436192106</v>
      </c>
      <c r="AK445" s="263">
        <f>IFERROR(AK170,0)</f>
        <v>842.526397655761</v>
      </c>
      <c r="AL445" s="263">
        <f>IFERROR(AL170,0)</f>
        <v>3246.58383384787</v>
      </c>
      <c r="AM445" s="263">
        <f>IFERROR(AM170,0)</f>
        <v>909.119968410412</v>
      </c>
      <c r="AN445" s="263">
        <f>IFERROR(AN170,0)</f>
        <v>1178.20647544449</v>
      </c>
      <c r="AO445" s="263">
        <f>IFERROR(AO170,0)</f>
        <v>811.359528270071</v>
      </c>
      <c r="AP445" s="263">
        <f>IFERROR(AP170,0)</f>
        <v>980.06215510537</v>
      </c>
      <c r="AQ445" s="263">
        <f>IFERROR(AQ170,0)</f>
        <v>3878.74812723034</v>
      </c>
      <c r="AR445" s="263">
        <f>IFERROR(AR170,0)</f>
        <v>1052.98099869389</v>
      </c>
      <c r="AS445" s="263">
        <f>IFERROR(AS170,0)</f>
        <v>1364.64831297278</v>
      </c>
      <c r="AT445" s="263">
        <f>IFERROR(AT170,0)</f>
        <v>939.750743646558</v>
      </c>
      <c r="AU445" s="263">
        <f>IFERROR(AU170,0)</f>
        <v>1135.14922422104</v>
      </c>
      <c r="AV445" s="263">
        <f>IFERROR(AV170,0)</f>
        <v>4492.52927953426</v>
      </c>
      <c r="AW445" s="263">
        <f>IFERROR(AW170,0)</f>
        <v>1214.34199193681</v>
      </c>
      <c r="AX445" s="263">
        <f>IFERROR(AX170,0)</f>
        <v>1573.76985218546</v>
      </c>
      <c r="AY445" s="263">
        <f>IFERROR(AY170,0)</f>
        <v>1083.76009764599</v>
      </c>
      <c r="AZ445" s="263">
        <f>IFERROR(AZ170,0)</f>
        <v>1309.10184684807</v>
      </c>
      <c r="BA445" s="263">
        <f>IFERROR(BA170,0)</f>
        <v>5180.97378861633</v>
      </c>
      <c r="BB445" s="263">
        <f>IFERROR(BB170,0)</f>
        <v>1394.35856865899</v>
      </c>
      <c r="BC445" s="263">
        <f>IFERROR(BC170,0)</f>
        <v>1807.06876074675</v>
      </c>
      <c r="BD445" s="263">
        <f>IFERROR(BD170,0)</f>
        <v>1244.4189433927</v>
      </c>
      <c r="BE445" s="263">
        <f>IFERROR(BE170,0)</f>
        <v>1503.16582109508</v>
      </c>
      <c r="BF445" s="263">
        <f>IFERROR(BF170,0)</f>
        <v>5949.01209389353</v>
      </c>
      <c r="BG445" s="63" t="n"/>
      <c r="BH445" s="63" t="n"/>
      <c r="BI445" s="63" t="n"/>
      <c r="BJ445" s="63" t="n"/>
      <c r="BL445" s="63" t="n"/>
      <c r="BM445" s="63" t="n"/>
      <c r="BN445" s="63" t="n"/>
      <c r="BO445" s="63" t="n"/>
      <c r="BQ445" s="63" t="n"/>
      <c r="BR445" s="63" t="n"/>
      <c r="BS445" s="63" t="n"/>
      <c r="BT445" s="63" t="n"/>
      <c r="BV445" s="63" t="n"/>
      <c r="BW445" s="63" t="n"/>
      <c r="BX445" s="63" t="n"/>
      <c r="BY445" s="63" t="n"/>
      <c r="CA445" s="63" t="n"/>
      <c r="CB445" s="63" t="n"/>
      <c r="CC445" s="63" t="n"/>
      <c r="CD445" s="63" t="n"/>
      <c r="CF445" s="63" t="n"/>
      <c r="CG445" s="63" t="n"/>
      <c r="CH445" s="63" t="n"/>
      <c r="CI445" s="63" t="n"/>
      <c r="CK445" s="63" t="n"/>
      <c r="CL445" s="63" t="n"/>
      <c r="CM445" s="63" t="n"/>
      <c r="CN445" s="63" t="n"/>
      <c r="CP445" s="63" t="n"/>
      <c r="CQ445" s="63" t="n"/>
      <c r="CR445" s="63" t="n"/>
      <c r="CS445" s="63" t="n"/>
      <c r="CU445" s="63" t="n"/>
      <c r="CV445" s="63" t="n"/>
      <c r="CW445" s="63" t="n"/>
      <c r="CX445" s="63" t="n"/>
    </row>
    <row r="446" customFormat="1" s="77">
      <c r="A446" s="76" t="n"/>
      <c r="B446" s="76" t="n"/>
      <c r="C446" s="77" t="inlineStr">
        <is>
          <t>ETR (LIMITED TO 0%-100%)</t>
        </is>
      </c>
      <c r="D446" s="87">
        <f>IFERROR(D229,"")</f>
        <v>0</v>
      </c>
      <c r="E446" s="87">
        <f>IFERROR(E229,"")</f>
        <v>0</v>
      </c>
      <c r="F446" s="87">
        <f>IFERROR(F229,"")</f>
        <v>0</v>
      </c>
      <c r="G446" s="87">
        <f>IFERROR(G229,"")</f>
        <v>0</v>
      </c>
      <c r="H446" s="258" t="str">
        <f>IFERROR(IF(N(H227)&lt;&gt;0,MAX(0,MIN(1,-H228/H227)),""),"")</f>
        <v/>
      </c>
      <c r="I446" s="258">
        <f>IFERROR(IF(N(I227)&lt;&gt;0,MAX(0,MIN(1,-I228/I227)),""),"")</f>
        <v>0.239517753823337</v>
      </c>
      <c r="J446" s="258">
        <f>IFERROR(IF(N(J227)&lt;&gt;0,MAX(0,MIN(1,-J228/J227)),""),"")</f>
        <v>0.248090900880711</v>
      </c>
      <c r="K446" s="258">
        <f>IFERROR(IF(N(K227)&lt;&gt;0,MAX(0,MIN(1,-K228/K227)),""),"")</f>
        <v>0.248642640406822</v>
      </c>
      <c r="L446" s="258">
        <f>IFERROR(IF(N(L227)&lt;&gt;0,MAX(0,MIN(1,-L228/L227)),""),"")</f>
        <v>0.323084648657285</v>
      </c>
      <c r="M446" s="258">
        <f>IFERROR(IF(N(M227)&lt;&gt;0,MAX(0,MIN(1,-M228/M227)),""),"")</f>
        <v>0.259389999762172</v>
      </c>
      <c r="N446" s="258">
        <f>IFERROR(IF(N(N227)&lt;&gt;0,MAX(0,MIN(1,-N228/N227)),""),"")</f>
        <v>0.148470574136767</v>
      </c>
      <c r="O446" s="258">
        <f>IFERROR(IF(N(O227)&lt;&gt;0,MAX(0,MIN(1,-O228/O227)),""),"")</f>
        <v>0.259110116223428</v>
      </c>
      <c r="P446" s="258">
        <f>IFERROR(IF(N(P227)&lt;&gt;0,MAX(0,MIN(1,-P228/P227)),""),"")</f>
        <v>0.0656123239940096</v>
      </c>
      <c r="Q446" s="258">
        <f>IFERROR(IF(N(Q227)&lt;&gt;0,MAX(0,MIN(1,-Q228/Q227)),""),"")</f>
        <v>0</v>
      </c>
      <c r="R446" s="258">
        <f>IFERROR(IF(N(R227)&lt;&gt;0,MAX(0,MIN(1,-R228/R227)),""),"")</f>
        <v>0.124589793453909</v>
      </c>
      <c r="S446" s="258">
        <f>IFERROR(IF(N(S227)&lt;&gt;0,MAX(0,MIN(1,-S228/S227)),""),"")</f>
        <v>0.213320278627057</v>
      </c>
      <c r="T446" s="258">
        <f>IFERROR(IF(N(T227)&lt;&gt;0,MAX(0,MIN(1,-T228/T227)),""),"")</f>
        <v>0.170025411441904</v>
      </c>
      <c r="U446" s="258">
        <f>IFERROR(IF(N(U227)&lt;&gt;0,MAX(0,MIN(1,-U228/U227)),""),"")</f>
        <v>0.169225210344294</v>
      </c>
      <c r="V446" s="258">
        <f>IFERROR(IF(N(V227)&lt;&gt;0,MAX(0,MIN(1,-V228/V227)),""),"")</f>
        <v>0.341949392389088</v>
      </c>
      <c r="W446" s="258">
        <f>IFERROR(IF(N(W227)&lt;&gt;0,MAX(0,MIN(1,-W228/W227)),""),"")</f>
        <v>0.22880838304629</v>
      </c>
      <c r="X446" s="258">
        <f>IFERROR(IF(N(X227)&lt;&gt;0,MAX(0,MIN(1,-X228/X227)),""),"")</f>
        <v>0.22493014156106</v>
      </c>
      <c r="Y446" s="258">
        <f>IFERROR(IF(N(Y227)&lt;&gt;0,MAX(0,MIN(1,-Y228/Y227)),""),"")</f>
        <v>0.239494546979866</v>
      </c>
      <c r="Z446" s="258">
        <f>IFERROR(IF(N(Z227)&lt;&gt;0,MAX(0,MIN(1,-Z228/Z227)),""),"")</f>
        <v>0</v>
      </c>
      <c r="AA446" s="258">
        <f>IFERROR(IF(N(AA227)&lt;&gt;0,MAX(0,MIN(1,-AA228/AA227)),""),"")</f>
        <v>0.11004302445048</v>
      </c>
      <c r="AB446" s="258">
        <f>IFERROR(IF(N(AB227)&lt;&gt;0,MAX(0,MIN(1,-AB228/AB227)),""),"")</f>
        <v>0.0455287936384318</v>
      </c>
      <c r="AC446" s="258">
        <f>IFERROR(IF(N(AC227)&lt;&gt;0,MAX(0,MIN(1,-AC228/AC227)),""),"")</f>
        <v>0.231462636025327</v>
      </c>
      <c r="AD446" s="258">
        <f>IFERROR(IF(N(AD227)&lt;&gt;0,MAX(0,MIN(1,-AD228/AD227)),""),"")</f>
        <v>0.152172899483875</v>
      </c>
      <c r="AE446" s="258">
        <f>IFERROR(IF(N(AE227)&lt;&gt;0,MAX(0,MIN(1,-AE228/AE227)),""),"")</f>
        <v>0.475836698649574</v>
      </c>
      <c r="AF446" s="258">
        <f>IFERROR(IF(N(AF227)&lt;&gt;0,MAX(0,MIN(1,-AF228/AF227)),""),"")</f>
        <v>0.223358732745699</v>
      </c>
      <c r="AG446" s="258">
        <f>IFERROR(IF(N(AG227)&lt;&gt;0,MAX(0,MIN(1,-AG228/AG227)),""),"")</f>
        <v>0.262421780396386</v>
      </c>
      <c r="AH446" s="258">
        <f>IFERROR(IF(N(AH227)&lt;&gt;0,MAX(0,MIN(1,-AH228/AH227)),""),"")</f>
        <v>0.270529835294995</v>
      </c>
      <c r="AI446" s="258">
        <f>IFERROR(IF(N(AI227)&lt;&gt;0,MAX(0,MIN(1,-AI228/AI227)),""),"")</f>
        <v>0.0744659214786613</v>
      </c>
      <c r="AJ446" s="258">
        <f>IFERROR(IF(N(AJ227)&lt;&gt;0,MAX(0,MIN(1,-AJ228/AJ227)),""),"")</f>
        <v>0.237971120613022</v>
      </c>
      <c r="AK446" s="258">
        <f>IFERROR(IF(N(AK227)&lt;&gt;0,MAX(0,MIN(1,-AK228/AK227)),""),"")</f>
        <v>0.237971120613022</v>
      </c>
      <c r="AL446" s="258">
        <f>IFERROR(IF(N(AL227)&lt;&gt;0,MAX(0,MIN(1,-AL228/AL227)),""),"")</f>
        <v>0.201607451573093</v>
      </c>
      <c r="AM446" s="258">
        <f>IFERROR(IF(N(AM227)&lt;&gt;0,MAX(0,MIN(1,-AM228/AM227)),""),"")</f>
        <v>0.237971120613022</v>
      </c>
      <c r="AN446" s="258">
        <f>IFERROR(IF(N(AN227)&lt;&gt;0,MAX(0,MIN(1,-AN228/AN227)),""),"")</f>
        <v>0.237971120613022</v>
      </c>
      <c r="AO446" s="258">
        <f>IFERROR(IF(N(AO227)&lt;&gt;0,MAX(0,MIN(1,-AO228/AO227)),""),"")</f>
        <v>0.237971120613022</v>
      </c>
      <c r="AP446" s="258">
        <f>IFERROR(IF(N(AP227)&lt;&gt;0,MAX(0,MIN(1,-AP228/AP227)),""),"")</f>
        <v>0.237971120613022</v>
      </c>
      <c r="AQ446" s="258">
        <f>IFERROR(IF(N(AQ227)&lt;&gt;0,MAX(0,MIN(1,-AQ228/AQ227)),""),"")</f>
        <v>0.237971120613022</v>
      </c>
      <c r="AR446" s="258">
        <f>IFERROR(IF(N(AR227)&lt;&gt;0,MAX(0,MIN(1,-AR228/AR227)),""),"")</f>
        <v>0.237971120613022</v>
      </c>
      <c r="AS446" s="258">
        <f>IFERROR(IF(N(AS227)&lt;&gt;0,MAX(0,MIN(1,-AS228/AS227)),""),"")</f>
        <v>0.237971120613022</v>
      </c>
      <c r="AT446" s="258">
        <f>IFERROR(IF(N(AT227)&lt;&gt;0,MAX(0,MIN(1,-AT228/AT227)),""),"")</f>
        <v>0.237971120613022</v>
      </c>
      <c r="AU446" s="258">
        <f>IFERROR(IF(N(AU227)&lt;&gt;0,MAX(0,MIN(1,-AU228/AU227)),""),"")</f>
        <v>0.237971120613022</v>
      </c>
      <c r="AV446" s="258">
        <f>IFERROR(IF(N(AV227)&lt;&gt;0,MAX(0,MIN(1,-AV228/AV227)),""),"")</f>
        <v>0.237971120613022</v>
      </c>
      <c r="AW446" s="258">
        <f>IFERROR(IF(N(AW227)&lt;&gt;0,MAX(0,MIN(1,-AW228/AW227)),""),"")</f>
        <v>0.237971120613022</v>
      </c>
      <c r="AX446" s="258">
        <f>IFERROR(IF(N(AX227)&lt;&gt;0,MAX(0,MIN(1,-AX228/AX227)),""),"")</f>
        <v>0.237971120613022</v>
      </c>
      <c r="AY446" s="258">
        <f>IFERROR(IF(N(AY227)&lt;&gt;0,MAX(0,MIN(1,-AY228/AY227)),""),"")</f>
        <v>0.237971120613022</v>
      </c>
      <c r="AZ446" s="258">
        <f>IFERROR(IF(N(AZ227)&lt;&gt;0,MAX(0,MIN(1,-AZ228/AZ227)),""),"")</f>
        <v>0.237971120613022</v>
      </c>
      <c r="BA446" s="258">
        <f>IFERROR(IF(N(BA227)&lt;&gt;0,MAX(0,MIN(1,-BA228/BA227)),""),"")</f>
        <v>0.237971120613022</v>
      </c>
      <c r="BB446" s="258">
        <f>IFERROR(IF(N(BB227)&lt;&gt;0,MAX(0,MIN(1,-BB228/BB227)),""),"")</f>
        <v>0.237971120613022</v>
      </c>
      <c r="BC446" s="258">
        <f>IFERROR(IF(N(BC227)&lt;&gt;0,MAX(0,MIN(1,-BC228/BC227)),""),"")</f>
        <v>0.237971120613022</v>
      </c>
      <c r="BD446" s="258">
        <f>IFERROR(IF(N(BD227)&lt;&gt;0,MAX(0,MIN(1,-BD228/BD227)),""),"")</f>
        <v>0.237971120613022</v>
      </c>
      <c r="BE446" s="258">
        <f>IFERROR(IF(N(BE227)&lt;&gt;0,MAX(0,MIN(1,-BE228/BE227)),""),"")</f>
        <v>0.237971120613022</v>
      </c>
      <c r="BF446" s="258">
        <f>IFERROR(IF(N(BF227)&lt;&gt;0,MAX(0,MIN(1,-BF228/BF227)),""),"")</f>
        <v>0.237971120613022</v>
      </c>
      <c r="BG446" s="88" t="n"/>
      <c r="BH446" s="88" t="n"/>
      <c r="BI446" s="88" t="n"/>
      <c r="BJ446" s="88" t="n"/>
      <c r="BL446" s="88" t="n"/>
      <c r="BM446" s="88" t="n"/>
      <c r="BN446" s="88" t="n"/>
      <c r="BO446" s="88" t="n"/>
      <c r="BQ446" s="88" t="n"/>
      <c r="BR446" s="88" t="n"/>
      <c r="BS446" s="88" t="n"/>
      <c r="BT446" s="88" t="n"/>
      <c r="BV446" s="88" t="n"/>
      <c r="BW446" s="88" t="n"/>
      <c r="BX446" s="88" t="n"/>
      <c r="BY446" s="88" t="n"/>
      <c r="CA446" s="88" t="n"/>
      <c r="CB446" s="88" t="n"/>
      <c r="CC446" s="88" t="n"/>
      <c r="CD446" s="88" t="n"/>
      <c r="CF446" s="88" t="n"/>
      <c r="CG446" s="88" t="n"/>
      <c r="CH446" s="88" t="n"/>
      <c r="CI446" s="88" t="n"/>
      <c r="CK446" s="88" t="n"/>
      <c r="CL446" s="88" t="n"/>
      <c r="CM446" s="88" t="n"/>
      <c r="CN446" s="88" t="n"/>
      <c r="CP446" s="88" t="n"/>
      <c r="CQ446" s="88" t="n"/>
      <c r="CR446" s="88" t="n"/>
      <c r="CS446" s="88" t="n"/>
      <c r="CU446" s="88" t="n"/>
      <c r="CV446" s="88" t="n"/>
      <c r="CW446" s="88" t="n"/>
      <c r="CX446" s="88" t="n"/>
    </row>
    <row r="447" customFormat="1" s="77">
      <c r="A447" s="76" t="n"/>
      <c r="B447" s="76" t="n"/>
      <c r="C447" s="77" t="inlineStr">
        <is>
          <t>INVESTED CAPITAL</t>
        </is>
      </c>
      <c r="D447" s="86">
        <f>IFERROR(D450-D451+D452,"")</f>
        <v>0</v>
      </c>
      <c r="E447" s="86">
        <f>IFERROR(E450-E451+E452,"")</f>
        <v>0</v>
      </c>
      <c r="F447" s="86">
        <f>IFERROR(F450-F451+F452,"")</f>
        <v>0</v>
      </c>
      <c r="G447" s="86">
        <f>IFERROR(G450-G451+G452,"")</f>
        <v>0</v>
      </c>
      <c r="H447" s="263">
        <f>IFERROR(H449+H452,0)</f>
        <v>0</v>
      </c>
      <c r="I447" s="263">
        <f>IFERROR(I449+I452,0)</f>
        <v>18848.415</v>
      </c>
      <c r="J447" s="263">
        <f>IFERROR(J449+J452,0)</f>
        <v>19792.476</v>
      </c>
      <c r="K447" s="263">
        <f>IFERROR(K449+K452,0)</f>
        <v>20525.449</v>
      </c>
      <c r="L447" s="263">
        <f>IFERROR(L449+L452,0)</f>
        <v>20947.795</v>
      </c>
      <c r="M447" s="263">
        <f>IFERROR(M449+M452,0)</f>
        <v>20947.795</v>
      </c>
      <c r="N447" s="263">
        <f>IFERROR(N449+N452,0)</f>
        <v>21234.908</v>
      </c>
      <c r="O447" s="263">
        <f>IFERROR(O449+O452,0)</f>
        <v>21981.844</v>
      </c>
      <c r="P447" s="263">
        <f>IFERROR(P449+P452,0)</f>
        <v>21892.042</v>
      </c>
      <c r="Q447" s="263">
        <f>IFERROR(Q449+Q452,0)</f>
        <v>21888.593</v>
      </c>
      <c r="R447" s="263">
        <f>IFERROR(R449+R452,0)</f>
        <v>21888.593</v>
      </c>
      <c r="S447" s="263">
        <f>IFERROR(S449+S452,0)</f>
        <v>22264.284</v>
      </c>
      <c r="T447" s="263">
        <f>IFERROR(T449+T452,0)</f>
        <v>22536.951</v>
      </c>
      <c r="U447" s="263">
        <f>IFERROR(U449+U452,0)</f>
        <v>22342.47</v>
      </c>
      <c r="V447" s="263">
        <f>IFERROR(V449+V452,0)</f>
        <v>22275.893</v>
      </c>
      <c r="W447" s="263">
        <f>IFERROR(W449+W452,0)</f>
        <v>22275.893</v>
      </c>
      <c r="X447" s="263">
        <f>IFERROR(X449+X452,0)</f>
        <v>22549.204</v>
      </c>
      <c r="Y447" s="263">
        <f>IFERROR(Y449+Y452,0)</f>
        <v>22752.787</v>
      </c>
      <c r="Z447" s="263">
        <f>IFERROR(Z449+Z452,0)</f>
        <v>23124.858</v>
      </c>
      <c r="AA447" s="263">
        <f>IFERROR(AA449+AA452,0)</f>
        <v>23408.504</v>
      </c>
      <c r="AB447" s="263">
        <f>IFERROR(AB449+AB452,0)</f>
        <v>23408.504</v>
      </c>
      <c r="AC447" s="263">
        <f>IFERROR(AC449+AC452,0)</f>
        <v>23742.01</v>
      </c>
      <c r="AD447" s="263">
        <f>IFERROR(AD449+AD452,0)</f>
        <v>23763.738</v>
      </c>
      <c r="AE447" s="263">
        <f>IFERROR(AE449+AE452,0)</f>
        <v>24042.283</v>
      </c>
      <c r="AF447" s="263">
        <f>IFERROR(AF449+AF452,0)</f>
        <v>24474.749</v>
      </c>
      <c r="AG447" s="263">
        <f>IFERROR(AG449+AG452,0)</f>
        <v>24474.749</v>
      </c>
      <c r="AH447" s="263">
        <f>IFERROR(AH449+AH452,0)</f>
        <v>24689.479</v>
      </c>
      <c r="AI447" s="263">
        <f>IFERROR(AI449+AI452,0)</f>
        <v>25419.834</v>
      </c>
      <c r="AJ447" s="263">
        <f>IFERROR(AJ449+AJ452,0)</f>
        <v>25314.0000936497</v>
      </c>
      <c r="AK447" s="263">
        <f>IFERROR(AK449+AK452,0)</f>
        <v>25231.423417747</v>
      </c>
      <c r="AL447" s="263">
        <f>IFERROR(AL449+AL452,0)</f>
        <v>25231.423417747</v>
      </c>
      <c r="AM447" s="263">
        <f>IFERROR(AM449+AM452,0)</f>
        <v>25136.0821056005</v>
      </c>
      <c r="AN447" s="263">
        <f>IFERROR(AN449+AN452,0)</f>
        <v>25024.6249921065</v>
      </c>
      <c r="AO447" s="263">
        <f>IFERROR(AO449+AO452,0)</f>
        <v>24899.4152123721</v>
      </c>
      <c r="AP447" s="263">
        <f>IFERROR(AP449+AP452,0)</f>
        <v>24770.9545070047</v>
      </c>
      <c r="AQ447" s="263">
        <f>IFERROR(AQ449+AQ452,0)</f>
        <v>24770.9545070047</v>
      </c>
      <c r="AR447" s="263">
        <f>IFERROR(AR449+AR452,0)</f>
        <v>24625.2208434946</v>
      </c>
      <c r="AS447" s="263">
        <f>IFERROR(AS449+AS452,0)</f>
        <v>24456.5000125438</v>
      </c>
      <c r="AT447" s="263">
        <f>IFERROR(AT449+AT452,0)</f>
        <v>24265.5370405438</v>
      </c>
      <c r="AU447" s="263">
        <f>IFERROR(AU449+AU452,0)</f>
        <v>24063.9814761889</v>
      </c>
      <c r="AV447" s="263">
        <f>IFERROR(AV449+AV452,0)</f>
        <v>24063.9814761889</v>
      </c>
      <c r="AW447" s="263">
        <f>IFERROR(AW449+AW452,0)</f>
        <v>23837.1125180384</v>
      </c>
      <c r="AX447" s="263">
        <f>IFERROR(AX449+AX452,0)</f>
        <v>23574.5681919706</v>
      </c>
      <c r="AY447" s="263">
        <f>IFERROR(AY449+AY452,0)</f>
        <v>23277.1124778484</v>
      </c>
      <c r="AZ447" s="263">
        <f>IFERROR(AZ449+AZ452,0)</f>
        <v>22956.3812337655</v>
      </c>
      <c r="BA447" s="263">
        <f>IFERROR(BA449+BA452,0)</f>
        <v>22956.3812337655</v>
      </c>
      <c r="BB447" s="263">
        <f>IFERROR(BB449+BB452,0)</f>
        <v>22597.4189156321</v>
      </c>
      <c r="BC447" s="263">
        <f>IFERROR(BC449+BC452,0)</f>
        <v>22184.100173773</v>
      </c>
      <c r="BD447" s="263">
        <f>IFERROR(BD449+BD452,0)</f>
        <v>21715.2693581326</v>
      </c>
      <c r="BE447" s="263">
        <f>IFERROR(BE449+BE452,0)</f>
        <v>21202.1777378287</v>
      </c>
      <c r="BF447" s="263">
        <f>IFERROR(BF449+BF452,0)</f>
        <v>21202.1777378287</v>
      </c>
      <c r="BG447" s="63" t="n"/>
      <c r="BH447" s="63" t="n"/>
      <c r="BI447" s="63" t="n"/>
      <c r="BJ447" s="63" t="n"/>
      <c r="BL447" s="63" t="n"/>
      <c r="BM447" s="63" t="n"/>
      <c r="BN447" s="63" t="n"/>
      <c r="BO447" s="63" t="n"/>
      <c r="BQ447" s="63" t="n"/>
      <c r="BR447" s="63" t="n"/>
      <c r="BS447" s="63" t="n"/>
      <c r="BT447" s="63" t="n"/>
      <c r="BV447" s="63" t="n"/>
      <c r="BW447" s="63" t="n"/>
      <c r="BX447" s="63" t="n"/>
      <c r="BY447" s="63" t="n"/>
      <c r="CA447" s="63" t="n"/>
      <c r="CB447" s="63" t="n"/>
      <c r="CC447" s="63" t="n"/>
      <c r="CD447" s="63" t="n"/>
      <c r="CF447" s="63" t="n"/>
      <c r="CG447" s="63" t="n"/>
      <c r="CH447" s="63" t="n"/>
      <c r="CI447" s="63" t="n"/>
      <c r="CK447" s="63" t="n"/>
      <c r="CL447" s="63" t="n"/>
      <c r="CM447" s="63" t="n"/>
      <c r="CN447" s="63" t="n"/>
      <c r="CP447" s="63" t="n"/>
      <c r="CQ447" s="63" t="n"/>
      <c r="CR447" s="63" t="n"/>
      <c r="CS447" s="63" t="n"/>
      <c r="CU447" s="63" t="n"/>
      <c r="CV447" s="63" t="n"/>
      <c r="CW447" s="63" t="n"/>
      <c r="CX447" s="63" t="n"/>
    </row>
    <row r="448" customFormat="1" s="77">
      <c r="A448" s="76" t="n"/>
      <c r="B448" s="76" t="n"/>
      <c r="C448" s="77" t="inlineStr">
        <is>
          <t>INVESTED CAPITAL - EX GOODWILL</t>
        </is>
      </c>
      <c r="D448" s="89">
        <f>IFERROR(D447-D276,"")</f>
        <v>0</v>
      </c>
      <c r="E448" s="89">
        <f>IFERROR(E447-E276,"")</f>
        <v>0</v>
      </c>
      <c r="F448" s="89">
        <f>IFERROR(F447-F276,"")</f>
        <v>0</v>
      </c>
      <c r="G448" s="89">
        <f>IFERROR(G447-G276,"")</f>
        <v>0</v>
      </c>
      <c r="H448" s="263">
        <f>IFERROR(H447-N(H276),0)</f>
        <v>0</v>
      </c>
      <c r="I448" s="263">
        <f>IFERROR(I447-N(I276),0)</f>
        <v>18848.415</v>
      </c>
      <c r="J448" s="263">
        <f>IFERROR(J447-N(J276),0)</f>
        <v>19792.476</v>
      </c>
      <c r="K448" s="263">
        <f>IFERROR(K447-N(K276),0)</f>
        <v>20525.449</v>
      </c>
      <c r="L448" s="263">
        <f>IFERROR(L447-N(L276),0)</f>
        <v>20947.795</v>
      </c>
      <c r="M448" s="263">
        <f>IFERROR(M447-N(M276),0)</f>
        <v>20947.795</v>
      </c>
      <c r="N448" s="263">
        <f>IFERROR(N447-N(N276),0)</f>
        <v>21234.908</v>
      </c>
      <c r="O448" s="263">
        <f>IFERROR(O447-N(O276),0)</f>
        <v>21981.844</v>
      </c>
      <c r="P448" s="263">
        <f>IFERROR(P447-N(P276),0)</f>
        <v>21892.042</v>
      </c>
      <c r="Q448" s="263">
        <f>IFERROR(Q447-N(Q276),0)</f>
        <v>21888.593</v>
      </c>
      <c r="R448" s="263">
        <f>IFERROR(R447-N(R276),0)</f>
        <v>21888.593</v>
      </c>
      <c r="S448" s="263">
        <f>IFERROR(S447-N(S276),0)</f>
        <v>22264.284</v>
      </c>
      <c r="T448" s="263">
        <f>IFERROR(T447-N(T276),0)</f>
        <v>22536.951</v>
      </c>
      <c r="U448" s="263">
        <f>IFERROR(U447-N(U276),0)</f>
        <v>22342.47</v>
      </c>
      <c r="V448" s="263">
        <f>IFERROR(V447-N(V276),0)</f>
        <v>22275.893</v>
      </c>
      <c r="W448" s="263">
        <f>IFERROR(W447-N(W276),0)</f>
        <v>22275.893</v>
      </c>
      <c r="X448" s="263">
        <f>IFERROR(X447-N(X276),0)</f>
        <v>22549.204</v>
      </c>
      <c r="Y448" s="263">
        <f>IFERROR(Y447-N(Y276),0)</f>
        <v>22752.787</v>
      </c>
      <c r="Z448" s="263">
        <f>IFERROR(Z447-N(Z276),0)</f>
        <v>23124.858</v>
      </c>
      <c r="AA448" s="263">
        <f>IFERROR(AA447-N(AA276),0)</f>
        <v>23408.504</v>
      </c>
      <c r="AB448" s="263">
        <f>IFERROR(AB447-N(AB276),0)</f>
        <v>23408.504</v>
      </c>
      <c r="AC448" s="263">
        <f>IFERROR(AC447-N(AC276),0)</f>
        <v>23742.01</v>
      </c>
      <c r="AD448" s="263">
        <f>IFERROR(AD447-N(AD276),0)</f>
        <v>23763.738</v>
      </c>
      <c r="AE448" s="263">
        <f>IFERROR(AE447-N(AE276),0)</f>
        <v>24042.283</v>
      </c>
      <c r="AF448" s="263">
        <f>IFERROR(AF447-N(AF276),0)</f>
        <v>24474.749</v>
      </c>
      <c r="AG448" s="263">
        <f>IFERROR(AG447-N(AG276),0)</f>
        <v>24474.749</v>
      </c>
      <c r="AH448" s="263">
        <f>IFERROR(AH447-N(AH276),0)</f>
        <v>24689.479</v>
      </c>
      <c r="AI448" s="263">
        <f>IFERROR(AI447-N(AI276),0)</f>
        <v>25419.834</v>
      </c>
      <c r="AJ448" s="263">
        <f>IFERROR(AJ447-N(AJ276),0)</f>
        <v>25314.0000936497</v>
      </c>
      <c r="AK448" s="263">
        <f>IFERROR(AK447-N(AK276),0)</f>
        <v>25231.423417747</v>
      </c>
      <c r="AL448" s="263">
        <f>IFERROR(AL447-N(AL276),0)</f>
        <v>25231.423417747</v>
      </c>
      <c r="AM448" s="263">
        <f>IFERROR(AM447-N(AM276),0)</f>
        <v>25136.0821056005</v>
      </c>
      <c r="AN448" s="263">
        <f>IFERROR(AN447-N(AN276),0)</f>
        <v>25024.6249921065</v>
      </c>
      <c r="AO448" s="263">
        <f>IFERROR(AO447-N(AO276),0)</f>
        <v>24899.4152123721</v>
      </c>
      <c r="AP448" s="263">
        <f>IFERROR(AP447-N(AP276),0)</f>
        <v>24770.9545070047</v>
      </c>
      <c r="AQ448" s="263">
        <f>IFERROR(AQ447-N(AQ276),0)</f>
        <v>24770.9545070047</v>
      </c>
      <c r="AR448" s="263">
        <f>IFERROR(AR447-N(AR276),0)</f>
        <v>24625.2208434946</v>
      </c>
      <c r="AS448" s="263">
        <f>IFERROR(AS447-N(AS276),0)</f>
        <v>24456.5000125438</v>
      </c>
      <c r="AT448" s="263">
        <f>IFERROR(AT447-N(AT276),0)</f>
        <v>24265.5370405438</v>
      </c>
      <c r="AU448" s="263">
        <f>IFERROR(AU447-N(AU276),0)</f>
        <v>24063.9814761889</v>
      </c>
      <c r="AV448" s="263">
        <f>IFERROR(AV447-N(AV276),0)</f>
        <v>24063.9814761889</v>
      </c>
      <c r="AW448" s="263">
        <f>IFERROR(AW447-N(AW276),0)</f>
        <v>23837.1125180384</v>
      </c>
      <c r="AX448" s="263">
        <f>IFERROR(AX447-N(AX276),0)</f>
        <v>23574.5681919706</v>
      </c>
      <c r="AY448" s="263">
        <f>IFERROR(AY447-N(AY276),0)</f>
        <v>23277.1124778484</v>
      </c>
      <c r="AZ448" s="263">
        <f>IFERROR(AZ447-N(AZ276),0)</f>
        <v>22956.3812337655</v>
      </c>
      <c r="BA448" s="263">
        <f>IFERROR(BA447-N(BA276),0)</f>
        <v>22956.3812337655</v>
      </c>
      <c r="BB448" s="263">
        <f>IFERROR(BB447-N(BB276),0)</f>
        <v>22597.4189156321</v>
      </c>
      <c r="BC448" s="263">
        <f>IFERROR(BC447-N(BC276),0)</f>
        <v>22184.100173773</v>
      </c>
      <c r="BD448" s="263">
        <f>IFERROR(BD447-N(BD276),0)</f>
        <v>21715.2693581326</v>
      </c>
      <c r="BE448" s="263">
        <f>IFERROR(BE447-N(BE276),0)</f>
        <v>21202.1777378287</v>
      </c>
      <c r="BF448" s="263">
        <f>IFERROR(BF447-N(BF276),0)</f>
        <v>21202.1777378287</v>
      </c>
      <c r="BG448" s="90" t="n"/>
      <c r="BH448" s="90" t="n"/>
      <c r="BI448" s="90" t="n"/>
      <c r="BJ448" s="90" t="n"/>
      <c r="BL448" s="90" t="n"/>
      <c r="BM448" s="90" t="n"/>
      <c r="BN448" s="90" t="n"/>
      <c r="BO448" s="90" t="n"/>
      <c r="BQ448" s="90" t="n"/>
      <c r="BR448" s="90" t="n"/>
      <c r="BS448" s="90" t="n"/>
      <c r="BT448" s="90" t="n"/>
      <c r="BV448" s="90" t="n"/>
      <c r="BW448" s="90" t="n"/>
      <c r="BX448" s="90" t="n"/>
      <c r="BY448" s="90" t="n"/>
      <c r="CA448" s="90" t="n"/>
      <c r="CB448" s="90" t="n"/>
      <c r="CC448" s="90" t="n"/>
      <c r="CD448" s="90" t="n"/>
      <c r="CF448" s="90" t="n"/>
      <c r="CG448" s="90" t="n"/>
      <c r="CH448" s="90" t="n"/>
      <c r="CI448" s="90" t="n"/>
      <c r="CK448" s="90" t="n"/>
      <c r="CL448" s="90" t="n"/>
      <c r="CM448" s="90" t="n"/>
      <c r="CN448" s="90" t="n"/>
      <c r="CP448" s="90" t="n"/>
      <c r="CQ448" s="90" t="n"/>
      <c r="CR448" s="90" t="n"/>
      <c r="CS448" s="90" t="n"/>
      <c r="CU448" s="90" t="n"/>
      <c r="CV448" s="90" t="n"/>
      <c r="CW448" s="90" t="n"/>
      <c r="CX448" s="90" t="n"/>
    </row>
    <row r="449" customFormat="1" s="77">
      <c r="A449" s="76" t="n"/>
      <c r="B449" s="76" t="n"/>
      <c r="C449" s="77" t="inlineStr">
        <is>
          <t>OPERATING WORKING CAPITAL</t>
        </is>
      </c>
      <c r="D449" s="91">
        <f>IFERROR(D450-D451,"")</f>
        <v>0</v>
      </c>
      <c r="E449" s="91">
        <f>IFERROR(E450-E451,"")</f>
        <v>0</v>
      </c>
      <c r="F449" s="91">
        <f>IFERROR(F450-F451,"")</f>
        <v>0</v>
      </c>
      <c r="G449" s="91">
        <f>IFERROR(G450-G451,"")</f>
        <v>0</v>
      </c>
      <c r="H449" s="263">
        <f>IFERROR(H450-H451,0)</f>
        <v>0</v>
      </c>
      <c r="I449" s="263">
        <f>IFERROR(I450-I451,0)</f>
        <v>802.959</v>
      </c>
      <c r="J449" s="263">
        <f>IFERROR(J450-J451,0)</f>
        <v>1151.407</v>
      </c>
      <c r="K449" s="263">
        <f>IFERROR(K450-K451,0)</f>
        <v>1381.111</v>
      </c>
      <c r="L449" s="263">
        <f>IFERROR(L450-L451,0)</f>
        <v>1336.551</v>
      </c>
      <c r="M449" s="263">
        <f>IFERROR(M450-M451,0)</f>
        <v>1336.551</v>
      </c>
      <c r="N449" s="263">
        <f>IFERROR(N450-N451,0)</f>
        <v>948.993</v>
      </c>
      <c r="O449" s="263">
        <f>IFERROR(O450-O451,0)</f>
        <v>1607.472</v>
      </c>
      <c r="P449" s="263">
        <f>IFERROR(P450-P451,0)</f>
        <v>1501.017</v>
      </c>
      <c r="Q449" s="263">
        <f>IFERROR(Q450-Q451,0)</f>
        <v>1339.69</v>
      </c>
      <c r="R449" s="263">
        <f>IFERROR(R450-R451,0)</f>
        <v>1339.69</v>
      </c>
      <c r="S449" s="263">
        <f>IFERROR(S450-S451,0)</f>
        <v>1483.033</v>
      </c>
      <c r="T449" s="263">
        <f>IFERROR(T450-T451,0)</f>
        <v>1833.149</v>
      </c>
      <c r="U449" s="263">
        <f>IFERROR(U450-U451,0)</f>
        <v>1705.385</v>
      </c>
      <c r="V449" s="263">
        <f>IFERROR(V450-V451,0)</f>
        <v>1541.804</v>
      </c>
      <c r="W449" s="263">
        <f>IFERROR(W450-W451,0)</f>
        <v>1541.804</v>
      </c>
      <c r="X449" s="263">
        <f>IFERROR(X450-X451,0)</f>
        <v>1608.989</v>
      </c>
      <c r="Y449" s="263">
        <f>IFERROR(Y450-Y451,0)</f>
        <v>1556.076</v>
      </c>
      <c r="Z449" s="263">
        <f>IFERROR(Z450-Z451,0)</f>
        <v>1878.968</v>
      </c>
      <c r="AA449" s="263">
        <f>IFERROR(AA450-AA451,0)</f>
        <v>1734.963</v>
      </c>
      <c r="AB449" s="263">
        <f>IFERROR(AB450-AB451,0)</f>
        <v>1734.963</v>
      </c>
      <c r="AC449" s="263">
        <f>IFERROR(AC450-AC451,0)</f>
        <v>1902.447</v>
      </c>
      <c r="AD449" s="263">
        <f>IFERROR(AD450-AD451,0)</f>
        <v>1958.134</v>
      </c>
      <c r="AE449" s="263">
        <f>IFERROR(AE450-AE451,0)</f>
        <v>2079.751</v>
      </c>
      <c r="AF449" s="263">
        <f>IFERROR(AF450-AF451,0)</f>
        <v>2077.278</v>
      </c>
      <c r="AG449" s="263">
        <f>IFERROR(AG450-AG451,0)</f>
        <v>2077.278</v>
      </c>
      <c r="AH449" s="263">
        <f>IFERROR(AH450-AH451,0)</f>
        <v>2208.213</v>
      </c>
      <c r="AI449" s="263">
        <f>IFERROR(AI450-AI451,0)</f>
        <v>2450.882</v>
      </c>
      <c r="AJ449" s="263">
        <f>IFERROR(AJ450-AJ451,0)</f>
        <v>2376.94136635777</v>
      </c>
      <c r="AK449" s="263">
        <f>IFERROR(AK450-AK451,0)</f>
        <v>2332.88939928593</v>
      </c>
      <c r="AL449" s="263">
        <f>IFERROR(AL450-AL451,0)</f>
        <v>2332.88939928593</v>
      </c>
      <c r="AM449" s="263">
        <f>IFERROR(AM450-AM451,0)</f>
        <v>2279.11780195508</v>
      </c>
      <c r="AN449" s="263">
        <f>IFERROR(AN450-AN451,0)</f>
        <v>2221.53444426904</v>
      </c>
      <c r="AO449" s="263">
        <f>IFERROR(AO450-AO451,0)</f>
        <v>2133.42426126019</v>
      </c>
      <c r="AP449" s="263">
        <f>IFERROR(AP450-AP451,0)</f>
        <v>2049.77711813432</v>
      </c>
      <c r="AQ449" s="263">
        <f>IFERROR(AQ450-AQ451,0)</f>
        <v>2049.77711813432</v>
      </c>
      <c r="AR449" s="263">
        <f>IFERROR(AR450-AR451,0)</f>
        <v>1952.19124737219</v>
      </c>
      <c r="AS449" s="263">
        <f>IFERROR(AS450-AS451,0)</f>
        <v>1845.86926713983</v>
      </c>
      <c r="AT449" s="263">
        <f>IFERROR(AT450-AT451,0)</f>
        <v>1697.8766090353</v>
      </c>
      <c r="AU449" s="263">
        <f>IFERROR(AU450-AU451,0)</f>
        <v>1548.22599800204</v>
      </c>
      <c r="AV449" s="263">
        <f>IFERROR(AV450-AV451,0)</f>
        <v>1548.22599800204</v>
      </c>
      <c r="AW449" s="263">
        <f>IFERROR(AW450-AW451,0)</f>
        <v>1376.88310026993</v>
      </c>
      <c r="AX449" s="263">
        <f>IFERROR(AX450-AX451,0)</f>
        <v>1186.29975428627</v>
      </c>
      <c r="AY449" s="263">
        <f>IFERROR(AY450-AY451,0)</f>
        <v>938.399214127019</v>
      </c>
      <c r="AZ449" s="263">
        <f>IFERROR(AZ450-AZ451,0)</f>
        <v>677.526946118959</v>
      </c>
      <c r="BA449" s="263">
        <f>IFERROR(BA450-BA451,0)</f>
        <v>677.526946118959</v>
      </c>
      <c r="BB449" s="263">
        <f>IFERROR(BB450-BB451,0)</f>
        <v>382.321986820512</v>
      </c>
      <c r="BC449" s="263">
        <f>IFERROR(BC450-BC451,0)</f>
        <v>51.6318700568709</v>
      </c>
      <c r="BD449" s="263">
        <f>IFERROR(BD450-BD451,0)</f>
        <v>-360.297609802117</v>
      </c>
      <c r="BE449" s="263">
        <f>IFERROR(BE450-BE451,0)</f>
        <v>-804.656635206738</v>
      </c>
      <c r="BF449" s="263">
        <f>IFERROR(BF450-BF451,0)</f>
        <v>-804.656635206738</v>
      </c>
      <c r="BG449" s="63" t="n"/>
      <c r="BH449" s="63" t="n"/>
      <c r="BI449" s="63" t="n"/>
      <c r="BJ449" s="63" t="n"/>
      <c r="BL449" s="63" t="n"/>
      <c r="BM449" s="63" t="n"/>
      <c r="BN449" s="63" t="n"/>
      <c r="BO449" s="63" t="n"/>
      <c r="BQ449" s="63" t="n"/>
      <c r="BR449" s="63" t="n"/>
      <c r="BS449" s="63" t="n"/>
      <c r="BT449" s="63" t="n"/>
      <c r="BV449" s="63" t="n"/>
      <c r="BW449" s="63" t="n"/>
      <c r="BX449" s="63" t="n"/>
      <c r="BY449" s="63" t="n"/>
      <c r="CA449" s="63" t="n"/>
      <c r="CB449" s="63" t="n"/>
      <c r="CC449" s="63" t="n"/>
      <c r="CD449" s="63" t="n"/>
      <c r="CF449" s="63" t="n"/>
      <c r="CG449" s="63" t="n"/>
      <c r="CH449" s="63" t="n"/>
      <c r="CI449" s="63" t="n"/>
      <c r="CK449" s="63" t="n"/>
      <c r="CL449" s="63" t="n"/>
      <c r="CM449" s="63" t="n"/>
      <c r="CN449" s="63" t="n"/>
      <c r="CP449" s="63" t="n"/>
      <c r="CQ449" s="63" t="n"/>
      <c r="CR449" s="63" t="n"/>
      <c r="CS449" s="63" t="n"/>
      <c r="CU449" s="63" t="n"/>
      <c r="CV449" s="63" t="n"/>
      <c r="CW449" s="63" t="n"/>
      <c r="CX449" s="63" t="n"/>
    </row>
    <row r="450" customFormat="1" s="77">
      <c r="A450" s="76" t="n"/>
      <c r="B450" s="76" t="n"/>
      <c r="C450" s="77" t="inlineStr">
        <is>
          <t>CURRENT ASSETS (OPERATING, EX CASH)</t>
        </is>
      </c>
      <c r="D450" s="89">
        <f>IFERROR(D242+D246+D250+D251+D252,"")</f>
        <v>0</v>
      </c>
      <c r="E450" s="89">
        <f>IFERROR(E242+E246+E250+E251+E252,"")</f>
        <v>0</v>
      </c>
      <c r="F450" s="89">
        <f>IFERROR(F242+F246+F250+F251+F252,"")</f>
        <v>0</v>
      </c>
      <c r="G450" s="89">
        <f>IFERROR(G242+G246+G250+G251+G252,"")</f>
        <v>0</v>
      </c>
      <c r="H450" s="263">
        <f>IFERROR((N(H242)+N(H246)+N(H250)+N(H251)+N(H252)),0)</f>
        <v>0</v>
      </c>
      <c r="I450" s="263">
        <f>IFERROR((N(I242)+N(I246)+N(I250)+N(I251)+N(I252)),0)</f>
        <v>2143.053</v>
      </c>
      <c r="J450" s="263">
        <f>IFERROR((N(J242)+N(J246)+N(J250)+N(J251)+N(J252)),0)</f>
        <v>2234.55</v>
      </c>
      <c r="K450" s="263">
        <f>IFERROR((N(K242)+N(K246)+N(K250)+N(K251)+N(K252)),0)</f>
        <v>2294.652</v>
      </c>
      <c r="L450" s="263">
        <f>IFERROR((N(L242)+N(L246)+N(L250)+N(L251)+N(L252)),0)</f>
        <v>2489.291</v>
      </c>
      <c r="M450" s="263">
        <f>IFERROR((N(M242)+N(M246)+N(M250)+N(M251)+N(M252)),0)</f>
        <v>2489.291</v>
      </c>
      <c r="N450" s="263">
        <f>IFERROR((N(N242)+N(N246)+N(N250)+N(N251)+N(N252)),0)</f>
        <v>2519.634</v>
      </c>
      <c r="O450" s="263">
        <f>IFERROR((N(O242)+N(O246)+N(O250)+N(O251)+N(O252)),0)</f>
        <v>2628.333</v>
      </c>
      <c r="P450" s="263">
        <f>IFERROR((N(P242)+N(P246)+N(P250)+N(P251)+N(P252)),0)</f>
        <v>2633.901</v>
      </c>
      <c r="Q450" s="263">
        <f>IFERROR((N(Q242)+N(Q246)+N(Q250)+N(Q251)+N(Q252)),0)</f>
        <v>2738.325</v>
      </c>
      <c r="R450" s="263">
        <f>IFERROR((N(R242)+N(R246)+N(R250)+N(R251)+N(R252)),0)</f>
        <v>2738.325</v>
      </c>
      <c r="S450" s="263">
        <f>IFERROR((N(S242)+N(S246)+N(S250)+N(S251)+N(S252)),0)</f>
        <v>2817.604</v>
      </c>
      <c r="T450" s="263">
        <f>IFERROR((N(T242)+N(T246)+N(T250)+N(T251)+N(T252)),0)</f>
        <v>2692.743</v>
      </c>
      <c r="U450" s="263">
        <f>IFERROR((N(U242)+N(U246)+N(U250)+N(U251)+N(U252)),0)</f>
        <v>2722.172</v>
      </c>
      <c r="V450" s="263">
        <f>IFERROR((N(V242)+N(V246)+N(V250)+N(V251)+N(V252)),0)</f>
        <v>2646.89</v>
      </c>
      <c r="W450" s="263">
        <f>IFERROR((N(W242)+N(W246)+N(W250)+N(W251)+N(W252)),0)</f>
        <v>2646.89</v>
      </c>
      <c r="X450" s="263">
        <f>IFERROR((N(X242)+N(X246)+N(X250)+N(X251)+N(X252)),0)</f>
        <v>2667.062</v>
      </c>
      <c r="Y450" s="263">
        <f>IFERROR((N(Y242)+N(Y246)+N(Y250)+N(Y251)+N(Y252)),0)</f>
        <v>2723.027</v>
      </c>
      <c r="Z450" s="263">
        <f>IFERROR((N(Z242)+N(Z246)+N(Z250)+N(Z251)+N(Z252)),0)</f>
        <v>2753.016</v>
      </c>
      <c r="AA450" s="263">
        <f>IFERROR((N(AA242)+N(AA246)+N(AA250)+N(AA251)+N(AA252)),0)</f>
        <v>2810.488</v>
      </c>
      <c r="AB450" s="263">
        <f>IFERROR((N(AB242)+N(AB246)+N(AB250)+N(AB251)+N(AB252)),0)</f>
        <v>2810.488</v>
      </c>
      <c r="AC450" s="263">
        <f>IFERROR((N(AC242)+N(AC246)+N(AC250)+N(AC251)+N(AC252)),0)</f>
        <v>2915.409</v>
      </c>
      <c r="AD450" s="263">
        <f>IFERROR((N(AD242)+N(AD246)+N(AD250)+N(AD251)+N(AD252)),0)</f>
        <v>3035.123</v>
      </c>
      <c r="AE450" s="263">
        <f>IFERROR((N(AE242)+N(AE246)+N(AE250)+N(AE251)+N(AE252)),0)</f>
        <v>3040.257</v>
      </c>
      <c r="AF450" s="263">
        <f>IFERROR((N(AF242)+N(AF246)+N(AF250)+N(AF251)+N(AF252)),0)</f>
        <v>3170.999</v>
      </c>
      <c r="AG450" s="263">
        <f>IFERROR((N(AG242)+N(AG246)+N(AG250)+N(AG251)+N(AG252)),0)</f>
        <v>3170.999</v>
      </c>
      <c r="AH450" s="263">
        <f>IFERROR((N(AH242)+N(AH246)+N(AH250)+N(AH251)+N(AH252)),0)</f>
        <v>3227.071</v>
      </c>
      <c r="AI450" s="263">
        <f>IFERROR((N(AI242)+N(AI246)+N(AI250)+N(AI251)+N(AI252)),0)</f>
        <v>3609.043</v>
      </c>
      <c r="AJ450" s="263">
        <f>IFERROR((N(AJ242)+N(AJ246)+N(AJ250)+N(AJ251)+N(AJ252)),0)</f>
        <v>3479.71713603189</v>
      </c>
      <c r="AK450" s="263">
        <f>IFERROR((N(AK242)+N(AK246)+N(AK250)+N(AK251)+N(AK252)),0)</f>
        <v>3527.73597803478</v>
      </c>
      <c r="AL450" s="263">
        <f>IFERROR((N(AL242)+N(AL246)+N(AL250)+N(AL251)+N(AL252)),0)</f>
        <v>3527.73597803478</v>
      </c>
      <c r="AM450" s="263">
        <f>IFERROR((N(AM242)+N(AM246)+N(AM250)+N(AM251)+N(AM252)),0)</f>
        <v>3556.47426226223</v>
      </c>
      <c r="AN450" s="263">
        <f>IFERROR((N(AN242)+N(AN246)+N(AN250)+N(AN251)+N(AN252)),0)</f>
        <v>3643.16671256971</v>
      </c>
      <c r="AO450" s="263">
        <f>IFERROR((N(AO242)+N(AO246)+N(AO250)+N(AO251)+N(AO252)),0)</f>
        <v>3517.41660953747</v>
      </c>
      <c r="AP450" s="263">
        <f>IFERROR((N(AP242)+N(AP246)+N(AP250)+N(AP251)+N(AP252)),0)</f>
        <v>3573.27414695108</v>
      </c>
      <c r="AQ450" s="263">
        <f>IFERROR((N(AQ242)+N(AQ246)+N(AQ250)+N(AQ251)+N(AQ252)),0)</f>
        <v>3573.27414695108</v>
      </c>
      <c r="AR450" s="263">
        <f>IFERROR((N(AR242)+N(AR246)+N(AR250)+N(AR251)+N(AR252)),0)</f>
        <v>3601.24885584227</v>
      </c>
      <c r="AS450" s="263">
        <f>IFERROR((N(AS242)+N(AS246)+N(AS250)+N(AS251)+N(AS252)),0)</f>
        <v>3705.57607555483</v>
      </c>
      <c r="AT450" s="263">
        <f>IFERROR((N(AT242)+N(AT246)+N(AT250)+N(AT251)+N(AT252)),0)</f>
        <v>3559.92701527924</v>
      </c>
      <c r="AU450" s="263">
        <f>IFERROR((N(AU242)+N(AU246)+N(AU250)+N(AU251)+N(AU252)),0)</f>
        <v>3624.62356532115</v>
      </c>
      <c r="AV450" s="263">
        <f>IFERROR((N(AV242)+N(AV246)+N(AV250)+N(AV251)+N(AV252)),0)</f>
        <v>3624.62356532115</v>
      </c>
      <c r="AW450" s="263">
        <f>IFERROR((N(AW242)+N(AW246)+N(AW250)+N(AW251)+N(AW252)),0)</f>
        <v>3659.77921070535</v>
      </c>
      <c r="AX450" s="263">
        <f>IFERROR((N(AX242)+N(AX246)+N(AX250)+N(AX251)+N(AX252)),0)</f>
        <v>3775.57722026436</v>
      </c>
      <c r="AY450" s="263">
        <f>IFERROR((N(AY242)+N(AY246)+N(AY250)+N(AY251)+N(AY252)),0)</f>
        <v>3607.60859576101</v>
      </c>
      <c r="AZ450" s="263">
        <f>IFERROR((N(AZ242)+N(AZ246)+N(AZ250)+N(AZ251)+N(AZ252)),0)</f>
        <v>3682.21937938083</v>
      </c>
      <c r="BA450" s="263">
        <f>IFERROR((N(BA242)+N(BA246)+N(BA250)+N(BA251)+N(BA252)),0)</f>
        <v>3682.21937938083</v>
      </c>
      <c r="BB450" s="263">
        <f>IFERROR((N(BB242)+N(BB246)+N(BB250)+N(BB251)+N(BB252)),0)</f>
        <v>3720.7073277604</v>
      </c>
      <c r="BC450" s="263">
        <f>IFERROR((N(BC242)+N(BC246)+N(BC250)+N(BC251)+N(BC252)),0)</f>
        <v>3853.67147454473</v>
      </c>
      <c r="BD450" s="263">
        <f>IFERROR((N(BD242)+N(BD246)+N(BD250)+N(BD251)+N(BD252)),0)</f>
        <v>3660.80283259934</v>
      </c>
      <c r="BE450" s="263">
        <f>IFERROR((N(BE242)+N(BE246)+N(BE250)+N(BE251)+N(BE252)),0)</f>
        <v>3746.47407360512</v>
      </c>
      <c r="BF450" s="263">
        <f>IFERROR((N(BF242)+N(BF246)+N(BF250)+N(BF251)+N(BF252)),0)</f>
        <v>3746.47407360512</v>
      </c>
      <c r="BG450" s="90" t="n"/>
      <c r="BH450" s="90" t="n"/>
      <c r="BI450" s="90" t="n"/>
      <c r="BJ450" s="90" t="n"/>
      <c r="BL450" s="90" t="n"/>
      <c r="BM450" s="90" t="n"/>
      <c r="BN450" s="90" t="n"/>
      <c r="BO450" s="90" t="n"/>
      <c r="BQ450" s="90" t="n"/>
      <c r="BR450" s="90" t="n"/>
      <c r="BS450" s="90" t="n"/>
      <c r="BT450" s="90" t="n"/>
      <c r="BV450" s="90" t="n"/>
      <c r="BW450" s="90" t="n"/>
      <c r="BX450" s="90" t="n"/>
      <c r="BY450" s="90" t="n"/>
      <c r="CA450" s="90" t="n"/>
      <c r="CB450" s="90" t="n"/>
      <c r="CC450" s="90" t="n"/>
      <c r="CD450" s="90" t="n"/>
      <c r="CF450" s="90" t="n"/>
      <c r="CG450" s="90" t="n"/>
      <c r="CH450" s="90" t="n"/>
      <c r="CI450" s="90" t="n"/>
      <c r="CK450" s="90" t="n"/>
      <c r="CL450" s="90" t="n"/>
      <c r="CM450" s="90" t="n"/>
      <c r="CN450" s="90" t="n"/>
      <c r="CP450" s="90" t="n"/>
      <c r="CQ450" s="90" t="n"/>
      <c r="CR450" s="90" t="n"/>
      <c r="CS450" s="90" t="n"/>
      <c r="CU450" s="90" t="n"/>
      <c r="CV450" s="90" t="n"/>
      <c r="CW450" s="90" t="n"/>
      <c r="CX450" s="90" t="n"/>
    </row>
    <row r="451" customFormat="1" s="77">
      <c r="A451" s="76" t="n"/>
      <c r="B451" s="76" t="n"/>
      <c r="C451" s="77" t="inlineStr">
        <is>
          <t>CURRENT LIABILITIES (OPERATING, EX DEBT)</t>
        </is>
      </c>
      <c r="D451" s="89">
        <f>IFERROR(D295+D299+D301+D302,"")</f>
        <v>0</v>
      </c>
      <c r="E451" s="89">
        <f>IFERROR(E295+E299+E301+E302,"")</f>
        <v>0</v>
      </c>
      <c r="F451" s="89">
        <f>IFERROR(F295+F299+F301+F302,"")</f>
        <v>0</v>
      </c>
      <c r="G451" s="89">
        <f>IFERROR(G295+G299+G301+G302,"")</f>
        <v>0</v>
      </c>
      <c r="H451" s="263">
        <f>IFERROR((N(H295)+N(H299)+N(H301)+N(H302)),0)</f>
        <v>0</v>
      </c>
      <c r="I451" s="263">
        <f>IFERROR((N(I295)+N(I299)+N(I301)+N(I302)),0)</f>
        <v>1340.094</v>
      </c>
      <c r="J451" s="263">
        <f>IFERROR((N(J295)+N(J299)+N(J301)+N(J302)),0)</f>
        <v>1083.143</v>
      </c>
      <c r="K451" s="263">
        <f>IFERROR((N(K295)+N(K299)+N(K301)+N(K302)),0)</f>
        <v>913.541</v>
      </c>
      <c r="L451" s="263">
        <f>IFERROR((N(L295)+N(L299)+N(L301)+N(L302)),0)</f>
        <v>1152.74</v>
      </c>
      <c r="M451" s="263">
        <f>IFERROR((N(M295)+N(M299)+N(M301)+N(M302)),0)</f>
        <v>1152.74</v>
      </c>
      <c r="N451" s="263">
        <f>IFERROR((N(N295)+N(N299)+N(N301)+N(N302)),0)</f>
        <v>1570.641</v>
      </c>
      <c r="O451" s="263">
        <f>IFERROR((N(O295)+N(O299)+N(O301)+N(O302)),0)</f>
        <v>1020.861</v>
      </c>
      <c r="P451" s="263">
        <f>IFERROR((N(P295)+N(P299)+N(P301)+N(P302)),0)</f>
        <v>1132.884</v>
      </c>
      <c r="Q451" s="263">
        <f>IFERROR((N(Q295)+N(Q299)+N(Q301)+N(Q302)),0)</f>
        <v>1398.635</v>
      </c>
      <c r="R451" s="263">
        <f>IFERROR((N(R295)+N(R299)+N(R301)+N(R302)),0)</f>
        <v>1398.635</v>
      </c>
      <c r="S451" s="263">
        <f>IFERROR((N(S295)+N(S299)+N(S301)+N(S302)),0)</f>
        <v>1334.571</v>
      </c>
      <c r="T451" s="263">
        <f>IFERROR((N(T295)+N(T299)+N(T301)+N(T302)),0)</f>
        <v>859.594</v>
      </c>
      <c r="U451" s="263">
        <f>IFERROR((N(U295)+N(U299)+N(U301)+N(U302)),0)</f>
        <v>1016.787</v>
      </c>
      <c r="V451" s="263">
        <f>IFERROR((N(V295)+N(V299)+N(V301)+N(V302)),0)</f>
        <v>1105.086</v>
      </c>
      <c r="W451" s="263">
        <f>IFERROR((N(W295)+N(W299)+N(W301)+N(W302)),0)</f>
        <v>1105.086</v>
      </c>
      <c r="X451" s="263">
        <f>IFERROR((N(X295)+N(X299)+N(X301)+N(X302)),0)</f>
        <v>1058.073</v>
      </c>
      <c r="Y451" s="263">
        <f>IFERROR((N(Y295)+N(Y299)+N(Y301)+N(Y302)),0)</f>
        <v>1166.951</v>
      </c>
      <c r="Z451" s="263">
        <f>IFERROR((N(Z295)+N(Z299)+N(Z301)+N(Z302)),0)</f>
        <v>874.048</v>
      </c>
      <c r="AA451" s="263">
        <f>IFERROR((N(AA295)+N(AA299)+N(AA301)+N(AA302)),0)</f>
        <v>1075.525</v>
      </c>
      <c r="AB451" s="263">
        <f>IFERROR((N(AB295)+N(AB299)+N(AB301)+N(AB302)),0)</f>
        <v>1075.525</v>
      </c>
      <c r="AC451" s="263">
        <f>IFERROR((N(AC295)+N(AC299)+N(AC301)+N(AC302)),0)</f>
        <v>1012.962</v>
      </c>
      <c r="AD451" s="263">
        <f>IFERROR((N(AD295)+N(AD299)+N(AD301)+N(AD302)),0)</f>
        <v>1076.989</v>
      </c>
      <c r="AE451" s="263">
        <f>IFERROR((N(AE295)+N(AE299)+N(AE301)+N(AE302)),0)</f>
        <v>960.506</v>
      </c>
      <c r="AF451" s="263">
        <f>IFERROR((N(AF295)+N(AF299)+N(AF301)+N(AF302)),0)</f>
        <v>1093.721</v>
      </c>
      <c r="AG451" s="263">
        <f>IFERROR((N(AG295)+N(AG299)+N(AG301)+N(AG302)),0)</f>
        <v>1093.721</v>
      </c>
      <c r="AH451" s="263">
        <f>IFERROR((N(AH295)+N(AH299)+N(AH301)+N(AH302)),0)</f>
        <v>1018.858</v>
      </c>
      <c r="AI451" s="263">
        <f>IFERROR((N(AI295)+N(AI299)+N(AI301)+N(AI302)),0)</f>
        <v>1158.161</v>
      </c>
      <c r="AJ451" s="263">
        <f>IFERROR((N(AJ295)+N(AJ299)+N(AJ301)+N(AJ302)),0)</f>
        <v>1102.77576967412</v>
      </c>
      <c r="AK451" s="263">
        <f>IFERROR((N(AK295)+N(AK299)+N(AK301)+N(AK302)),0)</f>
        <v>1194.84657874885</v>
      </c>
      <c r="AL451" s="263">
        <f>IFERROR((N(AL295)+N(AL299)+N(AL301)+N(AL302)),0)</f>
        <v>1194.84657874885</v>
      </c>
      <c r="AM451" s="263">
        <f>IFERROR((N(AM295)+N(AM299)+N(AM301)+N(AM302)),0)</f>
        <v>1277.35646030715</v>
      </c>
      <c r="AN451" s="263">
        <f>IFERROR((N(AN295)+N(AN299)+N(AN301)+N(AN302)),0)</f>
        <v>1421.63226830067</v>
      </c>
      <c r="AO451" s="263">
        <f>IFERROR((N(AO295)+N(AO299)+N(AO301)+N(AO302)),0)</f>
        <v>1383.99234827729</v>
      </c>
      <c r="AP451" s="263">
        <f>IFERROR((N(AP295)+N(AP299)+N(AP301)+N(AP302)),0)</f>
        <v>1523.49702881676</v>
      </c>
      <c r="AQ451" s="263">
        <f>IFERROR((N(AQ295)+N(AQ299)+N(AQ301)+N(AQ302)),0)</f>
        <v>1523.49702881676</v>
      </c>
      <c r="AR451" s="263">
        <f>IFERROR((N(AR295)+N(AR299)+N(AR301)+N(AR302)),0)</f>
        <v>1649.05760847008</v>
      </c>
      <c r="AS451" s="263">
        <f>IFERROR((N(AS295)+N(AS299)+N(AS301)+N(AS302)),0)</f>
        <v>1859.706808415</v>
      </c>
      <c r="AT451" s="263">
        <f>IFERROR((N(AT295)+N(AT299)+N(AT301)+N(AT302)),0)</f>
        <v>1862.05040624394</v>
      </c>
      <c r="AU451" s="263">
        <f>IFERROR((N(AU295)+N(AU299)+N(AU301)+N(AU302)),0)</f>
        <v>2076.39756731911</v>
      </c>
      <c r="AV451" s="263">
        <f>IFERROR((N(AV295)+N(AV299)+N(AV301)+N(AV302)),0)</f>
        <v>2076.39756731911</v>
      </c>
      <c r="AW451" s="263">
        <f>IFERROR((N(AW295)+N(AW299)+N(AW301)+N(AW302)),0)</f>
        <v>2282.89611043542</v>
      </c>
      <c r="AX451" s="263">
        <f>IFERROR((N(AX295)+N(AX299)+N(AX301)+N(AX302)),0)</f>
        <v>2589.27746597809</v>
      </c>
      <c r="AY451" s="263">
        <f>IFERROR((N(AY295)+N(AY299)+N(AY301)+N(AY302)),0)</f>
        <v>2669.20938163399</v>
      </c>
      <c r="AZ451" s="263">
        <f>IFERROR((N(AZ295)+N(AZ299)+N(AZ301)+N(AZ302)),0)</f>
        <v>3004.69243326187</v>
      </c>
      <c r="BA451" s="263">
        <f>IFERROR((N(BA295)+N(BA299)+N(BA301)+N(BA302)),0)</f>
        <v>3004.69243326187</v>
      </c>
      <c r="BB451" s="263">
        <f>IFERROR((N(BB295)+N(BB299)+N(BB301)+N(BB302)),0)</f>
        <v>3338.38534093989</v>
      </c>
      <c r="BC451" s="263">
        <f>IFERROR((N(BC295)+N(BC299)+N(BC301)+N(BC302)),0)</f>
        <v>3802.03960448786</v>
      </c>
      <c r="BD451" s="263">
        <f>IFERROR((N(BD295)+N(BD299)+N(BD301)+N(BD302)),0)</f>
        <v>4021.10044240145</v>
      </c>
      <c r="BE451" s="263">
        <f>IFERROR((N(BE295)+N(BE299)+N(BE301)+N(BE302)),0)</f>
        <v>4551.13070881186</v>
      </c>
      <c r="BF451" s="263">
        <f>IFERROR((N(BF295)+N(BF299)+N(BF301)+N(BF302)),0)</f>
        <v>4551.13070881186</v>
      </c>
      <c r="BG451" s="90" t="n"/>
      <c r="BH451" s="90" t="n"/>
      <c r="BI451" s="90" t="n"/>
      <c r="BJ451" s="90" t="n"/>
      <c r="BL451" s="90" t="n"/>
      <c r="BM451" s="90" t="n"/>
      <c r="BN451" s="90" t="n"/>
      <c r="BO451" s="90" t="n"/>
      <c r="BQ451" s="90" t="n"/>
      <c r="BR451" s="90" t="n"/>
      <c r="BS451" s="90" t="n"/>
      <c r="BT451" s="90" t="n"/>
      <c r="BV451" s="90" t="n"/>
      <c r="BW451" s="90" t="n"/>
      <c r="BX451" s="90" t="n"/>
      <c r="BY451" s="90" t="n"/>
      <c r="CA451" s="90" t="n"/>
      <c r="CB451" s="90" t="n"/>
      <c r="CC451" s="90" t="n"/>
      <c r="CD451" s="90" t="n"/>
      <c r="CF451" s="90" t="n"/>
      <c r="CG451" s="90" t="n"/>
      <c r="CH451" s="90" t="n"/>
      <c r="CI451" s="90" t="n"/>
      <c r="CK451" s="90" t="n"/>
      <c r="CL451" s="90" t="n"/>
      <c r="CM451" s="90" t="n"/>
      <c r="CN451" s="90" t="n"/>
      <c r="CP451" s="90" t="n"/>
      <c r="CQ451" s="90" t="n"/>
      <c r="CR451" s="90" t="n"/>
      <c r="CS451" s="90" t="n"/>
      <c r="CU451" s="90" t="n"/>
      <c r="CV451" s="90" t="n"/>
      <c r="CW451" s="90" t="n"/>
      <c r="CX451" s="90" t="n"/>
    </row>
    <row r="452" customFormat="1" s="77">
      <c r="A452" s="76" t="n"/>
      <c r="B452" s="76" t="n"/>
      <c r="C452" s="77" t="inlineStr">
        <is>
          <t>FIXED ASSETS</t>
        </is>
      </c>
      <c r="D452" s="89">
        <f>IFERROR(D263+D273+D276+D277+D286-D337,"")</f>
        <v>0</v>
      </c>
      <c r="E452" s="89">
        <f>IFERROR(E263+E273+E276+E277+E286-E337,"")</f>
        <v>0</v>
      </c>
      <c r="F452" s="89">
        <f>IFERROR(F263+F273+F276+F277+F286-F337,"")</f>
        <v>0</v>
      </c>
      <c r="G452" s="89">
        <f>IFERROR(G263+G273+G276+G277+G286-G337,"")</f>
        <v>0</v>
      </c>
      <c r="H452" s="263">
        <f>IFERROR((N(H263)+N(H273)+N(H276)+N(H277)+N(H286))-N(H337),0)</f>
        <v>0</v>
      </c>
      <c r="I452" s="263">
        <f>IFERROR((N(I263)+N(I273)+N(I276)+N(I277)+N(I286))-N(I337),0)</f>
        <v>18045.456</v>
      </c>
      <c r="J452" s="263">
        <f>IFERROR((N(J263)+N(J273)+N(J276)+N(J277)+N(J286))-N(J337),0)</f>
        <v>18641.069</v>
      </c>
      <c r="K452" s="263">
        <f>IFERROR((N(K263)+N(K273)+N(K276)+N(K277)+N(K286))-N(K337),0)</f>
        <v>19144.338</v>
      </c>
      <c r="L452" s="263">
        <f>IFERROR((N(L263)+N(L273)+N(L276)+N(L277)+N(L286))-N(L337),0)</f>
        <v>19611.244</v>
      </c>
      <c r="M452" s="263">
        <f>IFERROR((N(M263)+N(M273)+N(M276)+N(M277)+N(M286))-N(M337),0)</f>
        <v>19611.244</v>
      </c>
      <c r="N452" s="263">
        <f>IFERROR((N(N263)+N(N273)+N(N276)+N(N277)+N(N286))-N(N337),0)</f>
        <v>20285.915</v>
      </c>
      <c r="O452" s="263">
        <f>IFERROR((N(O263)+N(O273)+N(O276)+N(O277)+N(O286))-N(O337),0)</f>
        <v>20374.372</v>
      </c>
      <c r="P452" s="263">
        <f>IFERROR((N(P263)+N(P273)+N(P276)+N(P277)+N(P286))-N(P337),0)</f>
        <v>20391.025</v>
      </c>
      <c r="Q452" s="263">
        <f>IFERROR((N(Q263)+N(Q273)+N(Q276)+N(Q277)+N(Q286))-N(Q337),0)</f>
        <v>20548.903</v>
      </c>
      <c r="R452" s="263">
        <f>IFERROR((N(R263)+N(R273)+N(R276)+N(R277)+N(R286))-N(R337),0)</f>
        <v>20548.903</v>
      </c>
      <c r="S452" s="263">
        <f>IFERROR((N(S263)+N(S273)+N(S276)+N(S277)+N(S286))-N(S337),0)</f>
        <v>20781.251</v>
      </c>
      <c r="T452" s="263">
        <f>IFERROR((N(T263)+N(T273)+N(T276)+N(T277)+N(T286))-N(T337),0)</f>
        <v>20703.802</v>
      </c>
      <c r="U452" s="263">
        <f>IFERROR((N(U263)+N(U273)+N(U276)+N(U277)+N(U286))-N(U337),0)</f>
        <v>20637.085</v>
      </c>
      <c r="V452" s="263">
        <f>IFERROR((N(V263)+N(V273)+N(V276)+N(V277)+N(V286))-N(V337),0)</f>
        <v>20734.089</v>
      </c>
      <c r="W452" s="263">
        <f>IFERROR((N(W263)+N(W273)+N(W276)+N(W277)+N(W286))-N(W337),0)</f>
        <v>20734.089</v>
      </c>
      <c r="X452" s="263">
        <f>IFERROR((N(X263)+N(X273)+N(X276)+N(X277)+N(X286))-N(X337),0)</f>
        <v>20940.215</v>
      </c>
      <c r="Y452" s="263">
        <f>IFERROR((N(Y263)+N(Y273)+N(Y276)+N(Y277)+N(Y286))-N(Y337),0)</f>
        <v>21196.711</v>
      </c>
      <c r="Z452" s="263">
        <f>IFERROR((N(Z263)+N(Z273)+N(Z276)+N(Z277)+N(Z286))-N(Z337),0)</f>
        <v>21245.89</v>
      </c>
      <c r="AA452" s="263">
        <f>IFERROR((N(AA263)+N(AA273)+N(AA276)+N(AA277)+N(AA286))-N(AA337),0)</f>
        <v>21673.541</v>
      </c>
      <c r="AB452" s="263">
        <f>IFERROR((N(AB263)+N(AB273)+N(AB276)+N(AB277)+N(AB286))-N(AB337),0)</f>
        <v>21673.541</v>
      </c>
      <c r="AC452" s="263">
        <f>IFERROR((N(AC263)+N(AC273)+N(AC276)+N(AC277)+N(AC286))-N(AC337),0)</f>
        <v>21839.563</v>
      </c>
      <c r="AD452" s="263">
        <f>IFERROR((N(AD263)+N(AD273)+N(AD276)+N(AD277)+N(AD286))-N(AD337),0)</f>
        <v>21805.604</v>
      </c>
      <c r="AE452" s="263">
        <f>IFERROR((N(AE263)+N(AE273)+N(AE276)+N(AE277)+N(AE286))-N(AE337),0)</f>
        <v>21962.532</v>
      </c>
      <c r="AF452" s="263">
        <f>IFERROR((N(AF263)+N(AF273)+N(AF276)+N(AF277)+N(AF286))-N(AF337),0)</f>
        <v>22397.471</v>
      </c>
      <c r="AG452" s="263">
        <f>IFERROR((N(AG263)+N(AG273)+N(AG276)+N(AG277)+N(AG286))-N(AG337),0)</f>
        <v>22397.471</v>
      </c>
      <c r="AH452" s="263">
        <f>IFERROR((N(AH263)+N(AH273)+N(AH276)+N(AH277)+N(AH286))-N(AH337),0)</f>
        <v>22481.266</v>
      </c>
      <c r="AI452" s="263">
        <f>IFERROR((N(AI263)+N(AI273)+N(AI276)+N(AI277)+N(AI286))-N(AI337),0)</f>
        <v>22968.952</v>
      </c>
      <c r="AJ452" s="263">
        <f>IFERROR((N(AJ263)+N(AJ273)+N(AJ276)+N(AJ277)+N(AJ286))-N(AJ337),0)</f>
        <v>22937.0587272919</v>
      </c>
      <c r="AK452" s="263">
        <f>IFERROR((N(AK263)+N(AK273)+N(AK276)+N(AK277)+N(AK286))-N(AK337),0)</f>
        <v>22898.5340184611</v>
      </c>
      <c r="AL452" s="263">
        <f>IFERROR((N(AL263)+N(AL273)+N(AL276)+N(AL277)+N(AL286))-N(AL337),0)</f>
        <v>22898.5340184611</v>
      </c>
      <c r="AM452" s="263">
        <f>IFERROR((N(AM263)+N(AM273)+N(AM276)+N(AM277)+N(AM286))-N(AM337),0)</f>
        <v>22856.9643036454</v>
      </c>
      <c r="AN452" s="263">
        <f>IFERROR((N(AN263)+N(AN273)+N(AN276)+N(AN277)+N(AN286))-N(AN337),0)</f>
        <v>22803.0905478375</v>
      </c>
      <c r="AO452" s="263">
        <f>IFERROR((N(AO263)+N(AO273)+N(AO276)+N(AO277)+N(AO286))-N(AO337),0)</f>
        <v>22765.9909511119</v>
      </c>
      <c r="AP452" s="263">
        <f>IFERROR((N(AP263)+N(AP273)+N(AP276)+N(AP277)+N(AP286))-N(AP337),0)</f>
        <v>22721.1773888704</v>
      </c>
      <c r="AQ452" s="263">
        <f>IFERROR((N(AQ263)+N(AQ273)+N(AQ276)+N(AQ277)+N(AQ286))-N(AQ337),0)</f>
        <v>22721.1773888704</v>
      </c>
      <c r="AR452" s="263">
        <f>IFERROR((N(AR263)+N(AR273)+N(AR276)+N(AR277)+N(AR286))-N(AR337),0)</f>
        <v>22673.0295961224</v>
      </c>
      <c r="AS452" s="263">
        <f>IFERROR((N(AS263)+N(AS273)+N(AS276)+N(AS277)+N(AS286))-N(AS337),0)</f>
        <v>22610.630745404</v>
      </c>
      <c r="AT452" s="263">
        <f>IFERROR((N(AT263)+N(AT273)+N(AT276)+N(AT277)+N(AT286))-N(AT337),0)</f>
        <v>22567.6604315085</v>
      </c>
      <c r="AU452" s="263">
        <f>IFERROR((N(AU263)+N(AU273)+N(AU276)+N(AU277)+N(AU286))-N(AU337),0)</f>
        <v>22515.7554781869</v>
      </c>
      <c r="AV452" s="263">
        <f>IFERROR((N(AV263)+N(AV273)+N(AV276)+N(AV277)+N(AV286))-N(AV337),0)</f>
        <v>22515.7554781869</v>
      </c>
      <c r="AW452" s="263">
        <f>IFERROR((N(AW263)+N(AW273)+N(AW276)+N(AW277)+N(AW286))-N(AW337),0)</f>
        <v>22460.2294177685</v>
      </c>
      <c r="AX452" s="263">
        <f>IFERROR((N(AX263)+N(AX273)+N(AX276)+N(AX277)+N(AX286))-N(AX337),0)</f>
        <v>22388.2684376843</v>
      </c>
      <c r="AY452" s="263">
        <f>IFERROR((N(AY263)+N(AY273)+N(AY276)+N(AY277)+N(AY286))-N(AY337),0)</f>
        <v>22338.7132637213</v>
      </c>
      <c r="AZ452" s="263">
        <f>IFERROR((N(AZ263)+N(AZ273)+N(AZ276)+N(AZ277)+N(AZ286))-N(AZ337),0)</f>
        <v>22278.8542876466</v>
      </c>
      <c r="BA452" s="263">
        <f>IFERROR((N(BA263)+N(BA273)+N(BA276)+N(BA277)+N(BA286))-N(BA337),0)</f>
        <v>22278.8542876466</v>
      </c>
      <c r="BB452" s="263">
        <f>IFERROR((N(BB263)+N(BB273)+N(BB276)+N(BB277)+N(BB286))-N(BB337),0)</f>
        <v>22215.0969288116</v>
      </c>
      <c r="BC452" s="263">
        <f>IFERROR((N(BC263)+N(BC273)+N(BC276)+N(BC277)+N(BC286))-N(BC337),0)</f>
        <v>22132.4683037161</v>
      </c>
      <c r="BD452" s="263">
        <f>IFERROR((N(BD263)+N(BD273)+N(BD276)+N(BD277)+N(BD286))-N(BD337),0)</f>
        <v>22075.5669679347</v>
      </c>
      <c r="BE452" s="263">
        <f>IFERROR((N(BE263)+N(BE273)+N(BE276)+N(BE277)+N(BE286))-N(BE337),0)</f>
        <v>22006.8343730354</v>
      </c>
      <c r="BF452" s="263">
        <f>IFERROR((N(BF263)+N(BF273)+N(BF276)+N(BF277)+N(BF286))-N(BF337),0)</f>
        <v>22006.8343730354</v>
      </c>
      <c r="BG452" s="90" t="n"/>
      <c r="BH452" s="90" t="n"/>
      <c r="BI452" s="90" t="n"/>
      <c r="BJ452" s="90" t="n"/>
      <c r="BL452" s="90" t="n"/>
      <c r="BM452" s="90" t="n"/>
      <c r="BN452" s="90" t="n"/>
      <c r="BO452" s="90" t="n"/>
      <c r="BQ452" s="90" t="n"/>
      <c r="BR452" s="90" t="n"/>
      <c r="BS452" s="90" t="n"/>
      <c r="BT452" s="90" t="n"/>
      <c r="BV452" s="90" t="n"/>
      <c r="BW452" s="90" t="n"/>
      <c r="BX452" s="90" t="n"/>
      <c r="BY452" s="90" t="n"/>
      <c r="CA452" s="90" t="n"/>
      <c r="CB452" s="90" t="n"/>
      <c r="CC452" s="90" t="n"/>
      <c r="CD452" s="90" t="n"/>
      <c r="CF452" s="90" t="n"/>
      <c r="CG452" s="90" t="n"/>
      <c r="CH452" s="90" t="n"/>
      <c r="CI452" s="90" t="n"/>
      <c r="CK452" s="90" t="n"/>
      <c r="CL452" s="90" t="n"/>
      <c r="CM452" s="90" t="n"/>
      <c r="CN452" s="90" t="n"/>
      <c r="CP452" s="90" t="n"/>
      <c r="CQ452" s="90" t="n"/>
      <c r="CR452" s="90" t="n"/>
      <c r="CS452" s="90" t="n"/>
      <c r="CU452" s="90" t="n"/>
      <c r="CV452" s="90" t="n"/>
      <c r="CW452" s="90" t="n"/>
      <c r="CX452" s="90" t="n"/>
    </row>
    <row r="453" customFormat="1" s="77">
      <c r="A453" s="76" t="n"/>
      <c r="B453" s="76" t="n"/>
    </row>
    <row r="454" customFormat="1" s="77">
      <c r="A454" s="76" t="n"/>
      <c r="B454" s="76" t="n"/>
    </row>
    <row r="455" customFormat="1" s="77">
      <c r="A455" s="76" t="n"/>
      <c r="B455" s="76" t="n"/>
    </row>
    <row r="456" customFormat="1" s="77">
      <c r="A456" s="76" t="n"/>
      <c r="B456" s="76" t="n"/>
    </row>
    <row r="457" customFormat="1" s="77">
      <c r="A457" s="76" t="n"/>
      <c r="B457" s="76" t="n"/>
    </row>
    <row r="458" customFormat="1" s="77">
      <c r="A458" s="76" t="n"/>
      <c r="B458" s="76" t="n"/>
    </row>
    <row r="459" customFormat="1" s="77">
      <c r="A459" s="76" t="n"/>
      <c r="B459" s="76" t="n"/>
    </row>
    <row r="460" customFormat="1" s="77">
      <c r="A460" s="76" t="n"/>
      <c r="B460" s="76" t="n"/>
      <c r="C460" s="74" t="inlineStr">
        <is>
          <t>DUPONT ANALYSIS</t>
        </is>
      </c>
    </row>
    <row r="461" customFormat="1" s="77">
      <c r="A461" s="76" t="n"/>
      <c r="B461" s="76" t="n"/>
      <c r="C461" s="77" t="inlineStr">
        <is>
          <t>NET PROFIT MARGIN (LTM)</t>
        </is>
      </c>
      <c r="D461" s="84" t="str">
        <f>IFERROR(D234/D15,"")</f>
        <v/>
      </c>
      <c r="E461" s="84" t="str">
        <f>IFERROR(E234/E15,"")</f>
        <v/>
      </c>
      <c r="F461" s="84" t="str">
        <f>IFERROR(F234/F15,"")</f>
        <v/>
      </c>
      <c r="G461" s="84" t="str">
        <f>IFERROR(G234/G15,"")</f>
        <v/>
      </c>
      <c r="H461" s="258" t="str">
        <f>IFERROR(IF(AND(COUNT(H234)=1,(H15)&lt;&gt;0),(H234)/(H15),""),"")</f>
        <v/>
      </c>
      <c r="I461" s="257" t="str">
        <f>""</f>
        <v/>
      </c>
      <c r="J461" s="257" t="str">
        <f>""</f>
        <v/>
      </c>
      <c r="K461" s="257" t="str">
        <f>""</f>
        <v/>
      </c>
      <c r="L461" s="257">
        <f>IFERROR(IF(AND(COUNT(I234,J234,K234,L234)=4,(I15+J15+K15+L15)&lt;&gt;0),(I234+J234+K234+L234)/(I15+J15+K15+L15),""),"")</f>
        <v>0.213098333119356</v>
      </c>
      <c r="M461" s="258">
        <f>IFERROR(IF(AND(COUNT(I234,J234,K234,L234)=4,(I15+J15+K15+L15)&lt;&gt;0),(I234+J234+K234+L234)/(I15+J15+K15+L15),""),"")</f>
        <v>0.213098333119356</v>
      </c>
      <c r="N461" s="257">
        <f>IFERROR(IF(AND(COUNT(J234,K234,L234,N234)=4,(J15+K15+L15+N15)&lt;&gt;0),(J234+K234+L234+N234)/(J15+K15+L15+N15),""),"")</f>
        <v>0.248911210370968</v>
      </c>
      <c r="O461" s="257">
        <f>IFERROR(IF(AND(COUNT(K234,L234,N234,O234)=4,(K15+L15+N15+O15)&lt;&gt;0),(K234+L234+N234+O234)/(K15+L15+N15+O15),""),"")</f>
        <v>0.225663293395352</v>
      </c>
      <c r="P461" s="257">
        <f>IFERROR(IF(AND(COUNT(L234,N234,O234,P234)=4,(L15+N15+O15+P15)&lt;&gt;0),(L234+N234+O234+P234)/(L15+N15+O15+P15),""),"")</f>
        <v>0.223671271536636</v>
      </c>
      <c r="Q461" s="257">
        <f>IFERROR(IF(AND(COUNT(N234,O234,P234,Q234)=4,(N15+O15+P15+Q15)&lt;&gt;0),(N234+O234+P234+Q234)/(N15+O15+P15+Q15),""),"")</f>
        <v>0.239576410096961</v>
      </c>
      <c r="R461" s="258">
        <f>IFERROR(IF(AND(COUNT(N234,O234,P234,Q234)=4,(N15+O15+P15+Q15)&lt;&gt;0),(N234+O234+P234+Q234)/(N15+O15+P15+Q15),""),"")</f>
        <v>0.239576410096961</v>
      </c>
      <c r="S461" s="257">
        <f>IFERROR(IF(AND(COUNT(O234,P234,Q234,S234)=4,(O15+P15+Q15+S15)&lt;&gt;0),(O234+P234+Q234+S234)/(O15+P15+Q15+S15),""),"")</f>
        <v>0.201900379091894</v>
      </c>
      <c r="T461" s="257">
        <f>IFERROR(IF(AND(COUNT(P234,Q234,S234,T234)=4,(P15+Q15+S15+T15)&lt;&gt;0),(P234+Q234+S234+T234)/(P15+Q15+S15+T15),""),"")</f>
        <v>0.239934202097884</v>
      </c>
      <c r="U461" s="257">
        <f>IFERROR(IF(AND(COUNT(Q234,S234,T234,U234)=4,(Q15+S15+T15+U15)&lt;&gt;0),(Q234+S234+T234+U234)/(Q15+S15+T15+U15),""),"")</f>
        <v>0.235264087021024</v>
      </c>
      <c r="V461" s="257">
        <f>IFERROR(IF(AND(COUNT(S234,T234,U234,V234)=4,(S15+T15+U15+V15)&lt;&gt;0),(S234+T234+U234+V234)/(S15+T15+U15+V15),""),"")</f>
        <v>0.209599257832306</v>
      </c>
      <c r="W461" s="258">
        <f>IFERROR(IF(AND(COUNT(S234,T234,U234,V234)=4,(S15+T15+U15+V15)&lt;&gt;0),(S234+T234+U234+V234)/(S15+T15+U15+V15),""),"")</f>
        <v>0.209599257832306</v>
      </c>
      <c r="X461" s="257">
        <f>IFERROR(IF(AND(COUNT(T234,U234,V234,X234)=4,(T15+U15+V15+X15)&lt;&gt;0),(T234+U234+V234+X234)/(T15+U15+V15+X15),""),"")</f>
        <v>0.217407569616567</v>
      </c>
      <c r="Y461" s="257">
        <f>IFERROR(IF(AND(COUNT(U234,V234,X234,Y234)=4,(U15+V15+X15+Y15)&lt;&gt;0),(U234+V234+X234+Y234)/(U15+V15+X15+Y15),""),"")</f>
        <v>0.210838386118584</v>
      </c>
      <c r="Z461" s="257">
        <f>IFERROR(IF(AND(COUNT(V234,X234,Y234,Z234)=4,(V15+X15+Y15+Z15)&lt;&gt;0),(V234+X234+Y234+Z234)/(V15+X15+Y15+Z15),""),"")</f>
        <v>0.26534808420935</v>
      </c>
      <c r="AA461" s="257">
        <f>IFERROR(IF(AND(COUNT(X234,Y234,Z234,AA234)=4,(X15+Y15+Z15+AA15)&lt;&gt;0),(X234+Y234+Z234+AA234)/(X15+Y15+Z15+AA15),""),"")</f>
        <v>0.271379754249265</v>
      </c>
      <c r="AB461" s="258">
        <f>IFERROR(IF(AND(COUNT(X234,Y234,Z234,AA234)=4,(X15+Y15+Z15+AA15)&lt;&gt;0),(X234+Y234+Z234+AA234)/(X15+Y15+Z15+AA15),""),"")</f>
        <v>0.271379754249265</v>
      </c>
      <c r="AC461" s="257">
        <f>IFERROR(IF(AND(COUNT(Y234,Z234,AA234,AC234)=4,(Y15+Z15+AA15+AC15)&lt;&gt;0),(Y234+Z234+AA234+AC234)/(Y15+Z15+AA15+AC15),""),"")</f>
        <v>0.267165488378691</v>
      </c>
      <c r="AD461" s="257">
        <f>IFERROR(IF(AND(COUNT(Z234,AA234,AC234,AD234)=4,(Z15+AA15+AC15+AD15)&lt;&gt;0),(Z234+AA234+AC234+AD234)/(Z15+AA15+AC15+AD15),""),"")</f>
        <v>0.240060257965535</v>
      </c>
      <c r="AE461" s="257">
        <f>IFERROR(IF(AND(COUNT(AA234,AC234,AD234,AE234)=4,(AA15+AC15+AD15+AE15)&lt;&gt;0),(AA234+AC234+AD234+AE234)/(AA15+AC15+AD15+AE15),""),"")</f>
        <v>0.266975771158642</v>
      </c>
      <c r="AF461" s="257">
        <f>IFERROR(IF(AND(COUNT(AB234,AD234,AE234,AF234)=4,(AB15+AD15+AE15+AF15)&lt;&gt;0),(AB234+AD234+AE234+AF234)/(AB15+AD15+AE15+AF15),""),"")</f>
        <v>0.279097066771308</v>
      </c>
      <c r="AG461" s="258">
        <f>IFERROR(IF(AND(COUNT(AC234,AD234,AE234,AF234)=4,(AC15+AD15+AE15+AF15)&lt;&gt;0),(AC234+AD234+AE234+AF234)/(AC15+AD15+AE15+AF15),""),"")</f>
        <v>0.276396393446574</v>
      </c>
      <c r="AH461" s="257">
        <f>IFERROR(IF(AND(COUNT(AD234,AF234,AG234,AH234)=4,(AD15+AF15+AG15+AH15)&lt;&gt;0),(AD234+AF234+AG234+AH234)/(AD15+AF15+AG15+AH15),""),"")</f>
        <v>0.234097633653374</v>
      </c>
      <c r="AI461" s="257">
        <f>IFERROR(IF(AND(COUNT(AE234,AG234,AH234,AI234)=4,(AE15+AG15+AH15+AI15)&lt;&gt;0),(AE234+AG234+AH234+AI234)/(AE15+AG15+AH15+AI15),""),"")</f>
        <v>0.281368038159394</v>
      </c>
      <c r="AJ461" s="257">
        <f>IFERROR(IF(AND(COUNT(AF234,AH234,AI234,AJ234)=4,(AF15+AH15+AI15+AJ15)&lt;&gt;0),(AF234+AH234+AI234+AJ234)/(AF15+AH15+AI15+AJ15),""),"")</f>
        <v>0.291580908869938</v>
      </c>
      <c r="AK461" s="257">
        <f>IFERROR(IF(AND(COUNT(AH234,AI234,AJ234,AK234)=4,(AH15+AI15+AJ15+AK15)&lt;&gt;0),(AH234+AI234+AJ234+AK234)/(AH15+AI15+AJ15+AK15),""),"")</f>
        <v>0.365919114388329</v>
      </c>
      <c r="AL461" s="258">
        <f>IFERROR(IF(AND(COUNT(AH234,AI234,AJ234,AK234)=4,(AH15+AI15+AJ15+AK15)&lt;&gt;0),(AH234+AI234+AJ234+AK234)/(AH15+AI15+AJ15+AK15),""),"")</f>
        <v>0.365919114388329</v>
      </c>
      <c r="AM461" s="257">
        <f>IFERROR(IF(AND(COUNT(AI234,AJ234,AK234,AM234)=4,(AI15+AJ15+AK15+AM15)&lt;&gt;0),(AI234+AJ234+AK234+AM234)/(AI15+AJ15+AK15+AM15),""),"")</f>
        <v>0.459636864387821</v>
      </c>
      <c r="AN461" s="257">
        <f>IFERROR(IF(AND(COUNT(AJ234,AK234,AM234,AN234)=4,(AJ15+AK15+AM15+AN15)&lt;&gt;0),(AJ234+AK234+AM234+AN234)/(AJ15+AK15+AM15+AN15),""),"")</f>
        <v>0.543842169029273</v>
      </c>
      <c r="AO461" s="257">
        <f>IFERROR(IF(AND(COUNT(AK234,AM234,AN234,AO234)=4,(AK15+AM15+AN15+AO15)&lt;&gt;0),(AK234+AM234+AN234+AO234)/(AK15+AM15+AN15+AO15),""),"")</f>
        <v>0.543842169029273</v>
      </c>
      <c r="AP461" s="257">
        <f>IFERROR(IF(AND(COUNT(AM234,AN234,AO234,AP234)=4,(AM15+AN15+AO15+AP15)&lt;&gt;0),(AM234+AN234+AO234+AP234)/(AM15+AN15+AO15+AP15),""),"")</f>
        <v>0.543842169029273</v>
      </c>
      <c r="AQ461" s="258">
        <f>IFERROR(IF(AND(COUNT(AM234,AN234,AO234,AP234)=4,(AM15+AN15+AO15+AP15)&lt;&gt;0),(AM234+AN234+AO234+AP234)/(AM15+AN15+AO15+AP15),""),"")</f>
        <v>0.543842169029273</v>
      </c>
      <c r="AR461" s="257">
        <f>IFERROR(IF(AND(COUNT(AN234,AO234,AP234,AR234)=4,(AN15+AO15+AP15+AR15)&lt;&gt;0),(AN234+AO234+AP234+AR234)/(AN15+AO15+AP15+AR15),""),"")</f>
        <v>0.543842169029273</v>
      </c>
      <c r="AS461" s="257">
        <f>IFERROR(IF(AND(COUNT(AO234,AP234,AR234,AS234)=4,(AO15+AP15+AR15+AS15)&lt;&gt;0),(AO234+AP234+AR234+AS234)/(AO15+AP15+AR15+AS15),""),"")</f>
        <v>0.543842169029273</v>
      </c>
      <c r="AT461" s="257">
        <f>IFERROR(IF(AND(COUNT(AP234,AR234,AS234,AT234)=4,(AP15+AR15+AS15+AT15)&lt;&gt;0),(AP234+AR234+AS234+AT234)/(AP15+AR15+AS15+AT15),""),"")</f>
        <v>0.543842169029273</v>
      </c>
      <c r="AU461" s="257">
        <f>IFERROR(IF(AND(COUNT(AR234,AS234,AT234,AU234)=4,(AR15+AS15+AT15+AU15)&lt;&gt;0),(AR234+AS234+AT234+AU234)/(AR15+AS15+AT15+AU15),""),"")</f>
        <v>0.543842169029273</v>
      </c>
      <c r="AV461" s="258">
        <f>IFERROR(IF(AND(COUNT(AR234,AS234,AT234,AU234)=4,(AR15+AS15+AT15+AU15)&lt;&gt;0),(AR234+AS234+AT234+AU234)/(AR15+AS15+AT15+AU15),""),"")</f>
        <v>0.543842169029273</v>
      </c>
      <c r="AW461" s="257">
        <f>IFERROR(IF(AND(COUNT(AS234,AT234,AU234,AW234)=4,(AS15+AT15+AU15+AW15)&lt;&gt;0),(AS234+AT234+AU234+AW234)/(AS15+AT15+AU15+AW15),""),"")</f>
        <v>0.543842169029273</v>
      </c>
      <c r="AX461" s="257">
        <f>IFERROR(IF(AND(COUNT(AT234,AU234,AW234,AX234)=4,(AT15+AU15+AW15+AX15)&lt;&gt;0),(AT234+AU234+AW234+AX234)/(AT15+AU15+AW15+AX15),""),"")</f>
        <v>0.543842169029273</v>
      </c>
      <c r="AY461" s="257">
        <f>IFERROR(IF(AND(COUNT(AU234,AW234,AX234,AY234)=4,(AU15+AW15+AX15+AY15)&lt;&gt;0),(AU234+AW234+AX234+AY234)/(AU15+AW15+AX15+AY15),""),"")</f>
        <v>0.543842169029273</v>
      </c>
      <c r="AZ461" s="257">
        <f>IFERROR(IF(AND(COUNT(AW234,AX234,AY234,AZ234)=4,(AW15+AX15+AY15+AZ15)&lt;&gt;0),(AW234+AX234+AY234+AZ234)/(AW15+AX15+AY15+AZ15),""),"")</f>
        <v>0.543842169029273</v>
      </c>
      <c r="BA461" s="258">
        <f>IFERROR(IF(AND(COUNT(AW234,AX234,AY234,AZ234)=4,(AW15+AX15+AY15+AZ15)&lt;&gt;0),(AW234+AX234+AY234+AZ234)/(AW15+AX15+AY15+AZ15),""),"")</f>
        <v>0.543842169029273</v>
      </c>
      <c r="BB461" s="257">
        <f>IFERROR(IF(AND(COUNT(AX234,AY234,AZ234,BB234)=4,(AX15+AY15+AZ15+BB15)&lt;&gt;0),(AX234+AY234+AZ234+BB234)/(AX15+AY15+AZ15+BB15),""),"")</f>
        <v>0.543842169029273</v>
      </c>
      <c r="BC461" s="257">
        <f>IFERROR(IF(AND(COUNT(AY234,AZ234,BB234,BC234)=4,(AY15+AZ15+BB15+BC15)&lt;&gt;0),(AY234+AZ234+BB234+BC234)/(AY15+AZ15+BB15+BC15),""),"")</f>
        <v>0.543842169029273</v>
      </c>
      <c r="BD461" s="257">
        <f>IFERROR(IF(AND(COUNT(AZ234,BB234,BC234,BD234)=4,(AZ15+BB15+BC15+BD15)&lt;&gt;0),(AZ234+BB234+BC234+BD234)/(AZ15+BB15+BC15+BD15),""),"")</f>
        <v>0.543842169029273</v>
      </c>
      <c r="BE461" s="257">
        <f>IFERROR(IF(AND(COUNT(BB234,BC234,BD234,BE234)=4,(BB15+BC15+BD15+BE15)&lt;&gt;0),(BB234+BC234+BD234+BE234)/(BB15+BC15+BD15+BE15),""),"")</f>
        <v>0.543842169029273</v>
      </c>
      <c r="BF461" s="258">
        <f>IFERROR(IF(AND(COUNT(BB234,BC234,BD234,BE234)=4,(BB15+BC15+BD15+BE15)&lt;&gt;0),(BB234+BC234+BD234+BE234)/(BB15+BC15+BD15+BE15),""),"")</f>
        <v>0.543842169029273</v>
      </c>
      <c r="BG461" s="81" t="n"/>
      <c r="BH461" s="81" t="n"/>
      <c r="BI461" s="81" t="n"/>
      <c r="BJ461" s="81" t="n"/>
      <c r="BL461" s="81" t="n"/>
      <c r="BM461" s="81" t="n"/>
      <c r="BN461" s="81" t="n"/>
      <c r="BO461" s="81" t="n"/>
      <c r="BQ461" s="81" t="n"/>
      <c r="BR461" s="81" t="n"/>
      <c r="BS461" s="81" t="n"/>
      <c r="BT461" s="81" t="n"/>
      <c r="BV461" s="81" t="n"/>
      <c r="BW461" s="81" t="n"/>
      <c r="BX461" s="81" t="n"/>
      <c r="BY461" s="81" t="n"/>
      <c r="CA461" s="81" t="n"/>
      <c r="CB461" s="81" t="n"/>
      <c r="CC461" s="81" t="n"/>
      <c r="CD461" s="81" t="n"/>
      <c r="CF461" s="81" t="n"/>
      <c r="CG461" s="81" t="n"/>
      <c r="CH461" s="81" t="n"/>
      <c r="CI461" s="81" t="n"/>
      <c r="CK461" s="81" t="n"/>
      <c r="CL461" s="81" t="n"/>
      <c r="CM461" s="81" t="n"/>
      <c r="CN461" s="81" t="n"/>
      <c r="CP461" s="81" t="n"/>
      <c r="CQ461" s="81" t="n"/>
      <c r="CR461" s="81" t="n"/>
      <c r="CS461" s="81" t="n"/>
      <c r="CU461" s="81" t="n"/>
      <c r="CV461" s="81" t="n"/>
      <c r="CW461" s="81" t="n"/>
      <c r="CX461" s="81" t="n"/>
    </row>
    <row r="462" customFormat="1" s="77">
      <c r="A462" s="76" t="n"/>
      <c r="B462" s="76" t="n"/>
      <c r="C462" s="77" t="inlineStr">
        <is>
          <t>ASSET TURNOVER (LTM REVENUE / ASSETS)</t>
        </is>
      </c>
      <c r="D462" s="84" t="str">
        <f>IFERROR(D15/D294,"")</f>
        <v/>
      </c>
      <c r="E462" s="84" t="str">
        <f>IFERROR(E15/E294,"")</f>
        <v/>
      </c>
      <c r="F462" s="84" t="str">
        <f>IFERROR(F15/F294,"")</f>
        <v/>
      </c>
      <c r="G462" s="84" t="str">
        <f>IFERROR(G15/G294,"")</f>
        <v/>
      </c>
      <c r="H462" s="262" t="str">
        <f>IFERROR(IF(AND(COUNT(H15)=1,N(H294)&lt;&gt;0),(H15)/H294,""),"")</f>
        <v/>
      </c>
      <c r="I462" s="264" t="str">
        <f>""</f>
        <v/>
      </c>
      <c r="J462" s="264" t="str">
        <f>""</f>
        <v/>
      </c>
      <c r="K462" s="264" t="str">
        <f>""</f>
        <v/>
      </c>
      <c r="L462" s="264">
        <f>IFERROR(IF(AND(COUNT(I15,J15,K15,L15)=4,N(L294)&lt;&gt;0),(I15+J15+K15+L15)/L294,""),"")</f>
        <v>0.203298225324406</v>
      </c>
      <c r="M462" s="262">
        <f>IFERROR(IF(AND(COUNT(I15,J15,K15,L15)=4,N(M294)&lt;&gt;0),(I15+J15+K15+L15)/M294,""),"")</f>
        <v>0.203298225324406</v>
      </c>
      <c r="N462" s="264">
        <f>IFERROR(IF(AND(COUNT(J15,K15,L15,N15)=4,N(N294)&lt;&gt;0),(J15+K15+L15+N15)/N294,""),"")</f>
        <v>0.184979653101829</v>
      </c>
      <c r="O462" s="264">
        <f>IFERROR(IF(AND(COUNT(K15,L15,N15,O15)=4,N(O294)&lt;&gt;0),(K15+L15+N15+O15)/O294,""),"")</f>
        <v>0.174447550363262</v>
      </c>
      <c r="P462" s="264">
        <f>IFERROR(IF(AND(COUNT(L15,N15,O15,P15)=4,N(P294)&lt;&gt;0),(L15+N15+O15+P15)/P294,""),"")</f>
        <v>0.154445599207717</v>
      </c>
      <c r="Q462" s="264">
        <f>IFERROR(IF(AND(COUNT(N15,O15,P15,Q15)=4,N(Q294)&lt;&gt;0),(N15+O15+P15+Q15)/Q294,""),"")</f>
        <v>0.137242825070554</v>
      </c>
      <c r="R462" s="262">
        <f>IFERROR(IF(AND(COUNT(N15,O15,P15,Q15)=4,N(R294)&lt;&gt;0),(N15+O15+P15+Q15)/R294,""),"")</f>
        <v>0.137242825070554</v>
      </c>
      <c r="S462" s="264">
        <f>IFERROR(IF(AND(COUNT(O15,P15,Q15,S15)=4,N(S294)&lt;&gt;0),(O15+P15+Q15+S15)/S294,""),"")</f>
        <v>0.124313128800121</v>
      </c>
      <c r="T462" s="264">
        <f>IFERROR(IF(AND(COUNT(P15,Q15,S15,T15)=4,N(T294)&lt;&gt;0),(P15+Q15+S15+T15)/T294,""),"")</f>
        <v>0.112731166891571</v>
      </c>
      <c r="U462" s="264">
        <f>IFERROR(IF(AND(COUNT(Q15,S15,T15,U15)=4,N(U294)&lt;&gt;0),(Q15+S15+T15+U15)/U294,""),"")</f>
        <v>0.111959654010489</v>
      </c>
      <c r="V462" s="264">
        <f>IFERROR(IF(AND(COUNT(S15,T15,U15,V15)=4,N(V294)&lt;&gt;0),(S15+T15+U15+V15)/V294,""),"")</f>
        <v>0.11644997775889</v>
      </c>
      <c r="W462" s="262">
        <f>IFERROR(IF(AND(COUNT(S15,T15,U15,V15)=4,N(W294)&lt;&gt;0),(S15+T15+U15+V15)/W294,""),"")</f>
        <v>0.11644997775889</v>
      </c>
      <c r="X462" s="264">
        <f>IFERROR(IF(AND(COUNT(T15,U15,V15,X15)=4,N(X294)&lt;&gt;0),(T15+U15+V15+X15)/X294,""),"")</f>
        <v>0.114338665934752</v>
      </c>
      <c r="Y462" s="264">
        <f>IFERROR(IF(AND(COUNT(U15,V15,X15,Y15)=4,N(Y294)&lt;&gt;0),(U15+V15+X15+Y15)/Y294,""),"")</f>
        <v>0.115573181769372</v>
      </c>
      <c r="Z462" s="264">
        <f>IFERROR(IF(AND(COUNT(V15,X15,Y15,Z15)=4,N(Z294)&lt;&gt;0),(V15+X15+Y15+Z15)/Z294,""),"")</f>
        <v>0.125222990223277</v>
      </c>
      <c r="AA462" s="264">
        <f>IFERROR(IF(AND(COUNT(X15,Y15,Z15,AA15)=4,N(AA294)&lt;&gt;0),(X15+Y15+Z15+AA15)/AA294,""),"")</f>
        <v>0.130408266978474</v>
      </c>
      <c r="AB462" s="262">
        <f>IFERROR(IF(AND(COUNT(X15,Y15,Z15,AA15)=4,N(AB294)&lt;&gt;0),(X15+Y15+Z15+AA15)/AB294,""),"")</f>
        <v>0.130408266978474</v>
      </c>
      <c r="AC462" s="264">
        <f>IFERROR(IF(AND(COUNT(Y15,Z15,AA15,AC15)=4,N(AC294)&lt;&gt;0),(Y15+Z15+AA15+AC15)/AC294,""),"")</f>
        <v>0.135668923046404</v>
      </c>
      <c r="AD462" s="264">
        <f>IFERROR(IF(AND(COUNT(Z15,AA15,AC15,AD15)=4,N(AD294)&lt;&gt;0),(Z15+AA15+AC15+AD15)/AD294,""),"")</f>
        <v>0.138511440388593</v>
      </c>
      <c r="AE462" s="264">
        <f>IFERROR(IF(AND(COUNT(AA15,AC15,AD15,AE15)=4,N(AE294)&lt;&gt;0),(AA15+AC15+AD15+AE15)/AE294,""),"")</f>
        <v>0.138432075428961</v>
      </c>
      <c r="AF462" s="264">
        <f>IFERROR(IF(AND(COUNT(AB15,AD15,AE15,AF15)=4,N(AF294)&lt;&gt;0),(AB15+AD15+AE15+AF15)/AF294,""),"")</f>
        <v>0.22345971808959</v>
      </c>
      <c r="AG462" s="262">
        <f>IFERROR(IF(AND(COUNT(AC15,AD15,AE15,AF15)=4,N(AG294)&lt;&gt;0),(AC15+AD15+AE15+AF15)/AG294,""),"")</f>
        <v>0.136944626191011</v>
      </c>
      <c r="AH462" s="264">
        <f>IFERROR(IF(AND(COUNT(AD15,AF15,AG15,AH15)=4,N(AH294)&lt;&gt;0),(AD15+AF15+AG15+AH15)/AH294,""),"")</f>
        <v>0.229001291196076</v>
      </c>
      <c r="AI462" s="264">
        <f>IFERROR(IF(AND(COUNT(AE15,AG15,AH15,AI15)=4,N(AI294)&lt;&gt;0),(AE15+AG15+AH15+AI15)/AI294,""),"")</f>
        <v>0.232563255289113</v>
      </c>
      <c r="AJ462" s="264">
        <f>IFERROR(IF(AND(COUNT(AF15,AH15,AI15,AJ15)=4,N(AJ294)&lt;&gt;0),(AF15+AH15+AI15+AJ15)/AJ294,""),"")</f>
        <v>0.143520576873775</v>
      </c>
      <c r="AK462" s="264">
        <f>IFERROR(IF(AND(COUNT(AH15,AI15,AJ15,AK15)=4,N(AK294)&lt;&gt;0),(AH15+AI15+AJ15+AK15)/AK294,""),"")</f>
        <v>0.145450746826551</v>
      </c>
      <c r="AL462" s="262">
        <f>IFERROR(IF(AND(COUNT(AH15,AI15,AJ15,AK15)=4,N(AL294)&lt;&gt;0),(AH15+AI15+AJ15+AK15)/AL294,""),"")</f>
        <v>0.145450746826551</v>
      </c>
      <c r="AM462" s="264">
        <f>IFERROR(IF(AND(COUNT(AI15,AJ15,AK15,AM15)=4,N(AM294)&lt;&gt;0),(AI15+AJ15+AK15+AM15)/AM294,""),"")</f>
        <v>0.147504251584754</v>
      </c>
      <c r="AN462" s="264">
        <f>IFERROR(IF(AND(COUNT(AJ15,AK15,AM15,AN15)=4,N(AN294)&lt;&gt;0),(AJ15+AK15+AM15+AN15)/AN294,""),"")</f>
        <v>0.149883539986237</v>
      </c>
      <c r="AO462" s="264">
        <f>IFERROR(IF(AND(COUNT(AK15,AM15,AN15,AO15)=4,N(AO294)&lt;&gt;0),(AK15+AM15+AN15+AO15)/AO294,""),"")</f>
        <v>0.151964710050606</v>
      </c>
      <c r="AP462" s="264">
        <f>IFERROR(IF(AND(COUNT(AM15,AN15,AO15,AP15)=4,N(AP294)&lt;&gt;0),(AM15+AN15+AO15+AP15)/AP294,""),"")</f>
        <v>0.153682043133142</v>
      </c>
      <c r="AQ462" s="262">
        <f>IFERROR(IF(AND(COUNT(AM15,AN15,AO15,AP15)=4,N(AQ294)&lt;&gt;0),(AM15+AN15+AO15+AP15)/AQ294,""),"")</f>
        <v>0.153682043133142</v>
      </c>
      <c r="AR462" s="264">
        <f>IFERROR(IF(AND(COUNT(AN15,AO15,AP15,AR15)=4,N(AR294)&lt;&gt;0),(AN15+AO15+AP15+AR15)/AR294,""),"")</f>
        <v>0.155375526050232</v>
      </c>
      <c r="AS462" s="264">
        <f>IFERROR(IF(AND(COUNT(AO15,AP15,AR15,AS15)=4,N(AS294)&lt;&gt;0),(AO15+AP15+AR15+AS15)/AS294,""),"")</f>
        <v>0.157272092611825</v>
      </c>
      <c r="AT462" s="264">
        <f>IFERROR(IF(AND(COUNT(AP15,AR15,AS15,AT15)=4,N(AT294)&lt;&gt;0),(AP15+AR15+AS15+AT15)/AT294,""),"")</f>
        <v>0.159023993744476</v>
      </c>
      <c r="AU462" s="264">
        <f>IFERROR(IF(AND(COUNT(AR15,AS15,AT15,AU15)=4,N(AU294)&lt;&gt;0),(AR15+AS15+AT15+AU15)/AU294,""),"")</f>
        <v>0.160297755944472</v>
      </c>
      <c r="AV462" s="262">
        <f>IFERROR(IF(AND(COUNT(AR15,AS15,AT15,AU15)=4,N(AV294)&lt;&gt;0),(AR15+AS15+AT15+AU15)/AV294,""),"")</f>
        <v>0.160297755944472</v>
      </c>
      <c r="AW462" s="264">
        <f>IFERROR(IF(AND(COUNT(AS15,AT15,AU15,AW15)=4,N(AW294)&lt;&gt;0),(AS15+AT15+AU15+AW15)/AW294,""),"")</f>
        <v>0.1615087745264</v>
      </c>
      <c r="AX462" s="264">
        <f>IFERROR(IF(AND(COUNT(AT15,AU15,AW15,AX15)=4,N(AX294)&lt;&gt;0),(AT15+AU15+AW15+AX15)/AX294,""),"")</f>
        <v>0.162851276090325</v>
      </c>
      <c r="AY462" s="264">
        <f>IFERROR(IF(AND(COUNT(AU15,AW15,AX15,AY15)=4,N(AY294)&lt;&gt;0),(AU15+AW15+AX15+AY15)/AY294,""),"")</f>
        <v>0.164160211017207</v>
      </c>
      <c r="AZ462" s="264">
        <f>IFERROR(IF(AND(COUNT(AW15,AX15,AY15,AZ15)=4,N(AZ294)&lt;&gt;0),(AW15+AX15+AY15+AZ15)/AZ294,""),"")</f>
        <v>0.16488585157385</v>
      </c>
      <c r="BA462" s="262">
        <f>IFERROR(IF(AND(COUNT(AW15,AX15,AY15,AZ15)=4,N(BA294)&lt;&gt;0),(AW15+AX15+AY15+AZ15)/BA294,""),"")</f>
        <v>0.16488585157385</v>
      </c>
      <c r="BB462" s="264">
        <f>IFERROR(IF(AND(COUNT(AX15,AY15,AZ15,BB15)=4,N(BB294)&lt;&gt;0),(AX15+AY15+AZ15+BB15)/BB294,""),"")</f>
        <v>0.165526071421041</v>
      </c>
      <c r="BC462" s="264">
        <f>IFERROR(IF(AND(COUNT(AY15,AZ15,BB15,BC15)=4,N(BC294)&lt;&gt;0),(AY15+AZ15+BB15+BC15)/BC294,""),"")</f>
        <v>0.166205154987614</v>
      </c>
      <c r="BD462" s="264">
        <f>IFERROR(IF(AND(COUNT(AZ15,BB15,BC15,BD15)=4,N(BD294)&lt;&gt;0),(AZ15+BB15+BC15+BD15)/BD294,""),"")</f>
        <v>0.166945310074993</v>
      </c>
      <c r="BE462" s="264">
        <f>IFERROR(IF(AND(COUNT(BB15,BC15,BD15,BE15)=4,N(BE294)&lt;&gt;0),(BB15+BC15+BD15+BE15)/BE294,""),"")</f>
        <v>0.167015852182373</v>
      </c>
      <c r="BF462" s="262">
        <f>IFERROR(IF(AND(COUNT(BB15,BC15,BD15,BE15)=4,N(BF294)&lt;&gt;0),(BB15+BC15+BD15+BE15)/BF294,""),"")</f>
        <v>0.167015852182373</v>
      </c>
      <c r="BG462" s="81" t="n"/>
      <c r="BH462" s="81" t="n"/>
      <c r="BI462" s="81" t="n"/>
      <c r="BJ462" s="81" t="n"/>
      <c r="BL462" s="81" t="n"/>
      <c r="BM462" s="81" t="n"/>
      <c r="BN462" s="81" t="n"/>
      <c r="BO462" s="81" t="n"/>
      <c r="BQ462" s="81" t="n"/>
      <c r="BR462" s="81" t="n"/>
      <c r="BS462" s="81" t="n"/>
      <c r="BT462" s="81" t="n"/>
      <c r="BV462" s="81" t="n"/>
      <c r="BW462" s="81" t="n"/>
      <c r="BX462" s="81" t="n"/>
      <c r="BY462" s="81" t="n"/>
      <c r="CA462" s="81" t="n"/>
      <c r="CB462" s="81" t="n"/>
      <c r="CC462" s="81" t="n"/>
      <c r="CD462" s="81" t="n"/>
      <c r="CF462" s="81" t="n"/>
      <c r="CG462" s="81" t="n"/>
      <c r="CH462" s="81" t="n"/>
      <c r="CI462" s="81" t="n"/>
      <c r="CK462" s="81" t="n"/>
      <c r="CL462" s="81" t="n"/>
      <c r="CM462" s="81" t="n"/>
      <c r="CN462" s="81" t="n"/>
      <c r="CP462" s="81" t="n"/>
      <c r="CQ462" s="81" t="n"/>
      <c r="CR462" s="81" t="n"/>
      <c r="CS462" s="81" t="n"/>
      <c r="CU462" s="81" t="n"/>
      <c r="CV462" s="81" t="n"/>
      <c r="CW462" s="81" t="n"/>
      <c r="CX462" s="81" t="n"/>
    </row>
    <row r="463" customFormat="1" s="77">
      <c r="A463" s="76" t="n"/>
      <c r="B463" s="76" t="n"/>
      <c r="C463" s="77" t="inlineStr">
        <is>
          <t>EQUITY MULTIPLIER (ASSETS / EQUITY)</t>
        </is>
      </c>
      <c r="D463" s="84" t="str">
        <f>IFERROR(D294/D368,"")</f>
        <v/>
      </c>
      <c r="E463" s="84" t="str">
        <f>IFERROR(E294/E368,"")</f>
        <v/>
      </c>
      <c r="F463" s="84" t="str">
        <f>IFERROR(F294/F368,"")</f>
        <v/>
      </c>
      <c r="G463" s="84" t="str">
        <f>IFERROR(G294/G368,"")</f>
        <v/>
      </c>
      <c r="H463" s="262" t="str">
        <f>IFERROR(IF(N(H368)&lt;&gt;0,H294/H368,""),"")</f>
        <v/>
      </c>
      <c r="I463" s="264">
        <f>IFERROR(IF(N(I368)&lt;&gt;0,I294/I368,""),"")</f>
        <v>2.44876864764288</v>
      </c>
      <c r="J463" s="264">
        <f>IFERROR(IF(N(J368)&lt;&gt;0,J294/J368,""),"")</f>
        <v>2.41221752676234</v>
      </c>
      <c r="K463" s="264">
        <f>IFERROR(IF(N(K368)&lt;&gt;0,K294/K368,""),"")</f>
        <v>2.38229138764424</v>
      </c>
      <c r="L463" s="264">
        <f>IFERROR(IF(N(L368)&lt;&gt;0,L294/L368,""),"")</f>
        <v>2.48466096688924</v>
      </c>
      <c r="M463" s="262">
        <f>IFERROR(IF(N(M368)&lt;&gt;0,M294/M368,""),"")</f>
        <v>2.48466096688924</v>
      </c>
      <c r="N463" s="264">
        <f>IFERROR(IF(N(N368)&lt;&gt;0,N294/N368,""),"")</f>
        <v>2.47458397237371</v>
      </c>
      <c r="O463" s="264">
        <f>IFERROR(IF(N(O368)&lt;&gt;0,O294/O368,""),"")</f>
        <v>2.50026830818383</v>
      </c>
      <c r="P463" s="264">
        <f>IFERROR(IF(N(P368)&lt;&gt;0,P294/P368,""),"")</f>
        <v>2.56768064330413</v>
      </c>
      <c r="Q463" s="264">
        <f>IFERROR(IF(N(Q368)&lt;&gt;0,Q294/Q368,""),"")</f>
        <v>2.69328819348262</v>
      </c>
      <c r="R463" s="262">
        <f>IFERROR(IF(N(R368)&lt;&gt;0,R294/R368,""),"")</f>
        <v>2.69328819348262</v>
      </c>
      <c r="S463" s="264">
        <f>IFERROR(IF(N(S368)&lt;&gt;0,S294/S368,""),"")</f>
        <v>2.66353111857033</v>
      </c>
      <c r="T463" s="264">
        <f>IFERROR(IF(N(T368)&lt;&gt;0,T294/T368,""),"")</f>
        <v>2.59113468990024</v>
      </c>
      <c r="U463" s="264">
        <f>IFERROR(IF(N(U368)&lt;&gt;0,U294/U368,""),"")</f>
        <v>2.60290059508498</v>
      </c>
      <c r="V463" s="264">
        <f>IFERROR(IF(N(V368)&lt;&gt;0,V294/V368,""),"")</f>
        <v>2.67538271054372</v>
      </c>
      <c r="W463" s="262">
        <f>IFERROR(IF(N(W368)&lt;&gt;0,W294/W368,""),"")</f>
        <v>2.67538271054372</v>
      </c>
      <c r="X463" s="264">
        <f>IFERROR(IF(N(X368)&lt;&gt;0,X294/X368,""),"")</f>
        <v>2.61604321772947</v>
      </c>
      <c r="Y463" s="264">
        <f>IFERROR(IF(N(Y368)&lt;&gt;0,Y294/Y368,""),"")</f>
        <v>2.67152541897338</v>
      </c>
      <c r="Z463" s="264">
        <f>IFERROR(IF(N(Z368)&lt;&gt;0,Z294/Z368,""),"")</f>
        <v>2.54059912181955</v>
      </c>
      <c r="AA463" s="264">
        <f>IFERROR(IF(N(AA368)&lt;&gt;0,AA294/AA368,""),"")</f>
        <v>2.61773601286237</v>
      </c>
      <c r="AB463" s="262">
        <f>IFERROR(IF(N(AB368)&lt;&gt;0,AB294/AB368,""),"")</f>
        <v>2.61773601286237</v>
      </c>
      <c r="AC463" s="264">
        <f>IFERROR(IF(N(AC368)&lt;&gt;0,AC294/AC368,""),"")</f>
        <v>2.55873335255098</v>
      </c>
      <c r="AD463" s="264">
        <f>IFERROR(IF(N(AD368)&lt;&gt;0,AD294/AD368,""),"")</f>
        <v>2.61656643451038</v>
      </c>
      <c r="AE463" s="264">
        <f>IFERROR(IF(N(AE368)&lt;&gt;0,AE294/AE368,""),"")</f>
        <v>2.54668966831798</v>
      </c>
      <c r="AF463" s="264">
        <f>IFERROR(IF(N(AF368)&lt;&gt;0,AF294/AF368,""),"")</f>
        <v>2.55351490882132</v>
      </c>
      <c r="AG463" s="262">
        <f>IFERROR(IF(N(AG368)&lt;&gt;0,AG294/AG368,""),"")</f>
        <v>2.55351490882132</v>
      </c>
      <c r="AH463" s="264">
        <f>IFERROR(IF(N(AH368)&lt;&gt;0,AH294/AH368,""),"")</f>
        <v>2.67670943824943</v>
      </c>
      <c r="AI463" s="264">
        <f>IFERROR(IF(N(AI368)&lt;&gt;0,AI294/AI368,""),"")</f>
        <v>2.64963029048317</v>
      </c>
      <c r="AJ463" s="264">
        <f>IFERROR(IF(N(AJ368)&lt;&gt;0,AJ294/AJ368,""),"")</f>
        <v>2.57380058405898</v>
      </c>
      <c r="AK463" s="264">
        <f>IFERROR(IF(N(AK368)&lt;&gt;0,AK294/AK368,""),"")</f>
        <v>2.50137090032687</v>
      </c>
      <c r="AL463" s="262">
        <f>IFERROR(IF(N(AL368)&lt;&gt;0,AL294/AL368,""),"")</f>
        <v>2.50137090032687</v>
      </c>
      <c r="AM463" s="264">
        <f>IFERROR(IF(N(AM368)&lt;&gt;0,AM294/AM368,""),"")</f>
        <v>2.42983907543709</v>
      </c>
      <c r="AN463" s="264">
        <f>IFERROR(IF(N(AN368)&lt;&gt;0,AN294/AN368,""),"")</f>
        <v>2.34960851742828</v>
      </c>
      <c r="AO463" s="264">
        <f>IFERROR(IF(N(AO368)&lt;&gt;0,AO294/AO368,""),"")</f>
        <v>2.29198572931009</v>
      </c>
      <c r="AP463" s="264">
        <f>IFERROR(IF(N(AP368)&lt;&gt;0,AP294/AP368,""),"")</f>
        <v>2.23860814960562</v>
      </c>
      <c r="AQ463" s="262">
        <f>IFERROR(IF(N(AQ368)&lt;&gt;0,AQ294/AQ368,""),"")</f>
        <v>2.23860814960562</v>
      </c>
      <c r="AR463" s="264">
        <f>IFERROR(IF(N(AR368)&lt;&gt;0,AR294/AR368,""),"")</f>
        <v>2.1853334930398</v>
      </c>
      <c r="AS463" s="264">
        <f>IFERROR(IF(N(AS368)&lt;&gt;0,AS294/AS368,""),"")</f>
        <v>2.12587063219754</v>
      </c>
      <c r="AT463" s="264">
        <f>IFERROR(IF(N(AT368)&lt;&gt;0,AT294/AT368,""),"")</f>
        <v>2.08205858305847</v>
      </c>
      <c r="AU463" s="264">
        <f>IFERROR(IF(N(AU368)&lt;&gt;0,AU294/AU368,""),"")</f>
        <v>2.04308769531089</v>
      </c>
      <c r="AV463" s="262">
        <f>IFERROR(IF(N(AV368)&lt;&gt;0,AV294/AV368,""),"")</f>
        <v>2.0430876953109</v>
      </c>
      <c r="AW463" s="264">
        <f>IFERROR(IF(N(AW368)&lt;&gt;0,AW294/AW368,""),"")</f>
        <v>2.00411582541459</v>
      </c>
      <c r="AX463" s="264">
        <f>IFERROR(IF(N(AX368)&lt;&gt;0,AX294/AX368,""),"")</f>
        <v>1.96021977770028</v>
      </c>
      <c r="AY463" s="264">
        <f>IFERROR(IF(N(AY368)&lt;&gt;0,AY294/AY368,""),"")</f>
        <v>1.92759708588526</v>
      </c>
      <c r="AZ463" s="264">
        <f>IFERROR(IF(N(AZ368)&lt;&gt;0,AZ294/AZ368,""),"")</f>
        <v>1.90028655300069</v>
      </c>
      <c r="BA463" s="262">
        <f>IFERROR(IF(N(BA368)&lt;&gt;0,BA294/BA368,""),"")</f>
        <v>1.90028655300069</v>
      </c>
      <c r="BB463" s="264">
        <f>IFERROR(IF(N(BB368)&lt;&gt;0,BB294/BB368,""),"")</f>
        <v>1.87281968208999</v>
      </c>
      <c r="BC463" s="264">
        <f>IFERROR(IF(N(BC368)&lt;&gt;0,BC294/BC368,""),"")</f>
        <v>1.84167642314485</v>
      </c>
      <c r="BD463" s="264">
        <f>IFERROR(IF(N(BD368)&lt;&gt;0,BD294/BD368,""),"")</f>
        <v>1.81881620638037</v>
      </c>
      <c r="BE463" s="264">
        <f>IFERROR(IF(N(BE368)&lt;&gt;0,BE294/BE368,""),"")</f>
        <v>1.80164591232163</v>
      </c>
      <c r="BF463" s="262">
        <f>IFERROR(IF(N(BF368)&lt;&gt;0,BF294/BF368,""),"")</f>
        <v>1.80164591232163</v>
      </c>
      <c r="BG463" s="81" t="n"/>
      <c r="BH463" s="81" t="n"/>
      <c r="BI463" s="81" t="n"/>
      <c r="BJ463" s="81" t="n"/>
      <c r="BL463" s="81" t="n"/>
      <c r="BM463" s="81" t="n"/>
      <c r="BN463" s="81" t="n"/>
      <c r="BO463" s="81" t="n"/>
      <c r="BQ463" s="81" t="n"/>
      <c r="BR463" s="81" t="n"/>
      <c r="BS463" s="81" t="n"/>
      <c r="BT463" s="81" t="n"/>
      <c r="BV463" s="81" t="n"/>
      <c r="BW463" s="81" t="n"/>
      <c r="BX463" s="81" t="n"/>
      <c r="BY463" s="81" t="n"/>
      <c r="CA463" s="81" t="n"/>
      <c r="CB463" s="81" t="n"/>
      <c r="CC463" s="81" t="n"/>
      <c r="CD463" s="81" t="n"/>
      <c r="CF463" s="81" t="n"/>
      <c r="CG463" s="81" t="n"/>
      <c r="CH463" s="81" t="n"/>
      <c r="CI463" s="81" t="n"/>
      <c r="CK463" s="81" t="n"/>
      <c r="CL463" s="81" t="n"/>
      <c r="CM463" s="81" t="n"/>
      <c r="CN463" s="81" t="n"/>
      <c r="CP463" s="81" t="n"/>
      <c r="CQ463" s="81" t="n"/>
      <c r="CR463" s="81" t="n"/>
      <c r="CS463" s="81" t="n"/>
      <c r="CU463" s="81" t="n"/>
      <c r="CV463" s="81" t="n"/>
      <c r="CW463" s="81" t="n"/>
      <c r="CX463" s="81" t="n"/>
    </row>
    <row r="464" customFormat="1" s="77">
      <c r="A464" s="76" t="n"/>
      <c r="B464" s="76" t="n"/>
      <c r="C464" s="77" t="inlineStr">
        <is>
          <t>ROE - DUPONT</t>
        </is>
      </c>
      <c r="D464" s="84">
        <f>IFERROR(PRODUCT(D461:D463),"")</f>
        <v>0</v>
      </c>
      <c r="E464" s="84">
        <f>IFERROR(PRODUCT(E461:E463),"")</f>
        <v>0</v>
      </c>
      <c r="F464" s="84">
        <f>IFERROR(PRODUCT(F461:F463),"")</f>
        <v>0</v>
      </c>
      <c r="G464" s="84">
        <f>IFERROR(PRODUCT(G461:G463),"")</f>
        <v>0</v>
      </c>
      <c r="H464" s="258" t="str">
        <f>IFERROR(IF(COUNT(H461,H462,H463)=3,H461*H462*H463,""),"")</f>
        <v/>
      </c>
      <c r="I464" s="257" t="str">
        <f>IFERROR(IF(COUNT(I461,I462,I463)=3,I461*I462*I463,""),"")</f>
        <v/>
      </c>
      <c r="J464" s="257" t="str">
        <f>IFERROR(IF(COUNT(J461,J462,J463)=3,J461*J462*J463,""),"")</f>
        <v/>
      </c>
      <c r="K464" s="257" t="str">
        <f>IFERROR(IF(COUNT(K461,K462,K463)=3,K461*K462*K463,""),"")</f>
        <v/>
      </c>
      <c r="L464" s="257">
        <f>IFERROR(IF(COUNT(L461,L462,L463)=3,L461*L462*L463,""),"")</f>
        <v>0.107641756896415</v>
      </c>
      <c r="M464" s="258">
        <f>IFERROR(IF(COUNT(M461,M462,M463)=3,M461*M462*M463,""),"")</f>
        <v>0.107641756896415</v>
      </c>
      <c r="N464" s="257">
        <f>IFERROR(IF(COUNT(N461,N462,N463)=3,N461*N462*N463,""),"")</f>
        <v>0.113938530263356</v>
      </c>
      <c r="O464" s="257">
        <f>IFERROR(IF(COUNT(O461,O462,O463)=3,O461*O462*O463,""),"")</f>
        <v>0.0984265841789462</v>
      </c>
      <c r="P464" s="257">
        <f>IFERROR(IF(COUNT(P461,P462,P463)=3,P461*P462*P463,""),"")</f>
        <v>0.0887006396660459</v>
      </c>
      <c r="Q464" s="257">
        <f>IFERROR(IF(COUNT(Q461,Q462,Q463)=3,Q461*Q462*Q463,""),"")</f>
        <v>0.0885557018629396</v>
      </c>
      <c r="R464" s="258">
        <f>IFERROR(IF(COUNT(R461,R462,R463)=3,R461*R462*R463,""),"")</f>
        <v>0.0885557018629396</v>
      </c>
      <c r="S464" s="257">
        <f>IFERROR(IF(COUNT(S461,S462,S463)=3,S461*S462*S463,""),"")</f>
        <v>0.0668516155083364</v>
      </c>
      <c r="T464" s="257">
        <f>IFERROR(IF(COUNT(T461,T462,T463)=3,T461*T462*T463,""),"")</f>
        <v>0.0700851732448336</v>
      </c>
      <c r="U464" s="257">
        <f>IFERROR(IF(COUNT(U461,U462,U463)=3,U461*U462*U463,""),"")</f>
        <v>0.0685606249616782</v>
      </c>
      <c r="V464" s="257">
        <f>IFERROR(IF(COUNT(V461,V462,V463)=3,V461*V462*V463,""),"")</f>
        <v>0.0653002834753533</v>
      </c>
      <c r="W464" s="258">
        <f>IFERROR(IF(COUNT(W461,W462,W463)=3,W461*W462*W463,""),"")</f>
        <v>0.0653002834753532</v>
      </c>
      <c r="X464" s="257">
        <f>IFERROR(IF(COUNT(X461,X462,X463)=3,X461*X462*X463,""),"")</f>
        <v>0.0650298416064529</v>
      </c>
      <c r="Y464" s="257">
        <f>IFERROR(IF(COUNT(Y461,Y462,Y463)=3,Y461*Y462*Y463,""),"")</f>
        <v>0.0650977628234906</v>
      </c>
      <c r="Z464" s="257">
        <f>IFERROR(IF(COUNT(Z461,Z462,Z463)=3,Z461*Z462*Z463,""),"")</f>
        <v>0.0844182160374034</v>
      </c>
      <c r="AA464" s="257">
        <f>IFERROR(IF(COUNT(AA461,AA462,AA463)=3,AA461*AA462*AA463,""),"")</f>
        <v>0.0926421053502524</v>
      </c>
      <c r="AB464" s="258">
        <f>IFERROR(IF(COUNT(AB461,AB462,AB463)=3,AB461*AB462*AB463,""),"")</f>
        <v>0.0926421053502524</v>
      </c>
      <c r="AC464" s="257">
        <f>IFERROR(IF(COUNT(AC461,AC462,AC463)=3,AC461*AC462*AC463,""),"")</f>
        <v>0.0927439874818275</v>
      </c>
      <c r="AD464" s="257">
        <f>IFERROR(IF(COUNT(AD461,AD462,AD463)=3,AD461*AD462*AD463,""),"")</f>
        <v>0.0870036915280982</v>
      </c>
      <c r="AE464" s="257">
        <f>IFERROR(IF(COUNT(AE461,AE462,AE463)=3,AE461*AE462*AE463,""),"")</f>
        <v>0.094120582459674</v>
      </c>
      <c r="AF464" s="257">
        <f>IFERROR(IF(COUNT(AF461,AF462,AF463)=3,AF461*AF462*AF463,""),"")</f>
        <v>0.15925494139314</v>
      </c>
      <c r="AG464" s="258">
        <f>IFERROR(IF(COUNT(AG461,AG462,AG463)=3,AG461*AG462*AG463,""),"")</f>
        <v>0.096653094808307</v>
      </c>
      <c r="AH464" s="257">
        <f>IFERROR(IF(COUNT(AH461,AH462,AH463)=3,AH461*AH462*AH463,""),"")</f>
        <v>0.143494807191163</v>
      </c>
      <c r="AI464" s="257">
        <f>IFERROR(IF(COUNT(AI461,AI462,AI463)=3,AI461*AI462*AI463,""),"")</f>
        <v>0.173380854992218</v>
      </c>
      <c r="AJ464" s="257">
        <f>IFERROR(IF(COUNT(AJ461,AJ462,AJ463)=3,AJ461*AJ462*AJ463,""),"")</f>
        <v>0.107708047143785</v>
      </c>
      <c r="AK464" s="257">
        <f>IFERROR(IF(COUNT(AK461,AK462,AK463)=3,AK461*AK462*AK463,""),"")</f>
        <v>0.133130984878614</v>
      </c>
      <c r="AL464" s="258">
        <f>IFERROR(IF(COUNT(AL461,AL462,AL463)=3,AL461*AL462*AL463,""),"")</f>
        <v>0.133130984878614</v>
      </c>
      <c r="AM464" s="257">
        <f>IFERROR(IF(COUNT(AM461,AM462,AM463)=3,AM461*AM462*AM463,""),"")</f>
        <v>0.164739181361414</v>
      </c>
      <c r="AN464" s="257">
        <f>IFERROR(IF(COUNT(AN461,AN462,AN463)=3,AN461*AN462*AN463,""),"")</f>
        <v>0.191523614381814</v>
      </c>
      <c r="AO464" s="257">
        <f>IFERROR(IF(COUNT(AO461,AO462,AO463)=3,AO461*AO462*AO463,""),"")</f>
        <v>0.189420742379798</v>
      </c>
      <c r="AP464" s="257">
        <f>IFERROR(IF(COUNT(AP461,AP462,AP463)=3,AP461*AP462*AP463,""),"")</f>
        <v>0.187100128367678</v>
      </c>
      <c r="AQ464" s="258">
        <f>IFERROR(IF(COUNT(AQ461,AQ462,AQ463)=3,AQ461*AQ462*AQ463,""),"")</f>
        <v>0.187100128367678</v>
      </c>
      <c r="AR464" s="257">
        <f>IFERROR(IF(COUNT(AR461,AR462,AR463)=3,AR461*AR462*AR463,""),"")</f>
        <v>0.18466016245903</v>
      </c>
      <c r="AS464" s="257">
        <f>IFERROR(IF(COUNT(AS461,AS462,AS463)=3,AS461*AS462*AS463,""),"")</f>
        <v>0.181828257657407</v>
      </c>
      <c r="AT464" s="257">
        <f>IFERROR(IF(COUNT(AT461,AT462,AT463)=3,AT461*AT462*AT463,""),"")</f>
        <v>0.18006465806813</v>
      </c>
      <c r="AU464" s="257">
        <f>IFERROR(IF(COUNT(AU461,AU462,AU463)=3,AU461*AU462*AU463,""),"")</f>
        <v>0.178109600761911</v>
      </c>
      <c r="AV464" s="258">
        <f>IFERROR(IF(COUNT(AV461,AV462,AV463)=3,AV461*AV462*AV463,""),"")</f>
        <v>0.178109600761911</v>
      </c>
      <c r="AW464" s="257">
        <f>IFERROR(IF(COUNT(AW461,AW462,AW463)=3,AW461*AW462*AW463,""),"")</f>
        <v>0.1760320791984</v>
      </c>
      <c r="AX464" s="257">
        <f>IFERROR(IF(COUNT(AX461,AX462,AX463)=3,AX461*AX462*AX463,""),"")</f>
        <v>0.173607631485575</v>
      </c>
      <c r="AY464" s="257">
        <f>IFERROR(IF(COUNT(AY461,AY462,AY463)=3,AY461*AY462*AY463,""),"")</f>
        <v>0.172090557737166</v>
      </c>
      <c r="AZ464" s="257">
        <f>IFERROR(IF(COUNT(AZ461,AZ462,AZ463)=3,AZ461*AZ462*AZ463,""),"")</f>
        <v>0.170402266154158</v>
      </c>
      <c r="BA464" s="258">
        <f>IFERROR(IF(COUNT(BA461,BA462,BA463)=3,BA461*BA462*BA463,""),"")</f>
        <v>0.170402266154158</v>
      </c>
      <c r="BB464" s="257">
        <f>IFERROR(IF(COUNT(BB461,BB462,BB463)=3,BB461*BB462*BB463,""),"")</f>
        <v>0.168591335866872</v>
      </c>
      <c r="BC464" s="257">
        <f>IFERROR(IF(COUNT(BC461,BC462,BC463)=3,BC461*BC462*BC463,""),"")</f>
        <v>0.166467975301107</v>
      </c>
      <c r="BD464" s="257">
        <f>IFERROR(IF(COUNT(BD461,BD462,BD463)=3,BD461*BD462*BD463,""),"")</f>
        <v>0.165133778292227</v>
      </c>
      <c r="BE464" s="257">
        <f>IFERROR(IF(COUNT(BE461,BE462,BE463)=3,BE461*BE462*BE463,""),"")</f>
        <v>0.163643972613205</v>
      </c>
      <c r="BF464" s="258">
        <f>IFERROR(IF(COUNT(BF461,BF462,BF463)=3,BF461*BF462*BF463,""),"")</f>
        <v>0.163643972613205</v>
      </c>
      <c r="BG464" s="81" t="n"/>
      <c r="BH464" s="81" t="n"/>
      <c r="BI464" s="81" t="n"/>
      <c r="BJ464" s="81" t="n"/>
      <c r="BL464" s="81" t="n"/>
      <c r="BM464" s="81" t="n"/>
      <c r="BN464" s="81" t="n"/>
      <c r="BO464" s="81" t="n"/>
      <c r="BQ464" s="81" t="n"/>
      <c r="BR464" s="81" t="n"/>
      <c r="BS464" s="81" t="n"/>
      <c r="BT464" s="81" t="n"/>
      <c r="BV464" s="81" t="n"/>
      <c r="BW464" s="81" t="n"/>
      <c r="BX464" s="81" t="n"/>
      <c r="BY464" s="81" t="n"/>
      <c r="CA464" s="81" t="n"/>
      <c r="CB464" s="81" t="n"/>
      <c r="CC464" s="81" t="n"/>
      <c r="CD464" s="81" t="n"/>
      <c r="CF464" s="81" t="n"/>
      <c r="CG464" s="81" t="n"/>
      <c r="CH464" s="81" t="n"/>
      <c r="CI464" s="81" t="n"/>
      <c r="CK464" s="81" t="n"/>
      <c r="CL464" s="81" t="n"/>
      <c r="CM464" s="81" t="n"/>
      <c r="CN464" s="81" t="n"/>
      <c r="CP464" s="81" t="n"/>
      <c r="CQ464" s="81" t="n"/>
      <c r="CR464" s="81" t="n"/>
      <c r="CS464" s="81" t="n"/>
      <c r="CU464" s="81" t="n"/>
      <c r="CV464" s="81" t="n"/>
      <c r="CW464" s="81" t="n"/>
      <c r="CX464" s="81" t="n"/>
    </row>
    <row r="465" customFormat="1" s="77">
      <c r="A465" s="76" t="n"/>
      <c r="B465" s="76" t="n"/>
      <c r="C465" s="77" t="inlineStr">
        <is>
          <t>ROE (LTM)</t>
        </is>
      </c>
      <c r="D465" s="84" t="str">
        <f>IFERROR(D234/D368,"")</f>
        <v/>
      </c>
      <c r="E465" s="84" t="str">
        <f>IFERROR(E234/E368,"")</f>
        <v/>
      </c>
      <c r="F465" s="84" t="str">
        <f>IFERROR(F234/F368,"")</f>
        <v/>
      </c>
      <c r="G465" s="84" t="str">
        <f>IFERROR(G234/G368,"")</f>
        <v/>
      </c>
      <c r="H465" s="258" t="str">
        <f>IFERROR(IF(AND(COUNT(H234)=1,N(H368)&lt;&gt;0),(H234)/H368,""),"")</f>
        <v/>
      </c>
      <c r="I465" s="257" t="str">
        <f>""</f>
        <v/>
      </c>
      <c r="J465" s="257" t="str">
        <f>""</f>
        <v/>
      </c>
      <c r="K465" s="257" t="str">
        <f>""</f>
        <v/>
      </c>
      <c r="L465" s="257">
        <f>IFERROR(IF(AND(COUNT(I234,J234,K234,L234)=4,N(L368)&lt;&gt;0),(I234+J234+K234+L234)/L368,""),"")</f>
        <v>0.107641756896415</v>
      </c>
      <c r="M465" s="258">
        <f>IFERROR(IF(AND(COUNT(I234,J234,K234,L234)=4,N(M368)&lt;&gt;0),(I234+J234+K234+L234)/M368,""),"")</f>
        <v>0.107641756896415</v>
      </c>
      <c r="N465" s="257">
        <f>IFERROR(IF(AND(COUNT(J234,K234,L234,N234)=4,N(N368)&lt;&gt;0),(J234+K234+L234+N234)/N368,""),"")</f>
        <v>0.113938530263356</v>
      </c>
      <c r="O465" s="257">
        <f>IFERROR(IF(AND(COUNT(K234,L234,N234,O234)=4,N(O368)&lt;&gt;0),(K234+L234+N234+O234)/O368,""),"")</f>
        <v>0.0984265841789462</v>
      </c>
      <c r="P465" s="257">
        <f>IFERROR(IF(AND(COUNT(L234,N234,O234,P234)=4,N(P368)&lt;&gt;0),(L234+N234+O234+P234)/P368,""),"")</f>
        <v>0.0887006396660459</v>
      </c>
      <c r="Q465" s="257">
        <f>IFERROR(IF(AND(COUNT(N234,O234,P234,Q234)=4,N(Q368)&lt;&gt;0),(N234+O234+P234+Q234)/Q368,""),"")</f>
        <v>0.0885557018629396</v>
      </c>
      <c r="R465" s="258">
        <f>IFERROR(IF(AND(COUNT(N234,O234,P234,Q234)=4,N(R368)&lt;&gt;0),(N234+O234+P234+Q234)/R368,""),"")</f>
        <v>0.0885557018629396</v>
      </c>
      <c r="S465" s="257">
        <f>IFERROR(IF(AND(COUNT(O234,P234,Q234,S234)=4,N(S368)&lt;&gt;0),(O234+P234+Q234+S234)/S368,""),"")</f>
        <v>0.0668516155083364</v>
      </c>
      <c r="T465" s="257">
        <f>IFERROR(IF(AND(COUNT(P234,Q234,S234,T234)=4,N(T368)&lt;&gt;0),(P234+Q234+S234+T234)/T368,""),"")</f>
        <v>0.0700851732448336</v>
      </c>
      <c r="U465" s="257">
        <f>IFERROR(IF(AND(COUNT(Q234,S234,T234,U234)=4,N(U368)&lt;&gt;0),(Q234+S234+T234+U234)/U368,""),"")</f>
        <v>0.0685606249616782</v>
      </c>
      <c r="V465" s="257">
        <f>IFERROR(IF(AND(COUNT(S234,T234,U234,V234)=4,N(V368)&lt;&gt;0),(S234+T234+U234+V234)/V368,""),"")</f>
        <v>0.0653002834753533</v>
      </c>
      <c r="W465" s="258">
        <f>IFERROR(IF(AND(COUNT(S234,T234,U234,V234)=4,N(W368)&lt;&gt;0),(S234+T234+U234+V234)/W368,""),"")</f>
        <v>0.0653002834753532</v>
      </c>
      <c r="X465" s="257">
        <f>IFERROR(IF(AND(COUNT(T234,U234,V234,X234)=4,N(X368)&lt;&gt;0),(T234+U234+V234+X234)/X368,""),"")</f>
        <v>0.0650298416064529</v>
      </c>
      <c r="Y465" s="257">
        <f>IFERROR(IF(AND(COUNT(U234,V234,X234,Y234)=4,N(Y368)&lt;&gt;0),(U234+V234+X234+Y234)/Y368,""),"")</f>
        <v>0.0650977628234906</v>
      </c>
      <c r="Z465" s="257">
        <f>IFERROR(IF(AND(COUNT(V234,X234,Y234,Z234)=4,N(Z368)&lt;&gt;0),(V234+X234+Y234+Z234)/Z368,""),"")</f>
        <v>0.0844182160374034</v>
      </c>
      <c r="AA465" s="257">
        <f>IFERROR(IF(AND(COUNT(X234,Y234,Z234,AA234)=4,N(AA368)&lt;&gt;0),(X234+Y234+Z234+AA234)/AA368,""),"")</f>
        <v>0.0926421053502524</v>
      </c>
      <c r="AB465" s="258">
        <f>IFERROR(IF(AND(COUNT(X234,Y234,Z234,AA234)=4,N(AB368)&lt;&gt;0),(X234+Y234+Z234+AA234)/AB368,""),"")</f>
        <v>0.0926421053502524</v>
      </c>
      <c r="AC465" s="257">
        <f>IFERROR(IF(AND(COUNT(Y234,Z234,AA234,AC234)=4,N(AC368)&lt;&gt;0),(Y234+Z234+AA234+AC234)/AC368,""),"")</f>
        <v>0.0927439874818275</v>
      </c>
      <c r="AD465" s="257">
        <f>IFERROR(IF(AND(COUNT(Z234,AA234,AC234,AD234)=4,N(AD368)&lt;&gt;0),(Z234+AA234+AC234+AD234)/AD368,""),"")</f>
        <v>0.0870036915280981</v>
      </c>
      <c r="AE465" s="257">
        <f>IFERROR(IF(AND(COUNT(AA234,AC234,AD234,AE234)=4,N(AE368)&lt;&gt;0),(AA234+AC234+AD234+AE234)/AE368,""),"")</f>
        <v>0.094120582459674</v>
      </c>
      <c r="AF465" s="257">
        <f>IFERROR(IF(AND(COUNT(AB234,AD234,AE234,AF234)=4,N(AF368)&lt;&gt;0),(AB234+AD234+AE234+AF234)/AF368,""),"")</f>
        <v>0.15925494139314</v>
      </c>
      <c r="AG465" s="258">
        <f>IFERROR(IF(AND(COUNT(AC234,AD234,AE234,AF234)=4,N(AG368)&lt;&gt;0),(AC234+AD234+AE234+AF234)/AG368,""),"")</f>
        <v>0.096653094808307</v>
      </c>
      <c r="AH465" s="257">
        <f>IFERROR(IF(AND(COUNT(AD234,AF234,AG234,AH234)=4,N(AH368)&lt;&gt;0),(AD234+AF234+AG234+AH234)/AH368,""),"")</f>
        <v>0.143494807191163</v>
      </c>
      <c r="AI465" s="257">
        <f>IFERROR(IF(AND(COUNT(AE234,AG234,AH234,AI234)=4,N(AI368)&lt;&gt;0),(AE234+AG234+AH234+AI234)/AI368,""),"")</f>
        <v>0.173380854992218</v>
      </c>
      <c r="AJ465" s="257">
        <f>IFERROR(IF(AND(COUNT(AF234,AH234,AI234,AJ234)=4,N(AJ368)&lt;&gt;0),(AF234+AH234+AI234+AJ234)/AJ368,""),"")</f>
        <v>0.107708047143785</v>
      </c>
      <c r="AK465" s="257">
        <f>IFERROR(IF(AND(COUNT(AH234,AI234,AJ234,AK234)=4,N(AK368)&lt;&gt;0),(AH234+AI234+AJ234+AK234)/AK368,""),"")</f>
        <v>0.133130984878614</v>
      </c>
      <c r="AL465" s="258">
        <f>IFERROR(IF(AND(COUNT(AH234,AI234,AJ234,AK234)=4,N(AL368)&lt;&gt;0),(AH234+AI234+AJ234+AK234)/AL368,""),"")</f>
        <v>0.133130984878614</v>
      </c>
      <c r="AM465" s="257">
        <f>IFERROR(IF(AND(COUNT(AI234,AJ234,AK234,AM234)=4,N(AM368)&lt;&gt;0),(AI234+AJ234+AK234+AM234)/AM368,""),"")</f>
        <v>0.164739181361414</v>
      </c>
      <c r="AN465" s="257">
        <f>IFERROR(IF(AND(COUNT(AJ234,AK234,AM234,AN234)=4,N(AN368)&lt;&gt;0),(AJ234+AK234+AM234+AN234)/AN368,""),"")</f>
        <v>0.191523614381814</v>
      </c>
      <c r="AO465" s="257">
        <f>IFERROR(IF(AND(COUNT(AK234,AM234,AN234,AO234)=4,N(AO368)&lt;&gt;0),(AK234+AM234+AN234+AO234)/AO368,""),"")</f>
        <v>0.189420742379798</v>
      </c>
      <c r="AP465" s="257">
        <f>IFERROR(IF(AND(COUNT(AM234,AN234,AO234,AP234)=4,N(AP368)&lt;&gt;0),(AM234+AN234+AO234+AP234)/AP368,""),"")</f>
        <v>0.187100128367678</v>
      </c>
      <c r="AQ465" s="258">
        <f>IFERROR(IF(AND(COUNT(AM234,AN234,AO234,AP234)=4,N(AQ368)&lt;&gt;0),(AM234+AN234+AO234+AP234)/AQ368,""),"")</f>
        <v>0.187100128367678</v>
      </c>
      <c r="AR465" s="257">
        <f>IFERROR(IF(AND(COUNT(AN234,AO234,AP234,AR234)=4,N(AR368)&lt;&gt;0),(AN234+AO234+AP234+AR234)/AR368,""),"")</f>
        <v>0.18466016245903</v>
      </c>
      <c r="AS465" s="257">
        <f>IFERROR(IF(AND(COUNT(AO234,AP234,AR234,AS234)=4,N(AS368)&lt;&gt;0),(AO234+AP234+AR234+AS234)/AS368,""),"")</f>
        <v>0.181828257657407</v>
      </c>
      <c r="AT465" s="257">
        <f>IFERROR(IF(AND(COUNT(AP234,AR234,AS234,AT234)=4,N(AT368)&lt;&gt;0),(AP234+AR234+AS234+AT234)/AT368,""),"")</f>
        <v>0.18006465806813</v>
      </c>
      <c r="AU465" s="257">
        <f>IFERROR(IF(AND(COUNT(AR234,AS234,AT234,AU234)=4,N(AU368)&lt;&gt;0),(AR234+AS234+AT234+AU234)/AU368,""),"")</f>
        <v>0.178109600761911</v>
      </c>
      <c r="AV465" s="258">
        <f>IFERROR(IF(AND(COUNT(AR234,AS234,AT234,AU234)=4,N(AV368)&lt;&gt;0),(AR234+AS234+AT234+AU234)/AV368,""),"")</f>
        <v>0.178109600761911</v>
      </c>
      <c r="AW465" s="257">
        <f>IFERROR(IF(AND(COUNT(AS234,AT234,AU234,AW234)=4,N(AW368)&lt;&gt;0),(AS234+AT234+AU234+AW234)/AW368,""),"")</f>
        <v>0.1760320791984</v>
      </c>
      <c r="AX465" s="257">
        <f>IFERROR(IF(AND(COUNT(AT234,AU234,AW234,AX234)=4,N(AX368)&lt;&gt;0),(AT234+AU234+AW234+AX234)/AX368,""),"")</f>
        <v>0.173607631485576</v>
      </c>
      <c r="AY465" s="257">
        <f>IFERROR(IF(AND(COUNT(AU234,AW234,AX234,AY234)=4,N(AY368)&lt;&gt;0),(AU234+AW234+AX234+AY234)/AY368,""),"")</f>
        <v>0.172090557737166</v>
      </c>
      <c r="AZ465" s="257">
        <f>IFERROR(IF(AND(COUNT(AW234,AX234,AY234,AZ234)=4,N(AZ368)&lt;&gt;0),(AW234+AX234+AY234+AZ234)/AZ368,""),"")</f>
        <v>0.170402266154158</v>
      </c>
      <c r="BA465" s="258">
        <f>IFERROR(IF(AND(COUNT(AW234,AX234,AY234,AZ234)=4,N(BA368)&lt;&gt;0),(AW234+AX234+AY234+AZ234)/BA368,""),"")</f>
        <v>0.170402266154158</v>
      </c>
      <c r="BB465" s="257">
        <f>IFERROR(IF(AND(COUNT(AX234,AY234,AZ234,BB234)=4,N(BB368)&lt;&gt;0),(AX234+AY234+AZ234+BB234)/BB368,""),"")</f>
        <v>0.168591335866872</v>
      </c>
      <c r="BC465" s="257">
        <f>IFERROR(IF(AND(COUNT(AY234,AZ234,BB234,BC234)=4,N(BC368)&lt;&gt;0),(AY234+AZ234+BB234+BC234)/BC368,""),"")</f>
        <v>0.166467975301107</v>
      </c>
      <c r="BD465" s="257">
        <f>IFERROR(IF(AND(COUNT(AZ234,BB234,BC234,BD234)=4,N(BD368)&lt;&gt;0),(AZ234+BB234+BC234+BD234)/BD368,""),"")</f>
        <v>0.165133778292227</v>
      </c>
      <c r="BE465" s="257">
        <f>IFERROR(IF(AND(COUNT(BB234,BC234,BD234,BE234)=4,N(BE368)&lt;&gt;0),(BB234+BC234+BD234+BE234)/BE368,""),"")</f>
        <v>0.163643972613205</v>
      </c>
      <c r="BF465" s="258">
        <f>IFERROR(IF(AND(COUNT(BB234,BC234,BD234,BE234)=4,N(BF368)&lt;&gt;0),(BB234+BC234+BD234+BE234)/BF368,""),"")</f>
        <v>0.163643972613205</v>
      </c>
      <c r="BG465" s="81" t="n"/>
      <c r="BH465" s="81" t="n"/>
      <c r="BI465" s="81" t="n"/>
      <c r="BJ465" s="81" t="n"/>
      <c r="BL465" s="81" t="n"/>
      <c r="BM465" s="81" t="n"/>
      <c r="BN465" s="81" t="n"/>
      <c r="BO465" s="81" t="n"/>
      <c r="BQ465" s="81" t="n"/>
      <c r="BR465" s="81" t="n"/>
      <c r="BS465" s="81" t="n"/>
      <c r="BT465" s="81" t="n"/>
      <c r="BV465" s="81" t="n"/>
      <c r="BW465" s="81" t="n"/>
      <c r="BX465" s="81" t="n"/>
      <c r="BY465" s="81" t="n"/>
      <c r="CA465" s="81" t="n"/>
      <c r="CB465" s="81" t="n"/>
      <c r="CC465" s="81" t="n"/>
      <c r="CD465" s="81" t="n"/>
      <c r="CF465" s="81" t="n"/>
      <c r="CG465" s="81" t="n"/>
      <c r="CH465" s="81" t="n"/>
      <c r="CI465" s="81" t="n"/>
      <c r="CK465" s="81" t="n"/>
      <c r="CL465" s="81" t="n"/>
      <c r="CM465" s="81" t="n"/>
      <c r="CN465" s="81" t="n"/>
      <c r="CP465" s="81" t="n"/>
      <c r="CQ465" s="81" t="n"/>
      <c r="CR465" s="81" t="n"/>
      <c r="CS465" s="81" t="n"/>
      <c r="CU465" s="81" t="n"/>
      <c r="CV465" s="81" t="n"/>
      <c r="CW465" s="81" t="n"/>
      <c r="CX465" s="81" t="n"/>
    </row>
    <row r="466"/>
    <row r="467">
      <c r="C467" s="73" t="inlineStr">
        <is>
          <t>Scenario Analysis</t>
        </is>
      </c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  <c r="N467" s="73" t="n"/>
      <c r="O467" s="73" t="n"/>
      <c r="P467" s="73" t="n"/>
      <c r="Q467" s="73" t="n"/>
      <c r="R467" s="73" t="n"/>
      <c r="S467" s="73" t="n"/>
      <c r="T467" s="73" t="n"/>
      <c r="U467" s="73" t="n"/>
      <c r="V467" s="73" t="n"/>
      <c r="W467" s="73" t="n"/>
      <c r="X467" s="73" t="n"/>
      <c r="Y467" s="73" t="n"/>
      <c r="Z467" s="73" t="n"/>
      <c r="AA467" s="73" t="n"/>
      <c r="AB467" s="73" t="n"/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73" t="n"/>
      <c r="BR467" s="73" t="n"/>
      <c r="BS467" s="73" t="n"/>
      <c r="BT467" s="73" t="n"/>
      <c r="BU467" s="73" t="n"/>
      <c r="BV467" s="73" t="n"/>
      <c r="BW467" s="73" t="n"/>
      <c r="BX467" s="73" t="n"/>
      <c r="BY467" s="73" t="n"/>
      <c r="BZ467" s="73" t="n"/>
      <c r="CA467" s="73" t="n"/>
      <c r="CB467" s="73" t="n"/>
      <c r="CC467" s="73" t="n"/>
      <c r="CD467" s="73" t="n"/>
      <c r="CE467" s="73" t="n"/>
      <c r="CF467" s="73" t="n"/>
      <c r="CG467" s="73" t="n"/>
      <c r="CH467" s="73" t="n"/>
      <c r="CI467" s="73" t="n"/>
      <c r="CJ467" s="73" t="n"/>
      <c r="CK467" s="73" t="n"/>
      <c r="CL467" s="73" t="n"/>
      <c r="CM467" s="73" t="n"/>
      <c r="CN467" s="73" t="n"/>
      <c r="CO467" s="73" t="n"/>
      <c r="CP467" s="73" t="n"/>
      <c r="CQ467" s="73" t="n"/>
      <c r="CR467" s="73" t="n"/>
      <c r="CS467" s="73" t="n"/>
      <c r="CT467" s="73" t="n"/>
      <c r="CU467" s="73" t="n"/>
      <c r="CV467" s="73" t="n"/>
      <c r="CW467" s="73" t="n"/>
      <c r="CX467" s="73" t="n"/>
      <c r="CY467" s="73" t="n"/>
    </row>
    <row r="468"/>
    <row r="469"/>
    <row r="470">
      <c r="C470" s="4" t="inlineStr">
        <is>
          <t>Bull case</t>
        </is>
      </c>
    </row>
    <row r="471">
      <c r="C471" s="4" t="inlineStr">
        <is>
          <t>Base case</t>
        </is>
      </c>
    </row>
    <row r="472">
      <c r="C472" s="4" t="inlineStr">
        <is>
          <t>Bear case</t>
        </is>
      </c>
    </row>
    <row r="473"/>
    <row r="474"/>
    <row r="475">
      <c r="C475" s="4" t="inlineStr">
        <is>
          <t>Bull case</t>
        </is>
      </c>
    </row>
    <row r="476">
      <c r="C476" s="4" t="inlineStr">
        <is>
          <t>Base case</t>
        </is>
      </c>
    </row>
    <row r="477">
      <c r="C477" s="4" t="inlineStr">
        <is>
          <t>Bear case</t>
        </is>
      </c>
    </row>
    <row r="478"/>
    <row r="479"/>
    <row r="480">
      <c r="C480" s="4" t="inlineStr">
        <is>
          <t>% Gross Margin</t>
        </is>
      </c>
    </row>
    <row r="481">
      <c r="C481" s="4" t="inlineStr">
        <is>
          <t>Bull case</t>
        </is>
      </c>
    </row>
    <row r="482">
      <c r="C482" s="4" t="inlineStr">
        <is>
          <t>Base case</t>
        </is>
      </c>
    </row>
    <row r="483">
      <c r="C483" s="4" t="inlineStr">
        <is>
          <t>Bear case</t>
        </is>
      </c>
    </row>
    <row r="484"/>
    <row r="485"/>
    <row r="486">
      <c r="C486" s="4" t="inlineStr">
        <is>
          <t>Capital expenditures</t>
        </is>
      </c>
    </row>
    <row r="487">
      <c r="C487" s="4" t="inlineStr">
        <is>
          <t>Bull case</t>
        </is>
      </c>
    </row>
    <row r="488">
      <c r="C488" s="4" t="inlineStr">
        <is>
          <t>Base case</t>
        </is>
      </c>
    </row>
    <row r="489">
      <c r="C489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412:G412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412:L412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412:Q412">
    <cfRule type="cellIs" priority="22" operator="notEqual" dxfId="0">
      <formula>0</formula>
    </cfRule>
  </conditionalFormatting>
  <conditionalFormatting sqref="S412:V412">
    <cfRule type="cellIs" priority="21" operator="notEqual" dxfId="0">
      <formula>0</formula>
    </cfRule>
  </conditionalFormatting>
  <conditionalFormatting sqref="X412:AA412">
    <cfRule type="cellIs" priority="20" operator="notEqual" dxfId="0">
      <formula>0</formula>
    </cfRule>
  </conditionalFormatting>
  <conditionalFormatting sqref="AC412:AF412">
    <cfRule type="cellIs" priority="19" operator="notEqual" dxfId="0">
      <formula>0</formula>
    </cfRule>
  </conditionalFormatting>
  <conditionalFormatting sqref="AH412:AK412">
    <cfRule type="cellIs" priority="15" operator="notEqual" dxfId="0">
      <formula>0</formula>
    </cfRule>
  </conditionalFormatting>
  <conditionalFormatting sqref="AM412:AP412">
    <cfRule type="cellIs" priority="14" operator="notEqual" dxfId="0">
      <formula>0</formula>
    </cfRule>
  </conditionalFormatting>
  <conditionalFormatting sqref="AR412:AU412">
    <cfRule type="cellIs" priority="13" operator="notEqual" dxfId="0">
      <formula>0</formula>
    </cfRule>
  </conditionalFormatting>
  <conditionalFormatting sqref="AW412:AZ412">
    <cfRule type="cellIs" priority="12" operator="notEqual" dxfId="0">
      <formula>0</formula>
    </cfRule>
  </conditionalFormatting>
  <conditionalFormatting sqref="BB412:BE412">
    <cfRule type="cellIs" priority="11" operator="notEqual" dxfId="0">
      <formula>0</formula>
    </cfRule>
  </conditionalFormatting>
  <conditionalFormatting sqref="BG412:BJ412">
    <cfRule type="cellIs" priority="10" operator="notEqual" dxfId="0">
      <formula>0</formula>
    </cfRule>
  </conditionalFormatting>
  <conditionalFormatting sqref="BL412:BO412">
    <cfRule type="cellIs" priority="9" operator="notEqual" dxfId="0">
      <formula>0</formula>
    </cfRule>
  </conditionalFormatting>
  <conditionalFormatting sqref="BQ412:BT412">
    <cfRule type="cellIs" priority="8" operator="notEqual" dxfId="0">
      <formula>0</formula>
    </cfRule>
  </conditionalFormatting>
  <conditionalFormatting sqref="BV412:BY412">
    <cfRule type="cellIs" priority="7" operator="notEqual" dxfId="0">
      <formula>0</formula>
    </cfRule>
  </conditionalFormatting>
  <conditionalFormatting sqref="CA412:CD412">
    <cfRule type="cellIs" priority="6" operator="notEqual" dxfId="0">
      <formula>0</formula>
    </cfRule>
  </conditionalFormatting>
  <conditionalFormatting sqref="CF412:CI412">
    <cfRule type="cellIs" priority="5" operator="notEqual" dxfId="0">
      <formula>0</formula>
    </cfRule>
  </conditionalFormatting>
  <conditionalFormatting sqref="CK412:CN412">
    <cfRule type="cellIs" priority="4" operator="notEqual" dxfId="0">
      <formula>0</formula>
    </cfRule>
  </conditionalFormatting>
  <conditionalFormatting sqref="CP412:CS412">
    <cfRule type="cellIs" priority="3" operator="notEqual" dxfId="0">
      <formula>0</formula>
    </cfRule>
  </conditionalFormatting>
  <conditionalFormatting sqref="CU412:CX412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ALUP11) - fonte: planilha de fundamentos do RI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3311.381</v>
      </c>
      <c r="E18" s="113">
        <f>IFERROR(Model!AB15,"")</f>
        <v>4002.104</v>
      </c>
      <c r="F18" s="113">
        <f>IFERROR(Model!AG15,"")</f>
        <v>4397.883</v>
      </c>
      <c r="G18" s="113">
        <f>IFERROR(Model!AL15,"")</f>
        <v>5357.14985256625</v>
      </c>
      <c r="H18" s="113">
        <f>IFERROR(Model!AQ15,"")</f>
        <v>6231.6621109285</v>
      </c>
      <c r="I18" s="113">
        <f>IFERROR(Model!AV15,"")</f>
        <v>7217.77325446017</v>
      </c>
      <c r="J18" s="113">
        <f>IFERROR(Model!BA15,"")</f>
        <v>8323.83980531581</v>
      </c>
      <c r="K18" s="113">
        <f>IFERROR(Model!BF15,"")</f>
        <v>9557.78309055699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0.208590615214619</v>
      </c>
      <c r="F19" s="117">
        <f>IFERROR(IF(E18=0,"",F18/E18-1),"")</f>
        <v>0.0988927324227455</v>
      </c>
      <c r="G19" s="117">
        <f>IFERROR(IF(F18=0,"",G18/F18-1),"")</f>
        <v>0.218120139295712</v>
      </c>
      <c r="H19" s="117">
        <f>IFERROR(IF(G18=0,"",H18/G18-1),"")</f>
        <v>0.163242075064101</v>
      </c>
      <c r="I19" s="117">
        <f>IFERROR(IF(H18=0,"",I18/H18-1),"")</f>
        <v>0.158242075064101</v>
      </c>
      <c r="J19" s="117">
        <f>IFERROR(IF(I18=0,"",J18/I18-1),"")</f>
        <v>0.153242075064101</v>
      </c>
      <c r="K19" s="117">
        <f>IFERROR(IF(J18=0,"",K18/J18-1),"")</f>
        <v>0.148242075064101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IFERROR(Model!W166,"")</f>
        <v>2470.439</v>
      </c>
      <c r="E20" s="113">
        <f>IFERROR(Model!AB166,"")</f>
        <v>2921.788</v>
      </c>
      <c r="F20" s="113">
        <f>IFERROR(Model!AG166,"")</f>
        <v>2999.118</v>
      </c>
      <c r="G20" s="113">
        <f>IFERROR(Model!AL166,"")</f>
        <v>3456.21310416619</v>
      </c>
      <c r="H20" s="113">
        <f>IFERROR(Model!AQ166,"")</f>
        <v>4135.46238366539</v>
      </c>
      <c r="I20" s="113">
        <f>IFERROR(Model!AV166,"")</f>
        <v>4789.86653260613</v>
      </c>
      <c r="J20" s="113">
        <f>IFERROR(Model!BA166,"")</f>
        <v>5523.87561934278</v>
      </c>
      <c r="K20" s="113">
        <f>IFERROR(Model!BF166,"")</f>
        <v>6342.74640355016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0.746044928082876</v>
      </c>
      <c r="E21" s="122">
        <f>IFERROR(IF(E18=0,"",E20/E18),"")</f>
        <v>0.730062986868907</v>
      </c>
      <c r="F21" s="122">
        <f>IFERROR(IF(F18=0,"",F20/F18),"")</f>
        <v>0.68194583621256</v>
      </c>
      <c r="G21" s="122">
        <f>IFERROR(IF(G18=0,"",G20/G18),"")</f>
        <v>0.645158936987837</v>
      </c>
      <c r="H21" s="122">
        <f>IFERROR(IF(H18=0,"",H20/H18),"")</f>
        <v>0.663621086966991</v>
      </c>
      <c r="I21" s="122">
        <f>IFERROR(IF(I18=0,"",I20/I18),"")</f>
        <v>0.663621086966991</v>
      </c>
      <c r="J21" s="122">
        <f>IFERROR(IF(J18=0,"",J20/J18),"")</f>
        <v>0.663621086966991</v>
      </c>
      <c r="K21" s="122">
        <f>IFERROR(IF(K18=0,"",K20/K18),"")</f>
        <v>0.663621086966991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IFERROR(Model!W170,"")</f>
        <v>2316.527</v>
      </c>
      <c r="E22" s="113">
        <f>IFERROR(Model!AB170,"")</f>
        <v>2743.633</v>
      </c>
      <c r="F22" s="113">
        <f>IFERROR(Model!AG170,"")</f>
        <v>2813.326</v>
      </c>
      <c r="G22" s="113">
        <f>IFERROR(Model!AL170,"")</f>
        <v>3246.58383384787</v>
      </c>
      <c r="H22" s="113">
        <f>IFERROR(Model!AQ170,"")</f>
        <v>3878.74812723034</v>
      </c>
      <c r="I22" s="113">
        <f>IFERROR(Model!AV170,"")</f>
        <v>4492.52927953426</v>
      </c>
      <c r="J22" s="113">
        <f>IFERROR(Model!BA170,"")</f>
        <v>5180.97378861633</v>
      </c>
      <c r="K22" s="113">
        <f>IFERROR(Model!BF170,"")</f>
        <v>5949.01209389353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0.699565226713568</v>
      </c>
      <c r="E23" s="122">
        <f>IFERROR(IF(E18=0,"",E22/E18),"")</f>
        <v>0.685547651935082</v>
      </c>
      <c r="F23" s="122">
        <f>IFERROR(IF(F18=0,"",F22/F18),"")</f>
        <v>0.639700055685884</v>
      </c>
      <c r="G23" s="122">
        <f>IFERROR(IF(G18=0,"",G22/G18),"")</f>
        <v>0.606028190959163</v>
      </c>
      <c r="H23" s="122">
        <f>IFERROR(IF(H18=0,"",H22/H18),"")</f>
        <v>0.622425936802343</v>
      </c>
      <c r="I23" s="122">
        <f>IFERROR(IF(I18=0,"",I22/I18),"")</f>
        <v>0.622425936802343</v>
      </c>
      <c r="J23" s="122">
        <f>IFERROR(IF(J18=0,"",J22/J18),"")</f>
        <v>0.622425936802343</v>
      </c>
      <c r="K23" s="122">
        <f>IFERROR(IF(K18=0,"",K22/K18),"")</f>
        <v>0.622425936802343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IFERROR(Model!W229,"")</f>
        <v>0.22880838304629</v>
      </c>
      <c r="E24" s="125">
        <f>IFERROR(Model!AB229,"")</f>
        <v>0.0455287936384318</v>
      </c>
      <c r="F24" s="125">
        <f>IFERROR(Model!AG229,"")</f>
        <v>0.262421780396386</v>
      </c>
      <c r="G24" s="125">
        <f>IFERROR(Model!AL229,"")</f>
        <v>0.201607451573093</v>
      </c>
      <c r="H24" s="125">
        <f>IFERROR(Model!AQ229,"")</f>
        <v>0.237971120613022</v>
      </c>
      <c r="I24" s="125">
        <f>IFERROR(Model!AV229,"")</f>
        <v>0.237971120613022</v>
      </c>
      <c r="J24" s="125">
        <f>IFERROR(Model!BA229,"")</f>
        <v>0.237971120613022</v>
      </c>
      <c r="K24" s="125">
        <f>IFERROR(Model!BF229,"")</f>
        <v>0.237971120613022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1786.48620284693</v>
      </c>
      <c r="E25" s="127">
        <f>IFERROR(E22*(1-E24),"")</f>
        <v>2618.71869932341</v>
      </c>
      <c r="F25" s="127">
        <f>IFERROR(F22*(1-F24),"")</f>
        <v>2075.04798224456</v>
      </c>
      <c r="G25" s="127">
        <f>IFERROR(G22*(1-G24),"")</f>
        <v>2592.0483407874</v>
      </c>
      <c r="H25" s="127">
        <f>IFERROR(H22*(1-H24),"")</f>
        <v>2955.71808881767</v>
      </c>
      <c r="I25" s="127">
        <f>IFERROR(I22*(1-I24),"")</f>
        <v>3423.43705249668</v>
      </c>
      <c r="J25" s="127">
        <f>IFERROR(J22*(1-J24),"")</f>
        <v>3948.0516502726</v>
      </c>
      <c r="K25" s="127">
        <f>IFERROR(K22*(1-K24),"")</f>
        <v>4533.31901936927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IFERROR(-Model!W167,"")</f>
        <v>153.912</v>
      </c>
      <c r="E26" s="130">
        <f>IFERROR(-Model!AB167,"")</f>
        <v>178.155</v>
      </c>
      <c r="F26" s="130">
        <f>IFERROR(-Model!AG167,"")</f>
        <v>185.792</v>
      </c>
      <c r="G26" s="130">
        <f>IFERROR(-Model!AL167,"")</f>
        <v>209.629270318321</v>
      </c>
      <c r="H26" s="130">
        <f>IFERROR(-Model!AQ167,"")</f>
        <v>256.714256435046</v>
      </c>
      <c r="I26" s="130">
        <f>IFERROR(-Model!AV167,"")</f>
        <v>297.337253071866</v>
      </c>
      <c r="J26" s="130">
        <f>IFERROR(-Model!BA167,"")</f>
        <v>342.901830726458</v>
      </c>
      <c r="K26" s="130">
        <f>IFERROR(-Model!BF167,"")</f>
        <v>393.734309656628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IFERROR(Model!W376,"")</f>
        <v>-11.8599999999997</v>
      </c>
      <c r="E27" s="133">
        <f>IFERROR(Model!AB376,"")</f>
        <v>-202.66</v>
      </c>
      <c r="F27" s="133">
        <f>IFERROR(Model!AG376,"")</f>
        <v>109.42</v>
      </c>
      <c r="G27" s="133">
        <f>IFERROR(Model!AL376,"")</f>
        <v>-197.917399285925</v>
      </c>
      <c r="H27" s="133">
        <f>IFERROR(Model!AQ376,"")</f>
        <v>283.112281151605</v>
      </c>
      <c r="I27" s="133">
        <f>IFERROR(Model!AV376,"")</f>
        <v>501.551120132278</v>
      </c>
      <c r="J27" s="133">
        <f>IFERROR(Model!BA376,"")</f>
        <v>870.699051883083</v>
      </c>
      <c r="K27" s="133">
        <f>IFERROR(Model!BF376,"")</f>
        <v>1482.1835813257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IFERROR(Model!W377,"")</f>
        <v>159.577</v>
      </c>
      <c r="E28" s="136">
        <f>IFERROR(Model!AB377,"")</f>
        <v>4.779</v>
      </c>
      <c r="F28" s="136">
        <f>IFERROR(Model!AG377,"")</f>
        <v>97.125</v>
      </c>
      <c r="G28" s="136">
        <f>IFERROR(Model!AL377,"")</f>
        <v>-80.2975461438116</v>
      </c>
      <c r="H28" s="136">
        <f>IFERROR(Model!AQ377,"")</f>
        <v>-43.6012311928952</v>
      </c>
      <c r="I28" s="136">
        <f>IFERROR(Model!AV377,"")</f>
        <v>-49.1653027614894</v>
      </c>
      <c r="J28" s="136">
        <f>IFERROR(Model!BA377,"")</f>
        <v>-55.1460118911314</v>
      </c>
      <c r="K28" s="136">
        <f>IFERROR(Model!BF377,"")</f>
        <v>-61.5216607248914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IFERROR(Model!W378,"")</f>
        <v>-1.077</v>
      </c>
      <c r="E29" s="136">
        <f>IFERROR(Model!AB378,"")</f>
        <v>0.512000000000001</v>
      </c>
      <c r="F29" s="136">
        <f>IFERROR(Model!AG378,"")</f>
        <v>-0.706</v>
      </c>
      <c r="G29" s="136">
        <f>IFERROR(Model!AL378,"")</f>
        <v>-1.39343189096313</v>
      </c>
      <c r="H29" s="136">
        <f>IFERROR(Model!AQ378,"")</f>
        <v>-1.93693772341258</v>
      </c>
      <c r="I29" s="136">
        <f>IFERROR(Model!AV378,"")</f>
        <v>-2.18411560858051</v>
      </c>
      <c r="J29" s="136">
        <f>IFERROR(Model!BA378,"")</f>
        <v>-2.4498021685474</v>
      </c>
      <c r="K29" s="136">
        <f>IFERROR(Model!BF378,"")</f>
        <v>-2.73303349939462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IFERROR(Model!W379,"")</f>
        <v>-5.528</v>
      </c>
      <c r="E30" s="136">
        <f>IFERROR(Model!AB379,"")</f>
        <v>-51.808</v>
      </c>
      <c r="F30" s="136">
        <f>IFERROR(Model!AG379,"")</f>
        <v>-63.178</v>
      </c>
      <c r="G30" s="136">
        <f>IFERROR(Model!AL379,"")</f>
        <v>0.197000000000003</v>
      </c>
      <c r="H30" s="136">
        <f>IFERROR(Model!AQ379,"")</f>
        <v>0</v>
      </c>
      <c r="I30" s="136">
        <f>IFERROR(Model!AV379,"")</f>
        <v>0</v>
      </c>
      <c r="J30" s="136">
        <f>IFERROR(Model!BA379,"")</f>
        <v>0</v>
      </c>
      <c r="K30" s="136">
        <f>IFERROR(Model!BF379,"")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IFERROR(Model!W380,"")</f>
        <v>1.461</v>
      </c>
      <c r="E31" s="136">
        <f>IFERROR(Model!AB380,"")</f>
        <v>2.18</v>
      </c>
      <c r="F31" s="136">
        <f>IFERROR(Model!AG380,"")</f>
        <v>-0.939</v>
      </c>
      <c r="G31" s="136">
        <f>IFERROR(Model!AL380,"")</f>
        <v>-1.861</v>
      </c>
      <c r="H31" s="136">
        <f>IFERROR(Model!AQ380,"")</f>
        <v>0</v>
      </c>
      <c r="I31" s="136">
        <f>IFERROR(Model!AV380,"")</f>
        <v>0</v>
      </c>
      <c r="J31" s="136">
        <f>IFERROR(Model!BA380,"")</f>
        <v>0</v>
      </c>
      <c r="K31" s="136">
        <f>IFERROR(Model!BF380,"")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IFERROR(Model!W381,"")</f>
        <v>-62.9980000000001</v>
      </c>
      <c r="E32" s="136">
        <f>IFERROR(Model!AB381,"")</f>
        <v>-119.261</v>
      </c>
      <c r="F32" s="136">
        <f>IFERROR(Model!AG381,"")</f>
        <v>-392.813</v>
      </c>
      <c r="G32" s="136">
        <f>IFERROR(Model!AL381,"")</f>
        <v>-273.382</v>
      </c>
      <c r="H32" s="136">
        <f>IFERROR(Model!AQ381,"")</f>
        <v>0</v>
      </c>
      <c r="I32" s="136">
        <f>IFERROR(Model!AV381,"")</f>
        <v>0</v>
      </c>
      <c r="J32" s="136">
        <f>IFERROR(Model!BA381,"")</f>
        <v>0</v>
      </c>
      <c r="K32" s="136">
        <f>IFERROR(Model!BF381,"")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IFERROR(Model!W382,"")</f>
        <v>-47.499</v>
      </c>
      <c r="E33" s="136">
        <f>IFERROR(Model!AB382,"")</f>
        <v>3.751</v>
      </c>
      <c r="F33" s="136">
        <f>IFERROR(Model!AG382,"")</f>
        <v>-4.637</v>
      </c>
      <c r="G33" s="136">
        <f>IFERROR(Model!AL382,"")</f>
        <v>62.217720304381</v>
      </c>
      <c r="H33" s="136">
        <f>IFERROR(Model!AQ382,"")</f>
        <v>41.2923637135213</v>
      </c>
      <c r="I33" s="136">
        <f>IFERROR(Model!AV382,"")</f>
        <v>46.5617944303285</v>
      </c>
      <c r="J33" s="136">
        <f>IFERROR(Model!BA382,"")</f>
        <v>52.2258000074507</v>
      </c>
      <c r="K33" s="136">
        <f>IFERROR(Model!BF382,"")</f>
        <v>58.2638315801968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IFERROR(Model!W383,"")</f>
        <v>0.329000000000001</v>
      </c>
      <c r="E34" s="136">
        <f>IFERROR(Model!AB383,"")</f>
        <v>1.684</v>
      </c>
      <c r="F34" s="136">
        <f>IFERROR(Model!AG383,"")</f>
        <v>-0.00600000000000023</v>
      </c>
      <c r="G34" s="136">
        <f>IFERROR(Model!AL383,"")</f>
        <v>16.4830641565306</v>
      </c>
      <c r="H34" s="136">
        <f>IFERROR(Model!AQ383,"")</f>
        <v>53.0281835882967</v>
      </c>
      <c r="I34" s="136">
        <f>IFERROR(Model!AV383,"")</f>
        <v>93.4382053387038</v>
      </c>
      <c r="J34" s="136">
        <f>IFERROR(Model!BA383,"")</f>
        <v>161.667109681235</v>
      </c>
      <c r="K34" s="136">
        <f>IFERROR(Model!BF383,"")</f>
        <v>274.623166612117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IFERROR(Model!W384,"")</f>
        <v>-35.572</v>
      </c>
      <c r="E35" s="136">
        <f>IFERROR(Model!AB384,"")</f>
        <v>-2.92600000000002</v>
      </c>
      <c r="F35" s="136">
        <f>IFERROR(Model!AG384,"")</f>
        <v>1.45700000000002</v>
      </c>
      <c r="G35" s="136">
        <f>IFERROR(Model!AL384,"")</f>
        <v>121.589794287938</v>
      </c>
      <c r="H35" s="136">
        <f>IFERROR(Model!AQ384,"")</f>
        <v>234.329902766095</v>
      </c>
      <c r="I35" s="136">
        <f>IFERROR(Model!AV384,"")</f>
        <v>412.900538733316</v>
      </c>
      <c r="J35" s="136">
        <f>IFERROR(Model!BA384,"")</f>
        <v>714.401956254076</v>
      </c>
      <c r="K35" s="136">
        <f>IFERROR(Model!BF384,"")</f>
        <v>1213.55127735767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IFERROR(Model!W385,"")</f>
        <v>-210.807</v>
      </c>
      <c r="E36" s="136">
        <f>IFERROR(Model!AB385,"")</f>
        <v>-32.0700000000001</v>
      </c>
      <c r="F36" s="136">
        <f>IFERROR(Model!AG385,"")</f>
        <v>21.3820000000001</v>
      </c>
      <c r="G36" s="136">
        <f>IFERROR(Model!AL385,"")</f>
        <v>-99.1650000000001</v>
      </c>
      <c r="H36" s="136">
        <f>IFERROR(Model!AQ385,"")</f>
        <v>0</v>
      </c>
      <c r="I36" s="136">
        <f>IFERROR(Model!AV385,"")</f>
        <v>0</v>
      </c>
      <c r="J36" s="136">
        <f>IFERROR(Model!BA385,"")</f>
        <v>0</v>
      </c>
      <c r="K36" s="136">
        <f>IFERROR(Model!BF385,"")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IFERROR(Model!W386,"")</f>
        <v>190.254</v>
      </c>
      <c r="E37" s="136">
        <f>IFERROR(Model!AB386,"")</f>
        <v>-9.5010000000002</v>
      </c>
      <c r="F37" s="136">
        <f>IFERROR(Model!AG386,"")</f>
        <v>451.735</v>
      </c>
      <c r="G37" s="136">
        <f>IFERROR(Model!AL386,"")</f>
        <v>57.694</v>
      </c>
      <c r="H37" s="136">
        <f>IFERROR(Model!AQ386,"")</f>
        <v>0</v>
      </c>
      <c r="I37" s="136">
        <f>IFERROR(Model!AV386,"")</f>
        <v>0</v>
      </c>
      <c r="J37" s="136">
        <f>IFERROR(Model!BA386,"")</f>
        <v>0</v>
      </c>
      <c r="K37" s="136">
        <f>IFERROR(Model!BF386,"")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IFERROR((Model!W286-Model!R286)*-1,"")</f>
        <v>-130.572</v>
      </c>
      <c r="E38" s="136">
        <f>IFERROR((Model!AB286-Model!W286)*-1,"")</f>
        <v>-724.141</v>
      </c>
      <c r="F38" s="136">
        <f>IFERROR((Model!AG286-Model!AB286)*-1,"")</f>
        <v>-980.456000000002</v>
      </c>
      <c r="G38" s="136">
        <f>IFERROR((Model!AL286-Model!AG286)*-1,"")</f>
        <v>-634.773999999998</v>
      </c>
      <c r="H38" s="136">
        <f>IFERROR((Model!AQ286-Model!AL286)*-1,"")</f>
        <v>0</v>
      </c>
      <c r="I38" s="136">
        <f>IFERROR((Model!AV286-Model!AQ286)*-1,"")</f>
        <v>0</v>
      </c>
      <c r="J38" s="136">
        <f>IFERROR((Model!BA286-Model!AV286)*-1,"")</f>
        <v>0</v>
      </c>
      <c r="K38" s="136">
        <f>IFERROR((Model!BF286-Model!BA286)*-1,"")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IFERROR(Model!W337-Model!R337,"")</f>
        <v>208.83</v>
      </c>
      <c r="E39" s="136">
        <f>IFERROR(Model!AB337-Model!W337,"")</f>
        <v>288.194</v>
      </c>
      <c r="F39" s="136">
        <f>IFERROR(Model!AG337-Model!AB337,"")</f>
        <v>220.529</v>
      </c>
      <c r="G39" s="136">
        <f>IFERROR(Model!AL337-Model!AG337,"")</f>
        <v>127.106</v>
      </c>
      <c r="H39" s="136">
        <f>IFERROR(Model!AQ337-Model!AL337,"")</f>
        <v>0</v>
      </c>
      <c r="I39" s="136">
        <f>IFERROR(Model!AV337-Model!AQ337,"")</f>
        <v>0</v>
      </c>
      <c r="J39" s="136">
        <f>IFERROR(Model!BA337-Model!AV337,"")</f>
        <v>0</v>
      </c>
      <c r="K39" s="136">
        <f>IFERROR(Model!BF337-Model!BA337,"")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IFERROR(Model!W392,"")</f>
        <v>-419.038</v>
      </c>
      <c r="E40" s="136">
        <f>IFERROR(Model!AB392,"")</f>
        <v>-584.838999999999</v>
      </c>
      <c r="F40" s="136">
        <f>IFERROR(Model!AG392,"")</f>
        <v>-67.6309999999999</v>
      </c>
      <c r="G40" s="136">
        <f>IFERROR(Model!AL392,"")</f>
        <v>-56.5952887794433</v>
      </c>
      <c r="H40" s="136">
        <f>IFERROR(Model!AQ392,"")</f>
        <v>-79.3576268443287</v>
      </c>
      <c r="I40" s="136">
        <f>IFERROR(Model!AV392,"")</f>
        <v>-91.9153423883379</v>
      </c>
      <c r="J40" s="136">
        <f>IFERROR(Model!BA392,"")</f>
        <v>-106.000640186154</v>
      </c>
      <c r="K40" s="136">
        <f>IFERROR(Model!BF392,"")</f>
        <v>-121.714395045473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-276.986</v>
      </c>
      <c r="E44" s="133">
        <f>IFERROR(SUM(E27,E40:E42,E26),"")</f>
        <v>-609.344</v>
      </c>
      <c r="F44" s="133">
        <f>IFERROR(SUM(F27,F40:F42,F26),"")</f>
        <v>227.581</v>
      </c>
      <c r="G44" s="133">
        <f>IFERROR(SUM(G27,G40:G42,G26),"")</f>
        <v>-44.8834177470476</v>
      </c>
      <c r="H44" s="133">
        <f>IFERROR(SUM(H27,H40:H42,H26),"")</f>
        <v>460.468910742323</v>
      </c>
      <c r="I44" s="133">
        <f>IFERROR(SUM(I27,I40:I42,I26),"")</f>
        <v>706.973030815806</v>
      </c>
      <c r="J44" s="133">
        <f>IFERROR(SUM(J27,J40:J42,J26),"")</f>
        <v>1107.60024242339</v>
      </c>
      <c r="K44" s="133">
        <f>IFERROR(SUM(K27,K40:K42,K26),"")</f>
        <v>1754.20349593685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IFERROR(Model!W447,"")</f>
        <v>22275.893</v>
      </c>
      <c r="E46" s="136">
        <f>IFERROR(Model!AB447,"")</f>
        <v>23408.504</v>
      </c>
      <c r="F46" s="136">
        <f>IFERROR(Model!AG447,"")</f>
        <v>24474.749</v>
      </c>
      <c r="G46" s="136">
        <f>IFERROR(Model!AL447,"")</f>
        <v>25231.423417747</v>
      </c>
      <c r="H46" s="136">
        <f>IFERROR(Model!AQ447,"")</f>
        <v>24770.9545070047</v>
      </c>
      <c r="I46" s="136">
        <f>IFERROR(Model!AV447,"")</f>
        <v>24063.9814761889</v>
      </c>
      <c r="J46" s="136">
        <f>IFERROR(Model!BA447,"")</f>
        <v>22956.3812337655</v>
      </c>
      <c r="K46" s="136">
        <f>IFERROR(Model!BF447,"")</f>
        <v>21202.1777378287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IFERROR(Model!W448,"")</f>
        <v>22275.893</v>
      </c>
      <c r="E47" s="136">
        <f>IFERROR(Model!AB448,"")</f>
        <v>23408.504</v>
      </c>
      <c r="F47" s="136">
        <f>IFERROR(Model!AG448,"")</f>
        <v>24474.749</v>
      </c>
      <c r="G47" s="136">
        <f>IFERROR(Model!AL448,"")</f>
        <v>25231.423417747</v>
      </c>
      <c r="H47" s="136">
        <f>IFERROR(Model!AQ448,"")</f>
        <v>24770.9545070047</v>
      </c>
      <c r="I47" s="136">
        <f>IFERROR(Model!AV448,"")</f>
        <v>24063.9814761889</v>
      </c>
      <c r="J47" s="136">
        <f>IFERROR(Model!BA448,"")</f>
        <v>22956.3812337655</v>
      </c>
      <c r="K47" s="136">
        <f>IFERROR(Model!BF448,"")</f>
        <v>21202.1777378287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6.72707036731805</v>
      </c>
      <c r="E48" s="122">
        <f>IFERROR(IF(E18=0,"",E46/E18),"")</f>
        <v>5.84904940001559</v>
      </c>
      <c r="F48" s="122">
        <f>IFERROR(IF(F18=0,"",F46/F18),"")</f>
        <v>5.56512053640354</v>
      </c>
      <c r="G48" s="122">
        <f>IFERROR(IF(G18=0,"",G46/G18),"")</f>
        <v>4.70985955445327</v>
      </c>
      <c r="H48" s="122">
        <f>IFERROR(IF(H18=0,"",H46/H18),"")</f>
        <v>3.97501566453094</v>
      </c>
      <c r="I48" s="122">
        <f>IFERROR(IF(I18=0,"",I46/I18),"")</f>
        <v>3.33398967075043</v>
      </c>
      <c r="J48" s="122">
        <f>IFERROR(IF(J18=0,"",J46/J18),"")</f>
        <v>2.75790762084405</v>
      </c>
      <c r="K48" s="122">
        <f>IFERROR(IF(K18=0,"",K46/K18),"")</f>
        <v>2.21831543329083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0.080198185673047</v>
      </c>
      <c r="E50" s="150">
        <f>IFERROR(IF(E46=0,"",E25/E46),"")</f>
        <v>0.111870399719837</v>
      </c>
      <c r="F50" s="150">
        <f>IFERROR(IF(F46=0,"",F25/F46),"")</f>
        <v>0.0847832180932502</v>
      </c>
      <c r="G50" s="150">
        <f>IFERROR(IF(G46=0,"",G25/G46),"")</f>
        <v>0.102730959639963</v>
      </c>
      <c r="H50" s="150">
        <f>IFERROR(IF(H46=0,"",H25/H46),"")</f>
        <v>0.119321929559955</v>
      </c>
      <c r="I50" s="150">
        <f>IFERROR(IF(I46=0,"",I25/I46),"")</f>
        <v>0.142263949790858</v>
      </c>
      <c r="J50" s="150">
        <f>IFERROR(IF(J46=0,"",J25/J46),"")</f>
        <v>0.171980575251364</v>
      </c>
      <c r="K50" s="150">
        <f>IFERROR(IF(K46=0,"",K25/K46),"")</f>
        <v>0.213813839098281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0.148653120213856</v>
      </c>
      <c r="E51" s="154">
        <f>IFERROR(IF(E46=0,"",E18/E46),"")</f>
        <v>0.170967952501364</v>
      </c>
      <c r="F51" s="154">
        <f>IFERROR(IF(F46=0,"",F18/F46),"")</f>
        <v>0.179690627266494</v>
      </c>
      <c r="G51" s="154">
        <f>IFERROR(IF(G46=0,"",G18/G46),"")</f>
        <v>0.212320556152143</v>
      </c>
      <c r="H51" s="154">
        <f>IFERROR(IF(H46=0,"",H18/H46),"")</f>
        <v>0.25157133566114</v>
      </c>
      <c r="I51" s="154">
        <f>IFERROR(IF(I46=0,"",I18/I46),"")</f>
        <v>0.299940941261199</v>
      </c>
      <c r="J51" s="154">
        <f>IFERROR(IF(J46=0,"",J18/J46),"")</f>
        <v>0.362593725925437</v>
      </c>
      <c r="K51" s="154">
        <f>IFERROR(IF(K46=0,"",K18/K46),"")</f>
        <v>0.450792518048941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1509.50020284693</v>
      </c>
      <c r="E53" s="155">
        <f>IFERROR(E25+E44,"")</f>
        <v>2009.37469932341</v>
      </c>
      <c r="F53" s="155">
        <f>IFERROR(F25+F44,"")</f>
        <v>2302.62898224456</v>
      </c>
      <c r="G53" s="156">
        <f>IFERROR(G25+G44,"")</f>
        <v>2547.16492304035</v>
      </c>
      <c r="H53" s="155">
        <f>IFERROR(H25+H44,"")</f>
        <v>3416.18699956</v>
      </c>
      <c r="I53" s="155">
        <f>IFERROR(I25+I44,"")</f>
        <v>4130.41008331249</v>
      </c>
      <c r="J53" s="155">
        <f>IFERROR(J25+J44,"")</f>
        <v>5055.65189269599</v>
      </c>
      <c r="K53" s="155">
        <f>IFERROR(K25+K44,"")</f>
        <v>6287.52251530612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0.213813839098281</v>
      </c>
      <c r="E64" s="157" t="inlineStr">
        <is>
          <t>Current portion of long-term debt</t>
        </is>
      </c>
      <c r="H64" s="137">
        <f>IFERROR(INDEX(Model!$I$309:$BF$309,1,MATCH(Control!$B$7,Model!$I$5:$BF$5,0)),"")</f>
        <v>1610.14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IFERROR(INDEX(Model!$I$310:$BF$310,1,MATCH(Control!$B$7,Model!$I$5:$BF$5,0)),"")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IFERROR(INDEX(Model!$I$314:$BF$314,1,MATCH(Control!$B$7,Model!$I$5:$BF$5,0)),"")</f>
        <v>13261.289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IFERROR(INDEX(Model!$I$335:$BF$335,1,MATCH(Control!$B$7,Model!$I$5:$BF$5,0)),"")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IFERROR(INDEX(Model!$I$345:$BF$345,1,MATCH(Control!$B$7,Model!$I$5:$BF$5,0)),"")</f>
        <v>3738.333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IFERROR(INDEX(Model!$I$350:$BF$350,1,MATCH(Control!$B$7,Model!$I$5:$BF$5,0)),"")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IFERROR(INDEX(Model!$I$311:$BF$311,1,MATCH(Control!$B$7,Model!$I$5:$BF$5,0)),"")</f>
        <v>6.263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IFERROR(INDEX(Model!$I$332:$BF$332,1,MATCH(Control!$B$7,Model!$I$5:$BF$5,0)),"")</f>
        <v>16.91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IFERROR(-INDEX(Model!$I$241:$BF$241,1,MATCH(Control!$B$7,Model!$I$5:$BF$5,0)),"")</f>
        <v>-5371.921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6342.74640355016</v>
      </c>
      <c r="E73" s="157" t="inlineStr">
        <is>
          <t>Less: Equity investments</t>
        </is>
      </c>
      <c r="H73" s="137">
        <f>IFERROR(-INDEX(Model!$I$258:$BF$258,1,MATCH(Control!$B$7,Model!$I$5:$BF$5,0)),"")</f>
        <v>-872.439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12388.575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12388.575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12388.575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ALUP11) - fonte: planilha de fundamentos do RI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Alupar Investimento S.A.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ALUP11) - fonte: planilha de fundamentos do RI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5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IFERROR(-Model!AG171/AVERAGE(Model!AB189,Model!AG189),"")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0.163242075064101</v>
      </c>
      <c r="C18" s="247">
        <f>IF(B18="","",B18)</f>
        <v>0.163242075064101</v>
      </c>
      <c r="D18" s="247">
        <f>IF(C18="","",MAX(0,C18-0.5%))</f>
        <v>0.158242075064101</v>
      </c>
      <c r="E18" s="247">
        <f>IF(D18="","",MAX(0,D18-0.5%))</f>
        <v>0.153242075064101</v>
      </c>
      <c r="F18" s="247">
        <f>IF(E18="","",MAX(0,E18-0.5%))</f>
        <v>0.148242075064101</v>
      </c>
    </row>
    <row r="19" ht="15" customHeight="1">
      <c r="A19" t="inlineStr">
        <is>
          <t>Gross margin</t>
        </is>
      </c>
      <c r="B19" s="247">
        <f>IFERROR(AVERAGE(Model!AC152:AF152,Model!AH152:AI152),"")</f>
        <v>0.716180387388743</v>
      </c>
      <c r="C19" s="247">
        <f>IF(B19="","",B19)</f>
        <v>0.716180387388743</v>
      </c>
      <c r="D19" s="247">
        <f>IF(C19="","",C19)</f>
        <v>0.716180387388743</v>
      </c>
      <c r="E19" s="247">
        <f>IF(D19="","",D19)</f>
        <v>0.716180387388743</v>
      </c>
      <c r="F19" s="247">
        <f>IF(E19="","",E19)</f>
        <v>0.716180387388743</v>
      </c>
    </row>
    <row r="20" ht="15" customHeight="1">
      <c r="A20" t="inlineStr">
        <is>
          <t>SG&amp;A / Revenue</t>
        </is>
      </c>
      <c r="B20" s="247">
        <f>IFERROR(AVERAGE(Model!AC156:AF156,Model!AH156:AI156),"")</f>
        <v>0.0525593004217526</v>
      </c>
      <c r="C20" s="247">
        <f>IF(B20="","",B20)</f>
        <v>0.0525593004217526</v>
      </c>
      <c r="D20" s="247">
        <f>IF(C20="","",C20)</f>
        <v>0.0525593004217526</v>
      </c>
      <c r="E20" s="247">
        <f>IF(D20="","",D20)</f>
        <v>0.0525593004217526</v>
      </c>
      <c r="F20" s="247">
        <f>IF(E20="","",E20)</f>
        <v>0.0525593004217526</v>
      </c>
    </row>
    <row r="21" ht="15" customHeight="1">
      <c r="A21" t="inlineStr">
        <is>
          <t>D&amp;A / Revenue</t>
        </is>
      </c>
      <c r="B21" s="247">
        <f>IFERROR(AVERAGE(Model!AC168:AF168,Model!AH168:AI168),"")</f>
        <v>0.0411951501646479</v>
      </c>
      <c r="C21" s="247">
        <f>IF(B21="","",B21)</f>
        <v>0.0411951501646479</v>
      </c>
      <c r="D21" s="247">
        <f>IF(C21="","",C21)</f>
        <v>0.0411951501646479</v>
      </c>
      <c r="E21" s="247">
        <f>IF(D21="","",D21)</f>
        <v>0.0411951501646479</v>
      </c>
      <c r="F21" s="247">
        <f>IF(E21="","",E21)</f>
        <v>0.0411951501646479</v>
      </c>
    </row>
    <row r="22" ht="15" customHeight="1">
      <c r="A22" t="inlineStr">
        <is>
          <t>Effective tax rate</t>
        </is>
      </c>
      <c r="B22" s="247">
        <f>IFERROR(AVERAGE(Model!AC229:AF229,Model!AH229:AI229),"")</f>
        <v>0.237971120613022</v>
      </c>
      <c r="C22" s="247">
        <f>IF(B22="","",B22)</f>
        <v>0.237971120613022</v>
      </c>
      <c r="D22" s="247">
        <f>IF(C22="","",C22)</f>
        <v>0.237971120613022</v>
      </c>
      <c r="E22" s="247">
        <f>IF(D22="","",D22)</f>
        <v>0.237971120613022</v>
      </c>
      <c r="F22" s="247">
        <f>IF(E22="","",E22)</f>
        <v>0.237971120613022</v>
      </c>
    </row>
    <row r="23" ht="15" customHeight="1">
      <c r="A23" t="inlineStr">
        <is>
          <t>Financial income / Revenue</t>
        </is>
      </c>
      <c r="B23" s="247">
        <f>IFERROR(AVERAGE(Model!AC220:AF220,Model!AH220:AI220)/AVERAGE(Model!AC15:AF15,Model!AH15:AI15),"")</f>
        <v>0.0912506491385634</v>
      </c>
      <c r="C23" s="247">
        <f>IF(B23="","",B23)</f>
        <v>0.0912506491385634</v>
      </c>
      <c r="D23" s="247">
        <f>IF(C23="","",C23)</f>
        <v>0.0912506491385634</v>
      </c>
      <c r="E23" s="247">
        <f>IF(D23="","",D23)</f>
        <v>0.0912506491385634</v>
      </c>
      <c r="F23" s="247">
        <f>IF(E23="","",E23)</f>
        <v>0.0912506491385634</v>
      </c>
    </row>
    <row r="24" ht="15" customHeight="1">
      <c r="A24" t="inlineStr">
        <is>
          <t>Capex / Revenue</t>
        </is>
      </c>
      <c r="B24" s="247">
        <f>IFERROR(-AVERAGE(Model!AC392:AF392,Model!AH392:AI392)/AVERAGE(Model!AC15:AF15,Model!AH15:AI15),"")</f>
        <v>0.0127345843583462</v>
      </c>
      <c r="C24" s="247">
        <f>IF(B24="","",B24)</f>
        <v>0.0127345843583462</v>
      </c>
      <c r="D24" s="247">
        <f>IF(C24="","",C24)</f>
        <v>0.0127345843583462</v>
      </c>
      <c r="E24" s="247">
        <f>IF(D24="","",D24)</f>
        <v>0.0127345843583462</v>
      </c>
      <c r="F24" s="247">
        <f>IF(E24="","",E24)</f>
        <v>0.0127345843583462</v>
      </c>
    </row>
    <row r="25" ht="15" customHeight="1">
      <c r="A25" t="inlineStr">
        <is>
          <t>DSO</t>
        </is>
      </c>
      <c r="B25" s="249">
        <f>IFERROR(AVERAGE(Model!AC243:AF243,Model!AH243:AI243),0)</f>
        <v>18.1534276324055</v>
      </c>
      <c r="C25" s="249">
        <f>IF(B25="","",B25)</f>
        <v>18.1534276324055</v>
      </c>
      <c r="D25" s="249">
        <f>IF(C25="","",C25)</f>
        <v>18.1534276324055</v>
      </c>
      <c r="E25" s="249">
        <f>IF(D25="","",D25)</f>
        <v>18.1534276324055</v>
      </c>
      <c r="F25" s="249">
        <f>IF(E25="","",E25)</f>
        <v>18.1534276324055</v>
      </c>
    </row>
    <row r="26" ht="15" customHeight="1">
      <c r="A26" t="inlineStr">
        <is>
          <t>DIO</t>
        </is>
      </c>
      <c r="B26" s="249">
        <f>IFERROR(AVERAGE(Model!AC247:AF247,Model!AH247:AI247),0)</f>
        <v>2.84140499721058</v>
      </c>
      <c r="C26" s="249">
        <f>IF(B26="","",B26)</f>
        <v>2.84140499721058</v>
      </c>
      <c r="D26" s="249">
        <f>IF(C26="","",C26)</f>
        <v>2.84140499721058</v>
      </c>
      <c r="E26" s="249">
        <f>IF(D26="","",D26)</f>
        <v>2.84140499721058</v>
      </c>
      <c r="F26" s="249">
        <f>IF(E26="","",E26)</f>
        <v>2.84140499721058</v>
      </c>
    </row>
    <row r="27" ht="15" customHeight="1">
      <c r="A27" t="inlineStr">
        <is>
          <t>DPO</t>
        </is>
      </c>
      <c r="B27" s="249">
        <f>IFERROR(AVERAGE(Model!AC296:AF296,Model!AH296:AI296),0)</f>
        <v>60.5741357525538</v>
      </c>
      <c r="C27" s="249">
        <f>IF(B27="","",B27)</f>
        <v>60.5741357525538</v>
      </c>
      <c r="D27" s="249">
        <f>IF(C27="","",C27)</f>
        <v>60.5741357525538</v>
      </c>
      <c r="E27" s="249">
        <f>IF(D27="","",D27)</f>
        <v>60.5741357525538</v>
      </c>
      <c r="F27" s="249">
        <f>IF(E27="","",E27)</f>
        <v>60.5741357525538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Alupar Investimento S.A. (ALUP11) - fonte: planilha de fundamentos do RI, aba "Consolidado" (IFRS, consolidado). Moeda: BRL. Unidade dos brutos: R$ mil. Fator converte p/ R$ milhoes.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2026-10-16T15:35:39Z</dcterms:modified>
  <cp:lastModifiedBy>Lucas Nascimento</cp:lastModifiedBy>
  <cp:revision>0</cp:revision>
</cp:coreProperties>
</file>